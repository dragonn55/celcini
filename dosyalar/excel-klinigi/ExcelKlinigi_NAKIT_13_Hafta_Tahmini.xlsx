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şla" sheetId="1" state="visible" r:id="rId3"/>
    <sheet name="Tahmin" sheetId="2" state="visible" r:id="rId4"/>
    <sheet name="Kalemler" sheetId="3" state="visible" r:id="rId5"/>
    <sheet name="Dağılım" sheetId="4" state="visible" r:id="rId6"/>
    <sheet name="AI Komutları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<sst xmlns="http://schemas.openxmlformats.org/spreadsheetml/2006/main" count="94" uniqueCount="79">
  <si>
    <t xml:space="preserve">EXCEL KLİNİĞİ</t>
  </si>
  <si>
    <t xml:space="preserve">NAKİT  |  13 haftalık nakit akış tahmini</t>
  </si>
  <si>
    <t xml:space="preserve">Önümüzdeki üç ayda kasaya ne girecek, ne çıkacak; hangi hafta paran yetmeyecek, şimdiden gör.</t>
  </si>
  <si>
    <t xml:space="preserve">NASIL KULLANILIR</t>
  </si>
  <si>
    <t xml:space="preserve">1. Tahmin</t>
  </si>
  <si>
    <t xml:space="preserve">Bugün elindeki nakdi ve ilk haftanın pazartesi tarihini yaz.</t>
  </si>
  <si>
    <t xml:space="preserve">2. Kalemler</t>
  </si>
  <si>
    <t xml:space="preserve">Beklediğin tahsilatları ve yapacağın ödemeleri tutarı, tarihi, tekrarı ve kesinliğiyle gir.</t>
  </si>
  <si>
    <t xml:space="preserve">3. Tahmin sayfasına dön</t>
  </si>
  <si>
    <t xml:space="preserve">13 haftanın giriş, çıkış ve hafta sonu nakdini gör. Nakdin eksiye düştüğü hafta kırmızı uyarı verir.</t>
  </si>
  <si>
    <t xml:space="preserve">BİLMEN GEREKENLER</t>
  </si>
  <si>
    <t xml:space="preserve">İki senaryo</t>
  </si>
  <si>
    <t xml:space="preserve">Soldaki tablo bütün kalemleri sayar. Sağdaki tablo olası girişleri saymaz ama bütün çıkışları sayar; kötü günü gösterir.</t>
  </si>
  <si>
    <t xml:space="preserve">Aylık tekrar</t>
  </si>
  <si>
    <t xml:space="preserve">Aylık kalem, ilk tarihin ayın kaçı olduğuna bakılarak her ay o güne yazılır. Kısa aylarda ayın son gününe kayar.</t>
  </si>
  <si>
    <t xml:space="preserve">Tahmin</t>
  </si>
  <si>
    <t xml:space="preserve">Sonuç, yazdığın tutar ve tarihlerin doğruluğu kadar doğrudur. Her hafta güncelle.</t>
  </si>
  <si>
    <t xml:space="preserve">Kapasite</t>
  </si>
  <si>
    <t xml:space="preserve">Kalemler: 200 satır; 13 hafta.</t>
  </si>
  <si>
    <t xml:space="preserve">RENKLER</t>
  </si>
  <si>
    <t xml:space="preserve">Sarı hücre</t>
  </si>
  <si>
    <t xml:space="preserve">Senin dolduracağın hücre. İçindeki örnekleri silip kendi bilgini yaz.</t>
  </si>
  <si>
    <t xml:space="preserve">Beyaz hücre, açık başlık</t>
  </si>
  <si>
    <t xml:space="preserve">Formül. Değiştirme, kendiliğinden hesaplanır.</t>
  </si>
  <si>
    <t xml:space="preserve">13 Haftalık Tahmin</t>
  </si>
  <si>
    <t xml:space="preserve">Başlangıç nakdini ve ilk haftanın pazartesi tarihini yaz.</t>
  </si>
  <si>
    <t xml:space="preserve">Bugün kasada ve bankada olan (₺)</t>
  </si>
  <si>
    <t xml:space="preserve">İlk haftanın pazartesi tarihi</t>
  </si>
  <si>
    <t xml:space="preserve">13 hafta girişi</t>
  </si>
  <si>
    <t xml:space="preserve">13 hafta çıkışı</t>
  </si>
  <si>
    <t xml:space="preserve">En düşük nakit</t>
  </si>
  <si>
    <t xml:space="preserve">En düşük olduğu hafta</t>
  </si>
  <si>
    <t xml:space="preserve">Kesinlerle en düşük nakit</t>
  </si>
  <si>
    <t xml:space="preserve">Bütün kalemlerle</t>
  </si>
  <si>
    <t xml:space="preserve">Yalnız kesin girişlerle (çıkışların tümü)</t>
  </si>
  <si>
    <t xml:space="preserve">Hafta başı</t>
  </si>
  <si>
    <t xml:space="preserve">Giriş (₺)</t>
  </si>
  <si>
    <t xml:space="preserve">Çıkış (₺)</t>
  </si>
  <si>
    <t xml:space="preserve">Net (₺)</t>
  </si>
  <si>
    <t xml:space="preserve">Hafta sonu nakit (₺)</t>
  </si>
  <si>
    <t xml:space="preserve">Kesin giriş (₺)</t>
  </si>
  <si>
    <t xml:space="preserve">Uyarı</t>
  </si>
  <si>
    <t xml:space="preserve">Kalemler</t>
  </si>
  <si>
    <t xml:space="preserve">Beklediğin her girişi ve çıkışı yaz. Tekrar eden ödemeler için ilk tarihi ve sıklığı seç.</t>
  </si>
  <si>
    <t xml:space="preserve">Kalem</t>
  </si>
  <si>
    <t xml:space="preserve">Tür</t>
  </si>
  <si>
    <t xml:space="preserve">Tutar (₺)</t>
  </si>
  <si>
    <t xml:space="preserve">İlk tarih</t>
  </si>
  <si>
    <t xml:space="preserve">Tekrar</t>
  </si>
  <si>
    <t xml:space="preserve">Kesinlik</t>
  </si>
  <si>
    <t xml:space="preserve">Müşteri Alfa tahsilatı</t>
  </si>
  <si>
    <t xml:space="preserve">Giriş</t>
  </si>
  <si>
    <t xml:space="preserve">Tek sefer</t>
  </si>
  <si>
    <t xml:space="preserve">Kesin</t>
  </si>
  <si>
    <t xml:space="preserve">Haftalık nakit satış</t>
  </si>
  <si>
    <t xml:space="preserve">Haftalık</t>
  </si>
  <si>
    <t xml:space="preserve">Yeni sipariş (beklenen)</t>
  </si>
  <si>
    <t xml:space="preserve">Olası</t>
  </si>
  <si>
    <t xml:space="preserve">Kira</t>
  </si>
  <si>
    <t xml:space="preserve">Çıkış</t>
  </si>
  <si>
    <t xml:space="preserve">Aylık</t>
  </si>
  <si>
    <t xml:space="preserve">Maaşlar</t>
  </si>
  <si>
    <t xml:space="preserve">Tedarikçi ödemesi</t>
  </si>
  <si>
    <t xml:space="preserve">Haftalık malzeme</t>
  </si>
  <si>
    <t xml:space="preserve">Dağılım (dokunma)</t>
  </si>
  <si>
    <t xml:space="preserve">Her kalemin hangi haftaya ne kadar düştüğünün ara hesabı. Değiştirme.</t>
  </si>
  <si>
    <t xml:space="preserve">Yapay Zeka Komutları</t>
  </si>
  <si>
    <t xml:space="preserve">İlgili sayfada başlık satırıyla birlikte kayıtlarını seç, kopyala, kullandığın yapay zeka asistanına yapıştır ve altına komutu ekle.</t>
  </si>
  <si>
    <t xml:space="preserve">Dikkat: Müşteri ve tedarikçi adlarını takma adla değiştir. Yapay zekanın verdiği rakamları dosyadaki özet sayfasıyla karşılaştır.</t>
  </si>
  <si>
    <t xml:space="preserve">Ne için</t>
  </si>
  <si>
    <t xml:space="preserve">Komut (kopyala, yapıştır)</t>
  </si>
  <si>
    <t xml:space="preserve">Açık kapatma</t>
  </si>
  <si>
    <t xml:space="preserve">[Tahmin sayfası] Nakdin eksiye düştüğü haftalar için hangi ödemeyi erteleyebilir ya da hangi tahsilatı öne çekebilirim?</t>
  </si>
  <si>
    <t xml:space="preserve">Senaryo</t>
  </si>
  <si>
    <t xml:space="preserve">En büyük tahsilatım iki hafta gecikirse hangi hafta sıkışırım?</t>
  </si>
  <si>
    <t xml:space="preserve">Görüşme hazırlığı</t>
  </si>
  <si>
    <t xml:space="preserve">Tedarikçiden ödeme vadesini uzatmasını istemek için kısa bir konuşma metni hazırla.</t>
  </si>
  <si>
    <t xml:space="preserve">Kontrol</t>
  </si>
  <si>
    <t xml:space="preserve">[Kalemler sayfası] Unutmuş olabileceğim düzenli giderleri hatırlat: vergi, sigorta, kredi taksidi gibi.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</si>
</sst>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&quot; ₺&quot;"/>
    <numFmt numFmtId="166" formatCode="dd\.mm\.yyyy"/>
    <numFmt numFmtId="167" formatCode="#,##0.00&quot; ₺&quot;;[RED]\-#,##0.00&quot; ₺&quot;;\-"/>
    <numFmt numFmtId="168" formatCode="#,##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0"/>
      <color rgb="FF1F6F43"/>
      <name val="Arial"/>
      <family val="0"/>
      <charset val="1"/>
    </font>
    <font>
      <sz val="10"/>
      <color rgb="FF475467"/>
      <name val="Arial"/>
      <family val="0"/>
      <charset val="1"/>
    </font>
    <font>
      <b val="true"/>
      <sz val="10"/>
      <color rgb="FF1F6F43"/>
      <name val="Arial"/>
      <family val="0"/>
      <charset val="1"/>
    </font>
    <font>
      <b val="true"/>
      <sz val="10"/>
      <color rgb="FF1B1F23"/>
      <name val="Arial"/>
      <family val="0"/>
      <charset val="1"/>
    </font>
    <font>
      <sz val="10"/>
      <color rgb="FF1B1F23"/>
      <name val="Arial"/>
      <family val="0"/>
      <charset val="1"/>
    </font>
    <font>
      <b val="true"/>
      <sz val="16"/>
      <color rgb="FF1F6F43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11"/>
      <color rgb="FF1B1F2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B1F23"/>
      <name val="Arial"/>
      <family val="0"/>
      <charset val="1"/>
    </font>
    <font>
      <b val="true"/>
      <sz val="12"/>
      <color rgb="FFB42318"/>
      <name val="Arial"/>
      <family val="0"/>
      <charset val="1"/>
    </font>
    <font>
      <b val="true"/>
      <sz val="11"/>
      <color rgb="FF1F6F4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B4231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6F43"/>
        <bgColor rgb="FF008080"/>
      </patternFill>
    </fill>
    <fill>
      <patternFill patternType="solid">
        <fgColor rgb="FFE8F5EE"/>
        <bgColor rgb="FFF3F4F6"/>
      </patternFill>
    </fill>
    <fill>
      <patternFill patternType="solid">
        <fgColor rgb="FFFFF9DB"/>
        <bgColor rgb="FFF3F4F6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E8F5E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/>
      <top style="thin">
        <color rgb="FFD0D5DD"/>
      </top>
      <bottom style="thin">
        <color rgb="FFD0D5DD"/>
      </bottom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2" borderId="2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6" borderId="2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B42318"/>
      </font>
      <fill>
        <patternFill>
          <bgColor rgb="FFFDE2E0"/>
        </patternFill>
      </fill>
    </dxf>
    <dxf>
      <font>
        <name val="Arial"/>
        <charset val="1"/>
        <family val="0"/>
        <b val="1"/>
        <color rgb="FFB42318"/>
      </font>
    </dxf>
  </dxfs>
  <colors>
    <indexedColors>
      <rgbColor rgb="FF000000"/>
      <rgbColor rgb="FFFFFFFF"/>
      <rgbColor rgb="FFD92D2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D9D9D9"/>
      <rgbColor rgb="FF878787"/>
      <rgbColor rgb="FF9999FF"/>
      <rgbColor rgb="FF993366"/>
      <rgbColor rgb="FFFFF9DB"/>
      <rgbColor rgb="FFE8F5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DE2E0"/>
      <rgbColor rgb="FF3366FF"/>
      <rgbColor rgb="FF33CCCC"/>
      <rgbColor rgb="FF99CC00"/>
      <rgbColor rgb="FFFFCC00"/>
      <rgbColor rgb="FFFF9900"/>
      <rgbColor rgb="FFFF6600"/>
      <rgbColor rgb="FF475467"/>
      <rgbColor rgb="FF969696"/>
      <rgbColor rgb="FF003366"/>
      <rgbColor rgb="FF339966"/>
      <rgbColor rgb="FF003300"/>
      <rgbColor rgb="FF333300"/>
      <rgbColor rgb="FFB42318"/>
      <rgbColor rgb="FF993366"/>
      <rgbColor rgb="FF333399"/>
      <rgbColor rgb="FF1B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Hafta sonu nakit (₺)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Tahmin!F9</c:f>
              <c:strCache>
                <c:ptCount val="1"/>
                <c:pt idx="0">
                  <c:v>Hafta sonu nakit (₺)</c:v>
                </c:pt>
              </c:strCache>
            </c:strRef>
          </c:tx>
          <c:spPr>
            <a:solidFill>
              <a:srgbClr val="1f6f43"/>
            </a:solidFill>
            <a:ln w="21960">
              <a:solidFill>
                <a:srgbClr val="1f6f4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Tahmin!$B$10:$B$22</c:f>
              <c:strCache>
                <c:ptCount val="13"/>
                <c:pt idx="0">
                  <c:v>05.10.2026</c:v>
                </c:pt>
                <c:pt idx="1">
                  <c:v>12.10.2026</c:v>
                </c:pt>
                <c:pt idx="2">
                  <c:v>19.10.2026</c:v>
                </c:pt>
                <c:pt idx="3">
                  <c:v>26.10.2026</c:v>
                </c:pt>
                <c:pt idx="4">
                  <c:v>02.11.2026</c:v>
                </c:pt>
                <c:pt idx="5">
                  <c:v>09.11.2026</c:v>
                </c:pt>
                <c:pt idx="6">
                  <c:v>16.11.2026</c:v>
                </c:pt>
                <c:pt idx="7">
                  <c:v>23.11.2026</c:v>
                </c:pt>
                <c:pt idx="8">
                  <c:v>30.11.2026</c:v>
                </c:pt>
                <c:pt idx="9">
                  <c:v>07.12.2026</c:v>
                </c:pt>
                <c:pt idx="10">
                  <c:v>14.12.2026</c:v>
                </c:pt>
                <c:pt idx="11">
                  <c:v>21.12.2026</c:v>
                </c:pt>
                <c:pt idx="12">
                  <c:v>28.12.2026</c:v>
                </c:pt>
              </c:strCache>
            </c:strRef>
          </c:cat>
          <c:val>
            <c:numRef>
              <c:f>Tahmin!$F$10:$F$22</c:f>
              <c:numCache>
                <c:formatCode>#,##0.00" ₺";[RED]\-#,##0.00" ₺";\-</c:formatCode>
                <c:ptCount val="13"/>
                <c:pt idx="0">
                  <c:v>83000</c:v>
                </c:pt>
                <c:pt idx="1">
                  <c:v>96000</c:v>
                </c:pt>
                <c:pt idx="2">
                  <c:v>39000</c:v>
                </c:pt>
                <c:pt idx="3">
                  <c:v>-33000</c:v>
                </c:pt>
                <c:pt idx="4">
                  <c:v>-50000</c:v>
                </c:pt>
                <c:pt idx="5">
                  <c:v>43000</c:v>
                </c:pt>
                <c:pt idx="6">
                  <c:v>56000</c:v>
                </c:pt>
                <c:pt idx="7">
                  <c:v>69000</c:v>
                </c:pt>
                <c:pt idx="8">
                  <c:v>-33000</c:v>
                </c:pt>
                <c:pt idx="9">
                  <c:v>-20000</c:v>
                </c:pt>
                <c:pt idx="10">
                  <c:v>-7000</c:v>
                </c:pt>
                <c:pt idx="11">
                  <c:v>6000</c:v>
                </c:pt>
                <c:pt idx="12">
                  <c:v>-66000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Tahmin!J9</c:f>
              <c:strCache>
                <c:ptCount val="1"/>
                <c:pt idx="0">
                  <c:v>Hafta sonu nakit (₺)</c:v>
                </c:pt>
              </c:strCache>
            </c:strRef>
          </c:tx>
          <c:spPr>
            <a:solidFill>
              <a:srgbClr val="d92d20"/>
            </a:solidFill>
            <a:ln w="21960">
              <a:solidFill>
                <a:srgbClr val="d92d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Tahmin!$B$10:$B$22</c:f>
              <c:strCache>
                <c:ptCount val="13"/>
                <c:pt idx="0">
                  <c:v>05.10.2026</c:v>
                </c:pt>
                <c:pt idx="1">
                  <c:v>12.10.2026</c:v>
                </c:pt>
                <c:pt idx="2">
                  <c:v>19.10.2026</c:v>
                </c:pt>
                <c:pt idx="3">
                  <c:v>26.10.2026</c:v>
                </c:pt>
                <c:pt idx="4">
                  <c:v>02.11.2026</c:v>
                </c:pt>
                <c:pt idx="5">
                  <c:v>09.11.2026</c:v>
                </c:pt>
                <c:pt idx="6">
                  <c:v>16.11.2026</c:v>
                </c:pt>
                <c:pt idx="7">
                  <c:v>23.11.2026</c:v>
                </c:pt>
                <c:pt idx="8">
                  <c:v>30.11.2026</c:v>
                </c:pt>
                <c:pt idx="9">
                  <c:v>07.12.2026</c:v>
                </c:pt>
                <c:pt idx="10">
                  <c:v>14.12.2026</c:v>
                </c:pt>
                <c:pt idx="11">
                  <c:v>21.12.2026</c:v>
                </c:pt>
                <c:pt idx="12">
                  <c:v>28.12.2026</c:v>
                </c:pt>
              </c:strCache>
            </c:strRef>
          </c:cat>
          <c:val>
            <c:numRef>
              <c:f>Tahmin!$J$10:$J$22</c:f>
              <c:numCache>
                <c:formatCode>#,##0.00" ₺";[RED]\-#,##0.00" ₺";\-</c:formatCode>
                <c:ptCount val="13"/>
                <c:pt idx="0">
                  <c:v>83000</c:v>
                </c:pt>
                <c:pt idx="1">
                  <c:v>96000</c:v>
                </c:pt>
                <c:pt idx="2">
                  <c:v>39000</c:v>
                </c:pt>
                <c:pt idx="3">
                  <c:v>-33000</c:v>
                </c:pt>
                <c:pt idx="4">
                  <c:v>-50000</c:v>
                </c:pt>
                <c:pt idx="5">
                  <c:v>-37000</c:v>
                </c:pt>
                <c:pt idx="6">
                  <c:v>-24000</c:v>
                </c:pt>
                <c:pt idx="7">
                  <c:v>-11000</c:v>
                </c:pt>
                <c:pt idx="8">
                  <c:v>-113000</c:v>
                </c:pt>
                <c:pt idx="9">
                  <c:v>-100000</c:v>
                </c:pt>
                <c:pt idx="10">
                  <c:v>-87000</c:v>
                </c:pt>
                <c:pt idx="11">
                  <c:v>-74000</c:v>
                </c:pt>
                <c:pt idx="12">
                  <c:v>-146000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0063017"/>
        <c:axId val="83061387"/>
      </c:lineChart>
      <c:catAx>
        <c:axId val="60063017"/>
        <c:scaling>
          <c:orientation val="minMax"/>
        </c:scaling>
        <c:delete val="0"/>
        <c:axPos val="b"/>
        <c:numFmt formatCode="dd\.mm\.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061387"/>
        <c:crosses val="autoZero"/>
        <c:auto val="1"/>
        <c:lblAlgn val="ctr"/>
        <c:lblOffset val="100"/>
        <c:noMultiLvlLbl val="0"/>
      </c:catAx>
      <c:valAx>
        <c:axId val="83061387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06301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23</xdr:row>
      <xdr:rowOff>130680</xdr:rowOff>
    </xdr:from>
    <xdr:to>
      <xdr:col>5</xdr:col>
      <xdr:colOff>840600</xdr:colOff>
      <xdr:row>37</xdr:row>
      <xdr:rowOff>163440</xdr:rowOff>
    </xdr:to>
    <xdr:graphicFrame>
      <xdr:nvGraphicFramePr>
        <xdr:cNvPr id="0" name="Chart 1"/>
        <xdr:cNvGraphicFramePr/>
      </xdr:nvGraphicFramePr>
      <xdr:xfrm>
        <a:off x="211320" y="501012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2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88"/>
  </cols>
  <sheetData>
    <row r="2" customFormat="false" ht="24" hidden="false" customHeight="true" outlineLevel="0" collapsed="false">
      <c r="B2" s="1" t="s">
        <v>0</v>
      </c>
      <c r="C2" s="1"/>
    </row>
    <row r="3" customFormat="false" ht="36" hidden="false" customHeight="tru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  <c r="C4" s="3"/>
    </row>
    <row r="6" customFormat="false" ht="19.5" hidden="false" customHeight="true" outlineLevel="0" collapsed="false">
      <c r="B6" s="4" t="s">
        <v>3</v>
      </c>
      <c r="C6" s="4"/>
    </row>
    <row r="7" customFormat="false" ht="18" hidden="false" customHeight="true" outlineLevel="0" collapsed="false">
      <c r="B7" s="5" t="s">
        <v>4</v>
      </c>
      <c r="C7" s="6" t="s">
        <v>5</v>
      </c>
    </row>
    <row r="8" customFormat="false" ht="18" hidden="false" customHeight="true" outlineLevel="0" collapsed="false">
      <c r="B8" s="5" t="s">
        <v>6</v>
      </c>
      <c r="C8" s="6" t="s">
        <v>7</v>
      </c>
    </row>
    <row r="9" customFormat="false" ht="30" hidden="false" customHeight="true" outlineLevel="0" collapsed="false">
      <c r="B9" s="5" t="s">
        <v>8</v>
      </c>
      <c r="C9" s="6" t="s">
        <v>9</v>
      </c>
    </row>
    <row r="11" customFormat="false" ht="19.5" hidden="false" customHeight="true" outlineLevel="0" collapsed="false">
      <c r="B11" s="4" t="s">
        <v>10</v>
      </c>
      <c r="C11" s="4"/>
    </row>
    <row r="12" customFormat="false" ht="30" hidden="false" customHeight="true" outlineLevel="0" collapsed="false">
      <c r="B12" s="5" t="s">
        <v>11</v>
      </c>
      <c r="C12" s="6" t="s">
        <v>12</v>
      </c>
    </row>
    <row r="13" customFormat="false" ht="30" hidden="false" customHeight="true" outlineLevel="0" collapsed="false">
      <c r="B13" s="5" t="s">
        <v>13</v>
      </c>
      <c r="C13" s="6" t="s">
        <v>14</v>
      </c>
    </row>
    <row r="14" customFormat="false" ht="18" hidden="false" customHeight="true" outlineLevel="0" collapsed="false">
      <c r="B14" s="5" t="s">
        <v>15</v>
      </c>
      <c r="C14" s="6" t="s">
        <v>16</v>
      </c>
    </row>
    <row r="15" customFormat="false" ht="18" hidden="false" customHeight="true" outlineLevel="0" collapsed="false">
      <c r="B15" s="5" t="s">
        <v>17</v>
      </c>
      <c r="C15" s="6" t="s">
        <v>18</v>
      </c>
    </row>
    <row r="17" customFormat="false" ht="19.5" hidden="false" customHeight="true" outlineLevel="0" collapsed="false">
      <c r="B17" s="4" t="s">
        <v>19</v>
      </c>
      <c r="C17" s="4"/>
    </row>
    <row r="18" customFormat="false" ht="18" hidden="false" customHeight="true" outlineLevel="0" collapsed="false">
      <c r="B18" s="7" t="s">
        <v>20</v>
      </c>
      <c r="C18" s="6" t="s">
        <v>21</v>
      </c>
    </row>
    <row r="19" customFormat="false" ht="18" hidden="false" customHeight="true" outlineLevel="0" collapsed="false">
      <c r="B19" s="5" t="s">
        <v>22</v>
      </c>
      <c r="C19" s="6" t="s">
        <v>23</v>
      </c>
    </row>
  </sheetData>
  <mergeCells count="6">
    <mergeCell ref="B2:C2"/>
    <mergeCell ref="B3:C3"/>
    <mergeCell ref="B4:C4"/>
    <mergeCell ref="B6:C6"/>
    <mergeCell ref="B11:C11"/>
    <mergeCell ref="B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K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6" min="4" style="0" width="16"/>
    <col collapsed="false" customWidth="true" hidden="false" outlineLevel="0" max="7" min="7" style="0" width="18"/>
    <col collapsed="false" customWidth="true" hidden="false" outlineLevel="0" max="8" min="8" style="0" width="3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1" min="11" style="0" width="22"/>
  </cols>
  <sheetData>
    <row r="1" customFormat="false" ht="19.7" hidden="false" customHeight="false" outlineLevel="0" collapsed="false">
      <c r="A1" s="8" t="s">
        <v>24</v>
      </c>
    </row>
    <row r="2" customFormat="false" ht="15" hidden="false" customHeight="false" outlineLevel="0" collapsed="false">
      <c r="A2" s="9" t="s">
        <v>25</v>
      </c>
    </row>
    <row r="3" customFormat="false" ht="15" hidden="false" customHeight="false" outlineLevel="0" collapsed="false">
      <c r="B3" s="10" t="s">
        <v>26</v>
      </c>
      <c r="C3" s="11" t="n">
        <v>40000</v>
      </c>
      <c r="D3" s="11"/>
    </row>
    <row r="4" customFormat="false" ht="15" hidden="false" customHeight="false" outlineLevel="0" collapsed="false">
      <c r="B4" s="10" t="s">
        <v>27</v>
      </c>
      <c r="C4" s="12" t="n">
        <v>46300</v>
      </c>
      <c r="D4" s="12"/>
    </row>
    <row r="6" customFormat="false" ht="30" hidden="false" customHeight="true" outlineLevel="0" collapsed="false">
      <c r="B6" s="13" t="s">
        <v>28</v>
      </c>
      <c r="C6" s="13" t="s">
        <v>29</v>
      </c>
      <c r="D6" s="13" t="s">
        <v>30</v>
      </c>
      <c r="E6" s="13" t="s">
        <v>31</v>
      </c>
      <c r="F6" s="13" t="s">
        <v>32</v>
      </c>
    </row>
    <row r="7" customFormat="false" ht="27.75" hidden="false" customHeight="true" outlineLevel="0" collapsed="false">
      <c r="B7" s="14" t="n">
        <f aca="false">SUM(C10:C22)</f>
        <v>465000</v>
      </c>
      <c r="C7" s="14" t="n">
        <f aca="false">SUM(D10:D22)</f>
        <v>571000</v>
      </c>
      <c r="D7" s="14" t="n">
        <f aca="false">MIN(F10:F22)</f>
        <v>-66000</v>
      </c>
      <c r="E7" s="15" t="n">
        <f aca="false">INDEX(B10:B22,MATCH(MIN(F10:F22),F10:F22,0))</f>
        <v>46384</v>
      </c>
      <c r="F7" s="16" t="n">
        <f aca="false">MIN(J10:J22)</f>
        <v>-146000</v>
      </c>
    </row>
    <row r="8" customFormat="false" ht="15" hidden="false" customHeight="false" outlineLevel="0" collapsed="false">
      <c r="B8" s="17" t="s">
        <v>33</v>
      </c>
      <c r="I8" s="17" t="s">
        <v>34</v>
      </c>
    </row>
    <row r="9" customFormat="false" ht="21.75" hidden="false" customHeight="true" outlineLevel="0" collapsed="false">
      <c r="B9" s="18" t="s">
        <v>35</v>
      </c>
      <c r="C9" s="18" t="s">
        <v>36</v>
      </c>
      <c r="D9" s="18" t="s">
        <v>37</v>
      </c>
      <c r="E9" s="18" t="s">
        <v>38</v>
      </c>
      <c r="F9" s="18" t="s">
        <v>39</v>
      </c>
      <c r="I9" s="18" t="s">
        <v>40</v>
      </c>
      <c r="J9" s="18" t="s">
        <v>39</v>
      </c>
      <c r="K9" s="18" t="s">
        <v>41</v>
      </c>
    </row>
    <row r="10" customFormat="false" ht="15" hidden="false" customHeight="false" outlineLevel="0" collapsed="false">
      <c r="B10" s="19" t="n">
        <f aca="false">$C$4+0</f>
        <v>46300</v>
      </c>
      <c r="C10" s="20" t="n">
        <f aca="false">SUMIFS(Dağılım!$B$5:$B$204,Kalemler!$B$5:$B$204,"Giriş")</f>
        <v>85000</v>
      </c>
      <c r="D10" s="20" t="n">
        <f aca="false">SUMIFS(Dağılım!$B$5:$B$204,Kalemler!$B$5:$B$204,"Çıkış")</f>
        <v>42000</v>
      </c>
      <c r="E10" s="20" t="n">
        <f aca="false">C10-D10</f>
        <v>43000</v>
      </c>
      <c r="F10" s="20" t="n">
        <f aca="false">$C$3+E10</f>
        <v>83000</v>
      </c>
      <c r="I10" s="20" t="n">
        <f aca="false">SUMIFS(Dağılım!$B$5:$B$204,Kalemler!$B$5:$B$204,"Giriş",Kalemler!$F$5:$F$204,"Kesin")</f>
        <v>85000</v>
      </c>
      <c r="J10" s="20" t="n">
        <f aca="false">$C$3+I10-D10</f>
        <v>83000</v>
      </c>
      <c r="K10" s="21" t="str">
        <f aca="false">IF(J10&lt;0,"Nakit yetmiyor",IF(F10&lt;0,"Nakit yetmiyor",""))</f>
        <v/>
      </c>
    </row>
    <row r="11" customFormat="false" ht="15" hidden="false" customHeight="false" outlineLevel="0" collapsed="false">
      <c r="B11" s="22" t="n">
        <f aca="false">$C$4+7</f>
        <v>46307</v>
      </c>
      <c r="C11" s="23" t="n">
        <f aca="false">SUMIFS(Dağılım!$C$5:$C$204,Kalemler!$B$5:$B$204,"Giriş")</f>
        <v>25000</v>
      </c>
      <c r="D11" s="23" t="n">
        <f aca="false">SUMIFS(Dağılım!$C$5:$C$204,Kalemler!$B$5:$B$204,"Çıkış")</f>
        <v>12000</v>
      </c>
      <c r="E11" s="23" t="n">
        <f aca="false">C11-D11</f>
        <v>13000</v>
      </c>
      <c r="F11" s="23" t="n">
        <f aca="false">F10+E11</f>
        <v>96000</v>
      </c>
      <c r="I11" s="23" t="n">
        <f aca="false">SUMIFS(Dağılım!$C$5:$C$204,Kalemler!$B$5:$B$204,"Giriş",Kalemler!$F$5:$F$204,"Kesin")</f>
        <v>25000</v>
      </c>
      <c r="J11" s="23" t="n">
        <f aca="false">J10+I11-D11</f>
        <v>96000</v>
      </c>
      <c r="K11" s="24" t="str">
        <f aca="false">IF(J11&lt;0,"Nakit yetmiyor",IF(F11&lt;0,"Nakit yetmiyor",""))</f>
        <v/>
      </c>
    </row>
    <row r="12" customFormat="false" ht="15" hidden="false" customHeight="false" outlineLevel="0" collapsed="false">
      <c r="B12" s="19" t="n">
        <f aca="false">$C$4+14</f>
        <v>46314</v>
      </c>
      <c r="C12" s="20" t="n">
        <f aca="false">SUMIFS(Dağılım!$D$5:$D$204,Kalemler!$B$5:$B$204,"Giriş")</f>
        <v>25000</v>
      </c>
      <c r="D12" s="20" t="n">
        <f aca="false">SUMIFS(Dağılım!$D$5:$D$204,Kalemler!$B$5:$B$204,"Çıkış")</f>
        <v>82000</v>
      </c>
      <c r="E12" s="20" t="n">
        <f aca="false">C12-D12</f>
        <v>-57000</v>
      </c>
      <c r="F12" s="20" t="n">
        <f aca="false">F11+E12</f>
        <v>39000</v>
      </c>
      <c r="I12" s="20" t="n">
        <f aca="false">SUMIFS(Dağılım!$D$5:$D$204,Kalemler!$B$5:$B$204,"Giriş",Kalemler!$F$5:$F$204,"Kesin")</f>
        <v>25000</v>
      </c>
      <c r="J12" s="20" t="n">
        <f aca="false">J11+I12-D12</f>
        <v>39000</v>
      </c>
      <c r="K12" s="21" t="str">
        <f aca="false">IF(J12&lt;0,"Nakit yetmiyor",IF(F12&lt;0,"Nakit yetmiyor",""))</f>
        <v/>
      </c>
    </row>
    <row r="13" customFormat="false" ht="15" hidden="false" customHeight="false" outlineLevel="0" collapsed="false">
      <c r="B13" s="22" t="n">
        <f aca="false">$C$4+21</f>
        <v>46321</v>
      </c>
      <c r="C13" s="23" t="n">
        <f aca="false">SUMIFS(Dağılım!$E$5:$E$204,Kalemler!$B$5:$B$204,"Giriş")</f>
        <v>25000</v>
      </c>
      <c r="D13" s="23" t="n">
        <f aca="false">SUMIFS(Dağılım!$E$5:$E$204,Kalemler!$B$5:$B$204,"Çıkış")</f>
        <v>97000</v>
      </c>
      <c r="E13" s="23" t="n">
        <f aca="false">C13-D13</f>
        <v>-72000</v>
      </c>
      <c r="F13" s="23" t="n">
        <f aca="false">F12+E13</f>
        <v>-33000</v>
      </c>
      <c r="I13" s="23" t="n">
        <f aca="false">SUMIFS(Dağılım!$E$5:$E$204,Kalemler!$B$5:$B$204,"Giriş",Kalemler!$F$5:$F$204,"Kesin")</f>
        <v>25000</v>
      </c>
      <c r="J13" s="23" t="n">
        <f aca="false">J12+I13-D13</f>
        <v>-33000</v>
      </c>
      <c r="K13" s="24" t="str">
        <f aca="false">IF(J13&lt;0,"Nakit yetmiyor",IF(F13&lt;0,"Nakit yetmiyor",""))</f>
        <v>Nakit yetmiyor</v>
      </c>
    </row>
    <row r="14" customFormat="false" ht="15" hidden="false" customHeight="false" outlineLevel="0" collapsed="false">
      <c r="B14" s="19" t="n">
        <f aca="false">$C$4+28</f>
        <v>46328</v>
      </c>
      <c r="C14" s="20" t="n">
        <f aca="false">SUMIFS(Dağılım!$F$5:$F$204,Kalemler!$B$5:$B$204,"Giriş")</f>
        <v>25000</v>
      </c>
      <c r="D14" s="20" t="n">
        <f aca="false">SUMIFS(Dağılım!$F$5:$F$204,Kalemler!$B$5:$B$204,"Çıkış")</f>
        <v>42000</v>
      </c>
      <c r="E14" s="20" t="n">
        <f aca="false">C14-D14</f>
        <v>-17000</v>
      </c>
      <c r="F14" s="20" t="n">
        <f aca="false">F13+E14</f>
        <v>-50000</v>
      </c>
      <c r="I14" s="20" t="n">
        <f aca="false">SUMIFS(Dağılım!$F$5:$F$204,Kalemler!$B$5:$B$204,"Giriş",Kalemler!$F$5:$F$204,"Kesin")</f>
        <v>25000</v>
      </c>
      <c r="J14" s="20" t="n">
        <f aca="false">J13+I14-D14</f>
        <v>-50000</v>
      </c>
      <c r="K14" s="21" t="str">
        <f aca="false">IF(J14&lt;0,"Nakit yetmiyor",IF(F14&lt;0,"Nakit yetmiyor",""))</f>
        <v>Nakit yetmiyor</v>
      </c>
    </row>
    <row r="15" customFormat="false" ht="15" hidden="false" customHeight="false" outlineLevel="0" collapsed="false">
      <c r="B15" s="22" t="n">
        <f aca="false">$C$4+35</f>
        <v>46335</v>
      </c>
      <c r="C15" s="23" t="n">
        <f aca="false">SUMIFS(Dağılım!$G$5:$G$204,Kalemler!$B$5:$B$204,"Giriş")</f>
        <v>105000</v>
      </c>
      <c r="D15" s="23" t="n">
        <f aca="false">SUMIFS(Dağılım!$G$5:$G$204,Kalemler!$B$5:$B$204,"Çıkış")</f>
        <v>12000</v>
      </c>
      <c r="E15" s="23" t="n">
        <f aca="false">C15-D15</f>
        <v>93000</v>
      </c>
      <c r="F15" s="23" t="n">
        <f aca="false">F14+E15</f>
        <v>43000</v>
      </c>
      <c r="I15" s="23" t="n">
        <f aca="false">SUMIFS(Dağılım!$G$5:$G$204,Kalemler!$B$5:$B$204,"Giriş",Kalemler!$F$5:$F$204,"Kesin")</f>
        <v>25000</v>
      </c>
      <c r="J15" s="23" t="n">
        <f aca="false">J14+I15-D15</f>
        <v>-37000</v>
      </c>
      <c r="K15" s="24" t="str">
        <f aca="false">IF(J15&lt;0,"Nakit yetmiyor",IF(F15&lt;0,"Nakit yetmiyor",""))</f>
        <v>Nakit yetmiyor</v>
      </c>
    </row>
    <row r="16" customFormat="false" ht="15" hidden="false" customHeight="false" outlineLevel="0" collapsed="false">
      <c r="B16" s="19" t="n">
        <f aca="false">$C$4+42</f>
        <v>46342</v>
      </c>
      <c r="C16" s="20" t="n">
        <f aca="false">SUMIFS(Dağılım!$H$5:$H$204,Kalemler!$B$5:$B$204,"Giriş")</f>
        <v>25000</v>
      </c>
      <c r="D16" s="20" t="n">
        <f aca="false">SUMIFS(Dağılım!$H$5:$H$204,Kalemler!$B$5:$B$204,"Çıkış")</f>
        <v>12000</v>
      </c>
      <c r="E16" s="20" t="n">
        <f aca="false">C16-D16</f>
        <v>13000</v>
      </c>
      <c r="F16" s="20" t="n">
        <f aca="false">F15+E16</f>
        <v>56000</v>
      </c>
      <c r="I16" s="20" t="n">
        <f aca="false">SUMIFS(Dağılım!$H$5:$H$204,Kalemler!$B$5:$B$204,"Giriş",Kalemler!$F$5:$F$204,"Kesin")</f>
        <v>25000</v>
      </c>
      <c r="J16" s="20" t="n">
        <f aca="false">J15+I16-D16</f>
        <v>-24000</v>
      </c>
      <c r="K16" s="21" t="str">
        <f aca="false">IF(J16&lt;0,"Nakit yetmiyor",IF(F16&lt;0,"Nakit yetmiyor",""))</f>
        <v>Nakit yetmiyor</v>
      </c>
    </row>
    <row r="17" customFormat="false" ht="15" hidden="false" customHeight="false" outlineLevel="0" collapsed="false">
      <c r="B17" s="22" t="n">
        <f aca="false">$C$4+49</f>
        <v>46349</v>
      </c>
      <c r="C17" s="23" t="n">
        <f aca="false">SUMIFS(Dağılım!$I$5:$I$204,Kalemler!$B$5:$B$204,"Giriş")</f>
        <v>25000</v>
      </c>
      <c r="D17" s="23" t="n">
        <f aca="false">SUMIFS(Dağılım!$I$5:$I$204,Kalemler!$B$5:$B$204,"Çıkış")</f>
        <v>12000</v>
      </c>
      <c r="E17" s="23" t="n">
        <f aca="false">C17-D17</f>
        <v>13000</v>
      </c>
      <c r="F17" s="23" t="n">
        <f aca="false">F16+E17</f>
        <v>69000</v>
      </c>
      <c r="I17" s="23" t="n">
        <f aca="false">SUMIFS(Dağılım!$I$5:$I$204,Kalemler!$B$5:$B$204,"Giriş",Kalemler!$F$5:$F$204,"Kesin")</f>
        <v>25000</v>
      </c>
      <c r="J17" s="23" t="n">
        <f aca="false">J16+I17-D17</f>
        <v>-11000</v>
      </c>
      <c r="K17" s="24" t="str">
        <f aca="false">IF(J17&lt;0,"Nakit yetmiyor",IF(F17&lt;0,"Nakit yetmiyor",""))</f>
        <v>Nakit yetmiyor</v>
      </c>
    </row>
    <row r="18" customFormat="false" ht="15" hidden="false" customHeight="false" outlineLevel="0" collapsed="false">
      <c r="B18" s="19" t="n">
        <f aca="false">$C$4+56</f>
        <v>46356</v>
      </c>
      <c r="C18" s="20" t="n">
        <f aca="false">SUMIFS(Dağılım!$J$5:$J$204,Kalemler!$B$5:$B$204,"Giriş")</f>
        <v>25000</v>
      </c>
      <c r="D18" s="20" t="n">
        <f aca="false">SUMIFS(Dağılım!$J$5:$J$204,Kalemler!$B$5:$B$204,"Çıkış")</f>
        <v>127000</v>
      </c>
      <c r="E18" s="20" t="n">
        <f aca="false">C18-D18</f>
        <v>-102000</v>
      </c>
      <c r="F18" s="20" t="n">
        <f aca="false">F17+E18</f>
        <v>-33000</v>
      </c>
      <c r="I18" s="20" t="n">
        <f aca="false">SUMIFS(Dağılım!$J$5:$J$204,Kalemler!$B$5:$B$204,"Giriş",Kalemler!$F$5:$F$204,"Kesin")</f>
        <v>25000</v>
      </c>
      <c r="J18" s="20" t="n">
        <f aca="false">J17+I18-D18</f>
        <v>-113000</v>
      </c>
      <c r="K18" s="21" t="str">
        <f aca="false">IF(J18&lt;0,"Nakit yetmiyor",IF(F18&lt;0,"Nakit yetmiyor",""))</f>
        <v>Nakit yetmiyor</v>
      </c>
    </row>
    <row r="19" customFormat="false" ht="15" hidden="false" customHeight="false" outlineLevel="0" collapsed="false">
      <c r="B19" s="22" t="n">
        <f aca="false">$C$4+63</f>
        <v>46363</v>
      </c>
      <c r="C19" s="23" t="n">
        <f aca="false">SUMIFS(Dağılım!$K$5:$K$204,Kalemler!$B$5:$B$204,"Giriş")</f>
        <v>25000</v>
      </c>
      <c r="D19" s="23" t="n">
        <f aca="false">SUMIFS(Dağılım!$K$5:$K$204,Kalemler!$B$5:$B$204,"Çıkış")</f>
        <v>12000</v>
      </c>
      <c r="E19" s="23" t="n">
        <f aca="false">C19-D19</f>
        <v>13000</v>
      </c>
      <c r="F19" s="23" t="n">
        <f aca="false">F18+E19</f>
        <v>-20000</v>
      </c>
      <c r="I19" s="23" t="n">
        <f aca="false">SUMIFS(Dağılım!$K$5:$K$204,Kalemler!$B$5:$B$204,"Giriş",Kalemler!$F$5:$F$204,"Kesin")</f>
        <v>25000</v>
      </c>
      <c r="J19" s="23" t="n">
        <f aca="false">J18+I19-D19</f>
        <v>-100000</v>
      </c>
      <c r="K19" s="24" t="str">
        <f aca="false">IF(J19&lt;0,"Nakit yetmiyor",IF(F19&lt;0,"Nakit yetmiyor",""))</f>
        <v>Nakit yetmiyor</v>
      </c>
    </row>
    <row r="20" customFormat="false" ht="15" hidden="false" customHeight="false" outlineLevel="0" collapsed="false">
      <c r="B20" s="19" t="n">
        <f aca="false">$C$4+70</f>
        <v>46370</v>
      </c>
      <c r="C20" s="20" t="n">
        <f aca="false">SUMIFS(Dağılım!$L$5:$L$204,Kalemler!$B$5:$B$204,"Giriş")</f>
        <v>25000</v>
      </c>
      <c r="D20" s="20" t="n">
        <f aca="false">SUMIFS(Dağılım!$L$5:$L$204,Kalemler!$B$5:$B$204,"Çıkış")</f>
        <v>12000</v>
      </c>
      <c r="E20" s="20" t="n">
        <f aca="false">C20-D20</f>
        <v>13000</v>
      </c>
      <c r="F20" s="20" t="n">
        <f aca="false">F19+E20</f>
        <v>-7000</v>
      </c>
      <c r="I20" s="20" t="n">
        <f aca="false">SUMIFS(Dağılım!$L$5:$L$204,Kalemler!$B$5:$B$204,"Giriş",Kalemler!$F$5:$F$204,"Kesin")</f>
        <v>25000</v>
      </c>
      <c r="J20" s="20" t="n">
        <f aca="false">J19+I20-D20</f>
        <v>-87000</v>
      </c>
      <c r="K20" s="21" t="str">
        <f aca="false">IF(J20&lt;0,"Nakit yetmiyor",IF(F20&lt;0,"Nakit yetmiyor",""))</f>
        <v>Nakit yetmiyor</v>
      </c>
    </row>
    <row r="21" customFormat="false" ht="15" hidden="false" customHeight="false" outlineLevel="0" collapsed="false">
      <c r="B21" s="22" t="n">
        <f aca="false">$C$4+77</f>
        <v>46377</v>
      </c>
      <c r="C21" s="23" t="n">
        <f aca="false">SUMIFS(Dağılım!$M$5:$M$204,Kalemler!$B$5:$B$204,"Giriş")</f>
        <v>25000</v>
      </c>
      <c r="D21" s="23" t="n">
        <f aca="false">SUMIFS(Dağılım!$M$5:$M$204,Kalemler!$B$5:$B$204,"Çıkış")</f>
        <v>12000</v>
      </c>
      <c r="E21" s="23" t="n">
        <f aca="false">C21-D21</f>
        <v>13000</v>
      </c>
      <c r="F21" s="23" t="n">
        <f aca="false">F20+E21</f>
        <v>6000</v>
      </c>
      <c r="I21" s="23" t="n">
        <f aca="false">SUMIFS(Dağılım!$M$5:$M$204,Kalemler!$B$5:$B$204,"Giriş",Kalemler!$F$5:$F$204,"Kesin")</f>
        <v>25000</v>
      </c>
      <c r="J21" s="23" t="n">
        <f aca="false">J20+I21-D21</f>
        <v>-74000</v>
      </c>
      <c r="K21" s="24" t="str">
        <f aca="false">IF(J21&lt;0,"Nakit yetmiyor",IF(F21&lt;0,"Nakit yetmiyor",""))</f>
        <v>Nakit yetmiyor</v>
      </c>
    </row>
    <row r="22" customFormat="false" ht="15" hidden="false" customHeight="false" outlineLevel="0" collapsed="false">
      <c r="B22" s="19" t="n">
        <f aca="false">$C$4+84</f>
        <v>46384</v>
      </c>
      <c r="C22" s="20" t="n">
        <f aca="false">SUMIFS(Dağılım!$N$5:$N$204,Kalemler!$B$5:$B$204,"Giriş")</f>
        <v>25000</v>
      </c>
      <c r="D22" s="20" t="n">
        <f aca="false">SUMIFS(Dağılım!$N$5:$N$204,Kalemler!$B$5:$B$204,"Çıkış")</f>
        <v>97000</v>
      </c>
      <c r="E22" s="20" t="n">
        <f aca="false">C22-D22</f>
        <v>-72000</v>
      </c>
      <c r="F22" s="20" t="n">
        <f aca="false">F21+E22</f>
        <v>-66000</v>
      </c>
      <c r="I22" s="20" t="n">
        <f aca="false">SUMIFS(Dağılım!$N$5:$N$204,Kalemler!$B$5:$B$204,"Giriş",Kalemler!$F$5:$F$204,"Kesin")</f>
        <v>25000</v>
      </c>
      <c r="J22" s="20" t="n">
        <f aca="false">J21+I22-D22</f>
        <v>-146000</v>
      </c>
      <c r="K22" s="21" t="str">
        <f aca="false">IF(J22&lt;0,"Nakit yetmiyor",IF(F22&lt;0,"Nakit yetmiyor",""))</f>
        <v>Nakit yetmiyor</v>
      </c>
    </row>
  </sheetData>
  <mergeCells count="2">
    <mergeCell ref="C3:D3"/>
    <mergeCell ref="C4:D4"/>
  </mergeCells>
  <conditionalFormatting sqref="K10:K22">
    <cfRule type="cellIs" priority="2" operator="equal" aboveAverage="0" equalAverage="0" bottom="0" percent="0" rank="0" text="" dxfId="0">
      <formula>"Nakit yetmiyor"</formula>
    </cfRule>
  </conditionalFormatting>
  <conditionalFormatting sqref="F10:F22">
    <cfRule type="expression" priority="3" aboveAverage="0" equalAverage="0" bottom="0" percent="0" rank="0" text="" dxfId="1">
      <formula>F10&lt;0</formula>
    </cfRule>
  </conditionalFormatting>
  <conditionalFormatting sqref="J10:J22">
    <cfRule type="expression" priority="4" aboveAverage="0" equalAverage="0" bottom="0" percent="0" rank="0" text="" dxfId="1">
      <formula>J10&lt;0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F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4"/>
  </cols>
  <sheetData>
    <row r="1" customFormat="false" ht="19.7" hidden="false" customHeight="false" outlineLevel="0" collapsed="false">
      <c r="A1" s="8" t="s">
        <v>42</v>
      </c>
    </row>
    <row r="2" customFormat="false" ht="15" hidden="false" customHeight="false" outlineLevel="0" collapsed="false">
      <c r="A2" s="9" t="s">
        <v>43</v>
      </c>
    </row>
    <row r="4" customFormat="false" ht="27.75" hidden="false" customHeight="true" outlineLevel="0" collapsed="false">
      <c r="A4" s="18" t="s">
        <v>44</v>
      </c>
      <c r="B4" s="18" t="s">
        <v>45</v>
      </c>
      <c r="C4" s="18" t="s">
        <v>46</v>
      </c>
      <c r="D4" s="18" t="s">
        <v>47</v>
      </c>
      <c r="E4" s="18" t="s">
        <v>48</v>
      </c>
      <c r="F4" s="18" t="s">
        <v>49</v>
      </c>
    </row>
    <row r="5" customFormat="false" ht="15" hidden="false" customHeight="false" outlineLevel="0" collapsed="false">
      <c r="A5" s="25" t="s">
        <v>50</v>
      </c>
      <c r="B5" s="26" t="s">
        <v>51</v>
      </c>
      <c r="C5" s="27" t="n">
        <v>60000</v>
      </c>
      <c r="D5" s="28" t="n">
        <v>46304</v>
      </c>
      <c r="E5" s="26" t="s">
        <v>52</v>
      </c>
      <c r="F5" s="26" t="s">
        <v>53</v>
      </c>
    </row>
    <row r="6" customFormat="false" ht="15" hidden="false" customHeight="false" outlineLevel="0" collapsed="false">
      <c r="A6" s="25" t="s">
        <v>54</v>
      </c>
      <c r="B6" s="26" t="s">
        <v>51</v>
      </c>
      <c r="C6" s="27" t="n">
        <v>25000</v>
      </c>
      <c r="D6" s="28" t="n">
        <v>46300</v>
      </c>
      <c r="E6" s="26" t="s">
        <v>55</v>
      </c>
      <c r="F6" s="26" t="s">
        <v>53</v>
      </c>
    </row>
    <row r="7" customFormat="false" ht="15" hidden="false" customHeight="false" outlineLevel="0" collapsed="false">
      <c r="A7" s="25" t="s">
        <v>56</v>
      </c>
      <c r="B7" s="26" t="s">
        <v>51</v>
      </c>
      <c r="C7" s="27" t="n">
        <v>80000</v>
      </c>
      <c r="D7" s="28" t="n">
        <v>46336</v>
      </c>
      <c r="E7" s="26" t="s">
        <v>52</v>
      </c>
      <c r="F7" s="26" t="s">
        <v>57</v>
      </c>
    </row>
    <row r="8" customFormat="false" ht="15" hidden="false" customHeight="false" outlineLevel="0" collapsed="false">
      <c r="A8" s="25" t="s">
        <v>58</v>
      </c>
      <c r="B8" s="26" t="s">
        <v>59</v>
      </c>
      <c r="C8" s="27" t="n">
        <v>30000</v>
      </c>
      <c r="D8" s="28" t="n">
        <v>46300</v>
      </c>
      <c r="E8" s="26" t="s">
        <v>60</v>
      </c>
      <c r="F8" s="26" t="s">
        <v>53</v>
      </c>
    </row>
    <row r="9" customFormat="false" ht="15" hidden="false" customHeight="false" outlineLevel="0" collapsed="false">
      <c r="A9" s="25" t="s">
        <v>61</v>
      </c>
      <c r="B9" s="26" t="s">
        <v>59</v>
      </c>
      <c r="C9" s="27" t="n">
        <v>85000</v>
      </c>
      <c r="D9" s="28" t="n">
        <v>46326</v>
      </c>
      <c r="E9" s="26" t="s">
        <v>60</v>
      </c>
      <c r="F9" s="26" t="s">
        <v>53</v>
      </c>
    </row>
    <row r="10" customFormat="false" ht="15" hidden="false" customHeight="false" outlineLevel="0" collapsed="false">
      <c r="A10" s="25" t="s">
        <v>62</v>
      </c>
      <c r="B10" s="26" t="s">
        <v>59</v>
      </c>
      <c r="C10" s="27" t="n">
        <v>70000</v>
      </c>
      <c r="D10" s="28" t="n">
        <v>46315</v>
      </c>
      <c r="E10" s="26" t="s">
        <v>52</v>
      </c>
      <c r="F10" s="26" t="s">
        <v>53</v>
      </c>
    </row>
    <row r="11" customFormat="false" ht="15" hidden="false" customHeight="false" outlineLevel="0" collapsed="false">
      <c r="A11" s="25" t="s">
        <v>63</v>
      </c>
      <c r="B11" s="26" t="s">
        <v>59</v>
      </c>
      <c r="C11" s="27" t="n">
        <v>12000</v>
      </c>
      <c r="D11" s="28" t="n">
        <v>46302</v>
      </c>
      <c r="E11" s="26" t="s">
        <v>55</v>
      </c>
      <c r="F11" s="26" t="s">
        <v>53</v>
      </c>
    </row>
    <row r="12" customFormat="false" ht="15" hidden="false" customHeight="false" outlineLevel="0" collapsed="false">
      <c r="A12" s="25"/>
      <c r="B12" s="26"/>
      <c r="C12" s="27"/>
      <c r="D12" s="28"/>
      <c r="E12" s="26"/>
      <c r="F12" s="26"/>
    </row>
    <row r="13" customFormat="false" ht="15" hidden="false" customHeight="false" outlineLevel="0" collapsed="false">
      <c r="A13" s="25"/>
      <c r="B13" s="26"/>
      <c r="C13" s="27"/>
      <c r="D13" s="28"/>
      <c r="E13" s="26"/>
      <c r="F13" s="26"/>
    </row>
    <row r="14" customFormat="false" ht="15" hidden="false" customHeight="false" outlineLevel="0" collapsed="false">
      <c r="A14" s="25"/>
      <c r="B14" s="26"/>
      <c r="C14" s="27"/>
      <c r="D14" s="28"/>
      <c r="E14" s="26"/>
      <c r="F14" s="26"/>
    </row>
    <row r="15" customFormat="false" ht="15" hidden="false" customHeight="false" outlineLevel="0" collapsed="false">
      <c r="A15" s="25"/>
      <c r="B15" s="26"/>
      <c r="C15" s="27"/>
      <c r="D15" s="28"/>
      <c r="E15" s="26"/>
      <c r="F15" s="26"/>
    </row>
    <row r="16" customFormat="false" ht="15" hidden="false" customHeight="false" outlineLevel="0" collapsed="false">
      <c r="A16" s="25"/>
      <c r="B16" s="26"/>
      <c r="C16" s="27"/>
      <c r="D16" s="28"/>
      <c r="E16" s="26"/>
      <c r="F16" s="26"/>
    </row>
    <row r="17" customFormat="false" ht="15" hidden="false" customHeight="false" outlineLevel="0" collapsed="false">
      <c r="A17" s="25"/>
      <c r="B17" s="26"/>
      <c r="C17" s="27"/>
      <c r="D17" s="28"/>
      <c r="E17" s="26"/>
      <c r="F17" s="26"/>
    </row>
    <row r="18" customFormat="false" ht="15" hidden="false" customHeight="false" outlineLevel="0" collapsed="false">
      <c r="A18" s="25"/>
      <c r="B18" s="26"/>
      <c r="C18" s="27"/>
      <c r="D18" s="28"/>
      <c r="E18" s="26"/>
      <c r="F18" s="26"/>
    </row>
    <row r="19" customFormat="false" ht="15" hidden="false" customHeight="false" outlineLevel="0" collapsed="false">
      <c r="A19" s="25"/>
      <c r="B19" s="26"/>
      <c r="C19" s="27"/>
      <c r="D19" s="28"/>
      <c r="E19" s="26"/>
      <c r="F19" s="26"/>
    </row>
    <row r="20" customFormat="false" ht="15" hidden="false" customHeight="false" outlineLevel="0" collapsed="false">
      <c r="A20" s="25"/>
      <c r="B20" s="26"/>
      <c r="C20" s="27"/>
      <c r="D20" s="28"/>
      <c r="E20" s="26"/>
      <c r="F20" s="26"/>
    </row>
    <row r="21" customFormat="false" ht="15" hidden="false" customHeight="false" outlineLevel="0" collapsed="false">
      <c r="A21" s="25"/>
      <c r="B21" s="26"/>
      <c r="C21" s="27"/>
      <c r="D21" s="28"/>
      <c r="E21" s="26"/>
      <c r="F21" s="26"/>
    </row>
    <row r="22" customFormat="false" ht="15" hidden="false" customHeight="false" outlineLevel="0" collapsed="false">
      <c r="A22" s="25"/>
      <c r="B22" s="26"/>
      <c r="C22" s="27"/>
      <c r="D22" s="28"/>
      <c r="E22" s="26"/>
      <c r="F22" s="26"/>
    </row>
    <row r="23" customFormat="false" ht="15" hidden="false" customHeight="false" outlineLevel="0" collapsed="false">
      <c r="A23" s="25"/>
      <c r="B23" s="26"/>
      <c r="C23" s="27"/>
      <c r="D23" s="28"/>
      <c r="E23" s="26"/>
      <c r="F23" s="26"/>
    </row>
    <row r="24" customFormat="false" ht="15" hidden="false" customHeight="false" outlineLevel="0" collapsed="false">
      <c r="A24" s="25"/>
      <c r="B24" s="26"/>
      <c r="C24" s="27"/>
      <c r="D24" s="28"/>
      <c r="E24" s="26"/>
      <c r="F24" s="26"/>
    </row>
    <row r="25" customFormat="false" ht="15" hidden="false" customHeight="false" outlineLevel="0" collapsed="false">
      <c r="A25" s="25"/>
      <c r="B25" s="26"/>
      <c r="C25" s="27"/>
      <c r="D25" s="28"/>
      <c r="E25" s="26"/>
      <c r="F25" s="26"/>
    </row>
    <row r="26" customFormat="false" ht="15" hidden="false" customHeight="false" outlineLevel="0" collapsed="false">
      <c r="A26" s="25"/>
      <c r="B26" s="26"/>
      <c r="C26" s="27"/>
      <c r="D26" s="28"/>
      <c r="E26" s="26"/>
      <c r="F26" s="26"/>
    </row>
    <row r="27" customFormat="false" ht="15" hidden="false" customHeight="false" outlineLevel="0" collapsed="false">
      <c r="A27" s="25"/>
      <c r="B27" s="26"/>
      <c r="C27" s="27"/>
      <c r="D27" s="28"/>
      <c r="E27" s="26"/>
      <c r="F27" s="26"/>
    </row>
    <row r="28" customFormat="false" ht="15" hidden="false" customHeight="false" outlineLevel="0" collapsed="false">
      <c r="A28" s="25"/>
      <c r="B28" s="26"/>
      <c r="C28" s="27"/>
      <c r="D28" s="28"/>
      <c r="E28" s="26"/>
      <c r="F28" s="26"/>
    </row>
    <row r="29" customFormat="false" ht="15" hidden="false" customHeight="false" outlineLevel="0" collapsed="false">
      <c r="A29" s="25"/>
      <c r="B29" s="26"/>
      <c r="C29" s="27"/>
      <c r="D29" s="28"/>
      <c r="E29" s="26"/>
      <c r="F29" s="26"/>
    </row>
    <row r="30" customFormat="false" ht="15" hidden="false" customHeight="false" outlineLevel="0" collapsed="false">
      <c r="A30" s="25"/>
      <c r="B30" s="26"/>
      <c r="C30" s="27"/>
      <c r="D30" s="28"/>
      <c r="E30" s="26"/>
      <c r="F30" s="26"/>
    </row>
    <row r="31" customFormat="false" ht="15" hidden="false" customHeight="false" outlineLevel="0" collapsed="false">
      <c r="A31" s="25"/>
      <c r="B31" s="26"/>
      <c r="C31" s="27"/>
      <c r="D31" s="28"/>
      <c r="E31" s="26"/>
      <c r="F31" s="26"/>
    </row>
    <row r="32" customFormat="false" ht="15" hidden="false" customHeight="false" outlineLevel="0" collapsed="false">
      <c r="A32" s="25"/>
      <c r="B32" s="26"/>
      <c r="C32" s="27"/>
      <c r="D32" s="28"/>
      <c r="E32" s="26"/>
      <c r="F32" s="26"/>
    </row>
    <row r="33" customFormat="false" ht="15" hidden="false" customHeight="false" outlineLevel="0" collapsed="false">
      <c r="A33" s="25"/>
      <c r="B33" s="26"/>
      <c r="C33" s="27"/>
      <c r="D33" s="28"/>
      <c r="E33" s="26"/>
      <c r="F33" s="26"/>
    </row>
    <row r="34" customFormat="false" ht="15" hidden="false" customHeight="false" outlineLevel="0" collapsed="false">
      <c r="A34" s="25"/>
      <c r="B34" s="26"/>
      <c r="C34" s="27"/>
      <c r="D34" s="28"/>
      <c r="E34" s="26"/>
      <c r="F34" s="26"/>
    </row>
    <row r="35" customFormat="false" ht="15" hidden="false" customHeight="false" outlineLevel="0" collapsed="false">
      <c r="A35" s="25"/>
      <c r="B35" s="26"/>
      <c r="C35" s="27"/>
      <c r="D35" s="28"/>
      <c r="E35" s="26"/>
      <c r="F35" s="26"/>
    </row>
    <row r="36" customFormat="false" ht="15" hidden="false" customHeight="false" outlineLevel="0" collapsed="false">
      <c r="A36" s="25"/>
      <c r="B36" s="26"/>
      <c r="C36" s="27"/>
      <c r="D36" s="28"/>
      <c r="E36" s="26"/>
      <c r="F36" s="26"/>
    </row>
    <row r="37" customFormat="false" ht="15" hidden="false" customHeight="false" outlineLevel="0" collapsed="false">
      <c r="A37" s="25"/>
      <c r="B37" s="26"/>
      <c r="C37" s="27"/>
      <c r="D37" s="28"/>
      <c r="E37" s="26"/>
      <c r="F37" s="26"/>
    </row>
    <row r="38" customFormat="false" ht="15" hidden="false" customHeight="false" outlineLevel="0" collapsed="false">
      <c r="A38" s="25"/>
      <c r="B38" s="26"/>
      <c r="C38" s="27"/>
      <c r="D38" s="28"/>
      <c r="E38" s="26"/>
      <c r="F38" s="26"/>
    </row>
    <row r="39" customFormat="false" ht="15" hidden="false" customHeight="false" outlineLevel="0" collapsed="false">
      <c r="A39" s="25"/>
      <c r="B39" s="26"/>
      <c r="C39" s="27"/>
      <c r="D39" s="28"/>
      <c r="E39" s="26"/>
      <c r="F39" s="26"/>
    </row>
    <row r="40" customFormat="false" ht="15" hidden="false" customHeight="false" outlineLevel="0" collapsed="false">
      <c r="A40" s="25"/>
      <c r="B40" s="26"/>
      <c r="C40" s="27"/>
      <c r="D40" s="28"/>
      <c r="E40" s="26"/>
      <c r="F40" s="26"/>
    </row>
    <row r="41" customFormat="false" ht="15" hidden="false" customHeight="false" outlineLevel="0" collapsed="false">
      <c r="A41" s="25"/>
      <c r="B41" s="26"/>
      <c r="C41" s="27"/>
      <c r="D41" s="28"/>
      <c r="E41" s="26"/>
      <c r="F41" s="26"/>
    </row>
    <row r="42" customFormat="false" ht="15" hidden="false" customHeight="false" outlineLevel="0" collapsed="false">
      <c r="A42" s="25"/>
      <c r="B42" s="26"/>
      <c r="C42" s="27"/>
      <c r="D42" s="28"/>
      <c r="E42" s="26"/>
      <c r="F42" s="26"/>
    </row>
    <row r="43" customFormat="false" ht="15" hidden="false" customHeight="false" outlineLevel="0" collapsed="false">
      <c r="A43" s="25"/>
      <c r="B43" s="26"/>
      <c r="C43" s="27"/>
      <c r="D43" s="28"/>
      <c r="E43" s="26"/>
      <c r="F43" s="26"/>
    </row>
    <row r="44" customFormat="false" ht="15" hidden="false" customHeight="false" outlineLevel="0" collapsed="false">
      <c r="A44" s="25"/>
      <c r="B44" s="26"/>
      <c r="C44" s="27"/>
      <c r="D44" s="28"/>
      <c r="E44" s="26"/>
      <c r="F44" s="26"/>
    </row>
    <row r="45" customFormat="false" ht="15" hidden="false" customHeight="false" outlineLevel="0" collapsed="false">
      <c r="A45" s="25"/>
      <c r="B45" s="26"/>
      <c r="C45" s="27"/>
      <c r="D45" s="28"/>
      <c r="E45" s="26"/>
      <c r="F45" s="26"/>
    </row>
    <row r="46" customFormat="false" ht="15" hidden="false" customHeight="false" outlineLevel="0" collapsed="false">
      <c r="A46" s="25"/>
      <c r="B46" s="26"/>
      <c r="C46" s="27"/>
      <c r="D46" s="28"/>
      <c r="E46" s="26"/>
      <c r="F46" s="26"/>
    </row>
    <row r="47" customFormat="false" ht="15" hidden="false" customHeight="false" outlineLevel="0" collapsed="false">
      <c r="A47" s="25"/>
      <c r="B47" s="26"/>
      <c r="C47" s="27"/>
      <c r="D47" s="28"/>
      <c r="E47" s="26"/>
      <c r="F47" s="26"/>
    </row>
    <row r="48" customFormat="false" ht="15" hidden="false" customHeight="false" outlineLevel="0" collapsed="false">
      <c r="A48" s="25"/>
      <c r="B48" s="26"/>
      <c r="C48" s="27"/>
      <c r="D48" s="28"/>
      <c r="E48" s="26"/>
      <c r="F48" s="26"/>
    </row>
    <row r="49" customFormat="false" ht="15" hidden="false" customHeight="false" outlineLevel="0" collapsed="false">
      <c r="A49" s="25"/>
      <c r="B49" s="26"/>
      <c r="C49" s="27"/>
      <c r="D49" s="28"/>
      <c r="E49" s="26"/>
      <c r="F49" s="26"/>
    </row>
    <row r="50" customFormat="false" ht="15" hidden="false" customHeight="false" outlineLevel="0" collapsed="false">
      <c r="A50" s="25"/>
      <c r="B50" s="26"/>
      <c r="C50" s="27"/>
      <c r="D50" s="28"/>
      <c r="E50" s="26"/>
      <c r="F50" s="26"/>
    </row>
    <row r="51" customFormat="false" ht="15" hidden="false" customHeight="false" outlineLevel="0" collapsed="false">
      <c r="A51" s="25"/>
      <c r="B51" s="26"/>
      <c r="C51" s="27"/>
      <c r="D51" s="28"/>
      <c r="E51" s="26"/>
      <c r="F51" s="26"/>
    </row>
    <row r="52" customFormat="false" ht="15" hidden="false" customHeight="false" outlineLevel="0" collapsed="false">
      <c r="A52" s="25"/>
      <c r="B52" s="26"/>
      <c r="C52" s="27"/>
      <c r="D52" s="28"/>
      <c r="E52" s="26"/>
      <c r="F52" s="26"/>
    </row>
    <row r="53" customFormat="false" ht="15" hidden="false" customHeight="false" outlineLevel="0" collapsed="false">
      <c r="A53" s="25"/>
      <c r="B53" s="26"/>
      <c r="C53" s="27"/>
      <c r="D53" s="28"/>
      <c r="E53" s="26"/>
      <c r="F53" s="26"/>
    </row>
    <row r="54" customFormat="false" ht="15" hidden="false" customHeight="false" outlineLevel="0" collapsed="false">
      <c r="A54" s="25"/>
      <c r="B54" s="26"/>
      <c r="C54" s="27"/>
      <c r="D54" s="28"/>
      <c r="E54" s="26"/>
      <c r="F54" s="26"/>
    </row>
    <row r="55" customFormat="false" ht="15" hidden="false" customHeight="false" outlineLevel="0" collapsed="false">
      <c r="A55" s="25"/>
      <c r="B55" s="26"/>
      <c r="C55" s="27"/>
      <c r="D55" s="28"/>
      <c r="E55" s="26"/>
      <c r="F55" s="26"/>
    </row>
    <row r="56" customFormat="false" ht="15" hidden="false" customHeight="false" outlineLevel="0" collapsed="false">
      <c r="A56" s="25"/>
      <c r="B56" s="26"/>
      <c r="C56" s="27"/>
      <c r="D56" s="28"/>
      <c r="E56" s="26"/>
      <c r="F56" s="26"/>
    </row>
    <row r="57" customFormat="false" ht="15" hidden="false" customHeight="false" outlineLevel="0" collapsed="false">
      <c r="A57" s="25"/>
      <c r="B57" s="26"/>
      <c r="C57" s="27"/>
      <c r="D57" s="28"/>
      <c r="E57" s="26"/>
      <c r="F57" s="26"/>
    </row>
    <row r="58" customFormat="false" ht="15" hidden="false" customHeight="false" outlineLevel="0" collapsed="false">
      <c r="A58" s="25"/>
      <c r="B58" s="26"/>
      <c r="C58" s="27"/>
      <c r="D58" s="28"/>
      <c r="E58" s="26"/>
      <c r="F58" s="26"/>
    </row>
    <row r="59" customFormat="false" ht="15" hidden="false" customHeight="false" outlineLevel="0" collapsed="false">
      <c r="A59" s="25"/>
      <c r="B59" s="26"/>
      <c r="C59" s="27"/>
      <c r="D59" s="28"/>
      <c r="E59" s="26"/>
      <c r="F59" s="26"/>
    </row>
    <row r="60" customFormat="false" ht="15" hidden="false" customHeight="false" outlineLevel="0" collapsed="false">
      <c r="A60" s="25"/>
      <c r="B60" s="26"/>
      <c r="C60" s="27"/>
      <c r="D60" s="28"/>
      <c r="E60" s="26"/>
      <c r="F60" s="26"/>
    </row>
    <row r="61" customFormat="false" ht="15" hidden="false" customHeight="false" outlineLevel="0" collapsed="false">
      <c r="A61" s="25"/>
      <c r="B61" s="26"/>
      <c r="C61" s="27"/>
      <c r="D61" s="28"/>
      <c r="E61" s="26"/>
      <c r="F61" s="26"/>
    </row>
    <row r="62" customFormat="false" ht="15" hidden="false" customHeight="false" outlineLevel="0" collapsed="false">
      <c r="A62" s="25"/>
      <c r="B62" s="26"/>
      <c r="C62" s="27"/>
      <c r="D62" s="28"/>
      <c r="E62" s="26"/>
      <c r="F62" s="26"/>
    </row>
    <row r="63" customFormat="false" ht="15" hidden="false" customHeight="false" outlineLevel="0" collapsed="false">
      <c r="A63" s="25"/>
      <c r="B63" s="26"/>
      <c r="C63" s="27"/>
      <c r="D63" s="28"/>
      <c r="E63" s="26"/>
      <c r="F63" s="26"/>
    </row>
    <row r="64" customFormat="false" ht="15" hidden="false" customHeight="false" outlineLevel="0" collapsed="false">
      <c r="A64" s="25"/>
      <c r="B64" s="26"/>
      <c r="C64" s="27"/>
      <c r="D64" s="28"/>
      <c r="E64" s="26"/>
      <c r="F64" s="26"/>
    </row>
    <row r="65" customFormat="false" ht="15" hidden="false" customHeight="false" outlineLevel="0" collapsed="false">
      <c r="A65" s="25"/>
      <c r="B65" s="26"/>
      <c r="C65" s="27"/>
      <c r="D65" s="28"/>
      <c r="E65" s="26"/>
      <c r="F65" s="26"/>
    </row>
    <row r="66" customFormat="false" ht="15" hidden="false" customHeight="false" outlineLevel="0" collapsed="false">
      <c r="A66" s="25"/>
      <c r="B66" s="26"/>
      <c r="C66" s="27"/>
      <c r="D66" s="28"/>
      <c r="E66" s="26"/>
      <c r="F66" s="26"/>
    </row>
    <row r="67" customFormat="false" ht="15" hidden="false" customHeight="false" outlineLevel="0" collapsed="false">
      <c r="A67" s="25"/>
      <c r="B67" s="26"/>
      <c r="C67" s="27"/>
      <c r="D67" s="28"/>
      <c r="E67" s="26"/>
      <c r="F67" s="26"/>
    </row>
    <row r="68" customFormat="false" ht="15" hidden="false" customHeight="false" outlineLevel="0" collapsed="false">
      <c r="A68" s="25"/>
      <c r="B68" s="26"/>
      <c r="C68" s="27"/>
      <c r="D68" s="28"/>
      <c r="E68" s="26"/>
      <c r="F68" s="26"/>
    </row>
    <row r="69" customFormat="false" ht="15" hidden="false" customHeight="false" outlineLevel="0" collapsed="false">
      <c r="A69" s="25"/>
      <c r="B69" s="26"/>
      <c r="C69" s="27"/>
      <c r="D69" s="28"/>
      <c r="E69" s="26"/>
      <c r="F69" s="26"/>
    </row>
    <row r="70" customFormat="false" ht="15" hidden="false" customHeight="false" outlineLevel="0" collapsed="false">
      <c r="A70" s="25"/>
      <c r="B70" s="26"/>
      <c r="C70" s="27"/>
      <c r="D70" s="28"/>
      <c r="E70" s="26"/>
      <c r="F70" s="26"/>
    </row>
    <row r="71" customFormat="false" ht="15" hidden="false" customHeight="false" outlineLevel="0" collapsed="false">
      <c r="A71" s="25"/>
      <c r="B71" s="26"/>
      <c r="C71" s="27"/>
      <c r="D71" s="28"/>
      <c r="E71" s="26"/>
      <c r="F71" s="26"/>
    </row>
    <row r="72" customFormat="false" ht="15" hidden="false" customHeight="false" outlineLevel="0" collapsed="false">
      <c r="A72" s="25"/>
      <c r="B72" s="26"/>
      <c r="C72" s="27"/>
      <c r="D72" s="28"/>
      <c r="E72" s="26"/>
      <c r="F72" s="26"/>
    </row>
    <row r="73" customFormat="false" ht="15" hidden="false" customHeight="false" outlineLevel="0" collapsed="false">
      <c r="A73" s="25"/>
      <c r="B73" s="26"/>
      <c r="C73" s="27"/>
      <c r="D73" s="28"/>
      <c r="E73" s="26"/>
      <c r="F73" s="26"/>
    </row>
    <row r="74" customFormat="false" ht="15" hidden="false" customHeight="false" outlineLevel="0" collapsed="false">
      <c r="A74" s="25"/>
      <c r="B74" s="26"/>
      <c r="C74" s="27"/>
      <c r="D74" s="28"/>
      <c r="E74" s="26"/>
      <c r="F74" s="26"/>
    </row>
    <row r="75" customFormat="false" ht="15" hidden="false" customHeight="false" outlineLevel="0" collapsed="false">
      <c r="A75" s="25"/>
      <c r="B75" s="26"/>
      <c r="C75" s="27"/>
      <c r="D75" s="28"/>
      <c r="E75" s="26"/>
      <c r="F75" s="26"/>
    </row>
    <row r="76" customFormat="false" ht="15" hidden="false" customHeight="false" outlineLevel="0" collapsed="false">
      <c r="A76" s="25"/>
      <c r="B76" s="26"/>
      <c r="C76" s="27"/>
      <c r="D76" s="28"/>
      <c r="E76" s="26"/>
      <c r="F76" s="26"/>
    </row>
    <row r="77" customFormat="false" ht="15" hidden="false" customHeight="false" outlineLevel="0" collapsed="false">
      <c r="A77" s="25"/>
      <c r="B77" s="26"/>
      <c r="C77" s="27"/>
      <c r="D77" s="28"/>
      <c r="E77" s="26"/>
      <c r="F77" s="26"/>
    </row>
    <row r="78" customFormat="false" ht="15" hidden="false" customHeight="false" outlineLevel="0" collapsed="false">
      <c r="A78" s="25"/>
      <c r="B78" s="26"/>
      <c r="C78" s="27"/>
      <c r="D78" s="28"/>
      <c r="E78" s="26"/>
      <c r="F78" s="26"/>
    </row>
    <row r="79" customFormat="false" ht="15" hidden="false" customHeight="false" outlineLevel="0" collapsed="false">
      <c r="A79" s="25"/>
      <c r="B79" s="26"/>
      <c r="C79" s="27"/>
      <c r="D79" s="28"/>
      <c r="E79" s="26"/>
      <c r="F79" s="26"/>
    </row>
    <row r="80" customFormat="false" ht="15" hidden="false" customHeight="false" outlineLevel="0" collapsed="false">
      <c r="A80" s="25"/>
      <c r="B80" s="26"/>
      <c r="C80" s="27"/>
      <c r="D80" s="28"/>
      <c r="E80" s="26"/>
      <c r="F80" s="26"/>
    </row>
    <row r="81" customFormat="false" ht="15" hidden="false" customHeight="false" outlineLevel="0" collapsed="false">
      <c r="A81" s="25"/>
      <c r="B81" s="26"/>
      <c r="C81" s="27"/>
      <c r="D81" s="28"/>
      <c r="E81" s="26"/>
      <c r="F81" s="26"/>
    </row>
    <row r="82" customFormat="false" ht="15" hidden="false" customHeight="false" outlineLevel="0" collapsed="false">
      <c r="A82" s="25"/>
      <c r="B82" s="26"/>
      <c r="C82" s="27"/>
      <c r="D82" s="28"/>
      <c r="E82" s="26"/>
      <c r="F82" s="26"/>
    </row>
    <row r="83" customFormat="false" ht="15" hidden="false" customHeight="false" outlineLevel="0" collapsed="false">
      <c r="A83" s="25"/>
      <c r="B83" s="26"/>
      <c r="C83" s="27"/>
      <c r="D83" s="28"/>
      <c r="E83" s="26"/>
      <c r="F83" s="26"/>
    </row>
    <row r="84" customFormat="false" ht="15" hidden="false" customHeight="false" outlineLevel="0" collapsed="false">
      <c r="A84" s="25"/>
      <c r="B84" s="26"/>
      <c r="C84" s="27"/>
      <c r="D84" s="28"/>
      <c r="E84" s="26"/>
      <c r="F84" s="26"/>
    </row>
    <row r="85" customFormat="false" ht="15" hidden="false" customHeight="false" outlineLevel="0" collapsed="false">
      <c r="A85" s="25"/>
      <c r="B85" s="26"/>
      <c r="C85" s="27"/>
      <c r="D85" s="28"/>
      <c r="E85" s="26"/>
      <c r="F85" s="26"/>
    </row>
    <row r="86" customFormat="false" ht="15" hidden="false" customHeight="false" outlineLevel="0" collapsed="false">
      <c r="A86" s="25"/>
      <c r="B86" s="26"/>
      <c r="C86" s="27"/>
      <c r="D86" s="28"/>
      <c r="E86" s="26"/>
      <c r="F86" s="26"/>
    </row>
    <row r="87" customFormat="false" ht="15" hidden="false" customHeight="false" outlineLevel="0" collapsed="false">
      <c r="A87" s="25"/>
      <c r="B87" s="26"/>
      <c r="C87" s="27"/>
      <c r="D87" s="28"/>
      <c r="E87" s="26"/>
      <c r="F87" s="26"/>
    </row>
    <row r="88" customFormat="false" ht="15" hidden="false" customHeight="false" outlineLevel="0" collapsed="false">
      <c r="A88" s="25"/>
      <c r="B88" s="26"/>
      <c r="C88" s="27"/>
      <c r="D88" s="28"/>
      <c r="E88" s="26"/>
      <c r="F88" s="26"/>
    </row>
    <row r="89" customFormat="false" ht="15" hidden="false" customHeight="false" outlineLevel="0" collapsed="false">
      <c r="A89" s="25"/>
      <c r="B89" s="26"/>
      <c r="C89" s="27"/>
      <c r="D89" s="28"/>
      <c r="E89" s="26"/>
      <c r="F89" s="26"/>
    </row>
    <row r="90" customFormat="false" ht="15" hidden="false" customHeight="false" outlineLevel="0" collapsed="false">
      <c r="A90" s="25"/>
      <c r="B90" s="26"/>
      <c r="C90" s="27"/>
      <c r="D90" s="28"/>
      <c r="E90" s="26"/>
      <c r="F90" s="26"/>
    </row>
    <row r="91" customFormat="false" ht="15" hidden="false" customHeight="false" outlineLevel="0" collapsed="false">
      <c r="A91" s="25"/>
      <c r="B91" s="26"/>
      <c r="C91" s="27"/>
      <c r="D91" s="28"/>
      <c r="E91" s="26"/>
      <c r="F91" s="26"/>
    </row>
    <row r="92" customFormat="false" ht="15" hidden="false" customHeight="false" outlineLevel="0" collapsed="false">
      <c r="A92" s="25"/>
      <c r="B92" s="26"/>
      <c r="C92" s="27"/>
      <c r="D92" s="28"/>
      <c r="E92" s="26"/>
      <c r="F92" s="26"/>
    </row>
    <row r="93" customFormat="false" ht="15" hidden="false" customHeight="false" outlineLevel="0" collapsed="false">
      <c r="A93" s="25"/>
      <c r="B93" s="26"/>
      <c r="C93" s="27"/>
      <c r="D93" s="28"/>
      <c r="E93" s="26"/>
      <c r="F93" s="26"/>
    </row>
    <row r="94" customFormat="false" ht="15" hidden="false" customHeight="false" outlineLevel="0" collapsed="false">
      <c r="A94" s="25"/>
      <c r="B94" s="26"/>
      <c r="C94" s="27"/>
      <c r="D94" s="28"/>
      <c r="E94" s="26"/>
      <c r="F94" s="26"/>
    </row>
    <row r="95" customFormat="false" ht="15" hidden="false" customHeight="false" outlineLevel="0" collapsed="false">
      <c r="A95" s="25"/>
      <c r="B95" s="26"/>
      <c r="C95" s="27"/>
      <c r="D95" s="28"/>
      <c r="E95" s="26"/>
      <c r="F95" s="26"/>
    </row>
    <row r="96" customFormat="false" ht="15" hidden="false" customHeight="false" outlineLevel="0" collapsed="false">
      <c r="A96" s="25"/>
      <c r="B96" s="26"/>
      <c r="C96" s="27"/>
      <c r="D96" s="28"/>
      <c r="E96" s="26"/>
      <c r="F96" s="26"/>
    </row>
    <row r="97" customFormat="false" ht="15" hidden="false" customHeight="false" outlineLevel="0" collapsed="false">
      <c r="A97" s="25"/>
      <c r="B97" s="26"/>
      <c r="C97" s="27"/>
      <c r="D97" s="28"/>
      <c r="E97" s="26"/>
      <c r="F97" s="26"/>
    </row>
    <row r="98" customFormat="false" ht="15" hidden="false" customHeight="false" outlineLevel="0" collapsed="false">
      <c r="A98" s="25"/>
      <c r="B98" s="26"/>
      <c r="C98" s="27"/>
      <c r="D98" s="28"/>
      <c r="E98" s="26"/>
      <c r="F98" s="26"/>
    </row>
    <row r="99" customFormat="false" ht="15" hidden="false" customHeight="false" outlineLevel="0" collapsed="false">
      <c r="A99" s="25"/>
      <c r="B99" s="26"/>
      <c r="C99" s="27"/>
      <c r="D99" s="28"/>
      <c r="E99" s="26"/>
      <c r="F99" s="26"/>
    </row>
    <row r="100" customFormat="false" ht="15" hidden="false" customHeight="false" outlineLevel="0" collapsed="false">
      <c r="A100" s="25"/>
      <c r="B100" s="26"/>
      <c r="C100" s="27"/>
      <c r="D100" s="28"/>
      <c r="E100" s="26"/>
      <c r="F100" s="26"/>
    </row>
    <row r="101" customFormat="false" ht="15" hidden="false" customHeight="false" outlineLevel="0" collapsed="false">
      <c r="A101" s="25"/>
      <c r="B101" s="26"/>
      <c r="C101" s="27"/>
      <c r="D101" s="28"/>
      <c r="E101" s="26"/>
      <c r="F101" s="26"/>
    </row>
    <row r="102" customFormat="false" ht="15" hidden="false" customHeight="false" outlineLevel="0" collapsed="false">
      <c r="A102" s="25"/>
      <c r="B102" s="26"/>
      <c r="C102" s="27"/>
      <c r="D102" s="28"/>
      <c r="E102" s="26"/>
      <c r="F102" s="26"/>
    </row>
    <row r="103" customFormat="false" ht="15" hidden="false" customHeight="false" outlineLevel="0" collapsed="false">
      <c r="A103" s="25"/>
      <c r="B103" s="26"/>
      <c r="C103" s="27"/>
      <c r="D103" s="28"/>
      <c r="E103" s="26"/>
      <c r="F103" s="26"/>
    </row>
    <row r="104" customFormat="false" ht="15" hidden="false" customHeight="false" outlineLevel="0" collapsed="false">
      <c r="A104" s="25"/>
      <c r="B104" s="26"/>
      <c r="C104" s="27"/>
      <c r="D104" s="28"/>
      <c r="E104" s="26"/>
      <c r="F104" s="26"/>
    </row>
    <row r="105" customFormat="false" ht="15" hidden="false" customHeight="false" outlineLevel="0" collapsed="false">
      <c r="A105" s="25"/>
      <c r="B105" s="26"/>
      <c r="C105" s="27"/>
      <c r="D105" s="28"/>
      <c r="E105" s="26"/>
      <c r="F105" s="26"/>
    </row>
    <row r="106" customFormat="false" ht="15" hidden="false" customHeight="false" outlineLevel="0" collapsed="false">
      <c r="A106" s="25"/>
      <c r="B106" s="26"/>
      <c r="C106" s="27"/>
      <c r="D106" s="28"/>
      <c r="E106" s="26"/>
      <c r="F106" s="26"/>
    </row>
    <row r="107" customFormat="false" ht="15" hidden="false" customHeight="false" outlineLevel="0" collapsed="false">
      <c r="A107" s="25"/>
      <c r="B107" s="26"/>
      <c r="C107" s="27"/>
      <c r="D107" s="28"/>
      <c r="E107" s="26"/>
      <c r="F107" s="26"/>
    </row>
    <row r="108" customFormat="false" ht="15" hidden="false" customHeight="false" outlineLevel="0" collapsed="false">
      <c r="A108" s="25"/>
      <c r="B108" s="26"/>
      <c r="C108" s="27"/>
      <c r="D108" s="28"/>
      <c r="E108" s="26"/>
      <c r="F108" s="26"/>
    </row>
    <row r="109" customFormat="false" ht="15" hidden="false" customHeight="false" outlineLevel="0" collapsed="false">
      <c r="A109" s="25"/>
      <c r="B109" s="26"/>
      <c r="C109" s="27"/>
      <c r="D109" s="28"/>
      <c r="E109" s="26"/>
      <c r="F109" s="26"/>
    </row>
    <row r="110" customFormat="false" ht="15" hidden="false" customHeight="false" outlineLevel="0" collapsed="false">
      <c r="A110" s="25"/>
      <c r="B110" s="26"/>
      <c r="C110" s="27"/>
      <c r="D110" s="28"/>
      <c r="E110" s="26"/>
      <c r="F110" s="26"/>
    </row>
    <row r="111" customFormat="false" ht="15" hidden="false" customHeight="false" outlineLevel="0" collapsed="false">
      <c r="A111" s="25"/>
      <c r="B111" s="26"/>
      <c r="C111" s="27"/>
      <c r="D111" s="28"/>
      <c r="E111" s="26"/>
      <c r="F111" s="26"/>
    </row>
    <row r="112" customFormat="false" ht="15" hidden="false" customHeight="false" outlineLevel="0" collapsed="false">
      <c r="A112" s="25"/>
      <c r="B112" s="26"/>
      <c r="C112" s="27"/>
      <c r="D112" s="28"/>
      <c r="E112" s="26"/>
      <c r="F112" s="26"/>
    </row>
    <row r="113" customFormat="false" ht="15" hidden="false" customHeight="false" outlineLevel="0" collapsed="false">
      <c r="A113" s="25"/>
      <c r="B113" s="26"/>
      <c r="C113" s="27"/>
      <c r="D113" s="28"/>
      <c r="E113" s="26"/>
      <c r="F113" s="26"/>
    </row>
    <row r="114" customFormat="false" ht="15" hidden="false" customHeight="false" outlineLevel="0" collapsed="false">
      <c r="A114" s="25"/>
      <c r="B114" s="26"/>
      <c r="C114" s="27"/>
      <c r="D114" s="28"/>
      <c r="E114" s="26"/>
      <c r="F114" s="26"/>
    </row>
    <row r="115" customFormat="false" ht="15" hidden="false" customHeight="false" outlineLevel="0" collapsed="false">
      <c r="A115" s="25"/>
      <c r="B115" s="26"/>
      <c r="C115" s="27"/>
      <c r="D115" s="28"/>
      <c r="E115" s="26"/>
      <c r="F115" s="26"/>
    </row>
    <row r="116" customFormat="false" ht="15" hidden="false" customHeight="false" outlineLevel="0" collapsed="false">
      <c r="A116" s="25"/>
      <c r="B116" s="26"/>
      <c r="C116" s="27"/>
      <c r="D116" s="28"/>
      <c r="E116" s="26"/>
      <c r="F116" s="26"/>
    </row>
    <row r="117" customFormat="false" ht="15" hidden="false" customHeight="false" outlineLevel="0" collapsed="false">
      <c r="A117" s="25"/>
      <c r="B117" s="26"/>
      <c r="C117" s="27"/>
      <c r="D117" s="28"/>
      <c r="E117" s="26"/>
      <c r="F117" s="26"/>
    </row>
    <row r="118" customFormat="false" ht="15" hidden="false" customHeight="false" outlineLevel="0" collapsed="false">
      <c r="A118" s="25"/>
      <c r="B118" s="26"/>
      <c r="C118" s="27"/>
      <c r="D118" s="28"/>
      <c r="E118" s="26"/>
      <c r="F118" s="26"/>
    </row>
    <row r="119" customFormat="false" ht="15" hidden="false" customHeight="false" outlineLevel="0" collapsed="false">
      <c r="A119" s="25"/>
      <c r="B119" s="26"/>
      <c r="C119" s="27"/>
      <c r="D119" s="28"/>
      <c r="E119" s="26"/>
      <c r="F119" s="26"/>
    </row>
    <row r="120" customFormat="false" ht="15" hidden="false" customHeight="false" outlineLevel="0" collapsed="false">
      <c r="A120" s="25"/>
      <c r="B120" s="26"/>
      <c r="C120" s="27"/>
      <c r="D120" s="28"/>
      <c r="E120" s="26"/>
      <c r="F120" s="26"/>
    </row>
    <row r="121" customFormat="false" ht="15" hidden="false" customHeight="false" outlineLevel="0" collapsed="false">
      <c r="A121" s="25"/>
      <c r="B121" s="26"/>
      <c r="C121" s="27"/>
      <c r="D121" s="28"/>
      <c r="E121" s="26"/>
      <c r="F121" s="26"/>
    </row>
    <row r="122" customFormat="false" ht="15" hidden="false" customHeight="false" outlineLevel="0" collapsed="false">
      <c r="A122" s="25"/>
      <c r="B122" s="26"/>
      <c r="C122" s="27"/>
      <c r="D122" s="28"/>
      <c r="E122" s="26"/>
      <c r="F122" s="26"/>
    </row>
    <row r="123" customFormat="false" ht="15" hidden="false" customHeight="false" outlineLevel="0" collapsed="false">
      <c r="A123" s="25"/>
      <c r="B123" s="26"/>
      <c r="C123" s="27"/>
      <c r="D123" s="28"/>
      <c r="E123" s="26"/>
      <c r="F123" s="26"/>
    </row>
    <row r="124" customFormat="false" ht="15" hidden="false" customHeight="false" outlineLevel="0" collapsed="false">
      <c r="A124" s="25"/>
      <c r="B124" s="26"/>
      <c r="C124" s="27"/>
      <c r="D124" s="28"/>
      <c r="E124" s="26"/>
      <c r="F124" s="26"/>
    </row>
    <row r="125" customFormat="false" ht="15" hidden="false" customHeight="false" outlineLevel="0" collapsed="false">
      <c r="A125" s="25"/>
      <c r="B125" s="26"/>
      <c r="C125" s="27"/>
      <c r="D125" s="28"/>
      <c r="E125" s="26"/>
      <c r="F125" s="26"/>
    </row>
    <row r="126" customFormat="false" ht="15" hidden="false" customHeight="false" outlineLevel="0" collapsed="false">
      <c r="A126" s="25"/>
      <c r="B126" s="26"/>
      <c r="C126" s="27"/>
      <c r="D126" s="28"/>
      <c r="E126" s="26"/>
      <c r="F126" s="26"/>
    </row>
    <row r="127" customFormat="false" ht="15" hidden="false" customHeight="false" outlineLevel="0" collapsed="false">
      <c r="A127" s="25"/>
      <c r="B127" s="26"/>
      <c r="C127" s="27"/>
      <c r="D127" s="28"/>
      <c r="E127" s="26"/>
      <c r="F127" s="26"/>
    </row>
    <row r="128" customFormat="false" ht="15" hidden="false" customHeight="false" outlineLevel="0" collapsed="false">
      <c r="A128" s="25"/>
      <c r="B128" s="26"/>
      <c r="C128" s="27"/>
      <c r="D128" s="28"/>
      <c r="E128" s="26"/>
      <c r="F128" s="26"/>
    </row>
    <row r="129" customFormat="false" ht="15" hidden="false" customHeight="false" outlineLevel="0" collapsed="false">
      <c r="A129" s="25"/>
      <c r="B129" s="26"/>
      <c r="C129" s="27"/>
      <c r="D129" s="28"/>
      <c r="E129" s="26"/>
      <c r="F129" s="26"/>
    </row>
    <row r="130" customFormat="false" ht="15" hidden="false" customHeight="false" outlineLevel="0" collapsed="false">
      <c r="A130" s="25"/>
      <c r="B130" s="26"/>
      <c r="C130" s="27"/>
      <c r="D130" s="28"/>
      <c r="E130" s="26"/>
      <c r="F130" s="26"/>
    </row>
    <row r="131" customFormat="false" ht="15" hidden="false" customHeight="false" outlineLevel="0" collapsed="false">
      <c r="A131" s="25"/>
      <c r="B131" s="26"/>
      <c r="C131" s="27"/>
      <c r="D131" s="28"/>
      <c r="E131" s="26"/>
      <c r="F131" s="26"/>
    </row>
    <row r="132" customFormat="false" ht="15" hidden="false" customHeight="false" outlineLevel="0" collapsed="false">
      <c r="A132" s="25"/>
      <c r="B132" s="26"/>
      <c r="C132" s="27"/>
      <c r="D132" s="28"/>
      <c r="E132" s="26"/>
      <c r="F132" s="26"/>
    </row>
    <row r="133" customFormat="false" ht="15" hidden="false" customHeight="false" outlineLevel="0" collapsed="false">
      <c r="A133" s="25"/>
      <c r="B133" s="26"/>
      <c r="C133" s="27"/>
      <c r="D133" s="28"/>
      <c r="E133" s="26"/>
      <c r="F133" s="26"/>
    </row>
    <row r="134" customFormat="false" ht="15" hidden="false" customHeight="false" outlineLevel="0" collapsed="false">
      <c r="A134" s="25"/>
      <c r="B134" s="26"/>
      <c r="C134" s="27"/>
      <c r="D134" s="28"/>
      <c r="E134" s="26"/>
      <c r="F134" s="26"/>
    </row>
    <row r="135" customFormat="false" ht="15" hidden="false" customHeight="false" outlineLevel="0" collapsed="false">
      <c r="A135" s="25"/>
      <c r="B135" s="26"/>
      <c r="C135" s="27"/>
      <c r="D135" s="28"/>
      <c r="E135" s="26"/>
      <c r="F135" s="26"/>
    </row>
    <row r="136" customFormat="false" ht="15" hidden="false" customHeight="false" outlineLevel="0" collapsed="false">
      <c r="A136" s="25"/>
      <c r="B136" s="26"/>
      <c r="C136" s="27"/>
      <c r="D136" s="28"/>
      <c r="E136" s="26"/>
      <c r="F136" s="26"/>
    </row>
    <row r="137" customFormat="false" ht="15" hidden="false" customHeight="false" outlineLevel="0" collapsed="false">
      <c r="A137" s="25"/>
      <c r="B137" s="26"/>
      <c r="C137" s="27"/>
      <c r="D137" s="28"/>
      <c r="E137" s="26"/>
      <c r="F137" s="26"/>
    </row>
    <row r="138" customFormat="false" ht="15" hidden="false" customHeight="false" outlineLevel="0" collapsed="false">
      <c r="A138" s="25"/>
      <c r="B138" s="26"/>
      <c r="C138" s="27"/>
      <c r="D138" s="28"/>
      <c r="E138" s="26"/>
      <c r="F138" s="26"/>
    </row>
    <row r="139" customFormat="false" ht="15" hidden="false" customHeight="false" outlineLevel="0" collapsed="false">
      <c r="A139" s="25"/>
      <c r="B139" s="26"/>
      <c r="C139" s="27"/>
      <c r="D139" s="28"/>
      <c r="E139" s="26"/>
      <c r="F139" s="26"/>
    </row>
    <row r="140" customFormat="false" ht="15" hidden="false" customHeight="false" outlineLevel="0" collapsed="false">
      <c r="A140" s="25"/>
      <c r="B140" s="26"/>
      <c r="C140" s="27"/>
      <c r="D140" s="28"/>
      <c r="E140" s="26"/>
      <c r="F140" s="26"/>
    </row>
    <row r="141" customFormat="false" ht="15" hidden="false" customHeight="false" outlineLevel="0" collapsed="false">
      <c r="A141" s="25"/>
      <c r="B141" s="26"/>
      <c r="C141" s="27"/>
      <c r="D141" s="28"/>
      <c r="E141" s="26"/>
      <c r="F141" s="26"/>
    </row>
    <row r="142" customFormat="false" ht="15" hidden="false" customHeight="false" outlineLevel="0" collapsed="false">
      <c r="A142" s="25"/>
      <c r="B142" s="26"/>
      <c r="C142" s="27"/>
      <c r="D142" s="28"/>
      <c r="E142" s="26"/>
      <c r="F142" s="26"/>
    </row>
    <row r="143" customFormat="false" ht="15" hidden="false" customHeight="false" outlineLevel="0" collapsed="false">
      <c r="A143" s="25"/>
      <c r="B143" s="26"/>
      <c r="C143" s="27"/>
      <c r="D143" s="28"/>
      <c r="E143" s="26"/>
      <c r="F143" s="26"/>
    </row>
    <row r="144" customFormat="false" ht="15" hidden="false" customHeight="false" outlineLevel="0" collapsed="false">
      <c r="A144" s="25"/>
      <c r="B144" s="26"/>
      <c r="C144" s="27"/>
      <c r="D144" s="28"/>
      <c r="E144" s="26"/>
      <c r="F144" s="26"/>
    </row>
    <row r="145" customFormat="false" ht="15" hidden="false" customHeight="false" outlineLevel="0" collapsed="false">
      <c r="A145" s="25"/>
      <c r="B145" s="26"/>
      <c r="C145" s="27"/>
      <c r="D145" s="28"/>
      <c r="E145" s="26"/>
      <c r="F145" s="26"/>
    </row>
    <row r="146" customFormat="false" ht="15" hidden="false" customHeight="false" outlineLevel="0" collapsed="false">
      <c r="A146" s="25"/>
      <c r="B146" s="26"/>
      <c r="C146" s="27"/>
      <c r="D146" s="28"/>
      <c r="E146" s="26"/>
      <c r="F146" s="26"/>
    </row>
    <row r="147" customFormat="false" ht="15" hidden="false" customHeight="false" outlineLevel="0" collapsed="false">
      <c r="A147" s="25"/>
      <c r="B147" s="26"/>
      <c r="C147" s="27"/>
      <c r="D147" s="28"/>
      <c r="E147" s="26"/>
      <c r="F147" s="26"/>
    </row>
    <row r="148" customFormat="false" ht="15" hidden="false" customHeight="false" outlineLevel="0" collapsed="false">
      <c r="A148" s="25"/>
      <c r="B148" s="26"/>
      <c r="C148" s="27"/>
      <c r="D148" s="28"/>
      <c r="E148" s="26"/>
      <c r="F148" s="26"/>
    </row>
    <row r="149" customFormat="false" ht="15" hidden="false" customHeight="false" outlineLevel="0" collapsed="false">
      <c r="A149" s="25"/>
      <c r="B149" s="26"/>
      <c r="C149" s="27"/>
      <c r="D149" s="28"/>
      <c r="E149" s="26"/>
      <c r="F149" s="26"/>
    </row>
    <row r="150" customFormat="false" ht="15" hidden="false" customHeight="false" outlineLevel="0" collapsed="false">
      <c r="A150" s="25"/>
      <c r="B150" s="26"/>
      <c r="C150" s="27"/>
      <c r="D150" s="28"/>
      <c r="E150" s="26"/>
      <c r="F150" s="26"/>
    </row>
    <row r="151" customFormat="false" ht="15" hidden="false" customHeight="false" outlineLevel="0" collapsed="false">
      <c r="A151" s="25"/>
      <c r="B151" s="26"/>
      <c r="C151" s="27"/>
      <c r="D151" s="28"/>
      <c r="E151" s="26"/>
      <c r="F151" s="26"/>
    </row>
    <row r="152" customFormat="false" ht="15" hidden="false" customHeight="false" outlineLevel="0" collapsed="false">
      <c r="A152" s="25"/>
      <c r="B152" s="26"/>
      <c r="C152" s="27"/>
      <c r="D152" s="28"/>
      <c r="E152" s="26"/>
      <c r="F152" s="26"/>
    </row>
    <row r="153" customFormat="false" ht="15" hidden="false" customHeight="false" outlineLevel="0" collapsed="false">
      <c r="A153" s="25"/>
      <c r="B153" s="26"/>
      <c r="C153" s="27"/>
      <c r="D153" s="28"/>
      <c r="E153" s="26"/>
      <c r="F153" s="26"/>
    </row>
    <row r="154" customFormat="false" ht="15" hidden="false" customHeight="false" outlineLevel="0" collapsed="false">
      <c r="A154" s="25"/>
      <c r="B154" s="26"/>
      <c r="C154" s="27"/>
      <c r="D154" s="28"/>
      <c r="E154" s="26"/>
      <c r="F154" s="26"/>
    </row>
    <row r="155" customFormat="false" ht="15" hidden="false" customHeight="false" outlineLevel="0" collapsed="false">
      <c r="A155" s="25"/>
      <c r="B155" s="26"/>
      <c r="C155" s="27"/>
      <c r="D155" s="28"/>
      <c r="E155" s="26"/>
      <c r="F155" s="26"/>
    </row>
    <row r="156" customFormat="false" ht="15" hidden="false" customHeight="false" outlineLevel="0" collapsed="false">
      <c r="A156" s="25"/>
      <c r="B156" s="26"/>
      <c r="C156" s="27"/>
      <c r="D156" s="28"/>
      <c r="E156" s="26"/>
      <c r="F156" s="26"/>
    </row>
    <row r="157" customFormat="false" ht="15" hidden="false" customHeight="false" outlineLevel="0" collapsed="false">
      <c r="A157" s="25"/>
      <c r="B157" s="26"/>
      <c r="C157" s="27"/>
      <c r="D157" s="28"/>
      <c r="E157" s="26"/>
      <c r="F157" s="26"/>
    </row>
    <row r="158" customFormat="false" ht="15" hidden="false" customHeight="false" outlineLevel="0" collapsed="false">
      <c r="A158" s="25"/>
      <c r="B158" s="26"/>
      <c r="C158" s="27"/>
      <c r="D158" s="28"/>
      <c r="E158" s="26"/>
      <c r="F158" s="26"/>
    </row>
    <row r="159" customFormat="false" ht="15" hidden="false" customHeight="false" outlineLevel="0" collapsed="false">
      <c r="A159" s="25"/>
      <c r="B159" s="26"/>
      <c r="C159" s="27"/>
      <c r="D159" s="28"/>
      <c r="E159" s="26"/>
      <c r="F159" s="26"/>
    </row>
    <row r="160" customFormat="false" ht="15" hidden="false" customHeight="false" outlineLevel="0" collapsed="false">
      <c r="A160" s="25"/>
      <c r="B160" s="26"/>
      <c r="C160" s="27"/>
      <c r="D160" s="28"/>
      <c r="E160" s="26"/>
      <c r="F160" s="26"/>
    </row>
    <row r="161" customFormat="false" ht="15" hidden="false" customHeight="false" outlineLevel="0" collapsed="false">
      <c r="A161" s="25"/>
      <c r="B161" s="26"/>
      <c r="C161" s="27"/>
      <c r="D161" s="28"/>
      <c r="E161" s="26"/>
      <c r="F161" s="26"/>
    </row>
    <row r="162" customFormat="false" ht="15" hidden="false" customHeight="false" outlineLevel="0" collapsed="false">
      <c r="A162" s="25"/>
      <c r="B162" s="26"/>
      <c r="C162" s="27"/>
      <c r="D162" s="28"/>
      <c r="E162" s="26"/>
      <c r="F162" s="26"/>
    </row>
    <row r="163" customFormat="false" ht="15" hidden="false" customHeight="false" outlineLevel="0" collapsed="false">
      <c r="A163" s="25"/>
      <c r="B163" s="26"/>
      <c r="C163" s="27"/>
      <c r="D163" s="28"/>
      <c r="E163" s="26"/>
      <c r="F163" s="26"/>
    </row>
    <row r="164" customFormat="false" ht="15" hidden="false" customHeight="false" outlineLevel="0" collapsed="false">
      <c r="A164" s="25"/>
      <c r="B164" s="26"/>
      <c r="C164" s="27"/>
      <c r="D164" s="28"/>
      <c r="E164" s="26"/>
      <c r="F164" s="26"/>
    </row>
    <row r="165" customFormat="false" ht="15" hidden="false" customHeight="false" outlineLevel="0" collapsed="false">
      <c r="A165" s="25"/>
      <c r="B165" s="26"/>
      <c r="C165" s="27"/>
      <c r="D165" s="28"/>
      <c r="E165" s="26"/>
      <c r="F165" s="26"/>
    </row>
    <row r="166" customFormat="false" ht="15" hidden="false" customHeight="false" outlineLevel="0" collapsed="false">
      <c r="A166" s="25"/>
      <c r="B166" s="26"/>
      <c r="C166" s="27"/>
      <c r="D166" s="28"/>
      <c r="E166" s="26"/>
      <c r="F166" s="26"/>
    </row>
    <row r="167" customFormat="false" ht="15" hidden="false" customHeight="false" outlineLevel="0" collapsed="false">
      <c r="A167" s="25"/>
      <c r="B167" s="26"/>
      <c r="C167" s="27"/>
      <c r="D167" s="28"/>
      <c r="E167" s="26"/>
      <c r="F167" s="26"/>
    </row>
    <row r="168" customFormat="false" ht="15" hidden="false" customHeight="false" outlineLevel="0" collapsed="false">
      <c r="A168" s="25"/>
      <c r="B168" s="26"/>
      <c r="C168" s="27"/>
      <c r="D168" s="28"/>
      <c r="E168" s="26"/>
      <c r="F168" s="26"/>
    </row>
    <row r="169" customFormat="false" ht="15" hidden="false" customHeight="false" outlineLevel="0" collapsed="false">
      <c r="A169" s="25"/>
      <c r="B169" s="26"/>
      <c r="C169" s="27"/>
      <c r="D169" s="28"/>
      <c r="E169" s="26"/>
      <c r="F169" s="26"/>
    </row>
    <row r="170" customFormat="false" ht="15" hidden="false" customHeight="false" outlineLevel="0" collapsed="false">
      <c r="A170" s="25"/>
      <c r="B170" s="26"/>
      <c r="C170" s="27"/>
      <c r="D170" s="28"/>
      <c r="E170" s="26"/>
      <c r="F170" s="26"/>
    </row>
    <row r="171" customFormat="false" ht="15" hidden="false" customHeight="false" outlineLevel="0" collapsed="false">
      <c r="A171" s="25"/>
      <c r="B171" s="26"/>
      <c r="C171" s="27"/>
      <c r="D171" s="28"/>
      <c r="E171" s="26"/>
      <c r="F171" s="26"/>
    </row>
    <row r="172" customFormat="false" ht="15" hidden="false" customHeight="false" outlineLevel="0" collapsed="false">
      <c r="A172" s="25"/>
      <c r="B172" s="26"/>
      <c r="C172" s="27"/>
      <c r="D172" s="28"/>
      <c r="E172" s="26"/>
      <c r="F172" s="26"/>
    </row>
    <row r="173" customFormat="false" ht="15" hidden="false" customHeight="false" outlineLevel="0" collapsed="false">
      <c r="A173" s="25"/>
      <c r="B173" s="26"/>
      <c r="C173" s="27"/>
      <c r="D173" s="28"/>
      <c r="E173" s="26"/>
      <c r="F173" s="26"/>
    </row>
    <row r="174" customFormat="false" ht="15" hidden="false" customHeight="false" outlineLevel="0" collapsed="false">
      <c r="A174" s="25"/>
      <c r="B174" s="26"/>
      <c r="C174" s="27"/>
      <c r="D174" s="28"/>
      <c r="E174" s="26"/>
      <c r="F174" s="26"/>
    </row>
    <row r="175" customFormat="false" ht="15" hidden="false" customHeight="false" outlineLevel="0" collapsed="false">
      <c r="A175" s="25"/>
      <c r="B175" s="26"/>
      <c r="C175" s="27"/>
      <c r="D175" s="28"/>
      <c r="E175" s="26"/>
      <c r="F175" s="26"/>
    </row>
    <row r="176" customFormat="false" ht="15" hidden="false" customHeight="false" outlineLevel="0" collapsed="false">
      <c r="A176" s="25"/>
      <c r="B176" s="26"/>
      <c r="C176" s="27"/>
      <c r="D176" s="28"/>
      <c r="E176" s="26"/>
      <c r="F176" s="26"/>
    </row>
    <row r="177" customFormat="false" ht="15" hidden="false" customHeight="false" outlineLevel="0" collapsed="false">
      <c r="A177" s="25"/>
      <c r="B177" s="26"/>
      <c r="C177" s="27"/>
      <c r="D177" s="28"/>
      <c r="E177" s="26"/>
      <c r="F177" s="26"/>
    </row>
    <row r="178" customFormat="false" ht="15" hidden="false" customHeight="false" outlineLevel="0" collapsed="false">
      <c r="A178" s="25"/>
      <c r="B178" s="26"/>
      <c r="C178" s="27"/>
      <c r="D178" s="28"/>
      <c r="E178" s="26"/>
      <c r="F178" s="26"/>
    </row>
    <row r="179" customFormat="false" ht="15" hidden="false" customHeight="false" outlineLevel="0" collapsed="false">
      <c r="A179" s="25"/>
      <c r="B179" s="26"/>
      <c r="C179" s="27"/>
      <c r="D179" s="28"/>
      <c r="E179" s="26"/>
      <c r="F179" s="26"/>
    </row>
    <row r="180" customFormat="false" ht="15" hidden="false" customHeight="false" outlineLevel="0" collapsed="false">
      <c r="A180" s="25"/>
      <c r="B180" s="26"/>
      <c r="C180" s="27"/>
      <c r="D180" s="28"/>
      <c r="E180" s="26"/>
      <c r="F180" s="26"/>
    </row>
    <row r="181" customFormat="false" ht="15" hidden="false" customHeight="false" outlineLevel="0" collapsed="false">
      <c r="A181" s="25"/>
      <c r="B181" s="26"/>
      <c r="C181" s="27"/>
      <c r="D181" s="28"/>
      <c r="E181" s="26"/>
      <c r="F181" s="26"/>
    </row>
    <row r="182" customFormat="false" ht="15" hidden="false" customHeight="false" outlineLevel="0" collapsed="false">
      <c r="A182" s="25"/>
      <c r="B182" s="26"/>
      <c r="C182" s="27"/>
      <c r="D182" s="28"/>
      <c r="E182" s="26"/>
      <c r="F182" s="26"/>
    </row>
    <row r="183" customFormat="false" ht="15" hidden="false" customHeight="false" outlineLevel="0" collapsed="false">
      <c r="A183" s="25"/>
      <c r="B183" s="26"/>
      <c r="C183" s="27"/>
      <c r="D183" s="28"/>
      <c r="E183" s="26"/>
      <c r="F183" s="26"/>
    </row>
    <row r="184" customFormat="false" ht="15" hidden="false" customHeight="false" outlineLevel="0" collapsed="false">
      <c r="A184" s="25"/>
      <c r="B184" s="26"/>
      <c r="C184" s="27"/>
      <c r="D184" s="28"/>
      <c r="E184" s="26"/>
      <c r="F184" s="26"/>
    </row>
    <row r="185" customFormat="false" ht="15" hidden="false" customHeight="false" outlineLevel="0" collapsed="false">
      <c r="A185" s="25"/>
      <c r="B185" s="26"/>
      <c r="C185" s="27"/>
      <c r="D185" s="28"/>
      <c r="E185" s="26"/>
      <c r="F185" s="26"/>
    </row>
    <row r="186" customFormat="false" ht="15" hidden="false" customHeight="false" outlineLevel="0" collapsed="false">
      <c r="A186" s="25"/>
      <c r="B186" s="26"/>
      <c r="C186" s="27"/>
      <c r="D186" s="28"/>
      <c r="E186" s="26"/>
      <c r="F186" s="26"/>
    </row>
    <row r="187" customFormat="false" ht="15" hidden="false" customHeight="false" outlineLevel="0" collapsed="false">
      <c r="A187" s="25"/>
      <c r="B187" s="26"/>
      <c r="C187" s="27"/>
      <c r="D187" s="28"/>
      <c r="E187" s="26"/>
      <c r="F187" s="26"/>
    </row>
    <row r="188" customFormat="false" ht="15" hidden="false" customHeight="false" outlineLevel="0" collapsed="false">
      <c r="A188" s="25"/>
      <c r="B188" s="26"/>
      <c r="C188" s="27"/>
      <c r="D188" s="28"/>
      <c r="E188" s="26"/>
      <c r="F188" s="26"/>
    </row>
    <row r="189" customFormat="false" ht="15" hidden="false" customHeight="false" outlineLevel="0" collapsed="false">
      <c r="A189" s="25"/>
      <c r="B189" s="26"/>
      <c r="C189" s="27"/>
      <c r="D189" s="28"/>
      <c r="E189" s="26"/>
      <c r="F189" s="26"/>
    </row>
    <row r="190" customFormat="false" ht="15" hidden="false" customHeight="false" outlineLevel="0" collapsed="false">
      <c r="A190" s="25"/>
      <c r="B190" s="26"/>
      <c r="C190" s="27"/>
      <c r="D190" s="28"/>
      <c r="E190" s="26"/>
      <c r="F190" s="26"/>
    </row>
    <row r="191" customFormat="false" ht="15" hidden="false" customHeight="false" outlineLevel="0" collapsed="false">
      <c r="A191" s="25"/>
      <c r="B191" s="26"/>
      <c r="C191" s="27"/>
      <c r="D191" s="28"/>
      <c r="E191" s="26"/>
      <c r="F191" s="26"/>
    </row>
    <row r="192" customFormat="false" ht="15" hidden="false" customHeight="false" outlineLevel="0" collapsed="false">
      <c r="A192" s="25"/>
      <c r="B192" s="26"/>
      <c r="C192" s="27"/>
      <c r="D192" s="28"/>
      <c r="E192" s="26"/>
      <c r="F192" s="26"/>
    </row>
    <row r="193" customFormat="false" ht="15" hidden="false" customHeight="false" outlineLevel="0" collapsed="false">
      <c r="A193" s="25"/>
      <c r="B193" s="26"/>
      <c r="C193" s="27"/>
      <c r="D193" s="28"/>
      <c r="E193" s="26"/>
      <c r="F193" s="26"/>
    </row>
    <row r="194" customFormat="false" ht="15" hidden="false" customHeight="false" outlineLevel="0" collapsed="false">
      <c r="A194" s="25"/>
      <c r="B194" s="26"/>
      <c r="C194" s="27"/>
      <c r="D194" s="28"/>
      <c r="E194" s="26"/>
      <c r="F194" s="26"/>
    </row>
    <row r="195" customFormat="false" ht="15" hidden="false" customHeight="false" outlineLevel="0" collapsed="false">
      <c r="A195" s="25"/>
      <c r="B195" s="26"/>
      <c r="C195" s="27"/>
      <c r="D195" s="28"/>
      <c r="E195" s="26"/>
      <c r="F195" s="26"/>
    </row>
    <row r="196" customFormat="false" ht="15" hidden="false" customHeight="false" outlineLevel="0" collapsed="false">
      <c r="A196" s="25"/>
      <c r="B196" s="26"/>
      <c r="C196" s="27"/>
      <c r="D196" s="28"/>
      <c r="E196" s="26"/>
      <c r="F196" s="26"/>
    </row>
    <row r="197" customFormat="false" ht="15" hidden="false" customHeight="false" outlineLevel="0" collapsed="false">
      <c r="A197" s="25"/>
      <c r="B197" s="26"/>
      <c r="C197" s="27"/>
      <c r="D197" s="28"/>
      <c r="E197" s="26"/>
      <c r="F197" s="26"/>
    </row>
    <row r="198" customFormat="false" ht="15" hidden="false" customHeight="false" outlineLevel="0" collapsed="false">
      <c r="A198" s="25"/>
      <c r="B198" s="26"/>
      <c r="C198" s="27"/>
      <c r="D198" s="28"/>
      <c r="E198" s="26"/>
      <c r="F198" s="26"/>
    </row>
    <row r="199" customFormat="false" ht="15" hidden="false" customHeight="false" outlineLevel="0" collapsed="false">
      <c r="A199" s="25"/>
      <c r="B199" s="26"/>
      <c r="C199" s="27"/>
      <c r="D199" s="28"/>
      <c r="E199" s="26"/>
      <c r="F199" s="26"/>
    </row>
    <row r="200" customFormat="false" ht="15" hidden="false" customHeight="false" outlineLevel="0" collapsed="false">
      <c r="A200" s="25"/>
      <c r="B200" s="26"/>
      <c r="C200" s="27"/>
      <c r="D200" s="28"/>
      <c r="E200" s="26"/>
      <c r="F200" s="26"/>
    </row>
    <row r="201" customFormat="false" ht="15" hidden="false" customHeight="false" outlineLevel="0" collapsed="false">
      <c r="A201" s="25"/>
      <c r="B201" s="26"/>
      <c r="C201" s="27"/>
      <c r="D201" s="28"/>
      <c r="E201" s="26"/>
      <c r="F201" s="26"/>
    </row>
    <row r="202" customFormat="false" ht="15" hidden="false" customHeight="false" outlineLevel="0" collapsed="false">
      <c r="A202" s="25"/>
      <c r="B202" s="26"/>
      <c r="C202" s="27"/>
      <c r="D202" s="28"/>
      <c r="E202" s="26"/>
      <c r="F202" s="26"/>
    </row>
    <row r="203" customFormat="false" ht="15" hidden="false" customHeight="false" outlineLevel="0" collapsed="false">
      <c r="A203" s="25"/>
      <c r="B203" s="26"/>
      <c r="C203" s="27"/>
      <c r="D203" s="28"/>
      <c r="E203" s="26"/>
      <c r="F203" s="26"/>
    </row>
    <row r="204" customFormat="false" ht="15" hidden="false" customHeight="false" outlineLevel="0" collapsed="false">
      <c r="A204" s="25"/>
      <c r="B204" s="26"/>
      <c r="C204" s="27"/>
      <c r="D204" s="28"/>
      <c r="E204" s="26"/>
      <c r="F204" s="26"/>
    </row>
  </sheetData>
  <dataValidations count="5">
    <dataValidation allowBlank="true" error="Listeden seç." errorStyle="stop" errorTitle="Kontrol" operator="between" showDropDown="false" showErrorMessage="true" showInputMessage="false" sqref="B5:B204" type="list">
      <formula1>"Giriş,Çıkış"</formula1>
      <formula2>0</formula2>
    </dataValidation>
    <dataValidation allowBlank="true" error="Sıfır ya da daha büyük bir sayı gir." errorStyle="stop" errorTitle="Kontrol" operator="greaterThanOrEqual" showDropDown="false" showErrorMessage="true" showInputMessage="false" sqref="C5:C204" type="decimal">
      <formula1>0</formula1>
      <formula2>0</formula2>
    </dataValidation>
    <dataValidation allowBlank="true" error="Geçerli bir tarih gir (örnek: 05.10.2026)." errorStyle="stop" errorTitle="Kontrol" operator="greaterThan" showDropDown="false" showErrorMessage="true" showInputMessage="false" sqref="D5:D204" type="date">
      <formula1>36526</formula1>
      <formula2>0</formula2>
    </dataValidation>
    <dataValidation allowBlank="true" error="Listeden seç." errorStyle="stop" errorTitle="Kontrol" operator="between" showDropDown="false" showErrorMessage="true" showInputMessage="false" sqref="E5:E204" type="list">
      <formula1>"Tek sefer,Haftalık,Aylık"</formula1>
      <formula2>0</formula2>
    </dataValidation>
    <dataValidation allowBlank="true" error="Listeden seç." errorStyle="stop" errorTitle="Kontrol" operator="between" showDropDown="false" showErrorMessage="true" showInputMessage="false" sqref="F5:F204" type="list">
      <formula1>"Kesin,Olası"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N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</cols>
  <sheetData>
    <row r="1" customFormat="false" ht="19.7" hidden="false" customHeight="false" outlineLevel="0" collapsed="false">
      <c r="A1" s="8" t="s">
        <v>64</v>
      </c>
    </row>
    <row r="2" customFormat="false" ht="15" hidden="false" customHeight="false" outlineLevel="0" collapsed="false">
      <c r="A2" s="9" t="s">
        <v>65</v>
      </c>
    </row>
    <row r="5" customFormat="false" ht="15" hidden="false" customHeight="false" outlineLevel="0" collapsed="false">
      <c r="A5" s="0" t="str">
        <f aca="false">IF(Kalemler!A5="","",Kalemler!A5)</f>
        <v>Müşteri Alfa tahsilatı</v>
      </c>
      <c r="B5" s="0" t="n">
        <f aca="false">IF(OR(Kalemler!$A5="",Kalemler!$C5="",Kalemler!$D5=""),0,Kalemler!$C5*IF(Kalemler!$E5="Haftalık",IF(Kalemler!$D5&lt;=(Tahmin!$C$4+6),1,0),IF(Kalemler!$E5="Aylık",IF(OR(AND(DATE(YEAR((Tahmin!$C$4+0)),MONTH((Tahmin!$C$4+0)),MIN(DAY(Kalemler!$D5),DAY(EOMONTH((Tahmin!$C$4+0),0))))&gt;=(Tahmin!$C$4+0),DATE(YEAR((Tahmin!$C$4+0)),MONTH((Tahmin!$C$4+0)),MIN(DAY(Kalemler!$D5),DAY(EOMONTH((Tahmin!$C$4+0),0))))&lt;=(Tahmin!$C$4+6),DATE(YEAR((Tahmin!$C$4+0)),MONTH((Tahmin!$C$4+0)),MIN(DAY(Kalemler!$D5),DAY(EOMONTH((Tahmin!$C$4+0),0))))&gt;=Kalemler!$D5),AND(DATE(YEAR((Tahmin!$C$4+6)),MONTH((Tahmin!$C$4+6)),MIN(DAY(Kalemler!$D5),DAY(EOMONTH((Tahmin!$C$4+6),0))))&gt;=(Tahmin!$C$4+0),DATE(YEAR((Tahmin!$C$4+6)),MONTH((Tahmin!$C$4+6)),MIN(DAY(Kalemler!$D5),DAY(EOMONTH((Tahmin!$C$4+6),0))))&lt;=(Tahmin!$C$4+6),DATE(YEAR((Tahmin!$C$4+6)),MONTH((Tahmin!$C$4+6)),MIN(DAY(Kalemler!$D5),DAY(EOMONTH((Tahmin!$C$4+6),0))))&lt;&gt;DATE(YEAR((Tahmin!$C$4+0)),MONTH((Tahmin!$C$4+0)),MIN(DAY(Kalemler!$D5),DAY(EOMONTH((Tahmin!$C$4+0),0)))),DATE(YEAR((Tahmin!$C$4+6)),MONTH((Tahmin!$C$4+6)),MIN(DAY(Kalemler!$D5),DAY(EOMONTH((Tahmin!$C$4+6),0))))&gt;=Kalemler!$D5)),1,0),IF(AND(Kalemler!$D5&gt;=(Tahmin!$C$4+0),Kalemler!$D5&lt;=(Tahmin!$C$4+6)),1,0))))</f>
        <v>60000</v>
      </c>
      <c r="C5" s="0" t="n">
        <f aca="false">IF(OR(Kalemler!$A5="",Kalemler!$C5="",Kalemler!$D5=""),0,Kalemler!$C5*IF(Kalemler!$E5="Haftalık",IF(Kalemler!$D5&lt;=(Tahmin!$C$4+13),1,0),IF(Kalemler!$E5="Aylık",IF(OR(AND(DATE(YEAR((Tahmin!$C$4+7)),MONTH((Tahmin!$C$4+7)),MIN(DAY(Kalemler!$D5),DAY(EOMONTH((Tahmin!$C$4+7),0))))&gt;=(Tahmin!$C$4+7),DATE(YEAR((Tahmin!$C$4+7)),MONTH((Tahmin!$C$4+7)),MIN(DAY(Kalemler!$D5),DAY(EOMONTH((Tahmin!$C$4+7),0))))&lt;=(Tahmin!$C$4+13),DATE(YEAR((Tahmin!$C$4+7)),MONTH((Tahmin!$C$4+7)),MIN(DAY(Kalemler!$D5),DAY(EOMONTH((Tahmin!$C$4+7),0))))&gt;=Kalemler!$D5),AND(DATE(YEAR((Tahmin!$C$4+13)),MONTH((Tahmin!$C$4+13)),MIN(DAY(Kalemler!$D5),DAY(EOMONTH((Tahmin!$C$4+13),0))))&gt;=(Tahmin!$C$4+7),DATE(YEAR((Tahmin!$C$4+13)),MONTH((Tahmin!$C$4+13)),MIN(DAY(Kalemler!$D5),DAY(EOMONTH((Tahmin!$C$4+13),0))))&lt;=(Tahmin!$C$4+13),DATE(YEAR((Tahmin!$C$4+13)),MONTH((Tahmin!$C$4+13)),MIN(DAY(Kalemler!$D5),DAY(EOMONTH((Tahmin!$C$4+13),0))))&lt;&gt;DATE(YEAR((Tahmin!$C$4+7)),MONTH((Tahmin!$C$4+7)),MIN(DAY(Kalemler!$D5),DAY(EOMONTH((Tahmin!$C$4+7),0)))),DATE(YEAR((Tahmin!$C$4+13)),MONTH((Tahmin!$C$4+13)),MIN(DAY(Kalemler!$D5),DAY(EOMONTH((Tahmin!$C$4+13),0))))&gt;=Kalemler!$D5)),1,0),IF(AND(Kalemler!$D5&gt;=(Tahmin!$C$4+7),Kalemler!$D5&lt;=(Tahmin!$C$4+13)),1,0))))</f>
        <v>0</v>
      </c>
      <c r="D5" s="0" t="n">
        <f aca="false">IF(OR(Kalemler!$A5="",Kalemler!$C5="",Kalemler!$D5=""),0,Kalemler!$C5*IF(Kalemler!$E5="Haftalık",IF(Kalemler!$D5&lt;=(Tahmin!$C$4+20),1,0),IF(Kalemler!$E5="Aylık",IF(OR(AND(DATE(YEAR((Tahmin!$C$4+14)),MONTH((Tahmin!$C$4+14)),MIN(DAY(Kalemler!$D5),DAY(EOMONTH((Tahmin!$C$4+14),0))))&gt;=(Tahmin!$C$4+14),DATE(YEAR((Tahmin!$C$4+14)),MONTH((Tahmin!$C$4+14)),MIN(DAY(Kalemler!$D5),DAY(EOMONTH((Tahmin!$C$4+14),0))))&lt;=(Tahmin!$C$4+20),DATE(YEAR((Tahmin!$C$4+14)),MONTH((Tahmin!$C$4+14)),MIN(DAY(Kalemler!$D5),DAY(EOMONTH((Tahmin!$C$4+14),0))))&gt;=Kalemler!$D5),AND(DATE(YEAR((Tahmin!$C$4+20)),MONTH((Tahmin!$C$4+20)),MIN(DAY(Kalemler!$D5),DAY(EOMONTH((Tahmin!$C$4+20),0))))&gt;=(Tahmin!$C$4+14),DATE(YEAR((Tahmin!$C$4+20)),MONTH((Tahmin!$C$4+20)),MIN(DAY(Kalemler!$D5),DAY(EOMONTH((Tahmin!$C$4+20),0))))&lt;=(Tahmin!$C$4+20),DATE(YEAR((Tahmin!$C$4+20)),MONTH((Tahmin!$C$4+20)),MIN(DAY(Kalemler!$D5),DAY(EOMONTH((Tahmin!$C$4+20),0))))&lt;&gt;DATE(YEAR((Tahmin!$C$4+14)),MONTH((Tahmin!$C$4+14)),MIN(DAY(Kalemler!$D5),DAY(EOMONTH((Tahmin!$C$4+14),0)))),DATE(YEAR((Tahmin!$C$4+20)),MONTH((Tahmin!$C$4+20)),MIN(DAY(Kalemler!$D5),DAY(EOMONTH((Tahmin!$C$4+20),0))))&gt;=Kalemler!$D5)),1,0),IF(AND(Kalemler!$D5&gt;=(Tahmin!$C$4+14),Kalemler!$D5&lt;=(Tahmin!$C$4+20)),1,0))))</f>
        <v>0</v>
      </c>
      <c r="E5" s="0" t="n">
        <f aca="false">IF(OR(Kalemler!$A5="",Kalemler!$C5="",Kalemler!$D5=""),0,Kalemler!$C5*IF(Kalemler!$E5="Haftalık",IF(Kalemler!$D5&lt;=(Tahmin!$C$4+27),1,0),IF(Kalemler!$E5="Aylık",IF(OR(AND(DATE(YEAR((Tahmin!$C$4+21)),MONTH((Tahmin!$C$4+21)),MIN(DAY(Kalemler!$D5),DAY(EOMONTH((Tahmin!$C$4+21),0))))&gt;=(Tahmin!$C$4+21),DATE(YEAR((Tahmin!$C$4+21)),MONTH((Tahmin!$C$4+21)),MIN(DAY(Kalemler!$D5),DAY(EOMONTH((Tahmin!$C$4+21),0))))&lt;=(Tahmin!$C$4+27),DATE(YEAR((Tahmin!$C$4+21)),MONTH((Tahmin!$C$4+21)),MIN(DAY(Kalemler!$D5),DAY(EOMONTH((Tahmin!$C$4+21),0))))&gt;=Kalemler!$D5),AND(DATE(YEAR((Tahmin!$C$4+27)),MONTH((Tahmin!$C$4+27)),MIN(DAY(Kalemler!$D5),DAY(EOMONTH((Tahmin!$C$4+27),0))))&gt;=(Tahmin!$C$4+21),DATE(YEAR((Tahmin!$C$4+27)),MONTH((Tahmin!$C$4+27)),MIN(DAY(Kalemler!$D5),DAY(EOMONTH((Tahmin!$C$4+27),0))))&lt;=(Tahmin!$C$4+27),DATE(YEAR((Tahmin!$C$4+27)),MONTH((Tahmin!$C$4+27)),MIN(DAY(Kalemler!$D5),DAY(EOMONTH((Tahmin!$C$4+27),0))))&lt;&gt;DATE(YEAR((Tahmin!$C$4+21)),MONTH((Tahmin!$C$4+21)),MIN(DAY(Kalemler!$D5),DAY(EOMONTH((Tahmin!$C$4+21),0)))),DATE(YEAR((Tahmin!$C$4+27)),MONTH((Tahmin!$C$4+27)),MIN(DAY(Kalemler!$D5),DAY(EOMONTH((Tahmin!$C$4+27),0))))&gt;=Kalemler!$D5)),1,0),IF(AND(Kalemler!$D5&gt;=(Tahmin!$C$4+21),Kalemler!$D5&lt;=(Tahmin!$C$4+27)),1,0))))</f>
        <v>0</v>
      </c>
      <c r="F5" s="0" t="n">
        <f aca="false">IF(OR(Kalemler!$A5="",Kalemler!$C5="",Kalemler!$D5=""),0,Kalemler!$C5*IF(Kalemler!$E5="Haftalık",IF(Kalemler!$D5&lt;=(Tahmin!$C$4+34),1,0),IF(Kalemler!$E5="Aylık",IF(OR(AND(DATE(YEAR((Tahmin!$C$4+28)),MONTH((Tahmin!$C$4+28)),MIN(DAY(Kalemler!$D5),DAY(EOMONTH((Tahmin!$C$4+28),0))))&gt;=(Tahmin!$C$4+28),DATE(YEAR((Tahmin!$C$4+28)),MONTH((Tahmin!$C$4+28)),MIN(DAY(Kalemler!$D5),DAY(EOMONTH((Tahmin!$C$4+28),0))))&lt;=(Tahmin!$C$4+34),DATE(YEAR((Tahmin!$C$4+28)),MONTH((Tahmin!$C$4+28)),MIN(DAY(Kalemler!$D5),DAY(EOMONTH((Tahmin!$C$4+28),0))))&gt;=Kalemler!$D5),AND(DATE(YEAR((Tahmin!$C$4+34)),MONTH((Tahmin!$C$4+34)),MIN(DAY(Kalemler!$D5),DAY(EOMONTH((Tahmin!$C$4+34),0))))&gt;=(Tahmin!$C$4+28),DATE(YEAR((Tahmin!$C$4+34)),MONTH((Tahmin!$C$4+34)),MIN(DAY(Kalemler!$D5),DAY(EOMONTH((Tahmin!$C$4+34),0))))&lt;=(Tahmin!$C$4+34),DATE(YEAR((Tahmin!$C$4+34)),MONTH((Tahmin!$C$4+34)),MIN(DAY(Kalemler!$D5),DAY(EOMONTH((Tahmin!$C$4+34),0))))&lt;&gt;DATE(YEAR((Tahmin!$C$4+28)),MONTH((Tahmin!$C$4+28)),MIN(DAY(Kalemler!$D5),DAY(EOMONTH((Tahmin!$C$4+28),0)))),DATE(YEAR((Tahmin!$C$4+34)),MONTH((Tahmin!$C$4+34)),MIN(DAY(Kalemler!$D5),DAY(EOMONTH((Tahmin!$C$4+34),0))))&gt;=Kalemler!$D5)),1,0),IF(AND(Kalemler!$D5&gt;=(Tahmin!$C$4+28),Kalemler!$D5&lt;=(Tahmin!$C$4+34)),1,0))))</f>
        <v>0</v>
      </c>
      <c r="G5" s="0" t="n">
        <f aca="false">IF(OR(Kalemler!$A5="",Kalemler!$C5="",Kalemler!$D5=""),0,Kalemler!$C5*IF(Kalemler!$E5="Haftalık",IF(Kalemler!$D5&lt;=(Tahmin!$C$4+41),1,0),IF(Kalemler!$E5="Aylık",IF(OR(AND(DATE(YEAR((Tahmin!$C$4+35)),MONTH((Tahmin!$C$4+35)),MIN(DAY(Kalemler!$D5),DAY(EOMONTH((Tahmin!$C$4+35),0))))&gt;=(Tahmin!$C$4+35),DATE(YEAR((Tahmin!$C$4+35)),MONTH((Tahmin!$C$4+35)),MIN(DAY(Kalemler!$D5),DAY(EOMONTH((Tahmin!$C$4+35),0))))&lt;=(Tahmin!$C$4+41),DATE(YEAR((Tahmin!$C$4+35)),MONTH((Tahmin!$C$4+35)),MIN(DAY(Kalemler!$D5),DAY(EOMONTH((Tahmin!$C$4+35),0))))&gt;=Kalemler!$D5),AND(DATE(YEAR((Tahmin!$C$4+41)),MONTH((Tahmin!$C$4+41)),MIN(DAY(Kalemler!$D5),DAY(EOMONTH((Tahmin!$C$4+41),0))))&gt;=(Tahmin!$C$4+35),DATE(YEAR((Tahmin!$C$4+41)),MONTH((Tahmin!$C$4+41)),MIN(DAY(Kalemler!$D5),DAY(EOMONTH((Tahmin!$C$4+41),0))))&lt;=(Tahmin!$C$4+41),DATE(YEAR((Tahmin!$C$4+41)),MONTH((Tahmin!$C$4+41)),MIN(DAY(Kalemler!$D5),DAY(EOMONTH((Tahmin!$C$4+41),0))))&lt;&gt;DATE(YEAR((Tahmin!$C$4+35)),MONTH((Tahmin!$C$4+35)),MIN(DAY(Kalemler!$D5),DAY(EOMONTH((Tahmin!$C$4+35),0)))),DATE(YEAR((Tahmin!$C$4+41)),MONTH((Tahmin!$C$4+41)),MIN(DAY(Kalemler!$D5),DAY(EOMONTH((Tahmin!$C$4+41),0))))&gt;=Kalemler!$D5)),1,0),IF(AND(Kalemler!$D5&gt;=(Tahmin!$C$4+35),Kalemler!$D5&lt;=(Tahmin!$C$4+41)),1,0))))</f>
        <v>0</v>
      </c>
      <c r="H5" s="0" t="n">
        <f aca="false">IF(OR(Kalemler!$A5="",Kalemler!$C5="",Kalemler!$D5=""),0,Kalemler!$C5*IF(Kalemler!$E5="Haftalık",IF(Kalemler!$D5&lt;=(Tahmin!$C$4+48),1,0),IF(Kalemler!$E5="Aylık",IF(OR(AND(DATE(YEAR((Tahmin!$C$4+42)),MONTH((Tahmin!$C$4+42)),MIN(DAY(Kalemler!$D5),DAY(EOMONTH((Tahmin!$C$4+42),0))))&gt;=(Tahmin!$C$4+42),DATE(YEAR((Tahmin!$C$4+42)),MONTH((Tahmin!$C$4+42)),MIN(DAY(Kalemler!$D5),DAY(EOMONTH((Tahmin!$C$4+42),0))))&lt;=(Tahmin!$C$4+48),DATE(YEAR((Tahmin!$C$4+42)),MONTH((Tahmin!$C$4+42)),MIN(DAY(Kalemler!$D5),DAY(EOMONTH((Tahmin!$C$4+42),0))))&gt;=Kalemler!$D5),AND(DATE(YEAR((Tahmin!$C$4+48)),MONTH((Tahmin!$C$4+48)),MIN(DAY(Kalemler!$D5),DAY(EOMONTH((Tahmin!$C$4+48),0))))&gt;=(Tahmin!$C$4+42),DATE(YEAR((Tahmin!$C$4+48)),MONTH((Tahmin!$C$4+48)),MIN(DAY(Kalemler!$D5),DAY(EOMONTH((Tahmin!$C$4+48),0))))&lt;=(Tahmin!$C$4+48),DATE(YEAR((Tahmin!$C$4+48)),MONTH((Tahmin!$C$4+48)),MIN(DAY(Kalemler!$D5),DAY(EOMONTH((Tahmin!$C$4+48),0))))&lt;&gt;DATE(YEAR((Tahmin!$C$4+42)),MONTH((Tahmin!$C$4+42)),MIN(DAY(Kalemler!$D5),DAY(EOMONTH((Tahmin!$C$4+42),0)))),DATE(YEAR((Tahmin!$C$4+48)),MONTH((Tahmin!$C$4+48)),MIN(DAY(Kalemler!$D5),DAY(EOMONTH((Tahmin!$C$4+48),0))))&gt;=Kalemler!$D5)),1,0),IF(AND(Kalemler!$D5&gt;=(Tahmin!$C$4+42),Kalemler!$D5&lt;=(Tahmin!$C$4+48)),1,0))))</f>
        <v>0</v>
      </c>
      <c r="I5" s="0" t="n">
        <f aca="false">IF(OR(Kalemler!$A5="",Kalemler!$C5="",Kalemler!$D5=""),0,Kalemler!$C5*IF(Kalemler!$E5="Haftalık",IF(Kalemler!$D5&lt;=(Tahmin!$C$4+55),1,0),IF(Kalemler!$E5="Aylık",IF(OR(AND(DATE(YEAR((Tahmin!$C$4+49)),MONTH((Tahmin!$C$4+49)),MIN(DAY(Kalemler!$D5),DAY(EOMONTH((Tahmin!$C$4+49),0))))&gt;=(Tahmin!$C$4+49),DATE(YEAR((Tahmin!$C$4+49)),MONTH((Tahmin!$C$4+49)),MIN(DAY(Kalemler!$D5),DAY(EOMONTH((Tahmin!$C$4+49),0))))&lt;=(Tahmin!$C$4+55),DATE(YEAR((Tahmin!$C$4+49)),MONTH((Tahmin!$C$4+49)),MIN(DAY(Kalemler!$D5),DAY(EOMONTH((Tahmin!$C$4+49),0))))&gt;=Kalemler!$D5),AND(DATE(YEAR((Tahmin!$C$4+55)),MONTH((Tahmin!$C$4+55)),MIN(DAY(Kalemler!$D5),DAY(EOMONTH((Tahmin!$C$4+55),0))))&gt;=(Tahmin!$C$4+49),DATE(YEAR((Tahmin!$C$4+55)),MONTH((Tahmin!$C$4+55)),MIN(DAY(Kalemler!$D5),DAY(EOMONTH((Tahmin!$C$4+55),0))))&lt;=(Tahmin!$C$4+55),DATE(YEAR((Tahmin!$C$4+55)),MONTH((Tahmin!$C$4+55)),MIN(DAY(Kalemler!$D5),DAY(EOMONTH((Tahmin!$C$4+55),0))))&lt;&gt;DATE(YEAR((Tahmin!$C$4+49)),MONTH((Tahmin!$C$4+49)),MIN(DAY(Kalemler!$D5),DAY(EOMONTH((Tahmin!$C$4+49),0)))),DATE(YEAR((Tahmin!$C$4+55)),MONTH((Tahmin!$C$4+55)),MIN(DAY(Kalemler!$D5),DAY(EOMONTH((Tahmin!$C$4+55),0))))&gt;=Kalemler!$D5)),1,0),IF(AND(Kalemler!$D5&gt;=(Tahmin!$C$4+49),Kalemler!$D5&lt;=(Tahmin!$C$4+55)),1,0))))</f>
        <v>0</v>
      </c>
      <c r="J5" s="0" t="n">
        <f aca="false">IF(OR(Kalemler!$A5="",Kalemler!$C5="",Kalemler!$D5=""),0,Kalemler!$C5*IF(Kalemler!$E5="Haftalık",IF(Kalemler!$D5&lt;=(Tahmin!$C$4+62),1,0),IF(Kalemler!$E5="Aylık",IF(OR(AND(DATE(YEAR((Tahmin!$C$4+56)),MONTH((Tahmin!$C$4+56)),MIN(DAY(Kalemler!$D5),DAY(EOMONTH((Tahmin!$C$4+56),0))))&gt;=(Tahmin!$C$4+56),DATE(YEAR((Tahmin!$C$4+56)),MONTH((Tahmin!$C$4+56)),MIN(DAY(Kalemler!$D5),DAY(EOMONTH((Tahmin!$C$4+56),0))))&lt;=(Tahmin!$C$4+62),DATE(YEAR((Tahmin!$C$4+56)),MONTH((Tahmin!$C$4+56)),MIN(DAY(Kalemler!$D5),DAY(EOMONTH((Tahmin!$C$4+56),0))))&gt;=Kalemler!$D5),AND(DATE(YEAR((Tahmin!$C$4+62)),MONTH((Tahmin!$C$4+62)),MIN(DAY(Kalemler!$D5),DAY(EOMONTH((Tahmin!$C$4+62),0))))&gt;=(Tahmin!$C$4+56),DATE(YEAR((Tahmin!$C$4+62)),MONTH((Tahmin!$C$4+62)),MIN(DAY(Kalemler!$D5),DAY(EOMONTH((Tahmin!$C$4+62),0))))&lt;=(Tahmin!$C$4+62),DATE(YEAR((Tahmin!$C$4+62)),MONTH((Tahmin!$C$4+62)),MIN(DAY(Kalemler!$D5),DAY(EOMONTH((Tahmin!$C$4+62),0))))&lt;&gt;DATE(YEAR((Tahmin!$C$4+56)),MONTH((Tahmin!$C$4+56)),MIN(DAY(Kalemler!$D5),DAY(EOMONTH((Tahmin!$C$4+56),0)))),DATE(YEAR((Tahmin!$C$4+62)),MONTH((Tahmin!$C$4+62)),MIN(DAY(Kalemler!$D5),DAY(EOMONTH((Tahmin!$C$4+62),0))))&gt;=Kalemler!$D5)),1,0),IF(AND(Kalemler!$D5&gt;=(Tahmin!$C$4+56),Kalemler!$D5&lt;=(Tahmin!$C$4+62)),1,0))))</f>
        <v>0</v>
      </c>
      <c r="K5" s="0" t="n">
        <f aca="false">IF(OR(Kalemler!$A5="",Kalemler!$C5="",Kalemler!$D5=""),0,Kalemler!$C5*IF(Kalemler!$E5="Haftalık",IF(Kalemler!$D5&lt;=(Tahmin!$C$4+69),1,0),IF(Kalemler!$E5="Aylık",IF(OR(AND(DATE(YEAR((Tahmin!$C$4+63)),MONTH((Tahmin!$C$4+63)),MIN(DAY(Kalemler!$D5),DAY(EOMONTH((Tahmin!$C$4+63),0))))&gt;=(Tahmin!$C$4+63),DATE(YEAR((Tahmin!$C$4+63)),MONTH((Tahmin!$C$4+63)),MIN(DAY(Kalemler!$D5),DAY(EOMONTH((Tahmin!$C$4+63),0))))&lt;=(Tahmin!$C$4+69),DATE(YEAR((Tahmin!$C$4+63)),MONTH((Tahmin!$C$4+63)),MIN(DAY(Kalemler!$D5),DAY(EOMONTH((Tahmin!$C$4+63),0))))&gt;=Kalemler!$D5),AND(DATE(YEAR((Tahmin!$C$4+69)),MONTH((Tahmin!$C$4+69)),MIN(DAY(Kalemler!$D5),DAY(EOMONTH((Tahmin!$C$4+69),0))))&gt;=(Tahmin!$C$4+63),DATE(YEAR((Tahmin!$C$4+69)),MONTH((Tahmin!$C$4+69)),MIN(DAY(Kalemler!$D5),DAY(EOMONTH((Tahmin!$C$4+69),0))))&lt;=(Tahmin!$C$4+69),DATE(YEAR((Tahmin!$C$4+69)),MONTH((Tahmin!$C$4+69)),MIN(DAY(Kalemler!$D5),DAY(EOMONTH((Tahmin!$C$4+69),0))))&lt;&gt;DATE(YEAR((Tahmin!$C$4+63)),MONTH((Tahmin!$C$4+63)),MIN(DAY(Kalemler!$D5),DAY(EOMONTH((Tahmin!$C$4+63),0)))),DATE(YEAR((Tahmin!$C$4+69)),MONTH((Tahmin!$C$4+69)),MIN(DAY(Kalemler!$D5),DAY(EOMONTH((Tahmin!$C$4+69),0))))&gt;=Kalemler!$D5)),1,0),IF(AND(Kalemler!$D5&gt;=(Tahmin!$C$4+63),Kalemler!$D5&lt;=(Tahmin!$C$4+69)),1,0))))</f>
        <v>0</v>
      </c>
      <c r="L5" s="0" t="n">
        <f aca="false">IF(OR(Kalemler!$A5="",Kalemler!$C5="",Kalemler!$D5=""),0,Kalemler!$C5*IF(Kalemler!$E5="Haftalık",IF(Kalemler!$D5&lt;=(Tahmin!$C$4+76),1,0),IF(Kalemler!$E5="Aylık",IF(OR(AND(DATE(YEAR((Tahmin!$C$4+70)),MONTH((Tahmin!$C$4+70)),MIN(DAY(Kalemler!$D5),DAY(EOMONTH((Tahmin!$C$4+70),0))))&gt;=(Tahmin!$C$4+70),DATE(YEAR((Tahmin!$C$4+70)),MONTH((Tahmin!$C$4+70)),MIN(DAY(Kalemler!$D5),DAY(EOMONTH((Tahmin!$C$4+70),0))))&lt;=(Tahmin!$C$4+76),DATE(YEAR((Tahmin!$C$4+70)),MONTH((Tahmin!$C$4+70)),MIN(DAY(Kalemler!$D5),DAY(EOMONTH((Tahmin!$C$4+70),0))))&gt;=Kalemler!$D5),AND(DATE(YEAR((Tahmin!$C$4+76)),MONTH((Tahmin!$C$4+76)),MIN(DAY(Kalemler!$D5),DAY(EOMONTH((Tahmin!$C$4+76),0))))&gt;=(Tahmin!$C$4+70),DATE(YEAR((Tahmin!$C$4+76)),MONTH((Tahmin!$C$4+76)),MIN(DAY(Kalemler!$D5),DAY(EOMONTH((Tahmin!$C$4+76),0))))&lt;=(Tahmin!$C$4+76),DATE(YEAR((Tahmin!$C$4+76)),MONTH((Tahmin!$C$4+76)),MIN(DAY(Kalemler!$D5),DAY(EOMONTH((Tahmin!$C$4+76),0))))&lt;&gt;DATE(YEAR((Tahmin!$C$4+70)),MONTH((Tahmin!$C$4+70)),MIN(DAY(Kalemler!$D5),DAY(EOMONTH((Tahmin!$C$4+70),0)))),DATE(YEAR((Tahmin!$C$4+76)),MONTH((Tahmin!$C$4+76)),MIN(DAY(Kalemler!$D5),DAY(EOMONTH((Tahmin!$C$4+76),0))))&gt;=Kalemler!$D5)),1,0),IF(AND(Kalemler!$D5&gt;=(Tahmin!$C$4+70),Kalemler!$D5&lt;=(Tahmin!$C$4+76)),1,0))))</f>
        <v>0</v>
      </c>
      <c r="M5" s="0" t="n">
        <f aca="false">IF(OR(Kalemler!$A5="",Kalemler!$C5="",Kalemler!$D5=""),0,Kalemler!$C5*IF(Kalemler!$E5="Haftalık",IF(Kalemler!$D5&lt;=(Tahmin!$C$4+83),1,0),IF(Kalemler!$E5="Aylık",IF(OR(AND(DATE(YEAR((Tahmin!$C$4+77)),MONTH((Tahmin!$C$4+77)),MIN(DAY(Kalemler!$D5),DAY(EOMONTH((Tahmin!$C$4+77),0))))&gt;=(Tahmin!$C$4+77),DATE(YEAR((Tahmin!$C$4+77)),MONTH((Tahmin!$C$4+77)),MIN(DAY(Kalemler!$D5),DAY(EOMONTH((Tahmin!$C$4+77),0))))&lt;=(Tahmin!$C$4+83),DATE(YEAR((Tahmin!$C$4+77)),MONTH((Tahmin!$C$4+77)),MIN(DAY(Kalemler!$D5),DAY(EOMONTH((Tahmin!$C$4+77),0))))&gt;=Kalemler!$D5),AND(DATE(YEAR((Tahmin!$C$4+83)),MONTH((Tahmin!$C$4+83)),MIN(DAY(Kalemler!$D5),DAY(EOMONTH((Tahmin!$C$4+83),0))))&gt;=(Tahmin!$C$4+77),DATE(YEAR((Tahmin!$C$4+83)),MONTH((Tahmin!$C$4+83)),MIN(DAY(Kalemler!$D5),DAY(EOMONTH((Tahmin!$C$4+83),0))))&lt;=(Tahmin!$C$4+83),DATE(YEAR((Tahmin!$C$4+83)),MONTH((Tahmin!$C$4+83)),MIN(DAY(Kalemler!$D5),DAY(EOMONTH((Tahmin!$C$4+83),0))))&lt;&gt;DATE(YEAR((Tahmin!$C$4+77)),MONTH((Tahmin!$C$4+77)),MIN(DAY(Kalemler!$D5),DAY(EOMONTH((Tahmin!$C$4+77),0)))),DATE(YEAR((Tahmin!$C$4+83)),MONTH((Tahmin!$C$4+83)),MIN(DAY(Kalemler!$D5),DAY(EOMONTH((Tahmin!$C$4+83),0))))&gt;=Kalemler!$D5)),1,0),IF(AND(Kalemler!$D5&gt;=(Tahmin!$C$4+77),Kalemler!$D5&lt;=(Tahmin!$C$4+83)),1,0))))</f>
        <v>0</v>
      </c>
      <c r="N5" s="0" t="n">
        <f aca="false">IF(OR(Kalemler!$A5="",Kalemler!$C5="",Kalemler!$D5=""),0,Kalemler!$C5*IF(Kalemler!$E5="Haftalık",IF(Kalemler!$D5&lt;=(Tahmin!$C$4+90),1,0),IF(Kalemler!$E5="Aylık",IF(OR(AND(DATE(YEAR((Tahmin!$C$4+84)),MONTH((Tahmin!$C$4+84)),MIN(DAY(Kalemler!$D5),DAY(EOMONTH((Tahmin!$C$4+84),0))))&gt;=(Tahmin!$C$4+84),DATE(YEAR((Tahmin!$C$4+84)),MONTH((Tahmin!$C$4+84)),MIN(DAY(Kalemler!$D5),DAY(EOMONTH((Tahmin!$C$4+84),0))))&lt;=(Tahmin!$C$4+90),DATE(YEAR((Tahmin!$C$4+84)),MONTH((Tahmin!$C$4+84)),MIN(DAY(Kalemler!$D5),DAY(EOMONTH((Tahmin!$C$4+84),0))))&gt;=Kalemler!$D5),AND(DATE(YEAR((Tahmin!$C$4+90)),MONTH((Tahmin!$C$4+90)),MIN(DAY(Kalemler!$D5),DAY(EOMONTH((Tahmin!$C$4+90),0))))&gt;=(Tahmin!$C$4+84),DATE(YEAR((Tahmin!$C$4+90)),MONTH((Tahmin!$C$4+90)),MIN(DAY(Kalemler!$D5),DAY(EOMONTH((Tahmin!$C$4+90),0))))&lt;=(Tahmin!$C$4+90),DATE(YEAR((Tahmin!$C$4+90)),MONTH((Tahmin!$C$4+90)),MIN(DAY(Kalemler!$D5),DAY(EOMONTH((Tahmin!$C$4+90),0))))&lt;&gt;DATE(YEAR((Tahmin!$C$4+84)),MONTH((Tahmin!$C$4+84)),MIN(DAY(Kalemler!$D5),DAY(EOMONTH((Tahmin!$C$4+84),0)))),DATE(YEAR((Tahmin!$C$4+90)),MONTH((Tahmin!$C$4+90)),MIN(DAY(Kalemler!$D5),DAY(EOMONTH((Tahmin!$C$4+90),0))))&gt;=Kalemler!$D5)),1,0),IF(AND(Kalemler!$D5&gt;=(Tahmin!$C$4+84),Kalemler!$D5&lt;=(Tahmin!$C$4+90)),1,0))))</f>
        <v>0</v>
      </c>
    </row>
    <row r="6" customFormat="false" ht="15" hidden="false" customHeight="false" outlineLevel="0" collapsed="false">
      <c r="A6" s="0" t="str">
        <f aca="false">IF(Kalemler!A6="","",Kalemler!A6)</f>
        <v>Haftalık nakit satış</v>
      </c>
      <c r="B6" s="0" t="n">
        <f aca="false">IF(OR(Kalemler!$A6="",Kalemler!$C6="",Kalemler!$D6=""),0,Kalemler!$C6*IF(Kalemler!$E6="Haftalık",IF(Kalemler!$D6&lt;=(Tahmin!$C$4+6),1,0),IF(Kalemler!$E6="Aylık",IF(OR(AND(DATE(YEAR((Tahmin!$C$4+0)),MONTH((Tahmin!$C$4+0)),MIN(DAY(Kalemler!$D6),DAY(EOMONTH((Tahmin!$C$4+0),0))))&gt;=(Tahmin!$C$4+0),DATE(YEAR((Tahmin!$C$4+0)),MONTH((Tahmin!$C$4+0)),MIN(DAY(Kalemler!$D6),DAY(EOMONTH((Tahmin!$C$4+0),0))))&lt;=(Tahmin!$C$4+6),DATE(YEAR((Tahmin!$C$4+0)),MONTH((Tahmin!$C$4+0)),MIN(DAY(Kalemler!$D6),DAY(EOMONTH((Tahmin!$C$4+0),0))))&gt;=Kalemler!$D6),AND(DATE(YEAR((Tahmin!$C$4+6)),MONTH((Tahmin!$C$4+6)),MIN(DAY(Kalemler!$D6),DAY(EOMONTH((Tahmin!$C$4+6),0))))&gt;=(Tahmin!$C$4+0),DATE(YEAR((Tahmin!$C$4+6)),MONTH((Tahmin!$C$4+6)),MIN(DAY(Kalemler!$D6),DAY(EOMONTH((Tahmin!$C$4+6),0))))&lt;=(Tahmin!$C$4+6),DATE(YEAR((Tahmin!$C$4+6)),MONTH((Tahmin!$C$4+6)),MIN(DAY(Kalemler!$D6),DAY(EOMONTH((Tahmin!$C$4+6),0))))&lt;&gt;DATE(YEAR((Tahmin!$C$4+0)),MONTH((Tahmin!$C$4+0)),MIN(DAY(Kalemler!$D6),DAY(EOMONTH((Tahmin!$C$4+0),0)))),DATE(YEAR((Tahmin!$C$4+6)),MONTH((Tahmin!$C$4+6)),MIN(DAY(Kalemler!$D6),DAY(EOMONTH((Tahmin!$C$4+6),0))))&gt;=Kalemler!$D6)),1,0),IF(AND(Kalemler!$D6&gt;=(Tahmin!$C$4+0),Kalemler!$D6&lt;=(Tahmin!$C$4+6)),1,0))))</f>
        <v>25000</v>
      </c>
      <c r="C6" s="0" t="n">
        <f aca="false">IF(OR(Kalemler!$A6="",Kalemler!$C6="",Kalemler!$D6=""),0,Kalemler!$C6*IF(Kalemler!$E6="Haftalık",IF(Kalemler!$D6&lt;=(Tahmin!$C$4+13),1,0),IF(Kalemler!$E6="Aylık",IF(OR(AND(DATE(YEAR((Tahmin!$C$4+7)),MONTH((Tahmin!$C$4+7)),MIN(DAY(Kalemler!$D6),DAY(EOMONTH((Tahmin!$C$4+7),0))))&gt;=(Tahmin!$C$4+7),DATE(YEAR((Tahmin!$C$4+7)),MONTH((Tahmin!$C$4+7)),MIN(DAY(Kalemler!$D6),DAY(EOMONTH((Tahmin!$C$4+7),0))))&lt;=(Tahmin!$C$4+13),DATE(YEAR((Tahmin!$C$4+7)),MONTH((Tahmin!$C$4+7)),MIN(DAY(Kalemler!$D6),DAY(EOMONTH((Tahmin!$C$4+7),0))))&gt;=Kalemler!$D6),AND(DATE(YEAR((Tahmin!$C$4+13)),MONTH((Tahmin!$C$4+13)),MIN(DAY(Kalemler!$D6),DAY(EOMONTH((Tahmin!$C$4+13),0))))&gt;=(Tahmin!$C$4+7),DATE(YEAR((Tahmin!$C$4+13)),MONTH((Tahmin!$C$4+13)),MIN(DAY(Kalemler!$D6),DAY(EOMONTH((Tahmin!$C$4+13),0))))&lt;=(Tahmin!$C$4+13),DATE(YEAR((Tahmin!$C$4+13)),MONTH((Tahmin!$C$4+13)),MIN(DAY(Kalemler!$D6),DAY(EOMONTH((Tahmin!$C$4+13),0))))&lt;&gt;DATE(YEAR((Tahmin!$C$4+7)),MONTH((Tahmin!$C$4+7)),MIN(DAY(Kalemler!$D6),DAY(EOMONTH((Tahmin!$C$4+7),0)))),DATE(YEAR((Tahmin!$C$4+13)),MONTH((Tahmin!$C$4+13)),MIN(DAY(Kalemler!$D6),DAY(EOMONTH((Tahmin!$C$4+13),0))))&gt;=Kalemler!$D6)),1,0),IF(AND(Kalemler!$D6&gt;=(Tahmin!$C$4+7),Kalemler!$D6&lt;=(Tahmin!$C$4+13)),1,0))))</f>
        <v>25000</v>
      </c>
      <c r="D6" s="0" t="n">
        <f aca="false">IF(OR(Kalemler!$A6="",Kalemler!$C6="",Kalemler!$D6=""),0,Kalemler!$C6*IF(Kalemler!$E6="Haftalık",IF(Kalemler!$D6&lt;=(Tahmin!$C$4+20),1,0),IF(Kalemler!$E6="Aylık",IF(OR(AND(DATE(YEAR((Tahmin!$C$4+14)),MONTH((Tahmin!$C$4+14)),MIN(DAY(Kalemler!$D6),DAY(EOMONTH((Tahmin!$C$4+14),0))))&gt;=(Tahmin!$C$4+14),DATE(YEAR((Tahmin!$C$4+14)),MONTH((Tahmin!$C$4+14)),MIN(DAY(Kalemler!$D6),DAY(EOMONTH((Tahmin!$C$4+14),0))))&lt;=(Tahmin!$C$4+20),DATE(YEAR((Tahmin!$C$4+14)),MONTH((Tahmin!$C$4+14)),MIN(DAY(Kalemler!$D6),DAY(EOMONTH((Tahmin!$C$4+14),0))))&gt;=Kalemler!$D6),AND(DATE(YEAR((Tahmin!$C$4+20)),MONTH((Tahmin!$C$4+20)),MIN(DAY(Kalemler!$D6),DAY(EOMONTH((Tahmin!$C$4+20),0))))&gt;=(Tahmin!$C$4+14),DATE(YEAR((Tahmin!$C$4+20)),MONTH((Tahmin!$C$4+20)),MIN(DAY(Kalemler!$D6),DAY(EOMONTH((Tahmin!$C$4+20),0))))&lt;=(Tahmin!$C$4+20),DATE(YEAR((Tahmin!$C$4+20)),MONTH((Tahmin!$C$4+20)),MIN(DAY(Kalemler!$D6),DAY(EOMONTH((Tahmin!$C$4+20),0))))&lt;&gt;DATE(YEAR((Tahmin!$C$4+14)),MONTH((Tahmin!$C$4+14)),MIN(DAY(Kalemler!$D6),DAY(EOMONTH((Tahmin!$C$4+14),0)))),DATE(YEAR((Tahmin!$C$4+20)),MONTH((Tahmin!$C$4+20)),MIN(DAY(Kalemler!$D6),DAY(EOMONTH((Tahmin!$C$4+20),0))))&gt;=Kalemler!$D6)),1,0),IF(AND(Kalemler!$D6&gt;=(Tahmin!$C$4+14),Kalemler!$D6&lt;=(Tahmin!$C$4+20)),1,0))))</f>
        <v>25000</v>
      </c>
      <c r="E6" s="0" t="n">
        <f aca="false">IF(OR(Kalemler!$A6="",Kalemler!$C6="",Kalemler!$D6=""),0,Kalemler!$C6*IF(Kalemler!$E6="Haftalık",IF(Kalemler!$D6&lt;=(Tahmin!$C$4+27),1,0),IF(Kalemler!$E6="Aylık",IF(OR(AND(DATE(YEAR((Tahmin!$C$4+21)),MONTH((Tahmin!$C$4+21)),MIN(DAY(Kalemler!$D6),DAY(EOMONTH((Tahmin!$C$4+21),0))))&gt;=(Tahmin!$C$4+21),DATE(YEAR((Tahmin!$C$4+21)),MONTH((Tahmin!$C$4+21)),MIN(DAY(Kalemler!$D6),DAY(EOMONTH((Tahmin!$C$4+21),0))))&lt;=(Tahmin!$C$4+27),DATE(YEAR((Tahmin!$C$4+21)),MONTH((Tahmin!$C$4+21)),MIN(DAY(Kalemler!$D6),DAY(EOMONTH((Tahmin!$C$4+21),0))))&gt;=Kalemler!$D6),AND(DATE(YEAR((Tahmin!$C$4+27)),MONTH((Tahmin!$C$4+27)),MIN(DAY(Kalemler!$D6),DAY(EOMONTH((Tahmin!$C$4+27),0))))&gt;=(Tahmin!$C$4+21),DATE(YEAR((Tahmin!$C$4+27)),MONTH((Tahmin!$C$4+27)),MIN(DAY(Kalemler!$D6),DAY(EOMONTH((Tahmin!$C$4+27),0))))&lt;=(Tahmin!$C$4+27),DATE(YEAR((Tahmin!$C$4+27)),MONTH((Tahmin!$C$4+27)),MIN(DAY(Kalemler!$D6),DAY(EOMONTH((Tahmin!$C$4+27),0))))&lt;&gt;DATE(YEAR((Tahmin!$C$4+21)),MONTH((Tahmin!$C$4+21)),MIN(DAY(Kalemler!$D6),DAY(EOMONTH((Tahmin!$C$4+21),0)))),DATE(YEAR((Tahmin!$C$4+27)),MONTH((Tahmin!$C$4+27)),MIN(DAY(Kalemler!$D6),DAY(EOMONTH((Tahmin!$C$4+27),0))))&gt;=Kalemler!$D6)),1,0),IF(AND(Kalemler!$D6&gt;=(Tahmin!$C$4+21),Kalemler!$D6&lt;=(Tahmin!$C$4+27)),1,0))))</f>
        <v>25000</v>
      </c>
      <c r="F6" s="0" t="n">
        <f aca="false">IF(OR(Kalemler!$A6="",Kalemler!$C6="",Kalemler!$D6=""),0,Kalemler!$C6*IF(Kalemler!$E6="Haftalık",IF(Kalemler!$D6&lt;=(Tahmin!$C$4+34),1,0),IF(Kalemler!$E6="Aylık",IF(OR(AND(DATE(YEAR((Tahmin!$C$4+28)),MONTH((Tahmin!$C$4+28)),MIN(DAY(Kalemler!$D6),DAY(EOMONTH((Tahmin!$C$4+28),0))))&gt;=(Tahmin!$C$4+28),DATE(YEAR((Tahmin!$C$4+28)),MONTH((Tahmin!$C$4+28)),MIN(DAY(Kalemler!$D6),DAY(EOMONTH((Tahmin!$C$4+28),0))))&lt;=(Tahmin!$C$4+34),DATE(YEAR((Tahmin!$C$4+28)),MONTH((Tahmin!$C$4+28)),MIN(DAY(Kalemler!$D6),DAY(EOMONTH((Tahmin!$C$4+28),0))))&gt;=Kalemler!$D6),AND(DATE(YEAR((Tahmin!$C$4+34)),MONTH((Tahmin!$C$4+34)),MIN(DAY(Kalemler!$D6),DAY(EOMONTH((Tahmin!$C$4+34),0))))&gt;=(Tahmin!$C$4+28),DATE(YEAR((Tahmin!$C$4+34)),MONTH((Tahmin!$C$4+34)),MIN(DAY(Kalemler!$D6),DAY(EOMONTH((Tahmin!$C$4+34),0))))&lt;=(Tahmin!$C$4+34),DATE(YEAR((Tahmin!$C$4+34)),MONTH((Tahmin!$C$4+34)),MIN(DAY(Kalemler!$D6),DAY(EOMONTH((Tahmin!$C$4+34),0))))&lt;&gt;DATE(YEAR((Tahmin!$C$4+28)),MONTH((Tahmin!$C$4+28)),MIN(DAY(Kalemler!$D6),DAY(EOMONTH((Tahmin!$C$4+28),0)))),DATE(YEAR((Tahmin!$C$4+34)),MONTH((Tahmin!$C$4+34)),MIN(DAY(Kalemler!$D6),DAY(EOMONTH((Tahmin!$C$4+34),0))))&gt;=Kalemler!$D6)),1,0),IF(AND(Kalemler!$D6&gt;=(Tahmin!$C$4+28),Kalemler!$D6&lt;=(Tahmin!$C$4+34)),1,0))))</f>
        <v>25000</v>
      </c>
      <c r="G6" s="0" t="n">
        <f aca="false">IF(OR(Kalemler!$A6="",Kalemler!$C6="",Kalemler!$D6=""),0,Kalemler!$C6*IF(Kalemler!$E6="Haftalık",IF(Kalemler!$D6&lt;=(Tahmin!$C$4+41),1,0),IF(Kalemler!$E6="Aylık",IF(OR(AND(DATE(YEAR((Tahmin!$C$4+35)),MONTH((Tahmin!$C$4+35)),MIN(DAY(Kalemler!$D6),DAY(EOMONTH((Tahmin!$C$4+35),0))))&gt;=(Tahmin!$C$4+35),DATE(YEAR((Tahmin!$C$4+35)),MONTH((Tahmin!$C$4+35)),MIN(DAY(Kalemler!$D6),DAY(EOMONTH((Tahmin!$C$4+35),0))))&lt;=(Tahmin!$C$4+41),DATE(YEAR((Tahmin!$C$4+35)),MONTH((Tahmin!$C$4+35)),MIN(DAY(Kalemler!$D6),DAY(EOMONTH((Tahmin!$C$4+35),0))))&gt;=Kalemler!$D6),AND(DATE(YEAR((Tahmin!$C$4+41)),MONTH((Tahmin!$C$4+41)),MIN(DAY(Kalemler!$D6),DAY(EOMONTH((Tahmin!$C$4+41),0))))&gt;=(Tahmin!$C$4+35),DATE(YEAR((Tahmin!$C$4+41)),MONTH((Tahmin!$C$4+41)),MIN(DAY(Kalemler!$D6),DAY(EOMONTH((Tahmin!$C$4+41),0))))&lt;=(Tahmin!$C$4+41),DATE(YEAR((Tahmin!$C$4+41)),MONTH((Tahmin!$C$4+41)),MIN(DAY(Kalemler!$D6),DAY(EOMONTH((Tahmin!$C$4+41),0))))&lt;&gt;DATE(YEAR((Tahmin!$C$4+35)),MONTH((Tahmin!$C$4+35)),MIN(DAY(Kalemler!$D6),DAY(EOMONTH((Tahmin!$C$4+35),0)))),DATE(YEAR((Tahmin!$C$4+41)),MONTH((Tahmin!$C$4+41)),MIN(DAY(Kalemler!$D6),DAY(EOMONTH((Tahmin!$C$4+41),0))))&gt;=Kalemler!$D6)),1,0),IF(AND(Kalemler!$D6&gt;=(Tahmin!$C$4+35),Kalemler!$D6&lt;=(Tahmin!$C$4+41)),1,0))))</f>
        <v>25000</v>
      </c>
      <c r="H6" s="0" t="n">
        <f aca="false">IF(OR(Kalemler!$A6="",Kalemler!$C6="",Kalemler!$D6=""),0,Kalemler!$C6*IF(Kalemler!$E6="Haftalık",IF(Kalemler!$D6&lt;=(Tahmin!$C$4+48),1,0),IF(Kalemler!$E6="Aylık",IF(OR(AND(DATE(YEAR((Tahmin!$C$4+42)),MONTH((Tahmin!$C$4+42)),MIN(DAY(Kalemler!$D6),DAY(EOMONTH((Tahmin!$C$4+42),0))))&gt;=(Tahmin!$C$4+42),DATE(YEAR((Tahmin!$C$4+42)),MONTH((Tahmin!$C$4+42)),MIN(DAY(Kalemler!$D6),DAY(EOMONTH((Tahmin!$C$4+42),0))))&lt;=(Tahmin!$C$4+48),DATE(YEAR((Tahmin!$C$4+42)),MONTH((Tahmin!$C$4+42)),MIN(DAY(Kalemler!$D6),DAY(EOMONTH((Tahmin!$C$4+42),0))))&gt;=Kalemler!$D6),AND(DATE(YEAR((Tahmin!$C$4+48)),MONTH((Tahmin!$C$4+48)),MIN(DAY(Kalemler!$D6),DAY(EOMONTH((Tahmin!$C$4+48),0))))&gt;=(Tahmin!$C$4+42),DATE(YEAR((Tahmin!$C$4+48)),MONTH((Tahmin!$C$4+48)),MIN(DAY(Kalemler!$D6),DAY(EOMONTH((Tahmin!$C$4+48),0))))&lt;=(Tahmin!$C$4+48),DATE(YEAR((Tahmin!$C$4+48)),MONTH((Tahmin!$C$4+48)),MIN(DAY(Kalemler!$D6),DAY(EOMONTH((Tahmin!$C$4+48),0))))&lt;&gt;DATE(YEAR((Tahmin!$C$4+42)),MONTH((Tahmin!$C$4+42)),MIN(DAY(Kalemler!$D6),DAY(EOMONTH((Tahmin!$C$4+42),0)))),DATE(YEAR((Tahmin!$C$4+48)),MONTH((Tahmin!$C$4+48)),MIN(DAY(Kalemler!$D6),DAY(EOMONTH((Tahmin!$C$4+48),0))))&gt;=Kalemler!$D6)),1,0),IF(AND(Kalemler!$D6&gt;=(Tahmin!$C$4+42),Kalemler!$D6&lt;=(Tahmin!$C$4+48)),1,0))))</f>
        <v>25000</v>
      </c>
      <c r="I6" s="0" t="n">
        <f aca="false">IF(OR(Kalemler!$A6="",Kalemler!$C6="",Kalemler!$D6=""),0,Kalemler!$C6*IF(Kalemler!$E6="Haftalık",IF(Kalemler!$D6&lt;=(Tahmin!$C$4+55),1,0),IF(Kalemler!$E6="Aylık",IF(OR(AND(DATE(YEAR((Tahmin!$C$4+49)),MONTH((Tahmin!$C$4+49)),MIN(DAY(Kalemler!$D6),DAY(EOMONTH((Tahmin!$C$4+49),0))))&gt;=(Tahmin!$C$4+49),DATE(YEAR((Tahmin!$C$4+49)),MONTH((Tahmin!$C$4+49)),MIN(DAY(Kalemler!$D6),DAY(EOMONTH((Tahmin!$C$4+49),0))))&lt;=(Tahmin!$C$4+55),DATE(YEAR((Tahmin!$C$4+49)),MONTH((Tahmin!$C$4+49)),MIN(DAY(Kalemler!$D6),DAY(EOMONTH((Tahmin!$C$4+49),0))))&gt;=Kalemler!$D6),AND(DATE(YEAR((Tahmin!$C$4+55)),MONTH((Tahmin!$C$4+55)),MIN(DAY(Kalemler!$D6),DAY(EOMONTH((Tahmin!$C$4+55),0))))&gt;=(Tahmin!$C$4+49),DATE(YEAR((Tahmin!$C$4+55)),MONTH((Tahmin!$C$4+55)),MIN(DAY(Kalemler!$D6),DAY(EOMONTH((Tahmin!$C$4+55),0))))&lt;=(Tahmin!$C$4+55),DATE(YEAR((Tahmin!$C$4+55)),MONTH((Tahmin!$C$4+55)),MIN(DAY(Kalemler!$D6),DAY(EOMONTH((Tahmin!$C$4+55),0))))&lt;&gt;DATE(YEAR((Tahmin!$C$4+49)),MONTH((Tahmin!$C$4+49)),MIN(DAY(Kalemler!$D6),DAY(EOMONTH((Tahmin!$C$4+49),0)))),DATE(YEAR((Tahmin!$C$4+55)),MONTH((Tahmin!$C$4+55)),MIN(DAY(Kalemler!$D6),DAY(EOMONTH((Tahmin!$C$4+55),0))))&gt;=Kalemler!$D6)),1,0),IF(AND(Kalemler!$D6&gt;=(Tahmin!$C$4+49),Kalemler!$D6&lt;=(Tahmin!$C$4+55)),1,0))))</f>
        <v>25000</v>
      </c>
      <c r="J6" s="0" t="n">
        <f aca="false">IF(OR(Kalemler!$A6="",Kalemler!$C6="",Kalemler!$D6=""),0,Kalemler!$C6*IF(Kalemler!$E6="Haftalık",IF(Kalemler!$D6&lt;=(Tahmin!$C$4+62),1,0),IF(Kalemler!$E6="Aylık",IF(OR(AND(DATE(YEAR((Tahmin!$C$4+56)),MONTH((Tahmin!$C$4+56)),MIN(DAY(Kalemler!$D6),DAY(EOMONTH((Tahmin!$C$4+56),0))))&gt;=(Tahmin!$C$4+56),DATE(YEAR((Tahmin!$C$4+56)),MONTH((Tahmin!$C$4+56)),MIN(DAY(Kalemler!$D6),DAY(EOMONTH((Tahmin!$C$4+56),0))))&lt;=(Tahmin!$C$4+62),DATE(YEAR((Tahmin!$C$4+56)),MONTH((Tahmin!$C$4+56)),MIN(DAY(Kalemler!$D6),DAY(EOMONTH((Tahmin!$C$4+56),0))))&gt;=Kalemler!$D6),AND(DATE(YEAR((Tahmin!$C$4+62)),MONTH((Tahmin!$C$4+62)),MIN(DAY(Kalemler!$D6),DAY(EOMONTH((Tahmin!$C$4+62),0))))&gt;=(Tahmin!$C$4+56),DATE(YEAR((Tahmin!$C$4+62)),MONTH((Tahmin!$C$4+62)),MIN(DAY(Kalemler!$D6),DAY(EOMONTH((Tahmin!$C$4+62),0))))&lt;=(Tahmin!$C$4+62),DATE(YEAR((Tahmin!$C$4+62)),MONTH((Tahmin!$C$4+62)),MIN(DAY(Kalemler!$D6),DAY(EOMONTH((Tahmin!$C$4+62),0))))&lt;&gt;DATE(YEAR((Tahmin!$C$4+56)),MONTH((Tahmin!$C$4+56)),MIN(DAY(Kalemler!$D6),DAY(EOMONTH((Tahmin!$C$4+56),0)))),DATE(YEAR((Tahmin!$C$4+62)),MONTH((Tahmin!$C$4+62)),MIN(DAY(Kalemler!$D6),DAY(EOMONTH((Tahmin!$C$4+62),0))))&gt;=Kalemler!$D6)),1,0),IF(AND(Kalemler!$D6&gt;=(Tahmin!$C$4+56),Kalemler!$D6&lt;=(Tahmin!$C$4+62)),1,0))))</f>
        <v>25000</v>
      </c>
      <c r="K6" s="0" t="n">
        <f aca="false">IF(OR(Kalemler!$A6="",Kalemler!$C6="",Kalemler!$D6=""),0,Kalemler!$C6*IF(Kalemler!$E6="Haftalık",IF(Kalemler!$D6&lt;=(Tahmin!$C$4+69),1,0),IF(Kalemler!$E6="Aylık",IF(OR(AND(DATE(YEAR((Tahmin!$C$4+63)),MONTH((Tahmin!$C$4+63)),MIN(DAY(Kalemler!$D6),DAY(EOMONTH((Tahmin!$C$4+63),0))))&gt;=(Tahmin!$C$4+63),DATE(YEAR((Tahmin!$C$4+63)),MONTH((Tahmin!$C$4+63)),MIN(DAY(Kalemler!$D6),DAY(EOMONTH((Tahmin!$C$4+63),0))))&lt;=(Tahmin!$C$4+69),DATE(YEAR((Tahmin!$C$4+63)),MONTH((Tahmin!$C$4+63)),MIN(DAY(Kalemler!$D6),DAY(EOMONTH((Tahmin!$C$4+63),0))))&gt;=Kalemler!$D6),AND(DATE(YEAR((Tahmin!$C$4+69)),MONTH((Tahmin!$C$4+69)),MIN(DAY(Kalemler!$D6),DAY(EOMONTH((Tahmin!$C$4+69),0))))&gt;=(Tahmin!$C$4+63),DATE(YEAR((Tahmin!$C$4+69)),MONTH((Tahmin!$C$4+69)),MIN(DAY(Kalemler!$D6),DAY(EOMONTH((Tahmin!$C$4+69),0))))&lt;=(Tahmin!$C$4+69),DATE(YEAR((Tahmin!$C$4+69)),MONTH((Tahmin!$C$4+69)),MIN(DAY(Kalemler!$D6),DAY(EOMONTH((Tahmin!$C$4+69),0))))&lt;&gt;DATE(YEAR((Tahmin!$C$4+63)),MONTH((Tahmin!$C$4+63)),MIN(DAY(Kalemler!$D6),DAY(EOMONTH((Tahmin!$C$4+63),0)))),DATE(YEAR((Tahmin!$C$4+69)),MONTH((Tahmin!$C$4+69)),MIN(DAY(Kalemler!$D6),DAY(EOMONTH((Tahmin!$C$4+69),0))))&gt;=Kalemler!$D6)),1,0),IF(AND(Kalemler!$D6&gt;=(Tahmin!$C$4+63),Kalemler!$D6&lt;=(Tahmin!$C$4+69)),1,0))))</f>
        <v>25000</v>
      </c>
      <c r="L6" s="0" t="n">
        <f aca="false">IF(OR(Kalemler!$A6="",Kalemler!$C6="",Kalemler!$D6=""),0,Kalemler!$C6*IF(Kalemler!$E6="Haftalık",IF(Kalemler!$D6&lt;=(Tahmin!$C$4+76),1,0),IF(Kalemler!$E6="Aylık",IF(OR(AND(DATE(YEAR((Tahmin!$C$4+70)),MONTH((Tahmin!$C$4+70)),MIN(DAY(Kalemler!$D6),DAY(EOMONTH((Tahmin!$C$4+70),0))))&gt;=(Tahmin!$C$4+70),DATE(YEAR((Tahmin!$C$4+70)),MONTH((Tahmin!$C$4+70)),MIN(DAY(Kalemler!$D6),DAY(EOMONTH((Tahmin!$C$4+70),0))))&lt;=(Tahmin!$C$4+76),DATE(YEAR((Tahmin!$C$4+70)),MONTH((Tahmin!$C$4+70)),MIN(DAY(Kalemler!$D6),DAY(EOMONTH((Tahmin!$C$4+70),0))))&gt;=Kalemler!$D6),AND(DATE(YEAR((Tahmin!$C$4+76)),MONTH((Tahmin!$C$4+76)),MIN(DAY(Kalemler!$D6),DAY(EOMONTH((Tahmin!$C$4+76),0))))&gt;=(Tahmin!$C$4+70),DATE(YEAR((Tahmin!$C$4+76)),MONTH((Tahmin!$C$4+76)),MIN(DAY(Kalemler!$D6),DAY(EOMONTH((Tahmin!$C$4+76),0))))&lt;=(Tahmin!$C$4+76),DATE(YEAR((Tahmin!$C$4+76)),MONTH((Tahmin!$C$4+76)),MIN(DAY(Kalemler!$D6),DAY(EOMONTH((Tahmin!$C$4+76),0))))&lt;&gt;DATE(YEAR((Tahmin!$C$4+70)),MONTH((Tahmin!$C$4+70)),MIN(DAY(Kalemler!$D6),DAY(EOMONTH((Tahmin!$C$4+70),0)))),DATE(YEAR((Tahmin!$C$4+76)),MONTH((Tahmin!$C$4+76)),MIN(DAY(Kalemler!$D6),DAY(EOMONTH((Tahmin!$C$4+76),0))))&gt;=Kalemler!$D6)),1,0),IF(AND(Kalemler!$D6&gt;=(Tahmin!$C$4+70),Kalemler!$D6&lt;=(Tahmin!$C$4+76)),1,0))))</f>
        <v>25000</v>
      </c>
      <c r="M6" s="0" t="n">
        <f aca="false">IF(OR(Kalemler!$A6="",Kalemler!$C6="",Kalemler!$D6=""),0,Kalemler!$C6*IF(Kalemler!$E6="Haftalık",IF(Kalemler!$D6&lt;=(Tahmin!$C$4+83),1,0),IF(Kalemler!$E6="Aylık",IF(OR(AND(DATE(YEAR((Tahmin!$C$4+77)),MONTH((Tahmin!$C$4+77)),MIN(DAY(Kalemler!$D6),DAY(EOMONTH((Tahmin!$C$4+77),0))))&gt;=(Tahmin!$C$4+77),DATE(YEAR((Tahmin!$C$4+77)),MONTH((Tahmin!$C$4+77)),MIN(DAY(Kalemler!$D6),DAY(EOMONTH((Tahmin!$C$4+77),0))))&lt;=(Tahmin!$C$4+83),DATE(YEAR((Tahmin!$C$4+77)),MONTH((Tahmin!$C$4+77)),MIN(DAY(Kalemler!$D6),DAY(EOMONTH((Tahmin!$C$4+77),0))))&gt;=Kalemler!$D6),AND(DATE(YEAR((Tahmin!$C$4+83)),MONTH((Tahmin!$C$4+83)),MIN(DAY(Kalemler!$D6),DAY(EOMONTH((Tahmin!$C$4+83),0))))&gt;=(Tahmin!$C$4+77),DATE(YEAR((Tahmin!$C$4+83)),MONTH((Tahmin!$C$4+83)),MIN(DAY(Kalemler!$D6),DAY(EOMONTH((Tahmin!$C$4+83),0))))&lt;=(Tahmin!$C$4+83),DATE(YEAR((Tahmin!$C$4+83)),MONTH((Tahmin!$C$4+83)),MIN(DAY(Kalemler!$D6),DAY(EOMONTH((Tahmin!$C$4+83),0))))&lt;&gt;DATE(YEAR((Tahmin!$C$4+77)),MONTH((Tahmin!$C$4+77)),MIN(DAY(Kalemler!$D6),DAY(EOMONTH((Tahmin!$C$4+77),0)))),DATE(YEAR((Tahmin!$C$4+83)),MONTH((Tahmin!$C$4+83)),MIN(DAY(Kalemler!$D6),DAY(EOMONTH((Tahmin!$C$4+83),0))))&gt;=Kalemler!$D6)),1,0),IF(AND(Kalemler!$D6&gt;=(Tahmin!$C$4+77),Kalemler!$D6&lt;=(Tahmin!$C$4+83)),1,0))))</f>
        <v>25000</v>
      </c>
      <c r="N6" s="0" t="n">
        <f aca="false">IF(OR(Kalemler!$A6="",Kalemler!$C6="",Kalemler!$D6=""),0,Kalemler!$C6*IF(Kalemler!$E6="Haftalık",IF(Kalemler!$D6&lt;=(Tahmin!$C$4+90),1,0),IF(Kalemler!$E6="Aylık",IF(OR(AND(DATE(YEAR((Tahmin!$C$4+84)),MONTH((Tahmin!$C$4+84)),MIN(DAY(Kalemler!$D6),DAY(EOMONTH((Tahmin!$C$4+84),0))))&gt;=(Tahmin!$C$4+84),DATE(YEAR((Tahmin!$C$4+84)),MONTH((Tahmin!$C$4+84)),MIN(DAY(Kalemler!$D6),DAY(EOMONTH((Tahmin!$C$4+84),0))))&lt;=(Tahmin!$C$4+90),DATE(YEAR((Tahmin!$C$4+84)),MONTH((Tahmin!$C$4+84)),MIN(DAY(Kalemler!$D6),DAY(EOMONTH((Tahmin!$C$4+84),0))))&gt;=Kalemler!$D6),AND(DATE(YEAR((Tahmin!$C$4+90)),MONTH((Tahmin!$C$4+90)),MIN(DAY(Kalemler!$D6),DAY(EOMONTH((Tahmin!$C$4+90),0))))&gt;=(Tahmin!$C$4+84),DATE(YEAR((Tahmin!$C$4+90)),MONTH((Tahmin!$C$4+90)),MIN(DAY(Kalemler!$D6),DAY(EOMONTH((Tahmin!$C$4+90),0))))&lt;=(Tahmin!$C$4+90),DATE(YEAR((Tahmin!$C$4+90)),MONTH((Tahmin!$C$4+90)),MIN(DAY(Kalemler!$D6),DAY(EOMONTH((Tahmin!$C$4+90),0))))&lt;&gt;DATE(YEAR((Tahmin!$C$4+84)),MONTH((Tahmin!$C$4+84)),MIN(DAY(Kalemler!$D6),DAY(EOMONTH((Tahmin!$C$4+84),0)))),DATE(YEAR((Tahmin!$C$4+90)),MONTH((Tahmin!$C$4+90)),MIN(DAY(Kalemler!$D6),DAY(EOMONTH((Tahmin!$C$4+90),0))))&gt;=Kalemler!$D6)),1,0),IF(AND(Kalemler!$D6&gt;=(Tahmin!$C$4+84),Kalemler!$D6&lt;=(Tahmin!$C$4+90)),1,0))))</f>
        <v>25000</v>
      </c>
    </row>
    <row r="7" customFormat="false" ht="15" hidden="false" customHeight="false" outlineLevel="0" collapsed="false">
      <c r="A7" s="0" t="str">
        <f aca="false">IF(Kalemler!A7="","",Kalemler!A7)</f>
        <v>Yeni sipariş (beklenen)</v>
      </c>
      <c r="B7" s="0" t="n">
        <f aca="false">IF(OR(Kalemler!$A7="",Kalemler!$C7="",Kalemler!$D7=""),0,Kalemler!$C7*IF(Kalemler!$E7="Haftalık",IF(Kalemler!$D7&lt;=(Tahmin!$C$4+6),1,0),IF(Kalemler!$E7="Aylık",IF(OR(AND(DATE(YEAR((Tahmin!$C$4+0)),MONTH((Tahmin!$C$4+0)),MIN(DAY(Kalemler!$D7),DAY(EOMONTH((Tahmin!$C$4+0),0))))&gt;=(Tahmin!$C$4+0),DATE(YEAR((Tahmin!$C$4+0)),MONTH((Tahmin!$C$4+0)),MIN(DAY(Kalemler!$D7),DAY(EOMONTH((Tahmin!$C$4+0),0))))&lt;=(Tahmin!$C$4+6),DATE(YEAR((Tahmin!$C$4+0)),MONTH((Tahmin!$C$4+0)),MIN(DAY(Kalemler!$D7),DAY(EOMONTH((Tahmin!$C$4+0),0))))&gt;=Kalemler!$D7),AND(DATE(YEAR((Tahmin!$C$4+6)),MONTH((Tahmin!$C$4+6)),MIN(DAY(Kalemler!$D7),DAY(EOMONTH((Tahmin!$C$4+6),0))))&gt;=(Tahmin!$C$4+0),DATE(YEAR((Tahmin!$C$4+6)),MONTH((Tahmin!$C$4+6)),MIN(DAY(Kalemler!$D7),DAY(EOMONTH((Tahmin!$C$4+6),0))))&lt;=(Tahmin!$C$4+6),DATE(YEAR((Tahmin!$C$4+6)),MONTH((Tahmin!$C$4+6)),MIN(DAY(Kalemler!$D7),DAY(EOMONTH((Tahmin!$C$4+6),0))))&lt;&gt;DATE(YEAR((Tahmin!$C$4+0)),MONTH((Tahmin!$C$4+0)),MIN(DAY(Kalemler!$D7),DAY(EOMONTH((Tahmin!$C$4+0),0)))),DATE(YEAR((Tahmin!$C$4+6)),MONTH((Tahmin!$C$4+6)),MIN(DAY(Kalemler!$D7),DAY(EOMONTH((Tahmin!$C$4+6),0))))&gt;=Kalemler!$D7)),1,0),IF(AND(Kalemler!$D7&gt;=(Tahmin!$C$4+0),Kalemler!$D7&lt;=(Tahmin!$C$4+6)),1,0))))</f>
        <v>0</v>
      </c>
      <c r="C7" s="0" t="n">
        <f aca="false">IF(OR(Kalemler!$A7="",Kalemler!$C7="",Kalemler!$D7=""),0,Kalemler!$C7*IF(Kalemler!$E7="Haftalık",IF(Kalemler!$D7&lt;=(Tahmin!$C$4+13),1,0),IF(Kalemler!$E7="Aylık",IF(OR(AND(DATE(YEAR((Tahmin!$C$4+7)),MONTH((Tahmin!$C$4+7)),MIN(DAY(Kalemler!$D7),DAY(EOMONTH((Tahmin!$C$4+7),0))))&gt;=(Tahmin!$C$4+7),DATE(YEAR((Tahmin!$C$4+7)),MONTH((Tahmin!$C$4+7)),MIN(DAY(Kalemler!$D7),DAY(EOMONTH((Tahmin!$C$4+7),0))))&lt;=(Tahmin!$C$4+13),DATE(YEAR((Tahmin!$C$4+7)),MONTH((Tahmin!$C$4+7)),MIN(DAY(Kalemler!$D7),DAY(EOMONTH((Tahmin!$C$4+7),0))))&gt;=Kalemler!$D7),AND(DATE(YEAR((Tahmin!$C$4+13)),MONTH((Tahmin!$C$4+13)),MIN(DAY(Kalemler!$D7),DAY(EOMONTH((Tahmin!$C$4+13),0))))&gt;=(Tahmin!$C$4+7),DATE(YEAR((Tahmin!$C$4+13)),MONTH((Tahmin!$C$4+13)),MIN(DAY(Kalemler!$D7),DAY(EOMONTH((Tahmin!$C$4+13),0))))&lt;=(Tahmin!$C$4+13),DATE(YEAR((Tahmin!$C$4+13)),MONTH((Tahmin!$C$4+13)),MIN(DAY(Kalemler!$D7),DAY(EOMONTH((Tahmin!$C$4+13),0))))&lt;&gt;DATE(YEAR((Tahmin!$C$4+7)),MONTH((Tahmin!$C$4+7)),MIN(DAY(Kalemler!$D7),DAY(EOMONTH((Tahmin!$C$4+7),0)))),DATE(YEAR((Tahmin!$C$4+13)),MONTH((Tahmin!$C$4+13)),MIN(DAY(Kalemler!$D7),DAY(EOMONTH((Tahmin!$C$4+13),0))))&gt;=Kalemler!$D7)),1,0),IF(AND(Kalemler!$D7&gt;=(Tahmin!$C$4+7),Kalemler!$D7&lt;=(Tahmin!$C$4+13)),1,0))))</f>
        <v>0</v>
      </c>
      <c r="D7" s="0" t="n">
        <f aca="false">IF(OR(Kalemler!$A7="",Kalemler!$C7="",Kalemler!$D7=""),0,Kalemler!$C7*IF(Kalemler!$E7="Haftalık",IF(Kalemler!$D7&lt;=(Tahmin!$C$4+20),1,0),IF(Kalemler!$E7="Aylık",IF(OR(AND(DATE(YEAR((Tahmin!$C$4+14)),MONTH((Tahmin!$C$4+14)),MIN(DAY(Kalemler!$D7),DAY(EOMONTH((Tahmin!$C$4+14),0))))&gt;=(Tahmin!$C$4+14),DATE(YEAR((Tahmin!$C$4+14)),MONTH((Tahmin!$C$4+14)),MIN(DAY(Kalemler!$D7),DAY(EOMONTH((Tahmin!$C$4+14),0))))&lt;=(Tahmin!$C$4+20),DATE(YEAR((Tahmin!$C$4+14)),MONTH((Tahmin!$C$4+14)),MIN(DAY(Kalemler!$D7),DAY(EOMONTH((Tahmin!$C$4+14),0))))&gt;=Kalemler!$D7),AND(DATE(YEAR((Tahmin!$C$4+20)),MONTH((Tahmin!$C$4+20)),MIN(DAY(Kalemler!$D7),DAY(EOMONTH((Tahmin!$C$4+20),0))))&gt;=(Tahmin!$C$4+14),DATE(YEAR((Tahmin!$C$4+20)),MONTH((Tahmin!$C$4+20)),MIN(DAY(Kalemler!$D7),DAY(EOMONTH((Tahmin!$C$4+20),0))))&lt;=(Tahmin!$C$4+20),DATE(YEAR((Tahmin!$C$4+20)),MONTH((Tahmin!$C$4+20)),MIN(DAY(Kalemler!$D7),DAY(EOMONTH((Tahmin!$C$4+20),0))))&lt;&gt;DATE(YEAR((Tahmin!$C$4+14)),MONTH((Tahmin!$C$4+14)),MIN(DAY(Kalemler!$D7),DAY(EOMONTH((Tahmin!$C$4+14),0)))),DATE(YEAR((Tahmin!$C$4+20)),MONTH((Tahmin!$C$4+20)),MIN(DAY(Kalemler!$D7),DAY(EOMONTH((Tahmin!$C$4+20),0))))&gt;=Kalemler!$D7)),1,0),IF(AND(Kalemler!$D7&gt;=(Tahmin!$C$4+14),Kalemler!$D7&lt;=(Tahmin!$C$4+20)),1,0))))</f>
        <v>0</v>
      </c>
      <c r="E7" s="0" t="n">
        <f aca="false">IF(OR(Kalemler!$A7="",Kalemler!$C7="",Kalemler!$D7=""),0,Kalemler!$C7*IF(Kalemler!$E7="Haftalık",IF(Kalemler!$D7&lt;=(Tahmin!$C$4+27),1,0),IF(Kalemler!$E7="Aylık",IF(OR(AND(DATE(YEAR((Tahmin!$C$4+21)),MONTH((Tahmin!$C$4+21)),MIN(DAY(Kalemler!$D7),DAY(EOMONTH((Tahmin!$C$4+21),0))))&gt;=(Tahmin!$C$4+21),DATE(YEAR((Tahmin!$C$4+21)),MONTH((Tahmin!$C$4+21)),MIN(DAY(Kalemler!$D7),DAY(EOMONTH((Tahmin!$C$4+21),0))))&lt;=(Tahmin!$C$4+27),DATE(YEAR((Tahmin!$C$4+21)),MONTH((Tahmin!$C$4+21)),MIN(DAY(Kalemler!$D7),DAY(EOMONTH((Tahmin!$C$4+21),0))))&gt;=Kalemler!$D7),AND(DATE(YEAR((Tahmin!$C$4+27)),MONTH((Tahmin!$C$4+27)),MIN(DAY(Kalemler!$D7),DAY(EOMONTH((Tahmin!$C$4+27),0))))&gt;=(Tahmin!$C$4+21),DATE(YEAR((Tahmin!$C$4+27)),MONTH((Tahmin!$C$4+27)),MIN(DAY(Kalemler!$D7),DAY(EOMONTH((Tahmin!$C$4+27),0))))&lt;=(Tahmin!$C$4+27),DATE(YEAR((Tahmin!$C$4+27)),MONTH((Tahmin!$C$4+27)),MIN(DAY(Kalemler!$D7),DAY(EOMONTH((Tahmin!$C$4+27),0))))&lt;&gt;DATE(YEAR((Tahmin!$C$4+21)),MONTH((Tahmin!$C$4+21)),MIN(DAY(Kalemler!$D7),DAY(EOMONTH((Tahmin!$C$4+21),0)))),DATE(YEAR((Tahmin!$C$4+27)),MONTH((Tahmin!$C$4+27)),MIN(DAY(Kalemler!$D7),DAY(EOMONTH((Tahmin!$C$4+27),0))))&gt;=Kalemler!$D7)),1,0),IF(AND(Kalemler!$D7&gt;=(Tahmin!$C$4+21),Kalemler!$D7&lt;=(Tahmin!$C$4+27)),1,0))))</f>
        <v>0</v>
      </c>
      <c r="F7" s="0" t="n">
        <f aca="false">IF(OR(Kalemler!$A7="",Kalemler!$C7="",Kalemler!$D7=""),0,Kalemler!$C7*IF(Kalemler!$E7="Haftalık",IF(Kalemler!$D7&lt;=(Tahmin!$C$4+34),1,0),IF(Kalemler!$E7="Aylık",IF(OR(AND(DATE(YEAR((Tahmin!$C$4+28)),MONTH((Tahmin!$C$4+28)),MIN(DAY(Kalemler!$D7),DAY(EOMONTH((Tahmin!$C$4+28),0))))&gt;=(Tahmin!$C$4+28),DATE(YEAR((Tahmin!$C$4+28)),MONTH((Tahmin!$C$4+28)),MIN(DAY(Kalemler!$D7),DAY(EOMONTH((Tahmin!$C$4+28),0))))&lt;=(Tahmin!$C$4+34),DATE(YEAR((Tahmin!$C$4+28)),MONTH((Tahmin!$C$4+28)),MIN(DAY(Kalemler!$D7),DAY(EOMONTH((Tahmin!$C$4+28),0))))&gt;=Kalemler!$D7),AND(DATE(YEAR((Tahmin!$C$4+34)),MONTH((Tahmin!$C$4+34)),MIN(DAY(Kalemler!$D7),DAY(EOMONTH((Tahmin!$C$4+34),0))))&gt;=(Tahmin!$C$4+28),DATE(YEAR((Tahmin!$C$4+34)),MONTH((Tahmin!$C$4+34)),MIN(DAY(Kalemler!$D7),DAY(EOMONTH((Tahmin!$C$4+34),0))))&lt;=(Tahmin!$C$4+34),DATE(YEAR((Tahmin!$C$4+34)),MONTH((Tahmin!$C$4+34)),MIN(DAY(Kalemler!$D7),DAY(EOMONTH((Tahmin!$C$4+34),0))))&lt;&gt;DATE(YEAR((Tahmin!$C$4+28)),MONTH((Tahmin!$C$4+28)),MIN(DAY(Kalemler!$D7),DAY(EOMONTH((Tahmin!$C$4+28),0)))),DATE(YEAR((Tahmin!$C$4+34)),MONTH((Tahmin!$C$4+34)),MIN(DAY(Kalemler!$D7),DAY(EOMONTH((Tahmin!$C$4+34),0))))&gt;=Kalemler!$D7)),1,0),IF(AND(Kalemler!$D7&gt;=(Tahmin!$C$4+28),Kalemler!$D7&lt;=(Tahmin!$C$4+34)),1,0))))</f>
        <v>0</v>
      </c>
      <c r="G7" s="0" t="n">
        <f aca="false">IF(OR(Kalemler!$A7="",Kalemler!$C7="",Kalemler!$D7=""),0,Kalemler!$C7*IF(Kalemler!$E7="Haftalık",IF(Kalemler!$D7&lt;=(Tahmin!$C$4+41),1,0),IF(Kalemler!$E7="Aylık",IF(OR(AND(DATE(YEAR((Tahmin!$C$4+35)),MONTH((Tahmin!$C$4+35)),MIN(DAY(Kalemler!$D7),DAY(EOMONTH((Tahmin!$C$4+35),0))))&gt;=(Tahmin!$C$4+35),DATE(YEAR((Tahmin!$C$4+35)),MONTH((Tahmin!$C$4+35)),MIN(DAY(Kalemler!$D7),DAY(EOMONTH((Tahmin!$C$4+35),0))))&lt;=(Tahmin!$C$4+41),DATE(YEAR((Tahmin!$C$4+35)),MONTH((Tahmin!$C$4+35)),MIN(DAY(Kalemler!$D7),DAY(EOMONTH((Tahmin!$C$4+35),0))))&gt;=Kalemler!$D7),AND(DATE(YEAR((Tahmin!$C$4+41)),MONTH((Tahmin!$C$4+41)),MIN(DAY(Kalemler!$D7),DAY(EOMONTH((Tahmin!$C$4+41),0))))&gt;=(Tahmin!$C$4+35),DATE(YEAR((Tahmin!$C$4+41)),MONTH((Tahmin!$C$4+41)),MIN(DAY(Kalemler!$D7),DAY(EOMONTH((Tahmin!$C$4+41),0))))&lt;=(Tahmin!$C$4+41),DATE(YEAR((Tahmin!$C$4+41)),MONTH((Tahmin!$C$4+41)),MIN(DAY(Kalemler!$D7),DAY(EOMONTH((Tahmin!$C$4+41),0))))&lt;&gt;DATE(YEAR((Tahmin!$C$4+35)),MONTH((Tahmin!$C$4+35)),MIN(DAY(Kalemler!$D7),DAY(EOMONTH((Tahmin!$C$4+35),0)))),DATE(YEAR((Tahmin!$C$4+41)),MONTH((Tahmin!$C$4+41)),MIN(DAY(Kalemler!$D7),DAY(EOMONTH((Tahmin!$C$4+41),0))))&gt;=Kalemler!$D7)),1,0),IF(AND(Kalemler!$D7&gt;=(Tahmin!$C$4+35),Kalemler!$D7&lt;=(Tahmin!$C$4+41)),1,0))))</f>
        <v>80000</v>
      </c>
      <c r="H7" s="0" t="n">
        <f aca="false">IF(OR(Kalemler!$A7="",Kalemler!$C7="",Kalemler!$D7=""),0,Kalemler!$C7*IF(Kalemler!$E7="Haftalık",IF(Kalemler!$D7&lt;=(Tahmin!$C$4+48),1,0),IF(Kalemler!$E7="Aylık",IF(OR(AND(DATE(YEAR((Tahmin!$C$4+42)),MONTH((Tahmin!$C$4+42)),MIN(DAY(Kalemler!$D7),DAY(EOMONTH((Tahmin!$C$4+42),0))))&gt;=(Tahmin!$C$4+42),DATE(YEAR((Tahmin!$C$4+42)),MONTH((Tahmin!$C$4+42)),MIN(DAY(Kalemler!$D7),DAY(EOMONTH((Tahmin!$C$4+42),0))))&lt;=(Tahmin!$C$4+48),DATE(YEAR((Tahmin!$C$4+42)),MONTH((Tahmin!$C$4+42)),MIN(DAY(Kalemler!$D7),DAY(EOMONTH((Tahmin!$C$4+42),0))))&gt;=Kalemler!$D7),AND(DATE(YEAR((Tahmin!$C$4+48)),MONTH((Tahmin!$C$4+48)),MIN(DAY(Kalemler!$D7),DAY(EOMONTH((Tahmin!$C$4+48),0))))&gt;=(Tahmin!$C$4+42),DATE(YEAR((Tahmin!$C$4+48)),MONTH((Tahmin!$C$4+48)),MIN(DAY(Kalemler!$D7),DAY(EOMONTH((Tahmin!$C$4+48),0))))&lt;=(Tahmin!$C$4+48),DATE(YEAR((Tahmin!$C$4+48)),MONTH((Tahmin!$C$4+48)),MIN(DAY(Kalemler!$D7),DAY(EOMONTH((Tahmin!$C$4+48),0))))&lt;&gt;DATE(YEAR((Tahmin!$C$4+42)),MONTH((Tahmin!$C$4+42)),MIN(DAY(Kalemler!$D7),DAY(EOMONTH((Tahmin!$C$4+42),0)))),DATE(YEAR((Tahmin!$C$4+48)),MONTH((Tahmin!$C$4+48)),MIN(DAY(Kalemler!$D7),DAY(EOMONTH((Tahmin!$C$4+48),0))))&gt;=Kalemler!$D7)),1,0),IF(AND(Kalemler!$D7&gt;=(Tahmin!$C$4+42),Kalemler!$D7&lt;=(Tahmin!$C$4+48)),1,0))))</f>
        <v>0</v>
      </c>
      <c r="I7" s="0" t="n">
        <f aca="false">IF(OR(Kalemler!$A7="",Kalemler!$C7="",Kalemler!$D7=""),0,Kalemler!$C7*IF(Kalemler!$E7="Haftalık",IF(Kalemler!$D7&lt;=(Tahmin!$C$4+55),1,0),IF(Kalemler!$E7="Aylık",IF(OR(AND(DATE(YEAR((Tahmin!$C$4+49)),MONTH((Tahmin!$C$4+49)),MIN(DAY(Kalemler!$D7),DAY(EOMONTH((Tahmin!$C$4+49),0))))&gt;=(Tahmin!$C$4+49),DATE(YEAR((Tahmin!$C$4+49)),MONTH((Tahmin!$C$4+49)),MIN(DAY(Kalemler!$D7),DAY(EOMONTH((Tahmin!$C$4+49),0))))&lt;=(Tahmin!$C$4+55),DATE(YEAR((Tahmin!$C$4+49)),MONTH((Tahmin!$C$4+49)),MIN(DAY(Kalemler!$D7),DAY(EOMONTH((Tahmin!$C$4+49),0))))&gt;=Kalemler!$D7),AND(DATE(YEAR((Tahmin!$C$4+55)),MONTH((Tahmin!$C$4+55)),MIN(DAY(Kalemler!$D7),DAY(EOMONTH((Tahmin!$C$4+55),0))))&gt;=(Tahmin!$C$4+49),DATE(YEAR((Tahmin!$C$4+55)),MONTH((Tahmin!$C$4+55)),MIN(DAY(Kalemler!$D7),DAY(EOMONTH((Tahmin!$C$4+55),0))))&lt;=(Tahmin!$C$4+55),DATE(YEAR((Tahmin!$C$4+55)),MONTH((Tahmin!$C$4+55)),MIN(DAY(Kalemler!$D7),DAY(EOMONTH((Tahmin!$C$4+55),0))))&lt;&gt;DATE(YEAR((Tahmin!$C$4+49)),MONTH((Tahmin!$C$4+49)),MIN(DAY(Kalemler!$D7),DAY(EOMONTH((Tahmin!$C$4+49),0)))),DATE(YEAR((Tahmin!$C$4+55)),MONTH((Tahmin!$C$4+55)),MIN(DAY(Kalemler!$D7),DAY(EOMONTH((Tahmin!$C$4+55),0))))&gt;=Kalemler!$D7)),1,0),IF(AND(Kalemler!$D7&gt;=(Tahmin!$C$4+49),Kalemler!$D7&lt;=(Tahmin!$C$4+55)),1,0))))</f>
        <v>0</v>
      </c>
      <c r="J7" s="0" t="n">
        <f aca="false">IF(OR(Kalemler!$A7="",Kalemler!$C7="",Kalemler!$D7=""),0,Kalemler!$C7*IF(Kalemler!$E7="Haftalık",IF(Kalemler!$D7&lt;=(Tahmin!$C$4+62),1,0),IF(Kalemler!$E7="Aylık",IF(OR(AND(DATE(YEAR((Tahmin!$C$4+56)),MONTH((Tahmin!$C$4+56)),MIN(DAY(Kalemler!$D7),DAY(EOMONTH((Tahmin!$C$4+56),0))))&gt;=(Tahmin!$C$4+56),DATE(YEAR((Tahmin!$C$4+56)),MONTH((Tahmin!$C$4+56)),MIN(DAY(Kalemler!$D7),DAY(EOMONTH((Tahmin!$C$4+56),0))))&lt;=(Tahmin!$C$4+62),DATE(YEAR((Tahmin!$C$4+56)),MONTH((Tahmin!$C$4+56)),MIN(DAY(Kalemler!$D7),DAY(EOMONTH((Tahmin!$C$4+56),0))))&gt;=Kalemler!$D7),AND(DATE(YEAR((Tahmin!$C$4+62)),MONTH((Tahmin!$C$4+62)),MIN(DAY(Kalemler!$D7),DAY(EOMONTH((Tahmin!$C$4+62),0))))&gt;=(Tahmin!$C$4+56),DATE(YEAR((Tahmin!$C$4+62)),MONTH((Tahmin!$C$4+62)),MIN(DAY(Kalemler!$D7),DAY(EOMONTH((Tahmin!$C$4+62),0))))&lt;=(Tahmin!$C$4+62),DATE(YEAR((Tahmin!$C$4+62)),MONTH((Tahmin!$C$4+62)),MIN(DAY(Kalemler!$D7),DAY(EOMONTH((Tahmin!$C$4+62),0))))&lt;&gt;DATE(YEAR((Tahmin!$C$4+56)),MONTH((Tahmin!$C$4+56)),MIN(DAY(Kalemler!$D7),DAY(EOMONTH((Tahmin!$C$4+56),0)))),DATE(YEAR((Tahmin!$C$4+62)),MONTH((Tahmin!$C$4+62)),MIN(DAY(Kalemler!$D7),DAY(EOMONTH((Tahmin!$C$4+62),0))))&gt;=Kalemler!$D7)),1,0),IF(AND(Kalemler!$D7&gt;=(Tahmin!$C$4+56),Kalemler!$D7&lt;=(Tahmin!$C$4+62)),1,0))))</f>
        <v>0</v>
      </c>
      <c r="K7" s="0" t="n">
        <f aca="false">IF(OR(Kalemler!$A7="",Kalemler!$C7="",Kalemler!$D7=""),0,Kalemler!$C7*IF(Kalemler!$E7="Haftalık",IF(Kalemler!$D7&lt;=(Tahmin!$C$4+69),1,0),IF(Kalemler!$E7="Aylık",IF(OR(AND(DATE(YEAR((Tahmin!$C$4+63)),MONTH((Tahmin!$C$4+63)),MIN(DAY(Kalemler!$D7),DAY(EOMONTH((Tahmin!$C$4+63),0))))&gt;=(Tahmin!$C$4+63),DATE(YEAR((Tahmin!$C$4+63)),MONTH((Tahmin!$C$4+63)),MIN(DAY(Kalemler!$D7),DAY(EOMONTH((Tahmin!$C$4+63),0))))&lt;=(Tahmin!$C$4+69),DATE(YEAR((Tahmin!$C$4+63)),MONTH((Tahmin!$C$4+63)),MIN(DAY(Kalemler!$D7),DAY(EOMONTH((Tahmin!$C$4+63),0))))&gt;=Kalemler!$D7),AND(DATE(YEAR((Tahmin!$C$4+69)),MONTH((Tahmin!$C$4+69)),MIN(DAY(Kalemler!$D7),DAY(EOMONTH((Tahmin!$C$4+69),0))))&gt;=(Tahmin!$C$4+63),DATE(YEAR((Tahmin!$C$4+69)),MONTH((Tahmin!$C$4+69)),MIN(DAY(Kalemler!$D7),DAY(EOMONTH((Tahmin!$C$4+69),0))))&lt;=(Tahmin!$C$4+69),DATE(YEAR((Tahmin!$C$4+69)),MONTH((Tahmin!$C$4+69)),MIN(DAY(Kalemler!$D7),DAY(EOMONTH((Tahmin!$C$4+69),0))))&lt;&gt;DATE(YEAR((Tahmin!$C$4+63)),MONTH((Tahmin!$C$4+63)),MIN(DAY(Kalemler!$D7),DAY(EOMONTH((Tahmin!$C$4+63),0)))),DATE(YEAR((Tahmin!$C$4+69)),MONTH((Tahmin!$C$4+69)),MIN(DAY(Kalemler!$D7),DAY(EOMONTH((Tahmin!$C$4+69),0))))&gt;=Kalemler!$D7)),1,0),IF(AND(Kalemler!$D7&gt;=(Tahmin!$C$4+63),Kalemler!$D7&lt;=(Tahmin!$C$4+69)),1,0))))</f>
        <v>0</v>
      </c>
      <c r="L7" s="0" t="n">
        <f aca="false">IF(OR(Kalemler!$A7="",Kalemler!$C7="",Kalemler!$D7=""),0,Kalemler!$C7*IF(Kalemler!$E7="Haftalık",IF(Kalemler!$D7&lt;=(Tahmin!$C$4+76),1,0),IF(Kalemler!$E7="Aylık",IF(OR(AND(DATE(YEAR((Tahmin!$C$4+70)),MONTH((Tahmin!$C$4+70)),MIN(DAY(Kalemler!$D7),DAY(EOMONTH((Tahmin!$C$4+70),0))))&gt;=(Tahmin!$C$4+70),DATE(YEAR((Tahmin!$C$4+70)),MONTH((Tahmin!$C$4+70)),MIN(DAY(Kalemler!$D7),DAY(EOMONTH((Tahmin!$C$4+70),0))))&lt;=(Tahmin!$C$4+76),DATE(YEAR((Tahmin!$C$4+70)),MONTH((Tahmin!$C$4+70)),MIN(DAY(Kalemler!$D7),DAY(EOMONTH((Tahmin!$C$4+70),0))))&gt;=Kalemler!$D7),AND(DATE(YEAR((Tahmin!$C$4+76)),MONTH((Tahmin!$C$4+76)),MIN(DAY(Kalemler!$D7),DAY(EOMONTH((Tahmin!$C$4+76),0))))&gt;=(Tahmin!$C$4+70),DATE(YEAR((Tahmin!$C$4+76)),MONTH((Tahmin!$C$4+76)),MIN(DAY(Kalemler!$D7),DAY(EOMONTH((Tahmin!$C$4+76),0))))&lt;=(Tahmin!$C$4+76),DATE(YEAR((Tahmin!$C$4+76)),MONTH((Tahmin!$C$4+76)),MIN(DAY(Kalemler!$D7),DAY(EOMONTH((Tahmin!$C$4+76),0))))&lt;&gt;DATE(YEAR((Tahmin!$C$4+70)),MONTH((Tahmin!$C$4+70)),MIN(DAY(Kalemler!$D7),DAY(EOMONTH((Tahmin!$C$4+70),0)))),DATE(YEAR((Tahmin!$C$4+76)),MONTH((Tahmin!$C$4+76)),MIN(DAY(Kalemler!$D7),DAY(EOMONTH((Tahmin!$C$4+76),0))))&gt;=Kalemler!$D7)),1,0),IF(AND(Kalemler!$D7&gt;=(Tahmin!$C$4+70),Kalemler!$D7&lt;=(Tahmin!$C$4+76)),1,0))))</f>
        <v>0</v>
      </c>
      <c r="M7" s="0" t="n">
        <f aca="false">IF(OR(Kalemler!$A7="",Kalemler!$C7="",Kalemler!$D7=""),0,Kalemler!$C7*IF(Kalemler!$E7="Haftalık",IF(Kalemler!$D7&lt;=(Tahmin!$C$4+83),1,0),IF(Kalemler!$E7="Aylık",IF(OR(AND(DATE(YEAR((Tahmin!$C$4+77)),MONTH((Tahmin!$C$4+77)),MIN(DAY(Kalemler!$D7),DAY(EOMONTH((Tahmin!$C$4+77),0))))&gt;=(Tahmin!$C$4+77),DATE(YEAR((Tahmin!$C$4+77)),MONTH((Tahmin!$C$4+77)),MIN(DAY(Kalemler!$D7),DAY(EOMONTH((Tahmin!$C$4+77),0))))&lt;=(Tahmin!$C$4+83),DATE(YEAR((Tahmin!$C$4+77)),MONTH((Tahmin!$C$4+77)),MIN(DAY(Kalemler!$D7),DAY(EOMONTH((Tahmin!$C$4+77),0))))&gt;=Kalemler!$D7),AND(DATE(YEAR((Tahmin!$C$4+83)),MONTH((Tahmin!$C$4+83)),MIN(DAY(Kalemler!$D7),DAY(EOMONTH((Tahmin!$C$4+83),0))))&gt;=(Tahmin!$C$4+77),DATE(YEAR((Tahmin!$C$4+83)),MONTH((Tahmin!$C$4+83)),MIN(DAY(Kalemler!$D7),DAY(EOMONTH((Tahmin!$C$4+83),0))))&lt;=(Tahmin!$C$4+83),DATE(YEAR((Tahmin!$C$4+83)),MONTH((Tahmin!$C$4+83)),MIN(DAY(Kalemler!$D7),DAY(EOMONTH((Tahmin!$C$4+83),0))))&lt;&gt;DATE(YEAR((Tahmin!$C$4+77)),MONTH((Tahmin!$C$4+77)),MIN(DAY(Kalemler!$D7),DAY(EOMONTH((Tahmin!$C$4+77),0)))),DATE(YEAR((Tahmin!$C$4+83)),MONTH((Tahmin!$C$4+83)),MIN(DAY(Kalemler!$D7),DAY(EOMONTH((Tahmin!$C$4+83),0))))&gt;=Kalemler!$D7)),1,0),IF(AND(Kalemler!$D7&gt;=(Tahmin!$C$4+77),Kalemler!$D7&lt;=(Tahmin!$C$4+83)),1,0))))</f>
        <v>0</v>
      </c>
      <c r="N7" s="0" t="n">
        <f aca="false">IF(OR(Kalemler!$A7="",Kalemler!$C7="",Kalemler!$D7=""),0,Kalemler!$C7*IF(Kalemler!$E7="Haftalık",IF(Kalemler!$D7&lt;=(Tahmin!$C$4+90),1,0),IF(Kalemler!$E7="Aylık",IF(OR(AND(DATE(YEAR((Tahmin!$C$4+84)),MONTH((Tahmin!$C$4+84)),MIN(DAY(Kalemler!$D7),DAY(EOMONTH((Tahmin!$C$4+84),0))))&gt;=(Tahmin!$C$4+84),DATE(YEAR((Tahmin!$C$4+84)),MONTH((Tahmin!$C$4+84)),MIN(DAY(Kalemler!$D7),DAY(EOMONTH((Tahmin!$C$4+84),0))))&lt;=(Tahmin!$C$4+90),DATE(YEAR((Tahmin!$C$4+84)),MONTH((Tahmin!$C$4+84)),MIN(DAY(Kalemler!$D7),DAY(EOMONTH((Tahmin!$C$4+84),0))))&gt;=Kalemler!$D7),AND(DATE(YEAR((Tahmin!$C$4+90)),MONTH((Tahmin!$C$4+90)),MIN(DAY(Kalemler!$D7),DAY(EOMONTH((Tahmin!$C$4+90),0))))&gt;=(Tahmin!$C$4+84),DATE(YEAR((Tahmin!$C$4+90)),MONTH((Tahmin!$C$4+90)),MIN(DAY(Kalemler!$D7),DAY(EOMONTH((Tahmin!$C$4+90),0))))&lt;=(Tahmin!$C$4+90),DATE(YEAR((Tahmin!$C$4+90)),MONTH((Tahmin!$C$4+90)),MIN(DAY(Kalemler!$D7),DAY(EOMONTH((Tahmin!$C$4+90),0))))&lt;&gt;DATE(YEAR((Tahmin!$C$4+84)),MONTH((Tahmin!$C$4+84)),MIN(DAY(Kalemler!$D7),DAY(EOMONTH((Tahmin!$C$4+84),0)))),DATE(YEAR((Tahmin!$C$4+90)),MONTH((Tahmin!$C$4+90)),MIN(DAY(Kalemler!$D7),DAY(EOMONTH((Tahmin!$C$4+90),0))))&gt;=Kalemler!$D7)),1,0),IF(AND(Kalemler!$D7&gt;=(Tahmin!$C$4+84),Kalemler!$D7&lt;=(Tahmin!$C$4+90)),1,0))))</f>
        <v>0</v>
      </c>
    </row>
    <row r="8" customFormat="false" ht="15" hidden="false" customHeight="false" outlineLevel="0" collapsed="false">
      <c r="A8" s="0" t="str">
        <f aca="false">IF(Kalemler!A8="","",Kalemler!A8)</f>
        <v>Kira</v>
      </c>
      <c r="B8" s="0" t="n">
        <f aca="false">IF(OR(Kalemler!$A8="",Kalemler!$C8="",Kalemler!$D8=""),0,Kalemler!$C8*IF(Kalemler!$E8="Haftalık",IF(Kalemler!$D8&lt;=(Tahmin!$C$4+6),1,0),IF(Kalemler!$E8="Aylık",IF(OR(AND(DATE(YEAR((Tahmin!$C$4+0)),MONTH((Tahmin!$C$4+0)),MIN(DAY(Kalemler!$D8),DAY(EOMONTH((Tahmin!$C$4+0),0))))&gt;=(Tahmin!$C$4+0),DATE(YEAR((Tahmin!$C$4+0)),MONTH((Tahmin!$C$4+0)),MIN(DAY(Kalemler!$D8),DAY(EOMONTH((Tahmin!$C$4+0),0))))&lt;=(Tahmin!$C$4+6),DATE(YEAR((Tahmin!$C$4+0)),MONTH((Tahmin!$C$4+0)),MIN(DAY(Kalemler!$D8),DAY(EOMONTH((Tahmin!$C$4+0),0))))&gt;=Kalemler!$D8),AND(DATE(YEAR((Tahmin!$C$4+6)),MONTH((Tahmin!$C$4+6)),MIN(DAY(Kalemler!$D8),DAY(EOMONTH((Tahmin!$C$4+6),0))))&gt;=(Tahmin!$C$4+0),DATE(YEAR((Tahmin!$C$4+6)),MONTH((Tahmin!$C$4+6)),MIN(DAY(Kalemler!$D8),DAY(EOMONTH((Tahmin!$C$4+6),0))))&lt;=(Tahmin!$C$4+6),DATE(YEAR((Tahmin!$C$4+6)),MONTH((Tahmin!$C$4+6)),MIN(DAY(Kalemler!$D8),DAY(EOMONTH((Tahmin!$C$4+6),0))))&lt;&gt;DATE(YEAR((Tahmin!$C$4+0)),MONTH((Tahmin!$C$4+0)),MIN(DAY(Kalemler!$D8),DAY(EOMONTH((Tahmin!$C$4+0),0)))),DATE(YEAR((Tahmin!$C$4+6)),MONTH((Tahmin!$C$4+6)),MIN(DAY(Kalemler!$D8),DAY(EOMONTH((Tahmin!$C$4+6),0))))&gt;=Kalemler!$D8)),1,0),IF(AND(Kalemler!$D8&gt;=(Tahmin!$C$4+0),Kalemler!$D8&lt;=(Tahmin!$C$4+6)),1,0))))</f>
        <v>30000</v>
      </c>
      <c r="C8" s="0" t="n">
        <f aca="false">IF(OR(Kalemler!$A8="",Kalemler!$C8="",Kalemler!$D8=""),0,Kalemler!$C8*IF(Kalemler!$E8="Haftalık",IF(Kalemler!$D8&lt;=(Tahmin!$C$4+13),1,0),IF(Kalemler!$E8="Aylık",IF(OR(AND(DATE(YEAR((Tahmin!$C$4+7)),MONTH((Tahmin!$C$4+7)),MIN(DAY(Kalemler!$D8),DAY(EOMONTH((Tahmin!$C$4+7),0))))&gt;=(Tahmin!$C$4+7),DATE(YEAR((Tahmin!$C$4+7)),MONTH((Tahmin!$C$4+7)),MIN(DAY(Kalemler!$D8),DAY(EOMONTH((Tahmin!$C$4+7),0))))&lt;=(Tahmin!$C$4+13),DATE(YEAR((Tahmin!$C$4+7)),MONTH((Tahmin!$C$4+7)),MIN(DAY(Kalemler!$D8),DAY(EOMONTH((Tahmin!$C$4+7),0))))&gt;=Kalemler!$D8),AND(DATE(YEAR((Tahmin!$C$4+13)),MONTH((Tahmin!$C$4+13)),MIN(DAY(Kalemler!$D8),DAY(EOMONTH((Tahmin!$C$4+13),0))))&gt;=(Tahmin!$C$4+7),DATE(YEAR((Tahmin!$C$4+13)),MONTH((Tahmin!$C$4+13)),MIN(DAY(Kalemler!$D8),DAY(EOMONTH((Tahmin!$C$4+13),0))))&lt;=(Tahmin!$C$4+13),DATE(YEAR((Tahmin!$C$4+13)),MONTH((Tahmin!$C$4+13)),MIN(DAY(Kalemler!$D8),DAY(EOMONTH((Tahmin!$C$4+13),0))))&lt;&gt;DATE(YEAR((Tahmin!$C$4+7)),MONTH((Tahmin!$C$4+7)),MIN(DAY(Kalemler!$D8),DAY(EOMONTH((Tahmin!$C$4+7),0)))),DATE(YEAR((Tahmin!$C$4+13)),MONTH((Tahmin!$C$4+13)),MIN(DAY(Kalemler!$D8),DAY(EOMONTH((Tahmin!$C$4+13),0))))&gt;=Kalemler!$D8)),1,0),IF(AND(Kalemler!$D8&gt;=(Tahmin!$C$4+7),Kalemler!$D8&lt;=(Tahmin!$C$4+13)),1,0))))</f>
        <v>0</v>
      </c>
      <c r="D8" s="0" t="n">
        <f aca="false">IF(OR(Kalemler!$A8="",Kalemler!$C8="",Kalemler!$D8=""),0,Kalemler!$C8*IF(Kalemler!$E8="Haftalık",IF(Kalemler!$D8&lt;=(Tahmin!$C$4+20),1,0),IF(Kalemler!$E8="Aylık",IF(OR(AND(DATE(YEAR((Tahmin!$C$4+14)),MONTH((Tahmin!$C$4+14)),MIN(DAY(Kalemler!$D8),DAY(EOMONTH((Tahmin!$C$4+14),0))))&gt;=(Tahmin!$C$4+14),DATE(YEAR((Tahmin!$C$4+14)),MONTH((Tahmin!$C$4+14)),MIN(DAY(Kalemler!$D8),DAY(EOMONTH((Tahmin!$C$4+14),0))))&lt;=(Tahmin!$C$4+20),DATE(YEAR((Tahmin!$C$4+14)),MONTH((Tahmin!$C$4+14)),MIN(DAY(Kalemler!$D8),DAY(EOMONTH((Tahmin!$C$4+14),0))))&gt;=Kalemler!$D8),AND(DATE(YEAR((Tahmin!$C$4+20)),MONTH((Tahmin!$C$4+20)),MIN(DAY(Kalemler!$D8),DAY(EOMONTH((Tahmin!$C$4+20),0))))&gt;=(Tahmin!$C$4+14),DATE(YEAR((Tahmin!$C$4+20)),MONTH((Tahmin!$C$4+20)),MIN(DAY(Kalemler!$D8),DAY(EOMONTH((Tahmin!$C$4+20),0))))&lt;=(Tahmin!$C$4+20),DATE(YEAR((Tahmin!$C$4+20)),MONTH((Tahmin!$C$4+20)),MIN(DAY(Kalemler!$D8),DAY(EOMONTH((Tahmin!$C$4+20),0))))&lt;&gt;DATE(YEAR((Tahmin!$C$4+14)),MONTH((Tahmin!$C$4+14)),MIN(DAY(Kalemler!$D8),DAY(EOMONTH((Tahmin!$C$4+14),0)))),DATE(YEAR((Tahmin!$C$4+20)),MONTH((Tahmin!$C$4+20)),MIN(DAY(Kalemler!$D8),DAY(EOMONTH((Tahmin!$C$4+20),0))))&gt;=Kalemler!$D8)),1,0),IF(AND(Kalemler!$D8&gt;=(Tahmin!$C$4+14),Kalemler!$D8&lt;=(Tahmin!$C$4+20)),1,0))))</f>
        <v>0</v>
      </c>
      <c r="E8" s="0" t="n">
        <f aca="false">IF(OR(Kalemler!$A8="",Kalemler!$C8="",Kalemler!$D8=""),0,Kalemler!$C8*IF(Kalemler!$E8="Haftalık",IF(Kalemler!$D8&lt;=(Tahmin!$C$4+27),1,0),IF(Kalemler!$E8="Aylık",IF(OR(AND(DATE(YEAR((Tahmin!$C$4+21)),MONTH((Tahmin!$C$4+21)),MIN(DAY(Kalemler!$D8),DAY(EOMONTH((Tahmin!$C$4+21),0))))&gt;=(Tahmin!$C$4+21),DATE(YEAR((Tahmin!$C$4+21)),MONTH((Tahmin!$C$4+21)),MIN(DAY(Kalemler!$D8),DAY(EOMONTH((Tahmin!$C$4+21),0))))&lt;=(Tahmin!$C$4+27),DATE(YEAR((Tahmin!$C$4+21)),MONTH((Tahmin!$C$4+21)),MIN(DAY(Kalemler!$D8),DAY(EOMONTH((Tahmin!$C$4+21),0))))&gt;=Kalemler!$D8),AND(DATE(YEAR((Tahmin!$C$4+27)),MONTH((Tahmin!$C$4+27)),MIN(DAY(Kalemler!$D8),DAY(EOMONTH((Tahmin!$C$4+27),0))))&gt;=(Tahmin!$C$4+21),DATE(YEAR((Tahmin!$C$4+27)),MONTH((Tahmin!$C$4+27)),MIN(DAY(Kalemler!$D8),DAY(EOMONTH((Tahmin!$C$4+27),0))))&lt;=(Tahmin!$C$4+27),DATE(YEAR((Tahmin!$C$4+27)),MONTH((Tahmin!$C$4+27)),MIN(DAY(Kalemler!$D8),DAY(EOMONTH((Tahmin!$C$4+27),0))))&lt;&gt;DATE(YEAR((Tahmin!$C$4+21)),MONTH((Tahmin!$C$4+21)),MIN(DAY(Kalemler!$D8),DAY(EOMONTH((Tahmin!$C$4+21),0)))),DATE(YEAR((Tahmin!$C$4+27)),MONTH((Tahmin!$C$4+27)),MIN(DAY(Kalemler!$D8),DAY(EOMONTH((Tahmin!$C$4+27),0))))&gt;=Kalemler!$D8)),1,0),IF(AND(Kalemler!$D8&gt;=(Tahmin!$C$4+21),Kalemler!$D8&lt;=(Tahmin!$C$4+27)),1,0))))</f>
        <v>0</v>
      </c>
      <c r="F8" s="0" t="n">
        <f aca="false">IF(OR(Kalemler!$A8="",Kalemler!$C8="",Kalemler!$D8=""),0,Kalemler!$C8*IF(Kalemler!$E8="Haftalık",IF(Kalemler!$D8&lt;=(Tahmin!$C$4+34),1,0),IF(Kalemler!$E8="Aylık",IF(OR(AND(DATE(YEAR((Tahmin!$C$4+28)),MONTH((Tahmin!$C$4+28)),MIN(DAY(Kalemler!$D8),DAY(EOMONTH((Tahmin!$C$4+28),0))))&gt;=(Tahmin!$C$4+28),DATE(YEAR((Tahmin!$C$4+28)),MONTH((Tahmin!$C$4+28)),MIN(DAY(Kalemler!$D8),DAY(EOMONTH((Tahmin!$C$4+28),0))))&lt;=(Tahmin!$C$4+34),DATE(YEAR((Tahmin!$C$4+28)),MONTH((Tahmin!$C$4+28)),MIN(DAY(Kalemler!$D8),DAY(EOMONTH((Tahmin!$C$4+28),0))))&gt;=Kalemler!$D8),AND(DATE(YEAR((Tahmin!$C$4+34)),MONTH((Tahmin!$C$4+34)),MIN(DAY(Kalemler!$D8),DAY(EOMONTH((Tahmin!$C$4+34),0))))&gt;=(Tahmin!$C$4+28),DATE(YEAR((Tahmin!$C$4+34)),MONTH((Tahmin!$C$4+34)),MIN(DAY(Kalemler!$D8),DAY(EOMONTH((Tahmin!$C$4+34),0))))&lt;=(Tahmin!$C$4+34),DATE(YEAR((Tahmin!$C$4+34)),MONTH((Tahmin!$C$4+34)),MIN(DAY(Kalemler!$D8),DAY(EOMONTH((Tahmin!$C$4+34),0))))&lt;&gt;DATE(YEAR((Tahmin!$C$4+28)),MONTH((Tahmin!$C$4+28)),MIN(DAY(Kalemler!$D8),DAY(EOMONTH((Tahmin!$C$4+28),0)))),DATE(YEAR((Tahmin!$C$4+34)),MONTH((Tahmin!$C$4+34)),MIN(DAY(Kalemler!$D8),DAY(EOMONTH((Tahmin!$C$4+34),0))))&gt;=Kalemler!$D8)),1,0),IF(AND(Kalemler!$D8&gt;=(Tahmin!$C$4+28),Kalemler!$D8&lt;=(Tahmin!$C$4+34)),1,0))))</f>
        <v>30000</v>
      </c>
      <c r="G8" s="0" t="n">
        <f aca="false">IF(OR(Kalemler!$A8="",Kalemler!$C8="",Kalemler!$D8=""),0,Kalemler!$C8*IF(Kalemler!$E8="Haftalık",IF(Kalemler!$D8&lt;=(Tahmin!$C$4+41),1,0),IF(Kalemler!$E8="Aylık",IF(OR(AND(DATE(YEAR((Tahmin!$C$4+35)),MONTH((Tahmin!$C$4+35)),MIN(DAY(Kalemler!$D8),DAY(EOMONTH((Tahmin!$C$4+35),0))))&gt;=(Tahmin!$C$4+35),DATE(YEAR((Tahmin!$C$4+35)),MONTH((Tahmin!$C$4+35)),MIN(DAY(Kalemler!$D8),DAY(EOMONTH((Tahmin!$C$4+35),0))))&lt;=(Tahmin!$C$4+41),DATE(YEAR((Tahmin!$C$4+35)),MONTH((Tahmin!$C$4+35)),MIN(DAY(Kalemler!$D8),DAY(EOMONTH((Tahmin!$C$4+35),0))))&gt;=Kalemler!$D8),AND(DATE(YEAR((Tahmin!$C$4+41)),MONTH((Tahmin!$C$4+41)),MIN(DAY(Kalemler!$D8),DAY(EOMONTH((Tahmin!$C$4+41),0))))&gt;=(Tahmin!$C$4+35),DATE(YEAR((Tahmin!$C$4+41)),MONTH((Tahmin!$C$4+41)),MIN(DAY(Kalemler!$D8),DAY(EOMONTH((Tahmin!$C$4+41),0))))&lt;=(Tahmin!$C$4+41),DATE(YEAR((Tahmin!$C$4+41)),MONTH((Tahmin!$C$4+41)),MIN(DAY(Kalemler!$D8),DAY(EOMONTH((Tahmin!$C$4+41),0))))&lt;&gt;DATE(YEAR((Tahmin!$C$4+35)),MONTH((Tahmin!$C$4+35)),MIN(DAY(Kalemler!$D8),DAY(EOMONTH((Tahmin!$C$4+35),0)))),DATE(YEAR((Tahmin!$C$4+41)),MONTH((Tahmin!$C$4+41)),MIN(DAY(Kalemler!$D8),DAY(EOMONTH((Tahmin!$C$4+41),0))))&gt;=Kalemler!$D8)),1,0),IF(AND(Kalemler!$D8&gt;=(Tahmin!$C$4+35),Kalemler!$D8&lt;=(Tahmin!$C$4+41)),1,0))))</f>
        <v>0</v>
      </c>
      <c r="H8" s="0" t="n">
        <f aca="false">IF(OR(Kalemler!$A8="",Kalemler!$C8="",Kalemler!$D8=""),0,Kalemler!$C8*IF(Kalemler!$E8="Haftalık",IF(Kalemler!$D8&lt;=(Tahmin!$C$4+48),1,0),IF(Kalemler!$E8="Aylık",IF(OR(AND(DATE(YEAR((Tahmin!$C$4+42)),MONTH((Tahmin!$C$4+42)),MIN(DAY(Kalemler!$D8),DAY(EOMONTH((Tahmin!$C$4+42),0))))&gt;=(Tahmin!$C$4+42),DATE(YEAR((Tahmin!$C$4+42)),MONTH((Tahmin!$C$4+42)),MIN(DAY(Kalemler!$D8),DAY(EOMONTH((Tahmin!$C$4+42),0))))&lt;=(Tahmin!$C$4+48),DATE(YEAR((Tahmin!$C$4+42)),MONTH((Tahmin!$C$4+42)),MIN(DAY(Kalemler!$D8),DAY(EOMONTH((Tahmin!$C$4+42),0))))&gt;=Kalemler!$D8),AND(DATE(YEAR((Tahmin!$C$4+48)),MONTH((Tahmin!$C$4+48)),MIN(DAY(Kalemler!$D8),DAY(EOMONTH((Tahmin!$C$4+48),0))))&gt;=(Tahmin!$C$4+42),DATE(YEAR((Tahmin!$C$4+48)),MONTH((Tahmin!$C$4+48)),MIN(DAY(Kalemler!$D8),DAY(EOMONTH((Tahmin!$C$4+48),0))))&lt;=(Tahmin!$C$4+48),DATE(YEAR((Tahmin!$C$4+48)),MONTH((Tahmin!$C$4+48)),MIN(DAY(Kalemler!$D8),DAY(EOMONTH((Tahmin!$C$4+48),0))))&lt;&gt;DATE(YEAR((Tahmin!$C$4+42)),MONTH((Tahmin!$C$4+42)),MIN(DAY(Kalemler!$D8),DAY(EOMONTH((Tahmin!$C$4+42),0)))),DATE(YEAR((Tahmin!$C$4+48)),MONTH((Tahmin!$C$4+48)),MIN(DAY(Kalemler!$D8),DAY(EOMONTH((Tahmin!$C$4+48),0))))&gt;=Kalemler!$D8)),1,0),IF(AND(Kalemler!$D8&gt;=(Tahmin!$C$4+42),Kalemler!$D8&lt;=(Tahmin!$C$4+48)),1,0))))</f>
        <v>0</v>
      </c>
      <c r="I8" s="0" t="n">
        <f aca="false">IF(OR(Kalemler!$A8="",Kalemler!$C8="",Kalemler!$D8=""),0,Kalemler!$C8*IF(Kalemler!$E8="Haftalık",IF(Kalemler!$D8&lt;=(Tahmin!$C$4+55),1,0),IF(Kalemler!$E8="Aylık",IF(OR(AND(DATE(YEAR((Tahmin!$C$4+49)),MONTH((Tahmin!$C$4+49)),MIN(DAY(Kalemler!$D8),DAY(EOMONTH((Tahmin!$C$4+49),0))))&gt;=(Tahmin!$C$4+49),DATE(YEAR((Tahmin!$C$4+49)),MONTH((Tahmin!$C$4+49)),MIN(DAY(Kalemler!$D8),DAY(EOMONTH((Tahmin!$C$4+49),0))))&lt;=(Tahmin!$C$4+55),DATE(YEAR((Tahmin!$C$4+49)),MONTH((Tahmin!$C$4+49)),MIN(DAY(Kalemler!$D8),DAY(EOMONTH((Tahmin!$C$4+49),0))))&gt;=Kalemler!$D8),AND(DATE(YEAR((Tahmin!$C$4+55)),MONTH((Tahmin!$C$4+55)),MIN(DAY(Kalemler!$D8),DAY(EOMONTH((Tahmin!$C$4+55),0))))&gt;=(Tahmin!$C$4+49),DATE(YEAR((Tahmin!$C$4+55)),MONTH((Tahmin!$C$4+55)),MIN(DAY(Kalemler!$D8),DAY(EOMONTH((Tahmin!$C$4+55),0))))&lt;=(Tahmin!$C$4+55),DATE(YEAR((Tahmin!$C$4+55)),MONTH((Tahmin!$C$4+55)),MIN(DAY(Kalemler!$D8),DAY(EOMONTH((Tahmin!$C$4+55),0))))&lt;&gt;DATE(YEAR((Tahmin!$C$4+49)),MONTH((Tahmin!$C$4+49)),MIN(DAY(Kalemler!$D8),DAY(EOMONTH((Tahmin!$C$4+49),0)))),DATE(YEAR((Tahmin!$C$4+55)),MONTH((Tahmin!$C$4+55)),MIN(DAY(Kalemler!$D8),DAY(EOMONTH((Tahmin!$C$4+55),0))))&gt;=Kalemler!$D8)),1,0),IF(AND(Kalemler!$D8&gt;=(Tahmin!$C$4+49),Kalemler!$D8&lt;=(Tahmin!$C$4+55)),1,0))))</f>
        <v>0</v>
      </c>
      <c r="J8" s="0" t="n">
        <f aca="false">IF(OR(Kalemler!$A8="",Kalemler!$C8="",Kalemler!$D8=""),0,Kalemler!$C8*IF(Kalemler!$E8="Haftalık",IF(Kalemler!$D8&lt;=(Tahmin!$C$4+62),1,0),IF(Kalemler!$E8="Aylık",IF(OR(AND(DATE(YEAR((Tahmin!$C$4+56)),MONTH((Tahmin!$C$4+56)),MIN(DAY(Kalemler!$D8),DAY(EOMONTH((Tahmin!$C$4+56),0))))&gt;=(Tahmin!$C$4+56),DATE(YEAR((Tahmin!$C$4+56)),MONTH((Tahmin!$C$4+56)),MIN(DAY(Kalemler!$D8),DAY(EOMONTH((Tahmin!$C$4+56),0))))&lt;=(Tahmin!$C$4+62),DATE(YEAR((Tahmin!$C$4+56)),MONTH((Tahmin!$C$4+56)),MIN(DAY(Kalemler!$D8),DAY(EOMONTH((Tahmin!$C$4+56),0))))&gt;=Kalemler!$D8),AND(DATE(YEAR((Tahmin!$C$4+62)),MONTH((Tahmin!$C$4+62)),MIN(DAY(Kalemler!$D8),DAY(EOMONTH((Tahmin!$C$4+62),0))))&gt;=(Tahmin!$C$4+56),DATE(YEAR((Tahmin!$C$4+62)),MONTH((Tahmin!$C$4+62)),MIN(DAY(Kalemler!$D8),DAY(EOMONTH((Tahmin!$C$4+62),0))))&lt;=(Tahmin!$C$4+62),DATE(YEAR((Tahmin!$C$4+62)),MONTH((Tahmin!$C$4+62)),MIN(DAY(Kalemler!$D8),DAY(EOMONTH((Tahmin!$C$4+62),0))))&lt;&gt;DATE(YEAR((Tahmin!$C$4+56)),MONTH((Tahmin!$C$4+56)),MIN(DAY(Kalemler!$D8),DAY(EOMONTH((Tahmin!$C$4+56),0)))),DATE(YEAR((Tahmin!$C$4+62)),MONTH((Tahmin!$C$4+62)),MIN(DAY(Kalemler!$D8),DAY(EOMONTH((Tahmin!$C$4+62),0))))&gt;=Kalemler!$D8)),1,0),IF(AND(Kalemler!$D8&gt;=(Tahmin!$C$4+56),Kalemler!$D8&lt;=(Tahmin!$C$4+62)),1,0))))</f>
        <v>30000</v>
      </c>
      <c r="K8" s="0" t="n">
        <f aca="false">IF(OR(Kalemler!$A8="",Kalemler!$C8="",Kalemler!$D8=""),0,Kalemler!$C8*IF(Kalemler!$E8="Haftalık",IF(Kalemler!$D8&lt;=(Tahmin!$C$4+69),1,0),IF(Kalemler!$E8="Aylık",IF(OR(AND(DATE(YEAR((Tahmin!$C$4+63)),MONTH((Tahmin!$C$4+63)),MIN(DAY(Kalemler!$D8),DAY(EOMONTH((Tahmin!$C$4+63),0))))&gt;=(Tahmin!$C$4+63),DATE(YEAR((Tahmin!$C$4+63)),MONTH((Tahmin!$C$4+63)),MIN(DAY(Kalemler!$D8),DAY(EOMONTH((Tahmin!$C$4+63),0))))&lt;=(Tahmin!$C$4+69),DATE(YEAR((Tahmin!$C$4+63)),MONTH((Tahmin!$C$4+63)),MIN(DAY(Kalemler!$D8),DAY(EOMONTH((Tahmin!$C$4+63),0))))&gt;=Kalemler!$D8),AND(DATE(YEAR((Tahmin!$C$4+69)),MONTH((Tahmin!$C$4+69)),MIN(DAY(Kalemler!$D8),DAY(EOMONTH((Tahmin!$C$4+69),0))))&gt;=(Tahmin!$C$4+63),DATE(YEAR((Tahmin!$C$4+69)),MONTH((Tahmin!$C$4+69)),MIN(DAY(Kalemler!$D8),DAY(EOMONTH((Tahmin!$C$4+69),0))))&lt;=(Tahmin!$C$4+69),DATE(YEAR((Tahmin!$C$4+69)),MONTH((Tahmin!$C$4+69)),MIN(DAY(Kalemler!$D8),DAY(EOMONTH((Tahmin!$C$4+69),0))))&lt;&gt;DATE(YEAR((Tahmin!$C$4+63)),MONTH((Tahmin!$C$4+63)),MIN(DAY(Kalemler!$D8),DAY(EOMONTH((Tahmin!$C$4+63),0)))),DATE(YEAR((Tahmin!$C$4+69)),MONTH((Tahmin!$C$4+69)),MIN(DAY(Kalemler!$D8),DAY(EOMONTH((Tahmin!$C$4+69),0))))&gt;=Kalemler!$D8)),1,0),IF(AND(Kalemler!$D8&gt;=(Tahmin!$C$4+63),Kalemler!$D8&lt;=(Tahmin!$C$4+69)),1,0))))</f>
        <v>0</v>
      </c>
      <c r="L8" s="0" t="n">
        <f aca="false">IF(OR(Kalemler!$A8="",Kalemler!$C8="",Kalemler!$D8=""),0,Kalemler!$C8*IF(Kalemler!$E8="Haftalık",IF(Kalemler!$D8&lt;=(Tahmin!$C$4+76),1,0),IF(Kalemler!$E8="Aylık",IF(OR(AND(DATE(YEAR((Tahmin!$C$4+70)),MONTH((Tahmin!$C$4+70)),MIN(DAY(Kalemler!$D8),DAY(EOMONTH((Tahmin!$C$4+70),0))))&gt;=(Tahmin!$C$4+70),DATE(YEAR((Tahmin!$C$4+70)),MONTH((Tahmin!$C$4+70)),MIN(DAY(Kalemler!$D8),DAY(EOMONTH((Tahmin!$C$4+70),0))))&lt;=(Tahmin!$C$4+76),DATE(YEAR((Tahmin!$C$4+70)),MONTH((Tahmin!$C$4+70)),MIN(DAY(Kalemler!$D8),DAY(EOMONTH((Tahmin!$C$4+70),0))))&gt;=Kalemler!$D8),AND(DATE(YEAR((Tahmin!$C$4+76)),MONTH((Tahmin!$C$4+76)),MIN(DAY(Kalemler!$D8),DAY(EOMONTH((Tahmin!$C$4+76),0))))&gt;=(Tahmin!$C$4+70),DATE(YEAR((Tahmin!$C$4+76)),MONTH((Tahmin!$C$4+76)),MIN(DAY(Kalemler!$D8),DAY(EOMONTH((Tahmin!$C$4+76),0))))&lt;=(Tahmin!$C$4+76),DATE(YEAR((Tahmin!$C$4+76)),MONTH((Tahmin!$C$4+76)),MIN(DAY(Kalemler!$D8),DAY(EOMONTH((Tahmin!$C$4+76),0))))&lt;&gt;DATE(YEAR((Tahmin!$C$4+70)),MONTH((Tahmin!$C$4+70)),MIN(DAY(Kalemler!$D8),DAY(EOMONTH((Tahmin!$C$4+70),0)))),DATE(YEAR((Tahmin!$C$4+76)),MONTH((Tahmin!$C$4+76)),MIN(DAY(Kalemler!$D8),DAY(EOMONTH((Tahmin!$C$4+76),0))))&gt;=Kalemler!$D8)),1,0),IF(AND(Kalemler!$D8&gt;=(Tahmin!$C$4+70),Kalemler!$D8&lt;=(Tahmin!$C$4+76)),1,0))))</f>
        <v>0</v>
      </c>
      <c r="M8" s="0" t="n">
        <f aca="false">IF(OR(Kalemler!$A8="",Kalemler!$C8="",Kalemler!$D8=""),0,Kalemler!$C8*IF(Kalemler!$E8="Haftalık",IF(Kalemler!$D8&lt;=(Tahmin!$C$4+83),1,0),IF(Kalemler!$E8="Aylık",IF(OR(AND(DATE(YEAR((Tahmin!$C$4+77)),MONTH((Tahmin!$C$4+77)),MIN(DAY(Kalemler!$D8),DAY(EOMONTH((Tahmin!$C$4+77),0))))&gt;=(Tahmin!$C$4+77),DATE(YEAR((Tahmin!$C$4+77)),MONTH((Tahmin!$C$4+77)),MIN(DAY(Kalemler!$D8),DAY(EOMONTH((Tahmin!$C$4+77),0))))&lt;=(Tahmin!$C$4+83),DATE(YEAR((Tahmin!$C$4+77)),MONTH((Tahmin!$C$4+77)),MIN(DAY(Kalemler!$D8),DAY(EOMONTH((Tahmin!$C$4+77),0))))&gt;=Kalemler!$D8),AND(DATE(YEAR((Tahmin!$C$4+83)),MONTH((Tahmin!$C$4+83)),MIN(DAY(Kalemler!$D8),DAY(EOMONTH((Tahmin!$C$4+83),0))))&gt;=(Tahmin!$C$4+77),DATE(YEAR((Tahmin!$C$4+83)),MONTH((Tahmin!$C$4+83)),MIN(DAY(Kalemler!$D8),DAY(EOMONTH((Tahmin!$C$4+83),0))))&lt;=(Tahmin!$C$4+83),DATE(YEAR((Tahmin!$C$4+83)),MONTH((Tahmin!$C$4+83)),MIN(DAY(Kalemler!$D8),DAY(EOMONTH((Tahmin!$C$4+83),0))))&lt;&gt;DATE(YEAR((Tahmin!$C$4+77)),MONTH((Tahmin!$C$4+77)),MIN(DAY(Kalemler!$D8),DAY(EOMONTH((Tahmin!$C$4+77),0)))),DATE(YEAR((Tahmin!$C$4+83)),MONTH((Tahmin!$C$4+83)),MIN(DAY(Kalemler!$D8),DAY(EOMONTH((Tahmin!$C$4+83),0))))&gt;=Kalemler!$D8)),1,0),IF(AND(Kalemler!$D8&gt;=(Tahmin!$C$4+77),Kalemler!$D8&lt;=(Tahmin!$C$4+83)),1,0))))</f>
        <v>0</v>
      </c>
      <c r="N8" s="0" t="n">
        <f aca="false">IF(OR(Kalemler!$A8="",Kalemler!$C8="",Kalemler!$D8=""),0,Kalemler!$C8*IF(Kalemler!$E8="Haftalık",IF(Kalemler!$D8&lt;=(Tahmin!$C$4+90),1,0),IF(Kalemler!$E8="Aylık",IF(OR(AND(DATE(YEAR((Tahmin!$C$4+84)),MONTH((Tahmin!$C$4+84)),MIN(DAY(Kalemler!$D8),DAY(EOMONTH((Tahmin!$C$4+84),0))))&gt;=(Tahmin!$C$4+84),DATE(YEAR((Tahmin!$C$4+84)),MONTH((Tahmin!$C$4+84)),MIN(DAY(Kalemler!$D8),DAY(EOMONTH((Tahmin!$C$4+84),0))))&lt;=(Tahmin!$C$4+90),DATE(YEAR((Tahmin!$C$4+84)),MONTH((Tahmin!$C$4+84)),MIN(DAY(Kalemler!$D8),DAY(EOMONTH((Tahmin!$C$4+84),0))))&gt;=Kalemler!$D8),AND(DATE(YEAR((Tahmin!$C$4+90)),MONTH((Tahmin!$C$4+90)),MIN(DAY(Kalemler!$D8),DAY(EOMONTH((Tahmin!$C$4+90),0))))&gt;=(Tahmin!$C$4+84),DATE(YEAR((Tahmin!$C$4+90)),MONTH((Tahmin!$C$4+90)),MIN(DAY(Kalemler!$D8),DAY(EOMONTH((Tahmin!$C$4+90),0))))&lt;=(Tahmin!$C$4+90),DATE(YEAR((Tahmin!$C$4+90)),MONTH((Tahmin!$C$4+90)),MIN(DAY(Kalemler!$D8),DAY(EOMONTH((Tahmin!$C$4+90),0))))&lt;&gt;DATE(YEAR((Tahmin!$C$4+84)),MONTH((Tahmin!$C$4+84)),MIN(DAY(Kalemler!$D8),DAY(EOMONTH((Tahmin!$C$4+84),0)))),DATE(YEAR((Tahmin!$C$4+90)),MONTH((Tahmin!$C$4+90)),MIN(DAY(Kalemler!$D8),DAY(EOMONTH((Tahmin!$C$4+90),0))))&gt;=Kalemler!$D8)),1,0),IF(AND(Kalemler!$D8&gt;=(Tahmin!$C$4+84),Kalemler!$D8&lt;=(Tahmin!$C$4+90)),1,0))))</f>
        <v>0</v>
      </c>
    </row>
    <row r="9" customFormat="false" ht="15" hidden="false" customHeight="false" outlineLevel="0" collapsed="false">
      <c r="A9" s="0" t="str">
        <f aca="false">IF(Kalemler!A9="","",Kalemler!A9)</f>
        <v>Maaşlar</v>
      </c>
      <c r="B9" s="0" t="n">
        <f aca="false">IF(OR(Kalemler!$A9="",Kalemler!$C9="",Kalemler!$D9=""),0,Kalemler!$C9*IF(Kalemler!$E9="Haftalık",IF(Kalemler!$D9&lt;=(Tahmin!$C$4+6),1,0),IF(Kalemler!$E9="Aylık",IF(OR(AND(DATE(YEAR((Tahmin!$C$4+0)),MONTH((Tahmin!$C$4+0)),MIN(DAY(Kalemler!$D9),DAY(EOMONTH((Tahmin!$C$4+0),0))))&gt;=(Tahmin!$C$4+0),DATE(YEAR((Tahmin!$C$4+0)),MONTH((Tahmin!$C$4+0)),MIN(DAY(Kalemler!$D9),DAY(EOMONTH((Tahmin!$C$4+0),0))))&lt;=(Tahmin!$C$4+6),DATE(YEAR((Tahmin!$C$4+0)),MONTH((Tahmin!$C$4+0)),MIN(DAY(Kalemler!$D9),DAY(EOMONTH((Tahmin!$C$4+0),0))))&gt;=Kalemler!$D9),AND(DATE(YEAR((Tahmin!$C$4+6)),MONTH((Tahmin!$C$4+6)),MIN(DAY(Kalemler!$D9),DAY(EOMONTH((Tahmin!$C$4+6),0))))&gt;=(Tahmin!$C$4+0),DATE(YEAR((Tahmin!$C$4+6)),MONTH((Tahmin!$C$4+6)),MIN(DAY(Kalemler!$D9),DAY(EOMONTH((Tahmin!$C$4+6),0))))&lt;=(Tahmin!$C$4+6),DATE(YEAR((Tahmin!$C$4+6)),MONTH((Tahmin!$C$4+6)),MIN(DAY(Kalemler!$D9),DAY(EOMONTH((Tahmin!$C$4+6),0))))&lt;&gt;DATE(YEAR((Tahmin!$C$4+0)),MONTH((Tahmin!$C$4+0)),MIN(DAY(Kalemler!$D9),DAY(EOMONTH((Tahmin!$C$4+0),0)))),DATE(YEAR((Tahmin!$C$4+6)),MONTH((Tahmin!$C$4+6)),MIN(DAY(Kalemler!$D9),DAY(EOMONTH((Tahmin!$C$4+6),0))))&gt;=Kalemler!$D9)),1,0),IF(AND(Kalemler!$D9&gt;=(Tahmin!$C$4+0),Kalemler!$D9&lt;=(Tahmin!$C$4+6)),1,0))))</f>
        <v>0</v>
      </c>
      <c r="C9" s="0" t="n">
        <f aca="false">IF(OR(Kalemler!$A9="",Kalemler!$C9="",Kalemler!$D9=""),0,Kalemler!$C9*IF(Kalemler!$E9="Haftalık",IF(Kalemler!$D9&lt;=(Tahmin!$C$4+13),1,0),IF(Kalemler!$E9="Aylık",IF(OR(AND(DATE(YEAR((Tahmin!$C$4+7)),MONTH((Tahmin!$C$4+7)),MIN(DAY(Kalemler!$D9),DAY(EOMONTH((Tahmin!$C$4+7),0))))&gt;=(Tahmin!$C$4+7),DATE(YEAR((Tahmin!$C$4+7)),MONTH((Tahmin!$C$4+7)),MIN(DAY(Kalemler!$D9),DAY(EOMONTH((Tahmin!$C$4+7),0))))&lt;=(Tahmin!$C$4+13),DATE(YEAR((Tahmin!$C$4+7)),MONTH((Tahmin!$C$4+7)),MIN(DAY(Kalemler!$D9),DAY(EOMONTH((Tahmin!$C$4+7),0))))&gt;=Kalemler!$D9),AND(DATE(YEAR((Tahmin!$C$4+13)),MONTH((Tahmin!$C$4+13)),MIN(DAY(Kalemler!$D9),DAY(EOMONTH((Tahmin!$C$4+13),0))))&gt;=(Tahmin!$C$4+7),DATE(YEAR((Tahmin!$C$4+13)),MONTH((Tahmin!$C$4+13)),MIN(DAY(Kalemler!$D9),DAY(EOMONTH((Tahmin!$C$4+13),0))))&lt;=(Tahmin!$C$4+13),DATE(YEAR((Tahmin!$C$4+13)),MONTH((Tahmin!$C$4+13)),MIN(DAY(Kalemler!$D9),DAY(EOMONTH((Tahmin!$C$4+13),0))))&lt;&gt;DATE(YEAR((Tahmin!$C$4+7)),MONTH((Tahmin!$C$4+7)),MIN(DAY(Kalemler!$D9),DAY(EOMONTH((Tahmin!$C$4+7),0)))),DATE(YEAR((Tahmin!$C$4+13)),MONTH((Tahmin!$C$4+13)),MIN(DAY(Kalemler!$D9),DAY(EOMONTH((Tahmin!$C$4+13),0))))&gt;=Kalemler!$D9)),1,0),IF(AND(Kalemler!$D9&gt;=(Tahmin!$C$4+7),Kalemler!$D9&lt;=(Tahmin!$C$4+13)),1,0))))</f>
        <v>0</v>
      </c>
      <c r="D9" s="0" t="n">
        <f aca="false">IF(OR(Kalemler!$A9="",Kalemler!$C9="",Kalemler!$D9=""),0,Kalemler!$C9*IF(Kalemler!$E9="Haftalık",IF(Kalemler!$D9&lt;=(Tahmin!$C$4+20),1,0),IF(Kalemler!$E9="Aylık",IF(OR(AND(DATE(YEAR((Tahmin!$C$4+14)),MONTH((Tahmin!$C$4+14)),MIN(DAY(Kalemler!$D9),DAY(EOMONTH((Tahmin!$C$4+14),0))))&gt;=(Tahmin!$C$4+14),DATE(YEAR((Tahmin!$C$4+14)),MONTH((Tahmin!$C$4+14)),MIN(DAY(Kalemler!$D9),DAY(EOMONTH((Tahmin!$C$4+14),0))))&lt;=(Tahmin!$C$4+20),DATE(YEAR((Tahmin!$C$4+14)),MONTH((Tahmin!$C$4+14)),MIN(DAY(Kalemler!$D9),DAY(EOMONTH((Tahmin!$C$4+14),0))))&gt;=Kalemler!$D9),AND(DATE(YEAR((Tahmin!$C$4+20)),MONTH((Tahmin!$C$4+20)),MIN(DAY(Kalemler!$D9),DAY(EOMONTH((Tahmin!$C$4+20),0))))&gt;=(Tahmin!$C$4+14),DATE(YEAR((Tahmin!$C$4+20)),MONTH((Tahmin!$C$4+20)),MIN(DAY(Kalemler!$D9),DAY(EOMONTH((Tahmin!$C$4+20),0))))&lt;=(Tahmin!$C$4+20),DATE(YEAR((Tahmin!$C$4+20)),MONTH((Tahmin!$C$4+20)),MIN(DAY(Kalemler!$D9),DAY(EOMONTH((Tahmin!$C$4+20),0))))&lt;&gt;DATE(YEAR((Tahmin!$C$4+14)),MONTH((Tahmin!$C$4+14)),MIN(DAY(Kalemler!$D9),DAY(EOMONTH((Tahmin!$C$4+14),0)))),DATE(YEAR((Tahmin!$C$4+20)),MONTH((Tahmin!$C$4+20)),MIN(DAY(Kalemler!$D9),DAY(EOMONTH((Tahmin!$C$4+20),0))))&gt;=Kalemler!$D9)),1,0),IF(AND(Kalemler!$D9&gt;=(Tahmin!$C$4+14),Kalemler!$D9&lt;=(Tahmin!$C$4+20)),1,0))))</f>
        <v>0</v>
      </c>
      <c r="E9" s="0" t="n">
        <f aca="false">IF(OR(Kalemler!$A9="",Kalemler!$C9="",Kalemler!$D9=""),0,Kalemler!$C9*IF(Kalemler!$E9="Haftalık",IF(Kalemler!$D9&lt;=(Tahmin!$C$4+27),1,0),IF(Kalemler!$E9="Aylık",IF(OR(AND(DATE(YEAR((Tahmin!$C$4+21)),MONTH((Tahmin!$C$4+21)),MIN(DAY(Kalemler!$D9),DAY(EOMONTH((Tahmin!$C$4+21),0))))&gt;=(Tahmin!$C$4+21),DATE(YEAR((Tahmin!$C$4+21)),MONTH((Tahmin!$C$4+21)),MIN(DAY(Kalemler!$D9),DAY(EOMONTH((Tahmin!$C$4+21),0))))&lt;=(Tahmin!$C$4+27),DATE(YEAR((Tahmin!$C$4+21)),MONTH((Tahmin!$C$4+21)),MIN(DAY(Kalemler!$D9),DAY(EOMONTH((Tahmin!$C$4+21),0))))&gt;=Kalemler!$D9),AND(DATE(YEAR((Tahmin!$C$4+27)),MONTH((Tahmin!$C$4+27)),MIN(DAY(Kalemler!$D9),DAY(EOMONTH((Tahmin!$C$4+27),0))))&gt;=(Tahmin!$C$4+21),DATE(YEAR((Tahmin!$C$4+27)),MONTH((Tahmin!$C$4+27)),MIN(DAY(Kalemler!$D9),DAY(EOMONTH((Tahmin!$C$4+27),0))))&lt;=(Tahmin!$C$4+27),DATE(YEAR((Tahmin!$C$4+27)),MONTH((Tahmin!$C$4+27)),MIN(DAY(Kalemler!$D9),DAY(EOMONTH((Tahmin!$C$4+27),0))))&lt;&gt;DATE(YEAR((Tahmin!$C$4+21)),MONTH((Tahmin!$C$4+21)),MIN(DAY(Kalemler!$D9),DAY(EOMONTH((Tahmin!$C$4+21),0)))),DATE(YEAR((Tahmin!$C$4+27)),MONTH((Tahmin!$C$4+27)),MIN(DAY(Kalemler!$D9),DAY(EOMONTH((Tahmin!$C$4+27),0))))&gt;=Kalemler!$D9)),1,0),IF(AND(Kalemler!$D9&gt;=(Tahmin!$C$4+21),Kalemler!$D9&lt;=(Tahmin!$C$4+27)),1,0))))</f>
        <v>85000</v>
      </c>
      <c r="F9" s="0" t="n">
        <f aca="false">IF(OR(Kalemler!$A9="",Kalemler!$C9="",Kalemler!$D9=""),0,Kalemler!$C9*IF(Kalemler!$E9="Haftalık",IF(Kalemler!$D9&lt;=(Tahmin!$C$4+34),1,0),IF(Kalemler!$E9="Aylık",IF(OR(AND(DATE(YEAR((Tahmin!$C$4+28)),MONTH((Tahmin!$C$4+28)),MIN(DAY(Kalemler!$D9),DAY(EOMONTH((Tahmin!$C$4+28),0))))&gt;=(Tahmin!$C$4+28),DATE(YEAR((Tahmin!$C$4+28)),MONTH((Tahmin!$C$4+28)),MIN(DAY(Kalemler!$D9),DAY(EOMONTH((Tahmin!$C$4+28),0))))&lt;=(Tahmin!$C$4+34),DATE(YEAR((Tahmin!$C$4+28)),MONTH((Tahmin!$C$4+28)),MIN(DAY(Kalemler!$D9),DAY(EOMONTH((Tahmin!$C$4+28),0))))&gt;=Kalemler!$D9),AND(DATE(YEAR((Tahmin!$C$4+34)),MONTH((Tahmin!$C$4+34)),MIN(DAY(Kalemler!$D9),DAY(EOMONTH((Tahmin!$C$4+34),0))))&gt;=(Tahmin!$C$4+28),DATE(YEAR((Tahmin!$C$4+34)),MONTH((Tahmin!$C$4+34)),MIN(DAY(Kalemler!$D9),DAY(EOMONTH((Tahmin!$C$4+34),0))))&lt;=(Tahmin!$C$4+34),DATE(YEAR((Tahmin!$C$4+34)),MONTH((Tahmin!$C$4+34)),MIN(DAY(Kalemler!$D9),DAY(EOMONTH((Tahmin!$C$4+34),0))))&lt;&gt;DATE(YEAR((Tahmin!$C$4+28)),MONTH((Tahmin!$C$4+28)),MIN(DAY(Kalemler!$D9),DAY(EOMONTH((Tahmin!$C$4+28),0)))),DATE(YEAR((Tahmin!$C$4+34)),MONTH((Tahmin!$C$4+34)),MIN(DAY(Kalemler!$D9),DAY(EOMONTH((Tahmin!$C$4+34),0))))&gt;=Kalemler!$D9)),1,0),IF(AND(Kalemler!$D9&gt;=(Tahmin!$C$4+28),Kalemler!$D9&lt;=(Tahmin!$C$4+34)),1,0))))</f>
        <v>0</v>
      </c>
      <c r="G9" s="0" t="n">
        <f aca="false">IF(OR(Kalemler!$A9="",Kalemler!$C9="",Kalemler!$D9=""),0,Kalemler!$C9*IF(Kalemler!$E9="Haftalık",IF(Kalemler!$D9&lt;=(Tahmin!$C$4+41),1,0),IF(Kalemler!$E9="Aylık",IF(OR(AND(DATE(YEAR((Tahmin!$C$4+35)),MONTH((Tahmin!$C$4+35)),MIN(DAY(Kalemler!$D9),DAY(EOMONTH((Tahmin!$C$4+35),0))))&gt;=(Tahmin!$C$4+35),DATE(YEAR((Tahmin!$C$4+35)),MONTH((Tahmin!$C$4+35)),MIN(DAY(Kalemler!$D9),DAY(EOMONTH((Tahmin!$C$4+35),0))))&lt;=(Tahmin!$C$4+41),DATE(YEAR((Tahmin!$C$4+35)),MONTH((Tahmin!$C$4+35)),MIN(DAY(Kalemler!$D9),DAY(EOMONTH((Tahmin!$C$4+35),0))))&gt;=Kalemler!$D9),AND(DATE(YEAR((Tahmin!$C$4+41)),MONTH((Tahmin!$C$4+41)),MIN(DAY(Kalemler!$D9),DAY(EOMONTH((Tahmin!$C$4+41),0))))&gt;=(Tahmin!$C$4+35),DATE(YEAR((Tahmin!$C$4+41)),MONTH((Tahmin!$C$4+41)),MIN(DAY(Kalemler!$D9),DAY(EOMONTH((Tahmin!$C$4+41),0))))&lt;=(Tahmin!$C$4+41),DATE(YEAR((Tahmin!$C$4+41)),MONTH((Tahmin!$C$4+41)),MIN(DAY(Kalemler!$D9),DAY(EOMONTH((Tahmin!$C$4+41),0))))&lt;&gt;DATE(YEAR((Tahmin!$C$4+35)),MONTH((Tahmin!$C$4+35)),MIN(DAY(Kalemler!$D9),DAY(EOMONTH((Tahmin!$C$4+35),0)))),DATE(YEAR((Tahmin!$C$4+41)),MONTH((Tahmin!$C$4+41)),MIN(DAY(Kalemler!$D9),DAY(EOMONTH((Tahmin!$C$4+41),0))))&gt;=Kalemler!$D9)),1,0),IF(AND(Kalemler!$D9&gt;=(Tahmin!$C$4+35),Kalemler!$D9&lt;=(Tahmin!$C$4+41)),1,0))))</f>
        <v>0</v>
      </c>
      <c r="H9" s="0" t="n">
        <f aca="false">IF(OR(Kalemler!$A9="",Kalemler!$C9="",Kalemler!$D9=""),0,Kalemler!$C9*IF(Kalemler!$E9="Haftalık",IF(Kalemler!$D9&lt;=(Tahmin!$C$4+48),1,0),IF(Kalemler!$E9="Aylık",IF(OR(AND(DATE(YEAR((Tahmin!$C$4+42)),MONTH((Tahmin!$C$4+42)),MIN(DAY(Kalemler!$D9),DAY(EOMONTH((Tahmin!$C$4+42),0))))&gt;=(Tahmin!$C$4+42),DATE(YEAR((Tahmin!$C$4+42)),MONTH((Tahmin!$C$4+42)),MIN(DAY(Kalemler!$D9),DAY(EOMONTH((Tahmin!$C$4+42),0))))&lt;=(Tahmin!$C$4+48),DATE(YEAR((Tahmin!$C$4+42)),MONTH((Tahmin!$C$4+42)),MIN(DAY(Kalemler!$D9),DAY(EOMONTH((Tahmin!$C$4+42),0))))&gt;=Kalemler!$D9),AND(DATE(YEAR((Tahmin!$C$4+48)),MONTH((Tahmin!$C$4+48)),MIN(DAY(Kalemler!$D9),DAY(EOMONTH((Tahmin!$C$4+48),0))))&gt;=(Tahmin!$C$4+42),DATE(YEAR((Tahmin!$C$4+48)),MONTH((Tahmin!$C$4+48)),MIN(DAY(Kalemler!$D9),DAY(EOMONTH((Tahmin!$C$4+48),0))))&lt;=(Tahmin!$C$4+48),DATE(YEAR((Tahmin!$C$4+48)),MONTH((Tahmin!$C$4+48)),MIN(DAY(Kalemler!$D9),DAY(EOMONTH((Tahmin!$C$4+48),0))))&lt;&gt;DATE(YEAR((Tahmin!$C$4+42)),MONTH((Tahmin!$C$4+42)),MIN(DAY(Kalemler!$D9),DAY(EOMONTH((Tahmin!$C$4+42),0)))),DATE(YEAR((Tahmin!$C$4+48)),MONTH((Tahmin!$C$4+48)),MIN(DAY(Kalemler!$D9),DAY(EOMONTH((Tahmin!$C$4+48),0))))&gt;=Kalemler!$D9)),1,0),IF(AND(Kalemler!$D9&gt;=(Tahmin!$C$4+42),Kalemler!$D9&lt;=(Tahmin!$C$4+48)),1,0))))</f>
        <v>0</v>
      </c>
      <c r="I9" s="0" t="n">
        <f aca="false">IF(OR(Kalemler!$A9="",Kalemler!$C9="",Kalemler!$D9=""),0,Kalemler!$C9*IF(Kalemler!$E9="Haftalık",IF(Kalemler!$D9&lt;=(Tahmin!$C$4+55),1,0),IF(Kalemler!$E9="Aylık",IF(OR(AND(DATE(YEAR((Tahmin!$C$4+49)),MONTH((Tahmin!$C$4+49)),MIN(DAY(Kalemler!$D9),DAY(EOMONTH((Tahmin!$C$4+49),0))))&gt;=(Tahmin!$C$4+49),DATE(YEAR((Tahmin!$C$4+49)),MONTH((Tahmin!$C$4+49)),MIN(DAY(Kalemler!$D9),DAY(EOMONTH((Tahmin!$C$4+49),0))))&lt;=(Tahmin!$C$4+55),DATE(YEAR((Tahmin!$C$4+49)),MONTH((Tahmin!$C$4+49)),MIN(DAY(Kalemler!$D9),DAY(EOMONTH((Tahmin!$C$4+49),0))))&gt;=Kalemler!$D9),AND(DATE(YEAR((Tahmin!$C$4+55)),MONTH((Tahmin!$C$4+55)),MIN(DAY(Kalemler!$D9),DAY(EOMONTH((Tahmin!$C$4+55),0))))&gt;=(Tahmin!$C$4+49),DATE(YEAR((Tahmin!$C$4+55)),MONTH((Tahmin!$C$4+55)),MIN(DAY(Kalemler!$D9),DAY(EOMONTH((Tahmin!$C$4+55),0))))&lt;=(Tahmin!$C$4+55),DATE(YEAR((Tahmin!$C$4+55)),MONTH((Tahmin!$C$4+55)),MIN(DAY(Kalemler!$D9),DAY(EOMONTH((Tahmin!$C$4+55),0))))&lt;&gt;DATE(YEAR((Tahmin!$C$4+49)),MONTH((Tahmin!$C$4+49)),MIN(DAY(Kalemler!$D9),DAY(EOMONTH((Tahmin!$C$4+49),0)))),DATE(YEAR((Tahmin!$C$4+55)),MONTH((Tahmin!$C$4+55)),MIN(DAY(Kalemler!$D9),DAY(EOMONTH((Tahmin!$C$4+55),0))))&gt;=Kalemler!$D9)),1,0),IF(AND(Kalemler!$D9&gt;=(Tahmin!$C$4+49),Kalemler!$D9&lt;=(Tahmin!$C$4+55)),1,0))))</f>
        <v>0</v>
      </c>
      <c r="J9" s="0" t="n">
        <f aca="false">IF(OR(Kalemler!$A9="",Kalemler!$C9="",Kalemler!$D9=""),0,Kalemler!$C9*IF(Kalemler!$E9="Haftalık",IF(Kalemler!$D9&lt;=(Tahmin!$C$4+62),1,0),IF(Kalemler!$E9="Aylık",IF(OR(AND(DATE(YEAR((Tahmin!$C$4+56)),MONTH((Tahmin!$C$4+56)),MIN(DAY(Kalemler!$D9),DAY(EOMONTH((Tahmin!$C$4+56),0))))&gt;=(Tahmin!$C$4+56),DATE(YEAR((Tahmin!$C$4+56)),MONTH((Tahmin!$C$4+56)),MIN(DAY(Kalemler!$D9),DAY(EOMONTH((Tahmin!$C$4+56),0))))&lt;=(Tahmin!$C$4+62),DATE(YEAR((Tahmin!$C$4+56)),MONTH((Tahmin!$C$4+56)),MIN(DAY(Kalemler!$D9),DAY(EOMONTH((Tahmin!$C$4+56),0))))&gt;=Kalemler!$D9),AND(DATE(YEAR((Tahmin!$C$4+62)),MONTH((Tahmin!$C$4+62)),MIN(DAY(Kalemler!$D9),DAY(EOMONTH((Tahmin!$C$4+62),0))))&gt;=(Tahmin!$C$4+56),DATE(YEAR((Tahmin!$C$4+62)),MONTH((Tahmin!$C$4+62)),MIN(DAY(Kalemler!$D9),DAY(EOMONTH((Tahmin!$C$4+62),0))))&lt;=(Tahmin!$C$4+62),DATE(YEAR((Tahmin!$C$4+62)),MONTH((Tahmin!$C$4+62)),MIN(DAY(Kalemler!$D9),DAY(EOMONTH((Tahmin!$C$4+62),0))))&lt;&gt;DATE(YEAR((Tahmin!$C$4+56)),MONTH((Tahmin!$C$4+56)),MIN(DAY(Kalemler!$D9),DAY(EOMONTH((Tahmin!$C$4+56),0)))),DATE(YEAR((Tahmin!$C$4+62)),MONTH((Tahmin!$C$4+62)),MIN(DAY(Kalemler!$D9),DAY(EOMONTH((Tahmin!$C$4+62),0))))&gt;=Kalemler!$D9)),1,0),IF(AND(Kalemler!$D9&gt;=(Tahmin!$C$4+56),Kalemler!$D9&lt;=(Tahmin!$C$4+62)),1,0))))</f>
        <v>85000</v>
      </c>
      <c r="K9" s="0" t="n">
        <f aca="false">IF(OR(Kalemler!$A9="",Kalemler!$C9="",Kalemler!$D9=""),0,Kalemler!$C9*IF(Kalemler!$E9="Haftalık",IF(Kalemler!$D9&lt;=(Tahmin!$C$4+69),1,0),IF(Kalemler!$E9="Aylık",IF(OR(AND(DATE(YEAR((Tahmin!$C$4+63)),MONTH((Tahmin!$C$4+63)),MIN(DAY(Kalemler!$D9),DAY(EOMONTH((Tahmin!$C$4+63),0))))&gt;=(Tahmin!$C$4+63),DATE(YEAR((Tahmin!$C$4+63)),MONTH((Tahmin!$C$4+63)),MIN(DAY(Kalemler!$D9),DAY(EOMONTH((Tahmin!$C$4+63),0))))&lt;=(Tahmin!$C$4+69),DATE(YEAR((Tahmin!$C$4+63)),MONTH((Tahmin!$C$4+63)),MIN(DAY(Kalemler!$D9),DAY(EOMONTH((Tahmin!$C$4+63),0))))&gt;=Kalemler!$D9),AND(DATE(YEAR((Tahmin!$C$4+69)),MONTH((Tahmin!$C$4+69)),MIN(DAY(Kalemler!$D9),DAY(EOMONTH((Tahmin!$C$4+69),0))))&gt;=(Tahmin!$C$4+63),DATE(YEAR((Tahmin!$C$4+69)),MONTH((Tahmin!$C$4+69)),MIN(DAY(Kalemler!$D9),DAY(EOMONTH((Tahmin!$C$4+69),0))))&lt;=(Tahmin!$C$4+69),DATE(YEAR((Tahmin!$C$4+69)),MONTH((Tahmin!$C$4+69)),MIN(DAY(Kalemler!$D9),DAY(EOMONTH((Tahmin!$C$4+69),0))))&lt;&gt;DATE(YEAR((Tahmin!$C$4+63)),MONTH((Tahmin!$C$4+63)),MIN(DAY(Kalemler!$D9),DAY(EOMONTH((Tahmin!$C$4+63),0)))),DATE(YEAR((Tahmin!$C$4+69)),MONTH((Tahmin!$C$4+69)),MIN(DAY(Kalemler!$D9),DAY(EOMONTH((Tahmin!$C$4+69),0))))&gt;=Kalemler!$D9)),1,0),IF(AND(Kalemler!$D9&gt;=(Tahmin!$C$4+63),Kalemler!$D9&lt;=(Tahmin!$C$4+69)),1,0))))</f>
        <v>0</v>
      </c>
      <c r="L9" s="0" t="n">
        <f aca="false">IF(OR(Kalemler!$A9="",Kalemler!$C9="",Kalemler!$D9=""),0,Kalemler!$C9*IF(Kalemler!$E9="Haftalık",IF(Kalemler!$D9&lt;=(Tahmin!$C$4+76),1,0),IF(Kalemler!$E9="Aylık",IF(OR(AND(DATE(YEAR((Tahmin!$C$4+70)),MONTH((Tahmin!$C$4+70)),MIN(DAY(Kalemler!$D9),DAY(EOMONTH((Tahmin!$C$4+70),0))))&gt;=(Tahmin!$C$4+70),DATE(YEAR((Tahmin!$C$4+70)),MONTH((Tahmin!$C$4+70)),MIN(DAY(Kalemler!$D9),DAY(EOMONTH((Tahmin!$C$4+70),0))))&lt;=(Tahmin!$C$4+76),DATE(YEAR((Tahmin!$C$4+70)),MONTH((Tahmin!$C$4+70)),MIN(DAY(Kalemler!$D9),DAY(EOMONTH((Tahmin!$C$4+70),0))))&gt;=Kalemler!$D9),AND(DATE(YEAR((Tahmin!$C$4+76)),MONTH((Tahmin!$C$4+76)),MIN(DAY(Kalemler!$D9),DAY(EOMONTH((Tahmin!$C$4+76),0))))&gt;=(Tahmin!$C$4+70),DATE(YEAR((Tahmin!$C$4+76)),MONTH((Tahmin!$C$4+76)),MIN(DAY(Kalemler!$D9),DAY(EOMONTH((Tahmin!$C$4+76),0))))&lt;=(Tahmin!$C$4+76),DATE(YEAR((Tahmin!$C$4+76)),MONTH((Tahmin!$C$4+76)),MIN(DAY(Kalemler!$D9),DAY(EOMONTH((Tahmin!$C$4+76),0))))&lt;&gt;DATE(YEAR((Tahmin!$C$4+70)),MONTH((Tahmin!$C$4+70)),MIN(DAY(Kalemler!$D9),DAY(EOMONTH((Tahmin!$C$4+70),0)))),DATE(YEAR((Tahmin!$C$4+76)),MONTH((Tahmin!$C$4+76)),MIN(DAY(Kalemler!$D9),DAY(EOMONTH((Tahmin!$C$4+76),0))))&gt;=Kalemler!$D9)),1,0),IF(AND(Kalemler!$D9&gt;=(Tahmin!$C$4+70),Kalemler!$D9&lt;=(Tahmin!$C$4+76)),1,0))))</f>
        <v>0</v>
      </c>
      <c r="M9" s="0" t="n">
        <f aca="false">IF(OR(Kalemler!$A9="",Kalemler!$C9="",Kalemler!$D9=""),0,Kalemler!$C9*IF(Kalemler!$E9="Haftalık",IF(Kalemler!$D9&lt;=(Tahmin!$C$4+83),1,0),IF(Kalemler!$E9="Aylık",IF(OR(AND(DATE(YEAR((Tahmin!$C$4+77)),MONTH((Tahmin!$C$4+77)),MIN(DAY(Kalemler!$D9),DAY(EOMONTH((Tahmin!$C$4+77),0))))&gt;=(Tahmin!$C$4+77),DATE(YEAR((Tahmin!$C$4+77)),MONTH((Tahmin!$C$4+77)),MIN(DAY(Kalemler!$D9),DAY(EOMONTH((Tahmin!$C$4+77),0))))&lt;=(Tahmin!$C$4+83),DATE(YEAR((Tahmin!$C$4+77)),MONTH((Tahmin!$C$4+77)),MIN(DAY(Kalemler!$D9),DAY(EOMONTH((Tahmin!$C$4+77),0))))&gt;=Kalemler!$D9),AND(DATE(YEAR((Tahmin!$C$4+83)),MONTH((Tahmin!$C$4+83)),MIN(DAY(Kalemler!$D9),DAY(EOMONTH((Tahmin!$C$4+83),0))))&gt;=(Tahmin!$C$4+77),DATE(YEAR((Tahmin!$C$4+83)),MONTH((Tahmin!$C$4+83)),MIN(DAY(Kalemler!$D9),DAY(EOMONTH((Tahmin!$C$4+83),0))))&lt;=(Tahmin!$C$4+83),DATE(YEAR((Tahmin!$C$4+83)),MONTH((Tahmin!$C$4+83)),MIN(DAY(Kalemler!$D9),DAY(EOMONTH((Tahmin!$C$4+83),0))))&lt;&gt;DATE(YEAR((Tahmin!$C$4+77)),MONTH((Tahmin!$C$4+77)),MIN(DAY(Kalemler!$D9),DAY(EOMONTH((Tahmin!$C$4+77),0)))),DATE(YEAR((Tahmin!$C$4+83)),MONTH((Tahmin!$C$4+83)),MIN(DAY(Kalemler!$D9),DAY(EOMONTH((Tahmin!$C$4+83),0))))&gt;=Kalemler!$D9)),1,0),IF(AND(Kalemler!$D9&gt;=(Tahmin!$C$4+77),Kalemler!$D9&lt;=(Tahmin!$C$4+83)),1,0))))</f>
        <v>0</v>
      </c>
      <c r="N9" s="0" t="n">
        <f aca="false">IF(OR(Kalemler!$A9="",Kalemler!$C9="",Kalemler!$D9=""),0,Kalemler!$C9*IF(Kalemler!$E9="Haftalık",IF(Kalemler!$D9&lt;=(Tahmin!$C$4+90),1,0),IF(Kalemler!$E9="Aylık",IF(OR(AND(DATE(YEAR((Tahmin!$C$4+84)),MONTH((Tahmin!$C$4+84)),MIN(DAY(Kalemler!$D9),DAY(EOMONTH((Tahmin!$C$4+84),0))))&gt;=(Tahmin!$C$4+84),DATE(YEAR((Tahmin!$C$4+84)),MONTH((Tahmin!$C$4+84)),MIN(DAY(Kalemler!$D9),DAY(EOMONTH((Tahmin!$C$4+84),0))))&lt;=(Tahmin!$C$4+90),DATE(YEAR((Tahmin!$C$4+84)),MONTH((Tahmin!$C$4+84)),MIN(DAY(Kalemler!$D9),DAY(EOMONTH((Tahmin!$C$4+84),0))))&gt;=Kalemler!$D9),AND(DATE(YEAR((Tahmin!$C$4+90)),MONTH((Tahmin!$C$4+90)),MIN(DAY(Kalemler!$D9),DAY(EOMONTH((Tahmin!$C$4+90),0))))&gt;=(Tahmin!$C$4+84),DATE(YEAR((Tahmin!$C$4+90)),MONTH((Tahmin!$C$4+90)),MIN(DAY(Kalemler!$D9),DAY(EOMONTH((Tahmin!$C$4+90),0))))&lt;=(Tahmin!$C$4+90),DATE(YEAR((Tahmin!$C$4+90)),MONTH((Tahmin!$C$4+90)),MIN(DAY(Kalemler!$D9),DAY(EOMONTH((Tahmin!$C$4+90),0))))&lt;&gt;DATE(YEAR((Tahmin!$C$4+84)),MONTH((Tahmin!$C$4+84)),MIN(DAY(Kalemler!$D9),DAY(EOMONTH((Tahmin!$C$4+84),0)))),DATE(YEAR((Tahmin!$C$4+90)),MONTH((Tahmin!$C$4+90)),MIN(DAY(Kalemler!$D9),DAY(EOMONTH((Tahmin!$C$4+90),0))))&gt;=Kalemler!$D9)),1,0),IF(AND(Kalemler!$D9&gt;=(Tahmin!$C$4+84),Kalemler!$D9&lt;=(Tahmin!$C$4+90)),1,0))))</f>
        <v>85000</v>
      </c>
    </row>
    <row r="10" customFormat="false" ht="15" hidden="false" customHeight="false" outlineLevel="0" collapsed="false">
      <c r="A10" s="0" t="str">
        <f aca="false">IF(Kalemler!A10="","",Kalemler!A10)</f>
        <v>Tedarikçi ödemesi</v>
      </c>
      <c r="B10" s="0" t="n">
        <f aca="false">IF(OR(Kalemler!$A10="",Kalemler!$C10="",Kalemler!$D10=""),0,Kalemler!$C10*IF(Kalemler!$E10="Haftalık",IF(Kalemler!$D10&lt;=(Tahmin!$C$4+6),1,0),IF(Kalemler!$E10="Aylık",IF(OR(AND(DATE(YEAR((Tahmin!$C$4+0)),MONTH((Tahmin!$C$4+0)),MIN(DAY(Kalemler!$D10),DAY(EOMONTH((Tahmin!$C$4+0),0))))&gt;=(Tahmin!$C$4+0),DATE(YEAR((Tahmin!$C$4+0)),MONTH((Tahmin!$C$4+0)),MIN(DAY(Kalemler!$D10),DAY(EOMONTH((Tahmin!$C$4+0),0))))&lt;=(Tahmin!$C$4+6),DATE(YEAR((Tahmin!$C$4+0)),MONTH((Tahmin!$C$4+0)),MIN(DAY(Kalemler!$D10),DAY(EOMONTH((Tahmin!$C$4+0),0))))&gt;=Kalemler!$D10),AND(DATE(YEAR((Tahmin!$C$4+6)),MONTH((Tahmin!$C$4+6)),MIN(DAY(Kalemler!$D10),DAY(EOMONTH((Tahmin!$C$4+6),0))))&gt;=(Tahmin!$C$4+0),DATE(YEAR((Tahmin!$C$4+6)),MONTH((Tahmin!$C$4+6)),MIN(DAY(Kalemler!$D10),DAY(EOMONTH((Tahmin!$C$4+6),0))))&lt;=(Tahmin!$C$4+6),DATE(YEAR((Tahmin!$C$4+6)),MONTH((Tahmin!$C$4+6)),MIN(DAY(Kalemler!$D10),DAY(EOMONTH((Tahmin!$C$4+6),0))))&lt;&gt;DATE(YEAR((Tahmin!$C$4+0)),MONTH((Tahmin!$C$4+0)),MIN(DAY(Kalemler!$D10),DAY(EOMONTH((Tahmin!$C$4+0),0)))),DATE(YEAR((Tahmin!$C$4+6)),MONTH((Tahmin!$C$4+6)),MIN(DAY(Kalemler!$D10),DAY(EOMONTH((Tahmin!$C$4+6),0))))&gt;=Kalemler!$D10)),1,0),IF(AND(Kalemler!$D10&gt;=(Tahmin!$C$4+0),Kalemler!$D10&lt;=(Tahmin!$C$4+6)),1,0))))</f>
        <v>0</v>
      </c>
      <c r="C10" s="0" t="n">
        <f aca="false">IF(OR(Kalemler!$A10="",Kalemler!$C10="",Kalemler!$D10=""),0,Kalemler!$C10*IF(Kalemler!$E10="Haftalık",IF(Kalemler!$D10&lt;=(Tahmin!$C$4+13),1,0),IF(Kalemler!$E10="Aylık",IF(OR(AND(DATE(YEAR((Tahmin!$C$4+7)),MONTH((Tahmin!$C$4+7)),MIN(DAY(Kalemler!$D10),DAY(EOMONTH((Tahmin!$C$4+7),0))))&gt;=(Tahmin!$C$4+7),DATE(YEAR((Tahmin!$C$4+7)),MONTH((Tahmin!$C$4+7)),MIN(DAY(Kalemler!$D10),DAY(EOMONTH((Tahmin!$C$4+7),0))))&lt;=(Tahmin!$C$4+13),DATE(YEAR((Tahmin!$C$4+7)),MONTH((Tahmin!$C$4+7)),MIN(DAY(Kalemler!$D10),DAY(EOMONTH((Tahmin!$C$4+7),0))))&gt;=Kalemler!$D10),AND(DATE(YEAR((Tahmin!$C$4+13)),MONTH((Tahmin!$C$4+13)),MIN(DAY(Kalemler!$D10),DAY(EOMONTH((Tahmin!$C$4+13),0))))&gt;=(Tahmin!$C$4+7),DATE(YEAR((Tahmin!$C$4+13)),MONTH((Tahmin!$C$4+13)),MIN(DAY(Kalemler!$D10),DAY(EOMONTH((Tahmin!$C$4+13),0))))&lt;=(Tahmin!$C$4+13),DATE(YEAR((Tahmin!$C$4+13)),MONTH((Tahmin!$C$4+13)),MIN(DAY(Kalemler!$D10),DAY(EOMONTH((Tahmin!$C$4+13),0))))&lt;&gt;DATE(YEAR((Tahmin!$C$4+7)),MONTH((Tahmin!$C$4+7)),MIN(DAY(Kalemler!$D10),DAY(EOMONTH((Tahmin!$C$4+7),0)))),DATE(YEAR((Tahmin!$C$4+13)),MONTH((Tahmin!$C$4+13)),MIN(DAY(Kalemler!$D10),DAY(EOMONTH((Tahmin!$C$4+13),0))))&gt;=Kalemler!$D10)),1,0),IF(AND(Kalemler!$D10&gt;=(Tahmin!$C$4+7),Kalemler!$D10&lt;=(Tahmin!$C$4+13)),1,0))))</f>
        <v>0</v>
      </c>
      <c r="D10" s="0" t="n">
        <f aca="false">IF(OR(Kalemler!$A10="",Kalemler!$C10="",Kalemler!$D10=""),0,Kalemler!$C10*IF(Kalemler!$E10="Haftalık",IF(Kalemler!$D10&lt;=(Tahmin!$C$4+20),1,0),IF(Kalemler!$E10="Aylık",IF(OR(AND(DATE(YEAR((Tahmin!$C$4+14)),MONTH((Tahmin!$C$4+14)),MIN(DAY(Kalemler!$D10),DAY(EOMONTH((Tahmin!$C$4+14),0))))&gt;=(Tahmin!$C$4+14),DATE(YEAR((Tahmin!$C$4+14)),MONTH((Tahmin!$C$4+14)),MIN(DAY(Kalemler!$D10),DAY(EOMONTH((Tahmin!$C$4+14),0))))&lt;=(Tahmin!$C$4+20),DATE(YEAR((Tahmin!$C$4+14)),MONTH((Tahmin!$C$4+14)),MIN(DAY(Kalemler!$D10),DAY(EOMONTH((Tahmin!$C$4+14),0))))&gt;=Kalemler!$D10),AND(DATE(YEAR((Tahmin!$C$4+20)),MONTH((Tahmin!$C$4+20)),MIN(DAY(Kalemler!$D10),DAY(EOMONTH((Tahmin!$C$4+20),0))))&gt;=(Tahmin!$C$4+14),DATE(YEAR((Tahmin!$C$4+20)),MONTH((Tahmin!$C$4+20)),MIN(DAY(Kalemler!$D10),DAY(EOMONTH((Tahmin!$C$4+20),0))))&lt;=(Tahmin!$C$4+20),DATE(YEAR((Tahmin!$C$4+20)),MONTH((Tahmin!$C$4+20)),MIN(DAY(Kalemler!$D10),DAY(EOMONTH((Tahmin!$C$4+20),0))))&lt;&gt;DATE(YEAR((Tahmin!$C$4+14)),MONTH((Tahmin!$C$4+14)),MIN(DAY(Kalemler!$D10),DAY(EOMONTH((Tahmin!$C$4+14),0)))),DATE(YEAR((Tahmin!$C$4+20)),MONTH((Tahmin!$C$4+20)),MIN(DAY(Kalemler!$D10),DAY(EOMONTH((Tahmin!$C$4+20),0))))&gt;=Kalemler!$D10)),1,0),IF(AND(Kalemler!$D10&gt;=(Tahmin!$C$4+14),Kalemler!$D10&lt;=(Tahmin!$C$4+20)),1,0))))</f>
        <v>70000</v>
      </c>
      <c r="E10" s="0" t="n">
        <f aca="false">IF(OR(Kalemler!$A10="",Kalemler!$C10="",Kalemler!$D10=""),0,Kalemler!$C10*IF(Kalemler!$E10="Haftalık",IF(Kalemler!$D10&lt;=(Tahmin!$C$4+27),1,0),IF(Kalemler!$E10="Aylık",IF(OR(AND(DATE(YEAR((Tahmin!$C$4+21)),MONTH((Tahmin!$C$4+21)),MIN(DAY(Kalemler!$D10),DAY(EOMONTH((Tahmin!$C$4+21),0))))&gt;=(Tahmin!$C$4+21),DATE(YEAR((Tahmin!$C$4+21)),MONTH((Tahmin!$C$4+21)),MIN(DAY(Kalemler!$D10),DAY(EOMONTH((Tahmin!$C$4+21),0))))&lt;=(Tahmin!$C$4+27),DATE(YEAR((Tahmin!$C$4+21)),MONTH((Tahmin!$C$4+21)),MIN(DAY(Kalemler!$D10),DAY(EOMONTH((Tahmin!$C$4+21),0))))&gt;=Kalemler!$D10),AND(DATE(YEAR((Tahmin!$C$4+27)),MONTH((Tahmin!$C$4+27)),MIN(DAY(Kalemler!$D10),DAY(EOMONTH((Tahmin!$C$4+27),0))))&gt;=(Tahmin!$C$4+21),DATE(YEAR((Tahmin!$C$4+27)),MONTH((Tahmin!$C$4+27)),MIN(DAY(Kalemler!$D10),DAY(EOMONTH((Tahmin!$C$4+27),0))))&lt;=(Tahmin!$C$4+27),DATE(YEAR((Tahmin!$C$4+27)),MONTH((Tahmin!$C$4+27)),MIN(DAY(Kalemler!$D10),DAY(EOMONTH((Tahmin!$C$4+27),0))))&lt;&gt;DATE(YEAR((Tahmin!$C$4+21)),MONTH((Tahmin!$C$4+21)),MIN(DAY(Kalemler!$D10),DAY(EOMONTH((Tahmin!$C$4+21),0)))),DATE(YEAR((Tahmin!$C$4+27)),MONTH((Tahmin!$C$4+27)),MIN(DAY(Kalemler!$D10),DAY(EOMONTH((Tahmin!$C$4+27),0))))&gt;=Kalemler!$D10)),1,0),IF(AND(Kalemler!$D10&gt;=(Tahmin!$C$4+21),Kalemler!$D10&lt;=(Tahmin!$C$4+27)),1,0))))</f>
        <v>0</v>
      </c>
      <c r="F10" s="0" t="n">
        <f aca="false">IF(OR(Kalemler!$A10="",Kalemler!$C10="",Kalemler!$D10=""),0,Kalemler!$C10*IF(Kalemler!$E10="Haftalık",IF(Kalemler!$D10&lt;=(Tahmin!$C$4+34),1,0),IF(Kalemler!$E10="Aylık",IF(OR(AND(DATE(YEAR((Tahmin!$C$4+28)),MONTH((Tahmin!$C$4+28)),MIN(DAY(Kalemler!$D10),DAY(EOMONTH((Tahmin!$C$4+28),0))))&gt;=(Tahmin!$C$4+28),DATE(YEAR((Tahmin!$C$4+28)),MONTH((Tahmin!$C$4+28)),MIN(DAY(Kalemler!$D10),DAY(EOMONTH((Tahmin!$C$4+28),0))))&lt;=(Tahmin!$C$4+34),DATE(YEAR((Tahmin!$C$4+28)),MONTH((Tahmin!$C$4+28)),MIN(DAY(Kalemler!$D10),DAY(EOMONTH((Tahmin!$C$4+28),0))))&gt;=Kalemler!$D10),AND(DATE(YEAR((Tahmin!$C$4+34)),MONTH((Tahmin!$C$4+34)),MIN(DAY(Kalemler!$D10),DAY(EOMONTH((Tahmin!$C$4+34),0))))&gt;=(Tahmin!$C$4+28),DATE(YEAR((Tahmin!$C$4+34)),MONTH((Tahmin!$C$4+34)),MIN(DAY(Kalemler!$D10),DAY(EOMONTH((Tahmin!$C$4+34),0))))&lt;=(Tahmin!$C$4+34),DATE(YEAR((Tahmin!$C$4+34)),MONTH((Tahmin!$C$4+34)),MIN(DAY(Kalemler!$D10),DAY(EOMONTH((Tahmin!$C$4+34),0))))&lt;&gt;DATE(YEAR((Tahmin!$C$4+28)),MONTH((Tahmin!$C$4+28)),MIN(DAY(Kalemler!$D10),DAY(EOMONTH((Tahmin!$C$4+28),0)))),DATE(YEAR((Tahmin!$C$4+34)),MONTH((Tahmin!$C$4+34)),MIN(DAY(Kalemler!$D10),DAY(EOMONTH((Tahmin!$C$4+34),0))))&gt;=Kalemler!$D10)),1,0),IF(AND(Kalemler!$D10&gt;=(Tahmin!$C$4+28),Kalemler!$D10&lt;=(Tahmin!$C$4+34)),1,0))))</f>
        <v>0</v>
      </c>
      <c r="G10" s="0" t="n">
        <f aca="false">IF(OR(Kalemler!$A10="",Kalemler!$C10="",Kalemler!$D10=""),0,Kalemler!$C10*IF(Kalemler!$E10="Haftalık",IF(Kalemler!$D10&lt;=(Tahmin!$C$4+41),1,0),IF(Kalemler!$E10="Aylık",IF(OR(AND(DATE(YEAR((Tahmin!$C$4+35)),MONTH((Tahmin!$C$4+35)),MIN(DAY(Kalemler!$D10),DAY(EOMONTH((Tahmin!$C$4+35),0))))&gt;=(Tahmin!$C$4+35),DATE(YEAR((Tahmin!$C$4+35)),MONTH((Tahmin!$C$4+35)),MIN(DAY(Kalemler!$D10),DAY(EOMONTH((Tahmin!$C$4+35),0))))&lt;=(Tahmin!$C$4+41),DATE(YEAR((Tahmin!$C$4+35)),MONTH((Tahmin!$C$4+35)),MIN(DAY(Kalemler!$D10),DAY(EOMONTH((Tahmin!$C$4+35),0))))&gt;=Kalemler!$D10),AND(DATE(YEAR((Tahmin!$C$4+41)),MONTH((Tahmin!$C$4+41)),MIN(DAY(Kalemler!$D10),DAY(EOMONTH((Tahmin!$C$4+41),0))))&gt;=(Tahmin!$C$4+35),DATE(YEAR((Tahmin!$C$4+41)),MONTH((Tahmin!$C$4+41)),MIN(DAY(Kalemler!$D10),DAY(EOMONTH((Tahmin!$C$4+41),0))))&lt;=(Tahmin!$C$4+41),DATE(YEAR((Tahmin!$C$4+41)),MONTH((Tahmin!$C$4+41)),MIN(DAY(Kalemler!$D10),DAY(EOMONTH((Tahmin!$C$4+41),0))))&lt;&gt;DATE(YEAR((Tahmin!$C$4+35)),MONTH((Tahmin!$C$4+35)),MIN(DAY(Kalemler!$D10),DAY(EOMONTH((Tahmin!$C$4+35),0)))),DATE(YEAR((Tahmin!$C$4+41)),MONTH((Tahmin!$C$4+41)),MIN(DAY(Kalemler!$D10),DAY(EOMONTH((Tahmin!$C$4+41),0))))&gt;=Kalemler!$D10)),1,0),IF(AND(Kalemler!$D10&gt;=(Tahmin!$C$4+35),Kalemler!$D10&lt;=(Tahmin!$C$4+41)),1,0))))</f>
        <v>0</v>
      </c>
      <c r="H10" s="0" t="n">
        <f aca="false">IF(OR(Kalemler!$A10="",Kalemler!$C10="",Kalemler!$D10=""),0,Kalemler!$C10*IF(Kalemler!$E10="Haftalık",IF(Kalemler!$D10&lt;=(Tahmin!$C$4+48),1,0),IF(Kalemler!$E10="Aylık",IF(OR(AND(DATE(YEAR((Tahmin!$C$4+42)),MONTH((Tahmin!$C$4+42)),MIN(DAY(Kalemler!$D10),DAY(EOMONTH((Tahmin!$C$4+42),0))))&gt;=(Tahmin!$C$4+42),DATE(YEAR((Tahmin!$C$4+42)),MONTH((Tahmin!$C$4+42)),MIN(DAY(Kalemler!$D10),DAY(EOMONTH((Tahmin!$C$4+42),0))))&lt;=(Tahmin!$C$4+48),DATE(YEAR((Tahmin!$C$4+42)),MONTH((Tahmin!$C$4+42)),MIN(DAY(Kalemler!$D10),DAY(EOMONTH((Tahmin!$C$4+42),0))))&gt;=Kalemler!$D10),AND(DATE(YEAR((Tahmin!$C$4+48)),MONTH((Tahmin!$C$4+48)),MIN(DAY(Kalemler!$D10),DAY(EOMONTH((Tahmin!$C$4+48),0))))&gt;=(Tahmin!$C$4+42),DATE(YEAR((Tahmin!$C$4+48)),MONTH((Tahmin!$C$4+48)),MIN(DAY(Kalemler!$D10),DAY(EOMONTH((Tahmin!$C$4+48),0))))&lt;=(Tahmin!$C$4+48),DATE(YEAR((Tahmin!$C$4+48)),MONTH((Tahmin!$C$4+48)),MIN(DAY(Kalemler!$D10),DAY(EOMONTH((Tahmin!$C$4+48),0))))&lt;&gt;DATE(YEAR((Tahmin!$C$4+42)),MONTH((Tahmin!$C$4+42)),MIN(DAY(Kalemler!$D10),DAY(EOMONTH((Tahmin!$C$4+42),0)))),DATE(YEAR((Tahmin!$C$4+48)),MONTH((Tahmin!$C$4+48)),MIN(DAY(Kalemler!$D10),DAY(EOMONTH((Tahmin!$C$4+48),0))))&gt;=Kalemler!$D10)),1,0),IF(AND(Kalemler!$D10&gt;=(Tahmin!$C$4+42),Kalemler!$D10&lt;=(Tahmin!$C$4+48)),1,0))))</f>
        <v>0</v>
      </c>
      <c r="I10" s="0" t="n">
        <f aca="false">IF(OR(Kalemler!$A10="",Kalemler!$C10="",Kalemler!$D10=""),0,Kalemler!$C10*IF(Kalemler!$E10="Haftalık",IF(Kalemler!$D10&lt;=(Tahmin!$C$4+55),1,0),IF(Kalemler!$E10="Aylık",IF(OR(AND(DATE(YEAR((Tahmin!$C$4+49)),MONTH((Tahmin!$C$4+49)),MIN(DAY(Kalemler!$D10),DAY(EOMONTH((Tahmin!$C$4+49),0))))&gt;=(Tahmin!$C$4+49),DATE(YEAR((Tahmin!$C$4+49)),MONTH((Tahmin!$C$4+49)),MIN(DAY(Kalemler!$D10),DAY(EOMONTH((Tahmin!$C$4+49),0))))&lt;=(Tahmin!$C$4+55),DATE(YEAR((Tahmin!$C$4+49)),MONTH((Tahmin!$C$4+49)),MIN(DAY(Kalemler!$D10),DAY(EOMONTH((Tahmin!$C$4+49),0))))&gt;=Kalemler!$D10),AND(DATE(YEAR((Tahmin!$C$4+55)),MONTH((Tahmin!$C$4+55)),MIN(DAY(Kalemler!$D10),DAY(EOMONTH((Tahmin!$C$4+55),0))))&gt;=(Tahmin!$C$4+49),DATE(YEAR((Tahmin!$C$4+55)),MONTH((Tahmin!$C$4+55)),MIN(DAY(Kalemler!$D10),DAY(EOMONTH((Tahmin!$C$4+55),0))))&lt;=(Tahmin!$C$4+55),DATE(YEAR((Tahmin!$C$4+55)),MONTH((Tahmin!$C$4+55)),MIN(DAY(Kalemler!$D10),DAY(EOMONTH((Tahmin!$C$4+55),0))))&lt;&gt;DATE(YEAR((Tahmin!$C$4+49)),MONTH((Tahmin!$C$4+49)),MIN(DAY(Kalemler!$D10),DAY(EOMONTH((Tahmin!$C$4+49),0)))),DATE(YEAR((Tahmin!$C$4+55)),MONTH((Tahmin!$C$4+55)),MIN(DAY(Kalemler!$D10),DAY(EOMONTH((Tahmin!$C$4+55),0))))&gt;=Kalemler!$D10)),1,0),IF(AND(Kalemler!$D10&gt;=(Tahmin!$C$4+49),Kalemler!$D10&lt;=(Tahmin!$C$4+55)),1,0))))</f>
        <v>0</v>
      </c>
      <c r="J10" s="0" t="n">
        <f aca="false">IF(OR(Kalemler!$A10="",Kalemler!$C10="",Kalemler!$D10=""),0,Kalemler!$C10*IF(Kalemler!$E10="Haftalık",IF(Kalemler!$D10&lt;=(Tahmin!$C$4+62),1,0),IF(Kalemler!$E10="Aylık",IF(OR(AND(DATE(YEAR((Tahmin!$C$4+56)),MONTH((Tahmin!$C$4+56)),MIN(DAY(Kalemler!$D10),DAY(EOMONTH((Tahmin!$C$4+56),0))))&gt;=(Tahmin!$C$4+56),DATE(YEAR((Tahmin!$C$4+56)),MONTH((Tahmin!$C$4+56)),MIN(DAY(Kalemler!$D10),DAY(EOMONTH((Tahmin!$C$4+56),0))))&lt;=(Tahmin!$C$4+62),DATE(YEAR((Tahmin!$C$4+56)),MONTH((Tahmin!$C$4+56)),MIN(DAY(Kalemler!$D10),DAY(EOMONTH((Tahmin!$C$4+56),0))))&gt;=Kalemler!$D10),AND(DATE(YEAR((Tahmin!$C$4+62)),MONTH((Tahmin!$C$4+62)),MIN(DAY(Kalemler!$D10),DAY(EOMONTH((Tahmin!$C$4+62),0))))&gt;=(Tahmin!$C$4+56),DATE(YEAR((Tahmin!$C$4+62)),MONTH((Tahmin!$C$4+62)),MIN(DAY(Kalemler!$D10),DAY(EOMONTH((Tahmin!$C$4+62),0))))&lt;=(Tahmin!$C$4+62),DATE(YEAR((Tahmin!$C$4+62)),MONTH((Tahmin!$C$4+62)),MIN(DAY(Kalemler!$D10),DAY(EOMONTH((Tahmin!$C$4+62),0))))&lt;&gt;DATE(YEAR((Tahmin!$C$4+56)),MONTH((Tahmin!$C$4+56)),MIN(DAY(Kalemler!$D10),DAY(EOMONTH((Tahmin!$C$4+56),0)))),DATE(YEAR((Tahmin!$C$4+62)),MONTH((Tahmin!$C$4+62)),MIN(DAY(Kalemler!$D10),DAY(EOMONTH((Tahmin!$C$4+62),0))))&gt;=Kalemler!$D10)),1,0),IF(AND(Kalemler!$D10&gt;=(Tahmin!$C$4+56),Kalemler!$D10&lt;=(Tahmin!$C$4+62)),1,0))))</f>
        <v>0</v>
      </c>
      <c r="K10" s="0" t="n">
        <f aca="false">IF(OR(Kalemler!$A10="",Kalemler!$C10="",Kalemler!$D10=""),0,Kalemler!$C10*IF(Kalemler!$E10="Haftalık",IF(Kalemler!$D10&lt;=(Tahmin!$C$4+69),1,0),IF(Kalemler!$E10="Aylık",IF(OR(AND(DATE(YEAR((Tahmin!$C$4+63)),MONTH((Tahmin!$C$4+63)),MIN(DAY(Kalemler!$D10),DAY(EOMONTH((Tahmin!$C$4+63),0))))&gt;=(Tahmin!$C$4+63),DATE(YEAR((Tahmin!$C$4+63)),MONTH((Tahmin!$C$4+63)),MIN(DAY(Kalemler!$D10),DAY(EOMONTH((Tahmin!$C$4+63),0))))&lt;=(Tahmin!$C$4+69),DATE(YEAR((Tahmin!$C$4+63)),MONTH((Tahmin!$C$4+63)),MIN(DAY(Kalemler!$D10),DAY(EOMONTH((Tahmin!$C$4+63),0))))&gt;=Kalemler!$D10),AND(DATE(YEAR((Tahmin!$C$4+69)),MONTH((Tahmin!$C$4+69)),MIN(DAY(Kalemler!$D10),DAY(EOMONTH((Tahmin!$C$4+69),0))))&gt;=(Tahmin!$C$4+63),DATE(YEAR((Tahmin!$C$4+69)),MONTH((Tahmin!$C$4+69)),MIN(DAY(Kalemler!$D10),DAY(EOMONTH((Tahmin!$C$4+69),0))))&lt;=(Tahmin!$C$4+69),DATE(YEAR((Tahmin!$C$4+69)),MONTH((Tahmin!$C$4+69)),MIN(DAY(Kalemler!$D10),DAY(EOMONTH((Tahmin!$C$4+69),0))))&lt;&gt;DATE(YEAR((Tahmin!$C$4+63)),MONTH((Tahmin!$C$4+63)),MIN(DAY(Kalemler!$D10),DAY(EOMONTH((Tahmin!$C$4+63),0)))),DATE(YEAR((Tahmin!$C$4+69)),MONTH((Tahmin!$C$4+69)),MIN(DAY(Kalemler!$D10),DAY(EOMONTH((Tahmin!$C$4+69),0))))&gt;=Kalemler!$D10)),1,0),IF(AND(Kalemler!$D10&gt;=(Tahmin!$C$4+63),Kalemler!$D10&lt;=(Tahmin!$C$4+69)),1,0))))</f>
        <v>0</v>
      </c>
      <c r="L10" s="0" t="n">
        <f aca="false">IF(OR(Kalemler!$A10="",Kalemler!$C10="",Kalemler!$D10=""),0,Kalemler!$C10*IF(Kalemler!$E10="Haftalık",IF(Kalemler!$D10&lt;=(Tahmin!$C$4+76),1,0),IF(Kalemler!$E10="Aylık",IF(OR(AND(DATE(YEAR((Tahmin!$C$4+70)),MONTH((Tahmin!$C$4+70)),MIN(DAY(Kalemler!$D10),DAY(EOMONTH((Tahmin!$C$4+70),0))))&gt;=(Tahmin!$C$4+70),DATE(YEAR((Tahmin!$C$4+70)),MONTH((Tahmin!$C$4+70)),MIN(DAY(Kalemler!$D10),DAY(EOMONTH((Tahmin!$C$4+70),0))))&lt;=(Tahmin!$C$4+76),DATE(YEAR((Tahmin!$C$4+70)),MONTH((Tahmin!$C$4+70)),MIN(DAY(Kalemler!$D10),DAY(EOMONTH((Tahmin!$C$4+70),0))))&gt;=Kalemler!$D10),AND(DATE(YEAR((Tahmin!$C$4+76)),MONTH((Tahmin!$C$4+76)),MIN(DAY(Kalemler!$D10),DAY(EOMONTH((Tahmin!$C$4+76),0))))&gt;=(Tahmin!$C$4+70),DATE(YEAR((Tahmin!$C$4+76)),MONTH((Tahmin!$C$4+76)),MIN(DAY(Kalemler!$D10),DAY(EOMONTH((Tahmin!$C$4+76),0))))&lt;=(Tahmin!$C$4+76),DATE(YEAR((Tahmin!$C$4+76)),MONTH((Tahmin!$C$4+76)),MIN(DAY(Kalemler!$D10),DAY(EOMONTH((Tahmin!$C$4+76),0))))&lt;&gt;DATE(YEAR((Tahmin!$C$4+70)),MONTH((Tahmin!$C$4+70)),MIN(DAY(Kalemler!$D10),DAY(EOMONTH((Tahmin!$C$4+70),0)))),DATE(YEAR((Tahmin!$C$4+76)),MONTH((Tahmin!$C$4+76)),MIN(DAY(Kalemler!$D10),DAY(EOMONTH((Tahmin!$C$4+76),0))))&gt;=Kalemler!$D10)),1,0),IF(AND(Kalemler!$D10&gt;=(Tahmin!$C$4+70),Kalemler!$D10&lt;=(Tahmin!$C$4+76)),1,0))))</f>
        <v>0</v>
      </c>
      <c r="M10" s="0" t="n">
        <f aca="false">IF(OR(Kalemler!$A10="",Kalemler!$C10="",Kalemler!$D10=""),0,Kalemler!$C10*IF(Kalemler!$E10="Haftalık",IF(Kalemler!$D10&lt;=(Tahmin!$C$4+83),1,0),IF(Kalemler!$E10="Aylık",IF(OR(AND(DATE(YEAR((Tahmin!$C$4+77)),MONTH((Tahmin!$C$4+77)),MIN(DAY(Kalemler!$D10),DAY(EOMONTH((Tahmin!$C$4+77),0))))&gt;=(Tahmin!$C$4+77),DATE(YEAR((Tahmin!$C$4+77)),MONTH((Tahmin!$C$4+77)),MIN(DAY(Kalemler!$D10),DAY(EOMONTH((Tahmin!$C$4+77),0))))&lt;=(Tahmin!$C$4+83),DATE(YEAR((Tahmin!$C$4+77)),MONTH((Tahmin!$C$4+77)),MIN(DAY(Kalemler!$D10),DAY(EOMONTH((Tahmin!$C$4+77),0))))&gt;=Kalemler!$D10),AND(DATE(YEAR((Tahmin!$C$4+83)),MONTH((Tahmin!$C$4+83)),MIN(DAY(Kalemler!$D10),DAY(EOMONTH((Tahmin!$C$4+83),0))))&gt;=(Tahmin!$C$4+77),DATE(YEAR((Tahmin!$C$4+83)),MONTH((Tahmin!$C$4+83)),MIN(DAY(Kalemler!$D10),DAY(EOMONTH((Tahmin!$C$4+83),0))))&lt;=(Tahmin!$C$4+83),DATE(YEAR((Tahmin!$C$4+83)),MONTH((Tahmin!$C$4+83)),MIN(DAY(Kalemler!$D10),DAY(EOMONTH((Tahmin!$C$4+83),0))))&lt;&gt;DATE(YEAR((Tahmin!$C$4+77)),MONTH((Tahmin!$C$4+77)),MIN(DAY(Kalemler!$D10),DAY(EOMONTH((Tahmin!$C$4+77),0)))),DATE(YEAR((Tahmin!$C$4+83)),MONTH((Tahmin!$C$4+83)),MIN(DAY(Kalemler!$D10),DAY(EOMONTH((Tahmin!$C$4+83),0))))&gt;=Kalemler!$D10)),1,0),IF(AND(Kalemler!$D10&gt;=(Tahmin!$C$4+77),Kalemler!$D10&lt;=(Tahmin!$C$4+83)),1,0))))</f>
        <v>0</v>
      </c>
      <c r="N10" s="0" t="n">
        <f aca="false">IF(OR(Kalemler!$A10="",Kalemler!$C10="",Kalemler!$D10=""),0,Kalemler!$C10*IF(Kalemler!$E10="Haftalık",IF(Kalemler!$D10&lt;=(Tahmin!$C$4+90),1,0),IF(Kalemler!$E10="Aylık",IF(OR(AND(DATE(YEAR((Tahmin!$C$4+84)),MONTH((Tahmin!$C$4+84)),MIN(DAY(Kalemler!$D10),DAY(EOMONTH((Tahmin!$C$4+84),0))))&gt;=(Tahmin!$C$4+84),DATE(YEAR((Tahmin!$C$4+84)),MONTH((Tahmin!$C$4+84)),MIN(DAY(Kalemler!$D10),DAY(EOMONTH((Tahmin!$C$4+84),0))))&lt;=(Tahmin!$C$4+90),DATE(YEAR((Tahmin!$C$4+84)),MONTH((Tahmin!$C$4+84)),MIN(DAY(Kalemler!$D10),DAY(EOMONTH((Tahmin!$C$4+84),0))))&gt;=Kalemler!$D10),AND(DATE(YEAR((Tahmin!$C$4+90)),MONTH((Tahmin!$C$4+90)),MIN(DAY(Kalemler!$D10),DAY(EOMONTH((Tahmin!$C$4+90),0))))&gt;=(Tahmin!$C$4+84),DATE(YEAR((Tahmin!$C$4+90)),MONTH((Tahmin!$C$4+90)),MIN(DAY(Kalemler!$D10),DAY(EOMONTH((Tahmin!$C$4+90),0))))&lt;=(Tahmin!$C$4+90),DATE(YEAR((Tahmin!$C$4+90)),MONTH((Tahmin!$C$4+90)),MIN(DAY(Kalemler!$D10),DAY(EOMONTH((Tahmin!$C$4+90),0))))&lt;&gt;DATE(YEAR((Tahmin!$C$4+84)),MONTH((Tahmin!$C$4+84)),MIN(DAY(Kalemler!$D10),DAY(EOMONTH((Tahmin!$C$4+84),0)))),DATE(YEAR((Tahmin!$C$4+90)),MONTH((Tahmin!$C$4+90)),MIN(DAY(Kalemler!$D10),DAY(EOMONTH((Tahmin!$C$4+90),0))))&gt;=Kalemler!$D10)),1,0),IF(AND(Kalemler!$D10&gt;=(Tahmin!$C$4+84),Kalemler!$D10&lt;=(Tahmin!$C$4+90)),1,0))))</f>
        <v>0</v>
      </c>
    </row>
    <row r="11" customFormat="false" ht="15" hidden="false" customHeight="false" outlineLevel="0" collapsed="false">
      <c r="A11" s="0" t="str">
        <f aca="false">IF(Kalemler!A11="","",Kalemler!A11)</f>
        <v>Haftalık malzeme</v>
      </c>
      <c r="B11" s="0" t="n">
        <f aca="false">IF(OR(Kalemler!$A11="",Kalemler!$C11="",Kalemler!$D11=""),0,Kalemler!$C11*IF(Kalemler!$E11="Haftalık",IF(Kalemler!$D11&lt;=(Tahmin!$C$4+6),1,0),IF(Kalemler!$E11="Aylık",IF(OR(AND(DATE(YEAR((Tahmin!$C$4+0)),MONTH((Tahmin!$C$4+0)),MIN(DAY(Kalemler!$D11),DAY(EOMONTH((Tahmin!$C$4+0),0))))&gt;=(Tahmin!$C$4+0),DATE(YEAR((Tahmin!$C$4+0)),MONTH((Tahmin!$C$4+0)),MIN(DAY(Kalemler!$D11),DAY(EOMONTH((Tahmin!$C$4+0),0))))&lt;=(Tahmin!$C$4+6),DATE(YEAR((Tahmin!$C$4+0)),MONTH((Tahmin!$C$4+0)),MIN(DAY(Kalemler!$D11),DAY(EOMONTH((Tahmin!$C$4+0),0))))&gt;=Kalemler!$D11),AND(DATE(YEAR((Tahmin!$C$4+6)),MONTH((Tahmin!$C$4+6)),MIN(DAY(Kalemler!$D11),DAY(EOMONTH((Tahmin!$C$4+6),0))))&gt;=(Tahmin!$C$4+0),DATE(YEAR((Tahmin!$C$4+6)),MONTH((Tahmin!$C$4+6)),MIN(DAY(Kalemler!$D11),DAY(EOMONTH((Tahmin!$C$4+6),0))))&lt;=(Tahmin!$C$4+6),DATE(YEAR((Tahmin!$C$4+6)),MONTH((Tahmin!$C$4+6)),MIN(DAY(Kalemler!$D11),DAY(EOMONTH((Tahmin!$C$4+6),0))))&lt;&gt;DATE(YEAR((Tahmin!$C$4+0)),MONTH((Tahmin!$C$4+0)),MIN(DAY(Kalemler!$D11),DAY(EOMONTH((Tahmin!$C$4+0),0)))),DATE(YEAR((Tahmin!$C$4+6)),MONTH((Tahmin!$C$4+6)),MIN(DAY(Kalemler!$D11),DAY(EOMONTH((Tahmin!$C$4+6),0))))&gt;=Kalemler!$D11)),1,0),IF(AND(Kalemler!$D11&gt;=(Tahmin!$C$4+0),Kalemler!$D11&lt;=(Tahmin!$C$4+6)),1,0))))</f>
        <v>12000</v>
      </c>
      <c r="C11" s="0" t="n">
        <f aca="false">IF(OR(Kalemler!$A11="",Kalemler!$C11="",Kalemler!$D11=""),0,Kalemler!$C11*IF(Kalemler!$E11="Haftalık",IF(Kalemler!$D11&lt;=(Tahmin!$C$4+13),1,0),IF(Kalemler!$E11="Aylık",IF(OR(AND(DATE(YEAR((Tahmin!$C$4+7)),MONTH((Tahmin!$C$4+7)),MIN(DAY(Kalemler!$D11),DAY(EOMONTH((Tahmin!$C$4+7),0))))&gt;=(Tahmin!$C$4+7),DATE(YEAR((Tahmin!$C$4+7)),MONTH((Tahmin!$C$4+7)),MIN(DAY(Kalemler!$D11),DAY(EOMONTH((Tahmin!$C$4+7),0))))&lt;=(Tahmin!$C$4+13),DATE(YEAR((Tahmin!$C$4+7)),MONTH((Tahmin!$C$4+7)),MIN(DAY(Kalemler!$D11),DAY(EOMONTH((Tahmin!$C$4+7),0))))&gt;=Kalemler!$D11),AND(DATE(YEAR((Tahmin!$C$4+13)),MONTH((Tahmin!$C$4+13)),MIN(DAY(Kalemler!$D11),DAY(EOMONTH((Tahmin!$C$4+13),0))))&gt;=(Tahmin!$C$4+7),DATE(YEAR((Tahmin!$C$4+13)),MONTH((Tahmin!$C$4+13)),MIN(DAY(Kalemler!$D11),DAY(EOMONTH((Tahmin!$C$4+13),0))))&lt;=(Tahmin!$C$4+13),DATE(YEAR((Tahmin!$C$4+13)),MONTH((Tahmin!$C$4+13)),MIN(DAY(Kalemler!$D11),DAY(EOMONTH((Tahmin!$C$4+13),0))))&lt;&gt;DATE(YEAR((Tahmin!$C$4+7)),MONTH((Tahmin!$C$4+7)),MIN(DAY(Kalemler!$D11),DAY(EOMONTH((Tahmin!$C$4+7),0)))),DATE(YEAR((Tahmin!$C$4+13)),MONTH((Tahmin!$C$4+13)),MIN(DAY(Kalemler!$D11),DAY(EOMONTH((Tahmin!$C$4+13),0))))&gt;=Kalemler!$D11)),1,0),IF(AND(Kalemler!$D11&gt;=(Tahmin!$C$4+7),Kalemler!$D11&lt;=(Tahmin!$C$4+13)),1,0))))</f>
        <v>12000</v>
      </c>
      <c r="D11" s="0" t="n">
        <f aca="false">IF(OR(Kalemler!$A11="",Kalemler!$C11="",Kalemler!$D11=""),0,Kalemler!$C11*IF(Kalemler!$E11="Haftalık",IF(Kalemler!$D11&lt;=(Tahmin!$C$4+20),1,0),IF(Kalemler!$E11="Aylık",IF(OR(AND(DATE(YEAR((Tahmin!$C$4+14)),MONTH((Tahmin!$C$4+14)),MIN(DAY(Kalemler!$D11),DAY(EOMONTH((Tahmin!$C$4+14),0))))&gt;=(Tahmin!$C$4+14),DATE(YEAR((Tahmin!$C$4+14)),MONTH((Tahmin!$C$4+14)),MIN(DAY(Kalemler!$D11),DAY(EOMONTH((Tahmin!$C$4+14),0))))&lt;=(Tahmin!$C$4+20),DATE(YEAR((Tahmin!$C$4+14)),MONTH((Tahmin!$C$4+14)),MIN(DAY(Kalemler!$D11),DAY(EOMONTH((Tahmin!$C$4+14),0))))&gt;=Kalemler!$D11),AND(DATE(YEAR((Tahmin!$C$4+20)),MONTH((Tahmin!$C$4+20)),MIN(DAY(Kalemler!$D11),DAY(EOMONTH((Tahmin!$C$4+20),0))))&gt;=(Tahmin!$C$4+14),DATE(YEAR((Tahmin!$C$4+20)),MONTH((Tahmin!$C$4+20)),MIN(DAY(Kalemler!$D11),DAY(EOMONTH((Tahmin!$C$4+20),0))))&lt;=(Tahmin!$C$4+20),DATE(YEAR((Tahmin!$C$4+20)),MONTH((Tahmin!$C$4+20)),MIN(DAY(Kalemler!$D11),DAY(EOMONTH((Tahmin!$C$4+20),0))))&lt;&gt;DATE(YEAR((Tahmin!$C$4+14)),MONTH((Tahmin!$C$4+14)),MIN(DAY(Kalemler!$D11),DAY(EOMONTH((Tahmin!$C$4+14),0)))),DATE(YEAR((Tahmin!$C$4+20)),MONTH((Tahmin!$C$4+20)),MIN(DAY(Kalemler!$D11),DAY(EOMONTH((Tahmin!$C$4+20),0))))&gt;=Kalemler!$D11)),1,0),IF(AND(Kalemler!$D11&gt;=(Tahmin!$C$4+14),Kalemler!$D11&lt;=(Tahmin!$C$4+20)),1,0))))</f>
        <v>12000</v>
      </c>
      <c r="E11" s="0" t="n">
        <f aca="false">IF(OR(Kalemler!$A11="",Kalemler!$C11="",Kalemler!$D11=""),0,Kalemler!$C11*IF(Kalemler!$E11="Haftalık",IF(Kalemler!$D11&lt;=(Tahmin!$C$4+27),1,0),IF(Kalemler!$E11="Aylık",IF(OR(AND(DATE(YEAR((Tahmin!$C$4+21)),MONTH((Tahmin!$C$4+21)),MIN(DAY(Kalemler!$D11),DAY(EOMONTH((Tahmin!$C$4+21),0))))&gt;=(Tahmin!$C$4+21),DATE(YEAR((Tahmin!$C$4+21)),MONTH((Tahmin!$C$4+21)),MIN(DAY(Kalemler!$D11),DAY(EOMONTH((Tahmin!$C$4+21),0))))&lt;=(Tahmin!$C$4+27),DATE(YEAR((Tahmin!$C$4+21)),MONTH((Tahmin!$C$4+21)),MIN(DAY(Kalemler!$D11),DAY(EOMONTH((Tahmin!$C$4+21),0))))&gt;=Kalemler!$D11),AND(DATE(YEAR((Tahmin!$C$4+27)),MONTH((Tahmin!$C$4+27)),MIN(DAY(Kalemler!$D11),DAY(EOMONTH((Tahmin!$C$4+27),0))))&gt;=(Tahmin!$C$4+21),DATE(YEAR((Tahmin!$C$4+27)),MONTH((Tahmin!$C$4+27)),MIN(DAY(Kalemler!$D11),DAY(EOMONTH((Tahmin!$C$4+27),0))))&lt;=(Tahmin!$C$4+27),DATE(YEAR((Tahmin!$C$4+27)),MONTH((Tahmin!$C$4+27)),MIN(DAY(Kalemler!$D11),DAY(EOMONTH((Tahmin!$C$4+27),0))))&lt;&gt;DATE(YEAR((Tahmin!$C$4+21)),MONTH((Tahmin!$C$4+21)),MIN(DAY(Kalemler!$D11),DAY(EOMONTH((Tahmin!$C$4+21),0)))),DATE(YEAR((Tahmin!$C$4+27)),MONTH((Tahmin!$C$4+27)),MIN(DAY(Kalemler!$D11),DAY(EOMONTH((Tahmin!$C$4+27),0))))&gt;=Kalemler!$D11)),1,0),IF(AND(Kalemler!$D11&gt;=(Tahmin!$C$4+21),Kalemler!$D11&lt;=(Tahmin!$C$4+27)),1,0))))</f>
        <v>12000</v>
      </c>
      <c r="F11" s="0" t="n">
        <f aca="false">IF(OR(Kalemler!$A11="",Kalemler!$C11="",Kalemler!$D11=""),0,Kalemler!$C11*IF(Kalemler!$E11="Haftalık",IF(Kalemler!$D11&lt;=(Tahmin!$C$4+34),1,0),IF(Kalemler!$E11="Aylık",IF(OR(AND(DATE(YEAR((Tahmin!$C$4+28)),MONTH((Tahmin!$C$4+28)),MIN(DAY(Kalemler!$D11),DAY(EOMONTH((Tahmin!$C$4+28),0))))&gt;=(Tahmin!$C$4+28),DATE(YEAR((Tahmin!$C$4+28)),MONTH((Tahmin!$C$4+28)),MIN(DAY(Kalemler!$D11),DAY(EOMONTH((Tahmin!$C$4+28),0))))&lt;=(Tahmin!$C$4+34),DATE(YEAR((Tahmin!$C$4+28)),MONTH((Tahmin!$C$4+28)),MIN(DAY(Kalemler!$D11),DAY(EOMONTH((Tahmin!$C$4+28),0))))&gt;=Kalemler!$D11),AND(DATE(YEAR((Tahmin!$C$4+34)),MONTH((Tahmin!$C$4+34)),MIN(DAY(Kalemler!$D11),DAY(EOMONTH((Tahmin!$C$4+34),0))))&gt;=(Tahmin!$C$4+28),DATE(YEAR((Tahmin!$C$4+34)),MONTH((Tahmin!$C$4+34)),MIN(DAY(Kalemler!$D11),DAY(EOMONTH((Tahmin!$C$4+34),0))))&lt;=(Tahmin!$C$4+34),DATE(YEAR((Tahmin!$C$4+34)),MONTH((Tahmin!$C$4+34)),MIN(DAY(Kalemler!$D11),DAY(EOMONTH((Tahmin!$C$4+34),0))))&lt;&gt;DATE(YEAR((Tahmin!$C$4+28)),MONTH((Tahmin!$C$4+28)),MIN(DAY(Kalemler!$D11),DAY(EOMONTH((Tahmin!$C$4+28),0)))),DATE(YEAR((Tahmin!$C$4+34)),MONTH((Tahmin!$C$4+34)),MIN(DAY(Kalemler!$D11),DAY(EOMONTH((Tahmin!$C$4+34),0))))&gt;=Kalemler!$D11)),1,0),IF(AND(Kalemler!$D11&gt;=(Tahmin!$C$4+28),Kalemler!$D11&lt;=(Tahmin!$C$4+34)),1,0))))</f>
        <v>12000</v>
      </c>
      <c r="G11" s="0" t="n">
        <f aca="false">IF(OR(Kalemler!$A11="",Kalemler!$C11="",Kalemler!$D11=""),0,Kalemler!$C11*IF(Kalemler!$E11="Haftalık",IF(Kalemler!$D11&lt;=(Tahmin!$C$4+41),1,0),IF(Kalemler!$E11="Aylık",IF(OR(AND(DATE(YEAR((Tahmin!$C$4+35)),MONTH((Tahmin!$C$4+35)),MIN(DAY(Kalemler!$D11),DAY(EOMONTH((Tahmin!$C$4+35),0))))&gt;=(Tahmin!$C$4+35),DATE(YEAR((Tahmin!$C$4+35)),MONTH((Tahmin!$C$4+35)),MIN(DAY(Kalemler!$D11),DAY(EOMONTH((Tahmin!$C$4+35),0))))&lt;=(Tahmin!$C$4+41),DATE(YEAR((Tahmin!$C$4+35)),MONTH((Tahmin!$C$4+35)),MIN(DAY(Kalemler!$D11),DAY(EOMONTH((Tahmin!$C$4+35),0))))&gt;=Kalemler!$D11),AND(DATE(YEAR((Tahmin!$C$4+41)),MONTH((Tahmin!$C$4+41)),MIN(DAY(Kalemler!$D11),DAY(EOMONTH((Tahmin!$C$4+41),0))))&gt;=(Tahmin!$C$4+35),DATE(YEAR((Tahmin!$C$4+41)),MONTH((Tahmin!$C$4+41)),MIN(DAY(Kalemler!$D11),DAY(EOMONTH((Tahmin!$C$4+41),0))))&lt;=(Tahmin!$C$4+41),DATE(YEAR((Tahmin!$C$4+41)),MONTH((Tahmin!$C$4+41)),MIN(DAY(Kalemler!$D11),DAY(EOMONTH((Tahmin!$C$4+41),0))))&lt;&gt;DATE(YEAR((Tahmin!$C$4+35)),MONTH((Tahmin!$C$4+35)),MIN(DAY(Kalemler!$D11),DAY(EOMONTH((Tahmin!$C$4+35),0)))),DATE(YEAR((Tahmin!$C$4+41)),MONTH((Tahmin!$C$4+41)),MIN(DAY(Kalemler!$D11),DAY(EOMONTH((Tahmin!$C$4+41),0))))&gt;=Kalemler!$D11)),1,0),IF(AND(Kalemler!$D11&gt;=(Tahmin!$C$4+35),Kalemler!$D11&lt;=(Tahmin!$C$4+41)),1,0))))</f>
        <v>12000</v>
      </c>
      <c r="H11" s="0" t="n">
        <f aca="false">IF(OR(Kalemler!$A11="",Kalemler!$C11="",Kalemler!$D11=""),0,Kalemler!$C11*IF(Kalemler!$E11="Haftalık",IF(Kalemler!$D11&lt;=(Tahmin!$C$4+48),1,0),IF(Kalemler!$E11="Aylık",IF(OR(AND(DATE(YEAR((Tahmin!$C$4+42)),MONTH((Tahmin!$C$4+42)),MIN(DAY(Kalemler!$D11),DAY(EOMONTH((Tahmin!$C$4+42),0))))&gt;=(Tahmin!$C$4+42),DATE(YEAR((Tahmin!$C$4+42)),MONTH((Tahmin!$C$4+42)),MIN(DAY(Kalemler!$D11),DAY(EOMONTH((Tahmin!$C$4+42),0))))&lt;=(Tahmin!$C$4+48),DATE(YEAR((Tahmin!$C$4+42)),MONTH((Tahmin!$C$4+42)),MIN(DAY(Kalemler!$D11),DAY(EOMONTH((Tahmin!$C$4+42),0))))&gt;=Kalemler!$D11),AND(DATE(YEAR((Tahmin!$C$4+48)),MONTH((Tahmin!$C$4+48)),MIN(DAY(Kalemler!$D11),DAY(EOMONTH((Tahmin!$C$4+48),0))))&gt;=(Tahmin!$C$4+42),DATE(YEAR((Tahmin!$C$4+48)),MONTH((Tahmin!$C$4+48)),MIN(DAY(Kalemler!$D11),DAY(EOMONTH((Tahmin!$C$4+48),0))))&lt;=(Tahmin!$C$4+48),DATE(YEAR((Tahmin!$C$4+48)),MONTH((Tahmin!$C$4+48)),MIN(DAY(Kalemler!$D11),DAY(EOMONTH((Tahmin!$C$4+48),0))))&lt;&gt;DATE(YEAR((Tahmin!$C$4+42)),MONTH((Tahmin!$C$4+42)),MIN(DAY(Kalemler!$D11),DAY(EOMONTH((Tahmin!$C$4+42),0)))),DATE(YEAR((Tahmin!$C$4+48)),MONTH((Tahmin!$C$4+48)),MIN(DAY(Kalemler!$D11),DAY(EOMONTH((Tahmin!$C$4+48),0))))&gt;=Kalemler!$D11)),1,0),IF(AND(Kalemler!$D11&gt;=(Tahmin!$C$4+42),Kalemler!$D11&lt;=(Tahmin!$C$4+48)),1,0))))</f>
        <v>12000</v>
      </c>
      <c r="I11" s="0" t="n">
        <f aca="false">IF(OR(Kalemler!$A11="",Kalemler!$C11="",Kalemler!$D11=""),0,Kalemler!$C11*IF(Kalemler!$E11="Haftalık",IF(Kalemler!$D11&lt;=(Tahmin!$C$4+55),1,0),IF(Kalemler!$E11="Aylık",IF(OR(AND(DATE(YEAR((Tahmin!$C$4+49)),MONTH((Tahmin!$C$4+49)),MIN(DAY(Kalemler!$D11),DAY(EOMONTH((Tahmin!$C$4+49),0))))&gt;=(Tahmin!$C$4+49),DATE(YEAR((Tahmin!$C$4+49)),MONTH((Tahmin!$C$4+49)),MIN(DAY(Kalemler!$D11),DAY(EOMONTH((Tahmin!$C$4+49),0))))&lt;=(Tahmin!$C$4+55),DATE(YEAR((Tahmin!$C$4+49)),MONTH((Tahmin!$C$4+49)),MIN(DAY(Kalemler!$D11),DAY(EOMONTH((Tahmin!$C$4+49),0))))&gt;=Kalemler!$D11),AND(DATE(YEAR((Tahmin!$C$4+55)),MONTH((Tahmin!$C$4+55)),MIN(DAY(Kalemler!$D11),DAY(EOMONTH((Tahmin!$C$4+55),0))))&gt;=(Tahmin!$C$4+49),DATE(YEAR((Tahmin!$C$4+55)),MONTH((Tahmin!$C$4+55)),MIN(DAY(Kalemler!$D11),DAY(EOMONTH((Tahmin!$C$4+55),0))))&lt;=(Tahmin!$C$4+55),DATE(YEAR((Tahmin!$C$4+55)),MONTH((Tahmin!$C$4+55)),MIN(DAY(Kalemler!$D11),DAY(EOMONTH((Tahmin!$C$4+55),0))))&lt;&gt;DATE(YEAR((Tahmin!$C$4+49)),MONTH((Tahmin!$C$4+49)),MIN(DAY(Kalemler!$D11),DAY(EOMONTH((Tahmin!$C$4+49),0)))),DATE(YEAR((Tahmin!$C$4+55)),MONTH((Tahmin!$C$4+55)),MIN(DAY(Kalemler!$D11),DAY(EOMONTH((Tahmin!$C$4+55),0))))&gt;=Kalemler!$D11)),1,0),IF(AND(Kalemler!$D11&gt;=(Tahmin!$C$4+49),Kalemler!$D11&lt;=(Tahmin!$C$4+55)),1,0))))</f>
        <v>12000</v>
      </c>
      <c r="J11" s="0" t="n">
        <f aca="false">IF(OR(Kalemler!$A11="",Kalemler!$C11="",Kalemler!$D11=""),0,Kalemler!$C11*IF(Kalemler!$E11="Haftalık",IF(Kalemler!$D11&lt;=(Tahmin!$C$4+62),1,0),IF(Kalemler!$E11="Aylık",IF(OR(AND(DATE(YEAR((Tahmin!$C$4+56)),MONTH((Tahmin!$C$4+56)),MIN(DAY(Kalemler!$D11),DAY(EOMONTH((Tahmin!$C$4+56),0))))&gt;=(Tahmin!$C$4+56),DATE(YEAR((Tahmin!$C$4+56)),MONTH((Tahmin!$C$4+56)),MIN(DAY(Kalemler!$D11),DAY(EOMONTH((Tahmin!$C$4+56),0))))&lt;=(Tahmin!$C$4+62),DATE(YEAR((Tahmin!$C$4+56)),MONTH((Tahmin!$C$4+56)),MIN(DAY(Kalemler!$D11),DAY(EOMONTH((Tahmin!$C$4+56),0))))&gt;=Kalemler!$D11),AND(DATE(YEAR((Tahmin!$C$4+62)),MONTH((Tahmin!$C$4+62)),MIN(DAY(Kalemler!$D11),DAY(EOMONTH((Tahmin!$C$4+62),0))))&gt;=(Tahmin!$C$4+56),DATE(YEAR((Tahmin!$C$4+62)),MONTH((Tahmin!$C$4+62)),MIN(DAY(Kalemler!$D11),DAY(EOMONTH((Tahmin!$C$4+62),0))))&lt;=(Tahmin!$C$4+62),DATE(YEAR((Tahmin!$C$4+62)),MONTH((Tahmin!$C$4+62)),MIN(DAY(Kalemler!$D11),DAY(EOMONTH((Tahmin!$C$4+62),0))))&lt;&gt;DATE(YEAR((Tahmin!$C$4+56)),MONTH((Tahmin!$C$4+56)),MIN(DAY(Kalemler!$D11),DAY(EOMONTH((Tahmin!$C$4+56),0)))),DATE(YEAR((Tahmin!$C$4+62)),MONTH((Tahmin!$C$4+62)),MIN(DAY(Kalemler!$D11),DAY(EOMONTH((Tahmin!$C$4+62),0))))&gt;=Kalemler!$D11)),1,0),IF(AND(Kalemler!$D11&gt;=(Tahmin!$C$4+56),Kalemler!$D11&lt;=(Tahmin!$C$4+62)),1,0))))</f>
        <v>12000</v>
      </c>
      <c r="K11" s="0" t="n">
        <f aca="false">IF(OR(Kalemler!$A11="",Kalemler!$C11="",Kalemler!$D11=""),0,Kalemler!$C11*IF(Kalemler!$E11="Haftalık",IF(Kalemler!$D11&lt;=(Tahmin!$C$4+69),1,0),IF(Kalemler!$E11="Aylık",IF(OR(AND(DATE(YEAR((Tahmin!$C$4+63)),MONTH((Tahmin!$C$4+63)),MIN(DAY(Kalemler!$D11),DAY(EOMONTH((Tahmin!$C$4+63),0))))&gt;=(Tahmin!$C$4+63),DATE(YEAR((Tahmin!$C$4+63)),MONTH((Tahmin!$C$4+63)),MIN(DAY(Kalemler!$D11),DAY(EOMONTH((Tahmin!$C$4+63),0))))&lt;=(Tahmin!$C$4+69),DATE(YEAR((Tahmin!$C$4+63)),MONTH((Tahmin!$C$4+63)),MIN(DAY(Kalemler!$D11),DAY(EOMONTH((Tahmin!$C$4+63),0))))&gt;=Kalemler!$D11),AND(DATE(YEAR((Tahmin!$C$4+69)),MONTH((Tahmin!$C$4+69)),MIN(DAY(Kalemler!$D11),DAY(EOMONTH((Tahmin!$C$4+69),0))))&gt;=(Tahmin!$C$4+63),DATE(YEAR((Tahmin!$C$4+69)),MONTH((Tahmin!$C$4+69)),MIN(DAY(Kalemler!$D11),DAY(EOMONTH((Tahmin!$C$4+69),0))))&lt;=(Tahmin!$C$4+69),DATE(YEAR((Tahmin!$C$4+69)),MONTH((Tahmin!$C$4+69)),MIN(DAY(Kalemler!$D11),DAY(EOMONTH((Tahmin!$C$4+69),0))))&lt;&gt;DATE(YEAR((Tahmin!$C$4+63)),MONTH((Tahmin!$C$4+63)),MIN(DAY(Kalemler!$D11),DAY(EOMONTH((Tahmin!$C$4+63),0)))),DATE(YEAR((Tahmin!$C$4+69)),MONTH((Tahmin!$C$4+69)),MIN(DAY(Kalemler!$D11),DAY(EOMONTH((Tahmin!$C$4+69),0))))&gt;=Kalemler!$D11)),1,0),IF(AND(Kalemler!$D11&gt;=(Tahmin!$C$4+63),Kalemler!$D11&lt;=(Tahmin!$C$4+69)),1,0))))</f>
        <v>12000</v>
      </c>
      <c r="L11" s="0" t="n">
        <f aca="false">IF(OR(Kalemler!$A11="",Kalemler!$C11="",Kalemler!$D11=""),0,Kalemler!$C11*IF(Kalemler!$E11="Haftalık",IF(Kalemler!$D11&lt;=(Tahmin!$C$4+76),1,0),IF(Kalemler!$E11="Aylık",IF(OR(AND(DATE(YEAR((Tahmin!$C$4+70)),MONTH((Tahmin!$C$4+70)),MIN(DAY(Kalemler!$D11),DAY(EOMONTH((Tahmin!$C$4+70),0))))&gt;=(Tahmin!$C$4+70),DATE(YEAR((Tahmin!$C$4+70)),MONTH((Tahmin!$C$4+70)),MIN(DAY(Kalemler!$D11),DAY(EOMONTH((Tahmin!$C$4+70),0))))&lt;=(Tahmin!$C$4+76),DATE(YEAR((Tahmin!$C$4+70)),MONTH((Tahmin!$C$4+70)),MIN(DAY(Kalemler!$D11),DAY(EOMONTH((Tahmin!$C$4+70),0))))&gt;=Kalemler!$D11),AND(DATE(YEAR((Tahmin!$C$4+76)),MONTH((Tahmin!$C$4+76)),MIN(DAY(Kalemler!$D11),DAY(EOMONTH((Tahmin!$C$4+76),0))))&gt;=(Tahmin!$C$4+70),DATE(YEAR((Tahmin!$C$4+76)),MONTH((Tahmin!$C$4+76)),MIN(DAY(Kalemler!$D11),DAY(EOMONTH((Tahmin!$C$4+76),0))))&lt;=(Tahmin!$C$4+76),DATE(YEAR((Tahmin!$C$4+76)),MONTH((Tahmin!$C$4+76)),MIN(DAY(Kalemler!$D11),DAY(EOMONTH((Tahmin!$C$4+76),0))))&lt;&gt;DATE(YEAR((Tahmin!$C$4+70)),MONTH((Tahmin!$C$4+70)),MIN(DAY(Kalemler!$D11),DAY(EOMONTH((Tahmin!$C$4+70),0)))),DATE(YEAR((Tahmin!$C$4+76)),MONTH((Tahmin!$C$4+76)),MIN(DAY(Kalemler!$D11),DAY(EOMONTH((Tahmin!$C$4+76),0))))&gt;=Kalemler!$D11)),1,0),IF(AND(Kalemler!$D11&gt;=(Tahmin!$C$4+70),Kalemler!$D11&lt;=(Tahmin!$C$4+76)),1,0))))</f>
        <v>12000</v>
      </c>
      <c r="M11" s="0" t="n">
        <f aca="false">IF(OR(Kalemler!$A11="",Kalemler!$C11="",Kalemler!$D11=""),0,Kalemler!$C11*IF(Kalemler!$E11="Haftalık",IF(Kalemler!$D11&lt;=(Tahmin!$C$4+83),1,0),IF(Kalemler!$E11="Aylık",IF(OR(AND(DATE(YEAR((Tahmin!$C$4+77)),MONTH((Tahmin!$C$4+77)),MIN(DAY(Kalemler!$D11),DAY(EOMONTH((Tahmin!$C$4+77),0))))&gt;=(Tahmin!$C$4+77),DATE(YEAR((Tahmin!$C$4+77)),MONTH((Tahmin!$C$4+77)),MIN(DAY(Kalemler!$D11),DAY(EOMONTH((Tahmin!$C$4+77),0))))&lt;=(Tahmin!$C$4+83),DATE(YEAR((Tahmin!$C$4+77)),MONTH((Tahmin!$C$4+77)),MIN(DAY(Kalemler!$D11),DAY(EOMONTH((Tahmin!$C$4+77),0))))&gt;=Kalemler!$D11),AND(DATE(YEAR((Tahmin!$C$4+83)),MONTH((Tahmin!$C$4+83)),MIN(DAY(Kalemler!$D11),DAY(EOMONTH((Tahmin!$C$4+83),0))))&gt;=(Tahmin!$C$4+77),DATE(YEAR((Tahmin!$C$4+83)),MONTH((Tahmin!$C$4+83)),MIN(DAY(Kalemler!$D11),DAY(EOMONTH((Tahmin!$C$4+83),0))))&lt;=(Tahmin!$C$4+83),DATE(YEAR((Tahmin!$C$4+83)),MONTH((Tahmin!$C$4+83)),MIN(DAY(Kalemler!$D11),DAY(EOMONTH((Tahmin!$C$4+83),0))))&lt;&gt;DATE(YEAR((Tahmin!$C$4+77)),MONTH((Tahmin!$C$4+77)),MIN(DAY(Kalemler!$D11),DAY(EOMONTH((Tahmin!$C$4+77),0)))),DATE(YEAR((Tahmin!$C$4+83)),MONTH((Tahmin!$C$4+83)),MIN(DAY(Kalemler!$D11),DAY(EOMONTH((Tahmin!$C$4+83),0))))&gt;=Kalemler!$D11)),1,0),IF(AND(Kalemler!$D11&gt;=(Tahmin!$C$4+77),Kalemler!$D11&lt;=(Tahmin!$C$4+83)),1,0))))</f>
        <v>12000</v>
      </c>
      <c r="N11" s="0" t="n">
        <f aca="false">IF(OR(Kalemler!$A11="",Kalemler!$C11="",Kalemler!$D11=""),0,Kalemler!$C11*IF(Kalemler!$E11="Haftalık",IF(Kalemler!$D11&lt;=(Tahmin!$C$4+90),1,0),IF(Kalemler!$E11="Aylık",IF(OR(AND(DATE(YEAR((Tahmin!$C$4+84)),MONTH((Tahmin!$C$4+84)),MIN(DAY(Kalemler!$D11),DAY(EOMONTH((Tahmin!$C$4+84),0))))&gt;=(Tahmin!$C$4+84),DATE(YEAR((Tahmin!$C$4+84)),MONTH((Tahmin!$C$4+84)),MIN(DAY(Kalemler!$D11),DAY(EOMONTH((Tahmin!$C$4+84),0))))&lt;=(Tahmin!$C$4+90),DATE(YEAR((Tahmin!$C$4+84)),MONTH((Tahmin!$C$4+84)),MIN(DAY(Kalemler!$D11),DAY(EOMONTH((Tahmin!$C$4+84),0))))&gt;=Kalemler!$D11),AND(DATE(YEAR((Tahmin!$C$4+90)),MONTH((Tahmin!$C$4+90)),MIN(DAY(Kalemler!$D11),DAY(EOMONTH((Tahmin!$C$4+90),0))))&gt;=(Tahmin!$C$4+84),DATE(YEAR((Tahmin!$C$4+90)),MONTH((Tahmin!$C$4+90)),MIN(DAY(Kalemler!$D11),DAY(EOMONTH((Tahmin!$C$4+90),0))))&lt;=(Tahmin!$C$4+90),DATE(YEAR((Tahmin!$C$4+90)),MONTH((Tahmin!$C$4+90)),MIN(DAY(Kalemler!$D11),DAY(EOMONTH((Tahmin!$C$4+90),0))))&lt;&gt;DATE(YEAR((Tahmin!$C$4+84)),MONTH((Tahmin!$C$4+84)),MIN(DAY(Kalemler!$D11),DAY(EOMONTH((Tahmin!$C$4+84),0)))),DATE(YEAR((Tahmin!$C$4+90)),MONTH((Tahmin!$C$4+90)),MIN(DAY(Kalemler!$D11),DAY(EOMONTH((Tahmin!$C$4+90),0))))&gt;=Kalemler!$D11)),1,0),IF(AND(Kalemler!$D11&gt;=(Tahmin!$C$4+84),Kalemler!$D11&lt;=(Tahmin!$C$4+90)),1,0))))</f>
        <v>12000</v>
      </c>
    </row>
    <row r="12" customFormat="false" ht="15" hidden="false" customHeight="false" outlineLevel="0" collapsed="false">
      <c r="A12" s="0" t="str">
        <f aca="false">IF(Kalemler!A12="","",Kalemler!A12)</f>
        <v/>
      </c>
      <c r="B12" s="0" t="n">
        <f aca="false">IF(OR(Kalemler!$A12="",Kalemler!$C12="",Kalemler!$D12=""),0,Kalemler!$C12*IF(Kalemler!$E12="Haftalık",IF(Kalemler!$D12&lt;=(Tahmin!$C$4+6),1,0),IF(Kalemler!$E12="Aylık",IF(OR(AND(DATE(YEAR((Tahmin!$C$4+0)),MONTH((Tahmin!$C$4+0)),MIN(DAY(Kalemler!$D12),DAY(EOMONTH((Tahmin!$C$4+0),0))))&gt;=(Tahmin!$C$4+0),DATE(YEAR((Tahmin!$C$4+0)),MONTH((Tahmin!$C$4+0)),MIN(DAY(Kalemler!$D12),DAY(EOMONTH((Tahmin!$C$4+0),0))))&lt;=(Tahmin!$C$4+6),DATE(YEAR((Tahmin!$C$4+0)),MONTH((Tahmin!$C$4+0)),MIN(DAY(Kalemler!$D12),DAY(EOMONTH((Tahmin!$C$4+0),0))))&gt;=Kalemler!$D12),AND(DATE(YEAR((Tahmin!$C$4+6)),MONTH((Tahmin!$C$4+6)),MIN(DAY(Kalemler!$D12),DAY(EOMONTH((Tahmin!$C$4+6),0))))&gt;=(Tahmin!$C$4+0),DATE(YEAR((Tahmin!$C$4+6)),MONTH((Tahmin!$C$4+6)),MIN(DAY(Kalemler!$D12),DAY(EOMONTH((Tahmin!$C$4+6),0))))&lt;=(Tahmin!$C$4+6),DATE(YEAR((Tahmin!$C$4+6)),MONTH((Tahmin!$C$4+6)),MIN(DAY(Kalemler!$D12),DAY(EOMONTH((Tahmin!$C$4+6),0))))&lt;&gt;DATE(YEAR((Tahmin!$C$4+0)),MONTH((Tahmin!$C$4+0)),MIN(DAY(Kalemler!$D12),DAY(EOMONTH((Tahmin!$C$4+0),0)))),DATE(YEAR((Tahmin!$C$4+6)),MONTH((Tahmin!$C$4+6)),MIN(DAY(Kalemler!$D12),DAY(EOMONTH((Tahmin!$C$4+6),0))))&gt;=Kalemler!$D12)),1,0),IF(AND(Kalemler!$D12&gt;=(Tahmin!$C$4+0),Kalemler!$D12&lt;=(Tahmin!$C$4+6)),1,0))))</f>
        <v>0</v>
      </c>
      <c r="C12" s="0" t="n">
        <f aca="false">IF(OR(Kalemler!$A12="",Kalemler!$C12="",Kalemler!$D12=""),0,Kalemler!$C12*IF(Kalemler!$E12="Haftalık",IF(Kalemler!$D12&lt;=(Tahmin!$C$4+13),1,0),IF(Kalemler!$E12="Aylık",IF(OR(AND(DATE(YEAR((Tahmin!$C$4+7)),MONTH((Tahmin!$C$4+7)),MIN(DAY(Kalemler!$D12),DAY(EOMONTH((Tahmin!$C$4+7),0))))&gt;=(Tahmin!$C$4+7),DATE(YEAR((Tahmin!$C$4+7)),MONTH((Tahmin!$C$4+7)),MIN(DAY(Kalemler!$D12),DAY(EOMONTH((Tahmin!$C$4+7),0))))&lt;=(Tahmin!$C$4+13),DATE(YEAR((Tahmin!$C$4+7)),MONTH((Tahmin!$C$4+7)),MIN(DAY(Kalemler!$D12),DAY(EOMONTH((Tahmin!$C$4+7),0))))&gt;=Kalemler!$D12),AND(DATE(YEAR((Tahmin!$C$4+13)),MONTH((Tahmin!$C$4+13)),MIN(DAY(Kalemler!$D12),DAY(EOMONTH((Tahmin!$C$4+13),0))))&gt;=(Tahmin!$C$4+7),DATE(YEAR((Tahmin!$C$4+13)),MONTH((Tahmin!$C$4+13)),MIN(DAY(Kalemler!$D12),DAY(EOMONTH((Tahmin!$C$4+13),0))))&lt;=(Tahmin!$C$4+13),DATE(YEAR((Tahmin!$C$4+13)),MONTH((Tahmin!$C$4+13)),MIN(DAY(Kalemler!$D12),DAY(EOMONTH((Tahmin!$C$4+13),0))))&lt;&gt;DATE(YEAR((Tahmin!$C$4+7)),MONTH((Tahmin!$C$4+7)),MIN(DAY(Kalemler!$D12),DAY(EOMONTH((Tahmin!$C$4+7),0)))),DATE(YEAR((Tahmin!$C$4+13)),MONTH((Tahmin!$C$4+13)),MIN(DAY(Kalemler!$D12),DAY(EOMONTH((Tahmin!$C$4+13),0))))&gt;=Kalemler!$D12)),1,0),IF(AND(Kalemler!$D12&gt;=(Tahmin!$C$4+7),Kalemler!$D12&lt;=(Tahmin!$C$4+13)),1,0))))</f>
        <v>0</v>
      </c>
      <c r="D12" s="0" t="n">
        <f aca="false">IF(OR(Kalemler!$A12="",Kalemler!$C12="",Kalemler!$D12=""),0,Kalemler!$C12*IF(Kalemler!$E12="Haftalık",IF(Kalemler!$D12&lt;=(Tahmin!$C$4+20),1,0),IF(Kalemler!$E12="Aylık",IF(OR(AND(DATE(YEAR((Tahmin!$C$4+14)),MONTH((Tahmin!$C$4+14)),MIN(DAY(Kalemler!$D12),DAY(EOMONTH((Tahmin!$C$4+14),0))))&gt;=(Tahmin!$C$4+14),DATE(YEAR((Tahmin!$C$4+14)),MONTH((Tahmin!$C$4+14)),MIN(DAY(Kalemler!$D12),DAY(EOMONTH((Tahmin!$C$4+14),0))))&lt;=(Tahmin!$C$4+20),DATE(YEAR((Tahmin!$C$4+14)),MONTH((Tahmin!$C$4+14)),MIN(DAY(Kalemler!$D12),DAY(EOMONTH((Tahmin!$C$4+14),0))))&gt;=Kalemler!$D12),AND(DATE(YEAR((Tahmin!$C$4+20)),MONTH((Tahmin!$C$4+20)),MIN(DAY(Kalemler!$D12),DAY(EOMONTH((Tahmin!$C$4+20),0))))&gt;=(Tahmin!$C$4+14),DATE(YEAR((Tahmin!$C$4+20)),MONTH((Tahmin!$C$4+20)),MIN(DAY(Kalemler!$D12),DAY(EOMONTH((Tahmin!$C$4+20),0))))&lt;=(Tahmin!$C$4+20),DATE(YEAR((Tahmin!$C$4+20)),MONTH((Tahmin!$C$4+20)),MIN(DAY(Kalemler!$D12),DAY(EOMONTH((Tahmin!$C$4+20),0))))&lt;&gt;DATE(YEAR((Tahmin!$C$4+14)),MONTH((Tahmin!$C$4+14)),MIN(DAY(Kalemler!$D12),DAY(EOMONTH((Tahmin!$C$4+14),0)))),DATE(YEAR((Tahmin!$C$4+20)),MONTH((Tahmin!$C$4+20)),MIN(DAY(Kalemler!$D12),DAY(EOMONTH((Tahmin!$C$4+20),0))))&gt;=Kalemler!$D12)),1,0),IF(AND(Kalemler!$D12&gt;=(Tahmin!$C$4+14),Kalemler!$D12&lt;=(Tahmin!$C$4+20)),1,0))))</f>
        <v>0</v>
      </c>
      <c r="E12" s="0" t="n">
        <f aca="false">IF(OR(Kalemler!$A12="",Kalemler!$C12="",Kalemler!$D12=""),0,Kalemler!$C12*IF(Kalemler!$E12="Haftalık",IF(Kalemler!$D12&lt;=(Tahmin!$C$4+27),1,0),IF(Kalemler!$E12="Aylık",IF(OR(AND(DATE(YEAR((Tahmin!$C$4+21)),MONTH((Tahmin!$C$4+21)),MIN(DAY(Kalemler!$D12),DAY(EOMONTH((Tahmin!$C$4+21),0))))&gt;=(Tahmin!$C$4+21),DATE(YEAR((Tahmin!$C$4+21)),MONTH((Tahmin!$C$4+21)),MIN(DAY(Kalemler!$D12),DAY(EOMONTH((Tahmin!$C$4+21),0))))&lt;=(Tahmin!$C$4+27),DATE(YEAR((Tahmin!$C$4+21)),MONTH((Tahmin!$C$4+21)),MIN(DAY(Kalemler!$D12),DAY(EOMONTH((Tahmin!$C$4+21),0))))&gt;=Kalemler!$D12),AND(DATE(YEAR((Tahmin!$C$4+27)),MONTH((Tahmin!$C$4+27)),MIN(DAY(Kalemler!$D12),DAY(EOMONTH((Tahmin!$C$4+27),0))))&gt;=(Tahmin!$C$4+21),DATE(YEAR((Tahmin!$C$4+27)),MONTH((Tahmin!$C$4+27)),MIN(DAY(Kalemler!$D12),DAY(EOMONTH((Tahmin!$C$4+27),0))))&lt;=(Tahmin!$C$4+27),DATE(YEAR((Tahmin!$C$4+27)),MONTH((Tahmin!$C$4+27)),MIN(DAY(Kalemler!$D12),DAY(EOMONTH((Tahmin!$C$4+27),0))))&lt;&gt;DATE(YEAR((Tahmin!$C$4+21)),MONTH((Tahmin!$C$4+21)),MIN(DAY(Kalemler!$D12),DAY(EOMONTH((Tahmin!$C$4+21),0)))),DATE(YEAR((Tahmin!$C$4+27)),MONTH((Tahmin!$C$4+27)),MIN(DAY(Kalemler!$D12),DAY(EOMONTH((Tahmin!$C$4+27),0))))&gt;=Kalemler!$D12)),1,0),IF(AND(Kalemler!$D12&gt;=(Tahmin!$C$4+21),Kalemler!$D12&lt;=(Tahmin!$C$4+27)),1,0))))</f>
        <v>0</v>
      </c>
      <c r="F12" s="0" t="n">
        <f aca="false">IF(OR(Kalemler!$A12="",Kalemler!$C12="",Kalemler!$D12=""),0,Kalemler!$C12*IF(Kalemler!$E12="Haftalık",IF(Kalemler!$D12&lt;=(Tahmin!$C$4+34),1,0),IF(Kalemler!$E12="Aylık",IF(OR(AND(DATE(YEAR((Tahmin!$C$4+28)),MONTH((Tahmin!$C$4+28)),MIN(DAY(Kalemler!$D12),DAY(EOMONTH((Tahmin!$C$4+28),0))))&gt;=(Tahmin!$C$4+28),DATE(YEAR((Tahmin!$C$4+28)),MONTH((Tahmin!$C$4+28)),MIN(DAY(Kalemler!$D12),DAY(EOMONTH((Tahmin!$C$4+28),0))))&lt;=(Tahmin!$C$4+34),DATE(YEAR((Tahmin!$C$4+28)),MONTH((Tahmin!$C$4+28)),MIN(DAY(Kalemler!$D12),DAY(EOMONTH((Tahmin!$C$4+28),0))))&gt;=Kalemler!$D12),AND(DATE(YEAR((Tahmin!$C$4+34)),MONTH((Tahmin!$C$4+34)),MIN(DAY(Kalemler!$D12),DAY(EOMONTH((Tahmin!$C$4+34),0))))&gt;=(Tahmin!$C$4+28),DATE(YEAR((Tahmin!$C$4+34)),MONTH((Tahmin!$C$4+34)),MIN(DAY(Kalemler!$D12),DAY(EOMONTH((Tahmin!$C$4+34),0))))&lt;=(Tahmin!$C$4+34),DATE(YEAR((Tahmin!$C$4+34)),MONTH((Tahmin!$C$4+34)),MIN(DAY(Kalemler!$D12),DAY(EOMONTH((Tahmin!$C$4+34),0))))&lt;&gt;DATE(YEAR((Tahmin!$C$4+28)),MONTH((Tahmin!$C$4+28)),MIN(DAY(Kalemler!$D12),DAY(EOMONTH((Tahmin!$C$4+28),0)))),DATE(YEAR((Tahmin!$C$4+34)),MONTH((Tahmin!$C$4+34)),MIN(DAY(Kalemler!$D12),DAY(EOMONTH((Tahmin!$C$4+34),0))))&gt;=Kalemler!$D12)),1,0),IF(AND(Kalemler!$D12&gt;=(Tahmin!$C$4+28),Kalemler!$D12&lt;=(Tahmin!$C$4+34)),1,0))))</f>
        <v>0</v>
      </c>
      <c r="G12" s="0" t="n">
        <f aca="false">IF(OR(Kalemler!$A12="",Kalemler!$C12="",Kalemler!$D12=""),0,Kalemler!$C12*IF(Kalemler!$E12="Haftalık",IF(Kalemler!$D12&lt;=(Tahmin!$C$4+41),1,0),IF(Kalemler!$E12="Aylık",IF(OR(AND(DATE(YEAR((Tahmin!$C$4+35)),MONTH((Tahmin!$C$4+35)),MIN(DAY(Kalemler!$D12),DAY(EOMONTH((Tahmin!$C$4+35),0))))&gt;=(Tahmin!$C$4+35),DATE(YEAR((Tahmin!$C$4+35)),MONTH((Tahmin!$C$4+35)),MIN(DAY(Kalemler!$D12),DAY(EOMONTH((Tahmin!$C$4+35),0))))&lt;=(Tahmin!$C$4+41),DATE(YEAR((Tahmin!$C$4+35)),MONTH((Tahmin!$C$4+35)),MIN(DAY(Kalemler!$D12),DAY(EOMONTH((Tahmin!$C$4+35),0))))&gt;=Kalemler!$D12),AND(DATE(YEAR((Tahmin!$C$4+41)),MONTH((Tahmin!$C$4+41)),MIN(DAY(Kalemler!$D12),DAY(EOMONTH((Tahmin!$C$4+41),0))))&gt;=(Tahmin!$C$4+35),DATE(YEAR((Tahmin!$C$4+41)),MONTH((Tahmin!$C$4+41)),MIN(DAY(Kalemler!$D12),DAY(EOMONTH((Tahmin!$C$4+41),0))))&lt;=(Tahmin!$C$4+41),DATE(YEAR((Tahmin!$C$4+41)),MONTH((Tahmin!$C$4+41)),MIN(DAY(Kalemler!$D12),DAY(EOMONTH((Tahmin!$C$4+41),0))))&lt;&gt;DATE(YEAR((Tahmin!$C$4+35)),MONTH((Tahmin!$C$4+35)),MIN(DAY(Kalemler!$D12),DAY(EOMONTH((Tahmin!$C$4+35),0)))),DATE(YEAR((Tahmin!$C$4+41)),MONTH((Tahmin!$C$4+41)),MIN(DAY(Kalemler!$D12),DAY(EOMONTH((Tahmin!$C$4+41),0))))&gt;=Kalemler!$D12)),1,0),IF(AND(Kalemler!$D12&gt;=(Tahmin!$C$4+35),Kalemler!$D12&lt;=(Tahmin!$C$4+41)),1,0))))</f>
        <v>0</v>
      </c>
      <c r="H12" s="0" t="n">
        <f aca="false">IF(OR(Kalemler!$A12="",Kalemler!$C12="",Kalemler!$D12=""),0,Kalemler!$C12*IF(Kalemler!$E12="Haftalık",IF(Kalemler!$D12&lt;=(Tahmin!$C$4+48),1,0),IF(Kalemler!$E12="Aylık",IF(OR(AND(DATE(YEAR((Tahmin!$C$4+42)),MONTH((Tahmin!$C$4+42)),MIN(DAY(Kalemler!$D12),DAY(EOMONTH((Tahmin!$C$4+42),0))))&gt;=(Tahmin!$C$4+42),DATE(YEAR((Tahmin!$C$4+42)),MONTH((Tahmin!$C$4+42)),MIN(DAY(Kalemler!$D12),DAY(EOMONTH((Tahmin!$C$4+42),0))))&lt;=(Tahmin!$C$4+48),DATE(YEAR((Tahmin!$C$4+42)),MONTH((Tahmin!$C$4+42)),MIN(DAY(Kalemler!$D12),DAY(EOMONTH((Tahmin!$C$4+42),0))))&gt;=Kalemler!$D12),AND(DATE(YEAR((Tahmin!$C$4+48)),MONTH((Tahmin!$C$4+48)),MIN(DAY(Kalemler!$D12),DAY(EOMONTH((Tahmin!$C$4+48),0))))&gt;=(Tahmin!$C$4+42),DATE(YEAR((Tahmin!$C$4+48)),MONTH((Tahmin!$C$4+48)),MIN(DAY(Kalemler!$D12),DAY(EOMONTH((Tahmin!$C$4+48),0))))&lt;=(Tahmin!$C$4+48),DATE(YEAR((Tahmin!$C$4+48)),MONTH((Tahmin!$C$4+48)),MIN(DAY(Kalemler!$D12),DAY(EOMONTH((Tahmin!$C$4+48),0))))&lt;&gt;DATE(YEAR((Tahmin!$C$4+42)),MONTH((Tahmin!$C$4+42)),MIN(DAY(Kalemler!$D12),DAY(EOMONTH((Tahmin!$C$4+42),0)))),DATE(YEAR((Tahmin!$C$4+48)),MONTH((Tahmin!$C$4+48)),MIN(DAY(Kalemler!$D12),DAY(EOMONTH((Tahmin!$C$4+48),0))))&gt;=Kalemler!$D12)),1,0),IF(AND(Kalemler!$D12&gt;=(Tahmin!$C$4+42),Kalemler!$D12&lt;=(Tahmin!$C$4+48)),1,0))))</f>
        <v>0</v>
      </c>
      <c r="I12" s="0" t="n">
        <f aca="false">IF(OR(Kalemler!$A12="",Kalemler!$C12="",Kalemler!$D12=""),0,Kalemler!$C12*IF(Kalemler!$E12="Haftalık",IF(Kalemler!$D12&lt;=(Tahmin!$C$4+55),1,0),IF(Kalemler!$E12="Aylık",IF(OR(AND(DATE(YEAR((Tahmin!$C$4+49)),MONTH((Tahmin!$C$4+49)),MIN(DAY(Kalemler!$D12),DAY(EOMONTH((Tahmin!$C$4+49),0))))&gt;=(Tahmin!$C$4+49),DATE(YEAR((Tahmin!$C$4+49)),MONTH((Tahmin!$C$4+49)),MIN(DAY(Kalemler!$D12),DAY(EOMONTH((Tahmin!$C$4+49),0))))&lt;=(Tahmin!$C$4+55),DATE(YEAR((Tahmin!$C$4+49)),MONTH((Tahmin!$C$4+49)),MIN(DAY(Kalemler!$D12),DAY(EOMONTH((Tahmin!$C$4+49),0))))&gt;=Kalemler!$D12),AND(DATE(YEAR((Tahmin!$C$4+55)),MONTH((Tahmin!$C$4+55)),MIN(DAY(Kalemler!$D12),DAY(EOMONTH((Tahmin!$C$4+55),0))))&gt;=(Tahmin!$C$4+49),DATE(YEAR((Tahmin!$C$4+55)),MONTH((Tahmin!$C$4+55)),MIN(DAY(Kalemler!$D12),DAY(EOMONTH((Tahmin!$C$4+55),0))))&lt;=(Tahmin!$C$4+55),DATE(YEAR((Tahmin!$C$4+55)),MONTH((Tahmin!$C$4+55)),MIN(DAY(Kalemler!$D12),DAY(EOMONTH((Tahmin!$C$4+55),0))))&lt;&gt;DATE(YEAR((Tahmin!$C$4+49)),MONTH((Tahmin!$C$4+49)),MIN(DAY(Kalemler!$D12),DAY(EOMONTH((Tahmin!$C$4+49),0)))),DATE(YEAR((Tahmin!$C$4+55)),MONTH((Tahmin!$C$4+55)),MIN(DAY(Kalemler!$D12),DAY(EOMONTH((Tahmin!$C$4+55),0))))&gt;=Kalemler!$D12)),1,0),IF(AND(Kalemler!$D12&gt;=(Tahmin!$C$4+49),Kalemler!$D12&lt;=(Tahmin!$C$4+55)),1,0))))</f>
        <v>0</v>
      </c>
      <c r="J12" s="0" t="n">
        <f aca="false">IF(OR(Kalemler!$A12="",Kalemler!$C12="",Kalemler!$D12=""),0,Kalemler!$C12*IF(Kalemler!$E12="Haftalık",IF(Kalemler!$D12&lt;=(Tahmin!$C$4+62),1,0),IF(Kalemler!$E12="Aylık",IF(OR(AND(DATE(YEAR((Tahmin!$C$4+56)),MONTH((Tahmin!$C$4+56)),MIN(DAY(Kalemler!$D12),DAY(EOMONTH((Tahmin!$C$4+56),0))))&gt;=(Tahmin!$C$4+56),DATE(YEAR((Tahmin!$C$4+56)),MONTH((Tahmin!$C$4+56)),MIN(DAY(Kalemler!$D12),DAY(EOMONTH((Tahmin!$C$4+56),0))))&lt;=(Tahmin!$C$4+62),DATE(YEAR((Tahmin!$C$4+56)),MONTH((Tahmin!$C$4+56)),MIN(DAY(Kalemler!$D12),DAY(EOMONTH((Tahmin!$C$4+56),0))))&gt;=Kalemler!$D12),AND(DATE(YEAR((Tahmin!$C$4+62)),MONTH((Tahmin!$C$4+62)),MIN(DAY(Kalemler!$D12),DAY(EOMONTH((Tahmin!$C$4+62),0))))&gt;=(Tahmin!$C$4+56),DATE(YEAR((Tahmin!$C$4+62)),MONTH((Tahmin!$C$4+62)),MIN(DAY(Kalemler!$D12),DAY(EOMONTH((Tahmin!$C$4+62),0))))&lt;=(Tahmin!$C$4+62),DATE(YEAR((Tahmin!$C$4+62)),MONTH((Tahmin!$C$4+62)),MIN(DAY(Kalemler!$D12),DAY(EOMONTH((Tahmin!$C$4+62),0))))&lt;&gt;DATE(YEAR((Tahmin!$C$4+56)),MONTH((Tahmin!$C$4+56)),MIN(DAY(Kalemler!$D12),DAY(EOMONTH((Tahmin!$C$4+56),0)))),DATE(YEAR((Tahmin!$C$4+62)),MONTH((Tahmin!$C$4+62)),MIN(DAY(Kalemler!$D12),DAY(EOMONTH((Tahmin!$C$4+62),0))))&gt;=Kalemler!$D12)),1,0),IF(AND(Kalemler!$D12&gt;=(Tahmin!$C$4+56),Kalemler!$D12&lt;=(Tahmin!$C$4+62)),1,0))))</f>
        <v>0</v>
      </c>
      <c r="K12" s="0" t="n">
        <f aca="false">IF(OR(Kalemler!$A12="",Kalemler!$C12="",Kalemler!$D12=""),0,Kalemler!$C12*IF(Kalemler!$E12="Haftalık",IF(Kalemler!$D12&lt;=(Tahmin!$C$4+69),1,0),IF(Kalemler!$E12="Aylık",IF(OR(AND(DATE(YEAR((Tahmin!$C$4+63)),MONTH((Tahmin!$C$4+63)),MIN(DAY(Kalemler!$D12),DAY(EOMONTH((Tahmin!$C$4+63),0))))&gt;=(Tahmin!$C$4+63),DATE(YEAR((Tahmin!$C$4+63)),MONTH((Tahmin!$C$4+63)),MIN(DAY(Kalemler!$D12),DAY(EOMONTH((Tahmin!$C$4+63),0))))&lt;=(Tahmin!$C$4+69),DATE(YEAR((Tahmin!$C$4+63)),MONTH((Tahmin!$C$4+63)),MIN(DAY(Kalemler!$D12),DAY(EOMONTH((Tahmin!$C$4+63),0))))&gt;=Kalemler!$D12),AND(DATE(YEAR((Tahmin!$C$4+69)),MONTH((Tahmin!$C$4+69)),MIN(DAY(Kalemler!$D12),DAY(EOMONTH((Tahmin!$C$4+69),0))))&gt;=(Tahmin!$C$4+63),DATE(YEAR((Tahmin!$C$4+69)),MONTH((Tahmin!$C$4+69)),MIN(DAY(Kalemler!$D12),DAY(EOMONTH((Tahmin!$C$4+69),0))))&lt;=(Tahmin!$C$4+69),DATE(YEAR((Tahmin!$C$4+69)),MONTH((Tahmin!$C$4+69)),MIN(DAY(Kalemler!$D12),DAY(EOMONTH((Tahmin!$C$4+69),0))))&lt;&gt;DATE(YEAR((Tahmin!$C$4+63)),MONTH((Tahmin!$C$4+63)),MIN(DAY(Kalemler!$D12),DAY(EOMONTH((Tahmin!$C$4+63),0)))),DATE(YEAR((Tahmin!$C$4+69)),MONTH((Tahmin!$C$4+69)),MIN(DAY(Kalemler!$D12),DAY(EOMONTH((Tahmin!$C$4+69),0))))&gt;=Kalemler!$D12)),1,0),IF(AND(Kalemler!$D12&gt;=(Tahmin!$C$4+63),Kalemler!$D12&lt;=(Tahmin!$C$4+69)),1,0))))</f>
        <v>0</v>
      </c>
      <c r="L12" s="0" t="n">
        <f aca="false">IF(OR(Kalemler!$A12="",Kalemler!$C12="",Kalemler!$D12=""),0,Kalemler!$C12*IF(Kalemler!$E12="Haftalık",IF(Kalemler!$D12&lt;=(Tahmin!$C$4+76),1,0),IF(Kalemler!$E12="Aylık",IF(OR(AND(DATE(YEAR((Tahmin!$C$4+70)),MONTH((Tahmin!$C$4+70)),MIN(DAY(Kalemler!$D12),DAY(EOMONTH((Tahmin!$C$4+70),0))))&gt;=(Tahmin!$C$4+70),DATE(YEAR((Tahmin!$C$4+70)),MONTH((Tahmin!$C$4+70)),MIN(DAY(Kalemler!$D12),DAY(EOMONTH((Tahmin!$C$4+70),0))))&lt;=(Tahmin!$C$4+76),DATE(YEAR((Tahmin!$C$4+70)),MONTH((Tahmin!$C$4+70)),MIN(DAY(Kalemler!$D12),DAY(EOMONTH((Tahmin!$C$4+70),0))))&gt;=Kalemler!$D12),AND(DATE(YEAR((Tahmin!$C$4+76)),MONTH((Tahmin!$C$4+76)),MIN(DAY(Kalemler!$D12),DAY(EOMONTH((Tahmin!$C$4+76),0))))&gt;=(Tahmin!$C$4+70),DATE(YEAR((Tahmin!$C$4+76)),MONTH((Tahmin!$C$4+76)),MIN(DAY(Kalemler!$D12),DAY(EOMONTH((Tahmin!$C$4+76),0))))&lt;=(Tahmin!$C$4+76),DATE(YEAR((Tahmin!$C$4+76)),MONTH((Tahmin!$C$4+76)),MIN(DAY(Kalemler!$D12),DAY(EOMONTH((Tahmin!$C$4+76),0))))&lt;&gt;DATE(YEAR((Tahmin!$C$4+70)),MONTH((Tahmin!$C$4+70)),MIN(DAY(Kalemler!$D12),DAY(EOMONTH((Tahmin!$C$4+70),0)))),DATE(YEAR((Tahmin!$C$4+76)),MONTH((Tahmin!$C$4+76)),MIN(DAY(Kalemler!$D12),DAY(EOMONTH((Tahmin!$C$4+76),0))))&gt;=Kalemler!$D12)),1,0),IF(AND(Kalemler!$D12&gt;=(Tahmin!$C$4+70),Kalemler!$D12&lt;=(Tahmin!$C$4+76)),1,0))))</f>
        <v>0</v>
      </c>
      <c r="M12" s="0" t="n">
        <f aca="false">IF(OR(Kalemler!$A12="",Kalemler!$C12="",Kalemler!$D12=""),0,Kalemler!$C12*IF(Kalemler!$E12="Haftalık",IF(Kalemler!$D12&lt;=(Tahmin!$C$4+83),1,0),IF(Kalemler!$E12="Aylık",IF(OR(AND(DATE(YEAR((Tahmin!$C$4+77)),MONTH((Tahmin!$C$4+77)),MIN(DAY(Kalemler!$D12),DAY(EOMONTH((Tahmin!$C$4+77),0))))&gt;=(Tahmin!$C$4+77),DATE(YEAR((Tahmin!$C$4+77)),MONTH((Tahmin!$C$4+77)),MIN(DAY(Kalemler!$D12),DAY(EOMONTH((Tahmin!$C$4+77),0))))&lt;=(Tahmin!$C$4+83),DATE(YEAR((Tahmin!$C$4+77)),MONTH((Tahmin!$C$4+77)),MIN(DAY(Kalemler!$D12),DAY(EOMONTH((Tahmin!$C$4+77),0))))&gt;=Kalemler!$D12),AND(DATE(YEAR((Tahmin!$C$4+83)),MONTH((Tahmin!$C$4+83)),MIN(DAY(Kalemler!$D12),DAY(EOMONTH((Tahmin!$C$4+83),0))))&gt;=(Tahmin!$C$4+77),DATE(YEAR((Tahmin!$C$4+83)),MONTH((Tahmin!$C$4+83)),MIN(DAY(Kalemler!$D12),DAY(EOMONTH((Tahmin!$C$4+83),0))))&lt;=(Tahmin!$C$4+83),DATE(YEAR((Tahmin!$C$4+83)),MONTH((Tahmin!$C$4+83)),MIN(DAY(Kalemler!$D12),DAY(EOMONTH((Tahmin!$C$4+83),0))))&lt;&gt;DATE(YEAR((Tahmin!$C$4+77)),MONTH((Tahmin!$C$4+77)),MIN(DAY(Kalemler!$D12),DAY(EOMONTH((Tahmin!$C$4+77),0)))),DATE(YEAR((Tahmin!$C$4+83)),MONTH((Tahmin!$C$4+83)),MIN(DAY(Kalemler!$D12),DAY(EOMONTH((Tahmin!$C$4+83),0))))&gt;=Kalemler!$D12)),1,0),IF(AND(Kalemler!$D12&gt;=(Tahmin!$C$4+77),Kalemler!$D12&lt;=(Tahmin!$C$4+83)),1,0))))</f>
        <v>0</v>
      </c>
      <c r="N12" s="0" t="n">
        <f aca="false">IF(OR(Kalemler!$A12="",Kalemler!$C12="",Kalemler!$D12=""),0,Kalemler!$C12*IF(Kalemler!$E12="Haftalık",IF(Kalemler!$D12&lt;=(Tahmin!$C$4+90),1,0),IF(Kalemler!$E12="Aylık",IF(OR(AND(DATE(YEAR((Tahmin!$C$4+84)),MONTH((Tahmin!$C$4+84)),MIN(DAY(Kalemler!$D12),DAY(EOMONTH((Tahmin!$C$4+84),0))))&gt;=(Tahmin!$C$4+84),DATE(YEAR((Tahmin!$C$4+84)),MONTH((Tahmin!$C$4+84)),MIN(DAY(Kalemler!$D12),DAY(EOMONTH((Tahmin!$C$4+84),0))))&lt;=(Tahmin!$C$4+90),DATE(YEAR((Tahmin!$C$4+84)),MONTH((Tahmin!$C$4+84)),MIN(DAY(Kalemler!$D12),DAY(EOMONTH((Tahmin!$C$4+84),0))))&gt;=Kalemler!$D12),AND(DATE(YEAR((Tahmin!$C$4+90)),MONTH((Tahmin!$C$4+90)),MIN(DAY(Kalemler!$D12),DAY(EOMONTH((Tahmin!$C$4+90),0))))&gt;=(Tahmin!$C$4+84),DATE(YEAR((Tahmin!$C$4+90)),MONTH((Tahmin!$C$4+90)),MIN(DAY(Kalemler!$D12),DAY(EOMONTH((Tahmin!$C$4+90),0))))&lt;=(Tahmin!$C$4+90),DATE(YEAR((Tahmin!$C$4+90)),MONTH((Tahmin!$C$4+90)),MIN(DAY(Kalemler!$D12),DAY(EOMONTH((Tahmin!$C$4+90),0))))&lt;&gt;DATE(YEAR((Tahmin!$C$4+84)),MONTH((Tahmin!$C$4+84)),MIN(DAY(Kalemler!$D12),DAY(EOMONTH((Tahmin!$C$4+84),0)))),DATE(YEAR((Tahmin!$C$4+90)),MONTH((Tahmin!$C$4+90)),MIN(DAY(Kalemler!$D12),DAY(EOMONTH((Tahmin!$C$4+90),0))))&gt;=Kalemler!$D12)),1,0),IF(AND(Kalemler!$D12&gt;=(Tahmin!$C$4+84),Kalemler!$D12&lt;=(Tahmin!$C$4+90)),1,0))))</f>
        <v>0</v>
      </c>
    </row>
    <row r="13" customFormat="false" ht="15" hidden="false" customHeight="false" outlineLevel="0" collapsed="false">
      <c r="A13" s="0" t="str">
        <f aca="false">IF(Kalemler!A13="","",Kalemler!A13)</f>
        <v/>
      </c>
      <c r="B13" s="0" t="n">
        <f aca="false">IF(OR(Kalemler!$A13="",Kalemler!$C13="",Kalemler!$D13=""),0,Kalemler!$C13*IF(Kalemler!$E13="Haftalık",IF(Kalemler!$D13&lt;=(Tahmin!$C$4+6),1,0),IF(Kalemler!$E13="Aylık",IF(OR(AND(DATE(YEAR((Tahmin!$C$4+0)),MONTH((Tahmin!$C$4+0)),MIN(DAY(Kalemler!$D13),DAY(EOMONTH((Tahmin!$C$4+0),0))))&gt;=(Tahmin!$C$4+0),DATE(YEAR((Tahmin!$C$4+0)),MONTH((Tahmin!$C$4+0)),MIN(DAY(Kalemler!$D13),DAY(EOMONTH((Tahmin!$C$4+0),0))))&lt;=(Tahmin!$C$4+6),DATE(YEAR((Tahmin!$C$4+0)),MONTH((Tahmin!$C$4+0)),MIN(DAY(Kalemler!$D13),DAY(EOMONTH((Tahmin!$C$4+0),0))))&gt;=Kalemler!$D13),AND(DATE(YEAR((Tahmin!$C$4+6)),MONTH((Tahmin!$C$4+6)),MIN(DAY(Kalemler!$D13),DAY(EOMONTH((Tahmin!$C$4+6),0))))&gt;=(Tahmin!$C$4+0),DATE(YEAR((Tahmin!$C$4+6)),MONTH((Tahmin!$C$4+6)),MIN(DAY(Kalemler!$D13),DAY(EOMONTH((Tahmin!$C$4+6),0))))&lt;=(Tahmin!$C$4+6),DATE(YEAR((Tahmin!$C$4+6)),MONTH((Tahmin!$C$4+6)),MIN(DAY(Kalemler!$D13),DAY(EOMONTH((Tahmin!$C$4+6),0))))&lt;&gt;DATE(YEAR((Tahmin!$C$4+0)),MONTH((Tahmin!$C$4+0)),MIN(DAY(Kalemler!$D13),DAY(EOMONTH((Tahmin!$C$4+0),0)))),DATE(YEAR((Tahmin!$C$4+6)),MONTH((Tahmin!$C$4+6)),MIN(DAY(Kalemler!$D13),DAY(EOMONTH((Tahmin!$C$4+6),0))))&gt;=Kalemler!$D13)),1,0),IF(AND(Kalemler!$D13&gt;=(Tahmin!$C$4+0),Kalemler!$D13&lt;=(Tahmin!$C$4+6)),1,0))))</f>
        <v>0</v>
      </c>
      <c r="C13" s="0" t="n">
        <f aca="false">IF(OR(Kalemler!$A13="",Kalemler!$C13="",Kalemler!$D13=""),0,Kalemler!$C13*IF(Kalemler!$E13="Haftalık",IF(Kalemler!$D13&lt;=(Tahmin!$C$4+13),1,0),IF(Kalemler!$E13="Aylık",IF(OR(AND(DATE(YEAR((Tahmin!$C$4+7)),MONTH((Tahmin!$C$4+7)),MIN(DAY(Kalemler!$D13),DAY(EOMONTH((Tahmin!$C$4+7),0))))&gt;=(Tahmin!$C$4+7),DATE(YEAR((Tahmin!$C$4+7)),MONTH((Tahmin!$C$4+7)),MIN(DAY(Kalemler!$D13),DAY(EOMONTH((Tahmin!$C$4+7),0))))&lt;=(Tahmin!$C$4+13),DATE(YEAR((Tahmin!$C$4+7)),MONTH((Tahmin!$C$4+7)),MIN(DAY(Kalemler!$D13),DAY(EOMONTH((Tahmin!$C$4+7),0))))&gt;=Kalemler!$D13),AND(DATE(YEAR((Tahmin!$C$4+13)),MONTH((Tahmin!$C$4+13)),MIN(DAY(Kalemler!$D13),DAY(EOMONTH((Tahmin!$C$4+13),0))))&gt;=(Tahmin!$C$4+7),DATE(YEAR((Tahmin!$C$4+13)),MONTH((Tahmin!$C$4+13)),MIN(DAY(Kalemler!$D13),DAY(EOMONTH((Tahmin!$C$4+13),0))))&lt;=(Tahmin!$C$4+13),DATE(YEAR((Tahmin!$C$4+13)),MONTH((Tahmin!$C$4+13)),MIN(DAY(Kalemler!$D13),DAY(EOMONTH((Tahmin!$C$4+13),0))))&lt;&gt;DATE(YEAR((Tahmin!$C$4+7)),MONTH((Tahmin!$C$4+7)),MIN(DAY(Kalemler!$D13),DAY(EOMONTH((Tahmin!$C$4+7),0)))),DATE(YEAR((Tahmin!$C$4+13)),MONTH((Tahmin!$C$4+13)),MIN(DAY(Kalemler!$D13),DAY(EOMONTH((Tahmin!$C$4+13),0))))&gt;=Kalemler!$D13)),1,0),IF(AND(Kalemler!$D13&gt;=(Tahmin!$C$4+7),Kalemler!$D13&lt;=(Tahmin!$C$4+13)),1,0))))</f>
        <v>0</v>
      </c>
      <c r="D13" s="0" t="n">
        <f aca="false">IF(OR(Kalemler!$A13="",Kalemler!$C13="",Kalemler!$D13=""),0,Kalemler!$C13*IF(Kalemler!$E13="Haftalık",IF(Kalemler!$D13&lt;=(Tahmin!$C$4+20),1,0),IF(Kalemler!$E13="Aylık",IF(OR(AND(DATE(YEAR((Tahmin!$C$4+14)),MONTH((Tahmin!$C$4+14)),MIN(DAY(Kalemler!$D13),DAY(EOMONTH((Tahmin!$C$4+14),0))))&gt;=(Tahmin!$C$4+14),DATE(YEAR((Tahmin!$C$4+14)),MONTH((Tahmin!$C$4+14)),MIN(DAY(Kalemler!$D13),DAY(EOMONTH((Tahmin!$C$4+14),0))))&lt;=(Tahmin!$C$4+20),DATE(YEAR((Tahmin!$C$4+14)),MONTH((Tahmin!$C$4+14)),MIN(DAY(Kalemler!$D13),DAY(EOMONTH((Tahmin!$C$4+14),0))))&gt;=Kalemler!$D13),AND(DATE(YEAR((Tahmin!$C$4+20)),MONTH((Tahmin!$C$4+20)),MIN(DAY(Kalemler!$D13),DAY(EOMONTH((Tahmin!$C$4+20),0))))&gt;=(Tahmin!$C$4+14),DATE(YEAR((Tahmin!$C$4+20)),MONTH((Tahmin!$C$4+20)),MIN(DAY(Kalemler!$D13),DAY(EOMONTH((Tahmin!$C$4+20),0))))&lt;=(Tahmin!$C$4+20),DATE(YEAR((Tahmin!$C$4+20)),MONTH((Tahmin!$C$4+20)),MIN(DAY(Kalemler!$D13),DAY(EOMONTH((Tahmin!$C$4+20),0))))&lt;&gt;DATE(YEAR((Tahmin!$C$4+14)),MONTH((Tahmin!$C$4+14)),MIN(DAY(Kalemler!$D13),DAY(EOMONTH((Tahmin!$C$4+14),0)))),DATE(YEAR((Tahmin!$C$4+20)),MONTH((Tahmin!$C$4+20)),MIN(DAY(Kalemler!$D13),DAY(EOMONTH((Tahmin!$C$4+20),0))))&gt;=Kalemler!$D13)),1,0),IF(AND(Kalemler!$D13&gt;=(Tahmin!$C$4+14),Kalemler!$D13&lt;=(Tahmin!$C$4+20)),1,0))))</f>
        <v>0</v>
      </c>
      <c r="E13" s="0" t="n">
        <f aca="false">IF(OR(Kalemler!$A13="",Kalemler!$C13="",Kalemler!$D13=""),0,Kalemler!$C13*IF(Kalemler!$E13="Haftalık",IF(Kalemler!$D13&lt;=(Tahmin!$C$4+27),1,0),IF(Kalemler!$E13="Aylık",IF(OR(AND(DATE(YEAR((Tahmin!$C$4+21)),MONTH((Tahmin!$C$4+21)),MIN(DAY(Kalemler!$D13),DAY(EOMONTH((Tahmin!$C$4+21),0))))&gt;=(Tahmin!$C$4+21),DATE(YEAR((Tahmin!$C$4+21)),MONTH((Tahmin!$C$4+21)),MIN(DAY(Kalemler!$D13),DAY(EOMONTH((Tahmin!$C$4+21),0))))&lt;=(Tahmin!$C$4+27),DATE(YEAR((Tahmin!$C$4+21)),MONTH((Tahmin!$C$4+21)),MIN(DAY(Kalemler!$D13),DAY(EOMONTH((Tahmin!$C$4+21),0))))&gt;=Kalemler!$D13),AND(DATE(YEAR((Tahmin!$C$4+27)),MONTH((Tahmin!$C$4+27)),MIN(DAY(Kalemler!$D13),DAY(EOMONTH((Tahmin!$C$4+27),0))))&gt;=(Tahmin!$C$4+21),DATE(YEAR((Tahmin!$C$4+27)),MONTH((Tahmin!$C$4+27)),MIN(DAY(Kalemler!$D13),DAY(EOMONTH((Tahmin!$C$4+27),0))))&lt;=(Tahmin!$C$4+27),DATE(YEAR((Tahmin!$C$4+27)),MONTH((Tahmin!$C$4+27)),MIN(DAY(Kalemler!$D13),DAY(EOMONTH((Tahmin!$C$4+27),0))))&lt;&gt;DATE(YEAR((Tahmin!$C$4+21)),MONTH((Tahmin!$C$4+21)),MIN(DAY(Kalemler!$D13),DAY(EOMONTH((Tahmin!$C$4+21),0)))),DATE(YEAR((Tahmin!$C$4+27)),MONTH((Tahmin!$C$4+27)),MIN(DAY(Kalemler!$D13),DAY(EOMONTH((Tahmin!$C$4+27),0))))&gt;=Kalemler!$D13)),1,0),IF(AND(Kalemler!$D13&gt;=(Tahmin!$C$4+21),Kalemler!$D13&lt;=(Tahmin!$C$4+27)),1,0))))</f>
        <v>0</v>
      </c>
      <c r="F13" s="0" t="n">
        <f aca="false">IF(OR(Kalemler!$A13="",Kalemler!$C13="",Kalemler!$D13=""),0,Kalemler!$C13*IF(Kalemler!$E13="Haftalık",IF(Kalemler!$D13&lt;=(Tahmin!$C$4+34),1,0),IF(Kalemler!$E13="Aylık",IF(OR(AND(DATE(YEAR((Tahmin!$C$4+28)),MONTH((Tahmin!$C$4+28)),MIN(DAY(Kalemler!$D13),DAY(EOMONTH((Tahmin!$C$4+28),0))))&gt;=(Tahmin!$C$4+28),DATE(YEAR((Tahmin!$C$4+28)),MONTH((Tahmin!$C$4+28)),MIN(DAY(Kalemler!$D13),DAY(EOMONTH((Tahmin!$C$4+28),0))))&lt;=(Tahmin!$C$4+34),DATE(YEAR((Tahmin!$C$4+28)),MONTH((Tahmin!$C$4+28)),MIN(DAY(Kalemler!$D13),DAY(EOMONTH((Tahmin!$C$4+28),0))))&gt;=Kalemler!$D13),AND(DATE(YEAR((Tahmin!$C$4+34)),MONTH((Tahmin!$C$4+34)),MIN(DAY(Kalemler!$D13),DAY(EOMONTH((Tahmin!$C$4+34),0))))&gt;=(Tahmin!$C$4+28),DATE(YEAR((Tahmin!$C$4+34)),MONTH((Tahmin!$C$4+34)),MIN(DAY(Kalemler!$D13),DAY(EOMONTH((Tahmin!$C$4+34),0))))&lt;=(Tahmin!$C$4+34),DATE(YEAR((Tahmin!$C$4+34)),MONTH((Tahmin!$C$4+34)),MIN(DAY(Kalemler!$D13),DAY(EOMONTH((Tahmin!$C$4+34),0))))&lt;&gt;DATE(YEAR((Tahmin!$C$4+28)),MONTH((Tahmin!$C$4+28)),MIN(DAY(Kalemler!$D13),DAY(EOMONTH((Tahmin!$C$4+28),0)))),DATE(YEAR((Tahmin!$C$4+34)),MONTH((Tahmin!$C$4+34)),MIN(DAY(Kalemler!$D13),DAY(EOMONTH((Tahmin!$C$4+34),0))))&gt;=Kalemler!$D13)),1,0),IF(AND(Kalemler!$D13&gt;=(Tahmin!$C$4+28),Kalemler!$D13&lt;=(Tahmin!$C$4+34)),1,0))))</f>
        <v>0</v>
      </c>
      <c r="G13" s="0" t="n">
        <f aca="false">IF(OR(Kalemler!$A13="",Kalemler!$C13="",Kalemler!$D13=""),0,Kalemler!$C13*IF(Kalemler!$E13="Haftalık",IF(Kalemler!$D13&lt;=(Tahmin!$C$4+41),1,0),IF(Kalemler!$E13="Aylık",IF(OR(AND(DATE(YEAR((Tahmin!$C$4+35)),MONTH((Tahmin!$C$4+35)),MIN(DAY(Kalemler!$D13),DAY(EOMONTH((Tahmin!$C$4+35),0))))&gt;=(Tahmin!$C$4+35),DATE(YEAR((Tahmin!$C$4+35)),MONTH((Tahmin!$C$4+35)),MIN(DAY(Kalemler!$D13),DAY(EOMONTH((Tahmin!$C$4+35),0))))&lt;=(Tahmin!$C$4+41),DATE(YEAR((Tahmin!$C$4+35)),MONTH((Tahmin!$C$4+35)),MIN(DAY(Kalemler!$D13),DAY(EOMONTH((Tahmin!$C$4+35),0))))&gt;=Kalemler!$D13),AND(DATE(YEAR((Tahmin!$C$4+41)),MONTH((Tahmin!$C$4+41)),MIN(DAY(Kalemler!$D13),DAY(EOMONTH((Tahmin!$C$4+41),0))))&gt;=(Tahmin!$C$4+35),DATE(YEAR((Tahmin!$C$4+41)),MONTH((Tahmin!$C$4+41)),MIN(DAY(Kalemler!$D13),DAY(EOMONTH((Tahmin!$C$4+41),0))))&lt;=(Tahmin!$C$4+41),DATE(YEAR((Tahmin!$C$4+41)),MONTH((Tahmin!$C$4+41)),MIN(DAY(Kalemler!$D13),DAY(EOMONTH((Tahmin!$C$4+41),0))))&lt;&gt;DATE(YEAR((Tahmin!$C$4+35)),MONTH((Tahmin!$C$4+35)),MIN(DAY(Kalemler!$D13),DAY(EOMONTH((Tahmin!$C$4+35),0)))),DATE(YEAR((Tahmin!$C$4+41)),MONTH((Tahmin!$C$4+41)),MIN(DAY(Kalemler!$D13),DAY(EOMONTH((Tahmin!$C$4+41),0))))&gt;=Kalemler!$D13)),1,0),IF(AND(Kalemler!$D13&gt;=(Tahmin!$C$4+35),Kalemler!$D13&lt;=(Tahmin!$C$4+41)),1,0))))</f>
        <v>0</v>
      </c>
      <c r="H13" s="0" t="n">
        <f aca="false">IF(OR(Kalemler!$A13="",Kalemler!$C13="",Kalemler!$D13=""),0,Kalemler!$C13*IF(Kalemler!$E13="Haftalık",IF(Kalemler!$D13&lt;=(Tahmin!$C$4+48),1,0),IF(Kalemler!$E13="Aylık",IF(OR(AND(DATE(YEAR((Tahmin!$C$4+42)),MONTH((Tahmin!$C$4+42)),MIN(DAY(Kalemler!$D13),DAY(EOMONTH((Tahmin!$C$4+42),0))))&gt;=(Tahmin!$C$4+42),DATE(YEAR((Tahmin!$C$4+42)),MONTH((Tahmin!$C$4+42)),MIN(DAY(Kalemler!$D13),DAY(EOMONTH((Tahmin!$C$4+42),0))))&lt;=(Tahmin!$C$4+48),DATE(YEAR((Tahmin!$C$4+42)),MONTH((Tahmin!$C$4+42)),MIN(DAY(Kalemler!$D13),DAY(EOMONTH((Tahmin!$C$4+42),0))))&gt;=Kalemler!$D13),AND(DATE(YEAR((Tahmin!$C$4+48)),MONTH((Tahmin!$C$4+48)),MIN(DAY(Kalemler!$D13),DAY(EOMONTH((Tahmin!$C$4+48),0))))&gt;=(Tahmin!$C$4+42),DATE(YEAR((Tahmin!$C$4+48)),MONTH((Tahmin!$C$4+48)),MIN(DAY(Kalemler!$D13),DAY(EOMONTH((Tahmin!$C$4+48),0))))&lt;=(Tahmin!$C$4+48),DATE(YEAR((Tahmin!$C$4+48)),MONTH((Tahmin!$C$4+48)),MIN(DAY(Kalemler!$D13),DAY(EOMONTH((Tahmin!$C$4+48),0))))&lt;&gt;DATE(YEAR((Tahmin!$C$4+42)),MONTH((Tahmin!$C$4+42)),MIN(DAY(Kalemler!$D13),DAY(EOMONTH((Tahmin!$C$4+42),0)))),DATE(YEAR((Tahmin!$C$4+48)),MONTH((Tahmin!$C$4+48)),MIN(DAY(Kalemler!$D13),DAY(EOMONTH((Tahmin!$C$4+48),0))))&gt;=Kalemler!$D13)),1,0),IF(AND(Kalemler!$D13&gt;=(Tahmin!$C$4+42),Kalemler!$D13&lt;=(Tahmin!$C$4+48)),1,0))))</f>
        <v>0</v>
      </c>
      <c r="I13" s="0" t="n">
        <f aca="false">IF(OR(Kalemler!$A13="",Kalemler!$C13="",Kalemler!$D13=""),0,Kalemler!$C13*IF(Kalemler!$E13="Haftalık",IF(Kalemler!$D13&lt;=(Tahmin!$C$4+55),1,0),IF(Kalemler!$E13="Aylık",IF(OR(AND(DATE(YEAR((Tahmin!$C$4+49)),MONTH((Tahmin!$C$4+49)),MIN(DAY(Kalemler!$D13),DAY(EOMONTH((Tahmin!$C$4+49),0))))&gt;=(Tahmin!$C$4+49),DATE(YEAR((Tahmin!$C$4+49)),MONTH((Tahmin!$C$4+49)),MIN(DAY(Kalemler!$D13),DAY(EOMONTH((Tahmin!$C$4+49),0))))&lt;=(Tahmin!$C$4+55),DATE(YEAR((Tahmin!$C$4+49)),MONTH((Tahmin!$C$4+49)),MIN(DAY(Kalemler!$D13),DAY(EOMONTH((Tahmin!$C$4+49),0))))&gt;=Kalemler!$D13),AND(DATE(YEAR((Tahmin!$C$4+55)),MONTH((Tahmin!$C$4+55)),MIN(DAY(Kalemler!$D13),DAY(EOMONTH((Tahmin!$C$4+55),0))))&gt;=(Tahmin!$C$4+49),DATE(YEAR((Tahmin!$C$4+55)),MONTH((Tahmin!$C$4+55)),MIN(DAY(Kalemler!$D13),DAY(EOMONTH((Tahmin!$C$4+55),0))))&lt;=(Tahmin!$C$4+55),DATE(YEAR((Tahmin!$C$4+55)),MONTH((Tahmin!$C$4+55)),MIN(DAY(Kalemler!$D13),DAY(EOMONTH((Tahmin!$C$4+55),0))))&lt;&gt;DATE(YEAR((Tahmin!$C$4+49)),MONTH((Tahmin!$C$4+49)),MIN(DAY(Kalemler!$D13),DAY(EOMONTH((Tahmin!$C$4+49),0)))),DATE(YEAR((Tahmin!$C$4+55)),MONTH((Tahmin!$C$4+55)),MIN(DAY(Kalemler!$D13),DAY(EOMONTH((Tahmin!$C$4+55),0))))&gt;=Kalemler!$D13)),1,0),IF(AND(Kalemler!$D13&gt;=(Tahmin!$C$4+49),Kalemler!$D13&lt;=(Tahmin!$C$4+55)),1,0))))</f>
        <v>0</v>
      </c>
      <c r="J13" s="0" t="n">
        <f aca="false">IF(OR(Kalemler!$A13="",Kalemler!$C13="",Kalemler!$D13=""),0,Kalemler!$C13*IF(Kalemler!$E13="Haftalık",IF(Kalemler!$D13&lt;=(Tahmin!$C$4+62),1,0),IF(Kalemler!$E13="Aylık",IF(OR(AND(DATE(YEAR((Tahmin!$C$4+56)),MONTH((Tahmin!$C$4+56)),MIN(DAY(Kalemler!$D13),DAY(EOMONTH((Tahmin!$C$4+56),0))))&gt;=(Tahmin!$C$4+56),DATE(YEAR((Tahmin!$C$4+56)),MONTH((Tahmin!$C$4+56)),MIN(DAY(Kalemler!$D13),DAY(EOMONTH((Tahmin!$C$4+56),0))))&lt;=(Tahmin!$C$4+62),DATE(YEAR((Tahmin!$C$4+56)),MONTH((Tahmin!$C$4+56)),MIN(DAY(Kalemler!$D13),DAY(EOMONTH((Tahmin!$C$4+56),0))))&gt;=Kalemler!$D13),AND(DATE(YEAR((Tahmin!$C$4+62)),MONTH((Tahmin!$C$4+62)),MIN(DAY(Kalemler!$D13),DAY(EOMONTH((Tahmin!$C$4+62),0))))&gt;=(Tahmin!$C$4+56),DATE(YEAR((Tahmin!$C$4+62)),MONTH((Tahmin!$C$4+62)),MIN(DAY(Kalemler!$D13),DAY(EOMONTH((Tahmin!$C$4+62),0))))&lt;=(Tahmin!$C$4+62),DATE(YEAR((Tahmin!$C$4+62)),MONTH((Tahmin!$C$4+62)),MIN(DAY(Kalemler!$D13),DAY(EOMONTH((Tahmin!$C$4+62),0))))&lt;&gt;DATE(YEAR((Tahmin!$C$4+56)),MONTH((Tahmin!$C$4+56)),MIN(DAY(Kalemler!$D13),DAY(EOMONTH((Tahmin!$C$4+56),0)))),DATE(YEAR((Tahmin!$C$4+62)),MONTH((Tahmin!$C$4+62)),MIN(DAY(Kalemler!$D13),DAY(EOMONTH((Tahmin!$C$4+62),0))))&gt;=Kalemler!$D13)),1,0),IF(AND(Kalemler!$D13&gt;=(Tahmin!$C$4+56),Kalemler!$D13&lt;=(Tahmin!$C$4+62)),1,0))))</f>
        <v>0</v>
      </c>
      <c r="K13" s="0" t="n">
        <f aca="false">IF(OR(Kalemler!$A13="",Kalemler!$C13="",Kalemler!$D13=""),0,Kalemler!$C13*IF(Kalemler!$E13="Haftalık",IF(Kalemler!$D13&lt;=(Tahmin!$C$4+69),1,0),IF(Kalemler!$E13="Aylık",IF(OR(AND(DATE(YEAR((Tahmin!$C$4+63)),MONTH((Tahmin!$C$4+63)),MIN(DAY(Kalemler!$D13),DAY(EOMONTH((Tahmin!$C$4+63),0))))&gt;=(Tahmin!$C$4+63),DATE(YEAR((Tahmin!$C$4+63)),MONTH((Tahmin!$C$4+63)),MIN(DAY(Kalemler!$D13),DAY(EOMONTH((Tahmin!$C$4+63),0))))&lt;=(Tahmin!$C$4+69),DATE(YEAR((Tahmin!$C$4+63)),MONTH((Tahmin!$C$4+63)),MIN(DAY(Kalemler!$D13),DAY(EOMONTH((Tahmin!$C$4+63),0))))&gt;=Kalemler!$D13),AND(DATE(YEAR((Tahmin!$C$4+69)),MONTH((Tahmin!$C$4+69)),MIN(DAY(Kalemler!$D13),DAY(EOMONTH((Tahmin!$C$4+69),0))))&gt;=(Tahmin!$C$4+63),DATE(YEAR((Tahmin!$C$4+69)),MONTH((Tahmin!$C$4+69)),MIN(DAY(Kalemler!$D13),DAY(EOMONTH((Tahmin!$C$4+69),0))))&lt;=(Tahmin!$C$4+69),DATE(YEAR((Tahmin!$C$4+69)),MONTH((Tahmin!$C$4+69)),MIN(DAY(Kalemler!$D13),DAY(EOMONTH((Tahmin!$C$4+69),0))))&lt;&gt;DATE(YEAR((Tahmin!$C$4+63)),MONTH((Tahmin!$C$4+63)),MIN(DAY(Kalemler!$D13),DAY(EOMONTH((Tahmin!$C$4+63),0)))),DATE(YEAR((Tahmin!$C$4+69)),MONTH((Tahmin!$C$4+69)),MIN(DAY(Kalemler!$D13),DAY(EOMONTH((Tahmin!$C$4+69),0))))&gt;=Kalemler!$D13)),1,0),IF(AND(Kalemler!$D13&gt;=(Tahmin!$C$4+63),Kalemler!$D13&lt;=(Tahmin!$C$4+69)),1,0))))</f>
        <v>0</v>
      </c>
      <c r="L13" s="0" t="n">
        <f aca="false">IF(OR(Kalemler!$A13="",Kalemler!$C13="",Kalemler!$D13=""),0,Kalemler!$C13*IF(Kalemler!$E13="Haftalık",IF(Kalemler!$D13&lt;=(Tahmin!$C$4+76),1,0),IF(Kalemler!$E13="Aylık",IF(OR(AND(DATE(YEAR((Tahmin!$C$4+70)),MONTH((Tahmin!$C$4+70)),MIN(DAY(Kalemler!$D13),DAY(EOMONTH((Tahmin!$C$4+70),0))))&gt;=(Tahmin!$C$4+70),DATE(YEAR((Tahmin!$C$4+70)),MONTH((Tahmin!$C$4+70)),MIN(DAY(Kalemler!$D13),DAY(EOMONTH((Tahmin!$C$4+70),0))))&lt;=(Tahmin!$C$4+76),DATE(YEAR((Tahmin!$C$4+70)),MONTH((Tahmin!$C$4+70)),MIN(DAY(Kalemler!$D13),DAY(EOMONTH((Tahmin!$C$4+70),0))))&gt;=Kalemler!$D13),AND(DATE(YEAR((Tahmin!$C$4+76)),MONTH((Tahmin!$C$4+76)),MIN(DAY(Kalemler!$D13),DAY(EOMONTH((Tahmin!$C$4+76),0))))&gt;=(Tahmin!$C$4+70),DATE(YEAR((Tahmin!$C$4+76)),MONTH((Tahmin!$C$4+76)),MIN(DAY(Kalemler!$D13),DAY(EOMONTH((Tahmin!$C$4+76),0))))&lt;=(Tahmin!$C$4+76),DATE(YEAR((Tahmin!$C$4+76)),MONTH((Tahmin!$C$4+76)),MIN(DAY(Kalemler!$D13),DAY(EOMONTH((Tahmin!$C$4+76),0))))&lt;&gt;DATE(YEAR((Tahmin!$C$4+70)),MONTH((Tahmin!$C$4+70)),MIN(DAY(Kalemler!$D13),DAY(EOMONTH((Tahmin!$C$4+70),0)))),DATE(YEAR((Tahmin!$C$4+76)),MONTH((Tahmin!$C$4+76)),MIN(DAY(Kalemler!$D13),DAY(EOMONTH((Tahmin!$C$4+76),0))))&gt;=Kalemler!$D13)),1,0),IF(AND(Kalemler!$D13&gt;=(Tahmin!$C$4+70),Kalemler!$D13&lt;=(Tahmin!$C$4+76)),1,0))))</f>
        <v>0</v>
      </c>
      <c r="M13" s="0" t="n">
        <f aca="false">IF(OR(Kalemler!$A13="",Kalemler!$C13="",Kalemler!$D13=""),0,Kalemler!$C13*IF(Kalemler!$E13="Haftalık",IF(Kalemler!$D13&lt;=(Tahmin!$C$4+83),1,0),IF(Kalemler!$E13="Aylık",IF(OR(AND(DATE(YEAR((Tahmin!$C$4+77)),MONTH((Tahmin!$C$4+77)),MIN(DAY(Kalemler!$D13),DAY(EOMONTH((Tahmin!$C$4+77),0))))&gt;=(Tahmin!$C$4+77),DATE(YEAR((Tahmin!$C$4+77)),MONTH((Tahmin!$C$4+77)),MIN(DAY(Kalemler!$D13),DAY(EOMONTH((Tahmin!$C$4+77),0))))&lt;=(Tahmin!$C$4+83),DATE(YEAR((Tahmin!$C$4+77)),MONTH((Tahmin!$C$4+77)),MIN(DAY(Kalemler!$D13),DAY(EOMONTH((Tahmin!$C$4+77),0))))&gt;=Kalemler!$D13),AND(DATE(YEAR((Tahmin!$C$4+83)),MONTH((Tahmin!$C$4+83)),MIN(DAY(Kalemler!$D13),DAY(EOMONTH((Tahmin!$C$4+83),0))))&gt;=(Tahmin!$C$4+77),DATE(YEAR((Tahmin!$C$4+83)),MONTH((Tahmin!$C$4+83)),MIN(DAY(Kalemler!$D13),DAY(EOMONTH((Tahmin!$C$4+83),0))))&lt;=(Tahmin!$C$4+83),DATE(YEAR((Tahmin!$C$4+83)),MONTH((Tahmin!$C$4+83)),MIN(DAY(Kalemler!$D13),DAY(EOMONTH((Tahmin!$C$4+83),0))))&lt;&gt;DATE(YEAR((Tahmin!$C$4+77)),MONTH((Tahmin!$C$4+77)),MIN(DAY(Kalemler!$D13),DAY(EOMONTH((Tahmin!$C$4+77),0)))),DATE(YEAR((Tahmin!$C$4+83)),MONTH((Tahmin!$C$4+83)),MIN(DAY(Kalemler!$D13),DAY(EOMONTH((Tahmin!$C$4+83),0))))&gt;=Kalemler!$D13)),1,0),IF(AND(Kalemler!$D13&gt;=(Tahmin!$C$4+77),Kalemler!$D13&lt;=(Tahmin!$C$4+83)),1,0))))</f>
        <v>0</v>
      </c>
      <c r="N13" s="0" t="n">
        <f aca="false">IF(OR(Kalemler!$A13="",Kalemler!$C13="",Kalemler!$D13=""),0,Kalemler!$C13*IF(Kalemler!$E13="Haftalık",IF(Kalemler!$D13&lt;=(Tahmin!$C$4+90),1,0),IF(Kalemler!$E13="Aylık",IF(OR(AND(DATE(YEAR((Tahmin!$C$4+84)),MONTH((Tahmin!$C$4+84)),MIN(DAY(Kalemler!$D13),DAY(EOMONTH((Tahmin!$C$4+84),0))))&gt;=(Tahmin!$C$4+84),DATE(YEAR((Tahmin!$C$4+84)),MONTH((Tahmin!$C$4+84)),MIN(DAY(Kalemler!$D13),DAY(EOMONTH((Tahmin!$C$4+84),0))))&lt;=(Tahmin!$C$4+90),DATE(YEAR((Tahmin!$C$4+84)),MONTH((Tahmin!$C$4+84)),MIN(DAY(Kalemler!$D13),DAY(EOMONTH((Tahmin!$C$4+84),0))))&gt;=Kalemler!$D13),AND(DATE(YEAR((Tahmin!$C$4+90)),MONTH((Tahmin!$C$4+90)),MIN(DAY(Kalemler!$D13),DAY(EOMONTH((Tahmin!$C$4+90),0))))&gt;=(Tahmin!$C$4+84),DATE(YEAR((Tahmin!$C$4+90)),MONTH((Tahmin!$C$4+90)),MIN(DAY(Kalemler!$D13),DAY(EOMONTH((Tahmin!$C$4+90),0))))&lt;=(Tahmin!$C$4+90),DATE(YEAR((Tahmin!$C$4+90)),MONTH((Tahmin!$C$4+90)),MIN(DAY(Kalemler!$D13),DAY(EOMONTH((Tahmin!$C$4+90),0))))&lt;&gt;DATE(YEAR((Tahmin!$C$4+84)),MONTH((Tahmin!$C$4+84)),MIN(DAY(Kalemler!$D13),DAY(EOMONTH((Tahmin!$C$4+84),0)))),DATE(YEAR((Tahmin!$C$4+90)),MONTH((Tahmin!$C$4+90)),MIN(DAY(Kalemler!$D13),DAY(EOMONTH((Tahmin!$C$4+90),0))))&gt;=Kalemler!$D13)),1,0),IF(AND(Kalemler!$D13&gt;=(Tahmin!$C$4+84),Kalemler!$D13&lt;=(Tahmin!$C$4+90)),1,0))))</f>
        <v>0</v>
      </c>
    </row>
    <row r="14" customFormat="false" ht="15" hidden="false" customHeight="false" outlineLevel="0" collapsed="false">
      <c r="A14" s="0" t="str">
        <f aca="false">IF(Kalemler!A14="","",Kalemler!A14)</f>
        <v/>
      </c>
      <c r="B14" s="0" t="n">
        <f aca="false">IF(OR(Kalemler!$A14="",Kalemler!$C14="",Kalemler!$D14=""),0,Kalemler!$C14*IF(Kalemler!$E14="Haftalık",IF(Kalemler!$D14&lt;=(Tahmin!$C$4+6),1,0),IF(Kalemler!$E14="Aylık",IF(OR(AND(DATE(YEAR((Tahmin!$C$4+0)),MONTH((Tahmin!$C$4+0)),MIN(DAY(Kalemler!$D14),DAY(EOMONTH((Tahmin!$C$4+0),0))))&gt;=(Tahmin!$C$4+0),DATE(YEAR((Tahmin!$C$4+0)),MONTH((Tahmin!$C$4+0)),MIN(DAY(Kalemler!$D14),DAY(EOMONTH((Tahmin!$C$4+0),0))))&lt;=(Tahmin!$C$4+6),DATE(YEAR((Tahmin!$C$4+0)),MONTH((Tahmin!$C$4+0)),MIN(DAY(Kalemler!$D14),DAY(EOMONTH((Tahmin!$C$4+0),0))))&gt;=Kalemler!$D14),AND(DATE(YEAR((Tahmin!$C$4+6)),MONTH((Tahmin!$C$4+6)),MIN(DAY(Kalemler!$D14),DAY(EOMONTH((Tahmin!$C$4+6),0))))&gt;=(Tahmin!$C$4+0),DATE(YEAR((Tahmin!$C$4+6)),MONTH((Tahmin!$C$4+6)),MIN(DAY(Kalemler!$D14),DAY(EOMONTH((Tahmin!$C$4+6),0))))&lt;=(Tahmin!$C$4+6),DATE(YEAR((Tahmin!$C$4+6)),MONTH((Tahmin!$C$4+6)),MIN(DAY(Kalemler!$D14),DAY(EOMONTH((Tahmin!$C$4+6),0))))&lt;&gt;DATE(YEAR((Tahmin!$C$4+0)),MONTH((Tahmin!$C$4+0)),MIN(DAY(Kalemler!$D14),DAY(EOMONTH((Tahmin!$C$4+0),0)))),DATE(YEAR((Tahmin!$C$4+6)),MONTH((Tahmin!$C$4+6)),MIN(DAY(Kalemler!$D14),DAY(EOMONTH((Tahmin!$C$4+6),0))))&gt;=Kalemler!$D14)),1,0),IF(AND(Kalemler!$D14&gt;=(Tahmin!$C$4+0),Kalemler!$D14&lt;=(Tahmin!$C$4+6)),1,0))))</f>
        <v>0</v>
      </c>
      <c r="C14" s="0" t="n">
        <f aca="false">IF(OR(Kalemler!$A14="",Kalemler!$C14="",Kalemler!$D14=""),0,Kalemler!$C14*IF(Kalemler!$E14="Haftalık",IF(Kalemler!$D14&lt;=(Tahmin!$C$4+13),1,0),IF(Kalemler!$E14="Aylık",IF(OR(AND(DATE(YEAR((Tahmin!$C$4+7)),MONTH((Tahmin!$C$4+7)),MIN(DAY(Kalemler!$D14),DAY(EOMONTH((Tahmin!$C$4+7),0))))&gt;=(Tahmin!$C$4+7),DATE(YEAR((Tahmin!$C$4+7)),MONTH((Tahmin!$C$4+7)),MIN(DAY(Kalemler!$D14),DAY(EOMONTH((Tahmin!$C$4+7),0))))&lt;=(Tahmin!$C$4+13),DATE(YEAR((Tahmin!$C$4+7)),MONTH((Tahmin!$C$4+7)),MIN(DAY(Kalemler!$D14),DAY(EOMONTH((Tahmin!$C$4+7),0))))&gt;=Kalemler!$D14),AND(DATE(YEAR((Tahmin!$C$4+13)),MONTH((Tahmin!$C$4+13)),MIN(DAY(Kalemler!$D14),DAY(EOMONTH((Tahmin!$C$4+13),0))))&gt;=(Tahmin!$C$4+7),DATE(YEAR((Tahmin!$C$4+13)),MONTH((Tahmin!$C$4+13)),MIN(DAY(Kalemler!$D14),DAY(EOMONTH((Tahmin!$C$4+13),0))))&lt;=(Tahmin!$C$4+13),DATE(YEAR((Tahmin!$C$4+13)),MONTH((Tahmin!$C$4+13)),MIN(DAY(Kalemler!$D14),DAY(EOMONTH((Tahmin!$C$4+13),0))))&lt;&gt;DATE(YEAR((Tahmin!$C$4+7)),MONTH((Tahmin!$C$4+7)),MIN(DAY(Kalemler!$D14),DAY(EOMONTH((Tahmin!$C$4+7),0)))),DATE(YEAR((Tahmin!$C$4+13)),MONTH((Tahmin!$C$4+13)),MIN(DAY(Kalemler!$D14),DAY(EOMONTH((Tahmin!$C$4+13),0))))&gt;=Kalemler!$D14)),1,0),IF(AND(Kalemler!$D14&gt;=(Tahmin!$C$4+7),Kalemler!$D14&lt;=(Tahmin!$C$4+13)),1,0))))</f>
        <v>0</v>
      </c>
      <c r="D14" s="0" t="n">
        <f aca="false">IF(OR(Kalemler!$A14="",Kalemler!$C14="",Kalemler!$D14=""),0,Kalemler!$C14*IF(Kalemler!$E14="Haftalık",IF(Kalemler!$D14&lt;=(Tahmin!$C$4+20),1,0),IF(Kalemler!$E14="Aylık",IF(OR(AND(DATE(YEAR((Tahmin!$C$4+14)),MONTH((Tahmin!$C$4+14)),MIN(DAY(Kalemler!$D14),DAY(EOMONTH((Tahmin!$C$4+14),0))))&gt;=(Tahmin!$C$4+14),DATE(YEAR((Tahmin!$C$4+14)),MONTH((Tahmin!$C$4+14)),MIN(DAY(Kalemler!$D14),DAY(EOMONTH((Tahmin!$C$4+14),0))))&lt;=(Tahmin!$C$4+20),DATE(YEAR((Tahmin!$C$4+14)),MONTH((Tahmin!$C$4+14)),MIN(DAY(Kalemler!$D14),DAY(EOMONTH((Tahmin!$C$4+14),0))))&gt;=Kalemler!$D14),AND(DATE(YEAR((Tahmin!$C$4+20)),MONTH((Tahmin!$C$4+20)),MIN(DAY(Kalemler!$D14),DAY(EOMONTH((Tahmin!$C$4+20),0))))&gt;=(Tahmin!$C$4+14),DATE(YEAR((Tahmin!$C$4+20)),MONTH((Tahmin!$C$4+20)),MIN(DAY(Kalemler!$D14),DAY(EOMONTH((Tahmin!$C$4+20),0))))&lt;=(Tahmin!$C$4+20),DATE(YEAR((Tahmin!$C$4+20)),MONTH((Tahmin!$C$4+20)),MIN(DAY(Kalemler!$D14),DAY(EOMONTH((Tahmin!$C$4+20),0))))&lt;&gt;DATE(YEAR((Tahmin!$C$4+14)),MONTH((Tahmin!$C$4+14)),MIN(DAY(Kalemler!$D14),DAY(EOMONTH((Tahmin!$C$4+14),0)))),DATE(YEAR((Tahmin!$C$4+20)),MONTH((Tahmin!$C$4+20)),MIN(DAY(Kalemler!$D14),DAY(EOMONTH((Tahmin!$C$4+20),0))))&gt;=Kalemler!$D14)),1,0),IF(AND(Kalemler!$D14&gt;=(Tahmin!$C$4+14),Kalemler!$D14&lt;=(Tahmin!$C$4+20)),1,0))))</f>
        <v>0</v>
      </c>
      <c r="E14" s="0" t="n">
        <f aca="false">IF(OR(Kalemler!$A14="",Kalemler!$C14="",Kalemler!$D14=""),0,Kalemler!$C14*IF(Kalemler!$E14="Haftalık",IF(Kalemler!$D14&lt;=(Tahmin!$C$4+27),1,0),IF(Kalemler!$E14="Aylık",IF(OR(AND(DATE(YEAR((Tahmin!$C$4+21)),MONTH((Tahmin!$C$4+21)),MIN(DAY(Kalemler!$D14),DAY(EOMONTH((Tahmin!$C$4+21),0))))&gt;=(Tahmin!$C$4+21),DATE(YEAR((Tahmin!$C$4+21)),MONTH((Tahmin!$C$4+21)),MIN(DAY(Kalemler!$D14),DAY(EOMONTH((Tahmin!$C$4+21),0))))&lt;=(Tahmin!$C$4+27),DATE(YEAR((Tahmin!$C$4+21)),MONTH((Tahmin!$C$4+21)),MIN(DAY(Kalemler!$D14),DAY(EOMONTH((Tahmin!$C$4+21),0))))&gt;=Kalemler!$D14),AND(DATE(YEAR((Tahmin!$C$4+27)),MONTH((Tahmin!$C$4+27)),MIN(DAY(Kalemler!$D14),DAY(EOMONTH((Tahmin!$C$4+27),0))))&gt;=(Tahmin!$C$4+21),DATE(YEAR((Tahmin!$C$4+27)),MONTH((Tahmin!$C$4+27)),MIN(DAY(Kalemler!$D14),DAY(EOMONTH((Tahmin!$C$4+27),0))))&lt;=(Tahmin!$C$4+27),DATE(YEAR((Tahmin!$C$4+27)),MONTH((Tahmin!$C$4+27)),MIN(DAY(Kalemler!$D14),DAY(EOMONTH((Tahmin!$C$4+27),0))))&lt;&gt;DATE(YEAR((Tahmin!$C$4+21)),MONTH((Tahmin!$C$4+21)),MIN(DAY(Kalemler!$D14),DAY(EOMONTH((Tahmin!$C$4+21),0)))),DATE(YEAR((Tahmin!$C$4+27)),MONTH((Tahmin!$C$4+27)),MIN(DAY(Kalemler!$D14),DAY(EOMONTH((Tahmin!$C$4+27),0))))&gt;=Kalemler!$D14)),1,0),IF(AND(Kalemler!$D14&gt;=(Tahmin!$C$4+21),Kalemler!$D14&lt;=(Tahmin!$C$4+27)),1,0))))</f>
        <v>0</v>
      </c>
      <c r="F14" s="0" t="n">
        <f aca="false">IF(OR(Kalemler!$A14="",Kalemler!$C14="",Kalemler!$D14=""),0,Kalemler!$C14*IF(Kalemler!$E14="Haftalık",IF(Kalemler!$D14&lt;=(Tahmin!$C$4+34),1,0),IF(Kalemler!$E14="Aylık",IF(OR(AND(DATE(YEAR((Tahmin!$C$4+28)),MONTH((Tahmin!$C$4+28)),MIN(DAY(Kalemler!$D14),DAY(EOMONTH((Tahmin!$C$4+28),0))))&gt;=(Tahmin!$C$4+28),DATE(YEAR((Tahmin!$C$4+28)),MONTH((Tahmin!$C$4+28)),MIN(DAY(Kalemler!$D14),DAY(EOMONTH((Tahmin!$C$4+28),0))))&lt;=(Tahmin!$C$4+34),DATE(YEAR((Tahmin!$C$4+28)),MONTH((Tahmin!$C$4+28)),MIN(DAY(Kalemler!$D14),DAY(EOMONTH((Tahmin!$C$4+28),0))))&gt;=Kalemler!$D14),AND(DATE(YEAR((Tahmin!$C$4+34)),MONTH((Tahmin!$C$4+34)),MIN(DAY(Kalemler!$D14),DAY(EOMONTH((Tahmin!$C$4+34),0))))&gt;=(Tahmin!$C$4+28),DATE(YEAR((Tahmin!$C$4+34)),MONTH((Tahmin!$C$4+34)),MIN(DAY(Kalemler!$D14),DAY(EOMONTH((Tahmin!$C$4+34),0))))&lt;=(Tahmin!$C$4+34),DATE(YEAR((Tahmin!$C$4+34)),MONTH((Tahmin!$C$4+34)),MIN(DAY(Kalemler!$D14),DAY(EOMONTH((Tahmin!$C$4+34),0))))&lt;&gt;DATE(YEAR((Tahmin!$C$4+28)),MONTH((Tahmin!$C$4+28)),MIN(DAY(Kalemler!$D14),DAY(EOMONTH((Tahmin!$C$4+28),0)))),DATE(YEAR((Tahmin!$C$4+34)),MONTH((Tahmin!$C$4+34)),MIN(DAY(Kalemler!$D14),DAY(EOMONTH((Tahmin!$C$4+34),0))))&gt;=Kalemler!$D14)),1,0),IF(AND(Kalemler!$D14&gt;=(Tahmin!$C$4+28),Kalemler!$D14&lt;=(Tahmin!$C$4+34)),1,0))))</f>
        <v>0</v>
      </c>
      <c r="G14" s="0" t="n">
        <f aca="false">IF(OR(Kalemler!$A14="",Kalemler!$C14="",Kalemler!$D14=""),0,Kalemler!$C14*IF(Kalemler!$E14="Haftalık",IF(Kalemler!$D14&lt;=(Tahmin!$C$4+41),1,0),IF(Kalemler!$E14="Aylık",IF(OR(AND(DATE(YEAR((Tahmin!$C$4+35)),MONTH((Tahmin!$C$4+35)),MIN(DAY(Kalemler!$D14),DAY(EOMONTH((Tahmin!$C$4+35),0))))&gt;=(Tahmin!$C$4+35),DATE(YEAR((Tahmin!$C$4+35)),MONTH((Tahmin!$C$4+35)),MIN(DAY(Kalemler!$D14),DAY(EOMONTH((Tahmin!$C$4+35),0))))&lt;=(Tahmin!$C$4+41),DATE(YEAR((Tahmin!$C$4+35)),MONTH((Tahmin!$C$4+35)),MIN(DAY(Kalemler!$D14),DAY(EOMONTH((Tahmin!$C$4+35),0))))&gt;=Kalemler!$D14),AND(DATE(YEAR((Tahmin!$C$4+41)),MONTH((Tahmin!$C$4+41)),MIN(DAY(Kalemler!$D14),DAY(EOMONTH((Tahmin!$C$4+41),0))))&gt;=(Tahmin!$C$4+35),DATE(YEAR((Tahmin!$C$4+41)),MONTH((Tahmin!$C$4+41)),MIN(DAY(Kalemler!$D14),DAY(EOMONTH((Tahmin!$C$4+41),0))))&lt;=(Tahmin!$C$4+41),DATE(YEAR((Tahmin!$C$4+41)),MONTH((Tahmin!$C$4+41)),MIN(DAY(Kalemler!$D14),DAY(EOMONTH((Tahmin!$C$4+41),0))))&lt;&gt;DATE(YEAR((Tahmin!$C$4+35)),MONTH((Tahmin!$C$4+35)),MIN(DAY(Kalemler!$D14),DAY(EOMONTH((Tahmin!$C$4+35),0)))),DATE(YEAR((Tahmin!$C$4+41)),MONTH((Tahmin!$C$4+41)),MIN(DAY(Kalemler!$D14),DAY(EOMONTH((Tahmin!$C$4+41),0))))&gt;=Kalemler!$D14)),1,0),IF(AND(Kalemler!$D14&gt;=(Tahmin!$C$4+35),Kalemler!$D14&lt;=(Tahmin!$C$4+41)),1,0))))</f>
        <v>0</v>
      </c>
      <c r="H14" s="0" t="n">
        <f aca="false">IF(OR(Kalemler!$A14="",Kalemler!$C14="",Kalemler!$D14=""),0,Kalemler!$C14*IF(Kalemler!$E14="Haftalık",IF(Kalemler!$D14&lt;=(Tahmin!$C$4+48),1,0),IF(Kalemler!$E14="Aylık",IF(OR(AND(DATE(YEAR((Tahmin!$C$4+42)),MONTH((Tahmin!$C$4+42)),MIN(DAY(Kalemler!$D14),DAY(EOMONTH((Tahmin!$C$4+42),0))))&gt;=(Tahmin!$C$4+42),DATE(YEAR((Tahmin!$C$4+42)),MONTH((Tahmin!$C$4+42)),MIN(DAY(Kalemler!$D14),DAY(EOMONTH((Tahmin!$C$4+42),0))))&lt;=(Tahmin!$C$4+48),DATE(YEAR((Tahmin!$C$4+42)),MONTH((Tahmin!$C$4+42)),MIN(DAY(Kalemler!$D14),DAY(EOMONTH((Tahmin!$C$4+42),0))))&gt;=Kalemler!$D14),AND(DATE(YEAR((Tahmin!$C$4+48)),MONTH((Tahmin!$C$4+48)),MIN(DAY(Kalemler!$D14),DAY(EOMONTH((Tahmin!$C$4+48),0))))&gt;=(Tahmin!$C$4+42),DATE(YEAR((Tahmin!$C$4+48)),MONTH((Tahmin!$C$4+48)),MIN(DAY(Kalemler!$D14),DAY(EOMONTH((Tahmin!$C$4+48),0))))&lt;=(Tahmin!$C$4+48),DATE(YEAR((Tahmin!$C$4+48)),MONTH((Tahmin!$C$4+48)),MIN(DAY(Kalemler!$D14),DAY(EOMONTH((Tahmin!$C$4+48),0))))&lt;&gt;DATE(YEAR((Tahmin!$C$4+42)),MONTH((Tahmin!$C$4+42)),MIN(DAY(Kalemler!$D14),DAY(EOMONTH((Tahmin!$C$4+42),0)))),DATE(YEAR((Tahmin!$C$4+48)),MONTH((Tahmin!$C$4+48)),MIN(DAY(Kalemler!$D14),DAY(EOMONTH((Tahmin!$C$4+48),0))))&gt;=Kalemler!$D14)),1,0),IF(AND(Kalemler!$D14&gt;=(Tahmin!$C$4+42),Kalemler!$D14&lt;=(Tahmin!$C$4+48)),1,0))))</f>
        <v>0</v>
      </c>
      <c r="I14" s="0" t="n">
        <f aca="false">IF(OR(Kalemler!$A14="",Kalemler!$C14="",Kalemler!$D14=""),0,Kalemler!$C14*IF(Kalemler!$E14="Haftalık",IF(Kalemler!$D14&lt;=(Tahmin!$C$4+55),1,0),IF(Kalemler!$E14="Aylık",IF(OR(AND(DATE(YEAR((Tahmin!$C$4+49)),MONTH((Tahmin!$C$4+49)),MIN(DAY(Kalemler!$D14),DAY(EOMONTH((Tahmin!$C$4+49),0))))&gt;=(Tahmin!$C$4+49),DATE(YEAR((Tahmin!$C$4+49)),MONTH((Tahmin!$C$4+49)),MIN(DAY(Kalemler!$D14),DAY(EOMONTH((Tahmin!$C$4+49),0))))&lt;=(Tahmin!$C$4+55),DATE(YEAR((Tahmin!$C$4+49)),MONTH((Tahmin!$C$4+49)),MIN(DAY(Kalemler!$D14),DAY(EOMONTH((Tahmin!$C$4+49),0))))&gt;=Kalemler!$D14),AND(DATE(YEAR((Tahmin!$C$4+55)),MONTH((Tahmin!$C$4+55)),MIN(DAY(Kalemler!$D14),DAY(EOMONTH((Tahmin!$C$4+55),0))))&gt;=(Tahmin!$C$4+49),DATE(YEAR((Tahmin!$C$4+55)),MONTH((Tahmin!$C$4+55)),MIN(DAY(Kalemler!$D14),DAY(EOMONTH((Tahmin!$C$4+55),0))))&lt;=(Tahmin!$C$4+55),DATE(YEAR((Tahmin!$C$4+55)),MONTH((Tahmin!$C$4+55)),MIN(DAY(Kalemler!$D14),DAY(EOMONTH((Tahmin!$C$4+55),0))))&lt;&gt;DATE(YEAR((Tahmin!$C$4+49)),MONTH((Tahmin!$C$4+49)),MIN(DAY(Kalemler!$D14),DAY(EOMONTH((Tahmin!$C$4+49),0)))),DATE(YEAR((Tahmin!$C$4+55)),MONTH((Tahmin!$C$4+55)),MIN(DAY(Kalemler!$D14),DAY(EOMONTH((Tahmin!$C$4+55),0))))&gt;=Kalemler!$D14)),1,0),IF(AND(Kalemler!$D14&gt;=(Tahmin!$C$4+49),Kalemler!$D14&lt;=(Tahmin!$C$4+55)),1,0))))</f>
        <v>0</v>
      </c>
      <c r="J14" s="0" t="n">
        <f aca="false">IF(OR(Kalemler!$A14="",Kalemler!$C14="",Kalemler!$D14=""),0,Kalemler!$C14*IF(Kalemler!$E14="Haftalık",IF(Kalemler!$D14&lt;=(Tahmin!$C$4+62),1,0),IF(Kalemler!$E14="Aylık",IF(OR(AND(DATE(YEAR((Tahmin!$C$4+56)),MONTH((Tahmin!$C$4+56)),MIN(DAY(Kalemler!$D14),DAY(EOMONTH((Tahmin!$C$4+56),0))))&gt;=(Tahmin!$C$4+56),DATE(YEAR((Tahmin!$C$4+56)),MONTH((Tahmin!$C$4+56)),MIN(DAY(Kalemler!$D14),DAY(EOMONTH((Tahmin!$C$4+56),0))))&lt;=(Tahmin!$C$4+62),DATE(YEAR((Tahmin!$C$4+56)),MONTH((Tahmin!$C$4+56)),MIN(DAY(Kalemler!$D14),DAY(EOMONTH((Tahmin!$C$4+56),0))))&gt;=Kalemler!$D14),AND(DATE(YEAR((Tahmin!$C$4+62)),MONTH((Tahmin!$C$4+62)),MIN(DAY(Kalemler!$D14),DAY(EOMONTH((Tahmin!$C$4+62),0))))&gt;=(Tahmin!$C$4+56),DATE(YEAR((Tahmin!$C$4+62)),MONTH((Tahmin!$C$4+62)),MIN(DAY(Kalemler!$D14),DAY(EOMONTH((Tahmin!$C$4+62),0))))&lt;=(Tahmin!$C$4+62),DATE(YEAR((Tahmin!$C$4+62)),MONTH((Tahmin!$C$4+62)),MIN(DAY(Kalemler!$D14),DAY(EOMONTH((Tahmin!$C$4+62),0))))&lt;&gt;DATE(YEAR((Tahmin!$C$4+56)),MONTH((Tahmin!$C$4+56)),MIN(DAY(Kalemler!$D14),DAY(EOMONTH((Tahmin!$C$4+56),0)))),DATE(YEAR((Tahmin!$C$4+62)),MONTH((Tahmin!$C$4+62)),MIN(DAY(Kalemler!$D14),DAY(EOMONTH((Tahmin!$C$4+62),0))))&gt;=Kalemler!$D14)),1,0),IF(AND(Kalemler!$D14&gt;=(Tahmin!$C$4+56),Kalemler!$D14&lt;=(Tahmin!$C$4+62)),1,0))))</f>
        <v>0</v>
      </c>
      <c r="K14" s="0" t="n">
        <f aca="false">IF(OR(Kalemler!$A14="",Kalemler!$C14="",Kalemler!$D14=""),0,Kalemler!$C14*IF(Kalemler!$E14="Haftalık",IF(Kalemler!$D14&lt;=(Tahmin!$C$4+69),1,0),IF(Kalemler!$E14="Aylık",IF(OR(AND(DATE(YEAR((Tahmin!$C$4+63)),MONTH((Tahmin!$C$4+63)),MIN(DAY(Kalemler!$D14),DAY(EOMONTH((Tahmin!$C$4+63),0))))&gt;=(Tahmin!$C$4+63),DATE(YEAR((Tahmin!$C$4+63)),MONTH((Tahmin!$C$4+63)),MIN(DAY(Kalemler!$D14),DAY(EOMONTH((Tahmin!$C$4+63),0))))&lt;=(Tahmin!$C$4+69),DATE(YEAR((Tahmin!$C$4+63)),MONTH((Tahmin!$C$4+63)),MIN(DAY(Kalemler!$D14),DAY(EOMONTH((Tahmin!$C$4+63),0))))&gt;=Kalemler!$D14),AND(DATE(YEAR((Tahmin!$C$4+69)),MONTH((Tahmin!$C$4+69)),MIN(DAY(Kalemler!$D14),DAY(EOMONTH((Tahmin!$C$4+69),0))))&gt;=(Tahmin!$C$4+63),DATE(YEAR((Tahmin!$C$4+69)),MONTH((Tahmin!$C$4+69)),MIN(DAY(Kalemler!$D14),DAY(EOMONTH((Tahmin!$C$4+69),0))))&lt;=(Tahmin!$C$4+69),DATE(YEAR((Tahmin!$C$4+69)),MONTH((Tahmin!$C$4+69)),MIN(DAY(Kalemler!$D14),DAY(EOMONTH((Tahmin!$C$4+69),0))))&lt;&gt;DATE(YEAR((Tahmin!$C$4+63)),MONTH((Tahmin!$C$4+63)),MIN(DAY(Kalemler!$D14),DAY(EOMONTH((Tahmin!$C$4+63),0)))),DATE(YEAR((Tahmin!$C$4+69)),MONTH((Tahmin!$C$4+69)),MIN(DAY(Kalemler!$D14),DAY(EOMONTH((Tahmin!$C$4+69),0))))&gt;=Kalemler!$D14)),1,0),IF(AND(Kalemler!$D14&gt;=(Tahmin!$C$4+63),Kalemler!$D14&lt;=(Tahmin!$C$4+69)),1,0))))</f>
        <v>0</v>
      </c>
      <c r="L14" s="0" t="n">
        <f aca="false">IF(OR(Kalemler!$A14="",Kalemler!$C14="",Kalemler!$D14=""),0,Kalemler!$C14*IF(Kalemler!$E14="Haftalık",IF(Kalemler!$D14&lt;=(Tahmin!$C$4+76),1,0),IF(Kalemler!$E14="Aylık",IF(OR(AND(DATE(YEAR((Tahmin!$C$4+70)),MONTH((Tahmin!$C$4+70)),MIN(DAY(Kalemler!$D14),DAY(EOMONTH((Tahmin!$C$4+70),0))))&gt;=(Tahmin!$C$4+70),DATE(YEAR((Tahmin!$C$4+70)),MONTH((Tahmin!$C$4+70)),MIN(DAY(Kalemler!$D14),DAY(EOMONTH((Tahmin!$C$4+70),0))))&lt;=(Tahmin!$C$4+76),DATE(YEAR((Tahmin!$C$4+70)),MONTH((Tahmin!$C$4+70)),MIN(DAY(Kalemler!$D14),DAY(EOMONTH((Tahmin!$C$4+70),0))))&gt;=Kalemler!$D14),AND(DATE(YEAR((Tahmin!$C$4+76)),MONTH((Tahmin!$C$4+76)),MIN(DAY(Kalemler!$D14),DAY(EOMONTH((Tahmin!$C$4+76),0))))&gt;=(Tahmin!$C$4+70),DATE(YEAR((Tahmin!$C$4+76)),MONTH((Tahmin!$C$4+76)),MIN(DAY(Kalemler!$D14),DAY(EOMONTH((Tahmin!$C$4+76),0))))&lt;=(Tahmin!$C$4+76),DATE(YEAR((Tahmin!$C$4+76)),MONTH((Tahmin!$C$4+76)),MIN(DAY(Kalemler!$D14),DAY(EOMONTH((Tahmin!$C$4+76),0))))&lt;&gt;DATE(YEAR((Tahmin!$C$4+70)),MONTH((Tahmin!$C$4+70)),MIN(DAY(Kalemler!$D14),DAY(EOMONTH((Tahmin!$C$4+70),0)))),DATE(YEAR((Tahmin!$C$4+76)),MONTH((Tahmin!$C$4+76)),MIN(DAY(Kalemler!$D14),DAY(EOMONTH((Tahmin!$C$4+76),0))))&gt;=Kalemler!$D14)),1,0),IF(AND(Kalemler!$D14&gt;=(Tahmin!$C$4+70),Kalemler!$D14&lt;=(Tahmin!$C$4+76)),1,0))))</f>
        <v>0</v>
      </c>
      <c r="M14" s="0" t="n">
        <f aca="false">IF(OR(Kalemler!$A14="",Kalemler!$C14="",Kalemler!$D14=""),0,Kalemler!$C14*IF(Kalemler!$E14="Haftalık",IF(Kalemler!$D14&lt;=(Tahmin!$C$4+83),1,0),IF(Kalemler!$E14="Aylık",IF(OR(AND(DATE(YEAR((Tahmin!$C$4+77)),MONTH((Tahmin!$C$4+77)),MIN(DAY(Kalemler!$D14),DAY(EOMONTH((Tahmin!$C$4+77),0))))&gt;=(Tahmin!$C$4+77),DATE(YEAR((Tahmin!$C$4+77)),MONTH((Tahmin!$C$4+77)),MIN(DAY(Kalemler!$D14),DAY(EOMONTH((Tahmin!$C$4+77),0))))&lt;=(Tahmin!$C$4+83),DATE(YEAR((Tahmin!$C$4+77)),MONTH((Tahmin!$C$4+77)),MIN(DAY(Kalemler!$D14),DAY(EOMONTH((Tahmin!$C$4+77),0))))&gt;=Kalemler!$D14),AND(DATE(YEAR((Tahmin!$C$4+83)),MONTH((Tahmin!$C$4+83)),MIN(DAY(Kalemler!$D14),DAY(EOMONTH((Tahmin!$C$4+83),0))))&gt;=(Tahmin!$C$4+77),DATE(YEAR((Tahmin!$C$4+83)),MONTH((Tahmin!$C$4+83)),MIN(DAY(Kalemler!$D14),DAY(EOMONTH((Tahmin!$C$4+83),0))))&lt;=(Tahmin!$C$4+83),DATE(YEAR((Tahmin!$C$4+83)),MONTH((Tahmin!$C$4+83)),MIN(DAY(Kalemler!$D14),DAY(EOMONTH((Tahmin!$C$4+83),0))))&lt;&gt;DATE(YEAR((Tahmin!$C$4+77)),MONTH((Tahmin!$C$4+77)),MIN(DAY(Kalemler!$D14),DAY(EOMONTH((Tahmin!$C$4+77),0)))),DATE(YEAR((Tahmin!$C$4+83)),MONTH((Tahmin!$C$4+83)),MIN(DAY(Kalemler!$D14),DAY(EOMONTH((Tahmin!$C$4+83),0))))&gt;=Kalemler!$D14)),1,0),IF(AND(Kalemler!$D14&gt;=(Tahmin!$C$4+77),Kalemler!$D14&lt;=(Tahmin!$C$4+83)),1,0))))</f>
        <v>0</v>
      </c>
      <c r="N14" s="0" t="n">
        <f aca="false">IF(OR(Kalemler!$A14="",Kalemler!$C14="",Kalemler!$D14=""),0,Kalemler!$C14*IF(Kalemler!$E14="Haftalık",IF(Kalemler!$D14&lt;=(Tahmin!$C$4+90),1,0),IF(Kalemler!$E14="Aylık",IF(OR(AND(DATE(YEAR((Tahmin!$C$4+84)),MONTH((Tahmin!$C$4+84)),MIN(DAY(Kalemler!$D14),DAY(EOMONTH((Tahmin!$C$4+84),0))))&gt;=(Tahmin!$C$4+84),DATE(YEAR((Tahmin!$C$4+84)),MONTH((Tahmin!$C$4+84)),MIN(DAY(Kalemler!$D14),DAY(EOMONTH((Tahmin!$C$4+84),0))))&lt;=(Tahmin!$C$4+90),DATE(YEAR((Tahmin!$C$4+84)),MONTH((Tahmin!$C$4+84)),MIN(DAY(Kalemler!$D14),DAY(EOMONTH((Tahmin!$C$4+84),0))))&gt;=Kalemler!$D14),AND(DATE(YEAR((Tahmin!$C$4+90)),MONTH((Tahmin!$C$4+90)),MIN(DAY(Kalemler!$D14),DAY(EOMONTH((Tahmin!$C$4+90),0))))&gt;=(Tahmin!$C$4+84),DATE(YEAR((Tahmin!$C$4+90)),MONTH((Tahmin!$C$4+90)),MIN(DAY(Kalemler!$D14),DAY(EOMONTH((Tahmin!$C$4+90),0))))&lt;=(Tahmin!$C$4+90),DATE(YEAR((Tahmin!$C$4+90)),MONTH((Tahmin!$C$4+90)),MIN(DAY(Kalemler!$D14),DAY(EOMONTH((Tahmin!$C$4+90),0))))&lt;&gt;DATE(YEAR((Tahmin!$C$4+84)),MONTH((Tahmin!$C$4+84)),MIN(DAY(Kalemler!$D14),DAY(EOMONTH((Tahmin!$C$4+84),0)))),DATE(YEAR((Tahmin!$C$4+90)),MONTH((Tahmin!$C$4+90)),MIN(DAY(Kalemler!$D14),DAY(EOMONTH((Tahmin!$C$4+90),0))))&gt;=Kalemler!$D14)),1,0),IF(AND(Kalemler!$D14&gt;=(Tahmin!$C$4+84),Kalemler!$D14&lt;=(Tahmin!$C$4+90)),1,0))))</f>
        <v>0</v>
      </c>
    </row>
    <row r="15" customFormat="false" ht="15" hidden="false" customHeight="false" outlineLevel="0" collapsed="false">
      <c r="A15" s="0" t="str">
        <f aca="false">IF(Kalemler!A15="","",Kalemler!A15)</f>
        <v/>
      </c>
      <c r="B15" s="0" t="n">
        <f aca="false">IF(OR(Kalemler!$A15="",Kalemler!$C15="",Kalemler!$D15=""),0,Kalemler!$C15*IF(Kalemler!$E15="Haftalık",IF(Kalemler!$D15&lt;=(Tahmin!$C$4+6),1,0),IF(Kalemler!$E15="Aylık",IF(OR(AND(DATE(YEAR((Tahmin!$C$4+0)),MONTH((Tahmin!$C$4+0)),MIN(DAY(Kalemler!$D15),DAY(EOMONTH((Tahmin!$C$4+0),0))))&gt;=(Tahmin!$C$4+0),DATE(YEAR((Tahmin!$C$4+0)),MONTH((Tahmin!$C$4+0)),MIN(DAY(Kalemler!$D15),DAY(EOMONTH((Tahmin!$C$4+0),0))))&lt;=(Tahmin!$C$4+6),DATE(YEAR((Tahmin!$C$4+0)),MONTH((Tahmin!$C$4+0)),MIN(DAY(Kalemler!$D15),DAY(EOMONTH((Tahmin!$C$4+0),0))))&gt;=Kalemler!$D15),AND(DATE(YEAR((Tahmin!$C$4+6)),MONTH((Tahmin!$C$4+6)),MIN(DAY(Kalemler!$D15),DAY(EOMONTH((Tahmin!$C$4+6),0))))&gt;=(Tahmin!$C$4+0),DATE(YEAR((Tahmin!$C$4+6)),MONTH((Tahmin!$C$4+6)),MIN(DAY(Kalemler!$D15),DAY(EOMONTH((Tahmin!$C$4+6),0))))&lt;=(Tahmin!$C$4+6),DATE(YEAR((Tahmin!$C$4+6)),MONTH((Tahmin!$C$4+6)),MIN(DAY(Kalemler!$D15),DAY(EOMONTH((Tahmin!$C$4+6),0))))&lt;&gt;DATE(YEAR((Tahmin!$C$4+0)),MONTH((Tahmin!$C$4+0)),MIN(DAY(Kalemler!$D15),DAY(EOMONTH((Tahmin!$C$4+0),0)))),DATE(YEAR((Tahmin!$C$4+6)),MONTH((Tahmin!$C$4+6)),MIN(DAY(Kalemler!$D15),DAY(EOMONTH((Tahmin!$C$4+6),0))))&gt;=Kalemler!$D15)),1,0),IF(AND(Kalemler!$D15&gt;=(Tahmin!$C$4+0),Kalemler!$D15&lt;=(Tahmin!$C$4+6)),1,0))))</f>
        <v>0</v>
      </c>
      <c r="C15" s="0" t="n">
        <f aca="false">IF(OR(Kalemler!$A15="",Kalemler!$C15="",Kalemler!$D15=""),0,Kalemler!$C15*IF(Kalemler!$E15="Haftalık",IF(Kalemler!$D15&lt;=(Tahmin!$C$4+13),1,0),IF(Kalemler!$E15="Aylık",IF(OR(AND(DATE(YEAR((Tahmin!$C$4+7)),MONTH((Tahmin!$C$4+7)),MIN(DAY(Kalemler!$D15),DAY(EOMONTH((Tahmin!$C$4+7),0))))&gt;=(Tahmin!$C$4+7),DATE(YEAR((Tahmin!$C$4+7)),MONTH((Tahmin!$C$4+7)),MIN(DAY(Kalemler!$D15),DAY(EOMONTH((Tahmin!$C$4+7),0))))&lt;=(Tahmin!$C$4+13),DATE(YEAR((Tahmin!$C$4+7)),MONTH((Tahmin!$C$4+7)),MIN(DAY(Kalemler!$D15),DAY(EOMONTH((Tahmin!$C$4+7),0))))&gt;=Kalemler!$D15),AND(DATE(YEAR((Tahmin!$C$4+13)),MONTH((Tahmin!$C$4+13)),MIN(DAY(Kalemler!$D15),DAY(EOMONTH((Tahmin!$C$4+13),0))))&gt;=(Tahmin!$C$4+7),DATE(YEAR((Tahmin!$C$4+13)),MONTH((Tahmin!$C$4+13)),MIN(DAY(Kalemler!$D15),DAY(EOMONTH((Tahmin!$C$4+13),0))))&lt;=(Tahmin!$C$4+13),DATE(YEAR((Tahmin!$C$4+13)),MONTH((Tahmin!$C$4+13)),MIN(DAY(Kalemler!$D15),DAY(EOMONTH((Tahmin!$C$4+13),0))))&lt;&gt;DATE(YEAR((Tahmin!$C$4+7)),MONTH((Tahmin!$C$4+7)),MIN(DAY(Kalemler!$D15),DAY(EOMONTH((Tahmin!$C$4+7),0)))),DATE(YEAR((Tahmin!$C$4+13)),MONTH((Tahmin!$C$4+13)),MIN(DAY(Kalemler!$D15),DAY(EOMONTH((Tahmin!$C$4+13),0))))&gt;=Kalemler!$D15)),1,0),IF(AND(Kalemler!$D15&gt;=(Tahmin!$C$4+7),Kalemler!$D15&lt;=(Tahmin!$C$4+13)),1,0))))</f>
        <v>0</v>
      </c>
      <c r="D15" s="0" t="n">
        <f aca="false">IF(OR(Kalemler!$A15="",Kalemler!$C15="",Kalemler!$D15=""),0,Kalemler!$C15*IF(Kalemler!$E15="Haftalık",IF(Kalemler!$D15&lt;=(Tahmin!$C$4+20),1,0),IF(Kalemler!$E15="Aylık",IF(OR(AND(DATE(YEAR((Tahmin!$C$4+14)),MONTH((Tahmin!$C$4+14)),MIN(DAY(Kalemler!$D15),DAY(EOMONTH((Tahmin!$C$4+14),0))))&gt;=(Tahmin!$C$4+14),DATE(YEAR((Tahmin!$C$4+14)),MONTH((Tahmin!$C$4+14)),MIN(DAY(Kalemler!$D15),DAY(EOMONTH((Tahmin!$C$4+14),0))))&lt;=(Tahmin!$C$4+20),DATE(YEAR((Tahmin!$C$4+14)),MONTH((Tahmin!$C$4+14)),MIN(DAY(Kalemler!$D15),DAY(EOMONTH((Tahmin!$C$4+14),0))))&gt;=Kalemler!$D15),AND(DATE(YEAR((Tahmin!$C$4+20)),MONTH((Tahmin!$C$4+20)),MIN(DAY(Kalemler!$D15),DAY(EOMONTH((Tahmin!$C$4+20),0))))&gt;=(Tahmin!$C$4+14),DATE(YEAR((Tahmin!$C$4+20)),MONTH((Tahmin!$C$4+20)),MIN(DAY(Kalemler!$D15),DAY(EOMONTH((Tahmin!$C$4+20),0))))&lt;=(Tahmin!$C$4+20),DATE(YEAR((Tahmin!$C$4+20)),MONTH((Tahmin!$C$4+20)),MIN(DAY(Kalemler!$D15),DAY(EOMONTH((Tahmin!$C$4+20),0))))&lt;&gt;DATE(YEAR((Tahmin!$C$4+14)),MONTH((Tahmin!$C$4+14)),MIN(DAY(Kalemler!$D15),DAY(EOMONTH((Tahmin!$C$4+14),0)))),DATE(YEAR((Tahmin!$C$4+20)),MONTH((Tahmin!$C$4+20)),MIN(DAY(Kalemler!$D15),DAY(EOMONTH((Tahmin!$C$4+20),0))))&gt;=Kalemler!$D15)),1,0),IF(AND(Kalemler!$D15&gt;=(Tahmin!$C$4+14),Kalemler!$D15&lt;=(Tahmin!$C$4+20)),1,0))))</f>
        <v>0</v>
      </c>
      <c r="E15" s="0" t="n">
        <f aca="false">IF(OR(Kalemler!$A15="",Kalemler!$C15="",Kalemler!$D15=""),0,Kalemler!$C15*IF(Kalemler!$E15="Haftalık",IF(Kalemler!$D15&lt;=(Tahmin!$C$4+27),1,0),IF(Kalemler!$E15="Aylık",IF(OR(AND(DATE(YEAR((Tahmin!$C$4+21)),MONTH((Tahmin!$C$4+21)),MIN(DAY(Kalemler!$D15),DAY(EOMONTH((Tahmin!$C$4+21),0))))&gt;=(Tahmin!$C$4+21),DATE(YEAR((Tahmin!$C$4+21)),MONTH((Tahmin!$C$4+21)),MIN(DAY(Kalemler!$D15),DAY(EOMONTH((Tahmin!$C$4+21),0))))&lt;=(Tahmin!$C$4+27),DATE(YEAR((Tahmin!$C$4+21)),MONTH((Tahmin!$C$4+21)),MIN(DAY(Kalemler!$D15),DAY(EOMONTH((Tahmin!$C$4+21),0))))&gt;=Kalemler!$D15),AND(DATE(YEAR((Tahmin!$C$4+27)),MONTH((Tahmin!$C$4+27)),MIN(DAY(Kalemler!$D15),DAY(EOMONTH((Tahmin!$C$4+27),0))))&gt;=(Tahmin!$C$4+21),DATE(YEAR((Tahmin!$C$4+27)),MONTH((Tahmin!$C$4+27)),MIN(DAY(Kalemler!$D15),DAY(EOMONTH((Tahmin!$C$4+27),0))))&lt;=(Tahmin!$C$4+27),DATE(YEAR((Tahmin!$C$4+27)),MONTH((Tahmin!$C$4+27)),MIN(DAY(Kalemler!$D15),DAY(EOMONTH((Tahmin!$C$4+27),0))))&lt;&gt;DATE(YEAR((Tahmin!$C$4+21)),MONTH((Tahmin!$C$4+21)),MIN(DAY(Kalemler!$D15),DAY(EOMONTH((Tahmin!$C$4+21),0)))),DATE(YEAR((Tahmin!$C$4+27)),MONTH((Tahmin!$C$4+27)),MIN(DAY(Kalemler!$D15),DAY(EOMONTH((Tahmin!$C$4+27),0))))&gt;=Kalemler!$D15)),1,0),IF(AND(Kalemler!$D15&gt;=(Tahmin!$C$4+21),Kalemler!$D15&lt;=(Tahmin!$C$4+27)),1,0))))</f>
        <v>0</v>
      </c>
      <c r="F15" s="0" t="n">
        <f aca="false">IF(OR(Kalemler!$A15="",Kalemler!$C15="",Kalemler!$D15=""),0,Kalemler!$C15*IF(Kalemler!$E15="Haftalık",IF(Kalemler!$D15&lt;=(Tahmin!$C$4+34),1,0),IF(Kalemler!$E15="Aylık",IF(OR(AND(DATE(YEAR((Tahmin!$C$4+28)),MONTH((Tahmin!$C$4+28)),MIN(DAY(Kalemler!$D15),DAY(EOMONTH((Tahmin!$C$4+28),0))))&gt;=(Tahmin!$C$4+28),DATE(YEAR((Tahmin!$C$4+28)),MONTH((Tahmin!$C$4+28)),MIN(DAY(Kalemler!$D15),DAY(EOMONTH((Tahmin!$C$4+28),0))))&lt;=(Tahmin!$C$4+34),DATE(YEAR((Tahmin!$C$4+28)),MONTH((Tahmin!$C$4+28)),MIN(DAY(Kalemler!$D15),DAY(EOMONTH((Tahmin!$C$4+28),0))))&gt;=Kalemler!$D15),AND(DATE(YEAR((Tahmin!$C$4+34)),MONTH((Tahmin!$C$4+34)),MIN(DAY(Kalemler!$D15),DAY(EOMONTH((Tahmin!$C$4+34),0))))&gt;=(Tahmin!$C$4+28),DATE(YEAR((Tahmin!$C$4+34)),MONTH((Tahmin!$C$4+34)),MIN(DAY(Kalemler!$D15),DAY(EOMONTH((Tahmin!$C$4+34),0))))&lt;=(Tahmin!$C$4+34),DATE(YEAR((Tahmin!$C$4+34)),MONTH((Tahmin!$C$4+34)),MIN(DAY(Kalemler!$D15),DAY(EOMONTH((Tahmin!$C$4+34),0))))&lt;&gt;DATE(YEAR((Tahmin!$C$4+28)),MONTH((Tahmin!$C$4+28)),MIN(DAY(Kalemler!$D15),DAY(EOMONTH((Tahmin!$C$4+28),0)))),DATE(YEAR((Tahmin!$C$4+34)),MONTH((Tahmin!$C$4+34)),MIN(DAY(Kalemler!$D15),DAY(EOMONTH((Tahmin!$C$4+34),0))))&gt;=Kalemler!$D15)),1,0),IF(AND(Kalemler!$D15&gt;=(Tahmin!$C$4+28),Kalemler!$D15&lt;=(Tahmin!$C$4+34)),1,0))))</f>
        <v>0</v>
      </c>
      <c r="G15" s="0" t="n">
        <f aca="false">IF(OR(Kalemler!$A15="",Kalemler!$C15="",Kalemler!$D15=""),0,Kalemler!$C15*IF(Kalemler!$E15="Haftalık",IF(Kalemler!$D15&lt;=(Tahmin!$C$4+41),1,0),IF(Kalemler!$E15="Aylık",IF(OR(AND(DATE(YEAR((Tahmin!$C$4+35)),MONTH((Tahmin!$C$4+35)),MIN(DAY(Kalemler!$D15),DAY(EOMONTH((Tahmin!$C$4+35),0))))&gt;=(Tahmin!$C$4+35),DATE(YEAR((Tahmin!$C$4+35)),MONTH((Tahmin!$C$4+35)),MIN(DAY(Kalemler!$D15),DAY(EOMONTH((Tahmin!$C$4+35),0))))&lt;=(Tahmin!$C$4+41),DATE(YEAR((Tahmin!$C$4+35)),MONTH((Tahmin!$C$4+35)),MIN(DAY(Kalemler!$D15),DAY(EOMONTH((Tahmin!$C$4+35),0))))&gt;=Kalemler!$D15),AND(DATE(YEAR((Tahmin!$C$4+41)),MONTH((Tahmin!$C$4+41)),MIN(DAY(Kalemler!$D15),DAY(EOMONTH((Tahmin!$C$4+41),0))))&gt;=(Tahmin!$C$4+35),DATE(YEAR((Tahmin!$C$4+41)),MONTH((Tahmin!$C$4+41)),MIN(DAY(Kalemler!$D15),DAY(EOMONTH((Tahmin!$C$4+41),0))))&lt;=(Tahmin!$C$4+41),DATE(YEAR((Tahmin!$C$4+41)),MONTH((Tahmin!$C$4+41)),MIN(DAY(Kalemler!$D15),DAY(EOMONTH((Tahmin!$C$4+41),0))))&lt;&gt;DATE(YEAR((Tahmin!$C$4+35)),MONTH((Tahmin!$C$4+35)),MIN(DAY(Kalemler!$D15),DAY(EOMONTH((Tahmin!$C$4+35),0)))),DATE(YEAR((Tahmin!$C$4+41)),MONTH((Tahmin!$C$4+41)),MIN(DAY(Kalemler!$D15),DAY(EOMONTH((Tahmin!$C$4+41),0))))&gt;=Kalemler!$D15)),1,0),IF(AND(Kalemler!$D15&gt;=(Tahmin!$C$4+35),Kalemler!$D15&lt;=(Tahmin!$C$4+41)),1,0))))</f>
        <v>0</v>
      </c>
      <c r="H15" s="0" t="n">
        <f aca="false">IF(OR(Kalemler!$A15="",Kalemler!$C15="",Kalemler!$D15=""),0,Kalemler!$C15*IF(Kalemler!$E15="Haftalık",IF(Kalemler!$D15&lt;=(Tahmin!$C$4+48),1,0),IF(Kalemler!$E15="Aylık",IF(OR(AND(DATE(YEAR((Tahmin!$C$4+42)),MONTH((Tahmin!$C$4+42)),MIN(DAY(Kalemler!$D15),DAY(EOMONTH((Tahmin!$C$4+42),0))))&gt;=(Tahmin!$C$4+42),DATE(YEAR((Tahmin!$C$4+42)),MONTH((Tahmin!$C$4+42)),MIN(DAY(Kalemler!$D15),DAY(EOMONTH((Tahmin!$C$4+42),0))))&lt;=(Tahmin!$C$4+48),DATE(YEAR((Tahmin!$C$4+42)),MONTH((Tahmin!$C$4+42)),MIN(DAY(Kalemler!$D15),DAY(EOMONTH((Tahmin!$C$4+42),0))))&gt;=Kalemler!$D15),AND(DATE(YEAR((Tahmin!$C$4+48)),MONTH((Tahmin!$C$4+48)),MIN(DAY(Kalemler!$D15),DAY(EOMONTH((Tahmin!$C$4+48),0))))&gt;=(Tahmin!$C$4+42),DATE(YEAR((Tahmin!$C$4+48)),MONTH((Tahmin!$C$4+48)),MIN(DAY(Kalemler!$D15),DAY(EOMONTH((Tahmin!$C$4+48),0))))&lt;=(Tahmin!$C$4+48),DATE(YEAR((Tahmin!$C$4+48)),MONTH((Tahmin!$C$4+48)),MIN(DAY(Kalemler!$D15),DAY(EOMONTH((Tahmin!$C$4+48),0))))&lt;&gt;DATE(YEAR((Tahmin!$C$4+42)),MONTH((Tahmin!$C$4+42)),MIN(DAY(Kalemler!$D15),DAY(EOMONTH((Tahmin!$C$4+42),0)))),DATE(YEAR((Tahmin!$C$4+48)),MONTH((Tahmin!$C$4+48)),MIN(DAY(Kalemler!$D15),DAY(EOMONTH((Tahmin!$C$4+48),0))))&gt;=Kalemler!$D15)),1,0),IF(AND(Kalemler!$D15&gt;=(Tahmin!$C$4+42),Kalemler!$D15&lt;=(Tahmin!$C$4+48)),1,0))))</f>
        <v>0</v>
      </c>
      <c r="I15" s="0" t="n">
        <f aca="false">IF(OR(Kalemler!$A15="",Kalemler!$C15="",Kalemler!$D15=""),0,Kalemler!$C15*IF(Kalemler!$E15="Haftalık",IF(Kalemler!$D15&lt;=(Tahmin!$C$4+55),1,0),IF(Kalemler!$E15="Aylık",IF(OR(AND(DATE(YEAR((Tahmin!$C$4+49)),MONTH((Tahmin!$C$4+49)),MIN(DAY(Kalemler!$D15),DAY(EOMONTH((Tahmin!$C$4+49),0))))&gt;=(Tahmin!$C$4+49),DATE(YEAR((Tahmin!$C$4+49)),MONTH((Tahmin!$C$4+49)),MIN(DAY(Kalemler!$D15),DAY(EOMONTH((Tahmin!$C$4+49),0))))&lt;=(Tahmin!$C$4+55),DATE(YEAR((Tahmin!$C$4+49)),MONTH((Tahmin!$C$4+49)),MIN(DAY(Kalemler!$D15),DAY(EOMONTH((Tahmin!$C$4+49),0))))&gt;=Kalemler!$D15),AND(DATE(YEAR((Tahmin!$C$4+55)),MONTH((Tahmin!$C$4+55)),MIN(DAY(Kalemler!$D15),DAY(EOMONTH((Tahmin!$C$4+55),0))))&gt;=(Tahmin!$C$4+49),DATE(YEAR((Tahmin!$C$4+55)),MONTH((Tahmin!$C$4+55)),MIN(DAY(Kalemler!$D15),DAY(EOMONTH((Tahmin!$C$4+55),0))))&lt;=(Tahmin!$C$4+55),DATE(YEAR((Tahmin!$C$4+55)),MONTH((Tahmin!$C$4+55)),MIN(DAY(Kalemler!$D15),DAY(EOMONTH((Tahmin!$C$4+55),0))))&lt;&gt;DATE(YEAR((Tahmin!$C$4+49)),MONTH((Tahmin!$C$4+49)),MIN(DAY(Kalemler!$D15),DAY(EOMONTH((Tahmin!$C$4+49),0)))),DATE(YEAR((Tahmin!$C$4+55)),MONTH((Tahmin!$C$4+55)),MIN(DAY(Kalemler!$D15),DAY(EOMONTH((Tahmin!$C$4+55),0))))&gt;=Kalemler!$D15)),1,0),IF(AND(Kalemler!$D15&gt;=(Tahmin!$C$4+49),Kalemler!$D15&lt;=(Tahmin!$C$4+55)),1,0))))</f>
        <v>0</v>
      </c>
      <c r="J15" s="0" t="n">
        <f aca="false">IF(OR(Kalemler!$A15="",Kalemler!$C15="",Kalemler!$D15=""),0,Kalemler!$C15*IF(Kalemler!$E15="Haftalık",IF(Kalemler!$D15&lt;=(Tahmin!$C$4+62),1,0),IF(Kalemler!$E15="Aylık",IF(OR(AND(DATE(YEAR((Tahmin!$C$4+56)),MONTH((Tahmin!$C$4+56)),MIN(DAY(Kalemler!$D15),DAY(EOMONTH((Tahmin!$C$4+56),0))))&gt;=(Tahmin!$C$4+56),DATE(YEAR((Tahmin!$C$4+56)),MONTH((Tahmin!$C$4+56)),MIN(DAY(Kalemler!$D15),DAY(EOMONTH((Tahmin!$C$4+56),0))))&lt;=(Tahmin!$C$4+62),DATE(YEAR((Tahmin!$C$4+56)),MONTH((Tahmin!$C$4+56)),MIN(DAY(Kalemler!$D15),DAY(EOMONTH((Tahmin!$C$4+56),0))))&gt;=Kalemler!$D15),AND(DATE(YEAR((Tahmin!$C$4+62)),MONTH((Tahmin!$C$4+62)),MIN(DAY(Kalemler!$D15),DAY(EOMONTH((Tahmin!$C$4+62),0))))&gt;=(Tahmin!$C$4+56),DATE(YEAR((Tahmin!$C$4+62)),MONTH((Tahmin!$C$4+62)),MIN(DAY(Kalemler!$D15),DAY(EOMONTH((Tahmin!$C$4+62),0))))&lt;=(Tahmin!$C$4+62),DATE(YEAR((Tahmin!$C$4+62)),MONTH((Tahmin!$C$4+62)),MIN(DAY(Kalemler!$D15),DAY(EOMONTH((Tahmin!$C$4+62),0))))&lt;&gt;DATE(YEAR((Tahmin!$C$4+56)),MONTH((Tahmin!$C$4+56)),MIN(DAY(Kalemler!$D15),DAY(EOMONTH((Tahmin!$C$4+56),0)))),DATE(YEAR((Tahmin!$C$4+62)),MONTH((Tahmin!$C$4+62)),MIN(DAY(Kalemler!$D15),DAY(EOMONTH((Tahmin!$C$4+62),0))))&gt;=Kalemler!$D15)),1,0),IF(AND(Kalemler!$D15&gt;=(Tahmin!$C$4+56),Kalemler!$D15&lt;=(Tahmin!$C$4+62)),1,0))))</f>
        <v>0</v>
      </c>
      <c r="K15" s="0" t="n">
        <f aca="false">IF(OR(Kalemler!$A15="",Kalemler!$C15="",Kalemler!$D15=""),0,Kalemler!$C15*IF(Kalemler!$E15="Haftalık",IF(Kalemler!$D15&lt;=(Tahmin!$C$4+69),1,0),IF(Kalemler!$E15="Aylık",IF(OR(AND(DATE(YEAR((Tahmin!$C$4+63)),MONTH((Tahmin!$C$4+63)),MIN(DAY(Kalemler!$D15),DAY(EOMONTH((Tahmin!$C$4+63),0))))&gt;=(Tahmin!$C$4+63),DATE(YEAR((Tahmin!$C$4+63)),MONTH((Tahmin!$C$4+63)),MIN(DAY(Kalemler!$D15),DAY(EOMONTH((Tahmin!$C$4+63),0))))&lt;=(Tahmin!$C$4+69),DATE(YEAR((Tahmin!$C$4+63)),MONTH((Tahmin!$C$4+63)),MIN(DAY(Kalemler!$D15),DAY(EOMONTH((Tahmin!$C$4+63),0))))&gt;=Kalemler!$D15),AND(DATE(YEAR((Tahmin!$C$4+69)),MONTH((Tahmin!$C$4+69)),MIN(DAY(Kalemler!$D15),DAY(EOMONTH((Tahmin!$C$4+69),0))))&gt;=(Tahmin!$C$4+63),DATE(YEAR((Tahmin!$C$4+69)),MONTH((Tahmin!$C$4+69)),MIN(DAY(Kalemler!$D15),DAY(EOMONTH((Tahmin!$C$4+69),0))))&lt;=(Tahmin!$C$4+69),DATE(YEAR((Tahmin!$C$4+69)),MONTH((Tahmin!$C$4+69)),MIN(DAY(Kalemler!$D15),DAY(EOMONTH((Tahmin!$C$4+69),0))))&lt;&gt;DATE(YEAR((Tahmin!$C$4+63)),MONTH((Tahmin!$C$4+63)),MIN(DAY(Kalemler!$D15),DAY(EOMONTH((Tahmin!$C$4+63),0)))),DATE(YEAR((Tahmin!$C$4+69)),MONTH((Tahmin!$C$4+69)),MIN(DAY(Kalemler!$D15),DAY(EOMONTH((Tahmin!$C$4+69),0))))&gt;=Kalemler!$D15)),1,0),IF(AND(Kalemler!$D15&gt;=(Tahmin!$C$4+63),Kalemler!$D15&lt;=(Tahmin!$C$4+69)),1,0))))</f>
        <v>0</v>
      </c>
      <c r="L15" s="0" t="n">
        <f aca="false">IF(OR(Kalemler!$A15="",Kalemler!$C15="",Kalemler!$D15=""),0,Kalemler!$C15*IF(Kalemler!$E15="Haftalık",IF(Kalemler!$D15&lt;=(Tahmin!$C$4+76),1,0),IF(Kalemler!$E15="Aylık",IF(OR(AND(DATE(YEAR((Tahmin!$C$4+70)),MONTH((Tahmin!$C$4+70)),MIN(DAY(Kalemler!$D15),DAY(EOMONTH((Tahmin!$C$4+70),0))))&gt;=(Tahmin!$C$4+70),DATE(YEAR((Tahmin!$C$4+70)),MONTH((Tahmin!$C$4+70)),MIN(DAY(Kalemler!$D15),DAY(EOMONTH((Tahmin!$C$4+70),0))))&lt;=(Tahmin!$C$4+76),DATE(YEAR((Tahmin!$C$4+70)),MONTH((Tahmin!$C$4+70)),MIN(DAY(Kalemler!$D15),DAY(EOMONTH((Tahmin!$C$4+70),0))))&gt;=Kalemler!$D15),AND(DATE(YEAR((Tahmin!$C$4+76)),MONTH((Tahmin!$C$4+76)),MIN(DAY(Kalemler!$D15),DAY(EOMONTH((Tahmin!$C$4+76),0))))&gt;=(Tahmin!$C$4+70),DATE(YEAR((Tahmin!$C$4+76)),MONTH((Tahmin!$C$4+76)),MIN(DAY(Kalemler!$D15),DAY(EOMONTH((Tahmin!$C$4+76),0))))&lt;=(Tahmin!$C$4+76),DATE(YEAR((Tahmin!$C$4+76)),MONTH((Tahmin!$C$4+76)),MIN(DAY(Kalemler!$D15),DAY(EOMONTH((Tahmin!$C$4+76),0))))&lt;&gt;DATE(YEAR((Tahmin!$C$4+70)),MONTH((Tahmin!$C$4+70)),MIN(DAY(Kalemler!$D15),DAY(EOMONTH((Tahmin!$C$4+70),0)))),DATE(YEAR((Tahmin!$C$4+76)),MONTH((Tahmin!$C$4+76)),MIN(DAY(Kalemler!$D15),DAY(EOMONTH((Tahmin!$C$4+76),0))))&gt;=Kalemler!$D15)),1,0),IF(AND(Kalemler!$D15&gt;=(Tahmin!$C$4+70),Kalemler!$D15&lt;=(Tahmin!$C$4+76)),1,0))))</f>
        <v>0</v>
      </c>
      <c r="M15" s="0" t="n">
        <f aca="false">IF(OR(Kalemler!$A15="",Kalemler!$C15="",Kalemler!$D15=""),0,Kalemler!$C15*IF(Kalemler!$E15="Haftalık",IF(Kalemler!$D15&lt;=(Tahmin!$C$4+83),1,0),IF(Kalemler!$E15="Aylık",IF(OR(AND(DATE(YEAR((Tahmin!$C$4+77)),MONTH((Tahmin!$C$4+77)),MIN(DAY(Kalemler!$D15),DAY(EOMONTH((Tahmin!$C$4+77),0))))&gt;=(Tahmin!$C$4+77),DATE(YEAR((Tahmin!$C$4+77)),MONTH((Tahmin!$C$4+77)),MIN(DAY(Kalemler!$D15),DAY(EOMONTH((Tahmin!$C$4+77),0))))&lt;=(Tahmin!$C$4+83),DATE(YEAR((Tahmin!$C$4+77)),MONTH((Tahmin!$C$4+77)),MIN(DAY(Kalemler!$D15),DAY(EOMONTH((Tahmin!$C$4+77),0))))&gt;=Kalemler!$D15),AND(DATE(YEAR((Tahmin!$C$4+83)),MONTH((Tahmin!$C$4+83)),MIN(DAY(Kalemler!$D15),DAY(EOMONTH((Tahmin!$C$4+83),0))))&gt;=(Tahmin!$C$4+77),DATE(YEAR((Tahmin!$C$4+83)),MONTH((Tahmin!$C$4+83)),MIN(DAY(Kalemler!$D15),DAY(EOMONTH((Tahmin!$C$4+83),0))))&lt;=(Tahmin!$C$4+83),DATE(YEAR((Tahmin!$C$4+83)),MONTH((Tahmin!$C$4+83)),MIN(DAY(Kalemler!$D15),DAY(EOMONTH((Tahmin!$C$4+83),0))))&lt;&gt;DATE(YEAR((Tahmin!$C$4+77)),MONTH((Tahmin!$C$4+77)),MIN(DAY(Kalemler!$D15),DAY(EOMONTH((Tahmin!$C$4+77),0)))),DATE(YEAR((Tahmin!$C$4+83)),MONTH((Tahmin!$C$4+83)),MIN(DAY(Kalemler!$D15),DAY(EOMONTH((Tahmin!$C$4+83),0))))&gt;=Kalemler!$D15)),1,0),IF(AND(Kalemler!$D15&gt;=(Tahmin!$C$4+77),Kalemler!$D15&lt;=(Tahmin!$C$4+83)),1,0))))</f>
        <v>0</v>
      </c>
      <c r="N15" s="0" t="n">
        <f aca="false">IF(OR(Kalemler!$A15="",Kalemler!$C15="",Kalemler!$D15=""),0,Kalemler!$C15*IF(Kalemler!$E15="Haftalık",IF(Kalemler!$D15&lt;=(Tahmin!$C$4+90),1,0),IF(Kalemler!$E15="Aylık",IF(OR(AND(DATE(YEAR((Tahmin!$C$4+84)),MONTH((Tahmin!$C$4+84)),MIN(DAY(Kalemler!$D15),DAY(EOMONTH((Tahmin!$C$4+84),0))))&gt;=(Tahmin!$C$4+84),DATE(YEAR((Tahmin!$C$4+84)),MONTH((Tahmin!$C$4+84)),MIN(DAY(Kalemler!$D15),DAY(EOMONTH((Tahmin!$C$4+84),0))))&lt;=(Tahmin!$C$4+90),DATE(YEAR((Tahmin!$C$4+84)),MONTH((Tahmin!$C$4+84)),MIN(DAY(Kalemler!$D15),DAY(EOMONTH((Tahmin!$C$4+84),0))))&gt;=Kalemler!$D15),AND(DATE(YEAR((Tahmin!$C$4+90)),MONTH((Tahmin!$C$4+90)),MIN(DAY(Kalemler!$D15),DAY(EOMONTH((Tahmin!$C$4+90),0))))&gt;=(Tahmin!$C$4+84),DATE(YEAR((Tahmin!$C$4+90)),MONTH((Tahmin!$C$4+90)),MIN(DAY(Kalemler!$D15),DAY(EOMONTH((Tahmin!$C$4+90),0))))&lt;=(Tahmin!$C$4+90),DATE(YEAR((Tahmin!$C$4+90)),MONTH((Tahmin!$C$4+90)),MIN(DAY(Kalemler!$D15),DAY(EOMONTH((Tahmin!$C$4+90),0))))&lt;&gt;DATE(YEAR((Tahmin!$C$4+84)),MONTH((Tahmin!$C$4+84)),MIN(DAY(Kalemler!$D15),DAY(EOMONTH((Tahmin!$C$4+84),0)))),DATE(YEAR((Tahmin!$C$4+90)),MONTH((Tahmin!$C$4+90)),MIN(DAY(Kalemler!$D15),DAY(EOMONTH((Tahmin!$C$4+90),0))))&gt;=Kalemler!$D15)),1,0),IF(AND(Kalemler!$D15&gt;=(Tahmin!$C$4+84),Kalemler!$D15&lt;=(Tahmin!$C$4+90)),1,0))))</f>
        <v>0</v>
      </c>
    </row>
    <row r="16" customFormat="false" ht="15" hidden="false" customHeight="false" outlineLevel="0" collapsed="false">
      <c r="A16" s="0" t="str">
        <f aca="false">IF(Kalemler!A16="","",Kalemler!A16)</f>
        <v/>
      </c>
      <c r="B16" s="0" t="n">
        <f aca="false">IF(OR(Kalemler!$A16="",Kalemler!$C16="",Kalemler!$D16=""),0,Kalemler!$C16*IF(Kalemler!$E16="Haftalık",IF(Kalemler!$D16&lt;=(Tahmin!$C$4+6),1,0),IF(Kalemler!$E16="Aylık",IF(OR(AND(DATE(YEAR((Tahmin!$C$4+0)),MONTH((Tahmin!$C$4+0)),MIN(DAY(Kalemler!$D16),DAY(EOMONTH((Tahmin!$C$4+0),0))))&gt;=(Tahmin!$C$4+0),DATE(YEAR((Tahmin!$C$4+0)),MONTH((Tahmin!$C$4+0)),MIN(DAY(Kalemler!$D16),DAY(EOMONTH((Tahmin!$C$4+0),0))))&lt;=(Tahmin!$C$4+6),DATE(YEAR((Tahmin!$C$4+0)),MONTH((Tahmin!$C$4+0)),MIN(DAY(Kalemler!$D16),DAY(EOMONTH((Tahmin!$C$4+0),0))))&gt;=Kalemler!$D16),AND(DATE(YEAR((Tahmin!$C$4+6)),MONTH((Tahmin!$C$4+6)),MIN(DAY(Kalemler!$D16),DAY(EOMONTH((Tahmin!$C$4+6),0))))&gt;=(Tahmin!$C$4+0),DATE(YEAR((Tahmin!$C$4+6)),MONTH((Tahmin!$C$4+6)),MIN(DAY(Kalemler!$D16),DAY(EOMONTH((Tahmin!$C$4+6),0))))&lt;=(Tahmin!$C$4+6),DATE(YEAR((Tahmin!$C$4+6)),MONTH((Tahmin!$C$4+6)),MIN(DAY(Kalemler!$D16),DAY(EOMONTH((Tahmin!$C$4+6),0))))&lt;&gt;DATE(YEAR((Tahmin!$C$4+0)),MONTH((Tahmin!$C$4+0)),MIN(DAY(Kalemler!$D16),DAY(EOMONTH((Tahmin!$C$4+0),0)))),DATE(YEAR((Tahmin!$C$4+6)),MONTH((Tahmin!$C$4+6)),MIN(DAY(Kalemler!$D16),DAY(EOMONTH((Tahmin!$C$4+6),0))))&gt;=Kalemler!$D16)),1,0),IF(AND(Kalemler!$D16&gt;=(Tahmin!$C$4+0),Kalemler!$D16&lt;=(Tahmin!$C$4+6)),1,0))))</f>
        <v>0</v>
      </c>
      <c r="C16" s="0" t="n">
        <f aca="false">IF(OR(Kalemler!$A16="",Kalemler!$C16="",Kalemler!$D16=""),0,Kalemler!$C16*IF(Kalemler!$E16="Haftalık",IF(Kalemler!$D16&lt;=(Tahmin!$C$4+13),1,0),IF(Kalemler!$E16="Aylık",IF(OR(AND(DATE(YEAR((Tahmin!$C$4+7)),MONTH((Tahmin!$C$4+7)),MIN(DAY(Kalemler!$D16),DAY(EOMONTH((Tahmin!$C$4+7),0))))&gt;=(Tahmin!$C$4+7),DATE(YEAR((Tahmin!$C$4+7)),MONTH((Tahmin!$C$4+7)),MIN(DAY(Kalemler!$D16),DAY(EOMONTH((Tahmin!$C$4+7),0))))&lt;=(Tahmin!$C$4+13),DATE(YEAR((Tahmin!$C$4+7)),MONTH((Tahmin!$C$4+7)),MIN(DAY(Kalemler!$D16),DAY(EOMONTH((Tahmin!$C$4+7),0))))&gt;=Kalemler!$D16),AND(DATE(YEAR((Tahmin!$C$4+13)),MONTH((Tahmin!$C$4+13)),MIN(DAY(Kalemler!$D16),DAY(EOMONTH((Tahmin!$C$4+13),0))))&gt;=(Tahmin!$C$4+7),DATE(YEAR((Tahmin!$C$4+13)),MONTH((Tahmin!$C$4+13)),MIN(DAY(Kalemler!$D16),DAY(EOMONTH((Tahmin!$C$4+13),0))))&lt;=(Tahmin!$C$4+13),DATE(YEAR((Tahmin!$C$4+13)),MONTH((Tahmin!$C$4+13)),MIN(DAY(Kalemler!$D16),DAY(EOMONTH((Tahmin!$C$4+13),0))))&lt;&gt;DATE(YEAR((Tahmin!$C$4+7)),MONTH((Tahmin!$C$4+7)),MIN(DAY(Kalemler!$D16),DAY(EOMONTH((Tahmin!$C$4+7),0)))),DATE(YEAR((Tahmin!$C$4+13)),MONTH((Tahmin!$C$4+13)),MIN(DAY(Kalemler!$D16),DAY(EOMONTH((Tahmin!$C$4+13),0))))&gt;=Kalemler!$D16)),1,0),IF(AND(Kalemler!$D16&gt;=(Tahmin!$C$4+7),Kalemler!$D16&lt;=(Tahmin!$C$4+13)),1,0))))</f>
        <v>0</v>
      </c>
      <c r="D16" s="0" t="n">
        <f aca="false">IF(OR(Kalemler!$A16="",Kalemler!$C16="",Kalemler!$D16=""),0,Kalemler!$C16*IF(Kalemler!$E16="Haftalık",IF(Kalemler!$D16&lt;=(Tahmin!$C$4+20),1,0),IF(Kalemler!$E16="Aylık",IF(OR(AND(DATE(YEAR((Tahmin!$C$4+14)),MONTH((Tahmin!$C$4+14)),MIN(DAY(Kalemler!$D16),DAY(EOMONTH((Tahmin!$C$4+14),0))))&gt;=(Tahmin!$C$4+14),DATE(YEAR((Tahmin!$C$4+14)),MONTH((Tahmin!$C$4+14)),MIN(DAY(Kalemler!$D16),DAY(EOMONTH((Tahmin!$C$4+14),0))))&lt;=(Tahmin!$C$4+20),DATE(YEAR((Tahmin!$C$4+14)),MONTH((Tahmin!$C$4+14)),MIN(DAY(Kalemler!$D16),DAY(EOMONTH((Tahmin!$C$4+14),0))))&gt;=Kalemler!$D16),AND(DATE(YEAR((Tahmin!$C$4+20)),MONTH((Tahmin!$C$4+20)),MIN(DAY(Kalemler!$D16),DAY(EOMONTH((Tahmin!$C$4+20),0))))&gt;=(Tahmin!$C$4+14),DATE(YEAR((Tahmin!$C$4+20)),MONTH((Tahmin!$C$4+20)),MIN(DAY(Kalemler!$D16),DAY(EOMONTH((Tahmin!$C$4+20),0))))&lt;=(Tahmin!$C$4+20),DATE(YEAR((Tahmin!$C$4+20)),MONTH((Tahmin!$C$4+20)),MIN(DAY(Kalemler!$D16),DAY(EOMONTH((Tahmin!$C$4+20),0))))&lt;&gt;DATE(YEAR((Tahmin!$C$4+14)),MONTH((Tahmin!$C$4+14)),MIN(DAY(Kalemler!$D16),DAY(EOMONTH((Tahmin!$C$4+14),0)))),DATE(YEAR((Tahmin!$C$4+20)),MONTH((Tahmin!$C$4+20)),MIN(DAY(Kalemler!$D16),DAY(EOMONTH((Tahmin!$C$4+20),0))))&gt;=Kalemler!$D16)),1,0),IF(AND(Kalemler!$D16&gt;=(Tahmin!$C$4+14),Kalemler!$D16&lt;=(Tahmin!$C$4+20)),1,0))))</f>
        <v>0</v>
      </c>
      <c r="E16" s="0" t="n">
        <f aca="false">IF(OR(Kalemler!$A16="",Kalemler!$C16="",Kalemler!$D16=""),0,Kalemler!$C16*IF(Kalemler!$E16="Haftalık",IF(Kalemler!$D16&lt;=(Tahmin!$C$4+27),1,0),IF(Kalemler!$E16="Aylık",IF(OR(AND(DATE(YEAR((Tahmin!$C$4+21)),MONTH((Tahmin!$C$4+21)),MIN(DAY(Kalemler!$D16),DAY(EOMONTH((Tahmin!$C$4+21),0))))&gt;=(Tahmin!$C$4+21),DATE(YEAR((Tahmin!$C$4+21)),MONTH((Tahmin!$C$4+21)),MIN(DAY(Kalemler!$D16),DAY(EOMONTH((Tahmin!$C$4+21),0))))&lt;=(Tahmin!$C$4+27),DATE(YEAR((Tahmin!$C$4+21)),MONTH((Tahmin!$C$4+21)),MIN(DAY(Kalemler!$D16),DAY(EOMONTH((Tahmin!$C$4+21),0))))&gt;=Kalemler!$D16),AND(DATE(YEAR((Tahmin!$C$4+27)),MONTH((Tahmin!$C$4+27)),MIN(DAY(Kalemler!$D16),DAY(EOMONTH((Tahmin!$C$4+27),0))))&gt;=(Tahmin!$C$4+21),DATE(YEAR((Tahmin!$C$4+27)),MONTH((Tahmin!$C$4+27)),MIN(DAY(Kalemler!$D16),DAY(EOMONTH((Tahmin!$C$4+27),0))))&lt;=(Tahmin!$C$4+27),DATE(YEAR((Tahmin!$C$4+27)),MONTH((Tahmin!$C$4+27)),MIN(DAY(Kalemler!$D16),DAY(EOMONTH((Tahmin!$C$4+27),0))))&lt;&gt;DATE(YEAR((Tahmin!$C$4+21)),MONTH((Tahmin!$C$4+21)),MIN(DAY(Kalemler!$D16),DAY(EOMONTH((Tahmin!$C$4+21),0)))),DATE(YEAR((Tahmin!$C$4+27)),MONTH((Tahmin!$C$4+27)),MIN(DAY(Kalemler!$D16),DAY(EOMONTH((Tahmin!$C$4+27),0))))&gt;=Kalemler!$D16)),1,0),IF(AND(Kalemler!$D16&gt;=(Tahmin!$C$4+21),Kalemler!$D16&lt;=(Tahmin!$C$4+27)),1,0))))</f>
        <v>0</v>
      </c>
      <c r="F16" s="0" t="n">
        <f aca="false">IF(OR(Kalemler!$A16="",Kalemler!$C16="",Kalemler!$D16=""),0,Kalemler!$C16*IF(Kalemler!$E16="Haftalık",IF(Kalemler!$D16&lt;=(Tahmin!$C$4+34),1,0),IF(Kalemler!$E16="Aylık",IF(OR(AND(DATE(YEAR((Tahmin!$C$4+28)),MONTH((Tahmin!$C$4+28)),MIN(DAY(Kalemler!$D16),DAY(EOMONTH((Tahmin!$C$4+28),0))))&gt;=(Tahmin!$C$4+28),DATE(YEAR((Tahmin!$C$4+28)),MONTH((Tahmin!$C$4+28)),MIN(DAY(Kalemler!$D16),DAY(EOMONTH((Tahmin!$C$4+28),0))))&lt;=(Tahmin!$C$4+34),DATE(YEAR((Tahmin!$C$4+28)),MONTH((Tahmin!$C$4+28)),MIN(DAY(Kalemler!$D16),DAY(EOMONTH((Tahmin!$C$4+28),0))))&gt;=Kalemler!$D16),AND(DATE(YEAR((Tahmin!$C$4+34)),MONTH((Tahmin!$C$4+34)),MIN(DAY(Kalemler!$D16),DAY(EOMONTH((Tahmin!$C$4+34),0))))&gt;=(Tahmin!$C$4+28),DATE(YEAR((Tahmin!$C$4+34)),MONTH((Tahmin!$C$4+34)),MIN(DAY(Kalemler!$D16),DAY(EOMONTH((Tahmin!$C$4+34),0))))&lt;=(Tahmin!$C$4+34),DATE(YEAR((Tahmin!$C$4+34)),MONTH((Tahmin!$C$4+34)),MIN(DAY(Kalemler!$D16),DAY(EOMONTH((Tahmin!$C$4+34),0))))&lt;&gt;DATE(YEAR((Tahmin!$C$4+28)),MONTH((Tahmin!$C$4+28)),MIN(DAY(Kalemler!$D16),DAY(EOMONTH((Tahmin!$C$4+28),0)))),DATE(YEAR((Tahmin!$C$4+34)),MONTH((Tahmin!$C$4+34)),MIN(DAY(Kalemler!$D16),DAY(EOMONTH((Tahmin!$C$4+34),0))))&gt;=Kalemler!$D16)),1,0),IF(AND(Kalemler!$D16&gt;=(Tahmin!$C$4+28),Kalemler!$D16&lt;=(Tahmin!$C$4+34)),1,0))))</f>
        <v>0</v>
      </c>
      <c r="G16" s="0" t="n">
        <f aca="false">IF(OR(Kalemler!$A16="",Kalemler!$C16="",Kalemler!$D16=""),0,Kalemler!$C16*IF(Kalemler!$E16="Haftalık",IF(Kalemler!$D16&lt;=(Tahmin!$C$4+41),1,0),IF(Kalemler!$E16="Aylık",IF(OR(AND(DATE(YEAR((Tahmin!$C$4+35)),MONTH((Tahmin!$C$4+35)),MIN(DAY(Kalemler!$D16),DAY(EOMONTH((Tahmin!$C$4+35),0))))&gt;=(Tahmin!$C$4+35),DATE(YEAR((Tahmin!$C$4+35)),MONTH((Tahmin!$C$4+35)),MIN(DAY(Kalemler!$D16),DAY(EOMONTH((Tahmin!$C$4+35),0))))&lt;=(Tahmin!$C$4+41),DATE(YEAR((Tahmin!$C$4+35)),MONTH((Tahmin!$C$4+35)),MIN(DAY(Kalemler!$D16),DAY(EOMONTH((Tahmin!$C$4+35),0))))&gt;=Kalemler!$D16),AND(DATE(YEAR((Tahmin!$C$4+41)),MONTH((Tahmin!$C$4+41)),MIN(DAY(Kalemler!$D16),DAY(EOMONTH((Tahmin!$C$4+41),0))))&gt;=(Tahmin!$C$4+35),DATE(YEAR((Tahmin!$C$4+41)),MONTH((Tahmin!$C$4+41)),MIN(DAY(Kalemler!$D16),DAY(EOMONTH((Tahmin!$C$4+41),0))))&lt;=(Tahmin!$C$4+41),DATE(YEAR((Tahmin!$C$4+41)),MONTH((Tahmin!$C$4+41)),MIN(DAY(Kalemler!$D16),DAY(EOMONTH((Tahmin!$C$4+41),0))))&lt;&gt;DATE(YEAR((Tahmin!$C$4+35)),MONTH((Tahmin!$C$4+35)),MIN(DAY(Kalemler!$D16),DAY(EOMONTH((Tahmin!$C$4+35),0)))),DATE(YEAR((Tahmin!$C$4+41)),MONTH((Tahmin!$C$4+41)),MIN(DAY(Kalemler!$D16),DAY(EOMONTH((Tahmin!$C$4+41),0))))&gt;=Kalemler!$D16)),1,0),IF(AND(Kalemler!$D16&gt;=(Tahmin!$C$4+35),Kalemler!$D16&lt;=(Tahmin!$C$4+41)),1,0))))</f>
        <v>0</v>
      </c>
      <c r="H16" s="0" t="n">
        <f aca="false">IF(OR(Kalemler!$A16="",Kalemler!$C16="",Kalemler!$D16=""),0,Kalemler!$C16*IF(Kalemler!$E16="Haftalık",IF(Kalemler!$D16&lt;=(Tahmin!$C$4+48),1,0),IF(Kalemler!$E16="Aylık",IF(OR(AND(DATE(YEAR((Tahmin!$C$4+42)),MONTH((Tahmin!$C$4+42)),MIN(DAY(Kalemler!$D16),DAY(EOMONTH((Tahmin!$C$4+42),0))))&gt;=(Tahmin!$C$4+42),DATE(YEAR((Tahmin!$C$4+42)),MONTH((Tahmin!$C$4+42)),MIN(DAY(Kalemler!$D16),DAY(EOMONTH((Tahmin!$C$4+42),0))))&lt;=(Tahmin!$C$4+48),DATE(YEAR((Tahmin!$C$4+42)),MONTH((Tahmin!$C$4+42)),MIN(DAY(Kalemler!$D16),DAY(EOMONTH((Tahmin!$C$4+42),0))))&gt;=Kalemler!$D16),AND(DATE(YEAR((Tahmin!$C$4+48)),MONTH((Tahmin!$C$4+48)),MIN(DAY(Kalemler!$D16),DAY(EOMONTH((Tahmin!$C$4+48),0))))&gt;=(Tahmin!$C$4+42),DATE(YEAR((Tahmin!$C$4+48)),MONTH((Tahmin!$C$4+48)),MIN(DAY(Kalemler!$D16),DAY(EOMONTH((Tahmin!$C$4+48),0))))&lt;=(Tahmin!$C$4+48),DATE(YEAR((Tahmin!$C$4+48)),MONTH((Tahmin!$C$4+48)),MIN(DAY(Kalemler!$D16),DAY(EOMONTH((Tahmin!$C$4+48),0))))&lt;&gt;DATE(YEAR((Tahmin!$C$4+42)),MONTH((Tahmin!$C$4+42)),MIN(DAY(Kalemler!$D16),DAY(EOMONTH((Tahmin!$C$4+42),0)))),DATE(YEAR((Tahmin!$C$4+48)),MONTH((Tahmin!$C$4+48)),MIN(DAY(Kalemler!$D16),DAY(EOMONTH((Tahmin!$C$4+48),0))))&gt;=Kalemler!$D16)),1,0),IF(AND(Kalemler!$D16&gt;=(Tahmin!$C$4+42),Kalemler!$D16&lt;=(Tahmin!$C$4+48)),1,0))))</f>
        <v>0</v>
      </c>
      <c r="I16" s="0" t="n">
        <f aca="false">IF(OR(Kalemler!$A16="",Kalemler!$C16="",Kalemler!$D16=""),0,Kalemler!$C16*IF(Kalemler!$E16="Haftalık",IF(Kalemler!$D16&lt;=(Tahmin!$C$4+55),1,0),IF(Kalemler!$E16="Aylık",IF(OR(AND(DATE(YEAR((Tahmin!$C$4+49)),MONTH((Tahmin!$C$4+49)),MIN(DAY(Kalemler!$D16),DAY(EOMONTH((Tahmin!$C$4+49),0))))&gt;=(Tahmin!$C$4+49),DATE(YEAR((Tahmin!$C$4+49)),MONTH((Tahmin!$C$4+49)),MIN(DAY(Kalemler!$D16),DAY(EOMONTH((Tahmin!$C$4+49),0))))&lt;=(Tahmin!$C$4+55),DATE(YEAR((Tahmin!$C$4+49)),MONTH((Tahmin!$C$4+49)),MIN(DAY(Kalemler!$D16),DAY(EOMONTH((Tahmin!$C$4+49),0))))&gt;=Kalemler!$D16),AND(DATE(YEAR((Tahmin!$C$4+55)),MONTH((Tahmin!$C$4+55)),MIN(DAY(Kalemler!$D16),DAY(EOMONTH((Tahmin!$C$4+55),0))))&gt;=(Tahmin!$C$4+49),DATE(YEAR((Tahmin!$C$4+55)),MONTH((Tahmin!$C$4+55)),MIN(DAY(Kalemler!$D16),DAY(EOMONTH((Tahmin!$C$4+55),0))))&lt;=(Tahmin!$C$4+55),DATE(YEAR((Tahmin!$C$4+55)),MONTH((Tahmin!$C$4+55)),MIN(DAY(Kalemler!$D16),DAY(EOMONTH((Tahmin!$C$4+55),0))))&lt;&gt;DATE(YEAR((Tahmin!$C$4+49)),MONTH((Tahmin!$C$4+49)),MIN(DAY(Kalemler!$D16),DAY(EOMONTH((Tahmin!$C$4+49),0)))),DATE(YEAR((Tahmin!$C$4+55)),MONTH((Tahmin!$C$4+55)),MIN(DAY(Kalemler!$D16),DAY(EOMONTH((Tahmin!$C$4+55),0))))&gt;=Kalemler!$D16)),1,0),IF(AND(Kalemler!$D16&gt;=(Tahmin!$C$4+49),Kalemler!$D16&lt;=(Tahmin!$C$4+55)),1,0))))</f>
        <v>0</v>
      </c>
      <c r="J16" s="0" t="n">
        <f aca="false">IF(OR(Kalemler!$A16="",Kalemler!$C16="",Kalemler!$D16=""),0,Kalemler!$C16*IF(Kalemler!$E16="Haftalık",IF(Kalemler!$D16&lt;=(Tahmin!$C$4+62),1,0),IF(Kalemler!$E16="Aylık",IF(OR(AND(DATE(YEAR((Tahmin!$C$4+56)),MONTH((Tahmin!$C$4+56)),MIN(DAY(Kalemler!$D16),DAY(EOMONTH((Tahmin!$C$4+56),0))))&gt;=(Tahmin!$C$4+56),DATE(YEAR((Tahmin!$C$4+56)),MONTH((Tahmin!$C$4+56)),MIN(DAY(Kalemler!$D16),DAY(EOMONTH((Tahmin!$C$4+56),0))))&lt;=(Tahmin!$C$4+62),DATE(YEAR((Tahmin!$C$4+56)),MONTH((Tahmin!$C$4+56)),MIN(DAY(Kalemler!$D16),DAY(EOMONTH((Tahmin!$C$4+56),0))))&gt;=Kalemler!$D16),AND(DATE(YEAR((Tahmin!$C$4+62)),MONTH((Tahmin!$C$4+62)),MIN(DAY(Kalemler!$D16),DAY(EOMONTH((Tahmin!$C$4+62),0))))&gt;=(Tahmin!$C$4+56),DATE(YEAR((Tahmin!$C$4+62)),MONTH((Tahmin!$C$4+62)),MIN(DAY(Kalemler!$D16),DAY(EOMONTH((Tahmin!$C$4+62),0))))&lt;=(Tahmin!$C$4+62),DATE(YEAR((Tahmin!$C$4+62)),MONTH((Tahmin!$C$4+62)),MIN(DAY(Kalemler!$D16),DAY(EOMONTH((Tahmin!$C$4+62),0))))&lt;&gt;DATE(YEAR((Tahmin!$C$4+56)),MONTH((Tahmin!$C$4+56)),MIN(DAY(Kalemler!$D16),DAY(EOMONTH((Tahmin!$C$4+56),0)))),DATE(YEAR((Tahmin!$C$4+62)),MONTH((Tahmin!$C$4+62)),MIN(DAY(Kalemler!$D16),DAY(EOMONTH((Tahmin!$C$4+62),0))))&gt;=Kalemler!$D16)),1,0),IF(AND(Kalemler!$D16&gt;=(Tahmin!$C$4+56),Kalemler!$D16&lt;=(Tahmin!$C$4+62)),1,0))))</f>
        <v>0</v>
      </c>
      <c r="K16" s="0" t="n">
        <f aca="false">IF(OR(Kalemler!$A16="",Kalemler!$C16="",Kalemler!$D16=""),0,Kalemler!$C16*IF(Kalemler!$E16="Haftalık",IF(Kalemler!$D16&lt;=(Tahmin!$C$4+69),1,0),IF(Kalemler!$E16="Aylık",IF(OR(AND(DATE(YEAR((Tahmin!$C$4+63)),MONTH((Tahmin!$C$4+63)),MIN(DAY(Kalemler!$D16),DAY(EOMONTH((Tahmin!$C$4+63),0))))&gt;=(Tahmin!$C$4+63),DATE(YEAR((Tahmin!$C$4+63)),MONTH((Tahmin!$C$4+63)),MIN(DAY(Kalemler!$D16),DAY(EOMONTH((Tahmin!$C$4+63),0))))&lt;=(Tahmin!$C$4+69),DATE(YEAR((Tahmin!$C$4+63)),MONTH((Tahmin!$C$4+63)),MIN(DAY(Kalemler!$D16),DAY(EOMONTH((Tahmin!$C$4+63),0))))&gt;=Kalemler!$D16),AND(DATE(YEAR((Tahmin!$C$4+69)),MONTH((Tahmin!$C$4+69)),MIN(DAY(Kalemler!$D16),DAY(EOMONTH((Tahmin!$C$4+69),0))))&gt;=(Tahmin!$C$4+63),DATE(YEAR((Tahmin!$C$4+69)),MONTH((Tahmin!$C$4+69)),MIN(DAY(Kalemler!$D16),DAY(EOMONTH((Tahmin!$C$4+69),0))))&lt;=(Tahmin!$C$4+69),DATE(YEAR((Tahmin!$C$4+69)),MONTH((Tahmin!$C$4+69)),MIN(DAY(Kalemler!$D16),DAY(EOMONTH((Tahmin!$C$4+69),0))))&lt;&gt;DATE(YEAR((Tahmin!$C$4+63)),MONTH((Tahmin!$C$4+63)),MIN(DAY(Kalemler!$D16),DAY(EOMONTH((Tahmin!$C$4+63),0)))),DATE(YEAR((Tahmin!$C$4+69)),MONTH((Tahmin!$C$4+69)),MIN(DAY(Kalemler!$D16),DAY(EOMONTH((Tahmin!$C$4+69),0))))&gt;=Kalemler!$D16)),1,0),IF(AND(Kalemler!$D16&gt;=(Tahmin!$C$4+63),Kalemler!$D16&lt;=(Tahmin!$C$4+69)),1,0))))</f>
        <v>0</v>
      </c>
      <c r="L16" s="0" t="n">
        <f aca="false">IF(OR(Kalemler!$A16="",Kalemler!$C16="",Kalemler!$D16=""),0,Kalemler!$C16*IF(Kalemler!$E16="Haftalık",IF(Kalemler!$D16&lt;=(Tahmin!$C$4+76),1,0),IF(Kalemler!$E16="Aylık",IF(OR(AND(DATE(YEAR((Tahmin!$C$4+70)),MONTH((Tahmin!$C$4+70)),MIN(DAY(Kalemler!$D16),DAY(EOMONTH((Tahmin!$C$4+70),0))))&gt;=(Tahmin!$C$4+70),DATE(YEAR((Tahmin!$C$4+70)),MONTH((Tahmin!$C$4+70)),MIN(DAY(Kalemler!$D16),DAY(EOMONTH((Tahmin!$C$4+70),0))))&lt;=(Tahmin!$C$4+76),DATE(YEAR((Tahmin!$C$4+70)),MONTH((Tahmin!$C$4+70)),MIN(DAY(Kalemler!$D16),DAY(EOMONTH((Tahmin!$C$4+70),0))))&gt;=Kalemler!$D16),AND(DATE(YEAR((Tahmin!$C$4+76)),MONTH((Tahmin!$C$4+76)),MIN(DAY(Kalemler!$D16),DAY(EOMONTH((Tahmin!$C$4+76),0))))&gt;=(Tahmin!$C$4+70),DATE(YEAR((Tahmin!$C$4+76)),MONTH((Tahmin!$C$4+76)),MIN(DAY(Kalemler!$D16),DAY(EOMONTH((Tahmin!$C$4+76),0))))&lt;=(Tahmin!$C$4+76),DATE(YEAR((Tahmin!$C$4+76)),MONTH((Tahmin!$C$4+76)),MIN(DAY(Kalemler!$D16),DAY(EOMONTH((Tahmin!$C$4+76),0))))&lt;&gt;DATE(YEAR((Tahmin!$C$4+70)),MONTH((Tahmin!$C$4+70)),MIN(DAY(Kalemler!$D16),DAY(EOMONTH((Tahmin!$C$4+70),0)))),DATE(YEAR((Tahmin!$C$4+76)),MONTH((Tahmin!$C$4+76)),MIN(DAY(Kalemler!$D16),DAY(EOMONTH((Tahmin!$C$4+76),0))))&gt;=Kalemler!$D16)),1,0),IF(AND(Kalemler!$D16&gt;=(Tahmin!$C$4+70),Kalemler!$D16&lt;=(Tahmin!$C$4+76)),1,0))))</f>
        <v>0</v>
      </c>
      <c r="M16" s="0" t="n">
        <f aca="false">IF(OR(Kalemler!$A16="",Kalemler!$C16="",Kalemler!$D16=""),0,Kalemler!$C16*IF(Kalemler!$E16="Haftalık",IF(Kalemler!$D16&lt;=(Tahmin!$C$4+83),1,0),IF(Kalemler!$E16="Aylık",IF(OR(AND(DATE(YEAR((Tahmin!$C$4+77)),MONTH((Tahmin!$C$4+77)),MIN(DAY(Kalemler!$D16),DAY(EOMONTH((Tahmin!$C$4+77),0))))&gt;=(Tahmin!$C$4+77),DATE(YEAR((Tahmin!$C$4+77)),MONTH((Tahmin!$C$4+77)),MIN(DAY(Kalemler!$D16),DAY(EOMONTH((Tahmin!$C$4+77),0))))&lt;=(Tahmin!$C$4+83),DATE(YEAR((Tahmin!$C$4+77)),MONTH((Tahmin!$C$4+77)),MIN(DAY(Kalemler!$D16),DAY(EOMONTH((Tahmin!$C$4+77),0))))&gt;=Kalemler!$D16),AND(DATE(YEAR((Tahmin!$C$4+83)),MONTH((Tahmin!$C$4+83)),MIN(DAY(Kalemler!$D16),DAY(EOMONTH((Tahmin!$C$4+83),0))))&gt;=(Tahmin!$C$4+77),DATE(YEAR((Tahmin!$C$4+83)),MONTH((Tahmin!$C$4+83)),MIN(DAY(Kalemler!$D16),DAY(EOMONTH((Tahmin!$C$4+83),0))))&lt;=(Tahmin!$C$4+83),DATE(YEAR((Tahmin!$C$4+83)),MONTH((Tahmin!$C$4+83)),MIN(DAY(Kalemler!$D16),DAY(EOMONTH((Tahmin!$C$4+83),0))))&lt;&gt;DATE(YEAR((Tahmin!$C$4+77)),MONTH((Tahmin!$C$4+77)),MIN(DAY(Kalemler!$D16),DAY(EOMONTH((Tahmin!$C$4+77),0)))),DATE(YEAR((Tahmin!$C$4+83)),MONTH((Tahmin!$C$4+83)),MIN(DAY(Kalemler!$D16),DAY(EOMONTH((Tahmin!$C$4+83),0))))&gt;=Kalemler!$D16)),1,0),IF(AND(Kalemler!$D16&gt;=(Tahmin!$C$4+77),Kalemler!$D16&lt;=(Tahmin!$C$4+83)),1,0))))</f>
        <v>0</v>
      </c>
      <c r="N16" s="0" t="n">
        <f aca="false">IF(OR(Kalemler!$A16="",Kalemler!$C16="",Kalemler!$D16=""),0,Kalemler!$C16*IF(Kalemler!$E16="Haftalık",IF(Kalemler!$D16&lt;=(Tahmin!$C$4+90),1,0),IF(Kalemler!$E16="Aylık",IF(OR(AND(DATE(YEAR((Tahmin!$C$4+84)),MONTH((Tahmin!$C$4+84)),MIN(DAY(Kalemler!$D16),DAY(EOMONTH((Tahmin!$C$4+84),0))))&gt;=(Tahmin!$C$4+84),DATE(YEAR((Tahmin!$C$4+84)),MONTH((Tahmin!$C$4+84)),MIN(DAY(Kalemler!$D16),DAY(EOMONTH((Tahmin!$C$4+84),0))))&lt;=(Tahmin!$C$4+90),DATE(YEAR((Tahmin!$C$4+84)),MONTH((Tahmin!$C$4+84)),MIN(DAY(Kalemler!$D16),DAY(EOMONTH((Tahmin!$C$4+84),0))))&gt;=Kalemler!$D16),AND(DATE(YEAR((Tahmin!$C$4+90)),MONTH((Tahmin!$C$4+90)),MIN(DAY(Kalemler!$D16),DAY(EOMONTH((Tahmin!$C$4+90),0))))&gt;=(Tahmin!$C$4+84),DATE(YEAR((Tahmin!$C$4+90)),MONTH((Tahmin!$C$4+90)),MIN(DAY(Kalemler!$D16),DAY(EOMONTH((Tahmin!$C$4+90),0))))&lt;=(Tahmin!$C$4+90),DATE(YEAR((Tahmin!$C$4+90)),MONTH((Tahmin!$C$4+90)),MIN(DAY(Kalemler!$D16),DAY(EOMONTH((Tahmin!$C$4+90),0))))&lt;&gt;DATE(YEAR((Tahmin!$C$4+84)),MONTH((Tahmin!$C$4+84)),MIN(DAY(Kalemler!$D16),DAY(EOMONTH((Tahmin!$C$4+84),0)))),DATE(YEAR((Tahmin!$C$4+90)),MONTH((Tahmin!$C$4+90)),MIN(DAY(Kalemler!$D16),DAY(EOMONTH((Tahmin!$C$4+90),0))))&gt;=Kalemler!$D16)),1,0),IF(AND(Kalemler!$D16&gt;=(Tahmin!$C$4+84),Kalemler!$D16&lt;=(Tahmin!$C$4+90)),1,0))))</f>
        <v>0</v>
      </c>
    </row>
    <row r="17" customFormat="false" ht="15" hidden="false" customHeight="false" outlineLevel="0" collapsed="false">
      <c r="A17" s="0" t="str">
        <f aca="false">IF(Kalemler!A17="","",Kalemler!A17)</f>
        <v/>
      </c>
      <c r="B17" s="0" t="n">
        <f aca="false">IF(OR(Kalemler!$A17="",Kalemler!$C17="",Kalemler!$D17=""),0,Kalemler!$C17*IF(Kalemler!$E17="Haftalık",IF(Kalemler!$D17&lt;=(Tahmin!$C$4+6),1,0),IF(Kalemler!$E17="Aylık",IF(OR(AND(DATE(YEAR((Tahmin!$C$4+0)),MONTH((Tahmin!$C$4+0)),MIN(DAY(Kalemler!$D17),DAY(EOMONTH((Tahmin!$C$4+0),0))))&gt;=(Tahmin!$C$4+0),DATE(YEAR((Tahmin!$C$4+0)),MONTH((Tahmin!$C$4+0)),MIN(DAY(Kalemler!$D17),DAY(EOMONTH((Tahmin!$C$4+0),0))))&lt;=(Tahmin!$C$4+6),DATE(YEAR((Tahmin!$C$4+0)),MONTH((Tahmin!$C$4+0)),MIN(DAY(Kalemler!$D17),DAY(EOMONTH((Tahmin!$C$4+0),0))))&gt;=Kalemler!$D17),AND(DATE(YEAR((Tahmin!$C$4+6)),MONTH((Tahmin!$C$4+6)),MIN(DAY(Kalemler!$D17),DAY(EOMONTH((Tahmin!$C$4+6),0))))&gt;=(Tahmin!$C$4+0),DATE(YEAR((Tahmin!$C$4+6)),MONTH((Tahmin!$C$4+6)),MIN(DAY(Kalemler!$D17),DAY(EOMONTH((Tahmin!$C$4+6),0))))&lt;=(Tahmin!$C$4+6),DATE(YEAR((Tahmin!$C$4+6)),MONTH((Tahmin!$C$4+6)),MIN(DAY(Kalemler!$D17),DAY(EOMONTH((Tahmin!$C$4+6),0))))&lt;&gt;DATE(YEAR((Tahmin!$C$4+0)),MONTH((Tahmin!$C$4+0)),MIN(DAY(Kalemler!$D17),DAY(EOMONTH((Tahmin!$C$4+0),0)))),DATE(YEAR((Tahmin!$C$4+6)),MONTH((Tahmin!$C$4+6)),MIN(DAY(Kalemler!$D17),DAY(EOMONTH((Tahmin!$C$4+6),0))))&gt;=Kalemler!$D17)),1,0),IF(AND(Kalemler!$D17&gt;=(Tahmin!$C$4+0),Kalemler!$D17&lt;=(Tahmin!$C$4+6)),1,0))))</f>
        <v>0</v>
      </c>
      <c r="C17" s="0" t="n">
        <f aca="false">IF(OR(Kalemler!$A17="",Kalemler!$C17="",Kalemler!$D17=""),0,Kalemler!$C17*IF(Kalemler!$E17="Haftalık",IF(Kalemler!$D17&lt;=(Tahmin!$C$4+13),1,0),IF(Kalemler!$E17="Aylık",IF(OR(AND(DATE(YEAR((Tahmin!$C$4+7)),MONTH((Tahmin!$C$4+7)),MIN(DAY(Kalemler!$D17),DAY(EOMONTH((Tahmin!$C$4+7),0))))&gt;=(Tahmin!$C$4+7),DATE(YEAR((Tahmin!$C$4+7)),MONTH((Tahmin!$C$4+7)),MIN(DAY(Kalemler!$D17),DAY(EOMONTH((Tahmin!$C$4+7),0))))&lt;=(Tahmin!$C$4+13),DATE(YEAR((Tahmin!$C$4+7)),MONTH((Tahmin!$C$4+7)),MIN(DAY(Kalemler!$D17),DAY(EOMONTH((Tahmin!$C$4+7),0))))&gt;=Kalemler!$D17),AND(DATE(YEAR((Tahmin!$C$4+13)),MONTH((Tahmin!$C$4+13)),MIN(DAY(Kalemler!$D17),DAY(EOMONTH((Tahmin!$C$4+13),0))))&gt;=(Tahmin!$C$4+7),DATE(YEAR((Tahmin!$C$4+13)),MONTH((Tahmin!$C$4+13)),MIN(DAY(Kalemler!$D17),DAY(EOMONTH((Tahmin!$C$4+13),0))))&lt;=(Tahmin!$C$4+13),DATE(YEAR((Tahmin!$C$4+13)),MONTH((Tahmin!$C$4+13)),MIN(DAY(Kalemler!$D17),DAY(EOMONTH((Tahmin!$C$4+13),0))))&lt;&gt;DATE(YEAR((Tahmin!$C$4+7)),MONTH((Tahmin!$C$4+7)),MIN(DAY(Kalemler!$D17),DAY(EOMONTH((Tahmin!$C$4+7),0)))),DATE(YEAR((Tahmin!$C$4+13)),MONTH((Tahmin!$C$4+13)),MIN(DAY(Kalemler!$D17),DAY(EOMONTH((Tahmin!$C$4+13),0))))&gt;=Kalemler!$D17)),1,0),IF(AND(Kalemler!$D17&gt;=(Tahmin!$C$4+7),Kalemler!$D17&lt;=(Tahmin!$C$4+13)),1,0))))</f>
        <v>0</v>
      </c>
      <c r="D17" s="0" t="n">
        <f aca="false">IF(OR(Kalemler!$A17="",Kalemler!$C17="",Kalemler!$D17=""),0,Kalemler!$C17*IF(Kalemler!$E17="Haftalık",IF(Kalemler!$D17&lt;=(Tahmin!$C$4+20),1,0),IF(Kalemler!$E17="Aylık",IF(OR(AND(DATE(YEAR((Tahmin!$C$4+14)),MONTH((Tahmin!$C$4+14)),MIN(DAY(Kalemler!$D17),DAY(EOMONTH((Tahmin!$C$4+14),0))))&gt;=(Tahmin!$C$4+14),DATE(YEAR((Tahmin!$C$4+14)),MONTH((Tahmin!$C$4+14)),MIN(DAY(Kalemler!$D17),DAY(EOMONTH((Tahmin!$C$4+14),0))))&lt;=(Tahmin!$C$4+20),DATE(YEAR((Tahmin!$C$4+14)),MONTH((Tahmin!$C$4+14)),MIN(DAY(Kalemler!$D17),DAY(EOMONTH((Tahmin!$C$4+14),0))))&gt;=Kalemler!$D17),AND(DATE(YEAR((Tahmin!$C$4+20)),MONTH((Tahmin!$C$4+20)),MIN(DAY(Kalemler!$D17),DAY(EOMONTH((Tahmin!$C$4+20),0))))&gt;=(Tahmin!$C$4+14),DATE(YEAR((Tahmin!$C$4+20)),MONTH((Tahmin!$C$4+20)),MIN(DAY(Kalemler!$D17),DAY(EOMONTH((Tahmin!$C$4+20),0))))&lt;=(Tahmin!$C$4+20),DATE(YEAR((Tahmin!$C$4+20)),MONTH((Tahmin!$C$4+20)),MIN(DAY(Kalemler!$D17),DAY(EOMONTH((Tahmin!$C$4+20),0))))&lt;&gt;DATE(YEAR((Tahmin!$C$4+14)),MONTH((Tahmin!$C$4+14)),MIN(DAY(Kalemler!$D17),DAY(EOMONTH((Tahmin!$C$4+14),0)))),DATE(YEAR((Tahmin!$C$4+20)),MONTH((Tahmin!$C$4+20)),MIN(DAY(Kalemler!$D17),DAY(EOMONTH((Tahmin!$C$4+20),0))))&gt;=Kalemler!$D17)),1,0),IF(AND(Kalemler!$D17&gt;=(Tahmin!$C$4+14),Kalemler!$D17&lt;=(Tahmin!$C$4+20)),1,0))))</f>
        <v>0</v>
      </c>
      <c r="E17" s="0" t="n">
        <f aca="false">IF(OR(Kalemler!$A17="",Kalemler!$C17="",Kalemler!$D17=""),0,Kalemler!$C17*IF(Kalemler!$E17="Haftalık",IF(Kalemler!$D17&lt;=(Tahmin!$C$4+27),1,0),IF(Kalemler!$E17="Aylık",IF(OR(AND(DATE(YEAR((Tahmin!$C$4+21)),MONTH((Tahmin!$C$4+21)),MIN(DAY(Kalemler!$D17),DAY(EOMONTH((Tahmin!$C$4+21),0))))&gt;=(Tahmin!$C$4+21),DATE(YEAR((Tahmin!$C$4+21)),MONTH((Tahmin!$C$4+21)),MIN(DAY(Kalemler!$D17),DAY(EOMONTH((Tahmin!$C$4+21),0))))&lt;=(Tahmin!$C$4+27),DATE(YEAR((Tahmin!$C$4+21)),MONTH((Tahmin!$C$4+21)),MIN(DAY(Kalemler!$D17),DAY(EOMONTH((Tahmin!$C$4+21),0))))&gt;=Kalemler!$D17),AND(DATE(YEAR((Tahmin!$C$4+27)),MONTH((Tahmin!$C$4+27)),MIN(DAY(Kalemler!$D17),DAY(EOMONTH((Tahmin!$C$4+27),0))))&gt;=(Tahmin!$C$4+21),DATE(YEAR((Tahmin!$C$4+27)),MONTH((Tahmin!$C$4+27)),MIN(DAY(Kalemler!$D17),DAY(EOMONTH((Tahmin!$C$4+27),0))))&lt;=(Tahmin!$C$4+27),DATE(YEAR((Tahmin!$C$4+27)),MONTH((Tahmin!$C$4+27)),MIN(DAY(Kalemler!$D17),DAY(EOMONTH((Tahmin!$C$4+27),0))))&lt;&gt;DATE(YEAR((Tahmin!$C$4+21)),MONTH((Tahmin!$C$4+21)),MIN(DAY(Kalemler!$D17),DAY(EOMONTH((Tahmin!$C$4+21),0)))),DATE(YEAR((Tahmin!$C$4+27)),MONTH((Tahmin!$C$4+27)),MIN(DAY(Kalemler!$D17),DAY(EOMONTH((Tahmin!$C$4+27),0))))&gt;=Kalemler!$D17)),1,0),IF(AND(Kalemler!$D17&gt;=(Tahmin!$C$4+21),Kalemler!$D17&lt;=(Tahmin!$C$4+27)),1,0))))</f>
        <v>0</v>
      </c>
      <c r="F17" s="0" t="n">
        <f aca="false">IF(OR(Kalemler!$A17="",Kalemler!$C17="",Kalemler!$D17=""),0,Kalemler!$C17*IF(Kalemler!$E17="Haftalık",IF(Kalemler!$D17&lt;=(Tahmin!$C$4+34),1,0),IF(Kalemler!$E17="Aylık",IF(OR(AND(DATE(YEAR((Tahmin!$C$4+28)),MONTH((Tahmin!$C$4+28)),MIN(DAY(Kalemler!$D17),DAY(EOMONTH((Tahmin!$C$4+28),0))))&gt;=(Tahmin!$C$4+28),DATE(YEAR((Tahmin!$C$4+28)),MONTH((Tahmin!$C$4+28)),MIN(DAY(Kalemler!$D17),DAY(EOMONTH((Tahmin!$C$4+28),0))))&lt;=(Tahmin!$C$4+34),DATE(YEAR((Tahmin!$C$4+28)),MONTH((Tahmin!$C$4+28)),MIN(DAY(Kalemler!$D17),DAY(EOMONTH((Tahmin!$C$4+28),0))))&gt;=Kalemler!$D17),AND(DATE(YEAR((Tahmin!$C$4+34)),MONTH((Tahmin!$C$4+34)),MIN(DAY(Kalemler!$D17),DAY(EOMONTH((Tahmin!$C$4+34),0))))&gt;=(Tahmin!$C$4+28),DATE(YEAR((Tahmin!$C$4+34)),MONTH((Tahmin!$C$4+34)),MIN(DAY(Kalemler!$D17),DAY(EOMONTH((Tahmin!$C$4+34),0))))&lt;=(Tahmin!$C$4+34),DATE(YEAR((Tahmin!$C$4+34)),MONTH((Tahmin!$C$4+34)),MIN(DAY(Kalemler!$D17),DAY(EOMONTH((Tahmin!$C$4+34),0))))&lt;&gt;DATE(YEAR((Tahmin!$C$4+28)),MONTH((Tahmin!$C$4+28)),MIN(DAY(Kalemler!$D17),DAY(EOMONTH((Tahmin!$C$4+28),0)))),DATE(YEAR((Tahmin!$C$4+34)),MONTH((Tahmin!$C$4+34)),MIN(DAY(Kalemler!$D17),DAY(EOMONTH((Tahmin!$C$4+34),0))))&gt;=Kalemler!$D17)),1,0),IF(AND(Kalemler!$D17&gt;=(Tahmin!$C$4+28),Kalemler!$D17&lt;=(Tahmin!$C$4+34)),1,0))))</f>
        <v>0</v>
      </c>
      <c r="G17" s="0" t="n">
        <f aca="false">IF(OR(Kalemler!$A17="",Kalemler!$C17="",Kalemler!$D17=""),0,Kalemler!$C17*IF(Kalemler!$E17="Haftalık",IF(Kalemler!$D17&lt;=(Tahmin!$C$4+41),1,0),IF(Kalemler!$E17="Aylık",IF(OR(AND(DATE(YEAR((Tahmin!$C$4+35)),MONTH((Tahmin!$C$4+35)),MIN(DAY(Kalemler!$D17),DAY(EOMONTH((Tahmin!$C$4+35),0))))&gt;=(Tahmin!$C$4+35),DATE(YEAR((Tahmin!$C$4+35)),MONTH((Tahmin!$C$4+35)),MIN(DAY(Kalemler!$D17),DAY(EOMONTH((Tahmin!$C$4+35),0))))&lt;=(Tahmin!$C$4+41),DATE(YEAR((Tahmin!$C$4+35)),MONTH((Tahmin!$C$4+35)),MIN(DAY(Kalemler!$D17),DAY(EOMONTH((Tahmin!$C$4+35),0))))&gt;=Kalemler!$D17),AND(DATE(YEAR((Tahmin!$C$4+41)),MONTH((Tahmin!$C$4+41)),MIN(DAY(Kalemler!$D17),DAY(EOMONTH((Tahmin!$C$4+41),0))))&gt;=(Tahmin!$C$4+35),DATE(YEAR((Tahmin!$C$4+41)),MONTH((Tahmin!$C$4+41)),MIN(DAY(Kalemler!$D17),DAY(EOMONTH((Tahmin!$C$4+41),0))))&lt;=(Tahmin!$C$4+41),DATE(YEAR((Tahmin!$C$4+41)),MONTH((Tahmin!$C$4+41)),MIN(DAY(Kalemler!$D17),DAY(EOMONTH((Tahmin!$C$4+41),0))))&lt;&gt;DATE(YEAR((Tahmin!$C$4+35)),MONTH((Tahmin!$C$4+35)),MIN(DAY(Kalemler!$D17),DAY(EOMONTH((Tahmin!$C$4+35),0)))),DATE(YEAR((Tahmin!$C$4+41)),MONTH((Tahmin!$C$4+41)),MIN(DAY(Kalemler!$D17),DAY(EOMONTH((Tahmin!$C$4+41),0))))&gt;=Kalemler!$D17)),1,0),IF(AND(Kalemler!$D17&gt;=(Tahmin!$C$4+35),Kalemler!$D17&lt;=(Tahmin!$C$4+41)),1,0))))</f>
        <v>0</v>
      </c>
      <c r="H17" s="0" t="n">
        <f aca="false">IF(OR(Kalemler!$A17="",Kalemler!$C17="",Kalemler!$D17=""),0,Kalemler!$C17*IF(Kalemler!$E17="Haftalık",IF(Kalemler!$D17&lt;=(Tahmin!$C$4+48),1,0),IF(Kalemler!$E17="Aylık",IF(OR(AND(DATE(YEAR((Tahmin!$C$4+42)),MONTH((Tahmin!$C$4+42)),MIN(DAY(Kalemler!$D17),DAY(EOMONTH((Tahmin!$C$4+42),0))))&gt;=(Tahmin!$C$4+42),DATE(YEAR((Tahmin!$C$4+42)),MONTH((Tahmin!$C$4+42)),MIN(DAY(Kalemler!$D17),DAY(EOMONTH((Tahmin!$C$4+42),0))))&lt;=(Tahmin!$C$4+48),DATE(YEAR((Tahmin!$C$4+42)),MONTH((Tahmin!$C$4+42)),MIN(DAY(Kalemler!$D17),DAY(EOMONTH((Tahmin!$C$4+42),0))))&gt;=Kalemler!$D17),AND(DATE(YEAR((Tahmin!$C$4+48)),MONTH((Tahmin!$C$4+48)),MIN(DAY(Kalemler!$D17),DAY(EOMONTH((Tahmin!$C$4+48),0))))&gt;=(Tahmin!$C$4+42),DATE(YEAR((Tahmin!$C$4+48)),MONTH((Tahmin!$C$4+48)),MIN(DAY(Kalemler!$D17),DAY(EOMONTH((Tahmin!$C$4+48),0))))&lt;=(Tahmin!$C$4+48),DATE(YEAR((Tahmin!$C$4+48)),MONTH((Tahmin!$C$4+48)),MIN(DAY(Kalemler!$D17),DAY(EOMONTH((Tahmin!$C$4+48),0))))&lt;&gt;DATE(YEAR((Tahmin!$C$4+42)),MONTH((Tahmin!$C$4+42)),MIN(DAY(Kalemler!$D17),DAY(EOMONTH((Tahmin!$C$4+42),0)))),DATE(YEAR((Tahmin!$C$4+48)),MONTH((Tahmin!$C$4+48)),MIN(DAY(Kalemler!$D17),DAY(EOMONTH((Tahmin!$C$4+48),0))))&gt;=Kalemler!$D17)),1,0),IF(AND(Kalemler!$D17&gt;=(Tahmin!$C$4+42),Kalemler!$D17&lt;=(Tahmin!$C$4+48)),1,0))))</f>
        <v>0</v>
      </c>
      <c r="I17" s="0" t="n">
        <f aca="false">IF(OR(Kalemler!$A17="",Kalemler!$C17="",Kalemler!$D17=""),0,Kalemler!$C17*IF(Kalemler!$E17="Haftalık",IF(Kalemler!$D17&lt;=(Tahmin!$C$4+55),1,0),IF(Kalemler!$E17="Aylık",IF(OR(AND(DATE(YEAR((Tahmin!$C$4+49)),MONTH((Tahmin!$C$4+49)),MIN(DAY(Kalemler!$D17),DAY(EOMONTH((Tahmin!$C$4+49),0))))&gt;=(Tahmin!$C$4+49),DATE(YEAR((Tahmin!$C$4+49)),MONTH((Tahmin!$C$4+49)),MIN(DAY(Kalemler!$D17),DAY(EOMONTH((Tahmin!$C$4+49),0))))&lt;=(Tahmin!$C$4+55),DATE(YEAR((Tahmin!$C$4+49)),MONTH((Tahmin!$C$4+49)),MIN(DAY(Kalemler!$D17),DAY(EOMONTH((Tahmin!$C$4+49),0))))&gt;=Kalemler!$D17),AND(DATE(YEAR((Tahmin!$C$4+55)),MONTH((Tahmin!$C$4+55)),MIN(DAY(Kalemler!$D17),DAY(EOMONTH((Tahmin!$C$4+55),0))))&gt;=(Tahmin!$C$4+49),DATE(YEAR((Tahmin!$C$4+55)),MONTH((Tahmin!$C$4+55)),MIN(DAY(Kalemler!$D17),DAY(EOMONTH((Tahmin!$C$4+55),0))))&lt;=(Tahmin!$C$4+55),DATE(YEAR((Tahmin!$C$4+55)),MONTH((Tahmin!$C$4+55)),MIN(DAY(Kalemler!$D17),DAY(EOMONTH((Tahmin!$C$4+55),0))))&lt;&gt;DATE(YEAR((Tahmin!$C$4+49)),MONTH((Tahmin!$C$4+49)),MIN(DAY(Kalemler!$D17),DAY(EOMONTH((Tahmin!$C$4+49),0)))),DATE(YEAR((Tahmin!$C$4+55)),MONTH((Tahmin!$C$4+55)),MIN(DAY(Kalemler!$D17),DAY(EOMONTH((Tahmin!$C$4+55),0))))&gt;=Kalemler!$D17)),1,0),IF(AND(Kalemler!$D17&gt;=(Tahmin!$C$4+49),Kalemler!$D17&lt;=(Tahmin!$C$4+55)),1,0))))</f>
        <v>0</v>
      </c>
      <c r="J17" s="0" t="n">
        <f aca="false">IF(OR(Kalemler!$A17="",Kalemler!$C17="",Kalemler!$D17=""),0,Kalemler!$C17*IF(Kalemler!$E17="Haftalık",IF(Kalemler!$D17&lt;=(Tahmin!$C$4+62),1,0),IF(Kalemler!$E17="Aylık",IF(OR(AND(DATE(YEAR((Tahmin!$C$4+56)),MONTH((Tahmin!$C$4+56)),MIN(DAY(Kalemler!$D17),DAY(EOMONTH((Tahmin!$C$4+56),0))))&gt;=(Tahmin!$C$4+56),DATE(YEAR((Tahmin!$C$4+56)),MONTH((Tahmin!$C$4+56)),MIN(DAY(Kalemler!$D17),DAY(EOMONTH((Tahmin!$C$4+56),0))))&lt;=(Tahmin!$C$4+62),DATE(YEAR((Tahmin!$C$4+56)),MONTH((Tahmin!$C$4+56)),MIN(DAY(Kalemler!$D17),DAY(EOMONTH((Tahmin!$C$4+56),0))))&gt;=Kalemler!$D17),AND(DATE(YEAR((Tahmin!$C$4+62)),MONTH((Tahmin!$C$4+62)),MIN(DAY(Kalemler!$D17),DAY(EOMONTH((Tahmin!$C$4+62),0))))&gt;=(Tahmin!$C$4+56),DATE(YEAR((Tahmin!$C$4+62)),MONTH((Tahmin!$C$4+62)),MIN(DAY(Kalemler!$D17),DAY(EOMONTH((Tahmin!$C$4+62),0))))&lt;=(Tahmin!$C$4+62),DATE(YEAR((Tahmin!$C$4+62)),MONTH((Tahmin!$C$4+62)),MIN(DAY(Kalemler!$D17),DAY(EOMONTH((Tahmin!$C$4+62),0))))&lt;&gt;DATE(YEAR((Tahmin!$C$4+56)),MONTH((Tahmin!$C$4+56)),MIN(DAY(Kalemler!$D17),DAY(EOMONTH((Tahmin!$C$4+56),0)))),DATE(YEAR((Tahmin!$C$4+62)),MONTH((Tahmin!$C$4+62)),MIN(DAY(Kalemler!$D17),DAY(EOMONTH((Tahmin!$C$4+62),0))))&gt;=Kalemler!$D17)),1,0),IF(AND(Kalemler!$D17&gt;=(Tahmin!$C$4+56),Kalemler!$D17&lt;=(Tahmin!$C$4+62)),1,0))))</f>
        <v>0</v>
      </c>
      <c r="K17" s="0" t="n">
        <f aca="false">IF(OR(Kalemler!$A17="",Kalemler!$C17="",Kalemler!$D17=""),0,Kalemler!$C17*IF(Kalemler!$E17="Haftalık",IF(Kalemler!$D17&lt;=(Tahmin!$C$4+69),1,0),IF(Kalemler!$E17="Aylık",IF(OR(AND(DATE(YEAR((Tahmin!$C$4+63)),MONTH((Tahmin!$C$4+63)),MIN(DAY(Kalemler!$D17),DAY(EOMONTH((Tahmin!$C$4+63),0))))&gt;=(Tahmin!$C$4+63),DATE(YEAR((Tahmin!$C$4+63)),MONTH((Tahmin!$C$4+63)),MIN(DAY(Kalemler!$D17),DAY(EOMONTH((Tahmin!$C$4+63),0))))&lt;=(Tahmin!$C$4+69),DATE(YEAR((Tahmin!$C$4+63)),MONTH((Tahmin!$C$4+63)),MIN(DAY(Kalemler!$D17),DAY(EOMONTH((Tahmin!$C$4+63),0))))&gt;=Kalemler!$D17),AND(DATE(YEAR((Tahmin!$C$4+69)),MONTH((Tahmin!$C$4+69)),MIN(DAY(Kalemler!$D17),DAY(EOMONTH((Tahmin!$C$4+69),0))))&gt;=(Tahmin!$C$4+63),DATE(YEAR((Tahmin!$C$4+69)),MONTH((Tahmin!$C$4+69)),MIN(DAY(Kalemler!$D17),DAY(EOMONTH((Tahmin!$C$4+69),0))))&lt;=(Tahmin!$C$4+69),DATE(YEAR((Tahmin!$C$4+69)),MONTH((Tahmin!$C$4+69)),MIN(DAY(Kalemler!$D17),DAY(EOMONTH((Tahmin!$C$4+69),0))))&lt;&gt;DATE(YEAR((Tahmin!$C$4+63)),MONTH((Tahmin!$C$4+63)),MIN(DAY(Kalemler!$D17),DAY(EOMONTH((Tahmin!$C$4+63),0)))),DATE(YEAR((Tahmin!$C$4+69)),MONTH((Tahmin!$C$4+69)),MIN(DAY(Kalemler!$D17),DAY(EOMONTH((Tahmin!$C$4+69),0))))&gt;=Kalemler!$D17)),1,0),IF(AND(Kalemler!$D17&gt;=(Tahmin!$C$4+63),Kalemler!$D17&lt;=(Tahmin!$C$4+69)),1,0))))</f>
        <v>0</v>
      </c>
      <c r="L17" s="0" t="n">
        <f aca="false">IF(OR(Kalemler!$A17="",Kalemler!$C17="",Kalemler!$D17=""),0,Kalemler!$C17*IF(Kalemler!$E17="Haftalık",IF(Kalemler!$D17&lt;=(Tahmin!$C$4+76),1,0),IF(Kalemler!$E17="Aylık",IF(OR(AND(DATE(YEAR((Tahmin!$C$4+70)),MONTH((Tahmin!$C$4+70)),MIN(DAY(Kalemler!$D17),DAY(EOMONTH((Tahmin!$C$4+70),0))))&gt;=(Tahmin!$C$4+70),DATE(YEAR((Tahmin!$C$4+70)),MONTH((Tahmin!$C$4+70)),MIN(DAY(Kalemler!$D17),DAY(EOMONTH((Tahmin!$C$4+70),0))))&lt;=(Tahmin!$C$4+76),DATE(YEAR((Tahmin!$C$4+70)),MONTH((Tahmin!$C$4+70)),MIN(DAY(Kalemler!$D17),DAY(EOMONTH((Tahmin!$C$4+70),0))))&gt;=Kalemler!$D17),AND(DATE(YEAR((Tahmin!$C$4+76)),MONTH((Tahmin!$C$4+76)),MIN(DAY(Kalemler!$D17),DAY(EOMONTH((Tahmin!$C$4+76),0))))&gt;=(Tahmin!$C$4+70),DATE(YEAR((Tahmin!$C$4+76)),MONTH((Tahmin!$C$4+76)),MIN(DAY(Kalemler!$D17),DAY(EOMONTH((Tahmin!$C$4+76),0))))&lt;=(Tahmin!$C$4+76),DATE(YEAR((Tahmin!$C$4+76)),MONTH((Tahmin!$C$4+76)),MIN(DAY(Kalemler!$D17),DAY(EOMONTH((Tahmin!$C$4+76),0))))&lt;&gt;DATE(YEAR((Tahmin!$C$4+70)),MONTH((Tahmin!$C$4+70)),MIN(DAY(Kalemler!$D17),DAY(EOMONTH((Tahmin!$C$4+70),0)))),DATE(YEAR((Tahmin!$C$4+76)),MONTH((Tahmin!$C$4+76)),MIN(DAY(Kalemler!$D17),DAY(EOMONTH((Tahmin!$C$4+76),0))))&gt;=Kalemler!$D17)),1,0),IF(AND(Kalemler!$D17&gt;=(Tahmin!$C$4+70),Kalemler!$D17&lt;=(Tahmin!$C$4+76)),1,0))))</f>
        <v>0</v>
      </c>
      <c r="M17" s="0" t="n">
        <f aca="false">IF(OR(Kalemler!$A17="",Kalemler!$C17="",Kalemler!$D17=""),0,Kalemler!$C17*IF(Kalemler!$E17="Haftalık",IF(Kalemler!$D17&lt;=(Tahmin!$C$4+83),1,0),IF(Kalemler!$E17="Aylık",IF(OR(AND(DATE(YEAR((Tahmin!$C$4+77)),MONTH((Tahmin!$C$4+77)),MIN(DAY(Kalemler!$D17),DAY(EOMONTH((Tahmin!$C$4+77),0))))&gt;=(Tahmin!$C$4+77),DATE(YEAR((Tahmin!$C$4+77)),MONTH((Tahmin!$C$4+77)),MIN(DAY(Kalemler!$D17),DAY(EOMONTH((Tahmin!$C$4+77),0))))&lt;=(Tahmin!$C$4+83),DATE(YEAR((Tahmin!$C$4+77)),MONTH((Tahmin!$C$4+77)),MIN(DAY(Kalemler!$D17),DAY(EOMONTH((Tahmin!$C$4+77),0))))&gt;=Kalemler!$D17),AND(DATE(YEAR((Tahmin!$C$4+83)),MONTH((Tahmin!$C$4+83)),MIN(DAY(Kalemler!$D17),DAY(EOMONTH((Tahmin!$C$4+83),0))))&gt;=(Tahmin!$C$4+77),DATE(YEAR((Tahmin!$C$4+83)),MONTH((Tahmin!$C$4+83)),MIN(DAY(Kalemler!$D17),DAY(EOMONTH((Tahmin!$C$4+83),0))))&lt;=(Tahmin!$C$4+83),DATE(YEAR((Tahmin!$C$4+83)),MONTH((Tahmin!$C$4+83)),MIN(DAY(Kalemler!$D17),DAY(EOMONTH((Tahmin!$C$4+83),0))))&lt;&gt;DATE(YEAR((Tahmin!$C$4+77)),MONTH((Tahmin!$C$4+77)),MIN(DAY(Kalemler!$D17),DAY(EOMONTH((Tahmin!$C$4+77),0)))),DATE(YEAR((Tahmin!$C$4+83)),MONTH((Tahmin!$C$4+83)),MIN(DAY(Kalemler!$D17),DAY(EOMONTH((Tahmin!$C$4+83),0))))&gt;=Kalemler!$D17)),1,0),IF(AND(Kalemler!$D17&gt;=(Tahmin!$C$4+77),Kalemler!$D17&lt;=(Tahmin!$C$4+83)),1,0))))</f>
        <v>0</v>
      </c>
      <c r="N17" s="0" t="n">
        <f aca="false">IF(OR(Kalemler!$A17="",Kalemler!$C17="",Kalemler!$D17=""),0,Kalemler!$C17*IF(Kalemler!$E17="Haftalık",IF(Kalemler!$D17&lt;=(Tahmin!$C$4+90),1,0),IF(Kalemler!$E17="Aylık",IF(OR(AND(DATE(YEAR((Tahmin!$C$4+84)),MONTH((Tahmin!$C$4+84)),MIN(DAY(Kalemler!$D17),DAY(EOMONTH((Tahmin!$C$4+84),0))))&gt;=(Tahmin!$C$4+84),DATE(YEAR((Tahmin!$C$4+84)),MONTH((Tahmin!$C$4+84)),MIN(DAY(Kalemler!$D17),DAY(EOMONTH((Tahmin!$C$4+84),0))))&lt;=(Tahmin!$C$4+90),DATE(YEAR((Tahmin!$C$4+84)),MONTH((Tahmin!$C$4+84)),MIN(DAY(Kalemler!$D17),DAY(EOMONTH((Tahmin!$C$4+84),0))))&gt;=Kalemler!$D17),AND(DATE(YEAR((Tahmin!$C$4+90)),MONTH((Tahmin!$C$4+90)),MIN(DAY(Kalemler!$D17),DAY(EOMONTH((Tahmin!$C$4+90),0))))&gt;=(Tahmin!$C$4+84),DATE(YEAR((Tahmin!$C$4+90)),MONTH((Tahmin!$C$4+90)),MIN(DAY(Kalemler!$D17),DAY(EOMONTH((Tahmin!$C$4+90),0))))&lt;=(Tahmin!$C$4+90),DATE(YEAR((Tahmin!$C$4+90)),MONTH((Tahmin!$C$4+90)),MIN(DAY(Kalemler!$D17),DAY(EOMONTH((Tahmin!$C$4+90),0))))&lt;&gt;DATE(YEAR((Tahmin!$C$4+84)),MONTH((Tahmin!$C$4+84)),MIN(DAY(Kalemler!$D17),DAY(EOMONTH((Tahmin!$C$4+84),0)))),DATE(YEAR((Tahmin!$C$4+90)),MONTH((Tahmin!$C$4+90)),MIN(DAY(Kalemler!$D17),DAY(EOMONTH((Tahmin!$C$4+90),0))))&gt;=Kalemler!$D17)),1,0),IF(AND(Kalemler!$D17&gt;=(Tahmin!$C$4+84),Kalemler!$D17&lt;=(Tahmin!$C$4+90)),1,0))))</f>
        <v>0</v>
      </c>
    </row>
    <row r="18" customFormat="false" ht="15" hidden="false" customHeight="false" outlineLevel="0" collapsed="false">
      <c r="A18" s="0" t="str">
        <f aca="false">IF(Kalemler!A18="","",Kalemler!A18)</f>
        <v/>
      </c>
      <c r="B18" s="0" t="n">
        <f aca="false">IF(OR(Kalemler!$A18="",Kalemler!$C18="",Kalemler!$D18=""),0,Kalemler!$C18*IF(Kalemler!$E18="Haftalık",IF(Kalemler!$D18&lt;=(Tahmin!$C$4+6),1,0),IF(Kalemler!$E18="Aylık",IF(OR(AND(DATE(YEAR((Tahmin!$C$4+0)),MONTH((Tahmin!$C$4+0)),MIN(DAY(Kalemler!$D18),DAY(EOMONTH((Tahmin!$C$4+0),0))))&gt;=(Tahmin!$C$4+0),DATE(YEAR((Tahmin!$C$4+0)),MONTH((Tahmin!$C$4+0)),MIN(DAY(Kalemler!$D18),DAY(EOMONTH((Tahmin!$C$4+0),0))))&lt;=(Tahmin!$C$4+6),DATE(YEAR((Tahmin!$C$4+0)),MONTH((Tahmin!$C$4+0)),MIN(DAY(Kalemler!$D18),DAY(EOMONTH((Tahmin!$C$4+0),0))))&gt;=Kalemler!$D18),AND(DATE(YEAR((Tahmin!$C$4+6)),MONTH((Tahmin!$C$4+6)),MIN(DAY(Kalemler!$D18),DAY(EOMONTH((Tahmin!$C$4+6),0))))&gt;=(Tahmin!$C$4+0),DATE(YEAR((Tahmin!$C$4+6)),MONTH((Tahmin!$C$4+6)),MIN(DAY(Kalemler!$D18),DAY(EOMONTH((Tahmin!$C$4+6),0))))&lt;=(Tahmin!$C$4+6),DATE(YEAR((Tahmin!$C$4+6)),MONTH((Tahmin!$C$4+6)),MIN(DAY(Kalemler!$D18),DAY(EOMONTH((Tahmin!$C$4+6),0))))&lt;&gt;DATE(YEAR((Tahmin!$C$4+0)),MONTH((Tahmin!$C$4+0)),MIN(DAY(Kalemler!$D18),DAY(EOMONTH((Tahmin!$C$4+0),0)))),DATE(YEAR((Tahmin!$C$4+6)),MONTH((Tahmin!$C$4+6)),MIN(DAY(Kalemler!$D18),DAY(EOMONTH((Tahmin!$C$4+6),0))))&gt;=Kalemler!$D18)),1,0),IF(AND(Kalemler!$D18&gt;=(Tahmin!$C$4+0),Kalemler!$D18&lt;=(Tahmin!$C$4+6)),1,0))))</f>
        <v>0</v>
      </c>
      <c r="C18" s="0" t="n">
        <f aca="false">IF(OR(Kalemler!$A18="",Kalemler!$C18="",Kalemler!$D18=""),0,Kalemler!$C18*IF(Kalemler!$E18="Haftalık",IF(Kalemler!$D18&lt;=(Tahmin!$C$4+13),1,0),IF(Kalemler!$E18="Aylık",IF(OR(AND(DATE(YEAR((Tahmin!$C$4+7)),MONTH((Tahmin!$C$4+7)),MIN(DAY(Kalemler!$D18),DAY(EOMONTH((Tahmin!$C$4+7),0))))&gt;=(Tahmin!$C$4+7),DATE(YEAR((Tahmin!$C$4+7)),MONTH((Tahmin!$C$4+7)),MIN(DAY(Kalemler!$D18),DAY(EOMONTH((Tahmin!$C$4+7),0))))&lt;=(Tahmin!$C$4+13),DATE(YEAR((Tahmin!$C$4+7)),MONTH((Tahmin!$C$4+7)),MIN(DAY(Kalemler!$D18),DAY(EOMONTH((Tahmin!$C$4+7),0))))&gt;=Kalemler!$D18),AND(DATE(YEAR((Tahmin!$C$4+13)),MONTH((Tahmin!$C$4+13)),MIN(DAY(Kalemler!$D18),DAY(EOMONTH((Tahmin!$C$4+13),0))))&gt;=(Tahmin!$C$4+7),DATE(YEAR((Tahmin!$C$4+13)),MONTH((Tahmin!$C$4+13)),MIN(DAY(Kalemler!$D18),DAY(EOMONTH((Tahmin!$C$4+13),0))))&lt;=(Tahmin!$C$4+13),DATE(YEAR((Tahmin!$C$4+13)),MONTH((Tahmin!$C$4+13)),MIN(DAY(Kalemler!$D18),DAY(EOMONTH((Tahmin!$C$4+13),0))))&lt;&gt;DATE(YEAR((Tahmin!$C$4+7)),MONTH((Tahmin!$C$4+7)),MIN(DAY(Kalemler!$D18),DAY(EOMONTH((Tahmin!$C$4+7),0)))),DATE(YEAR((Tahmin!$C$4+13)),MONTH((Tahmin!$C$4+13)),MIN(DAY(Kalemler!$D18),DAY(EOMONTH((Tahmin!$C$4+13),0))))&gt;=Kalemler!$D18)),1,0),IF(AND(Kalemler!$D18&gt;=(Tahmin!$C$4+7),Kalemler!$D18&lt;=(Tahmin!$C$4+13)),1,0))))</f>
        <v>0</v>
      </c>
      <c r="D18" s="0" t="n">
        <f aca="false">IF(OR(Kalemler!$A18="",Kalemler!$C18="",Kalemler!$D18=""),0,Kalemler!$C18*IF(Kalemler!$E18="Haftalık",IF(Kalemler!$D18&lt;=(Tahmin!$C$4+20),1,0),IF(Kalemler!$E18="Aylık",IF(OR(AND(DATE(YEAR((Tahmin!$C$4+14)),MONTH((Tahmin!$C$4+14)),MIN(DAY(Kalemler!$D18),DAY(EOMONTH((Tahmin!$C$4+14),0))))&gt;=(Tahmin!$C$4+14),DATE(YEAR((Tahmin!$C$4+14)),MONTH((Tahmin!$C$4+14)),MIN(DAY(Kalemler!$D18),DAY(EOMONTH((Tahmin!$C$4+14),0))))&lt;=(Tahmin!$C$4+20),DATE(YEAR((Tahmin!$C$4+14)),MONTH((Tahmin!$C$4+14)),MIN(DAY(Kalemler!$D18),DAY(EOMONTH((Tahmin!$C$4+14),0))))&gt;=Kalemler!$D18),AND(DATE(YEAR((Tahmin!$C$4+20)),MONTH((Tahmin!$C$4+20)),MIN(DAY(Kalemler!$D18),DAY(EOMONTH((Tahmin!$C$4+20),0))))&gt;=(Tahmin!$C$4+14),DATE(YEAR((Tahmin!$C$4+20)),MONTH((Tahmin!$C$4+20)),MIN(DAY(Kalemler!$D18),DAY(EOMONTH((Tahmin!$C$4+20),0))))&lt;=(Tahmin!$C$4+20),DATE(YEAR((Tahmin!$C$4+20)),MONTH((Tahmin!$C$4+20)),MIN(DAY(Kalemler!$D18),DAY(EOMONTH((Tahmin!$C$4+20),0))))&lt;&gt;DATE(YEAR((Tahmin!$C$4+14)),MONTH((Tahmin!$C$4+14)),MIN(DAY(Kalemler!$D18),DAY(EOMONTH((Tahmin!$C$4+14),0)))),DATE(YEAR((Tahmin!$C$4+20)),MONTH((Tahmin!$C$4+20)),MIN(DAY(Kalemler!$D18),DAY(EOMONTH((Tahmin!$C$4+20),0))))&gt;=Kalemler!$D18)),1,0),IF(AND(Kalemler!$D18&gt;=(Tahmin!$C$4+14),Kalemler!$D18&lt;=(Tahmin!$C$4+20)),1,0))))</f>
        <v>0</v>
      </c>
      <c r="E18" s="0" t="n">
        <f aca="false">IF(OR(Kalemler!$A18="",Kalemler!$C18="",Kalemler!$D18=""),0,Kalemler!$C18*IF(Kalemler!$E18="Haftalık",IF(Kalemler!$D18&lt;=(Tahmin!$C$4+27),1,0),IF(Kalemler!$E18="Aylık",IF(OR(AND(DATE(YEAR((Tahmin!$C$4+21)),MONTH((Tahmin!$C$4+21)),MIN(DAY(Kalemler!$D18),DAY(EOMONTH((Tahmin!$C$4+21),0))))&gt;=(Tahmin!$C$4+21),DATE(YEAR((Tahmin!$C$4+21)),MONTH((Tahmin!$C$4+21)),MIN(DAY(Kalemler!$D18),DAY(EOMONTH((Tahmin!$C$4+21),0))))&lt;=(Tahmin!$C$4+27),DATE(YEAR((Tahmin!$C$4+21)),MONTH((Tahmin!$C$4+21)),MIN(DAY(Kalemler!$D18),DAY(EOMONTH((Tahmin!$C$4+21),0))))&gt;=Kalemler!$D18),AND(DATE(YEAR((Tahmin!$C$4+27)),MONTH((Tahmin!$C$4+27)),MIN(DAY(Kalemler!$D18),DAY(EOMONTH((Tahmin!$C$4+27),0))))&gt;=(Tahmin!$C$4+21),DATE(YEAR((Tahmin!$C$4+27)),MONTH((Tahmin!$C$4+27)),MIN(DAY(Kalemler!$D18),DAY(EOMONTH((Tahmin!$C$4+27),0))))&lt;=(Tahmin!$C$4+27),DATE(YEAR((Tahmin!$C$4+27)),MONTH((Tahmin!$C$4+27)),MIN(DAY(Kalemler!$D18),DAY(EOMONTH((Tahmin!$C$4+27),0))))&lt;&gt;DATE(YEAR((Tahmin!$C$4+21)),MONTH((Tahmin!$C$4+21)),MIN(DAY(Kalemler!$D18),DAY(EOMONTH((Tahmin!$C$4+21),0)))),DATE(YEAR((Tahmin!$C$4+27)),MONTH((Tahmin!$C$4+27)),MIN(DAY(Kalemler!$D18),DAY(EOMONTH((Tahmin!$C$4+27),0))))&gt;=Kalemler!$D18)),1,0),IF(AND(Kalemler!$D18&gt;=(Tahmin!$C$4+21),Kalemler!$D18&lt;=(Tahmin!$C$4+27)),1,0))))</f>
        <v>0</v>
      </c>
      <c r="F18" s="0" t="n">
        <f aca="false">IF(OR(Kalemler!$A18="",Kalemler!$C18="",Kalemler!$D18=""),0,Kalemler!$C18*IF(Kalemler!$E18="Haftalık",IF(Kalemler!$D18&lt;=(Tahmin!$C$4+34),1,0),IF(Kalemler!$E18="Aylık",IF(OR(AND(DATE(YEAR((Tahmin!$C$4+28)),MONTH((Tahmin!$C$4+28)),MIN(DAY(Kalemler!$D18),DAY(EOMONTH((Tahmin!$C$4+28),0))))&gt;=(Tahmin!$C$4+28),DATE(YEAR((Tahmin!$C$4+28)),MONTH((Tahmin!$C$4+28)),MIN(DAY(Kalemler!$D18),DAY(EOMONTH((Tahmin!$C$4+28),0))))&lt;=(Tahmin!$C$4+34),DATE(YEAR((Tahmin!$C$4+28)),MONTH((Tahmin!$C$4+28)),MIN(DAY(Kalemler!$D18),DAY(EOMONTH((Tahmin!$C$4+28),0))))&gt;=Kalemler!$D18),AND(DATE(YEAR((Tahmin!$C$4+34)),MONTH((Tahmin!$C$4+34)),MIN(DAY(Kalemler!$D18),DAY(EOMONTH((Tahmin!$C$4+34),0))))&gt;=(Tahmin!$C$4+28),DATE(YEAR((Tahmin!$C$4+34)),MONTH((Tahmin!$C$4+34)),MIN(DAY(Kalemler!$D18),DAY(EOMONTH((Tahmin!$C$4+34),0))))&lt;=(Tahmin!$C$4+34),DATE(YEAR((Tahmin!$C$4+34)),MONTH((Tahmin!$C$4+34)),MIN(DAY(Kalemler!$D18),DAY(EOMONTH((Tahmin!$C$4+34),0))))&lt;&gt;DATE(YEAR((Tahmin!$C$4+28)),MONTH((Tahmin!$C$4+28)),MIN(DAY(Kalemler!$D18),DAY(EOMONTH((Tahmin!$C$4+28),0)))),DATE(YEAR((Tahmin!$C$4+34)),MONTH((Tahmin!$C$4+34)),MIN(DAY(Kalemler!$D18),DAY(EOMONTH((Tahmin!$C$4+34),0))))&gt;=Kalemler!$D18)),1,0),IF(AND(Kalemler!$D18&gt;=(Tahmin!$C$4+28),Kalemler!$D18&lt;=(Tahmin!$C$4+34)),1,0))))</f>
        <v>0</v>
      </c>
      <c r="G18" s="0" t="n">
        <f aca="false">IF(OR(Kalemler!$A18="",Kalemler!$C18="",Kalemler!$D18=""),0,Kalemler!$C18*IF(Kalemler!$E18="Haftalık",IF(Kalemler!$D18&lt;=(Tahmin!$C$4+41),1,0),IF(Kalemler!$E18="Aylık",IF(OR(AND(DATE(YEAR((Tahmin!$C$4+35)),MONTH((Tahmin!$C$4+35)),MIN(DAY(Kalemler!$D18),DAY(EOMONTH((Tahmin!$C$4+35),0))))&gt;=(Tahmin!$C$4+35),DATE(YEAR((Tahmin!$C$4+35)),MONTH((Tahmin!$C$4+35)),MIN(DAY(Kalemler!$D18),DAY(EOMONTH((Tahmin!$C$4+35),0))))&lt;=(Tahmin!$C$4+41),DATE(YEAR((Tahmin!$C$4+35)),MONTH((Tahmin!$C$4+35)),MIN(DAY(Kalemler!$D18),DAY(EOMONTH((Tahmin!$C$4+35),0))))&gt;=Kalemler!$D18),AND(DATE(YEAR((Tahmin!$C$4+41)),MONTH((Tahmin!$C$4+41)),MIN(DAY(Kalemler!$D18),DAY(EOMONTH((Tahmin!$C$4+41),0))))&gt;=(Tahmin!$C$4+35),DATE(YEAR((Tahmin!$C$4+41)),MONTH((Tahmin!$C$4+41)),MIN(DAY(Kalemler!$D18),DAY(EOMONTH((Tahmin!$C$4+41),0))))&lt;=(Tahmin!$C$4+41),DATE(YEAR((Tahmin!$C$4+41)),MONTH((Tahmin!$C$4+41)),MIN(DAY(Kalemler!$D18),DAY(EOMONTH((Tahmin!$C$4+41),0))))&lt;&gt;DATE(YEAR((Tahmin!$C$4+35)),MONTH((Tahmin!$C$4+35)),MIN(DAY(Kalemler!$D18),DAY(EOMONTH((Tahmin!$C$4+35),0)))),DATE(YEAR((Tahmin!$C$4+41)),MONTH((Tahmin!$C$4+41)),MIN(DAY(Kalemler!$D18),DAY(EOMONTH((Tahmin!$C$4+41),0))))&gt;=Kalemler!$D18)),1,0),IF(AND(Kalemler!$D18&gt;=(Tahmin!$C$4+35),Kalemler!$D18&lt;=(Tahmin!$C$4+41)),1,0))))</f>
        <v>0</v>
      </c>
      <c r="H18" s="0" t="n">
        <f aca="false">IF(OR(Kalemler!$A18="",Kalemler!$C18="",Kalemler!$D18=""),0,Kalemler!$C18*IF(Kalemler!$E18="Haftalık",IF(Kalemler!$D18&lt;=(Tahmin!$C$4+48),1,0),IF(Kalemler!$E18="Aylık",IF(OR(AND(DATE(YEAR((Tahmin!$C$4+42)),MONTH((Tahmin!$C$4+42)),MIN(DAY(Kalemler!$D18),DAY(EOMONTH((Tahmin!$C$4+42),0))))&gt;=(Tahmin!$C$4+42),DATE(YEAR((Tahmin!$C$4+42)),MONTH((Tahmin!$C$4+42)),MIN(DAY(Kalemler!$D18),DAY(EOMONTH((Tahmin!$C$4+42),0))))&lt;=(Tahmin!$C$4+48),DATE(YEAR((Tahmin!$C$4+42)),MONTH((Tahmin!$C$4+42)),MIN(DAY(Kalemler!$D18),DAY(EOMONTH((Tahmin!$C$4+42),0))))&gt;=Kalemler!$D18),AND(DATE(YEAR((Tahmin!$C$4+48)),MONTH((Tahmin!$C$4+48)),MIN(DAY(Kalemler!$D18),DAY(EOMONTH((Tahmin!$C$4+48),0))))&gt;=(Tahmin!$C$4+42),DATE(YEAR((Tahmin!$C$4+48)),MONTH((Tahmin!$C$4+48)),MIN(DAY(Kalemler!$D18),DAY(EOMONTH((Tahmin!$C$4+48),0))))&lt;=(Tahmin!$C$4+48),DATE(YEAR((Tahmin!$C$4+48)),MONTH((Tahmin!$C$4+48)),MIN(DAY(Kalemler!$D18),DAY(EOMONTH((Tahmin!$C$4+48),0))))&lt;&gt;DATE(YEAR((Tahmin!$C$4+42)),MONTH((Tahmin!$C$4+42)),MIN(DAY(Kalemler!$D18),DAY(EOMONTH((Tahmin!$C$4+42),0)))),DATE(YEAR((Tahmin!$C$4+48)),MONTH((Tahmin!$C$4+48)),MIN(DAY(Kalemler!$D18),DAY(EOMONTH((Tahmin!$C$4+48),0))))&gt;=Kalemler!$D18)),1,0),IF(AND(Kalemler!$D18&gt;=(Tahmin!$C$4+42),Kalemler!$D18&lt;=(Tahmin!$C$4+48)),1,0))))</f>
        <v>0</v>
      </c>
      <c r="I18" s="0" t="n">
        <f aca="false">IF(OR(Kalemler!$A18="",Kalemler!$C18="",Kalemler!$D18=""),0,Kalemler!$C18*IF(Kalemler!$E18="Haftalık",IF(Kalemler!$D18&lt;=(Tahmin!$C$4+55),1,0),IF(Kalemler!$E18="Aylık",IF(OR(AND(DATE(YEAR((Tahmin!$C$4+49)),MONTH((Tahmin!$C$4+49)),MIN(DAY(Kalemler!$D18),DAY(EOMONTH((Tahmin!$C$4+49),0))))&gt;=(Tahmin!$C$4+49),DATE(YEAR((Tahmin!$C$4+49)),MONTH((Tahmin!$C$4+49)),MIN(DAY(Kalemler!$D18),DAY(EOMONTH((Tahmin!$C$4+49),0))))&lt;=(Tahmin!$C$4+55),DATE(YEAR((Tahmin!$C$4+49)),MONTH((Tahmin!$C$4+49)),MIN(DAY(Kalemler!$D18),DAY(EOMONTH((Tahmin!$C$4+49),0))))&gt;=Kalemler!$D18),AND(DATE(YEAR((Tahmin!$C$4+55)),MONTH((Tahmin!$C$4+55)),MIN(DAY(Kalemler!$D18),DAY(EOMONTH((Tahmin!$C$4+55),0))))&gt;=(Tahmin!$C$4+49),DATE(YEAR((Tahmin!$C$4+55)),MONTH((Tahmin!$C$4+55)),MIN(DAY(Kalemler!$D18),DAY(EOMONTH((Tahmin!$C$4+55),0))))&lt;=(Tahmin!$C$4+55),DATE(YEAR((Tahmin!$C$4+55)),MONTH((Tahmin!$C$4+55)),MIN(DAY(Kalemler!$D18),DAY(EOMONTH((Tahmin!$C$4+55),0))))&lt;&gt;DATE(YEAR((Tahmin!$C$4+49)),MONTH((Tahmin!$C$4+49)),MIN(DAY(Kalemler!$D18),DAY(EOMONTH((Tahmin!$C$4+49),0)))),DATE(YEAR((Tahmin!$C$4+55)),MONTH((Tahmin!$C$4+55)),MIN(DAY(Kalemler!$D18),DAY(EOMONTH((Tahmin!$C$4+55),0))))&gt;=Kalemler!$D18)),1,0),IF(AND(Kalemler!$D18&gt;=(Tahmin!$C$4+49),Kalemler!$D18&lt;=(Tahmin!$C$4+55)),1,0))))</f>
        <v>0</v>
      </c>
      <c r="J18" s="0" t="n">
        <f aca="false">IF(OR(Kalemler!$A18="",Kalemler!$C18="",Kalemler!$D18=""),0,Kalemler!$C18*IF(Kalemler!$E18="Haftalık",IF(Kalemler!$D18&lt;=(Tahmin!$C$4+62),1,0),IF(Kalemler!$E18="Aylık",IF(OR(AND(DATE(YEAR((Tahmin!$C$4+56)),MONTH((Tahmin!$C$4+56)),MIN(DAY(Kalemler!$D18),DAY(EOMONTH((Tahmin!$C$4+56),0))))&gt;=(Tahmin!$C$4+56),DATE(YEAR((Tahmin!$C$4+56)),MONTH((Tahmin!$C$4+56)),MIN(DAY(Kalemler!$D18),DAY(EOMONTH((Tahmin!$C$4+56),0))))&lt;=(Tahmin!$C$4+62),DATE(YEAR((Tahmin!$C$4+56)),MONTH((Tahmin!$C$4+56)),MIN(DAY(Kalemler!$D18),DAY(EOMONTH((Tahmin!$C$4+56),0))))&gt;=Kalemler!$D18),AND(DATE(YEAR((Tahmin!$C$4+62)),MONTH((Tahmin!$C$4+62)),MIN(DAY(Kalemler!$D18),DAY(EOMONTH((Tahmin!$C$4+62),0))))&gt;=(Tahmin!$C$4+56),DATE(YEAR((Tahmin!$C$4+62)),MONTH((Tahmin!$C$4+62)),MIN(DAY(Kalemler!$D18),DAY(EOMONTH((Tahmin!$C$4+62),0))))&lt;=(Tahmin!$C$4+62),DATE(YEAR((Tahmin!$C$4+62)),MONTH((Tahmin!$C$4+62)),MIN(DAY(Kalemler!$D18),DAY(EOMONTH((Tahmin!$C$4+62),0))))&lt;&gt;DATE(YEAR((Tahmin!$C$4+56)),MONTH((Tahmin!$C$4+56)),MIN(DAY(Kalemler!$D18),DAY(EOMONTH((Tahmin!$C$4+56),0)))),DATE(YEAR((Tahmin!$C$4+62)),MONTH((Tahmin!$C$4+62)),MIN(DAY(Kalemler!$D18),DAY(EOMONTH((Tahmin!$C$4+62),0))))&gt;=Kalemler!$D18)),1,0),IF(AND(Kalemler!$D18&gt;=(Tahmin!$C$4+56),Kalemler!$D18&lt;=(Tahmin!$C$4+62)),1,0))))</f>
        <v>0</v>
      </c>
      <c r="K18" s="0" t="n">
        <f aca="false">IF(OR(Kalemler!$A18="",Kalemler!$C18="",Kalemler!$D18=""),0,Kalemler!$C18*IF(Kalemler!$E18="Haftalık",IF(Kalemler!$D18&lt;=(Tahmin!$C$4+69),1,0),IF(Kalemler!$E18="Aylık",IF(OR(AND(DATE(YEAR((Tahmin!$C$4+63)),MONTH((Tahmin!$C$4+63)),MIN(DAY(Kalemler!$D18),DAY(EOMONTH((Tahmin!$C$4+63),0))))&gt;=(Tahmin!$C$4+63),DATE(YEAR((Tahmin!$C$4+63)),MONTH((Tahmin!$C$4+63)),MIN(DAY(Kalemler!$D18),DAY(EOMONTH((Tahmin!$C$4+63),0))))&lt;=(Tahmin!$C$4+69),DATE(YEAR((Tahmin!$C$4+63)),MONTH((Tahmin!$C$4+63)),MIN(DAY(Kalemler!$D18),DAY(EOMONTH((Tahmin!$C$4+63),0))))&gt;=Kalemler!$D18),AND(DATE(YEAR((Tahmin!$C$4+69)),MONTH((Tahmin!$C$4+69)),MIN(DAY(Kalemler!$D18),DAY(EOMONTH((Tahmin!$C$4+69),0))))&gt;=(Tahmin!$C$4+63),DATE(YEAR((Tahmin!$C$4+69)),MONTH((Tahmin!$C$4+69)),MIN(DAY(Kalemler!$D18),DAY(EOMONTH((Tahmin!$C$4+69),0))))&lt;=(Tahmin!$C$4+69),DATE(YEAR((Tahmin!$C$4+69)),MONTH((Tahmin!$C$4+69)),MIN(DAY(Kalemler!$D18),DAY(EOMONTH((Tahmin!$C$4+69),0))))&lt;&gt;DATE(YEAR((Tahmin!$C$4+63)),MONTH((Tahmin!$C$4+63)),MIN(DAY(Kalemler!$D18),DAY(EOMONTH((Tahmin!$C$4+63),0)))),DATE(YEAR((Tahmin!$C$4+69)),MONTH((Tahmin!$C$4+69)),MIN(DAY(Kalemler!$D18),DAY(EOMONTH((Tahmin!$C$4+69),0))))&gt;=Kalemler!$D18)),1,0),IF(AND(Kalemler!$D18&gt;=(Tahmin!$C$4+63),Kalemler!$D18&lt;=(Tahmin!$C$4+69)),1,0))))</f>
        <v>0</v>
      </c>
      <c r="L18" s="0" t="n">
        <f aca="false">IF(OR(Kalemler!$A18="",Kalemler!$C18="",Kalemler!$D18=""),0,Kalemler!$C18*IF(Kalemler!$E18="Haftalık",IF(Kalemler!$D18&lt;=(Tahmin!$C$4+76),1,0),IF(Kalemler!$E18="Aylık",IF(OR(AND(DATE(YEAR((Tahmin!$C$4+70)),MONTH((Tahmin!$C$4+70)),MIN(DAY(Kalemler!$D18),DAY(EOMONTH((Tahmin!$C$4+70),0))))&gt;=(Tahmin!$C$4+70),DATE(YEAR((Tahmin!$C$4+70)),MONTH((Tahmin!$C$4+70)),MIN(DAY(Kalemler!$D18),DAY(EOMONTH((Tahmin!$C$4+70),0))))&lt;=(Tahmin!$C$4+76),DATE(YEAR((Tahmin!$C$4+70)),MONTH((Tahmin!$C$4+70)),MIN(DAY(Kalemler!$D18),DAY(EOMONTH((Tahmin!$C$4+70),0))))&gt;=Kalemler!$D18),AND(DATE(YEAR((Tahmin!$C$4+76)),MONTH((Tahmin!$C$4+76)),MIN(DAY(Kalemler!$D18),DAY(EOMONTH((Tahmin!$C$4+76),0))))&gt;=(Tahmin!$C$4+70),DATE(YEAR((Tahmin!$C$4+76)),MONTH((Tahmin!$C$4+76)),MIN(DAY(Kalemler!$D18),DAY(EOMONTH((Tahmin!$C$4+76),0))))&lt;=(Tahmin!$C$4+76),DATE(YEAR((Tahmin!$C$4+76)),MONTH((Tahmin!$C$4+76)),MIN(DAY(Kalemler!$D18),DAY(EOMONTH((Tahmin!$C$4+76),0))))&lt;&gt;DATE(YEAR((Tahmin!$C$4+70)),MONTH((Tahmin!$C$4+70)),MIN(DAY(Kalemler!$D18),DAY(EOMONTH((Tahmin!$C$4+70),0)))),DATE(YEAR((Tahmin!$C$4+76)),MONTH((Tahmin!$C$4+76)),MIN(DAY(Kalemler!$D18),DAY(EOMONTH((Tahmin!$C$4+76),0))))&gt;=Kalemler!$D18)),1,0),IF(AND(Kalemler!$D18&gt;=(Tahmin!$C$4+70),Kalemler!$D18&lt;=(Tahmin!$C$4+76)),1,0))))</f>
        <v>0</v>
      </c>
      <c r="M18" s="0" t="n">
        <f aca="false">IF(OR(Kalemler!$A18="",Kalemler!$C18="",Kalemler!$D18=""),0,Kalemler!$C18*IF(Kalemler!$E18="Haftalık",IF(Kalemler!$D18&lt;=(Tahmin!$C$4+83),1,0),IF(Kalemler!$E18="Aylık",IF(OR(AND(DATE(YEAR((Tahmin!$C$4+77)),MONTH((Tahmin!$C$4+77)),MIN(DAY(Kalemler!$D18),DAY(EOMONTH((Tahmin!$C$4+77),0))))&gt;=(Tahmin!$C$4+77),DATE(YEAR((Tahmin!$C$4+77)),MONTH((Tahmin!$C$4+77)),MIN(DAY(Kalemler!$D18),DAY(EOMONTH((Tahmin!$C$4+77),0))))&lt;=(Tahmin!$C$4+83),DATE(YEAR((Tahmin!$C$4+77)),MONTH((Tahmin!$C$4+77)),MIN(DAY(Kalemler!$D18),DAY(EOMONTH((Tahmin!$C$4+77),0))))&gt;=Kalemler!$D18),AND(DATE(YEAR((Tahmin!$C$4+83)),MONTH((Tahmin!$C$4+83)),MIN(DAY(Kalemler!$D18),DAY(EOMONTH((Tahmin!$C$4+83),0))))&gt;=(Tahmin!$C$4+77),DATE(YEAR((Tahmin!$C$4+83)),MONTH((Tahmin!$C$4+83)),MIN(DAY(Kalemler!$D18),DAY(EOMONTH((Tahmin!$C$4+83),0))))&lt;=(Tahmin!$C$4+83),DATE(YEAR((Tahmin!$C$4+83)),MONTH((Tahmin!$C$4+83)),MIN(DAY(Kalemler!$D18),DAY(EOMONTH((Tahmin!$C$4+83),0))))&lt;&gt;DATE(YEAR((Tahmin!$C$4+77)),MONTH((Tahmin!$C$4+77)),MIN(DAY(Kalemler!$D18),DAY(EOMONTH((Tahmin!$C$4+77),0)))),DATE(YEAR((Tahmin!$C$4+83)),MONTH((Tahmin!$C$4+83)),MIN(DAY(Kalemler!$D18),DAY(EOMONTH((Tahmin!$C$4+83),0))))&gt;=Kalemler!$D18)),1,0),IF(AND(Kalemler!$D18&gt;=(Tahmin!$C$4+77),Kalemler!$D18&lt;=(Tahmin!$C$4+83)),1,0))))</f>
        <v>0</v>
      </c>
      <c r="N18" s="0" t="n">
        <f aca="false">IF(OR(Kalemler!$A18="",Kalemler!$C18="",Kalemler!$D18=""),0,Kalemler!$C18*IF(Kalemler!$E18="Haftalık",IF(Kalemler!$D18&lt;=(Tahmin!$C$4+90),1,0),IF(Kalemler!$E18="Aylık",IF(OR(AND(DATE(YEAR((Tahmin!$C$4+84)),MONTH((Tahmin!$C$4+84)),MIN(DAY(Kalemler!$D18),DAY(EOMONTH((Tahmin!$C$4+84),0))))&gt;=(Tahmin!$C$4+84),DATE(YEAR((Tahmin!$C$4+84)),MONTH((Tahmin!$C$4+84)),MIN(DAY(Kalemler!$D18),DAY(EOMONTH((Tahmin!$C$4+84),0))))&lt;=(Tahmin!$C$4+90),DATE(YEAR((Tahmin!$C$4+84)),MONTH((Tahmin!$C$4+84)),MIN(DAY(Kalemler!$D18),DAY(EOMONTH((Tahmin!$C$4+84),0))))&gt;=Kalemler!$D18),AND(DATE(YEAR((Tahmin!$C$4+90)),MONTH((Tahmin!$C$4+90)),MIN(DAY(Kalemler!$D18),DAY(EOMONTH((Tahmin!$C$4+90),0))))&gt;=(Tahmin!$C$4+84),DATE(YEAR((Tahmin!$C$4+90)),MONTH((Tahmin!$C$4+90)),MIN(DAY(Kalemler!$D18),DAY(EOMONTH((Tahmin!$C$4+90),0))))&lt;=(Tahmin!$C$4+90),DATE(YEAR((Tahmin!$C$4+90)),MONTH((Tahmin!$C$4+90)),MIN(DAY(Kalemler!$D18),DAY(EOMONTH((Tahmin!$C$4+90),0))))&lt;&gt;DATE(YEAR((Tahmin!$C$4+84)),MONTH((Tahmin!$C$4+84)),MIN(DAY(Kalemler!$D18),DAY(EOMONTH((Tahmin!$C$4+84),0)))),DATE(YEAR((Tahmin!$C$4+90)),MONTH((Tahmin!$C$4+90)),MIN(DAY(Kalemler!$D18),DAY(EOMONTH((Tahmin!$C$4+90),0))))&gt;=Kalemler!$D18)),1,0),IF(AND(Kalemler!$D18&gt;=(Tahmin!$C$4+84),Kalemler!$D18&lt;=(Tahmin!$C$4+90)),1,0))))</f>
        <v>0</v>
      </c>
    </row>
    <row r="19" customFormat="false" ht="15" hidden="false" customHeight="false" outlineLevel="0" collapsed="false">
      <c r="A19" s="0" t="str">
        <f aca="false">IF(Kalemler!A19="","",Kalemler!A19)</f>
        <v/>
      </c>
      <c r="B19" s="0" t="n">
        <f aca="false">IF(OR(Kalemler!$A19="",Kalemler!$C19="",Kalemler!$D19=""),0,Kalemler!$C19*IF(Kalemler!$E19="Haftalık",IF(Kalemler!$D19&lt;=(Tahmin!$C$4+6),1,0),IF(Kalemler!$E19="Aylık",IF(OR(AND(DATE(YEAR((Tahmin!$C$4+0)),MONTH((Tahmin!$C$4+0)),MIN(DAY(Kalemler!$D19),DAY(EOMONTH((Tahmin!$C$4+0),0))))&gt;=(Tahmin!$C$4+0),DATE(YEAR((Tahmin!$C$4+0)),MONTH((Tahmin!$C$4+0)),MIN(DAY(Kalemler!$D19),DAY(EOMONTH((Tahmin!$C$4+0),0))))&lt;=(Tahmin!$C$4+6),DATE(YEAR((Tahmin!$C$4+0)),MONTH((Tahmin!$C$4+0)),MIN(DAY(Kalemler!$D19),DAY(EOMONTH((Tahmin!$C$4+0),0))))&gt;=Kalemler!$D19),AND(DATE(YEAR((Tahmin!$C$4+6)),MONTH((Tahmin!$C$4+6)),MIN(DAY(Kalemler!$D19),DAY(EOMONTH((Tahmin!$C$4+6),0))))&gt;=(Tahmin!$C$4+0),DATE(YEAR((Tahmin!$C$4+6)),MONTH((Tahmin!$C$4+6)),MIN(DAY(Kalemler!$D19),DAY(EOMONTH((Tahmin!$C$4+6),0))))&lt;=(Tahmin!$C$4+6),DATE(YEAR((Tahmin!$C$4+6)),MONTH((Tahmin!$C$4+6)),MIN(DAY(Kalemler!$D19),DAY(EOMONTH((Tahmin!$C$4+6),0))))&lt;&gt;DATE(YEAR((Tahmin!$C$4+0)),MONTH((Tahmin!$C$4+0)),MIN(DAY(Kalemler!$D19),DAY(EOMONTH((Tahmin!$C$4+0),0)))),DATE(YEAR((Tahmin!$C$4+6)),MONTH((Tahmin!$C$4+6)),MIN(DAY(Kalemler!$D19),DAY(EOMONTH((Tahmin!$C$4+6),0))))&gt;=Kalemler!$D19)),1,0),IF(AND(Kalemler!$D19&gt;=(Tahmin!$C$4+0),Kalemler!$D19&lt;=(Tahmin!$C$4+6)),1,0))))</f>
        <v>0</v>
      </c>
      <c r="C19" s="0" t="n">
        <f aca="false">IF(OR(Kalemler!$A19="",Kalemler!$C19="",Kalemler!$D19=""),0,Kalemler!$C19*IF(Kalemler!$E19="Haftalık",IF(Kalemler!$D19&lt;=(Tahmin!$C$4+13),1,0),IF(Kalemler!$E19="Aylık",IF(OR(AND(DATE(YEAR((Tahmin!$C$4+7)),MONTH((Tahmin!$C$4+7)),MIN(DAY(Kalemler!$D19),DAY(EOMONTH((Tahmin!$C$4+7),0))))&gt;=(Tahmin!$C$4+7),DATE(YEAR((Tahmin!$C$4+7)),MONTH((Tahmin!$C$4+7)),MIN(DAY(Kalemler!$D19),DAY(EOMONTH((Tahmin!$C$4+7),0))))&lt;=(Tahmin!$C$4+13),DATE(YEAR((Tahmin!$C$4+7)),MONTH((Tahmin!$C$4+7)),MIN(DAY(Kalemler!$D19),DAY(EOMONTH((Tahmin!$C$4+7),0))))&gt;=Kalemler!$D19),AND(DATE(YEAR((Tahmin!$C$4+13)),MONTH((Tahmin!$C$4+13)),MIN(DAY(Kalemler!$D19),DAY(EOMONTH((Tahmin!$C$4+13),0))))&gt;=(Tahmin!$C$4+7),DATE(YEAR((Tahmin!$C$4+13)),MONTH((Tahmin!$C$4+13)),MIN(DAY(Kalemler!$D19),DAY(EOMONTH((Tahmin!$C$4+13),0))))&lt;=(Tahmin!$C$4+13),DATE(YEAR((Tahmin!$C$4+13)),MONTH((Tahmin!$C$4+13)),MIN(DAY(Kalemler!$D19),DAY(EOMONTH((Tahmin!$C$4+13),0))))&lt;&gt;DATE(YEAR((Tahmin!$C$4+7)),MONTH((Tahmin!$C$4+7)),MIN(DAY(Kalemler!$D19),DAY(EOMONTH((Tahmin!$C$4+7),0)))),DATE(YEAR((Tahmin!$C$4+13)),MONTH((Tahmin!$C$4+13)),MIN(DAY(Kalemler!$D19),DAY(EOMONTH((Tahmin!$C$4+13),0))))&gt;=Kalemler!$D19)),1,0),IF(AND(Kalemler!$D19&gt;=(Tahmin!$C$4+7),Kalemler!$D19&lt;=(Tahmin!$C$4+13)),1,0))))</f>
        <v>0</v>
      </c>
      <c r="D19" s="0" t="n">
        <f aca="false">IF(OR(Kalemler!$A19="",Kalemler!$C19="",Kalemler!$D19=""),0,Kalemler!$C19*IF(Kalemler!$E19="Haftalık",IF(Kalemler!$D19&lt;=(Tahmin!$C$4+20),1,0),IF(Kalemler!$E19="Aylık",IF(OR(AND(DATE(YEAR((Tahmin!$C$4+14)),MONTH((Tahmin!$C$4+14)),MIN(DAY(Kalemler!$D19),DAY(EOMONTH((Tahmin!$C$4+14),0))))&gt;=(Tahmin!$C$4+14),DATE(YEAR((Tahmin!$C$4+14)),MONTH((Tahmin!$C$4+14)),MIN(DAY(Kalemler!$D19),DAY(EOMONTH((Tahmin!$C$4+14),0))))&lt;=(Tahmin!$C$4+20),DATE(YEAR((Tahmin!$C$4+14)),MONTH((Tahmin!$C$4+14)),MIN(DAY(Kalemler!$D19),DAY(EOMONTH((Tahmin!$C$4+14),0))))&gt;=Kalemler!$D19),AND(DATE(YEAR((Tahmin!$C$4+20)),MONTH((Tahmin!$C$4+20)),MIN(DAY(Kalemler!$D19),DAY(EOMONTH((Tahmin!$C$4+20),0))))&gt;=(Tahmin!$C$4+14),DATE(YEAR((Tahmin!$C$4+20)),MONTH((Tahmin!$C$4+20)),MIN(DAY(Kalemler!$D19),DAY(EOMONTH((Tahmin!$C$4+20),0))))&lt;=(Tahmin!$C$4+20),DATE(YEAR((Tahmin!$C$4+20)),MONTH((Tahmin!$C$4+20)),MIN(DAY(Kalemler!$D19),DAY(EOMONTH((Tahmin!$C$4+20),0))))&lt;&gt;DATE(YEAR((Tahmin!$C$4+14)),MONTH((Tahmin!$C$4+14)),MIN(DAY(Kalemler!$D19),DAY(EOMONTH((Tahmin!$C$4+14),0)))),DATE(YEAR((Tahmin!$C$4+20)),MONTH((Tahmin!$C$4+20)),MIN(DAY(Kalemler!$D19),DAY(EOMONTH((Tahmin!$C$4+20),0))))&gt;=Kalemler!$D19)),1,0),IF(AND(Kalemler!$D19&gt;=(Tahmin!$C$4+14),Kalemler!$D19&lt;=(Tahmin!$C$4+20)),1,0))))</f>
        <v>0</v>
      </c>
      <c r="E19" s="0" t="n">
        <f aca="false">IF(OR(Kalemler!$A19="",Kalemler!$C19="",Kalemler!$D19=""),0,Kalemler!$C19*IF(Kalemler!$E19="Haftalık",IF(Kalemler!$D19&lt;=(Tahmin!$C$4+27),1,0),IF(Kalemler!$E19="Aylık",IF(OR(AND(DATE(YEAR((Tahmin!$C$4+21)),MONTH((Tahmin!$C$4+21)),MIN(DAY(Kalemler!$D19),DAY(EOMONTH((Tahmin!$C$4+21),0))))&gt;=(Tahmin!$C$4+21),DATE(YEAR((Tahmin!$C$4+21)),MONTH((Tahmin!$C$4+21)),MIN(DAY(Kalemler!$D19),DAY(EOMONTH((Tahmin!$C$4+21),0))))&lt;=(Tahmin!$C$4+27),DATE(YEAR((Tahmin!$C$4+21)),MONTH((Tahmin!$C$4+21)),MIN(DAY(Kalemler!$D19),DAY(EOMONTH((Tahmin!$C$4+21),0))))&gt;=Kalemler!$D19),AND(DATE(YEAR((Tahmin!$C$4+27)),MONTH((Tahmin!$C$4+27)),MIN(DAY(Kalemler!$D19),DAY(EOMONTH((Tahmin!$C$4+27),0))))&gt;=(Tahmin!$C$4+21),DATE(YEAR((Tahmin!$C$4+27)),MONTH((Tahmin!$C$4+27)),MIN(DAY(Kalemler!$D19),DAY(EOMONTH((Tahmin!$C$4+27),0))))&lt;=(Tahmin!$C$4+27),DATE(YEAR((Tahmin!$C$4+27)),MONTH((Tahmin!$C$4+27)),MIN(DAY(Kalemler!$D19),DAY(EOMONTH((Tahmin!$C$4+27),0))))&lt;&gt;DATE(YEAR((Tahmin!$C$4+21)),MONTH((Tahmin!$C$4+21)),MIN(DAY(Kalemler!$D19),DAY(EOMONTH((Tahmin!$C$4+21),0)))),DATE(YEAR((Tahmin!$C$4+27)),MONTH((Tahmin!$C$4+27)),MIN(DAY(Kalemler!$D19),DAY(EOMONTH((Tahmin!$C$4+27),0))))&gt;=Kalemler!$D19)),1,0),IF(AND(Kalemler!$D19&gt;=(Tahmin!$C$4+21),Kalemler!$D19&lt;=(Tahmin!$C$4+27)),1,0))))</f>
        <v>0</v>
      </c>
      <c r="F19" s="0" t="n">
        <f aca="false">IF(OR(Kalemler!$A19="",Kalemler!$C19="",Kalemler!$D19=""),0,Kalemler!$C19*IF(Kalemler!$E19="Haftalık",IF(Kalemler!$D19&lt;=(Tahmin!$C$4+34),1,0),IF(Kalemler!$E19="Aylık",IF(OR(AND(DATE(YEAR((Tahmin!$C$4+28)),MONTH((Tahmin!$C$4+28)),MIN(DAY(Kalemler!$D19),DAY(EOMONTH((Tahmin!$C$4+28),0))))&gt;=(Tahmin!$C$4+28),DATE(YEAR((Tahmin!$C$4+28)),MONTH((Tahmin!$C$4+28)),MIN(DAY(Kalemler!$D19),DAY(EOMONTH((Tahmin!$C$4+28),0))))&lt;=(Tahmin!$C$4+34),DATE(YEAR((Tahmin!$C$4+28)),MONTH((Tahmin!$C$4+28)),MIN(DAY(Kalemler!$D19),DAY(EOMONTH((Tahmin!$C$4+28),0))))&gt;=Kalemler!$D19),AND(DATE(YEAR((Tahmin!$C$4+34)),MONTH((Tahmin!$C$4+34)),MIN(DAY(Kalemler!$D19),DAY(EOMONTH((Tahmin!$C$4+34),0))))&gt;=(Tahmin!$C$4+28),DATE(YEAR((Tahmin!$C$4+34)),MONTH((Tahmin!$C$4+34)),MIN(DAY(Kalemler!$D19),DAY(EOMONTH((Tahmin!$C$4+34),0))))&lt;=(Tahmin!$C$4+34),DATE(YEAR((Tahmin!$C$4+34)),MONTH((Tahmin!$C$4+34)),MIN(DAY(Kalemler!$D19),DAY(EOMONTH((Tahmin!$C$4+34),0))))&lt;&gt;DATE(YEAR((Tahmin!$C$4+28)),MONTH((Tahmin!$C$4+28)),MIN(DAY(Kalemler!$D19),DAY(EOMONTH((Tahmin!$C$4+28),0)))),DATE(YEAR((Tahmin!$C$4+34)),MONTH((Tahmin!$C$4+34)),MIN(DAY(Kalemler!$D19),DAY(EOMONTH((Tahmin!$C$4+34),0))))&gt;=Kalemler!$D19)),1,0),IF(AND(Kalemler!$D19&gt;=(Tahmin!$C$4+28),Kalemler!$D19&lt;=(Tahmin!$C$4+34)),1,0))))</f>
        <v>0</v>
      </c>
      <c r="G19" s="0" t="n">
        <f aca="false">IF(OR(Kalemler!$A19="",Kalemler!$C19="",Kalemler!$D19=""),0,Kalemler!$C19*IF(Kalemler!$E19="Haftalık",IF(Kalemler!$D19&lt;=(Tahmin!$C$4+41),1,0),IF(Kalemler!$E19="Aylık",IF(OR(AND(DATE(YEAR((Tahmin!$C$4+35)),MONTH((Tahmin!$C$4+35)),MIN(DAY(Kalemler!$D19),DAY(EOMONTH((Tahmin!$C$4+35),0))))&gt;=(Tahmin!$C$4+35),DATE(YEAR((Tahmin!$C$4+35)),MONTH((Tahmin!$C$4+35)),MIN(DAY(Kalemler!$D19),DAY(EOMONTH((Tahmin!$C$4+35),0))))&lt;=(Tahmin!$C$4+41),DATE(YEAR((Tahmin!$C$4+35)),MONTH((Tahmin!$C$4+35)),MIN(DAY(Kalemler!$D19),DAY(EOMONTH((Tahmin!$C$4+35),0))))&gt;=Kalemler!$D19),AND(DATE(YEAR((Tahmin!$C$4+41)),MONTH((Tahmin!$C$4+41)),MIN(DAY(Kalemler!$D19),DAY(EOMONTH((Tahmin!$C$4+41),0))))&gt;=(Tahmin!$C$4+35),DATE(YEAR((Tahmin!$C$4+41)),MONTH((Tahmin!$C$4+41)),MIN(DAY(Kalemler!$D19),DAY(EOMONTH((Tahmin!$C$4+41),0))))&lt;=(Tahmin!$C$4+41),DATE(YEAR((Tahmin!$C$4+41)),MONTH((Tahmin!$C$4+41)),MIN(DAY(Kalemler!$D19),DAY(EOMONTH((Tahmin!$C$4+41),0))))&lt;&gt;DATE(YEAR((Tahmin!$C$4+35)),MONTH((Tahmin!$C$4+35)),MIN(DAY(Kalemler!$D19),DAY(EOMONTH((Tahmin!$C$4+35),0)))),DATE(YEAR((Tahmin!$C$4+41)),MONTH((Tahmin!$C$4+41)),MIN(DAY(Kalemler!$D19),DAY(EOMONTH((Tahmin!$C$4+41),0))))&gt;=Kalemler!$D19)),1,0),IF(AND(Kalemler!$D19&gt;=(Tahmin!$C$4+35),Kalemler!$D19&lt;=(Tahmin!$C$4+41)),1,0))))</f>
        <v>0</v>
      </c>
      <c r="H19" s="0" t="n">
        <f aca="false">IF(OR(Kalemler!$A19="",Kalemler!$C19="",Kalemler!$D19=""),0,Kalemler!$C19*IF(Kalemler!$E19="Haftalık",IF(Kalemler!$D19&lt;=(Tahmin!$C$4+48),1,0),IF(Kalemler!$E19="Aylık",IF(OR(AND(DATE(YEAR((Tahmin!$C$4+42)),MONTH((Tahmin!$C$4+42)),MIN(DAY(Kalemler!$D19),DAY(EOMONTH((Tahmin!$C$4+42),0))))&gt;=(Tahmin!$C$4+42),DATE(YEAR((Tahmin!$C$4+42)),MONTH((Tahmin!$C$4+42)),MIN(DAY(Kalemler!$D19),DAY(EOMONTH((Tahmin!$C$4+42),0))))&lt;=(Tahmin!$C$4+48),DATE(YEAR((Tahmin!$C$4+42)),MONTH((Tahmin!$C$4+42)),MIN(DAY(Kalemler!$D19),DAY(EOMONTH((Tahmin!$C$4+42),0))))&gt;=Kalemler!$D19),AND(DATE(YEAR((Tahmin!$C$4+48)),MONTH((Tahmin!$C$4+48)),MIN(DAY(Kalemler!$D19),DAY(EOMONTH((Tahmin!$C$4+48),0))))&gt;=(Tahmin!$C$4+42),DATE(YEAR((Tahmin!$C$4+48)),MONTH((Tahmin!$C$4+48)),MIN(DAY(Kalemler!$D19),DAY(EOMONTH((Tahmin!$C$4+48),0))))&lt;=(Tahmin!$C$4+48),DATE(YEAR((Tahmin!$C$4+48)),MONTH((Tahmin!$C$4+48)),MIN(DAY(Kalemler!$D19),DAY(EOMONTH((Tahmin!$C$4+48),0))))&lt;&gt;DATE(YEAR((Tahmin!$C$4+42)),MONTH((Tahmin!$C$4+42)),MIN(DAY(Kalemler!$D19),DAY(EOMONTH((Tahmin!$C$4+42),0)))),DATE(YEAR((Tahmin!$C$4+48)),MONTH((Tahmin!$C$4+48)),MIN(DAY(Kalemler!$D19),DAY(EOMONTH((Tahmin!$C$4+48),0))))&gt;=Kalemler!$D19)),1,0),IF(AND(Kalemler!$D19&gt;=(Tahmin!$C$4+42),Kalemler!$D19&lt;=(Tahmin!$C$4+48)),1,0))))</f>
        <v>0</v>
      </c>
      <c r="I19" s="0" t="n">
        <f aca="false">IF(OR(Kalemler!$A19="",Kalemler!$C19="",Kalemler!$D19=""),0,Kalemler!$C19*IF(Kalemler!$E19="Haftalık",IF(Kalemler!$D19&lt;=(Tahmin!$C$4+55),1,0),IF(Kalemler!$E19="Aylık",IF(OR(AND(DATE(YEAR((Tahmin!$C$4+49)),MONTH((Tahmin!$C$4+49)),MIN(DAY(Kalemler!$D19),DAY(EOMONTH((Tahmin!$C$4+49),0))))&gt;=(Tahmin!$C$4+49),DATE(YEAR((Tahmin!$C$4+49)),MONTH((Tahmin!$C$4+49)),MIN(DAY(Kalemler!$D19),DAY(EOMONTH((Tahmin!$C$4+49),0))))&lt;=(Tahmin!$C$4+55),DATE(YEAR((Tahmin!$C$4+49)),MONTH((Tahmin!$C$4+49)),MIN(DAY(Kalemler!$D19),DAY(EOMONTH((Tahmin!$C$4+49),0))))&gt;=Kalemler!$D19),AND(DATE(YEAR((Tahmin!$C$4+55)),MONTH((Tahmin!$C$4+55)),MIN(DAY(Kalemler!$D19),DAY(EOMONTH((Tahmin!$C$4+55),0))))&gt;=(Tahmin!$C$4+49),DATE(YEAR((Tahmin!$C$4+55)),MONTH((Tahmin!$C$4+55)),MIN(DAY(Kalemler!$D19),DAY(EOMONTH((Tahmin!$C$4+55),0))))&lt;=(Tahmin!$C$4+55),DATE(YEAR((Tahmin!$C$4+55)),MONTH((Tahmin!$C$4+55)),MIN(DAY(Kalemler!$D19),DAY(EOMONTH((Tahmin!$C$4+55),0))))&lt;&gt;DATE(YEAR((Tahmin!$C$4+49)),MONTH((Tahmin!$C$4+49)),MIN(DAY(Kalemler!$D19),DAY(EOMONTH((Tahmin!$C$4+49),0)))),DATE(YEAR((Tahmin!$C$4+55)),MONTH((Tahmin!$C$4+55)),MIN(DAY(Kalemler!$D19),DAY(EOMONTH((Tahmin!$C$4+55),0))))&gt;=Kalemler!$D19)),1,0),IF(AND(Kalemler!$D19&gt;=(Tahmin!$C$4+49),Kalemler!$D19&lt;=(Tahmin!$C$4+55)),1,0))))</f>
        <v>0</v>
      </c>
      <c r="J19" s="0" t="n">
        <f aca="false">IF(OR(Kalemler!$A19="",Kalemler!$C19="",Kalemler!$D19=""),0,Kalemler!$C19*IF(Kalemler!$E19="Haftalık",IF(Kalemler!$D19&lt;=(Tahmin!$C$4+62),1,0),IF(Kalemler!$E19="Aylık",IF(OR(AND(DATE(YEAR((Tahmin!$C$4+56)),MONTH((Tahmin!$C$4+56)),MIN(DAY(Kalemler!$D19),DAY(EOMONTH((Tahmin!$C$4+56),0))))&gt;=(Tahmin!$C$4+56),DATE(YEAR((Tahmin!$C$4+56)),MONTH((Tahmin!$C$4+56)),MIN(DAY(Kalemler!$D19),DAY(EOMONTH((Tahmin!$C$4+56),0))))&lt;=(Tahmin!$C$4+62),DATE(YEAR((Tahmin!$C$4+56)),MONTH((Tahmin!$C$4+56)),MIN(DAY(Kalemler!$D19),DAY(EOMONTH((Tahmin!$C$4+56),0))))&gt;=Kalemler!$D19),AND(DATE(YEAR((Tahmin!$C$4+62)),MONTH((Tahmin!$C$4+62)),MIN(DAY(Kalemler!$D19),DAY(EOMONTH((Tahmin!$C$4+62),0))))&gt;=(Tahmin!$C$4+56),DATE(YEAR((Tahmin!$C$4+62)),MONTH((Tahmin!$C$4+62)),MIN(DAY(Kalemler!$D19),DAY(EOMONTH((Tahmin!$C$4+62),0))))&lt;=(Tahmin!$C$4+62),DATE(YEAR((Tahmin!$C$4+62)),MONTH((Tahmin!$C$4+62)),MIN(DAY(Kalemler!$D19),DAY(EOMONTH((Tahmin!$C$4+62),0))))&lt;&gt;DATE(YEAR((Tahmin!$C$4+56)),MONTH((Tahmin!$C$4+56)),MIN(DAY(Kalemler!$D19),DAY(EOMONTH((Tahmin!$C$4+56),0)))),DATE(YEAR((Tahmin!$C$4+62)),MONTH((Tahmin!$C$4+62)),MIN(DAY(Kalemler!$D19),DAY(EOMONTH((Tahmin!$C$4+62),0))))&gt;=Kalemler!$D19)),1,0),IF(AND(Kalemler!$D19&gt;=(Tahmin!$C$4+56),Kalemler!$D19&lt;=(Tahmin!$C$4+62)),1,0))))</f>
        <v>0</v>
      </c>
      <c r="K19" s="0" t="n">
        <f aca="false">IF(OR(Kalemler!$A19="",Kalemler!$C19="",Kalemler!$D19=""),0,Kalemler!$C19*IF(Kalemler!$E19="Haftalık",IF(Kalemler!$D19&lt;=(Tahmin!$C$4+69),1,0),IF(Kalemler!$E19="Aylık",IF(OR(AND(DATE(YEAR((Tahmin!$C$4+63)),MONTH((Tahmin!$C$4+63)),MIN(DAY(Kalemler!$D19),DAY(EOMONTH((Tahmin!$C$4+63),0))))&gt;=(Tahmin!$C$4+63),DATE(YEAR((Tahmin!$C$4+63)),MONTH((Tahmin!$C$4+63)),MIN(DAY(Kalemler!$D19),DAY(EOMONTH((Tahmin!$C$4+63),0))))&lt;=(Tahmin!$C$4+69),DATE(YEAR((Tahmin!$C$4+63)),MONTH((Tahmin!$C$4+63)),MIN(DAY(Kalemler!$D19),DAY(EOMONTH((Tahmin!$C$4+63),0))))&gt;=Kalemler!$D19),AND(DATE(YEAR((Tahmin!$C$4+69)),MONTH((Tahmin!$C$4+69)),MIN(DAY(Kalemler!$D19),DAY(EOMONTH((Tahmin!$C$4+69),0))))&gt;=(Tahmin!$C$4+63),DATE(YEAR((Tahmin!$C$4+69)),MONTH((Tahmin!$C$4+69)),MIN(DAY(Kalemler!$D19),DAY(EOMONTH((Tahmin!$C$4+69),0))))&lt;=(Tahmin!$C$4+69),DATE(YEAR((Tahmin!$C$4+69)),MONTH((Tahmin!$C$4+69)),MIN(DAY(Kalemler!$D19),DAY(EOMONTH((Tahmin!$C$4+69),0))))&lt;&gt;DATE(YEAR((Tahmin!$C$4+63)),MONTH((Tahmin!$C$4+63)),MIN(DAY(Kalemler!$D19),DAY(EOMONTH((Tahmin!$C$4+63),0)))),DATE(YEAR((Tahmin!$C$4+69)),MONTH((Tahmin!$C$4+69)),MIN(DAY(Kalemler!$D19),DAY(EOMONTH((Tahmin!$C$4+69),0))))&gt;=Kalemler!$D19)),1,0),IF(AND(Kalemler!$D19&gt;=(Tahmin!$C$4+63),Kalemler!$D19&lt;=(Tahmin!$C$4+69)),1,0))))</f>
        <v>0</v>
      </c>
      <c r="L19" s="0" t="n">
        <f aca="false">IF(OR(Kalemler!$A19="",Kalemler!$C19="",Kalemler!$D19=""),0,Kalemler!$C19*IF(Kalemler!$E19="Haftalık",IF(Kalemler!$D19&lt;=(Tahmin!$C$4+76),1,0),IF(Kalemler!$E19="Aylık",IF(OR(AND(DATE(YEAR((Tahmin!$C$4+70)),MONTH((Tahmin!$C$4+70)),MIN(DAY(Kalemler!$D19),DAY(EOMONTH((Tahmin!$C$4+70),0))))&gt;=(Tahmin!$C$4+70),DATE(YEAR((Tahmin!$C$4+70)),MONTH((Tahmin!$C$4+70)),MIN(DAY(Kalemler!$D19),DAY(EOMONTH((Tahmin!$C$4+70),0))))&lt;=(Tahmin!$C$4+76),DATE(YEAR((Tahmin!$C$4+70)),MONTH((Tahmin!$C$4+70)),MIN(DAY(Kalemler!$D19),DAY(EOMONTH((Tahmin!$C$4+70),0))))&gt;=Kalemler!$D19),AND(DATE(YEAR((Tahmin!$C$4+76)),MONTH((Tahmin!$C$4+76)),MIN(DAY(Kalemler!$D19),DAY(EOMONTH((Tahmin!$C$4+76),0))))&gt;=(Tahmin!$C$4+70),DATE(YEAR((Tahmin!$C$4+76)),MONTH((Tahmin!$C$4+76)),MIN(DAY(Kalemler!$D19),DAY(EOMONTH((Tahmin!$C$4+76),0))))&lt;=(Tahmin!$C$4+76),DATE(YEAR((Tahmin!$C$4+76)),MONTH((Tahmin!$C$4+76)),MIN(DAY(Kalemler!$D19),DAY(EOMONTH((Tahmin!$C$4+76),0))))&lt;&gt;DATE(YEAR((Tahmin!$C$4+70)),MONTH((Tahmin!$C$4+70)),MIN(DAY(Kalemler!$D19),DAY(EOMONTH((Tahmin!$C$4+70),0)))),DATE(YEAR((Tahmin!$C$4+76)),MONTH((Tahmin!$C$4+76)),MIN(DAY(Kalemler!$D19),DAY(EOMONTH((Tahmin!$C$4+76),0))))&gt;=Kalemler!$D19)),1,0),IF(AND(Kalemler!$D19&gt;=(Tahmin!$C$4+70),Kalemler!$D19&lt;=(Tahmin!$C$4+76)),1,0))))</f>
        <v>0</v>
      </c>
      <c r="M19" s="0" t="n">
        <f aca="false">IF(OR(Kalemler!$A19="",Kalemler!$C19="",Kalemler!$D19=""),0,Kalemler!$C19*IF(Kalemler!$E19="Haftalık",IF(Kalemler!$D19&lt;=(Tahmin!$C$4+83),1,0),IF(Kalemler!$E19="Aylık",IF(OR(AND(DATE(YEAR((Tahmin!$C$4+77)),MONTH((Tahmin!$C$4+77)),MIN(DAY(Kalemler!$D19),DAY(EOMONTH((Tahmin!$C$4+77),0))))&gt;=(Tahmin!$C$4+77),DATE(YEAR((Tahmin!$C$4+77)),MONTH((Tahmin!$C$4+77)),MIN(DAY(Kalemler!$D19),DAY(EOMONTH((Tahmin!$C$4+77),0))))&lt;=(Tahmin!$C$4+83),DATE(YEAR((Tahmin!$C$4+77)),MONTH((Tahmin!$C$4+77)),MIN(DAY(Kalemler!$D19),DAY(EOMONTH((Tahmin!$C$4+77),0))))&gt;=Kalemler!$D19),AND(DATE(YEAR((Tahmin!$C$4+83)),MONTH((Tahmin!$C$4+83)),MIN(DAY(Kalemler!$D19),DAY(EOMONTH((Tahmin!$C$4+83),0))))&gt;=(Tahmin!$C$4+77),DATE(YEAR((Tahmin!$C$4+83)),MONTH((Tahmin!$C$4+83)),MIN(DAY(Kalemler!$D19),DAY(EOMONTH((Tahmin!$C$4+83),0))))&lt;=(Tahmin!$C$4+83),DATE(YEAR((Tahmin!$C$4+83)),MONTH((Tahmin!$C$4+83)),MIN(DAY(Kalemler!$D19),DAY(EOMONTH((Tahmin!$C$4+83),0))))&lt;&gt;DATE(YEAR((Tahmin!$C$4+77)),MONTH((Tahmin!$C$4+77)),MIN(DAY(Kalemler!$D19),DAY(EOMONTH((Tahmin!$C$4+77),0)))),DATE(YEAR((Tahmin!$C$4+83)),MONTH((Tahmin!$C$4+83)),MIN(DAY(Kalemler!$D19),DAY(EOMONTH((Tahmin!$C$4+83),0))))&gt;=Kalemler!$D19)),1,0),IF(AND(Kalemler!$D19&gt;=(Tahmin!$C$4+77),Kalemler!$D19&lt;=(Tahmin!$C$4+83)),1,0))))</f>
        <v>0</v>
      </c>
      <c r="N19" s="0" t="n">
        <f aca="false">IF(OR(Kalemler!$A19="",Kalemler!$C19="",Kalemler!$D19=""),0,Kalemler!$C19*IF(Kalemler!$E19="Haftalık",IF(Kalemler!$D19&lt;=(Tahmin!$C$4+90),1,0),IF(Kalemler!$E19="Aylık",IF(OR(AND(DATE(YEAR((Tahmin!$C$4+84)),MONTH((Tahmin!$C$4+84)),MIN(DAY(Kalemler!$D19),DAY(EOMONTH((Tahmin!$C$4+84),0))))&gt;=(Tahmin!$C$4+84),DATE(YEAR((Tahmin!$C$4+84)),MONTH((Tahmin!$C$4+84)),MIN(DAY(Kalemler!$D19),DAY(EOMONTH((Tahmin!$C$4+84),0))))&lt;=(Tahmin!$C$4+90),DATE(YEAR((Tahmin!$C$4+84)),MONTH((Tahmin!$C$4+84)),MIN(DAY(Kalemler!$D19),DAY(EOMONTH((Tahmin!$C$4+84),0))))&gt;=Kalemler!$D19),AND(DATE(YEAR((Tahmin!$C$4+90)),MONTH((Tahmin!$C$4+90)),MIN(DAY(Kalemler!$D19),DAY(EOMONTH((Tahmin!$C$4+90),0))))&gt;=(Tahmin!$C$4+84),DATE(YEAR((Tahmin!$C$4+90)),MONTH((Tahmin!$C$4+90)),MIN(DAY(Kalemler!$D19),DAY(EOMONTH((Tahmin!$C$4+90),0))))&lt;=(Tahmin!$C$4+90),DATE(YEAR((Tahmin!$C$4+90)),MONTH((Tahmin!$C$4+90)),MIN(DAY(Kalemler!$D19),DAY(EOMONTH((Tahmin!$C$4+90),0))))&lt;&gt;DATE(YEAR((Tahmin!$C$4+84)),MONTH((Tahmin!$C$4+84)),MIN(DAY(Kalemler!$D19),DAY(EOMONTH((Tahmin!$C$4+84),0)))),DATE(YEAR((Tahmin!$C$4+90)),MONTH((Tahmin!$C$4+90)),MIN(DAY(Kalemler!$D19),DAY(EOMONTH((Tahmin!$C$4+90),0))))&gt;=Kalemler!$D19)),1,0),IF(AND(Kalemler!$D19&gt;=(Tahmin!$C$4+84),Kalemler!$D19&lt;=(Tahmin!$C$4+90)),1,0))))</f>
        <v>0</v>
      </c>
    </row>
    <row r="20" customFormat="false" ht="15" hidden="false" customHeight="false" outlineLevel="0" collapsed="false">
      <c r="A20" s="0" t="str">
        <f aca="false">IF(Kalemler!A20="","",Kalemler!A20)</f>
        <v/>
      </c>
      <c r="B20" s="0" t="n">
        <f aca="false">IF(OR(Kalemler!$A20="",Kalemler!$C20="",Kalemler!$D20=""),0,Kalemler!$C20*IF(Kalemler!$E20="Haftalık",IF(Kalemler!$D20&lt;=(Tahmin!$C$4+6),1,0),IF(Kalemler!$E20="Aylık",IF(OR(AND(DATE(YEAR((Tahmin!$C$4+0)),MONTH((Tahmin!$C$4+0)),MIN(DAY(Kalemler!$D20),DAY(EOMONTH((Tahmin!$C$4+0),0))))&gt;=(Tahmin!$C$4+0),DATE(YEAR((Tahmin!$C$4+0)),MONTH((Tahmin!$C$4+0)),MIN(DAY(Kalemler!$D20),DAY(EOMONTH((Tahmin!$C$4+0),0))))&lt;=(Tahmin!$C$4+6),DATE(YEAR((Tahmin!$C$4+0)),MONTH((Tahmin!$C$4+0)),MIN(DAY(Kalemler!$D20),DAY(EOMONTH((Tahmin!$C$4+0),0))))&gt;=Kalemler!$D20),AND(DATE(YEAR((Tahmin!$C$4+6)),MONTH((Tahmin!$C$4+6)),MIN(DAY(Kalemler!$D20),DAY(EOMONTH((Tahmin!$C$4+6),0))))&gt;=(Tahmin!$C$4+0),DATE(YEAR((Tahmin!$C$4+6)),MONTH((Tahmin!$C$4+6)),MIN(DAY(Kalemler!$D20),DAY(EOMONTH((Tahmin!$C$4+6),0))))&lt;=(Tahmin!$C$4+6),DATE(YEAR((Tahmin!$C$4+6)),MONTH((Tahmin!$C$4+6)),MIN(DAY(Kalemler!$D20),DAY(EOMONTH((Tahmin!$C$4+6),0))))&lt;&gt;DATE(YEAR((Tahmin!$C$4+0)),MONTH((Tahmin!$C$4+0)),MIN(DAY(Kalemler!$D20),DAY(EOMONTH((Tahmin!$C$4+0),0)))),DATE(YEAR((Tahmin!$C$4+6)),MONTH((Tahmin!$C$4+6)),MIN(DAY(Kalemler!$D20),DAY(EOMONTH((Tahmin!$C$4+6),0))))&gt;=Kalemler!$D20)),1,0),IF(AND(Kalemler!$D20&gt;=(Tahmin!$C$4+0),Kalemler!$D20&lt;=(Tahmin!$C$4+6)),1,0))))</f>
        <v>0</v>
      </c>
      <c r="C20" s="0" t="n">
        <f aca="false">IF(OR(Kalemler!$A20="",Kalemler!$C20="",Kalemler!$D20=""),0,Kalemler!$C20*IF(Kalemler!$E20="Haftalık",IF(Kalemler!$D20&lt;=(Tahmin!$C$4+13),1,0),IF(Kalemler!$E20="Aylık",IF(OR(AND(DATE(YEAR((Tahmin!$C$4+7)),MONTH((Tahmin!$C$4+7)),MIN(DAY(Kalemler!$D20),DAY(EOMONTH((Tahmin!$C$4+7),0))))&gt;=(Tahmin!$C$4+7),DATE(YEAR((Tahmin!$C$4+7)),MONTH((Tahmin!$C$4+7)),MIN(DAY(Kalemler!$D20),DAY(EOMONTH((Tahmin!$C$4+7),0))))&lt;=(Tahmin!$C$4+13),DATE(YEAR((Tahmin!$C$4+7)),MONTH((Tahmin!$C$4+7)),MIN(DAY(Kalemler!$D20),DAY(EOMONTH((Tahmin!$C$4+7),0))))&gt;=Kalemler!$D20),AND(DATE(YEAR((Tahmin!$C$4+13)),MONTH((Tahmin!$C$4+13)),MIN(DAY(Kalemler!$D20),DAY(EOMONTH((Tahmin!$C$4+13),0))))&gt;=(Tahmin!$C$4+7),DATE(YEAR((Tahmin!$C$4+13)),MONTH((Tahmin!$C$4+13)),MIN(DAY(Kalemler!$D20),DAY(EOMONTH((Tahmin!$C$4+13),0))))&lt;=(Tahmin!$C$4+13),DATE(YEAR((Tahmin!$C$4+13)),MONTH((Tahmin!$C$4+13)),MIN(DAY(Kalemler!$D20),DAY(EOMONTH((Tahmin!$C$4+13),0))))&lt;&gt;DATE(YEAR((Tahmin!$C$4+7)),MONTH((Tahmin!$C$4+7)),MIN(DAY(Kalemler!$D20),DAY(EOMONTH((Tahmin!$C$4+7),0)))),DATE(YEAR((Tahmin!$C$4+13)),MONTH((Tahmin!$C$4+13)),MIN(DAY(Kalemler!$D20),DAY(EOMONTH((Tahmin!$C$4+13),0))))&gt;=Kalemler!$D20)),1,0),IF(AND(Kalemler!$D20&gt;=(Tahmin!$C$4+7),Kalemler!$D20&lt;=(Tahmin!$C$4+13)),1,0))))</f>
        <v>0</v>
      </c>
      <c r="D20" s="0" t="n">
        <f aca="false">IF(OR(Kalemler!$A20="",Kalemler!$C20="",Kalemler!$D20=""),0,Kalemler!$C20*IF(Kalemler!$E20="Haftalık",IF(Kalemler!$D20&lt;=(Tahmin!$C$4+20),1,0),IF(Kalemler!$E20="Aylık",IF(OR(AND(DATE(YEAR((Tahmin!$C$4+14)),MONTH((Tahmin!$C$4+14)),MIN(DAY(Kalemler!$D20),DAY(EOMONTH((Tahmin!$C$4+14),0))))&gt;=(Tahmin!$C$4+14),DATE(YEAR((Tahmin!$C$4+14)),MONTH((Tahmin!$C$4+14)),MIN(DAY(Kalemler!$D20),DAY(EOMONTH((Tahmin!$C$4+14),0))))&lt;=(Tahmin!$C$4+20),DATE(YEAR((Tahmin!$C$4+14)),MONTH((Tahmin!$C$4+14)),MIN(DAY(Kalemler!$D20),DAY(EOMONTH((Tahmin!$C$4+14),0))))&gt;=Kalemler!$D20),AND(DATE(YEAR((Tahmin!$C$4+20)),MONTH((Tahmin!$C$4+20)),MIN(DAY(Kalemler!$D20),DAY(EOMONTH((Tahmin!$C$4+20),0))))&gt;=(Tahmin!$C$4+14),DATE(YEAR((Tahmin!$C$4+20)),MONTH((Tahmin!$C$4+20)),MIN(DAY(Kalemler!$D20),DAY(EOMONTH((Tahmin!$C$4+20),0))))&lt;=(Tahmin!$C$4+20),DATE(YEAR((Tahmin!$C$4+20)),MONTH((Tahmin!$C$4+20)),MIN(DAY(Kalemler!$D20),DAY(EOMONTH((Tahmin!$C$4+20),0))))&lt;&gt;DATE(YEAR((Tahmin!$C$4+14)),MONTH((Tahmin!$C$4+14)),MIN(DAY(Kalemler!$D20),DAY(EOMONTH((Tahmin!$C$4+14),0)))),DATE(YEAR((Tahmin!$C$4+20)),MONTH((Tahmin!$C$4+20)),MIN(DAY(Kalemler!$D20),DAY(EOMONTH((Tahmin!$C$4+20),0))))&gt;=Kalemler!$D20)),1,0),IF(AND(Kalemler!$D20&gt;=(Tahmin!$C$4+14),Kalemler!$D20&lt;=(Tahmin!$C$4+20)),1,0))))</f>
        <v>0</v>
      </c>
      <c r="E20" s="0" t="n">
        <f aca="false">IF(OR(Kalemler!$A20="",Kalemler!$C20="",Kalemler!$D20=""),0,Kalemler!$C20*IF(Kalemler!$E20="Haftalık",IF(Kalemler!$D20&lt;=(Tahmin!$C$4+27),1,0),IF(Kalemler!$E20="Aylık",IF(OR(AND(DATE(YEAR((Tahmin!$C$4+21)),MONTH((Tahmin!$C$4+21)),MIN(DAY(Kalemler!$D20),DAY(EOMONTH((Tahmin!$C$4+21),0))))&gt;=(Tahmin!$C$4+21),DATE(YEAR((Tahmin!$C$4+21)),MONTH((Tahmin!$C$4+21)),MIN(DAY(Kalemler!$D20),DAY(EOMONTH((Tahmin!$C$4+21),0))))&lt;=(Tahmin!$C$4+27),DATE(YEAR((Tahmin!$C$4+21)),MONTH((Tahmin!$C$4+21)),MIN(DAY(Kalemler!$D20),DAY(EOMONTH((Tahmin!$C$4+21),0))))&gt;=Kalemler!$D20),AND(DATE(YEAR((Tahmin!$C$4+27)),MONTH((Tahmin!$C$4+27)),MIN(DAY(Kalemler!$D20),DAY(EOMONTH((Tahmin!$C$4+27),0))))&gt;=(Tahmin!$C$4+21),DATE(YEAR((Tahmin!$C$4+27)),MONTH((Tahmin!$C$4+27)),MIN(DAY(Kalemler!$D20),DAY(EOMONTH((Tahmin!$C$4+27),0))))&lt;=(Tahmin!$C$4+27),DATE(YEAR((Tahmin!$C$4+27)),MONTH((Tahmin!$C$4+27)),MIN(DAY(Kalemler!$D20),DAY(EOMONTH((Tahmin!$C$4+27),0))))&lt;&gt;DATE(YEAR((Tahmin!$C$4+21)),MONTH((Tahmin!$C$4+21)),MIN(DAY(Kalemler!$D20),DAY(EOMONTH((Tahmin!$C$4+21),0)))),DATE(YEAR((Tahmin!$C$4+27)),MONTH((Tahmin!$C$4+27)),MIN(DAY(Kalemler!$D20),DAY(EOMONTH((Tahmin!$C$4+27),0))))&gt;=Kalemler!$D20)),1,0),IF(AND(Kalemler!$D20&gt;=(Tahmin!$C$4+21),Kalemler!$D20&lt;=(Tahmin!$C$4+27)),1,0))))</f>
        <v>0</v>
      </c>
      <c r="F20" s="0" t="n">
        <f aca="false">IF(OR(Kalemler!$A20="",Kalemler!$C20="",Kalemler!$D20=""),0,Kalemler!$C20*IF(Kalemler!$E20="Haftalık",IF(Kalemler!$D20&lt;=(Tahmin!$C$4+34),1,0),IF(Kalemler!$E20="Aylık",IF(OR(AND(DATE(YEAR((Tahmin!$C$4+28)),MONTH((Tahmin!$C$4+28)),MIN(DAY(Kalemler!$D20),DAY(EOMONTH((Tahmin!$C$4+28),0))))&gt;=(Tahmin!$C$4+28),DATE(YEAR((Tahmin!$C$4+28)),MONTH((Tahmin!$C$4+28)),MIN(DAY(Kalemler!$D20),DAY(EOMONTH((Tahmin!$C$4+28),0))))&lt;=(Tahmin!$C$4+34),DATE(YEAR((Tahmin!$C$4+28)),MONTH((Tahmin!$C$4+28)),MIN(DAY(Kalemler!$D20),DAY(EOMONTH((Tahmin!$C$4+28),0))))&gt;=Kalemler!$D20),AND(DATE(YEAR((Tahmin!$C$4+34)),MONTH((Tahmin!$C$4+34)),MIN(DAY(Kalemler!$D20),DAY(EOMONTH((Tahmin!$C$4+34),0))))&gt;=(Tahmin!$C$4+28),DATE(YEAR((Tahmin!$C$4+34)),MONTH((Tahmin!$C$4+34)),MIN(DAY(Kalemler!$D20),DAY(EOMONTH((Tahmin!$C$4+34),0))))&lt;=(Tahmin!$C$4+34),DATE(YEAR((Tahmin!$C$4+34)),MONTH((Tahmin!$C$4+34)),MIN(DAY(Kalemler!$D20),DAY(EOMONTH((Tahmin!$C$4+34),0))))&lt;&gt;DATE(YEAR((Tahmin!$C$4+28)),MONTH((Tahmin!$C$4+28)),MIN(DAY(Kalemler!$D20),DAY(EOMONTH((Tahmin!$C$4+28),0)))),DATE(YEAR((Tahmin!$C$4+34)),MONTH((Tahmin!$C$4+34)),MIN(DAY(Kalemler!$D20),DAY(EOMONTH((Tahmin!$C$4+34),0))))&gt;=Kalemler!$D20)),1,0),IF(AND(Kalemler!$D20&gt;=(Tahmin!$C$4+28),Kalemler!$D20&lt;=(Tahmin!$C$4+34)),1,0))))</f>
        <v>0</v>
      </c>
      <c r="G20" s="0" t="n">
        <f aca="false">IF(OR(Kalemler!$A20="",Kalemler!$C20="",Kalemler!$D20=""),0,Kalemler!$C20*IF(Kalemler!$E20="Haftalık",IF(Kalemler!$D20&lt;=(Tahmin!$C$4+41),1,0),IF(Kalemler!$E20="Aylık",IF(OR(AND(DATE(YEAR((Tahmin!$C$4+35)),MONTH((Tahmin!$C$4+35)),MIN(DAY(Kalemler!$D20),DAY(EOMONTH((Tahmin!$C$4+35),0))))&gt;=(Tahmin!$C$4+35),DATE(YEAR((Tahmin!$C$4+35)),MONTH((Tahmin!$C$4+35)),MIN(DAY(Kalemler!$D20),DAY(EOMONTH((Tahmin!$C$4+35),0))))&lt;=(Tahmin!$C$4+41),DATE(YEAR((Tahmin!$C$4+35)),MONTH((Tahmin!$C$4+35)),MIN(DAY(Kalemler!$D20),DAY(EOMONTH((Tahmin!$C$4+35),0))))&gt;=Kalemler!$D20),AND(DATE(YEAR((Tahmin!$C$4+41)),MONTH((Tahmin!$C$4+41)),MIN(DAY(Kalemler!$D20),DAY(EOMONTH((Tahmin!$C$4+41),0))))&gt;=(Tahmin!$C$4+35),DATE(YEAR((Tahmin!$C$4+41)),MONTH((Tahmin!$C$4+41)),MIN(DAY(Kalemler!$D20),DAY(EOMONTH((Tahmin!$C$4+41),0))))&lt;=(Tahmin!$C$4+41),DATE(YEAR((Tahmin!$C$4+41)),MONTH((Tahmin!$C$4+41)),MIN(DAY(Kalemler!$D20),DAY(EOMONTH((Tahmin!$C$4+41),0))))&lt;&gt;DATE(YEAR((Tahmin!$C$4+35)),MONTH((Tahmin!$C$4+35)),MIN(DAY(Kalemler!$D20),DAY(EOMONTH((Tahmin!$C$4+35),0)))),DATE(YEAR((Tahmin!$C$4+41)),MONTH((Tahmin!$C$4+41)),MIN(DAY(Kalemler!$D20),DAY(EOMONTH((Tahmin!$C$4+41),0))))&gt;=Kalemler!$D20)),1,0),IF(AND(Kalemler!$D20&gt;=(Tahmin!$C$4+35),Kalemler!$D20&lt;=(Tahmin!$C$4+41)),1,0))))</f>
        <v>0</v>
      </c>
      <c r="H20" s="0" t="n">
        <f aca="false">IF(OR(Kalemler!$A20="",Kalemler!$C20="",Kalemler!$D20=""),0,Kalemler!$C20*IF(Kalemler!$E20="Haftalık",IF(Kalemler!$D20&lt;=(Tahmin!$C$4+48),1,0),IF(Kalemler!$E20="Aylık",IF(OR(AND(DATE(YEAR((Tahmin!$C$4+42)),MONTH((Tahmin!$C$4+42)),MIN(DAY(Kalemler!$D20),DAY(EOMONTH((Tahmin!$C$4+42),0))))&gt;=(Tahmin!$C$4+42),DATE(YEAR((Tahmin!$C$4+42)),MONTH((Tahmin!$C$4+42)),MIN(DAY(Kalemler!$D20),DAY(EOMONTH((Tahmin!$C$4+42),0))))&lt;=(Tahmin!$C$4+48),DATE(YEAR((Tahmin!$C$4+42)),MONTH((Tahmin!$C$4+42)),MIN(DAY(Kalemler!$D20),DAY(EOMONTH((Tahmin!$C$4+42),0))))&gt;=Kalemler!$D20),AND(DATE(YEAR((Tahmin!$C$4+48)),MONTH((Tahmin!$C$4+48)),MIN(DAY(Kalemler!$D20),DAY(EOMONTH((Tahmin!$C$4+48),0))))&gt;=(Tahmin!$C$4+42),DATE(YEAR((Tahmin!$C$4+48)),MONTH((Tahmin!$C$4+48)),MIN(DAY(Kalemler!$D20),DAY(EOMONTH((Tahmin!$C$4+48),0))))&lt;=(Tahmin!$C$4+48),DATE(YEAR((Tahmin!$C$4+48)),MONTH((Tahmin!$C$4+48)),MIN(DAY(Kalemler!$D20),DAY(EOMONTH((Tahmin!$C$4+48),0))))&lt;&gt;DATE(YEAR((Tahmin!$C$4+42)),MONTH((Tahmin!$C$4+42)),MIN(DAY(Kalemler!$D20),DAY(EOMONTH((Tahmin!$C$4+42),0)))),DATE(YEAR((Tahmin!$C$4+48)),MONTH((Tahmin!$C$4+48)),MIN(DAY(Kalemler!$D20),DAY(EOMONTH((Tahmin!$C$4+48),0))))&gt;=Kalemler!$D20)),1,0),IF(AND(Kalemler!$D20&gt;=(Tahmin!$C$4+42),Kalemler!$D20&lt;=(Tahmin!$C$4+48)),1,0))))</f>
        <v>0</v>
      </c>
      <c r="I20" s="0" t="n">
        <f aca="false">IF(OR(Kalemler!$A20="",Kalemler!$C20="",Kalemler!$D20=""),0,Kalemler!$C20*IF(Kalemler!$E20="Haftalık",IF(Kalemler!$D20&lt;=(Tahmin!$C$4+55),1,0),IF(Kalemler!$E20="Aylık",IF(OR(AND(DATE(YEAR((Tahmin!$C$4+49)),MONTH((Tahmin!$C$4+49)),MIN(DAY(Kalemler!$D20),DAY(EOMONTH((Tahmin!$C$4+49),0))))&gt;=(Tahmin!$C$4+49),DATE(YEAR((Tahmin!$C$4+49)),MONTH((Tahmin!$C$4+49)),MIN(DAY(Kalemler!$D20),DAY(EOMONTH((Tahmin!$C$4+49),0))))&lt;=(Tahmin!$C$4+55),DATE(YEAR((Tahmin!$C$4+49)),MONTH((Tahmin!$C$4+49)),MIN(DAY(Kalemler!$D20),DAY(EOMONTH((Tahmin!$C$4+49),0))))&gt;=Kalemler!$D20),AND(DATE(YEAR((Tahmin!$C$4+55)),MONTH((Tahmin!$C$4+55)),MIN(DAY(Kalemler!$D20),DAY(EOMONTH((Tahmin!$C$4+55),0))))&gt;=(Tahmin!$C$4+49),DATE(YEAR((Tahmin!$C$4+55)),MONTH((Tahmin!$C$4+55)),MIN(DAY(Kalemler!$D20),DAY(EOMONTH((Tahmin!$C$4+55),0))))&lt;=(Tahmin!$C$4+55),DATE(YEAR((Tahmin!$C$4+55)),MONTH((Tahmin!$C$4+55)),MIN(DAY(Kalemler!$D20),DAY(EOMONTH((Tahmin!$C$4+55),0))))&lt;&gt;DATE(YEAR((Tahmin!$C$4+49)),MONTH((Tahmin!$C$4+49)),MIN(DAY(Kalemler!$D20),DAY(EOMONTH((Tahmin!$C$4+49),0)))),DATE(YEAR((Tahmin!$C$4+55)),MONTH((Tahmin!$C$4+55)),MIN(DAY(Kalemler!$D20),DAY(EOMONTH((Tahmin!$C$4+55),0))))&gt;=Kalemler!$D20)),1,0),IF(AND(Kalemler!$D20&gt;=(Tahmin!$C$4+49),Kalemler!$D20&lt;=(Tahmin!$C$4+55)),1,0))))</f>
        <v>0</v>
      </c>
      <c r="J20" s="0" t="n">
        <f aca="false">IF(OR(Kalemler!$A20="",Kalemler!$C20="",Kalemler!$D20=""),0,Kalemler!$C20*IF(Kalemler!$E20="Haftalık",IF(Kalemler!$D20&lt;=(Tahmin!$C$4+62),1,0),IF(Kalemler!$E20="Aylık",IF(OR(AND(DATE(YEAR((Tahmin!$C$4+56)),MONTH((Tahmin!$C$4+56)),MIN(DAY(Kalemler!$D20),DAY(EOMONTH((Tahmin!$C$4+56),0))))&gt;=(Tahmin!$C$4+56),DATE(YEAR((Tahmin!$C$4+56)),MONTH((Tahmin!$C$4+56)),MIN(DAY(Kalemler!$D20),DAY(EOMONTH((Tahmin!$C$4+56),0))))&lt;=(Tahmin!$C$4+62),DATE(YEAR((Tahmin!$C$4+56)),MONTH((Tahmin!$C$4+56)),MIN(DAY(Kalemler!$D20),DAY(EOMONTH((Tahmin!$C$4+56),0))))&gt;=Kalemler!$D20),AND(DATE(YEAR((Tahmin!$C$4+62)),MONTH((Tahmin!$C$4+62)),MIN(DAY(Kalemler!$D20),DAY(EOMONTH((Tahmin!$C$4+62),0))))&gt;=(Tahmin!$C$4+56),DATE(YEAR((Tahmin!$C$4+62)),MONTH((Tahmin!$C$4+62)),MIN(DAY(Kalemler!$D20),DAY(EOMONTH((Tahmin!$C$4+62),0))))&lt;=(Tahmin!$C$4+62),DATE(YEAR((Tahmin!$C$4+62)),MONTH((Tahmin!$C$4+62)),MIN(DAY(Kalemler!$D20),DAY(EOMONTH((Tahmin!$C$4+62),0))))&lt;&gt;DATE(YEAR((Tahmin!$C$4+56)),MONTH((Tahmin!$C$4+56)),MIN(DAY(Kalemler!$D20),DAY(EOMONTH((Tahmin!$C$4+56),0)))),DATE(YEAR((Tahmin!$C$4+62)),MONTH((Tahmin!$C$4+62)),MIN(DAY(Kalemler!$D20),DAY(EOMONTH((Tahmin!$C$4+62),0))))&gt;=Kalemler!$D20)),1,0),IF(AND(Kalemler!$D20&gt;=(Tahmin!$C$4+56),Kalemler!$D20&lt;=(Tahmin!$C$4+62)),1,0))))</f>
        <v>0</v>
      </c>
      <c r="K20" s="0" t="n">
        <f aca="false">IF(OR(Kalemler!$A20="",Kalemler!$C20="",Kalemler!$D20=""),0,Kalemler!$C20*IF(Kalemler!$E20="Haftalık",IF(Kalemler!$D20&lt;=(Tahmin!$C$4+69),1,0),IF(Kalemler!$E20="Aylık",IF(OR(AND(DATE(YEAR((Tahmin!$C$4+63)),MONTH((Tahmin!$C$4+63)),MIN(DAY(Kalemler!$D20),DAY(EOMONTH((Tahmin!$C$4+63),0))))&gt;=(Tahmin!$C$4+63),DATE(YEAR((Tahmin!$C$4+63)),MONTH((Tahmin!$C$4+63)),MIN(DAY(Kalemler!$D20),DAY(EOMONTH((Tahmin!$C$4+63),0))))&lt;=(Tahmin!$C$4+69),DATE(YEAR((Tahmin!$C$4+63)),MONTH((Tahmin!$C$4+63)),MIN(DAY(Kalemler!$D20),DAY(EOMONTH((Tahmin!$C$4+63),0))))&gt;=Kalemler!$D20),AND(DATE(YEAR((Tahmin!$C$4+69)),MONTH((Tahmin!$C$4+69)),MIN(DAY(Kalemler!$D20),DAY(EOMONTH((Tahmin!$C$4+69),0))))&gt;=(Tahmin!$C$4+63),DATE(YEAR((Tahmin!$C$4+69)),MONTH((Tahmin!$C$4+69)),MIN(DAY(Kalemler!$D20),DAY(EOMONTH((Tahmin!$C$4+69),0))))&lt;=(Tahmin!$C$4+69),DATE(YEAR((Tahmin!$C$4+69)),MONTH((Tahmin!$C$4+69)),MIN(DAY(Kalemler!$D20),DAY(EOMONTH((Tahmin!$C$4+69),0))))&lt;&gt;DATE(YEAR((Tahmin!$C$4+63)),MONTH((Tahmin!$C$4+63)),MIN(DAY(Kalemler!$D20),DAY(EOMONTH((Tahmin!$C$4+63),0)))),DATE(YEAR((Tahmin!$C$4+69)),MONTH((Tahmin!$C$4+69)),MIN(DAY(Kalemler!$D20),DAY(EOMONTH((Tahmin!$C$4+69),0))))&gt;=Kalemler!$D20)),1,0),IF(AND(Kalemler!$D20&gt;=(Tahmin!$C$4+63),Kalemler!$D20&lt;=(Tahmin!$C$4+69)),1,0))))</f>
        <v>0</v>
      </c>
      <c r="L20" s="0" t="n">
        <f aca="false">IF(OR(Kalemler!$A20="",Kalemler!$C20="",Kalemler!$D20=""),0,Kalemler!$C20*IF(Kalemler!$E20="Haftalık",IF(Kalemler!$D20&lt;=(Tahmin!$C$4+76),1,0),IF(Kalemler!$E20="Aylık",IF(OR(AND(DATE(YEAR((Tahmin!$C$4+70)),MONTH((Tahmin!$C$4+70)),MIN(DAY(Kalemler!$D20),DAY(EOMONTH((Tahmin!$C$4+70),0))))&gt;=(Tahmin!$C$4+70),DATE(YEAR((Tahmin!$C$4+70)),MONTH((Tahmin!$C$4+70)),MIN(DAY(Kalemler!$D20),DAY(EOMONTH((Tahmin!$C$4+70),0))))&lt;=(Tahmin!$C$4+76),DATE(YEAR((Tahmin!$C$4+70)),MONTH((Tahmin!$C$4+70)),MIN(DAY(Kalemler!$D20),DAY(EOMONTH((Tahmin!$C$4+70),0))))&gt;=Kalemler!$D20),AND(DATE(YEAR((Tahmin!$C$4+76)),MONTH((Tahmin!$C$4+76)),MIN(DAY(Kalemler!$D20),DAY(EOMONTH((Tahmin!$C$4+76),0))))&gt;=(Tahmin!$C$4+70),DATE(YEAR((Tahmin!$C$4+76)),MONTH((Tahmin!$C$4+76)),MIN(DAY(Kalemler!$D20),DAY(EOMONTH((Tahmin!$C$4+76),0))))&lt;=(Tahmin!$C$4+76),DATE(YEAR((Tahmin!$C$4+76)),MONTH((Tahmin!$C$4+76)),MIN(DAY(Kalemler!$D20),DAY(EOMONTH((Tahmin!$C$4+76),0))))&lt;&gt;DATE(YEAR((Tahmin!$C$4+70)),MONTH((Tahmin!$C$4+70)),MIN(DAY(Kalemler!$D20),DAY(EOMONTH((Tahmin!$C$4+70),0)))),DATE(YEAR((Tahmin!$C$4+76)),MONTH((Tahmin!$C$4+76)),MIN(DAY(Kalemler!$D20),DAY(EOMONTH((Tahmin!$C$4+76),0))))&gt;=Kalemler!$D20)),1,0),IF(AND(Kalemler!$D20&gt;=(Tahmin!$C$4+70),Kalemler!$D20&lt;=(Tahmin!$C$4+76)),1,0))))</f>
        <v>0</v>
      </c>
      <c r="M20" s="0" t="n">
        <f aca="false">IF(OR(Kalemler!$A20="",Kalemler!$C20="",Kalemler!$D20=""),0,Kalemler!$C20*IF(Kalemler!$E20="Haftalık",IF(Kalemler!$D20&lt;=(Tahmin!$C$4+83),1,0),IF(Kalemler!$E20="Aylık",IF(OR(AND(DATE(YEAR((Tahmin!$C$4+77)),MONTH((Tahmin!$C$4+77)),MIN(DAY(Kalemler!$D20),DAY(EOMONTH((Tahmin!$C$4+77),0))))&gt;=(Tahmin!$C$4+77),DATE(YEAR((Tahmin!$C$4+77)),MONTH((Tahmin!$C$4+77)),MIN(DAY(Kalemler!$D20),DAY(EOMONTH((Tahmin!$C$4+77),0))))&lt;=(Tahmin!$C$4+83),DATE(YEAR((Tahmin!$C$4+77)),MONTH((Tahmin!$C$4+77)),MIN(DAY(Kalemler!$D20),DAY(EOMONTH((Tahmin!$C$4+77),0))))&gt;=Kalemler!$D20),AND(DATE(YEAR((Tahmin!$C$4+83)),MONTH((Tahmin!$C$4+83)),MIN(DAY(Kalemler!$D20),DAY(EOMONTH((Tahmin!$C$4+83),0))))&gt;=(Tahmin!$C$4+77),DATE(YEAR((Tahmin!$C$4+83)),MONTH((Tahmin!$C$4+83)),MIN(DAY(Kalemler!$D20),DAY(EOMONTH((Tahmin!$C$4+83),0))))&lt;=(Tahmin!$C$4+83),DATE(YEAR((Tahmin!$C$4+83)),MONTH((Tahmin!$C$4+83)),MIN(DAY(Kalemler!$D20),DAY(EOMONTH((Tahmin!$C$4+83),0))))&lt;&gt;DATE(YEAR((Tahmin!$C$4+77)),MONTH((Tahmin!$C$4+77)),MIN(DAY(Kalemler!$D20),DAY(EOMONTH((Tahmin!$C$4+77),0)))),DATE(YEAR((Tahmin!$C$4+83)),MONTH((Tahmin!$C$4+83)),MIN(DAY(Kalemler!$D20),DAY(EOMONTH((Tahmin!$C$4+83),0))))&gt;=Kalemler!$D20)),1,0),IF(AND(Kalemler!$D20&gt;=(Tahmin!$C$4+77),Kalemler!$D20&lt;=(Tahmin!$C$4+83)),1,0))))</f>
        <v>0</v>
      </c>
      <c r="N20" s="0" t="n">
        <f aca="false">IF(OR(Kalemler!$A20="",Kalemler!$C20="",Kalemler!$D20=""),0,Kalemler!$C20*IF(Kalemler!$E20="Haftalık",IF(Kalemler!$D20&lt;=(Tahmin!$C$4+90),1,0),IF(Kalemler!$E20="Aylık",IF(OR(AND(DATE(YEAR((Tahmin!$C$4+84)),MONTH((Tahmin!$C$4+84)),MIN(DAY(Kalemler!$D20),DAY(EOMONTH((Tahmin!$C$4+84),0))))&gt;=(Tahmin!$C$4+84),DATE(YEAR((Tahmin!$C$4+84)),MONTH((Tahmin!$C$4+84)),MIN(DAY(Kalemler!$D20),DAY(EOMONTH((Tahmin!$C$4+84),0))))&lt;=(Tahmin!$C$4+90),DATE(YEAR((Tahmin!$C$4+84)),MONTH((Tahmin!$C$4+84)),MIN(DAY(Kalemler!$D20),DAY(EOMONTH((Tahmin!$C$4+84),0))))&gt;=Kalemler!$D20),AND(DATE(YEAR((Tahmin!$C$4+90)),MONTH((Tahmin!$C$4+90)),MIN(DAY(Kalemler!$D20),DAY(EOMONTH((Tahmin!$C$4+90),0))))&gt;=(Tahmin!$C$4+84),DATE(YEAR((Tahmin!$C$4+90)),MONTH((Tahmin!$C$4+90)),MIN(DAY(Kalemler!$D20),DAY(EOMONTH((Tahmin!$C$4+90),0))))&lt;=(Tahmin!$C$4+90),DATE(YEAR((Tahmin!$C$4+90)),MONTH((Tahmin!$C$4+90)),MIN(DAY(Kalemler!$D20),DAY(EOMONTH((Tahmin!$C$4+90),0))))&lt;&gt;DATE(YEAR((Tahmin!$C$4+84)),MONTH((Tahmin!$C$4+84)),MIN(DAY(Kalemler!$D20),DAY(EOMONTH((Tahmin!$C$4+84),0)))),DATE(YEAR((Tahmin!$C$4+90)),MONTH((Tahmin!$C$4+90)),MIN(DAY(Kalemler!$D20),DAY(EOMONTH((Tahmin!$C$4+90),0))))&gt;=Kalemler!$D20)),1,0),IF(AND(Kalemler!$D20&gt;=(Tahmin!$C$4+84),Kalemler!$D20&lt;=(Tahmin!$C$4+90)),1,0))))</f>
        <v>0</v>
      </c>
    </row>
    <row r="21" customFormat="false" ht="15" hidden="false" customHeight="false" outlineLevel="0" collapsed="false">
      <c r="A21" s="0" t="str">
        <f aca="false">IF(Kalemler!A21="","",Kalemler!A21)</f>
        <v/>
      </c>
      <c r="B21" s="0" t="n">
        <f aca="false">IF(OR(Kalemler!$A21="",Kalemler!$C21="",Kalemler!$D21=""),0,Kalemler!$C21*IF(Kalemler!$E21="Haftalık",IF(Kalemler!$D21&lt;=(Tahmin!$C$4+6),1,0),IF(Kalemler!$E21="Aylık",IF(OR(AND(DATE(YEAR((Tahmin!$C$4+0)),MONTH((Tahmin!$C$4+0)),MIN(DAY(Kalemler!$D21),DAY(EOMONTH((Tahmin!$C$4+0),0))))&gt;=(Tahmin!$C$4+0),DATE(YEAR((Tahmin!$C$4+0)),MONTH((Tahmin!$C$4+0)),MIN(DAY(Kalemler!$D21),DAY(EOMONTH((Tahmin!$C$4+0),0))))&lt;=(Tahmin!$C$4+6),DATE(YEAR((Tahmin!$C$4+0)),MONTH((Tahmin!$C$4+0)),MIN(DAY(Kalemler!$D21),DAY(EOMONTH((Tahmin!$C$4+0),0))))&gt;=Kalemler!$D21),AND(DATE(YEAR((Tahmin!$C$4+6)),MONTH((Tahmin!$C$4+6)),MIN(DAY(Kalemler!$D21),DAY(EOMONTH((Tahmin!$C$4+6),0))))&gt;=(Tahmin!$C$4+0),DATE(YEAR((Tahmin!$C$4+6)),MONTH((Tahmin!$C$4+6)),MIN(DAY(Kalemler!$D21),DAY(EOMONTH((Tahmin!$C$4+6),0))))&lt;=(Tahmin!$C$4+6),DATE(YEAR((Tahmin!$C$4+6)),MONTH((Tahmin!$C$4+6)),MIN(DAY(Kalemler!$D21),DAY(EOMONTH((Tahmin!$C$4+6),0))))&lt;&gt;DATE(YEAR((Tahmin!$C$4+0)),MONTH((Tahmin!$C$4+0)),MIN(DAY(Kalemler!$D21),DAY(EOMONTH((Tahmin!$C$4+0),0)))),DATE(YEAR((Tahmin!$C$4+6)),MONTH((Tahmin!$C$4+6)),MIN(DAY(Kalemler!$D21),DAY(EOMONTH((Tahmin!$C$4+6),0))))&gt;=Kalemler!$D21)),1,0),IF(AND(Kalemler!$D21&gt;=(Tahmin!$C$4+0),Kalemler!$D21&lt;=(Tahmin!$C$4+6)),1,0))))</f>
        <v>0</v>
      </c>
      <c r="C21" s="0" t="n">
        <f aca="false">IF(OR(Kalemler!$A21="",Kalemler!$C21="",Kalemler!$D21=""),0,Kalemler!$C21*IF(Kalemler!$E21="Haftalık",IF(Kalemler!$D21&lt;=(Tahmin!$C$4+13),1,0),IF(Kalemler!$E21="Aylık",IF(OR(AND(DATE(YEAR((Tahmin!$C$4+7)),MONTH((Tahmin!$C$4+7)),MIN(DAY(Kalemler!$D21),DAY(EOMONTH((Tahmin!$C$4+7),0))))&gt;=(Tahmin!$C$4+7),DATE(YEAR((Tahmin!$C$4+7)),MONTH((Tahmin!$C$4+7)),MIN(DAY(Kalemler!$D21),DAY(EOMONTH((Tahmin!$C$4+7),0))))&lt;=(Tahmin!$C$4+13),DATE(YEAR((Tahmin!$C$4+7)),MONTH((Tahmin!$C$4+7)),MIN(DAY(Kalemler!$D21),DAY(EOMONTH((Tahmin!$C$4+7),0))))&gt;=Kalemler!$D21),AND(DATE(YEAR((Tahmin!$C$4+13)),MONTH((Tahmin!$C$4+13)),MIN(DAY(Kalemler!$D21),DAY(EOMONTH((Tahmin!$C$4+13),0))))&gt;=(Tahmin!$C$4+7),DATE(YEAR((Tahmin!$C$4+13)),MONTH((Tahmin!$C$4+13)),MIN(DAY(Kalemler!$D21),DAY(EOMONTH((Tahmin!$C$4+13),0))))&lt;=(Tahmin!$C$4+13),DATE(YEAR((Tahmin!$C$4+13)),MONTH((Tahmin!$C$4+13)),MIN(DAY(Kalemler!$D21),DAY(EOMONTH((Tahmin!$C$4+13),0))))&lt;&gt;DATE(YEAR((Tahmin!$C$4+7)),MONTH((Tahmin!$C$4+7)),MIN(DAY(Kalemler!$D21),DAY(EOMONTH((Tahmin!$C$4+7),0)))),DATE(YEAR((Tahmin!$C$4+13)),MONTH((Tahmin!$C$4+13)),MIN(DAY(Kalemler!$D21),DAY(EOMONTH((Tahmin!$C$4+13),0))))&gt;=Kalemler!$D21)),1,0),IF(AND(Kalemler!$D21&gt;=(Tahmin!$C$4+7),Kalemler!$D21&lt;=(Tahmin!$C$4+13)),1,0))))</f>
        <v>0</v>
      </c>
      <c r="D21" s="0" t="n">
        <f aca="false">IF(OR(Kalemler!$A21="",Kalemler!$C21="",Kalemler!$D21=""),0,Kalemler!$C21*IF(Kalemler!$E21="Haftalık",IF(Kalemler!$D21&lt;=(Tahmin!$C$4+20),1,0),IF(Kalemler!$E21="Aylık",IF(OR(AND(DATE(YEAR((Tahmin!$C$4+14)),MONTH((Tahmin!$C$4+14)),MIN(DAY(Kalemler!$D21),DAY(EOMONTH((Tahmin!$C$4+14),0))))&gt;=(Tahmin!$C$4+14),DATE(YEAR((Tahmin!$C$4+14)),MONTH((Tahmin!$C$4+14)),MIN(DAY(Kalemler!$D21),DAY(EOMONTH((Tahmin!$C$4+14),0))))&lt;=(Tahmin!$C$4+20),DATE(YEAR((Tahmin!$C$4+14)),MONTH((Tahmin!$C$4+14)),MIN(DAY(Kalemler!$D21),DAY(EOMONTH((Tahmin!$C$4+14),0))))&gt;=Kalemler!$D21),AND(DATE(YEAR((Tahmin!$C$4+20)),MONTH((Tahmin!$C$4+20)),MIN(DAY(Kalemler!$D21),DAY(EOMONTH((Tahmin!$C$4+20),0))))&gt;=(Tahmin!$C$4+14),DATE(YEAR((Tahmin!$C$4+20)),MONTH((Tahmin!$C$4+20)),MIN(DAY(Kalemler!$D21),DAY(EOMONTH((Tahmin!$C$4+20),0))))&lt;=(Tahmin!$C$4+20),DATE(YEAR((Tahmin!$C$4+20)),MONTH((Tahmin!$C$4+20)),MIN(DAY(Kalemler!$D21),DAY(EOMONTH((Tahmin!$C$4+20),0))))&lt;&gt;DATE(YEAR((Tahmin!$C$4+14)),MONTH((Tahmin!$C$4+14)),MIN(DAY(Kalemler!$D21),DAY(EOMONTH((Tahmin!$C$4+14),0)))),DATE(YEAR((Tahmin!$C$4+20)),MONTH((Tahmin!$C$4+20)),MIN(DAY(Kalemler!$D21),DAY(EOMONTH((Tahmin!$C$4+20),0))))&gt;=Kalemler!$D21)),1,0),IF(AND(Kalemler!$D21&gt;=(Tahmin!$C$4+14),Kalemler!$D21&lt;=(Tahmin!$C$4+20)),1,0))))</f>
        <v>0</v>
      </c>
      <c r="E21" s="0" t="n">
        <f aca="false">IF(OR(Kalemler!$A21="",Kalemler!$C21="",Kalemler!$D21=""),0,Kalemler!$C21*IF(Kalemler!$E21="Haftalık",IF(Kalemler!$D21&lt;=(Tahmin!$C$4+27),1,0),IF(Kalemler!$E21="Aylık",IF(OR(AND(DATE(YEAR((Tahmin!$C$4+21)),MONTH((Tahmin!$C$4+21)),MIN(DAY(Kalemler!$D21),DAY(EOMONTH((Tahmin!$C$4+21),0))))&gt;=(Tahmin!$C$4+21),DATE(YEAR((Tahmin!$C$4+21)),MONTH((Tahmin!$C$4+21)),MIN(DAY(Kalemler!$D21),DAY(EOMONTH((Tahmin!$C$4+21),0))))&lt;=(Tahmin!$C$4+27),DATE(YEAR((Tahmin!$C$4+21)),MONTH((Tahmin!$C$4+21)),MIN(DAY(Kalemler!$D21),DAY(EOMONTH((Tahmin!$C$4+21),0))))&gt;=Kalemler!$D21),AND(DATE(YEAR((Tahmin!$C$4+27)),MONTH((Tahmin!$C$4+27)),MIN(DAY(Kalemler!$D21),DAY(EOMONTH((Tahmin!$C$4+27),0))))&gt;=(Tahmin!$C$4+21),DATE(YEAR((Tahmin!$C$4+27)),MONTH((Tahmin!$C$4+27)),MIN(DAY(Kalemler!$D21),DAY(EOMONTH((Tahmin!$C$4+27),0))))&lt;=(Tahmin!$C$4+27),DATE(YEAR((Tahmin!$C$4+27)),MONTH((Tahmin!$C$4+27)),MIN(DAY(Kalemler!$D21),DAY(EOMONTH((Tahmin!$C$4+27),0))))&lt;&gt;DATE(YEAR((Tahmin!$C$4+21)),MONTH((Tahmin!$C$4+21)),MIN(DAY(Kalemler!$D21),DAY(EOMONTH((Tahmin!$C$4+21),0)))),DATE(YEAR((Tahmin!$C$4+27)),MONTH((Tahmin!$C$4+27)),MIN(DAY(Kalemler!$D21),DAY(EOMONTH((Tahmin!$C$4+27),0))))&gt;=Kalemler!$D21)),1,0),IF(AND(Kalemler!$D21&gt;=(Tahmin!$C$4+21),Kalemler!$D21&lt;=(Tahmin!$C$4+27)),1,0))))</f>
        <v>0</v>
      </c>
      <c r="F21" s="0" t="n">
        <f aca="false">IF(OR(Kalemler!$A21="",Kalemler!$C21="",Kalemler!$D21=""),0,Kalemler!$C21*IF(Kalemler!$E21="Haftalık",IF(Kalemler!$D21&lt;=(Tahmin!$C$4+34),1,0),IF(Kalemler!$E21="Aylık",IF(OR(AND(DATE(YEAR((Tahmin!$C$4+28)),MONTH((Tahmin!$C$4+28)),MIN(DAY(Kalemler!$D21),DAY(EOMONTH((Tahmin!$C$4+28),0))))&gt;=(Tahmin!$C$4+28),DATE(YEAR((Tahmin!$C$4+28)),MONTH((Tahmin!$C$4+28)),MIN(DAY(Kalemler!$D21),DAY(EOMONTH((Tahmin!$C$4+28),0))))&lt;=(Tahmin!$C$4+34),DATE(YEAR((Tahmin!$C$4+28)),MONTH((Tahmin!$C$4+28)),MIN(DAY(Kalemler!$D21),DAY(EOMONTH((Tahmin!$C$4+28),0))))&gt;=Kalemler!$D21),AND(DATE(YEAR((Tahmin!$C$4+34)),MONTH((Tahmin!$C$4+34)),MIN(DAY(Kalemler!$D21),DAY(EOMONTH((Tahmin!$C$4+34),0))))&gt;=(Tahmin!$C$4+28),DATE(YEAR((Tahmin!$C$4+34)),MONTH((Tahmin!$C$4+34)),MIN(DAY(Kalemler!$D21),DAY(EOMONTH((Tahmin!$C$4+34),0))))&lt;=(Tahmin!$C$4+34),DATE(YEAR((Tahmin!$C$4+34)),MONTH((Tahmin!$C$4+34)),MIN(DAY(Kalemler!$D21),DAY(EOMONTH((Tahmin!$C$4+34),0))))&lt;&gt;DATE(YEAR((Tahmin!$C$4+28)),MONTH((Tahmin!$C$4+28)),MIN(DAY(Kalemler!$D21),DAY(EOMONTH((Tahmin!$C$4+28),0)))),DATE(YEAR((Tahmin!$C$4+34)),MONTH((Tahmin!$C$4+34)),MIN(DAY(Kalemler!$D21),DAY(EOMONTH((Tahmin!$C$4+34),0))))&gt;=Kalemler!$D21)),1,0),IF(AND(Kalemler!$D21&gt;=(Tahmin!$C$4+28),Kalemler!$D21&lt;=(Tahmin!$C$4+34)),1,0))))</f>
        <v>0</v>
      </c>
      <c r="G21" s="0" t="n">
        <f aca="false">IF(OR(Kalemler!$A21="",Kalemler!$C21="",Kalemler!$D21=""),0,Kalemler!$C21*IF(Kalemler!$E21="Haftalık",IF(Kalemler!$D21&lt;=(Tahmin!$C$4+41),1,0),IF(Kalemler!$E21="Aylık",IF(OR(AND(DATE(YEAR((Tahmin!$C$4+35)),MONTH((Tahmin!$C$4+35)),MIN(DAY(Kalemler!$D21),DAY(EOMONTH((Tahmin!$C$4+35),0))))&gt;=(Tahmin!$C$4+35),DATE(YEAR((Tahmin!$C$4+35)),MONTH((Tahmin!$C$4+35)),MIN(DAY(Kalemler!$D21),DAY(EOMONTH((Tahmin!$C$4+35),0))))&lt;=(Tahmin!$C$4+41),DATE(YEAR((Tahmin!$C$4+35)),MONTH((Tahmin!$C$4+35)),MIN(DAY(Kalemler!$D21),DAY(EOMONTH((Tahmin!$C$4+35),0))))&gt;=Kalemler!$D21),AND(DATE(YEAR((Tahmin!$C$4+41)),MONTH((Tahmin!$C$4+41)),MIN(DAY(Kalemler!$D21),DAY(EOMONTH((Tahmin!$C$4+41),0))))&gt;=(Tahmin!$C$4+35),DATE(YEAR((Tahmin!$C$4+41)),MONTH((Tahmin!$C$4+41)),MIN(DAY(Kalemler!$D21),DAY(EOMONTH((Tahmin!$C$4+41),0))))&lt;=(Tahmin!$C$4+41),DATE(YEAR((Tahmin!$C$4+41)),MONTH((Tahmin!$C$4+41)),MIN(DAY(Kalemler!$D21),DAY(EOMONTH((Tahmin!$C$4+41),0))))&lt;&gt;DATE(YEAR((Tahmin!$C$4+35)),MONTH((Tahmin!$C$4+35)),MIN(DAY(Kalemler!$D21),DAY(EOMONTH((Tahmin!$C$4+35),0)))),DATE(YEAR((Tahmin!$C$4+41)),MONTH((Tahmin!$C$4+41)),MIN(DAY(Kalemler!$D21),DAY(EOMONTH((Tahmin!$C$4+41),0))))&gt;=Kalemler!$D21)),1,0),IF(AND(Kalemler!$D21&gt;=(Tahmin!$C$4+35),Kalemler!$D21&lt;=(Tahmin!$C$4+41)),1,0))))</f>
        <v>0</v>
      </c>
      <c r="H21" s="0" t="n">
        <f aca="false">IF(OR(Kalemler!$A21="",Kalemler!$C21="",Kalemler!$D21=""),0,Kalemler!$C21*IF(Kalemler!$E21="Haftalık",IF(Kalemler!$D21&lt;=(Tahmin!$C$4+48),1,0),IF(Kalemler!$E21="Aylık",IF(OR(AND(DATE(YEAR((Tahmin!$C$4+42)),MONTH((Tahmin!$C$4+42)),MIN(DAY(Kalemler!$D21),DAY(EOMONTH((Tahmin!$C$4+42),0))))&gt;=(Tahmin!$C$4+42),DATE(YEAR((Tahmin!$C$4+42)),MONTH((Tahmin!$C$4+42)),MIN(DAY(Kalemler!$D21),DAY(EOMONTH((Tahmin!$C$4+42),0))))&lt;=(Tahmin!$C$4+48),DATE(YEAR((Tahmin!$C$4+42)),MONTH((Tahmin!$C$4+42)),MIN(DAY(Kalemler!$D21),DAY(EOMONTH((Tahmin!$C$4+42),0))))&gt;=Kalemler!$D21),AND(DATE(YEAR((Tahmin!$C$4+48)),MONTH((Tahmin!$C$4+48)),MIN(DAY(Kalemler!$D21),DAY(EOMONTH((Tahmin!$C$4+48),0))))&gt;=(Tahmin!$C$4+42),DATE(YEAR((Tahmin!$C$4+48)),MONTH((Tahmin!$C$4+48)),MIN(DAY(Kalemler!$D21),DAY(EOMONTH((Tahmin!$C$4+48),0))))&lt;=(Tahmin!$C$4+48),DATE(YEAR((Tahmin!$C$4+48)),MONTH((Tahmin!$C$4+48)),MIN(DAY(Kalemler!$D21),DAY(EOMONTH((Tahmin!$C$4+48),0))))&lt;&gt;DATE(YEAR((Tahmin!$C$4+42)),MONTH((Tahmin!$C$4+42)),MIN(DAY(Kalemler!$D21),DAY(EOMONTH((Tahmin!$C$4+42),0)))),DATE(YEAR((Tahmin!$C$4+48)),MONTH((Tahmin!$C$4+48)),MIN(DAY(Kalemler!$D21),DAY(EOMONTH((Tahmin!$C$4+48),0))))&gt;=Kalemler!$D21)),1,0),IF(AND(Kalemler!$D21&gt;=(Tahmin!$C$4+42),Kalemler!$D21&lt;=(Tahmin!$C$4+48)),1,0))))</f>
        <v>0</v>
      </c>
      <c r="I21" s="0" t="n">
        <f aca="false">IF(OR(Kalemler!$A21="",Kalemler!$C21="",Kalemler!$D21=""),0,Kalemler!$C21*IF(Kalemler!$E21="Haftalık",IF(Kalemler!$D21&lt;=(Tahmin!$C$4+55),1,0),IF(Kalemler!$E21="Aylık",IF(OR(AND(DATE(YEAR((Tahmin!$C$4+49)),MONTH((Tahmin!$C$4+49)),MIN(DAY(Kalemler!$D21),DAY(EOMONTH((Tahmin!$C$4+49),0))))&gt;=(Tahmin!$C$4+49),DATE(YEAR((Tahmin!$C$4+49)),MONTH((Tahmin!$C$4+49)),MIN(DAY(Kalemler!$D21),DAY(EOMONTH((Tahmin!$C$4+49),0))))&lt;=(Tahmin!$C$4+55),DATE(YEAR((Tahmin!$C$4+49)),MONTH((Tahmin!$C$4+49)),MIN(DAY(Kalemler!$D21),DAY(EOMONTH((Tahmin!$C$4+49),0))))&gt;=Kalemler!$D21),AND(DATE(YEAR((Tahmin!$C$4+55)),MONTH((Tahmin!$C$4+55)),MIN(DAY(Kalemler!$D21),DAY(EOMONTH((Tahmin!$C$4+55),0))))&gt;=(Tahmin!$C$4+49),DATE(YEAR((Tahmin!$C$4+55)),MONTH((Tahmin!$C$4+55)),MIN(DAY(Kalemler!$D21),DAY(EOMONTH((Tahmin!$C$4+55),0))))&lt;=(Tahmin!$C$4+55),DATE(YEAR((Tahmin!$C$4+55)),MONTH((Tahmin!$C$4+55)),MIN(DAY(Kalemler!$D21),DAY(EOMONTH((Tahmin!$C$4+55),0))))&lt;&gt;DATE(YEAR((Tahmin!$C$4+49)),MONTH((Tahmin!$C$4+49)),MIN(DAY(Kalemler!$D21),DAY(EOMONTH((Tahmin!$C$4+49),0)))),DATE(YEAR((Tahmin!$C$4+55)),MONTH((Tahmin!$C$4+55)),MIN(DAY(Kalemler!$D21),DAY(EOMONTH((Tahmin!$C$4+55),0))))&gt;=Kalemler!$D21)),1,0),IF(AND(Kalemler!$D21&gt;=(Tahmin!$C$4+49),Kalemler!$D21&lt;=(Tahmin!$C$4+55)),1,0))))</f>
        <v>0</v>
      </c>
      <c r="J21" s="0" t="n">
        <f aca="false">IF(OR(Kalemler!$A21="",Kalemler!$C21="",Kalemler!$D21=""),0,Kalemler!$C21*IF(Kalemler!$E21="Haftalık",IF(Kalemler!$D21&lt;=(Tahmin!$C$4+62),1,0),IF(Kalemler!$E21="Aylık",IF(OR(AND(DATE(YEAR((Tahmin!$C$4+56)),MONTH((Tahmin!$C$4+56)),MIN(DAY(Kalemler!$D21),DAY(EOMONTH((Tahmin!$C$4+56),0))))&gt;=(Tahmin!$C$4+56),DATE(YEAR((Tahmin!$C$4+56)),MONTH((Tahmin!$C$4+56)),MIN(DAY(Kalemler!$D21),DAY(EOMONTH((Tahmin!$C$4+56),0))))&lt;=(Tahmin!$C$4+62),DATE(YEAR((Tahmin!$C$4+56)),MONTH((Tahmin!$C$4+56)),MIN(DAY(Kalemler!$D21),DAY(EOMONTH((Tahmin!$C$4+56),0))))&gt;=Kalemler!$D21),AND(DATE(YEAR((Tahmin!$C$4+62)),MONTH((Tahmin!$C$4+62)),MIN(DAY(Kalemler!$D21),DAY(EOMONTH((Tahmin!$C$4+62),0))))&gt;=(Tahmin!$C$4+56),DATE(YEAR((Tahmin!$C$4+62)),MONTH((Tahmin!$C$4+62)),MIN(DAY(Kalemler!$D21),DAY(EOMONTH((Tahmin!$C$4+62),0))))&lt;=(Tahmin!$C$4+62),DATE(YEAR((Tahmin!$C$4+62)),MONTH((Tahmin!$C$4+62)),MIN(DAY(Kalemler!$D21),DAY(EOMONTH((Tahmin!$C$4+62),0))))&lt;&gt;DATE(YEAR((Tahmin!$C$4+56)),MONTH((Tahmin!$C$4+56)),MIN(DAY(Kalemler!$D21),DAY(EOMONTH((Tahmin!$C$4+56),0)))),DATE(YEAR((Tahmin!$C$4+62)),MONTH((Tahmin!$C$4+62)),MIN(DAY(Kalemler!$D21),DAY(EOMONTH((Tahmin!$C$4+62),0))))&gt;=Kalemler!$D21)),1,0),IF(AND(Kalemler!$D21&gt;=(Tahmin!$C$4+56),Kalemler!$D21&lt;=(Tahmin!$C$4+62)),1,0))))</f>
        <v>0</v>
      </c>
      <c r="K21" s="0" t="n">
        <f aca="false">IF(OR(Kalemler!$A21="",Kalemler!$C21="",Kalemler!$D21=""),0,Kalemler!$C21*IF(Kalemler!$E21="Haftalık",IF(Kalemler!$D21&lt;=(Tahmin!$C$4+69),1,0),IF(Kalemler!$E21="Aylık",IF(OR(AND(DATE(YEAR((Tahmin!$C$4+63)),MONTH((Tahmin!$C$4+63)),MIN(DAY(Kalemler!$D21),DAY(EOMONTH((Tahmin!$C$4+63),0))))&gt;=(Tahmin!$C$4+63),DATE(YEAR((Tahmin!$C$4+63)),MONTH((Tahmin!$C$4+63)),MIN(DAY(Kalemler!$D21),DAY(EOMONTH((Tahmin!$C$4+63),0))))&lt;=(Tahmin!$C$4+69),DATE(YEAR((Tahmin!$C$4+63)),MONTH((Tahmin!$C$4+63)),MIN(DAY(Kalemler!$D21),DAY(EOMONTH((Tahmin!$C$4+63),0))))&gt;=Kalemler!$D21),AND(DATE(YEAR((Tahmin!$C$4+69)),MONTH((Tahmin!$C$4+69)),MIN(DAY(Kalemler!$D21),DAY(EOMONTH((Tahmin!$C$4+69),0))))&gt;=(Tahmin!$C$4+63),DATE(YEAR((Tahmin!$C$4+69)),MONTH((Tahmin!$C$4+69)),MIN(DAY(Kalemler!$D21),DAY(EOMONTH((Tahmin!$C$4+69),0))))&lt;=(Tahmin!$C$4+69),DATE(YEAR((Tahmin!$C$4+69)),MONTH((Tahmin!$C$4+69)),MIN(DAY(Kalemler!$D21),DAY(EOMONTH((Tahmin!$C$4+69),0))))&lt;&gt;DATE(YEAR((Tahmin!$C$4+63)),MONTH((Tahmin!$C$4+63)),MIN(DAY(Kalemler!$D21),DAY(EOMONTH((Tahmin!$C$4+63),0)))),DATE(YEAR((Tahmin!$C$4+69)),MONTH((Tahmin!$C$4+69)),MIN(DAY(Kalemler!$D21),DAY(EOMONTH((Tahmin!$C$4+69),0))))&gt;=Kalemler!$D21)),1,0),IF(AND(Kalemler!$D21&gt;=(Tahmin!$C$4+63),Kalemler!$D21&lt;=(Tahmin!$C$4+69)),1,0))))</f>
        <v>0</v>
      </c>
      <c r="L21" s="0" t="n">
        <f aca="false">IF(OR(Kalemler!$A21="",Kalemler!$C21="",Kalemler!$D21=""),0,Kalemler!$C21*IF(Kalemler!$E21="Haftalık",IF(Kalemler!$D21&lt;=(Tahmin!$C$4+76),1,0),IF(Kalemler!$E21="Aylık",IF(OR(AND(DATE(YEAR((Tahmin!$C$4+70)),MONTH((Tahmin!$C$4+70)),MIN(DAY(Kalemler!$D21),DAY(EOMONTH((Tahmin!$C$4+70),0))))&gt;=(Tahmin!$C$4+70),DATE(YEAR((Tahmin!$C$4+70)),MONTH((Tahmin!$C$4+70)),MIN(DAY(Kalemler!$D21),DAY(EOMONTH((Tahmin!$C$4+70),0))))&lt;=(Tahmin!$C$4+76),DATE(YEAR((Tahmin!$C$4+70)),MONTH((Tahmin!$C$4+70)),MIN(DAY(Kalemler!$D21),DAY(EOMONTH((Tahmin!$C$4+70),0))))&gt;=Kalemler!$D21),AND(DATE(YEAR((Tahmin!$C$4+76)),MONTH((Tahmin!$C$4+76)),MIN(DAY(Kalemler!$D21),DAY(EOMONTH((Tahmin!$C$4+76),0))))&gt;=(Tahmin!$C$4+70),DATE(YEAR((Tahmin!$C$4+76)),MONTH((Tahmin!$C$4+76)),MIN(DAY(Kalemler!$D21),DAY(EOMONTH((Tahmin!$C$4+76),0))))&lt;=(Tahmin!$C$4+76),DATE(YEAR((Tahmin!$C$4+76)),MONTH((Tahmin!$C$4+76)),MIN(DAY(Kalemler!$D21),DAY(EOMONTH((Tahmin!$C$4+76),0))))&lt;&gt;DATE(YEAR((Tahmin!$C$4+70)),MONTH((Tahmin!$C$4+70)),MIN(DAY(Kalemler!$D21),DAY(EOMONTH((Tahmin!$C$4+70),0)))),DATE(YEAR((Tahmin!$C$4+76)),MONTH((Tahmin!$C$4+76)),MIN(DAY(Kalemler!$D21),DAY(EOMONTH((Tahmin!$C$4+76),0))))&gt;=Kalemler!$D21)),1,0),IF(AND(Kalemler!$D21&gt;=(Tahmin!$C$4+70),Kalemler!$D21&lt;=(Tahmin!$C$4+76)),1,0))))</f>
        <v>0</v>
      </c>
      <c r="M21" s="0" t="n">
        <f aca="false">IF(OR(Kalemler!$A21="",Kalemler!$C21="",Kalemler!$D21=""),0,Kalemler!$C21*IF(Kalemler!$E21="Haftalık",IF(Kalemler!$D21&lt;=(Tahmin!$C$4+83),1,0),IF(Kalemler!$E21="Aylık",IF(OR(AND(DATE(YEAR((Tahmin!$C$4+77)),MONTH((Tahmin!$C$4+77)),MIN(DAY(Kalemler!$D21),DAY(EOMONTH((Tahmin!$C$4+77),0))))&gt;=(Tahmin!$C$4+77),DATE(YEAR((Tahmin!$C$4+77)),MONTH((Tahmin!$C$4+77)),MIN(DAY(Kalemler!$D21),DAY(EOMONTH((Tahmin!$C$4+77),0))))&lt;=(Tahmin!$C$4+83),DATE(YEAR((Tahmin!$C$4+77)),MONTH((Tahmin!$C$4+77)),MIN(DAY(Kalemler!$D21),DAY(EOMONTH((Tahmin!$C$4+77),0))))&gt;=Kalemler!$D21),AND(DATE(YEAR((Tahmin!$C$4+83)),MONTH((Tahmin!$C$4+83)),MIN(DAY(Kalemler!$D21),DAY(EOMONTH((Tahmin!$C$4+83),0))))&gt;=(Tahmin!$C$4+77),DATE(YEAR((Tahmin!$C$4+83)),MONTH((Tahmin!$C$4+83)),MIN(DAY(Kalemler!$D21),DAY(EOMONTH((Tahmin!$C$4+83),0))))&lt;=(Tahmin!$C$4+83),DATE(YEAR((Tahmin!$C$4+83)),MONTH((Tahmin!$C$4+83)),MIN(DAY(Kalemler!$D21),DAY(EOMONTH((Tahmin!$C$4+83),0))))&lt;&gt;DATE(YEAR((Tahmin!$C$4+77)),MONTH((Tahmin!$C$4+77)),MIN(DAY(Kalemler!$D21),DAY(EOMONTH((Tahmin!$C$4+77),0)))),DATE(YEAR((Tahmin!$C$4+83)),MONTH((Tahmin!$C$4+83)),MIN(DAY(Kalemler!$D21),DAY(EOMONTH((Tahmin!$C$4+83),0))))&gt;=Kalemler!$D21)),1,0),IF(AND(Kalemler!$D21&gt;=(Tahmin!$C$4+77),Kalemler!$D21&lt;=(Tahmin!$C$4+83)),1,0))))</f>
        <v>0</v>
      </c>
      <c r="N21" s="0" t="n">
        <f aca="false">IF(OR(Kalemler!$A21="",Kalemler!$C21="",Kalemler!$D21=""),0,Kalemler!$C21*IF(Kalemler!$E21="Haftalık",IF(Kalemler!$D21&lt;=(Tahmin!$C$4+90),1,0),IF(Kalemler!$E21="Aylık",IF(OR(AND(DATE(YEAR((Tahmin!$C$4+84)),MONTH((Tahmin!$C$4+84)),MIN(DAY(Kalemler!$D21),DAY(EOMONTH((Tahmin!$C$4+84),0))))&gt;=(Tahmin!$C$4+84),DATE(YEAR((Tahmin!$C$4+84)),MONTH((Tahmin!$C$4+84)),MIN(DAY(Kalemler!$D21),DAY(EOMONTH((Tahmin!$C$4+84),0))))&lt;=(Tahmin!$C$4+90),DATE(YEAR((Tahmin!$C$4+84)),MONTH((Tahmin!$C$4+84)),MIN(DAY(Kalemler!$D21),DAY(EOMONTH((Tahmin!$C$4+84),0))))&gt;=Kalemler!$D21),AND(DATE(YEAR((Tahmin!$C$4+90)),MONTH((Tahmin!$C$4+90)),MIN(DAY(Kalemler!$D21),DAY(EOMONTH((Tahmin!$C$4+90),0))))&gt;=(Tahmin!$C$4+84),DATE(YEAR((Tahmin!$C$4+90)),MONTH((Tahmin!$C$4+90)),MIN(DAY(Kalemler!$D21),DAY(EOMONTH((Tahmin!$C$4+90),0))))&lt;=(Tahmin!$C$4+90),DATE(YEAR((Tahmin!$C$4+90)),MONTH((Tahmin!$C$4+90)),MIN(DAY(Kalemler!$D21),DAY(EOMONTH((Tahmin!$C$4+90),0))))&lt;&gt;DATE(YEAR((Tahmin!$C$4+84)),MONTH((Tahmin!$C$4+84)),MIN(DAY(Kalemler!$D21),DAY(EOMONTH((Tahmin!$C$4+84),0)))),DATE(YEAR((Tahmin!$C$4+90)),MONTH((Tahmin!$C$4+90)),MIN(DAY(Kalemler!$D21),DAY(EOMONTH((Tahmin!$C$4+90),0))))&gt;=Kalemler!$D21)),1,0),IF(AND(Kalemler!$D21&gt;=(Tahmin!$C$4+84),Kalemler!$D21&lt;=(Tahmin!$C$4+90)),1,0))))</f>
        <v>0</v>
      </c>
    </row>
    <row r="22" customFormat="false" ht="15" hidden="false" customHeight="false" outlineLevel="0" collapsed="false">
      <c r="A22" s="0" t="str">
        <f aca="false">IF(Kalemler!A22="","",Kalemler!A22)</f>
        <v/>
      </c>
      <c r="B22" s="0" t="n">
        <f aca="false">IF(OR(Kalemler!$A22="",Kalemler!$C22="",Kalemler!$D22=""),0,Kalemler!$C22*IF(Kalemler!$E22="Haftalık",IF(Kalemler!$D22&lt;=(Tahmin!$C$4+6),1,0),IF(Kalemler!$E22="Aylık",IF(OR(AND(DATE(YEAR((Tahmin!$C$4+0)),MONTH((Tahmin!$C$4+0)),MIN(DAY(Kalemler!$D22),DAY(EOMONTH((Tahmin!$C$4+0),0))))&gt;=(Tahmin!$C$4+0),DATE(YEAR((Tahmin!$C$4+0)),MONTH((Tahmin!$C$4+0)),MIN(DAY(Kalemler!$D22),DAY(EOMONTH((Tahmin!$C$4+0),0))))&lt;=(Tahmin!$C$4+6),DATE(YEAR((Tahmin!$C$4+0)),MONTH((Tahmin!$C$4+0)),MIN(DAY(Kalemler!$D22),DAY(EOMONTH((Tahmin!$C$4+0),0))))&gt;=Kalemler!$D22),AND(DATE(YEAR((Tahmin!$C$4+6)),MONTH((Tahmin!$C$4+6)),MIN(DAY(Kalemler!$D22),DAY(EOMONTH((Tahmin!$C$4+6),0))))&gt;=(Tahmin!$C$4+0),DATE(YEAR((Tahmin!$C$4+6)),MONTH((Tahmin!$C$4+6)),MIN(DAY(Kalemler!$D22),DAY(EOMONTH((Tahmin!$C$4+6),0))))&lt;=(Tahmin!$C$4+6),DATE(YEAR((Tahmin!$C$4+6)),MONTH((Tahmin!$C$4+6)),MIN(DAY(Kalemler!$D22),DAY(EOMONTH((Tahmin!$C$4+6),0))))&lt;&gt;DATE(YEAR((Tahmin!$C$4+0)),MONTH((Tahmin!$C$4+0)),MIN(DAY(Kalemler!$D22),DAY(EOMONTH((Tahmin!$C$4+0),0)))),DATE(YEAR((Tahmin!$C$4+6)),MONTH((Tahmin!$C$4+6)),MIN(DAY(Kalemler!$D22),DAY(EOMONTH((Tahmin!$C$4+6),0))))&gt;=Kalemler!$D22)),1,0),IF(AND(Kalemler!$D22&gt;=(Tahmin!$C$4+0),Kalemler!$D22&lt;=(Tahmin!$C$4+6)),1,0))))</f>
        <v>0</v>
      </c>
      <c r="C22" s="0" t="n">
        <f aca="false">IF(OR(Kalemler!$A22="",Kalemler!$C22="",Kalemler!$D22=""),0,Kalemler!$C22*IF(Kalemler!$E22="Haftalık",IF(Kalemler!$D22&lt;=(Tahmin!$C$4+13),1,0),IF(Kalemler!$E22="Aylık",IF(OR(AND(DATE(YEAR((Tahmin!$C$4+7)),MONTH((Tahmin!$C$4+7)),MIN(DAY(Kalemler!$D22),DAY(EOMONTH((Tahmin!$C$4+7),0))))&gt;=(Tahmin!$C$4+7),DATE(YEAR((Tahmin!$C$4+7)),MONTH((Tahmin!$C$4+7)),MIN(DAY(Kalemler!$D22),DAY(EOMONTH((Tahmin!$C$4+7),0))))&lt;=(Tahmin!$C$4+13),DATE(YEAR((Tahmin!$C$4+7)),MONTH((Tahmin!$C$4+7)),MIN(DAY(Kalemler!$D22),DAY(EOMONTH((Tahmin!$C$4+7),0))))&gt;=Kalemler!$D22),AND(DATE(YEAR((Tahmin!$C$4+13)),MONTH((Tahmin!$C$4+13)),MIN(DAY(Kalemler!$D22),DAY(EOMONTH((Tahmin!$C$4+13),0))))&gt;=(Tahmin!$C$4+7),DATE(YEAR((Tahmin!$C$4+13)),MONTH((Tahmin!$C$4+13)),MIN(DAY(Kalemler!$D22),DAY(EOMONTH((Tahmin!$C$4+13),0))))&lt;=(Tahmin!$C$4+13),DATE(YEAR((Tahmin!$C$4+13)),MONTH((Tahmin!$C$4+13)),MIN(DAY(Kalemler!$D22),DAY(EOMONTH((Tahmin!$C$4+13),0))))&lt;&gt;DATE(YEAR((Tahmin!$C$4+7)),MONTH((Tahmin!$C$4+7)),MIN(DAY(Kalemler!$D22),DAY(EOMONTH((Tahmin!$C$4+7),0)))),DATE(YEAR((Tahmin!$C$4+13)),MONTH((Tahmin!$C$4+13)),MIN(DAY(Kalemler!$D22),DAY(EOMONTH((Tahmin!$C$4+13),0))))&gt;=Kalemler!$D22)),1,0),IF(AND(Kalemler!$D22&gt;=(Tahmin!$C$4+7),Kalemler!$D22&lt;=(Tahmin!$C$4+13)),1,0))))</f>
        <v>0</v>
      </c>
      <c r="D22" s="0" t="n">
        <f aca="false">IF(OR(Kalemler!$A22="",Kalemler!$C22="",Kalemler!$D22=""),0,Kalemler!$C22*IF(Kalemler!$E22="Haftalık",IF(Kalemler!$D22&lt;=(Tahmin!$C$4+20),1,0),IF(Kalemler!$E22="Aylık",IF(OR(AND(DATE(YEAR((Tahmin!$C$4+14)),MONTH((Tahmin!$C$4+14)),MIN(DAY(Kalemler!$D22),DAY(EOMONTH((Tahmin!$C$4+14),0))))&gt;=(Tahmin!$C$4+14),DATE(YEAR((Tahmin!$C$4+14)),MONTH((Tahmin!$C$4+14)),MIN(DAY(Kalemler!$D22),DAY(EOMONTH((Tahmin!$C$4+14),0))))&lt;=(Tahmin!$C$4+20),DATE(YEAR((Tahmin!$C$4+14)),MONTH((Tahmin!$C$4+14)),MIN(DAY(Kalemler!$D22),DAY(EOMONTH((Tahmin!$C$4+14),0))))&gt;=Kalemler!$D22),AND(DATE(YEAR((Tahmin!$C$4+20)),MONTH((Tahmin!$C$4+20)),MIN(DAY(Kalemler!$D22),DAY(EOMONTH((Tahmin!$C$4+20),0))))&gt;=(Tahmin!$C$4+14),DATE(YEAR((Tahmin!$C$4+20)),MONTH((Tahmin!$C$4+20)),MIN(DAY(Kalemler!$D22),DAY(EOMONTH((Tahmin!$C$4+20),0))))&lt;=(Tahmin!$C$4+20),DATE(YEAR((Tahmin!$C$4+20)),MONTH((Tahmin!$C$4+20)),MIN(DAY(Kalemler!$D22),DAY(EOMONTH((Tahmin!$C$4+20),0))))&lt;&gt;DATE(YEAR((Tahmin!$C$4+14)),MONTH((Tahmin!$C$4+14)),MIN(DAY(Kalemler!$D22),DAY(EOMONTH((Tahmin!$C$4+14),0)))),DATE(YEAR((Tahmin!$C$4+20)),MONTH((Tahmin!$C$4+20)),MIN(DAY(Kalemler!$D22),DAY(EOMONTH((Tahmin!$C$4+20),0))))&gt;=Kalemler!$D22)),1,0),IF(AND(Kalemler!$D22&gt;=(Tahmin!$C$4+14),Kalemler!$D22&lt;=(Tahmin!$C$4+20)),1,0))))</f>
        <v>0</v>
      </c>
      <c r="E22" s="0" t="n">
        <f aca="false">IF(OR(Kalemler!$A22="",Kalemler!$C22="",Kalemler!$D22=""),0,Kalemler!$C22*IF(Kalemler!$E22="Haftalık",IF(Kalemler!$D22&lt;=(Tahmin!$C$4+27),1,0),IF(Kalemler!$E22="Aylık",IF(OR(AND(DATE(YEAR((Tahmin!$C$4+21)),MONTH((Tahmin!$C$4+21)),MIN(DAY(Kalemler!$D22),DAY(EOMONTH((Tahmin!$C$4+21),0))))&gt;=(Tahmin!$C$4+21),DATE(YEAR((Tahmin!$C$4+21)),MONTH((Tahmin!$C$4+21)),MIN(DAY(Kalemler!$D22),DAY(EOMONTH((Tahmin!$C$4+21),0))))&lt;=(Tahmin!$C$4+27),DATE(YEAR((Tahmin!$C$4+21)),MONTH((Tahmin!$C$4+21)),MIN(DAY(Kalemler!$D22),DAY(EOMONTH((Tahmin!$C$4+21),0))))&gt;=Kalemler!$D22),AND(DATE(YEAR((Tahmin!$C$4+27)),MONTH((Tahmin!$C$4+27)),MIN(DAY(Kalemler!$D22),DAY(EOMONTH((Tahmin!$C$4+27),0))))&gt;=(Tahmin!$C$4+21),DATE(YEAR((Tahmin!$C$4+27)),MONTH((Tahmin!$C$4+27)),MIN(DAY(Kalemler!$D22),DAY(EOMONTH((Tahmin!$C$4+27),0))))&lt;=(Tahmin!$C$4+27),DATE(YEAR((Tahmin!$C$4+27)),MONTH((Tahmin!$C$4+27)),MIN(DAY(Kalemler!$D22),DAY(EOMONTH((Tahmin!$C$4+27),0))))&lt;&gt;DATE(YEAR((Tahmin!$C$4+21)),MONTH((Tahmin!$C$4+21)),MIN(DAY(Kalemler!$D22),DAY(EOMONTH((Tahmin!$C$4+21),0)))),DATE(YEAR((Tahmin!$C$4+27)),MONTH((Tahmin!$C$4+27)),MIN(DAY(Kalemler!$D22),DAY(EOMONTH((Tahmin!$C$4+27),0))))&gt;=Kalemler!$D22)),1,0),IF(AND(Kalemler!$D22&gt;=(Tahmin!$C$4+21),Kalemler!$D22&lt;=(Tahmin!$C$4+27)),1,0))))</f>
        <v>0</v>
      </c>
      <c r="F22" s="0" t="n">
        <f aca="false">IF(OR(Kalemler!$A22="",Kalemler!$C22="",Kalemler!$D22=""),0,Kalemler!$C22*IF(Kalemler!$E22="Haftalık",IF(Kalemler!$D22&lt;=(Tahmin!$C$4+34),1,0),IF(Kalemler!$E22="Aylık",IF(OR(AND(DATE(YEAR((Tahmin!$C$4+28)),MONTH((Tahmin!$C$4+28)),MIN(DAY(Kalemler!$D22),DAY(EOMONTH((Tahmin!$C$4+28),0))))&gt;=(Tahmin!$C$4+28),DATE(YEAR((Tahmin!$C$4+28)),MONTH((Tahmin!$C$4+28)),MIN(DAY(Kalemler!$D22),DAY(EOMONTH((Tahmin!$C$4+28),0))))&lt;=(Tahmin!$C$4+34),DATE(YEAR((Tahmin!$C$4+28)),MONTH((Tahmin!$C$4+28)),MIN(DAY(Kalemler!$D22),DAY(EOMONTH((Tahmin!$C$4+28),0))))&gt;=Kalemler!$D22),AND(DATE(YEAR((Tahmin!$C$4+34)),MONTH((Tahmin!$C$4+34)),MIN(DAY(Kalemler!$D22),DAY(EOMONTH((Tahmin!$C$4+34),0))))&gt;=(Tahmin!$C$4+28),DATE(YEAR((Tahmin!$C$4+34)),MONTH((Tahmin!$C$4+34)),MIN(DAY(Kalemler!$D22),DAY(EOMONTH((Tahmin!$C$4+34),0))))&lt;=(Tahmin!$C$4+34),DATE(YEAR((Tahmin!$C$4+34)),MONTH((Tahmin!$C$4+34)),MIN(DAY(Kalemler!$D22),DAY(EOMONTH((Tahmin!$C$4+34),0))))&lt;&gt;DATE(YEAR((Tahmin!$C$4+28)),MONTH((Tahmin!$C$4+28)),MIN(DAY(Kalemler!$D22),DAY(EOMONTH((Tahmin!$C$4+28),0)))),DATE(YEAR((Tahmin!$C$4+34)),MONTH((Tahmin!$C$4+34)),MIN(DAY(Kalemler!$D22),DAY(EOMONTH((Tahmin!$C$4+34),0))))&gt;=Kalemler!$D22)),1,0),IF(AND(Kalemler!$D22&gt;=(Tahmin!$C$4+28),Kalemler!$D22&lt;=(Tahmin!$C$4+34)),1,0))))</f>
        <v>0</v>
      </c>
      <c r="G22" s="0" t="n">
        <f aca="false">IF(OR(Kalemler!$A22="",Kalemler!$C22="",Kalemler!$D22=""),0,Kalemler!$C22*IF(Kalemler!$E22="Haftalık",IF(Kalemler!$D22&lt;=(Tahmin!$C$4+41),1,0),IF(Kalemler!$E22="Aylık",IF(OR(AND(DATE(YEAR((Tahmin!$C$4+35)),MONTH((Tahmin!$C$4+35)),MIN(DAY(Kalemler!$D22),DAY(EOMONTH((Tahmin!$C$4+35),0))))&gt;=(Tahmin!$C$4+35),DATE(YEAR((Tahmin!$C$4+35)),MONTH((Tahmin!$C$4+35)),MIN(DAY(Kalemler!$D22),DAY(EOMONTH((Tahmin!$C$4+35),0))))&lt;=(Tahmin!$C$4+41),DATE(YEAR((Tahmin!$C$4+35)),MONTH((Tahmin!$C$4+35)),MIN(DAY(Kalemler!$D22),DAY(EOMONTH((Tahmin!$C$4+35),0))))&gt;=Kalemler!$D22),AND(DATE(YEAR((Tahmin!$C$4+41)),MONTH((Tahmin!$C$4+41)),MIN(DAY(Kalemler!$D22),DAY(EOMONTH((Tahmin!$C$4+41),0))))&gt;=(Tahmin!$C$4+35),DATE(YEAR((Tahmin!$C$4+41)),MONTH((Tahmin!$C$4+41)),MIN(DAY(Kalemler!$D22),DAY(EOMONTH((Tahmin!$C$4+41),0))))&lt;=(Tahmin!$C$4+41),DATE(YEAR((Tahmin!$C$4+41)),MONTH((Tahmin!$C$4+41)),MIN(DAY(Kalemler!$D22),DAY(EOMONTH((Tahmin!$C$4+41),0))))&lt;&gt;DATE(YEAR((Tahmin!$C$4+35)),MONTH((Tahmin!$C$4+35)),MIN(DAY(Kalemler!$D22),DAY(EOMONTH((Tahmin!$C$4+35),0)))),DATE(YEAR((Tahmin!$C$4+41)),MONTH((Tahmin!$C$4+41)),MIN(DAY(Kalemler!$D22),DAY(EOMONTH((Tahmin!$C$4+41),0))))&gt;=Kalemler!$D22)),1,0),IF(AND(Kalemler!$D22&gt;=(Tahmin!$C$4+35),Kalemler!$D22&lt;=(Tahmin!$C$4+41)),1,0))))</f>
        <v>0</v>
      </c>
      <c r="H22" s="0" t="n">
        <f aca="false">IF(OR(Kalemler!$A22="",Kalemler!$C22="",Kalemler!$D22=""),0,Kalemler!$C22*IF(Kalemler!$E22="Haftalık",IF(Kalemler!$D22&lt;=(Tahmin!$C$4+48),1,0),IF(Kalemler!$E22="Aylık",IF(OR(AND(DATE(YEAR((Tahmin!$C$4+42)),MONTH((Tahmin!$C$4+42)),MIN(DAY(Kalemler!$D22),DAY(EOMONTH((Tahmin!$C$4+42),0))))&gt;=(Tahmin!$C$4+42),DATE(YEAR((Tahmin!$C$4+42)),MONTH((Tahmin!$C$4+42)),MIN(DAY(Kalemler!$D22),DAY(EOMONTH((Tahmin!$C$4+42),0))))&lt;=(Tahmin!$C$4+48),DATE(YEAR((Tahmin!$C$4+42)),MONTH((Tahmin!$C$4+42)),MIN(DAY(Kalemler!$D22),DAY(EOMONTH((Tahmin!$C$4+42),0))))&gt;=Kalemler!$D22),AND(DATE(YEAR((Tahmin!$C$4+48)),MONTH((Tahmin!$C$4+48)),MIN(DAY(Kalemler!$D22),DAY(EOMONTH((Tahmin!$C$4+48),0))))&gt;=(Tahmin!$C$4+42),DATE(YEAR((Tahmin!$C$4+48)),MONTH((Tahmin!$C$4+48)),MIN(DAY(Kalemler!$D22),DAY(EOMONTH((Tahmin!$C$4+48),0))))&lt;=(Tahmin!$C$4+48),DATE(YEAR((Tahmin!$C$4+48)),MONTH((Tahmin!$C$4+48)),MIN(DAY(Kalemler!$D22),DAY(EOMONTH((Tahmin!$C$4+48),0))))&lt;&gt;DATE(YEAR((Tahmin!$C$4+42)),MONTH((Tahmin!$C$4+42)),MIN(DAY(Kalemler!$D22),DAY(EOMONTH((Tahmin!$C$4+42),0)))),DATE(YEAR((Tahmin!$C$4+48)),MONTH((Tahmin!$C$4+48)),MIN(DAY(Kalemler!$D22),DAY(EOMONTH((Tahmin!$C$4+48),0))))&gt;=Kalemler!$D22)),1,0),IF(AND(Kalemler!$D22&gt;=(Tahmin!$C$4+42),Kalemler!$D22&lt;=(Tahmin!$C$4+48)),1,0))))</f>
        <v>0</v>
      </c>
      <c r="I22" s="0" t="n">
        <f aca="false">IF(OR(Kalemler!$A22="",Kalemler!$C22="",Kalemler!$D22=""),0,Kalemler!$C22*IF(Kalemler!$E22="Haftalık",IF(Kalemler!$D22&lt;=(Tahmin!$C$4+55),1,0),IF(Kalemler!$E22="Aylık",IF(OR(AND(DATE(YEAR((Tahmin!$C$4+49)),MONTH((Tahmin!$C$4+49)),MIN(DAY(Kalemler!$D22),DAY(EOMONTH((Tahmin!$C$4+49),0))))&gt;=(Tahmin!$C$4+49),DATE(YEAR((Tahmin!$C$4+49)),MONTH((Tahmin!$C$4+49)),MIN(DAY(Kalemler!$D22),DAY(EOMONTH((Tahmin!$C$4+49),0))))&lt;=(Tahmin!$C$4+55),DATE(YEAR((Tahmin!$C$4+49)),MONTH((Tahmin!$C$4+49)),MIN(DAY(Kalemler!$D22),DAY(EOMONTH((Tahmin!$C$4+49),0))))&gt;=Kalemler!$D22),AND(DATE(YEAR((Tahmin!$C$4+55)),MONTH((Tahmin!$C$4+55)),MIN(DAY(Kalemler!$D22),DAY(EOMONTH((Tahmin!$C$4+55),0))))&gt;=(Tahmin!$C$4+49),DATE(YEAR((Tahmin!$C$4+55)),MONTH((Tahmin!$C$4+55)),MIN(DAY(Kalemler!$D22),DAY(EOMONTH((Tahmin!$C$4+55),0))))&lt;=(Tahmin!$C$4+55),DATE(YEAR((Tahmin!$C$4+55)),MONTH((Tahmin!$C$4+55)),MIN(DAY(Kalemler!$D22),DAY(EOMONTH((Tahmin!$C$4+55),0))))&lt;&gt;DATE(YEAR((Tahmin!$C$4+49)),MONTH((Tahmin!$C$4+49)),MIN(DAY(Kalemler!$D22),DAY(EOMONTH((Tahmin!$C$4+49),0)))),DATE(YEAR((Tahmin!$C$4+55)),MONTH((Tahmin!$C$4+55)),MIN(DAY(Kalemler!$D22),DAY(EOMONTH((Tahmin!$C$4+55),0))))&gt;=Kalemler!$D22)),1,0),IF(AND(Kalemler!$D22&gt;=(Tahmin!$C$4+49),Kalemler!$D22&lt;=(Tahmin!$C$4+55)),1,0))))</f>
        <v>0</v>
      </c>
      <c r="J22" s="0" t="n">
        <f aca="false">IF(OR(Kalemler!$A22="",Kalemler!$C22="",Kalemler!$D22=""),0,Kalemler!$C22*IF(Kalemler!$E22="Haftalık",IF(Kalemler!$D22&lt;=(Tahmin!$C$4+62),1,0),IF(Kalemler!$E22="Aylık",IF(OR(AND(DATE(YEAR((Tahmin!$C$4+56)),MONTH((Tahmin!$C$4+56)),MIN(DAY(Kalemler!$D22),DAY(EOMONTH((Tahmin!$C$4+56),0))))&gt;=(Tahmin!$C$4+56),DATE(YEAR((Tahmin!$C$4+56)),MONTH((Tahmin!$C$4+56)),MIN(DAY(Kalemler!$D22),DAY(EOMONTH((Tahmin!$C$4+56),0))))&lt;=(Tahmin!$C$4+62),DATE(YEAR((Tahmin!$C$4+56)),MONTH((Tahmin!$C$4+56)),MIN(DAY(Kalemler!$D22),DAY(EOMONTH((Tahmin!$C$4+56),0))))&gt;=Kalemler!$D22),AND(DATE(YEAR((Tahmin!$C$4+62)),MONTH((Tahmin!$C$4+62)),MIN(DAY(Kalemler!$D22),DAY(EOMONTH((Tahmin!$C$4+62),0))))&gt;=(Tahmin!$C$4+56),DATE(YEAR((Tahmin!$C$4+62)),MONTH((Tahmin!$C$4+62)),MIN(DAY(Kalemler!$D22),DAY(EOMONTH((Tahmin!$C$4+62),0))))&lt;=(Tahmin!$C$4+62),DATE(YEAR((Tahmin!$C$4+62)),MONTH((Tahmin!$C$4+62)),MIN(DAY(Kalemler!$D22),DAY(EOMONTH((Tahmin!$C$4+62),0))))&lt;&gt;DATE(YEAR((Tahmin!$C$4+56)),MONTH((Tahmin!$C$4+56)),MIN(DAY(Kalemler!$D22),DAY(EOMONTH((Tahmin!$C$4+56),0)))),DATE(YEAR((Tahmin!$C$4+62)),MONTH((Tahmin!$C$4+62)),MIN(DAY(Kalemler!$D22),DAY(EOMONTH((Tahmin!$C$4+62),0))))&gt;=Kalemler!$D22)),1,0),IF(AND(Kalemler!$D22&gt;=(Tahmin!$C$4+56),Kalemler!$D22&lt;=(Tahmin!$C$4+62)),1,0))))</f>
        <v>0</v>
      </c>
      <c r="K22" s="0" t="n">
        <f aca="false">IF(OR(Kalemler!$A22="",Kalemler!$C22="",Kalemler!$D22=""),0,Kalemler!$C22*IF(Kalemler!$E22="Haftalık",IF(Kalemler!$D22&lt;=(Tahmin!$C$4+69),1,0),IF(Kalemler!$E22="Aylık",IF(OR(AND(DATE(YEAR((Tahmin!$C$4+63)),MONTH((Tahmin!$C$4+63)),MIN(DAY(Kalemler!$D22),DAY(EOMONTH((Tahmin!$C$4+63),0))))&gt;=(Tahmin!$C$4+63),DATE(YEAR((Tahmin!$C$4+63)),MONTH((Tahmin!$C$4+63)),MIN(DAY(Kalemler!$D22),DAY(EOMONTH((Tahmin!$C$4+63),0))))&lt;=(Tahmin!$C$4+69),DATE(YEAR((Tahmin!$C$4+63)),MONTH((Tahmin!$C$4+63)),MIN(DAY(Kalemler!$D22),DAY(EOMONTH((Tahmin!$C$4+63),0))))&gt;=Kalemler!$D22),AND(DATE(YEAR((Tahmin!$C$4+69)),MONTH((Tahmin!$C$4+69)),MIN(DAY(Kalemler!$D22),DAY(EOMONTH((Tahmin!$C$4+69),0))))&gt;=(Tahmin!$C$4+63),DATE(YEAR((Tahmin!$C$4+69)),MONTH((Tahmin!$C$4+69)),MIN(DAY(Kalemler!$D22),DAY(EOMONTH((Tahmin!$C$4+69),0))))&lt;=(Tahmin!$C$4+69),DATE(YEAR((Tahmin!$C$4+69)),MONTH((Tahmin!$C$4+69)),MIN(DAY(Kalemler!$D22),DAY(EOMONTH((Tahmin!$C$4+69),0))))&lt;&gt;DATE(YEAR((Tahmin!$C$4+63)),MONTH((Tahmin!$C$4+63)),MIN(DAY(Kalemler!$D22),DAY(EOMONTH((Tahmin!$C$4+63),0)))),DATE(YEAR((Tahmin!$C$4+69)),MONTH((Tahmin!$C$4+69)),MIN(DAY(Kalemler!$D22),DAY(EOMONTH((Tahmin!$C$4+69),0))))&gt;=Kalemler!$D22)),1,0),IF(AND(Kalemler!$D22&gt;=(Tahmin!$C$4+63),Kalemler!$D22&lt;=(Tahmin!$C$4+69)),1,0))))</f>
        <v>0</v>
      </c>
      <c r="L22" s="0" t="n">
        <f aca="false">IF(OR(Kalemler!$A22="",Kalemler!$C22="",Kalemler!$D22=""),0,Kalemler!$C22*IF(Kalemler!$E22="Haftalık",IF(Kalemler!$D22&lt;=(Tahmin!$C$4+76),1,0),IF(Kalemler!$E22="Aylık",IF(OR(AND(DATE(YEAR((Tahmin!$C$4+70)),MONTH((Tahmin!$C$4+70)),MIN(DAY(Kalemler!$D22),DAY(EOMONTH((Tahmin!$C$4+70),0))))&gt;=(Tahmin!$C$4+70),DATE(YEAR((Tahmin!$C$4+70)),MONTH((Tahmin!$C$4+70)),MIN(DAY(Kalemler!$D22),DAY(EOMONTH((Tahmin!$C$4+70),0))))&lt;=(Tahmin!$C$4+76),DATE(YEAR((Tahmin!$C$4+70)),MONTH((Tahmin!$C$4+70)),MIN(DAY(Kalemler!$D22),DAY(EOMONTH((Tahmin!$C$4+70),0))))&gt;=Kalemler!$D22),AND(DATE(YEAR((Tahmin!$C$4+76)),MONTH((Tahmin!$C$4+76)),MIN(DAY(Kalemler!$D22),DAY(EOMONTH((Tahmin!$C$4+76),0))))&gt;=(Tahmin!$C$4+70),DATE(YEAR((Tahmin!$C$4+76)),MONTH((Tahmin!$C$4+76)),MIN(DAY(Kalemler!$D22),DAY(EOMONTH((Tahmin!$C$4+76),0))))&lt;=(Tahmin!$C$4+76),DATE(YEAR((Tahmin!$C$4+76)),MONTH((Tahmin!$C$4+76)),MIN(DAY(Kalemler!$D22),DAY(EOMONTH((Tahmin!$C$4+76),0))))&lt;&gt;DATE(YEAR((Tahmin!$C$4+70)),MONTH((Tahmin!$C$4+70)),MIN(DAY(Kalemler!$D22),DAY(EOMONTH((Tahmin!$C$4+70),0)))),DATE(YEAR((Tahmin!$C$4+76)),MONTH((Tahmin!$C$4+76)),MIN(DAY(Kalemler!$D22),DAY(EOMONTH((Tahmin!$C$4+76),0))))&gt;=Kalemler!$D22)),1,0),IF(AND(Kalemler!$D22&gt;=(Tahmin!$C$4+70),Kalemler!$D22&lt;=(Tahmin!$C$4+76)),1,0))))</f>
        <v>0</v>
      </c>
      <c r="M22" s="0" t="n">
        <f aca="false">IF(OR(Kalemler!$A22="",Kalemler!$C22="",Kalemler!$D22=""),0,Kalemler!$C22*IF(Kalemler!$E22="Haftalık",IF(Kalemler!$D22&lt;=(Tahmin!$C$4+83),1,0),IF(Kalemler!$E22="Aylık",IF(OR(AND(DATE(YEAR((Tahmin!$C$4+77)),MONTH((Tahmin!$C$4+77)),MIN(DAY(Kalemler!$D22),DAY(EOMONTH((Tahmin!$C$4+77),0))))&gt;=(Tahmin!$C$4+77),DATE(YEAR((Tahmin!$C$4+77)),MONTH((Tahmin!$C$4+77)),MIN(DAY(Kalemler!$D22),DAY(EOMONTH((Tahmin!$C$4+77),0))))&lt;=(Tahmin!$C$4+83),DATE(YEAR((Tahmin!$C$4+77)),MONTH((Tahmin!$C$4+77)),MIN(DAY(Kalemler!$D22),DAY(EOMONTH((Tahmin!$C$4+77),0))))&gt;=Kalemler!$D22),AND(DATE(YEAR((Tahmin!$C$4+83)),MONTH((Tahmin!$C$4+83)),MIN(DAY(Kalemler!$D22),DAY(EOMONTH((Tahmin!$C$4+83),0))))&gt;=(Tahmin!$C$4+77),DATE(YEAR((Tahmin!$C$4+83)),MONTH((Tahmin!$C$4+83)),MIN(DAY(Kalemler!$D22),DAY(EOMONTH((Tahmin!$C$4+83),0))))&lt;=(Tahmin!$C$4+83),DATE(YEAR((Tahmin!$C$4+83)),MONTH((Tahmin!$C$4+83)),MIN(DAY(Kalemler!$D22),DAY(EOMONTH((Tahmin!$C$4+83),0))))&lt;&gt;DATE(YEAR((Tahmin!$C$4+77)),MONTH((Tahmin!$C$4+77)),MIN(DAY(Kalemler!$D22),DAY(EOMONTH((Tahmin!$C$4+77),0)))),DATE(YEAR((Tahmin!$C$4+83)),MONTH((Tahmin!$C$4+83)),MIN(DAY(Kalemler!$D22),DAY(EOMONTH((Tahmin!$C$4+83),0))))&gt;=Kalemler!$D22)),1,0),IF(AND(Kalemler!$D22&gt;=(Tahmin!$C$4+77),Kalemler!$D22&lt;=(Tahmin!$C$4+83)),1,0))))</f>
        <v>0</v>
      </c>
      <c r="N22" s="0" t="n">
        <f aca="false">IF(OR(Kalemler!$A22="",Kalemler!$C22="",Kalemler!$D22=""),0,Kalemler!$C22*IF(Kalemler!$E22="Haftalık",IF(Kalemler!$D22&lt;=(Tahmin!$C$4+90),1,0),IF(Kalemler!$E22="Aylık",IF(OR(AND(DATE(YEAR((Tahmin!$C$4+84)),MONTH((Tahmin!$C$4+84)),MIN(DAY(Kalemler!$D22),DAY(EOMONTH((Tahmin!$C$4+84),0))))&gt;=(Tahmin!$C$4+84),DATE(YEAR((Tahmin!$C$4+84)),MONTH((Tahmin!$C$4+84)),MIN(DAY(Kalemler!$D22),DAY(EOMONTH((Tahmin!$C$4+84),0))))&lt;=(Tahmin!$C$4+90),DATE(YEAR((Tahmin!$C$4+84)),MONTH((Tahmin!$C$4+84)),MIN(DAY(Kalemler!$D22),DAY(EOMONTH((Tahmin!$C$4+84),0))))&gt;=Kalemler!$D22),AND(DATE(YEAR((Tahmin!$C$4+90)),MONTH((Tahmin!$C$4+90)),MIN(DAY(Kalemler!$D22),DAY(EOMONTH((Tahmin!$C$4+90),0))))&gt;=(Tahmin!$C$4+84),DATE(YEAR((Tahmin!$C$4+90)),MONTH((Tahmin!$C$4+90)),MIN(DAY(Kalemler!$D22),DAY(EOMONTH((Tahmin!$C$4+90),0))))&lt;=(Tahmin!$C$4+90),DATE(YEAR((Tahmin!$C$4+90)),MONTH((Tahmin!$C$4+90)),MIN(DAY(Kalemler!$D22),DAY(EOMONTH((Tahmin!$C$4+90),0))))&lt;&gt;DATE(YEAR((Tahmin!$C$4+84)),MONTH((Tahmin!$C$4+84)),MIN(DAY(Kalemler!$D22),DAY(EOMONTH((Tahmin!$C$4+84),0)))),DATE(YEAR((Tahmin!$C$4+90)),MONTH((Tahmin!$C$4+90)),MIN(DAY(Kalemler!$D22),DAY(EOMONTH((Tahmin!$C$4+90),0))))&gt;=Kalemler!$D22)),1,0),IF(AND(Kalemler!$D22&gt;=(Tahmin!$C$4+84),Kalemler!$D22&lt;=(Tahmin!$C$4+90)),1,0))))</f>
        <v>0</v>
      </c>
    </row>
    <row r="23" customFormat="false" ht="15" hidden="false" customHeight="false" outlineLevel="0" collapsed="false">
      <c r="A23" s="0" t="str">
        <f aca="false">IF(Kalemler!A23="","",Kalemler!A23)</f>
        <v/>
      </c>
      <c r="B23" s="0" t="n">
        <f aca="false">IF(OR(Kalemler!$A23="",Kalemler!$C23="",Kalemler!$D23=""),0,Kalemler!$C23*IF(Kalemler!$E23="Haftalık",IF(Kalemler!$D23&lt;=(Tahmin!$C$4+6),1,0),IF(Kalemler!$E23="Aylık",IF(OR(AND(DATE(YEAR((Tahmin!$C$4+0)),MONTH((Tahmin!$C$4+0)),MIN(DAY(Kalemler!$D23),DAY(EOMONTH((Tahmin!$C$4+0),0))))&gt;=(Tahmin!$C$4+0),DATE(YEAR((Tahmin!$C$4+0)),MONTH((Tahmin!$C$4+0)),MIN(DAY(Kalemler!$D23),DAY(EOMONTH((Tahmin!$C$4+0),0))))&lt;=(Tahmin!$C$4+6),DATE(YEAR((Tahmin!$C$4+0)),MONTH((Tahmin!$C$4+0)),MIN(DAY(Kalemler!$D23),DAY(EOMONTH((Tahmin!$C$4+0),0))))&gt;=Kalemler!$D23),AND(DATE(YEAR((Tahmin!$C$4+6)),MONTH((Tahmin!$C$4+6)),MIN(DAY(Kalemler!$D23),DAY(EOMONTH((Tahmin!$C$4+6),0))))&gt;=(Tahmin!$C$4+0),DATE(YEAR((Tahmin!$C$4+6)),MONTH((Tahmin!$C$4+6)),MIN(DAY(Kalemler!$D23),DAY(EOMONTH((Tahmin!$C$4+6),0))))&lt;=(Tahmin!$C$4+6),DATE(YEAR((Tahmin!$C$4+6)),MONTH((Tahmin!$C$4+6)),MIN(DAY(Kalemler!$D23),DAY(EOMONTH((Tahmin!$C$4+6),0))))&lt;&gt;DATE(YEAR((Tahmin!$C$4+0)),MONTH((Tahmin!$C$4+0)),MIN(DAY(Kalemler!$D23),DAY(EOMONTH((Tahmin!$C$4+0),0)))),DATE(YEAR((Tahmin!$C$4+6)),MONTH((Tahmin!$C$4+6)),MIN(DAY(Kalemler!$D23),DAY(EOMONTH((Tahmin!$C$4+6),0))))&gt;=Kalemler!$D23)),1,0),IF(AND(Kalemler!$D23&gt;=(Tahmin!$C$4+0),Kalemler!$D23&lt;=(Tahmin!$C$4+6)),1,0))))</f>
        <v>0</v>
      </c>
      <c r="C23" s="0" t="n">
        <f aca="false">IF(OR(Kalemler!$A23="",Kalemler!$C23="",Kalemler!$D23=""),0,Kalemler!$C23*IF(Kalemler!$E23="Haftalık",IF(Kalemler!$D23&lt;=(Tahmin!$C$4+13),1,0),IF(Kalemler!$E23="Aylık",IF(OR(AND(DATE(YEAR((Tahmin!$C$4+7)),MONTH((Tahmin!$C$4+7)),MIN(DAY(Kalemler!$D23),DAY(EOMONTH((Tahmin!$C$4+7),0))))&gt;=(Tahmin!$C$4+7),DATE(YEAR((Tahmin!$C$4+7)),MONTH((Tahmin!$C$4+7)),MIN(DAY(Kalemler!$D23),DAY(EOMONTH((Tahmin!$C$4+7),0))))&lt;=(Tahmin!$C$4+13),DATE(YEAR((Tahmin!$C$4+7)),MONTH((Tahmin!$C$4+7)),MIN(DAY(Kalemler!$D23),DAY(EOMONTH((Tahmin!$C$4+7),0))))&gt;=Kalemler!$D23),AND(DATE(YEAR((Tahmin!$C$4+13)),MONTH((Tahmin!$C$4+13)),MIN(DAY(Kalemler!$D23),DAY(EOMONTH((Tahmin!$C$4+13),0))))&gt;=(Tahmin!$C$4+7),DATE(YEAR((Tahmin!$C$4+13)),MONTH((Tahmin!$C$4+13)),MIN(DAY(Kalemler!$D23),DAY(EOMONTH((Tahmin!$C$4+13),0))))&lt;=(Tahmin!$C$4+13),DATE(YEAR((Tahmin!$C$4+13)),MONTH((Tahmin!$C$4+13)),MIN(DAY(Kalemler!$D23),DAY(EOMONTH((Tahmin!$C$4+13),0))))&lt;&gt;DATE(YEAR((Tahmin!$C$4+7)),MONTH((Tahmin!$C$4+7)),MIN(DAY(Kalemler!$D23),DAY(EOMONTH((Tahmin!$C$4+7),0)))),DATE(YEAR((Tahmin!$C$4+13)),MONTH((Tahmin!$C$4+13)),MIN(DAY(Kalemler!$D23),DAY(EOMONTH((Tahmin!$C$4+13),0))))&gt;=Kalemler!$D23)),1,0),IF(AND(Kalemler!$D23&gt;=(Tahmin!$C$4+7),Kalemler!$D23&lt;=(Tahmin!$C$4+13)),1,0))))</f>
        <v>0</v>
      </c>
      <c r="D23" s="0" t="n">
        <f aca="false">IF(OR(Kalemler!$A23="",Kalemler!$C23="",Kalemler!$D23=""),0,Kalemler!$C23*IF(Kalemler!$E23="Haftalık",IF(Kalemler!$D23&lt;=(Tahmin!$C$4+20),1,0),IF(Kalemler!$E23="Aylık",IF(OR(AND(DATE(YEAR((Tahmin!$C$4+14)),MONTH((Tahmin!$C$4+14)),MIN(DAY(Kalemler!$D23),DAY(EOMONTH((Tahmin!$C$4+14),0))))&gt;=(Tahmin!$C$4+14),DATE(YEAR((Tahmin!$C$4+14)),MONTH((Tahmin!$C$4+14)),MIN(DAY(Kalemler!$D23),DAY(EOMONTH((Tahmin!$C$4+14),0))))&lt;=(Tahmin!$C$4+20),DATE(YEAR((Tahmin!$C$4+14)),MONTH((Tahmin!$C$4+14)),MIN(DAY(Kalemler!$D23),DAY(EOMONTH((Tahmin!$C$4+14),0))))&gt;=Kalemler!$D23),AND(DATE(YEAR((Tahmin!$C$4+20)),MONTH((Tahmin!$C$4+20)),MIN(DAY(Kalemler!$D23),DAY(EOMONTH((Tahmin!$C$4+20),0))))&gt;=(Tahmin!$C$4+14),DATE(YEAR((Tahmin!$C$4+20)),MONTH((Tahmin!$C$4+20)),MIN(DAY(Kalemler!$D23),DAY(EOMONTH((Tahmin!$C$4+20),0))))&lt;=(Tahmin!$C$4+20),DATE(YEAR((Tahmin!$C$4+20)),MONTH((Tahmin!$C$4+20)),MIN(DAY(Kalemler!$D23),DAY(EOMONTH((Tahmin!$C$4+20),0))))&lt;&gt;DATE(YEAR((Tahmin!$C$4+14)),MONTH((Tahmin!$C$4+14)),MIN(DAY(Kalemler!$D23),DAY(EOMONTH((Tahmin!$C$4+14),0)))),DATE(YEAR((Tahmin!$C$4+20)),MONTH((Tahmin!$C$4+20)),MIN(DAY(Kalemler!$D23),DAY(EOMONTH((Tahmin!$C$4+20),0))))&gt;=Kalemler!$D23)),1,0),IF(AND(Kalemler!$D23&gt;=(Tahmin!$C$4+14),Kalemler!$D23&lt;=(Tahmin!$C$4+20)),1,0))))</f>
        <v>0</v>
      </c>
      <c r="E23" s="0" t="n">
        <f aca="false">IF(OR(Kalemler!$A23="",Kalemler!$C23="",Kalemler!$D23=""),0,Kalemler!$C23*IF(Kalemler!$E23="Haftalık",IF(Kalemler!$D23&lt;=(Tahmin!$C$4+27),1,0),IF(Kalemler!$E23="Aylık",IF(OR(AND(DATE(YEAR((Tahmin!$C$4+21)),MONTH((Tahmin!$C$4+21)),MIN(DAY(Kalemler!$D23),DAY(EOMONTH((Tahmin!$C$4+21),0))))&gt;=(Tahmin!$C$4+21),DATE(YEAR((Tahmin!$C$4+21)),MONTH((Tahmin!$C$4+21)),MIN(DAY(Kalemler!$D23),DAY(EOMONTH((Tahmin!$C$4+21),0))))&lt;=(Tahmin!$C$4+27),DATE(YEAR((Tahmin!$C$4+21)),MONTH((Tahmin!$C$4+21)),MIN(DAY(Kalemler!$D23),DAY(EOMONTH((Tahmin!$C$4+21),0))))&gt;=Kalemler!$D23),AND(DATE(YEAR((Tahmin!$C$4+27)),MONTH((Tahmin!$C$4+27)),MIN(DAY(Kalemler!$D23),DAY(EOMONTH((Tahmin!$C$4+27),0))))&gt;=(Tahmin!$C$4+21),DATE(YEAR((Tahmin!$C$4+27)),MONTH((Tahmin!$C$4+27)),MIN(DAY(Kalemler!$D23),DAY(EOMONTH((Tahmin!$C$4+27),0))))&lt;=(Tahmin!$C$4+27),DATE(YEAR((Tahmin!$C$4+27)),MONTH((Tahmin!$C$4+27)),MIN(DAY(Kalemler!$D23),DAY(EOMONTH((Tahmin!$C$4+27),0))))&lt;&gt;DATE(YEAR((Tahmin!$C$4+21)),MONTH((Tahmin!$C$4+21)),MIN(DAY(Kalemler!$D23),DAY(EOMONTH((Tahmin!$C$4+21),0)))),DATE(YEAR((Tahmin!$C$4+27)),MONTH((Tahmin!$C$4+27)),MIN(DAY(Kalemler!$D23),DAY(EOMONTH((Tahmin!$C$4+27),0))))&gt;=Kalemler!$D23)),1,0),IF(AND(Kalemler!$D23&gt;=(Tahmin!$C$4+21),Kalemler!$D23&lt;=(Tahmin!$C$4+27)),1,0))))</f>
        <v>0</v>
      </c>
      <c r="F23" s="0" t="n">
        <f aca="false">IF(OR(Kalemler!$A23="",Kalemler!$C23="",Kalemler!$D23=""),0,Kalemler!$C23*IF(Kalemler!$E23="Haftalık",IF(Kalemler!$D23&lt;=(Tahmin!$C$4+34),1,0),IF(Kalemler!$E23="Aylık",IF(OR(AND(DATE(YEAR((Tahmin!$C$4+28)),MONTH((Tahmin!$C$4+28)),MIN(DAY(Kalemler!$D23),DAY(EOMONTH((Tahmin!$C$4+28),0))))&gt;=(Tahmin!$C$4+28),DATE(YEAR((Tahmin!$C$4+28)),MONTH((Tahmin!$C$4+28)),MIN(DAY(Kalemler!$D23),DAY(EOMONTH((Tahmin!$C$4+28),0))))&lt;=(Tahmin!$C$4+34),DATE(YEAR((Tahmin!$C$4+28)),MONTH((Tahmin!$C$4+28)),MIN(DAY(Kalemler!$D23),DAY(EOMONTH((Tahmin!$C$4+28),0))))&gt;=Kalemler!$D23),AND(DATE(YEAR((Tahmin!$C$4+34)),MONTH((Tahmin!$C$4+34)),MIN(DAY(Kalemler!$D23),DAY(EOMONTH((Tahmin!$C$4+34),0))))&gt;=(Tahmin!$C$4+28),DATE(YEAR((Tahmin!$C$4+34)),MONTH((Tahmin!$C$4+34)),MIN(DAY(Kalemler!$D23),DAY(EOMONTH((Tahmin!$C$4+34),0))))&lt;=(Tahmin!$C$4+34),DATE(YEAR((Tahmin!$C$4+34)),MONTH((Tahmin!$C$4+34)),MIN(DAY(Kalemler!$D23),DAY(EOMONTH((Tahmin!$C$4+34),0))))&lt;&gt;DATE(YEAR((Tahmin!$C$4+28)),MONTH((Tahmin!$C$4+28)),MIN(DAY(Kalemler!$D23),DAY(EOMONTH((Tahmin!$C$4+28),0)))),DATE(YEAR((Tahmin!$C$4+34)),MONTH((Tahmin!$C$4+34)),MIN(DAY(Kalemler!$D23),DAY(EOMONTH((Tahmin!$C$4+34),0))))&gt;=Kalemler!$D23)),1,0),IF(AND(Kalemler!$D23&gt;=(Tahmin!$C$4+28),Kalemler!$D23&lt;=(Tahmin!$C$4+34)),1,0))))</f>
        <v>0</v>
      </c>
      <c r="G23" s="0" t="n">
        <f aca="false">IF(OR(Kalemler!$A23="",Kalemler!$C23="",Kalemler!$D23=""),0,Kalemler!$C23*IF(Kalemler!$E23="Haftalık",IF(Kalemler!$D23&lt;=(Tahmin!$C$4+41),1,0),IF(Kalemler!$E23="Aylık",IF(OR(AND(DATE(YEAR((Tahmin!$C$4+35)),MONTH((Tahmin!$C$4+35)),MIN(DAY(Kalemler!$D23),DAY(EOMONTH((Tahmin!$C$4+35),0))))&gt;=(Tahmin!$C$4+35),DATE(YEAR((Tahmin!$C$4+35)),MONTH((Tahmin!$C$4+35)),MIN(DAY(Kalemler!$D23),DAY(EOMONTH((Tahmin!$C$4+35),0))))&lt;=(Tahmin!$C$4+41),DATE(YEAR((Tahmin!$C$4+35)),MONTH((Tahmin!$C$4+35)),MIN(DAY(Kalemler!$D23),DAY(EOMONTH((Tahmin!$C$4+35),0))))&gt;=Kalemler!$D23),AND(DATE(YEAR((Tahmin!$C$4+41)),MONTH((Tahmin!$C$4+41)),MIN(DAY(Kalemler!$D23),DAY(EOMONTH((Tahmin!$C$4+41),0))))&gt;=(Tahmin!$C$4+35),DATE(YEAR((Tahmin!$C$4+41)),MONTH((Tahmin!$C$4+41)),MIN(DAY(Kalemler!$D23),DAY(EOMONTH((Tahmin!$C$4+41),0))))&lt;=(Tahmin!$C$4+41),DATE(YEAR((Tahmin!$C$4+41)),MONTH((Tahmin!$C$4+41)),MIN(DAY(Kalemler!$D23),DAY(EOMONTH((Tahmin!$C$4+41),0))))&lt;&gt;DATE(YEAR((Tahmin!$C$4+35)),MONTH((Tahmin!$C$4+35)),MIN(DAY(Kalemler!$D23),DAY(EOMONTH((Tahmin!$C$4+35),0)))),DATE(YEAR((Tahmin!$C$4+41)),MONTH((Tahmin!$C$4+41)),MIN(DAY(Kalemler!$D23),DAY(EOMONTH((Tahmin!$C$4+41),0))))&gt;=Kalemler!$D23)),1,0),IF(AND(Kalemler!$D23&gt;=(Tahmin!$C$4+35),Kalemler!$D23&lt;=(Tahmin!$C$4+41)),1,0))))</f>
        <v>0</v>
      </c>
      <c r="H23" s="0" t="n">
        <f aca="false">IF(OR(Kalemler!$A23="",Kalemler!$C23="",Kalemler!$D23=""),0,Kalemler!$C23*IF(Kalemler!$E23="Haftalık",IF(Kalemler!$D23&lt;=(Tahmin!$C$4+48),1,0),IF(Kalemler!$E23="Aylık",IF(OR(AND(DATE(YEAR((Tahmin!$C$4+42)),MONTH((Tahmin!$C$4+42)),MIN(DAY(Kalemler!$D23),DAY(EOMONTH((Tahmin!$C$4+42),0))))&gt;=(Tahmin!$C$4+42),DATE(YEAR((Tahmin!$C$4+42)),MONTH((Tahmin!$C$4+42)),MIN(DAY(Kalemler!$D23),DAY(EOMONTH((Tahmin!$C$4+42),0))))&lt;=(Tahmin!$C$4+48),DATE(YEAR((Tahmin!$C$4+42)),MONTH((Tahmin!$C$4+42)),MIN(DAY(Kalemler!$D23),DAY(EOMONTH((Tahmin!$C$4+42),0))))&gt;=Kalemler!$D23),AND(DATE(YEAR((Tahmin!$C$4+48)),MONTH((Tahmin!$C$4+48)),MIN(DAY(Kalemler!$D23),DAY(EOMONTH((Tahmin!$C$4+48),0))))&gt;=(Tahmin!$C$4+42),DATE(YEAR((Tahmin!$C$4+48)),MONTH((Tahmin!$C$4+48)),MIN(DAY(Kalemler!$D23),DAY(EOMONTH((Tahmin!$C$4+48),0))))&lt;=(Tahmin!$C$4+48),DATE(YEAR((Tahmin!$C$4+48)),MONTH((Tahmin!$C$4+48)),MIN(DAY(Kalemler!$D23),DAY(EOMONTH((Tahmin!$C$4+48),0))))&lt;&gt;DATE(YEAR((Tahmin!$C$4+42)),MONTH((Tahmin!$C$4+42)),MIN(DAY(Kalemler!$D23),DAY(EOMONTH((Tahmin!$C$4+42),0)))),DATE(YEAR((Tahmin!$C$4+48)),MONTH((Tahmin!$C$4+48)),MIN(DAY(Kalemler!$D23),DAY(EOMONTH((Tahmin!$C$4+48),0))))&gt;=Kalemler!$D23)),1,0),IF(AND(Kalemler!$D23&gt;=(Tahmin!$C$4+42),Kalemler!$D23&lt;=(Tahmin!$C$4+48)),1,0))))</f>
        <v>0</v>
      </c>
      <c r="I23" s="0" t="n">
        <f aca="false">IF(OR(Kalemler!$A23="",Kalemler!$C23="",Kalemler!$D23=""),0,Kalemler!$C23*IF(Kalemler!$E23="Haftalık",IF(Kalemler!$D23&lt;=(Tahmin!$C$4+55),1,0),IF(Kalemler!$E23="Aylık",IF(OR(AND(DATE(YEAR((Tahmin!$C$4+49)),MONTH((Tahmin!$C$4+49)),MIN(DAY(Kalemler!$D23),DAY(EOMONTH((Tahmin!$C$4+49),0))))&gt;=(Tahmin!$C$4+49),DATE(YEAR((Tahmin!$C$4+49)),MONTH((Tahmin!$C$4+49)),MIN(DAY(Kalemler!$D23),DAY(EOMONTH((Tahmin!$C$4+49),0))))&lt;=(Tahmin!$C$4+55),DATE(YEAR((Tahmin!$C$4+49)),MONTH((Tahmin!$C$4+49)),MIN(DAY(Kalemler!$D23),DAY(EOMONTH((Tahmin!$C$4+49),0))))&gt;=Kalemler!$D23),AND(DATE(YEAR((Tahmin!$C$4+55)),MONTH((Tahmin!$C$4+55)),MIN(DAY(Kalemler!$D23),DAY(EOMONTH((Tahmin!$C$4+55),0))))&gt;=(Tahmin!$C$4+49),DATE(YEAR((Tahmin!$C$4+55)),MONTH((Tahmin!$C$4+55)),MIN(DAY(Kalemler!$D23),DAY(EOMONTH((Tahmin!$C$4+55),0))))&lt;=(Tahmin!$C$4+55),DATE(YEAR((Tahmin!$C$4+55)),MONTH((Tahmin!$C$4+55)),MIN(DAY(Kalemler!$D23),DAY(EOMONTH((Tahmin!$C$4+55),0))))&lt;&gt;DATE(YEAR((Tahmin!$C$4+49)),MONTH((Tahmin!$C$4+49)),MIN(DAY(Kalemler!$D23),DAY(EOMONTH((Tahmin!$C$4+49),0)))),DATE(YEAR((Tahmin!$C$4+55)),MONTH((Tahmin!$C$4+55)),MIN(DAY(Kalemler!$D23),DAY(EOMONTH((Tahmin!$C$4+55),0))))&gt;=Kalemler!$D23)),1,0),IF(AND(Kalemler!$D23&gt;=(Tahmin!$C$4+49),Kalemler!$D23&lt;=(Tahmin!$C$4+55)),1,0))))</f>
        <v>0</v>
      </c>
      <c r="J23" s="0" t="n">
        <f aca="false">IF(OR(Kalemler!$A23="",Kalemler!$C23="",Kalemler!$D23=""),0,Kalemler!$C23*IF(Kalemler!$E23="Haftalık",IF(Kalemler!$D23&lt;=(Tahmin!$C$4+62),1,0),IF(Kalemler!$E23="Aylık",IF(OR(AND(DATE(YEAR((Tahmin!$C$4+56)),MONTH((Tahmin!$C$4+56)),MIN(DAY(Kalemler!$D23),DAY(EOMONTH((Tahmin!$C$4+56),0))))&gt;=(Tahmin!$C$4+56),DATE(YEAR((Tahmin!$C$4+56)),MONTH((Tahmin!$C$4+56)),MIN(DAY(Kalemler!$D23),DAY(EOMONTH((Tahmin!$C$4+56),0))))&lt;=(Tahmin!$C$4+62),DATE(YEAR((Tahmin!$C$4+56)),MONTH((Tahmin!$C$4+56)),MIN(DAY(Kalemler!$D23),DAY(EOMONTH((Tahmin!$C$4+56),0))))&gt;=Kalemler!$D23),AND(DATE(YEAR((Tahmin!$C$4+62)),MONTH((Tahmin!$C$4+62)),MIN(DAY(Kalemler!$D23),DAY(EOMONTH((Tahmin!$C$4+62),0))))&gt;=(Tahmin!$C$4+56),DATE(YEAR((Tahmin!$C$4+62)),MONTH((Tahmin!$C$4+62)),MIN(DAY(Kalemler!$D23),DAY(EOMONTH((Tahmin!$C$4+62),0))))&lt;=(Tahmin!$C$4+62),DATE(YEAR((Tahmin!$C$4+62)),MONTH((Tahmin!$C$4+62)),MIN(DAY(Kalemler!$D23),DAY(EOMONTH((Tahmin!$C$4+62),0))))&lt;&gt;DATE(YEAR((Tahmin!$C$4+56)),MONTH((Tahmin!$C$4+56)),MIN(DAY(Kalemler!$D23),DAY(EOMONTH((Tahmin!$C$4+56),0)))),DATE(YEAR((Tahmin!$C$4+62)),MONTH((Tahmin!$C$4+62)),MIN(DAY(Kalemler!$D23),DAY(EOMONTH((Tahmin!$C$4+62),0))))&gt;=Kalemler!$D23)),1,0),IF(AND(Kalemler!$D23&gt;=(Tahmin!$C$4+56),Kalemler!$D23&lt;=(Tahmin!$C$4+62)),1,0))))</f>
        <v>0</v>
      </c>
      <c r="K23" s="0" t="n">
        <f aca="false">IF(OR(Kalemler!$A23="",Kalemler!$C23="",Kalemler!$D23=""),0,Kalemler!$C23*IF(Kalemler!$E23="Haftalık",IF(Kalemler!$D23&lt;=(Tahmin!$C$4+69),1,0),IF(Kalemler!$E23="Aylık",IF(OR(AND(DATE(YEAR((Tahmin!$C$4+63)),MONTH((Tahmin!$C$4+63)),MIN(DAY(Kalemler!$D23),DAY(EOMONTH((Tahmin!$C$4+63),0))))&gt;=(Tahmin!$C$4+63),DATE(YEAR((Tahmin!$C$4+63)),MONTH((Tahmin!$C$4+63)),MIN(DAY(Kalemler!$D23),DAY(EOMONTH((Tahmin!$C$4+63),0))))&lt;=(Tahmin!$C$4+69),DATE(YEAR((Tahmin!$C$4+63)),MONTH((Tahmin!$C$4+63)),MIN(DAY(Kalemler!$D23),DAY(EOMONTH((Tahmin!$C$4+63),0))))&gt;=Kalemler!$D23),AND(DATE(YEAR((Tahmin!$C$4+69)),MONTH((Tahmin!$C$4+69)),MIN(DAY(Kalemler!$D23),DAY(EOMONTH((Tahmin!$C$4+69),0))))&gt;=(Tahmin!$C$4+63),DATE(YEAR((Tahmin!$C$4+69)),MONTH((Tahmin!$C$4+69)),MIN(DAY(Kalemler!$D23),DAY(EOMONTH((Tahmin!$C$4+69),0))))&lt;=(Tahmin!$C$4+69),DATE(YEAR((Tahmin!$C$4+69)),MONTH((Tahmin!$C$4+69)),MIN(DAY(Kalemler!$D23),DAY(EOMONTH((Tahmin!$C$4+69),0))))&lt;&gt;DATE(YEAR((Tahmin!$C$4+63)),MONTH((Tahmin!$C$4+63)),MIN(DAY(Kalemler!$D23),DAY(EOMONTH((Tahmin!$C$4+63),0)))),DATE(YEAR((Tahmin!$C$4+69)),MONTH((Tahmin!$C$4+69)),MIN(DAY(Kalemler!$D23),DAY(EOMONTH((Tahmin!$C$4+69),0))))&gt;=Kalemler!$D23)),1,0),IF(AND(Kalemler!$D23&gt;=(Tahmin!$C$4+63),Kalemler!$D23&lt;=(Tahmin!$C$4+69)),1,0))))</f>
        <v>0</v>
      </c>
      <c r="L23" s="0" t="n">
        <f aca="false">IF(OR(Kalemler!$A23="",Kalemler!$C23="",Kalemler!$D23=""),0,Kalemler!$C23*IF(Kalemler!$E23="Haftalık",IF(Kalemler!$D23&lt;=(Tahmin!$C$4+76),1,0),IF(Kalemler!$E23="Aylık",IF(OR(AND(DATE(YEAR((Tahmin!$C$4+70)),MONTH((Tahmin!$C$4+70)),MIN(DAY(Kalemler!$D23),DAY(EOMONTH((Tahmin!$C$4+70),0))))&gt;=(Tahmin!$C$4+70),DATE(YEAR((Tahmin!$C$4+70)),MONTH((Tahmin!$C$4+70)),MIN(DAY(Kalemler!$D23),DAY(EOMONTH((Tahmin!$C$4+70),0))))&lt;=(Tahmin!$C$4+76),DATE(YEAR((Tahmin!$C$4+70)),MONTH((Tahmin!$C$4+70)),MIN(DAY(Kalemler!$D23),DAY(EOMONTH((Tahmin!$C$4+70),0))))&gt;=Kalemler!$D23),AND(DATE(YEAR((Tahmin!$C$4+76)),MONTH((Tahmin!$C$4+76)),MIN(DAY(Kalemler!$D23),DAY(EOMONTH((Tahmin!$C$4+76),0))))&gt;=(Tahmin!$C$4+70),DATE(YEAR((Tahmin!$C$4+76)),MONTH((Tahmin!$C$4+76)),MIN(DAY(Kalemler!$D23),DAY(EOMONTH((Tahmin!$C$4+76),0))))&lt;=(Tahmin!$C$4+76),DATE(YEAR((Tahmin!$C$4+76)),MONTH((Tahmin!$C$4+76)),MIN(DAY(Kalemler!$D23),DAY(EOMONTH((Tahmin!$C$4+76),0))))&lt;&gt;DATE(YEAR((Tahmin!$C$4+70)),MONTH((Tahmin!$C$4+70)),MIN(DAY(Kalemler!$D23),DAY(EOMONTH((Tahmin!$C$4+70),0)))),DATE(YEAR((Tahmin!$C$4+76)),MONTH((Tahmin!$C$4+76)),MIN(DAY(Kalemler!$D23),DAY(EOMONTH((Tahmin!$C$4+76),0))))&gt;=Kalemler!$D23)),1,0),IF(AND(Kalemler!$D23&gt;=(Tahmin!$C$4+70),Kalemler!$D23&lt;=(Tahmin!$C$4+76)),1,0))))</f>
        <v>0</v>
      </c>
      <c r="M23" s="0" t="n">
        <f aca="false">IF(OR(Kalemler!$A23="",Kalemler!$C23="",Kalemler!$D23=""),0,Kalemler!$C23*IF(Kalemler!$E23="Haftalık",IF(Kalemler!$D23&lt;=(Tahmin!$C$4+83),1,0),IF(Kalemler!$E23="Aylık",IF(OR(AND(DATE(YEAR((Tahmin!$C$4+77)),MONTH((Tahmin!$C$4+77)),MIN(DAY(Kalemler!$D23),DAY(EOMONTH((Tahmin!$C$4+77),0))))&gt;=(Tahmin!$C$4+77),DATE(YEAR((Tahmin!$C$4+77)),MONTH((Tahmin!$C$4+77)),MIN(DAY(Kalemler!$D23),DAY(EOMONTH((Tahmin!$C$4+77),0))))&lt;=(Tahmin!$C$4+83),DATE(YEAR((Tahmin!$C$4+77)),MONTH((Tahmin!$C$4+77)),MIN(DAY(Kalemler!$D23),DAY(EOMONTH((Tahmin!$C$4+77),0))))&gt;=Kalemler!$D23),AND(DATE(YEAR((Tahmin!$C$4+83)),MONTH((Tahmin!$C$4+83)),MIN(DAY(Kalemler!$D23),DAY(EOMONTH((Tahmin!$C$4+83),0))))&gt;=(Tahmin!$C$4+77),DATE(YEAR((Tahmin!$C$4+83)),MONTH((Tahmin!$C$4+83)),MIN(DAY(Kalemler!$D23),DAY(EOMONTH((Tahmin!$C$4+83),0))))&lt;=(Tahmin!$C$4+83),DATE(YEAR((Tahmin!$C$4+83)),MONTH((Tahmin!$C$4+83)),MIN(DAY(Kalemler!$D23),DAY(EOMONTH((Tahmin!$C$4+83),0))))&lt;&gt;DATE(YEAR((Tahmin!$C$4+77)),MONTH((Tahmin!$C$4+77)),MIN(DAY(Kalemler!$D23),DAY(EOMONTH((Tahmin!$C$4+77),0)))),DATE(YEAR((Tahmin!$C$4+83)),MONTH((Tahmin!$C$4+83)),MIN(DAY(Kalemler!$D23),DAY(EOMONTH((Tahmin!$C$4+83),0))))&gt;=Kalemler!$D23)),1,0),IF(AND(Kalemler!$D23&gt;=(Tahmin!$C$4+77),Kalemler!$D23&lt;=(Tahmin!$C$4+83)),1,0))))</f>
        <v>0</v>
      </c>
      <c r="N23" s="0" t="n">
        <f aca="false">IF(OR(Kalemler!$A23="",Kalemler!$C23="",Kalemler!$D23=""),0,Kalemler!$C23*IF(Kalemler!$E23="Haftalık",IF(Kalemler!$D23&lt;=(Tahmin!$C$4+90),1,0),IF(Kalemler!$E23="Aylık",IF(OR(AND(DATE(YEAR((Tahmin!$C$4+84)),MONTH((Tahmin!$C$4+84)),MIN(DAY(Kalemler!$D23),DAY(EOMONTH((Tahmin!$C$4+84),0))))&gt;=(Tahmin!$C$4+84),DATE(YEAR((Tahmin!$C$4+84)),MONTH((Tahmin!$C$4+84)),MIN(DAY(Kalemler!$D23),DAY(EOMONTH((Tahmin!$C$4+84),0))))&lt;=(Tahmin!$C$4+90),DATE(YEAR((Tahmin!$C$4+84)),MONTH((Tahmin!$C$4+84)),MIN(DAY(Kalemler!$D23),DAY(EOMONTH((Tahmin!$C$4+84),0))))&gt;=Kalemler!$D23),AND(DATE(YEAR((Tahmin!$C$4+90)),MONTH((Tahmin!$C$4+90)),MIN(DAY(Kalemler!$D23),DAY(EOMONTH((Tahmin!$C$4+90),0))))&gt;=(Tahmin!$C$4+84),DATE(YEAR((Tahmin!$C$4+90)),MONTH((Tahmin!$C$4+90)),MIN(DAY(Kalemler!$D23),DAY(EOMONTH((Tahmin!$C$4+90),0))))&lt;=(Tahmin!$C$4+90),DATE(YEAR((Tahmin!$C$4+90)),MONTH((Tahmin!$C$4+90)),MIN(DAY(Kalemler!$D23),DAY(EOMONTH((Tahmin!$C$4+90),0))))&lt;&gt;DATE(YEAR((Tahmin!$C$4+84)),MONTH((Tahmin!$C$4+84)),MIN(DAY(Kalemler!$D23),DAY(EOMONTH((Tahmin!$C$4+84),0)))),DATE(YEAR((Tahmin!$C$4+90)),MONTH((Tahmin!$C$4+90)),MIN(DAY(Kalemler!$D23),DAY(EOMONTH((Tahmin!$C$4+90),0))))&gt;=Kalemler!$D23)),1,0),IF(AND(Kalemler!$D23&gt;=(Tahmin!$C$4+84),Kalemler!$D23&lt;=(Tahmin!$C$4+90)),1,0))))</f>
        <v>0</v>
      </c>
    </row>
    <row r="24" customFormat="false" ht="15" hidden="false" customHeight="false" outlineLevel="0" collapsed="false">
      <c r="A24" s="0" t="str">
        <f aca="false">IF(Kalemler!A24="","",Kalemler!A24)</f>
        <v/>
      </c>
      <c r="B24" s="0" t="n">
        <f aca="false">IF(OR(Kalemler!$A24="",Kalemler!$C24="",Kalemler!$D24=""),0,Kalemler!$C24*IF(Kalemler!$E24="Haftalık",IF(Kalemler!$D24&lt;=(Tahmin!$C$4+6),1,0),IF(Kalemler!$E24="Aylık",IF(OR(AND(DATE(YEAR((Tahmin!$C$4+0)),MONTH((Tahmin!$C$4+0)),MIN(DAY(Kalemler!$D24),DAY(EOMONTH((Tahmin!$C$4+0),0))))&gt;=(Tahmin!$C$4+0),DATE(YEAR((Tahmin!$C$4+0)),MONTH((Tahmin!$C$4+0)),MIN(DAY(Kalemler!$D24),DAY(EOMONTH((Tahmin!$C$4+0),0))))&lt;=(Tahmin!$C$4+6),DATE(YEAR((Tahmin!$C$4+0)),MONTH((Tahmin!$C$4+0)),MIN(DAY(Kalemler!$D24),DAY(EOMONTH((Tahmin!$C$4+0),0))))&gt;=Kalemler!$D24),AND(DATE(YEAR((Tahmin!$C$4+6)),MONTH((Tahmin!$C$4+6)),MIN(DAY(Kalemler!$D24),DAY(EOMONTH((Tahmin!$C$4+6),0))))&gt;=(Tahmin!$C$4+0),DATE(YEAR((Tahmin!$C$4+6)),MONTH((Tahmin!$C$4+6)),MIN(DAY(Kalemler!$D24),DAY(EOMONTH((Tahmin!$C$4+6),0))))&lt;=(Tahmin!$C$4+6),DATE(YEAR((Tahmin!$C$4+6)),MONTH((Tahmin!$C$4+6)),MIN(DAY(Kalemler!$D24),DAY(EOMONTH((Tahmin!$C$4+6),0))))&lt;&gt;DATE(YEAR((Tahmin!$C$4+0)),MONTH((Tahmin!$C$4+0)),MIN(DAY(Kalemler!$D24),DAY(EOMONTH((Tahmin!$C$4+0),0)))),DATE(YEAR((Tahmin!$C$4+6)),MONTH((Tahmin!$C$4+6)),MIN(DAY(Kalemler!$D24),DAY(EOMONTH((Tahmin!$C$4+6),0))))&gt;=Kalemler!$D24)),1,0),IF(AND(Kalemler!$D24&gt;=(Tahmin!$C$4+0),Kalemler!$D24&lt;=(Tahmin!$C$4+6)),1,0))))</f>
        <v>0</v>
      </c>
      <c r="C24" s="0" t="n">
        <f aca="false">IF(OR(Kalemler!$A24="",Kalemler!$C24="",Kalemler!$D24=""),0,Kalemler!$C24*IF(Kalemler!$E24="Haftalık",IF(Kalemler!$D24&lt;=(Tahmin!$C$4+13),1,0),IF(Kalemler!$E24="Aylık",IF(OR(AND(DATE(YEAR((Tahmin!$C$4+7)),MONTH((Tahmin!$C$4+7)),MIN(DAY(Kalemler!$D24),DAY(EOMONTH((Tahmin!$C$4+7),0))))&gt;=(Tahmin!$C$4+7),DATE(YEAR((Tahmin!$C$4+7)),MONTH((Tahmin!$C$4+7)),MIN(DAY(Kalemler!$D24),DAY(EOMONTH((Tahmin!$C$4+7),0))))&lt;=(Tahmin!$C$4+13),DATE(YEAR((Tahmin!$C$4+7)),MONTH((Tahmin!$C$4+7)),MIN(DAY(Kalemler!$D24),DAY(EOMONTH((Tahmin!$C$4+7),0))))&gt;=Kalemler!$D24),AND(DATE(YEAR((Tahmin!$C$4+13)),MONTH((Tahmin!$C$4+13)),MIN(DAY(Kalemler!$D24),DAY(EOMONTH((Tahmin!$C$4+13),0))))&gt;=(Tahmin!$C$4+7),DATE(YEAR((Tahmin!$C$4+13)),MONTH((Tahmin!$C$4+13)),MIN(DAY(Kalemler!$D24),DAY(EOMONTH((Tahmin!$C$4+13),0))))&lt;=(Tahmin!$C$4+13),DATE(YEAR((Tahmin!$C$4+13)),MONTH((Tahmin!$C$4+13)),MIN(DAY(Kalemler!$D24),DAY(EOMONTH((Tahmin!$C$4+13),0))))&lt;&gt;DATE(YEAR((Tahmin!$C$4+7)),MONTH((Tahmin!$C$4+7)),MIN(DAY(Kalemler!$D24),DAY(EOMONTH((Tahmin!$C$4+7),0)))),DATE(YEAR((Tahmin!$C$4+13)),MONTH((Tahmin!$C$4+13)),MIN(DAY(Kalemler!$D24),DAY(EOMONTH((Tahmin!$C$4+13),0))))&gt;=Kalemler!$D24)),1,0),IF(AND(Kalemler!$D24&gt;=(Tahmin!$C$4+7),Kalemler!$D24&lt;=(Tahmin!$C$4+13)),1,0))))</f>
        <v>0</v>
      </c>
      <c r="D24" s="0" t="n">
        <f aca="false">IF(OR(Kalemler!$A24="",Kalemler!$C24="",Kalemler!$D24=""),0,Kalemler!$C24*IF(Kalemler!$E24="Haftalık",IF(Kalemler!$D24&lt;=(Tahmin!$C$4+20),1,0),IF(Kalemler!$E24="Aylık",IF(OR(AND(DATE(YEAR((Tahmin!$C$4+14)),MONTH((Tahmin!$C$4+14)),MIN(DAY(Kalemler!$D24),DAY(EOMONTH((Tahmin!$C$4+14),0))))&gt;=(Tahmin!$C$4+14),DATE(YEAR((Tahmin!$C$4+14)),MONTH((Tahmin!$C$4+14)),MIN(DAY(Kalemler!$D24),DAY(EOMONTH((Tahmin!$C$4+14),0))))&lt;=(Tahmin!$C$4+20),DATE(YEAR((Tahmin!$C$4+14)),MONTH((Tahmin!$C$4+14)),MIN(DAY(Kalemler!$D24),DAY(EOMONTH((Tahmin!$C$4+14),0))))&gt;=Kalemler!$D24),AND(DATE(YEAR((Tahmin!$C$4+20)),MONTH((Tahmin!$C$4+20)),MIN(DAY(Kalemler!$D24),DAY(EOMONTH((Tahmin!$C$4+20),0))))&gt;=(Tahmin!$C$4+14),DATE(YEAR((Tahmin!$C$4+20)),MONTH((Tahmin!$C$4+20)),MIN(DAY(Kalemler!$D24),DAY(EOMONTH((Tahmin!$C$4+20),0))))&lt;=(Tahmin!$C$4+20),DATE(YEAR((Tahmin!$C$4+20)),MONTH((Tahmin!$C$4+20)),MIN(DAY(Kalemler!$D24),DAY(EOMONTH((Tahmin!$C$4+20),0))))&lt;&gt;DATE(YEAR((Tahmin!$C$4+14)),MONTH((Tahmin!$C$4+14)),MIN(DAY(Kalemler!$D24),DAY(EOMONTH((Tahmin!$C$4+14),0)))),DATE(YEAR((Tahmin!$C$4+20)),MONTH((Tahmin!$C$4+20)),MIN(DAY(Kalemler!$D24),DAY(EOMONTH((Tahmin!$C$4+20),0))))&gt;=Kalemler!$D24)),1,0),IF(AND(Kalemler!$D24&gt;=(Tahmin!$C$4+14),Kalemler!$D24&lt;=(Tahmin!$C$4+20)),1,0))))</f>
        <v>0</v>
      </c>
      <c r="E24" s="0" t="n">
        <f aca="false">IF(OR(Kalemler!$A24="",Kalemler!$C24="",Kalemler!$D24=""),0,Kalemler!$C24*IF(Kalemler!$E24="Haftalık",IF(Kalemler!$D24&lt;=(Tahmin!$C$4+27),1,0),IF(Kalemler!$E24="Aylık",IF(OR(AND(DATE(YEAR((Tahmin!$C$4+21)),MONTH((Tahmin!$C$4+21)),MIN(DAY(Kalemler!$D24),DAY(EOMONTH((Tahmin!$C$4+21),0))))&gt;=(Tahmin!$C$4+21),DATE(YEAR((Tahmin!$C$4+21)),MONTH((Tahmin!$C$4+21)),MIN(DAY(Kalemler!$D24),DAY(EOMONTH((Tahmin!$C$4+21),0))))&lt;=(Tahmin!$C$4+27),DATE(YEAR((Tahmin!$C$4+21)),MONTH((Tahmin!$C$4+21)),MIN(DAY(Kalemler!$D24),DAY(EOMONTH((Tahmin!$C$4+21),0))))&gt;=Kalemler!$D24),AND(DATE(YEAR((Tahmin!$C$4+27)),MONTH((Tahmin!$C$4+27)),MIN(DAY(Kalemler!$D24),DAY(EOMONTH((Tahmin!$C$4+27),0))))&gt;=(Tahmin!$C$4+21),DATE(YEAR((Tahmin!$C$4+27)),MONTH((Tahmin!$C$4+27)),MIN(DAY(Kalemler!$D24),DAY(EOMONTH((Tahmin!$C$4+27),0))))&lt;=(Tahmin!$C$4+27),DATE(YEAR((Tahmin!$C$4+27)),MONTH((Tahmin!$C$4+27)),MIN(DAY(Kalemler!$D24),DAY(EOMONTH((Tahmin!$C$4+27),0))))&lt;&gt;DATE(YEAR((Tahmin!$C$4+21)),MONTH((Tahmin!$C$4+21)),MIN(DAY(Kalemler!$D24),DAY(EOMONTH((Tahmin!$C$4+21),0)))),DATE(YEAR((Tahmin!$C$4+27)),MONTH((Tahmin!$C$4+27)),MIN(DAY(Kalemler!$D24),DAY(EOMONTH((Tahmin!$C$4+27),0))))&gt;=Kalemler!$D24)),1,0),IF(AND(Kalemler!$D24&gt;=(Tahmin!$C$4+21),Kalemler!$D24&lt;=(Tahmin!$C$4+27)),1,0))))</f>
        <v>0</v>
      </c>
      <c r="F24" s="0" t="n">
        <f aca="false">IF(OR(Kalemler!$A24="",Kalemler!$C24="",Kalemler!$D24=""),0,Kalemler!$C24*IF(Kalemler!$E24="Haftalık",IF(Kalemler!$D24&lt;=(Tahmin!$C$4+34),1,0),IF(Kalemler!$E24="Aylık",IF(OR(AND(DATE(YEAR((Tahmin!$C$4+28)),MONTH((Tahmin!$C$4+28)),MIN(DAY(Kalemler!$D24),DAY(EOMONTH((Tahmin!$C$4+28),0))))&gt;=(Tahmin!$C$4+28),DATE(YEAR((Tahmin!$C$4+28)),MONTH((Tahmin!$C$4+28)),MIN(DAY(Kalemler!$D24),DAY(EOMONTH((Tahmin!$C$4+28),0))))&lt;=(Tahmin!$C$4+34),DATE(YEAR((Tahmin!$C$4+28)),MONTH((Tahmin!$C$4+28)),MIN(DAY(Kalemler!$D24),DAY(EOMONTH((Tahmin!$C$4+28),0))))&gt;=Kalemler!$D24),AND(DATE(YEAR((Tahmin!$C$4+34)),MONTH((Tahmin!$C$4+34)),MIN(DAY(Kalemler!$D24),DAY(EOMONTH((Tahmin!$C$4+34),0))))&gt;=(Tahmin!$C$4+28),DATE(YEAR((Tahmin!$C$4+34)),MONTH((Tahmin!$C$4+34)),MIN(DAY(Kalemler!$D24),DAY(EOMONTH((Tahmin!$C$4+34),0))))&lt;=(Tahmin!$C$4+34),DATE(YEAR((Tahmin!$C$4+34)),MONTH((Tahmin!$C$4+34)),MIN(DAY(Kalemler!$D24),DAY(EOMONTH((Tahmin!$C$4+34),0))))&lt;&gt;DATE(YEAR((Tahmin!$C$4+28)),MONTH((Tahmin!$C$4+28)),MIN(DAY(Kalemler!$D24),DAY(EOMONTH((Tahmin!$C$4+28),0)))),DATE(YEAR((Tahmin!$C$4+34)),MONTH((Tahmin!$C$4+34)),MIN(DAY(Kalemler!$D24),DAY(EOMONTH((Tahmin!$C$4+34),0))))&gt;=Kalemler!$D24)),1,0),IF(AND(Kalemler!$D24&gt;=(Tahmin!$C$4+28),Kalemler!$D24&lt;=(Tahmin!$C$4+34)),1,0))))</f>
        <v>0</v>
      </c>
      <c r="G24" s="0" t="n">
        <f aca="false">IF(OR(Kalemler!$A24="",Kalemler!$C24="",Kalemler!$D24=""),0,Kalemler!$C24*IF(Kalemler!$E24="Haftalık",IF(Kalemler!$D24&lt;=(Tahmin!$C$4+41),1,0),IF(Kalemler!$E24="Aylık",IF(OR(AND(DATE(YEAR((Tahmin!$C$4+35)),MONTH((Tahmin!$C$4+35)),MIN(DAY(Kalemler!$D24),DAY(EOMONTH((Tahmin!$C$4+35),0))))&gt;=(Tahmin!$C$4+35),DATE(YEAR((Tahmin!$C$4+35)),MONTH((Tahmin!$C$4+35)),MIN(DAY(Kalemler!$D24),DAY(EOMONTH((Tahmin!$C$4+35),0))))&lt;=(Tahmin!$C$4+41),DATE(YEAR((Tahmin!$C$4+35)),MONTH((Tahmin!$C$4+35)),MIN(DAY(Kalemler!$D24),DAY(EOMONTH((Tahmin!$C$4+35),0))))&gt;=Kalemler!$D24),AND(DATE(YEAR((Tahmin!$C$4+41)),MONTH((Tahmin!$C$4+41)),MIN(DAY(Kalemler!$D24),DAY(EOMONTH((Tahmin!$C$4+41),0))))&gt;=(Tahmin!$C$4+35),DATE(YEAR((Tahmin!$C$4+41)),MONTH((Tahmin!$C$4+41)),MIN(DAY(Kalemler!$D24),DAY(EOMONTH((Tahmin!$C$4+41),0))))&lt;=(Tahmin!$C$4+41),DATE(YEAR((Tahmin!$C$4+41)),MONTH((Tahmin!$C$4+41)),MIN(DAY(Kalemler!$D24),DAY(EOMONTH((Tahmin!$C$4+41),0))))&lt;&gt;DATE(YEAR((Tahmin!$C$4+35)),MONTH((Tahmin!$C$4+35)),MIN(DAY(Kalemler!$D24),DAY(EOMONTH((Tahmin!$C$4+35),0)))),DATE(YEAR((Tahmin!$C$4+41)),MONTH((Tahmin!$C$4+41)),MIN(DAY(Kalemler!$D24),DAY(EOMONTH((Tahmin!$C$4+41),0))))&gt;=Kalemler!$D24)),1,0),IF(AND(Kalemler!$D24&gt;=(Tahmin!$C$4+35),Kalemler!$D24&lt;=(Tahmin!$C$4+41)),1,0))))</f>
        <v>0</v>
      </c>
      <c r="H24" s="0" t="n">
        <f aca="false">IF(OR(Kalemler!$A24="",Kalemler!$C24="",Kalemler!$D24=""),0,Kalemler!$C24*IF(Kalemler!$E24="Haftalık",IF(Kalemler!$D24&lt;=(Tahmin!$C$4+48),1,0),IF(Kalemler!$E24="Aylık",IF(OR(AND(DATE(YEAR((Tahmin!$C$4+42)),MONTH((Tahmin!$C$4+42)),MIN(DAY(Kalemler!$D24),DAY(EOMONTH((Tahmin!$C$4+42),0))))&gt;=(Tahmin!$C$4+42),DATE(YEAR((Tahmin!$C$4+42)),MONTH((Tahmin!$C$4+42)),MIN(DAY(Kalemler!$D24),DAY(EOMONTH((Tahmin!$C$4+42),0))))&lt;=(Tahmin!$C$4+48),DATE(YEAR((Tahmin!$C$4+42)),MONTH((Tahmin!$C$4+42)),MIN(DAY(Kalemler!$D24),DAY(EOMONTH((Tahmin!$C$4+42),0))))&gt;=Kalemler!$D24),AND(DATE(YEAR((Tahmin!$C$4+48)),MONTH((Tahmin!$C$4+48)),MIN(DAY(Kalemler!$D24),DAY(EOMONTH((Tahmin!$C$4+48),0))))&gt;=(Tahmin!$C$4+42),DATE(YEAR((Tahmin!$C$4+48)),MONTH((Tahmin!$C$4+48)),MIN(DAY(Kalemler!$D24),DAY(EOMONTH((Tahmin!$C$4+48),0))))&lt;=(Tahmin!$C$4+48),DATE(YEAR((Tahmin!$C$4+48)),MONTH((Tahmin!$C$4+48)),MIN(DAY(Kalemler!$D24),DAY(EOMONTH((Tahmin!$C$4+48),0))))&lt;&gt;DATE(YEAR((Tahmin!$C$4+42)),MONTH((Tahmin!$C$4+42)),MIN(DAY(Kalemler!$D24),DAY(EOMONTH((Tahmin!$C$4+42),0)))),DATE(YEAR((Tahmin!$C$4+48)),MONTH((Tahmin!$C$4+48)),MIN(DAY(Kalemler!$D24),DAY(EOMONTH((Tahmin!$C$4+48),0))))&gt;=Kalemler!$D24)),1,0),IF(AND(Kalemler!$D24&gt;=(Tahmin!$C$4+42),Kalemler!$D24&lt;=(Tahmin!$C$4+48)),1,0))))</f>
        <v>0</v>
      </c>
      <c r="I24" s="0" t="n">
        <f aca="false">IF(OR(Kalemler!$A24="",Kalemler!$C24="",Kalemler!$D24=""),0,Kalemler!$C24*IF(Kalemler!$E24="Haftalık",IF(Kalemler!$D24&lt;=(Tahmin!$C$4+55),1,0),IF(Kalemler!$E24="Aylık",IF(OR(AND(DATE(YEAR((Tahmin!$C$4+49)),MONTH((Tahmin!$C$4+49)),MIN(DAY(Kalemler!$D24),DAY(EOMONTH((Tahmin!$C$4+49),0))))&gt;=(Tahmin!$C$4+49),DATE(YEAR((Tahmin!$C$4+49)),MONTH((Tahmin!$C$4+49)),MIN(DAY(Kalemler!$D24),DAY(EOMONTH((Tahmin!$C$4+49),0))))&lt;=(Tahmin!$C$4+55),DATE(YEAR((Tahmin!$C$4+49)),MONTH((Tahmin!$C$4+49)),MIN(DAY(Kalemler!$D24),DAY(EOMONTH((Tahmin!$C$4+49),0))))&gt;=Kalemler!$D24),AND(DATE(YEAR((Tahmin!$C$4+55)),MONTH((Tahmin!$C$4+55)),MIN(DAY(Kalemler!$D24),DAY(EOMONTH((Tahmin!$C$4+55),0))))&gt;=(Tahmin!$C$4+49),DATE(YEAR((Tahmin!$C$4+55)),MONTH((Tahmin!$C$4+55)),MIN(DAY(Kalemler!$D24),DAY(EOMONTH((Tahmin!$C$4+55),0))))&lt;=(Tahmin!$C$4+55),DATE(YEAR((Tahmin!$C$4+55)),MONTH((Tahmin!$C$4+55)),MIN(DAY(Kalemler!$D24),DAY(EOMONTH((Tahmin!$C$4+55),0))))&lt;&gt;DATE(YEAR((Tahmin!$C$4+49)),MONTH((Tahmin!$C$4+49)),MIN(DAY(Kalemler!$D24),DAY(EOMONTH((Tahmin!$C$4+49),0)))),DATE(YEAR((Tahmin!$C$4+55)),MONTH((Tahmin!$C$4+55)),MIN(DAY(Kalemler!$D24),DAY(EOMONTH((Tahmin!$C$4+55),0))))&gt;=Kalemler!$D24)),1,0),IF(AND(Kalemler!$D24&gt;=(Tahmin!$C$4+49),Kalemler!$D24&lt;=(Tahmin!$C$4+55)),1,0))))</f>
        <v>0</v>
      </c>
      <c r="J24" s="0" t="n">
        <f aca="false">IF(OR(Kalemler!$A24="",Kalemler!$C24="",Kalemler!$D24=""),0,Kalemler!$C24*IF(Kalemler!$E24="Haftalık",IF(Kalemler!$D24&lt;=(Tahmin!$C$4+62),1,0),IF(Kalemler!$E24="Aylık",IF(OR(AND(DATE(YEAR((Tahmin!$C$4+56)),MONTH((Tahmin!$C$4+56)),MIN(DAY(Kalemler!$D24),DAY(EOMONTH((Tahmin!$C$4+56),0))))&gt;=(Tahmin!$C$4+56),DATE(YEAR((Tahmin!$C$4+56)),MONTH((Tahmin!$C$4+56)),MIN(DAY(Kalemler!$D24),DAY(EOMONTH((Tahmin!$C$4+56),0))))&lt;=(Tahmin!$C$4+62),DATE(YEAR((Tahmin!$C$4+56)),MONTH((Tahmin!$C$4+56)),MIN(DAY(Kalemler!$D24),DAY(EOMONTH((Tahmin!$C$4+56),0))))&gt;=Kalemler!$D24),AND(DATE(YEAR((Tahmin!$C$4+62)),MONTH((Tahmin!$C$4+62)),MIN(DAY(Kalemler!$D24),DAY(EOMONTH((Tahmin!$C$4+62),0))))&gt;=(Tahmin!$C$4+56),DATE(YEAR((Tahmin!$C$4+62)),MONTH((Tahmin!$C$4+62)),MIN(DAY(Kalemler!$D24),DAY(EOMONTH((Tahmin!$C$4+62),0))))&lt;=(Tahmin!$C$4+62),DATE(YEAR((Tahmin!$C$4+62)),MONTH((Tahmin!$C$4+62)),MIN(DAY(Kalemler!$D24),DAY(EOMONTH((Tahmin!$C$4+62),0))))&lt;&gt;DATE(YEAR((Tahmin!$C$4+56)),MONTH((Tahmin!$C$4+56)),MIN(DAY(Kalemler!$D24),DAY(EOMONTH((Tahmin!$C$4+56),0)))),DATE(YEAR((Tahmin!$C$4+62)),MONTH((Tahmin!$C$4+62)),MIN(DAY(Kalemler!$D24),DAY(EOMONTH((Tahmin!$C$4+62),0))))&gt;=Kalemler!$D24)),1,0),IF(AND(Kalemler!$D24&gt;=(Tahmin!$C$4+56),Kalemler!$D24&lt;=(Tahmin!$C$4+62)),1,0))))</f>
        <v>0</v>
      </c>
      <c r="K24" s="0" t="n">
        <f aca="false">IF(OR(Kalemler!$A24="",Kalemler!$C24="",Kalemler!$D24=""),0,Kalemler!$C24*IF(Kalemler!$E24="Haftalık",IF(Kalemler!$D24&lt;=(Tahmin!$C$4+69),1,0),IF(Kalemler!$E24="Aylık",IF(OR(AND(DATE(YEAR((Tahmin!$C$4+63)),MONTH((Tahmin!$C$4+63)),MIN(DAY(Kalemler!$D24),DAY(EOMONTH((Tahmin!$C$4+63),0))))&gt;=(Tahmin!$C$4+63),DATE(YEAR((Tahmin!$C$4+63)),MONTH((Tahmin!$C$4+63)),MIN(DAY(Kalemler!$D24),DAY(EOMONTH((Tahmin!$C$4+63),0))))&lt;=(Tahmin!$C$4+69),DATE(YEAR((Tahmin!$C$4+63)),MONTH((Tahmin!$C$4+63)),MIN(DAY(Kalemler!$D24),DAY(EOMONTH((Tahmin!$C$4+63),0))))&gt;=Kalemler!$D24),AND(DATE(YEAR((Tahmin!$C$4+69)),MONTH((Tahmin!$C$4+69)),MIN(DAY(Kalemler!$D24),DAY(EOMONTH((Tahmin!$C$4+69),0))))&gt;=(Tahmin!$C$4+63),DATE(YEAR((Tahmin!$C$4+69)),MONTH((Tahmin!$C$4+69)),MIN(DAY(Kalemler!$D24),DAY(EOMONTH((Tahmin!$C$4+69),0))))&lt;=(Tahmin!$C$4+69),DATE(YEAR((Tahmin!$C$4+69)),MONTH((Tahmin!$C$4+69)),MIN(DAY(Kalemler!$D24),DAY(EOMONTH((Tahmin!$C$4+69),0))))&lt;&gt;DATE(YEAR((Tahmin!$C$4+63)),MONTH((Tahmin!$C$4+63)),MIN(DAY(Kalemler!$D24),DAY(EOMONTH((Tahmin!$C$4+63),0)))),DATE(YEAR((Tahmin!$C$4+69)),MONTH((Tahmin!$C$4+69)),MIN(DAY(Kalemler!$D24),DAY(EOMONTH((Tahmin!$C$4+69),0))))&gt;=Kalemler!$D24)),1,0),IF(AND(Kalemler!$D24&gt;=(Tahmin!$C$4+63),Kalemler!$D24&lt;=(Tahmin!$C$4+69)),1,0))))</f>
        <v>0</v>
      </c>
      <c r="L24" s="0" t="n">
        <f aca="false">IF(OR(Kalemler!$A24="",Kalemler!$C24="",Kalemler!$D24=""),0,Kalemler!$C24*IF(Kalemler!$E24="Haftalık",IF(Kalemler!$D24&lt;=(Tahmin!$C$4+76),1,0),IF(Kalemler!$E24="Aylık",IF(OR(AND(DATE(YEAR((Tahmin!$C$4+70)),MONTH((Tahmin!$C$4+70)),MIN(DAY(Kalemler!$D24),DAY(EOMONTH((Tahmin!$C$4+70),0))))&gt;=(Tahmin!$C$4+70),DATE(YEAR((Tahmin!$C$4+70)),MONTH((Tahmin!$C$4+70)),MIN(DAY(Kalemler!$D24),DAY(EOMONTH((Tahmin!$C$4+70),0))))&lt;=(Tahmin!$C$4+76),DATE(YEAR((Tahmin!$C$4+70)),MONTH((Tahmin!$C$4+70)),MIN(DAY(Kalemler!$D24),DAY(EOMONTH((Tahmin!$C$4+70),0))))&gt;=Kalemler!$D24),AND(DATE(YEAR((Tahmin!$C$4+76)),MONTH((Tahmin!$C$4+76)),MIN(DAY(Kalemler!$D24),DAY(EOMONTH((Tahmin!$C$4+76),0))))&gt;=(Tahmin!$C$4+70),DATE(YEAR((Tahmin!$C$4+76)),MONTH((Tahmin!$C$4+76)),MIN(DAY(Kalemler!$D24),DAY(EOMONTH((Tahmin!$C$4+76),0))))&lt;=(Tahmin!$C$4+76),DATE(YEAR((Tahmin!$C$4+76)),MONTH((Tahmin!$C$4+76)),MIN(DAY(Kalemler!$D24),DAY(EOMONTH((Tahmin!$C$4+76),0))))&lt;&gt;DATE(YEAR((Tahmin!$C$4+70)),MONTH((Tahmin!$C$4+70)),MIN(DAY(Kalemler!$D24),DAY(EOMONTH((Tahmin!$C$4+70),0)))),DATE(YEAR((Tahmin!$C$4+76)),MONTH((Tahmin!$C$4+76)),MIN(DAY(Kalemler!$D24),DAY(EOMONTH((Tahmin!$C$4+76),0))))&gt;=Kalemler!$D24)),1,0),IF(AND(Kalemler!$D24&gt;=(Tahmin!$C$4+70),Kalemler!$D24&lt;=(Tahmin!$C$4+76)),1,0))))</f>
        <v>0</v>
      </c>
      <c r="M24" s="0" t="n">
        <f aca="false">IF(OR(Kalemler!$A24="",Kalemler!$C24="",Kalemler!$D24=""),0,Kalemler!$C24*IF(Kalemler!$E24="Haftalık",IF(Kalemler!$D24&lt;=(Tahmin!$C$4+83),1,0),IF(Kalemler!$E24="Aylık",IF(OR(AND(DATE(YEAR((Tahmin!$C$4+77)),MONTH((Tahmin!$C$4+77)),MIN(DAY(Kalemler!$D24),DAY(EOMONTH((Tahmin!$C$4+77),0))))&gt;=(Tahmin!$C$4+77),DATE(YEAR((Tahmin!$C$4+77)),MONTH((Tahmin!$C$4+77)),MIN(DAY(Kalemler!$D24),DAY(EOMONTH((Tahmin!$C$4+77),0))))&lt;=(Tahmin!$C$4+83),DATE(YEAR((Tahmin!$C$4+77)),MONTH((Tahmin!$C$4+77)),MIN(DAY(Kalemler!$D24),DAY(EOMONTH((Tahmin!$C$4+77),0))))&gt;=Kalemler!$D24),AND(DATE(YEAR((Tahmin!$C$4+83)),MONTH((Tahmin!$C$4+83)),MIN(DAY(Kalemler!$D24),DAY(EOMONTH((Tahmin!$C$4+83),0))))&gt;=(Tahmin!$C$4+77),DATE(YEAR((Tahmin!$C$4+83)),MONTH((Tahmin!$C$4+83)),MIN(DAY(Kalemler!$D24),DAY(EOMONTH((Tahmin!$C$4+83),0))))&lt;=(Tahmin!$C$4+83),DATE(YEAR((Tahmin!$C$4+83)),MONTH((Tahmin!$C$4+83)),MIN(DAY(Kalemler!$D24),DAY(EOMONTH((Tahmin!$C$4+83),0))))&lt;&gt;DATE(YEAR((Tahmin!$C$4+77)),MONTH((Tahmin!$C$4+77)),MIN(DAY(Kalemler!$D24),DAY(EOMONTH((Tahmin!$C$4+77),0)))),DATE(YEAR((Tahmin!$C$4+83)),MONTH((Tahmin!$C$4+83)),MIN(DAY(Kalemler!$D24),DAY(EOMONTH((Tahmin!$C$4+83),0))))&gt;=Kalemler!$D24)),1,0),IF(AND(Kalemler!$D24&gt;=(Tahmin!$C$4+77),Kalemler!$D24&lt;=(Tahmin!$C$4+83)),1,0))))</f>
        <v>0</v>
      </c>
      <c r="N24" s="0" t="n">
        <f aca="false">IF(OR(Kalemler!$A24="",Kalemler!$C24="",Kalemler!$D24=""),0,Kalemler!$C24*IF(Kalemler!$E24="Haftalık",IF(Kalemler!$D24&lt;=(Tahmin!$C$4+90),1,0),IF(Kalemler!$E24="Aylık",IF(OR(AND(DATE(YEAR((Tahmin!$C$4+84)),MONTH((Tahmin!$C$4+84)),MIN(DAY(Kalemler!$D24),DAY(EOMONTH((Tahmin!$C$4+84),0))))&gt;=(Tahmin!$C$4+84),DATE(YEAR((Tahmin!$C$4+84)),MONTH((Tahmin!$C$4+84)),MIN(DAY(Kalemler!$D24),DAY(EOMONTH((Tahmin!$C$4+84),0))))&lt;=(Tahmin!$C$4+90),DATE(YEAR((Tahmin!$C$4+84)),MONTH((Tahmin!$C$4+84)),MIN(DAY(Kalemler!$D24),DAY(EOMONTH((Tahmin!$C$4+84),0))))&gt;=Kalemler!$D24),AND(DATE(YEAR((Tahmin!$C$4+90)),MONTH((Tahmin!$C$4+90)),MIN(DAY(Kalemler!$D24),DAY(EOMONTH((Tahmin!$C$4+90),0))))&gt;=(Tahmin!$C$4+84),DATE(YEAR((Tahmin!$C$4+90)),MONTH((Tahmin!$C$4+90)),MIN(DAY(Kalemler!$D24),DAY(EOMONTH((Tahmin!$C$4+90),0))))&lt;=(Tahmin!$C$4+90),DATE(YEAR((Tahmin!$C$4+90)),MONTH((Tahmin!$C$4+90)),MIN(DAY(Kalemler!$D24),DAY(EOMONTH((Tahmin!$C$4+90),0))))&lt;&gt;DATE(YEAR((Tahmin!$C$4+84)),MONTH((Tahmin!$C$4+84)),MIN(DAY(Kalemler!$D24),DAY(EOMONTH((Tahmin!$C$4+84),0)))),DATE(YEAR((Tahmin!$C$4+90)),MONTH((Tahmin!$C$4+90)),MIN(DAY(Kalemler!$D24),DAY(EOMONTH((Tahmin!$C$4+90),0))))&gt;=Kalemler!$D24)),1,0),IF(AND(Kalemler!$D24&gt;=(Tahmin!$C$4+84),Kalemler!$D24&lt;=(Tahmin!$C$4+90)),1,0))))</f>
        <v>0</v>
      </c>
    </row>
    <row r="25" customFormat="false" ht="15" hidden="false" customHeight="false" outlineLevel="0" collapsed="false">
      <c r="A25" s="0" t="str">
        <f aca="false">IF(Kalemler!A25="","",Kalemler!A25)</f>
        <v/>
      </c>
      <c r="B25" s="0" t="n">
        <f aca="false">IF(OR(Kalemler!$A25="",Kalemler!$C25="",Kalemler!$D25=""),0,Kalemler!$C25*IF(Kalemler!$E25="Haftalık",IF(Kalemler!$D25&lt;=(Tahmin!$C$4+6),1,0),IF(Kalemler!$E25="Aylık",IF(OR(AND(DATE(YEAR((Tahmin!$C$4+0)),MONTH((Tahmin!$C$4+0)),MIN(DAY(Kalemler!$D25),DAY(EOMONTH((Tahmin!$C$4+0),0))))&gt;=(Tahmin!$C$4+0),DATE(YEAR((Tahmin!$C$4+0)),MONTH((Tahmin!$C$4+0)),MIN(DAY(Kalemler!$D25),DAY(EOMONTH((Tahmin!$C$4+0),0))))&lt;=(Tahmin!$C$4+6),DATE(YEAR((Tahmin!$C$4+0)),MONTH((Tahmin!$C$4+0)),MIN(DAY(Kalemler!$D25),DAY(EOMONTH((Tahmin!$C$4+0),0))))&gt;=Kalemler!$D25),AND(DATE(YEAR((Tahmin!$C$4+6)),MONTH((Tahmin!$C$4+6)),MIN(DAY(Kalemler!$D25),DAY(EOMONTH((Tahmin!$C$4+6),0))))&gt;=(Tahmin!$C$4+0),DATE(YEAR((Tahmin!$C$4+6)),MONTH((Tahmin!$C$4+6)),MIN(DAY(Kalemler!$D25),DAY(EOMONTH((Tahmin!$C$4+6),0))))&lt;=(Tahmin!$C$4+6),DATE(YEAR((Tahmin!$C$4+6)),MONTH((Tahmin!$C$4+6)),MIN(DAY(Kalemler!$D25),DAY(EOMONTH((Tahmin!$C$4+6),0))))&lt;&gt;DATE(YEAR((Tahmin!$C$4+0)),MONTH((Tahmin!$C$4+0)),MIN(DAY(Kalemler!$D25),DAY(EOMONTH((Tahmin!$C$4+0),0)))),DATE(YEAR((Tahmin!$C$4+6)),MONTH((Tahmin!$C$4+6)),MIN(DAY(Kalemler!$D25),DAY(EOMONTH((Tahmin!$C$4+6),0))))&gt;=Kalemler!$D25)),1,0),IF(AND(Kalemler!$D25&gt;=(Tahmin!$C$4+0),Kalemler!$D25&lt;=(Tahmin!$C$4+6)),1,0))))</f>
        <v>0</v>
      </c>
      <c r="C25" s="0" t="n">
        <f aca="false">IF(OR(Kalemler!$A25="",Kalemler!$C25="",Kalemler!$D25=""),0,Kalemler!$C25*IF(Kalemler!$E25="Haftalık",IF(Kalemler!$D25&lt;=(Tahmin!$C$4+13),1,0),IF(Kalemler!$E25="Aylık",IF(OR(AND(DATE(YEAR((Tahmin!$C$4+7)),MONTH((Tahmin!$C$4+7)),MIN(DAY(Kalemler!$D25),DAY(EOMONTH((Tahmin!$C$4+7),0))))&gt;=(Tahmin!$C$4+7),DATE(YEAR((Tahmin!$C$4+7)),MONTH((Tahmin!$C$4+7)),MIN(DAY(Kalemler!$D25),DAY(EOMONTH((Tahmin!$C$4+7),0))))&lt;=(Tahmin!$C$4+13),DATE(YEAR((Tahmin!$C$4+7)),MONTH((Tahmin!$C$4+7)),MIN(DAY(Kalemler!$D25),DAY(EOMONTH((Tahmin!$C$4+7),0))))&gt;=Kalemler!$D25),AND(DATE(YEAR((Tahmin!$C$4+13)),MONTH((Tahmin!$C$4+13)),MIN(DAY(Kalemler!$D25),DAY(EOMONTH((Tahmin!$C$4+13),0))))&gt;=(Tahmin!$C$4+7),DATE(YEAR((Tahmin!$C$4+13)),MONTH((Tahmin!$C$4+13)),MIN(DAY(Kalemler!$D25),DAY(EOMONTH((Tahmin!$C$4+13),0))))&lt;=(Tahmin!$C$4+13),DATE(YEAR((Tahmin!$C$4+13)),MONTH((Tahmin!$C$4+13)),MIN(DAY(Kalemler!$D25),DAY(EOMONTH((Tahmin!$C$4+13),0))))&lt;&gt;DATE(YEAR((Tahmin!$C$4+7)),MONTH((Tahmin!$C$4+7)),MIN(DAY(Kalemler!$D25),DAY(EOMONTH((Tahmin!$C$4+7),0)))),DATE(YEAR((Tahmin!$C$4+13)),MONTH((Tahmin!$C$4+13)),MIN(DAY(Kalemler!$D25),DAY(EOMONTH((Tahmin!$C$4+13),0))))&gt;=Kalemler!$D25)),1,0),IF(AND(Kalemler!$D25&gt;=(Tahmin!$C$4+7),Kalemler!$D25&lt;=(Tahmin!$C$4+13)),1,0))))</f>
        <v>0</v>
      </c>
      <c r="D25" s="0" t="n">
        <f aca="false">IF(OR(Kalemler!$A25="",Kalemler!$C25="",Kalemler!$D25=""),0,Kalemler!$C25*IF(Kalemler!$E25="Haftalık",IF(Kalemler!$D25&lt;=(Tahmin!$C$4+20),1,0),IF(Kalemler!$E25="Aylık",IF(OR(AND(DATE(YEAR((Tahmin!$C$4+14)),MONTH((Tahmin!$C$4+14)),MIN(DAY(Kalemler!$D25),DAY(EOMONTH((Tahmin!$C$4+14),0))))&gt;=(Tahmin!$C$4+14),DATE(YEAR((Tahmin!$C$4+14)),MONTH((Tahmin!$C$4+14)),MIN(DAY(Kalemler!$D25),DAY(EOMONTH((Tahmin!$C$4+14),0))))&lt;=(Tahmin!$C$4+20),DATE(YEAR((Tahmin!$C$4+14)),MONTH((Tahmin!$C$4+14)),MIN(DAY(Kalemler!$D25),DAY(EOMONTH((Tahmin!$C$4+14),0))))&gt;=Kalemler!$D25),AND(DATE(YEAR((Tahmin!$C$4+20)),MONTH((Tahmin!$C$4+20)),MIN(DAY(Kalemler!$D25),DAY(EOMONTH((Tahmin!$C$4+20),0))))&gt;=(Tahmin!$C$4+14),DATE(YEAR((Tahmin!$C$4+20)),MONTH((Tahmin!$C$4+20)),MIN(DAY(Kalemler!$D25),DAY(EOMONTH((Tahmin!$C$4+20),0))))&lt;=(Tahmin!$C$4+20),DATE(YEAR((Tahmin!$C$4+20)),MONTH((Tahmin!$C$4+20)),MIN(DAY(Kalemler!$D25),DAY(EOMONTH((Tahmin!$C$4+20),0))))&lt;&gt;DATE(YEAR((Tahmin!$C$4+14)),MONTH((Tahmin!$C$4+14)),MIN(DAY(Kalemler!$D25),DAY(EOMONTH((Tahmin!$C$4+14),0)))),DATE(YEAR((Tahmin!$C$4+20)),MONTH((Tahmin!$C$4+20)),MIN(DAY(Kalemler!$D25),DAY(EOMONTH((Tahmin!$C$4+20),0))))&gt;=Kalemler!$D25)),1,0),IF(AND(Kalemler!$D25&gt;=(Tahmin!$C$4+14),Kalemler!$D25&lt;=(Tahmin!$C$4+20)),1,0))))</f>
        <v>0</v>
      </c>
      <c r="E25" s="0" t="n">
        <f aca="false">IF(OR(Kalemler!$A25="",Kalemler!$C25="",Kalemler!$D25=""),0,Kalemler!$C25*IF(Kalemler!$E25="Haftalık",IF(Kalemler!$D25&lt;=(Tahmin!$C$4+27),1,0),IF(Kalemler!$E25="Aylık",IF(OR(AND(DATE(YEAR((Tahmin!$C$4+21)),MONTH((Tahmin!$C$4+21)),MIN(DAY(Kalemler!$D25),DAY(EOMONTH((Tahmin!$C$4+21),0))))&gt;=(Tahmin!$C$4+21),DATE(YEAR((Tahmin!$C$4+21)),MONTH((Tahmin!$C$4+21)),MIN(DAY(Kalemler!$D25),DAY(EOMONTH((Tahmin!$C$4+21),0))))&lt;=(Tahmin!$C$4+27),DATE(YEAR((Tahmin!$C$4+21)),MONTH((Tahmin!$C$4+21)),MIN(DAY(Kalemler!$D25),DAY(EOMONTH((Tahmin!$C$4+21),0))))&gt;=Kalemler!$D25),AND(DATE(YEAR((Tahmin!$C$4+27)),MONTH((Tahmin!$C$4+27)),MIN(DAY(Kalemler!$D25),DAY(EOMONTH((Tahmin!$C$4+27),0))))&gt;=(Tahmin!$C$4+21),DATE(YEAR((Tahmin!$C$4+27)),MONTH((Tahmin!$C$4+27)),MIN(DAY(Kalemler!$D25),DAY(EOMONTH((Tahmin!$C$4+27),0))))&lt;=(Tahmin!$C$4+27),DATE(YEAR((Tahmin!$C$4+27)),MONTH((Tahmin!$C$4+27)),MIN(DAY(Kalemler!$D25),DAY(EOMONTH((Tahmin!$C$4+27),0))))&lt;&gt;DATE(YEAR((Tahmin!$C$4+21)),MONTH((Tahmin!$C$4+21)),MIN(DAY(Kalemler!$D25),DAY(EOMONTH((Tahmin!$C$4+21),0)))),DATE(YEAR((Tahmin!$C$4+27)),MONTH((Tahmin!$C$4+27)),MIN(DAY(Kalemler!$D25),DAY(EOMONTH((Tahmin!$C$4+27),0))))&gt;=Kalemler!$D25)),1,0),IF(AND(Kalemler!$D25&gt;=(Tahmin!$C$4+21),Kalemler!$D25&lt;=(Tahmin!$C$4+27)),1,0))))</f>
        <v>0</v>
      </c>
      <c r="F25" s="0" t="n">
        <f aca="false">IF(OR(Kalemler!$A25="",Kalemler!$C25="",Kalemler!$D25=""),0,Kalemler!$C25*IF(Kalemler!$E25="Haftalık",IF(Kalemler!$D25&lt;=(Tahmin!$C$4+34),1,0),IF(Kalemler!$E25="Aylık",IF(OR(AND(DATE(YEAR((Tahmin!$C$4+28)),MONTH((Tahmin!$C$4+28)),MIN(DAY(Kalemler!$D25),DAY(EOMONTH((Tahmin!$C$4+28),0))))&gt;=(Tahmin!$C$4+28),DATE(YEAR((Tahmin!$C$4+28)),MONTH((Tahmin!$C$4+28)),MIN(DAY(Kalemler!$D25),DAY(EOMONTH((Tahmin!$C$4+28),0))))&lt;=(Tahmin!$C$4+34),DATE(YEAR((Tahmin!$C$4+28)),MONTH((Tahmin!$C$4+28)),MIN(DAY(Kalemler!$D25),DAY(EOMONTH((Tahmin!$C$4+28),0))))&gt;=Kalemler!$D25),AND(DATE(YEAR((Tahmin!$C$4+34)),MONTH((Tahmin!$C$4+34)),MIN(DAY(Kalemler!$D25),DAY(EOMONTH((Tahmin!$C$4+34),0))))&gt;=(Tahmin!$C$4+28),DATE(YEAR((Tahmin!$C$4+34)),MONTH((Tahmin!$C$4+34)),MIN(DAY(Kalemler!$D25),DAY(EOMONTH((Tahmin!$C$4+34),0))))&lt;=(Tahmin!$C$4+34),DATE(YEAR((Tahmin!$C$4+34)),MONTH((Tahmin!$C$4+34)),MIN(DAY(Kalemler!$D25),DAY(EOMONTH((Tahmin!$C$4+34),0))))&lt;&gt;DATE(YEAR((Tahmin!$C$4+28)),MONTH((Tahmin!$C$4+28)),MIN(DAY(Kalemler!$D25),DAY(EOMONTH((Tahmin!$C$4+28),0)))),DATE(YEAR((Tahmin!$C$4+34)),MONTH((Tahmin!$C$4+34)),MIN(DAY(Kalemler!$D25),DAY(EOMONTH((Tahmin!$C$4+34),0))))&gt;=Kalemler!$D25)),1,0),IF(AND(Kalemler!$D25&gt;=(Tahmin!$C$4+28),Kalemler!$D25&lt;=(Tahmin!$C$4+34)),1,0))))</f>
        <v>0</v>
      </c>
      <c r="G25" s="0" t="n">
        <f aca="false">IF(OR(Kalemler!$A25="",Kalemler!$C25="",Kalemler!$D25=""),0,Kalemler!$C25*IF(Kalemler!$E25="Haftalık",IF(Kalemler!$D25&lt;=(Tahmin!$C$4+41),1,0),IF(Kalemler!$E25="Aylık",IF(OR(AND(DATE(YEAR((Tahmin!$C$4+35)),MONTH((Tahmin!$C$4+35)),MIN(DAY(Kalemler!$D25),DAY(EOMONTH((Tahmin!$C$4+35),0))))&gt;=(Tahmin!$C$4+35),DATE(YEAR((Tahmin!$C$4+35)),MONTH((Tahmin!$C$4+35)),MIN(DAY(Kalemler!$D25),DAY(EOMONTH((Tahmin!$C$4+35),0))))&lt;=(Tahmin!$C$4+41),DATE(YEAR((Tahmin!$C$4+35)),MONTH((Tahmin!$C$4+35)),MIN(DAY(Kalemler!$D25),DAY(EOMONTH((Tahmin!$C$4+35),0))))&gt;=Kalemler!$D25),AND(DATE(YEAR((Tahmin!$C$4+41)),MONTH((Tahmin!$C$4+41)),MIN(DAY(Kalemler!$D25),DAY(EOMONTH((Tahmin!$C$4+41),0))))&gt;=(Tahmin!$C$4+35),DATE(YEAR((Tahmin!$C$4+41)),MONTH((Tahmin!$C$4+41)),MIN(DAY(Kalemler!$D25),DAY(EOMONTH((Tahmin!$C$4+41),0))))&lt;=(Tahmin!$C$4+41),DATE(YEAR((Tahmin!$C$4+41)),MONTH((Tahmin!$C$4+41)),MIN(DAY(Kalemler!$D25),DAY(EOMONTH((Tahmin!$C$4+41),0))))&lt;&gt;DATE(YEAR((Tahmin!$C$4+35)),MONTH((Tahmin!$C$4+35)),MIN(DAY(Kalemler!$D25),DAY(EOMONTH((Tahmin!$C$4+35),0)))),DATE(YEAR((Tahmin!$C$4+41)),MONTH((Tahmin!$C$4+41)),MIN(DAY(Kalemler!$D25),DAY(EOMONTH((Tahmin!$C$4+41),0))))&gt;=Kalemler!$D25)),1,0),IF(AND(Kalemler!$D25&gt;=(Tahmin!$C$4+35),Kalemler!$D25&lt;=(Tahmin!$C$4+41)),1,0))))</f>
        <v>0</v>
      </c>
      <c r="H25" s="0" t="n">
        <f aca="false">IF(OR(Kalemler!$A25="",Kalemler!$C25="",Kalemler!$D25=""),0,Kalemler!$C25*IF(Kalemler!$E25="Haftalık",IF(Kalemler!$D25&lt;=(Tahmin!$C$4+48),1,0),IF(Kalemler!$E25="Aylık",IF(OR(AND(DATE(YEAR((Tahmin!$C$4+42)),MONTH((Tahmin!$C$4+42)),MIN(DAY(Kalemler!$D25),DAY(EOMONTH((Tahmin!$C$4+42),0))))&gt;=(Tahmin!$C$4+42),DATE(YEAR((Tahmin!$C$4+42)),MONTH((Tahmin!$C$4+42)),MIN(DAY(Kalemler!$D25),DAY(EOMONTH((Tahmin!$C$4+42),0))))&lt;=(Tahmin!$C$4+48),DATE(YEAR((Tahmin!$C$4+42)),MONTH((Tahmin!$C$4+42)),MIN(DAY(Kalemler!$D25),DAY(EOMONTH((Tahmin!$C$4+42),0))))&gt;=Kalemler!$D25),AND(DATE(YEAR((Tahmin!$C$4+48)),MONTH((Tahmin!$C$4+48)),MIN(DAY(Kalemler!$D25),DAY(EOMONTH((Tahmin!$C$4+48),0))))&gt;=(Tahmin!$C$4+42),DATE(YEAR((Tahmin!$C$4+48)),MONTH((Tahmin!$C$4+48)),MIN(DAY(Kalemler!$D25),DAY(EOMONTH((Tahmin!$C$4+48),0))))&lt;=(Tahmin!$C$4+48),DATE(YEAR((Tahmin!$C$4+48)),MONTH((Tahmin!$C$4+48)),MIN(DAY(Kalemler!$D25),DAY(EOMONTH((Tahmin!$C$4+48),0))))&lt;&gt;DATE(YEAR((Tahmin!$C$4+42)),MONTH((Tahmin!$C$4+42)),MIN(DAY(Kalemler!$D25),DAY(EOMONTH((Tahmin!$C$4+42),0)))),DATE(YEAR((Tahmin!$C$4+48)),MONTH((Tahmin!$C$4+48)),MIN(DAY(Kalemler!$D25),DAY(EOMONTH((Tahmin!$C$4+48),0))))&gt;=Kalemler!$D25)),1,0),IF(AND(Kalemler!$D25&gt;=(Tahmin!$C$4+42),Kalemler!$D25&lt;=(Tahmin!$C$4+48)),1,0))))</f>
        <v>0</v>
      </c>
      <c r="I25" s="0" t="n">
        <f aca="false">IF(OR(Kalemler!$A25="",Kalemler!$C25="",Kalemler!$D25=""),0,Kalemler!$C25*IF(Kalemler!$E25="Haftalık",IF(Kalemler!$D25&lt;=(Tahmin!$C$4+55),1,0),IF(Kalemler!$E25="Aylık",IF(OR(AND(DATE(YEAR((Tahmin!$C$4+49)),MONTH((Tahmin!$C$4+49)),MIN(DAY(Kalemler!$D25),DAY(EOMONTH((Tahmin!$C$4+49),0))))&gt;=(Tahmin!$C$4+49),DATE(YEAR((Tahmin!$C$4+49)),MONTH((Tahmin!$C$4+49)),MIN(DAY(Kalemler!$D25),DAY(EOMONTH((Tahmin!$C$4+49),0))))&lt;=(Tahmin!$C$4+55),DATE(YEAR((Tahmin!$C$4+49)),MONTH((Tahmin!$C$4+49)),MIN(DAY(Kalemler!$D25),DAY(EOMONTH((Tahmin!$C$4+49),0))))&gt;=Kalemler!$D25),AND(DATE(YEAR((Tahmin!$C$4+55)),MONTH((Tahmin!$C$4+55)),MIN(DAY(Kalemler!$D25),DAY(EOMONTH((Tahmin!$C$4+55),0))))&gt;=(Tahmin!$C$4+49),DATE(YEAR((Tahmin!$C$4+55)),MONTH((Tahmin!$C$4+55)),MIN(DAY(Kalemler!$D25),DAY(EOMONTH((Tahmin!$C$4+55),0))))&lt;=(Tahmin!$C$4+55),DATE(YEAR((Tahmin!$C$4+55)),MONTH((Tahmin!$C$4+55)),MIN(DAY(Kalemler!$D25),DAY(EOMONTH((Tahmin!$C$4+55),0))))&lt;&gt;DATE(YEAR((Tahmin!$C$4+49)),MONTH((Tahmin!$C$4+49)),MIN(DAY(Kalemler!$D25),DAY(EOMONTH((Tahmin!$C$4+49),0)))),DATE(YEAR((Tahmin!$C$4+55)),MONTH((Tahmin!$C$4+55)),MIN(DAY(Kalemler!$D25),DAY(EOMONTH((Tahmin!$C$4+55),0))))&gt;=Kalemler!$D25)),1,0),IF(AND(Kalemler!$D25&gt;=(Tahmin!$C$4+49),Kalemler!$D25&lt;=(Tahmin!$C$4+55)),1,0))))</f>
        <v>0</v>
      </c>
      <c r="J25" s="0" t="n">
        <f aca="false">IF(OR(Kalemler!$A25="",Kalemler!$C25="",Kalemler!$D25=""),0,Kalemler!$C25*IF(Kalemler!$E25="Haftalık",IF(Kalemler!$D25&lt;=(Tahmin!$C$4+62),1,0),IF(Kalemler!$E25="Aylık",IF(OR(AND(DATE(YEAR((Tahmin!$C$4+56)),MONTH((Tahmin!$C$4+56)),MIN(DAY(Kalemler!$D25),DAY(EOMONTH((Tahmin!$C$4+56),0))))&gt;=(Tahmin!$C$4+56),DATE(YEAR((Tahmin!$C$4+56)),MONTH((Tahmin!$C$4+56)),MIN(DAY(Kalemler!$D25),DAY(EOMONTH((Tahmin!$C$4+56),0))))&lt;=(Tahmin!$C$4+62),DATE(YEAR((Tahmin!$C$4+56)),MONTH((Tahmin!$C$4+56)),MIN(DAY(Kalemler!$D25),DAY(EOMONTH((Tahmin!$C$4+56),0))))&gt;=Kalemler!$D25),AND(DATE(YEAR((Tahmin!$C$4+62)),MONTH((Tahmin!$C$4+62)),MIN(DAY(Kalemler!$D25),DAY(EOMONTH((Tahmin!$C$4+62),0))))&gt;=(Tahmin!$C$4+56),DATE(YEAR((Tahmin!$C$4+62)),MONTH((Tahmin!$C$4+62)),MIN(DAY(Kalemler!$D25),DAY(EOMONTH((Tahmin!$C$4+62),0))))&lt;=(Tahmin!$C$4+62),DATE(YEAR((Tahmin!$C$4+62)),MONTH((Tahmin!$C$4+62)),MIN(DAY(Kalemler!$D25),DAY(EOMONTH((Tahmin!$C$4+62),0))))&lt;&gt;DATE(YEAR((Tahmin!$C$4+56)),MONTH((Tahmin!$C$4+56)),MIN(DAY(Kalemler!$D25),DAY(EOMONTH((Tahmin!$C$4+56),0)))),DATE(YEAR((Tahmin!$C$4+62)),MONTH((Tahmin!$C$4+62)),MIN(DAY(Kalemler!$D25),DAY(EOMONTH((Tahmin!$C$4+62),0))))&gt;=Kalemler!$D25)),1,0),IF(AND(Kalemler!$D25&gt;=(Tahmin!$C$4+56),Kalemler!$D25&lt;=(Tahmin!$C$4+62)),1,0))))</f>
        <v>0</v>
      </c>
      <c r="K25" s="0" t="n">
        <f aca="false">IF(OR(Kalemler!$A25="",Kalemler!$C25="",Kalemler!$D25=""),0,Kalemler!$C25*IF(Kalemler!$E25="Haftalık",IF(Kalemler!$D25&lt;=(Tahmin!$C$4+69),1,0),IF(Kalemler!$E25="Aylık",IF(OR(AND(DATE(YEAR((Tahmin!$C$4+63)),MONTH((Tahmin!$C$4+63)),MIN(DAY(Kalemler!$D25),DAY(EOMONTH((Tahmin!$C$4+63),0))))&gt;=(Tahmin!$C$4+63),DATE(YEAR((Tahmin!$C$4+63)),MONTH((Tahmin!$C$4+63)),MIN(DAY(Kalemler!$D25),DAY(EOMONTH((Tahmin!$C$4+63),0))))&lt;=(Tahmin!$C$4+69),DATE(YEAR((Tahmin!$C$4+63)),MONTH((Tahmin!$C$4+63)),MIN(DAY(Kalemler!$D25),DAY(EOMONTH((Tahmin!$C$4+63),0))))&gt;=Kalemler!$D25),AND(DATE(YEAR((Tahmin!$C$4+69)),MONTH((Tahmin!$C$4+69)),MIN(DAY(Kalemler!$D25),DAY(EOMONTH((Tahmin!$C$4+69),0))))&gt;=(Tahmin!$C$4+63),DATE(YEAR((Tahmin!$C$4+69)),MONTH((Tahmin!$C$4+69)),MIN(DAY(Kalemler!$D25),DAY(EOMONTH((Tahmin!$C$4+69),0))))&lt;=(Tahmin!$C$4+69),DATE(YEAR((Tahmin!$C$4+69)),MONTH((Tahmin!$C$4+69)),MIN(DAY(Kalemler!$D25),DAY(EOMONTH((Tahmin!$C$4+69),0))))&lt;&gt;DATE(YEAR((Tahmin!$C$4+63)),MONTH((Tahmin!$C$4+63)),MIN(DAY(Kalemler!$D25),DAY(EOMONTH((Tahmin!$C$4+63),0)))),DATE(YEAR((Tahmin!$C$4+69)),MONTH((Tahmin!$C$4+69)),MIN(DAY(Kalemler!$D25),DAY(EOMONTH((Tahmin!$C$4+69),0))))&gt;=Kalemler!$D25)),1,0),IF(AND(Kalemler!$D25&gt;=(Tahmin!$C$4+63),Kalemler!$D25&lt;=(Tahmin!$C$4+69)),1,0))))</f>
        <v>0</v>
      </c>
      <c r="L25" s="0" t="n">
        <f aca="false">IF(OR(Kalemler!$A25="",Kalemler!$C25="",Kalemler!$D25=""),0,Kalemler!$C25*IF(Kalemler!$E25="Haftalık",IF(Kalemler!$D25&lt;=(Tahmin!$C$4+76),1,0),IF(Kalemler!$E25="Aylık",IF(OR(AND(DATE(YEAR((Tahmin!$C$4+70)),MONTH((Tahmin!$C$4+70)),MIN(DAY(Kalemler!$D25),DAY(EOMONTH((Tahmin!$C$4+70),0))))&gt;=(Tahmin!$C$4+70),DATE(YEAR((Tahmin!$C$4+70)),MONTH((Tahmin!$C$4+70)),MIN(DAY(Kalemler!$D25),DAY(EOMONTH((Tahmin!$C$4+70),0))))&lt;=(Tahmin!$C$4+76),DATE(YEAR((Tahmin!$C$4+70)),MONTH((Tahmin!$C$4+70)),MIN(DAY(Kalemler!$D25),DAY(EOMONTH((Tahmin!$C$4+70),0))))&gt;=Kalemler!$D25),AND(DATE(YEAR((Tahmin!$C$4+76)),MONTH((Tahmin!$C$4+76)),MIN(DAY(Kalemler!$D25),DAY(EOMONTH((Tahmin!$C$4+76),0))))&gt;=(Tahmin!$C$4+70),DATE(YEAR((Tahmin!$C$4+76)),MONTH((Tahmin!$C$4+76)),MIN(DAY(Kalemler!$D25),DAY(EOMONTH((Tahmin!$C$4+76),0))))&lt;=(Tahmin!$C$4+76),DATE(YEAR((Tahmin!$C$4+76)),MONTH((Tahmin!$C$4+76)),MIN(DAY(Kalemler!$D25),DAY(EOMONTH((Tahmin!$C$4+76),0))))&lt;&gt;DATE(YEAR((Tahmin!$C$4+70)),MONTH((Tahmin!$C$4+70)),MIN(DAY(Kalemler!$D25),DAY(EOMONTH((Tahmin!$C$4+70),0)))),DATE(YEAR((Tahmin!$C$4+76)),MONTH((Tahmin!$C$4+76)),MIN(DAY(Kalemler!$D25),DAY(EOMONTH((Tahmin!$C$4+76),0))))&gt;=Kalemler!$D25)),1,0),IF(AND(Kalemler!$D25&gt;=(Tahmin!$C$4+70),Kalemler!$D25&lt;=(Tahmin!$C$4+76)),1,0))))</f>
        <v>0</v>
      </c>
      <c r="M25" s="0" t="n">
        <f aca="false">IF(OR(Kalemler!$A25="",Kalemler!$C25="",Kalemler!$D25=""),0,Kalemler!$C25*IF(Kalemler!$E25="Haftalık",IF(Kalemler!$D25&lt;=(Tahmin!$C$4+83),1,0),IF(Kalemler!$E25="Aylık",IF(OR(AND(DATE(YEAR((Tahmin!$C$4+77)),MONTH((Tahmin!$C$4+77)),MIN(DAY(Kalemler!$D25),DAY(EOMONTH((Tahmin!$C$4+77),0))))&gt;=(Tahmin!$C$4+77),DATE(YEAR((Tahmin!$C$4+77)),MONTH((Tahmin!$C$4+77)),MIN(DAY(Kalemler!$D25),DAY(EOMONTH((Tahmin!$C$4+77),0))))&lt;=(Tahmin!$C$4+83),DATE(YEAR((Tahmin!$C$4+77)),MONTH((Tahmin!$C$4+77)),MIN(DAY(Kalemler!$D25),DAY(EOMONTH((Tahmin!$C$4+77),0))))&gt;=Kalemler!$D25),AND(DATE(YEAR((Tahmin!$C$4+83)),MONTH((Tahmin!$C$4+83)),MIN(DAY(Kalemler!$D25),DAY(EOMONTH((Tahmin!$C$4+83),0))))&gt;=(Tahmin!$C$4+77),DATE(YEAR((Tahmin!$C$4+83)),MONTH((Tahmin!$C$4+83)),MIN(DAY(Kalemler!$D25),DAY(EOMONTH((Tahmin!$C$4+83),0))))&lt;=(Tahmin!$C$4+83),DATE(YEAR((Tahmin!$C$4+83)),MONTH((Tahmin!$C$4+83)),MIN(DAY(Kalemler!$D25),DAY(EOMONTH((Tahmin!$C$4+83),0))))&lt;&gt;DATE(YEAR((Tahmin!$C$4+77)),MONTH((Tahmin!$C$4+77)),MIN(DAY(Kalemler!$D25),DAY(EOMONTH((Tahmin!$C$4+77),0)))),DATE(YEAR((Tahmin!$C$4+83)),MONTH((Tahmin!$C$4+83)),MIN(DAY(Kalemler!$D25),DAY(EOMONTH((Tahmin!$C$4+83),0))))&gt;=Kalemler!$D25)),1,0),IF(AND(Kalemler!$D25&gt;=(Tahmin!$C$4+77),Kalemler!$D25&lt;=(Tahmin!$C$4+83)),1,0))))</f>
        <v>0</v>
      </c>
      <c r="N25" s="0" t="n">
        <f aca="false">IF(OR(Kalemler!$A25="",Kalemler!$C25="",Kalemler!$D25=""),0,Kalemler!$C25*IF(Kalemler!$E25="Haftalık",IF(Kalemler!$D25&lt;=(Tahmin!$C$4+90),1,0),IF(Kalemler!$E25="Aylık",IF(OR(AND(DATE(YEAR((Tahmin!$C$4+84)),MONTH((Tahmin!$C$4+84)),MIN(DAY(Kalemler!$D25),DAY(EOMONTH((Tahmin!$C$4+84),0))))&gt;=(Tahmin!$C$4+84),DATE(YEAR((Tahmin!$C$4+84)),MONTH((Tahmin!$C$4+84)),MIN(DAY(Kalemler!$D25),DAY(EOMONTH((Tahmin!$C$4+84),0))))&lt;=(Tahmin!$C$4+90),DATE(YEAR((Tahmin!$C$4+84)),MONTH((Tahmin!$C$4+84)),MIN(DAY(Kalemler!$D25),DAY(EOMONTH((Tahmin!$C$4+84),0))))&gt;=Kalemler!$D25),AND(DATE(YEAR((Tahmin!$C$4+90)),MONTH((Tahmin!$C$4+90)),MIN(DAY(Kalemler!$D25),DAY(EOMONTH((Tahmin!$C$4+90),0))))&gt;=(Tahmin!$C$4+84),DATE(YEAR((Tahmin!$C$4+90)),MONTH((Tahmin!$C$4+90)),MIN(DAY(Kalemler!$D25),DAY(EOMONTH((Tahmin!$C$4+90),0))))&lt;=(Tahmin!$C$4+90),DATE(YEAR((Tahmin!$C$4+90)),MONTH((Tahmin!$C$4+90)),MIN(DAY(Kalemler!$D25),DAY(EOMONTH((Tahmin!$C$4+90),0))))&lt;&gt;DATE(YEAR((Tahmin!$C$4+84)),MONTH((Tahmin!$C$4+84)),MIN(DAY(Kalemler!$D25),DAY(EOMONTH((Tahmin!$C$4+84),0)))),DATE(YEAR((Tahmin!$C$4+90)),MONTH((Tahmin!$C$4+90)),MIN(DAY(Kalemler!$D25),DAY(EOMONTH((Tahmin!$C$4+90),0))))&gt;=Kalemler!$D25)),1,0),IF(AND(Kalemler!$D25&gt;=(Tahmin!$C$4+84),Kalemler!$D25&lt;=(Tahmin!$C$4+90)),1,0))))</f>
        <v>0</v>
      </c>
    </row>
    <row r="26" customFormat="false" ht="15" hidden="false" customHeight="false" outlineLevel="0" collapsed="false">
      <c r="A26" s="0" t="str">
        <f aca="false">IF(Kalemler!A26="","",Kalemler!A26)</f>
        <v/>
      </c>
      <c r="B26" s="0" t="n">
        <f aca="false">IF(OR(Kalemler!$A26="",Kalemler!$C26="",Kalemler!$D26=""),0,Kalemler!$C26*IF(Kalemler!$E26="Haftalık",IF(Kalemler!$D26&lt;=(Tahmin!$C$4+6),1,0),IF(Kalemler!$E26="Aylık",IF(OR(AND(DATE(YEAR((Tahmin!$C$4+0)),MONTH((Tahmin!$C$4+0)),MIN(DAY(Kalemler!$D26),DAY(EOMONTH((Tahmin!$C$4+0),0))))&gt;=(Tahmin!$C$4+0),DATE(YEAR((Tahmin!$C$4+0)),MONTH((Tahmin!$C$4+0)),MIN(DAY(Kalemler!$D26),DAY(EOMONTH((Tahmin!$C$4+0),0))))&lt;=(Tahmin!$C$4+6),DATE(YEAR((Tahmin!$C$4+0)),MONTH((Tahmin!$C$4+0)),MIN(DAY(Kalemler!$D26),DAY(EOMONTH((Tahmin!$C$4+0),0))))&gt;=Kalemler!$D26),AND(DATE(YEAR((Tahmin!$C$4+6)),MONTH((Tahmin!$C$4+6)),MIN(DAY(Kalemler!$D26),DAY(EOMONTH((Tahmin!$C$4+6),0))))&gt;=(Tahmin!$C$4+0),DATE(YEAR((Tahmin!$C$4+6)),MONTH((Tahmin!$C$4+6)),MIN(DAY(Kalemler!$D26),DAY(EOMONTH((Tahmin!$C$4+6),0))))&lt;=(Tahmin!$C$4+6),DATE(YEAR((Tahmin!$C$4+6)),MONTH((Tahmin!$C$4+6)),MIN(DAY(Kalemler!$D26),DAY(EOMONTH((Tahmin!$C$4+6),0))))&lt;&gt;DATE(YEAR((Tahmin!$C$4+0)),MONTH((Tahmin!$C$4+0)),MIN(DAY(Kalemler!$D26),DAY(EOMONTH((Tahmin!$C$4+0),0)))),DATE(YEAR((Tahmin!$C$4+6)),MONTH((Tahmin!$C$4+6)),MIN(DAY(Kalemler!$D26),DAY(EOMONTH((Tahmin!$C$4+6),0))))&gt;=Kalemler!$D26)),1,0),IF(AND(Kalemler!$D26&gt;=(Tahmin!$C$4+0),Kalemler!$D26&lt;=(Tahmin!$C$4+6)),1,0))))</f>
        <v>0</v>
      </c>
      <c r="C26" s="0" t="n">
        <f aca="false">IF(OR(Kalemler!$A26="",Kalemler!$C26="",Kalemler!$D26=""),0,Kalemler!$C26*IF(Kalemler!$E26="Haftalık",IF(Kalemler!$D26&lt;=(Tahmin!$C$4+13),1,0),IF(Kalemler!$E26="Aylık",IF(OR(AND(DATE(YEAR((Tahmin!$C$4+7)),MONTH((Tahmin!$C$4+7)),MIN(DAY(Kalemler!$D26),DAY(EOMONTH((Tahmin!$C$4+7),0))))&gt;=(Tahmin!$C$4+7),DATE(YEAR((Tahmin!$C$4+7)),MONTH((Tahmin!$C$4+7)),MIN(DAY(Kalemler!$D26),DAY(EOMONTH((Tahmin!$C$4+7),0))))&lt;=(Tahmin!$C$4+13),DATE(YEAR((Tahmin!$C$4+7)),MONTH((Tahmin!$C$4+7)),MIN(DAY(Kalemler!$D26),DAY(EOMONTH((Tahmin!$C$4+7),0))))&gt;=Kalemler!$D26),AND(DATE(YEAR((Tahmin!$C$4+13)),MONTH((Tahmin!$C$4+13)),MIN(DAY(Kalemler!$D26),DAY(EOMONTH((Tahmin!$C$4+13),0))))&gt;=(Tahmin!$C$4+7),DATE(YEAR((Tahmin!$C$4+13)),MONTH((Tahmin!$C$4+13)),MIN(DAY(Kalemler!$D26),DAY(EOMONTH((Tahmin!$C$4+13),0))))&lt;=(Tahmin!$C$4+13),DATE(YEAR((Tahmin!$C$4+13)),MONTH((Tahmin!$C$4+13)),MIN(DAY(Kalemler!$D26),DAY(EOMONTH((Tahmin!$C$4+13),0))))&lt;&gt;DATE(YEAR((Tahmin!$C$4+7)),MONTH((Tahmin!$C$4+7)),MIN(DAY(Kalemler!$D26),DAY(EOMONTH((Tahmin!$C$4+7),0)))),DATE(YEAR((Tahmin!$C$4+13)),MONTH((Tahmin!$C$4+13)),MIN(DAY(Kalemler!$D26),DAY(EOMONTH((Tahmin!$C$4+13),0))))&gt;=Kalemler!$D26)),1,0),IF(AND(Kalemler!$D26&gt;=(Tahmin!$C$4+7),Kalemler!$D26&lt;=(Tahmin!$C$4+13)),1,0))))</f>
        <v>0</v>
      </c>
      <c r="D26" s="0" t="n">
        <f aca="false">IF(OR(Kalemler!$A26="",Kalemler!$C26="",Kalemler!$D26=""),0,Kalemler!$C26*IF(Kalemler!$E26="Haftalık",IF(Kalemler!$D26&lt;=(Tahmin!$C$4+20),1,0),IF(Kalemler!$E26="Aylık",IF(OR(AND(DATE(YEAR((Tahmin!$C$4+14)),MONTH((Tahmin!$C$4+14)),MIN(DAY(Kalemler!$D26),DAY(EOMONTH((Tahmin!$C$4+14),0))))&gt;=(Tahmin!$C$4+14),DATE(YEAR((Tahmin!$C$4+14)),MONTH((Tahmin!$C$4+14)),MIN(DAY(Kalemler!$D26),DAY(EOMONTH((Tahmin!$C$4+14),0))))&lt;=(Tahmin!$C$4+20),DATE(YEAR((Tahmin!$C$4+14)),MONTH((Tahmin!$C$4+14)),MIN(DAY(Kalemler!$D26),DAY(EOMONTH((Tahmin!$C$4+14),0))))&gt;=Kalemler!$D26),AND(DATE(YEAR((Tahmin!$C$4+20)),MONTH((Tahmin!$C$4+20)),MIN(DAY(Kalemler!$D26),DAY(EOMONTH((Tahmin!$C$4+20),0))))&gt;=(Tahmin!$C$4+14),DATE(YEAR((Tahmin!$C$4+20)),MONTH((Tahmin!$C$4+20)),MIN(DAY(Kalemler!$D26),DAY(EOMONTH((Tahmin!$C$4+20),0))))&lt;=(Tahmin!$C$4+20),DATE(YEAR((Tahmin!$C$4+20)),MONTH((Tahmin!$C$4+20)),MIN(DAY(Kalemler!$D26),DAY(EOMONTH((Tahmin!$C$4+20),0))))&lt;&gt;DATE(YEAR((Tahmin!$C$4+14)),MONTH((Tahmin!$C$4+14)),MIN(DAY(Kalemler!$D26),DAY(EOMONTH((Tahmin!$C$4+14),0)))),DATE(YEAR((Tahmin!$C$4+20)),MONTH((Tahmin!$C$4+20)),MIN(DAY(Kalemler!$D26),DAY(EOMONTH((Tahmin!$C$4+20),0))))&gt;=Kalemler!$D26)),1,0),IF(AND(Kalemler!$D26&gt;=(Tahmin!$C$4+14),Kalemler!$D26&lt;=(Tahmin!$C$4+20)),1,0))))</f>
        <v>0</v>
      </c>
      <c r="E26" s="0" t="n">
        <f aca="false">IF(OR(Kalemler!$A26="",Kalemler!$C26="",Kalemler!$D26=""),0,Kalemler!$C26*IF(Kalemler!$E26="Haftalık",IF(Kalemler!$D26&lt;=(Tahmin!$C$4+27),1,0),IF(Kalemler!$E26="Aylık",IF(OR(AND(DATE(YEAR((Tahmin!$C$4+21)),MONTH((Tahmin!$C$4+21)),MIN(DAY(Kalemler!$D26),DAY(EOMONTH((Tahmin!$C$4+21),0))))&gt;=(Tahmin!$C$4+21),DATE(YEAR((Tahmin!$C$4+21)),MONTH((Tahmin!$C$4+21)),MIN(DAY(Kalemler!$D26),DAY(EOMONTH((Tahmin!$C$4+21),0))))&lt;=(Tahmin!$C$4+27),DATE(YEAR((Tahmin!$C$4+21)),MONTH((Tahmin!$C$4+21)),MIN(DAY(Kalemler!$D26),DAY(EOMONTH((Tahmin!$C$4+21),0))))&gt;=Kalemler!$D26),AND(DATE(YEAR((Tahmin!$C$4+27)),MONTH((Tahmin!$C$4+27)),MIN(DAY(Kalemler!$D26),DAY(EOMONTH((Tahmin!$C$4+27),0))))&gt;=(Tahmin!$C$4+21),DATE(YEAR((Tahmin!$C$4+27)),MONTH((Tahmin!$C$4+27)),MIN(DAY(Kalemler!$D26),DAY(EOMONTH((Tahmin!$C$4+27),0))))&lt;=(Tahmin!$C$4+27),DATE(YEAR((Tahmin!$C$4+27)),MONTH((Tahmin!$C$4+27)),MIN(DAY(Kalemler!$D26),DAY(EOMONTH((Tahmin!$C$4+27),0))))&lt;&gt;DATE(YEAR((Tahmin!$C$4+21)),MONTH((Tahmin!$C$4+21)),MIN(DAY(Kalemler!$D26),DAY(EOMONTH((Tahmin!$C$4+21),0)))),DATE(YEAR((Tahmin!$C$4+27)),MONTH((Tahmin!$C$4+27)),MIN(DAY(Kalemler!$D26),DAY(EOMONTH((Tahmin!$C$4+27),0))))&gt;=Kalemler!$D26)),1,0),IF(AND(Kalemler!$D26&gt;=(Tahmin!$C$4+21),Kalemler!$D26&lt;=(Tahmin!$C$4+27)),1,0))))</f>
        <v>0</v>
      </c>
      <c r="F26" s="0" t="n">
        <f aca="false">IF(OR(Kalemler!$A26="",Kalemler!$C26="",Kalemler!$D26=""),0,Kalemler!$C26*IF(Kalemler!$E26="Haftalık",IF(Kalemler!$D26&lt;=(Tahmin!$C$4+34),1,0),IF(Kalemler!$E26="Aylık",IF(OR(AND(DATE(YEAR((Tahmin!$C$4+28)),MONTH((Tahmin!$C$4+28)),MIN(DAY(Kalemler!$D26),DAY(EOMONTH((Tahmin!$C$4+28),0))))&gt;=(Tahmin!$C$4+28),DATE(YEAR((Tahmin!$C$4+28)),MONTH((Tahmin!$C$4+28)),MIN(DAY(Kalemler!$D26),DAY(EOMONTH((Tahmin!$C$4+28),0))))&lt;=(Tahmin!$C$4+34),DATE(YEAR((Tahmin!$C$4+28)),MONTH((Tahmin!$C$4+28)),MIN(DAY(Kalemler!$D26),DAY(EOMONTH((Tahmin!$C$4+28),0))))&gt;=Kalemler!$D26),AND(DATE(YEAR((Tahmin!$C$4+34)),MONTH((Tahmin!$C$4+34)),MIN(DAY(Kalemler!$D26),DAY(EOMONTH((Tahmin!$C$4+34),0))))&gt;=(Tahmin!$C$4+28),DATE(YEAR((Tahmin!$C$4+34)),MONTH((Tahmin!$C$4+34)),MIN(DAY(Kalemler!$D26),DAY(EOMONTH((Tahmin!$C$4+34),0))))&lt;=(Tahmin!$C$4+34),DATE(YEAR((Tahmin!$C$4+34)),MONTH((Tahmin!$C$4+34)),MIN(DAY(Kalemler!$D26),DAY(EOMONTH((Tahmin!$C$4+34),0))))&lt;&gt;DATE(YEAR((Tahmin!$C$4+28)),MONTH((Tahmin!$C$4+28)),MIN(DAY(Kalemler!$D26),DAY(EOMONTH((Tahmin!$C$4+28),0)))),DATE(YEAR((Tahmin!$C$4+34)),MONTH((Tahmin!$C$4+34)),MIN(DAY(Kalemler!$D26),DAY(EOMONTH((Tahmin!$C$4+34),0))))&gt;=Kalemler!$D26)),1,0),IF(AND(Kalemler!$D26&gt;=(Tahmin!$C$4+28),Kalemler!$D26&lt;=(Tahmin!$C$4+34)),1,0))))</f>
        <v>0</v>
      </c>
      <c r="G26" s="0" t="n">
        <f aca="false">IF(OR(Kalemler!$A26="",Kalemler!$C26="",Kalemler!$D26=""),0,Kalemler!$C26*IF(Kalemler!$E26="Haftalık",IF(Kalemler!$D26&lt;=(Tahmin!$C$4+41),1,0),IF(Kalemler!$E26="Aylık",IF(OR(AND(DATE(YEAR((Tahmin!$C$4+35)),MONTH((Tahmin!$C$4+35)),MIN(DAY(Kalemler!$D26),DAY(EOMONTH((Tahmin!$C$4+35),0))))&gt;=(Tahmin!$C$4+35),DATE(YEAR((Tahmin!$C$4+35)),MONTH((Tahmin!$C$4+35)),MIN(DAY(Kalemler!$D26),DAY(EOMONTH((Tahmin!$C$4+35),0))))&lt;=(Tahmin!$C$4+41),DATE(YEAR((Tahmin!$C$4+35)),MONTH((Tahmin!$C$4+35)),MIN(DAY(Kalemler!$D26),DAY(EOMONTH((Tahmin!$C$4+35),0))))&gt;=Kalemler!$D26),AND(DATE(YEAR((Tahmin!$C$4+41)),MONTH((Tahmin!$C$4+41)),MIN(DAY(Kalemler!$D26),DAY(EOMONTH((Tahmin!$C$4+41),0))))&gt;=(Tahmin!$C$4+35),DATE(YEAR((Tahmin!$C$4+41)),MONTH((Tahmin!$C$4+41)),MIN(DAY(Kalemler!$D26),DAY(EOMONTH((Tahmin!$C$4+41),0))))&lt;=(Tahmin!$C$4+41),DATE(YEAR((Tahmin!$C$4+41)),MONTH((Tahmin!$C$4+41)),MIN(DAY(Kalemler!$D26),DAY(EOMONTH((Tahmin!$C$4+41),0))))&lt;&gt;DATE(YEAR((Tahmin!$C$4+35)),MONTH((Tahmin!$C$4+35)),MIN(DAY(Kalemler!$D26),DAY(EOMONTH((Tahmin!$C$4+35),0)))),DATE(YEAR((Tahmin!$C$4+41)),MONTH((Tahmin!$C$4+41)),MIN(DAY(Kalemler!$D26),DAY(EOMONTH((Tahmin!$C$4+41),0))))&gt;=Kalemler!$D26)),1,0),IF(AND(Kalemler!$D26&gt;=(Tahmin!$C$4+35),Kalemler!$D26&lt;=(Tahmin!$C$4+41)),1,0))))</f>
        <v>0</v>
      </c>
      <c r="H26" s="0" t="n">
        <f aca="false">IF(OR(Kalemler!$A26="",Kalemler!$C26="",Kalemler!$D26=""),0,Kalemler!$C26*IF(Kalemler!$E26="Haftalık",IF(Kalemler!$D26&lt;=(Tahmin!$C$4+48),1,0),IF(Kalemler!$E26="Aylık",IF(OR(AND(DATE(YEAR((Tahmin!$C$4+42)),MONTH((Tahmin!$C$4+42)),MIN(DAY(Kalemler!$D26),DAY(EOMONTH((Tahmin!$C$4+42),0))))&gt;=(Tahmin!$C$4+42),DATE(YEAR((Tahmin!$C$4+42)),MONTH((Tahmin!$C$4+42)),MIN(DAY(Kalemler!$D26),DAY(EOMONTH((Tahmin!$C$4+42),0))))&lt;=(Tahmin!$C$4+48),DATE(YEAR((Tahmin!$C$4+42)),MONTH((Tahmin!$C$4+42)),MIN(DAY(Kalemler!$D26),DAY(EOMONTH((Tahmin!$C$4+42),0))))&gt;=Kalemler!$D26),AND(DATE(YEAR((Tahmin!$C$4+48)),MONTH((Tahmin!$C$4+48)),MIN(DAY(Kalemler!$D26),DAY(EOMONTH((Tahmin!$C$4+48),0))))&gt;=(Tahmin!$C$4+42),DATE(YEAR((Tahmin!$C$4+48)),MONTH((Tahmin!$C$4+48)),MIN(DAY(Kalemler!$D26),DAY(EOMONTH((Tahmin!$C$4+48),0))))&lt;=(Tahmin!$C$4+48),DATE(YEAR((Tahmin!$C$4+48)),MONTH((Tahmin!$C$4+48)),MIN(DAY(Kalemler!$D26),DAY(EOMONTH((Tahmin!$C$4+48),0))))&lt;&gt;DATE(YEAR((Tahmin!$C$4+42)),MONTH((Tahmin!$C$4+42)),MIN(DAY(Kalemler!$D26),DAY(EOMONTH((Tahmin!$C$4+42),0)))),DATE(YEAR((Tahmin!$C$4+48)),MONTH((Tahmin!$C$4+48)),MIN(DAY(Kalemler!$D26),DAY(EOMONTH((Tahmin!$C$4+48),0))))&gt;=Kalemler!$D26)),1,0),IF(AND(Kalemler!$D26&gt;=(Tahmin!$C$4+42),Kalemler!$D26&lt;=(Tahmin!$C$4+48)),1,0))))</f>
        <v>0</v>
      </c>
      <c r="I26" s="0" t="n">
        <f aca="false">IF(OR(Kalemler!$A26="",Kalemler!$C26="",Kalemler!$D26=""),0,Kalemler!$C26*IF(Kalemler!$E26="Haftalık",IF(Kalemler!$D26&lt;=(Tahmin!$C$4+55),1,0),IF(Kalemler!$E26="Aylık",IF(OR(AND(DATE(YEAR((Tahmin!$C$4+49)),MONTH((Tahmin!$C$4+49)),MIN(DAY(Kalemler!$D26),DAY(EOMONTH((Tahmin!$C$4+49),0))))&gt;=(Tahmin!$C$4+49),DATE(YEAR((Tahmin!$C$4+49)),MONTH((Tahmin!$C$4+49)),MIN(DAY(Kalemler!$D26),DAY(EOMONTH((Tahmin!$C$4+49),0))))&lt;=(Tahmin!$C$4+55),DATE(YEAR((Tahmin!$C$4+49)),MONTH((Tahmin!$C$4+49)),MIN(DAY(Kalemler!$D26),DAY(EOMONTH((Tahmin!$C$4+49),0))))&gt;=Kalemler!$D26),AND(DATE(YEAR((Tahmin!$C$4+55)),MONTH((Tahmin!$C$4+55)),MIN(DAY(Kalemler!$D26),DAY(EOMONTH((Tahmin!$C$4+55),0))))&gt;=(Tahmin!$C$4+49),DATE(YEAR((Tahmin!$C$4+55)),MONTH((Tahmin!$C$4+55)),MIN(DAY(Kalemler!$D26),DAY(EOMONTH((Tahmin!$C$4+55),0))))&lt;=(Tahmin!$C$4+55),DATE(YEAR((Tahmin!$C$4+55)),MONTH((Tahmin!$C$4+55)),MIN(DAY(Kalemler!$D26),DAY(EOMONTH((Tahmin!$C$4+55),0))))&lt;&gt;DATE(YEAR((Tahmin!$C$4+49)),MONTH((Tahmin!$C$4+49)),MIN(DAY(Kalemler!$D26),DAY(EOMONTH((Tahmin!$C$4+49),0)))),DATE(YEAR((Tahmin!$C$4+55)),MONTH((Tahmin!$C$4+55)),MIN(DAY(Kalemler!$D26),DAY(EOMONTH((Tahmin!$C$4+55),0))))&gt;=Kalemler!$D26)),1,0),IF(AND(Kalemler!$D26&gt;=(Tahmin!$C$4+49),Kalemler!$D26&lt;=(Tahmin!$C$4+55)),1,0))))</f>
        <v>0</v>
      </c>
      <c r="J26" s="0" t="n">
        <f aca="false">IF(OR(Kalemler!$A26="",Kalemler!$C26="",Kalemler!$D26=""),0,Kalemler!$C26*IF(Kalemler!$E26="Haftalık",IF(Kalemler!$D26&lt;=(Tahmin!$C$4+62),1,0),IF(Kalemler!$E26="Aylık",IF(OR(AND(DATE(YEAR((Tahmin!$C$4+56)),MONTH((Tahmin!$C$4+56)),MIN(DAY(Kalemler!$D26),DAY(EOMONTH((Tahmin!$C$4+56),0))))&gt;=(Tahmin!$C$4+56),DATE(YEAR((Tahmin!$C$4+56)),MONTH((Tahmin!$C$4+56)),MIN(DAY(Kalemler!$D26),DAY(EOMONTH((Tahmin!$C$4+56),0))))&lt;=(Tahmin!$C$4+62),DATE(YEAR((Tahmin!$C$4+56)),MONTH((Tahmin!$C$4+56)),MIN(DAY(Kalemler!$D26),DAY(EOMONTH((Tahmin!$C$4+56),0))))&gt;=Kalemler!$D26),AND(DATE(YEAR((Tahmin!$C$4+62)),MONTH((Tahmin!$C$4+62)),MIN(DAY(Kalemler!$D26),DAY(EOMONTH((Tahmin!$C$4+62),0))))&gt;=(Tahmin!$C$4+56),DATE(YEAR((Tahmin!$C$4+62)),MONTH((Tahmin!$C$4+62)),MIN(DAY(Kalemler!$D26),DAY(EOMONTH((Tahmin!$C$4+62),0))))&lt;=(Tahmin!$C$4+62),DATE(YEAR((Tahmin!$C$4+62)),MONTH((Tahmin!$C$4+62)),MIN(DAY(Kalemler!$D26),DAY(EOMONTH((Tahmin!$C$4+62),0))))&lt;&gt;DATE(YEAR((Tahmin!$C$4+56)),MONTH((Tahmin!$C$4+56)),MIN(DAY(Kalemler!$D26),DAY(EOMONTH((Tahmin!$C$4+56),0)))),DATE(YEAR((Tahmin!$C$4+62)),MONTH((Tahmin!$C$4+62)),MIN(DAY(Kalemler!$D26),DAY(EOMONTH((Tahmin!$C$4+62),0))))&gt;=Kalemler!$D26)),1,0),IF(AND(Kalemler!$D26&gt;=(Tahmin!$C$4+56),Kalemler!$D26&lt;=(Tahmin!$C$4+62)),1,0))))</f>
        <v>0</v>
      </c>
      <c r="K26" s="0" t="n">
        <f aca="false">IF(OR(Kalemler!$A26="",Kalemler!$C26="",Kalemler!$D26=""),0,Kalemler!$C26*IF(Kalemler!$E26="Haftalık",IF(Kalemler!$D26&lt;=(Tahmin!$C$4+69),1,0),IF(Kalemler!$E26="Aylık",IF(OR(AND(DATE(YEAR((Tahmin!$C$4+63)),MONTH((Tahmin!$C$4+63)),MIN(DAY(Kalemler!$D26),DAY(EOMONTH((Tahmin!$C$4+63),0))))&gt;=(Tahmin!$C$4+63),DATE(YEAR((Tahmin!$C$4+63)),MONTH((Tahmin!$C$4+63)),MIN(DAY(Kalemler!$D26),DAY(EOMONTH((Tahmin!$C$4+63),0))))&lt;=(Tahmin!$C$4+69),DATE(YEAR((Tahmin!$C$4+63)),MONTH((Tahmin!$C$4+63)),MIN(DAY(Kalemler!$D26),DAY(EOMONTH((Tahmin!$C$4+63),0))))&gt;=Kalemler!$D26),AND(DATE(YEAR((Tahmin!$C$4+69)),MONTH((Tahmin!$C$4+69)),MIN(DAY(Kalemler!$D26),DAY(EOMONTH((Tahmin!$C$4+69),0))))&gt;=(Tahmin!$C$4+63),DATE(YEAR((Tahmin!$C$4+69)),MONTH((Tahmin!$C$4+69)),MIN(DAY(Kalemler!$D26),DAY(EOMONTH((Tahmin!$C$4+69),0))))&lt;=(Tahmin!$C$4+69),DATE(YEAR((Tahmin!$C$4+69)),MONTH((Tahmin!$C$4+69)),MIN(DAY(Kalemler!$D26),DAY(EOMONTH((Tahmin!$C$4+69),0))))&lt;&gt;DATE(YEAR((Tahmin!$C$4+63)),MONTH((Tahmin!$C$4+63)),MIN(DAY(Kalemler!$D26),DAY(EOMONTH((Tahmin!$C$4+63),0)))),DATE(YEAR((Tahmin!$C$4+69)),MONTH((Tahmin!$C$4+69)),MIN(DAY(Kalemler!$D26),DAY(EOMONTH((Tahmin!$C$4+69),0))))&gt;=Kalemler!$D26)),1,0),IF(AND(Kalemler!$D26&gt;=(Tahmin!$C$4+63),Kalemler!$D26&lt;=(Tahmin!$C$4+69)),1,0))))</f>
        <v>0</v>
      </c>
      <c r="L26" s="0" t="n">
        <f aca="false">IF(OR(Kalemler!$A26="",Kalemler!$C26="",Kalemler!$D26=""),0,Kalemler!$C26*IF(Kalemler!$E26="Haftalık",IF(Kalemler!$D26&lt;=(Tahmin!$C$4+76),1,0),IF(Kalemler!$E26="Aylık",IF(OR(AND(DATE(YEAR((Tahmin!$C$4+70)),MONTH((Tahmin!$C$4+70)),MIN(DAY(Kalemler!$D26),DAY(EOMONTH((Tahmin!$C$4+70),0))))&gt;=(Tahmin!$C$4+70),DATE(YEAR((Tahmin!$C$4+70)),MONTH((Tahmin!$C$4+70)),MIN(DAY(Kalemler!$D26),DAY(EOMONTH((Tahmin!$C$4+70),0))))&lt;=(Tahmin!$C$4+76),DATE(YEAR((Tahmin!$C$4+70)),MONTH((Tahmin!$C$4+70)),MIN(DAY(Kalemler!$D26),DAY(EOMONTH((Tahmin!$C$4+70),0))))&gt;=Kalemler!$D26),AND(DATE(YEAR((Tahmin!$C$4+76)),MONTH((Tahmin!$C$4+76)),MIN(DAY(Kalemler!$D26),DAY(EOMONTH((Tahmin!$C$4+76),0))))&gt;=(Tahmin!$C$4+70),DATE(YEAR((Tahmin!$C$4+76)),MONTH((Tahmin!$C$4+76)),MIN(DAY(Kalemler!$D26),DAY(EOMONTH((Tahmin!$C$4+76),0))))&lt;=(Tahmin!$C$4+76),DATE(YEAR((Tahmin!$C$4+76)),MONTH((Tahmin!$C$4+76)),MIN(DAY(Kalemler!$D26),DAY(EOMONTH((Tahmin!$C$4+76),0))))&lt;&gt;DATE(YEAR((Tahmin!$C$4+70)),MONTH((Tahmin!$C$4+70)),MIN(DAY(Kalemler!$D26),DAY(EOMONTH((Tahmin!$C$4+70),0)))),DATE(YEAR((Tahmin!$C$4+76)),MONTH((Tahmin!$C$4+76)),MIN(DAY(Kalemler!$D26),DAY(EOMONTH((Tahmin!$C$4+76),0))))&gt;=Kalemler!$D26)),1,0),IF(AND(Kalemler!$D26&gt;=(Tahmin!$C$4+70),Kalemler!$D26&lt;=(Tahmin!$C$4+76)),1,0))))</f>
        <v>0</v>
      </c>
      <c r="M26" s="0" t="n">
        <f aca="false">IF(OR(Kalemler!$A26="",Kalemler!$C26="",Kalemler!$D26=""),0,Kalemler!$C26*IF(Kalemler!$E26="Haftalık",IF(Kalemler!$D26&lt;=(Tahmin!$C$4+83),1,0),IF(Kalemler!$E26="Aylık",IF(OR(AND(DATE(YEAR((Tahmin!$C$4+77)),MONTH((Tahmin!$C$4+77)),MIN(DAY(Kalemler!$D26),DAY(EOMONTH((Tahmin!$C$4+77),0))))&gt;=(Tahmin!$C$4+77),DATE(YEAR((Tahmin!$C$4+77)),MONTH((Tahmin!$C$4+77)),MIN(DAY(Kalemler!$D26),DAY(EOMONTH((Tahmin!$C$4+77),0))))&lt;=(Tahmin!$C$4+83),DATE(YEAR((Tahmin!$C$4+77)),MONTH((Tahmin!$C$4+77)),MIN(DAY(Kalemler!$D26),DAY(EOMONTH((Tahmin!$C$4+77),0))))&gt;=Kalemler!$D26),AND(DATE(YEAR((Tahmin!$C$4+83)),MONTH((Tahmin!$C$4+83)),MIN(DAY(Kalemler!$D26),DAY(EOMONTH((Tahmin!$C$4+83),0))))&gt;=(Tahmin!$C$4+77),DATE(YEAR((Tahmin!$C$4+83)),MONTH((Tahmin!$C$4+83)),MIN(DAY(Kalemler!$D26),DAY(EOMONTH((Tahmin!$C$4+83),0))))&lt;=(Tahmin!$C$4+83),DATE(YEAR((Tahmin!$C$4+83)),MONTH((Tahmin!$C$4+83)),MIN(DAY(Kalemler!$D26),DAY(EOMONTH((Tahmin!$C$4+83),0))))&lt;&gt;DATE(YEAR((Tahmin!$C$4+77)),MONTH((Tahmin!$C$4+77)),MIN(DAY(Kalemler!$D26),DAY(EOMONTH((Tahmin!$C$4+77),0)))),DATE(YEAR((Tahmin!$C$4+83)),MONTH((Tahmin!$C$4+83)),MIN(DAY(Kalemler!$D26),DAY(EOMONTH((Tahmin!$C$4+83),0))))&gt;=Kalemler!$D26)),1,0),IF(AND(Kalemler!$D26&gt;=(Tahmin!$C$4+77),Kalemler!$D26&lt;=(Tahmin!$C$4+83)),1,0))))</f>
        <v>0</v>
      </c>
      <c r="N26" s="0" t="n">
        <f aca="false">IF(OR(Kalemler!$A26="",Kalemler!$C26="",Kalemler!$D26=""),0,Kalemler!$C26*IF(Kalemler!$E26="Haftalık",IF(Kalemler!$D26&lt;=(Tahmin!$C$4+90),1,0),IF(Kalemler!$E26="Aylık",IF(OR(AND(DATE(YEAR((Tahmin!$C$4+84)),MONTH((Tahmin!$C$4+84)),MIN(DAY(Kalemler!$D26),DAY(EOMONTH((Tahmin!$C$4+84),0))))&gt;=(Tahmin!$C$4+84),DATE(YEAR((Tahmin!$C$4+84)),MONTH((Tahmin!$C$4+84)),MIN(DAY(Kalemler!$D26),DAY(EOMONTH((Tahmin!$C$4+84),0))))&lt;=(Tahmin!$C$4+90),DATE(YEAR((Tahmin!$C$4+84)),MONTH((Tahmin!$C$4+84)),MIN(DAY(Kalemler!$D26),DAY(EOMONTH((Tahmin!$C$4+84),0))))&gt;=Kalemler!$D26),AND(DATE(YEAR((Tahmin!$C$4+90)),MONTH((Tahmin!$C$4+90)),MIN(DAY(Kalemler!$D26),DAY(EOMONTH((Tahmin!$C$4+90),0))))&gt;=(Tahmin!$C$4+84),DATE(YEAR((Tahmin!$C$4+90)),MONTH((Tahmin!$C$4+90)),MIN(DAY(Kalemler!$D26),DAY(EOMONTH((Tahmin!$C$4+90),0))))&lt;=(Tahmin!$C$4+90),DATE(YEAR((Tahmin!$C$4+90)),MONTH((Tahmin!$C$4+90)),MIN(DAY(Kalemler!$D26),DAY(EOMONTH((Tahmin!$C$4+90),0))))&lt;&gt;DATE(YEAR((Tahmin!$C$4+84)),MONTH((Tahmin!$C$4+84)),MIN(DAY(Kalemler!$D26),DAY(EOMONTH((Tahmin!$C$4+84),0)))),DATE(YEAR((Tahmin!$C$4+90)),MONTH((Tahmin!$C$4+90)),MIN(DAY(Kalemler!$D26),DAY(EOMONTH((Tahmin!$C$4+90),0))))&gt;=Kalemler!$D26)),1,0),IF(AND(Kalemler!$D26&gt;=(Tahmin!$C$4+84),Kalemler!$D26&lt;=(Tahmin!$C$4+90)),1,0))))</f>
        <v>0</v>
      </c>
    </row>
    <row r="27" customFormat="false" ht="15" hidden="false" customHeight="false" outlineLevel="0" collapsed="false">
      <c r="A27" s="0" t="str">
        <f aca="false">IF(Kalemler!A27="","",Kalemler!A27)</f>
        <v/>
      </c>
      <c r="B27" s="0" t="n">
        <f aca="false">IF(OR(Kalemler!$A27="",Kalemler!$C27="",Kalemler!$D27=""),0,Kalemler!$C27*IF(Kalemler!$E27="Haftalık",IF(Kalemler!$D27&lt;=(Tahmin!$C$4+6),1,0),IF(Kalemler!$E27="Aylık",IF(OR(AND(DATE(YEAR((Tahmin!$C$4+0)),MONTH((Tahmin!$C$4+0)),MIN(DAY(Kalemler!$D27),DAY(EOMONTH((Tahmin!$C$4+0),0))))&gt;=(Tahmin!$C$4+0),DATE(YEAR((Tahmin!$C$4+0)),MONTH((Tahmin!$C$4+0)),MIN(DAY(Kalemler!$D27),DAY(EOMONTH((Tahmin!$C$4+0),0))))&lt;=(Tahmin!$C$4+6),DATE(YEAR((Tahmin!$C$4+0)),MONTH((Tahmin!$C$4+0)),MIN(DAY(Kalemler!$D27),DAY(EOMONTH((Tahmin!$C$4+0),0))))&gt;=Kalemler!$D27),AND(DATE(YEAR((Tahmin!$C$4+6)),MONTH((Tahmin!$C$4+6)),MIN(DAY(Kalemler!$D27),DAY(EOMONTH((Tahmin!$C$4+6),0))))&gt;=(Tahmin!$C$4+0),DATE(YEAR((Tahmin!$C$4+6)),MONTH((Tahmin!$C$4+6)),MIN(DAY(Kalemler!$D27),DAY(EOMONTH((Tahmin!$C$4+6),0))))&lt;=(Tahmin!$C$4+6),DATE(YEAR((Tahmin!$C$4+6)),MONTH((Tahmin!$C$4+6)),MIN(DAY(Kalemler!$D27),DAY(EOMONTH((Tahmin!$C$4+6),0))))&lt;&gt;DATE(YEAR((Tahmin!$C$4+0)),MONTH((Tahmin!$C$4+0)),MIN(DAY(Kalemler!$D27),DAY(EOMONTH((Tahmin!$C$4+0),0)))),DATE(YEAR((Tahmin!$C$4+6)),MONTH((Tahmin!$C$4+6)),MIN(DAY(Kalemler!$D27),DAY(EOMONTH((Tahmin!$C$4+6),0))))&gt;=Kalemler!$D27)),1,0),IF(AND(Kalemler!$D27&gt;=(Tahmin!$C$4+0),Kalemler!$D27&lt;=(Tahmin!$C$4+6)),1,0))))</f>
        <v>0</v>
      </c>
      <c r="C27" s="0" t="n">
        <f aca="false">IF(OR(Kalemler!$A27="",Kalemler!$C27="",Kalemler!$D27=""),0,Kalemler!$C27*IF(Kalemler!$E27="Haftalık",IF(Kalemler!$D27&lt;=(Tahmin!$C$4+13),1,0),IF(Kalemler!$E27="Aylık",IF(OR(AND(DATE(YEAR((Tahmin!$C$4+7)),MONTH((Tahmin!$C$4+7)),MIN(DAY(Kalemler!$D27),DAY(EOMONTH((Tahmin!$C$4+7),0))))&gt;=(Tahmin!$C$4+7),DATE(YEAR((Tahmin!$C$4+7)),MONTH((Tahmin!$C$4+7)),MIN(DAY(Kalemler!$D27),DAY(EOMONTH((Tahmin!$C$4+7),0))))&lt;=(Tahmin!$C$4+13),DATE(YEAR((Tahmin!$C$4+7)),MONTH((Tahmin!$C$4+7)),MIN(DAY(Kalemler!$D27),DAY(EOMONTH((Tahmin!$C$4+7),0))))&gt;=Kalemler!$D27),AND(DATE(YEAR((Tahmin!$C$4+13)),MONTH((Tahmin!$C$4+13)),MIN(DAY(Kalemler!$D27),DAY(EOMONTH((Tahmin!$C$4+13),0))))&gt;=(Tahmin!$C$4+7),DATE(YEAR((Tahmin!$C$4+13)),MONTH((Tahmin!$C$4+13)),MIN(DAY(Kalemler!$D27),DAY(EOMONTH((Tahmin!$C$4+13),0))))&lt;=(Tahmin!$C$4+13),DATE(YEAR((Tahmin!$C$4+13)),MONTH((Tahmin!$C$4+13)),MIN(DAY(Kalemler!$D27),DAY(EOMONTH((Tahmin!$C$4+13),0))))&lt;&gt;DATE(YEAR((Tahmin!$C$4+7)),MONTH((Tahmin!$C$4+7)),MIN(DAY(Kalemler!$D27),DAY(EOMONTH((Tahmin!$C$4+7),0)))),DATE(YEAR((Tahmin!$C$4+13)),MONTH((Tahmin!$C$4+13)),MIN(DAY(Kalemler!$D27),DAY(EOMONTH((Tahmin!$C$4+13),0))))&gt;=Kalemler!$D27)),1,0),IF(AND(Kalemler!$D27&gt;=(Tahmin!$C$4+7),Kalemler!$D27&lt;=(Tahmin!$C$4+13)),1,0))))</f>
        <v>0</v>
      </c>
      <c r="D27" s="0" t="n">
        <f aca="false">IF(OR(Kalemler!$A27="",Kalemler!$C27="",Kalemler!$D27=""),0,Kalemler!$C27*IF(Kalemler!$E27="Haftalık",IF(Kalemler!$D27&lt;=(Tahmin!$C$4+20),1,0),IF(Kalemler!$E27="Aylık",IF(OR(AND(DATE(YEAR((Tahmin!$C$4+14)),MONTH((Tahmin!$C$4+14)),MIN(DAY(Kalemler!$D27),DAY(EOMONTH((Tahmin!$C$4+14),0))))&gt;=(Tahmin!$C$4+14),DATE(YEAR((Tahmin!$C$4+14)),MONTH((Tahmin!$C$4+14)),MIN(DAY(Kalemler!$D27),DAY(EOMONTH((Tahmin!$C$4+14),0))))&lt;=(Tahmin!$C$4+20),DATE(YEAR((Tahmin!$C$4+14)),MONTH((Tahmin!$C$4+14)),MIN(DAY(Kalemler!$D27),DAY(EOMONTH((Tahmin!$C$4+14),0))))&gt;=Kalemler!$D27),AND(DATE(YEAR((Tahmin!$C$4+20)),MONTH((Tahmin!$C$4+20)),MIN(DAY(Kalemler!$D27),DAY(EOMONTH((Tahmin!$C$4+20),0))))&gt;=(Tahmin!$C$4+14),DATE(YEAR((Tahmin!$C$4+20)),MONTH((Tahmin!$C$4+20)),MIN(DAY(Kalemler!$D27),DAY(EOMONTH((Tahmin!$C$4+20),0))))&lt;=(Tahmin!$C$4+20),DATE(YEAR((Tahmin!$C$4+20)),MONTH((Tahmin!$C$4+20)),MIN(DAY(Kalemler!$D27),DAY(EOMONTH((Tahmin!$C$4+20),0))))&lt;&gt;DATE(YEAR((Tahmin!$C$4+14)),MONTH((Tahmin!$C$4+14)),MIN(DAY(Kalemler!$D27),DAY(EOMONTH((Tahmin!$C$4+14),0)))),DATE(YEAR((Tahmin!$C$4+20)),MONTH((Tahmin!$C$4+20)),MIN(DAY(Kalemler!$D27),DAY(EOMONTH((Tahmin!$C$4+20),0))))&gt;=Kalemler!$D27)),1,0),IF(AND(Kalemler!$D27&gt;=(Tahmin!$C$4+14),Kalemler!$D27&lt;=(Tahmin!$C$4+20)),1,0))))</f>
        <v>0</v>
      </c>
      <c r="E27" s="0" t="n">
        <f aca="false">IF(OR(Kalemler!$A27="",Kalemler!$C27="",Kalemler!$D27=""),0,Kalemler!$C27*IF(Kalemler!$E27="Haftalık",IF(Kalemler!$D27&lt;=(Tahmin!$C$4+27),1,0),IF(Kalemler!$E27="Aylık",IF(OR(AND(DATE(YEAR((Tahmin!$C$4+21)),MONTH((Tahmin!$C$4+21)),MIN(DAY(Kalemler!$D27),DAY(EOMONTH((Tahmin!$C$4+21),0))))&gt;=(Tahmin!$C$4+21),DATE(YEAR((Tahmin!$C$4+21)),MONTH((Tahmin!$C$4+21)),MIN(DAY(Kalemler!$D27),DAY(EOMONTH((Tahmin!$C$4+21),0))))&lt;=(Tahmin!$C$4+27),DATE(YEAR((Tahmin!$C$4+21)),MONTH((Tahmin!$C$4+21)),MIN(DAY(Kalemler!$D27),DAY(EOMONTH((Tahmin!$C$4+21),0))))&gt;=Kalemler!$D27),AND(DATE(YEAR((Tahmin!$C$4+27)),MONTH((Tahmin!$C$4+27)),MIN(DAY(Kalemler!$D27),DAY(EOMONTH((Tahmin!$C$4+27),0))))&gt;=(Tahmin!$C$4+21),DATE(YEAR((Tahmin!$C$4+27)),MONTH((Tahmin!$C$4+27)),MIN(DAY(Kalemler!$D27),DAY(EOMONTH((Tahmin!$C$4+27),0))))&lt;=(Tahmin!$C$4+27),DATE(YEAR((Tahmin!$C$4+27)),MONTH((Tahmin!$C$4+27)),MIN(DAY(Kalemler!$D27),DAY(EOMONTH((Tahmin!$C$4+27),0))))&lt;&gt;DATE(YEAR((Tahmin!$C$4+21)),MONTH((Tahmin!$C$4+21)),MIN(DAY(Kalemler!$D27),DAY(EOMONTH((Tahmin!$C$4+21),0)))),DATE(YEAR((Tahmin!$C$4+27)),MONTH((Tahmin!$C$4+27)),MIN(DAY(Kalemler!$D27),DAY(EOMONTH((Tahmin!$C$4+27),0))))&gt;=Kalemler!$D27)),1,0),IF(AND(Kalemler!$D27&gt;=(Tahmin!$C$4+21),Kalemler!$D27&lt;=(Tahmin!$C$4+27)),1,0))))</f>
        <v>0</v>
      </c>
      <c r="F27" s="0" t="n">
        <f aca="false">IF(OR(Kalemler!$A27="",Kalemler!$C27="",Kalemler!$D27=""),0,Kalemler!$C27*IF(Kalemler!$E27="Haftalık",IF(Kalemler!$D27&lt;=(Tahmin!$C$4+34),1,0),IF(Kalemler!$E27="Aylık",IF(OR(AND(DATE(YEAR((Tahmin!$C$4+28)),MONTH((Tahmin!$C$4+28)),MIN(DAY(Kalemler!$D27),DAY(EOMONTH((Tahmin!$C$4+28),0))))&gt;=(Tahmin!$C$4+28),DATE(YEAR((Tahmin!$C$4+28)),MONTH((Tahmin!$C$4+28)),MIN(DAY(Kalemler!$D27),DAY(EOMONTH((Tahmin!$C$4+28),0))))&lt;=(Tahmin!$C$4+34),DATE(YEAR((Tahmin!$C$4+28)),MONTH((Tahmin!$C$4+28)),MIN(DAY(Kalemler!$D27),DAY(EOMONTH((Tahmin!$C$4+28),0))))&gt;=Kalemler!$D27),AND(DATE(YEAR((Tahmin!$C$4+34)),MONTH((Tahmin!$C$4+34)),MIN(DAY(Kalemler!$D27),DAY(EOMONTH((Tahmin!$C$4+34),0))))&gt;=(Tahmin!$C$4+28),DATE(YEAR((Tahmin!$C$4+34)),MONTH((Tahmin!$C$4+34)),MIN(DAY(Kalemler!$D27),DAY(EOMONTH((Tahmin!$C$4+34),0))))&lt;=(Tahmin!$C$4+34),DATE(YEAR((Tahmin!$C$4+34)),MONTH((Tahmin!$C$4+34)),MIN(DAY(Kalemler!$D27),DAY(EOMONTH((Tahmin!$C$4+34),0))))&lt;&gt;DATE(YEAR((Tahmin!$C$4+28)),MONTH((Tahmin!$C$4+28)),MIN(DAY(Kalemler!$D27),DAY(EOMONTH((Tahmin!$C$4+28),0)))),DATE(YEAR((Tahmin!$C$4+34)),MONTH((Tahmin!$C$4+34)),MIN(DAY(Kalemler!$D27),DAY(EOMONTH((Tahmin!$C$4+34),0))))&gt;=Kalemler!$D27)),1,0),IF(AND(Kalemler!$D27&gt;=(Tahmin!$C$4+28),Kalemler!$D27&lt;=(Tahmin!$C$4+34)),1,0))))</f>
        <v>0</v>
      </c>
      <c r="G27" s="0" t="n">
        <f aca="false">IF(OR(Kalemler!$A27="",Kalemler!$C27="",Kalemler!$D27=""),0,Kalemler!$C27*IF(Kalemler!$E27="Haftalık",IF(Kalemler!$D27&lt;=(Tahmin!$C$4+41),1,0),IF(Kalemler!$E27="Aylık",IF(OR(AND(DATE(YEAR((Tahmin!$C$4+35)),MONTH((Tahmin!$C$4+35)),MIN(DAY(Kalemler!$D27),DAY(EOMONTH((Tahmin!$C$4+35),0))))&gt;=(Tahmin!$C$4+35),DATE(YEAR((Tahmin!$C$4+35)),MONTH((Tahmin!$C$4+35)),MIN(DAY(Kalemler!$D27),DAY(EOMONTH((Tahmin!$C$4+35),0))))&lt;=(Tahmin!$C$4+41),DATE(YEAR((Tahmin!$C$4+35)),MONTH((Tahmin!$C$4+35)),MIN(DAY(Kalemler!$D27),DAY(EOMONTH((Tahmin!$C$4+35),0))))&gt;=Kalemler!$D27),AND(DATE(YEAR((Tahmin!$C$4+41)),MONTH((Tahmin!$C$4+41)),MIN(DAY(Kalemler!$D27),DAY(EOMONTH((Tahmin!$C$4+41),0))))&gt;=(Tahmin!$C$4+35),DATE(YEAR((Tahmin!$C$4+41)),MONTH((Tahmin!$C$4+41)),MIN(DAY(Kalemler!$D27),DAY(EOMONTH((Tahmin!$C$4+41),0))))&lt;=(Tahmin!$C$4+41),DATE(YEAR((Tahmin!$C$4+41)),MONTH((Tahmin!$C$4+41)),MIN(DAY(Kalemler!$D27),DAY(EOMONTH((Tahmin!$C$4+41),0))))&lt;&gt;DATE(YEAR((Tahmin!$C$4+35)),MONTH((Tahmin!$C$4+35)),MIN(DAY(Kalemler!$D27),DAY(EOMONTH((Tahmin!$C$4+35),0)))),DATE(YEAR((Tahmin!$C$4+41)),MONTH((Tahmin!$C$4+41)),MIN(DAY(Kalemler!$D27),DAY(EOMONTH((Tahmin!$C$4+41),0))))&gt;=Kalemler!$D27)),1,0),IF(AND(Kalemler!$D27&gt;=(Tahmin!$C$4+35),Kalemler!$D27&lt;=(Tahmin!$C$4+41)),1,0))))</f>
        <v>0</v>
      </c>
      <c r="H27" s="0" t="n">
        <f aca="false">IF(OR(Kalemler!$A27="",Kalemler!$C27="",Kalemler!$D27=""),0,Kalemler!$C27*IF(Kalemler!$E27="Haftalık",IF(Kalemler!$D27&lt;=(Tahmin!$C$4+48),1,0),IF(Kalemler!$E27="Aylık",IF(OR(AND(DATE(YEAR((Tahmin!$C$4+42)),MONTH((Tahmin!$C$4+42)),MIN(DAY(Kalemler!$D27),DAY(EOMONTH((Tahmin!$C$4+42),0))))&gt;=(Tahmin!$C$4+42),DATE(YEAR((Tahmin!$C$4+42)),MONTH((Tahmin!$C$4+42)),MIN(DAY(Kalemler!$D27),DAY(EOMONTH((Tahmin!$C$4+42),0))))&lt;=(Tahmin!$C$4+48),DATE(YEAR((Tahmin!$C$4+42)),MONTH((Tahmin!$C$4+42)),MIN(DAY(Kalemler!$D27),DAY(EOMONTH((Tahmin!$C$4+42),0))))&gt;=Kalemler!$D27),AND(DATE(YEAR((Tahmin!$C$4+48)),MONTH((Tahmin!$C$4+48)),MIN(DAY(Kalemler!$D27),DAY(EOMONTH((Tahmin!$C$4+48),0))))&gt;=(Tahmin!$C$4+42),DATE(YEAR((Tahmin!$C$4+48)),MONTH((Tahmin!$C$4+48)),MIN(DAY(Kalemler!$D27),DAY(EOMONTH((Tahmin!$C$4+48),0))))&lt;=(Tahmin!$C$4+48),DATE(YEAR((Tahmin!$C$4+48)),MONTH((Tahmin!$C$4+48)),MIN(DAY(Kalemler!$D27),DAY(EOMONTH((Tahmin!$C$4+48),0))))&lt;&gt;DATE(YEAR((Tahmin!$C$4+42)),MONTH((Tahmin!$C$4+42)),MIN(DAY(Kalemler!$D27),DAY(EOMONTH((Tahmin!$C$4+42),0)))),DATE(YEAR((Tahmin!$C$4+48)),MONTH((Tahmin!$C$4+48)),MIN(DAY(Kalemler!$D27),DAY(EOMONTH((Tahmin!$C$4+48),0))))&gt;=Kalemler!$D27)),1,0),IF(AND(Kalemler!$D27&gt;=(Tahmin!$C$4+42),Kalemler!$D27&lt;=(Tahmin!$C$4+48)),1,0))))</f>
        <v>0</v>
      </c>
      <c r="I27" s="0" t="n">
        <f aca="false">IF(OR(Kalemler!$A27="",Kalemler!$C27="",Kalemler!$D27=""),0,Kalemler!$C27*IF(Kalemler!$E27="Haftalık",IF(Kalemler!$D27&lt;=(Tahmin!$C$4+55),1,0),IF(Kalemler!$E27="Aylık",IF(OR(AND(DATE(YEAR((Tahmin!$C$4+49)),MONTH((Tahmin!$C$4+49)),MIN(DAY(Kalemler!$D27),DAY(EOMONTH((Tahmin!$C$4+49),0))))&gt;=(Tahmin!$C$4+49),DATE(YEAR((Tahmin!$C$4+49)),MONTH((Tahmin!$C$4+49)),MIN(DAY(Kalemler!$D27),DAY(EOMONTH((Tahmin!$C$4+49),0))))&lt;=(Tahmin!$C$4+55),DATE(YEAR((Tahmin!$C$4+49)),MONTH((Tahmin!$C$4+49)),MIN(DAY(Kalemler!$D27),DAY(EOMONTH((Tahmin!$C$4+49),0))))&gt;=Kalemler!$D27),AND(DATE(YEAR((Tahmin!$C$4+55)),MONTH((Tahmin!$C$4+55)),MIN(DAY(Kalemler!$D27),DAY(EOMONTH((Tahmin!$C$4+55),0))))&gt;=(Tahmin!$C$4+49),DATE(YEAR((Tahmin!$C$4+55)),MONTH((Tahmin!$C$4+55)),MIN(DAY(Kalemler!$D27),DAY(EOMONTH((Tahmin!$C$4+55),0))))&lt;=(Tahmin!$C$4+55),DATE(YEAR((Tahmin!$C$4+55)),MONTH((Tahmin!$C$4+55)),MIN(DAY(Kalemler!$D27),DAY(EOMONTH((Tahmin!$C$4+55),0))))&lt;&gt;DATE(YEAR((Tahmin!$C$4+49)),MONTH((Tahmin!$C$4+49)),MIN(DAY(Kalemler!$D27),DAY(EOMONTH((Tahmin!$C$4+49),0)))),DATE(YEAR((Tahmin!$C$4+55)),MONTH((Tahmin!$C$4+55)),MIN(DAY(Kalemler!$D27),DAY(EOMONTH((Tahmin!$C$4+55),0))))&gt;=Kalemler!$D27)),1,0),IF(AND(Kalemler!$D27&gt;=(Tahmin!$C$4+49),Kalemler!$D27&lt;=(Tahmin!$C$4+55)),1,0))))</f>
        <v>0</v>
      </c>
      <c r="J27" s="0" t="n">
        <f aca="false">IF(OR(Kalemler!$A27="",Kalemler!$C27="",Kalemler!$D27=""),0,Kalemler!$C27*IF(Kalemler!$E27="Haftalık",IF(Kalemler!$D27&lt;=(Tahmin!$C$4+62),1,0),IF(Kalemler!$E27="Aylık",IF(OR(AND(DATE(YEAR((Tahmin!$C$4+56)),MONTH((Tahmin!$C$4+56)),MIN(DAY(Kalemler!$D27),DAY(EOMONTH((Tahmin!$C$4+56),0))))&gt;=(Tahmin!$C$4+56),DATE(YEAR((Tahmin!$C$4+56)),MONTH((Tahmin!$C$4+56)),MIN(DAY(Kalemler!$D27),DAY(EOMONTH((Tahmin!$C$4+56),0))))&lt;=(Tahmin!$C$4+62),DATE(YEAR((Tahmin!$C$4+56)),MONTH((Tahmin!$C$4+56)),MIN(DAY(Kalemler!$D27),DAY(EOMONTH((Tahmin!$C$4+56),0))))&gt;=Kalemler!$D27),AND(DATE(YEAR((Tahmin!$C$4+62)),MONTH((Tahmin!$C$4+62)),MIN(DAY(Kalemler!$D27),DAY(EOMONTH((Tahmin!$C$4+62),0))))&gt;=(Tahmin!$C$4+56),DATE(YEAR((Tahmin!$C$4+62)),MONTH((Tahmin!$C$4+62)),MIN(DAY(Kalemler!$D27),DAY(EOMONTH((Tahmin!$C$4+62),0))))&lt;=(Tahmin!$C$4+62),DATE(YEAR((Tahmin!$C$4+62)),MONTH((Tahmin!$C$4+62)),MIN(DAY(Kalemler!$D27),DAY(EOMONTH((Tahmin!$C$4+62),0))))&lt;&gt;DATE(YEAR((Tahmin!$C$4+56)),MONTH((Tahmin!$C$4+56)),MIN(DAY(Kalemler!$D27),DAY(EOMONTH((Tahmin!$C$4+56),0)))),DATE(YEAR((Tahmin!$C$4+62)),MONTH((Tahmin!$C$4+62)),MIN(DAY(Kalemler!$D27),DAY(EOMONTH((Tahmin!$C$4+62),0))))&gt;=Kalemler!$D27)),1,0),IF(AND(Kalemler!$D27&gt;=(Tahmin!$C$4+56),Kalemler!$D27&lt;=(Tahmin!$C$4+62)),1,0))))</f>
        <v>0</v>
      </c>
      <c r="K27" s="0" t="n">
        <f aca="false">IF(OR(Kalemler!$A27="",Kalemler!$C27="",Kalemler!$D27=""),0,Kalemler!$C27*IF(Kalemler!$E27="Haftalık",IF(Kalemler!$D27&lt;=(Tahmin!$C$4+69),1,0),IF(Kalemler!$E27="Aylık",IF(OR(AND(DATE(YEAR((Tahmin!$C$4+63)),MONTH((Tahmin!$C$4+63)),MIN(DAY(Kalemler!$D27),DAY(EOMONTH((Tahmin!$C$4+63),0))))&gt;=(Tahmin!$C$4+63),DATE(YEAR((Tahmin!$C$4+63)),MONTH((Tahmin!$C$4+63)),MIN(DAY(Kalemler!$D27),DAY(EOMONTH((Tahmin!$C$4+63),0))))&lt;=(Tahmin!$C$4+69),DATE(YEAR((Tahmin!$C$4+63)),MONTH((Tahmin!$C$4+63)),MIN(DAY(Kalemler!$D27),DAY(EOMONTH((Tahmin!$C$4+63),0))))&gt;=Kalemler!$D27),AND(DATE(YEAR((Tahmin!$C$4+69)),MONTH((Tahmin!$C$4+69)),MIN(DAY(Kalemler!$D27),DAY(EOMONTH((Tahmin!$C$4+69),0))))&gt;=(Tahmin!$C$4+63),DATE(YEAR((Tahmin!$C$4+69)),MONTH((Tahmin!$C$4+69)),MIN(DAY(Kalemler!$D27),DAY(EOMONTH((Tahmin!$C$4+69),0))))&lt;=(Tahmin!$C$4+69),DATE(YEAR((Tahmin!$C$4+69)),MONTH((Tahmin!$C$4+69)),MIN(DAY(Kalemler!$D27),DAY(EOMONTH((Tahmin!$C$4+69),0))))&lt;&gt;DATE(YEAR((Tahmin!$C$4+63)),MONTH((Tahmin!$C$4+63)),MIN(DAY(Kalemler!$D27),DAY(EOMONTH((Tahmin!$C$4+63),0)))),DATE(YEAR((Tahmin!$C$4+69)),MONTH((Tahmin!$C$4+69)),MIN(DAY(Kalemler!$D27),DAY(EOMONTH((Tahmin!$C$4+69),0))))&gt;=Kalemler!$D27)),1,0),IF(AND(Kalemler!$D27&gt;=(Tahmin!$C$4+63),Kalemler!$D27&lt;=(Tahmin!$C$4+69)),1,0))))</f>
        <v>0</v>
      </c>
      <c r="L27" s="0" t="n">
        <f aca="false">IF(OR(Kalemler!$A27="",Kalemler!$C27="",Kalemler!$D27=""),0,Kalemler!$C27*IF(Kalemler!$E27="Haftalık",IF(Kalemler!$D27&lt;=(Tahmin!$C$4+76),1,0),IF(Kalemler!$E27="Aylık",IF(OR(AND(DATE(YEAR((Tahmin!$C$4+70)),MONTH((Tahmin!$C$4+70)),MIN(DAY(Kalemler!$D27),DAY(EOMONTH((Tahmin!$C$4+70),0))))&gt;=(Tahmin!$C$4+70),DATE(YEAR((Tahmin!$C$4+70)),MONTH((Tahmin!$C$4+70)),MIN(DAY(Kalemler!$D27),DAY(EOMONTH((Tahmin!$C$4+70),0))))&lt;=(Tahmin!$C$4+76),DATE(YEAR((Tahmin!$C$4+70)),MONTH((Tahmin!$C$4+70)),MIN(DAY(Kalemler!$D27),DAY(EOMONTH((Tahmin!$C$4+70),0))))&gt;=Kalemler!$D27),AND(DATE(YEAR((Tahmin!$C$4+76)),MONTH((Tahmin!$C$4+76)),MIN(DAY(Kalemler!$D27),DAY(EOMONTH((Tahmin!$C$4+76),0))))&gt;=(Tahmin!$C$4+70),DATE(YEAR((Tahmin!$C$4+76)),MONTH((Tahmin!$C$4+76)),MIN(DAY(Kalemler!$D27),DAY(EOMONTH((Tahmin!$C$4+76),0))))&lt;=(Tahmin!$C$4+76),DATE(YEAR((Tahmin!$C$4+76)),MONTH((Tahmin!$C$4+76)),MIN(DAY(Kalemler!$D27),DAY(EOMONTH((Tahmin!$C$4+76),0))))&lt;&gt;DATE(YEAR((Tahmin!$C$4+70)),MONTH((Tahmin!$C$4+70)),MIN(DAY(Kalemler!$D27),DAY(EOMONTH((Tahmin!$C$4+70),0)))),DATE(YEAR((Tahmin!$C$4+76)),MONTH((Tahmin!$C$4+76)),MIN(DAY(Kalemler!$D27),DAY(EOMONTH((Tahmin!$C$4+76),0))))&gt;=Kalemler!$D27)),1,0),IF(AND(Kalemler!$D27&gt;=(Tahmin!$C$4+70),Kalemler!$D27&lt;=(Tahmin!$C$4+76)),1,0))))</f>
        <v>0</v>
      </c>
      <c r="M27" s="0" t="n">
        <f aca="false">IF(OR(Kalemler!$A27="",Kalemler!$C27="",Kalemler!$D27=""),0,Kalemler!$C27*IF(Kalemler!$E27="Haftalık",IF(Kalemler!$D27&lt;=(Tahmin!$C$4+83),1,0),IF(Kalemler!$E27="Aylık",IF(OR(AND(DATE(YEAR((Tahmin!$C$4+77)),MONTH((Tahmin!$C$4+77)),MIN(DAY(Kalemler!$D27),DAY(EOMONTH((Tahmin!$C$4+77),0))))&gt;=(Tahmin!$C$4+77),DATE(YEAR((Tahmin!$C$4+77)),MONTH((Tahmin!$C$4+77)),MIN(DAY(Kalemler!$D27),DAY(EOMONTH((Tahmin!$C$4+77),0))))&lt;=(Tahmin!$C$4+83),DATE(YEAR((Tahmin!$C$4+77)),MONTH((Tahmin!$C$4+77)),MIN(DAY(Kalemler!$D27),DAY(EOMONTH((Tahmin!$C$4+77),0))))&gt;=Kalemler!$D27),AND(DATE(YEAR((Tahmin!$C$4+83)),MONTH((Tahmin!$C$4+83)),MIN(DAY(Kalemler!$D27),DAY(EOMONTH((Tahmin!$C$4+83),0))))&gt;=(Tahmin!$C$4+77),DATE(YEAR((Tahmin!$C$4+83)),MONTH((Tahmin!$C$4+83)),MIN(DAY(Kalemler!$D27),DAY(EOMONTH((Tahmin!$C$4+83),0))))&lt;=(Tahmin!$C$4+83),DATE(YEAR((Tahmin!$C$4+83)),MONTH((Tahmin!$C$4+83)),MIN(DAY(Kalemler!$D27),DAY(EOMONTH((Tahmin!$C$4+83),0))))&lt;&gt;DATE(YEAR((Tahmin!$C$4+77)),MONTH((Tahmin!$C$4+77)),MIN(DAY(Kalemler!$D27),DAY(EOMONTH((Tahmin!$C$4+77),0)))),DATE(YEAR((Tahmin!$C$4+83)),MONTH((Tahmin!$C$4+83)),MIN(DAY(Kalemler!$D27),DAY(EOMONTH((Tahmin!$C$4+83),0))))&gt;=Kalemler!$D27)),1,0),IF(AND(Kalemler!$D27&gt;=(Tahmin!$C$4+77),Kalemler!$D27&lt;=(Tahmin!$C$4+83)),1,0))))</f>
        <v>0</v>
      </c>
      <c r="N27" s="0" t="n">
        <f aca="false">IF(OR(Kalemler!$A27="",Kalemler!$C27="",Kalemler!$D27=""),0,Kalemler!$C27*IF(Kalemler!$E27="Haftalık",IF(Kalemler!$D27&lt;=(Tahmin!$C$4+90),1,0),IF(Kalemler!$E27="Aylık",IF(OR(AND(DATE(YEAR((Tahmin!$C$4+84)),MONTH((Tahmin!$C$4+84)),MIN(DAY(Kalemler!$D27),DAY(EOMONTH((Tahmin!$C$4+84),0))))&gt;=(Tahmin!$C$4+84),DATE(YEAR((Tahmin!$C$4+84)),MONTH((Tahmin!$C$4+84)),MIN(DAY(Kalemler!$D27),DAY(EOMONTH((Tahmin!$C$4+84),0))))&lt;=(Tahmin!$C$4+90),DATE(YEAR((Tahmin!$C$4+84)),MONTH((Tahmin!$C$4+84)),MIN(DAY(Kalemler!$D27),DAY(EOMONTH((Tahmin!$C$4+84),0))))&gt;=Kalemler!$D27),AND(DATE(YEAR((Tahmin!$C$4+90)),MONTH((Tahmin!$C$4+90)),MIN(DAY(Kalemler!$D27),DAY(EOMONTH((Tahmin!$C$4+90),0))))&gt;=(Tahmin!$C$4+84),DATE(YEAR((Tahmin!$C$4+90)),MONTH((Tahmin!$C$4+90)),MIN(DAY(Kalemler!$D27),DAY(EOMONTH((Tahmin!$C$4+90),0))))&lt;=(Tahmin!$C$4+90),DATE(YEAR((Tahmin!$C$4+90)),MONTH((Tahmin!$C$4+90)),MIN(DAY(Kalemler!$D27),DAY(EOMONTH((Tahmin!$C$4+90),0))))&lt;&gt;DATE(YEAR((Tahmin!$C$4+84)),MONTH((Tahmin!$C$4+84)),MIN(DAY(Kalemler!$D27),DAY(EOMONTH((Tahmin!$C$4+84),0)))),DATE(YEAR((Tahmin!$C$4+90)),MONTH((Tahmin!$C$4+90)),MIN(DAY(Kalemler!$D27),DAY(EOMONTH((Tahmin!$C$4+90),0))))&gt;=Kalemler!$D27)),1,0),IF(AND(Kalemler!$D27&gt;=(Tahmin!$C$4+84),Kalemler!$D27&lt;=(Tahmin!$C$4+90)),1,0))))</f>
        <v>0</v>
      </c>
    </row>
    <row r="28" customFormat="false" ht="15" hidden="false" customHeight="false" outlineLevel="0" collapsed="false">
      <c r="A28" s="0" t="str">
        <f aca="false">IF(Kalemler!A28="","",Kalemler!A28)</f>
        <v/>
      </c>
      <c r="B28" s="0" t="n">
        <f aca="false">IF(OR(Kalemler!$A28="",Kalemler!$C28="",Kalemler!$D28=""),0,Kalemler!$C28*IF(Kalemler!$E28="Haftalık",IF(Kalemler!$D28&lt;=(Tahmin!$C$4+6),1,0),IF(Kalemler!$E28="Aylık",IF(OR(AND(DATE(YEAR((Tahmin!$C$4+0)),MONTH((Tahmin!$C$4+0)),MIN(DAY(Kalemler!$D28),DAY(EOMONTH((Tahmin!$C$4+0),0))))&gt;=(Tahmin!$C$4+0),DATE(YEAR((Tahmin!$C$4+0)),MONTH((Tahmin!$C$4+0)),MIN(DAY(Kalemler!$D28),DAY(EOMONTH((Tahmin!$C$4+0),0))))&lt;=(Tahmin!$C$4+6),DATE(YEAR((Tahmin!$C$4+0)),MONTH((Tahmin!$C$4+0)),MIN(DAY(Kalemler!$D28),DAY(EOMONTH((Tahmin!$C$4+0),0))))&gt;=Kalemler!$D28),AND(DATE(YEAR((Tahmin!$C$4+6)),MONTH((Tahmin!$C$4+6)),MIN(DAY(Kalemler!$D28),DAY(EOMONTH((Tahmin!$C$4+6),0))))&gt;=(Tahmin!$C$4+0),DATE(YEAR((Tahmin!$C$4+6)),MONTH((Tahmin!$C$4+6)),MIN(DAY(Kalemler!$D28),DAY(EOMONTH((Tahmin!$C$4+6),0))))&lt;=(Tahmin!$C$4+6),DATE(YEAR((Tahmin!$C$4+6)),MONTH((Tahmin!$C$4+6)),MIN(DAY(Kalemler!$D28),DAY(EOMONTH((Tahmin!$C$4+6),0))))&lt;&gt;DATE(YEAR((Tahmin!$C$4+0)),MONTH((Tahmin!$C$4+0)),MIN(DAY(Kalemler!$D28),DAY(EOMONTH((Tahmin!$C$4+0),0)))),DATE(YEAR((Tahmin!$C$4+6)),MONTH((Tahmin!$C$4+6)),MIN(DAY(Kalemler!$D28),DAY(EOMONTH((Tahmin!$C$4+6),0))))&gt;=Kalemler!$D28)),1,0),IF(AND(Kalemler!$D28&gt;=(Tahmin!$C$4+0),Kalemler!$D28&lt;=(Tahmin!$C$4+6)),1,0))))</f>
        <v>0</v>
      </c>
      <c r="C28" s="0" t="n">
        <f aca="false">IF(OR(Kalemler!$A28="",Kalemler!$C28="",Kalemler!$D28=""),0,Kalemler!$C28*IF(Kalemler!$E28="Haftalık",IF(Kalemler!$D28&lt;=(Tahmin!$C$4+13),1,0),IF(Kalemler!$E28="Aylık",IF(OR(AND(DATE(YEAR((Tahmin!$C$4+7)),MONTH((Tahmin!$C$4+7)),MIN(DAY(Kalemler!$D28),DAY(EOMONTH((Tahmin!$C$4+7),0))))&gt;=(Tahmin!$C$4+7),DATE(YEAR((Tahmin!$C$4+7)),MONTH((Tahmin!$C$4+7)),MIN(DAY(Kalemler!$D28),DAY(EOMONTH((Tahmin!$C$4+7),0))))&lt;=(Tahmin!$C$4+13),DATE(YEAR((Tahmin!$C$4+7)),MONTH((Tahmin!$C$4+7)),MIN(DAY(Kalemler!$D28),DAY(EOMONTH((Tahmin!$C$4+7),0))))&gt;=Kalemler!$D28),AND(DATE(YEAR((Tahmin!$C$4+13)),MONTH((Tahmin!$C$4+13)),MIN(DAY(Kalemler!$D28),DAY(EOMONTH((Tahmin!$C$4+13),0))))&gt;=(Tahmin!$C$4+7),DATE(YEAR((Tahmin!$C$4+13)),MONTH((Tahmin!$C$4+13)),MIN(DAY(Kalemler!$D28),DAY(EOMONTH((Tahmin!$C$4+13),0))))&lt;=(Tahmin!$C$4+13),DATE(YEAR((Tahmin!$C$4+13)),MONTH((Tahmin!$C$4+13)),MIN(DAY(Kalemler!$D28),DAY(EOMONTH((Tahmin!$C$4+13),0))))&lt;&gt;DATE(YEAR((Tahmin!$C$4+7)),MONTH((Tahmin!$C$4+7)),MIN(DAY(Kalemler!$D28),DAY(EOMONTH((Tahmin!$C$4+7),0)))),DATE(YEAR((Tahmin!$C$4+13)),MONTH((Tahmin!$C$4+13)),MIN(DAY(Kalemler!$D28),DAY(EOMONTH((Tahmin!$C$4+13),0))))&gt;=Kalemler!$D28)),1,0),IF(AND(Kalemler!$D28&gt;=(Tahmin!$C$4+7),Kalemler!$D28&lt;=(Tahmin!$C$4+13)),1,0))))</f>
        <v>0</v>
      </c>
      <c r="D28" s="0" t="n">
        <f aca="false">IF(OR(Kalemler!$A28="",Kalemler!$C28="",Kalemler!$D28=""),0,Kalemler!$C28*IF(Kalemler!$E28="Haftalık",IF(Kalemler!$D28&lt;=(Tahmin!$C$4+20),1,0),IF(Kalemler!$E28="Aylık",IF(OR(AND(DATE(YEAR((Tahmin!$C$4+14)),MONTH((Tahmin!$C$4+14)),MIN(DAY(Kalemler!$D28),DAY(EOMONTH((Tahmin!$C$4+14),0))))&gt;=(Tahmin!$C$4+14),DATE(YEAR((Tahmin!$C$4+14)),MONTH((Tahmin!$C$4+14)),MIN(DAY(Kalemler!$D28),DAY(EOMONTH((Tahmin!$C$4+14),0))))&lt;=(Tahmin!$C$4+20),DATE(YEAR((Tahmin!$C$4+14)),MONTH((Tahmin!$C$4+14)),MIN(DAY(Kalemler!$D28),DAY(EOMONTH((Tahmin!$C$4+14),0))))&gt;=Kalemler!$D28),AND(DATE(YEAR((Tahmin!$C$4+20)),MONTH((Tahmin!$C$4+20)),MIN(DAY(Kalemler!$D28),DAY(EOMONTH((Tahmin!$C$4+20),0))))&gt;=(Tahmin!$C$4+14),DATE(YEAR((Tahmin!$C$4+20)),MONTH((Tahmin!$C$4+20)),MIN(DAY(Kalemler!$D28),DAY(EOMONTH((Tahmin!$C$4+20),0))))&lt;=(Tahmin!$C$4+20),DATE(YEAR((Tahmin!$C$4+20)),MONTH((Tahmin!$C$4+20)),MIN(DAY(Kalemler!$D28),DAY(EOMONTH((Tahmin!$C$4+20),0))))&lt;&gt;DATE(YEAR((Tahmin!$C$4+14)),MONTH((Tahmin!$C$4+14)),MIN(DAY(Kalemler!$D28),DAY(EOMONTH((Tahmin!$C$4+14),0)))),DATE(YEAR((Tahmin!$C$4+20)),MONTH((Tahmin!$C$4+20)),MIN(DAY(Kalemler!$D28),DAY(EOMONTH((Tahmin!$C$4+20),0))))&gt;=Kalemler!$D28)),1,0),IF(AND(Kalemler!$D28&gt;=(Tahmin!$C$4+14),Kalemler!$D28&lt;=(Tahmin!$C$4+20)),1,0))))</f>
        <v>0</v>
      </c>
      <c r="E28" s="0" t="n">
        <f aca="false">IF(OR(Kalemler!$A28="",Kalemler!$C28="",Kalemler!$D28=""),0,Kalemler!$C28*IF(Kalemler!$E28="Haftalık",IF(Kalemler!$D28&lt;=(Tahmin!$C$4+27),1,0),IF(Kalemler!$E28="Aylık",IF(OR(AND(DATE(YEAR((Tahmin!$C$4+21)),MONTH((Tahmin!$C$4+21)),MIN(DAY(Kalemler!$D28),DAY(EOMONTH((Tahmin!$C$4+21),0))))&gt;=(Tahmin!$C$4+21),DATE(YEAR((Tahmin!$C$4+21)),MONTH((Tahmin!$C$4+21)),MIN(DAY(Kalemler!$D28),DAY(EOMONTH((Tahmin!$C$4+21),0))))&lt;=(Tahmin!$C$4+27),DATE(YEAR((Tahmin!$C$4+21)),MONTH((Tahmin!$C$4+21)),MIN(DAY(Kalemler!$D28),DAY(EOMONTH((Tahmin!$C$4+21),0))))&gt;=Kalemler!$D28),AND(DATE(YEAR((Tahmin!$C$4+27)),MONTH((Tahmin!$C$4+27)),MIN(DAY(Kalemler!$D28),DAY(EOMONTH((Tahmin!$C$4+27),0))))&gt;=(Tahmin!$C$4+21),DATE(YEAR((Tahmin!$C$4+27)),MONTH((Tahmin!$C$4+27)),MIN(DAY(Kalemler!$D28),DAY(EOMONTH((Tahmin!$C$4+27),0))))&lt;=(Tahmin!$C$4+27),DATE(YEAR((Tahmin!$C$4+27)),MONTH((Tahmin!$C$4+27)),MIN(DAY(Kalemler!$D28),DAY(EOMONTH((Tahmin!$C$4+27),0))))&lt;&gt;DATE(YEAR((Tahmin!$C$4+21)),MONTH((Tahmin!$C$4+21)),MIN(DAY(Kalemler!$D28),DAY(EOMONTH((Tahmin!$C$4+21),0)))),DATE(YEAR((Tahmin!$C$4+27)),MONTH((Tahmin!$C$4+27)),MIN(DAY(Kalemler!$D28),DAY(EOMONTH((Tahmin!$C$4+27),0))))&gt;=Kalemler!$D28)),1,0),IF(AND(Kalemler!$D28&gt;=(Tahmin!$C$4+21),Kalemler!$D28&lt;=(Tahmin!$C$4+27)),1,0))))</f>
        <v>0</v>
      </c>
      <c r="F28" s="0" t="n">
        <f aca="false">IF(OR(Kalemler!$A28="",Kalemler!$C28="",Kalemler!$D28=""),0,Kalemler!$C28*IF(Kalemler!$E28="Haftalık",IF(Kalemler!$D28&lt;=(Tahmin!$C$4+34),1,0),IF(Kalemler!$E28="Aylık",IF(OR(AND(DATE(YEAR((Tahmin!$C$4+28)),MONTH((Tahmin!$C$4+28)),MIN(DAY(Kalemler!$D28),DAY(EOMONTH((Tahmin!$C$4+28),0))))&gt;=(Tahmin!$C$4+28),DATE(YEAR((Tahmin!$C$4+28)),MONTH((Tahmin!$C$4+28)),MIN(DAY(Kalemler!$D28),DAY(EOMONTH((Tahmin!$C$4+28),0))))&lt;=(Tahmin!$C$4+34),DATE(YEAR((Tahmin!$C$4+28)),MONTH((Tahmin!$C$4+28)),MIN(DAY(Kalemler!$D28),DAY(EOMONTH((Tahmin!$C$4+28),0))))&gt;=Kalemler!$D28),AND(DATE(YEAR((Tahmin!$C$4+34)),MONTH((Tahmin!$C$4+34)),MIN(DAY(Kalemler!$D28),DAY(EOMONTH((Tahmin!$C$4+34),0))))&gt;=(Tahmin!$C$4+28),DATE(YEAR((Tahmin!$C$4+34)),MONTH((Tahmin!$C$4+34)),MIN(DAY(Kalemler!$D28),DAY(EOMONTH((Tahmin!$C$4+34),0))))&lt;=(Tahmin!$C$4+34),DATE(YEAR((Tahmin!$C$4+34)),MONTH((Tahmin!$C$4+34)),MIN(DAY(Kalemler!$D28),DAY(EOMONTH((Tahmin!$C$4+34),0))))&lt;&gt;DATE(YEAR((Tahmin!$C$4+28)),MONTH((Tahmin!$C$4+28)),MIN(DAY(Kalemler!$D28),DAY(EOMONTH((Tahmin!$C$4+28),0)))),DATE(YEAR((Tahmin!$C$4+34)),MONTH((Tahmin!$C$4+34)),MIN(DAY(Kalemler!$D28),DAY(EOMONTH((Tahmin!$C$4+34),0))))&gt;=Kalemler!$D28)),1,0),IF(AND(Kalemler!$D28&gt;=(Tahmin!$C$4+28),Kalemler!$D28&lt;=(Tahmin!$C$4+34)),1,0))))</f>
        <v>0</v>
      </c>
      <c r="G28" s="0" t="n">
        <f aca="false">IF(OR(Kalemler!$A28="",Kalemler!$C28="",Kalemler!$D28=""),0,Kalemler!$C28*IF(Kalemler!$E28="Haftalık",IF(Kalemler!$D28&lt;=(Tahmin!$C$4+41),1,0),IF(Kalemler!$E28="Aylık",IF(OR(AND(DATE(YEAR((Tahmin!$C$4+35)),MONTH((Tahmin!$C$4+35)),MIN(DAY(Kalemler!$D28),DAY(EOMONTH((Tahmin!$C$4+35),0))))&gt;=(Tahmin!$C$4+35),DATE(YEAR((Tahmin!$C$4+35)),MONTH((Tahmin!$C$4+35)),MIN(DAY(Kalemler!$D28),DAY(EOMONTH((Tahmin!$C$4+35),0))))&lt;=(Tahmin!$C$4+41),DATE(YEAR((Tahmin!$C$4+35)),MONTH((Tahmin!$C$4+35)),MIN(DAY(Kalemler!$D28),DAY(EOMONTH((Tahmin!$C$4+35),0))))&gt;=Kalemler!$D28),AND(DATE(YEAR((Tahmin!$C$4+41)),MONTH((Tahmin!$C$4+41)),MIN(DAY(Kalemler!$D28),DAY(EOMONTH((Tahmin!$C$4+41),0))))&gt;=(Tahmin!$C$4+35),DATE(YEAR((Tahmin!$C$4+41)),MONTH((Tahmin!$C$4+41)),MIN(DAY(Kalemler!$D28),DAY(EOMONTH((Tahmin!$C$4+41),0))))&lt;=(Tahmin!$C$4+41),DATE(YEAR((Tahmin!$C$4+41)),MONTH((Tahmin!$C$4+41)),MIN(DAY(Kalemler!$D28),DAY(EOMONTH((Tahmin!$C$4+41),0))))&lt;&gt;DATE(YEAR((Tahmin!$C$4+35)),MONTH((Tahmin!$C$4+35)),MIN(DAY(Kalemler!$D28),DAY(EOMONTH((Tahmin!$C$4+35),0)))),DATE(YEAR((Tahmin!$C$4+41)),MONTH((Tahmin!$C$4+41)),MIN(DAY(Kalemler!$D28),DAY(EOMONTH((Tahmin!$C$4+41),0))))&gt;=Kalemler!$D28)),1,0),IF(AND(Kalemler!$D28&gt;=(Tahmin!$C$4+35),Kalemler!$D28&lt;=(Tahmin!$C$4+41)),1,0))))</f>
        <v>0</v>
      </c>
      <c r="H28" s="0" t="n">
        <f aca="false">IF(OR(Kalemler!$A28="",Kalemler!$C28="",Kalemler!$D28=""),0,Kalemler!$C28*IF(Kalemler!$E28="Haftalık",IF(Kalemler!$D28&lt;=(Tahmin!$C$4+48),1,0),IF(Kalemler!$E28="Aylık",IF(OR(AND(DATE(YEAR((Tahmin!$C$4+42)),MONTH((Tahmin!$C$4+42)),MIN(DAY(Kalemler!$D28),DAY(EOMONTH((Tahmin!$C$4+42),0))))&gt;=(Tahmin!$C$4+42),DATE(YEAR((Tahmin!$C$4+42)),MONTH((Tahmin!$C$4+42)),MIN(DAY(Kalemler!$D28),DAY(EOMONTH((Tahmin!$C$4+42),0))))&lt;=(Tahmin!$C$4+48),DATE(YEAR((Tahmin!$C$4+42)),MONTH((Tahmin!$C$4+42)),MIN(DAY(Kalemler!$D28),DAY(EOMONTH((Tahmin!$C$4+42),0))))&gt;=Kalemler!$D28),AND(DATE(YEAR((Tahmin!$C$4+48)),MONTH((Tahmin!$C$4+48)),MIN(DAY(Kalemler!$D28),DAY(EOMONTH((Tahmin!$C$4+48),0))))&gt;=(Tahmin!$C$4+42),DATE(YEAR((Tahmin!$C$4+48)),MONTH((Tahmin!$C$4+48)),MIN(DAY(Kalemler!$D28),DAY(EOMONTH((Tahmin!$C$4+48),0))))&lt;=(Tahmin!$C$4+48),DATE(YEAR((Tahmin!$C$4+48)),MONTH((Tahmin!$C$4+48)),MIN(DAY(Kalemler!$D28),DAY(EOMONTH((Tahmin!$C$4+48),0))))&lt;&gt;DATE(YEAR((Tahmin!$C$4+42)),MONTH((Tahmin!$C$4+42)),MIN(DAY(Kalemler!$D28),DAY(EOMONTH((Tahmin!$C$4+42),0)))),DATE(YEAR((Tahmin!$C$4+48)),MONTH((Tahmin!$C$4+48)),MIN(DAY(Kalemler!$D28),DAY(EOMONTH((Tahmin!$C$4+48),0))))&gt;=Kalemler!$D28)),1,0),IF(AND(Kalemler!$D28&gt;=(Tahmin!$C$4+42),Kalemler!$D28&lt;=(Tahmin!$C$4+48)),1,0))))</f>
        <v>0</v>
      </c>
      <c r="I28" s="0" t="n">
        <f aca="false">IF(OR(Kalemler!$A28="",Kalemler!$C28="",Kalemler!$D28=""),0,Kalemler!$C28*IF(Kalemler!$E28="Haftalık",IF(Kalemler!$D28&lt;=(Tahmin!$C$4+55),1,0),IF(Kalemler!$E28="Aylık",IF(OR(AND(DATE(YEAR((Tahmin!$C$4+49)),MONTH((Tahmin!$C$4+49)),MIN(DAY(Kalemler!$D28),DAY(EOMONTH((Tahmin!$C$4+49),0))))&gt;=(Tahmin!$C$4+49),DATE(YEAR((Tahmin!$C$4+49)),MONTH((Tahmin!$C$4+49)),MIN(DAY(Kalemler!$D28),DAY(EOMONTH((Tahmin!$C$4+49),0))))&lt;=(Tahmin!$C$4+55),DATE(YEAR((Tahmin!$C$4+49)),MONTH((Tahmin!$C$4+49)),MIN(DAY(Kalemler!$D28),DAY(EOMONTH((Tahmin!$C$4+49),0))))&gt;=Kalemler!$D28),AND(DATE(YEAR((Tahmin!$C$4+55)),MONTH((Tahmin!$C$4+55)),MIN(DAY(Kalemler!$D28),DAY(EOMONTH((Tahmin!$C$4+55),0))))&gt;=(Tahmin!$C$4+49),DATE(YEAR((Tahmin!$C$4+55)),MONTH((Tahmin!$C$4+55)),MIN(DAY(Kalemler!$D28),DAY(EOMONTH((Tahmin!$C$4+55),0))))&lt;=(Tahmin!$C$4+55),DATE(YEAR((Tahmin!$C$4+55)),MONTH((Tahmin!$C$4+55)),MIN(DAY(Kalemler!$D28),DAY(EOMONTH((Tahmin!$C$4+55),0))))&lt;&gt;DATE(YEAR((Tahmin!$C$4+49)),MONTH((Tahmin!$C$4+49)),MIN(DAY(Kalemler!$D28),DAY(EOMONTH((Tahmin!$C$4+49),0)))),DATE(YEAR((Tahmin!$C$4+55)),MONTH((Tahmin!$C$4+55)),MIN(DAY(Kalemler!$D28),DAY(EOMONTH((Tahmin!$C$4+55),0))))&gt;=Kalemler!$D28)),1,0),IF(AND(Kalemler!$D28&gt;=(Tahmin!$C$4+49),Kalemler!$D28&lt;=(Tahmin!$C$4+55)),1,0))))</f>
        <v>0</v>
      </c>
      <c r="J28" s="0" t="n">
        <f aca="false">IF(OR(Kalemler!$A28="",Kalemler!$C28="",Kalemler!$D28=""),0,Kalemler!$C28*IF(Kalemler!$E28="Haftalık",IF(Kalemler!$D28&lt;=(Tahmin!$C$4+62),1,0),IF(Kalemler!$E28="Aylık",IF(OR(AND(DATE(YEAR((Tahmin!$C$4+56)),MONTH((Tahmin!$C$4+56)),MIN(DAY(Kalemler!$D28),DAY(EOMONTH((Tahmin!$C$4+56),0))))&gt;=(Tahmin!$C$4+56),DATE(YEAR((Tahmin!$C$4+56)),MONTH((Tahmin!$C$4+56)),MIN(DAY(Kalemler!$D28),DAY(EOMONTH((Tahmin!$C$4+56),0))))&lt;=(Tahmin!$C$4+62),DATE(YEAR((Tahmin!$C$4+56)),MONTH((Tahmin!$C$4+56)),MIN(DAY(Kalemler!$D28),DAY(EOMONTH((Tahmin!$C$4+56),0))))&gt;=Kalemler!$D28),AND(DATE(YEAR((Tahmin!$C$4+62)),MONTH((Tahmin!$C$4+62)),MIN(DAY(Kalemler!$D28),DAY(EOMONTH((Tahmin!$C$4+62),0))))&gt;=(Tahmin!$C$4+56),DATE(YEAR((Tahmin!$C$4+62)),MONTH((Tahmin!$C$4+62)),MIN(DAY(Kalemler!$D28),DAY(EOMONTH((Tahmin!$C$4+62),0))))&lt;=(Tahmin!$C$4+62),DATE(YEAR((Tahmin!$C$4+62)),MONTH((Tahmin!$C$4+62)),MIN(DAY(Kalemler!$D28),DAY(EOMONTH((Tahmin!$C$4+62),0))))&lt;&gt;DATE(YEAR((Tahmin!$C$4+56)),MONTH((Tahmin!$C$4+56)),MIN(DAY(Kalemler!$D28),DAY(EOMONTH((Tahmin!$C$4+56),0)))),DATE(YEAR((Tahmin!$C$4+62)),MONTH((Tahmin!$C$4+62)),MIN(DAY(Kalemler!$D28),DAY(EOMONTH((Tahmin!$C$4+62),0))))&gt;=Kalemler!$D28)),1,0),IF(AND(Kalemler!$D28&gt;=(Tahmin!$C$4+56),Kalemler!$D28&lt;=(Tahmin!$C$4+62)),1,0))))</f>
        <v>0</v>
      </c>
      <c r="K28" s="0" t="n">
        <f aca="false">IF(OR(Kalemler!$A28="",Kalemler!$C28="",Kalemler!$D28=""),0,Kalemler!$C28*IF(Kalemler!$E28="Haftalık",IF(Kalemler!$D28&lt;=(Tahmin!$C$4+69),1,0),IF(Kalemler!$E28="Aylık",IF(OR(AND(DATE(YEAR((Tahmin!$C$4+63)),MONTH((Tahmin!$C$4+63)),MIN(DAY(Kalemler!$D28),DAY(EOMONTH((Tahmin!$C$4+63),0))))&gt;=(Tahmin!$C$4+63),DATE(YEAR((Tahmin!$C$4+63)),MONTH((Tahmin!$C$4+63)),MIN(DAY(Kalemler!$D28),DAY(EOMONTH((Tahmin!$C$4+63),0))))&lt;=(Tahmin!$C$4+69),DATE(YEAR((Tahmin!$C$4+63)),MONTH((Tahmin!$C$4+63)),MIN(DAY(Kalemler!$D28),DAY(EOMONTH((Tahmin!$C$4+63),0))))&gt;=Kalemler!$D28),AND(DATE(YEAR((Tahmin!$C$4+69)),MONTH((Tahmin!$C$4+69)),MIN(DAY(Kalemler!$D28),DAY(EOMONTH((Tahmin!$C$4+69),0))))&gt;=(Tahmin!$C$4+63),DATE(YEAR((Tahmin!$C$4+69)),MONTH((Tahmin!$C$4+69)),MIN(DAY(Kalemler!$D28),DAY(EOMONTH((Tahmin!$C$4+69),0))))&lt;=(Tahmin!$C$4+69),DATE(YEAR((Tahmin!$C$4+69)),MONTH((Tahmin!$C$4+69)),MIN(DAY(Kalemler!$D28),DAY(EOMONTH((Tahmin!$C$4+69),0))))&lt;&gt;DATE(YEAR((Tahmin!$C$4+63)),MONTH((Tahmin!$C$4+63)),MIN(DAY(Kalemler!$D28),DAY(EOMONTH((Tahmin!$C$4+63),0)))),DATE(YEAR((Tahmin!$C$4+69)),MONTH((Tahmin!$C$4+69)),MIN(DAY(Kalemler!$D28),DAY(EOMONTH((Tahmin!$C$4+69),0))))&gt;=Kalemler!$D28)),1,0),IF(AND(Kalemler!$D28&gt;=(Tahmin!$C$4+63),Kalemler!$D28&lt;=(Tahmin!$C$4+69)),1,0))))</f>
        <v>0</v>
      </c>
      <c r="L28" s="0" t="n">
        <f aca="false">IF(OR(Kalemler!$A28="",Kalemler!$C28="",Kalemler!$D28=""),0,Kalemler!$C28*IF(Kalemler!$E28="Haftalık",IF(Kalemler!$D28&lt;=(Tahmin!$C$4+76),1,0),IF(Kalemler!$E28="Aylık",IF(OR(AND(DATE(YEAR((Tahmin!$C$4+70)),MONTH((Tahmin!$C$4+70)),MIN(DAY(Kalemler!$D28),DAY(EOMONTH((Tahmin!$C$4+70),0))))&gt;=(Tahmin!$C$4+70),DATE(YEAR((Tahmin!$C$4+70)),MONTH((Tahmin!$C$4+70)),MIN(DAY(Kalemler!$D28),DAY(EOMONTH((Tahmin!$C$4+70),0))))&lt;=(Tahmin!$C$4+76),DATE(YEAR((Tahmin!$C$4+70)),MONTH((Tahmin!$C$4+70)),MIN(DAY(Kalemler!$D28),DAY(EOMONTH((Tahmin!$C$4+70),0))))&gt;=Kalemler!$D28),AND(DATE(YEAR((Tahmin!$C$4+76)),MONTH((Tahmin!$C$4+76)),MIN(DAY(Kalemler!$D28),DAY(EOMONTH((Tahmin!$C$4+76),0))))&gt;=(Tahmin!$C$4+70),DATE(YEAR((Tahmin!$C$4+76)),MONTH((Tahmin!$C$4+76)),MIN(DAY(Kalemler!$D28),DAY(EOMONTH((Tahmin!$C$4+76),0))))&lt;=(Tahmin!$C$4+76),DATE(YEAR((Tahmin!$C$4+76)),MONTH((Tahmin!$C$4+76)),MIN(DAY(Kalemler!$D28),DAY(EOMONTH((Tahmin!$C$4+76),0))))&lt;&gt;DATE(YEAR((Tahmin!$C$4+70)),MONTH((Tahmin!$C$4+70)),MIN(DAY(Kalemler!$D28),DAY(EOMONTH((Tahmin!$C$4+70),0)))),DATE(YEAR((Tahmin!$C$4+76)),MONTH((Tahmin!$C$4+76)),MIN(DAY(Kalemler!$D28),DAY(EOMONTH((Tahmin!$C$4+76),0))))&gt;=Kalemler!$D28)),1,0),IF(AND(Kalemler!$D28&gt;=(Tahmin!$C$4+70),Kalemler!$D28&lt;=(Tahmin!$C$4+76)),1,0))))</f>
        <v>0</v>
      </c>
      <c r="M28" s="0" t="n">
        <f aca="false">IF(OR(Kalemler!$A28="",Kalemler!$C28="",Kalemler!$D28=""),0,Kalemler!$C28*IF(Kalemler!$E28="Haftalık",IF(Kalemler!$D28&lt;=(Tahmin!$C$4+83),1,0),IF(Kalemler!$E28="Aylık",IF(OR(AND(DATE(YEAR((Tahmin!$C$4+77)),MONTH((Tahmin!$C$4+77)),MIN(DAY(Kalemler!$D28),DAY(EOMONTH((Tahmin!$C$4+77),0))))&gt;=(Tahmin!$C$4+77),DATE(YEAR((Tahmin!$C$4+77)),MONTH((Tahmin!$C$4+77)),MIN(DAY(Kalemler!$D28),DAY(EOMONTH((Tahmin!$C$4+77),0))))&lt;=(Tahmin!$C$4+83),DATE(YEAR((Tahmin!$C$4+77)),MONTH((Tahmin!$C$4+77)),MIN(DAY(Kalemler!$D28),DAY(EOMONTH((Tahmin!$C$4+77),0))))&gt;=Kalemler!$D28),AND(DATE(YEAR((Tahmin!$C$4+83)),MONTH((Tahmin!$C$4+83)),MIN(DAY(Kalemler!$D28),DAY(EOMONTH((Tahmin!$C$4+83),0))))&gt;=(Tahmin!$C$4+77),DATE(YEAR((Tahmin!$C$4+83)),MONTH((Tahmin!$C$4+83)),MIN(DAY(Kalemler!$D28),DAY(EOMONTH((Tahmin!$C$4+83),0))))&lt;=(Tahmin!$C$4+83),DATE(YEAR((Tahmin!$C$4+83)),MONTH((Tahmin!$C$4+83)),MIN(DAY(Kalemler!$D28),DAY(EOMONTH((Tahmin!$C$4+83),0))))&lt;&gt;DATE(YEAR((Tahmin!$C$4+77)),MONTH((Tahmin!$C$4+77)),MIN(DAY(Kalemler!$D28),DAY(EOMONTH((Tahmin!$C$4+77),0)))),DATE(YEAR((Tahmin!$C$4+83)),MONTH((Tahmin!$C$4+83)),MIN(DAY(Kalemler!$D28),DAY(EOMONTH((Tahmin!$C$4+83),0))))&gt;=Kalemler!$D28)),1,0),IF(AND(Kalemler!$D28&gt;=(Tahmin!$C$4+77),Kalemler!$D28&lt;=(Tahmin!$C$4+83)),1,0))))</f>
        <v>0</v>
      </c>
      <c r="N28" s="0" t="n">
        <f aca="false">IF(OR(Kalemler!$A28="",Kalemler!$C28="",Kalemler!$D28=""),0,Kalemler!$C28*IF(Kalemler!$E28="Haftalık",IF(Kalemler!$D28&lt;=(Tahmin!$C$4+90),1,0),IF(Kalemler!$E28="Aylık",IF(OR(AND(DATE(YEAR((Tahmin!$C$4+84)),MONTH((Tahmin!$C$4+84)),MIN(DAY(Kalemler!$D28),DAY(EOMONTH((Tahmin!$C$4+84),0))))&gt;=(Tahmin!$C$4+84),DATE(YEAR((Tahmin!$C$4+84)),MONTH((Tahmin!$C$4+84)),MIN(DAY(Kalemler!$D28),DAY(EOMONTH((Tahmin!$C$4+84),0))))&lt;=(Tahmin!$C$4+90),DATE(YEAR((Tahmin!$C$4+84)),MONTH((Tahmin!$C$4+84)),MIN(DAY(Kalemler!$D28),DAY(EOMONTH((Tahmin!$C$4+84),0))))&gt;=Kalemler!$D28),AND(DATE(YEAR((Tahmin!$C$4+90)),MONTH((Tahmin!$C$4+90)),MIN(DAY(Kalemler!$D28),DAY(EOMONTH((Tahmin!$C$4+90),0))))&gt;=(Tahmin!$C$4+84),DATE(YEAR((Tahmin!$C$4+90)),MONTH((Tahmin!$C$4+90)),MIN(DAY(Kalemler!$D28),DAY(EOMONTH((Tahmin!$C$4+90),0))))&lt;=(Tahmin!$C$4+90),DATE(YEAR((Tahmin!$C$4+90)),MONTH((Tahmin!$C$4+90)),MIN(DAY(Kalemler!$D28),DAY(EOMONTH((Tahmin!$C$4+90),0))))&lt;&gt;DATE(YEAR((Tahmin!$C$4+84)),MONTH((Tahmin!$C$4+84)),MIN(DAY(Kalemler!$D28),DAY(EOMONTH((Tahmin!$C$4+84),0)))),DATE(YEAR((Tahmin!$C$4+90)),MONTH((Tahmin!$C$4+90)),MIN(DAY(Kalemler!$D28),DAY(EOMONTH((Tahmin!$C$4+90),0))))&gt;=Kalemler!$D28)),1,0),IF(AND(Kalemler!$D28&gt;=(Tahmin!$C$4+84),Kalemler!$D28&lt;=(Tahmin!$C$4+90)),1,0))))</f>
        <v>0</v>
      </c>
    </row>
    <row r="29" customFormat="false" ht="15" hidden="false" customHeight="false" outlineLevel="0" collapsed="false">
      <c r="A29" s="0" t="str">
        <f aca="false">IF(Kalemler!A29="","",Kalemler!A29)</f>
        <v/>
      </c>
      <c r="B29" s="0" t="n">
        <f aca="false">IF(OR(Kalemler!$A29="",Kalemler!$C29="",Kalemler!$D29=""),0,Kalemler!$C29*IF(Kalemler!$E29="Haftalık",IF(Kalemler!$D29&lt;=(Tahmin!$C$4+6),1,0),IF(Kalemler!$E29="Aylık",IF(OR(AND(DATE(YEAR((Tahmin!$C$4+0)),MONTH((Tahmin!$C$4+0)),MIN(DAY(Kalemler!$D29),DAY(EOMONTH((Tahmin!$C$4+0),0))))&gt;=(Tahmin!$C$4+0),DATE(YEAR((Tahmin!$C$4+0)),MONTH((Tahmin!$C$4+0)),MIN(DAY(Kalemler!$D29),DAY(EOMONTH((Tahmin!$C$4+0),0))))&lt;=(Tahmin!$C$4+6),DATE(YEAR((Tahmin!$C$4+0)),MONTH((Tahmin!$C$4+0)),MIN(DAY(Kalemler!$D29),DAY(EOMONTH((Tahmin!$C$4+0),0))))&gt;=Kalemler!$D29),AND(DATE(YEAR((Tahmin!$C$4+6)),MONTH((Tahmin!$C$4+6)),MIN(DAY(Kalemler!$D29),DAY(EOMONTH((Tahmin!$C$4+6),0))))&gt;=(Tahmin!$C$4+0),DATE(YEAR((Tahmin!$C$4+6)),MONTH((Tahmin!$C$4+6)),MIN(DAY(Kalemler!$D29),DAY(EOMONTH((Tahmin!$C$4+6),0))))&lt;=(Tahmin!$C$4+6),DATE(YEAR((Tahmin!$C$4+6)),MONTH((Tahmin!$C$4+6)),MIN(DAY(Kalemler!$D29),DAY(EOMONTH((Tahmin!$C$4+6),0))))&lt;&gt;DATE(YEAR((Tahmin!$C$4+0)),MONTH((Tahmin!$C$4+0)),MIN(DAY(Kalemler!$D29),DAY(EOMONTH((Tahmin!$C$4+0),0)))),DATE(YEAR((Tahmin!$C$4+6)),MONTH((Tahmin!$C$4+6)),MIN(DAY(Kalemler!$D29),DAY(EOMONTH((Tahmin!$C$4+6),0))))&gt;=Kalemler!$D29)),1,0),IF(AND(Kalemler!$D29&gt;=(Tahmin!$C$4+0),Kalemler!$D29&lt;=(Tahmin!$C$4+6)),1,0))))</f>
        <v>0</v>
      </c>
      <c r="C29" s="0" t="n">
        <f aca="false">IF(OR(Kalemler!$A29="",Kalemler!$C29="",Kalemler!$D29=""),0,Kalemler!$C29*IF(Kalemler!$E29="Haftalık",IF(Kalemler!$D29&lt;=(Tahmin!$C$4+13),1,0),IF(Kalemler!$E29="Aylık",IF(OR(AND(DATE(YEAR((Tahmin!$C$4+7)),MONTH((Tahmin!$C$4+7)),MIN(DAY(Kalemler!$D29),DAY(EOMONTH((Tahmin!$C$4+7),0))))&gt;=(Tahmin!$C$4+7),DATE(YEAR((Tahmin!$C$4+7)),MONTH((Tahmin!$C$4+7)),MIN(DAY(Kalemler!$D29),DAY(EOMONTH((Tahmin!$C$4+7),0))))&lt;=(Tahmin!$C$4+13),DATE(YEAR((Tahmin!$C$4+7)),MONTH((Tahmin!$C$4+7)),MIN(DAY(Kalemler!$D29),DAY(EOMONTH((Tahmin!$C$4+7),0))))&gt;=Kalemler!$D29),AND(DATE(YEAR((Tahmin!$C$4+13)),MONTH((Tahmin!$C$4+13)),MIN(DAY(Kalemler!$D29),DAY(EOMONTH((Tahmin!$C$4+13),0))))&gt;=(Tahmin!$C$4+7),DATE(YEAR((Tahmin!$C$4+13)),MONTH((Tahmin!$C$4+13)),MIN(DAY(Kalemler!$D29),DAY(EOMONTH((Tahmin!$C$4+13),0))))&lt;=(Tahmin!$C$4+13),DATE(YEAR((Tahmin!$C$4+13)),MONTH((Tahmin!$C$4+13)),MIN(DAY(Kalemler!$D29),DAY(EOMONTH((Tahmin!$C$4+13),0))))&lt;&gt;DATE(YEAR((Tahmin!$C$4+7)),MONTH((Tahmin!$C$4+7)),MIN(DAY(Kalemler!$D29),DAY(EOMONTH((Tahmin!$C$4+7),0)))),DATE(YEAR((Tahmin!$C$4+13)),MONTH((Tahmin!$C$4+13)),MIN(DAY(Kalemler!$D29),DAY(EOMONTH((Tahmin!$C$4+13),0))))&gt;=Kalemler!$D29)),1,0),IF(AND(Kalemler!$D29&gt;=(Tahmin!$C$4+7),Kalemler!$D29&lt;=(Tahmin!$C$4+13)),1,0))))</f>
        <v>0</v>
      </c>
      <c r="D29" s="0" t="n">
        <f aca="false">IF(OR(Kalemler!$A29="",Kalemler!$C29="",Kalemler!$D29=""),0,Kalemler!$C29*IF(Kalemler!$E29="Haftalık",IF(Kalemler!$D29&lt;=(Tahmin!$C$4+20),1,0),IF(Kalemler!$E29="Aylık",IF(OR(AND(DATE(YEAR((Tahmin!$C$4+14)),MONTH((Tahmin!$C$4+14)),MIN(DAY(Kalemler!$D29),DAY(EOMONTH((Tahmin!$C$4+14),0))))&gt;=(Tahmin!$C$4+14),DATE(YEAR((Tahmin!$C$4+14)),MONTH((Tahmin!$C$4+14)),MIN(DAY(Kalemler!$D29),DAY(EOMONTH((Tahmin!$C$4+14),0))))&lt;=(Tahmin!$C$4+20),DATE(YEAR((Tahmin!$C$4+14)),MONTH((Tahmin!$C$4+14)),MIN(DAY(Kalemler!$D29),DAY(EOMONTH((Tahmin!$C$4+14),0))))&gt;=Kalemler!$D29),AND(DATE(YEAR((Tahmin!$C$4+20)),MONTH((Tahmin!$C$4+20)),MIN(DAY(Kalemler!$D29),DAY(EOMONTH((Tahmin!$C$4+20),0))))&gt;=(Tahmin!$C$4+14),DATE(YEAR((Tahmin!$C$4+20)),MONTH((Tahmin!$C$4+20)),MIN(DAY(Kalemler!$D29),DAY(EOMONTH((Tahmin!$C$4+20),0))))&lt;=(Tahmin!$C$4+20),DATE(YEAR((Tahmin!$C$4+20)),MONTH((Tahmin!$C$4+20)),MIN(DAY(Kalemler!$D29),DAY(EOMONTH((Tahmin!$C$4+20),0))))&lt;&gt;DATE(YEAR((Tahmin!$C$4+14)),MONTH((Tahmin!$C$4+14)),MIN(DAY(Kalemler!$D29),DAY(EOMONTH((Tahmin!$C$4+14),0)))),DATE(YEAR((Tahmin!$C$4+20)),MONTH((Tahmin!$C$4+20)),MIN(DAY(Kalemler!$D29),DAY(EOMONTH((Tahmin!$C$4+20),0))))&gt;=Kalemler!$D29)),1,0),IF(AND(Kalemler!$D29&gt;=(Tahmin!$C$4+14),Kalemler!$D29&lt;=(Tahmin!$C$4+20)),1,0))))</f>
        <v>0</v>
      </c>
      <c r="E29" s="0" t="n">
        <f aca="false">IF(OR(Kalemler!$A29="",Kalemler!$C29="",Kalemler!$D29=""),0,Kalemler!$C29*IF(Kalemler!$E29="Haftalık",IF(Kalemler!$D29&lt;=(Tahmin!$C$4+27),1,0),IF(Kalemler!$E29="Aylık",IF(OR(AND(DATE(YEAR((Tahmin!$C$4+21)),MONTH((Tahmin!$C$4+21)),MIN(DAY(Kalemler!$D29),DAY(EOMONTH((Tahmin!$C$4+21),0))))&gt;=(Tahmin!$C$4+21),DATE(YEAR((Tahmin!$C$4+21)),MONTH((Tahmin!$C$4+21)),MIN(DAY(Kalemler!$D29),DAY(EOMONTH((Tahmin!$C$4+21),0))))&lt;=(Tahmin!$C$4+27),DATE(YEAR((Tahmin!$C$4+21)),MONTH((Tahmin!$C$4+21)),MIN(DAY(Kalemler!$D29),DAY(EOMONTH((Tahmin!$C$4+21),0))))&gt;=Kalemler!$D29),AND(DATE(YEAR((Tahmin!$C$4+27)),MONTH((Tahmin!$C$4+27)),MIN(DAY(Kalemler!$D29),DAY(EOMONTH((Tahmin!$C$4+27),0))))&gt;=(Tahmin!$C$4+21),DATE(YEAR((Tahmin!$C$4+27)),MONTH((Tahmin!$C$4+27)),MIN(DAY(Kalemler!$D29),DAY(EOMONTH((Tahmin!$C$4+27),0))))&lt;=(Tahmin!$C$4+27),DATE(YEAR((Tahmin!$C$4+27)),MONTH((Tahmin!$C$4+27)),MIN(DAY(Kalemler!$D29),DAY(EOMONTH((Tahmin!$C$4+27),0))))&lt;&gt;DATE(YEAR((Tahmin!$C$4+21)),MONTH((Tahmin!$C$4+21)),MIN(DAY(Kalemler!$D29),DAY(EOMONTH((Tahmin!$C$4+21),0)))),DATE(YEAR((Tahmin!$C$4+27)),MONTH((Tahmin!$C$4+27)),MIN(DAY(Kalemler!$D29),DAY(EOMONTH((Tahmin!$C$4+27),0))))&gt;=Kalemler!$D29)),1,0),IF(AND(Kalemler!$D29&gt;=(Tahmin!$C$4+21),Kalemler!$D29&lt;=(Tahmin!$C$4+27)),1,0))))</f>
        <v>0</v>
      </c>
      <c r="F29" s="0" t="n">
        <f aca="false">IF(OR(Kalemler!$A29="",Kalemler!$C29="",Kalemler!$D29=""),0,Kalemler!$C29*IF(Kalemler!$E29="Haftalık",IF(Kalemler!$D29&lt;=(Tahmin!$C$4+34),1,0),IF(Kalemler!$E29="Aylık",IF(OR(AND(DATE(YEAR((Tahmin!$C$4+28)),MONTH((Tahmin!$C$4+28)),MIN(DAY(Kalemler!$D29),DAY(EOMONTH((Tahmin!$C$4+28),0))))&gt;=(Tahmin!$C$4+28),DATE(YEAR((Tahmin!$C$4+28)),MONTH((Tahmin!$C$4+28)),MIN(DAY(Kalemler!$D29),DAY(EOMONTH((Tahmin!$C$4+28),0))))&lt;=(Tahmin!$C$4+34),DATE(YEAR((Tahmin!$C$4+28)),MONTH((Tahmin!$C$4+28)),MIN(DAY(Kalemler!$D29),DAY(EOMONTH((Tahmin!$C$4+28),0))))&gt;=Kalemler!$D29),AND(DATE(YEAR((Tahmin!$C$4+34)),MONTH((Tahmin!$C$4+34)),MIN(DAY(Kalemler!$D29),DAY(EOMONTH((Tahmin!$C$4+34),0))))&gt;=(Tahmin!$C$4+28),DATE(YEAR((Tahmin!$C$4+34)),MONTH((Tahmin!$C$4+34)),MIN(DAY(Kalemler!$D29),DAY(EOMONTH((Tahmin!$C$4+34),0))))&lt;=(Tahmin!$C$4+34),DATE(YEAR((Tahmin!$C$4+34)),MONTH((Tahmin!$C$4+34)),MIN(DAY(Kalemler!$D29),DAY(EOMONTH((Tahmin!$C$4+34),0))))&lt;&gt;DATE(YEAR((Tahmin!$C$4+28)),MONTH((Tahmin!$C$4+28)),MIN(DAY(Kalemler!$D29),DAY(EOMONTH((Tahmin!$C$4+28),0)))),DATE(YEAR((Tahmin!$C$4+34)),MONTH((Tahmin!$C$4+34)),MIN(DAY(Kalemler!$D29),DAY(EOMONTH((Tahmin!$C$4+34),0))))&gt;=Kalemler!$D29)),1,0),IF(AND(Kalemler!$D29&gt;=(Tahmin!$C$4+28),Kalemler!$D29&lt;=(Tahmin!$C$4+34)),1,0))))</f>
        <v>0</v>
      </c>
      <c r="G29" s="0" t="n">
        <f aca="false">IF(OR(Kalemler!$A29="",Kalemler!$C29="",Kalemler!$D29=""),0,Kalemler!$C29*IF(Kalemler!$E29="Haftalık",IF(Kalemler!$D29&lt;=(Tahmin!$C$4+41),1,0),IF(Kalemler!$E29="Aylık",IF(OR(AND(DATE(YEAR((Tahmin!$C$4+35)),MONTH((Tahmin!$C$4+35)),MIN(DAY(Kalemler!$D29),DAY(EOMONTH((Tahmin!$C$4+35),0))))&gt;=(Tahmin!$C$4+35),DATE(YEAR((Tahmin!$C$4+35)),MONTH((Tahmin!$C$4+35)),MIN(DAY(Kalemler!$D29),DAY(EOMONTH((Tahmin!$C$4+35),0))))&lt;=(Tahmin!$C$4+41),DATE(YEAR((Tahmin!$C$4+35)),MONTH((Tahmin!$C$4+35)),MIN(DAY(Kalemler!$D29),DAY(EOMONTH((Tahmin!$C$4+35),0))))&gt;=Kalemler!$D29),AND(DATE(YEAR((Tahmin!$C$4+41)),MONTH((Tahmin!$C$4+41)),MIN(DAY(Kalemler!$D29),DAY(EOMONTH((Tahmin!$C$4+41),0))))&gt;=(Tahmin!$C$4+35),DATE(YEAR((Tahmin!$C$4+41)),MONTH((Tahmin!$C$4+41)),MIN(DAY(Kalemler!$D29),DAY(EOMONTH((Tahmin!$C$4+41),0))))&lt;=(Tahmin!$C$4+41),DATE(YEAR((Tahmin!$C$4+41)),MONTH((Tahmin!$C$4+41)),MIN(DAY(Kalemler!$D29),DAY(EOMONTH((Tahmin!$C$4+41),0))))&lt;&gt;DATE(YEAR((Tahmin!$C$4+35)),MONTH((Tahmin!$C$4+35)),MIN(DAY(Kalemler!$D29),DAY(EOMONTH((Tahmin!$C$4+35),0)))),DATE(YEAR((Tahmin!$C$4+41)),MONTH((Tahmin!$C$4+41)),MIN(DAY(Kalemler!$D29),DAY(EOMONTH((Tahmin!$C$4+41),0))))&gt;=Kalemler!$D29)),1,0),IF(AND(Kalemler!$D29&gt;=(Tahmin!$C$4+35),Kalemler!$D29&lt;=(Tahmin!$C$4+41)),1,0))))</f>
        <v>0</v>
      </c>
      <c r="H29" s="0" t="n">
        <f aca="false">IF(OR(Kalemler!$A29="",Kalemler!$C29="",Kalemler!$D29=""),0,Kalemler!$C29*IF(Kalemler!$E29="Haftalık",IF(Kalemler!$D29&lt;=(Tahmin!$C$4+48),1,0),IF(Kalemler!$E29="Aylık",IF(OR(AND(DATE(YEAR((Tahmin!$C$4+42)),MONTH((Tahmin!$C$4+42)),MIN(DAY(Kalemler!$D29),DAY(EOMONTH((Tahmin!$C$4+42),0))))&gt;=(Tahmin!$C$4+42),DATE(YEAR((Tahmin!$C$4+42)),MONTH((Tahmin!$C$4+42)),MIN(DAY(Kalemler!$D29),DAY(EOMONTH((Tahmin!$C$4+42),0))))&lt;=(Tahmin!$C$4+48),DATE(YEAR((Tahmin!$C$4+42)),MONTH((Tahmin!$C$4+42)),MIN(DAY(Kalemler!$D29),DAY(EOMONTH((Tahmin!$C$4+42),0))))&gt;=Kalemler!$D29),AND(DATE(YEAR((Tahmin!$C$4+48)),MONTH((Tahmin!$C$4+48)),MIN(DAY(Kalemler!$D29),DAY(EOMONTH((Tahmin!$C$4+48),0))))&gt;=(Tahmin!$C$4+42),DATE(YEAR((Tahmin!$C$4+48)),MONTH((Tahmin!$C$4+48)),MIN(DAY(Kalemler!$D29),DAY(EOMONTH((Tahmin!$C$4+48),0))))&lt;=(Tahmin!$C$4+48),DATE(YEAR((Tahmin!$C$4+48)),MONTH((Tahmin!$C$4+48)),MIN(DAY(Kalemler!$D29),DAY(EOMONTH((Tahmin!$C$4+48),0))))&lt;&gt;DATE(YEAR((Tahmin!$C$4+42)),MONTH((Tahmin!$C$4+42)),MIN(DAY(Kalemler!$D29),DAY(EOMONTH((Tahmin!$C$4+42),0)))),DATE(YEAR((Tahmin!$C$4+48)),MONTH((Tahmin!$C$4+48)),MIN(DAY(Kalemler!$D29),DAY(EOMONTH((Tahmin!$C$4+48),0))))&gt;=Kalemler!$D29)),1,0),IF(AND(Kalemler!$D29&gt;=(Tahmin!$C$4+42),Kalemler!$D29&lt;=(Tahmin!$C$4+48)),1,0))))</f>
        <v>0</v>
      </c>
      <c r="I29" s="0" t="n">
        <f aca="false">IF(OR(Kalemler!$A29="",Kalemler!$C29="",Kalemler!$D29=""),0,Kalemler!$C29*IF(Kalemler!$E29="Haftalık",IF(Kalemler!$D29&lt;=(Tahmin!$C$4+55),1,0),IF(Kalemler!$E29="Aylık",IF(OR(AND(DATE(YEAR((Tahmin!$C$4+49)),MONTH((Tahmin!$C$4+49)),MIN(DAY(Kalemler!$D29),DAY(EOMONTH((Tahmin!$C$4+49),0))))&gt;=(Tahmin!$C$4+49),DATE(YEAR((Tahmin!$C$4+49)),MONTH((Tahmin!$C$4+49)),MIN(DAY(Kalemler!$D29),DAY(EOMONTH((Tahmin!$C$4+49),0))))&lt;=(Tahmin!$C$4+55),DATE(YEAR((Tahmin!$C$4+49)),MONTH((Tahmin!$C$4+49)),MIN(DAY(Kalemler!$D29),DAY(EOMONTH((Tahmin!$C$4+49),0))))&gt;=Kalemler!$D29),AND(DATE(YEAR((Tahmin!$C$4+55)),MONTH((Tahmin!$C$4+55)),MIN(DAY(Kalemler!$D29),DAY(EOMONTH((Tahmin!$C$4+55),0))))&gt;=(Tahmin!$C$4+49),DATE(YEAR((Tahmin!$C$4+55)),MONTH((Tahmin!$C$4+55)),MIN(DAY(Kalemler!$D29),DAY(EOMONTH((Tahmin!$C$4+55),0))))&lt;=(Tahmin!$C$4+55),DATE(YEAR((Tahmin!$C$4+55)),MONTH((Tahmin!$C$4+55)),MIN(DAY(Kalemler!$D29),DAY(EOMONTH((Tahmin!$C$4+55),0))))&lt;&gt;DATE(YEAR((Tahmin!$C$4+49)),MONTH((Tahmin!$C$4+49)),MIN(DAY(Kalemler!$D29),DAY(EOMONTH((Tahmin!$C$4+49),0)))),DATE(YEAR((Tahmin!$C$4+55)),MONTH((Tahmin!$C$4+55)),MIN(DAY(Kalemler!$D29),DAY(EOMONTH((Tahmin!$C$4+55),0))))&gt;=Kalemler!$D29)),1,0),IF(AND(Kalemler!$D29&gt;=(Tahmin!$C$4+49),Kalemler!$D29&lt;=(Tahmin!$C$4+55)),1,0))))</f>
        <v>0</v>
      </c>
      <c r="J29" s="0" t="n">
        <f aca="false">IF(OR(Kalemler!$A29="",Kalemler!$C29="",Kalemler!$D29=""),0,Kalemler!$C29*IF(Kalemler!$E29="Haftalık",IF(Kalemler!$D29&lt;=(Tahmin!$C$4+62),1,0),IF(Kalemler!$E29="Aylık",IF(OR(AND(DATE(YEAR((Tahmin!$C$4+56)),MONTH((Tahmin!$C$4+56)),MIN(DAY(Kalemler!$D29),DAY(EOMONTH((Tahmin!$C$4+56),0))))&gt;=(Tahmin!$C$4+56),DATE(YEAR((Tahmin!$C$4+56)),MONTH((Tahmin!$C$4+56)),MIN(DAY(Kalemler!$D29),DAY(EOMONTH((Tahmin!$C$4+56),0))))&lt;=(Tahmin!$C$4+62),DATE(YEAR((Tahmin!$C$4+56)),MONTH((Tahmin!$C$4+56)),MIN(DAY(Kalemler!$D29),DAY(EOMONTH((Tahmin!$C$4+56),0))))&gt;=Kalemler!$D29),AND(DATE(YEAR((Tahmin!$C$4+62)),MONTH((Tahmin!$C$4+62)),MIN(DAY(Kalemler!$D29),DAY(EOMONTH((Tahmin!$C$4+62),0))))&gt;=(Tahmin!$C$4+56),DATE(YEAR((Tahmin!$C$4+62)),MONTH((Tahmin!$C$4+62)),MIN(DAY(Kalemler!$D29),DAY(EOMONTH((Tahmin!$C$4+62),0))))&lt;=(Tahmin!$C$4+62),DATE(YEAR((Tahmin!$C$4+62)),MONTH((Tahmin!$C$4+62)),MIN(DAY(Kalemler!$D29),DAY(EOMONTH((Tahmin!$C$4+62),0))))&lt;&gt;DATE(YEAR((Tahmin!$C$4+56)),MONTH((Tahmin!$C$4+56)),MIN(DAY(Kalemler!$D29),DAY(EOMONTH((Tahmin!$C$4+56),0)))),DATE(YEAR((Tahmin!$C$4+62)),MONTH((Tahmin!$C$4+62)),MIN(DAY(Kalemler!$D29),DAY(EOMONTH((Tahmin!$C$4+62),0))))&gt;=Kalemler!$D29)),1,0),IF(AND(Kalemler!$D29&gt;=(Tahmin!$C$4+56),Kalemler!$D29&lt;=(Tahmin!$C$4+62)),1,0))))</f>
        <v>0</v>
      </c>
      <c r="K29" s="0" t="n">
        <f aca="false">IF(OR(Kalemler!$A29="",Kalemler!$C29="",Kalemler!$D29=""),0,Kalemler!$C29*IF(Kalemler!$E29="Haftalık",IF(Kalemler!$D29&lt;=(Tahmin!$C$4+69),1,0),IF(Kalemler!$E29="Aylık",IF(OR(AND(DATE(YEAR((Tahmin!$C$4+63)),MONTH((Tahmin!$C$4+63)),MIN(DAY(Kalemler!$D29),DAY(EOMONTH((Tahmin!$C$4+63),0))))&gt;=(Tahmin!$C$4+63),DATE(YEAR((Tahmin!$C$4+63)),MONTH((Tahmin!$C$4+63)),MIN(DAY(Kalemler!$D29),DAY(EOMONTH((Tahmin!$C$4+63),0))))&lt;=(Tahmin!$C$4+69),DATE(YEAR((Tahmin!$C$4+63)),MONTH((Tahmin!$C$4+63)),MIN(DAY(Kalemler!$D29),DAY(EOMONTH((Tahmin!$C$4+63),0))))&gt;=Kalemler!$D29),AND(DATE(YEAR((Tahmin!$C$4+69)),MONTH((Tahmin!$C$4+69)),MIN(DAY(Kalemler!$D29),DAY(EOMONTH((Tahmin!$C$4+69),0))))&gt;=(Tahmin!$C$4+63),DATE(YEAR((Tahmin!$C$4+69)),MONTH((Tahmin!$C$4+69)),MIN(DAY(Kalemler!$D29),DAY(EOMONTH((Tahmin!$C$4+69),0))))&lt;=(Tahmin!$C$4+69),DATE(YEAR((Tahmin!$C$4+69)),MONTH((Tahmin!$C$4+69)),MIN(DAY(Kalemler!$D29),DAY(EOMONTH((Tahmin!$C$4+69),0))))&lt;&gt;DATE(YEAR((Tahmin!$C$4+63)),MONTH((Tahmin!$C$4+63)),MIN(DAY(Kalemler!$D29),DAY(EOMONTH((Tahmin!$C$4+63),0)))),DATE(YEAR((Tahmin!$C$4+69)),MONTH((Tahmin!$C$4+69)),MIN(DAY(Kalemler!$D29),DAY(EOMONTH((Tahmin!$C$4+69),0))))&gt;=Kalemler!$D29)),1,0),IF(AND(Kalemler!$D29&gt;=(Tahmin!$C$4+63),Kalemler!$D29&lt;=(Tahmin!$C$4+69)),1,0))))</f>
        <v>0</v>
      </c>
      <c r="L29" s="0" t="n">
        <f aca="false">IF(OR(Kalemler!$A29="",Kalemler!$C29="",Kalemler!$D29=""),0,Kalemler!$C29*IF(Kalemler!$E29="Haftalık",IF(Kalemler!$D29&lt;=(Tahmin!$C$4+76),1,0),IF(Kalemler!$E29="Aylık",IF(OR(AND(DATE(YEAR((Tahmin!$C$4+70)),MONTH((Tahmin!$C$4+70)),MIN(DAY(Kalemler!$D29),DAY(EOMONTH((Tahmin!$C$4+70),0))))&gt;=(Tahmin!$C$4+70),DATE(YEAR((Tahmin!$C$4+70)),MONTH((Tahmin!$C$4+70)),MIN(DAY(Kalemler!$D29),DAY(EOMONTH((Tahmin!$C$4+70),0))))&lt;=(Tahmin!$C$4+76),DATE(YEAR((Tahmin!$C$4+70)),MONTH((Tahmin!$C$4+70)),MIN(DAY(Kalemler!$D29),DAY(EOMONTH((Tahmin!$C$4+70),0))))&gt;=Kalemler!$D29),AND(DATE(YEAR((Tahmin!$C$4+76)),MONTH((Tahmin!$C$4+76)),MIN(DAY(Kalemler!$D29),DAY(EOMONTH((Tahmin!$C$4+76),0))))&gt;=(Tahmin!$C$4+70),DATE(YEAR((Tahmin!$C$4+76)),MONTH((Tahmin!$C$4+76)),MIN(DAY(Kalemler!$D29),DAY(EOMONTH((Tahmin!$C$4+76),0))))&lt;=(Tahmin!$C$4+76),DATE(YEAR((Tahmin!$C$4+76)),MONTH((Tahmin!$C$4+76)),MIN(DAY(Kalemler!$D29),DAY(EOMONTH((Tahmin!$C$4+76),0))))&lt;&gt;DATE(YEAR((Tahmin!$C$4+70)),MONTH((Tahmin!$C$4+70)),MIN(DAY(Kalemler!$D29),DAY(EOMONTH((Tahmin!$C$4+70),0)))),DATE(YEAR((Tahmin!$C$4+76)),MONTH((Tahmin!$C$4+76)),MIN(DAY(Kalemler!$D29),DAY(EOMONTH((Tahmin!$C$4+76),0))))&gt;=Kalemler!$D29)),1,0),IF(AND(Kalemler!$D29&gt;=(Tahmin!$C$4+70),Kalemler!$D29&lt;=(Tahmin!$C$4+76)),1,0))))</f>
        <v>0</v>
      </c>
      <c r="M29" s="0" t="n">
        <f aca="false">IF(OR(Kalemler!$A29="",Kalemler!$C29="",Kalemler!$D29=""),0,Kalemler!$C29*IF(Kalemler!$E29="Haftalık",IF(Kalemler!$D29&lt;=(Tahmin!$C$4+83),1,0),IF(Kalemler!$E29="Aylık",IF(OR(AND(DATE(YEAR((Tahmin!$C$4+77)),MONTH((Tahmin!$C$4+77)),MIN(DAY(Kalemler!$D29),DAY(EOMONTH((Tahmin!$C$4+77),0))))&gt;=(Tahmin!$C$4+77),DATE(YEAR((Tahmin!$C$4+77)),MONTH((Tahmin!$C$4+77)),MIN(DAY(Kalemler!$D29),DAY(EOMONTH((Tahmin!$C$4+77),0))))&lt;=(Tahmin!$C$4+83),DATE(YEAR((Tahmin!$C$4+77)),MONTH((Tahmin!$C$4+77)),MIN(DAY(Kalemler!$D29),DAY(EOMONTH((Tahmin!$C$4+77),0))))&gt;=Kalemler!$D29),AND(DATE(YEAR((Tahmin!$C$4+83)),MONTH((Tahmin!$C$4+83)),MIN(DAY(Kalemler!$D29),DAY(EOMONTH((Tahmin!$C$4+83),0))))&gt;=(Tahmin!$C$4+77),DATE(YEAR((Tahmin!$C$4+83)),MONTH((Tahmin!$C$4+83)),MIN(DAY(Kalemler!$D29),DAY(EOMONTH((Tahmin!$C$4+83),0))))&lt;=(Tahmin!$C$4+83),DATE(YEAR((Tahmin!$C$4+83)),MONTH((Tahmin!$C$4+83)),MIN(DAY(Kalemler!$D29),DAY(EOMONTH((Tahmin!$C$4+83),0))))&lt;&gt;DATE(YEAR((Tahmin!$C$4+77)),MONTH((Tahmin!$C$4+77)),MIN(DAY(Kalemler!$D29),DAY(EOMONTH((Tahmin!$C$4+77),0)))),DATE(YEAR((Tahmin!$C$4+83)),MONTH((Tahmin!$C$4+83)),MIN(DAY(Kalemler!$D29),DAY(EOMONTH((Tahmin!$C$4+83),0))))&gt;=Kalemler!$D29)),1,0),IF(AND(Kalemler!$D29&gt;=(Tahmin!$C$4+77),Kalemler!$D29&lt;=(Tahmin!$C$4+83)),1,0))))</f>
        <v>0</v>
      </c>
      <c r="N29" s="0" t="n">
        <f aca="false">IF(OR(Kalemler!$A29="",Kalemler!$C29="",Kalemler!$D29=""),0,Kalemler!$C29*IF(Kalemler!$E29="Haftalık",IF(Kalemler!$D29&lt;=(Tahmin!$C$4+90),1,0),IF(Kalemler!$E29="Aylık",IF(OR(AND(DATE(YEAR((Tahmin!$C$4+84)),MONTH((Tahmin!$C$4+84)),MIN(DAY(Kalemler!$D29),DAY(EOMONTH((Tahmin!$C$4+84),0))))&gt;=(Tahmin!$C$4+84),DATE(YEAR((Tahmin!$C$4+84)),MONTH((Tahmin!$C$4+84)),MIN(DAY(Kalemler!$D29),DAY(EOMONTH((Tahmin!$C$4+84),0))))&lt;=(Tahmin!$C$4+90),DATE(YEAR((Tahmin!$C$4+84)),MONTH((Tahmin!$C$4+84)),MIN(DAY(Kalemler!$D29),DAY(EOMONTH((Tahmin!$C$4+84),0))))&gt;=Kalemler!$D29),AND(DATE(YEAR((Tahmin!$C$4+90)),MONTH((Tahmin!$C$4+90)),MIN(DAY(Kalemler!$D29),DAY(EOMONTH((Tahmin!$C$4+90),0))))&gt;=(Tahmin!$C$4+84),DATE(YEAR((Tahmin!$C$4+90)),MONTH((Tahmin!$C$4+90)),MIN(DAY(Kalemler!$D29),DAY(EOMONTH((Tahmin!$C$4+90),0))))&lt;=(Tahmin!$C$4+90),DATE(YEAR((Tahmin!$C$4+90)),MONTH((Tahmin!$C$4+90)),MIN(DAY(Kalemler!$D29),DAY(EOMONTH((Tahmin!$C$4+90),0))))&lt;&gt;DATE(YEAR((Tahmin!$C$4+84)),MONTH((Tahmin!$C$4+84)),MIN(DAY(Kalemler!$D29),DAY(EOMONTH((Tahmin!$C$4+84),0)))),DATE(YEAR((Tahmin!$C$4+90)),MONTH((Tahmin!$C$4+90)),MIN(DAY(Kalemler!$D29),DAY(EOMONTH((Tahmin!$C$4+90),0))))&gt;=Kalemler!$D29)),1,0),IF(AND(Kalemler!$D29&gt;=(Tahmin!$C$4+84),Kalemler!$D29&lt;=(Tahmin!$C$4+90)),1,0))))</f>
        <v>0</v>
      </c>
    </row>
    <row r="30" customFormat="false" ht="15" hidden="false" customHeight="false" outlineLevel="0" collapsed="false">
      <c r="A30" s="0" t="str">
        <f aca="false">IF(Kalemler!A30="","",Kalemler!A30)</f>
        <v/>
      </c>
      <c r="B30" s="0" t="n">
        <f aca="false">IF(OR(Kalemler!$A30="",Kalemler!$C30="",Kalemler!$D30=""),0,Kalemler!$C30*IF(Kalemler!$E30="Haftalık",IF(Kalemler!$D30&lt;=(Tahmin!$C$4+6),1,0),IF(Kalemler!$E30="Aylık",IF(OR(AND(DATE(YEAR((Tahmin!$C$4+0)),MONTH((Tahmin!$C$4+0)),MIN(DAY(Kalemler!$D30),DAY(EOMONTH((Tahmin!$C$4+0),0))))&gt;=(Tahmin!$C$4+0),DATE(YEAR((Tahmin!$C$4+0)),MONTH((Tahmin!$C$4+0)),MIN(DAY(Kalemler!$D30),DAY(EOMONTH((Tahmin!$C$4+0),0))))&lt;=(Tahmin!$C$4+6),DATE(YEAR((Tahmin!$C$4+0)),MONTH((Tahmin!$C$4+0)),MIN(DAY(Kalemler!$D30),DAY(EOMONTH((Tahmin!$C$4+0),0))))&gt;=Kalemler!$D30),AND(DATE(YEAR((Tahmin!$C$4+6)),MONTH((Tahmin!$C$4+6)),MIN(DAY(Kalemler!$D30),DAY(EOMONTH((Tahmin!$C$4+6),0))))&gt;=(Tahmin!$C$4+0),DATE(YEAR((Tahmin!$C$4+6)),MONTH((Tahmin!$C$4+6)),MIN(DAY(Kalemler!$D30),DAY(EOMONTH((Tahmin!$C$4+6),0))))&lt;=(Tahmin!$C$4+6),DATE(YEAR((Tahmin!$C$4+6)),MONTH((Tahmin!$C$4+6)),MIN(DAY(Kalemler!$D30),DAY(EOMONTH((Tahmin!$C$4+6),0))))&lt;&gt;DATE(YEAR((Tahmin!$C$4+0)),MONTH((Tahmin!$C$4+0)),MIN(DAY(Kalemler!$D30),DAY(EOMONTH((Tahmin!$C$4+0),0)))),DATE(YEAR((Tahmin!$C$4+6)),MONTH((Tahmin!$C$4+6)),MIN(DAY(Kalemler!$D30),DAY(EOMONTH((Tahmin!$C$4+6),0))))&gt;=Kalemler!$D30)),1,0),IF(AND(Kalemler!$D30&gt;=(Tahmin!$C$4+0),Kalemler!$D30&lt;=(Tahmin!$C$4+6)),1,0))))</f>
        <v>0</v>
      </c>
      <c r="C30" s="0" t="n">
        <f aca="false">IF(OR(Kalemler!$A30="",Kalemler!$C30="",Kalemler!$D30=""),0,Kalemler!$C30*IF(Kalemler!$E30="Haftalık",IF(Kalemler!$D30&lt;=(Tahmin!$C$4+13),1,0),IF(Kalemler!$E30="Aylık",IF(OR(AND(DATE(YEAR((Tahmin!$C$4+7)),MONTH((Tahmin!$C$4+7)),MIN(DAY(Kalemler!$D30),DAY(EOMONTH((Tahmin!$C$4+7),0))))&gt;=(Tahmin!$C$4+7),DATE(YEAR((Tahmin!$C$4+7)),MONTH((Tahmin!$C$4+7)),MIN(DAY(Kalemler!$D30),DAY(EOMONTH((Tahmin!$C$4+7),0))))&lt;=(Tahmin!$C$4+13),DATE(YEAR((Tahmin!$C$4+7)),MONTH((Tahmin!$C$4+7)),MIN(DAY(Kalemler!$D30),DAY(EOMONTH((Tahmin!$C$4+7),0))))&gt;=Kalemler!$D30),AND(DATE(YEAR((Tahmin!$C$4+13)),MONTH((Tahmin!$C$4+13)),MIN(DAY(Kalemler!$D30),DAY(EOMONTH((Tahmin!$C$4+13),0))))&gt;=(Tahmin!$C$4+7),DATE(YEAR((Tahmin!$C$4+13)),MONTH((Tahmin!$C$4+13)),MIN(DAY(Kalemler!$D30),DAY(EOMONTH((Tahmin!$C$4+13),0))))&lt;=(Tahmin!$C$4+13),DATE(YEAR((Tahmin!$C$4+13)),MONTH((Tahmin!$C$4+13)),MIN(DAY(Kalemler!$D30),DAY(EOMONTH((Tahmin!$C$4+13),0))))&lt;&gt;DATE(YEAR((Tahmin!$C$4+7)),MONTH((Tahmin!$C$4+7)),MIN(DAY(Kalemler!$D30),DAY(EOMONTH((Tahmin!$C$4+7),0)))),DATE(YEAR((Tahmin!$C$4+13)),MONTH((Tahmin!$C$4+13)),MIN(DAY(Kalemler!$D30),DAY(EOMONTH((Tahmin!$C$4+13),0))))&gt;=Kalemler!$D30)),1,0),IF(AND(Kalemler!$D30&gt;=(Tahmin!$C$4+7),Kalemler!$D30&lt;=(Tahmin!$C$4+13)),1,0))))</f>
        <v>0</v>
      </c>
      <c r="D30" s="0" t="n">
        <f aca="false">IF(OR(Kalemler!$A30="",Kalemler!$C30="",Kalemler!$D30=""),0,Kalemler!$C30*IF(Kalemler!$E30="Haftalık",IF(Kalemler!$D30&lt;=(Tahmin!$C$4+20),1,0),IF(Kalemler!$E30="Aylık",IF(OR(AND(DATE(YEAR((Tahmin!$C$4+14)),MONTH((Tahmin!$C$4+14)),MIN(DAY(Kalemler!$D30),DAY(EOMONTH((Tahmin!$C$4+14),0))))&gt;=(Tahmin!$C$4+14),DATE(YEAR((Tahmin!$C$4+14)),MONTH((Tahmin!$C$4+14)),MIN(DAY(Kalemler!$D30),DAY(EOMONTH((Tahmin!$C$4+14),0))))&lt;=(Tahmin!$C$4+20),DATE(YEAR((Tahmin!$C$4+14)),MONTH((Tahmin!$C$4+14)),MIN(DAY(Kalemler!$D30),DAY(EOMONTH((Tahmin!$C$4+14),0))))&gt;=Kalemler!$D30),AND(DATE(YEAR((Tahmin!$C$4+20)),MONTH((Tahmin!$C$4+20)),MIN(DAY(Kalemler!$D30),DAY(EOMONTH((Tahmin!$C$4+20),0))))&gt;=(Tahmin!$C$4+14),DATE(YEAR((Tahmin!$C$4+20)),MONTH((Tahmin!$C$4+20)),MIN(DAY(Kalemler!$D30),DAY(EOMONTH((Tahmin!$C$4+20),0))))&lt;=(Tahmin!$C$4+20),DATE(YEAR((Tahmin!$C$4+20)),MONTH((Tahmin!$C$4+20)),MIN(DAY(Kalemler!$D30),DAY(EOMONTH((Tahmin!$C$4+20),0))))&lt;&gt;DATE(YEAR((Tahmin!$C$4+14)),MONTH((Tahmin!$C$4+14)),MIN(DAY(Kalemler!$D30),DAY(EOMONTH((Tahmin!$C$4+14),0)))),DATE(YEAR((Tahmin!$C$4+20)),MONTH((Tahmin!$C$4+20)),MIN(DAY(Kalemler!$D30),DAY(EOMONTH((Tahmin!$C$4+20),0))))&gt;=Kalemler!$D30)),1,0),IF(AND(Kalemler!$D30&gt;=(Tahmin!$C$4+14),Kalemler!$D30&lt;=(Tahmin!$C$4+20)),1,0))))</f>
        <v>0</v>
      </c>
      <c r="E30" s="0" t="n">
        <f aca="false">IF(OR(Kalemler!$A30="",Kalemler!$C30="",Kalemler!$D30=""),0,Kalemler!$C30*IF(Kalemler!$E30="Haftalık",IF(Kalemler!$D30&lt;=(Tahmin!$C$4+27),1,0),IF(Kalemler!$E30="Aylık",IF(OR(AND(DATE(YEAR((Tahmin!$C$4+21)),MONTH((Tahmin!$C$4+21)),MIN(DAY(Kalemler!$D30),DAY(EOMONTH((Tahmin!$C$4+21),0))))&gt;=(Tahmin!$C$4+21),DATE(YEAR((Tahmin!$C$4+21)),MONTH((Tahmin!$C$4+21)),MIN(DAY(Kalemler!$D30),DAY(EOMONTH((Tahmin!$C$4+21),0))))&lt;=(Tahmin!$C$4+27),DATE(YEAR((Tahmin!$C$4+21)),MONTH((Tahmin!$C$4+21)),MIN(DAY(Kalemler!$D30),DAY(EOMONTH((Tahmin!$C$4+21),0))))&gt;=Kalemler!$D30),AND(DATE(YEAR((Tahmin!$C$4+27)),MONTH((Tahmin!$C$4+27)),MIN(DAY(Kalemler!$D30),DAY(EOMONTH((Tahmin!$C$4+27),0))))&gt;=(Tahmin!$C$4+21),DATE(YEAR((Tahmin!$C$4+27)),MONTH((Tahmin!$C$4+27)),MIN(DAY(Kalemler!$D30),DAY(EOMONTH((Tahmin!$C$4+27),0))))&lt;=(Tahmin!$C$4+27),DATE(YEAR((Tahmin!$C$4+27)),MONTH((Tahmin!$C$4+27)),MIN(DAY(Kalemler!$D30),DAY(EOMONTH((Tahmin!$C$4+27),0))))&lt;&gt;DATE(YEAR((Tahmin!$C$4+21)),MONTH((Tahmin!$C$4+21)),MIN(DAY(Kalemler!$D30),DAY(EOMONTH((Tahmin!$C$4+21),0)))),DATE(YEAR((Tahmin!$C$4+27)),MONTH((Tahmin!$C$4+27)),MIN(DAY(Kalemler!$D30),DAY(EOMONTH((Tahmin!$C$4+27),0))))&gt;=Kalemler!$D30)),1,0),IF(AND(Kalemler!$D30&gt;=(Tahmin!$C$4+21),Kalemler!$D30&lt;=(Tahmin!$C$4+27)),1,0))))</f>
        <v>0</v>
      </c>
      <c r="F30" s="0" t="n">
        <f aca="false">IF(OR(Kalemler!$A30="",Kalemler!$C30="",Kalemler!$D30=""),0,Kalemler!$C30*IF(Kalemler!$E30="Haftalık",IF(Kalemler!$D30&lt;=(Tahmin!$C$4+34),1,0),IF(Kalemler!$E30="Aylık",IF(OR(AND(DATE(YEAR((Tahmin!$C$4+28)),MONTH((Tahmin!$C$4+28)),MIN(DAY(Kalemler!$D30),DAY(EOMONTH((Tahmin!$C$4+28),0))))&gt;=(Tahmin!$C$4+28),DATE(YEAR((Tahmin!$C$4+28)),MONTH((Tahmin!$C$4+28)),MIN(DAY(Kalemler!$D30),DAY(EOMONTH((Tahmin!$C$4+28),0))))&lt;=(Tahmin!$C$4+34),DATE(YEAR((Tahmin!$C$4+28)),MONTH((Tahmin!$C$4+28)),MIN(DAY(Kalemler!$D30),DAY(EOMONTH((Tahmin!$C$4+28),0))))&gt;=Kalemler!$D30),AND(DATE(YEAR((Tahmin!$C$4+34)),MONTH((Tahmin!$C$4+34)),MIN(DAY(Kalemler!$D30),DAY(EOMONTH((Tahmin!$C$4+34),0))))&gt;=(Tahmin!$C$4+28),DATE(YEAR((Tahmin!$C$4+34)),MONTH((Tahmin!$C$4+34)),MIN(DAY(Kalemler!$D30),DAY(EOMONTH((Tahmin!$C$4+34),0))))&lt;=(Tahmin!$C$4+34),DATE(YEAR((Tahmin!$C$4+34)),MONTH((Tahmin!$C$4+34)),MIN(DAY(Kalemler!$D30),DAY(EOMONTH((Tahmin!$C$4+34),0))))&lt;&gt;DATE(YEAR((Tahmin!$C$4+28)),MONTH((Tahmin!$C$4+28)),MIN(DAY(Kalemler!$D30),DAY(EOMONTH((Tahmin!$C$4+28),0)))),DATE(YEAR((Tahmin!$C$4+34)),MONTH((Tahmin!$C$4+34)),MIN(DAY(Kalemler!$D30),DAY(EOMONTH((Tahmin!$C$4+34),0))))&gt;=Kalemler!$D30)),1,0),IF(AND(Kalemler!$D30&gt;=(Tahmin!$C$4+28),Kalemler!$D30&lt;=(Tahmin!$C$4+34)),1,0))))</f>
        <v>0</v>
      </c>
      <c r="G30" s="0" t="n">
        <f aca="false">IF(OR(Kalemler!$A30="",Kalemler!$C30="",Kalemler!$D30=""),0,Kalemler!$C30*IF(Kalemler!$E30="Haftalık",IF(Kalemler!$D30&lt;=(Tahmin!$C$4+41),1,0),IF(Kalemler!$E30="Aylık",IF(OR(AND(DATE(YEAR((Tahmin!$C$4+35)),MONTH((Tahmin!$C$4+35)),MIN(DAY(Kalemler!$D30),DAY(EOMONTH((Tahmin!$C$4+35),0))))&gt;=(Tahmin!$C$4+35),DATE(YEAR((Tahmin!$C$4+35)),MONTH((Tahmin!$C$4+35)),MIN(DAY(Kalemler!$D30),DAY(EOMONTH((Tahmin!$C$4+35),0))))&lt;=(Tahmin!$C$4+41),DATE(YEAR((Tahmin!$C$4+35)),MONTH((Tahmin!$C$4+35)),MIN(DAY(Kalemler!$D30),DAY(EOMONTH((Tahmin!$C$4+35),0))))&gt;=Kalemler!$D30),AND(DATE(YEAR((Tahmin!$C$4+41)),MONTH((Tahmin!$C$4+41)),MIN(DAY(Kalemler!$D30),DAY(EOMONTH((Tahmin!$C$4+41),0))))&gt;=(Tahmin!$C$4+35),DATE(YEAR((Tahmin!$C$4+41)),MONTH((Tahmin!$C$4+41)),MIN(DAY(Kalemler!$D30),DAY(EOMONTH((Tahmin!$C$4+41),0))))&lt;=(Tahmin!$C$4+41),DATE(YEAR((Tahmin!$C$4+41)),MONTH((Tahmin!$C$4+41)),MIN(DAY(Kalemler!$D30),DAY(EOMONTH((Tahmin!$C$4+41),0))))&lt;&gt;DATE(YEAR((Tahmin!$C$4+35)),MONTH((Tahmin!$C$4+35)),MIN(DAY(Kalemler!$D30),DAY(EOMONTH((Tahmin!$C$4+35),0)))),DATE(YEAR((Tahmin!$C$4+41)),MONTH((Tahmin!$C$4+41)),MIN(DAY(Kalemler!$D30),DAY(EOMONTH((Tahmin!$C$4+41),0))))&gt;=Kalemler!$D30)),1,0),IF(AND(Kalemler!$D30&gt;=(Tahmin!$C$4+35),Kalemler!$D30&lt;=(Tahmin!$C$4+41)),1,0))))</f>
        <v>0</v>
      </c>
      <c r="H30" s="0" t="n">
        <f aca="false">IF(OR(Kalemler!$A30="",Kalemler!$C30="",Kalemler!$D30=""),0,Kalemler!$C30*IF(Kalemler!$E30="Haftalık",IF(Kalemler!$D30&lt;=(Tahmin!$C$4+48),1,0),IF(Kalemler!$E30="Aylık",IF(OR(AND(DATE(YEAR((Tahmin!$C$4+42)),MONTH((Tahmin!$C$4+42)),MIN(DAY(Kalemler!$D30),DAY(EOMONTH((Tahmin!$C$4+42),0))))&gt;=(Tahmin!$C$4+42),DATE(YEAR((Tahmin!$C$4+42)),MONTH((Tahmin!$C$4+42)),MIN(DAY(Kalemler!$D30),DAY(EOMONTH((Tahmin!$C$4+42),0))))&lt;=(Tahmin!$C$4+48),DATE(YEAR((Tahmin!$C$4+42)),MONTH((Tahmin!$C$4+42)),MIN(DAY(Kalemler!$D30),DAY(EOMONTH((Tahmin!$C$4+42),0))))&gt;=Kalemler!$D30),AND(DATE(YEAR((Tahmin!$C$4+48)),MONTH((Tahmin!$C$4+48)),MIN(DAY(Kalemler!$D30),DAY(EOMONTH((Tahmin!$C$4+48),0))))&gt;=(Tahmin!$C$4+42),DATE(YEAR((Tahmin!$C$4+48)),MONTH((Tahmin!$C$4+48)),MIN(DAY(Kalemler!$D30),DAY(EOMONTH((Tahmin!$C$4+48),0))))&lt;=(Tahmin!$C$4+48),DATE(YEAR((Tahmin!$C$4+48)),MONTH((Tahmin!$C$4+48)),MIN(DAY(Kalemler!$D30),DAY(EOMONTH((Tahmin!$C$4+48),0))))&lt;&gt;DATE(YEAR((Tahmin!$C$4+42)),MONTH((Tahmin!$C$4+42)),MIN(DAY(Kalemler!$D30),DAY(EOMONTH((Tahmin!$C$4+42),0)))),DATE(YEAR((Tahmin!$C$4+48)),MONTH((Tahmin!$C$4+48)),MIN(DAY(Kalemler!$D30),DAY(EOMONTH((Tahmin!$C$4+48),0))))&gt;=Kalemler!$D30)),1,0),IF(AND(Kalemler!$D30&gt;=(Tahmin!$C$4+42),Kalemler!$D30&lt;=(Tahmin!$C$4+48)),1,0))))</f>
        <v>0</v>
      </c>
      <c r="I30" s="0" t="n">
        <f aca="false">IF(OR(Kalemler!$A30="",Kalemler!$C30="",Kalemler!$D30=""),0,Kalemler!$C30*IF(Kalemler!$E30="Haftalık",IF(Kalemler!$D30&lt;=(Tahmin!$C$4+55),1,0),IF(Kalemler!$E30="Aylık",IF(OR(AND(DATE(YEAR((Tahmin!$C$4+49)),MONTH((Tahmin!$C$4+49)),MIN(DAY(Kalemler!$D30),DAY(EOMONTH((Tahmin!$C$4+49),0))))&gt;=(Tahmin!$C$4+49),DATE(YEAR((Tahmin!$C$4+49)),MONTH((Tahmin!$C$4+49)),MIN(DAY(Kalemler!$D30),DAY(EOMONTH((Tahmin!$C$4+49),0))))&lt;=(Tahmin!$C$4+55),DATE(YEAR((Tahmin!$C$4+49)),MONTH((Tahmin!$C$4+49)),MIN(DAY(Kalemler!$D30),DAY(EOMONTH((Tahmin!$C$4+49),0))))&gt;=Kalemler!$D30),AND(DATE(YEAR((Tahmin!$C$4+55)),MONTH((Tahmin!$C$4+55)),MIN(DAY(Kalemler!$D30),DAY(EOMONTH((Tahmin!$C$4+55),0))))&gt;=(Tahmin!$C$4+49),DATE(YEAR((Tahmin!$C$4+55)),MONTH((Tahmin!$C$4+55)),MIN(DAY(Kalemler!$D30),DAY(EOMONTH((Tahmin!$C$4+55),0))))&lt;=(Tahmin!$C$4+55),DATE(YEAR((Tahmin!$C$4+55)),MONTH((Tahmin!$C$4+55)),MIN(DAY(Kalemler!$D30),DAY(EOMONTH((Tahmin!$C$4+55),0))))&lt;&gt;DATE(YEAR((Tahmin!$C$4+49)),MONTH((Tahmin!$C$4+49)),MIN(DAY(Kalemler!$D30),DAY(EOMONTH((Tahmin!$C$4+49),0)))),DATE(YEAR((Tahmin!$C$4+55)),MONTH((Tahmin!$C$4+55)),MIN(DAY(Kalemler!$D30),DAY(EOMONTH((Tahmin!$C$4+55),0))))&gt;=Kalemler!$D30)),1,0),IF(AND(Kalemler!$D30&gt;=(Tahmin!$C$4+49),Kalemler!$D30&lt;=(Tahmin!$C$4+55)),1,0))))</f>
        <v>0</v>
      </c>
      <c r="J30" s="0" t="n">
        <f aca="false">IF(OR(Kalemler!$A30="",Kalemler!$C30="",Kalemler!$D30=""),0,Kalemler!$C30*IF(Kalemler!$E30="Haftalık",IF(Kalemler!$D30&lt;=(Tahmin!$C$4+62),1,0),IF(Kalemler!$E30="Aylık",IF(OR(AND(DATE(YEAR((Tahmin!$C$4+56)),MONTH((Tahmin!$C$4+56)),MIN(DAY(Kalemler!$D30),DAY(EOMONTH((Tahmin!$C$4+56),0))))&gt;=(Tahmin!$C$4+56),DATE(YEAR((Tahmin!$C$4+56)),MONTH((Tahmin!$C$4+56)),MIN(DAY(Kalemler!$D30),DAY(EOMONTH((Tahmin!$C$4+56),0))))&lt;=(Tahmin!$C$4+62),DATE(YEAR((Tahmin!$C$4+56)),MONTH((Tahmin!$C$4+56)),MIN(DAY(Kalemler!$D30),DAY(EOMONTH((Tahmin!$C$4+56),0))))&gt;=Kalemler!$D30),AND(DATE(YEAR((Tahmin!$C$4+62)),MONTH((Tahmin!$C$4+62)),MIN(DAY(Kalemler!$D30),DAY(EOMONTH((Tahmin!$C$4+62),0))))&gt;=(Tahmin!$C$4+56),DATE(YEAR((Tahmin!$C$4+62)),MONTH((Tahmin!$C$4+62)),MIN(DAY(Kalemler!$D30),DAY(EOMONTH((Tahmin!$C$4+62),0))))&lt;=(Tahmin!$C$4+62),DATE(YEAR((Tahmin!$C$4+62)),MONTH((Tahmin!$C$4+62)),MIN(DAY(Kalemler!$D30),DAY(EOMONTH((Tahmin!$C$4+62),0))))&lt;&gt;DATE(YEAR((Tahmin!$C$4+56)),MONTH((Tahmin!$C$4+56)),MIN(DAY(Kalemler!$D30),DAY(EOMONTH((Tahmin!$C$4+56),0)))),DATE(YEAR((Tahmin!$C$4+62)),MONTH((Tahmin!$C$4+62)),MIN(DAY(Kalemler!$D30),DAY(EOMONTH((Tahmin!$C$4+62),0))))&gt;=Kalemler!$D30)),1,0),IF(AND(Kalemler!$D30&gt;=(Tahmin!$C$4+56),Kalemler!$D30&lt;=(Tahmin!$C$4+62)),1,0))))</f>
        <v>0</v>
      </c>
      <c r="K30" s="0" t="n">
        <f aca="false">IF(OR(Kalemler!$A30="",Kalemler!$C30="",Kalemler!$D30=""),0,Kalemler!$C30*IF(Kalemler!$E30="Haftalık",IF(Kalemler!$D30&lt;=(Tahmin!$C$4+69),1,0),IF(Kalemler!$E30="Aylık",IF(OR(AND(DATE(YEAR((Tahmin!$C$4+63)),MONTH((Tahmin!$C$4+63)),MIN(DAY(Kalemler!$D30),DAY(EOMONTH((Tahmin!$C$4+63),0))))&gt;=(Tahmin!$C$4+63),DATE(YEAR((Tahmin!$C$4+63)),MONTH((Tahmin!$C$4+63)),MIN(DAY(Kalemler!$D30),DAY(EOMONTH((Tahmin!$C$4+63),0))))&lt;=(Tahmin!$C$4+69),DATE(YEAR((Tahmin!$C$4+63)),MONTH((Tahmin!$C$4+63)),MIN(DAY(Kalemler!$D30),DAY(EOMONTH((Tahmin!$C$4+63),0))))&gt;=Kalemler!$D30),AND(DATE(YEAR((Tahmin!$C$4+69)),MONTH((Tahmin!$C$4+69)),MIN(DAY(Kalemler!$D30),DAY(EOMONTH((Tahmin!$C$4+69),0))))&gt;=(Tahmin!$C$4+63),DATE(YEAR((Tahmin!$C$4+69)),MONTH((Tahmin!$C$4+69)),MIN(DAY(Kalemler!$D30),DAY(EOMONTH((Tahmin!$C$4+69),0))))&lt;=(Tahmin!$C$4+69),DATE(YEAR((Tahmin!$C$4+69)),MONTH((Tahmin!$C$4+69)),MIN(DAY(Kalemler!$D30),DAY(EOMONTH((Tahmin!$C$4+69),0))))&lt;&gt;DATE(YEAR((Tahmin!$C$4+63)),MONTH((Tahmin!$C$4+63)),MIN(DAY(Kalemler!$D30),DAY(EOMONTH((Tahmin!$C$4+63),0)))),DATE(YEAR((Tahmin!$C$4+69)),MONTH((Tahmin!$C$4+69)),MIN(DAY(Kalemler!$D30),DAY(EOMONTH((Tahmin!$C$4+69),0))))&gt;=Kalemler!$D30)),1,0),IF(AND(Kalemler!$D30&gt;=(Tahmin!$C$4+63),Kalemler!$D30&lt;=(Tahmin!$C$4+69)),1,0))))</f>
        <v>0</v>
      </c>
      <c r="L30" s="0" t="n">
        <f aca="false">IF(OR(Kalemler!$A30="",Kalemler!$C30="",Kalemler!$D30=""),0,Kalemler!$C30*IF(Kalemler!$E30="Haftalık",IF(Kalemler!$D30&lt;=(Tahmin!$C$4+76),1,0),IF(Kalemler!$E30="Aylık",IF(OR(AND(DATE(YEAR((Tahmin!$C$4+70)),MONTH((Tahmin!$C$4+70)),MIN(DAY(Kalemler!$D30),DAY(EOMONTH((Tahmin!$C$4+70),0))))&gt;=(Tahmin!$C$4+70),DATE(YEAR((Tahmin!$C$4+70)),MONTH((Tahmin!$C$4+70)),MIN(DAY(Kalemler!$D30),DAY(EOMONTH((Tahmin!$C$4+70),0))))&lt;=(Tahmin!$C$4+76),DATE(YEAR((Tahmin!$C$4+70)),MONTH((Tahmin!$C$4+70)),MIN(DAY(Kalemler!$D30),DAY(EOMONTH((Tahmin!$C$4+70),0))))&gt;=Kalemler!$D30),AND(DATE(YEAR((Tahmin!$C$4+76)),MONTH((Tahmin!$C$4+76)),MIN(DAY(Kalemler!$D30),DAY(EOMONTH((Tahmin!$C$4+76),0))))&gt;=(Tahmin!$C$4+70),DATE(YEAR((Tahmin!$C$4+76)),MONTH((Tahmin!$C$4+76)),MIN(DAY(Kalemler!$D30),DAY(EOMONTH((Tahmin!$C$4+76),0))))&lt;=(Tahmin!$C$4+76),DATE(YEAR((Tahmin!$C$4+76)),MONTH((Tahmin!$C$4+76)),MIN(DAY(Kalemler!$D30),DAY(EOMONTH((Tahmin!$C$4+76),0))))&lt;&gt;DATE(YEAR((Tahmin!$C$4+70)),MONTH((Tahmin!$C$4+70)),MIN(DAY(Kalemler!$D30),DAY(EOMONTH((Tahmin!$C$4+70),0)))),DATE(YEAR((Tahmin!$C$4+76)),MONTH((Tahmin!$C$4+76)),MIN(DAY(Kalemler!$D30),DAY(EOMONTH((Tahmin!$C$4+76),0))))&gt;=Kalemler!$D30)),1,0),IF(AND(Kalemler!$D30&gt;=(Tahmin!$C$4+70),Kalemler!$D30&lt;=(Tahmin!$C$4+76)),1,0))))</f>
        <v>0</v>
      </c>
      <c r="M30" s="0" t="n">
        <f aca="false">IF(OR(Kalemler!$A30="",Kalemler!$C30="",Kalemler!$D30=""),0,Kalemler!$C30*IF(Kalemler!$E30="Haftalık",IF(Kalemler!$D30&lt;=(Tahmin!$C$4+83),1,0),IF(Kalemler!$E30="Aylık",IF(OR(AND(DATE(YEAR((Tahmin!$C$4+77)),MONTH((Tahmin!$C$4+77)),MIN(DAY(Kalemler!$D30),DAY(EOMONTH((Tahmin!$C$4+77),0))))&gt;=(Tahmin!$C$4+77),DATE(YEAR((Tahmin!$C$4+77)),MONTH((Tahmin!$C$4+77)),MIN(DAY(Kalemler!$D30),DAY(EOMONTH((Tahmin!$C$4+77),0))))&lt;=(Tahmin!$C$4+83),DATE(YEAR((Tahmin!$C$4+77)),MONTH((Tahmin!$C$4+77)),MIN(DAY(Kalemler!$D30),DAY(EOMONTH((Tahmin!$C$4+77),0))))&gt;=Kalemler!$D30),AND(DATE(YEAR((Tahmin!$C$4+83)),MONTH((Tahmin!$C$4+83)),MIN(DAY(Kalemler!$D30),DAY(EOMONTH((Tahmin!$C$4+83),0))))&gt;=(Tahmin!$C$4+77),DATE(YEAR((Tahmin!$C$4+83)),MONTH((Tahmin!$C$4+83)),MIN(DAY(Kalemler!$D30),DAY(EOMONTH((Tahmin!$C$4+83),0))))&lt;=(Tahmin!$C$4+83),DATE(YEAR((Tahmin!$C$4+83)),MONTH((Tahmin!$C$4+83)),MIN(DAY(Kalemler!$D30),DAY(EOMONTH((Tahmin!$C$4+83),0))))&lt;&gt;DATE(YEAR((Tahmin!$C$4+77)),MONTH((Tahmin!$C$4+77)),MIN(DAY(Kalemler!$D30),DAY(EOMONTH((Tahmin!$C$4+77),0)))),DATE(YEAR((Tahmin!$C$4+83)),MONTH((Tahmin!$C$4+83)),MIN(DAY(Kalemler!$D30),DAY(EOMONTH((Tahmin!$C$4+83),0))))&gt;=Kalemler!$D30)),1,0),IF(AND(Kalemler!$D30&gt;=(Tahmin!$C$4+77),Kalemler!$D30&lt;=(Tahmin!$C$4+83)),1,0))))</f>
        <v>0</v>
      </c>
      <c r="N30" s="0" t="n">
        <f aca="false">IF(OR(Kalemler!$A30="",Kalemler!$C30="",Kalemler!$D30=""),0,Kalemler!$C30*IF(Kalemler!$E30="Haftalık",IF(Kalemler!$D30&lt;=(Tahmin!$C$4+90),1,0),IF(Kalemler!$E30="Aylık",IF(OR(AND(DATE(YEAR((Tahmin!$C$4+84)),MONTH((Tahmin!$C$4+84)),MIN(DAY(Kalemler!$D30),DAY(EOMONTH((Tahmin!$C$4+84),0))))&gt;=(Tahmin!$C$4+84),DATE(YEAR((Tahmin!$C$4+84)),MONTH((Tahmin!$C$4+84)),MIN(DAY(Kalemler!$D30),DAY(EOMONTH((Tahmin!$C$4+84),0))))&lt;=(Tahmin!$C$4+90),DATE(YEAR((Tahmin!$C$4+84)),MONTH((Tahmin!$C$4+84)),MIN(DAY(Kalemler!$D30),DAY(EOMONTH((Tahmin!$C$4+84),0))))&gt;=Kalemler!$D30),AND(DATE(YEAR((Tahmin!$C$4+90)),MONTH((Tahmin!$C$4+90)),MIN(DAY(Kalemler!$D30),DAY(EOMONTH((Tahmin!$C$4+90),0))))&gt;=(Tahmin!$C$4+84),DATE(YEAR((Tahmin!$C$4+90)),MONTH((Tahmin!$C$4+90)),MIN(DAY(Kalemler!$D30),DAY(EOMONTH((Tahmin!$C$4+90),0))))&lt;=(Tahmin!$C$4+90),DATE(YEAR((Tahmin!$C$4+90)),MONTH((Tahmin!$C$4+90)),MIN(DAY(Kalemler!$D30),DAY(EOMONTH((Tahmin!$C$4+90),0))))&lt;&gt;DATE(YEAR((Tahmin!$C$4+84)),MONTH((Tahmin!$C$4+84)),MIN(DAY(Kalemler!$D30),DAY(EOMONTH((Tahmin!$C$4+84),0)))),DATE(YEAR((Tahmin!$C$4+90)),MONTH((Tahmin!$C$4+90)),MIN(DAY(Kalemler!$D30),DAY(EOMONTH((Tahmin!$C$4+90),0))))&gt;=Kalemler!$D30)),1,0),IF(AND(Kalemler!$D30&gt;=(Tahmin!$C$4+84),Kalemler!$D30&lt;=(Tahmin!$C$4+90)),1,0))))</f>
        <v>0</v>
      </c>
    </row>
    <row r="31" customFormat="false" ht="15" hidden="false" customHeight="false" outlineLevel="0" collapsed="false">
      <c r="A31" s="0" t="str">
        <f aca="false">IF(Kalemler!A31="","",Kalemler!A31)</f>
        <v/>
      </c>
      <c r="B31" s="0" t="n">
        <f aca="false">IF(OR(Kalemler!$A31="",Kalemler!$C31="",Kalemler!$D31=""),0,Kalemler!$C31*IF(Kalemler!$E31="Haftalık",IF(Kalemler!$D31&lt;=(Tahmin!$C$4+6),1,0),IF(Kalemler!$E31="Aylık",IF(OR(AND(DATE(YEAR((Tahmin!$C$4+0)),MONTH((Tahmin!$C$4+0)),MIN(DAY(Kalemler!$D31),DAY(EOMONTH((Tahmin!$C$4+0),0))))&gt;=(Tahmin!$C$4+0),DATE(YEAR((Tahmin!$C$4+0)),MONTH((Tahmin!$C$4+0)),MIN(DAY(Kalemler!$D31),DAY(EOMONTH((Tahmin!$C$4+0),0))))&lt;=(Tahmin!$C$4+6),DATE(YEAR((Tahmin!$C$4+0)),MONTH((Tahmin!$C$4+0)),MIN(DAY(Kalemler!$D31),DAY(EOMONTH((Tahmin!$C$4+0),0))))&gt;=Kalemler!$D31),AND(DATE(YEAR((Tahmin!$C$4+6)),MONTH((Tahmin!$C$4+6)),MIN(DAY(Kalemler!$D31),DAY(EOMONTH((Tahmin!$C$4+6),0))))&gt;=(Tahmin!$C$4+0),DATE(YEAR((Tahmin!$C$4+6)),MONTH((Tahmin!$C$4+6)),MIN(DAY(Kalemler!$D31),DAY(EOMONTH((Tahmin!$C$4+6),0))))&lt;=(Tahmin!$C$4+6),DATE(YEAR((Tahmin!$C$4+6)),MONTH((Tahmin!$C$4+6)),MIN(DAY(Kalemler!$D31),DAY(EOMONTH((Tahmin!$C$4+6),0))))&lt;&gt;DATE(YEAR((Tahmin!$C$4+0)),MONTH((Tahmin!$C$4+0)),MIN(DAY(Kalemler!$D31),DAY(EOMONTH((Tahmin!$C$4+0),0)))),DATE(YEAR((Tahmin!$C$4+6)),MONTH((Tahmin!$C$4+6)),MIN(DAY(Kalemler!$D31),DAY(EOMONTH((Tahmin!$C$4+6),0))))&gt;=Kalemler!$D31)),1,0),IF(AND(Kalemler!$D31&gt;=(Tahmin!$C$4+0),Kalemler!$D31&lt;=(Tahmin!$C$4+6)),1,0))))</f>
        <v>0</v>
      </c>
      <c r="C31" s="0" t="n">
        <f aca="false">IF(OR(Kalemler!$A31="",Kalemler!$C31="",Kalemler!$D31=""),0,Kalemler!$C31*IF(Kalemler!$E31="Haftalık",IF(Kalemler!$D31&lt;=(Tahmin!$C$4+13),1,0),IF(Kalemler!$E31="Aylık",IF(OR(AND(DATE(YEAR((Tahmin!$C$4+7)),MONTH((Tahmin!$C$4+7)),MIN(DAY(Kalemler!$D31),DAY(EOMONTH((Tahmin!$C$4+7),0))))&gt;=(Tahmin!$C$4+7),DATE(YEAR((Tahmin!$C$4+7)),MONTH((Tahmin!$C$4+7)),MIN(DAY(Kalemler!$D31),DAY(EOMONTH((Tahmin!$C$4+7),0))))&lt;=(Tahmin!$C$4+13),DATE(YEAR((Tahmin!$C$4+7)),MONTH((Tahmin!$C$4+7)),MIN(DAY(Kalemler!$D31),DAY(EOMONTH((Tahmin!$C$4+7),0))))&gt;=Kalemler!$D31),AND(DATE(YEAR((Tahmin!$C$4+13)),MONTH((Tahmin!$C$4+13)),MIN(DAY(Kalemler!$D31),DAY(EOMONTH((Tahmin!$C$4+13),0))))&gt;=(Tahmin!$C$4+7),DATE(YEAR((Tahmin!$C$4+13)),MONTH((Tahmin!$C$4+13)),MIN(DAY(Kalemler!$D31),DAY(EOMONTH((Tahmin!$C$4+13),0))))&lt;=(Tahmin!$C$4+13),DATE(YEAR((Tahmin!$C$4+13)),MONTH((Tahmin!$C$4+13)),MIN(DAY(Kalemler!$D31),DAY(EOMONTH((Tahmin!$C$4+13),0))))&lt;&gt;DATE(YEAR((Tahmin!$C$4+7)),MONTH((Tahmin!$C$4+7)),MIN(DAY(Kalemler!$D31),DAY(EOMONTH((Tahmin!$C$4+7),0)))),DATE(YEAR((Tahmin!$C$4+13)),MONTH((Tahmin!$C$4+13)),MIN(DAY(Kalemler!$D31),DAY(EOMONTH((Tahmin!$C$4+13),0))))&gt;=Kalemler!$D31)),1,0),IF(AND(Kalemler!$D31&gt;=(Tahmin!$C$4+7),Kalemler!$D31&lt;=(Tahmin!$C$4+13)),1,0))))</f>
        <v>0</v>
      </c>
      <c r="D31" s="0" t="n">
        <f aca="false">IF(OR(Kalemler!$A31="",Kalemler!$C31="",Kalemler!$D31=""),0,Kalemler!$C31*IF(Kalemler!$E31="Haftalık",IF(Kalemler!$D31&lt;=(Tahmin!$C$4+20),1,0),IF(Kalemler!$E31="Aylık",IF(OR(AND(DATE(YEAR((Tahmin!$C$4+14)),MONTH((Tahmin!$C$4+14)),MIN(DAY(Kalemler!$D31),DAY(EOMONTH((Tahmin!$C$4+14),0))))&gt;=(Tahmin!$C$4+14),DATE(YEAR((Tahmin!$C$4+14)),MONTH((Tahmin!$C$4+14)),MIN(DAY(Kalemler!$D31),DAY(EOMONTH((Tahmin!$C$4+14),0))))&lt;=(Tahmin!$C$4+20),DATE(YEAR((Tahmin!$C$4+14)),MONTH((Tahmin!$C$4+14)),MIN(DAY(Kalemler!$D31),DAY(EOMONTH((Tahmin!$C$4+14),0))))&gt;=Kalemler!$D31),AND(DATE(YEAR((Tahmin!$C$4+20)),MONTH((Tahmin!$C$4+20)),MIN(DAY(Kalemler!$D31),DAY(EOMONTH((Tahmin!$C$4+20),0))))&gt;=(Tahmin!$C$4+14),DATE(YEAR((Tahmin!$C$4+20)),MONTH((Tahmin!$C$4+20)),MIN(DAY(Kalemler!$D31),DAY(EOMONTH((Tahmin!$C$4+20),0))))&lt;=(Tahmin!$C$4+20),DATE(YEAR((Tahmin!$C$4+20)),MONTH((Tahmin!$C$4+20)),MIN(DAY(Kalemler!$D31),DAY(EOMONTH((Tahmin!$C$4+20),0))))&lt;&gt;DATE(YEAR((Tahmin!$C$4+14)),MONTH((Tahmin!$C$4+14)),MIN(DAY(Kalemler!$D31),DAY(EOMONTH((Tahmin!$C$4+14),0)))),DATE(YEAR((Tahmin!$C$4+20)),MONTH((Tahmin!$C$4+20)),MIN(DAY(Kalemler!$D31),DAY(EOMONTH((Tahmin!$C$4+20),0))))&gt;=Kalemler!$D31)),1,0),IF(AND(Kalemler!$D31&gt;=(Tahmin!$C$4+14),Kalemler!$D31&lt;=(Tahmin!$C$4+20)),1,0))))</f>
        <v>0</v>
      </c>
      <c r="E31" s="0" t="n">
        <f aca="false">IF(OR(Kalemler!$A31="",Kalemler!$C31="",Kalemler!$D31=""),0,Kalemler!$C31*IF(Kalemler!$E31="Haftalık",IF(Kalemler!$D31&lt;=(Tahmin!$C$4+27),1,0),IF(Kalemler!$E31="Aylık",IF(OR(AND(DATE(YEAR((Tahmin!$C$4+21)),MONTH((Tahmin!$C$4+21)),MIN(DAY(Kalemler!$D31),DAY(EOMONTH((Tahmin!$C$4+21),0))))&gt;=(Tahmin!$C$4+21),DATE(YEAR((Tahmin!$C$4+21)),MONTH((Tahmin!$C$4+21)),MIN(DAY(Kalemler!$D31),DAY(EOMONTH((Tahmin!$C$4+21),0))))&lt;=(Tahmin!$C$4+27),DATE(YEAR((Tahmin!$C$4+21)),MONTH((Tahmin!$C$4+21)),MIN(DAY(Kalemler!$D31),DAY(EOMONTH((Tahmin!$C$4+21),0))))&gt;=Kalemler!$D31),AND(DATE(YEAR((Tahmin!$C$4+27)),MONTH((Tahmin!$C$4+27)),MIN(DAY(Kalemler!$D31),DAY(EOMONTH((Tahmin!$C$4+27),0))))&gt;=(Tahmin!$C$4+21),DATE(YEAR((Tahmin!$C$4+27)),MONTH((Tahmin!$C$4+27)),MIN(DAY(Kalemler!$D31),DAY(EOMONTH((Tahmin!$C$4+27),0))))&lt;=(Tahmin!$C$4+27),DATE(YEAR((Tahmin!$C$4+27)),MONTH((Tahmin!$C$4+27)),MIN(DAY(Kalemler!$D31),DAY(EOMONTH((Tahmin!$C$4+27),0))))&lt;&gt;DATE(YEAR((Tahmin!$C$4+21)),MONTH((Tahmin!$C$4+21)),MIN(DAY(Kalemler!$D31),DAY(EOMONTH((Tahmin!$C$4+21),0)))),DATE(YEAR((Tahmin!$C$4+27)),MONTH((Tahmin!$C$4+27)),MIN(DAY(Kalemler!$D31),DAY(EOMONTH((Tahmin!$C$4+27),0))))&gt;=Kalemler!$D31)),1,0),IF(AND(Kalemler!$D31&gt;=(Tahmin!$C$4+21),Kalemler!$D31&lt;=(Tahmin!$C$4+27)),1,0))))</f>
        <v>0</v>
      </c>
      <c r="F31" s="0" t="n">
        <f aca="false">IF(OR(Kalemler!$A31="",Kalemler!$C31="",Kalemler!$D31=""),0,Kalemler!$C31*IF(Kalemler!$E31="Haftalık",IF(Kalemler!$D31&lt;=(Tahmin!$C$4+34),1,0),IF(Kalemler!$E31="Aylık",IF(OR(AND(DATE(YEAR((Tahmin!$C$4+28)),MONTH((Tahmin!$C$4+28)),MIN(DAY(Kalemler!$D31),DAY(EOMONTH((Tahmin!$C$4+28),0))))&gt;=(Tahmin!$C$4+28),DATE(YEAR((Tahmin!$C$4+28)),MONTH((Tahmin!$C$4+28)),MIN(DAY(Kalemler!$D31),DAY(EOMONTH((Tahmin!$C$4+28),0))))&lt;=(Tahmin!$C$4+34),DATE(YEAR((Tahmin!$C$4+28)),MONTH((Tahmin!$C$4+28)),MIN(DAY(Kalemler!$D31),DAY(EOMONTH((Tahmin!$C$4+28),0))))&gt;=Kalemler!$D31),AND(DATE(YEAR((Tahmin!$C$4+34)),MONTH((Tahmin!$C$4+34)),MIN(DAY(Kalemler!$D31),DAY(EOMONTH((Tahmin!$C$4+34),0))))&gt;=(Tahmin!$C$4+28),DATE(YEAR((Tahmin!$C$4+34)),MONTH((Tahmin!$C$4+34)),MIN(DAY(Kalemler!$D31),DAY(EOMONTH((Tahmin!$C$4+34),0))))&lt;=(Tahmin!$C$4+34),DATE(YEAR((Tahmin!$C$4+34)),MONTH((Tahmin!$C$4+34)),MIN(DAY(Kalemler!$D31),DAY(EOMONTH((Tahmin!$C$4+34),0))))&lt;&gt;DATE(YEAR((Tahmin!$C$4+28)),MONTH((Tahmin!$C$4+28)),MIN(DAY(Kalemler!$D31),DAY(EOMONTH((Tahmin!$C$4+28),0)))),DATE(YEAR((Tahmin!$C$4+34)),MONTH((Tahmin!$C$4+34)),MIN(DAY(Kalemler!$D31),DAY(EOMONTH((Tahmin!$C$4+34),0))))&gt;=Kalemler!$D31)),1,0),IF(AND(Kalemler!$D31&gt;=(Tahmin!$C$4+28),Kalemler!$D31&lt;=(Tahmin!$C$4+34)),1,0))))</f>
        <v>0</v>
      </c>
      <c r="G31" s="0" t="n">
        <f aca="false">IF(OR(Kalemler!$A31="",Kalemler!$C31="",Kalemler!$D31=""),0,Kalemler!$C31*IF(Kalemler!$E31="Haftalık",IF(Kalemler!$D31&lt;=(Tahmin!$C$4+41),1,0),IF(Kalemler!$E31="Aylık",IF(OR(AND(DATE(YEAR((Tahmin!$C$4+35)),MONTH((Tahmin!$C$4+35)),MIN(DAY(Kalemler!$D31),DAY(EOMONTH((Tahmin!$C$4+35),0))))&gt;=(Tahmin!$C$4+35),DATE(YEAR((Tahmin!$C$4+35)),MONTH((Tahmin!$C$4+35)),MIN(DAY(Kalemler!$D31),DAY(EOMONTH((Tahmin!$C$4+35),0))))&lt;=(Tahmin!$C$4+41),DATE(YEAR((Tahmin!$C$4+35)),MONTH((Tahmin!$C$4+35)),MIN(DAY(Kalemler!$D31),DAY(EOMONTH((Tahmin!$C$4+35),0))))&gt;=Kalemler!$D31),AND(DATE(YEAR((Tahmin!$C$4+41)),MONTH((Tahmin!$C$4+41)),MIN(DAY(Kalemler!$D31),DAY(EOMONTH((Tahmin!$C$4+41),0))))&gt;=(Tahmin!$C$4+35),DATE(YEAR((Tahmin!$C$4+41)),MONTH((Tahmin!$C$4+41)),MIN(DAY(Kalemler!$D31),DAY(EOMONTH((Tahmin!$C$4+41),0))))&lt;=(Tahmin!$C$4+41),DATE(YEAR((Tahmin!$C$4+41)),MONTH((Tahmin!$C$4+41)),MIN(DAY(Kalemler!$D31),DAY(EOMONTH((Tahmin!$C$4+41),0))))&lt;&gt;DATE(YEAR((Tahmin!$C$4+35)),MONTH((Tahmin!$C$4+35)),MIN(DAY(Kalemler!$D31),DAY(EOMONTH((Tahmin!$C$4+35),0)))),DATE(YEAR((Tahmin!$C$4+41)),MONTH((Tahmin!$C$4+41)),MIN(DAY(Kalemler!$D31),DAY(EOMONTH((Tahmin!$C$4+41),0))))&gt;=Kalemler!$D31)),1,0),IF(AND(Kalemler!$D31&gt;=(Tahmin!$C$4+35),Kalemler!$D31&lt;=(Tahmin!$C$4+41)),1,0))))</f>
        <v>0</v>
      </c>
      <c r="H31" s="0" t="n">
        <f aca="false">IF(OR(Kalemler!$A31="",Kalemler!$C31="",Kalemler!$D31=""),0,Kalemler!$C31*IF(Kalemler!$E31="Haftalık",IF(Kalemler!$D31&lt;=(Tahmin!$C$4+48),1,0),IF(Kalemler!$E31="Aylık",IF(OR(AND(DATE(YEAR((Tahmin!$C$4+42)),MONTH((Tahmin!$C$4+42)),MIN(DAY(Kalemler!$D31),DAY(EOMONTH((Tahmin!$C$4+42),0))))&gt;=(Tahmin!$C$4+42),DATE(YEAR((Tahmin!$C$4+42)),MONTH((Tahmin!$C$4+42)),MIN(DAY(Kalemler!$D31),DAY(EOMONTH((Tahmin!$C$4+42),0))))&lt;=(Tahmin!$C$4+48),DATE(YEAR((Tahmin!$C$4+42)),MONTH((Tahmin!$C$4+42)),MIN(DAY(Kalemler!$D31),DAY(EOMONTH((Tahmin!$C$4+42),0))))&gt;=Kalemler!$D31),AND(DATE(YEAR((Tahmin!$C$4+48)),MONTH((Tahmin!$C$4+48)),MIN(DAY(Kalemler!$D31),DAY(EOMONTH((Tahmin!$C$4+48),0))))&gt;=(Tahmin!$C$4+42),DATE(YEAR((Tahmin!$C$4+48)),MONTH((Tahmin!$C$4+48)),MIN(DAY(Kalemler!$D31),DAY(EOMONTH((Tahmin!$C$4+48),0))))&lt;=(Tahmin!$C$4+48),DATE(YEAR((Tahmin!$C$4+48)),MONTH((Tahmin!$C$4+48)),MIN(DAY(Kalemler!$D31),DAY(EOMONTH((Tahmin!$C$4+48),0))))&lt;&gt;DATE(YEAR((Tahmin!$C$4+42)),MONTH((Tahmin!$C$4+42)),MIN(DAY(Kalemler!$D31),DAY(EOMONTH((Tahmin!$C$4+42),0)))),DATE(YEAR((Tahmin!$C$4+48)),MONTH((Tahmin!$C$4+48)),MIN(DAY(Kalemler!$D31),DAY(EOMONTH((Tahmin!$C$4+48),0))))&gt;=Kalemler!$D31)),1,0),IF(AND(Kalemler!$D31&gt;=(Tahmin!$C$4+42),Kalemler!$D31&lt;=(Tahmin!$C$4+48)),1,0))))</f>
        <v>0</v>
      </c>
      <c r="I31" s="0" t="n">
        <f aca="false">IF(OR(Kalemler!$A31="",Kalemler!$C31="",Kalemler!$D31=""),0,Kalemler!$C31*IF(Kalemler!$E31="Haftalık",IF(Kalemler!$D31&lt;=(Tahmin!$C$4+55),1,0),IF(Kalemler!$E31="Aylık",IF(OR(AND(DATE(YEAR((Tahmin!$C$4+49)),MONTH((Tahmin!$C$4+49)),MIN(DAY(Kalemler!$D31),DAY(EOMONTH((Tahmin!$C$4+49),0))))&gt;=(Tahmin!$C$4+49),DATE(YEAR((Tahmin!$C$4+49)),MONTH((Tahmin!$C$4+49)),MIN(DAY(Kalemler!$D31),DAY(EOMONTH((Tahmin!$C$4+49),0))))&lt;=(Tahmin!$C$4+55),DATE(YEAR((Tahmin!$C$4+49)),MONTH((Tahmin!$C$4+49)),MIN(DAY(Kalemler!$D31),DAY(EOMONTH((Tahmin!$C$4+49),0))))&gt;=Kalemler!$D31),AND(DATE(YEAR((Tahmin!$C$4+55)),MONTH((Tahmin!$C$4+55)),MIN(DAY(Kalemler!$D31),DAY(EOMONTH((Tahmin!$C$4+55),0))))&gt;=(Tahmin!$C$4+49),DATE(YEAR((Tahmin!$C$4+55)),MONTH((Tahmin!$C$4+55)),MIN(DAY(Kalemler!$D31),DAY(EOMONTH((Tahmin!$C$4+55),0))))&lt;=(Tahmin!$C$4+55),DATE(YEAR((Tahmin!$C$4+55)),MONTH((Tahmin!$C$4+55)),MIN(DAY(Kalemler!$D31),DAY(EOMONTH((Tahmin!$C$4+55),0))))&lt;&gt;DATE(YEAR((Tahmin!$C$4+49)),MONTH((Tahmin!$C$4+49)),MIN(DAY(Kalemler!$D31),DAY(EOMONTH((Tahmin!$C$4+49),0)))),DATE(YEAR((Tahmin!$C$4+55)),MONTH((Tahmin!$C$4+55)),MIN(DAY(Kalemler!$D31),DAY(EOMONTH((Tahmin!$C$4+55),0))))&gt;=Kalemler!$D31)),1,0),IF(AND(Kalemler!$D31&gt;=(Tahmin!$C$4+49),Kalemler!$D31&lt;=(Tahmin!$C$4+55)),1,0))))</f>
        <v>0</v>
      </c>
      <c r="J31" s="0" t="n">
        <f aca="false">IF(OR(Kalemler!$A31="",Kalemler!$C31="",Kalemler!$D31=""),0,Kalemler!$C31*IF(Kalemler!$E31="Haftalık",IF(Kalemler!$D31&lt;=(Tahmin!$C$4+62),1,0),IF(Kalemler!$E31="Aylık",IF(OR(AND(DATE(YEAR((Tahmin!$C$4+56)),MONTH((Tahmin!$C$4+56)),MIN(DAY(Kalemler!$D31),DAY(EOMONTH((Tahmin!$C$4+56),0))))&gt;=(Tahmin!$C$4+56),DATE(YEAR((Tahmin!$C$4+56)),MONTH((Tahmin!$C$4+56)),MIN(DAY(Kalemler!$D31),DAY(EOMONTH((Tahmin!$C$4+56),0))))&lt;=(Tahmin!$C$4+62),DATE(YEAR((Tahmin!$C$4+56)),MONTH((Tahmin!$C$4+56)),MIN(DAY(Kalemler!$D31),DAY(EOMONTH((Tahmin!$C$4+56),0))))&gt;=Kalemler!$D31),AND(DATE(YEAR((Tahmin!$C$4+62)),MONTH((Tahmin!$C$4+62)),MIN(DAY(Kalemler!$D31),DAY(EOMONTH((Tahmin!$C$4+62),0))))&gt;=(Tahmin!$C$4+56),DATE(YEAR((Tahmin!$C$4+62)),MONTH((Tahmin!$C$4+62)),MIN(DAY(Kalemler!$D31),DAY(EOMONTH((Tahmin!$C$4+62),0))))&lt;=(Tahmin!$C$4+62),DATE(YEAR((Tahmin!$C$4+62)),MONTH((Tahmin!$C$4+62)),MIN(DAY(Kalemler!$D31),DAY(EOMONTH((Tahmin!$C$4+62),0))))&lt;&gt;DATE(YEAR((Tahmin!$C$4+56)),MONTH((Tahmin!$C$4+56)),MIN(DAY(Kalemler!$D31),DAY(EOMONTH((Tahmin!$C$4+56),0)))),DATE(YEAR((Tahmin!$C$4+62)),MONTH((Tahmin!$C$4+62)),MIN(DAY(Kalemler!$D31),DAY(EOMONTH((Tahmin!$C$4+62),0))))&gt;=Kalemler!$D31)),1,0),IF(AND(Kalemler!$D31&gt;=(Tahmin!$C$4+56),Kalemler!$D31&lt;=(Tahmin!$C$4+62)),1,0))))</f>
        <v>0</v>
      </c>
      <c r="K31" s="0" t="n">
        <f aca="false">IF(OR(Kalemler!$A31="",Kalemler!$C31="",Kalemler!$D31=""),0,Kalemler!$C31*IF(Kalemler!$E31="Haftalık",IF(Kalemler!$D31&lt;=(Tahmin!$C$4+69),1,0),IF(Kalemler!$E31="Aylık",IF(OR(AND(DATE(YEAR((Tahmin!$C$4+63)),MONTH((Tahmin!$C$4+63)),MIN(DAY(Kalemler!$D31),DAY(EOMONTH((Tahmin!$C$4+63),0))))&gt;=(Tahmin!$C$4+63),DATE(YEAR((Tahmin!$C$4+63)),MONTH((Tahmin!$C$4+63)),MIN(DAY(Kalemler!$D31),DAY(EOMONTH((Tahmin!$C$4+63),0))))&lt;=(Tahmin!$C$4+69),DATE(YEAR((Tahmin!$C$4+63)),MONTH((Tahmin!$C$4+63)),MIN(DAY(Kalemler!$D31),DAY(EOMONTH((Tahmin!$C$4+63),0))))&gt;=Kalemler!$D31),AND(DATE(YEAR((Tahmin!$C$4+69)),MONTH((Tahmin!$C$4+69)),MIN(DAY(Kalemler!$D31),DAY(EOMONTH((Tahmin!$C$4+69),0))))&gt;=(Tahmin!$C$4+63),DATE(YEAR((Tahmin!$C$4+69)),MONTH((Tahmin!$C$4+69)),MIN(DAY(Kalemler!$D31),DAY(EOMONTH((Tahmin!$C$4+69),0))))&lt;=(Tahmin!$C$4+69),DATE(YEAR((Tahmin!$C$4+69)),MONTH((Tahmin!$C$4+69)),MIN(DAY(Kalemler!$D31),DAY(EOMONTH((Tahmin!$C$4+69),0))))&lt;&gt;DATE(YEAR((Tahmin!$C$4+63)),MONTH((Tahmin!$C$4+63)),MIN(DAY(Kalemler!$D31),DAY(EOMONTH((Tahmin!$C$4+63),0)))),DATE(YEAR((Tahmin!$C$4+69)),MONTH((Tahmin!$C$4+69)),MIN(DAY(Kalemler!$D31),DAY(EOMONTH((Tahmin!$C$4+69),0))))&gt;=Kalemler!$D31)),1,0),IF(AND(Kalemler!$D31&gt;=(Tahmin!$C$4+63),Kalemler!$D31&lt;=(Tahmin!$C$4+69)),1,0))))</f>
        <v>0</v>
      </c>
      <c r="L31" s="0" t="n">
        <f aca="false">IF(OR(Kalemler!$A31="",Kalemler!$C31="",Kalemler!$D31=""),0,Kalemler!$C31*IF(Kalemler!$E31="Haftalık",IF(Kalemler!$D31&lt;=(Tahmin!$C$4+76),1,0),IF(Kalemler!$E31="Aylık",IF(OR(AND(DATE(YEAR((Tahmin!$C$4+70)),MONTH((Tahmin!$C$4+70)),MIN(DAY(Kalemler!$D31),DAY(EOMONTH((Tahmin!$C$4+70),0))))&gt;=(Tahmin!$C$4+70),DATE(YEAR((Tahmin!$C$4+70)),MONTH((Tahmin!$C$4+70)),MIN(DAY(Kalemler!$D31),DAY(EOMONTH((Tahmin!$C$4+70),0))))&lt;=(Tahmin!$C$4+76),DATE(YEAR((Tahmin!$C$4+70)),MONTH((Tahmin!$C$4+70)),MIN(DAY(Kalemler!$D31),DAY(EOMONTH((Tahmin!$C$4+70),0))))&gt;=Kalemler!$D31),AND(DATE(YEAR((Tahmin!$C$4+76)),MONTH((Tahmin!$C$4+76)),MIN(DAY(Kalemler!$D31),DAY(EOMONTH((Tahmin!$C$4+76),0))))&gt;=(Tahmin!$C$4+70),DATE(YEAR((Tahmin!$C$4+76)),MONTH((Tahmin!$C$4+76)),MIN(DAY(Kalemler!$D31),DAY(EOMONTH((Tahmin!$C$4+76),0))))&lt;=(Tahmin!$C$4+76),DATE(YEAR((Tahmin!$C$4+76)),MONTH((Tahmin!$C$4+76)),MIN(DAY(Kalemler!$D31),DAY(EOMONTH((Tahmin!$C$4+76),0))))&lt;&gt;DATE(YEAR((Tahmin!$C$4+70)),MONTH((Tahmin!$C$4+70)),MIN(DAY(Kalemler!$D31),DAY(EOMONTH((Tahmin!$C$4+70),0)))),DATE(YEAR((Tahmin!$C$4+76)),MONTH((Tahmin!$C$4+76)),MIN(DAY(Kalemler!$D31),DAY(EOMONTH((Tahmin!$C$4+76),0))))&gt;=Kalemler!$D31)),1,0),IF(AND(Kalemler!$D31&gt;=(Tahmin!$C$4+70),Kalemler!$D31&lt;=(Tahmin!$C$4+76)),1,0))))</f>
        <v>0</v>
      </c>
      <c r="M31" s="0" t="n">
        <f aca="false">IF(OR(Kalemler!$A31="",Kalemler!$C31="",Kalemler!$D31=""),0,Kalemler!$C31*IF(Kalemler!$E31="Haftalık",IF(Kalemler!$D31&lt;=(Tahmin!$C$4+83),1,0),IF(Kalemler!$E31="Aylık",IF(OR(AND(DATE(YEAR((Tahmin!$C$4+77)),MONTH((Tahmin!$C$4+77)),MIN(DAY(Kalemler!$D31),DAY(EOMONTH((Tahmin!$C$4+77),0))))&gt;=(Tahmin!$C$4+77),DATE(YEAR((Tahmin!$C$4+77)),MONTH((Tahmin!$C$4+77)),MIN(DAY(Kalemler!$D31),DAY(EOMONTH((Tahmin!$C$4+77),0))))&lt;=(Tahmin!$C$4+83),DATE(YEAR((Tahmin!$C$4+77)),MONTH((Tahmin!$C$4+77)),MIN(DAY(Kalemler!$D31),DAY(EOMONTH((Tahmin!$C$4+77),0))))&gt;=Kalemler!$D31),AND(DATE(YEAR((Tahmin!$C$4+83)),MONTH((Tahmin!$C$4+83)),MIN(DAY(Kalemler!$D31),DAY(EOMONTH((Tahmin!$C$4+83),0))))&gt;=(Tahmin!$C$4+77),DATE(YEAR((Tahmin!$C$4+83)),MONTH((Tahmin!$C$4+83)),MIN(DAY(Kalemler!$D31),DAY(EOMONTH((Tahmin!$C$4+83),0))))&lt;=(Tahmin!$C$4+83),DATE(YEAR((Tahmin!$C$4+83)),MONTH((Tahmin!$C$4+83)),MIN(DAY(Kalemler!$D31),DAY(EOMONTH((Tahmin!$C$4+83),0))))&lt;&gt;DATE(YEAR((Tahmin!$C$4+77)),MONTH((Tahmin!$C$4+77)),MIN(DAY(Kalemler!$D31),DAY(EOMONTH((Tahmin!$C$4+77),0)))),DATE(YEAR((Tahmin!$C$4+83)),MONTH((Tahmin!$C$4+83)),MIN(DAY(Kalemler!$D31),DAY(EOMONTH((Tahmin!$C$4+83),0))))&gt;=Kalemler!$D31)),1,0),IF(AND(Kalemler!$D31&gt;=(Tahmin!$C$4+77),Kalemler!$D31&lt;=(Tahmin!$C$4+83)),1,0))))</f>
        <v>0</v>
      </c>
      <c r="N31" s="0" t="n">
        <f aca="false">IF(OR(Kalemler!$A31="",Kalemler!$C31="",Kalemler!$D31=""),0,Kalemler!$C31*IF(Kalemler!$E31="Haftalık",IF(Kalemler!$D31&lt;=(Tahmin!$C$4+90),1,0),IF(Kalemler!$E31="Aylık",IF(OR(AND(DATE(YEAR((Tahmin!$C$4+84)),MONTH((Tahmin!$C$4+84)),MIN(DAY(Kalemler!$D31),DAY(EOMONTH((Tahmin!$C$4+84),0))))&gt;=(Tahmin!$C$4+84),DATE(YEAR((Tahmin!$C$4+84)),MONTH((Tahmin!$C$4+84)),MIN(DAY(Kalemler!$D31),DAY(EOMONTH((Tahmin!$C$4+84),0))))&lt;=(Tahmin!$C$4+90),DATE(YEAR((Tahmin!$C$4+84)),MONTH((Tahmin!$C$4+84)),MIN(DAY(Kalemler!$D31),DAY(EOMONTH((Tahmin!$C$4+84),0))))&gt;=Kalemler!$D31),AND(DATE(YEAR((Tahmin!$C$4+90)),MONTH((Tahmin!$C$4+90)),MIN(DAY(Kalemler!$D31),DAY(EOMONTH((Tahmin!$C$4+90),0))))&gt;=(Tahmin!$C$4+84),DATE(YEAR((Tahmin!$C$4+90)),MONTH((Tahmin!$C$4+90)),MIN(DAY(Kalemler!$D31),DAY(EOMONTH((Tahmin!$C$4+90),0))))&lt;=(Tahmin!$C$4+90),DATE(YEAR((Tahmin!$C$4+90)),MONTH((Tahmin!$C$4+90)),MIN(DAY(Kalemler!$D31),DAY(EOMONTH((Tahmin!$C$4+90),0))))&lt;&gt;DATE(YEAR((Tahmin!$C$4+84)),MONTH((Tahmin!$C$4+84)),MIN(DAY(Kalemler!$D31),DAY(EOMONTH((Tahmin!$C$4+84),0)))),DATE(YEAR((Tahmin!$C$4+90)),MONTH((Tahmin!$C$4+90)),MIN(DAY(Kalemler!$D31),DAY(EOMONTH((Tahmin!$C$4+90),0))))&gt;=Kalemler!$D31)),1,0),IF(AND(Kalemler!$D31&gt;=(Tahmin!$C$4+84),Kalemler!$D31&lt;=(Tahmin!$C$4+90)),1,0))))</f>
        <v>0</v>
      </c>
    </row>
    <row r="32" customFormat="false" ht="15" hidden="false" customHeight="false" outlineLevel="0" collapsed="false">
      <c r="A32" s="0" t="str">
        <f aca="false">IF(Kalemler!A32="","",Kalemler!A32)</f>
        <v/>
      </c>
      <c r="B32" s="0" t="n">
        <f aca="false">IF(OR(Kalemler!$A32="",Kalemler!$C32="",Kalemler!$D32=""),0,Kalemler!$C32*IF(Kalemler!$E32="Haftalık",IF(Kalemler!$D32&lt;=(Tahmin!$C$4+6),1,0),IF(Kalemler!$E32="Aylık",IF(OR(AND(DATE(YEAR((Tahmin!$C$4+0)),MONTH((Tahmin!$C$4+0)),MIN(DAY(Kalemler!$D32),DAY(EOMONTH((Tahmin!$C$4+0),0))))&gt;=(Tahmin!$C$4+0),DATE(YEAR((Tahmin!$C$4+0)),MONTH((Tahmin!$C$4+0)),MIN(DAY(Kalemler!$D32),DAY(EOMONTH((Tahmin!$C$4+0),0))))&lt;=(Tahmin!$C$4+6),DATE(YEAR((Tahmin!$C$4+0)),MONTH((Tahmin!$C$4+0)),MIN(DAY(Kalemler!$D32),DAY(EOMONTH((Tahmin!$C$4+0),0))))&gt;=Kalemler!$D32),AND(DATE(YEAR((Tahmin!$C$4+6)),MONTH((Tahmin!$C$4+6)),MIN(DAY(Kalemler!$D32),DAY(EOMONTH((Tahmin!$C$4+6),0))))&gt;=(Tahmin!$C$4+0),DATE(YEAR((Tahmin!$C$4+6)),MONTH((Tahmin!$C$4+6)),MIN(DAY(Kalemler!$D32),DAY(EOMONTH((Tahmin!$C$4+6),0))))&lt;=(Tahmin!$C$4+6),DATE(YEAR((Tahmin!$C$4+6)),MONTH((Tahmin!$C$4+6)),MIN(DAY(Kalemler!$D32),DAY(EOMONTH((Tahmin!$C$4+6),0))))&lt;&gt;DATE(YEAR((Tahmin!$C$4+0)),MONTH((Tahmin!$C$4+0)),MIN(DAY(Kalemler!$D32),DAY(EOMONTH((Tahmin!$C$4+0),0)))),DATE(YEAR((Tahmin!$C$4+6)),MONTH((Tahmin!$C$4+6)),MIN(DAY(Kalemler!$D32),DAY(EOMONTH((Tahmin!$C$4+6),0))))&gt;=Kalemler!$D32)),1,0),IF(AND(Kalemler!$D32&gt;=(Tahmin!$C$4+0),Kalemler!$D32&lt;=(Tahmin!$C$4+6)),1,0))))</f>
        <v>0</v>
      </c>
      <c r="C32" s="0" t="n">
        <f aca="false">IF(OR(Kalemler!$A32="",Kalemler!$C32="",Kalemler!$D32=""),0,Kalemler!$C32*IF(Kalemler!$E32="Haftalık",IF(Kalemler!$D32&lt;=(Tahmin!$C$4+13),1,0),IF(Kalemler!$E32="Aylık",IF(OR(AND(DATE(YEAR((Tahmin!$C$4+7)),MONTH((Tahmin!$C$4+7)),MIN(DAY(Kalemler!$D32),DAY(EOMONTH((Tahmin!$C$4+7),0))))&gt;=(Tahmin!$C$4+7),DATE(YEAR((Tahmin!$C$4+7)),MONTH((Tahmin!$C$4+7)),MIN(DAY(Kalemler!$D32),DAY(EOMONTH((Tahmin!$C$4+7),0))))&lt;=(Tahmin!$C$4+13),DATE(YEAR((Tahmin!$C$4+7)),MONTH((Tahmin!$C$4+7)),MIN(DAY(Kalemler!$D32),DAY(EOMONTH((Tahmin!$C$4+7),0))))&gt;=Kalemler!$D32),AND(DATE(YEAR((Tahmin!$C$4+13)),MONTH((Tahmin!$C$4+13)),MIN(DAY(Kalemler!$D32),DAY(EOMONTH((Tahmin!$C$4+13),0))))&gt;=(Tahmin!$C$4+7),DATE(YEAR((Tahmin!$C$4+13)),MONTH((Tahmin!$C$4+13)),MIN(DAY(Kalemler!$D32),DAY(EOMONTH((Tahmin!$C$4+13),0))))&lt;=(Tahmin!$C$4+13),DATE(YEAR((Tahmin!$C$4+13)),MONTH((Tahmin!$C$4+13)),MIN(DAY(Kalemler!$D32),DAY(EOMONTH((Tahmin!$C$4+13),0))))&lt;&gt;DATE(YEAR((Tahmin!$C$4+7)),MONTH((Tahmin!$C$4+7)),MIN(DAY(Kalemler!$D32),DAY(EOMONTH((Tahmin!$C$4+7),0)))),DATE(YEAR((Tahmin!$C$4+13)),MONTH((Tahmin!$C$4+13)),MIN(DAY(Kalemler!$D32),DAY(EOMONTH((Tahmin!$C$4+13),0))))&gt;=Kalemler!$D32)),1,0),IF(AND(Kalemler!$D32&gt;=(Tahmin!$C$4+7),Kalemler!$D32&lt;=(Tahmin!$C$4+13)),1,0))))</f>
        <v>0</v>
      </c>
      <c r="D32" s="0" t="n">
        <f aca="false">IF(OR(Kalemler!$A32="",Kalemler!$C32="",Kalemler!$D32=""),0,Kalemler!$C32*IF(Kalemler!$E32="Haftalık",IF(Kalemler!$D32&lt;=(Tahmin!$C$4+20),1,0),IF(Kalemler!$E32="Aylık",IF(OR(AND(DATE(YEAR((Tahmin!$C$4+14)),MONTH((Tahmin!$C$4+14)),MIN(DAY(Kalemler!$D32),DAY(EOMONTH((Tahmin!$C$4+14),0))))&gt;=(Tahmin!$C$4+14),DATE(YEAR((Tahmin!$C$4+14)),MONTH((Tahmin!$C$4+14)),MIN(DAY(Kalemler!$D32),DAY(EOMONTH((Tahmin!$C$4+14),0))))&lt;=(Tahmin!$C$4+20),DATE(YEAR((Tahmin!$C$4+14)),MONTH((Tahmin!$C$4+14)),MIN(DAY(Kalemler!$D32),DAY(EOMONTH((Tahmin!$C$4+14),0))))&gt;=Kalemler!$D32),AND(DATE(YEAR((Tahmin!$C$4+20)),MONTH((Tahmin!$C$4+20)),MIN(DAY(Kalemler!$D32),DAY(EOMONTH((Tahmin!$C$4+20),0))))&gt;=(Tahmin!$C$4+14),DATE(YEAR((Tahmin!$C$4+20)),MONTH((Tahmin!$C$4+20)),MIN(DAY(Kalemler!$D32),DAY(EOMONTH((Tahmin!$C$4+20),0))))&lt;=(Tahmin!$C$4+20),DATE(YEAR((Tahmin!$C$4+20)),MONTH((Tahmin!$C$4+20)),MIN(DAY(Kalemler!$D32),DAY(EOMONTH((Tahmin!$C$4+20),0))))&lt;&gt;DATE(YEAR((Tahmin!$C$4+14)),MONTH((Tahmin!$C$4+14)),MIN(DAY(Kalemler!$D32),DAY(EOMONTH((Tahmin!$C$4+14),0)))),DATE(YEAR((Tahmin!$C$4+20)),MONTH((Tahmin!$C$4+20)),MIN(DAY(Kalemler!$D32),DAY(EOMONTH((Tahmin!$C$4+20),0))))&gt;=Kalemler!$D32)),1,0),IF(AND(Kalemler!$D32&gt;=(Tahmin!$C$4+14),Kalemler!$D32&lt;=(Tahmin!$C$4+20)),1,0))))</f>
        <v>0</v>
      </c>
      <c r="E32" s="0" t="n">
        <f aca="false">IF(OR(Kalemler!$A32="",Kalemler!$C32="",Kalemler!$D32=""),0,Kalemler!$C32*IF(Kalemler!$E32="Haftalık",IF(Kalemler!$D32&lt;=(Tahmin!$C$4+27),1,0),IF(Kalemler!$E32="Aylık",IF(OR(AND(DATE(YEAR((Tahmin!$C$4+21)),MONTH((Tahmin!$C$4+21)),MIN(DAY(Kalemler!$D32),DAY(EOMONTH((Tahmin!$C$4+21),0))))&gt;=(Tahmin!$C$4+21),DATE(YEAR((Tahmin!$C$4+21)),MONTH((Tahmin!$C$4+21)),MIN(DAY(Kalemler!$D32),DAY(EOMONTH((Tahmin!$C$4+21),0))))&lt;=(Tahmin!$C$4+27),DATE(YEAR((Tahmin!$C$4+21)),MONTH((Tahmin!$C$4+21)),MIN(DAY(Kalemler!$D32),DAY(EOMONTH((Tahmin!$C$4+21),0))))&gt;=Kalemler!$D32),AND(DATE(YEAR((Tahmin!$C$4+27)),MONTH((Tahmin!$C$4+27)),MIN(DAY(Kalemler!$D32),DAY(EOMONTH((Tahmin!$C$4+27),0))))&gt;=(Tahmin!$C$4+21),DATE(YEAR((Tahmin!$C$4+27)),MONTH((Tahmin!$C$4+27)),MIN(DAY(Kalemler!$D32),DAY(EOMONTH((Tahmin!$C$4+27),0))))&lt;=(Tahmin!$C$4+27),DATE(YEAR((Tahmin!$C$4+27)),MONTH((Tahmin!$C$4+27)),MIN(DAY(Kalemler!$D32),DAY(EOMONTH((Tahmin!$C$4+27),0))))&lt;&gt;DATE(YEAR((Tahmin!$C$4+21)),MONTH((Tahmin!$C$4+21)),MIN(DAY(Kalemler!$D32),DAY(EOMONTH((Tahmin!$C$4+21),0)))),DATE(YEAR((Tahmin!$C$4+27)),MONTH((Tahmin!$C$4+27)),MIN(DAY(Kalemler!$D32),DAY(EOMONTH((Tahmin!$C$4+27),0))))&gt;=Kalemler!$D32)),1,0),IF(AND(Kalemler!$D32&gt;=(Tahmin!$C$4+21),Kalemler!$D32&lt;=(Tahmin!$C$4+27)),1,0))))</f>
        <v>0</v>
      </c>
      <c r="F32" s="0" t="n">
        <f aca="false">IF(OR(Kalemler!$A32="",Kalemler!$C32="",Kalemler!$D32=""),0,Kalemler!$C32*IF(Kalemler!$E32="Haftalık",IF(Kalemler!$D32&lt;=(Tahmin!$C$4+34),1,0),IF(Kalemler!$E32="Aylık",IF(OR(AND(DATE(YEAR((Tahmin!$C$4+28)),MONTH((Tahmin!$C$4+28)),MIN(DAY(Kalemler!$D32),DAY(EOMONTH((Tahmin!$C$4+28),0))))&gt;=(Tahmin!$C$4+28),DATE(YEAR((Tahmin!$C$4+28)),MONTH((Tahmin!$C$4+28)),MIN(DAY(Kalemler!$D32),DAY(EOMONTH((Tahmin!$C$4+28),0))))&lt;=(Tahmin!$C$4+34),DATE(YEAR((Tahmin!$C$4+28)),MONTH((Tahmin!$C$4+28)),MIN(DAY(Kalemler!$D32),DAY(EOMONTH((Tahmin!$C$4+28),0))))&gt;=Kalemler!$D32),AND(DATE(YEAR((Tahmin!$C$4+34)),MONTH((Tahmin!$C$4+34)),MIN(DAY(Kalemler!$D32),DAY(EOMONTH((Tahmin!$C$4+34),0))))&gt;=(Tahmin!$C$4+28),DATE(YEAR((Tahmin!$C$4+34)),MONTH((Tahmin!$C$4+34)),MIN(DAY(Kalemler!$D32),DAY(EOMONTH((Tahmin!$C$4+34),0))))&lt;=(Tahmin!$C$4+34),DATE(YEAR((Tahmin!$C$4+34)),MONTH((Tahmin!$C$4+34)),MIN(DAY(Kalemler!$D32),DAY(EOMONTH((Tahmin!$C$4+34),0))))&lt;&gt;DATE(YEAR((Tahmin!$C$4+28)),MONTH((Tahmin!$C$4+28)),MIN(DAY(Kalemler!$D32),DAY(EOMONTH((Tahmin!$C$4+28),0)))),DATE(YEAR((Tahmin!$C$4+34)),MONTH((Tahmin!$C$4+34)),MIN(DAY(Kalemler!$D32),DAY(EOMONTH((Tahmin!$C$4+34),0))))&gt;=Kalemler!$D32)),1,0),IF(AND(Kalemler!$D32&gt;=(Tahmin!$C$4+28),Kalemler!$D32&lt;=(Tahmin!$C$4+34)),1,0))))</f>
        <v>0</v>
      </c>
      <c r="G32" s="0" t="n">
        <f aca="false">IF(OR(Kalemler!$A32="",Kalemler!$C32="",Kalemler!$D32=""),0,Kalemler!$C32*IF(Kalemler!$E32="Haftalık",IF(Kalemler!$D32&lt;=(Tahmin!$C$4+41),1,0),IF(Kalemler!$E32="Aylık",IF(OR(AND(DATE(YEAR((Tahmin!$C$4+35)),MONTH((Tahmin!$C$4+35)),MIN(DAY(Kalemler!$D32),DAY(EOMONTH((Tahmin!$C$4+35),0))))&gt;=(Tahmin!$C$4+35),DATE(YEAR((Tahmin!$C$4+35)),MONTH((Tahmin!$C$4+35)),MIN(DAY(Kalemler!$D32),DAY(EOMONTH((Tahmin!$C$4+35),0))))&lt;=(Tahmin!$C$4+41),DATE(YEAR((Tahmin!$C$4+35)),MONTH((Tahmin!$C$4+35)),MIN(DAY(Kalemler!$D32),DAY(EOMONTH((Tahmin!$C$4+35),0))))&gt;=Kalemler!$D32),AND(DATE(YEAR((Tahmin!$C$4+41)),MONTH((Tahmin!$C$4+41)),MIN(DAY(Kalemler!$D32),DAY(EOMONTH((Tahmin!$C$4+41),0))))&gt;=(Tahmin!$C$4+35),DATE(YEAR((Tahmin!$C$4+41)),MONTH((Tahmin!$C$4+41)),MIN(DAY(Kalemler!$D32),DAY(EOMONTH((Tahmin!$C$4+41),0))))&lt;=(Tahmin!$C$4+41),DATE(YEAR((Tahmin!$C$4+41)),MONTH((Tahmin!$C$4+41)),MIN(DAY(Kalemler!$D32),DAY(EOMONTH((Tahmin!$C$4+41),0))))&lt;&gt;DATE(YEAR((Tahmin!$C$4+35)),MONTH((Tahmin!$C$4+35)),MIN(DAY(Kalemler!$D32),DAY(EOMONTH((Tahmin!$C$4+35),0)))),DATE(YEAR((Tahmin!$C$4+41)),MONTH((Tahmin!$C$4+41)),MIN(DAY(Kalemler!$D32),DAY(EOMONTH((Tahmin!$C$4+41),0))))&gt;=Kalemler!$D32)),1,0),IF(AND(Kalemler!$D32&gt;=(Tahmin!$C$4+35),Kalemler!$D32&lt;=(Tahmin!$C$4+41)),1,0))))</f>
        <v>0</v>
      </c>
      <c r="H32" s="0" t="n">
        <f aca="false">IF(OR(Kalemler!$A32="",Kalemler!$C32="",Kalemler!$D32=""),0,Kalemler!$C32*IF(Kalemler!$E32="Haftalık",IF(Kalemler!$D32&lt;=(Tahmin!$C$4+48),1,0),IF(Kalemler!$E32="Aylık",IF(OR(AND(DATE(YEAR((Tahmin!$C$4+42)),MONTH((Tahmin!$C$4+42)),MIN(DAY(Kalemler!$D32),DAY(EOMONTH((Tahmin!$C$4+42),0))))&gt;=(Tahmin!$C$4+42),DATE(YEAR((Tahmin!$C$4+42)),MONTH((Tahmin!$C$4+42)),MIN(DAY(Kalemler!$D32),DAY(EOMONTH((Tahmin!$C$4+42),0))))&lt;=(Tahmin!$C$4+48),DATE(YEAR((Tahmin!$C$4+42)),MONTH((Tahmin!$C$4+42)),MIN(DAY(Kalemler!$D32),DAY(EOMONTH((Tahmin!$C$4+42),0))))&gt;=Kalemler!$D32),AND(DATE(YEAR((Tahmin!$C$4+48)),MONTH((Tahmin!$C$4+48)),MIN(DAY(Kalemler!$D32),DAY(EOMONTH((Tahmin!$C$4+48),0))))&gt;=(Tahmin!$C$4+42),DATE(YEAR((Tahmin!$C$4+48)),MONTH((Tahmin!$C$4+48)),MIN(DAY(Kalemler!$D32),DAY(EOMONTH((Tahmin!$C$4+48),0))))&lt;=(Tahmin!$C$4+48),DATE(YEAR((Tahmin!$C$4+48)),MONTH((Tahmin!$C$4+48)),MIN(DAY(Kalemler!$D32),DAY(EOMONTH((Tahmin!$C$4+48),0))))&lt;&gt;DATE(YEAR((Tahmin!$C$4+42)),MONTH((Tahmin!$C$4+42)),MIN(DAY(Kalemler!$D32),DAY(EOMONTH((Tahmin!$C$4+42),0)))),DATE(YEAR((Tahmin!$C$4+48)),MONTH((Tahmin!$C$4+48)),MIN(DAY(Kalemler!$D32),DAY(EOMONTH((Tahmin!$C$4+48),0))))&gt;=Kalemler!$D32)),1,0),IF(AND(Kalemler!$D32&gt;=(Tahmin!$C$4+42),Kalemler!$D32&lt;=(Tahmin!$C$4+48)),1,0))))</f>
        <v>0</v>
      </c>
      <c r="I32" s="0" t="n">
        <f aca="false">IF(OR(Kalemler!$A32="",Kalemler!$C32="",Kalemler!$D32=""),0,Kalemler!$C32*IF(Kalemler!$E32="Haftalık",IF(Kalemler!$D32&lt;=(Tahmin!$C$4+55),1,0),IF(Kalemler!$E32="Aylık",IF(OR(AND(DATE(YEAR((Tahmin!$C$4+49)),MONTH((Tahmin!$C$4+49)),MIN(DAY(Kalemler!$D32),DAY(EOMONTH((Tahmin!$C$4+49),0))))&gt;=(Tahmin!$C$4+49),DATE(YEAR((Tahmin!$C$4+49)),MONTH((Tahmin!$C$4+49)),MIN(DAY(Kalemler!$D32),DAY(EOMONTH((Tahmin!$C$4+49),0))))&lt;=(Tahmin!$C$4+55),DATE(YEAR((Tahmin!$C$4+49)),MONTH((Tahmin!$C$4+49)),MIN(DAY(Kalemler!$D32),DAY(EOMONTH((Tahmin!$C$4+49),0))))&gt;=Kalemler!$D32),AND(DATE(YEAR((Tahmin!$C$4+55)),MONTH((Tahmin!$C$4+55)),MIN(DAY(Kalemler!$D32),DAY(EOMONTH((Tahmin!$C$4+55),0))))&gt;=(Tahmin!$C$4+49),DATE(YEAR((Tahmin!$C$4+55)),MONTH((Tahmin!$C$4+55)),MIN(DAY(Kalemler!$D32),DAY(EOMONTH((Tahmin!$C$4+55),0))))&lt;=(Tahmin!$C$4+55),DATE(YEAR((Tahmin!$C$4+55)),MONTH((Tahmin!$C$4+55)),MIN(DAY(Kalemler!$D32),DAY(EOMONTH((Tahmin!$C$4+55),0))))&lt;&gt;DATE(YEAR((Tahmin!$C$4+49)),MONTH((Tahmin!$C$4+49)),MIN(DAY(Kalemler!$D32),DAY(EOMONTH((Tahmin!$C$4+49),0)))),DATE(YEAR((Tahmin!$C$4+55)),MONTH((Tahmin!$C$4+55)),MIN(DAY(Kalemler!$D32),DAY(EOMONTH((Tahmin!$C$4+55),0))))&gt;=Kalemler!$D32)),1,0),IF(AND(Kalemler!$D32&gt;=(Tahmin!$C$4+49),Kalemler!$D32&lt;=(Tahmin!$C$4+55)),1,0))))</f>
        <v>0</v>
      </c>
      <c r="J32" s="0" t="n">
        <f aca="false">IF(OR(Kalemler!$A32="",Kalemler!$C32="",Kalemler!$D32=""),0,Kalemler!$C32*IF(Kalemler!$E32="Haftalık",IF(Kalemler!$D32&lt;=(Tahmin!$C$4+62),1,0),IF(Kalemler!$E32="Aylık",IF(OR(AND(DATE(YEAR((Tahmin!$C$4+56)),MONTH((Tahmin!$C$4+56)),MIN(DAY(Kalemler!$D32),DAY(EOMONTH((Tahmin!$C$4+56),0))))&gt;=(Tahmin!$C$4+56),DATE(YEAR((Tahmin!$C$4+56)),MONTH((Tahmin!$C$4+56)),MIN(DAY(Kalemler!$D32),DAY(EOMONTH((Tahmin!$C$4+56),0))))&lt;=(Tahmin!$C$4+62),DATE(YEAR((Tahmin!$C$4+56)),MONTH((Tahmin!$C$4+56)),MIN(DAY(Kalemler!$D32),DAY(EOMONTH((Tahmin!$C$4+56),0))))&gt;=Kalemler!$D32),AND(DATE(YEAR((Tahmin!$C$4+62)),MONTH((Tahmin!$C$4+62)),MIN(DAY(Kalemler!$D32),DAY(EOMONTH((Tahmin!$C$4+62),0))))&gt;=(Tahmin!$C$4+56),DATE(YEAR((Tahmin!$C$4+62)),MONTH((Tahmin!$C$4+62)),MIN(DAY(Kalemler!$D32),DAY(EOMONTH((Tahmin!$C$4+62),0))))&lt;=(Tahmin!$C$4+62),DATE(YEAR((Tahmin!$C$4+62)),MONTH((Tahmin!$C$4+62)),MIN(DAY(Kalemler!$D32),DAY(EOMONTH((Tahmin!$C$4+62),0))))&lt;&gt;DATE(YEAR((Tahmin!$C$4+56)),MONTH((Tahmin!$C$4+56)),MIN(DAY(Kalemler!$D32),DAY(EOMONTH((Tahmin!$C$4+56),0)))),DATE(YEAR((Tahmin!$C$4+62)),MONTH((Tahmin!$C$4+62)),MIN(DAY(Kalemler!$D32),DAY(EOMONTH((Tahmin!$C$4+62),0))))&gt;=Kalemler!$D32)),1,0),IF(AND(Kalemler!$D32&gt;=(Tahmin!$C$4+56),Kalemler!$D32&lt;=(Tahmin!$C$4+62)),1,0))))</f>
        <v>0</v>
      </c>
      <c r="K32" s="0" t="n">
        <f aca="false">IF(OR(Kalemler!$A32="",Kalemler!$C32="",Kalemler!$D32=""),0,Kalemler!$C32*IF(Kalemler!$E32="Haftalık",IF(Kalemler!$D32&lt;=(Tahmin!$C$4+69),1,0),IF(Kalemler!$E32="Aylık",IF(OR(AND(DATE(YEAR((Tahmin!$C$4+63)),MONTH((Tahmin!$C$4+63)),MIN(DAY(Kalemler!$D32),DAY(EOMONTH((Tahmin!$C$4+63),0))))&gt;=(Tahmin!$C$4+63),DATE(YEAR((Tahmin!$C$4+63)),MONTH((Tahmin!$C$4+63)),MIN(DAY(Kalemler!$D32),DAY(EOMONTH((Tahmin!$C$4+63),0))))&lt;=(Tahmin!$C$4+69),DATE(YEAR((Tahmin!$C$4+63)),MONTH((Tahmin!$C$4+63)),MIN(DAY(Kalemler!$D32),DAY(EOMONTH((Tahmin!$C$4+63),0))))&gt;=Kalemler!$D32),AND(DATE(YEAR((Tahmin!$C$4+69)),MONTH((Tahmin!$C$4+69)),MIN(DAY(Kalemler!$D32),DAY(EOMONTH((Tahmin!$C$4+69),0))))&gt;=(Tahmin!$C$4+63),DATE(YEAR((Tahmin!$C$4+69)),MONTH((Tahmin!$C$4+69)),MIN(DAY(Kalemler!$D32),DAY(EOMONTH((Tahmin!$C$4+69),0))))&lt;=(Tahmin!$C$4+69),DATE(YEAR((Tahmin!$C$4+69)),MONTH((Tahmin!$C$4+69)),MIN(DAY(Kalemler!$D32),DAY(EOMONTH((Tahmin!$C$4+69),0))))&lt;&gt;DATE(YEAR((Tahmin!$C$4+63)),MONTH((Tahmin!$C$4+63)),MIN(DAY(Kalemler!$D32),DAY(EOMONTH((Tahmin!$C$4+63),0)))),DATE(YEAR((Tahmin!$C$4+69)),MONTH((Tahmin!$C$4+69)),MIN(DAY(Kalemler!$D32),DAY(EOMONTH((Tahmin!$C$4+69),0))))&gt;=Kalemler!$D32)),1,0),IF(AND(Kalemler!$D32&gt;=(Tahmin!$C$4+63),Kalemler!$D32&lt;=(Tahmin!$C$4+69)),1,0))))</f>
        <v>0</v>
      </c>
      <c r="L32" s="0" t="n">
        <f aca="false">IF(OR(Kalemler!$A32="",Kalemler!$C32="",Kalemler!$D32=""),0,Kalemler!$C32*IF(Kalemler!$E32="Haftalık",IF(Kalemler!$D32&lt;=(Tahmin!$C$4+76),1,0),IF(Kalemler!$E32="Aylık",IF(OR(AND(DATE(YEAR((Tahmin!$C$4+70)),MONTH((Tahmin!$C$4+70)),MIN(DAY(Kalemler!$D32),DAY(EOMONTH((Tahmin!$C$4+70),0))))&gt;=(Tahmin!$C$4+70),DATE(YEAR((Tahmin!$C$4+70)),MONTH((Tahmin!$C$4+70)),MIN(DAY(Kalemler!$D32),DAY(EOMONTH((Tahmin!$C$4+70),0))))&lt;=(Tahmin!$C$4+76),DATE(YEAR((Tahmin!$C$4+70)),MONTH((Tahmin!$C$4+70)),MIN(DAY(Kalemler!$D32),DAY(EOMONTH((Tahmin!$C$4+70),0))))&gt;=Kalemler!$D32),AND(DATE(YEAR((Tahmin!$C$4+76)),MONTH((Tahmin!$C$4+76)),MIN(DAY(Kalemler!$D32),DAY(EOMONTH((Tahmin!$C$4+76),0))))&gt;=(Tahmin!$C$4+70),DATE(YEAR((Tahmin!$C$4+76)),MONTH((Tahmin!$C$4+76)),MIN(DAY(Kalemler!$D32),DAY(EOMONTH((Tahmin!$C$4+76),0))))&lt;=(Tahmin!$C$4+76),DATE(YEAR((Tahmin!$C$4+76)),MONTH((Tahmin!$C$4+76)),MIN(DAY(Kalemler!$D32),DAY(EOMONTH((Tahmin!$C$4+76),0))))&lt;&gt;DATE(YEAR((Tahmin!$C$4+70)),MONTH((Tahmin!$C$4+70)),MIN(DAY(Kalemler!$D32),DAY(EOMONTH((Tahmin!$C$4+70),0)))),DATE(YEAR((Tahmin!$C$4+76)),MONTH((Tahmin!$C$4+76)),MIN(DAY(Kalemler!$D32),DAY(EOMONTH((Tahmin!$C$4+76),0))))&gt;=Kalemler!$D32)),1,0),IF(AND(Kalemler!$D32&gt;=(Tahmin!$C$4+70),Kalemler!$D32&lt;=(Tahmin!$C$4+76)),1,0))))</f>
        <v>0</v>
      </c>
      <c r="M32" s="0" t="n">
        <f aca="false">IF(OR(Kalemler!$A32="",Kalemler!$C32="",Kalemler!$D32=""),0,Kalemler!$C32*IF(Kalemler!$E32="Haftalık",IF(Kalemler!$D32&lt;=(Tahmin!$C$4+83),1,0),IF(Kalemler!$E32="Aylık",IF(OR(AND(DATE(YEAR((Tahmin!$C$4+77)),MONTH((Tahmin!$C$4+77)),MIN(DAY(Kalemler!$D32),DAY(EOMONTH((Tahmin!$C$4+77),0))))&gt;=(Tahmin!$C$4+77),DATE(YEAR((Tahmin!$C$4+77)),MONTH((Tahmin!$C$4+77)),MIN(DAY(Kalemler!$D32),DAY(EOMONTH((Tahmin!$C$4+77),0))))&lt;=(Tahmin!$C$4+83),DATE(YEAR((Tahmin!$C$4+77)),MONTH((Tahmin!$C$4+77)),MIN(DAY(Kalemler!$D32),DAY(EOMONTH((Tahmin!$C$4+77),0))))&gt;=Kalemler!$D32),AND(DATE(YEAR((Tahmin!$C$4+83)),MONTH((Tahmin!$C$4+83)),MIN(DAY(Kalemler!$D32),DAY(EOMONTH((Tahmin!$C$4+83),0))))&gt;=(Tahmin!$C$4+77),DATE(YEAR((Tahmin!$C$4+83)),MONTH((Tahmin!$C$4+83)),MIN(DAY(Kalemler!$D32),DAY(EOMONTH((Tahmin!$C$4+83),0))))&lt;=(Tahmin!$C$4+83),DATE(YEAR((Tahmin!$C$4+83)),MONTH((Tahmin!$C$4+83)),MIN(DAY(Kalemler!$D32),DAY(EOMONTH((Tahmin!$C$4+83),0))))&lt;&gt;DATE(YEAR((Tahmin!$C$4+77)),MONTH((Tahmin!$C$4+77)),MIN(DAY(Kalemler!$D32),DAY(EOMONTH((Tahmin!$C$4+77),0)))),DATE(YEAR((Tahmin!$C$4+83)),MONTH((Tahmin!$C$4+83)),MIN(DAY(Kalemler!$D32),DAY(EOMONTH((Tahmin!$C$4+83),0))))&gt;=Kalemler!$D32)),1,0),IF(AND(Kalemler!$D32&gt;=(Tahmin!$C$4+77),Kalemler!$D32&lt;=(Tahmin!$C$4+83)),1,0))))</f>
        <v>0</v>
      </c>
      <c r="N32" s="0" t="n">
        <f aca="false">IF(OR(Kalemler!$A32="",Kalemler!$C32="",Kalemler!$D32=""),0,Kalemler!$C32*IF(Kalemler!$E32="Haftalık",IF(Kalemler!$D32&lt;=(Tahmin!$C$4+90),1,0),IF(Kalemler!$E32="Aylık",IF(OR(AND(DATE(YEAR((Tahmin!$C$4+84)),MONTH((Tahmin!$C$4+84)),MIN(DAY(Kalemler!$D32),DAY(EOMONTH((Tahmin!$C$4+84),0))))&gt;=(Tahmin!$C$4+84),DATE(YEAR((Tahmin!$C$4+84)),MONTH((Tahmin!$C$4+84)),MIN(DAY(Kalemler!$D32),DAY(EOMONTH((Tahmin!$C$4+84),0))))&lt;=(Tahmin!$C$4+90),DATE(YEAR((Tahmin!$C$4+84)),MONTH((Tahmin!$C$4+84)),MIN(DAY(Kalemler!$D32),DAY(EOMONTH((Tahmin!$C$4+84),0))))&gt;=Kalemler!$D32),AND(DATE(YEAR((Tahmin!$C$4+90)),MONTH((Tahmin!$C$4+90)),MIN(DAY(Kalemler!$D32),DAY(EOMONTH((Tahmin!$C$4+90),0))))&gt;=(Tahmin!$C$4+84),DATE(YEAR((Tahmin!$C$4+90)),MONTH((Tahmin!$C$4+90)),MIN(DAY(Kalemler!$D32),DAY(EOMONTH((Tahmin!$C$4+90),0))))&lt;=(Tahmin!$C$4+90),DATE(YEAR((Tahmin!$C$4+90)),MONTH((Tahmin!$C$4+90)),MIN(DAY(Kalemler!$D32),DAY(EOMONTH((Tahmin!$C$4+90),0))))&lt;&gt;DATE(YEAR((Tahmin!$C$4+84)),MONTH((Tahmin!$C$4+84)),MIN(DAY(Kalemler!$D32),DAY(EOMONTH((Tahmin!$C$4+84),0)))),DATE(YEAR((Tahmin!$C$4+90)),MONTH((Tahmin!$C$4+90)),MIN(DAY(Kalemler!$D32),DAY(EOMONTH((Tahmin!$C$4+90),0))))&gt;=Kalemler!$D32)),1,0),IF(AND(Kalemler!$D32&gt;=(Tahmin!$C$4+84),Kalemler!$D32&lt;=(Tahmin!$C$4+90)),1,0))))</f>
        <v>0</v>
      </c>
    </row>
    <row r="33" customFormat="false" ht="15" hidden="false" customHeight="false" outlineLevel="0" collapsed="false">
      <c r="A33" s="0" t="str">
        <f aca="false">IF(Kalemler!A33="","",Kalemler!A33)</f>
        <v/>
      </c>
      <c r="B33" s="0" t="n">
        <f aca="false">IF(OR(Kalemler!$A33="",Kalemler!$C33="",Kalemler!$D33=""),0,Kalemler!$C33*IF(Kalemler!$E33="Haftalık",IF(Kalemler!$D33&lt;=(Tahmin!$C$4+6),1,0),IF(Kalemler!$E33="Aylık",IF(OR(AND(DATE(YEAR((Tahmin!$C$4+0)),MONTH((Tahmin!$C$4+0)),MIN(DAY(Kalemler!$D33),DAY(EOMONTH((Tahmin!$C$4+0),0))))&gt;=(Tahmin!$C$4+0),DATE(YEAR((Tahmin!$C$4+0)),MONTH((Tahmin!$C$4+0)),MIN(DAY(Kalemler!$D33),DAY(EOMONTH((Tahmin!$C$4+0),0))))&lt;=(Tahmin!$C$4+6),DATE(YEAR((Tahmin!$C$4+0)),MONTH((Tahmin!$C$4+0)),MIN(DAY(Kalemler!$D33),DAY(EOMONTH((Tahmin!$C$4+0),0))))&gt;=Kalemler!$D33),AND(DATE(YEAR((Tahmin!$C$4+6)),MONTH((Tahmin!$C$4+6)),MIN(DAY(Kalemler!$D33),DAY(EOMONTH((Tahmin!$C$4+6),0))))&gt;=(Tahmin!$C$4+0),DATE(YEAR((Tahmin!$C$4+6)),MONTH((Tahmin!$C$4+6)),MIN(DAY(Kalemler!$D33),DAY(EOMONTH((Tahmin!$C$4+6),0))))&lt;=(Tahmin!$C$4+6),DATE(YEAR((Tahmin!$C$4+6)),MONTH((Tahmin!$C$4+6)),MIN(DAY(Kalemler!$D33),DAY(EOMONTH((Tahmin!$C$4+6),0))))&lt;&gt;DATE(YEAR((Tahmin!$C$4+0)),MONTH((Tahmin!$C$4+0)),MIN(DAY(Kalemler!$D33),DAY(EOMONTH((Tahmin!$C$4+0),0)))),DATE(YEAR((Tahmin!$C$4+6)),MONTH((Tahmin!$C$4+6)),MIN(DAY(Kalemler!$D33),DAY(EOMONTH((Tahmin!$C$4+6),0))))&gt;=Kalemler!$D33)),1,0),IF(AND(Kalemler!$D33&gt;=(Tahmin!$C$4+0),Kalemler!$D33&lt;=(Tahmin!$C$4+6)),1,0))))</f>
        <v>0</v>
      </c>
      <c r="C33" s="0" t="n">
        <f aca="false">IF(OR(Kalemler!$A33="",Kalemler!$C33="",Kalemler!$D33=""),0,Kalemler!$C33*IF(Kalemler!$E33="Haftalık",IF(Kalemler!$D33&lt;=(Tahmin!$C$4+13),1,0),IF(Kalemler!$E33="Aylık",IF(OR(AND(DATE(YEAR((Tahmin!$C$4+7)),MONTH((Tahmin!$C$4+7)),MIN(DAY(Kalemler!$D33),DAY(EOMONTH((Tahmin!$C$4+7),0))))&gt;=(Tahmin!$C$4+7),DATE(YEAR((Tahmin!$C$4+7)),MONTH((Tahmin!$C$4+7)),MIN(DAY(Kalemler!$D33),DAY(EOMONTH((Tahmin!$C$4+7),0))))&lt;=(Tahmin!$C$4+13),DATE(YEAR((Tahmin!$C$4+7)),MONTH((Tahmin!$C$4+7)),MIN(DAY(Kalemler!$D33),DAY(EOMONTH((Tahmin!$C$4+7),0))))&gt;=Kalemler!$D33),AND(DATE(YEAR((Tahmin!$C$4+13)),MONTH((Tahmin!$C$4+13)),MIN(DAY(Kalemler!$D33),DAY(EOMONTH((Tahmin!$C$4+13),0))))&gt;=(Tahmin!$C$4+7),DATE(YEAR((Tahmin!$C$4+13)),MONTH((Tahmin!$C$4+13)),MIN(DAY(Kalemler!$D33),DAY(EOMONTH((Tahmin!$C$4+13),0))))&lt;=(Tahmin!$C$4+13),DATE(YEAR((Tahmin!$C$4+13)),MONTH((Tahmin!$C$4+13)),MIN(DAY(Kalemler!$D33),DAY(EOMONTH((Tahmin!$C$4+13),0))))&lt;&gt;DATE(YEAR((Tahmin!$C$4+7)),MONTH((Tahmin!$C$4+7)),MIN(DAY(Kalemler!$D33),DAY(EOMONTH((Tahmin!$C$4+7),0)))),DATE(YEAR((Tahmin!$C$4+13)),MONTH((Tahmin!$C$4+13)),MIN(DAY(Kalemler!$D33),DAY(EOMONTH((Tahmin!$C$4+13),0))))&gt;=Kalemler!$D33)),1,0),IF(AND(Kalemler!$D33&gt;=(Tahmin!$C$4+7),Kalemler!$D33&lt;=(Tahmin!$C$4+13)),1,0))))</f>
        <v>0</v>
      </c>
      <c r="D33" s="0" t="n">
        <f aca="false">IF(OR(Kalemler!$A33="",Kalemler!$C33="",Kalemler!$D33=""),0,Kalemler!$C33*IF(Kalemler!$E33="Haftalık",IF(Kalemler!$D33&lt;=(Tahmin!$C$4+20),1,0),IF(Kalemler!$E33="Aylık",IF(OR(AND(DATE(YEAR((Tahmin!$C$4+14)),MONTH((Tahmin!$C$4+14)),MIN(DAY(Kalemler!$D33),DAY(EOMONTH((Tahmin!$C$4+14),0))))&gt;=(Tahmin!$C$4+14),DATE(YEAR((Tahmin!$C$4+14)),MONTH((Tahmin!$C$4+14)),MIN(DAY(Kalemler!$D33),DAY(EOMONTH((Tahmin!$C$4+14),0))))&lt;=(Tahmin!$C$4+20),DATE(YEAR((Tahmin!$C$4+14)),MONTH((Tahmin!$C$4+14)),MIN(DAY(Kalemler!$D33),DAY(EOMONTH((Tahmin!$C$4+14),0))))&gt;=Kalemler!$D33),AND(DATE(YEAR((Tahmin!$C$4+20)),MONTH((Tahmin!$C$4+20)),MIN(DAY(Kalemler!$D33),DAY(EOMONTH((Tahmin!$C$4+20),0))))&gt;=(Tahmin!$C$4+14),DATE(YEAR((Tahmin!$C$4+20)),MONTH((Tahmin!$C$4+20)),MIN(DAY(Kalemler!$D33),DAY(EOMONTH((Tahmin!$C$4+20),0))))&lt;=(Tahmin!$C$4+20),DATE(YEAR((Tahmin!$C$4+20)),MONTH((Tahmin!$C$4+20)),MIN(DAY(Kalemler!$D33),DAY(EOMONTH((Tahmin!$C$4+20),0))))&lt;&gt;DATE(YEAR((Tahmin!$C$4+14)),MONTH((Tahmin!$C$4+14)),MIN(DAY(Kalemler!$D33),DAY(EOMONTH((Tahmin!$C$4+14),0)))),DATE(YEAR((Tahmin!$C$4+20)),MONTH((Tahmin!$C$4+20)),MIN(DAY(Kalemler!$D33),DAY(EOMONTH((Tahmin!$C$4+20),0))))&gt;=Kalemler!$D33)),1,0),IF(AND(Kalemler!$D33&gt;=(Tahmin!$C$4+14),Kalemler!$D33&lt;=(Tahmin!$C$4+20)),1,0))))</f>
        <v>0</v>
      </c>
      <c r="E33" s="0" t="n">
        <f aca="false">IF(OR(Kalemler!$A33="",Kalemler!$C33="",Kalemler!$D33=""),0,Kalemler!$C33*IF(Kalemler!$E33="Haftalık",IF(Kalemler!$D33&lt;=(Tahmin!$C$4+27),1,0),IF(Kalemler!$E33="Aylık",IF(OR(AND(DATE(YEAR((Tahmin!$C$4+21)),MONTH((Tahmin!$C$4+21)),MIN(DAY(Kalemler!$D33),DAY(EOMONTH((Tahmin!$C$4+21),0))))&gt;=(Tahmin!$C$4+21),DATE(YEAR((Tahmin!$C$4+21)),MONTH((Tahmin!$C$4+21)),MIN(DAY(Kalemler!$D33),DAY(EOMONTH((Tahmin!$C$4+21),0))))&lt;=(Tahmin!$C$4+27),DATE(YEAR((Tahmin!$C$4+21)),MONTH((Tahmin!$C$4+21)),MIN(DAY(Kalemler!$D33),DAY(EOMONTH((Tahmin!$C$4+21),0))))&gt;=Kalemler!$D33),AND(DATE(YEAR((Tahmin!$C$4+27)),MONTH((Tahmin!$C$4+27)),MIN(DAY(Kalemler!$D33),DAY(EOMONTH((Tahmin!$C$4+27),0))))&gt;=(Tahmin!$C$4+21),DATE(YEAR((Tahmin!$C$4+27)),MONTH((Tahmin!$C$4+27)),MIN(DAY(Kalemler!$D33),DAY(EOMONTH((Tahmin!$C$4+27),0))))&lt;=(Tahmin!$C$4+27),DATE(YEAR((Tahmin!$C$4+27)),MONTH((Tahmin!$C$4+27)),MIN(DAY(Kalemler!$D33),DAY(EOMONTH((Tahmin!$C$4+27),0))))&lt;&gt;DATE(YEAR((Tahmin!$C$4+21)),MONTH((Tahmin!$C$4+21)),MIN(DAY(Kalemler!$D33),DAY(EOMONTH((Tahmin!$C$4+21),0)))),DATE(YEAR((Tahmin!$C$4+27)),MONTH((Tahmin!$C$4+27)),MIN(DAY(Kalemler!$D33),DAY(EOMONTH((Tahmin!$C$4+27),0))))&gt;=Kalemler!$D33)),1,0),IF(AND(Kalemler!$D33&gt;=(Tahmin!$C$4+21),Kalemler!$D33&lt;=(Tahmin!$C$4+27)),1,0))))</f>
        <v>0</v>
      </c>
      <c r="F33" s="0" t="n">
        <f aca="false">IF(OR(Kalemler!$A33="",Kalemler!$C33="",Kalemler!$D33=""),0,Kalemler!$C33*IF(Kalemler!$E33="Haftalık",IF(Kalemler!$D33&lt;=(Tahmin!$C$4+34),1,0),IF(Kalemler!$E33="Aylık",IF(OR(AND(DATE(YEAR((Tahmin!$C$4+28)),MONTH((Tahmin!$C$4+28)),MIN(DAY(Kalemler!$D33),DAY(EOMONTH((Tahmin!$C$4+28),0))))&gt;=(Tahmin!$C$4+28),DATE(YEAR((Tahmin!$C$4+28)),MONTH((Tahmin!$C$4+28)),MIN(DAY(Kalemler!$D33),DAY(EOMONTH((Tahmin!$C$4+28),0))))&lt;=(Tahmin!$C$4+34),DATE(YEAR((Tahmin!$C$4+28)),MONTH((Tahmin!$C$4+28)),MIN(DAY(Kalemler!$D33),DAY(EOMONTH((Tahmin!$C$4+28),0))))&gt;=Kalemler!$D33),AND(DATE(YEAR((Tahmin!$C$4+34)),MONTH((Tahmin!$C$4+34)),MIN(DAY(Kalemler!$D33),DAY(EOMONTH((Tahmin!$C$4+34),0))))&gt;=(Tahmin!$C$4+28),DATE(YEAR((Tahmin!$C$4+34)),MONTH((Tahmin!$C$4+34)),MIN(DAY(Kalemler!$D33),DAY(EOMONTH((Tahmin!$C$4+34),0))))&lt;=(Tahmin!$C$4+34),DATE(YEAR((Tahmin!$C$4+34)),MONTH((Tahmin!$C$4+34)),MIN(DAY(Kalemler!$D33),DAY(EOMONTH((Tahmin!$C$4+34),0))))&lt;&gt;DATE(YEAR((Tahmin!$C$4+28)),MONTH((Tahmin!$C$4+28)),MIN(DAY(Kalemler!$D33),DAY(EOMONTH((Tahmin!$C$4+28),0)))),DATE(YEAR((Tahmin!$C$4+34)),MONTH((Tahmin!$C$4+34)),MIN(DAY(Kalemler!$D33),DAY(EOMONTH((Tahmin!$C$4+34),0))))&gt;=Kalemler!$D33)),1,0),IF(AND(Kalemler!$D33&gt;=(Tahmin!$C$4+28),Kalemler!$D33&lt;=(Tahmin!$C$4+34)),1,0))))</f>
        <v>0</v>
      </c>
      <c r="G33" s="0" t="n">
        <f aca="false">IF(OR(Kalemler!$A33="",Kalemler!$C33="",Kalemler!$D33=""),0,Kalemler!$C33*IF(Kalemler!$E33="Haftalık",IF(Kalemler!$D33&lt;=(Tahmin!$C$4+41),1,0),IF(Kalemler!$E33="Aylık",IF(OR(AND(DATE(YEAR((Tahmin!$C$4+35)),MONTH((Tahmin!$C$4+35)),MIN(DAY(Kalemler!$D33),DAY(EOMONTH((Tahmin!$C$4+35),0))))&gt;=(Tahmin!$C$4+35),DATE(YEAR((Tahmin!$C$4+35)),MONTH((Tahmin!$C$4+35)),MIN(DAY(Kalemler!$D33),DAY(EOMONTH((Tahmin!$C$4+35),0))))&lt;=(Tahmin!$C$4+41),DATE(YEAR((Tahmin!$C$4+35)),MONTH((Tahmin!$C$4+35)),MIN(DAY(Kalemler!$D33),DAY(EOMONTH((Tahmin!$C$4+35),0))))&gt;=Kalemler!$D33),AND(DATE(YEAR((Tahmin!$C$4+41)),MONTH((Tahmin!$C$4+41)),MIN(DAY(Kalemler!$D33),DAY(EOMONTH((Tahmin!$C$4+41),0))))&gt;=(Tahmin!$C$4+35),DATE(YEAR((Tahmin!$C$4+41)),MONTH((Tahmin!$C$4+41)),MIN(DAY(Kalemler!$D33),DAY(EOMONTH((Tahmin!$C$4+41),0))))&lt;=(Tahmin!$C$4+41),DATE(YEAR((Tahmin!$C$4+41)),MONTH((Tahmin!$C$4+41)),MIN(DAY(Kalemler!$D33),DAY(EOMONTH((Tahmin!$C$4+41),0))))&lt;&gt;DATE(YEAR((Tahmin!$C$4+35)),MONTH((Tahmin!$C$4+35)),MIN(DAY(Kalemler!$D33),DAY(EOMONTH((Tahmin!$C$4+35),0)))),DATE(YEAR((Tahmin!$C$4+41)),MONTH((Tahmin!$C$4+41)),MIN(DAY(Kalemler!$D33),DAY(EOMONTH((Tahmin!$C$4+41),0))))&gt;=Kalemler!$D33)),1,0),IF(AND(Kalemler!$D33&gt;=(Tahmin!$C$4+35),Kalemler!$D33&lt;=(Tahmin!$C$4+41)),1,0))))</f>
        <v>0</v>
      </c>
      <c r="H33" s="0" t="n">
        <f aca="false">IF(OR(Kalemler!$A33="",Kalemler!$C33="",Kalemler!$D33=""),0,Kalemler!$C33*IF(Kalemler!$E33="Haftalık",IF(Kalemler!$D33&lt;=(Tahmin!$C$4+48),1,0),IF(Kalemler!$E33="Aylık",IF(OR(AND(DATE(YEAR((Tahmin!$C$4+42)),MONTH((Tahmin!$C$4+42)),MIN(DAY(Kalemler!$D33),DAY(EOMONTH((Tahmin!$C$4+42),0))))&gt;=(Tahmin!$C$4+42),DATE(YEAR((Tahmin!$C$4+42)),MONTH((Tahmin!$C$4+42)),MIN(DAY(Kalemler!$D33),DAY(EOMONTH((Tahmin!$C$4+42),0))))&lt;=(Tahmin!$C$4+48),DATE(YEAR((Tahmin!$C$4+42)),MONTH((Tahmin!$C$4+42)),MIN(DAY(Kalemler!$D33),DAY(EOMONTH((Tahmin!$C$4+42),0))))&gt;=Kalemler!$D33),AND(DATE(YEAR((Tahmin!$C$4+48)),MONTH((Tahmin!$C$4+48)),MIN(DAY(Kalemler!$D33),DAY(EOMONTH((Tahmin!$C$4+48),0))))&gt;=(Tahmin!$C$4+42),DATE(YEAR((Tahmin!$C$4+48)),MONTH((Tahmin!$C$4+48)),MIN(DAY(Kalemler!$D33),DAY(EOMONTH((Tahmin!$C$4+48),0))))&lt;=(Tahmin!$C$4+48),DATE(YEAR((Tahmin!$C$4+48)),MONTH((Tahmin!$C$4+48)),MIN(DAY(Kalemler!$D33),DAY(EOMONTH((Tahmin!$C$4+48),0))))&lt;&gt;DATE(YEAR((Tahmin!$C$4+42)),MONTH((Tahmin!$C$4+42)),MIN(DAY(Kalemler!$D33),DAY(EOMONTH((Tahmin!$C$4+42),0)))),DATE(YEAR((Tahmin!$C$4+48)),MONTH((Tahmin!$C$4+48)),MIN(DAY(Kalemler!$D33),DAY(EOMONTH((Tahmin!$C$4+48),0))))&gt;=Kalemler!$D33)),1,0),IF(AND(Kalemler!$D33&gt;=(Tahmin!$C$4+42),Kalemler!$D33&lt;=(Tahmin!$C$4+48)),1,0))))</f>
        <v>0</v>
      </c>
      <c r="I33" s="0" t="n">
        <f aca="false">IF(OR(Kalemler!$A33="",Kalemler!$C33="",Kalemler!$D33=""),0,Kalemler!$C33*IF(Kalemler!$E33="Haftalık",IF(Kalemler!$D33&lt;=(Tahmin!$C$4+55),1,0),IF(Kalemler!$E33="Aylık",IF(OR(AND(DATE(YEAR((Tahmin!$C$4+49)),MONTH((Tahmin!$C$4+49)),MIN(DAY(Kalemler!$D33),DAY(EOMONTH((Tahmin!$C$4+49),0))))&gt;=(Tahmin!$C$4+49),DATE(YEAR((Tahmin!$C$4+49)),MONTH((Tahmin!$C$4+49)),MIN(DAY(Kalemler!$D33),DAY(EOMONTH((Tahmin!$C$4+49),0))))&lt;=(Tahmin!$C$4+55),DATE(YEAR((Tahmin!$C$4+49)),MONTH((Tahmin!$C$4+49)),MIN(DAY(Kalemler!$D33),DAY(EOMONTH((Tahmin!$C$4+49),0))))&gt;=Kalemler!$D33),AND(DATE(YEAR((Tahmin!$C$4+55)),MONTH((Tahmin!$C$4+55)),MIN(DAY(Kalemler!$D33),DAY(EOMONTH((Tahmin!$C$4+55),0))))&gt;=(Tahmin!$C$4+49),DATE(YEAR((Tahmin!$C$4+55)),MONTH((Tahmin!$C$4+55)),MIN(DAY(Kalemler!$D33),DAY(EOMONTH((Tahmin!$C$4+55),0))))&lt;=(Tahmin!$C$4+55),DATE(YEAR((Tahmin!$C$4+55)),MONTH((Tahmin!$C$4+55)),MIN(DAY(Kalemler!$D33),DAY(EOMONTH((Tahmin!$C$4+55),0))))&lt;&gt;DATE(YEAR((Tahmin!$C$4+49)),MONTH((Tahmin!$C$4+49)),MIN(DAY(Kalemler!$D33),DAY(EOMONTH((Tahmin!$C$4+49),0)))),DATE(YEAR((Tahmin!$C$4+55)),MONTH((Tahmin!$C$4+55)),MIN(DAY(Kalemler!$D33),DAY(EOMONTH((Tahmin!$C$4+55),0))))&gt;=Kalemler!$D33)),1,0),IF(AND(Kalemler!$D33&gt;=(Tahmin!$C$4+49),Kalemler!$D33&lt;=(Tahmin!$C$4+55)),1,0))))</f>
        <v>0</v>
      </c>
      <c r="J33" s="0" t="n">
        <f aca="false">IF(OR(Kalemler!$A33="",Kalemler!$C33="",Kalemler!$D33=""),0,Kalemler!$C33*IF(Kalemler!$E33="Haftalık",IF(Kalemler!$D33&lt;=(Tahmin!$C$4+62),1,0),IF(Kalemler!$E33="Aylık",IF(OR(AND(DATE(YEAR((Tahmin!$C$4+56)),MONTH((Tahmin!$C$4+56)),MIN(DAY(Kalemler!$D33),DAY(EOMONTH((Tahmin!$C$4+56),0))))&gt;=(Tahmin!$C$4+56),DATE(YEAR((Tahmin!$C$4+56)),MONTH((Tahmin!$C$4+56)),MIN(DAY(Kalemler!$D33),DAY(EOMONTH((Tahmin!$C$4+56),0))))&lt;=(Tahmin!$C$4+62),DATE(YEAR((Tahmin!$C$4+56)),MONTH((Tahmin!$C$4+56)),MIN(DAY(Kalemler!$D33),DAY(EOMONTH((Tahmin!$C$4+56),0))))&gt;=Kalemler!$D33),AND(DATE(YEAR((Tahmin!$C$4+62)),MONTH((Tahmin!$C$4+62)),MIN(DAY(Kalemler!$D33),DAY(EOMONTH((Tahmin!$C$4+62),0))))&gt;=(Tahmin!$C$4+56),DATE(YEAR((Tahmin!$C$4+62)),MONTH((Tahmin!$C$4+62)),MIN(DAY(Kalemler!$D33),DAY(EOMONTH((Tahmin!$C$4+62),0))))&lt;=(Tahmin!$C$4+62),DATE(YEAR((Tahmin!$C$4+62)),MONTH((Tahmin!$C$4+62)),MIN(DAY(Kalemler!$D33),DAY(EOMONTH((Tahmin!$C$4+62),0))))&lt;&gt;DATE(YEAR((Tahmin!$C$4+56)),MONTH((Tahmin!$C$4+56)),MIN(DAY(Kalemler!$D33),DAY(EOMONTH((Tahmin!$C$4+56),0)))),DATE(YEAR((Tahmin!$C$4+62)),MONTH((Tahmin!$C$4+62)),MIN(DAY(Kalemler!$D33),DAY(EOMONTH((Tahmin!$C$4+62),0))))&gt;=Kalemler!$D33)),1,0),IF(AND(Kalemler!$D33&gt;=(Tahmin!$C$4+56),Kalemler!$D33&lt;=(Tahmin!$C$4+62)),1,0))))</f>
        <v>0</v>
      </c>
      <c r="K33" s="0" t="n">
        <f aca="false">IF(OR(Kalemler!$A33="",Kalemler!$C33="",Kalemler!$D33=""),0,Kalemler!$C33*IF(Kalemler!$E33="Haftalık",IF(Kalemler!$D33&lt;=(Tahmin!$C$4+69),1,0),IF(Kalemler!$E33="Aylık",IF(OR(AND(DATE(YEAR((Tahmin!$C$4+63)),MONTH((Tahmin!$C$4+63)),MIN(DAY(Kalemler!$D33),DAY(EOMONTH((Tahmin!$C$4+63),0))))&gt;=(Tahmin!$C$4+63),DATE(YEAR((Tahmin!$C$4+63)),MONTH((Tahmin!$C$4+63)),MIN(DAY(Kalemler!$D33),DAY(EOMONTH((Tahmin!$C$4+63),0))))&lt;=(Tahmin!$C$4+69),DATE(YEAR((Tahmin!$C$4+63)),MONTH((Tahmin!$C$4+63)),MIN(DAY(Kalemler!$D33),DAY(EOMONTH((Tahmin!$C$4+63),0))))&gt;=Kalemler!$D33),AND(DATE(YEAR((Tahmin!$C$4+69)),MONTH((Tahmin!$C$4+69)),MIN(DAY(Kalemler!$D33),DAY(EOMONTH((Tahmin!$C$4+69),0))))&gt;=(Tahmin!$C$4+63),DATE(YEAR((Tahmin!$C$4+69)),MONTH((Tahmin!$C$4+69)),MIN(DAY(Kalemler!$D33),DAY(EOMONTH((Tahmin!$C$4+69),0))))&lt;=(Tahmin!$C$4+69),DATE(YEAR((Tahmin!$C$4+69)),MONTH((Tahmin!$C$4+69)),MIN(DAY(Kalemler!$D33),DAY(EOMONTH((Tahmin!$C$4+69),0))))&lt;&gt;DATE(YEAR((Tahmin!$C$4+63)),MONTH((Tahmin!$C$4+63)),MIN(DAY(Kalemler!$D33),DAY(EOMONTH((Tahmin!$C$4+63),0)))),DATE(YEAR((Tahmin!$C$4+69)),MONTH((Tahmin!$C$4+69)),MIN(DAY(Kalemler!$D33),DAY(EOMONTH((Tahmin!$C$4+69),0))))&gt;=Kalemler!$D33)),1,0),IF(AND(Kalemler!$D33&gt;=(Tahmin!$C$4+63),Kalemler!$D33&lt;=(Tahmin!$C$4+69)),1,0))))</f>
        <v>0</v>
      </c>
      <c r="L33" s="0" t="n">
        <f aca="false">IF(OR(Kalemler!$A33="",Kalemler!$C33="",Kalemler!$D33=""),0,Kalemler!$C33*IF(Kalemler!$E33="Haftalık",IF(Kalemler!$D33&lt;=(Tahmin!$C$4+76),1,0),IF(Kalemler!$E33="Aylık",IF(OR(AND(DATE(YEAR((Tahmin!$C$4+70)),MONTH((Tahmin!$C$4+70)),MIN(DAY(Kalemler!$D33),DAY(EOMONTH((Tahmin!$C$4+70),0))))&gt;=(Tahmin!$C$4+70),DATE(YEAR((Tahmin!$C$4+70)),MONTH((Tahmin!$C$4+70)),MIN(DAY(Kalemler!$D33),DAY(EOMONTH((Tahmin!$C$4+70),0))))&lt;=(Tahmin!$C$4+76),DATE(YEAR((Tahmin!$C$4+70)),MONTH((Tahmin!$C$4+70)),MIN(DAY(Kalemler!$D33),DAY(EOMONTH((Tahmin!$C$4+70),0))))&gt;=Kalemler!$D33),AND(DATE(YEAR((Tahmin!$C$4+76)),MONTH((Tahmin!$C$4+76)),MIN(DAY(Kalemler!$D33),DAY(EOMONTH((Tahmin!$C$4+76),0))))&gt;=(Tahmin!$C$4+70),DATE(YEAR((Tahmin!$C$4+76)),MONTH((Tahmin!$C$4+76)),MIN(DAY(Kalemler!$D33),DAY(EOMONTH((Tahmin!$C$4+76),0))))&lt;=(Tahmin!$C$4+76),DATE(YEAR((Tahmin!$C$4+76)),MONTH((Tahmin!$C$4+76)),MIN(DAY(Kalemler!$D33),DAY(EOMONTH((Tahmin!$C$4+76),0))))&lt;&gt;DATE(YEAR((Tahmin!$C$4+70)),MONTH((Tahmin!$C$4+70)),MIN(DAY(Kalemler!$D33),DAY(EOMONTH((Tahmin!$C$4+70),0)))),DATE(YEAR((Tahmin!$C$4+76)),MONTH((Tahmin!$C$4+76)),MIN(DAY(Kalemler!$D33),DAY(EOMONTH((Tahmin!$C$4+76),0))))&gt;=Kalemler!$D33)),1,0),IF(AND(Kalemler!$D33&gt;=(Tahmin!$C$4+70),Kalemler!$D33&lt;=(Tahmin!$C$4+76)),1,0))))</f>
        <v>0</v>
      </c>
      <c r="M33" s="0" t="n">
        <f aca="false">IF(OR(Kalemler!$A33="",Kalemler!$C33="",Kalemler!$D33=""),0,Kalemler!$C33*IF(Kalemler!$E33="Haftalık",IF(Kalemler!$D33&lt;=(Tahmin!$C$4+83),1,0),IF(Kalemler!$E33="Aylık",IF(OR(AND(DATE(YEAR((Tahmin!$C$4+77)),MONTH((Tahmin!$C$4+77)),MIN(DAY(Kalemler!$D33),DAY(EOMONTH((Tahmin!$C$4+77),0))))&gt;=(Tahmin!$C$4+77),DATE(YEAR((Tahmin!$C$4+77)),MONTH((Tahmin!$C$4+77)),MIN(DAY(Kalemler!$D33),DAY(EOMONTH((Tahmin!$C$4+77),0))))&lt;=(Tahmin!$C$4+83),DATE(YEAR((Tahmin!$C$4+77)),MONTH((Tahmin!$C$4+77)),MIN(DAY(Kalemler!$D33),DAY(EOMONTH((Tahmin!$C$4+77),0))))&gt;=Kalemler!$D33),AND(DATE(YEAR((Tahmin!$C$4+83)),MONTH((Tahmin!$C$4+83)),MIN(DAY(Kalemler!$D33),DAY(EOMONTH((Tahmin!$C$4+83),0))))&gt;=(Tahmin!$C$4+77),DATE(YEAR((Tahmin!$C$4+83)),MONTH((Tahmin!$C$4+83)),MIN(DAY(Kalemler!$D33),DAY(EOMONTH((Tahmin!$C$4+83),0))))&lt;=(Tahmin!$C$4+83),DATE(YEAR((Tahmin!$C$4+83)),MONTH((Tahmin!$C$4+83)),MIN(DAY(Kalemler!$D33),DAY(EOMONTH((Tahmin!$C$4+83),0))))&lt;&gt;DATE(YEAR((Tahmin!$C$4+77)),MONTH((Tahmin!$C$4+77)),MIN(DAY(Kalemler!$D33),DAY(EOMONTH((Tahmin!$C$4+77),0)))),DATE(YEAR((Tahmin!$C$4+83)),MONTH((Tahmin!$C$4+83)),MIN(DAY(Kalemler!$D33),DAY(EOMONTH((Tahmin!$C$4+83),0))))&gt;=Kalemler!$D33)),1,0),IF(AND(Kalemler!$D33&gt;=(Tahmin!$C$4+77),Kalemler!$D33&lt;=(Tahmin!$C$4+83)),1,0))))</f>
        <v>0</v>
      </c>
      <c r="N33" s="0" t="n">
        <f aca="false">IF(OR(Kalemler!$A33="",Kalemler!$C33="",Kalemler!$D33=""),0,Kalemler!$C33*IF(Kalemler!$E33="Haftalık",IF(Kalemler!$D33&lt;=(Tahmin!$C$4+90),1,0),IF(Kalemler!$E33="Aylık",IF(OR(AND(DATE(YEAR((Tahmin!$C$4+84)),MONTH((Tahmin!$C$4+84)),MIN(DAY(Kalemler!$D33),DAY(EOMONTH((Tahmin!$C$4+84),0))))&gt;=(Tahmin!$C$4+84),DATE(YEAR((Tahmin!$C$4+84)),MONTH((Tahmin!$C$4+84)),MIN(DAY(Kalemler!$D33),DAY(EOMONTH((Tahmin!$C$4+84),0))))&lt;=(Tahmin!$C$4+90),DATE(YEAR((Tahmin!$C$4+84)),MONTH((Tahmin!$C$4+84)),MIN(DAY(Kalemler!$D33),DAY(EOMONTH((Tahmin!$C$4+84),0))))&gt;=Kalemler!$D33),AND(DATE(YEAR((Tahmin!$C$4+90)),MONTH((Tahmin!$C$4+90)),MIN(DAY(Kalemler!$D33),DAY(EOMONTH((Tahmin!$C$4+90),0))))&gt;=(Tahmin!$C$4+84),DATE(YEAR((Tahmin!$C$4+90)),MONTH((Tahmin!$C$4+90)),MIN(DAY(Kalemler!$D33),DAY(EOMONTH((Tahmin!$C$4+90),0))))&lt;=(Tahmin!$C$4+90),DATE(YEAR((Tahmin!$C$4+90)),MONTH((Tahmin!$C$4+90)),MIN(DAY(Kalemler!$D33),DAY(EOMONTH((Tahmin!$C$4+90),0))))&lt;&gt;DATE(YEAR((Tahmin!$C$4+84)),MONTH((Tahmin!$C$4+84)),MIN(DAY(Kalemler!$D33),DAY(EOMONTH((Tahmin!$C$4+84),0)))),DATE(YEAR((Tahmin!$C$4+90)),MONTH((Tahmin!$C$4+90)),MIN(DAY(Kalemler!$D33),DAY(EOMONTH((Tahmin!$C$4+90),0))))&gt;=Kalemler!$D33)),1,0),IF(AND(Kalemler!$D33&gt;=(Tahmin!$C$4+84),Kalemler!$D33&lt;=(Tahmin!$C$4+90)),1,0))))</f>
        <v>0</v>
      </c>
    </row>
    <row r="34" customFormat="false" ht="15" hidden="false" customHeight="false" outlineLevel="0" collapsed="false">
      <c r="A34" s="0" t="str">
        <f aca="false">IF(Kalemler!A34="","",Kalemler!A34)</f>
        <v/>
      </c>
      <c r="B34" s="0" t="n">
        <f aca="false">IF(OR(Kalemler!$A34="",Kalemler!$C34="",Kalemler!$D34=""),0,Kalemler!$C34*IF(Kalemler!$E34="Haftalık",IF(Kalemler!$D34&lt;=(Tahmin!$C$4+6),1,0),IF(Kalemler!$E34="Aylık",IF(OR(AND(DATE(YEAR((Tahmin!$C$4+0)),MONTH((Tahmin!$C$4+0)),MIN(DAY(Kalemler!$D34),DAY(EOMONTH((Tahmin!$C$4+0),0))))&gt;=(Tahmin!$C$4+0),DATE(YEAR((Tahmin!$C$4+0)),MONTH((Tahmin!$C$4+0)),MIN(DAY(Kalemler!$D34),DAY(EOMONTH((Tahmin!$C$4+0),0))))&lt;=(Tahmin!$C$4+6),DATE(YEAR((Tahmin!$C$4+0)),MONTH((Tahmin!$C$4+0)),MIN(DAY(Kalemler!$D34),DAY(EOMONTH((Tahmin!$C$4+0),0))))&gt;=Kalemler!$D34),AND(DATE(YEAR((Tahmin!$C$4+6)),MONTH((Tahmin!$C$4+6)),MIN(DAY(Kalemler!$D34),DAY(EOMONTH((Tahmin!$C$4+6),0))))&gt;=(Tahmin!$C$4+0),DATE(YEAR((Tahmin!$C$4+6)),MONTH((Tahmin!$C$4+6)),MIN(DAY(Kalemler!$D34),DAY(EOMONTH((Tahmin!$C$4+6),0))))&lt;=(Tahmin!$C$4+6),DATE(YEAR((Tahmin!$C$4+6)),MONTH((Tahmin!$C$4+6)),MIN(DAY(Kalemler!$D34),DAY(EOMONTH((Tahmin!$C$4+6),0))))&lt;&gt;DATE(YEAR((Tahmin!$C$4+0)),MONTH((Tahmin!$C$4+0)),MIN(DAY(Kalemler!$D34),DAY(EOMONTH((Tahmin!$C$4+0),0)))),DATE(YEAR((Tahmin!$C$4+6)),MONTH((Tahmin!$C$4+6)),MIN(DAY(Kalemler!$D34),DAY(EOMONTH((Tahmin!$C$4+6),0))))&gt;=Kalemler!$D34)),1,0),IF(AND(Kalemler!$D34&gt;=(Tahmin!$C$4+0),Kalemler!$D34&lt;=(Tahmin!$C$4+6)),1,0))))</f>
        <v>0</v>
      </c>
      <c r="C34" s="0" t="n">
        <f aca="false">IF(OR(Kalemler!$A34="",Kalemler!$C34="",Kalemler!$D34=""),0,Kalemler!$C34*IF(Kalemler!$E34="Haftalık",IF(Kalemler!$D34&lt;=(Tahmin!$C$4+13),1,0),IF(Kalemler!$E34="Aylık",IF(OR(AND(DATE(YEAR((Tahmin!$C$4+7)),MONTH((Tahmin!$C$4+7)),MIN(DAY(Kalemler!$D34),DAY(EOMONTH((Tahmin!$C$4+7),0))))&gt;=(Tahmin!$C$4+7),DATE(YEAR((Tahmin!$C$4+7)),MONTH((Tahmin!$C$4+7)),MIN(DAY(Kalemler!$D34),DAY(EOMONTH((Tahmin!$C$4+7),0))))&lt;=(Tahmin!$C$4+13),DATE(YEAR((Tahmin!$C$4+7)),MONTH((Tahmin!$C$4+7)),MIN(DAY(Kalemler!$D34),DAY(EOMONTH((Tahmin!$C$4+7),0))))&gt;=Kalemler!$D34),AND(DATE(YEAR((Tahmin!$C$4+13)),MONTH((Tahmin!$C$4+13)),MIN(DAY(Kalemler!$D34),DAY(EOMONTH((Tahmin!$C$4+13),0))))&gt;=(Tahmin!$C$4+7),DATE(YEAR((Tahmin!$C$4+13)),MONTH((Tahmin!$C$4+13)),MIN(DAY(Kalemler!$D34),DAY(EOMONTH((Tahmin!$C$4+13),0))))&lt;=(Tahmin!$C$4+13),DATE(YEAR((Tahmin!$C$4+13)),MONTH((Tahmin!$C$4+13)),MIN(DAY(Kalemler!$D34),DAY(EOMONTH((Tahmin!$C$4+13),0))))&lt;&gt;DATE(YEAR((Tahmin!$C$4+7)),MONTH((Tahmin!$C$4+7)),MIN(DAY(Kalemler!$D34),DAY(EOMONTH((Tahmin!$C$4+7),0)))),DATE(YEAR((Tahmin!$C$4+13)),MONTH((Tahmin!$C$4+13)),MIN(DAY(Kalemler!$D34),DAY(EOMONTH((Tahmin!$C$4+13),0))))&gt;=Kalemler!$D34)),1,0),IF(AND(Kalemler!$D34&gt;=(Tahmin!$C$4+7),Kalemler!$D34&lt;=(Tahmin!$C$4+13)),1,0))))</f>
        <v>0</v>
      </c>
      <c r="D34" s="0" t="n">
        <f aca="false">IF(OR(Kalemler!$A34="",Kalemler!$C34="",Kalemler!$D34=""),0,Kalemler!$C34*IF(Kalemler!$E34="Haftalık",IF(Kalemler!$D34&lt;=(Tahmin!$C$4+20),1,0),IF(Kalemler!$E34="Aylık",IF(OR(AND(DATE(YEAR((Tahmin!$C$4+14)),MONTH((Tahmin!$C$4+14)),MIN(DAY(Kalemler!$D34),DAY(EOMONTH((Tahmin!$C$4+14),0))))&gt;=(Tahmin!$C$4+14),DATE(YEAR((Tahmin!$C$4+14)),MONTH((Tahmin!$C$4+14)),MIN(DAY(Kalemler!$D34),DAY(EOMONTH((Tahmin!$C$4+14),0))))&lt;=(Tahmin!$C$4+20),DATE(YEAR((Tahmin!$C$4+14)),MONTH((Tahmin!$C$4+14)),MIN(DAY(Kalemler!$D34),DAY(EOMONTH((Tahmin!$C$4+14),0))))&gt;=Kalemler!$D34),AND(DATE(YEAR((Tahmin!$C$4+20)),MONTH((Tahmin!$C$4+20)),MIN(DAY(Kalemler!$D34),DAY(EOMONTH((Tahmin!$C$4+20),0))))&gt;=(Tahmin!$C$4+14),DATE(YEAR((Tahmin!$C$4+20)),MONTH((Tahmin!$C$4+20)),MIN(DAY(Kalemler!$D34),DAY(EOMONTH((Tahmin!$C$4+20),0))))&lt;=(Tahmin!$C$4+20),DATE(YEAR((Tahmin!$C$4+20)),MONTH((Tahmin!$C$4+20)),MIN(DAY(Kalemler!$D34),DAY(EOMONTH((Tahmin!$C$4+20),0))))&lt;&gt;DATE(YEAR((Tahmin!$C$4+14)),MONTH((Tahmin!$C$4+14)),MIN(DAY(Kalemler!$D34),DAY(EOMONTH((Tahmin!$C$4+14),0)))),DATE(YEAR((Tahmin!$C$4+20)),MONTH((Tahmin!$C$4+20)),MIN(DAY(Kalemler!$D34),DAY(EOMONTH((Tahmin!$C$4+20),0))))&gt;=Kalemler!$D34)),1,0),IF(AND(Kalemler!$D34&gt;=(Tahmin!$C$4+14),Kalemler!$D34&lt;=(Tahmin!$C$4+20)),1,0))))</f>
        <v>0</v>
      </c>
      <c r="E34" s="0" t="n">
        <f aca="false">IF(OR(Kalemler!$A34="",Kalemler!$C34="",Kalemler!$D34=""),0,Kalemler!$C34*IF(Kalemler!$E34="Haftalık",IF(Kalemler!$D34&lt;=(Tahmin!$C$4+27),1,0),IF(Kalemler!$E34="Aylık",IF(OR(AND(DATE(YEAR((Tahmin!$C$4+21)),MONTH((Tahmin!$C$4+21)),MIN(DAY(Kalemler!$D34),DAY(EOMONTH((Tahmin!$C$4+21),0))))&gt;=(Tahmin!$C$4+21),DATE(YEAR((Tahmin!$C$4+21)),MONTH((Tahmin!$C$4+21)),MIN(DAY(Kalemler!$D34),DAY(EOMONTH((Tahmin!$C$4+21),0))))&lt;=(Tahmin!$C$4+27),DATE(YEAR((Tahmin!$C$4+21)),MONTH((Tahmin!$C$4+21)),MIN(DAY(Kalemler!$D34),DAY(EOMONTH((Tahmin!$C$4+21),0))))&gt;=Kalemler!$D34),AND(DATE(YEAR((Tahmin!$C$4+27)),MONTH((Tahmin!$C$4+27)),MIN(DAY(Kalemler!$D34),DAY(EOMONTH((Tahmin!$C$4+27),0))))&gt;=(Tahmin!$C$4+21),DATE(YEAR((Tahmin!$C$4+27)),MONTH((Tahmin!$C$4+27)),MIN(DAY(Kalemler!$D34),DAY(EOMONTH((Tahmin!$C$4+27),0))))&lt;=(Tahmin!$C$4+27),DATE(YEAR((Tahmin!$C$4+27)),MONTH((Tahmin!$C$4+27)),MIN(DAY(Kalemler!$D34),DAY(EOMONTH((Tahmin!$C$4+27),0))))&lt;&gt;DATE(YEAR((Tahmin!$C$4+21)),MONTH((Tahmin!$C$4+21)),MIN(DAY(Kalemler!$D34),DAY(EOMONTH((Tahmin!$C$4+21),0)))),DATE(YEAR((Tahmin!$C$4+27)),MONTH((Tahmin!$C$4+27)),MIN(DAY(Kalemler!$D34),DAY(EOMONTH((Tahmin!$C$4+27),0))))&gt;=Kalemler!$D34)),1,0),IF(AND(Kalemler!$D34&gt;=(Tahmin!$C$4+21),Kalemler!$D34&lt;=(Tahmin!$C$4+27)),1,0))))</f>
        <v>0</v>
      </c>
      <c r="F34" s="0" t="n">
        <f aca="false">IF(OR(Kalemler!$A34="",Kalemler!$C34="",Kalemler!$D34=""),0,Kalemler!$C34*IF(Kalemler!$E34="Haftalık",IF(Kalemler!$D34&lt;=(Tahmin!$C$4+34),1,0),IF(Kalemler!$E34="Aylık",IF(OR(AND(DATE(YEAR((Tahmin!$C$4+28)),MONTH((Tahmin!$C$4+28)),MIN(DAY(Kalemler!$D34),DAY(EOMONTH((Tahmin!$C$4+28),0))))&gt;=(Tahmin!$C$4+28),DATE(YEAR((Tahmin!$C$4+28)),MONTH((Tahmin!$C$4+28)),MIN(DAY(Kalemler!$D34),DAY(EOMONTH((Tahmin!$C$4+28),0))))&lt;=(Tahmin!$C$4+34),DATE(YEAR((Tahmin!$C$4+28)),MONTH((Tahmin!$C$4+28)),MIN(DAY(Kalemler!$D34),DAY(EOMONTH((Tahmin!$C$4+28),0))))&gt;=Kalemler!$D34),AND(DATE(YEAR((Tahmin!$C$4+34)),MONTH((Tahmin!$C$4+34)),MIN(DAY(Kalemler!$D34),DAY(EOMONTH((Tahmin!$C$4+34),0))))&gt;=(Tahmin!$C$4+28),DATE(YEAR((Tahmin!$C$4+34)),MONTH((Tahmin!$C$4+34)),MIN(DAY(Kalemler!$D34),DAY(EOMONTH((Tahmin!$C$4+34),0))))&lt;=(Tahmin!$C$4+34),DATE(YEAR((Tahmin!$C$4+34)),MONTH((Tahmin!$C$4+34)),MIN(DAY(Kalemler!$D34),DAY(EOMONTH((Tahmin!$C$4+34),0))))&lt;&gt;DATE(YEAR((Tahmin!$C$4+28)),MONTH((Tahmin!$C$4+28)),MIN(DAY(Kalemler!$D34),DAY(EOMONTH((Tahmin!$C$4+28),0)))),DATE(YEAR((Tahmin!$C$4+34)),MONTH((Tahmin!$C$4+34)),MIN(DAY(Kalemler!$D34),DAY(EOMONTH((Tahmin!$C$4+34),0))))&gt;=Kalemler!$D34)),1,0),IF(AND(Kalemler!$D34&gt;=(Tahmin!$C$4+28),Kalemler!$D34&lt;=(Tahmin!$C$4+34)),1,0))))</f>
        <v>0</v>
      </c>
      <c r="G34" s="0" t="n">
        <f aca="false">IF(OR(Kalemler!$A34="",Kalemler!$C34="",Kalemler!$D34=""),0,Kalemler!$C34*IF(Kalemler!$E34="Haftalık",IF(Kalemler!$D34&lt;=(Tahmin!$C$4+41),1,0),IF(Kalemler!$E34="Aylık",IF(OR(AND(DATE(YEAR((Tahmin!$C$4+35)),MONTH((Tahmin!$C$4+35)),MIN(DAY(Kalemler!$D34),DAY(EOMONTH((Tahmin!$C$4+35),0))))&gt;=(Tahmin!$C$4+35),DATE(YEAR((Tahmin!$C$4+35)),MONTH((Tahmin!$C$4+35)),MIN(DAY(Kalemler!$D34),DAY(EOMONTH((Tahmin!$C$4+35),0))))&lt;=(Tahmin!$C$4+41),DATE(YEAR((Tahmin!$C$4+35)),MONTH((Tahmin!$C$4+35)),MIN(DAY(Kalemler!$D34),DAY(EOMONTH((Tahmin!$C$4+35),0))))&gt;=Kalemler!$D34),AND(DATE(YEAR((Tahmin!$C$4+41)),MONTH((Tahmin!$C$4+41)),MIN(DAY(Kalemler!$D34),DAY(EOMONTH((Tahmin!$C$4+41),0))))&gt;=(Tahmin!$C$4+35),DATE(YEAR((Tahmin!$C$4+41)),MONTH((Tahmin!$C$4+41)),MIN(DAY(Kalemler!$D34),DAY(EOMONTH((Tahmin!$C$4+41),0))))&lt;=(Tahmin!$C$4+41),DATE(YEAR((Tahmin!$C$4+41)),MONTH((Tahmin!$C$4+41)),MIN(DAY(Kalemler!$D34),DAY(EOMONTH((Tahmin!$C$4+41),0))))&lt;&gt;DATE(YEAR((Tahmin!$C$4+35)),MONTH((Tahmin!$C$4+35)),MIN(DAY(Kalemler!$D34),DAY(EOMONTH((Tahmin!$C$4+35),0)))),DATE(YEAR((Tahmin!$C$4+41)),MONTH((Tahmin!$C$4+41)),MIN(DAY(Kalemler!$D34),DAY(EOMONTH((Tahmin!$C$4+41),0))))&gt;=Kalemler!$D34)),1,0),IF(AND(Kalemler!$D34&gt;=(Tahmin!$C$4+35),Kalemler!$D34&lt;=(Tahmin!$C$4+41)),1,0))))</f>
        <v>0</v>
      </c>
      <c r="H34" s="0" t="n">
        <f aca="false">IF(OR(Kalemler!$A34="",Kalemler!$C34="",Kalemler!$D34=""),0,Kalemler!$C34*IF(Kalemler!$E34="Haftalık",IF(Kalemler!$D34&lt;=(Tahmin!$C$4+48),1,0),IF(Kalemler!$E34="Aylık",IF(OR(AND(DATE(YEAR((Tahmin!$C$4+42)),MONTH((Tahmin!$C$4+42)),MIN(DAY(Kalemler!$D34),DAY(EOMONTH((Tahmin!$C$4+42),0))))&gt;=(Tahmin!$C$4+42),DATE(YEAR((Tahmin!$C$4+42)),MONTH((Tahmin!$C$4+42)),MIN(DAY(Kalemler!$D34),DAY(EOMONTH((Tahmin!$C$4+42),0))))&lt;=(Tahmin!$C$4+48),DATE(YEAR((Tahmin!$C$4+42)),MONTH((Tahmin!$C$4+42)),MIN(DAY(Kalemler!$D34),DAY(EOMONTH((Tahmin!$C$4+42),0))))&gt;=Kalemler!$D34),AND(DATE(YEAR((Tahmin!$C$4+48)),MONTH((Tahmin!$C$4+48)),MIN(DAY(Kalemler!$D34),DAY(EOMONTH((Tahmin!$C$4+48),0))))&gt;=(Tahmin!$C$4+42),DATE(YEAR((Tahmin!$C$4+48)),MONTH((Tahmin!$C$4+48)),MIN(DAY(Kalemler!$D34),DAY(EOMONTH((Tahmin!$C$4+48),0))))&lt;=(Tahmin!$C$4+48),DATE(YEAR((Tahmin!$C$4+48)),MONTH((Tahmin!$C$4+48)),MIN(DAY(Kalemler!$D34),DAY(EOMONTH((Tahmin!$C$4+48),0))))&lt;&gt;DATE(YEAR((Tahmin!$C$4+42)),MONTH((Tahmin!$C$4+42)),MIN(DAY(Kalemler!$D34),DAY(EOMONTH((Tahmin!$C$4+42),0)))),DATE(YEAR((Tahmin!$C$4+48)),MONTH((Tahmin!$C$4+48)),MIN(DAY(Kalemler!$D34),DAY(EOMONTH((Tahmin!$C$4+48),0))))&gt;=Kalemler!$D34)),1,0),IF(AND(Kalemler!$D34&gt;=(Tahmin!$C$4+42),Kalemler!$D34&lt;=(Tahmin!$C$4+48)),1,0))))</f>
        <v>0</v>
      </c>
      <c r="I34" s="0" t="n">
        <f aca="false">IF(OR(Kalemler!$A34="",Kalemler!$C34="",Kalemler!$D34=""),0,Kalemler!$C34*IF(Kalemler!$E34="Haftalık",IF(Kalemler!$D34&lt;=(Tahmin!$C$4+55),1,0),IF(Kalemler!$E34="Aylık",IF(OR(AND(DATE(YEAR((Tahmin!$C$4+49)),MONTH((Tahmin!$C$4+49)),MIN(DAY(Kalemler!$D34),DAY(EOMONTH((Tahmin!$C$4+49),0))))&gt;=(Tahmin!$C$4+49),DATE(YEAR((Tahmin!$C$4+49)),MONTH((Tahmin!$C$4+49)),MIN(DAY(Kalemler!$D34),DAY(EOMONTH((Tahmin!$C$4+49),0))))&lt;=(Tahmin!$C$4+55),DATE(YEAR((Tahmin!$C$4+49)),MONTH((Tahmin!$C$4+49)),MIN(DAY(Kalemler!$D34),DAY(EOMONTH((Tahmin!$C$4+49),0))))&gt;=Kalemler!$D34),AND(DATE(YEAR((Tahmin!$C$4+55)),MONTH((Tahmin!$C$4+55)),MIN(DAY(Kalemler!$D34),DAY(EOMONTH((Tahmin!$C$4+55),0))))&gt;=(Tahmin!$C$4+49),DATE(YEAR((Tahmin!$C$4+55)),MONTH((Tahmin!$C$4+55)),MIN(DAY(Kalemler!$D34),DAY(EOMONTH((Tahmin!$C$4+55),0))))&lt;=(Tahmin!$C$4+55),DATE(YEAR((Tahmin!$C$4+55)),MONTH((Tahmin!$C$4+55)),MIN(DAY(Kalemler!$D34),DAY(EOMONTH((Tahmin!$C$4+55),0))))&lt;&gt;DATE(YEAR((Tahmin!$C$4+49)),MONTH((Tahmin!$C$4+49)),MIN(DAY(Kalemler!$D34),DAY(EOMONTH((Tahmin!$C$4+49),0)))),DATE(YEAR((Tahmin!$C$4+55)),MONTH((Tahmin!$C$4+55)),MIN(DAY(Kalemler!$D34),DAY(EOMONTH((Tahmin!$C$4+55),0))))&gt;=Kalemler!$D34)),1,0),IF(AND(Kalemler!$D34&gt;=(Tahmin!$C$4+49),Kalemler!$D34&lt;=(Tahmin!$C$4+55)),1,0))))</f>
        <v>0</v>
      </c>
      <c r="J34" s="0" t="n">
        <f aca="false">IF(OR(Kalemler!$A34="",Kalemler!$C34="",Kalemler!$D34=""),0,Kalemler!$C34*IF(Kalemler!$E34="Haftalık",IF(Kalemler!$D34&lt;=(Tahmin!$C$4+62),1,0),IF(Kalemler!$E34="Aylık",IF(OR(AND(DATE(YEAR((Tahmin!$C$4+56)),MONTH((Tahmin!$C$4+56)),MIN(DAY(Kalemler!$D34),DAY(EOMONTH((Tahmin!$C$4+56),0))))&gt;=(Tahmin!$C$4+56),DATE(YEAR((Tahmin!$C$4+56)),MONTH((Tahmin!$C$4+56)),MIN(DAY(Kalemler!$D34),DAY(EOMONTH((Tahmin!$C$4+56),0))))&lt;=(Tahmin!$C$4+62),DATE(YEAR((Tahmin!$C$4+56)),MONTH((Tahmin!$C$4+56)),MIN(DAY(Kalemler!$D34),DAY(EOMONTH((Tahmin!$C$4+56),0))))&gt;=Kalemler!$D34),AND(DATE(YEAR((Tahmin!$C$4+62)),MONTH((Tahmin!$C$4+62)),MIN(DAY(Kalemler!$D34),DAY(EOMONTH((Tahmin!$C$4+62),0))))&gt;=(Tahmin!$C$4+56),DATE(YEAR((Tahmin!$C$4+62)),MONTH((Tahmin!$C$4+62)),MIN(DAY(Kalemler!$D34),DAY(EOMONTH((Tahmin!$C$4+62),0))))&lt;=(Tahmin!$C$4+62),DATE(YEAR((Tahmin!$C$4+62)),MONTH((Tahmin!$C$4+62)),MIN(DAY(Kalemler!$D34),DAY(EOMONTH((Tahmin!$C$4+62),0))))&lt;&gt;DATE(YEAR((Tahmin!$C$4+56)),MONTH((Tahmin!$C$4+56)),MIN(DAY(Kalemler!$D34),DAY(EOMONTH((Tahmin!$C$4+56),0)))),DATE(YEAR((Tahmin!$C$4+62)),MONTH((Tahmin!$C$4+62)),MIN(DAY(Kalemler!$D34),DAY(EOMONTH((Tahmin!$C$4+62),0))))&gt;=Kalemler!$D34)),1,0),IF(AND(Kalemler!$D34&gt;=(Tahmin!$C$4+56),Kalemler!$D34&lt;=(Tahmin!$C$4+62)),1,0))))</f>
        <v>0</v>
      </c>
      <c r="K34" s="0" t="n">
        <f aca="false">IF(OR(Kalemler!$A34="",Kalemler!$C34="",Kalemler!$D34=""),0,Kalemler!$C34*IF(Kalemler!$E34="Haftalık",IF(Kalemler!$D34&lt;=(Tahmin!$C$4+69),1,0),IF(Kalemler!$E34="Aylık",IF(OR(AND(DATE(YEAR((Tahmin!$C$4+63)),MONTH((Tahmin!$C$4+63)),MIN(DAY(Kalemler!$D34),DAY(EOMONTH((Tahmin!$C$4+63),0))))&gt;=(Tahmin!$C$4+63),DATE(YEAR((Tahmin!$C$4+63)),MONTH((Tahmin!$C$4+63)),MIN(DAY(Kalemler!$D34),DAY(EOMONTH((Tahmin!$C$4+63),0))))&lt;=(Tahmin!$C$4+69),DATE(YEAR((Tahmin!$C$4+63)),MONTH((Tahmin!$C$4+63)),MIN(DAY(Kalemler!$D34),DAY(EOMONTH((Tahmin!$C$4+63),0))))&gt;=Kalemler!$D34),AND(DATE(YEAR((Tahmin!$C$4+69)),MONTH((Tahmin!$C$4+69)),MIN(DAY(Kalemler!$D34),DAY(EOMONTH((Tahmin!$C$4+69),0))))&gt;=(Tahmin!$C$4+63),DATE(YEAR((Tahmin!$C$4+69)),MONTH((Tahmin!$C$4+69)),MIN(DAY(Kalemler!$D34),DAY(EOMONTH((Tahmin!$C$4+69),0))))&lt;=(Tahmin!$C$4+69),DATE(YEAR((Tahmin!$C$4+69)),MONTH((Tahmin!$C$4+69)),MIN(DAY(Kalemler!$D34),DAY(EOMONTH((Tahmin!$C$4+69),0))))&lt;&gt;DATE(YEAR((Tahmin!$C$4+63)),MONTH((Tahmin!$C$4+63)),MIN(DAY(Kalemler!$D34),DAY(EOMONTH((Tahmin!$C$4+63),0)))),DATE(YEAR((Tahmin!$C$4+69)),MONTH((Tahmin!$C$4+69)),MIN(DAY(Kalemler!$D34),DAY(EOMONTH((Tahmin!$C$4+69),0))))&gt;=Kalemler!$D34)),1,0),IF(AND(Kalemler!$D34&gt;=(Tahmin!$C$4+63),Kalemler!$D34&lt;=(Tahmin!$C$4+69)),1,0))))</f>
        <v>0</v>
      </c>
      <c r="L34" s="0" t="n">
        <f aca="false">IF(OR(Kalemler!$A34="",Kalemler!$C34="",Kalemler!$D34=""),0,Kalemler!$C34*IF(Kalemler!$E34="Haftalık",IF(Kalemler!$D34&lt;=(Tahmin!$C$4+76),1,0),IF(Kalemler!$E34="Aylık",IF(OR(AND(DATE(YEAR((Tahmin!$C$4+70)),MONTH((Tahmin!$C$4+70)),MIN(DAY(Kalemler!$D34),DAY(EOMONTH((Tahmin!$C$4+70),0))))&gt;=(Tahmin!$C$4+70),DATE(YEAR((Tahmin!$C$4+70)),MONTH((Tahmin!$C$4+70)),MIN(DAY(Kalemler!$D34),DAY(EOMONTH((Tahmin!$C$4+70),0))))&lt;=(Tahmin!$C$4+76),DATE(YEAR((Tahmin!$C$4+70)),MONTH((Tahmin!$C$4+70)),MIN(DAY(Kalemler!$D34),DAY(EOMONTH((Tahmin!$C$4+70),0))))&gt;=Kalemler!$D34),AND(DATE(YEAR((Tahmin!$C$4+76)),MONTH((Tahmin!$C$4+76)),MIN(DAY(Kalemler!$D34),DAY(EOMONTH((Tahmin!$C$4+76),0))))&gt;=(Tahmin!$C$4+70),DATE(YEAR((Tahmin!$C$4+76)),MONTH((Tahmin!$C$4+76)),MIN(DAY(Kalemler!$D34),DAY(EOMONTH((Tahmin!$C$4+76),0))))&lt;=(Tahmin!$C$4+76),DATE(YEAR((Tahmin!$C$4+76)),MONTH((Tahmin!$C$4+76)),MIN(DAY(Kalemler!$D34),DAY(EOMONTH((Tahmin!$C$4+76),0))))&lt;&gt;DATE(YEAR((Tahmin!$C$4+70)),MONTH((Tahmin!$C$4+70)),MIN(DAY(Kalemler!$D34),DAY(EOMONTH((Tahmin!$C$4+70),0)))),DATE(YEAR((Tahmin!$C$4+76)),MONTH((Tahmin!$C$4+76)),MIN(DAY(Kalemler!$D34),DAY(EOMONTH((Tahmin!$C$4+76),0))))&gt;=Kalemler!$D34)),1,0),IF(AND(Kalemler!$D34&gt;=(Tahmin!$C$4+70),Kalemler!$D34&lt;=(Tahmin!$C$4+76)),1,0))))</f>
        <v>0</v>
      </c>
      <c r="M34" s="0" t="n">
        <f aca="false">IF(OR(Kalemler!$A34="",Kalemler!$C34="",Kalemler!$D34=""),0,Kalemler!$C34*IF(Kalemler!$E34="Haftalık",IF(Kalemler!$D34&lt;=(Tahmin!$C$4+83),1,0),IF(Kalemler!$E34="Aylık",IF(OR(AND(DATE(YEAR((Tahmin!$C$4+77)),MONTH((Tahmin!$C$4+77)),MIN(DAY(Kalemler!$D34),DAY(EOMONTH((Tahmin!$C$4+77),0))))&gt;=(Tahmin!$C$4+77),DATE(YEAR((Tahmin!$C$4+77)),MONTH((Tahmin!$C$4+77)),MIN(DAY(Kalemler!$D34),DAY(EOMONTH((Tahmin!$C$4+77),0))))&lt;=(Tahmin!$C$4+83),DATE(YEAR((Tahmin!$C$4+77)),MONTH((Tahmin!$C$4+77)),MIN(DAY(Kalemler!$D34),DAY(EOMONTH((Tahmin!$C$4+77),0))))&gt;=Kalemler!$D34),AND(DATE(YEAR((Tahmin!$C$4+83)),MONTH((Tahmin!$C$4+83)),MIN(DAY(Kalemler!$D34),DAY(EOMONTH((Tahmin!$C$4+83),0))))&gt;=(Tahmin!$C$4+77),DATE(YEAR((Tahmin!$C$4+83)),MONTH((Tahmin!$C$4+83)),MIN(DAY(Kalemler!$D34),DAY(EOMONTH((Tahmin!$C$4+83),0))))&lt;=(Tahmin!$C$4+83),DATE(YEAR((Tahmin!$C$4+83)),MONTH((Tahmin!$C$4+83)),MIN(DAY(Kalemler!$D34),DAY(EOMONTH((Tahmin!$C$4+83),0))))&lt;&gt;DATE(YEAR((Tahmin!$C$4+77)),MONTH((Tahmin!$C$4+77)),MIN(DAY(Kalemler!$D34),DAY(EOMONTH((Tahmin!$C$4+77),0)))),DATE(YEAR((Tahmin!$C$4+83)),MONTH((Tahmin!$C$4+83)),MIN(DAY(Kalemler!$D34),DAY(EOMONTH((Tahmin!$C$4+83),0))))&gt;=Kalemler!$D34)),1,0),IF(AND(Kalemler!$D34&gt;=(Tahmin!$C$4+77),Kalemler!$D34&lt;=(Tahmin!$C$4+83)),1,0))))</f>
        <v>0</v>
      </c>
      <c r="N34" s="0" t="n">
        <f aca="false">IF(OR(Kalemler!$A34="",Kalemler!$C34="",Kalemler!$D34=""),0,Kalemler!$C34*IF(Kalemler!$E34="Haftalık",IF(Kalemler!$D34&lt;=(Tahmin!$C$4+90),1,0),IF(Kalemler!$E34="Aylık",IF(OR(AND(DATE(YEAR((Tahmin!$C$4+84)),MONTH((Tahmin!$C$4+84)),MIN(DAY(Kalemler!$D34),DAY(EOMONTH((Tahmin!$C$4+84),0))))&gt;=(Tahmin!$C$4+84),DATE(YEAR((Tahmin!$C$4+84)),MONTH((Tahmin!$C$4+84)),MIN(DAY(Kalemler!$D34),DAY(EOMONTH((Tahmin!$C$4+84),0))))&lt;=(Tahmin!$C$4+90),DATE(YEAR((Tahmin!$C$4+84)),MONTH((Tahmin!$C$4+84)),MIN(DAY(Kalemler!$D34),DAY(EOMONTH((Tahmin!$C$4+84),0))))&gt;=Kalemler!$D34),AND(DATE(YEAR((Tahmin!$C$4+90)),MONTH((Tahmin!$C$4+90)),MIN(DAY(Kalemler!$D34),DAY(EOMONTH((Tahmin!$C$4+90),0))))&gt;=(Tahmin!$C$4+84),DATE(YEAR((Tahmin!$C$4+90)),MONTH((Tahmin!$C$4+90)),MIN(DAY(Kalemler!$D34),DAY(EOMONTH((Tahmin!$C$4+90),0))))&lt;=(Tahmin!$C$4+90),DATE(YEAR((Tahmin!$C$4+90)),MONTH((Tahmin!$C$4+90)),MIN(DAY(Kalemler!$D34),DAY(EOMONTH((Tahmin!$C$4+90),0))))&lt;&gt;DATE(YEAR((Tahmin!$C$4+84)),MONTH((Tahmin!$C$4+84)),MIN(DAY(Kalemler!$D34),DAY(EOMONTH((Tahmin!$C$4+84),0)))),DATE(YEAR((Tahmin!$C$4+90)),MONTH((Tahmin!$C$4+90)),MIN(DAY(Kalemler!$D34),DAY(EOMONTH((Tahmin!$C$4+90),0))))&gt;=Kalemler!$D34)),1,0),IF(AND(Kalemler!$D34&gt;=(Tahmin!$C$4+84),Kalemler!$D34&lt;=(Tahmin!$C$4+90)),1,0))))</f>
        <v>0</v>
      </c>
    </row>
    <row r="35" customFormat="false" ht="15" hidden="false" customHeight="false" outlineLevel="0" collapsed="false">
      <c r="A35" s="0" t="str">
        <f aca="false">IF(Kalemler!A35="","",Kalemler!A35)</f>
        <v/>
      </c>
      <c r="B35" s="0" t="n">
        <f aca="false">IF(OR(Kalemler!$A35="",Kalemler!$C35="",Kalemler!$D35=""),0,Kalemler!$C35*IF(Kalemler!$E35="Haftalık",IF(Kalemler!$D35&lt;=(Tahmin!$C$4+6),1,0),IF(Kalemler!$E35="Aylık",IF(OR(AND(DATE(YEAR((Tahmin!$C$4+0)),MONTH((Tahmin!$C$4+0)),MIN(DAY(Kalemler!$D35),DAY(EOMONTH((Tahmin!$C$4+0),0))))&gt;=(Tahmin!$C$4+0),DATE(YEAR((Tahmin!$C$4+0)),MONTH((Tahmin!$C$4+0)),MIN(DAY(Kalemler!$D35),DAY(EOMONTH((Tahmin!$C$4+0),0))))&lt;=(Tahmin!$C$4+6),DATE(YEAR((Tahmin!$C$4+0)),MONTH((Tahmin!$C$4+0)),MIN(DAY(Kalemler!$D35),DAY(EOMONTH((Tahmin!$C$4+0),0))))&gt;=Kalemler!$D35),AND(DATE(YEAR((Tahmin!$C$4+6)),MONTH((Tahmin!$C$4+6)),MIN(DAY(Kalemler!$D35),DAY(EOMONTH((Tahmin!$C$4+6),0))))&gt;=(Tahmin!$C$4+0),DATE(YEAR((Tahmin!$C$4+6)),MONTH((Tahmin!$C$4+6)),MIN(DAY(Kalemler!$D35),DAY(EOMONTH((Tahmin!$C$4+6),0))))&lt;=(Tahmin!$C$4+6),DATE(YEAR((Tahmin!$C$4+6)),MONTH((Tahmin!$C$4+6)),MIN(DAY(Kalemler!$D35),DAY(EOMONTH((Tahmin!$C$4+6),0))))&lt;&gt;DATE(YEAR((Tahmin!$C$4+0)),MONTH((Tahmin!$C$4+0)),MIN(DAY(Kalemler!$D35),DAY(EOMONTH((Tahmin!$C$4+0),0)))),DATE(YEAR((Tahmin!$C$4+6)),MONTH((Tahmin!$C$4+6)),MIN(DAY(Kalemler!$D35),DAY(EOMONTH((Tahmin!$C$4+6),0))))&gt;=Kalemler!$D35)),1,0),IF(AND(Kalemler!$D35&gt;=(Tahmin!$C$4+0),Kalemler!$D35&lt;=(Tahmin!$C$4+6)),1,0))))</f>
        <v>0</v>
      </c>
      <c r="C35" s="0" t="n">
        <f aca="false">IF(OR(Kalemler!$A35="",Kalemler!$C35="",Kalemler!$D35=""),0,Kalemler!$C35*IF(Kalemler!$E35="Haftalık",IF(Kalemler!$D35&lt;=(Tahmin!$C$4+13),1,0),IF(Kalemler!$E35="Aylık",IF(OR(AND(DATE(YEAR((Tahmin!$C$4+7)),MONTH((Tahmin!$C$4+7)),MIN(DAY(Kalemler!$D35),DAY(EOMONTH((Tahmin!$C$4+7),0))))&gt;=(Tahmin!$C$4+7),DATE(YEAR((Tahmin!$C$4+7)),MONTH((Tahmin!$C$4+7)),MIN(DAY(Kalemler!$D35),DAY(EOMONTH((Tahmin!$C$4+7),0))))&lt;=(Tahmin!$C$4+13),DATE(YEAR((Tahmin!$C$4+7)),MONTH((Tahmin!$C$4+7)),MIN(DAY(Kalemler!$D35),DAY(EOMONTH((Tahmin!$C$4+7),0))))&gt;=Kalemler!$D35),AND(DATE(YEAR((Tahmin!$C$4+13)),MONTH((Tahmin!$C$4+13)),MIN(DAY(Kalemler!$D35),DAY(EOMONTH((Tahmin!$C$4+13),0))))&gt;=(Tahmin!$C$4+7),DATE(YEAR((Tahmin!$C$4+13)),MONTH((Tahmin!$C$4+13)),MIN(DAY(Kalemler!$D35),DAY(EOMONTH((Tahmin!$C$4+13),0))))&lt;=(Tahmin!$C$4+13),DATE(YEAR((Tahmin!$C$4+13)),MONTH((Tahmin!$C$4+13)),MIN(DAY(Kalemler!$D35),DAY(EOMONTH((Tahmin!$C$4+13),0))))&lt;&gt;DATE(YEAR((Tahmin!$C$4+7)),MONTH((Tahmin!$C$4+7)),MIN(DAY(Kalemler!$D35),DAY(EOMONTH((Tahmin!$C$4+7),0)))),DATE(YEAR((Tahmin!$C$4+13)),MONTH((Tahmin!$C$4+13)),MIN(DAY(Kalemler!$D35),DAY(EOMONTH((Tahmin!$C$4+13),0))))&gt;=Kalemler!$D35)),1,0),IF(AND(Kalemler!$D35&gt;=(Tahmin!$C$4+7),Kalemler!$D35&lt;=(Tahmin!$C$4+13)),1,0))))</f>
        <v>0</v>
      </c>
      <c r="D35" s="0" t="n">
        <f aca="false">IF(OR(Kalemler!$A35="",Kalemler!$C35="",Kalemler!$D35=""),0,Kalemler!$C35*IF(Kalemler!$E35="Haftalık",IF(Kalemler!$D35&lt;=(Tahmin!$C$4+20),1,0),IF(Kalemler!$E35="Aylık",IF(OR(AND(DATE(YEAR((Tahmin!$C$4+14)),MONTH((Tahmin!$C$4+14)),MIN(DAY(Kalemler!$D35),DAY(EOMONTH((Tahmin!$C$4+14),0))))&gt;=(Tahmin!$C$4+14),DATE(YEAR((Tahmin!$C$4+14)),MONTH((Tahmin!$C$4+14)),MIN(DAY(Kalemler!$D35),DAY(EOMONTH((Tahmin!$C$4+14),0))))&lt;=(Tahmin!$C$4+20),DATE(YEAR((Tahmin!$C$4+14)),MONTH((Tahmin!$C$4+14)),MIN(DAY(Kalemler!$D35),DAY(EOMONTH((Tahmin!$C$4+14),0))))&gt;=Kalemler!$D35),AND(DATE(YEAR((Tahmin!$C$4+20)),MONTH((Tahmin!$C$4+20)),MIN(DAY(Kalemler!$D35),DAY(EOMONTH((Tahmin!$C$4+20),0))))&gt;=(Tahmin!$C$4+14),DATE(YEAR((Tahmin!$C$4+20)),MONTH((Tahmin!$C$4+20)),MIN(DAY(Kalemler!$D35),DAY(EOMONTH((Tahmin!$C$4+20),0))))&lt;=(Tahmin!$C$4+20),DATE(YEAR((Tahmin!$C$4+20)),MONTH((Tahmin!$C$4+20)),MIN(DAY(Kalemler!$D35),DAY(EOMONTH((Tahmin!$C$4+20),0))))&lt;&gt;DATE(YEAR((Tahmin!$C$4+14)),MONTH((Tahmin!$C$4+14)),MIN(DAY(Kalemler!$D35),DAY(EOMONTH((Tahmin!$C$4+14),0)))),DATE(YEAR((Tahmin!$C$4+20)),MONTH((Tahmin!$C$4+20)),MIN(DAY(Kalemler!$D35),DAY(EOMONTH((Tahmin!$C$4+20),0))))&gt;=Kalemler!$D35)),1,0),IF(AND(Kalemler!$D35&gt;=(Tahmin!$C$4+14),Kalemler!$D35&lt;=(Tahmin!$C$4+20)),1,0))))</f>
        <v>0</v>
      </c>
      <c r="E35" s="0" t="n">
        <f aca="false">IF(OR(Kalemler!$A35="",Kalemler!$C35="",Kalemler!$D35=""),0,Kalemler!$C35*IF(Kalemler!$E35="Haftalık",IF(Kalemler!$D35&lt;=(Tahmin!$C$4+27),1,0),IF(Kalemler!$E35="Aylık",IF(OR(AND(DATE(YEAR((Tahmin!$C$4+21)),MONTH((Tahmin!$C$4+21)),MIN(DAY(Kalemler!$D35),DAY(EOMONTH((Tahmin!$C$4+21),0))))&gt;=(Tahmin!$C$4+21),DATE(YEAR((Tahmin!$C$4+21)),MONTH((Tahmin!$C$4+21)),MIN(DAY(Kalemler!$D35),DAY(EOMONTH((Tahmin!$C$4+21),0))))&lt;=(Tahmin!$C$4+27),DATE(YEAR((Tahmin!$C$4+21)),MONTH((Tahmin!$C$4+21)),MIN(DAY(Kalemler!$D35),DAY(EOMONTH((Tahmin!$C$4+21),0))))&gt;=Kalemler!$D35),AND(DATE(YEAR((Tahmin!$C$4+27)),MONTH((Tahmin!$C$4+27)),MIN(DAY(Kalemler!$D35),DAY(EOMONTH((Tahmin!$C$4+27),0))))&gt;=(Tahmin!$C$4+21),DATE(YEAR((Tahmin!$C$4+27)),MONTH((Tahmin!$C$4+27)),MIN(DAY(Kalemler!$D35),DAY(EOMONTH((Tahmin!$C$4+27),0))))&lt;=(Tahmin!$C$4+27),DATE(YEAR((Tahmin!$C$4+27)),MONTH((Tahmin!$C$4+27)),MIN(DAY(Kalemler!$D35),DAY(EOMONTH((Tahmin!$C$4+27),0))))&lt;&gt;DATE(YEAR((Tahmin!$C$4+21)),MONTH((Tahmin!$C$4+21)),MIN(DAY(Kalemler!$D35),DAY(EOMONTH((Tahmin!$C$4+21),0)))),DATE(YEAR((Tahmin!$C$4+27)),MONTH((Tahmin!$C$4+27)),MIN(DAY(Kalemler!$D35),DAY(EOMONTH((Tahmin!$C$4+27),0))))&gt;=Kalemler!$D35)),1,0),IF(AND(Kalemler!$D35&gt;=(Tahmin!$C$4+21),Kalemler!$D35&lt;=(Tahmin!$C$4+27)),1,0))))</f>
        <v>0</v>
      </c>
      <c r="F35" s="0" t="n">
        <f aca="false">IF(OR(Kalemler!$A35="",Kalemler!$C35="",Kalemler!$D35=""),0,Kalemler!$C35*IF(Kalemler!$E35="Haftalık",IF(Kalemler!$D35&lt;=(Tahmin!$C$4+34),1,0),IF(Kalemler!$E35="Aylık",IF(OR(AND(DATE(YEAR((Tahmin!$C$4+28)),MONTH((Tahmin!$C$4+28)),MIN(DAY(Kalemler!$D35),DAY(EOMONTH((Tahmin!$C$4+28),0))))&gt;=(Tahmin!$C$4+28),DATE(YEAR((Tahmin!$C$4+28)),MONTH((Tahmin!$C$4+28)),MIN(DAY(Kalemler!$D35),DAY(EOMONTH((Tahmin!$C$4+28),0))))&lt;=(Tahmin!$C$4+34),DATE(YEAR((Tahmin!$C$4+28)),MONTH((Tahmin!$C$4+28)),MIN(DAY(Kalemler!$D35),DAY(EOMONTH((Tahmin!$C$4+28),0))))&gt;=Kalemler!$D35),AND(DATE(YEAR((Tahmin!$C$4+34)),MONTH((Tahmin!$C$4+34)),MIN(DAY(Kalemler!$D35),DAY(EOMONTH((Tahmin!$C$4+34),0))))&gt;=(Tahmin!$C$4+28),DATE(YEAR((Tahmin!$C$4+34)),MONTH((Tahmin!$C$4+34)),MIN(DAY(Kalemler!$D35),DAY(EOMONTH((Tahmin!$C$4+34),0))))&lt;=(Tahmin!$C$4+34),DATE(YEAR((Tahmin!$C$4+34)),MONTH((Tahmin!$C$4+34)),MIN(DAY(Kalemler!$D35),DAY(EOMONTH((Tahmin!$C$4+34),0))))&lt;&gt;DATE(YEAR((Tahmin!$C$4+28)),MONTH((Tahmin!$C$4+28)),MIN(DAY(Kalemler!$D35),DAY(EOMONTH((Tahmin!$C$4+28),0)))),DATE(YEAR((Tahmin!$C$4+34)),MONTH((Tahmin!$C$4+34)),MIN(DAY(Kalemler!$D35),DAY(EOMONTH((Tahmin!$C$4+34),0))))&gt;=Kalemler!$D35)),1,0),IF(AND(Kalemler!$D35&gt;=(Tahmin!$C$4+28),Kalemler!$D35&lt;=(Tahmin!$C$4+34)),1,0))))</f>
        <v>0</v>
      </c>
      <c r="G35" s="0" t="n">
        <f aca="false">IF(OR(Kalemler!$A35="",Kalemler!$C35="",Kalemler!$D35=""),0,Kalemler!$C35*IF(Kalemler!$E35="Haftalık",IF(Kalemler!$D35&lt;=(Tahmin!$C$4+41),1,0),IF(Kalemler!$E35="Aylık",IF(OR(AND(DATE(YEAR((Tahmin!$C$4+35)),MONTH((Tahmin!$C$4+35)),MIN(DAY(Kalemler!$D35),DAY(EOMONTH((Tahmin!$C$4+35),0))))&gt;=(Tahmin!$C$4+35),DATE(YEAR((Tahmin!$C$4+35)),MONTH((Tahmin!$C$4+35)),MIN(DAY(Kalemler!$D35),DAY(EOMONTH((Tahmin!$C$4+35),0))))&lt;=(Tahmin!$C$4+41),DATE(YEAR((Tahmin!$C$4+35)),MONTH((Tahmin!$C$4+35)),MIN(DAY(Kalemler!$D35),DAY(EOMONTH((Tahmin!$C$4+35),0))))&gt;=Kalemler!$D35),AND(DATE(YEAR((Tahmin!$C$4+41)),MONTH((Tahmin!$C$4+41)),MIN(DAY(Kalemler!$D35),DAY(EOMONTH((Tahmin!$C$4+41),0))))&gt;=(Tahmin!$C$4+35),DATE(YEAR((Tahmin!$C$4+41)),MONTH((Tahmin!$C$4+41)),MIN(DAY(Kalemler!$D35),DAY(EOMONTH((Tahmin!$C$4+41),0))))&lt;=(Tahmin!$C$4+41),DATE(YEAR((Tahmin!$C$4+41)),MONTH((Tahmin!$C$4+41)),MIN(DAY(Kalemler!$D35),DAY(EOMONTH((Tahmin!$C$4+41),0))))&lt;&gt;DATE(YEAR((Tahmin!$C$4+35)),MONTH((Tahmin!$C$4+35)),MIN(DAY(Kalemler!$D35),DAY(EOMONTH((Tahmin!$C$4+35),0)))),DATE(YEAR((Tahmin!$C$4+41)),MONTH((Tahmin!$C$4+41)),MIN(DAY(Kalemler!$D35),DAY(EOMONTH((Tahmin!$C$4+41),0))))&gt;=Kalemler!$D35)),1,0),IF(AND(Kalemler!$D35&gt;=(Tahmin!$C$4+35),Kalemler!$D35&lt;=(Tahmin!$C$4+41)),1,0))))</f>
        <v>0</v>
      </c>
      <c r="H35" s="0" t="n">
        <f aca="false">IF(OR(Kalemler!$A35="",Kalemler!$C35="",Kalemler!$D35=""),0,Kalemler!$C35*IF(Kalemler!$E35="Haftalık",IF(Kalemler!$D35&lt;=(Tahmin!$C$4+48),1,0),IF(Kalemler!$E35="Aylık",IF(OR(AND(DATE(YEAR((Tahmin!$C$4+42)),MONTH((Tahmin!$C$4+42)),MIN(DAY(Kalemler!$D35),DAY(EOMONTH((Tahmin!$C$4+42),0))))&gt;=(Tahmin!$C$4+42),DATE(YEAR((Tahmin!$C$4+42)),MONTH((Tahmin!$C$4+42)),MIN(DAY(Kalemler!$D35),DAY(EOMONTH((Tahmin!$C$4+42),0))))&lt;=(Tahmin!$C$4+48),DATE(YEAR((Tahmin!$C$4+42)),MONTH((Tahmin!$C$4+42)),MIN(DAY(Kalemler!$D35),DAY(EOMONTH((Tahmin!$C$4+42),0))))&gt;=Kalemler!$D35),AND(DATE(YEAR((Tahmin!$C$4+48)),MONTH((Tahmin!$C$4+48)),MIN(DAY(Kalemler!$D35),DAY(EOMONTH((Tahmin!$C$4+48),0))))&gt;=(Tahmin!$C$4+42),DATE(YEAR((Tahmin!$C$4+48)),MONTH((Tahmin!$C$4+48)),MIN(DAY(Kalemler!$D35),DAY(EOMONTH((Tahmin!$C$4+48),0))))&lt;=(Tahmin!$C$4+48),DATE(YEAR((Tahmin!$C$4+48)),MONTH((Tahmin!$C$4+48)),MIN(DAY(Kalemler!$D35),DAY(EOMONTH((Tahmin!$C$4+48),0))))&lt;&gt;DATE(YEAR((Tahmin!$C$4+42)),MONTH((Tahmin!$C$4+42)),MIN(DAY(Kalemler!$D35),DAY(EOMONTH((Tahmin!$C$4+42),0)))),DATE(YEAR((Tahmin!$C$4+48)),MONTH((Tahmin!$C$4+48)),MIN(DAY(Kalemler!$D35),DAY(EOMONTH((Tahmin!$C$4+48),0))))&gt;=Kalemler!$D35)),1,0),IF(AND(Kalemler!$D35&gt;=(Tahmin!$C$4+42),Kalemler!$D35&lt;=(Tahmin!$C$4+48)),1,0))))</f>
        <v>0</v>
      </c>
      <c r="I35" s="0" t="n">
        <f aca="false">IF(OR(Kalemler!$A35="",Kalemler!$C35="",Kalemler!$D35=""),0,Kalemler!$C35*IF(Kalemler!$E35="Haftalık",IF(Kalemler!$D35&lt;=(Tahmin!$C$4+55),1,0),IF(Kalemler!$E35="Aylık",IF(OR(AND(DATE(YEAR((Tahmin!$C$4+49)),MONTH((Tahmin!$C$4+49)),MIN(DAY(Kalemler!$D35),DAY(EOMONTH((Tahmin!$C$4+49),0))))&gt;=(Tahmin!$C$4+49),DATE(YEAR((Tahmin!$C$4+49)),MONTH((Tahmin!$C$4+49)),MIN(DAY(Kalemler!$D35),DAY(EOMONTH((Tahmin!$C$4+49),0))))&lt;=(Tahmin!$C$4+55),DATE(YEAR((Tahmin!$C$4+49)),MONTH((Tahmin!$C$4+49)),MIN(DAY(Kalemler!$D35),DAY(EOMONTH((Tahmin!$C$4+49),0))))&gt;=Kalemler!$D35),AND(DATE(YEAR((Tahmin!$C$4+55)),MONTH((Tahmin!$C$4+55)),MIN(DAY(Kalemler!$D35),DAY(EOMONTH((Tahmin!$C$4+55),0))))&gt;=(Tahmin!$C$4+49),DATE(YEAR((Tahmin!$C$4+55)),MONTH((Tahmin!$C$4+55)),MIN(DAY(Kalemler!$D35),DAY(EOMONTH((Tahmin!$C$4+55),0))))&lt;=(Tahmin!$C$4+55),DATE(YEAR((Tahmin!$C$4+55)),MONTH((Tahmin!$C$4+55)),MIN(DAY(Kalemler!$D35),DAY(EOMONTH((Tahmin!$C$4+55),0))))&lt;&gt;DATE(YEAR((Tahmin!$C$4+49)),MONTH((Tahmin!$C$4+49)),MIN(DAY(Kalemler!$D35),DAY(EOMONTH((Tahmin!$C$4+49),0)))),DATE(YEAR((Tahmin!$C$4+55)),MONTH((Tahmin!$C$4+55)),MIN(DAY(Kalemler!$D35),DAY(EOMONTH((Tahmin!$C$4+55),0))))&gt;=Kalemler!$D35)),1,0),IF(AND(Kalemler!$D35&gt;=(Tahmin!$C$4+49),Kalemler!$D35&lt;=(Tahmin!$C$4+55)),1,0))))</f>
        <v>0</v>
      </c>
      <c r="J35" s="0" t="n">
        <f aca="false">IF(OR(Kalemler!$A35="",Kalemler!$C35="",Kalemler!$D35=""),0,Kalemler!$C35*IF(Kalemler!$E35="Haftalık",IF(Kalemler!$D35&lt;=(Tahmin!$C$4+62),1,0),IF(Kalemler!$E35="Aylık",IF(OR(AND(DATE(YEAR((Tahmin!$C$4+56)),MONTH((Tahmin!$C$4+56)),MIN(DAY(Kalemler!$D35),DAY(EOMONTH((Tahmin!$C$4+56),0))))&gt;=(Tahmin!$C$4+56),DATE(YEAR((Tahmin!$C$4+56)),MONTH((Tahmin!$C$4+56)),MIN(DAY(Kalemler!$D35),DAY(EOMONTH((Tahmin!$C$4+56),0))))&lt;=(Tahmin!$C$4+62),DATE(YEAR((Tahmin!$C$4+56)),MONTH((Tahmin!$C$4+56)),MIN(DAY(Kalemler!$D35),DAY(EOMONTH((Tahmin!$C$4+56),0))))&gt;=Kalemler!$D35),AND(DATE(YEAR((Tahmin!$C$4+62)),MONTH((Tahmin!$C$4+62)),MIN(DAY(Kalemler!$D35),DAY(EOMONTH((Tahmin!$C$4+62),0))))&gt;=(Tahmin!$C$4+56),DATE(YEAR((Tahmin!$C$4+62)),MONTH((Tahmin!$C$4+62)),MIN(DAY(Kalemler!$D35),DAY(EOMONTH((Tahmin!$C$4+62),0))))&lt;=(Tahmin!$C$4+62),DATE(YEAR((Tahmin!$C$4+62)),MONTH((Tahmin!$C$4+62)),MIN(DAY(Kalemler!$D35),DAY(EOMONTH((Tahmin!$C$4+62),0))))&lt;&gt;DATE(YEAR((Tahmin!$C$4+56)),MONTH((Tahmin!$C$4+56)),MIN(DAY(Kalemler!$D35),DAY(EOMONTH((Tahmin!$C$4+56),0)))),DATE(YEAR((Tahmin!$C$4+62)),MONTH((Tahmin!$C$4+62)),MIN(DAY(Kalemler!$D35),DAY(EOMONTH((Tahmin!$C$4+62),0))))&gt;=Kalemler!$D35)),1,0),IF(AND(Kalemler!$D35&gt;=(Tahmin!$C$4+56),Kalemler!$D35&lt;=(Tahmin!$C$4+62)),1,0))))</f>
        <v>0</v>
      </c>
      <c r="K35" s="0" t="n">
        <f aca="false">IF(OR(Kalemler!$A35="",Kalemler!$C35="",Kalemler!$D35=""),0,Kalemler!$C35*IF(Kalemler!$E35="Haftalık",IF(Kalemler!$D35&lt;=(Tahmin!$C$4+69),1,0),IF(Kalemler!$E35="Aylık",IF(OR(AND(DATE(YEAR((Tahmin!$C$4+63)),MONTH((Tahmin!$C$4+63)),MIN(DAY(Kalemler!$D35),DAY(EOMONTH((Tahmin!$C$4+63),0))))&gt;=(Tahmin!$C$4+63),DATE(YEAR((Tahmin!$C$4+63)),MONTH((Tahmin!$C$4+63)),MIN(DAY(Kalemler!$D35),DAY(EOMONTH((Tahmin!$C$4+63),0))))&lt;=(Tahmin!$C$4+69),DATE(YEAR((Tahmin!$C$4+63)),MONTH((Tahmin!$C$4+63)),MIN(DAY(Kalemler!$D35),DAY(EOMONTH((Tahmin!$C$4+63),0))))&gt;=Kalemler!$D35),AND(DATE(YEAR((Tahmin!$C$4+69)),MONTH((Tahmin!$C$4+69)),MIN(DAY(Kalemler!$D35),DAY(EOMONTH((Tahmin!$C$4+69),0))))&gt;=(Tahmin!$C$4+63),DATE(YEAR((Tahmin!$C$4+69)),MONTH((Tahmin!$C$4+69)),MIN(DAY(Kalemler!$D35),DAY(EOMONTH((Tahmin!$C$4+69),0))))&lt;=(Tahmin!$C$4+69),DATE(YEAR((Tahmin!$C$4+69)),MONTH((Tahmin!$C$4+69)),MIN(DAY(Kalemler!$D35),DAY(EOMONTH((Tahmin!$C$4+69),0))))&lt;&gt;DATE(YEAR((Tahmin!$C$4+63)),MONTH((Tahmin!$C$4+63)),MIN(DAY(Kalemler!$D35),DAY(EOMONTH((Tahmin!$C$4+63),0)))),DATE(YEAR((Tahmin!$C$4+69)),MONTH((Tahmin!$C$4+69)),MIN(DAY(Kalemler!$D35),DAY(EOMONTH((Tahmin!$C$4+69),0))))&gt;=Kalemler!$D35)),1,0),IF(AND(Kalemler!$D35&gt;=(Tahmin!$C$4+63),Kalemler!$D35&lt;=(Tahmin!$C$4+69)),1,0))))</f>
        <v>0</v>
      </c>
      <c r="L35" s="0" t="n">
        <f aca="false">IF(OR(Kalemler!$A35="",Kalemler!$C35="",Kalemler!$D35=""),0,Kalemler!$C35*IF(Kalemler!$E35="Haftalık",IF(Kalemler!$D35&lt;=(Tahmin!$C$4+76),1,0),IF(Kalemler!$E35="Aylık",IF(OR(AND(DATE(YEAR((Tahmin!$C$4+70)),MONTH((Tahmin!$C$4+70)),MIN(DAY(Kalemler!$D35),DAY(EOMONTH((Tahmin!$C$4+70),0))))&gt;=(Tahmin!$C$4+70),DATE(YEAR((Tahmin!$C$4+70)),MONTH((Tahmin!$C$4+70)),MIN(DAY(Kalemler!$D35),DAY(EOMONTH((Tahmin!$C$4+70),0))))&lt;=(Tahmin!$C$4+76),DATE(YEAR((Tahmin!$C$4+70)),MONTH((Tahmin!$C$4+70)),MIN(DAY(Kalemler!$D35),DAY(EOMONTH((Tahmin!$C$4+70),0))))&gt;=Kalemler!$D35),AND(DATE(YEAR((Tahmin!$C$4+76)),MONTH((Tahmin!$C$4+76)),MIN(DAY(Kalemler!$D35),DAY(EOMONTH((Tahmin!$C$4+76),0))))&gt;=(Tahmin!$C$4+70),DATE(YEAR((Tahmin!$C$4+76)),MONTH((Tahmin!$C$4+76)),MIN(DAY(Kalemler!$D35),DAY(EOMONTH((Tahmin!$C$4+76),0))))&lt;=(Tahmin!$C$4+76),DATE(YEAR((Tahmin!$C$4+76)),MONTH((Tahmin!$C$4+76)),MIN(DAY(Kalemler!$D35),DAY(EOMONTH((Tahmin!$C$4+76),0))))&lt;&gt;DATE(YEAR((Tahmin!$C$4+70)),MONTH((Tahmin!$C$4+70)),MIN(DAY(Kalemler!$D35),DAY(EOMONTH((Tahmin!$C$4+70),0)))),DATE(YEAR((Tahmin!$C$4+76)),MONTH((Tahmin!$C$4+76)),MIN(DAY(Kalemler!$D35),DAY(EOMONTH((Tahmin!$C$4+76),0))))&gt;=Kalemler!$D35)),1,0),IF(AND(Kalemler!$D35&gt;=(Tahmin!$C$4+70),Kalemler!$D35&lt;=(Tahmin!$C$4+76)),1,0))))</f>
        <v>0</v>
      </c>
      <c r="M35" s="0" t="n">
        <f aca="false">IF(OR(Kalemler!$A35="",Kalemler!$C35="",Kalemler!$D35=""),0,Kalemler!$C35*IF(Kalemler!$E35="Haftalık",IF(Kalemler!$D35&lt;=(Tahmin!$C$4+83),1,0),IF(Kalemler!$E35="Aylık",IF(OR(AND(DATE(YEAR((Tahmin!$C$4+77)),MONTH((Tahmin!$C$4+77)),MIN(DAY(Kalemler!$D35),DAY(EOMONTH((Tahmin!$C$4+77),0))))&gt;=(Tahmin!$C$4+77),DATE(YEAR((Tahmin!$C$4+77)),MONTH((Tahmin!$C$4+77)),MIN(DAY(Kalemler!$D35),DAY(EOMONTH((Tahmin!$C$4+77),0))))&lt;=(Tahmin!$C$4+83),DATE(YEAR((Tahmin!$C$4+77)),MONTH((Tahmin!$C$4+77)),MIN(DAY(Kalemler!$D35),DAY(EOMONTH((Tahmin!$C$4+77),0))))&gt;=Kalemler!$D35),AND(DATE(YEAR((Tahmin!$C$4+83)),MONTH((Tahmin!$C$4+83)),MIN(DAY(Kalemler!$D35),DAY(EOMONTH((Tahmin!$C$4+83),0))))&gt;=(Tahmin!$C$4+77),DATE(YEAR((Tahmin!$C$4+83)),MONTH((Tahmin!$C$4+83)),MIN(DAY(Kalemler!$D35),DAY(EOMONTH((Tahmin!$C$4+83),0))))&lt;=(Tahmin!$C$4+83),DATE(YEAR((Tahmin!$C$4+83)),MONTH((Tahmin!$C$4+83)),MIN(DAY(Kalemler!$D35),DAY(EOMONTH((Tahmin!$C$4+83),0))))&lt;&gt;DATE(YEAR((Tahmin!$C$4+77)),MONTH((Tahmin!$C$4+77)),MIN(DAY(Kalemler!$D35),DAY(EOMONTH((Tahmin!$C$4+77),0)))),DATE(YEAR((Tahmin!$C$4+83)),MONTH((Tahmin!$C$4+83)),MIN(DAY(Kalemler!$D35),DAY(EOMONTH((Tahmin!$C$4+83),0))))&gt;=Kalemler!$D35)),1,0),IF(AND(Kalemler!$D35&gt;=(Tahmin!$C$4+77),Kalemler!$D35&lt;=(Tahmin!$C$4+83)),1,0))))</f>
        <v>0</v>
      </c>
      <c r="N35" s="0" t="n">
        <f aca="false">IF(OR(Kalemler!$A35="",Kalemler!$C35="",Kalemler!$D35=""),0,Kalemler!$C35*IF(Kalemler!$E35="Haftalık",IF(Kalemler!$D35&lt;=(Tahmin!$C$4+90),1,0),IF(Kalemler!$E35="Aylık",IF(OR(AND(DATE(YEAR((Tahmin!$C$4+84)),MONTH((Tahmin!$C$4+84)),MIN(DAY(Kalemler!$D35),DAY(EOMONTH((Tahmin!$C$4+84),0))))&gt;=(Tahmin!$C$4+84),DATE(YEAR((Tahmin!$C$4+84)),MONTH((Tahmin!$C$4+84)),MIN(DAY(Kalemler!$D35),DAY(EOMONTH((Tahmin!$C$4+84),0))))&lt;=(Tahmin!$C$4+90),DATE(YEAR((Tahmin!$C$4+84)),MONTH((Tahmin!$C$4+84)),MIN(DAY(Kalemler!$D35),DAY(EOMONTH((Tahmin!$C$4+84),0))))&gt;=Kalemler!$D35),AND(DATE(YEAR((Tahmin!$C$4+90)),MONTH((Tahmin!$C$4+90)),MIN(DAY(Kalemler!$D35),DAY(EOMONTH((Tahmin!$C$4+90),0))))&gt;=(Tahmin!$C$4+84),DATE(YEAR((Tahmin!$C$4+90)),MONTH((Tahmin!$C$4+90)),MIN(DAY(Kalemler!$D35),DAY(EOMONTH((Tahmin!$C$4+90),0))))&lt;=(Tahmin!$C$4+90),DATE(YEAR((Tahmin!$C$4+90)),MONTH((Tahmin!$C$4+90)),MIN(DAY(Kalemler!$D35),DAY(EOMONTH((Tahmin!$C$4+90),0))))&lt;&gt;DATE(YEAR((Tahmin!$C$4+84)),MONTH((Tahmin!$C$4+84)),MIN(DAY(Kalemler!$D35),DAY(EOMONTH((Tahmin!$C$4+84),0)))),DATE(YEAR((Tahmin!$C$4+90)),MONTH((Tahmin!$C$4+90)),MIN(DAY(Kalemler!$D35),DAY(EOMONTH((Tahmin!$C$4+90),0))))&gt;=Kalemler!$D35)),1,0),IF(AND(Kalemler!$D35&gt;=(Tahmin!$C$4+84),Kalemler!$D35&lt;=(Tahmin!$C$4+90)),1,0))))</f>
        <v>0</v>
      </c>
    </row>
    <row r="36" customFormat="false" ht="15" hidden="false" customHeight="false" outlineLevel="0" collapsed="false">
      <c r="A36" s="0" t="str">
        <f aca="false">IF(Kalemler!A36="","",Kalemler!A36)</f>
        <v/>
      </c>
      <c r="B36" s="0" t="n">
        <f aca="false">IF(OR(Kalemler!$A36="",Kalemler!$C36="",Kalemler!$D36=""),0,Kalemler!$C36*IF(Kalemler!$E36="Haftalık",IF(Kalemler!$D36&lt;=(Tahmin!$C$4+6),1,0),IF(Kalemler!$E36="Aylık",IF(OR(AND(DATE(YEAR((Tahmin!$C$4+0)),MONTH((Tahmin!$C$4+0)),MIN(DAY(Kalemler!$D36),DAY(EOMONTH((Tahmin!$C$4+0),0))))&gt;=(Tahmin!$C$4+0),DATE(YEAR((Tahmin!$C$4+0)),MONTH((Tahmin!$C$4+0)),MIN(DAY(Kalemler!$D36),DAY(EOMONTH((Tahmin!$C$4+0),0))))&lt;=(Tahmin!$C$4+6),DATE(YEAR((Tahmin!$C$4+0)),MONTH((Tahmin!$C$4+0)),MIN(DAY(Kalemler!$D36),DAY(EOMONTH((Tahmin!$C$4+0),0))))&gt;=Kalemler!$D36),AND(DATE(YEAR((Tahmin!$C$4+6)),MONTH((Tahmin!$C$4+6)),MIN(DAY(Kalemler!$D36),DAY(EOMONTH((Tahmin!$C$4+6),0))))&gt;=(Tahmin!$C$4+0),DATE(YEAR((Tahmin!$C$4+6)),MONTH((Tahmin!$C$4+6)),MIN(DAY(Kalemler!$D36),DAY(EOMONTH((Tahmin!$C$4+6),0))))&lt;=(Tahmin!$C$4+6),DATE(YEAR((Tahmin!$C$4+6)),MONTH((Tahmin!$C$4+6)),MIN(DAY(Kalemler!$D36),DAY(EOMONTH((Tahmin!$C$4+6),0))))&lt;&gt;DATE(YEAR((Tahmin!$C$4+0)),MONTH((Tahmin!$C$4+0)),MIN(DAY(Kalemler!$D36),DAY(EOMONTH((Tahmin!$C$4+0),0)))),DATE(YEAR((Tahmin!$C$4+6)),MONTH((Tahmin!$C$4+6)),MIN(DAY(Kalemler!$D36),DAY(EOMONTH((Tahmin!$C$4+6),0))))&gt;=Kalemler!$D36)),1,0),IF(AND(Kalemler!$D36&gt;=(Tahmin!$C$4+0),Kalemler!$D36&lt;=(Tahmin!$C$4+6)),1,0))))</f>
        <v>0</v>
      </c>
      <c r="C36" s="0" t="n">
        <f aca="false">IF(OR(Kalemler!$A36="",Kalemler!$C36="",Kalemler!$D36=""),0,Kalemler!$C36*IF(Kalemler!$E36="Haftalık",IF(Kalemler!$D36&lt;=(Tahmin!$C$4+13),1,0),IF(Kalemler!$E36="Aylık",IF(OR(AND(DATE(YEAR((Tahmin!$C$4+7)),MONTH((Tahmin!$C$4+7)),MIN(DAY(Kalemler!$D36),DAY(EOMONTH((Tahmin!$C$4+7),0))))&gt;=(Tahmin!$C$4+7),DATE(YEAR((Tahmin!$C$4+7)),MONTH((Tahmin!$C$4+7)),MIN(DAY(Kalemler!$D36),DAY(EOMONTH((Tahmin!$C$4+7),0))))&lt;=(Tahmin!$C$4+13),DATE(YEAR((Tahmin!$C$4+7)),MONTH((Tahmin!$C$4+7)),MIN(DAY(Kalemler!$D36),DAY(EOMONTH((Tahmin!$C$4+7),0))))&gt;=Kalemler!$D36),AND(DATE(YEAR((Tahmin!$C$4+13)),MONTH((Tahmin!$C$4+13)),MIN(DAY(Kalemler!$D36),DAY(EOMONTH((Tahmin!$C$4+13),0))))&gt;=(Tahmin!$C$4+7),DATE(YEAR((Tahmin!$C$4+13)),MONTH((Tahmin!$C$4+13)),MIN(DAY(Kalemler!$D36),DAY(EOMONTH((Tahmin!$C$4+13),0))))&lt;=(Tahmin!$C$4+13),DATE(YEAR((Tahmin!$C$4+13)),MONTH((Tahmin!$C$4+13)),MIN(DAY(Kalemler!$D36),DAY(EOMONTH((Tahmin!$C$4+13),0))))&lt;&gt;DATE(YEAR((Tahmin!$C$4+7)),MONTH((Tahmin!$C$4+7)),MIN(DAY(Kalemler!$D36),DAY(EOMONTH((Tahmin!$C$4+7),0)))),DATE(YEAR((Tahmin!$C$4+13)),MONTH((Tahmin!$C$4+13)),MIN(DAY(Kalemler!$D36),DAY(EOMONTH((Tahmin!$C$4+13),0))))&gt;=Kalemler!$D36)),1,0),IF(AND(Kalemler!$D36&gt;=(Tahmin!$C$4+7),Kalemler!$D36&lt;=(Tahmin!$C$4+13)),1,0))))</f>
        <v>0</v>
      </c>
      <c r="D36" s="0" t="n">
        <f aca="false">IF(OR(Kalemler!$A36="",Kalemler!$C36="",Kalemler!$D36=""),0,Kalemler!$C36*IF(Kalemler!$E36="Haftalık",IF(Kalemler!$D36&lt;=(Tahmin!$C$4+20),1,0),IF(Kalemler!$E36="Aylık",IF(OR(AND(DATE(YEAR((Tahmin!$C$4+14)),MONTH((Tahmin!$C$4+14)),MIN(DAY(Kalemler!$D36),DAY(EOMONTH((Tahmin!$C$4+14),0))))&gt;=(Tahmin!$C$4+14),DATE(YEAR((Tahmin!$C$4+14)),MONTH((Tahmin!$C$4+14)),MIN(DAY(Kalemler!$D36),DAY(EOMONTH((Tahmin!$C$4+14),0))))&lt;=(Tahmin!$C$4+20),DATE(YEAR((Tahmin!$C$4+14)),MONTH((Tahmin!$C$4+14)),MIN(DAY(Kalemler!$D36),DAY(EOMONTH((Tahmin!$C$4+14),0))))&gt;=Kalemler!$D36),AND(DATE(YEAR((Tahmin!$C$4+20)),MONTH((Tahmin!$C$4+20)),MIN(DAY(Kalemler!$D36),DAY(EOMONTH((Tahmin!$C$4+20),0))))&gt;=(Tahmin!$C$4+14),DATE(YEAR((Tahmin!$C$4+20)),MONTH((Tahmin!$C$4+20)),MIN(DAY(Kalemler!$D36),DAY(EOMONTH((Tahmin!$C$4+20),0))))&lt;=(Tahmin!$C$4+20),DATE(YEAR((Tahmin!$C$4+20)),MONTH((Tahmin!$C$4+20)),MIN(DAY(Kalemler!$D36),DAY(EOMONTH((Tahmin!$C$4+20),0))))&lt;&gt;DATE(YEAR((Tahmin!$C$4+14)),MONTH((Tahmin!$C$4+14)),MIN(DAY(Kalemler!$D36),DAY(EOMONTH((Tahmin!$C$4+14),0)))),DATE(YEAR((Tahmin!$C$4+20)),MONTH((Tahmin!$C$4+20)),MIN(DAY(Kalemler!$D36),DAY(EOMONTH((Tahmin!$C$4+20),0))))&gt;=Kalemler!$D36)),1,0),IF(AND(Kalemler!$D36&gt;=(Tahmin!$C$4+14),Kalemler!$D36&lt;=(Tahmin!$C$4+20)),1,0))))</f>
        <v>0</v>
      </c>
      <c r="E36" s="0" t="n">
        <f aca="false">IF(OR(Kalemler!$A36="",Kalemler!$C36="",Kalemler!$D36=""),0,Kalemler!$C36*IF(Kalemler!$E36="Haftalık",IF(Kalemler!$D36&lt;=(Tahmin!$C$4+27),1,0),IF(Kalemler!$E36="Aylık",IF(OR(AND(DATE(YEAR((Tahmin!$C$4+21)),MONTH((Tahmin!$C$4+21)),MIN(DAY(Kalemler!$D36),DAY(EOMONTH((Tahmin!$C$4+21),0))))&gt;=(Tahmin!$C$4+21),DATE(YEAR((Tahmin!$C$4+21)),MONTH((Tahmin!$C$4+21)),MIN(DAY(Kalemler!$D36),DAY(EOMONTH((Tahmin!$C$4+21),0))))&lt;=(Tahmin!$C$4+27),DATE(YEAR((Tahmin!$C$4+21)),MONTH((Tahmin!$C$4+21)),MIN(DAY(Kalemler!$D36),DAY(EOMONTH((Tahmin!$C$4+21),0))))&gt;=Kalemler!$D36),AND(DATE(YEAR((Tahmin!$C$4+27)),MONTH((Tahmin!$C$4+27)),MIN(DAY(Kalemler!$D36),DAY(EOMONTH((Tahmin!$C$4+27),0))))&gt;=(Tahmin!$C$4+21),DATE(YEAR((Tahmin!$C$4+27)),MONTH((Tahmin!$C$4+27)),MIN(DAY(Kalemler!$D36),DAY(EOMONTH((Tahmin!$C$4+27),0))))&lt;=(Tahmin!$C$4+27),DATE(YEAR((Tahmin!$C$4+27)),MONTH((Tahmin!$C$4+27)),MIN(DAY(Kalemler!$D36),DAY(EOMONTH((Tahmin!$C$4+27),0))))&lt;&gt;DATE(YEAR((Tahmin!$C$4+21)),MONTH((Tahmin!$C$4+21)),MIN(DAY(Kalemler!$D36),DAY(EOMONTH((Tahmin!$C$4+21),0)))),DATE(YEAR((Tahmin!$C$4+27)),MONTH((Tahmin!$C$4+27)),MIN(DAY(Kalemler!$D36),DAY(EOMONTH((Tahmin!$C$4+27),0))))&gt;=Kalemler!$D36)),1,0),IF(AND(Kalemler!$D36&gt;=(Tahmin!$C$4+21),Kalemler!$D36&lt;=(Tahmin!$C$4+27)),1,0))))</f>
        <v>0</v>
      </c>
      <c r="F36" s="0" t="n">
        <f aca="false">IF(OR(Kalemler!$A36="",Kalemler!$C36="",Kalemler!$D36=""),0,Kalemler!$C36*IF(Kalemler!$E36="Haftalık",IF(Kalemler!$D36&lt;=(Tahmin!$C$4+34),1,0),IF(Kalemler!$E36="Aylık",IF(OR(AND(DATE(YEAR((Tahmin!$C$4+28)),MONTH((Tahmin!$C$4+28)),MIN(DAY(Kalemler!$D36),DAY(EOMONTH((Tahmin!$C$4+28),0))))&gt;=(Tahmin!$C$4+28),DATE(YEAR((Tahmin!$C$4+28)),MONTH((Tahmin!$C$4+28)),MIN(DAY(Kalemler!$D36),DAY(EOMONTH((Tahmin!$C$4+28),0))))&lt;=(Tahmin!$C$4+34),DATE(YEAR((Tahmin!$C$4+28)),MONTH((Tahmin!$C$4+28)),MIN(DAY(Kalemler!$D36),DAY(EOMONTH((Tahmin!$C$4+28),0))))&gt;=Kalemler!$D36),AND(DATE(YEAR((Tahmin!$C$4+34)),MONTH((Tahmin!$C$4+34)),MIN(DAY(Kalemler!$D36),DAY(EOMONTH((Tahmin!$C$4+34),0))))&gt;=(Tahmin!$C$4+28),DATE(YEAR((Tahmin!$C$4+34)),MONTH((Tahmin!$C$4+34)),MIN(DAY(Kalemler!$D36),DAY(EOMONTH((Tahmin!$C$4+34),0))))&lt;=(Tahmin!$C$4+34),DATE(YEAR((Tahmin!$C$4+34)),MONTH((Tahmin!$C$4+34)),MIN(DAY(Kalemler!$D36),DAY(EOMONTH((Tahmin!$C$4+34),0))))&lt;&gt;DATE(YEAR((Tahmin!$C$4+28)),MONTH((Tahmin!$C$4+28)),MIN(DAY(Kalemler!$D36),DAY(EOMONTH((Tahmin!$C$4+28),0)))),DATE(YEAR((Tahmin!$C$4+34)),MONTH((Tahmin!$C$4+34)),MIN(DAY(Kalemler!$D36),DAY(EOMONTH((Tahmin!$C$4+34),0))))&gt;=Kalemler!$D36)),1,0),IF(AND(Kalemler!$D36&gt;=(Tahmin!$C$4+28),Kalemler!$D36&lt;=(Tahmin!$C$4+34)),1,0))))</f>
        <v>0</v>
      </c>
      <c r="G36" s="0" t="n">
        <f aca="false">IF(OR(Kalemler!$A36="",Kalemler!$C36="",Kalemler!$D36=""),0,Kalemler!$C36*IF(Kalemler!$E36="Haftalık",IF(Kalemler!$D36&lt;=(Tahmin!$C$4+41),1,0),IF(Kalemler!$E36="Aylık",IF(OR(AND(DATE(YEAR((Tahmin!$C$4+35)),MONTH((Tahmin!$C$4+35)),MIN(DAY(Kalemler!$D36),DAY(EOMONTH((Tahmin!$C$4+35),0))))&gt;=(Tahmin!$C$4+35),DATE(YEAR((Tahmin!$C$4+35)),MONTH((Tahmin!$C$4+35)),MIN(DAY(Kalemler!$D36),DAY(EOMONTH((Tahmin!$C$4+35),0))))&lt;=(Tahmin!$C$4+41),DATE(YEAR((Tahmin!$C$4+35)),MONTH((Tahmin!$C$4+35)),MIN(DAY(Kalemler!$D36),DAY(EOMONTH((Tahmin!$C$4+35),0))))&gt;=Kalemler!$D36),AND(DATE(YEAR((Tahmin!$C$4+41)),MONTH((Tahmin!$C$4+41)),MIN(DAY(Kalemler!$D36),DAY(EOMONTH((Tahmin!$C$4+41),0))))&gt;=(Tahmin!$C$4+35),DATE(YEAR((Tahmin!$C$4+41)),MONTH((Tahmin!$C$4+41)),MIN(DAY(Kalemler!$D36),DAY(EOMONTH((Tahmin!$C$4+41),0))))&lt;=(Tahmin!$C$4+41),DATE(YEAR((Tahmin!$C$4+41)),MONTH((Tahmin!$C$4+41)),MIN(DAY(Kalemler!$D36),DAY(EOMONTH((Tahmin!$C$4+41),0))))&lt;&gt;DATE(YEAR((Tahmin!$C$4+35)),MONTH((Tahmin!$C$4+35)),MIN(DAY(Kalemler!$D36),DAY(EOMONTH((Tahmin!$C$4+35),0)))),DATE(YEAR((Tahmin!$C$4+41)),MONTH((Tahmin!$C$4+41)),MIN(DAY(Kalemler!$D36),DAY(EOMONTH((Tahmin!$C$4+41),0))))&gt;=Kalemler!$D36)),1,0),IF(AND(Kalemler!$D36&gt;=(Tahmin!$C$4+35),Kalemler!$D36&lt;=(Tahmin!$C$4+41)),1,0))))</f>
        <v>0</v>
      </c>
      <c r="H36" s="0" t="n">
        <f aca="false">IF(OR(Kalemler!$A36="",Kalemler!$C36="",Kalemler!$D36=""),0,Kalemler!$C36*IF(Kalemler!$E36="Haftalık",IF(Kalemler!$D36&lt;=(Tahmin!$C$4+48),1,0),IF(Kalemler!$E36="Aylık",IF(OR(AND(DATE(YEAR((Tahmin!$C$4+42)),MONTH((Tahmin!$C$4+42)),MIN(DAY(Kalemler!$D36),DAY(EOMONTH((Tahmin!$C$4+42),0))))&gt;=(Tahmin!$C$4+42),DATE(YEAR((Tahmin!$C$4+42)),MONTH((Tahmin!$C$4+42)),MIN(DAY(Kalemler!$D36),DAY(EOMONTH((Tahmin!$C$4+42),0))))&lt;=(Tahmin!$C$4+48),DATE(YEAR((Tahmin!$C$4+42)),MONTH((Tahmin!$C$4+42)),MIN(DAY(Kalemler!$D36),DAY(EOMONTH((Tahmin!$C$4+42),0))))&gt;=Kalemler!$D36),AND(DATE(YEAR((Tahmin!$C$4+48)),MONTH((Tahmin!$C$4+48)),MIN(DAY(Kalemler!$D36),DAY(EOMONTH((Tahmin!$C$4+48),0))))&gt;=(Tahmin!$C$4+42),DATE(YEAR((Tahmin!$C$4+48)),MONTH((Tahmin!$C$4+48)),MIN(DAY(Kalemler!$D36),DAY(EOMONTH((Tahmin!$C$4+48),0))))&lt;=(Tahmin!$C$4+48),DATE(YEAR((Tahmin!$C$4+48)),MONTH((Tahmin!$C$4+48)),MIN(DAY(Kalemler!$D36),DAY(EOMONTH((Tahmin!$C$4+48),0))))&lt;&gt;DATE(YEAR((Tahmin!$C$4+42)),MONTH((Tahmin!$C$4+42)),MIN(DAY(Kalemler!$D36),DAY(EOMONTH((Tahmin!$C$4+42),0)))),DATE(YEAR((Tahmin!$C$4+48)),MONTH((Tahmin!$C$4+48)),MIN(DAY(Kalemler!$D36),DAY(EOMONTH((Tahmin!$C$4+48),0))))&gt;=Kalemler!$D36)),1,0),IF(AND(Kalemler!$D36&gt;=(Tahmin!$C$4+42),Kalemler!$D36&lt;=(Tahmin!$C$4+48)),1,0))))</f>
        <v>0</v>
      </c>
      <c r="I36" s="0" t="n">
        <f aca="false">IF(OR(Kalemler!$A36="",Kalemler!$C36="",Kalemler!$D36=""),0,Kalemler!$C36*IF(Kalemler!$E36="Haftalık",IF(Kalemler!$D36&lt;=(Tahmin!$C$4+55),1,0),IF(Kalemler!$E36="Aylık",IF(OR(AND(DATE(YEAR((Tahmin!$C$4+49)),MONTH((Tahmin!$C$4+49)),MIN(DAY(Kalemler!$D36),DAY(EOMONTH((Tahmin!$C$4+49),0))))&gt;=(Tahmin!$C$4+49),DATE(YEAR((Tahmin!$C$4+49)),MONTH((Tahmin!$C$4+49)),MIN(DAY(Kalemler!$D36),DAY(EOMONTH((Tahmin!$C$4+49),0))))&lt;=(Tahmin!$C$4+55),DATE(YEAR((Tahmin!$C$4+49)),MONTH((Tahmin!$C$4+49)),MIN(DAY(Kalemler!$D36),DAY(EOMONTH((Tahmin!$C$4+49),0))))&gt;=Kalemler!$D36),AND(DATE(YEAR((Tahmin!$C$4+55)),MONTH((Tahmin!$C$4+55)),MIN(DAY(Kalemler!$D36),DAY(EOMONTH((Tahmin!$C$4+55),0))))&gt;=(Tahmin!$C$4+49),DATE(YEAR((Tahmin!$C$4+55)),MONTH((Tahmin!$C$4+55)),MIN(DAY(Kalemler!$D36),DAY(EOMONTH((Tahmin!$C$4+55),0))))&lt;=(Tahmin!$C$4+55),DATE(YEAR((Tahmin!$C$4+55)),MONTH((Tahmin!$C$4+55)),MIN(DAY(Kalemler!$D36),DAY(EOMONTH((Tahmin!$C$4+55),0))))&lt;&gt;DATE(YEAR((Tahmin!$C$4+49)),MONTH((Tahmin!$C$4+49)),MIN(DAY(Kalemler!$D36),DAY(EOMONTH((Tahmin!$C$4+49),0)))),DATE(YEAR((Tahmin!$C$4+55)),MONTH((Tahmin!$C$4+55)),MIN(DAY(Kalemler!$D36),DAY(EOMONTH((Tahmin!$C$4+55),0))))&gt;=Kalemler!$D36)),1,0),IF(AND(Kalemler!$D36&gt;=(Tahmin!$C$4+49),Kalemler!$D36&lt;=(Tahmin!$C$4+55)),1,0))))</f>
        <v>0</v>
      </c>
      <c r="J36" s="0" t="n">
        <f aca="false">IF(OR(Kalemler!$A36="",Kalemler!$C36="",Kalemler!$D36=""),0,Kalemler!$C36*IF(Kalemler!$E36="Haftalık",IF(Kalemler!$D36&lt;=(Tahmin!$C$4+62),1,0),IF(Kalemler!$E36="Aylık",IF(OR(AND(DATE(YEAR((Tahmin!$C$4+56)),MONTH((Tahmin!$C$4+56)),MIN(DAY(Kalemler!$D36),DAY(EOMONTH((Tahmin!$C$4+56),0))))&gt;=(Tahmin!$C$4+56),DATE(YEAR((Tahmin!$C$4+56)),MONTH((Tahmin!$C$4+56)),MIN(DAY(Kalemler!$D36),DAY(EOMONTH((Tahmin!$C$4+56),0))))&lt;=(Tahmin!$C$4+62),DATE(YEAR((Tahmin!$C$4+56)),MONTH((Tahmin!$C$4+56)),MIN(DAY(Kalemler!$D36),DAY(EOMONTH((Tahmin!$C$4+56),0))))&gt;=Kalemler!$D36),AND(DATE(YEAR((Tahmin!$C$4+62)),MONTH((Tahmin!$C$4+62)),MIN(DAY(Kalemler!$D36),DAY(EOMONTH((Tahmin!$C$4+62),0))))&gt;=(Tahmin!$C$4+56),DATE(YEAR((Tahmin!$C$4+62)),MONTH((Tahmin!$C$4+62)),MIN(DAY(Kalemler!$D36),DAY(EOMONTH((Tahmin!$C$4+62),0))))&lt;=(Tahmin!$C$4+62),DATE(YEAR((Tahmin!$C$4+62)),MONTH((Tahmin!$C$4+62)),MIN(DAY(Kalemler!$D36),DAY(EOMONTH((Tahmin!$C$4+62),0))))&lt;&gt;DATE(YEAR((Tahmin!$C$4+56)),MONTH((Tahmin!$C$4+56)),MIN(DAY(Kalemler!$D36),DAY(EOMONTH((Tahmin!$C$4+56),0)))),DATE(YEAR((Tahmin!$C$4+62)),MONTH((Tahmin!$C$4+62)),MIN(DAY(Kalemler!$D36),DAY(EOMONTH((Tahmin!$C$4+62),0))))&gt;=Kalemler!$D36)),1,0),IF(AND(Kalemler!$D36&gt;=(Tahmin!$C$4+56),Kalemler!$D36&lt;=(Tahmin!$C$4+62)),1,0))))</f>
        <v>0</v>
      </c>
      <c r="K36" s="0" t="n">
        <f aca="false">IF(OR(Kalemler!$A36="",Kalemler!$C36="",Kalemler!$D36=""),0,Kalemler!$C36*IF(Kalemler!$E36="Haftalık",IF(Kalemler!$D36&lt;=(Tahmin!$C$4+69),1,0),IF(Kalemler!$E36="Aylık",IF(OR(AND(DATE(YEAR((Tahmin!$C$4+63)),MONTH((Tahmin!$C$4+63)),MIN(DAY(Kalemler!$D36),DAY(EOMONTH((Tahmin!$C$4+63),0))))&gt;=(Tahmin!$C$4+63),DATE(YEAR((Tahmin!$C$4+63)),MONTH((Tahmin!$C$4+63)),MIN(DAY(Kalemler!$D36),DAY(EOMONTH((Tahmin!$C$4+63),0))))&lt;=(Tahmin!$C$4+69),DATE(YEAR((Tahmin!$C$4+63)),MONTH((Tahmin!$C$4+63)),MIN(DAY(Kalemler!$D36),DAY(EOMONTH((Tahmin!$C$4+63),0))))&gt;=Kalemler!$D36),AND(DATE(YEAR((Tahmin!$C$4+69)),MONTH((Tahmin!$C$4+69)),MIN(DAY(Kalemler!$D36),DAY(EOMONTH((Tahmin!$C$4+69),0))))&gt;=(Tahmin!$C$4+63),DATE(YEAR((Tahmin!$C$4+69)),MONTH((Tahmin!$C$4+69)),MIN(DAY(Kalemler!$D36),DAY(EOMONTH((Tahmin!$C$4+69),0))))&lt;=(Tahmin!$C$4+69),DATE(YEAR((Tahmin!$C$4+69)),MONTH((Tahmin!$C$4+69)),MIN(DAY(Kalemler!$D36),DAY(EOMONTH((Tahmin!$C$4+69),0))))&lt;&gt;DATE(YEAR((Tahmin!$C$4+63)),MONTH((Tahmin!$C$4+63)),MIN(DAY(Kalemler!$D36),DAY(EOMONTH((Tahmin!$C$4+63),0)))),DATE(YEAR((Tahmin!$C$4+69)),MONTH((Tahmin!$C$4+69)),MIN(DAY(Kalemler!$D36),DAY(EOMONTH((Tahmin!$C$4+69),0))))&gt;=Kalemler!$D36)),1,0),IF(AND(Kalemler!$D36&gt;=(Tahmin!$C$4+63),Kalemler!$D36&lt;=(Tahmin!$C$4+69)),1,0))))</f>
        <v>0</v>
      </c>
      <c r="L36" s="0" t="n">
        <f aca="false">IF(OR(Kalemler!$A36="",Kalemler!$C36="",Kalemler!$D36=""),0,Kalemler!$C36*IF(Kalemler!$E36="Haftalık",IF(Kalemler!$D36&lt;=(Tahmin!$C$4+76),1,0),IF(Kalemler!$E36="Aylık",IF(OR(AND(DATE(YEAR((Tahmin!$C$4+70)),MONTH((Tahmin!$C$4+70)),MIN(DAY(Kalemler!$D36),DAY(EOMONTH((Tahmin!$C$4+70),0))))&gt;=(Tahmin!$C$4+70),DATE(YEAR((Tahmin!$C$4+70)),MONTH((Tahmin!$C$4+70)),MIN(DAY(Kalemler!$D36),DAY(EOMONTH((Tahmin!$C$4+70),0))))&lt;=(Tahmin!$C$4+76),DATE(YEAR((Tahmin!$C$4+70)),MONTH((Tahmin!$C$4+70)),MIN(DAY(Kalemler!$D36),DAY(EOMONTH((Tahmin!$C$4+70),0))))&gt;=Kalemler!$D36),AND(DATE(YEAR((Tahmin!$C$4+76)),MONTH((Tahmin!$C$4+76)),MIN(DAY(Kalemler!$D36),DAY(EOMONTH((Tahmin!$C$4+76),0))))&gt;=(Tahmin!$C$4+70),DATE(YEAR((Tahmin!$C$4+76)),MONTH((Tahmin!$C$4+76)),MIN(DAY(Kalemler!$D36),DAY(EOMONTH((Tahmin!$C$4+76),0))))&lt;=(Tahmin!$C$4+76),DATE(YEAR((Tahmin!$C$4+76)),MONTH((Tahmin!$C$4+76)),MIN(DAY(Kalemler!$D36),DAY(EOMONTH((Tahmin!$C$4+76),0))))&lt;&gt;DATE(YEAR((Tahmin!$C$4+70)),MONTH((Tahmin!$C$4+70)),MIN(DAY(Kalemler!$D36),DAY(EOMONTH((Tahmin!$C$4+70),0)))),DATE(YEAR((Tahmin!$C$4+76)),MONTH((Tahmin!$C$4+76)),MIN(DAY(Kalemler!$D36),DAY(EOMONTH((Tahmin!$C$4+76),0))))&gt;=Kalemler!$D36)),1,0),IF(AND(Kalemler!$D36&gt;=(Tahmin!$C$4+70),Kalemler!$D36&lt;=(Tahmin!$C$4+76)),1,0))))</f>
        <v>0</v>
      </c>
      <c r="M36" s="0" t="n">
        <f aca="false">IF(OR(Kalemler!$A36="",Kalemler!$C36="",Kalemler!$D36=""),0,Kalemler!$C36*IF(Kalemler!$E36="Haftalık",IF(Kalemler!$D36&lt;=(Tahmin!$C$4+83),1,0),IF(Kalemler!$E36="Aylık",IF(OR(AND(DATE(YEAR((Tahmin!$C$4+77)),MONTH((Tahmin!$C$4+77)),MIN(DAY(Kalemler!$D36),DAY(EOMONTH((Tahmin!$C$4+77),0))))&gt;=(Tahmin!$C$4+77),DATE(YEAR((Tahmin!$C$4+77)),MONTH((Tahmin!$C$4+77)),MIN(DAY(Kalemler!$D36),DAY(EOMONTH((Tahmin!$C$4+77),0))))&lt;=(Tahmin!$C$4+83),DATE(YEAR((Tahmin!$C$4+77)),MONTH((Tahmin!$C$4+77)),MIN(DAY(Kalemler!$D36),DAY(EOMONTH((Tahmin!$C$4+77),0))))&gt;=Kalemler!$D36),AND(DATE(YEAR((Tahmin!$C$4+83)),MONTH((Tahmin!$C$4+83)),MIN(DAY(Kalemler!$D36),DAY(EOMONTH((Tahmin!$C$4+83),0))))&gt;=(Tahmin!$C$4+77),DATE(YEAR((Tahmin!$C$4+83)),MONTH((Tahmin!$C$4+83)),MIN(DAY(Kalemler!$D36),DAY(EOMONTH((Tahmin!$C$4+83),0))))&lt;=(Tahmin!$C$4+83),DATE(YEAR((Tahmin!$C$4+83)),MONTH((Tahmin!$C$4+83)),MIN(DAY(Kalemler!$D36),DAY(EOMONTH((Tahmin!$C$4+83),0))))&lt;&gt;DATE(YEAR((Tahmin!$C$4+77)),MONTH((Tahmin!$C$4+77)),MIN(DAY(Kalemler!$D36),DAY(EOMONTH((Tahmin!$C$4+77),0)))),DATE(YEAR((Tahmin!$C$4+83)),MONTH((Tahmin!$C$4+83)),MIN(DAY(Kalemler!$D36),DAY(EOMONTH((Tahmin!$C$4+83),0))))&gt;=Kalemler!$D36)),1,0),IF(AND(Kalemler!$D36&gt;=(Tahmin!$C$4+77),Kalemler!$D36&lt;=(Tahmin!$C$4+83)),1,0))))</f>
        <v>0</v>
      </c>
      <c r="N36" s="0" t="n">
        <f aca="false">IF(OR(Kalemler!$A36="",Kalemler!$C36="",Kalemler!$D36=""),0,Kalemler!$C36*IF(Kalemler!$E36="Haftalık",IF(Kalemler!$D36&lt;=(Tahmin!$C$4+90),1,0),IF(Kalemler!$E36="Aylık",IF(OR(AND(DATE(YEAR((Tahmin!$C$4+84)),MONTH((Tahmin!$C$4+84)),MIN(DAY(Kalemler!$D36),DAY(EOMONTH((Tahmin!$C$4+84),0))))&gt;=(Tahmin!$C$4+84),DATE(YEAR((Tahmin!$C$4+84)),MONTH((Tahmin!$C$4+84)),MIN(DAY(Kalemler!$D36),DAY(EOMONTH((Tahmin!$C$4+84),0))))&lt;=(Tahmin!$C$4+90),DATE(YEAR((Tahmin!$C$4+84)),MONTH((Tahmin!$C$4+84)),MIN(DAY(Kalemler!$D36),DAY(EOMONTH((Tahmin!$C$4+84),0))))&gt;=Kalemler!$D36),AND(DATE(YEAR((Tahmin!$C$4+90)),MONTH((Tahmin!$C$4+90)),MIN(DAY(Kalemler!$D36),DAY(EOMONTH((Tahmin!$C$4+90),0))))&gt;=(Tahmin!$C$4+84),DATE(YEAR((Tahmin!$C$4+90)),MONTH((Tahmin!$C$4+90)),MIN(DAY(Kalemler!$D36),DAY(EOMONTH((Tahmin!$C$4+90),0))))&lt;=(Tahmin!$C$4+90),DATE(YEAR((Tahmin!$C$4+90)),MONTH((Tahmin!$C$4+90)),MIN(DAY(Kalemler!$D36),DAY(EOMONTH((Tahmin!$C$4+90),0))))&lt;&gt;DATE(YEAR((Tahmin!$C$4+84)),MONTH((Tahmin!$C$4+84)),MIN(DAY(Kalemler!$D36),DAY(EOMONTH((Tahmin!$C$4+84),0)))),DATE(YEAR((Tahmin!$C$4+90)),MONTH((Tahmin!$C$4+90)),MIN(DAY(Kalemler!$D36),DAY(EOMONTH((Tahmin!$C$4+90),0))))&gt;=Kalemler!$D36)),1,0),IF(AND(Kalemler!$D36&gt;=(Tahmin!$C$4+84),Kalemler!$D36&lt;=(Tahmin!$C$4+90)),1,0))))</f>
        <v>0</v>
      </c>
    </row>
    <row r="37" customFormat="false" ht="15" hidden="false" customHeight="false" outlineLevel="0" collapsed="false">
      <c r="A37" s="0" t="str">
        <f aca="false">IF(Kalemler!A37="","",Kalemler!A37)</f>
        <v/>
      </c>
      <c r="B37" s="0" t="n">
        <f aca="false">IF(OR(Kalemler!$A37="",Kalemler!$C37="",Kalemler!$D37=""),0,Kalemler!$C37*IF(Kalemler!$E37="Haftalık",IF(Kalemler!$D37&lt;=(Tahmin!$C$4+6),1,0),IF(Kalemler!$E37="Aylık",IF(OR(AND(DATE(YEAR((Tahmin!$C$4+0)),MONTH((Tahmin!$C$4+0)),MIN(DAY(Kalemler!$D37),DAY(EOMONTH((Tahmin!$C$4+0),0))))&gt;=(Tahmin!$C$4+0),DATE(YEAR((Tahmin!$C$4+0)),MONTH((Tahmin!$C$4+0)),MIN(DAY(Kalemler!$D37),DAY(EOMONTH((Tahmin!$C$4+0),0))))&lt;=(Tahmin!$C$4+6),DATE(YEAR((Tahmin!$C$4+0)),MONTH((Tahmin!$C$4+0)),MIN(DAY(Kalemler!$D37),DAY(EOMONTH((Tahmin!$C$4+0),0))))&gt;=Kalemler!$D37),AND(DATE(YEAR((Tahmin!$C$4+6)),MONTH((Tahmin!$C$4+6)),MIN(DAY(Kalemler!$D37),DAY(EOMONTH((Tahmin!$C$4+6),0))))&gt;=(Tahmin!$C$4+0),DATE(YEAR((Tahmin!$C$4+6)),MONTH((Tahmin!$C$4+6)),MIN(DAY(Kalemler!$D37),DAY(EOMONTH((Tahmin!$C$4+6),0))))&lt;=(Tahmin!$C$4+6),DATE(YEAR((Tahmin!$C$4+6)),MONTH((Tahmin!$C$4+6)),MIN(DAY(Kalemler!$D37),DAY(EOMONTH((Tahmin!$C$4+6),0))))&lt;&gt;DATE(YEAR((Tahmin!$C$4+0)),MONTH((Tahmin!$C$4+0)),MIN(DAY(Kalemler!$D37),DAY(EOMONTH((Tahmin!$C$4+0),0)))),DATE(YEAR((Tahmin!$C$4+6)),MONTH((Tahmin!$C$4+6)),MIN(DAY(Kalemler!$D37),DAY(EOMONTH((Tahmin!$C$4+6),0))))&gt;=Kalemler!$D37)),1,0),IF(AND(Kalemler!$D37&gt;=(Tahmin!$C$4+0),Kalemler!$D37&lt;=(Tahmin!$C$4+6)),1,0))))</f>
        <v>0</v>
      </c>
      <c r="C37" s="0" t="n">
        <f aca="false">IF(OR(Kalemler!$A37="",Kalemler!$C37="",Kalemler!$D37=""),0,Kalemler!$C37*IF(Kalemler!$E37="Haftalık",IF(Kalemler!$D37&lt;=(Tahmin!$C$4+13),1,0),IF(Kalemler!$E37="Aylık",IF(OR(AND(DATE(YEAR((Tahmin!$C$4+7)),MONTH((Tahmin!$C$4+7)),MIN(DAY(Kalemler!$D37),DAY(EOMONTH((Tahmin!$C$4+7),0))))&gt;=(Tahmin!$C$4+7),DATE(YEAR((Tahmin!$C$4+7)),MONTH((Tahmin!$C$4+7)),MIN(DAY(Kalemler!$D37),DAY(EOMONTH((Tahmin!$C$4+7),0))))&lt;=(Tahmin!$C$4+13),DATE(YEAR((Tahmin!$C$4+7)),MONTH((Tahmin!$C$4+7)),MIN(DAY(Kalemler!$D37),DAY(EOMONTH((Tahmin!$C$4+7),0))))&gt;=Kalemler!$D37),AND(DATE(YEAR((Tahmin!$C$4+13)),MONTH((Tahmin!$C$4+13)),MIN(DAY(Kalemler!$D37),DAY(EOMONTH((Tahmin!$C$4+13),0))))&gt;=(Tahmin!$C$4+7),DATE(YEAR((Tahmin!$C$4+13)),MONTH((Tahmin!$C$4+13)),MIN(DAY(Kalemler!$D37),DAY(EOMONTH((Tahmin!$C$4+13),0))))&lt;=(Tahmin!$C$4+13),DATE(YEAR((Tahmin!$C$4+13)),MONTH((Tahmin!$C$4+13)),MIN(DAY(Kalemler!$D37),DAY(EOMONTH((Tahmin!$C$4+13),0))))&lt;&gt;DATE(YEAR((Tahmin!$C$4+7)),MONTH((Tahmin!$C$4+7)),MIN(DAY(Kalemler!$D37),DAY(EOMONTH((Tahmin!$C$4+7),0)))),DATE(YEAR((Tahmin!$C$4+13)),MONTH((Tahmin!$C$4+13)),MIN(DAY(Kalemler!$D37),DAY(EOMONTH((Tahmin!$C$4+13),0))))&gt;=Kalemler!$D37)),1,0),IF(AND(Kalemler!$D37&gt;=(Tahmin!$C$4+7),Kalemler!$D37&lt;=(Tahmin!$C$4+13)),1,0))))</f>
        <v>0</v>
      </c>
      <c r="D37" s="0" t="n">
        <f aca="false">IF(OR(Kalemler!$A37="",Kalemler!$C37="",Kalemler!$D37=""),0,Kalemler!$C37*IF(Kalemler!$E37="Haftalık",IF(Kalemler!$D37&lt;=(Tahmin!$C$4+20),1,0),IF(Kalemler!$E37="Aylık",IF(OR(AND(DATE(YEAR((Tahmin!$C$4+14)),MONTH((Tahmin!$C$4+14)),MIN(DAY(Kalemler!$D37),DAY(EOMONTH((Tahmin!$C$4+14),0))))&gt;=(Tahmin!$C$4+14),DATE(YEAR((Tahmin!$C$4+14)),MONTH((Tahmin!$C$4+14)),MIN(DAY(Kalemler!$D37),DAY(EOMONTH((Tahmin!$C$4+14),0))))&lt;=(Tahmin!$C$4+20),DATE(YEAR((Tahmin!$C$4+14)),MONTH((Tahmin!$C$4+14)),MIN(DAY(Kalemler!$D37),DAY(EOMONTH((Tahmin!$C$4+14),0))))&gt;=Kalemler!$D37),AND(DATE(YEAR((Tahmin!$C$4+20)),MONTH((Tahmin!$C$4+20)),MIN(DAY(Kalemler!$D37),DAY(EOMONTH((Tahmin!$C$4+20),0))))&gt;=(Tahmin!$C$4+14),DATE(YEAR((Tahmin!$C$4+20)),MONTH((Tahmin!$C$4+20)),MIN(DAY(Kalemler!$D37),DAY(EOMONTH((Tahmin!$C$4+20),0))))&lt;=(Tahmin!$C$4+20),DATE(YEAR((Tahmin!$C$4+20)),MONTH((Tahmin!$C$4+20)),MIN(DAY(Kalemler!$D37),DAY(EOMONTH((Tahmin!$C$4+20),0))))&lt;&gt;DATE(YEAR((Tahmin!$C$4+14)),MONTH((Tahmin!$C$4+14)),MIN(DAY(Kalemler!$D37),DAY(EOMONTH((Tahmin!$C$4+14),0)))),DATE(YEAR((Tahmin!$C$4+20)),MONTH((Tahmin!$C$4+20)),MIN(DAY(Kalemler!$D37),DAY(EOMONTH((Tahmin!$C$4+20),0))))&gt;=Kalemler!$D37)),1,0),IF(AND(Kalemler!$D37&gt;=(Tahmin!$C$4+14),Kalemler!$D37&lt;=(Tahmin!$C$4+20)),1,0))))</f>
        <v>0</v>
      </c>
      <c r="E37" s="0" t="n">
        <f aca="false">IF(OR(Kalemler!$A37="",Kalemler!$C37="",Kalemler!$D37=""),0,Kalemler!$C37*IF(Kalemler!$E37="Haftalık",IF(Kalemler!$D37&lt;=(Tahmin!$C$4+27),1,0),IF(Kalemler!$E37="Aylık",IF(OR(AND(DATE(YEAR((Tahmin!$C$4+21)),MONTH((Tahmin!$C$4+21)),MIN(DAY(Kalemler!$D37),DAY(EOMONTH((Tahmin!$C$4+21),0))))&gt;=(Tahmin!$C$4+21),DATE(YEAR((Tahmin!$C$4+21)),MONTH((Tahmin!$C$4+21)),MIN(DAY(Kalemler!$D37),DAY(EOMONTH((Tahmin!$C$4+21),0))))&lt;=(Tahmin!$C$4+27),DATE(YEAR((Tahmin!$C$4+21)),MONTH((Tahmin!$C$4+21)),MIN(DAY(Kalemler!$D37),DAY(EOMONTH((Tahmin!$C$4+21),0))))&gt;=Kalemler!$D37),AND(DATE(YEAR((Tahmin!$C$4+27)),MONTH((Tahmin!$C$4+27)),MIN(DAY(Kalemler!$D37),DAY(EOMONTH((Tahmin!$C$4+27),0))))&gt;=(Tahmin!$C$4+21),DATE(YEAR((Tahmin!$C$4+27)),MONTH((Tahmin!$C$4+27)),MIN(DAY(Kalemler!$D37),DAY(EOMONTH((Tahmin!$C$4+27),0))))&lt;=(Tahmin!$C$4+27),DATE(YEAR((Tahmin!$C$4+27)),MONTH((Tahmin!$C$4+27)),MIN(DAY(Kalemler!$D37),DAY(EOMONTH((Tahmin!$C$4+27),0))))&lt;&gt;DATE(YEAR((Tahmin!$C$4+21)),MONTH((Tahmin!$C$4+21)),MIN(DAY(Kalemler!$D37),DAY(EOMONTH((Tahmin!$C$4+21),0)))),DATE(YEAR((Tahmin!$C$4+27)),MONTH((Tahmin!$C$4+27)),MIN(DAY(Kalemler!$D37),DAY(EOMONTH((Tahmin!$C$4+27),0))))&gt;=Kalemler!$D37)),1,0),IF(AND(Kalemler!$D37&gt;=(Tahmin!$C$4+21),Kalemler!$D37&lt;=(Tahmin!$C$4+27)),1,0))))</f>
        <v>0</v>
      </c>
      <c r="F37" s="0" t="n">
        <f aca="false">IF(OR(Kalemler!$A37="",Kalemler!$C37="",Kalemler!$D37=""),0,Kalemler!$C37*IF(Kalemler!$E37="Haftalık",IF(Kalemler!$D37&lt;=(Tahmin!$C$4+34),1,0),IF(Kalemler!$E37="Aylık",IF(OR(AND(DATE(YEAR((Tahmin!$C$4+28)),MONTH((Tahmin!$C$4+28)),MIN(DAY(Kalemler!$D37),DAY(EOMONTH((Tahmin!$C$4+28),0))))&gt;=(Tahmin!$C$4+28),DATE(YEAR((Tahmin!$C$4+28)),MONTH((Tahmin!$C$4+28)),MIN(DAY(Kalemler!$D37),DAY(EOMONTH((Tahmin!$C$4+28),0))))&lt;=(Tahmin!$C$4+34),DATE(YEAR((Tahmin!$C$4+28)),MONTH((Tahmin!$C$4+28)),MIN(DAY(Kalemler!$D37),DAY(EOMONTH((Tahmin!$C$4+28),0))))&gt;=Kalemler!$D37),AND(DATE(YEAR((Tahmin!$C$4+34)),MONTH((Tahmin!$C$4+34)),MIN(DAY(Kalemler!$D37),DAY(EOMONTH((Tahmin!$C$4+34),0))))&gt;=(Tahmin!$C$4+28),DATE(YEAR((Tahmin!$C$4+34)),MONTH((Tahmin!$C$4+34)),MIN(DAY(Kalemler!$D37),DAY(EOMONTH((Tahmin!$C$4+34),0))))&lt;=(Tahmin!$C$4+34),DATE(YEAR((Tahmin!$C$4+34)),MONTH((Tahmin!$C$4+34)),MIN(DAY(Kalemler!$D37),DAY(EOMONTH((Tahmin!$C$4+34),0))))&lt;&gt;DATE(YEAR((Tahmin!$C$4+28)),MONTH((Tahmin!$C$4+28)),MIN(DAY(Kalemler!$D37),DAY(EOMONTH((Tahmin!$C$4+28),0)))),DATE(YEAR((Tahmin!$C$4+34)),MONTH((Tahmin!$C$4+34)),MIN(DAY(Kalemler!$D37),DAY(EOMONTH((Tahmin!$C$4+34),0))))&gt;=Kalemler!$D37)),1,0),IF(AND(Kalemler!$D37&gt;=(Tahmin!$C$4+28),Kalemler!$D37&lt;=(Tahmin!$C$4+34)),1,0))))</f>
        <v>0</v>
      </c>
      <c r="G37" s="0" t="n">
        <f aca="false">IF(OR(Kalemler!$A37="",Kalemler!$C37="",Kalemler!$D37=""),0,Kalemler!$C37*IF(Kalemler!$E37="Haftalık",IF(Kalemler!$D37&lt;=(Tahmin!$C$4+41),1,0),IF(Kalemler!$E37="Aylık",IF(OR(AND(DATE(YEAR((Tahmin!$C$4+35)),MONTH((Tahmin!$C$4+35)),MIN(DAY(Kalemler!$D37),DAY(EOMONTH((Tahmin!$C$4+35),0))))&gt;=(Tahmin!$C$4+35),DATE(YEAR((Tahmin!$C$4+35)),MONTH((Tahmin!$C$4+35)),MIN(DAY(Kalemler!$D37),DAY(EOMONTH((Tahmin!$C$4+35),0))))&lt;=(Tahmin!$C$4+41),DATE(YEAR((Tahmin!$C$4+35)),MONTH((Tahmin!$C$4+35)),MIN(DAY(Kalemler!$D37),DAY(EOMONTH((Tahmin!$C$4+35),0))))&gt;=Kalemler!$D37),AND(DATE(YEAR((Tahmin!$C$4+41)),MONTH((Tahmin!$C$4+41)),MIN(DAY(Kalemler!$D37),DAY(EOMONTH((Tahmin!$C$4+41),0))))&gt;=(Tahmin!$C$4+35),DATE(YEAR((Tahmin!$C$4+41)),MONTH((Tahmin!$C$4+41)),MIN(DAY(Kalemler!$D37),DAY(EOMONTH((Tahmin!$C$4+41),0))))&lt;=(Tahmin!$C$4+41),DATE(YEAR((Tahmin!$C$4+41)),MONTH((Tahmin!$C$4+41)),MIN(DAY(Kalemler!$D37),DAY(EOMONTH((Tahmin!$C$4+41),0))))&lt;&gt;DATE(YEAR((Tahmin!$C$4+35)),MONTH((Tahmin!$C$4+35)),MIN(DAY(Kalemler!$D37),DAY(EOMONTH((Tahmin!$C$4+35),0)))),DATE(YEAR((Tahmin!$C$4+41)),MONTH((Tahmin!$C$4+41)),MIN(DAY(Kalemler!$D37),DAY(EOMONTH((Tahmin!$C$4+41),0))))&gt;=Kalemler!$D37)),1,0),IF(AND(Kalemler!$D37&gt;=(Tahmin!$C$4+35),Kalemler!$D37&lt;=(Tahmin!$C$4+41)),1,0))))</f>
        <v>0</v>
      </c>
      <c r="H37" s="0" t="n">
        <f aca="false">IF(OR(Kalemler!$A37="",Kalemler!$C37="",Kalemler!$D37=""),0,Kalemler!$C37*IF(Kalemler!$E37="Haftalık",IF(Kalemler!$D37&lt;=(Tahmin!$C$4+48),1,0),IF(Kalemler!$E37="Aylık",IF(OR(AND(DATE(YEAR((Tahmin!$C$4+42)),MONTH((Tahmin!$C$4+42)),MIN(DAY(Kalemler!$D37),DAY(EOMONTH((Tahmin!$C$4+42),0))))&gt;=(Tahmin!$C$4+42),DATE(YEAR((Tahmin!$C$4+42)),MONTH((Tahmin!$C$4+42)),MIN(DAY(Kalemler!$D37),DAY(EOMONTH((Tahmin!$C$4+42),0))))&lt;=(Tahmin!$C$4+48),DATE(YEAR((Tahmin!$C$4+42)),MONTH((Tahmin!$C$4+42)),MIN(DAY(Kalemler!$D37),DAY(EOMONTH((Tahmin!$C$4+42),0))))&gt;=Kalemler!$D37),AND(DATE(YEAR((Tahmin!$C$4+48)),MONTH((Tahmin!$C$4+48)),MIN(DAY(Kalemler!$D37),DAY(EOMONTH((Tahmin!$C$4+48),0))))&gt;=(Tahmin!$C$4+42),DATE(YEAR((Tahmin!$C$4+48)),MONTH((Tahmin!$C$4+48)),MIN(DAY(Kalemler!$D37),DAY(EOMONTH((Tahmin!$C$4+48),0))))&lt;=(Tahmin!$C$4+48),DATE(YEAR((Tahmin!$C$4+48)),MONTH((Tahmin!$C$4+48)),MIN(DAY(Kalemler!$D37),DAY(EOMONTH((Tahmin!$C$4+48),0))))&lt;&gt;DATE(YEAR((Tahmin!$C$4+42)),MONTH((Tahmin!$C$4+42)),MIN(DAY(Kalemler!$D37),DAY(EOMONTH((Tahmin!$C$4+42),0)))),DATE(YEAR((Tahmin!$C$4+48)),MONTH((Tahmin!$C$4+48)),MIN(DAY(Kalemler!$D37),DAY(EOMONTH((Tahmin!$C$4+48),0))))&gt;=Kalemler!$D37)),1,0),IF(AND(Kalemler!$D37&gt;=(Tahmin!$C$4+42),Kalemler!$D37&lt;=(Tahmin!$C$4+48)),1,0))))</f>
        <v>0</v>
      </c>
      <c r="I37" s="0" t="n">
        <f aca="false">IF(OR(Kalemler!$A37="",Kalemler!$C37="",Kalemler!$D37=""),0,Kalemler!$C37*IF(Kalemler!$E37="Haftalık",IF(Kalemler!$D37&lt;=(Tahmin!$C$4+55),1,0),IF(Kalemler!$E37="Aylık",IF(OR(AND(DATE(YEAR((Tahmin!$C$4+49)),MONTH((Tahmin!$C$4+49)),MIN(DAY(Kalemler!$D37),DAY(EOMONTH((Tahmin!$C$4+49),0))))&gt;=(Tahmin!$C$4+49),DATE(YEAR((Tahmin!$C$4+49)),MONTH((Tahmin!$C$4+49)),MIN(DAY(Kalemler!$D37),DAY(EOMONTH((Tahmin!$C$4+49),0))))&lt;=(Tahmin!$C$4+55),DATE(YEAR((Tahmin!$C$4+49)),MONTH((Tahmin!$C$4+49)),MIN(DAY(Kalemler!$D37),DAY(EOMONTH((Tahmin!$C$4+49),0))))&gt;=Kalemler!$D37),AND(DATE(YEAR((Tahmin!$C$4+55)),MONTH((Tahmin!$C$4+55)),MIN(DAY(Kalemler!$D37),DAY(EOMONTH((Tahmin!$C$4+55),0))))&gt;=(Tahmin!$C$4+49),DATE(YEAR((Tahmin!$C$4+55)),MONTH((Tahmin!$C$4+55)),MIN(DAY(Kalemler!$D37),DAY(EOMONTH((Tahmin!$C$4+55),0))))&lt;=(Tahmin!$C$4+55),DATE(YEAR((Tahmin!$C$4+55)),MONTH((Tahmin!$C$4+55)),MIN(DAY(Kalemler!$D37),DAY(EOMONTH((Tahmin!$C$4+55),0))))&lt;&gt;DATE(YEAR((Tahmin!$C$4+49)),MONTH((Tahmin!$C$4+49)),MIN(DAY(Kalemler!$D37),DAY(EOMONTH((Tahmin!$C$4+49),0)))),DATE(YEAR((Tahmin!$C$4+55)),MONTH((Tahmin!$C$4+55)),MIN(DAY(Kalemler!$D37),DAY(EOMONTH((Tahmin!$C$4+55),0))))&gt;=Kalemler!$D37)),1,0),IF(AND(Kalemler!$D37&gt;=(Tahmin!$C$4+49),Kalemler!$D37&lt;=(Tahmin!$C$4+55)),1,0))))</f>
        <v>0</v>
      </c>
      <c r="J37" s="0" t="n">
        <f aca="false">IF(OR(Kalemler!$A37="",Kalemler!$C37="",Kalemler!$D37=""),0,Kalemler!$C37*IF(Kalemler!$E37="Haftalık",IF(Kalemler!$D37&lt;=(Tahmin!$C$4+62),1,0),IF(Kalemler!$E37="Aylık",IF(OR(AND(DATE(YEAR((Tahmin!$C$4+56)),MONTH((Tahmin!$C$4+56)),MIN(DAY(Kalemler!$D37),DAY(EOMONTH((Tahmin!$C$4+56),0))))&gt;=(Tahmin!$C$4+56),DATE(YEAR((Tahmin!$C$4+56)),MONTH((Tahmin!$C$4+56)),MIN(DAY(Kalemler!$D37),DAY(EOMONTH((Tahmin!$C$4+56),0))))&lt;=(Tahmin!$C$4+62),DATE(YEAR((Tahmin!$C$4+56)),MONTH((Tahmin!$C$4+56)),MIN(DAY(Kalemler!$D37),DAY(EOMONTH((Tahmin!$C$4+56),0))))&gt;=Kalemler!$D37),AND(DATE(YEAR((Tahmin!$C$4+62)),MONTH((Tahmin!$C$4+62)),MIN(DAY(Kalemler!$D37),DAY(EOMONTH((Tahmin!$C$4+62),0))))&gt;=(Tahmin!$C$4+56),DATE(YEAR((Tahmin!$C$4+62)),MONTH((Tahmin!$C$4+62)),MIN(DAY(Kalemler!$D37),DAY(EOMONTH((Tahmin!$C$4+62),0))))&lt;=(Tahmin!$C$4+62),DATE(YEAR((Tahmin!$C$4+62)),MONTH((Tahmin!$C$4+62)),MIN(DAY(Kalemler!$D37),DAY(EOMONTH((Tahmin!$C$4+62),0))))&lt;&gt;DATE(YEAR((Tahmin!$C$4+56)),MONTH((Tahmin!$C$4+56)),MIN(DAY(Kalemler!$D37),DAY(EOMONTH((Tahmin!$C$4+56),0)))),DATE(YEAR((Tahmin!$C$4+62)),MONTH((Tahmin!$C$4+62)),MIN(DAY(Kalemler!$D37),DAY(EOMONTH((Tahmin!$C$4+62),0))))&gt;=Kalemler!$D37)),1,0),IF(AND(Kalemler!$D37&gt;=(Tahmin!$C$4+56),Kalemler!$D37&lt;=(Tahmin!$C$4+62)),1,0))))</f>
        <v>0</v>
      </c>
      <c r="K37" s="0" t="n">
        <f aca="false">IF(OR(Kalemler!$A37="",Kalemler!$C37="",Kalemler!$D37=""),0,Kalemler!$C37*IF(Kalemler!$E37="Haftalık",IF(Kalemler!$D37&lt;=(Tahmin!$C$4+69),1,0),IF(Kalemler!$E37="Aylık",IF(OR(AND(DATE(YEAR((Tahmin!$C$4+63)),MONTH((Tahmin!$C$4+63)),MIN(DAY(Kalemler!$D37),DAY(EOMONTH((Tahmin!$C$4+63),0))))&gt;=(Tahmin!$C$4+63),DATE(YEAR((Tahmin!$C$4+63)),MONTH((Tahmin!$C$4+63)),MIN(DAY(Kalemler!$D37),DAY(EOMONTH((Tahmin!$C$4+63),0))))&lt;=(Tahmin!$C$4+69),DATE(YEAR((Tahmin!$C$4+63)),MONTH((Tahmin!$C$4+63)),MIN(DAY(Kalemler!$D37),DAY(EOMONTH((Tahmin!$C$4+63),0))))&gt;=Kalemler!$D37),AND(DATE(YEAR((Tahmin!$C$4+69)),MONTH((Tahmin!$C$4+69)),MIN(DAY(Kalemler!$D37),DAY(EOMONTH((Tahmin!$C$4+69),0))))&gt;=(Tahmin!$C$4+63),DATE(YEAR((Tahmin!$C$4+69)),MONTH((Tahmin!$C$4+69)),MIN(DAY(Kalemler!$D37),DAY(EOMONTH((Tahmin!$C$4+69),0))))&lt;=(Tahmin!$C$4+69),DATE(YEAR((Tahmin!$C$4+69)),MONTH((Tahmin!$C$4+69)),MIN(DAY(Kalemler!$D37),DAY(EOMONTH((Tahmin!$C$4+69),0))))&lt;&gt;DATE(YEAR((Tahmin!$C$4+63)),MONTH((Tahmin!$C$4+63)),MIN(DAY(Kalemler!$D37),DAY(EOMONTH((Tahmin!$C$4+63),0)))),DATE(YEAR((Tahmin!$C$4+69)),MONTH((Tahmin!$C$4+69)),MIN(DAY(Kalemler!$D37),DAY(EOMONTH((Tahmin!$C$4+69),0))))&gt;=Kalemler!$D37)),1,0),IF(AND(Kalemler!$D37&gt;=(Tahmin!$C$4+63),Kalemler!$D37&lt;=(Tahmin!$C$4+69)),1,0))))</f>
        <v>0</v>
      </c>
      <c r="L37" s="0" t="n">
        <f aca="false">IF(OR(Kalemler!$A37="",Kalemler!$C37="",Kalemler!$D37=""),0,Kalemler!$C37*IF(Kalemler!$E37="Haftalık",IF(Kalemler!$D37&lt;=(Tahmin!$C$4+76),1,0),IF(Kalemler!$E37="Aylık",IF(OR(AND(DATE(YEAR((Tahmin!$C$4+70)),MONTH((Tahmin!$C$4+70)),MIN(DAY(Kalemler!$D37),DAY(EOMONTH((Tahmin!$C$4+70),0))))&gt;=(Tahmin!$C$4+70),DATE(YEAR((Tahmin!$C$4+70)),MONTH((Tahmin!$C$4+70)),MIN(DAY(Kalemler!$D37),DAY(EOMONTH((Tahmin!$C$4+70),0))))&lt;=(Tahmin!$C$4+76),DATE(YEAR((Tahmin!$C$4+70)),MONTH((Tahmin!$C$4+70)),MIN(DAY(Kalemler!$D37),DAY(EOMONTH((Tahmin!$C$4+70),0))))&gt;=Kalemler!$D37),AND(DATE(YEAR((Tahmin!$C$4+76)),MONTH((Tahmin!$C$4+76)),MIN(DAY(Kalemler!$D37),DAY(EOMONTH((Tahmin!$C$4+76),0))))&gt;=(Tahmin!$C$4+70),DATE(YEAR((Tahmin!$C$4+76)),MONTH((Tahmin!$C$4+76)),MIN(DAY(Kalemler!$D37),DAY(EOMONTH((Tahmin!$C$4+76),0))))&lt;=(Tahmin!$C$4+76),DATE(YEAR((Tahmin!$C$4+76)),MONTH((Tahmin!$C$4+76)),MIN(DAY(Kalemler!$D37),DAY(EOMONTH((Tahmin!$C$4+76),0))))&lt;&gt;DATE(YEAR((Tahmin!$C$4+70)),MONTH((Tahmin!$C$4+70)),MIN(DAY(Kalemler!$D37),DAY(EOMONTH((Tahmin!$C$4+70),0)))),DATE(YEAR((Tahmin!$C$4+76)),MONTH((Tahmin!$C$4+76)),MIN(DAY(Kalemler!$D37),DAY(EOMONTH((Tahmin!$C$4+76),0))))&gt;=Kalemler!$D37)),1,0),IF(AND(Kalemler!$D37&gt;=(Tahmin!$C$4+70),Kalemler!$D37&lt;=(Tahmin!$C$4+76)),1,0))))</f>
        <v>0</v>
      </c>
      <c r="M37" s="0" t="n">
        <f aca="false">IF(OR(Kalemler!$A37="",Kalemler!$C37="",Kalemler!$D37=""),0,Kalemler!$C37*IF(Kalemler!$E37="Haftalık",IF(Kalemler!$D37&lt;=(Tahmin!$C$4+83),1,0),IF(Kalemler!$E37="Aylık",IF(OR(AND(DATE(YEAR((Tahmin!$C$4+77)),MONTH((Tahmin!$C$4+77)),MIN(DAY(Kalemler!$D37),DAY(EOMONTH((Tahmin!$C$4+77),0))))&gt;=(Tahmin!$C$4+77),DATE(YEAR((Tahmin!$C$4+77)),MONTH((Tahmin!$C$4+77)),MIN(DAY(Kalemler!$D37),DAY(EOMONTH((Tahmin!$C$4+77),0))))&lt;=(Tahmin!$C$4+83),DATE(YEAR((Tahmin!$C$4+77)),MONTH((Tahmin!$C$4+77)),MIN(DAY(Kalemler!$D37),DAY(EOMONTH((Tahmin!$C$4+77),0))))&gt;=Kalemler!$D37),AND(DATE(YEAR((Tahmin!$C$4+83)),MONTH((Tahmin!$C$4+83)),MIN(DAY(Kalemler!$D37),DAY(EOMONTH((Tahmin!$C$4+83),0))))&gt;=(Tahmin!$C$4+77),DATE(YEAR((Tahmin!$C$4+83)),MONTH((Tahmin!$C$4+83)),MIN(DAY(Kalemler!$D37),DAY(EOMONTH((Tahmin!$C$4+83),0))))&lt;=(Tahmin!$C$4+83),DATE(YEAR((Tahmin!$C$4+83)),MONTH((Tahmin!$C$4+83)),MIN(DAY(Kalemler!$D37),DAY(EOMONTH((Tahmin!$C$4+83),0))))&lt;&gt;DATE(YEAR((Tahmin!$C$4+77)),MONTH((Tahmin!$C$4+77)),MIN(DAY(Kalemler!$D37),DAY(EOMONTH((Tahmin!$C$4+77),0)))),DATE(YEAR((Tahmin!$C$4+83)),MONTH((Tahmin!$C$4+83)),MIN(DAY(Kalemler!$D37),DAY(EOMONTH((Tahmin!$C$4+83),0))))&gt;=Kalemler!$D37)),1,0),IF(AND(Kalemler!$D37&gt;=(Tahmin!$C$4+77),Kalemler!$D37&lt;=(Tahmin!$C$4+83)),1,0))))</f>
        <v>0</v>
      </c>
      <c r="N37" s="0" t="n">
        <f aca="false">IF(OR(Kalemler!$A37="",Kalemler!$C37="",Kalemler!$D37=""),0,Kalemler!$C37*IF(Kalemler!$E37="Haftalık",IF(Kalemler!$D37&lt;=(Tahmin!$C$4+90),1,0),IF(Kalemler!$E37="Aylık",IF(OR(AND(DATE(YEAR((Tahmin!$C$4+84)),MONTH((Tahmin!$C$4+84)),MIN(DAY(Kalemler!$D37),DAY(EOMONTH((Tahmin!$C$4+84),0))))&gt;=(Tahmin!$C$4+84),DATE(YEAR((Tahmin!$C$4+84)),MONTH((Tahmin!$C$4+84)),MIN(DAY(Kalemler!$D37),DAY(EOMONTH((Tahmin!$C$4+84),0))))&lt;=(Tahmin!$C$4+90),DATE(YEAR((Tahmin!$C$4+84)),MONTH((Tahmin!$C$4+84)),MIN(DAY(Kalemler!$D37),DAY(EOMONTH((Tahmin!$C$4+84),0))))&gt;=Kalemler!$D37),AND(DATE(YEAR((Tahmin!$C$4+90)),MONTH((Tahmin!$C$4+90)),MIN(DAY(Kalemler!$D37),DAY(EOMONTH((Tahmin!$C$4+90),0))))&gt;=(Tahmin!$C$4+84),DATE(YEAR((Tahmin!$C$4+90)),MONTH((Tahmin!$C$4+90)),MIN(DAY(Kalemler!$D37),DAY(EOMONTH((Tahmin!$C$4+90),0))))&lt;=(Tahmin!$C$4+90),DATE(YEAR((Tahmin!$C$4+90)),MONTH((Tahmin!$C$4+90)),MIN(DAY(Kalemler!$D37),DAY(EOMONTH((Tahmin!$C$4+90),0))))&lt;&gt;DATE(YEAR((Tahmin!$C$4+84)),MONTH((Tahmin!$C$4+84)),MIN(DAY(Kalemler!$D37),DAY(EOMONTH((Tahmin!$C$4+84),0)))),DATE(YEAR((Tahmin!$C$4+90)),MONTH((Tahmin!$C$4+90)),MIN(DAY(Kalemler!$D37),DAY(EOMONTH((Tahmin!$C$4+90),0))))&gt;=Kalemler!$D37)),1,0),IF(AND(Kalemler!$D37&gt;=(Tahmin!$C$4+84),Kalemler!$D37&lt;=(Tahmin!$C$4+90)),1,0))))</f>
        <v>0</v>
      </c>
    </row>
    <row r="38" customFormat="false" ht="15" hidden="false" customHeight="false" outlineLevel="0" collapsed="false">
      <c r="A38" s="0" t="str">
        <f aca="false">IF(Kalemler!A38="","",Kalemler!A38)</f>
        <v/>
      </c>
      <c r="B38" s="0" t="n">
        <f aca="false">IF(OR(Kalemler!$A38="",Kalemler!$C38="",Kalemler!$D38=""),0,Kalemler!$C38*IF(Kalemler!$E38="Haftalık",IF(Kalemler!$D38&lt;=(Tahmin!$C$4+6),1,0),IF(Kalemler!$E38="Aylık",IF(OR(AND(DATE(YEAR((Tahmin!$C$4+0)),MONTH((Tahmin!$C$4+0)),MIN(DAY(Kalemler!$D38),DAY(EOMONTH((Tahmin!$C$4+0),0))))&gt;=(Tahmin!$C$4+0),DATE(YEAR((Tahmin!$C$4+0)),MONTH((Tahmin!$C$4+0)),MIN(DAY(Kalemler!$D38),DAY(EOMONTH((Tahmin!$C$4+0),0))))&lt;=(Tahmin!$C$4+6),DATE(YEAR((Tahmin!$C$4+0)),MONTH((Tahmin!$C$4+0)),MIN(DAY(Kalemler!$D38),DAY(EOMONTH((Tahmin!$C$4+0),0))))&gt;=Kalemler!$D38),AND(DATE(YEAR((Tahmin!$C$4+6)),MONTH((Tahmin!$C$4+6)),MIN(DAY(Kalemler!$D38),DAY(EOMONTH((Tahmin!$C$4+6),0))))&gt;=(Tahmin!$C$4+0),DATE(YEAR((Tahmin!$C$4+6)),MONTH((Tahmin!$C$4+6)),MIN(DAY(Kalemler!$D38),DAY(EOMONTH((Tahmin!$C$4+6),0))))&lt;=(Tahmin!$C$4+6),DATE(YEAR((Tahmin!$C$4+6)),MONTH((Tahmin!$C$4+6)),MIN(DAY(Kalemler!$D38),DAY(EOMONTH((Tahmin!$C$4+6),0))))&lt;&gt;DATE(YEAR((Tahmin!$C$4+0)),MONTH((Tahmin!$C$4+0)),MIN(DAY(Kalemler!$D38),DAY(EOMONTH((Tahmin!$C$4+0),0)))),DATE(YEAR((Tahmin!$C$4+6)),MONTH((Tahmin!$C$4+6)),MIN(DAY(Kalemler!$D38),DAY(EOMONTH((Tahmin!$C$4+6),0))))&gt;=Kalemler!$D38)),1,0),IF(AND(Kalemler!$D38&gt;=(Tahmin!$C$4+0),Kalemler!$D38&lt;=(Tahmin!$C$4+6)),1,0))))</f>
        <v>0</v>
      </c>
      <c r="C38" s="0" t="n">
        <f aca="false">IF(OR(Kalemler!$A38="",Kalemler!$C38="",Kalemler!$D38=""),0,Kalemler!$C38*IF(Kalemler!$E38="Haftalık",IF(Kalemler!$D38&lt;=(Tahmin!$C$4+13),1,0),IF(Kalemler!$E38="Aylık",IF(OR(AND(DATE(YEAR((Tahmin!$C$4+7)),MONTH((Tahmin!$C$4+7)),MIN(DAY(Kalemler!$D38),DAY(EOMONTH((Tahmin!$C$4+7),0))))&gt;=(Tahmin!$C$4+7),DATE(YEAR((Tahmin!$C$4+7)),MONTH((Tahmin!$C$4+7)),MIN(DAY(Kalemler!$D38),DAY(EOMONTH((Tahmin!$C$4+7),0))))&lt;=(Tahmin!$C$4+13),DATE(YEAR((Tahmin!$C$4+7)),MONTH((Tahmin!$C$4+7)),MIN(DAY(Kalemler!$D38),DAY(EOMONTH((Tahmin!$C$4+7),0))))&gt;=Kalemler!$D38),AND(DATE(YEAR((Tahmin!$C$4+13)),MONTH((Tahmin!$C$4+13)),MIN(DAY(Kalemler!$D38),DAY(EOMONTH((Tahmin!$C$4+13),0))))&gt;=(Tahmin!$C$4+7),DATE(YEAR((Tahmin!$C$4+13)),MONTH((Tahmin!$C$4+13)),MIN(DAY(Kalemler!$D38),DAY(EOMONTH((Tahmin!$C$4+13),0))))&lt;=(Tahmin!$C$4+13),DATE(YEAR((Tahmin!$C$4+13)),MONTH((Tahmin!$C$4+13)),MIN(DAY(Kalemler!$D38),DAY(EOMONTH((Tahmin!$C$4+13),0))))&lt;&gt;DATE(YEAR((Tahmin!$C$4+7)),MONTH((Tahmin!$C$4+7)),MIN(DAY(Kalemler!$D38),DAY(EOMONTH((Tahmin!$C$4+7),0)))),DATE(YEAR((Tahmin!$C$4+13)),MONTH((Tahmin!$C$4+13)),MIN(DAY(Kalemler!$D38),DAY(EOMONTH((Tahmin!$C$4+13),0))))&gt;=Kalemler!$D38)),1,0),IF(AND(Kalemler!$D38&gt;=(Tahmin!$C$4+7),Kalemler!$D38&lt;=(Tahmin!$C$4+13)),1,0))))</f>
        <v>0</v>
      </c>
      <c r="D38" s="0" t="n">
        <f aca="false">IF(OR(Kalemler!$A38="",Kalemler!$C38="",Kalemler!$D38=""),0,Kalemler!$C38*IF(Kalemler!$E38="Haftalık",IF(Kalemler!$D38&lt;=(Tahmin!$C$4+20),1,0),IF(Kalemler!$E38="Aylık",IF(OR(AND(DATE(YEAR((Tahmin!$C$4+14)),MONTH((Tahmin!$C$4+14)),MIN(DAY(Kalemler!$D38),DAY(EOMONTH((Tahmin!$C$4+14),0))))&gt;=(Tahmin!$C$4+14),DATE(YEAR((Tahmin!$C$4+14)),MONTH((Tahmin!$C$4+14)),MIN(DAY(Kalemler!$D38),DAY(EOMONTH((Tahmin!$C$4+14),0))))&lt;=(Tahmin!$C$4+20),DATE(YEAR((Tahmin!$C$4+14)),MONTH((Tahmin!$C$4+14)),MIN(DAY(Kalemler!$D38),DAY(EOMONTH((Tahmin!$C$4+14),0))))&gt;=Kalemler!$D38),AND(DATE(YEAR((Tahmin!$C$4+20)),MONTH((Tahmin!$C$4+20)),MIN(DAY(Kalemler!$D38),DAY(EOMONTH((Tahmin!$C$4+20),0))))&gt;=(Tahmin!$C$4+14),DATE(YEAR((Tahmin!$C$4+20)),MONTH((Tahmin!$C$4+20)),MIN(DAY(Kalemler!$D38),DAY(EOMONTH((Tahmin!$C$4+20),0))))&lt;=(Tahmin!$C$4+20),DATE(YEAR((Tahmin!$C$4+20)),MONTH((Tahmin!$C$4+20)),MIN(DAY(Kalemler!$D38),DAY(EOMONTH((Tahmin!$C$4+20),0))))&lt;&gt;DATE(YEAR((Tahmin!$C$4+14)),MONTH((Tahmin!$C$4+14)),MIN(DAY(Kalemler!$D38),DAY(EOMONTH((Tahmin!$C$4+14),0)))),DATE(YEAR((Tahmin!$C$4+20)),MONTH((Tahmin!$C$4+20)),MIN(DAY(Kalemler!$D38),DAY(EOMONTH((Tahmin!$C$4+20),0))))&gt;=Kalemler!$D38)),1,0),IF(AND(Kalemler!$D38&gt;=(Tahmin!$C$4+14),Kalemler!$D38&lt;=(Tahmin!$C$4+20)),1,0))))</f>
        <v>0</v>
      </c>
      <c r="E38" s="0" t="n">
        <f aca="false">IF(OR(Kalemler!$A38="",Kalemler!$C38="",Kalemler!$D38=""),0,Kalemler!$C38*IF(Kalemler!$E38="Haftalık",IF(Kalemler!$D38&lt;=(Tahmin!$C$4+27),1,0),IF(Kalemler!$E38="Aylık",IF(OR(AND(DATE(YEAR((Tahmin!$C$4+21)),MONTH((Tahmin!$C$4+21)),MIN(DAY(Kalemler!$D38),DAY(EOMONTH((Tahmin!$C$4+21),0))))&gt;=(Tahmin!$C$4+21),DATE(YEAR((Tahmin!$C$4+21)),MONTH((Tahmin!$C$4+21)),MIN(DAY(Kalemler!$D38),DAY(EOMONTH((Tahmin!$C$4+21),0))))&lt;=(Tahmin!$C$4+27),DATE(YEAR((Tahmin!$C$4+21)),MONTH((Tahmin!$C$4+21)),MIN(DAY(Kalemler!$D38),DAY(EOMONTH((Tahmin!$C$4+21),0))))&gt;=Kalemler!$D38),AND(DATE(YEAR((Tahmin!$C$4+27)),MONTH((Tahmin!$C$4+27)),MIN(DAY(Kalemler!$D38),DAY(EOMONTH((Tahmin!$C$4+27),0))))&gt;=(Tahmin!$C$4+21),DATE(YEAR((Tahmin!$C$4+27)),MONTH((Tahmin!$C$4+27)),MIN(DAY(Kalemler!$D38),DAY(EOMONTH((Tahmin!$C$4+27),0))))&lt;=(Tahmin!$C$4+27),DATE(YEAR((Tahmin!$C$4+27)),MONTH((Tahmin!$C$4+27)),MIN(DAY(Kalemler!$D38),DAY(EOMONTH((Tahmin!$C$4+27),0))))&lt;&gt;DATE(YEAR((Tahmin!$C$4+21)),MONTH((Tahmin!$C$4+21)),MIN(DAY(Kalemler!$D38),DAY(EOMONTH((Tahmin!$C$4+21),0)))),DATE(YEAR((Tahmin!$C$4+27)),MONTH((Tahmin!$C$4+27)),MIN(DAY(Kalemler!$D38),DAY(EOMONTH((Tahmin!$C$4+27),0))))&gt;=Kalemler!$D38)),1,0),IF(AND(Kalemler!$D38&gt;=(Tahmin!$C$4+21),Kalemler!$D38&lt;=(Tahmin!$C$4+27)),1,0))))</f>
        <v>0</v>
      </c>
      <c r="F38" s="0" t="n">
        <f aca="false">IF(OR(Kalemler!$A38="",Kalemler!$C38="",Kalemler!$D38=""),0,Kalemler!$C38*IF(Kalemler!$E38="Haftalık",IF(Kalemler!$D38&lt;=(Tahmin!$C$4+34),1,0),IF(Kalemler!$E38="Aylık",IF(OR(AND(DATE(YEAR((Tahmin!$C$4+28)),MONTH((Tahmin!$C$4+28)),MIN(DAY(Kalemler!$D38),DAY(EOMONTH((Tahmin!$C$4+28),0))))&gt;=(Tahmin!$C$4+28),DATE(YEAR((Tahmin!$C$4+28)),MONTH((Tahmin!$C$4+28)),MIN(DAY(Kalemler!$D38),DAY(EOMONTH((Tahmin!$C$4+28),0))))&lt;=(Tahmin!$C$4+34),DATE(YEAR((Tahmin!$C$4+28)),MONTH((Tahmin!$C$4+28)),MIN(DAY(Kalemler!$D38),DAY(EOMONTH((Tahmin!$C$4+28),0))))&gt;=Kalemler!$D38),AND(DATE(YEAR((Tahmin!$C$4+34)),MONTH((Tahmin!$C$4+34)),MIN(DAY(Kalemler!$D38),DAY(EOMONTH((Tahmin!$C$4+34),0))))&gt;=(Tahmin!$C$4+28),DATE(YEAR((Tahmin!$C$4+34)),MONTH((Tahmin!$C$4+34)),MIN(DAY(Kalemler!$D38),DAY(EOMONTH((Tahmin!$C$4+34),0))))&lt;=(Tahmin!$C$4+34),DATE(YEAR((Tahmin!$C$4+34)),MONTH((Tahmin!$C$4+34)),MIN(DAY(Kalemler!$D38),DAY(EOMONTH((Tahmin!$C$4+34),0))))&lt;&gt;DATE(YEAR((Tahmin!$C$4+28)),MONTH((Tahmin!$C$4+28)),MIN(DAY(Kalemler!$D38),DAY(EOMONTH((Tahmin!$C$4+28),0)))),DATE(YEAR((Tahmin!$C$4+34)),MONTH((Tahmin!$C$4+34)),MIN(DAY(Kalemler!$D38),DAY(EOMONTH((Tahmin!$C$4+34),0))))&gt;=Kalemler!$D38)),1,0),IF(AND(Kalemler!$D38&gt;=(Tahmin!$C$4+28),Kalemler!$D38&lt;=(Tahmin!$C$4+34)),1,0))))</f>
        <v>0</v>
      </c>
      <c r="G38" s="0" t="n">
        <f aca="false">IF(OR(Kalemler!$A38="",Kalemler!$C38="",Kalemler!$D38=""),0,Kalemler!$C38*IF(Kalemler!$E38="Haftalık",IF(Kalemler!$D38&lt;=(Tahmin!$C$4+41),1,0),IF(Kalemler!$E38="Aylık",IF(OR(AND(DATE(YEAR((Tahmin!$C$4+35)),MONTH((Tahmin!$C$4+35)),MIN(DAY(Kalemler!$D38),DAY(EOMONTH((Tahmin!$C$4+35),0))))&gt;=(Tahmin!$C$4+35),DATE(YEAR((Tahmin!$C$4+35)),MONTH((Tahmin!$C$4+35)),MIN(DAY(Kalemler!$D38),DAY(EOMONTH((Tahmin!$C$4+35),0))))&lt;=(Tahmin!$C$4+41),DATE(YEAR((Tahmin!$C$4+35)),MONTH((Tahmin!$C$4+35)),MIN(DAY(Kalemler!$D38),DAY(EOMONTH((Tahmin!$C$4+35),0))))&gt;=Kalemler!$D38),AND(DATE(YEAR((Tahmin!$C$4+41)),MONTH((Tahmin!$C$4+41)),MIN(DAY(Kalemler!$D38),DAY(EOMONTH((Tahmin!$C$4+41),0))))&gt;=(Tahmin!$C$4+35),DATE(YEAR((Tahmin!$C$4+41)),MONTH((Tahmin!$C$4+41)),MIN(DAY(Kalemler!$D38),DAY(EOMONTH((Tahmin!$C$4+41),0))))&lt;=(Tahmin!$C$4+41),DATE(YEAR((Tahmin!$C$4+41)),MONTH((Tahmin!$C$4+41)),MIN(DAY(Kalemler!$D38),DAY(EOMONTH((Tahmin!$C$4+41),0))))&lt;&gt;DATE(YEAR((Tahmin!$C$4+35)),MONTH((Tahmin!$C$4+35)),MIN(DAY(Kalemler!$D38),DAY(EOMONTH((Tahmin!$C$4+35),0)))),DATE(YEAR((Tahmin!$C$4+41)),MONTH((Tahmin!$C$4+41)),MIN(DAY(Kalemler!$D38),DAY(EOMONTH((Tahmin!$C$4+41),0))))&gt;=Kalemler!$D38)),1,0),IF(AND(Kalemler!$D38&gt;=(Tahmin!$C$4+35),Kalemler!$D38&lt;=(Tahmin!$C$4+41)),1,0))))</f>
        <v>0</v>
      </c>
      <c r="H38" s="0" t="n">
        <f aca="false">IF(OR(Kalemler!$A38="",Kalemler!$C38="",Kalemler!$D38=""),0,Kalemler!$C38*IF(Kalemler!$E38="Haftalık",IF(Kalemler!$D38&lt;=(Tahmin!$C$4+48),1,0),IF(Kalemler!$E38="Aylık",IF(OR(AND(DATE(YEAR((Tahmin!$C$4+42)),MONTH((Tahmin!$C$4+42)),MIN(DAY(Kalemler!$D38),DAY(EOMONTH((Tahmin!$C$4+42),0))))&gt;=(Tahmin!$C$4+42),DATE(YEAR((Tahmin!$C$4+42)),MONTH((Tahmin!$C$4+42)),MIN(DAY(Kalemler!$D38),DAY(EOMONTH((Tahmin!$C$4+42),0))))&lt;=(Tahmin!$C$4+48),DATE(YEAR((Tahmin!$C$4+42)),MONTH((Tahmin!$C$4+42)),MIN(DAY(Kalemler!$D38),DAY(EOMONTH((Tahmin!$C$4+42),0))))&gt;=Kalemler!$D38),AND(DATE(YEAR((Tahmin!$C$4+48)),MONTH((Tahmin!$C$4+48)),MIN(DAY(Kalemler!$D38),DAY(EOMONTH((Tahmin!$C$4+48),0))))&gt;=(Tahmin!$C$4+42),DATE(YEAR((Tahmin!$C$4+48)),MONTH((Tahmin!$C$4+48)),MIN(DAY(Kalemler!$D38),DAY(EOMONTH((Tahmin!$C$4+48),0))))&lt;=(Tahmin!$C$4+48),DATE(YEAR((Tahmin!$C$4+48)),MONTH((Tahmin!$C$4+48)),MIN(DAY(Kalemler!$D38),DAY(EOMONTH((Tahmin!$C$4+48),0))))&lt;&gt;DATE(YEAR((Tahmin!$C$4+42)),MONTH((Tahmin!$C$4+42)),MIN(DAY(Kalemler!$D38),DAY(EOMONTH((Tahmin!$C$4+42),0)))),DATE(YEAR((Tahmin!$C$4+48)),MONTH((Tahmin!$C$4+48)),MIN(DAY(Kalemler!$D38),DAY(EOMONTH((Tahmin!$C$4+48),0))))&gt;=Kalemler!$D38)),1,0),IF(AND(Kalemler!$D38&gt;=(Tahmin!$C$4+42),Kalemler!$D38&lt;=(Tahmin!$C$4+48)),1,0))))</f>
        <v>0</v>
      </c>
      <c r="I38" s="0" t="n">
        <f aca="false">IF(OR(Kalemler!$A38="",Kalemler!$C38="",Kalemler!$D38=""),0,Kalemler!$C38*IF(Kalemler!$E38="Haftalık",IF(Kalemler!$D38&lt;=(Tahmin!$C$4+55),1,0),IF(Kalemler!$E38="Aylık",IF(OR(AND(DATE(YEAR((Tahmin!$C$4+49)),MONTH((Tahmin!$C$4+49)),MIN(DAY(Kalemler!$D38),DAY(EOMONTH((Tahmin!$C$4+49),0))))&gt;=(Tahmin!$C$4+49),DATE(YEAR((Tahmin!$C$4+49)),MONTH((Tahmin!$C$4+49)),MIN(DAY(Kalemler!$D38),DAY(EOMONTH((Tahmin!$C$4+49),0))))&lt;=(Tahmin!$C$4+55),DATE(YEAR((Tahmin!$C$4+49)),MONTH((Tahmin!$C$4+49)),MIN(DAY(Kalemler!$D38),DAY(EOMONTH((Tahmin!$C$4+49),0))))&gt;=Kalemler!$D38),AND(DATE(YEAR((Tahmin!$C$4+55)),MONTH((Tahmin!$C$4+55)),MIN(DAY(Kalemler!$D38),DAY(EOMONTH((Tahmin!$C$4+55),0))))&gt;=(Tahmin!$C$4+49),DATE(YEAR((Tahmin!$C$4+55)),MONTH((Tahmin!$C$4+55)),MIN(DAY(Kalemler!$D38),DAY(EOMONTH((Tahmin!$C$4+55),0))))&lt;=(Tahmin!$C$4+55),DATE(YEAR((Tahmin!$C$4+55)),MONTH((Tahmin!$C$4+55)),MIN(DAY(Kalemler!$D38),DAY(EOMONTH((Tahmin!$C$4+55),0))))&lt;&gt;DATE(YEAR((Tahmin!$C$4+49)),MONTH((Tahmin!$C$4+49)),MIN(DAY(Kalemler!$D38),DAY(EOMONTH((Tahmin!$C$4+49),0)))),DATE(YEAR((Tahmin!$C$4+55)),MONTH((Tahmin!$C$4+55)),MIN(DAY(Kalemler!$D38),DAY(EOMONTH((Tahmin!$C$4+55),0))))&gt;=Kalemler!$D38)),1,0),IF(AND(Kalemler!$D38&gt;=(Tahmin!$C$4+49),Kalemler!$D38&lt;=(Tahmin!$C$4+55)),1,0))))</f>
        <v>0</v>
      </c>
      <c r="J38" s="0" t="n">
        <f aca="false">IF(OR(Kalemler!$A38="",Kalemler!$C38="",Kalemler!$D38=""),0,Kalemler!$C38*IF(Kalemler!$E38="Haftalık",IF(Kalemler!$D38&lt;=(Tahmin!$C$4+62),1,0),IF(Kalemler!$E38="Aylık",IF(OR(AND(DATE(YEAR((Tahmin!$C$4+56)),MONTH((Tahmin!$C$4+56)),MIN(DAY(Kalemler!$D38),DAY(EOMONTH((Tahmin!$C$4+56),0))))&gt;=(Tahmin!$C$4+56),DATE(YEAR((Tahmin!$C$4+56)),MONTH((Tahmin!$C$4+56)),MIN(DAY(Kalemler!$D38),DAY(EOMONTH((Tahmin!$C$4+56),0))))&lt;=(Tahmin!$C$4+62),DATE(YEAR((Tahmin!$C$4+56)),MONTH((Tahmin!$C$4+56)),MIN(DAY(Kalemler!$D38),DAY(EOMONTH((Tahmin!$C$4+56),0))))&gt;=Kalemler!$D38),AND(DATE(YEAR((Tahmin!$C$4+62)),MONTH((Tahmin!$C$4+62)),MIN(DAY(Kalemler!$D38),DAY(EOMONTH((Tahmin!$C$4+62),0))))&gt;=(Tahmin!$C$4+56),DATE(YEAR((Tahmin!$C$4+62)),MONTH((Tahmin!$C$4+62)),MIN(DAY(Kalemler!$D38),DAY(EOMONTH((Tahmin!$C$4+62),0))))&lt;=(Tahmin!$C$4+62),DATE(YEAR((Tahmin!$C$4+62)),MONTH((Tahmin!$C$4+62)),MIN(DAY(Kalemler!$D38),DAY(EOMONTH((Tahmin!$C$4+62),0))))&lt;&gt;DATE(YEAR((Tahmin!$C$4+56)),MONTH((Tahmin!$C$4+56)),MIN(DAY(Kalemler!$D38),DAY(EOMONTH((Tahmin!$C$4+56),0)))),DATE(YEAR((Tahmin!$C$4+62)),MONTH((Tahmin!$C$4+62)),MIN(DAY(Kalemler!$D38),DAY(EOMONTH((Tahmin!$C$4+62),0))))&gt;=Kalemler!$D38)),1,0),IF(AND(Kalemler!$D38&gt;=(Tahmin!$C$4+56),Kalemler!$D38&lt;=(Tahmin!$C$4+62)),1,0))))</f>
        <v>0</v>
      </c>
      <c r="K38" s="0" t="n">
        <f aca="false">IF(OR(Kalemler!$A38="",Kalemler!$C38="",Kalemler!$D38=""),0,Kalemler!$C38*IF(Kalemler!$E38="Haftalık",IF(Kalemler!$D38&lt;=(Tahmin!$C$4+69),1,0),IF(Kalemler!$E38="Aylık",IF(OR(AND(DATE(YEAR((Tahmin!$C$4+63)),MONTH((Tahmin!$C$4+63)),MIN(DAY(Kalemler!$D38),DAY(EOMONTH((Tahmin!$C$4+63),0))))&gt;=(Tahmin!$C$4+63),DATE(YEAR((Tahmin!$C$4+63)),MONTH((Tahmin!$C$4+63)),MIN(DAY(Kalemler!$D38),DAY(EOMONTH((Tahmin!$C$4+63),0))))&lt;=(Tahmin!$C$4+69),DATE(YEAR((Tahmin!$C$4+63)),MONTH((Tahmin!$C$4+63)),MIN(DAY(Kalemler!$D38),DAY(EOMONTH((Tahmin!$C$4+63),0))))&gt;=Kalemler!$D38),AND(DATE(YEAR((Tahmin!$C$4+69)),MONTH((Tahmin!$C$4+69)),MIN(DAY(Kalemler!$D38),DAY(EOMONTH((Tahmin!$C$4+69),0))))&gt;=(Tahmin!$C$4+63),DATE(YEAR((Tahmin!$C$4+69)),MONTH((Tahmin!$C$4+69)),MIN(DAY(Kalemler!$D38),DAY(EOMONTH((Tahmin!$C$4+69),0))))&lt;=(Tahmin!$C$4+69),DATE(YEAR((Tahmin!$C$4+69)),MONTH((Tahmin!$C$4+69)),MIN(DAY(Kalemler!$D38),DAY(EOMONTH((Tahmin!$C$4+69),0))))&lt;&gt;DATE(YEAR((Tahmin!$C$4+63)),MONTH((Tahmin!$C$4+63)),MIN(DAY(Kalemler!$D38),DAY(EOMONTH((Tahmin!$C$4+63),0)))),DATE(YEAR((Tahmin!$C$4+69)),MONTH((Tahmin!$C$4+69)),MIN(DAY(Kalemler!$D38),DAY(EOMONTH((Tahmin!$C$4+69),0))))&gt;=Kalemler!$D38)),1,0),IF(AND(Kalemler!$D38&gt;=(Tahmin!$C$4+63),Kalemler!$D38&lt;=(Tahmin!$C$4+69)),1,0))))</f>
        <v>0</v>
      </c>
      <c r="L38" s="0" t="n">
        <f aca="false">IF(OR(Kalemler!$A38="",Kalemler!$C38="",Kalemler!$D38=""),0,Kalemler!$C38*IF(Kalemler!$E38="Haftalık",IF(Kalemler!$D38&lt;=(Tahmin!$C$4+76),1,0),IF(Kalemler!$E38="Aylık",IF(OR(AND(DATE(YEAR((Tahmin!$C$4+70)),MONTH((Tahmin!$C$4+70)),MIN(DAY(Kalemler!$D38),DAY(EOMONTH((Tahmin!$C$4+70),0))))&gt;=(Tahmin!$C$4+70),DATE(YEAR((Tahmin!$C$4+70)),MONTH((Tahmin!$C$4+70)),MIN(DAY(Kalemler!$D38),DAY(EOMONTH((Tahmin!$C$4+70),0))))&lt;=(Tahmin!$C$4+76),DATE(YEAR((Tahmin!$C$4+70)),MONTH((Tahmin!$C$4+70)),MIN(DAY(Kalemler!$D38),DAY(EOMONTH((Tahmin!$C$4+70),0))))&gt;=Kalemler!$D38),AND(DATE(YEAR((Tahmin!$C$4+76)),MONTH((Tahmin!$C$4+76)),MIN(DAY(Kalemler!$D38),DAY(EOMONTH((Tahmin!$C$4+76),0))))&gt;=(Tahmin!$C$4+70),DATE(YEAR((Tahmin!$C$4+76)),MONTH((Tahmin!$C$4+76)),MIN(DAY(Kalemler!$D38),DAY(EOMONTH((Tahmin!$C$4+76),0))))&lt;=(Tahmin!$C$4+76),DATE(YEAR((Tahmin!$C$4+76)),MONTH((Tahmin!$C$4+76)),MIN(DAY(Kalemler!$D38),DAY(EOMONTH((Tahmin!$C$4+76),0))))&lt;&gt;DATE(YEAR((Tahmin!$C$4+70)),MONTH((Tahmin!$C$4+70)),MIN(DAY(Kalemler!$D38),DAY(EOMONTH((Tahmin!$C$4+70),0)))),DATE(YEAR((Tahmin!$C$4+76)),MONTH((Tahmin!$C$4+76)),MIN(DAY(Kalemler!$D38),DAY(EOMONTH((Tahmin!$C$4+76),0))))&gt;=Kalemler!$D38)),1,0),IF(AND(Kalemler!$D38&gt;=(Tahmin!$C$4+70),Kalemler!$D38&lt;=(Tahmin!$C$4+76)),1,0))))</f>
        <v>0</v>
      </c>
      <c r="M38" s="0" t="n">
        <f aca="false">IF(OR(Kalemler!$A38="",Kalemler!$C38="",Kalemler!$D38=""),0,Kalemler!$C38*IF(Kalemler!$E38="Haftalık",IF(Kalemler!$D38&lt;=(Tahmin!$C$4+83),1,0),IF(Kalemler!$E38="Aylık",IF(OR(AND(DATE(YEAR((Tahmin!$C$4+77)),MONTH((Tahmin!$C$4+77)),MIN(DAY(Kalemler!$D38),DAY(EOMONTH((Tahmin!$C$4+77),0))))&gt;=(Tahmin!$C$4+77),DATE(YEAR((Tahmin!$C$4+77)),MONTH((Tahmin!$C$4+77)),MIN(DAY(Kalemler!$D38),DAY(EOMONTH((Tahmin!$C$4+77),0))))&lt;=(Tahmin!$C$4+83),DATE(YEAR((Tahmin!$C$4+77)),MONTH((Tahmin!$C$4+77)),MIN(DAY(Kalemler!$D38),DAY(EOMONTH((Tahmin!$C$4+77),0))))&gt;=Kalemler!$D38),AND(DATE(YEAR((Tahmin!$C$4+83)),MONTH((Tahmin!$C$4+83)),MIN(DAY(Kalemler!$D38),DAY(EOMONTH((Tahmin!$C$4+83),0))))&gt;=(Tahmin!$C$4+77),DATE(YEAR((Tahmin!$C$4+83)),MONTH((Tahmin!$C$4+83)),MIN(DAY(Kalemler!$D38),DAY(EOMONTH((Tahmin!$C$4+83),0))))&lt;=(Tahmin!$C$4+83),DATE(YEAR((Tahmin!$C$4+83)),MONTH((Tahmin!$C$4+83)),MIN(DAY(Kalemler!$D38),DAY(EOMONTH((Tahmin!$C$4+83),0))))&lt;&gt;DATE(YEAR((Tahmin!$C$4+77)),MONTH((Tahmin!$C$4+77)),MIN(DAY(Kalemler!$D38),DAY(EOMONTH((Tahmin!$C$4+77),0)))),DATE(YEAR((Tahmin!$C$4+83)),MONTH((Tahmin!$C$4+83)),MIN(DAY(Kalemler!$D38),DAY(EOMONTH((Tahmin!$C$4+83),0))))&gt;=Kalemler!$D38)),1,0),IF(AND(Kalemler!$D38&gt;=(Tahmin!$C$4+77),Kalemler!$D38&lt;=(Tahmin!$C$4+83)),1,0))))</f>
        <v>0</v>
      </c>
      <c r="N38" s="0" t="n">
        <f aca="false">IF(OR(Kalemler!$A38="",Kalemler!$C38="",Kalemler!$D38=""),0,Kalemler!$C38*IF(Kalemler!$E38="Haftalık",IF(Kalemler!$D38&lt;=(Tahmin!$C$4+90),1,0),IF(Kalemler!$E38="Aylık",IF(OR(AND(DATE(YEAR((Tahmin!$C$4+84)),MONTH((Tahmin!$C$4+84)),MIN(DAY(Kalemler!$D38),DAY(EOMONTH((Tahmin!$C$4+84),0))))&gt;=(Tahmin!$C$4+84),DATE(YEAR((Tahmin!$C$4+84)),MONTH((Tahmin!$C$4+84)),MIN(DAY(Kalemler!$D38),DAY(EOMONTH((Tahmin!$C$4+84),0))))&lt;=(Tahmin!$C$4+90),DATE(YEAR((Tahmin!$C$4+84)),MONTH((Tahmin!$C$4+84)),MIN(DAY(Kalemler!$D38),DAY(EOMONTH((Tahmin!$C$4+84),0))))&gt;=Kalemler!$D38),AND(DATE(YEAR((Tahmin!$C$4+90)),MONTH((Tahmin!$C$4+90)),MIN(DAY(Kalemler!$D38),DAY(EOMONTH((Tahmin!$C$4+90),0))))&gt;=(Tahmin!$C$4+84),DATE(YEAR((Tahmin!$C$4+90)),MONTH((Tahmin!$C$4+90)),MIN(DAY(Kalemler!$D38),DAY(EOMONTH((Tahmin!$C$4+90),0))))&lt;=(Tahmin!$C$4+90),DATE(YEAR((Tahmin!$C$4+90)),MONTH((Tahmin!$C$4+90)),MIN(DAY(Kalemler!$D38),DAY(EOMONTH((Tahmin!$C$4+90),0))))&lt;&gt;DATE(YEAR((Tahmin!$C$4+84)),MONTH((Tahmin!$C$4+84)),MIN(DAY(Kalemler!$D38),DAY(EOMONTH((Tahmin!$C$4+84),0)))),DATE(YEAR((Tahmin!$C$4+90)),MONTH((Tahmin!$C$4+90)),MIN(DAY(Kalemler!$D38),DAY(EOMONTH((Tahmin!$C$4+90),0))))&gt;=Kalemler!$D38)),1,0),IF(AND(Kalemler!$D38&gt;=(Tahmin!$C$4+84),Kalemler!$D38&lt;=(Tahmin!$C$4+90)),1,0))))</f>
        <v>0</v>
      </c>
    </row>
    <row r="39" customFormat="false" ht="15" hidden="false" customHeight="false" outlineLevel="0" collapsed="false">
      <c r="A39" s="0" t="str">
        <f aca="false">IF(Kalemler!A39="","",Kalemler!A39)</f>
        <v/>
      </c>
      <c r="B39" s="0" t="n">
        <f aca="false">IF(OR(Kalemler!$A39="",Kalemler!$C39="",Kalemler!$D39=""),0,Kalemler!$C39*IF(Kalemler!$E39="Haftalık",IF(Kalemler!$D39&lt;=(Tahmin!$C$4+6),1,0),IF(Kalemler!$E39="Aylık",IF(OR(AND(DATE(YEAR((Tahmin!$C$4+0)),MONTH((Tahmin!$C$4+0)),MIN(DAY(Kalemler!$D39),DAY(EOMONTH((Tahmin!$C$4+0),0))))&gt;=(Tahmin!$C$4+0),DATE(YEAR((Tahmin!$C$4+0)),MONTH((Tahmin!$C$4+0)),MIN(DAY(Kalemler!$D39),DAY(EOMONTH((Tahmin!$C$4+0),0))))&lt;=(Tahmin!$C$4+6),DATE(YEAR((Tahmin!$C$4+0)),MONTH((Tahmin!$C$4+0)),MIN(DAY(Kalemler!$D39),DAY(EOMONTH((Tahmin!$C$4+0),0))))&gt;=Kalemler!$D39),AND(DATE(YEAR((Tahmin!$C$4+6)),MONTH((Tahmin!$C$4+6)),MIN(DAY(Kalemler!$D39),DAY(EOMONTH((Tahmin!$C$4+6),0))))&gt;=(Tahmin!$C$4+0),DATE(YEAR((Tahmin!$C$4+6)),MONTH((Tahmin!$C$4+6)),MIN(DAY(Kalemler!$D39),DAY(EOMONTH((Tahmin!$C$4+6),0))))&lt;=(Tahmin!$C$4+6),DATE(YEAR((Tahmin!$C$4+6)),MONTH((Tahmin!$C$4+6)),MIN(DAY(Kalemler!$D39),DAY(EOMONTH((Tahmin!$C$4+6),0))))&lt;&gt;DATE(YEAR((Tahmin!$C$4+0)),MONTH((Tahmin!$C$4+0)),MIN(DAY(Kalemler!$D39),DAY(EOMONTH((Tahmin!$C$4+0),0)))),DATE(YEAR((Tahmin!$C$4+6)),MONTH((Tahmin!$C$4+6)),MIN(DAY(Kalemler!$D39),DAY(EOMONTH((Tahmin!$C$4+6),0))))&gt;=Kalemler!$D39)),1,0),IF(AND(Kalemler!$D39&gt;=(Tahmin!$C$4+0),Kalemler!$D39&lt;=(Tahmin!$C$4+6)),1,0))))</f>
        <v>0</v>
      </c>
      <c r="C39" s="0" t="n">
        <f aca="false">IF(OR(Kalemler!$A39="",Kalemler!$C39="",Kalemler!$D39=""),0,Kalemler!$C39*IF(Kalemler!$E39="Haftalık",IF(Kalemler!$D39&lt;=(Tahmin!$C$4+13),1,0),IF(Kalemler!$E39="Aylık",IF(OR(AND(DATE(YEAR((Tahmin!$C$4+7)),MONTH((Tahmin!$C$4+7)),MIN(DAY(Kalemler!$D39),DAY(EOMONTH((Tahmin!$C$4+7),0))))&gt;=(Tahmin!$C$4+7),DATE(YEAR((Tahmin!$C$4+7)),MONTH((Tahmin!$C$4+7)),MIN(DAY(Kalemler!$D39),DAY(EOMONTH((Tahmin!$C$4+7),0))))&lt;=(Tahmin!$C$4+13),DATE(YEAR((Tahmin!$C$4+7)),MONTH((Tahmin!$C$4+7)),MIN(DAY(Kalemler!$D39),DAY(EOMONTH((Tahmin!$C$4+7),0))))&gt;=Kalemler!$D39),AND(DATE(YEAR((Tahmin!$C$4+13)),MONTH((Tahmin!$C$4+13)),MIN(DAY(Kalemler!$D39),DAY(EOMONTH((Tahmin!$C$4+13),0))))&gt;=(Tahmin!$C$4+7),DATE(YEAR((Tahmin!$C$4+13)),MONTH((Tahmin!$C$4+13)),MIN(DAY(Kalemler!$D39),DAY(EOMONTH((Tahmin!$C$4+13),0))))&lt;=(Tahmin!$C$4+13),DATE(YEAR((Tahmin!$C$4+13)),MONTH((Tahmin!$C$4+13)),MIN(DAY(Kalemler!$D39),DAY(EOMONTH((Tahmin!$C$4+13),0))))&lt;&gt;DATE(YEAR((Tahmin!$C$4+7)),MONTH((Tahmin!$C$4+7)),MIN(DAY(Kalemler!$D39),DAY(EOMONTH((Tahmin!$C$4+7),0)))),DATE(YEAR((Tahmin!$C$4+13)),MONTH((Tahmin!$C$4+13)),MIN(DAY(Kalemler!$D39),DAY(EOMONTH((Tahmin!$C$4+13),0))))&gt;=Kalemler!$D39)),1,0),IF(AND(Kalemler!$D39&gt;=(Tahmin!$C$4+7),Kalemler!$D39&lt;=(Tahmin!$C$4+13)),1,0))))</f>
        <v>0</v>
      </c>
      <c r="D39" s="0" t="n">
        <f aca="false">IF(OR(Kalemler!$A39="",Kalemler!$C39="",Kalemler!$D39=""),0,Kalemler!$C39*IF(Kalemler!$E39="Haftalık",IF(Kalemler!$D39&lt;=(Tahmin!$C$4+20),1,0),IF(Kalemler!$E39="Aylık",IF(OR(AND(DATE(YEAR((Tahmin!$C$4+14)),MONTH((Tahmin!$C$4+14)),MIN(DAY(Kalemler!$D39),DAY(EOMONTH((Tahmin!$C$4+14),0))))&gt;=(Tahmin!$C$4+14),DATE(YEAR((Tahmin!$C$4+14)),MONTH((Tahmin!$C$4+14)),MIN(DAY(Kalemler!$D39),DAY(EOMONTH((Tahmin!$C$4+14),0))))&lt;=(Tahmin!$C$4+20),DATE(YEAR((Tahmin!$C$4+14)),MONTH((Tahmin!$C$4+14)),MIN(DAY(Kalemler!$D39),DAY(EOMONTH((Tahmin!$C$4+14),0))))&gt;=Kalemler!$D39),AND(DATE(YEAR((Tahmin!$C$4+20)),MONTH((Tahmin!$C$4+20)),MIN(DAY(Kalemler!$D39),DAY(EOMONTH((Tahmin!$C$4+20),0))))&gt;=(Tahmin!$C$4+14),DATE(YEAR((Tahmin!$C$4+20)),MONTH((Tahmin!$C$4+20)),MIN(DAY(Kalemler!$D39),DAY(EOMONTH((Tahmin!$C$4+20),0))))&lt;=(Tahmin!$C$4+20),DATE(YEAR((Tahmin!$C$4+20)),MONTH((Tahmin!$C$4+20)),MIN(DAY(Kalemler!$D39),DAY(EOMONTH((Tahmin!$C$4+20),0))))&lt;&gt;DATE(YEAR((Tahmin!$C$4+14)),MONTH((Tahmin!$C$4+14)),MIN(DAY(Kalemler!$D39),DAY(EOMONTH((Tahmin!$C$4+14),0)))),DATE(YEAR((Tahmin!$C$4+20)),MONTH((Tahmin!$C$4+20)),MIN(DAY(Kalemler!$D39),DAY(EOMONTH((Tahmin!$C$4+20),0))))&gt;=Kalemler!$D39)),1,0),IF(AND(Kalemler!$D39&gt;=(Tahmin!$C$4+14),Kalemler!$D39&lt;=(Tahmin!$C$4+20)),1,0))))</f>
        <v>0</v>
      </c>
      <c r="E39" s="0" t="n">
        <f aca="false">IF(OR(Kalemler!$A39="",Kalemler!$C39="",Kalemler!$D39=""),0,Kalemler!$C39*IF(Kalemler!$E39="Haftalık",IF(Kalemler!$D39&lt;=(Tahmin!$C$4+27),1,0),IF(Kalemler!$E39="Aylık",IF(OR(AND(DATE(YEAR((Tahmin!$C$4+21)),MONTH((Tahmin!$C$4+21)),MIN(DAY(Kalemler!$D39),DAY(EOMONTH((Tahmin!$C$4+21),0))))&gt;=(Tahmin!$C$4+21),DATE(YEAR((Tahmin!$C$4+21)),MONTH((Tahmin!$C$4+21)),MIN(DAY(Kalemler!$D39),DAY(EOMONTH((Tahmin!$C$4+21),0))))&lt;=(Tahmin!$C$4+27),DATE(YEAR((Tahmin!$C$4+21)),MONTH((Tahmin!$C$4+21)),MIN(DAY(Kalemler!$D39),DAY(EOMONTH((Tahmin!$C$4+21),0))))&gt;=Kalemler!$D39),AND(DATE(YEAR((Tahmin!$C$4+27)),MONTH((Tahmin!$C$4+27)),MIN(DAY(Kalemler!$D39),DAY(EOMONTH((Tahmin!$C$4+27),0))))&gt;=(Tahmin!$C$4+21),DATE(YEAR((Tahmin!$C$4+27)),MONTH((Tahmin!$C$4+27)),MIN(DAY(Kalemler!$D39),DAY(EOMONTH((Tahmin!$C$4+27),0))))&lt;=(Tahmin!$C$4+27),DATE(YEAR((Tahmin!$C$4+27)),MONTH((Tahmin!$C$4+27)),MIN(DAY(Kalemler!$D39),DAY(EOMONTH((Tahmin!$C$4+27),0))))&lt;&gt;DATE(YEAR((Tahmin!$C$4+21)),MONTH((Tahmin!$C$4+21)),MIN(DAY(Kalemler!$D39),DAY(EOMONTH((Tahmin!$C$4+21),0)))),DATE(YEAR((Tahmin!$C$4+27)),MONTH((Tahmin!$C$4+27)),MIN(DAY(Kalemler!$D39),DAY(EOMONTH((Tahmin!$C$4+27),0))))&gt;=Kalemler!$D39)),1,0),IF(AND(Kalemler!$D39&gt;=(Tahmin!$C$4+21),Kalemler!$D39&lt;=(Tahmin!$C$4+27)),1,0))))</f>
        <v>0</v>
      </c>
      <c r="F39" s="0" t="n">
        <f aca="false">IF(OR(Kalemler!$A39="",Kalemler!$C39="",Kalemler!$D39=""),0,Kalemler!$C39*IF(Kalemler!$E39="Haftalık",IF(Kalemler!$D39&lt;=(Tahmin!$C$4+34),1,0),IF(Kalemler!$E39="Aylık",IF(OR(AND(DATE(YEAR((Tahmin!$C$4+28)),MONTH((Tahmin!$C$4+28)),MIN(DAY(Kalemler!$D39),DAY(EOMONTH((Tahmin!$C$4+28),0))))&gt;=(Tahmin!$C$4+28),DATE(YEAR((Tahmin!$C$4+28)),MONTH((Tahmin!$C$4+28)),MIN(DAY(Kalemler!$D39),DAY(EOMONTH((Tahmin!$C$4+28),0))))&lt;=(Tahmin!$C$4+34),DATE(YEAR((Tahmin!$C$4+28)),MONTH((Tahmin!$C$4+28)),MIN(DAY(Kalemler!$D39),DAY(EOMONTH((Tahmin!$C$4+28),0))))&gt;=Kalemler!$D39),AND(DATE(YEAR((Tahmin!$C$4+34)),MONTH((Tahmin!$C$4+34)),MIN(DAY(Kalemler!$D39),DAY(EOMONTH((Tahmin!$C$4+34),0))))&gt;=(Tahmin!$C$4+28),DATE(YEAR((Tahmin!$C$4+34)),MONTH((Tahmin!$C$4+34)),MIN(DAY(Kalemler!$D39),DAY(EOMONTH((Tahmin!$C$4+34),0))))&lt;=(Tahmin!$C$4+34),DATE(YEAR((Tahmin!$C$4+34)),MONTH((Tahmin!$C$4+34)),MIN(DAY(Kalemler!$D39),DAY(EOMONTH((Tahmin!$C$4+34),0))))&lt;&gt;DATE(YEAR((Tahmin!$C$4+28)),MONTH((Tahmin!$C$4+28)),MIN(DAY(Kalemler!$D39),DAY(EOMONTH((Tahmin!$C$4+28),0)))),DATE(YEAR((Tahmin!$C$4+34)),MONTH((Tahmin!$C$4+34)),MIN(DAY(Kalemler!$D39),DAY(EOMONTH((Tahmin!$C$4+34),0))))&gt;=Kalemler!$D39)),1,0),IF(AND(Kalemler!$D39&gt;=(Tahmin!$C$4+28),Kalemler!$D39&lt;=(Tahmin!$C$4+34)),1,0))))</f>
        <v>0</v>
      </c>
      <c r="G39" s="0" t="n">
        <f aca="false">IF(OR(Kalemler!$A39="",Kalemler!$C39="",Kalemler!$D39=""),0,Kalemler!$C39*IF(Kalemler!$E39="Haftalık",IF(Kalemler!$D39&lt;=(Tahmin!$C$4+41),1,0),IF(Kalemler!$E39="Aylık",IF(OR(AND(DATE(YEAR((Tahmin!$C$4+35)),MONTH((Tahmin!$C$4+35)),MIN(DAY(Kalemler!$D39),DAY(EOMONTH((Tahmin!$C$4+35),0))))&gt;=(Tahmin!$C$4+35),DATE(YEAR((Tahmin!$C$4+35)),MONTH((Tahmin!$C$4+35)),MIN(DAY(Kalemler!$D39),DAY(EOMONTH((Tahmin!$C$4+35),0))))&lt;=(Tahmin!$C$4+41),DATE(YEAR((Tahmin!$C$4+35)),MONTH((Tahmin!$C$4+35)),MIN(DAY(Kalemler!$D39),DAY(EOMONTH((Tahmin!$C$4+35),0))))&gt;=Kalemler!$D39),AND(DATE(YEAR((Tahmin!$C$4+41)),MONTH((Tahmin!$C$4+41)),MIN(DAY(Kalemler!$D39),DAY(EOMONTH((Tahmin!$C$4+41),0))))&gt;=(Tahmin!$C$4+35),DATE(YEAR((Tahmin!$C$4+41)),MONTH((Tahmin!$C$4+41)),MIN(DAY(Kalemler!$D39),DAY(EOMONTH((Tahmin!$C$4+41),0))))&lt;=(Tahmin!$C$4+41),DATE(YEAR((Tahmin!$C$4+41)),MONTH((Tahmin!$C$4+41)),MIN(DAY(Kalemler!$D39),DAY(EOMONTH((Tahmin!$C$4+41),0))))&lt;&gt;DATE(YEAR((Tahmin!$C$4+35)),MONTH((Tahmin!$C$4+35)),MIN(DAY(Kalemler!$D39),DAY(EOMONTH((Tahmin!$C$4+35),0)))),DATE(YEAR((Tahmin!$C$4+41)),MONTH((Tahmin!$C$4+41)),MIN(DAY(Kalemler!$D39),DAY(EOMONTH((Tahmin!$C$4+41),0))))&gt;=Kalemler!$D39)),1,0),IF(AND(Kalemler!$D39&gt;=(Tahmin!$C$4+35),Kalemler!$D39&lt;=(Tahmin!$C$4+41)),1,0))))</f>
        <v>0</v>
      </c>
      <c r="H39" s="0" t="n">
        <f aca="false">IF(OR(Kalemler!$A39="",Kalemler!$C39="",Kalemler!$D39=""),0,Kalemler!$C39*IF(Kalemler!$E39="Haftalık",IF(Kalemler!$D39&lt;=(Tahmin!$C$4+48),1,0),IF(Kalemler!$E39="Aylık",IF(OR(AND(DATE(YEAR((Tahmin!$C$4+42)),MONTH((Tahmin!$C$4+42)),MIN(DAY(Kalemler!$D39),DAY(EOMONTH((Tahmin!$C$4+42),0))))&gt;=(Tahmin!$C$4+42),DATE(YEAR((Tahmin!$C$4+42)),MONTH((Tahmin!$C$4+42)),MIN(DAY(Kalemler!$D39),DAY(EOMONTH((Tahmin!$C$4+42),0))))&lt;=(Tahmin!$C$4+48),DATE(YEAR((Tahmin!$C$4+42)),MONTH((Tahmin!$C$4+42)),MIN(DAY(Kalemler!$D39),DAY(EOMONTH((Tahmin!$C$4+42),0))))&gt;=Kalemler!$D39),AND(DATE(YEAR((Tahmin!$C$4+48)),MONTH((Tahmin!$C$4+48)),MIN(DAY(Kalemler!$D39),DAY(EOMONTH((Tahmin!$C$4+48),0))))&gt;=(Tahmin!$C$4+42),DATE(YEAR((Tahmin!$C$4+48)),MONTH((Tahmin!$C$4+48)),MIN(DAY(Kalemler!$D39),DAY(EOMONTH((Tahmin!$C$4+48),0))))&lt;=(Tahmin!$C$4+48),DATE(YEAR((Tahmin!$C$4+48)),MONTH((Tahmin!$C$4+48)),MIN(DAY(Kalemler!$D39),DAY(EOMONTH((Tahmin!$C$4+48),0))))&lt;&gt;DATE(YEAR((Tahmin!$C$4+42)),MONTH((Tahmin!$C$4+42)),MIN(DAY(Kalemler!$D39),DAY(EOMONTH((Tahmin!$C$4+42),0)))),DATE(YEAR((Tahmin!$C$4+48)),MONTH((Tahmin!$C$4+48)),MIN(DAY(Kalemler!$D39),DAY(EOMONTH((Tahmin!$C$4+48),0))))&gt;=Kalemler!$D39)),1,0),IF(AND(Kalemler!$D39&gt;=(Tahmin!$C$4+42),Kalemler!$D39&lt;=(Tahmin!$C$4+48)),1,0))))</f>
        <v>0</v>
      </c>
      <c r="I39" s="0" t="n">
        <f aca="false">IF(OR(Kalemler!$A39="",Kalemler!$C39="",Kalemler!$D39=""),0,Kalemler!$C39*IF(Kalemler!$E39="Haftalık",IF(Kalemler!$D39&lt;=(Tahmin!$C$4+55),1,0),IF(Kalemler!$E39="Aylık",IF(OR(AND(DATE(YEAR((Tahmin!$C$4+49)),MONTH((Tahmin!$C$4+49)),MIN(DAY(Kalemler!$D39),DAY(EOMONTH((Tahmin!$C$4+49),0))))&gt;=(Tahmin!$C$4+49),DATE(YEAR((Tahmin!$C$4+49)),MONTH((Tahmin!$C$4+49)),MIN(DAY(Kalemler!$D39),DAY(EOMONTH((Tahmin!$C$4+49),0))))&lt;=(Tahmin!$C$4+55),DATE(YEAR((Tahmin!$C$4+49)),MONTH((Tahmin!$C$4+49)),MIN(DAY(Kalemler!$D39),DAY(EOMONTH((Tahmin!$C$4+49),0))))&gt;=Kalemler!$D39),AND(DATE(YEAR((Tahmin!$C$4+55)),MONTH((Tahmin!$C$4+55)),MIN(DAY(Kalemler!$D39),DAY(EOMONTH((Tahmin!$C$4+55),0))))&gt;=(Tahmin!$C$4+49),DATE(YEAR((Tahmin!$C$4+55)),MONTH((Tahmin!$C$4+55)),MIN(DAY(Kalemler!$D39),DAY(EOMONTH((Tahmin!$C$4+55),0))))&lt;=(Tahmin!$C$4+55),DATE(YEAR((Tahmin!$C$4+55)),MONTH((Tahmin!$C$4+55)),MIN(DAY(Kalemler!$D39),DAY(EOMONTH((Tahmin!$C$4+55),0))))&lt;&gt;DATE(YEAR((Tahmin!$C$4+49)),MONTH((Tahmin!$C$4+49)),MIN(DAY(Kalemler!$D39),DAY(EOMONTH((Tahmin!$C$4+49),0)))),DATE(YEAR((Tahmin!$C$4+55)),MONTH((Tahmin!$C$4+55)),MIN(DAY(Kalemler!$D39),DAY(EOMONTH((Tahmin!$C$4+55),0))))&gt;=Kalemler!$D39)),1,0),IF(AND(Kalemler!$D39&gt;=(Tahmin!$C$4+49),Kalemler!$D39&lt;=(Tahmin!$C$4+55)),1,0))))</f>
        <v>0</v>
      </c>
      <c r="J39" s="0" t="n">
        <f aca="false">IF(OR(Kalemler!$A39="",Kalemler!$C39="",Kalemler!$D39=""),0,Kalemler!$C39*IF(Kalemler!$E39="Haftalık",IF(Kalemler!$D39&lt;=(Tahmin!$C$4+62),1,0),IF(Kalemler!$E39="Aylık",IF(OR(AND(DATE(YEAR((Tahmin!$C$4+56)),MONTH((Tahmin!$C$4+56)),MIN(DAY(Kalemler!$D39),DAY(EOMONTH((Tahmin!$C$4+56),0))))&gt;=(Tahmin!$C$4+56),DATE(YEAR((Tahmin!$C$4+56)),MONTH((Tahmin!$C$4+56)),MIN(DAY(Kalemler!$D39),DAY(EOMONTH((Tahmin!$C$4+56),0))))&lt;=(Tahmin!$C$4+62),DATE(YEAR((Tahmin!$C$4+56)),MONTH((Tahmin!$C$4+56)),MIN(DAY(Kalemler!$D39),DAY(EOMONTH((Tahmin!$C$4+56),0))))&gt;=Kalemler!$D39),AND(DATE(YEAR((Tahmin!$C$4+62)),MONTH((Tahmin!$C$4+62)),MIN(DAY(Kalemler!$D39),DAY(EOMONTH((Tahmin!$C$4+62),0))))&gt;=(Tahmin!$C$4+56),DATE(YEAR((Tahmin!$C$4+62)),MONTH((Tahmin!$C$4+62)),MIN(DAY(Kalemler!$D39),DAY(EOMONTH((Tahmin!$C$4+62),0))))&lt;=(Tahmin!$C$4+62),DATE(YEAR((Tahmin!$C$4+62)),MONTH((Tahmin!$C$4+62)),MIN(DAY(Kalemler!$D39),DAY(EOMONTH((Tahmin!$C$4+62),0))))&lt;&gt;DATE(YEAR((Tahmin!$C$4+56)),MONTH((Tahmin!$C$4+56)),MIN(DAY(Kalemler!$D39),DAY(EOMONTH((Tahmin!$C$4+56),0)))),DATE(YEAR((Tahmin!$C$4+62)),MONTH((Tahmin!$C$4+62)),MIN(DAY(Kalemler!$D39),DAY(EOMONTH((Tahmin!$C$4+62),0))))&gt;=Kalemler!$D39)),1,0),IF(AND(Kalemler!$D39&gt;=(Tahmin!$C$4+56),Kalemler!$D39&lt;=(Tahmin!$C$4+62)),1,0))))</f>
        <v>0</v>
      </c>
      <c r="K39" s="0" t="n">
        <f aca="false">IF(OR(Kalemler!$A39="",Kalemler!$C39="",Kalemler!$D39=""),0,Kalemler!$C39*IF(Kalemler!$E39="Haftalık",IF(Kalemler!$D39&lt;=(Tahmin!$C$4+69),1,0),IF(Kalemler!$E39="Aylık",IF(OR(AND(DATE(YEAR((Tahmin!$C$4+63)),MONTH((Tahmin!$C$4+63)),MIN(DAY(Kalemler!$D39),DAY(EOMONTH((Tahmin!$C$4+63),0))))&gt;=(Tahmin!$C$4+63),DATE(YEAR((Tahmin!$C$4+63)),MONTH((Tahmin!$C$4+63)),MIN(DAY(Kalemler!$D39),DAY(EOMONTH((Tahmin!$C$4+63),0))))&lt;=(Tahmin!$C$4+69),DATE(YEAR((Tahmin!$C$4+63)),MONTH((Tahmin!$C$4+63)),MIN(DAY(Kalemler!$D39),DAY(EOMONTH((Tahmin!$C$4+63),0))))&gt;=Kalemler!$D39),AND(DATE(YEAR((Tahmin!$C$4+69)),MONTH((Tahmin!$C$4+69)),MIN(DAY(Kalemler!$D39),DAY(EOMONTH((Tahmin!$C$4+69),0))))&gt;=(Tahmin!$C$4+63),DATE(YEAR((Tahmin!$C$4+69)),MONTH((Tahmin!$C$4+69)),MIN(DAY(Kalemler!$D39),DAY(EOMONTH((Tahmin!$C$4+69),0))))&lt;=(Tahmin!$C$4+69),DATE(YEAR((Tahmin!$C$4+69)),MONTH((Tahmin!$C$4+69)),MIN(DAY(Kalemler!$D39),DAY(EOMONTH((Tahmin!$C$4+69),0))))&lt;&gt;DATE(YEAR((Tahmin!$C$4+63)),MONTH((Tahmin!$C$4+63)),MIN(DAY(Kalemler!$D39),DAY(EOMONTH((Tahmin!$C$4+63),0)))),DATE(YEAR((Tahmin!$C$4+69)),MONTH((Tahmin!$C$4+69)),MIN(DAY(Kalemler!$D39),DAY(EOMONTH((Tahmin!$C$4+69),0))))&gt;=Kalemler!$D39)),1,0),IF(AND(Kalemler!$D39&gt;=(Tahmin!$C$4+63),Kalemler!$D39&lt;=(Tahmin!$C$4+69)),1,0))))</f>
        <v>0</v>
      </c>
      <c r="L39" s="0" t="n">
        <f aca="false">IF(OR(Kalemler!$A39="",Kalemler!$C39="",Kalemler!$D39=""),0,Kalemler!$C39*IF(Kalemler!$E39="Haftalık",IF(Kalemler!$D39&lt;=(Tahmin!$C$4+76),1,0),IF(Kalemler!$E39="Aylık",IF(OR(AND(DATE(YEAR((Tahmin!$C$4+70)),MONTH((Tahmin!$C$4+70)),MIN(DAY(Kalemler!$D39),DAY(EOMONTH((Tahmin!$C$4+70),0))))&gt;=(Tahmin!$C$4+70),DATE(YEAR((Tahmin!$C$4+70)),MONTH((Tahmin!$C$4+70)),MIN(DAY(Kalemler!$D39),DAY(EOMONTH((Tahmin!$C$4+70),0))))&lt;=(Tahmin!$C$4+76),DATE(YEAR((Tahmin!$C$4+70)),MONTH((Tahmin!$C$4+70)),MIN(DAY(Kalemler!$D39),DAY(EOMONTH((Tahmin!$C$4+70),0))))&gt;=Kalemler!$D39),AND(DATE(YEAR((Tahmin!$C$4+76)),MONTH((Tahmin!$C$4+76)),MIN(DAY(Kalemler!$D39),DAY(EOMONTH((Tahmin!$C$4+76),0))))&gt;=(Tahmin!$C$4+70),DATE(YEAR((Tahmin!$C$4+76)),MONTH((Tahmin!$C$4+76)),MIN(DAY(Kalemler!$D39),DAY(EOMONTH((Tahmin!$C$4+76),0))))&lt;=(Tahmin!$C$4+76),DATE(YEAR((Tahmin!$C$4+76)),MONTH((Tahmin!$C$4+76)),MIN(DAY(Kalemler!$D39),DAY(EOMONTH((Tahmin!$C$4+76),0))))&lt;&gt;DATE(YEAR((Tahmin!$C$4+70)),MONTH((Tahmin!$C$4+70)),MIN(DAY(Kalemler!$D39),DAY(EOMONTH((Tahmin!$C$4+70),0)))),DATE(YEAR((Tahmin!$C$4+76)),MONTH((Tahmin!$C$4+76)),MIN(DAY(Kalemler!$D39),DAY(EOMONTH((Tahmin!$C$4+76),0))))&gt;=Kalemler!$D39)),1,0),IF(AND(Kalemler!$D39&gt;=(Tahmin!$C$4+70),Kalemler!$D39&lt;=(Tahmin!$C$4+76)),1,0))))</f>
        <v>0</v>
      </c>
      <c r="M39" s="0" t="n">
        <f aca="false">IF(OR(Kalemler!$A39="",Kalemler!$C39="",Kalemler!$D39=""),0,Kalemler!$C39*IF(Kalemler!$E39="Haftalık",IF(Kalemler!$D39&lt;=(Tahmin!$C$4+83),1,0),IF(Kalemler!$E39="Aylık",IF(OR(AND(DATE(YEAR((Tahmin!$C$4+77)),MONTH((Tahmin!$C$4+77)),MIN(DAY(Kalemler!$D39),DAY(EOMONTH((Tahmin!$C$4+77),0))))&gt;=(Tahmin!$C$4+77),DATE(YEAR((Tahmin!$C$4+77)),MONTH((Tahmin!$C$4+77)),MIN(DAY(Kalemler!$D39),DAY(EOMONTH((Tahmin!$C$4+77),0))))&lt;=(Tahmin!$C$4+83),DATE(YEAR((Tahmin!$C$4+77)),MONTH((Tahmin!$C$4+77)),MIN(DAY(Kalemler!$D39),DAY(EOMONTH((Tahmin!$C$4+77),0))))&gt;=Kalemler!$D39),AND(DATE(YEAR((Tahmin!$C$4+83)),MONTH((Tahmin!$C$4+83)),MIN(DAY(Kalemler!$D39),DAY(EOMONTH((Tahmin!$C$4+83),0))))&gt;=(Tahmin!$C$4+77),DATE(YEAR((Tahmin!$C$4+83)),MONTH((Tahmin!$C$4+83)),MIN(DAY(Kalemler!$D39),DAY(EOMONTH((Tahmin!$C$4+83),0))))&lt;=(Tahmin!$C$4+83),DATE(YEAR((Tahmin!$C$4+83)),MONTH((Tahmin!$C$4+83)),MIN(DAY(Kalemler!$D39),DAY(EOMONTH((Tahmin!$C$4+83),0))))&lt;&gt;DATE(YEAR((Tahmin!$C$4+77)),MONTH((Tahmin!$C$4+77)),MIN(DAY(Kalemler!$D39),DAY(EOMONTH((Tahmin!$C$4+77),0)))),DATE(YEAR((Tahmin!$C$4+83)),MONTH((Tahmin!$C$4+83)),MIN(DAY(Kalemler!$D39),DAY(EOMONTH((Tahmin!$C$4+83),0))))&gt;=Kalemler!$D39)),1,0),IF(AND(Kalemler!$D39&gt;=(Tahmin!$C$4+77),Kalemler!$D39&lt;=(Tahmin!$C$4+83)),1,0))))</f>
        <v>0</v>
      </c>
      <c r="N39" s="0" t="n">
        <f aca="false">IF(OR(Kalemler!$A39="",Kalemler!$C39="",Kalemler!$D39=""),0,Kalemler!$C39*IF(Kalemler!$E39="Haftalık",IF(Kalemler!$D39&lt;=(Tahmin!$C$4+90),1,0),IF(Kalemler!$E39="Aylık",IF(OR(AND(DATE(YEAR((Tahmin!$C$4+84)),MONTH((Tahmin!$C$4+84)),MIN(DAY(Kalemler!$D39),DAY(EOMONTH((Tahmin!$C$4+84),0))))&gt;=(Tahmin!$C$4+84),DATE(YEAR((Tahmin!$C$4+84)),MONTH((Tahmin!$C$4+84)),MIN(DAY(Kalemler!$D39),DAY(EOMONTH((Tahmin!$C$4+84),0))))&lt;=(Tahmin!$C$4+90),DATE(YEAR((Tahmin!$C$4+84)),MONTH((Tahmin!$C$4+84)),MIN(DAY(Kalemler!$D39),DAY(EOMONTH((Tahmin!$C$4+84),0))))&gt;=Kalemler!$D39),AND(DATE(YEAR((Tahmin!$C$4+90)),MONTH((Tahmin!$C$4+90)),MIN(DAY(Kalemler!$D39),DAY(EOMONTH((Tahmin!$C$4+90),0))))&gt;=(Tahmin!$C$4+84),DATE(YEAR((Tahmin!$C$4+90)),MONTH((Tahmin!$C$4+90)),MIN(DAY(Kalemler!$D39),DAY(EOMONTH((Tahmin!$C$4+90),0))))&lt;=(Tahmin!$C$4+90),DATE(YEAR((Tahmin!$C$4+90)),MONTH((Tahmin!$C$4+90)),MIN(DAY(Kalemler!$D39),DAY(EOMONTH((Tahmin!$C$4+90),0))))&lt;&gt;DATE(YEAR((Tahmin!$C$4+84)),MONTH((Tahmin!$C$4+84)),MIN(DAY(Kalemler!$D39),DAY(EOMONTH((Tahmin!$C$4+84),0)))),DATE(YEAR((Tahmin!$C$4+90)),MONTH((Tahmin!$C$4+90)),MIN(DAY(Kalemler!$D39),DAY(EOMONTH((Tahmin!$C$4+90),0))))&gt;=Kalemler!$D39)),1,0),IF(AND(Kalemler!$D39&gt;=(Tahmin!$C$4+84),Kalemler!$D39&lt;=(Tahmin!$C$4+90)),1,0))))</f>
        <v>0</v>
      </c>
    </row>
    <row r="40" customFormat="false" ht="15" hidden="false" customHeight="false" outlineLevel="0" collapsed="false">
      <c r="A40" s="0" t="str">
        <f aca="false">IF(Kalemler!A40="","",Kalemler!A40)</f>
        <v/>
      </c>
      <c r="B40" s="0" t="n">
        <f aca="false">IF(OR(Kalemler!$A40="",Kalemler!$C40="",Kalemler!$D40=""),0,Kalemler!$C40*IF(Kalemler!$E40="Haftalık",IF(Kalemler!$D40&lt;=(Tahmin!$C$4+6),1,0),IF(Kalemler!$E40="Aylık",IF(OR(AND(DATE(YEAR((Tahmin!$C$4+0)),MONTH((Tahmin!$C$4+0)),MIN(DAY(Kalemler!$D40),DAY(EOMONTH((Tahmin!$C$4+0),0))))&gt;=(Tahmin!$C$4+0),DATE(YEAR((Tahmin!$C$4+0)),MONTH((Tahmin!$C$4+0)),MIN(DAY(Kalemler!$D40),DAY(EOMONTH((Tahmin!$C$4+0),0))))&lt;=(Tahmin!$C$4+6),DATE(YEAR((Tahmin!$C$4+0)),MONTH((Tahmin!$C$4+0)),MIN(DAY(Kalemler!$D40),DAY(EOMONTH((Tahmin!$C$4+0),0))))&gt;=Kalemler!$D40),AND(DATE(YEAR((Tahmin!$C$4+6)),MONTH((Tahmin!$C$4+6)),MIN(DAY(Kalemler!$D40),DAY(EOMONTH((Tahmin!$C$4+6),0))))&gt;=(Tahmin!$C$4+0),DATE(YEAR((Tahmin!$C$4+6)),MONTH((Tahmin!$C$4+6)),MIN(DAY(Kalemler!$D40),DAY(EOMONTH((Tahmin!$C$4+6),0))))&lt;=(Tahmin!$C$4+6),DATE(YEAR((Tahmin!$C$4+6)),MONTH((Tahmin!$C$4+6)),MIN(DAY(Kalemler!$D40),DAY(EOMONTH((Tahmin!$C$4+6),0))))&lt;&gt;DATE(YEAR((Tahmin!$C$4+0)),MONTH((Tahmin!$C$4+0)),MIN(DAY(Kalemler!$D40),DAY(EOMONTH((Tahmin!$C$4+0),0)))),DATE(YEAR((Tahmin!$C$4+6)),MONTH((Tahmin!$C$4+6)),MIN(DAY(Kalemler!$D40),DAY(EOMONTH((Tahmin!$C$4+6),0))))&gt;=Kalemler!$D40)),1,0),IF(AND(Kalemler!$D40&gt;=(Tahmin!$C$4+0),Kalemler!$D40&lt;=(Tahmin!$C$4+6)),1,0))))</f>
        <v>0</v>
      </c>
      <c r="C40" s="0" t="n">
        <f aca="false">IF(OR(Kalemler!$A40="",Kalemler!$C40="",Kalemler!$D40=""),0,Kalemler!$C40*IF(Kalemler!$E40="Haftalık",IF(Kalemler!$D40&lt;=(Tahmin!$C$4+13),1,0),IF(Kalemler!$E40="Aylık",IF(OR(AND(DATE(YEAR((Tahmin!$C$4+7)),MONTH((Tahmin!$C$4+7)),MIN(DAY(Kalemler!$D40),DAY(EOMONTH((Tahmin!$C$4+7),0))))&gt;=(Tahmin!$C$4+7),DATE(YEAR((Tahmin!$C$4+7)),MONTH((Tahmin!$C$4+7)),MIN(DAY(Kalemler!$D40),DAY(EOMONTH((Tahmin!$C$4+7),0))))&lt;=(Tahmin!$C$4+13),DATE(YEAR((Tahmin!$C$4+7)),MONTH((Tahmin!$C$4+7)),MIN(DAY(Kalemler!$D40),DAY(EOMONTH((Tahmin!$C$4+7),0))))&gt;=Kalemler!$D40),AND(DATE(YEAR((Tahmin!$C$4+13)),MONTH((Tahmin!$C$4+13)),MIN(DAY(Kalemler!$D40),DAY(EOMONTH((Tahmin!$C$4+13),0))))&gt;=(Tahmin!$C$4+7),DATE(YEAR((Tahmin!$C$4+13)),MONTH((Tahmin!$C$4+13)),MIN(DAY(Kalemler!$D40),DAY(EOMONTH((Tahmin!$C$4+13),0))))&lt;=(Tahmin!$C$4+13),DATE(YEAR((Tahmin!$C$4+13)),MONTH((Tahmin!$C$4+13)),MIN(DAY(Kalemler!$D40),DAY(EOMONTH((Tahmin!$C$4+13),0))))&lt;&gt;DATE(YEAR((Tahmin!$C$4+7)),MONTH((Tahmin!$C$4+7)),MIN(DAY(Kalemler!$D40),DAY(EOMONTH((Tahmin!$C$4+7),0)))),DATE(YEAR((Tahmin!$C$4+13)),MONTH((Tahmin!$C$4+13)),MIN(DAY(Kalemler!$D40),DAY(EOMONTH((Tahmin!$C$4+13),0))))&gt;=Kalemler!$D40)),1,0),IF(AND(Kalemler!$D40&gt;=(Tahmin!$C$4+7),Kalemler!$D40&lt;=(Tahmin!$C$4+13)),1,0))))</f>
        <v>0</v>
      </c>
      <c r="D40" s="0" t="n">
        <f aca="false">IF(OR(Kalemler!$A40="",Kalemler!$C40="",Kalemler!$D40=""),0,Kalemler!$C40*IF(Kalemler!$E40="Haftalık",IF(Kalemler!$D40&lt;=(Tahmin!$C$4+20),1,0),IF(Kalemler!$E40="Aylık",IF(OR(AND(DATE(YEAR((Tahmin!$C$4+14)),MONTH((Tahmin!$C$4+14)),MIN(DAY(Kalemler!$D40),DAY(EOMONTH((Tahmin!$C$4+14),0))))&gt;=(Tahmin!$C$4+14),DATE(YEAR((Tahmin!$C$4+14)),MONTH((Tahmin!$C$4+14)),MIN(DAY(Kalemler!$D40),DAY(EOMONTH((Tahmin!$C$4+14),0))))&lt;=(Tahmin!$C$4+20),DATE(YEAR((Tahmin!$C$4+14)),MONTH((Tahmin!$C$4+14)),MIN(DAY(Kalemler!$D40),DAY(EOMONTH((Tahmin!$C$4+14),0))))&gt;=Kalemler!$D40),AND(DATE(YEAR((Tahmin!$C$4+20)),MONTH((Tahmin!$C$4+20)),MIN(DAY(Kalemler!$D40),DAY(EOMONTH((Tahmin!$C$4+20),0))))&gt;=(Tahmin!$C$4+14),DATE(YEAR((Tahmin!$C$4+20)),MONTH((Tahmin!$C$4+20)),MIN(DAY(Kalemler!$D40),DAY(EOMONTH((Tahmin!$C$4+20),0))))&lt;=(Tahmin!$C$4+20),DATE(YEAR((Tahmin!$C$4+20)),MONTH((Tahmin!$C$4+20)),MIN(DAY(Kalemler!$D40),DAY(EOMONTH((Tahmin!$C$4+20),0))))&lt;&gt;DATE(YEAR((Tahmin!$C$4+14)),MONTH((Tahmin!$C$4+14)),MIN(DAY(Kalemler!$D40),DAY(EOMONTH((Tahmin!$C$4+14),0)))),DATE(YEAR((Tahmin!$C$4+20)),MONTH((Tahmin!$C$4+20)),MIN(DAY(Kalemler!$D40),DAY(EOMONTH((Tahmin!$C$4+20),0))))&gt;=Kalemler!$D40)),1,0),IF(AND(Kalemler!$D40&gt;=(Tahmin!$C$4+14),Kalemler!$D40&lt;=(Tahmin!$C$4+20)),1,0))))</f>
        <v>0</v>
      </c>
      <c r="E40" s="0" t="n">
        <f aca="false">IF(OR(Kalemler!$A40="",Kalemler!$C40="",Kalemler!$D40=""),0,Kalemler!$C40*IF(Kalemler!$E40="Haftalık",IF(Kalemler!$D40&lt;=(Tahmin!$C$4+27),1,0),IF(Kalemler!$E40="Aylık",IF(OR(AND(DATE(YEAR((Tahmin!$C$4+21)),MONTH((Tahmin!$C$4+21)),MIN(DAY(Kalemler!$D40),DAY(EOMONTH((Tahmin!$C$4+21),0))))&gt;=(Tahmin!$C$4+21),DATE(YEAR((Tahmin!$C$4+21)),MONTH((Tahmin!$C$4+21)),MIN(DAY(Kalemler!$D40),DAY(EOMONTH((Tahmin!$C$4+21),0))))&lt;=(Tahmin!$C$4+27),DATE(YEAR((Tahmin!$C$4+21)),MONTH((Tahmin!$C$4+21)),MIN(DAY(Kalemler!$D40),DAY(EOMONTH((Tahmin!$C$4+21),0))))&gt;=Kalemler!$D40),AND(DATE(YEAR((Tahmin!$C$4+27)),MONTH((Tahmin!$C$4+27)),MIN(DAY(Kalemler!$D40),DAY(EOMONTH((Tahmin!$C$4+27),0))))&gt;=(Tahmin!$C$4+21),DATE(YEAR((Tahmin!$C$4+27)),MONTH((Tahmin!$C$4+27)),MIN(DAY(Kalemler!$D40),DAY(EOMONTH((Tahmin!$C$4+27),0))))&lt;=(Tahmin!$C$4+27),DATE(YEAR((Tahmin!$C$4+27)),MONTH((Tahmin!$C$4+27)),MIN(DAY(Kalemler!$D40),DAY(EOMONTH((Tahmin!$C$4+27),0))))&lt;&gt;DATE(YEAR((Tahmin!$C$4+21)),MONTH((Tahmin!$C$4+21)),MIN(DAY(Kalemler!$D40),DAY(EOMONTH((Tahmin!$C$4+21),0)))),DATE(YEAR((Tahmin!$C$4+27)),MONTH((Tahmin!$C$4+27)),MIN(DAY(Kalemler!$D40),DAY(EOMONTH((Tahmin!$C$4+27),0))))&gt;=Kalemler!$D40)),1,0),IF(AND(Kalemler!$D40&gt;=(Tahmin!$C$4+21),Kalemler!$D40&lt;=(Tahmin!$C$4+27)),1,0))))</f>
        <v>0</v>
      </c>
      <c r="F40" s="0" t="n">
        <f aca="false">IF(OR(Kalemler!$A40="",Kalemler!$C40="",Kalemler!$D40=""),0,Kalemler!$C40*IF(Kalemler!$E40="Haftalık",IF(Kalemler!$D40&lt;=(Tahmin!$C$4+34),1,0),IF(Kalemler!$E40="Aylık",IF(OR(AND(DATE(YEAR((Tahmin!$C$4+28)),MONTH((Tahmin!$C$4+28)),MIN(DAY(Kalemler!$D40),DAY(EOMONTH((Tahmin!$C$4+28),0))))&gt;=(Tahmin!$C$4+28),DATE(YEAR((Tahmin!$C$4+28)),MONTH((Tahmin!$C$4+28)),MIN(DAY(Kalemler!$D40),DAY(EOMONTH((Tahmin!$C$4+28),0))))&lt;=(Tahmin!$C$4+34),DATE(YEAR((Tahmin!$C$4+28)),MONTH((Tahmin!$C$4+28)),MIN(DAY(Kalemler!$D40),DAY(EOMONTH((Tahmin!$C$4+28),0))))&gt;=Kalemler!$D40),AND(DATE(YEAR((Tahmin!$C$4+34)),MONTH((Tahmin!$C$4+34)),MIN(DAY(Kalemler!$D40),DAY(EOMONTH((Tahmin!$C$4+34),0))))&gt;=(Tahmin!$C$4+28),DATE(YEAR((Tahmin!$C$4+34)),MONTH((Tahmin!$C$4+34)),MIN(DAY(Kalemler!$D40),DAY(EOMONTH((Tahmin!$C$4+34),0))))&lt;=(Tahmin!$C$4+34),DATE(YEAR((Tahmin!$C$4+34)),MONTH((Tahmin!$C$4+34)),MIN(DAY(Kalemler!$D40),DAY(EOMONTH((Tahmin!$C$4+34),0))))&lt;&gt;DATE(YEAR((Tahmin!$C$4+28)),MONTH((Tahmin!$C$4+28)),MIN(DAY(Kalemler!$D40),DAY(EOMONTH((Tahmin!$C$4+28),0)))),DATE(YEAR((Tahmin!$C$4+34)),MONTH((Tahmin!$C$4+34)),MIN(DAY(Kalemler!$D40),DAY(EOMONTH((Tahmin!$C$4+34),0))))&gt;=Kalemler!$D40)),1,0),IF(AND(Kalemler!$D40&gt;=(Tahmin!$C$4+28),Kalemler!$D40&lt;=(Tahmin!$C$4+34)),1,0))))</f>
        <v>0</v>
      </c>
      <c r="G40" s="0" t="n">
        <f aca="false">IF(OR(Kalemler!$A40="",Kalemler!$C40="",Kalemler!$D40=""),0,Kalemler!$C40*IF(Kalemler!$E40="Haftalık",IF(Kalemler!$D40&lt;=(Tahmin!$C$4+41),1,0),IF(Kalemler!$E40="Aylık",IF(OR(AND(DATE(YEAR((Tahmin!$C$4+35)),MONTH((Tahmin!$C$4+35)),MIN(DAY(Kalemler!$D40),DAY(EOMONTH((Tahmin!$C$4+35),0))))&gt;=(Tahmin!$C$4+35),DATE(YEAR((Tahmin!$C$4+35)),MONTH((Tahmin!$C$4+35)),MIN(DAY(Kalemler!$D40),DAY(EOMONTH((Tahmin!$C$4+35),0))))&lt;=(Tahmin!$C$4+41),DATE(YEAR((Tahmin!$C$4+35)),MONTH((Tahmin!$C$4+35)),MIN(DAY(Kalemler!$D40),DAY(EOMONTH((Tahmin!$C$4+35),0))))&gt;=Kalemler!$D40),AND(DATE(YEAR((Tahmin!$C$4+41)),MONTH((Tahmin!$C$4+41)),MIN(DAY(Kalemler!$D40),DAY(EOMONTH((Tahmin!$C$4+41),0))))&gt;=(Tahmin!$C$4+35),DATE(YEAR((Tahmin!$C$4+41)),MONTH((Tahmin!$C$4+41)),MIN(DAY(Kalemler!$D40),DAY(EOMONTH((Tahmin!$C$4+41),0))))&lt;=(Tahmin!$C$4+41),DATE(YEAR((Tahmin!$C$4+41)),MONTH((Tahmin!$C$4+41)),MIN(DAY(Kalemler!$D40),DAY(EOMONTH((Tahmin!$C$4+41),0))))&lt;&gt;DATE(YEAR((Tahmin!$C$4+35)),MONTH((Tahmin!$C$4+35)),MIN(DAY(Kalemler!$D40),DAY(EOMONTH((Tahmin!$C$4+35),0)))),DATE(YEAR((Tahmin!$C$4+41)),MONTH((Tahmin!$C$4+41)),MIN(DAY(Kalemler!$D40),DAY(EOMONTH((Tahmin!$C$4+41),0))))&gt;=Kalemler!$D40)),1,0),IF(AND(Kalemler!$D40&gt;=(Tahmin!$C$4+35),Kalemler!$D40&lt;=(Tahmin!$C$4+41)),1,0))))</f>
        <v>0</v>
      </c>
      <c r="H40" s="0" t="n">
        <f aca="false">IF(OR(Kalemler!$A40="",Kalemler!$C40="",Kalemler!$D40=""),0,Kalemler!$C40*IF(Kalemler!$E40="Haftalık",IF(Kalemler!$D40&lt;=(Tahmin!$C$4+48),1,0),IF(Kalemler!$E40="Aylık",IF(OR(AND(DATE(YEAR((Tahmin!$C$4+42)),MONTH((Tahmin!$C$4+42)),MIN(DAY(Kalemler!$D40),DAY(EOMONTH((Tahmin!$C$4+42),0))))&gt;=(Tahmin!$C$4+42),DATE(YEAR((Tahmin!$C$4+42)),MONTH((Tahmin!$C$4+42)),MIN(DAY(Kalemler!$D40),DAY(EOMONTH((Tahmin!$C$4+42),0))))&lt;=(Tahmin!$C$4+48),DATE(YEAR((Tahmin!$C$4+42)),MONTH((Tahmin!$C$4+42)),MIN(DAY(Kalemler!$D40),DAY(EOMONTH((Tahmin!$C$4+42),0))))&gt;=Kalemler!$D40),AND(DATE(YEAR((Tahmin!$C$4+48)),MONTH((Tahmin!$C$4+48)),MIN(DAY(Kalemler!$D40),DAY(EOMONTH((Tahmin!$C$4+48),0))))&gt;=(Tahmin!$C$4+42),DATE(YEAR((Tahmin!$C$4+48)),MONTH((Tahmin!$C$4+48)),MIN(DAY(Kalemler!$D40),DAY(EOMONTH((Tahmin!$C$4+48),0))))&lt;=(Tahmin!$C$4+48),DATE(YEAR((Tahmin!$C$4+48)),MONTH((Tahmin!$C$4+48)),MIN(DAY(Kalemler!$D40),DAY(EOMONTH((Tahmin!$C$4+48),0))))&lt;&gt;DATE(YEAR((Tahmin!$C$4+42)),MONTH((Tahmin!$C$4+42)),MIN(DAY(Kalemler!$D40),DAY(EOMONTH((Tahmin!$C$4+42),0)))),DATE(YEAR((Tahmin!$C$4+48)),MONTH((Tahmin!$C$4+48)),MIN(DAY(Kalemler!$D40),DAY(EOMONTH((Tahmin!$C$4+48),0))))&gt;=Kalemler!$D40)),1,0),IF(AND(Kalemler!$D40&gt;=(Tahmin!$C$4+42),Kalemler!$D40&lt;=(Tahmin!$C$4+48)),1,0))))</f>
        <v>0</v>
      </c>
      <c r="I40" s="0" t="n">
        <f aca="false">IF(OR(Kalemler!$A40="",Kalemler!$C40="",Kalemler!$D40=""),0,Kalemler!$C40*IF(Kalemler!$E40="Haftalık",IF(Kalemler!$D40&lt;=(Tahmin!$C$4+55),1,0),IF(Kalemler!$E40="Aylık",IF(OR(AND(DATE(YEAR((Tahmin!$C$4+49)),MONTH((Tahmin!$C$4+49)),MIN(DAY(Kalemler!$D40),DAY(EOMONTH((Tahmin!$C$4+49),0))))&gt;=(Tahmin!$C$4+49),DATE(YEAR((Tahmin!$C$4+49)),MONTH((Tahmin!$C$4+49)),MIN(DAY(Kalemler!$D40),DAY(EOMONTH((Tahmin!$C$4+49),0))))&lt;=(Tahmin!$C$4+55),DATE(YEAR((Tahmin!$C$4+49)),MONTH((Tahmin!$C$4+49)),MIN(DAY(Kalemler!$D40),DAY(EOMONTH((Tahmin!$C$4+49),0))))&gt;=Kalemler!$D40),AND(DATE(YEAR((Tahmin!$C$4+55)),MONTH((Tahmin!$C$4+55)),MIN(DAY(Kalemler!$D40),DAY(EOMONTH((Tahmin!$C$4+55),0))))&gt;=(Tahmin!$C$4+49),DATE(YEAR((Tahmin!$C$4+55)),MONTH((Tahmin!$C$4+55)),MIN(DAY(Kalemler!$D40),DAY(EOMONTH((Tahmin!$C$4+55),0))))&lt;=(Tahmin!$C$4+55),DATE(YEAR((Tahmin!$C$4+55)),MONTH((Tahmin!$C$4+55)),MIN(DAY(Kalemler!$D40),DAY(EOMONTH((Tahmin!$C$4+55),0))))&lt;&gt;DATE(YEAR((Tahmin!$C$4+49)),MONTH((Tahmin!$C$4+49)),MIN(DAY(Kalemler!$D40),DAY(EOMONTH((Tahmin!$C$4+49),0)))),DATE(YEAR((Tahmin!$C$4+55)),MONTH((Tahmin!$C$4+55)),MIN(DAY(Kalemler!$D40),DAY(EOMONTH((Tahmin!$C$4+55),0))))&gt;=Kalemler!$D40)),1,0),IF(AND(Kalemler!$D40&gt;=(Tahmin!$C$4+49),Kalemler!$D40&lt;=(Tahmin!$C$4+55)),1,0))))</f>
        <v>0</v>
      </c>
      <c r="J40" s="0" t="n">
        <f aca="false">IF(OR(Kalemler!$A40="",Kalemler!$C40="",Kalemler!$D40=""),0,Kalemler!$C40*IF(Kalemler!$E40="Haftalık",IF(Kalemler!$D40&lt;=(Tahmin!$C$4+62),1,0),IF(Kalemler!$E40="Aylık",IF(OR(AND(DATE(YEAR((Tahmin!$C$4+56)),MONTH((Tahmin!$C$4+56)),MIN(DAY(Kalemler!$D40),DAY(EOMONTH((Tahmin!$C$4+56),0))))&gt;=(Tahmin!$C$4+56),DATE(YEAR((Tahmin!$C$4+56)),MONTH((Tahmin!$C$4+56)),MIN(DAY(Kalemler!$D40),DAY(EOMONTH((Tahmin!$C$4+56),0))))&lt;=(Tahmin!$C$4+62),DATE(YEAR((Tahmin!$C$4+56)),MONTH((Tahmin!$C$4+56)),MIN(DAY(Kalemler!$D40),DAY(EOMONTH((Tahmin!$C$4+56),0))))&gt;=Kalemler!$D40),AND(DATE(YEAR((Tahmin!$C$4+62)),MONTH((Tahmin!$C$4+62)),MIN(DAY(Kalemler!$D40),DAY(EOMONTH((Tahmin!$C$4+62),0))))&gt;=(Tahmin!$C$4+56),DATE(YEAR((Tahmin!$C$4+62)),MONTH((Tahmin!$C$4+62)),MIN(DAY(Kalemler!$D40),DAY(EOMONTH((Tahmin!$C$4+62),0))))&lt;=(Tahmin!$C$4+62),DATE(YEAR((Tahmin!$C$4+62)),MONTH((Tahmin!$C$4+62)),MIN(DAY(Kalemler!$D40),DAY(EOMONTH((Tahmin!$C$4+62),0))))&lt;&gt;DATE(YEAR((Tahmin!$C$4+56)),MONTH((Tahmin!$C$4+56)),MIN(DAY(Kalemler!$D40),DAY(EOMONTH((Tahmin!$C$4+56),0)))),DATE(YEAR((Tahmin!$C$4+62)),MONTH((Tahmin!$C$4+62)),MIN(DAY(Kalemler!$D40),DAY(EOMONTH((Tahmin!$C$4+62),0))))&gt;=Kalemler!$D40)),1,0),IF(AND(Kalemler!$D40&gt;=(Tahmin!$C$4+56),Kalemler!$D40&lt;=(Tahmin!$C$4+62)),1,0))))</f>
        <v>0</v>
      </c>
      <c r="K40" s="0" t="n">
        <f aca="false">IF(OR(Kalemler!$A40="",Kalemler!$C40="",Kalemler!$D40=""),0,Kalemler!$C40*IF(Kalemler!$E40="Haftalık",IF(Kalemler!$D40&lt;=(Tahmin!$C$4+69),1,0),IF(Kalemler!$E40="Aylık",IF(OR(AND(DATE(YEAR((Tahmin!$C$4+63)),MONTH((Tahmin!$C$4+63)),MIN(DAY(Kalemler!$D40),DAY(EOMONTH((Tahmin!$C$4+63),0))))&gt;=(Tahmin!$C$4+63),DATE(YEAR((Tahmin!$C$4+63)),MONTH((Tahmin!$C$4+63)),MIN(DAY(Kalemler!$D40),DAY(EOMONTH((Tahmin!$C$4+63),0))))&lt;=(Tahmin!$C$4+69),DATE(YEAR((Tahmin!$C$4+63)),MONTH((Tahmin!$C$4+63)),MIN(DAY(Kalemler!$D40),DAY(EOMONTH((Tahmin!$C$4+63),0))))&gt;=Kalemler!$D40),AND(DATE(YEAR((Tahmin!$C$4+69)),MONTH((Tahmin!$C$4+69)),MIN(DAY(Kalemler!$D40),DAY(EOMONTH((Tahmin!$C$4+69),0))))&gt;=(Tahmin!$C$4+63),DATE(YEAR((Tahmin!$C$4+69)),MONTH((Tahmin!$C$4+69)),MIN(DAY(Kalemler!$D40),DAY(EOMONTH((Tahmin!$C$4+69),0))))&lt;=(Tahmin!$C$4+69),DATE(YEAR((Tahmin!$C$4+69)),MONTH((Tahmin!$C$4+69)),MIN(DAY(Kalemler!$D40),DAY(EOMONTH((Tahmin!$C$4+69),0))))&lt;&gt;DATE(YEAR((Tahmin!$C$4+63)),MONTH((Tahmin!$C$4+63)),MIN(DAY(Kalemler!$D40),DAY(EOMONTH((Tahmin!$C$4+63),0)))),DATE(YEAR((Tahmin!$C$4+69)),MONTH((Tahmin!$C$4+69)),MIN(DAY(Kalemler!$D40),DAY(EOMONTH((Tahmin!$C$4+69),0))))&gt;=Kalemler!$D40)),1,0),IF(AND(Kalemler!$D40&gt;=(Tahmin!$C$4+63),Kalemler!$D40&lt;=(Tahmin!$C$4+69)),1,0))))</f>
        <v>0</v>
      </c>
      <c r="L40" s="0" t="n">
        <f aca="false">IF(OR(Kalemler!$A40="",Kalemler!$C40="",Kalemler!$D40=""),0,Kalemler!$C40*IF(Kalemler!$E40="Haftalık",IF(Kalemler!$D40&lt;=(Tahmin!$C$4+76),1,0),IF(Kalemler!$E40="Aylık",IF(OR(AND(DATE(YEAR((Tahmin!$C$4+70)),MONTH((Tahmin!$C$4+70)),MIN(DAY(Kalemler!$D40),DAY(EOMONTH((Tahmin!$C$4+70),0))))&gt;=(Tahmin!$C$4+70),DATE(YEAR((Tahmin!$C$4+70)),MONTH((Tahmin!$C$4+70)),MIN(DAY(Kalemler!$D40),DAY(EOMONTH((Tahmin!$C$4+70),0))))&lt;=(Tahmin!$C$4+76),DATE(YEAR((Tahmin!$C$4+70)),MONTH((Tahmin!$C$4+70)),MIN(DAY(Kalemler!$D40),DAY(EOMONTH((Tahmin!$C$4+70),0))))&gt;=Kalemler!$D40),AND(DATE(YEAR((Tahmin!$C$4+76)),MONTH((Tahmin!$C$4+76)),MIN(DAY(Kalemler!$D40),DAY(EOMONTH((Tahmin!$C$4+76),0))))&gt;=(Tahmin!$C$4+70),DATE(YEAR((Tahmin!$C$4+76)),MONTH((Tahmin!$C$4+76)),MIN(DAY(Kalemler!$D40),DAY(EOMONTH((Tahmin!$C$4+76),0))))&lt;=(Tahmin!$C$4+76),DATE(YEAR((Tahmin!$C$4+76)),MONTH((Tahmin!$C$4+76)),MIN(DAY(Kalemler!$D40),DAY(EOMONTH((Tahmin!$C$4+76),0))))&lt;&gt;DATE(YEAR((Tahmin!$C$4+70)),MONTH((Tahmin!$C$4+70)),MIN(DAY(Kalemler!$D40),DAY(EOMONTH((Tahmin!$C$4+70),0)))),DATE(YEAR((Tahmin!$C$4+76)),MONTH((Tahmin!$C$4+76)),MIN(DAY(Kalemler!$D40),DAY(EOMONTH((Tahmin!$C$4+76),0))))&gt;=Kalemler!$D40)),1,0),IF(AND(Kalemler!$D40&gt;=(Tahmin!$C$4+70),Kalemler!$D40&lt;=(Tahmin!$C$4+76)),1,0))))</f>
        <v>0</v>
      </c>
      <c r="M40" s="0" t="n">
        <f aca="false">IF(OR(Kalemler!$A40="",Kalemler!$C40="",Kalemler!$D40=""),0,Kalemler!$C40*IF(Kalemler!$E40="Haftalık",IF(Kalemler!$D40&lt;=(Tahmin!$C$4+83),1,0),IF(Kalemler!$E40="Aylık",IF(OR(AND(DATE(YEAR((Tahmin!$C$4+77)),MONTH((Tahmin!$C$4+77)),MIN(DAY(Kalemler!$D40),DAY(EOMONTH((Tahmin!$C$4+77),0))))&gt;=(Tahmin!$C$4+77),DATE(YEAR((Tahmin!$C$4+77)),MONTH((Tahmin!$C$4+77)),MIN(DAY(Kalemler!$D40),DAY(EOMONTH((Tahmin!$C$4+77),0))))&lt;=(Tahmin!$C$4+83),DATE(YEAR((Tahmin!$C$4+77)),MONTH((Tahmin!$C$4+77)),MIN(DAY(Kalemler!$D40),DAY(EOMONTH((Tahmin!$C$4+77),0))))&gt;=Kalemler!$D40),AND(DATE(YEAR((Tahmin!$C$4+83)),MONTH((Tahmin!$C$4+83)),MIN(DAY(Kalemler!$D40),DAY(EOMONTH((Tahmin!$C$4+83),0))))&gt;=(Tahmin!$C$4+77),DATE(YEAR((Tahmin!$C$4+83)),MONTH((Tahmin!$C$4+83)),MIN(DAY(Kalemler!$D40),DAY(EOMONTH((Tahmin!$C$4+83),0))))&lt;=(Tahmin!$C$4+83),DATE(YEAR((Tahmin!$C$4+83)),MONTH((Tahmin!$C$4+83)),MIN(DAY(Kalemler!$D40),DAY(EOMONTH((Tahmin!$C$4+83),0))))&lt;&gt;DATE(YEAR((Tahmin!$C$4+77)),MONTH((Tahmin!$C$4+77)),MIN(DAY(Kalemler!$D40),DAY(EOMONTH((Tahmin!$C$4+77),0)))),DATE(YEAR((Tahmin!$C$4+83)),MONTH((Tahmin!$C$4+83)),MIN(DAY(Kalemler!$D40),DAY(EOMONTH((Tahmin!$C$4+83),0))))&gt;=Kalemler!$D40)),1,0),IF(AND(Kalemler!$D40&gt;=(Tahmin!$C$4+77),Kalemler!$D40&lt;=(Tahmin!$C$4+83)),1,0))))</f>
        <v>0</v>
      </c>
      <c r="N40" s="0" t="n">
        <f aca="false">IF(OR(Kalemler!$A40="",Kalemler!$C40="",Kalemler!$D40=""),0,Kalemler!$C40*IF(Kalemler!$E40="Haftalık",IF(Kalemler!$D40&lt;=(Tahmin!$C$4+90),1,0),IF(Kalemler!$E40="Aylık",IF(OR(AND(DATE(YEAR((Tahmin!$C$4+84)),MONTH((Tahmin!$C$4+84)),MIN(DAY(Kalemler!$D40),DAY(EOMONTH((Tahmin!$C$4+84),0))))&gt;=(Tahmin!$C$4+84),DATE(YEAR((Tahmin!$C$4+84)),MONTH((Tahmin!$C$4+84)),MIN(DAY(Kalemler!$D40),DAY(EOMONTH((Tahmin!$C$4+84),0))))&lt;=(Tahmin!$C$4+90),DATE(YEAR((Tahmin!$C$4+84)),MONTH((Tahmin!$C$4+84)),MIN(DAY(Kalemler!$D40),DAY(EOMONTH((Tahmin!$C$4+84),0))))&gt;=Kalemler!$D40),AND(DATE(YEAR((Tahmin!$C$4+90)),MONTH((Tahmin!$C$4+90)),MIN(DAY(Kalemler!$D40),DAY(EOMONTH((Tahmin!$C$4+90),0))))&gt;=(Tahmin!$C$4+84),DATE(YEAR((Tahmin!$C$4+90)),MONTH((Tahmin!$C$4+90)),MIN(DAY(Kalemler!$D40),DAY(EOMONTH((Tahmin!$C$4+90),0))))&lt;=(Tahmin!$C$4+90),DATE(YEAR((Tahmin!$C$4+90)),MONTH((Tahmin!$C$4+90)),MIN(DAY(Kalemler!$D40),DAY(EOMONTH((Tahmin!$C$4+90),0))))&lt;&gt;DATE(YEAR((Tahmin!$C$4+84)),MONTH((Tahmin!$C$4+84)),MIN(DAY(Kalemler!$D40),DAY(EOMONTH((Tahmin!$C$4+84),0)))),DATE(YEAR((Tahmin!$C$4+90)),MONTH((Tahmin!$C$4+90)),MIN(DAY(Kalemler!$D40),DAY(EOMONTH((Tahmin!$C$4+90),0))))&gt;=Kalemler!$D40)),1,0),IF(AND(Kalemler!$D40&gt;=(Tahmin!$C$4+84),Kalemler!$D40&lt;=(Tahmin!$C$4+90)),1,0))))</f>
        <v>0</v>
      </c>
    </row>
    <row r="41" customFormat="false" ht="15" hidden="false" customHeight="false" outlineLevel="0" collapsed="false">
      <c r="A41" s="0" t="str">
        <f aca="false">IF(Kalemler!A41="","",Kalemler!A41)</f>
        <v/>
      </c>
      <c r="B41" s="0" t="n">
        <f aca="false">IF(OR(Kalemler!$A41="",Kalemler!$C41="",Kalemler!$D41=""),0,Kalemler!$C41*IF(Kalemler!$E41="Haftalık",IF(Kalemler!$D41&lt;=(Tahmin!$C$4+6),1,0),IF(Kalemler!$E41="Aylık",IF(OR(AND(DATE(YEAR((Tahmin!$C$4+0)),MONTH((Tahmin!$C$4+0)),MIN(DAY(Kalemler!$D41),DAY(EOMONTH((Tahmin!$C$4+0),0))))&gt;=(Tahmin!$C$4+0),DATE(YEAR((Tahmin!$C$4+0)),MONTH((Tahmin!$C$4+0)),MIN(DAY(Kalemler!$D41),DAY(EOMONTH((Tahmin!$C$4+0),0))))&lt;=(Tahmin!$C$4+6),DATE(YEAR((Tahmin!$C$4+0)),MONTH((Tahmin!$C$4+0)),MIN(DAY(Kalemler!$D41),DAY(EOMONTH((Tahmin!$C$4+0),0))))&gt;=Kalemler!$D41),AND(DATE(YEAR((Tahmin!$C$4+6)),MONTH((Tahmin!$C$4+6)),MIN(DAY(Kalemler!$D41),DAY(EOMONTH((Tahmin!$C$4+6),0))))&gt;=(Tahmin!$C$4+0),DATE(YEAR((Tahmin!$C$4+6)),MONTH((Tahmin!$C$4+6)),MIN(DAY(Kalemler!$D41),DAY(EOMONTH((Tahmin!$C$4+6),0))))&lt;=(Tahmin!$C$4+6),DATE(YEAR((Tahmin!$C$4+6)),MONTH((Tahmin!$C$4+6)),MIN(DAY(Kalemler!$D41),DAY(EOMONTH((Tahmin!$C$4+6),0))))&lt;&gt;DATE(YEAR((Tahmin!$C$4+0)),MONTH((Tahmin!$C$4+0)),MIN(DAY(Kalemler!$D41),DAY(EOMONTH((Tahmin!$C$4+0),0)))),DATE(YEAR((Tahmin!$C$4+6)),MONTH((Tahmin!$C$4+6)),MIN(DAY(Kalemler!$D41),DAY(EOMONTH((Tahmin!$C$4+6),0))))&gt;=Kalemler!$D41)),1,0),IF(AND(Kalemler!$D41&gt;=(Tahmin!$C$4+0),Kalemler!$D41&lt;=(Tahmin!$C$4+6)),1,0))))</f>
        <v>0</v>
      </c>
      <c r="C41" s="0" t="n">
        <f aca="false">IF(OR(Kalemler!$A41="",Kalemler!$C41="",Kalemler!$D41=""),0,Kalemler!$C41*IF(Kalemler!$E41="Haftalık",IF(Kalemler!$D41&lt;=(Tahmin!$C$4+13),1,0),IF(Kalemler!$E41="Aylık",IF(OR(AND(DATE(YEAR((Tahmin!$C$4+7)),MONTH((Tahmin!$C$4+7)),MIN(DAY(Kalemler!$D41),DAY(EOMONTH((Tahmin!$C$4+7),0))))&gt;=(Tahmin!$C$4+7),DATE(YEAR((Tahmin!$C$4+7)),MONTH((Tahmin!$C$4+7)),MIN(DAY(Kalemler!$D41),DAY(EOMONTH((Tahmin!$C$4+7),0))))&lt;=(Tahmin!$C$4+13),DATE(YEAR((Tahmin!$C$4+7)),MONTH((Tahmin!$C$4+7)),MIN(DAY(Kalemler!$D41),DAY(EOMONTH((Tahmin!$C$4+7),0))))&gt;=Kalemler!$D41),AND(DATE(YEAR((Tahmin!$C$4+13)),MONTH((Tahmin!$C$4+13)),MIN(DAY(Kalemler!$D41),DAY(EOMONTH((Tahmin!$C$4+13),0))))&gt;=(Tahmin!$C$4+7),DATE(YEAR((Tahmin!$C$4+13)),MONTH((Tahmin!$C$4+13)),MIN(DAY(Kalemler!$D41),DAY(EOMONTH((Tahmin!$C$4+13),0))))&lt;=(Tahmin!$C$4+13),DATE(YEAR((Tahmin!$C$4+13)),MONTH((Tahmin!$C$4+13)),MIN(DAY(Kalemler!$D41),DAY(EOMONTH((Tahmin!$C$4+13),0))))&lt;&gt;DATE(YEAR((Tahmin!$C$4+7)),MONTH((Tahmin!$C$4+7)),MIN(DAY(Kalemler!$D41),DAY(EOMONTH((Tahmin!$C$4+7),0)))),DATE(YEAR((Tahmin!$C$4+13)),MONTH((Tahmin!$C$4+13)),MIN(DAY(Kalemler!$D41),DAY(EOMONTH((Tahmin!$C$4+13),0))))&gt;=Kalemler!$D41)),1,0),IF(AND(Kalemler!$D41&gt;=(Tahmin!$C$4+7),Kalemler!$D41&lt;=(Tahmin!$C$4+13)),1,0))))</f>
        <v>0</v>
      </c>
      <c r="D41" s="0" t="n">
        <f aca="false">IF(OR(Kalemler!$A41="",Kalemler!$C41="",Kalemler!$D41=""),0,Kalemler!$C41*IF(Kalemler!$E41="Haftalık",IF(Kalemler!$D41&lt;=(Tahmin!$C$4+20),1,0),IF(Kalemler!$E41="Aylık",IF(OR(AND(DATE(YEAR((Tahmin!$C$4+14)),MONTH((Tahmin!$C$4+14)),MIN(DAY(Kalemler!$D41),DAY(EOMONTH((Tahmin!$C$4+14),0))))&gt;=(Tahmin!$C$4+14),DATE(YEAR((Tahmin!$C$4+14)),MONTH((Tahmin!$C$4+14)),MIN(DAY(Kalemler!$D41),DAY(EOMONTH((Tahmin!$C$4+14),0))))&lt;=(Tahmin!$C$4+20),DATE(YEAR((Tahmin!$C$4+14)),MONTH((Tahmin!$C$4+14)),MIN(DAY(Kalemler!$D41),DAY(EOMONTH((Tahmin!$C$4+14),0))))&gt;=Kalemler!$D41),AND(DATE(YEAR((Tahmin!$C$4+20)),MONTH((Tahmin!$C$4+20)),MIN(DAY(Kalemler!$D41),DAY(EOMONTH((Tahmin!$C$4+20),0))))&gt;=(Tahmin!$C$4+14),DATE(YEAR((Tahmin!$C$4+20)),MONTH((Tahmin!$C$4+20)),MIN(DAY(Kalemler!$D41),DAY(EOMONTH((Tahmin!$C$4+20),0))))&lt;=(Tahmin!$C$4+20),DATE(YEAR((Tahmin!$C$4+20)),MONTH((Tahmin!$C$4+20)),MIN(DAY(Kalemler!$D41),DAY(EOMONTH((Tahmin!$C$4+20),0))))&lt;&gt;DATE(YEAR((Tahmin!$C$4+14)),MONTH((Tahmin!$C$4+14)),MIN(DAY(Kalemler!$D41),DAY(EOMONTH((Tahmin!$C$4+14),0)))),DATE(YEAR((Tahmin!$C$4+20)),MONTH((Tahmin!$C$4+20)),MIN(DAY(Kalemler!$D41),DAY(EOMONTH((Tahmin!$C$4+20),0))))&gt;=Kalemler!$D41)),1,0),IF(AND(Kalemler!$D41&gt;=(Tahmin!$C$4+14),Kalemler!$D41&lt;=(Tahmin!$C$4+20)),1,0))))</f>
        <v>0</v>
      </c>
      <c r="E41" s="0" t="n">
        <f aca="false">IF(OR(Kalemler!$A41="",Kalemler!$C41="",Kalemler!$D41=""),0,Kalemler!$C41*IF(Kalemler!$E41="Haftalık",IF(Kalemler!$D41&lt;=(Tahmin!$C$4+27),1,0),IF(Kalemler!$E41="Aylık",IF(OR(AND(DATE(YEAR((Tahmin!$C$4+21)),MONTH((Tahmin!$C$4+21)),MIN(DAY(Kalemler!$D41),DAY(EOMONTH((Tahmin!$C$4+21),0))))&gt;=(Tahmin!$C$4+21),DATE(YEAR((Tahmin!$C$4+21)),MONTH((Tahmin!$C$4+21)),MIN(DAY(Kalemler!$D41),DAY(EOMONTH((Tahmin!$C$4+21),0))))&lt;=(Tahmin!$C$4+27),DATE(YEAR((Tahmin!$C$4+21)),MONTH((Tahmin!$C$4+21)),MIN(DAY(Kalemler!$D41),DAY(EOMONTH((Tahmin!$C$4+21),0))))&gt;=Kalemler!$D41),AND(DATE(YEAR((Tahmin!$C$4+27)),MONTH((Tahmin!$C$4+27)),MIN(DAY(Kalemler!$D41),DAY(EOMONTH((Tahmin!$C$4+27),0))))&gt;=(Tahmin!$C$4+21),DATE(YEAR((Tahmin!$C$4+27)),MONTH((Tahmin!$C$4+27)),MIN(DAY(Kalemler!$D41),DAY(EOMONTH((Tahmin!$C$4+27),0))))&lt;=(Tahmin!$C$4+27),DATE(YEAR((Tahmin!$C$4+27)),MONTH((Tahmin!$C$4+27)),MIN(DAY(Kalemler!$D41),DAY(EOMONTH((Tahmin!$C$4+27),0))))&lt;&gt;DATE(YEAR((Tahmin!$C$4+21)),MONTH((Tahmin!$C$4+21)),MIN(DAY(Kalemler!$D41),DAY(EOMONTH((Tahmin!$C$4+21),0)))),DATE(YEAR((Tahmin!$C$4+27)),MONTH((Tahmin!$C$4+27)),MIN(DAY(Kalemler!$D41),DAY(EOMONTH((Tahmin!$C$4+27),0))))&gt;=Kalemler!$D41)),1,0),IF(AND(Kalemler!$D41&gt;=(Tahmin!$C$4+21),Kalemler!$D41&lt;=(Tahmin!$C$4+27)),1,0))))</f>
        <v>0</v>
      </c>
      <c r="F41" s="0" t="n">
        <f aca="false">IF(OR(Kalemler!$A41="",Kalemler!$C41="",Kalemler!$D41=""),0,Kalemler!$C41*IF(Kalemler!$E41="Haftalık",IF(Kalemler!$D41&lt;=(Tahmin!$C$4+34),1,0),IF(Kalemler!$E41="Aylık",IF(OR(AND(DATE(YEAR((Tahmin!$C$4+28)),MONTH((Tahmin!$C$4+28)),MIN(DAY(Kalemler!$D41),DAY(EOMONTH((Tahmin!$C$4+28),0))))&gt;=(Tahmin!$C$4+28),DATE(YEAR((Tahmin!$C$4+28)),MONTH((Tahmin!$C$4+28)),MIN(DAY(Kalemler!$D41),DAY(EOMONTH((Tahmin!$C$4+28),0))))&lt;=(Tahmin!$C$4+34),DATE(YEAR((Tahmin!$C$4+28)),MONTH((Tahmin!$C$4+28)),MIN(DAY(Kalemler!$D41),DAY(EOMONTH((Tahmin!$C$4+28),0))))&gt;=Kalemler!$D41),AND(DATE(YEAR((Tahmin!$C$4+34)),MONTH((Tahmin!$C$4+34)),MIN(DAY(Kalemler!$D41),DAY(EOMONTH((Tahmin!$C$4+34),0))))&gt;=(Tahmin!$C$4+28),DATE(YEAR((Tahmin!$C$4+34)),MONTH((Tahmin!$C$4+34)),MIN(DAY(Kalemler!$D41),DAY(EOMONTH((Tahmin!$C$4+34),0))))&lt;=(Tahmin!$C$4+34),DATE(YEAR((Tahmin!$C$4+34)),MONTH((Tahmin!$C$4+34)),MIN(DAY(Kalemler!$D41),DAY(EOMONTH((Tahmin!$C$4+34),0))))&lt;&gt;DATE(YEAR((Tahmin!$C$4+28)),MONTH((Tahmin!$C$4+28)),MIN(DAY(Kalemler!$D41),DAY(EOMONTH((Tahmin!$C$4+28),0)))),DATE(YEAR((Tahmin!$C$4+34)),MONTH((Tahmin!$C$4+34)),MIN(DAY(Kalemler!$D41),DAY(EOMONTH((Tahmin!$C$4+34),0))))&gt;=Kalemler!$D41)),1,0),IF(AND(Kalemler!$D41&gt;=(Tahmin!$C$4+28),Kalemler!$D41&lt;=(Tahmin!$C$4+34)),1,0))))</f>
        <v>0</v>
      </c>
      <c r="G41" s="0" t="n">
        <f aca="false">IF(OR(Kalemler!$A41="",Kalemler!$C41="",Kalemler!$D41=""),0,Kalemler!$C41*IF(Kalemler!$E41="Haftalık",IF(Kalemler!$D41&lt;=(Tahmin!$C$4+41),1,0),IF(Kalemler!$E41="Aylık",IF(OR(AND(DATE(YEAR((Tahmin!$C$4+35)),MONTH((Tahmin!$C$4+35)),MIN(DAY(Kalemler!$D41),DAY(EOMONTH((Tahmin!$C$4+35),0))))&gt;=(Tahmin!$C$4+35),DATE(YEAR((Tahmin!$C$4+35)),MONTH((Tahmin!$C$4+35)),MIN(DAY(Kalemler!$D41),DAY(EOMONTH((Tahmin!$C$4+35),0))))&lt;=(Tahmin!$C$4+41),DATE(YEAR((Tahmin!$C$4+35)),MONTH((Tahmin!$C$4+35)),MIN(DAY(Kalemler!$D41),DAY(EOMONTH((Tahmin!$C$4+35),0))))&gt;=Kalemler!$D41),AND(DATE(YEAR((Tahmin!$C$4+41)),MONTH((Tahmin!$C$4+41)),MIN(DAY(Kalemler!$D41),DAY(EOMONTH((Tahmin!$C$4+41),0))))&gt;=(Tahmin!$C$4+35),DATE(YEAR((Tahmin!$C$4+41)),MONTH((Tahmin!$C$4+41)),MIN(DAY(Kalemler!$D41),DAY(EOMONTH((Tahmin!$C$4+41),0))))&lt;=(Tahmin!$C$4+41),DATE(YEAR((Tahmin!$C$4+41)),MONTH((Tahmin!$C$4+41)),MIN(DAY(Kalemler!$D41),DAY(EOMONTH((Tahmin!$C$4+41),0))))&lt;&gt;DATE(YEAR((Tahmin!$C$4+35)),MONTH((Tahmin!$C$4+35)),MIN(DAY(Kalemler!$D41),DAY(EOMONTH((Tahmin!$C$4+35),0)))),DATE(YEAR((Tahmin!$C$4+41)),MONTH((Tahmin!$C$4+41)),MIN(DAY(Kalemler!$D41),DAY(EOMONTH((Tahmin!$C$4+41),0))))&gt;=Kalemler!$D41)),1,0),IF(AND(Kalemler!$D41&gt;=(Tahmin!$C$4+35),Kalemler!$D41&lt;=(Tahmin!$C$4+41)),1,0))))</f>
        <v>0</v>
      </c>
      <c r="H41" s="0" t="n">
        <f aca="false">IF(OR(Kalemler!$A41="",Kalemler!$C41="",Kalemler!$D41=""),0,Kalemler!$C41*IF(Kalemler!$E41="Haftalık",IF(Kalemler!$D41&lt;=(Tahmin!$C$4+48),1,0),IF(Kalemler!$E41="Aylık",IF(OR(AND(DATE(YEAR((Tahmin!$C$4+42)),MONTH((Tahmin!$C$4+42)),MIN(DAY(Kalemler!$D41),DAY(EOMONTH((Tahmin!$C$4+42),0))))&gt;=(Tahmin!$C$4+42),DATE(YEAR((Tahmin!$C$4+42)),MONTH((Tahmin!$C$4+42)),MIN(DAY(Kalemler!$D41),DAY(EOMONTH((Tahmin!$C$4+42),0))))&lt;=(Tahmin!$C$4+48),DATE(YEAR((Tahmin!$C$4+42)),MONTH((Tahmin!$C$4+42)),MIN(DAY(Kalemler!$D41),DAY(EOMONTH((Tahmin!$C$4+42),0))))&gt;=Kalemler!$D41),AND(DATE(YEAR((Tahmin!$C$4+48)),MONTH((Tahmin!$C$4+48)),MIN(DAY(Kalemler!$D41),DAY(EOMONTH((Tahmin!$C$4+48),0))))&gt;=(Tahmin!$C$4+42),DATE(YEAR((Tahmin!$C$4+48)),MONTH((Tahmin!$C$4+48)),MIN(DAY(Kalemler!$D41),DAY(EOMONTH((Tahmin!$C$4+48),0))))&lt;=(Tahmin!$C$4+48),DATE(YEAR((Tahmin!$C$4+48)),MONTH((Tahmin!$C$4+48)),MIN(DAY(Kalemler!$D41),DAY(EOMONTH((Tahmin!$C$4+48),0))))&lt;&gt;DATE(YEAR((Tahmin!$C$4+42)),MONTH((Tahmin!$C$4+42)),MIN(DAY(Kalemler!$D41),DAY(EOMONTH((Tahmin!$C$4+42),0)))),DATE(YEAR((Tahmin!$C$4+48)),MONTH((Tahmin!$C$4+48)),MIN(DAY(Kalemler!$D41),DAY(EOMONTH((Tahmin!$C$4+48),0))))&gt;=Kalemler!$D41)),1,0),IF(AND(Kalemler!$D41&gt;=(Tahmin!$C$4+42),Kalemler!$D41&lt;=(Tahmin!$C$4+48)),1,0))))</f>
        <v>0</v>
      </c>
      <c r="I41" s="0" t="n">
        <f aca="false">IF(OR(Kalemler!$A41="",Kalemler!$C41="",Kalemler!$D41=""),0,Kalemler!$C41*IF(Kalemler!$E41="Haftalık",IF(Kalemler!$D41&lt;=(Tahmin!$C$4+55),1,0),IF(Kalemler!$E41="Aylık",IF(OR(AND(DATE(YEAR((Tahmin!$C$4+49)),MONTH((Tahmin!$C$4+49)),MIN(DAY(Kalemler!$D41),DAY(EOMONTH((Tahmin!$C$4+49),0))))&gt;=(Tahmin!$C$4+49),DATE(YEAR((Tahmin!$C$4+49)),MONTH((Tahmin!$C$4+49)),MIN(DAY(Kalemler!$D41),DAY(EOMONTH((Tahmin!$C$4+49),0))))&lt;=(Tahmin!$C$4+55),DATE(YEAR((Tahmin!$C$4+49)),MONTH((Tahmin!$C$4+49)),MIN(DAY(Kalemler!$D41),DAY(EOMONTH((Tahmin!$C$4+49),0))))&gt;=Kalemler!$D41),AND(DATE(YEAR((Tahmin!$C$4+55)),MONTH((Tahmin!$C$4+55)),MIN(DAY(Kalemler!$D41),DAY(EOMONTH((Tahmin!$C$4+55),0))))&gt;=(Tahmin!$C$4+49),DATE(YEAR((Tahmin!$C$4+55)),MONTH((Tahmin!$C$4+55)),MIN(DAY(Kalemler!$D41),DAY(EOMONTH((Tahmin!$C$4+55),0))))&lt;=(Tahmin!$C$4+55),DATE(YEAR((Tahmin!$C$4+55)),MONTH((Tahmin!$C$4+55)),MIN(DAY(Kalemler!$D41),DAY(EOMONTH((Tahmin!$C$4+55),0))))&lt;&gt;DATE(YEAR((Tahmin!$C$4+49)),MONTH((Tahmin!$C$4+49)),MIN(DAY(Kalemler!$D41),DAY(EOMONTH((Tahmin!$C$4+49),0)))),DATE(YEAR((Tahmin!$C$4+55)),MONTH((Tahmin!$C$4+55)),MIN(DAY(Kalemler!$D41),DAY(EOMONTH((Tahmin!$C$4+55),0))))&gt;=Kalemler!$D41)),1,0),IF(AND(Kalemler!$D41&gt;=(Tahmin!$C$4+49),Kalemler!$D41&lt;=(Tahmin!$C$4+55)),1,0))))</f>
        <v>0</v>
      </c>
      <c r="J41" s="0" t="n">
        <f aca="false">IF(OR(Kalemler!$A41="",Kalemler!$C41="",Kalemler!$D41=""),0,Kalemler!$C41*IF(Kalemler!$E41="Haftalık",IF(Kalemler!$D41&lt;=(Tahmin!$C$4+62),1,0),IF(Kalemler!$E41="Aylık",IF(OR(AND(DATE(YEAR((Tahmin!$C$4+56)),MONTH((Tahmin!$C$4+56)),MIN(DAY(Kalemler!$D41),DAY(EOMONTH((Tahmin!$C$4+56),0))))&gt;=(Tahmin!$C$4+56),DATE(YEAR((Tahmin!$C$4+56)),MONTH((Tahmin!$C$4+56)),MIN(DAY(Kalemler!$D41),DAY(EOMONTH((Tahmin!$C$4+56),0))))&lt;=(Tahmin!$C$4+62),DATE(YEAR((Tahmin!$C$4+56)),MONTH((Tahmin!$C$4+56)),MIN(DAY(Kalemler!$D41),DAY(EOMONTH((Tahmin!$C$4+56),0))))&gt;=Kalemler!$D41),AND(DATE(YEAR((Tahmin!$C$4+62)),MONTH((Tahmin!$C$4+62)),MIN(DAY(Kalemler!$D41),DAY(EOMONTH((Tahmin!$C$4+62),0))))&gt;=(Tahmin!$C$4+56),DATE(YEAR((Tahmin!$C$4+62)),MONTH((Tahmin!$C$4+62)),MIN(DAY(Kalemler!$D41),DAY(EOMONTH((Tahmin!$C$4+62),0))))&lt;=(Tahmin!$C$4+62),DATE(YEAR((Tahmin!$C$4+62)),MONTH((Tahmin!$C$4+62)),MIN(DAY(Kalemler!$D41),DAY(EOMONTH((Tahmin!$C$4+62),0))))&lt;&gt;DATE(YEAR((Tahmin!$C$4+56)),MONTH((Tahmin!$C$4+56)),MIN(DAY(Kalemler!$D41),DAY(EOMONTH((Tahmin!$C$4+56),0)))),DATE(YEAR((Tahmin!$C$4+62)),MONTH((Tahmin!$C$4+62)),MIN(DAY(Kalemler!$D41),DAY(EOMONTH((Tahmin!$C$4+62),0))))&gt;=Kalemler!$D41)),1,0),IF(AND(Kalemler!$D41&gt;=(Tahmin!$C$4+56),Kalemler!$D41&lt;=(Tahmin!$C$4+62)),1,0))))</f>
        <v>0</v>
      </c>
      <c r="K41" s="0" t="n">
        <f aca="false">IF(OR(Kalemler!$A41="",Kalemler!$C41="",Kalemler!$D41=""),0,Kalemler!$C41*IF(Kalemler!$E41="Haftalık",IF(Kalemler!$D41&lt;=(Tahmin!$C$4+69),1,0),IF(Kalemler!$E41="Aylık",IF(OR(AND(DATE(YEAR((Tahmin!$C$4+63)),MONTH((Tahmin!$C$4+63)),MIN(DAY(Kalemler!$D41),DAY(EOMONTH((Tahmin!$C$4+63),0))))&gt;=(Tahmin!$C$4+63),DATE(YEAR((Tahmin!$C$4+63)),MONTH((Tahmin!$C$4+63)),MIN(DAY(Kalemler!$D41),DAY(EOMONTH((Tahmin!$C$4+63),0))))&lt;=(Tahmin!$C$4+69),DATE(YEAR((Tahmin!$C$4+63)),MONTH((Tahmin!$C$4+63)),MIN(DAY(Kalemler!$D41),DAY(EOMONTH((Tahmin!$C$4+63),0))))&gt;=Kalemler!$D41),AND(DATE(YEAR((Tahmin!$C$4+69)),MONTH((Tahmin!$C$4+69)),MIN(DAY(Kalemler!$D41),DAY(EOMONTH((Tahmin!$C$4+69),0))))&gt;=(Tahmin!$C$4+63),DATE(YEAR((Tahmin!$C$4+69)),MONTH((Tahmin!$C$4+69)),MIN(DAY(Kalemler!$D41),DAY(EOMONTH((Tahmin!$C$4+69),0))))&lt;=(Tahmin!$C$4+69),DATE(YEAR((Tahmin!$C$4+69)),MONTH((Tahmin!$C$4+69)),MIN(DAY(Kalemler!$D41),DAY(EOMONTH((Tahmin!$C$4+69),0))))&lt;&gt;DATE(YEAR((Tahmin!$C$4+63)),MONTH((Tahmin!$C$4+63)),MIN(DAY(Kalemler!$D41),DAY(EOMONTH((Tahmin!$C$4+63),0)))),DATE(YEAR((Tahmin!$C$4+69)),MONTH((Tahmin!$C$4+69)),MIN(DAY(Kalemler!$D41),DAY(EOMONTH((Tahmin!$C$4+69),0))))&gt;=Kalemler!$D41)),1,0),IF(AND(Kalemler!$D41&gt;=(Tahmin!$C$4+63),Kalemler!$D41&lt;=(Tahmin!$C$4+69)),1,0))))</f>
        <v>0</v>
      </c>
      <c r="L41" s="0" t="n">
        <f aca="false">IF(OR(Kalemler!$A41="",Kalemler!$C41="",Kalemler!$D41=""),0,Kalemler!$C41*IF(Kalemler!$E41="Haftalık",IF(Kalemler!$D41&lt;=(Tahmin!$C$4+76),1,0),IF(Kalemler!$E41="Aylık",IF(OR(AND(DATE(YEAR((Tahmin!$C$4+70)),MONTH((Tahmin!$C$4+70)),MIN(DAY(Kalemler!$D41),DAY(EOMONTH((Tahmin!$C$4+70),0))))&gt;=(Tahmin!$C$4+70),DATE(YEAR((Tahmin!$C$4+70)),MONTH((Tahmin!$C$4+70)),MIN(DAY(Kalemler!$D41),DAY(EOMONTH((Tahmin!$C$4+70),0))))&lt;=(Tahmin!$C$4+76),DATE(YEAR((Tahmin!$C$4+70)),MONTH((Tahmin!$C$4+70)),MIN(DAY(Kalemler!$D41),DAY(EOMONTH((Tahmin!$C$4+70),0))))&gt;=Kalemler!$D41),AND(DATE(YEAR((Tahmin!$C$4+76)),MONTH((Tahmin!$C$4+76)),MIN(DAY(Kalemler!$D41),DAY(EOMONTH((Tahmin!$C$4+76),0))))&gt;=(Tahmin!$C$4+70),DATE(YEAR((Tahmin!$C$4+76)),MONTH((Tahmin!$C$4+76)),MIN(DAY(Kalemler!$D41),DAY(EOMONTH((Tahmin!$C$4+76),0))))&lt;=(Tahmin!$C$4+76),DATE(YEAR((Tahmin!$C$4+76)),MONTH((Tahmin!$C$4+76)),MIN(DAY(Kalemler!$D41),DAY(EOMONTH((Tahmin!$C$4+76),0))))&lt;&gt;DATE(YEAR((Tahmin!$C$4+70)),MONTH((Tahmin!$C$4+70)),MIN(DAY(Kalemler!$D41),DAY(EOMONTH((Tahmin!$C$4+70),0)))),DATE(YEAR((Tahmin!$C$4+76)),MONTH((Tahmin!$C$4+76)),MIN(DAY(Kalemler!$D41),DAY(EOMONTH((Tahmin!$C$4+76),0))))&gt;=Kalemler!$D41)),1,0),IF(AND(Kalemler!$D41&gt;=(Tahmin!$C$4+70),Kalemler!$D41&lt;=(Tahmin!$C$4+76)),1,0))))</f>
        <v>0</v>
      </c>
      <c r="M41" s="0" t="n">
        <f aca="false">IF(OR(Kalemler!$A41="",Kalemler!$C41="",Kalemler!$D41=""),0,Kalemler!$C41*IF(Kalemler!$E41="Haftalık",IF(Kalemler!$D41&lt;=(Tahmin!$C$4+83),1,0),IF(Kalemler!$E41="Aylık",IF(OR(AND(DATE(YEAR((Tahmin!$C$4+77)),MONTH((Tahmin!$C$4+77)),MIN(DAY(Kalemler!$D41),DAY(EOMONTH((Tahmin!$C$4+77),0))))&gt;=(Tahmin!$C$4+77),DATE(YEAR((Tahmin!$C$4+77)),MONTH((Tahmin!$C$4+77)),MIN(DAY(Kalemler!$D41),DAY(EOMONTH((Tahmin!$C$4+77),0))))&lt;=(Tahmin!$C$4+83),DATE(YEAR((Tahmin!$C$4+77)),MONTH((Tahmin!$C$4+77)),MIN(DAY(Kalemler!$D41),DAY(EOMONTH((Tahmin!$C$4+77),0))))&gt;=Kalemler!$D41),AND(DATE(YEAR((Tahmin!$C$4+83)),MONTH((Tahmin!$C$4+83)),MIN(DAY(Kalemler!$D41),DAY(EOMONTH((Tahmin!$C$4+83),0))))&gt;=(Tahmin!$C$4+77),DATE(YEAR((Tahmin!$C$4+83)),MONTH((Tahmin!$C$4+83)),MIN(DAY(Kalemler!$D41),DAY(EOMONTH((Tahmin!$C$4+83),0))))&lt;=(Tahmin!$C$4+83),DATE(YEAR((Tahmin!$C$4+83)),MONTH((Tahmin!$C$4+83)),MIN(DAY(Kalemler!$D41),DAY(EOMONTH((Tahmin!$C$4+83),0))))&lt;&gt;DATE(YEAR((Tahmin!$C$4+77)),MONTH((Tahmin!$C$4+77)),MIN(DAY(Kalemler!$D41),DAY(EOMONTH((Tahmin!$C$4+77),0)))),DATE(YEAR((Tahmin!$C$4+83)),MONTH((Tahmin!$C$4+83)),MIN(DAY(Kalemler!$D41),DAY(EOMONTH((Tahmin!$C$4+83),0))))&gt;=Kalemler!$D41)),1,0),IF(AND(Kalemler!$D41&gt;=(Tahmin!$C$4+77),Kalemler!$D41&lt;=(Tahmin!$C$4+83)),1,0))))</f>
        <v>0</v>
      </c>
      <c r="N41" s="0" t="n">
        <f aca="false">IF(OR(Kalemler!$A41="",Kalemler!$C41="",Kalemler!$D41=""),0,Kalemler!$C41*IF(Kalemler!$E41="Haftalık",IF(Kalemler!$D41&lt;=(Tahmin!$C$4+90),1,0),IF(Kalemler!$E41="Aylık",IF(OR(AND(DATE(YEAR((Tahmin!$C$4+84)),MONTH((Tahmin!$C$4+84)),MIN(DAY(Kalemler!$D41),DAY(EOMONTH((Tahmin!$C$4+84),0))))&gt;=(Tahmin!$C$4+84),DATE(YEAR((Tahmin!$C$4+84)),MONTH((Tahmin!$C$4+84)),MIN(DAY(Kalemler!$D41),DAY(EOMONTH((Tahmin!$C$4+84),0))))&lt;=(Tahmin!$C$4+90),DATE(YEAR((Tahmin!$C$4+84)),MONTH((Tahmin!$C$4+84)),MIN(DAY(Kalemler!$D41),DAY(EOMONTH((Tahmin!$C$4+84),0))))&gt;=Kalemler!$D41),AND(DATE(YEAR((Tahmin!$C$4+90)),MONTH((Tahmin!$C$4+90)),MIN(DAY(Kalemler!$D41),DAY(EOMONTH((Tahmin!$C$4+90),0))))&gt;=(Tahmin!$C$4+84),DATE(YEAR((Tahmin!$C$4+90)),MONTH((Tahmin!$C$4+90)),MIN(DAY(Kalemler!$D41),DAY(EOMONTH((Tahmin!$C$4+90),0))))&lt;=(Tahmin!$C$4+90),DATE(YEAR((Tahmin!$C$4+90)),MONTH((Tahmin!$C$4+90)),MIN(DAY(Kalemler!$D41),DAY(EOMONTH((Tahmin!$C$4+90),0))))&lt;&gt;DATE(YEAR((Tahmin!$C$4+84)),MONTH((Tahmin!$C$4+84)),MIN(DAY(Kalemler!$D41),DAY(EOMONTH((Tahmin!$C$4+84),0)))),DATE(YEAR((Tahmin!$C$4+90)),MONTH((Tahmin!$C$4+90)),MIN(DAY(Kalemler!$D41),DAY(EOMONTH((Tahmin!$C$4+90),0))))&gt;=Kalemler!$D41)),1,0),IF(AND(Kalemler!$D41&gt;=(Tahmin!$C$4+84),Kalemler!$D41&lt;=(Tahmin!$C$4+90)),1,0))))</f>
        <v>0</v>
      </c>
    </row>
    <row r="42" customFormat="false" ht="15" hidden="false" customHeight="false" outlineLevel="0" collapsed="false">
      <c r="A42" s="0" t="str">
        <f aca="false">IF(Kalemler!A42="","",Kalemler!A42)</f>
        <v/>
      </c>
      <c r="B42" s="0" t="n">
        <f aca="false">IF(OR(Kalemler!$A42="",Kalemler!$C42="",Kalemler!$D42=""),0,Kalemler!$C42*IF(Kalemler!$E42="Haftalık",IF(Kalemler!$D42&lt;=(Tahmin!$C$4+6),1,0),IF(Kalemler!$E42="Aylık",IF(OR(AND(DATE(YEAR((Tahmin!$C$4+0)),MONTH((Tahmin!$C$4+0)),MIN(DAY(Kalemler!$D42),DAY(EOMONTH((Tahmin!$C$4+0),0))))&gt;=(Tahmin!$C$4+0),DATE(YEAR((Tahmin!$C$4+0)),MONTH((Tahmin!$C$4+0)),MIN(DAY(Kalemler!$D42),DAY(EOMONTH((Tahmin!$C$4+0),0))))&lt;=(Tahmin!$C$4+6),DATE(YEAR((Tahmin!$C$4+0)),MONTH((Tahmin!$C$4+0)),MIN(DAY(Kalemler!$D42),DAY(EOMONTH((Tahmin!$C$4+0),0))))&gt;=Kalemler!$D42),AND(DATE(YEAR((Tahmin!$C$4+6)),MONTH((Tahmin!$C$4+6)),MIN(DAY(Kalemler!$D42),DAY(EOMONTH((Tahmin!$C$4+6),0))))&gt;=(Tahmin!$C$4+0),DATE(YEAR((Tahmin!$C$4+6)),MONTH((Tahmin!$C$4+6)),MIN(DAY(Kalemler!$D42),DAY(EOMONTH((Tahmin!$C$4+6),0))))&lt;=(Tahmin!$C$4+6),DATE(YEAR((Tahmin!$C$4+6)),MONTH((Tahmin!$C$4+6)),MIN(DAY(Kalemler!$D42),DAY(EOMONTH((Tahmin!$C$4+6),0))))&lt;&gt;DATE(YEAR((Tahmin!$C$4+0)),MONTH((Tahmin!$C$4+0)),MIN(DAY(Kalemler!$D42),DAY(EOMONTH((Tahmin!$C$4+0),0)))),DATE(YEAR((Tahmin!$C$4+6)),MONTH((Tahmin!$C$4+6)),MIN(DAY(Kalemler!$D42),DAY(EOMONTH((Tahmin!$C$4+6),0))))&gt;=Kalemler!$D42)),1,0),IF(AND(Kalemler!$D42&gt;=(Tahmin!$C$4+0),Kalemler!$D42&lt;=(Tahmin!$C$4+6)),1,0))))</f>
        <v>0</v>
      </c>
      <c r="C42" s="0" t="n">
        <f aca="false">IF(OR(Kalemler!$A42="",Kalemler!$C42="",Kalemler!$D42=""),0,Kalemler!$C42*IF(Kalemler!$E42="Haftalık",IF(Kalemler!$D42&lt;=(Tahmin!$C$4+13),1,0),IF(Kalemler!$E42="Aylık",IF(OR(AND(DATE(YEAR((Tahmin!$C$4+7)),MONTH((Tahmin!$C$4+7)),MIN(DAY(Kalemler!$D42),DAY(EOMONTH((Tahmin!$C$4+7),0))))&gt;=(Tahmin!$C$4+7),DATE(YEAR((Tahmin!$C$4+7)),MONTH((Tahmin!$C$4+7)),MIN(DAY(Kalemler!$D42),DAY(EOMONTH((Tahmin!$C$4+7),0))))&lt;=(Tahmin!$C$4+13),DATE(YEAR((Tahmin!$C$4+7)),MONTH((Tahmin!$C$4+7)),MIN(DAY(Kalemler!$D42),DAY(EOMONTH((Tahmin!$C$4+7),0))))&gt;=Kalemler!$D42),AND(DATE(YEAR((Tahmin!$C$4+13)),MONTH((Tahmin!$C$4+13)),MIN(DAY(Kalemler!$D42),DAY(EOMONTH((Tahmin!$C$4+13),0))))&gt;=(Tahmin!$C$4+7),DATE(YEAR((Tahmin!$C$4+13)),MONTH((Tahmin!$C$4+13)),MIN(DAY(Kalemler!$D42),DAY(EOMONTH((Tahmin!$C$4+13),0))))&lt;=(Tahmin!$C$4+13),DATE(YEAR((Tahmin!$C$4+13)),MONTH((Tahmin!$C$4+13)),MIN(DAY(Kalemler!$D42),DAY(EOMONTH((Tahmin!$C$4+13),0))))&lt;&gt;DATE(YEAR((Tahmin!$C$4+7)),MONTH((Tahmin!$C$4+7)),MIN(DAY(Kalemler!$D42),DAY(EOMONTH((Tahmin!$C$4+7),0)))),DATE(YEAR((Tahmin!$C$4+13)),MONTH((Tahmin!$C$4+13)),MIN(DAY(Kalemler!$D42),DAY(EOMONTH((Tahmin!$C$4+13),0))))&gt;=Kalemler!$D42)),1,0),IF(AND(Kalemler!$D42&gt;=(Tahmin!$C$4+7),Kalemler!$D42&lt;=(Tahmin!$C$4+13)),1,0))))</f>
        <v>0</v>
      </c>
      <c r="D42" s="0" t="n">
        <f aca="false">IF(OR(Kalemler!$A42="",Kalemler!$C42="",Kalemler!$D42=""),0,Kalemler!$C42*IF(Kalemler!$E42="Haftalık",IF(Kalemler!$D42&lt;=(Tahmin!$C$4+20),1,0),IF(Kalemler!$E42="Aylık",IF(OR(AND(DATE(YEAR((Tahmin!$C$4+14)),MONTH((Tahmin!$C$4+14)),MIN(DAY(Kalemler!$D42),DAY(EOMONTH((Tahmin!$C$4+14),0))))&gt;=(Tahmin!$C$4+14),DATE(YEAR((Tahmin!$C$4+14)),MONTH((Tahmin!$C$4+14)),MIN(DAY(Kalemler!$D42),DAY(EOMONTH((Tahmin!$C$4+14),0))))&lt;=(Tahmin!$C$4+20),DATE(YEAR((Tahmin!$C$4+14)),MONTH((Tahmin!$C$4+14)),MIN(DAY(Kalemler!$D42),DAY(EOMONTH((Tahmin!$C$4+14),0))))&gt;=Kalemler!$D42),AND(DATE(YEAR((Tahmin!$C$4+20)),MONTH((Tahmin!$C$4+20)),MIN(DAY(Kalemler!$D42),DAY(EOMONTH((Tahmin!$C$4+20),0))))&gt;=(Tahmin!$C$4+14),DATE(YEAR((Tahmin!$C$4+20)),MONTH((Tahmin!$C$4+20)),MIN(DAY(Kalemler!$D42),DAY(EOMONTH((Tahmin!$C$4+20),0))))&lt;=(Tahmin!$C$4+20),DATE(YEAR((Tahmin!$C$4+20)),MONTH((Tahmin!$C$4+20)),MIN(DAY(Kalemler!$D42),DAY(EOMONTH((Tahmin!$C$4+20),0))))&lt;&gt;DATE(YEAR((Tahmin!$C$4+14)),MONTH((Tahmin!$C$4+14)),MIN(DAY(Kalemler!$D42),DAY(EOMONTH((Tahmin!$C$4+14),0)))),DATE(YEAR((Tahmin!$C$4+20)),MONTH((Tahmin!$C$4+20)),MIN(DAY(Kalemler!$D42),DAY(EOMONTH((Tahmin!$C$4+20),0))))&gt;=Kalemler!$D42)),1,0),IF(AND(Kalemler!$D42&gt;=(Tahmin!$C$4+14),Kalemler!$D42&lt;=(Tahmin!$C$4+20)),1,0))))</f>
        <v>0</v>
      </c>
      <c r="E42" s="0" t="n">
        <f aca="false">IF(OR(Kalemler!$A42="",Kalemler!$C42="",Kalemler!$D42=""),0,Kalemler!$C42*IF(Kalemler!$E42="Haftalık",IF(Kalemler!$D42&lt;=(Tahmin!$C$4+27),1,0),IF(Kalemler!$E42="Aylık",IF(OR(AND(DATE(YEAR((Tahmin!$C$4+21)),MONTH((Tahmin!$C$4+21)),MIN(DAY(Kalemler!$D42),DAY(EOMONTH((Tahmin!$C$4+21),0))))&gt;=(Tahmin!$C$4+21),DATE(YEAR((Tahmin!$C$4+21)),MONTH((Tahmin!$C$4+21)),MIN(DAY(Kalemler!$D42),DAY(EOMONTH((Tahmin!$C$4+21),0))))&lt;=(Tahmin!$C$4+27),DATE(YEAR((Tahmin!$C$4+21)),MONTH((Tahmin!$C$4+21)),MIN(DAY(Kalemler!$D42),DAY(EOMONTH((Tahmin!$C$4+21),0))))&gt;=Kalemler!$D42),AND(DATE(YEAR((Tahmin!$C$4+27)),MONTH((Tahmin!$C$4+27)),MIN(DAY(Kalemler!$D42),DAY(EOMONTH((Tahmin!$C$4+27),0))))&gt;=(Tahmin!$C$4+21),DATE(YEAR((Tahmin!$C$4+27)),MONTH((Tahmin!$C$4+27)),MIN(DAY(Kalemler!$D42),DAY(EOMONTH((Tahmin!$C$4+27),0))))&lt;=(Tahmin!$C$4+27),DATE(YEAR((Tahmin!$C$4+27)),MONTH((Tahmin!$C$4+27)),MIN(DAY(Kalemler!$D42),DAY(EOMONTH((Tahmin!$C$4+27),0))))&lt;&gt;DATE(YEAR((Tahmin!$C$4+21)),MONTH((Tahmin!$C$4+21)),MIN(DAY(Kalemler!$D42),DAY(EOMONTH((Tahmin!$C$4+21),0)))),DATE(YEAR((Tahmin!$C$4+27)),MONTH((Tahmin!$C$4+27)),MIN(DAY(Kalemler!$D42),DAY(EOMONTH((Tahmin!$C$4+27),0))))&gt;=Kalemler!$D42)),1,0),IF(AND(Kalemler!$D42&gt;=(Tahmin!$C$4+21),Kalemler!$D42&lt;=(Tahmin!$C$4+27)),1,0))))</f>
        <v>0</v>
      </c>
      <c r="F42" s="0" t="n">
        <f aca="false">IF(OR(Kalemler!$A42="",Kalemler!$C42="",Kalemler!$D42=""),0,Kalemler!$C42*IF(Kalemler!$E42="Haftalık",IF(Kalemler!$D42&lt;=(Tahmin!$C$4+34),1,0),IF(Kalemler!$E42="Aylık",IF(OR(AND(DATE(YEAR((Tahmin!$C$4+28)),MONTH((Tahmin!$C$4+28)),MIN(DAY(Kalemler!$D42),DAY(EOMONTH((Tahmin!$C$4+28),0))))&gt;=(Tahmin!$C$4+28),DATE(YEAR((Tahmin!$C$4+28)),MONTH((Tahmin!$C$4+28)),MIN(DAY(Kalemler!$D42),DAY(EOMONTH((Tahmin!$C$4+28),0))))&lt;=(Tahmin!$C$4+34),DATE(YEAR((Tahmin!$C$4+28)),MONTH((Tahmin!$C$4+28)),MIN(DAY(Kalemler!$D42),DAY(EOMONTH((Tahmin!$C$4+28),0))))&gt;=Kalemler!$D42),AND(DATE(YEAR((Tahmin!$C$4+34)),MONTH((Tahmin!$C$4+34)),MIN(DAY(Kalemler!$D42),DAY(EOMONTH((Tahmin!$C$4+34),0))))&gt;=(Tahmin!$C$4+28),DATE(YEAR((Tahmin!$C$4+34)),MONTH((Tahmin!$C$4+34)),MIN(DAY(Kalemler!$D42),DAY(EOMONTH((Tahmin!$C$4+34),0))))&lt;=(Tahmin!$C$4+34),DATE(YEAR((Tahmin!$C$4+34)),MONTH((Tahmin!$C$4+34)),MIN(DAY(Kalemler!$D42),DAY(EOMONTH((Tahmin!$C$4+34),0))))&lt;&gt;DATE(YEAR((Tahmin!$C$4+28)),MONTH((Tahmin!$C$4+28)),MIN(DAY(Kalemler!$D42),DAY(EOMONTH((Tahmin!$C$4+28),0)))),DATE(YEAR((Tahmin!$C$4+34)),MONTH((Tahmin!$C$4+34)),MIN(DAY(Kalemler!$D42),DAY(EOMONTH((Tahmin!$C$4+34),0))))&gt;=Kalemler!$D42)),1,0),IF(AND(Kalemler!$D42&gt;=(Tahmin!$C$4+28),Kalemler!$D42&lt;=(Tahmin!$C$4+34)),1,0))))</f>
        <v>0</v>
      </c>
      <c r="G42" s="0" t="n">
        <f aca="false">IF(OR(Kalemler!$A42="",Kalemler!$C42="",Kalemler!$D42=""),0,Kalemler!$C42*IF(Kalemler!$E42="Haftalık",IF(Kalemler!$D42&lt;=(Tahmin!$C$4+41),1,0),IF(Kalemler!$E42="Aylık",IF(OR(AND(DATE(YEAR((Tahmin!$C$4+35)),MONTH((Tahmin!$C$4+35)),MIN(DAY(Kalemler!$D42),DAY(EOMONTH((Tahmin!$C$4+35),0))))&gt;=(Tahmin!$C$4+35),DATE(YEAR((Tahmin!$C$4+35)),MONTH((Tahmin!$C$4+35)),MIN(DAY(Kalemler!$D42),DAY(EOMONTH((Tahmin!$C$4+35),0))))&lt;=(Tahmin!$C$4+41),DATE(YEAR((Tahmin!$C$4+35)),MONTH((Tahmin!$C$4+35)),MIN(DAY(Kalemler!$D42),DAY(EOMONTH((Tahmin!$C$4+35),0))))&gt;=Kalemler!$D42),AND(DATE(YEAR((Tahmin!$C$4+41)),MONTH((Tahmin!$C$4+41)),MIN(DAY(Kalemler!$D42),DAY(EOMONTH((Tahmin!$C$4+41),0))))&gt;=(Tahmin!$C$4+35),DATE(YEAR((Tahmin!$C$4+41)),MONTH((Tahmin!$C$4+41)),MIN(DAY(Kalemler!$D42),DAY(EOMONTH((Tahmin!$C$4+41),0))))&lt;=(Tahmin!$C$4+41),DATE(YEAR((Tahmin!$C$4+41)),MONTH((Tahmin!$C$4+41)),MIN(DAY(Kalemler!$D42),DAY(EOMONTH((Tahmin!$C$4+41),0))))&lt;&gt;DATE(YEAR((Tahmin!$C$4+35)),MONTH((Tahmin!$C$4+35)),MIN(DAY(Kalemler!$D42),DAY(EOMONTH((Tahmin!$C$4+35),0)))),DATE(YEAR((Tahmin!$C$4+41)),MONTH((Tahmin!$C$4+41)),MIN(DAY(Kalemler!$D42),DAY(EOMONTH((Tahmin!$C$4+41),0))))&gt;=Kalemler!$D42)),1,0),IF(AND(Kalemler!$D42&gt;=(Tahmin!$C$4+35),Kalemler!$D42&lt;=(Tahmin!$C$4+41)),1,0))))</f>
        <v>0</v>
      </c>
      <c r="H42" s="0" t="n">
        <f aca="false">IF(OR(Kalemler!$A42="",Kalemler!$C42="",Kalemler!$D42=""),0,Kalemler!$C42*IF(Kalemler!$E42="Haftalık",IF(Kalemler!$D42&lt;=(Tahmin!$C$4+48),1,0),IF(Kalemler!$E42="Aylık",IF(OR(AND(DATE(YEAR((Tahmin!$C$4+42)),MONTH((Tahmin!$C$4+42)),MIN(DAY(Kalemler!$D42),DAY(EOMONTH((Tahmin!$C$4+42),0))))&gt;=(Tahmin!$C$4+42),DATE(YEAR((Tahmin!$C$4+42)),MONTH((Tahmin!$C$4+42)),MIN(DAY(Kalemler!$D42),DAY(EOMONTH((Tahmin!$C$4+42),0))))&lt;=(Tahmin!$C$4+48),DATE(YEAR((Tahmin!$C$4+42)),MONTH((Tahmin!$C$4+42)),MIN(DAY(Kalemler!$D42),DAY(EOMONTH((Tahmin!$C$4+42),0))))&gt;=Kalemler!$D42),AND(DATE(YEAR((Tahmin!$C$4+48)),MONTH((Tahmin!$C$4+48)),MIN(DAY(Kalemler!$D42),DAY(EOMONTH((Tahmin!$C$4+48),0))))&gt;=(Tahmin!$C$4+42),DATE(YEAR((Tahmin!$C$4+48)),MONTH((Tahmin!$C$4+48)),MIN(DAY(Kalemler!$D42),DAY(EOMONTH((Tahmin!$C$4+48),0))))&lt;=(Tahmin!$C$4+48),DATE(YEAR((Tahmin!$C$4+48)),MONTH((Tahmin!$C$4+48)),MIN(DAY(Kalemler!$D42),DAY(EOMONTH((Tahmin!$C$4+48),0))))&lt;&gt;DATE(YEAR((Tahmin!$C$4+42)),MONTH((Tahmin!$C$4+42)),MIN(DAY(Kalemler!$D42),DAY(EOMONTH((Tahmin!$C$4+42),0)))),DATE(YEAR((Tahmin!$C$4+48)),MONTH((Tahmin!$C$4+48)),MIN(DAY(Kalemler!$D42),DAY(EOMONTH((Tahmin!$C$4+48),0))))&gt;=Kalemler!$D42)),1,0),IF(AND(Kalemler!$D42&gt;=(Tahmin!$C$4+42),Kalemler!$D42&lt;=(Tahmin!$C$4+48)),1,0))))</f>
        <v>0</v>
      </c>
      <c r="I42" s="0" t="n">
        <f aca="false">IF(OR(Kalemler!$A42="",Kalemler!$C42="",Kalemler!$D42=""),0,Kalemler!$C42*IF(Kalemler!$E42="Haftalık",IF(Kalemler!$D42&lt;=(Tahmin!$C$4+55),1,0),IF(Kalemler!$E42="Aylık",IF(OR(AND(DATE(YEAR((Tahmin!$C$4+49)),MONTH((Tahmin!$C$4+49)),MIN(DAY(Kalemler!$D42),DAY(EOMONTH((Tahmin!$C$4+49),0))))&gt;=(Tahmin!$C$4+49),DATE(YEAR((Tahmin!$C$4+49)),MONTH((Tahmin!$C$4+49)),MIN(DAY(Kalemler!$D42),DAY(EOMONTH((Tahmin!$C$4+49),0))))&lt;=(Tahmin!$C$4+55),DATE(YEAR((Tahmin!$C$4+49)),MONTH((Tahmin!$C$4+49)),MIN(DAY(Kalemler!$D42),DAY(EOMONTH((Tahmin!$C$4+49),0))))&gt;=Kalemler!$D42),AND(DATE(YEAR((Tahmin!$C$4+55)),MONTH((Tahmin!$C$4+55)),MIN(DAY(Kalemler!$D42),DAY(EOMONTH((Tahmin!$C$4+55),0))))&gt;=(Tahmin!$C$4+49),DATE(YEAR((Tahmin!$C$4+55)),MONTH((Tahmin!$C$4+55)),MIN(DAY(Kalemler!$D42),DAY(EOMONTH((Tahmin!$C$4+55),0))))&lt;=(Tahmin!$C$4+55),DATE(YEAR((Tahmin!$C$4+55)),MONTH((Tahmin!$C$4+55)),MIN(DAY(Kalemler!$D42),DAY(EOMONTH((Tahmin!$C$4+55),0))))&lt;&gt;DATE(YEAR((Tahmin!$C$4+49)),MONTH((Tahmin!$C$4+49)),MIN(DAY(Kalemler!$D42),DAY(EOMONTH((Tahmin!$C$4+49),0)))),DATE(YEAR((Tahmin!$C$4+55)),MONTH((Tahmin!$C$4+55)),MIN(DAY(Kalemler!$D42),DAY(EOMONTH((Tahmin!$C$4+55),0))))&gt;=Kalemler!$D42)),1,0),IF(AND(Kalemler!$D42&gt;=(Tahmin!$C$4+49),Kalemler!$D42&lt;=(Tahmin!$C$4+55)),1,0))))</f>
        <v>0</v>
      </c>
      <c r="J42" s="0" t="n">
        <f aca="false">IF(OR(Kalemler!$A42="",Kalemler!$C42="",Kalemler!$D42=""),0,Kalemler!$C42*IF(Kalemler!$E42="Haftalık",IF(Kalemler!$D42&lt;=(Tahmin!$C$4+62),1,0),IF(Kalemler!$E42="Aylık",IF(OR(AND(DATE(YEAR((Tahmin!$C$4+56)),MONTH((Tahmin!$C$4+56)),MIN(DAY(Kalemler!$D42),DAY(EOMONTH((Tahmin!$C$4+56),0))))&gt;=(Tahmin!$C$4+56),DATE(YEAR((Tahmin!$C$4+56)),MONTH((Tahmin!$C$4+56)),MIN(DAY(Kalemler!$D42),DAY(EOMONTH((Tahmin!$C$4+56),0))))&lt;=(Tahmin!$C$4+62),DATE(YEAR((Tahmin!$C$4+56)),MONTH((Tahmin!$C$4+56)),MIN(DAY(Kalemler!$D42),DAY(EOMONTH((Tahmin!$C$4+56),0))))&gt;=Kalemler!$D42),AND(DATE(YEAR((Tahmin!$C$4+62)),MONTH((Tahmin!$C$4+62)),MIN(DAY(Kalemler!$D42),DAY(EOMONTH((Tahmin!$C$4+62),0))))&gt;=(Tahmin!$C$4+56),DATE(YEAR((Tahmin!$C$4+62)),MONTH((Tahmin!$C$4+62)),MIN(DAY(Kalemler!$D42),DAY(EOMONTH((Tahmin!$C$4+62),0))))&lt;=(Tahmin!$C$4+62),DATE(YEAR((Tahmin!$C$4+62)),MONTH((Tahmin!$C$4+62)),MIN(DAY(Kalemler!$D42),DAY(EOMONTH((Tahmin!$C$4+62),0))))&lt;&gt;DATE(YEAR((Tahmin!$C$4+56)),MONTH((Tahmin!$C$4+56)),MIN(DAY(Kalemler!$D42),DAY(EOMONTH((Tahmin!$C$4+56),0)))),DATE(YEAR((Tahmin!$C$4+62)),MONTH((Tahmin!$C$4+62)),MIN(DAY(Kalemler!$D42),DAY(EOMONTH((Tahmin!$C$4+62),0))))&gt;=Kalemler!$D42)),1,0),IF(AND(Kalemler!$D42&gt;=(Tahmin!$C$4+56),Kalemler!$D42&lt;=(Tahmin!$C$4+62)),1,0))))</f>
        <v>0</v>
      </c>
      <c r="K42" s="0" t="n">
        <f aca="false">IF(OR(Kalemler!$A42="",Kalemler!$C42="",Kalemler!$D42=""),0,Kalemler!$C42*IF(Kalemler!$E42="Haftalık",IF(Kalemler!$D42&lt;=(Tahmin!$C$4+69),1,0),IF(Kalemler!$E42="Aylık",IF(OR(AND(DATE(YEAR((Tahmin!$C$4+63)),MONTH((Tahmin!$C$4+63)),MIN(DAY(Kalemler!$D42),DAY(EOMONTH((Tahmin!$C$4+63),0))))&gt;=(Tahmin!$C$4+63),DATE(YEAR((Tahmin!$C$4+63)),MONTH((Tahmin!$C$4+63)),MIN(DAY(Kalemler!$D42),DAY(EOMONTH((Tahmin!$C$4+63),0))))&lt;=(Tahmin!$C$4+69),DATE(YEAR((Tahmin!$C$4+63)),MONTH((Tahmin!$C$4+63)),MIN(DAY(Kalemler!$D42),DAY(EOMONTH((Tahmin!$C$4+63),0))))&gt;=Kalemler!$D42),AND(DATE(YEAR((Tahmin!$C$4+69)),MONTH((Tahmin!$C$4+69)),MIN(DAY(Kalemler!$D42),DAY(EOMONTH((Tahmin!$C$4+69),0))))&gt;=(Tahmin!$C$4+63),DATE(YEAR((Tahmin!$C$4+69)),MONTH((Tahmin!$C$4+69)),MIN(DAY(Kalemler!$D42),DAY(EOMONTH((Tahmin!$C$4+69),0))))&lt;=(Tahmin!$C$4+69),DATE(YEAR((Tahmin!$C$4+69)),MONTH((Tahmin!$C$4+69)),MIN(DAY(Kalemler!$D42),DAY(EOMONTH((Tahmin!$C$4+69),0))))&lt;&gt;DATE(YEAR((Tahmin!$C$4+63)),MONTH((Tahmin!$C$4+63)),MIN(DAY(Kalemler!$D42),DAY(EOMONTH((Tahmin!$C$4+63),0)))),DATE(YEAR((Tahmin!$C$4+69)),MONTH((Tahmin!$C$4+69)),MIN(DAY(Kalemler!$D42),DAY(EOMONTH((Tahmin!$C$4+69),0))))&gt;=Kalemler!$D42)),1,0),IF(AND(Kalemler!$D42&gt;=(Tahmin!$C$4+63),Kalemler!$D42&lt;=(Tahmin!$C$4+69)),1,0))))</f>
        <v>0</v>
      </c>
      <c r="L42" s="0" t="n">
        <f aca="false">IF(OR(Kalemler!$A42="",Kalemler!$C42="",Kalemler!$D42=""),0,Kalemler!$C42*IF(Kalemler!$E42="Haftalık",IF(Kalemler!$D42&lt;=(Tahmin!$C$4+76),1,0),IF(Kalemler!$E42="Aylık",IF(OR(AND(DATE(YEAR((Tahmin!$C$4+70)),MONTH((Tahmin!$C$4+70)),MIN(DAY(Kalemler!$D42),DAY(EOMONTH((Tahmin!$C$4+70),0))))&gt;=(Tahmin!$C$4+70),DATE(YEAR((Tahmin!$C$4+70)),MONTH((Tahmin!$C$4+70)),MIN(DAY(Kalemler!$D42),DAY(EOMONTH((Tahmin!$C$4+70),0))))&lt;=(Tahmin!$C$4+76),DATE(YEAR((Tahmin!$C$4+70)),MONTH((Tahmin!$C$4+70)),MIN(DAY(Kalemler!$D42),DAY(EOMONTH((Tahmin!$C$4+70),0))))&gt;=Kalemler!$D42),AND(DATE(YEAR((Tahmin!$C$4+76)),MONTH((Tahmin!$C$4+76)),MIN(DAY(Kalemler!$D42),DAY(EOMONTH((Tahmin!$C$4+76),0))))&gt;=(Tahmin!$C$4+70),DATE(YEAR((Tahmin!$C$4+76)),MONTH((Tahmin!$C$4+76)),MIN(DAY(Kalemler!$D42),DAY(EOMONTH((Tahmin!$C$4+76),0))))&lt;=(Tahmin!$C$4+76),DATE(YEAR((Tahmin!$C$4+76)),MONTH((Tahmin!$C$4+76)),MIN(DAY(Kalemler!$D42),DAY(EOMONTH((Tahmin!$C$4+76),0))))&lt;&gt;DATE(YEAR((Tahmin!$C$4+70)),MONTH((Tahmin!$C$4+70)),MIN(DAY(Kalemler!$D42),DAY(EOMONTH((Tahmin!$C$4+70),0)))),DATE(YEAR((Tahmin!$C$4+76)),MONTH((Tahmin!$C$4+76)),MIN(DAY(Kalemler!$D42),DAY(EOMONTH((Tahmin!$C$4+76),0))))&gt;=Kalemler!$D42)),1,0),IF(AND(Kalemler!$D42&gt;=(Tahmin!$C$4+70),Kalemler!$D42&lt;=(Tahmin!$C$4+76)),1,0))))</f>
        <v>0</v>
      </c>
      <c r="M42" s="0" t="n">
        <f aca="false">IF(OR(Kalemler!$A42="",Kalemler!$C42="",Kalemler!$D42=""),0,Kalemler!$C42*IF(Kalemler!$E42="Haftalık",IF(Kalemler!$D42&lt;=(Tahmin!$C$4+83),1,0),IF(Kalemler!$E42="Aylık",IF(OR(AND(DATE(YEAR((Tahmin!$C$4+77)),MONTH((Tahmin!$C$4+77)),MIN(DAY(Kalemler!$D42),DAY(EOMONTH((Tahmin!$C$4+77),0))))&gt;=(Tahmin!$C$4+77),DATE(YEAR((Tahmin!$C$4+77)),MONTH((Tahmin!$C$4+77)),MIN(DAY(Kalemler!$D42),DAY(EOMONTH((Tahmin!$C$4+77),0))))&lt;=(Tahmin!$C$4+83),DATE(YEAR((Tahmin!$C$4+77)),MONTH((Tahmin!$C$4+77)),MIN(DAY(Kalemler!$D42),DAY(EOMONTH((Tahmin!$C$4+77),0))))&gt;=Kalemler!$D42),AND(DATE(YEAR((Tahmin!$C$4+83)),MONTH((Tahmin!$C$4+83)),MIN(DAY(Kalemler!$D42),DAY(EOMONTH((Tahmin!$C$4+83),0))))&gt;=(Tahmin!$C$4+77),DATE(YEAR((Tahmin!$C$4+83)),MONTH((Tahmin!$C$4+83)),MIN(DAY(Kalemler!$D42),DAY(EOMONTH((Tahmin!$C$4+83),0))))&lt;=(Tahmin!$C$4+83),DATE(YEAR((Tahmin!$C$4+83)),MONTH((Tahmin!$C$4+83)),MIN(DAY(Kalemler!$D42),DAY(EOMONTH((Tahmin!$C$4+83),0))))&lt;&gt;DATE(YEAR((Tahmin!$C$4+77)),MONTH((Tahmin!$C$4+77)),MIN(DAY(Kalemler!$D42),DAY(EOMONTH((Tahmin!$C$4+77),0)))),DATE(YEAR((Tahmin!$C$4+83)),MONTH((Tahmin!$C$4+83)),MIN(DAY(Kalemler!$D42),DAY(EOMONTH((Tahmin!$C$4+83),0))))&gt;=Kalemler!$D42)),1,0),IF(AND(Kalemler!$D42&gt;=(Tahmin!$C$4+77),Kalemler!$D42&lt;=(Tahmin!$C$4+83)),1,0))))</f>
        <v>0</v>
      </c>
      <c r="N42" s="0" t="n">
        <f aca="false">IF(OR(Kalemler!$A42="",Kalemler!$C42="",Kalemler!$D42=""),0,Kalemler!$C42*IF(Kalemler!$E42="Haftalık",IF(Kalemler!$D42&lt;=(Tahmin!$C$4+90),1,0),IF(Kalemler!$E42="Aylık",IF(OR(AND(DATE(YEAR((Tahmin!$C$4+84)),MONTH((Tahmin!$C$4+84)),MIN(DAY(Kalemler!$D42),DAY(EOMONTH((Tahmin!$C$4+84),0))))&gt;=(Tahmin!$C$4+84),DATE(YEAR((Tahmin!$C$4+84)),MONTH((Tahmin!$C$4+84)),MIN(DAY(Kalemler!$D42),DAY(EOMONTH((Tahmin!$C$4+84),0))))&lt;=(Tahmin!$C$4+90),DATE(YEAR((Tahmin!$C$4+84)),MONTH((Tahmin!$C$4+84)),MIN(DAY(Kalemler!$D42),DAY(EOMONTH((Tahmin!$C$4+84),0))))&gt;=Kalemler!$D42),AND(DATE(YEAR((Tahmin!$C$4+90)),MONTH((Tahmin!$C$4+90)),MIN(DAY(Kalemler!$D42),DAY(EOMONTH((Tahmin!$C$4+90),0))))&gt;=(Tahmin!$C$4+84),DATE(YEAR((Tahmin!$C$4+90)),MONTH((Tahmin!$C$4+90)),MIN(DAY(Kalemler!$D42),DAY(EOMONTH((Tahmin!$C$4+90),0))))&lt;=(Tahmin!$C$4+90),DATE(YEAR((Tahmin!$C$4+90)),MONTH((Tahmin!$C$4+90)),MIN(DAY(Kalemler!$D42),DAY(EOMONTH((Tahmin!$C$4+90),0))))&lt;&gt;DATE(YEAR((Tahmin!$C$4+84)),MONTH((Tahmin!$C$4+84)),MIN(DAY(Kalemler!$D42),DAY(EOMONTH((Tahmin!$C$4+84),0)))),DATE(YEAR((Tahmin!$C$4+90)),MONTH((Tahmin!$C$4+90)),MIN(DAY(Kalemler!$D42),DAY(EOMONTH((Tahmin!$C$4+90),0))))&gt;=Kalemler!$D42)),1,0),IF(AND(Kalemler!$D42&gt;=(Tahmin!$C$4+84),Kalemler!$D42&lt;=(Tahmin!$C$4+90)),1,0))))</f>
        <v>0</v>
      </c>
    </row>
    <row r="43" customFormat="false" ht="15" hidden="false" customHeight="false" outlineLevel="0" collapsed="false">
      <c r="A43" s="0" t="str">
        <f aca="false">IF(Kalemler!A43="","",Kalemler!A43)</f>
        <v/>
      </c>
      <c r="B43" s="0" t="n">
        <f aca="false">IF(OR(Kalemler!$A43="",Kalemler!$C43="",Kalemler!$D43=""),0,Kalemler!$C43*IF(Kalemler!$E43="Haftalık",IF(Kalemler!$D43&lt;=(Tahmin!$C$4+6),1,0),IF(Kalemler!$E43="Aylık",IF(OR(AND(DATE(YEAR((Tahmin!$C$4+0)),MONTH((Tahmin!$C$4+0)),MIN(DAY(Kalemler!$D43),DAY(EOMONTH((Tahmin!$C$4+0),0))))&gt;=(Tahmin!$C$4+0),DATE(YEAR((Tahmin!$C$4+0)),MONTH((Tahmin!$C$4+0)),MIN(DAY(Kalemler!$D43),DAY(EOMONTH((Tahmin!$C$4+0),0))))&lt;=(Tahmin!$C$4+6),DATE(YEAR((Tahmin!$C$4+0)),MONTH((Tahmin!$C$4+0)),MIN(DAY(Kalemler!$D43),DAY(EOMONTH((Tahmin!$C$4+0),0))))&gt;=Kalemler!$D43),AND(DATE(YEAR((Tahmin!$C$4+6)),MONTH((Tahmin!$C$4+6)),MIN(DAY(Kalemler!$D43),DAY(EOMONTH((Tahmin!$C$4+6),0))))&gt;=(Tahmin!$C$4+0),DATE(YEAR((Tahmin!$C$4+6)),MONTH((Tahmin!$C$4+6)),MIN(DAY(Kalemler!$D43),DAY(EOMONTH((Tahmin!$C$4+6),0))))&lt;=(Tahmin!$C$4+6),DATE(YEAR((Tahmin!$C$4+6)),MONTH((Tahmin!$C$4+6)),MIN(DAY(Kalemler!$D43),DAY(EOMONTH((Tahmin!$C$4+6),0))))&lt;&gt;DATE(YEAR((Tahmin!$C$4+0)),MONTH((Tahmin!$C$4+0)),MIN(DAY(Kalemler!$D43),DAY(EOMONTH((Tahmin!$C$4+0),0)))),DATE(YEAR((Tahmin!$C$4+6)),MONTH((Tahmin!$C$4+6)),MIN(DAY(Kalemler!$D43),DAY(EOMONTH((Tahmin!$C$4+6),0))))&gt;=Kalemler!$D43)),1,0),IF(AND(Kalemler!$D43&gt;=(Tahmin!$C$4+0),Kalemler!$D43&lt;=(Tahmin!$C$4+6)),1,0))))</f>
        <v>0</v>
      </c>
      <c r="C43" s="0" t="n">
        <f aca="false">IF(OR(Kalemler!$A43="",Kalemler!$C43="",Kalemler!$D43=""),0,Kalemler!$C43*IF(Kalemler!$E43="Haftalık",IF(Kalemler!$D43&lt;=(Tahmin!$C$4+13),1,0),IF(Kalemler!$E43="Aylık",IF(OR(AND(DATE(YEAR((Tahmin!$C$4+7)),MONTH((Tahmin!$C$4+7)),MIN(DAY(Kalemler!$D43),DAY(EOMONTH((Tahmin!$C$4+7),0))))&gt;=(Tahmin!$C$4+7),DATE(YEAR((Tahmin!$C$4+7)),MONTH((Tahmin!$C$4+7)),MIN(DAY(Kalemler!$D43),DAY(EOMONTH((Tahmin!$C$4+7),0))))&lt;=(Tahmin!$C$4+13),DATE(YEAR((Tahmin!$C$4+7)),MONTH((Tahmin!$C$4+7)),MIN(DAY(Kalemler!$D43),DAY(EOMONTH((Tahmin!$C$4+7),0))))&gt;=Kalemler!$D43),AND(DATE(YEAR((Tahmin!$C$4+13)),MONTH((Tahmin!$C$4+13)),MIN(DAY(Kalemler!$D43),DAY(EOMONTH((Tahmin!$C$4+13),0))))&gt;=(Tahmin!$C$4+7),DATE(YEAR((Tahmin!$C$4+13)),MONTH((Tahmin!$C$4+13)),MIN(DAY(Kalemler!$D43),DAY(EOMONTH((Tahmin!$C$4+13),0))))&lt;=(Tahmin!$C$4+13),DATE(YEAR((Tahmin!$C$4+13)),MONTH((Tahmin!$C$4+13)),MIN(DAY(Kalemler!$D43),DAY(EOMONTH((Tahmin!$C$4+13),0))))&lt;&gt;DATE(YEAR((Tahmin!$C$4+7)),MONTH((Tahmin!$C$4+7)),MIN(DAY(Kalemler!$D43),DAY(EOMONTH((Tahmin!$C$4+7),0)))),DATE(YEAR((Tahmin!$C$4+13)),MONTH((Tahmin!$C$4+13)),MIN(DAY(Kalemler!$D43),DAY(EOMONTH((Tahmin!$C$4+13),0))))&gt;=Kalemler!$D43)),1,0),IF(AND(Kalemler!$D43&gt;=(Tahmin!$C$4+7),Kalemler!$D43&lt;=(Tahmin!$C$4+13)),1,0))))</f>
        <v>0</v>
      </c>
      <c r="D43" s="0" t="n">
        <f aca="false">IF(OR(Kalemler!$A43="",Kalemler!$C43="",Kalemler!$D43=""),0,Kalemler!$C43*IF(Kalemler!$E43="Haftalık",IF(Kalemler!$D43&lt;=(Tahmin!$C$4+20),1,0),IF(Kalemler!$E43="Aylık",IF(OR(AND(DATE(YEAR((Tahmin!$C$4+14)),MONTH((Tahmin!$C$4+14)),MIN(DAY(Kalemler!$D43),DAY(EOMONTH((Tahmin!$C$4+14),0))))&gt;=(Tahmin!$C$4+14),DATE(YEAR((Tahmin!$C$4+14)),MONTH((Tahmin!$C$4+14)),MIN(DAY(Kalemler!$D43),DAY(EOMONTH((Tahmin!$C$4+14),0))))&lt;=(Tahmin!$C$4+20),DATE(YEAR((Tahmin!$C$4+14)),MONTH((Tahmin!$C$4+14)),MIN(DAY(Kalemler!$D43),DAY(EOMONTH((Tahmin!$C$4+14),0))))&gt;=Kalemler!$D43),AND(DATE(YEAR((Tahmin!$C$4+20)),MONTH((Tahmin!$C$4+20)),MIN(DAY(Kalemler!$D43),DAY(EOMONTH((Tahmin!$C$4+20),0))))&gt;=(Tahmin!$C$4+14),DATE(YEAR((Tahmin!$C$4+20)),MONTH((Tahmin!$C$4+20)),MIN(DAY(Kalemler!$D43),DAY(EOMONTH((Tahmin!$C$4+20),0))))&lt;=(Tahmin!$C$4+20),DATE(YEAR((Tahmin!$C$4+20)),MONTH((Tahmin!$C$4+20)),MIN(DAY(Kalemler!$D43),DAY(EOMONTH((Tahmin!$C$4+20),0))))&lt;&gt;DATE(YEAR((Tahmin!$C$4+14)),MONTH((Tahmin!$C$4+14)),MIN(DAY(Kalemler!$D43),DAY(EOMONTH((Tahmin!$C$4+14),0)))),DATE(YEAR((Tahmin!$C$4+20)),MONTH((Tahmin!$C$4+20)),MIN(DAY(Kalemler!$D43),DAY(EOMONTH((Tahmin!$C$4+20),0))))&gt;=Kalemler!$D43)),1,0),IF(AND(Kalemler!$D43&gt;=(Tahmin!$C$4+14),Kalemler!$D43&lt;=(Tahmin!$C$4+20)),1,0))))</f>
        <v>0</v>
      </c>
      <c r="E43" s="0" t="n">
        <f aca="false">IF(OR(Kalemler!$A43="",Kalemler!$C43="",Kalemler!$D43=""),0,Kalemler!$C43*IF(Kalemler!$E43="Haftalık",IF(Kalemler!$D43&lt;=(Tahmin!$C$4+27),1,0),IF(Kalemler!$E43="Aylık",IF(OR(AND(DATE(YEAR((Tahmin!$C$4+21)),MONTH((Tahmin!$C$4+21)),MIN(DAY(Kalemler!$D43),DAY(EOMONTH((Tahmin!$C$4+21),0))))&gt;=(Tahmin!$C$4+21),DATE(YEAR((Tahmin!$C$4+21)),MONTH((Tahmin!$C$4+21)),MIN(DAY(Kalemler!$D43),DAY(EOMONTH((Tahmin!$C$4+21),0))))&lt;=(Tahmin!$C$4+27),DATE(YEAR((Tahmin!$C$4+21)),MONTH((Tahmin!$C$4+21)),MIN(DAY(Kalemler!$D43),DAY(EOMONTH((Tahmin!$C$4+21),0))))&gt;=Kalemler!$D43),AND(DATE(YEAR((Tahmin!$C$4+27)),MONTH((Tahmin!$C$4+27)),MIN(DAY(Kalemler!$D43),DAY(EOMONTH((Tahmin!$C$4+27),0))))&gt;=(Tahmin!$C$4+21),DATE(YEAR((Tahmin!$C$4+27)),MONTH((Tahmin!$C$4+27)),MIN(DAY(Kalemler!$D43),DAY(EOMONTH((Tahmin!$C$4+27),0))))&lt;=(Tahmin!$C$4+27),DATE(YEAR((Tahmin!$C$4+27)),MONTH((Tahmin!$C$4+27)),MIN(DAY(Kalemler!$D43),DAY(EOMONTH((Tahmin!$C$4+27),0))))&lt;&gt;DATE(YEAR((Tahmin!$C$4+21)),MONTH((Tahmin!$C$4+21)),MIN(DAY(Kalemler!$D43),DAY(EOMONTH((Tahmin!$C$4+21),0)))),DATE(YEAR((Tahmin!$C$4+27)),MONTH((Tahmin!$C$4+27)),MIN(DAY(Kalemler!$D43),DAY(EOMONTH((Tahmin!$C$4+27),0))))&gt;=Kalemler!$D43)),1,0),IF(AND(Kalemler!$D43&gt;=(Tahmin!$C$4+21),Kalemler!$D43&lt;=(Tahmin!$C$4+27)),1,0))))</f>
        <v>0</v>
      </c>
      <c r="F43" s="0" t="n">
        <f aca="false">IF(OR(Kalemler!$A43="",Kalemler!$C43="",Kalemler!$D43=""),0,Kalemler!$C43*IF(Kalemler!$E43="Haftalık",IF(Kalemler!$D43&lt;=(Tahmin!$C$4+34),1,0),IF(Kalemler!$E43="Aylık",IF(OR(AND(DATE(YEAR((Tahmin!$C$4+28)),MONTH((Tahmin!$C$4+28)),MIN(DAY(Kalemler!$D43),DAY(EOMONTH((Tahmin!$C$4+28),0))))&gt;=(Tahmin!$C$4+28),DATE(YEAR((Tahmin!$C$4+28)),MONTH((Tahmin!$C$4+28)),MIN(DAY(Kalemler!$D43),DAY(EOMONTH((Tahmin!$C$4+28),0))))&lt;=(Tahmin!$C$4+34),DATE(YEAR((Tahmin!$C$4+28)),MONTH((Tahmin!$C$4+28)),MIN(DAY(Kalemler!$D43),DAY(EOMONTH((Tahmin!$C$4+28),0))))&gt;=Kalemler!$D43),AND(DATE(YEAR((Tahmin!$C$4+34)),MONTH((Tahmin!$C$4+34)),MIN(DAY(Kalemler!$D43),DAY(EOMONTH((Tahmin!$C$4+34),0))))&gt;=(Tahmin!$C$4+28),DATE(YEAR((Tahmin!$C$4+34)),MONTH((Tahmin!$C$4+34)),MIN(DAY(Kalemler!$D43),DAY(EOMONTH((Tahmin!$C$4+34),0))))&lt;=(Tahmin!$C$4+34),DATE(YEAR((Tahmin!$C$4+34)),MONTH((Tahmin!$C$4+34)),MIN(DAY(Kalemler!$D43),DAY(EOMONTH((Tahmin!$C$4+34),0))))&lt;&gt;DATE(YEAR((Tahmin!$C$4+28)),MONTH((Tahmin!$C$4+28)),MIN(DAY(Kalemler!$D43),DAY(EOMONTH((Tahmin!$C$4+28),0)))),DATE(YEAR((Tahmin!$C$4+34)),MONTH((Tahmin!$C$4+34)),MIN(DAY(Kalemler!$D43),DAY(EOMONTH((Tahmin!$C$4+34),0))))&gt;=Kalemler!$D43)),1,0),IF(AND(Kalemler!$D43&gt;=(Tahmin!$C$4+28),Kalemler!$D43&lt;=(Tahmin!$C$4+34)),1,0))))</f>
        <v>0</v>
      </c>
      <c r="G43" s="0" t="n">
        <f aca="false">IF(OR(Kalemler!$A43="",Kalemler!$C43="",Kalemler!$D43=""),0,Kalemler!$C43*IF(Kalemler!$E43="Haftalık",IF(Kalemler!$D43&lt;=(Tahmin!$C$4+41),1,0),IF(Kalemler!$E43="Aylık",IF(OR(AND(DATE(YEAR((Tahmin!$C$4+35)),MONTH((Tahmin!$C$4+35)),MIN(DAY(Kalemler!$D43),DAY(EOMONTH((Tahmin!$C$4+35),0))))&gt;=(Tahmin!$C$4+35),DATE(YEAR((Tahmin!$C$4+35)),MONTH((Tahmin!$C$4+35)),MIN(DAY(Kalemler!$D43),DAY(EOMONTH((Tahmin!$C$4+35),0))))&lt;=(Tahmin!$C$4+41),DATE(YEAR((Tahmin!$C$4+35)),MONTH((Tahmin!$C$4+35)),MIN(DAY(Kalemler!$D43),DAY(EOMONTH((Tahmin!$C$4+35),0))))&gt;=Kalemler!$D43),AND(DATE(YEAR((Tahmin!$C$4+41)),MONTH((Tahmin!$C$4+41)),MIN(DAY(Kalemler!$D43),DAY(EOMONTH((Tahmin!$C$4+41),0))))&gt;=(Tahmin!$C$4+35),DATE(YEAR((Tahmin!$C$4+41)),MONTH((Tahmin!$C$4+41)),MIN(DAY(Kalemler!$D43),DAY(EOMONTH((Tahmin!$C$4+41),0))))&lt;=(Tahmin!$C$4+41),DATE(YEAR((Tahmin!$C$4+41)),MONTH((Tahmin!$C$4+41)),MIN(DAY(Kalemler!$D43),DAY(EOMONTH((Tahmin!$C$4+41),0))))&lt;&gt;DATE(YEAR((Tahmin!$C$4+35)),MONTH((Tahmin!$C$4+35)),MIN(DAY(Kalemler!$D43),DAY(EOMONTH((Tahmin!$C$4+35),0)))),DATE(YEAR((Tahmin!$C$4+41)),MONTH((Tahmin!$C$4+41)),MIN(DAY(Kalemler!$D43),DAY(EOMONTH((Tahmin!$C$4+41),0))))&gt;=Kalemler!$D43)),1,0),IF(AND(Kalemler!$D43&gt;=(Tahmin!$C$4+35),Kalemler!$D43&lt;=(Tahmin!$C$4+41)),1,0))))</f>
        <v>0</v>
      </c>
      <c r="H43" s="0" t="n">
        <f aca="false">IF(OR(Kalemler!$A43="",Kalemler!$C43="",Kalemler!$D43=""),0,Kalemler!$C43*IF(Kalemler!$E43="Haftalık",IF(Kalemler!$D43&lt;=(Tahmin!$C$4+48),1,0),IF(Kalemler!$E43="Aylık",IF(OR(AND(DATE(YEAR((Tahmin!$C$4+42)),MONTH((Tahmin!$C$4+42)),MIN(DAY(Kalemler!$D43),DAY(EOMONTH((Tahmin!$C$4+42),0))))&gt;=(Tahmin!$C$4+42),DATE(YEAR((Tahmin!$C$4+42)),MONTH((Tahmin!$C$4+42)),MIN(DAY(Kalemler!$D43),DAY(EOMONTH((Tahmin!$C$4+42),0))))&lt;=(Tahmin!$C$4+48),DATE(YEAR((Tahmin!$C$4+42)),MONTH((Tahmin!$C$4+42)),MIN(DAY(Kalemler!$D43),DAY(EOMONTH((Tahmin!$C$4+42),0))))&gt;=Kalemler!$D43),AND(DATE(YEAR((Tahmin!$C$4+48)),MONTH((Tahmin!$C$4+48)),MIN(DAY(Kalemler!$D43),DAY(EOMONTH((Tahmin!$C$4+48),0))))&gt;=(Tahmin!$C$4+42),DATE(YEAR((Tahmin!$C$4+48)),MONTH((Tahmin!$C$4+48)),MIN(DAY(Kalemler!$D43),DAY(EOMONTH((Tahmin!$C$4+48),0))))&lt;=(Tahmin!$C$4+48),DATE(YEAR((Tahmin!$C$4+48)),MONTH((Tahmin!$C$4+48)),MIN(DAY(Kalemler!$D43),DAY(EOMONTH((Tahmin!$C$4+48),0))))&lt;&gt;DATE(YEAR((Tahmin!$C$4+42)),MONTH((Tahmin!$C$4+42)),MIN(DAY(Kalemler!$D43),DAY(EOMONTH((Tahmin!$C$4+42),0)))),DATE(YEAR((Tahmin!$C$4+48)),MONTH((Tahmin!$C$4+48)),MIN(DAY(Kalemler!$D43),DAY(EOMONTH((Tahmin!$C$4+48),0))))&gt;=Kalemler!$D43)),1,0),IF(AND(Kalemler!$D43&gt;=(Tahmin!$C$4+42),Kalemler!$D43&lt;=(Tahmin!$C$4+48)),1,0))))</f>
        <v>0</v>
      </c>
      <c r="I43" s="0" t="n">
        <f aca="false">IF(OR(Kalemler!$A43="",Kalemler!$C43="",Kalemler!$D43=""),0,Kalemler!$C43*IF(Kalemler!$E43="Haftalık",IF(Kalemler!$D43&lt;=(Tahmin!$C$4+55),1,0),IF(Kalemler!$E43="Aylık",IF(OR(AND(DATE(YEAR((Tahmin!$C$4+49)),MONTH((Tahmin!$C$4+49)),MIN(DAY(Kalemler!$D43),DAY(EOMONTH((Tahmin!$C$4+49),0))))&gt;=(Tahmin!$C$4+49),DATE(YEAR((Tahmin!$C$4+49)),MONTH((Tahmin!$C$4+49)),MIN(DAY(Kalemler!$D43),DAY(EOMONTH((Tahmin!$C$4+49),0))))&lt;=(Tahmin!$C$4+55),DATE(YEAR((Tahmin!$C$4+49)),MONTH((Tahmin!$C$4+49)),MIN(DAY(Kalemler!$D43),DAY(EOMONTH((Tahmin!$C$4+49),0))))&gt;=Kalemler!$D43),AND(DATE(YEAR((Tahmin!$C$4+55)),MONTH((Tahmin!$C$4+55)),MIN(DAY(Kalemler!$D43),DAY(EOMONTH((Tahmin!$C$4+55),0))))&gt;=(Tahmin!$C$4+49),DATE(YEAR((Tahmin!$C$4+55)),MONTH((Tahmin!$C$4+55)),MIN(DAY(Kalemler!$D43),DAY(EOMONTH((Tahmin!$C$4+55),0))))&lt;=(Tahmin!$C$4+55),DATE(YEAR((Tahmin!$C$4+55)),MONTH((Tahmin!$C$4+55)),MIN(DAY(Kalemler!$D43),DAY(EOMONTH((Tahmin!$C$4+55),0))))&lt;&gt;DATE(YEAR((Tahmin!$C$4+49)),MONTH((Tahmin!$C$4+49)),MIN(DAY(Kalemler!$D43),DAY(EOMONTH((Tahmin!$C$4+49),0)))),DATE(YEAR((Tahmin!$C$4+55)),MONTH((Tahmin!$C$4+55)),MIN(DAY(Kalemler!$D43),DAY(EOMONTH((Tahmin!$C$4+55),0))))&gt;=Kalemler!$D43)),1,0),IF(AND(Kalemler!$D43&gt;=(Tahmin!$C$4+49),Kalemler!$D43&lt;=(Tahmin!$C$4+55)),1,0))))</f>
        <v>0</v>
      </c>
      <c r="J43" s="0" t="n">
        <f aca="false">IF(OR(Kalemler!$A43="",Kalemler!$C43="",Kalemler!$D43=""),0,Kalemler!$C43*IF(Kalemler!$E43="Haftalık",IF(Kalemler!$D43&lt;=(Tahmin!$C$4+62),1,0),IF(Kalemler!$E43="Aylık",IF(OR(AND(DATE(YEAR((Tahmin!$C$4+56)),MONTH((Tahmin!$C$4+56)),MIN(DAY(Kalemler!$D43),DAY(EOMONTH((Tahmin!$C$4+56),0))))&gt;=(Tahmin!$C$4+56),DATE(YEAR((Tahmin!$C$4+56)),MONTH((Tahmin!$C$4+56)),MIN(DAY(Kalemler!$D43),DAY(EOMONTH((Tahmin!$C$4+56),0))))&lt;=(Tahmin!$C$4+62),DATE(YEAR((Tahmin!$C$4+56)),MONTH((Tahmin!$C$4+56)),MIN(DAY(Kalemler!$D43),DAY(EOMONTH((Tahmin!$C$4+56),0))))&gt;=Kalemler!$D43),AND(DATE(YEAR((Tahmin!$C$4+62)),MONTH((Tahmin!$C$4+62)),MIN(DAY(Kalemler!$D43),DAY(EOMONTH((Tahmin!$C$4+62),0))))&gt;=(Tahmin!$C$4+56),DATE(YEAR((Tahmin!$C$4+62)),MONTH((Tahmin!$C$4+62)),MIN(DAY(Kalemler!$D43),DAY(EOMONTH((Tahmin!$C$4+62),0))))&lt;=(Tahmin!$C$4+62),DATE(YEAR((Tahmin!$C$4+62)),MONTH((Tahmin!$C$4+62)),MIN(DAY(Kalemler!$D43),DAY(EOMONTH((Tahmin!$C$4+62),0))))&lt;&gt;DATE(YEAR((Tahmin!$C$4+56)),MONTH((Tahmin!$C$4+56)),MIN(DAY(Kalemler!$D43),DAY(EOMONTH((Tahmin!$C$4+56),0)))),DATE(YEAR((Tahmin!$C$4+62)),MONTH((Tahmin!$C$4+62)),MIN(DAY(Kalemler!$D43),DAY(EOMONTH((Tahmin!$C$4+62),0))))&gt;=Kalemler!$D43)),1,0),IF(AND(Kalemler!$D43&gt;=(Tahmin!$C$4+56),Kalemler!$D43&lt;=(Tahmin!$C$4+62)),1,0))))</f>
        <v>0</v>
      </c>
      <c r="K43" s="0" t="n">
        <f aca="false">IF(OR(Kalemler!$A43="",Kalemler!$C43="",Kalemler!$D43=""),0,Kalemler!$C43*IF(Kalemler!$E43="Haftalık",IF(Kalemler!$D43&lt;=(Tahmin!$C$4+69),1,0),IF(Kalemler!$E43="Aylık",IF(OR(AND(DATE(YEAR((Tahmin!$C$4+63)),MONTH((Tahmin!$C$4+63)),MIN(DAY(Kalemler!$D43),DAY(EOMONTH((Tahmin!$C$4+63),0))))&gt;=(Tahmin!$C$4+63),DATE(YEAR((Tahmin!$C$4+63)),MONTH((Tahmin!$C$4+63)),MIN(DAY(Kalemler!$D43),DAY(EOMONTH((Tahmin!$C$4+63),0))))&lt;=(Tahmin!$C$4+69),DATE(YEAR((Tahmin!$C$4+63)),MONTH((Tahmin!$C$4+63)),MIN(DAY(Kalemler!$D43),DAY(EOMONTH((Tahmin!$C$4+63),0))))&gt;=Kalemler!$D43),AND(DATE(YEAR((Tahmin!$C$4+69)),MONTH((Tahmin!$C$4+69)),MIN(DAY(Kalemler!$D43),DAY(EOMONTH((Tahmin!$C$4+69),0))))&gt;=(Tahmin!$C$4+63),DATE(YEAR((Tahmin!$C$4+69)),MONTH((Tahmin!$C$4+69)),MIN(DAY(Kalemler!$D43),DAY(EOMONTH((Tahmin!$C$4+69),0))))&lt;=(Tahmin!$C$4+69),DATE(YEAR((Tahmin!$C$4+69)),MONTH((Tahmin!$C$4+69)),MIN(DAY(Kalemler!$D43),DAY(EOMONTH((Tahmin!$C$4+69),0))))&lt;&gt;DATE(YEAR((Tahmin!$C$4+63)),MONTH((Tahmin!$C$4+63)),MIN(DAY(Kalemler!$D43),DAY(EOMONTH((Tahmin!$C$4+63),0)))),DATE(YEAR((Tahmin!$C$4+69)),MONTH((Tahmin!$C$4+69)),MIN(DAY(Kalemler!$D43),DAY(EOMONTH((Tahmin!$C$4+69),0))))&gt;=Kalemler!$D43)),1,0),IF(AND(Kalemler!$D43&gt;=(Tahmin!$C$4+63),Kalemler!$D43&lt;=(Tahmin!$C$4+69)),1,0))))</f>
        <v>0</v>
      </c>
      <c r="L43" s="0" t="n">
        <f aca="false">IF(OR(Kalemler!$A43="",Kalemler!$C43="",Kalemler!$D43=""),0,Kalemler!$C43*IF(Kalemler!$E43="Haftalık",IF(Kalemler!$D43&lt;=(Tahmin!$C$4+76),1,0),IF(Kalemler!$E43="Aylık",IF(OR(AND(DATE(YEAR((Tahmin!$C$4+70)),MONTH((Tahmin!$C$4+70)),MIN(DAY(Kalemler!$D43),DAY(EOMONTH((Tahmin!$C$4+70),0))))&gt;=(Tahmin!$C$4+70),DATE(YEAR((Tahmin!$C$4+70)),MONTH((Tahmin!$C$4+70)),MIN(DAY(Kalemler!$D43),DAY(EOMONTH((Tahmin!$C$4+70),0))))&lt;=(Tahmin!$C$4+76),DATE(YEAR((Tahmin!$C$4+70)),MONTH((Tahmin!$C$4+70)),MIN(DAY(Kalemler!$D43),DAY(EOMONTH((Tahmin!$C$4+70),0))))&gt;=Kalemler!$D43),AND(DATE(YEAR((Tahmin!$C$4+76)),MONTH((Tahmin!$C$4+76)),MIN(DAY(Kalemler!$D43),DAY(EOMONTH((Tahmin!$C$4+76),0))))&gt;=(Tahmin!$C$4+70),DATE(YEAR((Tahmin!$C$4+76)),MONTH((Tahmin!$C$4+76)),MIN(DAY(Kalemler!$D43),DAY(EOMONTH((Tahmin!$C$4+76),0))))&lt;=(Tahmin!$C$4+76),DATE(YEAR((Tahmin!$C$4+76)),MONTH((Tahmin!$C$4+76)),MIN(DAY(Kalemler!$D43),DAY(EOMONTH((Tahmin!$C$4+76),0))))&lt;&gt;DATE(YEAR((Tahmin!$C$4+70)),MONTH((Tahmin!$C$4+70)),MIN(DAY(Kalemler!$D43),DAY(EOMONTH((Tahmin!$C$4+70),0)))),DATE(YEAR((Tahmin!$C$4+76)),MONTH((Tahmin!$C$4+76)),MIN(DAY(Kalemler!$D43),DAY(EOMONTH((Tahmin!$C$4+76),0))))&gt;=Kalemler!$D43)),1,0),IF(AND(Kalemler!$D43&gt;=(Tahmin!$C$4+70),Kalemler!$D43&lt;=(Tahmin!$C$4+76)),1,0))))</f>
        <v>0</v>
      </c>
      <c r="M43" s="0" t="n">
        <f aca="false">IF(OR(Kalemler!$A43="",Kalemler!$C43="",Kalemler!$D43=""),0,Kalemler!$C43*IF(Kalemler!$E43="Haftalık",IF(Kalemler!$D43&lt;=(Tahmin!$C$4+83),1,0),IF(Kalemler!$E43="Aylık",IF(OR(AND(DATE(YEAR((Tahmin!$C$4+77)),MONTH((Tahmin!$C$4+77)),MIN(DAY(Kalemler!$D43),DAY(EOMONTH((Tahmin!$C$4+77),0))))&gt;=(Tahmin!$C$4+77),DATE(YEAR((Tahmin!$C$4+77)),MONTH((Tahmin!$C$4+77)),MIN(DAY(Kalemler!$D43),DAY(EOMONTH((Tahmin!$C$4+77),0))))&lt;=(Tahmin!$C$4+83),DATE(YEAR((Tahmin!$C$4+77)),MONTH((Tahmin!$C$4+77)),MIN(DAY(Kalemler!$D43),DAY(EOMONTH((Tahmin!$C$4+77),0))))&gt;=Kalemler!$D43),AND(DATE(YEAR((Tahmin!$C$4+83)),MONTH((Tahmin!$C$4+83)),MIN(DAY(Kalemler!$D43),DAY(EOMONTH((Tahmin!$C$4+83),0))))&gt;=(Tahmin!$C$4+77),DATE(YEAR((Tahmin!$C$4+83)),MONTH((Tahmin!$C$4+83)),MIN(DAY(Kalemler!$D43),DAY(EOMONTH((Tahmin!$C$4+83),0))))&lt;=(Tahmin!$C$4+83),DATE(YEAR((Tahmin!$C$4+83)),MONTH((Tahmin!$C$4+83)),MIN(DAY(Kalemler!$D43),DAY(EOMONTH((Tahmin!$C$4+83),0))))&lt;&gt;DATE(YEAR((Tahmin!$C$4+77)),MONTH((Tahmin!$C$4+77)),MIN(DAY(Kalemler!$D43),DAY(EOMONTH((Tahmin!$C$4+77),0)))),DATE(YEAR((Tahmin!$C$4+83)),MONTH((Tahmin!$C$4+83)),MIN(DAY(Kalemler!$D43),DAY(EOMONTH((Tahmin!$C$4+83),0))))&gt;=Kalemler!$D43)),1,0),IF(AND(Kalemler!$D43&gt;=(Tahmin!$C$4+77),Kalemler!$D43&lt;=(Tahmin!$C$4+83)),1,0))))</f>
        <v>0</v>
      </c>
      <c r="N43" s="0" t="n">
        <f aca="false">IF(OR(Kalemler!$A43="",Kalemler!$C43="",Kalemler!$D43=""),0,Kalemler!$C43*IF(Kalemler!$E43="Haftalık",IF(Kalemler!$D43&lt;=(Tahmin!$C$4+90),1,0),IF(Kalemler!$E43="Aylık",IF(OR(AND(DATE(YEAR((Tahmin!$C$4+84)),MONTH((Tahmin!$C$4+84)),MIN(DAY(Kalemler!$D43),DAY(EOMONTH((Tahmin!$C$4+84),0))))&gt;=(Tahmin!$C$4+84),DATE(YEAR((Tahmin!$C$4+84)),MONTH((Tahmin!$C$4+84)),MIN(DAY(Kalemler!$D43),DAY(EOMONTH((Tahmin!$C$4+84),0))))&lt;=(Tahmin!$C$4+90),DATE(YEAR((Tahmin!$C$4+84)),MONTH((Tahmin!$C$4+84)),MIN(DAY(Kalemler!$D43),DAY(EOMONTH((Tahmin!$C$4+84),0))))&gt;=Kalemler!$D43),AND(DATE(YEAR((Tahmin!$C$4+90)),MONTH((Tahmin!$C$4+90)),MIN(DAY(Kalemler!$D43),DAY(EOMONTH((Tahmin!$C$4+90),0))))&gt;=(Tahmin!$C$4+84),DATE(YEAR((Tahmin!$C$4+90)),MONTH((Tahmin!$C$4+90)),MIN(DAY(Kalemler!$D43),DAY(EOMONTH((Tahmin!$C$4+90),0))))&lt;=(Tahmin!$C$4+90),DATE(YEAR((Tahmin!$C$4+90)),MONTH((Tahmin!$C$4+90)),MIN(DAY(Kalemler!$D43),DAY(EOMONTH((Tahmin!$C$4+90),0))))&lt;&gt;DATE(YEAR((Tahmin!$C$4+84)),MONTH((Tahmin!$C$4+84)),MIN(DAY(Kalemler!$D43),DAY(EOMONTH((Tahmin!$C$4+84),0)))),DATE(YEAR((Tahmin!$C$4+90)),MONTH((Tahmin!$C$4+90)),MIN(DAY(Kalemler!$D43),DAY(EOMONTH((Tahmin!$C$4+90),0))))&gt;=Kalemler!$D43)),1,0),IF(AND(Kalemler!$D43&gt;=(Tahmin!$C$4+84),Kalemler!$D43&lt;=(Tahmin!$C$4+90)),1,0))))</f>
        <v>0</v>
      </c>
    </row>
    <row r="44" customFormat="false" ht="15" hidden="false" customHeight="false" outlineLevel="0" collapsed="false">
      <c r="A44" s="0" t="str">
        <f aca="false">IF(Kalemler!A44="","",Kalemler!A44)</f>
        <v/>
      </c>
      <c r="B44" s="0" t="n">
        <f aca="false">IF(OR(Kalemler!$A44="",Kalemler!$C44="",Kalemler!$D44=""),0,Kalemler!$C44*IF(Kalemler!$E44="Haftalık",IF(Kalemler!$D44&lt;=(Tahmin!$C$4+6),1,0),IF(Kalemler!$E44="Aylık",IF(OR(AND(DATE(YEAR((Tahmin!$C$4+0)),MONTH((Tahmin!$C$4+0)),MIN(DAY(Kalemler!$D44),DAY(EOMONTH((Tahmin!$C$4+0),0))))&gt;=(Tahmin!$C$4+0),DATE(YEAR((Tahmin!$C$4+0)),MONTH((Tahmin!$C$4+0)),MIN(DAY(Kalemler!$D44),DAY(EOMONTH((Tahmin!$C$4+0),0))))&lt;=(Tahmin!$C$4+6),DATE(YEAR((Tahmin!$C$4+0)),MONTH((Tahmin!$C$4+0)),MIN(DAY(Kalemler!$D44),DAY(EOMONTH((Tahmin!$C$4+0),0))))&gt;=Kalemler!$D44),AND(DATE(YEAR((Tahmin!$C$4+6)),MONTH((Tahmin!$C$4+6)),MIN(DAY(Kalemler!$D44),DAY(EOMONTH((Tahmin!$C$4+6),0))))&gt;=(Tahmin!$C$4+0),DATE(YEAR((Tahmin!$C$4+6)),MONTH((Tahmin!$C$4+6)),MIN(DAY(Kalemler!$D44),DAY(EOMONTH((Tahmin!$C$4+6),0))))&lt;=(Tahmin!$C$4+6),DATE(YEAR((Tahmin!$C$4+6)),MONTH((Tahmin!$C$4+6)),MIN(DAY(Kalemler!$D44),DAY(EOMONTH((Tahmin!$C$4+6),0))))&lt;&gt;DATE(YEAR((Tahmin!$C$4+0)),MONTH((Tahmin!$C$4+0)),MIN(DAY(Kalemler!$D44),DAY(EOMONTH((Tahmin!$C$4+0),0)))),DATE(YEAR((Tahmin!$C$4+6)),MONTH((Tahmin!$C$4+6)),MIN(DAY(Kalemler!$D44),DAY(EOMONTH((Tahmin!$C$4+6),0))))&gt;=Kalemler!$D44)),1,0),IF(AND(Kalemler!$D44&gt;=(Tahmin!$C$4+0),Kalemler!$D44&lt;=(Tahmin!$C$4+6)),1,0))))</f>
        <v>0</v>
      </c>
      <c r="C44" s="0" t="n">
        <f aca="false">IF(OR(Kalemler!$A44="",Kalemler!$C44="",Kalemler!$D44=""),0,Kalemler!$C44*IF(Kalemler!$E44="Haftalık",IF(Kalemler!$D44&lt;=(Tahmin!$C$4+13),1,0),IF(Kalemler!$E44="Aylık",IF(OR(AND(DATE(YEAR((Tahmin!$C$4+7)),MONTH((Tahmin!$C$4+7)),MIN(DAY(Kalemler!$D44),DAY(EOMONTH((Tahmin!$C$4+7),0))))&gt;=(Tahmin!$C$4+7),DATE(YEAR((Tahmin!$C$4+7)),MONTH((Tahmin!$C$4+7)),MIN(DAY(Kalemler!$D44),DAY(EOMONTH((Tahmin!$C$4+7),0))))&lt;=(Tahmin!$C$4+13),DATE(YEAR((Tahmin!$C$4+7)),MONTH((Tahmin!$C$4+7)),MIN(DAY(Kalemler!$D44),DAY(EOMONTH((Tahmin!$C$4+7),0))))&gt;=Kalemler!$D44),AND(DATE(YEAR((Tahmin!$C$4+13)),MONTH((Tahmin!$C$4+13)),MIN(DAY(Kalemler!$D44),DAY(EOMONTH((Tahmin!$C$4+13),0))))&gt;=(Tahmin!$C$4+7),DATE(YEAR((Tahmin!$C$4+13)),MONTH((Tahmin!$C$4+13)),MIN(DAY(Kalemler!$D44),DAY(EOMONTH((Tahmin!$C$4+13),0))))&lt;=(Tahmin!$C$4+13),DATE(YEAR((Tahmin!$C$4+13)),MONTH((Tahmin!$C$4+13)),MIN(DAY(Kalemler!$D44),DAY(EOMONTH((Tahmin!$C$4+13),0))))&lt;&gt;DATE(YEAR((Tahmin!$C$4+7)),MONTH((Tahmin!$C$4+7)),MIN(DAY(Kalemler!$D44),DAY(EOMONTH((Tahmin!$C$4+7),0)))),DATE(YEAR((Tahmin!$C$4+13)),MONTH((Tahmin!$C$4+13)),MIN(DAY(Kalemler!$D44),DAY(EOMONTH((Tahmin!$C$4+13),0))))&gt;=Kalemler!$D44)),1,0),IF(AND(Kalemler!$D44&gt;=(Tahmin!$C$4+7),Kalemler!$D44&lt;=(Tahmin!$C$4+13)),1,0))))</f>
        <v>0</v>
      </c>
      <c r="D44" s="0" t="n">
        <f aca="false">IF(OR(Kalemler!$A44="",Kalemler!$C44="",Kalemler!$D44=""),0,Kalemler!$C44*IF(Kalemler!$E44="Haftalık",IF(Kalemler!$D44&lt;=(Tahmin!$C$4+20),1,0),IF(Kalemler!$E44="Aylık",IF(OR(AND(DATE(YEAR((Tahmin!$C$4+14)),MONTH((Tahmin!$C$4+14)),MIN(DAY(Kalemler!$D44),DAY(EOMONTH((Tahmin!$C$4+14),0))))&gt;=(Tahmin!$C$4+14),DATE(YEAR((Tahmin!$C$4+14)),MONTH((Tahmin!$C$4+14)),MIN(DAY(Kalemler!$D44),DAY(EOMONTH((Tahmin!$C$4+14),0))))&lt;=(Tahmin!$C$4+20),DATE(YEAR((Tahmin!$C$4+14)),MONTH((Tahmin!$C$4+14)),MIN(DAY(Kalemler!$D44),DAY(EOMONTH((Tahmin!$C$4+14),0))))&gt;=Kalemler!$D44),AND(DATE(YEAR((Tahmin!$C$4+20)),MONTH((Tahmin!$C$4+20)),MIN(DAY(Kalemler!$D44),DAY(EOMONTH((Tahmin!$C$4+20),0))))&gt;=(Tahmin!$C$4+14),DATE(YEAR((Tahmin!$C$4+20)),MONTH((Tahmin!$C$4+20)),MIN(DAY(Kalemler!$D44),DAY(EOMONTH((Tahmin!$C$4+20),0))))&lt;=(Tahmin!$C$4+20),DATE(YEAR((Tahmin!$C$4+20)),MONTH((Tahmin!$C$4+20)),MIN(DAY(Kalemler!$D44),DAY(EOMONTH((Tahmin!$C$4+20),0))))&lt;&gt;DATE(YEAR((Tahmin!$C$4+14)),MONTH((Tahmin!$C$4+14)),MIN(DAY(Kalemler!$D44),DAY(EOMONTH((Tahmin!$C$4+14),0)))),DATE(YEAR((Tahmin!$C$4+20)),MONTH((Tahmin!$C$4+20)),MIN(DAY(Kalemler!$D44),DAY(EOMONTH((Tahmin!$C$4+20),0))))&gt;=Kalemler!$D44)),1,0),IF(AND(Kalemler!$D44&gt;=(Tahmin!$C$4+14),Kalemler!$D44&lt;=(Tahmin!$C$4+20)),1,0))))</f>
        <v>0</v>
      </c>
      <c r="E44" s="0" t="n">
        <f aca="false">IF(OR(Kalemler!$A44="",Kalemler!$C44="",Kalemler!$D44=""),0,Kalemler!$C44*IF(Kalemler!$E44="Haftalık",IF(Kalemler!$D44&lt;=(Tahmin!$C$4+27),1,0),IF(Kalemler!$E44="Aylık",IF(OR(AND(DATE(YEAR((Tahmin!$C$4+21)),MONTH((Tahmin!$C$4+21)),MIN(DAY(Kalemler!$D44),DAY(EOMONTH((Tahmin!$C$4+21),0))))&gt;=(Tahmin!$C$4+21),DATE(YEAR((Tahmin!$C$4+21)),MONTH((Tahmin!$C$4+21)),MIN(DAY(Kalemler!$D44),DAY(EOMONTH((Tahmin!$C$4+21),0))))&lt;=(Tahmin!$C$4+27),DATE(YEAR((Tahmin!$C$4+21)),MONTH((Tahmin!$C$4+21)),MIN(DAY(Kalemler!$D44),DAY(EOMONTH((Tahmin!$C$4+21),0))))&gt;=Kalemler!$D44),AND(DATE(YEAR((Tahmin!$C$4+27)),MONTH((Tahmin!$C$4+27)),MIN(DAY(Kalemler!$D44),DAY(EOMONTH((Tahmin!$C$4+27),0))))&gt;=(Tahmin!$C$4+21),DATE(YEAR((Tahmin!$C$4+27)),MONTH((Tahmin!$C$4+27)),MIN(DAY(Kalemler!$D44),DAY(EOMONTH((Tahmin!$C$4+27),0))))&lt;=(Tahmin!$C$4+27),DATE(YEAR((Tahmin!$C$4+27)),MONTH((Tahmin!$C$4+27)),MIN(DAY(Kalemler!$D44),DAY(EOMONTH((Tahmin!$C$4+27),0))))&lt;&gt;DATE(YEAR((Tahmin!$C$4+21)),MONTH((Tahmin!$C$4+21)),MIN(DAY(Kalemler!$D44),DAY(EOMONTH((Tahmin!$C$4+21),0)))),DATE(YEAR((Tahmin!$C$4+27)),MONTH((Tahmin!$C$4+27)),MIN(DAY(Kalemler!$D44),DAY(EOMONTH((Tahmin!$C$4+27),0))))&gt;=Kalemler!$D44)),1,0),IF(AND(Kalemler!$D44&gt;=(Tahmin!$C$4+21),Kalemler!$D44&lt;=(Tahmin!$C$4+27)),1,0))))</f>
        <v>0</v>
      </c>
      <c r="F44" s="0" t="n">
        <f aca="false">IF(OR(Kalemler!$A44="",Kalemler!$C44="",Kalemler!$D44=""),0,Kalemler!$C44*IF(Kalemler!$E44="Haftalık",IF(Kalemler!$D44&lt;=(Tahmin!$C$4+34),1,0),IF(Kalemler!$E44="Aylık",IF(OR(AND(DATE(YEAR((Tahmin!$C$4+28)),MONTH((Tahmin!$C$4+28)),MIN(DAY(Kalemler!$D44),DAY(EOMONTH((Tahmin!$C$4+28),0))))&gt;=(Tahmin!$C$4+28),DATE(YEAR((Tahmin!$C$4+28)),MONTH((Tahmin!$C$4+28)),MIN(DAY(Kalemler!$D44),DAY(EOMONTH((Tahmin!$C$4+28),0))))&lt;=(Tahmin!$C$4+34),DATE(YEAR((Tahmin!$C$4+28)),MONTH((Tahmin!$C$4+28)),MIN(DAY(Kalemler!$D44),DAY(EOMONTH((Tahmin!$C$4+28),0))))&gt;=Kalemler!$D44),AND(DATE(YEAR((Tahmin!$C$4+34)),MONTH((Tahmin!$C$4+34)),MIN(DAY(Kalemler!$D44),DAY(EOMONTH((Tahmin!$C$4+34),0))))&gt;=(Tahmin!$C$4+28),DATE(YEAR((Tahmin!$C$4+34)),MONTH((Tahmin!$C$4+34)),MIN(DAY(Kalemler!$D44),DAY(EOMONTH((Tahmin!$C$4+34),0))))&lt;=(Tahmin!$C$4+34),DATE(YEAR((Tahmin!$C$4+34)),MONTH((Tahmin!$C$4+34)),MIN(DAY(Kalemler!$D44),DAY(EOMONTH((Tahmin!$C$4+34),0))))&lt;&gt;DATE(YEAR((Tahmin!$C$4+28)),MONTH((Tahmin!$C$4+28)),MIN(DAY(Kalemler!$D44),DAY(EOMONTH((Tahmin!$C$4+28),0)))),DATE(YEAR((Tahmin!$C$4+34)),MONTH((Tahmin!$C$4+34)),MIN(DAY(Kalemler!$D44),DAY(EOMONTH((Tahmin!$C$4+34),0))))&gt;=Kalemler!$D44)),1,0),IF(AND(Kalemler!$D44&gt;=(Tahmin!$C$4+28),Kalemler!$D44&lt;=(Tahmin!$C$4+34)),1,0))))</f>
        <v>0</v>
      </c>
      <c r="G44" s="0" t="n">
        <f aca="false">IF(OR(Kalemler!$A44="",Kalemler!$C44="",Kalemler!$D44=""),0,Kalemler!$C44*IF(Kalemler!$E44="Haftalık",IF(Kalemler!$D44&lt;=(Tahmin!$C$4+41),1,0),IF(Kalemler!$E44="Aylık",IF(OR(AND(DATE(YEAR((Tahmin!$C$4+35)),MONTH((Tahmin!$C$4+35)),MIN(DAY(Kalemler!$D44),DAY(EOMONTH((Tahmin!$C$4+35),0))))&gt;=(Tahmin!$C$4+35),DATE(YEAR((Tahmin!$C$4+35)),MONTH((Tahmin!$C$4+35)),MIN(DAY(Kalemler!$D44),DAY(EOMONTH((Tahmin!$C$4+35),0))))&lt;=(Tahmin!$C$4+41),DATE(YEAR((Tahmin!$C$4+35)),MONTH((Tahmin!$C$4+35)),MIN(DAY(Kalemler!$D44),DAY(EOMONTH((Tahmin!$C$4+35),0))))&gt;=Kalemler!$D44),AND(DATE(YEAR((Tahmin!$C$4+41)),MONTH((Tahmin!$C$4+41)),MIN(DAY(Kalemler!$D44),DAY(EOMONTH((Tahmin!$C$4+41),0))))&gt;=(Tahmin!$C$4+35),DATE(YEAR((Tahmin!$C$4+41)),MONTH((Tahmin!$C$4+41)),MIN(DAY(Kalemler!$D44),DAY(EOMONTH((Tahmin!$C$4+41),0))))&lt;=(Tahmin!$C$4+41),DATE(YEAR((Tahmin!$C$4+41)),MONTH((Tahmin!$C$4+41)),MIN(DAY(Kalemler!$D44),DAY(EOMONTH((Tahmin!$C$4+41),0))))&lt;&gt;DATE(YEAR((Tahmin!$C$4+35)),MONTH((Tahmin!$C$4+35)),MIN(DAY(Kalemler!$D44),DAY(EOMONTH((Tahmin!$C$4+35),0)))),DATE(YEAR((Tahmin!$C$4+41)),MONTH((Tahmin!$C$4+41)),MIN(DAY(Kalemler!$D44),DAY(EOMONTH((Tahmin!$C$4+41),0))))&gt;=Kalemler!$D44)),1,0),IF(AND(Kalemler!$D44&gt;=(Tahmin!$C$4+35),Kalemler!$D44&lt;=(Tahmin!$C$4+41)),1,0))))</f>
        <v>0</v>
      </c>
      <c r="H44" s="0" t="n">
        <f aca="false">IF(OR(Kalemler!$A44="",Kalemler!$C44="",Kalemler!$D44=""),0,Kalemler!$C44*IF(Kalemler!$E44="Haftalık",IF(Kalemler!$D44&lt;=(Tahmin!$C$4+48),1,0),IF(Kalemler!$E44="Aylık",IF(OR(AND(DATE(YEAR((Tahmin!$C$4+42)),MONTH((Tahmin!$C$4+42)),MIN(DAY(Kalemler!$D44),DAY(EOMONTH((Tahmin!$C$4+42),0))))&gt;=(Tahmin!$C$4+42),DATE(YEAR((Tahmin!$C$4+42)),MONTH((Tahmin!$C$4+42)),MIN(DAY(Kalemler!$D44),DAY(EOMONTH((Tahmin!$C$4+42),0))))&lt;=(Tahmin!$C$4+48),DATE(YEAR((Tahmin!$C$4+42)),MONTH((Tahmin!$C$4+42)),MIN(DAY(Kalemler!$D44),DAY(EOMONTH((Tahmin!$C$4+42),0))))&gt;=Kalemler!$D44),AND(DATE(YEAR((Tahmin!$C$4+48)),MONTH((Tahmin!$C$4+48)),MIN(DAY(Kalemler!$D44),DAY(EOMONTH((Tahmin!$C$4+48),0))))&gt;=(Tahmin!$C$4+42),DATE(YEAR((Tahmin!$C$4+48)),MONTH((Tahmin!$C$4+48)),MIN(DAY(Kalemler!$D44),DAY(EOMONTH((Tahmin!$C$4+48),0))))&lt;=(Tahmin!$C$4+48),DATE(YEAR((Tahmin!$C$4+48)),MONTH((Tahmin!$C$4+48)),MIN(DAY(Kalemler!$D44),DAY(EOMONTH((Tahmin!$C$4+48),0))))&lt;&gt;DATE(YEAR((Tahmin!$C$4+42)),MONTH((Tahmin!$C$4+42)),MIN(DAY(Kalemler!$D44),DAY(EOMONTH((Tahmin!$C$4+42),0)))),DATE(YEAR((Tahmin!$C$4+48)),MONTH((Tahmin!$C$4+48)),MIN(DAY(Kalemler!$D44),DAY(EOMONTH((Tahmin!$C$4+48),0))))&gt;=Kalemler!$D44)),1,0),IF(AND(Kalemler!$D44&gt;=(Tahmin!$C$4+42),Kalemler!$D44&lt;=(Tahmin!$C$4+48)),1,0))))</f>
        <v>0</v>
      </c>
      <c r="I44" s="0" t="n">
        <f aca="false">IF(OR(Kalemler!$A44="",Kalemler!$C44="",Kalemler!$D44=""),0,Kalemler!$C44*IF(Kalemler!$E44="Haftalık",IF(Kalemler!$D44&lt;=(Tahmin!$C$4+55),1,0),IF(Kalemler!$E44="Aylık",IF(OR(AND(DATE(YEAR((Tahmin!$C$4+49)),MONTH((Tahmin!$C$4+49)),MIN(DAY(Kalemler!$D44),DAY(EOMONTH((Tahmin!$C$4+49),0))))&gt;=(Tahmin!$C$4+49),DATE(YEAR((Tahmin!$C$4+49)),MONTH((Tahmin!$C$4+49)),MIN(DAY(Kalemler!$D44),DAY(EOMONTH((Tahmin!$C$4+49),0))))&lt;=(Tahmin!$C$4+55),DATE(YEAR((Tahmin!$C$4+49)),MONTH((Tahmin!$C$4+49)),MIN(DAY(Kalemler!$D44),DAY(EOMONTH((Tahmin!$C$4+49),0))))&gt;=Kalemler!$D44),AND(DATE(YEAR((Tahmin!$C$4+55)),MONTH((Tahmin!$C$4+55)),MIN(DAY(Kalemler!$D44),DAY(EOMONTH((Tahmin!$C$4+55),0))))&gt;=(Tahmin!$C$4+49),DATE(YEAR((Tahmin!$C$4+55)),MONTH((Tahmin!$C$4+55)),MIN(DAY(Kalemler!$D44),DAY(EOMONTH((Tahmin!$C$4+55),0))))&lt;=(Tahmin!$C$4+55),DATE(YEAR((Tahmin!$C$4+55)),MONTH((Tahmin!$C$4+55)),MIN(DAY(Kalemler!$D44),DAY(EOMONTH((Tahmin!$C$4+55),0))))&lt;&gt;DATE(YEAR((Tahmin!$C$4+49)),MONTH((Tahmin!$C$4+49)),MIN(DAY(Kalemler!$D44),DAY(EOMONTH((Tahmin!$C$4+49),0)))),DATE(YEAR((Tahmin!$C$4+55)),MONTH((Tahmin!$C$4+55)),MIN(DAY(Kalemler!$D44),DAY(EOMONTH((Tahmin!$C$4+55),0))))&gt;=Kalemler!$D44)),1,0),IF(AND(Kalemler!$D44&gt;=(Tahmin!$C$4+49),Kalemler!$D44&lt;=(Tahmin!$C$4+55)),1,0))))</f>
        <v>0</v>
      </c>
      <c r="J44" s="0" t="n">
        <f aca="false">IF(OR(Kalemler!$A44="",Kalemler!$C44="",Kalemler!$D44=""),0,Kalemler!$C44*IF(Kalemler!$E44="Haftalık",IF(Kalemler!$D44&lt;=(Tahmin!$C$4+62),1,0),IF(Kalemler!$E44="Aylık",IF(OR(AND(DATE(YEAR((Tahmin!$C$4+56)),MONTH((Tahmin!$C$4+56)),MIN(DAY(Kalemler!$D44),DAY(EOMONTH((Tahmin!$C$4+56),0))))&gt;=(Tahmin!$C$4+56),DATE(YEAR((Tahmin!$C$4+56)),MONTH((Tahmin!$C$4+56)),MIN(DAY(Kalemler!$D44),DAY(EOMONTH((Tahmin!$C$4+56),0))))&lt;=(Tahmin!$C$4+62),DATE(YEAR((Tahmin!$C$4+56)),MONTH((Tahmin!$C$4+56)),MIN(DAY(Kalemler!$D44),DAY(EOMONTH((Tahmin!$C$4+56),0))))&gt;=Kalemler!$D44),AND(DATE(YEAR((Tahmin!$C$4+62)),MONTH((Tahmin!$C$4+62)),MIN(DAY(Kalemler!$D44),DAY(EOMONTH((Tahmin!$C$4+62),0))))&gt;=(Tahmin!$C$4+56),DATE(YEAR((Tahmin!$C$4+62)),MONTH((Tahmin!$C$4+62)),MIN(DAY(Kalemler!$D44),DAY(EOMONTH((Tahmin!$C$4+62),0))))&lt;=(Tahmin!$C$4+62),DATE(YEAR((Tahmin!$C$4+62)),MONTH((Tahmin!$C$4+62)),MIN(DAY(Kalemler!$D44),DAY(EOMONTH((Tahmin!$C$4+62),0))))&lt;&gt;DATE(YEAR((Tahmin!$C$4+56)),MONTH((Tahmin!$C$4+56)),MIN(DAY(Kalemler!$D44),DAY(EOMONTH((Tahmin!$C$4+56),0)))),DATE(YEAR((Tahmin!$C$4+62)),MONTH((Tahmin!$C$4+62)),MIN(DAY(Kalemler!$D44),DAY(EOMONTH((Tahmin!$C$4+62),0))))&gt;=Kalemler!$D44)),1,0),IF(AND(Kalemler!$D44&gt;=(Tahmin!$C$4+56),Kalemler!$D44&lt;=(Tahmin!$C$4+62)),1,0))))</f>
        <v>0</v>
      </c>
      <c r="K44" s="0" t="n">
        <f aca="false">IF(OR(Kalemler!$A44="",Kalemler!$C44="",Kalemler!$D44=""),0,Kalemler!$C44*IF(Kalemler!$E44="Haftalık",IF(Kalemler!$D44&lt;=(Tahmin!$C$4+69),1,0),IF(Kalemler!$E44="Aylık",IF(OR(AND(DATE(YEAR((Tahmin!$C$4+63)),MONTH((Tahmin!$C$4+63)),MIN(DAY(Kalemler!$D44),DAY(EOMONTH((Tahmin!$C$4+63),0))))&gt;=(Tahmin!$C$4+63),DATE(YEAR((Tahmin!$C$4+63)),MONTH((Tahmin!$C$4+63)),MIN(DAY(Kalemler!$D44),DAY(EOMONTH((Tahmin!$C$4+63),0))))&lt;=(Tahmin!$C$4+69),DATE(YEAR((Tahmin!$C$4+63)),MONTH((Tahmin!$C$4+63)),MIN(DAY(Kalemler!$D44),DAY(EOMONTH((Tahmin!$C$4+63),0))))&gt;=Kalemler!$D44),AND(DATE(YEAR((Tahmin!$C$4+69)),MONTH((Tahmin!$C$4+69)),MIN(DAY(Kalemler!$D44),DAY(EOMONTH((Tahmin!$C$4+69),0))))&gt;=(Tahmin!$C$4+63),DATE(YEAR((Tahmin!$C$4+69)),MONTH((Tahmin!$C$4+69)),MIN(DAY(Kalemler!$D44),DAY(EOMONTH((Tahmin!$C$4+69),0))))&lt;=(Tahmin!$C$4+69),DATE(YEAR((Tahmin!$C$4+69)),MONTH((Tahmin!$C$4+69)),MIN(DAY(Kalemler!$D44),DAY(EOMONTH((Tahmin!$C$4+69),0))))&lt;&gt;DATE(YEAR((Tahmin!$C$4+63)),MONTH((Tahmin!$C$4+63)),MIN(DAY(Kalemler!$D44),DAY(EOMONTH((Tahmin!$C$4+63),0)))),DATE(YEAR((Tahmin!$C$4+69)),MONTH((Tahmin!$C$4+69)),MIN(DAY(Kalemler!$D44),DAY(EOMONTH((Tahmin!$C$4+69),0))))&gt;=Kalemler!$D44)),1,0),IF(AND(Kalemler!$D44&gt;=(Tahmin!$C$4+63),Kalemler!$D44&lt;=(Tahmin!$C$4+69)),1,0))))</f>
        <v>0</v>
      </c>
      <c r="L44" s="0" t="n">
        <f aca="false">IF(OR(Kalemler!$A44="",Kalemler!$C44="",Kalemler!$D44=""),0,Kalemler!$C44*IF(Kalemler!$E44="Haftalık",IF(Kalemler!$D44&lt;=(Tahmin!$C$4+76),1,0),IF(Kalemler!$E44="Aylık",IF(OR(AND(DATE(YEAR((Tahmin!$C$4+70)),MONTH((Tahmin!$C$4+70)),MIN(DAY(Kalemler!$D44),DAY(EOMONTH((Tahmin!$C$4+70),0))))&gt;=(Tahmin!$C$4+70),DATE(YEAR((Tahmin!$C$4+70)),MONTH((Tahmin!$C$4+70)),MIN(DAY(Kalemler!$D44),DAY(EOMONTH((Tahmin!$C$4+70),0))))&lt;=(Tahmin!$C$4+76),DATE(YEAR((Tahmin!$C$4+70)),MONTH((Tahmin!$C$4+70)),MIN(DAY(Kalemler!$D44),DAY(EOMONTH((Tahmin!$C$4+70),0))))&gt;=Kalemler!$D44),AND(DATE(YEAR((Tahmin!$C$4+76)),MONTH((Tahmin!$C$4+76)),MIN(DAY(Kalemler!$D44),DAY(EOMONTH((Tahmin!$C$4+76),0))))&gt;=(Tahmin!$C$4+70),DATE(YEAR((Tahmin!$C$4+76)),MONTH((Tahmin!$C$4+76)),MIN(DAY(Kalemler!$D44),DAY(EOMONTH((Tahmin!$C$4+76),0))))&lt;=(Tahmin!$C$4+76),DATE(YEAR((Tahmin!$C$4+76)),MONTH((Tahmin!$C$4+76)),MIN(DAY(Kalemler!$D44),DAY(EOMONTH((Tahmin!$C$4+76),0))))&lt;&gt;DATE(YEAR((Tahmin!$C$4+70)),MONTH((Tahmin!$C$4+70)),MIN(DAY(Kalemler!$D44),DAY(EOMONTH((Tahmin!$C$4+70),0)))),DATE(YEAR((Tahmin!$C$4+76)),MONTH((Tahmin!$C$4+76)),MIN(DAY(Kalemler!$D44),DAY(EOMONTH((Tahmin!$C$4+76),0))))&gt;=Kalemler!$D44)),1,0),IF(AND(Kalemler!$D44&gt;=(Tahmin!$C$4+70),Kalemler!$D44&lt;=(Tahmin!$C$4+76)),1,0))))</f>
        <v>0</v>
      </c>
      <c r="M44" s="0" t="n">
        <f aca="false">IF(OR(Kalemler!$A44="",Kalemler!$C44="",Kalemler!$D44=""),0,Kalemler!$C44*IF(Kalemler!$E44="Haftalık",IF(Kalemler!$D44&lt;=(Tahmin!$C$4+83),1,0),IF(Kalemler!$E44="Aylık",IF(OR(AND(DATE(YEAR((Tahmin!$C$4+77)),MONTH((Tahmin!$C$4+77)),MIN(DAY(Kalemler!$D44),DAY(EOMONTH((Tahmin!$C$4+77),0))))&gt;=(Tahmin!$C$4+77),DATE(YEAR((Tahmin!$C$4+77)),MONTH((Tahmin!$C$4+77)),MIN(DAY(Kalemler!$D44),DAY(EOMONTH((Tahmin!$C$4+77),0))))&lt;=(Tahmin!$C$4+83),DATE(YEAR((Tahmin!$C$4+77)),MONTH((Tahmin!$C$4+77)),MIN(DAY(Kalemler!$D44),DAY(EOMONTH((Tahmin!$C$4+77),0))))&gt;=Kalemler!$D44),AND(DATE(YEAR((Tahmin!$C$4+83)),MONTH((Tahmin!$C$4+83)),MIN(DAY(Kalemler!$D44),DAY(EOMONTH((Tahmin!$C$4+83),0))))&gt;=(Tahmin!$C$4+77),DATE(YEAR((Tahmin!$C$4+83)),MONTH((Tahmin!$C$4+83)),MIN(DAY(Kalemler!$D44),DAY(EOMONTH((Tahmin!$C$4+83),0))))&lt;=(Tahmin!$C$4+83),DATE(YEAR((Tahmin!$C$4+83)),MONTH((Tahmin!$C$4+83)),MIN(DAY(Kalemler!$D44),DAY(EOMONTH((Tahmin!$C$4+83),0))))&lt;&gt;DATE(YEAR((Tahmin!$C$4+77)),MONTH((Tahmin!$C$4+77)),MIN(DAY(Kalemler!$D44),DAY(EOMONTH((Tahmin!$C$4+77),0)))),DATE(YEAR((Tahmin!$C$4+83)),MONTH((Tahmin!$C$4+83)),MIN(DAY(Kalemler!$D44),DAY(EOMONTH((Tahmin!$C$4+83),0))))&gt;=Kalemler!$D44)),1,0),IF(AND(Kalemler!$D44&gt;=(Tahmin!$C$4+77),Kalemler!$D44&lt;=(Tahmin!$C$4+83)),1,0))))</f>
        <v>0</v>
      </c>
      <c r="N44" s="0" t="n">
        <f aca="false">IF(OR(Kalemler!$A44="",Kalemler!$C44="",Kalemler!$D44=""),0,Kalemler!$C44*IF(Kalemler!$E44="Haftalık",IF(Kalemler!$D44&lt;=(Tahmin!$C$4+90),1,0),IF(Kalemler!$E44="Aylık",IF(OR(AND(DATE(YEAR((Tahmin!$C$4+84)),MONTH((Tahmin!$C$4+84)),MIN(DAY(Kalemler!$D44),DAY(EOMONTH((Tahmin!$C$4+84),0))))&gt;=(Tahmin!$C$4+84),DATE(YEAR((Tahmin!$C$4+84)),MONTH((Tahmin!$C$4+84)),MIN(DAY(Kalemler!$D44),DAY(EOMONTH((Tahmin!$C$4+84),0))))&lt;=(Tahmin!$C$4+90),DATE(YEAR((Tahmin!$C$4+84)),MONTH((Tahmin!$C$4+84)),MIN(DAY(Kalemler!$D44),DAY(EOMONTH((Tahmin!$C$4+84),0))))&gt;=Kalemler!$D44),AND(DATE(YEAR((Tahmin!$C$4+90)),MONTH((Tahmin!$C$4+90)),MIN(DAY(Kalemler!$D44),DAY(EOMONTH((Tahmin!$C$4+90),0))))&gt;=(Tahmin!$C$4+84),DATE(YEAR((Tahmin!$C$4+90)),MONTH((Tahmin!$C$4+90)),MIN(DAY(Kalemler!$D44),DAY(EOMONTH((Tahmin!$C$4+90),0))))&lt;=(Tahmin!$C$4+90),DATE(YEAR((Tahmin!$C$4+90)),MONTH((Tahmin!$C$4+90)),MIN(DAY(Kalemler!$D44),DAY(EOMONTH((Tahmin!$C$4+90),0))))&lt;&gt;DATE(YEAR((Tahmin!$C$4+84)),MONTH((Tahmin!$C$4+84)),MIN(DAY(Kalemler!$D44),DAY(EOMONTH((Tahmin!$C$4+84),0)))),DATE(YEAR((Tahmin!$C$4+90)),MONTH((Tahmin!$C$4+90)),MIN(DAY(Kalemler!$D44),DAY(EOMONTH((Tahmin!$C$4+90),0))))&gt;=Kalemler!$D44)),1,0),IF(AND(Kalemler!$D44&gt;=(Tahmin!$C$4+84),Kalemler!$D44&lt;=(Tahmin!$C$4+90)),1,0))))</f>
        <v>0</v>
      </c>
    </row>
    <row r="45" customFormat="false" ht="15" hidden="false" customHeight="false" outlineLevel="0" collapsed="false">
      <c r="A45" s="0" t="str">
        <f aca="false">IF(Kalemler!A45="","",Kalemler!A45)</f>
        <v/>
      </c>
      <c r="B45" s="0" t="n">
        <f aca="false">IF(OR(Kalemler!$A45="",Kalemler!$C45="",Kalemler!$D45=""),0,Kalemler!$C45*IF(Kalemler!$E45="Haftalık",IF(Kalemler!$D45&lt;=(Tahmin!$C$4+6),1,0),IF(Kalemler!$E45="Aylık",IF(OR(AND(DATE(YEAR((Tahmin!$C$4+0)),MONTH((Tahmin!$C$4+0)),MIN(DAY(Kalemler!$D45),DAY(EOMONTH((Tahmin!$C$4+0),0))))&gt;=(Tahmin!$C$4+0),DATE(YEAR((Tahmin!$C$4+0)),MONTH((Tahmin!$C$4+0)),MIN(DAY(Kalemler!$D45),DAY(EOMONTH((Tahmin!$C$4+0),0))))&lt;=(Tahmin!$C$4+6),DATE(YEAR((Tahmin!$C$4+0)),MONTH((Tahmin!$C$4+0)),MIN(DAY(Kalemler!$D45),DAY(EOMONTH((Tahmin!$C$4+0),0))))&gt;=Kalemler!$D45),AND(DATE(YEAR((Tahmin!$C$4+6)),MONTH((Tahmin!$C$4+6)),MIN(DAY(Kalemler!$D45),DAY(EOMONTH((Tahmin!$C$4+6),0))))&gt;=(Tahmin!$C$4+0),DATE(YEAR((Tahmin!$C$4+6)),MONTH((Tahmin!$C$4+6)),MIN(DAY(Kalemler!$D45),DAY(EOMONTH((Tahmin!$C$4+6),0))))&lt;=(Tahmin!$C$4+6),DATE(YEAR((Tahmin!$C$4+6)),MONTH((Tahmin!$C$4+6)),MIN(DAY(Kalemler!$D45),DAY(EOMONTH((Tahmin!$C$4+6),0))))&lt;&gt;DATE(YEAR((Tahmin!$C$4+0)),MONTH((Tahmin!$C$4+0)),MIN(DAY(Kalemler!$D45),DAY(EOMONTH((Tahmin!$C$4+0),0)))),DATE(YEAR((Tahmin!$C$4+6)),MONTH((Tahmin!$C$4+6)),MIN(DAY(Kalemler!$D45),DAY(EOMONTH((Tahmin!$C$4+6),0))))&gt;=Kalemler!$D45)),1,0),IF(AND(Kalemler!$D45&gt;=(Tahmin!$C$4+0),Kalemler!$D45&lt;=(Tahmin!$C$4+6)),1,0))))</f>
        <v>0</v>
      </c>
      <c r="C45" s="0" t="n">
        <f aca="false">IF(OR(Kalemler!$A45="",Kalemler!$C45="",Kalemler!$D45=""),0,Kalemler!$C45*IF(Kalemler!$E45="Haftalık",IF(Kalemler!$D45&lt;=(Tahmin!$C$4+13),1,0),IF(Kalemler!$E45="Aylık",IF(OR(AND(DATE(YEAR((Tahmin!$C$4+7)),MONTH((Tahmin!$C$4+7)),MIN(DAY(Kalemler!$D45),DAY(EOMONTH((Tahmin!$C$4+7),0))))&gt;=(Tahmin!$C$4+7),DATE(YEAR((Tahmin!$C$4+7)),MONTH((Tahmin!$C$4+7)),MIN(DAY(Kalemler!$D45),DAY(EOMONTH((Tahmin!$C$4+7),0))))&lt;=(Tahmin!$C$4+13),DATE(YEAR((Tahmin!$C$4+7)),MONTH((Tahmin!$C$4+7)),MIN(DAY(Kalemler!$D45),DAY(EOMONTH((Tahmin!$C$4+7),0))))&gt;=Kalemler!$D45),AND(DATE(YEAR((Tahmin!$C$4+13)),MONTH((Tahmin!$C$4+13)),MIN(DAY(Kalemler!$D45),DAY(EOMONTH((Tahmin!$C$4+13),0))))&gt;=(Tahmin!$C$4+7),DATE(YEAR((Tahmin!$C$4+13)),MONTH((Tahmin!$C$4+13)),MIN(DAY(Kalemler!$D45),DAY(EOMONTH((Tahmin!$C$4+13),0))))&lt;=(Tahmin!$C$4+13),DATE(YEAR((Tahmin!$C$4+13)),MONTH((Tahmin!$C$4+13)),MIN(DAY(Kalemler!$D45),DAY(EOMONTH((Tahmin!$C$4+13),0))))&lt;&gt;DATE(YEAR((Tahmin!$C$4+7)),MONTH((Tahmin!$C$4+7)),MIN(DAY(Kalemler!$D45),DAY(EOMONTH((Tahmin!$C$4+7),0)))),DATE(YEAR((Tahmin!$C$4+13)),MONTH((Tahmin!$C$4+13)),MIN(DAY(Kalemler!$D45),DAY(EOMONTH((Tahmin!$C$4+13),0))))&gt;=Kalemler!$D45)),1,0),IF(AND(Kalemler!$D45&gt;=(Tahmin!$C$4+7),Kalemler!$D45&lt;=(Tahmin!$C$4+13)),1,0))))</f>
        <v>0</v>
      </c>
      <c r="D45" s="0" t="n">
        <f aca="false">IF(OR(Kalemler!$A45="",Kalemler!$C45="",Kalemler!$D45=""),0,Kalemler!$C45*IF(Kalemler!$E45="Haftalık",IF(Kalemler!$D45&lt;=(Tahmin!$C$4+20),1,0),IF(Kalemler!$E45="Aylık",IF(OR(AND(DATE(YEAR((Tahmin!$C$4+14)),MONTH((Tahmin!$C$4+14)),MIN(DAY(Kalemler!$D45),DAY(EOMONTH((Tahmin!$C$4+14),0))))&gt;=(Tahmin!$C$4+14),DATE(YEAR((Tahmin!$C$4+14)),MONTH((Tahmin!$C$4+14)),MIN(DAY(Kalemler!$D45),DAY(EOMONTH((Tahmin!$C$4+14),0))))&lt;=(Tahmin!$C$4+20),DATE(YEAR((Tahmin!$C$4+14)),MONTH((Tahmin!$C$4+14)),MIN(DAY(Kalemler!$D45),DAY(EOMONTH((Tahmin!$C$4+14),0))))&gt;=Kalemler!$D45),AND(DATE(YEAR((Tahmin!$C$4+20)),MONTH((Tahmin!$C$4+20)),MIN(DAY(Kalemler!$D45),DAY(EOMONTH((Tahmin!$C$4+20),0))))&gt;=(Tahmin!$C$4+14),DATE(YEAR((Tahmin!$C$4+20)),MONTH((Tahmin!$C$4+20)),MIN(DAY(Kalemler!$D45),DAY(EOMONTH((Tahmin!$C$4+20),0))))&lt;=(Tahmin!$C$4+20),DATE(YEAR((Tahmin!$C$4+20)),MONTH((Tahmin!$C$4+20)),MIN(DAY(Kalemler!$D45),DAY(EOMONTH((Tahmin!$C$4+20),0))))&lt;&gt;DATE(YEAR((Tahmin!$C$4+14)),MONTH((Tahmin!$C$4+14)),MIN(DAY(Kalemler!$D45),DAY(EOMONTH((Tahmin!$C$4+14),0)))),DATE(YEAR((Tahmin!$C$4+20)),MONTH((Tahmin!$C$4+20)),MIN(DAY(Kalemler!$D45),DAY(EOMONTH((Tahmin!$C$4+20),0))))&gt;=Kalemler!$D45)),1,0),IF(AND(Kalemler!$D45&gt;=(Tahmin!$C$4+14),Kalemler!$D45&lt;=(Tahmin!$C$4+20)),1,0))))</f>
        <v>0</v>
      </c>
      <c r="E45" s="0" t="n">
        <f aca="false">IF(OR(Kalemler!$A45="",Kalemler!$C45="",Kalemler!$D45=""),0,Kalemler!$C45*IF(Kalemler!$E45="Haftalık",IF(Kalemler!$D45&lt;=(Tahmin!$C$4+27),1,0),IF(Kalemler!$E45="Aylık",IF(OR(AND(DATE(YEAR((Tahmin!$C$4+21)),MONTH((Tahmin!$C$4+21)),MIN(DAY(Kalemler!$D45),DAY(EOMONTH((Tahmin!$C$4+21),0))))&gt;=(Tahmin!$C$4+21),DATE(YEAR((Tahmin!$C$4+21)),MONTH((Tahmin!$C$4+21)),MIN(DAY(Kalemler!$D45),DAY(EOMONTH((Tahmin!$C$4+21),0))))&lt;=(Tahmin!$C$4+27),DATE(YEAR((Tahmin!$C$4+21)),MONTH((Tahmin!$C$4+21)),MIN(DAY(Kalemler!$D45),DAY(EOMONTH((Tahmin!$C$4+21),0))))&gt;=Kalemler!$D45),AND(DATE(YEAR((Tahmin!$C$4+27)),MONTH((Tahmin!$C$4+27)),MIN(DAY(Kalemler!$D45),DAY(EOMONTH((Tahmin!$C$4+27),0))))&gt;=(Tahmin!$C$4+21),DATE(YEAR((Tahmin!$C$4+27)),MONTH((Tahmin!$C$4+27)),MIN(DAY(Kalemler!$D45),DAY(EOMONTH((Tahmin!$C$4+27),0))))&lt;=(Tahmin!$C$4+27),DATE(YEAR((Tahmin!$C$4+27)),MONTH((Tahmin!$C$4+27)),MIN(DAY(Kalemler!$D45),DAY(EOMONTH((Tahmin!$C$4+27),0))))&lt;&gt;DATE(YEAR((Tahmin!$C$4+21)),MONTH((Tahmin!$C$4+21)),MIN(DAY(Kalemler!$D45),DAY(EOMONTH((Tahmin!$C$4+21),0)))),DATE(YEAR((Tahmin!$C$4+27)),MONTH((Tahmin!$C$4+27)),MIN(DAY(Kalemler!$D45),DAY(EOMONTH((Tahmin!$C$4+27),0))))&gt;=Kalemler!$D45)),1,0),IF(AND(Kalemler!$D45&gt;=(Tahmin!$C$4+21),Kalemler!$D45&lt;=(Tahmin!$C$4+27)),1,0))))</f>
        <v>0</v>
      </c>
      <c r="F45" s="0" t="n">
        <f aca="false">IF(OR(Kalemler!$A45="",Kalemler!$C45="",Kalemler!$D45=""),0,Kalemler!$C45*IF(Kalemler!$E45="Haftalık",IF(Kalemler!$D45&lt;=(Tahmin!$C$4+34),1,0),IF(Kalemler!$E45="Aylık",IF(OR(AND(DATE(YEAR((Tahmin!$C$4+28)),MONTH((Tahmin!$C$4+28)),MIN(DAY(Kalemler!$D45),DAY(EOMONTH((Tahmin!$C$4+28),0))))&gt;=(Tahmin!$C$4+28),DATE(YEAR((Tahmin!$C$4+28)),MONTH((Tahmin!$C$4+28)),MIN(DAY(Kalemler!$D45),DAY(EOMONTH((Tahmin!$C$4+28),0))))&lt;=(Tahmin!$C$4+34),DATE(YEAR((Tahmin!$C$4+28)),MONTH((Tahmin!$C$4+28)),MIN(DAY(Kalemler!$D45),DAY(EOMONTH((Tahmin!$C$4+28),0))))&gt;=Kalemler!$D45),AND(DATE(YEAR((Tahmin!$C$4+34)),MONTH((Tahmin!$C$4+34)),MIN(DAY(Kalemler!$D45),DAY(EOMONTH((Tahmin!$C$4+34),0))))&gt;=(Tahmin!$C$4+28),DATE(YEAR((Tahmin!$C$4+34)),MONTH((Tahmin!$C$4+34)),MIN(DAY(Kalemler!$D45),DAY(EOMONTH((Tahmin!$C$4+34),0))))&lt;=(Tahmin!$C$4+34),DATE(YEAR((Tahmin!$C$4+34)),MONTH((Tahmin!$C$4+34)),MIN(DAY(Kalemler!$D45),DAY(EOMONTH((Tahmin!$C$4+34),0))))&lt;&gt;DATE(YEAR((Tahmin!$C$4+28)),MONTH((Tahmin!$C$4+28)),MIN(DAY(Kalemler!$D45),DAY(EOMONTH((Tahmin!$C$4+28),0)))),DATE(YEAR((Tahmin!$C$4+34)),MONTH((Tahmin!$C$4+34)),MIN(DAY(Kalemler!$D45),DAY(EOMONTH((Tahmin!$C$4+34),0))))&gt;=Kalemler!$D45)),1,0),IF(AND(Kalemler!$D45&gt;=(Tahmin!$C$4+28),Kalemler!$D45&lt;=(Tahmin!$C$4+34)),1,0))))</f>
        <v>0</v>
      </c>
      <c r="G45" s="0" t="n">
        <f aca="false">IF(OR(Kalemler!$A45="",Kalemler!$C45="",Kalemler!$D45=""),0,Kalemler!$C45*IF(Kalemler!$E45="Haftalık",IF(Kalemler!$D45&lt;=(Tahmin!$C$4+41),1,0),IF(Kalemler!$E45="Aylık",IF(OR(AND(DATE(YEAR((Tahmin!$C$4+35)),MONTH((Tahmin!$C$4+35)),MIN(DAY(Kalemler!$D45),DAY(EOMONTH((Tahmin!$C$4+35),0))))&gt;=(Tahmin!$C$4+35),DATE(YEAR((Tahmin!$C$4+35)),MONTH((Tahmin!$C$4+35)),MIN(DAY(Kalemler!$D45),DAY(EOMONTH((Tahmin!$C$4+35),0))))&lt;=(Tahmin!$C$4+41),DATE(YEAR((Tahmin!$C$4+35)),MONTH((Tahmin!$C$4+35)),MIN(DAY(Kalemler!$D45),DAY(EOMONTH((Tahmin!$C$4+35),0))))&gt;=Kalemler!$D45),AND(DATE(YEAR((Tahmin!$C$4+41)),MONTH((Tahmin!$C$4+41)),MIN(DAY(Kalemler!$D45),DAY(EOMONTH((Tahmin!$C$4+41),0))))&gt;=(Tahmin!$C$4+35),DATE(YEAR((Tahmin!$C$4+41)),MONTH((Tahmin!$C$4+41)),MIN(DAY(Kalemler!$D45),DAY(EOMONTH((Tahmin!$C$4+41),0))))&lt;=(Tahmin!$C$4+41),DATE(YEAR((Tahmin!$C$4+41)),MONTH((Tahmin!$C$4+41)),MIN(DAY(Kalemler!$D45),DAY(EOMONTH((Tahmin!$C$4+41),0))))&lt;&gt;DATE(YEAR((Tahmin!$C$4+35)),MONTH((Tahmin!$C$4+35)),MIN(DAY(Kalemler!$D45),DAY(EOMONTH((Tahmin!$C$4+35),0)))),DATE(YEAR((Tahmin!$C$4+41)),MONTH((Tahmin!$C$4+41)),MIN(DAY(Kalemler!$D45),DAY(EOMONTH((Tahmin!$C$4+41),0))))&gt;=Kalemler!$D45)),1,0),IF(AND(Kalemler!$D45&gt;=(Tahmin!$C$4+35),Kalemler!$D45&lt;=(Tahmin!$C$4+41)),1,0))))</f>
        <v>0</v>
      </c>
      <c r="H45" s="0" t="n">
        <f aca="false">IF(OR(Kalemler!$A45="",Kalemler!$C45="",Kalemler!$D45=""),0,Kalemler!$C45*IF(Kalemler!$E45="Haftalık",IF(Kalemler!$D45&lt;=(Tahmin!$C$4+48),1,0),IF(Kalemler!$E45="Aylık",IF(OR(AND(DATE(YEAR((Tahmin!$C$4+42)),MONTH((Tahmin!$C$4+42)),MIN(DAY(Kalemler!$D45),DAY(EOMONTH((Tahmin!$C$4+42),0))))&gt;=(Tahmin!$C$4+42),DATE(YEAR((Tahmin!$C$4+42)),MONTH((Tahmin!$C$4+42)),MIN(DAY(Kalemler!$D45),DAY(EOMONTH((Tahmin!$C$4+42),0))))&lt;=(Tahmin!$C$4+48),DATE(YEAR((Tahmin!$C$4+42)),MONTH((Tahmin!$C$4+42)),MIN(DAY(Kalemler!$D45),DAY(EOMONTH((Tahmin!$C$4+42),0))))&gt;=Kalemler!$D45),AND(DATE(YEAR((Tahmin!$C$4+48)),MONTH((Tahmin!$C$4+48)),MIN(DAY(Kalemler!$D45),DAY(EOMONTH((Tahmin!$C$4+48),0))))&gt;=(Tahmin!$C$4+42),DATE(YEAR((Tahmin!$C$4+48)),MONTH((Tahmin!$C$4+48)),MIN(DAY(Kalemler!$D45),DAY(EOMONTH((Tahmin!$C$4+48),0))))&lt;=(Tahmin!$C$4+48),DATE(YEAR((Tahmin!$C$4+48)),MONTH((Tahmin!$C$4+48)),MIN(DAY(Kalemler!$D45),DAY(EOMONTH((Tahmin!$C$4+48),0))))&lt;&gt;DATE(YEAR((Tahmin!$C$4+42)),MONTH((Tahmin!$C$4+42)),MIN(DAY(Kalemler!$D45),DAY(EOMONTH((Tahmin!$C$4+42),0)))),DATE(YEAR((Tahmin!$C$4+48)),MONTH((Tahmin!$C$4+48)),MIN(DAY(Kalemler!$D45),DAY(EOMONTH((Tahmin!$C$4+48),0))))&gt;=Kalemler!$D45)),1,0),IF(AND(Kalemler!$D45&gt;=(Tahmin!$C$4+42),Kalemler!$D45&lt;=(Tahmin!$C$4+48)),1,0))))</f>
        <v>0</v>
      </c>
      <c r="I45" s="0" t="n">
        <f aca="false">IF(OR(Kalemler!$A45="",Kalemler!$C45="",Kalemler!$D45=""),0,Kalemler!$C45*IF(Kalemler!$E45="Haftalık",IF(Kalemler!$D45&lt;=(Tahmin!$C$4+55),1,0),IF(Kalemler!$E45="Aylık",IF(OR(AND(DATE(YEAR((Tahmin!$C$4+49)),MONTH((Tahmin!$C$4+49)),MIN(DAY(Kalemler!$D45),DAY(EOMONTH((Tahmin!$C$4+49),0))))&gt;=(Tahmin!$C$4+49),DATE(YEAR((Tahmin!$C$4+49)),MONTH((Tahmin!$C$4+49)),MIN(DAY(Kalemler!$D45),DAY(EOMONTH((Tahmin!$C$4+49),0))))&lt;=(Tahmin!$C$4+55),DATE(YEAR((Tahmin!$C$4+49)),MONTH((Tahmin!$C$4+49)),MIN(DAY(Kalemler!$D45),DAY(EOMONTH((Tahmin!$C$4+49),0))))&gt;=Kalemler!$D45),AND(DATE(YEAR((Tahmin!$C$4+55)),MONTH((Tahmin!$C$4+55)),MIN(DAY(Kalemler!$D45),DAY(EOMONTH((Tahmin!$C$4+55),0))))&gt;=(Tahmin!$C$4+49),DATE(YEAR((Tahmin!$C$4+55)),MONTH((Tahmin!$C$4+55)),MIN(DAY(Kalemler!$D45),DAY(EOMONTH((Tahmin!$C$4+55),0))))&lt;=(Tahmin!$C$4+55),DATE(YEAR((Tahmin!$C$4+55)),MONTH((Tahmin!$C$4+55)),MIN(DAY(Kalemler!$D45),DAY(EOMONTH((Tahmin!$C$4+55),0))))&lt;&gt;DATE(YEAR((Tahmin!$C$4+49)),MONTH((Tahmin!$C$4+49)),MIN(DAY(Kalemler!$D45),DAY(EOMONTH((Tahmin!$C$4+49),0)))),DATE(YEAR((Tahmin!$C$4+55)),MONTH((Tahmin!$C$4+55)),MIN(DAY(Kalemler!$D45),DAY(EOMONTH((Tahmin!$C$4+55),0))))&gt;=Kalemler!$D45)),1,0),IF(AND(Kalemler!$D45&gt;=(Tahmin!$C$4+49),Kalemler!$D45&lt;=(Tahmin!$C$4+55)),1,0))))</f>
        <v>0</v>
      </c>
      <c r="J45" s="0" t="n">
        <f aca="false">IF(OR(Kalemler!$A45="",Kalemler!$C45="",Kalemler!$D45=""),0,Kalemler!$C45*IF(Kalemler!$E45="Haftalık",IF(Kalemler!$D45&lt;=(Tahmin!$C$4+62),1,0),IF(Kalemler!$E45="Aylık",IF(OR(AND(DATE(YEAR((Tahmin!$C$4+56)),MONTH((Tahmin!$C$4+56)),MIN(DAY(Kalemler!$D45),DAY(EOMONTH((Tahmin!$C$4+56),0))))&gt;=(Tahmin!$C$4+56),DATE(YEAR((Tahmin!$C$4+56)),MONTH((Tahmin!$C$4+56)),MIN(DAY(Kalemler!$D45),DAY(EOMONTH((Tahmin!$C$4+56),0))))&lt;=(Tahmin!$C$4+62),DATE(YEAR((Tahmin!$C$4+56)),MONTH((Tahmin!$C$4+56)),MIN(DAY(Kalemler!$D45),DAY(EOMONTH((Tahmin!$C$4+56),0))))&gt;=Kalemler!$D45),AND(DATE(YEAR((Tahmin!$C$4+62)),MONTH((Tahmin!$C$4+62)),MIN(DAY(Kalemler!$D45),DAY(EOMONTH((Tahmin!$C$4+62),0))))&gt;=(Tahmin!$C$4+56),DATE(YEAR((Tahmin!$C$4+62)),MONTH((Tahmin!$C$4+62)),MIN(DAY(Kalemler!$D45),DAY(EOMONTH((Tahmin!$C$4+62),0))))&lt;=(Tahmin!$C$4+62),DATE(YEAR((Tahmin!$C$4+62)),MONTH((Tahmin!$C$4+62)),MIN(DAY(Kalemler!$D45),DAY(EOMONTH((Tahmin!$C$4+62),0))))&lt;&gt;DATE(YEAR((Tahmin!$C$4+56)),MONTH((Tahmin!$C$4+56)),MIN(DAY(Kalemler!$D45),DAY(EOMONTH((Tahmin!$C$4+56),0)))),DATE(YEAR((Tahmin!$C$4+62)),MONTH((Tahmin!$C$4+62)),MIN(DAY(Kalemler!$D45),DAY(EOMONTH((Tahmin!$C$4+62),0))))&gt;=Kalemler!$D45)),1,0),IF(AND(Kalemler!$D45&gt;=(Tahmin!$C$4+56),Kalemler!$D45&lt;=(Tahmin!$C$4+62)),1,0))))</f>
        <v>0</v>
      </c>
      <c r="K45" s="0" t="n">
        <f aca="false">IF(OR(Kalemler!$A45="",Kalemler!$C45="",Kalemler!$D45=""),0,Kalemler!$C45*IF(Kalemler!$E45="Haftalık",IF(Kalemler!$D45&lt;=(Tahmin!$C$4+69),1,0),IF(Kalemler!$E45="Aylık",IF(OR(AND(DATE(YEAR((Tahmin!$C$4+63)),MONTH((Tahmin!$C$4+63)),MIN(DAY(Kalemler!$D45),DAY(EOMONTH((Tahmin!$C$4+63),0))))&gt;=(Tahmin!$C$4+63),DATE(YEAR((Tahmin!$C$4+63)),MONTH((Tahmin!$C$4+63)),MIN(DAY(Kalemler!$D45),DAY(EOMONTH((Tahmin!$C$4+63),0))))&lt;=(Tahmin!$C$4+69),DATE(YEAR((Tahmin!$C$4+63)),MONTH((Tahmin!$C$4+63)),MIN(DAY(Kalemler!$D45),DAY(EOMONTH((Tahmin!$C$4+63),0))))&gt;=Kalemler!$D45),AND(DATE(YEAR((Tahmin!$C$4+69)),MONTH((Tahmin!$C$4+69)),MIN(DAY(Kalemler!$D45),DAY(EOMONTH((Tahmin!$C$4+69),0))))&gt;=(Tahmin!$C$4+63),DATE(YEAR((Tahmin!$C$4+69)),MONTH((Tahmin!$C$4+69)),MIN(DAY(Kalemler!$D45),DAY(EOMONTH((Tahmin!$C$4+69),0))))&lt;=(Tahmin!$C$4+69),DATE(YEAR((Tahmin!$C$4+69)),MONTH((Tahmin!$C$4+69)),MIN(DAY(Kalemler!$D45),DAY(EOMONTH((Tahmin!$C$4+69),0))))&lt;&gt;DATE(YEAR((Tahmin!$C$4+63)),MONTH((Tahmin!$C$4+63)),MIN(DAY(Kalemler!$D45),DAY(EOMONTH((Tahmin!$C$4+63),0)))),DATE(YEAR((Tahmin!$C$4+69)),MONTH((Tahmin!$C$4+69)),MIN(DAY(Kalemler!$D45),DAY(EOMONTH((Tahmin!$C$4+69),0))))&gt;=Kalemler!$D45)),1,0),IF(AND(Kalemler!$D45&gt;=(Tahmin!$C$4+63),Kalemler!$D45&lt;=(Tahmin!$C$4+69)),1,0))))</f>
        <v>0</v>
      </c>
      <c r="L45" s="0" t="n">
        <f aca="false">IF(OR(Kalemler!$A45="",Kalemler!$C45="",Kalemler!$D45=""),0,Kalemler!$C45*IF(Kalemler!$E45="Haftalık",IF(Kalemler!$D45&lt;=(Tahmin!$C$4+76),1,0),IF(Kalemler!$E45="Aylık",IF(OR(AND(DATE(YEAR((Tahmin!$C$4+70)),MONTH((Tahmin!$C$4+70)),MIN(DAY(Kalemler!$D45),DAY(EOMONTH((Tahmin!$C$4+70),0))))&gt;=(Tahmin!$C$4+70),DATE(YEAR((Tahmin!$C$4+70)),MONTH((Tahmin!$C$4+70)),MIN(DAY(Kalemler!$D45),DAY(EOMONTH((Tahmin!$C$4+70),0))))&lt;=(Tahmin!$C$4+76),DATE(YEAR((Tahmin!$C$4+70)),MONTH((Tahmin!$C$4+70)),MIN(DAY(Kalemler!$D45),DAY(EOMONTH((Tahmin!$C$4+70),0))))&gt;=Kalemler!$D45),AND(DATE(YEAR((Tahmin!$C$4+76)),MONTH((Tahmin!$C$4+76)),MIN(DAY(Kalemler!$D45),DAY(EOMONTH((Tahmin!$C$4+76),0))))&gt;=(Tahmin!$C$4+70),DATE(YEAR((Tahmin!$C$4+76)),MONTH((Tahmin!$C$4+76)),MIN(DAY(Kalemler!$D45),DAY(EOMONTH((Tahmin!$C$4+76),0))))&lt;=(Tahmin!$C$4+76),DATE(YEAR((Tahmin!$C$4+76)),MONTH((Tahmin!$C$4+76)),MIN(DAY(Kalemler!$D45),DAY(EOMONTH((Tahmin!$C$4+76),0))))&lt;&gt;DATE(YEAR((Tahmin!$C$4+70)),MONTH((Tahmin!$C$4+70)),MIN(DAY(Kalemler!$D45),DAY(EOMONTH((Tahmin!$C$4+70),0)))),DATE(YEAR((Tahmin!$C$4+76)),MONTH((Tahmin!$C$4+76)),MIN(DAY(Kalemler!$D45),DAY(EOMONTH((Tahmin!$C$4+76),0))))&gt;=Kalemler!$D45)),1,0),IF(AND(Kalemler!$D45&gt;=(Tahmin!$C$4+70),Kalemler!$D45&lt;=(Tahmin!$C$4+76)),1,0))))</f>
        <v>0</v>
      </c>
      <c r="M45" s="0" t="n">
        <f aca="false">IF(OR(Kalemler!$A45="",Kalemler!$C45="",Kalemler!$D45=""),0,Kalemler!$C45*IF(Kalemler!$E45="Haftalık",IF(Kalemler!$D45&lt;=(Tahmin!$C$4+83),1,0),IF(Kalemler!$E45="Aylık",IF(OR(AND(DATE(YEAR((Tahmin!$C$4+77)),MONTH((Tahmin!$C$4+77)),MIN(DAY(Kalemler!$D45),DAY(EOMONTH((Tahmin!$C$4+77),0))))&gt;=(Tahmin!$C$4+77),DATE(YEAR((Tahmin!$C$4+77)),MONTH((Tahmin!$C$4+77)),MIN(DAY(Kalemler!$D45),DAY(EOMONTH((Tahmin!$C$4+77),0))))&lt;=(Tahmin!$C$4+83),DATE(YEAR((Tahmin!$C$4+77)),MONTH((Tahmin!$C$4+77)),MIN(DAY(Kalemler!$D45),DAY(EOMONTH((Tahmin!$C$4+77),0))))&gt;=Kalemler!$D45),AND(DATE(YEAR((Tahmin!$C$4+83)),MONTH((Tahmin!$C$4+83)),MIN(DAY(Kalemler!$D45),DAY(EOMONTH((Tahmin!$C$4+83),0))))&gt;=(Tahmin!$C$4+77),DATE(YEAR((Tahmin!$C$4+83)),MONTH((Tahmin!$C$4+83)),MIN(DAY(Kalemler!$D45),DAY(EOMONTH((Tahmin!$C$4+83),0))))&lt;=(Tahmin!$C$4+83),DATE(YEAR((Tahmin!$C$4+83)),MONTH((Tahmin!$C$4+83)),MIN(DAY(Kalemler!$D45),DAY(EOMONTH((Tahmin!$C$4+83),0))))&lt;&gt;DATE(YEAR((Tahmin!$C$4+77)),MONTH((Tahmin!$C$4+77)),MIN(DAY(Kalemler!$D45),DAY(EOMONTH((Tahmin!$C$4+77),0)))),DATE(YEAR((Tahmin!$C$4+83)),MONTH((Tahmin!$C$4+83)),MIN(DAY(Kalemler!$D45),DAY(EOMONTH((Tahmin!$C$4+83),0))))&gt;=Kalemler!$D45)),1,0),IF(AND(Kalemler!$D45&gt;=(Tahmin!$C$4+77),Kalemler!$D45&lt;=(Tahmin!$C$4+83)),1,0))))</f>
        <v>0</v>
      </c>
      <c r="N45" s="0" t="n">
        <f aca="false">IF(OR(Kalemler!$A45="",Kalemler!$C45="",Kalemler!$D45=""),0,Kalemler!$C45*IF(Kalemler!$E45="Haftalık",IF(Kalemler!$D45&lt;=(Tahmin!$C$4+90),1,0),IF(Kalemler!$E45="Aylık",IF(OR(AND(DATE(YEAR((Tahmin!$C$4+84)),MONTH((Tahmin!$C$4+84)),MIN(DAY(Kalemler!$D45),DAY(EOMONTH((Tahmin!$C$4+84),0))))&gt;=(Tahmin!$C$4+84),DATE(YEAR((Tahmin!$C$4+84)),MONTH((Tahmin!$C$4+84)),MIN(DAY(Kalemler!$D45),DAY(EOMONTH((Tahmin!$C$4+84),0))))&lt;=(Tahmin!$C$4+90),DATE(YEAR((Tahmin!$C$4+84)),MONTH((Tahmin!$C$4+84)),MIN(DAY(Kalemler!$D45),DAY(EOMONTH((Tahmin!$C$4+84),0))))&gt;=Kalemler!$D45),AND(DATE(YEAR((Tahmin!$C$4+90)),MONTH((Tahmin!$C$4+90)),MIN(DAY(Kalemler!$D45),DAY(EOMONTH((Tahmin!$C$4+90),0))))&gt;=(Tahmin!$C$4+84),DATE(YEAR((Tahmin!$C$4+90)),MONTH((Tahmin!$C$4+90)),MIN(DAY(Kalemler!$D45),DAY(EOMONTH((Tahmin!$C$4+90),0))))&lt;=(Tahmin!$C$4+90),DATE(YEAR((Tahmin!$C$4+90)),MONTH((Tahmin!$C$4+90)),MIN(DAY(Kalemler!$D45),DAY(EOMONTH((Tahmin!$C$4+90),0))))&lt;&gt;DATE(YEAR((Tahmin!$C$4+84)),MONTH((Tahmin!$C$4+84)),MIN(DAY(Kalemler!$D45),DAY(EOMONTH((Tahmin!$C$4+84),0)))),DATE(YEAR((Tahmin!$C$4+90)),MONTH((Tahmin!$C$4+90)),MIN(DAY(Kalemler!$D45),DAY(EOMONTH((Tahmin!$C$4+90),0))))&gt;=Kalemler!$D45)),1,0),IF(AND(Kalemler!$D45&gt;=(Tahmin!$C$4+84),Kalemler!$D45&lt;=(Tahmin!$C$4+90)),1,0))))</f>
        <v>0</v>
      </c>
    </row>
    <row r="46" customFormat="false" ht="15" hidden="false" customHeight="false" outlineLevel="0" collapsed="false">
      <c r="A46" s="0" t="str">
        <f aca="false">IF(Kalemler!A46="","",Kalemler!A46)</f>
        <v/>
      </c>
      <c r="B46" s="0" t="n">
        <f aca="false">IF(OR(Kalemler!$A46="",Kalemler!$C46="",Kalemler!$D46=""),0,Kalemler!$C46*IF(Kalemler!$E46="Haftalık",IF(Kalemler!$D46&lt;=(Tahmin!$C$4+6),1,0),IF(Kalemler!$E46="Aylık",IF(OR(AND(DATE(YEAR((Tahmin!$C$4+0)),MONTH((Tahmin!$C$4+0)),MIN(DAY(Kalemler!$D46),DAY(EOMONTH((Tahmin!$C$4+0),0))))&gt;=(Tahmin!$C$4+0),DATE(YEAR((Tahmin!$C$4+0)),MONTH((Tahmin!$C$4+0)),MIN(DAY(Kalemler!$D46),DAY(EOMONTH((Tahmin!$C$4+0),0))))&lt;=(Tahmin!$C$4+6),DATE(YEAR((Tahmin!$C$4+0)),MONTH((Tahmin!$C$4+0)),MIN(DAY(Kalemler!$D46),DAY(EOMONTH((Tahmin!$C$4+0),0))))&gt;=Kalemler!$D46),AND(DATE(YEAR((Tahmin!$C$4+6)),MONTH((Tahmin!$C$4+6)),MIN(DAY(Kalemler!$D46),DAY(EOMONTH((Tahmin!$C$4+6),0))))&gt;=(Tahmin!$C$4+0),DATE(YEAR((Tahmin!$C$4+6)),MONTH((Tahmin!$C$4+6)),MIN(DAY(Kalemler!$D46),DAY(EOMONTH((Tahmin!$C$4+6),0))))&lt;=(Tahmin!$C$4+6),DATE(YEAR((Tahmin!$C$4+6)),MONTH((Tahmin!$C$4+6)),MIN(DAY(Kalemler!$D46),DAY(EOMONTH((Tahmin!$C$4+6),0))))&lt;&gt;DATE(YEAR((Tahmin!$C$4+0)),MONTH((Tahmin!$C$4+0)),MIN(DAY(Kalemler!$D46),DAY(EOMONTH((Tahmin!$C$4+0),0)))),DATE(YEAR((Tahmin!$C$4+6)),MONTH((Tahmin!$C$4+6)),MIN(DAY(Kalemler!$D46),DAY(EOMONTH((Tahmin!$C$4+6),0))))&gt;=Kalemler!$D46)),1,0),IF(AND(Kalemler!$D46&gt;=(Tahmin!$C$4+0),Kalemler!$D46&lt;=(Tahmin!$C$4+6)),1,0))))</f>
        <v>0</v>
      </c>
      <c r="C46" s="0" t="n">
        <f aca="false">IF(OR(Kalemler!$A46="",Kalemler!$C46="",Kalemler!$D46=""),0,Kalemler!$C46*IF(Kalemler!$E46="Haftalık",IF(Kalemler!$D46&lt;=(Tahmin!$C$4+13),1,0),IF(Kalemler!$E46="Aylık",IF(OR(AND(DATE(YEAR((Tahmin!$C$4+7)),MONTH((Tahmin!$C$4+7)),MIN(DAY(Kalemler!$D46),DAY(EOMONTH((Tahmin!$C$4+7),0))))&gt;=(Tahmin!$C$4+7),DATE(YEAR((Tahmin!$C$4+7)),MONTH((Tahmin!$C$4+7)),MIN(DAY(Kalemler!$D46),DAY(EOMONTH((Tahmin!$C$4+7),0))))&lt;=(Tahmin!$C$4+13),DATE(YEAR((Tahmin!$C$4+7)),MONTH((Tahmin!$C$4+7)),MIN(DAY(Kalemler!$D46),DAY(EOMONTH((Tahmin!$C$4+7),0))))&gt;=Kalemler!$D46),AND(DATE(YEAR((Tahmin!$C$4+13)),MONTH((Tahmin!$C$4+13)),MIN(DAY(Kalemler!$D46),DAY(EOMONTH((Tahmin!$C$4+13),0))))&gt;=(Tahmin!$C$4+7),DATE(YEAR((Tahmin!$C$4+13)),MONTH((Tahmin!$C$4+13)),MIN(DAY(Kalemler!$D46),DAY(EOMONTH((Tahmin!$C$4+13),0))))&lt;=(Tahmin!$C$4+13),DATE(YEAR((Tahmin!$C$4+13)),MONTH((Tahmin!$C$4+13)),MIN(DAY(Kalemler!$D46),DAY(EOMONTH((Tahmin!$C$4+13),0))))&lt;&gt;DATE(YEAR((Tahmin!$C$4+7)),MONTH((Tahmin!$C$4+7)),MIN(DAY(Kalemler!$D46),DAY(EOMONTH((Tahmin!$C$4+7),0)))),DATE(YEAR((Tahmin!$C$4+13)),MONTH((Tahmin!$C$4+13)),MIN(DAY(Kalemler!$D46),DAY(EOMONTH((Tahmin!$C$4+13),0))))&gt;=Kalemler!$D46)),1,0),IF(AND(Kalemler!$D46&gt;=(Tahmin!$C$4+7),Kalemler!$D46&lt;=(Tahmin!$C$4+13)),1,0))))</f>
        <v>0</v>
      </c>
      <c r="D46" s="0" t="n">
        <f aca="false">IF(OR(Kalemler!$A46="",Kalemler!$C46="",Kalemler!$D46=""),0,Kalemler!$C46*IF(Kalemler!$E46="Haftalık",IF(Kalemler!$D46&lt;=(Tahmin!$C$4+20),1,0),IF(Kalemler!$E46="Aylık",IF(OR(AND(DATE(YEAR((Tahmin!$C$4+14)),MONTH((Tahmin!$C$4+14)),MIN(DAY(Kalemler!$D46),DAY(EOMONTH((Tahmin!$C$4+14),0))))&gt;=(Tahmin!$C$4+14),DATE(YEAR((Tahmin!$C$4+14)),MONTH((Tahmin!$C$4+14)),MIN(DAY(Kalemler!$D46),DAY(EOMONTH((Tahmin!$C$4+14),0))))&lt;=(Tahmin!$C$4+20),DATE(YEAR((Tahmin!$C$4+14)),MONTH((Tahmin!$C$4+14)),MIN(DAY(Kalemler!$D46),DAY(EOMONTH((Tahmin!$C$4+14),0))))&gt;=Kalemler!$D46),AND(DATE(YEAR((Tahmin!$C$4+20)),MONTH((Tahmin!$C$4+20)),MIN(DAY(Kalemler!$D46),DAY(EOMONTH((Tahmin!$C$4+20),0))))&gt;=(Tahmin!$C$4+14),DATE(YEAR((Tahmin!$C$4+20)),MONTH((Tahmin!$C$4+20)),MIN(DAY(Kalemler!$D46),DAY(EOMONTH((Tahmin!$C$4+20),0))))&lt;=(Tahmin!$C$4+20),DATE(YEAR((Tahmin!$C$4+20)),MONTH((Tahmin!$C$4+20)),MIN(DAY(Kalemler!$D46),DAY(EOMONTH((Tahmin!$C$4+20),0))))&lt;&gt;DATE(YEAR((Tahmin!$C$4+14)),MONTH((Tahmin!$C$4+14)),MIN(DAY(Kalemler!$D46),DAY(EOMONTH((Tahmin!$C$4+14),0)))),DATE(YEAR((Tahmin!$C$4+20)),MONTH((Tahmin!$C$4+20)),MIN(DAY(Kalemler!$D46),DAY(EOMONTH((Tahmin!$C$4+20),0))))&gt;=Kalemler!$D46)),1,0),IF(AND(Kalemler!$D46&gt;=(Tahmin!$C$4+14),Kalemler!$D46&lt;=(Tahmin!$C$4+20)),1,0))))</f>
        <v>0</v>
      </c>
      <c r="E46" s="0" t="n">
        <f aca="false">IF(OR(Kalemler!$A46="",Kalemler!$C46="",Kalemler!$D46=""),0,Kalemler!$C46*IF(Kalemler!$E46="Haftalık",IF(Kalemler!$D46&lt;=(Tahmin!$C$4+27),1,0),IF(Kalemler!$E46="Aylık",IF(OR(AND(DATE(YEAR((Tahmin!$C$4+21)),MONTH((Tahmin!$C$4+21)),MIN(DAY(Kalemler!$D46),DAY(EOMONTH((Tahmin!$C$4+21),0))))&gt;=(Tahmin!$C$4+21),DATE(YEAR((Tahmin!$C$4+21)),MONTH((Tahmin!$C$4+21)),MIN(DAY(Kalemler!$D46),DAY(EOMONTH((Tahmin!$C$4+21),0))))&lt;=(Tahmin!$C$4+27),DATE(YEAR((Tahmin!$C$4+21)),MONTH((Tahmin!$C$4+21)),MIN(DAY(Kalemler!$D46),DAY(EOMONTH((Tahmin!$C$4+21),0))))&gt;=Kalemler!$D46),AND(DATE(YEAR((Tahmin!$C$4+27)),MONTH((Tahmin!$C$4+27)),MIN(DAY(Kalemler!$D46),DAY(EOMONTH((Tahmin!$C$4+27),0))))&gt;=(Tahmin!$C$4+21),DATE(YEAR((Tahmin!$C$4+27)),MONTH((Tahmin!$C$4+27)),MIN(DAY(Kalemler!$D46),DAY(EOMONTH((Tahmin!$C$4+27),0))))&lt;=(Tahmin!$C$4+27),DATE(YEAR((Tahmin!$C$4+27)),MONTH((Tahmin!$C$4+27)),MIN(DAY(Kalemler!$D46),DAY(EOMONTH((Tahmin!$C$4+27),0))))&lt;&gt;DATE(YEAR((Tahmin!$C$4+21)),MONTH((Tahmin!$C$4+21)),MIN(DAY(Kalemler!$D46),DAY(EOMONTH((Tahmin!$C$4+21),0)))),DATE(YEAR((Tahmin!$C$4+27)),MONTH((Tahmin!$C$4+27)),MIN(DAY(Kalemler!$D46),DAY(EOMONTH((Tahmin!$C$4+27),0))))&gt;=Kalemler!$D46)),1,0),IF(AND(Kalemler!$D46&gt;=(Tahmin!$C$4+21),Kalemler!$D46&lt;=(Tahmin!$C$4+27)),1,0))))</f>
        <v>0</v>
      </c>
      <c r="F46" s="0" t="n">
        <f aca="false">IF(OR(Kalemler!$A46="",Kalemler!$C46="",Kalemler!$D46=""),0,Kalemler!$C46*IF(Kalemler!$E46="Haftalık",IF(Kalemler!$D46&lt;=(Tahmin!$C$4+34),1,0),IF(Kalemler!$E46="Aylık",IF(OR(AND(DATE(YEAR((Tahmin!$C$4+28)),MONTH((Tahmin!$C$4+28)),MIN(DAY(Kalemler!$D46),DAY(EOMONTH((Tahmin!$C$4+28),0))))&gt;=(Tahmin!$C$4+28),DATE(YEAR((Tahmin!$C$4+28)),MONTH((Tahmin!$C$4+28)),MIN(DAY(Kalemler!$D46),DAY(EOMONTH((Tahmin!$C$4+28),0))))&lt;=(Tahmin!$C$4+34),DATE(YEAR((Tahmin!$C$4+28)),MONTH((Tahmin!$C$4+28)),MIN(DAY(Kalemler!$D46),DAY(EOMONTH((Tahmin!$C$4+28),0))))&gt;=Kalemler!$D46),AND(DATE(YEAR((Tahmin!$C$4+34)),MONTH((Tahmin!$C$4+34)),MIN(DAY(Kalemler!$D46),DAY(EOMONTH((Tahmin!$C$4+34),0))))&gt;=(Tahmin!$C$4+28),DATE(YEAR((Tahmin!$C$4+34)),MONTH((Tahmin!$C$4+34)),MIN(DAY(Kalemler!$D46),DAY(EOMONTH((Tahmin!$C$4+34),0))))&lt;=(Tahmin!$C$4+34),DATE(YEAR((Tahmin!$C$4+34)),MONTH((Tahmin!$C$4+34)),MIN(DAY(Kalemler!$D46),DAY(EOMONTH((Tahmin!$C$4+34),0))))&lt;&gt;DATE(YEAR((Tahmin!$C$4+28)),MONTH((Tahmin!$C$4+28)),MIN(DAY(Kalemler!$D46),DAY(EOMONTH((Tahmin!$C$4+28),0)))),DATE(YEAR((Tahmin!$C$4+34)),MONTH((Tahmin!$C$4+34)),MIN(DAY(Kalemler!$D46),DAY(EOMONTH((Tahmin!$C$4+34),0))))&gt;=Kalemler!$D46)),1,0),IF(AND(Kalemler!$D46&gt;=(Tahmin!$C$4+28),Kalemler!$D46&lt;=(Tahmin!$C$4+34)),1,0))))</f>
        <v>0</v>
      </c>
      <c r="G46" s="0" t="n">
        <f aca="false">IF(OR(Kalemler!$A46="",Kalemler!$C46="",Kalemler!$D46=""),0,Kalemler!$C46*IF(Kalemler!$E46="Haftalık",IF(Kalemler!$D46&lt;=(Tahmin!$C$4+41),1,0),IF(Kalemler!$E46="Aylık",IF(OR(AND(DATE(YEAR((Tahmin!$C$4+35)),MONTH((Tahmin!$C$4+35)),MIN(DAY(Kalemler!$D46),DAY(EOMONTH((Tahmin!$C$4+35),0))))&gt;=(Tahmin!$C$4+35),DATE(YEAR((Tahmin!$C$4+35)),MONTH((Tahmin!$C$4+35)),MIN(DAY(Kalemler!$D46),DAY(EOMONTH((Tahmin!$C$4+35),0))))&lt;=(Tahmin!$C$4+41),DATE(YEAR((Tahmin!$C$4+35)),MONTH((Tahmin!$C$4+35)),MIN(DAY(Kalemler!$D46),DAY(EOMONTH((Tahmin!$C$4+35),0))))&gt;=Kalemler!$D46),AND(DATE(YEAR((Tahmin!$C$4+41)),MONTH((Tahmin!$C$4+41)),MIN(DAY(Kalemler!$D46),DAY(EOMONTH((Tahmin!$C$4+41),0))))&gt;=(Tahmin!$C$4+35),DATE(YEAR((Tahmin!$C$4+41)),MONTH((Tahmin!$C$4+41)),MIN(DAY(Kalemler!$D46),DAY(EOMONTH((Tahmin!$C$4+41),0))))&lt;=(Tahmin!$C$4+41),DATE(YEAR((Tahmin!$C$4+41)),MONTH((Tahmin!$C$4+41)),MIN(DAY(Kalemler!$D46),DAY(EOMONTH((Tahmin!$C$4+41),0))))&lt;&gt;DATE(YEAR((Tahmin!$C$4+35)),MONTH((Tahmin!$C$4+35)),MIN(DAY(Kalemler!$D46),DAY(EOMONTH((Tahmin!$C$4+35),0)))),DATE(YEAR((Tahmin!$C$4+41)),MONTH((Tahmin!$C$4+41)),MIN(DAY(Kalemler!$D46),DAY(EOMONTH((Tahmin!$C$4+41),0))))&gt;=Kalemler!$D46)),1,0),IF(AND(Kalemler!$D46&gt;=(Tahmin!$C$4+35),Kalemler!$D46&lt;=(Tahmin!$C$4+41)),1,0))))</f>
        <v>0</v>
      </c>
      <c r="H46" s="0" t="n">
        <f aca="false">IF(OR(Kalemler!$A46="",Kalemler!$C46="",Kalemler!$D46=""),0,Kalemler!$C46*IF(Kalemler!$E46="Haftalık",IF(Kalemler!$D46&lt;=(Tahmin!$C$4+48),1,0),IF(Kalemler!$E46="Aylık",IF(OR(AND(DATE(YEAR((Tahmin!$C$4+42)),MONTH((Tahmin!$C$4+42)),MIN(DAY(Kalemler!$D46),DAY(EOMONTH((Tahmin!$C$4+42),0))))&gt;=(Tahmin!$C$4+42),DATE(YEAR((Tahmin!$C$4+42)),MONTH((Tahmin!$C$4+42)),MIN(DAY(Kalemler!$D46),DAY(EOMONTH((Tahmin!$C$4+42),0))))&lt;=(Tahmin!$C$4+48),DATE(YEAR((Tahmin!$C$4+42)),MONTH((Tahmin!$C$4+42)),MIN(DAY(Kalemler!$D46),DAY(EOMONTH((Tahmin!$C$4+42),0))))&gt;=Kalemler!$D46),AND(DATE(YEAR((Tahmin!$C$4+48)),MONTH((Tahmin!$C$4+48)),MIN(DAY(Kalemler!$D46),DAY(EOMONTH((Tahmin!$C$4+48),0))))&gt;=(Tahmin!$C$4+42),DATE(YEAR((Tahmin!$C$4+48)),MONTH((Tahmin!$C$4+48)),MIN(DAY(Kalemler!$D46),DAY(EOMONTH((Tahmin!$C$4+48),0))))&lt;=(Tahmin!$C$4+48),DATE(YEAR((Tahmin!$C$4+48)),MONTH((Tahmin!$C$4+48)),MIN(DAY(Kalemler!$D46),DAY(EOMONTH((Tahmin!$C$4+48),0))))&lt;&gt;DATE(YEAR((Tahmin!$C$4+42)),MONTH((Tahmin!$C$4+42)),MIN(DAY(Kalemler!$D46),DAY(EOMONTH((Tahmin!$C$4+42),0)))),DATE(YEAR((Tahmin!$C$4+48)),MONTH((Tahmin!$C$4+48)),MIN(DAY(Kalemler!$D46),DAY(EOMONTH((Tahmin!$C$4+48),0))))&gt;=Kalemler!$D46)),1,0),IF(AND(Kalemler!$D46&gt;=(Tahmin!$C$4+42),Kalemler!$D46&lt;=(Tahmin!$C$4+48)),1,0))))</f>
        <v>0</v>
      </c>
      <c r="I46" s="0" t="n">
        <f aca="false">IF(OR(Kalemler!$A46="",Kalemler!$C46="",Kalemler!$D46=""),0,Kalemler!$C46*IF(Kalemler!$E46="Haftalık",IF(Kalemler!$D46&lt;=(Tahmin!$C$4+55),1,0),IF(Kalemler!$E46="Aylık",IF(OR(AND(DATE(YEAR((Tahmin!$C$4+49)),MONTH((Tahmin!$C$4+49)),MIN(DAY(Kalemler!$D46),DAY(EOMONTH((Tahmin!$C$4+49),0))))&gt;=(Tahmin!$C$4+49),DATE(YEAR((Tahmin!$C$4+49)),MONTH((Tahmin!$C$4+49)),MIN(DAY(Kalemler!$D46),DAY(EOMONTH((Tahmin!$C$4+49),0))))&lt;=(Tahmin!$C$4+55),DATE(YEAR((Tahmin!$C$4+49)),MONTH((Tahmin!$C$4+49)),MIN(DAY(Kalemler!$D46),DAY(EOMONTH((Tahmin!$C$4+49),0))))&gt;=Kalemler!$D46),AND(DATE(YEAR((Tahmin!$C$4+55)),MONTH((Tahmin!$C$4+55)),MIN(DAY(Kalemler!$D46),DAY(EOMONTH((Tahmin!$C$4+55),0))))&gt;=(Tahmin!$C$4+49),DATE(YEAR((Tahmin!$C$4+55)),MONTH((Tahmin!$C$4+55)),MIN(DAY(Kalemler!$D46),DAY(EOMONTH((Tahmin!$C$4+55),0))))&lt;=(Tahmin!$C$4+55),DATE(YEAR((Tahmin!$C$4+55)),MONTH((Tahmin!$C$4+55)),MIN(DAY(Kalemler!$D46),DAY(EOMONTH((Tahmin!$C$4+55),0))))&lt;&gt;DATE(YEAR((Tahmin!$C$4+49)),MONTH((Tahmin!$C$4+49)),MIN(DAY(Kalemler!$D46),DAY(EOMONTH((Tahmin!$C$4+49),0)))),DATE(YEAR((Tahmin!$C$4+55)),MONTH((Tahmin!$C$4+55)),MIN(DAY(Kalemler!$D46),DAY(EOMONTH((Tahmin!$C$4+55),0))))&gt;=Kalemler!$D46)),1,0),IF(AND(Kalemler!$D46&gt;=(Tahmin!$C$4+49),Kalemler!$D46&lt;=(Tahmin!$C$4+55)),1,0))))</f>
        <v>0</v>
      </c>
      <c r="J46" s="0" t="n">
        <f aca="false">IF(OR(Kalemler!$A46="",Kalemler!$C46="",Kalemler!$D46=""),0,Kalemler!$C46*IF(Kalemler!$E46="Haftalık",IF(Kalemler!$D46&lt;=(Tahmin!$C$4+62),1,0),IF(Kalemler!$E46="Aylık",IF(OR(AND(DATE(YEAR((Tahmin!$C$4+56)),MONTH((Tahmin!$C$4+56)),MIN(DAY(Kalemler!$D46),DAY(EOMONTH((Tahmin!$C$4+56),0))))&gt;=(Tahmin!$C$4+56),DATE(YEAR((Tahmin!$C$4+56)),MONTH((Tahmin!$C$4+56)),MIN(DAY(Kalemler!$D46),DAY(EOMONTH((Tahmin!$C$4+56),0))))&lt;=(Tahmin!$C$4+62),DATE(YEAR((Tahmin!$C$4+56)),MONTH((Tahmin!$C$4+56)),MIN(DAY(Kalemler!$D46),DAY(EOMONTH((Tahmin!$C$4+56),0))))&gt;=Kalemler!$D46),AND(DATE(YEAR((Tahmin!$C$4+62)),MONTH((Tahmin!$C$4+62)),MIN(DAY(Kalemler!$D46),DAY(EOMONTH((Tahmin!$C$4+62),0))))&gt;=(Tahmin!$C$4+56),DATE(YEAR((Tahmin!$C$4+62)),MONTH((Tahmin!$C$4+62)),MIN(DAY(Kalemler!$D46),DAY(EOMONTH((Tahmin!$C$4+62),0))))&lt;=(Tahmin!$C$4+62),DATE(YEAR((Tahmin!$C$4+62)),MONTH((Tahmin!$C$4+62)),MIN(DAY(Kalemler!$D46),DAY(EOMONTH((Tahmin!$C$4+62),0))))&lt;&gt;DATE(YEAR((Tahmin!$C$4+56)),MONTH((Tahmin!$C$4+56)),MIN(DAY(Kalemler!$D46),DAY(EOMONTH((Tahmin!$C$4+56),0)))),DATE(YEAR((Tahmin!$C$4+62)),MONTH((Tahmin!$C$4+62)),MIN(DAY(Kalemler!$D46),DAY(EOMONTH((Tahmin!$C$4+62),0))))&gt;=Kalemler!$D46)),1,0),IF(AND(Kalemler!$D46&gt;=(Tahmin!$C$4+56),Kalemler!$D46&lt;=(Tahmin!$C$4+62)),1,0))))</f>
        <v>0</v>
      </c>
      <c r="K46" s="0" t="n">
        <f aca="false">IF(OR(Kalemler!$A46="",Kalemler!$C46="",Kalemler!$D46=""),0,Kalemler!$C46*IF(Kalemler!$E46="Haftalık",IF(Kalemler!$D46&lt;=(Tahmin!$C$4+69),1,0),IF(Kalemler!$E46="Aylık",IF(OR(AND(DATE(YEAR((Tahmin!$C$4+63)),MONTH((Tahmin!$C$4+63)),MIN(DAY(Kalemler!$D46),DAY(EOMONTH((Tahmin!$C$4+63),0))))&gt;=(Tahmin!$C$4+63),DATE(YEAR((Tahmin!$C$4+63)),MONTH((Tahmin!$C$4+63)),MIN(DAY(Kalemler!$D46),DAY(EOMONTH((Tahmin!$C$4+63),0))))&lt;=(Tahmin!$C$4+69),DATE(YEAR((Tahmin!$C$4+63)),MONTH((Tahmin!$C$4+63)),MIN(DAY(Kalemler!$D46),DAY(EOMONTH((Tahmin!$C$4+63),0))))&gt;=Kalemler!$D46),AND(DATE(YEAR((Tahmin!$C$4+69)),MONTH((Tahmin!$C$4+69)),MIN(DAY(Kalemler!$D46),DAY(EOMONTH((Tahmin!$C$4+69),0))))&gt;=(Tahmin!$C$4+63),DATE(YEAR((Tahmin!$C$4+69)),MONTH((Tahmin!$C$4+69)),MIN(DAY(Kalemler!$D46),DAY(EOMONTH((Tahmin!$C$4+69),0))))&lt;=(Tahmin!$C$4+69),DATE(YEAR((Tahmin!$C$4+69)),MONTH((Tahmin!$C$4+69)),MIN(DAY(Kalemler!$D46),DAY(EOMONTH((Tahmin!$C$4+69),0))))&lt;&gt;DATE(YEAR((Tahmin!$C$4+63)),MONTH((Tahmin!$C$4+63)),MIN(DAY(Kalemler!$D46),DAY(EOMONTH((Tahmin!$C$4+63),0)))),DATE(YEAR((Tahmin!$C$4+69)),MONTH((Tahmin!$C$4+69)),MIN(DAY(Kalemler!$D46),DAY(EOMONTH((Tahmin!$C$4+69),0))))&gt;=Kalemler!$D46)),1,0),IF(AND(Kalemler!$D46&gt;=(Tahmin!$C$4+63),Kalemler!$D46&lt;=(Tahmin!$C$4+69)),1,0))))</f>
        <v>0</v>
      </c>
      <c r="L46" s="0" t="n">
        <f aca="false">IF(OR(Kalemler!$A46="",Kalemler!$C46="",Kalemler!$D46=""),0,Kalemler!$C46*IF(Kalemler!$E46="Haftalık",IF(Kalemler!$D46&lt;=(Tahmin!$C$4+76),1,0),IF(Kalemler!$E46="Aylık",IF(OR(AND(DATE(YEAR((Tahmin!$C$4+70)),MONTH((Tahmin!$C$4+70)),MIN(DAY(Kalemler!$D46),DAY(EOMONTH((Tahmin!$C$4+70),0))))&gt;=(Tahmin!$C$4+70),DATE(YEAR((Tahmin!$C$4+70)),MONTH((Tahmin!$C$4+70)),MIN(DAY(Kalemler!$D46),DAY(EOMONTH((Tahmin!$C$4+70),0))))&lt;=(Tahmin!$C$4+76),DATE(YEAR((Tahmin!$C$4+70)),MONTH((Tahmin!$C$4+70)),MIN(DAY(Kalemler!$D46),DAY(EOMONTH((Tahmin!$C$4+70),0))))&gt;=Kalemler!$D46),AND(DATE(YEAR((Tahmin!$C$4+76)),MONTH((Tahmin!$C$4+76)),MIN(DAY(Kalemler!$D46),DAY(EOMONTH((Tahmin!$C$4+76),0))))&gt;=(Tahmin!$C$4+70),DATE(YEAR((Tahmin!$C$4+76)),MONTH((Tahmin!$C$4+76)),MIN(DAY(Kalemler!$D46),DAY(EOMONTH((Tahmin!$C$4+76),0))))&lt;=(Tahmin!$C$4+76),DATE(YEAR((Tahmin!$C$4+76)),MONTH((Tahmin!$C$4+76)),MIN(DAY(Kalemler!$D46),DAY(EOMONTH((Tahmin!$C$4+76),0))))&lt;&gt;DATE(YEAR((Tahmin!$C$4+70)),MONTH((Tahmin!$C$4+70)),MIN(DAY(Kalemler!$D46),DAY(EOMONTH((Tahmin!$C$4+70),0)))),DATE(YEAR((Tahmin!$C$4+76)),MONTH((Tahmin!$C$4+76)),MIN(DAY(Kalemler!$D46),DAY(EOMONTH((Tahmin!$C$4+76),0))))&gt;=Kalemler!$D46)),1,0),IF(AND(Kalemler!$D46&gt;=(Tahmin!$C$4+70),Kalemler!$D46&lt;=(Tahmin!$C$4+76)),1,0))))</f>
        <v>0</v>
      </c>
      <c r="M46" s="0" t="n">
        <f aca="false">IF(OR(Kalemler!$A46="",Kalemler!$C46="",Kalemler!$D46=""),0,Kalemler!$C46*IF(Kalemler!$E46="Haftalık",IF(Kalemler!$D46&lt;=(Tahmin!$C$4+83),1,0),IF(Kalemler!$E46="Aylık",IF(OR(AND(DATE(YEAR((Tahmin!$C$4+77)),MONTH((Tahmin!$C$4+77)),MIN(DAY(Kalemler!$D46),DAY(EOMONTH((Tahmin!$C$4+77),0))))&gt;=(Tahmin!$C$4+77),DATE(YEAR((Tahmin!$C$4+77)),MONTH((Tahmin!$C$4+77)),MIN(DAY(Kalemler!$D46),DAY(EOMONTH((Tahmin!$C$4+77),0))))&lt;=(Tahmin!$C$4+83),DATE(YEAR((Tahmin!$C$4+77)),MONTH((Tahmin!$C$4+77)),MIN(DAY(Kalemler!$D46),DAY(EOMONTH((Tahmin!$C$4+77),0))))&gt;=Kalemler!$D46),AND(DATE(YEAR((Tahmin!$C$4+83)),MONTH((Tahmin!$C$4+83)),MIN(DAY(Kalemler!$D46),DAY(EOMONTH((Tahmin!$C$4+83),0))))&gt;=(Tahmin!$C$4+77),DATE(YEAR((Tahmin!$C$4+83)),MONTH((Tahmin!$C$4+83)),MIN(DAY(Kalemler!$D46),DAY(EOMONTH((Tahmin!$C$4+83),0))))&lt;=(Tahmin!$C$4+83),DATE(YEAR((Tahmin!$C$4+83)),MONTH((Tahmin!$C$4+83)),MIN(DAY(Kalemler!$D46),DAY(EOMONTH((Tahmin!$C$4+83),0))))&lt;&gt;DATE(YEAR((Tahmin!$C$4+77)),MONTH((Tahmin!$C$4+77)),MIN(DAY(Kalemler!$D46),DAY(EOMONTH((Tahmin!$C$4+77),0)))),DATE(YEAR((Tahmin!$C$4+83)),MONTH((Tahmin!$C$4+83)),MIN(DAY(Kalemler!$D46),DAY(EOMONTH((Tahmin!$C$4+83),0))))&gt;=Kalemler!$D46)),1,0),IF(AND(Kalemler!$D46&gt;=(Tahmin!$C$4+77),Kalemler!$D46&lt;=(Tahmin!$C$4+83)),1,0))))</f>
        <v>0</v>
      </c>
      <c r="N46" s="0" t="n">
        <f aca="false">IF(OR(Kalemler!$A46="",Kalemler!$C46="",Kalemler!$D46=""),0,Kalemler!$C46*IF(Kalemler!$E46="Haftalık",IF(Kalemler!$D46&lt;=(Tahmin!$C$4+90),1,0),IF(Kalemler!$E46="Aylık",IF(OR(AND(DATE(YEAR((Tahmin!$C$4+84)),MONTH((Tahmin!$C$4+84)),MIN(DAY(Kalemler!$D46),DAY(EOMONTH((Tahmin!$C$4+84),0))))&gt;=(Tahmin!$C$4+84),DATE(YEAR((Tahmin!$C$4+84)),MONTH((Tahmin!$C$4+84)),MIN(DAY(Kalemler!$D46),DAY(EOMONTH((Tahmin!$C$4+84),0))))&lt;=(Tahmin!$C$4+90),DATE(YEAR((Tahmin!$C$4+84)),MONTH((Tahmin!$C$4+84)),MIN(DAY(Kalemler!$D46),DAY(EOMONTH((Tahmin!$C$4+84),0))))&gt;=Kalemler!$D46),AND(DATE(YEAR((Tahmin!$C$4+90)),MONTH((Tahmin!$C$4+90)),MIN(DAY(Kalemler!$D46),DAY(EOMONTH((Tahmin!$C$4+90),0))))&gt;=(Tahmin!$C$4+84),DATE(YEAR((Tahmin!$C$4+90)),MONTH((Tahmin!$C$4+90)),MIN(DAY(Kalemler!$D46),DAY(EOMONTH((Tahmin!$C$4+90),0))))&lt;=(Tahmin!$C$4+90),DATE(YEAR((Tahmin!$C$4+90)),MONTH((Tahmin!$C$4+90)),MIN(DAY(Kalemler!$D46),DAY(EOMONTH((Tahmin!$C$4+90),0))))&lt;&gt;DATE(YEAR((Tahmin!$C$4+84)),MONTH((Tahmin!$C$4+84)),MIN(DAY(Kalemler!$D46),DAY(EOMONTH((Tahmin!$C$4+84),0)))),DATE(YEAR((Tahmin!$C$4+90)),MONTH((Tahmin!$C$4+90)),MIN(DAY(Kalemler!$D46),DAY(EOMONTH((Tahmin!$C$4+90),0))))&gt;=Kalemler!$D46)),1,0),IF(AND(Kalemler!$D46&gt;=(Tahmin!$C$4+84),Kalemler!$D46&lt;=(Tahmin!$C$4+90)),1,0))))</f>
        <v>0</v>
      </c>
    </row>
    <row r="47" customFormat="false" ht="15" hidden="false" customHeight="false" outlineLevel="0" collapsed="false">
      <c r="A47" s="0" t="str">
        <f aca="false">IF(Kalemler!A47="","",Kalemler!A47)</f>
        <v/>
      </c>
      <c r="B47" s="0" t="n">
        <f aca="false">IF(OR(Kalemler!$A47="",Kalemler!$C47="",Kalemler!$D47=""),0,Kalemler!$C47*IF(Kalemler!$E47="Haftalık",IF(Kalemler!$D47&lt;=(Tahmin!$C$4+6),1,0),IF(Kalemler!$E47="Aylık",IF(OR(AND(DATE(YEAR((Tahmin!$C$4+0)),MONTH((Tahmin!$C$4+0)),MIN(DAY(Kalemler!$D47),DAY(EOMONTH((Tahmin!$C$4+0),0))))&gt;=(Tahmin!$C$4+0),DATE(YEAR((Tahmin!$C$4+0)),MONTH((Tahmin!$C$4+0)),MIN(DAY(Kalemler!$D47),DAY(EOMONTH((Tahmin!$C$4+0),0))))&lt;=(Tahmin!$C$4+6),DATE(YEAR((Tahmin!$C$4+0)),MONTH((Tahmin!$C$4+0)),MIN(DAY(Kalemler!$D47),DAY(EOMONTH((Tahmin!$C$4+0),0))))&gt;=Kalemler!$D47),AND(DATE(YEAR((Tahmin!$C$4+6)),MONTH((Tahmin!$C$4+6)),MIN(DAY(Kalemler!$D47),DAY(EOMONTH((Tahmin!$C$4+6),0))))&gt;=(Tahmin!$C$4+0),DATE(YEAR((Tahmin!$C$4+6)),MONTH((Tahmin!$C$4+6)),MIN(DAY(Kalemler!$D47),DAY(EOMONTH((Tahmin!$C$4+6),0))))&lt;=(Tahmin!$C$4+6),DATE(YEAR((Tahmin!$C$4+6)),MONTH((Tahmin!$C$4+6)),MIN(DAY(Kalemler!$D47),DAY(EOMONTH((Tahmin!$C$4+6),0))))&lt;&gt;DATE(YEAR((Tahmin!$C$4+0)),MONTH((Tahmin!$C$4+0)),MIN(DAY(Kalemler!$D47),DAY(EOMONTH((Tahmin!$C$4+0),0)))),DATE(YEAR((Tahmin!$C$4+6)),MONTH((Tahmin!$C$4+6)),MIN(DAY(Kalemler!$D47),DAY(EOMONTH((Tahmin!$C$4+6),0))))&gt;=Kalemler!$D47)),1,0),IF(AND(Kalemler!$D47&gt;=(Tahmin!$C$4+0),Kalemler!$D47&lt;=(Tahmin!$C$4+6)),1,0))))</f>
        <v>0</v>
      </c>
      <c r="C47" s="0" t="n">
        <f aca="false">IF(OR(Kalemler!$A47="",Kalemler!$C47="",Kalemler!$D47=""),0,Kalemler!$C47*IF(Kalemler!$E47="Haftalık",IF(Kalemler!$D47&lt;=(Tahmin!$C$4+13),1,0),IF(Kalemler!$E47="Aylık",IF(OR(AND(DATE(YEAR((Tahmin!$C$4+7)),MONTH((Tahmin!$C$4+7)),MIN(DAY(Kalemler!$D47),DAY(EOMONTH((Tahmin!$C$4+7),0))))&gt;=(Tahmin!$C$4+7),DATE(YEAR((Tahmin!$C$4+7)),MONTH((Tahmin!$C$4+7)),MIN(DAY(Kalemler!$D47),DAY(EOMONTH((Tahmin!$C$4+7),0))))&lt;=(Tahmin!$C$4+13),DATE(YEAR((Tahmin!$C$4+7)),MONTH((Tahmin!$C$4+7)),MIN(DAY(Kalemler!$D47),DAY(EOMONTH((Tahmin!$C$4+7),0))))&gt;=Kalemler!$D47),AND(DATE(YEAR((Tahmin!$C$4+13)),MONTH((Tahmin!$C$4+13)),MIN(DAY(Kalemler!$D47),DAY(EOMONTH((Tahmin!$C$4+13),0))))&gt;=(Tahmin!$C$4+7),DATE(YEAR((Tahmin!$C$4+13)),MONTH((Tahmin!$C$4+13)),MIN(DAY(Kalemler!$D47),DAY(EOMONTH((Tahmin!$C$4+13),0))))&lt;=(Tahmin!$C$4+13),DATE(YEAR((Tahmin!$C$4+13)),MONTH((Tahmin!$C$4+13)),MIN(DAY(Kalemler!$D47),DAY(EOMONTH((Tahmin!$C$4+13),0))))&lt;&gt;DATE(YEAR((Tahmin!$C$4+7)),MONTH((Tahmin!$C$4+7)),MIN(DAY(Kalemler!$D47),DAY(EOMONTH((Tahmin!$C$4+7),0)))),DATE(YEAR((Tahmin!$C$4+13)),MONTH((Tahmin!$C$4+13)),MIN(DAY(Kalemler!$D47),DAY(EOMONTH((Tahmin!$C$4+13),0))))&gt;=Kalemler!$D47)),1,0),IF(AND(Kalemler!$D47&gt;=(Tahmin!$C$4+7),Kalemler!$D47&lt;=(Tahmin!$C$4+13)),1,0))))</f>
        <v>0</v>
      </c>
      <c r="D47" s="0" t="n">
        <f aca="false">IF(OR(Kalemler!$A47="",Kalemler!$C47="",Kalemler!$D47=""),0,Kalemler!$C47*IF(Kalemler!$E47="Haftalık",IF(Kalemler!$D47&lt;=(Tahmin!$C$4+20),1,0),IF(Kalemler!$E47="Aylık",IF(OR(AND(DATE(YEAR((Tahmin!$C$4+14)),MONTH((Tahmin!$C$4+14)),MIN(DAY(Kalemler!$D47),DAY(EOMONTH((Tahmin!$C$4+14),0))))&gt;=(Tahmin!$C$4+14),DATE(YEAR((Tahmin!$C$4+14)),MONTH((Tahmin!$C$4+14)),MIN(DAY(Kalemler!$D47),DAY(EOMONTH((Tahmin!$C$4+14),0))))&lt;=(Tahmin!$C$4+20),DATE(YEAR((Tahmin!$C$4+14)),MONTH((Tahmin!$C$4+14)),MIN(DAY(Kalemler!$D47),DAY(EOMONTH((Tahmin!$C$4+14),0))))&gt;=Kalemler!$D47),AND(DATE(YEAR((Tahmin!$C$4+20)),MONTH((Tahmin!$C$4+20)),MIN(DAY(Kalemler!$D47),DAY(EOMONTH((Tahmin!$C$4+20),0))))&gt;=(Tahmin!$C$4+14),DATE(YEAR((Tahmin!$C$4+20)),MONTH((Tahmin!$C$4+20)),MIN(DAY(Kalemler!$D47),DAY(EOMONTH((Tahmin!$C$4+20),0))))&lt;=(Tahmin!$C$4+20),DATE(YEAR((Tahmin!$C$4+20)),MONTH((Tahmin!$C$4+20)),MIN(DAY(Kalemler!$D47),DAY(EOMONTH((Tahmin!$C$4+20),0))))&lt;&gt;DATE(YEAR((Tahmin!$C$4+14)),MONTH((Tahmin!$C$4+14)),MIN(DAY(Kalemler!$D47),DAY(EOMONTH((Tahmin!$C$4+14),0)))),DATE(YEAR((Tahmin!$C$4+20)),MONTH((Tahmin!$C$4+20)),MIN(DAY(Kalemler!$D47),DAY(EOMONTH((Tahmin!$C$4+20),0))))&gt;=Kalemler!$D47)),1,0),IF(AND(Kalemler!$D47&gt;=(Tahmin!$C$4+14),Kalemler!$D47&lt;=(Tahmin!$C$4+20)),1,0))))</f>
        <v>0</v>
      </c>
      <c r="E47" s="0" t="n">
        <f aca="false">IF(OR(Kalemler!$A47="",Kalemler!$C47="",Kalemler!$D47=""),0,Kalemler!$C47*IF(Kalemler!$E47="Haftalık",IF(Kalemler!$D47&lt;=(Tahmin!$C$4+27),1,0),IF(Kalemler!$E47="Aylık",IF(OR(AND(DATE(YEAR((Tahmin!$C$4+21)),MONTH((Tahmin!$C$4+21)),MIN(DAY(Kalemler!$D47),DAY(EOMONTH((Tahmin!$C$4+21),0))))&gt;=(Tahmin!$C$4+21),DATE(YEAR((Tahmin!$C$4+21)),MONTH((Tahmin!$C$4+21)),MIN(DAY(Kalemler!$D47),DAY(EOMONTH((Tahmin!$C$4+21),0))))&lt;=(Tahmin!$C$4+27),DATE(YEAR((Tahmin!$C$4+21)),MONTH((Tahmin!$C$4+21)),MIN(DAY(Kalemler!$D47),DAY(EOMONTH((Tahmin!$C$4+21),0))))&gt;=Kalemler!$D47),AND(DATE(YEAR((Tahmin!$C$4+27)),MONTH((Tahmin!$C$4+27)),MIN(DAY(Kalemler!$D47),DAY(EOMONTH((Tahmin!$C$4+27),0))))&gt;=(Tahmin!$C$4+21),DATE(YEAR((Tahmin!$C$4+27)),MONTH((Tahmin!$C$4+27)),MIN(DAY(Kalemler!$D47),DAY(EOMONTH((Tahmin!$C$4+27),0))))&lt;=(Tahmin!$C$4+27),DATE(YEAR((Tahmin!$C$4+27)),MONTH((Tahmin!$C$4+27)),MIN(DAY(Kalemler!$D47),DAY(EOMONTH((Tahmin!$C$4+27),0))))&lt;&gt;DATE(YEAR((Tahmin!$C$4+21)),MONTH((Tahmin!$C$4+21)),MIN(DAY(Kalemler!$D47),DAY(EOMONTH((Tahmin!$C$4+21),0)))),DATE(YEAR((Tahmin!$C$4+27)),MONTH((Tahmin!$C$4+27)),MIN(DAY(Kalemler!$D47),DAY(EOMONTH((Tahmin!$C$4+27),0))))&gt;=Kalemler!$D47)),1,0),IF(AND(Kalemler!$D47&gt;=(Tahmin!$C$4+21),Kalemler!$D47&lt;=(Tahmin!$C$4+27)),1,0))))</f>
        <v>0</v>
      </c>
      <c r="F47" s="0" t="n">
        <f aca="false">IF(OR(Kalemler!$A47="",Kalemler!$C47="",Kalemler!$D47=""),0,Kalemler!$C47*IF(Kalemler!$E47="Haftalık",IF(Kalemler!$D47&lt;=(Tahmin!$C$4+34),1,0),IF(Kalemler!$E47="Aylık",IF(OR(AND(DATE(YEAR((Tahmin!$C$4+28)),MONTH((Tahmin!$C$4+28)),MIN(DAY(Kalemler!$D47),DAY(EOMONTH((Tahmin!$C$4+28),0))))&gt;=(Tahmin!$C$4+28),DATE(YEAR((Tahmin!$C$4+28)),MONTH((Tahmin!$C$4+28)),MIN(DAY(Kalemler!$D47),DAY(EOMONTH((Tahmin!$C$4+28),0))))&lt;=(Tahmin!$C$4+34),DATE(YEAR((Tahmin!$C$4+28)),MONTH((Tahmin!$C$4+28)),MIN(DAY(Kalemler!$D47),DAY(EOMONTH((Tahmin!$C$4+28),0))))&gt;=Kalemler!$D47),AND(DATE(YEAR((Tahmin!$C$4+34)),MONTH((Tahmin!$C$4+34)),MIN(DAY(Kalemler!$D47),DAY(EOMONTH((Tahmin!$C$4+34),0))))&gt;=(Tahmin!$C$4+28),DATE(YEAR((Tahmin!$C$4+34)),MONTH((Tahmin!$C$4+34)),MIN(DAY(Kalemler!$D47),DAY(EOMONTH((Tahmin!$C$4+34),0))))&lt;=(Tahmin!$C$4+34),DATE(YEAR((Tahmin!$C$4+34)),MONTH((Tahmin!$C$4+34)),MIN(DAY(Kalemler!$D47),DAY(EOMONTH((Tahmin!$C$4+34),0))))&lt;&gt;DATE(YEAR((Tahmin!$C$4+28)),MONTH((Tahmin!$C$4+28)),MIN(DAY(Kalemler!$D47),DAY(EOMONTH((Tahmin!$C$4+28),0)))),DATE(YEAR((Tahmin!$C$4+34)),MONTH((Tahmin!$C$4+34)),MIN(DAY(Kalemler!$D47),DAY(EOMONTH((Tahmin!$C$4+34),0))))&gt;=Kalemler!$D47)),1,0),IF(AND(Kalemler!$D47&gt;=(Tahmin!$C$4+28),Kalemler!$D47&lt;=(Tahmin!$C$4+34)),1,0))))</f>
        <v>0</v>
      </c>
      <c r="G47" s="0" t="n">
        <f aca="false">IF(OR(Kalemler!$A47="",Kalemler!$C47="",Kalemler!$D47=""),0,Kalemler!$C47*IF(Kalemler!$E47="Haftalık",IF(Kalemler!$D47&lt;=(Tahmin!$C$4+41),1,0),IF(Kalemler!$E47="Aylık",IF(OR(AND(DATE(YEAR((Tahmin!$C$4+35)),MONTH((Tahmin!$C$4+35)),MIN(DAY(Kalemler!$D47),DAY(EOMONTH((Tahmin!$C$4+35),0))))&gt;=(Tahmin!$C$4+35),DATE(YEAR((Tahmin!$C$4+35)),MONTH((Tahmin!$C$4+35)),MIN(DAY(Kalemler!$D47),DAY(EOMONTH((Tahmin!$C$4+35),0))))&lt;=(Tahmin!$C$4+41),DATE(YEAR((Tahmin!$C$4+35)),MONTH((Tahmin!$C$4+35)),MIN(DAY(Kalemler!$D47),DAY(EOMONTH((Tahmin!$C$4+35),0))))&gt;=Kalemler!$D47),AND(DATE(YEAR((Tahmin!$C$4+41)),MONTH((Tahmin!$C$4+41)),MIN(DAY(Kalemler!$D47),DAY(EOMONTH((Tahmin!$C$4+41),0))))&gt;=(Tahmin!$C$4+35),DATE(YEAR((Tahmin!$C$4+41)),MONTH((Tahmin!$C$4+41)),MIN(DAY(Kalemler!$D47),DAY(EOMONTH((Tahmin!$C$4+41),0))))&lt;=(Tahmin!$C$4+41),DATE(YEAR((Tahmin!$C$4+41)),MONTH((Tahmin!$C$4+41)),MIN(DAY(Kalemler!$D47),DAY(EOMONTH((Tahmin!$C$4+41),0))))&lt;&gt;DATE(YEAR((Tahmin!$C$4+35)),MONTH((Tahmin!$C$4+35)),MIN(DAY(Kalemler!$D47),DAY(EOMONTH((Tahmin!$C$4+35),0)))),DATE(YEAR((Tahmin!$C$4+41)),MONTH((Tahmin!$C$4+41)),MIN(DAY(Kalemler!$D47),DAY(EOMONTH((Tahmin!$C$4+41),0))))&gt;=Kalemler!$D47)),1,0),IF(AND(Kalemler!$D47&gt;=(Tahmin!$C$4+35),Kalemler!$D47&lt;=(Tahmin!$C$4+41)),1,0))))</f>
        <v>0</v>
      </c>
      <c r="H47" s="0" t="n">
        <f aca="false">IF(OR(Kalemler!$A47="",Kalemler!$C47="",Kalemler!$D47=""),0,Kalemler!$C47*IF(Kalemler!$E47="Haftalık",IF(Kalemler!$D47&lt;=(Tahmin!$C$4+48),1,0),IF(Kalemler!$E47="Aylık",IF(OR(AND(DATE(YEAR((Tahmin!$C$4+42)),MONTH((Tahmin!$C$4+42)),MIN(DAY(Kalemler!$D47),DAY(EOMONTH((Tahmin!$C$4+42),0))))&gt;=(Tahmin!$C$4+42),DATE(YEAR((Tahmin!$C$4+42)),MONTH((Tahmin!$C$4+42)),MIN(DAY(Kalemler!$D47),DAY(EOMONTH((Tahmin!$C$4+42),0))))&lt;=(Tahmin!$C$4+48),DATE(YEAR((Tahmin!$C$4+42)),MONTH((Tahmin!$C$4+42)),MIN(DAY(Kalemler!$D47),DAY(EOMONTH((Tahmin!$C$4+42),0))))&gt;=Kalemler!$D47),AND(DATE(YEAR((Tahmin!$C$4+48)),MONTH((Tahmin!$C$4+48)),MIN(DAY(Kalemler!$D47),DAY(EOMONTH((Tahmin!$C$4+48),0))))&gt;=(Tahmin!$C$4+42),DATE(YEAR((Tahmin!$C$4+48)),MONTH((Tahmin!$C$4+48)),MIN(DAY(Kalemler!$D47),DAY(EOMONTH((Tahmin!$C$4+48),0))))&lt;=(Tahmin!$C$4+48),DATE(YEAR((Tahmin!$C$4+48)),MONTH((Tahmin!$C$4+48)),MIN(DAY(Kalemler!$D47),DAY(EOMONTH((Tahmin!$C$4+48),0))))&lt;&gt;DATE(YEAR((Tahmin!$C$4+42)),MONTH((Tahmin!$C$4+42)),MIN(DAY(Kalemler!$D47),DAY(EOMONTH((Tahmin!$C$4+42),0)))),DATE(YEAR((Tahmin!$C$4+48)),MONTH((Tahmin!$C$4+48)),MIN(DAY(Kalemler!$D47),DAY(EOMONTH((Tahmin!$C$4+48),0))))&gt;=Kalemler!$D47)),1,0),IF(AND(Kalemler!$D47&gt;=(Tahmin!$C$4+42),Kalemler!$D47&lt;=(Tahmin!$C$4+48)),1,0))))</f>
        <v>0</v>
      </c>
      <c r="I47" s="0" t="n">
        <f aca="false">IF(OR(Kalemler!$A47="",Kalemler!$C47="",Kalemler!$D47=""),0,Kalemler!$C47*IF(Kalemler!$E47="Haftalık",IF(Kalemler!$D47&lt;=(Tahmin!$C$4+55),1,0),IF(Kalemler!$E47="Aylık",IF(OR(AND(DATE(YEAR((Tahmin!$C$4+49)),MONTH((Tahmin!$C$4+49)),MIN(DAY(Kalemler!$D47),DAY(EOMONTH((Tahmin!$C$4+49),0))))&gt;=(Tahmin!$C$4+49),DATE(YEAR((Tahmin!$C$4+49)),MONTH((Tahmin!$C$4+49)),MIN(DAY(Kalemler!$D47),DAY(EOMONTH((Tahmin!$C$4+49),0))))&lt;=(Tahmin!$C$4+55),DATE(YEAR((Tahmin!$C$4+49)),MONTH((Tahmin!$C$4+49)),MIN(DAY(Kalemler!$D47),DAY(EOMONTH((Tahmin!$C$4+49),0))))&gt;=Kalemler!$D47),AND(DATE(YEAR((Tahmin!$C$4+55)),MONTH((Tahmin!$C$4+55)),MIN(DAY(Kalemler!$D47),DAY(EOMONTH((Tahmin!$C$4+55),0))))&gt;=(Tahmin!$C$4+49),DATE(YEAR((Tahmin!$C$4+55)),MONTH((Tahmin!$C$4+55)),MIN(DAY(Kalemler!$D47),DAY(EOMONTH((Tahmin!$C$4+55),0))))&lt;=(Tahmin!$C$4+55),DATE(YEAR((Tahmin!$C$4+55)),MONTH((Tahmin!$C$4+55)),MIN(DAY(Kalemler!$D47),DAY(EOMONTH((Tahmin!$C$4+55),0))))&lt;&gt;DATE(YEAR((Tahmin!$C$4+49)),MONTH((Tahmin!$C$4+49)),MIN(DAY(Kalemler!$D47),DAY(EOMONTH((Tahmin!$C$4+49),0)))),DATE(YEAR((Tahmin!$C$4+55)),MONTH((Tahmin!$C$4+55)),MIN(DAY(Kalemler!$D47),DAY(EOMONTH((Tahmin!$C$4+55),0))))&gt;=Kalemler!$D47)),1,0),IF(AND(Kalemler!$D47&gt;=(Tahmin!$C$4+49),Kalemler!$D47&lt;=(Tahmin!$C$4+55)),1,0))))</f>
        <v>0</v>
      </c>
      <c r="J47" s="0" t="n">
        <f aca="false">IF(OR(Kalemler!$A47="",Kalemler!$C47="",Kalemler!$D47=""),0,Kalemler!$C47*IF(Kalemler!$E47="Haftalık",IF(Kalemler!$D47&lt;=(Tahmin!$C$4+62),1,0),IF(Kalemler!$E47="Aylık",IF(OR(AND(DATE(YEAR((Tahmin!$C$4+56)),MONTH((Tahmin!$C$4+56)),MIN(DAY(Kalemler!$D47),DAY(EOMONTH((Tahmin!$C$4+56),0))))&gt;=(Tahmin!$C$4+56),DATE(YEAR((Tahmin!$C$4+56)),MONTH((Tahmin!$C$4+56)),MIN(DAY(Kalemler!$D47),DAY(EOMONTH((Tahmin!$C$4+56),0))))&lt;=(Tahmin!$C$4+62),DATE(YEAR((Tahmin!$C$4+56)),MONTH((Tahmin!$C$4+56)),MIN(DAY(Kalemler!$D47),DAY(EOMONTH((Tahmin!$C$4+56),0))))&gt;=Kalemler!$D47),AND(DATE(YEAR((Tahmin!$C$4+62)),MONTH((Tahmin!$C$4+62)),MIN(DAY(Kalemler!$D47),DAY(EOMONTH((Tahmin!$C$4+62),0))))&gt;=(Tahmin!$C$4+56),DATE(YEAR((Tahmin!$C$4+62)),MONTH((Tahmin!$C$4+62)),MIN(DAY(Kalemler!$D47),DAY(EOMONTH((Tahmin!$C$4+62),0))))&lt;=(Tahmin!$C$4+62),DATE(YEAR((Tahmin!$C$4+62)),MONTH((Tahmin!$C$4+62)),MIN(DAY(Kalemler!$D47),DAY(EOMONTH((Tahmin!$C$4+62),0))))&lt;&gt;DATE(YEAR((Tahmin!$C$4+56)),MONTH((Tahmin!$C$4+56)),MIN(DAY(Kalemler!$D47),DAY(EOMONTH((Tahmin!$C$4+56),0)))),DATE(YEAR((Tahmin!$C$4+62)),MONTH((Tahmin!$C$4+62)),MIN(DAY(Kalemler!$D47),DAY(EOMONTH((Tahmin!$C$4+62),0))))&gt;=Kalemler!$D47)),1,0),IF(AND(Kalemler!$D47&gt;=(Tahmin!$C$4+56),Kalemler!$D47&lt;=(Tahmin!$C$4+62)),1,0))))</f>
        <v>0</v>
      </c>
      <c r="K47" s="0" t="n">
        <f aca="false">IF(OR(Kalemler!$A47="",Kalemler!$C47="",Kalemler!$D47=""),0,Kalemler!$C47*IF(Kalemler!$E47="Haftalık",IF(Kalemler!$D47&lt;=(Tahmin!$C$4+69),1,0),IF(Kalemler!$E47="Aylık",IF(OR(AND(DATE(YEAR((Tahmin!$C$4+63)),MONTH((Tahmin!$C$4+63)),MIN(DAY(Kalemler!$D47),DAY(EOMONTH((Tahmin!$C$4+63),0))))&gt;=(Tahmin!$C$4+63),DATE(YEAR((Tahmin!$C$4+63)),MONTH((Tahmin!$C$4+63)),MIN(DAY(Kalemler!$D47),DAY(EOMONTH((Tahmin!$C$4+63),0))))&lt;=(Tahmin!$C$4+69),DATE(YEAR((Tahmin!$C$4+63)),MONTH((Tahmin!$C$4+63)),MIN(DAY(Kalemler!$D47),DAY(EOMONTH((Tahmin!$C$4+63),0))))&gt;=Kalemler!$D47),AND(DATE(YEAR((Tahmin!$C$4+69)),MONTH((Tahmin!$C$4+69)),MIN(DAY(Kalemler!$D47),DAY(EOMONTH((Tahmin!$C$4+69),0))))&gt;=(Tahmin!$C$4+63),DATE(YEAR((Tahmin!$C$4+69)),MONTH((Tahmin!$C$4+69)),MIN(DAY(Kalemler!$D47),DAY(EOMONTH((Tahmin!$C$4+69),0))))&lt;=(Tahmin!$C$4+69),DATE(YEAR((Tahmin!$C$4+69)),MONTH((Tahmin!$C$4+69)),MIN(DAY(Kalemler!$D47),DAY(EOMONTH((Tahmin!$C$4+69),0))))&lt;&gt;DATE(YEAR((Tahmin!$C$4+63)),MONTH((Tahmin!$C$4+63)),MIN(DAY(Kalemler!$D47),DAY(EOMONTH((Tahmin!$C$4+63),0)))),DATE(YEAR((Tahmin!$C$4+69)),MONTH((Tahmin!$C$4+69)),MIN(DAY(Kalemler!$D47),DAY(EOMONTH((Tahmin!$C$4+69),0))))&gt;=Kalemler!$D47)),1,0),IF(AND(Kalemler!$D47&gt;=(Tahmin!$C$4+63),Kalemler!$D47&lt;=(Tahmin!$C$4+69)),1,0))))</f>
        <v>0</v>
      </c>
      <c r="L47" s="0" t="n">
        <f aca="false">IF(OR(Kalemler!$A47="",Kalemler!$C47="",Kalemler!$D47=""),0,Kalemler!$C47*IF(Kalemler!$E47="Haftalık",IF(Kalemler!$D47&lt;=(Tahmin!$C$4+76),1,0),IF(Kalemler!$E47="Aylık",IF(OR(AND(DATE(YEAR((Tahmin!$C$4+70)),MONTH((Tahmin!$C$4+70)),MIN(DAY(Kalemler!$D47),DAY(EOMONTH((Tahmin!$C$4+70),0))))&gt;=(Tahmin!$C$4+70),DATE(YEAR((Tahmin!$C$4+70)),MONTH((Tahmin!$C$4+70)),MIN(DAY(Kalemler!$D47),DAY(EOMONTH((Tahmin!$C$4+70),0))))&lt;=(Tahmin!$C$4+76),DATE(YEAR((Tahmin!$C$4+70)),MONTH((Tahmin!$C$4+70)),MIN(DAY(Kalemler!$D47),DAY(EOMONTH((Tahmin!$C$4+70),0))))&gt;=Kalemler!$D47),AND(DATE(YEAR((Tahmin!$C$4+76)),MONTH((Tahmin!$C$4+76)),MIN(DAY(Kalemler!$D47),DAY(EOMONTH((Tahmin!$C$4+76),0))))&gt;=(Tahmin!$C$4+70),DATE(YEAR((Tahmin!$C$4+76)),MONTH((Tahmin!$C$4+76)),MIN(DAY(Kalemler!$D47),DAY(EOMONTH((Tahmin!$C$4+76),0))))&lt;=(Tahmin!$C$4+76),DATE(YEAR((Tahmin!$C$4+76)),MONTH((Tahmin!$C$4+76)),MIN(DAY(Kalemler!$D47),DAY(EOMONTH((Tahmin!$C$4+76),0))))&lt;&gt;DATE(YEAR((Tahmin!$C$4+70)),MONTH((Tahmin!$C$4+70)),MIN(DAY(Kalemler!$D47),DAY(EOMONTH((Tahmin!$C$4+70),0)))),DATE(YEAR((Tahmin!$C$4+76)),MONTH((Tahmin!$C$4+76)),MIN(DAY(Kalemler!$D47),DAY(EOMONTH((Tahmin!$C$4+76),0))))&gt;=Kalemler!$D47)),1,0),IF(AND(Kalemler!$D47&gt;=(Tahmin!$C$4+70),Kalemler!$D47&lt;=(Tahmin!$C$4+76)),1,0))))</f>
        <v>0</v>
      </c>
      <c r="M47" s="0" t="n">
        <f aca="false">IF(OR(Kalemler!$A47="",Kalemler!$C47="",Kalemler!$D47=""),0,Kalemler!$C47*IF(Kalemler!$E47="Haftalık",IF(Kalemler!$D47&lt;=(Tahmin!$C$4+83),1,0),IF(Kalemler!$E47="Aylık",IF(OR(AND(DATE(YEAR((Tahmin!$C$4+77)),MONTH((Tahmin!$C$4+77)),MIN(DAY(Kalemler!$D47),DAY(EOMONTH((Tahmin!$C$4+77),0))))&gt;=(Tahmin!$C$4+77),DATE(YEAR((Tahmin!$C$4+77)),MONTH((Tahmin!$C$4+77)),MIN(DAY(Kalemler!$D47),DAY(EOMONTH((Tahmin!$C$4+77),0))))&lt;=(Tahmin!$C$4+83),DATE(YEAR((Tahmin!$C$4+77)),MONTH((Tahmin!$C$4+77)),MIN(DAY(Kalemler!$D47),DAY(EOMONTH((Tahmin!$C$4+77),0))))&gt;=Kalemler!$D47),AND(DATE(YEAR((Tahmin!$C$4+83)),MONTH((Tahmin!$C$4+83)),MIN(DAY(Kalemler!$D47),DAY(EOMONTH((Tahmin!$C$4+83),0))))&gt;=(Tahmin!$C$4+77),DATE(YEAR((Tahmin!$C$4+83)),MONTH((Tahmin!$C$4+83)),MIN(DAY(Kalemler!$D47),DAY(EOMONTH((Tahmin!$C$4+83),0))))&lt;=(Tahmin!$C$4+83),DATE(YEAR((Tahmin!$C$4+83)),MONTH((Tahmin!$C$4+83)),MIN(DAY(Kalemler!$D47),DAY(EOMONTH((Tahmin!$C$4+83),0))))&lt;&gt;DATE(YEAR((Tahmin!$C$4+77)),MONTH((Tahmin!$C$4+77)),MIN(DAY(Kalemler!$D47),DAY(EOMONTH((Tahmin!$C$4+77),0)))),DATE(YEAR((Tahmin!$C$4+83)),MONTH((Tahmin!$C$4+83)),MIN(DAY(Kalemler!$D47),DAY(EOMONTH((Tahmin!$C$4+83),0))))&gt;=Kalemler!$D47)),1,0),IF(AND(Kalemler!$D47&gt;=(Tahmin!$C$4+77),Kalemler!$D47&lt;=(Tahmin!$C$4+83)),1,0))))</f>
        <v>0</v>
      </c>
      <c r="N47" s="0" t="n">
        <f aca="false">IF(OR(Kalemler!$A47="",Kalemler!$C47="",Kalemler!$D47=""),0,Kalemler!$C47*IF(Kalemler!$E47="Haftalık",IF(Kalemler!$D47&lt;=(Tahmin!$C$4+90),1,0),IF(Kalemler!$E47="Aylık",IF(OR(AND(DATE(YEAR((Tahmin!$C$4+84)),MONTH((Tahmin!$C$4+84)),MIN(DAY(Kalemler!$D47),DAY(EOMONTH((Tahmin!$C$4+84),0))))&gt;=(Tahmin!$C$4+84),DATE(YEAR((Tahmin!$C$4+84)),MONTH((Tahmin!$C$4+84)),MIN(DAY(Kalemler!$D47),DAY(EOMONTH((Tahmin!$C$4+84),0))))&lt;=(Tahmin!$C$4+90),DATE(YEAR((Tahmin!$C$4+84)),MONTH((Tahmin!$C$4+84)),MIN(DAY(Kalemler!$D47),DAY(EOMONTH((Tahmin!$C$4+84),0))))&gt;=Kalemler!$D47),AND(DATE(YEAR((Tahmin!$C$4+90)),MONTH((Tahmin!$C$4+90)),MIN(DAY(Kalemler!$D47),DAY(EOMONTH((Tahmin!$C$4+90),0))))&gt;=(Tahmin!$C$4+84),DATE(YEAR((Tahmin!$C$4+90)),MONTH((Tahmin!$C$4+90)),MIN(DAY(Kalemler!$D47),DAY(EOMONTH((Tahmin!$C$4+90),0))))&lt;=(Tahmin!$C$4+90),DATE(YEAR((Tahmin!$C$4+90)),MONTH((Tahmin!$C$4+90)),MIN(DAY(Kalemler!$D47),DAY(EOMONTH((Tahmin!$C$4+90),0))))&lt;&gt;DATE(YEAR((Tahmin!$C$4+84)),MONTH((Tahmin!$C$4+84)),MIN(DAY(Kalemler!$D47),DAY(EOMONTH((Tahmin!$C$4+84),0)))),DATE(YEAR((Tahmin!$C$4+90)),MONTH((Tahmin!$C$4+90)),MIN(DAY(Kalemler!$D47),DAY(EOMONTH((Tahmin!$C$4+90),0))))&gt;=Kalemler!$D47)),1,0),IF(AND(Kalemler!$D47&gt;=(Tahmin!$C$4+84),Kalemler!$D47&lt;=(Tahmin!$C$4+90)),1,0))))</f>
        <v>0</v>
      </c>
    </row>
    <row r="48" customFormat="false" ht="15" hidden="false" customHeight="false" outlineLevel="0" collapsed="false">
      <c r="A48" s="0" t="str">
        <f aca="false">IF(Kalemler!A48="","",Kalemler!A48)</f>
        <v/>
      </c>
      <c r="B48" s="0" t="n">
        <f aca="false">IF(OR(Kalemler!$A48="",Kalemler!$C48="",Kalemler!$D48=""),0,Kalemler!$C48*IF(Kalemler!$E48="Haftalık",IF(Kalemler!$D48&lt;=(Tahmin!$C$4+6),1,0),IF(Kalemler!$E48="Aylık",IF(OR(AND(DATE(YEAR((Tahmin!$C$4+0)),MONTH((Tahmin!$C$4+0)),MIN(DAY(Kalemler!$D48),DAY(EOMONTH((Tahmin!$C$4+0),0))))&gt;=(Tahmin!$C$4+0),DATE(YEAR((Tahmin!$C$4+0)),MONTH((Tahmin!$C$4+0)),MIN(DAY(Kalemler!$D48),DAY(EOMONTH((Tahmin!$C$4+0),0))))&lt;=(Tahmin!$C$4+6),DATE(YEAR((Tahmin!$C$4+0)),MONTH((Tahmin!$C$4+0)),MIN(DAY(Kalemler!$D48),DAY(EOMONTH((Tahmin!$C$4+0),0))))&gt;=Kalemler!$D48),AND(DATE(YEAR((Tahmin!$C$4+6)),MONTH((Tahmin!$C$4+6)),MIN(DAY(Kalemler!$D48),DAY(EOMONTH((Tahmin!$C$4+6),0))))&gt;=(Tahmin!$C$4+0),DATE(YEAR((Tahmin!$C$4+6)),MONTH((Tahmin!$C$4+6)),MIN(DAY(Kalemler!$D48),DAY(EOMONTH((Tahmin!$C$4+6),0))))&lt;=(Tahmin!$C$4+6),DATE(YEAR((Tahmin!$C$4+6)),MONTH((Tahmin!$C$4+6)),MIN(DAY(Kalemler!$D48),DAY(EOMONTH((Tahmin!$C$4+6),0))))&lt;&gt;DATE(YEAR((Tahmin!$C$4+0)),MONTH((Tahmin!$C$4+0)),MIN(DAY(Kalemler!$D48),DAY(EOMONTH((Tahmin!$C$4+0),0)))),DATE(YEAR((Tahmin!$C$4+6)),MONTH((Tahmin!$C$4+6)),MIN(DAY(Kalemler!$D48),DAY(EOMONTH((Tahmin!$C$4+6),0))))&gt;=Kalemler!$D48)),1,0),IF(AND(Kalemler!$D48&gt;=(Tahmin!$C$4+0),Kalemler!$D48&lt;=(Tahmin!$C$4+6)),1,0))))</f>
        <v>0</v>
      </c>
      <c r="C48" s="0" t="n">
        <f aca="false">IF(OR(Kalemler!$A48="",Kalemler!$C48="",Kalemler!$D48=""),0,Kalemler!$C48*IF(Kalemler!$E48="Haftalık",IF(Kalemler!$D48&lt;=(Tahmin!$C$4+13),1,0),IF(Kalemler!$E48="Aylık",IF(OR(AND(DATE(YEAR((Tahmin!$C$4+7)),MONTH((Tahmin!$C$4+7)),MIN(DAY(Kalemler!$D48),DAY(EOMONTH((Tahmin!$C$4+7),0))))&gt;=(Tahmin!$C$4+7),DATE(YEAR((Tahmin!$C$4+7)),MONTH((Tahmin!$C$4+7)),MIN(DAY(Kalemler!$D48),DAY(EOMONTH((Tahmin!$C$4+7),0))))&lt;=(Tahmin!$C$4+13),DATE(YEAR((Tahmin!$C$4+7)),MONTH((Tahmin!$C$4+7)),MIN(DAY(Kalemler!$D48),DAY(EOMONTH((Tahmin!$C$4+7),0))))&gt;=Kalemler!$D48),AND(DATE(YEAR((Tahmin!$C$4+13)),MONTH((Tahmin!$C$4+13)),MIN(DAY(Kalemler!$D48),DAY(EOMONTH((Tahmin!$C$4+13),0))))&gt;=(Tahmin!$C$4+7),DATE(YEAR((Tahmin!$C$4+13)),MONTH((Tahmin!$C$4+13)),MIN(DAY(Kalemler!$D48),DAY(EOMONTH((Tahmin!$C$4+13),0))))&lt;=(Tahmin!$C$4+13),DATE(YEAR((Tahmin!$C$4+13)),MONTH((Tahmin!$C$4+13)),MIN(DAY(Kalemler!$D48),DAY(EOMONTH((Tahmin!$C$4+13),0))))&lt;&gt;DATE(YEAR((Tahmin!$C$4+7)),MONTH((Tahmin!$C$4+7)),MIN(DAY(Kalemler!$D48),DAY(EOMONTH((Tahmin!$C$4+7),0)))),DATE(YEAR((Tahmin!$C$4+13)),MONTH((Tahmin!$C$4+13)),MIN(DAY(Kalemler!$D48),DAY(EOMONTH((Tahmin!$C$4+13),0))))&gt;=Kalemler!$D48)),1,0),IF(AND(Kalemler!$D48&gt;=(Tahmin!$C$4+7),Kalemler!$D48&lt;=(Tahmin!$C$4+13)),1,0))))</f>
        <v>0</v>
      </c>
      <c r="D48" s="0" t="n">
        <f aca="false">IF(OR(Kalemler!$A48="",Kalemler!$C48="",Kalemler!$D48=""),0,Kalemler!$C48*IF(Kalemler!$E48="Haftalık",IF(Kalemler!$D48&lt;=(Tahmin!$C$4+20),1,0),IF(Kalemler!$E48="Aylık",IF(OR(AND(DATE(YEAR((Tahmin!$C$4+14)),MONTH((Tahmin!$C$4+14)),MIN(DAY(Kalemler!$D48),DAY(EOMONTH((Tahmin!$C$4+14),0))))&gt;=(Tahmin!$C$4+14),DATE(YEAR((Tahmin!$C$4+14)),MONTH((Tahmin!$C$4+14)),MIN(DAY(Kalemler!$D48),DAY(EOMONTH((Tahmin!$C$4+14),0))))&lt;=(Tahmin!$C$4+20),DATE(YEAR((Tahmin!$C$4+14)),MONTH((Tahmin!$C$4+14)),MIN(DAY(Kalemler!$D48),DAY(EOMONTH((Tahmin!$C$4+14),0))))&gt;=Kalemler!$D48),AND(DATE(YEAR((Tahmin!$C$4+20)),MONTH((Tahmin!$C$4+20)),MIN(DAY(Kalemler!$D48),DAY(EOMONTH((Tahmin!$C$4+20),0))))&gt;=(Tahmin!$C$4+14),DATE(YEAR((Tahmin!$C$4+20)),MONTH((Tahmin!$C$4+20)),MIN(DAY(Kalemler!$D48),DAY(EOMONTH((Tahmin!$C$4+20),0))))&lt;=(Tahmin!$C$4+20),DATE(YEAR((Tahmin!$C$4+20)),MONTH((Tahmin!$C$4+20)),MIN(DAY(Kalemler!$D48),DAY(EOMONTH((Tahmin!$C$4+20),0))))&lt;&gt;DATE(YEAR((Tahmin!$C$4+14)),MONTH((Tahmin!$C$4+14)),MIN(DAY(Kalemler!$D48),DAY(EOMONTH((Tahmin!$C$4+14),0)))),DATE(YEAR((Tahmin!$C$4+20)),MONTH((Tahmin!$C$4+20)),MIN(DAY(Kalemler!$D48),DAY(EOMONTH((Tahmin!$C$4+20),0))))&gt;=Kalemler!$D48)),1,0),IF(AND(Kalemler!$D48&gt;=(Tahmin!$C$4+14),Kalemler!$D48&lt;=(Tahmin!$C$4+20)),1,0))))</f>
        <v>0</v>
      </c>
      <c r="E48" s="0" t="n">
        <f aca="false">IF(OR(Kalemler!$A48="",Kalemler!$C48="",Kalemler!$D48=""),0,Kalemler!$C48*IF(Kalemler!$E48="Haftalık",IF(Kalemler!$D48&lt;=(Tahmin!$C$4+27),1,0),IF(Kalemler!$E48="Aylık",IF(OR(AND(DATE(YEAR((Tahmin!$C$4+21)),MONTH((Tahmin!$C$4+21)),MIN(DAY(Kalemler!$D48),DAY(EOMONTH((Tahmin!$C$4+21),0))))&gt;=(Tahmin!$C$4+21),DATE(YEAR((Tahmin!$C$4+21)),MONTH((Tahmin!$C$4+21)),MIN(DAY(Kalemler!$D48),DAY(EOMONTH((Tahmin!$C$4+21),0))))&lt;=(Tahmin!$C$4+27),DATE(YEAR((Tahmin!$C$4+21)),MONTH((Tahmin!$C$4+21)),MIN(DAY(Kalemler!$D48),DAY(EOMONTH((Tahmin!$C$4+21),0))))&gt;=Kalemler!$D48),AND(DATE(YEAR((Tahmin!$C$4+27)),MONTH((Tahmin!$C$4+27)),MIN(DAY(Kalemler!$D48),DAY(EOMONTH((Tahmin!$C$4+27),0))))&gt;=(Tahmin!$C$4+21),DATE(YEAR((Tahmin!$C$4+27)),MONTH((Tahmin!$C$4+27)),MIN(DAY(Kalemler!$D48),DAY(EOMONTH((Tahmin!$C$4+27),0))))&lt;=(Tahmin!$C$4+27),DATE(YEAR((Tahmin!$C$4+27)),MONTH((Tahmin!$C$4+27)),MIN(DAY(Kalemler!$D48),DAY(EOMONTH((Tahmin!$C$4+27),0))))&lt;&gt;DATE(YEAR((Tahmin!$C$4+21)),MONTH((Tahmin!$C$4+21)),MIN(DAY(Kalemler!$D48),DAY(EOMONTH((Tahmin!$C$4+21),0)))),DATE(YEAR((Tahmin!$C$4+27)),MONTH((Tahmin!$C$4+27)),MIN(DAY(Kalemler!$D48),DAY(EOMONTH((Tahmin!$C$4+27),0))))&gt;=Kalemler!$D48)),1,0),IF(AND(Kalemler!$D48&gt;=(Tahmin!$C$4+21),Kalemler!$D48&lt;=(Tahmin!$C$4+27)),1,0))))</f>
        <v>0</v>
      </c>
      <c r="F48" s="0" t="n">
        <f aca="false">IF(OR(Kalemler!$A48="",Kalemler!$C48="",Kalemler!$D48=""),0,Kalemler!$C48*IF(Kalemler!$E48="Haftalık",IF(Kalemler!$D48&lt;=(Tahmin!$C$4+34),1,0),IF(Kalemler!$E48="Aylık",IF(OR(AND(DATE(YEAR((Tahmin!$C$4+28)),MONTH((Tahmin!$C$4+28)),MIN(DAY(Kalemler!$D48),DAY(EOMONTH((Tahmin!$C$4+28),0))))&gt;=(Tahmin!$C$4+28),DATE(YEAR((Tahmin!$C$4+28)),MONTH((Tahmin!$C$4+28)),MIN(DAY(Kalemler!$D48),DAY(EOMONTH((Tahmin!$C$4+28),0))))&lt;=(Tahmin!$C$4+34),DATE(YEAR((Tahmin!$C$4+28)),MONTH((Tahmin!$C$4+28)),MIN(DAY(Kalemler!$D48),DAY(EOMONTH((Tahmin!$C$4+28),0))))&gt;=Kalemler!$D48),AND(DATE(YEAR((Tahmin!$C$4+34)),MONTH((Tahmin!$C$4+34)),MIN(DAY(Kalemler!$D48),DAY(EOMONTH((Tahmin!$C$4+34),0))))&gt;=(Tahmin!$C$4+28),DATE(YEAR((Tahmin!$C$4+34)),MONTH((Tahmin!$C$4+34)),MIN(DAY(Kalemler!$D48),DAY(EOMONTH((Tahmin!$C$4+34),0))))&lt;=(Tahmin!$C$4+34),DATE(YEAR((Tahmin!$C$4+34)),MONTH((Tahmin!$C$4+34)),MIN(DAY(Kalemler!$D48),DAY(EOMONTH((Tahmin!$C$4+34),0))))&lt;&gt;DATE(YEAR((Tahmin!$C$4+28)),MONTH((Tahmin!$C$4+28)),MIN(DAY(Kalemler!$D48),DAY(EOMONTH((Tahmin!$C$4+28),0)))),DATE(YEAR((Tahmin!$C$4+34)),MONTH((Tahmin!$C$4+34)),MIN(DAY(Kalemler!$D48),DAY(EOMONTH((Tahmin!$C$4+34),0))))&gt;=Kalemler!$D48)),1,0),IF(AND(Kalemler!$D48&gt;=(Tahmin!$C$4+28),Kalemler!$D48&lt;=(Tahmin!$C$4+34)),1,0))))</f>
        <v>0</v>
      </c>
      <c r="G48" s="0" t="n">
        <f aca="false">IF(OR(Kalemler!$A48="",Kalemler!$C48="",Kalemler!$D48=""),0,Kalemler!$C48*IF(Kalemler!$E48="Haftalık",IF(Kalemler!$D48&lt;=(Tahmin!$C$4+41),1,0),IF(Kalemler!$E48="Aylık",IF(OR(AND(DATE(YEAR((Tahmin!$C$4+35)),MONTH((Tahmin!$C$4+35)),MIN(DAY(Kalemler!$D48),DAY(EOMONTH((Tahmin!$C$4+35),0))))&gt;=(Tahmin!$C$4+35),DATE(YEAR((Tahmin!$C$4+35)),MONTH((Tahmin!$C$4+35)),MIN(DAY(Kalemler!$D48),DAY(EOMONTH((Tahmin!$C$4+35),0))))&lt;=(Tahmin!$C$4+41),DATE(YEAR((Tahmin!$C$4+35)),MONTH((Tahmin!$C$4+35)),MIN(DAY(Kalemler!$D48),DAY(EOMONTH((Tahmin!$C$4+35),0))))&gt;=Kalemler!$D48),AND(DATE(YEAR((Tahmin!$C$4+41)),MONTH((Tahmin!$C$4+41)),MIN(DAY(Kalemler!$D48),DAY(EOMONTH((Tahmin!$C$4+41),0))))&gt;=(Tahmin!$C$4+35),DATE(YEAR((Tahmin!$C$4+41)),MONTH((Tahmin!$C$4+41)),MIN(DAY(Kalemler!$D48),DAY(EOMONTH((Tahmin!$C$4+41),0))))&lt;=(Tahmin!$C$4+41),DATE(YEAR((Tahmin!$C$4+41)),MONTH((Tahmin!$C$4+41)),MIN(DAY(Kalemler!$D48),DAY(EOMONTH((Tahmin!$C$4+41),0))))&lt;&gt;DATE(YEAR((Tahmin!$C$4+35)),MONTH((Tahmin!$C$4+35)),MIN(DAY(Kalemler!$D48),DAY(EOMONTH((Tahmin!$C$4+35),0)))),DATE(YEAR((Tahmin!$C$4+41)),MONTH((Tahmin!$C$4+41)),MIN(DAY(Kalemler!$D48),DAY(EOMONTH((Tahmin!$C$4+41),0))))&gt;=Kalemler!$D48)),1,0),IF(AND(Kalemler!$D48&gt;=(Tahmin!$C$4+35),Kalemler!$D48&lt;=(Tahmin!$C$4+41)),1,0))))</f>
        <v>0</v>
      </c>
      <c r="H48" s="0" t="n">
        <f aca="false">IF(OR(Kalemler!$A48="",Kalemler!$C48="",Kalemler!$D48=""),0,Kalemler!$C48*IF(Kalemler!$E48="Haftalık",IF(Kalemler!$D48&lt;=(Tahmin!$C$4+48),1,0),IF(Kalemler!$E48="Aylık",IF(OR(AND(DATE(YEAR((Tahmin!$C$4+42)),MONTH((Tahmin!$C$4+42)),MIN(DAY(Kalemler!$D48),DAY(EOMONTH((Tahmin!$C$4+42),0))))&gt;=(Tahmin!$C$4+42),DATE(YEAR((Tahmin!$C$4+42)),MONTH((Tahmin!$C$4+42)),MIN(DAY(Kalemler!$D48),DAY(EOMONTH((Tahmin!$C$4+42),0))))&lt;=(Tahmin!$C$4+48),DATE(YEAR((Tahmin!$C$4+42)),MONTH((Tahmin!$C$4+42)),MIN(DAY(Kalemler!$D48),DAY(EOMONTH((Tahmin!$C$4+42),0))))&gt;=Kalemler!$D48),AND(DATE(YEAR((Tahmin!$C$4+48)),MONTH((Tahmin!$C$4+48)),MIN(DAY(Kalemler!$D48),DAY(EOMONTH((Tahmin!$C$4+48),0))))&gt;=(Tahmin!$C$4+42),DATE(YEAR((Tahmin!$C$4+48)),MONTH((Tahmin!$C$4+48)),MIN(DAY(Kalemler!$D48),DAY(EOMONTH((Tahmin!$C$4+48),0))))&lt;=(Tahmin!$C$4+48),DATE(YEAR((Tahmin!$C$4+48)),MONTH((Tahmin!$C$4+48)),MIN(DAY(Kalemler!$D48),DAY(EOMONTH((Tahmin!$C$4+48),0))))&lt;&gt;DATE(YEAR((Tahmin!$C$4+42)),MONTH((Tahmin!$C$4+42)),MIN(DAY(Kalemler!$D48),DAY(EOMONTH((Tahmin!$C$4+42),0)))),DATE(YEAR((Tahmin!$C$4+48)),MONTH((Tahmin!$C$4+48)),MIN(DAY(Kalemler!$D48),DAY(EOMONTH((Tahmin!$C$4+48),0))))&gt;=Kalemler!$D48)),1,0),IF(AND(Kalemler!$D48&gt;=(Tahmin!$C$4+42),Kalemler!$D48&lt;=(Tahmin!$C$4+48)),1,0))))</f>
        <v>0</v>
      </c>
      <c r="I48" s="0" t="n">
        <f aca="false">IF(OR(Kalemler!$A48="",Kalemler!$C48="",Kalemler!$D48=""),0,Kalemler!$C48*IF(Kalemler!$E48="Haftalık",IF(Kalemler!$D48&lt;=(Tahmin!$C$4+55),1,0),IF(Kalemler!$E48="Aylık",IF(OR(AND(DATE(YEAR((Tahmin!$C$4+49)),MONTH((Tahmin!$C$4+49)),MIN(DAY(Kalemler!$D48),DAY(EOMONTH((Tahmin!$C$4+49),0))))&gt;=(Tahmin!$C$4+49),DATE(YEAR((Tahmin!$C$4+49)),MONTH((Tahmin!$C$4+49)),MIN(DAY(Kalemler!$D48),DAY(EOMONTH((Tahmin!$C$4+49),0))))&lt;=(Tahmin!$C$4+55),DATE(YEAR((Tahmin!$C$4+49)),MONTH((Tahmin!$C$4+49)),MIN(DAY(Kalemler!$D48),DAY(EOMONTH((Tahmin!$C$4+49),0))))&gt;=Kalemler!$D48),AND(DATE(YEAR((Tahmin!$C$4+55)),MONTH((Tahmin!$C$4+55)),MIN(DAY(Kalemler!$D48),DAY(EOMONTH((Tahmin!$C$4+55),0))))&gt;=(Tahmin!$C$4+49),DATE(YEAR((Tahmin!$C$4+55)),MONTH((Tahmin!$C$4+55)),MIN(DAY(Kalemler!$D48),DAY(EOMONTH((Tahmin!$C$4+55),0))))&lt;=(Tahmin!$C$4+55),DATE(YEAR((Tahmin!$C$4+55)),MONTH((Tahmin!$C$4+55)),MIN(DAY(Kalemler!$D48),DAY(EOMONTH((Tahmin!$C$4+55),0))))&lt;&gt;DATE(YEAR((Tahmin!$C$4+49)),MONTH((Tahmin!$C$4+49)),MIN(DAY(Kalemler!$D48),DAY(EOMONTH((Tahmin!$C$4+49),0)))),DATE(YEAR((Tahmin!$C$4+55)),MONTH((Tahmin!$C$4+55)),MIN(DAY(Kalemler!$D48),DAY(EOMONTH((Tahmin!$C$4+55),0))))&gt;=Kalemler!$D48)),1,0),IF(AND(Kalemler!$D48&gt;=(Tahmin!$C$4+49),Kalemler!$D48&lt;=(Tahmin!$C$4+55)),1,0))))</f>
        <v>0</v>
      </c>
      <c r="J48" s="0" t="n">
        <f aca="false">IF(OR(Kalemler!$A48="",Kalemler!$C48="",Kalemler!$D48=""),0,Kalemler!$C48*IF(Kalemler!$E48="Haftalık",IF(Kalemler!$D48&lt;=(Tahmin!$C$4+62),1,0),IF(Kalemler!$E48="Aylık",IF(OR(AND(DATE(YEAR((Tahmin!$C$4+56)),MONTH((Tahmin!$C$4+56)),MIN(DAY(Kalemler!$D48),DAY(EOMONTH((Tahmin!$C$4+56),0))))&gt;=(Tahmin!$C$4+56),DATE(YEAR((Tahmin!$C$4+56)),MONTH((Tahmin!$C$4+56)),MIN(DAY(Kalemler!$D48),DAY(EOMONTH((Tahmin!$C$4+56),0))))&lt;=(Tahmin!$C$4+62),DATE(YEAR((Tahmin!$C$4+56)),MONTH((Tahmin!$C$4+56)),MIN(DAY(Kalemler!$D48),DAY(EOMONTH((Tahmin!$C$4+56),0))))&gt;=Kalemler!$D48),AND(DATE(YEAR((Tahmin!$C$4+62)),MONTH((Tahmin!$C$4+62)),MIN(DAY(Kalemler!$D48),DAY(EOMONTH((Tahmin!$C$4+62),0))))&gt;=(Tahmin!$C$4+56),DATE(YEAR((Tahmin!$C$4+62)),MONTH((Tahmin!$C$4+62)),MIN(DAY(Kalemler!$D48),DAY(EOMONTH((Tahmin!$C$4+62),0))))&lt;=(Tahmin!$C$4+62),DATE(YEAR((Tahmin!$C$4+62)),MONTH((Tahmin!$C$4+62)),MIN(DAY(Kalemler!$D48),DAY(EOMONTH((Tahmin!$C$4+62),0))))&lt;&gt;DATE(YEAR((Tahmin!$C$4+56)),MONTH((Tahmin!$C$4+56)),MIN(DAY(Kalemler!$D48),DAY(EOMONTH((Tahmin!$C$4+56),0)))),DATE(YEAR((Tahmin!$C$4+62)),MONTH((Tahmin!$C$4+62)),MIN(DAY(Kalemler!$D48),DAY(EOMONTH((Tahmin!$C$4+62),0))))&gt;=Kalemler!$D48)),1,0),IF(AND(Kalemler!$D48&gt;=(Tahmin!$C$4+56),Kalemler!$D48&lt;=(Tahmin!$C$4+62)),1,0))))</f>
        <v>0</v>
      </c>
      <c r="K48" s="0" t="n">
        <f aca="false">IF(OR(Kalemler!$A48="",Kalemler!$C48="",Kalemler!$D48=""),0,Kalemler!$C48*IF(Kalemler!$E48="Haftalık",IF(Kalemler!$D48&lt;=(Tahmin!$C$4+69),1,0),IF(Kalemler!$E48="Aylık",IF(OR(AND(DATE(YEAR((Tahmin!$C$4+63)),MONTH((Tahmin!$C$4+63)),MIN(DAY(Kalemler!$D48),DAY(EOMONTH((Tahmin!$C$4+63),0))))&gt;=(Tahmin!$C$4+63),DATE(YEAR((Tahmin!$C$4+63)),MONTH((Tahmin!$C$4+63)),MIN(DAY(Kalemler!$D48),DAY(EOMONTH((Tahmin!$C$4+63),0))))&lt;=(Tahmin!$C$4+69),DATE(YEAR((Tahmin!$C$4+63)),MONTH((Tahmin!$C$4+63)),MIN(DAY(Kalemler!$D48),DAY(EOMONTH((Tahmin!$C$4+63),0))))&gt;=Kalemler!$D48),AND(DATE(YEAR((Tahmin!$C$4+69)),MONTH((Tahmin!$C$4+69)),MIN(DAY(Kalemler!$D48),DAY(EOMONTH((Tahmin!$C$4+69),0))))&gt;=(Tahmin!$C$4+63),DATE(YEAR((Tahmin!$C$4+69)),MONTH((Tahmin!$C$4+69)),MIN(DAY(Kalemler!$D48),DAY(EOMONTH((Tahmin!$C$4+69),0))))&lt;=(Tahmin!$C$4+69),DATE(YEAR((Tahmin!$C$4+69)),MONTH((Tahmin!$C$4+69)),MIN(DAY(Kalemler!$D48),DAY(EOMONTH((Tahmin!$C$4+69),0))))&lt;&gt;DATE(YEAR((Tahmin!$C$4+63)),MONTH((Tahmin!$C$4+63)),MIN(DAY(Kalemler!$D48),DAY(EOMONTH((Tahmin!$C$4+63),0)))),DATE(YEAR((Tahmin!$C$4+69)),MONTH((Tahmin!$C$4+69)),MIN(DAY(Kalemler!$D48),DAY(EOMONTH((Tahmin!$C$4+69),0))))&gt;=Kalemler!$D48)),1,0),IF(AND(Kalemler!$D48&gt;=(Tahmin!$C$4+63),Kalemler!$D48&lt;=(Tahmin!$C$4+69)),1,0))))</f>
        <v>0</v>
      </c>
      <c r="L48" s="0" t="n">
        <f aca="false">IF(OR(Kalemler!$A48="",Kalemler!$C48="",Kalemler!$D48=""),0,Kalemler!$C48*IF(Kalemler!$E48="Haftalık",IF(Kalemler!$D48&lt;=(Tahmin!$C$4+76),1,0),IF(Kalemler!$E48="Aylık",IF(OR(AND(DATE(YEAR((Tahmin!$C$4+70)),MONTH((Tahmin!$C$4+70)),MIN(DAY(Kalemler!$D48),DAY(EOMONTH((Tahmin!$C$4+70),0))))&gt;=(Tahmin!$C$4+70),DATE(YEAR((Tahmin!$C$4+70)),MONTH((Tahmin!$C$4+70)),MIN(DAY(Kalemler!$D48),DAY(EOMONTH((Tahmin!$C$4+70),0))))&lt;=(Tahmin!$C$4+76),DATE(YEAR((Tahmin!$C$4+70)),MONTH((Tahmin!$C$4+70)),MIN(DAY(Kalemler!$D48),DAY(EOMONTH((Tahmin!$C$4+70),0))))&gt;=Kalemler!$D48),AND(DATE(YEAR((Tahmin!$C$4+76)),MONTH((Tahmin!$C$4+76)),MIN(DAY(Kalemler!$D48),DAY(EOMONTH((Tahmin!$C$4+76),0))))&gt;=(Tahmin!$C$4+70),DATE(YEAR((Tahmin!$C$4+76)),MONTH((Tahmin!$C$4+76)),MIN(DAY(Kalemler!$D48),DAY(EOMONTH((Tahmin!$C$4+76),0))))&lt;=(Tahmin!$C$4+76),DATE(YEAR((Tahmin!$C$4+76)),MONTH((Tahmin!$C$4+76)),MIN(DAY(Kalemler!$D48),DAY(EOMONTH((Tahmin!$C$4+76),0))))&lt;&gt;DATE(YEAR((Tahmin!$C$4+70)),MONTH((Tahmin!$C$4+70)),MIN(DAY(Kalemler!$D48),DAY(EOMONTH((Tahmin!$C$4+70),0)))),DATE(YEAR((Tahmin!$C$4+76)),MONTH((Tahmin!$C$4+76)),MIN(DAY(Kalemler!$D48),DAY(EOMONTH((Tahmin!$C$4+76),0))))&gt;=Kalemler!$D48)),1,0),IF(AND(Kalemler!$D48&gt;=(Tahmin!$C$4+70),Kalemler!$D48&lt;=(Tahmin!$C$4+76)),1,0))))</f>
        <v>0</v>
      </c>
      <c r="M48" s="0" t="n">
        <f aca="false">IF(OR(Kalemler!$A48="",Kalemler!$C48="",Kalemler!$D48=""),0,Kalemler!$C48*IF(Kalemler!$E48="Haftalık",IF(Kalemler!$D48&lt;=(Tahmin!$C$4+83),1,0),IF(Kalemler!$E48="Aylık",IF(OR(AND(DATE(YEAR((Tahmin!$C$4+77)),MONTH((Tahmin!$C$4+77)),MIN(DAY(Kalemler!$D48),DAY(EOMONTH((Tahmin!$C$4+77),0))))&gt;=(Tahmin!$C$4+77),DATE(YEAR((Tahmin!$C$4+77)),MONTH((Tahmin!$C$4+77)),MIN(DAY(Kalemler!$D48),DAY(EOMONTH((Tahmin!$C$4+77),0))))&lt;=(Tahmin!$C$4+83),DATE(YEAR((Tahmin!$C$4+77)),MONTH((Tahmin!$C$4+77)),MIN(DAY(Kalemler!$D48),DAY(EOMONTH((Tahmin!$C$4+77),0))))&gt;=Kalemler!$D48),AND(DATE(YEAR((Tahmin!$C$4+83)),MONTH((Tahmin!$C$4+83)),MIN(DAY(Kalemler!$D48),DAY(EOMONTH((Tahmin!$C$4+83),0))))&gt;=(Tahmin!$C$4+77),DATE(YEAR((Tahmin!$C$4+83)),MONTH((Tahmin!$C$4+83)),MIN(DAY(Kalemler!$D48),DAY(EOMONTH((Tahmin!$C$4+83),0))))&lt;=(Tahmin!$C$4+83),DATE(YEAR((Tahmin!$C$4+83)),MONTH((Tahmin!$C$4+83)),MIN(DAY(Kalemler!$D48),DAY(EOMONTH((Tahmin!$C$4+83),0))))&lt;&gt;DATE(YEAR((Tahmin!$C$4+77)),MONTH((Tahmin!$C$4+77)),MIN(DAY(Kalemler!$D48),DAY(EOMONTH((Tahmin!$C$4+77),0)))),DATE(YEAR((Tahmin!$C$4+83)),MONTH((Tahmin!$C$4+83)),MIN(DAY(Kalemler!$D48),DAY(EOMONTH((Tahmin!$C$4+83),0))))&gt;=Kalemler!$D48)),1,0),IF(AND(Kalemler!$D48&gt;=(Tahmin!$C$4+77),Kalemler!$D48&lt;=(Tahmin!$C$4+83)),1,0))))</f>
        <v>0</v>
      </c>
      <c r="N48" s="0" t="n">
        <f aca="false">IF(OR(Kalemler!$A48="",Kalemler!$C48="",Kalemler!$D48=""),0,Kalemler!$C48*IF(Kalemler!$E48="Haftalık",IF(Kalemler!$D48&lt;=(Tahmin!$C$4+90),1,0),IF(Kalemler!$E48="Aylık",IF(OR(AND(DATE(YEAR((Tahmin!$C$4+84)),MONTH((Tahmin!$C$4+84)),MIN(DAY(Kalemler!$D48),DAY(EOMONTH((Tahmin!$C$4+84),0))))&gt;=(Tahmin!$C$4+84),DATE(YEAR((Tahmin!$C$4+84)),MONTH((Tahmin!$C$4+84)),MIN(DAY(Kalemler!$D48),DAY(EOMONTH((Tahmin!$C$4+84),0))))&lt;=(Tahmin!$C$4+90),DATE(YEAR((Tahmin!$C$4+84)),MONTH((Tahmin!$C$4+84)),MIN(DAY(Kalemler!$D48),DAY(EOMONTH((Tahmin!$C$4+84),0))))&gt;=Kalemler!$D48),AND(DATE(YEAR((Tahmin!$C$4+90)),MONTH((Tahmin!$C$4+90)),MIN(DAY(Kalemler!$D48),DAY(EOMONTH((Tahmin!$C$4+90),0))))&gt;=(Tahmin!$C$4+84),DATE(YEAR((Tahmin!$C$4+90)),MONTH((Tahmin!$C$4+90)),MIN(DAY(Kalemler!$D48),DAY(EOMONTH((Tahmin!$C$4+90),0))))&lt;=(Tahmin!$C$4+90),DATE(YEAR((Tahmin!$C$4+90)),MONTH((Tahmin!$C$4+90)),MIN(DAY(Kalemler!$D48),DAY(EOMONTH((Tahmin!$C$4+90),0))))&lt;&gt;DATE(YEAR((Tahmin!$C$4+84)),MONTH((Tahmin!$C$4+84)),MIN(DAY(Kalemler!$D48),DAY(EOMONTH((Tahmin!$C$4+84),0)))),DATE(YEAR((Tahmin!$C$4+90)),MONTH((Tahmin!$C$4+90)),MIN(DAY(Kalemler!$D48),DAY(EOMONTH((Tahmin!$C$4+90),0))))&gt;=Kalemler!$D48)),1,0),IF(AND(Kalemler!$D48&gt;=(Tahmin!$C$4+84),Kalemler!$D48&lt;=(Tahmin!$C$4+90)),1,0))))</f>
        <v>0</v>
      </c>
    </row>
    <row r="49" customFormat="false" ht="15" hidden="false" customHeight="false" outlineLevel="0" collapsed="false">
      <c r="A49" s="0" t="str">
        <f aca="false">IF(Kalemler!A49="","",Kalemler!A49)</f>
        <v/>
      </c>
      <c r="B49" s="0" t="n">
        <f aca="false">IF(OR(Kalemler!$A49="",Kalemler!$C49="",Kalemler!$D49=""),0,Kalemler!$C49*IF(Kalemler!$E49="Haftalık",IF(Kalemler!$D49&lt;=(Tahmin!$C$4+6),1,0),IF(Kalemler!$E49="Aylık",IF(OR(AND(DATE(YEAR((Tahmin!$C$4+0)),MONTH((Tahmin!$C$4+0)),MIN(DAY(Kalemler!$D49),DAY(EOMONTH((Tahmin!$C$4+0),0))))&gt;=(Tahmin!$C$4+0),DATE(YEAR((Tahmin!$C$4+0)),MONTH((Tahmin!$C$4+0)),MIN(DAY(Kalemler!$D49),DAY(EOMONTH((Tahmin!$C$4+0),0))))&lt;=(Tahmin!$C$4+6),DATE(YEAR((Tahmin!$C$4+0)),MONTH((Tahmin!$C$4+0)),MIN(DAY(Kalemler!$D49),DAY(EOMONTH((Tahmin!$C$4+0),0))))&gt;=Kalemler!$D49),AND(DATE(YEAR((Tahmin!$C$4+6)),MONTH((Tahmin!$C$4+6)),MIN(DAY(Kalemler!$D49),DAY(EOMONTH((Tahmin!$C$4+6),0))))&gt;=(Tahmin!$C$4+0),DATE(YEAR((Tahmin!$C$4+6)),MONTH((Tahmin!$C$4+6)),MIN(DAY(Kalemler!$D49),DAY(EOMONTH((Tahmin!$C$4+6),0))))&lt;=(Tahmin!$C$4+6),DATE(YEAR((Tahmin!$C$4+6)),MONTH((Tahmin!$C$4+6)),MIN(DAY(Kalemler!$D49),DAY(EOMONTH((Tahmin!$C$4+6),0))))&lt;&gt;DATE(YEAR((Tahmin!$C$4+0)),MONTH((Tahmin!$C$4+0)),MIN(DAY(Kalemler!$D49),DAY(EOMONTH((Tahmin!$C$4+0),0)))),DATE(YEAR((Tahmin!$C$4+6)),MONTH((Tahmin!$C$4+6)),MIN(DAY(Kalemler!$D49),DAY(EOMONTH((Tahmin!$C$4+6),0))))&gt;=Kalemler!$D49)),1,0),IF(AND(Kalemler!$D49&gt;=(Tahmin!$C$4+0),Kalemler!$D49&lt;=(Tahmin!$C$4+6)),1,0))))</f>
        <v>0</v>
      </c>
      <c r="C49" s="0" t="n">
        <f aca="false">IF(OR(Kalemler!$A49="",Kalemler!$C49="",Kalemler!$D49=""),0,Kalemler!$C49*IF(Kalemler!$E49="Haftalık",IF(Kalemler!$D49&lt;=(Tahmin!$C$4+13),1,0),IF(Kalemler!$E49="Aylık",IF(OR(AND(DATE(YEAR((Tahmin!$C$4+7)),MONTH((Tahmin!$C$4+7)),MIN(DAY(Kalemler!$D49),DAY(EOMONTH((Tahmin!$C$4+7),0))))&gt;=(Tahmin!$C$4+7),DATE(YEAR((Tahmin!$C$4+7)),MONTH((Tahmin!$C$4+7)),MIN(DAY(Kalemler!$D49),DAY(EOMONTH((Tahmin!$C$4+7),0))))&lt;=(Tahmin!$C$4+13),DATE(YEAR((Tahmin!$C$4+7)),MONTH((Tahmin!$C$4+7)),MIN(DAY(Kalemler!$D49),DAY(EOMONTH((Tahmin!$C$4+7),0))))&gt;=Kalemler!$D49),AND(DATE(YEAR((Tahmin!$C$4+13)),MONTH((Tahmin!$C$4+13)),MIN(DAY(Kalemler!$D49),DAY(EOMONTH((Tahmin!$C$4+13),0))))&gt;=(Tahmin!$C$4+7),DATE(YEAR((Tahmin!$C$4+13)),MONTH((Tahmin!$C$4+13)),MIN(DAY(Kalemler!$D49),DAY(EOMONTH((Tahmin!$C$4+13),0))))&lt;=(Tahmin!$C$4+13),DATE(YEAR((Tahmin!$C$4+13)),MONTH((Tahmin!$C$4+13)),MIN(DAY(Kalemler!$D49),DAY(EOMONTH((Tahmin!$C$4+13),0))))&lt;&gt;DATE(YEAR((Tahmin!$C$4+7)),MONTH((Tahmin!$C$4+7)),MIN(DAY(Kalemler!$D49),DAY(EOMONTH((Tahmin!$C$4+7),0)))),DATE(YEAR((Tahmin!$C$4+13)),MONTH((Tahmin!$C$4+13)),MIN(DAY(Kalemler!$D49),DAY(EOMONTH((Tahmin!$C$4+13),0))))&gt;=Kalemler!$D49)),1,0),IF(AND(Kalemler!$D49&gt;=(Tahmin!$C$4+7),Kalemler!$D49&lt;=(Tahmin!$C$4+13)),1,0))))</f>
        <v>0</v>
      </c>
      <c r="D49" s="0" t="n">
        <f aca="false">IF(OR(Kalemler!$A49="",Kalemler!$C49="",Kalemler!$D49=""),0,Kalemler!$C49*IF(Kalemler!$E49="Haftalık",IF(Kalemler!$D49&lt;=(Tahmin!$C$4+20),1,0),IF(Kalemler!$E49="Aylık",IF(OR(AND(DATE(YEAR((Tahmin!$C$4+14)),MONTH((Tahmin!$C$4+14)),MIN(DAY(Kalemler!$D49),DAY(EOMONTH((Tahmin!$C$4+14),0))))&gt;=(Tahmin!$C$4+14),DATE(YEAR((Tahmin!$C$4+14)),MONTH((Tahmin!$C$4+14)),MIN(DAY(Kalemler!$D49),DAY(EOMONTH((Tahmin!$C$4+14),0))))&lt;=(Tahmin!$C$4+20),DATE(YEAR((Tahmin!$C$4+14)),MONTH((Tahmin!$C$4+14)),MIN(DAY(Kalemler!$D49),DAY(EOMONTH((Tahmin!$C$4+14),0))))&gt;=Kalemler!$D49),AND(DATE(YEAR((Tahmin!$C$4+20)),MONTH((Tahmin!$C$4+20)),MIN(DAY(Kalemler!$D49),DAY(EOMONTH((Tahmin!$C$4+20),0))))&gt;=(Tahmin!$C$4+14),DATE(YEAR((Tahmin!$C$4+20)),MONTH((Tahmin!$C$4+20)),MIN(DAY(Kalemler!$D49),DAY(EOMONTH((Tahmin!$C$4+20),0))))&lt;=(Tahmin!$C$4+20),DATE(YEAR((Tahmin!$C$4+20)),MONTH((Tahmin!$C$4+20)),MIN(DAY(Kalemler!$D49),DAY(EOMONTH((Tahmin!$C$4+20),0))))&lt;&gt;DATE(YEAR((Tahmin!$C$4+14)),MONTH((Tahmin!$C$4+14)),MIN(DAY(Kalemler!$D49),DAY(EOMONTH((Tahmin!$C$4+14),0)))),DATE(YEAR((Tahmin!$C$4+20)),MONTH((Tahmin!$C$4+20)),MIN(DAY(Kalemler!$D49),DAY(EOMONTH((Tahmin!$C$4+20),0))))&gt;=Kalemler!$D49)),1,0),IF(AND(Kalemler!$D49&gt;=(Tahmin!$C$4+14),Kalemler!$D49&lt;=(Tahmin!$C$4+20)),1,0))))</f>
        <v>0</v>
      </c>
      <c r="E49" s="0" t="n">
        <f aca="false">IF(OR(Kalemler!$A49="",Kalemler!$C49="",Kalemler!$D49=""),0,Kalemler!$C49*IF(Kalemler!$E49="Haftalık",IF(Kalemler!$D49&lt;=(Tahmin!$C$4+27),1,0),IF(Kalemler!$E49="Aylık",IF(OR(AND(DATE(YEAR((Tahmin!$C$4+21)),MONTH((Tahmin!$C$4+21)),MIN(DAY(Kalemler!$D49),DAY(EOMONTH((Tahmin!$C$4+21),0))))&gt;=(Tahmin!$C$4+21),DATE(YEAR((Tahmin!$C$4+21)),MONTH((Tahmin!$C$4+21)),MIN(DAY(Kalemler!$D49),DAY(EOMONTH((Tahmin!$C$4+21),0))))&lt;=(Tahmin!$C$4+27),DATE(YEAR((Tahmin!$C$4+21)),MONTH((Tahmin!$C$4+21)),MIN(DAY(Kalemler!$D49),DAY(EOMONTH((Tahmin!$C$4+21),0))))&gt;=Kalemler!$D49),AND(DATE(YEAR((Tahmin!$C$4+27)),MONTH((Tahmin!$C$4+27)),MIN(DAY(Kalemler!$D49),DAY(EOMONTH((Tahmin!$C$4+27),0))))&gt;=(Tahmin!$C$4+21),DATE(YEAR((Tahmin!$C$4+27)),MONTH((Tahmin!$C$4+27)),MIN(DAY(Kalemler!$D49),DAY(EOMONTH((Tahmin!$C$4+27),0))))&lt;=(Tahmin!$C$4+27),DATE(YEAR((Tahmin!$C$4+27)),MONTH((Tahmin!$C$4+27)),MIN(DAY(Kalemler!$D49),DAY(EOMONTH((Tahmin!$C$4+27),0))))&lt;&gt;DATE(YEAR((Tahmin!$C$4+21)),MONTH((Tahmin!$C$4+21)),MIN(DAY(Kalemler!$D49),DAY(EOMONTH((Tahmin!$C$4+21),0)))),DATE(YEAR((Tahmin!$C$4+27)),MONTH((Tahmin!$C$4+27)),MIN(DAY(Kalemler!$D49),DAY(EOMONTH((Tahmin!$C$4+27),0))))&gt;=Kalemler!$D49)),1,0),IF(AND(Kalemler!$D49&gt;=(Tahmin!$C$4+21),Kalemler!$D49&lt;=(Tahmin!$C$4+27)),1,0))))</f>
        <v>0</v>
      </c>
      <c r="F49" s="0" t="n">
        <f aca="false">IF(OR(Kalemler!$A49="",Kalemler!$C49="",Kalemler!$D49=""),0,Kalemler!$C49*IF(Kalemler!$E49="Haftalık",IF(Kalemler!$D49&lt;=(Tahmin!$C$4+34),1,0),IF(Kalemler!$E49="Aylık",IF(OR(AND(DATE(YEAR((Tahmin!$C$4+28)),MONTH((Tahmin!$C$4+28)),MIN(DAY(Kalemler!$D49),DAY(EOMONTH((Tahmin!$C$4+28),0))))&gt;=(Tahmin!$C$4+28),DATE(YEAR((Tahmin!$C$4+28)),MONTH((Tahmin!$C$4+28)),MIN(DAY(Kalemler!$D49),DAY(EOMONTH((Tahmin!$C$4+28),0))))&lt;=(Tahmin!$C$4+34),DATE(YEAR((Tahmin!$C$4+28)),MONTH((Tahmin!$C$4+28)),MIN(DAY(Kalemler!$D49),DAY(EOMONTH((Tahmin!$C$4+28),0))))&gt;=Kalemler!$D49),AND(DATE(YEAR((Tahmin!$C$4+34)),MONTH((Tahmin!$C$4+34)),MIN(DAY(Kalemler!$D49),DAY(EOMONTH((Tahmin!$C$4+34),0))))&gt;=(Tahmin!$C$4+28),DATE(YEAR((Tahmin!$C$4+34)),MONTH((Tahmin!$C$4+34)),MIN(DAY(Kalemler!$D49),DAY(EOMONTH((Tahmin!$C$4+34),0))))&lt;=(Tahmin!$C$4+34),DATE(YEAR((Tahmin!$C$4+34)),MONTH((Tahmin!$C$4+34)),MIN(DAY(Kalemler!$D49),DAY(EOMONTH((Tahmin!$C$4+34),0))))&lt;&gt;DATE(YEAR((Tahmin!$C$4+28)),MONTH((Tahmin!$C$4+28)),MIN(DAY(Kalemler!$D49),DAY(EOMONTH((Tahmin!$C$4+28),0)))),DATE(YEAR((Tahmin!$C$4+34)),MONTH((Tahmin!$C$4+34)),MIN(DAY(Kalemler!$D49),DAY(EOMONTH((Tahmin!$C$4+34),0))))&gt;=Kalemler!$D49)),1,0),IF(AND(Kalemler!$D49&gt;=(Tahmin!$C$4+28),Kalemler!$D49&lt;=(Tahmin!$C$4+34)),1,0))))</f>
        <v>0</v>
      </c>
      <c r="G49" s="0" t="n">
        <f aca="false">IF(OR(Kalemler!$A49="",Kalemler!$C49="",Kalemler!$D49=""),0,Kalemler!$C49*IF(Kalemler!$E49="Haftalık",IF(Kalemler!$D49&lt;=(Tahmin!$C$4+41),1,0),IF(Kalemler!$E49="Aylık",IF(OR(AND(DATE(YEAR((Tahmin!$C$4+35)),MONTH((Tahmin!$C$4+35)),MIN(DAY(Kalemler!$D49),DAY(EOMONTH((Tahmin!$C$4+35),0))))&gt;=(Tahmin!$C$4+35),DATE(YEAR((Tahmin!$C$4+35)),MONTH((Tahmin!$C$4+35)),MIN(DAY(Kalemler!$D49),DAY(EOMONTH((Tahmin!$C$4+35),0))))&lt;=(Tahmin!$C$4+41),DATE(YEAR((Tahmin!$C$4+35)),MONTH((Tahmin!$C$4+35)),MIN(DAY(Kalemler!$D49),DAY(EOMONTH((Tahmin!$C$4+35),0))))&gt;=Kalemler!$D49),AND(DATE(YEAR((Tahmin!$C$4+41)),MONTH((Tahmin!$C$4+41)),MIN(DAY(Kalemler!$D49),DAY(EOMONTH((Tahmin!$C$4+41),0))))&gt;=(Tahmin!$C$4+35),DATE(YEAR((Tahmin!$C$4+41)),MONTH((Tahmin!$C$4+41)),MIN(DAY(Kalemler!$D49),DAY(EOMONTH((Tahmin!$C$4+41),0))))&lt;=(Tahmin!$C$4+41),DATE(YEAR((Tahmin!$C$4+41)),MONTH((Tahmin!$C$4+41)),MIN(DAY(Kalemler!$D49),DAY(EOMONTH((Tahmin!$C$4+41),0))))&lt;&gt;DATE(YEAR((Tahmin!$C$4+35)),MONTH((Tahmin!$C$4+35)),MIN(DAY(Kalemler!$D49),DAY(EOMONTH((Tahmin!$C$4+35),0)))),DATE(YEAR((Tahmin!$C$4+41)),MONTH((Tahmin!$C$4+41)),MIN(DAY(Kalemler!$D49),DAY(EOMONTH((Tahmin!$C$4+41),0))))&gt;=Kalemler!$D49)),1,0),IF(AND(Kalemler!$D49&gt;=(Tahmin!$C$4+35),Kalemler!$D49&lt;=(Tahmin!$C$4+41)),1,0))))</f>
        <v>0</v>
      </c>
      <c r="H49" s="0" t="n">
        <f aca="false">IF(OR(Kalemler!$A49="",Kalemler!$C49="",Kalemler!$D49=""),0,Kalemler!$C49*IF(Kalemler!$E49="Haftalık",IF(Kalemler!$D49&lt;=(Tahmin!$C$4+48),1,0),IF(Kalemler!$E49="Aylık",IF(OR(AND(DATE(YEAR((Tahmin!$C$4+42)),MONTH((Tahmin!$C$4+42)),MIN(DAY(Kalemler!$D49),DAY(EOMONTH((Tahmin!$C$4+42),0))))&gt;=(Tahmin!$C$4+42),DATE(YEAR((Tahmin!$C$4+42)),MONTH((Tahmin!$C$4+42)),MIN(DAY(Kalemler!$D49),DAY(EOMONTH((Tahmin!$C$4+42),0))))&lt;=(Tahmin!$C$4+48),DATE(YEAR((Tahmin!$C$4+42)),MONTH((Tahmin!$C$4+42)),MIN(DAY(Kalemler!$D49),DAY(EOMONTH((Tahmin!$C$4+42),0))))&gt;=Kalemler!$D49),AND(DATE(YEAR((Tahmin!$C$4+48)),MONTH((Tahmin!$C$4+48)),MIN(DAY(Kalemler!$D49),DAY(EOMONTH((Tahmin!$C$4+48),0))))&gt;=(Tahmin!$C$4+42),DATE(YEAR((Tahmin!$C$4+48)),MONTH((Tahmin!$C$4+48)),MIN(DAY(Kalemler!$D49),DAY(EOMONTH((Tahmin!$C$4+48),0))))&lt;=(Tahmin!$C$4+48),DATE(YEAR((Tahmin!$C$4+48)),MONTH((Tahmin!$C$4+48)),MIN(DAY(Kalemler!$D49),DAY(EOMONTH((Tahmin!$C$4+48),0))))&lt;&gt;DATE(YEAR((Tahmin!$C$4+42)),MONTH((Tahmin!$C$4+42)),MIN(DAY(Kalemler!$D49),DAY(EOMONTH((Tahmin!$C$4+42),0)))),DATE(YEAR((Tahmin!$C$4+48)),MONTH((Tahmin!$C$4+48)),MIN(DAY(Kalemler!$D49),DAY(EOMONTH((Tahmin!$C$4+48),0))))&gt;=Kalemler!$D49)),1,0),IF(AND(Kalemler!$D49&gt;=(Tahmin!$C$4+42),Kalemler!$D49&lt;=(Tahmin!$C$4+48)),1,0))))</f>
        <v>0</v>
      </c>
      <c r="I49" s="0" t="n">
        <f aca="false">IF(OR(Kalemler!$A49="",Kalemler!$C49="",Kalemler!$D49=""),0,Kalemler!$C49*IF(Kalemler!$E49="Haftalık",IF(Kalemler!$D49&lt;=(Tahmin!$C$4+55),1,0),IF(Kalemler!$E49="Aylık",IF(OR(AND(DATE(YEAR((Tahmin!$C$4+49)),MONTH((Tahmin!$C$4+49)),MIN(DAY(Kalemler!$D49),DAY(EOMONTH((Tahmin!$C$4+49),0))))&gt;=(Tahmin!$C$4+49),DATE(YEAR((Tahmin!$C$4+49)),MONTH((Tahmin!$C$4+49)),MIN(DAY(Kalemler!$D49),DAY(EOMONTH((Tahmin!$C$4+49),0))))&lt;=(Tahmin!$C$4+55),DATE(YEAR((Tahmin!$C$4+49)),MONTH((Tahmin!$C$4+49)),MIN(DAY(Kalemler!$D49),DAY(EOMONTH((Tahmin!$C$4+49),0))))&gt;=Kalemler!$D49),AND(DATE(YEAR((Tahmin!$C$4+55)),MONTH((Tahmin!$C$4+55)),MIN(DAY(Kalemler!$D49),DAY(EOMONTH((Tahmin!$C$4+55),0))))&gt;=(Tahmin!$C$4+49),DATE(YEAR((Tahmin!$C$4+55)),MONTH((Tahmin!$C$4+55)),MIN(DAY(Kalemler!$D49),DAY(EOMONTH((Tahmin!$C$4+55),0))))&lt;=(Tahmin!$C$4+55),DATE(YEAR((Tahmin!$C$4+55)),MONTH((Tahmin!$C$4+55)),MIN(DAY(Kalemler!$D49),DAY(EOMONTH((Tahmin!$C$4+55),0))))&lt;&gt;DATE(YEAR((Tahmin!$C$4+49)),MONTH((Tahmin!$C$4+49)),MIN(DAY(Kalemler!$D49),DAY(EOMONTH((Tahmin!$C$4+49),0)))),DATE(YEAR((Tahmin!$C$4+55)),MONTH((Tahmin!$C$4+55)),MIN(DAY(Kalemler!$D49),DAY(EOMONTH((Tahmin!$C$4+55),0))))&gt;=Kalemler!$D49)),1,0),IF(AND(Kalemler!$D49&gt;=(Tahmin!$C$4+49),Kalemler!$D49&lt;=(Tahmin!$C$4+55)),1,0))))</f>
        <v>0</v>
      </c>
      <c r="J49" s="0" t="n">
        <f aca="false">IF(OR(Kalemler!$A49="",Kalemler!$C49="",Kalemler!$D49=""),0,Kalemler!$C49*IF(Kalemler!$E49="Haftalık",IF(Kalemler!$D49&lt;=(Tahmin!$C$4+62),1,0),IF(Kalemler!$E49="Aylık",IF(OR(AND(DATE(YEAR((Tahmin!$C$4+56)),MONTH((Tahmin!$C$4+56)),MIN(DAY(Kalemler!$D49),DAY(EOMONTH((Tahmin!$C$4+56),0))))&gt;=(Tahmin!$C$4+56),DATE(YEAR((Tahmin!$C$4+56)),MONTH((Tahmin!$C$4+56)),MIN(DAY(Kalemler!$D49),DAY(EOMONTH((Tahmin!$C$4+56),0))))&lt;=(Tahmin!$C$4+62),DATE(YEAR((Tahmin!$C$4+56)),MONTH((Tahmin!$C$4+56)),MIN(DAY(Kalemler!$D49),DAY(EOMONTH((Tahmin!$C$4+56),0))))&gt;=Kalemler!$D49),AND(DATE(YEAR((Tahmin!$C$4+62)),MONTH((Tahmin!$C$4+62)),MIN(DAY(Kalemler!$D49),DAY(EOMONTH((Tahmin!$C$4+62),0))))&gt;=(Tahmin!$C$4+56),DATE(YEAR((Tahmin!$C$4+62)),MONTH((Tahmin!$C$4+62)),MIN(DAY(Kalemler!$D49),DAY(EOMONTH((Tahmin!$C$4+62),0))))&lt;=(Tahmin!$C$4+62),DATE(YEAR((Tahmin!$C$4+62)),MONTH((Tahmin!$C$4+62)),MIN(DAY(Kalemler!$D49),DAY(EOMONTH((Tahmin!$C$4+62),0))))&lt;&gt;DATE(YEAR((Tahmin!$C$4+56)),MONTH((Tahmin!$C$4+56)),MIN(DAY(Kalemler!$D49),DAY(EOMONTH((Tahmin!$C$4+56),0)))),DATE(YEAR((Tahmin!$C$4+62)),MONTH((Tahmin!$C$4+62)),MIN(DAY(Kalemler!$D49),DAY(EOMONTH((Tahmin!$C$4+62),0))))&gt;=Kalemler!$D49)),1,0),IF(AND(Kalemler!$D49&gt;=(Tahmin!$C$4+56),Kalemler!$D49&lt;=(Tahmin!$C$4+62)),1,0))))</f>
        <v>0</v>
      </c>
      <c r="K49" s="0" t="n">
        <f aca="false">IF(OR(Kalemler!$A49="",Kalemler!$C49="",Kalemler!$D49=""),0,Kalemler!$C49*IF(Kalemler!$E49="Haftalık",IF(Kalemler!$D49&lt;=(Tahmin!$C$4+69),1,0),IF(Kalemler!$E49="Aylık",IF(OR(AND(DATE(YEAR((Tahmin!$C$4+63)),MONTH((Tahmin!$C$4+63)),MIN(DAY(Kalemler!$D49),DAY(EOMONTH((Tahmin!$C$4+63),0))))&gt;=(Tahmin!$C$4+63),DATE(YEAR((Tahmin!$C$4+63)),MONTH((Tahmin!$C$4+63)),MIN(DAY(Kalemler!$D49),DAY(EOMONTH((Tahmin!$C$4+63),0))))&lt;=(Tahmin!$C$4+69),DATE(YEAR((Tahmin!$C$4+63)),MONTH((Tahmin!$C$4+63)),MIN(DAY(Kalemler!$D49),DAY(EOMONTH((Tahmin!$C$4+63),0))))&gt;=Kalemler!$D49),AND(DATE(YEAR((Tahmin!$C$4+69)),MONTH((Tahmin!$C$4+69)),MIN(DAY(Kalemler!$D49),DAY(EOMONTH((Tahmin!$C$4+69),0))))&gt;=(Tahmin!$C$4+63),DATE(YEAR((Tahmin!$C$4+69)),MONTH((Tahmin!$C$4+69)),MIN(DAY(Kalemler!$D49),DAY(EOMONTH((Tahmin!$C$4+69),0))))&lt;=(Tahmin!$C$4+69),DATE(YEAR((Tahmin!$C$4+69)),MONTH((Tahmin!$C$4+69)),MIN(DAY(Kalemler!$D49),DAY(EOMONTH((Tahmin!$C$4+69),0))))&lt;&gt;DATE(YEAR((Tahmin!$C$4+63)),MONTH((Tahmin!$C$4+63)),MIN(DAY(Kalemler!$D49),DAY(EOMONTH((Tahmin!$C$4+63),0)))),DATE(YEAR((Tahmin!$C$4+69)),MONTH((Tahmin!$C$4+69)),MIN(DAY(Kalemler!$D49),DAY(EOMONTH((Tahmin!$C$4+69),0))))&gt;=Kalemler!$D49)),1,0),IF(AND(Kalemler!$D49&gt;=(Tahmin!$C$4+63),Kalemler!$D49&lt;=(Tahmin!$C$4+69)),1,0))))</f>
        <v>0</v>
      </c>
      <c r="L49" s="0" t="n">
        <f aca="false">IF(OR(Kalemler!$A49="",Kalemler!$C49="",Kalemler!$D49=""),0,Kalemler!$C49*IF(Kalemler!$E49="Haftalık",IF(Kalemler!$D49&lt;=(Tahmin!$C$4+76),1,0),IF(Kalemler!$E49="Aylık",IF(OR(AND(DATE(YEAR((Tahmin!$C$4+70)),MONTH((Tahmin!$C$4+70)),MIN(DAY(Kalemler!$D49),DAY(EOMONTH((Tahmin!$C$4+70),0))))&gt;=(Tahmin!$C$4+70),DATE(YEAR((Tahmin!$C$4+70)),MONTH((Tahmin!$C$4+70)),MIN(DAY(Kalemler!$D49),DAY(EOMONTH((Tahmin!$C$4+70),0))))&lt;=(Tahmin!$C$4+76),DATE(YEAR((Tahmin!$C$4+70)),MONTH((Tahmin!$C$4+70)),MIN(DAY(Kalemler!$D49),DAY(EOMONTH((Tahmin!$C$4+70),0))))&gt;=Kalemler!$D49),AND(DATE(YEAR((Tahmin!$C$4+76)),MONTH((Tahmin!$C$4+76)),MIN(DAY(Kalemler!$D49),DAY(EOMONTH((Tahmin!$C$4+76),0))))&gt;=(Tahmin!$C$4+70),DATE(YEAR((Tahmin!$C$4+76)),MONTH((Tahmin!$C$4+76)),MIN(DAY(Kalemler!$D49),DAY(EOMONTH((Tahmin!$C$4+76),0))))&lt;=(Tahmin!$C$4+76),DATE(YEAR((Tahmin!$C$4+76)),MONTH((Tahmin!$C$4+76)),MIN(DAY(Kalemler!$D49),DAY(EOMONTH((Tahmin!$C$4+76),0))))&lt;&gt;DATE(YEAR((Tahmin!$C$4+70)),MONTH((Tahmin!$C$4+70)),MIN(DAY(Kalemler!$D49),DAY(EOMONTH((Tahmin!$C$4+70),0)))),DATE(YEAR((Tahmin!$C$4+76)),MONTH((Tahmin!$C$4+76)),MIN(DAY(Kalemler!$D49),DAY(EOMONTH((Tahmin!$C$4+76),0))))&gt;=Kalemler!$D49)),1,0),IF(AND(Kalemler!$D49&gt;=(Tahmin!$C$4+70),Kalemler!$D49&lt;=(Tahmin!$C$4+76)),1,0))))</f>
        <v>0</v>
      </c>
      <c r="M49" s="0" t="n">
        <f aca="false">IF(OR(Kalemler!$A49="",Kalemler!$C49="",Kalemler!$D49=""),0,Kalemler!$C49*IF(Kalemler!$E49="Haftalık",IF(Kalemler!$D49&lt;=(Tahmin!$C$4+83),1,0),IF(Kalemler!$E49="Aylık",IF(OR(AND(DATE(YEAR((Tahmin!$C$4+77)),MONTH((Tahmin!$C$4+77)),MIN(DAY(Kalemler!$D49),DAY(EOMONTH((Tahmin!$C$4+77),0))))&gt;=(Tahmin!$C$4+77),DATE(YEAR((Tahmin!$C$4+77)),MONTH((Tahmin!$C$4+77)),MIN(DAY(Kalemler!$D49),DAY(EOMONTH((Tahmin!$C$4+77),0))))&lt;=(Tahmin!$C$4+83),DATE(YEAR((Tahmin!$C$4+77)),MONTH((Tahmin!$C$4+77)),MIN(DAY(Kalemler!$D49),DAY(EOMONTH((Tahmin!$C$4+77),0))))&gt;=Kalemler!$D49),AND(DATE(YEAR((Tahmin!$C$4+83)),MONTH((Tahmin!$C$4+83)),MIN(DAY(Kalemler!$D49),DAY(EOMONTH((Tahmin!$C$4+83),0))))&gt;=(Tahmin!$C$4+77),DATE(YEAR((Tahmin!$C$4+83)),MONTH((Tahmin!$C$4+83)),MIN(DAY(Kalemler!$D49),DAY(EOMONTH((Tahmin!$C$4+83),0))))&lt;=(Tahmin!$C$4+83),DATE(YEAR((Tahmin!$C$4+83)),MONTH((Tahmin!$C$4+83)),MIN(DAY(Kalemler!$D49),DAY(EOMONTH((Tahmin!$C$4+83),0))))&lt;&gt;DATE(YEAR((Tahmin!$C$4+77)),MONTH((Tahmin!$C$4+77)),MIN(DAY(Kalemler!$D49),DAY(EOMONTH((Tahmin!$C$4+77),0)))),DATE(YEAR((Tahmin!$C$4+83)),MONTH((Tahmin!$C$4+83)),MIN(DAY(Kalemler!$D49),DAY(EOMONTH((Tahmin!$C$4+83),0))))&gt;=Kalemler!$D49)),1,0),IF(AND(Kalemler!$D49&gt;=(Tahmin!$C$4+77),Kalemler!$D49&lt;=(Tahmin!$C$4+83)),1,0))))</f>
        <v>0</v>
      </c>
      <c r="N49" s="0" t="n">
        <f aca="false">IF(OR(Kalemler!$A49="",Kalemler!$C49="",Kalemler!$D49=""),0,Kalemler!$C49*IF(Kalemler!$E49="Haftalık",IF(Kalemler!$D49&lt;=(Tahmin!$C$4+90),1,0),IF(Kalemler!$E49="Aylık",IF(OR(AND(DATE(YEAR((Tahmin!$C$4+84)),MONTH((Tahmin!$C$4+84)),MIN(DAY(Kalemler!$D49),DAY(EOMONTH((Tahmin!$C$4+84),0))))&gt;=(Tahmin!$C$4+84),DATE(YEAR((Tahmin!$C$4+84)),MONTH((Tahmin!$C$4+84)),MIN(DAY(Kalemler!$D49),DAY(EOMONTH((Tahmin!$C$4+84),0))))&lt;=(Tahmin!$C$4+90),DATE(YEAR((Tahmin!$C$4+84)),MONTH((Tahmin!$C$4+84)),MIN(DAY(Kalemler!$D49),DAY(EOMONTH((Tahmin!$C$4+84),0))))&gt;=Kalemler!$D49),AND(DATE(YEAR((Tahmin!$C$4+90)),MONTH((Tahmin!$C$4+90)),MIN(DAY(Kalemler!$D49),DAY(EOMONTH((Tahmin!$C$4+90),0))))&gt;=(Tahmin!$C$4+84),DATE(YEAR((Tahmin!$C$4+90)),MONTH((Tahmin!$C$4+90)),MIN(DAY(Kalemler!$D49),DAY(EOMONTH((Tahmin!$C$4+90),0))))&lt;=(Tahmin!$C$4+90),DATE(YEAR((Tahmin!$C$4+90)),MONTH((Tahmin!$C$4+90)),MIN(DAY(Kalemler!$D49),DAY(EOMONTH((Tahmin!$C$4+90),0))))&lt;&gt;DATE(YEAR((Tahmin!$C$4+84)),MONTH((Tahmin!$C$4+84)),MIN(DAY(Kalemler!$D49),DAY(EOMONTH((Tahmin!$C$4+84),0)))),DATE(YEAR((Tahmin!$C$4+90)),MONTH((Tahmin!$C$4+90)),MIN(DAY(Kalemler!$D49),DAY(EOMONTH((Tahmin!$C$4+90),0))))&gt;=Kalemler!$D49)),1,0),IF(AND(Kalemler!$D49&gt;=(Tahmin!$C$4+84),Kalemler!$D49&lt;=(Tahmin!$C$4+90)),1,0))))</f>
        <v>0</v>
      </c>
    </row>
    <row r="50" customFormat="false" ht="15" hidden="false" customHeight="false" outlineLevel="0" collapsed="false">
      <c r="A50" s="0" t="str">
        <f aca="false">IF(Kalemler!A50="","",Kalemler!A50)</f>
        <v/>
      </c>
      <c r="B50" s="0" t="n">
        <f aca="false">IF(OR(Kalemler!$A50="",Kalemler!$C50="",Kalemler!$D50=""),0,Kalemler!$C50*IF(Kalemler!$E50="Haftalık",IF(Kalemler!$D50&lt;=(Tahmin!$C$4+6),1,0),IF(Kalemler!$E50="Aylık",IF(OR(AND(DATE(YEAR((Tahmin!$C$4+0)),MONTH((Tahmin!$C$4+0)),MIN(DAY(Kalemler!$D50),DAY(EOMONTH((Tahmin!$C$4+0),0))))&gt;=(Tahmin!$C$4+0),DATE(YEAR((Tahmin!$C$4+0)),MONTH((Tahmin!$C$4+0)),MIN(DAY(Kalemler!$D50),DAY(EOMONTH((Tahmin!$C$4+0),0))))&lt;=(Tahmin!$C$4+6),DATE(YEAR((Tahmin!$C$4+0)),MONTH((Tahmin!$C$4+0)),MIN(DAY(Kalemler!$D50),DAY(EOMONTH((Tahmin!$C$4+0),0))))&gt;=Kalemler!$D50),AND(DATE(YEAR((Tahmin!$C$4+6)),MONTH((Tahmin!$C$4+6)),MIN(DAY(Kalemler!$D50),DAY(EOMONTH((Tahmin!$C$4+6),0))))&gt;=(Tahmin!$C$4+0),DATE(YEAR((Tahmin!$C$4+6)),MONTH((Tahmin!$C$4+6)),MIN(DAY(Kalemler!$D50),DAY(EOMONTH((Tahmin!$C$4+6),0))))&lt;=(Tahmin!$C$4+6),DATE(YEAR((Tahmin!$C$4+6)),MONTH((Tahmin!$C$4+6)),MIN(DAY(Kalemler!$D50),DAY(EOMONTH((Tahmin!$C$4+6),0))))&lt;&gt;DATE(YEAR((Tahmin!$C$4+0)),MONTH((Tahmin!$C$4+0)),MIN(DAY(Kalemler!$D50),DAY(EOMONTH((Tahmin!$C$4+0),0)))),DATE(YEAR((Tahmin!$C$4+6)),MONTH((Tahmin!$C$4+6)),MIN(DAY(Kalemler!$D50),DAY(EOMONTH((Tahmin!$C$4+6),0))))&gt;=Kalemler!$D50)),1,0),IF(AND(Kalemler!$D50&gt;=(Tahmin!$C$4+0),Kalemler!$D50&lt;=(Tahmin!$C$4+6)),1,0))))</f>
        <v>0</v>
      </c>
      <c r="C50" s="0" t="n">
        <f aca="false">IF(OR(Kalemler!$A50="",Kalemler!$C50="",Kalemler!$D50=""),0,Kalemler!$C50*IF(Kalemler!$E50="Haftalık",IF(Kalemler!$D50&lt;=(Tahmin!$C$4+13),1,0),IF(Kalemler!$E50="Aylık",IF(OR(AND(DATE(YEAR((Tahmin!$C$4+7)),MONTH((Tahmin!$C$4+7)),MIN(DAY(Kalemler!$D50),DAY(EOMONTH((Tahmin!$C$4+7),0))))&gt;=(Tahmin!$C$4+7),DATE(YEAR((Tahmin!$C$4+7)),MONTH((Tahmin!$C$4+7)),MIN(DAY(Kalemler!$D50),DAY(EOMONTH((Tahmin!$C$4+7),0))))&lt;=(Tahmin!$C$4+13),DATE(YEAR((Tahmin!$C$4+7)),MONTH((Tahmin!$C$4+7)),MIN(DAY(Kalemler!$D50),DAY(EOMONTH((Tahmin!$C$4+7),0))))&gt;=Kalemler!$D50),AND(DATE(YEAR((Tahmin!$C$4+13)),MONTH((Tahmin!$C$4+13)),MIN(DAY(Kalemler!$D50),DAY(EOMONTH((Tahmin!$C$4+13),0))))&gt;=(Tahmin!$C$4+7),DATE(YEAR((Tahmin!$C$4+13)),MONTH((Tahmin!$C$4+13)),MIN(DAY(Kalemler!$D50),DAY(EOMONTH((Tahmin!$C$4+13),0))))&lt;=(Tahmin!$C$4+13),DATE(YEAR((Tahmin!$C$4+13)),MONTH((Tahmin!$C$4+13)),MIN(DAY(Kalemler!$D50),DAY(EOMONTH((Tahmin!$C$4+13),0))))&lt;&gt;DATE(YEAR((Tahmin!$C$4+7)),MONTH((Tahmin!$C$4+7)),MIN(DAY(Kalemler!$D50),DAY(EOMONTH((Tahmin!$C$4+7),0)))),DATE(YEAR((Tahmin!$C$4+13)),MONTH((Tahmin!$C$4+13)),MIN(DAY(Kalemler!$D50),DAY(EOMONTH((Tahmin!$C$4+13),0))))&gt;=Kalemler!$D50)),1,0),IF(AND(Kalemler!$D50&gt;=(Tahmin!$C$4+7),Kalemler!$D50&lt;=(Tahmin!$C$4+13)),1,0))))</f>
        <v>0</v>
      </c>
      <c r="D50" s="0" t="n">
        <f aca="false">IF(OR(Kalemler!$A50="",Kalemler!$C50="",Kalemler!$D50=""),0,Kalemler!$C50*IF(Kalemler!$E50="Haftalık",IF(Kalemler!$D50&lt;=(Tahmin!$C$4+20),1,0),IF(Kalemler!$E50="Aylık",IF(OR(AND(DATE(YEAR((Tahmin!$C$4+14)),MONTH((Tahmin!$C$4+14)),MIN(DAY(Kalemler!$D50),DAY(EOMONTH((Tahmin!$C$4+14),0))))&gt;=(Tahmin!$C$4+14),DATE(YEAR((Tahmin!$C$4+14)),MONTH((Tahmin!$C$4+14)),MIN(DAY(Kalemler!$D50),DAY(EOMONTH((Tahmin!$C$4+14),0))))&lt;=(Tahmin!$C$4+20),DATE(YEAR((Tahmin!$C$4+14)),MONTH((Tahmin!$C$4+14)),MIN(DAY(Kalemler!$D50),DAY(EOMONTH((Tahmin!$C$4+14),0))))&gt;=Kalemler!$D50),AND(DATE(YEAR((Tahmin!$C$4+20)),MONTH((Tahmin!$C$4+20)),MIN(DAY(Kalemler!$D50),DAY(EOMONTH((Tahmin!$C$4+20),0))))&gt;=(Tahmin!$C$4+14),DATE(YEAR((Tahmin!$C$4+20)),MONTH((Tahmin!$C$4+20)),MIN(DAY(Kalemler!$D50),DAY(EOMONTH((Tahmin!$C$4+20),0))))&lt;=(Tahmin!$C$4+20),DATE(YEAR((Tahmin!$C$4+20)),MONTH((Tahmin!$C$4+20)),MIN(DAY(Kalemler!$D50),DAY(EOMONTH((Tahmin!$C$4+20),0))))&lt;&gt;DATE(YEAR((Tahmin!$C$4+14)),MONTH((Tahmin!$C$4+14)),MIN(DAY(Kalemler!$D50),DAY(EOMONTH((Tahmin!$C$4+14),0)))),DATE(YEAR((Tahmin!$C$4+20)),MONTH((Tahmin!$C$4+20)),MIN(DAY(Kalemler!$D50),DAY(EOMONTH((Tahmin!$C$4+20),0))))&gt;=Kalemler!$D50)),1,0),IF(AND(Kalemler!$D50&gt;=(Tahmin!$C$4+14),Kalemler!$D50&lt;=(Tahmin!$C$4+20)),1,0))))</f>
        <v>0</v>
      </c>
      <c r="E50" s="0" t="n">
        <f aca="false">IF(OR(Kalemler!$A50="",Kalemler!$C50="",Kalemler!$D50=""),0,Kalemler!$C50*IF(Kalemler!$E50="Haftalık",IF(Kalemler!$D50&lt;=(Tahmin!$C$4+27),1,0),IF(Kalemler!$E50="Aylık",IF(OR(AND(DATE(YEAR((Tahmin!$C$4+21)),MONTH((Tahmin!$C$4+21)),MIN(DAY(Kalemler!$D50),DAY(EOMONTH((Tahmin!$C$4+21),0))))&gt;=(Tahmin!$C$4+21),DATE(YEAR((Tahmin!$C$4+21)),MONTH((Tahmin!$C$4+21)),MIN(DAY(Kalemler!$D50),DAY(EOMONTH((Tahmin!$C$4+21),0))))&lt;=(Tahmin!$C$4+27),DATE(YEAR((Tahmin!$C$4+21)),MONTH((Tahmin!$C$4+21)),MIN(DAY(Kalemler!$D50),DAY(EOMONTH((Tahmin!$C$4+21),0))))&gt;=Kalemler!$D50),AND(DATE(YEAR((Tahmin!$C$4+27)),MONTH((Tahmin!$C$4+27)),MIN(DAY(Kalemler!$D50),DAY(EOMONTH((Tahmin!$C$4+27),0))))&gt;=(Tahmin!$C$4+21),DATE(YEAR((Tahmin!$C$4+27)),MONTH((Tahmin!$C$4+27)),MIN(DAY(Kalemler!$D50),DAY(EOMONTH((Tahmin!$C$4+27),0))))&lt;=(Tahmin!$C$4+27),DATE(YEAR((Tahmin!$C$4+27)),MONTH((Tahmin!$C$4+27)),MIN(DAY(Kalemler!$D50),DAY(EOMONTH((Tahmin!$C$4+27),0))))&lt;&gt;DATE(YEAR((Tahmin!$C$4+21)),MONTH((Tahmin!$C$4+21)),MIN(DAY(Kalemler!$D50),DAY(EOMONTH((Tahmin!$C$4+21),0)))),DATE(YEAR((Tahmin!$C$4+27)),MONTH((Tahmin!$C$4+27)),MIN(DAY(Kalemler!$D50),DAY(EOMONTH((Tahmin!$C$4+27),0))))&gt;=Kalemler!$D50)),1,0),IF(AND(Kalemler!$D50&gt;=(Tahmin!$C$4+21),Kalemler!$D50&lt;=(Tahmin!$C$4+27)),1,0))))</f>
        <v>0</v>
      </c>
      <c r="F50" s="0" t="n">
        <f aca="false">IF(OR(Kalemler!$A50="",Kalemler!$C50="",Kalemler!$D50=""),0,Kalemler!$C50*IF(Kalemler!$E50="Haftalık",IF(Kalemler!$D50&lt;=(Tahmin!$C$4+34),1,0),IF(Kalemler!$E50="Aylık",IF(OR(AND(DATE(YEAR((Tahmin!$C$4+28)),MONTH((Tahmin!$C$4+28)),MIN(DAY(Kalemler!$D50),DAY(EOMONTH((Tahmin!$C$4+28),0))))&gt;=(Tahmin!$C$4+28),DATE(YEAR((Tahmin!$C$4+28)),MONTH((Tahmin!$C$4+28)),MIN(DAY(Kalemler!$D50),DAY(EOMONTH((Tahmin!$C$4+28),0))))&lt;=(Tahmin!$C$4+34),DATE(YEAR((Tahmin!$C$4+28)),MONTH((Tahmin!$C$4+28)),MIN(DAY(Kalemler!$D50),DAY(EOMONTH((Tahmin!$C$4+28),0))))&gt;=Kalemler!$D50),AND(DATE(YEAR((Tahmin!$C$4+34)),MONTH((Tahmin!$C$4+34)),MIN(DAY(Kalemler!$D50),DAY(EOMONTH((Tahmin!$C$4+34),0))))&gt;=(Tahmin!$C$4+28),DATE(YEAR((Tahmin!$C$4+34)),MONTH((Tahmin!$C$4+34)),MIN(DAY(Kalemler!$D50),DAY(EOMONTH((Tahmin!$C$4+34),0))))&lt;=(Tahmin!$C$4+34),DATE(YEAR((Tahmin!$C$4+34)),MONTH((Tahmin!$C$4+34)),MIN(DAY(Kalemler!$D50),DAY(EOMONTH((Tahmin!$C$4+34),0))))&lt;&gt;DATE(YEAR((Tahmin!$C$4+28)),MONTH((Tahmin!$C$4+28)),MIN(DAY(Kalemler!$D50),DAY(EOMONTH((Tahmin!$C$4+28),0)))),DATE(YEAR((Tahmin!$C$4+34)),MONTH((Tahmin!$C$4+34)),MIN(DAY(Kalemler!$D50),DAY(EOMONTH((Tahmin!$C$4+34),0))))&gt;=Kalemler!$D50)),1,0),IF(AND(Kalemler!$D50&gt;=(Tahmin!$C$4+28),Kalemler!$D50&lt;=(Tahmin!$C$4+34)),1,0))))</f>
        <v>0</v>
      </c>
      <c r="G50" s="0" t="n">
        <f aca="false">IF(OR(Kalemler!$A50="",Kalemler!$C50="",Kalemler!$D50=""),0,Kalemler!$C50*IF(Kalemler!$E50="Haftalık",IF(Kalemler!$D50&lt;=(Tahmin!$C$4+41),1,0),IF(Kalemler!$E50="Aylık",IF(OR(AND(DATE(YEAR((Tahmin!$C$4+35)),MONTH((Tahmin!$C$4+35)),MIN(DAY(Kalemler!$D50),DAY(EOMONTH((Tahmin!$C$4+35),0))))&gt;=(Tahmin!$C$4+35),DATE(YEAR((Tahmin!$C$4+35)),MONTH((Tahmin!$C$4+35)),MIN(DAY(Kalemler!$D50),DAY(EOMONTH((Tahmin!$C$4+35),0))))&lt;=(Tahmin!$C$4+41),DATE(YEAR((Tahmin!$C$4+35)),MONTH((Tahmin!$C$4+35)),MIN(DAY(Kalemler!$D50),DAY(EOMONTH((Tahmin!$C$4+35),0))))&gt;=Kalemler!$D50),AND(DATE(YEAR((Tahmin!$C$4+41)),MONTH((Tahmin!$C$4+41)),MIN(DAY(Kalemler!$D50),DAY(EOMONTH((Tahmin!$C$4+41),0))))&gt;=(Tahmin!$C$4+35),DATE(YEAR((Tahmin!$C$4+41)),MONTH((Tahmin!$C$4+41)),MIN(DAY(Kalemler!$D50),DAY(EOMONTH((Tahmin!$C$4+41),0))))&lt;=(Tahmin!$C$4+41),DATE(YEAR((Tahmin!$C$4+41)),MONTH((Tahmin!$C$4+41)),MIN(DAY(Kalemler!$D50),DAY(EOMONTH((Tahmin!$C$4+41),0))))&lt;&gt;DATE(YEAR((Tahmin!$C$4+35)),MONTH((Tahmin!$C$4+35)),MIN(DAY(Kalemler!$D50),DAY(EOMONTH((Tahmin!$C$4+35),0)))),DATE(YEAR((Tahmin!$C$4+41)),MONTH((Tahmin!$C$4+41)),MIN(DAY(Kalemler!$D50),DAY(EOMONTH((Tahmin!$C$4+41),0))))&gt;=Kalemler!$D50)),1,0),IF(AND(Kalemler!$D50&gt;=(Tahmin!$C$4+35),Kalemler!$D50&lt;=(Tahmin!$C$4+41)),1,0))))</f>
        <v>0</v>
      </c>
      <c r="H50" s="0" t="n">
        <f aca="false">IF(OR(Kalemler!$A50="",Kalemler!$C50="",Kalemler!$D50=""),0,Kalemler!$C50*IF(Kalemler!$E50="Haftalık",IF(Kalemler!$D50&lt;=(Tahmin!$C$4+48),1,0),IF(Kalemler!$E50="Aylık",IF(OR(AND(DATE(YEAR((Tahmin!$C$4+42)),MONTH((Tahmin!$C$4+42)),MIN(DAY(Kalemler!$D50),DAY(EOMONTH((Tahmin!$C$4+42),0))))&gt;=(Tahmin!$C$4+42),DATE(YEAR((Tahmin!$C$4+42)),MONTH((Tahmin!$C$4+42)),MIN(DAY(Kalemler!$D50),DAY(EOMONTH((Tahmin!$C$4+42),0))))&lt;=(Tahmin!$C$4+48),DATE(YEAR((Tahmin!$C$4+42)),MONTH((Tahmin!$C$4+42)),MIN(DAY(Kalemler!$D50),DAY(EOMONTH((Tahmin!$C$4+42),0))))&gt;=Kalemler!$D50),AND(DATE(YEAR((Tahmin!$C$4+48)),MONTH((Tahmin!$C$4+48)),MIN(DAY(Kalemler!$D50),DAY(EOMONTH((Tahmin!$C$4+48),0))))&gt;=(Tahmin!$C$4+42),DATE(YEAR((Tahmin!$C$4+48)),MONTH((Tahmin!$C$4+48)),MIN(DAY(Kalemler!$D50),DAY(EOMONTH((Tahmin!$C$4+48),0))))&lt;=(Tahmin!$C$4+48),DATE(YEAR((Tahmin!$C$4+48)),MONTH((Tahmin!$C$4+48)),MIN(DAY(Kalemler!$D50),DAY(EOMONTH((Tahmin!$C$4+48),0))))&lt;&gt;DATE(YEAR((Tahmin!$C$4+42)),MONTH((Tahmin!$C$4+42)),MIN(DAY(Kalemler!$D50),DAY(EOMONTH((Tahmin!$C$4+42),0)))),DATE(YEAR((Tahmin!$C$4+48)),MONTH((Tahmin!$C$4+48)),MIN(DAY(Kalemler!$D50),DAY(EOMONTH((Tahmin!$C$4+48),0))))&gt;=Kalemler!$D50)),1,0),IF(AND(Kalemler!$D50&gt;=(Tahmin!$C$4+42),Kalemler!$D50&lt;=(Tahmin!$C$4+48)),1,0))))</f>
        <v>0</v>
      </c>
      <c r="I50" s="0" t="n">
        <f aca="false">IF(OR(Kalemler!$A50="",Kalemler!$C50="",Kalemler!$D50=""),0,Kalemler!$C50*IF(Kalemler!$E50="Haftalık",IF(Kalemler!$D50&lt;=(Tahmin!$C$4+55),1,0),IF(Kalemler!$E50="Aylık",IF(OR(AND(DATE(YEAR((Tahmin!$C$4+49)),MONTH((Tahmin!$C$4+49)),MIN(DAY(Kalemler!$D50),DAY(EOMONTH((Tahmin!$C$4+49),0))))&gt;=(Tahmin!$C$4+49),DATE(YEAR((Tahmin!$C$4+49)),MONTH((Tahmin!$C$4+49)),MIN(DAY(Kalemler!$D50),DAY(EOMONTH((Tahmin!$C$4+49),0))))&lt;=(Tahmin!$C$4+55),DATE(YEAR((Tahmin!$C$4+49)),MONTH((Tahmin!$C$4+49)),MIN(DAY(Kalemler!$D50),DAY(EOMONTH((Tahmin!$C$4+49),0))))&gt;=Kalemler!$D50),AND(DATE(YEAR((Tahmin!$C$4+55)),MONTH((Tahmin!$C$4+55)),MIN(DAY(Kalemler!$D50),DAY(EOMONTH((Tahmin!$C$4+55),0))))&gt;=(Tahmin!$C$4+49),DATE(YEAR((Tahmin!$C$4+55)),MONTH((Tahmin!$C$4+55)),MIN(DAY(Kalemler!$D50),DAY(EOMONTH((Tahmin!$C$4+55),0))))&lt;=(Tahmin!$C$4+55),DATE(YEAR((Tahmin!$C$4+55)),MONTH((Tahmin!$C$4+55)),MIN(DAY(Kalemler!$D50),DAY(EOMONTH((Tahmin!$C$4+55),0))))&lt;&gt;DATE(YEAR((Tahmin!$C$4+49)),MONTH((Tahmin!$C$4+49)),MIN(DAY(Kalemler!$D50),DAY(EOMONTH((Tahmin!$C$4+49),0)))),DATE(YEAR((Tahmin!$C$4+55)),MONTH((Tahmin!$C$4+55)),MIN(DAY(Kalemler!$D50),DAY(EOMONTH((Tahmin!$C$4+55),0))))&gt;=Kalemler!$D50)),1,0),IF(AND(Kalemler!$D50&gt;=(Tahmin!$C$4+49),Kalemler!$D50&lt;=(Tahmin!$C$4+55)),1,0))))</f>
        <v>0</v>
      </c>
      <c r="J50" s="0" t="n">
        <f aca="false">IF(OR(Kalemler!$A50="",Kalemler!$C50="",Kalemler!$D50=""),0,Kalemler!$C50*IF(Kalemler!$E50="Haftalık",IF(Kalemler!$D50&lt;=(Tahmin!$C$4+62),1,0),IF(Kalemler!$E50="Aylık",IF(OR(AND(DATE(YEAR((Tahmin!$C$4+56)),MONTH((Tahmin!$C$4+56)),MIN(DAY(Kalemler!$D50),DAY(EOMONTH((Tahmin!$C$4+56),0))))&gt;=(Tahmin!$C$4+56),DATE(YEAR((Tahmin!$C$4+56)),MONTH((Tahmin!$C$4+56)),MIN(DAY(Kalemler!$D50),DAY(EOMONTH((Tahmin!$C$4+56),0))))&lt;=(Tahmin!$C$4+62),DATE(YEAR((Tahmin!$C$4+56)),MONTH((Tahmin!$C$4+56)),MIN(DAY(Kalemler!$D50),DAY(EOMONTH((Tahmin!$C$4+56),0))))&gt;=Kalemler!$D50),AND(DATE(YEAR((Tahmin!$C$4+62)),MONTH((Tahmin!$C$4+62)),MIN(DAY(Kalemler!$D50),DAY(EOMONTH((Tahmin!$C$4+62),0))))&gt;=(Tahmin!$C$4+56),DATE(YEAR((Tahmin!$C$4+62)),MONTH((Tahmin!$C$4+62)),MIN(DAY(Kalemler!$D50),DAY(EOMONTH((Tahmin!$C$4+62),0))))&lt;=(Tahmin!$C$4+62),DATE(YEAR((Tahmin!$C$4+62)),MONTH((Tahmin!$C$4+62)),MIN(DAY(Kalemler!$D50),DAY(EOMONTH((Tahmin!$C$4+62),0))))&lt;&gt;DATE(YEAR((Tahmin!$C$4+56)),MONTH((Tahmin!$C$4+56)),MIN(DAY(Kalemler!$D50),DAY(EOMONTH((Tahmin!$C$4+56),0)))),DATE(YEAR((Tahmin!$C$4+62)),MONTH((Tahmin!$C$4+62)),MIN(DAY(Kalemler!$D50),DAY(EOMONTH((Tahmin!$C$4+62),0))))&gt;=Kalemler!$D50)),1,0),IF(AND(Kalemler!$D50&gt;=(Tahmin!$C$4+56),Kalemler!$D50&lt;=(Tahmin!$C$4+62)),1,0))))</f>
        <v>0</v>
      </c>
      <c r="K50" s="0" t="n">
        <f aca="false">IF(OR(Kalemler!$A50="",Kalemler!$C50="",Kalemler!$D50=""),0,Kalemler!$C50*IF(Kalemler!$E50="Haftalık",IF(Kalemler!$D50&lt;=(Tahmin!$C$4+69),1,0),IF(Kalemler!$E50="Aylık",IF(OR(AND(DATE(YEAR((Tahmin!$C$4+63)),MONTH((Tahmin!$C$4+63)),MIN(DAY(Kalemler!$D50),DAY(EOMONTH((Tahmin!$C$4+63),0))))&gt;=(Tahmin!$C$4+63),DATE(YEAR((Tahmin!$C$4+63)),MONTH((Tahmin!$C$4+63)),MIN(DAY(Kalemler!$D50),DAY(EOMONTH((Tahmin!$C$4+63),0))))&lt;=(Tahmin!$C$4+69),DATE(YEAR((Tahmin!$C$4+63)),MONTH((Tahmin!$C$4+63)),MIN(DAY(Kalemler!$D50),DAY(EOMONTH((Tahmin!$C$4+63),0))))&gt;=Kalemler!$D50),AND(DATE(YEAR((Tahmin!$C$4+69)),MONTH((Tahmin!$C$4+69)),MIN(DAY(Kalemler!$D50),DAY(EOMONTH((Tahmin!$C$4+69),0))))&gt;=(Tahmin!$C$4+63),DATE(YEAR((Tahmin!$C$4+69)),MONTH((Tahmin!$C$4+69)),MIN(DAY(Kalemler!$D50),DAY(EOMONTH((Tahmin!$C$4+69),0))))&lt;=(Tahmin!$C$4+69),DATE(YEAR((Tahmin!$C$4+69)),MONTH((Tahmin!$C$4+69)),MIN(DAY(Kalemler!$D50),DAY(EOMONTH((Tahmin!$C$4+69),0))))&lt;&gt;DATE(YEAR((Tahmin!$C$4+63)),MONTH((Tahmin!$C$4+63)),MIN(DAY(Kalemler!$D50),DAY(EOMONTH((Tahmin!$C$4+63),0)))),DATE(YEAR((Tahmin!$C$4+69)),MONTH((Tahmin!$C$4+69)),MIN(DAY(Kalemler!$D50),DAY(EOMONTH((Tahmin!$C$4+69),0))))&gt;=Kalemler!$D50)),1,0),IF(AND(Kalemler!$D50&gt;=(Tahmin!$C$4+63),Kalemler!$D50&lt;=(Tahmin!$C$4+69)),1,0))))</f>
        <v>0</v>
      </c>
      <c r="L50" s="0" t="n">
        <f aca="false">IF(OR(Kalemler!$A50="",Kalemler!$C50="",Kalemler!$D50=""),0,Kalemler!$C50*IF(Kalemler!$E50="Haftalık",IF(Kalemler!$D50&lt;=(Tahmin!$C$4+76),1,0),IF(Kalemler!$E50="Aylık",IF(OR(AND(DATE(YEAR((Tahmin!$C$4+70)),MONTH((Tahmin!$C$4+70)),MIN(DAY(Kalemler!$D50),DAY(EOMONTH((Tahmin!$C$4+70),0))))&gt;=(Tahmin!$C$4+70),DATE(YEAR((Tahmin!$C$4+70)),MONTH((Tahmin!$C$4+70)),MIN(DAY(Kalemler!$D50),DAY(EOMONTH((Tahmin!$C$4+70),0))))&lt;=(Tahmin!$C$4+76),DATE(YEAR((Tahmin!$C$4+70)),MONTH((Tahmin!$C$4+70)),MIN(DAY(Kalemler!$D50),DAY(EOMONTH((Tahmin!$C$4+70),0))))&gt;=Kalemler!$D50),AND(DATE(YEAR((Tahmin!$C$4+76)),MONTH((Tahmin!$C$4+76)),MIN(DAY(Kalemler!$D50),DAY(EOMONTH((Tahmin!$C$4+76),0))))&gt;=(Tahmin!$C$4+70),DATE(YEAR((Tahmin!$C$4+76)),MONTH((Tahmin!$C$4+76)),MIN(DAY(Kalemler!$D50),DAY(EOMONTH((Tahmin!$C$4+76),0))))&lt;=(Tahmin!$C$4+76),DATE(YEAR((Tahmin!$C$4+76)),MONTH((Tahmin!$C$4+76)),MIN(DAY(Kalemler!$D50),DAY(EOMONTH((Tahmin!$C$4+76),0))))&lt;&gt;DATE(YEAR((Tahmin!$C$4+70)),MONTH((Tahmin!$C$4+70)),MIN(DAY(Kalemler!$D50),DAY(EOMONTH((Tahmin!$C$4+70),0)))),DATE(YEAR((Tahmin!$C$4+76)),MONTH((Tahmin!$C$4+76)),MIN(DAY(Kalemler!$D50),DAY(EOMONTH((Tahmin!$C$4+76),0))))&gt;=Kalemler!$D50)),1,0),IF(AND(Kalemler!$D50&gt;=(Tahmin!$C$4+70),Kalemler!$D50&lt;=(Tahmin!$C$4+76)),1,0))))</f>
        <v>0</v>
      </c>
      <c r="M50" s="0" t="n">
        <f aca="false">IF(OR(Kalemler!$A50="",Kalemler!$C50="",Kalemler!$D50=""),0,Kalemler!$C50*IF(Kalemler!$E50="Haftalık",IF(Kalemler!$D50&lt;=(Tahmin!$C$4+83),1,0),IF(Kalemler!$E50="Aylık",IF(OR(AND(DATE(YEAR((Tahmin!$C$4+77)),MONTH((Tahmin!$C$4+77)),MIN(DAY(Kalemler!$D50),DAY(EOMONTH((Tahmin!$C$4+77),0))))&gt;=(Tahmin!$C$4+77),DATE(YEAR((Tahmin!$C$4+77)),MONTH((Tahmin!$C$4+77)),MIN(DAY(Kalemler!$D50),DAY(EOMONTH((Tahmin!$C$4+77),0))))&lt;=(Tahmin!$C$4+83),DATE(YEAR((Tahmin!$C$4+77)),MONTH((Tahmin!$C$4+77)),MIN(DAY(Kalemler!$D50),DAY(EOMONTH((Tahmin!$C$4+77),0))))&gt;=Kalemler!$D50),AND(DATE(YEAR((Tahmin!$C$4+83)),MONTH((Tahmin!$C$4+83)),MIN(DAY(Kalemler!$D50),DAY(EOMONTH((Tahmin!$C$4+83),0))))&gt;=(Tahmin!$C$4+77),DATE(YEAR((Tahmin!$C$4+83)),MONTH((Tahmin!$C$4+83)),MIN(DAY(Kalemler!$D50),DAY(EOMONTH((Tahmin!$C$4+83),0))))&lt;=(Tahmin!$C$4+83),DATE(YEAR((Tahmin!$C$4+83)),MONTH((Tahmin!$C$4+83)),MIN(DAY(Kalemler!$D50),DAY(EOMONTH((Tahmin!$C$4+83),0))))&lt;&gt;DATE(YEAR((Tahmin!$C$4+77)),MONTH((Tahmin!$C$4+77)),MIN(DAY(Kalemler!$D50),DAY(EOMONTH((Tahmin!$C$4+77),0)))),DATE(YEAR((Tahmin!$C$4+83)),MONTH((Tahmin!$C$4+83)),MIN(DAY(Kalemler!$D50),DAY(EOMONTH((Tahmin!$C$4+83),0))))&gt;=Kalemler!$D50)),1,0),IF(AND(Kalemler!$D50&gt;=(Tahmin!$C$4+77),Kalemler!$D50&lt;=(Tahmin!$C$4+83)),1,0))))</f>
        <v>0</v>
      </c>
      <c r="N50" s="0" t="n">
        <f aca="false">IF(OR(Kalemler!$A50="",Kalemler!$C50="",Kalemler!$D50=""),0,Kalemler!$C50*IF(Kalemler!$E50="Haftalık",IF(Kalemler!$D50&lt;=(Tahmin!$C$4+90),1,0),IF(Kalemler!$E50="Aylık",IF(OR(AND(DATE(YEAR((Tahmin!$C$4+84)),MONTH((Tahmin!$C$4+84)),MIN(DAY(Kalemler!$D50),DAY(EOMONTH((Tahmin!$C$4+84),0))))&gt;=(Tahmin!$C$4+84),DATE(YEAR((Tahmin!$C$4+84)),MONTH((Tahmin!$C$4+84)),MIN(DAY(Kalemler!$D50),DAY(EOMONTH((Tahmin!$C$4+84),0))))&lt;=(Tahmin!$C$4+90),DATE(YEAR((Tahmin!$C$4+84)),MONTH((Tahmin!$C$4+84)),MIN(DAY(Kalemler!$D50),DAY(EOMONTH((Tahmin!$C$4+84),0))))&gt;=Kalemler!$D50),AND(DATE(YEAR((Tahmin!$C$4+90)),MONTH((Tahmin!$C$4+90)),MIN(DAY(Kalemler!$D50),DAY(EOMONTH((Tahmin!$C$4+90),0))))&gt;=(Tahmin!$C$4+84),DATE(YEAR((Tahmin!$C$4+90)),MONTH((Tahmin!$C$4+90)),MIN(DAY(Kalemler!$D50),DAY(EOMONTH((Tahmin!$C$4+90),0))))&lt;=(Tahmin!$C$4+90),DATE(YEAR((Tahmin!$C$4+90)),MONTH((Tahmin!$C$4+90)),MIN(DAY(Kalemler!$D50),DAY(EOMONTH((Tahmin!$C$4+90),0))))&lt;&gt;DATE(YEAR((Tahmin!$C$4+84)),MONTH((Tahmin!$C$4+84)),MIN(DAY(Kalemler!$D50),DAY(EOMONTH((Tahmin!$C$4+84),0)))),DATE(YEAR((Tahmin!$C$4+90)),MONTH((Tahmin!$C$4+90)),MIN(DAY(Kalemler!$D50),DAY(EOMONTH((Tahmin!$C$4+90),0))))&gt;=Kalemler!$D50)),1,0),IF(AND(Kalemler!$D50&gt;=(Tahmin!$C$4+84),Kalemler!$D50&lt;=(Tahmin!$C$4+90)),1,0))))</f>
        <v>0</v>
      </c>
    </row>
    <row r="51" customFormat="false" ht="15" hidden="false" customHeight="false" outlineLevel="0" collapsed="false">
      <c r="A51" s="0" t="str">
        <f aca="false">IF(Kalemler!A51="","",Kalemler!A51)</f>
        <v/>
      </c>
      <c r="B51" s="0" t="n">
        <f aca="false">IF(OR(Kalemler!$A51="",Kalemler!$C51="",Kalemler!$D51=""),0,Kalemler!$C51*IF(Kalemler!$E51="Haftalık",IF(Kalemler!$D51&lt;=(Tahmin!$C$4+6),1,0),IF(Kalemler!$E51="Aylık",IF(OR(AND(DATE(YEAR((Tahmin!$C$4+0)),MONTH((Tahmin!$C$4+0)),MIN(DAY(Kalemler!$D51),DAY(EOMONTH((Tahmin!$C$4+0),0))))&gt;=(Tahmin!$C$4+0),DATE(YEAR((Tahmin!$C$4+0)),MONTH((Tahmin!$C$4+0)),MIN(DAY(Kalemler!$D51),DAY(EOMONTH((Tahmin!$C$4+0),0))))&lt;=(Tahmin!$C$4+6),DATE(YEAR((Tahmin!$C$4+0)),MONTH((Tahmin!$C$4+0)),MIN(DAY(Kalemler!$D51),DAY(EOMONTH((Tahmin!$C$4+0),0))))&gt;=Kalemler!$D51),AND(DATE(YEAR((Tahmin!$C$4+6)),MONTH((Tahmin!$C$4+6)),MIN(DAY(Kalemler!$D51),DAY(EOMONTH((Tahmin!$C$4+6),0))))&gt;=(Tahmin!$C$4+0),DATE(YEAR((Tahmin!$C$4+6)),MONTH((Tahmin!$C$4+6)),MIN(DAY(Kalemler!$D51),DAY(EOMONTH((Tahmin!$C$4+6),0))))&lt;=(Tahmin!$C$4+6),DATE(YEAR((Tahmin!$C$4+6)),MONTH((Tahmin!$C$4+6)),MIN(DAY(Kalemler!$D51),DAY(EOMONTH((Tahmin!$C$4+6),0))))&lt;&gt;DATE(YEAR((Tahmin!$C$4+0)),MONTH((Tahmin!$C$4+0)),MIN(DAY(Kalemler!$D51),DAY(EOMONTH((Tahmin!$C$4+0),0)))),DATE(YEAR((Tahmin!$C$4+6)),MONTH((Tahmin!$C$4+6)),MIN(DAY(Kalemler!$D51),DAY(EOMONTH((Tahmin!$C$4+6),0))))&gt;=Kalemler!$D51)),1,0),IF(AND(Kalemler!$D51&gt;=(Tahmin!$C$4+0),Kalemler!$D51&lt;=(Tahmin!$C$4+6)),1,0))))</f>
        <v>0</v>
      </c>
      <c r="C51" s="0" t="n">
        <f aca="false">IF(OR(Kalemler!$A51="",Kalemler!$C51="",Kalemler!$D51=""),0,Kalemler!$C51*IF(Kalemler!$E51="Haftalık",IF(Kalemler!$D51&lt;=(Tahmin!$C$4+13),1,0),IF(Kalemler!$E51="Aylık",IF(OR(AND(DATE(YEAR((Tahmin!$C$4+7)),MONTH((Tahmin!$C$4+7)),MIN(DAY(Kalemler!$D51),DAY(EOMONTH((Tahmin!$C$4+7),0))))&gt;=(Tahmin!$C$4+7),DATE(YEAR((Tahmin!$C$4+7)),MONTH((Tahmin!$C$4+7)),MIN(DAY(Kalemler!$D51),DAY(EOMONTH((Tahmin!$C$4+7),0))))&lt;=(Tahmin!$C$4+13),DATE(YEAR((Tahmin!$C$4+7)),MONTH((Tahmin!$C$4+7)),MIN(DAY(Kalemler!$D51),DAY(EOMONTH((Tahmin!$C$4+7),0))))&gt;=Kalemler!$D51),AND(DATE(YEAR((Tahmin!$C$4+13)),MONTH((Tahmin!$C$4+13)),MIN(DAY(Kalemler!$D51),DAY(EOMONTH((Tahmin!$C$4+13),0))))&gt;=(Tahmin!$C$4+7),DATE(YEAR((Tahmin!$C$4+13)),MONTH((Tahmin!$C$4+13)),MIN(DAY(Kalemler!$D51),DAY(EOMONTH((Tahmin!$C$4+13),0))))&lt;=(Tahmin!$C$4+13),DATE(YEAR((Tahmin!$C$4+13)),MONTH((Tahmin!$C$4+13)),MIN(DAY(Kalemler!$D51),DAY(EOMONTH((Tahmin!$C$4+13),0))))&lt;&gt;DATE(YEAR((Tahmin!$C$4+7)),MONTH((Tahmin!$C$4+7)),MIN(DAY(Kalemler!$D51),DAY(EOMONTH((Tahmin!$C$4+7),0)))),DATE(YEAR((Tahmin!$C$4+13)),MONTH((Tahmin!$C$4+13)),MIN(DAY(Kalemler!$D51),DAY(EOMONTH((Tahmin!$C$4+13),0))))&gt;=Kalemler!$D51)),1,0),IF(AND(Kalemler!$D51&gt;=(Tahmin!$C$4+7),Kalemler!$D51&lt;=(Tahmin!$C$4+13)),1,0))))</f>
        <v>0</v>
      </c>
      <c r="D51" s="0" t="n">
        <f aca="false">IF(OR(Kalemler!$A51="",Kalemler!$C51="",Kalemler!$D51=""),0,Kalemler!$C51*IF(Kalemler!$E51="Haftalık",IF(Kalemler!$D51&lt;=(Tahmin!$C$4+20),1,0),IF(Kalemler!$E51="Aylık",IF(OR(AND(DATE(YEAR((Tahmin!$C$4+14)),MONTH((Tahmin!$C$4+14)),MIN(DAY(Kalemler!$D51),DAY(EOMONTH((Tahmin!$C$4+14),0))))&gt;=(Tahmin!$C$4+14),DATE(YEAR((Tahmin!$C$4+14)),MONTH((Tahmin!$C$4+14)),MIN(DAY(Kalemler!$D51),DAY(EOMONTH((Tahmin!$C$4+14),0))))&lt;=(Tahmin!$C$4+20),DATE(YEAR((Tahmin!$C$4+14)),MONTH((Tahmin!$C$4+14)),MIN(DAY(Kalemler!$D51),DAY(EOMONTH((Tahmin!$C$4+14),0))))&gt;=Kalemler!$D51),AND(DATE(YEAR((Tahmin!$C$4+20)),MONTH((Tahmin!$C$4+20)),MIN(DAY(Kalemler!$D51),DAY(EOMONTH((Tahmin!$C$4+20),0))))&gt;=(Tahmin!$C$4+14),DATE(YEAR((Tahmin!$C$4+20)),MONTH((Tahmin!$C$4+20)),MIN(DAY(Kalemler!$D51),DAY(EOMONTH((Tahmin!$C$4+20),0))))&lt;=(Tahmin!$C$4+20),DATE(YEAR((Tahmin!$C$4+20)),MONTH((Tahmin!$C$4+20)),MIN(DAY(Kalemler!$D51),DAY(EOMONTH((Tahmin!$C$4+20),0))))&lt;&gt;DATE(YEAR((Tahmin!$C$4+14)),MONTH((Tahmin!$C$4+14)),MIN(DAY(Kalemler!$D51),DAY(EOMONTH((Tahmin!$C$4+14),0)))),DATE(YEAR((Tahmin!$C$4+20)),MONTH((Tahmin!$C$4+20)),MIN(DAY(Kalemler!$D51),DAY(EOMONTH((Tahmin!$C$4+20),0))))&gt;=Kalemler!$D51)),1,0),IF(AND(Kalemler!$D51&gt;=(Tahmin!$C$4+14),Kalemler!$D51&lt;=(Tahmin!$C$4+20)),1,0))))</f>
        <v>0</v>
      </c>
      <c r="E51" s="0" t="n">
        <f aca="false">IF(OR(Kalemler!$A51="",Kalemler!$C51="",Kalemler!$D51=""),0,Kalemler!$C51*IF(Kalemler!$E51="Haftalık",IF(Kalemler!$D51&lt;=(Tahmin!$C$4+27),1,0),IF(Kalemler!$E51="Aylık",IF(OR(AND(DATE(YEAR((Tahmin!$C$4+21)),MONTH((Tahmin!$C$4+21)),MIN(DAY(Kalemler!$D51),DAY(EOMONTH((Tahmin!$C$4+21),0))))&gt;=(Tahmin!$C$4+21),DATE(YEAR((Tahmin!$C$4+21)),MONTH((Tahmin!$C$4+21)),MIN(DAY(Kalemler!$D51),DAY(EOMONTH((Tahmin!$C$4+21),0))))&lt;=(Tahmin!$C$4+27),DATE(YEAR((Tahmin!$C$4+21)),MONTH((Tahmin!$C$4+21)),MIN(DAY(Kalemler!$D51),DAY(EOMONTH((Tahmin!$C$4+21),0))))&gt;=Kalemler!$D51),AND(DATE(YEAR((Tahmin!$C$4+27)),MONTH((Tahmin!$C$4+27)),MIN(DAY(Kalemler!$D51),DAY(EOMONTH((Tahmin!$C$4+27),0))))&gt;=(Tahmin!$C$4+21),DATE(YEAR((Tahmin!$C$4+27)),MONTH((Tahmin!$C$4+27)),MIN(DAY(Kalemler!$D51),DAY(EOMONTH((Tahmin!$C$4+27),0))))&lt;=(Tahmin!$C$4+27),DATE(YEAR((Tahmin!$C$4+27)),MONTH((Tahmin!$C$4+27)),MIN(DAY(Kalemler!$D51),DAY(EOMONTH((Tahmin!$C$4+27),0))))&lt;&gt;DATE(YEAR((Tahmin!$C$4+21)),MONTH((Tahmin!$C$4+21)),MIN(DAY(Kalemler!$D51),DAY(EOMONTH((Tahmin!$C$4+21),0)))),DATE(YEAR((Tahmin!$C$4+27)),MONTH((Tahmin!$C$4+27)),MIN(DAY(Kalemler!$D51),DAY(EOMONTH((Tahmin!$C$4+27),0))))&gt;=Kalemler!$D51)),1,0),IF(AND(Kalemler!$D51&gt;=(Tahmin!$C$4+21),Kalemler!$D51&lt;=(Tahmin!$C$4+27)),1,0))))</f>
        <v>0</v>
      </c>
      <c r="F51" s="0" t="n">
        <f aca="false">IF(OR(Kalemler!$A51="",Kalemler!$C51="",Kalemler!$D51=""),0,Kalemler!$C51*IF(Kalemler!$E51="Haftalık",IF(Kalemler!$D51&lt;=(Tahmin!$C$4+34),1,0),IF(Kalemler!$E51="Aylık",IF(OR(AND(DATE(YEAR((Tahmin!$C$4+28)),MONTH((Tahmin!$C$4+28)),MIN(DAY(Kalemler!$D51),DAY(EOMONTH((Tahmin!$C$4+28),0))))&gt;=(Tahmin!$C$4+28),DATE(YEAR((Tahmin!$C$4+28)),MONTH((Tahmin!$C$4+28)),MIN(DAY(Kalemler!$D51),DAY(EOMONTH((Tahmin!$C$4+28),0))))&lt;=(Tahmin!$C$4+34),DATE(YEAR((Tahmin!$C$4+28)),MONTH((Tahmin!$C$4+28)),MIN(DAY(Kalemler!$D51),DAY(EOMONTH((Tahmin!$C$4+28),0))))&gt;=Kalemler!$D51),AND(DATE(YEAR((Tahmin!$C$4+34)),MONTH((Tahmin!$C$4+34)),MIN(DAY(Kalemler!$D51),DAY(EOMONTH((Tahmin!$C$4+34),0))))&gt;=(Tahmin!$C$4+28),DATE(YEAR((Tahmin!$C$4+34)),MONTH((Tahmin!$C$4+34)),MIN(DAY(Kalemler!$D51),DAY(EOMONTH((Tahmin!$C$4+34),0))))&lt;=(Tahmin!$C$4+34),DATE(YEAR((Tahmin!$C$4+34)),MONTH((Tahmin!$C$4+34)),MIN(DAY(Kalemler!$D51),DAY(EOMONTH((Tahmin!$C$4+34),0))))&lt;&gt;DATE(YEAR((Tahmin!$C$4+28)),MONTH((Tahmin!$C$4+28)),MIN(DAY(Kalemler!$D51),DAY(EOMONTH((Tahmin!$C$4+28),0)))),DATE(YEAR((Tahmin!$C$4+34)),MONTH((Tahmin!$C$4+34)),MIN(DAY(Kalemler!$D51),DAY(EOMONTH((Tahmin!$C$4+34),0))))&gt;=Kalemler!$D51)),1,0),IF(AND(Kalemler!$D51&gt;=(Tahmin!$C$4+28),Kalemler!$D51&lt;=(Tahmin!$C$4+34)),1,0))))</f>
        <v>0</v>
      </c>
      <c r="G51" s="0" t="n">
        <f aca="false">IF(OR(Kalemler!$A51="",Kalemler!$C51="",Kalemler!$D51=""),0,Kalemler!$C51*IF(Kalemler!$E51="Haftalık",IF(Kalemler!$D51&lt;=(Tahmin!$C$4+41),1,0),IF(Kalemler!$E51="Aylık",IF(OR(AND(DATE(YEAR((Tahmin!$C$4+35)),MONTH((Tahmin!$C$4+35)),MIN(DAY(Kalemler!$D51),DAY(EOMONTH((Tahmin!$C$4+35),0))))&gt;=(Tahmin!$C$4+35),DATE(YEAR((Tahmin!$C$4+35)),MONTH((Tahmin!$C$4+35)),MIN(DAY(Kalemler!$D51),DAY(EOMONTH((Tahmin!$C$4+35),0))))&lt;=(Tahmin!$C$4+41),DATE(YEAR((Tahmin!$C$4+35)),MONTH((Tahmin!$C$4+35)),MIN(DAY(Kalemler!$D51),DAY(EOMONTH((Tahmin!$C$4+35),0))))&gt;=Kalemler!$D51),AND(DATE(YEAR((Tahmin!$C$4+41)),MONTH((Tahmin!$C$4+41)),MIN(DAY(Kalemler!$D51),DAY(EOMONTH((Tahmin!$C$4+41),0))))&gt;=(Tahmin!$C$4+35),DATE(YEAR((Tahmin!$C$4+41)),MONTH((Tahmin!$C$4+41)),MIN(DAY(Kalemler!$D51),DAY(EOMONTH((Tahmin!$C$4+41),0))))&lt;=(Tahmin!$C$4+41),DATE(YEAR((Tahmin!$C$4+41)),MONTH((Tahmin!$C$4+41)),MIN(DAY(Kalemler!$D51),DAY(EOMONTH((Tahmin!$C$4+41),0))))&lt;&gt;DATE(YEAR((Tahmin!$C$4+35)),MONTH((Tahmin!$C$4+35)),MIN(DAY(Kalemler!$D51),DAY(EOMONTH((Tahmin!$C$4+35),0)))),DATE(YEAR((Tahmin!$C$4+41)),MONTH((Tahmin!$C$4+41)),MIN(DAY(Kalemler!$D51),DAY(EOMONTH((Tahmin!$C$4+41),0))))&gt;=Kalemler!$D51)),1,0),IF(AND(Kalemler!$D51&gt;=(Tahmin!$C$4+35),Kalemler!$D51&lt;=(Tahmin!$C$4+41)),1,0))))</f>
        <v>0</v>
      </c>
      <c r="H51" s="0" t="n">
        <f aca="false">IF(OR(Kalemler!$A51="",Kalemler!$C51="",Kalemler!$D51=""),0,Kalemler!$C51*IF(Kalemler!$E51="Haftalık",IF(Kalemler!$D51&lt;=(Tahmin!$C$4+48),1,0),IF(Kalemler!$E51="Aylık",IF(OR(AND(DATE(YEAR((Tahmin!$C$4+42)),MONTH((Tahmin!$C$4+42)),MIN(DAY(Kalemler!$D51),DAY(EOMONTH((Tahmin!$C$4+42),0))))&gt;=(Tahmin!$C$4+42),DATE(YEAR((Tahmin!$C$4+42)),MONTH((Tahmin!$C$4+42)),MIN(DAY(Kalemler!$D51),DAY(EOMONTH((Tahmin!$C$4+42),0))))&lt;=(Tahmin!$C$4+48),DATE(YEAR((Tahmin!$C$4+42)),MONTH((Tahmin!$C$4+42)),MIN(DAY(Kalemler!$D51),DAY(EOMONTH((Tahmin!$C$4+42),0))))&gt;=Kalemler!$D51),AND(DATE(YEAR((Tahmin!$C$4+48)),MONTH((Tahmin!$C$4+48)),MIN(DAY(Kalemler!$D51),DAY(EOMONTH((Tahmin!$C$4+48),0))))&gt;=(Tahmin!$C$4+42),DATE(YEAR((Tahmin!$C$4+48)),MONTH((Tahmin!$C$4+48)),MIN(DAY(Kalemler!$D51),DAY(EOMONTH((Tahmin!$C$4+48),0))))&lt;=(Tahmin!$C$4+48),DATE(YEAR((Tahmin!$C$4+48)),MONTH((Tahmin!$C$4+48)),MIN(DAY(Kalemler!$D51),DAY(EOMONTH((Tahmin!$C$4+48),0))))&lt;&gt;DATE(YEAR((Tahmin!$C$4+42)),MONTH((Tahmin!$C$4+42)),MIN(DAY(Kalemler!$D51),DAY(EOMONTH((Tahmin!$C$4+42),0)))),DATE(YEAR((Tahmin!$C$4+48)),MONTH((Tahmin!$C$4+48)),MIN(DAY(Kalemler!$D51),DAY(EOMONTH((Tahmin!$C$4+48),0))))&gt;=Kalemler!$D51)),1,0),IF(AND(Kalemler!$D51&gt;=(Tahmin!$C$4+42),Kalemler!$D51&lt;=(Tahmin!$C$4+48)),1,0))))</f>
        <v>0</v>
      </c>
      <c r="I51" s="0" t="n">
        <f aca="false">IF(OR(Kalemler!$A51="",Kalemler!$C51="",Kalemler!$D51=""),0,Kalemler!$C51*IF(Kalemler!$E51="Haftalık",IF(Kalemler!$D51&lt;=(Tahmin!$C$4+55),1,0),IF(Kalemler!$E51="Aylık",IF(OR(AND(DATE(YEAR((Tahmin!$C$4+49)),MONTH((Tahmin!$C$4+49)),MIN(DAY(Kalemler!$D51),DAY(EOMONTH((Tahmin!$C$4+49),0))))&gt;=(Tahmin!$C$4+49),DATE(YEAR((Tahmin!$C$4+49)),MONTH((Tahmin!$C$4+49)),MIN(DAY(Kalemler!$D51),DAY(EOMONTH((Tahmin!$C$4+49),0))))&lt;=(Tahmin!$C$4+55),DATE(YEAR((Tahmin!$C$4+49)),MONTH((Tahmin!$C$4+49)),MIN(DAY(Kalemler!$D51),DAY(EOMONTH((Tahmin!$C$4+49),0))))&gt;=Kalemler!$D51),AND(DATE(YEAR((Tahmin!$C$4+55)),MONTH((Tahmin!$C$4+55)),MIN(DAY(Kalemler!$D51),DAY(EOMONTH((Tahmin!$C$4+55),0))))&gt;=(Tahmin!$C$4+49),DATE(YEAR((Tahmin!$C$4+55)),MONTH((Tahmin!$C$4+55)),MIN(DAY(Kalemler!$D51),DAY(EOMONTH((Tahmin!$C$4+55),0))))&lt;=(Tahmin!$C$4+55),DATE(YEAR((Tahmin!$C$4+55)),MONTH((Tahmin!$C$4+55)),MIN(DAY(Kalemler!$D51),DAY(EOMONTH((Tahmin!$C$4+55),0))))&lt;&gt;DATE(YEAR((Tahmin!$C$4+49)),MONTH((Tahmin!$C$4+49)),MIN(DAY(Kalemler!$D51),DAY(EOMONTH((Tahmin!$C$4+49),0)))),DATE(YEAR((Tahmin!$C$4+55)),MONTH((Tahmin!$C$4+55)),MIN(DAY(Kalemler!$D51),DAY(EOMONTH((Tahmin!$C$4+55),0))))&gt;=Kalemler!$D51)),1,0),IF(AND(Kalemler!$D51&gt;=(Tahmin!$C$4+49),Kalemler!$D51&lt;=(Tahmin!$C$4+55)),1,0))))</f>
        <v>0</v>
      </c>
      <c r="J51" s="0" t="n">
        <f aca="false">IF(OR(Kalemler!$A51="",Kalemler!$C51="",Kalemler!$D51=""),0,Kalemler!$C51*IF(Kalemler!$E51="Haftalık",IF(Kalemler!$D51&lt;=(Tahmin!$C$4+62),1,0),IF(Kalemler!$E51="Aylık",IF(OR(AND(DATE(YEAR((Tahmin!$C$4+56)),MONTH((Tahmin!$C$4+56)),MIN(DAY(Kalemler!$D51),DAY(EOMONTH((Tahmin!$C$4+56),0))))&gt;=(Tahmin!$C$4+56),DATE(YEAR((Tahmin!$C$4+56)),MONTH((Tahmin!$C$4+56)),MIN(DAY(Kalemler!$D51),DAY(EOMONTH((Tahmin!$C$4+56),0))))&lt;=(Tahmin!$C$4+62),DATE(YEAR((Tahmin!$C$4+56)),MONTH((Tahmin!$C$4+56)),MIN(DAY(Kalemler!$D51),DAY(EOMONTH((Tahmin!$C$4+56),0))))&gt;=Kalemler!$D51),AND(DATE(YEAR((Tahmin!$C$4+62)),MONTH((Tahmin!$C$4+62)),MIN(DAY(Kalemler!$D51),DAY(EOMONTH((Tahmin!$C$4+62),0))))&gt;=(Tahmin!$C$4+56),DATE(YEAR((Tahmin!$C$4+62)),MONTH((Tahmin!$C$4+62)),MIN(DAY(Kalemler!$D51),DAY(EOMONTH((Tahmin!$C$4+62),0))))&lt;=(Tahmin!$C$4+62),DATE(YEAR((Tahmin!$C$4+62)),MONTH((Tahmin!$C$4+62)),MIN(DAY(Kalemler!$D51),DAY(EOMONTH((Tahmin!$C$4+62),0))))&lt;&gt;DATE(YEAR((Tahmin!$C$4+56)),MONTH((Tahmin!$C$4+56)),MIN(DAY(Kalemler!$D51),DAY(EOMONTH((Tahmin!$C$4+56),0)))),DATE(YEAR((Tahmin!$C$4+62)),MONTH((Tahmin!$C$4+62)),MIN(DAY(Kalemler!$D51),DAY(EOMONTH((Tahmin!$C$4+62),0))))&gt;=Kalemler!$D51)),1,0),IF(AND(Kalemler!$D51&gt;=(Tahmin!$C$4+56),Kalemler!$D51&lt;=(Tahmin!$C$4+62)),1,0))))</f>
        <v>0</v>
      </c>
      <c r="K51" s="0" t="n">
        <f aca="false">IF(OR(Kalemler!$A51="",Kalemler!$C51="",Kalemler!$D51=""),0,Kalemler!$C51*IF(Kalemler!$E51="Haftalık",IF(Kalemler!$D51&lt;=(Tahmin!$C$4+69),1,0),IF(Kalemler!$E51="Aylık",IF(OR(AND(DATE(YEAR((Tahmin!$C$4+63)),MONTH((Tahmin!$C$4+63)),MIN(DAY(Kalemler!$D51),DAY(EOMONTH((Tahmin!$C$4+63),0))))&gt;=(Tahmin!$C$4+63),DATE(YEAR((Tahmin!$C$4+63)),MONTH((Tahmin!$C$4+63)),MIN(DAY(Kalemler!$D51),DAY(EOMONTH((Tahmin!$C$4+63),0))))&lt;=(Tahmin!$C$4+69),DATE(YEAR((Tahmin!$C$4+63)),MONTH((Tahmin!$C$4+63)),MIN(DAY(Kalemler!$D51),DAY(EOMONTH((Tahmin!$C$4+63),0))))&gt;=Kalemler!$D51),AND(DATE(YEAR((Tahmin!$C$4+69)),MONTH((Tahmin!$C$4+69)),MIN(DAY(Kalemler!$D51),DAY(EOMONTH((Tahmin!$C$4+69),0))))&gt;=(Tahmin!$C$4+63),DATE(YEAR((Tahmin!$C$4+69)),MONTH((Tahmin!$C$4+69)),MIN(DAY(Kalemler!$D51),DAY(EOMONTH((Tahmin!$C$4+69),0))))&lt;=(Tahmin!$C$4+69),DATE(YEAR((Tahmin!$C$4+69)),MONTH((Tahmin!$C$4+69)),MIN(DAY(Kalemler!$D51),DAY(EOMONTH((Tahmin!$C$4+69),0))))&lt;&gt;DATE(YEAR((Tahmin!$C$4+63)),MONTH((Tahmin!$C$4+63)),MIN(DAY(Kalemler!$D51),DAY(EOMONTH((Tahmin!$C$4+63),0)))),DATE(YEAR((Tahmin!$C$4+69)),MONTH((Tahmin!$C$4+69)),MIN(DAY(Kalemler!$D51),DAY(EOMONTH((Tahmin!$C$4+69),0))))&gt;=Kalemler!$D51)),1,0),IF(AND(Kalemler!$D51&gt;=(Tahmin!$C$4+63),Kalemler!$D51&lt;=(Tahmin!$C$4+69)),1,0))))</f>
        <v>0</v>
      </c>
      <c r="L51" s="0" t="n">
        <f aca="false">IF(OR(Kalemler!$A51="",Kalemler!$C51="",Kalemler!$D51=""),0,Kalemler!$C51*IF(Kalemler!$E51="Haftalık",IF(Kalemler!$D51&lt;=(Tahmin!$C$4+76),1,0),IF(Kalemler!$E51="Aylık",IF(OR(AND(DATE(YEAR((Tahmin!$C$4+70)),MONTH((Tahmin!$C$4+70)),MIN(DAY(Kalemler!$D51),DAY(EOMONTH((Tahmin!$C$4+70),0))))&gt;=(Tahmin!$C$4+70),DATE(YEAR((Tahmin!$C$4+70)),MONTH((Tahmin!$C$4+70)),MIN(DAY(Kalemler!$D51),DAY(EOMONTH((Tahmin!$C$4+70),0))))&lt;=(Tahmin!$C$4+76),DATE(YEAR((Tahmin!$C$4+70)),MONTH((Tahmin!$C$4+70)),MIN(DAY(Kalemler!$D51),DAY(EOMONTH((Tahmin!$C$4+70),0))))&gt;=Kalemler!$D51),AND(DATE(YEAR((Tahmin!$C$4+76)),MONTH((Tahmin!$C$4+76)),MIN(DAY(Kalemler!$D51),DAY(EOMONTH((Tahmin!$C$4+76),0))))&gt;=(Tahmin!$C$4+70),DATE(YEAR((Tahmin!$C$4+76)),MONTH((Tahmin!$C$4+76)),MIN(DAY(Kalemler!$D51),DAY(EOMONTH((Tahmin!$C$4+76),0))))&lt;=(Tahmin!$C$4+76),DATE(YEAR((Tahmin!$C$4+76)),MONTH((Tahmin!$C$4+76)),MIN(DAY(Kalemler!$D51),DAY(EOMONTH((Tahmin!$C$4+76),0))))&lt;&gt;DATE(YEAR((Tahmin!$C$4+70)),MONTH((Tahmin!$C$4+70)),MIN(DAY(Kalemler!$D51),DAY(EOMONTH((Tahmin!$C$4+70),0)))),DATE(YEAR((Tahmin!$C$4+76)),MONTH((Tahmin!$C$4+76)),MIN(DAY(Kalemler!$D51),DAY(EOMONTH((Tahmin!$C$4+76),0))))&gt;=Kalemler!$D51)),1,0),IF(AND(Kalemler!$D51&gt;=(Tahmin!$C$4+70),Kalemler!$D51&lt;=(Tahmin!$C$4+76)),1,0))))</f>
        <v>0</v>
      </c>
      <c r="M51" s="0" t="n">
        <f aca="false">IF(OR(Kalemler!$A51="",Kalemler!$C51="",Kalemler!$D51=""),0,Kalemler!$C51*IF(Kalemler!$E51="Haftalık",IF(Kalemler!$D51&lt;=(Tahmin!$C$4+83),1,0),IF(Kalemler!$E51="Aylık",IF(OR(AND(DATE(YEAR((Tahmin!$C$4+77)),MONTH((Tahmin!$C$4+77)),MIN(DAY(Kalemler!$D51),DAY(EOMONTH((Tahmin!$C$4+77),0))))&gt;=(Tahmin!$C$4+77),DATE(YEAR((Tahmin!$C$4+77)),MONTH((Tahmin!$C$4+77)),MIN(DAY(Kalemler!$D51),DAY(EOMONTH((Tahmin!$C$4+77),0))))&lt;=(Tahmin!$C$4+83),DATE(YEAR((Tahmin!$C$4+77)),MONTH((Tahmin!$C$4+77)),MIN(DAY(Kalemler!$D51),DAY(EOMONTH((Tahmin!$C$4+77),0))))&gt;=Kalemler!$D51),AND(DATE(YEAR((Tahmin!$C$4+83)),MONTH((Tahmin!$C$4+83)),MIN(DAY(Kalemler!$D51),DAY(EOMONTH((Tahmin!$C$4+83),0))))&gt;=(Tahmin!$C$4+77),DATE(YEAR((Tahmin!$C$4+83)),MONTH((Tahmin!$C$4+83)),MIN(DAY(Kalemler!$D51),DAY(EOMONTH((Tahmin!$C$4+83),0))))&lt;=(Tahmin!$C$4+83),DATE(YEAR((Tahmin!$C$4+83)),MONTH((Tahmin!$C$4+83)),MIN(DAY(Kalemler!$D51),DAY(EOMONTH((Tahmin!$C$4+83),0))))&lt;&gt;DATE(YEAR((Tahmin!$C$4+77)),MONTH((Tahmin!$C$4+77)),MIN(DAY(Kalemler!$D51),DAY(EOMONTH((Tahmin!$C$4+77),0)))),DATE(YEAR((Tahmin!$C$4+83)),MONTH((Tahmin!$C$4+83)),MIN(DAY(Kalemler!$D51),DAY(EOMONTH((Tahmin!$C$4+83),0))))&gt;=Kalemler!$D51)),1,0),IF(AND(Kalemler!$D51&gt;=(Tahmin!$C$4+77),Kalemler!$D51&lt;=(Tahmin!$C$4+83)),1,0))))</f>
        <v>0</v>
      </c>
      <c r="N51" s="0" t="n">
        <f aca="false">IF(OR(Kalemler!$A51="",Kalemler!$C51="",Kalemler!$D51=""),0,Kalemler!$C51*IF(Kalemler!$E51="Haftalık",IF(Kalemler!$D51&lt;=(Tahmin!$C$4+90),1,0),IF(Kalemler!$E51="Aylık",IF(OR(AND(DATE(YEAR((Tahmin!$C$4+84)),MONTH((Tahmin!$C$4+84)),MIN(DAY(Kalemler!$D51),DAY(EOMONTH((Tahmin!$C$4+84),0))))&gt;=(Tahmin!$C$4+84),DATE(YEAR((Tahmin!$C$4+84)),MONTH((Tahmin!$C$4+84)),MIN(DAY(Kalemler!$D51),DAY(EOMONTH((Tahmin!$C$4+84),0))))&lt;=(Tahmin!$C$4+90),DATE(YEAR((Tahmin!$C$4+84)),MONTH((Tahmin!$C$4+84)),MIN(DAY(Kalemler!$D51),DAY(EOMONTH((Tahmin!$C$4+84),0))))&gt;=Kalemler!$D51),AND(DATE(YEAR((Tahmin!$C$4+90)),MONTH((Tahmin!$C$4+90)),MIN(DAY(Kalemler!$D51),DAY(EOMONTH((Tahmin!$C$4+90),0))))&gt;=(Tahmin!$C$4+84),DATE(YEAR((Tahmin!$C$4+90)),MONTH((Tahmin!$C$4+90)),MIN(DAY(Kalemler!$D51),DAY(EOMONTH((Tahmin!$C$4+90),0))))&lt;=(Tahmin!$C$4+90),DATE(YEAR((Tahmin!$C$4+90)),MONTH((Tahmin!$C$4+90)),MIN(DAY(Kalemler!$D51),DAY(EOMONTH((Tahmin!$C$4+90),0))))&lt;&gt;DATE(YEAR((Tahmin!$C$4+84)),MONTH((Tahmin!$C$4+84)),MIN(DAY(Kalemler!$D51),DAY(EOMONTH((Tahmin!$C$4+84),0)))),DATE(YEAR((Tahmin!$C$4+90)),MONTH((Tahmin!$C$4+90)),MIN(DAY(Kalemler!$D51),DAY(EOMONTH((Tahmin!$C$4+90),0))))&gt;=Kalemler!$D51)),1,0),IF(AND(Kalemler!$D51&gt;=(Tahmin!$C$4+84),Kalemler!$D51&lt;=(Tahmin!$C$4+90)),1,0))))</f>
        <v>0</v>
      </c>
    </row>
    <row r="52" customFormat="false" ht="15" hidden="false" customHeight="false" outlineLevel="0" collapsed="false">
      <c r="A52" s="0" t="str">
        <f aca="false">IF(Kalemler!A52="","",Kalemler!A52)</f>
        <v/>
      </c>
      <c r="B52" s="0" t="n">
        <f aca="false">IF(OR(Kalemler!$A52="",Kalemler!$C52="",Kalemler!$D52=""),0,Kalemler!$C52*IF(Kalemler!$E52="Haftalık",IF(Kalemler!$D52&lt;=(Tahmin!$C$4+6),1,0),IF(Kalemler!$E52="Aylık",IF(OR(AND(DATE(YEAR((Tahmin!$C$4+0)),MONTH((Tahmin!$C$4+0)),MIN(DAY(Kalemler!$D52),DAY(EOMONTH((Tahmin!$C$4+0),0))))&gt;=(Tahmin!$C$4+0),DATE(YEAR((Tahmin!$C$4+0)),MONTH((Tahmin!$C$4+0)),MIN(DAY(Kalemler!$D52),DAY(EOMONTH((Tahmin!$C$4+0),0))))&lt;=(Tahmin!$C$4+6),DATE(YEAR((Tahmin!$C$4+0)),MONTH((Tahmin!$C$4+0)),MIN(DAY(Kalemler!$D52),DAY(EOMONTH((Tahmin!$C$4+0),0))))&gt;=Kalemler!$D52),AND(DATE(YEAR((Tahmin!$C$4+6)),MONTH((Tahmin!$C$4+6)),MIN(DAY(Kalemler!$D52),DAY(EOMONTH((Tahmin!$C$4+6),0))))&gt;=(Tahmin!$C$4+0),DATE(YEAR((Tahmin!$C$4+6)),MONTH((Tahmin!$C$4+6)),MIN(DAY(Kalemler!$D52),DAY(EOMONTH((Tahmin!$C$4+6),0))))&lt;=(Tahmin!$C$4+6),DATE(YEAR((Tahmin!$C$4+6)),MONTH((Tahmin!$C$4+6)),MIN(DAY(Kalemler!$D52),DAY(EOMONTH((Tahmin!$C$4+6),0))))&lt;&gt;DATE(YEAR((Tahmin!$C$4+0)),MONTH((Tahmin!$C$4+0)),MIN(DAY(Kalemler!$D52),DAY(EOMONTH((Tahmin!$C$4+0),0)))),DATE(YEAR((Tahmin!$C$4+6)),MONTH((Tahmin!$C$4+6)),MIN(DAY(Kalemler!$D52),DAY(EOMONTH((Tahmin!$C$4+6),0))))&gt;=Kalemler!$D52)),1,0),IF(AND(Kalemler!$D52&gt;=(Tahmin!$C$4+0),Kalemler!$D52&lt;=(Tahmin!$C$4+6)),1,0))))</f>
        <v>0</v>
      </c>
      <c r="C52" s="0" t="n">
        <f aca="false">IF(OR(Kalemler!$A52="",Kalemler!$C52="",Kalemler!$D52=""),0,Kalemler!$C52*IF(Kalemler!$E52="Haftalık",IF(Kalemler!$D52&lt;=(Tahmin!$C$4+13),1,0),IF(Kalemler!$E52="Aylık",IF(OR(AND(DATE(YEAR((Tahmin!$C$4+7)),MONTH((Tahmin!$C$4+7)),MIN(DAY(Kalemler!$D52),DAY(EOMONTH((Tahmin!$C$4+7),0))))&gt;=(Tahmin!$C$4+7),DATE(YEAR((Tahmin!$C$4+7)),MONTH((Tahmin!$C$4+7)),MIN(DAY(Kalemler!$D52),DAY(EOMONTH((Tahmin!$C$4+7),0))))&lt;=(Tahmin!$C$4+13),DATE(YEAR((Tahmin!$C$4+7)),MONTH((Tahmin!$C$4+7)),MIN(DAY(Kalemler!$D52),DAY(EOMONTH((Tahmin!$C$4+7),0))))&gt;=Kalemler!$D52),AND(DATE(YEAR((Tahmin!$C$4+13)),MONTH((Tahmin!$C$4+13)),MIN(DAY(Kalemler!$D52),DAY(EOMONTH((Tahmin!$C$4+13),0))))&gt;=(Tahmin!$C$4+7),DATE(YEAR((Tahmin!$C$4+13)),MONTH((Tahmin!$C$4+13)),MIN(DAY(Kalemler!$D52),DAY(EOMONTH((Tahmin!$C$4+13),0))))&lt;=(Tahmin!$C$4+13),DATE(YEAR((Tahmin!$C$4+13)),MONTH((Tahmin!$C$4+13)),MIN(DAY(Kalemler!$D52),DAY(EOMONTH((Tahmin!$C$4+13),0))))&lt;&gt;DATE(YEAR((Tahmin!$C$4+7)),MONTH((Tahmin!$C$4+7)),MIN(DAY(Kalemler!$D52),DAY(EOMONTH((Tahmin!$C$4+7),0)))),DATE(YEAR((Tahmin!$C$4+13)),MONTH((Tahmin!$C$4+13)),MIN(DAY(Kalemler!$D52),DAY(EOMONTH((Tahmin!$C$4+13),0))))&gt;=Kalemler!$D52)),1,0),IF(AND(Kalemler!$D52&gt;=(Tahmin!$C$4+7),Kalemler!$D52&lt;=(Tahmin!$C$4+13)),1,0))))</f>
        <v>0</v>
      </c>
      <c r="D52" s="0" t="n">
        <f aca="false">IF(OR(Kalemler!$A52="",Kalemler!$C52="",Kalemler!$D52=""),0,Kalemler!$C52*IF(Kalemler!$E52="Haftalık",IF(Kalemler!$D52&lt;=(Tahmin!$C$4+20),1,0),IF(Kalemler!$E52="Aylık",IF(OR(AND(DATE(YEAR((Tahmin!$C$4+14)),MONTH((Tahmin!$C$4+14)),MIN(DAY(Kalemler!$D52),DAY(EOMONTH((Tahmin!$C$4+14),0))))&gt;=(Tahmin!$C$4+14),DATE(YEAR((Tahmin!$C$4+14)),MONTH((Tahmin!$C$4+14)),MIN(DAY(Kalemler!$D52),DAY(EOMONTH((Tahmin!$C$4+14),0))))&lt;=(Tahmin!$C$4+20),DATE(YEAR((Tahmin!$C$4+14)),MONTH((Tahmin!$C$4+14)),MIN(DAY(Kalemler!$D52),DAY(EOMONTH((Tahmin!$C$4+14),0))))&gt;=Kalemler!$D52),AND(DATE(YEAR((Tahmin!$C$4+20)),MONTH((Tahmin!$C$4+20)),MIN(DAY(Kalemler!$D52),DAY(EOMONTH((Tahmin!$C$4+20),0))))&gt;=(Tahmin!$C$4+14),DATE(YEAR((Tahmin!$C$4+20)),MONTH((Tahmin!$C$4+20)),MIN(DAY(Kalemler!$D52),DAY(EOMONTH((Tahmin!$C$4+20),0))))&lt;=(Tahmin!$C$4+20),DATE(YEAR((Tahmin!$C$4+20)),MONTH((Tahmin!$C$4+20)),MIN(DAY(Kalemler!$D52),DAY(EOMONTH((Tahmin!$C$4+20),0))))&lt;&gt;DATE(YEAR((Tahmin!$C$4+14)),MONTH((Tahmin!$C$4+14)),MIN(DAY(Kalemler!$D52),DAY(EOMONTH((Tahmin!$C$4+14),0)))),DATE(YEAR((Tahmin!$C$4+20)),MONTH((Tahmin!$C$4+20)),MIN(DAY(Kalemler!$D52),DAY(EOMONTH((Tahmin!$C$4+20),0))))&gt;=Kalemler!$D52)),1,0),IF(AND(Kalemler!$D52&gt;=(Tahmin!$C$4+14),Kalemler!$D52&lt;=(Tahmin!$C$4+20)),1,0))))</f>
        <v>0</v>
      </c>
      <c r="E52" s="0" t="n">
        <f aca="false">IF(OR(Kalemler!$A52="",Kalemler!$C52="",Kalemler!$D52=""),0,Kalemler!$C52*IF(Kalemler!$E52="Haftalık",IF(Kalemler!$D52&lt;=(Tahmin!$C$4+27),1,0),IF(Kalemler!$E52="Aylık",IF(OR(AND(DATE(YEAR((Tahmin!$C$4+21)),MONTH((Tahmin!$C$4+21)),MIN(DAY(Kalemler!$D52),DAY(EOMONTH((Tahmin!$C$4+21),0))))&gt;=(Tahmin!$C$4+21),DATE(YEAR((Tahmin!$C$4+21)),MONTH((Tahmin!$C$4+21)),MIN(DAY(Kalemler!$D52),DAY(EOMONTH((Tahmin!$C$4+21),0))))&lt;=(Tahmin!$C$4+27),DATE(YEAR((Tahmin!$C$4+21)),MONTH((Tahmin!$C$4+21)),MIN(DAY(Kalemler!$D52),DAY(EOMONTH((Tahmin!$C$4+21),0))))&gt;=Kalemler!$D52),AND(DATE(YEAR((Tahmin!$C$4+27)),MONTH((Tahmin!$C$4+27)),MIN(DAY(Kalemler!$D52),DAY(EOMONTH((Tahmin!$C$4+27),0))))&gt;=(Tahmin!$C$4+21),DATE(YEAR((Tahmin!$C$4+27)),MONTH((Tahmin!$C$4+27)),MIN(DAY(Kalemler!$D52),DAY(EOMONTH((Tahmin!$C$4+27),0))))&lt;=(Tahmin!$C$4+27),DATE(YEAR((Tahmin!$C$4+27)),MONTH((Tahmin!$C$4+27)),MIN(DAY(Kalemler!$D52),DAY(EOMONTH((Tahmin!$C$4+27),0))))&lt;&gt;DATE(YEAR((Tahmin!$C$4+21)),MONTH((Tahmin!$C$4+21)),MIN(DAY(Kalemler!$D52),DAY(EOMONTH((Tahmin!$C$4+21),0)))),DATE(YEAR((Tahmin!$C$4+27)),MONTH((Tahmin!$C$4+27)),MIN(DAY(Kalemler!$D52),DAY(EOMONTH((Tahmin!$C$4+27),0))))&gt;=Kalemler!$D52)),1,0),IF(AND(Kalemler!$D52&gt;=(Tahmin!$C$4+21),Kalemler!$D52&lt;=(Tahmin!$C$4+27)),1,0))))</f>
        <v>0</v>
      </c>
      <c r="F52" s="0" t="n">
        <f aca="false">IF(OR(Kalemler!$A52="",Kalemler!$C52="",Kalemler!$D52=""),0,Kalemler!$C52*IF(Kalemler!$E52="Haftalık",IF(Kalemler!$D52&lt;=(Tahmin!$C$4+34),1,0),IF(Kalemler!$E52="Aylık",IF(OR(AND(DATE(YEAR((Tahmin!$C$4+28)),MONTH((Tahmin!$C$4+28)),MIN(DAY(Kalemler!$D52),DAY(EOMONTH((Tahmin!$C$4+28),0))))&gt;=(Tahmin!$C$4+28),DATE(YEAR((Tahmin!$C$4+28)),MONTH((Tahmin!$C$4+28)),MIN(DAY(Kalemler!$D52),DAY(EOMONTH((Tahmin!$C$4+28),0))))&lt;=(Tahmin!$C$4+34),DATE(YEAR((Tahmin!$C$4+28)),MONTH((Tahmin!$C$4+28)),MIN(DAY(Kalemler!$D52),DAY(EOMONTH((Tahmin!$C$4+28),0))))&gt;=Kalemler!$D52),AND(DATE(YEAR((Tahmin!$C$4+34)),MONTH((Tahmin!$C$4+34)),MIN(DAY(Kalemler!$D52),DAY(EOMONTH((Tahmin!$C$4+34),0))))&gt;=(Tahmin!$C$4+28),DATE(YEAR((Tahmin!$C$4+34)),MONTH((Tahmin!$C$4+34)),MIN(DAY(Kalemler!$D52),DAY(EOMONTH((Tahmin!$C$4+34),0))))&lt;=(Tahmin!$C$4+34),DATE(YEAR((Tahmin!$C$4+34)),MONTH((Tahmin!$C$4+34)),MIN(DAY(Kalemler!$D52),DAY(EOMONTH((Tahmin!$C$4+34),0))))&lt;&gt;DATE(YEAR((Tahmin!$C$4+28)),MONTH((Tahmin!$C$4+28)),MIN(DAY(Kalemler!$D52),DAY(EOMONTH((Tahmin!$C$4+28),0)))),DATE(YEAR((Tahmin!$C$4+34)),MONTH((Tahmin!$C$4+34)),MIN(DAY(Kalemler!$D52),DAY(EOMONTH((Tahmin!$C$4+34),0))))&gt;=Kalemler!$D52)),1,0),IF(AND(Kalemler!$D52&gt;=(Tahmin!$C$4+28),Kalemler!$D52&lt;=(Tahmin!$C$4+34)),1,0))))</f>
        <v>0</v>
      </c>
      <c r="G52" s="0" t="n">
        <f aca="false">IF(OR(Kalemler!$A52="",Kalemler!$C52="",Kalemler!$D52=""),0,Kalemler!$C52*IF(Kalemler!$E52="Haftalık",IF(Kalemler!$D52&lt;=(Tahmin!$C$4+41),1,0),IF(Kalemler!$E52="Aylık",IF(OR(AND(DATE(YEAR((Tahmin!$C$4+35)),MONTH((Tahmin!$C$4+35)),MIN(DAY(Kalemler!$D52),DAY(EOMONTH((Tahmin!$C$4+35),0))))&gt;=(Tahmin!$C$4+35),DATE(YEAR((Tahmin!$C$4+35)),MONTH((Tahmin!$C$4+35)),MIN(DAY(Kalemler!$D52),DAY(EOMONTH((Tahmin!$C$4+35),0))))&lt;=(Tahmin!$C$4+41),DATE(YEAR((Tahmin!$C$4+35)),MONTH((Tahmin!$C$4+35)),MIN(DAY(Kalemler!$D52),DAY(EOMONTH((Tahmin!$C$4+35),0))))&gt;=Kalemler!$D52),AND(DATE(YEAR((Tahmin!$C$4+41)),MONTH((Tahmin!$C$4+41)),MIN(DAY(Kalemler!$D52),DAY(EOMONTH((Tahmin!$C$4+41),0))))&gt;=(Tahmin!$C$4+35),DATE(YEAR((Tahmin!$C$4+41)),MONTH((Tahmin!$C$4+41)),MIN(DAY(Kalemler!$D52),DAY(EOMONTH((Tahmin!$C$4+41),0))))&lt;=(Tahmin!$C$4+41),DATE(YEAR((Tahmin!$C$4+41)),MONTH((Tahmin!$C$4+41)),MIN(DAY(Kalemler!$D52),DAY(EOMONTH((Tahmin!$C$4+41),0))))&lt;&gt;DATE(YEAR((Tahmin!$C$4+35)),MONTH((Tahmin!$C$4+35)),MIN(DAY(Kalemler!$D52),DAY(EOMONTH((Tahmin!$C$4+35),0)))),DATE(YEAR((Tahmin!$C$4+41)),MONTH((Tahmin!$C$4+41)),MIN(DAY(Kalemler!$D52),DAY(EOMONTH((Tahmin!$C$4+41),0))))&gt;=Kalemler!$D52)),1,0),IF(AND(Kalemler!$D52&gt;=(Tahmin!$C$4+35),Kalemler!$D52&lt;=(Tahmin!$C$4+41)),1,0))))</f>
        <v>0</v>
      </c>
      <c r="H52" s="0" t="n">
        <f aca="false">IF(OR(Kalemler!$A52="",Kalemler!$C52="",Kalemler!$D52=""),0,Kalemler!$C52*IF(Kalemler!$E52="Haftalık",IF(Kalemler!$D52&lt;=(Tahmin!$C$4+48),1,0),IF(Kalemler!$E52="Aylık",IF(OR(AND(DATE(YEAR((Tahmin!$C$4+42)),MONTH((Tahmin!$C$4+42)),MIN(DAY(Kalemler!$D52),DAY(EOMONTH((Tahmin!$C$4+42),0))))&gt;=(Tahmin!$C$4+42),DATE(YEAR((Tahmin!$C$4+42)),MONTH((Tahmin!$C$4+42)),MIN(DAY(Kalemler!$D52),DAY(EOMONTH((Tahmin!$C$4+42),0))))&lt;=(Tahmin!$C$4+48),DATE(YEAR((Tahmin!$C$4+42)),MONTH((Tahmin!$C$4+42)),MIN(DAY(Kalemler!$D52),DAY(EOMONTH((Tahmin!$C$4+42),0))))&gt;=Kalemler!$D52),AND(DATE(YEAR((Tahmin!$C$4+48)),MONTH((Tahmin!$C$4+48)),MIN(DAY(Kalemler!$D52),DAY(EOMONTH((Tahmin!$C$4+48),0))))&gt;=(Tahmin!$C$4+42),DATE(YEAR((Tahmin!$C$4+48)),MONTH((Tahmin!$C$4+48)),MIN(DAY(Kalemler!$D52),DAY(EOMONTH((Tahmin!$C$4+48),0))))&lt;=(Tahmin!$C$4+48),DATE(YEAR((Tahmin!$C$4+48)),MONTH((Tahmin!$C$4+48)),MIN(DAY(Kalemler!$D52),DAY(EOMONTH((Tahmin!$C$4+48),0))))&lt;&gt;DATE(YEAR((Tahmin!$C$4+42)),MONTH((Tahmin!$C$4+42)),MIN(DAY(Kalemler!$D52),DAY(EOMONTH((Tahmin!$C$4+42),0)))),DATE(YEAR((Tahmin!$C$4+48)),MONTH((Tahmin!$C$4+48)),MIN(DAY(Kalemler!$D52),DAY(EOMONTH((Tahmin!$C$4+48),0))))&gt;=Kalemler!$D52)),1,0),IF(AND(Kalemler!$D52&gt;=(Tahmin!$C$4+42),Kalemler!$D52&lt;=(Tahmin!$C$4+48)),1,0))))</f>
        <v>0</v>
      </c>
      <c r="I52" s="0" t="n">
        <f aca="false">IF(OR(Kalemler!$A52="",Kalemler!$C52="",Kalemler!$D52=""),0,Kalemler!$C52*IF(Kalemler!$E52="Haftalık",IF(Kalemler!$D52&lt;=(Tahmin!$C$4+55),1,0),IF(Kalemler!$E52="Aylık",IF(OR(AND(DATE(YEAR((Tahmin!$C$4+49)),MONTH((Tahmin!$C$4+49)),MIN(DAY(Kalemler!$D52),DAY(EOMONTH((Tahmin!$C$4+49),0))))&gt;=(Tahmin!$C$4+49),DATE(YEAR((Tahmin!$C$4+49)),MONTH((Tahmin!$C$4+49)),MIN(DAY(Kalemler!$D52),DAY(EOMONTH((Tahmin!$C$4+49),0))))&lt;=(Tahmin!$C$4+55),DATE(YEAR((Tahmin!$C$4+49)),MONTH((Tahmin!$C$4+49)),MIN(DAY(Kalemler!$D52),DAY(EOMONTH((Tahmin!$C$4+49),0))))&gt;=Kalemler!$D52),AND(DATE(YEAR((Tahmin!$C$4+55)),MONTH((Tahmin!$C$4+55)),MIN(DAY(Kalemler!$D52),DAY(EOMONTH((Tahmin!$C$4+55),0))))&gt;=(Tahmin!$C$4+49),DATE(YEAR((Tahmin!$C$4+55)),MONTH((Tahmin!$C$4+55)),MIN(DAY(Kalemler!$D52),DAY(EOMONTH((Tahmin!$C$4+55),0))))&lt;=(Tahmin!$C$4+55),DATE(YEAR((Tahmin!$C$4+55)),MONTH((Tahmin!$C$4+55)),MIN(DAY(Kalemler!$D52),DAY(EOMONTH((Tahmin!$C$4+55),0))))&lt;&gt;DATE(YEAR((Tahmin!$C$4+49)),MONTH((Tahmin!$C$4+49)),MIN(DAY(Kalemler!$D52),DAY(EOMONTH((Tahmin!$C$4+49),0)))),DATE(YEAR((Tahmin!$C$4+55)),MONTH((Tahmin!$C$4+55)),MIN(DAY(Kalemler!$D52),DAY(EOMONTH((Tahmin!$C$4+55),0))))&gt;=Kalemler!$D52)),1,0),IF(AND(Kalemler!$D52&gt;=(Tahmin!$C$4+49),Kalemler!$D52&lt;=(Tahmin!$C$4+55)),1,0))))</f>
        <v>0</v>
      </c>
      <c r="J52" s="0" t="n">
        <f aca="false">IF(OR(Kalemler!$A52="",Kalemler!$C52="",Kalemler!$D52=""),0,Kalemler!$C52*IF(Kalemler!$E52="Haftalık",IF(Kalemler!$D52&lt;=(Tahmin!$C$4+62),1,0),IF(Kalemler!$E52="Aylık",IF(OR(AND(DATE(YEAR((Tahmin!$C$4+56)),MONTH((Tahmin!$C$4+56)),MIN(DAY(Kalemler!$D52),DAY(EOMONTH((Tahmin!$C$4+56),0))))&gt;=(Tahmin!$C$4+56),DATE(YEAR((Tahmin!$C$4+56)),MONTH((Tahmin!$C$4+56)),MIN(DAY(Kalemler!$D52),DAY(EOMONTH((Tahmin!$C$4+56),0))))&lt;=(Tahmin!$C$4+62),DATE(YEAR((Tahmin!$C$4+56)),MONTH((Tahmin!$C$4+56)),MIN(DAY(Kalemler!$D52),DAY(EOMONTH((Tahmin!$C$4+56),0))))&gt;=Kalemler!$D52),AND(DATE(YEAR((Tahmin!$C$4+62)),MONTH((Tahmin!$C$4+62)),MIN(DAY(Kalemler!$D52),DAY(EOMONTH((Tahmin!$C$4+62),0))))&gt;=(Tahmin!$C$4+56),DATE(YEAR((Tahmin!$C$4+62)),MONTH((Tahmin!$C$4+62)),MIN(DAY(Kalemler!$D52),DAY(EOMONTH((Tahmin!$C$4+62),0))))&lt;=(Tahmin!$C$4+62),DATE(YEAR((Tahmin!$C$4+62)),MONTH((Tahmin!$C$4+62)),MIN(DAY(Kalemler!$D52),DAY(EOMONTH((Tahmin!$C$4+62),0))))&lt;&gt;DATE(YEAR((Tahmin!$C$4+56)),MONTH((Tahmin!$C$4+56)),MIN(DAY(Kalemler!$D52),DAY(EOMONTH((Tahmin!$C$4+56),0)))),DATE(YEAR((Tahmin!$C$4+62)),MONTH((Tahmin!$C$4+62)),MIN(DAY(Kalemler!$D52),DAY(EOMONTH((Tahmin!$C$4+62),0))))&gt;=Kalemler!$D52)),1,0),IF(AND(Kalemler!$D52&gt;=(Tahmin!$C$4+56),Kalemler!$D52&lt;=(Tahmin!$C$4+62)),1,0))))</f>
        <v>0</v>
      </c>
      <c r="K52" s="0" t="n">
        <f aca="false">IF(OR(Kalemler!$A52="",Kalemler!$C52="",Kalemler!$D52=""),0,Kalemler!$C52*IF(Kalemler!$E52="Haftalık",IF(Kalemler!$D52&lt;=(Tahmin!$C$4+69),1,0),IF(Kalemler!$E52="Aylık",IF(OR(AND(DATE(YEAR((Tahmin!$C$4+63)),MONTH((Tahmin!$C$4+63)),MIN(DAY(Kalemler!$D52),DAY(EOMONTH((Tahmin!$C$4+63),0))))&gt;=(Tahmin!$C$4+63),DATE(YEAR((Tahmin!$C$4+63)),MONTH((Tahmin!$C$4+63)),MIN(DAY(Kalemler!$D52),DAY(EOMONTH((Tahmin!$C$4+63),0))))&lt;=(Tahmin!$C$4+69),DATE(YEAR((Tahmin!$C$4+63)),MONTH((Tahmin!$C$4+63)),MIN(DAY(Kalemler!$D52),DAY(EOMONTH((Tahmin!$C$4+63),0))))&gt;=Kalemler!$D52),AND(DATE(YEAR((Tahmin!$C$4+69)),MONTH((Tahmin!$C$4+69)),MIN(DAY(Kalemler!$D52),DAY(EOMONTH((Tahmin!$C$4+69),0))))&gt;=(Tahmin!$C$4+63),DATE(YEAR((Tahmin!$C$4+69)),MONTH((Tahmin!$C$4+69)),MIN(DAY(Kalemler!$D52),DAY(EOMONTH((Tahmin!$C$4+69),0))))&lt;=(Tahmin!$C$4+69),DATE(YEAR((Tahmin!$C$4+69)),MONTH((Tahmin!$C$4+69)),MIN(DAY(Kalemler!$D52),DAY(EOMONTH((Tahmin!$C$4+69),0))))&lt;&gt;DATE(YEAR((Tahmin!$C$4+63)),MONTH((Tahmin!$C$4+63)),MIN(DAY(Kalemler!$D52),DAY(EOMONTH((Tahmin!$C$4+63),0)))),DATE(YEAR((Tahmin!$C$4+69)),MONTH((Tahmin!$C$4+69)),MIN(DAY(Kalemler!$D52),DAY(EOMONTH((Tahmin!$C$4+69),0))))&gt;=Kalemler!$D52)),1,0),IF(AND(Kalemler!$D52&gt;=(Tahmin!$C$4+63),Kalemler!$D52&lt;=(Tahmin!$C$4+69)),1,0))))</f>
        <v>0</v>
      </c>
      <c r="L52" s="0" t="n">
        <f aca="false">IF(OR(Kalemler!$A52="",Kalemler!$C52="",Kalemler!$D52=""),0,Kalemler!$C52*IF(Kalemler!$E52="Haftalık",IF(Kalemler!$D52&lt;=(Tahmin!$C$4+76),1,0),IF(Kalemler!$E52="Aylık",IF(OR(AND(DATE(YEAR((Tahmin!$C$4+70)),MONTH((Tahmin!$C$4+70)),MIN(DAY(Kalemler!$D52),DAY(EOMONTH((Tahmin!$C$4+70),0))))&gt;=(Tahmin!$C$4+70),DATE(YEAR((Tahmin!$C$4+70)),MONTH((Tahmin!$C$4+70)),MIN(DAY(Kalemler!$D52),DAY(EOMONTH((Tahmin!$C$4+70),0))))&lt;=(Tahmin!$C$4+76),DATE(YEAR((Tahmin!$C$4+70)),MONTH((Tahmin!$C$4+70)),MIN(DAY(Kalemler!$D52),DAY(EOMONTH((Tahmin!$C$4+70),0))))&gt;=Kalemler!$D52),AND(DATE(YEAR((Tahmin!$C$4+76)),MONTH((Tahmin!$C$4+76)),MIN(DAY(Kalemler!$D52),DAY(EOMONTH((Tahmin!$C$4+76),0))))&gt;=(Tahmin!$C$4+70),DATE(YEAR((Tahmin!$C$4+76)),MONTH((Tahmin!$C$4+76)),MIN(DAY(Kalemler!$D52),DAY(EOMONTH((Tahmin!$C$4+76),0))))&lt;=(Tahmin!$C$4+76),DATE(YEAR((Tahmin!$C$4+76)),MONTH((Tahmin!$C$4+76)),MIN(DAY(Kalemler!$D52),DAY(EOMONTH((Tahmin!$C$4+76),0))))&lt;&gt;DATE(YEAR((Tahmin!$C$4+70)),MONTH((Tahmin!$C$4+70)),MIN(DAY(Kalemler!$D52),DAY(EOMONTH((Tahmin!$C$4+70),0)))),DATE(YEAR((Tahmin!$C$4+76)),MONTH((Tahmin!$C$4+76)),MIN(DAY(Kalemler!$D52),DAY(EOMONTH((Tahmin!$C$4+76),0))))&gt;=Kalemler!$D52)),1,0),IF(AND(Kalemler!$D52&gt;=(Tahmin!$C$4+70),Kalemler!$D52&lt;=(Tahmin!$C$4+76)),1,0))))</f>
        <v>0</v>
      </c>
      <c r="M52" s="0" t="n">
        <f aca="false">IF(OR(Kalemler!$A52="",Kalemler!$C52="",Kalemler!$D52=""),0,Kalemler!$C52*IF(Kalemler!$E52="Haftalık",IF(Kalemler!$D52&lt;=(Tahmin!$C$4+83),1,0),IF(Kalemler!$E52="Aylık",IF(OR(AND(DATE(YEAR((Tahmin!$C$4+77)),MONTH((Tahmin!$C$4+77)),MIN(DAY(Kalemler!$D52),DAY(EOMONTH((Tahmin!$C$4+77),0))))&gt;=(Tahmin!$C$4+77),DATE(YEAR((Tahmin!$C$4+77)),MONTH((Tahmin!$C$4+77)),MIN(DAY(Kalemler!$D52),DAY(EOMONTH((Tahmin!$C$4+77),0))))&lt;=(Tahmin!$C$4+83),DATE(YEAR((Tahmin!$C$4+77)),MONTH((Tahmin!$C$4+77)),MIN(DAY(Kalemler!$D52),DAY(EOMONTH((Tahmin!$C$4+77),0))))&gt;=Kalemler!$D52),AND(DATE(YEAR((Tahmin!$C$4+83)),MONTH((Tahmin!$C$4+83)),MIN(DAY(Kalemler!$D52),DAY(EOMONTH((Tahmin!$C$4+83),0))))&gt;=(Tahmin!$C$4+77),DATE(YEAR((Tahmin!$C$4+83)),MONTH((Tahmin!$C$4+83)),MIN(DAY(Kalemler!$D52),DAY(EOMONTH((Tahmin!$C$4+83),0))))&lt;=(Tahmin!$C$4+83),DATE(YEAR((Tahmin!$C$4+83)),MONTH((Tahmin!$C$4+83)),MIN(DAY(Kalemler!$D52),DAY(EOMONTH((Tahmin!$C$4+83),0))))&lt;&gt;DATE(YEAR((Tahmin!$C$4+77)),MONTH((Tahmin!$C$4+77)),MIN(DAY(Kalemler!$D52),DAY(EOMONTH((Tahmin!$C$4+77),0)))),DATE(YEAR((Tahmin!$C$4+83)),MONTH((Tahmin!$C$4+83)),MIN(DAY(Kalemler!$D52),DAY(EOMONTH((Tahmin!$C$4+83),0))))&gt;=Kalemler!$D52)),1,0),IF(AND(Kalemler!$D52&gt;=(Tahmin!$C$4+77),Kalemler!$D52&lt;=(Tahmin!$C$4+83)),1,0))))</f>
        <v>0</v>
      </c>
      <c r="N52" s="0" t="n">
        <f aca="false">IF(OR(Kalemler!$A52="",Kalemler!$C52="",Kalemler!$D52=""),0,Kalemler!$C52*IF(Kalemler!$E52="Haftalık",IF(Kalemler!$D52&lt;=(Tahmin!$C$4+90),1,0),IF(Kalemler!$E52="Aylık",IF(OR(AND(DATE(YEAR((Tahmin!$C$4+84)),MONTH((Tahmin!$C$4+84)),MIN(DAY(Kalemler!$D52),DAY(EOMONTH((Tahmin!$C$4+84),0))))&gt;=(Tahmin!$C$4+84),DATE(YEAR((Tahmin!$C$4+84)),MONTH((Tahmin!$C$4+84)),MIN(DAY(Kalemler!$D52),DAY(EOMONTH((Tahmin!$C$4+84),0))))&lt;=(Tahmin!$C$4+90),DATE(YEAR((Tahmin!$C$4+84)),MONTH((Tahmin!$C$4+84)),MIN(DAY(Kalemler!$D52),DAY(EOMONTH((Tahmin!$C$4+84),0))))&gt;=Kalemler!$D52),AND(DATE(YEAR((Tahmin!$C$4+90)),MONTH((Tahmin!$C$4+90)),MIN(DAY(Kalemler!$D52),DAY(EOMONTH((Tahmin!$C$4+90),0))))&gt;=(Tahmin!$C$4+84),DATE(YEAR((Tahmin!$C$4+90)),MONTH((Tahmin!$C$4+90)),MIN(DAY(Kalemler!$D52),DAY(EOMONTH((Tahmin!$C$4+90),0))))&lt;=(Tahmin!$C$4+90),DATE(YEAR((Tahmin!$C$4+90)),MONTH((Tahmin!$C$4+90)),MIN(DAY(Kalemler!$D52),DAY(EOMONTH((Tahmin!$C$4+90),0))))&lt;&gt;DATE(YEAR((Tahmin!$C$4+84)),MONTH((Tahmin!$C$4+84)),MIN(DAY(Kalemler!$D52),DAY(EOMONTH((Tahmin!$C$4+84),0)))),DATE(YEAR((Tahmin!$C$4+90)),MONTH((Tahmin!$C$4+90)),MIN(DAY(Kalemler!$D52),DAY(EOMONTH((Tahmin!$C$4+90),0))))&gt;=Kalemler!$D52)),1,0),IF(AND(Kalemler!$D52&gt;=(Tahmin!$C$4+84),Kalemler!$D52&lt;=(Tahmin!$C$4+90)),1,0))))</f>
        <v>0</v>
      </c>
    </row>
    <row r="53" customFormat="false" ht="15" hidden="false" customHeight="false" outlineLevel="0" collapsed="false">
      <c r="A53" s="0" t="str">
        <f aca="false">IF(Kalemler!A53="","",Kalemler!A53)</f>
        <v/>
      </c>
      <c r="B53" s="0" t="n">
        <f aca="false">IF(OR(Kalemler!$A53="",Kalemler!$C53="",Kalemler!$D53=""),0,Kalemler!$C53*IF(Kalemler!$E53="Haftalık",IF(Kalemler!$D53&lt;=(Tahmin!$C$4+6),1,0),IF(Kalemler!$E53="Aylık",IF(OR(AND(DATE(YEAR((Tahmin!$C$4+0)),MONTH((Tahmin!$C$4+0)),MIN(DAY(Kalemler!$D53),DAY(EOMONTH((Tahmin!$C$4+0),0))))&gt;=(Tahmin!$C$4+0),DATE(YEAR((Tahmin!$C$4+0)),MONTH((Tahmin!$C$4+0)),MIN(DAY(Kalemler!$D53),DAY(EOMONTH((Tahmin!$C$4+0),0))))&lt;=(Tahmin!$C$4+6),DATE(YEAR((Tahmin!$C$4+0)),MONTH((Tahmin!$C$4+0)),MIN(DAY(Kalemler!$D53),DAY(EOMONTH((Tahmin!$C$4+0),0))))&gt;=Kalemler!$D53),AND(DATE(YEAR((Tahmin!$C$4+6)),MONTH((Tahmin!$C$4+6)),MIN(DAY(Kalemler!$D53),DAY(EOMONTH((Tahmin!$C$4+6),0))))&gt;=(Tahmin!$C$4+0),DATE(YEAR((Tahmin!$C$4+6)),MONTH((Tahmin!$C$4+6)),MIN(DAY(Kalemler!$D53),DAY(EOMONTH((Tahmin!$C$4+6),0))))&lt;=(Tahmin!$C$4+6),DATE(YEAR((Tahmin!$C$4+6)),MONTH((Tahmin!$C$4+6)),MIN(DAY(Kalemler!$D53),DAY(EOMONTH((Tahmin!$C$4+6),0))))&lt;&gt;DATE(YEAR((Tahmin!$C$4+0)),MONTH((Tahmin!$C$4+0)),MIN(DAY(Kalemler!$D53),DAY(EOMONTH((Tahmin!$C$4+0),0)))),DATE(YEAR((Tahmin!$C$4+6)),MONTH((Tahmin!$C$4+6)),MIN(DAY(Kalemler!$D53),DAY(EOMONTH((Tahmin!$C$4+6),0))))&gt;=Kalemler!$D53)),1,0),IF(AND(Kalemler!$D53&gt;=(Tahmin!$C$4+0),Kalemler!$D53&lt;=(Tahmin!$C$4+6)),1,0))))</f>
        <v>0</v>
      </c>
      <c r="C53" s="0" t="n">
        <f aca="false">IF(OR(Kalemler!$A53="",Kalemler!$C53="",Kalemler!$D53=""),0,Kalemler!$C53*IF(Kalemler!$E53="Haftalık",IF(Kalemler!$D53&lt;=(Tahmin!$C$4+13),1,0),IF(Kalemler!$E53="Aylık",IF(OR(AND(DATE(YEAR((Tahmin!$C$4+7)),MONTH((Tahmin!$C$4+7)),MIN(DAY(Kalemler!$D53),DAY(EOMONTH((Tahmin!$C$4+7),0))))&gt;=(Tahmin!$C$4+7),DATE(YEAR((Tahmin!$C$4+7)),MONTH((Tahmin!$C$4+7)),MIN(DAY(Kalemler!$D53),DAY(EOMONTH((Tahmin!$C$4+7),0))))&lt;=(Tahmin!$C$4+13),DATE(YEAR((Tahmin!$C$4+7)),MONTH((Tahmin!$C$4+7)),MIN(DAY(Kalemler!$D53),DAY(EOMONTH((Tahmin!$C$4+7),0))))&gt;=Kalemler!$D53),AND(DATE(YEAR((Tahmin!$C$4+13)),MONTH((Tahmin!$C$4+13)),MIN(DAY(Kalemler!$D53),DAY(EOMONTH((Tahmin!$C$4+13),0))))&gt;=(Tahmin!$C$4+7),DATE(YEAR((Tahmin!$C$4+13)),MONTH((Tahmin!$C$4+13)),MIN(DAY(Kalemler!$D53),DAY(EOMONTH((Tahmin!$C$4+13),0))))&lt;=(Tahmin!$C$4+13),DATE(YEAR((Tahmin!$C$4+13)),MONTH((Tahmin!$C$4+13)),MIN(DAY(Kalemler!$D53),DAY(EOMONTH((Tahmin!$C$4+13),0))))&lt;&gt;DATE(YEAR((Tahmin!$C$4+7)),MONTH((Tahmin!$C$4+7)),MIN(DAY(Kalemler!$D53),DAY(EOMONTH((Tahmin!$C$4+7),0)))),DATE(YEAR((Tahmin!$C$4+13)),MONTH((Tahmin!$C$4+13)),MIN(DAY(Kalemler!$D53),DAY(EOMONTH((Tahmin!$C$4+13),0))))&gt;=Kalemler!$D53)),1,0),IF(AND(Kalemler!$D53&gt;=(Tahmin!$C$4+7),Kalemler!$D53&lt;=(Tahmin!$C$4+13)),1,0))))</f>
        <v>0</v>
      </c>
      <c r="D53" s="0" t="n">
        <f aca="false">IF(OR(Kalemler!$A53="",Kalemler!$C53="",Kalemler!$D53=""),0,Kalemler!$C53*IF(Kalemler!$E53="Haftalık",IF(Kalemler!$D53&lt;=(Tahmin!$C$4+20),1,0),IF(Kalemler!$E53="Aylık",IF(OR(AND(DATE(YEAR((Tahmin!$C$4+14)),MONTH((Tahmin!$C$4+14)),MIN(DAY(Kalemler!$D53),DAY(EOMONTH((Tahmin!$C$4+14),0))))&gt;=(Tahmin!$C$4+14),DATE(YEAR((Tahmin!$C$4+14)),MONTH((Tahmin!$C$4+14)),MIN(DAY(Kalemler!$D53),DAY(EOMONTH((Tahmin!$C$4+14),0))))&lt;=(Tahmin!$C$4+20),DATE(YEAR((Tahmin!$C$4+14)),MONTH((Tahmin!$C$4+14)),MIN(DAY(Kalemler!$D53),DAY(EOMONTH((Tahmin!$C$4+14),0))))&gt;=Kalemler!$D53),AND(DATE(YEAR((Tahmin!$C$4+20)),MONTH((Tahmin!$C$4+20)),MIN(DAY(Kalemler!$D53),DAY(EOMONTH((Tahmin!$C$4+20),0))))&gt;=(Tahmin!$C$4+14),DATE(YEAR((Tahmin!$C$4+20)),MONTH((Tahmin!$C$4+20)),MIN(DAY(Kalemler!$D53),DAY(EOMONTH((Tahmin!$C$4+20),0))))&lt;=(Tahmin!$C$4+20),DATE(YEAR((Tahmin!$C$4+20)),MONTH((Tahmin!$C$4+20)),MIN(DAY(Kalemler!$D53),DAY(EOMONTH((Tahmin!$C$4+20),0))))&lt;&gt;DATE(YEAR((Tahmin!$C$4+14)),MONTH((Tahmin!$C$4+14)),MIN(DAY(Kalemler!$D53),DAY(EOMONTH((Tahmin!$C$4+14),0)))),DATE(YEAR((Tahmin!$C$4+20)),MONTH((Tahmin!$C$4+20)),MIN(DAY(Kalemler!$D53),DAY(EOMONTH((Tahmin!$C$4+20),0))))&gt;=Kalemler!$D53)),1,0),IF(AND(Kalemler!$D53&gt;=(Tahmin!$C$4+14),Kalemler!$D53&lt;=(Tahmin!$C$4+20)),1,0))))</f>
        <v>0</v>
      </c>
      <c r="E53" s="0" t="n">
        <f aca="false">IF(OR(Kalemler!$A53="",Kalemler!$C53="",Kalemler!$D53=""),0,Kalemler!$C53*IF(Kalemler!$E53="Haftalık",IF(Kalemler!$D53&lt;=(Tahmin!$C$4+27),1,0),IF(Kalemler!$E53="Aylık",IF(OR(AND(DATE(YEAR((Tahmin!$C$4+21)),MONTH((Tahmin!$C$4+21)),MIN(DAY(Kalemler!$D53),DAY(EOMONTH((Tahmin!$C$4+21),0))))&gt;=(Tahmin!$C$4+21),DATE(YEAR((Tahmin!$C$4+21)),MONTH((Tahmin!$C$4+21)),MIN(DAY(Kalemler!$D53),DAY(EOMONTH((Tahmin!$C$4+21),0))))&lt;=(Tahmin!$C$4+27),DATE(YEAR((Tahmin!$C$4+21)),MONTH((Tahmin!$C$4+21)),MIN(DAY(Kalemler!$D53),DAY(EOMONTH((Tahmin!$C$4+21),0))))&gt;=Kalemler!$D53),AND(DATE(YEAR((Tahmin!$C$4+27)),MONTH((Tahmin!$C$4+27)),MIN(DAY(Kalemler!$D53),DAY(EOMONTH((Tahmin!$C$4+27),0))))&gt;=(Tahmin!$C$4+21),DATE(YEAR((Tahmin!$C$4+27)),MONTH((Tahmin!$C$4+27)),MIN(DAY(Kalemler!$D53),DAY(EOMONTH((Tahmin!$C$4+27),0))))&lt;=(Tahmin!$C$4+27),DATE(YEAR((Tahmin!$C$4+27)),MONTH((Tahmin!$C$4+27)),MIN(DAY(Kalemler!$D53),DAY(EOMONTH((Tahmin!$C$4+27),0))))&lt;&gt;DATE(YEAR((Tahmin!$C$4+21)),MONTH((Tahmin!$C$4+21)),MIN(DAY(Kalemler!$D53),DAY(EOMONTH((Tahmin!$C$4+21),0)))),DATE(YEAR((Tahmin!$C$4+27)),MONTH((Tahmin!$C$4+27)),MIN(DAY(Kalemler!$D53),DAY(EOMONTH((Tahmin!$C$4+27),0))))&gt;=Kalemler!$D53)),1,0),IF(AND(Kalemler!$D53&gt;=(Tahmin!$C$4+21),Kalemler!$D53&lt;=(Tahmin!$C$4+27)),1,0))))</f>
        <v>0</v>
      </c>
      <c r="F53" s="0" t="n">
        <f aca="false">IF(OR(Kalemler!$A53="",Kalemler!$C53="",Kalemler!$D53=""),0,Kalemler!$C53*IF(Kalemler!$E53="Haftalık",IF(Kalemler!$D53&lt;=(Tahmin!$C$4+34),1,0),IF(Kalemler!$E53="Aylık",IF(OR(AND(DATE(YEAR((Tahmin!$C$4+28)),MONTH((Tahmin!$C$4+28)),MIN(DAY(Kalemler!$D53),DAY(EOMONTH((Tahmin!$C$4+28),0))))&gt;=(Tahmin!$C$4+28),DATE(YEAR((Tahmin!$C$4+28)),MONTH((Tahmin!$C$4+28)),MIN(DAY(Kalemler!$D53),DAY(EOMONTH((Tahmin!$C$4+28),0))))&lt;=(Tahmin!$C$4+34),DATE(YEAR((Tahmin!$C$4+28)),MONTH((Tahmin!$C$4+28)),MIN(DAY(Kalemler!$D53),DAY(EOMONTH((Tahmin!$C$4+28),0))))&gt;=Kalemler!$D53),AND(DATE(YEAR((Tahmin!$C$4+34)),MONTH((Tahmin!$C$4+34)),MIN(DAY(Kalemler!$D53),DAY(EOMONTH((Tahmin!$C$4+34),0))))&gt;=(Tahmin!$C$4+28),DATE(YEAR((Tahmin!$C$4+34)),MONTH((Tahmin!$C$4+34)),MIN(DAY(Kalemler!$D53),DAY(EOMONTH((Tahmin!$C$4+34),0))))&lt;=(Tahmin!$C$4+34),DATE(YEAR((Tahmin!$C$4+34)),MONTH((Tahmin!$C$4+34)),MIN(DAY(Kalemler!$D53),DAY(EOMONTH((Tahmin!$C$4+34),0))))&lt;&gt;DATE(YEAR((Tahmin!$C$4+28)),MONTH((Tahmin!$C$4+28)),MIN(DAY(Kalemler!$D53),DAY(EOMONTH((Tahmin!$C$4+28),0)))),DATE(YEAR((Tahmin!$C$4+34)),MONTH((Tahmin!$C$4+34)),MIN(DAY(Kalemler!$D53),DAY(EOMONTH((Tahmin!$C$4+34),0))))&gt;=Kalemler!$D53)),1,0),IF(AND(Kalemler!$D53&gt;=(Tahmin!$C$4+28),Kalemler!$D53&lt;=(Tahmin!$C$4+34)),1,0))))</f>
        <v>0</v>
      </c>
      <c r="G53" s="0" t="n">
        <f aca="false">IF(OR(Kalemler!$A53="",Kalemler!$C53="",Kalemler!$D53=""),0,Kalemler!$C53*IF(Kalemler!$E53="Haftalık",IF(Kalemler!$D53&lt;=(Tahmin!$C$4+41),1,0),IF(Kalemler!$E53="Aylık",IF(OR(AND(DATE(YEAR((Tahmin!$C$4+35)),MONTH((Tahmin!$C$4+35)),MIN(DAY(Kalemler!$D53),DAY(EOMONTH((Tahmin!$C$4+35),0))))&gt;=(Tahmin!$C$4+35),DATE(YEAR((Tahmin!$C$4+35)),MONTH((Tahmin!$C$4+35)),MIN(DAY(Kalemler!$D53),DAY(EOMONTH((Tahmin!$C$4+35),0))))&lt;=(Tahmin!$C$4+41),DATE(YEAR((Tahmin!$C$4+35)),MONTH((Tahmin!$C$4+35)),MIN(DAY(Kalemler!$D53),DAY(EOMONTH((Tahmin!$C$4+35),0))))&gt;=Kalemler!$D53),AND(DATE(YEAR((Tahmin!$C$4+41)),MONTH((Tahmin!$C$4+41)),MIN(DAY(Kalemler!$D53),DAY(EOMONTH((Tahmin!$C$4+41),0))))&gt;=(Tahmin!$C$4+35),DATE(YEAR((Tahmin!$C$4+41)),MONTH((Tahmin!$C$4+41)),MIN(DAY(Kalemler!$D53),DAY(EOMONTH((Tahmin!$C$4+41),0))))&lt;=(Tahmin!$C$4+41),DATE(YEAR((Tahmin!$C$4+41)),MONTH((Tahmin!$C$4+41)),MIN(DAY(Kalemler!$D53),DAY(EOMONTH((Tahmin!$C$4+41),0))))&lt;&gt;DATE(YEAR((Tahmin!$C$4+35)),MONTH((Tahmin!$C$4+35)),MIN(DAY(Kalemler!$D53),DAY(EOMONTH((Tahmin!$C$4+35),0)))),DATE(YEAR((Tahmin!$C$4+41)),MONTH((Tahmin!$C$4+41)),MIN(DAY(Kalemler!$D53),DAY(EOMONTH((Tahmin!$C$4+41),0))))&gt;=Kalemler!$D53)),1,0),IF(AND(Kalemler!$D53&gt;=(Tahmin!$C$4+35),Kalemler!$D53&lt;=(Tahmin!$C$4+41)),1,0))))</f>
        <v>0</v>
      </c>
      <c r="H53" s="0" t="n">
        <f aca="false">IF(OR(Kalemler!$A53="",Kalemler!$C53="",Kalemler!$D53=""),0,Kalemler!$C53*IF(Kalemler!$E53="Haftalık",IF(Kalemler!$D53&lt;=(Tahmin!$C$4+48),1,0),IF(Kalemler!$E53="Aylık",IF(OR(AND(DATE(YEAR((Tahmin!$C$4+42)),MONTH((Tahmin!$C$4+42)),MIN(DAY(Kalemler!$D53),DAY(EOMONTH((Tahmin!$C$4+42),0))))&gt;=(Tahmin!$C$4+42),DATE(YEAR((Tahmin!$C$4+42)),MONTH((Tahmin!$C$4+42)),MIN(DAY(Kalemler!$D53),DAY(EOMONTH((Tahmin!$C$4+42),0))))&lt;=(Tahmin!$C$4+48),DATE(YEAR((Tahmin!$C$4+42)),MONTH((Tahmin!$C$4+42)),MIN(DAY(Kalemler!$D53),DAY(EOMONTH((Tahmin!$C$4+42),0))))&gt;=Kalemler!$D53),AND(DATE(YEAR((Tahmin!$C$4+48)),MONTH((Tahmin!$C$4+48)),MIN(DAY(Kalemler!$D53),DAY(EOMONTH((Tahmin!$C$4+48),0))))&gt;=(Tahmin!$C$4+42),DATE(YEAR((Tahmin!$C$4+48)),MONTH((Tahmin!$C$4+48)),MIN(DAY(Kalemler!$D53),DAY(EOMONTH((Tahmin!$C$4+48),0))))&lt;=(Tahmin!$C$4+48),DATE(YEAR((Tahmin!$C$4+48)),MONTH((Tahmin!$C$4+48)),MIN(DAY(Kalemler!$D53),DAY(EOMONTH((Tahmin!$C$4+48),0))))&lt;&gt;DATE(YEAR((Tahmin!$C$4+42)),MONTH((Tahmin!$C$4+42)),MIN(DAY(Kalemler!$D53),DAY(EOMONTH((Tahmin!$C$4+42),0)))),DATE(YEAR((Tahmin!$C$4+48)),MONTH((Tahmin!$C$4+48)),MIN(DAY(Kalemler!$D53),DAY(EOMONTH((Tahmin!$C$4+48),0))))&gt;=Kalemler!$D53)),1,0),IF(AND(Kalemler!$D53&gt;=(Tahmin!$C$4+42),Kalemler!$D53&lt;=(Tahmin!$C$4+48)),1,0))))</f>
        <v>0</v>
      </c>
      <c r="I53" s="0" t="n">
        <f aca="false">IF(OR(Kalemler!$A53="",Kalemler!$C53="",Kalemler!$D53=""),0,Kalemler!$C53*IF(Kalemler!$E53="Haftalık",IF(Kalemler!$D53&lt;=(Tahmin!$C$4+55),1,0),IF(Kalemler!$E53="Aylık",IF(OR(AND(DATE(YEAR((Tahmin!$C$4+49)),MONTH((Tahmin!$C$4+49)),MIN(DAY(Kalemler!$D53),DAY(EOMONTH((Tahmin!$C$4+49),0))))&gt;=(Tahmin!$C$4+49),DATE(YEAR((Tahmin!$C$4+49)),MONTH((Tahmin!$C$4+49)),MIN(DAY(Kalemler!$D53),DAY(EOMONTH((Tahmin!$C$4+49),0))))&lt;=(Tahmin!$C$4+55),DATE(YEAR((Tahmin!$C$4+49)),MONTH((Tahmin!$C$4+49)),MIN(DAY(Kalemler!$D53),DAY(EOMONTH((Tahmin!$C$4+49),0))))&gt;=Kalemler!$D53),AND(DATE(YEAR((Tahmin!$C$4+55)),MONTH((Tahmin!$C$4+55)),MIN(DAY(Kalemler!$D53),DAY(EOMONTH((Tahmin!$C$4+55),0))))&gt;=(Tahmin!$C$4+49),DATE(YEAR((Tahmin!$C$4+55)),MONTH((Tahmin!$C$4+55)),MIN(DAY(Kalemler!$D53),DAY(EOMONTH((Tahmin!$C$4+55),0))))&lt;=(Tahmin!$C$4+55),DATE(YEAR((Tahmin!$C$4+55)),MONTH((Tahmin!$C$4+55)),MIN(DAY(Kalemler!$D53),DAY(EOMONTH((Tahmin!$C$4+55),0))))&lt;&gt;DATE(YEAR((Tahmin!$C$4+49)),MONTH((Tahmin!$C$4+49)),MIN(DAY(Kalemler!$D53),DAY(EOMONTH((Tahmin!$C$4+49),0)))),DATE(YEAR((Tahmin!$C$4+55)),MONTH((Tahmin!$C$4+55)),MIN(DAY(Kalemler!$D53),DAY(EOMONTH((Tahmin!$C$4+55),0))))&gt;=Kalemler!$D53)),1,0),IF(AND(Kalemler!$D53&gt;=(Tahmin!$C$4+49),Kalemler!$D53&lt;=(Tahmin!$C$4+55)),1,0))))</f>
        <v>0</v>
      </c>
      <c r="J53" s="0" t="n">
        <f aca="false">IF(OR(Kalemler!$A53="",Kalemler!$C53="",Kalemler!$D53=""),0,Kalemler!$C53*IF(Kalemler!$E53="Haftalık",IF(Kalemler!$D53&lt;=(Tahmin!$C$4+62),1,0),IF(Kalemler!$E53="Aylık",IF(OR(AND(DATE(YEAR((Tahmin!$C$4+56)),MONTH((Tahmin!$C$4+56)),MIN(DAY(Kalemler!$D53),DAY(EOMONTH((Tahmin!$C$4+56),0))))&gt;=(Tahmin!$C$4+56),DATE(YEAR((Tahmin!$C$4+56)),MONTH((Tahmin!$C$4+56)),MIN(DAY(Kalemler!$D53),DAY(EOMONTH((Tahmin!$C$4+56),0))))&lt;=(Tahmin!$C$4+62),DATE(YEAR((Tahmin!$C$4+56)),MONTH((Tahmin!$C$4+56)),MIN(DAY(Kalemler!$D53),DAY(EOMONTH((Tahmin!$C$4+56),0))))&gt;=Kalemler!$D53),AND(DATE(YEAR((Tahmin!$C$4+62)),MONTH((Tahmin!$C$4+62)),MIN(DAY(Kalemler!$D53),DAY(EOMONTH((Tahmin!$C$4+62),0))))&gt;=(Tahmin!$C$4+56),DATE(YEAR((Tahmin!$C$4+62)),MONTH((Tahmin!$C$4+62)),MIN(DAY(Kalemler!$D53),DAY(EOMONTH((Tahmin!$C$4+62),0))))&lt;=(Tahmin!$C$4+62),DATE(YEAR((Tahmin!$C$4+62)),MONTH((Tahmin!$C$4+62)),MIN(DAY(Kalemler!$D53),DAY(EOMONTH((Tahmin!$C$4+62),0))))&lt;&gt;DATE(YEAR((Tahmin!$C$4+56)),MONTH((Tahmin!$C$4+56)),MIN(DAY(Kalemler!$D53),DAY(EOMONTH((Tahmin!$C$4+56),0)))),DATE(YEAR((Tahmin!$C$4+62)),MONTH((Tahmin!$C$4+62)),MIN(DAY(Kalemler!$D53),DAY(EOMONTH((Tahmin!$C$4+62),0))))&gt;=Kalemler!$D53)),1,0),IF(AND(Kalemler!$D53&gt;=(Tahmin!$C$4+56),Kalemler!$D53&lt;=(Tahmin!$C$4+62)),1,0))))</f>
        <v>0</v>
      </c>
      <c r="K53" s="0" t="n">
        <f aca="false">IF(OR(Kalemler!$A53="",Kalemler!$C53="",Kalemler!$D53=""),0,Kalemler!$C53*IF(Kalemler!$E53="Haftalık",IF(Kalemler!$D53&lt;=(Tahmin!$C$4+69),1,0),IF(Kalemler!$E53="Aylık",IF(OR(AND(DATE(YEAR((Tahmin!$C$4+63)),MONTH((Tahmin!$C$4+63)),MIN(DAY(Kalemler!$D53),DAY(EOMONTH((Tahmin!$C$4+63),0))))&gt;=(Tahmin!$C$4+63),DATE(YEAR((Tahmin!$C$4+63)),MONTH((Tahmin!$C$4+63)),MIN(DAY(Kalemler!$D53),DAY(EOMONTH((Tahmin!$C$4+63),0))))&lt;=(Tahmin!$C$4+69),DATE(YEAR((Tahmin!$C$4+63)),MONTH((Tahmin!$C$4+63)),MIN(DAY(Kalemler!$D53),DAY(EOMONTH((Tahmin!$C$4+63),0))))&gt;=Kalemler!$D53),AND(DATE(YEAR((Tahmin!$C$4+69)),MONTH((Tahmin!$C$4+69)),MIN(DAY(Kalemler!$D53),DAY(EOMONTH((Tahmin!$C$4+69),0))))&gt;=(Tahmin!$C$4+63),DATE(YEAR((Tahmin!$C$4+69)),MONTH((Tahmin!$C$4+69)),MIN(DAY(Kalemler!$D53),DAY(EOMONTH((Tahmin!$C$4+69),0))))&lt;=(Tahmin!$C$4+69),DATE(YEAR((Tahmin!$C$4+69)),MONTH((Tahmin!$C$4+69)),MIN(DAY(Kalemler!$D53),DAY(EOMONTH((Tahmin!$C$4+69),0))))&lt;&gt;DATE(YEAR((Tahmin!$C$4+63)),MONTH((Tahmin!$C$4+63)),MIN(DAY(Kalemler!$D53),DAY(EOMONTH((Tahmin!$C$4+63),0)))),DATE(YEAR((Tahmin!$C$4+69)),MONTH((Tahmin!$C$4+69)),MIN(DAY(Kalemler!$D53),DAY(EOMONTH((Tahmin!$C$4+69),0))))&gt;=Kalemler!$D53)),1,0),IF(AND(Kalemler!$D53&gt;=(Tahmin!$C$4+63),Kalemler!$D53&lt;=(Tahmin!$C$4+69)),1,0))))</f>
        <v>0</v>
      </c>
      <c r="L53" s="0" t="n">
        <f aca="false">IF(OR(Kalemler!$A53="",Kalemler!$C53="",Kalemler!$D53=""),0,Kalemler!$C53*IF(Kalemler!$E53="Haftalık",IF(Kalemler!$D53&lt;=(Tahmin!$C$4+76),1,0),IF(Kalemler!$E53="Aylık",IF(OR(AND(DATE(YEAR((Tahmin!$C$4+70)),MONTH((Tahmin!$C$4+70)),MIN(DAY(Kalemler!$D53),DAY(EOMONTH((Tahmin!$C$4+70),0))))&gt;=(Tahmin!$C$4+70),DATE(YEAR((Tahmin!$C$4+70)),MONTH((Tahmin!$C$4+70)),MIN(DAY(Kalemler!$D53),DAY(EOMONTH((Tahmin!$C$4+70),0))))&lt;=(Tahmin!$C$4+76),DATE(YEAR((Tahmin!$C$4+70)),MONTH((Tahmin!$C$4+70)),MIN(DAY(Kalemler!$D53),DAY(EOMONTH((Tahmin!$C$4+70),0))))&gt;=Kalemler!$D53),AND(DATE(YEAR((Tahmin!$C$4+76)),MONTH((Tahmin!$C$4+76)),MIN(DAY(Kalemler!$D53),DAY(EOMONTH((Tahmin!$C$4+76),0))))&gt;=(Tahmin!$C$4+70),DATE(YEAR((Tahmin!$C$4+76)),MONTH((Tahmin!$C$4+76)),MIN(DAY(Kalemler!$D53),DAY(EOMONTH((Tahmin!$C$4+76),0))))&lt;=(Tahmin!$C$4+76),DATE(YEAR((Tahmin!$C$4+76)),MONTH((Tahmin!$C$4+76)),MIN(DAY(Kalemler!$D53),DAY(EOMONTH((Tahmin!$C$4+76),0))))&lt;&gt;DATE(YEAR((Tahmin!$C$4+70)),MONTH((Tahmin!$C$4+70)),MIN(DAY(Kalemler!$D53),DAY(EOMONTH((Tahmin!$C$4+70),0)))),DATE(YEAR((Tahmin!$C$4+76)),MONTH((Tahmin!$C$4+76)),MIN(DAY(Kalemler!$D53),DAY(EOMONTH((Tahmin!$C$4+76),0))))&gt;=Kalemler!$D53)),1,0),IF(AND(Kalemler!$D53&gt;=(Tahmin!$C$4+70),Kalemler!$D53&lt;=(Tahmin!$C$4+76)),1,0))))</f>
        <v>0</v>
      </c>
      <c r="M53" s="0" t="n">
        <f aca="false">IF(OR(Kalemler!$A53="",Kalemler!$C53="",Kalemler!$D53=""),0,Kalemler!$C53*IF(Kalemler!$E53="Haftalık",IF(Kalemler!$D53&lt;=(Tahmin!$C$4+83),1,0),IF(Kalemler!$E53="Aylık",IF(OR(AND(DATE(YEAR((Tahmin!$C$4+77)),MONTH((Tahmin!$C$4+77)),MIN(DAY(Kalemler!$D53),DAY(EOMONTH((Tahmin!$C$4+77),0))))&gt;=(Tahmin!$C$4+77),DATE(YEAR((Tahmin!$C$4+77)),MONTH((Tahmin!$C$4+77)),MIN(DAY(Kalemler!$D53),DAY(EOMONTH((Tahmin!$C$4+77),0))))&lt;=(Tahmin!$C$4+83),DATE(YEAR((Tahmin!$C$4+77)),MONTH((Tahmin!$C$4+77)),MIN(DAY(Kalemler!$D53),DAY(EOMONTH((Tahmin!$C$4+77),0))))&gt;=Kalemler!$D53),AND(DATE(YEAR((Tahmin!$C$4+83)),MONTH((Tahmin!$C$4+83)),MIN(DAY(Kalemler!$D53),DAY(EOMONTH((Tahmin!$C$4+83),0))))&gt;=(Tahmin!$C$4+77),DATE(YEAR((Tahmin!$C$4+83)),MONTH((Tahmin!$C$4+83)),MIN(DAY(Kalemler!$D53),DAY(EOMONTH((Tahmin!$C$4+83),0))))&lt;=(Tahmin!$C$4+83),DATE(YEAR((Tahmin!$C$4+83)),MONTH((Tahmin!$C$4+83)),MIN(DAY(Kalemler!$D53),DAY(EOMONTH((Tahmin!$C$4+83),0))))&lt;&gt;DATE(YEAR((Tahmin!$C$4+77)),MONTH((Tahmin!$C$4+77)),MIN(DAY(Kalemler!$D53),DAY(EOMONTH((Tahmin!$C$4+77),0)))),DATE(YEAR((Tahmin!$C$4+83)),MONTH((Tahmin!$C$4+83)),MIN(DAY(Kalemler!$D53),DAY(EOMONTH((Tahmin!$C$4+83),0))))&gt;=Kalemler!$D53)),1,0),IF(AND(Kalemler!$D53&gt;=(Tahmin!$C$4+77),Kalemler!$D53&lt;=(Tahmin!$C$4+83)),1,0))))</f>
        <v>0</v>
      </c>
      <c r="N53" s="0" t="n">
        <f aca="false">IF(OR(Kalemler!$A53="",Kalemler!$C53="",Kalemler!$D53=""),0,Kalemler!$C53*IF(Kalemler!$E53="Haftalık",IF(Kalemler!$D53&lt;=(Tahmin!$C$4+90),1,0),IF(Kalemler!$E53="Aylık",IF(OR(AND(DATE(YEAR((Tahmin!$C$4+84)),MONTH((Tahmin!$C$4+84)),MIN(DAY(Kalemler!$D53),DAY(EOMONTH((Tahmin!$C$4+84),0))))&gt;=(Tahmin!$C$4+84),DATE(YEAR((Tahmin!$C$4+84)),MONTH((Tahmin!$C$4+84)),MIN(DAY(Kalemler!$D53),DAY(EOMONTH((Tahmin!$C$4+84),0))))&lt;=(Tahmin!$C$4+90),DATE(YEAR((Tahmin!$C$4+84)),MONTH((Tahmin!$C$4+84)),MIN(DAY(Kalemler!$D53),DAY(EOMONTH((Tahmin!$C$4+84),0))))&gt;=Kalemler!$D53),AND(DATE(YEAR((Tahmin!$C$4+90)),MONTH((Tahmin!$C$4+90)),MIN(DAY(Kalemler!$D53),DAY(EOMONTH((Tahmin!$C$4+90),0))))&gt;=(Tahmin!$C$4+84),DATE(YEAR((Tahmin!$C$4+90)),MONTH((Tahmin!$C$4+90)),MIN(DAY(Kalemler!$D53),DAY(EOMONTH((Tahmin!$C$4+90),0))))&lt;=(Tahmin!$C$4+90),DATE(YEAR((Tahmin!$C$4+90)),MONTH((Tahmin!$C$4+90)),MIN(DAY(Kalemler!$D53),DAY(EOMONTH((Tahmin!$C$4+90),0))))&lt;&gt;DATE(YEAR((Tahmin!$C$4+84)),MONTH((Tahmin!$C$4+84)),MIN(DAY(Kalemler!$D53),DAY(EOMONTH((Tahmin!$C$4+84),0)))),DATE(YEAR((Tahmin!$C$4+90)),MONTH((Tahmin!$C$4+90)),MIN(DAY(Kalemler!$D53),DAY(EOMONTH((Tahmin!$C$4+90),0))))&gt;=Kalemler!$D53)),1,0),IF(AND(Kalemler!$D53&gt;=(Tahmin!$C$4+84),Kalemler!$D53&lt;=(Tahmin!$C$4+90)),1,0))))</f>
        <v>0</v>
      </c>
    </row>
    <row r="54" customFormat="false" ht="15" hidden="false" customHeight="false" outlineLevel="0" collapsed="false">
      <c r="A54" s="0" t="str">
        <f aca="false">IF(Kalemler!A54="","",Kalemler!A54)</f>
        <v/>
      </c>
      <c r="B54" s="0" t="n">
        <f aca="false">IF(OR(Kalemler!$A54="",Kalemler!$C54="",Kalemler!$D54=""),0,Kalemler!$C54*IF(Kalemler!$E54="Haftalık",IF(Kalemler!$D54&lt;=(Tahmin!$C$4+6),1,0),IF(Kalemler!$E54="Aylık",IF(OR(AND(DATE(YEAR((Tahmin!$C$4+0)),MONTH((Tahmin!$C$4+0)),MIN(DAY(Kalemler!$D54),DAY(EOMONTH((Tahmin!$C$4+0),0))))&gt;=(Tahmin!$C$4+0),DATE(YEAR((Tahmin!$C$4+0)),MONTH((Tahmin!$C$4+0)),MIN(DAY(Kalemler!$D54),DAY(EOMONTH((Tahmin!$C$4+0),0))))&lt;=(Tahmin!$C$4+6),DATE(YEAR((Tahmin!$C$4+0)),MONTH((Tahmin!$C$4+0)),MIN(DAY(Kalemler!$D54),DAY(EOMONTH((Tahmin!$C$4+0),0))))&gt;=Kalemler!$D54),AND(DATE(YEAR((Tahmin!$C$4+6)),MONTH((Tahmin!$C$4+6)),MIN(DAY(Kalemler!$D54),DAY(EOMONTH((Tahmin!$C$4+6),0))))&gt;=(Tahmin!$C$4+0),DATE(YEAR((Tahmin!$C$4+6)),MONTH((Tahmin!$C$4+6)),MIN(DAY(Kalemler!$D54),DAY(EOMONTH((Tahmin!$C$4+6),0))))&lt;=(Tahmin!$C$4+6),DATE(YEAR((Tahmin!$C$4+6)),MONTH((Tahmin!$C$4+6)),MIN(DAY(Kalemler!$D54),DAY(EOMONTH((Tahmin!$C$4+6),0))))&lt;&gt;DATE(YEAR((Tahmin!$C$4+0)),MONTH((Tahmin!$C$4+0)),MIN(DAY(Kalemler!$D54),DAY(EOMONTH((Tahmin!$C$4+0),0)))),DATE(YEAR((Tahmin!$C$4+6)),MONTH((Tahmin!$C$4+6)),MIN(DAY(Kalemler!$D54),DAY(EOMONTH((Tahmin!$C$4+6),0))))&gt;=Kalemler!$D54)),1,0),IF(AND(Kalemler!$D54&gt;=(Tahmin!$C$4+0),Kalemler!$D54&lt;=(Tahmin!$C$4+6)),1,0))))</f>
        <v>0</v>
      </c>
      <c r="C54" s="0" t="n">
        <f aca="false">IF(OR(Kalemler!$A54="",Kalemler!$C54="",Kalemler!$D54=""),0,Kalemler!$C54*IF(Kalemler!$E54="Haftalık",IF(Kalemler!$D54&lt;=(Tahmin!$C$4+13),1,0),IF(Kalemler!$E54="Aylık",IF(OR(AND(DATE(YEAR((Tahmin!$C$4+7)),MONTH((Tahmin!$C$4+7)),MIN(DAY(Kalemler!$D54),DAY(EOMONTH((Tahmin!$C$4+7),0))))&gt;=(Tahmin!$C$4+7),DATE(YEAR((Tahmin!$C$4+7)),MONTH((Tahmin!$C$4+7)),MIN(DAY(Kalemler!$D54),DAY(EOMONTH((Tahmin!$C$4+7),0))))&lt;=(Tahmin!$C$4+13),DATE(YEAR((Tahmin!$C$4+7)),MONTH((Tahmin!$C$4+7)),MIN(DAY(Kalemler!$D54),DAY(EOMONTH((Tahmin!$C$4+7),0))))&gt;=Kalemler!$D54),AND(DATE(YEAR((Tahmin!$C$4+13)),MONTH((Tahmin!$C$4+13)),MIN(DAY(Kalemler!$D54),DAY(EOMONTH((Tahmin!$C$4+13),0))))&gt;=(Tahmin!$C$4+7),DATE(YEAR((Tahmin!$C$4+13)),MONTH((Tahmin!$C$4+13)),MIN(DAY(Kalemler!$D54),DAY(EOMONTH((Tahmin!$C$4+13),0))))&lt;=(Tahmin!$C$4+13),DATE(YEAR((Tahmin!$C$4+13)),MONTH((Tahmin!$C$4+13)),MIN(DAY(Kalemler!$D54),DAY(EOMONTH((Tahmin!$C$4+13),0))))&lt;&gt;DATE(YEAR((Tahmin!$C$4+7)),MONTH((Tahmin!$C$4+7)),MIN(DAY(Kalemler!$D54),DAY(EOMONTH((Tahmin!$C$4+7),0)))),DATE(YEAR((Tahmin!$C$4+13)),MONTH((Tahmin!$C$4+13)),MIN(DAY(Kalemler!$D54),DAY(EOMONTH((Tahmin!$C$4+13),0))))&gt;=Kalemler!$D54)),1,0),IF(AND(Kalemler!$D54&gt;=(Tahmin!$C$4+7),Kalemler!$D54&lt;=(Tahmin!$C$4+13)),1,0))))</f>
        <v>0</v>
      </c>
      <c r="D54" s="0" t="n">
        <f aca="false">IF(OR(Kalemler!$A54="",Kalemler!$C54="",Kalemler!$D54=""),0,Kalemler!$C54*IF(Kalemler!$E54="Haftalık",IF(Kalemler!$D54&lt;=(Tahmin!$C$4+20),1,0),IF(Kalemler!$E54="Aylık",IF(OR(AND(DATE(YEAR((Tahmin!$C$4+14)),MONTH((Tahmin!$C$4+14)),MIN(DAY(Kalemler!$D54),DAY(EOMONTH((Tahmin!$C$4+14),0))))&gt;=(Tahmin!$C$4+14),DATE(YEAR((Tahmin!$C$4+14)),MONTH((Tahmin!$C$4+14)),MIN(DAY(Kalemler!$D54),DAY(EOMONTH((Tahmin!$C$4+14),0))))&lt;=(Tahmin!$C$4+20),DATE(YEAR((Tahmin!$C$4+14)),MONTH((Tahmin!$C$4+14)),MIN(DAY(Kalemler!$D54),DAY(EOMONTH((Tahmin!$C$4+14),0))))&gt;=Kalemler!$D54),AND(DATE(YEAR((Tahmin!$C$4+20)),MONTH((Tahmin!$C$4+20)),MIN(DAY(Kalemler!$D54),DAY(EOMONTH((Tahmin!$C$4+20),0))))&gt;=(Tahmin!$C$4+14),DATE(YEAR((Tahmin!$C$4+20)),MONTH((Tahmin!$C$4+20)),MIN(DAY(Kalemler!$D54),DAY(EOMONTH((Tahmin!$C$4+20),0))))&lt;=(Tahmin!$C$4+20),DATE(YEAR((Tahmin!$C$4+20)),MONTH((Tahmin!$C$4+20)),MIN(DAY(Kalemler!$D54),DAY(EOMONTH((Tahmin!$C$4+20),0))))&lt;&gt;DATE(YEAR((Tahmin!$C$4+14)),MONTH((Tahmin!$C$4+14)),MIN(DAY(Kalemler!$D54),DAY(EOMONTH((Tahmin!$C$4+14),0)))),DATE(YEAR((Tahmin!$C$4+20)),MONTH((Tahmin!$C$4+20)),MIN(DAY(Kalemler!$D54),DAY(EOMONTH((Tahmin!$C$4+20),0))))&gt;=Kalemler!$D54)),1,0),IF(AND(Kalemler!$D54&gt;=(Tahmin!$C$4+14),Kalemler!$D54&lt;=(Tahmin!$C$4+20)),1,0))))</f>
        <v>0</v>
      </c>
      <c r="E54" s="0" t="n">
        <f aca="false">IF(OR(Kalemler!$A54="",Kalemler!$C54="",Kalemler!$D54=""),0,Kalemler!$C54*IF(Kalemler!$E54="Haftalık",IF(Kalemler!$D54&lt;=(Tahmin!$C$4+27),1,0),IF(Kalemler!$E54="Aylık",IF(OR(AND(DATE(YEAR((Tahmin!$C$4+21)),MONTH((Tahmin!$C$4+21)),MIN(DAY(Kalemler!$D54),DAY(EOMONTH((Tahmin!$C$4+21),0))))&gt;=(Tahmin!$C$4+21),DATE(YEAR((Tahmin!$C$4+21)),MONTH((Tahmin!$C$4+21)),MIN(DAY(Kalemler!$D54),DAY(EOMONTH((Tahmin!$C$4+21),0))))&lt;=(Tahmin!$C$4+27),DATE(YEAR((Tahmin!$C$4+21)),MONTH((Tahmin!$C$4+21)),MIN(DAY(Kalemler!$D54),DAY(EOMONTH((Tahmin!$C$4+21),0))))&gt;=Kalemler!$D54),AND(DATE(YEAR((Tahmin!$C$4+27)),MONTH((Tahmin!$C$4+27)),MIN(DAY(Kalemler!$D54),DAY(EOMONTH((Tahmin!$C$4+27),0))))&gt;=(Tahmin!$C$4+21),DATE(YEAR((Tahmin!$C$4+27)),MONTH((Tahmin!$C$4+27)),MIN(DAY(Kalemler!$D54),DAY(EOMONTH((Tahmin!$C$4+27),0))))&lt;=(Tahmin!$C$4+27),DATE(YEAR((Tahmin!$C$4+27)),MONTH((Tahmin!$C$4+27)),MIN(DAY(Kalemler!$D54),DAY(EOMONTH((Tahmin!$C$4+27),0))))&lt;&gt;DATE(YEAR((Tahmin!$C$4+21)),MONTH((Tahmin!$C$4+21)),MIN(DAY(Kalemler!$D54),DAY(EOMONTH((Tahmin!$C$4+21),0)))),DATE(YEAR((Tahmin!$C$4+27)),MONTH((Tahmin!$C$4+27)),MIN(DAY(Kalemler!$D54),DAY(EOMONTH((Tahmin!$C$4+27),0))))&gt;=Kalemler!$D54)),1,0),IF(AND(Kalemler!$D54&gt;=(Tahmin!$C$4+21),Kalemler!$D54&lt;=(Tahmin!$C$4+27)),1,0))))</f>
        <v>0</v>
      </c>
      <c r="F54" s="0" t="n">
        <f aca="false">IF(OR(Kalemler!$A54="",Kalemler!$C54="",Kalemler!$D54=""),0,Kalemler!$C54*IF(Kalemler!$E54="Haftalık",IF(Kalemler!$D54&lt;=(Tahmin!$C$4+34),1,0),IF(Kalemler!$E54="Aylık",IF(OR(AND(DATE(YEAR((Tahmin!$C$4+28)),MONTH((Tahmin!$C$4+28)),MIN(DAY(Kalemler!$D54),DAY(EOMONTH((Tahmin!$C$4+28),0))))&gt;=(Tahmin!$C$4+28),DATE(YEAR((Tahmin!$C$4+28)),MONTH((Tahmin!$C$4+28)),MIN(DAY(Kalemler!$D54),DAY(EOMONTH((Tahmin!$C$4+28),0))))&lt;=(Tahmin!$C$4+34),DATE(YEAR((Tahmin!$C$4+28)),MONTH((Tahmin!$C$4+28)),MIN(DAY(Kalemler!$D54),DAY(EOMONTH((Tahmin!$C$4+28),0))))&gt;=Kalemler!$D54),AND(DATE(YEAR((Tahmin!$C$4+34)),MONTH((Tahmin!$C$4+34)),MIN(DAY(Kalemler!$D54),DAY(EOMONTH((Tahmin!$C$4+34),0))))&gt;=(Tahmin!$C$4+28),DATE(YEAR((Tahmin!$C$4+34)),MONTH((Tahmin!$C$4+34)),MIN(DAY(Kalemler!$D54),DAY(EOMONTH((Tahmin!$C$4+34),0))))&lt;=(Tahmin!$C$4+34),DATE(YEAR((Tahmin!$C$4+34)),MONTH((Tahmin!$C$4+34)),MIN(DAY(Kalemler!$D54),DAY(EOMONTH((Tahmin!$C$4+34),0))))&lt;&gt;DATE(YEAR((Tahmin!$C$4+28)),MONTH((Tahmin!$C$4+28)),MIN(DAY(Kalemler!$D54),DAY(EOMONTH((Tahmin!$C$4+28),0)))),DATE(YEAR((Tahmin!$C$4+34)),MONTH((Tahmin!$C$4+34)),MIN(DAY(Kalemler!$D54),DAY(EOMONTH((Tahmin!$C$4+34),0))))&gt;=Kalemler!$D54)),1,0),IF(AND(Kalemler!$D54&gt;=(Tahmin!$C$4+28),Kalemler!$D54&lt;=(Tahmin!$C$4+34)),1,0))))</f>
        <v>0</v>
      </c>
      <c r="G54" s="0" t="n">
        <f aca="false">IF(OR(Kalemler!$A54="",Kalemler!$C54="",Kalemler!$D54=""),0,Kalemler!$C54*IF(Kalemler!$E54="Haftalık",IF(Kalemler!$D54&lt;=(Tahmin!$C$4+41),1,0),IF(Kalemler!$E54="Aylık",IF(OR(AND(DATE(YEAR((Tahmin!$C$4+35)),MONTH((Tahmin!$C$4+35)),MIN(DAY(Kalemler!$D54),DAY(EOMONTH((Tahmin!$C$4+35),0))))&gt;=(Tahmin!$C$4+35),DATE(YEAR((Tahmin!$C$4+35)),MONTH((Tahmin!$C$4+35)),MIN(DAY(Kalemler!$D54),DAY(EOMONTH((Tahmin!$C$4+35),0))))&lt;=(Tahmin!$C$4+41),DATE(YEAR((Tahmin!$C$4+35)),MONTH((Tahmin!$C$4+35)),MIN(DAY(Kalemler!$D54),DAY(EOMONTH((Tahmin!$C$4+35),0))))&gt;=Kalemler!$D54),AND(DATE(YEAR((Tahmin!$C$4+41)),MONTH((Tahmin!$C$4+41)),MIN(DAY(Kalemler!$D54),DAY(EOMONTH((Tahmin!$C$4+41),0))))&gt;=(Tahmin!$C$4+35),DATE(YEAR((Tahmin!$C$4+41)),MONTH((Tahmin!$C$4+41)),MIN(DAY(Kalemler!$D54),DAY(EOMONTH((Tahmin!$C$4+41),0))))&lt;=(Tahmin!$C$4+41),DATE(YEAR((Tahmin!$C$4+41)),MONTH((Tahmin!$C$4+41)),MIN(DAY(Kalemler!$D54),DAY(EOMONTH((Tahmin!$C$4+41),0))))&lt;&gt;DATE(YEAR((Tahmin!$C$4+35)),MONTH((Tahmin!$C$4+35)),MIN(DAY(Kalemler!$D54),DAY(EOMONTH((Tahmin!$C$4+35),0)))),DATE(YEAR((Tahmin!$C$4+41)),MONTH((Tahmin!$C$4+41)),MIN(DAY(Kalemler!$D54),DAY(EOMONTH((Tahmin!$C$4+41),0))))&gt;=Kalemler!$D54)),1,0),IF(AND(Kalemler!$D54&gt;=(Tahmin!$C$4+35),Kalemler!$D54&lt;=(Tahmin!$C$4+41)),1,0))))</f>
        <v>0</v>
      </c>
      <c r="H54" s="0" t="n">
        <f aca="false">IF(OR(Kalemler!$A54="",Kalemler!$C54="",Kalemler!$D54=""),0,Kalemler!$C54*IF(Kalemler!$E54="Haftalık",IF(Kalemler!$D54&lt;=(Tahmin!$C$4+48),1,0),IF(Kalemler!$E54="Aylık",IF(OR(AND(DATE(YEAR((Tahmin!$C$4+42)),MONTH((Tahmin!$C$4+42)),MIN(DAY(Kalemler!$D54),DAY(EOMONTH((Tahmin!$C$4+42),0))))&gt;=(Tahmin!$C$4+42),DATE(YEAR((Tahmin!$C$4+42)),MONTH((Tahmin!$C$4+42)),MIN(DAY(Kalemler!$D54),DAY(EOMONTH((Tahmin!$C$4+42),0))))&lt;=(Tahmin!$C$4+48),DATE(YEAR((Tahmin!$C$4+42)),MONTH((Tahmin!$C$4+42)),MIN(DAY(Kalemler!$D54),DAY(EOMONTH((Tahmin!$C$4+42),0))))&gt;=Kalemler!$D54),AND(DATE(YEAR((Tahmin!$C$4+48)),MONTH((Tahmin!$C$4+48)),MIN(DAY(Kalemler!$D54),DAY(EOMONTH((Tahmin!$C$4+48),0))))&gt;=(Tahmin!$C$4+42),DATE(YEAR((Tahmin!$C$4+48)),MONTH((Tahmin!$C$4+48)),MIN(DAY(Kalemler!$D54),DAY(EOMONTH((Tahmin!$C$4+48),0))))&lt;=(Tahmin!$C$4+48),DATE(YEAR((Tahmin!$C$4+48)),MONTH((Tahmin!$C$4+48)),MIN(DAY(Kalemler!$D54),DAY(EOMONTH((Tahmin!$C$4+48),0))))&lt;&gt;DATE(YEAR((Tahmin!$C$4+42)),MONTH((Tahmin!$C$4+42)),MIN(DAY(Kalemler!$D54),DAY(EOMONTH((Tahmin!$C$4+42),0)))),DATE(YEAR((Tahmin!$C$4+48)),MONTH((Tahmin!$C$4+48)),MIN(DAY(Kalemler!$D54),DAY(EOMONTH((Tahmin!$C$4+48),0))))&gt;=Kalemler!$D54)),1,0),IF(AND(Kalemler!$D54&gt;=(Tahmin!$C$4+42),Kalemler!$D54&lt;=(Tahmin!$C$4+48)),1,0))))</f>
        <v>0</v>
      </c>
      <c r="I54" s="0" t="n">
        <f aca="false">IF(OR(Kalemler!$A54="",Kalemler!$C54="",Kalemler!$D54=""),0,Kalemler!$C54*IF(Kalemler!$E54="Haftalık",IF(Kalemler!$D54&lt;=(Tahmin!$C$4+55),1,0),IF(Kalemler!$E54="Aylık",IF(OR(AND(DATE(YEAR((Tahmin!$C$4+49)),MONTH((Tahmin!$C$4+49)),MIN(DAY(Kalemler!$D54),DAY(EOMONTH((Tahmin!$C$4+49),0))))&gt;=(Tahmin!$C$4+49),DATE(YEAR((Tahmin!$C$4+49)),MONTH((Tahmin!$C$4+49)),MIN(DAY(Kalemler!$D54),DAY(EOMONTH((Tahmin!$C$4+49),0))))&lt;=(Tahmin!$C$4+55),DATE(YEAR((Tahmin!$C$4+49)),MONTH((Tahmin!$C$4+49)),MIN(DAY(Kalemler!$D54),DAY(EOMONTH((Tahmin!$C$4+49),0))))&gt;=Kalemler!$D54),AND(DATE(YEAR((Tahmin!$C$4+55)),MONTH((Tahmin!$C$4+55)),MIN(DAY(Kalemler!$D54),DAY(EOMONTH((Tahmin!$C$4+55),0))))&gt;=(Tahmin!$C$4+49),DATE(YEAR((Tahmin!$C$4+55)),MONTH((Tahmin!$C$4+55)),MIN(DAY(Kalemler!$D54),DAY(EOMONTH((Tahmin!$C$4+55),0))))&lt;=(Tahmin!$C$4+55),DATE(YEAR((Tahmin!$C$4+55)),MONTH((Tahmin!$C$4+55)),MIN(DAY(Kalemler!$D54),DAY(EOMONTH((Tahmin!$C$4+55),0))))&lt;&gt;DATE(YEAR((Tahmin!$C$4+49)),MONTH((Tahmin!$C$4+49)),MIN(DAY(Kalemler!$D54),DAY(EOMONTH((Tahmin!$C$4+49),0)))),DATE(YEAR((Tahmin!$C$4+55)),MONTH((Tahmin!$C$4+55)),MIN(DAY(Kalemler!$D54),DAY(EOMONTH((Tahmin!$C$4+55),0))))&gt;=Kalemler!$D54)),1,0),IF(AND(Kalemler!$D54&gt;=(Tahmin!$C$4+49),Kalemler!$D54&lt;=(Tahmin!$C$4+55)),1,0))))</f>
        <v>0</v>
      </c>
      <c r="J54" s="0" t="n">
        <f aca="false">IF(OR(Kalemler!$A54="",Kalemler!$C54="",Kalemler!$D54=""),0,Kalemler!$C54*IF(Kalemler!$E54="Haftalık",IF(Kalemler!$D54&lt;=(Tahmin!$C$4+62),1,0),IF(Kalemler!$E54="Aylık",IF(OR(AND(DATE(YEAR((Tahmin!$C$4+56)),MONTH((Tahmin!$C$4+56)),MIN(DAY(Kalemler!$D54),DAY(EOMONTH((Tahmin!$C$4+56),0))))&gt;=(Tahmin!$C$4+56),DATE(YEAR((Tahmin!$C$4+56)),MONTH((Tahmin!$C$4+56)),MIN(DAY(Kalemler!$D54),DAY(EOMONTH((Tahmin!$C$4+56),0))))&lt;=(Tahmin!$C$4+62),DATE(YEAR((Tahmin!$C$4+56)),MONTH((Tahmin!$C$4+56)),MIN(DAY(Kalemler!$D54),DAY(EOMONTH((Tahmin!$C$4+56),0))))&gt;=Kalemler!$D54),AND(DATE(YEAR((Tahmin!$C$4+62)),MONTH((Tahmin!$C$4+62)),MIN(DAY(Kalemler!$D54),DAY(EOMONTH((Tahmin!$C$4+62),0))))&gt;=(Tahmin!$C$4+56),DATE(YEAR((Tahmin!$C$4+62)),MONTH((Tahmin!$C$4+62)),MIN(DAY(Kalemler!$D54),DAY(EOMONTH((Tahmin!$C$4+62),0))))&lt;=(Tahmin!$C$4+62),DATE(YEAR((Tahmin!$C$4+62)),MONTH((Tahmin!$C$4+62)),MIN(DAY(Kalemler!$D54),DAY(EOMONTH((Tahmin!$C$4+62),0))))&lt;&gt;DATE(YEAR((Tahmin!$C$4+56)),MONTH((Tahmin!$C$4+56)),MIN(DAY(Kalemler!$D54),DAY(EOMONTH((Tahmin!$C$4+56),0)))),DATE(YEAR((Tahmin!$C$4+62)),MONTH((Tahmin!$C$4+62)),MIN(DAY(Kalemler!$D54),DAY(EOMONTH((Tahmin!$C$4+62),0))))&gt;=Kalemler!$D54)),1,0),IF(AND(Kalemler!$D54&gt;=(Tahmin!$C$4+56),Kalemler!$D54&lt;=(Tahmin!$C$4+62)),1,0))))</f>
        <v>0</v>
      </c>
      <c r="K54" s="0" t="n">
        <f aca="false">IF(OR(Kalemler!$A54="",Kalemler!$C54="",Kalemler!$D54=""),0,Kalemler!$C54*IF(Kalemler!$E54="Haftalık",IF(Kalemler!$D54&lt;=(Tahmin!$C$4+69),1,0),IF(Kalemler!$E54="Aylık",IF(OR(AND(DATE(YEAR((Tahmin!$C$4+63)),MONTH((Tahmin!$C$4+63)),MIN(DAY(Kalemler!$D54),DAY(EOMONTH((Tahmin!$C$4+63),0))))&gt;=(Tahmin!$C$4+63),DATE(YEAR((Tahmin!$C$4+63)),MONTH((Tahmin!$C$4+63)),MIN(DAY(Kalemler!$D54),DAY(EOMONTH((Tahmin!$C$4+63),0))))&lt;=(Tahmin!$C$4+69),DATE(YEAR((Tahmin!$C$4+63)),MONTH((Tahmin!$C$4+63)),MIN(DAY(Kalemler!$D54),DAY(EOMONTH((Tahmin!$C$4+63),0))))&gt;=Kalemler!$D54),AND(DATE(YEAR((Tahmin!$C$4+69)),MONTH((Tahmin!$C$4+69)),MIN(DAY(Kalemler!$D54),DAY(EOMONTH((Tahmin!$C$4+69),0))))&gt;=(Tahmin!$C$4+63),DATE(YEAR((Tahmin!$C$4+69)),MONTH((Tahmin!$C$4+69)),MIN(DAY(Kalemler!$D54),DAY(EOMONTH((Tahmin!$C$4+69),0))))&lt;=(Tahmin!$C$4+69),DATE(YEAR((Tahmin!$C$4+69)),MONTH((Tahmin!$C$4+69)),MIN(DAY(Kalemler!$D54),DAY(EOMONTH((Tahmin!$C$4+69),0))))&lt;&gt;DATE(YEAR((Tahmin!$C$4+63)),MONTH((Tahmin!$C$4+63)),MIN(DAY(Kalemler!$D54),DAY(EOMONTH((Tahmin!$C$4+63),0)))),DATE(YEAR((Tahmin!$C$4+69)),MONTH((Tahmin!$C$4+69)),MIN(DAY(Kalemler!$D54),DAY(EOMONTH((Tahmin!$C$4+69),0))))&gt;=Kalemler!$D54)),1,0),IF(AND(Kalemler!$D54&gt;=(Tahmin!$C$4+63),Kalemler!$D54&lt;=(Tahmin!$C$4+69)),1,0))))</f>
        <v>0</v>
      </c>
      <c r="L54" s="0" t="n">
        <f aca="false">IF(OR(Kalemler!$A54="",Kalemler!$C54="",Kalemler!$D54=""),0,Kalemler!$C54*IF(Kalemler!$E54="Haftalık",IF(Kalemler!$D54&lt;=(Tahmin!$C$4+76),1,0),IF(Kalemler!$E54="Aylık",IF(OR(AND(DATE(YEAR((Tahmin!$C$4+70)),MONTH((Tahmin!$C$4+70)),MIN(DAY(Kalemler!$D54),DAY(EOMONTH((Tahmin!$C$4+70),0))))&gt;=(Tahmin!$C$4+70),DATE(YEAR((Tahmin!$C$4+70)),MONTH((Tahmin!$C$4+70)),MIN(DAY(Kalemler!$D54),DAY(EOMONTH((Tahmin!$C$4+70),0))))&lt;=(Tahmin!$C$4+76),DATE(YEAR((Tahmin!$C$4+70)),MONTH((Tahmin!$C$4+70)),MIN(DAY(Kalemler!$D54),DAY(EOMONTH((Tahmin!$C$4+70),0))))&gt;=Kalemler!$D54),AND(DATE(YEAR((Tahmin!$C$4+76)),MONTH((Tahmin!$C$4+76)),MIN(DAY(Kalemler!$D54),DAY(EOMONTH((Tahmin!$C$4+76),0))))&gt;=(Tahmin!$C$4+70),DATE(YEAR((Tahmin!$C$4+76)),MONTH((Tahmin!$C$4+76)),MIN(DAY(Kalemler!$D54),DAY(EOMONTH((Tahmin!$C$4+76),0))))&lt;=(Tahmin!$C$4+76),DATE(YEAR((Tahmin!$C$4+76)),MONTH((Tahmin!$C$4+76)),MIN(DAY(Kalemler!$D54),DAY(EOMONTH((Tahmin!$C$4+76),0))))&lt;&gt;DATE(YEAR((Tahmin!$C$4+70)),MONTH((Tahmin!$C$4+70)),MIN(DAY(Kalemler!$D54),DAY(EOMONTH((Tahmin!$C$4+70),0)))),DATE(YEAR((Tahmin!$C$4+76)),MONTH((Tahmin!$C$4+76)),MIN(DAY(Kalemler!$D54),DAY(EOMONTH((Tahmin!$C$4+76),0))))&gt;=Kalemler!$D54)),1,0),IF(AND(Kalemler!$D54&gt;=(Tahmin!$C$4+70),Kalemler!$D54&lt;=(Tahmin!$C$4+76)),1,0))))</f>
        <v>0</v>
      </c>
      <c r="M54" s="0" t="n">
        <f aca="false">IF(OR(Kalemler!$A54="",Kalemler!$C54="",Kalemler!$D54=""),0,Kalemler!$C54*IF(Kalemler!$E54="Haftalık",IF(Kalemler!$D54&lt;=(Tahmin!$C$4+83),1,0),IF(Kalemler!$E54="Aylık",IF(OR(AND(DATE(YEAR((Tahmin!$C$4+77)),MONTH((Tahmin!$C$4+77)),MIN(DAY(Kalemler!$D54),DAY(EOMONTH((Tahmin!$C$4+77),0))))&gt;=(Tahmin!$C$4+77),DATE(YEAR((Tahmin!$C$4+77)),MONTH((Tahmin!$C$4+77)),MIN(DAY(Kalemler!$D54),DAY(EOMONTH((Tahmin!$C$4+77),0))))&lt;=(Tahmin!$C$4+83),DATE(YEAR((Tahmin!$C$4+77)),MONTH((Tahmin!$C$4+77)),MIN(DAY(Kalemler!$D54),DAY(EOMONTH((Tahmin!$C$4+77),0))))&gt;=Kalemler!$D54),AND(DATE(YEAR((Tahmin!$C$4+83)),MONTH((Tahmin!$C$4+83)),MIN(DAY(Kalemler!$D54),DAY(EOMONTH((Tahmin!$C$4+83),0))))&gt;=(Tahmin!$C$4+77),DATE(YEAR((Tahmin!$C$4+83)),MONTH((Tahmin!$C$4+83)),MIN(DAY(Kalemler!$D54),DAY(EOMONTH((Tahmin!$C$4+83),0))))&lt;=(Tahmin!$C$4+83),DATE(YEAR((Tahmin!$C$4+83)),MONTH((Tahmin!$C$4+83)),MIN(DAY(Kalemler!$D54),DAY(EOMONTH((Tahmin!$C$4+83),0))))&lt;&gt;DATE(YEAR((Tahmin!$C$4+77)),MONTH((Tahmin!$C$4+77)),MIN(DAY(Kalemler!$D54),DAY(EOMONTH((Tahmin!$C$4+77),0)))),DATE(YEAR((Tahmin!$C$4+83)),MONTH((Tahmin!$C$4+83)),MIN(DAY(Kalemler!$D54),DAY(EOMONTH((Tahmin!$C$4+83),0))))&gt;=Kalemler!$D54)),1,0),IF(AND(Kalemler!$D54&gt;=(Tahmin!$C$4+77),Kalemler!$D54&lt;=(Tahmin!$C$4+83)),1,0))))</f>
        <v>0</v>
      </c>
      <c r="N54" s="0" t="n">
        <f aca="false">IF(OR(Kalemler!$A54="",Kalemler!$C54="",Kalemler!$D54=""),0,Kalemler!$C54*IF(Kalemler!$E54="Haftalık",IF(Kalemler!$D54&lt;=(Tahmin!$C$4+90),1,0),IF(Kalemler!$E54="Aylık",IF(OR(AND(DATE(YEAR((Tahmin!$C$4+84)),MONTH((Tahmin!$C$4+84)),MIN(DAY(Kalemler!$D54),DAY(EOMONTH((Tahmin!$C$4+84),0))))&gt;=(Tahmin!$C$4+84),DATE(YEAR((Tahmin!$C$4+84)),MONTH((Tahmin!$C$4+84)),MIN(DAY(Kalemler!$D54),DAY(EOMONTH((Tahmin!$C$4+84),0))))&lt;=(Tahmin!$C$4+90),DATE(YEAR((Tahmin!$C$4+84)),MONTH((Tahmin!$C$4+84)),MIN(DAY(Kalemler!$D54),DAY(EOMONTH((Tahmin!$C$4+84),0))))&gt;=Kalemler!$D54),AND(DATE(YEAR((Tahmin!$C$4+90)),MONTH((Tahmin!$C$4+90)),MIN(DAY(Kalemler!$D54),DAY(EOMONTH((Tahmin!$C$4+90),0))))&gt;=(Tahmin!$C$4+84),DATE(YEAR((Tahmin!$C$4+90)),MONTH((Tahmin!$C$4+90)),MIN(DAY(Kalemler!$D54),DAY(EOMONTH((Tahmin!$C$4+90),0))))&lt;=(Tahmin!$C$4+90),DATE(YEAR((Tahmin!$C$4+90)),MONTH((Tahmin!$C$4+90)),MIN(DAY(Kalemler!$D54),DAY(EOMONTH((Tahmin!$C$4+90),0))))&lt;&gt;DATE(YEAR((Tahmin!$C$4+84)),MONTH((Tahmin!$C$4+84)),MIN(DAY(Kalemler!$D54),DAY(EOMONTH((Tahmin!$C$4+84),0)))),DATE(YEAR((Tahmin!$C$4+90)),MONTH((Tahmin!$C$4+90)),MIN(DAY(Kalemler!$D54),DAY(EOMONTH((Tahmin!$C$4+90),0))))&gt;=Kalemler!$D54)),1,0),IF(AND(Kalemler!$D54&gt;=(Tahmin!$C$4+84),Kalemler!$D54&lt;=(Tahmin!$C$4+90)),1,0))))</f>
        <v>0</v>
      </c>
    </row>
    <row r="55" customFormat="false" ht="15" hidden="false" customHeight="false" outlineLevel="0" collapsed="false">
      <c r="A55" s="0" t="str">
        <f aca="false">IF(Kalemler!A55="","",Kalemler!A55)</f>
        <v/>
      </c>
      <c r="B55" s="0" t="n">
        <f aca="false">IF(OR(Kalemler!$A55="",Kalemler!$C55="",Kalemler!$D55=""),0,Kalemler!$C55*IF(Kalemler!$E55="Haftalık",IF(Kalemler!$D55&lt;=(Tahmin!$C$4+6),1,0),IF(Kalemler!$E55="Aylık",IF(OR(AND(DATE(YEAR((Tahmin!$C$4+0)),MONTH((Tahmin!$C$4+0)),MIN(DAY(Kalemler!$D55),DAY(EOMONTH((Tahmin!$C$4+0),0))))&gt;=(Tahmin!$C$4+0),DATE(YEAR((Tahmin!$C$4+0)),MONTH((Tahmin!$C$4+0)),MIN(DAY(Kalemler!$D55),DAY(EOMONTH((Tahmin!$C$4+0),0))))&lt;=(Tahmin!$C$4+6),DATE(YEAR((Tahmin!$C$4+0)),MONTH((Tahmin!$C$4+0)),MIN(DAY(Kalemler!$D55),DAY(EOMONTH((Tahmin!$C$4+0),0))))&gt;=Kalemler!$D55),AND(DATE(YEAR((Tahmin!$C$4+6)),MONTH((Tahmin!$C$4+6)),MIN(DAY(Kalemler!$D55),DAY(EOMONTH((Tahmin!$C$4+6),0))))&gt;=(Tahmin!$C$4+0),DATE(YEAR((Tahmin!$C$4+6)),MONTH((Tahmin!$C$4+6)),MIN(DAY(Kalemler!$D55),DAY(EOMONTH((Tahmin!$C$4+6),0))))&lt;=(Tahmin!$C$4+6),DATE(YEAR((Tahmin!$C$4+6)),MONTH((Tahmin!$C$4+6)),MIN(DAY(Kalemler!$D55),DAY(EOMONTH((Tahmin!$C$4+6),0))))&lt;&gt;DATE(YEAR((Tahmin!$C$4+0)),MONTH((Tahmin!$C$4+0)),MIN(DAY(Kalemler!$D55),DAY(EOMONTH((Tahmin!$C$4+0),0)))),DATE(YEAR((Tahmin!$C$4+6)),MONTH((Tahmin!$C$4+6)),MIN(DAY(Kalemler!$D55),DAY(EOMONTH((Tahmin!$C$4+6),0))))&gt;=Kalemler!$D55)),1,0),IF(AND(Kalemler!$D55&gt;=(Tahmin!$C$4+0),Kalemler!$D55&lt;=(Tahmin!$C$4+6)),1,0))))</f>
        <v>0</v>
      </c>
      <c r="C55" s="0" t="n">
        <f aca="false">IF(OR(Kalemler!$A55="",Kalemler!$C55="",Kalemler!$D55=""),0,Kalemler!$C55*IF(Kalemler!$E55="Haftalık",IF(Kalemler!$D55&lt;=(Tahmin!$C$4+13),1,0),IF(Kalemler!$E55="Aylık",IF(OR(AND(DATE(YEAR((Tahmin!$C$4+7)),MONTH((Tahmin!$C$4+7)),MIN(DAY(Kalemler!$D55),DAY(EOMONTH((Tahmin!$C$4+7),0))))&gt;=(Tahmin!$C$4+7),DATE(YEAR((Tahmin!$C$4+7)),MONTH((Tahmin!$C$4+7)),MIN(DAY(Kalemler!$D55),DAY(EOMONTH((Tahmin!$C$4+7),0))))&lt;=(Tahmin!$C$4+13),DATE(YEAR((Tahmin!$C$4+7)),MONTH((Tahmin!$C$4+7)),MIN(DAY(Kalemler!$D55),DAY(EOMONTH((Tahmin!$C$4+7),0))))&gt;=Kalemler!$D55),AND(DATE(YEAR((Tahmin!$C$4+13)),MONTH((Tahmin!$C$4+13)),MIN(DAY(Kalemler!$D55),DAY(EOMONTH((Tahmin!$C$4+13),0))))&gt;=(Tahmin!$C$4+7),DATE(YEAR((Tahmin!$C$4+13)),MONTH((Tahmin!$C$4+13)),MIN(DAY(Kalemler!$D55),DAY(EOMONTH((Tahmin!$C$4+13),0))))&lt;=(Tahmin!$C$4+13),DATE(YEAR((Tahmin!$C$4+13)),MONTH((Tahmin!$C$4+13)),MIN(DAY(Kalemler!$D55),DAY(EOMONTH((Tahmin!$C$4+13),0))))&lt;&gt;DATE(YEAR((Tahmin!$C$4+7)),MONTH((Tahmin!$C$4+7)),MIN(DAY(Kalemler!$D55),DAY(EOMONTH((Tahmin!$C$4+7),0)))),DATE(YEAR((Tahmin!$C$4+13)),MONTH((Tahmin!$C$4+13)),MIN(DAY(Kalemler!$D55),DAY(EOMONTH((Tahmin!$C$4+13),0))))&gt;=Kalemler!$D55)),1,0),IF(AND(Kalemler!$D55&gt;=(Tahmin!$C$4+7),Kalemler!$D55&lt;=(Tahmin!$C$4+13)),1,0))))</f>
        <v>0</v>
      </c>
      <c r="D55" s="0" t="n">
        <f aca="false">IF(OR(Kalemler!$A55="",Kalemler!$C55="",Kalemler!$D55=""),0,Kalemler!$C55*IF(Kalemler!$E55="Haftalık",IF(Kalemler!$D55&lt;=(Tahmin!$C$4+20),1,0),IF(Kalemler!$E55="Aylık",IF(OR(AND(DATE(YEAR((Tahmin!$C$4+14)),MONTH((Tahmin!$C$4+14)),MIN(DAY(Kalemler!$D55),DAY(EOMONTH((Tahmin!$C$4+14),0))))&gt;=(Tahmin!$C$4+14),DATE(YEAR((Tahmin!$C$4+14)),MONTH((Tahmin!$C$4+14)),MIN(DAY(Kalemler!$D55),DAY(EOMONTH((Tahmin!$C$4+14),0))))&lt;=(Tahmin!$C$4+20),DATE(YEAR((Tahmin!$C$4+14)),MONTH((Tahmin!$C$4+14)),MIN(DAY(Kalemler!$D55),DAY(EOMONTH((Tahmin!$C$4+14),0))))&gt;=Kalemler!$D55),AND(DATE(YEAR((Tahmin!$C$4+20)),MONTH((Tahmin!$C$4+20)),MIN(DAY(Kalemler!$D55),DAY(EOMONTH((Tahmin!$C$4+20),0))))&gt;=(Tahmin!$C$4+14),DATE(YEAR((Tahmin!$C$4+20)),MONTH((Tahmin!$C$4+20)),MIN(DAY(Kalemler!$D55),DAY(EOMONTH((Tahmin!$C$4+20),0))))&lt;=(Tahmin!$C$4+20),DATE(YEAR((Tahmin!$C$4+20)),MONTH((Tahmin!$C$4+20)),MIN(DAY(Kalemler!$D55),DAY(EOMONTH((Tahmin!$C$4+20),0))))&lt;&gt;DATE(YEAR((Tahmin!$C$4+14)),MONTH((Tahmin!$C$4+14)),MIN(DAY(Kalemler!$D55),DAY(EOMONTH((Tahmin!$C$4+14),0)))),DATE(YEAR((Tahmin!$C$4+20)),MONTH((Tahmin!$C$4+20)),MIN(DAY(Kalemler!$D55),DAY(EOMONTH((Tahmin!$C$4+20),0))))&gt;=Kalemler!$D55)),1,0),IF(AND(Kalemler!$D55&gt;=(Tahmin!$C$4+14),Kalemler!$D55&lt;=(Tahmin!$C$4+20)),1,0))))</f>
        <v>0</v>
      </c>
      <c r="E55" s="0" t="n">
        <f aca="false">IF(OR(Kalemler!$A55="",Kalemler!$C55="",Kalemler!$D55=""),0,Kalemler!$C55*IF(Kalemler!$E55="Haftalık",IF(Kalemler!$D55&lt;=(Tahmin!$C$4+27),1,0),IF(Kalemler!$E55="Aylık",IF(OR(AND(DATE(YEAR((Tahmin!$C$4+21)),MONTH((Tahmin!$C$4+21)),MIN(DAY(Kalemler!$D55),DAY(EOMONTH((Tahmin!$C$4+21),0))))&gt;=(Tahmin!$C$4+21),DATE(YEAR((Tahmin!$C$4+21)),MONTH((Tahmin!$C$4+21)),MIN(DAY(Kalemler!$D55),DAY(EOMONTH((Tahmin!$C$4+21),0))))&lt;=(Tahmin!$C$4+27),DATE(YEAR((Tahmin!$C$4+21)),MONTH((Tahmin!$C$4+21)),MIN(DAY(Kalemler!$D55),DAY(EOMONTH((Tahmin!$C$4+21),0))))&gt;=Kalemler!$D55),AND(DATE(YEAR((Tahmin!$C$4+27)),MONTH((Tahmin!$C$4+27)),MIN(DAY(Kalemler!$D55),DAY(EOMONTH((Tahmin!$C$4+27),0))))&gt;=(Tahmin!$C$4+21),DATE(YEAR((Tahmin!$C$4+27)),MONTH((Tahmin!$C$4+27)),MIN(DAY(Kalemler!$D55),DAY(EOMONTH((Tahmin!$C$4+27),0))))&lt;=(Tahmin!$C$4+27),DATE(YEAR((Tahmin!$C$4+27)),MONTH((Tahmin!$C$4+27)),MIN(DAY(Kalemler!$D55),DAY(EOMONTH((Tahmin!$C$4+27),0))))&lt;&gt;DATE(YEAR((Tahmin!$C$4+21)),MONTH((Tahmin!$C$4+21)),MIN(DAY(Kalemler!$D55),DAY(EOMONTH((Tahmin!$C$4+21),0)))),DATE(YEAR((Tahmin!$C$4+27)),MONTH((Tahmin!$C$4+27)),MIN(DAY(Kalemler!$D55),DAY(EOMONTH((Tahmin!$C$4+27),0))))&gt;=Kalemler!$D55)),1,0),IF(AND(Kalemler!$D55&gt;=(Tahmin!$C$4+21),Kalemler!$D55&lt;=(Tahmin!$C$4+27)),1,0))))</f>
        <v>0</v>
      </c>
      <c r="F55" s="0" t="n">
        <f aca="false">IF(OR(Kalemler!$A55="",Kalemler!$C55="",Kalemler!$D55=""),0,Kalemler!$C55*IF(Kalemler!$E55="Haftalık",IF(Kalemler!$D55&lt;=(Tahmin!$C$4+34),1,0),IF(Kalemler!$E55="Aylık",IF(OR(AND(DATE(YEAR((Tahmin!$C$4+28)),MONTH((Tahmin!$C$4+28)),MIN(DAY(Kalemler!$D55),DAY(EOMONTH((Tahmin!$C$4+28),0))))&gt;=(Tahmin!$C$4+28),DATE(YEAR((Tahmin!$C$4+28)),MONTH((Tahmin!$C$4+28)),MIN(DAY(Kalemler!$D55),DAY(EOMONTH((Tahmin!$C$4+28),0))))&lt;=(Tahmin!$C$4+34),DATE(YEAR((Tahmin!$C$4+28)),MONTH((Tahmin!$C$4+28)),MIN(DAY(Kalemler!$D55),DAY(EOMONTH((Tahmin!$C$4+28),0))))&gt;=Kalemler!$D55),AND(DATE(YEAR((Tahmin!$C$4+34)),MONTH((Tahmin!$C$4+34)),MIN(DAY(Kalemler!$D55),DAY(EOMONTH((Tahmin!$C$4+34),0))))&gt;=(Tahmin!$C$4+28),DATE(YEAR((Tahmin!$C$4+34)),MONTH((Tahmin!$C$4+34)),MIN(DAY(Kalemler!$D55),DAY(EOMONTH((Tahmin!$C$4+34),0))))&lt;=(Tahmin!$C$4+34),DATE(YEAR((Tahmin!$C$4+34)),MONTH((Tahmin!$C$4+34)),MIN(DAY(Kalemler!$D55),DAY(EOMONTH((Tahmin!$C$4+34),0))))&lt;&gt;DATE(YEAR((Tahmin!$C$4+28)),MONTH((Tahmin!$C$4+28)),MIN(DAY(Kalemler!$D55),DAY(EOMONTH((Tahmin!$C$4+28),0)))),DATE(YEAR((Tahmin!$C$4+34)),MONTH((Tahmin!$C$4+34)),MIN(DAY(Kalemler!$D55),DAY(EOMONTH((Tahmin!$C$4+34),0))))&gt;=Kalemler!$D55)),1,0),IF(AND(Kalemler!$D55&gt;=(Tahmin!$C$4+28),Kalemler!$D55&lt;=(Tahmin!$C$4+34)),1,0))))</f>
        <v>0</v>
      </c>
      <c r="G55" s="0" t="n">
        <f aca="false">IF(OR(Kalemler!$A55="",Kalemler!$C55="",Kalemler!$D55=""),0,Kalemler!$C55*IF(Kalemler!$E55="Haftalık",IF(Kalemler!$D55&lt;=(Tahmin!$C$4+41),1,0),IF(Kalemler!$E55="Aylık",IF(OR(AND(DATE(YEAR((Tahmin!$C$4+35)),MONTH((Tahmin!$C$4+35)),MIN(DAY(Kalemler!$D55),DAY(EOMONTH((Tahmin!$C$4+35),0))))&gt;=(Tahmin!$C$4+35),DATE(YEAR((Tahmin!$C$4+35)),MONTH((Tahmin!$C$4+35)),MIN(DAY(Kalemler!$D55),DAY(EOMONTH((Tahmin!$C$4+35),0))))&lt;=(Tahmin!$C$4+41),DATE(YEAR((Tahmin!$C$4+35)),MONTH((Tahmin!$C$4+35)),MIN(DAY(Kalemler!$D55),DAY(EOMONTH((Tahmin!$C$4+35),0))))&gt;=Kalemler!$D55),AND(DATE(YEAR((Tahmin!$C$4+41)),MONTH((Tahmin!$C$4+41)),MIN(DAY(Kalemler!$D55),DAY(EOMONTH((Tahmin!$C$4+41),0))))&gt;=(Tahmin!$C$4+35),DATE(YEAR((Tahmin!$C$4+41)),MONTH((Tahmin!$C$4+41)),MIN(DAY(Kalemler!$D55),DAY(EOMONTH((Tahmin!$C$4+41),0))))&lt;=(Tahmin!$C$4+41),DATE(YEAR((Tahmin!$C$4+41)),MONTH((Tahmin!$C$4+41)),MIN(DAY(Kalemler!$D55),DAY(EOMONTH((Tahmin!$C$4+41),0))))&lt;&gt;DATE(YEAR((Tahmin!$C$4+35)),MONTH((Tahmin!$C$4+35)),MIN(DAY(Kalemler!$D55),DAY(EOMONTH((Tahmin!$C$4+35),0)))),DATE(YEAR((Tahmin!$C$4+41)),MONTH((Tahmin!$C$4+41)),MIN(DAY(Kalemler!$D55),DAY(EOMONTH((Tahmin!$C$4+41),0))))&gt;=Kalemler!$D55)),1,0),IF(AND(Kalemler!$D55&gt;=(Tahmin!$C$4+35),Kalemler!$D55&lt;=(Tahmin!$C$4+41)),1,0))))</f>
        <v>0</v>
      </c>
      <c r="H55" s="0" t="n">
        <f aca="false">IF(OR(Kalemler!$A55="",Kalemler!$C55="",Kalemler!$D55=""),0,Kalemler!$C55*IF(Kalemler!$E55="Haftalık",IF(Kalemler!$D55&lt;=(Tahmin!$C$4+48),1,0),IF(Kalemler!$E55="Aylık",IF(OR(AND(DATE(YEAR((Tahmin!$C$4+42)),MONTH((Tahmin!$C$4+42)),MIN(DAY(Kalemler!$D55),DAY(EOMONTH((Tahmin!$C$4+42),0))))&gt;=(Tahmin!$C$4+42),DATE(YEAR((Tahmin!$C$4+42)),MONTH((Tahmin!$C$4+42)),MIN(DAY(Kalemler!$D55),DAY(EOMONTH((Tahmin!$C$4+42),0))))&lt;=(Tahmin!$C$4+48),DATE(YEAR((Tahmin!$C$4+42)),MONTH((Tahmin!$C$4+42)),MIN(DAY(Kalemler!$D55),DAY(EOMONTH((Tahmin!$C$4+42),0))))&gt;=Kalemler!$D55),AND(DATE(YEAR((Tahmin!$C$4+48)),MONTH((Tahmin!$C$4+48)),MIN(DAY(Kalemler!$D55),DAY(EOMONTH((Tahmin!$C$4+48),0))))&gt;=(Tahmin!$C$4+42),DATE(YEAR((Tahmin!$C$4+48)),MONTH((Tahmin!$C$4+48)),MIN(DAY(Kalemler!$D55),DAY(EOMONTH((Tahmin!$C$4+48),0))))&lt;=(Tahmin!$C$4+48),DATE(YEAR((Tahmin!$C$4+48)),MONTH((Tahmin!$C$4+48)),MIN(DAY(Kalemler!$D55),DAY(EOMONTH((Tahmin!$C$4+48),0))))&lt;&gt;DATE(YEAR((Tahmin!$C$4+42)),MONTH((Tahmin!$C$4+42)),MIN(DAY(Kalemler!$D55),DAY(EOMONTH((Tahmin!$C$4+42),0)))),DATE(YEAR((Tahmin!$C$4+48)),MONTH((Tahmin!$C$4+48)),MIN(DAY(Kalemler!$D55),DAY(EOMONTH((Tahmin!$C$4+48),0))))&gt;=Kalemler!$D55)),1,0),IF(AND(Kalemler!$D55&gt;=(Tahmin!$C$4+42),Kalemler!$D55&lt;=(Tahmin!$C$4+48)),1,0))))</f>
        <v>0</v>
      </c>
      <c r="I55" s="0" t="n">
        <f aca="false">IF(OR(Kalemler!$A55="",Kalemler!$C55="",Kalemler!$D55=""),0,Kalemler!$C55*IF(Kalemler!$E55="Haftalık",IF(Kalemler!$D55&lt;=(Tahmin!$C$4+55),1,0),IF(Kalemler!$E55="Aylık",IF(OR(AND(DATE(YEAR((Tahmin!$C$4+49)),MONTH((Tahmin!$C$4+49)),MIN(DAY(Kalemler!$D55),DAY(EOMONTH((Tahmin!$C$4+49),0))))&gt;=(Tahmin!$C$4+49),DATE(YEAR((Tahmin!$C$4+49)),MONTH((Tahmin!$C$4+49)),MIN(DAY(Kalemler!$D55),DAY(EOMONTH((Tahmin!$C$4+49),0))))&lt;=(Tahmin!$C$4+55),DATE(YEAR((Tahmin!$C$4+49)),MONTH((Tahmin!$C$4+49)),MIN(DAY(Kalemler!$D55),DAY(EOMONTH((Tahmin!$C$4+49),0))))&gt;=Kalemler!$D55),AND(DATE(YEAR((Tahmin!$C$4+55)),MONTH((Tahmin!$C$4+55)),MIN(DAY(Kalemler!$D55),DAY(EOMONTH((Tahmin!$C$4+55),0))))&gt;=(Tahmin!$C$4+49),DATE(YEAR((Tahmin!$C$4+55)),MONTH((Tahmin!$C$4+55)),MIN(DAY(Kalemler!$D55),DAY(EOMONTH((Tahmin!$C$4+55),0))))&lt;=(Tahmin!$C$4+55),DATE(YEAR((Tahmin!$C$4+55)),MONTH((Tahmin!$C$4+55)),MIN(DAY(Kalemler!$D55),DAY(EOMONTH((Tahmin!$C$4+55),0))))&lt;&gt;DATE(YEAR((Tahmin!$C$4+49)),MONTH((Tahmin!$C$4+49)),MIN(DAY(Kalemler!$D55),DAY(EOMONTH((Tahmin!$C$4+49),0)))),DATE(YEAR((Tahmin!$C$4+55)),MONTH((Tahmin!$C$4+55)),MIN(DAY(Kalemler!$D55),DAY(EOMONTH((Tahmin!$C$4+55),0))))&gt;=Kalemler!$D55)),1,0),IF(AND(Kalemler!$D55&gt;=(Tahmin!$C$4+49),Kalemler!$D55&lt;=(Tahmin!$C$4+55)),1,0))))</f>
        <v>0</v>
      </c>
      <c r="J55" s="0" t="n">
        <f aca="false">IF(OR(Kalemler!$A55="",Kalemler!$C55="",Kalemler!$D55=""),0,Kalemler!$C55*IF(Kalemler!$E55="Haftalık",IF(Kalemler!$D55&lt;=(Tahmin!$C$4+62),1,0),IF(Kalemler!$E55="Aylık",IF(OR(AND(DATE(YEAR((Tahmin!$C$4+56)),MONTH((Tahmin!$C$4+56)),MIN(DAY(Kalemler!$D55),DAY(EOMONTH((Tahmin!$C$4+56),0))))&gt;=(Tahmin!$C$4+56),DATE(YEAR((Tahmin!$C$4+56)),MONTH((Tahmin!$C$4+56)),MIN(DAY(Kalemler!$D55),DAY(EOMONTH((Tahmin!$C$4+56),0))))&lt;=(Tahmin!$C$4+62),DATE(YEAR((Tahmin!$C$4+56)),MONTH((Tahmin!$C$4+56)),MIN(DAY(Kalemler!$D55),DAY(EOMONTH((Tahmin!$C$4+56),0))))&gt;=Kalemler!$D55),AND(DATE(YEAR((Tahmin!$C$4+62)),MONTH((Tahmin!$C$4+62)),MIN(DAY(Kalemler!$D55),DAY(EOMONTH((Tahmin!$C$4+62),0))))&gt;=(Tahmin!$C$4+56),DATE(YEAR((Tahmin!$C$4+62)),MONTH((Tahmin!$C$4+62)),MIN(DAY(Kalemler!$D55),DAY(EOMONTH((Tahmin!$C$4+62),0))))&lt;=(Tahmin!$C$4+62),DATE(YEAR((Tahmin!$C$4+62)),MONTH((Tahmin!$C$4+62)),MIN(DAY(Kalemler!$D55),DAY(EOMONTH((Tahmin!$C$4+62),0))))&lt;&gt;DATE(YEAR((Tahmin!$C$4+56)),MONTH((Tahmin!$C$4+56)),MIN(DAY(Kalemler!$D55),DAY(EOMONTH((Tahmin!$C$4+56),0)))),DATE(YEAR((Tahmin!$C$4+62)),MONTH((Tahmin!$C$4+62)),MIN(DAY(Kalemler!$D55),DAY(EOMONTH((Tahmin!$C$4+62),0))))&gt;=Kalemler!$D55)),1,0),IF(AND(Kalemler!$D55&gt;=(Tahmin!$C$4+56),Kalemler!$D55&lt;=(Tahmin!$C$4+62)),1,0))))</f>
        <v>0</v>
      </c>
      <c r="K55" s="0" t="n">
        <f aca="false">IF(OR(Kalemler!$A55="",Kalemler!$C55="",Kalemler!$D55=""),0,Kalemler!$C55*IF(Kalemler!$E55="Haftalık",IF(Kalemler!$D55&lt;=(Tahmin!$C$4+69),1,0),IF(Kalemler!$E55="Aylık",IF(OR(AND(DATE(YEAR((Tahmin!$C$4+63)),MONTH((Tahmin!$C$4+63)),MIN(DAY(Kalemler!$D55),DAY(EOMONTH((Tahmin!$C$4+63),0))))&gt;=(Tahmin!$C$4+63),DATE(YEAR((Tahmin!$C$4+63)),MONTH((Tahmin!$C$4+63)),MIN(DAY(Kalemler!$D55),DAY(EOMONTH((Tahmin!$C$4+63),0))))&lt;=(Tahmin!$C$4+69),DATE(YEAR((Tahmin!$C$4+63)),MONTH((Tahmin!$C$4+63)),MIN(DAY(Kalemler!$D55),DAY(EOMONTH((Tahmin!$C$4+63),0))))&gt;=Kalemler!$D55),AND(DATE(YEAR((Tahmin!$C$4+69)),MONTH((Tahmin!$C$4+69)),MIN(DAY(Kalemler!$D55),DAY(EOMONTH((Tahmin!$C$4+69),0))))&gt;=(Tahmin!$C$4+63),DATE(YEAR((Tahmin!$C$4+69)),MONTH((Tahmin!$C$4+69)),MIN(DAY(Kalemler!$D55),DAY(EOMONTH((Tahmin!$C$4+69),0))))&lt;=(Tahmin!$C$4+69),DATE(YEAR((Tahmin!$C$4+69)),MONTH((Tahmin!$C$4+69)),MIN(DAY(Kalemler!$D55),DAY(EOMONTH((Tahmin!$C$4+69),0))))&lt;&gt;DATE(YEAR((Tahmin!$C$4+63)),MONTH((Tahmin!$C$4+63)),MIN(DAY(Kalemler!$D55),DAY(EOMONTH((Tahmin!$C$4+63),0)))),DATE(YEAR((Tahmin!$C$4+69)),MONTH((Tahmin!$C$4+69)),MIN(DAY(Kalemler!$D55),DAY(EOMONTH((Tahmin!$C$4+69),0))))&gt;=Kalemler!$D55)),1,0),IF(AND(Kalemler!$D55&gt;=(Tahmin!$C$4+63),Kalemler!$D55&lt;=(Tahmin!$C$4+69)),1,0))))</f>
        <v>0</v>
      </c>
      <c r="L55" s="0" t="n">
        <f aca="false">IF(OR(Kalemler!$A55="",Kalemler!$C55="",Kalemler!$D55=""),0,Kalemler!$C55*IF(Kalemler!$E55="Haftalık",IF(Kalemler!$D55&lt;=(Tahmin!$C$4+76),1,0),IF(Kalemler!$E55="Aylık",IF(OR(AND(DATE(YEAR((Tahmin!$C$4+70)),MONTH((Tahmin!$C$4+70)),MIN(DAY(Kalemler!$D55),DAY(EOMONTH((Tahmin!$C$4+70),0))))&gt;=(Tahmin!$C$4+70),DATE(YEAR((Tahmin!$C$4+70)),MONTH((Tahmin!$C$4+70)),MIN(DAY(Kalemler!$D55),DAY(EOMONTH((Tahmin!$C$4+70),0))))&lt;=(Tahmin!$C$4+76),DATE(YEAR((Tahmin!$C$4+70)),MONTH((Tahmin!$C$4+70)),MIN(DAY(Kalemler!$D55),DAY(EOMONTH((Tahmin!$C$4+70),0))))&gt;=Kalemler!$D55),AND(DATE(YEAR((Tahmin!$C$4+76)),MONTH((Tahmin!$C$4+76)),MIN(DAY(Kalemler!$D55),DAY(EOMONTH((Tahmin!$C$4+76),0))))&gt;=(Tahmin!$C$4+70),DATE(YEAR((Tahmin!$C$4+76)),MONTH((Tahmin!$C$4+76)),MIN(DAY(Kalemler!$D55),DAY(EOMONTH((Tahmin!$C$4+76),0))))&lt;=(Tahmin!$C$4+76),DATE(YEAR((Tahmin!$C$4+76)),MONTH((Tahmin!$C$4+76)),MIN(DAY(Kalemler!$D55),DAY(EOMONTH((Tahmin!$C$4+76),0))))&lt;&gt;DATE(YEAR((Tahmin!$C$4+70)),MONTH((Tahmin!$C$4+70)),MIN(DAY(Kalemler!$D55),DAY(EOMONTH((Tahmin!$C$4+70),0)))),DATE(YEAR((Tahmin!$C$4+76)),MONTH((Tahmin!$C$4+76)),MIN(DAY(Kalemler!$D55),DAY(EOMONTH((Tahmin!$C$4+76),0))))&gt;=Kalemler!$D55)),1,0),IF(AND(Kalemler!$D55&gt;=(Tahmin!$C$4+70),Kalemler!$D55&lt;=(Tahmin!$C$4+76)),1,0))))</f>
        <v>0</v>
      </c>
      <c r="M55" s="0" t="n">
        <f aca="false">IF(OR(Kalemler!$A55="",Kalemler!$C55="",Kalemler!$D55=""),0,Kalemler!$C55*IF(Kalemler!$E55="Haftalık",IF(Kalemler!$D55&lt;=(Tahmin!$C$4+83),1,0),IF(Kalemler!$E55="Aylık",IF(OR(AND(DATE(YEAR((Tahmin!$C$4+77)),MONTH((Tahmin!$C$4+77)),MIN(DAY(Kalemler!$D55),DAY(EOMONTH((Tahmin!$C$4+77),0))))&gt;=(Tahmin!$C$4+77),DATE(YEAR((Tahmin!$C$4+77)),MONTH((Tahmin!$C$4+77)),MIN(DAY(Kalemler!$D55),DAY(EOMONTH((Tahmin!$C$4+77),0))))&lt;=(Tahmin!$C$4+83),DATE(YEAR((Tahmin!$C$4+77)),MONTH((Tahmin!$C$4+77)),MIN(DAY(Kalemler!$D55),DAY(EOMONTH((Tahmin!$C$4+77),0))))&gt;=Kalemler!$D55),AND(DATE(YEAR((Tahmin!$C$4+83)),MONTH((Tahmin!$C$4+83)),MIN(DAY(Kalemler!$D55),DAY(EOMONTH((Tahmin!$C$4+83),0))))&gt;=(Tahmin!$C$4+77),DATE(YEAR((Tahmin!$C$4+83)),MONTH((Tahmin!$C$4+83)),MIN(DAY(Kalemler!$D55),DAY(EOMONTH((Tahmin!$C$4+83),0))))&lt;=(Tahmin!$C$4+83),DATE(YEAR((Tahmin!$C$4+83)),MONTH((Tahmin!$C$4+83)),MIN(DAY(Kalemler!$D55),DAY(EOMONTH((Tahmin!$C$4+83),0))))&lt;&gt;DATE(YEAR((Tahmin!$C$4+77)),MONTH((Tahmin!$C$4+77)),MIN(DAY(Kalemler!$D55),DAY(EOMONTH((Tahmin!$C$4+77),0)))),DATE(YEAR((Tahmin!$C$4+83)),MONTH((Tahmin!$C$4+83)),MIN(DAY(Kalemler!$D55),DAY(EOMONTH((Tahmin!$C$4+83),0))))&gt;=Kalemler!$D55)),1,0),IF(AND(Kalemler!$D55&gt;=(Tahmin!$C$4+77),Kalemler!$D55&lt;=(Tahmin!$C$4+83)),1,0))))</f>
        <v>0</v>
      </c>
      <c r="N55" s="0" t="n">
        <f aca="false">IF(OR(Kalemler!$A55="",Kalemler!$C55="",Kalemler!$D55=""),0,Kalemler!$C55*IF(Kalemler!$E55="Haftalık",IF(Kalemler!$D55&lt;=(Tahmin!$C$4+90),1,0),IF(Kalemler!$E55="Aylık",IF(OR(AND(DATE(YEAR((Tahmin!$C$4+84)),MONTH((Tahmin!$C$4+84)),MIN(DAY(Kalemler!$D55),DAY(EOMONTH((Tahmin!$C$4+84),0))))&gt;=(Tahmin!$C$4+84),DATE(YEAR((Tahmin!$C$4+84)),MONTH((Tahmin!$C$4+84)),MIN(DAY(Kalemler!$D55),DAY(EOMONTH((Tahmin!$C$4+84),0))))&lt;=(Tahmin!$C$4+90),DATE(YEAR((Tahmin!$C$4+84)),MONTH((Tahmin!$C$4+84)),MIN(DAY(Kalemler!$D55),DAY(EOMONTH((Tahmin!$C$4+84),0))))&gt;=Kalemler!$D55),AND(DATE(YEAR((Tahmin!$C$4+90)),MONTH((Tahmin!$C$4+90)),MIN(DAY(Kalemler!$D55),DAY(EOMONTH((Tahmin!$C$4+90),0))))&gt;=(Tahmin!$C$4+84),DATE(YEAR((Tahmin!$C$4+90)),MONTH((Tahmin!$C$4+90)),MIN(DAY(Kalemler!$D55),DAY(EOMONTH((Tahmin!$C$4+90),0))))&lt;=(Tahmin!$C$4+90),DATE(YEAR((Tahmin!$C$4+90)),MONTH((Tahmin!$C$4+90)),MIN(DAY(Kalemler!$D55),DAY(EOMONTH((Tahmin!$C$4+90),0))))&lt;&gt;DATE(YEAR((Tahmin!$C$4+84)),MONTH((Tahmin!$C$4+84)),MIN(DAY(Kalemler!$D55),DAY(EOMONTH((Tahmin!$C$4+84),0)))),DATE(YEAR((Tahmin!$C$4+90)),MONTH((Tahmin!$C$4+90)),MIN(DAY(Kalemler!$D55),DAY(EOMONTH((Tahmin!$C$4+90),0))))&gt;=Kalemler!$D55)),1,0),IF(AND(Kalemler!$D55&gt;=(Tahmin!$C$4+84),Kalemler!$D55&lt;=(Tahmin!$C$4+90)),1,0))))</f>
        <v>0</v>
      </c>
    </row>
    <row r="56" customFormat="false" ht="15" hidden="false" customHeight="false" outlineLevel="0" collapsed="false">
      <c r="A56" s="0" t="str">
        <f aca="false">IF(Kalemler!A56="","",Kalemler!A56)</f>
        <v/>
      </c>
      <c r="B56" s="0" t="n">
        <f aca="false">IF(OR(Kalemler!$A56="",Kalemler!$C56="",Kalemler!$D56=""),0,Kalemler!$C56*IF(Kalemler!$E56="Haftalık",IF(Kalemler!$D56&lt;=(Tahmin!$C$4+6),1,0),IF(Kalemler!$E56="Aylık",IF(OR(AND(DATE(YEAR((Tahmin!$C$4+0)),MONTH((Tahmin!$C$4+0)),MIN(DAY(Kalemler!$D56),DAY(EOMONTH((Tahmin!$C$4+0),0))))&gt;=(Tahmin!$C$4+0),DATE(YEAR((Tahmin!$C$4+0)),MONTH((Tahmin!$C$4+0)),MIN(DAY(Kalemler!$D56),DAY(EOMONTH((Tahmin!$C$4+0),0))))&lt;=(Tahmin!$C$4+6),DATE(YEAR((Tahmin!$C$4+0)),MONTH((Tahmin!$C$4+0)),MIN(DAY(Kalemler!$D56),DAY(EOMONTH((Tahmin!$C$4+0),0))))&gt;=Kalemler!$D56),AND(DATE(YEAR((Tahmin!$C$4+6)),MONTH((Tahmin!$C$4+6)),MIN(DAY(Kalemler!$D56),DAY(EOMONTH((Tahmin!$C$4+6),0))))&gt;=(Tahmin!$C$4+0),DATE(YEAR((Tahmin!$C$4+6)),MONTH((Tahmin!$C$4+6)),MIN(DAY(Kalemler!$D56),DAY(EOMONTH((Tahmin!$C$4+6),0))))&lt;=(Tahmin!$C$4+6),DATE(YEAR((Tahmin!$C$4+6)),MONTH((Tahmin!$C$4+6)),MIN(DAY(Kalemler!$D56),DAY(EOMONTH((Tahmin!$C$4+6),0))))&lt;&gt;DATE(YEAR((Tahmin!$C$4+0)),MONTH((Tahmin!$C$4+0)),MIN(DAY(Kalemler!$D56),DAY(EOMONTH((Tahmin!$C$4+0),0)))),DATE(YEAR((Tahmin!$C$4+6)),MONTH((Tahmin!$C$4+6)),MIN(DAY(Kalemler!$D56),DAY(EOMONTH((Tahmin!$C$4+6),0))))&gt;=Kalemler!$D56)),1,0),IF(AND(Kalemler!$D56&gt;=(Tahmin!$C$4+0),Kalemler!$D56&lt;=(Tahmin!$C$4+6)),1,0))))</f>
        <v>0</v>
      </c>
      <c r="C56" s="0" t="n">
        <f aca="false">IF(OR(Kalemler!$A56="",Kalemler!$C56="",Kalemler!$D56=""),0,Kalemler!$C56*IF(Kalemler!$E56="Haftalık",IF(Kalemler!$D56&lt;=(Tahmin!$C$4+13),1,0),IF(Kalemler!$E56="Aylık",IF(OR(AND(DATE(YEAR((Tahmin!$C$4+7)),MONTH((Tahmin!$C$4+7)),MIN(DAY(Kalemler!$D56),DAY(EOMONTH((Tahmin!$C$4+7),0))))&gt;=(Tahmin!$C$4+7),DATE(YEAR((Tahmin!$C$4+7)),MONTH((Tahmin!$C$4+7)),MIN(DAY(Kalemler!$D56),DAY(EOMONTH((Tahmin!$C$4+7),0))))&lt;=(Tahmin!$C$4+13),DATE(YEAR((Tahmin!$C$4+7)),MONTH((Tahmin!$C$4+7)),MIN(DAY(Kalemler!$D56),DAY(EOMONTH((Tahmin!$C$4+7),0))))&gt;=Kalemler!$D56),AND(DATE(YEAR((Tahmin!$C$4+13)),MONTH((Tahmin!$C$4+13)),MIN(DAY(Kalemler!$D56),DAY(EOMONTH((Tahmin!$C$4+13),0))))&gt;=(Tahmin!$C$4+7),DATE(YEAR((Tahmin!$C$4+13)),MONTH((Tahmin!$C$4+13)),MIN(DAY(Kalemler!$D56),DAY(EOMONTH((Tahmin!$C$4+13),0))))&lt;=(Tahmin!$C$4+13),DATE(YEAR((Tahmin!$C$4+13)),MONTH((Tahmin!$C$4+13)),MIN(DAY(Kalemler!$D56),DAY(EOMONTH((Tahmin!$C$4+13),0))))&lt;&gt;DATE(YEAR((Tahmin!$C$4+7)),MONTH((Tahmin!$C$4+7)),MIN(DAY(Kalemler!$D56),DAY(EOMONTH((Tahmin!$C$4+7),0)))),DATE(YEAR((Tahmin!$C$4+13)),MONTH((Tahmin!$C$4+13)),MIN(DAY(Kalemler!$D56),DAY(EOMONTH((Tahmin!$C$4+13),0))))&gt;=Kalemler!$D56)),1,0),IF(AND(Kalemler!$D56&gt;=(Tahmin!$C$4+7),Kalemler!$D56&lt;=(Tahmin!$C$4+13)),1,0))))</f>
        <v>0</v>
      </c>
      <c r="D56" s="0" t="n">
        <f aca="false">IF(OR(Kalemler!$A56="",Kalemler!$C56="",Kalemler!$D56=""),0,Kalemler!$C56*IF(Kalemler!$E56="Haftalık",IF(Kalemler!$D56&lt;=(Tahmin!$C$4+20),1,0),IF(Kalemler!$E56="Aylık",IF(OR(AND(DATE(YEAR((Tahmin!$C$4+14)),MONTH((Tahmin!$C$4+14)),MIN(DAY(Kalemler!$D56),DAY(EOMONTH((Tahmin!$C$4+14),0))))&gt;=(Tahmin!$C$4+14),DATE(YEAR((Tahmin!$C$4+14)),MONTH((Tahmin!$C$4+14)),MIN(DAY(Kalemler!$D56),DAY(EOMONTH((Tahmin!$C$4+14),0))))&lt;=(Tahmin!$C$4+20),DATE(YEAR((Tahmin!$C$4+14)),MONTH((Tahmin!$C$4+14)),MIN(DAY(Kalemler!$D56),DAY(EOMONTH((Tahmin!$C$4+14),0))))&gt;=Kalemler!$D56),AND(DATE(YEAR((Tahmin!$C$4+20)),MONTH((Tahmin!$C$4+20)),MIN(DAY(Kalemler!$D56),DAY(EOMONTH((Tahmin!$C$4+20),0))))&gt;=(Tahmin!$C$4+14),DATE(YEAR((Tahmin!$C$4+20)),MONTH((Tahmin!$C$4+20)),MIN(DAY(Kalemler!$D56),DAY(EOMONTH((Tahmin!$C$4+20),0))))&lt;=(Tahmin!$C$4+20),DATE(YEAR((Tahmin!$C$4+20)),MONTH((Tahmin!$C$4+20)),MIN(DAY(Kalemler!$D56),DAY(EOMONTH((Tahmin!$C$4+20),0))))&lt;&gt;DATE(YEAR((Tahmin!$C$4+14)),MONTH((Tahmin!$C$4+14)),MIN(DAY(Kalemler!$D56),DAY(EOMONTH((Tahmin!$C$4+14),0)))),DATE(YEAR((Tahmin!$C$4+20)),MONTH((Tahmin!$C$4+20)),MIN(DAY(Kalemler!$D56),DAY(EOMONTH((Tahmin!$C$4+20),0))))&gt;=Kalemler!$D56)),1,0),IF(AND(Kalemler!$D56&gt;=(Tahmin!$C$4+14),Kalemler!$D56&lt;=(Tahmin!$C$4+20)),1,0))))</f>
        <v>0</v>
      </c>
      <c r="E56" s="0" t="n">
        <f aca="false">IF(OR(Kalemler!$A56="",Kalemler!$C56="",Kalemler!$D56=""),0,Kalemler!$C56*IF(Kalemler!$E56="Haftalık",IF(Kalemler!$D56&lt;=(Tahmin!$C$4+27),1,0),IF(Kalemler!$E56="Aylık",IF(OR(AND(DATE(YEAR((Tahmin!$C$4+21)),MONTH((Tahmin!$C$4+21)),MIN(DAY(Kalemler!$D56),DAY(EOMONTH((Tahmin!$C$4+21),0))))&gt;=(Tahmin!$C$4+21),DATE(YEAR((Tahmin!$C$4+21)),MONTH((Tahmin!$C$4+21)),MIN(DAY(Kalemler!$D56),DAY(EOMONTH((Tahmin!$C$4+21),0))))&lt;=(Tahmin!$C$4+27),DATE(YEAR((Tahmin!$C$4+21)),MONTH((Tahmin!$C$4+21)),MIN(DAY(Kalemler!$D56),DAY(EOMONTH((Tahmin!$C$4+21),0))))&gt;=Kalemler!$D56),AND(DATE(YEAR((Tahmin!$C$4+27)),MONTH((Tahmin!$C$4+27)),MIN(DAY(Kalemler!$D56),DAY(EOMONTH((Tahmin!$C$4+27),0))))&gt;=(Tahmin!$C$4+21),DATE(YEAR((Tahmin!$C$4+27)),MONTH((Tahmin!$C$4+27)),MIN(DAY(Kalemler!$D56),DAY(EOMONTH((Tahmin!$C$4+27),0))))&lt;=(Tahmin!$C$4+27),DATE(YEAR((Tahmin!$C$4+27)),MONTH((Tahmin!$C$4+27)),MIN(DAY(Kalemler!$D56),DAY(EOMONTH((Tahmin!$C$4+27),0))))&lt;&gt;DATE(YEAR((Tahmin!$C$4+21)),MONTH((Tahmin!$C$4+21)),MIN(DAY(Kalemler!$D56),DAY(EOMONTH((Tahmin!$C$4+21),0)))),DATE(YEAR((Tahmin!$C$4+27)),MONTH((Tahmin!$C$4+27)),MIN(DAY(Kalemler!$D56),DAY(EOMONTH((Tahmin!$C$4+27),0))))&gt;=Kalemler!$D56)),1,0),IF(AND(Kalemler!$D56&gt;=(Tahmin!$C$4+21),Kalemler!$D56&lt;=(Tahmin!$C$4+27)),1,0))))</f>
        <v>0</v>
      </c>
      <c r="F56" s="0" t="n">
        <f aca="false">IF(OR(Kalemler!$A56="",Kalemler!$C56="",Kalemler!$D56=""),0,Kalemler!$C56*IF(Kalemler!$E56="Haftalık",IF(Kalemler!$D56&lt;=(Tahmin!$C$4+34),1,0),IF(Kalemler!$E56="Aylık",IF(OR(AND(DATE(YEAR((Tahmin!$C$4+28)),MONTH((Tahmin!$C$4+28)),MIN(DAY(Kalemler!$D56),DAY(EOMONTH((Tahmin!$C$4+28),0))))&gt;=(Tahmin!$C$4+28),DATE(YEAR((Tahmin!$C$4+28)),MONTH((Tahmin!$C$4+28)),MIN(DAY(Kalemler!$D56),DAY(EOMONTH((Tahmin!$C$4+28),0))))&lt;=(Tahmin!$C$4+34),DATE(YEAR((Tahmin!$C$4+28)),MONTH((Tahmin!$C$4+28)),MIN(DAY(Kalemler!$D56),DAY(EOMONTH((Tahmin!$C$4+28),0))))&gt;=Kalemler!$D56),AND(DATE(YEAR((Tahmin!$C$4+34)),MONTH((Tahmin!$C$4+34)),MIN(DAY(Kalemler!$D56),DAY(EOMONTH((Tahmin!$C$4+34),0))))&gt;=(Tahmin!$C$4+28),DATE(YEAR((Tahmin!$C$4+34)),MONTH((Tahmin!$C$4+34)),MIN(DAY(Kalemler!$D56),DAY(EOMONTH((Tahmin!$C$4+34),0))))&lt;=(Tahmin!$C$4+34),DATE(YEAR((Tahmin!$C$4+34)),MONTH((Tahmin!$C$4+34)),MIN(DAY(Kalemler!$D56),DAY(EOMONTH((Tahmin!$C$4+34),0))))&lt;&gt;DATE(YEAR((Tahmin!$C$4+28)),MONTH((Tahmin!$C$4+28)),MIN(DAY(Kalemler!$D56),DAY(EOMONTH((Tahmin!$C$4+28),0)))),DATE(YEAR((Tahmin!$C$4+34)),MONTH((Tahmin!$C$4+34)),MIN(DAY(Kalemler!$D56),DAY(EOMONTH((Tahmin!$C$4+34),0))))&gt;=Kalemler!$D56)),1,0),IF(AND(Kalemler!$D56&gt;=(Tahmin!$C$4+28),Kalemler!$D56&lt;=(Tahmin!$C$4+34)),1,0))))</f>
        <v>0</v>
      </c>
      <c r="G56" s="0" t="n">
        <f aca="false">IF(OR(Kalemler!$A56="",Kalemler!$C56="",Kalemler!$D56=""),0,Kalemler!$C56*IF(Kalemler!$E56="Haftalık",IF(Kalemler!$D56&lt;=(Tahmin!$C$4+41),1,0),IF(Kalemler!$E56="Aylık",IF(OR(AND(DATE(YEAR((Tahmin!$C$4+35)),MONTH((Tahmin!$C$4+35)),MIN(DAY(Kalemler!$D56),DAY(EOMONTH((Tahmin!$C$4+35),0))))&gt;=(Tahmin!$C$4+35),DATE(YEAR((Tahmin!$C$4+35)),MONTH((Tahmin!$C$4+35)),MIN(DAY(Kalemler!$D56),DAY(EOMONTH((Tahmin!$C$4+35),0))))&lt;=(Tahmin!$C$4+41),DATE(YEAR((Tahmin!$C$4+35)),MONTH((Tahmin!$C$4+35)),MIN(DAY(Kalemler!$D56),DAY(EOMONTH((Tahmin!$C$4+35),0))))&gt;=Kalemler!$D56),AND(DATE(YEAR((Tahmin!$C$4+41)),MONTH((Tahmin!$C$4+41)),MIN(DAY(Kalemler!$D56),DAY(EOMONTH((Tahmin!$C$4+41),0))))&gt;=(Tahmin!$C$4+35),DATE(YEAR((Tahmin!$C$4+41)),MONTH((Tahmin!$C$4+41)),MIN(DAY(Kalemler!$D56),DAY(EOMONTH((Tahmin!$C$4+41),0))))&lt;=(Tahmin!$C$4+41),DATE(YEAR((Tahmin!$C$4+41)),MONTH((Tahmin!$C$4+41)),MIN(DAY(Kalemler!$D56),DAY(EOMONTH((Tahmin!$C$4+41),0))))&lt;&gt;DATE(YEAR((Tahmin!$C$4+35)),MONTH((Tahmin!$C$4+35)),MIN(DAY(Kalemler!$D56),DAY(EOMONTH((Tahmin!$C$4+35),0)))),DATE(YEAR((Tahmin!$C$4+41)),MONTH((Tahmin!$C$4+41)),MIN(DAY(Kalemler!$D56),DAY(EOMONTH((Tahmin!$C$4+41),0))))&gt;=Kalemler!$D56)),1,0),IF(AND(Kalemler!$D56&gt;=(Tahmin!$C$4+35),Kalemler!$D56&lt;=(Tahmin!$C$4+41)),1,0))))</f>
        <v>0</v>
      </c>
      <c r="H56" s="0" t="n">
        <f aca="false">IF(OR(Kalemler!$A56="",Kalemler!$C56="",Kalemler!$D56=""),0,Kalemler!$C56*IF(Kalemler!$E56="Haftalık",IF(Kalemler!$D56&lt;=(Tahmin!$C$4+48),1,0),IF(Kalemler!$E56="Aylık",IF(OR(AND(DATE(YEAR((Tahmin!$C$4+42)),MONTH((Tahmin!$C$4+42)),MIN(DAY(Kalemler!$D56),DAY(EOMONTH((Tahmin!$C$4+42),0))))&gt;=(Tahmin!$C$4+42),DATE(YEAR((Tahmin!$C$4+42)),MONTH((Tahmin!$C$4+42)),MIN(DAY(Kalemler!$D56),DAY(EOMONTH((Tahmin!$C$4+42),0))))&lt;=(Tahmin!$C$4+48),DATE(YEAR((Tahmin!$C$4+42)),MONTH((Tahmin!$C$4+42)),MIN(DAY(Kalemler!$D56),DAY(EOMONTH((Tahmin!$C$4+42),0))))&gt;=Kalemler!$D56),AND(DATE(YEAR((Tahmin!$C$4+48)),MONTH((Tahmin!$C$4+48)),MIN(DAY(Kalemler!$D56),DAY(EOMONTH((Tahmin!$C$4+48),0))))&gt;=(Tahmin!$C$4+42),DATE(YEAR((Tahmin!$C$4+48)),MONTH((Tahmin!$C$4+48)),MIN(DAY(Kalemler!$D56),DAY(EOMONTH((Tahmin!$C$4+48),0))))&lt;=(Tahmin!$C$4+48),DATE(YEAR((Tahmin!$C$4+48)),MONTH((Tahmin!$C$4+48)),MIN(DAY(Kalemler!$D56),DAY(EOMONTH((Tahmin!$C$4+48),0))))&lt;&gt;DATE(YEAR((Tahmin!$C$4+42)),MONTH((Tahmin!$C$4+42)),MIN(DAY(Kalemler!$D56),DAY(EOMONTH((Tahmin!$C$4+42),0)))),DATE(YEAR((Tahmin!$C$4+48)),MONTH((Tahmin!$C$4+48)),MIN(DAY(Kalemler!$D56),DAY(EOMONTH((Tahmin!$C$4+48),0))))&gt;=Kalemler!$D56)),1,0),IF(AND(Kalemler!$D56&gt;=(Tahmin!$C$4+42),Kalemler!$D56&lt;=(Tahmin!$C$4+48)),1,0))))</f>
        <v>0</v>
      </c>
      <c r="I56" s="0" t="n">
        <f aca="false">IF(OR(Kalemler!$A56="",Kalemler!$C56="",Kalemler!$D56=""),0,Kalemler!$C56*IF(Kalemler!$E56="Haftalık",IF(Kalemler!$D56&lt;=(Tahmin!$C$4+55),1,0),IF(Kalemler!$E56="Aylık",IF(OR(AND(DATE(YEAR((Tahmin!$C$4+49)),MONTH((Tahmin!$C$4+49)),MIN(DAY(Kalemler!$D56),DAY(EOMONTH((Tahmin!$C$4+49),0))))&gt;=(Tahmin!$C$4+49),DATE(YEAR((Tahmin!$C$4+49)),MONTH((Tahmin!$C$4+49)),MIN(DAY(Kalemler!$D56),DAY(EOMONTH((Tahmin!$C$4+49),0))))&lt;=(Tahmin!$C$4+55),DATE(YEAR((Tahmin!$C$4+49)),MONTH((Tahmin!$C$4+49)),MIN(DAY(Kalemler!$D56),DAY(EOMONTH((Tahmin!$C$4+49),0))))&gt;=Kalemler!$D56),AND(DATE(YEAR((Tahmin!$C$4+55)),MONTH((Tahmin!$C$4+55)),MIN(DAY(Kalemler!$D56),DAY(EOMONTH((Tahmin!$C$4+55),0))))&gt;=(Tahmin!$C$4+49),DATE(YEAR((Tahmin!$C$4+55)),MONTH((Tahmin!$C$4+55)),MIN(DAY(Kalemler!$D56),DAY(EOMONTH((Tahmin!$C$4+55),0))))&lt;=(Tahmin!$C$4+55),DATE(YEAR((Tahmin!$C$4+55)),MONTH((Tahmin!$C$4+55)),MIN(DAY(Kalemler!$D56),DAY(EOMONTH((Tahmin!$C$4+55),0))))&lt;&gt;DATE(YEAR((Tahmin!$C$4+49)),MONTH((Tahmin!$C$4+49)),MIN(DAY(Kalemler!$D56),DAY(EOMONTH((Tahmin!$C$4+49),0)))),DATE(YEAR((Tahmin!$C$4+55)),MONTH((Tahmin!$C$4+55)),MIN(DAY(Kalemler!$D56),DAY(EOMONTH((Tahmin!$C$4+55),0))))&gt;=Kalemler!$D56)),1,0),IF(AND(Kalemler!$D56&gt;=(Tahmin!$C$4+49),Kalemler!$D56&lt;=(Tahmin!$C$4+55)),1,0))))</f>
        <v>0</v>
      </c>
      <c r="J56" s="0" t="n">
        <f aca="false">IF(OR(Kalemler!$A56="",Kalemler!$C56="",Kalemler!$D56=""),0,Kalemler!$C56*IF(Kalemler!$E56="Haftalık",IF(Kalemler!$D56&lt;=(Tahmin!$C$4+62),1,0),IF(Kalemler!$E56="Aylık",IF(OR(AND(DATE(YEAR((Tahmin!$C$4+56)),MONTH((Tahmin!$C$4+56)),MIN(DAY(Kalemler!$D56),DAY(EOMONTH((Tahmin!$C$4+56),0))))&gt;=(Tahmin!$C$4+56),DATE(YEAR((Tahmin!$C$4+56)),MONTH((Tahmin!$C$4+56)),MIN(DAY(Kalemler!$D56),DAY(EOMONTH((Tahmin!$C$4+56),0))))&lt;=(Tahmin!$C$4+62),DATE(YEAR((Tahmin!$C$4+56)),MONTH((Tahmin!$C$4+56)),MIN(DAY(Kalemler!$D56),DAY(EOMONTH((Tahmin!$C$4+56),0))))&gt;=Kalemler!$D56),AND(DATE(YEAR((Tahmin!$C$4+62)),MONTH((Tahmin!$C$4+62)),MIN(DAY(Kalemler!$D56),DAY(EOMONTH((Tahmin!$C$4+62),0))))&gt;=(Tahmin!$C$4+56),DATE(YEAR((Tahmin!$C$4+62)),MONTH((Tahmin!$C$4+62)),MIN(DAY(Kalemler!$D56),DAY(EOMONTH((Tahmin!$C$4+62),0))))&lt;=(Tahmin!$C$4+62),DATE(YEAR((Tahmin!$C$4+62)),MONTH((Tahmin!$C$4+62)),MIN(DAY(Kalemler!$D56),DAY(EOMONTH((Tahmin!$C$4+62),0))))&lt;&gt;DATE(YEAR((Tahmin!$C$4+56)),MONTH((Tahmin!$C$4+56)),MIN(DAY(Kalemler!$D56),DAY(EOMONTH((Tahmin!$C$4+56),0)))),DATE(YEAR((Tahmin!$C$4+62)),MONTH((Tahmin!$C$4+62)),MIN(DAY(Kalemler!$D56),DAY(EOMONTH((Tahmin!$C$4+62),0))))&gt;=Kalemler!$D56)),1,0),IF(AND(Kalemler!$D56&gt;=(Tahmin!$C$4+56),Kalemler!$D56&lt;=(Tahmin!$C$4+62)),1,0))))</f>
        <v>0</v>
      </c>
      <c r="K56" s="0" t="n">
        <f aca="false">IF(OR(Kalemler!$A56="",Kalemler!$C56="",Kalemler!$D56=""),0,Kalemler!$C56*IF(Kalemler!$E56="Haftalık",IF(Kalemler!$D56&lt;=(Tahmin!$C$4+69),1,0),IF(Kalemler!$E56="Aylık",IF(OR(AND(DATE(YEAR((Tahmin!$C$4+63)),MONTH((Tahmin!$C$4+63)),MIN(DAY(Kalemler!$D56),DAY(EOMONTH((Tahmin!$C$4+63),0))))&gt;=(Tahmin!$C$4+63),DATE(YEAR((Tahmin!$C$4+63)),MONTH((Tahmin!$C$4+63)),MIN(DAY(Kalemler!$D56),DAY(EOMONTH((Tahmin!$C$4+63),0))))&lt;=(Tahmin!$C$4+69),DATE(YEAR((Tahmin!$C$4+63)),MONTH((Tahmin!$C$4+63)),MIN(DAY(Kalemler!$D56),DAY(EOMONTH((Tahmin!$C$4+63),0))))&gt;=Kalemler!$D56),AND(DATE(YEAR((Tahmin!$C$4+69)),MONTH((Tahmin!$C$4+69)),MIN(DAY(Kalemler!$D56),DAY(EOMONTH((Tahmin!$C$4+69),0))))&gt;=(Tahmin!$C$4+63),DATE(YEAR((Tahmin!$C$4+69)),MONTH((Tahmin!$C$4+69)),MIN(DAY(Kalemler!$D56),DAY(EOMONTH((Tahmin!$C$4+69),0))))&lt;=(Tahmin!$C$4+69),DATE(YEAR((Tahmin!$C$4+69)),MONTH((Tahmin!$C$4+69)),MIN(DAY(Kalemler!$D56),DAY(EOMONTH((Tahmin!$C$4+69),0))))&lt;&gt;DATE(YEAR((Tahmin!$C$4+63)),MONTH((Tahmin!$C$4+63)),MIN(DAY(Kalemler!$D56),DAY(EOMONTH((Tahmin!$C$4+63),0)))),DATE(YEAR((Tahmin!$C$4+69)),MONTH((Tahmin!$C$4+69)),MIN(DAY(Kalemler!$D56),DAY(EOMONTH((Tahmin!$C$4+69),0))))&gt;=Kalemler!$D56)),1,0),IF(AND(Kalemler!$D56&gt;=(Tahmin!$C$4+63),Kalemler!$D56&lt;=(Tahmin!$C$4+69)),1,0))))</f>
        <v>0</v>
      </c>
      <c r="L56" s="0" t="n">
        <f aca="false">IF(OR(Kalemler!$A56="",Kalemler!$C56="",Kalemler!$D56=""),0,Kalemler!$C56*IF(Kalemler!$E56="Haftalık",IF(Kalemler!$D56&lt;=(Tahmin!$C$4+76),1,0),IF(Kalemler!$E56="Aylık",IF(OR(AND(DATE(YEAR((Tahmin!$C$4+70)),MONTH((Tahmin!$C$4+70)),MIN(DAY(Kalemler!$D56),DAY(EOMONTH((Tahmin!$C$4+70),0))))&gt;=(Tahmin!$C$4+70),DATE(YEAR((Tahmin!$C$4+70)),MONTH((Tahmin!$C$4+70)),MIN(DAY(Kalemler!$D56),DAY(EOMONTH((Tahmin!$C$4+70),0))))&lt;=(Tahmin!$C$4+76),DATE(YEAR((Tahmin!$C$4+70)),MONTH((Tahmin!$C$4+70)),MIN(DAY(Kalemler!$D56),DAY(EOMONTH((Tahmin!$C$4+70),0))))&gt;=Kalemler!$D56),AND(DATE(YEAR((Tahmin!$C$4+76)),MONTH((Tahmin!$C$4+76)),MIN(DAY(Kalemler!$D56),DAY(EOMONTH((Tahmin!$C$4+76),0))))&gt;=(Tahmin!$C$4+70),DATE(YEAR((Tahmin!$C$4+76)),MONTH((Tahmin!$C$4+76)),MIN(DAY(Kalemler!$D56),DAY(EOMONTH((Tahmin!$C$4+76),0))))&lt;=(Tahmin!$C$4+76),DATE(YEAR((Tahmin!$C$4+76)),MONTH((Tahmin!$C$4+76)),MIN(DAY(Kalemler!$D56),DAY(EOMONTH((Tahmin!$C$4+76),0))))&lt;&gt;DATE(YEAR((Tahmin!$C$4+70)),MONTH((Tahmin!$C$4+70)),MIN(DAY(Kalemler!$D56),DAY(EOMONTH((Tahmin!$C$4+70),0)))),DATE(YEAR((Tahmin!$C$4+76)),MONTH((Tahmin!$C$4+76)),MIN(DAY(Kalemler!$D56),DAY(EOMONTH((Tahmin!$C$4+76),0))))&gt;=Kalemler!$D56)),1,0),IF(AND(Kalemler!$D56&gt;=(Tahmin!$C$4+70),Kalemler!$D56&lt;=(Tahmin!$C$4+76)),1,0))))</f>
        <v>0</v>
      </c>
      <c r="M56" s="0" t="n">
        <f aca="false">IF(OR(Kalemler!$A56="",Kalemler!$C56="",Kalemler!$D56=""),0,Kalemler!$C56*IF(Kalemler!$E56="Haftalık",IF(Kalemler!$D56&lt;=(Tahmin!$C$4+83),1,0),IF(Kalemler!$E56="Aylık",IF(OR(AND(DATE(YEAR((Tahmin!$C$4+77)),MONTH((Tahmin!$C$4+77)),MIN(DAY(Kalemler!$D56),DAY(EOMONTH((Tahmin!$C$4+77),0))))&gt;=(Tahmin!$C$4+77),DATE(YEAR((Tahmin!$C$4+77)),MONTH((Tahmin!$C$4+77)),MIN(DAY(Kalemler!$D56),DAY(EOMONTH((Tahmin!$C$4+77),0))))&lt;=(Tahmin!$C$4+83),DATE(YEAR((Tahmin!$C$4+77)),MONTH((Tahmin!$C$4+77)),MIN(DAY(Kalemler!$D56),DAY(EOMONTH((Tahmin!$C$4+77),0))))&gt;=Kalemler!$D56),AND(DATE(YEAR((Tahmin!$C$4+83)),MONTH((Tahmin!$C$4+83)),MIN(DAY(Kalemler!$D56),DAY(EOMONTH((Tahmin!$C$4+83),0))))&gt;=(Tahmin!$C$4+77),DATE(YEAR((Tahmin!$C$4+83)),MONTH((Tahmin!$C$4+83)),MIN(DAY(Kalemler!$D56),DAY(EOMONTH((Tahmin!$C$4+83),0))))&lt;=(Tahmin!$C$4+83),DATE(YEAR((Tahmin!$C$4+83)),MONTH((Tahmin!$C$4+83)),MIN(DAY(Kalemler!$D56),DAY(EOMONTH((Tahmin!$C$4+83),0))))&lt;&gt;DATE(YEAR((Tahmin!$C$4+77)),MONTH((Tahmin!$C$4+77)),MIN(DAY(Kalemler!$D56),DAY(EOMONTH((Tahmin!$C$4+77),0)))),DATE(YEAR((Tahmin!$C$4+83)),MONTH((Tahmin!$C$4+83)),MIN(DAY(Kalemler!$D56),DAY(EOMONTH((Tahmin!$C$4+83),0))))&gt;=Kalemler!$D56)),1,0),IF(AND(Kalemler!$D56&gt;=(Tahmin!$C$4+77),Kalemler!$D56&lt;=(Tahmin!$C$4+83)),1,0))))</f>
        <v>0</v>
      </c>
      <c r="N56" s="0" t="n">
        <f aca="false">IF(OR(Kalemler!$A56="",Kalemler!$C56="",Kalemler!$D56=""),0,Kalemler!$C56*IF(Kalemler!$E56="Haftalık",IF(Kalemler!$D56&lt;=(Tahmin!$C$4+90),1,0),IF(Kalemler!$E56="Aylık",IF(OR(AND(DATE(YEAR((Tahmin!$C$4+84)),MONTH((Tahmin!$C$4+84)),MIN(DAY(Kalemler!$D56),DAY(EOMONTH((Tahmin!$C$4+84),0))))&gt;=(Tahmin!$C$4+84),DATE(YEAR((Tahmin!$C$4+84)),MONTH((Tahmin!$C$4+84)),MIN(DAY(Kalemler!$D56),DAY(EOMONTH((Tahmin!$C$4+84),0))))&lt;=(Tahmin!$C$4+90),DATE(YEAR((Tahmin!$C$4+84)),MONTH((Tahmin!$C$4+84)),MIN(DAY(Kalemler!$D56),DAY(EOMONTH((Tahmin!$C$4+84),0))))&gt;=Kalemler!$D56),AND(DATE(YEAR((Tahmin!$C$4+90)),MONTH((Tahmin!$C$4+90)),MIN(DAY(Kalemler!$D56),DAY(EOMONTH((Tahmin!$C$4+90),0))))&gt;=(Tahmin!$C$4+84),DATE(YEAR((Tahmin!$C$4+90)),MONTH((Tahmin!$C$4+90)),MIN(DAY(Kalemler!$D56),DAY(EOMONTH((Tahmin!$C$4+90),0))))&lt;=(Tahmin!$C$4+90),DATE(YEAR((Tahmin!$C$4+90)),MONTH((Tahmin!$C$4+90)),MIN(DAY(Kalemler!$D56),DAY(EOMONTH((Tahmin!$C$4+90),0))))&lt;&gt;DATE(YEAR((Tahmin!$C$4+84)),MONTH((Tahmin!$C$4+84)),MIN(DAY(Kalemler!$D56),DAY(EOMONTH((Tahmin!$C$4+84),0)))),DATE(YEAR((Tahmin!$C$4+90)),MONTH((Tahmin!$C$4+90)),MIN(DAY(Kalemler!$D56),DAY(EOMONTH((Tahmin!$C$4+90),0))))&gt;=Kalemler!$D56)),1,0),IF(AND(Kalemler!$D56&gt;=(Tahmin!$C$4+84),Kalemler!$D56&lt;=(Tahmin!$C$4+90)),1,0))))</f>
        <v>0</v>
      </c>
    </row>
    <row r="57" customFormat="false" ht="15" hidden="false" customHeight="false" outlineLevel="0" collapsed="false">
      <c r="A57" s="0" t="str">
        <f aca="false">IF(Kalemler!A57="","",Kalemler!A57)</f>
        <v/>
      </c>
      <c r="B57" s="0" t="n">
        <f aca="false">IF(OR(Kalemler!$A57="",Kalemler!$C57="",Kalemler!$D57=""),0,Kalemler!$C57*IF(Kalemler!$E57="Haftalık",IF(Kalemler!$D57&lt;=(Tahmin!$C$4+6),1,0),IF(Kalemler!$E57="Aylık",IF(OR(AND(DATE(YEAR((Tahmin!$C$4+0)),MONTH((Tahmin!$C$4+0)),MIN(DAY(Kalemler!$D57),DAY(EOMONTH((Tahmin!$C$4+0),0))))&gt;=(Tahmin!$C$4+0),DATE(YEAR((Tahmin!$C$4+0)),MONTH((Tahmin!$C$4+0)),MIN(DAY(Kalemler!$D57),DAY(EOMONTH((Tahmin!$C$4+0),0))))&lt;=(Tahmin!$C$4+6),DATE(YEAR((Tahmin!$C$4+0)),MONTH((Tahmin!$C$4+0)),MIN(DAY(Kalemler!$D57),DAY(EOMONTH((Tahmin!$C$4+0),0))))&gt;=Kalemler!$D57),AND(DATE(YEAR((Tahmin!$C$4+6)),MONTH((Tahmin!$C$4+6)),MIN(DAY(Kalemler!$D57),DAY(EOMONTH((Tahmin!$C$4+6),0))))&gt;=(Tahmin!$C$4+0),DATE(YEAR((Tahmin!$C$4+6)),MONTH((Tahmin!$C$4+6)),MIN(DAY(Kalemler!$D57),DAY(EOMONTH((Tahmin!$C$4+6),0))))&lt;=(Tahmin!$C$4+6),DATE(YEAR((Tahmin!$C$4+6)),MONTH((Tahmin!$C$4+6)),MIN(DAY(Kalemler!$D57),DAY(EOMONTH((Tahmin!$C$4+6),0))))&lt;&gt;DATE(YEAR((Tahmin!$C$4+0)),MONTH((Tahmin!$C$4+0)),MIN(DAY(Kalemler!$D57),DAY(EOMONTH((Tahmin!$C$4+0),0)))),DATE(YEAR((Tahmin!$C$4+6)),MONTH((Tahmin!$C$4+6)),MIN(DAY(Kalemler!$D57),DAY(EOMONTH((Tahmin!$C$4+6),0))))&gt;=Kalemler!$D57)),1,0),IF(AND(Kalemler!$D57&gt;=(Tahmin!$C$4+0),Kalemler!$D57&lt;=(Tahmin!$C$4+6)),1,0))))</f>
        <v>0</v>
      </c>
      <c r="C57" s="0" t="n">
        <f aca="false">IF(OR(Kalemler!$A57="",Kalemler!$C57="",Kalemler!$D57=""),0,Kalemler!$C57*IF(Kalemler!$E57="Haftalık",IF(Kalemler!$D57&lt;=(Tahmin!$C$4+13),1,0),IF(Kalemler!$E57="Aylık",IF(OR(AND(DATE(YEAR((Tahmin!$C$4+7)),MONTH((Tahmin!$C$4+7)),MIN(DAY(Kalemler!$D57),DAY(EOMONTH((Tahmin!$C$4+7),0))))&gt;=(Tahmin!$C$4+7),DATE(YEAR((Tahmin!$C$4+7)),MONTH((Tahmin!$C$4+7)),MIN(DAY(Kalemler!$D57),DAY(EOMONTH((Tahmin!$C$4+7),0))))&lt;=(Tahmin!$C$4+13),DATE(YEAR((Tahmin!$C$4+7)),MONTH((Tahmin!$C$4+7)),MIN(DAY(Kalemler!$D57),DAY(EOMONTH((Tahmin!$C$4+7),0))))&gt;=Kalemler!$D57),AND(DATE(YEAR((Tahmin!$C$4+13)),MONTH((Tahmin!$C$4+13)),MIN(DAY(Kalemler!$D57),DAY(EOMONTH((Tahmin!$C$4+13),0))))&gt;=(Tahmin!$C$4+7),DATE(YEAR((Tahmin!$C$4+13)),MONTH((Tahmin!$C$4+13)),MIN(DAY(Kalemler!$D57),DAY(EOMONTH((Tahmin!$C$4+13),0))))&lt;=(Tahmin!$C$4+13),DATE(YEAR((Tahmin!$C$4+13)),MONTH((Tahmin!$C$4+13)),MIN(DAY(Kalemler!$D57),DAY(EOMONTH((Tahmin!$C$4+13),0))))&lt;&gt;DATE(YEAR((Tahmin!$C$4+7)),MONTH((Tahmin!$C$4+7)),MIN(DAY(Kalemler!$D57),DAY(EOMONTH((Tahmin!$C$4+7),0)))),DATE(YEAR((Tahmin!$C$4+13)),MONTH((Tahmin!$C$4+13)),MIN(DAY(Kalemler!$D57),DAY(EOMONTH((Tahmin!$C$4+13),0))))&gt;=Kalemler!$D57)),1,0),IF(AND(Kalemler!$D57&gt;=(Tahmin!$C$4+7),Kalemler!$D57&lt;=(Tahmin!$C$4+13)),1,0))))</f>
        <v>0</v>
      </c>
      <c r="D57" s="0" t="n">
        <f aca="false">IF(OR(Kalemler!$A57="",Kalemler!$C57="",Kalemler!$D57=""),0,Kalemler!$C57*IF(Kalemler!$E57="Haftalık",IF(Kalemler!$D57&lt;=(Tahmin!$C$4+20),1,0),IF(Kalemler!$E57="Aylık",IF(OR(AND(DATE(YEAR((Tahmin!$C$4+14)),MONTH((Tahmin!$C$4+14)),MIN(DAY(Kalemler!$D57),DAY(EOMONTH((Tahmin!$C$4+14),0))))&gt;=(Tahmin!$C$4+14),DATE(YEAR((Tahmin!$C$4+14)),MONTH((Tahmin!$C$4+14)),MIN(DAY(Kalemler!$D57),DAY(EOMONTH((Tahmin!$C$4+14),0))))&lt;=(Tahmin!$C$4+20),DATE(YEAR((Tahmin!$C$4+14)),MONTH((Tahmin!$C$4+14)),MIN(DAY(Kalemler!$D57),DAY(EOMONTH((Tahmin!$C$4+14),0))))&gt;=Kalemler!$D57),AND(DATE(YEAR((Tahmin!$C$4+20)),MONTH((Tahmin!$C$4+20)),MIN(DAY(Kalemler!$D57),DAY(EOMONTH((Tahmin!$C$4+20),0))))&gt;=(Tahmin!$C$4+14),DATE(YEAR((Tahmin!$C$4+20)),MONTH((Tahmin!$C$4+20)),MIN(DAY(Kalemler!$D57),DAY(EOMONTH((Tahmin!$C$4+20),0))))&lt;=(Tahmin!$C$4+20),DATE(YEAR((Tahmin!$C$4+20)),MONTH((Tahmin!$C$4+20)),MIN(DAY(Kalemler!$D57),DAY(EOMONTH((Tahmin!$C$4+20),0))))&lt;&gt;DATE(YEAR((Tahmin!$C$4+14)),MONTH((Tahmin!$C$4+14)),MIN(DAY(Kalemler!$D57),DAY(EOMONTH((Tahmin!$C$4+14),0)))),DATE(YEAR((Tahmin!$C$4+20)),MONTH((Tahmin!$C$4+20)),MIN(DAY(Kalemler!$D57),DAY(EOMONTH((Tahmin!$C$4+20),0))))&gt;=Kalemler!$D57)),1,0),IF(AND(Kalemler!$D57&gt;=(Tahmin!$C$4+14),Kalemler!$D57&lt;=(Tahmin!$C$4+20)),1,0))))</f>
        <v>0</v>
      </c>
      <c r="E57" s="0" t="n">
        <f aca="false">IF(OR(Kalemler!$A57="",Kalemler!$C57="",Kalemler!$D57=""),0,Kalemler!$C57*IF(Kalemler!$E57="Haftalık",IF(Kalemler!$D57&lt;=(Tahmin!$C$4+27),1,0),IF(Kalemler!$E57="Aylık",IF(OR(AND(DATE(YEAR((Tahmin!$C$4+21)),MONTH((Tahmin!$C$4+21)),MIN(DAY(Kalemler!$D57),DAY(EOMONTH((Tahmin!$C$4+21),0))))&gt;=(Tahmin!$C$4+21),DATE(YEAR((Tahmin!$C$4+21)),MONTH((Tahmin!$C$4+21)),MIN(DAY(Kalemler!$D57),DAY(EOMONTH((Tahmin!$C$4+21),0))))&lt;=(Tahmin!$C$4+27),DATE(YEAR((Tahmin!$C$4+21)),MONTH((Tahmin!$C$4+21)),MIN(DAY(Kalemler!$D57),DAY(EOMONTH((Tahmin!$C$4+21),0))))&gt;=Kalemler!$D57),AND(DATE(YEAR((Tahmin!$C$4+27)),MONTH((Tahmin!$C$4+27)),MIN(DAY(Kalemler!$D57),DAY(EOMONTH((Tahmin!$C$4+27),0))))&gt;=(Tahmin!$C$4+21),DATE(YEAR((Tahmin!$C$4+27)),MONTH((Tahmin!$C$4+27)),MIN(DAY(Kalemler!$D57),DAY(EOMONTH((Tahmin!$C$4+27),0))))&lt;=(Tahmin!$C$4+27),DATE(YEAR((Tahmin!$C$4+27)),MONTH((Tahmin!$C$4+27)),MIN(DAY(Kalemler!$D57),DAY(EOMONTH((Tahmin!$C$4+27),0))))&lt;&gt;DATE(YEAR((Tahmin!$C$4+21)),MONTH((Tahmin!$C$4+21)),MIN(DAY(Kalemler!$D57),DAY(EOMONTH((Tahmin!$C$4+21),0)))),DATE(YEAR((Tahmin!$C$4+27)),MONTH((Tahmin!$C$4+27)),MIN(DAY(Kalemler!$D57),DAY(EOMONTH((Tahmin!$C$4+27),0))))&gt;=Kalemler!$D57)),1,0),IF(AND(Kalemler!$D57&gt;=(Tahmin!$C$4+21),Kalemler!$D57&lt;=(Tahmin!$C$4+27)),1,0))))</f>
        <v>0</v>
      </c>
      <c r="F57" s="0" t="n">
        <f aca="false">IF(OR(Kalemler!$A57="",Kalemler!$C57="",Kalemler!$D57=""),0,Kalemler!$C57*IF(Kalemler!$E57="Haftalık",IF(Kalemler!$D57&lt;=(Tahmin!$C$4+34),1,0),IF(Kalemler!$E57="Aylık",IF(OR(AND(DATE(YEAR((Tahmin!$C$4+28)),MONTH((Tahmin!$C$4+28)),MIN(DAY(Kalemler!$D57),DAY(EOMONTH((Tahmin!$C$4+28),0))))&gt;=(Tahmin!$C$4+28),DATE(YEAR((Tahmin!$C$4+28)),MONTH((Tahmin!$C$4+28)),MIN(DAY(Kalemler!$D57),DAY(EOMONTH((Tahmin!$C$4+28),0))))&lt;=(Tahmin!$C$4+34),DATE(YEAR((Tahmin!$C$4+28)),MONTH((Tahmin!$C$4+28)),MIN(DAY(Kalemler!$D57),DAY(EOMONTH((Tahmin!$C$4+28),0))))&gt;=Kalemler!$D57),AND(DATE(YEAR((Tahmin!$C$4+34)),MONTH((Tahmin!$C$4+34)),MIN(DAY(Kalemler!$D57),DAY(EOMONTH((Tahmin!$C$4+34),0))))&gt;=(Tahmin!$C$4+28),DATE(YEAR((Tahmin!$C$4+34)),MONTH((Tahmin!$C$4+34)),MIN(DAY(Kalemler!$D57),DAY(EOMONTH((Tahmin!$C$4+34),0))))&lt;=(Tahmin!$C$4+34),DATE(YEAR((Tahmin!$C$4+34)),MONTH((Tahmin!$C$4+34)),MIN(DAY(Kalemler!$D57),DAY(EOMONTH((Tahmin!$C$4+34),0))))&lt;&gt;DATE(YEAR((Tahmin!$C$4+28)),MONTH((Tahmin!$C$4+28)),MIN(DAY(Kalemler!$D57),DAY(EOMONTH((Tahmin!$C$4+28),0)))),DATE(YEAR((Tahmin!$C$4+34)),MONTH((Tahmin!$C$4+34)),MIN(DAY(Kalemler!$D57),DAY(EOMONTH((Tahmin!$C$4+34),0))))&gt;=Kalemler!$D57)),1,0),IF(AND(Kalemler!$D57&gt;=(Tahmin!$C$4+28),Kalemler!$D57&lt;=(Tahmin!$C$4+34)),1,0))))</f>
        <v>0</v>
      </c>
      <c r="G57" s="0" t="n">
        <f aca="false">IF(OR(Kalemler!$A57="",Kalemler!$C57="",Kalemler!$D57=""),0,Kalemler!$C57*IF(Kalemler!$E57="Haftalık",IF(Kalemler!$D57&lt;=(Tahmin!$C$4+41),1,0),IF(Kalemler!$E57="Aylık",IF(OR(AND(DATE(YEAR((Tahmin!$C$4+35)),MONTH((Tahmin!$C$4+35)),MIN(DAY(Kalemler!$D57),DAY(EOMONTH((Tahmin!$C$4+35),0))))&gt;=(Tahmin!$C$4+35),DATE(YEAR((Tahmin!$C$4+35)),MONTH((Tahmin!$C$4+35)),MIN(DAY(Kalemler!$D57),DAY(EOMONTH((Tahmin!$C$4+35),0))))&lt;=(Tahmin!$C$4+41),DATE(YEAR((Tahmin!$C$4+35)),MONTH((Tahmin!$C$4+35)),MIN(DAY(Kalemler!$D57),DAY(EOMONTH((Tahmin!$C$4+35),0))))&gt;=Kalemler!$D57),AND(DATE(YEAR((Tahmin!$C$4+41)),MONTH((Tahmin!$C$4+41)),MIN(DAY(Kalemler!$D57),DAY(EOMONTH((Tahmin!$C$4+41),0))))&gt;=(Tahmin!$C$4+35),DATE(YEAR((Tahmin!$C$4+41)),MONTH((Tahmin!$C$4+41)),MIN(DAY(Kalemler!$D57),DAY(EOMONTH((Tahmin!$C$4+41),0))))&lt;=(Tahmin!$C$4+41),DATE(YEAR((Tahmin!$C$4+41)),MONTH((Tahmin!$C$4+41)),MIN(DAY(Kalemler!$D57),DAY(EOMONTH((Tahmin!$C$4+41),0))))&lt;&gt;DATE(YEAR((Tahmin!$C$4+35)),MONTH((Tahmin!$C$4+35)),MIN(DAY(Kalemler!$D57),DAY(EOMONTH((Tahmin!$C$4+35),0)))),DATE(YEAR((Tahmin!$C$4+41)),MONTH((Tahmin!$C$4+41)),MIN(DAY(Kalemler!$D57),DAY(EOMONTH((Tahmin!$C$4+41),0))))&gt;=Kalemler!$D57)),1,0),IF(AND(Kalemler!$D57&gt;=(Tahmin!$C$4+35),Kalemler!$D57&lt;=(Tahmin!$C$4+41)),1,0))))</f>
        <v>0</v>
      </c>
      <c r="H57" s="0" t="n">
        <f aca="false">IF(OR(Kalemler!$A57="",Kalemler!$C57="",Kalemler!$D57=""),0,Kalemler!$C57*IF(Kalemler!$E57="Haftalık",IF(Kalemler!$D57&lt;=(Tahmin!$C$4+48),1,0),IF(Kalemler!$E57="Aylık",IF(OR(AND(DATE(YEAR((Tahmin!$C$4+42)),MONTH((Tahmin!$C$4+42)),MIN(DAY(Kalemler!$D57),DAY(EOMONTH((Tahmin!$C$4+42),0))))&gt;=(Tahmin!$C$4+42),DATE(YEAR((Tahmin!$C$4+42)),MONTH((Tahmin!$C$4+42)),MIN(DAY(Kalemler!$D57),DAY(EOMONTH((Tahmin!$C$4+42),0))))&lt;=(Tahmin!$C$4+48),DATE(YEAR((Tahmin!$C$4+42)),MONTH((Tahmin!$C$4+42)),MIN(DAY(Kalemler!$D57),DAY(EOMONTH((Tahmin!$C$4+42),0))))&gt;=Kalemler!$D57),AND(DATE(YEAR((Tahmin!$C$4+48)),MONTH((Tahmin!$C$4+48)),MIN(DAY(Kalemler!$D57),DAY(EOMONTH((Tahmin!$C$4+48),0))))&gt;=(Tahmin!$C$4+42),DATE(YEAR((Tahmin!$C$4+48)),MONTH((Tahmin!$C$4+48)),MIN(DAY(Kalemler!$D57),DAY(EOMONTH((Tahmin!$C$4+48),0))))&lt;=(Tahmin!$C$4+48),DATE(YEAR((Tahmin!$C$4+48)),MONTH((Tahmin!$C$4+48)),MIN(DAY(Kalemler!$D57),DAY(EOMONTH((Tahmin!$C$4+48),0))))&lt;&gt;DATE(YEAR((Tahmin!$C$4+42)),MONTH((Tahmin!$C$4+42)),MIN(DAY(Kalemler!$D57),DAY(EOMONTH((Tahmin!$C$4+42),0)))),DATE(YEAR((Tahmin!$C$4+48)),MONTH((Tahmin!$C$4+48)),MIN(DAY(Kalemler!$D57),DAY(EOMONTH((Tahmin!$C$4+48),0))))&gt;=Kalemler!$D57)),1,0),IF(AND(Kalemler!$D57&gt;=(Tahmin!$C$4+42),Kalemler!$D57&lt;=(Tahmin!$C$4+48)),1,0))))</f>
        <v>0</v>
      </c>
      <c r="I57" s="0" t="n">
        <f aca="false">IF(OR(Kalemler!$A57="",Kalemler!$C57="",Kalemler!$D57=""),0,Kalemler!$C57*IF(Kalemler!$E57="Haftalık",IF(Kalemler!$D57&lt;=(Tahmin!$C$4+55),1,0),IF(Kalemler!$E57="Aylık",IF(OR(AND(DATE(YEAR((Tahmin!$C$4+49)),MONTH((Tahmin!$C$4+49)),MIN(DAY(Kalemler!$D57),DAY(EOMONTH((Tahmin!$C$4+49),0))))&gt;=(Tahmin!$C$4+49),DATE(YEAR((Tahmin!$C$4+49)),MONTH((Tahmin!$C$4+49)),MIN(DAY(Kalemler!$D57),DAY(EOMONTH((Tahmin!$C$4+49),0))))&lt;=(Tahmin!$C$4+55),DATE(YEAR((Tahmin!$C$4+49)),MONTH((Tahmin!$C$4+49)),MIN(DAY(Kalemler!$D57),DAY(EOMONTH((Tahmin!$C$4+49),0))))&gt;=Kalemler!$D57),AND(DATE(YEAR((Tahmin!$C$4+55)),MONTH((Tahmin!$C$4+55)),MIN(DAY(Kalemler!$D57),DAY(EOMONTH((Tahmin!$C$4+55),0))))&gt;=(Tahmin!$C$4+49),DATE(YEAR((Tahmin!$C$4+55)),MONTH((Tahmin!$C$4+55)),MIN(DAY(Kalemler!$D57),DAY(EOMONTH((Tahmin!$C$4+55),0))))&lt;=(Tahmin!$C$4+55),DATE(YEAR((Tahmin!$C$4+55)),MONTH((Tahmin!$C$4+55)),MIN(DAY(Kalemler!$D57),DAY(EOMONTH((Tahmin!$C$4+55),0))))&lt;&gt;DATE(YEAR((Tahmin!$C$4+49)),MONTH((Tahmin!$C$4+49)),MIN(DAY(Kalemler!$D57),DAY(EOMONTH((Tahmin!$C$4+49),0)))),DATE(YEAR((Tahmin!$C$4+55)),MONTH((Tahmin!$C$4+55)),MIN(DAY(Kalemler!$D57),DAY(EOMONTH((Tahmin!$C$4+55),0))))&gt;=Kalemler!$D57)),1,0),IF(AND(Kalemler!$D57&gt;=(Tahmin!$C$4+49),Kalemler!$D57&lt;=(Tahmin!$C$4+55)),1,0))))</f>
        <v>0</v>
      </c>
      <c r="J57" s="0" t="n">
        <f aca="false">IF(OR(Kalemler!$A57="",Kalemler!$C57="",Kalemler!$D57=""),0,Kalemler!$C57*IF(Kalemler!$E57="Haftalık",IF(Kalemler!$D57&lt;=(Tahmin!$C$4+62),1,0),IF(Kalemler!$E57="Aylık",IF(OR(AND(DATE(YEAR((Tahmin!$C$4+56)),MONTH((Tahmin!$C$4+56)),MIN(DAY(Kalemler!$D57),DAY(EOMONTH((Tahmin!$C$4+56),0))))&gt;=(Tahmin!$C$4+56),DATE(YEAR((Tahmin!$C$4+56)),MONTH((Tahmin!$C$4+56)),MIN(DAY(Kalemler!$D57),DAY(EOMONTH((Tahmin!$C$4+56),0))))&lt;=(Tahmin!$C$4+62),DATE(YEAR((Tahmin!$C$4+56)),MONTH((Tahmin!$C$4+56)),MIN(DAY(Kalemler!$D57),DAY(EOMONTH((Tahmin!$C$4+56),0))))&gt;=Kalemler!$D57),AND(DATE(YEAR((Tahmin!$C$4+62)),MONTH((Tahmin!$C$4+62)),MIN(DAY(Kalemler!$D57),DAY(EOMONTH((Tahmin!$C$4+62),0))))&gt;=(Tahmin!$C$4+56),DATE(YEAR((Tahmin!$C$4+62)),MONTH((Tahmin!$C$4+62)),MIN(DAY(Kalemler!$D57),DAY(EOMONTH((Tahmin!$C$4+62),0))))&lt;=(Tahmin!$C$4+62),DATE(YEAR((Tahmin!$C$4+62)),MONTH((Tahmin!$C$4+62)),MIN(DAY(Kalemler!$D57),DAY(EOMONTH((Tahmin!$C$4+62),0))))&lt;&gt;DATE(YEAR((Tahmin!$C$4+56)),MONTH((Tahmin!$C$4+56)),MIN(DAY(Kalemler!$D57),DAY(EOMONTH((Tahmin!$C$4+56),0)))),DATE(YEAR((Tahmin!$C$4+62)),MONTH((Tahmin!$C$4+62)),MIN(DAY(Kalemler!$D57),DAY(EOMONTH((Tahmin!$C$4+62),0))))&gt;=Kalemler!$D57)),1,0),IF(AND(Kalemler!$D57&gt;=(Tahmin!$C$4+56),Kalemler!$D57&lt;=(Tahmin!$C$4+62)),1,0))))</f>
        <v>0</v>
      </c>
      <c r="K57" s="0" t="n">
        <f aca="false">IF(OR(Kalemler!$A57="",Kalemler!$C57="",Kalemler!$D57=""),0,Kalemler!$C57*IF(Kalemler!$E57="Haftalık",IF(Kalemler!$D57&lt;=(Tahmin!$C$4+69),1,0),IF(Kalemler!$E57="Aylık",IF(OR(AND(DATE(YEAR((Tahmin!$C$4+63)),MONTH((Tahmin!$C$4+63)),MIN(DAY(Kalemler!$D57),DAY(EOMONTH((Tahmin!$C$4+63),0))))&gt;=(Tahmin!$C$4+63),DATE(YEAR((Tahmin!$C$4+63)),MONTH((Tahmin!$C$4+63)),MIN(DAY(Kalemler!$D57),DAY(EOMONTH((Tahmin!$C$4+63),0))))&lt;=(Tahmin!$C$4+69),DATE(YEAR((Tahmin!$C$4+63)),MONTH((Tahmin!$C$4+63)),MIN(DAY(Kalemler!$D57),DAY(EOMONTH((Tahmin!$C$4+63),0))))&gt;=Kalemler!$D57),AND(DATE(YEAR((Tahmin!$C$4+69)),MONTH((Tahmin!$C$4+69)),MIN(DAY(Kalemler!$D57),DAY(EOMONTH((Tahmin!$C$4+69),0))))&gt;=(Tahmin!$C$4+63),DATE(YEAR((Tahmin!$C$4+69)),MONTH((Tahmin!$C$4+69)),MIN(DAY(Kalemler!$D57),DAY(EOMONTH((Tahmin!$C$4+69),0))))&lt;=(Tahmin!$C$4+69),DATE(YEAR((Tahmin!$C$4+69)),MONTH((Tahmin!$C$4+69)),MIN(DAY(Kalemler!$D57),DAY(EOMONTH((Tahmin!$C$4+69),0))))&lt;&gt;DATE(YEAR((Tahmin!$C$4+63)),MONTH((Tahmin!$C$4+63)),MIN(DAY(Kalemler!$D57),DAY(EOMONTH((Tahmin!$C$4+63),0)))),DATE(YEAR((Tahmin!$C$4+69)),MONTH((Tahmin!$C$4+69)),MIN(DAY(Kalemler!$D57),DAY(EOMONTH((Tahmin!$C$4+69),0))))&gt;=Kalemler!$D57)),1,0),IF(AND(Kalemler!$D57&gt;=(Tahmin!$C$4+63),Kalemler!$D57&lt;=(Tahmin!$C$4+69)),1,0))))</f>
        <v>0</v>
      </c>
      <c r="L57" s="0" t="n">
        <f aca="false">IF(OR(Kalemler!$A57="",Kalemler!$C57="",Kalemler!$D57=""),0,Kalemler!$C57*IF(Kalemler!$E57="Haftalık",IF(Kalemler!$D57&lt;=(Tahmin!$C$4+76),1,0),IF(Kalemler!$E57="Aylık",IF(OR(AND(DATE(YEAR((Tahmin!$C$4+70)),MONTH((Tahmin!$C$4+70)),MIN(DAY(Kalemler!$D57),DAY(EOMONTH((Tahmin!$C$4+70),0))))&gt;=(Tahmin!$C$4+70),DATE(YEAR((Tahmin!$C$4+70)),MONTH((Tahmin!$C$4+70)),MIN(DAY(Kalemler!$D57),DAY(EOMONTH((Tahmin!$C$4+70),0))))&lt;=(Tahmin!$C$4+76),DATE(YEAR((Tahmin!$C$4+70)),MONTH((Tahmin!$C$4+70)),MIN(DAY(Kalemler!$D57),DAY(EOMONTH((Tahmin!$C$4+70),0))))&gt;=Kalemler!$D57),AND(DATE(YEAR((Tahmin!$C$4+76)),MONTH((Tahmin!$C$4+76)),MIN(DAY(Kalemler!$D57),DAY(EOMONTH((Tahmin!$C$4+76),0))))&gt;=(Tahmin!$C$4+70),DATE(YEAR((Tahmin!$C$4+76)),MONTH((Tahmin!$C$4+76)),MIN(DAY(Kalemler!$D57),DAY(EOMONTH((Tahmin!$C$4+76),0))))&lt;=(Tahmin!$C$4+76),DATE(YEAR((Tahmin!$C$4+76)),MONTH((Tahmin!$C$4+76)),MIN(DAY(Kalemler!$D57),DAY(EOMONTH((Tahmin!$C$4+76),0))))&lt;&gt;DATE(YEAR((Tahmin!$C$4+70)),MONTH((Tahmin!$C$4+70)),MIN(DAY(Kalemler!$D57),DAY(EOMONTH((Tahmin!$C$4+70),0)))),DATE(YEAR((Tahmin!$C$4+76)),MONTH((Tahmin!$C$4+76)),MIN(DAY(Kalemler!$D57),DAY(EOMONTH((Tahmin!$C$4+76),0))))&gt;=Kalemler!$D57)),1,0),IF(AND(Kalemler!$D57&gt;=(Tahmin!$C$4+70),Kalemler!$D57&lt;=(Tahmin!$C$4+76)),1,0))))</f>
        <v>0</v>
      </c>
      <c r="M57" s="0" t="n">
        <f aca="false">IF(OR(Kalemler!$A57="",Kalemler!$C57="",Kalemler!$D57=""),0,Kalemler!$C57*IF(Kalemler!$E57="Haftalık",IF(Kalemler!$D57&lt;=(Tahmin!$C$4+83),1,0),IF(Kalemler!$E57="Aylık",IF(OR(AND(DATE(YEAR((Tahmin!$C$4+77)),MONTH((Tahmin!$C$4+77)),MIN(DAY(Kalemler!$D57),DAY(EOMONTH((Tahmin!$C$4+77),0))))&gt;=(Tahmin!$C$4+77),DATE(YEAR((Tahmin!$C$4+77)),MONTH((Tahmin!$C$4+77)),MIN(DAY(Kalemler!$D57),DAY(EOMONTH((Tahmin!$C$4+77),0))))&lt;=(Tahmin!$C$4+83),DATE(YEAR((Tahmin!$C$4+77)),MONTH((Tahmin!$C$4+77)),MIN(DAY(Kalemler!$D57),DAY(EOMONTH((Tahmin!$C$4+77),0))))&gt;=Kalemler!$D57),AND(DATE(YEAR((Tahmin!$C$4+83)),MONTH((Tahmin!$C$4+83)),MIN(DAY(Kalemler!$D57),DAY(EOMONTH((Tahmin!$C$4+83),0))))&gt;=(Tahmin!$C$4+77),DATE(YEAR((Tahmin!$C$4+83)),MONTH((Tahmin!$C$4+83)),MIN(DAY(Kalemler!$D57),DAY(EOMONTH((Tahmin!$C$4+83),0))))&lt;=(Tahmin!$C$4+83),DATE(YEAR((Tahmin!$C$4+83)),MONTH((Tahmin!$C$4+83)),MIN(DAY(Kalemler!$D57),DAY(EOMONTH((Tahmin!$C$4+83),0))))&lt;&gt;DATE(YEAR((Tahmin!$C$4+77)),MONTH((Tahmin!$C$4+77)),MIN(DAY(Kalemler!$D57),DAY(EOMONTH((Tahmin!$C$4+77),0)))),DATE(YEAR((Tahmin!$C$4+83)),MONTH((Tahmin!$C$4+83)),MIN(DAY(Kalemler!$D57),DAY(EOMONTH((Tahmin!$C$4+83),0))))&gt;=Kalemler!$D57)),1,0),IF(AND(Kalemler!$D57&gt;=(Tahmin!$C$4+77),Kalemler!$D57&lt;=(Tahmin!$C$4+83)),1,0))))</f>
        <v>0</v>
      </c>
      <c r="N57" s="0" t="n">
        <f aca="false">IF(OR(Kalemler!$A57="",Kalemler!$C57="",Kalemler!$D57=""),0,Kalemler!$C57*IF(Kalemler!$E57="Haftalık",IF(Kalemler!$D57&lt;=(Tahmin!$C$4+90),1,0),IF(Kalemler!$E57="Aylık",IF(OR(AND(DATE(YEAR((Tahmin!$C$4+84)),MONTH((Tahmin!$C$4+84)),MIN(DAY(Kalemler!$D57),DAY(EOMONTH((Tahmin!$C$4+84),0))))&gt;=(Tahmin!$C$4+84),DATE(YEAR((Tahmin!$C$4+84)),MONTH((Tahmin!$C$4+84)),MIN(DAY(Kalemler!$D57),DAY(EOMONTH((Tahmin!$C$4+84),0))))&lt;=(Tahmin!$C$4+90),DATE(YEAR((Tahmin!$C$4+84)),MONTH((Tahmin!$C$4+84)),MIN(DAY(Kalemler!$D57),DAY(EOMONTH((Tahmin!$C$4+84),0))))&gt;=Kalemler!$D57),AND(DATE(YEAR((Tahmin!$C$4+90)),MONTH((Tahmin!$C$4+90)),MIN(DAY(Kalemler!$D57),DAY(EOMONTH((Tahmin!$C$4+90),0))))&gt;=(Tahmin!$C$4+84),DATE(YEAR((Tahmin!$C$4+90)),MONTH((Tahmin!$C$4+90)),MIN(DAY(Kalemler!$D57),DAY(EOMONTH((Tahmin!$C$4+90),0))))&lt;=(Tahmin!$C$4+90),DATE(YEAR((Tahmin!$C$4+90)),MONTH((Tahmin!$C$4+90)),MIN(DAY(Kalemler!$D57),DAY(EOMONTH((Tahmin!$C$4+90),0))))&lt;&gt;DATE(YEAR((Tahmin!$C$4+84)),MONTH((Tahmin!$C$4+84)),MIN(DAY(Kalemler!$D57),DAY(EOMONTH((Tahmin!$C$4+84),0)))),DATE(YEAR((Tahmin!$C$4+90)),MONTH((Tahmin!$C$4+90)),MIN(DAY(Kalemler!$D57),DAY(EOMONTH((Tahmin!$C$4+90),0))))&gt;=Kalemler!$D57)),1,0),IF(AND(Kalemler!$D57&gt;=(Tahmin!$C$4+84),Kalemler!$D57&lt;=(Tahmin!$C$4+90)),1,0))))</f>
        <v>0</v>
      </c>
    </row>
    <row r="58" customFormat="false" ht="15" hidden="false" customHeight="false" outlineLevel="0" collapsed="false">
      <c r="A58" s="0" t="str">
        <f aca="false">IF(Kalemler!A58="","",Kalemler!A58)</f>
        <v/>
      </c>
      <c r="B58" s="0" t="n">
        <f aca="false">IF(OR(Kalemler!$A58="",Kalemler!$C58="",Kalemler!$D58=""),0,Kalemler!$C58*IF(Kalemler!$E58="Haftalık",IF(Kalemler!$D58&lt;=(Tahmin!$C$4+6),1,0),IF(Kalemler!$E58="Aylık",IF(OR(AND(DATE(YEAR((Tahmin!$C$4+0)),MONTH((Tahmin!$C$4+0)),MIN(DAY(Kalemler!$D58),DAY(EOMONTH((Tahmin!$C$4+0),0))))&gt;=(Tahmin!$C$4+0),DATE(YEAR((Tahmin!$C$4+0)),MONTH((Tahmin!$C$4+0)),MIN(DAY(Kalemler!$D58),DAY(EOMONTH((Tahmin!$C$4+0),0))))&lt;=(Tahmin!$C$4+6),DATE(YEAR((Tahmin!$C$4+0)),MONTH((Tahmin!$C$4+0)),MIN(DAY(Kalemler!$D58),DAY(EOMONTH((Tahmin!$C$4+0),0))))&gt;=Kalemler!$D58),AND(DATE(YEAR((Tahmin!$C$4+6)),MONTH((Tahmin!$C$4+6)),MIN(DAY(Kalemler!$D58),DAY(EOMONTH((Tahmin!$C$4+6),0))))&gt;=(Tahmin!$C$4+0),DATE(YEAR((Tahmin!$C$4+6)),MONTH((Tahmin!$C$4+6)),MIN(DAY(Kalemler!$D58),DAY(EOMONTH((Tahmin!$C$4+6),0))))&lt;=(Tahmin!$C$4+6),DATE(YEAR((Tahmin!$C$4+6)),MONTH((Tahmin!$C$4+6)),MIN(DAY(Kalemler!$D58),DAY(EOMONTH((Tahmin!$C$4+6),0))))&lt;&gt;DATE(YEAR((Tahmin!$C$4+0)),MONTH((Tahmin!$C$4+0)),MIN(DAY(Kalemler!$D58),DAY(EOMONTH((Tahmin!$C$4+0),0)))),DATE(YEAR((Tahmin!$C$4+6)),MONTH((Tahmin!$C$4+6)),MIN(DAY(Kalemler!$D58),DAY(EOMONTH((Tahmin!$C$4+6),0))))&gt;=Kalemler!$D58)),1,0),IF(AND(Kalemler!$D58&gt;=(Tahmin!$C$4+0),Kalemler!$D58&lt;=(Tahmin!$C$4+6)),1,0))))</f>
        <v>0</v>
      </c>
      <c r="C58" s="0" t="n">
        <f aca="false">IF(OR(Kalemler!$A58="",Kalemler!$C58="",Kalemler!$D58=""),0,Kalemler!$C58*IF(Kalemler!$E58="Haftalık",IF(Kalemler!$D58&lt;=(Tahmin!$C$4+13),1,0),IF(Kalemler!$E58="Aylık",IF(OR(AND(DATE(YEAR((Tahmin!$C$4+7)),MONTH((Tahmin!$C$4+7)),MIN(DAY(Kalemler!$D58),DAY(EOMONTH((Tahmin!$C$4+7),0))))&gt;=(Tahmin!$C$4+7),DATE(YEAR((Tahmin!$C$4+7)),MONTH((Tahmin!$C$4+7)),MIN(DAY(Kalemler!$D58),DAY(EOMONTH((Tahmin!$C$4+7),0))))&lt;=(Tahmin!$C$4+13),DATE(YEAR((Tahmin!$C$4+7)),MONTH((Tahmin!$C$4+7)),MIN(DAY(Kalemler!$D58),DAY(EOMONTH((Tahmin!$C$4+7),0))))&gt;=Kalemler!$D58),AND(DATE(YEAR((Tahmin!$C$4+13)),MONTH((Tahmin!$C$4+13)),MIN(DAY(Kalemler!$D58),DAY(EOMONTH((Tahmin!$C$4+13),0))))&gt;=(Tahmin!$C$4+7),DATE(YEAR((Tahmin!$C$4+13)),MONTH((Tahmin!$C$4+13)),MIN(DAY(Kalemler!$D58),DAY(EOMONTH((Tahmin!$C$4+13),0))))&lt;=(Tahmin!$C$4+13),DATE(YEAR((Tahmin!$C$4+13)),MONTH((Tahmin!$C$4+13)),MIN(DAY(Kalemler!$D58),DAY(EOMONTH((Tahmin!$C$4+13),0))))&lt;&gt;DATE(YEAR((Tahmin!$C$4+7)),MONTH((Tahmin!$C$4+7)),MIN(DAY(Kalemler!$D58),DAY(EOMONTH((Tahmin!$C$4+7),0)))),DATE(YEAR((Tahmin!$C$4+13)),MONTH((Tahmin!$C$4+13)),MIN(DAY(Kalemler!$D58),DAY(EOMONTH((Tahmin!$C$4+13),0))))&gt;=Kalemler!$D58)),1,0),IF(AND(Kalemler!$D58&gt;=(Tahmin!$C$4+7),Kalemler!$D58&lt;=(Tahmin!$C$4+13)),1,0))))</f>
        <v>0</v>
      </c>
      <c r="D58" s="0" t="n">
        <f aca="false">IF(OR(Kalemler!$A58="",Kalemler!$C58="",Kalemler!$D58=""),0,Kalemler!$C58*IF(Kalemler!$E58="Haftalık",IF(Kalemler!$D58&lt;=(Tahmin!$C$4+20),1,0),IF(Kalemler!$E58="Aylık",IF(OR(AND(DATE(YEAR((Tahmin!$C$4+14)),MONTH((Tahmin!$C$4+14)),MIN(DAY(Kalemler!$D58),DAY(EOMONTH((Tahmin!$C$4+14),0))))&gt;=(Tahmin!$C$4+14),DATE(YEAR((Tahmin!$C$4+14)),MONTH((Tahmin!$C$4+14)),MIN(DAY(Kalemler!$D58),DAY(EOMONTH((Tahmin!$C$4+14),0))))&lt;=(Tahmin!$C$4+20),DATE(YEAR((Tahmin!$C$4+14)),MONTH((Tahmin!$C$4+14)),MIN(DAY(Kalemler!$D58),DAY(EOMONTH((Tahmin!$C$4+14),0))))&gt;=Kalemler!$D58),AND(DATE(YEAR((Tahmin!$C$4+20)),MONTH((Tahmin!$C$4+20)),MIN(DAY(Kalemler!$D58),DAY(EOMONTH((Tahmin!$C$4+20),0))))&gt;=(Tahmin!$C$4+14),DATE(YEAR((Tahmin!$C$4+20)),MONTH((Tahmin!$C$4+20)),MIN(DAY(Kalemler!$D58),DAY(EOMONTH((Tahmin!$C$4+20),0))))&lt;=(Tahmin!$C$4+20),DATE(YEAR((Tahmin!$C$4+20)),MONTH((Tahmin!$C$4+20)),MIN(DAY(Kalemler!$D58),DAY(EOMONTH((Tahmin!$C$4+20),0))))&lt;&gt;DATE(YEAR((Tahmin!$C$4+14)),MONTH((Tahmin!$C$4+14)),MIN(DAY(Kalemler!$D58),DAY(EOMONTH((Tahmin!$C$4+14),0)))),DATE(YEAR((Tahmin!$C$4+20)),MONTH((Tahmin!$C$4+20)),MIN(DAY(Kalemler!$D58),DAY(EOMONTH((Tahmin!$C$4+20),0))))&gt;=Kalemler!$D58)),1,0),IF(AND(Kalemler!$D58&gt;=(Tahmin!$C$4+14),Kalemler!$D58&lt;=(Tahmin!$C$4+20)),1,0))))</f>
        <v>0</v>
      </c>
      <c r="E58" s="0" t="n">
        <f aca="false">IF(OR(Kalemler!$A58="",Kalemler!$C58="",Kalemler!$D58=""),0,Kalemler!$C58*IF(Kalemler!$E58="Haftalık",IF(Kalemler!$D58&lt;=(Tahmin!$C$4+27),1,0),IF(Kalemler!$E58="Aylık",IF(OR(AND(DATE(YEAR((Tahmin!$C$4+21)),MONTH((Tahmin!$C$4+21)),MIN(DAY(Kalemler!$D58),DAY(EOMONTH((Tahmin!$C$4+21),0))))&gt;=(Tahmin!$C$4+21),DATE(YEAR((Tahmin!$C$4+21)),MONTH((Tahmin!$C$4+21)),MIN(DAY(Kalemler!$D58),DAY(EOMONTH((Tahmin!$C$4+21),0))))&lt;=(Tahmin!$C$4+27),DATE(YEAR((Tahmin!$C$4+21)),MONTH((Tahmin!$C$4+21)),MIN(DAY(Kalemler!$D58),DAY(EOMONTH((Tahmin!$C$4+21),0))))&gt;=Kalemler!$D58),AND(DATE(YEAR((Tahmin!$C$4+27)),MONTH((Tahmin!$C$4+27)),MIN(DAY(Kalemler!$D58),DAY(EOMONTH((Tahmin!$C$4+27),0))))&gt;=(Tahmin!$C$4+21),DATE(YEAR((Tahmin!$C$4+27)),MONTH((Tahmin!$C$4+27)),MIN(DAY(Kalemler!$D58),DAY(EOMONTH((Tahmin!$C$4+27),0))))&lt;=(Tahmin!$C$4+27),DATE(YEAR((Tahmin!$C$4+27)),MONTH((Tahmin!$C$4+27)),MIN(DAY(Kalemler!$D58),DAY(EOMONTH((Tahmin!$C$4+27),0))))&lt;&gt;DATE(YEAR((Tahmin!$C$4+21)),MONTH((Tahmin!$C$4+21)),MIN(DAY(Kalemler!$D58),DAY(EOMONTH((Tahmin!$C$4+21),0)))),DATE(YEAR((Tahmin!$C$4+27)),MONTH((Tahmin!$C$4+27)),MIN(DAY(Kalemler!$D58),DAY(EOMONTH((Tahmin!$C$4+27),0))))&gt;=Kalemler!$D58)),1,0),IF(AND(Kalemler!$D58&gt;=(Tahmin!$C$4+21),Kalemler!$D58&lt;=(Tahmin!$C$4+27)),1,0))))</f>
        <v>0</v>
      </c>
      <c r="F58" s="0" t="n">
        <f aca="false">IF(OR(Kalemler!$A58="",Kalemler!$C58="",Kalemler!$D58=""),0,Kalemler!$C58*IF(Kalemler!$E58="Haftalık",IF(Kalemler!$D58&lt;=(Tahmin!$C$4+34),1,0),IF(Kalemler!$E58="Aylık",IF(OR(AND(DATE(YEAR((Tahmin!$C$4+28)),MONTH((Tahmin!$C$4+28)),MIN(DAY(Kalemler!$D58),DAY(EOMONTH((Tahmin!$C$4+28),0))))&gt;=(Tahmin!$C$4+28),DATE(YEAR((Tahmin!$C$4+28)),MONTH((Tahmin!$C$4+28)),MIN(DAY(Kalemler!$D58),DAY(EOMONTH((Tahmin!$C$4+28),0))))&lt;=(Tahmin!$C$4+34),DATE(YEAR((Tahmin!$C$4+28)),MONTH((Tahmin!$C$4+28)),MIN(DAY(Kalemler!$D58),DAY(EOMONTH((Tahmin!$C$4+28),0))))&gt;=Kalemler!$D58),AND(DATE(YEAR((Tahmin!$C$4+34)),MONTH((Tahmin!$C$4+34)),MIN(DAY(Kalemler!$D58),DAY(EOMONTH((Tahmin!$C$4+34),0))))&gt;=(Tahmin!$C$4+28),DATE(YEAR((Tahmin!$C$4+34)),MONTH((Tahmin!$C$4+34)),MIN(DAY(Kalemler!$D58),DAY(EOMONTH((Tahmin!$C$4+34),0))))&lt;=(Tahmin!$C$4+34),DATE(YEAR((Tahmin!$C$4+34)),MONTH((Tahmin!$C$4+34)),MIN(DAY(Kalemler!$D58),DAY(EOMONTH((Tahmin!$C$4+34),0))))&lt;&gt;DATE(YEAR((Tahmin!$C$4+28)),MONTH((Tahmin!$C$4+28)),MIN(DAY(Kalemler!$D58),DAY(EOMONTH((Tahmin!$C$4+28),0)))),DATE(YEAR((Tahmin!$C$4+34)),MONTH((Tahmin!$C$4+34)),MIN(DAY(Kalemler!$D58),DAY(EOMONTH((Tahmin!$C$4+34),0))))&gt;=Kalemler!$D58)),1,0),IF(AND(Kalemler!$D58&gt;=(Tahmin!$C$4+28),Kalemler!$D58&lt;=(Tahmin!$C$4+34)),1,0))))</f>
        <v>0</v>
      </c>
      <c r="G58" s="0" t="n">
        <f aca="false">IF(OR(Kalemler!$A58="",Kalemler!$C58="",Kalemler!$D58=""),0,Kalemler!$C58*IF(Kalemler!$E58="Haftalık",IF(Kalemler!$D58&lt;=(Tahmin!$C$4+41),1,0),IF(Kalemler!$E58="Aylık",IF(OR(AND(DATE(YEAR((Tahmin!$C$4+35)),MONTH((Tahmin!$C$4+35)),MIN(DAY(Kalemler!$D58),DAY(EOMONTH((Tahmin!$C$4+35),0))))&gt;=(Tahmin!$C$4+35),DATE(YEAR((Tahmin!$C$4+35)),MONTH((Tahmin!$C$4+35)),MIN(DAY(Kalemler!$D58),DAY(EOMONTH((Tahmin!$C$4+35),0))))&lt;=(Tahmin!$C$4+41),DATE(YEAR((Tahmin!$C$4+35)),MONTH((Tahmin!$C$4+35)),MIN(DAY(Kalemler!$D58),DAY(EOMONTH((Tahmin!$C$4+35),0))))&gt;=Kalemler!$D58),AND(DATE(YEAR((Tahmin!$C$4+41)),MONTH((Tahmin!$C$4+41)),MIN(DAY(Kalemler!$D58),DAY(EOMONTH((Tahmin!$C$4+41),0))))&gt;=(Tahmin!$C$4+35),DATE(YEAR((Tahmin!$C$4+41)),MONTH((Tahmin!$C$4+41)),MIN(DAY(Kalemler!$D58),DAY(EOMONTH((Tahmin!$C$4+41),0))))&lt;=(Tahmin!$C$4+41),DATE(YEAR((Tahmin!$C$4+41)),MONTH((Tahmin!$C$4+41)),MIN(DAY(Kalemler!$D58),DAY(EOMONTH((Tahmin!$C$4+41),0))))&lt;&gt;DATE(YEAR((Tahmin!$C$4+35)),MONTH((Tahmin!$C$4+35)),MIN(DAY(Kalemler!$D58),DAY(EOMONTH((Tahmin!$C$4+35),0)))),DATE(YEAR((Tahmin!$C$4+41)),MONTH((Tahmin!$C$4+41)),MIN(DAY(Kalemler!$D58),DAY(EOMONTH((Tahmin!$C$4+41),0))))&gt;=Kalemler!$D58)),1,0),IF(AND(Kalemler!$D58&gt;=(Tahmin!$C$4+35),Kalemler!$D58&lt;=(Tahmin!$C$4+41)),1,0))))</f>
        <v>0</v>
      </c>
      <c r="H58" s="0" t="n">
        <f aca="false">IF(OR(Kalemler!$A58="",Kalemler!$C58="",Kalemler!$D58=""),0,Kalemler!$C58*IF(Kalemler!$E58="Haftalık",IF(Kalemler!$D58&lt;=(Tahmin!$C$4+48),1,0),IF(Kalemler!$E58="Aylık",IF(OR(AND(DATE(YEAR((Tahmin!$C$4+42)),MONTH((Tahmin!$C$4+42)),MIN(DAY(Kalemler!$D58),DAY(EOMONTH((Tahmin!$C$4+42),0))))&gt;=(Tahmin!$C$4+42),DATE(YEAR((Tahmin!$C$4+42)),MONTH((Tahmin!$C$4+42)),MIN(DAY(Kalemler!$D58),DAY(EOMONTH((Tahmin!$C$4+42),0))))&lt;=(Tahmin!$C$4+48),DATE(YEAR((Tahmin!$C$4+42)),MONTH((Tahmin!$C$4+42)),MIN(DAY(Kalemler!$D58),DAY(EOMONTH((Tahmin!$C$4+42),0))))&gt;=Kalemler!$D58),AND(DATE(YEAR((Tahmin!$C$4+48)),MONTH((Tahmin!$C$4+48)),MIN(DAY(Kalemler!$D58),DAY(EOMONTH((Tahmin!$C$4+48),0))))&gt;=(Tahmin!$C$4+42),DATE(YEAR((Tahmin!$C$4+48)),MONTH((Tahmin!$C$4+48)),MIN(DAY(Kalemler!$D58),DAY(EOMONTH((Tahmin!$C$4+48),0))))&lt;=(Tahmin!$C$4+48),DATE(YEAR((Tahmin!$C$4+48)),MONTH((Tahmin!$C$4+48)),MIN(DAY(Kalemler!$D58),DAY(EOMONTH((Tahmin!$C$4+48),0))))&lt;&gt;DATE(YEAR((Tahmin!$C$4+42)),MONTH((Tahmin!$C$4+42)),MIN(DAY(Kalemler!$D58),DAY(EOMONTH((Tahmin!$C$4+42),0)))),DATE(YEAR((Tahmin!$C$4+48)),MONTH((Tahmin!$C$4+48)),MIN(DAY(Kalemler!$D58),DAY(EOMONTH((Tahmin!$C$4+48),0))))&gt;=Kalemler!$D58)),1,0),IF(AND(Kalemler!$D58&gt;=(Tahmin!$C$4+42),Kalemler!$D58&lt;=(Tahmin!$C$4+48)),1,0))))</f>
        <v>0</v>
      </c>
      <c r="I58" s="0" t="n">
        <f aca="false">IF(OR(Kalemler!$A58="",Kalemler!$C58="",Kalemler!$D58=""),0,Kalemler!$C58*IF(Kalemler!$E58="Haftalık",IF(Kalemler!$D58&lt;=(Tahmin!$C$4+55),1,0),IF(Kalemler!$E58="Aylık",IF(OR(AND(DATE(YEAR((Tahmin!$C$4+49)),MONTH((Tahmin!$C$4+49)),MIN(DAY(Kalemler!$D58),DAY(EOMONTH((Tahmin!$C$4+49),0))))&gt;=(Tahmin!$C$4+49),DATE(YEAR((Tahmin!$C$4+49)),MONTH((Tahmin!$C$4+49)),MIN(DAY(Kalemler!$D58),DAY(EOMONTH((Tahmin!$C$4+49),0))))&lt;=(Tahmin!$C$4+55),DATE(YEAR((Tahmin!$C$4+49)),MONTH((Tahmin!$C$4+49)),MIN(DAY(Kalemler!$D58),DAY(EOMONTH((Tahmin!$C$4+49),0))))&gt;=Kalemler!$D58),AND(DATE(YEAR((Tahmin!$C$4+55)),MONTH((Tahmin!$C$4+55)),MIN(DAY(Kalemler!$D58),DAY(EOMONTH((Tahmin!$C$4+55),0))))&gt;=(Tahmin!$C$4+49),DATE(YEAR((Tahmin!$C$4+55)),MONTH((Tahmin!$C$4+55)),MIN(DAY(Kalemler!$D58),DAY(EOMONTH((Tahmin!$C$4+55),0))))&lt;=(Tahmin!$C$4+55),DATE(YEAR((Tahmin!$C$4+55)),MONTH((Tahmin!$C$4+55)),MIN(DAY(Kalemler!$D58),DAY(EOMONTH((Tahmin!$C$4+55),0))))&lt;&gt;DATE(YEAR((Tahmin!$C$4+49)),MONTH((Tahmin!$C$4+49)),MIN(DAY(Kalemler!$D58),DAY(EOMONTH((Tahmin!$C$4+49),0)))),DATE(YEAR((Tahmin!$C$4+55)),MONTH((Tahmin!$C$4+55)),MIN(DAY(Kalemler!$D58),DAY(EOMONTH((Tahmin!$C$4+55),0))))&gt;=Kalemler!$D58)),1,0),IF(AND(Kalemler!$D58&gt;=(Tahmin!$C$4+49),Kalemler!$D58&lt;=(Tahmin!$C$4+55)),1,0))))</f>
        <v>0</v>
      </c>
      <c r="J58" s="0" t="n">
        <f aca="false">IF(OR(Kalemler!$A58="",Kalemler!$C58="",Kalemler!$D58=""),0,Kalemler!$C58*IF(Kalemler!$E58="Haftalık",IF(Kalemler!$D58&lt;=(Tahmin!$C$4+62),1,0),IF(Kalemler!$E58="Aylık",IF(OR(AND(DATE(YEAR((Tahmin!$C$4+56)),MONTH((Tahmin!$C$4+56)),MIN(DAY(Kalemler!$D58),DAY(EOMONTH((Tahmin!$C$4+56),0))))&gt;=(Tahmin!$C$4+56),DATE(YEAR((Tahmin!$C$4+56)),MONTH((Tahmin!$C$4+56)),MIN(DAY(Kalemler!$D58),DAY(EOMONTH((Tahmin!$C$4+56),0))))&lt;=(Tahmin!$C$4+62),DATE(YEAR((Tahmin!$C$4+56)),MONTH((Tahmin!$C$4+56)),MIN(DAY(Kalemler!$D58),DAY(EOMONTH((Tahmin!$C$4+56),0))))&gt;=Kalemler!$D58),AND(DATE(YEAR((Tahmin!$C$4+62)),MONTH((Tahmin!$C$4+62)),MIN(DAY(Kalemler!$D58),DAY(EOMONTH((Tahmin!$C$4+62),0))))&gt;=(Tahmin!$C$4+56),DATE(YEAR((Tahmin!$C$4+62)),MONTH((Tahmin!$C$4+62)),MIN(DAY(Kalemler!$D58),DAY(EOMONTH((Tahmin!$C$4+62),0))))&lt;=(Tahmin!$C$4+62),DATE(YEAR((Tahmin!$C$4+62)),MONTH((Tahmin!$C$4+62)),MIN(DAY(Kalemler!$D58),DAY(EOMONTH((Tahmin!$C$4+62),0))))&lt;&gt;DATE(YEAR((Tahmin!$C$4+56)),MONTH((Tahmin!$C$4+56)),MIN(DAY(Kalemler!$D58),DAY(EOMONTH((Tahmin!$C$4+56),0)))),DATE(YEAR((Tahmin!$C$4+62)),MONTH((Tahmin!$C$4+62)),MIN(DAY(Kalemler!$D58),DAY(EOMONTH((Tahmin!$C$4+62),0))))&gt;=Kalemler!$D58)),1,0),IF(AND(Kalemler!$D58&gt;=(Tahmin!$C$4+56),Kalemler!$D58&lt;=(Tahmin!$C$4+62)),1,0))))</f>
        <v>0</v>
      </c>
      <c r="K58" s="0" t="n">
        <f aca="false">IF(OR(Kalemler!$A58="",Kalemler!$C58="",Kalemler!$D58=""),0,Kalemler!$C58*IF(Kalemler!$E58="Haftalık",IF(Kalemler!$D58&lt;=(Tahmin!$C$4+69),1,0),IF(Kalemler!$E58="Aylık",IF(OR(AND(DATE(YEAR((Tahmin!$C$4+63)),MONTH((Tahmin!$C$4+63)),MIN(DAY(Kalemler!$D58),DAY(EOMONTH((Tahmin!$C$4+63),0))))&gt;=(Tahmin!$C$4+63),DATE(YEAR((Tahmin!$C$4+63)),MONTH((Tahmin!$C$4+63)),MIN(DAY(Kalemler!$D58),DAY(EOMONTH((Tahmin!$C$4+63),0))))&lt;=(Tahmin!$C$4+69),DATE(YEAR((Tahmin!$C$4+63)),MONTH((Tahmin!$C$4+63)),MIN(DAY(Kalemler!$D58),DAY(EOMONTH((Tahmin!$C$4+63),0))))&gt;=Kalemler!$D58),AND(DATE(YEAR((Tahmin!$C$4+69)),MONTH((Tahmin!$C$4+69)),MIN(DAY(Kalemler!$D58),DAY(EOMONTH((Tahmin!$C$4+69),0))))&gt;=(Tahmin!$C$4+63),DATE(YEAR((Tahmin!$C$4+69)),MONTH((Tahmin!$C$4+69)),MIN(DAY(Kalemler!$D58),DAY(EOMONTH((Tahmin!$C$4+69),0))))&lt;=(Tahmin!$C$4+69),DATE(YEAR((Tahmin!$C$4+69)),MONTH((Tahmin!$C$4+69)),MIN(DAY(Kalemler!$D58),DAY(EOMONTH((Tahmin!$C$4+69),0))))&lt;&gt;DATE(YEAR((Tahmin!$C$4+63)),MONTH((Tahmin!$C$4+63)),MIN(DAY(Kalemler!$D58),DAY(EOMONTH((Tahmin!$C$4+63),0)))),DATE(YEAR((Tahmin!$C$4+69)),MONTH((Tahmin!$C$4+69)),MIN(DAY(Kalemler!$D58),DAY(EOMONTH((Tahmin!$C$4+69),0))))&gt;=Kalemler!$D58)),1,0),IF(AND(Kalemler!$D58&gt;=(Tahmin!$C$4+63),Kalemler!$D58&lt;=(Tahmin!$C$4+69)),1,0))))</f>
        <v>0</v>
      </c>
      <c r="L58" s="0" t="n">
        <f aca="false">IF(OR(Kalemler!$A58="",Kalemler!$C58="",Kalemler!$D58=""),0,Kalemler!$C58*IF(Kalemler!$E58="Haftalık",IF(Kalemler!$D58&lt;=(Tahmin!$C$4+76),1,0),IF(Kalemler!$E58="Aylık",IF(OR(AND(DATE(YEAR((Tahmin!$C$4+70)),MONTH((Tahmin!$C$4+70)),MIN(DAY(Kalemler!$D58),DAY(EOMONTH((Tahmin!$C$4+70),0))))&gt;=(Tahmin!$C$4+70),DATE(YEAR((Tahmin!$C$4+70)),MONTH((Tahmin!$C$4+70)),MIN(DAY(Kalemler!$D58),DAY(EOMONTH((Tahmin!$C$4+70),0))))&lt;=(Tahmin!$C$4+76),DATE(YEAR((Tahmin!$C$4+70)),MONTH((Tahmin!$C$4+70)),MIN(DAY(Kalemler!$D58),DAY(EOMONTH((Tahmin!$C$4+70),0))))&gt;=Kalemler!$D58),AND(DATE(YEAR((Tahmin!$C$4+76)),MONTH((Tahmin!$C$4+76)),MIN(DAY(Kalemler!$D58),DAY(EOMONTH((Tahmin!$C$4+76),0))))&gt;=(Tahmin!$C$4+70),DATE(YEAR((Tahmin!$C$4+76)),MONTH((Tahmin!$C$4+76)),MIN(DAY(Kalemler!$D58),DAY(EOMONTH((Tahmin!$C$4+76),0))))&lt;=(Tahmin!$C$4+76),DATE(YEAR((Tahmin!$C$4+76)),MONTH((Tahmin!$C$4+76)),MIN(DAY(Kalemler!$D58),DAY(EOMONTH((Tahmin!$C$4+76),0))))&lt;&gt;DATE(YEAR((Tahmin!$C$4+70)),MONTH((Tahmin!$C$4+70)),MIN(DAY(Kalemler!$D58),DAY(EOMONTH((Tahmin!$C$4+70),0)))),DATE(YEAR((Tahmin!$C$4+76)),MONTH((Tahmin!$C$4+76)),MIN(DAY(Kalemler!$D58),DAY(EOMONTH((Tahmin!$C$4+76),0))))&gt;=Kalemler!$D58)),1,0),IF(AND(Kalemler!$D58&gt;=(Tahmin!$C$4+70),Kalemler!$D58&lt;=(Tahmin!$C$4+76)),1,0))))</f>
        <v>0</v>
      </c>
      <c r="M58" s="0" t="n">
        <f aca="false">IF(OR(Kalemler!$A58="",Kalemler!$C58="",Kalemler!$D58=""),0,Kalemler!$C58*IF(Kalemler!$E58="Haftalık",IF(Kalemler!$D58&lt;=(Tahmin!$C$4+83),1,0),IF(Kalemler!$E58="Aylık",IF(OR(AND(DATE(YEAR((Tahmin!$C$4+77)),MONTH((Tahmin!$C$4+77)),MIN(DAY(Kalemler!$D58),DAY(EOMONTH((Tahmin!$C$4+77),0))))&gt;=(Tahmin!$C$4+77),DATE(YEAR((Tahmin!$C$4+77)),MONTH((Tahmin!$C$4+77)),MIN(DAY(Kalemler!$D58),DAY(EOMONTH((Tahmin!$C$4+77),0))))&lt;=(Tahmin!$C$4+83),DATE(YEAR((Tahmin!$C$4+77)),MONTH((Tahmin!$C$4+77)),MIN(DAY(Kalemler!$D58),DAY(EOMONTH((Tahmin!$C$4+77),0))))&gt;=Kalemler!$D58),AND(DATE(YEAR((Tahmin!$C$4+83)),MONTH((Tahmin!$C$4+83)),MIN(DAY(Kalemler!$D58),DAY(EOMONTH((Tahmin!$C$4+83),0))))&gt;=(Tahmin!$C$4+77),DATE(YEAR((Tahmin!$C$4+83)),MONTH((Tahmin!$C$4+83)),MIN(DAY(Kalemler!$D58),DAY(EOMONTH((Tahmin!$C$4+83),0))))&lt;=(Tahmin!$C$4+83),DATE(YEAR((Tahmin!$C$4+83)),MONTH((Tahmin!$C$4+83)),MIN(DAY(Kalemler!$D58),DAY(EOMONTH((Tahmin!$C$4+83),0))))&lt;&gt;DATE(YEAR((Tahmin!$C$4+77)),MONTH((Tahmin!$C$4+77)),MIN(DAY(Kalemler!$D58),DAY(EOMONTH((Tahmin!$C$4+77),0)))),DATE(YEAR((Tahmin!$C$4+83)),MONTH((Tahmin!$C$4+83)),MIN(DAY(Kalemler!$D58),DAY(EOMONTH((Tahmin!$C$4+83),0))))&gt;=Kalemler!$D58)),1,0),IF(AND(Kalemler!$D58&gt;=(Tahmin!$C$4+77),Kalemler!$D58&lt;=(Tahmin!$C$4+83)),1,0))))</f>
        <v>0</v>
      </c>
      <c r="N58" s="0" t="n">
        <f aca="false">IF(OR(Kalemler!$A58="",Kalemler!$C58="",Kalemler!$D58=""),0,Kalemler!$C58*IF(Kalemler!$E58="Haftalık",IF(Kalemler!$D58&lt;=(Tahmin!$C$4+90),1,0),IF(Kalemler!$E58="Aylık",IF(OR(AND(DATE(YEAR((Tahmin!$C$4+84)),MONTH((Tahmin!$C$4+84)),MIN(DAY(Kalemler!$D58),DAY(EOMONTH((Tahmin!$C$4+84),0))))&gt;=(Tahmin!$C$4+84),DATE(YEAR((Tahmin!$C$4+84)),MONTH((Tahmin!$C$4+84)),MIN(DAY(Kalemler!$D58),DAY(EOMONTH((Tahmin!$C$4+84),0))))&lt;=(Tahmin!$C$4+90),DATE(YEAR((Tahmin!$C$4+84)),MONTH((Tahmin!$C$4+84)),MIN(DAY(Kalemler!$D58),DAY(EOMONTH((Tahmin!$C$4+84),0))))&gt;=Kalemler!$D58),AND(DATE(YEAR((Tahmin!$C$4+90)),MONTH((Tahmin!$C$4+90)),MIN(DAY(Kalemler!$D58),DAY(EOMONTH((Tahmin!$C$4+90),0))))&gt;=(Tahmin!$C$4+84),DATE(YEAR((Tahmin!$C$4+90)),MONTH((Tahmin!$C$4+90)),MIN(DAY(Kalemler!$D58),DAY(EOMONTH((Tahmin!$C$4+90),0))))&lt;=(Tahmin!$C$4+90),DATE(YEAR((Tahmin!$C$4+90)),MONTH((Tahmin!$C$4+90)),MIN(DAY(Kalemler!$D58),DAY(EOMONTH((Tahmin!$C$4+90),0))))&lt;&gt;DATE(YEAR((Tahmin!$C$4+84)),MONTH((Tahmin!$C$4+84)),MIN(DAY(Kalemler!$D58),DAY(EOMONTH((Tahmin!$C$4+84),0)))),DATE(YEAR((Tahmin!$C$4+90)),MONTH((Tahmin!$C$4+90)),MIN(DAY(Kalemler!$D58),DAY(EOMONTH((Tahmin!$C$4+90),0))))&gt;=Kalemler!$D58)),1,0),IF(AND(Kalemler!$D58&gt;=(Tahmin!$C$4+84),Kalemler!$D58&lt;=(Tahmin!$C$4+90)),1,0))))</f>
        <v>0</v>
      </c>
    </row>
    <row r="59" customFormat="false" ht="15" hidden="false" customHeight="false" outlineLevel="0" collapsed="false">
      <c r="A59" s="0" t="str">
        <f aca="false">IF(Kalemler!A59="","",Kalemler!A59)</f>
        <v/>
      </c>
      <c r="B59" s="0" t="n">
        <f aca="false">IF(OR(Kalemler!$A59="",Kalemler!$C59="",Kalemler!$D59=""),0,Kalemler!$C59*IF(Kalemler!$E59="Haftalık",IF(Kalemler!$D59&lt;=(Tahmin!$C$4+6),1,0),IF(Kalemler!$E59="Aylık",IF(OR(AND(DATE(YEAR((Tahmin!$C$4+0)),MONTH((Tahmin!$C$4+0)),MIN(DAY(Kalemler!$D59),DAY(EOMONTH((Tahmin!$C$4+0),0))))&gt;=(Tahmin!$C$4+0),DATE(YEAR((Tahmin!$C$4+0)),MONTH((Tahmin!$C$4+0)),MIN(DAY(Kalemler!$D59),DAY(EOMONTH((Tahmin!$C$4+0),0))))&lt;=(Tahmin!$C$4+6),DATE(YEAR((Tahmin!$C$4+0)),MONTH((Tahmin!$C$4+0)),MIN(DAY(Kalemler!$D59),DAY(EOMONTH((Tahmin!$C$4+0),0))))&gt;=Kalemler!$D59),AND(DATE(YEAR((Tahmin!$C$4+6)),MONTH((Tahmin!$C$4+6)),MIN(DAY(Kalemler!$D59),DAY(EOMONTH((Tahmin!$C$4+6),0))))&gt;=(Tahmin!$C$4+0),DATE(YEAR((Tahmin!$C$4+6)),MONTH((Tahmin!$C$4+6)),MIN(DAY(Kalemler!$D59),DAY(EOMONTH((Tahmin!$C$4+6),0))))&lt;=(Tahmin!$C$4+6),DATE(YEAR((Tahmin!$C$4+6)),MONTH((Tahmin!$C$4+6)),MIN(DAY(Kalemler!$D59),DAY(EOMONTH((Tahmin!$C$4+6),0))))&lt;&gt;DATE(YEAR((Tahmin!$C$4+0)),MONTH((Tahmin!$C$4+0)),MIN(DAY(Kalemler!$D59),DAY(EOMONTH((Tahmin!$C$4+0),0)))),DATE(YEAR((Tahmin!$C$4+6)),MONTH((Tahmin!$C$4+6)),MIN(DAY(Kalemler!$D59),DAY(EOMONTH((Tahmin!$C$4+6),0))))&gt;=Kalemler!$D59)),1,0),IF(AND(Kalemler!$D59&gt;=(Tahmin!$C$4+0),Kalemler!$D59&lt;=(Tahmin!$C$4+6)),1,0))))</f>
        <v>0</v>
      </c>
      <c r="C59" s="0" t="n">
        <f aca="false">IF(OR(Kalemler!$A59="",Kalemler!$C59="",Kalemler!$D59=""),0,Kalemler!$C59*IF(Kalemler!$E59="Haftalık",IF(Kalemler!$D59&lt;=(Tahmin!$C$4+13),1,0),IF(Kalemler!$E59="Aylık",IF(OR(AND(DATE(YEAR((Tahmin!$C$4+7)),MONTH((Tahmin!$C$4+7)),MIN(DAY(Kalemler!$D59),DAY(EOMONTH((Tahmin!$C$4+7),0))))&gt;=(Tahmin!$C$4+7),DATE(YEAR((Tahmin!$C$4+7)),MONTH((Tahmin!$C$4+7)),MIN(DAY(Kalemler!$D59),DAY(EOMONTH((Tahmin!$C$4+7),0))))&lt;=(Tahmin!$C$4+13),DATE(YEAR((Tahmin!$C$4+7)),MONTH((Tahmin!$C$4+7)),MIN(DAY(Kalemler!$D59),DAY(EOMONTH((Tahmin!$C$4+7),0))))&gt;=Kalemler!$D59),AND(DATE(YEAR((Tahmin!$C$4+13)),MONTH((Tahmin!$C$4+13)),MIN(DAY(Kalemler!$D59),DAY(EOMONTH((Tahmin!$C$4+13),0))))&gt;=(Tahmin!$C$4+7),DATE(YEAR((Tahmin!$C$4+13)),MONTH((Tahmin!$C$4+13)),MIN(DAY(Kalemler!$D59),DAY(EOMONTH((Tahmin!$C$4+13),0))))&lt;=(Tahmin!$C$4+13),DATE(YEAR((Tahmin!$C$4+13)),MONTH((Tahmin!$C$4+13)),MIN(DAY(Kalemler!$D59),DAY(EOMONTH((Tahmin!$C$4+13),0))))&lt;&gt;DATE(YEAR((Tahmin!$C$4+7)),MONTH((Tahmin!$C$4+7)),MIN(DAY(Kalemler!$D59),DAY(EOMONTH((Tahmin!$C$4+7),0)))),DATE(YEAR((Tahmin!$C$4+13)),MONTH((Tahmin!$C$4+13)),MIN(DAY(Kalemler!$D59),DAY(EOMONTH((Tahmin!$C$4+13),0))))&gt;=Kalemler!$D59)),1,0),IF(AND(Kalemler!$D59&gt;=(Tahmin!$C$4+7),Kalemler!$D59&lt;=(Tahmin!$C$4+13)),1,0))))</f>
        <v>0</v>
      </c>
      <c r="D59" s="0" t="n">
        <f aca="false">IF(OR(Kalemler!$A59="",Kalemler!$C59="",Kalemler!$D59=""),0,Kalemler!$C59*IF(Kalemler!$E59="Haftalık",IF(Kalemler!$D59&lt;=(Tahmin!$C$4+20),1,0),IF(Kalemler!$E59="Aylık",IF(OR(AND(DATE(YEAR((Tahmin!$C$4+14)),MONTH((Tahmin!$C$4+14)),MIN(DAY(Kalemler!$D59),DAY(EOMONTH((Tahmin!$C$4+14),0))))&gt;=(Tahmin!$C$4+14),DATE(YEAR((Tahmin!$C$4+14)),MONTH((Tahmin!$C$4+14)),MIN(DAY(Kalemler!$D59),DAY(EOMONTH((Tahmin!$C$4+14),0))))&lt;=(Tahmin!$C$4+20),DATE(YEAR((Tahmin!$C$4+14)),MONTH((Tahmin!$C$4+14)),MIN(DAY(Kalemler!$D59),DAY(EOMONTH((Tahmin!$C$4+14),0))))&gt;=Kalemler!$D59),AND(DATE(YEAR((Tahmin!$C$4+20)),MONTH((Tahmin!$C$4+20)),MIN(DAY(Kalemler!$D59),DAY(EOMONTH((Tahmin!$C$4+20),0))))&gt;=(Tahmin!$C$4+14),DATE(YEAR((Tahmin!$C$4+20)),MONTH((Tahmin!$C$4+20)),MIN(DAY(Kalemler!$D59),DAY(EOMONTH((Tahmin!$C$4+20),0))))&lt;=(Tahmin!$C$4+20),DATE(YEAR((Tahmin!$C$4+20)),MONTH((Tahmin!$C$4+20)),MIN(DAY(Kalemler!$D59),DAY(EOMONTH((Tahmin!$C$4+20),0))))&lt;&gt;DATE(YEAR((Tahmin!$C$4+14)),MONTH((Tahmin!$C$4+14)),MIN(DAY(Kalemler!$D59),DAY(EOMONTH((Tahmin!$C$4+14),0)))),DATE(YEAR((Tahmin!$C$4+20)),MONTH((Tahmin!$C$4+20)),MIN(DAY(Kalemler!$D59),DAY(EOMONTH((Tahmin!$C$4+20),0))))&gt;=Kalemler!$D59)),1,0),IF(AND(Kalemler!$D59&gt;=(Tahmin!$C$4+14),Kalemler!$D59&lt;=(Tahmin!$C$4+20)),1,0))))</f>
        <v>0</v>
      </c>
      <c r="E59" s="0" t="n">
        <f aca="false">IF(OR(Kalemler!$A59="",Kalemler!$C59="",Kalemler!$D59=""),0,Kalemler!$C59*IF(Kalemler!$E59="Haftalık",IF(Kalemler!$D59&lt;=(Tahmin!$C$4+27),1,0),IF(Kalemler!$E59="Aylık",IF(OR(AND(DATE(YEAR((Tahmin!$C$4+21)),MONTH((Tahmin!$C$4+21)),MIN(DAY(Kalemler!$D59),DAY(EOMONTH((Tahmin!$C$4+21),0))))&gt;=(Tahmin!$C$4+21),DATE(YEAR((Tahmin!$C$4+21)),MONTH((Tahmin!$C$4+21)),MIN(DAY(Kalemler!$D59),DAY(EOMONTH((Tahmin!$C$4+21),0))))&lt;=(Tahmin!$C$4+27),DATE(YEAR((Tahmin!$C$4+21)),MONTH((Tahmin!$C$4+21)),MIN(DAY(Kalemler!$D59),DAY(EOMONTH((Tahmin!$C$4+21),0))))&gt;=Kalemler!$D59),AND(DATE(YEAR((Tahmin!$C$4+27)),MONTH((Tahmin!$C$4+27)),MIN(DAY(Kalemler!$D59),DAY(EOMONTH((Tahmin!$C$4+27),0))))&gt;=(Tahmin!$C$4+21),DATE(YEAR((Tahmin!$C$4+27)),MONTH((Tahmin!$C$4+27)),MIN(DAY(Kalemler!$D59),DAY(EOMONTH((Tahmin!$C$4+27),0))))&lt;=(Tahmin!$C$4+27),DATE(YEAR((Tahmin!$C$4+27)),MONTH((Tahmin!$C$4+27)),MIN(DAY(Kalemler!$D59),DAY(EOMONTH((Tahmin!$C$4+27),0))))&lt;&gt;DATE(YEAR((Tahmin!$C$4+21)),MONTH((Tahmin!$C$4+21)),MIN(DAY(Kalemler!$D59),DAY(EOMONTH((Tahmin!$C$4+21),0)))),DATE(YEAR((Tahmin!$C$4+27)),MONTH((Tahmin!$C$4+27)),MIN(DAY(Kalemler!$D59),DAY(EOMONTH((Tahmin!$C$4+27),0))))&gt;=Kalemler!$D59)),1,0),IF(AND(Kalemler!$D59&gt;=(Tahmin!$C$4+21),Kalemler!$D59&lt;=(Tahmin!$C$4+27)),1,0))))</f>
        <v>0</v>
      </c>
      <c r="F59" s="0" t="n">
        <f aca="false">IF(OR(Kalemler!$A59="",Kalemler!$C59="",Kalemler!$D59=""),0,Kalemler!$C59*IF(Kalemler!$E59="Haftalık",IF(Kalemler!$D59&lt;=(Tahmin!$C$4+34),1,0),IF(Kalemler!$E59="Aylık",IF(OR(AND(DATE(YEAR((Tahmin!$C$4+28)),MONTH((Tahmin!$C$4+28)),MIN(DAY(Kalemler!$D59),DAY(EOMONTH((Tahmin!$C$4+28),0))))&gt;=(Tahmin!$C$4+28),DATE(YEAR((Tahmin!$C$4+28)),MONTH((Tahmin!$C$4+28)),MIN(DAY(Kalemler!$D59),DAY(EOMONTH((Tahmin!$C$4+28),0))))&lt;=(Tahmin!$C$4+34),DATE(YEAR((Tahmin!$C$4+28)),MONTH((Tahmin!$C$4+28)),MIN(DAY(Kalemler!$D59),DAY(EOMONTH((Tahmin!$C$4+28),0))))&gt;=Kalemler!$D59),AND(DATE(YEAR((Tahmin!$C$4+34)),MONTH((Tahmin!$C$4+34)),MIN(DAY(Kalemler!$D59),DAY(EOMONTH((Tahmin!$C$4+34),0))))&gt;=(Tahmin!$C$4+28),DATE(YEAR((Tahmin!$C$4+34)),MONTH((Tahmin!$C$4+34)),MIN(DAY(Kalemler!$D59),DAY(EOMONTH((Tahmin!$C$4+34),0))))&lt;=(Tahmin!$C$4+34),DATE(YEAR((Tahmin!$C$4+34)),MONTH((Tahmin!$C$4+34)),MIN(DAY(Kalemler!$D59),DAY(EOMONTH((Tahmin!$C$4+34),0))))&lt;&gt;DATE(YEAR((Tahmin!$C$4+28)),MONTH((Tahmin!$C$4+28)),MIN(DAY(Kalemler!$D59),DAY(EOMONTH((Tahmin!$C$4+28),0)))),DATE(YEAR((Tahmin!$C$4+34)),MONTH((Tahmin!$C$4+34)),MIN(DAY(Kalemler!$D59),DAY(EOMONTH((Tahmin!$C$4+34),0))))&gt;=Kalemler!$D59)),1,0),IF(AND(Kalemler!$D59&gt;=(Tahmin!$C$4+28),Kalemler!$D59&lt;=(Tahmin!$C$4+34)),1,0))))</f>
        <v>0</v>
      </c>
      <c r="G59" s="0" t="n">
        <f aca="false">IF(OR(Kalemler!$A59="",Kalemler!$C59="",Kalemler!$D59=""),0,Kalemler!$C59*IF(Kalemler!$E59="Haftalık",IF(Kalemler!$D59&lt;=(Tahmin!$C$4+41),1,0),IF(Kalemler!$E59="Aylık",IF(OR(AND(DATE(YEAR((Tahmin!$C$4+35)),MONTH((Tahmin!$C$4+35)),MIN(DAY(Kalemler!$D59),DAY(EOMONTH((Tahmin!$C$4+35),0))))&gt;=(Tahmin!$C$4+35),DATE(YEAR((Tahmin!$C$4+35)),MONTH((Tahmin!$C$4+35)),MIN(DAY(Kalemler!$D59),DAY(EOMONTH((Tahmin!$C$4+35),0))))&lt;=(Tahmin!$C$4+41),DATE(YEAR((Tahmin!$C$4+35)),MONTH((Tahmin!$C$4+35)),MIN(DAY(Kalemler!$D59),DAY(EOMONTH((Tahmin!$C$4+35),0))))&gt;=Kalemler!$D59),AND(DATE(YEAR((Tahmin!$C$4+41)),MONTH((Tahmin!$C$4+41)),MIN(DAY(Kalemler!$D59),DAY(EOMONTH((Tahmin!$C$4+41),0))))&gt;=(Tahmin!$C$4+35),DATE(YEAR((Tahmin!$C$4+41)),MONTH((Tahmin!$C$4+41)),MIN(DAY(Kalemler!$D59),DAY(EOMONTH((Tahmin!$C$4+41),0))))&lt;=(Tahmin!$C$4+41),DATE(YEAR((Tahmin!$C$4+41)),MONTH((Tahmin!$C$4+41)),MIN(DAY(Kalemler!$D59),DAY(EOMONTH((Tahmin!$C$4+41),0))))&lt;&gt;DATE(YEAR((Tahmin!$C$4+35)),MONTH((Tahmin!$C$4+35)),MIN(DAY(Kalemler!$D59),DAY(EOMONTH((Tahmin!$C$4+35),0)))),DATE(YEAR((Tahmin!$C$4+41)),MONTH((Tahmin!$C$4+41)),MIN(DAY(Kalemler!$D59),DAY(EOMONTH((Tahmin!$C$4+41),0))))&gt;=Kalemler!$D59)),1,0),IF(AND(Kalemler!$D59&gt;=(Tahmin!$C$4+35),Kalemler!$D59&lt;=(Tahmin!$C$4+41)),1,0))))</f>
        <v>0</v>
      </c>
      <c r="H59" s="0" t="n">
        <f aca="false">IF(OR(Kalemler!$A59="",Kalemler!$C59="",Kalemler!$D59=""),0,Kalemler!$C59*IF(Kalemler!$E59="Haftalık",IF(Kalemler!$D59&lt;=(Tahmin!$C$4+48),1,0),IF(Kalemler!$E59="Aylık",IF(OR(AND(DATE(YEAR((Tahmin!$C$4+42)),MONTH((Tahmin!$C$4+42)),MIN(DAY(Kalemler!$D59),DAY(EOMONTH((Tahmin!$C$4+42),0))))&gt;=(Tahmin!$C$4+42),DATE(YEAR((Tahmin!$C$4+42)),MONTH((Tahmin!$C$4+42)),MIN(DAY(Kalemler!$D59),DAY(EOMONTH((Tahmin!$C$4+42),0))))&lt;=(Tahmin!$C$4+48),DATE(YEAR((Tahmin!$C$4+42)),MONTH((Tahmin!$C$4+42)),MIN(DAY(Kalemler!$D59),DAY(EOMONTH((Tahmin!$C$4+42),0))))&gt;=Kalemler!$D59),AND(DATE(YEAR((Tahmin!$C$4+48)),MONTH((Tahmin!$C$4+48)),MIN(DAY(Kalemler!$D59),DAY(EOMONTH((Tahmin!$C$4+48),0))))&gt;=(Tahmin!$C$4+42),DATE(YEAR((Tahmin!$C$4+48)),MONTH((Tahmin!$C$4+48)),MIN(DAY(Kalemler!$D59),DAY(EOMONTH((Tahmin!$C$4+48),0))))&lt;=(Tahmin!$C$4+48),DATE(YEAR((Tahmin!$C$4+48)),MONTH((Tahmin!$C$4+48)),MIN(DAY(Kalemler!$D59),DAY(EOMONTH((Tahmin!$C$4+48),0))))&lt;&gt;DATE(YEAR((Tahmin!$C$4+42)),MONTH((Tahmin!$C$4+42)),MIN(DAY(Kalemler!$D59),DAY(EOMONTH((Tahmin!$C$4+42),0)))),DATE(YEAR((Tahmin!$C$4+48)),MONTH((Tahmin!$C$4+48)),MIN(DAY(Kalemler!$D59),DAY(EOMONTH((Tahmin!$C$4+48),0))))&gt;=Kalemler!$D59)),1,0),IF(AND(Kalemler!$D59&gt;=(Tahmin!$C$4+42),Kalemler!$D59&lt;=(Tahmin!$C$4+48)),1,0))))</f>
        <v>0</v>
      </c>
      <c r="I59" s="0" t="n">
        <f aca="false">IF(OR(Kalemler!$A59="",Kalemler!$C59="",Kalemler!$D59=""),0,Kalemler!$C59*IF(Kalemler!$E59="Haftalık",IF(Kalemler!$D59&lt;=(Tahmin!$C$4+55),1,0),IF(Kalemler!$E59="Aylık",IF(OR(AND(DATE(YEAR((Tahmin!$C$4+49)),MONTH((Tahmin!$C$4+49)),MIN(DAY(Kalemler!$D59),DAY(EOMONTH((Tahmin!$C$4+49),0))))&gt;=(Tahmin!$C$4+49),DATE(YEAR((Tahmin!$C$4+49)),MONTH((Tahmin!$C$4+49)),MIN(DAY(Kalemler!$D59),DAY(EOMONTH((Tahmin!$C$4+49),0))))&lt;=(Tahmin!$C$4+55),DATE(YEAR((Tahmin!$C$4+49)),MONTH((Tahmin!$C$4+49)),MIN(DAY(Kalemler!$D59),DAY(EOMONTH((Tahmin!$C$4+49),0))))&gt;=Kalemler!$D59),AND(DATE(YEAR((Tahmin!$C$4+55)),MONTH((Tahmin!$C$4+55)),MIN(DAY(Kalemler!$D59),DAY(EOMONTH((Tahmin!$C$4+55),0))))&gt;=(Tahmin!$C$4+49),DATE(YEAR((Tahmin!$C$4+55)),MONTH((Tahmin!$C$4+55)),MIN(DAY(Kalemler!$D59),DAY(EOMONTH((Tahmin!$C$4+55),0))))&lt;=(Tahmin!$C$4+55),DATE(YEAR((Tahmin!$C$4+55)),MONTH((Tahmin!$C$4+55)),MIN(DAY(Kalemler!$D59),DAY(EOMONTH((Tahmin!$C$4+55),0))))&lt;&gt;DATE(YEAR((Tahmin!$C$4+49)),MONTH((Tahmin!$C$4+49)),MIN(DAY(Kalemler!$D59),DAY(EOMONTH((Tahmin!$C$4+49),0)))),DATE(YEAR((Tahmin!$C$4+55)),MONTH((Tahmin!$C$4+55)),MIN(DAY(Kalemler!$D59),DAY(EOMONTH((Tahmin!$C$4+55),0))))&gt;=Kalemler!$D59)),1,0),IF(AND(Kalemler!$D59&gt;=(Tahmin!$C$4+49),Kalemler!$D59&lt;=(Tahmin!$C$4+55)),1,0))))</f>
        <v>0</v>
      </c>
      <c r="J59" s="0" t="n">
        <f aca="false">IF(OR(Kalemler!$A59="",Kalemler!$C59="",Kalemler!$D59=""),0,Kalemler!$C59*IF(Kalemler!$E59="Haftalık",IF(Kalemler!$D59&lt;=(Tahmin!$C$4+62),1,0),IF(Kalemler!$E59="Aylık",IF(OR(AND(DATE(YEAR((Tahmin!$C$4+56)),MONTH((Tahmin!$C$4+56)),MIN(DAY(Kalemler!$D59),DAY(EOMONTH((Tahmin!$C$4+56),0))))&gt;=(Tahmin!$C$4+56),DATE(YEAR((Tahmin!$C$4+56)),MONTH((Tahmin!$C$4+56)),MIN(DAY(Kalemler!$D59),DAY(EOMONTH((Tahmin!$C$4+56),0))))&lt;=(Tahmin!$C$4+62),DATE(YEAR((Tahmin!$C$4+56)),MONTH((Tahmin!$C$4+56)),MIN(DAY(Kalemler!$D59),DAY(EOMONTH((Tahmin!$C$4+56),0))))&gt;=Kalemler!$D59),AND(DATE(YEAR((Tahmin!$C$4+62)),MONTH((Tahmin!$C$4+62)),MIN(DAY(Kalemler!$D59),DAY(EOMONTH((Tahmin!$C$4+62),0))))&gt;=(Tahmin!$C$4+56),DATE(YEAR((Tahmin!$C$4+62)),MONTH((Tahmin!$C$4+62)),MIN(DAY(Kalemler!$D59),DAY(EOMONTH((Tahmin!$C$4+62),0))))&lt;=(Tahmin!$C$4+62),DATE(YEAR((Tahmin!$C$4+62)),MONTH((Tahmin!$C$4+62)),MIN(DAY(Kalemler!$D59),DAY(EOMONTH((Tahmin!$C$4+62),0))))&lt;&gt;DATE(YEAR((Tahmin!$C$4+56)),MONTH((Tahmin!$C$4+56)),MIN(DAY(Kalemler!$D59),DAY(EOMONTH((Tahmin!$C$4+56),0)))),DATE(YEAR((Tahmin!$C$4+62)),MONTH((Tahmin!$C$4+62)),MIN(DAY(Kalemler!$D59),DAY(EOMONTH((Tahmin!$C$4+62),0))))&gt;=Kalemler!$D59)),1,0),IF(AND(Kalemler!$D59&gt;=(Tahmin!$C$4+56),Kalemler!$D59&lt;=(Tahmin!$C$4+62)),1,0))))</f>
        <v>0</v>
      </c>
      <c r="K59" s="0" t="n">
        <f aca="false">IF(OR(Kalemler!$A59="",Kalemler!$C59="",Kalemler!$D59=""),0,Kalemler!$C59*IF(Kalemler!$E59="Haftalık",IF(Kalemler!$D59&lt;=(Tahmin!$C$4+69),1,0),IF(Kalemler!$E59="Aylık",IF(OR(AND(DATE(YEAR((Tahmin!$C$4+63)),MONTH((Tahmin!$C$4+63)),MIN(DAY(Kalemler!$D59),DAY(EOMONTH((Tahmin!$C$4+63),0))))&gt;=(Tahmin!$C$4+63),DATE(YEAR((Tahmin!$C$4+63)),MONTH((Tahmin!$C$4+63)),MIN(DAY(Kalemler!$D59),DAY(EOMONTH((Tahmin!$C$4+63),0))))&lt;=(Tahmin!$C$4+69),DATE(YEAR((Tahmin!$C$4+63)),MONTH((Tahmin!$C$4+63)),MIN(DAY(Kalemler!$D59),DAY(EOMONTH((Tahmin!$C$4+63),0))))&gt;=Kalemler!$D59),AND(DATE(YEAR((Tahmin!$C$4+69)),MONTH((Tahmin!$C$4+69)),MIN(DAY(Kalemler!$D59),DAY(EOMONTH((Tahmin!$C$4+69),0))))&gt;=(Tahmin!$C$4+63),DATE(YEAR((Tahmin!$C$4+69)),MONTH((Tahmin!$C$4+69)),MIN(DAY(Kalemler!$D59),DAY(EOMONTH((Tahmin!$C$4+69),0))))&lt;=(Tahmin!$C$4+69),DATE(YEAR((Tahmin!$C$4+69)),MONTH((Tahmin!$C$4+69)),MIN(DAY(Kalemler!$D59),DAY(EOMONTH((Tahmin!$C$4+69),0))))&lt;&gt;DATE(YEAR((Tahmin!$C$4+63)),MONTH((Tahmin!$C$4+63)),MIN(DAY(Kalemler!$D59),DAY(EOMONTH((Tahmin!$C$4+63),0)))),DATE(YEAR((Tahmin!$C$4+69)),MONTH((Tahmin!$C$4+69)),MIN(DAY(Kalemler!$D59),DAY(EOMONTH((Tahmin!$C$4+69),0))))&gt;=Kalemler!$D59)),1,0),IF(AND(Kalemler!$D59&gt;=(Tahmin!$C$4+63),Kalemler!$D59&lt;=(Tahmin!$C$4+69)),1,0))))</f>
        <v>0</v>
      </c>
      <c r="L59" s="0" t="n">
        <f aca="false">IF(OR(Kalemler!$A59="",Kalemler!$C59="",Kalemler!$D59=""),0,Kalemler!$C59*IF(Kalemler!$E59="Haftalık",IF(Kalemler!$D59&lt;=(Tahmin!$C$4+76),1,0),IF(Kalemler!$E59="Aylık",IF(OR(AND(DATE(YEAR((Tahmin!$C$4+70)),MONTH((Tahmin!$C$4+70)),MIN(DAY(Kalemler!$D59),DAY(EOMONTH((Tahmin!$C$4+70),0))))&gt;=(Tahmin!$C$4+70),DATE(YEAR((Tahmin!$C$4+70)),MONTH((Tahmin!$C$4+70)),MIN(DAY(Kalemler!$D59),DAY(EOMONTH((Tahmin!$C$4+70),0))))&lt;=(Tahmin!$C$4+76),DATE(YEAR((Tahmin!$C$4+70)),MONTH((Tahmin!$C$4+70)),MIN(DAY(Kalemler!$D59),DAY(EOMONTH((Tahmin!$C$4+70),0))))&gt;=Kalemler!$D59),AND(DATE(YEAR((Tahmin!$C$4+76)),MONTH((Tahmin!$C$4+76)),MIN(DAY(Kalemler!$D59),DAY(EOMONTH((Tahmin!$C$4+76),0))))&gt;=(Tahmin!$C$4+70),DATE(YEAR((Tahmin!$C$4+76)),MONTH((Tahmin!$C$4+76)),MIN(DAY(Kalemler!$D59),DAY(EOMONTH((Tahmin!$C$4+76),0))))&lt;=(Tahmin!$C$4+76),DATE(YEAR((Tahmin!$C$4+76)),MONTH((Tahmin!$C$4+76)),MIN(DAY(Kalemler!$D59),DAY(EOMONTH((Tahmin!$C$4+76),0))))&lt;&gt;DATE(YEAR((Tahmin!$C$4+70)),MONTH((Tahmin!$C$4+70)),MIN(DAY(Kalemler!$D59),DAY(EOMONTH((Tahmin!$C$4+70),0)))),DATE(YEAR((Tahmin!$C$4+76)),MONTH((Tahmin!$C$4+76)),MIN(DAY(Kalemler!$D59),DAY(EOMONTH((Tahmin!$C$4+76),0))))&gt;=Kalemler!$D59)),1,0),IF(AND(Kalemler!$D59&gt;=(Tahmin!$C$4+70),Kalemler!$D59&lt;=(Tahmin!$C$4+76)),1,0))))</f>
        <v>0</v>
      </c>
      <c r="M59" s="0" t="n">
        <f aca="false">IF(OR(Kalemler!$A59="",Kalemler!$C59="",Kalemler!$D59=""),0,Kalemler!$C59*IF(Kalemler!$E59="Haftalık",IF(Kalemler!$D59&lt;=(Tahmin!$C$4+83),1,0),IF(Kalemler!$E59="Aylık",IF(OR(AND(DATE(YEAR((Tahmin!$C$4+77)),MONTH((Tahmin!$C$4+77)),MIN(DAY(Kalemler!$D59),DAY(EOMONTH((Tahmin!$C$4+77),0))))&gt;=(Tahmin!$C$4+77),DATE(YEAR((Tahmin!$C$4+77)),MONTH((Tahmin!$C$4+77)),MIN(DAY(Kalemler!$D59),DAY(EOMONTH((Tahmin!$C$4+77),0))))&lt;=(Tahmin!$C$4+83),DATE(YEAR((Tahmin!$C$4+77)),MONTH((Tahmin!$C$4+77)),MIN(DAY(Kalemler!$D59),DAY(EOMONTH((Tahmin!$C$4+77),0))))&gt;=Kalemler!$D59),AND(DATE(YEAR((Tahmin!$C$4+83)),MONTH((Tahmin!$C$4+83)),MIN(DAY(Kalemler!$D59),DAY(EOMONTH((Tahmin!$C$4+83),0))))&gt;=(Tahmin!$C$4+77),DATE(YEAR((Tahmin!$C$4+83)),MONTH((Tahmin!$C$4+83)),MIN(DAY(Kalemler!$D59),DAY(EOMONTH((Tahmin!$C$4+83),0))))&lt;=(Tahmin!$C$4+83),DATE(YEAR((Tahmin!$C$4+83)),MONTH((Tahmin!$C$4+83)),MIN(DAY(Kalemler!$D59),DAY(EOMONTH((Tahmin!$C$4+83),0))))&lt;&gt;DATE(YEAR((Tahmin!$C$4+77)),MONTH((Tahmin!$C$4+77)),MIN(DAY(Kalemler!$D59),DAY(EOMONTH((Tahmin!$C$4+77),0)))),DATE(YEAR((Tahmin!$C$4+83)),MONTH((Tahmin!$C$4+83)),MIN(DAY(Kalemler!$D59),DAY(EOMONTH((Tahmin!$C$4+83),0))))&gt;=Kalemler!$D59)),1,0),IF(AND(Kalemler!$D59&gt;=(Tahmin!$C$4+77),Kalemler!$D59&lt;=(Tahmin!$C$4+83)),1,0))))</f>
        <v>0</v>
      </c>
      <c r="N59" s="0" t="n">
        <f aca="false">IF(OR(Kalemler!$A59="",Kalemler!$C59="",Kalemler!$D59=""),0,Kalemler!$C59*IF(Kalemler!$E59="Haftalık",IF(Kalemler!$D59&lt;=(Tahmin!$C$4+90),1,0),IF(Kalemler!$E59="Aylık",IF(OR(AND(DATE(YEAR((Tahmin!$C$4+84)),MONTH((Tahmin!$C$4+84)),MIN(DAY(Kalemler!$D59),DAY(EOMONTH((Tahmin!$C$4+84),0))))&gt;=(Tahmin!$C$4+84),DATE(YEAR((Tahmin!$C$4+84)),MONTH((Tahmin!$C$4+84)),MIN(DAY(Kalemler!$D59),DAY(EOMONTH((Tahmin!$C$4+84),0))))&lt;=(Tahmin!$C$4+90),DATE(YEAR((Tahmin!$C$4+84)),MONTH((Tahmin!$C$4+84)),MIN(DAY(Kalemler!$D59),DAY(EOMONTH((Tahmin!$C$4+84),0))))&gt;=Kalemler!$D59),AND(DATE(YEAR((Tahmin!$C$4+90)),MONTH((Tahmin!$C$4+90)),MIN(DAY(Kalemler!$D59),DAY(EOMONTH((Tahmin!$C$4+90),0))))&gt;=(Tahmin!$C$4+84),DATE(YEAR((Tahmin!$C$4+90)),MONTH((Tahmin!$C$4+90)),MIN(DAY(Kalemler!$D59),DAY(EOMONTH((Tahmin!$C$4+90),0))))&lt;=(Tahmin!$C$4+90),DATE(YEAR((Tahmin!$C$4+90)),MONTH((Tahmin!$C$4+90)),MIN(DAY(Kalemler!$D59),DAY(EOMONTH((Tahmin!$C$4+90),0))))&lt;&gt;DATE(YEAR((Tahmin!$C$4+84)),MONTH((Tahmin!$C$4+84)),MIN(DAY(Kalemler!$D59),DAY(EOMONTH((Tahmin!$C$4+84),0)))),DATE(YEAR((Tahmin!$C$4+90)),MONTH((Tahmin!$C$4+90)),MIN(DAY(Kalemler!$D59),DAY(EOMONTH((Tahmin!$C$4+90),0))))&gt;=Kalemler!$D59)),1,0),IF(AND(Kalemler!$D59&gt;=(Tahmin!$C$4+84),Kalemler!$D59&lt;=(Tahmin!$C$4+90)),1,0))))</f>
        <v>0</v>
      </c>
    </row>
    <row r="60" customFormat="false" ht="15" hidden="false" customHeight="false" outlineLevel="0" collapsed="false">
      <c r="A60" s="0" t="str">
        <f aca="false">IF(Kalemler!A60="","",Kalemler!A60)</f>
        <v/>
      </c>
      <c r="B60" s="0" t="n">
        <f aca="false">IF(OR(Kalemler!$A60="",Kalemler!$C60="",Kalemler!$D60=""),0,Kalemler!$C60*IF(Kalemler!$E60="Haftalık",IF(Kalemler!$D60&lt;=(Tahmin!$C$4+6),1,0),IF(Kalemler!$E60="Aylık",IF(OR(AND(DATE(YEAR((Tahmin!$C$4+0)),MONTH((Tahmin!$C$4+0)),MIN(DAY(Kalemler!$D60),DAY(EOMONTH((Tahmin!$C$4+0),0))))&gt;=(Tahmin!$C$4+0),DATE(YEAR((Tahmin!$C$4+0)),MONTH((Tahmin!$C$4+0)),MIN(DAY(Kalemler!$D60),DAY(EOMONTH((Tahmin!$C$4+0),0))))&lt;=(Tahmin!$C$4+6),DATE(YEAR((Tahmin!$C$4+0)),MONTH((Tahmin!$C$4+0)),MIN(DAY(Kalemler!$D60),DAY(EOMONTH((Tahmin!$C$4+0),0))))&gt;=Kalemler!$D60),AND(DATE(YEAR((Tahmin!$C$4+6)),MONTH((Tahmin!$C$4+6)),MIN(DAY(Kalemler!$D60),DAY(EOMONTH((Tahmin!$C$4+6),0))))&gt;=(Tahmin!$C$4+0),DATE(YEAR((Tahmin!$C$4+6)),MONTH((Tahmin!$C$4+6)),MIN(DAY(Kalemler!$D60),DAY(EOMONTH((Tahmin!$C$4+6),0))))&lt;=(Tahmin!$C$4+6),DATE(YEAR((Tahmin!$C$4+6)),MONTH((Tahmin!$C$4+6)),MIN(DAY(Kalemler!$D60),DAY(EOMONTH((Tahmin!$C$4+6),0))))&lt;&gt;DATE(YEAR((Tahmin!$C$4+0)),MONTH((Tahmin!$C$4+0)),MIN(DAY(Kalemler!$D60),DAY(EOMONTH((Tahmin!$C$4+0),0)))),DATE(YEAR((Tahmin!$C$4+6)),MONTH((Tahmin!$C$4+6)),MIN(DAY(Kalemler!$D60),DAY(EOMONTH((Tahmin!$C$4+6),0))))&gt;=Kalemler!$D60)),1,0),IF(AND(Kalemler!$D60&gt;=(Tahmin!$C$4+0),Kalemler!$D60&lt;=(Tahmin!$C$4+6)),1,0))))</f>
        <v>0</v>
      </c>
      <c r="C60" s="0" t="n">
        <f aca="false">IF(OR(Kalemler!$A60="",Kalemler!$C60="",Kalemler!$D60=""),0,Kalemler!$C60*IF(Kalemler!$E60="Haftalık",IF(Kalemler!$D60&lt;=(Tahmin!$C$4+13),1,0),IF(Kalemler!$E60="Aylık",IF(OR(AND(DATE(YEAR((Tahmin!$C$4+7)),MONTH((Tahmin!$C$4+7)),MIN(DAY(Kalemler!$D60),DAY(EOMONTH((Tahmin!$C$4+7),0))))&gt;=(Tahmin!$C$4+7),DATE(YEAR((Tahmin!$C$4+7)),MONTH((Tahmin!$C$4+7)),MIN(DAY(Kalemler!$D60),DAY(EOMONTH((Tahmin!$C$4+7),0))))&lt;=(Tahmin!$C$4+13),DATE(YEAR((Tahmin!$C$4+7)),MONTH((Tahmin!$C$4+7)),MIN(DAY(Kalemler!$D60),DAY(EOMONTH((Tahmin!$C$4+7),0))))&gt;=Kalemler!$D60),AND(DATE(YEAR((Tahmin!$C$4+13)),MONTH((Tahmin!$C$4+13)),MIN(DAY(Kalemler!$D60),DAY(EOMONTH((Tahmin!$C$4+13),0))))&gt;=(Tahmin!$C$4+7),DATE(YEAR((Tahmin!$C$4+13)),MONTH((Tahmin!$C$4+13)),MIN(DAY(Kalemler!$D60),DAY(EOMONTH((Tahmin!$C$4+13),0))))&lt;=(Tahmin!$C$4+13),DATE(YEAR((Tahmin!$C$4+13)),MONTH((Tahmin!$C$4+13)),MIN(DAY(Kalemler!$D60),DAY(EOMONTH((Tahmin!$C$4+13),0))))&lt;&gt;DATE(YEAR((Tahmin!$C$4+7)),MONTH((Tahmin!$C$4+7)),MIN(DAY(Kalemler!$D60),DAY(EOMONTH((Tahmin!$C$4+7),0)))),DATE(YEAR((Tahmin!$C$4+13)),MONTH((Tahmin!$C$4+13)),MIN(DAY(Kalemler!$D60),DAY(EOMONTH((Tahmin!$C$4+13),0))))&gt;=Kalemler!$D60)),1,0),IF(AND(Kalemler!$D60&gt;=(Tahmin!$C$4+7),Kalemler!$D60&lt;=(Tahmin!$C$4+13)),1,0))))</f>
        <v>0</v>
      </c>
      <c r="D60" s="0" t="n">
        <f aca="false">IF(OR(Kalemler!$A60="",Kalemler!$C60="",Kalemler!$D60=""),0,Kalemler!$C60*IF(Kalemler!$E60="Haftalık",IF(Kalemler!$D60&lt;=(Tahmin!$C$4+20),1,0),IF(Kalemler!$E60="Aylık",IF(OR(AND(DATE(YEAR((Tahmin!$C$4+14)),MONTH((Tahmin!$C$4+14)),MIN(DAY(Kalemler!$D60),DAY(EOMONTH((Tahmin!$C$4+14),0))))&gt;=(Tahmin!$C$4+14),DATE(YEAR((Tahmin!$C$4+14)),MONTH((Tahmin!$C$4+14)),MIN(DAY(Kalemler!$D60),DAY(EOMONTH((Tahmin!$C$4+14),0))))&lt;=(Tahmin!$C$4+20),DATE(YEAR((Tahmin!$C$4+14)),MONTH((Tahmin!$C$4+14)),MIN(DAY(Kalemler!$D60),DAY(EOMONTH((Tahmin!$C$4+14),0))))&gt;=Kalemler!$D60),AND(DATE(YEAR((Tahmin!$C$4+20)),MONTH((Tahmin!$C$4+20)),MIN(DAY(Kalemler!$D60),DAY(EOMONTH((Tahmin!$C$4+20),0))))&gt;=(Tahmin!$C$4+14),DATE(YEAR((Tahmin!$C$4+20)),MONTH((Tahmin!$C$4+20)),MIN(DAY(Kalemler!$D60),DAY(EOMONTH((Tahmin!$C$4+20),0))))&lt;=(Tahmin!$C$4+20),DATE(YEAR((Tahmin!$C$4+20)),MONTH((Tahmin!$C$4+20)),MIN(DAY(Kalemler!$D60),DAY(EOMONTH((Tahmin!$C$4+20),0))))&lt;&gt;DATE(YEAR((Tahmin!$C$4+14)),MONTH((Tahmin!$C$4+14)),MIN(DAY(Kalemler!$D60),DAY(EOMONTH((Tahmin!$C$4+14),0)))),DATE(YEAR((Tahmin!$C$4+20)),MONTH((Tahmin!$C$4+20)),MIN(DAY(Kalemler!$D60),DAY(EOMONTH((Tahmin!$C$4+20),0))))&gt;=Kalemler!$D60)),1,0),IF(AND(Kalemler!$D60&gt;=(Tahmin!$C$4+14),Kalemler!$D60&lt;=(Tahmin!$C$4+20)),1,0))))</f>
        <v>0</v>
      </c>
      <c r="E60" s="0" t="n">
        <f aca="false">IF(OR(Kalemler!$A60="",Kalemler!$C60="",Kalemler!$D60=""),0,Kalemler!$C60*IF(Kalemler!$E60="Haftalık",IF(Kalemler!$D60&lt;=(Tahmin!$C$4+27),1,0),IF(Kalemler!$E60="Aylık",IF(OR(AND(DATE(YEAR((Tahmin!$C$4+21)),MONTH((Tahmin!$C$4+21)),MIN(DAY(Kalemler!$D60),DAY(EOMONTH((Tahmin!$C$4+21),0))))&gt;=(Tahmin!$C$4+21),DATE(YEAR((Tahmin!$C$4+21)),MONTH((Tahmin!$C$4+21)),MIN(DAY(Kalemler!$D60),DAY(EOMONTH((Tahmin!$C$4+21),0))))&lt;=(Tahmin!$C$4+27),DATE(YEAR((Tahmin!$C$4+21)),MONTH((Tahmin!$C$4+21)),MIN(DAY(Kalemler!$D60),DAY(EOMONTH((Tahmin!$C$4+21),0))))&gt;=Kalemler!$D60),AND(DATE(YEAR((Tahmin!$C$4+27)),MONTH((Tahmin!$C$4+27)),MIN(DAY(Kalemler!$D60),DAY(EOMONTH((Tahmin!$C$4+27),0))))&gt;=(Tahmin!$C$4+21),DATE(YEAR((Tahmin!$C$4+27)),MONTH((Tahmin!$C$4+27)),MIN(DAY(Kalemler!$D60),DAY(EOMONTH((Tahmin!$C$4+27),0))))&lt;=(Tahmin!$C$4+27),DATE(YEAR((Tahmin!$C$4+27)),MONTH((Tahmin!$C$4+27)),MIN(DAY(Kalemler!$D60),DAY(EOMONTH((Tahmin!$C$4+27),0))))&lt;&gt;DATE(YEAR((Tahmin!$C$4+21)),MONTH((Tahmin!$C$4+21)),MIN(DAY(Kalemler!$D60),DAY(EOMONTH((Tahmin!$C$4+21),0)))),DATE(YEAR((Tahmin!$C$4+27)),MONTH((Tahmin!$C$4+27)),MIN(DAY(Kalemler!$D60),DAY(EOMONTH((Tahmin!$C$4+27),0))))&gt;=Kalemler!$D60)),1,0),IF(AND(Kalemler!$D60&gt;=(Tahmin!$C$4+21),Kalemler!$D60&lt;=(Tahmin!$C$4+27)),1,0))))</f>
        <v>0</v>
      </c>
      <c r="F60" s="0" t="n">
        <f aca="false">IF(OR(Kalemler!$A60="",Kalemler!$C60="",Kalemler!$D60=""),0,Kalemler!$C60*IF(Kalemler!$E60="Haftalık",IF(Kalemler!$D60&lt;=(Tahmin!$C$4+34),1,0),IF(Kalemler!$E60="Aylık",IF(OR(AND(DATE(YEAR((Tahmin!$C$4+28)),MONTH((Tahmin!$C$4+28)),MIN(DAY(Kalemler!$D60),DAY(EOMONTH((Tahmin!$C$4+28),0))))&gt;=(Tahmin!$C$4+28),DATE(YEAR((Tahmin!$C$4+28)),MONTH((Tahmin!$C$4+28)),MIN(DAY(Kalemler!$D60),DAY(EOMONTH((Tahmin!$C$4+28),0))))&lt;=(Tahmin!$C$4+34),DATE(YEAR((Tahmin!$C$4+28)),MONTH((Tahmin!$C$4+28)),MIN(DAY(Kalemler!$D60),DAY(EOMONTH((Tahmin!$C$4+28),0))))&gt;=Kalemler!$D60),AND(DATE(YEAR((Tahmin!$C$4+34)),MONTH((Tahmin!$C$4+34)),MIN(DAY(Kalemler!$D60),DAY(EOMONTH((Tahmin!$C$4+34),0))))&gt;=(Tahmin!$C$4+28),DATE(YEAR((Tahmin!$C$4+34)),MONTH((Tahmin!$C$4+34)),MIN(DAY(Kalemler!$D60),DAY(EOMONTH((Tahmin!$C$4+34),0))))&lt;=(Tahmin!$C$4+34),DATE(YEAR((Tahmin!$C$4+34)),MONTH((Tahmin!$C$4+34)),MIN(DAY(Kalemler!$D60),DAY(EOMONTH((Tahmin!$C$4+34),0))))&lt;&gt;DATE(YEAR((Tahmin!$C$4+28)),MONTH((Tahmin!$C$4+28)),MIN(DAY(Kalemler!$D60),DAY(EOMONTH((Tahmin!$C$4+28),0)))),DATE(YEAR((Tahmin!$C$4+34)),MONTH((Tahmin!$C$4+34)),MIN(DAY(Kalemler!$D60),DAY(EOMONTH((Tahmin!$C$4+34),0))))&gt;=Kalemler!$D60)),1,0),IF(AND(Kalemler!$D60&gt;=(Tahmin!$C$4+28),Kalemler!$D60&lt;=(Tahmin!$C$4+34)),1,0))))</f>
        <v>0</v>
      </c>
      <c r="G60" s="0" t="n">
        <f aca="false">IF(OR(Kalemler!$A60="",Kalemler!$C60="",Kalemler!$D60=""),0,Kalemler!$C60*IF(Kalemler!$E60="Haftalık",IF(Kalemler!$D60&lt;=(Tahmin!$C$4+41),1,0),IF(Kalemler!$E60="Aylık",IF(OR(AND(DATE(YEAR((Tahmin!$C$4+35)),MONTH((Tahmin!$C$4+35)),MIN(DAY(Kalemler!$D60),DAY(EOMONTH((Tahmin!$C$4+35),0))))&gt;=(Tahmin!$C$4+35),DATE(YEAR((Tahmin!$C$4+35)),MONTH((Tahmin!$C$4+35)),MIN(DAY(Kalemler!$D60),DAY(EOMONTH((Tahmin!$C$4+35),0))))&lt;=(Tahmin!$C$4+41),DATE(YEAR((Tahmin!$C$4+35)),MONTH((Tahmin!$C$4+35)),MIN(DAY(Kalemler!$D60),DAY(EOMONTH((Tahmin!$C$4+35),0))))&gt;=Kalemler!$D60),AND(DATE(YEAR((Tahmin!$C$4+41)),MONTH((Tahmin!$C$4+41)),MIN(DAY(Kalemler!$D60),DAY(EOMONTH((Tahmin!$C$4+41),0))))&gt;=(Tahmin!$C$4+35),DATE(YEAR((Tahmin!$C$4+41)),MONTH((Tahmin!$C$4+41)),MIN(DAY(Kalemler!$D60),DAY(EOMONTH((Tahmin!$C$4+41),0))))&lt;=(Tahmin!$C$4+41),DATE(YEAR((Tahmin!$C$4+41)),MONTH((Tahmin!$C$4+41)),MIN(DAY(Kalemler!$D60),DAY(EOMONTH((Tahmin!$C$4+41),0))))&lt;&gt;DATE(YEAR((Tahmin!$C$4+35)),MONTH((Tahmin!$C$4+35)),MIN(DAY(Kalemler!$D60),DAY(EOMONTH((Tahmin!$C$4+35),0)))),DATE(YEAR((Tahmin!$C$4+41)),MONTH((Tahmin!$C$4+41)),MIN(DAY(Kalemler!$D60),DAY(EOMONTH((Tahmin!$C$4+41),0))))&gt;=Kalemler!$D60)),1,0),IF(AND(Kalemler!$D60&gt;=(Tahmin!$C$4+35),Kalemler!$D60&lt;=(Tahmin!$C$4+41)),1,0))))</f>
        <v>0</v>
      </c>
      <c r="H60" s="0" t="n">
        <f aca="false">IF(OR(Kalemler!$A60="",Kalemler!$C60="",Kalemler!$D60=""),0,Kalemler!$C60*IF(Kalemler!$E60="Haftalık",IF(Kalemler!$D60&lt;=(Tahmin!$C$4+48),1,0),IF(Kalemler!$E60="Aylık",IF(OR(AND(DATE(YEAR((Tahmin!$C$4+42)),MONTH((Tahmin!$C$4+42)),MIN(DAY(Kalemler!$D60),DAY(EOMONTH((Tahmin!$C$4+42),0))))&gt;=(Tahmin!$C$4+42),DATE(YEAR((Tahmin!$C$4+42)),MONTH((Tahmin!$C$4+42)),MIN(DAY(Kalemler!$D60),DAY(EOMONTH((Tahmin!$C$4+42),0))))&lt;=(Tahmin!$C$4+48),DATE(YEAR((Tahmin!$C$4+42)),MONTH((Tahmin!$C$4+42)),MIN(DAY(Kalemler!$D60),DAY(EOMONTH((Tahmin!$C$4+42),0))))&gt;=Kalemler!$D60),AND(DATE(YEAR((Tahmin!$C$4+48)),MONTH((Tahmin!$C$4+48)),MIN(DAY(Kalemler!$D60),DAY(EOMONTH((Tahmin!$C$4+48),0))))&gt;=(Tahmin!$C$4+42),DATE(YEAR((Tahmin!$C$4+48)),MONTH((Tahmin!$C$4+48)),MIN(DAY(Kalemler!$D60),DAY(EOMONTH((Tahmin!$C$4+48),0))))&lt;=(Tahmin!$C$4+48),DATE(YEAR((Tahmin!$C$4+48)),MONTH((Tahmin!$C$4+48)),MIN(DAY(Kalemler!$D60),DAY(EOMONTH((Tahmin!$C$4+48),0))))&lt;&gt;DATE(YEAR((Tahmin!$C$4+42)),MONTH((Tahmin!$C$4+42)),MIN(DAY(Kalemler!$D60),DAY(EOMONTH((Tahmin!$C$4+42),0)))),DATE(YEAR((Tahmin!$C$4+48)),MONTH((Tahmin!$C$4+48)),MIN(DAY(Kalemler!$D60),DAY(EOMONTH((Tahmin!$C$4+48),0))))&gt;=Kalemler!$D60)),1,0),IF(AND(Kalemler!$D60&gt;=(Tahmin!$C$4+42),Kalemler!$D60&lt;=(Tahmin!$C$4+48)),1,0))))</f>
        <v>0</v>
      </c>
      <c r="I60" s="0" t="n">
        <f aca="false">IF(OR(Kalemler!$A60="",Kalemler!$C60="",Kalemler!$D60=""),0,Kalemler!$C60*IF(Kalemler!$E60="Haftalık",IF(Kalemler!$D60&lt;=(Tahmin!$C$4+55),1,0),IF(Kalemler!$E60="Aylık",IF(OR(AND(DATE(YEAR((Tahmin!$C$4+49)),MONTH((Tahmin!$C$4+49)),MIN(DAY(Kalemler!$D60),DAY(EOMONTH((Tahmin!$C$4+49),0))))&gt;=(Tahmin!$C$4+49),DATE(YEAR((Tahmin!$C$4+49)),MONTH((Tahmin!$C$4+49)),MIN(DAY(Kalemler!$D60),DAY(EOMONTH((Tahmin!$C$4+49),0))))&lt;=(Tahmin!$C$4+55),DATE(YEAR((Tahmin!$C$4+49)),MONTH((Tahmin!$C$4+49)),MIN(DAY(Kalemler!$D60),DAY(EOMONTH((Tahmin!$C$4+49),0))))&gt;=Kalemler!$D60),AND(DATE(YEAR((Tahmin!$C$4+55)),MONTH((Tahmin!$C$4+55)),MIN(DAY(Kalemler!$D60),DAY(EOMONTH((Tahmin!$C$4+55),0))))&gt;=(Tahmin!$C$4+49),DATE(YEAR((Tahmin!$C$4+55)),MONTH((Tahmin!$C$4+55)),MIN(DAY(Kalemler!$D60),DAY(EOMONTH((Tahmin!$C$4+55),0))))&lt;=(Tahmin!$C$4+55),DATE(YEAR((Tahmin!$C$4+55)),MONTH((Tahmin!$C$4+55)),MIN(DAY(Kalemler!$D60),DAY(EOMONTH((Tahmin!$C$4+55),0))))&lt;&gt;DATE(YEAR((Tahmin!$C$4+49)),MONTH((Tahmin!$C$4+49)),MIN(DAY(Kalemler!$D60),DAY(EOMONTH((Tahmin!$C$4+49),0)))),DATE(YEAR((Tahmin!$C$4+55)),MONTH((Tahmin!$C$4+55)),MIN(DAY(Kalemler!$D60),DAY(EOMONTH((Tahmin!$C$4+55),0))))&gt;=Kalemler!$D60)),1,0),IF(AND(Kalemler!$D60&gt;=(Tahmin!$C$4+49),Kalemler!$D60&lt;=(Tahmin!$C$4+55)),1,0))))</f>
        <v>0</v>
      </c>
      <c r="J60" s="0" t="n">
        <f aca="false">IF(OR(Kalemler!$A60="",Kalemler!$C60="",Kalemler!$D60=""),0,Kalemler!$C60*IF(Kalemler!$E60="Haftalık",IF(Kalemler!$D60&lt;=(Tahmin!$C$4+62),1,0),IF(Kalemler!$E60="Aylık",IF(OR(AND(DATE(YEAR((Tahmin!$C$4+56)),MONTH((Tahmin!$C$4+56)),MIN(DAY(Kalemler!$D60),DAY(EOMONTH((Tahmin!$C$4+56),0))))&gt;=(Tahmin!$C$4+56),DATE(YEAR((Tahmin!$C$4+56)),MONTH((Tahmin!$C$4+56)),MIN(DAY(Kalemler!$D60),DAY(EOMONTH((Tahmin!$C$4+56),0))))&lt;=(Tahmin!$C$4+62),DATE(YEAR((Tahmin!$C$4+56)),MONTH((Tahmin!$C$4+56)),MIN(DAY(Kalemler!$D60),DAY(EOMONTH((Tahmin!$C$4+56),0))))&gt;=Kalemler!$D60),AND(DATE(YEAR((Tahmin!$C$4+62)),MONTH((Tahmin!$C$4+62)),MIN(DAY(Kalemler!$D60),DAY(EOMONTH((Tahmin!$C$4+62),0))))&gt;=(Tahmin!$C$4+56),DATE(YEAR((Tahmin!$C$4+62)),MONTH((Tahmin!$C$4+62)),MIN(DAY(Kalemler!$D60),DAY(EOMONTH((Tahmin!$C$4+62),0))))&lt;=(Tahmin!$C$4+62),DATE(YEAR((Tahmin!$C$4+62)),MONTH((Tahmin!$C$4+62)),MIN(DAY(Kalemler!$D60),DAY(EOMONTH((Tahmin!$C$4+62),0))))&lt;&gt;DATE(YEAR((Tahmin!$C$4+56)),MONTH((Tahmin!$C$4+56)),MIN(DAY(Kalemler!$D60),DAY(EOMONTH((Tahmin!$C$4+56),0)))),DATE(YEAR((Tahmin!$C$4+62)),MONTH((Tahmin!$C$4+62)),MIN(DAY(Kalemler!$D60),DAY(EOMONTH((Tahmin!$C$4+62),0))))&gt;=Kalemler!$D60)),1,0),IF(AND(Kalemler!$D60&gt;=(Tahmin!$C$4+56),Kalemler!$D60&lt;=(Tahmin!$C$4+62)),1,0))))</f>
        <v>0</v>
      </c>
      <c r="K60" s="0" t="n">
        <f aca="false">IF(OR(Kalemler!$A60="",Kalemler!$C60="",Kalemler!$D60=""),0,Kalemler!$C60*IF(Kalemler!$E60="Haftalık",IF(Kalemler!$D60&lt;=(Tahmin!$C$4+69),1,0),IF(Kalemler!$E60="Aylık",IF(OR(AND(DATE(YEAR((Tahmin!$C$4+63)),MONTH((Tahmin!$C$4+63)),MIN(DAY(Kalemler!$D60),DAY(EOMONTH((Tahmin!$C$4+63),0))))&gt;=(Tahmin!$C$4+63),DATE(YEAR((Tahmin!$C$4+63)),MONTH((Tahmin!$C$4+63)),MIN(DAY(Kalemler!$D60),DAY(EOMONTH((Tahmin!$C$4+63),0))))&lt;=(Tahmin!$C$4+69),DATE(YEAR((Tahmin!$C$4+63)),MONTH((Tahmin!$C$4+63)),MIN(DAY(Kalemler!$D60),DAY(EOMONTH((Tahmin!$C$4+63),0))))&gt;=Kalemler!$D60),AND(DATE(YEAR((Tahmin!$C$4+69)),MONTH((Tahmin!$C$4+69)),MIN(DAY(Kalemler!$D60),DAY(EOMONTH((Tahmin!$C$4+69),0))))&gt;=(Tahmin!$C$4+63),DATE(YEAR((Tahmin!$C$4+69)),MONTH((Tahmin!$C$4+69)),MIN(DAY(Kalemler!$D60),DAY(EOMONTH((Tahmin!$C$4+69),0))))&lt;=(Tahmin!$C$4+69),DATE(YEAR((Tahmin!$C$4+69)),MONTH((Tahmin!$C$4+69)),MIN(DAY(Kalemler!$D60),DAY(EOMONTH((Tahmin!$C$4+69),0))))&lt;&gt;DATE(YEAR((Tahmin!$C$4+63)),MONTH((Tahmin!$C$4+63)),MIN(DAY(Kalemler!$D60),DAY(EOMONTH((Tahmin!$C$4+63),0)))),DATE(YEAR((Tahmin!$C$4+69)),MONTH((Tahmin!$C$4+69)),MIN(DAY(Kalemler!$D60),DAY(EOMONTH((Tahmin!$C$4+69),0))))&gt;=Kalemler!$D60)),1,0),IF(AND(Kalemler!$D60&gt;=(Tahmin!$C$4+63),Kalemler!$D60&lt;=(Tahmin!$C$4+69)),1,0))))</f>
        <v>0</v>
      </c>
      <c r="L60" s="0" t="n">
        <f aca="false">IF(OR(Kalemler!$A60="",Kalemler!$C60="",Kalemler!$D60=""),0,Kalemler!$C60*IF(Kalemler!$E60="Haftalık",IF(Kalemler!$D60&lt;=(Tahmin!$C$4+76),1,0),IF(Kalemler!$E60="Aylık",IF(OR(AND(DATE(YEAR((Tahmin!$C$4+70)),MONTH((Tahmin!$C$4+70)),MIN(DAY(Kalemler!$D60),DAY(EOMONTH((Tahmin!$C$4+70),0))))&gt;=(Tahmin!$C$4+70),DATE(YEAR((Tahmin!$C$4+70)),MONTH((Tahmin!$C$4+70)),MIN(DAY(Kalemler!$D60),DAY(EOMONTH((Tahmin!$C$4+70),0))))&lt;=(Tahmin!$C$4+76),DATE(YEAR((Tahmin!$C$4+70)),MONTH((Tahmin!$C$4+70)),MIN(DAY(Kalemler!$D60),DAY(EOMONTH((Tahmin!$C$4+70),0))))&gt;=Kalemler!$D60),AND(DATE(YEAR((Tahmin!$C$4+76)),MONTH((Tahmin!$C$4+76)),MIN(DAY(Kalemler!$D60),DAY(EOMONTH((Tahmin!$C$4+76),0))))&gt;=(Tahmin!$C$4+70),DATE(YEAR((Tahmin!$C$4+76)),MONTH((Tahmin!$C$4+76)),MIN(DAY(Kalemler!$D60),DAY(EOMONTH((Tahmin!$C$4+76),0))))&lt;=(Tahmin!$C$4+76),DATE(YEAR((Tahmin!$C$4+76)),MONTH((Tahmin!$C$4+76)),MIN(DAY(Kalemler!$D60),DAY(EOMONTH((Tahmin!$C$4+76),0))))&lt;&gt;DATE(YEAR((Tahmin!$C$4+70)),MONTH((Tahmin!$C$4+70)),MIN(DAY(Kalemler!$D60),DAY(EOMONTH((Tahmin!$C$4+70),0)))),DATE(YEAR((Tahmin!$C$4+76)),MONTH((Tahmin!$C$4+76)),MIN(DAY(Kalemler!$D60),DAY(EOMONTH((Tahmin!$C$4+76),0))))&gt;=Kalemler!$D60)),1,0),IF(AND(Kalemler!$D60&gt;=(Tahmin!$C$4+70),Kalemler!$D60&lt;=(Tahmin!$C$4+76)),1,0))))</f>
        <v>0</v>
      </c>
      <c r="M60" s="0" t="n">
        <f aca="false">IF(OR(Kalemler!$A60="",Kalemler!$C60="",Kalemler!$D60=""),0,Kalemler!$C60*IF(Kalemler!$E60="Haftalık",IF(Kalemler!$D60&lt;=(Tahmin!$C$4+83),1,0),IF(Kalemler!$E60="Aylık",IF(OR(AND(DATE(YEAR((Tahmin!$C$4+77)),MONTH((Tahmin!$C$4+77)),MIN(DAY(Kalemler!$D60),DAY(EOMONTH((Tahmin!$C$4+77),0))))&gt;=(Tahmin!$C$4+77),DATE(YEAR((Tahmin!$C$4+77)),MONTH((Tahmin!$C$4+77)),MIN(DAY(Kalemler!$D60),DAY(EOMONTH((Tahmin!$C$4+77),0))))&lt;=(Tahmin!$C$4+83),DATE(YEAR((Tahmin!$C$4+77)),MONTH((Tahmin!$C$4+77)),MIN(DAY(Kalemler!$D60),DAY(EOMONTH((Tahmin!$C$4+77),0))))&gt;=Kalemler!$D60),AND(DATE(YEAR((Tahmin!$C$4+83)),MONTH((Tahmin!$C$4+83)),MIN(DAY(Kalemler!$D60),DAY(EOMONTH((Tahmin!$C$4+83),0))))&gt;=(Tahmin!$C$4+77),DATE(YEAR((Tahmin!$C$4+83)),MONTH((Tahmin!$C$4+83)),MIN(DAY(Kalemler!$D60),DAY(EOMONTH((Tahmin!$C$4+83),0))))&lt;=(Tahmin!$C$4+83),DATE(YEAR((Tahmin!$C$4+83)),MONTH((Tahmin!$C$4+83)),MIN(DAY(Kalemler!$D60),DAY(EOMONTH((Tahmin!$C$4+83),0))))&lt;&gt;DATE(YEAR((Tahmin!$C$4+77)),MONTH((Tahmin!$C$4+77)),MIN(DAY(Kalemler!$D60),DAY(EOMONTH((Tahmin!$C$4+77),0)))),DATE(YEAR((Tahmin!$C$4+83)),MONTH((Tahmin!$C$4+83)),MIN(DAY(Kalemler!$D60),DAY(EOMONTH((Tahmin!$C$4+83),0))))&gt;=Kalemler!$D60)),1,0),IF(AND(Kalemler!$D60&gt;=(Tahmin!$C$4+77),Kalemler!$D60&lt;=(Tahmin!$C$4+83)),1,0))))</f>
        <v>0</v>
      </c>
      <c r="N60" s="0" t="n">
        <f aca="false">IF(OR(Kalemler!$A60="",Kalemler!$C60="",Kalemler!$D60=""),0,Kalemler!$C60*IF(Kalemler!$E60="Haftalık",IF(Kalemler!$D60&lt;=(Tahmin!$C$4+90),1,0),IF(Kalemler!$E60="Aylık",IF(OR(AND(DATE(YEAR((Tahmin!$C$4+84)),MONTH((Tahmin!$C$4+84)),MIN(DAY(Kalemler!$D60),DAY(EOMONTH((Tahmin!$C$4+84),0))))&gt;=(Tahmin!$C$4+84),DATE(YEAR((Tahmin!$C$4+84)),MONTH((Tahmin!$C$4+84)),MIN(DAY(Kalemler!$D60),DAY(EOMONTH((Tahmin!$C$4+84),0))))&lt;=(Tahmin!$C$4+90),DATE(YEAR((Tahmin!$C$4+84)),MONTH((Tahmin!$C$4+84)),MIN(DAY(Kalemler!$D60),DAY(EOMONTH((Tahmin!$C$4+84),0))))&gt;=Kalemler!$D60),AND(DATE(YEAR((Tahmin!$C$4+90)),MONTH((Tahmin!$C$4+90)),MIN(DAY(Kalemler!$D60),DAY(EOMONTH((Tahmin!$C$4+90),0))))&gt;=(Tahmin!$C$4+84),DATE(YEAR((Tahmin!$C$4+90)),MONTH((Tahmin!$C$4+90)),MIN(DAY(Kalemler!$D60),DAY(EOMONTH((Tahmin!$C$4+90),0))))&lt;=(Tahmin!$C$4+90),DATE(YEAR((Tahmin!$C$4+90)),MONTH((Tahmin!$C$4+90)),MIN(DAY(Kalemler!$D60),DAY(EOMONTH((Tahmin!$C$4+90),0))))&lt;&gt;DATE(YEAR((Tahmin!$C$4+84)),MONTH((Tahmin!$C$4+84)),MIN(DAY(Kalemler!$D60),DAY(EOMONTH((Tahmin!$C$4+84),0)))),DATE(YEAR((Tahmin!$C$4+90)),MONTH((Tahmin!$C$4+90)),MIN(DAY(Kalemler!$D60),DAY(EOMONTH((Tahmin!$C$4+90),0))))&gt;=Kalemler!$D60)),1,0),IF(AND(Kalemler!$D60&gt;=(Tahmin!$C$4+84),Kalemler!$D60&lt;=(Tahmin!$C$4+90)),1,0))))</f>
        <v>0</v>
      </c>
    </row>
    <row r="61" customFormat="false" ht="15" hidden="false" customHeight="false" outlineLevel="0" collapsed="false">
      <c r="A61" s="0" t="str">
        <f aca="false">IF(Kalemler!A61="","",Kalemler!A61)</f>
        <v/>
      </c>
      <c r="B61" s="0" t="n">
        <f aca="false">IF(OR(Kalemler!$A61="",Kalemler!$C61="",Kalemler!$D61=""),0,Kalemler!$C61*IF(Kalemler!$E61="Haftalık",IF(Kalemler!$D61&lt;=(Tahmin!$C$4+6),1,0),IF(Kalemler!$E61="Aylık",IF(OR(AND(DATE(YEAR((Tahmin!$C$4+0)),MONTH((Tahmin!$C$4+0)),MIN(DAY(Kalemler!$D61),DAY(EOMONTH((Tahmin!$C$4+0),0))))&gt;=(Tahmin!$C$4+0),DATE(YEAR((Tahmin!$C$4+0)),MONTH((Tahmin!$C$4+0)),MIN(DAY(Kalemler!$D61),DAY(EOMONTH((Tahmin!$C$4+0),0))))&lt;=(Tahmin!$C$4+6),DATE(YEAR((Tahmin!$C$4+0)),MONTH((Tahmin!$C$4+0)),MIN(DAY(Kalemler!$D61),DAY(EOMONTH((Tahmin!$C$4+0),0))))&gt;=Kalemler!$D61),AND(DATE(YEAR((Tahmin!$C$4+6)),MONTH((Tahmin!$C$4+6)),MIN(DAY(Kalemler!$D61),DAY(EOMONTH((Tahmin!$C$4+6),0))))&gt;=(Tahmin!$C$4+0),DATE(YEAR((Tahmin!$C$4+6)),MONTH((Tahmin!$C$4+6)),MIN(DAY(Kalemler!$D61),DAY(EOMONTH((Tahmin!$C$4+6),0))))&lt;=(Tahmin!$C$4+6),DATE(YEAR((Tahmin!$C$4+6)),MONTH((Tahmin!$C$4+6)),MIN(DAY(Kalemler!$D61),DAY(EOMONTH((Tahmin!$C$4+6),0))))&lt;&gt;DATE(YEAR((Tahmin!$C$4+0)),MONTH((Tahmin!$C$4+0)),MIN(DAY(Kalemler!$D61),DAY(EOMONTH((Tahmin!$C$4+0),0)))),DATE(YEAR((Tahmin!$C$4+6)),MONTH((Tahmin!$C$4+6)),MIN(DAY(Kalemler!$D61),DAY(EOMONTH((Tahmin!$C$4+6),0))))&gt;=Kalemler!$D61)),1,0),IF(AND(Kalemler!$D61&gt;=(Tahmin!$C$4+0),Kalemler!$D61&lt;=(Tahmin!$C$4+6)),1,0))))</f>
        <v>0</v>
      </c>
      <c r="C61" s="0" t="n">
        <f aca="false">IF(OR(Kalemler!$A61="",Kalemler!$C61="",Kalemler!$D61=""),0,Kalemler!$C61*IF(Kalemler!$E61="Haftalık",IF(Kalemler!$D61&lt;=(Tahmin!$C$4+13),1,0),IF(Kalemler!$E61="Aylık",IF(OR(AND(DATE(YEAR((Tahmin!$C$4+7)),MONTH((Tahmin!$C$4+7)),MIN(DAY(Kalemler!$D61),DAY(EOMONTH((Tahmin!$C$4+7),0))))&gt;=(Tahmin!$C$4+7),DATE(YEAR((Tahmin!$C$4+7)),MONTH((Tahmin!$C$4+7)),MIN(DAY(Kalemler!$D61),DAY(EOMONTH((Tahmin!$C$4+7),0))))&lt;=(Tahmin!$C$4+13),DATE(YEAR((Tahmin!$C$4+7)),MONTH((Tahmin!$C$4+7)),MIN(DAY(Kalemler!$D61),DAY(EOMONTH((Tahmin!$C$4+7),0))))&gt;=Kalemler!$D61),AND(DATE(YEAR((Tahmin!$C$4+13)),MONTH((Tahmin!$C$4+13)),MIN(DAY(Kalemler!$D61),DAY(EOMONTH((Tahmin!$C$4+13),0))))&gt;=(Tahmin!$C$4+7),DATE(YEAR((Tahmin!$C$4+13)),MONTH((Tahmin!$C$4+13)),MIN(DAY(Kalemler!$D61),DAY(EOMONTH((Tahmin!$C$4+13),0))))&lt;=(Tahmin!$C$4+13),DATE(YEAR((Tahmin!$C$4+13)),MONTH((Tahmin!$C$4+13)),MIN(DAY(Kalemler!$D61),DAY(EOMONTH((Tahmin!$C$4+13),0))))&lt;&gt;DATE(YEAR((Tahmin!$C$4+7)),MONTH((Tahmin!$C$4+7)),MIN(DAY(Kalemler!$D61),DAY(EOMONTH((Tahmin!$C$4+7),0)))),DATE(YEAR((Tahmin!$C$4+13)),MONTH((Tahmin!$C$4+13)),MIN(DAY(Kalemler!$D61),DAY(EOMONTH((Tahmin!$C$4+13),0))))&gt;=Kalemler!$D61)),1,0),IF(AND(Kalemler!$D61&gt;=(Tahmin!$C$4+7),Kalemler!$D61&lt;=(Tahmin!$C$4+13)),1,0))))</f>
        <v>0</v>
      </c>
      <c r="D61" s="0" t="n">
        <f aca="false">IF(OR(Kalemler!$A61="",Kalemler!$C61="",Kalemler!$D61=""),0,Kalemler!$C61*IF(Kalemler!$E61="Haftalık",IF(Kalemler!$D61&lt;=(Tahmin!$C$4+20),1,0),IF(Kalemler!$E61="Aylık",IF(OR(AND(DATE(YEAR((Tahmin!$C$4+14)),MONTH((Tahmin!$C$4+14)),MIN(DAY(Kalemler!$D61),DAY(EOMONTH((Tahmin!$C$4+14),0))))&gt;=(Tahmin!$C$4+14),DATE(YEAR((Tahmin!$C$4+14)),MONTH((Tahmin!$C$4+14)),MIN(DAY(Kalemler!$D61),DAY(EOMONTH((Tahmin!$C$4+14),0))))&lt;=(Tahmin!$C$4+20),DATE(YEAR((Tahmin!$C$4+14)),MONTH((Tahmin!$C$4+14)),MIN(DAY(Kalemler!$D61),DAY(EOMONTH((Tahmin!$C$4+14),0))))&gt;=Kalemler!$D61),AND(DATE(YEAR((Tahmin!$C$4+20)),MONTH((Tahmin!$C$4+20)),MIN(DAY(Kalemler!$D61),DAY(EOMONTH((Tahmin!$C$4+20),0))))&gt;=(Tahmin!$C$4+14),DATE(YEAR((Tahmin!$C$4+20)),MONTH((Tahmin!$C$4+20)),MIN(DAY(Kalemler!$D61),DAY(EOMONTH((Tahmin!$C$4+20),0))))&lt;=(Tahmin!$C$4+20),DATE(YEAR((Tahmin!$C$4+20)),MONTH((Tahmin!$C$4+20)),MIN(DAY(Kalemler!$D61),DAY(EOMONTH((Tahmin!$C$4+20),0))))&lt;&gt;DATE(YEAR((Tahmin!$C$4+14)),MONTH((Tahmin!$C$4+14)),MIN(DAY(Kalemler!$D61),DAY(EOMONTH((Tahmin!$C$4+14),0)))),DATE(YEAR((Tahmin!$C$4+20)),MONTH((Tahmin!$C$4+20)),MIN(DAY(Kalemler!$D61),DAY(EOMONTH((Tahmin!$C$4+20),0))))&gt;=Kalemler!$D61)),1,0),IF(AND(Kalemler!$D61&gt;=(Tahmin!$C$4+14),Kalemler!$D61&lt;=(Tahmin!$C$4+20)),1,0))))</f>
        <v>0</v>
      </c>
      <c r="E61" s="0" t="n">
        <f aca="false">IF(OR(Kalemler!$A61="",Kalemler!$C61="",Kalemler!$D61=""),0,Kalemler!$C61*IF(Kalemler!$E61="Haftalık",IF(Kalemler!$D61&lt;=(Tahmin!$C$4+27),1,0),IF(Kalemler!$E61="Aylık",IF(OR(AND(DATE(YEAR((Tahmin!$C$4+21)),MONTH((Tahmin!$C$4+21)),MIN(DAY(Kalemler!$D61),DAY(EOMONTH((Tahmin!$C$4+21),0))))&gt;=(Tahmin!$C$4+21),DATE(YEAR((Tahmin!$C$4+21)),MONTH((Tahmin!$C$4+21)),MIN(DAY(Kalemler!$D61),DAY(EOMONTH((Tahmin!$C$4+21),0))))&lt;=(Tahmin!$C$4+27),DATE(YEAR((Tahmin!$C$4+21)),MONTH((Tahmin!$C$4+21)),MIN(DAY(Kalemler!$D61),DAY(EOMONTH((Tahmin!$C$4+21),0))))&gt;=Kalemler!$D61),AND(DATE(YEAR((Tahmin!$C$4+27)),MONTH((Tahmin!$C$4+27)),MIN(DAY(Kalemler!$D61),DAY(EOMONTH((Tahmin!$C$4+27),0))))&gt;=(Tahmin!$C$4+21),DATE(YEAR((Tahmin!$C$4+27)),MONTH((Tahmin!$C$4+27)),MIN(DAY(Kalemler!$D61),DAY(EOMONTH((Tahmin!$C$4+27),0))))&lt;=(Tahmin!$C$4+27),DATE(YEAR((Tahmin!$C$4+27)),MONTH((Tahmin!$C$4+27)),MIN(DAY(Kalemler!$D61),DAY(EOMONTH((Tahmin!$C$4+27),0))))&lt;&gt;DATE(YEAR((Tahmin!$C$4+21)),MONTH((Tahmin!$C$4+21)),MIN(DAY(Kalemler!$D61),DAY(EOMONTH((Tahmin!$C$4+21),0)))),DATE(YEAR((Tahmin!$C$4+27)),MONTH((Tahmin!$C$4+27)),MIN(DAY(Kalemler!$D61),DAY(EOMONTH((Tahmin!$C$4+27),0))))&gt;=Kalemler!$D61)),1,0),IF(AND(Kalemler!$D61&gt;=(Tahmin!$C$4+21),Kalemler!$D61&lt;=(Tahmin!$C$4+27)),1,0))))</f>
        <v>0</v>
      </c>
      <c r="F61" s="0" t="n">
        <f aca="false">IF(OR(Kalemler!$A61="",Kalemler!$C61="",Kalemler!$D61=""),0,Kalemler!$C61*IF(Kalemler!$E61="Haftalık",IF(Kalemler!$D61&lt;=(Tahmin!$C$4+34),1,0),IF(Kalemler!$E61="Aylık",IF(OR(AND(DATE(YEAR((Tahmin!$C$4+28)),MONTH((Tahmin!$C$4+28)),MIN(DAY(Kalemler!$D61),DAY(EOMONTH((Tahmin!$C$4+28),0))))&gt;=(Tahmin!$C$4+28),DATE(YEAR((Tahmin!$C$4+28)),MONTH((Tahmin!$C$4+28)),MIN(DAY(Kalemler!$D61),DAY(EOMONTH((Tahmin!$C$4+28),0))))&lt;=(Tahmin!$C$4+34),DATE(YEAR((Tahmin!$C$4+28)),MONTH((Tahmin!$C$4+28)),MIN(DAY(Kalemler!$D61),DAY(EOMONTH((Tahmin!$C$4+28),0))))&gt;=Kalemler!$D61),AND(DATE(YEAR((Tahmin!$C$4+34)),MONTH((Tahmin!$C$4+34)),MIN(DAY(Kalemler!$D61),DAY(EOMONTH((Tahmin!$C$4+34),0))))&gt;=(Tahmin!$C$4+28),DATE(YEAR((Tahmin!$C$4+34)),MONTH((Tahmin!$C$4+34)),MIN(DAY(Kalemler!$D61),DAY(EOMONTH((Tahmin!$C$4+34),0))))&lt;=(Tahmin!$C$4+34),DATE(YEAR((Tahmin!$C$4+34)),MONTH((Tahmin!$C$4+34)),MIN(DAY(Kalemler!$D61),DAY(EOMONTH((Tahmin!$C$4+34),0))))&lt;&gt;DATE(YEAR((Tahmin!$C$4+28)),MONTH((Tahmin!$C$4+28)),MIN(DAY(Kalemler!$D61),DAY(EOMONTH((Tahmin!$C$4+28),0)))),DATE(YEAR((Tahmin!$C$4+34)),MONTH((Tahmin!$C$4+34)),MIN(DAY(Kalemler!$D61),DAY(EOMONTH((Tahmin!$C$4+34),0))))&gt;=Kalemler!$D61)),1,0),IF(AND(Kalemler!$D61&gt;=(Tahmin!$C$4+28),Kalemler!$D61&lt;=(Tahmin!$C$4+34)),1,0))))</f>
        <v>0</v>
      </c>
      <c r="G61" s="0" t="n">
        <f aca="false">IF(OR(Kalemler!$A61="",Kalemler!$C61="",Kalemler!$D61=""),0,Kalemler!$C61*IF(Kalemler!$E61="Haftalık",IF(Kalemler!$D61&lt;=(Tahmin!$C$4+41),1,0),IF(Kalemler!$E61="Aylık",IF(OR(AND(DATE(YEAR((Tahmin!$C$4+35)),MONTH((Tahmin!$C$4+35)),MIN(DAY(Kalemler!$D61),DAY(EOMONTH((Tahmin!$C$4+35),0))))&gt;=(Tahmin!$C$4+35),DATE(YEAR((Tahmin!$C$4+35)),MONTH((Tahmin!$C$4+35)),MIN(DAY(Kalemler!$D61),DAY(EOMONTH((Tahmin!$C$4+35),0))))&lt;=(Tahmin!$C$4+41),DATE(YEAR((Tahmin!$C$4+35)),MONTH((Tahmin!$C$4+35)),MIN(DAY(Kalemler!$D61),DAY(EOMONTH((Tahmin!$C$4+35),0))))&gt;=Kalemler!$D61),AND(DATE(YEAR((Tahmin!$C$4+41)),MONTH((Tahmin!$C$4+41)),MIN(DAY(Kalemler!$D61),DAY(EOMONTH((Tahmin!$C$4+41),0))))&gt;=(Tahmin!$C$4+35),DATE(YEAR((Tahmin!$C$4+41)),MONTH((Tahmin!$C$4+41)),MIN(DAY(Kalemler!$D61),DAY(EOMONTH((Tahmin!$C$4+41),0))))&lt;=(Tahmin!$C$4+41),DATE(YEAR((Tahmin!$C$4+41)),MONTH((Tahmin!$C$4+41)),MIN(DAY(Kalemler!$D61),DAY(EOMONTH((Tahmin!$C$4+41),0))))&lt;&gt;DATE(YEAR((Tahmin!$C$4+35)),MONTH((Tahmin!$C$4+35)),MIN(DAY(Kalemler!$D61),DAY(EOMONTH((Tahmin!$C$4+35),0)))),DATE(YEAR((Tahmin!$C$4+41)),MONTH((Tahmin!$C$4+41)),MIN(DAY(Kalemler!$D61),DAY(EOMONTH((Tahmin!$C$4+41),0))))&gt;=Kalemler!$D61)),1,0),IF(AND(Kalemler!$D61&gt;=(Tahmin!$C$4+35),Kalemler!$D61&lt;=(Tahmin!$C$4+41)),1,0))))</f>
        <v>0</v>
      </c>
      <c r="H61" s="0" t="n">
        <f aca="false">IF(OR(Kalemler!$A61="",Kalemler!$C61="",Kalemler!$D61=""),0,Kalemler!$C61*IF(Kalemler!$E61="Haftalık",IF(Kalemler!$D61&lt;=(Tahmin!$C$4+48),1,0),IF(Kalemler!$E61="Aylık",IF(OR(AND(DATE(YEAR((Tahmin!$C$4+42)),MONTH((Tahmin!$C$4+42)),MIN(DAY(Kalemler!$D61),DAY(EOMONTH((Tahmin!$C$4+42),0))))&gt;=(Tahmin!$C$4+42),DATE(YEAR((Tahmin!$C$4+42)),MONTH((Tahmin!$C$4+42)),MIN(DAY(Kalemler!$D61),DAY(EOMONTH((Tahmin!$C$4+42),0))))&lt;=(Tahmin!$C$4+48),DATE(YEAR((Tahmin!$C$4+42)),MONTH((Tahmin!$C$4+42)),MIN(DAY(Kalemler!$D61),DAY(EOMONTH((Tahmin!$C$4+42),0))))&gt;=Kalemler!$D61),AND(DATE(YEAR((Tahmin!$C$4+48)),MONTH((Tahmin!$C$4+48)),MIN(DAY(Kalemler!$D61),DAY(EOMONTH((Tahmin!$C$4+48),0))))&gt;=(Tahmin!$C$4+42),DATE(YEAR((Tahmin!$C$4+48)),MONTH((Tahmin!$C$4+48)),MIN(DAY(Kalemler!$D61),DAY(EOMONTH((Tahmin!$C$4+48),0))))&lt;=(Tahmin!$C$4+48),DATE(YEAR((Tahmin!$C$4+48)),MONTH((Tahmin!$C$4+48)),MIN(DAY(Kalemler!$D61),DAY(EOMONTH((Tahmin!$C$4+48),0))))&lt;&gt;DATE(YEAR((Tahmin!$C$4+42)),MONTH((Tahmin!$C$4+42)),MIN(DAY(Kalemler!$D61),DAY(EOMONTH((Tahmin!$C$4+42),0)))),DATE(YEAR((Tahmin!$C$4+48)),MONTH((Tahmin!$C$4+48)),MIN(DAY(Kalemler!$D61),DAY(EOMONTH((Tahmin!$C$4+48),0))))&gt;=Kalemler!$D61)),1,0),IF(AND(Kalemler!$D61&gt;=(Tahmin!$C$4+42),Kalemler!$D61&lt;=(Tahmin!$C$4+48)),1,0))))</f>
        <v>0</v>
      </c>
      <c r="I61" s="0" t="n">
        <f aca="false">IF(OR(Kalemler!$A61="",Kalemler!$C61="",Kalemler!$D61=""),0,Kalemler!$C61*IF(Kalemler!$E61="Haftalık",IF(Kalemler!$D61&lt;=(Tahmin!$C$4+55),1,0),IF(Kalemler!$E61="Aylık",IF(OR(AND(DATE(YEAR((Tahmin!$C$4+49)),MONTH((Tahmin!$C$4+49)),MIN(DAY(Kalemler!$D61),DAY(EOMONTH((Tahmin!$C$4+49),0))))&gt;=(Tahmin!$C$4+49),DATE(YEAR((Tahmin!$C$4+49)),MONTH((Tahmin!$C$4+49)),MIN(DAY(Kalemler!$D61),DAY(EOMONTH((Tahmin!$C$4+49),0))))&lt;=(Tahmin!$C$4+55),DATE(YEAR((Tahmin!$C$4+49)),MONTH((Tahmin!$C$4+49)),MIN(DAY(Kalemler!$D61),DAY(EOMONTH((Tahmin!$C$4+49),0))))&gt;=Kalemler!$D61),AND(DATE(YEAR((Tahmin!$C$4+55)),MONTH((Tahmin!$C$4+55)),MIN(DAY(Kalemler!$D61),DAY(EOMONTH((Tahmin!$C$4+55),0))))&gt;=(Tahmin!$C$4+49),DATE(YEAR((Tahmin!$C$4+55)),MONTH((Tahmin!$C$4+55)),MIN(DAY(Kalemler!$D61),DAY(EOMONTH((Tahmin!$C$4+55),0))))&lt;=(Tahmin!$C$4+55),DATE(YEAR((Tahmin!$C$4+55)),MONTH((Tahmin!$C$4+55)),MIN(DAY(Kalemler!$D61),DAY(EOMONTH((Tahmin!$C$4+55),0))))&lt;&gt;DATE(YEAR((Tahmin!$C$4+49)),MONTH((Tahmin!$C$4+49)),MIN(DAY(Kalemler!$D61),DAY(EOMONTH((Tahmin!$C$4+49),0)))),DATE(YEAR((Tahmin!$C$4+55)),MONTH((Tahmin!$C$4+55)),MIN(DAY(Kalemler!$D61),DAY(EOMONTH((Tahmin!$C$4+55),0))))&gt;=Kalemler!$D61)),1,0),IF(AND(Kalemler!$D61&gt;=(Tahmin!$C$4+49),Kalemler!$D61&lt;=(Tahmin!$C$4+55)),1,0))))</f>
        <v>0</v>
      </c>
      <c r="J61" s="0" t="n">
        <f aca="false">IF(OR(Kalemler!$A61="",Kalemler!$C61="",Kalemler!$D61=""),0,Kalemler!$C61*IF(Kalemler!$E61="Haftalık",IF(Kalemler!$D61&lt;=(Tahmin!$C$4+62),1,0),IF(Kalemler!$E61="Aylık",IF(OR(AND(DATE(YEAR((Tahmin!$C$4+56)),MONTH((Tahmin!$C$4+56)),MIN(DAY(Kalemler!$D61),DAY(EOMONTH((Tahmin!$C$4+56),0))))&gt;=(Tahmin!$C$4+56),DATE(YEAR((Tahmin!$C$4+56)),MONTH((Tahmin!$C$4+56)),MIN(DAY(Kalemler!$D61),DAY(EOMONTH((Tahmin!$C$4+56),0))))&lt;=(Tahmin!$C$4+62),DATE(YEAR((Tahmin!$C$4+56)),MONTH((Tahmin!$C$4+56)),MIN(DAY(Kalemler!$D61),DAY(EOMONTH((Tahmin!$C$4+56),0))))&gt;=Kalemler!$D61),AND(DATE(YEAR((Tahmin!$C$4+62)),MONTH((Tahmin!$C$4+62)),MIN(DAY(Kalemler!$D61),DAY(EOMONTH((Tahmin!$C$4+62),0))))&gt;=(Tahmin!$C$4+56),DATE(YEAR((Tahmin!$C$4+62)),MONTH((Tahmin!$C$4+62)),MIN(DAY(Kalemler!$D61),DAY(EOMONTH((Tahmin!$C$4+62),0))))&lt;=(Tahmin!$C$4+62),DATE(YEAR((Tahmin!$C$4+62)),MONTH((Tahmin!$C$4+62)),MIN(DAY(Kalemler!$D61),DAY(EOMONTH((Tahmin!$C$4+62),0))))&lt;&gt;DATE(YEAR((Tahmin!$C$4+56)),MONTH((Tahmin!$C$4+56)),MIN(DAY(Kalemler!$D61),DAY(EOMONTH((Tahmin!$C$4+56),0)))),DATE(YEAR((Tahmin!$C$4+62)),MONTH((Tahmin!$C$4+62)),MIN(DAY(Kalemler!$D61),DAY(EOMONTH((Tahmin!$C$4+62),0))))&gt;=Kalemler!$D61)),1,0),IF(AND(Kalemler!$D61&gt;=(Tahmin!$C$4+56),Kalemler!$D61&lt;=(Tahmin!$C$4+62)),1,0))))</f>
        <v>0</v>
      </c>
      <c r="K61" s="0" t="n">
        <f aca="false">IF(OR(Kalemler!$A61="",Kalemler!$C61="",Kalemler!$D61=""),0,Kalemler!$C61*IF(Kalemler!$E61="Haftalık",IF(Kalemler!$D61&lt;=(Tahmin!$C$4+69),1,0),IF(Kalemler!$E61="Aylık",IF(OR(AND(DATE(YEAR((Tahmin!$C$4+63)),MONTH((Tahmin!$C$4+63)),MIN(DAY(Kalemler!$D61),DAY(EOMONTH((Tahmin!$C$4+63),0))))&gt;=(Tahmin!$C$4+63),DATE(YEAR((Tahmin!$C$4+63)),MONTH((Tahmin!$C$4+63)),MIN(DAY(Kalemler!$D61),DAY(EOMONTH((Tahmin!$C$4+63),0))))&lt;=(Tahmin!$C$4+69),DATE(YEAR((Tahmin!$C$4+63)),MONTH((Tahmin!$C$4+63)),MIN(DAY(Kalemler!$D61),DAY(EOMONTH((Tahmin!$C$4+63),0))))&gt;=Kalemler!$D61),AND(DATE(YEAR((Tahmin!$C$4+69)),MONTH((Tahmin!$C$4+69)),MIN(DAY(Kalemler!$D61),DAY(EOMONTH((Tahmin!$C$4+69),0))))&gt;=(Tahmin!$C$4+63),DATE(YEAR((Tahmin!$C$4+69)),MONTH((Tahmin!$C$4+69)),MIN(DAY(Kalemler!$D61),DAY(EOMONTH((Tahmin!$C$4+69),0))))&lt;=(Tahmin!$C$4+69),DATE(YEAR((Tahmin!$C$4+69)),MONTH((Tahmin!$C$4+69)),MIN(DAY(Kalemler!$D61),DAY(EOMONTH((Tahmin!$C$4+69),0))))&lt;&gt;DATE(YEAR((Tahmin!$C$4+63)),MONTH((Tahmin!$C$4+63)),MIN(DAY(Kalemler!$D61),DAY(EOMONTH((Tahmin!$C$4+63),0)))),DATE(YEAR((Tahmin!$C$4+69)),MONTH((Tahmin!$C$4+69)),MIN(DAY(Kalemler!$D61),DAY(EOMONTH((Tahmin!$C$4+69),0))))&gt;=Kalemler!$D61)),1,0),IF(AND(Kalemler!$D61&gt;=(Tahmin!$C$4+63),Kalemler!$D61&lt;=(Tahmin!$C$4+69)),1,0))))</f>
        <v>0</v>
      </c>
      <c r="L61" s="0" t="n">
        <f aca="false">IF(OR(Kalemler!$A61="",Kalemler!$C61="",Kalemler!$D61=""),0,Kalemler!$C61*IF(Kalemler!$E61="Haftalık",IF(Kalemler!$D61&lt;=(Tahmin!$C$4+76),1,0),IF(Kalemler!$E61="Aylık",IF(OR(AND(DATE(YEAR((Tahmin!$C$4+70)),MONTH((Tahmin!$C$4+70)),MIN(DAY(Kalemler!$D61),DAY(EOMONTH((Tahmin!$C$4+70),0))))&gt;=(Tahmin!$C$4+70),DATE(YEAR((Tahmin!$C$4+70)),MONTH((Tahmin!$C$4+70)),MIN(DAY(Kalemler!$D61),DAY(EOMONTH((Tahmin!$C$4+70),0))))&lt;=(Tahmin!$C$4+76),DATE(YEAR((Tahmin!$C$4+70)),MONTH((Tahmin!$C$4+70)),MIN(DAY(Kalemler!$D61),DAY(EOMONTH((Tahmin!$C$4+70),0))))&gt;=Kalemler!$D61),AND(DATE(YEAR((Tahmin!$C$4+76)),MONTH((Tahmin!$C$4+76)),MIN(DAY(Kalemler!$D61),DAY(EOMONTH((Tahmin!$C$4+76),0))))&gt;=(Tahmin!$C$4+70),DATE(YEAR((Tahmin!$C$4+76)),MONTH((Tahmin!$C$4+76)),MIN(DAY(Kalemler!$D61),DAY(EOMONTH((Tahmin!$C$4+76),0))))&lt;=(Tahmin!$C$4+76),DATE(YEAR((Tahmin!$C$4+76)),MONTH((Tahmin!$C$4+76)),MIN(DAY(Kalemler!$D61),DAY(EOMONTH((Tahmin!$C$4+76),0))))&lt;&gt;DATE(YEAR((Tahmin!$C$4+70)),MONTH((Tahmin!$C$4+70)),MIN(DAY(Kalemler!$D61),DAY(EOMONTH((Tahmin!$C$4+70),0)))),DATE(YEAR((Tahmin!$C$4+76)),MONTH((Tahmin!$C$4+76)),MIN(DAY(Kalemler!$D61),DAY(EOMONTH((Tahmin!$C$4+76),0))))&gt;=Kalemler!$D61)),1,0),IF(AND(Kalemler!$D61&gt;=(Tahmin!$C$4+70),Kalemler!$D61&lt;=(Tahmin!$C$4+76)),1,0))))</f>
        <v>0</v>
      </c>
      <c r="M61" s="0" t="n">
        <f aca="false">IF(OR(Kalemler!$A61="",Kalemler!$C61="",Kalemler!$D61=""),0,Kalemler!$C61*IF(Kalemler!$E61="Haftalık",IF(Kalemler!$D61&lt;=(Tahmin!$C$4+83),1,0),IF(Kalemler!$E61="Aylık",IF(OR(AND(DATE(YEAR((Tahmin!$C$4+77)),MONTH((Tahmin!$C$4+77)),MIN(DAY(Kalemler!$D61),DAY(EOMONTH((Tahmin!$C$4+77),0))))&gt;=(Tahmin!$C$4+77),DATE(YEAR((Tahmin!$C$4+77)),MONTH((Tahmin!$C$4+77)),MIN(DAY(Kalemler!$D61),DAY(EOMONTH((Tahmin!$C$4+77),0))))&lt;=(Tahmin!$C$4+83),DATE(YEAR((Tahmin!$C$4+77)),MONTH((Tahmin!$C$4+77)),MIN(DAY(Kalemler!$D61),DAY(EOMONTH((Tahmin!$C$4+77),0))))&gt;=Kalemler!$D61),AND(DATE(YEAR((Tahmin!$C$4+83)),MONTH((Tahmin!$C$4+83)),MIN(DAY(Kalemler!$D61),DAY(EOMONTH((Tahmin!$C$4+83),0))))&gt;=(Tahmin!$C$4+77),DATE(YEAR((Tahmin!$C$4+83)),MONTH((Tahmin!$C$4+83)),MIN(DAY(Kalemler!$D61),DAY(EOMONTH((Tahmin!$C$4+83),0))))&lt;=(Tahmin!$C$4+83),DATE(YEAR((Tahmin!$C$4+83)),MONTH((Tahmin!$C$4+83)),MIN(DAY(Kalemler!$D61),DAY(EOMONTH((Tahmin!$C$4+83),0))))&lt;&gt;DATE(YEAR((Tahmin!$C$4+77)),MONTH((Tahmin!$C$4+77)),MIN(DAY(Kalemler!$D61),DAY(EOMONTH((Tahmin!$C$4+77),0)))),DATE(YEAR((Tahmin!$C$4+83)),MONTH((Tahmin!$C$4+83)),MIN(DAY(Kalemler!$D61),DAY(EOMONTH((Tahmin!$C$4+83),0))))&gt;=Kalemler!$D61)),1,0),IF(AND(Kalemler!$D61&gt;=(Tahmin!$C$4+77),Kalemler!$D61&lt;=(Tahmin!$C$4+83)),1,0))))</f>
        <v>0</v>
      </c>
      <c r="N61" s="0" t="n">
        <f aca="false">IF(OR(Kalemler!$A61="",Kalemler!$C61="",Kalemler!$D61=""),0,Kalemler!$C61*IF(Kalemler!$E61="Haftalık",IF(Kalemler!$D61&lt;=(Tahmin!$C$4+90),1,0),IF(Kalemler!$E61="Aylık",IF(OR(AND(DATE(YEAR((Tahmin!$C$4+84)),MONTH((Tahmin!$C$4+84)),MIN(DAY(Kalemler!$D61),DAY(EOMONTH((Tahmin!$C$4+84),0))))&gt;=(Tahmin!$C$4+84),DATE(YEAR((Tahmin!$C$4+84)),MONTH((Tahmin!$C$4+84)),MIN(DAY(Kalemler!$D61),DAY(EOMONTH((Tahmin!$C$4+84),0))))&lt;=(Tahmin!$C$4+90),DATE(YEAR((Tahmin!$C$4+84)),MONTH((Tahmin!$C$4+84)),MIN(DAY(Kalemler!$D61),DAY(EOMONTH((Tahmin!$C$4+84),0))))&gt;=Kalemler!$D61),AND(DATE(YEAR((Tahmin!$C$4+90)),MONTH((Tahmin!$C$4+90)),MIN(DAY(Kalemler!$D61),DAY(EOMONTH((Tahmin!$C$4+90),0))))&gt;=(Tahmin!$C$4+84),DATE(YEAR((Tahmin!$C$4+90)),MONTH((Tahmin!$C$4+90)),MIN(DAY(Kalemler!$D61),DAY(EOMONTH((Tahmin!$C$4+90),0))))&lt;=(Tahmin!$C$4+90),DATE(YEAR((Tahmin!$C$4+90)),MONTH((Tahmin!$C$4+90)),MIN(DAY(Kalemler!$D61),DAY(EOMONTH((Tahmin!$C$4+90),0))))&lt;&gt;DATE(YEAR((Tahmin!$C$4+84)),MONTH((Tahmin!$C$4+84)),MIN(DAY(Kalemler!$D61),DAY(EOMONTH((Tahmin!$C$4+84),0)))),DATE(YEAR((Tahmin!$C$4+90)),MONTH((Tahmin!$C$4+90)),MIN(DAY(Kalemler!$D61),DAY(EOMONTH((Tahmin!$C$4+90),0))))&gt;=Kalemler!$D61)),1,0),IF(AND(Kalemler!$D61&gt;=(Tahmin!$C$4+84),Kalemler!$D61&lt;=(Tahmin!$C$4+90)),1,0))))</f>
        <v>0</v>
      </c>
    </row>
    <row r="62" customFormat="false" ht="15" hidden="false" customHeight="false" outlineLevel="0" collapsed="false">
      <c r="A62" s="0" t="str">
        <f aca="false">IF(Kalemler!A62="","",Kalemler!A62)</f>
        <v/>
      </c>
      <c r="B62" s="0" t="n">
        <f aca="false">IF(OR(Kalemler!$A62="",Kalemler!$C62="",Kalemler!$D62=""),0,Kalemler!$C62*IF(Kalemler!$E62="Haftalık",IF(Kalemler!$D62&lt;=(Tahmin!$C$4+6),1,0),IF(Kalemler!$E62="Aylık",IF(OR(AND(DATE(YEAR((Tahmin!$C$4+0)),MONTH((Tahmin!$C$4+0)),MIN(DAY(Kalemler!$D62),DAY(EOMONTH((Tahmin!$C$4+0),0))))&gt;=(Tahmin!$C$4+0),DATE(YEAR((Tahmin!$C$4+0)),MONTH((Tahmin!$C$4+0)),MIN(DAY(Kalemler!$D62),DAY(EOMONTH((Tahmin!$C$4+0),0))))&lt;=(Tahmin!$C$4+6),DATE(YEAR((Tahmin!$C$4+0)),MONTH((Tahmin!$C$4+0)),MIN(DAY(Kalemler!$D62),DAY(EOMONTH((Tahmin!$C$4+0),0))))&gt;=Kalemler!$D62),AND(DATE(YEAR((Tahmin!$C$4+6)),MONTH((Tahmin!$C$4+6)),MIN(DAY(Kalemler!$D62),DAY(EOMONTH((Tahmin!$C$4+6),0))))&gt;=(Tahmin!$C$4+0),DATE(YEAR((Tahmin!$C$4+6)),MONTH((Tahmin!$C$4+6)),MIN(DAY(Kalemler!$D62),DAY(EOMONTH((Tahmin!$C$4+6),0))))&lt;=(Tahmin!$C$4+6),DATE(YEAR((Tahmin!$C$4+6)),MONTH((Tahmin!$C$4+6)),MIN(DAY(Kalemler!$D62),DAY(EOMONTH((Tahmin!$C$4+6),0))))&lt;&gt;DATE(YEAR((Tahmin!$C$4+0)),MONTH((Tahmin!$C$4+0)),MIN(DAY(Kalemler!$D62),DAY(EOMONTH((Tahmin!$C$4+0),0)))),DATE(YEAR((Tahmin!$C$4+6)),MONTH((Tahmin!$C$4+6)),MIN(DAY(Kalemler!$D62),DAY(EOMONTH((Tahmin!$C$4+6),0))))&gt;=Kalemler!$D62)),1,0),IF(AND(Kalemler!$D62&gt;=(Tahmin!$C$4+0),Kalemler!$D62&lt;=(Tahmin!$C$4+6)),1,0))))</f>
        <v>0</v>
      </c>
      <c r="C62" s="0" t="n">
        <f aca="false">IF(OR(Kalemler!$A62="",Kalemler!$C62="",Kalemler!$D62=""),0,Kalemler!$C62*IF(Kalemler!$E62="Haftalık",IF(Kalemler!$D62&lt;=(Tahmin!$C$4+13),1,0),IF(Kalemler!$E62="Aylık",IF(OR(AND(DATE(YEAR((Tahmin!$C$4+7)),MONTH((Tahmin!$C$4+7)),MIN(DAY(Kalemler!$D62),DAY(EOMONTH((Tahmin!$C$4+7),0))))&gt;=(Tahmin!$C$4+7),DATE(YEAR((Tahmin!$C$4+7)),MONTH((Tahmin!$C$4+7)),MIN(DAY(Kalemler!$D62),DAY(EOMONTH((Tahmin!$C$4+7),0))))&lt;=(Tahmin!$C$4+13),DATE(YEAR((Tahmin!$C$4+7)),MONTH((Tahmin!$C$4+7)),MIN(DAY(Kalemler!$D62),DAY(EOMONTH((Tahmin!$C$4+7),0))))&gt;=Kalemler!$D62),AND(DATE(YEAR((Tahmin!$C$4+13)),MONTH((Tahmin!$C$4+13)),MIN(DAY(Kalemler!$D62),DAY(EOMONTH((Tahmin!$C$4+13),0))))&gt;=(Tahmin!$C$4+7),DATE(YEAR((Tahmin!$C$4+13)),MONTH((Tahmin!$C$4+13)),MIN(DAY(Kalemler!$D62),DAY(EOMONTH((Tahmin!$C$4+13),0))))&lt;=(Tahmin!$C$4+13),DATE(YEAR((Tahmin!$C$4+13)),MONTH((Tahmin!$C$4+13)),MIN(DAY(Kalemler!$D62),DAY(EOMONTH((Tahmin!$C$4+13),0))))&lt;&gt;DATE(YEAR((Tahmin!$C$4+7)),MONTH((Tahmin!$C$4+7)),MIN(DAY(Kalemler!$D62),DAY(EOMONTH((Tahmin!$C$4+7),0)))),DATE(YEAR((Tahmin!$C$4+13)),MONTH((Tahmin!$C$4+13)),MIN(DAY(Kalemler!$D62),DAY(EOMONTH((Tahmin!$C$4+13),0))))&gt;=Kalemler!$D62)),1,0),IF(AND(Kalemler!$D62&gt;=(Tahmin!$C$4+7),Kalemler!$D62&lt;=(Tahmin!$C$4+13)),1,0))))</f>
        <v>0</v>
      </c>
      <c r="D62" s="0" t="n">
        <f aca="false">IF(OR(Kalemler!$A62="",Kalemler!$C62="",Kalemler!$D62=""),0,Kalemler!$C62*IF(Kalemler!$E62="Haftalık",IF(Kalemler!$D62&lt;=(Tahmin!$C$4+20),1,0),IF(Kalemler!$E62="Aylık",IF(OR(AND(DATE(YEAR((Tahmin!$C$4+14)),MONTH((Tahmin!$C$4+14)),MIN(DAY(Kalemler!$D62),DAY(EOMONTH((Tahmin!$C$4+14),0))))&gt;=(Tahmin!$C$4+14),DATE(YEAR((Tahmin!$C$4+14)),MONTH((Tahmin!$C$4+14)),MIN(DAY(Kalemler!$D62),DAY(EOMONTH((Tahmin!$C$4+14),0))))&lt;=(Tahmin!$C$4+20),DATE(YEAR((Tahmin!$C$4+14)),MONTH((Tahmin!$C$4+14)),MIN(DAY(Kalemler!$D62),DAY(EOMONTH((Tahmin!$C$4+14),0))))&gt;=Kalemler!$D62),AND(DATE(YEAR((Tahmin!$C$4+20)),MONTH((Tahmin!$C$4+20)),MIN(DAY(Kalemler!$D62),DAY(EOMONTH((Tahmin!$C$4+20),0))))&gt;=(Tahmin!$C$4+14),DATE(YEAR((Tahmin!$C$4+20)),MONTH((Tahmin!$C$4+20)),MIN(DAY(Kalemler!$D62),DAY(EOMONTH((Tahmin!$C$4+20),0))))&lt;=(Tahmin!$C$4+20),DATE(YEAR((Tahmin!$C$4+20)),MONTH((Tahmin!$C$4+20)),MIN(DAY(Kalemler!$D62),DAY(EOMONTH((Tahmin!$C$4+20),0))))&lt;&gt;DATE(YEAR((Tahmin!$C$4+14)),MONTH((Tahmin!$C$4+14)),MIN(DAY(Kalemler!$D62),DAY(EOMONTH((Tahmin!$C$4+14),0)))),DATE(YEAR((Tahmin!$C$4+20)),MONTH((Tahmin!$C$4+20)),MIN(DAY(Kalemler!$D62),DAY(EOMONTH((Tahmin!$C$4+20),0))))&gt;=Kalemler!$D62)),1,0),IF(AND(Kalemler!$D62&gt;=(Tahmin!$C$4+14),Kalemler!$D62&lt;=(Tahmin!$C$4+20)),1,0))))</f>
        <v>0</v>
      </c>
      <c r="E62" s="0" t="n">
        <f aca="false">IF(OR(Kalemler!$A62="",Kalemler!$C62="",Kalemler!$D62=""),0,Kalemler!$C62*IF(Kalemler!$E62="Haftalık",IF(Kalemler!$D62&lt;=(Tahmin!$C$4+27),1,0),IF(Kalemler!$E62="Aylık",IF(OR(AND(DATE(YEAR((Tahmin!$C$4+21)),MONTH((Tahmin!$C$4+21)),MIN(DAY(Kalemler!$D62),DAY(EOMONTH((Tahmin!$C$4+21),0))))&gt;=(Tahmin!$C$4+21),DATE(YEAR((Tahmin!$C$4+21)),MONTH((Tahmin!$C$4+21)),MIN(DAY(Kalemler!$D62),DAY(EOMONTH((Tahmin!$C$4+21),0))))&lt;=(Tahmin!$C$4+27),DATE(YEAR((Tahmin!$C$4+21)),MONTH((Tahmin!$C$4+21)),MIN(DAY(Kalemler!$D62),DAY(EOMONTH((Tahmin!$C$4+21),0))))&gt;=Kalemler!$D62),AND(DATE(YEAR((Tahmin!$C$4+27)),MONTH((Tahmin!$C$4+27)),MIN(DAY(Kalemler!$D62),DAY(EOMONTH((Tahmin!$C$4+27),0))))&gt;=(Tahmin!$C$4+21),DATE(YEAR((Tahmin!$C$4+27)),MONTH((Tahmin!$C$4+27)),MIN(DAY(Kalemler!$D62),DAY(EOMONTH((Tahmin!$C$4+27),0))))&lt;=(Tahmin!$C$4+27),DATE(YEAR((Tahmin!$C$4+27)),MONTH((Tahmin!$C$4+27)),MIN(DAY(Kalemler!$D62),DAY(EOMONTH((Tahmin!$C$4+27),0))))&lt;&gt;DATE(YEAR((Tahmin!$C$4+21)),MONTH((Tahmin!$C$4+21)),MIN(DAY(Kalemler!$D62),DAY(EOMONTH((Tahmin!$C$4+21),0)))),DATE(YEAR((Tahmin!$C$4+27)),MONTH((Tahmin!$C$4+27)),MIN(DAY(Kalemler!$D62),DAY(EOMONTH((Tahmin!$C$4+27),0))))&gt;=Kalemler!$D62)),1,0),IF(AND(Kalemler!$D62&gt;=(Tahmin!$C$4+21),Kalemler!$D62&lt;=(Tahmin!$C$4+27)),1,0))))</f>
        <v>0</v>
      </c>
      <c r="F62" s="0" t="n">
        <f aca="false">IF(OR(Kalemler!$A62="",Kalemler!$C62="",Kalemler!$D62=""),0,Kalemler!$C62*IF(Kalemler!$E62="Haftalık",IF(Kalemler!$D62&lt;=(Tahmin!$C$4+34),1,0),IF(Kalemler!$E62="Aylık",IF(OR(AND(DATE(YEAR((Tahmin!$C$4+28)),MONTH((Tahmin!$C$4+28)),MIN(DAY(Kalemler!$D62),DAY(EOMONTH((Tahmin!$C$4+28),0))))&gt;=(Tahmin!$C$4+28),DATE(YEAR((Tahmin!$C$4+28)),MONTH((Tahmin!$C$4+28)),MIN(DAY(Kalemler!$D62),DAY(EOMONTH((Tahmin!$C$4+28),0))))&lt;=(Tahmin!$C$4+34),DATE(YEAR((Tahmin!$C$4+28)),MONTH((Tahmin!$C$4+28)),MIN(DAY(Kalemler!$D62),DAY(EOMONTH((Tahmin!$C$4+28),0))))&gt;=Kalemler!$D62),AND(DATE(YEAR((Tahmin!$C$4+34)),MONTH((Tahmin!$C$4+34)),MIN(DAY(Kalemler!$D62),DAY(EOMONTH((Tahmin!$C$4+34),0))))&gt;=(Tahmin!$C$4+28),DATE(YEAR((Tahmin!$C$4+34)),MONTH((Tahmin!$C$4+34)),MIN(DAY(Kalemler!$D62),DAY(EOMONTH((Tahmin!$C$4+34),0))))&lt;=(Tahmin!$C$4+34),DATE(YEAR((Tahmin!$C$4+34)),MONTH((Tahmin!$C$4+34)),MIN(DAY(Kalemler!$D62),DAY(EOMONTH((Tahmin!$C$4+34),0))))&lt;&gt;DATE(YEAR((Tahmin!$C$4+28)),MONTH((Tahmin!$C$4+28)),MIN(DAY(Kalemler!$D62),DAY(EOMONTH((Tahmin!$C$4+28),0)))),DATE(YEAR((Tahmin!$C$4+34)),MONTH((Tahmin!$C$4+34)),MIN(DAY(Kalemler!$D62),DAY(EOMONTH((Tahmin!$C$4+34),0))))&gt;=Kalemler!$D62)),1,0),IF(AND(Kalemler!$D62&gt;=(Tahmin!$C$4+28),Kalemler!$D62&lt;=(Tahmin!$C$4+34)),1,0))))</f>
        <v>0</v>
      </c>
      <c r="G62" s="0" t="n">
        <f aca="false">IF(OR(Kalemler!$A62="",Kalemler!$C62="",Kalemler!$D62=""),0,Kalemler!$C62*IF(Kalemler!$E62="Haftalık",IF(Kalemler!$D62&lt;=(Tahmin!$C$4+41),1,0),IF(Kalemler!$E62="Aylık",IF(OR(AND(DATE(YEAR((Tahmin!$C$4+35)),MONTH((Tahmin!$C$4+35)),MIN(DAY(Kalemler!$D62),DAY(EOMONTH((Tahmin!$C$4+35),0))))&gt;=(Tahmin!$C$4+35),DATE(YEAR((Tahmin!$C$4+35)),MONTH((Tahmin!$C$4+35)),MIN(DAY(Kalemler!$D62),DAY(EOMONTH((Tahmin!$C$4+35),0))))&lt;=(Tahmin!$C$4+41),DATE(YEAR((Tahmin!$C$4+35)),MONTH((Tahmin!$C$4+35)),MIN(DAY(Kalemler!$D62),DAY(EOMONTH((Tahmin!$C$4+35),0))))&gt;=Kalemler!$D62),AND(DATE(YEAR((Tahmin!$C$4+41)),MONTH((Tahmin!$C$4+41)),MIN(DAY(Kalemler!$D62),DAY(EOMONTH((Tahmin!$C$4+41),0))))&gt;=(Tahmin!$C$4+35),DATE(YEAR((Tahmin!$C$4+41)),MONTH((Tahmin!$C$4+41)),MIN(DAY(Kalemler!$D62),DAY(EOMONTH((Tahmin!$C$4+41),0))))&lt;=(Tahmin!$C$4+41),DATE(YEAR((Tahmin!$C$4+41)),MONTH((Tahmin!$C$4+41)),MIN(DAY(Kalemler!$D62),DAY(EOMONTH((Tahmin!$C$4+41),0))))&lt;&gt;DATE(YEAR((Tahmin!$C$4+35)),MONTH((Tahmin!$C$4+35)),MIN(DAY(Kalemler!$D62),DAY(EOMONTH((Tahmin!$C$4+35),0)))),DATE(YEAR((Tahmin!$C$4+41)),MONTH((Tahmin!$C$4+41)),MIN(DAY(Kalemler!$D62),DAY(EOMONTH((Tahmin!$C$4+41),0))))&gt;=Kalemler!$D62)),1,0),IF(AND(Kalemler!$D62&gt;=(Tahmin!$C$4+35),Kalemler!$D62&lt;=(Tahmin!$C$4+41)),1,0))))</f>
        <v>0</v>
      </c>
      <c r="H62" s="0" t="n">
        <f aca="false">IF(OR(Kalemler!$A62="",Kalemler!$C62="",Kalemler!$D62=""),0,Kalemler!$C62*IF(Kalemler!$E62="Haftalık",IF(Kalemler!$D62&lt;=(Tahmin!$C$4+48),1,0),IF(Kalemler!$E62="Aylık",IF(OR(AND(DATE(YEAR((Tahmin!$C$4+42)),MONTH((Tahmin!$C$4+42)),MIN(DAY(Kalemler!$D62),DAY(EOMONTH((Tahmin!$C$4+42),0))))&gt;=(Tahmin!$C$4+42),DATE(YEAR((Tahmin!$C$4+42)),MONTH((Tahmin!$C$4+42)),MIN(DAY(Kalemler!$D62),DAY(EOMONTH((Tahmin!$C$4+42),0))))&lt;=(Tahmin!$C$4+48),DATE(YEAR((Tahmin!$C$4+42)),MONTH((Tahmin!$C$4+42)),MIN(DAY(Kalemler!$D62),DAY(EOMONTH((Tahmin!$C$4+42),0))))&gt;=Kalemler!$D62),AND(DATE(YEAR((Tahmin!$C$4+48)),MONTH((Tahmin!$C$4+48)),MIN(DAY(Kalemler!$D62),DAY(EOMONTH((Tahmin!$C$4+48),0))))&gt;=(Tahmin!$C$4+42),DATE(YEAR((Tahmin!$C$4+48)),MONTH((Tahmin!$C$4+48)),MIN(DAY(Kalemler!$D62),DAY(EOMONTH((Tahmin!$C$4+48),0))))&lt;=(Tahmin!$C$4+48),DATE(YEAR((Tahmin!$C$4+48)),MONTH((Tahmin!$C$4+48)),MIN(DAY(Kalemler!$D62),DAY(EOMONTH((Tahmin!$C$4+48),0))))&lt;&gt;DATE(YEAR((Tahmin!$C$4+42)),MONTH((Tahmin!$C$4+42)),MIN(DAY(Kalemler!$D62),DAY(EOMONTH((Tahmin!$C$4+42),0)))),DATE(YEAR((Tahmin!$C$4+48)),MONTH((Tahmin!$C$4+48)),MIN(DAY(Kalemler!$D62),DAY(EOMONTH((Tahmin!$C$4+48),0))))&gt;=Kalemler!$D62)),1,0),IF(AND(Kalemler!$D62&gt;=(Tahmin!$C$4+42),Kalemler!$D62&lt;=(Tahmin!$C$4+48)),1,0))))</f>
        <v>0</v>
      </c>
      <c r="I62" s="0" t="n">
        <f aca="false">IF(OR(Kalemler!$A62="",Kalemler!$C62="",Kalemler!$D62=""),0,Kalemler!$C62*IF(Kalemler!$E62="Haftalık",IF(Kalemler!$D62&lt;=(Tahmin!$C$4+55),1,0),IF(Kalemler!$E62="Aylık",IF(OR(AND(DATE(YEAR((Tahmin!$C$4+49)),MONTH((Tahmin!$C$4+49)),MIN(DAY(Kalemler!$D62),DAY(EOMONTH((Tahmin!$C$4+49),0))))&gt;=(Tahmin!$C$4+49),DATE(YEAR((Tahmin!$C$4+49)),MONTH((Tahmin!$C$4+49)),MIN(DAY(Kalemler!$D62),DAY(EOMONTH((Tahmin!$C$4+49),0))))&lt;=(Tahmin!$C$4+55),DATE(YEAR((Tahmin!$C$4+49)),MONTH((Tahmin!$C$4+49)),MIN(DAY(Kalemler!$D62),DAY(EOMONTH((Tahmin!$C$4+49),0))))&gt;=Kalemler!$D62),AND(DATE(YEAR((Tahmin!$C$4+55)),MONTH((Tahmin!$C$4+55)),MIN(DAY(Kalemler!$D62),DAY(EOMONTH((Tahmin!$C$4+55),0))))&gt;=(Tahmin!$C$4+49),DATE(YEAR((Tahmin!$C$4+55)),MONTH((Tahmin!$C$4+55)),MIN(DAY(Kalemler!$D62),DAY(EOMONTH((Tahmin!$C$4+55),0))))&lt;=(Tahmin!$C$4+55),DATE(YEAR((Tahmin!$C$4+55)),MONTH((Tahmin!$C$4+55)),MIN(DAY(Kalemler!$D62),DAY(EOMONTH((Tahmin!$C$4+55),0))))&lt;&gt;DATE(YEAR((Tahmin!$C$4+49)),MONTH((Tahmin!$C$4+49)),MIN(DAY(Kalemler!$D62),DAY(EOMONTH((Tahmin!$C$4+49),0)))),DATE(YEAR((Tahmin!$C$4+55)),MONTH((Tahmin!$C$4+55)),MIN(DAY(Kalemler!$D62),DAY(EOMONTH((Tahmin!$C$4+55),0))))&gt;=Kalemler!$D62)),1,0),IF(AND(Kalemler!$D62&gt;=(Tahmin!$C$4+49),Kalemler!$D62&lt;=(Tahmin!$C$4+55)),1,0))))</f>
        <v>0</v>
      </c>
      <c r="J62" s="0" t="n">
        <f aca="false">IF(OR(Kalemler!$A62="",Kalemler!$C62="",Kalemler!$D62=""),0,Kalemler!$C62*IF(Kalemler!$E62="Haftalık",IF(Kalemler!$D62&lt;=(Tahmin!$C$4+62),1,0),IF(Kalemler!$E62="Aylık",IF(OR(AND(DATE(YEAR((Tahmin!$C$4+56)),MONTH((Tahmin!$C$4+56)),MIN(DAY(Kalemler!$D62),DAY(EOMONTH((Tahmin!$C$4+56),0))))&gt;=(Tahmin!$C$4+56),DATE(YEAR((Tahmin!$C$4+56)),MONTH((Tahmin!$C$4+56)),MIN(DAY(Kalemler!$D62),DAY(EOMONTH((Tahmin!$C$4+56),0))))&lt;=(Tahmin!$C$4+62),DATE(YEAR((Tahmin!$C$4+56)),MONTH((Tahmin!$C$4+56)),MIN(DAY(Kalemler!$D62),DAY(EOMONTH((Tahmin!$C$4+56),0))))&gt;=Kalemler!$D62),AND(DATE(YEAR((Tahmin!$C$4+62)),MONTH((Tahmin!$C$4+62)),MIN(DAY(Kalemler!$D62),DAY(EOMONTH((Tahmin!$C$4+62),0))))&gt;=(Tahmin!$C$4+56),DATE(YEAR((Tahmin!$C$4+62)),MONTH((Tahmin!$C$4+62)),MIN(DAY(Kalemler!$D62),DAY(EOMONTH((Tahmin!$C$4+62),0))))&lt;=(Tahmin!$C$4+62),DATE(YEAR((Tahmin!$C$4+62)),MONTH((Tahmin!$C$4+62)),MIN(DAY(Kalemler!$D62),DAY(EOMONTH((Tahmin!$C$4+62),0))))&lt;&gt;DATE(YEAR((Tahmin!$C$4+56)),MONTH((Tahmin!$C$4+56)),MIN(DAY(Kalemler!$D62),DAY(EOMONTH((Tahmin!$C$4+56),0)))),DATE(YEAR((Tahmin!$C$4+62)),MONTH((Tahmin!$C$4+62)),MIN(DAY(Kalemler!$D62),DAY(EOMONTH((Tahmin!$C$4+62),0))))&gt;=Kalemler!$D62)),1,0),IF(AND(Kalemler!$D62&gt;=(Tahmin!$C$4+56),Kalemler!$D62&lt;=(Tahmin!$C$4+62)),1,0))))</f>
        <v>0</v>
      </c>
      <c r="K62" s="0" t="n">
        <f aca="false">IF(OR(Kalemler!$A62="",Kalemler!$C62="",Kalemler!$D62=""),0,Kalemler!$C62*IF(Kalemler!$E62="Haftalık",IF(Kalemler!$D62&lt;=(Tahmin!$C$4+69),1,0),IF(Kalemler!$E62="Aylık",IF(OR(AND(DATE(YEAR((Tahmin!$C$4+63)),MONTH((Tahmin!$C$4+63)),MIN(DAY(Kalemler!$D62),DAY(EOMONTH((Tahmin!$C$4+63),0))))&gt;=(Tahmin!$C$4+63),DATE(YEAR((Tahmin!$C$4+63)),MONTH((Tahmin!$C$4+63)),MIN(DAY(Kalemler!$D62),DAY(EOMONTH((Tahmin!$C$4+63),0))))&lt;=(Tahmin!$C$4+69),DATE(YEAR((Tahmin!$C$4+63)),MONTH((Tahmin!$C$4+63)),MIN(DAY(Kalemler!$D62),DAY(EOMONTH((Tahmin!$C$4+63),0))))&gt;=Kalemler!$D62),AND(DATE(YEAR((Tahmin!$C$4+69)),MONTH((Tahmin!$C$4+69)),MIN(DAY(Kalemler!$D62),DAY(EOMONTH((Tahmin!$C$4+69),0))))&gt;=(Tahmin!$C$4+63),DATE(YEAR((Tahmin!$C$4+69)),MONTH((Tahmin!$C$4+69)),MIN(DAY(Kalemler!$D62),DAY(EOMONTH((Tahmin!$C$4+69),0))))&lt;=(Tahmin!$C$4+69),DATE(YEAR((Tahmin!$C$4+69)),MONTH((Tahmin!$C$4+69)),MIN(DAY(Kalemler!$D62),DAY(EOMONTH((Tahmin!$C$4+69),0))))&lt;&gt;DATE(YEAR((Tahmin!$C$4+63)),MONTH((Tahmin!$C$4+63)),MIN(DAY(Kalemler!$D62),DAY(EOMONTH((Tahmin!$C$4+63),0)))),DATE(YEAR((Tahmin!$C$4+69)),MONTH((Tahmin!$C$4+69)),MIN(DAY(Kalemler!$D62),DAY(EOMONTH((Tahmin!$C$4+69),0))))&gt;=Kalemler!$D62)),1,0),IF(AND(Kalemler!$D62&gt;=(Tahmin!$C$4+63),Kalemler!$D62&lt;=(Tahmin!$C$4+69)),1,0))))</f>
        <v>0</v>
      </c>
      <c r="L62" s="0" t="n">
        <f aca="false">IF(OR(Kalemler!$A62="",Kalemler!$C62="",Kalemler!$D62=""),0,Kalemler!$C62*IF(Kalemler!$E62="Haftalık",IF(Kalemler!$D62&lt;=(Tahmin!$C$4+76),1,0),IF(Kalemler!$E62="Aylık",IF(OR(AND(DATE(YEAR((Tahmin!$C$4+70)),MONTH((Tahmin!$C$4+70)),MIN(DAY(Kalemler!$D62),DAY(EOMONTH((Tahmin!$C$4+70),0))))&gt;=(Tahmin!$C$4+70),DATE(YEAR((Tahmin!$C$4+70)),MONTH((Tahmin!$C$4+70)),MIN(DAY(Kalemler!$D62),DAY(EOMONTH((Tahmin!$C$4+70),0))))&lt;=(Tahmin!$C$4+76),DATE(YEAR((Tahmin!$C$4+70)),MONTH((Tahmin!$C$4+70)),MIN(DAY(Kalemler!$D62),DAY(EOMONTH((Tahmin!$C$4+70),0))))&gt;=Kalemler!$D62),AND(DATE(YEAR((Tahmin!$C$4+76)),MONTH((Tahmin!$C$4+76)),MIN(DAY(Kalemler!$D62),DAY(EOMONTH((Tahmin!$C$4+76),0))))&gt;=(Tahmin!$C$4+70),DATE(YEAR((Tahmin!$C$4+76)),MONTH((Tahmin!$C$4+76)),MIN(DAY(Kalemler!$D62),DAY(EOMONTH((Tahmin!$C$4+76),0))))&lt;=(Tahmin!$C$4+76),DATE(YEAR((Tahmin!$C$4+76)),MONTH((Tahmin!$C$4+76)),MIN(DAY(Kalemler!$D62),DAY(EOMONTH((Tahmin!$C$4+76),0))))&lt;&gt;DATE(YEAR((Tahmin!$C$4+70)),MONTH((Tahmin!$C$4+70)),MIN(DAY(Kalemler!$D62),DAY(EOMONTH((Tahmin!$C$4+70),0)))),DATE(YEAR((Tahmin!$C$4+76)),MONTH((Tahmin!$C$4+76)),MIN(DAY(Kalemler!$D62),DAY(EOMONTH((Tahmin!$C$4+76),0))))&gt;=Kalemler!$D62)),1,0),IF(AND(Kalemler!$D62&gt;=(Tahmin!$C$4+70),Kalemler!$D62&lt;=(Tahmin!$C$4+76)),1,0))))</f>
        <v>0</v>
      </c>
      <c r="M62" s="0" t="n">
        <f aca="false">IF(OR(Kalemler!$A62="",Kalemler!$C62="",Kalemler!$D62=""),0,Kalemler!$C62*IF(Kalemler!$E62="Haftalık",IF(Kalemler!$D62&lt;=(Tahmin!$C$4+83),1,0),IF(Kalemler!$E62="Aylık",IF(OR(AND(DATE(YEAR((Tahmin!$C$4+77)),MONTH((Tahmin!$C$4+77)),MIN(DAY(Kalemler!$D62),DAY(EOMONTH((Tahmin!$C$4+77),0))))&gt;=(Tahmin!$C$4+77),DATE(YEAR((Tahmin!$C$4+77)),MONTH((Tahmin!$C$4+77)),MIN(DAY(Kalemler!$D62),DAY(EOMONTH((Tahmin!$C$4+77),0))))&lt;=(Tahmin!$C$4+83),DATE(YEAR((Tahmin!$C$4+77)),MONTH((Tahmin!$C$4+77)),MIN(DAY(Kalemler!$D62),DAY(EOMONTH((Tahmin!$C$4+77),0))))&gt;=Kalemler!$D62),AND(DATE(YEAR((Tahmin!$C$4+83)),MONTH((Tahmin!$C$4+83)),MIN(DAY(Kalemler!$D62),DAY(EOMONTH((Tahmin!$C$4+83),0))))&gt;=(Tahmin!$C$4+77),DATE(YEAR((Tahmin!$C$4+83)),MONTH((Tahmin!$C$4+83)),MIN(DAY(Kalemler!$D62),DAY(EOMONTH((Tahmin!$C$4+83),0))))&lt;=(Tahmin!$C$4+83),DATE(YEAR((Tahmin!$C$4+83)),MONTH((Tahmin!$C$4+83)),MIN(DAY(Kalemler!$D62),DAY(EOMONTH((Tahmin!$C$4+83),0))))&lt;&gt;DATE(YEAR((Tahmin!$C$4+77)),MONTH((Tahmin!$C$4+77)),MIN(DAY(Kalemler!$D62),DAY(EOMONTH((Tahmin!$C$4+77),0)))),DATE(YEAR((Tahmin!$C$4+83)),MONTH((Tahmin!$C$4+83)),MIN(DAY(Kalemler!$D62),DAY(EOMONTH((Tahmin!$C$4+83),0))))&gt;=Kalemler!$D62)),1,0),IF(AND(Kalemler!$D62&gt;=(Tahmin!$C$4+77),Kalemler!$D62&lt;=(Tahmin!$C$4+83)),1,0))))</f>
        <v>0</v>
      </c>
      <c r="N62" s="0" t="n">
        <f aca="false">IF(OR(Kalemler!$A62="",Kalemler!$C62="",Kalemler!$D62=""),0,Kalemler!$C62*IF(Kalemler!$E62="Haftalık",IF(Kalemler!$D62&lt;=(Tahmin!$C$4+90),1,0),IF(Kalemler!$E62="Aylık",IF(OR(AND(DATE(YEAR((Tahmin!$C$4+84)),MONTH((Tahmin!$C$4+84)),MIN(DAY(Kalemler!$D62),DAY(EOMONTH((Tahmin!$C$4+84),0))))&gt;=(Tahmin!$C$4+84),DATE(YEAR((Tahmin!$C$4+84)),MONTH((Tahmin!$C$4+84)),MIN(DAY(Kalemler!$D62),DAY(EOMONTH((Tahmin!$C$4+84),0))))&lt;=(Tahmin!$C$4+90),DATE(YEAR((Tahmin!$C$4+84)),MONTH((Tahmin!$C$4+84)),MIN(DAY(Kalemler!$D62),DAY(EOMONTH((Tahmin!$C$4+84),0))))&gt;=Kalemler!$D62),AND(DATE(YEAR((Tahmin!$C$4+90)),MONTH((Tahmin!$C$4+90)),MIN(DAY(Kalemler!$D62),DAY(EOMONTH((Tahmin!$C$4+90),0))))&gt;=(Tahmin!$C$4+84),DATE(YEAR((Tahmin!$C$4+90)),MONTH((Tahmin!$C$4+90)),MIN(DAY(Kalemler!$D62),DAY(EOMONTH((Tahmin!$C$4+90),0))))&lt;=(Tahmin!$C$4+90),DATE(YEAR((Tahmin!$C$4+90)),MONTH((Tahmin!$C$4+90)),MIN(DAY(Kalemler!$D62),DAY(EOMONTH((Tahmin!$C$4+90),0))))&lt;&gt;DATE(YEAR((Tahmin!$C$4+84)),MONTH((Tahmin!$C$4+84)),MIN(DAY(Kalemler!$D62),DAY(EOMONTH((Tahmin!$C$4+84),0)))),DATE(YEAR((Tahmin!$C$4+90)),MONTH((Tahmin!$C$4+90)),MIN(DAY(Kalemler!$D62),DAY(EOMONTH((Tahmin!$C$4+90),0))))&gt;=Kalemler!$D62)),1,0),IF(AND(Kalemler!$D62&gt;=(Tahmin!$C$4+84),Kalemler!$D62&lt;=(Tahmin!$C$4+90)),1,0))))</f>
        <v>0</v>
      </c>
    </row>
    <row r="63" customFormat="false" ht="15" hidden="false" customHeight="false" outlineLevel="0" collapsed="false">
      <c r="A63" s="0" t="str">
        <f aca="false">IF(Kalemler!A63="","",Kalemler!A63)</f>
        <v/>
      </c>
      <c r="B63" s="0" t="n">
        <f aca="false">IF(OR(Kalemler!$A63="",Kalemler!$C63="",Kalemler!$D63=""),0,Kalemler!$C63*IF(Kalemler!$E63="Haftalık",IF(Kalemler!$D63&lt;=(Tahmin!$C$4+6),1,0),IF(Kalemler!$E63="Aylık",IF(OR(AND(DATE(YEAR((Tahmin!$C$4+0)),MONTH((Tahmin!$C$4+0)),MIN(DAY(Kalemler!$D63),DAY(EOMONTH((Tahmin!$C$4+0),0))))&gt;=(Tahmin!$C$4+0),DATE(YEAR((Tahmin!$C$4+0)),MONTH((Tahmin!$C$4+0)),MIN(DAY(Kalemler!$D63),DAY(EOMONTH((Tahmin!$C$4+0),0))))&lt;=(Tahmin!$C$4+6),DATE(YEAR((Tahmin!$C$4+0)),MONTH((Tahmin!$C$4+0)),MIN(DAY(Kalemler!$D63),DAY(EOMONTH((Tahmin!$C$4+0),0))))&gt;=Kalemler!$D63),AND(DATE(YEAR((Tahmin!$C$4+6)),MONTH((Tahmin!$C$4+6)),MIN(DAY(Kalemler!$D63),DAY(EOMONTH((Tahmin!$C$4+6),0))))&gt;=(Tahmin!$C$4+0),DATE(YEAR((Tahmin!$C$4+6)),MONTH((Tahmin!$C$4+6)),MIN(DAY(Kalemler!$D63),DAY(EOMONTH((Tahmin!$C$4+6),0))))&lt;=(Tahmin!$C$4+6),DATE(YEAR((Tahmin!$C$4+6)),MONTH((Tahmin!$C$4+6)),MIN(DAY(Kalemler!$D63),DAY(EOMONTH((Tahmin!$C$4+6),0))))&lt;&gt;DATE(YEAR((Tahmin!$C$4+0)),MONTH((Tahmin!$C$4+0)),MIN(DAY(Kalemler!$D63),DAY(EOMONTH((Tahmin!$C$4+0),0)))),DATE(YEAR((Tahmin!$C$4+6)),MONTH((Tahmin!$C$4+6)),MIN(DAY(Kalemler!$D63),DAY(EOMONTH((Tahmin!$C$4+6),0))))&gt;=Kalemler!$D63)),1,0),IF(AND(Kalemler!$D63&gt;=(Tahmin!$C$4+0),Kalemler!$D63&lt;=(Tahmin!$C$4+6)),1,0))))</f>
        <v>0</v>
      </c>
      <c r="C63" s="0" t="n">
        <f aca="false">IF(OR(Kalemler!$A63="",Kalemler!$C63="",Kalemler!$D63=""),0,Kalemler!$C63*IF(Kalemler!$E63="Haftalık",IF(Kalemler!$D63&lt;=(Tahmin!$C$4+13),1,0),IF(Kalemler!$E63="Aylık",IF(OR(AND(DATE(YEAR((Tahmin!$C$4+7)),MONTH((Tahmin!$C$4+7)),MIN(DAY(Kalemler!$D63),DAY(EOMONTH((Tahmin!$C$4+7),0))))&gt;=(Tahmin!$C$4+7),DATE(YEAR((Tahmin!$C$4+7)),MONTH((Tahmin!$C$4+7)),MIN(DAY(Kalemler!$D63),DAY(EOMONTH((Tahmin!$C$4+7),0))))&lt;=(Tahmin!$C$4+13),DATE(YEAR((Tahmin!$C$4+7)),MONTH((Tahmin!$C$4+7)),MIN(DAY(Kalemler!$D63),DAY(EOMONTH((Tahmin!$C$4+7),0))))&gt;=Kalemler!$D63),AND(DATE(YEAR((Tahmin!$C$4+13)),MONTH((Tahmin!$C$4+13)),MIN(DAY(Kalemler!$D63),DAY(EOMONTH((Tahmin!$C$4+13),0))))&gt;=(Tahmin!$C$4+7),DATE(YEAR((Tahmin!$C$4+13)),MONTH((Tahmin!$C$4+13)),MIN(DAY(Kalemler!$D63),DAY(EOMONTH((Tahmin!$C$4+13),0))))&lt;=(Tahmin!$C$4+13),DATE(YEAR((Tahmin!$C$4+13)),MONTH((Tahmin!$C$4+13)),MIN(DAY(Kalemler!$D63),DAY(EOMONTH((Tahmin!$C$4+13),0))))&lt;&gt;DATE(YEAR((Tahmin!$C$4+7)),MONTH((Tahmin!$C$4+7)),MIN(DAY(Kalemler!$D63),DAY(EOMONTH((Tahmin!$C$4+7),0)))),DATE(YEAR((Tahmin!$C$4+13)),MONTH((Tahmin!$C$4+13)),MIN(DAY(Kalemler!$D63),DAY(EOMONTH((Tahmin!$C$4+13),0))))&gt;=Kalemler!$D63)),1,0),IF(AND(Kalemler!$D63&gt;=(Tahmin!$C$4+7),Kalemler!$D63&lt;=(Tahmin!$C$4+13)),1,0))))</f>
        <v>0</v>
      </c>
      <c r="D63" s="0" t="n">
        <f aca="false">IF(OR(Kalemler!$A63="",Kalemler!$C63="",Kalemler!$D63=""),0,Kalemler!$C63*IF(Kalemler!$E63="Haftalık",IF(Kalemler!$D63&lt;=(Tahmin!$C$4+20),1,0),IF(Kalemler!$E63="Aylık",IF(OR(AND(DATE(YEAR((Tahmin!$C$4+14)),MONTH((Tahmin!$C$4+14)),MIN(DAY(Kalemler!$D63),DAY(EOMONTH((Tahmin!$C$4+14),0))))&gt;=(Tahmin!$C$4+14),DATE(YEAR((Tahmin!$C$4+14)),MONTH((Tahmin!$C$4+14)),MIN(DAY(Kalemler!$D63),DAY(EOMONTH((Tahmin!$C$4+14),0))))&lt;=(Tahmin!$C$4+20),DATE(YEAR((Tahmin!$C$4+14)),MONTH((Tahmin!$C$4+14)),MIN(DAY(Kalemler!$D63),DAY(EOMONTH((Tahmin!$C$4+14),0))))&gt;=Kalemler!$D63),AND(DATE(YEAR((Tahmin!$C$4+20)),MONTH((Tahmin!$C$4+20)),MIN(DAY(Kalemler!$D63),DAY(EOMONTH((Tahmin!$C$4+20),0))))&gt;=(Tahmin!$C$4+14),DATE(YEAR((Tahmin!$C$4+20)),MONTH((Tahmin!$C$4+20)),MIN(DAY(Kalemler!$D63),DAY(EOMONTH((Tahmin!$C$4+20),0))))&lt;=(Tahmin!$C$4+20),DATE(YEAR((Tahmin!$C$4+20)),MONTH((Tahmin!$C$4+20)),MIN(DAY(Kalemler!$D63),DAY(EOMONTH((Tahmin!$C$4+20),0))))&lt;&gt;DATE(YEAR((Tahmin!$C$4+14)),MONTH((Tahmin!$C$4+14)),MIN(DAY(Kalemler!$D63),DAY(EOMONTH((Tahmin!$C$4+14),0)))),DATE(YEAR((Tahmin!$C$4+20)),MONTH((Tahmin!$C$4+20)),MIN(DAY(Kalemler!$D63),DAY(EOMONTH((Tahmin!$C$4+20),0))))&gt;=Kalemler!$D63)),1,0),IF(AND(Kalemler!$D63&gt;=(Tahmin!$C$4+14),Kalemler!$D63&lt;=(Tahmin!$C$4+20)),1,0))))</f>
        <v>0</v>
      </c>
      <c r="E63" s="0" t="n">
        <f aca="false">IF(OR(Kalemler!$A63="",Kalemler!$C63="",Kalemler!$D63=""),0,Kalemler!$C63*IF(Kalemler!$E63="Haftalık",IF(Kalemler!$D63&lt;=(Tahmin!$C$4+27),1,0),IF(Kalemler!$E63="Aylık",IF(OR(AND(DATE(YEAR((Tahmin!$C$4+21)),MONTH((Tahmin!$C$4+21)),MIN(DAY(Kalemler!$D63),DAY(EOMONTH((Tahmin!$C$4+21),0))))&gt;=(Tahmin!$C$4+21),DATE(YEAR((Tahmin!$C$4+21)),MONTH((Tahmin!$C$4+21)),MIN(DAY(Kalemler!$D63),DAY(EOMONTH((Tahmin!$C$4+21),0))))&lt;=(Tahmin!$C$4+27),DATE(YEAR((Tahmin!$C$4+21)),MONTH((Tahmin!$C$4+21)),MIN(DAY(Kalemler!$D63),DAY(EOMONTH((Tahmin!$C$4+21),0))))&gt;=Kalemler!$D63),AND(DATE(YEAR((Tahmin!$C$4+27)),MONTH((Tahmin!$C$4+27)),MIN(DAY(Kalemler!$D63),DAY(EOMONTH((Tahmin!$C$4+27),0))))&gt;=(Tahmin!$C$4+21),DATE(YEAR((Tahmin!$C$4+27)),MONTH((Tahmin!$C$4+27)),MIN(DAY(Kalemler!$D63),DAY(EOMONTH((Tahmin!$C$4+27),0))))&lt;=(Tahmin!$C$4+27),DATE(YEAR((Tahmin!$C$4+27)),MONTH((Tahmin!$C$4+27)),MIN(DAY(Kalemler!$D63),DAY(EOMONTH((Tahmin!$C$4+27),0))))&lt;&gt;DATE(YEAR((Tahmin!$C$4+21)),MONTH((Tahmin!$C$4+21)),MIN(DAY(Kalemler!$D63),DAY(EOMONTH((Tahmin!$C$4+21),0)))),DATE(YEAR((Tahmin!$C$4+27)),MONTH((Tahmin!$C$4+27)),MIN(DAY(Kalemler!$D63),DAY(EOMONTH((Tahmin!$C$4+27),0))))&gt;=Kalemler!$D63)),1,0),IF(AND(Kalemler!$D63&gt;=(Tahmin!$C$4+21),Kalemler!$D63&lt;=(Tahmin!$C$4+27)),1,0))))</f>
        <v>0</v>
      </c>
      <c r="F63" s="0" t="n">
        <f aca="false">IF(OR(Kalemler!$A63="",Kalemler!$C63="",Kalemler!$D63=""),0,Kalemler!$C63*IF(Kalemler!$E63="Haftalık",IF(Kalemler!$D63&lt;=(Tahmin!$C$4+34),1,0),IF(Kalemler!$E63="Aylık",IF(OR(AND(DATE(YEAR((Tahmin!$C$4+28)),MONTH((Tahmin!$C$4+28)),MIN(DAY(Kalemler!$D63),DAY(EOMONTH((Tahmin!$C$4+28),0))))&gt;=(Tahmin!$C$4+28),DATE(YEAR((Tahmin!$C$4+28)),MONTH((Tahmin!$C$4+28)),MIN(DAY(Kalemler!$D63),DAY(EOMONTH((Tahmin!$C$4+28),0))))&lt;=(Tahmin!$C$4+34),DATE(YEAR((Tahmin!$C$4+28)),MONTH((Tahmin!$C$4+28)),MIN(DAY(Kalemler!$D63),DAY(EOMONTH((Tahmin!$C$4+28),0))))&gt;=Kalemler!$D63),AND(DATE(YEAR((Tahmin!$C$4+34)),MONTH((Tahmin!$C$4+34)),MIN(DAY(Kalemler!$D63),DAY(EOMONTH((Tahmin!$C$4+34),0))))&gt;=(Tahmin!$C$4+28),DATE(YEAR((Tahmin!$C$4+34)),MONTH((Tahmin!$C$4+34)),MIN(DAY(Kalemler!$D63),DAY(EOMONTH((Tahmin!$C$4+34),0))))&lt;=(Tahmin!$C$4+34),DATE(YEAR((Tahmin!$C$4+34)),MONTH((Tahmin!$C$4+34)),MIN(DAY(Kalemler!$D63),DAY(EOMONTH((Tahmin!$C$4+34),0))))&lt;&gt;DATE(YEAR((Tahmin!$C$4+28)),MONTH((Tahmin!$C$4+28)),MIN(DAY(Kalemler!$D63),DAY(EOMONTH((Tahmin!$C$4+28),0)))),DATE(YEAR((Tahmin!$C$4+34)),MONTH((Tahmin!$C$4+34)),MIN(DAY(Kalemler!$D63),DAY(EOMONTH((Tahmin!$C$4+34),0))))&gt;=Kalemler!$D63)),1,0),IF(AND(Kalemler!$D63&gt;=(Tahmin!$C$4+28),Kalemler!$D63&lt;=(Tahmin!$C$4+34)),1,0))))</f>
        <v>0</v>
      </c>
      <c r="G63" s="0" t="n">
        <f aca="false">IF(OR(Kalemler!$A63="",Kalemler!$C63="",Kalemler!$D63=""),0,Kalemler!$C63*IF(Kalemler!$E63="Haftalık",IF(Kalemler!$D63&lt;=(Tahmin!$C$4+41),1,0),IF(Kalemler!$E63="Aylık",IF(OR(AND(DATE(YEAR((Tahmin!$C$4+35)),MONTH((Tahmin!$C$4+35)),MIN(DAY(Kalemler!$D63),DAY(EOMONTH((Tahmin!$C$4+35),0))))&gt;=(Tahmin!$C$4+35),DATE(YEAR((Tahmin!$C$4+35)),MONTH((Tahmin!$C$4+35)),MIN(DAY(Kalemler!$D63),DAY(EOMONTH((Tahmin!$C$4+35),0))))&lt;=(Tahmin!$C$4+41),DATE(YEAR((Tahmin!$C$4+35)),MONTH((Tahmin!$C$4+35)),MIN(DAY(Kalemler!$D63),DAY(EOMONTH((Tahmin!$C$4+35),0))))&gt;=Kalemler!$D63),AND(DATE(YEAR((Tahmin!$C$4+41)),MONTH((Tahmin!$C$4+41)),MIN(DAY(Kalemler!$D63),DAY(EOMONTH((Tahmin!$C$4+41),0))))&gt;=(Tahmin!$C$4+35),DATE(YEAR((Tahmin!$C$4+41)),MONTH((Tahmin!$C$4+41)),MIN(DAY(Kalemler!$D63),DAY(EOMONTH((Tahmin!$C$4+41),0))))&lt;=(Tahmin!$C$4+41),DATE(YEAR((Tahmin!$C$4+41)),MONTH((Tahmin!$C$4+41)),MIN(DAY(Kalemler!$D63),DAY(EOMONTH((Tahmin!$C$4+41),0))))&lt;&gt;DATE(YEAR((Tahmin!$C$4+35)),MONTH((Tahmin!$C$4+35)),MIN(DAY(Kalemler!$D63),DAY(EOMONTH((Tahmin!$C$4+35),0)))),DATE(YEAR((Tahmin!$C$4+41)),MONTH((Tahmin!$C$4+41)),MIN(DAY(Kalemler!$D63),DAY(EOMONTH((Tahmin!$C$4+41),0))))&gt;=Kalemler!$D63)),1,0),IF(AND(Kalemler!$D63&gt;=(Tahmin!$C$4+35),Kalemler!$D63&lt;=(Tahmin!$C$4+41)),1,0))))</f>
        <v>0</v>
      </c>
      <c r="H63" s="0" t="n">
        <f aca="false">IF(OR(Kalemler!$A63="",Kalemler!$C63="",Kalemler!$D63=""),0,Kalemler!$C63*IF(Kalemler!$E63="Haftalık",IF(Kalemler!$D63&lt;=(Tahmin!$C$4+48),1,0),IF(Kalemler!$E63="Aylık",IF(OR(AND(DATE(YEAR((Tahmin!$C$4+42)),MONTH((Tahmin!$C$4+42)),MIN(DAY(Kalemler!$D63),DAY(EOMONTH((Tahmin!$C$4+42),0))))&gt;=(Tahmin!$C$4+42),DATE(YEAR((Tahmin!$C$4+42)),MONTH((Tahmin!$C$4+42)),MIN(DAY(Kalemler!$D63),DAY(EOMONTH((Tahmin!$C$4+42),0))))&lt;=(Tahmin!$C$4+48),DATE(YEAR((Tahmin!$C$4+42)),MONTH((Tahmin!$C$4+42)),MIN(DAY(Kalemler!$D63),DAY(EOMONTH((Tahmin!$C$4+42),0))))&gt;=Kalemler!$D63),AND(DATE(YEAR((Tahmin!$C$4+48)),MONTH((Tahmin!$C$4+48)),MIN(DAY(Kalemler!$D63),DAY(EOMONTH((Tahmin!$C$4+48),0))))&gt;=(Tahmin!$C$4+42),DATE(YEAR((Tahmin!$C$4+48)),MONTH((Tahmin!$C$4+48)),MIN(DAY(Kalemler!$D63),DAY(EOMONTH((Tahmin!$C$4+48),0))))&lt;=(Tahmin!$C$4+48),DATE(YEAR((Tahmin!$C$4+48)),MONTH((Tahmin!$C$4+48)),MIN(DAY(Kalemler!$D63),DAY(EOMONTH((Tahmin!$C$4+48),0))))&lt;&gt;DATE(YEAR((Tahmin!$C$4+42)),MONTH((Tahmin!$C$4+42)),MIN(DAY(Kalemler!$D63),DAY(EOMONTH((Tahmin!$C$4+42),0)))),DATE(YEAR((Tahmin!$C$4+48)),MONTH((Tahmin!$C$4+48)),MIN(DAY(Kalemler!$D63),DAY(EOMONTH((Tahmin!$C$4+48),0))))&gt;=Kalemler!$D63)),1,0),IF(AND(Kalemler!$D63&gt;=(Tahmin!$C$4+42),Kalemler!$D63&lt;=(Tahmin!$C$4+48)),1,0))))</f>
        <v>0</v>
      </c>
      <c r="I63" s="0" t="n">
        <f aca="false">IF(OR(Kalemler!$A63="",Kalemler!$C63="",Kalemler!$D63=""),0,Kalemler!$C63*IF(Kalemler!$E63="Haftalık",IF(Kalemler!$D63&lt;=(Tahmin!$C$4+55),1,0),IF(Kalemler!$E63="Aylık",IF(OR(AND(DATE(YEAR((Tahmin!$C$4+49)),MONTH((Tahmin!$C$4+49)),MIN(DAY(Kalemler!$D63),DAY(EOMONTH((Tahmin!$C$4+49),0))))&gt;=(Tahmin!$C$4+49),DATE(YEAR((Tahmin!$C$4+49)),MONTH((Tahmin!$C$4+49)),MIN(DAY(Kalemler!$D63),DAY(EOMONTH((Tahmin!$C$4+49),0))))&lt;=(Tahmin!$C$4+55),DATE(YEAR((Tahmin!$C$4+49)),MONTH((Tahmin!$C$4+49)),MIN(DAY(Kalemler!$D63),DAY(EOMONTH((Tahmin!$C$4+49),0))))&gt;=Kalemler!$D63),AND(DATE(YEAR((Tahmin!$C$4+55)),MONTH((Tahmin!$C$4+55)),MIN(DAY(Kalemler!$D63),DAY(EOMONTH((Tahmin!$C$4+55),0))))&gt;=(Tahmin!$C$4+49),DATE(YEAR((Tahmin!$C$4+55)),MONTH((Tahmin!$C$4+55)),MIN(DAY(Kalemler!$D63),DAY(EOMONTH((Tahmin!$C$4+55),0))))&lt;=(Tahmin!$C$4+55),DATE(YEAR((Tahmin!$C$4+55)),MONTH((Tahmin!$C$4+55)),MIN(DAY(Kalemler!$D63),DAY(EOMONTH((Tahmin!$C$4+55),0))))&lt;&gt;DATE(YEAR((Tahmin!$C$4+49)),MONTH((Tahmin!$C$4+49)),MIN(DAY(Kalemler!$D63),DAY(EOMONTH((Tahmin!$C$4+49),0)))),DATE(YEAR((Tahmin!$C$4+55)),MONTH((Tahmin!$C$4+55)),MIN(DAY(Kalemler!$D63),DAY(EOMONTH((Tahmin!$C$4+55),0))))&gt;=Kalemler!$D63)),1,0),IF(AND(Kalemler!$D63&gt;=(Tahmin!$C$4+49),Kalemler!$D63&lt;=(Tahmin!$C$4+55)),1,0))))</f>
        <v>0</v>
      </c>
      <c r="J63" s="0" t="n">
        <f aca="false">IF(OR(Kalemler!$A63="",Kalemler!$C63="",Kalemler!$D63=""),0,Kalemler!$C63*IF(Kalemler!$E63="Haftalık",IF(Kalemler!$D63&lt;=(Tahmin!$C$4+62),1,0),IF(Kalemler!$E63="Aylık",IF(OR(AND(DATE(YEAR((Tahmin!$C$4+56)),MONTH((Tahmin!$C$4+56)),MIN(DAY(Kalemler!$D63),DAY(EOMONTH((Tahmin!$C$4+56),0))))&gt;=(Tahmin!$C$4+56),DATE(YEAR((Tahmin!$C$4+56)),MONTH((Tahmin!$C$4+56)),MIN(DAY(Kalemler!$D63),DAY(EOMONTH((Tahmin!$C$4+56),0))))&lt;=(Tahmin!$C$4+62),DATE(YEAR((Tahmin!$C$4+56)),MONTH((Tahmin!$C$4+56)),MIN(DAY(Kalemler!$D63),DAY(EOMONTH((Tahmin!$C$4+56),0))))&gt;=Kalemler!$D63),AND(DATE(YEAR((Tahmin!$C$4+62)),MONTH((Tahmin!$C$4+62)),MIN(DAY(Kalemler!$D63),DAY(EOMONTH((Tahmin!$C$4+62),0))))&gt;=(Tahmin!$C$4+56),DATE(YEAR((Tahmin!$C$4+62)),MONTH((Tahmin!$C$4+62)),MIN(DAY(Kalemler!$D63),DAY(EOMONTH((Tahmin!$C$4+62),0))))&lt;=(Tahmin!$C$4+62),DATE(YEAR((Tahmin!$C$4+62)),MONTH((Tahmin!$C$4+62)),MIN(DAY(Kalemler!$D63),DAY(EOMONTH((Tahmin!$C$4+62),0))))&lt;&gt;DATE(YEAR((Tahmin!$C$4+56)),MONTH((Tahmin!$C$4+56)),MIN(DAY(Kalemler!$D63),DAY(EOMONTH((Tahmin!$C$4+56),0)))),DATE(YEAR((Tahmin!$C$4+62)),MONTH((Tahmin!$C$4+62)),MIN(DAY(Kalemler!$D63),DAY(EOMONTH((Tahmin!$C$4+62),0))))&gt;=Kalemler!$D63)),1,0),IF(AND(Kalemler!$D63&gt;=(Tahmin!$C$4+56),Kalemler!$D63&lt;=(Tahmin!$C$4+62)),1,0))))</f>
        <v>0</v>
      </c>
      <c r="K63" s="0" t="n">
        <f aca="false">IF(OR(Kalemler!$A63="",Kalemler!$C63="",Kalemler!$D63=""),0,Kalemler!$C63*IF(Kalemler!$E63="Haftalık",IF(Kalemler!$D63&lt;=(Tahmin!$C$4+69),1,0),IF(Kalemler!$E63="Aylık",IF(OR(AND(DATE(YEAR((Tahmin!$C$4+63)),MONTH((Tahmin!$C$4+63)),MIN(DAY(Kalemler!$D63),DAY(EOMONTH((Tahmin!$C$4+63),0))))&gt;=(Tahmin!$C$4+63),DATE(YEAR((Tahmin!$C$4+63)),MONTH((Tahmin!$C$4+63)),MIN(DAY(Kalemler!$D63),DAY(EOMONTH((Tahmin!$C$4+63),0))))&lt;=(Tahmin!$C$4+69),DATE(YEAR((Tahmin!$C$4+63)),MONTH((Tahmin!$C$4+63)),MIN(DAY(Kalemler!$D63),DAY(EOMONTH((Tahmin!$C$4+63),0))))&gt;=Kalemler!$D63),AND(DATE(YEAR((Tahmin!$C$4+69)),MONTH((Tahmin!$C$4+69)),MIN(DAY(Kalemler!$D63),DAY(EOMONTH((Tahmin!$C$4+69),0))))&gt;=(Tahmin!$C$4+63),DATE(YEAR((Tahmin!$C$4+69)),MONTH((Tahmin!$C$4+69)),MIN(DAY(Kalemler!$D63),DAY(EOMONTH((Tahmin!$C$4+69),0))))&lt;=(Tahmin!$C$4+69),DATE(YEAR((Tahmin!$C$4+69)),MONTH((Tahmin!$C$4+69)),MIN(DAY(Kalemler!$D63),DAY(EOMONTH((Tahmin!$C$4+69),0))))&lt;&gt;DATE(YEAR((Tahmin!$C$4+63)),MONTH((Tahmin!$C$4+63)),MIN(DAY(Kalemler!$D63),DAY(EOMONTH((Tahmin!$C$4+63),0)))),DATE(YEAR((Tahmin!$C$4+69)),MONTH((Tahmin!$C$4+69)),MIN(DAY(Kalemler!$D63),DAY(EOMONTH((Tahmin!$C$4+69),0))))&gt;=Kalemler!$D63)),1,0),IF(AND(Kalemler!$D63&gt;=(Tahmin!$C$4+63),Kalemler!$D63&lt;=(Tahmin!$C$4+69)),1,0))))</f>
        <v>0</v>
      </c>
      <c r="L63" s="0" t="n">
        <f aca="false">IF(OR(Kalemler!$A63="",Kalemler!$C63="",Kalemler!$D63=""),0,Kalemler!$C63*IF(Kalemler!$E63="Haftalık",IF(Kalemler!$D63&lt;=(Tahmin!$C$4+76),1,0),IF(Kalemler!$E63="Aylık",IF(OR(AND(DATE(YEAR((Tahmin!$C$4+70)),MONTH((Tahmin!$C$4+70)),MIN(DAY(Kalemler!$D63),DAY(EOMONTH((Tahmin!$C$4+70),0))))&gt;=(Tahmin!$C$4+70),DATE(YEAR((Tahmin!$C$4+70)),MONTH((Tahmin!$C$4+70)),MIN(DAY(Kalemler!$D63),DAY(EOMONTH((Tahmin!$C$4+70),0))))&lt;=(Tahmin!$C$4+76),DATE(YEAR((Tahmin!$C$4+70)),MONTH((Tahmin!$C$4+70)),MIN(DAY(Kalemler!$D63),DAY(EOMONTH((Tahmin!$C$4+70),0))))&gt;=Kalemler!$D63),AND(DATE(YEAR((Tahmin!$C$4+76)),MONTH((Tahmin!$C$4+76)),MIN(DAY(Kalemler!$D63),DAY(EOMONTH((Tahmin!$C$4+76),0))))&gt;=(Tahmin!$C$4+70),DATE(YEAR((Tahmin!$C$4+76)),MONTH((Tahmin!$C$4+76)),MIN(DAY(Kalemler!$D63),DAY(EOMONTH((Tahmin!$C$4+76),0))))&lt;=(Tahmin!$C$4+76),DATE(YEAR((Tahmin!$C$4+76)),MONTH((Tahmin!$C$4+76)),MIN(DAY(Kalemler!$D63),DAY(EOMONTH((Tahmin!$C$4+76),0))))&lt;&gt;DATE(YEAR((Tahmin!$C$4+70)),MONTH((Tahmin!$C$4+70)),MIN(DAY(Kalemler!$D63),DAY(EOMONTH((Tahmin!$C$4+70),0)))),DATE(YEAR((Tahmin!$C$4+76)),MONTH((Tahmin!$C$4+76)),MIN(DAY(Kalemler!$D63),DAY(EOMONTH((Tahmin!$C$4+76),0))))&gt;=Kalemler!$D63)),1,0),IF(AND(Kalemler!$D63&gt;=(Tahmin!$C$4+70),Kalemler!$D63&lt;=(Tahmin!$C$4+76)),1,0))))</f>
        <v>0</v>
      </c>
      <c r="M63" s="0" t="n">
        <f aca="false">IF(OR(Kalemler!$A63="",Kalemler!$C63="",Kalemler!$D63=""),0,Kalemler!$C63*IF(Kalemler!$E63="Haftalık",IF(Kalemler!$D63&lt;=(Tahmin!$C$4+83),1,0),IF(Kalemler!$E63="Aylık",IF(OR(AND(DATE(YEAR((Tahmin!$C$4+77)),MONTH((Tahmin!$C$4+77)),MIN(DAY(Kalemler!$D63),DAY(EOMONTH((Tahmin!$C$4+77),0))))&gt;=(Tahmin!$C$4+77),DATE(YEAR((Tahmin!$C$4+77)),MONTH((Tahmin!$C$4+77)),MIN(DAY(Kalemler!$D63),DAY(EOMONTH((Tahmin!$C$4+77),0))))&lt;=(Tahmin!$C$4+83),DATE(YEAR((Tahmin!$C$4+77)),MONTH((Tahmin!$C$4+77)),MIN(DAY(Kalemler!$D63),DAY(EOMONTH((Tahmin!$C$4+77),0))))&gt;=Kalemler!$D63),AND(DATE(YEAR((Tahmin!$C$4+83)),MONTH((Tahmin!$C$4+83)),MIN(DAY(Kalemler!$D63),DAY(EOMONTH((Tahmin!$C$4+83),0))))&gt;=(Tahmin!$C$4+77),DATE(YEAR((Tahmin!$C$4+83)),MONTH((Tahmin!$C$4+83)),MIN(DAY(Kalemler!$D63),DAY(EOMONTH((Tahmin!$C$4+83),0))))&lt;=(Tahmin!$C$4+83),DATE(YEAR((Tahmin!$C$4+83)),MONTH((Tahmin!$C$4+83)),MIN(DAY(Kalemler!$D63),DAY(EOMONTH((Tahmin!$C$4+83),0))))&lt;&gt;DATE(YEAR((Tahmin!$C$4+77)),MONTH((Tahmin!$C$4+77)),MIN(DAY(Kalemler!$D63),DAY(EOMONTH((Tahmin!$C$4+77),0)))),DATE(YEAR((Tahmin!$C$4+83)),MONTH((Tahmin!$C$4+83)),MIN(DAY(Kalemler!$D63),DAY(EOMONTH((Tahmin!$C$4+83),0))))&gt;=Kalemler!$D63)),1,0),IF(AND(Kalemler!$D63&gt;=(Tahmin!$C$4+77),Kalemler!$D63&lt;=(Tahmin!$C$4+83)),1,0))))</f>
        <v>0</v>
      </c>
      <c r="N63" s="0" t="n">
        <f aca="false">IF(OR(Kalemler!$A63="",Kalemler!$C63="",Kalemler!$D63=""),0,Kalemler!$C63*IF(Kalemler!$E63="Haftalık",IF(Kalemler!$D63&lt;=(Tahmin!$C$4+90),1,0),IF(Kalemler!$E63="Aylık",IF(OR(AND(DATE(YEAR((Tahmin!$C$4+84)),MONTH((Tahmin!$C$4+84)),MIN(DAY(Kalemler!$D63),DAY(EOMONTH((Tahmin!$C$4+84),0))))&gt;=(Tahmin!$C$4+84),DATE(YEAR((Tahmin!$C$4+84)),MONTH((Tahmin!$C$4+84)),MIN(DAY(Kalemler!$D63),DAY(EOMONTH((Tahmin!$C$4+84),0))))&lt;=(Tahmin!$C$4+90),DATE(YEAR((Tahmin!$C$4+84)),MONTH((Tahmin!$C$4+84)),MIN(DAY(Kalemler!$D63),DAY(EOMONTH((Tahmin!$C$4+84),0))))&gt;=Kalemler!$D63),AND(DATE(YEAR((Tahmin!$C$4+90)),MONTH((Tahmin!$C$4+90)),MIN(DAY(Kalemler!$D63),DAY(EOMONTH((Tahmin!$C$4+90),0))))&gt;=(Tahmin!$C$4+84),DATE(YEAR((Tahmin!$C$4+90)),MONTH((Tahmin!$C$4+90)),MIN(DAY(Kalemler!$D63),DAY(EOMONTH((Tahmin!$C$4+90),0))))&lt;=(Tahmin!$C$4+90),DATE(YEAR((Tahmin!$C$4+90)),MONTH((Tahmin!$C$4+90)),MIN(DAY(Kalemler!$D63),DAY(EOMONTH((Tahmin!$C$4+90),0))))&lt;&gt;DATE(YEAR((Tahmin!$C$4+84)),MONTH((Tahmin!$C$4+84)),MIN(DAY(Kalemler!$D63),DAY(EOMONTH((Tahmin!$C$4+84),0)))),DATE(YEAR((Tahmin!$C$4+90)),MONTH((Tahmin!$C$4+90)),MIN(DAY(Kalemler!$D63),DAY(EOMONTH((Tahmin!$C$4+90),0))))&gt;=Kalemler!$D63)),1,0),IF(AND(Kalemler!$D63&gt;=(Tahmin!$C$4+84),Kalemler!$D63&lt;=(Tahmin!$C$4+90)),1,0))))</f>
        <v>0</v>
      </c>
    </row>
    <row r="64" customFormat="false" ht="15" hidden="false" customHeight="false" outlineLevel="0" collapsed="false">
      <c r="A64" s="0" t="str">
        <f aca="false">IF(Kalemler!A64="","",Kalemler!A64)</f>
        <v/>
      </c>
      <c r="B64" s="0" t="n">
        <f aca="false">IF(OR(Kalemler!$A64="",Kalemler!$C64="",Kalemler!$D64=""),0,Kalemler!$C64*IF(Kalemler!$E64="Haftalık",IF(Kalemler!$D64&lt;=(Tahmin!$C$4+6),1,0),IF(Kalemler!$E64="Aylık",IF(OR(AND(DATE(YEAR((Tahmin!$C$4+0)),MONTH((Tahmin!$C$4+0)),MIN(DAY(Kalemler!$D64),DAY(EOMONTH((Tahmin!$C$4+0),0))))&gt;=(Tahmin!$C$4+0),DATE(YEAR((Tahmin!$C$4+0)),MONTH((Tahmin!$C$4+0)),MIN(DAY(Kalemler!$D64),DAY(EOMONTH((Tahmin!$C$4+0),0))))&lt;=(Tahmin!$C$4+6),DATE(YEAR((Tahmin!$C$4+0)),MONTH((Tahmin!$C$4+0)),MIN(DAY(Kalemler!$D64),DAY(EOMONTH((Tahmin!$C$4+0),0))))&gt;=Kalemler!$D64),AND(DATE(YEAR((Tahmin!$C$4+6)),MONTH((Tahmin!$C$4+6)),MIN(DAY(Kalemler!$D64),DAY(EOMONTH((Tahmin!$C$4+6),0))))&gt;=(Tahmin!$C$4+0),DATE(YEAR((Tahmin!$C$4+6)),MONTH((Tahmin!$C$4+6)),MIN(DAY(Kalemler!$D64),DAY(EOMONTH((Tahmin!$C$4+6),0))))&lt;=(Tahmin!$C$4+6),DATE(YEAR((Tahmin!$C$4+6)),MONTH((Tahmin!$C$4+6)),MIN(DAY(Kalemler!$D64),DAY(EOMONTH((Tahmin!$C$4+6),0))))&lt;&gt;DATE(YEAR((Tahmin!$C$4+0)),MONTH((Tahmin!$C$4+0)),MIN(DAY(Kalemler!$D64),DAY(EOMONTH((Tahmin!$C$4+0),0)))),DATE(YEAR((Tahmin!$C$4+6)),MONTH((Tahmin!$C$4+6)),MIN(DAY(Kalemler!$D64),DAY(EOMONTH((Tahmin!$C$4+6),0))))&gt;=Kalemler!$D64)),1,0),IF(AND(Kalemler!$D64&gt;=(Tahmin!$C$4+0),Kalemler!$D64&lt;=(Tahmin!$C$4+6)),1,0))))</f>
        <v>0</v>
      </c>
      <c r="C64" s="0" t="n">
        <f aca="false">IF(OR(Kalemler!$A64="",Kalemler!$C64="",Kalemler!$D64=""),0,Kalemler!$C64*IF(Kalemler!$E64="Haftalık",IF(Kalemler!$D64&lt;=(Tahmin!$C$4+13),1,0),IF(Kalemler!$E64="Aylık",IF(OR(AND(DATE(YEAR((Tahmin!$C$4+7)),MONTH((Tahmin!$C$4+7)),MIN(DAY(Kalemler!$D64),DAY(EOMONTH((Tahmin!$C$4+7),0))))&gt;=(Tahmin!$C$4+7),DATE(YEAR((Tahmin!$C$4+7)),MONTH((Tahmin!$C$4+7)),MIN(DAY(Kalemler!$D64),DAY(EOMONTH((Tahmin!$C$4+7),0))))&lt;=(Tahmin!$C$4+13),DATE(YEAR((Tahmin!$C$4+7)),MONTH((Tahmin!$C$4+7)),MIN(DAY(Kalemler!$D64),DAY(EOMONTH((Tahmin!$C$4+7),0))))&gt;=Kalemler!$D64),AND(DATE(YEAR((Tahmin!$C$4+13)),MONTH((Tahmin!$C$4+13)),MIN(DAY(Kalemler!$D64),DAY(EOMONTH((Tahmin!$C$4+13),0))))&gt;=(Tahmin!$C$4+7),DATE(YEAR((Tahmin!$C$4+13)),MONTH((Tahmin!$C$4+13)),MIN(DAY(Kalemler!$D64),DAY(EOMONTH((Tahmin!$C$4+13),0))))&lt;=(Tahmin!$C$4+13),DATE(YEAR((Tahmin!$C$4+13)),MONTH((Tahmin!$C$4+13)),MIN(DAY(Kalemler!$D64),DAY(EOMONTH((Tahmin!$C$4+13),0))))&lt;&gt;DATE(YEAR((Tahmin!$C$4+7)),MONTH((Tahmin!$C$4+7)),MIN(DAY(Kalemler!$D64),DAY(EOMONTH((Tahmin!$C$4+7),0)))),DATE(YEAR((Tahmin!$C$4+13)),MONTH((Tahmin!$C$4+13)),MIN(DAY(Kalemler!$D64),DAY(EOMONTH((Tahmin!$C$4+13),0))))&gt;=Kalemler!$D64)),1,0),IF(AND(Kalemler!$D64&gt;=(Tahmin!$C$4+7),Kalemler!$D64&lt;=(Tahmin!$C$4+13)),1,0))))</f>
        <v>0</v>
      </c>
      <c r="D64" s="0" t="n">
        <f aca="false">IF(OR(Kalemler!$A64="",Kalemler!$C64="",Kalemler!$D64=""),0,Kalemler!$C64*IF(Kalemler!$E64="Haftalık",IF(Kalemler!$D64&lt;=(Tahmin!$C$4+20),1,0),IF(Kalemler!$E64="Aylık",IF(OR(AND(DATE(YEAR((Tahmin!$C$4+14)),MONTH((Tahmin!$C$4+14)),MIN(DAY(Kalemler!$D64),DAY(EOMONTH((Tahmin!$C$4+14),0))))&gt;=(Tahmin!$C$4+14),DATE(YEAR((Tahmin!$C$4+14)),MONTH((Tahmin!$C$4+14)),MIN(DAY(Kalemler!$D64),DAY(EOMONTH((Tahmin!$C$4+14),0))))&lt;=(Tahmin!$C$4+20),DATE(YEAR((Tahmin!$C$4+14)),MONTH((Tahmin!$C$4+14)),MIN(DAY(Kalemler!$D64),DAY(EOMONTH((Tahmin!$C$4+14),0))))&gt;=Kalemler!$D64),AND(DATE(YEAR((Tahmin!$C$4+20)),MONTH((Tahmin!$C$4+20)),MIN(DAY(Kalemler!$D64),DAY(EOMONTH((Tahmin!$C$4+20),0))))&gt;=(Tahmin!$C$4+14),DATE(YEAR((Tahmin!$C$4+20)),MONTH((Tahmin!$C$4+20)),MIN(DAY(Kalemler!$D64),DAY(EOMONTH((Tahmin!$C$4+20),0))))&lt;=(Tahmin!$C$4+20),DATE(YEAR((Tahmin!$C$4+20)),MONTH((Tahmin!$C$4+20)),MIN(DAY(Kalemler!$D64),DAY(EOMONTH((Tahmin!$C$4+20),0))))&lt;&gt;DATE(YEAR((Tahmin!$C$4+14)),MONTH((Tahmin!$C$4+14)),MIN(DAY(Kalemler!$D64),DAY(EOMONTH((Tahmin!$C$4+14),0)))),DATE(YEAR((Tahmin!$C$4+20)),MONTH((Tahmin!$C$4+20)),MIN(DAY(Kalemler!$D64),DAY(EOMONTH((Tahmin!$C$4+20),0))))&gt;=Kalemler!$D64)),1,0),IF(AND(Kalemler!$D64&gt;=(Tahmin!$C$4+14),Kalemler!$D64&lt;=(Tahmin!$C$4+20)),1,0))))</f>
        <v>0</v>
      </c>
      <c r="E64" s="0" t="n">
        <f aca="false">IF(OR(Kalemler!$A64="",Kalemler!$C64="",Kalemler!$D64=""),0,Kalemler!$C64*IF(Kalemler!$E64="Haftalık",IF(Kalemler!$D64&lt;=(Tahmin!$C$4+27),1,0),IF(Kalemler!$E64="Aylık",IF(OR(AND(DATE(YEAR((Tahmin!$C$4+21)),MONTH((Tahmin!$C$4+21)),MIN(DAY(Kalemler!$D64),DAY(EOMONTH((Tahmin!$C$4+21),0))))&gt;=(Tahmin!$C$4+21),DATE(YEAR((Tahmin!$C$4+21)),MONTH((Tahmin!$C$4+21)),MIN(DAY(Kalemler!$D64),DAY(EOMONTH((Tahmin!$C$4+21),0))))&lt;=(Tahmin!$C$4+27),DATE(YEAR((Tahmin!$C$4+21)),MONTH((Tahmin!$C$4+21)),MIN(DAY(Kalemler!$D64),DAY(EOMONTH((Tahmin!$C$4+21),0))))&gt;=Kalemler!$D64),AND(DATE(YEAR((Tahmin!$C$4+27)),MONTH((Tahmin!$C$4+27)),MIN(DAY(Kalemler!$D64),DAY(EOMONTH((Tahmin!$C$4+27),0))))&gt;=(Tahmin!$C$4+21),DATE(YEAR((Tahmin!$C$4+27)),MONTH((Tahmin!$C$4+27)),MIN(DAY(Kalemler!$D64),DAY(EOMONTH((Tahmin!$C$4+27),0))))&lt;=(Tahmin!$C$4+27),DATE(YEAR((Tahmin!$C$4+27)),MONTH((Tahmin!$C$4+27)),MIN(DAY(Kalemler!$D64),DAY(EOMONTH((Tahmin!$C$4+27),0))))&lt;&gt;DATE(YEAR((Tahmin!$C$4+21)),MONTH((Tahmin!$C$4+21)),MIN(DAY(Kalemler!$D64),DAY(EOMONTH((Tahmin!$C$4+21),0)))),DATE(YEAR((Tahmin!$C$4+27)),MONTH((Tahmin!$C$4+27)),MIN(DAY(Kalemler!$D64),DAY(EOMONTH((Tahmin!$C$4+27),0))))&gt;=Kalemler!$D64)),1,0),IF(AND(Kalemler!$D64&gt;=(Tahmin!$C$4+21),Kalemler!$D64&lt;=(Tahmin!$C$4+27)),1,0))))</f>
        <v>0</v>
      </c>
      <c r="F64" s="0" t="n">
        <f aca="false">IF(OR(Kalemler!$A64="",Kalemler!$C64="",Kalemler!$D64=""),0,Kalemler!$C64*IF(Kalemler!$E64="Haftalık",IF(Kalemler!$D64&lt;=(Tahmin!$C$4+34),1,0),IF(Kalemler!$E64="Aylık",IF(OR(AND(DATE(YEAR((Tahmin!$C$4+28)),MONTH((Tahmin!$C$4+28)),MIN(DAY(Kalemler!$D64),DAY(EOMONTH((Tahmin!$C$4+28),0))))&gt;=(Tahmin!$C$4+28),DATE(YEAR((Tahmin!$C$4+28)),MONTH((Tahmin!$C$4+28)),MIN(DAY(Kalemler!$D64),DAY(EOMONTH((Tahmin!$C$4+28),0))))&lt;=(Tahmin!$C$4+34),DATE(YEAR((Tahmin!$C$4+28)),MONTH((Tahmin!$C$4+28)),MIN(DAY(Kalemler!$D64),DAY(EOMONTH((Tahmin!$C$4+28),0))))&gt;=Kalemler!$D64),AND(DATE(YEAR((Tahmin!$C$4+34)),MONTH((Tahmin!$C$4+34)),MIN(DAY(Kalemler!$D64),DAY(EOMONTH((Tahmin!$C$4+34),0))))&gt;=(Tahmin!$C$4+28),DATE(YEAR((Tahmin!$C$4+34)),MONTH((Tahmin!$C$4+34)),MIN(DAY(Kalemler!$D64),DAY(EOMONTH((Tahmin!$C$4+34),0))))&lt;=(Tahmin!$C$4+34),DATE(YEAR((Tahmin!$C$4+34)),MONTH((Tahmin!$C$4+34)),MIN(DAY(Kalemler!$D64),DAY(EOMONTH((Tahmin!$C$4+34),0))))&lt;&gt;DATE(YEAR((Tahmin!$C$4+28)),MONTH((Tahmin!$C$4+28)),MIN(DAY(Kalemler!$D64),DAY(EOMONTH((Tahmin!$C$4+28),0)))),DATE(YEAR((Tahmin!$C$4+34)),MONTH((Tahmin!$C$4+34)),MIN(DAY(Kalemler!$D64),DAY(EOMONTH((Tahmin!$C$4+34),0))))&gt;=Kalemler!$D64)),1,0),IF(AND(Kalemler!$D64&gt;=(Tahmin!$C$4+28),Kalemler!$D64&lt;=(Tahmin!$C$4+34)),1,0))))</f>
        <v>0</v>
      </c>
      <c r="G64" s="0" t="n">
        <f aca="false">IF(OR(Kalemler!$A64="",Kalemler!$C64="",Kalemler!$D64=""),0,Kalemler!$C64*IF(Kalemler!$E64="Haftalık",IF(Kalemler!$D64&lt;=(Tahmin!$C$4+41),1,0),IF(Kalemler!$E64="Aylık",IF(OR(AND(DATE(YEAR((Tahmin!$C$4+35)),MONTH((Tahmin!$C$4+35)),MIN(DAY(Kalemler!$D64),DAY(EOMONTH((Tahmin!$C$4+35),0))))&gt;=(Tahmin!$C$4+35),DATE(YEAR((Tahmin!$C$4+35)),MONTH((Tahmin!$C$4+35)),MIN(DAY(Kalemler!$D64),DAY(EOMONTH((Tahmin!$C$4+35),0))))&lt;=(Tahmin!$C$4+41),DATE(YEAR((Tahmin!$C$4+35)),MONTH((Tahmin!$C$4+35)),MIN(DAY(Kalemler!$D64),DAY(EOMONTH((Tahmin!$C$4+35),0))))&gt;=Kalemler!$D64),AND(DATE(YEAR((Tahmin!$C$4+41)),MONTH((Tahmin!$C$4+41)),MIN(DAY(Kalemler!$D64),DAY(EOMONTH((Tahmin!$C$4+41),0))))&gt;=(Tahmin!$C$4+35),DATE(YEAR((Tahmin!$C$4+41)),MONTH((Tahmin!$C$4+41)),MIN(DAY(Kalemler!$D64),DAY(EOMONTH((Tahmin!$C$4+41),0))))&lt;=(Tahmin!$C$4+41),DATE(YEAR((Tahmin!$C$4+41)),MONTH((Tahmin!$C$4+41)),MIN(DAY(Kalemler!$D64),DAY(EOMONTH((Tahmin!$C$4+41),0))))&lt;&gt;DATE(YEAR((Tahmin!$C$4+35)),MONTH((Tahmin!$C$4+35)),MIN(DAY(Kalemler!$D64),DAY(EOMONTH((Tahmin!$C$4+35),0)))),DATE(YEAR((Tahmin!$C$4+41)),MONTH((Tahmin!$C$4+41)),MIN(DAY(Kalemler!$D64),DAY(EOMONTH((Tahmin!$C$4+41),0))))&gt;=Kalemler!$D64)),1,0),IF(AND(Kalemler!$D64&gt;=(Tahmin!$C$4+35),Kalemler!$D64&lt;=(Tahmin!$C$4+41)),1,0))))</f>
        <v>0</v>
      </c>
      <c r="H64" s="0" t="n">
        <f aca="false">IF(OR(Kalemler!$A64="",Kalemler!$C64="",Kalemler!$D64=""),0,Kalemler!$C64*IF(Kalemler!$E64="Haftalık",IF(Kalemler!$D64&lt;=(Tahmin!$C$4+48),1,0),IF(Kalemler!$E64="Aylık",IF(OR(AND(DATE(YEAR((Tahmin!$C$4+42)),MONTH((Tahmin!$C$4+42)),MIN(DAY(Kalemler!$D64),DAY(EOMONTH((Tahmin!$C$4+42),0))))&gt;=(Tahmin!$C$4+42),DATE(YEAR((Tahmin!$C$4+42)),MONTH((Tahmin!$C$4+42)),MIN(DAY(Kalemler!$D64),DAY(EOMONTH((Tahmin!$C$4+42),0))))&lt;=(Tahmin!$C$4+48),DATE(YEAR((Tahmin!$C$4+42)),MONTH((Tahmin!$C$4+42)),MIN(DAY(Kalemler!$D64),DAY(EOMONTH((Tahmin!$C$4+42),0))))&gt;=Kalemler!$D64),AND(DATE(YEAR((Tahmin!$C$4+48)),MONTH((Tahmin!$C$4+48)),MIN(DAY(Kalemler!$D64),DAY(EOMONTH((Tahmin!$C$4+48),0))))&gt;=(Tahmin!$C$4+42),DATE(YEAR((Tahmin!$C$4+48)),MONTH((Tahmin!$C$4+48)),MIN(DAY(Kalemler!$D64),DAY(EOMONTH((Tahmin!$C$4+48),0))))&lt;=(Tahmin!$C$4+48),DATE(YEAR((Tahmin!$C$4+48)),MONTH((Tahmin!$C$4+48)),MIN(DAY(Kalemler!$D64),DAY(EOMONTH((Tahmin!$C$4+48),0))))&lt;&gt;DATE(YEAR((Tahmin!$C$4+42)),MONTH((Tahmin!$C$4+42)),MIN(DAY(Kalemler!$D64),DAY(EOMONTH((Tahmin!$C$4+42),0)))),DATE(YEAR((Tahmin!$C$4+48)),MONTH((Tahmin!$C$4+48)),MIN(DAY(Kalemler!$D64),DAY(EOMONTH((Tahmin!$C$4+48),0))))&gt;=Kalemler!$D64)),1,0),IF(AND(Kalemler!$D64&gt;=(Tahmin!$C$4+42),Kalemler!$D64&lt;=(Tahmin!$C$4+48)),1,0))))</f>
        <v>0</v>
      </c>
      <c r="I64" s="0" t="n">
        <f aca="false">IF(OR(Kalemler!$A64="",Kalemler!$C64="",Kalemler!$D64=""),0,Kalemler!$C64*IF(Kalemler!$E64="Haftalık",IF(Kalemler!$D64&lt;=(Tahmin!$C$4+55),1,0),IF(Kalemler!$E64="Aylık",IF(OR(AND(DATE(YEAR((Tahmin!$C$4+49)),MONTH((Tahmin!$C$4+49)),MIN(DAY(Kalemler!$D64),DAY(EOMONTH((Tahmin!$C$4+49),0))))&gt;=(Tahmin!$C$4+49),DATE(YEAR((Tahmin!$C$4+49)),MONTH((Tahmin!$C$4+49)),MIN(DAY(Kalemler!$D64),DAY(EOMONTH((Tahmin!$C$4+49),0))))&lt;=(Tahmin!$C$4+55),DATE(YEAR((Tahmin!$C$4+49)),MONTH((Tahmin!$C$4+49)),MIN(DAY(Kalemler!$D64),DAY(EOMONTH((Tahmin!$C$4+49),0))))&gt;=Kalemler!$D64),AND(DATE(YEAR((Tahmin!$C$4+55)),MONTH((Tahmin!$C$4+55)),MIN(DAY(Kalemler!$D64),DAY(EOMONTH((Tahmin!$C$4+55),0))))&gt;=(Tahmin!$C$4+49),DATE(YEAR((Tahmin!$C$4+55)),MONTH((Tahmin!$C$4+55)),MIN(DAY(Kalemler!$D64),DAY(EOMONTH((Tahmin!$C$4+55),0))))&lt;=(Tahmin!$C$4+55),DATE(YEAR((Tahmin!$C$4+55)),MONTH((Tahmin!$C$4+55)),MIN(DAY(Kalemler!$D64),DAY(EOMONTH((Tahmin!$C$4+55),0))))&lt;&gt;DATE(YEAR((Tahmin!$C$4+49)),MONTH((Tahmin!$C$4+49)),MIN(DAY(Kalemler!$D64),DAY(EOMONTH((Tahmin!$C$4+49),0)))),DATE(YEAR((Tahmin!$C$4+55)),MONTH((Tahmin!$C$4+55)),MIN(DAY(Kalemler!$D64),DAY(EOMONTH((Tahmin!$C$4+55),0))))&gt;=Kalemler!$D64)),1,0),IF(AND(Kalemler!$D64&gt;=(Tahmin!$C$4+49),Kalemler!$D64&lt;=(Tahmin!$C$4+55)),1,0))))</f>
        <v>0</v>
      </c>
      <c r="J64" s="0" t="n">
        <f aca="false">IF(OR(Kalemler!$A64="",Kalemler!$C64="",Kalemler!$D64=""),0,Kalemler!$C64*IF(Kalemler!$E64="Haftalık",IF(Kalemler!$D64&lt;=(Tahmin!$C$4+62),1,0),IF(Kalemler!$E64="Aylık",IF(OR(AND(DATE(YEAR((Tahmin!$C$4+56)),MONTH((Tahmin!$C$4+56)),MIN(DAY(Kalemler!$D64),DAY(EOMONTH((Tahmin!$C$4+56),0))))&gt;=(Tahmin!$C$4+56),DATE(YEAR((Tahmin!$C$4+56)),MONTH((Tahmin!$C$4+56)),MIN(DAY(Kalemler!$D64),DAY(EOMONTH((Tahmin!$C$4+56),0))))&lt;=(Tahmin!$C$4+62),DATE(YEAR((Tahmin!$C$4+56)),MONTH((Tahmin!$C$4+56)),MIN(DAY(Kalemler!$D64),DAY(EOMONTH((Tahmin!$C$4+56),0))))&gt;=Kalemler!$D64),AND(DATE(YEAR((Tahmin!$C$4+62)),MONTH((Tahmin!$C$4+62)),MIN(DAY(Kalemler!$D64),DAY(EOMONTH((Tahmin!$C$4+62),0))))&gt;=(Tahmin!$C$4+56),DATE(YEAR((Tahmin!$C$4+62)),MONTH((Tahmin!$C$4+62)),MIN(DAY(Kalemler!$D64),DAY(EOMONTH((Tahmin!$C$4+62),0))))&lt;=(Tahmin!$C$4+62),DATE(YEAR((Tahmin!$C$4+62)),MONTH((Tahmin!$C$4+62)),MIN(DAY(Kalemler!$D64),DAY(EOMONTH((Tahmin!$C$4+62),0))))&lt;&gt;DATE(YEAR((Tahmin!$C$4+56)),MONTH((Tahmin!$C$4+56)),MIN(DAY(Kalemler!$D64),DAY(EOMONTH((Tahmin!$C$4+56),0)))),DATE(YEAR((Tahmin!$C$4+62)),MONTH((Tahmin!$C$4+62)),MIN(DAY(Kalemler!$D64),DAY(EOMONTH((Tahmin!$C$4+62),0))))&gt;=Kalemler!$D64)),1,0),IF(AND(Kalemler!$D64&gt;=(Tahmin!$C$4+56),Kalemler!$D64&lt;=(Tahmin!$C$4+62)),1,0))))</f>
        <v>0</v>
      </c>
      <c r="K64" s="0" t="n">
        <f aca="false">IF(OR(Kalemler!$A64="",Kalemler!$C64="",Kalemler!$D64=""),0,Kalemler!$C64*IF(Kalemler!$E64="Haftalık",IF(Kalemler!$D64&lt;=(Tahmin!$C$4+69),1,0),IF(Kalemler!$E64="Aylık",IF(OR(AND(DATE(YEAR((Tahmin!$C$4+63)),MONTH((Tahmin!$C$4+63)),MIN(DAY(Kalemler!$D64),DAY(EOMONTH((Tahmin!$C$4+63),0))))&gt;=(Tahmin!$C$4+63),DATE(YEAR((Tahmin!$C$4+63)),MONTH((Tahmin!$C$4+63)),MIN(DAY(Kalemler!$D64),DAY(EOMONTH((Tahmin!$C$4+63),0))))&lt;=(Tahmin!$C$4+69),DATE(YEAR((Tahmin!$C$4+63)),MONTH((Tahmin!$C$4+63)),MIN(DAY(Kalemler!$D64),DAY(EOMONTH((Tahmin!$C$4+63),0))))&gt;=Kalemler!$D64),AND(DATE(YEAR((Tahmin!$C$4+69)),MONTH((Tahmin!$C$4+69)),MIN(DAY(Kalemler!$D64),DAY(EOMONTH((Tahmin!$C$4+69),0))))&gt;=(Tahmin!$C$4+63),DATE(YEAR((Tahmin!$C$4+69)),MONTH((Tahmin!$C$4+69)),MIN(DAY(Kalemler!$D64),DAY(EOMONTH((Tahmin!$C$4+69),0))))&lt;=(Tahmin!$C$4+69),DATE(YEAR((Tahmin!$C$4+69)),MONTH((Tahmin!$C$4+69)),MIN(DAY(Kalemler!$D64),DAY(EOMONTH((Tahmin!$C$4+69),0))))&lt;&gt;DATE(YEAR((Tahmin!$C$4+63)),MONTH((Tahmin!$C$4+63)),MIN(DAY(Kalemler!$D64),DAY(EOMONTH((Tahmin!$C$4+63),0)))),DATE(YEAR((Tahmin!$C$4+69)),MONTH((Tahmin!$C$4+69)),MIN(DAY(Kalemler!$D64),DAY(EOMONTH((Tahmin!$C$4+69),0))))&gt;=Kalemler!$D64)),1,0),IF(AND(Kalemler!$D64&gt;=(Tahmin!$C$4+63),Kalemler!$D64&lt;=(Tahmin!$C$4+69)),1,0))))</f>
        <v>0</v>
      </c>
      <c r="L64" s="0" t="n">
        <f aca="false">IF(OR(Kalemler!$A64="",Kalemler!$C64="",Kalemler!$D64=""),0,Kalemler!$C64*IF(Kalemler!$E64="Haftalık",IF(Kalemler!$D64&lt;=(Tahmin!$C$4+76),1,0),IF(Kalemler!$E64="Aylık",IF(OR(AND(DATE(YEAR((Tahmin!$C$4+70)),MONTH((Tahmin!$C$4+70)),MIN(DAY(Kalemler!$D64),DAY(EOMONTH((Tahmin!$C$4+70),0))))&gt;=(Tahmin!$C$4+70),DATE(YEAR((Tahmin!$C$4+70)),MONTH((Tahmin!$C$4+70)),MIN(DAY(Kalemler!$D64),DAY(EOMONTH((Tahmin!$C$4+70),0))))&lt;=(Tahmin!$C$4+76),DATE(YEAR((Tahmin!$C$4+70)),MONTH((Tahmin!$C$4+70)),MIN(DAY(Kalemler!$D64),DAY(EOMONTH((Tahmin!$C$4+70),0))))&gt;=Kalemler!$D64),AND(DATE(YEAR((Tahmin!$C$4+76)),MONTH((Tahmin!$C$4+76)),MIN(DAY(Kalemler!$D64),DAY(EOMONTH((Tahmin!$C$4+76),0))))&gt;=(Tahmin!$C$4+70),DATE(YEAR((Tahmin!$C$4+76)),MONTH((Tahmin!$C$4+76)),MIN(DAY(Kalemler!$D64),DAY(EOMONTH((Tahmin!$C$4+76),0))))&lt;=(Tahmin!$C$4+76),DATE(YEAR((Tahmin!$C$4+76)),MONTH((Tahmin!$C$4+76)),MIN(DAY(Kalemler!$D64),DAY(EOMONTH((Tahmin!$C$4+76),0))))&lt;&gt;DATE(YEAR((Tahmin!$C$4+70)),MONTH((Tahmin!$C$4+70)),MIN(DAY(Kalemler!$D64),DAY(EOMONTH((Tahmin!$C$4+70),0)))),DATE(YEAR((Tahmin!$C$4+76)),MONTH((Tahmin!$C$4+76)),MIN(DAY(Kalemler!$D64),DAY(EOMONTH((Tahmin!$C$4+76),0))))&gt;=Kalemler!$D64)),1,0),IF(AND(Kalemler!$D64&gt;=(Tahmin!$C$4+70),Kalemler!$D64&lt;=(Tahmin!$C$4+76)),1,0))))</f>
        <v>0</v>
      </c>
      <c r="M64" s="0" t="n">
        <f aca="false">IF(OR(Kalemler!$A64="",Kalemler!$C64="",Kalemler!$D64=""),0,Kalemler!$C64*IF(Kalemler!$E64="Haftalık",IF(Kalemler!$D64&lt;=(Tahmin!$C$4+83),1,0),IF(Kalemler!$E64="Aylık",IF(OR(AND(DATE(YEAR((Tahmin!$C$4+77)),MONTH((Tahmin!$C$4+77)),MIN(DAY(Kalemler!$D64),DAY(EOMONTH((Tahmin!$C$4+77),0))))&gt;=(Tahmin!$C$4+77),DATE(YEAR((Tahmin!$C$4+77)),MONTH((Tahmin!$C$4+77)),MIN(DAY(Kalemler!$D64),DAY(EOMONTH((Tahmin!$C$4+77),0))))&lt;=(Tahmin!$C$4+83),DATE(YEAR((Tahmin!$C$4+77)),MONTH((Tahmin!$C$4+77)),MIN(DAY(Kalemler!$D64),DAY(EOMONTH((Tahmin!$C$4+77),0))))&gt;=Kalemler!$D64),AND(DATE(YEAR((Tahmin!$C$4+83)),MONTH((Tahmin!$C$4+83)),MIN(DAY(Kalemler!$D64),DAY(EOMONTH((Tahmin!$C$4+83),0))))&gt;=(Tahmin!$C$4+77),DATE(YEAR((Tahmin!$C$4+83)),MONTH((Tahmin!$C$4+83)),MIN(DAY(Kalemler!$D64),DAY(EOMONTH((Tahmin!$C$4+83),0))))&lt;=(Tahmin!$C$4+83),DATE(YEAR((Tahmin!$C$4+83)),MONTH((Tahmin!$C$4+83)),MIN(DAY(Kalemler!$D64),DAY(EOMONTH((Tahmin!$C$4+83),0))))&lt;&gt;DATE(YEAR((Tahmin!$C$4+77)),MONTH((Tahmin!$C$4+77)),MIN(DAY(Kalemler!$D64),DAY(EOMONTH((Tahmin!$C$4+77),0)))),DATE(YEAR((Tahmin!$C$4+83)),MONTH((Tahmin!$C$4+83)),MIN(DAY(Kalemler!$D64),DAY(EOMONTH((Tahmin!$C$4+83),0))))&gt;=Kalemler!$D64)),1,0),IF(AND(Kalemler!$D64&gt;=(Tahmin!$C$4+77),Kalemler!$D64&lt;=(Tahmin!$C$4+83)),1,0))))</f>
        <v>0</v>
      </c>
      <c r="N64" s="0" t="n">
        <f aca="false">IF(OR(Kalemler!$A64="",Kalemler!$C64="",Kalemler!$D64=""),0,Kalemler!$C64*IF(Kalemler!$E64="Haftalık",IF(Kalemler!$D64&lt;=(Tahmin!$C$4+90),1,0),IF(Kalemler!$E64="Aylık",IF(OR(AND(DATE(YEAR((Tahmin!$C$4+84)),MONTH((Tahmin!$C$4+84)),MIN(DAY(Kalemler!$D64),DAY(EOMONTH((Tahmin!$C$4+84),0))))&gt;=(Tahmin!$C$4+84),DATE(YEAR((Tahmin!$C$4+84)),MONTH((Tahmin!$C$4+84)),MIN(DAY(Kalemler!$D64),DAY(EOMONTH((Tahmin!$C$4+84),0))))&lt;=(Tahmin!$C$4+90),DATE(YEAR((Tahmin!$C$4+84)),MONTH((Tahmin!$C$4+84)),MIN(DAY(Kalemler!$D64),DAY(EOMONTH((Tahmin!$C$4+84),0))))&gt;=Kalemler!$D64),AND(DATE(YEAR((Tahmin!$C$4+90)),MONTH((Tahmin!$C$4+90)),MIN(DAY(Kalemler!$D64),DAY(EOMONTH((Tahmin!$C$4+90),0))))&gt;=(Tahmin!$C$4+84),DATE(YEAR((Tahmin!$C$4+90)),MONTH((Tahmin!$C$4+90)),MIN(DAY(Kalemler!$D64),DAY(EOMONTH((Tahmin!$C$4+90),0))))&lt;=(Tahmin!$C$4+90),DATE(YEAR((Tahmin!$C$4+90)),MONTH((Tahmin!$C$4+90)),MIN(DAY(Kalemler!$D64),DAY(EOMONTH((Tahmin!$C$4+90),0))))&lt;&gt;DATE(YEAR((Tahmin!$C$4+84)),MONTH((Tahmin!$C$4+84)),MIN(DAY(Kalemler!$D64),DAY(EOMONTH((Tahmin!$C$4+84),0)))),DATE(YEAR((Tahmin!$C$4+90)),MONTH((Tahmin!$C$4+90)),MIN(DAY(Kalemler!$D64),DAY(EOMONTH((Tahmin!$C$4+90),0))))&gt;=Kalemler!$D64)),1,0),IF(AND(Kalemler!$D64&gt;=(Tahmin!$C$4+84),Kalemler!$D64&lt;=(Tahmin!$C$4+90)),1,0))))</f>
        <v>0</v>
      </c>
    </row>
    <row r="65" customFormat="false" ht="15" hidden="false" customHeight="false" outlineLevel="0" collapsed="false">
      <c r="A65" s="0" t="str">
        <f aca="false">IF(Kalemler!A65="","",Kalemler!A65)</f>
        <v/>
      </c>
      <c r="B65" s="0" t="n">
        <f aca="false">IF(OR(Kalemler!$A65="",Kalemler!$C65="",Kalemler!$D65=""),0,Kalemler!$C65*IF(Kalemler!$E65="Haftalık",IF(Kalemler!$D65&lt;=(Tahmin!$C$4+6),1,0),IF(Kalemler!$E65="Aylık",IF(OR(AND(DATE(YEAR((Tahmin!$C$4+0)),MONTH((Tahmin!$C$4+0)),MIN(DAY(Kalemler!$D65),DAY(EOMONTH((Tahmin!$C$4+0),0))))&gt;=(Tahmin!$C$4+0),DATE(YEAR((Tahmin!$C$4+0)),MONTH((Tahmin!$C$4+0)),MIN(DAY(Kalemler!$D65),DAY(EOMONTH((Tahmin!$C$4+0),0))))&lt;=(Tahmin!$C$4+6),DATE(YEAR((Tahmin!$C$4+0)),MONTH((Tahmin!$C$4+0)),MIN(DAY(Kalemler!$D65),DAY(EOMONTH((Tahmin!$C$4+0),0))))&gt;=Kalemler!$D65),AND(DATE(YEAR((Tahmin!$C$4+6)),MONTH((Tahmin!$C$4+6)),MIN(DAY(Kalemler!$D65),DAY(EOMONTH((Tahmin!$C$4+6),0))))&gt;=(Tahmin!$C$4+0),DATE(YEAR((Tahmin!$C$4+6)),MONTH((Tahmin!$C$4+6)),MIN(DAY(Kalemler!$D65),DAY(EOMONTH((Tahmin!$C$4+6),0))))&lt;=(Tahmin!$C$4+6),DATE(YEAR((Tahmin!$C$4+6)),MONTH((Tahmin!$C$4+6)),MIN(DAY(Kalemler!$D65),DAY(EOMONTH((Tahmin!$C$4+6),0))))&lt;&gt;DATE(YEAR((Tahmin!$C$4+0)),MONTH((Tahmin!$C$4+0)),MIN(DAY(Kalemler!$D65),DAY(EOMONTH((Tahmin!$C$4+0),0)))),DATE(YEAR((Tahmin!$C$4+6)),MONTH((Tahmin!$C$4+6)),MIN(DAY(Kalemler!$D65),DAY(EOMONTH((Tahmin!$C$4+6),0))))&gt;=Kalemler!$D65)),1,0),IF(AND(Kalemler!$D65&gt;=(Tahmin!$C$4+0),Kalemler!$D65&lt;=(Tahmin!$C$4+6)),1,0))))</f>
        <v>0</v>
      </c>
      <c r="C65" s="0" t="n">
        <f aca="false">IF(OR(Kalemler!$A65="",Kalemler!$C65="",Kalemler!$D65=""),0,Kalemler!$C65*IF(Kalemler!$E65="Haftalık",IF(Kalemler!$D65&lt;=(Tahmin!$C$4+13),1,0),IF(Kalemler!$E65="Aylık",IF(OR(AND(DATE(YEAR((Tahmin!$C$4+7)),MONTH((Tahmin!$C$4+7)),MIN(DAY(Kalemler!$D65),DAY(EOMONTH((Tahmin!$C$4+7),0))))&gt;=(Tahmin!$C$4+7),DATE(YEAR((Tahmin!$C$4+7)),MONTH((Tahmin!$C$4+7)),MIN(DAY(Kalemler!$D65),DAY(EOMONTH((Tahmin!$C$4+7),0))))&lt;=(Tahmin!$C$4+13),DATE(YEAR((Tahmin!$C$4+7)),MONTH((Tahmin!$C$4+7)),MIN(DAY(Kalemler!$D65),DAY(EOMONTH((Tahmin!$C$4+7),0))))&gt;=Kalemler!$D65),AND(DATE(YEAR((Tahmin!$C$4+13)),MONTH((Tahmin!$C$4+13)),MIN(DAY(Kalemler!$D65),DAY(EOMONTH((Tahmin!$C$4+13),0))))&gt;=(Tahmin!$C$4+7),DATE(YEAR((Tahmin!$C$4+13)),MONTH((Tahmin!$C$4+13)),MIN(DAY(Kalemler!$D65),DAY(EOMONTH((Tahmin!$C$4+13),0))))&lt;=(Tahmin!$C$4+13),DATE(YEAR((Tahmin!$C$4+13)),MONTH((Tahmin!$C$4+13)),MIN(DAY(Kalemler!$D65),DAY(EOMONTH((Tahmin!$C$4+13),0))))&lt;&gt;DATE(YEAR((Tahmin!$C$4+7)),MONTH((Tahmin!$C$4+7)),MIN(DAY(Kalemler!$D65),DAY(EOMONTH((Tahmin!$C$4+7),0)))),DATE(YEAR((Tahmin!$C$4+13)),MONTH((Tahmin!$C$4+13)),MIN(DAY(Kalemler!$D65),DAY(EOMONTH((Tahmin!$C$4+13),0))))&gt;=Kalemler!$D65)),1,0),IF(AND(Kalemler!$D65&gt;=(Tahmin!$C$4+7),Kalemler!$D65&lt;=(Tahmin!$C$4+13)),1,0))))</f>
        <v>0</v>
      </c>
      <c r="D65" s="0" t="n">
        <f aca="false">IF(OR(Kalemler!$A65="",Kalemler!$C65="",Kalemler!$D65=""),0,Kalemler!$C65*IF(Kalemler!$E65="Haftalık",IF(Kalemler!$D65&lt;=(Tahmin!$C$4+20),1,0),IF(Kalemler!$E65="Aylık",IF(OR(AND(DATE(YEAR((Tahmin!$C$4+14)),MONTH((Tahmin!$C$4+14)),MIN(DAY(Kalemler!$D65),DAY(EOMONTH((Tahmin!$C$4+14),0))))&gt;=(Tahmin!$C$4+14),DATE(YEAR((Tahmin!$C$4+14)),MONTH((Tahmin!$C$4+14)),MIN(DAY(Kalemler!$D65),DAY(EOMONTH((Tahmin!$C$4+14),0))))&lt;=(Tahmin!$C$4+20),DATE(YEAR((Tahmin!$C$4+14)),MONTH((Tahmin!$C$4+14)),MIN(DAY(Kalemler!$D65),DAY(EOMONTH((Tahmin!$C$4+14),0))))&gt;=Kalemler!$D65),AND(DATE(YEAR((Tahmin!$C$4+20)),MONTH((Tahmin!$C$4+20)),MIN(DAY(Kalemler!$D65),DAY(EOMONTH((Tahmin!$C$4+20),0))))&gt;=(Tahmin!$C$4+14),DATE(YEAR((Tahmin!$C$4+20)),MONTH((Tahmin!$C$4+20)),MIN(DAY(Kalemler!$D65),DAY(EOMONTH((Tahmin!$C$4+20),0))))&lt;=(Tahmin!$C$4+20),DATE(YEAR((Tahmin!$C$4+20)),MONTH((Tahmin!$C$4+20)),MIN(DAY(Kalemler!$D65),DAY(EOMONTH((Tahmin!$C$4+20),0))))&lt;&gt;DATE(YEAR((Tahmin!$C$4+14)),MONTH((Tahmin!$C$4+14)),MIN(DAY(Kalemler!$D65),DAY(EOMONTH((Tahmin!$C$4+14),0)))),DATE(YEAR((Tahmin!$C$4+20)),MONTH((Tahmin!$C$4+20)),MIN(DAY(Kalemler!$D65),DAY(EOMONTH((Tahmin!$C$4+20),0))))&gt;=Kalemler!$D65)),1,0),IF(AND(Kalemler!$D65&gt;=(Tahmin!$C$4+14),Kalemler!$D65&lt;=(Tahmin!$C$4+20)),1,0))))</f>
        <v>0</v>
      </c>
      <c r="E65" s="0" t="n">
        <f aca="false">IF(OR(Kalemler!$A65="",Kalemler!$C65="",Kalemler!$D65=""),0,Kalemler!$C65*IF(Kalemler!$E65="Haftalık",IF(Kalemler!$D65&lt;=(Tahmin!$C$4+27),1,0),IF(Kalemler!$E65="Aylık",IF(OR(AND(DATE(YEAR((Tahmin!$C$4+21)),MONTH((Tahmin!$C$4+21)),MIN(DAY(Kalemler!$D65),DAY(EOMONTH((Tahmin!$C$4+21),0))))&gt;=(Tahmin!$C$4+21),DATE(YEAR((Tahmin!$C$4+21)),MONTH((Tahmin!$C$4+21)),MIN(DAY(Kalemler!$D65),DAY(EOMONTH((Tahmin!$C$4+21),0))))&lt;=(Tahmin!$C$4+27),DATE(YEAR((Tahmin!$C$4+21)),MONTH((Tahmin!$C$4+21)),MIN(DAY(Kalemler!$D65),DAY(EOMONTH((Tahmin!$C$4+21),0))))&gt;=Kalemler!$D65),AND(DATE(YEAR((Tahmin!$C$4+27)),MONTH((Tahmin!$C$4+27)),MIN(DAY(Kalemler!$D65),DAY(EOMONTH((Tahmin!$C$4+27),0))))&gt;=(Tahmin!$C$4+21),DATE(YEAR((Tahmin!$C$4+27)),MONTH((Tahmin!$C$4+27)),MIN(DAY(Kalemler!$D65),DAY(EOMONTH((Tahmin!$C$4+27),0))))&lt;=(Tahmin!$C$4+27),DATE(YEAR((Tahmin!$C$4+27)),MONTH((Tahmin!$C$4+27)),MIN(DAY(Kalemler!$D65),DAY(EOMONTH((Tahmin!$C$4+27),0))))&lt;&gt;DATE(YEAR((Tahmin!$C$4+21)),MONTH((Tahmin!$C$4+21)),MIN(DAY(Kalemler!$D65),DAY(EOMONTH((Tahmin!$C$4+21),0)))),DATE(YEAR((Tahmin!$C$4+27)),MONTH((Tahmin!$C$4+27)),MIN(DAY(Kalemler!$D65),DAY(EOMONTH((Tahmin!$C$4+27),0))))&gt;=Kalemler!$D65)),1,0),IF(AND(Kalemler!$D65&gt;=(Tahmin!$C$4+21),Kalemler!$D65&lt;=(Tahmin!$C$4+27)),1,0))))</f>
        <v>0</v>
      </c>
      <c r="F65" s="0" t="n">
        <f aca="false">IF(OR(Kalemler!$A65="",Kalemler!$C65="",Kalemler!$D65=""),0,Kalemler!$C65*IF(Kalemler!$E65="Haftalık",IF(Kalemler!$D65&lt;=(Tahmin!$C$4+34),1,0),IF(Kalemler!$E65="Aylık",IF(OR(AND(DATE(YEAR((Tahmin!$C$4+28)),MONTH((Tahmin!$C$4+28)),MIN(DAY(Kalemler!$D65),DAY(EOMONTH((Tahmin!$C$4+28),0))))&gt;=(Tahmin!$C$4+28),DATE(YEAR((Tahmin!$C$4+28)),MONTH((Tahmin!$C$4+28)),MIN(DAY(Kalemler!$D65),DAY(EOMONTH((Tahmin!$C$4+28),0))))&lt;=(Tahmin!$C$4+34),DATE(YEAR((Tahmin!$C$4+28)),MONTH((Tahmin!$C$4+28)),MIN(DAY(Kalemler!$D65),DAY(EOMONTH((Tahmin!$C$4+28),0))))&gt;=Kalemler!$D65),AND(DATE(YEAR((Tahmin!$C$4+34)),MONTH((Tahmin!$C$4+34)),MIN(DAY(Kalemler!$D65),DAY(EOMONTH((Tahmin!$C$4+34),0))))&gt;=(Tahmin!$C$4+28),DATE(YEAR((Tahmin!$C$4+34)),MONTH((Tahmin!$C$4+34)),MIN(DAY(Kalemler!$D65),DAY(EOMONTH((Tahmin!$C$4+34),0))))&lt;=(Tahmin!$C$4+34),DATE(YEAR((Tahmin!$C$4+34)),MONTH((Tahmin!$C$4+34)),MIN(DAY(Kalemler!$D65),DAY(EOMONTH((Tahmin!$C$4+34),0))))&lt;&gt;DATE(YEAR((Tahmin!$C$4+28)),MONTH((Tahmin!$C$4+28)),MIN(DAY(Kalemler!$D65),DAY(EOMONTH((Tahmin!$C$4+28),0)))),DATE(YEAR((Tahmin!$C$4+34)),MONTH((Tahmin!$C$4+34)),MIN(DAY(Kalemler!$D65),DAY(EOMONTH((Tahmin!$C$4+34),0))))&gt;=Kalemler!$D65)),1,0),IF(AND(Kalemler!$D65&gt;=(Tahmin!$C$4+28),Kalemler!$D65&lt;=(Tahmin!$C$4+34)),1,0))))</f>
        <v>0</v>
      </c>
      <c r="G65" s="0" t="n">
        <f aca="false">IF(OR(Kalemler!$A65="",Kalemler!$C65="",Kalemler!$D65=""),0,Kalemler!$C65*IF(Kalemler!$E65="Haftalık",IF(Kalemler!$D65&lt;=(Tahmin!$C$4+41),1,0),IF(Kalemler!$E65="Aylık",IF(OR(AND(DATE(YEAR((Tahmin!$C$4+35)),MONTH((Tahmin!$C$4+35)),MIN(DAY(Kalemler!$D65),DAY(EOMONTH((Tahmin!$C$4+35),0))))&gt;=(Tahmin!$C$4+35),DATE(YEAR((Tahmin!$C$4+35)),MONTH((Tahmin!$C$4+35)),MIN(DAY(Kalemler!$D65),DAY(EOMONTH((Tahmin!$C$4+35),0))))&lt;=(Tahmin!$C$4+41),DATE(YEAR((Tahmin!$C$4+35)),MONTH((Tahmin!$C$4+35)),MIN(DAY(Kalemler!$D65),DAY(EOMONTH((Tahmin!$C$4+35),0))))&gt;=Kalemler!$D65),AND(DATE(YEAR((Tahmin!$C$4+41)),MONTH((Tahmin!$C$4+41)),MIN(DAY(Kalemler!$D65),DAY(EOMONTH((Tahmin!$C$4+41),0))))&gt;=(Tahmin!$C$4+35),DATE(YEAR((Tahmin!$C$4+41)),MONTH((Tahmin!$C$4+41)),MIN(DAY(Kalemler!$D65),DAY(EOMONTH((Tahmin!$C$4+41),0))))&lt;=(Tahmin!$C$4+41),DATE(YEAR((Tahmin!$C$4+41)),MONTH((Tahmin!$C$4+41)),MIN(DAY(Kalemler!$D65),DAY(EOMONTH((Tahmin!$C$4+41),0))))&lt;&gt;DATE(YEAR((Tahmin!$C$4+35)),MONTH((Tahmin!$C$4+35)),MIN(DAY(Kalemler!$D65),DAY(EOMONTH((Tahmin!$C$4+35),0)))),DATE(YEAR((Tahmin!$C$4+41)),MONTH((Tahmin!$C$4+41)),MIN(DAY(Kalemler!$D65),DAY(EOMONTH((Tahmin!$C$4+41),0))))&gt;=Kalemler!$D65)),1,0),IF(AND(Kalemler!$D65&gt;=(Tahmin!$C$4+35),Kalemler!$D65&lt;=(Tahmin!$C$4+41)),1,0))))</f>
        <v>0</v>
      </c>
      <c r="H65" s="0" t="n">
        <f aca="false">IF(OR(Kalemler!$A65="",Kalemler!$C65="",Kalemler!$D65=""),0,Kalemler!$C65*IF(Kalemler!$E65="Haftalık",IF(Kalemler!$D65&lt;=(Tahmin!$C$4+48),1,0),IF(Kalemler!$E65="Aylık",IF(OR(AND(DATE(YEAR((Tahmin!$C$4+42)),MONTH((Tahmin!$C$4+42)),MIN(DAY(Kalemler!$D65),DAY(EOMONTH((Tahmin!$C$4+42),0))))&gt;=(Tahmin!$C$4+42),DATE(YEAR((Tahmin!$C$4+42)),MONTH((Tahmin!$C$4+42)),MIN(DAY(Kalemler!$D65),DAY(EOMONTH((Tahmin!$C$4+42),0))))&lt;=(Tahmin!$C$4+48),DATE(YEAR((Tahmin!$C$4+42)),MONTH((Tahmin!$C$4+42)),MIN(DAY(Kalemler!$D65),DAY(EOMONTH((Tahmin!$C$4+42),0))))&gt;=Kalemler!$D65),AND(DATE(YEAR((Tahmin!$C$4+48)),MONTH((Tahmin!$C$4+48)),MIN(DAY(Kalemler!$D65),DAY(EOMONTH((Tahmin!$C$4+48),0))))&gt;=(Tahmin!$C$4+42),DATE(YEAR((Tahmin!$C$4+48)),MONTH((Tahmin!$C$4+48)),MIN(DAY(Kalemler!$D65),DAY(EOMONTH((Tahmin!$C$4+48),0))))&lt;=(Tahmin!$C$4+48),DATE(YEAR((Tahmin!$C$4+48)),MONTH((Tahmin!$C$4+48)),MIN(DAY(Kalemler!$D65),DAY(EOMONTH((Tahmin!$C$4+48),0))))&lt;&gt;DATE(YEAR((Tahmin!$C$4+42)),MONTH((Tahmin!$C$4+42)),MIN(DAY(Kalemler!$D65),DAY(EOMONTH((Tahmin!$C$4+42),0)))),DATE(YEAR((Tahmin!$C$4+48)),MONTH((Tahmin!$C$4+48)),MIN(DAY(Kalemler!$D65),DAY(EOMONTH((Tahmin!$C$4+48),0))))&gt;=Kalemler!$D65)),1,0),IF(AND(Kalemler!$D65&gt;=(Tahmin!$C$4+42),Kalemler!$D65&lt;=(Tahmin!$C$4+48)),1,0))))</f>
        <v>0</v>
      </c>
      <c r="I65" s="0" t="n">
        <f aca="false">IF(OR(Kalemler!$A65="",Kalemler!$C65="",Kalemler!$D65=""),0,Kalemler!$C65*IF(Kalemler!$E65="Haftalık",IF(Kalemler!$D65&lt;=(Tahmin!$C$4+55),1,0),IF(Kalemler!$E65="Aylık",IF(OR(AND(DATE(YEAR((Tahmin!$C$4+49)),MONTH((Tahmin!$C$4+49)),MIN(DAY(Kalemler!$D65),DAY(EOMONTH((Tahmin!$C$4+49),0))))&gt;=(Tahmin!$C$4+49),DATE(YEAR((Tahmin!$C$4+49)),MONTH((Tahmin!$C$4+49)),MIN(DAY(Kalemler!$D65),DAY(EOMONTH((Tahmin!$C$4+49),0))))&lt;=(Tahmin!$C$4+55),DATE(YEAR((Tahmin!$C$4+49)),MONTH((Tahmin!$C$4+49)),MIN(DAY(Kalemler!$D65),DAY(EOMONTH((Tahmin!$C$4+49),0))))&gt;=Kalemler!$D65),AND(DATE(YEAR((Tahmin!$C$4+55)),MONTH((Tahmin!$C$4+55)),MIN(DAY(Kalemler!$D65),DAY(EOMONTH((Tahmin!$C$4+55),0))))&gt;=(Tahmin!$C$4+49),DATE(YEAR((Tahmin!$C$4+55)),MONTH((Tahmin!$C$4+55)),MIN(DAY(Kalemler!$D65),DAY(EOMONTH((Tahmin!$C$4+55),0))))&lt;=(Tahmin!$C$4+55),DATE(YEAR((Tahmin!$C$4+55)),MONTH((Tahmin!$C$4+55)),MIN(DAY(Kalemler!$D65),DAY(EOMONTH((Tahmin!$C$4+55),0))))&lt;&gt;DATE(YEAR((Tahmin!$C$4+49)),MONTH((Tahmin!$C$4+49)),MIN(DAY(Kalemler!$D65),DAY(EOMONTH((Tahmin!$C$4+49),0)))),DATE(YEAR((Tahmin!$C$4+55)),MONTH((Tahmin!$C$4+55)),MIN(DAY(Kalemler!$D65),DAY(EOMONTH((Tahmin!$C$4+55),0))))&gt;=Kalemler!$D65)),1,0),IF(AND(Kalemler!$D65&gt;=(Tahmin!$C$4+49),Kalemler!$D65&lt;=(Tahmin!$C$4+55)),1,0))))</f>
        <v>0</v>
      </c>
      <c r="J65" s="0" t="n">
        <f aca="false">IF(OR(Kalemler!$A65="",Kalemler!$C65="",Kalemler!$D65=""),0,Kalemler!$C65*IF(Kalemler!$E65="Haftalık",IF(Kalemler!$D65&lt;=(Tahmin!$C$4+62),1,0),IF(Kalemler!$E65="Aylık",IF(OR(AND(DATE(YEAR((Tahmin!$C$4+56)),MONTH((Tahmin!$C$4+56)),MIN(DAY(Kalemler!$D65),DAY(EOMONTH((Tahmin!$C$4+56),0))))&gt;=(Tahmin!$C$4+56),DATE(YEAR((Tahmin!$C$4+56)),MONTH((Tahmin!$C$4+56)),MIN(DAY(Kalemler!$D65),DAY(EOMONTH((Tahmin!$C$4+56),0))))&lt;=(Tahmin!$C$4+62),DATE(YEAR((Tahmin!$C$4+56)),MONTH((Tahmin!$C$4+56)),MIN(DAY(Kalemler!$D65),DAY(EOMONTH((Tahmin!$C$4+56),0))))&gt;=Kalemler!$D65),AND(DATE(YEAR((Tahmin!$C$4+62)),MONTH((Tahmin!$C$4+62)),MIN(DAY(Kalemler!$D65),DAY(EOMONTH((Tahmin!$C$4+62),0))))&gt;=(Tahmin!$C$4+56),DATE(YEAR((Tahmin!$C$4+62)),MONTH((Tahmin!$C$4+62)),MIN(DAY(Kalemler!$D65),DAY(EOMONTH((Tahmin!$C$4+62),0))))&lt;=(Tahmin!$C$4+62),DATE(YEAR((Tahmin!$C$4+62)),MONTH((Tahmin!$C$4+62)),MIN(DAY(Kalemler!$D65),DAY(EOMONTH((Tahmin!$C$4+62),0))))&lt;&gt;DATE(YEAR((Tahmin!$C$4+56)),MONTH((Tahmin!$C$4+56)),MIN(DAY(Kalemler!$D65),DAY(EOMONTH((Tahmin!$C$4+56),0)))),DATE(YEAR((Tahmin!$C$4+62)),MONTH((Tahmin!$C$4+62)),MIN(DAY(Kalemler!$D65),DAY(EOMONTH((Tahmin!$C$4+62),0))))&gt;=Kalemler!$D65)),1,0),IF(AND(Kalemler!$D65&gt;=(Tahmin!$C$4+56),Kalemler!$D65&lt;=(Tahmin!$C$4+62)),1,0))))</f>
        <v>0</v>
      </c>
      <c r="K65" s="0" t="n">
        <f aca="false">IF(OR(Kalemler!$A65="",Kalemler!$C65="",Kalemler!$D65=""),0,Kalemler!$C65*IF(Kalemler!$E65="Haftalık",IF(Kalemler!$D65&lt;=(Tahmin!$C$4+69),1,0),IF(Kalemler!$E65="Aylık",IF(OR(AND(DATE(YEAR((Tahmin!$C$4+63)),MONTH((Tahmin!$C$4+63)),MIN(DAY(Kalemler!$D65),DAY(EOMONTH((Tahmin!$C$4+63),0))))&gt;=(Tahmin!$C$4+63),DATE(YEAR((Tahmin!$C$4+63)),MONTH((Tahmin!$C$4+63)),MIN(DAY(Kalemler!$D65),DAY(EOMONTH((Tahmin!$C$4+63),0))))&lt;=(Tahmin!$C$4+69),DATE(YEAR((Tahmin!$C$4+63)),MONTH((Tahmin!$C$4+63)),MIN(DAY(Kalemler!$D65),DAY(EOMONTH((Tahmin!$C$4+63),0))))&gt;=Kalemler!$D65),AND(DATE(YEAR((Tahmin!$C$4+69)),MONTH((Tahmin!$C$4+69)),MIN(DAY(Kalemler!$D65),DAY(EOMONTH((Tahmin!$C$4+69),0))))&gt;=(Tahmin!$C$4+63),DATE(YEAR((Tahmin!$C$4+69)),MONTH((Tahmin!$C$4+69)),MIN(DAY(Kalemler!$D65),DAY(EOMONTH((Tahmin!$C$4+69),0))))&lt;=(Tahmin!$C$4+69),DATE(YEAR((Tahmin!$C$4+69)),MONTH((Tahmin!$C$4+69)),MIN(DAY(Kalemler!$D65),DAY(EOMONTH((Tahmin!$C$4+69),0))))&lt;&gt;DATE(YEAR((Tahmin!$C$4+63)),MONTH((Tahmin!$C$4+63)),MIN(DAY(Kalemler!$D65),DAY(EOMONTH((Tahmin!$C$4+63),0)))),DATE(YEAR((Tahmin!$C$4+69)),MONTH((Tahmin!$C$4+69)),MIN(DAY(Kalemler!$D65),DAY(EOMONTH((Tahmin!$C$4+69),0))))&gt;=Kalemler!$D65)),1,0),IF(AND(Kalemler!$D65&gt;=(Tahmin!$C$4+63),Kalemler!$D65&lt;=(Tahmin!$C$4+69)),1,0))))</f>
        <v>0</v>
      </c>
      <c r="L65" s="0" t="n">
        <f aca="false">IF(OR(Kalemler!$A65="",Kalemler!$C65="",Kalemler!$D65=""),0,Kalemler!$C65*IF(Kalemler!$E65="Haftalık",IF(Kalemler!$D65&lt;=(Tahmin!$C$4+76),1,0),IF(Kalemler!$E65="Aylık",IF(OR(AND(DATE(YEAR((Tahmin!$C$4+70)),MONTH((Tahmin!$C$4+70)),MIN(DAY(Kalemler!$D65),DAY(EOMONTH((Tahmin!$C$4+70),0))))&gt;=(Tahmin!$C$4+70),DATE(YEAR((Tahmin!$C$4+70)),MONTH((Tahmin!$C$4+70)),MIN(DAY(Kalemler!$D65),DAY(EOMONTH((Tahmin!$C$4+70),0))))&lt;=(Tahmin!$C$4+76),DATE(YEAR((Tahmin!$C$4+70)),MONTH((Tahmin!$C$4+70)),MIN(DAY(Kalemler!$D65),DAY(EOMONTH((Tahmin!$C$4+70),0))))&gt;=Kalemler!$D65),AND(DATE(YEAR((Tahmin!$C$4+76)),MONTH((Tahmin!$C$4+76)),MIN(DAY(Kalemler!$D65),DAY(EOMONTH((Tahmin!$C$4+76),0))))&gt;=(Tahmin!$C$4+70),DATE(YEAR((Tahmin!$C$4+76)),MONTH((Tahmin!$C$4+76)),MIN(DAY(Kalemler!$D65),DAY(EOMONTH((Tahmin!$C$4+76),0))))&lt;=(Tahmin!$C$4+76),DATE(YEAR((Tahmin!$C$4+76)),MONTH((Tahmin!$C$4+76)),MIN(DAY(Kalemler!$D65),DAY(EOMONTH((Tahmin!$C$4+76),0))))&lt;&gt;DATE(YEAR((Tahmin!$C$4+70)),MONTH((Tahmin!$C$4+70)),MIN(DAY(Kalemler!$D65),DAY(EOMONTH((Tahmin!$C$4+70),0)))),DATE(YEAR((Tahmin!$C$4+76)),MONTH((Tahmin!$C$4+76)),MIN(DAY(Kalemler!$D65),DAY(EOMONTH((Tahmin!$C$4+76),0))))&gt;=Kalemler!$D65)),1,0),IF(AND(Kalemler!$D65&gt;=(Tahmin!$C$4+70),Kalemler!$D65&lt;=(Tahmin!$C$4+76)),1,0))))</f>
        <v>0</v>
      </c>
      <c r="M65" s="0" t="n">
        <f aca="false">IF(OR(Kalemler!$A65="",Kalemler!$C65="",Kalemler!$D65=""),0,Kalemler!$C65*IF(Kalemler!$E65="Haftalık",IF(Kalemler!$D65&lt;=(Tahmin!$C$4+83),1,0),IF(Kalemler!$E65="Aylık",IF(OR(AND(DATE(YEAR((Tahmin!$C$4+77)),MONTH((Tahmin!$C$4+77)),MIN(DAY(Kalemler!$D65),DAY(EOMONTH((Tahmin!$C$4+77),0))))&gt;=(Tahmin!$C$4+77),DATE(YEAR((Tahmin!$C$4+77)),MONTH((Tahmin!$C$4+77)),MIN(DAY(Kalemler!$D65),DAY(EOMONTH((Tahmin!$C$4+77),0))))&lt;=(Tahmin!$C$4+83),DATE(YEAR((Tahmin!$C$4+77)),MONTH((Tahmin!$C$4+77)),MIN(DAY(Kalemler!$D65),DAY(EOMONTH((Tahmin!$C$4+77),0))))&gt;=Kalemler!$D65),AND(DATE(YEAR((Tahmin!$C$4+83)),MONTH((Tahmin!$C$4+83)),MIN(DAY(Kalemler!$D65),DAY(EOMONTH((Tahmin!$C$4+83),0))))&gt;=(Tahmin!$C$4+77),DATE(YEAR((Tahmin!$C$4+83)),MONTH((Tahmin!$C$4+83)),MIN(DAY(Kalemler!$D65),DAY(EOMONTH((Tahmin!$C$4+83),0))))&lt;=(Tahmin!$C$4+83),DATE(YEAR((Tahmin!$C$4+83)),MONTH((Tahmin!$C$4+83)),MIN(DAY(Kalemler!$D65),DAY(EOMONTH((Tahmin!$C$4+83),0))))&lt;&gt;DATE(YEAR((Tahmin!$C$4+77)),MONTH((Tahmin!$C$4+77)),MIN(DAY(Kalemler!$D65),DAY(EOMONTH((Tahmin!$C$4+77),0)))),DATE(YEAR((Tahmin!$C$4+83)),MONTH((Tahmin!$C$4+83)),MIN(DAY(Kalemler!$D65),DAY(EOMONTH((Tahmin!$C$4+83),0))))&gt;=Kalemler!$D65)),1,0),IF(AND(Kalemler!$D65&gt;=(Tahmin!$C$4+77),Kalemler!$D65&lt;=(Tahmin!$C$4+83)),1,0))))</f>
        <v>0</v>
      </c>
      <c r="N65" s="0" t="n">
        <f aca="false">IF(OR(Kalemler!$A65="",Kalemler!$C65="",Kalemler!$D65=""),0,Kalemler!$C65*IF(Kalemler!$E65="Haftalık",IF(Kalemler!$D65&lt;=(Tahmin!$C$4+90),1,0),IF(Kalemler!$E65="Aylık",IF(OR(AND(DATE(YEAR((Tahmin!$C$4+84)),MONTH((Tahmin!$C$4+84)),MIN(DAY(Kalemler!$D65),DAY(EOMONTH((Tahmin!$C$4+84),0))))&gt;=(Tahmin!$C$4+84),DATE(YEAR((Tahmin!$C$4+84)),MONTH((Tahmin!$C$4+84)),MIN(DAY(Kalemler!$D65),DAY(EOMONTH((Tahmin!$C$4+84),0))))&lt;=(Tahmin!$C$4+90),DATE(YEAR((Tahmin!$C$4+84)),MONTH((Tahmin!$C$4+84)),MIN(DAY(Kalemler!$D65),DAY(EOMONTH((Tahmin!$C$4+84),0))))&gt;=Kalemler!$D65),AND(DATE(YEAR((Tahmin!$C$4+90)),MONTH((Tahmin!$C$4+90)),MIN(DAY(Kalemler!$D65),DAY(EOMONTH((Tahmin!$C$4+90),0))))&gt;=(Tahmin!$C$4+84),DATE(YEAR((Tahmin!$C$4+90)),MONTH((Tahmin!$C$4+90)),MIN(DAY(Kalemler!$D65),DAY(EOMONTH((Tahmin!$C$4+90),0))))&lt;=(Tahmin!$C$4+90),DATE(YEAR((Tahmin!$C$4+90)),MONTH((Tahmin!$C$4+90)),MIN(DAY(Kalemler!$D65),DAY(EOMONTH((Tahmin!$C$4+90),0))))&lt;&gt;DATE(YEAR((Tahmin!$C$4+84)),MONTH((Tahmin!$C$4+84)),MIN(DAY(Kalemler!$D65),DAY(EOMONTH((Tahmin!$C$4+84),0)))),DATE(YEAR((Tahmin!$C$4+90)),MONTH((Tahmin!$C$4+90)),MIN(DAY(Kalemler!$D65),DAY(EOMONTH((Tahmin!$C$4+90),0))))&gt;=Kalemler!$D65)),1,0),IF(AND(Kalemler!$D65&gt;=(Tahmin!$C$4+84),Kalemler!$D65&lt;=(Tahmin!$C$4+90)),1,0))))</f>
        <v>0</v>
      </c>
    </row>
    <row r="66" customFormat="false" ht="15" hidden="false" customHeight="false" outlineLevel="0" collapsed="false">
      <c r="A66" s="0" t="str">
        <f aca="false">IF(Kalemler!A66="","",Kalemler!A66)</f>
        <v/>
      </c>
      <c r="B66" s="0" t="n">
        <f aca="false">IF(OR(Kalemler!$A66="",Kalemler!$C66="",Kalemler!$D66=""),0,Kalemler!$C66*IF(Kalemler!$E66="Haftalık",IF(Kalemler!$D66&lt;=(Tahmin!$C$4+6),1,0),IF(Kalemler!$E66="Aylık",IF(OR(AND(DATE(YEAR((Tahmin!$C$4+0)),MONTH((Tahmin!$C$4+0)),MIN(DAY(Kalemler!$D66),DAY(EOMONTH((Tahmin!$C$4+0),0))))&gt;=(Tahmin!$C$4+0),DATE(YEAR((Tahmin!$C$4+0)),MONTH((Tahmin!$C$4+0)),MIN(DAY(Kalemler!$D66),DAY(EOMONTH((Tahmin!$C$4+0),0))))&lt;=(Tahmin!$C$4+6),DATE(YEAR((Tahmin!$C$4+0)),MONTH((Tahmin!$C$4+0)),MIN(DAY(Kalemler!$D66),DAY(EOMONTH((Tahmin!$C$4+0),0))))&gt;=Kalemler!$D66),AND(DATE(YEAR((Tahmin!$C$4+6)),MONTH((Tahmin!$C$4+6)),MIN(DAY(Kalemler!$D66),DAY(EOMONTH((Tahmin!$C$4+6),0))))&gt;=(Tahmin!$C$4+0),DATE(YEAR((Tahmin!$C$4+6)),MONTH((Tahmin!$C$4+6)),MIN(DAY(Kalemler!$D66),DAY(EOMONTH((Tahmin!$C$4+6),0))))&lt;=(Tahmin!$C$4+6),DATE(YEAR((Tahmin!$C$4+6)),MONTH((Tahmin!$C$4+6)),MIN(DAY(Kalemler!$D66),DAY(EOMONTH((Tahmin!$C$4+6),0))))&lt;&gt;DATE(YEAR((Tahmin!$C$4+0)),MONTH((Tahmin!$C$4+0)),MIN(DAY(Kalemler!$D66),DAY(EOMONTH((Tahmin!$C$4+0),0)))),DATE(YEAR((Tahmin!$C$4+6)),MONTH((Tahmin!$C$4+6)),MIN(DAY(Kalemler!$D66),DAY(EOMONTH((Tahmin!$C$4+6),0))))&gt;=Kalemler!$D66)),1,0),IF(AND(Kalemler!$D66&gt;=(Tahmin!$C$4+0),Kalemler!$D66&lt;=(Tahmin!$C$4+6)),1,0))))</f>
        <v>0</v>
      </c>
      <c r="C66" s="0" t="n">
        <f aca="false">IF(OR(Kalemler!$A66="",Kalemler!$C66="",Kalemler!$D66=""),0,Kalemler!$C66*IF(Kalemler!$E66="Haftalık",IF(Kalemler!$D66&lt;=(Tahmin!$C$4+13),1,0),IF(Kalemler!$E66="Aylık",IF(OR(AND(DATE(YEAR((Tahmin!$C$4+7)),MONTH((Tahmin!$C$4+7)),MIN(DAY(Kalemler!$D66),DAY(EOMONTH((Tahmin!$C$4+7),0))))&gt;=(Tahmin!$C$4+7),DATE(YEAR((Tahmin!$C$4+7)),MONTH((Tahmin!$C$4+7)),MIN(DAY(Kalemler!$D66),DAY(EOMONTH((Tahmin!$C$4+7),0))))&lt;=(Tahmin!$C$4+13),DATE(YEAR((Tahmin!$C$4+7)),MONTH((Tahmin!$C$4+7)),MIN(DAY(Kalemler!$D66),DAY(EOMONTH((Tahmin!$C$4+7),0))))&gt;=Kalemler!$D66),AND(DATE(YEAR((Tahmin!$C$4+13)),MONTH((Tahmin!$C$4+13)),MIN(DAY(Kalemler!$D66),DAY(EOMONTH((Tahmin!$C$4+13),0))))&gt;=(Tahmin!$C$4+7),DATE(YEAR((Tahmin!$C$4+13)),MONTH((Tahmin!$C$4+13)),MIN(DAY(Kalemler!$D66),DAY(EOMONTH((Tahmin!$C$4+13),0))))&lt;=(Tahmin!$C$4+13),DATE(YEAR((Tahmin!$C$4+13)),MONTH((Tahmin!$C$4+13)),MIN(DAY(Kalemler!$D66),DAY(EOMONTH((Tahmin!$C$4+13),0))))&lt;&gt;DATE(YEAR((Tahmin!$C$4+7)),MONTH((Tahmin!$C$4+7)),MIN(DAY(Kalemler!$D66),DAY(EOMONTH((Tahmin!$C$4+7),0)))),DATE(YEAR((Tahmin!$C$4+13)),MONTH((Tahmin!$C$4+13)),MIN(DAY(Kalemler!$D66),DAY(EOMONTH((Tahmin!$C$4+13),0))))&gt;=Kalemler!$D66)),1,0),IF(AND(Kalemler!$D66&gt;=(Tahmin!$C$4+7),Kalemler!$D66&lt;=(Tahmin!$C$4+13)),1,0))))</f>
        <v>0</v>
      </c>
      <c r="D66" s="0" t="n">
        <f aca="false">IF(OR(Kalemler!$A66="",Kalemler!$C66="",Kalemler!$D66=""),0,Kalemler!$C66*IF(Kalemler!$E66="Haftalık",IF(Kalemler!$D66&lt;=(Tahmin!$C$4+20),1,0),IF(Kalemler!$E66="Aylık",IF(OR(AND(DATE(YEAR((Tahmin!$C$4+14)),MONTH((Tahmin!$C$4+14)),MIN(DAY(Kalemler!$D66),DAY(EOMONTH((Tahmin!$C$4+14),0))))&gt;=(Tahmin!$C$4+14),DATE(YEAR((Tahmin!$C$4+14)),MONTH((Tahmin!$C$4+14)),MIN(DAY(Kalemler!$D66),DAY(EOMONTH((Tahmin!$C$4+14),0))))&lt;=(Tahmin!$C$4+20),DATE(YEAR((Tahmin!$C$4+14)),MONTH((Tahmin!$C$4+14)),MIN(DAY(Kalemler!$D66),DAY(EOMONTH((Tahmin!$C$4+14),0))))&gt;=Kalemler!$D66),AND(DATE(YEAR((Tahmin!$C$4+20)),MONTH((Tahmin!$C$4+20)),MIN(DAY(Kalemler!$D66),DAY(EOMONTH((Tahmin!$C$4+20),0))))&gt;=(Tahmin!$C$4+14),DATE(YEAR((Tahmin!$C$4+20)),MONTH((Tahmin!$C$4+20)),MIN(DAY(Kalemler!$D66),DAY(EOMONTH((Tahmin!$C$4+20),0))))&lt;=(Tahmin!$C$4+20),DATE(YEAR((Tahmin!$C$4+20)),MONTH((Tahmin!$C$4+20)),MIN(DAY(Kalemler!$D66),DAY(EOMONTH((Tahmin!$C$4+20),0))))&lt;&gt;DATE(YEAR((Tahmin!$C$4+14)),MONTH((Tahmin!$C$4+14)),MIN(DAY(Kalemler!$D66),DAY(EOMONTH((Tahmin!$C$4+14),0)))),DATE(YEAR((Tahmin!$C$4+20)),MONTH((Tahmin!$C$4+20)),MIN(DAY(Kalemler!$D66),DAY(EOMONTH((Tahmin!$C$4+20),0))))&gt;=Kalemler!$D66)),1,0),IF(AND(Kalemler!$D66&gt;=(Tahmin!$C$4+14),Kalemler!$D66&lt;=(Tahmin!$C$4+20)),1,0))))</f>
        <v>0</v>
      </c>
      <c r="E66" s="0" t="n">
        <f aca="false">IF(OR(Kalemler!$A66="",Kalemler!$C66="",Kalemler!$D66=""),0,Kalemler!$C66*IF(Kalemler!$E66="Haftalık",IF(Kalemler!$D66&lt;=(Tahmin!$C$4+27),1,0),IF(Kalemler!$E66="Aylık",IF(OR(AND(DATE(YEAR((Tahmin!$C$4+21)),MONTH((Tahmin!$C$4+21)),MIN(DAY(Kalemler!$D66),DAY(EOMONTH((Tahmin!$C$4+21),0))))&gt;=(Tahmin!$C$4+21),DATE(YEAR((Tahmin!$C$4+21)),MONTH((Tahmin!$C$4+21)),MIN(DAY(Kalemler!$D66),DAY(EOMONTH((Tahmin!$C$4+21),0))))&lt;=(Tahmin!$C$4+27),DATE(YEAR((Tahmin!$C$4+21)),MONTH((Tahmin!$C$4+21)),MIN(DAY(Kalemler!$D66),DAY(EOMONTH((Tahmin!$C$4+21),0))))&gt;=Kalemler!$D66),AND(DATE(YEAR((Tahmin!$C$4+27)),MONTH((Tahmin!$C$4+27)),MIN(DAY(Kalemler!$D66),DAY(EOMONTH((Tahmin!$C$4+27),0))))&gt;=(Tahmin!$C$4+21),DATE(YEAR((Tahmin!$C$4+27)),MONTH((Tahmin!$C$4+27)),MIN(DAY(Kalemler!$D66),DAY(EOMONTH((Tahmin!$C$4+27),0))))&lt;=(Tahmin!$C$4+27),DATE(YEAR((Tahmin!$C$4+27)),MONTH((Tahmin!$C$4+27)),MIN(DAY(Kalemler!$D66),DAY(EOMONTH((Tahmin!$C$4+27),0))))&lt;&gt;DATE(YEAR((Tahmin!$C$4+21)),MONTH((Tahmin!$C$4+21)),MIN(DAY(Kalemler!$D66),DAY(EOMONTH((Tahmin!$C$4+21),0)))),DATE(YEAR((Tahmin!$C$4+27)),MONTH((Tahmin!$C$4+27)),MIN(DAY(Kalemler!$D66),DAY(EOMONTH((Tahmin!$C$4+27),0))))&gt;=Kalemler!$D66)),1,0),IF(AND(Kalemler!$D66&gt;=(Tahmin!$C$4+21),Kalemler!$D66&lt;=(Tahmin!$C$4+27)),1,0))))</f>
        <v>0</v>
      </c>
      <c r="F66" s="0" t="n">
        <f aca="false">IF(OR(Kalemler!$A66="",Kalemler!$C66="",Kalemler!$D66=""),0,Kalemler!$C66*IF(Kalemler!$E66="Haftalık",IF(Kalemler!$D66&lt;=(Tahmin!$C$4+34),1,0),IF(Kalemler!$E66="Aylık",IF(OR(AND(DATE(YEAR((Tahmin!$C$4+28)),MONTH((Tahmin!$C$4+28)),MIN(DAY(Kalemler!$D66),DAY(EOMONTH((Tahmin!$C$4+28),0))))&gt;=(Tahmin!$C$4+28),DATE(YEAR((Tahmin!$C$4+28)),MONTH((Tahmin!$C$4+28)),MIN(DAY(Kalemler!$D66),DAY(EOMONTH((Tahmin!$C$4+28),0))))&lt;=(Tahmin!$C$4+34),DATE(YEAR((Tahmin!$C$4+28)),MONTH((Tahmin!$C$4+28)),MIN(DAY(Kalemler!$D66),DAY(EOMONTH((Tahmin!$C$4+28),0))))&gt;=Kalemler!$D66),AND(DATE(YEAR((Tahmin!$C$4+34)),MONTH((Tahmin!$C$4+34)),MIN(DAY(Kalemler!$D66),DAY(EOMONTH((Tahmin!$C$4+34),0))))&gt;=(Tahmin!$C$4+28),DATE(YEAR((Tahmin!$C$4+34)),MONTH((Tahmin!$C$4+34)),MIN(DAY(Kalemler!$D66),DAY(EOMONTH((Tahmin!$C$4+34),0))))&lt;=(Tahmin!$C$4+34),DATE(YEAR((Tahmin!$C$4+34)),MONTH((Tahmin!$C$4+34)),MIN(DAY(Kalemler!$D66),DAY(EOMONTH((Tahmin!$C$4+34),0))))&lt;&gt;DATE(YEAR((Tahmin!$C$4+28)),MONTH((Tahmin!$C$4+28)),MIN(DAY(Kalemler!$D66),DAY(EOMONTH((Tahmin!$C$4+28),0)))),DATE(YEAR((Tahmin!$C$4+34)),MONTH((Tahmin!$C$4+34)),MIN(DAY(Kalemler!$D66),DAY(EOMONTH((Tahmin!$C$4+34),0))))&gt;=Kalemler!$D66)),1,0),IF(AND(Kalemler!$D66&gt;=(Tahmin!$C$4+28),Kalemler!$D66&lt;=(Tahmin!$C$4+34)),1,0))))</f>
        <v>0</v>
      </c>
      <c r="G66" s="0" t="n">
        <f aca="false">IF(OR(Kalemler!$A66="",Kalemler!$C66="",Kalemler!$D66=""),0,Kalemler!$C66*IF(Kalemler!$E66="Haftalık",IF(Kalemler!$D66&lt;=(Tahmin!$C$4+41),1,0),IF(Kalemler!$E66="Aylık",IF(OR(AND(DATE(YEAR((Tahmin!$C$4+35)),MONTH((Tahmin!$C$4+35)),MIN(DAY(Kalemler!$D66),DAY(EOMONTH((Tahmin!$C$4+35),0))))&gt;=(Tahmin!$C$4+35),DATE(YEAR((Tahmin!$C$4+35)),MONTH((Tahmin!$C$4+35)),MIN(DAY(Kalemler!$D66),DAY(EOMONTH((Tahmin!$C$4+35),0))))&lt;=(Tahmin!$C$4+41),DATE(YEAR((Tahmin!$C$4+35)),MONTH((Tahmin!$C$4+35)),MIN(DAY(Kalemler!$D66),DAY(EOMONTH((Tahmin!$C$4+35),0))))&gt;=Kalemler!$D66),AND(DATE(YEAR((Tahmin!$C$4+41)),MONTH((Tahmin!$C$4+41)),MIN(DAY(Kalemler!$D66),DAY(EOMONTH((Tahmin!$C$4+41),0))))&gt;=(Tahmin!$C$4+35),DATE(YEAR((Tahmin!$C$4+41)),MONTH((Tahmin!$C$4+41)),MIN(DAY(Kalemler!$D66),DAY(EOMONTH((Tahmin!$C$4+41),0))))&lt;=(Tahmin!$C$4+41),DATE(YEAR((Tahmin!$C$4+41)),MONTH((Tahmin!$C$4+41)),MIN(DAY(Kalemler!$D66),DAY(EOMONTH((Tahmin!$C$4+41),0))))&lt;&gt;DATE(YEAR((Tahmin!$C$4+35)),MONTH((Tahmin!$C$4+35)),MIN(DAY(Kalemler!$D66),DAY(EOMONTH((Tahmin!$C$4+35),0)))),DATE(YEAR((Tahmin!$C$4+41)),MONTH((Tahmin!$C$4+41)),MIN(DAY(Kalemler!$D66),DAY(EOMONTH((Tahmin!$C$4+41),0))))&gt;=Kalemler!$D66)),1,0),IF(AND(Kalemler!$D66&gt;=(Tahmin!$C$4+35),Kalemler!$D66&lt;=(Tahmin!$C$4+41)),1,0))))</f>
        <v>0</v>
      </c>
      <c r="H66" s="0" t="n">
        <f aca="false">IF(OR(Kalemler!$A66="",Kalemler!$C66="",Kalemler!$D66=""),0,Kalemler!$C66*IF(Kalemler!$E66="Haftalık",IF(Kalemler!$D66&lt;=(Tahmin!$C$4+48),1,0),IF(Kalemler!$E66="Aylık",IF(OR(AND(DATE(YEAR((Tahmin!$C$4+42)),MONTH((Tahmin!$C$4+42)),MIN(DAY(Kalemler!$D66),DAY(EOMONTH((Tahmin!$C$4+42),0))))&gt;=(Tahmin!$C$4+42),DATE(YEAR((Tahmin!$C$4+42)),MONTH((Tahmin!$C$4+42)),MIN(DAY(Kalemler!$D66),DAY(EOMONTH((Tahmin!$C$4+42),0))))&lt;=(Tahmin!$C$4+48),DATE(YEAR((Tahmin!$C$4+42)),MONTH((Tahmin!$C$4+42)),MIN(DAY(Kalemler!$D66),DAY(EOMONTH((Tahmin!$C$4+42),0))))&gt;=Kalemler!$D66),AND(DATE(YEAR((Tahmin!$C$4+48)),MONTH((Tahmin!$C$4+48)),MIN(DAY(Kalemler!$D66),DAY(EOMONTH((Tahmin!$C$4+48),0))))&gt;=(Tahmin!$C$4+42),DATE(YEAR((Tahmin!$C$4+48)),MONTH((Tahmin!$C$4+48)),MIN(DAY(Kalemler!$D66),DAY(EOMONTH((Tahmin!$C$4+48),0))))&lt;=(Tahmin!$C$4+48),DATE(YEAR((Tahmin!$C$4+48)),MONTH((Tahmin!$C$4+48)),MIN(DAY(Kalemler!$D66),DAY(EOMONTH((Tahmin!$C$4+48),0))))&lt;&gt;DATE(YEAR((Tahmin!$C$4+42)),MONTH((Tahmin!$C$4+42)),MIN(DAY(Kalemler!$D66),DAY(EOMONTH((Tahmin!$C$4+42),0)))),DATE(YEAR((Tahmin!$C$4+48)),MONTH((Tahmin!$C$4+48)),MIN(DAY(Kalemler!$D66),DAY(EOMONTH((Tahmin!$C$4+48),0))))&gt;=Kalemler!$D66)),1,0),IF(AND(Kalemler!$D66&gt;=(Tahmin!$C$4+42),Kalemler!$D66&lt;=(Tahmin!$C$4+48)),1,0))))</f>
        <v>0</v>
      </c>
      <c r="I66" s="0" t="n">
        <f aca="false">IF(OR(Kalemler!$A66="",Kalemler!$C66="",Kalemler!$D66=""),0,Kalemler!$C66*IF(Kalemler!$E66="Haftalık",IF(Kalemler!$D66&lt;=(Tahmin!$C$4+55),1,0),IF(Kalemler!$E66="Aylık",IF(OR(AND(DATE(YEAR((Tahmin!$C$4+49)),MONTH((Tahmin!$C$4+49)),MIN(DAY(Kalemler!$D66),DAY(EOMONTH((Tahmin!$C$4+49),0))))&gt;=(Tahmin!$C$4+49),DATE(YEAR((Tahmin!$C$4+49)),MONTH((Tahmin!$C$4+49)),MIN(DAY(Kalemler!$D66),DAY(EOMONTH((Tahmin!$C$4+49),0))))&lt;=(Tahmin!$C$4+55),DATE(YEAR((Tahmin!$C$4+49)),MONTH((Tahmin!$C$4+49)),MIN(DAY(Kalemler!$D66),DAY(EOMONTH((Tahmin!$C$4+49),0))))&gt;=Kalemler!$D66),AND(DATE(YEAR((Tahmin!$C$4+55)),MONTH((Tahmin!$C$4+55)),MIN(DAY(Kalemler!$D66),DAY(EOMONTH((Tahmin!$C$4+55),0))))&gt;=(Tahmin!$C$4+49),DATE(YEAR((Tahmin!$C$4+55)),MONTH((Tahmin!$C$4+55)),MIN(DAY(Kalemler!$D66),DAY(EOMONTH((Tahmin!$C$4+55),0))))&lt;=(Tahmin!$C$4+55),DATE(YEAR((Tahmin!$C$4+55)),MONTH((Tahmin!$C$4+55)),MIN(DAY(Kalemler!$D66),DAY(EOMONTH((Tahmin!$C$4+55),0))))&lt;&gt;DATE(YEAR((Tahmin!$C$4+49)),MONTH((Tahmin!$C$4+49)),MIN(DAY(Kalemler!$D66),DAY(EOMONTH((Tahmin!$C$4+49),0)))),DATE(YEAR((Tahmin!$C$4+55)),MONTH((Tahmin!$C$4+55)),MIN(DAY(Kalemler!$D66),DAY(EOMONTH((Tahmin!$C$4+55),0))))&gt;=Kalemler!$D66)),1,0),IF(AND(Kalemler!$D66&gt;=(Tahmin!$C$4+49),Kalemler!$D66&lt;=(Tahmin!$C$4+55)),1,0))))</f>
        <v>0</v>
      </c>
      <c r="J66" s="0" t="n">
        <f aca="false">IF(OR(Kalemler!$A66="",Kalemler!$C66="",Kalemler!$D66=""),0,Kalemler!$C66*IF(Kalemler!$E66="Haftalık",IF(Kalemler!$D66&lt;=(Tahmin!$C$4+62),1,0),IF(Kalemler!$E66="Aylık",IF(OR(AND(DATE(YEAR((Tahmin!$C$4+56)),MONTH((Tahmin!$C$4+56)),MIN(DAY(Kalemler!$D66),DAY(EOMONTH((Tahmin!$C$4+56),0))))&gt;=(Tahmin!$C$4+56),DATE(YEAR((Tahmin!$C$4+56)),MONTH((Tahmin!$C$4+56)),MIN(DAY(Kalemler!$D66),DAY(EOMONTH((Tahmin!$C$4+56),0))))&lt;=(Tahmin!$C$4+62),DATE(YEAR((Tahmin!$C$4+56)),MONTH((Tahmin!$C$4+56)),MIN(DAY(Kalemler!$D66),DAY(EOMONTH((Tahmin!$C$4+56),0))))&gt;=Kalemler!$D66),AND(DATE(YEAR((Tahmin!$C$4+62)),MONTH((Tahmin!$C$4+62)),MIN(DAY(Kalemler!$D66),DAY(EOMONTH((Tahmin!$C$4+62),0))))&gt;=(Tahmin!$C$4+56),DATE(YEAR((Tahmin!$C$4+62)),MONTH((Tahmin!$C$4+62)),MIN(DAY(Kalemler!$D66),DAY(EOMONTH((Tahmin!$C$4+62),0))))&lt;=(Tahmin!$C$4+62),DATE(YEAR((Tahmin!$C$4+62)),MONTH((Tahmin!$C$4+62)),MIN(DAY(Kalemler!$D66),DAY(EOMONTH((Tahmin!$C$4+62),0))))&lt;&gt;DATE(YEAR((Tahmin!$C$4+56)),MONTH((Tahmin!$C$4+56)),MIN(DAY(Kalemler!$D66),DAY(EOMONTH((Tahmin!$C$4+56),0)))),DATE(YEAR((Tahmin!$C$4+62)),MONTH((Tahmin!$C$4+62)),MIN(DAY(Kalemler!$D66),DAY(EOMONTH((Tahmin!$C$4+62),0))))&gt;=Kalemler!$D66)),1,0),IF(AND(Kalemler!$D66&gt;=(Tahmin!$C$4+56),Kalemler!$D66&lt;=(Tahmin!$C$4+62)),1,0))))</f>
        <v>0</v>
      </c>
      <c r="K66" s="0" t="n">
        <f aca="false">IF(OR(Kalemler!$A66="",Kalemler!$C66="",Kalemler!$D66=""),0,Kalemler!$C66*IF(Kalemler!$E66="Haftalık",IF(Kalemler!$D66&lt;=(Tahmin!$C$4+69),1,0),IF(Kalemler!$E66="Aylık",IF(OR(AND(DATE(YEAR((Tahmin!$C$4+63)),MONTH((Tahmin!$C$4+63)),MIN(DAY(Kalemler!$D66),DAY(EOMONTH((Tahmin!$C$4+63),0))))&gt;=(Tahmin!$C$4+63),DATE(YEAR((Tahmin!$C$4+63)),MONTH((Tahmin!$C$4+63)),MIN(DAY(Kalemler!$D66),DAY(EOMONTH((Tahmin!$C$4+63),0))))&lt;=(Tahmin!$C$4+69),DATE(YEAR((Tahmin!$C$4+63)),MONTH((Tahmin!$C$4+63)),MIN(DAY(Kalemler!$D66),DAY(EOMONTH((Tahmin!$C$4+63),0))))&gt;=Kalemler!$D66),AND(DATE(YEAR((Tahmin!$C$4+69)),MONTH((Tahmin!$C$4+69)),MIN(DAY(Kalemler!$D66),DAY(EOMONTH((Tahmin!$C$4+69),0))))&gt;=(Tahmin!$C$4+63),DATE(YEAR((Tahmin!$C$4+69)),MONTH((Tahmin!$C$4+69)),MIN(DAY(Kalemler!$D66),DAY(EOMONTH((Tahmin!$C$4+69),0))))&lt;=(Tahmin!$C$4+69),DATE(YEAR((Tahmin!$C$4+69)),MONTH((Tahmin!$C$4+69)),MIN(DAY(Kalemler!$D66),DAY(EOMONTH((Tahmin!$C$4+69),0))))&lt;&gt;DATE(YEAR((Tahmin!$C$4+63)),MONTH((Tahmin!$C$4+63)),MIN(DAY(Kalemler!$D66),DAY(EOMONTH((Tahmin!$C$4+63),0)))),DATE(YEAR((Tahmin!$C$4+69)),MONTH((Tahmin!$C$4+69)),MIN(DAY(Kalemler!$D66),DAY(EOMONTH((Tahmin!$C$4+69),0))))&gt;=Kalemler!$D66)),1,0),IF(AND(Kalemler!$D66&gt;=(Tahmin!$C$4+63),Kalemler!$D66&lt;=(Tahmin!$C$4+69)),1,0))))</f>
        <v>0</v>
      </c>
      <c r="L66" s="0" t="n">
        <f aca="false">IF(OR(Kalemler!$A66="",Kalemler!$C66="",Kalemler!$D66=""),0,Kalemler!$C66*IF(Kalemler!$E66="Haftalık",IF(Kalemler!$D66&lt;=(Tahmin!$C$4+76),1,0),IF(Kalemler!$E66="Aylık",IF(OR(AND(DATE(YEAR((Tahmin!$C$4+70)),MONTH((Tahmin!$C$4+70)),MIN(DAY(Kalemler!$D66),DAY(EOMONTH((Tahmin!$C$4+70),0))))&gt;=(Tahmin!$C$4+70),DATE(YEAR((Tahmin!$C$4+70)),MONTH((Tahmin!$C$4+70)),MIN(DAY(Kalemler!$D66),DAY(EOMONTH((Tahmin!$C$4+70),0))))&lt;=(Tahmin!$C$4+76),DATE(YEAR((Tahmin!$C$4+70)),MONTH((Tahmin!$C$4+70)),MIN(DAY(Kalemler!$D66),DAY(EOMONTH((Tahmin!$C$4+70),0))))&gt;=Kalemler!$D66),AND(DATE(YEAR((Tahmin!$C$4+76)),MONTH((Tahmin!$C$4+76)),MIN(DAY(Kalemler!$D66),DAY(EOMONTH((Tahmin!$C$4+76),0))))&gt;=(Tahmin!$C$4+70),DATE(YEAR((Tahmin!$C$4+76)),MONTH((Tahmin!$C$4+76)),MIN(DAY(Kalemler!$D66),DAY(EOMONTH((Tahmin!$C$4+76),0))))&lt;=(Tahmin!$C$4+76),DATE(YEAR((Tahmin!$C$4+76)),MONTH((Tahmin!$C$4+76)),MIN(DAY(Kalemler!$D66),DAY(EOMONTH((Tahmin!$C$4+76),0))))&lt;&gt;DATE(YEAR((Tahmin!$C$4+70)),MONTH((Tahmin!$C$4+70)),MIN(DAY(Kalemler!$D66),DAY(EOMONTH((Tahmin!$C$4+70),0)))),DATE(YEAR((Tahmin!$C$4+76)),MONTH((Tahmin!$C$4+76)),MIN(DAY(Kalemler!$D66),DAY(EOMONTH((Tahmin!$C$4+76),0))))&gt;=Kalemler!$D66)),1,0),IF(AND(Kalemler!$D66&gt;=(Tahmin!$C$4+70),Kalemler!$D66&lt;=(Tahmin!$C$4+76)),1,0))))</f>
        <v>0</v>
      </c>
      <c r="M66" s="0" t="n">
        <f aca="false">IF(OR(Kalemler!$A66="",Kalemler!$C66="",Kalemler!$D66=""),0,Kalemler!$C66*IF(Kalemler!$E66="Haftalık",IF(Kalemler!$D66&lt;=(Tahmin!$C$4+83),1,0),IF(Kalemler!$E66="Aylık",IF(OR(AND(DATE(YEAR((Tahmin!$C$4+77)),MONTH((Tahmin!$C$4+77)),MIN(DAY(Kalemler!$D66),DAY(EOMONTH((Tahmin!$C$4+77),0))))&gt;=(Tahmin!$C$4+77),DATE(YEAR((Tahmin!$C$4+77)),MONTH((Tahmin!$C$4+77)),MIN(DAY(Kalemler!$D66),DAY(EOMONTH((Tahmin!$C$4+77),0))))&lt;=(Tahmin!$C$4+83),DATE(YEAR((Tahmin!$C$4+77)),MONTH((Tahmin!$C$4+77)),MIN(DAY(Kalemler!$D66),DAY(EOMONTH((Tahmin!$C$4+77),0))))&gt;=Kalemler!$D66),AND(DATE(YEAR((Tahmin!$C$4+83)),MONTH((Tahmin!$C$4+83)),MIN(DAY(Kalemler!$D66),DAY(EOMONTH((Tahmin!$C$4+83),0))))&gt;=(Tahmin!$C$4+77),DATE(YEAR((Tahmin!$C$4+83)),MONTH((Tahmin!$C$4+83)),MIN(DAY(Kalemler!$D66),DAY(EOMONTH((Tahmin!$C$4+83),0))))&lt;=(Tahmin!$C$4+83),DATE(YEAR((Tahmin!$C$4+83)),MONTH((Tahmin!$C$4+83)),MIN(DAY(Kalemler!$D66),DAY(EOMONTH((Tahmin!$C$4+83),0))))&lt;&gt;DATE(YEAR((Tahmin!$C$4+77)),MONTH((Tahmin!$C$4+77)),MIN(DAY(Kalemler!$D66),DAY(EOMONTH((Tahmin!$C$4+77),0)))),DATE(YEAR((Tahmin!$C$4+83)),MONTH((Tahmin!$C$4+83)),MIN(DAY(Kalemler!$D66),DAY(EOMONTH((Tahmin!$C$4+83),0))))&gt;=Kalemler!$D66)),1,0),IF(AND(Kalemler!$D66&gt;=(Tahmin!$C$4+77),Kalemler!$D66&lt;=(Tahmin!$C$4+83)),1,0))))</f>
        <v>0</v>
      </c>
      <c r="N66" s="0" t="n">
        <f aca="false">IF(OR(Kalemler!$A66="",Kalemler!$C66="",Kalemler!$D66=""),0,Kalemler!$C66*IF(Kalemler!$E66="Haftalık",IF(Kalemler!$D66&lt;=(Tahmin!$C$4+90),1,0),IF(Kalemler!$E66="Aylık",IF(OR(AND(DATE(YEAR((Tahmin!$C$4+84)),MONTH((Tahmin!$C$4+84)),MIN(DAY(Kalemler!$D66),DAY(EOMONTH((Tahmin!$C$4+84),0))))&gt;=(Tahmin!$C$4+84),DATE(YEAR((Tahmin!$C$4+84)),MONTH((Tahmin!$C$4+84)),MIN(DAY(Kalemler!$D66),DAY(EOMONTH((Tahmin!$C$4+84),0))))&lt;=(Tahmin!$C$4+90),DATE(YEAR((Tahmin!$C$4+84)),MONTH((Tahmin!$C$4+84)),MIN(DAY(Kalemler!$D66),DAY(EOMONTH((Tahmin!$C$4+84),0))))&gt;=Kalemler!$D66),AND(DATE(YEAR((Tahmin!$C$4+90)),MONTH((Tahmin!$C$4+90)),MIN(DAY(Kalemler!$D66),DAY(EOMONTH((Tahmin!$C$4+90),0))))&gt;=(Tahmin!$C$4+84),DATE(YEAR((Tahmin!$C$4+90)),MONTH((Tahmin!$C$4+90)),MIN(DAY(Kalemler!$D66),DAY(EOMONTH((Tahmin!$C$4+90),0))))&lt;=(Tahmin!$C$4+90),DATE(YEAR((Tahmin!$C$4+90)),MONTH((Tahmin!$C$4+90)),MIN(DAY(Kalemler!$D66),DAY(EOMONTH((Tahmin!$C$4+90),0))))&lt;&gt;DATE(YEAR((Tahmin!$C$4+84)),MONTH((Tahmin!$C$4+84)),MIN(DAY(Kalemler!$D66),DAY(EOMONTH((Tahmin!$C$4+84),0)))),DATE(YEAR((Tahmin!$C$4+90)),MONTH((Tahmin!$C$4+90)),MIN(DAY(Kalemler!$D66),DAY(EOMONTH((Tahmin!$C$4+90),0))))&gt;=Kalemler!$D66)),1,0),IF(AND(Kalemler!$D66&gt;=(Tahmin!$C$4+84),Kalemler!$D66&lt;=(Tahmin!$C$4+90)),1,0))))</f>
        <v>0</v>
      </c>
    </row>
    <row r="67" customFormat="false" ht="15" hidden="false" customHeight="false" outlineLevel="0" collapsed="false">
      <c r="A67" s="0" t="str">
        <f aca="false">IF(Kalemler!A67="","",Kalemler!A67)</f>
        <v/>
      </c>
      <c r="B67" s="0" t="n">
        <f aca="false">IF(OR(Kalemler!$A67="",Kalemler!$C67="",Kalemler!$D67=""),0,Kalemler!$C67*IF(Kalemler!$E67="Haftalık",IF(Kalemler!$D67&lt;=(Tahmin!$C$4+6),1,0),IF(Kalemler!$E67="Aylık",IF(OR(AND(DATE(YEAR((Tahmin!$C$4+0)),MONTH((Tahmin!$C$4+0)),MIN(DAY(Kalemler!$D67),DAY(EOMONTH((Tahmin!$C$4+0),0))))&gt;=(Tahmin!$C$4+0),DATE(YEAR((Tahmin!$C$4+0)),MONTH((Tahmin!$C$4+0)),MIN(DAY(Kalemler!$D67),DAY(EOMONTH((Tahmin!$C$4+0),0))))&lt;=(Tahmin!$C$4+6),DATE(YEAR((Tahmin!$C$4+0)),MONTH((Tahmin!$C$4+0)),MIN(DAY(Kalemler!$D67),DAY(EOMONTH((Tahmin!$C$4+0),0))))&gt;=Kalemler!$D67),AND(DATE(YEAR((Tahmin!$C$4+6)),MONTH((Tahmin!$C$4+6)),MIN(DAY(Kalemler!$D67),DAY(EOMONTH((Tahmin!$C$4+6),0))))&gt;=(Tahmin!$C$4+0),DATE(YEAR((Tahmin!$C$4+6)),MONTH((Tahmin!$C$4+6)),MIN(DAY(Kalemler!$D67),DAY(EOMONTH((Tahmin!$C$4+6),0))))&lt;=(Tahmin!$C$4+6),DATE(YEAR((Tahmin!$C$4+6)),MONTH((Tahmin!$C$4+6)),MIN(DAY(Kalemler!$D67),DAY(EOMONTH((Tahmin!$C$4+6),0))))&lt;&gt;DATE(YEAR((Tahmin!$C$4+0)),MONTH((Tahmin!$C$4+0)),MIN(DAY(Kalemler!$D67),DAY(EOMONTH((Tahmin!$C$4+0),0)))),DATE(YEAR((Tahmin!$C$4+6)),MONTH((Tahmin!$C$4+6)),MIN(DAY(Kalemler!$D67),DAY(EOMONTH((Tahmin!$C$4+6),0))))&gt;=Kalemler!$D67)),1,0),IF(AND(Kalemler!$D67&gt;=(Tahmin!$C$4+0),Kalemler!$D67&lt;=(Tahmin!$C$4+6)),1,0))))</f>
        <v>0</v>
      </c>
      <c r="C67" s="0" t="n">
        <f aca="false">IF(OR(Kalemler!$A67="",Kalemler!$C67="",Kalemler!$D67=""),0,Kalemler!$C67*IF(Kalemler!$E67="Haftalık",IF(Kalemler!$D67&lt;=(Tahmin!$C$4+13),1,0),IF(Kalemler!$E67="Aylık",IF(OR(AND(DATE(YEAR((Tahmin!$C$4+7)),MONTH((Tahmin!$C$4+7)),MIN(DAY(Kalemler!$D67),DAY(EOMONTH((Tahmin!$C$4+7),0))))&gt;=(Tahmin!$C$4+7),DATE(YEAR((Tahmin!$C$4+7)),MONTH((Tahmin!$C$4+7)),MIN(DAY(Kalemler!$D67),DAY(EOMONTH((Tahmin!$C$4+7),0))))&lt;=(Tahmin!$C$4+13),DATE(YEAR((Tahmin!$C$4+7)),MONTH((Tahmin!$C$4+7)),MIN(DAY(Kalemler!$D67),DAY(EOMONTH((Tahmin!$C$4+7),0))))&gt;=Kalemler!$D67),AND(DATE(YEAR((Tahmin!$C$4+13)),MONTH((Tahmin!$C$4+13)),MIN(DAY(Kalemler!$D67),DAY(EOMONTH((Tahmin!$C$4+13),0))))&gt;=(Tahmin!$C$4+7),DATE(YEAR((Tahmin!$C$4+13)),MONTH((Tahmin!$C$4+13)),MIN(DAY(Kalemler!$D67),DAY(EOMONTH((Tahmin!$C$4+13),0))))&lt;=(Tahmin!$C$4+13),DATE(YEAR((Tahmin!$C$4+13)),MONTH((Tahmin!$C$4+13)),MIN(DAY(Kalemler!$D67),DAY(EOMONTH((Tahmin!$C$4+13),0))))&lt;&gt;DATE(YEAR((Tahmin!$C$4+7)),MONTH((Tahmin!$C$4+7)),MIN(DAY(Kalemler!$D67),DAY(EOMONTH((Tahmin!$C$4+7),0)))),DATE(YEAR((Tahmin!$C$4+13)),MONTH((Tahmin!$C$4+13)),MIN(DAY(Kalemler!$D67),DAY(EOMONTH((Tahmin!$C$4+13),0))))&gt;=Kalemler!$D67)),1,0),IF(AND(Kalemler!$D67&gt;=(Tahmin!$C$4+7),Kalemler!$D67&lt;=(Tahmin!$C$4+13)),1,0))))</f>
        <v>0</v>
      </c>
      <c r="D67" s="0" t="n">
        <f aca="false">IF(OR(Kalemler!$A67="",Kalemler!$C67="",Kalemler!$D67=""),0,Kalemler!$C67*IF(Kalemler!$E67="Haftalık",IF(Kalemler!$D67&lt;=(Tahmin!$C$4+20),1,0),IF(Kalemler!$E67="Aylık",IF(OR(AND(DATE(YEAR((Tahmin!$C$4+14)),MONTH((Tahmin!$C$4+14)),MIN(DAY(Kalemler!$D67),DAY(EOMONTH((Tahmin!$C$4+14),0))))&gt;=(Tahmin!$C$4+14),DATE(YEAR((Tahmin!$C$4+14)),MONTH((Tahmin!$C$4+14)),MIN(DAY(Kalemler!$D67),DAY(EOMONTH((Tahmin!$C$4+14),0))))&lt;=(Tahmin!$C$4+20),DATE(YEAR((Tahmin!$C$4+14)),MONTH((Tahmin!$C$4+14)),MIN(DAY(Kalemler!$D67),DAY(EOMONTH((Tahmin!$C$4+14),0))))&gt;=Kalemler!$D67),AND(DATE(YEAR((Tahmin!$C$4+20)),MONTH((Tahmin!$C$4+20)),MIN(DAY(Kalemler!$D67),DAY(EOMONTH((Tahmin!$C$4+20),0))))&gt;=(Tahmin!$C$4+14),DATE(YEAR((Tahmin!$C$4+20)),MONTH((Tahmin!$C$4+20)),MIN(DAY(Kalemler!$D67),DAY(EOMONTH((Tahmin!$C$4+20),0))))&lt;=(Tahmin!$C$4+20),DATE(YEAR((Tahmin!$C$4+20)),MONTH((Tahmin!$C$4+20)),MIN(DAY(Kalemler!$D67),DAY(EOMONTH((Tahmin!$C$4+20),0))))&lt;&gt;DATE(YEAR((Tahmin!$C$4+14)),MONTH((Tahmin!$C$4+14)),MIN(DAY(Kalemler!$D67),DAY(EOMONTH((Tahmin!$C$4+14),0)))),DATE(YEAR((Tahmin!$C$4+20)),MONTH((Tahmin!$C$4+20)),MIN(DAY(Kalemler!$D67),DAY(EOMONTH((Tahmin!$C$4+20),0))))&gt;=Kalemler!$D67)),1,0),IF(AND(Kalemler!$D67&gt;=(Tahmin!$C$4+14),Kalemler!$D67&lt;=(Tahmin!$C$4+20)),1,0))))</f>
        <v>0</v>
      </c>
      <c r="E67" s="0" t="n">
        <f aca="false">IF(OR(Kalemler!$A67="",Kalemler!$C67="",Kalemler!$D67=""),0,Kalemler!$C67*IF(Kalemler!$E67="Haftalık",IF(Kalemler!$D67&lt;=(Tahmin!$C$4+27),1,0),IF(Kalemler!$E67="Aylık",IF(OR(AND(DATE(YEAR((Tahmin!$C$4+21)),MONTH((Tahmin!$C$4+21)),MIN(DAY(Kalemler!$D67),DAY(EOMONTH((Tahmin!$C$4+21),0))))&gt;=(Tahmin!$C$4+21),DATE(YEAR((Tahmin!$C$4+21)),MONTH((Tahmin!$C$4+21)),MIN(DAY(Kalemler!$D67),DAY(EOMONTH((Tahmin!$C$4+21),0))))&lt;=(Tahmin!$C$4+27),DATE(YEAR((Tahmin!$C$4+21)),MONTH((Tahmin!$C$4+21)),MIN(DAY(Kalemler!$D67),DAY(EOMONTH((Tahmin!$C$4+21),0))))&gt;=Kalemler!$D67),AND(DATE(YEAR((Tahmin!$C$4+27)),MONTH((Tahmin!$C$4+27)),MIN(DAY(Kalemler!$D67),DAY(EOMONTH((Tahmin!$C$4+27),0))))&gt;=(Tahmin!$C$4+21),DATE(YEAR((Tahmin!$C$4+27)),MONTH((Tahmin!$C$4+27)),MIN(DAY(Kalemler!$D67),DAY(EOMONTH((Tahmin!$C$4+27),0))))&lt;=(Tahmin!$C$4+27),DATE(YEAR((Tahmin!$C$4+27)),MONTH((Tahmin!$C$4+27)),MIN(DAY(Kalemler!$D67),DAY(EOMONTH((Tahmin!$C$4+27),0))))&lt;&gt;DATE(YEAR((Tahmin!$C$4+21)),MONTH((Tahmin!$C$4+21)),MIN(DAY(Kalemler!$D67),DAY(EOMONTH((Tahmin!$C$4+21),0)))),DATE(YEAR((Tahmin!$C$4+27)),MONTH((Tahmin!$C$4+27)),MIN(DAY(Kalemler!$D67),DAY(EOMONTH((Tahmin!$C$4+27),0))))&gt;=Kalemler!$D67)),1,0),IF(AND(Kalemler!$D67&gt;=(Tahmin!$C$4+21),Kalemler!$D67&lt;=(Tahmin!$C$4+27)),1,0))))</f>
        <v>0</v>
      </c>
      <c r="F67" s="0" t="n">
        <f aca="false">IF(OR(Kalemler!$A67="",Kalemler!$C67="",Kalemler!$D67=""),0,Kalemler!$C67*IF(Kalemler!$E67="Haftalık",IF(Kalemler!$D67&lt;=(Tahmin!$C$4+34),1,0),IF(Kalemler!$E67="Aylık",IF(OR(AND(DATE(YEAR((Tahmin!$C$4+28)),MONTH((Tahmin!$C$4+28)),MIN(DAY(Kalemler!$D67),DAY(EOMONTH((Tahmin!$C$4+28),0))))&gt;=(Tahmin!$C$4+28),DATE(YEAR((Tahmin!$C$4+28)),MONTH((Tahmin!$C$4+28)),MIN(DAY(Kalemler!$D67),DAY(EOMONTH((Tahmin!$C$4+28),0))))&lt;=(Tahmin!$C$4+34),DATE(YEAR((Tahmin!$C$4+28)),MONTH((Tahmin!$C$4+28)),MIN(DAY(Kalemler!$D67),DAY(EOMONTH((Tahmin!$C$4+28),0))))&gt;=Kalemler!$D67),AND(DATE(YEAR((Tahmin!$C$4+34)),MONTH((Tahmin!$C$4+34)),MIN(DAY(Kalemler!$D67),DAY(EOMONTH((Tahmin!$C$4+34),0))))&gt;=(Tahmin!$C$4+28),DATE(YEAR((Tahmin!$C$4+34)),MONTH((Tahmin!$C$4+34)),MIN(DAY(Kalemler!$D67),DAY(EOMONTH((Tahmin!$C$4+34),0))))&lt;=(Tahmin!$C$4+34),DATE(YEAR((Tahmin!$C$4+34)),MONTH((Tahmin!$C$4+34)),MIN(DAY(Kalemler!$D67),DAY(EOMONTH((Tahmin!$C$4+34),0))))&lt;&gt;DATE(YEAR((Tahmin!$C$4+28)),MONTH((Tahmin!$C$4+28)),MIN(DAY(Kalemler!$D67),DAY(EOMONTH((Tahmin!$C$4+28),0)))),DATE(YEAR((Tahmin!$C$4+34)),MONTH((Tahmin!$C$4+34)),MIN(DAY(Kalemler!$D67),DAY(EOMONTH((Tahmin!$C$4+34),0))))&gt;=Kalemler!$D67)),1,0),IF(AND(Kalemler!$D67&gt;=(Tahmin!$C$4+28),Kalemler!$D67&lt;=(Tahmin!$C$4+34)),1,0))))</f>
        <v>0</v>
      </c>
      <c r="G67" s="0" t="n">
        <f aca="false">IF(OR(Kalemler!$A67="",Kalemler!$C67="",Kalemler!$D67=""),0,Kalemler!$C67*IF(Kalemler!$E67="Haftalık",IF(Kalemler!$D67&lt;=(Tahmin!$C$4+41),1,0),IF(Kalemler!$E67="Aylık",IF(OR(AND(DATE(YEAR((Tahmin!$C$4+35)),MONTH((Tahmin!$C$4+35)),MIN(DAY(Kalemler!$D67),DAY(EOMONTH((Tahmin!$C$4+35),0))))&gt;=(Tahmin!$C$4+35),DATE(YEAR((Tahmin!$C$4+35)),MONTH((Tahmin!$C$4+35)),MIN(DAY(Kalemler!$D67),DAY(EOMONTH((Tahmin!$C$4+35),0))))&lt;=(Tahmin!$C$4+41),DATE(YEAR((Tahmin!$C$4+35)),MONTH((Tahmin!$C$4+35)),MIN(DAY(Kalemler!$D67),DAY(EOMONTH((Tahmin!$C$4+35),0))))&gt;=Kalemler!$D67),AND(DATE(YEAR((Tahmin!$C$4+41)),MONTH((Tahmin!$C$4+41)),MIN(DAY(Kalemler!$D67),DAY(EOMONTH((Tahmin!$C$4+41),0))))&gt;=(Tahmin!$C$4+35),DATE(YEAR((Tahmin!$C$4+41)),MONTH((Tahmin!$C$4+41)),MIN(DAY(Kalemler!$D67),DAY(EOMONTH((Tahmin!$C$4+41),0))))&lt;=(Tahmin!$C$4+41),DATE(YEAR((Tahmin!$C$4+41)),MONTH((Tahmin!$C$4+41)),MIN(DAY(Kalemler!$D67),DAY(EOMONTH((Tahmin!$C$4+41),0))))&lt;&gt;DATE(YEAR((Tahmin!$C$4+35)),MONTH((Tahmin!$C$4+35)),MIN(DAY(Kalemler!$D67),DAY(EOMONTH((Tahmin!$C$4+35),0)))),DATE(YEAR((Tahmin!$C$4+41)),MONTH((Tahmin!$C$4+41)),MIN(DAY(Kalemler!$D67),DAY(EOMONTH((Tahmin!$C$4+41),0))))&gt;=Kalemler!$D67)),1,0),IF(AND(Kalemler!$D67&gt;=(Tahmin!$C$4+35),Kalemler!$D67&lt;=(Tahmin!$C$4+41)),1,0))))</f>
        <v>0</v>
      </c>
      <c r="H67" s="0" t="n">
        <f aca="false">IF(OR(Kalemler!$A67="",Kalemler!$C67="",Kalemler!$D67=""),0,Kalemler!$C67*IF(Kalemler!$E67="Haftalık",IF(Kalemler!$D67&lt;=(Tahmin!$C$4+48),1,0),IF(Kalemler!$E67="Aylık",IF(OR(AND(DATE(YEAR((Tahmin!$C$4+42)),MONTH((Tahmin!$C$4+42)),MIN(DAY(Kalemler!$D67),DAY(EOMONTH((Tahmin!$C$4+42),0))))&gt;=(Tahmin!$C$4+42),DATE(YEAR((Tahmin!$C$4+42)),MONTH((Tahmin!$C$4+42)),MIN(DAY(Kalemler!$D67),DAY(EOMONTH((Tahmin!$C$4+42),0))))&lt;=(Tahmin!$C$4+48),DATE(YEAR((Tahmin!$C$4+42)),MONTH((Tahmin!$C$4+42)),MIN(DAY(Kalemler!$D67),DAY(EOMONTH((Tahmin!$C$4+42),0))))&gt;=Kalemler!$D67),AND(DATE(YEAR((Tahmin!$C$4+48)),MONTH((Tahmin!$C$4+48)),MIN(DAY(Kalemler!$D67),DAY(EOMONTH((Tahmin!$C$4+48),0))))&gt;=(Tahmin!$C$4+42),DATE(YEAR((Tahmin!$C$4+48)),MONTH((Tahmin!$C$4+48)),MIN(DAY(Kalemler!$D67),DAY(EOMONTH((Tahmin!$C$4+48),0))))&lt;=(Tahmin!$C$4+48),DATE(YEAR((Tahmin!$C$4+48)),MONTH((Tahmin!$C$4+48)),MIN(DAY(Kalemler!$D67),DAY(EOMONTH((Tahmin!$C$4+48),0))))&lt;&gt;DATE(YEAR((Tahmin!$C$4+42)),MONTH((Tahmin!$C$4+42)),MIN(DAY(Kalemler!$D67),DAY(EOMONTH((Tahmin!$C$4+42),0)))),DATE(YEAR((Tahmin!$C$4+48)),MONTH((Tahmin!$C$4+48)),MIN(DAY(Kalemler!$D67),DAY(EOMONTH((Tahmin!$C$4+48),0))))&gt;=Kalemler!$D67)),1,0),IF(AND(Kalemler!$D67&gt;=(Tahmin!$C$4+42),Kalemler!$D67&lt;=(Tahmin!$C$4+48)),1,0))))</f>
        <v>0</v>
      </c>
      <c r="I67" s="0" t="n">
        <f aca="false">IF(OR(Kalemler!$A67="",Kalemler!$C67="",Kalemler!$D67=""),0,Kalemler!$C67*IF(Kalemler!$E67="Haftalık",IF(Kalemler!$D67&lt;=(Tahmin!$C$4+55),1,0),IF(Kalemler!$E67="Aylık",IF(OR(AND(DATE(YEAR((Tahmin!$C$4+49)),MONTH((Tahmin!$C$4+49)),MIN(DAY(Kalemler!$D67),DAY(EOMONTH((Tahmin!$C$4+49),0))))&gt;=(Tahmin!$C$4+49),DATE(YEAR((Tahmin!$C$4+49)),MONTH((Tahmin!$C$4+49)),MIN(DAY(Kalemler!$D67),DAY(EOMONTH((Tahmin!$C$4+49),0))))&lt;=(Tahmin!$C$4+55),DATE(YEAR((Tahmin!$C$4+49)),MONTH((Tahmin!$C$4+49)),MIN(DAY(Kalemler!$D67),DAY(EOMONTH((Tahmin!$C$4+49),0))))&gt;=Kalemler!$D67),AND(DATE(YEAR((Tahmin!$C$4+55)),MONTH((Tahmin!$C$4+55)),MIN(DAY(Kalemler!$D67),DAY(EOMONTH((Tahmin!$C$4+55),0))))&gt;=(Tahmin!$C$4+49),DATE(YEAR((Tahmin!$C$4+55)),MONTH((Tahmin!$C$4+55)),MIN(DAY(Kalemler!$D67),DAY(EOMONTH((Tahmin!$C$4+55),0))))&lt;=(Tahmin!$C$4+55),DATE(YEAR((Tahmin!$C$4+55)),MONTH((Tahmin!$C$4+55)),MIN(DAY(Kalemler!$D67),DAY(EOMONTH((Tahmin!$C$4+55),0))))&lt;&gt;DATE(YEAR((Tahmin!$C$4+49)),MONTH((Tahmin!$C$4+49)),MIN(DAY(Kalemler!$D67),DAY(EOMONTH((Tahmin!$C$4+49),0)))),DATE(YEAR((Tahmin!$C$4+55)),MONTH((Tahmin!$C$4+55)),MIN(DAY(Kalemler!$D67),DAY(EOMONTH((Tahmin!$C$4+55),0))))&gt;=Kalemler!$D67)),1,0),IF(AND(Kalemler!$D67&gt;=(Tahmin!$C$4+49),Kalemler!$D67&lt;=(Tahmin!$C$4+55)),1,0))))</f>
        <v>0</v>
      </c>
      <c r="J67" s="0" t="n">
        <f aca="false">IF(OR(Kalemler!$A67="",Kalemler!$C67="",Kalemler!$D67=""),0,Kalemler!$C67*IF(Kalemler!$E67="Haftalık",IF(Kalemler!$D67&lt;=(Tahmin!$C$4+62),1,0),IF(Kalemler!$E67="Aylık",IF(OR(AND(DATE(YEAR((Tahmin!$C$4+56)),MONTH((Tahmin!$C$4+56)),MIN(DAY(Kalemler!$D67),DAY(EOMONTH((Tahmin!$C$4+56),0))))&gt;=(Tahmin!$C$4+56),DATE(YEAR((Tahmin!$C$4+56)),MONTH((Tahmin!$C$4+56)),MIN(DAY(Kalemler!$D67),DAY(EOMONTH((Tahmin!$C$4+56),0))))&lt;=(Tahmin!$C$4+62),DATE(YEAR((Tahmin!$C$4+56)),MONTH((Tahmin!$C$4+56)),MIN(DAY(Kalemler!$D67),DAY(EOMONTH((Tahmin!$C$4+56),0))))&gt;=Kalemler!$D67),AND(DATE(YEAR((Tahmin!$C$4+62)),MONTH((Tahmin!$C$4+62)),MIN(DAY(Kalemler!$D67),DAY(EOMONTH((Tahmin!$C$4+62),0))))&gt;=(Tahmin!$C$4+56),DATE(YEAR((Tahmin!$C$4+62)),MONTH((Tahmin!$C$4+62)),MIN(DAY(Kalemler!$D67),DAY(EOMONTH((Tahmin!$C$4+62),0))))&lt;=(Tahmin!$C$4+62),DATE(YEAR((Tahmin!$C$4+62)),MONTH((Tahmin!$C$4+62)),MIN(DAY(Kalemler!$D67),DAY(EOMONTH((Tahmin!$C$4+62),0))))&lt;&gt;DATE(YEAR((Tahmin!$C$4+56)),MONTH((Tahmin!$C$4+56)),MIN(DAY(Kalemler!$D67),DAY(EOMONTH((Tahmin!$C$4+56),0)))),DATE(YEAR((Tahmin!$C$4+62)),MONTH((Tahmin!$C$4+62)),MIN(DAY(Kalemler!$D67),DAY(EOMONTH((Tahmin!$C$4+62),0))))&gt;=Kalemler!$D67)),1,0),IF(AND(Kalemler!$D67&gt;=(Tahmin!$C$4+56),Kalemler!$D67&lt;=(Tahmin!$C$4+62)),1,0))))</f>
        <v>0</v>
      </c>
      <c r="K67" s="0" t="n">
        <f aca="false">IF(OR(Kalemler!$A67="",Kalemler!$C67="",Kalemler!$D67=""),0,Kalemler!$C67*IF(Kalemler!$E67="Haftalık",IF(Kalemler!$D67&lt;=(Tahmin!$C$4+69),1,0),IF(Kalemler!$E67="Aylık",IF(OR(AND(DATE(YEAR((Tahmin!$C$4+63)),MONTH((Tahmin!$C$4+63)),MIN(DAY(Kalemler!$D67),DAY(EOMONTH((Tahmin!$C$4+63),0))))&gt;=(Tahmin!$C$4+63),DATE(YEAR((Tahmin!$C$4+63)),MONTH((Tahmin!$C$4+63)),MIN(DAY(Kalemler!$D67),DAY(EOMONTH((Tahmin!$C$4+63),0))))&lt;=(Tahmin!$C$4+69),DATE(YEAR((Tahmin!$C$4+63)),MONTH((Tahmin!$C$4+63)),MIN(DAY(Kalemler!$D67),DAY(EOMONTH((Tahmin!$C$4+63),0))))&gt;=Kalemler!$D67),AND(DATE(YEAR((Tahmin!$C$4+69)),MONTH((Tahmin!$C$4+69)),MIN(DAY(Kalemler!$D67),DAY(EOMONTH((Tahmin!$C$4+69),0))))&gt;=(Tahmin!$C$4+63),DATE(YEAR((Tahmin!$C$4+69)),MONTH((Tahmin!$C$4+69)),MIN(DAY(Kalemler!$D67),DAY(EOMONTH((Tahmin!$C$4+69),0))))&lt;=(Tahmin!$C$4+69),DATE(YEAR((Tahmin!$C$4+69)),MONTH((Tahmin!$C$4+69)),MIN(DAY(Kalemler!$D67),DAY(EOMONTH((Tahmin!$C$4+69),0))))&lt;&gt;DATE(YEAR((Tahmin!$C$4+63)),MONTH((Tahmin!$C$4+63)),MIN(DAY(Kalemler!$D67),DAY(EOMONTH((Tahmin!$C$4+63),0)))),DATE(YEAR((Tahmin!$C$4+69)),MONTH((Tahmin!$C$4+69)),MIN(DAY(Kalemler!$D67),DAY(EOMONTH((Tahmin!$C$4+69),0))))&gt;=Kalemler!$D67)),1,0),IF(AND(Kalemler!$D67&gt;=(Tahmin!$C$4+63),Kalemler!$D67&lt;=(Tahmin!$C$4+69)),1,0))))</f>
        <v>0</v>
      </c>
      <c r="L67" s="0" t="n">
        <f aca="false">IF(OR(Kalemler!$A67="",Kalemler!$C67="",Kalemler!$D67=""),0,Kalemler!$C67*IF(Kalemler!$E67="Haftalık",IF(Kalemler!$D67&lt;=(Tahmin!$C$4+76),1,0),IF(Kalemler!$E67="Aylık",IF(OR(AND(DATE(YEAR((Tahmin!$C$4+70)),MONTH((Tahmin!$C$4+70)),MIN(DAY(Kalemler!$D67),DAY(EOMONTH((Tahmin!$C$4+70),0))))&gt;=(Tahmin!$C$4+70),DATE(YEAR((Tahmin!$C$4+70)),MONTH((Tahmin!$C$4+70)),MIN(DAY(Kalemler!$D67),DAY(EOMONTH((Tahmin!$C$4+70),0))))&lt;=(Tahmin!$C$4+76),DATE(YEAR((Tahmin!$C$4+70)),MONTH((Tahmin!$C$4+70)),MIN(DAY(Kalemler!$D67),DAY(EOMONTH((Tahmin!$C$4+70),0))))&gt;=Kalemler!$D67),AND(DATE(YEAR((Tahmin!$C$4+76)),MONTH((Tahmin!$C$4+76)),MIN(DAY(Kalemler!$D67),DAY(EOMONTH((Tahmin!$C$4+76),0))))&gt;=(Tahmin!$C$4+70),DATE(YEAR((Tahmin!$C$4+76)),MONTH((Tahmin!$C$4+76)),MIN(DAY(Kalemler!$D67),DAY(EOMONTH((Tahmin!$C$4+76),0))))&lt;=(Tahmin!$C$4+76),DATE(YEAR((Tahmin!$C$4+76)),MONTH((Tahmin!$C$4+76)),MIN(DAY(Kalemler!$D67),DAY(EOMONTH((Tahmin!$C$4+76),0))))&lt;&gt;DATE(YEAR((Tahmin!$C$4+70)),MONTH((Tahmin!$C$4+70)),MIN(DAY(Kalemler!$D67),DAY(EOMONTH((Tahmin!$C$4+70),0)))),DATE(YEAR((Tahmin!$C$4+76)),MONTH((Tahmin!$C$4+76)),MIN(DAY(Kalemler!$D67),DAY(EOMONTH((Tahmin!$C$4+76),0))))&gt;=Kalemler!$D67)),1,0),IF(AND(Kalemler!$D67&gt;=(Tahmin!$C$4+70),Kalemler!$D67&lt;=(Tahmin!$C$4+76)),1,0))))</f>
        <v>0</v>
      </c>
      <c r="M67" s="0" t="n">
        <f aca="false">IF(OR(Kalemler!$A67="",Kalemler!$C67="",Kalemler!$D67=""),0,Kalemler!$C67*IF(Kalemler!$E67="Haftalık",IF(Kalemler!$D67&lt;=(Tahmin!$C$4+83),1,0),IF(Kalemler!$E67="Aylık",IF(OR(AND(DATE(YEAR((Tahmin!$C$4+77)),MONTH((Tahmin!$C$4+77)),MIN(DAY(Kalemler!$D67),DAY(EOMONTH((Tahmin!$C$4+77),0))))&gt;=(Tahmin!$C$4+77),DATE(YEAR((Tahmin!$C$4+77)),MONTH((Tahmin!$C$4+77)),MIN(DAY(Kalemler!$D67),DAY(EOMONTH((Tahmin!$C$4+77),0))))&lt;=(Tahmin!$C$4+83),DATE(YEAR((Tahmin!$C$4+77)),MONTH((Tahmin!$C$4+77)),MIN(DAY(Kalemler!$D67),DAY(EOMONTH((Tahmin!$C$4+77),0))))&gt;=Kalemler!$D67),AND(DATE(YEAR((Tahmin!$C$4+83)),MONTH((Tahmin!$C$4+83)),MIN(DAY(Kalemler!$D67),DAY(EOMONTH((Tahmin!$C$4+83),0))))&gt;=(Tahmin!$C$4+77),DATE(YEAR((Tahmin!$C$4+83)),MONTH((Tahmin!$C$4+83)),MIN(DAY(Kalemler!$D67),DAY(EOMONTH((Tahmin!$C$4+83),0))))&lt;=(Tahmin!$C$4+83),DATE(YEAR((Tahmin!$C$4+83)),MONTH((Tahmin!$C$4+83)),MIN(DAY(Kalemler!$D67),DAY(EOMONTH((Tahmin!$C$4+83),0))))&lt;&gt;DATE(YEAR((Tahmin!$C$4+77)),MONTH((Tahmin!$C$4+77)),MIN(DAY(Kalemler!$D67),DAY(EOMONTH((Tahmin!$C$4+77),0)))),DATE(YEAR((Tahmin!$C$4+83)),MONTH((Tahmin!$C$4+83)),MIN(DAY(Kalemler!$D67),DAY(EOMONTH((Tahmin!$C$4+83),0))))&gt;=Kalemler!$D67)),1,0),IF(AND(Kalemler!$D67&gt;=(Tahmin!$C$4+77),Kalemler!$D67&lt;=(Tahmin!$C$4+83)),1,0))))</f>
        <v>0</v>
      </c>
      <c r="N67" s="0" t="n">
        <f aca="false">IF(OR(Kalemler!$A67="",Kalemler!$C67="",Kalemler!$D67=""),0,Kalemler!$C67*IF(Kalemler!$E67="Haftalık",IF(Kalemler!$D67&lt;=(Tahmin!$C$4+90),1,0),IF(Kalemler!$E67="Aylık",IF(OR(AND(DATE(YEAR((Tahmin!$C$4+84)),MONTH((Tahmin!$C$4+84)),MIN(DAY(Kalemler!$D67),DAY(EOMONTH((Tahmin!$C$4+84),0))))&gt;=(Tahmin!$C$4+84),DATE(YEAR((Tahmin!$C$4+84)),MONTH((Tahmin!$C$4+84)),MIN(DAY(Kalemler!$D67),DAY(EOMONTH((Tahmin!$C$4+84),0))))&lt;=(Tahmin!$C$4+90),DATE(YEAR((Tahmin!$C$4+84)),MONTH((Tahmin!$C$4+84)),MIN(DAY(Kalemler!$D67),DAY(EOMONTH((Tahmin!$C$4+84),0))))&gt;=Kalemler!$D67),AND(DATE(YEAR((Tahmin!$C$4+90)),MONTH((Tahmin!$C$4+90)),MIN(DAY(Kalemler!$D67),DAY(EOMONTH((Tahmin!$C$4+90),0))))&gt;=(Tahmin!$C$4+84),DATE(YEAR((Tahmin!$C$4+90)),MONTH((Tahmin!$C$4+90)),MIN(DAY(Kalemler!$D67),DAY(EOMONTH((Tahmin!$C$4+90),0))))&lt;=(Tahmin!$C$4+90),DATE(YEAR((Tahmin!$C$4+90)),MONTH((Tahmin!$C$4+90)),MIN(DAY(Kalemler!$D67),DAY(EOMONTH((Tahmin!$C$4+90),0))))&lt;&gt;DATE(YEAR((Tahmin!$C$4+84)),MONTH((Tahmin!$C$4+84)),MIN(DAY(Kalemler!$D67),DAY(EOMONTH((Tahmin!$C$4+84),0)))),DATE(YEAR((Tahmin!$C$4+90)),MONTH((Tahmin!$C$4+90)),MIN(DAY(Kalemler!$D67),DAY(EOMONTH((Tahmin!$C$4+90),0))))&gt;=Kalemler!$D67)),1,0),IF(AND(Kalemler!$D67&gt;=(Tahmin!$C$4+84),Kalemler!$D67&lt;=(Tahmin!$C$4+90)),1,0))))</f>
        <v>0</v>
      </c>
    </row>
    <row r="68" customFormat="false" ht="15" hidden="false" customHeight="false" outlineLevel="0" collapsed="false">
      <c r="A68" s="0" t="str">
        <f aca="false">IF(Kalemler!A68="","",Kalemler!A68)</f>
        <v/>
      </c>
      <c r="B68" s="0" t="n">
        <f aca="false">IF(OR(Kalemler!$A68="",Kalemler!$C68="",Kalemler!$D68=""),0,Kalemler!$C68*IF(Kalemler!$E68="Haftalık",IF(Kalemler!$D68&lt;=(Tahmin!$C$4+6),1,0),IF(Kalemler!$E68="Aylık",IF(OR(AND(DATE(YEAR((Tahmin!$C$4+0)),MONTH((Tahmin!$C$4+0)),MIN(DAY(Kalemler!$D68),DAY(EOMONTH((Tahmin!$C$4+0),0))))&gt;=(Tahmin!$C$4+0),DATE(YEAR((Tahmin!$C$4+0)),MONTH((Tahmin!$C$4+0)),MIN(DAY(Kalemler!$D68),DAY(EOMONTH((Tahmin!$C$4+0),0))))&lt;=(Tahmin!$C$4+6),DATE(YEAR((Tahmin!$C$4+0)),MONTH((Tahmin!$C$4+0)),MIN(DAY(Kalemler!$D68),DAY(EOMONTH((Tahmin!$C$4+0),0))))&gt;=Kalemler!$D68),AND(DATE(YEAR((Tahmin!$C$4+6)),MONTH((Tahmin!$C$4+6)),MIN(DAY(Kalemler!$D68),DAY(EOMONTH((Tahmin!$C$4+6),0))))&gt;=(Tahmin!$C$4+0),DATE(YEAR((Tahmin!$C$4+6)),MONTH((Tahmin!$C$4+6)),MIN(DAY(Kalemler!$D68),DAY(EOMONTH((Tahmin!$C$4+6),0))))&lt;=(Tahmin!$C$4+6),DATE(YEAR((Tahmin!$C$4+6)),MONTH((Tahmin!$C$4+6)),MIN(DAY(Kalemler!$D68),DAY(EOMONTH((Tahmin!$C$4+6),0))))&lt;&gt;DATE(YEAR((Tahmin!$C$4+0)),MONTH((Tahmin!$C$4+0)),MIN(DAY(Kalemler!$D68),DAY(EOMONTH((Tahmin!$C$4+0),0)))),DATE(YEAR((Tahmin!$C$4+6)),MONTH((Tahmin!$C$4+6)),MIN(DAY(Kalemler!$D68),DAY(EOMONTH((Tahmin!$C$4+6),0))))&gt;=Kalemler!$D68)),1,0),IF(AND(Kalemler!$D68&gt;=(Tahmin!$C$4+0),Kalemler!$D68&lt;=(Tahmin!$C$4+6)),1,0))))</f>
        <v>0</v>
      </c>
      <c r="C68" s="0" t="n">
        <f aca="false">IF(OR(Kalemler!$A68="",Kalemler!$C68="",Kalemler!$D68=""),0,Kalemler!$C68*IF(Kalemler!$E68="Haftalık",IF(Kalemler!$D68&lt;=(Tahmin!$C$4+13),1,0),IF(Kalemler!$E68="Aylık",IF(OR(AND(DATE(YEAR((Tahmin!$C$4+7)),MONTH((Tahmin!$C$4+7)),MIN(DAY(Kalemler!$D68),DAY(EOMONTH((Tahmin!$C$4+7),0))))&gt;=(Tahmin!$C$4+7),DATE(YEAR((Tahmin!$C$4+7)),MONTH((Tahmin!$C$4+7)),MIN(DAY(Kalemler!$D68),DAY(EOMONTH((Tahmin!$C$4+7),0))))&lt;=(Tahmin!$C$4+13),DATE(YEAR((Tahmin!$C$4+7)),MONTH((Tahmin!$C$4+7)),MIN(DAY(Kalemler!$D68),DAY(EOMONTH((Tahmin!$C$4+7),0))))&gt;=Kalemler!$D68),AND(DATE(YEAR((Tahmin!$C$4+13)),MONTH((Tahmin!$C$4+13)),MIN(DAY(Kalemler!$D68),DAY(EOMONTH((Tahmin!$C$4+13),0))))&gt;=(Tahmin!$C$4+7),DATE(YEAR((Tahmin!$C$4+13)),MONTH((Tahmin!$C$4+13)),MIN(DAY(Kalemler!$D68),DAY(EOMONTH((Tahmin!$C$4+13),0))))&lt;=(Tahmin!$C$4+13),DATE(YEAR((Tahmin!$C$4+13)),MONTH((Tahmin!$C$4+13)),MIN(DAY(Kalemler!$D68),DAY(EOMONTH((Tahmin!$C$4+13),0))))&lt;&gt;DATE(YEAR((Tahmin!$C$4+7)),MONTH((Tahmin!$C$4+7)),MIN(DAY(Kalemler!$D68),DAY(EOMONTH((Tahmin!$C$4+7),0)))),DATE(YEAR((Tahmin!$C$4+13)),MONTH((Tahmin!$C$4+13)),MIN(DAY(Kalemler!$D68),DAY(EOMONTH((Tahmin!$C$4+13),0))))&gt;=Kalemler!$D68)),1,0),IF(AND(Kalemler!$D68&gt;=(Tahmin!$C$4+7),Kalemler!$D68&lt;=(Tahmin!$C$4+13)),1,0))))</f>
        <v>0</v>
      </c>
      <c r="D68" s="0" t="n">
        <f aca="false">IF(OR(Kalemler!$A68="",Kalemler!$C68="",Kalemler!$D68=""),0,Kalemler!$C68*IF(Kalemler!$E68="Haftalık",IF(Kalemler!$D68&lt;=(Tahmin!$C$4+20),1,0),IF(Kalemler!$E68="Aylık",IF(OR(AND(DATE(YEAR((Tahmin!$C$4+14)),MONTH((Tahmin!$C$4+14)),MIN(DAY(Kalemler!$D68),DAY(EOMONTH((Tahmin!$C$4+14),0))))&gt;=(Tahmin!$C$4+14),DATE(YEAR((Tahmin!$C$4+14)),MONTH((Tahmin!$C$4+14)),MIN(DAY(Kalemler!$D68),DAY(EOMONTH((Tahmin!$C$4+14),0))))&lt;=(Tahmin!$C$4+20),DATE(YEAR((Tahmin!$C$4+14)),MONTH((Tahmin!$C$4+14)),MIN(DAY(Kalemler!$D68),DAY(EOMONTH((Tahmin!$C$4+14),0))))&gt;=Kalemler!$D68),AND(DATE(YEAR((Tahmin!$C$4+20)),MONTH((Tahmin!$C$4+20)),MIN(DAY(Kalemler!$D68),DAY(EOMONTH((Tahmin!$C$4+20),0))))&gt;=(Tahmin!$C$4+14),DATE(YEAR((Tahmin!$C$4+20)),MONTH((Tahmin!$C$4+20)),MIN(DAY(Kalemler!$D68),DAY(EOMONTH((Tahmin!$C$4+20),0))))&lt;=(Tahmin!$C$4+20),DATE(YEAR((Tahmin!$C$4+20)),MONTH((Tahmin!$C$4+20)),MIN(DAY(Kalemler!$D68),DAY(EOMONTH((Tahmin!$C$4+20),0))))&lt;&gt;DATE(YEAR((Tahmin!$C$4+14)),MONTH((Tahmin!$C$4+14)),MIN(DAY(Kalemler!$D68),DAY(EOMONTH((Tahmin!$C$4+14),0)))),DATE(YEAR((Tahmin!$C$4+20)),MONTH((Tahmin!$C$4+20)),MIN(DAY(Kalemler!$D68),DAY(EOMONTH((Tahmin!$C$4+20),0))))&gt;=Kalemler!$D68)),1,0),IF(AND(Kalemler!$D68&gt;=(Tahmin!$C$4+14),Kalemler!$D68&lt;=(Tahmin!$C$4+20)),1,0))))</f>
        <v>0</v>
      </c>
      <c r="E68" s="0" t="n">
        <f aca="false">IF(OR(Kalemler!$A68="",Kalemler!$C68="",Kalemler!$D68=""),0,Kalemler!$C68*IF(Kalemler!$E68="Haftalık",IF(Kalemler!$D68&lt;=(Tahmin!$C$4+27),1,0),IF(Kalemler!$E68="Aylık",IF(OR(AND(DATE(YEAR((Tahmin!$C$4+21)),MONTH((Tahmin!$C$4+21)),MIN(DAY(Kalemler!$D68),DAY(EOMONTH((Tahmin!$C$4+21),0))))&gt;=(Tahmin!$C$4+21),DATE(YEAR((Tahmin!$C$4+21)),MONTH((Tahmin!$C$4+21)),MIN(DAY(Kalemler!$D68),DAY(EOMONTH((Tahmin!$C$4+21),0))))&lt;=(Tahmin!$C$4+27),DATE(YEAR((Tahmin!$C$4+21)),MONTH((Tahmin!$C$4+21)),MIN(DAY(Kalemler!$D68),DAY(EOMONTH((Tahmin!$C$4+21),0))))&gt;=Kalemler!$D68),AND(DATE(YEAR((Tahmin!$C$4+27)),MONTH((Tahmin!$C$4+27)),MIN(DAY(Kalemler!$D68),DAY(EOMONTH((Tahmin!$C$4+27),0))))&gt;=(Tahmin!$C$4+21),DATE(YEAR((Tahmin!$C$4+27)),MONTH((Tahmin!$C$4+27)),MIN(DAY(Kalemler!$D68),DAY(EOMONTH((Tahmin!$C$4+27),0))))&lt;=(Tahmin!$C$4+27),DATE(YEAR((Tahmin!$C$4+27)),MONTH((Tahmin!$C$4+27)),MIN(DAY(Kalemler!$D68),DAY(EOMONTH((Tahmin!$C$4+27),0))))&lt;&gt;DATE(YEAR((Tahmin!$C$4+21)),MONTH((Tahmin!$C$4+21)),MIN(DAY(Kalemler!$D68),DAY(EOMONTH((Tahmin!$C$4+21),0)))),DATE(YEAR((Tahmin!$C$4+27)),MONTH((Tahmin!$C$4+27)),MIN(DAY(Kalemler!$D68),DAY(EOMONTH((Tahmin!$C$4+27),0))))&gt;=Kalemler!$D68)),1,0),IF(AND(Kalemler!$D68&gt;=(Tahmin!$C$4+21),Kalemler!$D68&lt;=(Tahmin!$C$4+27)),1,0))))</f>
        <v>0</v>
      </c>
      <c r="F68" s="0" t="n">
        <f aca="false">IF(OR(Kalemler!$A68="",Kalemler!$C68="",Kalemler!$D68=""),0,Kalemler!$C68*IF(Kalemler!$E68="Haftalık",IF(Kalemler!$D68&lt;=(Tahmin!$C$4+34),1,0),IF(Kalemler!$E68="Aylık",IF(OR(AND(DATE(YEAR((Tahmin!$C$4+28)),MONTH((Tahmin!$C$4+28)),MIN(DAY(Kalemler!$D68),DAY(EOMONTH((Tahmin!$C$4+28),0))))&gt;=(Tahmin!$C$4+28),DATE(YEAR((Tahmin!$C$4+28)),MONTH((Tahmin!$C$4+28)),MIN(DAY(Kalemler!$D68),DAY(EOMONTH((Tahmin!$C$4+28),0))))&lt;=(Tahmin!$C$4+34),DATE(YEAR((Tahmin!$C$4+28)),MONTH((Tahmin!$C$4+28)),MIN(DAY(Kalemler!$D68),DAY(EOMONTH((Tahmin!$C$4+28),0))))&gt;=Kalemler!$D68),AND(DATE(YEAR((Tahmin!$C$4+34)),MONTH((Tahmin!$C$4+34)),MIN(DAY(Kalemler!$D68),DAY(EOMONTH((Tahmin!$C$4+34),0))))&gt;=(Tahmin!$C$4+28),DATE(YEAR((Tahmin!$C$4+34)),MONTH((Tahmin!$C$4+34)),MIN(DAY(Kalemler!$D68),DAY(EOMONTH((Tahmin!$C$4+34),0))))&lt;=(Tahmin!$C$4+34),DATE(YEAR((Tahmin!$C$4+34)),MONTH((Tahmin!$C$4+34)),MIN(DAY(Kalemler!$D68),DAY(EOMONTH((Tahmin!$C$4+34),0))))&lt;&gt;DATE(YEAR((Tahmin!$C$4+28)),MONTH((Tahmin!$C$4+28)),MIN(DAY(Kalemler!$D68),DAY(EOMONTH((Tahmin!$C$4+28),0)))),DATE(YEAR((Tahmin!$C$4+34)),MONTH((Tahmin!$C$4+34)),MIN(DAY(Kalemler!$D68),DAY(EOMONTH((Tahmin!$C$4+34),0))))&gt;=Kalemler!$D68)),1,0),IF(AND(Kalemler!$D68&gt;=(Tahmin!$C$4+28),Kalemler!$D68&lt;=(Tahmin!$C$4+34)),1,0))))</f>
        <v>0</v>
      </c>
      <c r="G68" s="0" t="n">
        <f aca="false">IF(OR(Kalemler!$A68="",Kalemler!$C68="",Kalemler!$D68=""),0,Kalemler!$C68*IF(Kalemler!$E68="Haftalık",IF(Kalemler!$D68&lt;=(Tahmin!$C$4+41),1,0),IF(Kalemler!$E68="Aylık",IF(OR(AND(DATE(YEAR((Tahmin!$C$4+35)),MONTH((Tahmin!$C$4+35)),MIN(DAY(Kalemler!$D68),DAY(EOMONTH((Tahmin!$C$4+35),0))))&gt;=(Tahmin!$C$4+35),DATE(YEAR((Tahmin!$C$4+35)),MONTH((Tahmin!$C$4+35)),MIN(DAY(Kalemler!$D68),DAY(EOMONTH((Tahmin!$C$4+35),0))))&lt;=(Tahmin!$C$4+41),DATE(YEAR((Tahmin!$C$4+35)),MONTH((Tahmin!$C$4+35)),MIN(DAY(Kalemler!$D68),DAY(EOMONTH((Tahmin!$C$4+35),0))))&gt;=Kalemler!$D68),AND(DATE(YEAR((Tahmin!$C$4+41)),MONTH((Tahmin!$C$4+41)),MIN(DAY(Kalemler!$D68),DAY(EOMONTH((Tahmin!$C$4+41),0))))&gt;=(Tahmin!$C$4+35),DATE(YEAR((Tahmin!$C$4+41)),MONTH((Tahmin!$C$4+41)),MIN(DAY(Kalemler!$D68),DAY(EOMONTH((Tahmin!$C$4+41),0))))&lt;=(Tahmin!$C$4+41),DATE(YEAR((Tahmin!$C$4+41)),MONTH((Tahmin!$C$4+41)),MIN(DAY(Kalemler!$D68),DAY(EOMONTH((Tahmin!$C$4+41),0))))&lt;&gt;DATE(YEAR((Tahmin!$C$4+35)),MONTH((Tahmin!$C$4+35)),MIN(DAY(Kalemler!$D68),DAY(EOMONTH((Tahmin!$C$4+35),0)))),DATE(YEAR((Tahmin!$C$4+41)),MONTH((Tahmin!$C$4+41)),MIN(DAY(Kalemler!$D68),DAY(EOMONTH((Tahmin!$C$4+41),0))))&gt;=Kalemler!$D68)),1,0),IF(AND(Kalemler!$D68&gt;=(Tahmin!$C$4+35),Kalemler!$D68&lt;=(Tahmin!$C$4+41)),1,0))))</f>
        <v>0</v>
      </c>
      <c r="H68" s="0" t="n">
        <f aca="false">IF(OR(Kalemler!$A68="",Kalemler!$C68="",Kalemler!$D68=""),0,Kalemler!$C68*IF(Kalemler!$E68="Haftalık",IF(Kalemler!$D68&lt;=(Tahmin!$C$4+48),1,0),IF(Kalemler!$E68="Aylık",IF(OR(AND(DATE(YEAR((Tahmin!$C$4+42)),MONTH((Tahmin!$C$4+42)),MIN(DAY(Kalemler!$D68),DAY(EOMONTH((Tahmin!$C$4+42),0))))&gt;=(Tahmin!$C$4+42),DATE(YEAR((Tahmin!$C$4+42)),MONTH((Tahmin!$C$4+42)),MIN(DAY(Kalemler!$D68),DAY(EOMONTH((Tahmin!$C$4+42),0))))&lt;=(Tahmin!$C$4+48),DATE(YEAR((Tahmin!$C$4+42)),MONTH((Tahmin!$C$4+42)),MIN(DAY(Kalemler!$D68),DAY(EOMONTH((Tahmin!$C$4+42),0))))&gt;=Kalemler!$D68),AND(DATE(YEAR((Tahmin!$C$4+48)),MONTH((Tahmin!$C$4+48)),MIN(DAY(Kalemler!$D68),DAY(EOMONTH((Tahmin!$C$4+48),0))))&gt;=(Tahmin!$C$4+42),DATE(YEAR((Tahmin!$C$4+48)),MONTH((Tahmin!$C$4+48)),MIN(DAY(Kalemler!$D68),DAY(EOMONTH((Tahmin!$C$4+48),0))))&lt;=(Tahmin!$C$4+48),DATE(YEAR((Tahmin!$C$4+48)),MONTH((Tahmin!$C$4+48)),MIN(DAY(Kalemler!$D68),DAY(EOMONTH((Tahmin!$C$4+48),0))))&lt;&gt;DATE(YEAR((Tahmin!$C$4+42)),MONTH((Tahmin!$C$4+42)),MIN(DAY(Kalemler!$D68),DAY(EOMONTH((Tahmin!$C$4+42),0)))),DATE(YEAR((Tahmin!$C$4+48)),MONTH((Tahmin!$C$4+48)),MIN(DAY(Kalemler!$D68),DAY(EOMONTH((Tahmin!$C$4+48),0))))&gt;=Kalemler!$D68)),1,0),IF(AND(Kalemler!$D68&gt;=(Tahmin!$C$4+42),Kalemler!$D68&lt;=(Tahmin!$C$4+48)),1,0))))</f>
        <v>0</v>
      </c>
      <c r="I68" s="0" t="n">
        <f aca="false">IF(OR(Kalemler!$A68="",Kalemler!$C68="",Kalemler!$D68=""),0,Kalemler!$C68*IF(Kalemler!$E68="Haftalık",IF(Kalemler!$D68&lt;=(Tahmin!$C$4+55),1,0),IF(Kalemler!$E68="Aylık",IF(OR(AND(DATE(YEAR((Tahmin!$C$4+49)),MONTH((Tahmin!$C$4+49)),MIN(DAY(Kalemler!$D68),DAY(EOMONTH((Tahmin!$C$4+49),0))))&gt;=(Tahmin!$C$4+49),DATE(YEAR((Tahmin!$C$4+49)),MONTH((Tahmin!$C$4+49)),MIN(DAY(Kalemler!$D68),DAY(EOMONTH((Tahmin!$C$4+49),0))))&lt;=(Tahmin!$C$4+55),DATE(YEAR((Tahmin!$C$4+49)),MONTH((Tahmin!$C$4+49)),MIN(DAY(Kalemler!$D68),DAY(EOMONTH((Tahmin!$C$4+49),0))))&gt;=Kalemler!$D68),AND(DATE(YEAR((Tahmin!$C$4+55)),MONTH((Tahmin!$C$4+55)),MIN(DAY(Kalemler!$D68),DAY(EOMONTH((Tahmin!$C$4+55),0))))&gt;=(Tahmin!$C$4+49),DATE(YEAR((Tahmin!$C$4+55)),MONTH((Tahmin!$C$4+55)),MIN(DAY(Kalemler!$D68),DAY(EOMONTH((Tahmin!$C$4+55),0))))&lt;=(Tahmin!$C$4+55),DATE(YEAR((Tahmin!$C$4+55)),MONTH((Tahmin!$C$4+55)),MIN(DAY(Kalemler!$D68),DAY(EOMONTH((Tahmin!$C$4+55),0))))&lt;&gt;DATE(YEAR((Tahmin!$C$4+49)),MONTH((Tahmin!$C$4+49)),MIN(DAY(Kalemler!$D68),DAY(EOMONTH((Tahmin!$C$4+49),0)))),DATE(YEAR((Tahmin!$C$4+55)),MONTH((Tahmin!$C$4+55)),MIN(DAY(Kalemler!$D68),DAY(EOMONTH((Tahmin!$C$4+55),0))))&gt;=Kalemler!$D68)),1,0),IF(AND(Kalemler!$D68&gt;=(Tahmin!$C$4+49),Kalemler!$D68&lt;=(Tahmin!$C$4+55)),1,0))))</f>
        <v>0</v>
      </c>
      <c r="J68" s="0" t="n">
        <f aca="false">IF(OR(Kalemler!$A68="",Kalemler!$C68="",Kalemler!$D68=""),0,Kalemler!$C68*IF(Kalemler!$E68="Haftalık",IF(Kalemler!$D68&lt;=(Tahmin!$C$4+62),1,0),IF(Kalemler!$E68="Aylık",IF(OR(AND(DATE(YEAR((Tahmin!$C$4+56)),MONTH((Tahmin!$C$4+56)),MIN(DAY(Kalemler!$D68),DAY(EOMONTH((Tahmin!$C$4+56),0))))&gt;=(Tahmin!$C$4+56),DATE(YEAR((Tahmin!$C$4+56)),MONTH((Tahmin!$C$4+56)),MIN(DAY(Kalemler!$D68),DAY(EOMONTH((Tahmin!$C$4+56),0))))&lt;=(Tahmin!$C$4+62),DATE(YEAR((Tahmin!$C$4+56)),MONTH((Tahmin!$C$4+56)),MIN(DAY(Kalemler!$D68),DAY(EOMONTH((Tahmin!$C$4+56),0))))&gt;=Kalemler!$D68),AND(DATE(YEAR((Tahmin!$C$4+62)),MONTH((Tahmin!$C$4+62)),MIN(DAY(Kalemler!$D68),DAY(EOMONTH((Tahmin!$C$4+62),0))))&gt;=(Tahmin!$C$4+56),DATE(YEAR((Tahmin!$C$4+62)),MONTH((Tahmin!$C$4+62)),MIN(DAY(Kalemler!$D68),DAY(EOMONTH((Tahmin!$C$4+62),0))))&lt;=(Tahmin!$C$4+62),DATE(YEAR((Tahmin!$C$4+62)),MONTH((Tahmin!$C$4+62)),MIN(DAY(Kalemler!$D68),DAY(EOMONTH((Tahmin!$C$4+62),0))))&lt;&gt;DATE(YEAR((Tahmin!$C$4+56)),MONTH((Tahmin!$C$4+56)),MIN(DAY(Kalemler!$D68),DAY(EOMONTH((Tahmin!$C$4+56),0)))),DATE(YEAR((Tahmin!$C$4+62)),MONTH((Tahmin!$C$4+62)),MIN(DAY(Kalemler!$D68),DAY(EOMONTH((Tahmin!$C$4+62),0))))&gt;=Kalemler!$D68)),1,0),IF(AND(Kalemler!$D68&gt;=(Tahmin!$C$4+56),Kalemler!$D68&lt;=(Tahmin!$C$4+62)),1,0))))</f>
        <v>0</v>
      </c>
      <c r="K68" s="0" t="n">
        <f aca="false">IF(OR(Kalemler!$A68="",Kalemler!$C68="",Kalemler!$D68=""),0,Kalemler!$C68*IF(Kalemler!$E68="Haftalık",IF(Kalemler!$D68&lt;=(Tahmin!$C$4+69),1,0),IF(Kalemler!$E68="Aylık",IF(OR(AND(DATE(YEAR((Tahmin!$C$4+63)),MONTH((Tahmin!$C$4+63)),MIN(DAY(Kalemler!$D68),DAY(EOMONTH((Tahmin!$C$4+63),0))))&gt;=(Tahmin!$C$4+63),DATE(YEAR((Tahmin!$C$4+63)),MONTH((Tahmin!$C$4+63)),MIN(DAY(Kalemler!$D68),DAY(EOMONTH((Tahmin!$C$4+63),0))))&lt;=(Tahmin!$C$4+69),DATE(YEAR((Tahmin!$C$4+63)),MONTH((Tahmin!$C$4+63)),MIN(DAY(Kalemler!$D68),DAY(EOMONTH((Tahmin!$C$4+63),0))))&gt;=Kalemler!$D68),AND(DATE(YEAR((Tahmin!$C$4+69)),MONTH((Tahmin!$C$4+69)),MIN(DAY(Kalemler!$D68),DAY(EOMONTH((Tahmin!$C$4+69),0))))&gt;=(Tahmin!$C$4+63),DATE(YEAR((Tahmin!$C$4+69)),MONTH((Tahmin!$C$4+69)),MIN(DAY(Kalemler!$D68),DAY(EOMONTH((Tahmin!$C$4+69),0))))&lt;=(Tahmin!$C$4+69),DATE(YEAR((Tahmin!$C$4+69)),MONTH((Tahmin!$C$4+69)),MIN(DAY(Kalemler!$D68),DAY(EOMONTH((Tahmin!$C$4+69),0))))&lt;&gt;DATE(YEAR((Tahmin!$C$4+63)),MONTH((Tahmin!$C$4+63)),MIN(DAY(Kalemler!$D68),DAY(EOMONTH((Tahmin!$C$4+63),0)))),DATE(YEAR((Tahmin!$C$4+69)),MONTH((Tahmin!$C$4+69)),MIN(DAY(Kalemler!$D68),DAY(EOMONTH((Tahmin!$C$4+69),0))))&gt;=Kalemler!$D68)),1,0),IF(AND(Kalemler!$D68&gt;=(Tahmin!$C$4+63),Kalemler!$D68&lt;=(Tahmin!$C$4+69)),1,0))))</f>
        <v>0</v>
      </c>
      <c r="L68" s="0" t="n">
        <f aca="false">IF(OR(Kalemler!$A68="",Kalemler!$C68="",Kalemler!$D68=""),0,Kalemler!$C68*IF(Kalemler!$E68="Haftalık",IF(Kalemler!$D68&lt;=(Tahmin!$C$4+76),1,0),IF(Kalemler!$E68="Aylık",IF(OR(AND(DATE(YEAR((Tahmin!$C$4+70)),MONTH((Tahmin!$C$4+70)),MIN(DAY(Kalemler!$D68),DAY(EOMONTH((Tahmin!$C$4+70),0))))&gt;=(Tahmin!$C$4+70),DATE(YEAR((Tahmin!$C$4+70)),MONTH((Tahmin!$C$4+70)),MIN(DAY(Kalemler!$D68),DAY(EOMONTH((Tahmin!$C$4+70),0))))&lt;=(Tahmin!$C$4+76),DATE(YEAR((Tahmin!$C$4+70)),MONTH((Tahmin!$C$4+70)),MIN(DAY(Kalemler!$D68),DAY(EOMONTH((Tahmin!$C$4+70),0))))&gt;=Kalemler!$D68),AND(DATE(YEAR((Tahmin!$C$4+76)),MONTH((Tahmin!$C$4+76)),MIN(DAY(Kalemler!$D68),DAY(EOMONTH((Tahmin!$C$4+76),0))))&gt;=(Tahmin!$C$4+70),DATE(YEAR((Tahmin!$C$4+76)),MONTH((Tahmin!$C$4+76)),MIN(DAY(Kalemler!$D68),DAY(EOMONTH((Tahmin!$C$4+76),0))))&lt;=(Tahmin!$C$4+76),DATE(YEAR((Tahmin!$C$4+76)),MONTH((Tahmin!$C$4+76)),MIN(DAY(Kalemler!$D68),DAY(EOMONTH((Tahmin!$C$4+76),0))))&lt;&gt;DATE(YEAR((Tahmin!$C$4+70)),MONTH((Tahmin!$C$4+70)),MIN(DAY(Kalemler!$D68),DAY(EOMONTH((Tahmin!$C$4+70),0)))),DATE(YEAR((Tahmin!$C$4+76)),MONTH((Tahmin!$C$4+76)),MIN(DAY(Kalemler!$D68),DAY(EOMONTH((Tahmin!$C$4+76),0))))&gt;=Kalemler!$D68)),1,0),IF(AND(Kalemler!$D68&gt;=(Tahmin!$C$4+70),Kalemler!$D68&lt;=(Tahmin!$C$4+76)),1,0))))</f>
        <v>0</v>
      </c>
      <c r="M68" s="0" t="n">
        <f aca="false">IF(OR(Kalemler!$A68="",Kalemler!$C68="",Kalemler!$D68=""),0,Kalemler!$C68*IF(Kalemler!$E68="Haftalık",IF(Kalemler!$D68&lt;=(Tahmin!$C$4+83),1,0),IF(Kalemler!$E68="Aylık",IF(OR(AND(DATE(YEAR((Tahmin!$C$4+77)),MONTH((Tahmin!$C$4+77)),MIN(DAY(Kalemler!$D68),DAY(EOMONTH((Tahmin!$C$4+77),0))))&gt;=(Tahmin!$C$4+77),DATE(YEAR((Tahmin!$C$4+77)),MONTH((Tahmin!$C$4+77)),MIN(DAY(Kalemler!$D68),DAY(EOMONTH((Tahmin!$C$4+77),0))))&lt;=(Tahmin!$C$4+83),DATE(YEAR((Tahmin!$C$4+77)),MONTH((Tahmin!$C$4+77)),MIN(DAY(Kalemler!$D68),DAY(EOMONTH((Tahmin!$C$4+77),0))))&gt;=Kalemler!$D68),AND(DATE(YEAR((Tahmin!$C$4+83)),MONTH((Tahmin!$C$4+83)),MIN(DAY(Kalemler!$D68),DAY(EOMONTH((Tahmin!$C$4+83),0))))&gt;=(Tahmin!$C$4+77),DATE(YEAR((Tahmin!$C$4+83)),MONTH((Tahmin!$C$4+83)),MIN(DAY(Kalemler!$D68),DAY(EOMONTH((Tahmin!$C$4+83),0))))&lt;=(Tahmin!$C$4+83),DATE(YEAR((Tahmin!$C$4+83)),MONTH((Tahmin!$C$4+83)),MIN(DAY(Kalemler!$D68),DAY(EOMONTH((Tahmin!$C$4+83),0))))&lt;&gt;DATE(YEAR((Tahmin!$C$4+77)),MONTH((Tahmin!$C$4+77)),MIN(DAY(Kalemler!$D68),DAY(EOMONTH((Tahmin!$C$4+77),0)))),DATE(YEAR((Tahmin!$C$4+83)),MONTH((Tahmin!$C$4+83)),MIN(DAY(Kalemler!$D68),DAY(EOMONTH((Tahmin!$C$4+83),0))))&gt;=Kalemler!$D68)),1,0),IF(AND(Kalemler!$D68&gt;=(Tahmin!$C$4+77),Kalemler!$D68&lt;=(Tahmin!$C$4+83)),1,0))))</f>
        <v>0</v>
      </c>
      <c r="N68" s="0" t="n">
        <f aca="false">IF(OR(Kalemler!$A68="",Kalemler!$C68="",Kalemler!$D68=""),0,Kalemler!$C68*IF(Kalemler!$E68="Haftalık",IF(Kalemler!$D68&lt;=(Tahmin!$C$4+90),1,0),IF(Kalemler!$E68="Aylık",IF(OR(AND(DATE(YEAR((Tahmin!$C$4+84)),MONTH((Tahmin!$C$4+84)),MIN(DAY(Kalemler!$D68),DAY(EOMONTH((Tahmin!$C$4+84),0))))&gt;=(Tahmin!$C$4+84),DATE(YEAR((Tahmin!$C$4+84)),MONTH((Tahmin!$C$4+84)),MIN(DAY(Kalemler!$D68),DAY(EOMONTH((Tahmin!$C$4+84),0))))&lt;=(Tahmin!$C$4+90),DATE(YEAR((Tahmin!$C$4+84)),MONTH((Tahmin!$C$4+84)),MIN(DAY(Kalemler!$D68),DAY(EOMONTH((Tahmin!$C$4+84),0))))&gt;=Kalemler!$D68),AND(DATE(YEAR((Tahmin!$C$4+90)),MONTH((Tahmin!$C$4+90)),MIN(DAY(Kalemler!$D68),DAY(EOMONTH((Tahmin!$C$4+90),0))))&gt;=(Tahmin!$C$4+84),DATE(YEAR((Tahmin!$C$4+90)),MONTH((Tahmin!$C$4+90)),MIN(DAY(Kalemler!$D68),DAY(EOMONTH((Tahmin!$C$4+90),0))))&lt;=(Tahmin!$C$4+90),DATE(YEAR((Tahmin!$C$4+90)),MONTH((Tahmin!$C$4+90)),MIN(DAY(Kalemler!$D68),DAY(EOMONTH((Tahmin!$C$4+90),0))))&lt;&gt;DATE(YEAR((Tahmin!$C$4+84)),MONTH((Tahmin!$C$4+84)),MIN(DAY(Kalemler!$D68),DAY(EOMONTH((Tahmin!$C$4+84),0)))),DATE(YEAR((Tahmin!$C$4+90)),MONTH((Tahmin!$C$4+90)),MIN(DAY(Kalemler!$D68),DAY(EOMONTH((Tahmin!$C$4+90),0))))&gt;=Kalemler!$D68)),1,0),IF(AND(Kalemler!$D68&gt;=(Tahmin!$C$4+84),Kalemler!$D68&lt;=(Tahmin!$C$4+90)),1,0))))</f>
        <v>0</v>
      </c>
    </row>
    <row r="69" customFormat="false" ht="15" hidden="false" customHeight="false" outlineLevel="0" collapsed="false">
      <c r="A69" s="0" t="str">
        <f aca="false">IF(Kalemler!A69="","",Kalemler!A69)</f>
        <v/>
      </c>
      <c r="B69" s="0" t="n">
        <f aca="false">IF(OR(Kalemler!$A69="",Kalemler!$C69="",Kalemler!$D69=""),0,Kalemler!$C69*IF(Kalemler!$E69="Haftalık",IF(Kalemler!$D69&lt;=(Tahmin!$C$4+6),1,0),IF(Kalemler!$E69="Aylık",IF(OR(AND(DATE(YEAR((Tahmin!$C$4+0)),MONTH((Tahmin!$C$4+0)),MIN(DAY(Kalemler!$D69),DAY(EOMONTH((Tahmin!$C$4+0),0))))&gt;=(Tahmin!$C$4+0),DATE(YEAR((Tahmin!$C$4+0)),MONTH((Tahmin!$C$4+0)),MIN(DAY(Kalemler!$D69),DAY(EOMONTH((Tahmin!$C$4+0),0))))&lt;=(Tahmin!$C$4+6),DATE(YEAR((Tahmin!$C$4+0)),MONTH((Tahmin!$C$4+0)),MIN(DAY(Kalemler!$D69),DAY(EOMONTH((Tahmin!$C$4+0),0))))&gt;=Kalemler!$D69),AND(DATE(YEAR((Tahmin!$C$4+6)),MONTH((Tahmin!$C$4+6)),MIN(DAY(Kalemler!$D69),DAY(EOMONTH((Tahmin!$C$4+6),0))))&gt;=(Tahmin!$C$4+0),DATE(YEAR((Tahmin!$C$4+6)),MONTH((Tahmin!$C$4+6)),MIN(DAY(Kalemler!$D69),DAY(EOMONTH((Tahmin!$C$4+6),0))))&lt;=(Tahmin!$C$4+6),DATE(YEAR((Tahmin!$C$4+6)),MONTH((Tahmin!$C$4+6)),MIN(DAY(Kalemler!$D69),DAY(EOMONTH((Tahmin!$C$4+6),0))))&lt;&gt;DATE(YEAR((Tahmin!$C$4+0)),MONTH((Tahmin!$C$4+0)),MIN(DAY(Kalemler!$D69),DAY(EOMONTH((Tahmin!$C$4+0),0)))),DATE(YEAR((Tahmin!$C$4+6)),MONTH((Tahmin!$C$4+6)),MIN(DAY(Kalemler!$D69),DAY(EOMONTH((Tahmin!$C$4+6),0))))&gt;=Kalemler!$D69)),1,0),IF(AND(Kalemler!$D69&gt;=(Tahmin!$C$4+0),Kalemler!$D69&lt;=(Tahmin!$C$4+6)),1,0))))</f>
        <v>0</v>
      </c>
      <c r="C69" s="0" t="n">
        <f aca="false">IF(OR(Kalemler!$A69="",Kalemler!$C69="",Kalemler!$D69=""),0,Kalemler!$C69*IF(Kalemler!$E69="Haftalık",IF(Kalemler!$D69&lt;=(Tahmin!$C$4+13),1,0),IF(Kalemler!$E69="Aylık",IF(OR(AND(DATE(YEAR((Tahmin!$C$4+7)),MONTH((Tahmin!$C$4+7)),MIN(DAY(Kalemler!$D69),DAY(EOMONTH((Tahmin!$C$4+7),0))))&gt;=(Tahmin!$C$4+7),DATE(YEAR((Tahmin!$C$4+7)),MONTH((Tahmin!$C$4+7)),MIN(DAY(Kalemler!$D69),DAY(EOMONTH((Tahmin!$C$4+7),0))))&lt;=(Tahmin!$C$4+13),DATE(YEAR((Tahmin!$C$4+7)),MONTH((Tahmin!$C$4+7)),MIN(DAY(Kalemler!$D69),DAY(EOMONTH((Tahmin!$C$4+7),0))))&gt;=Kalemler!$D69),AND(DATE(YEAR((Tahmin!$C$4+13)),MONTH((Tahmin!$C$4+13)),MIN(DAY(Kalemler!$D69),DAY(EOMONTH((Tahmin!$C$4+13),0))))&gt;=(Tahmin!$C$4+7),DATE(YEAR((Tahmin!$C$4+13)),MONTH((Tahmin!$C$4+13)),MIN(DAY(Kalemler!$D69),DAY(EOMONTH((Tahmin!$C$4+13),0))))&lt;=(Tahmin!$C$4+13),DATE(YEAR((Tahmin!$C$4+13)),MONTH((Tahmin!$C$4+13)),MIN(DAY(Kalemler!$D69),DAY(EOMONTH((Tahmin!$C$4+13),0))))&lt;&gt;DATE(YEAR((Tahmin!$C$4+7)),MONTH((Tahmin!$C$4+7)),MIN(DAY(Kalemler!$D69),DAY(EOMONTH((Tahmin!$C$4+7),0)))),DATE(YEAR((Tahmin!$C$4+13)),MONTH((Tahmin!$C$4+13)),MIN(DAY(Kalemler!$D69),DAY(EOMONTH((Tahmin!$C$4+13),0))))&gt;=Kalemler!$D69)),1,0),IF(AND(Kalemler!$D69&gt;=(Tahmin!$C$4+7),Kalemler!$D69&lt;=(Tahmin!$C$4+13)),1,0))))</f>
        <v>0</v>
      </c>
      <c r="D69" s="0" t="n">
        <f aca="false">IF(OR(Kalemler!$A69="",Kalemler!$C69="",Kalemler!$D69=""),0,Kalemler!$C69*IF(Kalemler!$E69="Haftalık",IF(Kalemler!$D69&lt;=(Tahmin!$C$4+20),1,0),IF(Kalemler!$E69="Aylık",IF(OR(AND(DATE(YEAR((Tahmin!$C$4+14)),MONTH((Tahmin!$C$4+14)),MIN(DAY(Kalemler!$D69),DAY(EOMONTH((Tahmin!$C$4+14),0))))&gt;=(Tahmin!$C$4+14),DATE(YEAR((Tahmin!$C$4+14)),MONTH((Tahmin!$C$4+14)),MIN(DAY(Kalemler!$D69),DAY(EOMONTH((Tahmin!$C$4+14),0))))&lt;=(Tahmin!$C$4+20),DATE(YEAR((Tahmin!$C$4+14)),MONTH((Tahmin!$C$4+14)),MIN(DAY(Kalemler!$D69),DAY(EOMONTH((Tahmin!$C$4+14),0))))&gt;=Kalemler!$D69),AND(DATE(YEAR((Tahmin!$C$4+20)),MONTH((Tahmin!$C$4+20)),MIN(DAY(Kalemler!$D69),DAY(EOMONTH((Tahmin!$C$4+20),0))))&gt;=(Tahmin!$C$4+14),DATE(YEAR((Tahmin!$C$4+20)),MONTH((Tahmin!$C$4+20)),MIN(DAY(Kalemler!$D69),DAY(EOMONTH((Tahmin!$C$4+20),0))))&lt;=(Tahmin!$C$4+20),DATE(YEAR((Tahmin!$C$4+20)),MONTH((Tahmin!$C$4+20)),MIN(DAY(Kalemler!$D69),DAY(EOMONTH((Tahmin!$C$4+20),0))))&lt;&gt;DATE(YEAR((Tahmin!$C$4+14)),MONTH((Tahmin!$C$4+14)),MIN(DAY(Kalemler!$D69),DAY(EOMONTH((Tahmin!$C$4+14),0)))),DATE(YEAR((Tahmin!$C$4+20)),MONTH((Tahmin!$C$4+20)),MIN(DAY(Kalemler!$D69),DAY(EOMONTH((Tahmin!$C$4+20),0))))&gt;=Kalemler!$D69)),1,0),IF(AND(Kalemler!$D69&gt;=(Tahmin!$C$4+14),Kalemler!$D69&lt;=(Tahmin!$C$4+20)),1,0))))</f>
        <v>0</v>
      </c>
      <c r="E69" s="0" t="n">
        <f aca="false">IF(OR(Kalemler!$A69="",Kalemler!$C69="",Kalemler!$D69=""),0,Kalemler!$C69*IF(Kalemler!$E69="Haftalık",IF(Kalemler!$D69&lt;=(Tahmin!$C$4+27),1,0),IF(Kalemler!$E69="Aylık",IF(OR(AND(DATE(YEAR((Tahmin!$C$4+21)),MONTH((Tahmin!$C$4+21)),MIN(DAY(Kalemler!$D69),DAY(EOMONTH((Tahmin!$C$4+21),0))))&gt;=(Tahmin!$C$4+21),DATE(YEAR((Tahmin!$C$4+21)),MONTH((Tahmin!$C$4+21)),MIN(DAY(Kalemler!$D69),DAY(EOMONTH((Tahmin!$C$4+21),0))))&lt;=(Tahmin!$C$4+27),DATE(YEAR((Tahmin!$C$4+21)),MONTH((Tahmin!$C$4+21)),MIN(DAY(Kalemler!$D69),DAY(EOMONTH((Tahmin!$C$4+21),0))))&gt;=Kalemler!$D69),AND(DATE(YEAR((Tahmin!$C$4+27)),MONTH((Tahmin!$C$4+27)),MIN(DAY(Kalemler!$D69),DAY(EOMONTH((Tahmin!$C$4+27),0))))&gt;=(Tahmin!$C$4+21),DATE(YEAR((Tahmin!$C$4+27)),MONTH((Tahmin!$C$4+27)),MIN(DAY(Kalemler!$D69),DAY(EOMONTH((Tahmin!$C$4+27),0))))&lt;=(Tahmin!$C$4+27),DATE(YEAR((Tahmin!$C$4+27)),MONTH((Tahmin!$C$4+27)),MIN(DAY(Kalemler!$D69),DAY(EOMONTH((Tahmin!$C$4+27),0))))&lt;&gt;DATE(YEAR((Tahmin!$C$4+21)),MONTH((Tahmin!$C$4+21)),MIN(DAY(Kalemler!$D69),DAY(EOMONTH((Tahmin!$C$4+21),0)))),DATE(YEAR((Tahmin!$C$4+27)),MONTH((Tahmin!$C$4+27)),MIN(DAY(Kalemler!$D69),DAY(EOMONTH((Tahmin!$C$4+27),0))))&gt;=Kalemler!$D69)),1,0),IF(AND(Kalemler!$D69&gt;=(Tahmin!$C$4+21),Kalemler!$D69&lt;=(Tahmin!$C$4+27)),1,0))))</f>
        <v>0</v>
      </c>
      <c r="F69" s="0" t="n">
        <f aca="false">IF(OR(Kalemler!$A69="",Kalemler!$C69="",Kalemler!$D69=""),0,Kalemler!$C69*IF(Kalemler!$E69="Haftalık",IF(Kalemler!$D69&lt;=(Tahmin!$C$4+34),1,0),IF(Kalemler!$E69="Aylık",IF(OR(AND(DATE(YEAR((Tahmin!$C$4+28)),MONTH((Tahmin!$C$4+28)),MIN(DAY(Kalemler!$D69),DAY(EOMONTH((Tahmin!$C$4+28),0))))&gt;=(Tahmin!$C$4+28),DATE(YEAR((Tahmin!$C$4+28)),MONTH((Tahmin!$C$4+28)),MIN(DAY(Kalemler!$D69),DAY(EOMONTH((Tahmin!$C$4+28),0))))&lt;=(Tahmin!$C$4+34),DATE(YEAR((Tahmin!$C$4+28)),MONTH((Tahmin!$C$4+28)),MIN(DAY(Kalemler!$D69),DAY(EOMONTH((Tahmin!$C$4+28),0))))&gt;=Kalemler!$D69),AND(DATE(YEAR((Tahmin!$C$4+34)),MONTH((Tahmin!$C$4+34)),MIN(DAY(Kalemler!$D69),DAY(EOMONTH((Tahmin!$C$4+34),0))))&gt;=(Tahmin!$C$4+28),DATE(YEAR((Tahmin!$C$4+34)),MONTH((Tahmin!$C$4+34)),MIN(DAY(Kalemler!$D69),DAY(EOMONTH((Tahmin!$C$4+34),0))))&lt;=(Tahmin!$C$4+34),DATE(YEAR((Tahmin!$C$4+34)),MONTH((Tahmin!$C$4+34)),MIN(DAY(Kalemler!$D69),DAY(EOMONTH((Tahmin!$C$4+34),0))))&lt;&gt;DATE(YEAR((Tahmin!$C$4+28)),MONTH((Tahmin!$C$4+28)),MIN(DAY(Kalemler!$D69),DAY(EOMONTH((Tahmin!$C$4+28),0)))),DATE(YEAR((Tahmin!$C$4+34)),MONTH((Tahmin!$C$4+34)),MIN(DAY(Kalemler!$D69),DAY(EOMONTH((Tahmin!$C$4+34),0))))&gt;=Kalemler!$D69)),1,0),IF(AND(Kalemler!$D69&gt;=(Tahmin!$C$4+28),Kalemler!$D69&lt;=(Tahmin!$C$4+34)),1,0))))</f>
        <v>0</v>
      </c>
      <c r="G69" s="0" t="n">
        <f aca="false">IF(OR(Kalemler!$A69="",Kalemler!$C69="",Kalemler!$D69=""),0,Kalemler!$C69*IF(Kalemler!$E69="Haftalık",IF(Kalemler!$D69&lt;=(Tahmin!$C$4+41),1,0),IF(Kalemler!$E69="Aylık",IF(OR(AND(DATE(YEAR((Tahmin!$C$4+35)),MONTH((Tahmin!$C$4+35)),MIN(DAY(Kalemler!$D69),DAY(EOMONTH((Tahmin!$C$4+35),0))))&gt;=(Tahmin!$C$4+35),DATE(YEAR((Tahmin!$C$4+35)),MONTH((Tahmin!$C$4+35)),MIN(DAY(Kalemler!$D69),DAY(EOMONTH((Tahmin!$C$4+35),0))))&lt;=(Tahmin!$C$4+41),DATE(YEAR((Tahmin!$C$4+35)),MONTH((Tahmin!$C$4+35)),MIN(DAY(Kalemler!$D69),DAY(EOMONTH((Tahmin!$C$4+35),0))))&gt;=Kalemler!$D69),AND(DATE(YEAR((Tahmin!$C$4+41)),MONTH((Tahmin!$C$4+41)),MIN(DAY(Kalemler!$D69),DAY(EOMONTH((Tahmin!$C$4+41),0))))&gt;=(Tahmin!$C$4+35),DATE(YEAR((Tahmin!$C$4+41)),MONTH((Tahmin!$C$4+41)),MIN(DAY(Kalemler!$D69),DAY(EOMONTH((Tahmin!$C$4+41),0))))&lt;=(Tahmin!$C$4+41),DATE(YEAR((Tahmin!$C$4+41)),MONTH((Tahmin!$C$4+41)),MIN(DAY(Kalemler!$D69),DAY(EOMONTH((Tahmin!$C$4+41),0))))&lt;&gt;DATE(YEAR((Tahmin!$C$4+35)),MONTH((Tahmin!$C$4+35)),MIN(DAY(Kalemler!$D69),DAY(EOMONTH((Tahmin!$C$4+35),0)))),DATE(YEAR((Tahmin!$C$4+41)),MONTH((Tahmin!$C$4+41)),MIN(DAY(Kalemler!$D69),DAY(EOMONTH((Tahmin!$C$4+41),0))))&gt;=Kalemler!$D69)),1,0),IF(AND(Kalemler!$D69&gt;=(Tahmin!$C$4+35),Kalemler!$D69&lt;=(Tahmin!$C$4+41)),1,0))))</f>
        <v>0</v>
      </c>
      <c r="H69" s="0" t="n">
        <f aca="false">IF(OR(Kalemler!$A69="",Kalemler!$C69="",Kalemler!$D69=""),0,Kalemler!$C69*IF(Kalemler!$E69="Haftalık",IF(Kalemler!$D69&lt;=(Tahmin!$C$4+48),1,0),IF(Kalemler!$E69="Aylık",IF(OR(AND(DATE(YEAR((Tahmin!$C$4+42)),MONTH((Tahmin!$C$4+42)),MIN(DAY(Kalemler!$D69),DAY(EOMONTH((Tahmin!$C$4+42),0))))&gt;=(Tahmin!$C$4+42),DATE(YEAR((Tahmin!$C$4+42)),MONTH((Tahmin!$C$4+42)),MIN(DAY(Kalemler!$D69),DAY(EOMONTH((Tahmin!$C$4+42),0))))&lt;=(Tahmin!$C$4+48),DATE(YEAR((Tahmin!$C$4+42)),MONTH((Tahmin!$C$4+42)),MIN(DAY(Kalemler!$D69),DAY(EOMONTH((Tahmin!$C$4+42),0))))&gt;=Kalemler!$D69),AND(DATE(YEAR((Tahmin!$C$4+48)),MONTH((Tahmin!$C$4+48)),MIN(DAY(Kalemler!$D69),DAY(EOMONTH((Tahmin!$C$4+48),0))))&gt;=(Tahmin!$C$4+42),DATE(YEAR((Tahmin!$C$4+48)),MONTH((Tahmin!$C$4+48)),MIN(DAY(Kalemler!$D69),DAY(EOMONTH((Tahmin!$C$4+48),0))))&lt;=(Tahmin!$C$4+48),DATE(YEAR((Tahmin!$C$4+48)),MONTH((Tahmin!$C$4+48)),MIN(DAY(Kalemler!$D69),DAY(EOMONTH((Tahmin!$C$4+48),0))))&lt;&gt;DATE(YEAR((Tahmin!$C$4+42)),MONTH((Tahmin!$C$4+42)),MIN(DAY(Kalemler!$D69),DAY(EOMONTH((Tahmin!$C$4+42),0)))),DATE(YEAR((Tahmin!$C$4+48)),MONTH((Tahmin!$C$4+48)),MIN(DAY(Kalemler!$D69),DAY(EOMONTH((Tahmin!$C$4+48),0))))&gt;=Kalemler!$D69)),1,0),IF(AND(Kalemler!$D69&gt;=(Tahmin!$C$4+42),Kalemler!$D69&lt;=(Tahmin!$C$4+48)),1,0))))</f>
        <v>0</v>
      </c>
      <c r="I69" s="0" t="n">
        <f aca="false">IF(OR(Kalemler!$A69="",Kalemler!$C69="",Kalemler!$D69=""),0,Kalemler!$C69*IF(Kalemler!$E69="Haftalık",IF(Kalemler!$D69&lt;=(Tahmin!$C$4+55),1,0),IF(Kalemler!$E69="Aylık",IF(OR(AND(DATE(YEAR((Tahmin!$C$4+49)),MONTH((Tahmin!$C$4+49)),MIN(DAY(Kalemler!$D69),DAY(EOMONTH((Tahmin!$C$4+49),0))))&gt;=(Tahmin!$C$4+49),DATE(YEAR((Tahmin!$C$4+49)),MONTH((Tahmin!$C$4+49)),MIN(DAY(Kalemler!$D69),DAY(EOMONTH((Tahmin!$C$4+49),0))))&lt;=(Tahmin!$C$4+55),DATE(YEAR((Tahmin!$C$4+49)),MONTH((Tahmin!$C$4+49)),MIN(DAY(Kalemler!$D69),DAY(EOMONTH((Tahmin!$C$4+49),0))))&gt;=Kalemler!$D69),AND(DATE(YEAR((Tahmin!$C$4+55)),MONTH((Tahmin!$C$4+55)),MIN(DAY(Kalemler!$D69),DAY(EOMONTH((Tahmin!$C$4+55),0))))&gt;=(Tahmin!$C$4+49),DATE(YEAR((Tahmin!$C$4+55)),MONTH((Tahmin!$C$4+55)),MIN(DAY(Kalemler!$D69),DAY(EOMONTH((Tahmin!$C$4+55),0))))&lt;=(Tahmin!$C$4+55),DATE(YEAR((Tahmin!$C$4+55)),MONTH((Tahmin!$C$4+55)),MIN(DAY(Kalemler!$D69),DAY(EOMONTH((Tahmin!$C$4+55),0))))&lt;&gt;DATE(YEAR((Tahmin!$C$4+49)),MONTH((Tahmin!$C$4+49)),MIN(DAY(Kalemler!$D69),DAY(EOMONTH((Tahmin!$C$4+49),0)))),DATE(YEAR((Tahmin!$C$4+55)),MONTH((Tahmin!$C$4+55)),MIN(DAY(Kalemler!$D69),DAY(EOMONTH((Tahmin!$C$4+55),0))))&gt;=Kalemler!$D69)),1,0),IF(AND(Kalemler!$D69&gt;=(Tahmin!$C$4+49),Kalemler!$D69&lt;=(Tahmin!$C$4+55)),1,0))))</f>
        <v>0</v>
      </c>
      <c r="J69" s="0" t="n">
        <f aca="false">IF(OR(Kalemler!$A69="",Kalemler!$C69="",Kalemler!$D69=""),0,Kalemler!$C69*IF(Kalemler!$E69="Haftalık",IF(Kalemler!$D69&lt;=(Tahmin!$C$4+62),1,0),IF(Kalemler!$E69="Aylık",IF(OR(AND(DATE(YEAR((Tahmin!$C$4+56)),MONTH((Tahmin!$C$4+56)),MIN(DAY(Kalemler!$D69),DAY(EOMONTH((Tahmin!$C$4+56),0))))&gt;=(Tahmin!$C$4+56),DATE(YEAR((Tahmin!$C$4+56)),MONTH((Tahmin!$C$4+56)),MIN(DAY(Kalemler!$D69),DAY(EOMONTH((Tahmin!$C$4+56),0))))&lt;=(Tahmin!$C$4+62),DATE(YEAR((Tahmin!$C$4+56)),MONTH((Tahmin!$C$4+56)),MIN(DAY(Kalemler!$D69),DAY(EOMONTH((Tahmin!$C$4+56),0))))&gt;=Kalemler!$D69),AND(DATE(YEAR((Tahmin!$C$4+62)),MONTH((Tahmin!$C$4+62)),MIN(DAY(Kalemler!$D69),DAY(EOMONTH((Tahmin!$C$4+62),0))))&gt;=(Tahmin!$C$4+56),DATE(YEAR((Tahmin!$C$4+62)),MONTH((Tahmin!$C$4+62)),MIN(DAY(Kalemler!$D69),DAY(EOMONTH((Tahmin!$C$4+62),0))))&lt;=(Tahmin!$C$4+62),DATE(YEAR((Tahmin!$C$4+62)),MONTH((Tahmin!$C$4+62)),MIN(DAY(Kalemler!$D69),DAY(EOMONTH((Tahmin!$C$4+62),0))))&lt;&gt;DATE(YEAR((Tahmin!$C$4+56)),MONTH((Tahmin!$C$4+56)),MIN(DAY(Kalemler!$D69),DAY(EOMONTH((Tahmin!$C$4+56),0)))),DATE(YEAR((Tahmin!$C$4+62)),MONTH((Tahmin!$C$4+62)),MIN(DAY(Kalemler!$D69),DAY(EOMONTH((Tahmin!$C$4+62),0))))&gt;=Kalemler!$D69)),1,0),IF(AND(Kalemler!$D69&gt;=(Tahmin!$C$4+56),Kalemler!$D69&lt;=(Tahmin!$C$4+62)),1,0))))</f>
        <v>0</v>
      </c>
      <c r="K69" s="0" t="n">
        <f aca="false">IF(OR(Kalemler!$A69="",Kalemler!$C69="",Kalemler!$D69=""),0,Kalemler!$C69*IF(Kalemler!$E69="Haftalık",IF(Kalemler!$D69&lt;=(Tahmin!$C$4+69),1,0),IF(Kalemler!$E69="Aylık",IF(OR(AND(DATE(YEAR((Tahmin!$C$4+63)),MONTH((Tahmin!$C$4+63)),MIN(DAY(Kalemler!$D69),DAY(EOMONTH((Tahmin!$C$4+63),0))))&gt;=(Tahmin!$C$4+63),DATE(YEAR((Tahmin!$C$4+63)),MONTH((Tahmin!$C$4+63)),MIN(DAY(Kalemler!$D69),DAY(EOMONTH((Tahmin!$C$4+63),0))))&lt;=(Tahmin!$C$4+69),DATE(YEAR((Tahmin!$C$4+63)),MONTH((Tahmin!$C$4+63)),MIN(DAY(Kalemler!$D69),DAY(EOMONTH((Tahmin!$C$4+63),0))))&gt;=Kalemler!$D69),AND(DATE(YEAR((Tahmin!$C$4+69)),MONTH((Tahmin!$C$4+69)),MIN(DAY(Kalemler!$D69),DAY(EOMONTH((Tahmin!$C$4+69),0))))&gt;=(Tahmin!$C$4+63),DATE(YEAR((Tahmin!$C$4+69)),MONTH((Tahmin!$C$4+69)),MIN(DAY(Kalemler!$D69),DAY(EOMONTH((Tahmin!$C$4+69),0))))&lt;=(Tahmin!$C$4+69),DATE(YEAR((Tahmin!$C$4+69)),MONTH((Tahmin!$C$4+69)),MIN(DAY(Kalemler!$D69),DAY(EOMONTH((Tahmin!$C$4+69),0))))&lt;&gt;DATE(YEAR((Tahmin!$C$4+63)),MONTH((Tahmin!$C$4+63)),MIN(DAY(Kalemler!$D69),DAY(EOMONTH((Tahmin!$C$4+63),0)))),DATE(YEAR((Tahmin!$C$4+69)),MONTH((Tahmin!$C$4+69)),MIN(DAY(Kalemler!$D69),DAY(EOMONTH((Tahmin!$C$4+69),0))))&gt;=Kalemler!$D69)),1,0),IF(AND(Kalemler!$D69&gt;=(Tahmin!$C$4+63),Kalemler!$D69&lt;=(Tahmin!$C$4+69)),1,0))))</f>
        <v>0</v>
      </c>
      <c r="L69" s="0" t="n">
        <f aca="false">IF(OR(Kalemler!$A69="",Kalemler!$C69="",Kalemler!$D69=""),0,Kalemler!$C69*IF(Kalemler!$E69="Haftalık",IF(Kalemler!$D69&lt;=(Tahmin!$C$4+76),1,0),IF(Kalemler!$E69="Aylık",IF(OR(AND(DATE(YEAR((Tahmin!$C$4+70)),MONTH((Tahmin!$C$4+70)),MIN(DAY(Kalemler!$D69),DAY(EOMONTH((Tahmin!$C$4+70),0))))&gt;=(Tahmin!$C$4+70),DATE(YEAR((Tahmin!$C$4+70)),MONTH((Tahmin!$C$4+70)),MIN(DAY(Kalemler!$D69),DAY(EOMONTH((Tahmin!$C$4+70),0))))&lt;=(Tahmin!$C$4+76),DATE(YEAR((Tahmin!$C$4+70)),MONTH((Tahmin!$C$4+70)),MIN(DAY(Kalemler!$D69),DAY(EOMONTH((Tahmin!$C$4+70),0))))&gt;=Kalemler!$D69),AND(DATE(YEAR((Tahmin!$C$4+76)),MONTH((Tahmin!$C$4+76)),MIN(DAY(Kalemler!$D69),DAY(EOMONTH((Tahmin!$C$4+76),0))))&gt;=(Tahmin!$C$4+70),DATE(YEAR((Tahmin!$C$4+76)),MONTH((Tahmin!$C$4+76)),MIN(DAY(Kalemler!$D69),DAY(EOMONTH((Tahmin!$C$4+76),0))))&lt;=(Tahmin!$C$4+76),DATE(YEAR((Tahmin!$C$4+76)),MONTH((Tahmin!$C$4+76)),MIN(DAY(Kalemler!$D69),DAY(EOMONTH((Tahmin!$C$4+76),0))))&lt;&gt;DATE(YEAR((Tahmin!$C$4+70)),MONTH((Tahmin!$C$4+70)),MIN(DAY(Kalemler!$D69),DAY(EOMONTH((Tahmin!$C$4+70),0)))),DATE(YEAR((Tahmin!$C$4+76)),MONTH((Tahmin!$C$4+76)),MIN(DAY(Kalemler!$D69),DAY(EOMONTH((Tahmin!$C$4+76),0))))&gt;=Kalemler!$D69)),1,0),IF(AND(Kalemler!$D69&gt;=(Tahmin!$C$4+70),Kalemler!$D69&lt;=(Tahmin!$C$4+76)),1,0))))</f>
        <v>0</v>
      </c>
      <c r="M69" s="0" t="n">
        <f aca="false">IF(OR(Kalemler!$A69="",Kalemler!$C69="",Kalemler!$D69=""),0,Kalemler!$C69*IF(Kalemler!$E69="Haftalık",IF(Kalemler!$D69&lt;=(Tahmin!$C$4+83),1,0),IF(Kalemler!$E69="Aylık",IF(OR(AND(DATE(YEAR((Tahmin!$C$4+77)),MONTH((Tahmin!$C$4+77)),MIN(DAY(Kalemler!$D69),DAY(EOMONTH((Tahmin!$C$4+77),0))))&gt;=(Tahmin!$C$4+77),DATE(YEAR((Tahmin!$C$4+77)),MONTH((Tahmin!$C$4+77)),MIN(DAY(Kalemler!$D69),DAY(EOMONTH((Tahmin!$C$4+77),0))))&lt;=(Tahmin!$C$4+83),DATE(YEAR((Tahmin!$C$4+77)),MONTH((Tahmin!$C$4+77)),MIN(DAY(Kalemler!$D69),DAY(EOMONTH((Tahmin!$C$4+77),0))))&gt;=Kalemler!$D69),AND(DATE(YEAR((Tahmin!$C$4+83)),MONTH((Tahmin!$C$4+83)),MIN(DAY(Kalemler!$D69),DAY(EOMONTH((Tahmin!$C$4+83),0))))&gt;=(Tahmin!$C$4+77),DATE(YEAR((Tahmin!$C$4+83)),MONTH((Tahmin!$C$4+83)),MIN(DAY(Kalemler!$D69),DAY(EOMONTH((Tahmin!$C$4+83),0))))&lt;=(Tahmin!$C$4+83),DATE(YEAR((Tahmin!$C$4+83)),MONTH((Tahmin!$C$4+83)),MIN(DAY(Kalemler!$D69),DAY(EOMONTH((Tahmin!$C$4+83),0))))&lt;&gt;DATE(YEAR((Tahmin!$C$4+77)),MONTH((Tahmin!$C$4+77)),MIN(DAY(Kalemler!$D69),DAY(EOMONTH((Tahmin!$C$4+77),0)))),DATE(YEAR((Tahmin!$C$4+83)),MONTH((Tahmin!$C$4+83)),MIN(DAY(Kalemler!$D69),DAY(EOMONTH((Tahmin!$C$4+83),0))))&gt;=Kalemler!$D69)),1,0),IF(AND(Kalemler!$D69&gt;=(Tahmin!$C$4+77),Kalemler!$D69&lt;=(Tahmin!$C$4+83)),1,0))))</f>
        <v>0</v>
      </c>
      <c r="N69" s="0" t="n">
        <f aca="false">IF(OR(Kalemler!$A69="",Kalemler!$C69="",Kalemler!$D69=""),0,Kalemler!$C69*IF(Kalemler!$E69="Haftalık",IF(Kalemler!$D69&lt;=(Tahmin!$C$4+90),1,0),IF(Kalemler!$E69="Aylık",IF(OR(AND(DATE(YEAR((Tahmin!$C$4+84)),MONTH((Tahmin!$C$4+84)),MIN(DAY(Kalemler!$D69),DAY(EOMONTH((Tahmin!$C$4+84),0))))&gt;=(Tahmin!$C$4+84),DATE(YEAR((Tahmin!$C$4+84)),MONTH((Tahmin!$C$4+84)),MIN(DAY(Kalemler!$D69),DAY(EOMONTH((Tahmin!$C$4+84),0))))&lt;=(Tahmin!$C$4+90),DATE(YEAR((Tahmin!$C$4+84)),MONTH((Tahmin!$C$4+84)),MIN(DAY(Kalemler!$D69),DAY(EOMONTH((Tahmin!$C$4+84),0))))&gt;=Kalemler!$D69),AND(DATE(YEAR((Tahmin!$C$4+90)),MONTH((Tahmin!$C$4+90)),MIN(DAY(Kalemler!$D69),DAY(EOMONTH((Tahmin!$C$4+90),0))))&gt;=(Tahmin!$C$4+84),DATE(YEAR((Tahmin!$C$4+90)),MONTH((Tahmin!$C$4+90)),MIN(DAY(Kalemler!$D69),DAY(EOMONTH((Tahmin!$C$4+90),0))))&lt;=(Tahmin!$C$4+90),DATE(YEAR((Tahmin!$C$4+90)),MONTH((Tahmin!$C$4+90)),MIN(DAY(Kalemler!$D69),DAY(EOMONTH((Tahmin!$C$4+90),0))))&lt;&gt;DATE(YEAR((Tahmin!$C$4+84)),MONTH((Tahmin!$C$4+84)),MIN(DAY(Kalemler!$D69),DAY(EOMONTH((Tahmin!$C$4+84),0)))),DATE(YEAR((Tahmin!$C$4+90)),MONTH((Tahmin!$C$4+90)),MIN(DAY(Kalemler!$D69),DAY(EOMONTH((Tahmin!$C$4+90),0))))&gt;=Kalemler!$D69)),1,0),IF(AND(Kalemler!$D69&gt;=(Tahmin!$C$4+84),Kalemler!$D69&lt;=(Tahmin!$C$4+90)),1,0))))</f>
        <v>0</v>
      </c>
    </row>
    <row r="70" customFormat="false" ht="15" hidden="false" customHeight="false" outlineLevel="0" collapsed="false">
      <c r="A70" s="0" t="str">
        <f aca="false">IF(Kalemler!A70="","",Kalemler!A70)</f>
        <v/>
      </c>
      <c r="B70" s="0" t="n">
        <f aca="false">IF(OR(Kalemler!$A70="",Kalemler!$C70="",Kalemler!$D70=""),0,Kalemler!$C70*IF(Kalemler!$E70="Haftalık",IF(Kalemler!$D70&lt;=(Tahmin!$C$4+6),1,0),IF(Kalemler!$E70="Aylık",IF(OR(AND(DATE(YEAR((Tahmin!$C$4+0)),MONTH((Tahmin!$C$4+0)),MIN(DAY(Kalemler!$D70),DAY(EOMONTH((Tahmin!$C$4+0),0))))&gt;=(Tahmin!$C$4+0),DATE(YEAR((Tahmin!$C$4+0)),MONTH((Tahmin!$C$4+0)),MIN(DAY(Kalemler!$D70),DAY(EOMONTH((Tahmin!$C$4+0),0))))&lt;=(Tahmin!$C$4+6),DATE(YEAR((Tahmin!$C$4+0)),MONTH((Tahmin!$C$4+0)),MIN(DAY(Kalemler!$D70),DAY(EOMONTH((Tahmin!$C$4+0),0))))&gt;=Kalemler!$D70),AND(DATE(YEAR((Tahmin!$C$4+6)),MONTH((Tahmin!$C$4+6)),MIN(DAY(Kalemler!$D70),DAY(EOMONTH((Tahmin!$C$4+6),0))))&gt;=(Tahmin!$C$4+0),DATE(YEAR((Tahmin!$C$4+6)),MONTH((Tahmin!$C$4+6)),MIN(DAY(Kalemler!$D70),DAY(EOMONTH((Tahmin!$C$4+6),0))))&lt;=(Tahmin!$C$4+6),DATE(YEAR((Tahmin!$C$4+6)),MONTH((Tahmin!$C$4+6)),MIN(DAY(Kalemler!$D70),DAY(EOMONTH((Tahmin!$C$4+6),0))))&lt;&gt;DATE(YEAR((Tahmin!$C$4+0)),MONTH((Tahmin!$C$4+0)),MIN(DAY(Kalemler!$D70),DAY(EOMONTH((Tahmin!$C$4+0),0)))),DATE(YEAR((Tahmin!$C$4+6)),MONTH((Tahmin!$C$4+6)),MIN(DAY(Kalemler!$D70),DAY(EOMONTH((Tahmin!$C$4+6),0))))&gt;=Kalemler!$D70)),1,0),IF(AND(Kalemler!$D70&gt;=(Tahmin!$C$4+0),Kalemler!$D70&lt;=(Tahmin!$C$4+6)),1,0))))</f>
        <v>0</v>
      </c>
      <c r="C70" s="0" t="n">
        <f aca="false">IF(OR(Kalemler!$A70="",Kalemler!$C70="",Kalemler!$D70=""),0,Kalemler!$C70*IF(Kalemler!$E70="Haftalık",IF(Kalemler!$D70&lt;=(Tahmin!$C$4+13),1,0),IF(Kalemler!$E70="Aylık",IF(OR(AND(DATE(YEAR((Tahmin!$C$4+7)),MONTH((Tahmin!$C$4+7)),MIN(DAY(Kalemler!$D70),DAY(EOMONTH((Tahmin!$C$4+7),0))))&gt;=(Tahmin!$C$4+7),DATE(YEAR((Tahmin!$C$4+7)),MONTH((Tahmin!$C$4+7)),MIN(DAY(Kalemler!$D70),DAY(EOMONTH((Tahmin!$C$4+7),0))))&lt;=(Tahmin!$C$4+13),DATE(YEAR((Tahmin!$C$4+7)),MONTH((Tahmin!$C$4+7)),MIN(DAY(Kalemler!$D70),DAY(EOMONTH((Tahmin!$C$4+7),0))))&gt;=Kalemler!$D70),AND(DATE(YEAR((Tahmin!$C$4+13)),MONTH((Tahmin!$C$4+13)),MIN(DAY(Kalemler!$D70),DAY(EOMONTH((Tahmin!$C$4+13),0))))&gt;=(Tahmin!$C$4+7),DATE(YEAR((Tahmin!$C$4+13)),MONTH((Tahmin!$C$4+13)),MIN(DAY(Kalemler!$D70),DAY(EOMONTH((Tahmin!$C$4+13),0))))&lt;=(Tahmin!$C$4+13),DATE(YEAR((Tahmin!$C$4+13)),MONTH((Tahmin!$C$4+13)),MIN(DAY(Kalemler!$D70),DAY(EOMONTH((Tahmin!$C$4+13),0))))&lt;&gt;DATE(YEAR((Tahmin!$C$4+7)),MONTH((Tahmin!$C$4+7)),MIN(DAY(Kalemler!$D70),DAY(EOMONTH((Tahmin!$C$4+7),0)))),DATE(YEAR((Tahmin!$C$4+13)),MONTH((Tahmin!$C$4+13)),MIN(DAY(Kalemler!$D70),DAY(EOMONTH((Tahmin!$C$4+13),0))))&gt;=Kalemler!$D70)),1,0),IF(AND(Kalemler!$D70&gt;=(Tahmin!$C$4+7),Kalemler!$D70&lt;=(Tahmin!$C$4+13)),1,0))))</f>
        <v>0</v>
      </c>
      <c r="D70" s="0" t="n">
        <f aca="false">IF(OR(Kalemler!$A70="",Kalemler!$C70="",Kalemler!$D70=""),0,Kalemler!$C70*IF(Kalemler!$E70="Haftalık",IF(Kalemler!$D70&lt;=(Tahmin!$C$4+20),1,0),IF(Kalemler!$E70="Aylık",IF(OR(AND(DATE(YEAR((Tahmin!$C$4+14)),MONTH((Tahmin!$C$4+14)),MIN(DAY(Kalemler!$D70),DAY(EOMONTH((Tahmin!$C$4+14),0))))&gt;=(Tahmin!$C$4+14),DATE(YEAR((Tahmin!$C$4+14)),MONTH((Tahmin!$C$4+14)),MIN(DAY(Kalemler!$D70),DAY(EOMONTH((Tahmin!$C$4+14),0))))&lt;=(Tahmin!$C$4+20),DATE(YEAR((Tahmin!$C$4+14)),MONTH((Tahmin!$C$4+14)),MIN(DAY(Kalemler!$D70),DAY(EOMONTH((Tahmin!$C$4+14),0))))&gt;=Kalemler!$D70),AND(DATE(YEAR((Tahmin!$C$4+20)),MONTH((Tahmin!$C$4+20)),MIN(DAY(Kalemler!$D70),DAY(EOMONTH((Tahmin!$C$4+20),0))))&gt;=(Tahmin!$C$4+14),DATE(YEAR((Tahmin!$C$4+20)),MONTH((Tahmin!$C$4+20)),MIN(DAY(Kalemler!$D70),DAY(EOMONTH((Tahmin!$C$4+20),0))))&lt;=(Tahmin!$C$4+20),DATE(YEAR((Tahmin!$C$4+20)),MONTH((Tahmin!$C$4+20)),MIN(DAY(Kalemler!$D70),DAY(EOMONTH((Tahmin!$C$4+20),0))))&lt;&gt;DATE(YEAR((Tahmin!$C$4+14)),MONTH((Tahmin!$C$4+14)),MIN(DAY(Kalemler!$D70),DAY(EOMONTH((Tahmin!$C$4+14),0)))),DATE(YEAR((Tahmin!$C$4+20)),MONTH((Tahmin!$C$4+20)),MIN(DAY(Kalemler!$D70),DAY(EOMONTH((Tahmin!$C$4+20),0))))&gt;=Kalemler!$D70)),1,0),IF(AND(Kalemler!$D70&gt;=(Tahmin!$C$4+14),Kalemler!$D70&lt;=(Tahmin!$C$4+20)),1,0))))</f>
        <v>0</v>
      </c>
      <c r="E70" s="0" t="n">
        <f aca="false">IF(OR(Kalemler!$A70="",Kalemler!$C70="",Kalemler!$D70=""),0,Kalemler!$C70*IF(Kalemler!$E70="Haftalık",IF(Kalemler!$D70&lt;=(Tahmin!$C$4+27),1,0),IF(Kalemler!$E70="Aylık",IF(OR(AND(DATE(YEAR((Tahmin!$C$4+21)),MONTH((Tahmin!$C$4+21)),MIN(DAY(Kalemler!$D70),DAY(EOMONTH((Tahmin!$C$4+21),0))))&gt;=(Tahmin!$C$4+21),DATE(YEAR((Tahmin!$C$4+21)),MONTH((Tahmin!$C$4+21)),MIN(DAY(Kalemler!$D70),DAY(EOMONTH((Tahmin!$C$4+21),0))))&lt;=(Tahmin!$C$4+27),DATE(YEAR((Tahmin!$C$4+21)),MONTH((Tahmin!$C$4+21)),MIN(DAY(Kalemler!$D70),DAY(EOMONTH((Tahmin!$C$4+21),0))))&gt;=Kalemler!$D70),AND(DATE(YEAR((Tahmin!$C$4+27)),MONTH((Tahmin!$C$4+27)),MIN(DAY(Kalemler!$D70),DAY(EOMONTH((Tahmin!$C$4+27),0))))&gt;=(Tahmin!$C$4+21),DATE(YEAR((Tahmin!$C$4+27)),MONTH((Tahmin!$C$4+27)),MIN(DAY(Kalemler!$D70),DAY(EOMONTH((Tahmin!$C$4+27),0))))&lt;=(Tahmin!$C$4+27),DATE(YEAR((Tahmin!$C$4+27)),MONTH((Tahmin!$C$4+27)),MIN(DAY(Kalemler!$D70),DAY(EOMONTH((Tahmin!$C$4+27),0))))&lt;&gt;DATE(YEAR((Tahmin!$C$4+21)),MONTH((Tahmin!$C$4+21)),MIN(DAY(Kalemler!$D70),DAY(EOMONTH((Tahmin!$C$4+21),0)))),DATE(YEAR((Tahmin!$C$4+27)),MONTH((Tahmin!$C$4+27)),MIN(DAY(Kalemler!$D70),DAY(EOMONTH((Tahmin!$C$4+27),0))))&gt;=Kalemler!$D70)),1,0),IF(AND(Kalemler!$D70&gt;=(Tahmin!$C$4+21),Kalemler!$D70&lt;=(Tahmin!$C$4+27)),1,0))))</f>
        <v>0</v>
      </c>
      <c r="F70" s="0" t="n">
        <f aca="false">IF(OR(Kalemler!$A70="",Kalemler!$C70="",Kalemler!$D70=""),0,Kalemler!$C70*IF(Kalemler!$E70="Haftalık",IF(Kalemler!$D70&lt;=(Tahmin!$C$4+34),1,0),IF(Kalemler!$E70="Aylık",IF(OR(AND(DATE(YEAR((Tahmin!$C$4+28)),MONTH((Tahmin!$C$4+28)),MIN(DAY(Kalemler!$D70),DAY(EOMONTH((Tahmin!$C$4+28),0))))&gt;=(Tahmin!$C$4+28),DATE(YEAR((Tahmin!$C$4+28)),MONTH((Tahmin!$C$4+28)),MIN(DAY(Kalemler!$D70),DAY(EOMONTH((Tahmin!$C$4+28),0))))&lt;=(Tahmin!$C$4+34),DATE(YEAR((Tahmin!$C$4+28)),MONTH((Tahmin!$C$4+28)),MIN(DAY(Kalemler!$D70),DAY(EOMONTH((Tahmin!$C$4+28),0))))&gt;=Kalemler!$D70),AND(DATE(YEAR((Tahmin!$C$4+34)),MONTH((Tahmin!$C$4+34)),MIN(DAY(Kalemler!$D70),DAY(EOMONTH((Tahmin!$C$4+34),0))))&gt;=(Tahmin!$C$4+28),DATE(YEAR((Tahmin!$C$4+34)),MONTH((Tahmin!$C$4+34)),MIN(DAY(Kalemler!$D70),DAY(EOMONTH((Tahmin!$C$4+34),0))))&lt;=(Tahmin!$C$4+34),DATE(YEAR((Tahmin!$C$4+34)),MONTH((Tahmin!$C$4+34)),MIN(DAY(Kalemler!$D70),DAY(EOMONTH((Tahmin!$C$4+34),0))))&lt;&gt;DATE(YEAR((Tahmin!$C$4+28)),MONTH((Tahmin!$C$4+28)),MIN(DAY(Kalemler!$D70),DAY(EOMONTH((Tahmin!$C$4+28),0)))),DATE(YEAR((Tahmin!$C$4+34)),MONTH((Tahmin!$C$4+34)),MIN(DAY(Kalemler!$D70),DAY(EOMONTH((Tahmin!$C$4+34),0))))&gt;=Kalemler!$D70)),1,0),IF(AND(Kalemler!$D70&gt;=(Tahmin!$C$4+28),Kalemler!$D70&lt;=(Tahmin!$C$4+34)),1,0))))</f>
        <v>0</v>
      </c>
      <c r="G70" s="0" t="n">
        <f aca="false">IF(OR(Kalemler!$A70="",Kalemler!$C70="",Kalemler!$D70=""),0,Kalemler!$C70*IF(Kalemler!$E70="Haftalık",IF(Kalemler!$D70&lt;=(Tahmin!$C$4+41),1,0),IF(Kalemler!$E70="Aylık",IF(OR(AND(DATE(YEAR((Tahmin!$C$4+35)),MONTH((Tahmin!$C$4+35)),MIN(DAY(Kalemler!$D70),DAY(EOMONTH((Tahmin!$C$4+35),0))))&gt;=(Tahmin!$C$4+35),DATE(YEAR((Tahmin!$C$4+35)),MONTH((Tahmin!$C$4+35)),MIN(DAY(Kalemler!$D70),DAY(EOMONTH((Tahmin!$C$4+35),0))))&lt;=(Tahmin!$C$4+41),DATE(YEAR((Tahmin!$C$4+35)),MONTH((Tahmin!$C$4+35)),MIN(DAY(Kalemler!$D70),DAY(EOMONTH((Tahmin!$C$4+35),0))))&gt;=Kalemler!$D70),AND(DATE(YEAR((Tahmin!$C$4+41)),MONTH((Tahmin!$C$4+41)),MIN(DAY(Kalemler!$D70),DAY(EOMONTH((Tahmin!$C$4+41),0))))&gt;=(Tahmin!$C$4+35),DATE(YEAR((Tahmin!$C$4+41)),MONTH((Tahmin!$C$4+41)),MIN(DAY(Kalemler!$D70),DAY(EOMONTH((Tahmin!$C$4+41),0))))&lt;=(Tahmin!$C$4+41),DATE(YEAR((Tahmin!$C$4+41)),MONTH((Tahmin!$C$4+41)),MIN(DAY(Kalemler!$D70),DAY(EOMONTH((Tahmin!$C$4+41),0))))&lt;&gt;DATE(YEAR((Tahmin!$C$4+35)),MONTH((Tahmin!$C$4+35)),MIN(DAY(Kalemler!$D70),DAY(EOMONTH((Tahmin!$C$4+35),0)))),DATE(YEAR((Tahmin!$C$4+41)),MONTH((Tahmin!$C$4+41)),MIN(DAY(Kalemler!$D70),DAY(EOMONTH((Tahmin!$C$4+41),0))))&gt;=Kalemler!$D70)),1,0),IF(AND(Kalemler!$D70&gt;=(Tahmin!$C$4+35),Kalemler!$D70&lt;=(Tahmin!$C$4+41)),1,0))))</f>
        <v>0</v>
      </c>
      <c r="H70" s="0" t="n">
        <f aca="false">IF(OR(Kalemler!$A70="",Kalemler!$C70="",Kalemler!$D70=""),0,Kalemler!$C70*IF(Kalemler!$E70="Haftalık",IF(Kalemler!$D70&lt;=(Tahmin!$C$4+48),1,0),IF(Kalemler!$E70="Aylık",IF(OR(AND(DATE(YEAR((Tahmin!$C$4+42)),MONTH((Tahmin!$C$4+42)),MIN(DAY(Kalemler!$D70),DAY(EOMONTH((Tahmin!$C$4+42),0))))&gt;=(Tahmin!$C$4+42),DATE(YEAR((Tahmin!$C$4+42)),MONTH((Tahmin!$C$4+42)),MIN(DAY(Kalemler!$D70),DAY(EOMONTH((Tahmin!$C$4+42),0))))&lt;=(Tahmin!$C$4+48),DATE(YEAR((Tahmin!$C$4+42)),MONTH((Tahmin!$C$4+42)),MIN(DAY(Kalemler!$D70),DAY(EOMONTH((Tahmin!$C$4+42),0))))&gt;=Kalemler!$D70),AND(DATE(YEAR((Tahmin!$C$4+48)),MONTH((Tahmin!$C$4+48)),MIN(DAY(Kalemler!$D70),DAY(EOMONTH((Tahmin!$C$4+48),0))))&gt;=(Tahmin!$C$4+42),DATE(YEAR((Tahmin!$C$4+48)),MONTH((Tahmin!$C$4+48)),MIN(DAY(Kalemler!$D70),DAY(EOMONTH((Tahmin!$C$4+48),0))))&lt;=(Tahmin!$C$4+48),DATE(YEAR((Tahmin!$C$4+48)),MONTH((Tahmin!$C$4+48)),MIN(DAY(Kalemler!$D70),DAY(EOMONTH((Tahmin!$C$4+48),0))))&lt;&gt;DATE(YEAR((Tahmin!$C$4+42)),MONTH((Tahmin!$C$4+42)),MIN(DAY(Kalemler!$D70),DAY(EOMONTH((Tahmin!$C$4+42),0)))),DATE(YEAR((Tahmin!$C$4+48)),MONTH((Tahmin!$C$4+48)),MIN(DAY(Kalemler!$D70),DAY(EOMONTH((Tahmin!$C$4+48),0))))&gt;=Kalemler!$D70)),1,0),IF(AND(Kalemler!$D70&gt;=(Tahmin!$C$4+42),Kalemler!$D70&lt;=(Tahmin!$C$4+48)),1,0))))</f>
        <v>0</v>
      </c>
      <c r="I70" s="0" t="n">
        <f aca="false">IF(OR(Kalemler!$A70="",Kalemler!$C70="",Kalemler!$D70=""),0,Kalemler!$C70*IF(Kalemler!$E70="Haftalık",IF(Kalemler!$D70&lt;=(Tahmin!$C$4+55),1,0),IF(Kalemler!$E70="Aylık",IF(OR(AND(DATE(YEAR((Tahmin!$C$4+49)),MONTH((Tahmin!$C$4+49)),MIN(DAY(Kalemler!$D70),DAY(EOMONTH((Tahmin!$C$4+49),0))))&gt;=(Tahmin!$C$4+49),DATE(YEAR((Tahmin!$C$4+49)),MONTH((Tahmin!$C$4+49)),MIN(DAY(Kalemler!$D70),DAY(EOMONTH((Tahmin!$C$4+49),0))))&lt;=(Tahmin!$C$4+55),DATE(YEAR((Tahmin!$C$4+49)),MONTH((Tahmin!$C$4+49)),MIN(DAY(Kalemler!$D70),DAY(EOMONTH((Tahmin!$C$4+49),0))))&gt;=Kalemler!$D70),AND(DATE(YEAR((Tahmin!$C$4+55)),MONTH((Tahmin!$C$4+55)),MIN(DAY(Kalemler!$D70),DAY(EOMONTH((Tahmin!$C$4+55),0))))&gt;=(Tahmin!$C$4+49),DATE(YEAR((Tahmin!$C$4+55)),MONTH((Tahmin!$C$4+55)),MIN(DAY(Kalemler!$D70),DAY(EOMONTH((Tahmin!$C$4+55),0))))&lt;=(Tahmin!$C$4+55),DATE(YEAR((Tahmin!$C$4+55)),MONTH((Tahmin!$C$4+55)),MIN(DAY(Kalemler!$D70),DAY(EOMONTH((Tahmin!$C$4+55),0))))&lt;&gt;DATE(YEAR((Tahmin!$C$4+49)),MONTH((Tahmin!$C$4+49)),MIN(DAY(Kalemler!$D70),DAY(EOMONTH((Tahmin!$C$4+49),0)))),DATE(YEAR((Tahmin!$C$4+55)),MONTH((Tahmin!$C$4+55)),MIN(DAY(Kalemler!$D70),DAY(EOMONTH((Tahmin!$C$4+55),0))))&gt;=Kalemler!$D70)),1,0),IF(AND(Kalemler!$D70&gt;=(Tahmin!$C$4+49),Kalemler!$D70&lt;=(Tahmin!$C$4+55)),1,0))))</f>
        <v>0</v>
      </c>
      <c r="J70" s="0" t="n">
        <f aca="false">IF(OR(Kalemler!$A70="",Kalemler!$C70="",Kalemler!$D70=""),0,Kalemler!$C70*IF(Kalemler!$E70="Haftalık",IF(Kalemler!$D70&lt;=(Tahmin!$C$4+62),1,0),IF(Kalemler!$E70="Aylık",IF(OR(AND(DATE(YEAR((Tahmin!$C$4+56)),MONTH((Tahmin!$C$4+56)),MIN(DAY(Kalemler!$D70),DAY(EOMONTH((Tahmin!$C$4+56),0))))&gt;=(Tahmin!$C$4+56),DATE(YEAR((Tahmin!$C$4+56)),MONTH((Tahmin!$C$4+56)),MIN(DAY(Kalemler!$D70),DAY(EOMONTH((Tahmin!$C$4+56),0))))&lt;=(Tahmin!$C$4+62),DATE(YEAR((Tahmin!$C$4+56)),MONTH((Tahmin!$C$4+56)),MIN(DAY(Kalemler!$D70),DAY(EOMONTH((Tahmin!$C$4+56),0))))&gt;=Kalemler!$D70),AND(DATE(YEAR((Tahmin!$C$4+62)),MONTH((Tahmin!$C$4+62)),MIN(DAY(Kalemler!$D70),DAY(EOMONTH((Tahmin!$C$4+62),0))))&gt;=(Tahmin!$C$4+56),DATE(YEAR((Tahmin!$C$4+62)),MONTH((Tahmin!$C$4+62)),MIN(DAY(Kalemler!$D70),DAY(EOMONTH((Tahmin!$C$4+62),0))))&lt;=(Tahmin!$C$4+62),DATE(YEAR((Tahmin!$C$4+62)),MONTH((Tahmin!$C$4+62)),MIN(DAY(Kalemler!$D70),DAY(EOMONTH((Tahmin!$C$4+62),0))))&lt;&gt;DATE(YEAR((Tahmin!$C$4+56)),MONTH((Tahmin!$C$4+56)),MIN(DAY(Kalemler!$D70),DAY(EOMONTH((Tahmin!$C$4+56),0)))),DATE(YEAR((Tahmin!$C$4+62)),MONTH((Tahmin!$C$4+62)),MIN(DAY(Kalemler!$D70),DAY(EOMONTH((Tahmin!$C$4+62),0))))&gt;=Kalemler!$D70)),1,0),IF(AND(Kalemler!$D70&gt;=(Tahmin!$C$4+56),Kalemler!$D70&lt;=(Tahmin!$C$4+62)),1,0))))</f>
        <v>0</v>
      </c>
      <c r="K70" s="0" t="n">
        <f aca="false">IF(OR(Kalemler!$A70="",Kalemler!$C70="",Kalemler!$D70=""),0,Kalemler!$C70*IF(Kalemler!$E70="Haftalık",IF(Kalemler!$D70&lt;=(Tahmin!$C$4+69),1,0),IF(Kalemler!$E70="Aylık",IF(OR(AND(DATE(YEAR((Tahmin!$C$4+63)),MONTH((Tahmin!$C$4+63)),MIN(DAY(Kalemler!$D70),DAY(EOMONTH((Tahmin!$C$4+63),0))))&gt;=(Tahmin!$C$4+63),DATE(YEAR((Tahmin!$C$4+63)),MONTH((Tahmin!$C$4+63)),MIN(DAY(Kalemler!$D70),DAY(EOMONTH((Tahmin!$C$4+63),0))))&lt;=(Tahmin!$C$4+69),DATE(YEAR((Tahmin!$C$4+63)),MONTH((Tahmin!$C$4+63)),MIN(DAY(Kalemler!$D70),DAY(EOMONTH((Tahmin!$C$4+63),0))))&gt;=Kalemler!$D70),AND(DATE(YEAR((Tahmin!$C$4+69)),MONTH((Tahmin!$C$4+69)),MIN(DAY(Kalemler!$D70),DAY(EOMONTH((Tahmin!$C$4+69),0))))&gt;=(Tahmin!$C$4+63),DATE(YEAR((Tahmin!$C$4+69)),MONTH((Tahmin!$C$4+69)),MIN(DAY(Kalemler!$D70),DAY(EOMONTH((Tahmin!$C$4+69),0))))&lt;=(Tahmin!$C$4+69),DATE(YEAR((Tahmin!$C$4+69)),MONTH((Tahmin!$C$4+69)),MIN(DAY(Kalemler!$D70),DAY(EOMONTH((Tahmin!$C$4+69),0))))&lt;&gt;DATE(YEAR((Tahmin!$C$4+63)),MONTH((Tahmin!$C$4+63)),MIN(DAY(Kalemler!$D70),DAY(EOMONTH((Tahmin!$C$4+63),0)))),DATE(YEAR((Tahmin!$C$4+69)),MONTH((Tahmin!$C$4+69)),MIN(DAY(Kalemler!$D70),DAY(EOMONTH((Tahmin!$C$4+69),0))))&gt;=Kalemler!$D70)),1,0),IF(AND(Kalemler!$D70&gt;=(Tahmin!$C$4+63),Kalemler!$D70&lt;=(Tahmin!$C$4+69)),1,0))))</f>
        <v>0</v>
      </c>
      <c r="L70" s="0" t="n">
        <f aca="false">IF(OR(Kalemler!$A70="",Kalemler!$C70="",Kalemler!$D70=""),0,Kalemler!$C70*IF(Kalemler!$E70="Haftalık",IF(Kalemler!$D70&lt;=(Tahmin!$C$4+76),1,0),IF(Kalemler!$E70="Aylık",IF(OR(AND(DATE(YEAR((Tahmin!$C$4+70)),MONTH((Tahmin!$C$4+70)),MIN(DAY(Kalemler!$D70),DAY(EOMONTH((Tahmin!$C$4+70),0))))&gt;=(Tahmin!$C$4+70),DATE(YEAR((Tahmin!$C$4+70)),MONTH((Tahmin!$C$4+70)),MIN(DAY(Kalemler!$D70),DAY(EOMONTH((Tahmin!$C$4+70),0))))&lt;=(Tahmin!$C$4+76),DATE(YEAR((Tahmin!$C$4+70)),MONTH((Tahmin!$C$4+70)),MIN(DAY(Kalemler!$D70),DAY(EOMONTH((Tahmin!$C$4+70),0))))&gt;=Kalemler!$D70),AND(DATE(YEAR((Tahmin!$C$4+76)),MONTH((Tahmin!$C$4+76)),MIN(DAY(Kalemler!$D70),DAY(EOMONTH((Tahmin!$C$4+76),0))))&gt;=(Tahmin!$C$4+70),DATE(YEAR((Tahmin!$C$4+76)),MONTH((Tahmin!$C$4+76)),MIN(DAY(Kalemler!$D70),DAY(EOMONTH((Tahmin!$C$4+76),0))))&lt;=(Tahmin!$C$4+76),DATE(YEAR((Tahmin!$C$4+76)),MONTH((Tahmin!$C$4+76)),MIN(DAY(Kalemler!$D70),DAY(EOMONTH((Tahmin!$C$4+76),0))))&lt;&gt;DATE(YEAR((Tahmin!$C$4+70)),MONTH((Tahmin!$C$4+70)),MIN(DAY(Kalemler!$D70),DAY(EOMONTH((Tahmin!$C$4+70),0)))),DATE(YEAR((Tahmin!$C$4+76)),MONTH((Tahmin!$C$4+76)),MIN(DAY(Kalemler!$D70),DAY(EOMONTH((Tahmin!$C$4+76),0))))&gt;=Kalemler!$D70)),1,0),IF(AND(Kalemler!$D70&gt;=(Tahmin!$C$4+70),Kalemler!$D70&lt;=(Tahmin!$C$4+76)),1,0))))</f>
        <v>0</v>
      </c>
      <c r="M70" s="0" t="n">
        <f aca="false">IF(OR(Kalemler!$A70="",Kalemler!$C70="",Kalemler!$D70=""),0,Kalemler!$C70*IF(Kalemler!$E70="Haftalık",IF(Kalemler!$D70&lt;=(Tahmin!$C$4+83),1,0),IF(Kalemler!$E70="Aylık",IF(OR(AND(DATE(YEAR((Tahmin!$C$4+77)),MONTH((Tahmin!$C$4+77)),MIN(DAY(Kalemler!$D70),DAY(EOMONTH((Tahmin!$C$4+77),0))))&gt;=(Tahmin!$C$4+77),DATE(YEAR((Tahmin!$C$4+77)),MONTH((Tahmin!$C$4+77)),MIN(DAY(Kalemler!$D70),DAY(EOMONTH((Tahmin!$C$4+77),0))))&lt;=(Tahmin!$C$4+83),DATE(YEAR((Tahmin!$C$4+77)),MONTH((Tahmin!$C$4+77)),MIN(DAY(Kalemler!$D70),DAY(EOMONTH((Tahmin!$C$4+77),0))))&gt;=Kalemler!$D70),AND(DATE(YEAR((Tahmin!$C$4+83)),MONTH((Tahmin!$C$4+83)),MIN(DAY(Kalemler!$D70),DAY(EOMONTH((Tahmin!$C$4+83),0))))&gt;=(Tahmin!$C$4+77),DATE(YEAR((Tahmin!$C$4+83)),MONTH((Tahmin!$C$4+83)),MIN(DAY(Kalemler!$D70),DAY(EOMONTH((Tahmin!$C$4+83),0))))&lt;=(Tahmin!$C$4+83),DATE(YEAR((Tahmin!$C$4+83)),MONTH((Tahmin!$C$4+83)),MIN(DAY(Kalemler!$D70),DAY(EOMONTH((Tahmin!$C$4+83),0))))&lt;&gt;DATE(YEAR((Tahmin!$C$4+77)),MONTH((Tahmin!$C$4+77)),MIN(DAY(Kalemler!$D70),DAY(EOMONTH((Tahmin!$C$4+77),0)))),DATE(YEAR((Tahmin!$C$4+83)),MONTH((Tahmin!$C$4+83)),MIN(DAY(Kalemler!$D70),DAY(EOMONTH((Tahmin!$C$4+83),0))))&gt;=Kalemler!$D70)),1,0),IF(AND(Kalemler!$D70&gt;=(Tahmin!$C$4+77),Kalemler!$D70&lt;=(Tahmin!$C$4+83)),1,0))))</f>
        <v>0</v>
      </c>
      <c r="N70" s="0" t="n">
        <f aca="false">IF(OR(Kalemler!$A70="",Kalemler!$C70="",Kalemler!$D70=""),0,Kalemler!$C70*IF(Kalemler!$E70="Haftalık",IF(Kalemler!$D70&lt;=(Tahmin!$C$4+90),1,0),IF(Kalemler!$E70="Aylık",IF(OR(AND(DATE(YEAR((Tahmin!$C$4+84)),MONTH((Tahmin!$C$4+84)),MIN(DAY(Kalemler!$D70),DAY(EOMONTH((Tahmin!$C$4+84),0))))&gt;=(Tahmin!$C$4+84),DATE(YEAR((Tahmin!$C$4+84)),MONTH((Tahmin!$C$4+84)),MIN(DAY(Kalemler!$D70),DAY(EOMONTH((Tahmin!$C$4+84),0))))&lt;=(Tahmin!$C$4+90),DATE(YEAR((Tahmin!$C$4+84)),MONTH((Tahmin!$C$4+84)),MIN(DAY(Kalemler!$D70),DAY(EOMONTH((Tahmin!$C$4+84),0))))&gt;=Kalemler!$D70),AND(DATE(YEAR((Tahmin!$C$4+90)),MONTH((Tahmin!$C$4+90)),MIN(DAY(Kalemler!$D70),DAY(EOMONTH((Tahmin!$C$4+90),0))))&gt;=(Tahmin!$C$4+84),DATE(YEAR((Tahmin!$C$4+90)),MONTH((Tahmin!$C$4+90)),MIN(DAY(Kalemler!$D70),DAY(EOMONTH((Tahmin!$C$4+90),0))))&lt;=(Tahmin!$C$4+90),DATE(YEAR((Tahmin!$C$4+90)),MONTH((Tahmin!$C$4+90)),MIN(DAY(Kalemler!$D70),DAY(EOMONTH((Tahmin!$C$4+90),0))))&lt;&gt;DATE(YEAR((Tahmin!$C$4+84)),MONTH((Tahmin!$C$4+84)),MIN(DAY(Kalemler!$D70),DAY(EOMONTH((Tahmin!$C$4+84),0)))),DATE(YEAR((Tahmin!$C$4+90)),MONTH((Tahmin!$C$4+90)),MIN(DAY(Kalemler!$D70),DAY(EOMONTH((Tahmin!$C$4+90),0))))&gt;=Kalemler!$D70)),1,0),IF(AND(Kalemler!$D70&gt;=(Tahmin!$C$4+84),Kalemler!$D70&lt;=(Tahmin!$C$4+90)),1,0))))</f>
        <v>0</v>
      </c>
    </row>
    <row r="71" customFormat="false" ht="15" hidden="false" customHeight="false" outlineLevel="0" collapsed="false">
      <c r="A71" s="0" t="str">
        <f aca="false">IF(Kalemler!A71="","",Kalemler!A71)</f>
        <v/>
      </c>
      <c r="B71" s="0" t="n">
        <f aca="false">IF(OR(Kalemler!$A71="",Kalemler!$C71="",Kalemler!$D71=""),0,Kalemler!$C71*IF(Kalemler!$E71="Haftalık",IF(Kalemler!$D71&lt;=(Tahmin!$C$4+6),1,0),IF(Kalemler!$E71="Aylık",IF(OR(AND(DATE(YEAR((Tahmin!$C$4+0)),MONTH((Tahmin!$C$4+0)),MIN(DAY(Kalemler!$D71),DAY(EOMONTH((Tahmin!$C$4+0),0))))&gt;=(Tahmin!$C$4+0),DATE(YEAR((Tahmin!$C$4+0)),MONTH((Tahmin!$C$4+0)),MIN(DAY(Kalemler!$D71),DAY(EOMONTH((Tahmin!$C$4+0),0))))&lt;=(Tahmin!$C$4+6),DATE(YEAR((Tahmin!$C$4+0)),MONTH((Tahmin!$C$4+0)),MIN(DAY(Kalemler!$D71),DAY(EOMONTH((Tahmin!$C$4+0),0))))&gt;=Kalemler!$D71),AND(DATE(YEAR((Tahmin!$C$4+6)),MONTH((Tahmin!$C$4+6)),MIN(DAY(Kalemler!$D71),DAY(EOMONTH((Tahmin!$C$4+6),0))))&gt;=(Tahmin!$C$4+0),DATE(YEAR((Tahmin!$C$4+6)),MONTH((Tahmin!$C$4+6)),MIN(DAY(Kalemler!$D71),DAY(EOMONTH((Tahmin!$C$4+6),0))))&lt;=(Tahmin!$C$4+6),DATE(YEAR((Tahmin!$C$4+6)),MONTH((Tahmin!$C$4+6)),MIN(DAY(Kalemler!$D71),DAY(EOMONTH((Tahmin!$C$4+6),0))))&lt;&gt;DATE(YEAR((Tahmin!$C$4+0)),MONTH((Tahmin!$C$4+0)),MIN(DAY(Kalemler!$D71),DAY(EOMONTH((Tahmin!$C$4+0),0)))),DATE(YEAR((Tahmin!$C$4+6)),MONTH((Tahmin!$C$4+6)),MIN(DAY(Kalemler!$D71),DAY(EOMONTH((Tahmin!$C$4+6),0))))&gt;=Kalemler!$D71)),1,0),IF(AND(Kalemler!$D71&gt;=(Tahmin!$C$4+0),Kalemler!$D71&lt;=(Tahmin!$C$4+6)),1,0))))</f>
        <v>0</v>
      </c>
      <c r="C71" s="0" t="n">
        <f aca="false">IF(OR(Kalemler!$A71="",Kalemler!$C71="",Kalemler!$D71=""),0,Kalemler!$C71*IF(Kalemler!$E71="Haftalık",IF(Kalemler!$D71&lt;=(Tahmin!$C$4+13),1,0),IF(Kalemler!$E71="Aylık",IF(OR(AND(DATE(YEAR((Tahmin!$C$4+7)),MONTH((Tahmin!$C$4+7)),MIN(DAY(Kalemler!$D71),DAY(EOMONTH((Tahmin!$C$4+7),0))))&gt;=(Tahmin!$C$4+7),DATE(YEAR((Tahmin!$C$4+7)),MONTH((Tahmin!$C$4+7)),MIN(DAY(Kalemler!$D71),DAY(EOMONTH((Tahmin!$C$4+7),0))))&lt;=(Tahmin!$C$4+13),DATE(YEAR((Tahmin!$C$4+7)),MONTH((Tahmin!$C$4+7)),MIN(DAY(Kalemler!$D71),DAY(EOMONTH((Tahmin!$C$4+7),0))))&gt;=Kalemler!$D71),AND(DATE(YEAR((Tahmin!$C$4+13)),MONTH((Tahmin!$C$4+13)),MIN(DAY(Kalemler!$D71),DAY(EOMONTH((Tahmin!$C$4+13),0))))&gt;=(Tahmin!$C$4+7),DATE(YEAR((Tahmin!$C$4+13)),MONTH((Tahmin!$C$4+13)),MIN(DAY(Kalemler!$D71),DAY(EOMONTH((Tahmin!$C$4+13),0))))&lt;=(Tahmin!$C$4+13),DATE(YEAR((Tahmin!$C$4+13)),MONTH((Tahmin!$C$4+13)),MIN(DAY(Kalemler!$D71),DAY(EOMONTH((Tahmin!$C$4+13),0))))&lt;&gt;DATE(YEAR((Tahmin!$C$4+7)),MONTH((Tahmin!$C$4+7)),MIN(DAY(Kalemler!$D71),DAY(EOMONTH((Tahmin!$C$4+7),0)))),DATE(YEAR((Tahmin!$C$4+13)),MONTH((Tahmin!$C$4+13)),MIN(DAY(Kalemler!$D71),DAY(EOMONTH((Tahmin!$C$4+13),0))))&gt;=Kalemler!$D71)),1,0),IF(AND(Kalemler!$D71&gt;=(Tahmin!$C$4+7),Kalemler!$D71&lt;=(Tahmin!$C$4+13)),1,0))))</f>
        <v>0</v>
      </c>
      <c r="D71" s="0" t="n">
        <f aca="false">IF(OR(Kalemler!$A71="",Kalemler!$C71="",Kalemler!$D71=""),0,Kalemler!$C71*IF(Kalemler!$E71="Haftalık",IF(Kalemler!$D71&lt;=(Tahmin!$C$4+20),1,0),IF(Kalemler!$E71="Aylık",IF(OR(AND(DATE(YEAR((Tahmin!$C$4+14)),MONTH((Tahmin!$C$4+14)),MIN(DAY(Kalemler!$D71),DAY(EOMONTH((Tahmin!$C$4+14),0))))&gt;=(Tahmin!$C$4+14),DATE(YEAR((Tahmin!$C$4+14)),MONTH((Tahmin!$C$4+14)),MIN(DAY(Kalemler!$D71),DAY(EOMONTH((Tahmin!$C$4+14),0))))&lt;=(Tahmin!$C$4+20),DATE(YEAR((Tahmin!$C$4+14)),MONTH((Tahmin!$C$4+14)),MIN(DAY(Kalemler!$D71),DAY(EOMONTH((Tahmin!$C$4+14),0))))&gt;=Kalemler!$D71),AND(DATE(YEAR((Tahmin!$C$4+20)),MONTH((Tahmin!$C$4+20)),MIN(DAY(Kalemler!$D71),DAY(EOMONTH((Tahmin!$C$4+20),0))))&gt;=(Tahmin!$C$4+14),DATE(YEAR((Tahmin!$C$4+20)),MONTH((Tahmin!$C$4+20)),MIN(DAY(Kalemler!$D71),DAY(EOMONTH((Tahmin!$C$4+20),0))))&lt;=(Tahmin!$C$4+20),DATE(YEAR((Tahmin!$C$4+20)),MONTH((Tahmin!$C$4+20)),MIN(DAY(Kalemler!$D71),DAY(EOMONTH((Tahmin!$C$4+20),0))))&lt;&gt;DATE(YEAR((Tahmin!$C$4+14)),MONTH((Tahmin!$C$4+14)),MIN(DAY(Kalemler!$D71),DAY(EOMONTH((Tahmin!$C$4+14),0)))),DATE(YEAR((Tahmin!$C$4+20)),MONTH((Tahmin!$C$4+20)),MIN(DAY(Kalemler!$D71),DAY(EOMONTH((Tahmin!$C$4+20),0))))&gt;=Kalemler!$D71)),1,0),IF(AND(Kalemler!$D71&gt;=(Tahmin!$C$4+14),Kalemler!$D71&lt;=(Tahmin!$C$4+20)),1,0))))</f>
        <v>0</v>
      </c>
      <c r="E71" s="0" t="n">
        <f aca="false">IF(OR(Kalemler!$A71="",Kalemler!$C71="",Kalemler!$D71=""),0,Kalemler!$C71*IF(Kalemler!$E71="Haftalık",IF(Kalemler!$D71&lt;=(Tahmin!$C$4+27),1,0),IF(Kalemler!$E71="Aylık",IF(OR(AND(DATE(YEAR((Tahmin!$C$4+21)),MONTH((Tahmin!$C$4+21)),MIN(DAY(Kalemler!$D71),DAY(EOMONTH((Tahmin!$C$4+21),0))))&gt;=(Tahmin!$C$4+21),DATE(YEAR((Tahmin!$C$4+21)),MONTH((Tahmin!$C$4+21)),MIN(DAY(Kalemler!$D71),DAY(EOMONTH((Tahmin!$C$4+21),0))))&lt;=(Tahmin!$C$4+27),DATE(YEAR((Tahmin!$C$4+21)),MONTH((Tahmin!$C$4+21)),MIN(DAY(Kalemler!$D71),DAY(EOMONTH((Tahmin!$C$4+21),0))))&gt;=Kalemler!$D71),AND(DATE(YEAR((Tahmin!$C$4+27)),MONTH((Tahmin!$C$4+27)),MIN(DAY(Kalemler!$D71),DAY(EOMONTH((Tahmin!$C$4+27),0))))&gt;=(Tahmin!$C$4+21),DATE(YEAR((Tahmin!$C$4+27)),MONTH((Tahmin!$C$4+27)),MIN(DAY(Kalemler!$D71),DAY(EOMONTH((Tahmin!$C$4+27),0))))&lt;=(Tahmin!$C$4+27),DATE(YEAR((Tahmin!$C$4+27)),MONTH((Tahmin!$C$4+27)),MIN(DAY(Kalemler!$D71),DAY(EOMONTH((Tahmin!$C$4+27),0))))&lt;&gt;DATE(YEAR((Tahmin!$C$4+21)),MONTH((Tahmin!$C$4+21)),MIN(DAY(Kalemler!$D71),DAY(EOMONTH((Tahmin!$C$4+21),0)))),DATE(YEAR((Tahmin!$C$4+27)),MONTH((Tahmin!$C$4+27)),MIN(DAY(Kalemler!$D71),DAY(EOMONTH((Tahmin!$C$4+27),0))))&gt;=Kalemler!$D71)),1,0),IF(AND(Kalemler!$D71&gt;=(Tahmin!$C$4+21),Kalemler!$D71&lt;=(Tahmin!$C$4+27)),1,0))))</f>
        <v>0</v>
      </c>
      <c r="F71" s="0" t="n">
        <f aca="false">IF(OR(Kalemler!$A71="",Kalemler!$C71="",Kalemler!$D71=""),0,Kalemler!$C71*IF(Kalemler!$E71="Haftalık",IF(Kalemler!$D71&lt;=(Tahmin!$C$4+34),1,0),IF(Kalemler!$E71="Aylık",IF(OR(AND(DATE(YEAR((Tahmin!$C$4+28)),MONTH((Tahmin!$C$4+28)),MIN(DAY(Kalemler!$D71),DAY(EOMONTH((Tahmin!$C$4+28),0))))&gt;=(Tahmin!$C$4+28),DATE(YEAR((Tahmin!$C$4+28)),MONTH((Tahmin!$C$4+28)),MIN(DAY(Kalemler!$D71),DAY(EOMONTH((Tahmin!$C$4+28),0))))&lt;=(Tahmin!$C$4+34),DATE(YEAR((Tahmin!$C$4+28)),MONTH((Tahmin!$C$4+28)),MIN(DAY(Kalemler!$D71),DAY(EOMONTH((Tahmin!$C$4+28),0))))&gt;=Kalemler!$D71),AND(DATE(YEAR((Tahmin!$C$4+34)),MONTH((Tahmin!$C$4+34)),MIN(DAY(Kalemler!$D71),DAY(EOMONTH((Tahmin!$C$4+34),0))))&gt;=(Tahmin!$C$4+28),DATE(YEAR((Tahmin!$C$4+34)),MONTH((Tahmin!$C$4+34)),MIN(DAY(Kalemler!$D71),DAY(EOMONTH((Tahmin!$C$4+34),0))))&lt;=(Tahmin!$C$4+34),DATE(YEAR((Tahmin!$C$4+34)),MONTH((Tahmin!$C$4+34)),MIN(DAY(Kalemler!$D71),DAY(EOMONTH((Tahmin!$C$4+34),0))))&lt;&gt;DATE(YEAR((Tahmin!$C$4+28)),MONTH((Tahmin!$C$4+28)),MIN(DAY(Kalemler!$D71),DAY(EOMONTH((Tahmin!$C$4+28),0)))),DATE(YEAR((Tahmin!$C$4+34)),MONTH((Tahmin!$C$4+34)),MIN(DAY(Kalemler!$D71),DAY(EOMONTH((Tahmin!$C$4+34),0))))&gt;=Kalemler!$D71)),1,0),IF(AND(Kalemler!$D71&gt;=(Tahmin!$C$4+28),Kalemler!$D71&lt;=(Tahmin!$C$4+34)),1,0))))</f>
        <v>0</v>
      </c>
      <c r="G71" s="0" t="n">
        <f aca="false">IF(OR(Kalemler!$A71="",Kalemler!$C71="",Kalemler!$D71=""),0,Kalemler!$C71*IF(Kalemler!$E71="Haftalık",IF(Kalemler!$D71&lt;=(Tahmin!$C$4+41),1,0),IF(Kalemler!$E71="Aylık",IF(OR(AND(DATE(YEAR((Tahmin!$C$4+35)),MONTH((Tahmin!$C$4+35)),MIN(DAY(Kalemler!$D71),DAY(EOMONTH((Tahmin!$C$4+35),0))))&gt;=(Tahmin!$C$4+35),DATE(YEAR((Tahmin!$C$4+35)),MONTH((Tahmin!$C$4+35)),MIN(DAY(Kalemler!$D71),DAY(EOMONTH((Tahmin!$C$4+35),0))))&lt;=(Tahmin!$C$4+41),DATE(YEAR((Tahmin!$C$4+35)),MONTH((Tahmin!$C$4+35)),MIN(DAY(Kalemler!$D71),DAY(EOMONTH((Tahmin!$C$4+35),0))))&gt;=Kalemler!$D71),AND(DATE(YEAR((Tahmin!$C$4+41)),MONTH((Tahmin!$C$4+41)),MIN(DAY(Kalemler!$D71),DAY(EOMONTH((Tahmin!$C$4+41),0))))&gt;=(Tahmin!$C$4+35),DATE(YEAR((Tahmin!$C$4+41)),MONTH((Tahmin!$C$4+41)),MIN(DAY(Kalemler!$D71),DAY(EOMONTH((Tahmin!$C$4+41),0))))&lt;=(Tahmin!$C$4+41),DATE(YEAR((Tahmin!$C$4+41)),MONTH((Tahmin!$C$4+41)),MIN(DAY(Kalemler!$D71),DAY(EOMONTH((Tahmin!$C$4+41),0))))&lt;&gt;DATE(YEAR((Tahmin!$C$4+35)),MONTH((Tahmin!$C$4+35)),MIN(DAY(Kalemler!$D71),DAY(EOMONTH((Tahmin!$C$4+35),0)))),DATE(YEAR((Tahmin!$C$4+41)),MONTH((Tahmin!$C$4+41)),MIN(DAY(Kalemler!$D71),DAY(EOMONTH((Tahmin!$C$4+41),0))))&gt;=Kalemler!$D71)),1,0),IF(AND(Kalemler!$D71&gt;=(Tahmin!$C$4+35),Kalemler!$D71&lt;=(Tahmin!$C$4+41)),1,0))))</f>
        <v>0</v>
      </c>
      <c r="H71" s="0" t="n">
        <f aca="false">IF(OR(Kalemler!$A71="",Kalemler!$C71="",Kalemler!$D71=""),0,Kalemler!$C71*IF(Kalemler!$E71="Haftalık",IF(Kalemler!$D71&lt;=(Tahmin!$C$4+48),1,0),IF(Kalemler!$E71="Aylık",IF(OR(AND(DATE(YEAR((Tahmin!$C$4+42)),MONTH((Tahmin!$C$4+42)),MIN(DAY(Kalemler!$D71),DAY(EOMONTH((Tahmin!$C$4+42),0))))&gt;=(Tahmin!$C$4+42),DATE(YEAR((Tahmin!$C$4+42)),MONTH((Tahmin!$C$4+42)),MIN(DAY(Kalemler!$D71),DAY(EOMONTH((Tahmin!$C$4+42),0))))&lt;=(Tahmin!$C$4+48),DATE(YEAR((Tahmin!$C$4+42)),MONTH((Tahmin!$C$4+42)),MIN(DAY(Kalemler!$D71),DAY(EOMONTH((Tahmin!$C$4+42),0))))&gt;=Kalemler!$D71),AND(DATE(YEAR((Tahmin!$C$4+48)),MONTH((Tahmin!$C$4+48)),MIN(DAY(Kalemler!$D71),DAY(EOMONTH((Tahmin!$C$4+48),0))))&gt;=(Tahmin!$C$4+42),DATE(YEAR((Tahmin!$C$4+48)),MONTH((Tahmin!$C$4+48)),MIN(DAY(Kalemler!$D71),DAY(EOMONTH((Tahmin!$C$4+48),0))))&lt;=(Tahmin!$C$4+48),DATE(YEAR((Tahmin!$C$4+48)),MONTH((Tahmin!$C$4+48)),MIN(DAY(Kalemler!$D71),DAY(EOMONTH((Tahmin!$C$4+48),0))))&lt;&gt;DATE(YEAR((Tahmin!$C$4+42)),MONTH((Tahmin!$C$4+42)),MIN(DAY(Kalemler!$D71),DAY(EOMONTH((Tahmin!$C$4+42),0)))),DATE(YEAR((Tahmin!$C$4+48)),MONTH((Tahmin!$C$4+48)),MIN(DAY(Kalemler!$D71),DAY(EOMONTH((Tahmin!$C$4+48),0))))&gt;=Kalemler!$D71)),1,0),IF(AND(Kalemler!$D71&gt;=(Tahmin!$C$4+42),Kalemler!$D71&lt;=(Tahmin!$C$4+48)),1,0))))</f>
        <v>0</v>
      </c>
      <c r="I71" s="0" t="n">
        <f aca="false">IF(OR(Kalemler!$A71="",Kalemler!$C71="",Kalemler!$D71=""),0,Kalemler!$C71*IF(Kalemler!$E71="Haftalık",IF(Kalemler!$D71&lt;=(Tahmin!$C$4+55),1,0),IF(Kalemler!$E71="Aylık",IF(OR(AND(DATE(YEAR((Tahmin!$C$4+49)),MONTH((Tahmin!$C$4+49)),MIN(DAY(Kalemler!$D71),DAY(EOMONTH((Tahmin!$C$4+49),0))))&gt;=(Tahmin!$C$4+49),DATE(YEAR((Tahmin!$C$4+49)),MONTH((Tahmin!$C$4+49)),MIN(DAY(Kalemler!$D71),DAY(EOMONTH((Tahmin!$C$4+49),0))))&lt;=(Tahmin!$C$4+55),DATE(YEAR((Tahmin!$C$4+49)),MONTH((Tahmin!$C$4+49)),MIN(DAY(Kalemler!$D71),DAY(EOMONTH((Tahmin!$C$4+49),0))))&gt;=Kalemler!$D71),AND(DATE(YEAR((Tahmin!$C$4+55)),MONTH((Tahmin!$C$4+55)),MIN(DAY(Kalemler!$D71),DAY(EOMONTH((Tahmin!$C$4+55),0))))&gt;=(Tahmin!$C$4+49),DATE(YEAR((Tahmin!$C$4+55)),MONTH((Tahmin!$C$4+55)),MIN(DAY(Kalemler!$D71),DAY(EOMONTH((Tahmin!$C$4+55),0))))&lt;=(Tahmin!$C$4+55),DATE(YEAR((Tahmin!$C$4+55)),MONTH((Tahmin!$C$4+55)),MIN(DAY(Kalemler!$D71),DAY(EOMONTH((Tahmin!$C$4+55),0))))&lt;&gt;DATE(YEAR((Tahmin!$C$4+49)),MONTH((Tahmin!$C$4+49)),MIN(DAY(Kalemler!$D71),DAY(EOMONTH((Tahmin!$C$4+49),0)))),DATE(YEAR((Tahmin!$C$4+55)),MONTH((Tahmin!$C$4+55)),MIN(DAY(Kalemler!$D71),DAY(EOMONTH((Tahmin!$C$4+55),0))))&gt;=Kalemler!$D71)),1,0),IF(AND(Kalemler!$D71&gt;=(Tahmin!$C$4+49),Kalemler!$D71&lt;=(Tahmin!$C$4+55)),1,0))))</f>
        <v>0</v>
      </c>
      <c r="J71" s="0" t="n">
        <f aca="false">IF(OR(Kalemler!$A71="",Kalemler!$C71="",Kalemler!$D71=""),0,Kalemler!$C71*IF(Kalemler!$E71="Haftalık",IF(Kalemler!$D71&lt;=(Tahmin!$C$4+62),1,0),IF(Kalemler!$E71="Aylık",IF(OR(AND(DATE(YEAR((Tahmin!$C$4+56)),MONTH((Tahmin!$C$4+56)),MIN(DAY(Kalemler!$D71),DAY(EOMONTH((Tahmin!$C$4+56),0))))&gt;=(Tahmin!$C$4+56),DATE(YEAR((Tahmin!$C$4+56)),MONTH((Tahmin!$C$4+56)),MIN(DAY(Kalemler!$D71),DAY(EOMONTH((Tahmin!$C$4+56),0))))&lt;=(Tahmin!$C$4+62),DATE(YEAR((Tahmin!$C$4+56)),MONTH((Tahmin!$C$4+56)),MIN(DAY(Kalemler!$D71),DAY(EOMONTH((Tahmin!$C$4+56),0))))&gt;=Kalemler!$D71),AND(DATE(YEAR((Tahmin!$C$4+62)),MONTH((Tahmin!$C$4+62)),MIN(DAY(Kalemler!$D71),DAY(EOMONTH((Tahmin!$C$4+62),0))))&gt;=(Tahmin!$C$4+56),DATE(YEAR((Tahmin!$C$4+62)),MONTH((Tahmin!$C$4+62)),MIN(DAY(Kalemler!$D71),DAY(EOMONTH((Tahmin!$C$4+62),0))))&lt;=(Tahmin!$C$4+62),DATE(YEAR((Tahmin!$C$4+62)),MONTH((Tahmin!$C$4+62)),MIN(DAY(Kalemler!$D71),DAY(EOMONTH((Tahmin!$C$4+62),0))))&lt;&gt;DATE(YEAR((Tahmin!$C$4+56)),MONTH((Tahmin!$C$4+56)),MIN(DAY(Kalemler!$D71),DAY(EOMONTH((Tahmin!$C$4+56),0)))),DATE(YEAR((Tahmin!$C$4+62)),MONTH((Tahmin!$C$4+62)),MIN(DAY(Kalemler!$D71),DAY(EOMONTH((Tahmin!$C$4+62),0))))&gt;=Kalemler!$D71)),1,0),IF(AND(Kalemler!$D71&gt;=(Tahmin!$C$4+56),Kalemler!$D71&lt;=(Tahmin!$C$4+62)),1,0))))</f>
        <v>0</v>
      </c>
      <c r="K71" s="0" t="n">
        <f aca="false">IF(OR(Kalemler!$A71="",Kalemler!$C71="",Kalemler!$D71=""),0,Kalemler!$C71*IF(Kalemler!$E71="Haftalık",IF(Kalemler!$D71&lt;=(Tahmin!$C$4+69),1,0),IF(Kalemler!$E71="Aylık",IF(OR(AND(DATE(YEAR((Tahmin!$C$4+63)),MONTH((Tahmin!$C$4+63)),MIN(DAY(Kalemler!$D71),DAY(EOMONTH((Tahmin!$C$4+63),0))))&gt;=(Tahmin!$C$4+63),DATE(YEAR((Tahmin!$C$4+63)),MONTH((Tahmin!$C$4+63)),MIN(DAY(Kalemler!$D71),DAY(EOMONTH((Tahmin!$C$4+63),0))))&lt;=(Tahmin!$C$4+69),DATE(YEAR((Tahmin!$C$4+63)),MONTH((Tahmin!$C$4+63)),MIN(DAY(Kalemler!$D71),DAY(EOMONTH((Tahmin!$C$4+63),0))))&gt;=Kalemler!$D71),AND(DATE(YEAR((Tahmin!$C$4+69)),MONTH((Tahmin!$C$4+69)),MIN(DAY(Kalemler!$D71),DAY(EOMONTH((Tahmin!$C$4+69),0))))&gt;=(Tahmin!$C$4+63),DATE(YEAR((Tahmin!$C$4+69)),MONTH((Tahmin!$C$4+69)),MIN(DAY(Kalemler!$D71),DAY(EOMONTH((Tahmin!$C$4+69),0))))&lt;=(Tahmin!$C$4+69),DATE(YEAR((Tahmin!$C$4+69)),MONTH((Tahmin!$C$4+69)),MIN(DAY(Kalemler!$D71),DAY(EOMONTH((Tahmin!$C$4+69),0))))&lt;&gt;DATE(YEAR((Tahmin!$C$4+63)),MONTH((Tahmin!$C$4+63)),MIN(DAY(Kalemler!$D71),DAY(EOMONTH((Tahmin!$C$4+63),0)))),DATE(YEAR((Tahmin!$C$4+69)),MONTH((Tahmin!$C$4+69)),MIN(DAY(Kalemler!$D71),DAY(EOMONTH((Tahmin!$C$4+69),0))))&gt;=Kalemler!$D71)),1,0),IF(AND(Kalemler!$D71&gt;=(Tahmin!$C$4+63),Kalemler!$D71&lt;=(Tahmin!$C$4+69)),1,0))))</f>
        <v>0</v>
      </c>
      <c r="L71" s="0" t="n">
        <f aca="false">IF(OR(Kalemler!$A71="",Kalemler!$C71="",Kalemler!$D71=""),0,Kalemler!$C71*IF(Kalemler!$E71="Haftalık",IF(Kalemler!$D71&lt;=(Tahmin!$C$4+76),1,0),IF(Kalemler!$E71="Aylık",IF(OR(AND(DATE(YEAR((Tahmin!$C$4+70)),MONTH((Tahmin!$C$4+70)),MIN(DAY(Kalemler!$D71),DAY(EOMONTH((Tahmin!$C$4+70),0))))&gt;=(Tahmin!$C$4+70),DATE(YEAR((Tahmin!$C$4+70)),MONTH((Tahmin!$C$4+70)),MIN(DAY(Kalemler!$D71),DAY(EOMONTH((Tahmin!$C$4+70),0))))&lt;=(Tahmin!$C$4+76),DATE(YEAR((Tahmin!$C$4+70)),MONTH((Tahmin!$C$4+70)),MIN(DAY(Kalemler!$D71),DAY(EOMONTH((Tahmin!$C$4+70),0))))&gt;=Kalemler!$D71),AND(DATE(YEAR((Tahmin!$C$4+76)),MONTH((Tahmin!$C$4+76)),MIN(DAY(Kalemler!$D71),DAY(EOMONTH((Tahmin!$C$4+76),0))))&gt;=(Tahmin!$C$4+70),DATE(YEAR((Tahmin!$C$4+76)),MONTH((Tahmin!$C$4+76)),MIN(DAY(Kalemler!$D71),DAY(EOMONTH((Tahmin!$C$4+76),0))))&lt;=(Tahmin!$C$4+76),DATE(YEAR((Tahmin!$C$4+76)),MONTH((Tahmin!$C$4+76)),MIN(DAY(Kalemler!$D71),DAY(EOMONTH((Tahmin!$C$4+76),0))))&lt;&gt;DATE(YEAR((Tahmin!$C$4+70)),MONTH((Tahmin!$C$4+70)),MIN(DAY(Kalemler!$D71),DAY(EOMONTH((Tahmin!$C$4+70),0)))),DATE(YEAR((Tahmin!$C$4+76)),MONTH((Tahmin!$C$4+76)),MIN(DAY(Kalemler!$D71),DAY(EOMONTH((Tahmin!$C$4+76),0))))&gt;=Kalemler!$D71)),1,0),IF(AND(Kalemler!$D71&gt;=(Tahmin!$C$4+70),Kalemler!$D71&lt;=(Tahmin!$C$4+76)),1,0))))</f>
        <v>0</v>
      </c>
      <c r="M71" s="0" t="n">
        <f aca="false">IF(OR(Kalemler!$A71="",Kalemler!$C71="",Kalemler!$D71=""),0,Kalemler!$C71*IF(Kalemler!$E71="Haftalık",IF(Kalemler!$D71&lt;=(Tahmin!$C$4+83),1,0),IF(Kalemler!$E71="Aylık",IF(OR(AND(DATE(YEAR((Tahmin!$C$4+77)),MONTH((Tahmin!$C$4+77)),MIN(DAY(Kalemler!$D71),DAY(EOMONTH((Tahmin!$C$4+77),0))))&gt;=(Tahmin!$C$4+77),DATE(YEAR((Tahmin!$C$4+77)),MONTH((Tahmin!$C$4+77)),MIN(DAY(Kalemler!$D71),DAY(EOMONTH((Tahmin!$C$4+77),0))))&lt;=(Tahmin!$C$4+83),DATE(YEAR((Tahmin!$C$4+77)),MONTH((Tahmin!$C$4+77)),MIN(DAY(Kalemler!$D71),DAY(EOMONTH((Tahmin!$C$4+77),0))))&gt;=Kalemler!$D71),AND(DATE(YEAR((Tahmin!$C$4+83)),MONTH((Tahmin!$C$4+83)),MIN(DAY(Kalemler!$D71),DAY(EOMONTH((Tahmin!$C$4+83),0))))&gt;=(Tahmin!$C$4+77),DATE(YEAR((Tahmin!$C$4+83)),MONTH((Tahmin!$C$4+83)),MIN(DAY(Kalemler!$D71),DAY(EOMONTH((Tahmin!$C$4+83),0))))&lt;=(Tahmin!$C$4+83),DATE(YEAR((Tahmin!$C$4+83)),MONTH((Tahmin!$C$4+83)),MIN(DAY(Kalemler!$D71),DAY(EOMONTH((Tahmin!$C$4+83),0))))&lt;&gt;DATE(YEAR((Tahmin!$C$4+77)),MONTH((Tahmin!$C$4+77)),MIN(DAY(Kalemler!$D71),DAY(EOMONTH((Tahmin!$C$4+77),0)))),DATE(YEAR((Tahmin!$C$4+83)),MONTH((Tahmin!$C$4+83)),MIN(DAY(Kalemler!$D71),DAY(EOMONTH((Tahmin!$C$4+83),0))))&gt;=Kalemler!$D71)),1,0),IF(AND(Kalemler!$D71&gt;=(Tahmin!$C$4+77),Kalemler!$D71&lt;=(Tahmin!$C$4+83)),1,0))))</f>
        <v>0</v>
      </c>
      <c r="N71" s="0" t="n">
        <f aca="false">IF(OR(Kalemler!$A71="",Kalemler!$C71="",Kalemler!$D71=""),0,Kalemler!$C71*IF(Kalemler!$E71="Haftalık",IF(Kalemler!$D71&lt;=(Tahmin!$C$4+90),1,0),IF(Kalemler!$E71="Aylık",IF(OR(AND(DATE(YEAR((Tahmin!$C$4+84)),MONTH((Tahmin!$C$4+84)),MIN(DAY(Kalemler!$D71),DAY(EOMONTH((Tahmin!$C$4+84),0))))&gt;=(Tahmin!$C$4+84),DATE(YEAR((Tahmin!$C$4+84)),MONTH((Tahmin!$C$4+84)),MIN(DAY(Kalemler!$D71),DAY(EOMONTH((Tahmin!$C$4+84),0))))&lt;=(Tahmin!$C$4+90),DATE(YEAR((Tahmin!$C$4+84)),MONTH((Tahmin!$C$4+84)),MIN(DAY(Kalemler!$D71),DAY(EOMONTH((Tahmin!$C$4+84),0))))&gt;=Kalemler!$D71),AND(DATE(YEAR((Tahmin!$C$4+90)),MONTH((Tahmin!$C$4+90)),MIN(DAY(Kalemler!$D71),DAY(EOMONTH((Tahmin!$C$4+90),0))))&gt;=(Tahmin!$C$4+84),DATE(YEAR((Tahmin!$C$4+90)),MONTH((Tahmin!$C$4+90)),MIN(DAY(Kalemler!$D71),DAY(EOMONTH((Tahmin!$C$4+90),0))))&lt;=(Tahmin!$C$4+90),DATE(YEAR((Tahmin!$C$4+90)),MONTH((Tahmin!$C$4+90)),MIN(DAY(Kalemler!$D71),DAY(EOMONTH((Tahmin!$C$4+90),0))))&lt;&gt;DATE(YEAR((Tahmin!$C$4+84)),MONTH((Tahmin!$C$4+84)),MIN(DAY(Kalemler!$D71),DAY(EOMONTH((Tahmin!$C$4+84),0)))),DATE(YEAR((Tahmin!$C$4+90)),MONTH((Tahmin!$C$4+90)),MIN(DAY(Kalemler!$D71),DAY(EOMONTH((Tahmin!$C$4+90),0))))&gt;=Kalemler!$D71)),1,0),IF(AND(Kalemler!$D71&gt;=(Tahmin!$C$4+84),Kalemler!$D71&lt;=(Tahmin!$C$4+90)),1,0))))</f>
        <v>0</v>
      </c>
    </row>
    <row r="72" customFormat="false" ht="15" hidden="false" customHeight="false" outlineLevel="0" collapsed="false">
      <c r="A72" s="0" t="str">
        <f aca="false">IF(Kalemler!A72="","",Kalemler!A72)</f>
        <v/>
      </c>
      <c r="B72" s="0" t="n">
        <f aca="false">IF(OR(Kalemler!$A72="",Kalemler!$C72="",Kalemler!$D72=""),0,Kalemler!$C72*IF(Kalemler!$E72="Haftalık",IF(Kalemler!$D72&lt;=(Tahmin!$C$4+6),1,0),IF(Kalemler!$E72="Aylık",IF(OR(AND(DATE(YEAR((Tahmin!$C$4+0)),MONTH((Tahmin!$C$4+0)),MIN(DAY(Kalemler!$D72),DAY(EOMONTH((Tahmin!$C$4+0),0))))&gt;=(Tahmin!$C$4+0),DATE(YEAR((Tahmin!$C$4+0)),MONTH((Tahmin!$C$4+0)),MIN(DAY(Kalemler!$D72),DAY(EOMONTH((Tahmin!$C$4+0),0))))&lt;=(Tahmin!$C$4+6),DATE(YEAR((Tahmin!$C$4+0)),MONTH((Tahmin!$C$4+0)),MIN(DAY(Kalemler!$D72),DAY(EOMONTH((Tahmin!$C$4+0),0))))&gt;=Kalemler!$D72),AND(DATE(YEAR((Tahmin!$C$4+6)),MONTH((Tahmin!$C$4+6)),MIN(DAY(Kalemler!$D72),DAY(EOMONTH((Tahmin!$C$4+6),0))))&gt;=(Tahmin!$C$4+0),DATE(YEAR((Tahmin!$C$4+6)),MONTH((Tahmin!$C$4+6)),MIN(DAY(Kalemler!$D72),DAY(EOMONTH((Tahmin!$C$4+6),0))))&lt;=(Tahmin!$C$4+6),DATE(YEAR((Tahmin!$C$4+6)),MONTH((Tahmin!$C$4+6)),MIN(DAY(Kalemler!$D72),DAY(EOMONTH((Tahmin!$C$4+6),0))))&lt;&gt;DATE(YEAR((Tahmin!$C$4+0)),MONTH((Tahmin!$C$4+0)),MIN(DAY(Kalemler!$D72),DAY(EOMONTH((Tahmin!$C$4+0),0)))),DATE(YEAR((Tahmin!$C$4+6)),MONTH((Tahmin!$C$4+6)),MIN(DAY(Kalemler!$D72),DAY(EOMONTH((Tahmin!$C$4+6),0))))&gt;=Kalemler!$D72)),1,0),IF(AND(Kalemler!$D72&gt;=(Tahmin!$C$4+0),Kalemler!$D72&lt;=(Tahmin!$C$4+6)),1,0))))</f>
        <v>0</v>
      </c>
      <c r="C72" s="0" t="n">
        <f aca="false">IF(OR(Kalemler!$A72="",Kalemler!$C72="",Kalemler!$D72=""),0,Kalemler!$C72*IF(Kalemler!$E72="Haftalık",IF(Kalemler!$D72&lt;=(Tahmin!$C$4+13),1,0),IF(Kalemler!$E72="Aylık",IF(OR(AND(DATE(YEAR((Tahmin!$C$4+7)),MONTH((Tahmin!$C$4+7)),MIN(DAY(Kalemler!$D72),DAY(EOMONTH((Tahmin!$C$4+7),0))))&gt;=(Tahmin!$C$4+7),DATE(YEAR((Tahmin!$C$4+7)),MONTH((Tahmin!$C$4+7)),MIN(DAY(Kalemler!$D72),DAY(EOMONTH((Tahmin!$C$4+7),0))))&lt;=(Tahmin!$C$4+13),DATE(YEAR((Tahmin!$C$4+7)),MONTH((Tahmin!$C$4+7)),MIN(DAY(Kalemler!$D72),DAY(EOMONTH((Tahmin!$C$4+7),0))))&gt;=Kalemler!$D72),AND(DATE(YEAR((Tahmin!$C$4+13)),MONTH((Tahmin!$C$4+13)),MIN(DAY(Kalemler!$D72),DAY(EOMONTH((Tahmin!$C$4+13),0))))&gt;=(Tahmin!$C$4+7),DATE(YEAR((Tahmin!$C$4+13)),MONTH((Tahmin!$C$4+13)),MIN(DAY(Kalemler!$D72),DAY(EOMONTH((Tahmin!$C$4+13),0))))&lt;=(Tahmin!$C$4+13),DATE(YEAR((Tahmin!$C$4+13)),MONTH((Tahmin!$C$4+13)),MIN(DAY(Kalemler!$D72),DAY(EOMONTH((Tahmin!$C$4+13),0))))&lt;&gt;DATE(YEAR((Tahmin!$C$4+7)),MONTH((Tahmin!$C$4+7)),MIN(DAY(Kalemler!$D72),DAY(EOMONTH((Tahmin!$C$4+7),0)))),DATE(YEAR((Tahmin!$C$4+13)),MONTH((Tahmin!$C$4+13)),MIN(DAY(Kalemler!$D72),DAY(EOMONTH((Tahmin!$C$4+13),0))))&gt;=Kalemler!$D72)),1,0),IF(AND(Kalemler!$D72&gt;=(Tahmin!$C$4+7),Kalemler!$D72&lt;=(Tahmin!$C$4+13)),1,0))))</f>
        <v>0</v>
      </c>
      <c r="D72" s="0" t="n">
        <f aca="false">IF(OR(Kalemler!$A72="",Kalemler!$C72="",Kalemler!$D72=""),0,Kalemler!$C72*IF(Kalemler!$E72="Haftalık",IF(Kalemler!$D72&lt;=(Tahmin!$C$4+20),1,0),IF(Kalemler!$E72="Aylık",IF(OR(AND(DATE(YEAR((Tahmin!$C$4+14)),MONTH((Tahmin!$C$4+14)),MIN(DAY(Kalemler!$D72),DAY(EOMONTH((Tahmin!$C$4+14),0))))&gt;=(Tahmin!$C$4+14),DATE(YEAR((Tahmin!$C$4+14)),MONTH((Tahmin!$C$4+14)),MIN(DAY(Kalemler!$D72),DAY(EOMONTH((Tahmin!$C$4+14),0))))&lt;=(Tahmin!$C$4+20),DATE(YEAR((Tahmin!$C$4+14)),MONTH((Tahmin!$C$4+14)),MIN(DAY(Kalemler!$D72),DAY(EOMONTH((Tahmin!$C$4+14),0))))&gt;=Kalemler!$D72),AND(DATE(YEAR((Tahmin!$C$4+20)),MONTH((Tahmin!$C$4+20)),MIN(DAY(Kalemler!$D72),DAY(EOMONTH((Tahmin!$C$4+20),0))))&gt;=(Tahmin!$C$4+14),DATE(YEAR((Tahmin!$C$4+20)),MONTH((Tahmin!$C$4+20)),MIN(DAY(Kalemler!$D72),DAY(EOMONTH((Tahmin!$C$4+20),0))))&lt;=(Tahmin!$C$4+20),DATE(YEAR((Tahmin!$C$4+20)),MONTH((Tahmin!$C$4+20)),MIN(DAY(Kalemler!$D72),DAY(EOMONTH((Tahmin!$C$4+20),0))))&lt;&gt;DATE(YEAR((Tahmin!$C$4+14)),MONTH((Tahmin!$C$4+14)),MIN(DAY(Kalemler!$D72),DAY(EOMONTH((Tahmin!$C$4+14),0)))),DATE(YEAR((Tahmin!$C$4+20)),MONTH((Tahmin!$C$4+20)),MIN(DAY(Kalemler!$D72),DAY(EOMONTH((Tahmin!$C$4+20),0))))&gt;=Kalemler!$D72)),1,0),IF(AND(Kalemler!$D72&gt;=(Tahmin!$C$4+14),Kalemler!$D72&lt;=(Tahmin!$C$4+20)),1,0))))</f>
        <v>0</v>
      </c>
      <c r="E72" s="0" t="n">
        <f aca="false">IF(OR(Kalemler!$A72="",Kalemler!$C72="",Kalemler!$D72=""),0,Kalemler!$C72*IF(Kalemler!$E72="Haftalık",IF(Kalemler!$D72&lt;=(Tahmin!$C$4+27),1,0),IF(Kalemler!$E72="Aylık",IF(OR(AND(DATE(YEAR((Tahmin!$C$4+21)),MONTH((Tahmin!$C$4+21)),MIN(DAY(Kalemler!$D72),DAY(EOMONTH((Tahmin!$C$4+21),0))))&gt;=(Tahmin!$C$4+21),DATE(YEAR((Tahmin!$C$4+21)),MONTH((Tahmin!$C$4+21)),MIN(DAY(Kalemler!$D72),DAY(EOMONTH((Tahmin!$C$4+21),0))))&lt;=(Tahmin!$C$4+27),DATE(YEAR((Tahmin!$C$4+21)),MONTH((Tahmin!$C$4+21)),MIN(DAY(Kalemler!$D72),DAY(EOMONTH((Tahmin!$C$4+21),0))))&gt;=Kalemler!$D72),AND(DATE(YEAR((Tahmin!$C$4+27)),MONTH((Tahmin!$C$4+27)),MIN(DAY(Kalemler!$D72),DAY(EOMONTH((Tahmin!$C$4+27),0))))&gt;=(Tahmin!$C$4+21),DATE(YEAR((Tahmin!$C$4+27)),MONTH((Tahmin!$C$4+27)),MIN(DAY(Kalemler!$D72),DAY(EOMONTH((Tahmin!$C$4+27),0))))&lt;=(Tahmin!$C$4+27),DATE(YEAR((Tahmin!$C$4+27)),MONTH((Tahmin!$C$4+27)),MIN(DAY(Kalemler!$D72),DAY(EOMONTH((Tahmin!$C$4+27),0))))&lt;&gt;DATE(YEAR((Tahmin!$C$4+21)),MONTH((Tahmin!$C$4+21)),MIN(DAY(Kalemler!$D72),DAY(EOMONTH((Tahmin!$C$4+21),0)))),DATE(YEAR((Tahmin!$C$4+27)),MONTH((Tahmin!$C$4+27)),MIN(DAY(Kalemler!$D72),DAY(EOMONTH((Tahmin!$C$4+27),0))))&gt;=Kalemler!$D72)),1,0),IF(AND(Kalemler!$D72&gt;=(Tahmin!$C$4+21),Kalemler!$D72&lt;=(Tahmin!$C$4+27)),1,0))))</f>
        <v>0</v>
      </c>
      <c r="F72" s="0" t="n">
        <f aca="false">IF(OR(Kalemler!$A72="",Kalemler!$C72="",Kalemler!$D72=""),0,Kalemler!$C72*IF(Kalemler!$E72="Haftalık",IF(Kalemler!$D72&lt;=(Tahmin!$C$4+34),1,0),IF(Kalemler!$E72="Aylık",IF(OR(AND(DATE(YEAR((Tahmin!$C$4+28)),MONTH((Tahmin!$C$4+28)),MIN(DAY(Kalemler!$D72),DAY(EOMONTH((Tahmin!$C$4+28),0))))&gt;=(Tahmin!$C$4+28),DATE(YEAR((Tahmin!$C$4+28)),MONTH((Tahmin!$C$4+28)),MIN(DAY(Kalemler!$D72),DAY(EOMONTH((Tahmin!$C$4+28),0))))&lt;=(Tahmin!$C$4+34),DATE(YEAR((Tahmin!$C$4+28)),MONTH((Tahmin!$C$4+28)),MIN(DAY(Kalemler!$D72),DAY(EOMONTH((Tahmin!$C$4+28),0))))&gt;=Kalemler!$D72),AND(DATE(YEAR((Tahmin!$C$4+34)),MONTH((Tahmin!$C$4+34)),MIN(DAY(Kalemler!$D72),DAY(EOMONTH((Tahmin!$C$4+34),0))))&gt;=(Tahmin!$C$4+28),DATE(YEAR((Tahmin!$C$4+34)),MONTH((Tahmin!$C$4+34)),MIN(DAY(Kalemler!$D72),DAY(EOMONTH((Tahmin!$C$4+34),0))))&lt;=(Tahmin!$C$4+34),DATE(YEAR((Tahmin!$C$4+34)),MONTH((Tahmin!$C$4+34)),MIN(DAY(Kalemler!$D72),DAY(EOMONTH((Tahmin!$C$4+34),0))))&lt;&gt;DATE(YEAR((Tahmin!$C$4+28)),MONTH((Tahmin!$C$4+28)),MIN(DAY(Kalemler!$D72),DAY(EOMONTH((Tahmin!$C$4+28),0)))),DATE(YEAR((Tahmin!$C$4+34)),MONTH((Tahmin!$C$4+34)),MIN(DAY(Kalemler!$D72),DAY(EOMONTH((Tahmin!$C$4+34),0))))&gt;=Kalemler!$D72)),1,0),IF(AND(Kalemler!$D72&gt;=(Tahmin!$C$4+28),Kalemler!$D72&lt;=(Tahmin!$C$4+34)),1,0))))</f>
        <v>0</v>
      </c>
      <c r="G72" s="0" t="n">
        <f aca="false">IF(OR(Kalemler!$A72="",Kalemler!$C72="",Kalemler!$D72=""),0,Kalemler!$C72*IF(Kalemler!$E72="Haftalık",IF(Kalemler!$D72&lt;=(Tahmin!$C$4+41),1,0),IF(Kalemler!$E72="Aylık",IF(OR(AND(DATE(YEAR((Tahmin!$C$4+35)),MONTH((Tahmin!$C$4+35)),MIN(DAY(Kalemler!$D72),DAY(EOMONTH((Tahmin!$C$4+35),0))))&gt;=(Tahmin!$C$4+35),DATE(YEAR((Tahmin!$C$4+35)),MONTH((Tahmin!$C$4+35)),MIN(DAY(Kalemler!$D72),DAY(EOMONTH((Tahmin!$C$4+35),0))))&lt;=(Tahmin!$C$4+41),DATE(YEAR((Tahmin!$C$4+35)),MONTH((Tahmin!$C$4+35)),MIN(DAY(Kalemler!$D72),DAY(EOMONTH((Tahmin!$C$4+35),0))))&gt;=Kalemler!$D72),AND(DATE(YEAR((Tahmin!$C$4+41)),MONTH((Tahmin!$C$4+41)),MIN(DAY(Kalemler!$D72),DAY(EOMONTH((Tahmin!$C$4+41),0))))&gt;=(Tahmin!$C$4+35),DATE(YEAR((Tahmin!$C$4+41)),MONTH((Tahmin!$C$4+41)),MIN(DAY(Kalemler!$D72),DAY(EOMONTH((Tahmin!$C$4+41),0))))&lt;=(Tahmin!$C$4+41),DATE(YEAR((Tahmin!$C$4+41)),MONTH((Tahmin!$C$4+41)),MIN(DAY(Kalemler!$D72),DAY(EOMONTH((Tahmin!$C$4+41),0))))&lt;&gt;DATE(YEAR((Tahmin!$C$4+35)),MONTH((Tahmin!$C$4+35)),MIN(DAY(Kalemler!$D72),DAY(EOMONTH((Tahmin!$C$4+35),0)))),DATE(YEAR((Tahmin!$C$4+41)),MONTH((Tahmin!$C$4+41)),MIN(DAY(Kalemler!$D72),DAY(EOMONTH((Tahmin!$C$4+41),0))))&gt;=Kalemler!$D72)),1,0),IF(AND(Kalemler!$D72&gt;=(Tahmin!$C$4+35),Kalemler!$D72&lt;=(Tahmin!$C$4+41)),1,0))))</f>
        <v>0</v>
      </c>
      <c r="H72" s="0" t="n">
        <f aca="false">IF(OR(Kalemler!$A72="",Kalemler!$C72="",Kalemler!$D72=""),0,Kalemler!$C72*IF(Kalemler!$E72="Haftalık",IF(Kalemler!$D72&lt;=(Tahmin!$C$4+48),1,0),IF(Kalemler!$E72="Aylık",IF(OR(AND(DATE(YEAR((Tahmin!$C$4+42)),MONTH((Tahmin!$C$4+42)),MIN(DAY(Kalemler!$D72),DAY(EOMONTH((Tahmin!$C$4+42),0))))&gt;=(Tahmin!$C$4+42),DATE(YEAR((Tahmin!$C$4+42)),MONTH((Tahmin!$C$4+42)),MIN(DAY(Kalemler!$D72),DAY(EOMONTH((Tahmin!$C$4+42),0))))&lt;=(Tahmin!$C$4+48),DATE(YEAR((Tahmin!$C$4+42)),MONTH((Tahmin!$C$4+42)),MIN(DAY(Kalemler!$D72),DAY(EOMONTH((Tahmin!$C$4+42),0))))&gt;=Kalemler!$D72),AND(DATE(YEAR((Tahmin!$C$4+48)),MONTH((Tahmin!$C$4+48)),MIN(DAY(Kalemler!$D72),DAY(EOMONTH((Tahmin!$C$4+48),0))))&gt;=(Tahmin!$C$4+42),DATE(YEAR((Tahmin!$C$4+48)),MONTH((Tahmin!$C$4+48)),MIN(DAY(Kalemler!$D72),DAY(EOMONTH((Tahmin!$C$4+48),0))))&lt;=(Tahmin!$C$4+48),DATE(YEAR((Tahmin!$C$4+48)),MONTH((Tahmin!$C$4+48)),MIN(DAY(Kalemler!$D72),DAY(EOMONTH((Tahmin!$C$4+48),0))))&lt;&gt;DATE(YEAR((Tahmin!$C$4+42)),MONTH((Tahmin!$C$4+42)),MIN(DAY(Kalemler!$D72),DAY(EOMONTH((Tahmin!$C$4+42),0)))),DATE(YEAR((Tahmin!$C$4+48)),MONTH((Tahmin!$C$4+48)),MIN(DAY(Kalemler!$D72),DAY(EOMONTH((Tahmin!$C$4+48),0))))&gt;=Kalemler!$D72)),1,0),IF(AND(Kalemler!$D72&gt;=(Tahmin!$C$4+42),Kalemler!$D72&lt;=(Tahmin!$C$4+48)),1,0))))</f>
        <v>0</v>
      </c>
      <c r="I72" s="0" t="n">
        <f aca="false">IF(OR(Kalemler!$A72="",Kalemler!$C72="",Kalemler!$D72=""),0,Kalemler!$C72*IF(Kalemler!$E72="Haftalık",IF(Kalemler!$D72&lt;=(Tahmin!$C$4+55),1,0),IF(Kalemler!$E72="Aylık",IF(OR(AND(DATE(YEAR((Tahmin!$C$4+49)),MONTH((Tahmin!$C$4+49)),MIN(DAY(Kalemler!$D72),DAY(EOMONTH((Tahmin!$C$4+49),0))))&gt;=(Tahmin!$C$4+49),DATE(YEAR((Tahmin!$C$4+49)),MONTH((Tahmin!$C$4+49)),MIN(DAY(Kalemler!$D72),DAY(EOMONTH((Tahmin!$C$4+49),0))))&lt;=(Tahmin!$C$4+55),DATE(YEAR((Tahmin!$C$4+49)),MONTH((Tahmin!$C$4+49)),MIN(DAY(Kalemler!$D72),DAY(EOMONTH((Tahmin!$C$4+49),0))))&gt;=Kalemler!$D72),AND(DATE(YEAR((Tahmin!$C$4+55)),MONTH((Tahmin!$C$4+55)),MIN(DAY(Kalemler!$D72),DAY(EOMONTH((Tahmin!$C$4+55),0))))&gt;=(Tahmin!$C$4+49),DATE(YEAR((Tahmin!$C$4+55)),MONTH((Tahmin!$C$4+55)),MIN(DAY(Kalemler!$D72),DAY(EOMONTH((Tahmin!$C$4+55),0))))&lt;=(Tahmin!$C$4+55),DATE(YEAR((Tahmin!$C$4+55)),MONTH((Tahmin!$C$4+55)),MIN(DAY(Kalemler!$D72),DAY(EOMONTH((Tahmin!$C$4+55),0))))&lt;&gt;DATE(YEAR((Tahmin!$C$4+49)),MONTH((Tahmin!$C$4+49)),MIN(DAY(Kalemler!$D72),DAY(EOMONTH((Tahmin!$C$4+49),0)))),DATE(YEAR((Tahmin!$C$4+55)),MONTH((Tahmin!$C$4+55)),MIN(DAY(Kalemler!$D72),DAY(EOMONTH((Tahmin!$C$4+55),0))))&gt;=Kalemler!$D72)),1,0),IF(AND(Kalemler!$D72&gt;=(Tahmin!$C$4+49),Kalemler!$D72&lt;=(Tahmin!$C$4+55)),1,0))))</f>
        <v>0</v>
      </c>
      <c r="J72" s="0" t="n">
        <f aca="false">IF(OR(Kalemler!$A72="",Kalemler!$C72="",Kalemler!$D72=""),0,Kalemler!$C72*IF(Kalemler!$E72="Haftalık",IF(Kalemler!$D72&lt;=(Tahmin!$C$4+62),1,0),IF(Kalemler!$E72="Aylık",IF(OR(AND(DATE(YEAR((Tahmin!$C$4+56)),MONTH((Tahmin!$C$4+56)),MIN(DAY(Kalemler!$D72),DAY(EOMONTH((Tahmin!$C$4+56),0))))&gt;=(Tahmin!$C$4+56),DATE(YEAR((Tahmin!$C$4+56)),MONTH((Tahmin!$C$4+56)),MIN(DAY(Kalemler!$D72),DAY(EOMONTH((Tahmin!$C$4+56),0))))&lt;=(Tahmin!$C$4+62),DATE(YEAR((Tahmin!$C$4+56)),MONTH((Tahmin!$C$4+56)),MIN(DAY(Kalemler!$D72),DAY(EOMONTH((Tahmin!$C$4+56),0))))&gt;=Kalemler!$D72),AND(DATE(YEAR((Tahmin!$C$4+62)),MONTH((Tahmin!$C$4+62)),MIN(DAY(Kalemler!$D72),DAY(EOMONTH((Tahmin!$C$4+62),0))))&gt;=(Tahmin!$C$4+56),DATE(YEAR((Tahmin!$C$4+62)),MONTH((Tahmin!$C$4+62)),MIN(DAY(Kalemler!$D72),DAY(EOMONTH((Tahmin!$C$4+62),0))))&lt;=(Tahmin!$C$4+62),DATE(YEAR((Tahmin!$C$4+62)),MONTH((Tahmin!$C$4+62)),MIN(DAY(Kalemler!$D72),DAY(EOMONTH((Tahmin!$C$4+62),0))))&lt;&gt;DATE(YEAR((Tahmin!$C$4+56)),MONTH((Tahmin!$C$4+56)),MIN(DAY(Kalemler!$D72),DAY(EOMONTH((Tahmin!$C$4+56),0)))),DATE(YEAR((Tahmin!$C$4+62)),MONTH((Tahmin!$C$4+62)),MIN(DAY(Kalemler!$D72),DAY(EOMONTH((Tahmin!$C$4+62),0))))&gt;=Kalemler!$D72)),1,0),IF(AND(Kalemler!$D72&gt;=(Tahmin!$C$4+56),Kalemler!$D72&lt;=(Tahmin!$C$4+62)),1,0))))</f>
        <v>0</v>
      </c>
      <c r="K72" s="0" t="n">
        <f aca="false">IF(OR(Kalemler!$A72="",Kalemler!$C72="",Kalemler!$D72=""),0,Kalemler!$C72*IF(Kalemler!$E72="Haftalık",IF(Kalemler!$D72&lt;=(Tahmin!$C$4+69),1,0),IF(Kalemler!$E72="Aylık",IF(OR(AND(DATE(YEAR((Tahmin!$C$4+63)),MONTH((Tahmin!$C$4+63)),MIN(DAY(Kalemler!$D72),DAY(EOMONTH((Tahmin!$C$4+63),0))))&gt;=(Tahmin!$C$4+63),DATE(YEAR((Tahmin!$C$4+63)),MONTH((Tahmin!$C$4+63)),MIN(DAY(Kalemler!$D72),DAY(EOMONTH((Tahmin!$C$4+63),0))))&lt;=(Tahmin!$C$4+69),DATE(YEAR((Tahmin!$C$4+63)),MONTH((Tahmin!$C$4+63)),MIN(DAY(Kalemler!$D72),DAY(EOMONTH((Tahmin!$C$4+63),0))))&gt;=Kalemler!$D72),AND(DATE(YEAR((Tahmin!$C$4+69)),MONTH((Tahmin!$C$4+69)),MIN(DAY(Kalemler!$D72),DAY(EOMONTH((Tahmin!$C$4+69),0))))&gt;=(Tahmin!$C$4+63),DATE(YEAR((Tahmin!$C$4+69)),MONTH((Tahmin!$C$4+69)),MIN(DAY(Kalemler!$D72),DAY(EOMONTH((Tahmin!$C$4+69),0))))&lt;=(Tahmin!$C$4+69),DATE(YEAR((Tahmin!$C$4+69)),MONTH((Tahmin!$C$4+69)),MIN(DAY(Kalemler!$D72),DAY(EOMONTH((Tahmin!$C$4+69),0))))&lt;&gt;DATE(YEAR((Tahmin!$C$4+63)),MONTH((Tahmin!$C$4+63)),MIN(DAY(Kalemler!$D72),DAY(EOMONTH((Tahmin!$C$4+63),0)))),DATE(YEAR((Tahmin!$C$4+69)),MONTH((Tahmin!$C$4+69)),MIN(DAY(Kalemler!$D72),DAY(EOMONTH((Tahmin!$C$4+69),0))))&gt;=Kalemler!$D72)),1,0),IF(AND(Kalemler!$D72&gt;=(Tahmin!$C$4+63),Kalemler!$D72&lt;=(Tahmin!$C$4+69)),1,0))))</f>
        <v>0</v>
      </c>
      <c r="L72" s="0" t="n">
        <f aca="false">IF(OR(Kalemler!$A72="",Kalemler!$C72="",Kalemler!$D72=""),0,Kalemler!$C72*IF(Kalemler!$E72="Haftalık",IF(Kalemler!$D72&lt;=(Tahmin!$C$4+76),1,0),IF(Kalemler!$E72="Aylık",IF(OR(AND(DATE(YEAR((Tahmin!$C$4+70)),MONTH((Tahmin!$C$4+70)),MIN(DAY(Kalemler!$D72),DAY(EOMONTH((Tahmin!$C$4+70),0))))&gt;=(Tahmin!$C$4+70),DATE(YEAR((Tahmin!$C$4+70)),MONTH((Tahmin!$C$4+70)),MIN(DAY(Kalemler!$D72),DAY(EOMONTH((Tahmin!$C$4+70),0))))&lt;=(Tahmin!$C$4+76),DATE(YEAR((Tahmin!$C$4+70)),MONTH((Tahmin!$C$4+70)),MIN(DAY(Kalemler!$D72),DAY(EOMONTH((Tahmin!$C$4+70),0))))&gt;=Kalemler!$D72),AND(DATE(YEAR((Tahmin!$C$4+76)),MONTH((Tahmin!$C$4+76)),MIN(DAY(Kalemler!$D72),DAY(EOMONTH((Tahmin!$C$4+76),0))))&gt;=(Tahmin!$C$4+70),DATE(YEAR((Tahmin!$C$4+76)),MONTH((Tahmin!$C$4+76)),MIN(DAY(Kalemler!$D72),DAY(EOMONTH((Tahmin!$C$4+76),0))))&lt;=(Tahmin!$C$4+76),DATE(YEAR((Tahmin!$C$4+76)),MONTH((Tahmin!$C$4+76)),MIN(DAY(Kalemler!$D72),DAY(EOMONTH((Tahmin!$C$4+76),0))))&lt;&gt;DATE(YEAR((Tahmin!$C$4+70)),MONTH((Tahmin!$C$4+70)),MIN(DAY(Kalemler!$D72),DAY(EOMONTH((Tahmin!$C$4+70),0)))),DATE(YEAR((Tahmin!$C$4+76)),MONTH((Tahmin!$C$4+76)),MIN(DAY(Kalemler!$D72),DAY(EOMONTH((Tahmin!$C$4+76),0))))&gt;=Kalemler!$D72)),1,0),IF(AND(Kalemler!$D72&gt;=(Tahmin!$C$4+70),Kalemler!$D72&lt;=(Tahmin!$C$4+76)),1,0))))</f>
        <v>0</v>
      </c>
      <c r="M72" s="0" t="n">
        <f aca="false">IF(OR(Kalemler!$A72="",Kalemler!$C72="",Kalemler!$D72=""),0,Kalemler!$C72*IF(Kalemler!$E72="Haftalık",IF(Kalemler!$D72&lt;=(Tahmin!$C$4+83),1,0),IF(Kalemler!$E72="Aylık",IF(OR(AND(DATE(YEAR((Tahmin!$C$4+77)),MONTH((Tahmin!$C$4+77)),MIN(DAY(Kalemler!$D72),DAY(EOMONTH((Tahmin!$C$4+77),0))))&gt;=(Tahmin!$C$4+77),DATE(YEAR((Tahmin!$C$4+77)),MONTH((Tahmin!$C$4+77)),MIN(DAY(Kalemler!$D72),DAY(EOMONTH((Tahmin!$C$4+77),0))))&lt;=(Tahmin!$C$4+83),DATE(YEAR((Tahmin!$C$4+77)),MONTH((Tahmin!$C$4+77)),MIN(DAY(Kalemler!$D72),DAY(EOMONTH((Tahmin!$C$4+77),0))))&gt;=Kalemler!$D72),AND(DATE(YEAR((Tahmin!$C$4+83)),MONTH((Tahmin!$C$4+83)),MIN(DAY(Kalemler!$D72),DAY(EOMONTH((Tahmin!$C$4+83),0))))&gt;=(Tahmin!$C$4+77),DATE(YEAR((Tahmin!$C$4+83)),MONTH((Tahmin!$C$4+83)),MIN(DAY(Kalemler!$D72),DAY(EOMONTH((Tahmin!$C$4+83),0))))&lt;=(Tahmin!$C$4+83),DATE(YEAR((Tahmin!$C$4+83)),MONTH((Tahmin!$C$4+83)),MIN(DAY(Kalemler!$D72),DAY(EOMONTH((Tahmin!$C$4+83),0))))&lt;&gt;DATE(YEAR((Tahmin!$C$4+77)),MONTH((Tahmin!$C$4+77)),MIN(DAY(Kalemler!$D72),DAY(EOMONTH((Tahmin!$C$4+77),0)))),DATE(YEAR((Tahmin!$C$4+83)),MONTH((Tahmin!$C$4+83)),MIN(DAY(Kalemler!$D72),DAY(EOMONTH((Tahmin!$C$4+83),0))))&gt;=Kalemler!$D72)),1,0),IF(AND(Kalemler!$D72&gt;=(Tahmin!$C$4+77),Kalemler!$D72&lt;=(Tahmin!$C$4+83)),1,0))))</f>
        <v>0</v>
      </c>
      <c r="N72" s="0" t="n">
        <f aca="false">IF(OR(Kalemler!$A72="",Kalemler!$C72="",Kalemler!$D72=""),0,Kalemler!$C72*IF(Kalemler!$E72="Haftalık",IF(Kalemler!$D72&lt;=(Tahmin!$C$4+90),1,0),IF(Kalemler!$E72="Aylık",IF(OR(AND(DATE(YEAR((Tahmin!$C$4+84)),MONTH((Tahmin!$C$4+84)),MIN(DAY(Kalemler!$D72),DAY(EOMONTH((Tahmin!$C$4+84),0))))&gt;=(Tahmin!$C$4+84),DATE(YEAR((Tahmin!$C$4+84)),MONTH((Tahmin!$C$4+84)),MIN(DAY(Kalemler!$D72),DAY(EOMONTH((Tahmin!$C$4+84),0))))&lt;=(Tahmin!$C$4+90),DATE(YEAR((Tahmin!$C$4+84)),MONTH((Tahmin!$C$4+84)),MIN(DAY(Kalemler!$D72),DAY(EOMONTH((Tahmin!$C$4+84),0))))&gt;=Kalemler!$D72),AND(DATE(YEAR((Tahmin!$C$4+90)),MONTH((Tahmin!$C$4+90)),MIN(DAY(Kalemler!$D72),DAY(EOMONTH((Tahmin!$C$4+90),0))))&gt;=(Tahmin!$C$4+84),DATE(YEAR((Tahmin!$C$4+90)),MONTH((Tahmin!$C$4+90)),MIN(DAY(Kalemler!$D72),DAY(EOMONTH((Tahmin!$C$4+90),0))))&lt;=(Tahmin!$C$4+90),DATE(YEAR((Tahmin!$C$4+90)),MONTH((Tahmin!$C$4+90)),MIN(DAY(Kalemler!$D72),DAY(EOMONTH((Tahmin!$C$4+90),0))))&lt;&gt;DATE(YEAR((Tahmin!$C$4+84)),MONTH((Tahmin!$C$4+84)),MIN(DAY(Kalemler!$D72),DAY(EOMONTH((Tahmin!$C$4+84),0)))),DATE(YEAR((Tahmin!$C$4+90)),MONTH((Tahmin!$C$4+90)),MIN(DAY(Kalemler!$D72),DAY(EOMONTH((Tahmin!$C$4+90),0))))&gt;=Kalemler!$D72)),1,0),IF(AND(Kalemler!$D72&gt;=(Tahmin!$C$4+84),Kalemler!$D72&lt;=(Tahmin!$C$4+90)),1,0))))</f>
        <v>0</v>
      </c>
    </row>
    <row r="73" customFormat="false" ht="15" hidden="false" customHeight="false" outlineLevel="0" collapsed="false">
      <c r="A73" s="0" t="str">
        <f aca="false">IF(Kalemler!A73="","",Kalemler!A73)</f>
        <v/>
      </c>
      <c r="B73" s="0" t="n">
        <f aca="false">IF(OR(Kalemler!$A73="",Kalemler!$C73="",Kalemler!$D73=""),0,Kalemler!$C73*IF(Kalemler!$E73="Haftalık",IF(Kalemler!$D73&lt;=(Tahmin!$C$4+6),1,0),IF(Kalemler!$E73="Aylık",IF(OR(AND(DATE(YEAR((Tahmin!$C$4+0)),MONTH((Tahmin!$C$4+0)),MIN(DAY(Kalemler!$D73),DAY(EOMONTH((Tahmin!$C$4+0),0))))&gt;=(Tahmin!$C$4+0),DATE(YEAR((Tahmin!$C$4+0)),MONTH((Tahmin!$C$4+0)),MIN(DAY(Kalemler!$D73),DAY(EOMONTH((Tahmin!$C$4+0),0))))&lt;=(Tahmin!$C$4+6),DATE(YEAR((Tahmin!$C$4+0)),MONTH((Tahmin!$C$4+0)),MIN(DAY(Kalemler!$D73),DAY(EOMONTH((Tahmin!$C$4+0),0))))&gt;=Kalemler!$D73),AND(DATE(YEAR((Tahmin!$C$4+6)),MONTH((Tahmin!$C$4+6)),MIN(DAY(Kalemler!$D73),DAY(EOMONTH((Tahmin!$C$4+6),0))))&gt;=(Tahmin!$C$4+0),DATE(YEAR((Tahmin!$C$4+6)),MONTH((Tahmin!$C$4+6)),MIN(DAY(Kalemler!$D73),DAY(EOMONTH((Tahmin!$C$4+6),0))))&lt;=(Tahmin!$C$4+6),DATE(YEAR((Tahmin!$C$4+6)),MONTH((Tahmin!$C$4+6)),MIN(DAY(Kalemler!$D73),DAY(EOMONTH((Tahmin!$C$4+6),0))))&lt;&gt;DATE(YEAR((Tahmin!$C$4+0)),MONTH((Tahmin!$C$4+0)),MIN(DAY(Kalemler!$D73),DAY(EOMONTH((Tahmin!$C$4+0),0)))),DATE(YEAR((Tahmin!$C$4+6)),MONTH((Tahmin!$C$4+6)),MIN(DAY(Kalemler!$D73),DAY(EOMONTH((Tahmin!$C$4+6),0))))&gt;=Kalemler!$D73)),1,0),IF(AND(Kalemler!$D73&gt;=(Tahmin!$C$4+0),Kalemler!$D73&lt;=(Tahmin!$C$4+6)),1,0))))</f>
        <v>0</v>
      </c>
      <c r="C73" s="0" t="n">
        <f aca="false">IF(OR(Kalemler!$A73="",Kalemler!$C73="",Kalemler!$D73=""),0,Kalemler!$C73*IF(Kalemler!$E73="Haftalık",IF(Kalemler!$D73&lt;=(Tahmin!$C$4+13),1,0),IF(Kalemler!$E73="Aylık",IF(OR(AND(DATE(YEAR((Tahmin!$C$4+7)),MONTH((Tahmin!$C$4+7)),MIN(DAY(Kalemler!$D73),DAY(EOMONTH((Tahmin!$C$4+7),0))))&gt;=(Tahmin!$C$4+7),DATE(YEAR((Tahmin!$C$4+7)),MONTH((Tahmin!$C$4+7)),MIN(DAY(Kalemler!$D73),DAY(EOMONTH((Tahmin!$C$4+7),0))))&lt;=(Tahmin!$C$4+13),DATE(YEAR((Tahmin!$C$4+7)),MONTH((Tahmin!$C$4+7)),MIN(DAY(Kalemler!$D73),DAY(EOMONTH((Tahmin!$C$4+7),0))))&gt;=Kalemler!$D73),AND(DATE(YEAR((Tahmin!$C$4+13)),MONTH((Tahmin!$C$4+13)),MIN(DAY(Kalemler!$D73),DAY(EOMONTH((Tahmin!$C$4+13),0))))&gt;=(Tahmin!$C$4+7),DATE(YEAR((Tahmin!$C$4+13)),MONTH((Tahmin!$C$4+13)),MIN(DAY(Kalemler!$D73),DAY(EOMONTH((Tahmin!$C$4+13),0))))&lt;=(Tahmin!$C$4+13),DATE(YEAR((Tahmin!$C$4+13)),MONTH((Tahmin!$C$4+13)),MIN(DAY(Kalemler!$D73),DAY(EOMONTH((Tahmin!$C$4+13),0))))&lt;&gt;DATE(YEAR((Tahmin!$C$4+7)),MONTH((Tahmin!$C$4+7)),MIN(DAY(Kalemler!$D73),DAY(EOMONTH((Tahmin!$C$4+7),0)))),DATE(YEAR((Tahmin!$C$4+13)),MONTH((Tahmin!$C$4+13)),MIN(DAY(Kalemler!$D73),DAY(EOMONTH((Tahmin!$C$4+13),0))))&gt;=Kalemler!$D73)),1,0),IF(AND(Kalemler!$D73&gt;=(Tahmin!$C$4+7),Kalemler!$D73&lt;=(Tahmin!$C$4+13)),1,0))))</f>
        <v>0</v>
      </c>
      <c r="D73" s="0" t="n">
        <f aca="false">IF(OR(Kalemler!$A73="",Kalemler!$C73="",Kalemler!$D73=""),0,Kalemler!$C73*IF(Kalemler!$E73="Haftalık",IF(Kalemler!$D73&lt;=(Tahmin!$C$4+20),1,0),IF(Kalemler!$E73="Aylık",IF(OR(AND(DATE(YEAR((Tahmin!$C$4+14)),MONTH((Tahmin!$C$4+14)),MIN(DAY(Kalemler!$D73),DAY(EOMONTH((Tahmin!$C$4+14),0))))&gt;=(Tahmin!$C$4+14),DATE(YEAR((Tahmin!$C$4+14)),MONTH((Tahmin!$C$4+14)),MIN(DAY(Kalemler!$D73),DAY(EOMONTH((Tahmin!$C$4+14),0))))&lt;=(Tahmin!$C$4+20),DATE(YEAR((Tahmin!$C$4+14)),MONTH((Tahmin!$C$4+14)),MIN(DAY(Kalemler!$D73),DAY(EOMONTH((Tahmin!$C$4+14),0))))&gt;=Kalemler!$D73),AND(DATE(YEAR((Tahmin!$C$4+20)),MONTH((Tahmin!$C$4+20)),MIN(DAY(Kalemler!$D73),DAY(EOMONTH((Tahmin!$C$4+20),0))))&gt;=(Tahmin!$C$4+14),DATE(YEAR((Tahmin!$C$4+20)),MONTH((Tahmin!$C$4+20)),MIN(DAY(Kalemler!$D73),DAY(EOMONTH((Tahmin!$C$4+20),0))))&lt;=(Tahmin!$C$4+20),DATE(YEAR((Tahmin!$C$4+20)),MONTH((Tahmin!$C$4+20)),MIN(DAY(Kalemler!$D73),DAY(EOMONTH((Tahmin!$C$4+20),0))))&lt;&gt;DATE(YEAR((Tahmin!$C$4+14)),MONTH((Tahmin!$C$4+14)),MIN(DAY(Kalemler!$D73),DAY(EOMONTH((Tahmin!$C$4+14),0)))),DATE(YEAR((Tahmin!$C$4+20)),MONTH((Tahmin!$C$4+20)),MIN(DAY(Kalemler!$D73),DAY(EOMONTH((Tahmin!$C$4+20),0))))&gt;=Kalemler!$D73)),1,0),IF(AND(Kalemler!$D73&gt;=(Tahmin!$C$4+14),Kalemler!$D73&lt;=(Tahmin!$C$4+20)),1,0))))</f>
        <v>0</v>
      </c>
      <c r="E73" s="0" t="n">
        <f aca="false">IF(OR(Kalemler!$A73="",Kalemler!$C73="",Kalemler!$D73=""),0,Kalemler!$C73*IF(Kalemler!$E73="Haftalık",IF(Kalemler!$D73&lt;=(Tahmin!$C$4+27),1,0),IF(Kalemler!$E73="Aylık",IF(OR(AND(DATE(YEAR((Tahmin!$C$4+21)),MONTH((Tahmin!$C$4+21)),MIN(DAY(Kalemler!$D73),DAY(EOMONTH((Tahmin!$C$4+21),0))))&gt;=(Tahmin!$C$4+21),DATE(YEAR((Tahmin!$C$4+21)),MONTH((Tahmin!$C$4+21)),MIN(DAY(Kalemler!$D73),DAY(EOMONTH((Tahmin!$C$4+21),0))))&lt;=(Tahmin!$C$4+27),DATE(YEAR((Tahmin!$C$4+21)),MONTH((Tahmin!$C$4+21)),MIN(DAY(Kalemler!$D73),DAY(EOMONTH((Tahmin!$C$4+21),0))))&gt;=Kalemler!$D73),AND(DATE(YEAR((Tahmin!$C$4+27)),MONTH((Tahmin!$C$4+27)),MIN(DAY(Kalemler!$D73),DAY(EOMONTH((Tahmin!$C$4+27),0))))&gt;=(Tahmin!$C$4+21),DATE(YEAR((Tahmin!$C$4+27)),MONTH((Tahmin!$C$4+27)),MIN(DAY(Kalemler!$D73),DAY(EOMONTH((Tahmin!$C$4+27),0))))&lt;=(Tahmin!$C$4+27),DATE(YEAR((Tahmin!$C$4+27)),MONTH((Tahmin!$C$4+27)),MIN(DAY(Kalemler!$D73),DAY(EOMONTH((Tahmin!$C$4+27),0))))&lt;&gt;DATE(YEAR((Tahmin!$C$4+21)),MONTH((Tahmin!$C$4+21)),MIN(DAY(Kalemler!$D73),DAY(EOMONTH((Tahmin!$C$4+21),0)))),DATE(YEAR((Tahmin!$C$4+27)),MONTH((Tahmin!$C$4+27)),MIN(DAY(Kalemler!$D73),DAY(EOMONTH((Tahmin!$C$4+27),0))))&gt;=Kalemler!$D73)),1,0),IF(AND(Kalemler!$D73&gt;=(Tahmin!$C$4+21),Kalemler!$D73&lt;=(Tahmin!$C$4+27)),1,0))))</f>
        <v>0</v>
      </c>
      <c r="F73" s="0" t="n">
        <f aca="false">IF(OR(Kalemler!$A73="",Kalemler!$C73="",Kalemler!$D73=""),0,Kalemler!$C73*IF(Kalemler!$E73="Haftalık",IF(Kalemler!$D73&lt;=(Tahmin!$C$4+34),1,0),IF(Kalemler!$E73="Aylık",IF(OR(AND(DATE(YEAR((Tahmin!$C$4+28)),MONTH((Tahmin!$C$4+28)),MIN(DAY(Kalemler!$D73),DAY(EOMONTH((Tahmin!$C$4+28),0))))&gt;=(Tahmin!$C$4+28),DATE(YEAR((Tahmin!$C$4+28)),MONTH((Tahmin!$C$4+28)),MIN(DAY(Kalemler!$D73),DAY(EOMONTH((Tahmin!$C$4+28),0))))&lt;=(Tahmin!$C$4+34),DATE(YEAR((Tahmin!$C$4+28)),MONTH((Tahmin!$C$4+28)),MIN(DAY(Kalemler!$D73),DAY(EOMONTH((Tahmin!$C$4+28),0))))&gt;=Kalemler!$D73),AND(DATE(YEAR((Tahmin!$C$4+34)),MONTH((Tahmin!$C$4+34)),MIN(DAY(Kalemler!$D73),DAY(EOMONTH((Tahmin!$C$4+34),0))))&gt;=(Tahmin!$C$4+28),DATE(YEAR((Tahmin!$C$4+34)),MONTH((Tahmin!$C$4+34)),MIN(DAY(Kalemler!$D73),DAY(EOMONTH((Tahmin!$C$4+34),0))))&lt;=(Tahmin!$C$4+34),DATE(YEAR((Tahmin!$C$4+34)),MONTH((Tahmin!$C$4+34)),MIN(DAY(Kalemler!$D73),DAY(EOMONTH((Tahmin!$C$4+34),0))))&lt;&gt;DATE(YEAR((Tahmin!$C$4+28)),MONTH((Tahmin!$C$4+28)),MIN(DAY(Kalemler!$D73),DAY(EOMONTH((Tahmin!$C$4+28),0)))),DATE(YEAR((Tahmin!$C$4+34)),MONTH((Tahmin!$C$4+34)),MIN(DAY(Kalemler!$D73),DAY(EOMONTH((Tahmin!$C$4+34),0))))&gt;=Kalemler!$D73)),1,0),IF(AND(Kalemler!$D73&gt;=(Tahmin!$C$4+28),Kalemler!$D73&lt;=(Tahmin!$C$4+34)),1,0))))</f>
        <v>0</v>
      </c>
      <c r="G73" s="0" t="n">
        <f aca="false">IF(OR(Kalemler!$A73="",Kalemler!$C73="",Kalemler!$D73=""),0,Kalemler!$C73*IF(Kalemler!$E73="Haftalık",IF(Kalemler!$D73&lt;=(Tahmin!$C$4+41),1,0),IF(Kalemler!$E73="Aylık",IF(OR(AND(DATE(YEAR((Tahmin!$C$4+35)),MONTH((Tahmin!$C$4+35)),MIN(DAY(Kalemler!$D73),DAY(EOMONTH((Tahmin!$C$4+35),0))))&gt;=(Tahmin!$C$4+35),DATE(YEAR((Tahmin!$C$4+35)),MONTH((Tahmin!$C$4+35)),MIN(DAY(Kalemler!$D73),DAY(EOMONTH((Tahmin!$C$4+35),0))))&lt;=(Tahmin!$C$4+41),DATE(YEAR((Tahmin!$C$4+35)),MONTH((Tahmin!$C$4+35)),MIN(DAY(Kalemler!$D73),DAY(EOMONTH((Tahmin!$C$4+35),0))))&gt;=Kalemler!$D73),AND(DATE(YEAR((Tahmin!$C$4+41)),MONTH((Tahmin!$C$4+41)),MIN(DAY(Kalemler!$D73),DAY(EOMONTH((Tahmin!$C$4+41),0))))&gt;=(Tahmin!$C$4+35),DATE(YEAR((Tahmin!$C$4+41)),MONTH((Tahmin!$C$4+41)),MIN(DAY(Kalemler!$D73),DAY(EOMONTH((Tahmin!$C$4+41),0))))&lt;=(Tahmin!$C$4+41),DATE(YEAR((Tahmin!$C$4+41)),MONTH((Tahmin!$C$4+41)),MIN(DAY(Kalemler!$D73),DAY(EOMONTH((Tahmin!$C$4+41),0))))&lt;&gt;DATE(YEAR((Tahmin!$C$4+35)),MONTH((Tahmin!$C$4+35)),MIN(DAY(Kalemler!$D73),DAY(EOMONTH((Tahmin!$C$4+35),0)))),DATE(YEAR((Tahmin!$C$4+41)),MONTH((Tahmin!$C$4+41)),MIN(DAY(Kalemler!$D73),DAY(EOMONTH((Tahmin!$C$4+41),0))))&gt;=Kalemler!$D73)),1,0),IF(AND(Kalemler!$D73&gt;=(Tahmin!$C$4+35),Kalemler!$D73&lt;=(Tahmin!$C$4+41)),1,0))))</f>
        <v>0</v>
      </c>
      <c r="H73" s="0" t="n">
        <f aca="false">IF(OR(Kalemler!$A73="",Kalemler!$C73="",Kalemler!$D73=""),0,Kalemler!$C73*IF(Kalemler!$E73="Haftalık",IF(Kalemler!$D73&lt;=(Tahmin!$C$4+48),1,0),IF(Kalemler!$E73="Aylık",IF(OR(AND(DATE(YEAR((Tahmin!$C$4+42)),MONTH((Tahmin!$C$4+42)),MIN(DAY(Kalemler!$D73),DAY(EOMONTH((Tahmin!$C$4+42),0))))&gt;=(Tahmin!$C$4+42),DATE(YEAR((Tahmin!$C$4+42)),MONTH((Tahmin!$C$4+42)),MIN(DAY(Kalemler!$D73),DAY(EOMONTH((Tahmin!$C$4+42),0))))&lt;=(Tahmin!$C$4+48),DATE(YEAR((Tahmin!$C$4+42)),MONTH((Tahmin!$C$4+42)),MIN(DAY(Kalemler!$D73),DAY(EOMONTH((Tahmin!$C$4+42),0))))&gt;=Kalemler!$D73),AND(DATE(YEAR((Tahmin!$C$4+48)),MONTH((Tahmin!$C$4+48)),MIN(DAY(Kalemler!$D73),DAY(EOMONTH((Tahmin!$C$4+48),0))))&gt;=(Tahmin!$C$4+42),DATE(YEAR((Tahmin!$C$4+48)),MONTH((Tahmin!$C$4+48)),MIN(DAY(Kalemler!$D73),DAY(EOMONTH((Tahmin!$C$4+48),0))))&lt;=(Tahmin!$C$4+48),DATE(YEAR((Tahmin!$C$4+48)),MONTH((Tahmin!$C$4+48)),MIN(DAY(Kalemler!$D73),DAY(EOMONTH((Tahmin!$C$4+48),0))))&lt;&gt;DATE(YEAR((Tahmin!$C$4+42)),MONTH((Tahmin!$C$4+42)),MIN(DAY(Kalemler!$D73),DAY(EOMONTH((Tahmin!$C$4+42),0)))),DATE(YEAR((Tahmin!$C$4+48)),MONTH((Tahmin!$C$4+48)),MIN(DAY(Kalemler!$D73),DAY(EOMONTH((Tahmin!$C$4+48),0))))&gt;=Kalemler!$D73)),1,0),IF(AND(Kalemler!$D73&gt;=(Tahmin!$C$4+42),Kalemler!$D73&lt;=(Tahmin!$C$4+48)),1,0))))</f>
        <v>0</v>
      </c>
      <c r="I73" s="0" t="n">
        <f aca="false">IF(OR(Kalemler!$A73="",Kalemler!$C73="",Kalemler!$D73=""),0,Kalemler!$C73*IF(Kalemler!$E73="Haftalık",IF(Kalemler!$D73&lt;=(Tahmin!$C$4+55),1,0),IF(Kalemler!$E73="Aylık",IF(OR(AND(DATE(YEAR((Tahmin!$C$4+49)),MONTH((Tahmin!$C$4+49)),MIN(DAY(Kalemler!$D73),DAY(EOMONTH((Tahmin!$C$4+49),0))))&gt;=(Tahmin!$C$4+49),DATE(YEAR((Tahmin!$C$4+49)),MONTH((Tahmin!$C$4+49)),MIN(DAY(Kalemler!$D73),DAY(EOMONTH((Tahmin!$C$4+49),0))))&lt;=(Tahmin!$C$4+55),DATE(YEAR((Tahmin!$C$4+49)),MONTH((Tahmin!$C$4+49)),MIN(DAY(Kalemler!$D73),DAY(EOMONTH((Tahmin!$C$4+49),0))))&gt;=Kalemler!$D73),AND(DATE(YEAR((Tahmin!$C$4+55)),MONTH((Tahmin!$C$4+55)),MIN(DAY(Kalemler!$D73),DAY(EOMONTH((Tahmin!$C$4+55),0))))&gt;=(Tahmin!$C$4+49),DATE(YEAR((Tahmin!$C$4+55)),MONTH((Tahmin!$C$4+55)),MIN(DAY(Kalemler!$D73),DAY(EOMONTH((Tahmin!$C$4+55),0))))&lt;=(Tahmin!$C$4+55),DATE(YEAR((Tahmin!$C$4+55)),MONTH((Tahmin!$C$4+55)),MIN(DAY(Kalemler!$D73),DAY(EOMONTH((Tahmin!$C$4+55),0))))&lt;&gt;DATE(YEAR((Tahmin!$C$4+49)),MONTH((Tahmin!$C$4+49)),MIN(DAY(Kalemler!$D73),DAY(EOMONTH((Tahmin!$C$4+49),0)))),DATE(YEAR((Tahmin!$C$4+55)),MONTH((Tahmin!$C$4+55)),MIN(DAY(Kalemler!$D73),DAY(EOMONTH((Tahmin!$C$4+55),0))))&gt;=Kalemler!$D73)),1,0),IF(AND(Kalemler!$D73&gt;=(Tahmin!$C$4+49),Kalemler!$D73&lt;=(Tahmin!$C$4+55)),1,0))))</f>
        <v>0</v>
      </c>
      <c r="J73" s="0" t="n">
        <f aca="false">IF(OR(Kalemler!$A73="",Kalemler!$C73="",Kalemler!$D73=""),0,Kalemler!$C73*IF(Kalemler!$E73="Haftalık",IF(Kalemler!$D73&lt;=(Tahmin!$C$4+62),1,0),IF(Kalemler!$E73="Aylık",IF(OR(AND(DATE(YEAR((Tahmin!$C$4+56)),MONTH((Tahmin!$C$4+56)),MIN(DAY(Kalemler!$D73),DAY(EOMONTH((Tahmin!$C$4+56),0))))&gt;=(Tahmin!$C$4+56),DATE(YEAR((Tahmin!$C$4+56)),MONTH((Tahmin!$C$4+56)),MIN(DAY(Kalemler!$D73),DAY(EOMONTH((Tahmin!$C$4+56),0))))&lt;=(Tahmin!$C$4+62),DATE(YEAR((Tahmin!$C$4+56)),MONTH((Tahmin!$C$4+56)),MIN(DAY(Kalemler!$D73),DAY(EOMONTH((Tahmin!$C$4+56),0))))&gt;=Kalemler!$D73),AND(DATE(YEAR((Tahmin!$C$4+62)),MONTH((Tahmin!$C$4+62)),MIN(DAY(Kalemler!$D73),DAY(EOMONTH((Tahmin!$C$4+62),0))))&gt;=(Tahmin!$C$4+56),DATE(YEAR((Tahmin!$C$4+62)),MONTH((Tahmin!$C$4+62)),MIN(DAY(Kalemler!$D73),DAY(EOMONTH((Tahmin!$C$4+62),0))))&lt;=(Tahmin!$C$4+62),DATE(YEAR((Tahmin!$C$4+62)),MONTH((Tahmin!$C$4+62)),MIN(DAY(Kalemler!$D73),DAY(EOMONTH((Tahmin!$C$4+62),0))))&lt;&gt;DATE(YEAR((Tahmin!$C$4+56)),MONTH((Tahmin!$C$4+56)),MIN(DAY(Kalemler!$D73),DAY(EOMONTH((Tahmin!$C$4+56),0)))),DATE(YEAR((Tahmin!$C$4+62)),MONTH((Tahmin!$C$4+62)),MIN(DAY(Kalemler!$D73),DAY(EOMONTH((Tahmin!$C$4+62),0))))&gt;=Kalemler!$D73)),1,0),IF(AND(Kalemler!$D73&gt;=(Tahmin!$C$4+56),Kalemler!$D73&lt;=(Tahmin!$C$4+62)),1,0))))</f>
        <v>0</v>
      </c>
      <c r="K73" s="0" t="n">
        <f aca="false">IF(OR(Kalemler!$A73="",Kalemler!$C73="",Kalemler!$D73=""),0,Kalemler!$C73*IF(Kalemler!$E73="Haftalık",IF(Kalemler!$D73&lt;=(Tahmin!$C$4+69),1,0),IF(Kalemler!$E73="Aylık",IF(OR(AND(DATE(YEAR((Tahmin!$C$4+63)),MONTH((Tahmin!$C$4+63)),MIN(DAY(Kalemler!$D73),DAY(EOMONTH((Tahmin!$C$4+63),0))))&gt;=(Tahmin!$C$4+63),DATE(YEAR((Tahmin!$C$4+63)),MONTH((Tahmin!$C$4+63)),MIN(DAY(Kalemler!$D73),DAY(EOMONTH((Tahmin!$C$4+63),0))))&lt;=(Tahmin!$C$4+69),DATE(YEAR((Tahmin!$C$4+63)),MONTH((Tahmin!$C$4+63)),MIN(DAY(Kalemler!$D73),DAY(EOMONTH((Tahmin!$C$4+63),0))))&gt;=Kalemler!$D73),AND(DATE(YEAR((Tahmin!$C$4+69)),MONTH((Tahmin!$C$4+69)),MIN(DAY(Kalemler!$D73),DAY(EOMONTH((Tahmin!$C$4+69),0))))&gt;=(Tahmin!$C$4+63),DATE(YEAR((Tahmin!$C$4+69)),MONTH((Tahmin!$C$4+69)),MIN(DAY(Kalemler!$D73),DAY(EOMONTH((Tahmin!$C$4+69),0))))&lt;=(Tahmin!$C$4+69),DATE(YEAR((Tahmin!$C$4+69)),MONTH((Tahmin!$C$4+69)),MIN(DAY(Kalemler!$D73),DAY(EOMONTH((Tahmin!$C$4+69),0))))&lt;&gt;DATE(YEAR((Tahmin!$C$4+63)),MONTH((Tahmin!$C$4+63)),MIN(DAY(Kalemler!$D73),DAY(EOMONTH((Tahmin!$C$4+63),0)))),DATE(YEAR((Tahmin!$C$4+69)),MONTH((Tahmin!$C$4+69)),MIN(DAY(Kalemler!$D73),DAY(EOMONTH((Tahmin!$C$4+69),0))))&gt;=Kalemler!$D73)),1,0),IF(AND(Kalemler!$D73&gt;=(Tahmin!$C$4+63),Kalemler!$D73&lt;=(Tahmin!$C$4+69)),1,0))))</f>
        <v>0</v>
      </c>
      <c r="L73" s="0" t="n">
        <f aca="false">IF(OR(Kalemler!$A73="",Kalemler!$C73="",Kalemler!$D73=""),0,Kalemler!$C73*IF(Kalemler!$E73="Haftalık",IF(Kalemler!$D73&lt;=(Tahmin!$C$4+76),1,0),IF(Kalemler!$E73="Aylık",IF(OR(AND(DATE(YEAR((Tahmin!$C$4+70)),MONTH((Tahmin!$C$4+70)),MIN(DAY(Kalemler!$D73),DAY(EOMONTH((Tahmin!$C$4+70),0))))&gt;=(Tahmin!$C$4+70),DATE(YEAR((Tahmin!$C$4+70)),MONTH((Tahmin!$C$4+70)),MIN(DAY(Kalemler!$D73),DAY(EOMONTH((Tahmin!$C$4+70),0))))&lt;=(Tahmin!$C$4+76),DATE(YEAR((Tahmin!$C$4+70)),MONTH((Tahmin!$C$4+70)),MIN(DAY(Kalemler!$D73),DAY(EOMONTH((Tahmin!$C$4+70),0))))&gt;=Kalemler!$D73),AND(DATE(YEAR((Tahmin!$C$4+76)),MONTH((Tahmin!$C$4+76)),MIN(DAY(Kalemler!$D73),DAY(EOMONTH((Tahmin!$C$4+76),0))))&gt;=(Tahmin!$C$4+70),DATE(YEAR((Tahmin!$C$4+76)),MONTH((Tahmin!$C$4+76)),MIN(DAY(Kalemler!$D73),DAY(EOMONTH((Tahmin!$C$4+76),0))))&lt;=(Tahmin!$C$4+76),DATE(YEAR((Tahmin!$C$4+76)),MONTH((Tahmin!$C$4+76)),MIN(DAY(Kalemler!$D73),DAY(EOMONTH((Tahmin!$C$4+76),0))))&lt;&gt;DATE(YEAR((Tahmin!$C$4+70)),MONTH((Tahmin!$C$4+70)),MIN(DAY(Kalemler!$D73),DAY(EOMONTH((Tahmin!$C$4+70),0)))),DATE(YEAR((Tahmin!$C$4+76)),MONTH((Tahmin!$C$4+76)),MIN(DAY(Kalemler!$D73),DAY(EOMONTH((Tahmin!$C$4+76),0))))&gt;=Kalemler!$D73)),1,0),IF(AND(Kalemler!$D73&gt;=(Tahmin!$C$4+70),Kalemler!$D73&lt;=(Tahmin!$C$4+76)),1,0))))</f>
        <v>0</v>
      </c>
      <c r="M73" s="0" t="n">
        <f aca="false">IF(OR(Kalemler!$A73="",Kalemler!$C73="",Kalemler!$D73=""),0,Kalemler!$C73*IF(Kalemler!$E73="Haftalık",IF(Kalemler!$D73&lt;=(Tahmin!$C$4+83),1,0),IF(Kalemler!$E73="Aylık",IF(OR(AND(DATE(YEAR((Tahmin!$C$4+77)),MONTH((Tahmin!$C$4+77)),MIN(DAY(Kalemler!$D73),DAY(EOMONTH((Tahmin!$C$4+77),0))))&gt;=(Tahmin!$C$4+77),DATE(YEAR((Tahmin!$C$4+77)),MONTH((Tahmin!$C$4+77)),MIN(DAY(Kalemler!$D73),DAY(EOMONTH((Tahmin!$C$4+77),0))))&lt;=(Tahmin!$C$4+83),DATE(YEAR((Tahmin!$C$4+77)),MONTH((Tahmin!$C$4+77)),MIN(DAY(Kalemler!$D73),DAY(EOMONTH((Tahmin!$C$4+77),0))))&gt;=Kalemler!$D73),AND(DATE(YEAR((Tahmin!$C$4+83)),MONTH((Tahmin!$C$4+83)),MIN(DAY(Kalemler!$D73),DAY(EOMONTH((Tahmin!$C$4+83),0))))&gt;=(Tahmin!$C$4+77),DATE(YEAR((Tahmin!$C$4+83)),MONTH((Tahmin!$C$4+83)),MIN(DAY(Kalemler!$D73),DAY(EOMONTH((Tahmin!$C$4+83),0))))&lt;=(Tahmin!$C$4+83),DATE(YEAR((Tahmin!$C$4+83)),MONTH((Tahmin!$C$4+83)),MIN(DAY(Kalemler!$D73),DAY(EOMONTH((Tahmin!$C$4+83),0))))&lt;&gt;DATE(YEAR((Tahmin!$C$4+77)),MONTH((Tahmin!$C$4+77)),MIN(DAY(Kalemler!$D73),DAY(EOMONTH((Tahmin!$C$4+77),0)))),DATE(YEAR((Tahmin!$C$4+83)),MONTH((Tahmin!$C$4+83)),MIN(DAY(Kalemler!$D73),DAY(EOMONTH((Tahmin!$C$4+83),0))))&gt;=Kalemler!$D73)),1,0),IF(AND(Kalemler!$D73&gt;=(Tahmin!$C$4+77),Kalemler!$D73&lt;=(Tahmin!$C$4+83)),1,0))))</f>
        <v>0</v>
      </c>
      <c r="N73" s="0" t="n">
        <f aca="false">IF(OR(Kalemler!$A73="",Kalemler!$C73="",Kalemler!$D73=""),0,Kalemler!$C73*IF(Kalemler!$E73="Haftalık",IF(Kalemler!$D73&lt;=(Tahmin!$C$4+90),1,0),IF(Kalemler!$E73="Aylık",IF(OR(AND(DATE(YEAR((Tahmin!$C$4+84)),MONTH((Tahmin!$C$4+84)),MIN(DAY(Kalemler!$D73),DAY(EOMONTH((Tahmin!$C$4+84),0))))&gt;=(Tahmin!$C$4+84),DATE(YEAR((Tahmin!$C$4+84)),MONTH((Tahmin!$C$4+84)),MIN(DAY(Kalemler!$D73),DAY(EOMONTH((Tahmin!$C$4+84),0))))&lt;=(Tahmin!$C$4+90),DATE(YEAR((Tahmin!$C$4+84)),MONTH((Tahmin!$C$4+84)),MIN(DAY(Kalemler!$D73),DAY(EOMONTH((Tahmin!$C$4+84),0))))&gt;=Kalemler!$D73),AND(DATE(YEAR((Tahmin!$C$4+90)),MONTH((Tahmin!$C$4+90)),MIN(DAY(Kalemler!$D73),DAY(EOMONTH((Tahmin!$C$4+90),0))))&gt;=(Tahmin!$C$4+84),DATE(YEAR((Tahmin!$C$4+90)),MONTH((Tahmin!$C$4+90)),MIN(DAY(Kalemler!$D73),DAY(EOMONTH((Tahmin!$C$4+90),0))))&lt;=(Tahmin!$C$4+90),DATE(YEAR((Tahmin!$C$4+90)),MONTH((Tahmin!$C$4+90)),MIN(DAY(Kalemler!$D73),DAY(EOMONTH((Tahmin!$C$4+90),0))))&lt;&gt;DATE(YEAR((Tahmin!$C$4+84)),MONTH((Tahmin!$C$4+84)),MIN(DAY(Kalemler!$D73),DAY(EOMONTH((Tahmin!$C$4+84),0)))),DATE(YEAR((Tahmin!$C$4+90)),MONTH((Tahmin!$C$4+90)),MIN(DAY(Kalemler!$D73),DAY(EOMONTH((Tahmin!$C$4+90),0))))&gt;=Kalemler!$D73)),1,0),IF(AND(Kalemler!$D73&gt;=(Tahmin!$C$4+84),Kalemler!$D73&lt;=(Tahmin!$C$4+90)),1,0))))</f>
        <v>0</v>
      </c>
    </row>
    <row r="74" customFormat="false" ht="15" hidden="false" customHeight="false" outlineLevel="0" collapsed="false">
      <c r="A74" s="0" t="str">
        <f aca="false">IF(Kalemler!A74="","",Kalemler!A74)</f>
        <v/>
      </c>
      <c r="B74" s="0" t="n">
        <f aca="false">IF(OR(Kalemler!$A74="",Kalemler!$C74="",Kalemler!$D74=""),0,Kalemler!$C74*IF(Kalemler!$E74="Haftalık",IF(Kalemler!$D74&lt;=(Tahmin!$C$4+6),1,0),IF(Kalemler!$E74="Aylık",IF(OR(AND(DATE(YEAR((Tahmin!$C$4+0)),MONTH((Tahmin!$C$4+0)),MIN(DAY(Kalemler!$D74),DAY(EOMONTH((Tahmin!$C$4+0),0))))&gt;=(Tahmin!$C$4+0),DATE(YEAR((Tahmin!$C$4+0)),MONTH((Tahmin!$C$4+0)),MIN(DAY(Kalemler!$D74),DAY(EOMONTH((Tahmin!$C$4+0),0))))&lt;=(Tahmin!$C$4+6),DATE(YEAR((Tahmin!$C$4+0)),MONTH((Tahmin!$C$4+0)),MIN(DAY(Kalemler!$D74),DAY(EOMONTH((Tahmin!$C$4+0),0))))&gt;=Kalemler!$D74),AND(DATE(YEAR((Tahmin!$C$4+6)),MONTH((Tahmin!$C$4+6)),MIN(DAY(Kalemler!$D74),DAY(EOMONTH((Tahmin!$C$4+6),0))))&gt;=(Tahmin!$C$4+0),DATE(YEAR((Tahmin!$C$4+6)),MONTH((Tahmin!$C$4+6)),MIN(DAY(Kalemler!$D74),DAY(EOMONTH((Tahmin!$C$4+6),0))))&lt;=(Tahmin!$C$4+6),DATE(YEAR((Tahmin!$C$4+6)),MONTH((Tahmin!$C$4+6)),MIN(DAY(Kalemler!$D74),DAY(EOMONTH((Tahmin!$C$4+6),0))))&lt;&gt;DATE(YEAR((Tahmin!$C$4+0)),MONTH((Tahmin!$C$4+0)),MIN(DAY(Kalemler!$D74),DAY(EOMONTH((Tahmin!$C$4+0),0)))),DATE(YEAR((Tahmin!$C$4+6)),MONTH((Tahmin!$C$4+6)),MIN(DAY(Kalemler!$D74),DAY(EOMONTH((Tahmin!$C$4+6),0))))&gt;=Kalemler!$D74)),1,0),IF(AND(Kalemler!$D74&gt;=(Tahmin!$C$4+0),Kalemler!$D74&lt;=(Tahmin!$C$4+6)),1,0))))</f>
        <v>0</v>
      </c>
      <c r="C74" s="0" t="n">
        <f aca="false">IF(OR(Kalemler!$A74="",Kalemler!$C74="",Kalemler!$D74=""),0,Kalemler!$C74*IF(Kalemler!$E74="Haftalık",IF(Kalemler!$D74&lt;=(Tahmin!$C$4+13),1,0),IF(Kalemler!$E74="Aylık",IF(OR(AND(DATE(YEAR((Tahmin!$C$4+7)),MONTH((Tahmin!$C$4+7)),MIN(DAY(Kalemler!$D74),DAY(EOMONTH((Tahmin!$C$4+7),0))))&gt;=(Tahmin!$C$4+7),DATE(YEAR((Tahmin!$C$4+7)),MONTH((Tahmin!$C$4+7)),MIN(DAY(Kalemler!$D74),DAY(EOMONTH((Tahmin!$C$4+7),0))))&lt;=(Tahmin!$C$4+13),DATE(YEAR((Tahmin!$C$4+7)),MONTH((Tahmin!$C$4+7)),MIN(DAY(Kalemler!$D74),DAY(EOMONTH((Tahmin!$C$4+7),0))))&gt;=Kalemler!$D74),AND(DATE(YEAR((Tahmin!$C$4+13)),MONTH((Tahmin!$C$4+13)),MIN(DAY(Kalemler!$D74),DAY(EOMONTH((Tahmin!$C$4+13),0))))&gt;=(Tahmin!$C$4+7),DATE(YEAR((Tahmin!$C$4+13)),MONTH((Tahmin!$C$4+13)),MIN(DAY(Kalemler!$D74),DAY(EOMONTH((Tahmin!$C$4+13),0))))&lt;=(Tahmin!$C$4+13),DATE(YEAR((Tahmin!$C$4+13)),MONTH((Tahmin!$C$4+13)),MIN(DAY(Kalemler!$D74),DAY(EOMONTH((Tahmin!$C$4+13),0))))&lt;&gt;DATE(YEAR((Tahmin!$C$4+7)),MONTH((Tahmin!$C$4+7)),MIN(DAY(Kalemler!$D74),DAY(EOMONTH((Tahmin!$C$4+7),0)))),DATE(YEAR((Tahmin!$C$4+13)),MONTH((Tahmin!$C$4+13)),MIN(DAY(Kalemler!$D74),DAY(EOMONTH((Tahmin!$C$4+13),0))))&gt;=Kalemler!$D74)),1,0),IF(AND(Kalemler!$D74&gt;=(Tahmin!$C$4+7),Kalemler!$D74&lt;=(Tahmin!$C$4+13)),1,0))))</f>
        <v>0</v>
      </c>
      <c r="D74" s="0" t="n">
        <f aca="false">IF(OR(Kalemler!$A74="",Kalemler!$C74="",Kalemler!$D74=""),0,Kalemler!$C74*IF(Kalemler!$E74="Haftalık",IF(Kalemler!$D74&lt;=(Tahmin!$C$4+20),1,0),IF(Kalemler!$E74="Aylık",IF(OR(AND(DATE(YEAR((Tahmin!$C$4+14)),MONTH((Tahmin!$C$4+14)),MIN(DAY(Kalemler!$D74),DAY(EOMONTH((Tahmin!$C$4+14),0))))&gt;=(Tahmin!$C$4+14),DATE(YEAR((Tahmin!$C$4+14)),MONTH((Tahmin!$C$4+14)),MIN(DAY(Kalemler!$D74),DAY(EOMONTH((Tahmin!$C$4+14),0))))&lt;=(Tahmin!$C$4+20),DATE(YEAR((Tahmin!$C$4+14)),MONTH((Tahmin!$C$4+14)),MIN(DAY(Kalemler!$D74),DAY(EOMONTH((Tahmin!$C$4+14),0))))&gt;=Kalemler!$D74),AND(DATE(YEAR((Tahmin!$C$4+20)),MONTH((Tahmin!$C$4+20)),MIN(DAY(Kalemler!$D74),DAY(EOMONTH((Tahmin!$C$4+20),0))))&gt;=(Tahmin!$C$4+14),DATE(YEAR((Tahmin!$C$4+20)),MONTH((Tahmin!$C$4+20)),MIN(DAY(Kalemler!$D74),DAY(EOMONTH((Tahmin!$C$4+20),0))))&lt;=(Tahmin!$C$4+20),DATE(YEAR((Tahmin!$C$4+20)),MONTH((Tahmin!$C$4+20)),MIN(DAY(Kalemler!$D74),DAY(EOMONTH((Tahmin!$C$4+20),0))))&lt;&gt;DATE(YEAR((Tahmin!$C$4+14)),MONTH((Tahmin!$C$4+14)),MIN(DAY(Kalemler!$D74),DAY(EOMONTH((Tahmin!$C$4+14),0)))),DATE(YEAR((Tahmin!$C$4+20)),MONTH((Tahmin!$C$4+20)),MIN(DAY(Kalemler!$D74),DAY(EOMONTH((Tahmin!$C$4+20),0))))&gt;=Kalemler!$D74)),1,0),IF(AND(Kalemler!$D74&gt;=(Tahmin!$C$4+14),Kalemler!$D74&lt;=(Tahmin!$C$4+20)),1,0))))</f>
        <v>0</v>
      </c>
      <c r="E74" s="0" t="n">
        <f aca="false">IF(OR(Kalemler!$A74="",Kalemler!$C74="",Kalemler!$D74=""),0,Kalemler!$C74*IF(Kalemler!$E74="Haftalık",IF(Kalemler!$D74&lt;=(Tahmin!$C$4+27),1,0),IF(Kalemler!$E74="Aylık",IF(OR(AND(DATE(YEAR((Tahmin!$C$4+21)),MONTH((Tahmin!$C$4+21)),MIN(DAY(Kalemler!$D74),DAY(EOMONTH((Tahmin!$C$4+21),0))))&gt;=(Tahmin!$C$4+21),DATE(YEAR((Tahmin!$C$4+21)),MONTH((Tahmin!$C$4+21)),MIN(DAY(Kalemler!$D74),DAY(EOMONTH((Tahmin!$C$4+21),0))))&lt;=(Tahmin!$C$4+27),DATE(YEAR((Tahmin!$C$4+21)),MONTH((Tahmin!$C$4+21)),MIN(DAY(Kalemler!$D74),DAY(EOMONTH((Tahmin!$C$4+21),0))))&gt;=Kalemler!$D74),AND(DATE(YEAR((Tahmin!$C$4+27)),MONTH((Tahmin!$C$4+27)),MIN(DAY(Kalemler!$D74),DAY(EOMONTH((Tahmin!$C$4+27),0))))&gt;=(Tahmin!$C$4+21),DATE(YEAR((Tahmin!$C$4+27)),MONTH((Tahmin!$C$4+27)),MIN(DAY(Kalemler!$D74),DAY(EOMONTH((Tahmin!$C$4+27),0))))&lt;=(Tahmin!$C$4+27),DATE(YEAR((Tahmin!$C$4+27)),MONTH((Tahmin!$C$4+27)),MIN(DAY(Kalemler!$D74),DAY(EOMONTH((Tahmin!$C$4+27),0))))&lt;&gt;DATE(YEAR((Tahmin!$C$4+21)),MONTH((Tahmin!$C$4+21)),MIN(DAY(Kalemler!$D74),DAY(EOMONTH((Tahmin!$C$4+21),0)))),DATE(YEAR((Tahmin!$C$4+27)),MONTH((Tahmin!$C$4+27)),MIN(DAY(Kalemler!$D74),DAY(EOMONTH((Tahmin!$C$4+27),0))))&gt;=Kalemler!$D74)),1,0),IF(AND(Kalemler!$D74&gt;=(Tahmin!$C$4+21),Kalemler!$D74&lt;=(Tahmin!$C$4+27)),1,0))))</f>
        <v>0</v>
      </c>
      <c r="F74" s="0" t="n">
        <f aca="false">IF(OR(Kalemler!$A74="",Kalemler!$C74="",Kalemler!$D74=""),0,Kalemler!$C74*IF(Kalemler!$E74="Haftalık",IF(Kalemler!$D74&lt;=(Tahmin!$C$4+34),1,0),IF(Kalemler!$E74="Aylık",IF(OR(AND(DATE(YEAR((Tahmin!$C$4+28)),MONTH((Tahmin!$C$4+28)),MIN(DAY(Kalemler!$D74),DAY(EOMONTH((Tahmin!$C$4+28),0))))&gt;=(Tahmin!$C$4+28),DATE(YEAR((Tahmin!$C$4+28)),MONTH((Tahmin!$C$4+28)),MIN(DAY(Kalemler!$D74),DAY(EOMONTH((Tahmin!$C$4+28),0))))&lt;=(Tahmin!$C$4+34),DATE(YEAR((Tahmin!$C$4+28)),MONTH((Tahmin!$C$4+28)),MIN(DAY(Kalemler!$D74),DAY(EOMONTH((Tahmin!$C$4+28),0))))&gt;=Kalemler!$D74),AND(DATE(YEAR((Tahmin!$C$4+34)),MONTH((Tahmin!$C$4+34)),MIN(DAY(Kalemler!$D74),DAY(EOMONTH((Tahmin!$C$4+34),0))))&gt;=(Tahmin!$C$4+28),DATE(YEAR((Tahmin!$C$4+34)),MONTH((Tahmin!$C$4+34)),MIN(DAY(Kalemler!$D74),DAY(EOMONTH((Tahmin!$C$4+34),0))))&lt;=(Tahmin!$C$4+34),DATE(YEAR((Tahmin!$C$4+34)),MONTH((Tahmin!$C$4+34)),MIN(DAY(Kalemler!$D74),DAY(EOMONTH((Tahmin!$C$4+34),0))))&lt;&gt;DATE(YEAR((Tahmin!$C$4+28)),MONTH((Tahmin!$C$4+28)),MIN(DAY(Kalemler!$D74),DAY(EOMONTH((Tahmin!$C$4+28),0)))),DATE(YEAR((Tahmin!$C$4+34)),MONTH((Tahmin!$C$4+34)),MIN(DAY(Kalemler!$D74),DAY(EOMONTH((Tahmin!$C$4+34),0))))&gt;=Kalemler!$D74)),1,0),IF(AND(Kalemler!$D74&gt;=(Tahmin!$C$4+28),Kalemler!$D74&lt;=(Tahmin!$C$4+34)),1,0))))</f>
        <v>0</v>
      </c>
      <c r="G74" s="0" t="n">
        <f aca="false">IF(OR(Kalemler!$A74="",Kalemler!$C74="",Kalemler!$D74=""),0,Kalemler!$C74*IF(Kalemler!$E74="Haftalık",IF(Kalemler!$D74&lt;=(Tahmin!$C$4+41),1,0),IF(Kalemler!$E74="Aylık",IF(OR(AND(DATE(YEAR((Tahmin!$C$4+35)),MONTH((Tahmin!$C$4+35)),MIN(DAY(Kalemler!$D74),DAY(EOMONTH((Tahmin!$C$4+35),0))))&gt;=(Tahmin!$C$4+35),DATE(YEAR((Tahmin!$C$4+35)),MONTH((Tahmin!$C$4+35)),MIN(DAY(Kalemler!$D74),DAY(EOMONTH((Tahmin!$C$4+35),0))))&lt;=(Tahmin!$C$4+41),DATE(YEAR((Tahmin!$C$4+35)),MONTH((Tahmin!$C$4+35)),MIN(DAY(Kalemler!$D74),DAY(EOMONTH((Tahmin!$C$4+35),0))))&gt;=Kalemler!$D74),AND(DATE(YEAR((Tahmin!$C$4+41)),MONTH((Tahmin!$C$4+41)),MIN(DAY(Kalemler!$D74),DAY(EOMONTH((Tahmin!$C$4+41),0))))&gt;=(Tahmin!$C$4+35),DATE(YEAR((Tahmin!$C$4+41)),MONTH((Tahmin!$C$4+41)),MIN(DAY(Kalemler!$D74),DAY(EOMONTH((Tahmin!$C$4+41),0))))&lt;=(Tahmin!$C$4+41),DATE(YEAR((Tahmin!$C$4+41)),MONTH((Tahmin!$C$4+41)),MIN(DAY(Kalemler!$D74),DAY(EOMONTH((Tahmin!$C$4+41),0))))&lt;&gt;DATE(YEAR((Tahmin!$C$4+35)),MONTH((Tahmin!$C$4+35)),MIN(DAY(Kalemler!$D74),DAY(EOMONTH((Tahmin!$C$4+35),0)))),DATE(YEAR((Tahmin!$C$4+41)),MONTH((Tahmin!$C$4+41)),MIN(DAY(Kalemler!$D74),DAY(EOMONTH((Tahmin!$C$4+41),0))))&gt;=Kalemler!$D74)),1,0),IF(AND(Kalemler!$D74&gt;=(Tahmin!$C$4+35),Kalemler!$D74&lt;=(Tahmin!$C$4+41)),1,0))))</f>
        <v>0</v>
      </c>
      <c r="H74" s="0" t="n">
        <f aca="false">IF(OR(Kalemler!$A74="",Kalemler!$C74="",Kalemler!$D74=""),0,Kalemler!$C74*IF(Kalemler!$E74="Haftalık",IF(Kalemler!$D74&lt;=(Tahmin!$C$4+48),1,0),IF(Kalemler!$E74="Aylık",IF(OR(AND(DATE(YEAR((Tahmin!$C$4+42)),MONTH((Tahmin!$C$4+42)),MIN(DAY(Kalemler!$D74),DAY(EOMONTH((Tahmin!$C$4+42),0))))&gt;=(Tahmin!$C$4+42),DATE(YEAR((Tahmin!$C$4+42)),MONTH((Tahmin!$C$4+42)),MIN(DAY(Kalemler!$D74),DAY(EOMONTH((Tahmin!$C$4+42),0))))&lt;=(Tahmin!$C$4+48),DATE(YEAR((Tahmin!$C$4+42)),MONTH((Tahmin!$C$4+42)),MIN(DAY(Kalemler!$D74),DAY(EOMONTH((Tahmin!$C$4+42),0))))&gt;=Kalemler!$D74),AND(DATE(YEAR((Tahmin!$C$4+48)),MONTH((Tahmin!$C$4+48)),MIN(DAY(Kalemler!$D74),DAY(EOMONTH((Tahmin!$C$4+48),0))))&gt;=(Tahmin!$C$4+42),DATE(YEAR((Tahmin!$C$4+48)),MONTH((Tahmin!$C$4+48)),MIN(DAY(Kalemler!$D74),DAY(EOMONTH((Tahmin!$C$4+48),0))))&lt;=(Tahmin!$C$4+48),DATE(YEAR((Tahmin!$C$4+48)),MONTH((Tahmin!$C$4+48)),MIN(DAY(Kalemler!$D74),DAY(EOMONTH((Tahmin!$C$4+48),0))))&lt;&gt;DATE(YEAR((Tahmin!$C$4+42)),MONTH((Tahmin!$C$4+42)),MIN(DAY(Kalemler!$D74),DAY(EOMONTH((Tahmin!$C$4+42),0)))),DATE(YEAR((Tahmin!$C$4+48)),MONTH((Tahmin!$C$4+48)),MIN(DAY(Kalemler!$D74),DAY(EOMONTH((Tahmin!$C$4+48),0))))&gt;=Kalemler!$D74)),1,0),IF(AND(Kalemler!$D74&gt;=(Tahmin!$C$4+42),Kalemler!$D74&lt;=(Tahmin!$C$4+48)),1,0))))</f>
        <v>0</v>
      </c>
      <c r="I74" s="0" t="n">
        <f aca="false">IF(OR(Kalemler!$A74="",Kalemler!$C74="",Kalemler!$D74=""),0,Kalemler!$C74*IF(Kalemler!$E74="Haftalık",IF(Kalemler!$D74&lt;=(Tahmin!$C$4+55),1,0),IF(Kalemler!$E74="Aylık",IF(OR(AND(DATE(YEAR((Tahmin!$C$4+49)),MONTH((Tahmin!$C$4+49)),MIN(DAY(Kalemler!$D74),DAY(EOMONTH((Tahmin!$C$4+49),0))))&gt;=(Tahmin!$C$4+49),DATE(YEAR((Tahmin!$C$4+49)),MONTH((Tahmin!$C$4+49)),MIN(DAY(Kalemler!$D74),DAY(EOMONTH((Tahmin!$C$4+49),0))))&lt;=(Tahmin!$C$4+55),DATE(YEAR((Tahmin!$C$4+49)),MONTH((Tahmin!$C$4+49)),MIN(DAY(Kalemler!$D74),DAY(EOMONTH((Tahmin!$C$4+49),0))))&gt;=Kalemler!$D74),AND(DATE(YEAR((Tahmin!$C$4+55)),MONTH((Tahmin!$C$4+55)),MIN(DAY(Kalemler!$D74),DAY(EOMONTH((Tahmin!$C$4+55),0))))&gt;=(Tahmin!$C$4+49),DATE(YEAR((Tahmin!$C$4+55)),MONTH((Tahmin!$C$4+55)),MIN(DAY(Kalemler!$D74),DAY(EOMONTH((Tahmin!$C$4+55),0))))&lt;=(Tahmin!$C$4+55),DATE(YEAR((Tahmin!$C$4+55)),MONTH((Tahmin!$C$4+55)),MIN(DAY(Kalemler!$D74),DAY(EOMONTH((Tahmin!$C$4+55),0))))&lt;&gt;DATE(YEAR((Tahmin!$C$4+49)),MONTH((Tahmin!$C$4+49)),MIN(DAY(Kalemler!$D74),DAY(EOMONTH((Tahmin!$C$4+49),0)))),DATE(YEAR((Tahmin!$C$4+55)),MONTH((Tahmin!$C$4+55)),MIN(DAY(Kalemler!$D74),DAY(EOMONTH((Tahmin!$C$4+55),0))))&gt;=Kalemler!$D74)),1,0),IF(AND(Kalemler!$D74&gt;=(Tahmin!$C$4+49),Kalemler!$D74&lt;=(Tahmin!$C$4+55)),1,0))))</f>
        <v>0</v>
      </c>
      <c r="J74" s="0" t="n">
        <f aca="false">IF(OR(Kalemler!$A74="",Kalemler!$C74="",Kalemler!$D74=""),0,Kalemler!$C74*IF(Kalemler!$E74="Haftalık",IF(Kalemler!$D74&lt;=(Tahmin!$C$4+62),1,0),IF(Kalemler!$E74="Aylık",IF(OR(AND(DATE(YEAR((Tahmin!$C$4+56)),MONTH((Tahmin!$C$4+56)),MIN(DAY(Kalemler!$D74),DAY(EOMONTH((Tahmin!$C$4+56),0))))&gt;=(Tahmin!$C$4+56),DATE(YEAR((Tahmin!$C$4+56)),MONTH((Tahmin!$C$4+56)),MIN(DAY(Kalemler!$D74),DAY(EOMONTH((Tahmin!$C$4+56),0))))&lt;=(Tahmin!$C$4+62),DATE(YEAR((Tahmin!$C$4+56)),MONTH((Tahmin!$C$4+56)),MIN(DAY(Kalemler!$D74),DAY(EOMONTH((Tahmin!$C$4+56),0))))&gt;=Kalemler!$D74),AND(DATE(YEAR((Tahmin!$C$4+62)),MONTH((Tahmin!$C$4+62)),MIN(DAY(Kalemler!$D74),DAY(EOMONTH((Tahmin!$C$4+62),0))))&gt;=(Tahmin!$C$4+56),DATE(YEAR((Tahmin!$C$4+62)),MONTH((Tahmin!$C$4+62)),MIN(DAY(Kalemler!$D74),DAY(EOMONTH((Tahmin!$C$4+62),0))))&lt;=(Tahmin!$C$4+62),DATE(YEAR((Tahmin!$C$4+62)),MONTH((Tahmin!$C$4+62)),MIN(DAY(Kalemler!$D74),DAY(EOMONTH((Tahmin!$C$4+62),0))))&lt;&gt;DATE(YEAR((Tahmin!$C$4+56)),MONTH((Tahmin!$C$4+56)),MIN(DAY(Kalemler!$D74),DAY(EOMONTH((Tahmin!$C$4+56),0)))),DATE(YEAR((Tahmin!$C$4+62)),MONTH((Tahmin!$C$4+62)),MIN(DAY(Kalemler!$D74),DAY(EOMONTH((Tahmin!$C$4+62),0))))&gt;=Kalemler!$D74)),1,0),IF(AND(Kalemler!$D74&gt;=(Tahmin!$C$4+56),Kalemler!$D74&lt;=(Tahmin!$C$4+62)),1,0))))</f>
        <v>0</v>
      </c>
      <c r="K74" s="0" t="n">
        <f aca="false">IF(OR(Kalemler!$A74="",Kalemler!$C74="",Kalemler!$D74=""),0,Kalemler!$C74*IF(Kalemler!$E74="Haftalık",IF(Kalemler!$D74&lt;=(Tahmin!$C$4+69),1,0),IF(Kalemler!$E74="Aylık",IF(OR(AND(DATE(YEAR((Tahmin!$C$4+63)),MONTH((Tahmin!$C$4+63)),MIN(DAY(Kalemler!$D74),DAY(EOMONTH((Tahmin!$C$4+63),0))))&gt;=(Tahmin!$C$4+63),DATE(YEAR((Tahmin!$C$4+63)),MONTH((Tahmin!$C$4+63)),MIN(DAY(Kalemler!$D74),DAY(EOMONTH((Tahmin!$C$4+63),0))))&lt;=(Tahmin!$C$4+69),DATE(YEAR((Tahmin!$C$4+63)),MONTH((Tahmin!$C$4+63)),MIN(DAY(Kalemler!$D74),DAY(EOMONTH((Tahmin!$C$4+63),0))))&gt;=Kalemler!$D74),AND(DATE(YEAR((Tahmin!$C$4+69)),MONTH((Tahmin!$C$4+69)),MIN(DAY(Kalemler!$D74),DAY(EOMONTH((Tahmin!$C$4+69),0))))&gt;=(Tahmin!$C$4+63),DATE(YEAR((Tahmin!$C$4+69)),MONTH((Tahmin!$C$4+69)),MIN(DAY(Kalemler!$D74),DAY(EOMONTH((Tahmin!$C$4+69),0))))&lt;=(Tahmin!$C$4+69),DATE(YEAR((Tahmin!$C$4+69)),MONTH((Tahmin!$C$4+69)),MIN(DAY(Kalemler!$D74),DAY(EOMONTH((Tahmin!$C$4+69),0))))&lt;&gt;DATE(YEAR((Tahmin!$C$4+63)),MONTH((Tahmin!$C$4+63)),MIN(DAY(Kalemler!$D74),DAY(EOMONTH((Tahmin!$C$4+63),0)))),DATE(YEAR((Tahmin!$C$4+69)),MONTH((Tahmin!$C$4+69)),MIN(DAY(Kalemler!$D74),DAY(EOMONTH((Tahmin!$C$4+69),0))))&gt;=Kalemler!$D74)),1,0),IF(AND(Kalemler!$D74&gt;=(Tahmin!$C$4+63),Kalemler!$D74&lt;=(Tahmin!$C$4+69)),1,0))))</f>
        <v>0</v>
      </c>
      <c r="L74" s="0" t="n">
        <f aca="false">IF(OR(Kalemler!$A74="",Kalemler!$C74="",Kalemler!$D74=""),0,Kalemler!$C74*IF(Kalemler!$E74="Haftalık",IF(Kalemler!$D74&lt;=(Tahmin!$C$4+76),1,0),IF(Kalemler!$E74="Aylık",IF(OR(AND(DATE(YEAR((Tahmin!$C$4+70)),MONTH((Tahmin!$C$4+70)),MIN(DAY(Kalemler!$D74),DAY(EOMONTH((Tahmin!$C$4+70),0))))&gt;=(Tahmin!$C$4+70),DATE(YEAR((Tahmin!$C$4+70)),MONTH((Tahmin!$C$4+70)),MIN(DAY(Kalemler!$D74),DAY(EOMONTH((Tahmin!$C$4+70),0))))&lt;=(Tahmin!$C$4+76),DATE(YEAR((Tahmin!$C$4+70)),MONTH((Tahmin!$C$4+70)),MIN(DAY(Kalemler!$D74),DAY(EOMONTH((Tahmin!$C$4+70),0))))&gt;=Kalemler!$D74),AND(DATE(YEAR((Tahmin!$C$4+76)),MONTH((Tahmin!$C$4+76)),MIN(DAY(Kalemler!$D74),DAY(EOMONTH((Tahmin!$C$4+76),0))))&gt;=(Tahmin!$C$4+70),DATE(YEAR((Tahmin!$C$4+76)),MONTH((Tahmin!$C$4+76)),MIN(DAY(Kalemler!$D74),DAY(EOMONTH((Tahmin!$C$4+76),0))))&lt;=(Tahmin!$C$4+76),DATE(YEAR((Tahmin!$C$4+76)),MONTH((Tahmin!$C$4+76)),MIN(DAY(Kalemler!$D74),DAY(EOMONTH((Tahmin!$C$4+76),0))))&lt;&gt;DATE(YEAR((Tahmin!$C$4+70)),MONTH((Tahmin!$C$4+70)),MIN(DAY(Kalemler!$D74),DAY(EOMONTH((Tahmin!$C$4+70),0)))),DATE(YEAR((Tahmin!$C$4+76)),MONTH((Tahmin!$C$4+76)),MIN(DAY(Kalemler!$D74),DAY(EOMONTH((Tahmin!$C$4+76),0))))&gt;=Kalemler!$D74)),1,0),IF(AND(Kalemler!$D74&gt;=(Tahmin!$C$4+70),Kalemler!$D74&lt;=(Tahmin!$C$4+76)),1,0))))</f>
        <v>0</v>
      </c>
      <c r="M74" s="0" t="n">
        <f aca="false">IF(OR(Kalemler!$A74="",Kalemler!$C74="",Kalemler!$D74=""),0,Kalemler!$C74*IF(Kalemler!$E74="Haftalık",IF(Kalemler!$D74&lt;=(Tahmin!$C$4+83),1,0),IF(Kalemler!$E74="Aylık",IF(OR(AND(DATE(YEAR((Tahmin!$C$4+77)),MONTH((Tahmin!$C$4+77)),MIN(DAY(Kalemler!$D74),DAY(EOMONTH((Tahmin!$C$4+77),0))))&gt;=(Tahmin!$C$4+77),DATE(YEAR((Tahmin!$C$4+77)),MONTH((Tahmin!$C$4+77)),MIN(DAY(Kalemler!$D74),DAY(EOMONTH((Tahmin!$C$4+77),0))))&lt;=(Tahmin!$C$4+83),DATE(YEAR((Tahmin!$C$4+77)),MONTH((Tahmin!$C$4+77)),MIN(DAY(Kalemler!$D74),DAY(EOMONTH((Tahmin!$C$4+77),0))))&gt;=Kalemler!$D74),AND(DATE(YEAR((Tahmin!$C$4+83)),MONTH((Tahmin!$C$4+83)),MIN(DAY(Kalemler!$D74),DAY(EOMONTH((Tahmin!$C$4+83),0))))&gt;=(Tahmin!$C$4+77),DATE(YEAR((Tahmin!$C$4+83)),MONTH((Tahmin!$C$4+83)),MIN(DAY(Kalemler!$D74),DAY(EOMONTH((Tahmin!$C$4+83),0))))&lt;=(Tahmin!$C$4+83),DATE(YEAR((Tahmin!$C$4+83)),MONTH((Tahmin!$C$4+83)),MIN(DAY(Kalemler!$D74),DAY(EOMONTH((Tahmin!$C$4+83),0))))&lt;&gt;DATE(YEAR((Tahmin!$C$4+77)),MONTH((Tahmin!$C$4+77)),MIN(DAY(Kalemler!$D74),DAY(EOMONTH((Tahmin!$C$4+77),0)))),DATE(YEAR((Tahmin!$C$4+83)),MONTH((Tahmin!$C$4+83)),MIN(DAY(Kalemler!$D74),DAY(EOMONTH((Tahmin!$C$4+83),0))))&gt;=Kalemler!$D74)),1,0),IF(AND(Kalemler!$D74&gt;=(Tahmin!$C$4+77),Kalemler!$D74&lt;=(Tahmin!$C$4+83)),1,0))))</f>
        <v>0</v>
      </c>
      <c r="N74" s="0" t="n">
        <f aca="false">IF(OR(Kalemler!$A74="",Kalemler!$C74="",Kalemler!$D74=""),0,Kalemler!$C74*IF(Kalemler!$E74="Haftalık",IF(Kalemler!$D74&lt;=(Tahmin!$C$4+90),1,0),IF(Kalemler!$E74="Aylık",IF(OR(AND(DATE(YEAR((Tahmin!$C$4+84)),MONTH((Tahmin!$C$4+84)),MIN(DAY(Kalemler!$D74),DAY(EOMONTH((Tahmin!$C$4+84),0))))&gt;=(Tahmin!$C$4+84),DATE(YEAR((Tahmin!$C$4+84)),MONTH((Tahmin!$C$4+84)),MIN(DAY(Kalemler!$D74),DAY(EOMONTH((Tahmin!$C$4+84),0))))&lt;=(Tahmin!$C$4+90),DATE(YEAR((Tahmin!$C$4+84)),MONTH((Tahmin!$C$4+84)),MIN(DAY(Kalemler!$D74),DAY(EOMONTH((Tahmin!$C$4+84),0))))&gt;=Kalemler!$D74),AND(DATE(YEAR((Tahmin!$C$4+90)),MONTH((Tahmin!$C$4+90)),MIN(DAY(Kalemler!$D74),DAY(EOMONTH((Tahmin!$C$4+90),0))))&gt;=(Tahmin!$C$4+84),DATE(YEAR((Tahmin!$C$4+90)),MONTH((Tahmin!$C$4+90)),MIN(DAY(Kalemler!$D74),DAY(EOMONTH((Tahmin!$C$4+90),0))))&lt;=(Tahmin!$C$4+90),DATE(YEAR((Tahmin!$C$4+90)),MONTH((Tahmin!$C$4+90)),MIN(DAY(Kalemler!$D74),DAY(EOMONTH((Tahmin!$C$4+90),0))))&lt;&gt;DATE(YEAR((Tahmin!$C$4+84)),MONTH((Tahmin!$C$4+84)),MIN(DAY(Kalemler!$D74),DAY(EOMONTH((Tahmin!$C$4+84),0)))),DATE(YEAR((Tahmin!$C$4+90)),MONTH((Tahmin!$C$4+90)),MIN(DAY(Kalemler!$D74),DAY(EOMONTH((Tahmin!$C$4+90),0))))&gt;=Kalemler!$D74)),1,0),IF(AND(Kalemler!$D74&gt;=(Tahmin!$C$4+84),Kalemler!$D74&lt;=(Tahmin!$C$4+90)),1,0))))</f>
        <v>0</v>
      </c>
    </row>
    <row r="75" customFormat="false" ht="15" hidden="false" customHeight="false" outlineLevel="0" collapsed="false">
      <c r="A75" s="0" t="str">
        <f aca="false">IF(Kalemler!A75="","",Kalemler!A75)</f>
        <v/>
      </c>
      <c r="B75" s="0" t="n">
        <f aca="false">IF(OR(Kalemler!$A75="",Kalemler!$C75="",Kalemler!$D75=""),0,Kalemler!$C75*IF(Kalemler!$E75="Haftalık",IF(Kalemler!$D75&lt;=(Tahmin!$C$4+6),1,0),IF(Kalemler!$E75="Aylık",IF(OR(AND(DATE(YEAR((Tahmin!$C$4+0)),MONTH((Tahmin!$C$4+0)),MIN(DAY(Kalemler!$D75),DAY(EOMONTH((Tahmin!$C$4+0),0))))&gt;=(Tahmin!$C$4+0),DATE(YEAR((Tahmin!$C$4+0)),MONTH((Tahmin!$C$4+0)),MIN(DAY(Kalemler!$D75),DAY(EOMONTH((Tahmin!$C$4+0),0))))&lt;=(Tahmin!$C$4+6),DATE(YEAR((Tahmin!$C$4+0)),MONTH((Tahmin!$C$4+0)),MIN(DAY(Kalemler!$D75),DAY(EOMONTH((Tahmin!$C$4+0),0))))&gt;=Kalemler!$D75),AND(DATE(YEAR((Tahmin!$C$4+6)),MONTH((Tahmin!$C$4+6)),MIN(DAY(Kalemler!$D75),DAY(EOMONTH((Tahmin!$C$4+6),0))))&gt;=(Tahmin!$C$4+0),DATE(YEAR((Tahmin!$C$4+6)),MONTH((Tahmin!$C$4+6)),MIN(DAY(Kalemler!$D75),DAY(EOMONTH((Tahmin!$C$4+6),0))))&lt;=(Tahmin!$C$4+6),DATE(YEAR((Tahmin!$C$4+6)),MONTH((Tahmin!$C$4+6)),MIN(DAY(Kalemler!$D75),DAY(EOMONTH((Tahmin!$C$4+6),0))))&lt;&gt;DATE(YEAR((Tahmin!$C$4+0)),MONTH((Tahmin!$C$4+0)),MIN(DAY(Kalemler!$D75),DAY(EOMONTH((Tahmin!$C$4+0),0)))),DATE(YEAR((Tahmin!$C$4+6)),MONTH((Tahmin!$C$4+6)),MIN(DAY(Kalemler!$D75),DAY(EOMONTH((Tahmin!$C$4+6),0))))&gt;=Kalemler!$D75)),1,0),IF(AND(Kalemler!$D75&gt;=(Tahmin!$C$4+0),Kalemler!$D75&lt;=(Tahmin!$C$4+6)),1,0))))</f>
        <v>0</v>
      </c>
      <c r="C75" s="0" t="n">
        <f aca="false">IF(OR(Kalemler!$A75="",Kalemler!$C75="",Kalemler!$D75=""),0,Kalemler!$C75*IF(Kalemler!$E75="Haftalık",IF(Kalemler!$D75&lt;=(Tahmin!$C$4+13),1,0),IF(Kalemler!$E75="Aylık",IF(OR(AND(DATE(YEAR((Tahmin!$C$4+7)),MONTH((Tahmin!$C$4+7)),MIN(DAY(Kalemler!$D75),DAY(EOMONTH((Tahmin!$C$4+7),0))))&gt;=(Tahmin!$C$4+7),DATE(YEAR((Tahmin!$C$4+7)),MONTH((Tahmin!$C$4+7)),MIN(DAY(Kalemler!$D75),DAY(EOMONTH((Tahmin!$C$4+7),0))))&lt;=(Tahmin!$C$4+13),DATE(YEAR((Tahmin!$C$4+7)),MONTH((Tahmin!$C$4+7)),MIN(DAY(Kalemler!$D75),DAY(EOMONTH((Tahmin!$C$4+7),0))))&gt;=Kalemler!$D75),AND(DATE(YEAR((Tahmin!$C$4+13)),MONTH((Tahmin!$C$4+13)),MIN(DAY(Kalemler!$D75),DAY(EOMONTH((Tahmin!$C$4+13),0))))&gt;=(Tahmin!$C$4+7),DATE(YEAR((Tahmin!$C$4+13)),MONTH((Tahmin!$C$4+13)),MIN(DAY(Kalemler!$D75),DAY(EOMONTH((Tahmin!$C$4+13),0))))&lt;=(Tahmin!$C$4+13),DATE(YEAR((Tahmin!$C$4+13)),MONTH((Tahmin!$C$4+13)),MIN(DAY(Kalemler!$D75),DAY(EOMONTH((Tahmin!$C$4+13),0))))&lt;&gt;DATE(YEAR((Tahmin!$C$4+7)),MONTH((Tahmin!$C$4+7)),MIN(DAY(Kalemler!$D75),DAY(EOMONTH((Tahmin!$C$4+7),0)))),DATE(YEAR((Tahmin!$C$4+13)),MONTH((Tahmin!$C$4+13)),MIN(DAY(Kalemler!$D75),DAY(EOMONTH((Tahmin!$C$4+13),0))))&gt;=Kalemler!$D75)),1,0),IF(AND(Kalemler!$D75&gt;=(Tahmin!$C$4+7),Kalemler!$D75&lt;=(Tahmin!$C$4+13)),1,0))))</f>
        <v>0</v>
      </c>
      <c r="D75" s="0" t="n">
        <f aca="false">IF(OR(Kalemler!$A75="",Kalemler!$C75="",Kalemler!$D75=""),0,Kalemler!$C75*IF(Kalemler!$E75="Haftalık",IF(Kalemler!$D75&lt;=(Tahmin!$C$4+20),1,0),IF(Kalemler!$E75="Aylık",IF(OR(AND(DATE(YEAR((Tahmin!$C$4+14)),MONTH((Tahmin!$C$4+14)),MIN(DAY(Kalemler!$D75),DAY(EOMONTH((Tahmin!$C$4+14),0))))&gt;=(Tahmin!$C$4+14),DATE(YEAR((Tahmin!$C$4+14)),MONTH((Tahmin!$C$4+14)),MIN(DAY(Kalemler!$D75),DAY(EOMONTH((Tahmin!$C$4+14),0))))&lt;=(Tahmin!$C$4+20),DATE(YEAR((Tahmin!$C$4+14)),MONTH((Tahmin!$C$4+14)),MIN(DAY(Kalemler!$D75),DAY(EOMONTH((Tahmin!$C$4+14),0))))&gt;=Kalemler!$D75),AND(DATE(YEAR((Tahmin!$C$4+20)),MONTH((Tahmin!$C$4+20)),MIN(DAY(Kalemler!$D75),DAY(EOMONTH((Tahmin!$C$4+20),0))))&gt;=(Tahmin!$C$4+14),DATE(YEAR((Tahmin!$C$4+20)),MONTH((Tahmin!$C$4+20)),MIN(DAY(Kalemler!$D75),DAY(EOMONTH((Tahmin!$C$4+20),0))))&lt;=(Tahmin!$C$4+20),DATE(YEAR((Tahmin!$C$4+20)),MONTH((Tahmin!$C$4+20)),MIN(DAY(Kalemler!$D75),DAY(EOMONTH((Tahmin!$C$4+20),0))))&lt;&gt;DATE(YEAR((Tahmin!$C$4+14)),MONTH((Tahmin!$C$4+14)),MIN(DAY(Kalemler!$D75),DAY(EOMONTH((Tahmin!$C$4+14),0)))),DATE(YEAR((Tahmin!$C$4+20)),MONTH((Tahmin!$C$4+20)),MIN(DAY(Kalemler!$D75),DAY(EOMONTH((Tahmin!$C$4+20),0))))&gt;=Kalemler!$D75)),1,0),IF(AND(Kalemler!$D75&gt;=(Tahmin!$C$4+14),Kalemler!$D75&lt;=(Tahmin!$C$4+20)),1,0))))</f>
        <v>0</v>
      </c>
      <c r="E75" s="0" t="n">
        <f aca="false">IF(OR(Kalemler!$A75="",Kalemler!$C75="",Kalemler!$D75=""),0,Kalemler!$C75*IF(Kalemler!$E75="Haftalık",IF(Kalemler!$D75&lt;=(Tahmin!$C$4+27),1,0),IF(Kalemler!$E75="Aylık",IF(OR(AND(DATE(YEAR((Tahmin!$C$4+21)),MONTH((Tahmin!$C$4+21)),MIN(DAY(Kalemler!$D75),DAY(EOMONTH((Tahmin!$C$4+21),0))))&gt;=(Tahmin!$C$4+21),DATE(YEAR((Tahmin!$C$4+21)),MONTH((Tahmin!$C$4+21)),MIN(DAY(Kalemler!$D75),DAY(EOMONTH((Tahmin!$C$4+21),0))))&lt;=(Tahmin!$C$4+27),DATE(YEAR((Tahmin!$C$4+21)),MONTH((Tahmin!$C$4+21)),MIN(DAY(Kalemler!$D75),DAY(EOMONTH((Tahmin!$C$4+21),0))))&gt;=Kalemler!$D75),AND(DATE(YEAR((Tahmin!$C$4+27)),MONTH((Tahmin!$C$4+27)),MIN(DAY(Kalemler!$D75),DAY(EOMONTH((Tahmin!$C$4+27),0))))&gt;=(Tahmin!$C$4+21),DATE(YEAR((Tahmin!$C$4+27)),MONTH((Tahmin!$C$4+27)),MIN(DAY(Kalemler!$D75),DAY(EOMONTH((Tahmin!$C$4+27),0))))&lt;=(Tahmin!$C$4+27),DATE(YEAR((Tahmin!$C$4+27)),MONTH((Tahmin!$C$4+27)),MIN(DAY(Kalemler!$D75),DAY(EOMONTH((Tahmin!$C$4+27),0))))&lt;&gt;DATE(YEAR((Tahmin!$C$4+21)),MONTH((Tahmin!$C$4+21)),MIN(DAY(Kalemler!$D75),DAY(EOMONTH((Tahmin!$C$4+21),0)))),DATE(YEAR((Tahmin!$C$4+27)),MONTH((Tahmin!$C$4+27)),MIN(DAY(Kalemler!$D75),DAY(EOMONTH((Tahmin!$C$4+27),0))))&gt;=Kalemler!$D75)),1,0),IF(AND(Kalemler!$D75&gt;=(Tahmin!$C$4+21),Kalemler!$D75&lt;=(Tahmin!$C$4+27)),1,0))))</f>
        <v>0</v>
      </c>
      <c r="F75" s="0" t="n">
        <f aca="false">IF(OR(Kalemler!$A75="",Kalemler!$C75="",Kalemler!$D75=""),0,Kalemler!$C75*IF(Kalemler!$E75="Haftalık",IF(Kalemler!$D75&lt;=(Tahmin!$C$4+34),1,0),IF(Kalemler!$E75="Aylık",IF(OR(AND(DATE(YEAR((Tahmin!$C$4+28)),MONTH((Tahmin!$C$4+28)),MIN(DAY(Kalemler!$D75),DAY(EOMONTH((Tahmin!$C$4+28),0))))&gt;=(Tahmin!$C$4+28),DATE(YEAR((Tahmin!$C$4+28)),MONTH((Tahmin!$C$4+28)),MIN(DAY(Kalemler!$D75),DAY(EOMONTH((Tahmin!$C$4+28),0))))&lt;=(Tahmin!$C$4+34),DATE(YEAR((Tahmin!$C$4+28)),MONTH((Tahmin!$C$4+28)),MIN(DAY(Kalemler!$D75),DAY(EOMONTH((Tahmin!$C$4+28),0))))&gt;=Kalemler!$D75),AND(DATE(YEAR((Tahmin!$C$4+34)),MONTH((Tahmin!$C$4+34)),MIN(DAY(Kalemler!$D75),DAY(EOMONTH((Tahmin!$C$4+34),0))))&gt;=(Tahmin!$C$4+28),DATE(YEAR((Tahmin!$C$4+34)),MONTH((Tahmin!$C$4+34)),MIN(DAY(Kalemler!$D75),DAY(EOMONTH((Tahmin!$C$4+34),0))))&lt;=(Tahmin!$C$4+34),DATE(YEAR((Tahmin!$C$4+34)),MONTH((Tahmin!$C$4+34)),MIN(DAY(Kalemler!$D75),DAY(EOMONTH((Tahmin!$C$4+34),0))))&lt;&gt;DATE(YEAR((Tahmin!$C$4+28)),MONTH((Tahmin!$C$4+28)),MIN(DAY(Kalemler!$D75),DAY(EOMONTH((Tahmin!$C$4+28),0)))),DATE(YEAR((Tahmin!$C$4+34)),MONTH((Tahmin!$C$4+34)),MIN(DAY(Kalemler!$D75),DAY(EOMONTH((Tahmin!$C$4+34),0))))&gt;=Kalemler!$D75)),1,0),IF(AND(Kalemler!$D75&gt;=(Tahmin!$C$4+28),Kalemler!$D75&lt;=(Tahmin!$C$4+34)),1,0))))</f>
        <v>0</v>
      </c>
      <c r="G75" s="0" t="n">
        <f aca="false">IF(OR(Kalemler!$A75="",Kalemler!$C75="",Kalemler!$D75=""),0,Kalemler!$C75*IF(Kalemler!$E75="Haftalık",IF(Kalemler!$D75&lt;=(Tahmin!$C$4+41),1,0),IF(Kalemler!$E75="Aylık",IF(OR(AND(DATE(YEAR((Tahmin!$C$4+35)),MONTH((Tahmin!$C$4+35)),MIN(DAY(Kalemler!$D75),DAY(EOMONTH((Tahmin!$C$4+35),0))))&gt;=(Tahmin!$C$4+35),DATE(YEAR((Tahmin!$C$4+35)),MONTH((Tahmin!$C$4+35)),MIN(DAY(Kalemler!$D75),DAY(EOMONTH((Tahmin!$C$4+35),0))))&lt;=(Tahmin!$C$4+41),DATE(YEAR((Tahmin!$C$4+35)),MONTH((Tahmin!$C$4+35)),MIN(DAY(Kalemler!$D75),DAY(EOMONTH((Tahmin!$C$4+35),0))))&gt;=Kalemler!$D75),AND(DATE(YEAR((Tahmin!$C$4+41)),MONTH((Tahmin!$C$4+41)),MIN(DAY(Kalemler!$D75),DAY(EOMONTH((Tahmin!$C$4+41),0))))&gt;=(Tahmin!$C$4+35),DATE(YEAR((Tahmin!$C$4+41)),MONTH((Tahmin!$C$4+41)),MIN(DAY(Kalemler!$D75),DAY(EOMONTH((Tahmin!$C$4+41),0))))&lt;=(Tahmin!$C$4+41),DATE(YEAR((Tahmin!$C$4+41)),MONTH((Tahmin!$C$4+41)),MIN(DAY(Kalemler!$D75),DAY(EOMONTH((Tahmin!$C$4+41),0))))&lt;&gt;DATE(YEAR((Tahmin!$C$4+35)),MONTH((Tahmin!$C$4+35)),MIN(DAY(Kalemler!$D75),DAY(EOMONTH((Tahmin!$C$4+35),0)))),DATE(YEAR((Tahmin!$C$4+41)),MONTH((Tahmin!$C$4+41)),MIN(DAY(Kalemler!$D75),DAY(EOMONTH((Tahmin!$C$4+41),0))))&gt;=Kalemler!$D75)),1,0),IF(AND(Kalemler!$D75&gt;=(Tahmin!$C$4+35),Kalemler!$D75&lt;=(Tahmin!$C$4+41)),1,0))))</f>
        <v>0</v>
      </c>
      <c r="H75" s="0" t="n">
        <f aca="false">IF(OR(Kalemler!$A75="",Kalemler!$C75="",Kalemler!$D75=""),0,Kalemler!$C75*IF(Kalemler!$E75="Haftalık",IF(Kalemler!$D75&lt;=(Tahmin!$C$4+48),1,0),IF(Kalemler!$E75="Aylık",IF(OR(AND(DATE(YEAR((Tahmin!$C$4+42)),MONTH((Tahmin!$C$4+42)),MIN(DAY(Kalemler!$D75),DAY(EOMONTH((Tahmin!$C$4+42),0))))&gt;=(Tahmin!$C$4+42),DATE(YEAR((Tahmin!$C$4+42)),MONTH((Tahmin!$C$4+42)),MIN(DAY(Kalemler!$D75),DAY(EOMONTH((Tahmin!$C$4+42),0))))&lt;=(Tahmin!$C$4+48),DATE(YEAR((Tahmin!$C$4+42)),MONTH((Tahmin!$C$4+42)),MIN(DAY(Kalemler!$D75),DAY(EOMONTH((Tahmin!$C$4+42),0))))&gt;=Kalemler!$D75),AND(DATE(YEAR((Tahmin!$C$4+48)),MONTH((Tahmin!$C$4+48)),MIN(DAY(Kalemler!$D75),DAY(EOMONTH((Tahmin!$C$4+48),0))))&gt;=(Tahmin!$C$4+42),DATE(YEAR((Tahmin!$C$4+48)),MONTH((Tahmin!$C$4+48)),MIN(DAY(Kalemler!$D75),DAY(EOMONTH((Tahmin!$C$4+48),0))))&lt;=(Tahmin!$C$4+48),DATE(YEAR((Tahmin!$C$4+48)),MONTH((Tahmin!$C$4+48)),MIN(DAY(Kalemler!$D75),DAY(EOMONTH((Tahmin!$C$4+48),0))))&lt;&gt;DATE(YEAR((Tahmin!$C$4+42)),MONTH((Tahmin!$C$4+42)),MIN(DAY(Kalemler!$D75),DAY(EOMONTH((Tahmin!$C$4+42),0)))),DATE(YEAR((Tahmin!$C$4+48)),MONTH((Tahmin!$C$4+48)),MIN(DAY(Kalemler!$D75),DAY(EOMONTH((Tahmin!$C$4+48),0))))&gt;=Kalemler!$D75)),1,0),IF(AND(Kalemler!$D75&gt;=(Tahmin!$C$4+42),Kalemler!$D75&lt;=(Tahmin!$C$4+48)),1,0))))</f>
        <v>0</v>
      </c>
      <c r="I75" s="0" t="n">
        <f aca="false">IF(OR(Kalemler!$A75="",Kalemler!$C75="",Kalemler!$D75=""),0,Kalemler!$C75*IF(Kalemler!$E75="Haftalık",IF(Kalemler!$D75&lt;=(Tahmin!$C$4+55),1,0),IF(Kalemler!$E75="Aylık",IF(OR(AND(DATE(YEAR((Tahmin!$C$4+49)),MONTH((Tahmin!$C$4+49)),MIN(DAY(Kalemler!$D75),DAY(EOMONTH((Tahmin!$C$4+49),0))))&gt;=(Tahmin!$C$4+49),DATE(YEAR((Tahmin!$C$4+49)),MONTH((Tahmin!$C$4+49)),MIN(DAY(Kalemler!$D75),DAY(EOMONTH((Tahmin!$C$4+49),0))))&lt;=(Tahmin!$C$4+55),DATE(YEAR((Tahmin!$C$4+49)),MONTH((Tahmin!$C$4+49)),MIN(DAY(Kalemler!$D75),DAY(EOMONTH((Tahmin!$C$4+49),0))))&gt;=Kalemler!$D75),AND(DATE(YEAR((Tahmin!$C$4+55)),MONTH((Tahmin!$C$4+55)),MIN(DAY(Kalemler!$D75),DAY(EOMONTH((Tahmin!$C$4+55),0))))&gt;=(Tahmin!$C$4+49),DATE(YEAR((Tahmin!$C$4+55)),MONTH((Tahmin!$C$4+55)),MIN(DAY(Kalemler!$D75),DAY(EOMONTH((Tahmin!$C$4+55),0))))&lt;=(Tahmin!$C$4+55),DATE(YEAR((Tahmin!$C$4+55)),MONTH((Tahmin!$C$4+55)),MIN(DAY(Kalemler!$D75),DAY(EOMONTH((Tahmin!$C$4+55),0))))&lt;&gt;DATE(YEAR((Tahmin!$C$4+49)),MONTH((Tahmin!$C$4+49)),MIN(DAY(Kalemler!$D75),DAY(EOMONTH((Tahmin!$C$4+49),0)))),DATE(YEAR((Tahmin!$C$4+55)),MONTH((Tahmin!$C$4+55)),MIN(DAY(Kalemler!$D75),DAY(EOMONTH((Tahmin!$C$4+55),0))))&gt;=Kalemler!$D75)),1,0),IF(AND(Kalemler!$D75&gt;=(Tahmin!$C$4+49),Kalemler!$D75&lt;=(Tahmin!$C$4+55)),1,0))))</f>
        <v>0</v>
      </c>
      <c r="J75" s="0" t="n">
        <f aca="false">IF(OR(Kalemler!$A75="",Kalemler!$C75="",Kalemler!$D75=""),0,Kalemler!$C75*IF(Kalemler!$E75="Haftalık",IF(Kalemler!$D75&lt;=(Tahmin!$C$4+62),1,0),IF(Kalemler!$E75="Aylık",IF(OR(AND(DATE(YEAR((Tahmin!$C$4+56)),MONTH((Tahmin!$C$4+56)),MIN(DAY(Kalemler!$D75),DAY(EOMONTH((Tahmin!$C$4+56),0))))&gt;=(Tahmin!$C$4+56),DATE(YEAR((Tahmin!$C$4+56)),MONTH((Tahmin!$C$4+56)),MIN(DAY(Kalemler!$D75),DAY(EOMONTH((Tahmin!$C$4+56),0))))&lt;=(Tahmin!$C$4+62),DATE(YEAR((Tahmin!$C$4+56)),MONTH((Tahmin!$C$4+56)),MIN(DAY(Kalemler!$D75),DAY(EOMONTH((Tahmin!$C$4+56),0))))&gt;=Kalemler!$D75),AND(DATE(YEAR((Tahmin!$C$4+62)),MONTH((Tahmin!$C$4+62)),MIN(DAY(Kalemler!$D75),DAY(EOMONTH((Tahmin!$C$4+62),0))))&gt;=(Tahmin!$C$4+56),DATE(YEAR((Tahmin!$C$4+62)),MONTH((Tahmin!$C$4+62)),MIN(DAY(Kalemler!$D75),DAY(EOMONTH((Tahmin!$C$4+62),0))))&lt;=(Tahmin!$C$4+62),DATE(YEAR((Tahmin!$C$4+62)),MONTH((Tahmin!$C$4+62)),MIN(DAY(Kalemler!$D75),DAY(EOMONTH((Tahmin!$C$4+62),0))))&lt;&gt;DATE(YEAR((Tahmin!$C$4+56)),MONTH((Tahmin!$C$4+56)),MIN(DAY(Kalemler!$D75),DAY(EOMONTH((Tahmin!$C$4+56),0)))),DATE(YEAR((Tahmin!$C$4+62)),MONTH((Tahmin!$C$4+62)),MIN(DAY(Kalemler!$D75),DAY(EOMONTH((Tahmin!$C$4+62),0))))&gt;=Kalemler!$D75)),1,0),IF(AND(Kalemler!$D75&gt;=(Tahmin!$C$4+56),Kalemler!$D75&lt;=(Tahmin!$C$4+62)),1,0))))</f>
        <v>0</v>
      </c>
      <c r="K75" s="0" t="n">
        <f aca="false">IF(OR(Kalemler!$A75="",Kalemler!$C75="",Kalemler!$D75=""),0,Kalemler!$C75*IF(Kalemler!$E75="Haftalık",IF(Kalemler!$D75&lt;=(Tahmin!$C$4+69),1,0),IF(Kalemler!$E75="Aylık",IF(OR(AND(DATE(YEAR((Tahmin!$C$4+63)),MONTH((Tahmin!$C$4+63)),MIN(DAY(Kalemler!$D75),DAY(EOMONTH((Tahmin!$C$4+63),0))))&gt;=(Tahmin!$C$4+63),DATE(YEAR((Tahmin!$C$4+63)),MONTH((Tahmin!$C$4+63)),MIN(DAY(Kalemler!$D75),DAY(EOMONTH((Tahmin!$C$4+63),0))))&lt;=(Tahmin!$C$4+69),DATE(YEAR((Tahmin!$C$4+63)),MONTH((Tahmin!$C$4+63)),MIN(DAY(Kalemler!$D75),DAY(EOMONTH((Tahmin!$C$4+63),0))))&gt;=Kalemler!$D75),AND(DATE(YEAR((Tahmin!$C$4+69)),MONTH((Tahmin!$C$4+69)),MIN(DAY(Kalemler!$D75),DAY(EOMONTH((Tahmin!$C$4+69),0))))&gt;=(Tahmin!$C$4+63),DATE(YEAR((Tahmin!$C$4+69)),MONTH((Tahmin!$C$4+69)),MIN(DAY(Kalemler!$D75),DAY(EOMONTH((Tahmin!$C$4+69),0))))&lt;=(Tahmin!$C$4+69),DATE(YEAR((Tahmin!$C$4+69)),MONTH((Tahmin!$C$4+69)),MIN(DAY(Kalemler!$D75),DAY(EOMONTH((Tahmin!$C$4+69),0))))&lt;&gt;DATE(YEAR((Tahmin!$C$4+63)),MONTH((Tahmin!$C$4+63)),MIN(DAY(Kalemler!$D75),DAY(EOMONTH((Tahmin!$C$4+63),0)))),DATE(YEAR((Tahmin!$C$4+69)),MONTH((Tahmin!$C$4+69)),MIN(DAY(Kalemler!$D75),DAY(EOMONTH((Tahmin!$C$4+69),0))))&gt;=Kalemler!$D75)),1,0),IF(AND(Kalemler!$D75&gt;=(Tahmin!$C$4+63),Kalemler!$D75&lt;=(Tahmin!$C$4+69)),1,0))))</f>
        <v>0</v>
      </c>
      <c r="L75" s="0" t="n">
        <f aca="false">IF(OR(Kalemler!$A75="",Kalemler!$C75="",Kalemler!$D75=""),0,Kalemler!$C75*IF(Kalemler!$E75="Haftalık",IF(Kalemler!$D75&lt;=(Tahmin!$C$4+76),1,0),IF(Kalemler!$E75="Aylık",IF(OR(AND(DATE(YEAR((Tahmin!$C$4+70)),MONTH((Tahmin!$C$4+70)),MIN(DAY(Kalemler!$D75),DAY(EOMONTH((Tahmin!$C$4+70),0))))&gt;=(Tahmin!$C$4+70),DATE(YEAR((Tahmin!$C$4+70)),MONTH((Tahmin!$C$4+70)),MIN(DAY(Kalemler!$D75),DAY(EOMONTH((Tahmin!$C$4+70),0))))&lt;=(Tahmin!$C$4+76),DATE(YEAR((Tahmin!$C$4+70)),MONTH((Tahmin!$C$4+70)),MIN(DAY(Kalemler!$D75),DAY(EOMONTH((Tahmin!$C$4+70),0))))&gt;=Kalemler!$D75),AND(DATE(YEAR((Tahmin!$C$4+76)),MONTH((Tahmin!$C$4+76)),MIN(DAY(Kalemler!$D75),DAY(EOMONTH((Tahmin!$C$4+76),0))))&gt;=(Tahmin!$C$4+70),DATE(YEAR((Tahmin!$C$4+76)),MONTH((Tahmin!$C$4+76)),MIN(DAY(Kalemler!$D75),DAY(EOMONTH((Tahmin!$C$4+76),0))))&lt;=(Tahmin!$C$4+76),DATE(YEAR((Tahmin!$C$4+76)),MONTH((Tahmin!$C$4+76)),MIN(DAY(Kalemler!$D75),DAY(EOMONTH((Tahmin!$C$4+76),0))))&lt;&gt;DATE(YEAR((Tahmin!$C$4+70)),MONTH((Tahmin!$C$4+70)),MIN(DAY(Kalemler!$D75),DAY(EOMONTH((Tahmin!$C$4+70),0)))),DATE(YEAR((Tahmin!$C$4+76)),MONTH((Tahmin!$C$4+76)),MIN(DAY(Kalemler!$D75),DAY(EOMONTH((Tahmin!$C$4+76),0))))&gt;=Kalemler!$D75)),1,0),IF(AND(Kalemler!$D75&gt;=(Tahmin!$C$4+70),Kalemler!$D75&lt;=(Tahmin!$C$4+76)),1,0))))</f>
        <v>0</v>
      </c>
      <c r="M75" s="0" t="n">
        <f aca="false">IF(OR(Kalemler!$A75="",Kalemler!$C75="",Kalemler!$D75=""),0,Kalemler!$C75*IF(Kalemler!$E75="Haftalık",IF(Kalemler!$D75&lt;=(Tahmin!$C$4+83),1,0),IF(Kalemler!$E75="Aylık",IF(OR(AND(DATE(YEAR((Tahmin!$C$4+77)),MONTH((Tahmin!$C$4+77)),MIN(DAY(Kalemler!$D75),DAY(EOMONTH((Tahmin!$C$4+77),0))))&gt;=(Tahmin!$C$4+77),DATE(YEAR((Tahmin!$C$4+77)),MONTH((Tahmin!$C$4+77)),MIN(DAY(Kalemler!$D75),DAY(EOMONTH((Tahmin!$C$4+77),0))))&lt;=(Tahmin!$C$4+83),DATE(YEAR((Tahmin!$C$4+77)),MONTH((Tahmin!$C$4+77)),MIN(DAY(Kalemler!$D75),DAY(EOMONTH((Tahmin!$C$4+77),0))))&gt;=Kalemler!$D75),AND(DATE(YEAR((Tahmin!$C$4+83)),MONTH((Tahmin!$C$4+83)),MIN(DAY(Kalemler!$D75),DAY(EOMONTH((Tahmin!$C$4+83),0))))&gt;=(Tahmin!$C$4+77),DATE(YEAR((Tahmin!$C$4+83)),MONTH((Tahmin!$C$4+83)),MIN(DAY(Kalemler!$D75),DAY(EOMONTH((Tahmin!$C$4+83),0))))&lt;=(Tahmin!$C$4+83),DATE(YEAR((Tahmin!$C$4+83)),MONTH((Tahmin!$C$4+83)),MIN(DAY(Kalemler!$D75),DAY(EOMONTH((Tahmin!$C$4+83),0))))&lt;&gt;DATE(YEAR((Tahmin!$C$4+77)),MONTH((Tahmin!$C$4+77)),MIN(DAY(Kalemler!$D75),DAY(EOMONTH((Tahmin!$C$4+77),0)))),DATE(YEAR((Tahmin!$C$4+83)),MONTH((Tahmin!$C$4+83)),MIN(DAY(Kalemler!$D75),DAY(EOMONTH((Tahmin!$C$4+83),0))))&gt;=Kalemler!$D75)),1,0),IF(AND(Kalemler!$D75&gt;=(Tahmin!$C$4+77),Kalemler!$D75&lt;=(Tahmin!$C$4+83)),1,0))))</f>
        <v>0</v>
      </c>
      <c r="N75" s="0" t="n">
        <f aca="false">IF(OR(Kalemler!$A75="",Kalemler!$C75="",Kalemler!$D75=""),0,Kalemler!$C75*IF(Kalemler!$E75="Haftalık",IF(Kalemler!$D75&lt;=(Tahmin!$C$4+90),1,0),IF(Kalemler!$E75="Aylık",IF(OR(AND(DATE(YEAR((Tahmin!$C$4+84)),MONTH((Tahmin!$C$4+84)),MIN(DAY(Kalemler!$D75),DAY(EOMONTH((Tahmin!$C$4+84),0))))&gt;=(Tahmin!$C$4+84),DATE(YEAR((Tahmin!$C$4+84)),MONTH((Tahmin!$C$4+84)),MIN(DAY(Kalemler!$D75),DAY(EOMONTH((Tahmin!$C$4+84),0))))&lt;=(Tahmin!$C$4+90),DATE(YEAR((Tahmin!$C$4+84)),MONTH((Tahmin!$C$4+84)),MIN(DAY(Kalemler!$D75),DAY(EOMONTH((Tahmin!$C$4+84),0))))&gt;=Kalemler!$D75),AND(DATE(YEAR((Tahmin!$C$4+90)),MONTH((Tahmin!$C$4+90)),MIN(DAY(Kalemler!$D75),DAY(EOMONTH((Tahmin!$C$4+90),0))))&gt;=(Tahmin!$C$4+84),DATE(YEAR((Tahmin!$C$4+90)),MONTH((Tahmin!$C$4+90)),MIN(DAY(Kalemler!$D75),DAY(EOMONTH((Tahmin!$C$4+90),0))))&lt;=(Tahmin!$C$4+90),DATE(YEAR((Tahmin!$C$4+90)),MONTH((Tahmin!$C$4+90)),MIN(DAY(Kalemler!$D75),DAY(EOMONTH((Tahmin!$C$4+90),0))))&lt;&gt;DATE(YEAR((Tahmin!$C$4+84)),MONTH((Tahmin!$C$4+84)),MIN(DAY(Kalemler!$D75),DAY(EOMONTH((Tahmin!$C$4+84),0)))),DATE(YEAR((Tahmin!$C$4+90)),MONTH((Tahmin!$C$4+90)),MIN(DAY(Kalemler!$D75),DAY(EOMONTH((Tahmin!$C$4+90),0))))&gt;=Kalemler!$D75)),1,0),IF(AND(Kalemler!$D75&gt;=(Tahmin!$C$4+84),Kalemler!$D75&lt;=(Tahmin!$C$4+90)),1,0))))</f>
        <v>0</v>
      </c>
    </row>
    <row r="76" customFormat="false" ht="15" hidden="false" customHeight="false" outlineLevel="0" collapsed="false">
      <c r="A76" s="0" t="str">
        <f aca="false">IF(Kalemler!A76="","",Kalemler!A76)</f>
        <v/>
      </c>
      <c r="B76" s="0" t="n">
        <f aca="false">IF(OR(Kalemler!$A76="",Kalemler!$C76="",Kalemler!$D76=""),0,Kalemler!$C76*IF(Kalemler!$E76="Haftalık",IF(Kalemler!$D76&lt;=(Tahmin!$C$4+6),1,0),IF(Kalemler!$E76="Aylık",IF(OR(AND(DATE(YEAR((Tahmin!$C$4+0)),MONTH((Tahmin!$C$4+0)),MIN(DAY(Kalemler!$D76),DAY(EOMONTH((Tahmin!$C$4+0),0))))&gt;=(Tahmin!$C$4+0),DATE(YEAR((Tahmin!$C$4+0)),MONTH((Tahmin!$C$4+0)),MIN(DAY(Kalemler!$D76),DAY(EOMONTH((Tahmin!$C$4+0),0))))&lt;=(Tahmin!$C$4+6),DATE(YEAR((Tahmin!$C$4+0)),MONTH((Tahmin!$C$4+0)),MIN(DAY(Kalemler!$D76),DAY(EOMONTH((Tahmin!$C$4+0),0))))&gt;=Kalemler!$D76),AND(DATE(YEAR((Tahmin!$C$4+6)),MONTH((Tahmin!$C$4+6)),MIN(DAY(Kalemler!$D76),DAY(EOMONTH((Tahmin!$C$4+6),0))))&gt;=(Tahmin!$C$4+0),DATE(YEAR((Tahmin!$C$4+6)),MONTH((Tahmin!$C$4+6)),MIN(DAY(Kalemler!$D76),DAY(EOMONTH((Tahmin!$C$4+6),0))))&lt;=(Tahmin!$C$4+6),DATE(YEAR((Tahmin!$C$4+6)),MONTH((Tahmin!$C$4+6)),MIN(DAY(Kalemler!$D76),DAY(EOMONTH((Tahmin!$C$4+6),0))))&lt;&gt;DATE(YEAR((Tahmin!$C$4+0)),MONTH((Tahmin!$C$4+0)),MIN(DAY(Kalemler!$D76),DAY(EOMONTH((Tahmin!$C$4+0),0)))),DATE(YEAR((Tahmin!$C$4+6)),MONTH((Tahmin!$C$4+6)),MIN(DAY(Kalemler!$D76),DAY(EOMONTH((Tahmin!$C$4+6),0))))&gt;=Kalemler!$D76)),1,0),IF(AND(Kalemler!$D76&gt;=(Tahmin!$C$4+0),Kalemler!$D76&lt;=(Tahmin!$C$4+6)),1,0))))</f>
        <v>0</v>
      </c>
      <c r="C76" s="0" t="n">
        <f aca="false">IF(OR(Kalemler!$A76="",Kalemler!$C76="",Kalemler!$D76=""),0,Kalemler!$C76*IF(Kalemler!$E76="Haftalık",IF(Kalemler!$D76&lt;=(Tahmin!$C$4+13),1,0),IF(Kalemler!$E76="Aylık",IF(OR(AND(DATE(YEAR((Tahmin!$C$4+7)),MONTH((Tahmin!$C$4+7)),MIN(DAY(Kalemler!$D76),DAY(EOMONTH((Tahmin!$C$4+7),0))))&gt;=(Tahmin!$C$4+7),DATE(YEAR((Tahmin!$C$4+7)),MONTH((Tahmin!$C$4+7)),MIN(DAY(Kalemler!$D76),DAY(EOMONTH((Tahmin!$C$4+7),0))))&lt;=(Tahmin!$C$4+13),DATE(YEAR((Tahmin!$C$4+7)),MONTH((Tahmin!$C$4+7)),MIN(DAY(Kalemler!$D76),DAY(EOMONTH((Tahmin!$C$4+7),0))))&gt;=Kalemler!$D76),AND(DATE(YEAR((Tahmin!$C$4+13)),MONTH((Tahmin!$C$4+13)),MIN(DAY(Kalemler!$D76),DAY(EOMONTH((Tahmin!$C$4+13),0))))&gt;=(Tahmin!$C$4+7),DATE(YEAR((Tahmin!$C$4+13)),MONTH((Tahmin!$C$4+13)),MIN(DAY(Kalemler!$D76),DAY(EOMONTH((Tahmin!$C$4+13),0))))&lt;=(Tahmin!$C$4+13),DATE(YEAR((Tahmin!$C$4+13)),MONTH((Tahmin!$C$4+13)),MIN(DAY(Kalemler!$D76),DAY(EOMONTH((Tahmin!$C$4+13),0))))&lt;&gt;DATE(YEAR((Tahmin!$C$4+7)),MONTH((Tahmin!$C$4+7)),MIN(DAY(Kalemler!$D76),DAY(EOMONTH((Tahmin!$C$4+7),0)))),DATE(YEAR((Tahmin!$C$4+13)),MONTH((Tahmin!$C$4+13)),MIN(DAY(Kalemler!$D76),DAY(EOMONTH((Tahmin!$C$4+13),0))))&gt;=Kalemler!$D76)),1,0),IF(AND(Kalemler!$D76&gt;=(Tahmin!$C$4+7),Kalemler!$D76&lt;=(Tahmin!$C$4+13)),1,0))))</f>
        <v>0</v>
      </c>
      <c r="D76" s="0" t="n">
        <f aca="false">IF(OR(Kalemler!$A76="",Kalemler!$C76="",Kalemler!$D76=""),0,Kalemler!$C76*IF(Kalemler!$E76="Haftalık",IF(Kalemler!$D76&lt;=(Tahmin!$C$4+20),1,0),IF(Kalemler!$E76="Aylık",IF(OR(AND(DATE(YEAR((Tahmin!$C$4+14)),MONTH((Tahmin!$C$4+14)),MIN(DAY(Kalemler!$D76),DAY(EOMONTH((Tahmin!$C$4+14),0))))&gt;=(Tahmin!$C$4+14),DATE(YEAR((Tahmin!$C$4+14)),MONTH((Tahmin!$C$4+14)),MIN(DAY(Kalemler!$D76),DAY(EOMONTH((Tahmin!$C$4+14),0))))&lt;=(Tahmin!$C$4+20),DATE(YEAR((Tahmin!$C$4+14)),MONTH((Tahmin!$C$4+14)),MIN(DAY(Kalemler!$D76),DAY(EOMONTH((Tahmin!$C$4+14),0))))&gt;=Kalemler!$D76),AND(DATE(YEAR((Tahmin!$C$4+20)),MONTH((Tahmin!$C$4+20)),MIN(DAY(Kalemler!$D76),DAY(EOMONTH((Tahmin!$C$4+20),0))))&gt;=(Tahmin!$C$4+14),DATE(YEAR((Tahmin!$C$4+20)),MONTH((Tahmin!$C$4+20)),MIN(DAY(Kalemler!$D76),DAY(EOMONTH((Tahmin!$C$4+20),0))))&lt;=(Tahmin!$C$4+20),DATE(YEAR((Tahmin!$C$4+20)),MONTH((Tahmin!$C$4+20)),MIN(DAY(Kalemler!$D76),DAY(EOMONTH((Tahmin!$C$4+20),0))))&lt;&gt;DATE(YEAR((Tahmin!$C$4+14)),MONTH((Tahmin!$C$4+14)),MIN(DAY(Kalemler!$D76),DAY(EOMONTH((Tahmin!$C$4+14),0)))),DATE(YEAR((Tahmin!$C$4+20)),MONTH((Tahmin!$C$4+20)),MIN(DAY(Kalemler!$D76),DAY(EOMONTH((Tahmin!$C$4+20),0))))&gt;=Kalemler!$D76)),1,0),IF(AND(Kalemler!$D76&gt;=(Tahmin!$C$4+14),Kalemler!$D76&lt;=(Tahmin!$C$4+20)),1,0))))</f>
        <v>0</v>
      </c>
      <c r="E76" s="0" t="n">
        <f aca="false">IF(OR(Kalemler!$A76="",Kalemler!$C76="",Kalemler!$D76=""),0,Kalemler!$C76*IF(Kalemler!$E76="Haftalık",IF(Kalemler!$D76&lt;=(Tahmin!$C$4+27),1,0),IF(Kalemler!$E76="Aylık",IF(OR(AND(DATE(YEAR((Tahmin!$C$4+21)),MONTH((Tahmin!$C$4+21)),MIN(DAY(Kalemler!$D76),DAY(EOMONTH((Tahmin!$C$4+21),0))))&gt;=(Tahmin!$C$4+21),DATE(YEAR((Tahmin!$C$4+21)),MONTH((Tahmin!$C$4+21)),MIN(DAY(Kalemler!$D76),DAY(EOMONTH((Tahmin!$C$4+21),0))))&lt;=(Tahmin!$C$4+27),DATE(YEAR((Tahmin!$C$4+21)),MONTH((Tahmin!$C$4+21)),MIN(DAY(Kalemler!$D76),DAY(EOMONTH((Tahmin!$C$4+21),0))))&gt;=Kalemler!$D76),AND(DATE(YEAR((Tahmin!$C$4+27)),MONTH((Tahmin!$C$4+27)),MIN(DAY(Kalemler!$D76),DAY(EOMONTH((Tahmin!$C$4+27),0))))&gt;=(Tahmin!$C$4+21),DATE(YEAR((Tahmin!$C$4+27)),MONTH((Tahmin!$C$4+27)),MIN(DAY(Kalemler!$D76),DAY(EOMONTH((Tahmin!$C$4+27),0))))&lt;=(Tahmin!$C$4+27),DATE(YEAR((Tahmin!$C$4+27)),MONTH((Tahmin!$C$4+27)),MIN(DAY(Kalemler!$D76),DAY(EOMONTH((Tahmin!$C$4+27),0))))&lt;&gt;DATE(YEAR((Tahmin!$C$4+21)),MONTH((Tahmin!$C$4+21)),MIN(DAY(Kalemler!$D76),DAY(EOMONTH((Tahmin!$C$4+21),0)))),DATE(YEAR((Tahmin!$C$4+27)),MONTH((Tahmin!$C$4+27)),MIN(DAY(Kalemler!$D76),DAY(EOMONTH((Tahmin!$C$4+27),0))))&gt;=Kalemler!$D76)),1,0),IF(AND(Kalemler!$D76&gt;=(Tahmin!$C$4+21),Kalemler!$D76&lt;=(Tahmin!$C$4+27)),1,0))))</f>
        <v>0</v>
      </c>
      <c r="F76" s="0" t="n">
        <f aca="false">IF(OR(Kalemler!$A76="",Kalemler!$C76="",Kalemler!$D76=""),0,Kalemler!$C76*IF(Kalemler!$E76="Haftalık",IF(Kalemler!$D76&lt;=(Tahmin!$C$4+34),1,0),IF(Kalemler!$E76="Aylık",IF(OR(AND(DATE(YEAR((Tahmin!$C$4+28)),MONTH((Tahmin!$C$4+28)),MIN(DAY(Kalemler!$D76),DAY(EOMONTH((Tahmin!$C$4+28),0))))&gt;=(Tahmin!$C$4+28),DATE(YEAR((Tahmin!$C$4+28)),MONTH((Tahmin!$C$4+28)),MIN(DAY(Kalemler!$D76),DAY(EOMONTH((Tahmin!$C$4+28),0))))&lt;=(Tahmin!$C$4+34),DATE(YEAR((Tahmin!$C$4+28)),MONTH((Tahmin!$C$4+28)),MIN(DAY(Kalemler!$D76),DAY(EOMONTH((Tahmin!$C$4+28),0))))&gt;=Kalemler!$D76),AND(DATE(YEAR((Tahmin!$C$4+34)),MONTH((Tahmin!$C$4+34)),MIN(DAY(Kalemler!$D76),DAY(EOMONTH((Tahmin!$C$4+34),0))))&gt;=(Tahmin!$C$4+28),DATE(YEAR((Tahmin!$C$4+34)),MONTH((Tahmin!$C$4+34)),MIN(DAY(Kalemler!$D76),DAY(EOMONTH((Tahmin!$C$4+34),0))))&lt;=(Tahmin!$C$4+34),DATE(YEAR((Tahmin!$C$4+34)),MONTH((Tahmin!$C$4+34)),MIN(DAY(Kalemler!$D76),DAY(EOMONTH((Tahmin!$C$4+34),0))))&lt;&gt;DATE(YEAR((Tahmin!$C$4+28)),MONTH((Tahmin!$C$4+28)),MIN(DAY(Kalemler!$D76),DAY(EOMONTH((Tahmin!$C$4+28),0)))),DATE(YEAR((Tahmin!$C$4+34)),MONTH((Tahmin!$C$4+34)),MIN(DAY(Kalemler!$D76),DAY(EOMONTH((Tahmin!$C$4+34),0))))&gt;=Kalemler!$D76)),1,0),IF(AND(Kalemler!$D76&gt;=(Tahmin!$C$4+28),Kalemler!$D76&lt;=(Tahmin!$C$4+34)),1,0))))</f>
        <v>0</v>
      </c>
      <c r="G76" s="0" t="n">
        <f aca="false">IF(OR(Kalemler!$A76="",Kalemler!$C76="",Kalemler!$D76=""),0,Kalemler!$C76*IF(Kalemler!$E76="Haftalık",IF(Kalemler!$D76&lt;=(Tahmin!$C$4+41),1,0),IF(Kalemler!$E76="Aylık",IF(OR(AND(DATE(YEAR((Tahmin!$C$4+35)),MONTH((Tahmin!$C$4+35)),MIN(DAY(Kalemler!$D76),DAY(EOMONTH((Tahmin!$C$4+35),0))))&gt;=(Tahmin!$C$4+35),DATE(YEAR((Tahmin!$C$4+35)),MONTH((Tahmin!$C$4+35)),MIN(DAY(Kalemler!$D76),DAY(EOMONTH((Tahmin!$C$4+35),0))))&lt;=(Tahmin!$C$4+41),DATE(YEAR((Tahmin!$C$4+35)),MONTH((Tahmin!$C$4+35)),MIN(DAY(Kalemler!$D76),DAY(EOMONTH((Tahmin!$C$4+35),0))))&gt;=Kalemler!$D76),AND(DATE(YEAR((Tahmin!$C$4+41)),MONTH((Tahmin!$C$4+41)),MIN(DAY(Kalemler!$D76),DAY(EOMONTH((Tahmin!$C$4+41),0))))&gt;=(Tahmin!$C$4+35),DATE(YEAR((Tahmin!$C$4+41)),MONTH((Tahmin!$C$4+41)),MIN(DAY(Kalemler!$D76),DAY(EOMONTH((Tahmin!$C$4+41),0))))&lt;=(Tahmin!$C$4+41),DATE(YEAR((Tahmin!$C$4+41)),MONTH((Tahmin!$C$4+41)),MIN(DAY(Kalemler!$D76),DAY(EOMONTH((Tahmin!$C$4+41),0))))&lt;&gt;DATE(YEAR((Tahmin!$C$4+35)),MONTH((Tahmin!$C$4+35)),MIN(DAY(Kalemler!$D76),DAY(EOMONTH((Tahmin!$C$4+35),0)))),DATE(YEAR((Tahmin!$C$4+41)),MONTH((Tahmin!$C$4+41)),MIN(DAY(Kalemler!$D76),DAY(EOMONTH((Tahmin!$C$4+41),0))))&gt;=Kalemler!$D76)),1,0),IF(AND(Kalemler!$D76&gt;=(Tahmin!$C$4+35),Kalemler!$D76&lt;=(Tahmin!$C$4+41)),1,0))))</f>
        <v>0</v>
      </c>
      <c r="H76" s="0" t="n">
        <f aca="false">IF(OR(Kalemler!$A76="",Kalemler!$C76="",Kalemler!$D76=""),0,Kalemler!$C76*IF(Kalemler!$E76="Haftalık",IF(Kalemler!$D76&lt;=(Tahmin!$C$4+48),1,0),IF(Kalemler!$E76="Aylık",IF(OR(AND(DATE(YEAR((Tahmin!$C$4+42)),MONTH((Tahmin!$C$4+42)),MIN(DAY(Kalemler!$D76),DAY(EOMONTH((Tahmin!$C$4+42),0))))&gt;=(Tahmin!$C$4+42),DATE(YEAR((Tahmin!$C$4+42)),MONTH((Tahmin!$C$4+42)),MIN(DAY(Kalemler!$D76),DAY(EOMONTH((Tahmin!$C$4+42),0))))&lt;=(Tahmin!$C$4+48),DATE(YEAR((Tahmin!$C$4+42)),MONTH((Tahmin!$C$4+42)),MIN(DAY(Kalemler!$D76),DAY(EOMONTH((Tahmin!$C$4+42),0))))&gt;=Kalemler!$D76),AND(DATE(YEAR((Tahmin!$C$4+48)),MONTH((Tahmin!$C$4+48)),MIN(DAY(Kalemler!$D76),DAY(EOMONTH((Tahmin!$C$4+48),0))))&gt;=(Tahmin!$C$4+42),DATE(YEAR((Tahmin!$C$4+48)),MONTH((Tahmin!$C$4+48)),MIN(DAY(Kalemler!$D76),DAY(EOMONTH((Tahmin!$C$4+48),0))))&lt;=(Tahmin!$C$4+48),DATE(YEAR((Tahmin!$C$4+48)),MONTH((Tahmin!$C$4+48)),MIN(DAY(Kalemler!$D76),DAY(EOMONTH((Tahmin!$C$4+48),0))))&lt;&gt;DATE(YEAR((Tahmin!$C$4+42)),MONTH((Tahmin!$C$4+42)),MIN(DAY(Kalemler!$D76),DAY(EOMONTH((Tahmin!$C$4+42),0)))),DATE(YEAR((Tahmin!$C$4+48)),MONTH((Tahmin!$C$4+48)),MIN(DAY(Kalemler!$D76),DAY(EOMONTH((Tahmin!$C$4+48),0))))&gt;=Kalemler!$D76)),1,0),IF(AND(Kalemler!$D76&gt;=(Tahmin!$C$4+42),Kalemler!$D76&lt;=(Tahmin!$C$4+48)),1,0))))</f>
        <v>0</v>
      </c>
      <c r="I76" s="0" t="n">
        <f aca="false">IF(OR(Kalemler!$A76="",Kalemler!$C76="",Kalemler!$D76=""),0,Kalemler!$C76*IF(Kalemler!$E76="Haftalık",IF(Kalemler!$D76&lt;=(Tahmin!$C$4+55),1,0),IF(Kalemler!$E76="Aylık",IF(OR(AND(DATE(YEAR((Tahmin!$C$4+49)),MONTH((Tahmin!$C$4+49)),MIN(DAY(Kalemler!$D76),DAY(EOMONTH((Tahmin!$C$4+49),0))))&gt;=(Tahmin!$C$4+49),DATE(YEAR((Tahmin!$C$4+49)),MONTH((Tahmin!$C$4+49)),MIN(DAY(Kalemler!$D76),DAY(EOMONTH((Tahmin!$C$4+49),0))))&lt;=(Tahmin!$C$4+55),DATE(YEAR((Tahmin!$C$4+49)),MONTH((Tahmin!$C$4+49)),MIN(DAY(Kalemler!$D76),DAY(EOMONTH((Tahmin!$C$4+49),0))))&gt;=Kalemler!$D76),AND(DATE(YEAR((Tahmin!$C$4+55)),MONTH((Tahmin!$C$4+55)),MIN(DAY(Kalemler!$D76),DAY(EOMONTH((Tahmin!$C$4+55),0))))&gt;=(Tahmin!$C$4+49),DATE(YEAR((Tahmin!$C$4+55)),MONTH((Tahmin!$C$4+55)),MIN(DAY(Kalemler!$D76),DAY(EOMONTH((Tahmin!$C$4+55),0))))&lt;=(Tahmin!$C$4+55),DATE(YEAR((Tahmin!$C$4+55)),MONTH((Tahmin!$C$4+55)),MIN(DAY(Kalemler!$D76),DAY(EOMONTH((Tahmin!$C$4+55),0))))&lt;&gt;DATE(YEAR((Tahmin!$C$4+49)),MONTH((Tahmin!$C$4+49)),MIN(DAY(Kalemler!$D76),DAY(EOMONTH((Tahmin!$C$4+49),0)))),DATE(YEAR((Tahmin!$C$4+55)),MONTH((Tahmin!$C$4+55)),MIN(DAY(Kalemler!$D76),DAY(EOMONTH((Tahmin!$C$4+55),0))))&gt;=Kalemler!$D76)),1,0),IF(AND(Kalemler!$D76&gt;=(Tahmin!$C$4+49),Kalemler!$D76&lt;=(Tahmin!$C$4+55)),1,0))))</f>
        <v>0</v>
      </c>
      <c r="J76" s="0" t="n">
        <f aca="false">IF(OR(Kalemler!$A76="",Kalemler!$C76="",Kalemler!$D76=""),0,Kalemler!$C76*IF(Kalemler!$E76="Haftalık",IF(Kalemler!$D76&lt;=(Tahmin!$C$4+62),1,0),IF(Kalemler!$E76="Aylık",IF(OR(AND(DATE(YEAR((Tahmin!$C$4+56)),MONTH((Tahmin!$C$4+56)),MIN(DAY(Kalemler!$D76),DAY(EOMONTH((Tahmin!$C$4+56),0))))&gt;=(Tahmin!$C$4+56),DATE(YEAR((Tahmin!$C$4+56)),MONTH((Tahmin!$C$4+56)),MIN(DAY(Kalemler!$D76),DAY(EOMONTH((Tahmin!$C$4+56),0))))&lt;=(Tahmin!$C$4+62),DATE(YEAR((Tahmin!$C$4+56)),MONTH((Tahmin!$C$4+56)),MIN(DAY(Kalemler!$D76),DAY(EOMONTH((Tahmin!$C$4+56),0))))&gt;=Kalemler!$D76),AND(DATE(YEAR((Tahmin!$C$4+62)),MONTH((Tahmin!$C$4+62)),MIN(DAY(Kalemler!$D76),DAY(EOMONTH((Tahmin!$C$4+62),0))))&gt;=(Tahmin!$C$4+56),DATE(YEAR((Tahmin!$C$4+62)),MONTH((Tahmin!$C$4+62)),MIN(DAY(Kalemler!$D76),DAY(EOMONTH((Tahmin!$C$4+62),0))))&lt;=(Tahmin!$C$4+62),DATE(YEAR((Tahmin!$C$4+62)),MONTH((Tahmin!$C$4+62)),MIN(DAY(Kalemler!$D76),DAY(EOMONTH((Tahmin!$C$4+62),0))))&lt;&gt;DATE(YEAR((Tahmin!$C$4+56)),MONTH((Tahmin!$C$4+56)),MIN(DAY(Kalemler!$D76),DAY(EOMONTH((Tahmin!$C$4+56),0)))),DATE(YEAR((Tahmin!$C$4+62)),MONTH((Tahmin!$C$4+62)),MIN(DAY(Kalemler!$D76),DAY(EOMONTH((Tahmin!$C$4+62),0))))&gt;=Kalemler!$D76)),1,0),IF(AND(Kalemler!$D76&gt;=(Tahmin!$C$4+56),Kalemler!$D76&lt;=(Tahmin!$C$4+62)),1,0))))</f>
        <v>0</v>
      </c>
      <c r="K76" s="0" t="n">
        <f aca="false">IF(OR(Kalemler!$A76="",Kalemler!$C76="",Kalemler!$D76=""),0,Kalemler!$C76*IF(Kalemler!$E76="Haftalık",IF(Kalemler!$D76&lt;=(Tahmin!$C$4+69),1,0),IF(Kalemler!$E76="Aylık",IF(OR(AND(DATE(YEAR((Tahmin!$C$4+63)),MONTH((Tahmin!$C$4+63)),MIN(DAY(Kalemler!$D76),DAY(EOMONTH((Tahmin!$C$4+63),0))))&gt;=(Tahmin!$C$4+63),DATE(YEAR((Tahmin!$C$4+63)),MONTH((Tahmin!$C$4+63)),MIN(DAY(Kalemler!$D76),DAY(EOMONTH((Tahmin!$C$4+63),0))))&lt;=(Tahmin!$C$4+69),DATE(YEAR((Tahmin!$C$4+63)),MONTH((Tahmin!$C$4+63)),MIN(DAY(Kalemler!$D76),DAY(EOMONTH((Tahmin!$C$4+63),0))))&gt;=Kalemler!$D76),AND(DATE(YEAR((Tahmin!$C$4+69)),MONTH((Tahmin!$C$4+69)),MIN(DAY(Kalemler!$D76),DAY(EOMONTH((Tahmin!$C$4+69),0))))&gt;=(Tahmin!$C$4+63),DATE(YEAR((Tahmin!$C$4+69)),MONTH((Tahmin!$C$4+69)),MIN(DAY(Kalemler!$D76),DAY(EOMONTH((Tahmin!$C$4+69),0))))&lt;=(Tahmin!$C$4+69),DATE(YEAR((Tahmin!$C$4+69)),MONTH((Tahmin!$C$4+69)),MIN(DAY(Kalemler!$D76),DAY(EOMONTH((Tahmin!$C$4+69),0))))&lt;&gt;DATE(YEAR((Tahmin!$C$4+63)),MONTH((Tahmin!$C$4+63)),MIN(DAY(Kalemler!$D76),DAY(EOMONTH((Tahmin!$C$4+63),0)))),DATE(YEAR((Tahmin!$C$4+69)),MONTH((Tahmin!$C$4+69)),MIN(DAY(Kalemler!$D76),DAY(EOMONTH((Tahmin!$C$4+69),0))))&gt;=Kalemler!$D76)),1,0),IF(AND(Kalemler!$D76&gt;=(Tahmin!$C$4+63),Kalemler!$D76&lt;=(Tahmin!$C$4+69)),1,0))))</f>
        <v>0</v>
      </c>
      <c r="L76" s="0" t="n">
        <f aca="false">IF(OR(Kalemler!$A76="",Kalemler!$C76="",Kalemler!$D76=""),0,Kalemler!$C76*IF(Kalemler!$E76="Haftalık",IF(Kalemler!$D76&lt;=(Tahmin!$C$4+76),1,0),IF(Kalemler!$E76="Aylık",IF(OR(AND(DATE(YEAR((Tahmin!$C$4+70)),MONTH((Tahmin!$C$4+70)),MIN(DAY(Kalemler!$D76),DAY(EOMONTH((Tahmin!$C$4+70),0))))&gt;=(Tahmin!$C$4+70),DATE(YEAR((Tahmin!$C$4+70)),MONTH((Tahmin!$C$4+70)),MIN(DAY(Kalemler!$D76),DAY(EOMONTH((Tahmin!$C$4+70),0))))&lt;=(Tahmin!$C$4+76),DATE(YEAR((Tahmin!$C$4+70)),MONTH((Tahmin!$C$4+70)),MIN(DAY(Kalemler!$D76),DAY(EOMONTH((Tahmin!$C$4+70),0))))&gt;=Kalemler!$D76),AND(DATE(YEAR((Tahmin!$C$4+76)),MONTH((Tahmin!$C$4+76)),MIN(DAY(Kalemler!$D76),DAY(EOMONTH((Tahmin!$C$4+76),0))))&gt;=(Tahmin!$C$4+70),DATE(YEAR((Tahmin!$C$4+76)),MONTH((Tahmin!$C$4+76)),MIN(DAY(Kalemler!$D76),DAY(EOMONTH((Tahmin!$C$4+76),0))))&lt;=(Tahmin!$C$4+76),DATE(YEAR((Tahmin!$C$4+76)),MONTH((Tahmin!$C$4+76)),MIN(DAY(Kalemler!$D76),DAY(EOMONTH((Tahmin!$C$4+76),0))))&lt;&gt;DATE(YEAR((Tahmin!$C$4+70)),MONTH((Tahmin!$C$4+70)),MIN(DAY(Kalemler!$D76),DAY(EOMONTH((Tahmin!$C$4+70),0)))),DATE(YEAR((Tahmin!$C$4+76)),MONTH((Tahmin!$C$4+76)),MIN(DAY(Kalemler!$D76),DAY(EOMONTH((Tahmin!$C$4+76),0))))&gt;=Kalemler!$D76)),1,0),IF(AND(Kalemler!$D76&gt;=(Tahmin!$C$4+70),Kalemler!$D76&lt;=(Tahmin!$C$4+76)),1,0))))</f>
        <v>0</v>
      </c>
      <c r="M76" s="0" t="n">
        <f aca="false">IF(OR(Kalemler!$A76="",Kalemler!$C76="",Kalemler!$D76=""),0,Kalemler!$C76*IF(Kalemler!$E76="Haftalık",IF(Kalemler!$D76&lt;=(Tahmin!$C$4+83),1,0),IF(Kalemler!$E76="Aylık",IF(OR(AND(DATE(YEAR((Tahmin!$C$4+77)),MONTH((Tahmin!$C$4+77)),MIN(DAY(Kalemler!$D76),DAY(EOMONTH((Tahmin!$C$4+77),0))))&gt;=(Tahmin!$C$4+77),DATE(YEAR((Tahmin!$C$4+77)),MONTH((Tahmin!$C$4+77)),MIN(DAY(Kalemler!$D76),DAY(EOMONTH((Tahmin!$C$4+77),0))))&lt;=(Tahmin!$C$4+83),DATE(YEAR((Tahmin!$C$4+77)),MONTH((Tahmin!$C$4+77)),MIN(DAY(Kalemler!$D76),DAY(EOMONTH((Tahmin!$C$4+77),0))))&gt;=Kalemler!$D76),AND(DATE(YEAR((Tahmin!$C$4+83)),MONTH((Tahmin!$C$4+83)),MIN(DAY(Kalemler!$D76),DAY(EOMONTH((Tahmin!$C$4+83),0))))&gt;=(Tahmin!$C$4+77),DATE(YEAR((Tahmin!$C$4+83)),MONTH((Tahmin!$C$4+83)),MIN(DAY(Kalemler!$D76),DAY(EOMONTH((Tahmin!$C$4+83),0))))&lt;=(Tahmin!$C$4+83),DATE(YEAR((Tahmin!$C$4+83)),MONTH((Tahmin!$C$4+83)),MIN(DAY(Kalemler!$D76),DAY(EOMONTH((Tahmin!$C$4+83),0))))&lt;&gt;DATE(YEAR((Tahmin!$C$4+77)),MONTH((Tahmin!$C$4+77)),MIN(DAY(Kalemler!$D76),DAY(EOMONTH((Tahmin!$C$4+77),0)))),DATE(YEAR((Tahmin!$C$4+83)),MONTH((Tahmin!$C$4+83)),MIN(DAY(Kalemler!$D76),DAY(EOMONTH((Tahmin!$C$4+83),0))))&gt;=Kalemler!$D76)),1,0),IF(AND(Kalemler!$D76&gt;=(Tahmin!$C$4+77),Kalemler!$D76&lt;=(Tahmin!$C$4+83)),1,0))))</f>
        <v>0</v>
      </c>
      <c r="N76" s="0" t="n">
        <f aca="false">IF(OR(Kalemler!$A76="",Kalemler!$C76="",Kalemler!$D76=""),0,Kalemler!$C76*IF(Kalemler!$E76="Haftalık",IF(Kalemler!$D76&lt;=(Tahmin!$C$4+90),1,0),IF(Kalemler!$E76="Aylık",IF(OR(AND(DATE(YEAR((Tahmin!$C$4+84)),MONTH((Tahmin!$C$4+84)),MIN(DAY(Kalemler!$D76),DAY(EOMONTH((Tahmin!$C$4+84),0))))&gt;=(Tahmin!$C$4+84),DATE(YEAR((Tahmin!$C$4+84)),MONTH((Tahmin!$C$4+84)),MIN(DAY(Kalemler!$D76),DAY(EOMONTH((Tahmin!$C$4+84),0))))&lt;=(Tahmin!$C$4+90),DATE(YEAR((Tahmin!$C$4+84)),MONTH((Tahmin!$C$4+84)),MIN(DAY(Kalemler!$D76),DAY(EOMONTH((Tahmin!$C$4+84),0))))&gt;=Kalemler!$D76),AND(DATE(YEAR((Tahmin!$C$4+90)),MONTH((Tahmin!$C$4+90)),MIN(DAY(Kalemler!$D76),DAY(EOMONTH((Tahmin!$C$4+90),0))))&gt;=(Tahmin!$C$4+84),DATE(YEAR((Tahmin!$C$4+90)),MONTH((Tahmin!$C$4+90)),MIN(DAY(Kalemler!$D76),DAY(EOMONTH((Tahmin!$C$4+90),0))))&lt;=(Tahmin!$C$4+90),DATE(YEAR((Tahmin!$C$4+90)),MONTH((Tahmin!$C$4+90)),MIN(DAY(Kalemler!$D76),DAY(EOMONTH((Tahmin!$C$4+90),0))))&lt;&gt;DATE(YEAR((Tahmin!$C$4+84)),MONTH((Tahmin!$C$4+84)),MIN(DAY(Kalemler!$D76),DAY(EOMONTH((Tahmin!$C$4+84),0)))),DATE(YEAR((Tahmin!$C$4+90)),MONTH((Tahmin!$C$4+90)),MIN(DAY(Kalemler!$D76),DAY(EOMONTH((Tahmin!$C$4+90),0))))&gt;=Kalemler!$D76)),1,0),IF(AND(Kalemler!$D76&gt;=(Tahmin!$C$4+84),Kalemler!$D76&lt;=(Tahmin!$C$4+90)),1,0))))</f>
        <v>0</v>
      </c>
    </row>
    <row r="77" customFormat="false" ht="15" hidden="false" customHeight="false" outlineLevel="0" collapsed="false">
      <c r="A77" s="0" t="str">
        <f aca="false">IF(Kalemler!A77="","",Kalemler!A77)</f>
        <v/>
      </c>
      <c r="B77" s="0" t="n">
        <f aca="false">IF(OR(Kalemler!$A77="",Kalemler!$C77="",Kalemler!$D77=""),0,Kalemler!$C77*IF(Kalemler!$E77="Haftalık",IF(Kalemler!$D77&lt;=(Tahmin!$C$4+6),1,0),IF(Kalemler!$E77="Aylık",IF(OR(AND(DATE(YEAR((Tahmin!$C$4+0)),MONTH((Tahmin!$C$4+0)),MIN(DAY(Kalemler!$D77),DAY(EOMONTH((Tahmin!$C$4+0),0))))&gt;=(Tahmin!$C$4+0),DATE(YEAR((Tahmin!$C$4+0)),MONTH((Tahmin!$C$4+0)),MIN(DAY(Kalemler!$D77),DAY(EOMONTH((Tahmin!$C$4+0),0))))&lt;=(Tahmin!$C$4+6),DATE(YEAR((Tahmin!$C$4+0)),MONTH((Tahmin!$C$4+0)),MIN(DAY(Kalemler!$D77),DAY(EOMONTH((Tahmin!$C$4+0),0))))&gt;=Kalemler!$D77),AND(DATE(YEAR((Tahmin!$C$4+6)),MONTH((Tahmin!$C$4+6)),MIN(DAY(Kalemler!$D77),DAY(EOMONTH((Tahmin!$C$4+6),0))))&gt;=(Tahmin!$C$4+0),DATE(YEAR((Tahmin!$C$4+6)),MONTH((Tahmin!$C$4+6)),MIN(DAY(Kalemler!$D77),DAY(EOMONTH((Tahmin!$C$4+6),0))))&lt;=(Tahmin!$C$4+6),DATE(YEAR((Tahmin!$C$4+6)),MONTH((Tahmin!$C$4+6)),MIN(DAY(Kalemler!$D77),DAY(EOMONTH((Tahmin!$C$4+6),0))))&lt;&gt;DATE(YEAR((Tahmin!$C$4+0)),MONTH((Tahmin!$C$4+0)),MIN(DAY(Kalemler!$D77),DAY(EOMONTH((Tahmin!$C$4+0),0)))),DATE(YEAR((Tahmin!$C$4+6)),MONTH((Tahmin!$C$4+6)),MIN(DAY(Kalemler!$D77),DAY(EOMONTH((Tahmin!$C$4+6),0))))&gt;=Kalemler!$D77)),1,0),IF(AND(Kalemler!$D77&gt;=(Tahmin!$C$4+0),Kalemler!$D77&lt;=(Tahmin!$C$4+6)),1,0))))</f>
        <v>0</v>
      </c>
      <c r="C77" s="0" t="n">
        <f aca="false">IF(OR(Kalemler!$A77="",Kalemler!$C77="",Kalemler!$D77=""),0,Kalemler!$C77*IF(Kalemler!$E77="Haftalık",IF(Kalemler!$D77&lt;=(Tahmin!$C$4+13),1,0),IF(Kalemler!$E77="Aylık",IF(OR(AND(DATE(YEAR((Tahmin!$C$4+7)),MONTH((Tahmin!$C$4+7)),MIN(DAY(Kalemler!$D77),DAY(EOMONTH((Tahmin!$C$4+7),0))))&gt;=(Tahmin!$C$4+7),DATE(YEAR((Tahmin!$C$4+7)),MONTH((Tahmin!$C$4+7)),MIN(DAY(Kalemler!$D77),DAY(EOMONTH((Tahmin!$C$4+7),0))))&lt;=(Tahmin!$C$4+13),DATE(YEAR((Tahmin!$C$4+7)),MONTH((Tahmin!$C$4+7)),MIN(DAY(Kalemler!$D77),DAY(EOMONTH((Tahmin!$C$4+7),0))))&gt;=Kalemler!$D77),AND(DATE(YEAR((Tahmin!$C$4+13)),MONTH((Tahmin!$C$4+13)),MIN(DAY(Kalemler!$D77),DAY(EOMONTH((Tahmin!$C$4+13),0))))&gt;=(Tahmin!$C$4+7),DATE(YEAR((Tahmin!$C$4+13)),MONTH((Tahmin!$C$4+13)),MIN(DAY(Kalemler!$D77),DAY(EOMONTH((Tahmin!$C$4+13),0))))&lt;=(Tahmin!$C$4+13),DATE(YEAR((Tahmin!$C$4+13)),MONTH((Tahmin!$C$4+13)),MIN(DAY(Kalemler!$D77),DAY(EOMONTH((Tahmin!$C$4+13),0))))&lt;&gt;DATE(YEAR((Tahmin!$C$4+7)),MONTH((Tahmin!$C$4+7)),MIN(DAY(Kalemler!$D77),DAY(EOMONTH((Tahmin!$C$4+7),0)))),DATE(YEAR((Tahmin!$C$4+13)),MONTH((Tahmin!$C$4+13)),MIN(DAY(Kalemler!$D77),DAY(EOMONTH((Tahmin!$C$4+13),0))))&gt;=Kalemler!$D77)),1,0),IF(AND(Kalemler!$D77&gt;=(Tahmin!$C$4+7),Kalemler!$D77&lt;=(Tahmin!$C$4+13)),1,0))))</f>
        <v>0</v>
      </c>
      <c r="D77" s="0" t="n">
        <f aca="false">IF(OR(Kalemler!$A77="",Kalemler!$C77="",Kalemler!$D77=""),0,Kalemler!$C77*IF(Kalemler!$E77="Haftalık",IF(Kalemler!$D77&lt;=(Tahmin!$C$4+20),1,0),IF(Kalemler!$E77="Aylık",IF(OR(AND(DATE(YEAR((Tahmin!$C$4+14)),MONTH((Tahmin!$C$4+14)),MIN(DAY(Kalemler!$D77),DAY(EOMONTH((Tahmin!$C$4+14),0))))&gt;=(Tahmin!$C$4+14),DATE(YEAR((Tahmin!$C$4+14)),MONTH((Tahmin!$C$4+14)),MIN(DAY(Kalemler!$D77),DAY(EOMONTH((Tahmin!$C$4+14),0))))&lt;=(Tahmin!$C$4+20),DATE(YEAR((Tahmin!$C$4+14)),MONTH((Tahmin!$C$4+14)),MIN(DAY(Kalemler!$D77),DAY(EOMONTH((Tahmin!$C$4+14),0))))&gt;=Kalemler!$D77),AND(DATE(YEAR((Tahmin!$C$4+20)),MONTH((Tahmin!$C$4+20)),MIN(DAY(Kalemler!$D77),DAY(EOMONTH((Tahmin!$C$4+20),0))))&gt;=(Tahmin!$C$4+14),DATE(YEAR((Tahmin!$C$4+20)),MONTH((Tahmin!$C$4+20)),MIN(DAY(Kalemler!$D77),DAY(EOMONTH((Tahmin!$C$4+20),0))))&lt;=(Tahmin!$C$4+20),DATE(YEAR((Tahmin!$C$4+20)),MONTH((Tahmin!$C$4+20)),MIN(DAY(Kalemler!$D77),DAY(EOMONTH((Tahmin!$C$4+20),0))))&lt;&gt;DATE(YEAR((Tahmin!$C$4+14)),MONTH((Tahmin!$C$4+14)),MIN(DAY(Kalemler!$D77),DAY(EOMONTH((Tahmin!$C$4+14),0)))),DATE(YEAR((Tahmin!$C$4+20)),MONTH((Tahmin!$C$4+20)),MIN(DAY(Kalemler!$D77),DAY(EOMONTH((Tahmin!$C$4+20),0))))&gt;=Kalemler!$D77)),1,0),IF(AND(Kalemler!$D77&gt;=(Tahmin!$C$4+14),Kalemler!$D77&lt;=(Tahmin!$C$4+20)),1,0))))</f>
        <v>0</v>
      </c>
      <c r="E77" s="0" t="n">
        <f aca="false">IF(OR(Kalemler!$A77="",Kalemler!$C77="",Kalemler!$D77=""),0,Kalemler!$C77*IF(Kalemler!$E77="Haftalık",IF(Kalemler!$D77&lt;=(Tahmin!$C$4+27),1,0),IF(Kalemler!$E77="Aylık",IF(OR(AND(DATE(YEAR((Tahmin!$C$4+21)),MONTH((Tahmin!$C$4+21)),MIN(DAY(Kalemler!$D77),DAY(EOMONTH((Tahmin!$C$4+21),0))))&gt;=(Tahmin!$C$4+21),DATE(YEAR((Tahmin!$C$4+21)),MONTH((Tahmin!$C$4+21)),MIN(DAY(Kalemler!$D77),DAY(EOMONTH((Tahmin!$C$4+21),0))))&lt;=(Tahmin!$C$4+27),DATE(YEAR((Tahmin!$C$4+21)),MONTH((Tahmin!$C$4+21)),MIN(DAY(Kalemler!$D77),DAY(EOMONTH((Tahmin!$C$4+21),0))))&gt;=Kalemler!$D77),AND(DATE(YEAR((Tahmin!$C$4+27)),MONTH((Tahmin!$C$4+27)),MIN(DAY(Kalemler!$D77),DAY(EOMONTH((Tahmin!$C$4+27),0))))&gt;=(Tahmin!$C$4+21),DATE(YEAR((Tahmin!$C$4+27)),MONTH((Tahmin!$C$4+27)),MIN(DAY(Kalemler!$D77),DAY(EOMONTH((Tahmin!$C$4+27),0))))&lt;=(Tahmin!$C$4+27),DATE(YEAR((Tahmin!$C$4+27)),MONTH((Tahmin!$C$4+27)),MIN(DAY(Kalemler!$D77),DAY(EOMONTH((Tahmin!$C$4+27),0))))&lt;&gt;DATE(YEAR((Tahmin!$C$4+21)),MONTH((Tahmin!$C$4+21)),MIN(DAY(Kalemler!$D77),DAY(EOMONTH((Tahmin!$C$4+21),0)))),DATE(YEAR((Tahmin!$C$4+27)),MONTH((Tahmin!$C$4+27)),MIN(DAY(Kalemler!$D77),DAY(EOMONTH((Tahmin!$C$4+27),0))))&gt;=Kalemler!$D77)),1,0),IF(AND(Kalemler!$D77&gt;=(Tahmin!$C$4+21),Kalemler!$D77&lt;=(Tahmin!$C$4+27)),1,0))))</f>
        <v>0</v>
      </c>
      <c r="F77" s="0" t="n">
        <f aca="false">IF(OR(Kalemler!$A77="",Kalemler!$C77="",Kalemler!$D77=""),0,Kalemler!$C77*IF(Kalemler!$E77="Haftalık",IF(Kalemler!$D77&lt;=(Tahmin!$C$4+34),1,0),IF(Kalemler!$E77="Aylık",IF(OR(AND(DATE(YEAR((Tahmin!$C$4+28)),MONTH((Tahmin!$C$4+28)),MIN(DAY(Kalemler!$D77),DAY(EOMONTH((Tahmin!$C$4+28),0))))&gt;=(Tahmin!$C$4+28),DATE(YEAR((Tahmin!$C$4+28)),MONTH((Tahmin!$C$4+28)),MIN(DAY(Kalemler!$D77),DAY(EOMONTH((Tahmin!$C$4+28),0))))&lt;=(Tahmin!$C$4+34),DATE(YEAR((Tahmin!$C$4+28)),MONTH((Tahmin!$C$4+28)),MIN(DAY(Kalemler!$D77),DAY(EOMONTH((Tahmin!$C$4+28),0))))&gt;=Kalemler!$D77),AND(DATE(YEAR((Tahmin!$C$4+34)),MONTH((Tahmin!$C$4+34)),MIN(DAY(Kalemler!$D77),DAY(EOMONTH((Tahmin!$C$4+34),0))))&gt;=(Tahmin!$C$4+28),DATE(YEAR((Tahmin!$C$4+34)),MONTH((Tahmin!$C$4+34)),MIN(DAY(Kalemler!$D77),DAY(EOMONTH((Tahmin!$C$4+34),0))))&lt;=(Tahmin!$C$4+34),DATE(YEAR((Tahmin!$C$4+34)),MONTH((Tahmin!$C$4+34)),MIN(DAY(Kalemler!$D77),DAY(EOMONTH((Tahmin!$C$4+34),0))))&lt;&gt;DATE(YEAR((Tahmin!$C$4+28)),MONTH((Tahmin!$C$4+28)),MIN(DAY(Kalemler!$D77),DAY(EOMONTH((Tahmin!$C$4+28),0)))),DATE(YEAR((Tahmin!$C$4+34)),MONTH((Tahmin!$C$4+34)),MIN(DAY(Kalemler!$D77),DAY(EOMONTH((Tahmin!$C$4+34),0))))&gt;=Kalemler!$D77)),1,0),IF(AND(Kalemler!$D77&gt;=(Tahmin!$C$4+28),Kalemler!$D77&lt;=(Tahmin!$C$4+34)),1,0))))</f>
        <v>0</v>
      </c>
      <c r="G77" s="0" t="n">
        <f aca="false">IF(OR(Kalemler!$A77="",Kalemler!$C77="",Kalemler!$D77=""),0,Kalemler!$C77*IF(Kalemler!$E77="Haftalık",IF(Kalemler!$D77&lt;=(Tahmin!$C$4+41),1,0),IF(Kalemler!$E77="Aylık",IF(OR(AND(DATE(YEAR((Tahmin!$C$4+35)),MONTH((Tahmin!$C$4+35)),MIN(DAY(Kalemler!$D77),DAY(EOMONTH((Tahmin!$C$4+35),0))))&gt;=(Tahmin!$C$4+35),DATE(YEAR((Tahmin!$C$4+35)),MONTH((Tahmin!$C$4+35)),MIN(DAY(Kalemler!$D77),DAY(EOMONTH((Tahmin!$C$4+35),0))))&lt;=(Tahmin!$C$4+41),DATE(YEAR((Tahmin!$C$4+35)),MONTH((Tahmin!$C$4+35)),MIN(DAY(Kalemler!$D77),DAY(EOMONTH((Tahmin!$C$4+35),0))))&gt;=Kalemler!$D77),AND(DATE(YEAR((Tahmin!$C$4+41)),MONTH((Tahmin!$C$4+41)),MIN(DAY(Kalemler!$D77),DAY(EOMONTH((Tahmin!$C$4+41),0))))&gt;=(Tahmin!$C$4+35),DATE(YEAR((Tahmin!$C$4+41)),MONTH((Tahmin!$C$4+41)),MIN(DAY(Kalemler!$D77),DAY(EOMONTH((Tahmin!$C$4+41),0))))&lt;=(Tahmin!$C$4+41),DATE(YEAR((Tahmin!$C$4+41)),MONTH((Tahmin!$C$4+41)),MIN(DAY(Kalemler!$D77),DAY(EOMONTH((Tahmin!$C$4+41),0))))&lt;&gt;DATE(YEAR((Tahmin!$C$4+35)),MONTH((Tahmin!$C$4+35)),MIN(DAY(Kalemler!$D77),DAY(EOMONTH((Tahmin!$C$4+35),0)))),DATE(YEAR((Tahmin!$C$4+41)),MONTH((Tahmin!$C$4+41)),MIN(DAY(Kalemler!$D77),DAY(EOMONTH((Tahmin!$C$4+41),0))))&gt;=Kalemler!$D77)),1,0),IF(AND(Kalemler!$D77&gt;=(Tahmin!$C$4+35),Kalemler!$D77&lt;=(Tahmin!$C$4+41)),1,0))))</f>
        <v>0</v>
      </c>
      <c r="H77" s="0" t="n">
        <f aca="false">IF(OR(Kalemler!$A77="",Kalemler!$C77="",Kalemler!$D77=""),0,Kalemler!$C77*IF(Kalemler!$E77="Haftalık",IF(Kalemler!$D77&lt;=(Tahmin!$C$4+48),1,0),IF(Kalemler!$E77="Aylık",IF(OR(AND(DATE(YEAR((Tahmin!$C$4+42)),MONTH((Tahmin!$C$4+42)),MIN(DAY(Kalemler!$D77),DAY(EOMONTH((Tahmin!$C$4+42),0))))&gt;=(Tahmin!$C$4+42),DATE(YEAR((Tahmin!$C$4+42)),MONTH((Tahmin!$C$4+42)),MIN(DAY(Kalemler!$D77),DAY(EOMONTH((Tahmin!$C$4+42),0))))&lt;=(Tahmin!$C$4+48),DATE(YEAR((Tahmin!$C$4+42)),MONTH((Tahmin!$C$4+42)),MIN(DAY(Kalemler!$D77),DAY(EOMONTH((Tahmin!$C$4+42),0))))&gt;=Kalemler!$D77),AND(DATE(YEAR((Tahmin!$C$4+48)),MONTH((Tahmin!$C$4+48)),MIN(DAY(Kalemler!$D77),DAY(EOMONTH((Tahmin!$C$4+48),0))))&gt;=(Tahmin!$C$4+42),DATE(YEAR((Tahmin!$C$4+48)),MONTH((Tahmin!$C$4+48)),MIN(DAY(Kalemler!$D77),DAY(EOMONTH((Tahmin!$C$4+48),0))))&lt;=(Tahmin!$C$4+48),DATE(YEAR((Tahmin!$C$4+48)),MONTH((Tahmin!$C$4+48)),MIN(DAY(Kalemler!$D77),DAY(EOMONTH((Tahmin!$C$4+48),0))))&lt;&gt;DATE(YEAR((Tahmin!$C$4+42)),MONTH((Tahmin!$C$4+42)),MIN(DAY(Kalemler!$D77),DAY(EOMONTH((Tahmin!$C$4+42),0)))),DATE(YEAR((Tahmin!$C$4+48)),MONTH((Tahmin!$C$4+48)),MIN(DAY(Kalemler!$D77),DAY(EOMONTH((Tahmin!$C$4+48),0))))&gt;=Kalemler!$D77)),1,0),IF(AND(Kalemler!$D77&gt;=(Tahmin!$C$4+42),Kalemler!$D77&lt;=(Tahmin!$C$4+48)),1,0))))</f>
        <v>0</v>
      </c>
      <c r="I77" s="0" t="n">
        <f aca="false">IF(OR(Kalemler!$A77="",Kalemler!$C77="",Kalemler!$D77=""),0,Kalemler!$C77*IF(Kalemler!$E77="Haftalık",IF(Kalemler!$D77&lt;=(Tahmin!$C$4+55),1,0),IF(Kalemler!$E77="Aylık",IF(OR(AND(DATE(YEAR((Tahmin!$C$4+49)),MONTH((Tahmin!$C$4+49)),MIN(DAY(Kalemler!$D77),DAY(EOMONTH((Tahmin!$C$4+49),0))))&gt;=(Tahmin!$C$4+49),DATE(YEAR((Tahmin!$C$4+49)),MONTH((Tahmin!$C$4+49)),MIN(DAY(Kalemler!$D77),DAY(EOMONTH((Tahmin!$C$4+49),0))))&lt;=(Tahmin!$C$4+55),DATE(YEAR((Tahmin!$C$4+49)),MONTH((Tahmin!$C$4+49)),MIN(DAY(Kalemler!$D77),DAY(EOMONTH((Tahmin!$C$4+49),0))))&gt;=Kalemler!$D77),AND(DATE(YEAR((Tahmin!$C$4+55)),MONTH((Tahmin!$C$4+55)),MIN(DAY(Kalemler!$D77),DAY(EOMONTH((Tahmin!$C$4+55),0))))&gt;=(Tahmin!$C$4+49),DATE(YEAR((Tahmin!$C$4+55)),MONTH((Tahmin!$C$4+55)),MIN(DAY(Kalemler!$D77),DAY(EOMONTH((Tahmin!$C$4+55),0))))&lt;=(Tahmin!$C$4+55),DATE(YEAR((Tahmin!$C$4+55)),MONTH((Tahmin!$C$4+55)),MIN(DAY(Kalemler!$D77),DAY(EOMONTH((Tahmin!$C$4+55),0))))&lt;&gt;DATE(YEAR((Tahmin!$C$4+49)),MONTH((Tahmin!$C$4+49)),MIN(DAY(Kalemler!$D77),DAY(EOMONTH((Tahmin!$C$4+49),0)))),DATE(YEAR((Tahmin!$C$4+55)),MONTH((Tahmin!$C$4+55)),MIN(DAY(Kalemler!$D77),DAY(EOMONTH((Tahmin!$C$4+55),0))))&gt;=Kalemler!$D77)),1,0),IF(AND(Kalemler!$D77&gt;=(Tahmin!$C$4+49),Kalemler!$D77&lt;=(Tahmin!$C$4+55)),1,0))))</f>
        <v>0</v>
      </c>
      <c r="J77" s="0" t="n">
        <f aca="false">IF(OR(Kalemler!$A77="",Kalemler!$C77="",Kalemler!$D77=""),0,Kalemler!$C77*IF(Kalemler!$E77="Haftalık",IF(Kalemler!$D77&lt;=(Tahmin!$C$4+62),1,0),IF(Kalemler!$E77="Aylık",IF(OR(AND(DATE(YEAR((Tahmin!$C$4+56)),MONTH((Tahmin!$C$4+56)),MIN(DAY(Kalemler!$D77),DAY(EOMONTH((Tahmin!$C$4+56),0))))&gt;=(Tahmin!$C$4+56),DATE(YEAR((Tahmin!$C$4+56)),MONTH((Tahmin!$C$4+56)),MIN(DAY(Kalemler!$D77),DAY(EOMONTH((Tahmin!$C$4+56),0))))&lt;=(Tahmin!$C$4+62),DATE(YEAR((Tahmin!$C$4+56)),MONTH((Tahmin!$C$4+56)),MIN(DAY(Kalemler!$D77),DAY(EOMONTH((Tahmin!$C$4+56),0))))&gt;=Kalemler!$D77),AND(DATE(YEAR((Tahmin!$C$4+62)),MONTH((Tahmin!$C$4+62)),MIN(DAY(Kalemler!$D77),DAY(EOMONTH((Tahmin!$C$4+62),0))))&gt;=(Tahmin!$C$4+56),DATE(YEAR((Tahmin!$C$4+62)),MONTH((Tahmin!$C$4+62)),MIN(DAY(Kalemler!$D77),DAY(EOMONTH((Tahmin!$C$4+62),0))))&lt;=(Tahmin!$C$4+62),DATE(YEAR((Tahmin!$C$4+62)),MONTH((Tahmin!$C$4+62)),MIN(DAY(Kalemler!$D77),DAY(EOMONTH((Tahmin!$C$4+62),0))))&lt;&gt;DATE(YEAR((Tahmin!$C$4+56)),MONTH((Tahmin!$C$4+56)),MIN(DAY(Kalemler!$D77),DAY(EOMONTH((Tahmin!$C$4+56),0)))),DATE(YEAR((Tahmin!$C$4+62)),MONTH((Tahmin!$C$4+62)),MIN(DAY(Kalemler!$D77),DAY(EOMONTH((Tahmin!$C$4+62),0))))&gt;=Kalemler!$D77)),1,0),IF(AND(Kalemler!$D77&gt;=(Tahmin!$C$4+56),Kalemler!$D77&lt;=(Tahmin!$C$4+62)),1,0))))</f>
        <v>0</v>
      </c>
      <c r="K77" s="0" t="n">
        <f aca="false">IF(OR(Kalemler!$A77="",Kalemler!$C77="",Kalemler!$D77=""),0,Kalemler!$C77*IF(Kalemler!$E77="Haftalık",IF(Kalemler!$D77&lt;=(Tahmin!$C$4+69),1,0),IF(Kalemler!$E77="Aylık",IF(OR(AND(DATE(YEAR((Tahmin!$C$4+63)),MONTH((Tahmin!$C$4+63)),MIN(DAY(Kalemler!$D77),DAY(EOMONTH((Tahmin!$C$4+63),0))))&gt;=(Tahmin!$C$4+63),DATE(YEAR((Tahmin!$C$4+63)),MONTH((Tahmin!$C$4+63)),MIN(DAY(Kalemler!$D77),DAY(EOMONTH((Tahmin!$C$4+63),0))))&lt;=(Tahmin!$C$4+69),DATE(YEAR((Tahmin!$C$4+63)),MONTH((Tahmin!$C$4+63)),MIN(DAY(Kalemler!$D77),DAY(EOMONTH((Tahmin!$C$4+63),0))))&gt;=Kalemler!$D77),AND(DATE(YEAR((Tahmin!$C$4+69)),MONTH((Tahmin!$C$4+69)),MIN(DAY(Kalemler!$D77),DAY(EOMONTH((Tahmin!$C$4+69),0))))&gt;=(Tahmin!$C$4+63),DATE(YEAR((Tahmin!$C$4+69)),MONTH((Tahmin!$C$4+69)),MIN(DAY(Kalemler!$D77),DAY(EOMONTH((Tahmin!$C$4+69),0))))&lt;=(Tahmin!$C$4+69),DATE(YEAR((Tahmin!$C$4+69)),MONTH((Tahmin!$C$4+69)),MIN(DAY(Kalemler!$D77),DAY(EOMONTH((Tahmin!$C$4+69),0))))&lt;&gt;DATE(YEAR((Tahmin!$C$4+63)),MONTH((Tahmin!$C$4+63)),MIN(DAY(Kalemler!$D77),DAY(EOMONTH((Tahmin!$C$4+63),0)))),DATE(YEAR((Tahmin!$C$4+69)),MONTH((Tahmin!$C$4+69)),MIN(DAY(Kalemler!$D77),DAY(EOMONTH((Tahmin!$C$4+69),0))))&gt;=Kalemler!$D77)),1,0),IF(AND(Kalemler!$D77&gt;=(Tahmin!$C$4+63),Kalemler!$D77&lt;=(Tahmin!$C$4+69)),1,0))))</f>
        <v>0</v>
      </c>
      <c r="L77" s="0" t="n">
        <f aca="false">IF(OR(Kalemler!$A77="",Kalemler!$C77="",Kalemler!$D77=""),0,Kalemler!$C77*IF(Kalemler!$E77="Haftalık",IF(Kalemler!$D77&lt;=(Tahmin!$C$4+76),1,0),IF(Kalemler!$E77="Aylık",IF(OR(AND(DATE(YEAR((Tahmin!$C$4+70)),MONTH((Tahmin!$C$4+70)),MIN(DAY(Kalemler!$D77),DAY(EOMONTH((Tahmin!$C$4+70),0))))&gt;=(Tahmin!$C$4+70),DATE(YEAR((Tahmin!$C$4+70)),MONTH((Tahmin!$C$4+70)),MIN(DAY(Kalemler!$D77),DAY(EOMONTH((Tahmin!$C$4+70),0))))&lt;=(Tahmin!$C$4+76),DATE(YEAR((Tahmin!$C$4+70)),MONTH((Tahmin!$C$4+70)),MIN(DAY(Kalemler!$D77),DAY(EOMONTH((Tahmin!$C$4+70),0))))&gt;=Kalemler!$D77),AND(DATE(YEAR((Tahmin!$C$4+76)),MONTH((Tahmin!$C$4+76)),MIN(DAY(Kalemler!$D77),DAY(EOMONTH((Tahmin!$C$4+76),0))))&gt;=(Tahmin!$C$4+70),DATE(YEAR((Tahmin!$C$4+76)),MONTH((Tahmin!$C$4+76)),MIN(DAY(Kalemler!$D77),DAY(EOMONTH((Tahmin!$C$4+76),0))))&lt;=(Tahmin!$C$4+76),DATE(YEAR((Tahmin!$C$4+76)),MONTH((Tahmin!$C$4+76)),MIN(DAY(Kalemler!$D77),DAY(EOMONTH((Tahmin!$C$4+76),0))))&lt;&gt;DATE(YEAR((Tahmin!$C$4+70)),MONTH((Tahmin!$C$4+70)),MIN(DAY(Kalemler!$D77),DAY(EOMONTH((Tahmin!$C$4+70),0)))),DATE(YEAR((Tahmin!$C$4+76)),MONTH((Tahmin!$C$4+76)),MIN(DAY(Kalemler!$D77),DAY(EOMONTH((Tahmin!$C$4+76),0))))&gt;=Kalemler!$D77)),1,0),IF(AND(Kalemler!$D77&gt;=(Tahmin!$C$4+70),Kalemler!$D77&lt;=(Tahmin!$C$4+76)),1,0))))</f>
        <v>0</v>
      </c>
      <c r="M77" s="0" t="n">
        <f aca="false">IF(OR(Kalemler!$A77="",Kalemler!$C77="",Kalemler!$D77=""),0,Kalemler!$C77*IF(Kalemler!$E77="Haftalık",IF(Kalemler!$D77&lt;=(Tahmin!$C$4+83),1,0),IF(Kalemler!$E77="Aylık",IF(OR(AND(DATE(YEAR((Tahmin!$C$4+77)),MONTH((Tahmin!$C$4+77)),MIN(DAY(Kalemler!$D77),DAY(EOMONTH((Tahmin!$C$4+77),0))))&gt;=(Tahmin!$C$4+77),DATE(YEAR((Tahmin!$C$4+77)),MONTH((Tahmin!$C$4+77)),MIN(DAY(Kalemler!$D77),DAY(EOMONTH((Tahmin!$C$4+77),0))))&lt;=(Tahmin!$C$4+83),DATE(YEAR((Tahmin!$C$4+77)),MONTH((Tahmin!$C$4+77)),MIN(DAY(Kalemler!$D77),DAY(EOMONTH((Tahmin!$C$4+77),0))))&gt;=Kalemler!$D77),AND(DATE(YEAR((Tahmin!$C$4+83)),MONTH((Tahmin!$C$4+83)),MIN(DAY(Kalemler!$D77),DAY(EOMONTH((Tahmin!$C$4+83),0))))&gt;=(Tahmin!$C$4+77),DATE(YEAR((Tahmin!$C$4+83)),MONTH((Tahmin!$C$4+83)),MIN(DAY(Kalemler!$D77),DAY(EOMONTH((Tahmin!$C$4+83),0))))&lt;=(Tahmin!$C$4+83),DATE(YEAR((Tahmin!$C$4+83)),MONTH((Tahmin!$C$4+83)),MIN(DAY(Kalemler!$D77),DAY(EOMONTH((Tahmin!$C$4+83),0))))&lt;&gt;DATE(YEAR((Tahmin!$C$4+77)),MONTH((Tahmin!$C$4+77)),MIN(DAY(Kalemler!$D77),DAY(EOMONTH((Tahmin!$C$4+77),0)))),DATE(YEAR((Tahmin!$C$4+83)),MONTH((Tahmin!$C$4+83)),MIN(DAY(Kalemler!$D77),DAY(EOMONTH((Tahmin!$C$4+83),0))))&gt;=Kalemler!$D77)),1,0),IF(AND(Kalemler!$D77&gt;=(Tahmin!$C$4+77),Kalemler!$D77&lt;=(Tahmin!$C$4+83)),1,0))))</f>
        <v>0</v>
      </c>
      <c r="N77" s="0" t="n">
        <f aca="false">IF(OR(Kalemler!$A77="",Kalemler!$C77="",Kalemler!$D77=""),0,Kalemler!$C77*IF(Kalemler!$E77="Haftalık",IF(Kalemler!$D77&lt;=(Tahmin!$C$4+90),1,0),IF(Kalemler!$E77="Aylık",IF(OR(AND(DATE(YEAR((Tahmin!$C$4+84)),MONTH((Tahmin!$C$4+84)),MIN(DAY(Kalemler!$D77),DAY(EOMONTH((Tahmin!$C$4+84),0))))&gt;=(Tahmin!$C$4+84),DATE(YEAR((Tahmin!$C$4+84)),MONTH((Tahmin!$C$4+84)),MIN(DAY(Kalemler!$D77),DAY(EOMONTH((Tahmin!$C$4+84),0))))&lt;=(Tahmin!$C$4+90),DATE(YEAR((Tahmin!$C$4+84)),MONTH((Tahmin!$C$4+84)),MIN(DAY(Kalemler!$D77),DAY(EOMONTH((Tahmin!$C$4+84),0))))&gt;=Kalemler!$D77),AND(DATE(YEAR((Tahmin!$C$4+90)),MONTH((Tahmin!$C$4+90)),MIN(DAY(Kalemler!$D77),DAY(EOMONTH((Tahmin!$C$4+90),0))))&gt;=(Tahmin!$C$4+84),DATE(YEAR((Tahmin!$C$4+90)),MONTH((Tahmin!$C$4+90)),MIN(DAY(Kalemler!$D77),DAY(EOMONTH((Tahmin!$C$4+90),0))))&lt;=(Tahmin!$C$4+90),DATE(YEAR((Tahmin!$C$4+90)),MONTH((Tahmin!$C$4+90)),MIN(DAY(Kalemler!$D77),DAY(EOMONTH((Tahmin!$C$4+90),0))))&lt;&gt;DATE(YEAR((Tahmin!$C$4+84)),MONTH((Tahmin!$C$4+84)),MIN(DAY(Kalemler!$D77),DAY(EOMONTH((Tahmin!$C$4+84),0)))),DATE(YEAR((Tahmin!$C$4+90)),MONTH((Tahmin!$C$4+90)),MIN(DAY(Kalemler!$D77),DAY(EOMONTH((Tahmin!$C$4+90),0))))&gt;=Kalemler!$D77)),1,0),IF(AND(Kalemler!$D77&gt;=(Tahmin!$C$4+84),Kalemler!$D77&lt;=(Tahmin!$C$4+90)),1,0))))</f>
        <v>0</v>
      </c>
    </row>
    <row r="78" customFormat="false" ht="15" hidden="false" customHeight="false" outlineLevel="0" collapsed="false">
      <c r="A78" s="0" t="str">
        <f aca="false">IF(Kalemler!A78="","",Kalemler!A78)</f>
        <v/>
      </c>
      <c r="B78" s="0" t="n">
        <f aca="false">IF(OR(Kalemler!$A78="",Kalemler!$C78="",Kalemler!$D78=""),0,Kalemler!$C78*IF(Kalemler!$E78="Haftalık",IF(Kalemler!$D78&lt;=(Tahmin!$C$4+6),1,0),IF(Kalemler!$E78="Aylık",IF(OR(AND(DATE(YEAR((Tahmin!$C$4+0)),MONTH((Tahmin!$C$4+0)),MIN(DAY(Kalemler!$D78),DAY(EOMONTH((Tahmin!$C$4+0),0))))&gt;=(Tahmin!$C$4+0),DATE(YEAR((Tahmin!$C$4+0)),MONTH((Tahmin!$C$4+0)),MIN(DAY(Kalemler!$D78),DAY(EOMONTH((Tahmin!$C$4+0),0))))&lt;=(Tahmin!$C$4+6),DATE(YEAR((Tahmin!$C$4+0)),MONTH((Tahmin!$C$4+0)),MIN(DAY(Kalemler!$D78),DAY(EOMONTH((Tahmin!$C$4+0),0))))&gt;=Kalemler!$D78),AND(DATE(YEAR((Tahmin!$C$4+6)),MONTH((Tahmin!$C$4+6)),MIN(DAY(Kalemler!$D78),DAY(EOMONTH((Tahmin!$C$4+6),0))))&gt;=(Tahmin!$C$4+0),DATE(YEAR((Tahmin!$C$4+6)),MONTH((Tahmin!$C$4+6)),MIN(DAY(Kalemler!$D78),DAY(EOMONTH((Tahmin!$C$4+6),0))))&lt;=(Tahmin!$C$4+6),DATE(YEAR((Tahmin!$C$4+6)),MONTH((Tahmin!$C$4+6)),MIN(DAY(Kalemler!$D78),DAY(EOMONTH((Tahmin!$C$4+6),0))))&lt;&gt;DATE(YEAR((Tahmin!$C$4+0)),MONTH((Tahmin!$C$4+0)),MIN(DAY(Kalemler!$D78),DAY(EOMONTH((Tahmin!$C$4+0),0)))),DATE(YEAR((Tahmin!$C$4+6)),MONTH((Tahmin!$C$4+6)),MIN(DAY(Kalemler!$D78),DAY(EOMONTH((Tahmin!$C$4+6),0))))&gt;=Kalemler!$D78)),1,0),IF(AND(Kalemler!$D78&gt;=(Tahmin!$C$4+0),Kalemler!$D78&lt;=(Tahmin!$C$4+6)),1,0))))</f>
        <v>0</v>
      </c>
      <c r="C78" s="0" t="n">
        <f aca="false">IF(OR(Kalemler!$A78="",Kalemler!$C78="",Kalemler!$D78=""),0,Kalemler!$C78*IF(Kalemler!$E78="Haftalık",IF(Kalemler!$D78&lt;=(Tahmin!$C$4+13),1,0),IF(Kalemler!$E78="Aylık",IF(OR(AND(DATE(YEAR((Tahmin!$C$4+7)),MONTH((Tahmin!$C$4+7)),MIN(DAY(Kalemler!$D78),DAY(EOMONTH((Tahmin!$C$4+7),0))))&gt;=(Tahmin!$C$4+7),DATE(YEAR((Tahmin!$C$4+7)),MONTH((Tahmin!$C$4+7)),MIN(DAY(Kalemler!$D78),DAY(EOMONTH((Tahmin!$C$4+7),0))))&lt;=(Tahmin!$C$4+13),DATE(YEAR((Tahmin!$C$4+7)),MONTH((Tahmin!$C$4+7)),MIN(DAY(Kalemler!$D78),DAY(EOMONTH((Tahmin!$C$4+7),0))))&gt;=Kalemler!$D78),AND(DATE(YEAR((Tahmin!$C$4+13)),MONTH((Tahmin!$C$4+13)),MIN(DAY(Kalemler!$D78),DAY(EOMONTH((Tahmin!$C$4+13),0))))&gt;=(Tahmin!$C$4+7),DATE(YEAR((Tahmin!$C$4+13)),MONTH((Tahmin!$C$4+13)),MIN(DAY(Kalemler!$D78),DAY(EOMONTH((Tahmin!$C$4+13),0))))&lt;=(Tahmin!$C$4+13),DATE(YEAR((Tahmin!$C$4+13)),MONTH((Tahmin!$C$4+13)),MIN(DAY(Kalemler!$D78),DAY(EOMONTH((Tahmin!$C$4+13),0))))&lt;&gt;DATE(YEAR((Tahmin!$C$4+7)),MONTH((Tahmin!$C$4+7)),MIN(DAY(Kalemler!$D78),DAY(EOMONTH((Tahmin!$C$4+7),0)))),DATE(YEAR((Tahmin!$C$4+13)),MONTH((Tahmin!$C$4+13)),MIN(DAY(Kalemler!$D78),DAY(EOMONTH((Tahmin!$C$4+13),0))))&gt;=Kalemler!$D78)),1,0),IF(AND(Kalemler!$D78&gt;=(Tahmin!$C$4+7),Kalemler!$D78&lt;=(Tahmin!$C$4+13)),1,0))))</f>
        <v>0</v>
      </c>
      <c r="D78" s="0" t="n">
        <f aca="false">IF(OR(Kalemler!$A78="",Kalemler!$C78="",Kalemler!$D78=""),0,Kalemler!$C78*IF(Kalemler!$E78="Haftalık",IF(Kalemler!$D78&lt;=(Tahmin!$C$4+20),1,0),IF(Kalemler!$E78="Aylık",IF(OR(AND(DATE(YEAR((Tahmin!$C$4+14)),MONTH((Tahmin!$C$4+14)),MIN(DAY(Kalemler!$D78),DAY(EOMONTH((Tahmin!$C$4+14),0))))&gt;=(Tahmin!$C$4+14),DATE(YEAR((Tahmin!$C$4+14)),MONTH((Tahmin!$C$4+14)),MIN(DAY(Kalemler!$D78),DAY(EOMONTH((Tahmin!$C$4+14),0))))&lt;=(Tahmin!$C$4+20),DATE(YEAR((Tahmin!$C$4+14)),MONTH((Tahmin!$C$4+14)),MIN(DAY(Kalemler!$D78),DAY(EOMONTH((Tahmin!$C$4+14),0))))&gt;=Kalemler!$D78),AND(DATE(YEAR((Tahmin!$C$4+20)),MONTH((Tahmin!$C$4+20)),MIN(DAY(Kalemler!$D78),DAY(EOMONTH((Tahmin!$C$4+20),0))))&gt;=(Tahmin!$C$4+14),DATE(YEAR((Tahmin!$C$4+20)),MONTH((Tahmin!$C$4+20)),MIN(DAY(Kalemler!$D78),DAY(EOMONTH((Tahmin!$C$4+20),0))))&lt;=(Tahmin!$C$4+20),DATE(YEAR((Tahmin!$C$4+20)),MONTH((Tahmin!$C$4+20)),MIN(DAY(Kalemler!$D78),DAY(EOMONTH((Tahmin!$C$4+20),0))))&lt;&gt;DATE(YEAR((Tahmin!$C$4+14)),MONTH((Tahmin!$C$4+14)),MIN(DAY(Kalemler!$D78),DAY(EOMONTH((Tahmin!$C$4+14),0)))),DATE(YEAR((Tahmin!$C$4+20)),MONTH((Tahmin!$C$4+20)),MIN(DAY(Kalemler!$D78),DAY(EOMONTH((Tahmin!$C$4+20),0))))&gt;=Kalemler!$D78)),1,0),IF(AND(Kalemler!$D78&gt;=(Tahmin!$C$4+14),Kalemler!$D78&lt;=(Tahmin!$C$4+20)),1,0))))</f>
        <v>0</v>
      </c>
      <c r="E78" s="0" t="n">
        <f aca="false">IF(OR(Kalemler!$A78="",Kalemler!$C78="",Kalemler!$D78=""),0,Kalemler!$C78*IF(Kalemler!$E78="Haftalık",IF(Kalemler!$D78&lt;=(Tahmin!$C$4+27),1,0),IF(Kalemler!$E78="Aylık",IF(OR(AND(DATE(YEAR((Tahmin!$C$4+21)),MONTH((Tahmin!$C$4+21)),MIN(DAY(Kalemler!$D78),DAY(EOMONTH((Tahmin!$C$4+21),0))))&gt;=(Tahmin!$C$4+21),DATE(YEAR((Tahmin!$C$4+21)),MONTH((Tahmin!$C$4+21)),MIN(DAY(Kalemler!$D78),DAY(EOMONTH((Tahmin!$C$4+21),0))))&lt;=(Tahmin!$C$4+27),DATE(YEAR((Tahmin!$C$4+21)),MONTH((Tahmin!$C$4+21)),MIN(DAY(Kalemler!$D78),DAY(EOMONTH((Tahmin!$C$4+21),0))))&gt;=Kalemler!$D78),AND(DATE(YEAR((Tahmin!$C$4+27)),MONTH((Tahmin!$C$4+27)),MIN(DAY(Kalemler!$D78),DAY(EOMONTH((Tahmin!$C$4+27),0))))&gt;=(Tahmin!$C$4+21),DATE(YEAR((Tahmin!$C$4+27)),MONTH((Tahmin!$C$4+27)),MIN(DAY(Kalemler!$D78),DAY(EOMONTH((Tahmin!$C$4+27),0))))&lt;=(Tahmin!$C$4+27),DATE(YEAR((Tahmin!$C$4+27)),MONTH((Tahmin!$C$4+27)),MIN(DAY(Kalemler!$D78),DAY(EOMONTH((Tahmin!$C$4+27),0))))&lt;&gt;DATE(YEAR((Tahmin!$C$4+21)),MONTH((Tahmin!$C$4+21)),MIN(DAY(Kalemler!$D78),DAY(EOMONTH((Tahmin!$C$4+21),0)))),DATE(YEAR((Tahmin!$C$4+27)),MONTH((Tahmin!$C$4+27)),MIN(DAY(Kalemler!$D78),DAY(EOMONTH((Tahmin!$C$4+27),0))))&gt;=Kalemler!$D78)),1,0),IF(AND(Kalemler!$D78&gt;=(Tahmin!$C$4+21),Kalemler!$D78&lt;=(Tahmin!$C$4+27)),1,0))))</f>
        <v>0</v>
      </c>
      <c r="F78" s="0" t="n">
        <f aca="false">IF(OR(Kalemler!$A78="",Kalemler!$C78="",Kalemler!$D78=""),0,Kalemler!$C78*IF(Kalemler!$E78="Haftalık",IF(Kalemler!$D78&lt;=(Tahmin!$C$4+34),1,0),IF(Kalemler!$E78="Aylık",IF(OR(AND(DATE(YEAR((Tahmin!$C$4+28)),MONTH((Tahmin!$C$4+28)),MIN(DAY(Kalemler!$D78),DAY(EOMONTH((Tahmin!$C$4+28),0))))&gt;=(Tahmin!$C$4+28),DATE(YEAR((Tahmin!$C$4+28)),MONTH((Tahmin!$C$4+28)),MIN(DAY(Kalemler!$D78),DAY(EOMONTH((Tahmin!$C$4+28),0))))&lt;=(Tahmin!$C$4+34),DATE(YEAR((Tahmin!$C$4+28)),MONTH((Tahmin!$C$4+28)),MIN(DAY(Kalemler!$D78),DAY(EOMONTH((Tahmin!$C$4+28),0))))&gt;=Kalemler!$D78),AND(DATE(YEAR((Tahmin!$C$4+34)),MONTH((Tahmin!$C$4+34)),MIN(DAY(Kalemler!$D78),DAY(EOMONTH((Tahmin!$C$4+34),0))))&gt;=(Tahmin!$C$4+28),DATE(YEAR((Tahmin!$C$4+34)),MONTH((Tahmin!$C$4+34)),MIN(DAY(Kalemler!$D78),DAY(EOMONTH((Tahmin!$C$4+34),0))))&lt;=(Tahmin!$C$4+34),DATE(YEAR((Tahmin!$C$4+34)),MONTH((Tahmin!$C$4+34)),MIN(DAY(Kalemler!$D78),DAY(EOMONTH((Tahmin!$C$4+34),0))))&lt;&gt;DATE(YEAR((Tahmin!$C$4+28)),MONTH((Tahmin!$C$4+28)),MIN(DAY(Kalemler!$D78),DAY(EOMONTH((Tahmin!$C$4+28),0)))),DATE(YEAR((Tahmin!$C$4+34)),MONTH((Tahmin!$C$4+34)),MIN(DAY(Kalemler!$D78),DAY(EOMONTH((Tahmin!$C$4+34),0))))&gt;=Kalemler!$D78)),1,0),IF(AND(Kalemler!$D78&gt;=(Tahmin!$C$4+28),Kalemler!$D78&lt;=(Tahmin!$C$4+34)),1,0))))</f>
        <v>0</v>
      </c>
      <c r="G78" s="0" t="n">
        <f aca="false">IF(OR(Kalemler!$A78="",Kalemler!$C78="",Kalemler!$D78=""),0,Kalemler!$C78*IF(Kalemler!$E78="Haftalık",IF(Kalemler!$D78&lt;=(Tahmin!$C$4+41),1,0),IF(Kalemler!$E78="Aylık",IF(OR(AND(DATE(YEAR((Tahmin!$C$4+35)),MONTH((Tahmin!$C$4+35)),MIN(DAY(Kalemler!$D78),DAY(EOMONTH((Tahmin!$C$4+35),0))))&gt;=(Tahmin!$C$4+35),DATE(YEAR((Tahmin!$C$4+35)),MONTH((Tahmin!$C$4+35)),MIN(DAY(Kalemler!$D78),DAY(EOMONTH((Tahmin!$C$4+35),0))))&lt;=(Tahmin!$C$4+41),DATE(YEAR((Tahmin!$C$4+35)),MONTH((Tahmin!$C$4+35)),MIN(DAY(Kalemler!$D78),DAY(EOMONTH((Tahmin!$C$4+35),0))))&gt;=Kalemler!$D78),AND(DATE(YEAR((Tahmin!$C$4+41)),MONTH((Tahmin!$C$4+41)),MIN(DAY(Kalemler!$D78),DAY(EOMONTH((Tahmin!$C$4+41),0))))&gt;=(Tahmin!$C$4+35),DATE(YEAR((Tahmin!$C$4+41)),MONTH((Tahmin!$C$4+41)),MIN(DAY(Kalemler!$D78),DAY(EOMONTH((Tahmin!$C$4+41),0))))&lt;=(Tahmin!$C$4+41),DATE(YEAR((Tahmin!$C$4+41)),MONTH((Tahmin!$C$4+41)),MIN(DAY(Kalemler!$D78),DAY(EOMONTH((Tahmin!$C$4+41),0))))&lt;&gt;DATE(YEAR((Tahmin!$C$4+35)),MONTH((Tahmin!$C$4+35)),MIN(DAY(Kalemler!$D78),DAY(EOMONTH((Tahmin!$C$4+35),0)))),DATE(YEAR((Tahmin!$C$4+41)),MONTH((Tahmin!$C$4+41)),MIN(DAY(Kalemler!$D78),DAY(EOMONTH((Tahmin!$C$4+41),0))))&gt;=Kalemler!$D78)),1,0),IF(AND(Kalemler!$D78&gt;=(Tahmin!$C$4+35),Kalemler!$D78&lt;=(Tahmin!$C$4+41)),1,0))))</f>
        <v>0</v>
      </c>
      <c r="H78" s="0" t="n">
        <f aca="false">IF(OR(Kalemler!$A78="",Kalemler!$C78="",Kalemler!$D78=""),0,Kalemler!$C78*IF(Kalemler!$E78="Haftalık",IF(Kalemler!$D78&lt;=(Tahmin!$C$4+48),1,0),IF(Kalemler!$E78="Aylık",IF(OR(AND(DATE(YEAR((Tahmin!$C$4+42)),MONTH((Tahmin!$C$4+42)),MIN(DAY(Kalemler!$D78),DAY(EOMONTH((Tahmin!$C$4+42),0))))&gt;=(Tahmin!$C$4+42),DATE(YEAR((Tahmin!$C$4+42)),MONTH((Tahmin!$C$4+42)),MIN(DAY(Kalemler!$D78),DAY(EOMONTH((Tahmin!$C$4+42),0))))&lt;=(Tahmin!$C$4+48),DATE(YEAR((Tahmin!$C$4+42)),MONTH((Tahmin!$C$4+42)),MIN(DAY(Kalemler!$D78),DAY(EOMONTH((Tahmin!$C$4+42),0))))&gt;=Kalemler!$D78),AND(DATE(YEAR((Tahmin!$C$4+48)),MONTH((Tahmin!$C$4+48)),MIN(DAY(Kalemler!$D78),DAY(EOMONTH((Tahmin!$C$4+48),0))))&gt;=(Tahmin!$C$4+42),DATE(YEAR((Tahmin!$C$4+48)),MONTH((Tahmin!$C$4+48)),MIN(DAY(Kalemler!$D78),DAY(EOMONTH((Tahmin!$C$4+48),0))))&lt;=(Tahmin!$C$4+48),DATE(YEAR((Tahmin!$C$4+48)),MONTH((Tahmin!$C$4+48)),MIN(DAY(Kalemler!$D78),DAY(EOMONTH((Tahmin!$C$4+48),0))))&lt;&gt;DATE(YEAR((Tahmin!$C$4+42)),MONTH((Tahmin!$C$4+42)),MIN(DAY(Kalemler!$D78),DAY(EOMONTH((Tahmin!$C$4+42),0)))),DATE(YEAR((Tahmin!$C$4+48)),MONTH((Tahmin!$C$4+48)),MIN(DAY(Kalemler!$D78),DAY(EOMONTH((Tahmin!$C$4+48),0))))&gt;=Kalemler!$D78)),1,0),IF(AND(Kalemler!$D78&gt;=(Tahmin!$C$4+42),Kalemler!$D78&lt;=(Tahmin!$C$4+48)),1,0))))</f>
        <v>0</v>
      </c>
      <c r="I78" s="0" t="n">
        <f aca="false">IF(OR(Kalemler!$A78="",Kalemler!$C78="",Kalemler!$D78=""),0,Kalemler!$C78*IF(Kalemler!$E78="Haftalık",IF(Kalemler!$D78&lt;=(Tahmin!$C$4+55),1,0),IF(Kalemler!$E78="Aylık",IF(OR(AND(DATE(YEAR((Tahmin!$C$4+49)),MONTH((Tahmin!$C$4+49)),MIN(DAY(Kalemler!$D78),DAY(EOMONTH((Tahmin!$C$4+49),0))))&gt;=(Tahmin!$C$4+49),DATE(YEAR((Tahmin!$C$4+49)),MONTH((Tahmin!$C$4+49)),MIN(DAY(Kalemler!$D78),DAY(EOMONTH((Tahmin!$C$4+49),0))))&lt;=(Tahmin!$C$4+55),DATE(YEAR((Tahmin!$C$4+49)),MONTH((Tahmin!$C$4+49)),MIN(DAY(Kalemler!$D78),DAY(EOMONTH((Tahmin!$C$4+49),0))))&gt;=Kalemler!$D78),AND(DATE(YEAR((Tahmin!$C$4+55)),MONTH((Tahmin!$C$4+55)),MIN(DAY(Kalemler!$D78),DAY(EOMONTH((Tahmin!$C$4+55),0))))&gt;=(Tahmin!$C$4+49),DATE(YEAR((Tahmin!$C$4+55)),MONTH((Tahmin!$C$4+55)),MIN(DAY(Kalemler!$D78),DAY(EOMONTH((Tahmin!$C$4+55),0))))&lt;=(Tahmin!$C$4+55),DATE(YEAR((Tahmin!$C$4+55)),MONTH((Tahmin!$C$4+55)),MIN(DAY(Kalemler!$D78),DAY(EOMONTH((Tahmin!$C$4+55),0))))&lt;&gt;DATE(YEAR((Tahmin!$C$4+49)),MONTH((Tahmin!$C$4+49)),MIN(DAY(Kalemler!$D78),DAY(EOMONTH((Tahmin!$C$4+49),0)))),DATE(YEAR((Tahmin!$C$4+55)),MONTH((Tahmin!$C$4+55)),MIN(DAY(Kalemler!$D78),DAY(EOMONTH((Tahmin!$C$4+55),0))))&gt;=Kalemler!$D78)),1,0),IF(AND(Kalemler!$D78&gt;=(Tahmin!$C$4+49),Kalemler!$D78&lt;=(Tahmin!$C$4+55)),1,0))))</f>
        <v>0</v>
      </c>
      <c r="J78" s="0" t="n">
        <f aca="false">IF(OR(Kalemler!$A78="",Kalemler!$C78="",Kalemler!$D78=""),0,Kalemler!$C78*IF(Kalemler!$E78="Haftalık",IF(Kalemler!$D78&lt;=(Tahmin!$C$4+62),1,0),IF(Kalemler!$E78="Aylık",IF(OR(AND(DATE(YEAR((Tahmin!$C$4+56)),MONTH((Tahmin!$C$4+56)),MIN(DAY(Kalemler!$D78),DAY(EOMONTH((Tahmin!$C$4+56),0))))&gt;=(Tahmin!$C$4+56),DATE(YEAR((Tahmin!$C$4+56)),MONTH((Tahmin!$C$4+56)),MIN(DAY(Kalemler!$D78),DAY(EOMONTH((Tahmin!$C$4+56),0))))&lt;=(Tahmin!$C$4+62),DATE(YEAR((Tahmin!$C$4+56)),MONTH((Tahmin!$C$4+56)),MIN(DAY(Kalemler!$D78),DAY(EOMONTH((Tahmin!$C$4+56),0))))&gt;=Kalemler!$D78),AND(DATE(YEAR((Tahmin!$C$4+62)),MONTH((Tahmin!$C$4+62)),MIN(DAY(Kalemler!$D78),DAY(EOMONTH((Tahmin!$C$4+62),0))))&gt;=(Tahmin!$C$4+56),DATE(YEAR((Tahmin!$C$4+62)),MONTH((Tahmin!$C$4+62)),MIN(DAY(Kalemler!$D78),DAY(EOMONTH((Tahmin!$C$4+62),0))))&lt;=(Tahmin!$C$4+62),DATE(YEAR((Tahmin!$C$4+62)),MONTH((Tahmin!$C$4+62)),MIN(DAY(Kalemler!$D78),DAY(EOMONTH((Tahmin!$C$4+62),0))))&lt;&gt;DATE(YEAR((Tahmin!$C$4+56)),MONTH((Tahmin!$C$4+56)),MIN(DAY(Kalemler!$D78),DAY(EOMONTH((Tahmin!$C$4+56),0)))),DATE(YEAR((Tahmin!$C$4+62)),MONTH((Tahmin!$C$4+62)),MIN(DAY(Kalemler!$D78),DAY(EOMONTH((Tahmin!$C$4+62),0))))&gt;=Kalemler!$D78)),1,0),IF(AND(Kalemler!$D78&gt;=(Tahmin!$C$4+56),Kalemler!$D78&lt;=(Tahmin!$C$4+62)),1,0))))</f>
        <v>0</v>
      </c>
      <c r="K78" s="0" t="n">
        <f aca="false">IF(OR(Kalemler!$A78="",Kalemler!$C78="",Kalemler!$D78=""),0,Kalemler!$C78*IF(Kalemler!$E78="Haftalık",IF(Kalemler!$D78&lt;=(Tahmin!$C$4+69),1,0),IF(Kalemler!$E78="Aylık",IF(OR(AND(DATE(YEAR((Tahmin!$C$4+63)),MONTH((Tahmin!$C$4+63)),MIN(DAY(Kalemler!$D78),DAY(EOMONTH((Tahmin!$C$4+63),0))))&gt;=(Tahmin!$C$4+63),DATE(YEAR((Tahmin!$C$4+63)),MONTH((Tahmin!$C$4+63)),MIN(DAY(Kalemler!$D78),DAY(EOMONTH((Tahmin!$C$4+63),0))))&lt;=(Tahmin!$C$4+69),DATE(YEAR((Tahmin!$C$4+63)),MONTH((Tahmin!$C$4+63)),MIN(DAY(Kalemler!$D78),DAY(EOMONTH((Tahmin!$C$4+63),0))))&gt;=Kalemler!$D78),AND(DATE(YEAR((Tahmin!$C$4+69)),MONTH((Tahmin!$C$4+69)),MIN(DAY(Kalemler!$D78),DAY(EOMONTH((Tahmin!$C$4+69),0))))&gt;=(Tahmin!$C$4+63),DATE(YEAR((Tahmin!$C$4+69)),MONTH((Tahmin!$C$4+69)),MIN(DAY(Kalemler!$D78),DAY(EOMONTH((Tahmin!$C$4+69),0))))&lt;=(Tahmin!$C$4+69),DATE(YEAR((Tahmin!$C$4+69)),MONTH((Tahmin!$C$4+69)),MIN(DAY(Kalemler!$D78),DAY(EOMONTH((Tahmin!$C$4+69),0))))&lt;&gt;DATE(YEAR((Tahmin!$C$4+63)),MONTH((Tahmin!$C$4+63)),MIN(DAY(Kalemler!$D78),DAY(EOMONTH((Tahmin!$C$4+63),0)))),DATE(YEAR((Tahmin!$C$4+69)),MONTH((Tahmin!$C$4+69)),MIN(DAY(Kalemler!$D78),DAY(EOMONTH((Tahmin!$C$4+69),0))))&gt;=Kalemler!$D78)),1,0),IF(AND(Kalemler!$D78&gt;=(Tahmin!$C$4+63),Kalemler!$D78&lt;=(Tahmin!$C$4+69)),1,0))))</f>
        <v>0</v>
      </c>
      <c r="L78" s="0" t="n">
        <f aca="false">IF(OR(Kalemler!$A78="",Kalemler!$C78="",Kalemler!$D78=""),0,Kalemler!$C78*IF(Kalemler!$E78="Haftalık",IF(Kalemler!$D78&lt;=(Tahmin!$C$4+76),1,0),IF(Kalemler!$E78="Aylık",IF(OR(AND(DATE(YEAR((Tahmin!$C$4+70)),MONTH((Tahmin!$C$4+70)),MIN(DAY(Kalemler!$D78),DAY(EOMONTH((Tahmin!$C$4+70),0))))&gt;=(Tahmin!$C$4+70),DATE(YEAR((Tahmin!$C$4+70)),MONTH((Tahmin!$C$4+70)),MIN(DAY(Kalemler!$D78),DAY(EOMONTH((Tahmin!$C$4+70),0))))&lt;=(Tahmin!$C$4+76),DATE(YEAR((Tahmin!$C$4+70)),MONTH((Tahmin!$C$4+70)),MIN(DAY(Kalemler!$D78),DAY(EOMONTH((Tahmin!$C$4+70),0))))&gt;=Kalemler!$D78),AND(DATE(YEAR((Tahmin!$C$4+76)),MONTH((Tahmin!$C$4+76)),MIN(DAY(Kalemler!$D78),DAY(EOMONTH((Tahmin!$C$4+76),0))))&gt;=(Tahmin!$C$4+70),DATE(YEAR((Tahmin!$C$4+76)),MONTH((Tahmin!$C$4+76)),MIN(DAY(Kalemler!$D78),DAY(EOMONTH((Tahmin!$C$4+76),0))))&lt;=(Tahmin!$C$4+76),DATE(YEAR((Tahmin!$C$4+76)),MONTH((Tahmin!$C$4+76)),MIN(DAY(Kalemler!$D78),DAY(EOMONTH((Tahmin!$C$4+76),0))))&lt;&gt;DATE(YEAR((Tahmin!$C$4+70)),MONTH((Tahmin!$C$4+70)),MIN(DAY(Kalemler!$D78),DAY(EOMONTH((Tahmin!$C$4+70),0)))),DATE(YEAR((Tahmin!$C$4+76)),MONTH((Tahmin!$C$4+76)),MIN(DAY(Kalemler!$D78),DAY(EOMONTH((Tahmin!$C$4+76),0))))&gt;=Kalemler!$D78)),1,0),IF(AND(Kalemler!$D78&gt;=(Tahmin!$C$4+70),Kalemler!$D78&lt;=(Tahmin!$C$4+76)),1,0))))</f>
        <v>0</v>
      </c>
      <c r="M78" s="0" t="n">
        <f aca="false">IF(OR(Kalemler!$A78="",Kalemler!$C78="",Kalemler!$D78=""),0,Kalemler!$C78*IF(Kalemler!$E78="Haftalık",IF(Kalemler!$D78&lt;=(Tahmin!$C$4+83),1,0),IF(Kalemler!$E78="Aylık",IF(OR(AND(DATE(YEAR((Tahmin!$C$4+77)),MONTH((Tahmin!$C$4+77)),MIN(DAY(Kalemler!$D78),DAY(EOMONTH((Tahmin!$C$4+77),0))))&gt;=(Tahmin!$C$4+77),DATE(YEAR((Tahmin!$C$4+77)),MONTH((Tahmin!$C$4+77)),MIN(DAY(Kalemler!$D78),DAY(EOMONTH((Tahmin!$C$4+77),0))))&lt;=(Tahmin!$C$4+83),DATE(YEAR((Tahmin!$C$4+77)),MONTH((Tahmin!$C$4+77)),MIN(DAY(Kalemler!$D78),DAY(EOMONTH((Tahmin!$C$4+77),0))))&gt;=Kalemler!$D78),AND(DATE(YEAR((Tahmin!$C$4+83)),MONTH((Tahmin!$C$4+83)),MIN(DAY(Kalemler!$D78),DAY(EOMONTH((Tahmin!$C$4+83),0))))&gt;=(Tahmin!$C$4+77),DATE(YEAR((Tahmin!$C$4+83)),MONTH((Tahmin!$C$4+83)),MIN(DAY(Kalemler!$D78),DAY(EOMONTH((Tahmin!$C$4+83),0))))&lt;=(Tahmin!$C$4+83),DATE(YEAR((Tahmin!$C$4+83)),MONTH((Tahmin!$C$4+83)),MIN(DAY(Kalemler!$D78),DAY(EOMONTH((Tahmin!$C$4+83),0))))&lt;&gt;DATE(YEAR((Tahmin!$C$4+77)),MONTH((Tahmin!$C$4+77)),MIN(DAY(Kalemler!$D78),DAY(EOMONTH((Tahmin!$C$4+77),0)))),DATE(YEAR((Tahmin!$C$4+83)),MONTH((Tahmin!$C$4+83)),MIN(DAY(Kalemler!$D78),DAY(EOMONTH((Tahmin!$C$4+83),0))))&gt;=Kalemler!$D78)),1,0),IF(AND(Kalemler!$D78&gt;=(Tahmin!$C$4+77),Kalemler!$D78&lt;=(Tahmin!$C$4+83)),1,0))))</f>
        <v>0</v>
      </c>
      <c r="N78" s="0" t="n">
        <f aca="false">IF(OR(Kalemler!$A78="",Kalemler!$C78="",Kalemler!$D78=""),0,Kalemler!$C78*IF(Kalemler!$E78="Haftalık",IF(Kalemler!$D78&lt;=(Tahmin!$C$4+90),1,0),IF(Kalemler!$E78="Aylık",IF(OR(AND(DATE(YEAR((Tahmin!$C$4+84)),MONTH((Tahmin!$C$4+84)),MIN(DAY(Kalemler!$D78),DAY(EOMONTH((Tahmin!$C$4+84),0))))&gt;=(Tahmin!$C$4+84),DATE(YEAR((Tahmin!$C$4+84)),MONTH((Tahmin!$C$4+84)),MIN(DAY(Kalemler!$D78),DAY(EOMONTH((Tahmin!$C$4+84),0))))&lt;=(Tahmin!$C$4+90),DATE(YEAR((Tahmin!$C$4+84)),MONTH((Tahmin!$C$4+84)),MIN(DAY(Kalemler!$D78),DAY(EOMONTH((Tahmin!$C$4+84),0))))&gt;=Kalemler!$D78),AND(DATE(YEAR((Tahmin!$C$4+90)),MONTH((Tahmin!$C$4+90)),MIN(DAY(Kalemler!$D78),DAY(EOMONTH((Tahmin!$C$4+90),0))))&gt;=(Tahmin!$C$4+84),DATE(YEAR((Tahmin!$C$4+90)),MONTH((Tahmin!$C$4+90)),MIN(DAY(Kalemler!$D78),DAY(EOMONTH((Tahmin!$C$4+90),0))))&lt;=(Tahmin!$C$4+90),DATE(YEAR((Tahmin!$C$4+90)),MONTH((Tahmin!$C$4+90)),MIN(DAY(Kalemler!$D78),DAY(EOMONTH((Tahmin!$C$4+90),0))))&lt;&gt;DATE(YEAR((Tahmin!$C$4+84)),MONTH((Tahmin!$C$4+84)),MIN(DAY(Kalemler!$D78),DAY(EOMONTH((Tahmin!$C$4+84),0)))),DATE(YEAR((Tahmin!$C$4+90)),MONTH((Tahmin!$C$4+90)),MIN(DAY(Kalemler!$D78),DAY(EOMONTH((Tahmin!$C$4+90),0))))&gt;=Kalemler!$D78)),1,0),IF(AND(Kalemler!$D78&gt;=(Tahmin!$C$4+84),Kalemler!$D78&lt;=(Tahmin!$C$4+90)),1,0))))</f>
        <v>0</v>
      </c>
    </row>
    <row r="79" customFormat="false" ht="15" hidden="false" customHeight="false" outlineLevel="0" collapsed="false">
      <c r="A79" s="0" t="str">
        <f aca="false">IF(Kalemler!A79="","",Kalemler!A79)</f>
        <v/>
      </c>
      <c r="B79" s="0" t="n">
        <f aca="false">IF(OR(Kalemler!$A79="",Kalemler!$C79="",Kalemler!$D79=""),0,Kalemler!$C79*IF(Kalemler!$E79="Haftalık",IF(Kalemler!$D79&lt;=(Tahmin!$C$4+6),1,0),IF(Kalemler!$E79="Aylık",IF(OR(AND(DATE(YEAR((Tahmin!$C$4+0)),MONTH((Tahmin!$C$4+0)),MIN(DAY(Kalemler!$D79),DAY(EOMONTH((Tahmin!$C$4+0),0))))&gt;=(Tahmin!$C$4+0),DATE(YEAR((Tahmin!$C$4+0)),MONTH((Tahmin!$C$4+0)),MIN(DAY(Kalemler!$D79),DAY(EOMONTH((Tahmin!$C$4+0),0))))&lt;=(Tahmin!$C$4+6),DATE(YEAR((Tahmin!$C$4+0)),MONTH((Tahmin!$C$4+0)),MIN(DAY(Kalemler!$D79),DAY(EOMONTH((Tahmin!$C$4+0),0))))&gt;=Kalemler!$D79),AND(DATE(YEAR((Tahmin!$C$4+6)),MONTH((Tahmin!$C$4+6)),MIN(DAY(Kalemler!$D79),DAY(EOMONTH((Tahmin!$C$4+6),0))))&gt;=(Tahmin!$C$4+0),DATE(YEAR((Tahmin!$C$4+6)),MONTH((Tahmin!$C$4+6)),MIN(DAY(Kalemler!$D79),DAY(EOMONTH((Tahmin!$C$4+6),0))))&lt;=(Tahmin!$C$4+6),DATE(YEAR((Tahmin!$C$4+6)),MONTH((Tahmin!$C$4+6)),MIN(DAY(Kalemler!$D79),DAY(EOMONTH((Tahmin!$C$4+6),0))))&lt;&gt;DATE(YEAR((Tahmin!$C$4+0)),MONTH((Tahmin!$C$4+0)),MIN(DAY(Kalemler!$D79),DAY(EOMONTH((Tahmin!$C$4+0),0)))),DATE(YEAR((Tahmin!$C$4+6)),MONTH((Tahmin!$C$4+6)),MIN(DAY(Kalemler!$D79),DAY(EOMONTH((Tahmin!$C$4+6),0))))&gt;=Kalemler!$D79)),1,0),IF(AND(Kalemler!$D79&gt;=(Tahmin!$C$4+0),Kalemler!$D79&lt;=(Tahmin!$C$4+6)),1,0))))</f>
        <v>0</v>
      </c>
      <c r="C79" s="0" t="n">
        <f aca="false">IF(OR(Kalemler!$A79="",Kalemler!$C79="",Kalemler!$D79=""),0,Kalemler!$C79*IF(Kalemler!$E79="Haftalık",IF(Kalemler!$D79&lt;=(Tahmin!$C$4+13),1,0),IF(Kalemler!$E79="Aylık",IF(OR(AND(DATE(YEAR((Tahmin!$C$4+7)),MONTH((Tahmin!$C$4+7)),MIN(DAY(Kalemler!$D79),DAY(EOMONTH((Tahmin!$C$4+7),0))))&gt;=(Tahmin!$C$4+7),DATE(YEAR((Tahmin!$C$4+7)),MONTH((Tahmin!$C$4+7)),MIN(DAY(Kalemler!$D79),DAY(EOMONTH((Tahmin!$C$4+7),0))))&lt;=(Tahmin!$C$4+13),DATE(YEAR((Tahmin!$C$4+7)),MONTH((Tahmin!$C$4+7)),MIN(DAY(Kalemler!$D79),DAY(EOMONTH((Tahmin!$C$4+7),0))))&gt;=Kalemler!$D79),AND(DATE(YEAR((Tahmin!$C$4+13)),MONTH((Tahmin!$C$4+13)),MIN(DAY(Kalemler!$D79),DAY(EOMONTH((Tahmin!$C$4+13),0))))&gt;=(Tahmin!$C$4+7),DATE(YEAR((Tahmin!$C$4+13)),MONTH((Tahmin!$C$4+13)),MIN(DAY(Kalemler!$D79),DAY(EOMONTH((Tahmin!$C$4+13),0))))&lt;=(Tahmin!$C$4+13),DATE(YEAR((Tahmin!$C$4+13)),MONTH((Tahmin!$C$4+13)),MIN(DAY(Kalemler!$D79),DAY(EOMONTH((Tahmin!$C$4+13),0))))&lt;&gt;DATE(YEAR((Tahmin!$C$4+7)),MONTH((Tahmin!$C$4+7)),MIN(DAY(Kalemler!$D79),DAY(EOMONTH((Tahmin!$C$4+7),0)))),DATE(YEAR((Tahmin!$C$4+13)),MONTH((Tahmin!$C$4+13)),MIN(DAY(Kalemler!$D79),DAY(EOMONTH((Tahmin!$C$4+13),0))))&gt;=Kalemler!$D79)),1,0),IF(AND(Kalemler!$D79&gt;=(Tahmin!$C$4+7),Kalemler!$D79&lt;=(Tahmin!$C$4+13)),1,0))))</f>
        <v>0</v>
      </c>
      <c r="D79" s="0" t="n">
        <f aca="false">IF(OR(Kalemler!$A79="",Kalemler!$C79="",Kalemler!$D79=""),0,Kalemler!$C79*IF(Kalemler!$E79="Haftalık",IF(Kalemler!$D79&lt;=(Tahmin!$C$4+20),1,0),IF(Kalemler!$E79="Aylık",IF(OR(AND(DATE(YEAR((Tahmin!$C$4+14)),MONTH((Tahmin!$C$4+14)),MIN(DAY(Kalemler!$D79),DAY(EOMONTH((Tahmin!$C$4+14),0))))&gt;=(Tahmin!$C$4+14),DATE(YEAR((Tahmin!$C$4+14)),MONTH((Tahmin!$C$4+14)),MIN(DAY(Kalemler!$D79),DAY(EOMONTH((Tahmin!$C$4+14),0))))&lt;=(Tahmin!$C$4+20),DATE(YEAR((Tahmin!$C$4+14)),MONTH((Tahmin!$C$4+14)),MIN(DAY(Kalemler!$D79),DAY(EOMONTH((Tahmin!$C$4+14),0))))&gt;=Kalemler!$D79),AND(DATE(YEAR((Tahmin!$C$4+20)),MONTH((Tahmin!$C$4+20)),MIN(DAY(Kalemler!$D79),DAY(EOMONTH((Tahmin!$C$4+20),0))))&gt;=(Tahmin!$C$4+14),DATE(YEAR((Tahmin!$C$4+20)),MONTH((Tahmin!$C$4+20)),MIN(DAY(Kalemler!$D79),DAY(EOMONTH((Tahmin!$C$4+20),0))))&lt;=(Tahmin!$C$4+20),DATE(YEAR((Tahmin!$C$4+20)),MONTH((Tahmin!$C$4+20)),MIN(DAY(Kalemler!$D79),DAY(EOMONTH((Tahmin!$C$4+20),0))))&lt;&gt;DATE(YEAR((Tahmin!$C$4+14)),MONTH((Tahmin!$C$4+14)),MIN(DAY(Kalemler!$D79),DAY(EOMONTH((Tahmin!$C$4+14),0)))),DATE(YEAR((Tahmin!$C$4+20)),MONTH((Tahmin!$C$4+20)),MIN(DAY(Kalemler!$D79),DAY(EOMONTH((Tahmin!$C$4+20),0))))&gt;=Kalemler!$D79)),1,0),IF(AND(Kalemler!$D79&gt;=(Tahmin!$C$4+14),Kalemler!$D79&lt;=(Tahmin!$C$4+20)),1,0))))</f>
        <v>0</v>
      </c>
      <c r="E79" s="0" t="n">
        <f aca="false">IF(OR(Kalemler!$A79="",Kalemler!$C79="",Kalemler!$D79=""),0,Kalemler!$C79*IF(Kalemler!$E79="Haftalık",IF(Kalemler!$D79&lt;=(Tahmin!$C$4+27),1,0),IF(Kalemler!$E79="Aylık",IF(OR(AND(DATE(YEAR((Tahmin!$C$4+21)),MONTH((Tahmin!$C$4+21)),MIN(DAY(Kalemler!$D79),DAY(EOMONTH((Tahmin!$C$4+21),0))))&gt;=(Tahmin!$C$4+21),DATE(YEAR((Tahmin!$C$4+21)),MONTH((Tahmin!$C$4+21)),MIN(DAY(Kalemler!$D79),DAY(EOMONTH((Tahmin!$C$4+21),0))))&lt;=(Tahmin!$C$4+27),DATE(YEAR((Tahmin!$C$4+21)),MONTH((Tahmin!$C$4+21)),MIN(DAY(Kalemler!$D79),DAY(EOMONTH((Tahmin!$C$4+21),0))))&gt;=Kalemler!$D79),AND(DATE(YEAR((Tahmin!$C$4+27)),MONTH((Tahmin!$C$4+27)),MIN(DAY(Kalemler!$D79),DAY(EOMONTH((Tahmin!$C$4+27),0))))&gt;=(Tahmin!$C$4+21),DATE(YEAR((Tahmin!$C$4+27)),MONTH((Tahmin!$C$4+27)),MIN(DAY(Kalemler!$D79),DAY(EOMONTH((Tahmin!$C$4+27),0))))&lt;=(Tahmin!$C$4+27),DATE(YEAR((Tahmin!$C$4+27)),MONTH((Tahmin!$C$4+27)),MIN(DAY(Kalemler!$D79),DAY(EOMONTH((Tahmin!$C$4+27),0))))&lt;&gt;DATE(YEAR((Tahmin!$C$4+21)),MONTH((Tahmin!$C$4+21)),MIN(DAY(Kalemler!$D79),DAY(EOMONTH((Tahmin!$C$4+21),0)))),DATE(YEAR((Tahmin!$C$4+27)),MONTH((Tahmin!$C$4+27)),MIN(DAY(Kalemler!$D79),DAY(EOMONTH((Tahmin!$C$4+27),0))))&gt;=Kalemler!$D79)),1,0),IF(AND(Kalemler!$D79&gt;=(Tahmin!$C$4+21),Kalemler!$D79&lt;=(Tahmin!$C$4+27)),1,0))))</f>
        <v>0</v>
      </c>
      <c r="F79" s="0" t="n">
        <f aca="false">IF(OR(Kalemler!$A79="",Kalemler!$C79="",Kalemler!$D79=""),0,Kalemler!$C79*IF(Kalemler!$E79="Haftalık",IF(Kalemler!$D79&lt;=(Tahmin!$C$4+34),1,0),IF(Kalemler!$E79="Aylık",IF(OR(AND(DATE(YEAR((Tahmin!$C$4+28)),MONTH((Tahmin!$C$4+28)),MIN(DAY(Kalemler!$D79),DAY(EOMONTH((Tahmin!$C$4+28),0))))&gt;=(Tahmin!$C$4+28),DATE(YEAR((Tahmin!$C$4+28)),MONTH((Tahmin!$C$4+28)),MIN(DAY(Kalemler!$D79),DAY(EOMONTH((Tahmin!$C$4+28),0))))&lt;=(Tahmin!$C$4+34),DATE(YEAR((Tahmin!$C$4+28)),MONTH((Tahmin!$C$4+28)),MIN(DAY(Kalemler!$D79),DAY(EOMONTH((Tahmin!$C$4+28),0))))&gt;=Kalemler!$D79),AND(DATE(YEAR((Tahmin!$C$4+34)),MONTH((Tahmin!$C$4+34)),MIN(DAY(Kalemler!$D79),DAY(EOMONTH((Tahmin!$C$4+34),0))))&gt;=(Tahmin!$C$4+28),DATE(YEAR((Tahmin!$C$4+34)),MONTH((Tahmin!$C$4+34)),MIN(DAY(Kalemler!$D79),DAY(EOMONTH((Tahmin!$C$4+34),0))))&lt;=(Tahmin!$C$4+34),DATE(YEAR((Tahmin!$C$4+34)),MONTH((Tahmin!$C$4+34)),MIN(DAY(Kalemler!$D79),DAY(EOMONTH((Tahmin!$C$4+34),0))))&lt;&gt;DATE(YEAR((Tahmin!$C$4+28)),MONTH((Tahmin!$C$4+28)),MIN(DAY(Kalemler!$D79),DAY(EOMONTH((Tahmin!$C$4+28),0)))),DATE(YEAR((Tahmin!$C$4+34)),MONTH((Tahmin!$C$4+34)),MIN(DAY(Kalemler!$D79),DAY(EOMONTH((Tahmin!$C$4+34),0))))&gt;=Kalemler!$D79)),1,0),IF(AND(Kalemler!$D79&gt;=(Tahmin!$C$4+28),Kalemler!$D79&lt;=(Tahmin!$C$4+34)),1,0))))</f>
        <v>0</v>
      </c>
      <c r="G79" s="0" t="n">
        <f aca="false">IF(OR(Kalemler!$A79="",Kalemler!$C79="",Kalemler!$D79=""),0,Kalemler!$C79*IF(Kalemler!$E79="Haftalık",IF(Kalemler!$D79&lt;=(Tahmin!$C$4+41),1,0),IF(Kalemler!$E79="Aylık",IF(OR(AND(DATE(YEAR((Tahmin!$C$4+35)),MONTH((Tahmin!$C$4+35)),MIN(DAY(Kalemler!$D79),DAY(EOMONTH((Tahmin!$C$4+35),0))))&gt;=(Tahmin!$C$4+35),DATE(YEAR((Tahmin!$C$4+35)),MONTH((Tahmin!$C$4+35)),MIN(DAY(Kalemler!$D79),DAY(EOMONTH((Tahmin!$C$4+35),0))))&lt;=(Tahmin!$C$4+41),DATE(YEAR((Tahmin!$C$4+35)),MONTH((Tahmin!$C$4+35)),MIN(DAY(Kalemler!$D79),DAY(EOMONTH((Tahmin!$C$4+35),0))))&gt;=Kalemler!$D79),AND(DATE(YEAR((Tahmin!$C$4+41)),MONTH((Tahmin!$C$4+41)),MIN(DAY(Kalemler!$D79),DAY(EOMONTH((Tahmin!$C$4+41),0))))&gt;=(Tahmin!$C$4+35),DATE(YEAR((Tahmin!$C$4+41)),MONTH((Tahmin!$C$4+41)),MIN(DAY(Kalemler!$D79),DAY(EOMONTH((Tahmin!$C$4+41),0))))&lt;=(Tahmin!$C$4+41),DATE(YEAR((Tahmin!$C$4+41)),MONTH((Tahmin!$C$4+41)),MIN(DAY(Kalemler!$D79),DAY(EOMONTH((Tahmin!$C$4+41),0))))&lt;&gt;DATE(YEAR((Tahmin!$C$4+35)),MONTH((Tahmin!$C$4+35)),MIN(DAY(Kalemler!$D79),DAY(EOMONTH((Tahmin!$C$4+35),0)))),DATE(YEAR((Tahmin!$C$4+41)),MONTH((Tahmin!$C$4+41)),MIN(DAY(Kalemler!$D79),DAY(EOMONTH((Tahmin!$C$4+41),0))))&gt;=Kalemler!$D79)),1,0),IF(AND(Kalemler!$D79&gt;=(Tahmin!$C$4+35),Kalemler!$D79&lt;=(Tahmin!$C$4+41)),1,0))))</f>
        <v>0</v>
      </c>
      <c r="H79" s="0" t="n">
        <f aca="false">IF(OR(Kalemler!$A79="",Kalemler!$C79="",Kalemler!$D79=""),0,Kalemler!$C79*IF(Kalemler!$E79="Haftalık",IF(Kalemler!$D79&lt;=(Tahmin!$C$4+48),1,0),IF(Kalemler!$E79="Aylık",IF(OR(AND(DATE(YEAR((Tahmin!$C$4+42)),MONTH((Tahmin!$C$4+42)),MIN(DAY(Kalemler!$D79),DAY(EOMONTH((Tahmin!$C$4+42),0))))&gt;=(Tahmin!$C$4+42),DATE(YEAR((Tahmin!$C$4+42)),MONTH((Tahmin!$C$4+42)),MIN(DAY(Kalemler!$D79),DAY(EOMONTH((Tahmin!$C$4+42),0))))&lt;=(Tahmin!$C$4+48),DATE(YEAR((Tahmin!$C$4+42)),MONTH((Tahmin!$C$4+42)),MIN(DAY(Kalemler!$D79),DAY(EOMONTH((Tahmin!$C$4+42),0))))&gt;=Kalemler!$D79),AND(DATE(YEAR((Tahmin!$C$4+48)),MONTH((Tahmin!$C$4+48)),MIN(DAY(Kalemler!$D79),DAY(EOMONTH((Tahmin!$C$4+48),0))))&gt;=(Tahmin!$C$4+42),DATE(YEAR((Tahmin!$C$4+48)),MONTH((Tahmin!$C$4+48)),MIN(DAY(Kalemler!$D79),DAY(EOMONTH((Tahmin!$C$4+48),0))))&lt;=(Tahmin!$C$4+48),DATE(YEAR((Tahmin!$C$4+48)),MONTH((Tahmin!$C$4+48)),MIN(DAY(Kalemler!$D79),DAY(EOMONTH((Tahmin!$C$4+48),0))))&lt;&gt;DATE(YEAR((Tahmin!$C$4+42)),MONTH((Tahmin!$C$4+42)),MIN(DAY(Kalemler!$D79),DAY(EOMONTH((Tahmin!$C$4+42),0)))),DATE(YEAR((Tahmin!$C$4+48)),MONTH((Tahmin!$C$4+48)),MIN(DAY(Kalemler!$D79),DAY(EOMONTH((Tahmin!$C$4+48),0))))&gt;=Kalemler!$D79)),1,0),IF(AND(Kalemler!$D79&gt;=(Tahmin!$C$4+42),Kalemler!$D79&lt;=(Tahmin!$C$4+48)),1,0))))</f>
        <v>0</v>
      </c>
      <c r="I79" s="0" t="n">
        <f aca="false">IF(OR(Kalemler!$A79="",Kalemler!$C79="",Kalemler!$D79=""),0,Kalemler!$C79*IF(Kalemler!$E79="Haftalık",IF(Kalemler!$D79&lt;=(Tahmin!$C$4+55),1,0),IF(Kalemler!$E79="Aylık",IF(OR(AND(DATE(YEAR((Tahmin!$C$4+49)),MONTH((Tahmin!$C$4+49)),MIN(DAY(Kalemler!$D79),DAY(EOMONTH((Tahmin!$C$4+49),0))))&gt;=(Tahmin!$C$4+49),DATE(YEAR((Tahmin!$C$4+49)),MONTH((Tahmin!$C$4+49)),MIN(DAY(Kalemler!$D79),DAY(EOMONTH((Tahmin!$C$4+49),0))))&lt;=(Tahmin!$C$4+55),DATE(YEAR((Tahmin!$C$4+49)),MONTH((Tahmin!$C$4+49)),MIN(DAY(Kalemler!$D79),DAY(EOMONTH((Tahmin!$C$4+49),0))))&gt;=Kalemler!$D79),AND(DATE(YEAR((Tahmin!$C$4+55)),MONTH((Tahmin!$C$4+55)),MIN(DAY(Kalemler!$D79),DAY(EOMONTH((Tahmin!$C$4+55),0))))&gt;=(Tahmin!$C$4+49),DATE(YEAR((Tahmin!$C$4+55)),MONTH((Tahmin!$C$4+55)),MIN(DAY(Kalemler!$D79),DAY(EOMONTH((Tahmin!$C$4+55),0))))&lt;=(Tahmin!$C$4+55),DATE(YEAR((Tahmin!$C$4+55)),MONTH((Tahmin!$C$4+55)),MIN(DAY(Kalemler!$D79),DAY(EOMONTH((Tahmin!$C$4+55),0))))&lt;&gt;DATE(YEAR((Tahmin!$C$4+49)),MONTH((Tahmin!$C$4+49)),MIN(DAY(Kalemler!$D79),DAY(EOMONTH((Tahmin!$C$4+49),0)))),DATE(YEAR((Tahmin!$C$4+55)),MONTH((Tahmin!$C$4+55)),MIN(DAY(Kalemler!$D79),DAY(EOMONTH((Tahmin!$C$4+55),0))))&gt;=Kalemler!$D79)),1,0),IF(AND(Kalemler!$D79&gt;=(Tahmin!$C$4+49),Kalemler!$D79&lt;=(Tahmin!$C$4+55)),1,0))))</f>
        <v>0</v>
      </c>
      <c r="J79" s="0" t="n">
        <f aca="false">IF(OR(Kalemler!$A79="",Kalemler!$C79="",Kalemler!$D79=""),0,Kalemler!$C79*IF(Kalemler!$E79="Haftalık",IF(Kalemler!$D79&lt;=(Tahmin!$C$4+62),1,0),IF(Kalemler!$E79="Aylık",IF(OR(AND(DATE(YEAR((Tahmin!$C$4+56)),MONTH((Tahmin!$C$4+56)),MIN(DAY(Kalemler!$D79),DAY(EOMONTH((Tahmin!$C$4+56),0))))&gt;=(Tahmin!$C$4+56),DATE(YEAR((Tahmin!$C$4+56)),MONTH((Tahmin!$C$4+56)),MIN(DAY(Kalemler!$D79),DAY(EOMONTH((Tahmin!$C$4+56),0))))&lt;=(Tahmin!$C$4+62),DATE(YEAR((Tahmin!$C$4+56)),MONTH((Tahmin!$C$4+56)),MIN(DAY(Kalemler!$D79),DAY(EOMONTH((Tahmin!$C$4+56),0))))&gt;=Kalemler!$D79),AND(DATE(YEAR((Tahmin!$C$4+62)),MONTH((Tahmin!$C$4+62)),MIN(DAY(Kalemler!$D79),DAY(EOMONTH((Tahmin!$C$4+62),0))))&gt;=(Tahmin!$C$4+56),DATE(YEAR((Tahmin!$C$4+62)),MONTH((Tahmin!$C$4+62)),MIN(DAY(Kalemler!$D79),DAY(EOMONTH((Tahmin!$C$4+62),0))))&lt;=(Tahmin!$C$4+62),DATE(YEAR((Tahmin!$C$4+62)),MONTH((Tahmin!$C$4+62)),MIN(DAY(Kalemler!$D79),DAY(EOMONTH((Tahmin!$C$4+62),0))))&lt;&gt;DATE(YEAR((Tahmin!$C$4+56)),MONTH((Tahmin!$C$4+56)),MIN(DAY(Kalemler!$D79),DAY(EOMONTH((Tahmin!$C$4+56),0)))),DATE(YEAR((Tahmin!$C$4+62)),MONTH((Tahmin!$C$4+62)),MIN(DAY(Kalemler!$D79),DAY(EOMONTH((Tahmin!$C$4+62),0))))&gt;=Kalemler!$D79)),1,0),IF(AND(Kalemler!$D79&gt;=(Tahmin!$C$4+56),Kalemler!$D79&lt;=(Tahmin!$C$4+62)),1,0))))</f>
        <v>0</v>
      </c>
      <c r="K79" s="0" t="n">
        <f aca="false">IF(OR(Kalemler!$A79="",Kalemler!$C79="",Kalemler!$D79=""),0,Kalemler!$C79*IF(Kalemler!$E79="Haftalık",IF(Kalemler!$D79&lt;=(Tahmin!$C$4+69),1,0),IF(Kalemler!$E79="Aylık",IF(OR(AND(DATE(YEAR((Tahmin!$C$4+63)),MONTH((Tahmin!$C$4+63)),MIN(DAY(Kalemler!$D79),DAY(EOMONTH((Tahmin!$C$4+63),0))))&gt;=(Tahmin!$C$4+63),DATE(YEAR((Tahmin!$C$4+63)),MONTH((Tahmin!$C$4+63)),MIN(DAY(Kalemler!$D79),DAY(EOMONTH((Tahmin!$C$4+63),0))))&lt;=(Tahmin!$C$4+69),DATE(YEAR((Tahmin!$C$4+63)),MONTH((Tahmin!$C$4+63)),MIN(DAY(Kalemler!$D79),DAY(EOMONTH((Tahmin!$C$4+63),0))))&gt;=Kalemler!$D79),AND(DATE(YEAR((Tahmin!$C$4+69)),MONTH((Tahmin!$C$4+69)),MIN(DAY(Kalemler!$D79),DAY(EOMONTH((Tahmin!$C$4+69),0))))&gt;=(Tahmin!$C$4+63),DATE(YEAR((Tahmin!$C$4+69)),MONTH((Tahmin!$C$4+69)),MIN(DAY(Kalemler!$D79),DAY(EOMONTH((Tahmin!$C$4+69),0))))&lt;=(Tahmin!$C$4+69),DATE(YEAR((Tahmin!$C$4+69)),MONTH((Tahmin!$C$4+69)),MIN(DAY(Kalemler!$D79),DAY(EOMONTH((Tahmin!$C$4+69),0))))&lt;&gt;DATE(YEAR((Tahmin!$C$4+63)),MONTH((Tahmin!$C$4+63)),MIN(DAY(Kalemler!$D79),DAY(EOMONTH((Tahmin!$C$4+63),0)))),DATE(YEAR((Tahmin!$C$4+69)),MONTH((Tahmin!$C$4+69)),MIN(DAY(Kalemler!$D79),DAY(EOMONTH((Tahmin!$C$4+69),0))))&gt;=Kalemler!$D79)),1,0),IF(AND(Kalemler!$D79&gt;=(Tahmin!$C$4+63),Kalemler!$D79&lt;=(Tahmin!$C$4+69)),1,0))))</f>
        <v>0</v>
      </c>
      <c r="L79" s="0" t="n">
        <f aca="false">IF(OR(Kalemler!$A79="",Kalemler!$C79="",Kalemler!$D79=""),0,Kalemler!$C79*IF(Kalemler!$E79="Haftalık",IF(Kalemler!$D79&lt;=(Tahmin!$C$4+76),1,0),IF(Kalemler!$E79="Aylık",IF(OR(AND(DATE(YEAR((Tahmin!$C$4+70)),MONTH((Tahmin!$C$4+70)),MIN(DAY(Kalemler!$D79),DAY(EOMONTH((Tahmin!$C$4+70),0))))&gt;=(Tahmin!$C$4+70),DATE(YEAR((Tahmin!$C$4+70)),MONTH((Tahmin!$C$4+70)),MIN(DAY(Kalemler!$D79),DAY(EOMONTH((Tahmin!$C$4+70),0))))&lt;=(Tahmin!$C$4+76),DATE(YEAR((Tahmin!$C$4+70)),MONTH((Tahmin!$C$4+70)),MIN(DAY(Kalemler!$D79),DAY(EOMONTH((Tahmin!$C$4+70),0))))&gt;=Kalemler!$D79),AND(DATE(YEAR((Tahmin!$C$4+76)),MONTH((Tahmin!$C$4+76)),MIN(DAY(Kalemler!$D79),DAY(EOMONTH((Tahmin!$C$4+76),0))))&gt;=(Tahmin!$C$4+70),DATE(YEAR((Tahmin!$C$4+76)),MONTH((Tahmin!$C$4+76)),MIN(DAY(Kalemler!$D79),DAY(EOMONTH((Tahmin!$C$4+76),0))))&lt;=(Tahmin!$C$4+76),DATE(YEAR((Tahmin!$C$4+76)),MONTH((Tahmin!$C$4+76)),MIN(DAY(Kalemler!$D79),DAY(EOMONTH((Tahmin!$C$4+76),0))))&lt;&gt;DATE(YEAR((Tahmin!$C$4+70)),MONTH((Tahmin!$C$4+70)),MIN(DAY(Kalemler!$D79),DAY(EOMONTH((Tahmin!$C$4+70),0)))),DATE(YEAR((Tahmin!$C$4+76)),MONTH((Tahmin!$C$4+76)),MIN(DAY(Kalemler!$D79),DAY(EOMONTH((Tahmin!$C$4+76),0))))&gt;=Kalemler!$D79)),1,0),IF(AND(Kalemler!$D79&gt;=(Tahmin!$C$4+70),Kalemler!$D79&lt;=(Tahmin!$C$4+76)),1,0))))</f>
        <v>0</v>
      </c>
      <c r="M79" s="0" t="n">
        <f aca="false">IF(OR(Kalemler!$A79="",Kalemler!$C79="",Kalemler!$D79=""),0,Kalemler!$C79*IF(Kalemler!$E79="Haftalık",IF(Kalemler!$D79&lt;=(Tahmin!$C$4+83),1,0),IF(Kalemler!$E79="Aylık",IF(OR(AND(DATE(YEAR((Tahmin!$C$4+77)),MONTH((Tahmin!$C$4+77)),MIN(DAY(Kalemler!$D79),DAY(EOMONTH((Tahmin!$C$4+77),0))))&gt;=(Tahmin!$C$4+77),DATE(YEAR((Tahmin!$C$4+77)),MONTH((Tahmin!$C$4+77)),MIN(DAY(Kalemler!$D79),DAY(EOMONTH((Tahmin!$C$4+77),0))))&lt;=(Tahmin!$C$4+83),DATE(YEAR((Tahmin!$C$4+77)),MONTH((Tahmin!$C$4+77)),MIN(DAY(Kalemler!$D79),DAY(EOMONTH((Tahmin!$C$4+77),0))))&gt;=Kalemler!$D79),AND(DATE(YEAR((Tahmin!$C$4+83)),MONTH((Tahmin!$C$4+83)),MIN(DAY(Kalemler!$D79),DAY(EOMONTH((Tahmin!$C$4+83),0))))&gt;=(Tahmin!$C$4+77),DATE(YEAR((Tahmin!$C$4+83)),MONTH((Tahmin!$C$4+83)),MIN(DAY(Kalemler!$D79),DAY(EOMONTH((Tahmin!$C$4+83),0))))&lt;=(Tahmin!$C$4+83),DATE(YEAR((Tahmin!$C$4+83)),MONTH((Tahmin!$C$4+83)),MIN(DAY(Kalemler!$D79),DAY(EOMONTH((Tahmin!$C$4+83),0))))&lt;&gt;DATE(YEAR((Tahmin!$C$4+77)),MONTH((Tahmin!$C$4+77)),MIN(DAY(Kalemler!$D79),DAY(EOMONTH((Tahmin!$C$4+77),0)))),DATE(YEAR((Tahmin!$C$4+83)),MONTH((Tahmin!$C$4+83)),MIN(DAY(Kalemler!$D79),DAY(EOMONTH((Tahmin!$C$4+83),0))))&gt;=Kalemler!$D79)),1,0),IF(AND(Kalemler!$D79&gt;=(Tahmin!$C$4+77),Kalemler!$D79&lt;=(Tahmin!$C$4+83)),1,0))))</f>
        <v>0</v>
      </c>
      <c r="N79" s="0" t="n">
        <f aca="false">IF(OR(Kalemler!$A79="",Kalemler!$C79="",Kalemler!$D79=""),0,Kalemler!$C79*IF(Kalemler!$E79="Haftalık",IF(Kalemler!$D79&lt;=(Tahmin!$C$4+90),1,0),IF(Kalemler!$E79="Aylık",IF(OR(AND(DATE(YEAR((Tahmin!$C$4+84)),MONTH((Tahmin!$C$4+84)),MIN(DAY(Kalemler!$D79),DAY(EOMONTH((Tahmin!$C$4+84),0))))&gt;=(Tahmin!$C$4+84),DATE(YEAR((Tahmin!$C$4+84)),MONTH((Tahmin!$C$4+84)),MIN(DAY(Kalemler!$D79),DAY(EOMONTH((Tahmin!$C$4+84),0))))&lt;=(Tahmin!$C$4+90),DATE(YEAR((Tahmin!$C$4+84)),MONTH((Tahmin!$C$4+84)),MIN(DAY(Kalemler!$D79),DAY(EOMONTH((Tahmin!$C$4+84),0))))&gt;=Kalemler!$D79),AND(DATE(YEAR((Tahmin!$C$4+90)),MONTH((Tahmin!$C$4+90)),MIN(DAY(Kalemler!$D79),DAY(EOMONTH((Tahmin!$C$4+90),0))))&gt;=(Tahmin!$C$4+84),DATE(YEAR((Tahmin!$C$4+90)),MONTH((Tahmin!$C$4+90)),MIN(DAY(Kalemler!$D79),DAY(EOMONTH((Tahmin!$C$4+90),0))))&lt;=(Tahmin!$C$4+90),DATE(YEAR((Tahmin!$C$4+90)),MONTH((Tahmin!$C$4+90)),MIN(DAY(Kalemler!$D79),DAY(EOMONTH((Tahmin!$C$4+90),0))))&lt;&gt;DATE(YEAR((Tahmin!$C$4+84)),MONTH((Tahmin!$C$4+84)),MIN(DAY(Kalemler!$D79),DAY(EOMONTH((Tahmin!$C$4+84),0)))),DATE(YEAR((Tahmin!$C$4+90)),MONTH((Tahmin!$C$4+90)),MIN(DAY(Kalemler!$D79),DAY(EOMONTH((Tahmin!$C$4+90),0))))&gt;=Kalemler!$D79)),1,0),IF(AND(Kalemler!$D79&gt;=(Tahmin!$C$4+84),Kalemler!$D79&lt;=(Tahmin!$C$4+90)),1,0))))</f>
        <v>0</v>
      </c>
    </row>
    <row r="80" customFormat="false" ht="15" hidden="false" customHeight="false" outlineLevel="0" collapsed="false">
      <c r="A80" s="0" t="str">
        <f aca="false">IF(Kalemler!A80="","",Kalemler!A80)</f>
        <v/>
      </c>
      <c r="B80" s="0" t="n">
        <f aca="false">IF(OR(Kalemler!$A80="",Kalemler!$C80="",Kalemler!$D80=""),0,Kalemler!$C80*IF(Kalemler!$E80="Haftalık",IF(Kalemler!$D80&lt;=(Tahmin!$C$4+6),1,0),IF(Kalemler!$E80="Aylık",IF(OR(AND(DATE(YEAR((Tahmin!$C$4+0)),MONTH((Tahmin!$C$4+0)),MIN(DAY(Kalemler!$D80),DAY(EOMONTH((Tahmin!$C$4+0),0))))&gt;=(Tahmin!$C$4+0),DATE(YEAR((Tahmin!$C$4+0)),MONTH((Tahmin!$C$4+0)),MIN(DAY(Kalemler!$D80),DAY(EOMONTH((Tahmin!$C$4+0),0))))&lt;=(Tahmin!$C$4+6),DATE(YEAR((Tahmin!$C$4+0)),MONTH((Tahmin!$C$4+0)),MIN(DAY(Kalemler!$D80),DAY(EOMONTH((Tahmin!$C$4+0),0))))&gt;=Kalemler!$D80),AND(DATE(YEAR((Tahmin!$C$4+6)),MONTH((Tahmin!$C$4+6)),MIN(DAY(Kalemler!$D80),DAY(EOMONTH((Tahmin!$C$4+6),0))))&gt;=(Tahmin!$C$4+0),DATE(YEAR((Tahmin!$C$4+6)),MONTH((Tahmin!$C$4+6)),MIN(DAY(Kalemler!$D80),DAY(EOMONTH((Tahmin!$C$4+6),0))))&lt;=(Tahmin!$C$4+6),DATE(YEAR((Tahmin!$C$4+6)),MONTH((Tahmin!$C$4+6)),MIN(DAY(Kalemler!$D80),DAY(EOMONTH((Tahmin!$C$4+6),0))))&lt;&gt;DATE(YEAR((Tahmin!$C$4+0)),MONTH((Tahmin!$C$4+0)),MIN(DAY(Kalemler!$D80),DAY(EOMONTH((Tahmin!$C$4+0),0)))),DATE(YEAR((Tahmin!$C$4+6)),MONTH((Tahmin!$C$4+6)),MIN(DAY(Kalemler!$D80),DAY(EOMONTH((Tahmin!$C$4+6),0))))&gt;=Kalemler!$D80)),1,0),IF(AND(Kalemler!$D80&gt;=(Tahmin!$C$4+0),Kalemler!$D80&lt;=(Tahmin!$C$4+6)),1,0))))</f>
        <v>0</v>
      </c>
      <c r="C80" s="0" t="n">
        <f aca="false">IF(OR(Kalemler!$A80="",Kalemler!$C80="",Kalemler!$D80=""),0,Kalemler!$C80*IF(Kalemler!$E80="Haftalık",IF(Kalemler!$D80&lt;=(Tahmin!$C$4+13),1,0),IF(Kalemler!$E80="Aylık",IF(OR(AND(DATE(YEAR((Tahmin!$C$4+7)),MONTH((Tahmin!$C$4+7)),MIN(DAY(Kalemler!$D80),DAY(EOMONTH((Tahmin!$C$4+7),0))))&gt;=(Tahmin!$C$4+7),DATE(YEAR((Tahmin!$C$4+7)),MONTH((Tahmin!$C$4+7)),MIN(DAY(Kalemler!$D80),DAY(EOMONTH((Tahmin!$C$4+7),0))))&lt;=(Tahmin!$C$4+13),DATE(YEAR((Tahmin!$C$4+7)),MONTH((Tahmin!$C$4+7)),MIN(DAY(Kalemler!$D80),DAY(EOMONTH((Tahmin!$C$4+7),0))))&gt;=Kalemler!$D80),AND(DATE(YEAR((Tahmin!$C$4+13)),MONTH((Tahmin!$C$4+13)),MIN(DAY(Kalemler!$D80),DAY(EOMONTH((Tahmin!$C$4+13),0))))&gt;=(Tahmin!$C$4+7),DATE(YEAR((Tahmin!$C$4+13)),MONTH((Tahmin!$C$4+13)),MIN(DAY(Kalemler!$D80),DAY(EOMONTH((Tahmin!$C$4+13),0))))&lt;=(Tahmin!$C$4+13),DATE(YEAR((Tahmin!$C$4+13)),MONTH((Tahmin!$C$4+13)),MIN(DAY(Kalemler!$D80),DAY(EOMONTH((Tahmin!$C$4+13),0))))&lt;&gt;DATE(YEAR((Tahmin!$C$4+7)),MONTH((Tahmin!$C$4+7)),MIN(DAY(Kalemler!$D80),DAY(EOMONTH((Tahmin!$C$4+7),0)))),DATE(YEAR((Tahmin!$C$4+13)),MONTH((Tahmin!$C$4+13)),MIN(DAY(Kalemler!$D80),DAY(EOMONTH((Tahmin!$C$4+13),0))))&gt;=Kalemler!$D80)),1,0),IF(AND(Kalemler!$D80&gt;=(Tahmin!$C$4+7),Kalemler!$D80&lt;=(Tahmin!$C$4+13)),1,0))))</f>
        <v>0</v>
      </c>
      <c r="D80" s="0" t="n">
        <f aca="false">IF(OR(Kalemler!$A80="",Kalemler!$C80="",Kalemler!$D80=""),0,Kalemler!$C80*IF(Kalemler!$E80="Haftalık",IF(Kalemler!$D80&lt;=(Tahmin!$C$4+20),1,0),IF(Kalemler!$E80="Aylık",IF(OR(AND(DATE(YEAR((Tahmin!$C$4+14)),MONTH((Tahmin!$C$4+14)),MIN(DAY(Kalemler!$D80),DAY(EOMONTH((Tahmin!$C$4+14),0))))&gt;=(Tahmin!$C$4+14),DATE(YEAR((Tahmin!$C$4+14)),MONTH((Tahmin!$C$4+14)),MIN(DAY(Kalemler!$D80),DAY(EOMONTH((Tahmin!$C$4+14),0))))&lt;=(Tahmin!$C$4+20),DATE(YEAR((Tahmin!$C$4+14)),MONTH((Tahmin!$C$4+14)),MIN(DAY(Kalemler!$D80),DAY(EOMONTH((Tahmin!$C$4+14),0))))&gt;=Kalemler!$D80),AND(DATE(YEAR((Tahmin!$C$4+20)),MONTH((Tahmin!$C$4+20)),MIN(DAY(Kalemler!$D80),DAY(EOMONTH((Tahmin!$C$4+20),0))))&gt;=(Tahmin!$C$4+14),DATE(YEAR((Tahmin!$C$4+20)),MONTH((Tahmin!$C$4+20)),MIN(DAY(Kalemler!$D80),DAY(EOMONTH((Tahmin!$C$4+20),0))))&lt;=(Tahmin!$C$4+20),DATE(YEAR((Tahmin!$C$4+20)),MONTH((Tahmin!$C$4+20)),MIN(DAY(Kalemler!$D80),DAY(EOMONTH((Tahmin!$C$4+20),0))))&lt;&gt;DATE(YEAR((Tahmin!$C$4+14)),MONTH((Tahmin!$C$4+14)),MIN(DAY(Kalemler!$D80),DAY(EOMONTH((Tahmin!$C$4+14),0)))),DATE(YEAR((Tahmin!$C$4+20)),MONTH((Tahmin!$C$4+20)),MIN(DAY(Kalemler!$D80),DAY(EOMONTH((Tahmin!$C$4+20),0))))&gt;=Kalemler!$D80)),1,0),IF(AND(Kalemler!$D80&gt;=(Tahmin!$C$4+14),Kalemler!$D80&lt;=(Tahmin!$C$4+20)),1,0))))</f>
        <v>0</v>
      </c>
      <c r="E80" s="0" t="n">
        <f aca="false">IF(OR(Kalemler!$A80="",Kalemler!$C80="",Kalemler!$D80=""),0,Kalemler!$C80*IF(Kalemler!$E80="Haftalık",IF(Kalemler!$D80&lt;=(Tahmin!$C$4+27),1,0),IF(Kalemler!$E80="Aylık",IF(OR(AND(DATE(YEAR((Tahmin!$C$4+21)),MONTH((Tahmin!$C$4+21)),MIN(DAY(Kalemler!$D80),DAY(EOMONTH((Tahmin!$C$4+21),0))))&gt;=(Tahmin!$C$4+21),DATE(YEAR((Tahmin!$C$4+21)),MONTH((Tahmin!$C$4+21)),MIN(DAY(Kalemler!$D80),DAY(EOMONTH((Tahmin!$C$4+21),0))))&lt;=(Tahmin!$C$4+27),DATE(YEAR((Tahmin!$C$4+21)),MONTH((Tahmin!$C$4+21)),MIN(DAY(Kalemler!$D80),DAY(EOMONTH((Tahmin!$C$4+21),0))))&gt;=Kalemler!$D80),AND(DATE(YEAR((Tahmin!$C$4+27)),MONTH((Tahmin!$C$4+27)),MIN(DAY(Kalemler!$D80),DAY(EOMONTH((Tahmin!$C$4+27),0))))&gt;=(Tahmin!$C$4+21),DATE(YEAR((Tahmin!$C$4+27)),MONTH((Tahmin!$C$4+27)),MIN(DAY(Kalemler!$D80),DAY(EOMONTH((Tahmin!$C$4+27),0))))&lt;=(Tahmin!$C$4+27),DATE(YEAR((Tahmin!$C$4+27)),MONTH((Tahmin!$C$4+27)),MIN(DAY(Kalemler!$D80),DAY(EOMONTH((Tahmin!$C$4+27),0))))&lt;&gt;DATE(YEAR((Tahmin!$C$4+21)),MONTH((Tahmin!$C$4+21)),MIN(DAY(Kalemler!$D80),DAY(EOMONTH((Tahmin!$C$4+21),0)))),DATE(YEAR((Tahmin!$C$4+27)),MONTH((Tahmin!$C$4+27)),MIN(DAY(Kalemler!$D80),DAY(EOMONTH((Tahmin!$C$4+27),0))))&gt;=Kalemler!$D80)),1,0),IF(AND(Kalemler!$D80&gt;=(Tahmin!$C$4+21),Kalemler!$D80&lt;=(Tahmin!$C$4+27)),1,0))))</f>
        <v>0</v>
      </c>
      <c r="F80" s="0" t="n">
        <f aca="false">IF(OR(Kalemler!$A80="",Kalemler!$C80="",Kalemler!$D80=""),0,Kalemler!$C80*IF(Kalemler!$E80="Haftalık",IF(Kalemler!$D80&lt;=(Tahmin!$C$4+34),1,0),IF(Kalemler!$E80="Aylık",IF(OR(AND(DATE(YEAR((Tahmin!$C$4+28)),MONTH((Tahmin!$C$4+28)),MIN(DAY(Kalemler!$D80),DAY(EOMONTH((Tahmin!$C$4+28),0))))&gt;=(Tahmin!$C$4+28),DATE(YEAR((Tahmin!$C$4+28)),MONTH((Tahmin!$C$4+28)),MIN(DAY(Kalemler!$D80),DAY(EOMONTH((Tahmin!$C$4+28),0))))&lt;=(Tahmin!$C$4+34),DATE(YEAR((Tahmin!$C$4+28)),MONTH((Tahmin!$C$4+28)),MIN(DAY(Kalemler!$D80),DAY(EOMONTH((Tahmin!$C$4+28),0))))&gt;=Kalemler!$D80),AND(DATE(YEAR((Tahmin!$C$4+34)),MONTH((Tahmin!$C$4+34)),MIN(DAY(Kalemler!$D80),DAY(EOMONTH((Tahmin!$C$4+34),0))))&gt;=(Tahmin!$C$4+28),DATE(YEAR((Tahmin!$C$4+34)),MONTH((Tahmin!$C$4+34)),MIN(DAY(Kalemler!$D80),DAY(EOMONTH((Tahmin!$C$4+34),0))))&lt;=(Tahmin!$C$4+34),DATE(YEAR((Tahmin!$C$4+34)),MONTH((Tahmin!$C$4+34)),MIN(DAY(Kalemler!$D80),DAY(EOMONTH((Tahmin!$C$4+34),0))))&lt;&gt;DATE(YEAR((Tahmin!$C$4+28)),MONTH((Tahmin!$C$4+28)),MIN(DAY(Kalemler!$D80),DAY(EOMONTH((Tahmin!$C$4+28),0)))),DATE(YEAR((Tahmin!$C$4+34)),MONTH((Tahmin!$C$4+34)),MIN(DAY(Kalemler!$D80),DAY(EOMONTH((Tahmin!$C$4+34),0))))&gt;=Kalemler!$D80)),1,0),IF(AND(Kalemler!$D80&gt;=(Tahmin!$C$4+28),Kalemler!$D80&lt;=(Tahmin!$C$4+34)),1,0))))</f>
        <v>0</v>
      </c>
      <c r="G80" s="0" t="n">
        <f aca="false">IF(OR(Kalemler!$A80="",Kalemler!$C80="",Kalemler!$D80=""),0,Kalemler!$C80*IF(Kalemler!$E80="Haftalık",IF(Kalemler!$D80&lt;=(Tahmin!$C$4+41),1,0),IF(Kalemler!$E80="Aylık",IF(OR(AND(DATE(YEAR((Tahmin!$C$4+35)),MONTH((Tahmin!$C$4+35)),MIN(DAY(Kalemler!$D80),DAY(EOMONTH((Tahmin!$C$4+35),0))))&gt;=(Tahmin!$C$4+35),DATE(YEAR((Tahmin!$C$4+35)),MONTH((Tahmin!$C$4+35)),MIN(DAY(Kalemler!$D80),DAY(EOMONTH((Tahmin!$C$4+35),0))))&lt;=(Tahmin!$C$4+41),DATE(YEAR((Tahmin!$C$4+35)),MONTH((Tahmin!$C$4+35)),MIN(DAY(Kalemler!$D80),DAY(EOMONTH((Tahmin!$C$4+35),0))))&gt;=Kalemler!$D80),AND(DATE(YEAR((Tahmin!$C$4+41)),MONTH((Tahmin!$C$4+41)),MIN(DAY(Kalemler!$D80),DAY(EOMONTH((Tahmin!$C$4+41),0))))&gt;=(Tahmin!$C$4+35),DATE(YEAR((Tahmin!$C$4+41)),MONTH((Tahmin!$C$4+41)),MIN(DAY(Kalemler!$D80),DAY(EOMONTH((Tahmin!$C$4+41),0))))&lt;=(Tahmin!$C$4+41),DATE(YEAR((Tahmin!$C$4+41)),MONTH((Tahmin!$C$4+41)),MIN(DAY(Kalemler!$D80),DAY(EOMONTH((Tahmin!$C$4+41),0))))&lt;&gt;DATE(YEAR((Tahmin!$C$4+35)),MONTH((Tahmin!$C$4+35)),MIN(DAY(Kalemler!$D80),DAY(EOMONTH((Tahmin!$C$4+35),0)))),DATE(YEAR((Tahmin!$C$4+41)),MONTH((Tahmin!$C$4+41)),MIN(DAY(Kalemler!$D80),DAY(EOMONTH((Tahmin!$C$4+41),0))))&gt;=Kalemler!$D80)),1,0),IF(AND(Kalemler!$D80&gt;=(Tahmin!$C$4+35),Kalemler!$D80&lt;=(Tahmin!$C$4+41)),1,0))))</f>
        <v>0</v>
      </c>
      <c r="H80" s="0" t="n">
        <f aca="false">IF(OR(Kalemler!$A80="",Kalemler!$C80="",Kalemler!$D80=""),0,Kalemler!$C80*IF(Kalemler!$E80="Haftalık",IF(Kalemler!$D80&lt;=(Tahmin!$C$4+48),1,0),IF(Kalemler!$E80="Aylık",IF(OR(AND(DATE(YEAR((Tahmin!$C$4+42)),MONTH((Tahmin!$C$4+42)),MIN(DAY(Kalemler!$D80),DAY(EOMONTH((Tahmin!$C$4+42),0))))&gt;=(Tahmin!$C$4+42),DATE(YEAR((Tahmin!$C$4+42)),MONTH((Tahmin!$C$4+42)),MIN(DAY(Kalemler!$D80),DAY(EOMONTH((Tahmin!$C$4+42),0))))&lt;=(Tahmin!$C$4+48),DATE(YEAR((Tahmin!$C$4+42)),MONTH((Tahmin!$C$4+42)),MIN(DAY(Kalemler!$D80),DAY(EOMONTH((Tahmin!$C$4+42),0))))&gt;=Kalemler!$D80),AND(DATE(YEAR((Tahmin!$C$4+48)),MONTH((Tahmin!$C$4+48)),MIN(DAY(Kalemler!$D80),DAY(EOMONTH((Tahmin!$C$4+48),0))))&gt;=(Tahmin!$C$4+42),DATE(YEAR((Tahmin!$C$4+48)),MONTH((Tahmin!$C$4+48)),MIN(DAY(Kalemler!$D80),DAY(EOMONTH((Tahmin!$C$4+48),0))))&lt;=(Tahmin!$C$4+48),DATE(YEAR((Tahmin!$C$4+48)),MONTH((Tahmin!$C$4+48)),MIN(DAY(Kalemler!$D80),DAY(EOMONTH((Tahmin!$C$4+48),0))))&lt;&gt;DATE(YEAR((Tahmin!$C$4+42)),MONTH((Tahmin!$C$4+42)),MIN(DAY(Kalemler!$D80),DAY(EOMONTH((Tahmin!$C$4+42),0)))),DATE(YEAR((Tahmin!$C$4+48)),MONTH((Tahmin!$C$4+48)),MIN(DAY(Kalemler!$D80),DAY(EOMONTH((Tahmin!$C$4+48),0))))&gt;=Kalemler!$D80)),1,0),IF(AND(Kalemler!$D80&gt;=(Tahmin!$C$4+42),Kalemler!$D80&lt;=(Tahmin!$C$4+48)),1,0))))</f>
        <v>0</v>
      </c>
      <c r="I80" s="0" t="n">
        <f aca="false">IF(OR(Kalemler!$A80="",Kalemler!$C80="",Kalemler!$D80=""),0,Kalemler!$C80*IF(Kalemler!$E80="Haftalık",IF(Kalemler!$D80&lt;=(Tahmin!$C$4+55),1,0),IF(Kalemler!$E80="Aylık",IF(OR(AND(DATE(YEAR((Tahmin!$C$4+49)),MONTH((Tahmin!$C$4+49)),MIN(DAY(Kalemler!$D80),DAY(EOMONTH((Tahmin!$C$4+49),0))))&gt;=(Tahmin!$C$4+49),DATE(YEAR((Tahmin!$C$4+49)),MONTH((Tahmin!$C$4+49)),MIN(DAY(Kalemler!$D80),DAY(EOMONTH((Tahmin!$C$4+49),0))))&lt;=(Tahmin!$C$4+55),DATE(YEAR((Tahmin!$C$4+49)),MONTH((Tahmin!$C$4+49)),MIN(DAY(Kalemler!$D80),DAY(EOMONTH((Tahmin!$C$4+49),0))))&gt;=Kalemler!$D80),AND(DATE(YEAR((Tahmin!$C$4+55)),MONTH((Tahmin!$C$4+55)),MIN(DAY(Kalemler!$D80),DAY(EOMONTH((Tahmin!$C$4+55),0))))&gt;=(Tahmin!$C$4+49),DATE(YEAR((Tahmin!$C$4+55)),MONTH((Tahmin!$C$4+55)),MIN(DAY(Kalemler!$D80),DAY(EOMONTH((Tahmin!$C$4+55),0))))&lt;=(Tahmin!$C$4+55),DATE(YEAR((Tahmin!$C$4+55)),MONTH((Tahmin!$C$4+55)),MIN(DAY(Kalemler!$D80),DAY(EOMONTH((Tahmin!$C$4+55),0))))&lt;&gt;DATE(YEAR((Tahmin!$C$4+49)),MONTH((Tahmin!$C$4+49)),MIN(DAY(Kalemler!$D80),DAY(EOMONTH((Tahmin!$C$4+49),0)))),DATE(YEAR((Tahmin!$C$4+55)),MONTH((Tahmin!$C$4+55)),MIN(DAY(Kalemler!$D80),DAY(EOMONTH((Tahmin!$C$4+55),0))))&gt;=Kalemler!$D80)),1,0),IF(AND(Kalemler!$D80&gt;=(Tahmin!$C$4+49),Kalemler!$D80&lt;=(Tahmin!$C$4+55)),1,0))))</f>
        <v>0</v>
      </c>
      <c r="J80" s="0" t="n">
        <f aca="false">IF(OR(Kalemler!$A80="",Kalemler!$C80="",Kalemler!$D80=""),0,Kalemler!$C80*IF(Kalemler!$E80="Haftalık",IF(Kalemler!$D80&lt;=(Tahmin!$C$4+62),1,0),IF(Kalemler!$E80="Aylık",IF(OR(AND(DATE(YEAR((Tahmin!$C$4+56)),MONTH((Tahmin!$C$4+56)),MIN(DAY(Kalemler!$D80),DAY(EOMONTH((Tahmin!$C$4+56),0))))&gt;=(Tahmin!$C$4+56),DATE(YEAR((Tahmin!$C$4+56)),MONTH((Tahmin!$C$4+56)),MIN(DAY(Kalemler!$D80),DAY(EOMONTH((Tahmin!$C$4+56),0))))&lt;=(Tahmin!$C$4+62),DATE(YEAR((Tahmin!$C$4+56)),MONTH((Tahmin!$C$4+56)),MIN(DAY(Kalemler!$D80),DAY(EOMONTH((Tahmin!$C$4+56),0))))&gt;=Kalemler!$D80),AND(DATE(YEAR((Tahmin!$C$4+62)),MONTH((Tahmin!$C$4+62)),MIN(DAY(Kalemler!$D80),DAY(EOMONTH((Tahmin!$C$4+62),0))))&gt;=(Tahmin!$C$4+56),DATE(YEAR((Tahmin!$C$4+62)),MONTH((Tahmin!$C$4+62)),MIN(DAY(Kalemler!$D80),DAY(EOMONTH((Tahmin!$C$4+62),0))))&lt;=(Tahmin!$C$4+62),DATE(YEAR((Tahmin!$C$4+62)),MONTH((Tahmin!$C$4+62)),MIN(DAY(Kalemler!$D80),DAY(EOMONTH((Tahmin!$C$4+62),0))))&lt;&gt;DATE(YEAR((Tahmin!$C$4+56)),MONTH((Tahmin!$C$4+56)),MIN(DAY(Kalemler!$D80),DAY(EOMONTH((Tahmin!$C$4+56),0)))),DATE(YEAR((Tahmin!$C$4+62)),MONTH((Tahmin!$C$4+62)),MIN(DAY(Kalemler!$D80),DAY(EOMONTH((Tahmin!$C$4+62),0))))&gt;=Kalemler!$D80)),1,0),IF(AND(Kalemler!$D80&gt;=(Tahmin!$C$4+56),Kalemler!$D80&lt;=(Tahmin!$C$4+62)),1,0))))</f>
        <v>0</v>
      </c>
      <c r="K80" s="0" t="n">
        <f aca="false">IF(OR(Kalemler!$A80="",Kalemler!$C80="",Kalemler!$D80=""),0,Kalemler!$C80*IF(Kalemler!$E80="Haftalık",IF(Kalemler!$D80&lt;=(Tahmin!$C$4+69),1,0),IF(Kalemler!$E80="Aylık",IF(OR(AND(DATE(YEAR((Tahmin!$C$4+63)),MONTH((Tahmin!$C$4+63)),MIN(DAY(Kalemler!$D80),DAY(EOMONTH((Tahmin!$C$4+63),0))))&gt;=(Tahmin!$C$4+63),DATE(YEAR((Tahmin!$C$4+63)),MONTH((Tahmin!$C$4+63)),MIN(DAY(Kalemler!$D80),DAY(EOMONTH((Tahmin!$C$4+63),0))))&lt;=(Tahmin!$C$4+69),DATE(YEAR((Tahmin!$C$4+63)),MONTH((Tahmin!$C$4+63)),MIN(DAY(Kalemler!$D80),DAY(EOMONTH((Tahmin!$C$4+63),0))))&gt;=Kalemler!$D80),AND(DATE(YEAR((Tahmin!$C$4+69)),MONTH((Tahmin!$C$4+69)),MIN(DAY(Kalemler!$D80),DAY(EOMONTH((Tahmin!$C$4+69),0))))&gt;=(Tahmin!$C$4+63),DATE(YEAR((Tahmin!$C$4+69)),MONTH((Tahmin!$C$4+69)),MIN(DAY(Kalemler!$D80),DAY(EOMONTH((Tahmin!$C$4+69),0))))&lt;=(Tahmin!$C$4+69),DATE(YEAR((Tahmin!$C$4+69)),MONTH((Tahmin!$C$4+69)),MIN(DAY(Kalemler!$D80),DAY(EOMONTH((Tahmin!$C$4+69),0))))&lt;&gt;DATE(YEAR((Tahmin!$C$4+63)),MONTH((Tahmin!$C$4+63)),MIN(DAY(Kalemler!$D80),DAY(EOMONTH((Tahmin!$C$4+63),0)))),DATE(YEAR((Tahmin!$C$4+69)),MONTH((Tahmin!$C$4+69)),MIN(DAY(Kalemler!$D80),DAY(EOMONTH((Tahmin!$C$4+69),0))))&gt;=Kalemler!$D80)),1,0),IF(AND(Kalemler!$D80&gt;=(Tahmin!$C$4+63),Kalemler!$D80&lt;=(Tahmin!$C$4+69)),1,0))))</f>
        <v>0</v>
      </c>
      <c r="L80" s="0" t="n">
        <f aca="false">IF(OR(Kalemler!$A80="",Kalemler!$C80="",Kalemler!$D80=""),0,Kalemler!$C80*IF(Kalemler!$E80="Haftalık",IF(Kalemler!$D80&lt;=(Tahmin!$C$4+76),1,0),IF(Kalemler!$E80="Aylık",IF(OR(AND(DATE(YEAR((Tahmin!$C$4+70)),MONTH((Tahmin!$C$4+70)),MIN(DAY(Kalemler!$D80),DAY(EOMONTH((Tahmin!$C$4+70),0))))&gt;=(Tahmin!$C$4+70),DATE(YEAR((Tahmin!$C$4+70)),MONTH((Tahmin!$C$4+70)),MIN(DAY(Kalemler!$D80),DAY(EOMONTH((Tahmin!$C$4+70),0))))&lt;=(Tahmin!$C$4+76),DATE(YEAR((Tahmin!$C$4+70)),MONTH((Tahmin!$C$4+70)),MIN(DAY(Kalemler!$D80),DAY(EOMONTH((Tahmin!$C$4+70),0))))&gt;=Kalemler!$D80),AND(DATE(YEAR((Tahmin!$C$4+76)),MONTH((Tahmin!$C$4+76)),MIN(DAY(Kalemler!$D80),DAY(EOMONTH((Tahmin!$C$4+76),0))))&gt;=(Tahmin!$C$4+70),DATE(YEAR((Tahmin!$C$4+76)),MONTH((Tahmin!$C$4+76)),MIN(DAY(Kalemler!$D80),DAY(EOMONTH((Tahmin!$C$4+76),0))))&lt;=(Tahmin!$C$4+76),DATE(YEAR((Tahmin!$C$4+76)),MONTH((Tahmin!$C$4+76)),MIN(DAY(Kalemler!$D80),DAY(EOMONTH((Tahmin!$C$4+76),0))))&lt;&gt;DATE(YEAR((Tahmin!$C$4+70)),MONTH((Tahmin!$C$4+70)),MIN(DAY(Kalemler!$D80),DAY(EOMONTH((Tahmin!$C$4+70),0)))),DATE(YEAR((Tahmin!$C$4+76)),MONTH((Tahmin!$C$4+76)),MIN(DAY(Kalemler!$D80),DAY(EOMONTH((Tahmin!$C$4+76),0))))&gt;=Kalemler!$D80)),1,0),IF(AND(Kalemler!$D80&gt;=(Tahmin!$C$4+70),Kalemler!$D80&lt;=(Tahmin!$C$4+76)),1,0))))</f>
        <v>0</v>
      </c>
      <c r="M80" s="0" t="n">
        <f aca="false">IF(OR(Kalemler!$A80="",Kalemler!$C80="",Kalemler!$D80=""),0,Kalemler!$C80*IF(Kalemler!$E80="Haftalık",IF(Kalemler!$D80&lt;=(Tahmin!$C$4+83),1,0),IF(Kalemler!$E80="Aylık",IF(OR(AND(DATE(YEAR((Tahmin!$C$4+77)),MONTH((Tahmin!$C$4+77)),MIN(DAY(Kalemler!$D80),DAY(EOMONTH((Tahmin!$C$4+77),0))))&gt;=(Tahmin!$C$4+77),DATE(YEAR((Tahmin!$C$4+77)),MONTH((Tahmin!$C$4+77)),MIN(DAY(Kalemler!$D80),DAY(EOMONTH((Tahmin!$C$4+77),0))))&lt;=(Tahmin!$C$4+83),DATE(YEAR((Tahmin!$C$4+77)),MONTH((Tahmin!$C$4+77)),MIN(DAY(Kalemler!$D80),DAY(EOMONTH((Tahmin!$C$4+77),0))))&gt;=Kalemler!$D80),AND(DATE(YEAR((Tahmin!$C$4+83)),MONTH((Tahmin!$C$4+83)),MIN(DAY(Kalemler!$D80),DAY(EOMONTH((Tahmin!$C$4+83),0))))&gt;=(Tahmin!$C$4+77),DATE(YEAR((Tahmin!$C$4+83)),MONTH((Tahmin!$C$4+83)),MIN(DAY(Kalemler!$D80),DAY(EOMONTH((Tahmin!$C$4+83),0))))&lt;=(Tahmin!$C$4+83),DATE(YEAR((Tahmin!$C$4+83)),MONTH((Tahmin!$C$4+83)),MIN(DAY(Kalemler!$D80),DAY(EOMONTH((Tahmin!$C$4+83),0))))&lt;&gt;DATE(YEAR((Tahmin!$C$4+77)),MONTH((Tahmin!$C$4+77)),MIN(DAY(Kalemler!$D80),DAY(EOMONTH((Tahmin!$C$4+77),0)))),DATE(YEAR((Tahmin!$C$4+83)),MONTH((Tahmin!$C$4+83)),MIN(DAY(Kalemler!$D80),DAY(EOMONTH((Tahmin!$C$4+83),0))))&gt;=Kalemler!$D80)),1,0),IF(AND(Kalemler!$D80&gt;=(Tahmin!$C$4+77),Kalemler!$D80&lt;=(Tahmin!$C$4+83)),1,0))))</f>
        <v>0</v>
      </c>
      <c r="N80" s="0" t="n">
        <f aca="false">IF(OR(Kalemler!$A80="",Kalemler!$C80="",Kalemler!$D80=""),0,Kalemler!$C80*IF(Kalemler!$E80="Haftalık",IF(Kalemler!$D80&lt;=(Tahmin!$C$4+90),1,0),IF(Kalemler!$E80="Aylık",IF(OR(AND(DATE(YEAR((Tahmin!$C$4+84)),MONTH((Tahmin!$C$4+84)),MIN(DAY(Kalemler!$D80),DAY(EOMONTH((Tahmin!$C$4+84),0))))&gt;=(Tahmin!$C$4+84),DATE(YEAR((Tahmin!$C$4+84)),MONTH((Tahmin!$C$4+84)),MIN(DAY(Kalemler!$D80),DAY(EOMONTH((Tahmin!$C$4+84),0))))&lt;=(Tahmin!$C$4+90),DATE(YEAR((Tahmin!$C$4+84)),MONTH((Tahmin!$C$4+84)),MIN(DAY(Kalemler!$D80),DAY(EOMONTH((Tahmin!$C$4+84),0))))&gt;=Kalemler!$D80),AND(DATE(YEAR((Tahmin!$C$4+90)),MONTH((Tahmin!$C$4+90)),MIN(DAY(Kalemler!$D80),DAY(EOMONTH((Tahmin!$C$4+90),0))))&gt;=(Tahmin!$C$4+84),DATE(YEAR((Tahmin!$C$4+90)),MONTH((Tahmin!$C$4+90)),MIN(DAY(Kalemler!$D80),DAY(EOMONTH((Tahmin!$C$4+90),0))))&lt;=(Tahmin!$C$4+90),DATE(YEAR((Tahmin!$C$4+90)),MONTH((Tahmin!$C$4+90)),MIN(DAY(Kalemler!$D80),DAY(EOMONTH((Tahmin!$C$4+90),0))))&lt;&gt;DATE(YEAR((Tahmin!$C$4+84)),MONTH((Tahmin!$C$4+84)),MIN(DAY(Kalemler!$D80),DAY(EOMONTH((Tahmin!$C$4+84),0)))),DATE(YEAR((Tahmin!$C$4+90)),MONTH((Tahmin!$C$4+90)),MIN(DAY(Kalemler!$D80),DAY(EOMONTH((Tahmin!$C$4+90),0))))&gt;=Kalemler!$D80)),1,0),IF(AND(Kalemler!$D80&gt;=(Tahmin!$C$4+84),Kalemler!$D80&lt;=(Tahmin!$C$4+90)),1,0))))</f>
        <v>0</v>
      </c>
    </row>
    <row r="81" customFormat="false" ht="15" hidden="false" customHeight="false" outlineLevel="0" collapsed="false">
      <c r="A81" s="0" t="str">
        <f aca="false">IF(Kalemler!A81="","",Kalemler!A81)</f>
        <v/>
      </c>
      <c r="B81" s="0" t="n">
        <f aca="false">IF(OR(Kalemler!$A81="",Kalemler!$C81="",Kalemler!$D81=""),0,Kalemler!$C81*IF(Kalemler!$E81="Haftalık",IF(Kalemler!$D81&lt;=(Tahmin!$C$4+6),1,0),IF(Kalemler!$E81="Aylık",IF(OR(AND(DATE(YEAR((Tahmin!$C$4+0)),MONTH((Tahmin!$C$4+0)),MIN(DAY(Kalemler!$D81),DAY(EOMONTH((Tahmin!$C$4+0),0))))&gt;=(Tahmin!$C$4+0),DATE(YEAR((Tahmin!$C$4+0)),MONTH((Tahmin!$C$4+0)),MIN(DAY(Kalemler!$D81),DAY(EOMONTH((Tahmin!$C$4+0),0))))&lt;=(Tahmin!$C$4+6),DATE(YEAR((Tahmin!$C$4+0)),MONTH((Tahmin!$C$4+0)),MIN(DAY(Kalemler!$D81),DAY(EOMONTH((Tahmin!$C$4+0),0))))&gt;=Kalemler!$D81),AND(DATE(YEAR((Tahmin!$C$4+6)),MONTH((Tahmin!$C$4+6)),MIN(DAY(Kalemler!$D81),DAY(EOMONTH((Tahmin!$C$4+6),0))))&gt;=(Tahmin!$C$4+0),DATE(YEAR((Tahmin!$C$4+6)),MONTH((Tahmin!$C$4+6)),MIN(DAY(Kalemler!$D81),DAY(EOMONTH((Tahmin!$C$4+6),0))))&lt;=(Tahmin!$C$4+6),DATE(YEAR((Tahmin!$C$4+6)),MONTH((Tahmin!$C$4+6)),MIN(DAY(Kalemler!$D81),DAY(EOMONTH((Tahmin!$C$4+6),0))))&lt;&gt;DATE(YEAR((Tahmin!$C$4+0)),MONTH((Tahmin!$C$4+0)),MIN(DAY(Kalemler!$D81),DAY(EOMONTH((Tahmin!$C$4+0),0)))),DATE(YEAR((Tahmin!$C$4+6)),MONTH((Tahmin!$C$4+6)),MIN(DAY(Kalemler!$D81),DAY(EOMONTH((Tahmin!$C$4+6),0))))&gt;=Kalemler!$D81)),1,0),IF(AND(Kalemler!$D81&gt;=(Tahmin!$C$4+0),Kalemler!$D81&lt;=(Tahmin!$C$4+6)),1,0))))</f>
        <v>0</v>
      </c>
      <c r="C81" s="0" t="n">
        <f aca="false">IF(OR(Kalemler!$A81="",Kalemler!$C81="",Kalemler!$D81=""),0,Kalemler!$C81*IF(Kalemler!$E81="Haftalık",IF(Kalemler!$D81&lt;=(Tahmin!$C$4+13),1,0),IF(Kalemler!$E81="Aylık",IF(OR(AND(DATE(YEAR((Tahmin!$C$4+7)),MONTH((Tahmin!$C$4+7)),MIN(DAY(Kalemler!$D81),DAY(EOMONTH((Tahmin!$C$4+7),0))))&gt;=(Tahmin!$C$4+7),DATE(YEAR((Tahmin!$C$4+7)),MONTH((Tahmin!$C$4+7)),MIN(DAY(Kalemler!$D81),DAY(EOMONTH((Tahmin!$C$4+7),0))))&lt;=(Tahmin!$C$4+13),DATE(YEAR((Tahmin!$C$4+7)),MONTH((Tahmin!$C$4+7)),MIN(DAY(Kalemler!$D81),DAY(EOMONTH((Tahmin!$C$4+7),0))))&gt;=Kalemler!$D81),AND(DATE(YEAR((Tahmin!$C$4+13)),MONTH((Tahmin!$C$4+13)),MIN(DAY(Kalemler!$D81),DAY(EOMONTH((Tahmin!$C$4+13),0))))&gt;=(Tahmin!$C$4+7),DATE(YEAR((Tahmin!$C$4+13)),MONTH((Tahmin!$C$4+13)),MIN(DAY(Kalemler!$D81),DAY(EOMONTH((Tahmin!$C$4+13),0))))&lt;=(Tahmin!$C$4+13),DATE(YEAR((Tahmin!$C$4+13)),MONTH((Tahmin!$C$4+13)),MIN(DAY(Kalemler!$D81),DAY(EOMONTH((Tahmin!$C$4+13),0))))&lt;&gt;DATE(YEAR((Tahmin!$C$4+7)),MONTH((Tahmin!$C$4+7)),MIN(DAY(Kalemler!$D81),DAY(EOMONTH((Tahmin!$C$4+7),0)))),DATE(YEAR((Tahmin!$C$4+13)),MONTH((Tahmin!$C$4+13)),MIN(DAY(Kalemler!$D81),DAY(EOMONTH((Tahmin!$C$4+13),0))))&gt;=Kalemler!$D81)),1,0),IF(AND(Kalemler!$D81&gt;=(Tahmin!$C$4+7),Kalemler!$D81&lt;=(Tahmin!$C$4+13)),1,0))))</f>
        <v>0</v>
      </c>
      <c r="D81" s="0" t="n">
        <f aca="false">IF(OR(Kalemler!$A81="",Kalemler!$C81="",Kalemler!$D81=""),0,Kalemler!$C81*IF(Kalemler!$E81="Haftalık",IF(Kalemler!$D81&lt;=(Tahmin!$C$4+20),1,0),IF(Kalemler!$E81="Aylık",IF(OR(AND(DATE(YEAR((Tahmin!$C$4+14)),MONTH((Tahmin!$C$4+14)),MIN(DAY(Kalemler!$D81),DAY(EOMONTH((Tahmin!$C$4+14),0))))&gt;=(Tahmin!$C$4+14),DATE(YEAR((Tahmin!$C$4+14)),MONTH((Tahmin!$C$4+14)),MIN(DAY(Kalemler!$D81),DAY(EOMONTH((Tahmin!$C$4+14),0))))&lt;=(Tahmin!$C$4+20),DATE(YEAR((Tahmin!$C$4+14)),MONTH((Tahmin!$C$4+14)),MIN(DAY(Kalemler!$D81),DAY(EOMONTH((Tahmin!$C$4+14),0))))&gt;=Kalemler!$D81),AND(DATE(YEAR((Tahmin!$C$4+20)),MONTH((Tahmin!$C$4+20)),MIN(DAY(Kalemler!$D81),DAY(EOMONTH((Tahmin!$C$4+20),0))))&gt;=(Tahmin!$C$4+14),DATE(YEAR((Tahmin!$C$4+20)),MONTH((Tahmin!$C$4+20)),MIN(DAY(Kalemler!$D81),DAY(EOMONTH((Tahmin!$C$4+20),0))))&lt;=(Tahmin!$C$4+20),DATE(YEAR((Tahmin!$C$4+20)),MONTH((Tahmin!$C$4+20)),MIN(DAY(Kalemler!$D81),DAY(EOMONTH((Tahmin!$C$4+20),0))))&lt;&gt;DATE(YEAR((Tahmin!$C$4+14)),MONTH((Tahmin!$C$4+14)),MIN(DAY(Kalemler!$D81),DAY(EOMONTH((Tahmin!$C$4+14),0)))),DATE(YEAR((Tahmin!$C$4+20)),MONTH((Tahmin!$C$4+20)),MIN(DAY(Kalemler!$D81),DAY(EOMONTH((Tahmin!$C$4+20),0))))&gt;=Kalemler!$D81)),1,0),IF(AND(Kalemler!$D81&gt;=(Tahmin!$C$4+14),Kalemler!$D81&lt;=(Tahmin!$C$4+20)),1,0))))</f>
        <v>0</v>
      </c>
      <c r="E81" s="0" t="n">
        <f aca="false">IF(OR(Kalemler!$A81="",Kalemler!$C81="",Kalemler!$D81=""),0,Kalemler!$C81*IF(Kalemler!$E81="Haftalık",IF(Kalemler!$D81&lt;=(Tahmin!$C$4+27),1,0),IF(Kalemler!$E81="Aylık",IF(OR(AND(DATE(YEAR((Tahmin!$C$4+21)),MONTH((Tahmin!$C$4+21)),MIN(DAY(Kalemler!$D81),DAY(EOMONTH((Tahmin!$C$4+21),0))))&gt;=(Tahmin!$C$4+21),DATE(YEAR((Tahmin!$C$4+21)),MONTH((Tahmin!$C$4+21)),MIN(DAY(Kalemler!$D81),DAY(EOMONTH((Tahmin!$C$4+21),0))))&lt;=(Tahmin!$C$4+27),DATE(YEAR((Tahmin!$C$4+21)),MONTH((Tahmin!$C$4+21)),MIN(DAY(Kalemler!$D81),DAY(EOMONTH((Tahmin!$C$4+21),0))))&gt;=Kalemler!$D81),AND(DATE(YEAR((Tahmin!$C$4+27)),MONTH((Tahmin!$C$4+27)),MIN(DAY(Kalemler!$D81),DAY(EOMONTH((Tahmin!$C$4+27),0))))&gt;=(Tahmin!$C$4+21),DATE(YEAR((Tahmin!$C$4+27)),MONTH((Tahmin!$C$4+27)),MIN(DAY(Kalemler!$D81),DAY(EOMONTH((Tahmin!$C$4+27),0))))&lt;=(Tahmin!$C$4+27),DATE(YEAR((Tahmin!$C$4+27)),MONTH((Tahmin!$C$4+27)),MIN(DAY(Kalemler!$D81),DAY(EOMONTH((Tahmin!$C$4+27),0))))&lt;&gt;DATE(YEAR((Tahmin!$C$4+21)),MONTH((Tahmin!$C$4+21)),MIN(DAY(Kalemler!$D81),DAY(EOMONTH((Tahmin!$C$4+21),0)))),DATE(YEAR((Tahmin!$C$4+27)),MONTH((Tahmin!$C$4+27)),MIN(DAY(Kalemler!$D81),DAY(EOMONTH((Tahmin!$C$4+27),0))))&gt;=Kalemler!$D81)),1,0),IF(AND(Kalemler!$D81&gt;=(Tahmin!$C$4+21),Kalemler!$D81&lt;=(Tahmin!$C$4+27)),1,0))))</f>
        <v>0</v>
      </c>
      <c r="F81" s="0" t="n">
        <f aca="false">IF(OR(Kalemler!$A81="",Kalemler!$C81="",Kalemler!$D81=""),0,Kalemler!$C81*IF(Kalemler!$E81="Haftalık",IF(Kalemler!$D81&lt;=(Tahmin!$C$4+34),1,0),IF(Kalemler!$E81="Aylık",IF(OR(AND(DATE(YEAR((Tahmin!$C$4+28)),MONTH((Tahmin!$C$4+28)),MIN(DAY(Kalemler!$D81),DAY(EOMONTH((Tahmin!$C$4+28),0))))&gt;=(Tahmin!$C$4+28),DATE(YEAR((Tahmin!$C$4+28)),MONTH((Tahmin!$C$4+28)),MIN(DAY(Kalemler!$D81),DAY(EOMONTH((Tahmin!$C$4+28),0))))&lt;=(Tahmin!$C$4+34),DATE(YEAR((Tahmin!$C$4+28)),MONTH((Tahmin!$C$4+28)),MIN(DAY(Kalemler!$D81),DAY(EOMONTH((Tahmin!$C$4+28),0))))&gt;=Kalemler!$D81),AND(DATE(YEAR((Tahmin!$C$4+34)),MONTH((Tahmin!$C$4+34)),MIN(DAY(Kalemler!$D81),DAY(EOMONTH((Tahmin!$C$4+34),0))))&gt;=(Tahmin!$C$4+28),DATE(YEAR((Tahmin!$C$4+34)),MONTH((Tahmin!$C$4+34)),MIN(DAY(Kalemler!$D81),DAY(EOMONTH((Tahmin!$C$4+34),0))))&lt;=(Tahmin!$C$4+34),DATE(YEAR((Tahmin!$C$4+34)),MONTH((Tahmin!$C$4+34)),MIN(DAY(Kalemler!$D81),DAY(EOMONTH((Tahmin!$C$4+34),0))))&lt;&gt;DATE(YEAR((Tahmin!$C$4+28)),MONTH((Tahmin!$C$4+28)),MIN(DAY(Kalemler!$D81),DAY(EOMONTH((Tahmin!$C$4+28),0)))),DATE(YEAR((Tahmin!$C$4+34)),MONTH((Tahmin!$C$4+34)),MIN(DAY(Kalemler!$D81),DAY(EOMONTH((Tahmin!$C$4+34),0))))&gt;=Kalemler!$D81)),1,0),IF(AND(Kalemler!$D81&gt;=(Tahmin!$C$4+28),Kalemler!$D81&lt;=(Tahmin!$C$4+34)),1,0))))</f>
        <v>0</v>
      </c>
      <c r="G81" s="0" t="n">
        <f aca="false">IF(OR(Kalemler!$A81="",Kalemler!$C81="",Kalemler!$D81=""),0,Kalemler!$C81*IF(Kalemler!$E81="Haftalık",IF(Kalemler!$D81&lt;=(Tahmin!$C$4+41),1,0),IF(Kalemler!$E81="Aylık",IF(OR(AND(DATE(YEAR((Tahmin!$C$4+35)),MONTH((Tahmin!$C$4+35)),MIN(DAY(Kalemler!$D81),DAY(EOMONTH((Tahmin!$C$4+35),0))))&gt;=(Tahmin!$C$4+35),DATE(YEAR((Tahmin!$C$4+35)),MONTH((Tahmin!$C$4+35)),MIN(DAY(Kalemler!$D81),DAY(EOMONTH((Tahmin!$C$4+35),0))))&lt;=(Tahmin!$C$4+41),DATE(YEAR((Tahmin!$C$4+35)),MONTH((Tahmin!$C$4+35)),MIN(DAY(Kalemler!$D81),DAY(EOMONTH((Tahmin!$C$4+35),0))))&gt;=Kalemler!$D81),AND(DATE(YEAR((Tahmin!$C$4+41)),MONTH((Tahmin!$C$4+41)),MIN(DAY(Kalemler!$D81),DAY(EOMONTH((Tahmin!$C$4+41),0))))&gt;=(Tahmin!$C$4+35),DATE(YEAR((Tahmin!$C$4+41)),MONTH((Tahmin!$C$4+41)),MIN(DAY(Kalemler!$D81),DAY(EOMONTH((Tahmin!$C$4+41),0))))&lt;=(Tahmin!$C$4+41),DATE(YEAR((Tahmin!$C$4+41)),MONTH((Tahmin!$C$4+41)),MIN(DAY(Kalemler!$D81),DAY(EOMONTH((Tahmin!$C$4+41),0))))&lt;&gt;DATE(YEAR((Tahmin!$C$4+35)),MONTH((Tahmin!$C$4+35)),MIN(DAY(Kalemler!$D81),DAY(EOMONTH((Tahmin!$C$4+35),0)))),DATE(YEAR((Tahmin!$C$4+41)),MONTH((Tahmin!$C$4+41)),MIN(DAY(Kalemler!$D81),DAY(EOMONTH((Tahmin!$C$4+41),0))))&gt;=Kalemler!$D81)),1,0),IF(AND(Kalemler!$D81&gt;=(Tahmin!$C$4+35),Kalemler!$D81&lt;=(Tahmin!$C$4+41)),1,0))))</f>
        <v>0</v>
      </c>
      <c r="H81" s="0" t="n">
        <f aca="false">IF(OR(Kalemler!$A81="",Kalemler!$C81="",Kalemler!$D81=""),0,Kalemler!$C81*IF(Kalemler!$E81="Haftalık",IF(Kalemler!$D81&lt;=(Tahmin!$C$4+48),1,0),IF(Kalemler!$E81="Aylık",IF(OR(AND(DATE(YEAR((Tahmin!$C$4+42)),MONTH((Tahmin!$C$4+42)),MIN(DAY(Kalemler!$D81),DAY(EOMONTH((Tahmin!$C$4+42),0))))&gt;=(Tahmin!$C$4+42),DATE(YEAR((Tahmin!$C$4+42)),MONTH((Tahmin!$C$4+42)),MIN(DAY(Kalemler!$D81),DAY(EOMONTH((Tahmin!$C$4+42),0))))&lt;=(Tahmin!$C$4+48),DATE(YEAR((Tahmin!$C$4+42)),MONTH((Tahmin!$C$4+42)),MIN(DAY(Kalemler!$D81),DAY(EOMONTH((Tahmin!$C$4+42),0))))&gt;=Kalemler!$D81),AND(DATE(YEAR((Tahmin!$C$4+48)),MONTH((Tahmin!$C$4+48)),MIN(DAY(Kalemler!$D81),DAY(EOMONTH((Tahmin!$C$4+48),0))))&gt;=(Tahmin!$C$4+42),DATE(YEAR((Tahmin!$C$4+48)),MONTH((Tahmin!$C$4+48)),MIN(DAY(Kalemler!$D81),DAY(EOMONTH((Tahmin!$C$4+48),0))))&lt;=(Tahmin!$C$4+48),DATE(YEAR((Tahmin!$C$4+48)),MONTH((Tahmin!$C$4+48)),MIN(DAY(Kalemler!$D81),DAY(EOMONTH((Tahmin!$C$4+48),0))))&lt;&gt;DATE(YEAR((Tahmin!$C$4+42)),MONTH((Tahmin!$C$4+42)),MIN(DAY(Kalemler!$D81),DAY(EOMONTH((Tahmin!$C$4+42),0)))),DATE(YEAR((Tahmin!$C$4+48)),MONTH((Tahmin!$C$4+48)),MIN(DAY(Kalemler!$D81),DAY(EOMONTH((Tahmin!$C$4+48),0))))&gt;=Kalemler!$D81)),1,0),IF(AND(Kalemler!$D81&gt;=(Tahmin!$C$4+42),Kalemler!$D81&lt;=(Tahmin!$C$4+48)),1,0))))</f>
        <v>0</v>
      </c>
      <c r="I81" s="0" t="n">
        <f aca="false">IF(OR(Kalemler!$A81="",Kalemler!$C81="",Kalemler!$D81=""),0,Kalemler!$C81*IF(Kalemler!$E81="Haftalık",IF(Kalemler!$D81&lt;=(Tahmin!$C$4+55),1,0),IF(Kalemler!$E81="Aylık",IF(OR(AND(DATE(YEAR((Tahmin!$C$4+49)),MONTH((Tahmin!$C$4+49)),MIN(DAY(Kalemler!$D81),DAY(EOMONTH((Tahmin!$C$4+49),0))))&gt;=(Tahmin!$C$4+49),DATE(YEAR((Tahmin!$C$4+49)),MONTH((Tahmin!$C$4+49)),MIN(DAY(Kalemler!$D81),DAY(EOMONTH((Tahmin!$C$4+49),0))))&lt;=(Tahmin!$C$4+55),DATE(YEAR((Tahmin!$C$4+49)),MONTH((Tahmin!$C$4+49)),MIN(DAY(Kalemler!$D81),DAY(EOMONTH((Tahmin!$C$4+49),0))))&gt;=Kalemler!$D81),AND(DATE(YEAR((Tahmin!$C$4+55)),MONTH((Tahmin!$C$4+55)),MIN(DAY(Kalemler!$D81),DAY(EOMONTH((Tahmin!$C$4+55),0))))&gt;=(Tahmin!$C$4+49),DATE(YEAR((Tahmin!$C$4+55)),MONTH((Tahmin!$C$4+55)),MIN(DAY(Kalemler!$D81),DAY(EOMONTH((Tahmin!$C$4+55),0))))&lt;=(Tahmin!$C$4+55),DATE(YEAR((Tahmin!$C$4+55)),MONTH((Tahmin!$C$4+55)),MIN(DAY(Kalemler!$D81),DAY(EOMONTH((Tahmin!$C$4+55),0))))&lt;&gt;DATE(YEAR((Tahmin!$C$4+49)),MONTH((Tahmin!$C$4+49)),MIN(DAY(Kalemler!$D81),DAY(EOMONTH((Tahmin!$C$4+49),0)))),DATE(YEAR((Tahmin!$C$4+55)),MONTH((Tahmin!$C$4+55)),MIN(DAY(Kalemler!$D81),DAY(EOMONTH((Tahmin!$C$4+55),0))))&gt;=Kalemler!$D81)),1,0),IF(AND(Kalemler!$D81&gt;=(Tahmin!$C$4+49),Kalemler!$D81&lt;=(Tahmin!$C$4+55)),1,0))))</f>
        <v>0</v>
      </c>
      <c r="J81" s="0" t="n">
        <f aca="false">IF(OR(Kalemler!$A81="",Kalemler!$C81="",Kalemler!$D81=""),0,Kalemler!$C81*IF(Kalemler!$E81="Haftalık",IF(Kalemler!$D81&lt;=(Tahmin!$C$4+62),1,0),IF(Kalemler!$E81="Aylık",IF(OR(AND(DATE(YEAR((Tahmin!$C$4+56)),MONTH((Tahmin!$C$4+56)),MIN(DAY(Kalemler!$D81),DAY(EOMONTH((Tahmin!$C$4+56),0))))&gt;=(Tahmin!$C$4+56),DATE(YEAR((Tahmin!$C$4+56)),MONTH((Tahmin!$C$4+56)),MIN(DAY(Kalemler!$D81),DAY(EOMONTH((Tahmin!$C$4+56),0))))&lt;=(Tahmin!$C$4+62),DATE(YEAR((Tahmin!$C$4+56)),MONTH((Tahmin!$C$4+56)),MIN(DAY(Kalemler!$D81),DAY(EOMONTH((Tahmin!$C$4+56),0))))&gt;=Kalemler!$D81),AND(DATE(YEAR((Tahmin!$C$4+62)),MONTH((Tahmin!$C$4+62)),MIN(DAY(Kalemler!$D81),DAY(EOMONTH((Tahmin!$C$4+62),0))))&gt;=(Tahmin!$C$4+56),DATE(YEAR((Tahmin!$C$4+62)),MONTH((Tahmin!$C$4+62)),MIN(DAY(Kalemler!$D81),DAY(EOMONTH((Tahmin!$C$4+62),0))))&lt;=(Tahmin!$C$4+62),DATE(YEAR((Tahmin!$C$4+62)),MONTH((Tahmin!$C$4+62)),MIN(DAY(Kalemler!$D81),DAY(EOMONTH((Tahmin!$C$4+62),0))))&lt;&gt;DATE(YEAR((Tahmin!$C$4+56)),MONTH((Tahmin!$C$4+56)),MIN(DAY(Kalemler!$D81),DAY(EOMONTH((Tahmin!$C$4+56),0)))),DATE(YEAR((Tahmin!$C$4+62)),MONTH((Tahmin!$C$4+62)),MIN(DAY(Kalemler!$D81),DAY(EOMONTH((Tahmin!$C$4+62),0))))&gt;=Kalemler!$D81)),1,0),IF(AND(Kalemler!$D81&gt;=(Tahmin!$C$4+56),Kalemler!$D81&lt;=(Tahmin!$C$4+62)),1,0))))</f>
        <v>0</v>
      </c>
      <c r="K81" s="0" t="n">
        <f aca="false">IF(OR(Kalemler!$A81="",Kalemler!$C81="",Kalemler!$D81=""),0,Kalemler!$C81*IF(Kalemler!$E81="Haftalık",IF(Kalemler!$D81&lt;=(Tahmin!$C$4+69),1,0),IF(Kalemler!$E81="Aylık",IF(OR(AND(DATE(YEAR((Tahmin!$C$4+63)),MONTH((Tahmin!$C$4+63)),MIN(DAY(Kalemler!$D81),DAY(EOMONTH((Tahmin!$C$4+63),0))))&gt;=(Tahmin!$C$4+63),DATE(YEAR((Tahmin!$C$4+63)),MONTH((Tahmin!$C$4+63)),MIN(DAY(Kalemler!$D81),DAY(EOMONTH((Tahmin!$C$4+63),0))))&lt;=(Tahmin!$C$4+69),DATE(YEAR((Tahmin!$C$4+63)),MONTH((Tahmin!$C$4+63)),MIN(DAY(Kalemler!$D81),DAY(EOMONTH((Tahmin!$C$4+63),0))))&gt;=Kalemler!$D81),AND(DATE(YEAR((Tahmin!$C$4+69)),MONTH((Tahmin!$C$4+69)),MIN(DAY(Kalemler!$D81),DAY(EOMONTH((Tahmin!$C$4+69),0))))&gt;=(Tahmin!$C$4+63),DATE(YEAR((Tahmin!$C$4+69)),MONTH((Tahmin!$C$4+69)),MIN(DAY(Kalemler!$D81),DAY(EOMONTH((Tahmin!$C$4+69),0))))&lt;=(Tahmin!$C$4+69),DATE(YEAR((Tahmin!$C$4+69)),MONTH((Tahmin!$C$4+69)),MIN(DAY(Kalemler!$D81),DAY(EOMONTH((Tahmin!$C$4+69),0))))&lt;&gt;DATE(YEAR((Tahmin!$C$4+63)),MONTH((Tahmin!$C$4+63)),MIN(DAY(Kalemler!$D81),DAY(EOMONTH((Tahmin!$C$4+63),0)))),DATE(YEAR((Tahmin!$C$4+69)),MONTH((Tahmin!$C$4+69)),MIN(DAY(Kalemler!$D81),DAY(EOMONTH((Tahmin!$C$4+69),0))))&gt;=Kalemler!$D81)),1,0),IF(AND(Kalemler!$D81&gt;=(Tahmin!$C$4+63),Kalemler!$D81&lt;=(Tahmin!$C$4+69)),1,0))))</f>
        <v>0</v>
      </c>
      <c r="L81" s="0" t="n">
        <f aca="false">IF(OR(Kalemler!$A81="",Kalemler!$C81="",Kalemler!$D81=""),0,Kalemler!$C81*IF(Kalemler!$E81="Haftalık",IF(Kalemler!$D81&lt;=(Tahmin!$C$4+76),1,0),IF(Kalemler!$E81="Aylık",IF(OR(AND(DATE(YEAR((Tahmin!$C$4+70)),MONTH((Tahmin!$C$4+70)),MIN(DAY(Kalemler!$D81),DAY(EOMONTH((Tahmin!$C$4+70),0))))&gt;=(Tahmin!$C$4+70),DATE(YEAR((Tahmin!$C$4+70)),MONTH((Tahmin!$C$4+70)),MIN(DAY(Kalemler!$D81),DAY(EOMONTH((Tahmin!$C$4+70),0))))&lt;=(Tahmin!$C$4+76),DATE(YEAR((Tahmin!$C$4+70)),MONTH((Tahmin!$C$4+70)),MIN(DAY(Kalemler!$D81),DAY(EOMONTH((Tahmin!$C$4+70),0))))&gt;=Kalemler!$D81),AND(DATE(YEAR((Tahmin!$C$4+76)),MONTH((Tahmin!$C$4+76)),MIN(DAY(Kalemler!$D81),DAY(EOMONTH((Tahmin!$C$4+76),0))))&gt;=(Tahmin!$C$4+70),DATE(YEAR((Tahmin!$C$4+76)),MONTH((Tahmin!$C$4+76)),MIN(DAY(Kalemler!$D81),DAY(EOMONTH((Tahmin!$C$4+76),0))))&lt;=(Tahmin!$C$4+76),DATE(YEAR((Tahmin!$C$4+76)),MONTH((Tahmin!$C$4+76)),MIN(DAY(Kalemler!$D81),DAY(EOMONTH((Tahmin!$C$4+76),0))))&lt;&gt;DATE(YEAR((Tahmin!$C$4+70)),MONTH((Tahmin!$C$4+70)),MIN(DAY(Kalemler!$D81),DAY(EOMONTH((Tahmin!$C$4+70),0)))),DATE(YEAR((Tahmin!$C$4+76)),MONTH((Tahmin!$C$4+76)),MIN(DAY(Kalemler!$D81),DAY(EOMONTH((Tahmin!$C$4+76),0))))&gt;=Kalemler!$D81)),1,0),IF(AND(Kalemler!$D81&gt;=(Tahmin!$C$4+70),Kalemler!$D81&lt;=(Tahmin!$C$4+76)),1,0))))</f>
        <v>0</v>
      </c>
      <c r="M81" s="0" t="n">
        <f aca="false">IF(OR(Kalemler!$A81="",Kalemler!$C81="",Kalemler!$D81=""),0,Kalemler!$C81*IF(Kalemler!$E81="Haftalık",IF(Kalemler!$D81&lt;=(Tahmin!$C$4+83),1,0),IF(Kalemler!$E81="Aylık",IF(OR(AND(DATE(YEAR((Tahmin!$C$4+77)),MONTH((Tahmin!$C$4+77)),MIN(DAY(Kalemler!$D81),DAY(EOMONTH((Tahmin!$C$4+77),0))))&gt;=(Tahmin!$C$4+77),DATE(YEAR((Tahmin!$C$4+77)),MONTH((Tahmin!$C$4+77)),MIN(DAY(Kalemler!$D81),DAY(EOMONTH((Tahmin!$C$4+77),0))))&lt;=(Tahmin!$C$4+83),DATE(YEAR((Tahmin!$C$4+77)),MONTH((Tahmin!$C$4+77)),MIN(DAY(Kalemler!$D81),DAY(EOMONTH((Tahmin!$C$4+77),0))))&gt;=Kalemler!$D81),AND(DATE(YEAR((Tahmin!$C$4+83)),MONTH((Tahmin!$C$4+83)),MIN(DAY(Kalemler!$D81),DAY(EOMONTH((Tahmin!$C$4+83),0))))&gt;=(Tahmin!$C$4+77),DATE(YEAR((Tahmin!$C$4+83)),MONTH((Tahmin!$C$4+83)),MIN(DAY(Kalemler!$D81),DAY(EOMONTH((Tahmin!$C$4+83),0))))&lt;=(Tahmin!$C$4+83),DATE(YEAR((Tahmin!$C$4+83)),MONTH((Tahmin!$C$4+83)),MIN(DAY(Kalemler!$D81),DAY(EOMONTH((Tahmin!$C$4+83),0))))&lt;&gt;DATE(YEAR((Tahmin!$C$4+77)),MONTH((Tahmin!$C$4+77)),MIN(DAY(Kalemler!$D81),DAY(EOMONTH((Tahmin!$C$4+77),0)))),DATE(YEAR((Tahmin!$C$4+83)),MONTH((Tahmin!$C$4+83)),MIN(DAY(Kalemler!$D81),DAY(EOMONTH((Tahmin!$C$4+83),0))))&gt;=Kalemler!$D81)),1,0),IF(AND(Kalemler!$D81&gt;=(Tahmin!$C$4+77),Kalemler!$D81&lt;=(Tahmin!$C$4+83)),1,0))))</f>
        <v>0</v>
      </c>
      <c r="N81" s="0" t="n">
        <f aca="false">IF(OR(Kalemler!$A81="",Kalemler!$C81="",Kalemler!$D81=""),0,Kalemler!$C81*IF(Kalemler!$E81="Haftalık",IF(Kalemler!$D81&lt;=(Tahmin!$C$4+90),1,0),IF(Kalemler!$E81="Aylık",IF(OR(AND(DATE(YEAR((Tahmin!$C$4+84)),MONTH((Tahmin!$C$4+84)),MIN(DAY(Kalemler!$D81),DAY(EOMONTH((Tahmin!$C$4+84),0))))&gt;=(Tahmin!$C$4+84),DATE(YEAR((Tahmin!$C$4+84)),MONTH((Tahmin!$C$4+84)),MIN(DAY(Kalemler!$D81),DAY(EOMONTH((Tahmin!$C$4+84),0))))&lt;=(Tahmin!$C$4+90),DATE(YEAR((Tahmin!$C$4+84)),MONTH((Tahmin!$C$4+84)),MIN(DAY(Kalemler!$D81),DAY(EOMONTH((Tahmin!$C$4+84),0))))&gt;=Kalemler!$D81),AND(DATE(YEAR((Tahmin!$C$4+90)),MONTH((Tahmin!$C$4+90)),MIN(DAY(Kalemler!$D81),DAY(EOMONTH((Tahmin!$C$4+90),0))))&gt;=(Tahmin!$C$4+84),DATE(YEAR((Tahmin!$C$4+90)),MONTH((Tahmin!$C$4+90)),MIN(DAY(Kalemler!$D81),DAY(EOMONTH((Tahmin!$C$4+90),0))))&lt;=(Tahmin!$C$4+90),DATE(YEAR((Tahmin!$C$4+90)),MONTH((Tahmin!$C$4+90)),MIN(DAY(Kalemler!$D81),DAY(EOMONTH((Tahmin!$C$4+90),0))))&lt;&gt;DATE(YEAR((Tahmin!$C$4+84)),MONTH((Tahmin!$C$4+84)),MIN(DAY(Kalemler!$D81),DAY(EOMONTH((Tahmin!$C$4+84),0)))),DATE(YEAR((Tahmin!$C$4+90)),MONTH((Tahmin!$C$4+90)),MIN(DAY(Kalemler!$D81),DAY(EOMONTH((Tahmin!$C$4+90),0))))&gt;=Kalemler!$D81)),1,0),IF(AND(Kalemler!$D81&gt;=(Tahmin!$C$4+84),Kalemler!$D81&lt;=(Tahmin!$C$4+90)),1,0))))</f>
        <v>0</v>
      </c>
    </row>
    <row r="82" customFormat="false" ht="15" hidden="false" customHeight="false" outlineLevel="0" collapsed="false">
      <c r="A82" s="0" t="str">
        <f aca="false">IF(Kalemler!A82="","",Kalemler!A82)</f>
        <v/>
      </c>
      <c r="B82" s="0" t="n">
        <f aca="false">IF(OR(Kalemler!$A82="",Kalemler!$C82="",Kalemler!$D82=""),0,Kalemler!$C82*IF(Kalemler!$E82="Haftalık",IF(Kalemler!$D82&lt;=(Tahmin!$C$4+6),1,0),IF(Kalemler!$E82="Aylık",IF(OR(AND(DATE(YEAR((Tahmin!$C$4+0)),MONTH((Tahmin!$C$4+0)),MIN(DAY(Kalemler!$D82),DAY(EOMONTH((Tahmin!$C$4+0),0))))&gt;=(Tahmin!$C$4+0),DATE(YEAR((Tahmin!$C$4+0)),MONTH((Tahmin!$C$4+0)),MIN(DAY(Kalemler!$D82),DAY(EOMONTH((Tahmin!$C$4+0),0))))&lt;=(Tahmin!$C$4+6),DATE(YEAR((Tahmin!$C$4+0)),MONTH((Tahmin!$C$4+0)),MIN(DAY(Kalemler!$D82),DAY(EOMONTH((Tahmin!$C$4+0),0))))&gt;=Kalemler!$D82),AND(DATE(YEAR((Tahmin!$C$4+6)),MONTH((Tahmin!$C$4+6)),MIN(DAY(Kalemler!$D82),DAY(EOMONTH((Tahmin!$C$4+6),0))))&gt;=(Tahmin!$C$4+0),DATE(YEAR((Tahmin!$C$4+6)),MONTH((Tahmin!$C$4+6)),MIN(DAY(Kalemler!$D82),DAY(EOMONTH((Tahmin!$C$4+6),0))))&lt;=(Tahmin!$C$4+6),DATE(YEAR((Tahmin!$C$4+6)),MONTH((Tahmin!$C$4+6)),MIN(DAY(Kalemler!$D82),DAY(EOMONTH((Tahmin!$C$4+6),0))))&lt;&gt;DATE(YEAR((Tahmin!$C$4+0)),MONTH((Tahmin!$C$4+0)),MIN(DAY(Kalemler!$D82),DAY(EOMONTH((Tahmin!$C$4+0),0)))),DATE(YEAR((Tahmin!$C$4+6)),MONTH((Tahmin!$C$4+6)),MIN(DAY(Kalemler!$D82),DAY(EOMONTH((Tahmin!$C$4+6),0))))&gt;=Kalemler!$D82)),1,0),IF(AND(Kalemler!$D82&gt;=(Tahmin!$C$4+0),Kalemler!$D82&lt;=(Tahmin!$C$4+6)),1,0))))</f>
        <v>0</v>
      </c>
      <c r="C82" s="0" t="n">
        <f aca="false">IF(OR(Kalemler!$A82="",Kalemler!$C82="",Kalemler!$D82=""),0,Kalemler!$C82*IF(Kalemler!$E82="Haftalık",IF(Kalemler!$D82&lt;=(Tahmin!$C$4+13),1,0),IF(Kalemler!$E82="Aylık",IF(OR(AND(DATE(YEAR((Tahmin!$C$4+7)),MONTH((Tahmin!$C$4+7)),MIN(DAY(Kalemler!$D82),DAY(EOMONTH((Tahmin!$C$4+7),0))))&gt;=(Tahmin!$C$4+7),DATE(YEAR((Tahmin!$C$4+7)),MONTH((Tahmin!$C$4+7)),MIN(DAY(Kalemler!$D82),DAY(EOMONTH((Tahmin!$C$4+7),0))))&lt;=(Tahmin!$C$4+13),DATE(YEAR((Tahmin!$C$4+7)),MONTH((Tahmin!$C$4+7)),MIN(DAY(Kalemler!$D82),DAY(EOMONTH((Tahmin!$C$4+7),0))))&gt;=Kalemler!$D82),AND(DATE(YEAR((Tahmin!$C$4+13)),MONTH((Tahmin!$C$4+13)),MIN(DAY(Kalemler!$D82),DAY(EOMONTH((Tahmin!$C$4+13),0))))&gt;=(Tahmin!$C$4+7),DATE(YEAR((Tahmin!$C$4+13)),MONTH((Tahmin!$C$4+13)),MIN(DAY(Kalemler!$D82),DAY(EOMONTH((Tahmin!$C$4+13),0))))&lt;=(Tahmin!$C$4+13),DATE(YEAR((Tahmin!$C$4+13)),MONTH((Tahmin!$C$4+13)),MIN(DAY(Kalemler!$D82),DAY(EOMONTH((Tahmin!$C$4+13),0))))&lt;&gt;DATE(YEAR((Tahmin!$C$4+7)),MONTH((Tahmin!$C$4+7)),MIN(DAY(Kalemler!$D82),DAY(EOMONTH((Tahmin!$C$4+7),0)))),DATE(YEAR((Tahmin!$C$4+13)),MONTH((Tahmin!$C$4+13)),MIN(DAY(Kalemler!$D82),DAY(EOMONTH((Tahmin!$C$4+13),0))))&gt;=Kalemler!$D82)),1,0),IF(AND(Kalemler!$D82&gt;=(Tahmin!$C$4+7),Kalemler!$D82&lt;=(Tahmin!$C$4+13)),1,0))))</f>
        <v>0</v>
      </c>
      <c r="D82" s="0" t="n">
        <f aca="false">IF(OR(Kalemler!$A82="",Kalemler!$C82="",Kalemler!$D82=""),0,Kalemler!$C82*IF(Kalemler!$E82="Haftalık",IF(Kalemler!$D82&lt;=(Tahmin!$C$4+20),1,0),IF(Kalemler!$E82="Aylık",IF(OR(AND(DATE(YEAR((Tahmin!$C$4+14)),MONTH((Tahmin!$C$4+14)),MIN(DAY(Kalemler!$D82),DAY(EOMONTH((Tahmin!$C$4+14),0))))&gt;=(Tahmin!$C$4+14),DATE(YEAR((Tahmin!$C$4+14)),MONTH((Tahmin!$C$4+14)),MIN(DAY(Kalemler!$D82),DAY(EOMONTH((Tahmin!$C$4+14),0))))&lt;=(Tahmin!$C$4+20),DATE(YEAR((Tahmin!$C$4+14)),MONTH((Tahmin!$C$4+14)),MIN(DAY(Kalemler!$D82),DAY(EOMONTH((Tahmin!$C$4+14),0))))&gt;=Kalemler!$D82),AND(DATE(YEAR((Tahmin!$C$4+20)),MONTH((Tahmin!$C$4+20)),MIN(DAY(Kalemler!$D82),DAY(EOMONTH((Tahmin!$C$4+20),0))))&gt;=(Tahmin!$C$4+14),DATE(YEAR((Tahmin!$C$4+20)),MONTH((Tahmin!$C$4+20)),MIN(DAY(Kalemler!$D82),DAY(EOMONTH((Tahmin!$C$4+20),0))))&lt;=(Tahmin!$C$4+20),DATE(YEAR((Tahmin!$C$4+20)),MONTH((Tahmin!$C$4+20)),MIN(DAY(Kalemler!$D82),DAY(EOMONTH((Tahmin!$C$4+20),0))))&lt;&gt;DATE(YEAR((Tahmin!$C$4+14)),MONTH((Tahmin!$C$4+14)),MIN(DAY(Kalemler!$D82),DAY(EOMONTH((Tahmin!$C$4+14),0)))),DATE(YEAR((Tahmin!$C$4+20)),MONTH((Tahmin!$C$4+20)),MIN(DAY(Kalemler!$D82),DAY(EOMONTH((Tahmin!$C$4+20),0))))&gt;=Kalemler!$D82)),1,0),IF(AND(Kalemler!$D82&gt;=(Tahmin!$C$4+14),Kalemler!$D82&lt;=(Tahmin!$C$4+20)),1,0))))</f>
        <v>0</v>
      </c>
      <c r="E82" s="0" t="n">
        <f aca="false">IF(OR(Kalemler!$A82="",Kalemler!$C82="",Kalemler!$D82=""),0,Kalemler!$C82*IF(Kalemler!$E82="Haftalık",IF(Kalemler!$D82&lt;=(Tahmin!$C$4+27),1,0),IF(Kalemler!$E82="Aylık",IF(OR(AND(DATE(YEAR((Tahmin!$C$4+21)),MONTH((Tahmin!$C$4+21)),MIN(DAY(Kalemler!$D82),DAY(EOMONTH((Tahmin!$C$4+21),0))))&gt;=(Tahmin!$C$4+21),DATE(YEAR((Tahmin!$C$4+21)),MONTH((Tahmin!$C$4+21)),MIN(DAY(Kalemler!$D82),DAY(EOMONTH((Tahmin!$C$4+21),0))))&lt;=(Tahmin!$C$4+27),DATE(YEAR((Tahmin!$C$4+21)),MONTH((Tahmin!$C$4+21)),MIN(DAY(Kalemler!$D82),DAY(EOMONTH((Tahmin!$C$4+21),0))))&gt;=Kalemler!$D82),AND(DATE(YEAR((Tahmin!$C$4+27)),MONTH((Tahmin!$C$4+27)),MIN(DAY(Kalemler!$D82),DAY(EOMONTH((Tahmin!$C$4+27),0))))&gt;=(Tahmin!$C$4+21),DATE(YEAR((Tahmin!$C$4+27)),MONTH((Tahmin!$C$4+27)),MIN(DAY(Kalemler!$D82),DAY(EOMONTH((Tahmin!$C$4+27),0))))&lt;=(Tahmin!$C$4+27),DATE(YEAR((Tahmin!$C$4+27)),MONTH((Tahmin!$C$4+27)),MIN(DAY(Kalemler!$D82),DAY(EOMONTH((Tahmin!$C$4+27),0))))&lt;&gt;DATE(YEAR((Tahmin!$C$4+21)),MONTH((Tahmin!$C$4+21)),MIN(DAY(Kalemler!$D82),DAY(EOMONTH((Tahmin!$C$4+21),0)))),DATE(YEAR((Tahmin!$C$4+27)),MONTH((Tahmin!$C$4+27)),MIN(DAY(Kalemler!$D82),DAY(EOMONTH((Tahmin!$C$4+27),0))))&gt;=Kalemler!$D82)),1,0),IF(AND(Kalemler!$D82&gt;=(Tahmin!$C$4+21),Kalemler!$D82&lt;=(Tahmin!$C$4+27)),1,0))))</f>
        <v>0</v>
      </c>
      <c r="F82" s="0" t="n">
        <f aca="false">IF(OR(Kalemler!$A82="",Kalemler!$C82="",Kalemler!$D82=""),0,Kalemler!$C82*IF(Kalemler!$E82="Haftalık",IF(Kalemler!$D82&lt;=(Tahmin!$C$4+34),1,0),IF(Kalemler!$E82="Aylık",IF(OR(AND(DATE(YEAR((Tahmin!$C$4+28)),MONTH((Tahmin!$C$4+28)),MIN(DAY(Kalemler!$D82),DAY(EOMONTH((Tahmin!$C$4+28),0))))&gt;=(Tahmin!$C$4+28),DATE(YEAR((Tahmin!$C$4+28)),MONTH((Tahmin!$C$4+28)),MIN(DAY(Kalemler!$D82),DAY(EOMONTH((Tahmin!$C$4+28),0))))&lt;=(Tahmin!$C$4+34),DATE(YEAR((Tahmin!$C$4+28)),MONTH((Tahmin!$C$4+28)),MIN(DAY(Kalemler!$D82),DAY(EOMONTH((Tahmin!$C$4+28),0))))&gt;=Kalemler!$D82),AND(DATE(YEAR((Tahmin!$C$4+34)),MONTH((Tahmin!$C$4+34)),MIN(DAY(Kalemler!$D82),DAY(EOMONTH((Tahmin!$C$4+34),0))))&gt;=(Tahmin!$C$4+28),DATE(YEAR((Tahmin!$C$4+34)),MONTH((Tahmin!$C$4+34)),MIN(DAY(Kalemler!$D82),DAY(EOMONTH((Tahmin!$C$4+34),0))))&lt;=(Tahmin!$C$4+34),DATE(YEAR((Tahmin!$C$4+34)),MONTH((Tahmin!$C$4+34)),MIN(DAY(Kalemler!$D82),DAY(EOMONTH((Tahmin!$C$4+34),0))))&lt;&gt;DATE(YEAR((Tahmin!$C$4+28)),MONTH((Tahmin!$C$4+28)),MIN(DAY(Kalemler!$D82),DAY(EOMONTH((Tahmin!$C$4+28),0)))),DATE(YEAR((Tahmin!$C$4+34)),MONTH((Tahmin!$C$4+34)),MIN(DAY(Kalemler!$D82),DAY(EOMONTH((Tahmin!$C$4+34),0))))&gt;=Kalemler!$D82)),1,0),IF(AND(Kalemler!$D82&gt;=(Tahmin!$C$4+28),Kalemler!$D82&lt;=(Tahmin!$C$4+34)),1,0))))</f>
        <v>0</v>
      </c>
      <c r="G82" s="0" t="n">
        <f aca="false">IF(OR(Kalemler!$A82="",Kalemler!$C82="",Kalemler!$D82=""),0,Kalemler!$C82*IF(Kalemler!$E82="Haftalık",IF(Kalemler!$D82&lt;=(Tahmin!$C$4+41),1,0),IF(Kalemler!$E82="Aylık",IF(OR(AND(DATE(YEAR((Tahmin!$C$4+35)),MONTH((Tahmin!$C$4+35)),MIN(DAY(Kalemler!$D82),DAY(EOMONTH((Tahmin!$C$4+35),0))))&gt;=(Tahmin!$C$4+35),DATE(YEAR((Tahmin!$C$4+35)),MONTH((Tahmin!$C$4+35)),MIN(DAY(Kalemler!$D82),DAY(EOMONTH((Tahmin!$C$4+35),0))))&lt;=(Tahmin!$C$4+41),DATE(YEAR((Tahmin!$C$4+35)),MONTH((Tahmin!$C$4+35)),MIN(DAY(Kalemler!$D82),DAY(EOMONTH((Tahmin!$C$4+35),0))))&gt;=Kalemler!$D82),AND(DATE(YEAR((Tahmin!$C$4+41)),MONTH((Tahmin!$C$4+41)),MIN(DAY(Kalemler!$D82),DAY(EOMONTH((Tahmin!$C$4+41),0))))&gt;=(Tahmin!$C$4+35),DATE(YEAR((Tahmin!$C$4+41)),MONTH((Tahmin!$C$4+41)),MIN(DAY(Kalemler!$D82),DAY(EOMONTH((Tahmin!$C$4+41),0))))&lt;=(Tahmin!$C$4+41),DATE(YEAR((Tahmin!$C$4+41)),MONTH((Tahmin!$C$4+41)),MIN(DAY(Kalemler!$D82),DAY(EOMONTH((Tahmin!$C$4+41),0))))&lt;&gt;DATE(YEAR((Tahmin!$C$4+35)),MONTH((Tahmin!$C$4+35)),MIN(DAY(Kalemler!$D82),DAY(EOMONTH((Tahmin!$C$4+35),0)))),DATE(YEAR((Tahmin!$C$4+41)),MONTH((Tahmin!$C$4+41)),MIN(DAY(Kalemler!$D82),DAY(EOMONTH((Tahmin!$C$4+41),0))))&gt;=Kalemler!$D82)),1,0),IF(AND(Kalemler!$D82&gt;=(Tahmin!$C$4+35),Kalemler!$D82&lt;=(Tahmin!$C$4+41)),1,0))))</f>
        <v>0</v>
      </c>
      <c r="H82" s="0" t="n">
        <f aca="false">IF(OR(Kalemler!$A82="",Kalemler!$C82="",Kalemler!$D82=""),0,Kalemler!$C82*IF(Kalemler!$E82="Haftalık",IF(Kalemler!$D82&lt;=(Tahmin!$C$4+48),1,0),IF(Kalemler!$E82="Aylık",IF(OR(AND(DATE(YEAR((Tahmin!$C$4+42)),MONTH((Tahmin!$C$4+42)),MIN(DAY(Kalemler!$D82),DAY(EOMONTH((Tahmin!$C$4+42),0))))&gt;=(Tahmin!$C$4+42),DATE(YEAR((Tahmin!$C$4+42)),MONTH((Tahmin!$C$4+42)),MIN(DAY(Kalemler!$D82),DAY(EOMONTH((Tahmin!$C$4+42),0))))&lt;=(Tahmin!$C$4+48),DATE(YEAR((Tahmin!$C$4+42)),MONTH((Tahmin!$C$4+42)),MIN(DAY(Kalemler!$D82),DAY(EOMONTH((Tahmin!$C$4+42),0))))&gt;=Kalemler!$D82),AND(DATE(YEAR((Tahmin!$C$4+48)),MONTH((Tahmin!$C$4+48)),MIN(DAY(Kalemler!$D82),DAY(EOMONTH((Tahmin!$C$4+48),0))))&gt;=(Tahmin!$C$4+42),DATE(YEAR((Tahmin!$C$4+48)),MONTH((Tahmin!$C$4+48)),MIN(DAY(Kalemler!$D82),DAY(EOMONTH((Tahmin!$C$4+48),0))))&lt;=(Tahmin!$C$4+48),DATE(YEAR((Tahmin!$C$4+48)),MONTH((Tahmin!$C$4+48)),MIN(DAY(Kalemler!$D82),DAY(EOMONTH((Tahmin!$C$4+48),0))))&lt;&gt;DATE(YEAR((Tahmin!$C$4+42)),MONTH((Tahmin!$C$4+42)),MIN(DAY(Kalemler!$D82),DAY(EOMONTH((Tahmin!$C$4+42),0)))),DATE(YEAR((Tahmin!$C$4+48)),MONTH((Tahmin!$C$4+48)),MIN(DAY(Kalemler!$D82),DAY(EOMONTH((Tahmin!$C$4+48),0))))&gt;=Kalemler!$D82)),1,0),IF(AND(Kalemler!$D82&gt;=(Tahmin!$C$4+42),Kalemler!$D82&lt;=(Tahmin!$C$4+48)),1,0))))</f>
        <v>0</v>
      </c>
      <c r="I82" s="0" t="n">
        <f aca="false">IF(OR(Kalemler!$A82="",Kalemler!$C82="",Kalemler!$D82=""),0,Kalemler!$C82*IF(Kalemler!$E82="Haftalık",IF(Kalemler!$D82&lt;=(Tahmin!$C$4+55),1,0),IF(Kalemler!$E82="Aylık",IF(OR(AND(DATE(YEAR((Tahmin!$C$4+49)),MONTH((Tahmin!$C$4+49)),MIN(DAY(Kalemler!$D82),DAY(EOMONTH((Tahmin!$C$4+49),0))))&gt;=(Tahmin!$C$4+49),DATE(YEAR((Tahmin!$C$4+49)),MONTH((Tahmin!$C$4+49)),MIN(DAY(Kalemler!$D82),DAY(EOMONTH((Tahmin!$C$4+49),0))))&lt;=(Tahmin!$C$4+55),DATE(YEAR((Tahmin!$C$4+49)),MONTH((Tahmin!$C$4+49)),MIN(DAY(Kalemler!$D82),DAY(EOMONTH((Tahmin!$C$4+49),0))))&gt;=Kalemler!$D82),AND(DATE(YEAR((Tahmin!$C$4+55)),MONTH((Tahmin!$C$4+55)),MIN(DAY(Kalemler!$D82),DAY(EOMONTH((Tahmin!$C$4+55),0))))&gt;=(Tahmin!$C$4+49),DATE(YEAR((Tahmin!$C$4+55)),MONTH((Tahmin!$C$4+55)),MIN(DAY(Kalemler!$D82),DAY(EOMONTH((Tahmin!$C$4+55),0))))&lt;=(Tahmin!$C$4+55),DATE(YEAR((Tahmin!$C$4+55)),MONTH((Tahmin!$C$4+55)),MIN(DAY(Kalemler!$D82),DAY(EOMONTH((Tahmin!$C$4+55),0))))&lt;&gt;DATE(YEAR((Tahmin!$C$4+49)),MONTH((Tahmin!$C$4+49)),MIN(DAY(Kalemler!$D82),DAY(EOMONTH((Tahmin!$C$4+49),0)))),DATE(YEAR((Tahmin!$C$4+55)),MONTH((Tahmin!$C$4+55)),MIN(DAY(Kalemler!$D82),DAY(EOMONTH((Tahmin!$C$4+55),0))))&gt;=Kalemler!$D82)),1,0),IF(AND(Kalemler!$D82&gt;=(Tahmin!$C$4+49),Kalemler!$D82&lt;=(Tahmin!$C$4+55)),1,0))))</f>
        <v>0</v>
      </c>
      <c r="J82" s="0" t="n">
        <f aca="false">IF(OR(Kalemler!$A82="",Kalemler!$C82="",Kalemler!$D82=""),0,Kalemler!$C82*IF(Kalemler!$E82="Haftalık",IF(Kalemler!$D82&lt;=(Tahmin!$C$4+62),1,0),IF(Kalemler!$E82="Aylık",IF(OR(AND(DATE(YEAR((Tahmin!$C$4+56)),MONTH((Tahmin!$C$4+56)),MIN(DAY(Kalemler!$D82),DAY(EOMONTH((Tahmin!$C$4+56),0))))&gt;=(Tahmin!$C$4+56),DATE(YEAR((Tahmin!$C$4+56)),MONTH((Tahmin!$C$4+56)),MIN(DAY(Kalemler!$D82),DAY(EOMONTH((Tahmin!$C$4+56),0))))&lt;=(Tahmin!$C$4+62),DATE(YEAR((Tahmin!$C$4+56)),MONTH((Tahmin!$C$4+56)),MIN(DAY(Kalemler!$D82),DAY(EOMONTH((Tahmin!$C$4+56),0))))&gt;=Kalemler!$D82),AND(DATE(YEAR((Tahmin!$C$4+62)),MONTH((Tahmin!$C$4+62)),MIN(DAY(Kalemler!$D82),DAY(EOMONTH((Tahmin!$C$4+62),0))))&gt;=(Tahmin!$C$4+56),DATE(YEAR((Tahmin!$C$4+62)),MONTH((Tahmin!$C$4+62)),MIN(DAY(Kalemler!$D82),DAY(EOMONTH((Tahmin!$C$4+62),0))))&lt;=(Tahmin!$C$4+62),DATE(YEAR((Tahmin!$C$4+62)),MONTH((Tahmin!$C$4+62)),MIN(DAY(Kalemler!$D82),DAY(EOMONTH((Tahmin!$C$4+62),0))))&lt;&gt;DATE(YEAR((Tahmin!$C$4+56)),MONTH((Tahmin!$C$4+56)),MIN(DAY(Kalemler!$D82),DAY(EOMONTH((Tahmin!$C$4+56),0)))),DATE(YEAR((Tahmin!$C$4+62)),MONTH((Tahmin!$C$4+62)),MIN(DAY(Kalemler!$D82),DAY(EOMONTH((Tahmin!$C$4+62),0))))&gt;=Kalemler!$D82)),1,0),IF(AND(Kalemler!$D82&gt;=(Tahmin!$C$4+56),Kalemler!$D82&lt;=(Tahmin!$C$4+62)),1,0))))</f>
        <v>0</v>
      </c>
      <c r="K82" s="0" t="n">
        <f aca="false">IF(OR(Kalemler!$A82="",Kalemler!$C82="",Kalemler!$D82=""),0,Kalemler!$C82*IF(Kalemler!$E82="Haftalık",IF(Kalemler!$D82&lt;=(Tahmin!$C$4+69),1,0),IF(Kalemler!$E82="Aylık",IF(OR(AND(DATE(YEAR((Tahmin!$C$4+63)),MONTH((Tahmin!$C$4+63)),MIN(DAY(Kalemler!$D82),DAY(EOMONTH((Tahmin!$C$4+63),0))))&gt;=(Tahmin!$C$4+63),DATE(YEAR((Tahmin!$C$4+63)),MONTH((Tahmin!$C$4+63)),MIN(DAY(Kalemler!$D82),DAY(EOMONTH((Tahmin!$C$4+63),0))))&lt;=(Tahmin!$C$4+69),DATE(YEAR((Tahmin!$C$4+63)),MONTH((Tahmin!$C$4+63)),MIN(DAY(Kalemler!$D82),DAY(EOMONTH((Tahmin!$C$4+63),0))))&gt;=Kalemler!$D82),AND(DATE(YEAR((Tahmin!$C$4+69)),MONTH((Tahmin!$C$4+69)),MIN(DAY(Kalemler!$D82),DAY(EOMONTH((Tahmin!$C$4+69),0))))&gt;=(Tahmin!$C$4+63),DATE(YEAR((Tahmin!$C$4+69)),MONTH((Tahmin!$C$4+69)),MIN(DAY(Kalemler!$D82),DAY(EOMONTH((Tahmin!$C$4+69),0))))&lt;=(Tahmin!$C$4+69),DATE(YEAR((Tahmin!$C$4+69)),MONTH((Tahmin!$C$4+69)),MIN(DAY(Kalemler!$D82),DAY(EOMONTH((Tahmin!$C$4+69),0))))&lt;&gt;DATE(YEAR((Tahmin!$C$4+63)),MONTH((Tahmin!$C$4+63)),MIN(DAY(Kalemler!$D82),DAY(EOMONTH((Tahmin!$C$4+63),0)))),DATE(YEAR((Tahmin!$C$4+69)),MONTH((Tahmin!$C$4+69)),MIN(DAY(Kalemler!$D82),DAY(EOMONTH((Tahmin!$C$4+69),0))))&gt;=Kalemler!$D82)),1,0),IF(AND(Kalemler!$D82&gt;=(Tahmin!$C$4+63),Kalemler!$D82&lt;=(Tahmin!$C$4+69)),1,0))))</f>
        <v>0</v>
      </c>
      <c r="L82" s="0" t="n">
        <f aca="false">IF(OR(Kalemler!$A82="",Kalemler!$C82="",Kalemler!$D82=""),0,Kalemler!$C82*IF(Kalemler!$E82="Haftalık",IF(Kalemler!$D82&lt;=(Tahmin!$C$4+76),1,0),IF(Kalemler!$E82="Aylık",IF(OR(AND(DATE(YEAR((Tahmin!$C$4+70)),MONTH((Tahmin!$C$4+70)),MIN(DAY(Kalemler!$D82),DAY(EOMONTH((Tahmin!$C$4+70),0))))&gt;=(Tahmin!$C$4+70),DATE(YEAR((Tahmin!$C$4+70)),MONTH((Tahmin!$C$4+70)),MIN(DAY(Kalemler!$D82),DAY(EOMONTH((Tahmin!$C$4+70),0))))&lt;=(Tahmin!$C$4+76),DATE(YEAR((Tahmin!$C$4+70)),MONTH((Tahmin!$C$4+70)),MIN(DAY(Kalemler!$D82),DAY(EOMONTH((Tahmin!$C$4+70),0))))&gt;=Kalemler!$D82),AND(DATE(YEAR((Tahmin!$C$4+76)),MONTH((Tahmin!$C$4+76)),MIN(DAY(Kalemler!$D82),DAY(EOMONTH((Tahmin!$C$4+76),0))))&gt;=(Tahmin!$C$4+70),DATE(YEAR((Tahmin!$C$4+76)),MONTH((Tahmin!$C$4+76)),MIN(DAY(Kalemler!$D82),DAY(EOMONTH((Tahmin!$C$4+76),0))))&lt;=(Tahmin!$C$4+76),DATE(YEAR((Tahmin!$C$4+76)),MONTH((Tahmin!$C$4+76)),MIN(DAY(Kalemler!$D82),DAY(EOMONTH((Tahmin!$C$4+76),0))))&lt;&gt;DATE(YEAR((Tahmin!$C$4+70)),MONTH((Tahmin!$C$4+70)),MIN(DAY(Kalemler!$D82),DAY(EOMONTH((Tahmin!$C$4+70),0)))),DATE(YEAR((Tahmin!$C$4+76)),MONTH((Tahmin!$C$4+76)),MIN(DAY(Kalemler!$D82),DAY(EOMONTH((Tahmin!$C$4+76),0))))&gt;=Kalemler!$D82)),1,0),IF(AND(Kalemler!$D82&gt;=(Tahmin!$C$4+70),Kalemler!$D82&lt;=(Tahmin!$C$4+76)),1,0))))</f>
        <v>0</v>
      </c>
      <c r="M82" s="0" t="n">
        <f aca="false">IF(OR(Kalemler!$A82="",Kalemler!$C82="",Kalemler!$D82=""),0,Kalemler!$C82*IF(Kalemler!$E82="Haftalık",IF(Kalemler!$D82&lt;=(Tahmin!$C$4+83),1,0),IF(Kalemler!$E82="Aylık",IF(OR(AND(DATE(YEAR((Tahmin!$C$4+77)),MONTH((Tahmin!$C$4+77)),MIN(DAY(Kalemler!$D82),DAY(EOMONTH((Tahmin!$C$4+77),0))))&gt;=(Tahmin!$C$4+77),DATE(YEAR((Tahmin!$C$4+77)),MONTH((Tahmin!$C$4+77)),MIN(DAY(Kalemler!$D82),DAY(EOMONTH((Tahmin!$C$4+77),0))))&lt;=(Tahmin!$C$4+83),DATE(YEAR((Tahmin!$C$4+77)),MONTH((Tahmin!$C$4+77)),MIN(DAY(Kalemler!$D82),DAY(EOMONTH((Tahmin!$C$4+77),0))))&gt;=Kalemler!$D82),AND(DATE(YEAR((Tahmin!$C$4+83)),MONTH((Tahmin!$C$4+83)),MIN(DAY(Kalemler!$D82),DAY(EOMONTH((Tahmin!$C$4+83),0))))&gt;=(Tahmin!$C$4+77),DATE(YEAR((Tahmin!$C$4+83)),MONTH((Tahmin!$C$4+83)),MIN(DAY(Kalemler!$D82),DAY(EOMONTH((Tahmin!$C$4+83),0))))&lt;=(Tahmin!$C$4+83),DATE(YEAR((Tahmin!$C$4+83)),MONTH((Tahmin!$C$4+83)),MIN(DAY(Kalemler!$D82),DAY(EOMONTH((Tahmin!$C$4+83),0))))&lt;&gt;DATE(YEAR((Tahmin!$C$4+77)),MONTH((Tahmin!$C$4+77)),MIN(DAY(Kalemler!$D82),DAY(EOMONTH((Tahmin!$C$4+77),0)))),DATE(YEAR((Tahmin!$C$4+83)),MONTH((Tahmin!$C$4+83)),MIN(DAY(Kalemler!$D82),DAY(EOMONTH((Tahmin!$C$4+83),0))))&gt;=Kalemler!$D82)),1,0),IF(AND(Kalemler!$D82&gt;=(Tahmin!$C$4+77),Kalemler!$D82&lt;=(Tahmin!$C$4+83)),1,0))))</f>
        <v>0</v>
      </c>
      <c r="N82" s="0" t="n">
        <f aca="false">IF(OR(Kalemler!$A82="",Kalemler!$C82="",Kalemler!$D82=""),0,Kalemler!$C82*IF(Kalemler!$E82="Haftalık",IF(Kalemler!$D82&lt;=(Tahmin!$C$4+90),1,0),IF(Kalemler!$E82="Aylık",IF(OR(AND(DATE(YEAR((Tahmin!$C$4+84)),MONTH((Tahmin!$C$4+84)),MIN(DAY(Kalemler!$D82),DAY(EOMONTH((Tahmin!$C$4+84),0))))&gt;=(Tahmin!$C$4+84),DATE(YEAR((Tahmin!$C$4+84)),MONTH((Tahmin!$C$4+84)),MIN(DAY(Kalemler!$D82),DAY(EOMONTH((Tahmin!$C$4+84),0))))&lt;=(Tahmin!$C$4+90),DATE(YEAR((Tahmin!$C$4+84)),MONTH((Tahmin!$C$4+84)),MIN(DAY(Kalemler!$D82),DAY(EOMONTH((Tahmin!$C$4+84),0))))&gt;=Kalemler!$D82),AND(DATE(YEAR((Tahmin!$C$4+90)),MONTH((Tahmin!$C$4+90)),MIN(DAY(Kalemler!$D82),DAY(EOMONTH((Tahmin!$C$4+90),0))))&gt;=(Tahmin!$C$4+84),DATE(YEAR((Tahmin!$C$4+90)),MONTH((Tahmin!$C$4+90)),MIN(DAY(Kalemler!$D82),DAY(EOMONTH((Tahmin!$C$4+90),0))))&lt;=(Tahmin!$C$4+90),DATE(YEAR((Tahmin!$C$4+90)),MONTH((Tahmin!$C$4+90)),MIN(DAY(Kalemler!$D82),DAY(EOMONTH((Tahmin!$C$4+90),0))))&lt;&gt;DATE(YEAR((Tahmin!$C$4+84)),MONTH((Tahmin!$C$4+84)),MIN(DAY(Kalemler!$D82),DAY(EOMONTH((Tahmin!$C$4+84),0)))),DATE(YEAR((Tahmin!$C$4+90)),MONTH((Tahmin!$C$4+90)),MIN(DAY(Kalemler!$D82),DAY(EOMONTH((Tahmin!$C$4+90),0))))&gt;=Kalemler!$D82)),1,0),IF(AND(Kalemler!$D82&gt;=(Tahmin!$C$4+84),Kalemler!$D82&lt;=(Tahmin!$C$4+90)),1,0))))</f>
        <v>0</v>
      </c>
    </row>
    <row r="83" customFormat="false" ht="15" hidden="false" customHeight="false" outlineLevel="0" collapsed="false">
      <c r="A83" s="0" t="str">
        <f aca="false">IF(Kalemler!A83="","",Kalemler!A83)</f>
        <v/>
      </c>
      <c r="B83" s="0" t="n">
        <f aca="false">IF(OR(Kalemler!$A83="",Kalemler!$C83="",Kalemler!$D83=""),0,Kalemler!$C83*IF(Kalemler!$E83="Haftalık",IF(Kalemler!$D83&lt;=(Tahmin!$C$4+6),1,0),IF(Kalemler!$E83="Aylık",IF(OR(AND(DATE(YEAR((Tahmin!$C$4+0)),MONTH((Tahmin!$C$4+0)),MIN(DAY(Kalemler!$D83),DAY(EOMONTH((Tahmin!$C$4+0),0))))&gt;=(Tahmin!$C$4+0),DATE(YEAR((Tahmin!$C$4+0)),MONTH((Tahmin!$C$4+0)),MIN(DAY(Kalemler!$D83),DAY(EOMONTH((Tahmin!$C$4+0),0))))&lt;=(Tahmin!$C$4+6),DATE(YEAR((Tahmin!$C$4+0)),MONTH((Tahmin!$C$4+0)),MIN(DAY(Kalemler!$D83),DAY(EOMONTH((Tahmin!$C$4+0),0))))&gt;=Kalemler!$D83),AND(DATE(YEAR((Tahmin!$C$4+6)),MONTH((Tahmin!$C$4+6)),MIN(DAY(Kalemler!$D83),DAY(EOMONTH((Tahmin!$C$4+6),0))))&gt;=(Tahmin!$C$4+0),DATE(YEAR((Tahmin!$C$4+6)),MONTH((Tahmin!$C$4+6)),MIN(DAY(Kalemler!$D83),DAY(EOMONTH((Tahmin!$C$4+6),0))))&lt;=(Tahmin!$C$4+6),DATE(YEAR((Tahmin!$C$4+6)),MONTH((Tahmin!$C$4+6)),MIN(DAY(Kalemler!$D83),DAY(EOMONTH((Tahmin!$C$4+6),0))))&lt;&gt;DATE(YEAR((Tahmin!$C$4+0)),MONTH((Tahmin!$C$4+0)),MIN(DAY(Kalemler!$D83),DAY(EOMONTH((Tahmin!$C$4+0),0)))),DATE(YEAR((Tahmin!$C$4+6)),MONTH((Tahmin!$C$4+6)),MIN(DAY(Kalemler!$D83),DAY(EOMONTH((Tahmin!$C$4+6),0))))&gt;=Kalemler!$D83)),1,0),IF(AND(Kalemler!$D83&gt;=(Tahmin!$C$4+0),Kalemler!$D83&lt;=(Tahmin!$C$4+6)),1,0))))</f>
        <v>0</v>
      </c>
      <c r="C83" s="0" t="n">
        <f aca="false">IF(OR(Kalemler!$A83="",Kalemler!$C83="",Kalemler!$D83=""),0,Kalemler!$C83*IF(Kalemler!$E83="Haftalık",IF(Kalemler!$D83&lt;=(Tahmin!$C$4+13),1,0),IF(Kalemler!$E83="Aylık",IF(OR(AND(DATE(YEAR((Tahmin!$C$4+7)),MONTH((Tahmin!$C$4+7)),MIN(DAY(Kalemler!$D83),DAY(EOMONTH((Tahmin!$C$4+7),0))))&gt;=(Tahmin!$C$4+7),DATE(YEAR((Tahmin!$C$4+7)),MONTH((Tahmin!$C$4+7)),MIN(DAY(Kalemler!$D83),DAY(EOMONTH((Tahmin!$C$4+7),0))))&lt;=(Tahmin!$C$4+13),DATE(YEAR((Tahmin!$C$4+7)),MONTH((Tahmin!$C$4+7)),MIN(DAY(Kalemler!$D83),DAY(EOMONTH((Tahmin!$C$4+7),0))))&gt;=Kalemler!$D83),AND(DATE(YEAR((Tahmin!$C$4+13)),MONTH((Tahmin!$C$4+13)),MIN(DAY(Kalemler!$D83),DAY(EOMONTH((Tahmin!$C$4+13),0))))&gt;=(Tahmin!$C$4+7),DATE(YEAR((Tahmin!$C$4+13)),MONTH((Tahmin!$C$4+13)),MIN(DAY(Kalemler!$D83),DAY(EOMONTH((Tahmin!$C$4+13),0))))&lt;=(Tahmin!$C$4+13),DATE(YEAR((Tahmin!$C$4+13)),MONTH((Tahmin!$C$4+13)),MIN(DAY(Kalemler!$D83),DAY(EOMONTH((Tahmin!$C$4+13),0))))&lt;&gt;DATE(YEAR((Tahmin!$C$4+7)),MONTH((Tahmin!$C$4+7)),MIN(DAY(Kalemler!$D83),DAY(EOMONTH((Tahmin!$C$4+7),0)))),DATE(YEAR((Tahmin!$C$4+13)),MONTH((Tahmin!$C$4+13)),MIN(DAY(Kalemler!$D83),DAY(EOMONTH((Tahmin!$C$4+13),0))))&gt;=Kalemler!$D83)),1,0),IF(AND(Kalemler!$D83&gt;=(Tahmin!$C$4+7),Kalemler!$D83&lt;=(Tahmin!$C$4+13)),1,0))))</f>
        <v>0</v>
      </c>
      <c r="D83" s="0" t="n">
        <f aca="false">IF(OR(Kalemler!$A83="",Kalemler!$C83="",Kalemler!$D83=""),0,Kalemler!$C83*IF(Kalemler!$E83="Haftalık",IF(Kalemler!$D83&lt;=(Tahmin!$C$4+20),1,0),IF(Kalemler!$E83="Aylık",IF(OR(AND(DATE(YEAR((Tahmin!$C$4+14)),MONTH((Tahmin!$C$4+14)),MIN(DAY(Kalemler!$D83),DAY(EOMONTH((Tahmin!$C$4+14),0))))&gt;=(Tahmin!$C$4+14),DATE(YEAR((Tahmin!$C$4+14)),MONTH((Tahmin!$C$4+14)),MIN(DAY(Kalemler!$D83),DAY(EOMONTH((Tahmin!$C$4+14),0))))&lt;=(Tahmin!$C$4+20),DATE(YEAR((Tahmin!$C$4+14)),MONTH((Tahmin!$C$4+14)),MIN(DAY(Kalemler!$D83),DAY(EOMONTH((Tahmin!$C$4+14),0))))&gt;=Kalemler!$D83),AND(DATE(YEAR((Tahmin!$C$4+20)),MONTH((Tahmin!$C$4+20)),MIN(DAY(Kalemler!$D83),DAY(EOMONTH((Tahmin!$C$4+20),0))))&gt;=(Tahmin!$C$4+14),DATE(YEAR((Tahmin!$C$4+20)),MONTH((Tahmin!$C$4+20)),MIN(DAY(Kalemler!$D83),DAY(EOMONTH((Tahmin!$C$4+20),0))))&lt;=(Tahmin!$C$4+20),DATE(YEAR((Tahmin!$C$4+20)),MONTH((Tahmin!$C$4+20)),MIN(DAY(Kalemler!$D83),DAY(EOMONTH((Tahmin!$C$4+20),0))))&lt;&gt;DATE(YEAR((Tahmin!$C$4+14)),MONTH((Tahmin!$C$4+14)),MIN(DAY(Kalemler!$D83),DAY(EOMONTH((Tahmin!$C$4+14),0)))),DATE(YEAR((Tahmin!$C$4+20)),MONTH((Tahmin!$C$4+20)),MIN(DAY(Kalemler!$D83),DAY(EOMONTH((Tahmin!$C$4+20),0))))&gt;=Kalemler!$D83)),1,0),IF(AND(Kalemler!$D83&gt;=(Tahmin!$C$4+14),Kalemler!$D83&lt;=(Tahmin!$C$4+20)),1,0))))</f>
        <v>0</v>
      </c>
      <c r="E83" s="0" t="n">
        <f aca="false">IF(OR(Kalemler!$A83="",Kalemler!$C83="",Kalemler!$D83=""),0,Kalemler!$C83*IF(Kalemler!$E83="Haftalık",IF(Kalemler!$D83&lt;=(Tahmin!$C$4+27),1,0),IF(Kalemler!$E83="Aylık",IF(OR(AND(DATE(YEAR((Tahmin!$C$4+21)),MONTH((Tahmin!$C$4+21)),MIN(DAY(Kalemler!$D83),DAY(EOMONTH((Tahmin!$C$4+21),0))))&gt;=(Tahmin!$C$4+21),DATE(YEAR((Tahmin!$C$4+21)),MONTH((Tahmin!$C$4+21)),MIN(DAY(Kalemler!$D83),DAY(EOMONTH((Tahmin!$C$4+21),0))))&lt;=(Tahmin!$C$4+27),DATE(YEAR((Tahmin!$C$4+21)),MONTH((Tahmin!$C$4+21)),MIN(DAY(Kalemler!$D83),DAY(EOMONTH((Tahmin!$C$4+21),0))))&gt;=Kalemler!$D83),AND(DATE(YEAR((Tahmin!$C$4+27)),MONTH((Tahmin!$C$4+27)),MIN(DAY(Kalemler!$D83),DAY(EOMONTH((Tahmin!$C$4+27),0))))&gt;=(Tahmin!$C$4+21),DATE(YEAR((Tahmin!$C$4+27)),MONTH((Tahmin!$C$4+27)),MIN(DAY(Kalemler!$D83),DAY(EOMONTH((Tahmin!$C$4+27),0))))&lt;=(Tahmin!$C$4+27),DATE(YEAR((Tahmin!$C$4+27)),MONTH((Tahmin!$C$4+27)),MIN(DAY(Kalemler!$D83),DAY(EOMONTH((Tahmin!$C$4+27),0))))&lt;&gt;DATE(YEAR((Tahmin!$C$4+21)),MONTH((Tahmin!$C$4+21)),MIN(DAY(Kalemler!$D83),DAY(EOMONTH((Tahmin!$C$4+21),0)))),DATE(YEAR((Tahmin!$C$4+27)),MONTH((Tahmin!$C$4+27)),MIN(DAY(Kalemler!$D83),DAY(EOMONTH((Tahmin!$C$4+27),0))))&gt;=Kalemler!$D83)),1,0),IF(AND(Kalemler!$D83&gt;=(Tahmin!$C$4+21),Kalemler!$D83&lt;=(Tahmin!$C$4+27)),1,0))))</f>
        <v>0</v>
      </c>
      <c r="F83" s="0" t="n">
        <f aca="false">IF(OR(Kalemler!$A83="",Kalemler!$C83="",Kalemler!$D83=""),0,Kalemler!$C83*IF(Kalemler!$E83="Haftalık",IF(Kalemler!$D83&lt;=(Tahmin!$C$4+34),1,0),IF(Kalemler!$E83="Aylık",IF(OR(AND(DATE(YEAR((Tahmin!$C$4+28)),MONTH((Tahmin!$C$4+28)),MIN(DAY(Kalemler!$D83),DAY(EOMONTH((Tahmin!$C$4+28),0))))&gt;=(Tahmin!$C$4+28),DATE(YEAR((Tahmin!$C$4+28)),MONTH((Tahmin!$C$4+28)),MIN(DAY(Kalemler!$D83),DAY(EOMONTH((Tahmin!$C$4+28),0))))&lt;=(Tahmin!$C$4+34),DATE(YEAR((Tahmin!$C$4+28)),MONTH((Tahmin!$C$4+28)),MIN(DAY(Kalemler!$D83),DAY(EOMONTH((Tahmin!$C$4+28),0))))&gt;=Kalemler!$D83),AND(DATE(YEAR((Tahmin!$C$4+34)),MONTH((Tahmin!$C$4+34)),MIN(DAY(Kalemler!$D83),DAY(EOMONTH((Tahmin!$C$4+34),0))))&gt;=(Tahmin!$C$4+28),DATE(YEAR((Tahmin!$C$4+34)),MONTH((Tahmin!$C$4+34)),MIN(DAY(Kalemler!$D83),DAY(EOMONTH((Tahmin!$C$4+34),0))))&lt;=(Tahmin!$C$4+34),DATE(YEAR((Tahmin!$C$4+34)),MONTH((Tahmin!$C$4+34)),MIN(DAY(Kalemler!$D83),DAY(EOMONTH((Tahmin!$C$4+34),0))))&lt;&gt;DATE(YEAR((Tahmin!$C$4+28)),MONTH((Tahmin!$C$4+28)),MIN(DAY(Kalemler!$D83),DAY(EOMONTH((Tahmin!$C$4+28),0)))),DATE(YEAR((Tahmin!$C$4+34)),MONTH((Tahmin!$C$4+34)),MIN(DAY(Kalemler!$D83),DAY(EOMONTH((Tahmin!$C$4+34),0))))&gt;=Kalemler!$D83)),1,0),IF(AND(Kalemler!$D83&gt;=(Tahmin!$C$4+28),Kalemler!$D83&lt;=(Tahmin!$C$4+34)),1,0))))</f>
        <v>0</v>
      </c>
      <c r="G83" s="0" t="n">
        <f aca="false">IF(OR(Kalemler!$A83="",Kalemler!$C83="",Kalemler!$D83=""),0,Kalemler!$C83*IF(Kalemler!$E83="Haftalık",IF(Kalemler!$D83&lt;=(Tahmin!$C$4+41),1,0),IF(Kalemler!$E83="Aylık",IF(OR(AND(DATE(YEAR((Tahmin!$C$4+35)),MONTH((Tahmin!$C$4+35)),MIN(DAY(Kalemler!$D83),DAY(EOMONTH((Tahmin!$C$4+35),0))))&gt;=(Tahmin!$C$4+35),DATE(YEAR((Tahmin!$C$4+35)),MONTH((Tahmin!$C$4+35)),MIN(DAY(Kalemler!$D83),DAY(EOMONTH((Tahmin!$C$4+35),0))))&lt;=(Tahmin!$C$4+41),DATE(YEAR((Tahmin!$C$4+35)),MONTH((Tahmin!$C$4+35)),MIN(DAY(Kalemler!$D83),DAY(EOMONTH((Tahmin!$C$4+35),0))))&gt;=Kalemler!$D83),AND(DATE(YEAR((Tahmin!$C$4+41)),MONTH((Tahmin!$C$4+41)),MIN(DAY(Kalemler!$D83),DAY(EOMONTH((Tahmin!$C$4+41),0))))&gt;=(Tahmin!$C$4+35),DATE(YEAR((Tahmin!$C$4+41)),MONTH((Tahmin!$C$4+41)),MIN(DAY(Kalemler!$D83),DAY(EOMONTH((Tahmin!$C$4+41),0))))&lt;=(Tahmin!$C$4+41),DATE(YEAR((Tahmin!$C$4+41)),MONTH((Tahmin!$C$4+41)),MIN(DAY(Kalemler!$D83),DAY(EOMONTH((Tahmin!$C$4+41),0))))&lt;&gt;DATE(YEAR((Tahmin!$C$4+35)),MONTH((Tahmin!$C$4+35)),MIN(DAY(Kalemler!$D83),DAY(EOMONTH((Tahmin!$C$4+35),0)))),DATE(YEAR((Tahmin!$C$4+41)),MONTH((Tahmin!$C$4+41)),MIN(DAY(Kalemler!$D83),DAY(EOMONTH((Tahmin!$C$4+41),0))))&gt;=Kalemler!$D83)),1,0),IF(AND(Kalemler!$D83&gt;=(Tahmin!$C$4+35),Kalemler!$D83&lt;=(Tahmin!$C$4+41)),1,0))))</f>
        <v>0</v>
      </c>
      <c r="H83" s="0" t="n">
        <f aca="false">IF(OR(Kalemler!$A83="",Kalemler!$C83="",Kalemler!$D83=""),0,Kalemler!$C83*IF(Kalemler!$E83="Haftalık",IF(Kalemler!$D83&lt;=(Tahmin!$C$4+48),1,0),IF(Kalemler!$E83="Aylık",IF(OR(AND(DATE(YEAR((Tahmin!$C$4+42)),MONTH((Tahmin!$C$4+42)),MIN(DAY(Kalemler!$D83),DAY(EOMONTH((Tahmin!$C$4+42),0))))&gt;=(Tahmin!$C$4+42),DATE(YEAR((Tahmin!$C$4+42)),MONTH((Tahmin!$C$4+42)),MIN(DAY(Kalemler!$D83),DAY(EOMONTH((Tahmin!$C$4+42),0))))&lt;=(Tahmin!$C$4+48),DATE(YEAR((Tahmin!$C$4+42)),MONTH((Tahmin!$C$4+42)),MIN(DAY(Kalemler!$D83),DAY(EOMONTH((Tahmin!$C$4+42),0))))&gt;=Kalemler!$D83),AND(DATE(YEAR((Tahmin!$C$4+48)),MONTH((Tahmin!$C$4+48)),MIN(DAY(Kalemler!$D83),DAY(EOMONTH((Tahmin!$C$4+48),0))))&gt;=(Tahmin!$C$4+42),DATE(YEAR((Tahmin!$C$4+48)),MONTH((Tahmin!$C$4+48)),MIN(DAY(Kalemler!$D83),DAY(EOMONTH((Tahmin!$C$4+48),0))))&lt;=(Tahmin!$C$4+48),DATE(YEAR((Tahmin!$C$4+48)),MONTH((Tahmin!$C$4+48)),MIN(DAY(Kalemler!$D83),DAY(EOMONTH((Tahmin!$C$4+48),0))))&lt;&gt;DATE(YEAR((Tahmin!$C$4+42)),MONTH((Tahmin!$C$4+42)),MIN(DAY(Kalemler!$D83),DAY(EOMONTH((Tahmin!$C$4+42),0)))),DATE(YEAR((Tahmin!$C$4+48)),MONTH((Tahmin!$C$4+48)),MIN(DAY(Kalemler!$D83),DAY(EOMONTH((Tahmin!$C$4+48),0))))&gt;=Kalemler!$D83)),1,0),IF(AND(Kalemler!$D83&gt;=(Tahmin!$C$4+42),Kalemler!$D83&lt;=(Tahmin!$C$4+48)),1,0))))</f>
        <v>0</v>
      </c>
      <c r="I83" s="0" t="n">
        <f aca="false">IF(OR(Kalemler!$A83="",Kalemler!$C83="",Kalemler!$D83=""),0,Kalemler!$C83*IF(Kalemler!$E83="Haftalık",IF(Kalemler!$D83&lt;=(Tahmin!$C$4+55),1,0),IF(Kalemler!$E83="Aylık",IF(OR(AND(DATE(YEAR((Tahmin!$C$4+49)),MONTH((Tahmin!$C$4+49)),MIN(DAY(Kalemler!$D83),DAY(EOMONTH((Tahmin!$C$4+49),0))))&gt;=(Tahmin!$C$4+49),DATE(YEAR((Tahmin!$C$4+49)),MONTH((Tahmin!$C$4+49)),MIN(DAY(Kalemler!$D83),DAY(EOMONTH((Tahmin!$C$4+49),0))))&lt;=(Tahmin!$C$4+55),DATE(YEAR((Tahmin!$C$4+49)),MONTH((Tahmin!$C$4+49)),MIN(DAY(Kalemler!$D83),DAY(EOMONTH((Tahmin!$C$4+49),0))))&gt;=Kalemler!$D83),AND(DATE(YEAR((Tahmin!$C$4+55)),MONTH((Tahmin!$C$4+55)),MIN(DAY(Kalemler!$D83),DAY(EOMONTH((Tahmin!$C$4+55),0))))&gt;=(Tahmin!$C$4+49),DATE(YEAR((Tahmin!$C$4+55)),MONTH((Tahmin!$C$4+55)),MIN(DAY(Kalemler!$D83),DAY(EOMONTH((Tahmin!$C$4+55),0))))&lt;=(Tahmin!$C$4+55),DATE(YEAR((Tahmin!$C$4+55)),MONTH((Tahmin!$C$4+55)),MIN(DAY(Kalemler!$D83),DAY(EOMONTH((Tahmin!$C$4+55),0))))&lt;&gt;DATE(YEAR((Tahmin!$C$4+49)),MONTH((Tahmin!$C$4+49)),MIN(DAY(Kalemler!$D83),DAY(EOMONTH((Tahmin!$C$4+49),0)))),DATE(YEAR((Tahmin!$C$4+55)),MONTH((Tahmin!$C$4+55)),MIN(DAY(Kalemler!$D83),DAY(EOMONTH((Tahmin!$C$4+55),0))))&gt;=Kalemler!$D83)),1,0),IF(AND(Kalemler!$D83&gt;=(Tahmin!$C$4+49),Kalemler!$D83&lt;=(Tahmin!$C$4+55)),1,0))))</f>
        <v>0</v>
      </c>
      <c r="J83" s="0" t="n">
        <f aca="false">IF(OR(Kalemler!$A83="",Kalemler!$C83="",Kalemler!$D83=""),0,Kalemler!$C83*IF(Kalemler!$E83="Haftalık",IF(Kalemler!$D83&lt;=(Tahmin!$C$4+62),1,0),IF(Kalemler!$E83="Aylık",IF(OR(AND(DATE(YEAR((Tahmin!$C$4+56)),MONTH((Tahmin!$C$4+56)),MIN(DAY(Kalemler!$D83),DAY(EOMONTH((Tahmin!$C$4+56),0))))&gt;=(Tahmin!$C$4+56),DATE(YEAR((Tahmin!$C$4+56)),MONTH((Tahmin!$C$4+56)),MIN(DAY(Kalemler!$D83),DAY(EOMONTH((Tahmin!$C$4+56),0))))&lt;=(Tahmin!$C$4+62),DATE(YEAR((Tahmin!$C$4+56)),MONTH((Tahmin!$C$4+56)),MIN(DAY(Kalemler!$D83),DAY(EOMONTH((Tahmin!$C$4+56),0))))&gt;=Kalemler!$D83),AND(DATE(YEAR((Tahmin!$C$4+62)),MONTH((Tahmin!$C$4+62)),MIN(DAY(Kalemler!$D83),DAY(EOMONTH((Tahmin!$C$4+62),0))))&gt;=(Tahmin!$C$4+56),DATE(YEAR((Tahmin!$C$4+62)),MONTH((Tahmin!$C$4+62)),MIN(DAY(Kalemler!$D83),DAY(EOMONTH((Tahmin!$C$4+62),0))))&lt;=(Tahmin!$C$4+62),DATE(YEAR((Tahmin!$C$4+62)),MONTH((Tahmin!$C$4+62)),MIN(DAY(Kalemler!$D83),DAY(EOMONTH((Tahmin!$C$4+62),0))))&lt;&gt;DATE(YEAR((Tahmin!$C$4+56)),MONTH((Tahmin!$C$4+56)),MIN(DAY(Kalemler!$D83),DAY(EOMONTH((Tahmin!$C$4+56),0)))),DATE(YEAR((Tahmin!$C$4+62)),MONTH((Tahmin!$C$4+62)),MIN(DAY(Kalemler!$D83),DAY(EOMONTH((Tahmin!$C$4+62),0))))&gt;=Kalemler!$D83)),1,0),IF(AND(Kalemler!$D83&gt;=(Tahmin!$C$4+56),Kalemler!$D83&lt;=(Tahmin!$C$4+62)),1,0))))</f>
        <v>0</v>
      </c>
      <c r="K83" s="0" t="n">
        <f aca="false">IF(OR(Kalemler!$A83="",Kalemler!$C83="",Kalemler!$D83=""),0,Kalemler!$C83*IF(Kalemler!$E83="Haftalık",IF(Kalemler!$D83&lt;=(Tahmin!$C$4+69),1,0),IF(Kalemler!$E83="Aylık",IF(OR(AND(DATE(YEAR((Tahmin!$C$4+63)),MONTH((Tahmin!$C$4+63)),MIN(DAY(Kalemler!$D83),DAY(EOMONTH((Tahmin!$C$4+63),0))))&gt;=(Tahmin!$C$4+63),DATE(YEAR((Tahmin!$C$4+63)),MONTH((Tahmin!$C$4+63)),MIN(DAY(Kalemler!$D83),DAY(EOMONTH((Tahmin!$C$4+63),0))))&lt;=(Tahmin!$C$4+69),DATE(YEAR((Tahmin!$C$4+63)),MONTH((Tahmin!$C$4+63)),MIN(DAY(Kalemler!$D83),DAY(EOMONTH((Tahmin!$C$4+63),0))))&gt;=Kalemler!$D83),AND(DATE(YEAR((Tahmin!$C$4+69)),MONTH((Tahmin!$C$4+69)),MIN(DAY(Kalemler!$D83),DAY(EOMONTH((Tahmin!$C$4+69),0))))&gt;=(Tahmin!$C$4+63),DATE(YEAR((Tahmin!$C$4+69)),MONTH((Tahmin!$C$4+69)),MIN(DAY(Kalemler!$D83),DAY(EOMONTH((Tahmin!$C$4+69),0))))&lt;=(Tahmin!$C$4+69),DATE(YEAR((Tahmin!$C$4+69)),MONTH((Tahmin!$C$4+69)),MIN(DAY(Kalemler!$D83),DAY(EOMONTH((Tahmin!$C$4+69),0))))&lt;&gt;DATE(YEAR((Tahmin!$C$4+63)),MONTH((Tahmin!$C$4+63)),MIN(DAY(Kalemler!$D83),DAY(EOMONTH((Tahmin!$C$4+63),0)))),DATE(YEAR((Tahmin!$C$4+69)),MONTH((Tahmin!$C$4+69)),MIN(DAY(Kalemler!$D83),DAY(EOMONTH((Tahmin!$C$4+69),0))))&gt;=Kalemler!$D83)),1,0),IF(AND(Kalemler!$D83&gt;=(Tahmin!$C$4+63),Kalemler!$D83&lt;=(Tahmin!$C$4+69)),1,0))))</f>
        <v>0</v>
      </c>
      <c r="L83" s="0" t="n">
        <f aca="false">IF(OR(Kalemler!$A83="",Kalemler!$C83="",Kalemler!$D83=""),0,Kalemler!$C83*IF(Kalemler!$E83="Haftalık",IF(Kalemler!$D83&lt;=(Tahmin!$C$4+76),1,0),IF(Kalemler!$E83="Aylık",IF(OR(AND(DATE(YEAR((Tahmin!$C$4+70)),MONTH((Tahmin!$C$4+70)),MIN(DAY(Kalemler!$D83),DAY(EOMONTH((Tahmin!$C$4+70),0))))&gt;=(Tahmin!$C$4+70),DATE(YEAR((Tahmin!$C$4+70)),MONTH((Tahmin!$C$4+70)),MIN(DAY(Kalemler!$D83),DAY(EOMONTH((Tahmin!$C$4+70),0))))&lt;=(Tahmin!$C$4+76),DATE(YEAR((Tahmin!$C$4+70)),MONTH((Tahmin!$C$4+70)),MIN(DAY(Kalemler!$D83),DAY(EOMONTH((Tahmin!$C$4+70),0))))&gt;=Kalemler!$D83),AND(DATE(YEAR((Tahmin!$C$4+76)),MONTH((Tahmin!$C$4+76)),MIN(DAY(Kalemler!$D83),DAY(EOMONTH((Tahmin!$C$4+76),0))))&gt;=(Tahmin!$C$4+70),DATE(YEAR((Tahmin!$C$4+76)),MONTH((Tahmin!$C$4+76)),MIN(DAY(Kalemler!$D83),DAY(EOMONTH((Tahmin!$C$4+76),0))))&lt;=(Tahmin!$C$4+76),DATE(YEAR((Tahmin!$C$4+76)),MONTH((Tahmin!$C$4+76)),MIN(DAY(Kalemler!$D83),DAY(EOMONTH((Tahmin!$C$4+76),0))))&lt;&gt;DATE(YEAR((Tahmin!$C$4+70)),MONTH((Tahmin!$C$4+70)),MIN(DAY(Kalemler!$D83),DAY(EOMONTH((Tahmin!$C$4+70),0)))),DATE(YEAR((Tahmin!$C$4+76)),MONTH((Tahmin!$C$4+76)),MIN(DAY(Kalemler!$D83),DAY(EOMONTH((Tahmin!$C$4+76),0))))&gt;=Kalemler!$D83)),1,0),IF(AND(Kalemler!$D83&gt;=(Tahmin!$C$4+70),Kalemler!$D83&lt;=(Tahmin!$C$4+76)),1,0))))</f>
        <v>0</v>
      </c>
      <c r="M83" s="0" t="n">
        <f aca="false">IF(OR(Kalemler!$A83="",Kalemler!$C83="",Kalemler!$D83=""),0,Kalemler!$C83*IF(Kalemler!$E83="Haftalık",IF(Kalemler!$D83&lt;=(Tahmin!$C$4+83),1,0),IF(Kalemler!$E83="Aylık",IF(OR(AND(DATE(YEAR((Tahmin!$C$4+77)),MONTH((Tahmin!$C$4+77)),MIN(DAY(Kalemler!$D83),DAY(EOMONTH((Tahmin!$C$4+77),0))))&gt;=(Tahmin!$C$4+77),DATE(YEAR((Tahmin!$C$4+77)),MONTH((Tahmin!$C$4+77)),MIN(DAY(Kalemler!$D83),DAY(EOMONTH((Tahmin!$C$4+77),0))))&lt;=(Tahmin!$C$4+83),DATE(YEAR((Tahmin!$C$4+77)),MONTH((Tahmin!$C$4+77)),MIN(DAY(Kalemler!$D83),DAY(EOMONTH((Tahmin!$C$4+77),0))))&gt;=Kalemler!$D83),AND(DATE(YEAR((Tahmin!$C$4+83)),MONTH((Tahmin!$C$4+83)),MIN(DAY(Kalemler!$D83),DAY(EOMONTH((Tahmin!$C$4+83),0))))&gt;=(Tahmin!$C$4+77),DATE(YEAR((Tahmin!$C$4+83)),MONTH((Tahmin!$C$4+83)),MIN(DAY(Kalemler!$D83),DAY(EOMONTH((Tahmin!$C$4+83),0))))&lt;=(Tahmin!$C$4+83),DATE(YEAR((Tahmin!$C$4+83)),MONTH((Tahmin!$C$4+83)),MIN(DAY(Kalemler!$D83),DAY(EOMONTH((Tahmin!$C$4+83),0))))&lt;&gt;DATE(YEAR((Tahmin!$C$4+77)),MONTH((Tahmin!$C$4+77)),MIN(DAY(Kalemler!$D83),DAY(EOMONTH((Tahmin!$C$4+77),0)))),DATE(YEAR((Tahmin!$C$4+83)),MONTH((Tahmin!$C$4+83)),MIN(DAY(Kalemler!$D83),DAY(EOMONTH((Tahmin!$C$4+83),0))))&gt;=Kalemler!$D83)),1,0),IF(AND(Kalemler!$D83&gt;=(Tahmin!$C$4+77),Kalemler!$D83&lt;=(Tahmin!$C$4+83)),1,0))))</f>
        <v>0</v>
      </c>
      <c r="N83" s="0" t="n">
        <f aca="false">IF(OR(Kalemler!$A83="",Kalemler!$C83="",Kalemler!$D83=""),0,Kalemler!$C83*IF(Kalemler!$E83="Haftalık",IF(Kalemler!$D83&lt;=(Tahmin!$C$4+90),1,0),IF(Kalemler!$E83="Aylık",IF(OR(AND(DATE(YEAR((Tahmin!$C$4+84)),MONTH((Tahmin!$C$4+84)),MIN(DAY(Kalemler!$D83),DAY(EOMONTH((Tahmin!$C$4+84),0))))&gt;=(Tahmin!$C$4+84),DATE(YEAR((Tahmin!$C$4+84)),MONTH((Tahmin!$C$4+84)),MIN(DAY(Kalemler!$D83),DAY(EOMONTH((Tahmin!$C$4+84),0))))&lt;=(Tahmin!$C$4+90),DATE(YEAR((Tahmin!$C$4+84)),MONTH((Tahmin!$C$4+84)),MIN(DAY(Kalemler!$D83),DAY(EOMONTH((Tahmin!$C$4+84),0))))&gt;=Kalemler!$D83),AND(DATE(YEAR((Tahmin!$C$4+90)),MONTH((Tahmin!$C$4+90)),MIN(DAY(Kalemler!$D83),DAY(EOMONTH((Tahmin!$C$4+90),0))))&gt;=(Tahmin!$C$4+84),DATE(YEAR((Tahmin!$C$4+90)),MONTH((Tahmin!$C$4+90)),MIN(DAY(Kalemler!$D83),DAY(EOMONTH((Tahmin!$C$4+90),0))))&lt;=(Tahmin!$C$4+90),DATE(YEAR((Tahmin!$C$4+90)),MONTH((Tahmin!$C$4+90)),MIN(DAY(Kalemler!$D83),DAY(EOMONTH((Tahmin!$C$4+90),0))))&lt;&gt;DATE(YEAR((Tahmin!$C$4+84)),MONTH((Tahmin!$C$4+84)),MIN(DAY(Kalemler!$D83),DAY(EOMONTH((Tahmin!$C$4+84),0)))),DATE(YEAR((Tahmin!$C$4+90)),MONTH((Tahmin!$C$4+90)),MIN(DAY(Kalemler!$D83),DAY(EOMONTH((Tahmin!$C$4+90),0))))&gt;=Kalemler!$D83)),1,0),IF(AND(Kalemler!$D83&gt;=(Tahmin!$C$4+84),Kalemler!$D83&lt;=(Tahmin!$C$4+90)),1,0))))</f>
        <v>0</v>
      </c>
    </row>
    <row r="84" customFormat="false" ht="15" hidden="false" customHeight="false" outlineLevel="0" collapsed="false">
      <c r="A84" s="0" t="str">
        <f aca="false">IF(Kalemler!A84="","",Kalemler!A84)</f>
        <v/>
      </c>
      <c r="B84" s="0" t="n">
        <f aca="false">IF(OR(Kalemler!$A84="",Kalemler!$C84="",Kalemler!$D84=""),0,Kalemler!$C84*IF(Kalemler!$E84="Haftalık",IF(Kalemler!$D84&lt;=(Tahmin!$C$4+6),1,0),IF(Kalemler!$E84="Aylık",IF(OR(AND(DATE(YEAR((Tahmin!$C$4+0)),MONTH((Tahmin!$C$4+0)),MIN(DAY(Kalemler!$D84),DAY(EOMONTH((Tahmin!$C$4+0),0))))&gt;=(Tahmin!$C$4+0),DATE(YEAR((Tahmin!$C$4+0)),MONTH((Tahmin!$C$4+0)),MIN(DAY(Kalemler!$D84),DAY(EOMONTH((Tahmin!$C$4+0),0))))&lt;=(Tahmin!$C$4+6),DATE(YEAR((Tahmin!$C$4+0)),MONTH((Tahmin!$C$4+0)),MIN(DAY(Kalemler!$D84),DAY(EOMONTH((Tahmin!$C$4+0),0))))&gt;=Kalemler!$D84),AND(DATE(YEAR((Tahmin!$C$4+6)),MONTH((Tahmin!$C$4+6)),MIN(DAY(Kalemler!$D84),DAY(EOMONTH((Tahmin!$C$4+6),0))))&gt;=(Tahmin!$C$4+0),DATE(YEAR((Tahmin!$C$4+6)),MONTH((Tahmin!$C$4+6)),MIN(DAY(Kalemler!$D84),DAY(EOMONTH((Tahmin!$C$4+6),0))))&lt;=(Tahmin!$C$4+6),DATE(YEAR((Tahmin!$C$4+6)),MONTH((Tahmin!$C$4+6)),MIN(DAY(Kalemler!$D84),DAY(EOMONTH((Tahmin!$C$4+6),0))))&lt;&gt;DATE(YEAR((Tahmin!$C$4+0)),MONTH((Tahmin!$C$4+0)),MIN(DAY(Kalemler!$D84),DAY(EOMONTH((Tahmin!$C$4+0),0)))),DATE(YEAR((Tahmin!$C$4+6)),MONTH((Tahmin!$C$4+6)),MIN(DAY(Kalemler!$D84),DAY(EOMONTH((Tahmin!$C$4+6),0))))&gt;=Kalemler!$D84)),1,0),IF(AND(Kalemler!$D84&gt;=(Tahmin!$C$4+0),Kalemler!$D84&lt;=(Tahmin!$C$4+6)),1,0))))</f>
        <v>0</v>
      </c>
      <c r="C84" s="0" t="n">
        <f aca="false">IF(OR(Kalemler!$A84="",Kalemler!$C84="",Kalemler!$D84=""),0,Kalemler!$C84*IF(Kalemler!$E84="Haftalık",IF(Kalemler!$D84&lt;=(Tahmin!$C$4+13),1,0),IF(Kalemler!$E84="Aylık",IF(OR(AND(DATE(YEAR((Tahmin!$C$4+7)),MONTH((Tahmin!$C$4+7)),MIN(DAY(Kalemler!$D84),DAY(EOMONTH((Tahmin!$C$4+7),0))))&gt;=(Tahmin!$C$4+7),DATE(YEAR((Tahmin!$C$4+7)),MONTH((Tahmin!$C$4+7)),MIN(DAY(Kalemler!$D84),DAY(EOMONTH((Tahmin!$C$4+7),0))))&lt;=(Tahmin!$C$4+13),DATE(YEAR((Tahmin!$C$4+7)),MONTH((Tahmin!$C$4+7)),MIN(DAY(Kalemler!$D84),DAY(EOMONTH((Tahmin!$C$4+7),0))))&gt;=Kalemler!$D84),AND(DATE(YEAR((Tahmin!$C$4+13)),MONTH((Tahmin!$C$4+13)),MIN(DAY(Kalemler!$D84),DAY(EOMONTH((Tahmin!$C$4+13),0))))&gt;=(Tahmin!$C$4+7),DATE(YEAR((Tahmin!$C$4+13)),MONTH((Tahmin!$C$4+13)),MIN(DAY(Kalemler!$D84),DAY(EOMONTH((Tahmin!$C$4+13),0))))&lt;=(Tahmin!$C$4+13),DATE(YEAR((Tahmin!$C$4+13)),MONTH((Tahmin!$C$4+13)),MIN(DAY(Kalemler!$D84),DAY(EOMONTH((Tahmin!$C$4+13),0))))&lt;&gt;DATE(YEAR((Tahmin!$C$4+7)),MONTH((Tahmin!$C$4+7)),MIN(DAY(Kalemler!$D84),DAY(EOMONTH((Tahmin!$C$4+7),0)))),DATE(YEAR((Tahmin!$C$4+13)),MONTH((Tahmin!$C$4+13)),MIN(DAY(Kalemler!$D84),DAY(EOMONTH((Tahmin!$C$4+13),0))))&gt;=Kalemler!$D84)),1,0),IF(AND(Kalemler!$D84&gt;=(Tahmin!$C$4+7),Kalemler!$D84&lt;=(Tahmin!$C$4+13)),1,0))))</f>
        <v>0</v>
      </c>
      <c r="D84" s="0" t="n">
        <f aca="false">IF(OR(Kalemler!$A84="",Kalemler!$C84="",Kalemler!$D84=""),0,Kalemler!$C84*IF(Kalemler!$E84="Haftalık",IF(Kalemler!$D84&lt;=(Tahmin!$C$4+20),1,0),IF(Kalemler!$E84="Aylık",IF(OR(AND(DATE(YEAR((Tahmin!$C$4+14)),MONTH((Tahmin!$C$4+14)),MIN(DAY(Kalemler!$D84),DAY(EOMONTH((Tahmin!$C$4+14),0))))&gt;=(Tahmin!$C$4+14),DATE(YEAR((Tahmin!$C$4+14)),MONTH((Tahmin!$C$4+14)),MIN(DAY(Kalemler!$D84),DAY(EOMONTH((Tahmin!$C$4+14),0))))&lt;=(Tahmin!$C$4+20),DATE(YEAR((Tahmin!$C$4+14)),MONTH((Tahmin!$C$4+14)),MIN(DAY(Kalemler!$D84),DAY(EOMONTH((Tahmin!$C$4+14),0))))&gt;=Kalemler!$D84),AND(DATE(YEAR((Tahmin!$C$4+20)),MONTH((Tahmin!$C$4+20)),MIN(DAY(Kalemler!$D84),DAY(EOMONTH((Tahmin!$C$4+20),0))))&gt;=(Tahmin!$C$4+14),DATE(YEAR((Tahmin!$C$4+20)),MONTH((Tahmin!$C$4+20)),MIN(DAY(Kalemler!$D84),DAY(EOMONTH((Tahmin!$C$4+20),0))))&lt;=(Tahmin!$C$4+20),DATE(YEAR((Tahmin!$C$4+20)),MONTH((Tahmin!$C$4+20)),MIN(DAY(Kalemler!$D84),DAY(EOMONTH((Tahmin!$C$4+20),0))))&lt;&gt;DATE(YEAR((Tahmin!$C$4+14)),MONTH((Tahmin!$C$4+14)),MIN(DAY(Kalemler!$D84),DAY(EOMONTH((Tahmin!$C$4+14),0)))),DATE(YEAR((Tahmin!$C$4+20)),MONTH((Tahmin!$C$4+20)),MIN(DAY(Kalemler!$D84),DAY(EOMONTH((Tahmin!$C$4+20),0))))&gt;=Kalemler!$D84)),1,0),IF(AND(Kalemler!$D84&gt;=(Tahmin!$C$4+14),Kalemler!$D84&lt;=(Tahmin!$C$4+20)),1,0))))</f>
        <v>0</v>
      </c>
      <c r="E84" s="0" t="n">
        <f aca="false">IF(OR(Kalemler!$A84="",Kalemler!$C84="",Kalemler!$D84=""),0,Kalemler!$C84*IF(Kalemler!$E84="Haftalık",IF(Kalemler!$D84&lt;=(Tahmin!$C$4+27),1,0),IF(Kalemler!$E84="Aylık",IF(OR(AND(DATE(YEAR((Tahmin!$C$4+21)),MONTH((Tahmin!$C$4+21)),MIN(DAY(Kalemler!$D84),DAY(EOMONTH((Tahmin!$C$4+21),0))))&gt;=(Tahmin!$C$4+21),DATE(YEAR((Tahmin!$C$4+21)),MONTH((Tahmin!$C$4+21)),MIN(DAY(Kalemler!$D84),DAY(EOMONTH((Tahmin!$C$4+21),0))))&lt;=(Tahmin!$C$4+27),DATE(YEAR((Tahmin!$C$4+21)),MONTH((Tahmin!$C$4+21)),MIN(DAY(Kalemler!$D84),DAY(EOMONTH((Tahmin!$C$4+21),0))))&gt;=Kalemler!$D84),AND(DATE(YEAR((Tahmin!$C$4+27)),MONTH((Tahmin!$C$4+27)),MIN(DAY(Kalemler!$D84),DAY(EOMONTH((Tahmin!$C$4+27),0))))&gt;=(Tahmin!$C$4+21),DATE(YEAR((Tahmin!$C$4+27)),MONTH((Tahmin!$C$4+27)),MIN(DAY(Kalemler!$D84),DAY(EOMONTH((Tahmin!$C$4+27),0))))&lt;=(Tahmin!$C$4+27),DATE(YEAR((Tahmin!$C$4+27)),MONTH((Tahmin!$C$4+27)),MIN(DAY(Kalemler!$D84),DAY(EOMONTH((Tahmin!$C$4+27),0))))&lt;&gt;DATE(YEAR((Tahmin!$C$4+21)),MONTH((Tahmin!$C$4+21)),MIN(DAY(Kalemler!$D84),DAY(EOMONTH((Tahmin!$C$4+21),0)))),DATE(YEAR((Tahmin!$C$4+27)),MONTH((Tahmin!$C$4+27)),MIN(DAY(Kalemler!$D84),DAY(EOMONTH((Tahmin!$C$4+27),0))))&gt;=Kalemler!$D84)),1,0),IF(AND(Kalemler!$D84&gt;=(Tahmin!$C$4+21),Kalemler!$D84&lt;=(Tahmin!$C$4+27)),1,0))))</f>
        <v>0</v>
      </c>
      <c r="F84" s="0" t="n">
        <f aca="false">IF(OR(Kalemler!$A84="",Kalemler!$C84="",Kalemler!$D84=""),0,Kalemler!$C84*IF(Kalemler!$E84="Haftalık",IF(Kalemler!$D84&lt;=(Tahmin!$C$4+34),1,0),IF(Kalemler!$E84="Aylık",IF(OR(AND(DATE(YEAR((Tahmin!$C$4+28)),MONTH((Tahmin!$C$4+28)),MIN(DAY(Kalemler!$D84),DAY(EOMONTH((Tahmin!$C$4+28),0))))&gt;=(Tahmin!$C$4+28),DATE(YEAR((Tahmin!$C$4+28)),MONTH((Tahmin!$C$4+28)),MIN(DAY(Kalemler!$D84),DAY(EOMONTH((Tahmin!$C$4+28),0))))&lt;=(Tahmin!$C$4+34),DATE(YEAR((Tahmin!$C$4+28)),MONTH((Tahmin!$C$4+28)),MIN(DAY(Kalemler!$D84),DAY(EOMONTH((Tahmin!$C$4+28),0))))&gt;=Kalemler!$D84),AND(DATE(YEAR((Tahmin!$C$4+34)),MONTH((Tahmin!$C$4+34)),MIN(DAY(Kalemler!$D84),DAY(EOMONTH((Tahmin!$C$4+34),0))))&gt;=(Tahmin!$C$4+28),DATE(YEAR((Tahmin!$C$4+34)),MONTH((Tahmin!$C$4+34)),MIN(DAY(Kalemler!$D84),DAY(EOMONTH((Tahmin!$C$4+34),0))))&lt;=(Tahmin!$C$4+34),DATE(YEAR((Tahmin!$C$4+34)),MONTH((Tahmin!$C$4+34)),MIN(DAY(Kalemler!$D84),DAY(EOMONTH((Tahmin!$C$4+34),0))))&lt;&gt;DATE(YEAR((Tahmin!$C$4+28)),MONTH((Tahmin!$C$4+28)),MIN(DAY(Kalemler!$D84),DAY(EOMONTH((Tahmin!$C$4+28),0)))),DATE(YEAR((Tahmin!$C$4+34)),MONTH((Tahmin!$C$4+34)),MIN(DAY(Kalemler!$D84),DAY(EOMONTH((Tahmin!$C$4+34),0))))&gt;=Kalemler!$D84)),1,0),IF(AND(Kalemler!$D84&gt;=(Tahmin!$C$4+28),Kalemler!$D84&lt;=(Tahmin!$C$4+34)),1,0))))</f>
        <v>0</v>
      </c>
      <c r="G84" s="0" t="n">
        <f aca="false">IF(OR(Kalemler!$A84="",Kalemler!$C84="",Kalemler!$D84=""),0,Kalemler!$C84*IF(Kalemler!$E84="Haftalık",IF(Kalemler!$D84&lt;=(Tahmin!$C$4+41),1,0),IF(Kalemler!$E84="Aylık",IF(OR(AND(DATE(YEAR((Tahmin!$C$4+35)),MONTH((Tahmin!$C$4+35)),MIN(DAY(Kalemler!$D84),DAY(EOMONTH((Tahmin!$C$4+35),0))))&gt;=(Tahmin!$C$4+35),DATE(YEAR((Tahmin!$C$4+35)),MONTH((Tahmin!$C$4+35)),MIN(DAY(Kalemler!$D84),DAY(EOMONTH((Tahmin!$C$4+35),0))))&lt;=(Tahmin!$C$4+41),DATE(YEAR((Tahmin!$C$4+35)),MONTH((Tahmin!$C$4+35)),MIN(DAY(Kalemler!$D84),DAY(EOMONTH((Tahmin!$C$4+35),0))))&gt;=Kalemler!$D84),AND(DATE(YEAR((Tahmin!$C$4+41)),MONTH((Tahmin!$C$4+41)),MIN(DAY(Kalemler!$D84),DAY(EOMONTH((Tahmin!$C$4+41),0))))&gt;=(Tahmin!$C$4+35),DATE(YEAR((Tahmin!$C$4+41)),MONTH((Tahmin!$C$4+41)),MIN(DAY(Kalemler!$D84),DAY(EOMONTH((Tahmin!$C$4+41),0))))&lt;=(Tahmin!$C$4+41),DATE(YEAR((Tahmin!$C$4+41)),MONTH((Tahmin!$C$4+41)),MIN(DAY(Kalemler!$D84),DAY(EOMONTH((Tahmin!$C$4+41),0))))&lt;&gt;DATE(YEAR((Tahmin!$C$4+35)),MONTH((Tahmin!$C$4+35)),MIN(DAY(Kalemler!$D84),DAY(EOMONTH((Tahmin!$C$4+35),0)))),DATE(YEAR((Tahmin!$C$4+41)),MONTH((Tahmin!$C$4+41)),MIN(DAY(Kalemler!$D84),DAY(EOMONTH((Tahmin!$C$4+41),0))))&gt;=Kalemler!$D84)),1,0),IF(AND(Kalemler!$D84&gt;=(Tahmin!$C$4+35),Kalemler!$D84&lt;=(Tahmin!$C$4+41)),1,0))))</f>
        <v>0</v>
      </c>
      <c r="H84" s="0" t="n">
        <f aca="false">IF(OR(Kalemler!$A84="",Kalemler!$C84="",Kalemler!$D84=""),0,Kalemler!$C84*IF(Kalemler!$E84="Haftalık",IF(Kalemler!$D84&lt;=(Tahmin!$C$4+48),1,0),IF(Kalemler!$E84="Aylık",IF(OR(AND(DATE(YEAR((Tahmin!$C$4+42)),MONTH((Tahmin!$C$4+42)),MIN(DAY(Kalemler!$D84),DAY(EOMONTH((Tahmin!$C$4+42),0))))&gt;=(Tahmin!$C$4+42),DATE(YEAR((Tahmin!$C$4+42)),MONTH((Tahmin!$C$4+42)),MIN(DAY(Kalemler!$D84),DAY(EOMONTH((Tahmin!$C$4+42),0))))&lt;=(Tahmin!$C$4+48),DATE(YEAR((Tahmin!$C$4+42)),MONTH((Tahmin!$C$4+42)),MIN(DAY(Kalemler!$D84),DAY(EOMONTH((Tahmin!$C$4+42),0))))&gt;=Kalemler!$D84),AND(DATE(YEAR((Tahmin!$C$4+48)),MONTH((Tahmin!$C$4+48)),MIN(DAY(Kalemler!$D84),DAY(EOMONTH((Tahmin!$C$4+48),0))))&gt;=(Tahmin!$C$4+42),DATE(YEAR((Tahmin!$C$4+48)),MONTH((Tahmin!$C$4+48)),MIN(DAY(Kalemler!$D84),DAY(EOMONTH((Tahmin!$C$4+48),0))))&lt;=(Tahmin!$C$4+48),DATE(YEAR((Tahmin!$C$4+48)),MONTH((Tahmin!$C$4+48)),MIN(DAY(Kalemler!$D84),DAY(EOMONTH((Tahmin!$C$4+48),0))))&lt;&gt;DATE(YEAR((Tahmin!$C$4+42)),MONTH((Tahmin!$C$4+42)),MIN(DAY(Kalemler!$D84),DAY(EOMONTH((Tahmin!$C$4+42),0)))),DATE(YEAR((Tahmin!$C$4+48)),MONTH((Tahmin!$C$4+48)),MIN(DAY(Kalemler!$D84),DAY(EOMONTH((Tahmin!$C$4+48),0))))&gt;=Kalemler!$D84)),1,0),IF(AND(Kalemler!$D84&gt;=(Tahmin!$C$4+42),Kalemler!$D84&lt;=(Tahmin!$C$4+48)),1,0))))</f>
        <v>0</v>
      </c>
      <c r="I84" s="0" t="n">
        <f aca="false">IF(OR(Kalemler!$A84="",Kalemler!$C84="",Kalemler!$D84=""),0,Kalemler!$C84*IF(Kalemler!$E84="Haftalık",IF(Kalemler!$D84&lt;=(Tahmin!$C$4+55),1,0),IF(Kalemler!$E84="Aylık",IF(OR(AND(DATE(YEAR((Tahmin!$C$4+49)),MONTH((Tahmin!$C$4+49)),MIN(DAY(Kalemler!$D84),DAY(EOMONTH((Tahmin!$C$4+49),0))))&gt;=(Tahmin!$C$4+49),DATE(YEAR((Tahmin!$C$4+49)),MONTH((Tahmin!$C$4+49)),MIN(DAY(Kalemler!$D84),DAY(EOMONTH((Tahmin!$C$4+49),0))))&lt;=(Tahmin!$C$4+55),DATE(YEAR((Tahmin!$C$4+49)),MONTH((Tahmin!$C$4+49)),MIN(DAY(Kalemler!$D84),DAY(EOMONTH((Tahmin!$C$4+49),0))))&gt;=Kalemler!$D84),AND(DATE(YEAR((Tahmin!$C$4+55)),MONTH((Tahmin!$C$4+55)),MIN(DAY(Kalemler!$D84),DAY(EOMONTH((Tahmin!$C$4+55),0))))&gt;=(Tahmin!$C$4+49),DATE(YEAR((Tahmin!$C$4+55)),MONTH((Tahmin!$C$4+55)),MIN(DAY(Kalemler!$D84),DAY(EOMONTH((Tahmin!$C$4+55),0))))&lt;=(Tahmin!$C$4+55),DATE(YEAR((Tahmin!$C$4+55)),MONTH((Tahmin!$C$4+55)),MIN(DAY(Kalemler!$D84),DAY(EOMONTH((Tahmin!$C$4+55),0))))&lt;&gt;DATE(YEAR((Tahmin!$C$4+49)),MONTH((Tahmin!$C$4+49)),MIN(DAY(Kalemler!$D84),DAY(EOMONTH((Tahmin!$C$4+49),0)))),DATE(YEAR((Tahmin!$C$4+55)),MONTH((Tahmin!$C$4+55)),MIN(DAY(Kalemler!$D84),DAY(EOMONTH((Tahmin!$C$4+55),0))))&gt;=Kalemler!$D84)),1,0),IF(AND(Kalemler!$D84&gt;=(Tahmin!$C$4+49),Kalemler!$D84&lt;=(Tahmin!$C$4+55)),1,0))))</f>
        <v>0</v>
      </c>
      <c r="J84" s="0" t="n">
        <f aca="false">IF(OR(Kalemler!$A84="",Kalemler!$C84="",Kalemler!$D84=""),0,Kalemler!$C84*IF(Kalemler!$E84="Haftalık",IF(Kalemler!$D84&lt;=(Tahmin!$C$4+62),1,0),IF(Kalemler!$E84="Aylık",IF(OR(AND(DATE(YEAR((Tahmin!$C$4+56)),MONTH((Tahmin!$C$4+56)),MIN(DAY(Kalemler!$D84),DAY(EOMONTH((Tahmin!$C$4+56),0))))&gt;=(Tahmin!$C$4+56),DATE(YEAR((Tahmin!$C$4+56)),MONTH((Tahmin!$C$4+56)),MIN(DAY(Kalemler!$D84),DAY(EOMONTH((Tahmin!$C$4+56),0))))&lt;=(Tahmin!$C$4+62),DATE(YEAR((Tahmin!$C$4+56)),MONTH((Tahmin!$C$4+56)),MIN(DAY(Kalemler!$D84),DAY(EOMONTH((Tahmin!$C$4+56),0))))&gt;=Kalemler!$D84),AND(DATE(YEAR((Tahmin!$C$4+62)),MONTH((Tahmin!$C$4+62)),MIN(DAY(Kalemler!$D84),DAY(EOMONTH((Tahmin!$C$4+62),0))))&gt;=(Tahmin!$C$4+56),DATE(YEAR((Tahmin!$C$4+62)),MONTH((Tahmin!$C$4+62)),MIN(DAY(Kalemler!$D84),DAY(EOMONTH((Tahmin!$C$4+62),0))))&lt;=(Tahmin!$C$4+62),DATE(YEAR((Tahmin!$C$4+62)),MONTH((Tahmin!$C$4+62)),MIN(DAY(Kalemler!$D84),DAY(EOMONTH((Tahmin!$C$4+62),0))))&lt;&gt;DATE(YEAR((Tahmin!$C$4+56)),MONTH((Tahmin!$C$4+56)),MIN(DAY(Kalemler!$D84),DAY(EOMONTH((Tahmin!$C$4+56),0)))),DATE(YEAR((Tahmin!$C$4+62)),MONTH((Tahmin!$C$4+62)),MIN(DAY(Kalemler!$D84),DAY(EOMONTH((Tahmin!$C$4+62),0))))&gt;=Kalemler!$D84)),1,0),IF(AND(Kalemler!$D84&gt;=(Tahmin!$C$4+56),Kalemler!$D84&lt;=(Tahmin!$C$4+62)),1,0))))</f>
        <v>0</v>
      </c>
      <c r="K84" s="0" t="n">
        <f aca="false">IF(OR(Kalemler!$A84="",Kalemler!$C84="",Kalemler!$D84=""),0,Kalemler!$C84*IF(Kalemler!$E84="Haftalık",IF(Kalemler!$D84&lt;=(Tahmin!$C$4+69),1,0),IF(Kalemler!$E84="Aylık",IF(OR(AND(DATE(YEAR((Tahmin!$C$4+63)),MONTH((Tahmin!$C$4+63)),MIN(DAY(Kalemler!$D84),DAY(EOMONTH((Tahmin!$C$4+63),0))))&gt;=(Tahmin!$C$4+63),DATE(YEAR((Tahmin!$C$4+63)),MONTH((Tahmin!$C$4+63)),MIN(DAY(Kalemler!$D84),DAY(EOMONTH((Tahmin!$C$4+63),0))))&lt;=(Tahmin!$C$4+69),DATE(YEAR((Tahmin!$C$4+63)),MONTH((Tahmin!$C$4+63)),MIN(DAY(Kalemler!$D84),DAY(EOMONTH((Tahmin!$C$4+63),0))))&gt;=Kalemler!$D84),AND(DATE(YEAR((Tahmin!$C$4+69)),MONTH((Tahmin!$C$4+69)),MIN(DAY(Kalemler!$D84),DAY(EOMONTH((Tahmin!$C$4+69),0))))&gt;=(Tahmin!$C$4+63),DATE(YEAR((Tahmin!$C$4+69)),MONTH((Tahmin!$C$4+69)),MIN(DAY(Kalemler!$D84),DAY(EOMONTH((Tahmin!$C$4+69),0))))&lt;=(Tahmin!$C$4+69),DATE(YEAR((Tahmin!$C$4+69)),MONTH((Tahmin!$C$4+69)),MIN(DAY(Kalemler!$D84),DAY(EOMONTH((Tahmin!$C$4+69),0))))&lt;&gt;DATE(YEAR((Tahmin!$C$4+63)),MONTH((Tahmin!$C$4+63)),MIN(DAY(Kalemler!$D84),DAY(EOMONTH((Tahmin!$C$4+63),0)))),DATE(YEAR((Tahmin!$C$4+69)),MONTH((Tahmin!$C$4+69)),MIN(DAY(Kalemler!$D84),DAY(EOMONTH((Tahmin!$C$4+69),0))))&gt;=Kalemler!$D84)),1,0),IF(AND(Kalemler!$D84&gt;=(Tahmin!$C$4+63),Kalemler!$D84&lt;=(Tahmin!$C$4+69)),1,0))))</f>
        <v>0</v>
      </c>
      <c r="L84" s="0" t="n">
        <f aca="false">IF(OR(Kalemler!$A84="",Kalemler!$C84="",Kalemler!$D84=""),0,Kalemler!$C84*IF(Kalemler!$E84="Haftalık",IF(Kalemler!$D84&lt;=(Tahmin!$C$4+76),1,0),IF(Kalemler!$E84="Aylık",IF(OR(AND(DATE(YEAR((Tahmin!$C$4+70)),MONTH((Tahmin!$C$4+70)),MIN(DAY(Kalemler!$D84),DAY(EOMONTH((Tahmin!$C$4+70),0))))&gt;=(Tahmin!$C$4+70),DATE(YEAR((Tahmin!$C$4+70)),MONTH((Tahmin!$C$4+70)),MIN(DAY(Kalemler!$D84),DAY(EOMONTH((Tahmin!$C$4+70),0))))&lt;=(Tahmin!$C$4+76),DATE(YEAR((Tahmin!$C$4+70)),MONTH((Tahmin!$C$4+70)),MIN(DAY(Kalemler!$D84),DAY(EOMONTH((Tahmin!$C$4+70),0))))&gt;=Kalemler!$D84),AND(DATE(YEAR((Tahmin!$C$4+76)),MONTH((Tahmin!$C$4+76)),MIN(DAY(Kalemler!$D84),DAY(EOMONTH((Tahmin!$C$4+76),0))))&gt;=(Tahmin!$C$4+70),DATE(YEAR((Tahmin!$C$4+76)),MONTH((Tahmin!$C$4+76)),MIN(DAY(Kalemler!$D84),DAY(EOMONTH((Tahmin!$C$4+76),0))))&lt;=(Tahmin!$C$4+76),DATE(YEAR((Tahmin!$C$4+76)),MONTH((Tahmin!$C$4+76)),MIN(DAY(Kalemler!$D84),DAY(EOMONTH((Tahmin!$C$4+76),0))))&lt;&gt;DATE(YEAR((Tahmin!$C$4+70)),MONTH((Tahmin!$C$4+70)),MIN(DAY(Kalemler!$D84),DAY(EOMONTH((Tahmin!$C$4+70),0)))),DATE(YEAR((Tahmin!$C$4+76)),MONTH((Tahmin!$C$4+76)),MIN(DAY(Kalemler!$D84),DAY(EOMONTH((Tahmin!$C$4+76),0))))&gt;=Kalemler!$D84)),1,0),IF(AND(Kalemler!$D84&gt;=(Tahmin!$C$4+70),Kalemler!$D84&lt;=(Tahmin!$C$4+76)),1,0))))</f>
        <v>0</v>
      </c>
      <c r="M84" s="0" t="n">
        <f aca="false">IF(OR(Kalemler!$A84="",Kalemler!$C84="",Kalemler!$D84=""),0,Kalemler!$C84*IF(Kalemler!$E84="Haftalık",IF(Kalemler!$D84&lt;=(Tahmin!$C$4+83),1,0),IF(Kalemler!$E84="Aylık",IF(OR(AND(DATE(YEAR((Tahmin!$C$4+77)),MONTH((Tahmin!$C$4+77)),MIN(DAY(Kalemler!$D84),DAY(EOMONTH((Tahmin!$C$4+77),0))))&gt;=(Tahmin!$C$4+77),DATE(YEAR((Tahmin!$C$4+77)),MONTH((Tahmin!$C$4+77)),MIN(DAY(Kalemler!$D84),DAY(EOMONTH((Tahmin!$C$4+77),0))))&lt;=(Tahmin!$C$4+83),DATE(YEAR((Tahmin!$C$4+77)),MONTH((Tahmin!$C$4+77)),MIN(DAY(Kalemler!$D84),DAY(EOMONTH((Tahmin!$C$4+77),0))))&gt;=Kalemler!$D84),AND(DATE(YEAR((Tahmin!$C$4+83)),MONTH((Tahmin!$C$4+83)),MIN(DAY(Kalemler!$D84),DAY(EOMONTH((Tahmin!$C$4+83),0))))&gt;=(Tahmin!$C$4+77),DATE(YEAR((Tahmin!$C$4+83)),MONTH((Tahmin!$C$4+83)),MIN(DAY(Kalemler!$D84),DAY(EOMONTH((Tahmin!$C$4+83),0))))&lt;=(Tahmin!$C$4+83),DATE(YEAR((Tahmin!$C$4+83)),MONTH((Tahmin!$C$4+83)),MIN(DAY(Kalemler!$D84),DAY(EOMONTH((Tahmin!$C$4+83),0))))&lt;&gt;DATE(YEAR((Tahmin!$C$4+77)),MONTH((Tahmin!$C$4+77)),MIN(DAY(Kalemler!$D84),DAY(EOMONTH((Tahmin!$C$4+77),0)))),DATE(YEAR((Tahmin!$C$4+83)),MONTH((Tahmin!$C$4+83)),MIN(DAY(Kalemler!$D84),DAY(EOMONTH((Tahmin!$C$4+83),0))))&gt;=Kalemler!$D84)),1,0),IF(AND(Kalemler!$D84&gt;=(Tahmin!$C$4+77),Kalemler!$D84&lt;=(Tahmin!$C$4+83)),1,0))))</f>
        <v>0</v>
      </c>
      <c r="N84" s="0" t="n">
        <f aca="false">IF(OR(Kalemler!$A84="",Kalemler!$C84="",Kalemler!$D84=""),0,Kalemler!$C84*IF(Kalemler!$E84="Haftalık",IF(Kalemler!$D84&lt;=(Tahmin!$C$4+90),1,0),IF(Kalemler!$E84="Aylık",IF(OR(AND(DATE(YEAR((Tahmin!$C$4+84)),MONTH((Tahmin!$C$4+84)),MIN(DAY(Kalemler!$D84),DAY(EOMONTH((Tahmin!$C$4+84),0))))&gt;=(Tahmin!$C$4+84),DATE(YEAR((Tahmin!$C$4+84)),MONTH((Tahmin!$C$4+84)),MIN(DAY(Kalemler!$D84),DAY(EOMONTH((Tahmin!$C$4+84),0))))&lt;=(Tahmin!$C$4+90),DATE(YEAR((Tahmin!$C$4+84)),MONTH((Tahmin!$C$4+84)),MIN(DAY(Kalemler!$D84),DAY(EOMONTH((Tahmin!$C$4+84),0))))&gt;=Kalemler!$D84),AND(DATE(YEAR((Tahmin!$C$4+90)),MONTH((Tahmin!$C$4+90)),MIN(DAY(Kalemler!$D84),DAY(EOMONTH((Tahmin!$C$4+90),0))))&gt;=(Tahmin!$C$4+84),DATE(YEAR((Tahmin!$C$4+90)),MONTH((Tahmin!$C$4+90)),MIN(DAY(Kalemler!$D84),DAY(EOMONTH((Tahmin!$C$4+90),0))))&lt;=(Tahmin!$C$4+90),DATE(YEAR((Tahmin!$C$4+90)),MONTH((Tahmin!$C$4+90)),MIN(DAY(Kalemler!$D84),DAY(EOMONTH((Tahmin!$C$4+90),0))))&lt;&gt;DATE(YEAR((Tahmin!$C$4+84)),MONTH((Tahmin!$C$4+84)),MIN(DAY(Kalemler!$D84),DAY(EOMONTH((Tahmin!$C$4+84),0)))),DATE(YEAR((Tahmin!$C$4+90)),MONTH((Tahmin!$C$4+90)),MIN(DAY(Kalemler!$D84),DAY(EOMONTH((Tahmin!$C$4+90),0))))&gt;=Kalemler!$D84)),1,0),IF(AND(Kalemler!$D84&gt;=(Tahmin!$C$4+84),Kalemler!$D84&lt;=(Tahmin!$C$4+90)),1,0))))</f>
        <v>0</v>
      </c>
    </row>
    <row r="85" customFormat="false" ht="15" hidden="false" customHeight="false" outlineLevel="0" collapsed="false">
      <c r="A85" s="0" t="str">
        <f aca="false">IF(Kalemler!A85="","",Kalemler!A85)</f>
        <v/>
      </c>
      <c r="B85" s="0" t="n">
        <f aca="false">IF(OR(Kalemler!$A85="",Kalemler!$C85="",Kalemler!$D85=""),0,Kalemler!$C85*IF(Kalemler!$E85="Haftalık",IF(Kalemler!$D85&lt;=(Tahmin!$C$4+6),1,0),IF(Kalemler!$E85="Aylık",IF(OR(AND(DATE(YEAR((Tahmin!$C$4+0)),MONTH((Tahmin!$C$4+0)),MIN(DAY(Kalemler!$D85),DAY(EOMONTH((Tahmin!$C$4+0),0))))&gt;=(Tahmin!$C$4+0),DATE(YEAR((Tahmin!$C$4+0)),MONTH((Tahmin!$C$4+0)),MIN(DAY(Kalemler!$D85),DAY(EOMONTH((Tahmin!$C$4+0),0))))&lt;=(Tahmin!$C$4+6),DATE(YEAR((Tahmin!$C$4+0)),MONTH((Tahmin!$C$4+0)),MIN(DAY(Kalemler!$D85),DAY(EOMONTH((Tahmin!$C$4+0),0))))&gt;=Kalemler!$D85),AND(DATE(YEAR((Tahmin!$C$4+6)),MONTH((Tahmin!$C$4+6)),MIN(DAY(Kalemler!$D85),DAY(EOMONTH((Tahmin!$C$4+6),0))))&gt;=(Tahmin!$C$4+0),DATE(YEAR((Tahmin!$C$4+6)),MONTH((Tahmin!$C$4+6)),MIN(DAY(Kalemler!$D85),DAY(EOMONTH((Tahmin!$C$4+6),0))))&lt;=(Tahmin!$C$4+6),DATE(YEAR((Tahmin!$C$4+6)),MONTH((Tahmin!$C$4+6)),MIN(DAY(Kalemler!$D85),DAY(EOMONTH((Tahmin!$C$4+6),0))))&lt;&gt;DATE(YEAR((Tahmin!$C$4+0)),MONTH((Tahmin!$C$4+0)),MIN(DAY(Kalemler!$D85),DAY(EOMONTH((Tahmin!$C$4+0),0)))),DATE(YEAR((Tahmin!$C$4+6)),MONTH((Tahmin!$C$4+6)),MIN(DAY(Kalemler!$D85),DAY(EOMONTH((Tahmin!$C$4+6),0))))&gt;=Kalemler!$D85)),1,0),IF(AND(Kalemler!$D85&gt;=(Tahmin!$C$4+0),Kalemler!$D85&lt;=(Tahmin!$C$4+6)),1,0))))</f>
        <v>0</v>
      </c>
      <c r="C85" s="0" t="n">
        <f aca="false">IF(OR(Kalemler!$A85="",Kalemler!$C85="",Kalemler!$D85=""),0,Kalemler!$C85*IF(Kalemler!$E85="Haftalık",IF(Kalemler!$D85&lt;=(Tahmin!$C$4+13),1,0),IF(Kalemler!$E85="Aylık",IF(OR(AND(DATE(YEAR((Tahmin!$C$4+7)),MONTH((Tahmin!$C$4+7)),MIN(DAY(Kalemler!$D85),DAY(EOMONTH((Tahmin!$C$4+7),0))))&gt;=(Tahmin!$C$4+7),DATE(YEAR((Tahmin!$C$4+7)),MONTH((Tahmin!$C$4+7)),MIN(DAY(Kalemler!$D85),DAY(EOMONTH((Tahmin!$C$4+7),0))))&lt;=(Tahmin!$C$4+13),DATE(YEAR((Tahmin!$C$4+7)),MONTH((Tahmin!$C$4+7)),MIN(DAY(Kalemler!$D85),DAY(EOMONTH((Tahmin!$C$4+7),0))))&gt;=Kalemler!$D85),AND(DATE(YEAR((Tahmin!$C$4+13)),MONTH((Tahmin!$C$4+13)),MIN(DAY(Kalemler!$D85),DAY(EOMONTH((Tahmin!$C$4+13),0))))&gt;=(Tahmin!$C$4+7),DATE(YEAR((Tahmin!$C$4+13)),MONTH((Tahmin!$C$4+13)),MIN(DAY(Kalemler!$D85),DAY(EOMONTH((Tahmin!$C$4+13),0))))&lt;=(Tahmin!$C$4+13),DATE(YEAR((Tahmin!$C$4+13)),MONTH((Tahmin!$C$4+13)),MIN(DAY(Kalemler!$D85),DAY(EOMONTH((Tahmin!$C$4+13),0))))&lt;&gt;DATE(YEAR((Tahmin!$C$4+7)),MONTH((Tahmin!$C$4+7)),MIN(DAY(Kalemler!$D85),DAY(EOMONTH((Tahmin!$C$4+7),0)))),DATE(YEAR((Tahmin!$C$4+13)),MONTH((Tahmin!$C$4+13)),MIN(DAY(Kalemler!$D85),DAY(EOMONTH((Tahmin!$C$4+13),0))))&gt;=Kalemler!$D85)),1,0),IF(AND(Kalemler!$D85&gt;=(Tahmin!$C$4+7),Kalemler!$D85&lt;=(Tahmin!$C$4+13)),1,0))))</f>
        <v>0</v>
      </c>
      <c r="D85" s="0" t="n">
        <f aca="false">IF(OR(Kalemler!$A85="",Kalemler!$C85="",Kalemler!$D85=""),0,Kalemler!$C85*IF(Kalemler!$E85="Haftalık",IF(Kalemler!$D85&lt;=(Tahmin!$C$4+20),1,0),IF(Kalemler!$E85="Aylık",IF(OR(AND(DATE(YEAR((Tahmin!$C$4+14)),MONTH((Tahmin!$C$4+14)),MIN(DAY(Kalemler!$D85),DAY(EOMONTH((Tahmin!$C$4+14),0))))&gt;=(Tahmin!$C$4+14),DATE(YEAR((Tahmin!$C$4+14)),MONTH((Tahmin!$C$4+14)),MIN(DAY(Kalemler!$D85),DAY(EOMONTH((Tahmin!$C$4+14),0))))&lt;=(Tahmin!$C$4+20),DATE(YEAR((Tahmin!$C$4+14)),MONTH((Tahmin!$C$4+14)),MIN(DAY(Kalemler!$D85),DAY(EOMONTH((Tahmin!$C$4+14),0))))&gt;=Kalemler!$D85),AND(DATE(YEAR((Tahmin!$C$4+20)),MONTH((Tahmin!$C$4+20)),MIN(DAY(Kalemler!$D85),DAY(EOMONTH((Tahmin!$C$4+20),0))))&gt;=(Tahmin!$C$4+14),DATE(YEAR((Tahmin!$C$4+20)),MONTH((Tahmin!$C$4+20)),MIN(DAY(Kalemler!$D85),DAY(EOMONTH((Tahmin!$C$4+20),0))))&lt;=(Tahmin!$C$4+20),DATE(YEAR((Tahmin!$C$4+20)),MONTH((Tahmin!$C$4+20)),MIN(DAY(Kalemler!$D85),DAY(EOMONTH((Tahmin!$C$4+20),0))))&lt;&gt;DATE(YEAR((Tahmin!$C$4+14)),MONTH((Tahmin!$C$4+14)),MIN(DAY(Kalemler!$D85),DAY(EOMONTH((Tahmin!$C$4+14),0)))),DATE(YEAR((Tahmin!$C$4+20)),MONTH((Tahmin!$C$4+20)),MIN(DAY(Kalemler!$D85),DAY(EOMONTH((Tahmin!$C$4+20),0))))&gt;=Kalemler!$D85)),1,0),IF(AND(Kalemler!$D85&gt;=(Tahmin!$C$4+14),Kalemler!$D85&lt;=(Tahmin!$C$4+20)),1,0))))</f>
        <v>0</v>
      </c>
      <c r="E85" s="0" t="n">
        <f aca="false">IF(OR(Kalemler!$A85="",Kalemler!$C85="",Kalemler!$D85=""),0,Kalemler!$C85*IF(Kalemler!$E85="Haftalık",IF(Kalemler!$D85&lt;=(Tahmin!$C$4+27),1,0),IF(Kalemler!$E85="Aylık",IF(OR(AND(DATE(YEAR((Tahmin!$C$4+21)),MONTH((Tahmin!$C$4+21)),MIN(DAY(Kalemler!$D85),DAY(EOMONTH((Tahmin!$C$4+21),0))))&gt;=(Tahmin!$C$4+21),DATE(YEAR((Tahmin!$C$4+21)),MONTH((Tahmin!$C$4+21)),MIN(DAY(Kalemler!$D85),DAY(EOMONTH((Tahmin!$C$4+21),0))))&lt;=(Tahmin!$C$4+27),DATE(YEAR((Tahmin!$C$4+21)),MONTH((Tahmin!$C$4+21)),MIN(DAY(Kalemler!$D85),DAY(EOMONTH((Tahmin!$C$4+21),0))))&gt;=Kalemler!$D85),AND(DATE(YEAR((Tahmin!$C$4+27)),MONTH((Tahmin!$C$4+27)),MIN(DAY(Kalemler!$D85),DAY(EOMONTH((Tahmin!$C$4+27),0))))&gt;=(Tahmin!$C$4+21),DATE(YEAR((Tahmin!$C$4+27)),MONTH((Tahmin!$C$4+27)),MIN(DAY(Kalemler!$D85),DAY(EOMONTH((Tahmin!$C$4+27),0))))&lt;=(Tahmin!$C$4+27),DATE(YEAR((Tahmin!$C$4+27)),MONTH((Tahmin!$C$4+27)),MIN(DAY(Kalemler!$D85),DAY(EOMONTH((Tahmin!$C$4+27),0))))&lt;&gt;DATE(YEAR((Tahmin!$C$4+21)),MONTH((Tahmin!$C$4+21)),MIN(DAY(Kalemler!$D85),DAY(EOMONTH((Tahmin!$C$4+21),0)))),DATE(YEAR((Tahmin!$C$4+27)),MONTH((Tahmin!$C$4+27)),MIN(DAY(Kalemler!$D85),DAY(EOMONTH((Tahmin!$C$4+27),0))))&gt;=Kalemler!$D85)),1,0),IF(AND(Kalemler!$D85&gt;=(Tahmin!$C$4+21),Kalemler!$D85&lt;=(Tahmin!$C$4+27)),1,0))))</f>
        <v>0</v>
      </c>
      <c r="F85" s="0" t="n">
        <f aca="false">IF(OR(Kalemler!$A85="",Kalemler!$C85="",Kalemler!$D85=""),0,Kalemler!$C85*IF(Kalemler!$E85="Haftalık",IF(Kalemler!$D85&lt;=(Tahmin!$C$4+34),1,0),IF(Kalemler!$E85="Aylık",IF(OR(AND(DATE(YEAR((Tahmin!$C$4+28)),MONTH((Tahmin!$C$4+28)),MIN(DAY(Kalemler!$D85),DAY(EOMONTH((Tahmin!$C$4+28),0))))&gt;=(Tahmin!$C$4+28),DATE(YEAR((Tahmin!$C$4+28)),MONTH((Tahmin!$C$4+28)),MIN(DAY(Kalemler!$D85),DAY(EOMONTH((Tahmin!$C$4+28),0))))&lt;=(Tahmin!$C$4+34),DATE(YEAR((Tahmin!$C$4+28)),MONTH((Tahmin!$C$4+28)),MIN(DAY(Kalemler!$D85),DAY(EOMONTH((Tahmin!$C$4+28),0))))&gt;=Kalemler!$D85),AND(DATE(YEAR((Tahmin!$C$4+34)),MONTH((Tahmin!$C$4+34)),MIN(DAY(Kalemler!$D85),DAY(EOMONTH((Tahmin!$C$4+34),0))))&gt;=(Tahmin!$C$4+28),DATE(YEAR((Tahmin!$C$4+34)),MONTH((Tahmin!$C$4+34)),MIN(DAY(Kalemler!$D85),DAY(EOMONTH((Tahmin!$C$4+34),0))))&lt;=(Tahmin!$C$4+34),DATE(YEAR((Tahmin!$C$4+34)),MONTH((Tahmin!$C$4+34)),MIN(DAY(Kalemler!$D85),DAY(EOMONTH((Tahmin!$C$4+34),0))))&lt;&gt;DATE(YEAR((Tahmin!$C$4+28)),MONTH((Tahmin!$C$4+28)),MIN(DAY(Kalemler!$D85),DAY(EOMONTH((Tahmin!$C$4+28),0)))),DATE(YEAR((Tahmin!$C$4+34)),MONTH((Tahmin!$C$4+34)),MIN(DAY(Kalemler!$D85),DAY(EOMONTH((Tahmin!$C$4+34),0))))&gt;=Kalemler!$D85)),1,0),IF(AND(Kalemler!$D85&gt;=(Tahmin!$C$4+28),Kalemler!$D85&lt;=(Tahmin!$C$4+34)),1,0))))</f>
        <v>0</v>
      </c>
      <c r="G85" s="0" t="n">
        <f aca="false">IF(OR(Kalemler!$A85="",Kalemler!$C85="",Kalemler!$D85=""),0,Kalemler!$C85*IF(Kalemler!$E85="Haftalık",IF(Kalemler!$D85&lt;=(Tahmin!$C$4+41),1,0),IF(Kalemler!$E85="Aylık",IF(OR(AND(DATE(YEAR((Tahmin!$C$4+35)),MONTH((Tahmin!$C$4+35)),MIN(DAY(Kalemler!$D85),DAY(EOMONTH((Tahmin!$C$4+35),0))))&gt;=(Tahmin!$C$4+35),DATE(YEAR((Tahmin!$C$4+35)),MONTH((Tahmin!$C$4+35)),MIN(DAY(Kalemler!$D85),DAY(EOMONTH((Tahmin!$C$4+35),0))))&lt;=(Tahmin!$C$4+41),DATE(YEAR((Tahmin!$C$4+35)),MONTH((Tahmin!$C$4+35)),MIN(DAY(Kalemler!$D85),DAY(EOMONTH((Tahmin!$C$4+35),0))))&gt;=Kalemler!$D85),AND(DATE(YEAR((Tahmin!$C$4+41)),MONTH((Tahmin!$C$4+41)),MIN(DAY(Kalemler!$D85),DAY(EOMONTH((Tahmin!$C$4+41),0))))&gt;=(Tahmin!$C$4+35),DATE(YEAR((Tahmin!$C$4+41)),MONTH((Tahmin!$C$4+41)),MIN(DAY(Kalemler!$D85),DAY(EOMONTH((Tahmin!$C$4+41),0))))&lt;=(Tahmin!$C$4+41),DATE(YEAR((Tahmin!$C$4+41)),MONTH((Tahmin!$C$4+41)),MIN(DAY(Kalemler!$D85),DAY(EOMONTH((Tahmin!$C$4+41),0))))&lt;&gt;DATE(YEAR((Tahmin!$C$4+35)),MONTH((Tahmin!$C$4+35)),MIN(DAY(Kalemler!$D85),DAY(EOMONTH((Tahmin!$C$4+35),0)))),DATE(YEAR((Tahmin!$C$4+41)),MONTH((Tahmin!$C$4+41)),MIN(DAY(Kalemler!$D85),DAY(EOMONTH((Tahmin!$C$4+41),0))))&gt;=Kalemler!$D85)),1,0),IF(AND(Kalemler!$D85&gt;=(Tahmin!$C$4+35),Kalemler!$D85&lt;=(Tahmin!$C$4+41)),1,0))))</f>
        <v>0</v>
      </c>
      <c r="H85" s="0" t="n">
        <f aca="false">IF(OR(Kalemler!$A85="",Kalemler!$C85="",Kalemler!$D85=""),0,Kalemler!$C85*IF(Kalemler!$E85="Haftalık",IF(Kalemler!$D85&lt;=(Tahmin!$C$4+48),1,0),IF(Kalemler!$E85="Aylık",IF(OR(AND(DATE(YEAR((Tahmin!$C$4+42)),MONTH((Tahmin!$C$4+42)),MIN(DAY(Kalemler!$D85),DAY(EOMONTH((Tahmin!$C$4+42),0))))&gt;=(Tahmin!$C$4+42),DATE(YEAR((Tahmin!$C$4+42)),MONTH((Tahmin!$C$4+42)),MIN(DAY(Kalemler!$D85),DAY(EOMONTH((Tahmin!$C$4+42),0))))&lt;=(Tahmin!$C$4+48),DATE(YEAR((Tahmin!$C$4+42)),MONTH((Tahmin!$C$4+42)),MIN(DAY(Kalemler!$D85),DAY(EOMONTH((Tahmin!$C$4+42),0))))&gt;=Kalemler!$D85),AND(DATE(YEAR((Tahmin!$C$4+48)),MONTH((Tahmin!$C$4+48)),MIN(DAY(Kalemler!$D85),DAY(EOMONTH((Tahmin!$C$4+48),0))))&gt;=(Tahmin!$C$4+42),DATE(YEAR((Tahmin!$C$4+48)),MONTH((Tahmin!$C$4+48)),MIN(DAY(Kalemler!$D85),DAY(EOMONTH((Tahmin!$C$4+48),0))))&lt;=(Tahmin!$C$4+48),DATE(YEAR((Tahmin!$C$4+48)),MONTH((Tahmin!$C$4+48)),MIN(DAY(Kalemler!$D85),DAY(EOMONTH((Tahmin!$C$4+48),0))))&lt;&gt;DATE(YEAR((Tahmin!$C$4+42)),MONTH((Tahmin!$C$4+42)),MIN(DAY(Kalemler!$D85),DAY(EOMONTH((Tahmin!$C$4+42),0)))),DATE(YEAR((Tahmin!$C$4+48)),MONTH((Tahmin!$C$4+48)),MIN(DAY(Kalemler!$D85),DAY(EOMONTH((Tahmin!$C$4+48),0))))&gt;=Kalemler!$D85)),1,0),IF(AND(Kalemler!$D85&gt;=(Tahmin!$C$4+42),Kalemler!$D85&lt;=(Tahmin!$C$4+48)),1,0))))</f>
        <v>0</v>
      </c>
      <c r="I85" s="0" t="n">
        <f aca="false">IF(OR(Kalemler!$A85="",Kalemler!$C85="",Kalemler!$D85=""),0,Kalemler!$C85*IF(Kalemler!$E85="Haftalık",IF(Kalemler!$D85&lt;=(Tahmin!$C$4+55),1,0),IF(Kalemler!$E85="Aylık",IF(OR(AND(DATE(YEAR((Tahmin!$C$4+49)),MONTH((Tahmin!$C$4+49)),MIN(DAY(Kalemler!$D85),DAY(EOMONTH((Tahmin!$C$4+49),0))))&gt;=(Tahmin!$C$4+49),DATE(YEAR((Tahmin!$C$4+49)),MONTH((Tahmin!$C$4+49)),MIN(DAY(Kalemler!$D85),DAY(EOMONTH((Tahmin!$C$4+49),0))))&lt;=(Tahmin!$C$4+55),DATE(YEAR((Tahmin!$C$4+49)),MONTH((Tahmin!$C$4+49)),MIN(DAY(Kalemler!$D85),DAY(EOMONTH((Tahmin!$C$4+49),0))))&gt;=Kalemler!$D85),AND(DATE(YEAR((Tahmin!$C$4+55)),MONTH((Tahmin!$C$4+55)),MIN(DAY(Kalemler!$D85),DAY(EOMONTH((Tahmin!$C$4+55),0))))&gt;=(Tahmin!$C$4+49),DATE(YEAR((Tahmin!$C$4+55)),MONTH((Tahmin!$C$4+55)),MIN(DAY(Kalemler!$D85),DAY(EOMONTH((Tahmin!$C$4+55),0))))&lt;=(Tahmin!$C$4+55),DATE(YEAR((Tahmin!$C$4+55)),MONTH((Tahmin!$C$4+55)),MIN(DAY(Kalemler!$D85),DAY(EOMONTH((Tahmin!$C$4+55),0))))&lt;&gt;DATE(YEAR((Tahmin!$C$4+49)),MONTH((Tahmin!$C$4+49)),MIN(DAY(Kalemler!$D85),DAY(EOMONTH((Tahmin!$C$4+49),0)))),DATE(YEAR((Tahmin!$C$4+55)),MONTH((Tahmin!$C$4+55)),MIN(DAY(Kalemler!$D85),DAY(EOMONTH((Tahmin!$C$4+55),0))))&gt;=Kalemler!$D85)),1,0),IF(AND(Kalemler!$D85&gt;=(Tahmin!$C$4+49),Kalemler!$D85&lt;=(Tahmin!$C$4+55)),1,0))))</f>
        <v>0</v>
      </c>
      <c r="J85" s="0" t="n">
        <f aca="false">IF(OR(Kalemler!$A85="",Kalemler!$C85="",Kalemler!$D85=""),0,Kalemler!$C85*IF(Kalemler!$E85="Haftalık",IF(Kalemler!$D85&lt;=(Tahmin!$C$4+62),1,0),IF(Kalemler!$E85="Aylık",IF(OR(AND(DATE(YEAR((Tahmin!$C$4+56)),MONTH((Tahmin!$C$4+56)),MIN(DAY(Kalemler!$D85),DAY(EOMONTH((Tahmin!$C$4+56),0))))&gt;=(Tahmin!$C$4+56),DATE(YEAR((Tahmin!$C$4+56)),MONTH((Tahmin!$C$4+56)),MIN(DAY(Kalemler!$D85),DAY(EOMONTH((Tahmin!$C$4+56),0))))&lt;=(Tahmin!$C$4+62),DATE(YEAR((Tahmin!$C$4+56)),MONTH((Tahmin!$C$4+56)),MIN(DAY(Kalemler!$D85),DAY(EOMONTH((Tahmin!$C$4+56),0))))&gt;=Kalemler!$D85),AND(DATE(YEAR((Tahmin!$C$4+62)),MONTH((Tahmin!$C$4+62)),MIN(DAY(Kalemler!$D85),DAY(EOMONTH((Tahmin!$C$4+62),0))))&gt;=(Tahmin!$C$4+56),DATE(YEAR((Tahmin!$C$4+62)),MONTH((Tahmin!$C$4+62)),MIN(DAY(Kalemler!$D85),DAY(EOMONTH((Tahmin!$C$4+62),0))))&lt;=(Tahmin!$C$4+62),DATE(YEAR((Tahmin!$C$4+62)),MONTH((Tahmin!$C$4+62)),MIN(DAY(Kalemler!$D85),DAY(EOMONTH((Tahmin!$C$4+62),0))))&lt;&gt;DATE(YEAR((Tahmin!$C$4+56)),MONTH((Tahmin!$C$4+56)),MIN(DAY(Kalemler!$D85),DAY(EOMONTH((Tahmin!$C$4+56),0)))),DATE(YEAR((Tahmin!$C$4+62)),MONTH((Tahmin!$C$4+62)),MIN(DAY(Kalemler!$D85),DAY(EOMONTH((Tahmin!$C$4+62),0))))&gt;=Kalemler!$D85)),1,0),IF(AND(Kalemler!$D85&gt;=(Tahmin!$C$4+56),Kalemler!$D85&lt;=(Tahmin!$C$4+62)),1,0))))</f>
        <v>0</v>
      </c>
      <c r="K85" s="0" t="n">
        <f aca="false">IF(OR(Kalemler!$A85="",Kalemler!$C85="",Kalemler!$D85=""),0,Kalemler!$C85*IF(Kalemler!$E85="Haftalık",IF(Kalemler!$D85&lt;=(Tahmin!$C$4+69),1,0),IF(Kalemler!$E85="Aylık",IF(OR(AND(DATE(YEAR((Tahmin!$C$4+63)),MONTH((Tahmin!$C$4+63)),MIN(DAY(Kalemler!$D85),DAY(EOMONTH((Tahmin!$C$4+63),0))))&gt;=(Tahmin!$C$4+63),DATE(YEAR((Tahmin!$C$4+63)),MONTH((Tahmin!$C$4+63)),MIN(DAY(Kalemler!$D85),DAY(EOMONTH((Tahmin!$C$4+63),0))))&lt;=(Tahmin!$C$4+69),DATE(YEAR((Tahmin!$C$4+63)),MONTH((Tahmin!$C$4+63)),MIN(DAY(Kalemler!$D85),DAY(EOMONTH((Tahmin!$C$4+63),0))))&gt;=Kalemler!$D85),AND(DATE(YEAR((Tahmin!$C$4+69)),MONTH((Tahmin!$C$4+69)),MIN(DAY(Kalemler!$D85),DAY(EOMONTH((Tahmin!$C$4+69),0))))&gt;=(Tahmin!$C$4+63),DATE(YEAR((Tahmin!$C$4+69)),MONTH((Tahmin!$C$4+69)),MIN(DAY(Kalemler!$D85),DAY(EOMONTH((Tahmin!$C$4+69),0))))&lt;=(Tahmin!$C$4+69),DATE(YEAR((Tahmin!$C$4+69)),MONTH((Tahmin!$C$4+69)),MIN(DAY(Kalemler!$D85),DAY(EOMONTH((Tahmin!$C$4+69),0))))&lt;&gt;DATE(YEAR((Tahmin!$C$4+63)),MONTH((Tahmin!$C$4+63)),MIN(DAY(Kalemler!$D85),DAY(EOMONTH((Tahmin!$C$4+63),0)))),DATE(YEAR((Tahmin!$C$4+69)),MONTH((Tahmin!$C$4+69)),MIN(DAY(Kalemler!$D85),DAY(EOMONTH((Tahmin!$C$4+69),0))))&gt;=Kalemler!$D85)),1,0),IF(AND(Kalemler!$D85&gt;=(Tahmin!$C$4+63),Kalemler!$D85&lt;=(Tahmin!$C$4+69)),1,0))))</f>
        <v>0</v>
      </c>
      <c r="L85" s="0" t="n">
        <f aca="false">IF(OR(Kalemler!$A85="",Kalemler!$C85="",Kalemler!$D85=""),0,Kalemler!$C85*IF(Kalemler!$E85="Haftalık",IF(Kalemler!$D85&lt;=(Tahmin!$C$4+76),1,0),IF(Kalemler!$E85="Aylık",IF(OR(AND(DATE(YEAR((Tahmin!$C$4+70)),MONTH((Tahmin!$C$4+70)),MIN(DAY(Kalemler!$D85),DAY(EOMONTH((Tahmin!$C$4+70),0))))&gt;=(Tahmin!$C$4+70),DATE(YEAR((Tahmin!$C$4+70)),MONTH((Tahmin!$C$4+70)),MIN(DAY(Kalemler!$D85),DAY(EOMONTH((Tahmin!$C$4+70),0))))&lt;=(Tahmin!$C$4+76),DATE(YEAR((Tahmin!$C$4+70)),MONTH((Tahmin!$C$4+70)),MIN(DAY(Kalemler!$D85),DAY(EOMONTH((Tahmin!$C$4+70),0))))&gt;=Kalemler!$D85),AND(DATE(YEAR((Tahmin!$C$4+76)),MONTH((Tahmin!$C$4+76)),MIN(DAY(Kalemler!$D85),DAY(EOMONTH((Tahmin!$C$4+76),0))))&gt;=(Tahmin!$C$4+70),DATE(YEAR((Tahmin!$C$4+76)),MONTH((Tahmin!$C$4+76)),MIN(DAY(Kalemler!$D85),DAY(EOMONTH((Tahmin!$C$4+76),0))))&lt;=(Tahmin!$C$4+76),DATE(YEAR((Tahmin!$C$4+76)),MONTH((Tahmin!$C$4+76)),MIN(DAY(Kalemler!$D85),DAY(EOMONTH((Tahmin!$C$4+76),0))))&lt;&gt;DATE(YEAR((Tahmin!$C$4+70)),MONTH((Tahmin!$C$4+70)),MIN(DAY(Kalemler!$D85),DAY(EOMONTH((Tahmin!$C$4+70),0)))),DATE(YEAR((Tahmin!$C$4+76)),MONTH((Tahmin!$C$4+76)),MIN(DAY(Kalemler!$D85),DAY(EOMONTH((Tahmin!$C$4+76),0))))&gt;=Kalemler!$D85)),1,0),IF(AND(Kalemler!$D85&gt;=(Tahmin!$C$4+70),Kalemler!$D85&lt;=(Tahmin!$C$4+76)),1,0))))</f>
        <v>0</v>
      </c>
      <c r="M85" s="0" t="n">
        <f aca="false">IF(OR(Kalemler!$A85="",Kalemler!$C85="",Kalemler!$D85=""),0,Kalemler!$C85*IF(Kalemler!$E85="Haftalık",IF(Kalemler!$D85&lt;=(Tahmin!$C$4+83),1,0),IF(Kalemler!$E85="Aylık",IF(OR(AND(DATE(YEAR((Tahmin!$C$4+77)),MONTH((Tahmin!$C$4+77)),MIN(DAY(Kalemler!$D85),DAY(EOMONTH((Tahmin!$C$4+77),0))))&gt;=(Tahmin!$C$4+77),DATE(YEAR((Tahmin!$C$4+77)),MONTH((Tahmin!$C$4+77)),MIN(DAY(Kalemler!$D85),DAY(EOMONTH((Tahmin!$C$4+77),0))))&lt;=(Tahmin!$C$4+83),DATE(YEAR((Tahmin!$C$4+77)),MONTH((Tahmin!$C$4+77)),MIN(DAY(Kalemler!$D85),DAY(EOMONTH((Tahmin!$C$4+77),0))))&gt;=Kalemler!$D85),AND(DATE(YEAR((Tahmin!$C$4+83)),MONTH((Tahmin!$C$4+83)),MIN(DAY(Kalemler!$D85),DAY(EOMONTH((Tahmin!$C$4+83),0))))&gt;=(Tahmin!$C$4+77),DATE(YEAR((Tahmin!$C$4+83)),MONTH((Tahmin!$C$4+83)),MIN(DAY(Kalemler!$D85),DAY(EOMONTH((Tahmin!$C$4+83),0))))&lt;=(Tahmin!$C$4+83),DATE(YEAR((Tahmin!$C$4+83)),MONTH((Tahmin!$C$4+83)),MIN(DAY(Kalemler!$D85),DAY(EOMONTH((Tahmin!$C$4+83),0))))&lt;&gt;DATE(YEAR((Tahmin!$C$4+77)),MONTH((Tahmin!$C$4+77)),MIN(DAY(Kalemler!$D85),DAY(EOMONTH((Tahmin!$C$4+77),0)))),DATE(YEAR((Tahmin!$C$4+83)),MONTH((Tahmin!$C$4+83)),MIN(DAY(Kalemler!$D85),DAY(EOMONTH((Tahmin!$C$4+83),0))))&gt;=Kalemler!$D85)),1,0),IF(AND(Kalemler!$D85&gt;=(Tahmin!$C$4+77),Kalemler!$D85&lt;=(Tahmin!$C$4+83)),1,0))))</f>
        <v>0</v>
      </c>
      <c r="N85" s="0" t="n">
        <f aca="false">IF(OR(Kalemler!$A85="",Kalemler!$C85="",Kalemler!$D85=""),0,Kalemler!$C85*IF(Kalemler!$E85="Haftalık",IF(Kalemler!$D85&lt;=(Tahmin!$C$4+90),1,0),IF(Kalemler!$E85="Aylık",IF(OR(AND(DATE(YEAR((Tahmin!$C$4+84)),MONTH((Tahmin!$C$4+84)),MIN(DAY(Kalemler!$D85),DAY(EOMONTH((Tahmin!$C$4+84),0))))&gt;=(Tahmin!$C$4+84),DATE(YEAR((Tahmin!$C$4+84)),MONTH((Tahmin!$C$4+84)),MIN(DAY(Kalemler!$D85),DAY(EOMONTH((Tahmin!$C$4+84),0))))&lt;=(Tahmin!$C$4+90),DATE(YEAR((Tahmin!$C$4+84)),MONTH((Tahmin!$C$4+84)),MIN(DAY(Kalemler!$D85),DAY(EOMONTH((Tahmin!$C$4+84),0))))&gt;=Kalemler!$D85),AND(DATE(YEAR((Tahmin!$C$4+90)),MONTH((Tahmin!$C$4+90)),MIN(DAY(Kalemler!$D85),DAY(EOMONTH((Tahmin!$C$4+90),0))))&gt;=(Tahmin!$C$4+84),DATE(YEAR((Tahmin!$C$4+90)),MONTH((Tahmin!$C$4+90)),MIN(DAY(Kalemler!$D85),DAY(EOMONTH((Tahmin!$C$4+90),0))))&lt;=(Tahmin!$C$4+90),DATE(YEAR((Tahmin!$C$4+90)),MONTH((Tahmin!$C$4+90)),MIN(DAY(Kalemler!$D85),DAY(EOMONTH((Tahmin!$C$4+90),0))))&lt;&gt;DATE(YEAR((Tahmin!$C$4+84)),MONTH((Tahmin!$C$4+84)),MIN(DAY(Kalemler!$D85),DAY(EOMONTH((Tahmin!$C$4+84),0)))),DATE(YEAR((Tahmin!$C$4+90)),MONTH((Tahmin!$C$4+90)),MIN(DAY(Kalemler!$D85),DAY(EOMONTH((Tahmin!$C$4+90),0))))&gt;=Kalemler!$D85)),1,0),IF(AND(Kalemler!$D85&gt;=(Tahmin!$C$4+84),Kalemler!$D85&lt;=(Tahmin!$C$4+90)),1,0))))</f>
        <v>0</v>
      </c>
    </row>
    <row r="86" customFormat="false" ht="15" hidden="false" customHeight="false" outlineLevel="0" collapsed="false">
      <c r="A86" s="0" t="str">
        <f aca="false">IF(Kalemler!A86="","",Kalemler!A86)</f>
        <v/>
      </c>
      <c r="B86" s="0" t="n">
        <f aca="false">IF(OR(Kalemler!$A86="",Kalemler!$C86="",Kalemler!$D86=""),0,Kalemler!$C86*IF(Kalemler!$E86="Haftalık",IF(Kalemler!$D86&lt;=(Tahmin!$C$4+6),1,0),IF(Kalemler!$E86="Aylık",IF(OR(AND(DATE(YEAR((Tahmin!$C$4+0)),MONTH((Tahmin!$C$4+0)),MIN(DAY(Kalemler!$D86),DAY(EOMONTH((Tahmin!$C$4+0),0))))&gt;=(Tahmin!$C$4+0),DATE(YEAR((Tahmin!$C$4+0)),MONTH((Tahmin!$C$4+0)),MIN(DAY(Kalemler!$D86),DAY(EOMONTH((Tahmin!$C$4+0),0))))&lt;=(Tahmin!$C$4+6),DATE(YEAR((Tahmin!$C$4+0)),MONTH((Tahmin!$C$4+0)),MIN(DAY(Kalemler!$D86),DAY(EOMONTH((Tahmin!$C$4+0),0))))&gt;=Kalemler!$D86),AND(DATE(YEAR((Tahmin!$C$4+6)),MONTH((Tahmin!$C$4+6)),MIN(DAY(Kalemler!$D86),DAY(EOMONTH((Tahmin!$C$4+6),0))))&gt;=(Tahmin!$C$4+0),DATE(YEAR((Tahmin!$C$4+6)),MONTH((Tahmin!$C$4+6)),MIN(DAY(Kalemler!$D86),DAY(EOMONTH((Tahmin!$C$4+6),0))))&lt;=(Tahmin!$C$4+6),DATE(YEAR((Tahmin!$C$4+6)),MONTH((Tahmin!$C$4+6)),MIN(DAY(Kalemler!$D86),DAY(EOMONTH((Tahmin!$C$4+6),0))))&lt;&gt;DATE(YEAR((Tahmin!$C$4+0)),MONTH((Tahmin!$C$4+0)),MIN(DAY(Kalemler!$D86),DAY(EOMONTH((Tahmin!$C$4+0),0)))),DATE(YEAR((Tahmin!$C$4+6)),MONTH((Tahmin!$C$4+6)),MIN(DAY(Kalemler!$D86),DAY(EOMONTH((Tahmin!$C$4+6),0))))&gt;=Kalemler!$D86)),1,0),IF(AND(Kalemler!$D86&gt;=(Tahmin!$C$4+0),Kalemler!$D86&lt;=(Tahmin!$C$4+6)),1,0))))</f>
        <v>0</v>
      </c>
      <c r="C86" s="0" t="n">
        <f aca="false">IF(OR(Kalemler!$A86="",Kalemler!$C86="",Kalemler!$D86=""),0,Kalemler!$C86*IF(Kalemler!$E86="Haftalık",IF(Kalemler!$D86&lt;=(Tahmin!$C$4+13),1,0),IF(Kalemler!$E86="Aylık",IF(OR(AND(DATE(YEAR((Tahmin!$C$4+7)),MONTH((Tahmin!$C$4+7)),MIN(DAY(Kalemler!$D86),DAY(EOMONTH((Tahmin!$C$4+7),0))))&gt;=(Tahmin!$C$4+7),DATE(YEAR((Tahmin!$C$4+7)),MONTH((Tahmin!$C$4+7)),MIN(DAY(Kalemler!$D86),DAY(EOMONTH((Tahmin!$C$4+7),0))))&lt;=(Tahmin!$C$4+13),DATE(YEAR((Tahmin!$C$4+7)),MONTH((Tahmin!$C$4+7)),MIN(DAY(Kalemler!$D86),DAY(EOMONTH((Tahmin!$C$4+7),0))))&gt;=Kalemler!$D86),AND(DATE(YEAR((Tahmin!$C$4+13)),MONTH((Tahmin!$C$4+13)),MIN(DAY(Kalemler!$D86),DAY(EOMONTH((Tahmin!$C$4+13),0))))&gt;=(Tahmin!$C$4+7),DATE(YEAR((Tahmin!$C$4+13)),MONTH((Tahmin!$C$4+13)),MIN(DAY(Kalemler!$D86),DAY(EOMONTH((Tahmin!$C$4+13),0))))&lt;=(Tahmin!$C$4+13),DATE(YEAR((Tahmin!$C$4+13)),MONTH((Tahmin!$C$4+13)),MIN(DAY(Kalemler!$D86),DAY(EOMONTH((Tahmin!$C$4+13),0))))&lt;&gt;DATE(YEAR((Tahmin!$C$4+7)),MONTH((Tahmin!$C$4+7)),MIN(DAY(Kalemler!$D86),DAY(EOMONTH((Tahmin!$C$4+7),0)))),DATE(YEAR((Tahmin!$C$4+13)),MONTH((Tahmin!$C$4+13)),MIN(DAY(Kalemler!$D86),DAY(EOMONTH((Tahmin!$C$4+13),0))))&gt;=Kalemler!$D86)),1,0),IF(AND(Kalemler!$D86&gt;=(Tahmin!$C$4+7),Kalemler!$D86&lt;=(Tahmin!$C$4+13)),1,0))))</f>
        <v>0</v>
      </c>
      <c r="D86" s="0" t="n">
        <f aca="false">IF(OR(Kalemler!$A86="",Kalemler!$C86="",Kalemler!$D86=""),0,Kalemler!$C86*IF(Kalemler!$E86="Haftalık",IF(Kalemler!$D86&lt;=(Tahmin!$C$4+20),1,0),IF(Kalemler!$E86="Aylık",IF(OR(AND(DATE(YEAR((Tahmin!$C$4+14)),MONTH((Tahmin!$C$4+14)),MIN(DAY(Kalemler!$D86),DAY(EOMONTH((Tahmin!$C$4+14),0))))&gt;=(Tahmin!$C$4+14),DATE(YEAR((Tahmin!$C$4+14)),MONTH((Tahmin!$C$4+14)),MIN(DAY(Kalemler!$D86),DAY(EOMONTH((Tahmin!$C$4+14),0))))&lt;=(Tahmin!$C$4+20),DATE(YEAR((Tahmin!$C$4+14)),MONTH((Tahmin!$C$4+14)),MIN(DAY(Kalemler!$D86),DAY(EOMONTH((Tahmin!$C$4+14),0))))&gt;=Kalemler!$D86),AND(DATE(YEAR((Tahmin!$C$4+20)),MONTH((Tahmin!$C$4+20)),MIN(DAY(Kalemler!$D86),DAY(EOMONTH((Tahmin!$C$4+20),0))))&gt;=(Tahmin!$C$4+14),DATE(YEAR((Tahmin!$C$4+20)),MONTH((Tahmin!$C$4+20)),MIN(DAY(Kalemler!$D86),DAY(EOMONTH((Tahmin!$C$4+20),0))))&lt;=(Tahmin!$C$4+20),DATE(YEAR((Tahmin!$C$4+20)),MONTH((Tahmin!$C$4+20)),MIN(DAY(Kalemler!$D86),DAY(EOMONTH((Tahmin!$C$4+20),0))))&lt;&gt;DATE(YEAR((Tahmin!$C$4+14)),MONTH((Tahmin!$C$4+14)),MIN(DAY(Kalemler!$D86),DAY(EOMONTH((Tahmin!$C$4+14),0)))),DATE(YEAR((Tahmin!$C$4+20)),MONTH((Tahmin!$C$4+20)),MIN(DAY(Kalemler!$D86),DAY(EOMONTH((Tahmin!$C$4+20),0))))&gt;=Kalemler!$D86)),1,0),IF(AND(Kalemler!$D86&gt;=(Tahmin!$C$4+14),Kalemler!$D86&lt;=(Tahmin!$C$4+20)),1,0))))</f>
        <v>0</v>
      </c>
      <c r="E86" s="0" t="n">
        <f aca="false">IF(OR(Kalemler!$A86="",Kalemler!$C86="",Kalemler!$D86=""),0,Kalemler!$C86*IF(Kalemler!$E86="Haftalık",IF(Kalemler!$D86&lt;=(Tahmin!$C$4+27),1,0),IF(Kalemler!$E86="Aylık",IF(OR(AND(DATE(YEAR((Tahmin!$C$4+21)),MONTH((Tahmin!$C$4+21)),MIN(DAY(Kalemler!$D86),DAY(EOMONTH((Tahmin!$C$4+21),0))))&gt;=(Tahmin!$C$4+21),DATE(YEAR((Tahmin!$C$4+21)),MONTH((Tahmin!$C$4+21)),MIN(DAY(Kalemler!$D86),DAY(EOMONTH((Tahmin!$C$4+21),0))))&lt;=(Tahmin!$C$4+27),DATE(YEAR((Tahmin!$C$4+21)),MONTH((Tahmin!$C$4+21)),MIN(DAY(Kalemler!$D86),DAY(EOMONTH((Tahmin!$C$4+21),0))))&gt;=Kalemler!$D86),AND(DATE(YEAR((Tahmin!$C$4+27)),MONTH((Tahmin!$C$4+27)),MIN(DAY(Kalemler!$D86),DAY(EOMONTH((Tahmin!$C$4+27),0))))&gt;=(Tahmin!$C$4+21),DATE(YEAR((Tahmin!$C$4+27)),MONTH((Tahmin!$C$4+27)),MIN(DAY(Kalemler!$D86),DAY(EOMONTH((Tahmin!$C$4+27),0))))&lt;=(Tahmin!$C$4+27),DATE(YEAR((Tahmin!$C$4+27)),MONTH((Tahmin!$C$4+27)),MIN(DAY(Kalemler!$D86),DAY(EOMONTH((Tahmin!$C$4+27),0))))&lt;&gt;DATE(YEAR((Tahmin!$C$4+21)),MONTH((Tahmin!$C$4+21)),MIN(DAY(Kalemler!$D86),DAY(EOMONTH((Tahmin!$C$4+21),0)))),DATE(YEAR((Tahmin!$C$4+27)),MONTH((Tahmin!$C$4+27)),MIN(DAY(Kalemler!$D86),DAY(EOMONTH((Tahmin!$C$4+27),0))))&gt;=Kalemler!$D86)),1,0),IF(AND(Kalemler!$D86&gt;=(Tahmin!$C$4+21),Kalemler!$D86&lt;=(Tahmin!$C$4+27)),1,0))))</f>
        <v>0</v>
      </c>
      <c r="F86" s="0" t="n">
        <f aca="false">IF(OR(Kalemler!$A86="",Kalemler!$C86="",Kalemler!$D86=""),0,Kalemler!$C86*IF(Kalemler!$E86="Haftalık",IF(Kalemler!$D86&lt;=(Tahmin!$C$4+34),1,0),IF(Kalemler!$E86="Aylık",IF(OR(AND(DATE(YEAR((Tahmin!$C$4+28)),MONTH((Tahmin!$C$4+28)),MIN(DAY(Kalemler!$D86),DAY(EOMONTH((Tahmin!$C$4+28),0))))&gt;=(Tahmin!$C$4+28),DATE(YEAR((Tahmin!$C$4+28)),MONTH((Tahmin!$C$4+28)),MIN(DAY(Kalemler!$D86),DAY(EOMONTH((Tahmin!$C$4+28),0))))&lt;=(Tahmin!$C$4+34),DATE(YEAR((Tahmin!$C$4+28)),MONTH((Tahmin!$C$4+28)),MIN(DAY(Kalemler!$D86),DAY(EOMONTH((Tahmin!$C$4+28),0))))&gt;=Kalemler!$D86),AND(DATE(YEAR((Tahmin!$C$4+34)),MONTH((Tahmin!$C$4+34)),MIN(DAY(Kalemler!$D86),DAY(EOMONTH((Tahmin!$C$4+34),0))))&gt;=(Tahmin!$C$4+28),DATE(YEAR((Tahmin!$C$4+34)),MONTH((Tahmin!$C$4+34)),MIN(DAY(Kalemler!$D86),DAY(EOMONTH((Tahmin!$C$4+34),0))))&lt;=(Tahmin!$C$4+34),DATE(YEAR((Tahmin!$C$4+34)),MONTH((Tahmin!$C$4+34)),MIN(DAY(Kalemler!$D86),DAY(EOMONTH((Tahmin!$C$4+34),0))))&lt;&gt;DATE(YEAR((Tahmin!$C$4+28)),MONTH((Tahmin!$C$4+28)),MIN(DAY(Kalemler!$D86),DAY(EOMONTH((Tahmin!$C$4+28),0)))),DATE(YEAR((Tahmin!$C$4+34)),MONTH((Tahmin!$C$4+34)),MIN(DAY(Kalemler!$D86),DAY(EOMONTH((Tahmin!$C$4+34),0))))&gt;=Kalemler!$D86)),1,0),IF(AND(Kalemler!$D86&gt;=(Tahmin!$C$4+28),Kalemler!$D86&lt;=(Tahmin!$C$4+34)),1,0))))</f>
        <v>0</v>
      </c>
      <c r="G86" s="0" t="n">
        <f aca="false">IF(OR(Kalemler!$A86="",Kalemler!$C86="",Kalemler!$D86=""),0,Kalemler!$C86*IF(Kalemler!$E86="Haftalık",IF(Kalemler!$D86&lt;=(Tahmin!$C$4+41),1,0),IF(Kalemler!$E86="Aylık",IF(OR(AND(DATE(YEAR((Tahmin!$C$4+35)),MONTH((Tahmin!$C$4+35)),MIN(DAY(Kalemler!$D86),DAY(EOMONTH((Tahmin!$C$4+35),0))))&gt;=(Tahmin!$C$4+35),DATE(YEAR((Tahmin!$C$4+35)),MONTH((Tahmin!$C$4+35)),MIN(DAY(Kalemler!$D86),DAY(EOMONTH((Tahmin!$C$4+35),0))))&lt;=(Tahmin!$C$4+41),DATE(YEAR((Tahmin!$C$4+35)),MONTH((Tahmin!$C$4+35)),MIN(DAY(Kalemler!$D86),DAY(EOMONTH((Tahmin!$C$4+35),0))))&gt;=Kalemler!$D86),AND(DATE(YEAR((Tahmin!$C$4+41)),MONTH((Tahmin!$C$4+41)),MIN(DAY(Kalemler!$D86),DAY(EOMONTH((Tahmin!$C$4+41),0))))&gt;=(Tahmin!$C$4+35),DATE(YEAR((Tahmin!$C$4+41)),MONTH((Tahmin!$C$4+41)),MIN(DAY(Kalemler!$D86),DAY(EOMONTH((Tahmin!$C$4+41),0))))&lt;=(Tahmin!$C$4+41),DATE(YEAR((Tahmin!$C$4+41)),MONTH((Tahmin!$C$4+41)),MIN(DAY(Kalemler!$D86),DAY(EOMONTH((Tahmin!$C$4+41),0))))&lt;&gt;DATE(YEAR((Tahmin!$C$4+35)),MONTH((Tahmin!$C$4+35)),MIN(DAY(Kalemler!$D86),DAY(EOMONTH((Tahmin!$C$4+35),0)))),DATE(YEAR((Tahmin!$C$4+41)),MONTH((Tahmin!$C$4+41)),MIN(DAY(Kalemler!$D86),DAY(EOMONTH((Tahmin!$C$4+41),0))))&gt;=Kalemler!$D86)),1,0),IF(AND(Kalemler!$D86&gt;=(Tahmin!$C$4+35),Kalemler!$D86&lt;=(Tahmin!$C$4+41)),1,0))))</f>
        <v>0</v>
      </c>
      <c r="H86" s="0" t="n">
        <f aca="false">IF(OR(Kalemler!$A86="",Kalemler!$C86="",Kalemler!$D86=""),0,Kalemler!$C86*IF(Kalemler!$E86="Haftalık",IF(Kalemler!$D86&lt;=(Tahmin!$C$4+48),1,0),IF(Kalemler!$E86="Aylık",IF(OR(AND(DATE(YEAR((Tahmin!$C$4+42)),MONTH((Tahmin!$C$4+42)),MIN(DAY(Kalemler!$D86),DAY(EOMONTH((Tahmin!$C$4+42),0))))&gt;=(Tahmin!$C$4+42),DATE(YEAR((Tahmin!$C$4+42)),MONTH((Tahmin!$C$4+42)),MIN(DAY(Kalemler!$D86),DAY(EOMONTH((Tahmin!$C$4+42),0))))&lt;=(Tahmin!$C$4+48),DATE(YEAR((Tahmin!$C$4+42)),MONTH((Tahmin!$C$4+42)),MIN(DAY(Kalemler!$D86),DAY(EOMONTH((Tahmin!$C$4+42),0))))&gt;=Kalemler!$D86),AND(DATE(YEAR((Tahmin!$C$4+48)),MONTH((Tahmin!$C$4+48)),MIN(DAY(Kalemler!$D86),DAY(EOMONTH((Tahmin!$C$4+48),0))))&gt;=(Tahmin!$C$4+42),DATE(YEAR((Tahmin!$C$4+48)),MONTH((Tahmin!$C$4+48)),MIN(DAY(Kalemler!$D86),DAY(EOMONTH((Tahmin!$C$4+48),0))))&lt;=(Tahmin!$C$4+48),DATE(YEAR((Tahmin!$C$4+48)),MONTH((Tahmin!$C$4+48)),MIN(DAY(Kalemler!$D86),DAY(EOMONTH((Tahmin!$C$4+48),0))))&lt;&gt;DATE(YEAR((Tahmin!$C$4+42)),MONTH((Tahmin!$C$4+42)),MIN(DAY(Kalemler!$D86),DAY(EOMONTH((Tahmin!$C$4+42),0)))),DATE(YEAR((Tahmin!$C$4+48)),MONTH((Tahmin!$C$4+48)),MIN(DAY(Kalemler!$D86),DAY(EOMONTH((Tahmin!$C$4+48),0))))&gt;=Kalemler!$D86)),1,0),IF(AND(Kalemler!$D86&gt;=(Tahmin!$C$4+42),Kalemler!$D86&lt;=(Tahmin!$C$4+48)),1,0))))</f>
        <v>0</v>
      </c>
      <c r="I86" s="0" t="n">
        <f aca="false">IF(OR(Kalemler!$A86="",Kalemler!$C86="",Kalemler!$D86=""),0,Kalemler!$C86*IF(Kalemler!$E86="Haftalık",IF(Kalemler!$D86&lt;=(Tahmin!$C$4+55),1,0),IF(Kalemler!$E86="Aylık",IF(OR(AND(DATE(YEAR((Tahmin!$C$4+49)),MONTH((Tahmin!$C$4+49)),MIN(DAY(Kalemler!$D86),DAY(EOMONTH((Tahmin!$C$4+49),0))))&gt;=(Tahmin!$C$4+49),DATE(YEAR((Tahmin!$C$4+49)),MONTH((Tahmin!$C$4+49)),MIN(DAY(Kalemler!$D86),DAY(EOMONTH((Tahmin!$C$4+49),0))))&lt;=(Tahmin!$C$4+55),DATE(YEAR((Tahmin!$C$4+49)),MONTH((Tahmin!$C$4+49)),MIN(DAY(Kalemler!$D86),DAY(EOMONTH((Tahmin!$C$4+49),0))))&gt;=Kalemler!$D86),AND(DATE(YEAR((Tahmin!$C$4+55)),MONTH((Tahmin!$C$4+55)),MIN(DAY(Kalemler!$D86),DAY(EOMONTH((Tahmin!$C$4+55),0))))&gt;=(Tahmin!$C$4+49),DATE(YEAR((Tahmin!$C$4+55)),MONTH((Tahmin!$C$4+55)),MIN(DAY(Kalemler!$D86),DAY(EOMONTH((Tahmin!$C$4+55),0))))&lt;=(Tahmin!$C$4+55),DATE(YEAR((Tahmin!$C$4+55)),MONTH((Tahmin!$C$4+55)),MIN(DAY(Kalemler!$D86),DAY(EOMONTH((Tahmin!$C$4+55),0))))&lt;&gt;DATE(YEAR((Tahmin!$C$4+49)),MONTH((Tahmin!$C$4+49)),MIN(DAY(Kalemler!$D86),DAY(EOMONTH((Tahmin!$C$4+49),0)))),DATE(YEAR((Tahmin!$C$4+55)),MONTH((Tahmin!$C$4+55)),MIN(DAY(Kalemler!$D86),DAY(EOMONTH((Tahmin!$C$4+55),0))))&gt;=Kalemler!$D86)),1,0),IF(AND(Kalemler!$D86&gt;=(Tahmin!$C$4+49),Kalemler!$D86&lt;=(Tahmin!$C$4+55)),1,0))))</f>
        <v>0</v>
      </c>
      <c r="J86" s="0" t="n">
        <f aca="false">IF(OR(Kalemler!$A86="",Kalemler!$C86="",Kalemler!$D86=""),0,Kalemler!$C86*IF(Kalemler!$E86="Haftalık",IF(Kalemler!$D86&lt;=(Tahmin!$C$4+62),1,0),IF(Kalemler!$E86="Aylık",IF(OR(AND(DATE(YEAR((Tahmin!$C$4+56)),MONTH((Tahmin!$C$4+56)),MIN(DAY(Kalemler!$D86),DAY(EOMONTH((Tahmin!$C$4+56),0))))&gt;=(Tahmin!$C$4+56),DATE(YEAR((Tahmin!$C$4+56)),MONTH((Tahmin!$C$4+56)),MIN(DAY(Kalemler!$D86),DAY(EOMONTH((Tahmin!$C$4+56),0))))&lt;=(Tahmin!$C$4+62),DATE(YEAR((Tahmin!$C$4+56)),MONTH((Tahmin!$C$4+56)),MIN(DAY(Kalemler!$D86),DAY(EOMONTH((Tahmin!$C$4+56),0))))&gt;=Kalemler!$D86),AND(DATE(YEAR((Tahmin!$C$4+62)),MONTH((Tahmin!$C$4+62)),MIN(DAY(Kalemler!$D86),DAY(EOMONTH((Tahmin!$C$4+62),0))))&gt;=(Tahmin!$C$4+56),DATE(YEAR((Tahmin!$C$4+62)),MONTH((Tahmin!$C$4+62)),MIN(DAY(Kalemler!$D86),DAY(EOMONTH((Tahmin!$C$4+62),0))))&lt;=(Tahmin!$C$4+62),DATE(YEAR((Tahmin!$C$4+62)),MONTH((Tahmin!$C$4+62)),MIN(DAY(Kalemler!$D86),DAY(EOMONTH((Tahmin!$C$4+62),0))))&lt;&gt;DATE(YEAR((Tahmin!$C$4+56)),MONTH((Tahmin!$C$4+56)),MIN(DAY(Kalemler!$D86),DAY(EOMONTH((Tahmin!$C$4+56),0)))),DATE(YEAR((Tahmin!$C$4+62)),MONTH((Tahmin!$C$4+62)),MIN(DAY(Kalemler!$D86),DAY(EOMONTH((Tahmin!$C$4+62),0))))&gt;=Kalemler!$D86)),1,0),IF(AND(Kalemler!$D86&gt;=(Tahmin!$C$4+56),Kalemler!$D86&lt;=(Tahmin!$C$4+62)),1,0))))</f>
        <v>0</v>
      </c>
      <c r="K86" s="0" t="n">
        <f aca="false">IF(OR(Kalemler!$A86="",Kalemler!$C86="",Kalemler!$D86=""),0,Kalemler!$C86*IF(Kalemler!$E86="Haftalık",IF(Kalemler!$D86&lt;=(Tahmin!$C$4+69),1,0),IF(Kalemler!$E86="Aylık",IF(OR(AND(DATE(YEAR((Tahmin!$C$4+63)),MONTH((Tahmin!$C$4+63)),MIN(DAY(Kalemler!$D86),DAY(EOMONTH((Tahmin!$C$4+63),0))))&gt;=(Tahmin!$C$4+63),DATE(YEAR((Tahmin!$C$4+63)),MONTH((Tahmin!$C$4+63)),MIN(DAY(Kalemler!$D86),DAY(EOMONTH((Tahmin!$C$4+63),0))))&lt;=(Tahmin!$C$4+69),DATE(YEAR((Tahmin!$C$4+63)),MONTH((Tahmin!$C$4+63)),MIN(DAY(Kalemler!$D86),DAY(EOMONTH((Tahmin!$C$4+63),0))))&gt;=Kalemler!$D86),AND(DATE(YEAR((Tahmin!$C$4+69)),MONTH((Tahmin!$C$4+69)),MIN(DAY(Kalemler!$D86),DAY(EOMONTH((Tahmin!$C$4+69),0))))&gt;=(Tahmin!$C$4+63),DATE(YEAR((Tahmin!$C$4+69)),MONTH((Tahmin!$C$4+69)),MIN(DAY(Kalemler!$D86),DAY(EOMONTH((Tahmin!$C$4+69),0))))&lt;=(Tahmin!$C$4+69),DATE(YEAR((Tahmin!$C$4+69)),MONTH((Tahmin!$C$4+69)),MIN(DAY(Kalemler!$D86),DAY(EOMONTH((Tahmin!$C$4+69),0))))&lt;&gt;DATE(YEAR((Tahmin!$C$4+63)),MONTH((Tahmin!$C$4+63)),MIN(DAY(Kalemler!$D86),DAY(EOMONTH((Tahmin!$C$4+63),0)))),DATE(YEAR((Tahmin!$C$4+69)),MONTH((Tahmin!$C$4+69)),MIN(DAY(Kalemler!$D86),DAY(EOMONTH((Tahmin!$C$4+69),0))))&gt;=Kalemler!$D86)),1,0),IF(AND(Kalemler!$D86&gt;=(Tahmin!$C$4+63),Kalemler!$D86&lt;=(Tahmin!$C$4+69)),1,0))))</f>
        <v>0</v>
      </c>
      <c r="L86" s="0" t="n">
        <f aca="false">IF(OR(Kalemler!$A86="",Kalemler!$C86="",Kalemler!$D86=""),0,Kalemler!$C86*IF(Kalemler!$E86="Haftalık",IF(Kalemler!$D86&lt;=(Tahmin!$C$4+76),1,0),IF(Kalemler!$E86="Aylık",IF(OR(AND(DATE(YEAR((Tahmin!$C$4+70)),MONTH((Tahmin!$C$4+70)),MIN(DAY(Kalemler!$D86),DAY(EOMONTH((Tahmin!$C$4+70),0))))&gt;=(Tahmin!$C$4+70),DATE(YEAR((Tahmin!$C$4+70)),MONTH((Tahmin!$C$4+70)),MIN(DAY(Kalemler!$D86),DAY(EOMONTH((Tahmin!$C$4+70),0))))&lt;=(Tahmin!$C$4+76),DATE(YEAR((Tahmin!$C$4+70)),MONTH((Tahmin!$C$4+70)),MIN(DAY(Kalemler!$D86),DAY(EOMONTH((Tahmin!$C$4+70),0))))&gt;=Kalemler!$D86),AND(DATE(YEAR((Tahmin!$C$4+76)),MONTH((Tahmin!$C$4+76)),MIN(DAY(Kalemler!$D86),DAY(EOMONTH((Tahmin!$C$4+76),0))))&gt;=(Tahmin!$C$4+70),DATE(YEAR((Tahmin!$C$4+76)),MONTH((Tahmin!$C$4+76)),MIN(DAY(Kalemler!$D86),DAY(EOMONTH((Tahmin!$C$4+76),0))))&lt;=(Tahmin!$C$4+76),DATE(YEAR((Tahmin!$C$4+76)),MONTH((Tahmin!$C$4+76)),MIN(DAY(Kalemler!$D86),DAY(EOMONTH((Tahmin!$C$4+76),0))))&lt;&gt;DATE(YEAR((Tahmin!$C$4+70)),MONTH((Tahmin!$C$4+70)),MIN(DAY(Kalemler!$D86),DAY(EOMONTH((Tahmin!$C$4+70),0)))),DATE(YEAR((Tahmin!$C$4+76)),MONTH((Tahmin!$C$4+76)),MIN(DAY(Kalemler!$D86),DAY(EOMONTH((Tahmin!$C$4+76),0))))&gt;=Kalemler!$D86)),1,0),IF(AND(Kalemler!$D86&gt;=(Tahmin!$C$4+70),Kalemler!$D86&lt;=(Tahmin!$C$4+76)),1,0))))</f>
        <v>0</v>
      </c>
      <c r="M86" s="0" t="n">
        <f aca="false">IF(OR(Kalemler!$A86="",Kalemler!$C86="",Kalemler!$D86=""),0,Kalemler!$C86*IF(Kalemler!$E86="Haftalık",IF(Kalemler!$D86&lt;=(Tahmin!$C$4+83),1,0),IF(Kalemler!$E86="Aylık",IF(OR(AND(DATE(YEAR((Tahmin!$C$4+77)),MONTH((Tahmin!$C$4+77)),MIN(DAY(Kalemler!$D86),DAY(EOMONTH((Tahmin!$C$4+77),0))))&gt;=(Tahmin!$C$4+77),DATE(YEAR((Tahmin!$C$4+77)),MONTH((Tahmin!$C$4+77)),MIN(DAY(Kalemler!$D86),DAY(EOMONTH((Tahmin!$C$4+77),0))))&lt;=(Tahmin!$C$4+83),DATE(YEAR((Tahmin!$C$4+77)),MONTH((Tahmin!$C$4+77)),MIN(DAY(Kalemler!$D86),DAY(EOMONTH((Tahmin!$C$4+77),0))))&gt;=Kalemler!$D86),AND(DATE(YEAR((Tahmin!$C$4+83)),MONTH((Tahmin!$C$4+83)),MIN(DAY(Kalemler!$D86),DAY(EOMONTH((Tahmin!$C$4+83),0))))&gt;=(Tahmin!$C$4+77),DATE(YEAR((Tahmin!$C$4+83)),MONTH((Tahmin!$C$4+83)),MIN(DAY(Kalemler!$D86),DAY(EOMONTH((Tahmin!$C$4+83),0))))&lt;=(Tahmin!$C$4+83),DATE(YEAR((Tahmin!$C$4+83)),MONTH((Tahmin!$C$4+83)),MIN(DAY(Kalemler!$D86),DAY(EOMONTH((Tahmin!$C$4+83),0))))&lt;&gt;DATE(YEAR((Tahmin!$C$4+77)),MONTH((Tahmin!$C$4+77)),MIN(DAY(Kalemler!$D86),DAY(EOMONTH((Tahmin!$C$4+77),0)))),DATE(YEAR((Tahmin!$C$4+83)),MONTH((Tahmin!$C$4+83)),MIN(DAY(Kalemler!$D86),DAY(EOMONTH((Tahmin!$C$4+83),0))))&gt;=Kalemler!$D86)),1,0),IF(AND(Kalemler!$D86&gt;=(Tahmin!$C$4+77),Kalemler!$D86&lt;=(Tahmin!$C$4+83)),1,0))))</f>
        <v>0</v>
      </c>
      <c r="N86" s="0" t="n">
        <f aca="false">IF(OR(Kalemler!$A86="",Kalemler!$C86="",Kalemler!$D86=""),0,Kalemler!$C86*IF(Kalemler!$E86="Haftalık",IF(Kalemler!$D86&lt;=(Tahmin!$C$4+90),1,0),IF(Kalemler!$E86="Aylık",IF(OR(AND(DATE(YEAR((Tahmin!$C$4+84)),MONTH((Tahmin!$C$4+84)),MIN(DAY(Kalemler!$D86),DAY(EOMONTH((Tahmin!$C$4+84),0))))&gt;=(Tahmin!$C$4+84),DATE(YEAR((Tahmin!$C$4+84)),MONTH((Tahmin!$C$4+84)),MIN(DAY(Kalemler!$D86),DAY(EOMONTH((Tahmin!$C$4+84),0))))&lt;=(Tahmin!$C$4+90),DATE(YEAR((Tahmin!$C$4+84)),MONTH((Tahmin!$C$4+84)),MIN(DAY(Kalemler!$D86),DAY(EOMONTH((Tahmin!$C$4+84),0))))&gt;=Kalemler!$D86),AND(DATE(YEAR((Tahmin!$C$4+90)),MONTH((Tahmin!$C$4+90)),MIN(DAY(Kalemler!$D86),DAY(EOMONTH((Tahmin!$C$4+90),0))))&gt;=(Tahmin!$C$4+84),DATE(YEAR((Tahmin!$C$4+90)),MONTH((Tahmin!$C$4+90)),MIN(DAY(Kalemler!$D86),DAY(EOMONTH((Tahmin!$C$4+90),0))))&lt;=(Tahmin!$C$4+90),DATE(YEAR((Tahmin!$C$4+90)),MONTH((Tahmin!$C$4+90)),MIN(DAY(Kalemler!$D86),DAY(EOMONTH((Tahmin!$C$4+90),0))))&lt;&gt;DATE(YEAR((Tahmin!$C$4+84)),MONTH((Tahmin!$C$4+84)),MIN(DAY(Kalemler!$D86),DAY(EOMONTH((Tahmin!$C$4+84),0)))),DATE(YEAR((Tahmin!$C$4+90)),MONTH((Tahmin!$C$4+90)),MIN(DAY(Kalemler!$D86),DAY(EOMONTH((Tahmin!$C$4+90),0))))&gt;=Kalemler!$D86)),1,0),IF(AND(Kalemler!$D86&gt;=(Tahmin!$C$4+84),Kalemler!$D86&lt;=(Tahmin!$C$4+90)),1,0))))</f>
        <v>0</v>
      </c>
    </row>
    <row r="87" customFormat="false" ht="15" hidden="false" customHeight="false" outlineLevel="0" collapsed="false">
      <c r="A87" s="0" t="str">
        <f aca="false">IF(Kalemler!A87="","",Kalemler!A87)</f>
        <v/>
      </c>
      <c r="B87" s="0" t="n">
        <f aca="false">IF(OR(Kalemler!$A87="",Kalemler!$C87="",Kalemler!$D87=""),0,Kalemler!$C87*IF(Kalemler!$E87="Haftalık",IF(Kalemler!$D87&lt;=(Tahmin!$C$4+6),1,0),IF(Kalemler!$E87="Aylık",IF(OR(AND(DATE(YEAR((Tahmin!$C$4+0)),MONTH((Tahmin!$C$4+0)),MIN(DAY(Kalemler!$D87),DAY(EOMONTH((Tahmin!$C$4+0),0))))&gt;=(Tahmin!$C$4+0),DATE(YEAR((Tahmin!$C$4+0)),MONTH((Tahmin!$C$4+0)),MIN(DAY(Kalemler!$D87),DAY(EOMONTH((Tahmin!$C$4+0),0))))&lt;=(Tahmin!$C$4+6),DATE(YEAR((Tahmin!$C$4+0)),MONTH((Tahmin!$C$4+0)),MIN(DAY(Kalemler!$D87),DAY(EOMONTH((Tahmin!$C$4+0),0))))&gt;=Kalemler!$D87),AND(DATE(YEAR((Tahmin!$C$4+6)),MONTH((Tahmin!$C$4+6)),MIN(DAY(Kalemler!$D87),DAY(EOMONTH((Tahmin!$C$4+6),0))))&gt;=(Tahmin!$C$4+0),DATE(YEAR((Tahmin!$C$4+6)),MONTH((Tahmin!$C$4+6)),MIN(DAY(Kalemler!$D87),DAY(EOMONTH((Tahmin!$C$4+6),0))))&lt;=(Tahmin!$C$4+6),DATE(YEAR((Tahmin!$C$4+6)),MONTH((Tahmin!$C$4+6)),MIN(DAY(Kalemler!$D87),DAY(EOMONTH((Tahmin!$C$4+6),0))))&lt;&gt;DATE(YEAR((Tahmin!$C$4+0)),MONTH((Tahmin!$C$4+0)),MIN(DAY(Kalemler!$D87),DAY(EOMONTH((Tahmin!$C$4+0),0)))),DATE(YEAR((Tahmin!$C$4+6)),MONTH((Tahmin!$C$4+6)),MIN(DAY(Kalemler!$D87),DAY(EOMONTH((Tahmin!$C$4+6),0))))&gt;=Kalemler!$D87)),1,0),IF(AND(Kalemler!$D87&gt;=(Tahmin!$C$4+0),Kalemler!$D87&lt;=(Tahmin!$C$4+6)),1,0))))</f>
        <v>0</v>
      </c>
      <c r="C87" s="0" t="n">
        <f aca="false">IF(OR(Kalemler!$A87="",Kalemler!$C87="",Kalemler!$D87=""),0,Kalemler!$C87*IF(Kalemler!$E87="Haftalık",IF(Kalemler!$D87&lt;=(Tahmin!$C$4+13),1,0),IF(Kalemler!$E87="Aylık",IF(OR(AND(DATE(YEAR((Tahmin!$C$4+7)),MONTH((Tahmin!$C$4+7)),MIN(DAY(Kalemler!$D87),DAY(EOMONTH((Tahmin!$C$4+7),0))))&gt;=(Tahmin!$C$4+7),DATE(YEAR((Tahmin!$C$4+7)),MONTH((Tahmin!$C$4+7)),MIN(DAY(Kalemler!$D87),DAY(EOMONTH((Tahmin!$C$4+7),0))))&lt;=(Tahmin!$C$4+13),DATE(YEAR((Tahmin!$C$4+7)),MONTH((Tahmin!$C$4+7)),MIN(DAY(Kalemler!$D87),DAY(EOMONTH((Tahmin!$C$4+7),0))))&gt;=Kalemler!$D87),AND(DATE(YEAR((Tahmin!$C$4+13)),MONTH((Tahmin!$C$4+13)),MIN(DAY(Kalemler!$D87),DAY(EOMONTH((Tahmin!$C$4+13),0))))&gt;=(Tahmin!$C$4+7),DATE(YEAR((Tahmin!$C$4+13)),MONTH((Tahmin!$C$4+13)),MIN(DAY(Kalemler!$D87),DAY(EOMONTH((Tahmin!$C$4+13),0))))&lt;=(Tahmin!$C$4+13),DATE(YEAR((Tahmin!$C$4+13)),MONTH((Tahmin!$C$4+13)),MIN(DAY(Kalemler!$D87),DAY(EOMONTH((Tahmin!$C$4+13),0))))&lt;&gt;DATE(YEAR((Tahmin!$C$4+7)),MONTH((Tahmin!$C$4+7)),MIN(DAY(Kalemler!$D87),DAY(EOMONTH((Tahmin!$C$4+7),0)))),DATE(YEAR((Tahmin!$C$4+13)),MONTH((Tahmin!$C$4+13)),MIN(DAY(Kalemler!$D87),DAY(EOMONTH((Tahmin!$C$4+13),0))))&gt;=Kalemler!$D87)),1,0),IF(AND(Kalemler!$D87&gt;=(Tahmin!$C$4+7),Kalemler!$D87&lt;=(Tahmin!$C$4+13)),1,0))))</f>
        <v>0</v>
      </c>
      <c r="D87" s="0" t="n">
        <f aca="false">IF(OR(Kalemler!$A87="",Kalemler!$C87="",Kalemler!$D87=""),0,Kalemler!$C87*IF(Kalemler!$E87="Haftalık",IF(Kalemler!$D87&lt;=(Tahmin!$C$4+20),1,0),IF(Kalemler!$E87="Aylık",IF(OR(AND(DATE(YEAR((Tahmin!$C$4+14)),MONTH((Tahmin!$C$4+14)),MIN(DAY(Kalemler!$D87),DAY(EOMONTH((Tahmin!$C$4+14),0))))&gt;=(Tahmin!$C$4+14),DATE(YEAR((Tahmin!$C$4+14)),MONTH((Tahmin!$C$4+14)),MIN(DAY(Kalemler!$D87),DAY(EOMONTH((Tahmin!$C$4+14),0))))&lt;=(Tahmin!$C$4+20),DATE(YEAR((Tahmin!$C$4+14)),MONTH((Tahmin!$C$4+14)),MIN(DAY(Kalemler!$D87),DAY(EOMONTH((Tahmin!$C$4+14),0))))&gt;=Kalemler!$D87),AND(DATE(YEAR((Tahmin!$C$4+20)),MONTH((Tahmin!$C$4+20)),MIN(DAY(Kalemler!$D87),DAY(EOMONTH((Tahmin!$C$4+20),0))))&gt;=(Tahmin!$C$4+14),DATE(YEAR((Tahmin!$C$4+20)),MONTH((Tahmin!$C$4+20)),MIN(DAY(Kalemler!$D87),DAY(EOMONTH((Tahmin!$C$4+20),0))))&lt;=(Tahmin!$C$4+20),DATE(YEAR((Tahmin!$C$4+20)),MONTH((Tahmin!$C$4+20)),MIN(DAY(Kalemler!$D87),DAY(EOMONTH((Tahmin!$C$4+20),0))))&lt;&gt;DATE(YEAR((Tahmin!$C$4+14)),MONTH((Tahmin!$C$4+14)),MIN(DAY(Kalemler!$D87),DAY(EOMONTH((Tahmin!$C$4+14),0)))),DATE(YEAR((Tahmin!$C$4+20)),MONTH((Tahmin!$C$4+20)),MIN(DAY(Kalemler!$D87),DAY(EOMONTH((Tahmin!$C$4+20),0))))&gt;=Kalemler!$D87)),1,0),IF(AND(Kalemler!$D87&gt;=(Tahmin!$C$4+14),Kalemler!$D87&lt;=(Tahmin!$C$4+20)),1,0))))</f>
        <v>0</v>
      </c>
      <c r="E87" s="0" t="n">
        <f aca="false">IF(OR(Kalemler!$A87="",Kalemler!$C87="",Kalemler!$D87=""),0,Kalemler!$C87*IF(Kalemler!$E87="Haftalık",IF(Kalemler!$D87&lt;=(Tahmin!$C$4+27),1,0),IF(Kalemler!$E87="Aylık",IF(OR(AND(DATE(YEAR((Tahmin!$C$4+21)),MONTH((Tahmin!$C$4+21)),MIN(DAY(Kalemler!$D87),DAY(EOMONTH((Tahmin!$C$4+21),0))))&gt;=(Tahmin!$C$4+21),DATE(YEAR((Tahmin!$C$4+21)),MONTH((Tahmin!$C$4+21)),MIN(DAY(Kalemler!$D87),DAY(EOMONTH((Tahmin!$C$4+21),0))))&lt;=(Tahmin!$C$4+27),DATE(YEAR((Tahmin!$C$4+21)),MONTH((Tahmin!$C$4+21)),MIN(DAY(Kalemler!$D87),DAY(EOMONTH((Tahmin!$C$4+21),0))))&gt;=Kalemler!$D87),AND(DATE(YEAR((Tahmin!$C$4+27)),MONTH((Tahmin!$C$4+27)),MIN(DAY(Kalemler!$D87),DAY(EOMONTH((Tahmin!$C$4+27),0))))&gt;=(Tahmin!$C$4+21),DATE(YEAR((Tahmin!$C$4+27)),MONTH((Tahmin!$C$4+27)),MIN(DAY(Kalemler!$D87),DAY(EOMONTH((Tahmin!$C$4+27),0))))&lt;=(Tahmin!$C$4+27),DATE(YEAR((Tahmin!$C$4+27)),MONTH((Tahmin!$C$4+27)),MIN(DAY(Kalemler!$D87),DAY(EOMONTH((Tahmin!$C$4+27),0))))&lt;&gt;DATE(YEAR((Tahmin!$C$4+21)),MONTH((Tahmin!$C$4+21)),MIN(DAY(Kalemler!$D87),DAY(EOMONTH((Tahmin!$C$4+21),0)))),DATE(YEAR((Tahmin!$C$4+27)),MONTH((Tahmin!$C$4+27)),MIN(DAY(Kalemler!$D87),DAY(EOMONTH((Tahmin!$C$4+27),0))))&gt;=Kalemler!$D87)),1,0),IF(AND(Kalemler!$D87&gt;=(Tahmin!$C$4+21),Kalemler!$D87&lt;=(Tahmin!$C$4+27)),1,0))))</f>
        <v>0</v>
      </c>
      <c r="F87" s="0" t="n">
        <f aca="false">IF(OR(Kalemler!$A87="",Kalemler!$C87="",Kalemler!$D87=""),0,Kalemler!$C87*IF(Kalemler!$E87="Haftalık",IF(Kalemler!$D87&lt;=(Tahmin!$C$4+34),1,0),IF(Kalemler!$E87="Aylık",IF(OR(AND(DATE(YEAR((Tahmin!$C$4+28)),MONTH((Tahmin!$C$4+28)),MIN(DAY(Kalemler!$D87),DAY(EOMONTH((Tahmin!$C$4+28),0))))&gt;=(Tahmin!$C$4+28),DATE(YEAR((Tahmin!$C$4+28)),MONTH((Tahmin!$C$4+28)),MIN(DAY(Kalemler!$D87),DAY(EOMONTH((Tahmin!$C$4+28),0))))&lt;=(Tahmin!$C$4+34),DATE(YEAR((Tahmin!$C$4+28)),MONTH((Tahmin!$C$4+28)),MIN(DAY(Kalemler!$D87),DAY(EOMONTH((Tahmin!$C$4+28),0))))&gt;=Kalemler!$D87),AND(DATE(YEAR((Tahmin!$C$4+34)),MONTH((Tahmin!$C$4+34)),MIN(DAY(Kalemler!$D87),DAY(EOMONTH((Tahmin!$C$4+34),0))))&gt;=(Tahmin!$C$4+28),DATE(YEAR((Tahmin!$C$4+34)),MONTH((Tahmin!$C$4+34)),MIN(DAY(Kalemler!$D87),DAY(EOMONTH((Tahmin!$C$4+34),0))))&lt;=(Tahmin!$C$4+34),DATE(YEAR((Tahmin!$C$4+34)),MONTH((Tahmin!$C$4+34)),MIN(DAY(Kalemler!$D87),DAY(EOMONTH((Tahmin!$C$4+34),0))))&lt;&gt;DATE(YEAR((Tahmin!$C$4+28)),MONTH((Tahmin!$C$4+28)),MIN(DAY(Kalemler!$D87),DAY(EOMONTH((Tahmin!$C$4+28),0)))),DATE(YEAR((Tahmin!$C$4+34)),MONTH((Tahmin!$C$4+34)),MIN(DAY(Kalemler!$D87),DAY(EOMONTH((Tahmin!$C$4+34),0))))&gt;=Kalemler!$D87)),1,0),IF(AND(Kalemler!$D87&gt;=(Tahmin!$C$4+28),Kalemler!$D87&lt;=(Tahmin!$C$4+34)),1,0))))</f>
        <v>0</v>
      </c>
      <c r="G87" s="0" t="n">
        <f aca="false">IF(OR(Kalemler!$A87="",Kalemler!$C87="",Kalemler!$D87=""),0,Kalemler!$C87*IF(Kalemler!$E87="Haftalık",IF(Kalemler!$D87&lt;=(Tahmin!$C$4+41),1,0),IF(Kalemler!$E87="Aylık",IF(OR(AND(DATE(YEAR((Tahmin!$C$4+35)),MONTH((Tahmin!$C$4+35)),MIN(DAY(Kalemler!$D87),DAY(EOMONTH((Tahmin!$C$4+35),0))))&gt;=(Tahmin!$C$4+35),DATE(YEAR((Tahmin!$C$4+35)),MONTH((Tahmin!$C$4+35)),MIN(DAY(Kalemler!$D87),DAY(EOMONTH((Tahmin!$C$4+35),0))))&lt;=(Tahmin!$C$4+41),DATE(YEAR((Tahmin!$C$4+35)),MONTH((Tahmin!$C$4+35)),MIN(DAY(Kalemler!$D87),DAY(EOMONTH((Tahmin!$C$4+35),0))))&gt;=Kalemler!$D87),AND(DATE(YEAR((Tahmin!$C$4+41)),MONTH((Tahmin!$C$4+41)),MIN(DAY(Kalemler!$D87),DAY(EOMONTH((Tahmin!$C$4+41),0))))&gt;=(Tahmin!$C$4+35),DATE(YEAR((Tahmin!$C$4+41)),MONTH((Tahmin!$C$4+41)),MIN(DAY(Kalemler!$D87),DAY(EOMONTH((Tahmin!$C$4+41),0))))&lt;=(Tahmin!$C$4+41),DATE(YEAR((Tahmin!$C$4+41)),MONTH((Tahmin!$C$4+41)),MIN(DAY(Kalemler!$D87),DAY(EOMONTH((Tahmin!$C$4+41),0))))&lt;&gt;DATE(YEAR((Tahmin!$C$4+35)),MONTH((Tahmin!$C$4+35)),MIN(DAY(Kalemler!$D87),DAY(EOMONTH((Tahmin!$C$4+35),0)))),DATE(YEAR((Tahmin!$C$4+41)),MONTH((Tahmin!$C$4+41)),MIN(DAY(Kalemler!$D87),DAY(EOMONTH((Tahmin!$C$4+41),0))))&gt;=Kalemler!$D87)),1,0),IF(AND(Kalemler!$D87&gt;=(Tahmin!$C$4+35),Kalemler!$D87&lt;=(Tahmin!$C$4+41)),1,0))))</f>
        <v>0</v>
      </c>
      <c r="H87" s="0" t="n">
        <f aca="false">IF(OR(Kalemler!$A87="",Kalemler!$C87="",Kalemler!$D87=""),0,Kalemler!$C87*IF(Kalemler!$E87="Haftalık",IF(Kalemler!$D87&lt;=(Tahmin!$C$4+48),1,0),IF(Kalemler!$E87="Aylık",IF(OR(AND(DATE(YEAR((Tahmin!$C$4+42)),MONTH((Tahmin!$C$4+42)),MIN(DAY(Kalemler!$D87),DAY(EOMONTH((Tahmin!$C$4+42),0))))&gt;=(Tahmin!$C$4+42),DATE(YEAR((Tahmin!$C$4+42)),MONTH((Tahmin!$C$4+42)),MIN(DAY(Kalemler!$D87),DAY(EOMONTH((Tahmin!$C$4+42),0))))&lt;=(Tahmin!$C$4+48),DATE(YEAR((Tahmin!$C$4+42)),MONTH((Tahmin!$C$4+42)),MIN(DAY(Kalemler!$D87),DAY(EOMONTH((Tahmin!$C$4+42),0))))&gt;=Kalemler!$D87),AND(DATE(YEAR((Tahmin!$C$4+48)),MONTH((Tahmin!$C$4+48)),MIN(DAY(Kalemler!$D87),DAY(EOMONTH((Tahmin!$C$4+48),0))))&gt;=(Tahmin!$C$4+42),DATE(YEAR((Tahmin!$C$4+48)),MONTH((Tahmin!$C$4+48)),MIN(DAY(Kalemler!$D87),DAY(EOMONTH((Tahmin!$C$4+48),0))))&lt;=(Tahmin!$C$4+48),DATE(YEAR((Tahmin!$C$4+48)),MONTH((Tahmin!$C$4+48)),MIN(DAY(Kalemler!$D87),DAY(EOMONTH((Tahmin!$C$4+48),0))))&lt;&gt;DATE(YEAR((Tahmin!$C$4+42)),MONTH((Tahmin!$C$4+42)),MIN(DAY(Kalemler!$D87),DAY(EOMONTH((Tahmin!$C$4+42),0)))),DATE(YEAR((Tahmin!$C$4+48)),MONTH((Tahmin!$C$4+48)),MIN(DAY(Kalemler!$D87),DAY(EOMONTH((Tahmin!$C$4+48),0))))&gt;=Kalemler!$D87)),1,0),IF(AND(Kalemler!$D87&gt;=(Tahmin!$C$4+42),Kalemler!$D87&lt;=(Tahmin!$C$4+48)),1,0))))</f>
        <v>0</v>
      </c>
      <c r="I87" s="0" t="n">
        <f aca="false">IF(OR(Kalemler!$A87="",Kalemler!$C87="",Kalemler!$D87=""),0,Kalemler!$C87*IF(Kalemler!$E87="Haftalık",IF(Kalemler!$D87&lt;=(Tahmin!$C$4+55),1,0),IF(Kalemler!$E87="Aylık",IF(OR(AND(DATE(YEAR((Tahmin!$C$4+49)),MONTH((Tahmin!$C$4+49)),MIN(DAY(Kalemler!$D87),DAY(EOMONTH((Tahmin!$C$4+49),0))))&gt;=(Tahmin!$C$4+49),DATE(YEAR((Tahmin!$C$4+49)),MONTH((Tahmin!$C$4+49)),MIN(DAY(Kalemler!$D87),DAY(EOMONTH((Tahmin!$C$4+49),0))))&lt;=(Tahmin!$C$4+55),DATE(YEAR((Tahmin!$C$4+49)),MONTH((Tahmin!$C$4+49)),MIN(DAY(Kalemler!$D87),DAY(EOMONTH((Tahmin!$C$4+49),0))))&gt;=Kalemler!$D87),AND(DATE(YEAR((Tahmin!$C$4+55)),MONTH((Tahmin!$C$4+55)),MIN(DAY(Kalemler!$D87),DAY(EOMONTH((Tahmin!$C$4+55),0))))&gt;=(Tahmin!$C$4+49),DATE(YEAR((Tahmin!$C$4+55)),MONTH((Tahmin!$C$4+55)),MIN(DAY(Kalemler!$D87),DAY(EOMONTH((Tahmin!$C$4+55),0))))&lt;=(Tahmin!$C$4+55),DATE(YEAR((Tahmin!$C$4+55)),MONTH((Tahmin!$C$4+55)),MIN(DAY(Kalemler!$D87),DAY(EOMONTH((Tahmin!$C$4+55),0))))&lt;&gt;DATE(YEAR((Tahmin!$C$4+49)),MONTH((Tahmin!$C$4+49)),MIN(DAY(Kalemler!$D87),DAY(EOMONTH((Tahmin!$C$4+49),0)))),DATE(YEAR((Tahmin!$C$4+55)),MONTH((Tahmin!$C$4+55)),MIN(DAY(Kalemler!$D87),DAY(EOMONTH((Tahmin!$C$4+55),0))))&gt;=Kalemler!$D87)),1,0),IF(AND(Kalemler!$D87&gt;=(Tahmin!$C$4+49),Kalemler!$D87&lt;=(Tahmin!$C$4+55)),1,0))))</f>
        <v>0</v>
      </c>
      <c r="J87" s="0" t="n">
        <f aca="false">IF(OR(Kalemler!$A87="",Kalemler!$C87="",Kalemler!$D87=""),0,Kalemler!$C87*IF(Kalemler!$E87="Haftalık",IF(Kalemler!$D87&lt;=(Tahmin!$C$4+62),1,0),IF(Kalemler!$E87="Aylık",IF(OR(AND(DATE(YEAR((Tahmin!$C$4+56)),MONTH((Tahmin!$C$4+56)),MIN(DAY(Kalemler!$D87),DAY(EOMONTH((Tahmin!$C$4+56),0))))&gt;=(Tahmin!$C$4+56),DATE(YEAR((Tahmin!$C$4+56)),MONTH((Tahmin!$C$4+56)),MIN(DAY(Kalemler!$D87),DAY(EOMONTH((Tahmin!$C$4+56),0))))&lt;=(Tahmin!$C$4+62),DATE(YEAR((Tahmin!$C$4+56)),MONTH((Tahmin!$C$4+56)),MIN(DAY(Kalemler!$D87),DAY(EOMONTH((Tahmin!$C$4+56),0))))&gt;=Kalemler!$D87),AND(DATE(YEAR((Tahmin!$C$4+62)),MONTH((Tahmin!$C$4+62)),MIN(DAY(Kalemler!$D87),DAY(EOMONTH((Tahmin!$C$4+62),0))))&gt;=(Tahmin!$C$4+56),DATE(YEAR((Tahmin!$C$4+62)),MONTH((Tahmin!$C$4+62)),MIN(DAY(Kalemler!$D87),DAY(EOMONTH((Tahmin!$C$4+62),0))))&lt;=(Tahmin!$C$4+62),DATE(YEAR((Tahmin!$C$4+62)),MONTH((Tahmin!$C$4+62)),MIN(DAY(Kalemler!$D87),DAY(EOMONTH((Tahmin!$C$4+62),0))))&lt;&gt;DATE(YEAR((Tahmin!$C$4+56)),MONTH((Tahmin!$C$4+56)),MIN(DAY(Kalemler!$D87),DAY(EOMONTH((Tahmin!$C$4+56),0)))),DATE(YEAR((Tahmin!$C$4+62)),MONTH((Tahmin!$C$4+62)),MIN(DAY(Kalemler!$D87),DAY(EOMONTH((Tahmin!$C$4+62),0))))&gt;=Kalemler!$D87)),1,0),IF(AND(Kalemler!$D87&gt;=(Tahmin!$C$4+56),Kalemler!$D87&lt;=(Tahmin!$C$4+62)),1,0))))</f>
        <v>0</v>
      </c>
      <c r="K87" s="0" t="n">
        <f aca="false">IF(OR(Kalemler!$A87="",Kalemler!$C87="",Kalemler!$D87=""),0,Kalemler!$C87*IF(Kalemler!$E87="Haftalık",IF(Kalemler!$D87&lt;=(Tahmin!$C$4+69),1,0),IF(Kalemler!$E87="Aylık",IF(OR(AND(DATE(YEAR((Tahmin!$C$4+63)),MONTH((Tahmin!$C$4+63)),MIN(DAY(Kalemler!$D87),DAY(EOMONTH((Tahmin!$C$4+63),0))))&gt;=(Tahmin!$C$4+63),DATE(YEAR((Tahmin!$C$4+63)),MONTH((Tahmin!$C$4+63)),MIN(DAY(Kalemler!$D87),DAY(EOMONTH((Tahmin!$C$4+63),0))))&lt;=(Tahmin!$C$4+69),DATE(YEAR((Tahmin!$C$4+63)),MONTH((Tahmin!$C$4+63)),MIN(DAY(Kalemler!$D87),DAY(EOMONTH((Tahmin!$C$4+63),0))))&gt;=Kalemler!$D87),AND(DATE(YEAR((Tahmin!$C$4+69)),MONTH((Tahmin!$C$4+69)),MIN(DAY(Kalemler!$D87),DAY(EOMONTH((Tahmin!$C$4+69),0))))&gt;=(Tahmin!$C$4+63),DATE(YEAR((Tahmin!$C$4+69)),MONTH((Tahmin!$C$4+69)),MIN(DAY(Kalemler!$D87),DAY(EOMONTH((Tahmin!$C$4+69),0))))&lt;=(Tahmin!$C$4+69),DATE(YEAR((Tahmin!$C$4+69)),MONTH((Tahmin!$C$4+69)),MIN(DAY(Kalemler!$D87),DAY(EOMONTH((Tahmin!$C$4+69),0))))&lt;&gt;DATE(YEAR((Tahmin!$C$4+63)),MONTH((Tahmin!$C$4+63)),MIN(DAY(Kalemler!$D87),DAY(EOMONTH((Tahmin!$C$4+63),0)))),DATE(YEAR((Tahmin!$C$4+69)),MONTH((Tahmin!$C$4+69)),MIN(DAY(Kalemler!$D87),DAY(EOMONTH((Tahmin!$C$4+69),0))))&gt;=Kalemler!$D87)),1,0),IF(AND(Kalemler!$D87&gt;=(Tahmin!$C$4+63),Kalemler!$D87&lt;=(Tahmin!$C$4+69)),1,0))))</f>
        <v>0</v>
      </c>
      <c r="L87" s="0" t="n">
        <f aca="false">IF(OR(Kalemler!$A87="",Kalemler!$C87="",Kalemler!$D87=""),0,Kalemler!$C87*IF(Kalemler!$E87="Haftalık",IF(Kalemler!$D87&lt;=(Tahmin!$C$4+76),1,0),IF(Kalemler!$E87="Aylık",IF(OR(AND(DATE(YEAR((Tahmin!$C$4+70)),MONTH((Tahmin!$C$4+70)),MIN(DAY(Kalemler!$D87),DAY(EOMONTH((Tahmin!$C$4+70),0))))&gt;=(Tahmin!$C$4+70),DATE(YEAR((Tahmin!$C$4+70)),MONTH((Tahmin!$C$4+70)),MIN(DAY(Kalemler!$D87),DAY(EOMONTH((Tahmin!$C$4+70),0))))&lt;=(Tahmin!$C$4+76),DATE(YEAR((Tahmin!$C$4+70)),MONTH((Tahmin!$C$4+70)),MIN(DAY(Kalemler!$D87),DAY(EOMONTH((Tahmin!$C$4+70),0))))&gt;=Kalemler!$D87),AND(DATE(YEAR((Tahmin!$C$4+76)),MONTH((Tahmin!$C$4+76)),MIN(DAY(Kalemler!$D87),DAY(EOMONTH((Tahmin!$C$4+76),0))))&gt;=(Tahmin!$C$4+70),DATE(YEAR((Tahmin!$C$4+76)),MONTH((Tahmin!$C$4+76)),MIN(DAY(Kalemler!$D87),DAY(EOMONTH((Tahmin!$C$4+76),0))))&lt;=(Tahmin!$C$4+76),DATE(YEAR((Tahmin!$C$4+76)),MONTH((Tahmin!$C$4+76)),MIN(DAY(Kalemler!$D87),DAY(EOMONTH((Tahmin!$C$4+76),0))))&lt;&gt;DATE(YEAR((Tahmin!$C$4+70)),MONTH((Tahmin!$C$4+70)),MIN(DAY(Kalemler!$D87),DAY(EOMONTH((Tahmin!$C$4+70),0)))),DATE(YEAR((Tahmin!$C$4+76)),MONTH((Tahmin!$C$4+76)),MIN(DAY(Kalemler!$D87),DAY(EOMONTH((Tahmin!$C$4+76),0))))&gt;=Kalemler!$D87)),1,0),IF(AND(Kalemler!$D87&gt;=(Tahmin!$C$4+70),Kalemler!$D87&lt;=(Tahmin!$C$4+76)),1,0))))</f>
        <v>0</v>
      </c>
      <c r="M87" s="0" t="n">
        <f aca="false">IF(OR(Kalemler!$A87="",Kalemler!$C87="",Kalemler!$D87=""),0,Kalemler!$C87*IF(Kalemler!$E87="Haftalık",IF(Kalemler!$D87&lt;=(Tahmin!$C$4+83),1,0),IF(Kalemler!$E87="Aylık",IF(OR(AND(DATE(YEAR((Tahmin!$C$4+77)),MONTH((Tahmin!$C$4+77)),MIN(DAY(Kalemler!$D87),DAY(EOMONTH((Tahmin!$C$4+77),0))))&gt;=(Tahmin!$C$4+77),DATE(YEAR((Tahmin!$C$4+77)),MONTH((Tahmin!$C$4+77)),MIN(DAY(Kalemler!$D87),DAY(EOMONTH((Tahmin!$C$4+77),0))))&lt;=(Tahmin!$C$4+83),DATE(YEAR((Tahmin!$C$4+77)),MONTH((Tahmin!$C$4+77)),MIN(DAY(Kalemler!$D87),DAY(EOMONTH((Tahmin!$C$4+77),0))))&gt;=Kalemler!$D87),AND(DATE(YEAR((Tahmin!$C$4+83)),MONTH((Tahmin!$C$4+83)),MIN(DAY(Kalemler!$D87),DAY(EOMONTH((Tahmin!$C$4+83),0))))&gt;=(Tahmin!$C$4+77),DATE(YEAR((Tahmin!$C$4+83)),MONTH((Tahmin!$C$4+83)),MIN(DAY(Kalemler!$D87),DAY(EOMONTH((Tahmin!$C$4+83),0))))&lt;=(Tahmin!$C$4+83),DATE(YEAR((Tahmin!$C$4+83)),MONTH((Tahmin!$C$4+83)),MIN(DAY(Kalemler!$D87),DAY(EOMONTH((Tahmin!$C$4+83),0))))&lt;&gt;DATE(YEAR((Tahmin!$C$4+77)),MONTH((Tahmin!$C$4+77)),MIN(DAY(Kalemler!$D87),DAY(EOMONTH((Tahmin!$C$4+77),0)))),DATE(YEAR((Tahmin!$C$4+83)),MONTH((Tahmin!$C$4+83)),MIN(DAY(Kalemler!$D87),DAY(EOMONTH((Tahmin!$C$4+83),0))))&gt;=Kalemler!$D87)),1,0),IF(AND(Kalemler!$D87&gt;=(Tahmin!$C$4+77),Kalemler!$D87&lt;=(Tahmin!$C$4+83)),1,0))))</f>
        <v>0</v>
      </c>
      <c r="N87" s="0" t="n">
        <f aca="false">IF(OR(Kalemler!$A87="",Kalemler!$C87="",Kalemler!$D87=""),0,Kalemler!$C87*IF(Kalemler!$E87="Haftalık",IF(Kalemler!$D87&lt;=(Tahmin!$C$4+90),1,0),IF(Kalemler!$E87="Aylık",IF(OR(AND(DATE(YEAR((Tahmin!$C$4+84)),MONTH((Tahmin!$C$4+84)),MIN(DAY(Kalemler!$D87),DAY(EOMONTH((Tahmin!$C$4+84),0))))&gt;=(Tahmin!$C$4+84),DATE(YEAR((Tahmin!$C$4+84)),MONTH((Tahmin!$C$4+84)),MIN(DAY(Kalemler!$D87),DAY(EOMONTH((Tahmin!$C$4+84),0))))&lt;=(Tahmin!$C$4+90),DATE(YEAR((Tahmin!$C$4+84)),MONTH((Tahmin!$C$4+84)),MIN(DAY(Kalemler!$D87),DAY(EOMONTH((Tahmin!$C$4+84),0))))&gt;=Kalemler!$D87),AND(DATE(YEAR((Tahmin!$C$4+90)),MONTH((Tahmin!$C$4+90)),MIN(DAY(Kalemler!$D87),DAY(EOMONTH((Tahmin!$C$4+90),0))))&gt;=(Tahmin!$C$4+84),DATE(YEAR((Tahmin!$C$4+90)),MONTH((Tahmin!$C$4+90)),MIN(DAY(Kalemler!$D87),DAY(EOMONTH((Tahmin!$C$4+90),0))))&lt;=(Tahmin!$C$4+90),DATE(YEAR((Tahmin!$C$4+90)),MONTH((Tahmin!$C$4+90)),MIN(DAY(Kalemler!$D87),DAY(EOMONTH((Tahmin!$C$4+90),0))))&lt;&gt;DATE(YEAR((Tahmin!$C$4+84)),MONTH((Tahmin!$C$4+84)),MIN(DAY(Kalemler!$D87),DAY(EOMONTH((Tahmin!$C$4+84),0)))),DATE(YEAR((Tahmin!$C$4+90)),MONTH((Tahmin!$C$4+90)),MIN(DAY(Kalemler!$D87),DAY(EOMONTH((Tahmin!$C$4+90),0))))&gt;=Kalemler!$D87)),1,0),IF(AND(Kalemler!$D87&gt;=(Tahmin!$C$4+84),Kalemler!$D87&lt;=(Tahmin!$C$4+90)),1,0))))</f>
        <v>0</v>
      </c>
    </row>
    <row r="88" customFormat="false" ht="15" hidden="false" customHeight="false" outlineLevel="0" collapsed="false">
      <c r="A88" s="0" t="str">
        <f aca="false">IF(Kalemler!A88="","",Kalemler!A88)</f>
        <v/>
      </c>
      <c r="B88" s="0" t="n">
        <f aca="false">IF(OR(Kalemler!$A88="",Kalemler!$C88="",Kalemler!$D88=""),0,Kalemler!$C88*IF(Kalemler!$E88="Haftalık",IF(Kalemler!$D88&lt;=(Tahmin!$C$4+6),1,0),IF(Kalemler!$E88="Aylık",IF(OR(AND(DATE(YEAR((Tahmin!$C$4+0)),MONTH((Tahmin!$C$4+0)),MIN(DAY(Kalemler!$D88),DAY(EOMONTH((Tahmin!$C$4+0),0))))&gt;=(Tahmin!$C$4+0),DATE(YEAR((Tahmin!$C$4+0)),MONTH((Tahmin!$C$4+0)),MIN(DAY(Kalemler!$D88),DAY(EOMONTH((Tahmin!$C$4+0),0))))&lt;=(Tahmin!$C$4+6),DATE(YEAR((Tahmin!$C$4+0)),MONTH((Tahmin!$C$4+0)),MIN(DAY(Kalemler!$D88),DAY(EOMONTH((Tahmin!$C$4+0),0))))&gt;=Kalemler!$D88),AND(DATE(YEAR((Tahmin!$C$4+6)),MONTH((Tahmin!$C$4+6)),MIN(DAY(Kalemler!$D88),DAY(EOMONTH((Tahmin!$C$4+6),0))))&gt;=(Tahmin!$C$4+0),DATE(YEAR((Tahmin!$C$4+6)),MONTH((Tahmin!$C$4+6)),MIN(DAY(Kalemler!$D88),DAY(EOMONTH((Tahmin!$C$4+6),0))))&lt;=(Tahmin!$C$4+6),DATE(YEAR((Tahmin!$C$4+6)),MONTH((Tahmin!$C$4+6)),MIN(DAY(Kalemler!$D88),DAY(EOMONTH((Tahmin!$C$4+6),0))))&lt;&gt;DATE(YEAR((Tahmin!$C$4+0)),MONTH((Tahmin!$C$4+0)),MIN(DAY(Kalemler!$D88),DAY(EOMONTH((Tahmin!$C$4+0),0)))),DATE(YEAR((Tahmin!$C$4+6)),MONTH((Tahmin!$C$4+6)),MIN(DAY(Kalemler!$D88),DAY(EOMONTH((Tahmin!$C$4+6),0))))&gt;=Kalemler!$D88)),1,0),IF(AND(Kalemler!$D88&gt;=(Tahmin!$C$4+0),Kalemler!$D88&lt;=(Tahmin!$C$4+6)),1,0))))</f>
        <v>0</v>
      </c>
      <c r="C88" s="0" t="n">
        <f aca="false">IF(OR(Kalemler!$A88="",Kalemler!$C88="",Kalemler!$D88=""),0,Kalemler!$C88*IF(Kalemler!$E88="Haftalık",IF(Kalemler!$D88&lt;=(Tahmin!$C$4+13),1,0),IF(Kalemler!$E88="Aylık",IF(OR(AND(DATE(YEAR((Tahmin!$C$4+7)),MONTH((Tahmin!$C$4+7)),MIN(DAY(Kalemler!$D88),DAY(EOMONTH((Tahmin!$C$4+7),0))))&gt;=(Tahmin!$C$4+7),DATE(YEAR((Tahmin!$C$4+7)),MONTH((Tahmin!$C$4+7)),MIN(DAY(Kalemler!$D88),DAY(EOMONTH((Tahmin!$C$4+7),0))))&lt;=(Tahmin!$C$4+13),DATE(YEAR((Tahmin!$C$4+7)),MONTH((Tahmin!$C$4+7)),MIN(DAY(Kalemler!$D88),DAY(EOMONTH((Tahmin!$C$4+7),0))))&gt;=Kalemler!$D88),AND(DATE(YEAR((Tahmin!$C$4+13)),MONTH((Tahmin!$C$4+13)),MIN(DAY(Kalemler!$D88),DAY(EOMONTH((Tahmin!$C$4+13),0))))&gt;=(Tahmin!$C$4+7),DATE(YEAR((Tahmin!$C$4+13)),MONTH((Tahmin!$C$4+13)),MIN(DAY(Kalemler!$D88),DAY(EOMONTH((Tahmin!$C$4+13),0))))&lt;=(Tahmin!$C$4+13),DATE(YEAR((Tahmin!$C$4+13)),MONTH((Tahmin!$C$4+13)),MIN(DAY(Kalemler!$D88),DAY(EOMONTH((Tahmin!$C$4+13),0))))&lt;&gt;DATE(YEAR((Tahmin!$C$4+7)),MONTH((Tahmin!$C$4+7)),MIN(DAY(Kalemler!$D88),DAY(EOMONTH((Tahmin!$C$4+7),0)))),DATE(YEAR((Tahmin!$C$4+13)),MONTH((Tahmin!$C$4+13)),MIN(DAY(Kalemler!$D88),DAY(EOMONTH((Tahmin!$C$4+13),0))))&gt;=Kalemler!$D88)),1,0),IF(AND(Kalemler!$D88&gt;=(Tahmin!$C$4+7),Kalemler!$D88&lt;=(Tahmin!$C$4+13)),1,0))))</f>
        <v>0</v>
      </c>
      <c r="D88" s="0" t="n">
        <f aca="false">IF(OR(Kalemler!$A88="",Kalemler!$C88="",Kalemler!$D88=""),0,Kalemler!$C88*IF(Kalemler!$E88="Haftalık",IF(Kalemler!$D88&lt;=(Tahmin!$C$4+20),1,0),IF(Kalemler!$E88="Aylık",IF(OR(AND(DATE(YEAR((Tahmin!$C$4+14)),MONTH((Tahmin!$C$4+14)),MIN(DAY(Kalemler!$D88),DAY(EOMONTH((Tahmin!$C$4+14),0))))&gt;=(Tahmin!$C$4+14),DATE(YEAR((Tahmin!$C$4+14)),MONTH((Tahmin!$C$4+14)),MIN(DAY(Kalemler!$D88),DAY(EOMONTH((Tahmin!$C$4+14),0))))&lt;=(Tahmin!$C$4+20),DATE(YEAR((Tahmin!$C$4+14)),MONTH((Tahmin!$C$4+14)),MIN(DAY(Kalemler!$D88),DAY(EOMONTH((Tahmin!$C$4+14),0))))&gt;=Kalemler!$D88),AND(DATE(YEAR((Tahmin!$C$4+20)),MONTH((Tahmin!$C$4+20)),MIN(DAY(Kalemler!$D88),DAY(EOMONTH((Tahmin!$C$4+20),0))))&gt;=(Tahmin!$C$4+14),DATE(YEAR((Tahmin!$C$4+20)),MONTH((Tahmin!$C$4+20)),MIN(DAY(Kalemler!$D88),DAY(EOMONTH((Tahmin!$C$4+20),0))))&lt;=(Tahmin!$C$4+20),DATE(YEAR((Tahmin!$C$4+20)),MONTH((Tahmin!$C$4+20)),MIN(DAY(Kalemler!$D88),DAY(EOMONTH((Tahmin!$C$4+20),0))))&lt;&gt;DATE(YEAR((Tahmin!$C$4+14)),MONTH((Tahmin!$C$4+14)),MIN(DAY(Kalemler!$D88),DAY(EOMONTH((Tahmin!$C$4+14),0)))),DATE(YEAR((Tahmin!$C$4+20)),MONTH((Tahmin!$C$4+20)),MIN(DAY(Kalemler!$D88),DAY(EOMONTH((Tahmin!$C$4+20),0))))&gt;=Kalemler!$D88)),1,0),IF(AND(Kalemler!$D88&gt;=(Tahmin!$C$4+14),Kalemler!$D88&lt;=(Tahmin!$C$4+20)),1,0))))</f>
        <v>0</v>
      </c>
      <c r="E88" s="0" t="n">
        <f aca="false">IF(OR(Kalemler!$A88="",Kalemler!$C88="",Kalemler!$D88=""),0,Kalemler!$C88*IF(Kalemler!$E88="Haftalık",IF(Kalemler!$D88&lt;=(Tahmin!$C$4+27),1,0),IF(Kalemler!$E88="Aylık",IF(OR(AND(DATE(YEAR((Tahmin!$C$4+21)),MONTH((Tahmin!$C$4+21)),MIN(DAY(Kalemler!$D88),DAY(EOMONTH((Tahmin!$C$4+21),0))))&gt;=(Tahmin!$C$4+21),DATE(YEAR((Tahmin!$C$4+21)),MONTH((Tahmin!$C$4+21)),MIN(DAY(Kalemler!$D88),DAY(EOMONTH((Tahmin!$C$4+21),0))))&lt;=(Tahmin!$C$4+27),DATE(YEAR((Tahmin!$C$4+21)),MONTH((Tahmin!$C$4+21)),MIN(DAY(Kalemler!$D88),DAY(EOMONTH((Tahmin!$C$4+21),0))))&gt;=Kalemler!$D88),AND(DATE(YEAR((Tahmin!$C$4+27)),MONTH((Tahmin!$C$4+27)),MIN(DAY(Kalemler!$D88),DAY(EOMONTH((Tahmin!$C$4+27),0))))&gt;=(Tahmin!$C$4+21),DATE(YEAR((Tahmin!$C$4+27)),MONTH((Tahmin!$C$4+27)),MIN(DAY(Kalemler!$D88),DAY(EOMONTH((Tahmin!$C$4+27),0))))&lt;=(Tahmin!$C$4+27),DATE(YEAR((Tahmin!$C$4+27)),MONTH((Tahmin!$C$4+27)),MIN(DAY(Kalemler!$D88),DAY(EOMONTH((Tahmin!$C$4+27),0))))&lt;&gt;DATE(YEAR((Tahmin!$C$4+21)),MONTH((Tahmin!$C$4+21)),MIN(DAY(Kalemler!$D88),DAY(EOMONTH((Tahmin!$C$4+21),0)))),DATE(YEAR((Tahmin!$C$4+27)),MONTH((Tahmin!$C$4+27)),MIN(DAY(Kalemler!$D88),DAY(EOMONTH((Tahmin!$C$4+27),0))))&gt;=Kalemler!$D88)),1,0),IF(AND(Kalemler!$D88&gt;=(Tahmin!$C$4+21),Kalemler!$D88&lt;=(Tahmin!$C$4+27)),1,0))))</f>
        <v>0</v>
      </c>
      <c r="F88" s="0" t="n">
        <f aca="false">IF(OR(Kalemler!$A88="",Kalemler!$C88="",Kalemler!$D88=""),0,Kalemler!$C88*IF(Kalemler!$E88="Haftalık",IF(Kalemler!$D88&lt;=(Tahmin!$C$4+34),1,0),IF(Kalemler!$E88="Aylık",IF(OR(AND(DATE(YEAR((Tahmin!$C$4+28)),MONTH((Tahmin!$C$4+28)),MIN(DAY(Kalemler!$D88),DAY(EOMONTH((Tahmin!$C$4+28),0))))&gt;=(Tahmin!$C$4+28),DATE(YEAR((Tahmin!$C$4+28)),MONTH((Tahmin!$C$4+28)),MIN(DAY(Kalemler!$D88),DAY(EOMONTH((Tahmin!$C$4+28),0))))&lt;=(Tahmin!$C$4+34),DATE(YEAR((Tahmin!$C$4+28)),MONTH((Tahmin!$C$4+28)),MIN(DAY(Kalemler!$D88),DAY(EOMONTH((Tahmin!$C$4+28),0))))&gt;=Kalemler!$D88),AND(DATE(YEAR((Tahmin!$C$4+34)),MONTH((Tahmin!$C$4+34)),MIN(DAY(Kalemler!$D88),DAY(EOMONTH((Tahmin!$C$4+34),0))))&gt;=(Tahmin!$C$4+28),DATE(YEAR((Tahmin!$C$4+34)),MONTH((Tahmin!$C$4+34)),MIN(DAY(Kalemler!$D88),DAY(EOMONTH((Tahmin!$C$4+34),0))))&lt;=(Tahmin!$C$4+34),DATE(YEAR((Tahmin!$C$4+34)),MONTH((Tahmin!$C$4+34)),MIN(DAY(Kalemler!$D88),DAY(EOMONTH((Tahmin!$C$4+34),0))))&lt;&gt;DATE(YEAR((Tahmin!$C$4+28)),MONTH((Tahmin!$C$4+28)),MIN(DAY(Kalemler!$D88),DAY(EOMONTH((Tahmin!$C$4+28),0)))),DATE(YEAR((Tahmin!$C$4+34)),MONTH((Tahmin!$C$4+34)),MIN(DAY(Kalemler!$D88),DAY(EOMONTH((Tahmin!$C$4+34),0))))&gt;=Kalemler!$D88)),1,0),IF(AND(Kalemler!$D88&gt;=(Tahmin!$C$4+28),Kalemler!$D88&lt;=(Tahmin!$C$4+34)),1,0))))</f>
        <v>0</v>
      </c>
      <c r="G88" s="0" t="n">
        <f aca="false">IF(OR(Kalemler!$A88="",Kalemler!$C88="",Kalemler!$D88=""),0,Kalemler!$C88*IF(Kalemler!$E88="Haftalık",IF(Kalemler!$D88&lt;=(Tahmin!$C$4+41),1,0),IF(Kalemler!$E88="Aylık",IF(OR(AND(DATE(YEAR((Tahmin!$C$4+35)),MONTH((Tahmin!$C$4+35)),MIN(DAY(Kalemler!$D88),DAY(EOMONTH((Tahmin!$C$4+35),0))))&gt;=(Tahmin!$C$4+35),DATE(YEAR((Tahmin!$C$4+35)),MONTH((Tahmin!$C$4+35)),MIN(DAY(Kalemler!$D88),DAY(EOMONTH((Tahmin!$C$4+35),0))))&lt;=(Tahmin!$C$4+41),DATE(YEAR((Tahmin!$C$4+35)),MONTH((Tahmin!$C$4+35)),MIN(DAY(Kalemler!$D88),DAY(EOMONTH((Tahmin!$C$4+35),0))))&gt;=Kalemler!$D88),AND(DATE(YEAR((Tahmin!$C$4+41)),MONTH((Tahmin!$C$4+41)),MIN(DAY(Kalemler!$D88),DAY(EOMONTH((Tahmin!$C$4+41),0))))&gt;=(Tahmin!$C$4+35),DATE(YEAR((Tahmin!$C$4+41)),MONTH((Tahmin!$C$4+41)),MIN(DAY(Kalemler!$D88),DAY(EOMONTH((Tahmin!$C$4+41),0))))&lt;=(Tahmin!$C$4+41),DATE(YEAR((Tahmin!$C$4+41)),MONTH((Tahmin!$C$4+41)),MIN(DAY(Kalemler!$D88),DAY(EOMONTH((Tahmin!$C$4+41),0))))&lt;&gt;DATE(YEAR((Tahmin!$C$4+35)),MONTH((Tahmin!$C$4+35)),MIN(DAY(Kalemler!$D88),DAY(EOMONTH((Tahmin!$C$4+35),0)))),DATE(YEAR((Tahmin!$C$4+41)),MONTH((Tahmin!$C$4+41)),MIN(DAY(Kalemler!$D88),DAY(EOMONTH((Tahmin!$C$4+41),0))))&gt;=Kalemler!$D88)),1,0),IF(AND(Kalemler!$D88&gt;=(Tahmin!$C$4+35),Kalemler!$D88&lt;=(Tahmin!$C$4+41)),1,0))))</f>
        <v>0</v>
      </c>
      <c r="H88" s="0" t="n">
        <f aca="false">IF(OR(Kalemler!$A88="",Kalemler!$C88="",Kalemler!$D88=""),0,Kalemler!$C88*IF(Kalemler!$E88="Haftalık",IF(Kalemler!$D88&lt;=(Tahmin!$C$4+48),1,0),IF(Kalemler!$E88="Aylık",IF(OR(AND(DATE(YEAR((Tahmin!$C$4+42)),MONTH((Tahmin!$C$4+42)),MIN(DAY(Kalemler!$D88),DAY(EOMONTH((Tahmin!$C$4+42),0))))&gt;=(Tahmin!$C$4+42),DATE(YEAR((Tahmin!$C$4+42)),MONTH((Tahmin!$C$4+42)),MIN(DAY(Kalemler!$D88),DAY(EOMONTH((Tahmin!$C$4+42),0))))&lt;=(Tahmin!$C$4+48),DATE(YEAR((Tahmin!$C$4+42)),MONTH((Tahmin!$C$4+42)),MIN(DAY(Kalemler!$D88),DAY(EOMONTH((Tahmin!$C$4+42),0))))&gt;=Kalemler!$D88),AND(DATE(YEAR((Tahmin!$C$4+48)),MONTH((Tahmin!$C$4+48)),MIN(DAY(Kalemler!$D88),DAY(EOMONTH((Tahmin!$C$4+48),0))))&gt;=(Tahmin!$C$4+42),DATE(YEAR((Tahmin!$C$4+48)),MONTH((Tahmin!$C$4+48)),MIN(DAY(Kalemler!$D88),DAY(EOMONTH((Tahmin!$C$4+48),0))))&lt;=(Tahmin!$C$4+48),DATE(YEAR((Tahmin!$C$4+48)),MONTH((Tahmin!$C$4+48)),MIN(DAY(Kalemler!$D88),DAY(EOMONTH((Tahmin!$C$4+48),0))))&lt;&gt;DATE(YEAR((Tahmin!$C$4+42)),MONTH((Tahmin!$C$4+42)),MIN(DAY(Kalemler!$D88),DAY(EOMONTH((Tahmin!$C$4+42),0)))),DATE(YEAR((Tahmin!$C$4+48)),MONTH((Tahmin!$C$4+48)),MIN(DAY(Kalemler!$D88),DAY(EOMONTH((Tahmin!$C$4+48),0))))&gt;=Kalemler!$D88)),1,0),IF(AND(Kalemler!$D88&gt;=(Tahmin!$C$4+42),Kalemler!$D88&lt;=(Tahmin!$C$4+48)),1,0))))</f>
        <v>0</v>
      </c>
      <c r="I88" s="0" t="n">
        <f aca="false">IF(OR(Kalemler!$A88="",Kalemler!$C88="",Kalemler!$D88=""),0,Kalemler!$C88*IF(Kalemler!$E88="Haftalık",IF(Kalemler!$D88&lt;=(Tahmin!$C$4+55),1,0),IF(Kalemler!$E88="Aylık",IF(OR(AND(DATE(YEAR((Tahmin!$C$4+49)),MONTH((Tahmin!$C$4+49)),MIN(DAY(Kalemler!$D88),DAY(EOMONTH((Tahmin!$C$4+49),0))))&gt;=(Tahmin!$C$4+49),DATE(YEAR((Tahmin!$C$4+49)),MONTH((Tahmin!$C$4+49)),MIN(DAY(Kalemler!$D88),DAY(EOMONTH((Tahmin!$C$4+49),0))))&lt;=(Tahmin!$C$4+55),DATE(YEAR((Tahmin!$C$4+49)),MONTH((Tahmin!$C$4+49)),MIN(DAY(Kalemler!$D88),DAY(EOMONTH((Tahmin!$C$4+49),0))))&gt;=Kalemler!$D88),AND(DATE(YEAR((Tahmin!$C$4+55)),MONTH((Tahmin!$C$4+55)),MIN(DAY(Kalemler!$D88),DAY(EOMONTH((Tahmin!$C$4+55),0))))&gt;=(Tahmin!$C$4+49),DATE(YEAR((Tahmin!$C$4+55)),MONTH((Tahmin!$C$4+55)),MIN(DAY(Kalemler!$D88),DAY(EOMONTH((Tahmin!$C$4+55),0))))&lt;=(Tahmin!$C$4+55),DATE(YEAR((Tahmin!$C$4+55)),MONTH((Tahmin!$C$4+55)),MIN(DAY(Kalemler!$D88),DAY(EOMONTH((Tahmin!$C$4+55),0))))&lt;&gt;DATE(YEAR((Tahmin!$C$4+49)),MONTH((Tahmin!$C$4+49)),MIN(DAY(Kalemler!$D88),DAY(EOMONTH((Tahmin!$C$4+49),0)))),DATE(YEAR((Tahmin!$C$4+55)),MONTH((Tahmin!$C$4+55)),MIN(DAY(Kalemler!$D88),DAY(EOMONTH((Tahmin!$C$4+55),0))))&gt;=Kalemler!$D88)),1,0),IF(AND(Kalemler!$D88&gt;=(Tahmin!$C$4+49),Kalemler!$D88&lt;=(Tahmin!$C$4+55)),1,0))))</f>
        <v>0</v>
      </c>
      <c r="J88" s="0" t="n">
        <f aca="false">IF(OR(Kalemler!$A88="",Kalemler!$C88="",Kalemler!$D88=""),0,Kalemler!$C88*IF(Kalemler!$E88="Haftalık",IF(Kalemler!$D88&lt;=(Tahmin!$C$4+62),1,0),IF(Kalemler!$E88="Aylık",IF(OR(AND(DATE(YEAR((Tahmin!$C$4+56)),MONTH((Tahmin!$C$4+56)),MIN(DAY(Kalemler!$D88),DAY(EOMONTH((Tahmin!$C$4+56),0))))&gt;=(Tahmin!$C$4+56),DATE(YEAR((Tahmin!$C$4+56)),MONTH((Tahmin!$C$4+56)),MIN(DAY(Kalemler!$D88),DAY(EOMONTH((Tahmin!$C$4+56),0))))&lt;=(Tahmin!$C$4+62),DATE(YEAR((Tahmin!$C$4+56)),MONTH((Tahmin!$C$4+56)),MIN(DAY(Kalemler!$D88),DAY(EOMONTH((Tahmin!$C$4+56),0))))&gt;=Kalemler!$D88),AND(DATE(YEAR((Tahmin!$C$4+62)),MONTH((Tahmin!$C$4+62)),MIN(DAY(Kalemler!$D88),DAY(EOMONTH((Tahmin!$C$4+62),0))))&gt;=(Tahmin!$C$4+56),DATE(YEAR((Tahmin!$C$4+62)),MONTH((Tahmin!$C$4+62)),MIN(DAY(Kalemler!$D88),DAY(EOMONTH((Tahmin!$C$4+62),0))))&lt;=(Tahmin!$C$4+62),DATE(YEAR((Tahmin!$C$4+62)),MONTH((Tahmin!$C$4+62)),MIN(DAY(Kalemler!$D88),DAY(EOMONTH((Tahmin!$C$4+62),0))))&lt;&gt;DATE(YEAR((Tahmin!$C$4+56)),MONTH((Tahmin!$C$4+56)),MIN(DAY(Kalemler!$D88),DAY(EOMONTH((Tahmin!$C$4+56),0)))),DATE(YEAR((Tahmin!$C$4+62)),MONTH((Tahmin!$C$4+62)),MIN(DAY(Kalemler!$D88),DAY(EOMONTH((Tahmin!$C$4+62),0))))&gt;=Kalemler!$D88)),1,0),IF(AND(Kalemler!$D88&gt;=(Tahmin!$C$4+56),Kalemler!$D88&lt;=(Tahmin!$C$4+62)),1,0))))</f>
        <v>0</v>
      </c>
      <c r="K88" s="0" t="n">
        <f aca="false">IF(OR(Kalemler!$A88="",Kalemler!$C88="",Kalemler!$D88=""),0,Kalemler!$C88*IF(Kalemler!$E88="Haftalık",IF(Kalemler!$D88&lt;=(Tahmin!$C$4+69),1,0),IF(Kalemler!$E88="Aylık",IF(OR(AND(DATE(YEAR((Tahmin!$C$4+63)),MONTH((Tahmin!$C$4+63)),MIN(DAY(Kalemler!$D88),DAY(EOMONTH((Tahmin!$C$4+63),0))))&gt;=(Tahmin!$C$4+63),DATE(YEAR((Tahmin!$C$4+63)),MONTH((Tahmin!$C$4+63)),MIN(DAY(Kalemler!$D88),DAY(EOMONTH((Tahmin!$C$4+63),0))))&lt;=(Tahmin!$C$4+69),DATE(YEAR((Tahmin!$C$4+63)),MONTH((Tahmin!$C$4+63)),MIN(DAY(Kalemler!$D88),DAY(EOMONTH((Tahmin!$C$4+63),0))))&gt;=Kalemler!$D88),AND(DATE(YEAR((Tahmin!$C$4+69)),MONTH((Tahmin!$C$4+69)),MIN(DAY(Kalemler!$D88),DAY(EOMONTH((Tahmin!$C$4+69),0))))&gt;=(Tahmin!$C$4+63),DATE(YEAR((Tahmin!$C$4+69)),MONTH((Tahmin!$C$4+69)),MIN(DAY(Kalemler!$D88),DAY(EOMONTH((Tahmin!$C$4+69),0))))&lt;=(Tahmin!$C$4+69),DATE(YEAR((Tahmin!$C$4+69)),MONTH((Tahmin!$C$4+69)),MIN(DAY(Kalemler!$D88),DAY(EOMONTH((Tahmin!$C$4+69),0))))&lt;&gt;DATE(YEAR((Tahmin!$C$4+63)),MONTH((Tahmin!$C$4+63)),MIN(DAY(Kalemler!$D88),DAY(EOMONTH((Tahmin!$C$4+63),0)))),DATE(YEAR((Tahmin!$C$4+69)),MONTH((Tahmin!$C$4+69)),MIN(DAY(Kalemler!$D88),DAY(EOMONTH((Tahmin!$C$4+69),0))))&gt;=Kalemler!$D88)),1,0),IF(AND(Kalemler!$D88&gt;=(Tahmin!$C$4+63),Kalemler!$D88&lt;=(Tahmin!$C$4+69)),1,0))))</f>
        <v>0</v>
      </c>
      <c r="L88" s="0" t="n">
        <f aca="false">IF(OR(Kalemler!$A88="",Kalemler!$C88="",Kalemler!$D88=""),0,Kalemler!$C88*IF(Kalemler!$E88="Haftalık",IF(Kalemler!$D88&lt;=(Tahmin!$C$4+76),1,0),IF(Kalemler!$E88="Aylık",IF(OR(AND(DATE(YEAR((Tahmin!$C$4+70)),MONTH((Tahmin!$C$4+70)),MIN(DAY(Kalemler!$D88),DAY(EOMONTH((Tahmin!$C$4+70),0))))&gt;=(Tahmin!$C$4+70),DATE(YEAR((Tahmin!$C$4+70)),MONTH((Tahmin!$C$4+70)),MIN(DAY(Kalemler!$D88),DAY(EOMONTH((Tahmin!$C$4+70),0))))&lt;=(Tahmin!$C$4+76),DATE(YEAR((Tahmin!$C$4+70)),MONTH((Tahmin!$C$4+70)),MIN(DAY(Kalemler!$D88),DAY(EOMONTH((Tahmin!$C$4+70),0))))&gt;=Kalemler!$D88),AND(DATE(YEAR((Tahmin!$C$4+76)),MONTH((Tahmin!$C$4+76)),MIN(DAY(Kalemler!$D88),DAY(EOMONTH((Tahmin!$C$4+76),0))))&gt;=(Tahmin!$C$4+70),DATE(YEAR((Tahmin!$C$4+76)),MONTH((Tahmin!$C$4+76)),MIN(DAY(Kalemler!$D88),DAY(EOMONTH((Tahmin!$C$4+76),0))))&lt;=(Tahmin!$C$4+76),DATE(YEAR((Tahmin!$C$4+76)),MONTH((Tahmin!$C$4+76)),MIN(DAY(Kalemler!$D88),DAY(EOMONTH((Tahmin!$C$4+76),0))))&lt;&gt;DATE(YEAR((Tahmin!$C$4+70)),MONTH((Tahmin!$C$4+70)),MIN(DAY(Kalemler!$D88),DAY(EOMONTH((Tahmin!$C$4+70),0)))),DATE(YEAR((Tahmin!$C$4+76)),MONTH((Tahmin!$C$4+76)),MIN(DAY(Kalemler!$D88),DAY(EOMONTH((Tahmin!$C$4+76),0))))&gt;=Kalemler!$D88)),1,0),IF(AND(Kalemler!$D88&gt;=(Tahmin!$C$4+70),Kalemler!$D88&lt;=(Tahmin!$C$4+76)),1,0))))</f>
        <v>0</v>
      </c>
      <c r="M88" s="0" t="n">
        <f aca="false">IF(OR(Kalemler!$A88="",Kalemler!$C88="",Kalemler!$D88=""),0,Kalemler!$C88*IF(Kalemler!$E88="Haftalık",IF(Kalemler!$D88&lt;=(Tahmin!$C$4+83),1,0),IF(Kalemler!$E88="Aylık",IF(OR(AND(DATE(YEAR((Tahmin!$C$4+77)),MONTH((Tahmin!$C$4+77)),MIN(DAY(Kalemler!$D88),DAY(EOMONTH((Tahmin!$C$4+77),0))))&gt;=(Tahmin!$C$4+77),DATE(YEAR((Tahmin!$C$4+77)),MONTH((Tahmin!$C$4+77)),MIN(DAY(Kalemler!$D88),DAY(EOMONTH((Tahmin!$C$4+77),0))))&lt;=(Tahmin!$C$4+83),DATE(YEAR((Tahmin!$C$4+77)),MONTH((Tahmin!$C$4+77)),MIN(DAY(Kalemler!$D88),DAY(EOMONTH((Tahmin!$C$4+77),0))))&gt;=Kalemler!$D88),AND(DATE(YEAR((Tahmin!$C$4+83)),MONTH((Tahmin!$C$4+83)),MIN(DAY(Kalemler!$D88),DAY(EOMONTH((Tahmin!$C$4+83),0))))&gt;=(Tahmin!$C$4+77),DATE(YEAR((Tahmin!$C$4+83)),MONTH((Tahmin!$C$4+83)),MIN(DAY(Kalemler!$D88),DAY(EOMONTH((Tahmin!$C$4+83),0))))&lt;=(Tahmin!$C$4+83),DATE(YEAR((Tahmin!$C$4+83)),MONTH((Tahmin!$C$4+83)),MIN(DAY(Kalemler!$D88),DAY(EOMONTH((Tahmin!$C$4+83),0))))&lt;&gt;DATE(YEAR((Tahmin!$C$4+77)),MONTH((Tahmin!$C$4+77)),MIN(DAY(Kalemler!$D88),DAY(EOMONTH((Tahmin!$C$4+77),0)))),DATE(YEAR((Tahmin!$C$4+83)),MONTH((Tahmin!$C$4+83)),MIN(DAY(Kalemler!$D88),DAY(EOMONTH((Tahmin!$C$4+83),0))))&gt;=Kalemler!$D88)),1,0),IF(AND(Kalemler!$D88&gt;=(Tahmin!$C$4+77),Kalemler!$D88&lt;=(Tahmin!$C$4+83)),1,0))))</f>
        <v>0</v>
      </c>
      <c r="N88" s="0" t="n">
        <f aca="false">IF(OR(Kalemler!$A88="",Kalemler!$C88="",Kalemler!$D88=""),0,Kalemler!$C88*IF(Kalemler!$E88="Haftalık",IF(Kalemler!$D88&lt;=(Tahmin!$C$4+90),1,0),IF(Kalemler!$E88="Aylık",IF(OR(AND(DATE(YEAR((Tahmin!$C$4+84)),MONTH((Tahmin!$C$4+84)),MIN(DAY(Kalemler!$D88),DAY(EOMONTH((Tahmin!$C$4+84),0))))&gt;=(Tahmin!$C$4+84),DATE(YEAR((Tahmin!$C$4+84)),MONTH((Tahmin!$C$4+84)),MIN(DAY(Kalemler!$D88),DAY(EOMONTH((Tahmin!$C$4+84),0))))&lt;=(Tahmin!$C$4+90),DATE(YEAR((Tahmin!$C$4+84)),MONTH((Tahmin!$C$4+84)),MIN(DAY(Kalemler!$D88),DAY(EOMONTH((Tahmin!$C$4+84),0))))&gt;=Kalemler!$D88),AND(DATE(YEAR((Tahmin!$C$4+90)),MONTH((Tahmin!$C$4+90)),MIN(DAY(Kalemler!$D88),DAY(EOMONTH((Tahmin!$C$4+90),0))))&gt;=(Tahmin!$C$4+84),DATE(YEAR((Tahmin!$C$4+90)),MONTH((Tahmin!$C$4+90)),MIN(DAY(Kalemler!$D88),DAY(EOMONTH((Tahmin!$C$4+90),0))))&lt;=(Tahmin!$C$4+90),DATE(YEAR((Tahmin!$C$4+90)),MONTH((Tahmin!$C$4+90)),MIN(DAY(Kalemler!$D88),DAY(EOMONTH((Tahmin!$C$4+90),0))))&lt;&gt;DATE(YEAR((Tahmin!$C$4+84)),MONTH((Tahmin!$C$4+84)),MIN(DAY(Kalemler!$D88),DAY(EOMONTH((Tahmin!$C$4+84),0)))),DATE(YEAR((Tahmin!$C$4+90)),MONTH((Tahmin!$C$4+90)),MIN(DAY(Kalemler!$D88),DAY(EOMONTH((Tahmin!$C$4+90),0))))&gt;=Kalemler!$D88)),1,0),IF(AND(Kalemler!$D88&gt;=(Tahmin!$C$4+84),Kalemler!$D88&lt;=(Tahmin!$C$4+90)),1,0))))</f>
        <v>0</v>
      </c>
    </row>
    <row r="89" customFormat="false" ht="15" hidden="false" customHeight="false" outlineLevel="0" collapsed="false">
      <c r="A89" s="0" t="str">
        <f aca="false">IF(Kalemler!A89="","",Kalemler!A89)</f>
        <v/>
      </c>
      <c r="B89" s="0" t="n">
        <f aca="false">IF(OR(Kalemler!$A89="",Kalemler!$C89="",Kalemler!$D89=""),0,Kalemler!$C89*IF(Kalemler!$E89="Haftalık",IF(Kalemler!$D89&lt;=(Tahmin!$C$4+6),1,0),IF(Kalemler!$E89="Aylık",IF(OR(AND(DATE(YEAR((Tahmin!$C$4+0)),MONTH((Tahmin!$C$4+0)),MIN(DAY(Kalemler!$D89),DAY(EOMONTH((Tahmin!$C$4+0),0))))&gt;=(Tahmin!$C$4+0),DATE(YEAR((Tahmin!$C$4+0)),MONTH((Tahmin!$C$4+0)),MIN(DAY(Kalemler!$D89),DAY(EOMONTH((Tahmin!$C$4+0),0))))&lt;=(Tahmin!$C$4+6),DATE(YEAR((Tahmin!$C$4+0)),MONTH((Tahmin!$C$4+0)),MIN(DAY(Kalemler!$D89),DAY(EOMONTH((Tahmin!$C$4+0),0))))&gt;=Kalemler!$D89),AND(DATE(YEAR((Tahmin!$C$4+6)),MONTH((Tahmin!$C$4+6)),MIN(DAY(Kalemler!$D89),DAY(EOMONTH((Tahmin!$C$4+6),0))))&gt;=(Tahmin!$C$4+0),DATE(YEAR((Tahmin!$C$4+6)),MONTH((Tahmin!$C$4+6)),MIN(DAY(Kalemler!$D89),DAY(EOMONTH((Tahmin!$C$4+6),0))))&lt;=(Tahmin!$C$4+6),DATE(YEAR((Tahmin!$C$4+6)),MONTH((Tahmin!$C$4+6)),MIN(DAY(Kalemler!$D89),DAY(EOMONTH((Tahmin!$C$4+6),0))))&lt;&gt;DATE(YEAR((Tahmin!$C$4+0)),MONTH((Tahmin!$C$4+0)),MIN(DAY(Kalemler!$D89),DAY(EOMONTH((Tahmin!$C$4+0),0)))),DATE(YEAR((Tahmin!$C$4+6)),MONTH((Tahmin!$C$4+6)),MIN(DAY(Kalemler!$D89),DAY(EOMONTH((Tahmin!$C$4+6),0))))&gt;=Kalemler!$D89)),1,0),IF(AND(Kalemler!$D89&gt;=(Tahmin!$C$4+0),Kalemler!$D89&lt;=(Tahmin!$C$4+6)),1,0))))</f>
        <v>0</v>
      </c>
      <c r="C89" s="0" t="n">
        <f aca="false">IF(OR(Kalemler!$A89="",Kalemler!$C89="",Kalemler!$D89=""),0,Kalemler!$C89*IF(Kalemler!$E89="Haftalık",IF(Kalemler!$D89&lt;=(Tahmin!$C$4+13),1,0),IF(Kalemler!$E89="Aylık",IF(OR(AND(DATE(YEAR((Tahmin!$C$4+7)),MONTH((Tahmin!$C$4+7)),MIN(DAY(Kalemler!$D89),DAY(EOMONTH((Tahmin!$C$4+7),0))))&gt;=(Tahmin!$C$4+7),DATE(YEAR((Tahmin!$C$4+7)),MONTH((Tahmin!$C$4+7)),MIN(DAY(Kalemler!$D89),DAY(EOMONTH((Tahmin!$C$4+7),0))))&lt;=(Tahmin!$C$4+13),DATE(YEAR((Tahmin!$C$4+7)),MONTH((Tahmin!$C$4+7)),MIN(DAY(Kalemler!$D89),DAY(EOMONTH((Tahmin!$C$4+7),0))))&gt;=Kalemler!$D89),AND(DATE(YEAR((Tahmin!$C$4+13)),MONTH((Tahmin!$C$4+13)),MIN(DAY(Kalemler!$D89),DAY(EOMONTH((Tahmin!$C$4+13),0))))&gt;=(Tahmin!$C$4+7),DATE(YEAR((Tahmin!$C$4+13)),MONTH((Tahmin!$C$4+13)),MIN(DAY(Kalemler!$D89),DAY(EOMONTH((Tahmin!$C$4+13),0))))&lt;=(Tahmin!$C$4+13),DATE(YEAR((Tahmin!$C$4+13)),MONTH((Tahmin!$C$4+13)),MIN(DAY(Kalemler!$D89),DAY(EOMONTH((Tahmin!$C$4+13),0))))&lt;&gt;DATE(YEAR((Tahmin!$C$4+7)),MONTH((Tahmin!$C$4+7)),MIN(DAY(Kalemler!$D89),DAY(EOMONTH((Tahmin!$C$4+7),0)))),DATE(YEAR((Tahmin!$C$4+13)),MONTH((Tahmin!$C$4+13)),MIN(DAY(Kalemler!$D89),DAY(EOMONTH((Tahmin!$C$4+13),0))))&gt;=Kalemler!$D89)),1,0),IF(AND(Kalemler!$D89&gt;=(Tahmin!$C$4+7),Kalemler!$D89&lt;=(Tahmin!$C$4+13)),1,0))))</f>
        <v>0</v>
      </c>
      <c r="D89" s="0" t="n">
        <f aca="false">IF(OR(Kalemler!$A89="",Kalemler!$C89="",Kalemler!$D89=""),0,Kalemler!$C89*IF(Kalemler!$E89="Haftalık",IF(Kalemler!$D89&lt;=(Tahmin!$C$4+20),1,0),IF(Kalemler!$E89="Aylık",IF(OR(AND(DATE(YEAR((Tahmin!$C$4+14)),MONTH((Tahmin!$C$4+14)),MIN(DAY(Kalemler!$D89),DAY(EOMONTH((Tahmin!$C$4+14),0))))&gt;=(Tahmin!$C$4+14),DATE(YEAR((Tahmin!$C$4+14)),MONTH((Tahmin!$C$4+14)),MIN(DAY(Kalemler!$D89),DAY(EOMONTH((Tahmin!$C$4+14),0))))&lt;=(Tahmin!$C$4+20),DATE(YEAR((Tahmin!$C$4+14)),MONTH((Tahmin!$C$4+14)),MIN(DAY(Kalemler!$D89),DAY(EOMONTH((Tahmin!$C$4+14),0))))&gt;=Kalemler!$D89),AND(DATE(YEAR((Tahmin!$C$4+20)),MONTH((Tahmin!$C$4+20)),MIN(DAY(Kalemler!$D89),DAY(EOMONTH((Tahmin!$C$4+20),0))))&gt;=(Tahmin!$C$4+14),DATE(YEAR((Tahmin!$C$4+20)),MONTH((Tahmin!$C$4+20)),MIN(DAY(Kalemler!$D89),DAY(EOMONTH((Tahmin!$C$4+20),0))))&lt;=(Tahmin!$C$4+20),DATE(YEAR((Tahmin!$C$4+20)),MONTH((Tahmin!$C$4+20)),MIN(DAY(Kalemler!$D89),DAY(EOMONTH((Tahmin!$C$4+20),0))))&lt;&gt;DATE(YEAR((Tahmin!$C$4+14)),MONTH((Tahmin!$C$4+14)),MIN(DAY(Kalemler!$D89),DAY(EOMONTH((Tahmin!$C$4+14),0)))),DATE(YEAR((Tahmin!$C$4+20)),MONTH((Tahmin!$C$4+20)),MIN(DAY(Kalemler!$D89),DAY(EOMONTH((Tahmin!$C$4+20),0))))&gt;=Kalemler!$D89)),1,0),IF(AND(Kalemler!$D89&gt;=(Tahmin!$C$4+14),Kalemler!$D89&lt;=(Tahmin!$C$4+20)),1,0))))</f>
        <v>0</v>
      </c>
      <c r="E89" s="0" t="n">
        <f aca="false">IF(OR(Kalemler!$A89="",Kalemler!$C89="",Kalemler!$D89=""),0,Kalemler!$C89*IF(Kalemler!$E89="Haftalık",IF(Kalemler!$D89&lt;=(Tahmin!$C$4+27),1,0),IF(Kalemler!$E89="Aylık",IF(OR(AND(DATE(YEAR((Tahmin!$C$4+21)),MONTH((Tahmin!$C$4+21)),MIN(DAY(Kalemler!$D89),DAY(EOMONTH((Tahmin!$C$4+21),0))))&gt;=(Tahmin!$C$4+21),DATE(YEAR((Tahmin!$C$4+21)),MONTH((Tahmin!$C$4+21)),MIN(DAY(Kalemler!$D89),DAY(EOMONTH((Tahmin!$C$4+21),0))))&lt;=(Tahmin!$C$4+27),DATE(YEAR((Tahmin!$C$4+21)),MONTH((Tahmin!$C$4+21)),MIN(DAY(Kalemler!$D89),DAY(EOMONTH((Tahmin!$C$4+21),0))))&gt;=Kalemler!$D89),AND(DATE(YEAR((Tahmin!$C$4+27)),MONTH((Tahmin!$C$4+27)),MIN(DAY(Kalemler!$D89),DAY(EOMONTH((Tahmin!$C$4+27),0))))&gt;=(Tahmin!$C$4+21),DATE(YEAR((Tahmin!$C$4+27)),MONTH((Tahmin!$C$4+27)),MIN(DAY(Kalemler!$D89),DAY(EOMONTH((Tahmin!$C$4+27),0))))&lt;=(Tahmin!$C$4+27),DATE(YEAR((Tahmin!$C$4+27)),MONTH((Tahmin!$C$4+27)),MIN(DAY(Kalemler!$D89),DAY(EOMONTH((Tahmin!$C$4+27),0))))&lt;&gt;DATE(YEAR((Tahmin!$C$4+21)),MONTH((Tahmin!$C$4+21)),MIN(DAY(Kalemler!$D89),DAY(EOMONTH((Tahmin!$C$4+21),0)))),DATE(YEAR((Tahmin!$C$4+27)),MONTH((Tahmin!$C$4+27)),MIN(DAY(Kalemler!$D89),DAY(EOMONTH((Tahmin!$C$4+27),0))))&gt;=Kalemler!$D89)),1,0),IF(AND(Kalemler!$D89&gt;=(Tahmin!$C$4+21),Kalemler!$D89&lt;=(Tahmin!$C$4+27)),1,0))))</f>
        <v>0</v>
      </c>
      <c r="F89" s="0" t="n">
        <f aca="false">IF(OR(Kalemler!$A89="",Kalemler!$C89="",Kalemler!$D89=""),0,Kalemler!$C89*IF(Kalemler!$E89="Haftalık",IF(Kalemler!$D89&lt;=(Tahmin!$C$4+34),1,0),IF(Kalemler!$E89="Aylık",IF(OR(AND(DATE(YEAR((Tahmin!$C$4+28)),MONTH((Tahmin!$C$4+28)),MIN(DAY(Kalemler!$D89),DAY(EOMONTH((Tahmin!$C$4+28),0))))&gt;=(Tahmin!$C$4+28),DATE(YEAR((Tahmin!$C$4+28)),MONTH((Tahmin!$C$4+28)),MIN(DAY(Kalemler!$D89),DAY(EOMONTH((Tahmin!$C$4+28),0))))&lt;=(Tahmin!$C$4+34),DATE(YEAR((Tahmin!$C$4+28)),MONTH((Tahmin!$C$4+28)),MIN(DAY(Kalemler!$D89),DAY(EOMONTH((Tahmin!$C$4+28),0))))&gt;=Kalemler!$D89),AND(DATE(YEAR((Tahmin!$C$4+34)),MONTH((Tahmin!$C$4+34)),MIN(DAY(Kalemler!$D89),DAY(EOMONTH((Tahmin!$C$4+34),0))))&gt;=(Tahmin!$C$4+28),DATE(YEAR((Tahmin!$C$4+34)),MONTH((Tahmin!$C$4+34)),MIN(DAY(Kalemler!$D89),DAY(EOMONTH((Tahmin!$C$4+34),0))))&lt;=(Tahmin!$C$4+34),DATE(YEAR((Tahmin!$C$4+34)),MONTH((Tahmin!$C$4+34)),MIN(DAY(Kalemler!$D89),DAY(EOMONTH((Tahmin!$C$4+34),0))))&lt;&gt;DATE(YEAR((Tahmin!$C$4+28)),MONTH((Tahmin!$C$4+28)),MIN(DAY(Kalemler!$D89),DAY(EOMONTH((Tahmin!$C$4+28),0)))),DATE(YEAR((Tahmin!$C$4+34)),MONTH((Tahmin!$C$4+34)),MIN(DAY(Kalemler!$D89),DAY(EOMONTH((Tahmin!$C$4+34),0))))&gt;=Kalemler!$D89)),1,0),IF(AND(Kalemler!$D89&gt;=(Tahmin!$C$4+28),Kalemler!$D89&lt;=(Tahmin!$C$4+34)),1,0))))</f>
        <v>0</v>
      </c>
      <c r="G89" s="0" t="n">
        <f aca="false">IF(OR(Kalemler!$A89="",Kalemler!$C89="",Kalemler!$D89=""),0,Kalemler!$C89*IF(Kalemler!$E89="Haftalık",IF(Kalemler!$D89&lt;=(Tahmin!$C$4+41),1,0),IF(Kalemler!$E89="Aylık",IF(OR(AND(DATE(YEAR((Tahmin!$C$4+35)),MONTH((Tahmin!$C$4+35)),MIN(DAY(Kalemler!$D89),DAY(EOMONTH((Tahmin!$C$4+35),0))))&gt;=(Tahmin!$C$4+35),DATE(YEAR((Tahmin!$C$4+35)),MONTH((Tahmin!$C$4+35)),MIN(DAY(Kalemler!$D89),DAY(EOMONTH((Tahmin!$C$4+35),0))))&lt;=(Tahmin!$C$4+41),DATE(YEAR((Tahmin!$C$4+35)),MONTH((Tahmin!$C$4+35)),MIN(DAY(Kalemler!$D89),DAY(EOMONTH((Tahmin!$C$4+35),0))))&gt;=Kalemler!$D89),AND(DATE(YEAR((Tahmin!$C$4+41)),MONTH((Tahmin!$C$4+41)),MIN(DAY(Kalemler!$D89),DAY(EOMONTH((Tahmin!$C$4+41),0))))&gt;=(Tahmin!$C$4+35),DATE(YEAR((Tahmin!$C$4+41)),MONTH((Tahmin!$C$4+41)),MIN(DAY(Kalemler!$D89),DAY(EOMONTH((Tahmin!$C$4+41),0))))&lt;=(Tahmin!$C$4+41),DATE(YEAR((Tahmin!$C$4+41)),MONTH((Tahmin!$C$4+41)),MIN(DAY(Kalemler!$D89),DAY(EOMONTH((Tahmin!$C$4+41),0))))&lt;&gt;DATE(YEAR((Tahmin!$C$4+35)),MONTH((Tahmin!$C$4+35)),MIN(DAY(Kalemler!$D89),DAY(EOMONTH((Tahmin!$C$4+35),0)))),DATE(YEAR((Tahmin!$C$4+41)),MONTH((Tahmin!$C$4+41)),MIN(DAY(Kalemler!$D89),DAY(EOMONTH((Tahmin!$C$4+41),0))))&gt;=Kalemler!$D89)),1,0),IF(AND(Kalemler!$D89&gt;=(Tahmin!$C$4+35),Kalemler!$D89&lt;=(Tahmin!$C$4+41)),1,0))))</f>
        <v>0</v>
      </c>
      <c r="H89" s="0" t="n">
        <f aca="false">IF(OR(Kalemler!$A89="",Kalemler!$C89="",Kalemler!$D89=""),0,Kalemler!$C89*IF(Kalemler!$E89="Haftalık",IF(Kalemler!$D89&lt;=(Tahmin!$C$4+48),1,0),IF(Kalemler!$E89="Aylık",IF(OR(AND(DATE(YEAR((Tahmin!$C$4+42)),MONTH((Tahmin!$C$4+42)),MIN(DAY(Kalemler!$D89),DAY(EOMONTH((Tahmin!$C$4+42),0))))&gt;=(Tahmin!$C$4+42),DATE(YEAR((Tahmin!$C$4+42)),MONTH((Tahmin!$C$4+42)),MIN(DAY(Kalemler!$D89),DAY(EOMONTH((Tahmin!$C$4+42),0))))&lt;=(Tahmin!$C$4+48),DATE(YEAR((Tahmin!$C$4+42)),MONTH((Tahmin!$C$4+42)),MIN(DAY(Kalemler!$D89),DAY(EOMONTH((Tahmin!$C$4+42),0))))&gt;=Kalemler!$D89),AND(DATE(YEAR((Tahmin!$C$4+48)),MONTH((Tahmin!$C$4+48)),MIN(DAY(Kalemler!$D89),DAY(EOMONTH((Tahmin!$C$4+48),0))))&gt;=(Tahmin!$C$4+42),DATE(YEAR((Tahmin!$C$4+48)),MONTH((Tahmin!$C$4+48)),MIN(DAY(Kalemler!$D89),DAY(EOMONTH((Tahmin!$C$4+48),0))))&lt;=(Tahmin!$C$4+48),DATE(YEAR((Tahmin!$C$4+48)),MONTH((Tahmin!$C$4+48)),MIN(DAY(Kalemler!$D89),DAY(EOMONTH((Tahmin!$C$4+48),0))))&lt;&gt;DATE(YEAR((Tahmin!$C$4+42)),MONTH((Tahmin!$C$4+42)),MIN(DAY(Kalemler!$D89),DAY(EOMONTH((Tahmin!$C$4+42),0)))),DATE(YEAR((Tahmin!$C$4+48)),MONTH((Tahmin!$C$4+48)),MIN(DAY(Kalemler!$D89),DAY(EOMONTH((Tahmin!$C$4+48),0))))&gt;=Kalemler!$D89)),1,0),IF(AND(Kalemler!$D89&gt;=(Tahmin!$C$4+42),Kalemler!$D89&lt;=(Tahmin!$C$4+48)),1,0))))</f>
        <v>0</v>
      </c>
      <c r="I89" s="0" t="n">
        <f aca="false">IF(OR(Kalemler!$A89="",Kalemler!$C89="",Kalemler!$D89=""),0,Kalemler!$C89*IF(Kalemler!$E89="Haftalık",IF(Kalemler!$D89&lt;=(Tahmin!$C$4+55),1,0),IF(Kalemler!$E89="Aylık",IF(OR(AND(DATE(YEAR((Tahmin!$C$4+49)),MONTH((Tahmin!$C$4+49)),MIN(DAY(Kalemler!$D89),DAY(EOMONTH((Tahmin!$C$4+49),0))))&gt;=(Tahmin!$C$4+49),DATE(YEAR((Tahmin!$C$4+49)),MONTH((Tahmin!$C$4+49)),MIN(DAY(Kalemler!$D89),DAY(EOMONTH((Tahmin!$C$4+49),0))))&lt;=(Tahmin!$C$4+55),DATE(YEAR((Tahmin!$C$4+49)),MONTH((Tahmin!$C$4+49)),MIN(DAY(Kalemler!$D89),DAY(EOMONTH((Tahmin!$C$4+49),0))))&gt;=Kalemler!$D89),AND(DATE(YEAR((Tahmin!$C$4+55)),MONTH((Tahmin!$C$4+55)),MIN(DAY(Kalemler!$D89),DAY(EOMONTH((Tahmin!$C$4+55),0))))&gt;=(Tahmin!$C$4+49),DATE(YEAR((Tahmin!$C$4+55)),MONTH((Tahmin!$C$4+55)),MIN(DAY(Kalemler!$D89),DAY(EOMONTH((Tahmin!$C$4+55),0))))&lt;=(Tahmin!$C$4+55),DATE(YEAR((Tahmin!$C$4+55)),MONTH((Tahmin!$C$4+55)),MIN(DAY(Kalemler!$D89),DAY(EOMONTH((Tahmin!$C$4+55),0))))&lt;&gt;DATE(YEAR((Tahmin!$C$4+49)),MONTH((Tahmin!$C$4+49)),MIN(DAY(Kalemler!$D89),DAY(EOMONTH((Tahmin!$C$4+49),0)))),DATE(YEAR((Tahmin!$C$4+55)),MONTH((Tahmin!$C$4+55)),MIN(DAY(Kalemler!$D89),DAY(EOMONTH((Tahmin!$C$4+55),0))))&gt;=Kalemler!$D89)),1,0),IF(AND(Kalemler!$D89&gt;=(Tahmin!$C$4+49),Kalemler!$D89&lt;=(Tahmin!$C$4+55)),1,0))))</f>
        <v>0</v>
      </c>
      <c r="J89" s="0" t="n">
        <f aca="false">IF(OR(Kalemler!$A89="",Kalemler!$C89="",Kalemler!$D89=""),0,Kalemler!$C89*IF(Kalemler!$E89="Haftalık",IF(Kalemler!$D89&lt;=(Tahmin!$C$4+62),1,0),IF(Kalemler!$E89="Aylık",IF(OR(AND(DATE(YEAR((Tahmin!$C$4+56)),MONTH((Tahmin!$C$4+56)),MIN(DAY(Kalemler!$D89),DAY(EOMONTH((Tahmin!$C$4+56),0))))&gt;=(Tahmin!$C$4+56),DATE(YEAR((Tahmin!$C$4+56)),MONTH((Tahmin!$C$4+56)),MIN(DAY(Kalemler!$D89),DAY(EOMONTH((Tahmin!$C$4+56),0))))&lt;=(Tahmin!$C$4+62),DATE(YEAR((Tahmin!$C$4+56)),MONTH((Tahmin!$C$4+56)),MIN(DAY(Kalemler!$D89),DAY(EOMONTH((Tahmin!$C$4+56),0))))&gt;=Kalemler!$D89),AND(DATE(YEAR((Tahmin!$C$4+62)),MONTH((Tahmin!$C$4+62)),MIN(DAY(Kalemler!$D89),DAY(EOMONTH((Tahmin!$C$4+62),0))))&gt;=(Tahmin!$C$4+56),DATE(YEAR((Tahmin!$C$4+62)),MONTH((Tahmin!$C$4+62)),MIN(DAY(Kalemler!$D89),DAY(EOMONTH((Tahmin!$C$4+62),0))))&lt;=(Tahmin!$C$4+62),DATE(YEAR((Tahmin!$C$4+62)),MONTH((Tahmin!$C$4+62)),MIN(DAY(Kalemler!$D89),DAY(EOMONTH((Tahmin!$C$4+62),0))))&lt;&gt;DATE(YEAR((Tahmin!$C$4+56)),MONTH((Tahmin!$C$4+56)),MIN(DAY(Kalemler!$D89),DAY(EOMONTH((Tahmin!$C$4+56),0)))),DATE(YEAR((Tahmin!$C$4+62)),MONTH((Tahmin!$C$4+62)),MIN(DAY(Kalemler!$D89),DAY(EOMONTH((Tahmin!$C$4+62),0))))&gt;=Kalemler!$D89)),1,0),IF(AND(Kalemler!$D89&gt;=(Tahmin!$C$4+56),Kalemler!$D89&lt;=(Tahmin!$C$4+62)),1,0))))</f>
        <v>0</v>
      </c>
      <c r="K89" s="0" t="n">
        <f aca="false">IF(OR(Kalemler!$A89="",Kalemler!$C89="",Kalemler!$D89=""),0,Kalemler!$C89*IF(Kalemler!$E89="Haftalık",IF(Kalemler!$D89&lt;=(Tahmin!$C$4+69),1,0),IF(Kalemler!$E89="Aylık",IF(OR(AND(DATE(YEAR((Tahmin!$C$4+63)),MONTH((Tahmin!$C$4+63)),MIN(DAY(Kalemler!$D89),DAY(EOMONTH((Tahmin!$C$4+63),0))))&gt;=(Tahmin!$C$4+63),DATE(YEAR((Tahmin!$C$4+63)),MONTH((Tahmin!$C$4+63)),MIN(DAY(Kalemler!$D89),DAY(EOMONTH((Tahmin!$C$4+63),0))))&lt;=(Tahmin!$C$4+69),DATE(YEAR((Tahmin!$C$4+63)),MONTH((Tahmin!$C$4+63)),MIN(DAY(Kalemler!$D89),DAY(EOMONTH((Tahmin!$C$4+63),0))))&gt;=Kalemler!$D89),AND(DATE(YEAR((Tahmin!$C$4+69)),MONTH((Tahmin!$C$4+69)),MIN(DAY(Kalemler!$D89),DAY(EOMONTH((Tahmin!$C$4+69),0))))&gt;=(Tahmin!$C$4+63),DATE(YEAR((Tahmin!$C$4+69)),MONTH((Tahmin!$C$4+69)),MIN(DAY(Kalemler!$D89),DAY(EOMONTH((Tahmin!$C$4+69),0))))&lt;=(Tahmin!$C$4+69),DATE(YEAR((Tahmin!$C$4+69)),MONTH((Tahmin!$C$4+69)),MIN(DAY(Kalemler!$D89),DAY(EOMONTH((Tahmin!$C$4+69),0))))&lt;&gt;DATE(YEAR((Tahmin!$C$4+63)),MONTH((Tahmin!$C$4+63)),MIN(DAY(Kalemler!$D89),DAY(EOMONTH((Tahmin!$C$4+63),0)))),DATE(YEAR((Tahmin!$C$4+69)),MONTH((Tahmin!$C$4+69)),MIN(DAY(Kalemler!$D89),DAY(EOMONTH((Tahmin!$C$4+69),0))))&gt;=Kalemler!$D89)),1,0),IF(AND(Kalemler!$D89&gt;=(Tahmin!$C$4+63),Kalemler!$D89&lt;=(Tahmin!$C$4+69)),1,0))))</f>
        <v>0</v>
      </c>
      <c r="L89" s="0" t="n">
        <f aca="false">IF(OR(Kalemler!$A89="",Kalemler!$C89="",Kalemler!$D89=""),0,Kalemler!$C89*IF(Kalemler!$E89="Haftalık",IF(Kalemler!$D89&lt;=(Tahmin!$C$4+76),1,0),IF(Kalemler!$E89="Aylık",IF(OR(AND(DATE(YEAR((Tahmin!$C$4+70)),MONTH((Tahmin!$C$4+70)),MIN(DAY(Kalemler!$D89),DAY(EOMONTH((Tahmin!$C$4+70),0))))&gt;=(Tahmin!$C$4+70),DATE(YEAR((Tahmin!$C$4+70)),MONTH((Tahmin!$C$4+70)),MIN(DAY(Kalemler!$D89),DAY(EOMONTH((Tahmin!$C$4+70),0))))&lt;=(Tahmin!$C$4+76),DATE(YEAR((Tahmin!$C$4+70)),MONTH((Tahmin!$C$4+70)),MIN(DAY(Kalemler!$D89),DAY(EOMONTH((Tahmin!$C$4+70),0))))&gt;=Kalemler!$D89),AND(DATE(YEAR((Tahmin!$C$4+76)),MONTH((Tahmin!$C$4+76)),MIN(DAY(Kalemler!$D89),DAY(EOMONTH((Tahmin!$C$4+76),0))))&gt;=(Tahmin!$C$4+70),DATE(YEAR((Tahmin!$C$4+76)),MONTH((Tahmin!$C$4+76)),MIN(DAY(Kalemler!$D89),DAY(EOMONTH((Tahmin!$C$4+76),0))))&lt;=(Tahmin!$C$4+76),DATE(YEAR((Tahmin!$C$4+76)),MONTH((Tahmin!$C$4+76)),MIN(DAY(Kalemler!$D89),DAY(EOMONTH((Tahmin!$C$4+76),0))))&lt;&gt;DATE(YEAR((Tahmin!$C$4+70)),MONTH((Tahmin!$C$4+70)),MIN(DAY(Kalemler!$D89),DAY(EOMONTH((Tahmin!$C$4+70),0)))),DATE(YEAR((Tahmin!$C$4+76)),MONTH((Tahmin!$C$4+76)),MIN(DAY(Kalemler!$D89),DAY(EOMONTH((Tahmin!$C$4+76),0))))&gt;=Kalemler!$D89)),1,0),IF(AND(Kalemler!$D89&gt;=(Tahmin!$C$4+70),Kalemler!$D89&lt;=(Tahmin!$C$4+76)),1,0))))</f>
        <v>0</v>
      </c>
      <c r="M89" s="0" t="n">
        <f aca="false">IF(OR(Kalemler!$A89="",Kalemler!$C89="",Kalemler!$D89=""),0,Kalemler!$C89*IF(Kalemler!$E89="Haftalık",IF(Kalemler!$D89&lt;=(Tahmin!$C$4+83),1,0),IF(Kalemler!$E89="Aylık",IF(OR(AND(DATE(YEAR((Tahmin!$C$4+77)),MONTH((Tahmin!$C$4+77)),MIN(DAY(Kalemler!$D89),DAY(EOMONTH((Tahmin!$C$4+77),0))))&gt;=(Tahmin!$C$4+77),DATE(YEAR((Tahmin!$C$4+77)),MONTH((Tahmin!$C$4+77)),MIN(DAY(Kalemler!$D89),DAY(EOMONTH((Tahmin!$C$4+77),0))))&lt;=(Tahmin!$C$4+83),DATE(YEAR((Tahmin!$C$4+77)),MONTH((Tahmin!$C$4+77)),MIN(DAY(Kalemler!$D89),DAY(EOMONTH((Tahmin!$C$4+77),0))))&gt;=Kalemler!$D89),AND(DATE(YEAR((Tahmin!$C$4+83)),MONTH((Tahmin!$C$4+83)),MIN(DAY(Kalemler!$D89),DAY(EOMONTH((Tahmin!$C$4+83),0))))&gt;=(Tahmin!$C$4+77),DATE(YEAR((Tahmin!$C$4+83)),MONTH((Tahmin!$C$4+83)),MIN(DAY(Kalemler!$D89),DAY(EOMONTH((Tahmin!$C$4+83),0))))&lt;=(Tahmin!$C$4+83),DATE(YEAR((Tahmin!$C$4+83)),MONTH((Tahmin!$C$4+83)),MIN(DAY(Kalemler!$D89),DAY(EOMONTH((Tahmin!$C$4+83),0))))&lt;&gt;DATE(YEAR((Tahmin!$C$4+77)),MONTH((Tahmin!$C$4+77)),MIN(DAY(Kalemler!$D89),DAY(EOMONTH((Tahmin!$C$4+77),0)))),DATE(YEAR((Tahmin!$C$4+83)),MONTH((Tahmin!$C$4+83)),MIN(DAY(Kalemler!$D89),DAY(EOMONTH((Tahmin!$C$4+83),0))))&gt;=Kalemler!$D89)),1,0),IF(AND(Kalemler!$D89&gt;=(Tahmin!$C$4+77),Kalemler!$D89&lt;=(Tahmin!$C$4+83)),1,0))))</f>
        <v>0</v>
      </c>
      <c r="N89" s="0" t="n">
        <f aca="false">IF(OR(Kalemler!$A89="",Kalemler!$C89="",Kalemler!$D89=""),0,Kalemler!$C89*IF(Kalemler!$E89="Haftalık",IF(Kalemler!$D89&lt;=(Tahmin!$C$4+90),1,0),IF(Kalemler!$E89="Aylık",IF(OR(AND(DATE(YEAR((Tahmin!$C$4+84)),MONTH((Tahmin!$C$4+84)),MIN(DAY(Kalemler!$D89),DAY(EOMONTH((Tahmin!$C$4+84),0))))&gt;=(Tahmin!$C$4+84),DATE(YEAR((Tahmin!$C$4+84)),MONTH((Tahmin!$C$4+84)),MIN(DAY(Kalemler!$D89),DAY(EOMONTH((Tahmin!$C$4+84),0))))&lt;=(Tahmin!$C$4+90),DATE(YEAR((Tahmin!$C$4+84)),MONTH((Tahmin!$C$4+84)),MIN(DAY(Kalemler!$D89),DAY(EOMONTH((Tahmin!$C$4+84),0))))&gt;=Kalemler!$D89),AND(DATE(YEAR((Tahmin!$C$4+90)),MONTH((Tahmin!$C$4+90)),MIN(DAY(Kalemler!$D89),DAY(EOMONTH((Tahmin!$C$4+90),0))))&gt;=(Tahmin!$C$4+84),DATE(YEAR((Tahmin!$C$4+90)),MONTH((Tahmin!$C$4+90)),MIN(DAY(Kalemler!$D89),DAY(EOMONTH((Tahmin!$C$4+90),0))))&lt;=(Tahmin!$C$4+90),DATE(YEAR((Tahmin!$C$4+90)),MONTH((Tahmin!$C$4+90)),MIN(DAY(Kalemler!$D89),DAY(EOMONTH((Tahmin!$C$4+90),0))))&lt;&gt;DATE(YEAR((Tahmin!$C$4+84)),MONTH((Tahmin!$C$4+84)),MIN(DAY(Kalemler!$D89),DAY(EOMONTH((Tahmin!$C$4+84),0)))),DATE(YEAR((Tahmin!$C$4+90)),MONTH((Tahmin!$C$4+90)),MIN(DAY(Kalemler!$D89),DAY(EOMONTH((Tahmin!$C$4+90),0))))&gt;=Kalemler!$D89)),1,0),IF(AND(Kalemler!$D89&gt;=(Tahmin!$C$4+84),Kalemler!$D89&lt;=(Tahmin!$C$4+90)),1,0))))</f>
        <v>0</v>
      </c>
    </row>
    <row r="90" customFormat="false" ht="15" hidden="false" customHeight="false" outlineLevel="0" collapsed="false">
      <c r="A90" s="0" t="str">
        <f aca="false">IF(Kalemler!A90="","",Kalemler!A90)</f>
        <v/>
      </c>
      <c r="B90" s="0" t="n">
        <f aca="false">IF(OR(Kalemler!$A90="",Kalemler!$C90="",Kalemler!$D90=""),0,Kalemler!$C90*IF(Kalemler!$E90="Haftalık",IF(Kalemler!$D90&lt;=(Tahmin!$C$4+6),1,0),IF(Kalemler!$E90="Aylık",IF(OR(AND(DATE(YEAR((Tahmin!$C$4+0)),MONTH((Tahmin!$C$4+0)),MIN(DAY(Kalemler!$D90),DAY(EOMONTH((Tahmin!$C$4+0),0))))&gt;=(Tahmin!$C$4+0),DATE(YEAR((Tahmin!$C$4+0)),MONTH((Tahmin!$C$4+0)),MIN(DAY(Kalemler!$D90),DAY(EOMONTH((Tahmin!$C$4+0),0))))&lt;=(Tahmin!$C$4+6),DATE(YEAR((Tahmin!$C$4+0)),MONTH((Tahmin!$C$4+0)),MIN(DAY(Kalemler!$D90),DAY(EOMONTH((Tahmin!$C$4+0),0))))&gt;=Kalemler!$D90),AND(DATE(YEAR((Tahmin!$C$4+6)),MONTH((Tahmin!$C$4+6)),MIN(DAY(Kalemler!$D90),DAY(EOMONTH((Tahmin!$C$4+6),0))))&gt;=(Tahmin!$C$4+0),DATE(YEAR((Tahmin!$C$4+6)),MONTH((Tahmin!$C$4+6)),MIN(DAY(Kalemler!$D90),DAY(EOMONTH((Tahmin!$C$4+6),0))))&lt;=(Tahmin!$C$4+6),DATE(YEAR((Tahmin!$C$4+6)),MONTH((Tahmin!$C$4+6)),MIN(DAY(Kalemler!$D90),DAY(EOMONTH((Tahmin!$C$4+6),0))))&lt;&gt;DATE(YEAR((Tahmin!$C$4+0)),MONTH((Tahmin!$C$4+0)),MIN(DAY(Kalemler!$D90),DAY(EOMONTH((Tahmin!$C$4+0),0)))),DATE(YEAR((Tahmin!$C$4+6)),MONTH((Tahmin!$C$4+6)),MIN(DAY(Kalemler!$D90),DAY(EOMONTH((Tahmin!$C$4+6),0))))&gt;=Kalemler!$D90)),1,0),IF(AND(Kalemler!$D90&gt;=(Tahmin!$C$4+0),Kalemler!$D90&lt;=(Tahmin!$C$4+6)),1,0))))</f>
        <v>0</v>
      </c>
      <c r="C90" s="0" t="n">
        <f aca="false">IF(OR(Kalemler!$A90="",Kalemler!$C90="",Kalemler!$D90=""),0,Kalemler!$C90*IF(Kalemler!$E90="Haftalık",IF(Kalemler!$D90&lt;=(Tahmin!$C$4+13),1,0),IF(Kalemler!$E90="Aylık",IF(OR(AND(DATE(YEAR((Tahmin!$C$4+7)),MONTH((Tahmin!$C$4+7)),MIN(DAY(Kalemler!$D90),DAY(EOMONTH((Tahmin!$C$4+7),0))))&gt;=(Tahmin!$C$4+7),DATE(YEAR((Tahmin!$C$4+7)),MONTH((Tahmin!$C$4+7)),MIN(DAY(Kalemler!$D90),DAY(EOMONTH((Tahmin!$C$4+7),0))))&lt;=(Tahmin!$C$4+13),DATE(YEAR((Tahmin!$C$4+7)),MONTH((Tahmin!$C$4+7)),MIN(DAY(Kalemler!$D90),DAY(EOMONTH((Tahmin!$C$4+7),0))))&gt;=Kalemler!$D90),AND(DATE(YEAR((Tahmin!$C$4+13)),MONTH((Tahmin!$C$4+13)),MIN(DAY(Kalemler!$D90),DAY(EOMONTH((Tahmin!$C$4+13),0))))&gt;=(Tahmin!$C$4+7),DATE(YEAR((Tahmin!$C$4+13)),MONTH((Tahmin!$C$4+13)),MIN(DAY(Kalemler!$D90),DAY(EOMONTH((Tahmin!$C$4+13),0))))&lt;=(Tahmin!$C$4+13),DATE(YEAR((Tahmin!$C$4+13)),MONTH((Tahmin!$C$4+13)),MIN(DAY(Kalemler!$D90),DAY(EOMONTH((Tahmin!$C$4+13),0))))&lt;&gt;DATE(YEAR((Tahmin!$C$4+7)),MONTH((Tahmin!$C$4+7)),MIN(DAY(Kalemler!$D90),DAY(EOMONTH((Tahmin!$C$4+7),0)))),DATE(YEAR((Tahmin!$C$4+13)),MONTH((Tahmin!$C$4+13)),MIN(DAY(Kalemler!$D90),DAY(EOMONTH((Tahmin!$C$4+13),0))))&gt;=Kalemler!$D90)),1,0),IF(AND(Kalemler!$D90&gt;=(Tahmin!$C$4+7),Kalemler!$D90&lt;=(Tahmin!$C$4+13)),1,0))))</f>
        <v>0</v>
      </c>
      <c r="D90" s="0" t="n">
        <f aca="false">IF(OR(Kalemler!$A90="",Kalemler!$C90="",Kalemler!$D90=""),0,Kalemler!$C90*IF(Kalemler!$E90="Haftalık",IF(Kalemler!$D90&lt;=(Tahmin!$C$4+20),1,0),IF(Kalemler!$E90="Aylık",IF(OR(AND(DATE(YEAR((Tahmin!$C$4+14)),MONTH((Tahmin!$C$4+14)),MIN(DAY(Kalemler!$D90),DAY(EOMONTH((Tahmin!$C$4+14),0))))&gt;=(Tahmin!$C$4+14),DATE(YEAR((Tahmin!$C$4+14)),MONTH((Tahmin!$C$4+14)),MIN(DAY(Kalemler!$D90),DAY(EOMONTH((Tahmin!$C$4+14),0))))&lt;=(Tahmin!$C$4+20),DATE(YEAR((Tahmin!$C$4+14)),MONTH((Tahmin!$C$4+14)),MIN(DAY(Kalemler!$D90),DAY(EOMONTH((Tahmin!$C$4+14),0))))&gt;=Kalemler!$D90),AND(DATE(YEAR((Tahmin!$C$4+20)),MONTH((Tahmin!$C$4+20)),MIN(DAY(Kalemler!$D90),DAY(EOMONTH((Tahmin!$C$4+20),0))))&gt;=(Tahmin!$C$4+14),DATE(YEAR((Tahmin!$C$4+20)),MONTH((Tahmin!$C$4+20)),MIN(DAY(Kalemler!$D90),DAY(EOMONTH((Tahmin!$C$4+20),0))))&lt;=(Tahmin!$C$4+20),DATE(YEAR((Tahmin!$C$4+20)),MONTH((Tahmin!$C$4+20)),MIN(DAY(Kalemler!$D90),DAY(EOMONTH((Tahmin!$C$4+20),0))))&lt;&gt;DATE(YEAR((Tahmin!$C$4+14)),MONTH((Tahmin!$C$4+14)),MIN(DAY(Kalemler!$D90),DAY(EOMONTH((Tahmin!$C$4+14),0)))),DATE(YEAR((Tahmin!$C$4+20)),MONTH((Tahmin!$C$4+20)),MIN(DAY(Kalemler!$D90),DAY(EOMONTH((Tahmin!$C$4+20),0))))&gt;=Kalemler!$D90)),1,0),IF(AND(Kalemler!$D90&gt;=(Tahmin!$C$4+14),Kalemler!$D90&lt;=(Tahmin!$C$4+20)),1,0))))</f>
        <v>0</v>
      </c>
      <c r="E90" s="0" t="n">
        <f aca="false">IF(OR(Kalemler!$A90="",Kalemler!$C90="",Kalemler!$D90=""),0,Kalemler!$C90*IF(Kalemler!$E90="Haftalık",IF(Kalemler!$D90&lt;=(Tahmin!$C$4+27),1,0),IF(Kalemler!$E90="Aylık",IF(OR(AND(DATE(YEAR((Tahmin!$C$4+21)),MONTH((Tahmin!$C$4+21)),MIN(DAY(Kalemler!$D90),DAY(EOMONTH((Tahmin!$C$4+21),0))))&gt;=(Tahmin!$C$4+21),DATE(YEAR((Tahmin!$C$4+21)),MONTH((Tahmin!$C$4+21)),MIN(DAY(Kalemler!$D90),DAY(EOMONTH((Tahmin!$C$4+21),0))))&lt;=(Tahmin!$C$4+27),DATE(YEAR((Tahmin!$C$4+21)),MONTH((Tahmin!$C$4+21)),MIN(DAY(Kalemler!$D90),DAY(EOMONTH((Tahmin!$C$4+21),0))))&gt;=Kalemler!$D90),AND(DATE(YEAR((Tahmin!$C$4+27)),MONTH((Tahmin!$C$4+27)),MIN(DAY(Kalemler!$D90),DAY(EOMONTH((Tahmin!$C$4+27),0))))&gt;=(Tahmin!$C$4+21),DATE(YEAR((Tahmin!$C$4+27)),MONTH((Tahmin!$C$4+27)),MIN(DAY(Kalemler!$D90),DAY(EOMONTH((Tahmin!$C$4+27),0))))&lt;=(Tahmin!$C$4+27),DATE(YEAR((Tahmin!$C$4+27)),MONTH((Tahmin!$C$4+27)),MIN(DAY(Kalemler!$D90),DAY(EOMONTH((Tahmin!$C$4+27),0))))&lt;&gt;DATE(YEAR((Tahmin!$C$4+21)),MONTH((Tahmin!$C$4+21)),MIN(DAY(Kalemler!$D90),DAY(EOMONTH((Tahmin!$C$4+21),0)))),DATE(YEAR((Tahmin!$C$4+27)),MONTH((Tahmin!$C$4+27)),MIN(DAY(Kalemler!$D90),DAY(EOMONTH((Tahmin!$C$4+27),0))))&gt;=Kalemler!$D90)),1,0),IF(AND(Kalemler!$D90&gt;=(Tahmin!$C$4+21),Kalemler!$D90&lt;=(Tahmin!$C$4+27)),1,0))))</f>
        <v>0</v>
      </c>
      <c r="F90" s="0" t="n">
        <f aca="false">IF(OR(Kalemler!$A90="",Kalemler!$C90="",Kalemler!$D90=""),0,Kalemler!$C90*IF(Kalemler!$E90="Haftalık",IF(Kalemler!$D90&lt;=(Tahmin!$C$4+34),1,0),IF(Kalemler!$E90="Aylık",IF(OR(AND(DATE(YEAR((Tahmin!$C$4+28)),MONTH((Tahmin!$C$4+28)),MIN(DAY(Kalemler!$D90),DAY(EOMONTH((Tahmin!$C$4+28),0))))&gt;=(Tahmin!$C$4+28),DATE(YEAR((Tahmin!$C$4+28)),MONTH((Tahmin!$C$4+28)),MIN(DAY(Kalemler!$D90),DAY(EOMONTH((Tahmin!$C$4+28),0))))&lt;=(Tahmin!$C$4+34),DATE(YEAR((Tahmin!$C$4+28)),MONTH((Tahmin!$C$4+28)),MIN(DAY(Kalemler!$D90),DAY(EOMONTH((Tahmin!$C$4+28),0))))&gt;=Kalemler!$D90),AND(DATE(YEAR((Tahmin!$C$4+34)),MONTH((Tahmin!$C$4+34)),MIN(DAY(Kalemler!$D90),DAY(EOMONTH((Tahmin!$C$4+34),0))))&gt;=(Tahmin!$C$4+28),DATE(YEAR((Tahmin!$C$4+34)),MONTH((Tahmin!$C$4+34)),MIN(DAY(Kalemler!$D90),DAY(EOMONTH((Tahmin!$C$4+34),0))))&lt;=(Tahmin!$C$4+34),DATE(YEAR((Tahmin!$C$4+34)),MONTH((Tahmin!$C$4+34)),MIN(DAY(Kalemler!$D90),DAY(EOMONTH((Tahmin!$C$4+34),0))))&lt;&gt;DATE(YEAR((Tahmin!$C$4+28)),MONTH((Tahmin!$C$4+28)),MIN(DAY(Kalemler!$D90),DAY(EOMONTH((Tahmin!$C$4+28),0)))),DATE(YEAR((Tahmin!$C$4+34)),MONTH((Tahmin!$C$4+34)),MIN(DAY(Kalemler!$D90),DAY(EOMONTH((Tahmin!$C$4+34),0))))&gt;=Kalemler!$D90)),1,0),IF(AND(Kalemler!$D90&gt;=(Tahmin!$C$4+28),Kalemler!$D90&lt;=(Tahmin!$C$4+34)),1,0))))</f>
        <v>0</v>
      </c>
      <c r="G90" s="0" t="n">
        <f aca="false">IF(OR(Kalemler!$A90="",Kalemler!$C90="",Kalemler!$D90=""),0,Kalemler!$C90*IF(Kalemler!$E90="Haftalık",IF(Kalemler!$D90&lt;=(Tahmin!$C$4+41),1,0),IF(Kalemler!$E90="Aylık",IF(OR(AND(DATE(YEAR((Tahmin!$C$4+35)),MONTH((Tahmin!$C$4+35)),MIN(DAY(Kalemler!$D90),DAY(EOMONTH((Tahmin!$C$4+35),0))))&gt;=(Tahmin!$C$4+35),DATE(YEAR((Tahmin!$C$4+35)),MONTH((Tahmin!$C$4+35)),MIN(DAY(Kalemler!$D90),DAY(EOMONTH((Tahmin!$C$4+35),0))))&lt;=(Tahmin!$C$4+41),DATE(YEAR((Tahmin!$C$4+35)),MONTH((Tahmin!$C$4+35)),MIN(DAY(Kalemler!$D90),DAY(EOMONTH((Tahmin!$C$4+35),0))))&gt;=Kalemler!$D90),AND(DATE(YEAR((Tahmin!$C$4+41)),MONTH((Tahmin!$C$4+41)),MIN(DAY(Kalemler!$D90),DAY(EOMONTH((Tahmin!$C$4+41),0))))&gt;=(Tahmin!$C$4+35),DATE(YEAR((Tahmin!$C$4+41)),MONTH((Tahmin!$C$4+41)),MIN(DAY(Kalemler!$D90),DAY(EOMONTH((Tahmin!$C$4+41),0))))&lt;=(Tahmin!$C$4+41),DATE(YEAR((Tahmin!$C$4+41)),MONTH((Tahmin!$C$4+41)),MIN(DAY(Kalemler!$D90),DAY(EOMONTH((Tahmin!$C$4+41),0))))&lt;&gt;DATE(YEAR((Tahmin!$C$4+35)),MONTH((Tahmin!$C$4+35)),MIN(DAY(Kalemler!$D90),DAY(EOMONTH((Tahmin!$C$4+35),0)))),DATE(YEAR((Tahmin!$C$4+41)),MONTH((Tahmin!$C$4+41)),MIN(DAY(Kalemler!$D90),DAY(EOMONTH((Tahmin!$C$4+41),0))))&gt;=Kalemler!$D90)),1,0),IF(AND(Kalemler!$D90&gt;=(Tahmin!$C$4+35),Kalemler!$D90&lt;=(Tahmin!$C$4+41)),1,0))))</f>
        <v>0</v>
      </c>
      <c r="H90" s="0" t="n">
        <f aca="false">IF(OR(Kalemler!$A90="",Kalemler!$C90="",Kalemler!$D90=""),0,Kalemler!$C90*IF(Kalemler!$E90="Haftalık",IF(Kalemler!$D90&lt;=(Tahmin!$C$4+48),1,0),IF(Kalemler!$E90="Aylık",IF(OR(AND(DATE(YEAR((Tahmin!$C$4+42)),MONTH((Tahmin!$C$4+42)),MIN(DAY(Kalemler!$D90),DAY(EOMONTH((Tahmin!$C$4+42),0))))&gt;=(Tahmin!$C$4+42),DATE(YEAR((Tahmin!$C$4+42)),MONTH((Tahmin!$C$4+42)),MIN(DAY(Kalemler!$D90),DAY(EOMONTH((Tahmin!$C$4+42),0))))&lt;=(Tahmin!$C$4+48),DATE(YEAR((Tahmin!$C$4+42)),MONTH((Tahmin!$C$4+42)),MIN(DAY(Kalemler!$D90),DAY(EOMONTH((Tahmin!$C$4+42),0))))&gt;=Kalemler!$D90),AND(DATE(YEAR((Tahmin!$C$4+48)),MONTH((Tahmin!$C$4+48)),MIN(DAY(Kalemler!$D90),DAY(EOMONTH((Tahmin!$C$4+48),0))))&gt;=(Tahmin!$C$4+42),DATE(YEAR((Tahmin!$C$4+48)),MONTH((Tahmin!$C$4+48)),MIN(DAY(Kalemler!$D90),DAY(EOMONTH((Tahmin!$C$4+48),0))))&lt;=(Tahmin!$C$4+48),DATE(YEAR((Tahmin!$C$4+48)),MONTH((Tahmin!$C$4+48)),MIN(DAY(Kalemler!$D90),DAY(EOMONTH((Tahmin!$C$4+48),0))))&lt;&gt;DATE(YEAR((Tahmin!$C$4+42)),MONTH((Tahmin!$C$4+42)),MIN(DAY(Kalemler!$D90),DAY(EOMONTH((Tahmin!$C$4+42),0)))),DATE(YEAR((Tahmin!$C$4+48)),MONTH((Tahmin!$C$4+48)),MIN(DAY(Kalemler!$D90),DAY(EOMONTH((Tahmin!$C$4+48),0))))&gt;=Kalemler!$D90)),1,0),IF(AND(Kalemler!$D90&gt;=(Tahmin!$C$4+42),Kalemler!$D90&lt;=(Tahmin!$C$4+48)),1,0))))</f>
        <v>0</v>
      </c>
      <c r="I90" s="0" t="n">
        <f aca="false">IF(OR(Kalemler!$A90="",Kalemler!$C90="",Kalemler!$D90=""),0,Kalemler!$C90*IF(Kalemler!$E90="Haftalık",IF(Kalemler!$D90&lt;=(Tahmin!$C$4+55),1,0),IF(Kalemler!$E90="Aylık",IF(OR(AND(DATE(YEAR((Tahmin!$C$4+49)),MONTH((Tahmin!$C$4+49)),MIN(DAY(Kalemler!$D90),DAY(EOMONTH((Tahmin!$C$4+49),0))))&gt;=(Tahmin!$C$4+49),DATE(YEAR((Tahmin!$C$4+49)),MONTH((Tahmin!$C$4+49)),MIN(DAY(Kalemler!$D90),DAY(EOMONTH((Tahmin!$C$4+49),0))))&lt;=(Tahmin!$C$4+55),DATE(YEAR((Tahmin!$C$4+49)),MONTH((Tahmin!$C$4+49)),MIN(DAY(Kalemler!$D90),DAY(EOMONTH((Tahmin!$C$4+49),0))))&gt;=Kalemler!$D90),AND(DATE(YEAR((Tahmin!$C$4+55)),MONTH((Tahmin!$C$4+55)),MIN(DAY(Kalemler!$D90),DAY(EOMONTH((Tahmin!$C$4+55),0))))&gt;=(Tahmin!$C$4+49),DATE(YEAR((Tahmin!$C$4+55)),MONTH((Tahmin!$C$4+55)),MIN(DAY(Kalemler!$D90),DAY(EOMONTH((Tahmin!$C$4+55),0))))&lt;=(Tahmin!$C$4+55),DATE(YEAR((Tahmin!$C$4+55)),MONTH((Tahmin!$C$4+55)),MIN(DAY(Kalemler!$D90),DAY(EOMONTH((Tahmin!$C$4+55),0))))&lt;&gt;DATE(YEAR((Tahmin!$C$4+49)),MONTH((Tahmin!$C$4+49)),MIN(DAY(Kalemler!$D90),DAY(EOMONTH((Tahmin!$C$4+49),0)))),DATE(YEAR((Tahmin!$C$4+55)),MONTH((Tahmin!$C$4+55)),MIN(DAY(Kalemler!$D90),DAY(EOMONTH((Tahmin!$C$4+55),0))))&gt;=Kalemler!$D90)),1,0),IF(AND(Kalemler!$D90&gt;=(Tahmin!$C$4+49),Kalemler!$D90&lt;=(Tahmin!$C$4+55)),1,0))))</f>
        <v>0</v>
      </c>
      <c r="J90" s="0" t="n">
        <f aca="false">IF(OR(Kalemler!$A90="",Kalemler!$C90="",Kalemler!$D90=""),0,Kalemler!$C90*IF(Kalemler!$E90="Haftalık",IF(Kalemler!$D90&lt;=(Tahmin!$C$4+62),1,0),IF(Kalemler!$E90="Aylık",IF(OR(AND(DATE(YEAR((Tahmin!$C$4+56)),MONTH((Tahmin!$C$4+56)),MIN(DAY(Kalemler!$D90),DAY(EOMONTH((Tahmin!$C$4+56),0))))&gt;=(Tahmin!$C$4+56),DATE(YEAR((Tahmin!$C$4+56)),MONTH((Tahmin!$C$4+56)),MIN(DAY(Kalemler!$D90),DAY(EOMONTH((Tahmin!$C$4+56),0))))&lt;=(Tahmin!$C$4+62),DATE(YEAR((Tahmin!$C$4+56)),MONTH((Tahmin!$C$4+56)),MIN(DAY(Kalemler!$D90),DAY(EOMONTH((Tahmin!$C$4+56),0))))&gt;=Kalemler!$D90),AND(DATE(YEAR((Tahmin!$C$4+62)),MONTH((Tahmin!$C$4+62)),MIN(DAY(Kalemler!$D90),DAY(EOMONTH((Tahmin!$C$4+62),0))))&gt;=(Tahmin!$C$4+56),DATE(YEAR((Tahmin!$C$4+62)),MONTH((Tahmin!$C$4+62)),MIN(DAY(Kalemler!$D90),DAY(EOMONTH((Tahmin!$C$4+62),0))))&lt;=(Tahmin!$C$4+62),DATE(YEAR((Tahmin!$C$4+62)),MONTH((Tahmin!$C$4+62)),MIN(DAY(Kalemler!$D90),DAY(EOMONTH((Tahmin!$C$4+62),0))))&lt;&gt;DATE(YEAR((Tahmin!$C$4+56)),MONTH((Tahmin!$C$4+56)),MIN(DAY(Kalemler!$D90),DAY(EOMONTH((Tahmin!$C$4+56),0)))),DATE(YEAR((Tahmin!$C$4+62)),MONTH((Tahmin!$C$4+62)),MIN(DAY(Kalemler!$D90),DAY(EOMONTH((Tahmin!$C$4+62),0))))&gt;=Kalemler!$D90)),1,0),IF(AND(Kalemler!$D90&gt;=(Tahmin!$C$4+56),Kalemler!$D90&lt;=(Tahmin!$C$4+62)),1,0))))</f>
        <v>0</v>
      </c>
      <c r="K90" s="0" t="n">
        <f aca="false">IF(OR(Kalemler!$A90="",Kalemler!$C90="",Kalemler!$D90=""),0,Kalemler!$C90*IF(Kalemler!$E90="Haftalık",IF(Kalemler!$D90&lt;=(Tahmin!$C$4+69),1,0),IF(Kalemler!$E90="Aylık",IF(OR(AND(DATE(YEAR((Tahmin!$C$4+63)),MONTH((Tahmin!$C$4+63)),MIN(DAY(Kalemler!$D90),DAY(EOMONTH((Tahmin!$C$4+63),0))))&gt;=(Tahmin!$C$4+63),DATE(YEAR((Tahmin!$C$4+63)),MONTH((Tahmin!$C$4+63)),MIN(DAY(Kalemler!$D90),DAY(EOMONTH((Tahmin!$C$4+63),0))))&lt;=(Tahmin!$C$4+69),DATE(YEAR((Tahmin!$C$4+63)),MONTH((Tahmin!$C$4+63)),MIN(DAY(Kalemler!$D90),DAY(EOMONTH((Tahmin!$C$4+63),0))))&gt;=Kalemler!$D90),AND(DATE(YEAR((Tahmin!$C$4+69)),MONTH((Tahmin!$C$4+69)),MIN(DAY(Kalemler!$D90),DAY(EOMONTH((Tahmin!$C$4+69),0))))&gt;=(Tahmin!$C$4+63),DATE(YEAR((Tahmin!$C$4+69)),MONTH((Tahmin!$C$4+69)),MIN(DAY(Kalemler!$D90),DAY(EOMONTH((Tahmin!$C$4+69),0))))&lt;=(Tahmin!$C$4+69),DATE(YEAR((Tahmin!$C$4+69)),MONTH((Tahmin!$C$4+69)),MIN(DAY(Kalemler!$D90),DAY(EOMONTH((Tahmin!$C$4+69),0))))&lt;&gt;DATE(YEAR((Tahmin!$C$4+63)),MONTH((Tahmin!$C$4+63)),MIN(DAY(Kalemler!$D90),DAY(EOMONTH((Tahmin!$C$4+63),0)))),DATE(YEAR((Tahmin!$C$4+69)),MONTH((Tahmin!$C$4+69)),MIN(DAY(Kalemler!$D90),DAY(EOMONTH((Tahmin!$C$4+69),0))))&gt;=Kalemler!$D90)),1,0),IF(AND(Kalemler!$D90&gt;=(Tahmin!$C$4+63),Kalemler!$D90&lt;=(Tahmin!$C$4+69)),1,0))))</f>
        <v>0</v>
      </c>
      <c r="L90" s="0" t="n">
        <f aca="false">IF(OR(Kalemler!$A90="",Kalemler!$C90="",Kalemler!$D90=""),0,Kalemler!$C90*IF(Kalemler!$E90="Haftalık",IF(Kalemler!$D90&lt;=(Tahmin!$C$4+76),1,0),IF(Kalemler!$E90="Aylık",IF(OR(AND(DATE(YEAR((Tahmin!$C$4+70)),MONTH((Tahmin!$C$4+70)),MIN(DAY(Kalemler!$D90),DAY(EOMONTH((Tahmin!$C$4+70),0))))&gt;=(Tahmin!$C$4+70),DATE(YEAR((Tahmin!$C$4+70)),MONTH((Tahmin!$C$4+70)),MIN(DAY(Kalemler!$D90),DAY(EOMONTH((Tahmin!$C$4+70),0))))&lt;=(Tahmin!$C$4+76),DATE(YEAR((Tahmin!$C$4+70)),MONTH((Tahmin!$C$4+70)),MIN(DAY(Kalemler!$D90),DAY(EOMONTH((Tahmin!$C$4+70),0))))&gt;=Kalemler!$D90),AND(DATE(YEAR((Tahmin!$C$4+76)),MONTH((Tahmin!$C$4+76)),MIN(DAY(Kalemler!$D90),DAY(EOMONTH((Tahmin!$C$4+76),0))))&gt;=(Tahmin!$C$4+70),DATE(YEAR((Tahmin!$C$4+76)),MONTH((Tahmin!$C$4+76)),MIN(DAY(Kalemler!$D90),DAY(EOMONTH((Tahmin!$C$4+76),0))))&lt;=(Tahmin!$C$4+76),DATE(YEAR((Tahmin!$C$4+76)),MONTH((Tahmin!$C$4+76)),MIN(DAY(Kalemler!$D90),DAY(EOMONTH((Tahmin!$C$4+76),0))))&lt;&gt;DATE(YEAR((Tahmin!$C$4+70)),MONTH((Tahmin!$C$4+70)),MIN(DAY(Kalemler!$D90),DAY(EOMONTH((Tahmin!$C$4+70),0)))),DATE(YEAR((Tahmin!$C$4+76)),MONTH((Tahmin!$C$4+76)),MIN(DAY(Kalemler!$D90),DAY(EOMONTH((Tahmin!$C$4+76),0))))&gt;=Kalemler!$D90)),1,0),IF(AND(Kalemler!$D90&gt;=(Tahmin!$C$4+70),Kalemler!$D90&lt;=(Tahmin!$C$4+76)),1,0))))</f>
        <v>0</v>
      </c>
      <c r="M90" s="0" t="n">
        <f aca="false">IF(OR(Kalemler!$A90="",Kalemler!$C90="",Kalemler!$D90=""),0,Kalemler!$C90*IF(Kalemler!$E90="Haftalık",IF(Kalemler!$D90&lt;=(Tahmin!$C$4+83),1,0),IF(Kalemler!$E90="Aylık",IF(OR(AND(DATE(YEAR((Tahmin!$C$4+77)),MONTH((Tahmin!$C$4+77)),MIN(DAY(Kalemler!$D90),DAY(EOMONTH((Tahmin!$C$4+77),0))))&gt;=(Tahmin!$C$4+77),DATE(YEAR((Tahmin!$C$4+77)),MONTH((Tahmin!$C$4+77)),MIN(DAY(Kalemler!$D90),DAY(EOMONTH((Tahmin!$C$4+77),0))))&lt;=(Tahmin!$C$4+83),DATE(YEAR((Tahmin!$C$4+77)),MONTH((Tahmin!$C$4+77)),MIN(DAY(Kalemler!$D90),DAY(EOMONTH((Tahmin!$C$4+77),0))))&gt;=Kalemler!$D90),AND(DATE(YEAR((Tahmin!$C$4+83)),MONTH((Tahmin!$C$4+83)),MIN(DAY(Kalemler!$D90),DAY(EOMONTH((Tahmin!$C$4+83),0))))&gt;=(Tahmin!$C$4+77),DATE(YEAR((Tahmin!$C$4+83)),MONTH((Tahmin!$C$4+83)),MIN(DAY(Kalemler!$D90),DAY(EOMONTH((Tahmin!$C$4+83),0))))&lt;=(Tahmin!$C$4+83),DATE(YEAR((Tahmin!$C$4+83)),MONTH((Tahmin!$C$4+83)),MIN(DAY(Kalemler!$D90),DAY(EOMONTH((Tahmin!$C$4+83),0))))&lt;&gt;DATE(YEAR((Tahmin!$C$4+77)),MONTH((Tahmin!$C$4+77)),MIN(DAY(Kalemler!$D90),DAY(EOMONTH((Tahmin!$C$4+77),0)))),DATE(YEAR((Tahmin!$C$4+83)),MONTH((Tahmin!$C$4+83)),MIN(DAY(Kalemler!$D90),DAY(EOMONTH((Tahmin!$C$4+83),0))))&gt;=Kalemler!$D90)),1,0),IF(AND(Kalemler!$D90&gt;=(Tahmin!$C$4+77),Kalemler!$D90&lt;=(Tahmin!$C$4+83)),1,0))))</f>
        <v>0</v>
      </c>
      <c r="N90" s="0" t="n">
        <f aca="false">IF(OR(Kalemler!$A90="",Kalemler!$C90="",Kalemler!$D90=""),0,Kalemler!$C90*IF(Kalemler!$E90="Haftalık",IF(Kalemler!$D90&lt;=(Tahmin!$C$4+90),1,0),IF(Kalemler!$E90="Aylık",IF(OR(AND(DATE(YEAR((Tahmin!$C$4+84)),MONTH((Tahmin!$C$4+84)),MIN(DAY(Kalemler!$D90),DAY(EOMONTH((Tahmin!$C$4+84),0))))&gt;=(Tahmin!$C$4+84),DATE(YEAR((Tahmin!$C$4+84)),MONTH((Tahmin!$C$4+84)),MIN(DAY(Kalemler!$D90),DAY(EOMONTH((Tahmin!$C$4+84),0))))&lt;=(Tahmin!$C$4+90),DATE(YEAR((Tahmin!$C$4+84)),MONTH((Tahmin!$C$4+84)),MIN(DAY(Kalemler!$D90),DAY(EOMONTH((Tahmin!$C$4+84),0))))&gt;=Kalemler!$D90),AND(DATE(YEAR((Tahmin!$C$4+90)),MONTH((Tahmin!$C$4+90)),MIN(DAY(Kalemler!$D90),DAY(EOMONTH((Tahmin!$C$4+90),0))))&gt;=(Tahmin!$C$4+84),DATE(YEAR((Tahmin!$C$4+90)),MONTH((Tahmin!$C$4+90)),MIN(DAY(Kalemler!$D90),DAY(EOMONTH((Tahmin!$C$4+90),0))))&lt;=(Tahmin!$C$4+90),DATE(YEAR((Tahmin!$C$4+90)),MONTH((Tahmin!$C$4+90)),MIN(DAY(Kalemler!$D90),DAY(EOMONTH((Tahmin!$C$4+90),0))))&lt;&gt;DATE(YEAR((Tahmin!$C$4+84)),MONTH((Tahmin!$C$4+84)),MIN(DAY(Kalemler!$D90),DAY(EOMONTH((Tahmin!$C$4+84),0)))),DATE(YEAR((Tahmin!$C$4+90)),MONTH((Tahmin!$C$4+90)),MIN(DAY(Kalemler!$D90),DAY(EOMONTH((Tahmin!$C$4+90),0))))&gt;=Kalemler!$D90)),1,0),IF(AND(Kalemler!$D90&gt;=(Tahmin!$C$4+84),Kalemler!$D90&lt;=(Tahmin!$C$4+90)),1,0))))</f>
        <v>0</v>
      </c>
    </row>
    <row r="91" customFormat="false" ht="15" hidden="false" customHeight="false" outlineLevel="0" collapsed="false">
      <c r="A91" s="0" t="str">
        <f aca="false">IF(Kalemler!A91="","",Kalemler!A91)</f>
        <v/>
      </c>
      <c r="B91" s="0" t="n">
        <f aca="false">IF(OR(Kalemler!$A91="",Kalemler!$C91="",Kalemler!$D91=""),0,Kalemler!$C91*IF(Kalemler!$E91="Haftalık",IF(Kalemler!$D91&lt;=(Tahmin!$C$4+6),1,0),IF(Kalemler!$E91="Aylık",IF(OR(AND(DATE(YEAR((Tahmin!$C$4+0)),MONTH((Tahmin!$C$4+0)),MIN(DAY(Kalemler!$D91),DAY(EOMONTH((Tahmin!$C$4+0),0))))&gt;=(Tahmin!$C$4+0),DATE(YEAR((Tahmin!$C$4+0)),MONTH((Tahmin!$C$4+0)),MIN(DAY(Kalemler!$D91),DAY(EOMONTH((Tahmin!$C$4+0),0))))&lt;=(Tahmin!$C$4+6),DATE(YEAR((Tahmin!$C$4+0)),MONTH((Tahmin!$C$4+0)),MIN(DAY(Kalemler!$D91),DAY(EOMONTH((Tahmin!$C$4+0),0))))&gt;=Kalemler!$D91),AND(DATE(YEAR((Tahmin!$C$4+6)),MONTH((Tahmin!$C$4+6)),MIN(DAY(Kalemler!$D91),DAY(EOMONTH((Tahmin!$C$4+6),0))))&gt;=(Tahmin!$C$4+0),DATE(YEAR((Tahmin!$C$4+6)),MONTH((Tahmin!$C$4+6)),MIN(DAY(Kalemler!$D91),DAY(EOMONTH((Tahmin!$C$4+6),0))))&lt;=(Tahmin!$C$4+6),DATE(YEAR((Tahmin!$C$4+6)),MONTH((Tahmin!$C$4+6)),MIN(DAY(Kalemler!$D91),DAY(EOMONTH((Tahmin!$C$4+6),0))))&lt;&gt;DATE(YEAR((Tahmin!$C$4+0)),MONTH((Tahmin!$C$4+0)),MIN(DAY(Kalemler!$D91),DAY(EOMONTH((Tahmin!$C$4+0),0)))),DATE(YEAR((Tahmin!$C$4+6)),MONTH((Tahmin!$C$4+6)),MIN(DAY(Kalemler!$D91),DAY(EOMONTH((Tahmin!$C$4+6),0))))&gt;=Kalemler!$D91)),1,0),IF(AND(Kalemler!$D91&gt;=(Tahmin!$C$4+0),Kalemler!$D91&lt;=(Tahmin!$C$4+6)),1,0))))</f>
        <v>0</v>
      </c>
      <c r="C91" s="0" t="n">
        <f aca="false">IF(OR(Kalemler!$A91="",Kalemler!$C91="",Kalemler!$D91=""),0,Kalemler!$C91*IF(Kalemler!$E91="Haftalık",IF(Kalemler!$D91&lt;=(Tahmin!$C$4+13),1,0),IF(Kalemler!$E91="Aylık",IF(OR(AND(DATE(YEAR((Tahmin!$C$4+7)),MONTH((Tahmin!$C$4+7)),MIN(DAY(Kalemler!$D91),DAY(EOMONTH((Tahmin!$C$4+7),0))))&gt;=(Tahmin!$C$4+7),DATE(YEAR((Tahmin!$C$4+7)),MONTH((Tahmin!$C$4+7)),MIN(DAY(Kalemler!$D91),DAY(EOMONTH((Tahmin!$C$4+7),0))))&lt;=(Tahmin!$C$4+13),DATE(YEAR((Tahmin!$C$4+7)),MONTH((Tahmin!$C$4+7)),MIN(DAY(Kalemler!$D91),DAY(EOMONTH((Tahmin!$C$4+7),0))))&gt;=Kalemler!$D91),AND(DATE(YEAR((Tahmin!$C$4+13)),MONTH((Tahmin!$C$4+13)),MIN(DAY(Kalemler!$D91),DAY(EOMONTH((Tahmin!$C$4+13),0))))&gt;=(Tahmin!$C$4+7),DATE(YEAR((Tahmin!$C$4+13)),MONTH((Tahmin!$C$4+13)),MIN(DAY(Kalemler!$D91),DAY(EOMONTH((Tahmin!$C$4+13),0))))&lt;=(Tahmin!$C$4+13),DATE(YEAR((Tahmin!$C$4+13)),MONTH((Tahmin!$C$4+13)),MIN(DAY(Kalemler!$D91),DAY(EOMONTH((Tahmin!$C$4+13),0))))&lt;&gt;DATE(YEAR((Tahmin!$C$4+7)),MONTH((Tahmin!$C$4+7)),MIN(DAY(Kalemler!$D91),DAY(EOMONTH((Tahmin!$C$4+7),0)))),DATE(YEAR((Tahmin!$C$4+13)),MONTH((Tahmin!$C$4+13)),MIN(DAY(Kalemler!$D91),DAY(EOMONTH((Tahmin!$C$4+13),0))))&gt;=Kalemler!$D91)),1,0),IF(AND(Kalemler!$D91&gt;=(Tahmin!$C$4+7),Kalemler!$D91&lt;=(Tahmin!$C$4+13)),1,0))))</f>
        <v>0</v>
      </c>
      <c r="D91" s="0" t="n">
        <f aca="false">IF(OR(Kalemler!$A91="",Kalemler!$C91="",Kalemler!$D91=""),0,Kalemler!$C91*IF(Kalemler!$E91="Haftalık",IF(Kalemler!$D91&lt;=(Tahmin!$C$4+20),1,0),IF(Kalemler!$E91="Aylık",IF(OR(AND(DATE(YEAR((Tahmin!$C$4+14)),MONTH((Tahmin!$C$4+14)),MIN(DAY(Kalemler!$D91),DAY(EOMONTH((Tahmin!$C$4+14),0))))&gt;=(Tahmin!$C$4+14),DATE(YEAR((Tahmin!$C$4+14)),MONTH((Tahmin!$C$4+14)),MIN(DAY(Kalemler!$D91),DAY(EOMONTH((Tahmin!$C$4+14),0))))&lt;=(Tahmin!$C$4+20),DATE(YEAR((Tahmin!$C$4+14)),MONTH((Tahmin!$C$4+14)),MIN(DAY(Kalemler!$D91),DAY(EOMONTH((Tahmin!$C$4+14),0))))&gt;=Kalemler!$D91),AND(DATE(YEAR((Tahmin!$C$4+20)),MONTH((Tahmin!$C$4+20)),MIN(DAY(Kalemler!$D91),DAY(EOMONTH((Tahmin!$C$4+20),0))))&gt;=(Tahmin!$C$4+14),DATE(YEAR((Tahmin!$C$4+20)),MONTH((Tahmin!$C$4+20)),MIN(DAY(Kalemler!$D91),DAY(EOMONTH((Tahmin!$C$4+20),0))))&lt;=(Tahmin!$C$4+20),DATE(YEAR((Tahmin!$C$4+20)),MONTH((Tahmin!$C$4+20)),MIN(DAY(Kalemler!$D91),DAY(EOMONTH((Tahmin!$C$4+20),0))))&lt;&gt;DATE(YEAR((Tahmin!$C$4+14)),MONTH((Tahmin!$C$4+14)),MIN(DAY(Kalemler!$D91),DAY(EOMONTH((Tahmin!$C$4+14),0)))),DATE(YEAR((Tahmin!$C$4+20)),MONTH((Tahmin!$C$4+20)),MIN(DAY(Kalemler!$D91),DAY(EOMONTH((Tahmin!$C$4+20),0))))&gt;=Kalemler!$D91)),1,0),IF(AND(Kalemler!$D91&gt;=(Tahmin!$C$4+14),Kalemler!$D91&lt;=(Tahmin!$C$4+20)),1,0))))</f>
        <v>0</v>
      </c>
      <c r="E91" s="0" t="n">
        <f aca="false">IF(OR(Kalemler!$A91="",Kalemler!$C91="",Kalemler!$D91=""),0,Kalemler!$C91*IF(Kalemler!$E91="Haftalık",IF(Kalemler!$D91&lt;=(Tahmin!$C$4+27),1,0),IF(Kalemler!$E91="Aylık",IF(OR(AND(DATE(YEAR((Tahmin!$C$4+21)),MONTH((Tahmin!$C$4+21)),MIN(DAY(Kalemler!$D91),DAY(EOMONTH((Tahmin!$C$4+21),0))))&gt;=(Tahmin!$C$4+21),DATE(YEAR((Tahmin!$C$4+21)),MONTH((Tahmin!$C$4+21)),MIN(DAY(Kalemler!$D91),DAY(EOMONTH((Tahmin!$C$4+21),0))))&lt;=(Tahmin!$C$4+27),DATE(YEAR((Tahmin!$C$4+21)),MONTH((Tahmin!$C$4+21)),MIN(DAY(Kalemler!$D91),DAY(EOMONTH((Tahmin!$C$4+21),0))))&gt;=Kalemler!$D91),AND(DATE(YEAR((Tahmin!$C$4+27)),MONTH((Tahmin!$C$4+27)),MIN(DAY(Kalemler!$D91),DAY(EOMONTH((Tahmin!$C$4+27),0))))&gt;=(Tahmin!$C$4+21),DATE(YEAR((Tahmin!$C$4+27)),MONTH((Tahmin!$C$4+27)),MIN(DAY(Kalemler!$D91),DAY(EOMONTH((Tahmin!$C$4+27),0))))&lt;=(Tahmin!$C$4+27),DATE(YEAR((Tahmin!$C$4+27)),MONTH((Tahmin!$C$4+27)),MIN(DAY(Kalemler!$D91),DAY(EOMONTH((Tahmin!$C$4+27),0))))&lt;&gt;DATE(YEAR((Tahmin!$C$4+21)),MONTH((Tahmin!$C$4+21)),MIN(DAY(Kalemler!$D91),DAY(EOMONTH((Tahmin!$C$4+21),0)))),DATE(YEAR((Tahmin!$C$4+27)),MONTH((Tahmin!$C$4+27)),MIN(DAY(Kalemler!$D91),DAY(EOMONTH((Tahmin!$C$4+27),0))))&gt;=Kalemler!$D91)),1,0),IF(AND(Kalemler!$D91&gt;=(Tahmin!$C$4+21),Kalemler!$D91&lt;=(Tahmin!$C$4+27)),1,0))))</f>
        <v>0</v>
      </c>
      <c r="F91" s="0" t="n">
        <f aca="false">IF(OR(Kalemler!$A91="",Kalemler!$C91="",Kalemler!$D91=""),0,Kalemler!$C91*IF(Kalemler!$E91="Haftalık",IF(Kalemler!$D91&lt;=(Tahmin!$C$4+34),1,0),IF(Kalemler!$E91="Aylık",IF(OR(AND(DATE(YEAR((Tahmin!$C$4+28)),MONTH((Tahmin!$C$4+28)),MIN(DAY(Kalemler!$D91),DAY(EOMONTH((Tahmin!$C$4+28),0))))&gt;=(Tahmin!$C$4+28),DATE(YEAR((Tahmin!$C$4+28)),MONTH((Tahmin!$C$4+28)),MIN(DAY(Kalemler!$D91),DAY(EOMONTH((Tahmin!$C$4+28),0))))&lt;=(Tahmin!$C$4+34),DATE(YEAR((Tahmin!$C$4+28)),MONTH((Tahmin!$C$4+28)),MIN(DAY(Kalemler!$D91),DAY(EOMONTH((Tahmin!$C$4+28),0))))&gt;=Kalemler!$D91),AND(DATE(YEAR((Tahmin!$C$4+34)),MONTH((Tahmin!$C$4+34)),MIN(DAY(Kalemler!$D91),DAY(EOMONTH((Tahmin!$C$4+34),0))))&gt;=(Tahmin!$C$4+28),DATE(YEAR((Tahmin!$C$4+34)),MONTH((Tahmin!$C$4+34)),MIN(DAY(Kalemler!$D91),DAY(EOMONTH((Tahmin!$C$4+34),0))))&lt;=(Tahmin!$C$4+34),DATE(YEAR((Tahmin!$C$4+34)),MONTH((Tahmin!$C$4+34)),MIN(DAY(Kalemler!$D91),DAY(EOMONTH((Tahmin!$C$4+34),0))))&lt;&gt;DATE(YEAR((Tahmin!$C$4+28)),MONTH((Tahmin!$C$4+28)),MIN(DAY(Kalemler!$D91),DAY(EOMONTH((Tahmin!$C$4+28),0)))),DATE(YEAR((Tahmin!$C$4+34)),MONTH((Tahmin!$C$4+34)),MIN(DAY(Kalemler!$D91),DAY(EOMONTH((Tahmin!$C$4+34),0))))&gt;=Kalemler!$D91)),1,0),IF(AND(Kalemler!$D91&gt;=(Tahmin!$C$4+28),Kalemler!$D91&lt;=(Tahmin!$C$4+34)),1,0))))</f>
        <v>0</v>
      </c>
      <c r="G91" s="0" t="n">
        <f aca="false">IF(OR(Kalemler!$A91="",Kalemler!$C91="",Kalemler!$D91=""),0,Kalemler!$C91*IF(Kalemler!$E91="Haftalık",IF(Kalemler!$D91&lt;=(Tahmin!$C$4+41),1,0),IF(Kalemler!$E91="Aylık",IF(OR(AND(DATE(YEAR((Tahmin!$C$4+35)),MONTH((Tahmin!$C$4+35)),MIN(DAY(Kalemler!$D91),DAY(EOMONTH((Tahmin!$C$4+35),0))))&gt;=(Tahmin!$C$4+35),DATE(YEAR((Tahmin!$C$4+35)),MONTH((Tahmin!$C$4+35)),MIN(DAY(Kalemler!$D91),DAY(EOMONTH((Tahmin!$C$4+35),0))))&lt;=(Tahmin!$C$4+41),DATE(YEAR((Tahmin!$C$4+35)),MONTH((Tahmin!$C$4+35)),MIN(DAY(Kalemler!$D91),DAY(EOMONTH((Tahmin!$C$4+35),0))))&gt;=Kalemler!$D91),AND(DATE(YEAR((Tahmin!$C$4+41)),MONTH((Tahmin!$C$4+41)),MIN(DAY(Kalemler!$D91),DAY(EOMONTH((Tahmin!$C$4+41),0))))&gt;=(Tahmin!$C$4+35),DATE(YEAR((Tahmin!$C$4+41)),MONTH((Tahmin!$C$4+41)),MIN(DAY(Kalemler!$D91),DAY(EOMONTH((Tahmin!$C$4+41),0))))&lt;=(Tahmin!$C$4+41),DATE(YEAR((Tahmin!$C$4+41)),MONTH((Tahmin!$C$4+41)),MIN(DAY(Kalemler!$D91),DAY(EOMONTH((Tahmin!$C$4+41),0))))&lt;&gt;DATE(YEAR((Tahmin!$C$4+35)),MONTH((Tahmin!$C$4+35)),MIN(DAY(Kalemler!$D91),DAY(EOMONTH((Tahmin!$C$4+35),0)))),DATE(YEAR((Tahmin!$C$4+41)),MONTH((Tahmin!$C$4+41)),MIN(DAY(Kalemler!$D91),DAY(EOMONTH((Tahmin!$C$4+41),0))))&gt;=Kalemler!$D91)),1,0),IF(AND(Kalemler!$D91&gt;=(Tahmin!$C$4+35),Kalemler!$D91&lt;=(Tahmin!$C$4+41)),1,0))))</f>
        <v>0</v>
      </c>
      <c r="H91" s="0" t="n">
        <f aca="false">IF(OR(Kalemler!$A91="",Kalemler!$C91="",Kalemler!$D91=""),0,Kalemler!$C91*IF(Kalemler!$E91="Haftalık",IF(Kalemler!$D91&lt;=(Tahmin!$C$4+48),1,0),IF(Kalemler!$E91="Aylık",IF(OR(AND(DATE(YEAR((Tahmin!$C$4+42)),MONTH((Tahmin!$C$4+42)),MIN(DAY(Kalemler!$D91),DAY(EOMONTH((Tahmin!$C$4+42),0))))&gt;=(Tahmin!$C$4+42),DATE(YEAR((Tahmin!$C$4+42)),MONTH((Tahmin!$C$4+42)),MIN(DAY(Kalemler!$D91),DAY(EOMONTH((Tahmin!$C$4+42),0))))&lt;=(Tahmin!$C$4+48),DATE(YEAR((Tahmin!$C$4+42)),MONTH((Tahmin!$C$4+42)),MIN(DAY(Kalemler!$D91),DAY(EOMONTH((Tahmin!$C$4+42),0))))&gt;=Kalemler!$D91),AND(DATE(YEAR((Tahmin!$C$4+48)),MONTH((Tahmin!$C$4+48)),MIN(DAY(Kalemler!$D91),DAY(EOMONTH((Tahmin!$C$4+48),0))))&gt;=(Tahmin!$C$4+42),DATE(YEAR((Tahmin!$C$4+48)),MONTH((Tahmin!$C$4+48)),MIN(DAY(Kalemler!$D91),DAY(EOMONTH((Tahmin!$C$4+48),0))))&lt;=(Tahmin!$C$4+48),DATE(YEAR((Tahmin!$C$4+48)),MONTH((Tahmin!$C$4+48)),MIN(DAY(Kalemler!$D91),DAY(EOMONTH((Tahmin!$C$4+48),0))))&lt;&gt;DATE(YEAR((Tahmin!$C$4+42)),MONTH((Tahmin!$C$4+42)),MIN(DAY(Kalemler!$D91),DAY(EOMONTH((Tahmin!$C$4+42),0)))),DATE(YEAR((Tahmin!$C$4+48)),MONTH((Tahmin!$C$4+48)),MIN(DAY(Kalemler!$D91),DAY(EOMONTH((Tahmin!$C$4+48),0))))&gt;=Kalemler!$D91)),1,0),IF(AND(Kalemler!$D91&gt;=(Tahmin!$C$4+42),Kalemler!$D91&lt;=(Tahmin!$C$4+48)),1,0))))</f>
        <v>0</v>
      </c>
      <c r="I91" s="0" t="n">
        <f aca="false">IF(OR(Kalemler!$A91="",Kalemler!$C91="",Kalemler!$D91=""),0,Kalemler!$C91*IF(Kalemler!$E91="Haftalık",IF(Kalemler!$D91&lt;=(Tahmin!$C$4+55),1,0),IF(Kalemler!$E91="Aylık",IF(OR(AND(DATE(YEAR((Tahmin!$C$4+49)),MONTH((Tahmin!$C$4+49)),MIN(DAY(Kalemler!$D91),DAY(EOMONTH((Tahmin!$C$4+49),0))))&gt;=(Tahmin!$C$4+49),DATE(YEAR((Tahmin!$C$4+49)),MONTH((Tahmin!$C$4+49)),MIN(DAY(Kalemler!$D91),DAY(EOMONTH((Tahmin!$C$4+49),0))))&lt;=(Tahmin!$C$4+55),DATE(YEAR((Tahmin!$C$4+49)),MONTH((Tahmin!$C$4+49)),MIN(DAY(Kalemler!$D91),DAY(EOMONTH((Tahmin!$C$4+49),0))))&gt;=Kalemler!$D91),AND(DATE(YEAR((Tahmin!$C$4+55)),MONTH((Tahmin!$C$4+55)),MIN(DAY(Kalemler!$D91),DAY(EOMONTH((Tahmin!$C$4+55),0))))&gt;=(Tahmin!$C$4+49),DATE(YEAR((Tahmin!$C$4+55)),MONTH((Tahmin!$C$4+55)),MIN(DAY(Kalemler!$D91),DAY(EOMONTH((Tahmin!$C$4+55),0))))&lt;=(Tahmin!$C$4+55),DATE(YEAR((Tahmin!$C$4+55)),MONTH((Tahmin!$C$4+55)),MIN(DAY(Kalemler!$D91),DAY(EOMONTH((Tahmin!$C$4+55),0))))&lt;&gt;DATE(YEAR((Tahmin!$C$4+49)),MONTH((Tahmin!$C$4+49)),MIN(DAY(Kalemler!$D91),DAY(EOMONTH((Tahmin!$C$4+49),0)))),DATE(YEAR((Tahmin!$C$4+55)),MONTH((Tahmin!$C$4+55)),MIN(DAY(Kalemler!$D91),DAY(EOMONTH((Tahmin!$C$4+55),0))))&gt;=Kalemler!$D91)),1,0),IF(AND(Kalemler!$D91&gt;=(Tahmin!$C$4+49),Kalemler!$D91&lt;=(Tahmin!$C$4+55)),1,0))))</f>
        <v>0</v>
      </c>
      <c r="J91" s="0" t="n">
        <f aca="false">IF(OR(Kalemler!$A91="",Kalemler!$C91="",Kalemler!$D91=""),0,Kalemler!$C91*IF(Kalemler!$E91="Haftalık",IF(Kalemler!$D91&lt;=(Tahmin!$C$4+62),1,0),IF(Kalemler!$E91="Aylık",IF(OR(AND(DATE(YEAR((Tahmin!$C$4+56)),MONTH((Tahmin!$C$4+56)),MIN(DAY(Kalemler!$D91),DAY(EOMONTH((Tahmin!$C$4+56),0))))&gt;=(Tahmin!$C$4+56),DATE(YEAR((Tahmin!$C$4+56)),MONTH((Tahmin!$C$4+56)),MIN(DAY(Kalemler!$D91),DAY(EOMONTH((Tahmin!$C$4+56),0))))&lt;=(Tahmin!$C$4+62),DATE(YEAR((Tahmin!$C$4+56)),MONTH((Tahmin!$C$4+56)),MIN(DAY(Kalemler!$D91),DAY(EOMONTH((Tahmin!$C$4+56),0))))&gt;=Kalemler!$D91),AND(DATE(YEAR((Tahmin!$C$4+62)),MONTH((Tahmin!$C$4+62)),MIN(DAY(Kalemler!$D91),DAY(EOMONTH((Tahmin!$C$4+62),0))))&gt;=(Tahmin!$C$4+56),DATE(YEAR((Tahmin!$C$4+62)),MONTH((Tahmin!$C$4+62)),MIN(DAY(Kalemler!$D91),DAY(EOMONTH((Tahmin!$C$4+62),0))))&lt;=(Tahmin!$C$4+62),DATE(YEAR((Tahmin!$C$4+62)),MONTH((Tahmin!$C$4+62)),MIN(DAY(Kalemler!$D91),DAY(EOMONTH((Tahmin!$C$4+62),0))))&lt;&gt;DATE(YEAR((Tahmin!$C$4+56)),MONTH((Tahmin!$C$4+56)),MIN(DAY(Kalemler!$D91),DAY(EOMONTH((Tahmin!$C$4+56),0)))),DATE(YEAR((Tahmin!$C$4+62)),MONTH((Tahmin!$C$4+62)),MIN(DAY(Kalemler!$D91),DAY(EOMONTH((Tahmin!$C$4+62),0))))&gt;=Kalemler!$D91)),1,0),IF(AND(Kalemler!$D91&gt;=(Tahmin!$C$4+56),Kalemler!$D91&lt;=(Tahmin!$C$4+62)),1,0))))</f>
        <v>0</v>
      </c>
      <c r="K91" s="0" t="n">
        <f aca="false">IF(OR(Kalemler!$A91="",Kalemler!$C91="",Kalemler!$D91=""),0,Kalemler!$C91*IF(Kalemler!$E91="Haftalık",IF(Kalemler!$D91&lt;=(Tahmin!$C$4+69),1,0),IF(Kalemler!$E91="Aylık",IF(OR(AND(DATE(YEAR((Tahmin!$C$4+63)),MONTH((Tahmin!$C$4+63)),MIN(DAY(Kalemler!$D91),DAY(EOMONTH((Tahmin!$C$4+63),0))))&gt;=(Tahmin!$C$4+63),DATE(YEAR((Tahmin!$C$4+63)),MONTH((Tahmin!$C$4+63)),MIN(DAY(Kalemler!$D91),DAY(EOMONTH((Tahmin!$C$4+63),0))))&lt;=(Tahmin!$C$4+69),DATE(YEAR((Tahmin!$C$4+63)),MONTH((Tahmin!$C$4+63)),MIN(DAY(Kalemler!$D91),DAY(EOMONTH((Tahmin!$C$4+63),0))))&gt;=Kalemler!$D91),AND(DATE(YEAR((Tahmin!$C$4+69)),MONTH((Tahmin!$C$4+69)),MIN(DAY(Kalemler!$D91),DAY(EOMONTH((Tahmin!$C$4+69),0))))&gt;=(Tahmin!$C$4+63),DATE(YEAR((Tahmin!$C$4+69)),MONTH((Tahmin!$C$4+69)),MIN(DAY(Kalemler!$D91),DAY(EOMONTH((Tahmin!$C$4+69),0))))&lt;=(Tahmin!$C$4+69),DATE(YEAR((Tahmin!$C$4+69)),MONTH((Tahmin!$C$4+69)),MIN(DAY(Kalemler!$D91),DAY(EOMONTH((Tahmin!$C$4+69),0))))&lt;&gt;DATE(YEAR((Tahmin!$C$4+63)),MONTH((Tahmin!$C$4+63)),MIN(DAY(Kalemler!$D91),DAY(EOMONTH((Tahmin!$C$4+63),0)))),DATE(YEAR((Tahmin!$C$4+69)),MONTH((Tahmin!$C$4+69)),MIN(DAY(Kalemler!$D91),DAY(EOMONTH((Tahmin!$C$4+69),0))))&gt;=Kalemler!$D91)),1,0),IF(AND(Kalemler!$D91&gt;=(Tahmin!$C$4+63),Kalemler!$D91&lt;=(Tahmin!$C$4+69)),1,0))))</f>
        <v>0</v>
      </c>
      <c r="L91" s="0" t="n">
        <f aca="false">IF(OR(Kalemler!$A91="",Kalemler!$C91="",Kalemler!$D91=""),0,Kalemler!$C91*IF(Kalemler!$E91="Haftalık",IF(Kalemler!$D91&lt;=(Tahmin!$C$4+76),1,0),IF(Kalemler!$E91="Aylık",IF(OR(AND(DATE(YEAR((Tahmin!$C$4+70)),MONTH((Tahmin!$C$4+70)),MIN(DAY(Kalemler!$D91),DAY(EOMONTH((Tahmin!$C$4+70),0))))&gt;=(Tahmin!$C$4+70),DATE(YEAR((Tahmin!$C$4+70)),MONTH((Tahmin!$C$4+70)),MIN(DAY(Kalemler!$D91),DAY(EOMONTH((Tahmin!$C$4+70),0))))&lt;=(Tahmin!$C$4+76),DATE(YEAR((Tahmin!$C$4+70)),MONTH((Tahmin!$C$4+70)),MIN(DAY(Kalemler!$D91),DAY(EOMONTH((Tahmin!$C$4+70),0))))&gt;=Kalemler!$D91),AND(DATE(YEAR((Tahmin!$C$4+76)),MONTH((Tahmin!$C$4+76)),MIN(DAY(Kalemler!$D91),DAY(EOMONTH((Tahmin!$C$4+76),0))))&gt;=(Tahmin!$C$4+70),DATE(YEAR((Tahmin!$C$4+76)),MONTH((Tahmin!$C$4+76)),MIN(DAY(Kalemler!$D91),DAY(EOMONTH((Tahmin!$C$4+76),0))))&lt;=(Tahmin!$C$4+76),DATE(YEAR((Tahmin!$C$4+76)),MONTH((Tahmin!$C$4+76)),MIN(DAY(Kalemler!$D91),DAY(EOMONTH((Tahmin!$C$4+76),0))))&lt;&gt;DATE(YEAR((Tahmin!$C$4+70)),MONTH((Tahmin!$C$4+70)),MIN(DAY(Kalemler!$D91),DAY(EOMONTH((Tahmin!$C$4+70),0)))),DATE(YEAR((Tahmin!$C$4+76)),MONTH((Tahmin!$C$4+76)),MIN(DAY(Kalemler!$D91),DAY(EOMONTH((Tahmin!$C$4+76),0))))&gt;=Kalemler!$D91)),1,0),IF(AND(Kalemler!$D91&gt;=(Tahmin!$C$4+70),Kalemler!$D91&lt;=(Tahmin!$C$4+76)),1,0))))</f>
        <v>0</v>
      </c>
      <c r="M91" s="0" t="n">
        <f aca="false">IF(OR(Kalemler!$A91="",Kalemler!$C91="",Kalemler!$D91=""),0,Kalemler!$C91*IF(Kalemler!$E91="Haftalık",IF(Kalemler!$D91&lt;=(Tahmin!$C$4+83),1,0),IF(Kalemler!$E91="Aylık",IF(OR(AND(DATE(YEAR((Tahmin!$C$4+77)),MONTH((Tahmin!$C$4+77)),MIN(DAY(Kalemler!$D91),DAY(EOMONTH((Tahmin!$C$4+77),0))))&gt;=(Tahmin!$C$4+77),DATE(YEAR((Tahmin!$C$4+77)),MONTH((Tahmin!$C$4+77)),MIN(DAY(Kalemler!$D91),DAY(EOMONTH((Tahmin!$C$4+77),0))))&lt;=(Tahmin!$C$4+83),DATE(YEAR((Tahmin!$C$4+77)),MONTH((Tahmin!$C$4+77)),MIN(DAY(Kalemler!$D91),DAY(EOMONTH((Tahmin!$C$4+77),0))))&gt;=Kalemler!$D91),AND(DATE(YEAR((Tahmin!$C$4+83)),MONTH((Tahmin!$C$4+83)),MIN(DAY(Kalemler!$D91),DAY(EOMONTH((Tahmin!$C$4+83),0))))&gt;=(Tahmin!$C$4+77),DATE(YEAR((Tahmin!$C$4+83)),MONTH((Tahmin!$C$4+83)),MIN(DAY(Kalemler!$D91),DAY(EOMONTH((Tahmin!$C$4+83),0))))&lt;=(Tahmin!$C$4+83),DATE(YEAR((Tahmin!$C$4+83)),MONTH((Tahmin!$C$4+83)),MIN(DAY(Kalemler!$D91),DAY(EOMONTH((Tahmin!$C$4+83),0))))&lt;&gt;DATE(YEAR((Tahmin!$C$4+77)),MONTH((Tahmin!$C$4+77)),MIN(DAY(Kalemler!$D91),DAY(EOMONTH((Tahmin!$C$4+77),0)))),DATE(YEAR((Tahmin!$C$4+83)),MONTH((Tahmin!$C$4+83)),MIN(DAY(Kalemler!$D91),DAY(EOMONTH((Tahmin!$C$4+83),0))))&gt;=Kalemler!$D91)),1,0),IF(AND(Kalemler!$D91&gt;=(Tahmin!$C$4+77),Kalemler!$D91&lt;=(Tahmin!$C$4+83)),1,0))))</f>
        <v>0</v>
      </c>
      <c r="N91" s="0" t="n">
        <f aca="false">IF(OR(Kalemler!$A91="",Kalemler!$C91="",Kalemler!$D91=""),0,Kalemler!$C91*IF(Kalemler!$E91="Haftalık",IF(Kalemler!$D91&lt;=(Tahmin!$C$4+90),1,0),IF(Kalemler!$E91="Aylık",IF(OR(AND(DATE(YEAR((Tahmin!$C$4+84)),MONTH((Tahmin!$C$4+84)),MIN(DAY(Kalemler!$D91),DAY(EOMONTH((Tahmin!$C$4+84),0))))&gt;=(Tahmin!$C$4+84),DATE(YEAR((Tahmin!$C$4+84)),MONTH((Tahmin!$C$4+84)),MIN(DAY(Kalemler!$D91),DAY(EOMONTH((Tahmin!$C$4+84),0))))&lt;=(Tahmin!$C$4+90),DATE(YEAR((Tahmin!$C$4+84)),MONTH((Tahmin!$C$4+84)),MIN(DAY(Kalemler!$D91),DAY(EOMONTH((Tahmin!$C$4+84),0))))&gt;=Kalemler!$D91),AND(DATE(YEAR((Tahmin!$C$4+90)),MONTH((Tahmin!$C$4+90)),MIN(DAY(Kalemler!$D91),DAY(EOMONTH((Tahmin!$C$4+90),0))))&gt;=(Tahmin!$C$4+84),DATE(YEAR((Tahmin!$C$4+90)),MONTH((Tahmin!$C$4+90)),MIN(DAY(Kalemler!$D91),DAY(EOMONTH((Tahmin!$C$4+90),0))))&lt;=(Tahmin!$C$4+90),DATE(YEAR((Tahmin!$C$4+90)),MONTH((Tahmin!$C$4+90)),MIN(DAY(Kalemler!$D91),DAY(EOMONTH((Tahmin!$C$4+90),0))))&lt;&gt;DATE(YEAR((Tahmin!$C$4+84)),MONTH((Tahmin!$C$4+84)),MIN(DAY(Kalemler!$D91),DAY(EOMONTH((Tahmin!$C$4+84),0)))),DATE(YEAR((Tahmin!$C$4+90)),MONTH((Tahmin!$C$4+90)),MIN(DAY(Kalemler!$D91),DAY(EOMONTH((Tahmin!$C$4+90),0))))&gt;=Kalemler!$D91)),1,0),IF(AND(Kalemler!$D91&gt;=(Tahmin!$C$4+84),Kalemler!$D91&lt;=(Tahmin!$C$4+90)),1,0))))</f>
        <v>0</v>
      </c>
    </row>
    <row r="92" customFormat="false" ht="15" hidden="false" customHeight="false" outlineLevel="0" collapsed="false">
      <c r="A92" s="0" t="str">
        <f aca="false">IF(Kalemler!A92="","",Kalemler!A92)</f>
        <v/>
      </c>
      <c r="B92" s="0" t="n">
        <f aca="false">IF(OR(Kalemler!$A92="",Kalemler!$C92="",Kalemler!$D92=""),0,Kalemler!$C92*IF(Kalemler!$E92="Haftalık",IF(Kalemler!$D92&lt;=(Tahmin!$C$4+6),1,0),IF(Kalemler!$E92="Aylık",IF(OR(AND(DATE(YEAR((Tahmin!$C$4+0)),MONTH((Tahmin!$C$4+0)),MIN(DAY(Kalemler!$D92),DAY(EOMONTH((Tahmin!$C$4+0),0))))&gt;=(Tahmin!$C$4+0),DATE(YEAR((Tahmin!$C$4+0)),MONTH((Tahmin!$C$4+0)),MIN(DAY(Kalemler!$D92),DAY(EOMONTH((Tahmin!$C$4+0),0))))&lt;=(Tahmin!$C$4+6),DATE(YEAR((Tahmin!$C$4+0)),MONTH((Tahmin!$C$4+0)),MIN(DAY(Kalemler!$D92),DAY(EOMONTH((Tahmin!$C$4+0),0))))&gt;=Kalemler!$D92),AND(DATE(YEAR((Tahmin!$C$4+6)),MONTH((Tahmin!$C$4+6)),MIN(DAY(Kalemler!$D92),DAY(EOMONTH((Tahmin!$C$4+6),0))))&gt;=(Tahmin!$C$4+0),DATE(YEAR((Tahmin!$C$4+6)),MONTH((Tahmin!$C$4+6)),MIN(DAY(Kalemler!$D92),DAY(EOMONTH((Tahmin!$C$4+6),0))))&lt;=(Tahmin!$C$4+6),DATE(YEAR((Tahmin!$C$4+6)),MONTH((Tahmin!$C$4+6)),MIN(DAY(Kalemler!$D92),DAY(EOMONTH((Tahmin!$C$4+6),0))))&lt;&gt;DATE(YEAR((Tahmin!$C$4+0)),MONTH((Tahmin!$C$4+0)),MIN(DAY(Kalemler!$D92),DAY(EOMONTH((Tahmin!$C$4+0),0)))),DATE(YEAR((Tahmin!$C$4+6)),MONTH((Tahmin!$C$4+6)),MIN(DAY(Kalemler!$D92),DAY(EOMONTH((Tahmin!$C$4+6),0))))&gt;=Kalemler!$D92)),1,0),IF(AND(Kalemler!$D92&gt;=(Tahmin!$C$4+0),Kalemler!$D92&lt;=(Tahmin!$C$4+6)),1,0))))</f>
        <v>0</v>
      </c>
      <c r="C92" s="0" t="n">
        <f aca="false">IF(OR(Kalemler!$A92="",Kalemler!$C92="",Kalemler!$D92=""),0,Kalemler!$C92*IF(Kalemler!$E92="Haftalık",IF(Kalemler!$D92&lt;=(Tahmin!$C$4+13),1,0),IF(Kalemler!$E92="Aylık",IF(OR(AND(DATE(YEAR((Tahmin!$C$4+7)),MONTH((Tahmin!$C$4+7)),MIN(DAY(Kalemler!$D92),DAY(EOMONTH((Tahmin!$C$4+7),0))))&gt;=(Tahmin!$C$4+7),DATE(YEAR((Tahmin!$C$4+7)),MONTH((Tahmin!$C$4+7)),MIN(DAY(Kalemler!$D92),DAY(EOMONTH((Tahmin!$C$4+7),0))))&lt;=(Tahmin!$C$4+13),DATE(YEAR((Tahmin!$C$4+7)),MONTH((Tahmin!$C$4+7)),MIN(DAY(Kalemler!$D92),DAY(EOMONTH((Tahmin!$C$4+7),0))))&gt;=Kalemler!$D92),AND(DATE(YEAR((Tahmin!$C$4+13)),MONTH((Tahmin!$C$4+13)),MIN(DAY(Kalemler!$D92),DAY(EOMONTH((Tahmin!$C$4+13),0))))&gt;=(Tahmin!$C$4+7),DATE(YEAR((Tahmin!$C$4+13)),MONTH((Tahmin!$C$4+13)),MIN(DAY(Kalemler!$D92),DAY(EOMONTH((Tahmin!$C$4+13),0))))&lt;=(Tahmin!$C$4+13),DATE(YEAR((Tahmin!$C$4+13)),MONTH((Tahmin!$C$4+13)),MIN(DAY(Kalemler!$D92),DAY(EOMONTH((Tahmin!$C$4+13),0))))&lt;&gt;DATE(YEAR((Tahmin!$C$4+7)),MONTH((Tahmin!$C$4+7)),MIN(DAY(Kalemler!$D92),DAY(EOMONTH((Tahmin!$C$4+7),0)))),DATE(YEAR((Tahmin!$C$4+13)),MONTH((Tahmin!$C$4+13)),MIN(DAY(Kalemler!$D92),DAY(EOMONTH((Tahmin!$C$4+13),0))))&gt;=Kalemler!$D92)),1,0),IF(AND(Kalemler!$D92&gt;=(Tahmin!$C$4+7),Kalemler!$D92&lt;=(Tahmin!$C$4+13)),1,0))))</f>
        <v>0</v>
      </c>
      <c r="D92" s="0" t="n">
        <f aca="false">IF(OR(Kalemler!$A92="",Kalemler!$C92="",Kalemler!$D92=""),0,Kalemler!$C92*IF(Kalemler!$E92="Haftalık",IF(Kalemler!$D92&lt;=(Tahmin!$C$4+20),1,0),IF(Kalemler!$E92="Aylık",IF(OR(AND(DATE(YEAR((Tahmin!$C$4+14)),MONTH((Tahmin!$C$4+14)),MIN(DAY(Kalemler!$D92),DAY(EOMONTH((Tahmin!$C$4+14),0))))&gt;=(Tahmin!$C$4+14),DATE(YEAR((Tahmin!$C$4+14)),MONTH((Tahmin!$C$4+14)),MIN(DAY(Kalemler!$D92),DAY(EOMONTH((Tahmin!$C$4+14),0))))&lt;=(Tahmin!$C$4+20),DATE(YEAR((Tahmin!$C$4+14)),MONTH((Tahmin!$C$4+14)),MIN(DAY(Kalemler!$D92),DAY(EOMONTH((Tahmin!$C$4+14),0))))&gt;=Kalemler!$D92),AND(DATE(YEAR((Tahmin!$C$4+20)),MONTH((Tahmin!$C$4+20)),MIN(DAY(Kalemler!$D92),DAY(EOMONTH((Tahmin!$C$4+20),0))))&gt;=(Tahmin!$C$4+14),DATE(YEAR((Tahmin!$C$4+20)),MONTH((Tahmin!$C$4+20)),MIN(DAY(Kalemler!$D92),DAY(EOMONTH((Tahmin!$C$4+20),0))))&lt;=(Tahmin!$C$4+20),DATE(YEAR((Tahmin!$C$4+20)),MONTH((Tahmin!$C$4+20)),MIN(DAY(Kalemler!$D92),DAY(EOMONTH((Tahmin!$C$4+20),0))))&lt;&gt;DATE(YEAR((Tahmin!$C$4+14)),MONTH((Tahmin!$C$4+14)),MIN(DAY(Kalemler!$D92),DAY(EOMONTH((Tahmin!$C$4+14),0)))),DATE(YEAR((Tahmin!$C$4+20)),MONTH((Tahmin!$C$4+20)),MIN(DAY(Kalemler!$D92),DAY(EOMONTH((Tahmin!$C$4+20),0))))&gt;=Kalemler!$D92)),1,0),IF(AND(Kalemler!$D92&gt;=(Tahmin!$C$4+14),Kalemler!$D92&lt;=(Tahmin!$C$4+20)),1,0))))</f>
        <v>0</v>
      </c>
      <c r="E92" s="0" t="n">
        <f aca="false">IF(OR(Kalemler!$A92="",Kalemler!$C92="",Kalemler!$D92=""),0,Kalemler!$C92*IF(Kalemler!$E92="Haftalık",IF(Kalemler!$D92&lt;=(Tahmin!$C$4+27),1,0),IF(Kalemler!$E92="Aylık",IF(OR(AND(DATE(YEAR((Tahmin!$C$4+21)),MONTH((Tahmin!$C$4+21)),MIN(DAY(Kalemler!$D92),DAY(EOMONTH((Tahmin!$C$4+21),0))))&gt;=(Tahmin!$C$4+21),DATE(YEAR((Tahmin!$C$4+21)),MONTH((Tahmin!$C$4+21)),MIN(DAY(Kalemler!$D92),DAY(EOMONTH((Tahmin!$C$4+21),0))))&lt;=(Tahmin!$C$4+27),DATE(YEAR((Tahmin!$C$4+21)),MONTH((Tahmin!$C$4+21)),MIN(DAY(Kalemler!$D92),DAY(EOMONTH((Tahmin!$C$4+21),0))))&gt;=Kalemler!$D92),AND(DATE(YEAR((Tahmin!$C$4+27)),MONTH((Tahmin!$C$4+27)),MIN(DAY(Kalemler!$D92),DAY(EOMONTH((Tahmin!$C$4+27),0))))&gt;=(Tahmin!$C$4+21),DATE(YEAR((Tahmin!$C$4+27)),MONTH((Tahmin!$C$4+27)),MIN(DAY(Kalemler!$D92),DAY(EOMONTH((Tahmin!$C$4+27),0))))&lt;=(Tahmin!$C$4+27),DATE(YEAR((Tahmin!$C$4+27)),MONTH((Tahmin!$C$4+27)),MIN(DAY(Kalemler!$D92),DAY(EOMONTH((Tahmin!$C$4+27),0))))&lt;&gt;DATE(YEAR((Tahmin!$C$4+21)),MONTH((Tahmin!$C$4+21)),MIN(DAY(Kalemler!$D92),DAY(EOMONTH((Tahmin!$C$4+21),0)))),DATE(YEAR((Tahmin!$C$4+27)),MONTH((Tahmin!$C$4+27)),MIN(DAY(Kalemler!$D92),DAY(EOMONTH((Tahmin!$C$4+27),0))))&gt;=Kalemler!$D92)),1,0),IF(AND(Kalemler!$D92&gt;=(Tahmin!$C$4+21),Kalemler!$D92&lt;=(Tahmin!$C$4+27)),1,0))))</f>
        <v>0</v>
      </c>
      <c r="F92" s="0" t="n">
        <f aca="false">IF(OR(Kalemler!$A92="",Kalemler!$C92="",Kalemler!$D92=""),0,Kalemler!$C92*IF(Kalemler!$E92="Haftalık",IF(Kalemler!$D92&lt;=(Tahmin!$C$4+34),1,0),IF(Kalemler!$E92="Aylık",IF(OR(AND(DATE(YEAR((Tahmin!$C$4+28)),MONTH((Tahmin!$C$4+28)),MIN(DAY(Kalemler!$D92),DAY(EOMONTH((Tahmin!$C$4+28),0))))&gt;=(Tahmin!$C$4+28),DATE(YEAR((Tahmin!$C$4+28)),MONTH((Tahmin!$C$4+28)),MIN(DAY(Kalemler!$D92),DAY(EOMONTH((Tahmin!$C$4+28),0))))&lt;=(Tahmin!$C$4+34),DATE(YEAR((Tahmin!$C$4+28)),MONTH((Tahmin!$C$4+28)),MIN(DAY(Kalemler!$D92),DAY(EOMONTH((Tahmin!$C$4+28),0))))&gt;=Kalemler!$D92),AND(DATE(YEAR((Tahmin!$C$4+34)),MONTH((Tahmin!$C$4+34)),MIN(DAY(Kalemler!$D92),DAY(EOMONTH((Tahmin!$C$4+34),0))))&gt;=(Tahmin!$C$4+28),DATE(YEAR((Tahmin!$C$4+34)),MONTH((Tahmin!$C$4+34)),MIN(DAY(Kalemler!$D92),DAY(EOMONTH((Tahmin!$C$4+34),0))))&lt;=(Tahmin!$C$4+34),DATE(YEAR((Tahmin!$C$4+34)),MONTH((Tahmin!$C$4+34)),MIN(DAY(Kalemler!$D92),DAY(EOMONTH((Tahmin!$C$4+34),0))))&lt;&gt;DATE(YEAR((Tahmin!$C$4+28)),MONTH((Tahmin!$C$4+28)),MIN(DAY(Kalemler!$D92),DAY(EOMONTH((Tahmin!$C$4+28),0)))),DATE(YEAR((Tahmin!$C$4+34)),MONTH((Tahmin!$C$4+34)),MIN(DAY(Kalemler!$D92),DAY(EOMONTH((Tahmin!$C$4+34),0))))&gt;=Kalemler!$D92)),1,0),IF(AND(Kalemler!$D92&gt;=(Tahmin!$C$4+28),Kalemler!$D92&lt;=(Tahmin!$C$4+34)),1,0))))</f>
        <v>0</v>
      </c>
      <c r="G92" s="0" t="n">
        <f aca="false">IF(OR(Kalemler!$A92="",Kalemler!$C92="",Kalemler!$D92=""),0,Kalemler!$C92*IF(Kalemler!$E92="Haftalık",IF(Kalemler!$D92&lt;=(Tahmin!$C$4+41),1,0),IF(Kalemler!$E92="Aylık",IF(OR(AND(DATE(YEAR((Tahmin!$C$4+35)),MONTH((Tahmin!$C$4+35)),MIN(DAY(Kalemler!$D92),DAY(EOMONTH((Tahmin!$C$4+35),0))))&gt;=(Tahmin!$C$4+35),DATE(YEAR((Tahmin!$C$4+35)),MONTH((Tahmin!$C$4+35)),MIN(DAY(Kalemler!$D92),DAY(EOMONTH((Tahmin!$C$4+35),0))))&lt;=(Tahmin!$C$4+41),DATE(YEAR((Tahmin!$C$4+35)),MONTH((Tahmin!$C$4+35)),MIN(DAY(Kalemler!$D92),DAY(EOMONTH((Tahmin!$C$4+35),0))))&gt;=Kalemler!$D92),AND(DATE(YEAR((Tahmin!$C$4+41)),MONTH((Tahmin!$C$4+41)),MIN(DAY(Kalemler!$D92),DAY(EOMONTH((Tahmin!$C$4+41),0))))&gt;=(Tahmin!$C$4+35),DATE(YEAR((Tahmin!$C$4+41)),MONTH((Tahmin!$C$4+41)),MIN(DAY(Kalemler!$D92),DAY(EOMONTH((Tahmin!$C$4+41),0))))&lt;=(Tahmin!$C$4+41),DATE(YEAR((Tahmin!$C$4+41)),MONTH((Tahmin!$C$4+41)),MIN(DAY(Kalemler!$D92),DAY(EOMONTH((Tahmin!$C$4+41),0))))&lt;&gt;DATE(YEAR((Tahmin!$C$4+35)),MONTH((Tahmin!$C$4+35)),MIN(DAY(Kalemler!$D92),DAY(EOMONTH((Tahmin!$C$4+35),0)))),DATE(YEAR((Tahmin!$C$4+41)),MONTH((Tahmin!$C$4+41)),MIN(DAY(Kalemler!$D92),DAY(EOMONTH((Tahmin!$C$4+41),0))))&gt;=Kalemler!$D92)),1,0),IF(AND(Kalemler!$D92&gt;=(Tahmin!$C$4+35),Kalemler!$D92&lt;=(Tahmin!$C$4+41)),1,0))))</f>
        <v>0</v>
      </c>
      <c r="H92" s="0" t="n">
        <f aca="false">IF(OR(Kalemler!$A92="",Kalemler!$C92="",Kalemler!$D92=""),0,Kalemler!$C92*IF(Kalemler!$E92="Haftalık",IF(Kalemler!$D92&lt;=(Tahmin!$C$4+48),1,0),IF(Kalemler!$E92="Aylık",IF(OR(AND(DATE(YEAR((Tahmin!$C$4+42)),MONTH((Tahmin!$C$4+42)),MIN(DAY(Kalemler!$D92),DAY(EOMONTH((Tahmin!$C$4+42),0))))&gt;=(Tahmin!$C$4+42),DATE(YEAR((Tahmin!$C$4+42)),MONTH((Tahmin!$C$4+42)),MIN(DAY(Kalemler!$D92),DAY(EOMONTH((Tahmin!$C$4+42),0))))&lt;=(Tahmin!$C$4+48),DATE(YEAR((Tahmin!$C$4+42)),MONTH((Tahmin!$C$4+42)),MIN(DAY(Kalemler!$D92),DAY(EOMONTH((Tahmin!$C$4+42),0))))&gt;=Kalemler!$D92),AND(DATE(YEAR((Tahmin!$C$4+48)),MONTH((Tahmin!$C$4+48)),MIN(DAY(Kalemler!$D92),DAY(EOMONTH((Tahmin!$C$4+48),0))))&gt;=(Tahmin!$C$4+42),DATE(YEAR((Tahmin!$C$4+48)),MONTH((Tahmin!$C$4+48)),MIN(DAY(Kalemler!$D92),DAY(EOMONTH((Tahmin!$C$4+48),0))))&lt;=(Tahmin!$C$4+48),DATE(YEAR((Tahmin!$C$4+48)),MONTH((Tahmin!$C$4+48)),MIN(DAY(Kalemler!$D92),DAY(EOMONTH((Tahmin!$C$4+48),0))))&lt;&gt;DATE(YEAR((Tahmin!$C$4+42)),MONTH((Tahmin!$C$4+42)),MIN(DAY(Kalemler!$D92),DAY(EOMONTH((Tahmin!$C$4+42),0)))),DATE(YEAR((Tahmin!$C$4+48)),MONTH((Tahmin!$C$4+48)),MIN(DAY(Kalemler!$D92),DAY(EOMONTH((Tahmin!$C$4+48),0))))&gt;=Kalemler!$D92)),1,0),IF(AND(Kalemler!$D92&gt;=(Tahmin!$C$4+42),Kalemler!$D92&lt;=(Tahmin!$C$4+48)),1,0))))</f>
        <v>0</v>
      </c>
      <c r="I92" s="0" t="n">
        <f aca="false">IF(OR(Kalemler!$A92="",Kalemler!$C92="",Kalemler!$D92=""),0,Kalemler!$C92*IF(Kalemler!$E92="Haftalık",IF(Kalemler!$D92&lt;=(Tahmin!$C$4+55),1,0),IF(Kalemler!$E92="Aylık",IF(OR(AND(DATE(YEAR((Tahmin!$C$4+49)),MONTH((Tahmin!$C$4+49)),MIN(DAY(Kalemler!$D92),DAY(EOMONTH((Tahmin!$C$4+49),0))))&gt;=(Tahmin!$C$4+49),DATE(YEAR((Tahmin!$C$4+49)),MONTH((Tahmin!$C$4+49)),MIN(DAY(Kalemler!$D92),DAY(EOMONTH((Tahmin!$C$4+49),0))))&lt;=(Tahmin!$C$4+55),DATE(YEAR((Tahmin!$C$4+49)),MONTH((Tahmin!$C$4+49)),MIN(DAY(Kalemler!$D92),DAY(EOMONTH((Tahmin!$C$4+49),0))))&gt;=Kalemler!$D92),AND(DATE(YEAR((Tahmin!$C$4+55)),MONTH((Tahmin!$C$4+55)),MIN(DAY(Kalemler!$D92),DAY(EOMONTH((Tahmin!$C$4+55),0))))&gt;=(Tahmin!$C$4+49),DATE(YEAR((Tahmin!$C$4+55)),MONTH((Tahmin!$C$4+55)),MIN(DAY(Kalemler!$D92),DAY(EOMONTH((Tahmin!$C$4+55),0))))&lt;=(Tahmin!$C$4+55),DATE(YEAR((Tahmin!$C$4+55)),MONTH((Tahmin!$C$4+55)),MIN(DAY(Kalemler!$D92),DAY(EOMONTH((Tahmin!$C$4+55),0))))&lt;&gt;DATE(YEAR((Tahmin!$C$4+49)),MONTH((Tahmin!$C$4+49)),MIN(DAY(Kalemler!$D92),DAY(EOMONTH((Tahmin!$C$4+49),0)))),DATE(YEAR((Tahmin!$C$4+55)),MONTH((Tahmin!$C$4+55)),MIN(DAY(Kalemler!$D92),DAY(EOMONTH((Tahmin!$C$4+55),0))))&gt;=Kalemler!$D92)),1,0),IF(AND(Kalemler!$D92&gt;=(Tahmin!$C$4+49),Kalemler!$D92&lt;=(Tahmin!$C$4+55)),1,0))))</f>
        <v>0</v>
      </c>
      <c r="J92" s="0" t="n">
        <f aca="false">IF(OR(Kalemler!$A92="",Kalemler!$C92="",Kalemler!$D92=""),0,Kalemler!$C92*IF(Kalemler!$E92="Haftalık",IF(Kalemler!$D92&lt;=(Tahmin!$C$4+62),1,0),IF(Kalemler!$E92="Aylık",IF(OR(AND(DATE(YEAR((Tahmin!$C$4+56)),MONTH((Tahmin!$C$4+56)),MIN(DAY(Kalemler!$D92),DAY(EOMONTH((Tahmin!$C$4+56),0))))&gt;=(Tahmin!$C$4+56),DATE(YEAR((Tahmin!$C$4+56)),MONTH((Tahmin!$C$4+56)),MIN(DAY(Kalemler!$D92),DAY(EOMONTH((Tahmin!$C$4+56),0))))&lt;=(Tahmin!$C$4+62),DATE(YEAR((Tahmin!$C$4+56)),MONTH((Tahmin!$C$4+56)),MIN(DAY(Kalemler!$D92),DAY(EOMONTH((Tahmin!$C$4+56),0))))&gt;=Kalemler!$D92),AND(DATE(YEAR((Tahmin!$C$4+62)),MONTH((Tahmin!$C$4+62)),MIN(DAY(Kalemler!$D92),DAY(EOMONTH((Tahmin!$C$4+62),0))))&gt;=(Tahmin!$C$4+56),DATE(YEAR((Tahmin!$C$4+62)),MONTH((Tahmin!$C$4+62)),MIN(DAY(Kalemler!$D92),DAY(EOMONTH((Tahmin!$C$4+62),0))))&lt;=(Tahmin!$C$4+62),DATE(YEAR((Tahmin!$C$4+62)),MONTH((Tahmin!$C$4+62)),MIN(DAY(Kalemler!$D92),DAY(EOMONTH((Tahmin!$C$4+62),0))))&lt;&gt;DATE(YEAR((Tahmin!$C$4+56)),MONTH((Tahmin!$C$4+56)),MIN(DAY(Kalemler!$D92),DAY(EOMONTH((Tahmin!$C$4+56),0)))),DATE(YEAR((Tahmin!$C$4+62)),MONTH((Tahmin!$C$4+62)),MIN(DAY(Kalemler!$D92),DAY(EOMONTH((Tahmin!$C$4+62),0))))&gt;=Kalemler!$D92)),1,0),IF(AND(Kalemler!$D92&gt;=(Tahmin!$C$4+56),Kalemler!$D92&lt;=(Tahmin!$C$4+62)),1,0))))</f>
        <v>0</v>
      </c>
      <c r="K92" s="0" t="n">
        <f aca="false">IF(OR(Kalemler!$A92="",Kalemler!$C92="",Kalemler!$D92=""),0,Kalemler!$C92*IF(Kalemler!$E92="Haftalık",IF(Kalemler!$D92&lt;=(Tahmin!$C$4+69),1,0),IF(Kalemler!$E92="Aylık",IF(OR(AND(DATE(YEAR((Tahmin!$C$4+63)),MONTH((Tahmin!$C$4+63)),MIN(DAY(Kalemler!$D92),DAY(EOMONTH((Tahmin!$C$4+63),0))))&gt;=(Tahmin!$C$4+63),DATE(YEAR((Tahmin!$C$4+63)),MONTH((Tahmin!$C$4+63)),MIN(DAY(Kalemler!$D92),DAY(EOMONTH((Tahmin!$C$4+63),0))))&lt;=(Tahmin!$C$4+69),DATE(YEAR((Tahmin!$C$4+63)),MONTH((Tahmin!$C$4+63)),MIN(DAY(Kalemler!$D92),DAY(EOMONTH((Tahmin!$C$4+63),0))))&gt;=Kalemler!$D92),AND(DATE(YEAR((Tahmin!$C$4+69)),MONTH((Tahmin!$C$4+69)),MIN(DAY(Kalemler!$D92),DAY(EOMONTH((Tahmin!$C$4+69),0))))&gt;=(Tahmin!$C$4+63),DATE(YEAR((Tahmin!$C$4+69)),MONTH((Tahmin!$C$4+69)),MIN(DAY(Kalemler!$D92),DAY(EOMONTH((Tahmin!$C$4+69),0))))&lt;=(Tahmin!$C$4+69),DATE(YEAR((Tahmin!$C$4+69)),MONTH((Tahmin!$C$4+69)),MIN(DAY(Kalemler!$D92),DAY(EOMONTH((Tahmin!$C$4+69),0))))&lt;&gt;DATE(YEAR((Tahmin!$C$4+63)),MONTH((Tahmin!$C$4+63)),MIN(DAY(Kalemler!$D92),DAY(EOMONTH((Tahmin!$C$4+63),0)))),DATE(YEAR((Tahmin!$C$4+69)),MONTH((Tahmin!$C$4+69)),MIN(DAY(Kalemler!$D92),DAY(EOMONTH((Tahmin!$C$4+69),0))))&gt;=Kalemler!$D92)),1,0),IF(AND(Kalemler!$D92&gt;=(Tahmin!$C$4+63),Kalemler!$D92&lt;=(Tahmin!$C$4+69)),1,0))))</f>
        <v>0</v>
      </c>
      <c r="L92" s="0" t="n">
        <f aca="false">IF(OR(Kalemler!$A92="",Kalemler!$C92="",Kalemler!$D92=""),0,Kalemler!$C92*IF(Kalemler!$E92="Haftalık",IF(Kalemler!$D92&lt;=(Tahmin!$C$4+76),1,0),IF(Kalemler!$E92="Aylık",IF(OR(AND(DATE(YEAR((Tahmin!$C$4+70)),MONTH((Tahmin!$C$4+70)),MIN(DAY(Kalemler!$D92),DAY(EOMONTH((Tahmin!$C$4+70),0))))&gt;=(Tahmin!$C$4+70),DATE(YEAR((Tahmin!$C$4+70)),MONTH((Tahmin!$C$4+70)),MIN(DAY(Kalemler!$D92),DAY(EOMONTH((Tahmin!$C$4+70),0))))&lt;=(Tahmin!$C$4+76),DATE(YEAR((Tahmin!$C$4+70)),MONTH((Tahmin!$C$4+70)),MIN(DAY(Kalemler!$D92),DAY(EOMONTH((Tahmin!$C$4+70),0))))&gt;=Kalemler!$D92),AND(DATE(YEAR((Tahmin!$C$4+76)),MONTH((Tahmin!$C$4+76)),MIN(DAY(Kalemler!$D92),DAY(EOMONTH((Tahmin!$C$4+76),0))))&gt;=(Tahmin!$C$4+70),DATE(YEAR((Tahmin!$C$4+76)),MONTH((Tahmin!$C$4+76)),MIN(DAY(Kalemler!$D92),DAY(EOMONTH((Tahmin!$C$4+76),0))))&lt;=(Tahmin!$C$4+76),DATE(YEAR((Tahmin!$C$4+76)),MONTH((Tahmin!$C$4+76)),MIN(DAY(Kalemler!$D92),DAY(EOMONTH((Tahmin!$C$4+76),0))))&lt;&gt;DATE(YEAR((Tahmin!$C$4+70)),MONTH((Tahmin!$C$4+70)),MIN(DAY(Kalemler!$D92),DAY(EOMONTH((Tahmin!$C$4+70),0)))),DATE(YEAR((Tahmin!$C$4+76)),MONTH((Tahmin!$C$4+76)),MIN(DAY(Kalemler!$D92),DAY(EOMONTH((Tahmin!$C$4+76),0))))&gt;=Kalemler!$D92)),1,0),IF(AND(Kalemler!$D92&gt;=(Tahmin!$C$4+70),Kalemler!$D92&lt;=(Tahmin!$C$4+76)),1,0))))</f>
        <v>0</v>
      </c>
      <c r="M92" s="0" t="n">
        <f aca="false">IF(OR(Kalemler!$A92="",Kalemler!$C92="",Kalemler!$D92=""),0,Kalemler!$C92*IF(Kalemler!$E92="Haftalık",IF(Kalemler!$D92&lt;=(Tahmin!$C$4+83),1,0),IF(Kalemler!$E92="Aylık",IF(OR(AND(DATE(YEAR((Tahmin!$C$4+77)),MONTH((Tahmin!$C$4+77)),MIN(DAY(Kalemler!$D92),DAY(EOMONTH((Tahmin!$C$4+77),0))))&gt;=(Tahmin!$C$4+77),DATE(YEAR((Tahmin!$C$4+77)),MONTH((Tahmin!$C$4+77)),MIN(DAY(Kalemler!$D92),DAY(EOMONTH((Tahmin!$C$4+77),0))))&lt;=(Tahmin!$C$4+83),DATE(YEAR((Tahmin!$C$4+77)),MONTH((Tahmin!$C$4+77)),MIN(DAY(Kalemler!$D92),DAY(EOMONTH((Tahmin!$C$4+77),0))))&gt;=Kalemler!$D92),AND(DATE(YEAR((Tahmin!$C$4+83)),MONTH((Tahmin!$C$4+83)),MIN(DAY(Kalemler!$D92),DAY(EOMONTH((Tahmin!$C$4+83),0))))&gt;=(Tahmin!$C$4+77),DATE(YEAR((Tahmin!$C$4+83)),MONTH((Tahmin!$C$4+83)),MIN(DAY(Kalemler!$D92),DAY(EOMONTH((Tahmin!$C$4+83),0))))&lt;=(Tahmin!$C$4+83),DATE(YEAR((Tahmin!$C$4+83)),MONTH((Tahmin!$C$4+83)),MIN(DAY(Kalemler!$D92),DAY(EOMONTH((Tahmin!$C$4+83),0))))&lt;&gt;DATE(YEAR((Tahmin!$C$4+77)),MONTH((Tahmin!$C$4+77)),MIN(DAY(Kalemler!$D92),DAY(EOMONTH((Tahmin!$C$4+77),0)))),DATE(YEAR((Tahmin!$C$4+83)),MONTH((Tahmin!$C$4+83)),MIN(DAY(Kalemler!$D92),DAY(EOMONTH((Tahmin!$C$4+83),0))))&gt;=Kalemler!$D92)),1,0),IF(AND(Kalemler!$D92&gt;=(Tahmin!$C$4+77),Kalemler!$D92&lt;=(Tahmin!$C$4+83)),1,0))))</f>
        <v>0</v>
      </c>
      <c r="N92" s="0" t="n">
        <f aca="false">IF(OR(Kalemler!$A92="",Kalemler!$C92="",Kalemler!$D92=""),0,Kalemler!$C92*IF(Kalemler!$E92="Haftalık",IF(Kalemler!$D92&lt;=(Tahmin!$C$4+90),1,0),IF(Kalemler!$E92="Aylık",IF(OR(AND(DATE(YEAR((Tahmin!$C$4+84)),MONTH((Tahmin!$C$4+84)),MIN(DAY(Kalemler!$D92),DAY(EOMONTH((Tahmin!$C$4+84),0))))&gt;=(Tahmin!$C$4+84),DATE(YEAR((Tahmin!$C$4+84)),MONTH((Tahmin!$C$4+84)),MIN(DAY(Kalemler!$D92),DAY(EOMONTH((Tahmin!$C$4+84),0))))&lt;=(Tahmin!$C$4+90),DATE(YEAR((Tahmin!$C$4+84)),MONTH((Tahmin!$C$4+84)),MIN(DAY(Kalemler!$D92),DAY(EOMONTH((Tahmin!$C$4+84),0))))&gt;=Kalemler!$D92),AND(DATE(YEAR((Tahmin!$C$4+90)),MONTH((Tahmin!$C$4+90)),MIN(DAY(Kalemler!$D92),DAY(EOMONTH((Tahmin!$C$4+90),0))))&gt;=(Tahmin!$C$4+84),DATE(YEAR((Tahmin!$C$4+90)),MONTH((Tahmin!$C$4+90)),MIN(DAY(Kalemler!$D92),DAY(EOMONTH((Tahmin!$C$4+90),0))))&lt;=(Tahmin!$C$4+90),DATE(YEAR((Tahmin!$C$4+90)),MONTH((Tahmin!$C$4+90)),MIN(DAY(Kalemler!$D92),DAY(EOMONTH((Tahmin!$C$4+90),0))))&lt;&gt;DATE(YEAR((Tahmin!$C$4+84)),MONTH((Tahmin!$C$4+84)),MIN(DAY(Kalemler!$D92),DAY(EOMONTH((Tahmin!$C$4+84),0)))),DATE(YEAR((Tahmin!$C$4+90)),MONTH((Tahmin!$C$4+90)),MIN(DAY(Kalemler!$D92),DAY(EOMONTH((Tahmin!$C$4+90),0))))&gt;=Kalemler!$D92)),1,0),IF(AND(Kalemler!$D92&gt;=(Tahmin!$C$4+84),Kalemler!$D92&lt;=(Tahmin!$C$4+90)),1,0))))</f>
        <v>0</v>
      </c>
    </row>
    <row r="93" customFormat="false" ht="15" hidden="false" customHeight="false" outlineLevel="0" collapsed="false">
      <c r="A93" s="0" t="str">
        <f aca="false">IF(Kalemler!A93="","",Kalemler!A93)</f>
        <v/>
      </c>
      <c r="B93" s="0" t="n">
        <f aca="false">IF(OR(Kalemler!$A93="",Kalemler!$C93="",Kalemler!$D93=""),0,Kalemler!$C93*IF(Kalemler!$E93="Haftalık",IF(Kalemler!$D93&lt;=(Tahmin!$C$4+6),1,0),IF(Kalemler!$E93="Aylık",IF(OR(AND(DATE(YEAR((Tahmin!$C$4+0)),MONTH((Tahmin!$C$4+0)),MIN(DAY(Kalemler!$D93),DAY(EOMONTH((Tahmin!$C$4+0),0))))&gt;=(Tahmin!$C$4+0),DATE(YEAR((Tahmin!$C$4+0)),MONTH((Tahmin!$C$4+0)),MIN(DAY(Kalemler!$D93),DAY(EOMONTH((Tahmin!$C$4+0),0))))&lt;=(Tahmin!$C$4+6),DATE(YEAR((Tahmin!$C$4+0)),MONTH((Tahmin!$C$4+0)),MIN(DAY(Kalemler!$D93),DAY(EOMONTH((Tahmin!$C$4+0),0))))&gt;=Kalemler!$D93),AND(DATE(YEAR((Tahmin!$C$4+6)),MONTH((Tahmin!$C$4+6)),MIN(DAY(Kalemler!$D93),DAY(EOMONTH((Tahmin!$C$4+6),0))))&gt;=(Tahmin!$C$4+0),DATE(YEAR((Tahmin!$C$4+6)),MONTH((Tahmin!$C$4+6)),MIN(DAY(Kalemler!$D93),DAY(EOMONTH((Tahmin!$C$4+6),0))))&lt;=(Tahmin!$C$4+6),DATE(YEAR((Tahmin!$C$4+6)),MONTH((Tahmin!$C$4+6)),MIN(DAY(Kalemler!$D93),DAY(EOMONTH((Tahmin!$C$4+6),0))))&lt;&gt;DATE(YEAR((Tahmin!$C$4+0)),MONTH((Tahmin!$C$4+0)),MIN(DAY(Kalemler!$D93),DAY(EOMONTH((Tahmin!$C$4+0),0)))),DATE(YEAR((Tahmin!$C$4+6)),MONTH((Tahmin!$C$4+6)),MIN(DAY(Kalemler!$D93),DAY(EOMONTH((Tahmin!$C$4+6),0))))&gt;=Kalemler!$D93)),1,0),IF(AND(Kalemler!$D93&gt;=(Tahmin!$C$4+0),Kalemler!$D93&lt;=(Tahmin!$C$4+6)),1,0))))</f>
        <v>0</v>
      </c>
      <c r="C93" s="0" t="n">
        <f aca="false">IF(OR(Kalemler!$A93="",Kalemler!$C93="",Kalemler!$D93=""),0,Kalemler!$C93*IF(Kalemler!$E93="Haftalık",IF(Kalemler!$D93&lt;=(Tahmin!$C$4+13),1,0),IF(Kalemler!$E93="Aylık",IF(OR(AND(DATE(YEAR((Tahmin!$C$4+7)),MONTH((Tahmin!$C$4+7)),MIN(DAY(Kalemler!$D93),DAY(EOMONTH((Tahmin!$C$4+7),0))))&gt;=(Tahmin!$C$4+7),DATE(YEAR((Tahmin!$C$4+7)),MONTH((Tahmin!$C$4+7)),MIN(DAY(Kalemler!$D93),DAY(EOMONTH((Tahmin!$C$4+7),0))))&lt;=(Tahmin!$C$4+13),DATE(YEAR((Tahmin!$C$4+7)),MONTH((Tahmin!$C$4+7)),MIN(DAY(Kalemler!$D93),DAY(EOMONTH((Tahmin!$C$4+7),0))))&gt;=Kalemler!$D93),AND(DATE(YEAR((Tahmin!$C$4+13)),MONTH((Tahmin!$C$4+13)),MIN(DAY(Kalemler!$D93),DAY(EOMONTH((Tahmin!$C$4+13),0))))&gt;=(Tahmin!$C$4+7),DATE(YEAR((Tahmin!$C$4+13)),MONTH((Tahmin!$C$4+13)),MIN(DAY(Kalemler!$D93),DAY(EOMONTH((Tahmin!$C$4+13),0))))&lt;=(Tahmin!$C$4+13),DATE(YEAR((Tahmin!$C$4+13)),MONTH((Tahmin!$C$4+13)),MIN(DAY(Kalemler!$D93),DAY(EOMONTH((Tahmin!$C$4+13),0))))&lt;&gt;DATE(YEAR((Tahmin!$C$4+7)),MONTH((Tahmin!$C$4+7)),MIN(DAY(Kalemler!$D93),DAY(EOMONTH((Tahmin!$C$4+7),0)))),DATE(YEAR((Tahmin!$C$4+13)),MONTH((Tahmin!$C$4+13)),MIN(DAY(Kalemler!$D93),DAY(EOMONTH((Tahmin!$C$4+13),0))))&gt;=Kalemler!$D93)),1,0),IF(AND(Kalemler!$D93&gt;=(Tahmin!$C$4+7),Kalemler!$D93&lt;=(Tahmin!$C$4+13)),1,0))))</f>
        <v>0</v>
      </c>
      <c r="D93" s="0" t="n">
        <f aca="false">IF(OR(Kalemler!$A93="",Kalemler!$C93="",Kalemler!$D93=""),0,Kalemler!$C93*IF(Kalemler!$E93="Haftalık",IF(Kalemler!$D93&lt;=(Tahmin!$C$4+20),1,0),IF(Kalemler!$E93="Aylık",IF(OR(AND(DATE(YEAR((Tahmin!$C$4+14)),MONTH((Tahmin!$C$4+14)),MIN(DAY(Kalemler!$D93),DAY(EOMONTH((Tahmin!$C$4+14),0))))&gt;=(Tahmin!$C$4+14),DATE(YEAR((Tahmin!$C$4+14)),MONTH((Tahmin!$C$4+14)),MIN(DAY(Kalemler!$D93),DAY(EOMONTH((Tahmin!$C$4+14),0))))&lt;=(Tahmin!$C$4+20),DATE(YEAR((Tahmin!$C$4+14)),MONTH((Tahmin!$C$4+14)),MIN(DAY(Kalemler!$D93),DAY(EOMONTH((Tahmin!$C$4+14),0))))&gt;=Kalemler!$D93),AND(DATE(YEAR((Tahmin!$C$4+20)),MONTH((Tahmin!$C$4+20)),MIN(DAY(Kalemler!$D93),DAY(EOMONTH((Tahmin!$C$4+20),0))))&gt;=(Tahmin!$C$4+14),DATE(YEAR((Tahmin!$C$4+20)),MONTH((Tahmin!$C$4+20)),MIN(DAY(Kalemler!$D93),DAY(EOMONTH((Tahmin!$C$4+20),0))))&lt;=(Tahmin!$C$4+20),DATE(YEAR((Tahmin!$C$4+20)),MONTH((Tahmin!$C$4+20)),MIN(DAY(Kalemler!$D93),DAY(EOMONTH((Tahmin!$C$4+20),0))))&lt;&gt;DATE(YEAR((Tahmin!$C$4+14)),MONTH((Tahmin!$C$4+14)),MIN(DAY(Kalemler!$D93),DAY(EOMONTH((Tahmin!$C$4+14),0)))),DATE(YEAR((Tahmin!$C$4+20)),MONTH((Tahmin!$C$4+20)),MIN(DAY(Kalemler!$D93),DAY(EOMONTH((Tahmin!$C$4+20),0))))&gt;=Kalemler!$D93)),1,0),IF(AND(Kalemler!$D93&gt;=(Tahmin!$C$4+14),Kalemler!$D93&lt;=(Tahmin!$C$4+20)),1,0))))</f>
        <v>0</v>
      </c>
      <c r="E93" s="0" t="n">
        <f aca="false">IF(OR(Kalemler!$A93="",Kalemler!$C93="",Kalemler!$D93=""),0,Kalemler!$C93*IF(Kalemler!$E93="Haftalık",IF(Kalemler!$D93&lt;=(Tahmin!$C$4+27),1,0),IF(Kalemler!$E93="Aylık",IF(OR(AND(DATE(YEAR((Tahmin!$C$4+21)),MONTH((Tahmin!$C$4+21)),MIN(DAY(Kalemler!$D93),DAY(EOMONTH((Tahmin!$C$4+21),0))))&gt;=(Tahmin!$C$4+21),DATE(YEAR((Tahmin!$C$4+21)),MONTH((Tahmin!$C$4+21)),MIN(DAY(Kalemler!$D93),DAY(EOMONTH((Tahmin!$C$4+21),0))))&lt;=(Tahmin!$C$4+27),DATE(YEAR((Tahmin!$C$4+21)),MONTH((Tahmin!$C$4+21)),MIN(DAY(Kalemler!$D93),DAY(EOMONTH((Tahmin!$C$4+21),0))))&gt;=Kalemler!$D93),AND(DATE(YEAR((Tahmin!$C$4+27)),MONTH((Tahmin!$C$4+27)),MIN(DAY(Kalemler!$D93),DAY(EOMONTH((Tahmin!$C$4+27),0))))&gt;=(Tahmin!$C$4+21),DATE(YEAR((Tahmin!$C$4+27)),MONTH((Tahmin!$C$4+27)),MIN(DAY(Kalemler!$D93),DAY(EOMONTH((Tahmin!$C$4+27),0))))&lt;=(Tahmin!$C$4+27),DATE(YEAR((Tahmin!$C$4+27)),MONTH((Tahmin!$C$4+27)),MIN(DAY(Kalemler!$D93),DAY(EOMONTH((Tahmin!$C$4+27),0))))&lt;&gt;DATE(YEAR((Tahmin!$C$4+21)),MONTH((Tahmin!$C$4+21)),MIN(DAY(Kalemler!$D93),DAY(EOMONTH((Tahmin!$C$4+21),0)))),DATE(YEAR((Tahmin!$C$4+27)),MONTH((Tahmin!$C$4+27)),MIN(DAY(Kalemler!$D93),DAY(EOMONTH((Tahmin!$C$4+27),0))))&gt;=Kalemler!$D93)),1,0),IF(AND(Kalemler!$D93&gt;=(Tahmin!$C$4+21),Kalemler!$D93&lt;=(Tahmin!$C$4+27)),1,0))))</f>
        <v>0</v>
      </c>
      <c r="F93" s="0" t="n">
        <f aca="false">IF(OR(Kalemler!$A93="",Kalemler!$C93="",Kalemler!$D93=""),0,Kalemler!$C93*IF(Kalemler!$E93="Haftalık",IF(Kalemler!$D93&lt;=(Tahmin!$C$4+34),1,0),IF(Kalemler!$E93="Aylık",IF(OR(AND(DATE(YEAR((Tahmin!$C$4+28)),MONTH((Tahmin!$C$4+28)),MIN(DAY(Kalemler!$D93),DAY(EOMONTH((Tahmin!$C$4+28),0))))&gt;=(Tahmin!$C$4+28),DATE(YEAR((Tahmin!$C$4+28)),MONTH((Tahmin!$C$4+28)),MIN(DAY(Kalemler!$D93),DAY(EOMONTH((Tahmin!$C$4+28),0))))&lt;=(Tahmin!$C$4+34),DATE(YEAR((Tahmin!$C$4+28)),MONTH((Tahmin!$C$4+28)),MIN(DAY(Kalemler!$D93),DAY(EOMONTH((Tahmin!$C$4+28),0))))&gt;=Kalemler!$D93),AND(DATE(YEAR((Tahmin!$C$4+34)),MONTH((Tahmin!$C$4+34)),MIN(DAY(Kalemler!$D93),DAY(EOMONTH((Tahmin!$C$4+34),0))))&gt;=(Tahmin!$C$4+28),DATE(YEAR((Tahmin!$C$4+34)),MONTH((Tahmin!$C$4+34)),MIN(DAY(Kalemler!$D93),DAY(EOMONTH((Tahmin!$C$4+34),0))))&lt;=(Tahmin!$C$4+34),DATE(YEAR((Tahmin!$C$4+34)),MONTH((Tahmin!$C$4+34)),MIN(DAY(Kalemler!$D93),DAY(EOMONTH((Tahmin!$C$4+34),0))))&lt;&gt;DATE(YEAR((Tahmin!$C$4+28)),MONTH((Tahmin!$C$4+28)),MIN(DAY(Kalemler!$D93),DAY(EOMONTH((Tahmin!$C$4+28),0)))),DATE(YEAR((Tahmin!$C$4+34)),MONTH((Tahmin!$C$4+34)),MIN(DAY(Kalemler!$D93),DAY(EOMONTH((Tahmin!$C$4+34),0))))&gt;=Kalemler!$D93)),1,0),IF(AND(Kalemler!$D93&gt;=(Tahmin!$C$4+28),Kalemler!$D93&lt;=(Tahmin!$C$4+34)),1,0))))</f>
        <v>0</v>
      </c>
      <c r="G93" s="0" t="n">
        <f aca="false">IF(OR(Kalemler!$A93="",Kalemler!$C93="",Kalemler!$D93=""),0,Kalemler!$C93*IF(Kalemler!$E93="Haftalık",IF(Kalemler!$D93&lt;=(Tahmin!$C$4+41),1,0),IF(Kalemler!$E93="Aylık",IF(OR(AND(DATE(YEAR((Tahmin!$C$4+35)),MONTH((Tahmin!$C$4+35)),MIN(DAY(Kalemler!$D93),DAY(EOMONTH((Tahmin!$C$4+35),0))))&gt;=(Tahmin!$C$4+35),DATE(YEAR((Tahmin!$C$4+35)),MONTH((Tahmin!$C$4+35)),MIN(DAY(Kalemler!$D93),DAY(EOMONTH((Tahmin!$C$4+35),0))))&lt;=(Tahmin!$C$4+41),DATE(YEAR((Tahmin!$C$4+35)),MONTH((Tahmin!$C$4+35)),MIN(DAY(Kalemler!$D93),DAY(EOMONTH((Tahmin!$C$4+35),0))))&gt;=Kalemler!$D93),AND(DATE(YEAR((Tahmin!$C$4+41)),MONTH((Tahmin!$C$4+41)),MIN(DAY(Kalemler!$D93),DAY(EOMONTH((Tahmin!$C$4+41),0))))&gt;=(Tahmin!$C$4+35),DATE(YEAR((Tahmin!$C$4+41)),MONTH((Tahmin!$C$4+41)),MIN(DAY(Kalemler!$D93),DAY(EOMONTH((Tahmin!$C$4+41),0))))&lt;=(Tahmin!$C$4+41),DATE(YEAR((Tahmin!$C$4+41)),MONTH((Tahmin!$C$4+41)),MIN(DAY(Kalemler!$D93),DAY(EOMONTH((Tahmin!$C$4+41),0))))&lt;&gt;DATE(YEAR((Tahmin!$C$4+35)),MONTH((Tahmin!$C$4+35)),MIN(DAY(Kalemler!$D93),DAY(EOMONTH((Tahmin!$C$4+35),0)))),DATE(YEAR((Tahmin!$C$4+41)),MONTH((Tahmin!$C$4+41)),MIN(DAY(Kalemler!$D93),DAY(EOMONTH((Tahmin!$C$4+41),0))))&gt;=Kalemler!$D93)),1,0),IF(AND(Kalemler!$D93&gt;=(Tahmin!$C$4+35),Kalemler!$D93&lt;=(Tahmin!$C$4+41)),1,0))))</f>
        <v>0</v>
      </c>
      <c r="H93" s="0" t="n">
        <f aca="false">IF(OR(Kalemler!$A93="",Kalemler!$C93="",Kalemler!$D93=""),0,Kalemler!$C93*IF(Kalemler!$E93="Haftalık",IF(Kalemler!$D93&lt;=(Tahmin!$C$4+48),1,0),IF(Kalemler!$E93="Aylık",IF(OR(AND(DATE(YEAR((Tahmin!$C$4+42)),MONTH((Tahmin!$C$4+42)),MIN(DAY(Kalemler!$D93),DAY(EOMONTH((Tahmin!$C$4+42),0))))&gt;=(Tahmin!$C$4+42),DATE(YEAR((Tahmin!$C$4+42)),MONTH((Tahmin!$C$4+42)),MIN(DAY(Kalemler!$D93),DAY(EOMONTH((Tahmin!$C$4+42),0))))&lt;=(Tahmin!$C$4+48),DATE(YEAR((Tahmin!$C$4+42)),MONTH((Tahmin!$C$4+42)),MIN(DAY(Kalemler!$D93),DAY(EOMONTH((Tahmin!$C$4+42),0))))&gt;=Kalemler!$D93),AND(DATE(YEAR((Tahmin!$C$4+48)),MONTH((Tahmin!$C$4+48)),MIN(DAY(Kalemler!$D93),DAY(EOMONTH((Tahmin!$C$4+48),0))))&gt;=(Tahmin!$C$4+42),DATE(YEAR((Tahmin!$C$4+48)),MONTH((Tahmin!$C$4+48)),MIN(DAY(Kalemler!$D93),DAY(EOMONTH((Tahmin!$C$4+48),0))))&lt;=(Tahmin!$C$4+48),DATE(YEAR((Tahmin!$C$4+48)),MONTH((Tahmin!$C$4+48)),MIN(DAY(Kalemler!$D93),DAY(EOMONTH((Tahmin!$C$4+48),0))))&lt;&gt;DATE(YEAR((Tahmin!$C$4+42)),MONTH((Tahmin!$C$4+42)),MIN(DAY(Kalemler!$D93),DAY(EOMONTH((Tahmin!$C$4+42),0)))),DATE(YEAR((Tahmin!$C$4+48)),MONTH((Tahmin!$C$4+48)),MIN(DAY(Kalemler!$D93),DAY(EOMONTH((Tahmin!$C$4+48),0))))&gt;=Kalemler!$D93)),1,0),IF(AND(Kalemler!$D93&gt;=(Tahmin!$C$4+42),Kalemler!$D93&lt;=(Tahmin!$C$4+48)),1,0))))</f>
        <v>0</v>
      </c>
      <c r="I93" s="0" t="n">
        <f aca="false">IF(OR(Kalemler!$A93="",Kalemler!$C93="",Kalemler!$D93=""),0,Kalemler!$C93*IF(Kalemler!$E93="Haftalık",IF(Kalemler!$D93&lt;=(Tahmin!$C$4+55),1,0),IF(Kalemler!$E93="Aylık",IF(OR(AND(DATE(YEAR((Tahmin!$C$4+49)),MONTH((Tahmin!$C$4+49)),MIN(DAY(Kalemler!$D93),DAY(EOMONTH((Tahmin!$C$4+49),0))))&gt;=(Tahmin!$C$4+49),DATE(YEAR((Tahmin!$C$4+49)),MONTH((Tahmin!$C$4+49)),MIN(DAY(Kalemler!$D93),DAY(EOMONTH((Tahmin!$C$4+49),0))))&lt;=(Tahmin!$C$4+55),DATE(YEAR((Tahmin!$C$4+49)),MONTH((Tahmin!$C$4+49)),MIN(DAY(Kalemler!$D93),DAY(EOMONTH((Tahmin!$C$4+49),0))))&gt;=Kalemler!$D93),AND(DATE(YEAR((Tahmin!$C$4+55)),MONTH((Tahmin!$C$4+55)),MIN(DAY(Kalemler!$D93),DAY(EOMONTH((Tahmin!$C$4+55),0))))&gt;=(Tahmin!$C$4+49),DATE(YEAR((Tahmin!$C$4+55)),MONTH((Tahmin!$C$4+55)),MIN(DAY(Kalemler!$D93),DAY(EOMONTH((Tahmin!$C$4+55),0))))&lt;=(Tahmin!$C$4+55),DATE(YEAR((Tahmin!$C$4+55)),MONTH((Tahmin!$C$4+55)),MIN(DAY(Kalemler!$D93),DAY(EOMONTH((Tahmin!$C$4+55),0))))&lt;&gt;DATE(YEAR((Tahmin!$C$4+49)),MONTH((Tahmin!$C$4+49)),MIN(DAY(Kalemler!$D93),DAY(EOMONTH((Tahmin!$C$4+49),0)))),DATE(YEAR((Tahmin!$C$4+55)),MONTH((Tahmin!$C$4+55)),MIN(DAY(Kalemler!$D93),DAY(EOMONTH((Tahmin!$C$4+55),0))))&gt;=Kalemler!$D93)),1,0),IF(AND(Kalemler!$D93&gt;=(Tahmin!$C$4+49),Kalemler!$D93&lt;=(Tahmin!$C$4+55)),1,0))))</f>
        <v>0</v>
      </c>
      <c r="J93" s="0" t="n">
        <f aca="false">IF(OR(Kalemler!$A93="",Kalemler!$C93="",Kalemler!$D93=""),0,Kalemler!$C93*IF(Kalemler!$E93="Haftalık",IF(Kalemler!$D93&lt;=(Tahmin!$C$4+62),1,0),IF(Kalemler!$E93="Aylık",IF(OR(AND(DATE(YEAR((Tahmin!$C$4+56)),MONTH((Tahmin!$C$4+56)),MIN(DAY(Kalemler!$D93),DAY(EOMONTH((Tahmin!$C$4+56),0))))&gt;=(Tahmin!$C$4+56),DATE(YEAR((Tahmin!$C$4+56)),MONTH((Tahmin!$C$4+56)),MIN(DAY(Kalemler!$D93),DAY(EOMONTH((Tahmin!$C$4+56),0))))&lt;=(Tahmin!$C$4+62),DATE(YEAR((Tahmin!$C$4+56)),MONTH((Tahmin!$C$4+56)),MIN(DAY(Kalemler!$D93),DAY(EOMONTH((Tahmin!$C$4+56),0))))&gt;=Kalemler!$D93),AND(DATE(YEAR((Tahmin!$C$4+62)),MONTH((Tahmin!$C$4+62)),MIN(DAY(Kalemler!$D93),DAY(EOMONTH((Tahmin!$C$4+62),0))))&gt;=(Tahmin!$C$4+56),DATE(YEAR((Tahmin!$C$4+62)),MONTH((Tahmin!$C$4+62)),MIN(DAY(Kalemler!$D93),DAY(EOMONTH((Tahmin!$C$4+62),0))))&lt;=(Tahmin!$C$4+62),DATE(YEAR((Tahmin!$C$4+62)),MONTH((Tahmin!$C$4+62)),MIN(DAY(Kalemler!$D93),DAY(EOMONTH((Tahmin!$C$4+62),0))))&lt;&gt;DATE(YEAR((Tahmin!$C$4+56)),MONTH((Tahmin!$C$4+56)),MIN(DAY(Kalemler!$D93),DAY(EOMONTH((Tahmin!$C$4+56),0)))),DATE(YEAR((Tahmin!$C$4+62)),MONTH((Tahmin!$C$4+62)),MIN(DAY(Kalemler!$D93),DAY(EOMONTH((Tahmin!$C$4+62),0))))&gt;=Kalemler!$D93)),1,0),IF(AND(Kalemler!$D93&gt;=(Tahmin!$C$4+56),Kalemler!$D93&lt;=(Tahmin!$C$4+62)),1,0))))</f>
        <v>0</v>
      </c>
      <c r="K93" s="0" t="n">
        <f aca="false">IF(OR(Kalemler!$A93="",Kalemler!$C93="",Kalemler!$D93=""),0,Kalemler!$C93*IF(Kalemler!$E93="Haftalık",IF(Kalemler!$D93&lt;=(Tahmin!$C$4+69),1,0),IF(Kalemler!$E93="Aylık",IF(OR(AND(DATE(YEAR((Tahmin!$C$4+63)),MONTH((Tahmin!$C$4+63)),MIN(DAY(Kalemler!$D93),DAY(EOMONTH((Tahmin!$C$4+63),0))))&gt;=(Tahmin!$C$4+63),DATE(YEAR((Tahmin!$C$4+63)),MONTH((Tahmin!$C$4+63)),MIN(DAY(Kalemler!$D93),DAY(EOMONTH((Tahmin!$C$4+63),0))))&lt;=(Tahmin!$C$4+69),DATE(YEAR((Tahmin!$C$4+63)),MONTH((Tahmin!$C$4+63)),MIN(DAY(Kalemler!$D93),DAY(EOMONTH((Tahmin!$C$4+63),0))))&gt;=Kalemler!$D93),AND(DATE(YEAR((Tahmin!$C$4+69)),MONTH((Tahmin!$C$4+69)),MIN(DAY(Kalemler!$D93),DAY(EOMONTH((Tahmin!$C$4+69),0))))&gt;=(Tahmin!$C$4+63),DATE(YEAR((Tahmin!$C$4+69)),MONTH((Tahmin!$C$4+69)),MIN(DAY(Kalemler!$D93),DAY(EOMONTH((Tahmin!$C$4+69),0))))&lt;=(Tahmin!$C$4+69),DATE(YEAR((Tahmin!$C$4+69)),MONTH((Tahmin!$C$4+69)),MIN(DAY(Kalemler!$D93),DAY(EOMONTH((Tahmin!$C$4+69),0))))&lt;&gt;DATE(YEAR((Tahmin!$C$4+63)),MONTH((Tahmin!$C$4+63)),MIN(DAY(Kalemler!$D93),DAY(EOMONTH((Tahmin!$C$4+63),0)))),DATE(YEAR((Tahmin!$C$4+69)),MONTH((Tahmin!$C$4+69)),MIN(DAY(Kalemler!$D93),DAY(EOMONTH((Tahmin!$C$4+69),0))))&gt;=Kalemler!$D93)),1,0),IF(AND(Kalemler!$D93&gt;=(Tahmin!$C$4+63),Kalemler!$D93&lt;=(Tahmin!$C$4+69)),1,0))))</f>
        <v>0</v>
      </c>
      <c r="L93" s="0" t="n">
        <f aca="false">IF(OR(Kalemler!$A93="",Kalemler!$C93="",Kalemler!$D93=""),0,Kalemler!$C93*IF(Kalemler!$E93="Haftalık",IF(Kalemler!$D93&lt;=(Tahmin!$C$4+76),1,0),IF(Kalemler!$E93="Aylık",IF(OR(AND(DATE(YEAR((Tahmin!$C$4+70)),MONTH((Tahmin!$C$4+70)),MIN(DAY(Kalemler!$D93),DAY(EOMONTH((Tahmin!$C$4+70),0))))&gt;=(Tahmin!$C$4+70),DATE(YEAR((Tahmin!$C$4+70)),MONTH((Tahmin!$C$4+70)),MIN(DAY(Kalemler!$D93),DAY(EOMONTH((Tahmin!$C$4+70),0))))&lt;=(Tahmin!$C$4+76),DATE(YEAR((Tahmin!$C$4+70)),MONTH((Tahmin!$C$4+70)),MIN(DAY(Kalemler!$D93),DAY(EOMONTH((Tahmin!$C$4+70),0))))&gt;=Kalemler!$D93),AND(DATE(YEAR((Tahmin!$C$4+76)),MONTH((Tahmin!$C$4+76)),MIN(DAY(Kalemler!$D93),DAY(EOMONTH((Tahmin!$C$4+76),0))))&gt;=(Tahmin!$C$4+70),DATE(YEAR((Tahmin!$C$4+76)),MONTH((Tahmin!$C$4+76)),MIN(DAY(Kalemler!$D93),DAY(EOMONTH((Tahmin!$C$4+76),0))))&lt;=(Tahmin!$C$4+76),DATE(YEAR((Tahmin!$C$4+76)),MONTH((Tahmin!$C$4+76)),MIN(DAY(Kalemler!$D93),DAY(EOMONTH((Tahmin!$C$4+76),0))))&lt;&gt;DATE(YEAR((Tahmin!$C$4+70)),MONTH((Tahmin!$C$4+70)),MIN(DAY(Kalemler!$D93),DAY(EOMONTH((Tahmin!$C$4+70),0)))),DATE(YEAR((Tahmin!$C$4+76)),MONTH((Tahmin!$C$4+76)),MIN(DAY(Kalemler!$D93),DAY(EOMONTH((Tahmin!$C$4+76),0))))&gt;=Kalemler!$D93)),1,0),IF(AND(Kalemler!$D93&gt;=(Tahmin!$C$4+70),Kalemler!$D93&lt;=(Tahmin!$C$4+76)),1,0))))</f>
        <v>0</v>
      </c>
      <c r="M93" s="0" t="n">
        <f aca="false">IF(OR(Kalemler!$A93="",Kalemler!$C93="",Kalemler!$D93=""),0,Kalemler!$C93*IF(Kalemler!$E93="Haftalık",IF(Kalemler!$D93&lt;=(Tahmin!$C$4+83),1,0),IF(Kalemler!$E93="Aylık",IF(OR(AND(DATE(YEAR((Tahmin!$C$4+77)),MONTH((Tahmin!$C$4+77)),MIN(DAY(Kalemler!$D93),DAY(EOMONTH((Tahmin!$C$4+77),0))))&gt;=(Tahmin!$C$4+77),DATE(YEAR((Tahmin!$C$4+77)),MONTH((Tahmin!$C$4+77)),MIN(DAY(Kalemler!$D93),DAY(EOMONTH((Tahmin!$C$4+77),0))))&lt;=(Tahmin!$C$4+83),DATE(YEAR((Tahmin!$C$4+77)),MONTH((Tahmin!$C$4+77)),MIN(DAY(Kalemler!$D93),DAY(EOMONTH((Tahmin!$C$4+77),0))))&gt;=Kalemler!$D93),AND(DATE(YEAR((Tahmin!$C$4+83)),MONTH((Tahmin!$C$4+83)),MIN(DAY(Kalemler!$D93),DAY(EOMONTH((Tahmin!$C$4+83),0))))&gt;=(Tahmin!$C$4+77),DATE(YEAR((Tahmin!$C$4+83)),MONTH((Tahmin!$C$4+83)),MIN(DAY(Kalemler!$D93),DAY(EOMONTH((Tahmin!$C$4+83),0))))&lt;=(Tahmin!$C$4+83),DATE(YEAR((Tahmin!$C$4+83)),MONTH((Tahmin!$C$4+83)),MIN(DAY(Kalemler!$D93),DAY(EOMONTH((Tahmin!$C$4+83),0))))&lt;&gt;DATE(YEAR((Tahmin!$C$4+77)),MONTH((Tahmin!$C$4+77)),MIN(DAY(Kalemler!$D93),DAY(EOMONTH((Tahmin!$C$4+77),0)))),DATE(YEAR((Tahmin!$C$4+83)),MONTH((Tahmin!$C$4+83)),MIN(DAY(Kalemler!$D93),DAY(EOMONTH((Tahmin!$C$4+83),0))))&gt;=Kalemler!$D93)),1,0),IF(AND(Kalemler!$D93&gt;=(Tahmin!$C$4+77),Kalemler!$D93&lt;=(Tahmin!$C$4+83)),1,0))))</f>
        <v>0</v>
      </c>
      <c r="N93" s="0" t="n">
        <f aca="false">IF(OR(Kalemler!$A93="",Kalemler!$C93="",Kalemler!$D93=""),0,Kalemler!$C93*IF(Kalemler!$E93="Haftalık",IF(Kalemler!$D93&lt;=(Tahmin!$C$4+90),1,0),IF(Kalemler!$E93="Aylık",IF(OR(AND(DATE(YEAR((Tahmin!$C$4+84)),MONTH((Tahmin!$C$4+84)),MIN(DAY(Kalemler!$D93),DAY(EOMONTH((Tahmin!$C$4+84),0))))&gt;=(Tahmin!$C$4+84),DATE(YEAR((Tahmin!$C$4+84)),MONTH((Tahmin!$C$4+84)),MIN(DAY(Kalemler!$D93),DAY(EOMONTH((Tahmin!$C$4+84),0))))&lt;=(Tahmin!$C$4+90),DATE(YEAR((Tahmin!$C$4+84)),MONTH((Tahmin!$C$4+84)),MIN(DAY(Kalemler!$D93),DAY(EOMONTH((Tahmin!$C$4+84),0))))&gt;=Kalemler!$D93),AND(DATE(YEAR((Tahmin!$C$4+90)),MONTH((Tahmin!$C$4+90)),MIN(DAY(Kalemler!$D93),DAY(EOMONTH((Tahmin!$C$4+90),0))))&gt;=(Tahmin!$C$4+84),DATE(YEAR((Tahmin!$C$4+90)),MONTH((Tahmin!$C$4+90)),MIN(DAY(Kalemler!$D93),DAY(EOMONTH((Tahmin!$C$4+90),0))))&lt;=(Tahmin!$C$4+90),DATE(YEAR((Tahmin!$C$4+90)),MONTH((Tahmin!$C$4+90)),MIN(DAY(Kalemler!$D93),DAY(EOMONTH((Tahmin!$C$4+90),0))))&lt;&gt;DATE(YEAR((Tahmin!$C$4+84)),MONTH((Tahmin!$C$4+84)),MIN(DAY(Kalemler!$D93),DAY(EOMONTH((Tahmin!$C$4+84),0)))),DATE(YEAR((Tahmin!$C$4+90)),MONTH((Tahmin!$C$4+90)),MIN(DAY(Kalemler!$D93),DAY(EOMONTH((Tahmin!$C$4+90),0))))&gt;=Kalemler!$D93)),1,0),IF(AND(Kalemler!$D93&gt;=(Tahmin!$C$4+84),Kalemler!$D93&lt;=(Tahmin!$C$4+90)),1,0))))</f>
        <v>0</v>
      </c>
    </row>
    <row r="94" customFormat="false" ht="15" hidden="false" customHeight="false" outlineLevel="0" collapsed="false">
      <c r="A94" s="0" t="str">
        <f aca="false">IF(Kalemler!A94="","",Kalemler!A94)</f>
        <v/>
      </c>
      <c r="B94" s="0" t="n">
        <f aca="false">IF(OR(Kalemler!$A94="",Kalemler!$C94="",Kalemler!$D94=""),0,Kalemler!$C94*IF(Kalemler!$E94="Haftalık",IF(Kalemler!$D94&lt;=(Tahmin!$C$4+6),1,0),IF(Kalemler!$E94="Aylık",IF(OR(AND(DATE(YEAR((Tahmin!$C$4+0)),MONTH((Tahmin!$C$4+0)),MIN(DAY(Kalemler!$D94),DAY(EOMONTH((Tahmin!$C$4+0),0))))&gt;=(Tahmin!$C$4+0),DATE(YEAR((Tahmin!$C$4+0)),MONTH((Tahmin!$C$4+0)),MIN(DAY(Kalemler!$D94),DAY(EOMONTH((Tahmin!$C$4+0),0))))&lt;=(Tahmin!$C$4+6),DATE(YEAR((Tahmin!$C$4+0)),MONTH((Tahmin!$C$4+0)),MIN(DAY(Kalemler!$D94),DAY(EOMONTH((Tahmin!$C$4+0),0))))&gt;=Kalemler!$D94),AND(DATE(YEAR((Tahmin!$C$4+6)),MONTH((Tahmin!$C$4+6)),MIN(DAY(Kalemler!$D94),DAY(EOMONTH((Tahmin!$C$4+6),0))))&gt;=(Tahmin!$C$4+0),DATE(YEAR((Tahmin!$C$4+6)),MONTH((Tahmin!$C$4+6)),MIN(DAY(Kalemler!$D94),DAY(EOMONTH((Tahmin!$C$4+6),0))))&lt;=(Tahmin!$C$4+6),DATE(YEAR((Tahmin!$C$4+6)),MONTH((Tahmin!$C$4+6)),MIN(DAY(Kalemler!$D94),DAY(EOMONTH((Tahmin!$C$4+6),0))))&lt;&gt;DATE(YEAR((Tahmin!$C$4+0)),MONTH((Tahmin!$C$4+0)),MIN(DAY(Kalemler!$D94),DAY(EOMONTH((Tahmin!$C$4+0),0)))),DATE(YEAR((Tahmin!$C$4+6)),MONTH((Tahmin!$C$4+6)),MIN(DAY(Kalemler!$D94),DAY(EOMONTH((Tahmin!$C$4+6),0))))&gt;=Kalemler!$D94)),1,0),IF(AND(Kalemler!$D94&gt;=(Tahmin!$C$4+0),Kalemler!$D94&lt;=(Tahmin!$C$4+6)),1,0))))</f>
        <v>0</v>
      </c>
      <c r="C94" s="0" t="n">
        <f aca="false">IF(OR(Kalemler!$A94="",Kalemler!$C94="",Kalemler!$D94=""),0,Kalemler!$C94*IF(Kalemler!$E94="Haftalık",IF(Kalemler!$D94&lt;=(Tahmin!$C$4+13),1,0),IF(Kalemler!$E94="Aylık",IF(OR(AND(DATE(YEAR((Tahmin!$C$4+7)),MONTH((Tahmin!$C$4+7)),MIN(DAY(Kalemler!$D94),DAY(EOMONTH((Tahmin!$C$4+7),0))))&gt;=(Tahmin!$C$4+7),DATE(YEAR((Tahmin!$C$4+7)),MONTH((Tahmin!$C$4+7)),MIN(DAY(Kalemler!$D94),DAY(EOMONTH((Tahmin!$C$4+7),0))))&lt;=(Tahmin!$C$4+13),DATE(YEAR((Tahmin!$C$4+7)),MONTH((Tahmin!$C$4+7)),MIN(DAY(Kalemler!$D94),DAY(EOMONTH((Tahmin!$C$4+7),0))))&gt;=Kalemler!$D94),AND(DATE(YEAR((Tahmin!$C$4+13)),MONTH((Tahmin!$C$4+13)),MIN(DAY(Kalemler!$D94),DAY(EOMONTH((Tahmin!$C$4+13),0))))&gt;=(Tahmin!$C$4+7),DATE(YEAR((Tahmin!$C$4+13)),MONTH((Tahmin!$C$4+13)),MIN(DAY(Kalemler!$D94),DAY(EOMONTH((Tahmin!$C$4+13),0))))&lt;=(Tahmin!$C$4+13),DATE(YEAR((Tahmin!$C$4+13)),MONTH((Tahmin!$C$4+13)),MIN(DAY(Kalemler!$D94),DAY(EOMONTH((Tahmin!$C$4+13),0))))&lt;&gt;DATE(YEAR((Tahmin!$C$4+7)),MONTH((Tahmin!$C$4+7)),MIN(DAY(Kalemler!$D94),DAY(EOMONTH((Tahmin!$C$4+7),0)))),DATE(YEAR((Tahmin!$C$4+13)),MONTH((Tahmin!$C$4+13)),MIN(DAY(Kalemler!$D94),DAY(EOMONTH((Tahmin!$C$4+13),0))))&gt;=Kalemler!$D94)),1,0),IF(AND(Kalemler!$D94&gt;=(Tahmin!$C$4+7),Kalemler!$D94&lt;=(Tahmin!$C$4+13)),1,0))))</f>
        <v>0</v>
      </c>
      <c r="D94" s="0" t="n">
        <f aca="false">IF(OR(Kalemler!$A94="",Kalemler!$C94="",Kalemler!$D94=""),0,Kalemler!$C94*IF(Kalemler!$E94="Haftalık",IF(Kalemler!$D94&lt;=(Tahmin!$C$4+20),1,0),IF(Kalemler!$E94="Aylık",IF(OR(AND(DATE(YEAR((Tahmin!$C$4+14)),MONTH((Tahmin!$C$4+14)),MIN(DAY(Kalemler!$D94),DAY(EOMONTH((Tahmin!$C$4+14),0))))&gt;=(Tahmin!$C$4+14),DATE(YEAR((Tahmin!$C$4+14)),MONTH((Tahmin!$C$4+14)),MIN(DAY(Kalemler!$D94),DAY(EOMONTH((Tahmin!$C$4+14),0))))&lt;=(Tahmin!$C$4+20),DATE(YEAR((Tahmin!$C$4+14)),MONTH((Tahmin!$C$4+14)),MIN(DAY(Kalemler!$D94),DAY(EOMONTH((Tahmin!$C$4+14),0))))&gt;=Kalemler!$D94),AND(DATE(YEAR((Tahmin!$C$4+20)),MONTH((Tahmin!$C$4+20)),MIN(DAY(Kalemler!$D94),DAY(EOMONTH((Tahmin!$C$4+20),0))))&gt;=(Tahmin!$C$4+14),DATE(YEAR((Tahmin!$C$4+20)),MONTH((Tahmin!$C$4+20)),MIN(DAY(Kalemler!$D94),DAY(EOMONTH((Tahmin!$C$4+20),0))))&lt;=(Tahmin!$C$4+20),DATE(YEAR((Tahmin!$C$4+20)),MONTH((Tahmin!$C$4+20)),MIN(DAY(Kalemler!$D94),DAY(EOMONTH((Tahmin!$C$4+20),0))))&lt;&gt;DATE(YEAR((Tahmin!$C$4+14)),MONTH((Tahmin!$C$4+14)),MIN(DAY(Kalemler!$D94),DAY(EOMONTH((Tahmin!$C$4+14),0)))),DATE(YEAR((Tahmin!$C$4+20)),MONTH((Tahmin!$C$4+20)),MIN(DAY(Kalemler!$D94),DAY(EOMONTH((Tahmin!$C$4+20),0))))&gt;=Kalemler!$D94)),1,0),IF(AND(Kalemler!$D94&gt;=(Tahmin!$C$4+14),Kalemler!$D94&lt;=(Tahmin!$C$4+20)),1,0))))</f>
        <v>0</v>
      </c>
      <c r="E94" s="0" t="n">
        <f aca="false">IF(OR(Kalemler!$A94="",Kalemler!$C94="",Kalemler!$D94=""),0,Kalemler!$C94*IF(Kalemler!$E94="Haftalık",IF(Kalemler!$D94&lt;=(Tahmin!$C$4+27),1,0),IF(Kalemler!$E94="Aylık",IF(OR(AND(DATE(YEAR((Tahmin!$C$4+21)),MONTH((Tahmin!$C$4+21)),MIN(DAY(Kalemler!$D94),DAY(EOMONTH((Tahmin!$C$4+21),0))))&gt;=(Tahmin!$C$4+21),DATE(YEAR((Tahmin!$C$4+21)),MONTH((Tahmin!$C$4+21)),MIN(DAY(Kalemler!$D94),DAY(EOMONTH((Tahmin!$C$4+21),0))))&lt;=(Tahmin!$C$4+27),DATE(YEAR((Tahmin!$C$4+21)),MONTH((Tahmin!$C$4+21)),MIN(DAY(Kalemler!$D94),DAY(EOMONTH((Tahmin!$C$4+21),0))))&gt;=Kalemler!$D94),AND(DATE(YEAR((Tahmin!$C$4+27)),MONTH((Tahmin!$C$4+27)),MIN(DAY(Kalemler!$D94),DAY(EOMONTH((Tahmin!$C$4+27),0))))&gt;=(Tahmin!$C$4+21),DATE(YEAR((Tahmin!$C$4+27)),MONTH((Tahmin!$C$4+27)),MIN(DAY(Kalemler!$D94),DAY(EOMONTH((Tahmin!$C$4+27),0))))&lt;=(Tahmin!$C$4+27),DATE(YEAR((Tahmin!$C$4+27)),MONTH((Tahmin!$C$4+27)),MIN(DAY(Kalemler!$D94),DAY(EOMONTH((Tahmin!$C$4+27),0))))&lt;&gt;DATE(YEAR((Tahmin!$C$4+21)),MONTH((Tahmin!$C$4+21)),MIN(DAY(Kalemler!$D94),DAY(EOMONTH((Tahmin!$C$4+21),0)))),DATE(YEAR((Tahmin!$C$4+27)),MONTH((Tahmin!$C$4+27)),MIN(DAY(Kalemler!$D94),DAY(EOMONTH((Tahmin!$C$4+27),0))))&gt;=Kalemler!$D94)),1,0),IF(AND(Kalemler!$D94&gt;=(Tahmin!$C$4+21),Kalemler!$D94&lt;=(Tahmin!$C$4+27)),1,0))))</f>
        <v>0</v>
      </c>
      <c r="F94" s="0" t="n">
        <f aca="false">IF(OR(Kalemler!$A94="",Kalemler!$C94="",Kalemler!$D94=""),0,Kalemler!$C94*IF(Kalemler!$E94="Haftalık",IF(Kalemler!$D94&lt;=(Tahmin!$C$4+34),1,0),IF(Kalemler!$E94="Aylık",IF(OR(AND(DATE(YEAR((Tahmin!$C$4+28)),MONTH((Tahmin!$C$4+28)),MIN(DAY(Kalemler!$D94),DAY(EOMONTH((Tahmin!$C$4+28),0))))&gt;=(Tahmin!$C$4+28),DATE(YEAR((Tahmin!$C$4+28)),MONTH((Tahmin!$C$4+28)),MIN(DAY(Kalemler!$D94),DAY(EOMONTH((Tahmin!$C$4+28),0))))&lt;=(Tahmin!$C$4+34),DATE(YEAR((Tahmin!$C$4+28)),MONTH((Tahmin!$C$4+28)),MIN(DAY(Kalemler!$D94),DAY(EOMONTH((Tahmin!$C$4+28),0))))&gt;=Kalemler!$D94),AND(DATE(YEAR((Tahmin!$C$4+34)),MONTH((Tahmin!$C$4+34)),MIN(DAY(Kalemler!$D94),DAY(EOMONTH((Tahmin!$C$4+34),0))))&gt;=(Tahmin!$C$4+28),DATE(YEAR((Tahmin!$C$4+34)),MONTH((Tahmin!$C$4+34)),MIN(DAY(Kalemler!$D94),DAY(EOMONTH((Tahmin!$C$4+34),0))))&lt;=(Tahmin!$C$4+34),DATE(YEAR((Tahmin!$C$4+34)),MONTH((Tahmin!$C$4+34)),MIN(DAY(Kalemler!$D94),DAY(EOMONTH((Tahmin!$C$4+34),0))))&lt;&gt;DATE(YEAR((Tahmin!$C$4+28)),MONTH((Tahmin!$C$4+28)),MIN(DAY(Kalemler!$D94),DAY(EOMONTH((Tahmin!$C$4+28),0)))),DATE(YEAR((Tahmin!$C$4+34)),MONTH((Tahmin!$C$4+34)),MIN(DAY(Kalemler!$D94),DAY(EOMONTH((Tahmin!$C$4+34),0))))&gt;=Kalemler!$D94)),1,0),IF(AND(Kalemler!$D94&gt;=(Tahmin!$C$4+28),Kalemler!$D94&lt;=(Tahmin!$C$4+34)),1,0))))</f>
        <v>0</v>
      </c>
      <c r="G94" s="0" t="n">
        <f aca="false">IF(OR(Kalemler!$A94="",Kalemler!$C94="",Kalemler!$D94=""),0,Kalemler!$C94*IF(Kalemler!$E94="Haftalık",IF(Kalemler!$D94&lt;=(Tahmin!$C$4+41),1,0),IF(Kalemler!$E94="Aylık",IF(OR(AND(DATE(YEAR((Tahmin!$C$4+35)),MONTH((Tahmin!$C$4+35)),MIN(DAY(Kalemler!$D94),DAY(EOMONTH((Tahmin!$C$4+35),0))))&gt;=(Tahmin!$C$4+35),DATE(YEAR((Tahmin!$C$4+35)),MONTH((Tahmin!$C$4+35)),MIN(DAY(Kalemler!$D94),DAY(EOMONTH((Tahmin!$C$4+35),0))))&lt;=(Tahmin!$C$4+41),DATE(YEAR((Tahmin!$C$4+35)),MONTH((Tahmin!$C$4+35)),MIN(DAY(Kalemler!$D94),DAY(EOMONTH((Tahmin!$C$4+35),0))))&gt;=Kalemler!$D94),AND(DATE(YEAR((Tahmin!$C$4+41)),MONTH((Tahmin!$C$4+41)),MIN(DAY(Kalemler!$D94),DAY(EOMONTH((Tahmin!$C$4+41),0))))&gt;=(Tahmin!$C$4+35),DATE(YEAR((Tahmin!$C$4+41)),MONTH((Tahmin!$C$4+41)),MIN(DAY(Kalemler!$D94),DAY(EOMONTH((Tahmin!$C$4+41),0))))&lt;=(Tahmin!$C$4+41),DATE(YEAR((Tahmin!$C$4+41)),MONTH((Tahmin!$C$4+41)),MIN(DAY(Kalemler!$D94),DAY(EOMONTH((Tahmin!$C$4+41),0))))&lt;&gt;DATE(YEAR((Tahmin!$C$4+35)),MONTH((Tahmin!$C$4+35)),MIN(DAY(Kalemler!$D94),DAY(EOMONTH((Tahmin!$C$4+35),0)))),DATE(YEAR((Tahmin!$C$4+41)),MONTH((Tahmin!$C$4+41)),MIN(DAY(Kalemler!$D94),DAY(EOMONTH((Tahmin!$C$4+41),0))))&gt;=Kalemler!$D94)),1,0),IF(AND(Kalemler!$D94&gt;=(Tahmin!$C$4+35),Kalemler!$D94&lt;=(Tahmin!$C$4+41)),1,0))))</f>
        <v>0</v>
      </c>
      <c r="H94" s="0" t="n">
        <f aca="false">IF(OR(Kalemler!$A94="",Kalemler!$C94="",Kalemler!$D94=""),0,Kalemler!$C94*IF(Kalemler!$E94="Haftalık",IF(Kalemler!$D94&lt;=(Tahmin!$C$4+48),1,0),IF(Kalemler!$E94="Aylık",IF(OR(AND(DATE(YEAR((Tahmin!$C$4+42)),MONTH((Tahmin!$C$4+42)),MIN(DAY(Kalemler!$D94),DAY(EOMONTH((Tahmin!$C$4+42),0))))&gt;=(Tahmin!$C$4+42),DATE(YEAR((Tahmin!$C$4+42)),MONTH((Tahmin!$C$4+42)),MIN(DAY(Kalemler!$D94),DAY(EOMONTH((Tahmin!$C$4+42),0))))&lt;=(Tahmin!$C$4+48),DATE(YEAR((Tahmin!$C$4+42)),MONTH((Tahmin!$C$4+42)),MIN(DAY(Kalemler!$D94),DAY(EOMONTH((Tahmin!$C$4+42),0))))&gt;=Kalemler!$D94),AND(DATE(YEAR((Tahmin!$C$4+48)),MONTH((Tahmin!$C$4+48)),MIN(DAY(Kalemler!$D94),DAY(EOMONTH((Tahmin!$C$4+48),0))))&gt;=(Tahmin!$C$4+42),DATE(YEAR((Tahmin!$C$4+48)),MONTH((Tahmin!$C$4+48)),MIN(DAY(Kalemler!$D94),DAY(EOMONTH((Tahmin!$C$4+48),0))))&lt;=(Tahmin!$C$4+48),DATE(YEAR((Tahmin!$C$4+48)),MONTH((Tahmin!$C$4+48)),MIN(DAY(Kalemler!$D94),DAY(EOMONTH((Tahmin!$C$4+48),0))))&lt;&gt;DATE(YEAR((Tahmin!$C$4+42)),MONTH((Tahmin!$C$4+42)),MIN(DAY(Kalemler!$D94),DAY(EOMONTH((Tahmin!$C$4+42),0)))),DATE(YEAR((Tahmin!$C$4+48)),MONTH((Tahmin!$C$4+48)),MIN(DAY(Kalemler!$D94),DAY(EOMONTH((Tahmin!$C$4+48),0))))&gt;=Kalemler!$D94)),1,0),IF(AND(Kalemler!$D94&gt;=(Tahmin!$C$4+42),Kalemler!$D94&lt;=(Tahmin!$C$4+48)),1,0))))</f>
        <v>0</v>
      </c>
      <c r="I94" s="0" t="n">
        <f aca="false">IF(OR(Kalemler!$A94="",Kalemler!$C94="",Kalemler!$D94=""),0,Kalemler!$C94*IF(Kalemler!$E94="Haftalık",IF(Kalemler!$D94&lt;=(Tahmin!$C$4+55),1,0),IF(Kalemler!$E94="Aylık",IF(OR(AND(DATE(YEAR((Tahmin!$C$4+49)),MONTH((Tahmin!$C$4+49)),MIN(DAY(Kalemler!$D94),DAY(EOMONTH((Tahmin!$C$4+49),0))))&gt;=(Tahmin!$C$4+49),DATE(YEAR((Tahmin!$C$4+49)),MONTH((Tahmin!$C$4+49)),MIN(DAY(Kalemler!$D94),DAY(EOMONTH((Tahmin!$C$4+49),0))))&lt;=(Tahmin!$C$4+55),DATE(YEAR((Tahmin!$C$4+49)),MONTH((Tahmin!$C$4+49)),MIN(DAY(Kalemler!$D94),DAY(EOMONTH((Tahmin!$C$4+49),0))))&gt;=Kalemler!$D94),AND(DATE(YEAR((Tahmin!$C$4+55)),MONTH((Tahmin!$C$4+55)),MIN(DAY(Kalemler!$D94),DAY(EOMONTH((Tahmin!$C$4+55),0))))&gt;=(Tahmin!$C$4+49),DATE(YEAR((Tahmin!$C$4+55)),MONTH((Tahmin!$C$4+55)),MIN(DAY(Kalemler!$D94),DAY(EOMONTH((Tahmin!$C$4+55),0))))&lt;=(Tahmin!$C$4+55),DATE(YEAR((Tahmin!$C$4+55)),MONTH((Tahmin!$C$4+55)),MIN(DAY(Kalemler!$D94),DAY(EOMONTH((Tahmin!$C$4+55),0))))&lt;&gt;DATE(YEAR((Tahmin!$C$4+49)),MONTH((Tahmin!$C$4+49)),MIN(DAY(Kalemler!$D94),DAY(EOMONTH((Tahmin!$C$4+49),0)))),DATE(YEAR((Tahmin!$C$4+55)),MONTH((Tahmin!$C$4+55)),MIN(DAY(Kalemler!$D94),DAY(EOMONTH((Tahmin!$C$4+55),0))))&gt;=Kalemler!$D94)),1,0),IF(AND(Kalemler!$D94&gt;=(Tahmin!$C$4+49),Kalemler!$D94&lt;=(Tahmin!$C$4+55)),1,0))))</f>
        <v>0</v>
      </c>
      <c r="J94" s="0" t="n">
        <f aca="false">IF(OR(Kalemler!$A94="",Kalemler!$C94="",Kalemler!$D94=""),0,Kalemler!$C94*IF(Kalemler!$E94="Haftalık",IF(Kalemler!$D94&lt;=(Tahmin!$C$4+62),1,0),IF(Kalemler!$E94="Aylık",IF(OR(AND(DATE(YEAR((Tahmin!$C$4+56)),MONTH((Tahmin!$C$4+56)),MIN(DAY(Kalemler!$D94),DAY(EOMONTH((Tahmin!$C$4+56),0))))&gt;=(Tahmin!$C$4+56),DATE(YEAR((Tahmin!$C$4+56)),MONTH((Tahmin!$C$4+56)),MIN(DAY(Kalemler!$D94),DAY(EOMONTH((Tahmin!$C$4+56),0))))&lt;=(Tahmin!$C$4+62),DATE(YEAR((Tahmin!$C$4+56)),MONTH((Tahmin!$C$4+56)),MIN(DAY(Kalemler!$D94),DAY(EOMONTH((Tahmin!$C$4+56),0))))&gt;=Kalemler!$D94),AND(DATE(YEAR((Tahmin!$C$4+62)),MONTH((Tahmin!$C$4+62)),MIN(DAY(Kalemler!$D94),DAY(EOMONTH((Tahmin!$C$4+62),0))))&gt;=(Tahmin!$C$4+56),DATE(YEAR((Tahmin!$C$4+62)),MONTH((Tahmin!$C$4+62)),MIN(DAY(Kalemler!$D94),DAY(EOMONTH((Tahmin!$C$4+62),0))))&lt;=(Tahmin!$C$4+62),DATE(YEAR((Tahmin!$C$4+62)),MONTH((Tahmin!$C$4+62)),MIN(DAY(Kalemler!$D94),DAY(EOMONTH((Tahmin!$C$4+62),0))))&lt;&gt;DATE(YEAR((Tahmin!$C$4+56)),MONTH((Tahmin!$C$4+56)),MIN(DAY(Kalemler!$D94),DAY(EOMONTH((Tahmin!$C$4+56),0)))),DATE(YEAR((Tahmin!$C$4+62)),MONTH((Tahmin!$C$4+62)),MIN(DAY(Kalemler!$D94),DAY(EOMONTH((Tahmin!$C$4+62),0))))&gt;=Kalemler!$D94)),1,0),IF(AND(Kalemler!$D94&gt;=(Tahmin!$C$4+56),Kalemler!$D94&lt;=(Tahmin!$C$4+62)),1,0))))</f>
        <v>0</v>
      </c>
      <c r="K94" s="0" t="n">
        <f aca="false">IF(OR(Kalemler!$A94="",Kalemler!$C94="",Kalemler!$D94=""),0,Kalemler!$C94*IF(Kalemler!$E94="Haftalık",IF(Kalemler!$D94&lt;=(Tahmin!$C$4+69),1,0),IF(Kalemler!$E94="Aylık",IF(OR(AND(DATE(YEAR((Tahmin!$C$4+63)),MONTH((Tahmin!$C$4+63)),MIN(DAY(Kalemler!$D94),DAY(EOMONTH((Tahmin!$C$4+63),0))))&gt;=(Tahmin!$C$4+63),DATE(YEAR((Tahmin!$C$4+63)),MONTH((Tahmin!$C$4+63)),MIN(DAY(Kalemler!$D94),DAY(EOMONTH((Tahmin!$C$4+63),0))))&lt;=(Tahmin!$C$4+69),DATE(YEAR((Tahmin!$C$4+63)),MONTH((Tahmin!$C$4+63)),MIN(DAY(Kalemler!$D94),DAY(EOMONTH((Tahmin!$C$4+63),0))))&gt;=Kalemler!$D94),AND(DATE(YEAR((Tahmin!$C$4+69)),MONTH((Tahmin!$C$4+69)),MIN(DAY(Kalemler!$D94),DAY(EOMONTH((Tahmin!$C$4+69),0))))&gt;=(Tahmin!$C$4+63),DATE(YEAR((Tahmin!$C$4+69)),MONTH((Tahmin!$C$4+69)),MIN(DAY(Kalemler!$D94),DAY(EOMONTH((Tahmin!$C$4+69),0))))&lt;=(Tahmin!$C$4+69),DATE(YEAR((Tahmin!$C$4+69)),MONTH((Tahmin!$C$4+69)),MIN(DAY(Kalemler!$D94),DAY(EOMONTH((Tahmin!$C$4+69),0))))&lt;&gt;DATE(YEAR((Tahmin!$C$4+63)),MONTH((Tahmin!$C$4+63)),MIN(DAY(Kalemler!$D94),DAY(EOMONTH((Tahmin!$C$4+63),0)))),DATE(YEAR((Tahmin!$C$4+69)),MONTH((Tahmin!$C$4+69)),MIN(DAY(Kalemler!$D94),DAY(EOMONTH((Tahmin!$C$4+69),0))))&gt;=Kalemler!$D94)),1,0),IF(AND(Kalemler!$D94&gt;=(Tahmin!$C$4+63),Kalemler!$D94&lt;=(Tahmin!$C$4+69)),1,0))))</f>
        <v>0</v>
      </c>
      <c r="L94" s="0" t="n">
        <f aca="false">IF(OR(Kalemler!$A94="",Kalemler!$C94="",Kalemler!$D94=""),0,Kalemler!$C94*IF(Kalemler!$E94="Haftalık",IF(Kalemler!$D94&lt;=(Tahmin!$C$4+76),1,0),IF(Kalemler!$E94="Aylık",IF(OR(AND(DATE(YEAR((Tahmin!$C$4+70)),MONTH((Tahmin!$C$4+70)),MIN(DAY(Kalemler!$D94),DAY(EOMONTH((Tahmin!$C$4+70),0))))&gt;=(Tahmin!$C$4+70),DATE(YEAR((Tahmin!$C$4+70)),MONTH((Tahmin!$C$4+70)),MIN(DAY(Kalemler!$D94),DAY(EOMONTH((Tahmin!$C$4+70),0))))&lt;=(Tahmin!$C$4+76),DATE(YEAR((Tahmin!$C$4+70)),MONTH((Tahmin!$C$4+70)),MIN(DAY(Kalemler!$D94),DAY(EOMONTH((Tahmin!$C$4+70),0))))&gt;=Kalemler!$D94),AND(DATE(YEAR((Tahmin!$C$4+76)),MONTH((Tahmin!$C$4+76)),MIN(DAY(Kalemler!$D94),DAY(EOMONTH((Tahmin!$C$4+76),0))))&gt;=(Tahmin!$C$4+70),DATE(YEAR((Tahmin!$C$4+76)),MONTH((Tahmin!$C$4+76)),MIN(DAY(Kalemler!$D94),DAY(EOMONTH((Tahmin!$C$4+76),0))))&lt;=(Tahmin!$C$4+76),DATE(YEAR((Tahmin!$C$4+76)),MONTH((Tahmin!$C$4+76)),MIN(DAY(Kalemler!$D94),DAY(EOMONTH((Tahmin!$C$4+76),0))))&lt;&gt;DATE(YEAR((Tahmin!$C$4+70)),MONTH((Tahmin!$C$4+70)),MIN(DAY(Kalemler!$D94),DAY(EOMONTH((Tahmin!$C$4+70),0)))),DATE(YEAR((Tahmin!$C$4+76)),MONTH((Tahmin!$C$4+76)),MIN(DAY(Kalemler!$D94),DAY(EOMONTH((Tahmin!$C$4+76),0))))&gt;=Kalemler!$D94)),1,0),IF(AND(Kalemler!$D94&gt;=(Tahmin!$C$4+70),Kalemler!$D94&lt;=(Tahmin!$C$4+76)),1,0))))</f>
        <v>0</v>
      </c>
      <c r="M94" s="0" t="n">
        <f aca="false">IF(OR(Kalemler!$A94="",Kalemler!$C94="",Kalemler!$D94=""),0,Kalemler!$C94*IF(Kalemler!$E94="Haftalık",IF(Kalemler!$D94&lt;=(Tahmin!$C$4+83),1,0),IF(Kalemler!$E94="Aylık",IF(OR(AND(DATE(YEAR((Tahmin!$C$4+77)),MONTH((Tahmin!$C$4+77)),MIN(DAY(Kalemler!$D94),DAY(EOMONTH((Tahmin!$C$4+77),0))))&gt;=(Tahmin!$C$4+77),DATE(YEAR((Tahmin!$C$4+77)),MONTH((Tahmin!$C$4+77)),MIN(DAY(Kalemler!$D94),DAY(EOMONTH((Tahmin!$C$4+77),0))))&lt;=(Tahmin!$C$4+83),DATE(YEAR((Tahmin!$C$4+77)),MONTH((Tahmin!$C$4+77)),MIN(DAY(Kalemler!$D94),DAY(EOMONTH((Tahmin!$C$4+77),0))))&gt;=Kalemler!$D94),AND(DATE(YEAR((Tahmin!$C$4+83)),MONTH((Tahmin!$C$4+83)),MIN(DAY(Kalemler!$D94),DAY(EOMONTH((Tahmin!$C$4+83),0))))&gt;=(Tahmin!$C$4+77),DATE(YEAR((Tahmin!$C$4+83)),MONTH((Tahmin!$C$4+83)),MIN(DAY(Kalemler!$D94),DAY(EOMONTH((Tahmin!$C$4+83),0))))&lt;=(Tahmin!$C$4+83),DATE(YEAR((Tahmin!$C$4+83)),MONTH((Tahmin!$C$4+83)),MIN(DAY(Kalemler!$D94),DAY(EOMONTH((Tahmin!$C$4+83),0))))&lt;&gt;DATE(YEAR((Tahmin!$C$4+77)),MONTH((Tahmin!$C$4+77)),MIN(DAY(Kalemler!$D94),DAY(EOMONTH((Tahmin!$C$4+77),0)))),DATE(YEAR((Tahmin!$C$4+83)),MONTH((Tahmin!$C$4+83)),MIN(DAY(Kalemler!$D94),DAY(EOMONTH((Tahmin!$C$4+83),0))))&gt;=Kalemler!$D94)),1,0),IF(AND(Kalemler!$D94&gt;=(Tahmin!$C$4+77),Kalemler!$D94&lt;=(Tahmin!$C$4+83)),1,0))))</f>
        <v>0</v>
      </c>
      <c r="N94" s="0" t="n">
        <f aca="false">IF(OR(Kalemler!$A94="",Kalemler!$C94="",Kalemler!$D94=""),0,Kalemler!$C94*IF(Kalemler!$E94="Haftalık",IF(Kalemler!$D94&lt;=(Tahmin!$C$4+90),1,0),IF(Kalemler!$E94="Aylık",IF(OR(AND(DATE(YEAR((Tahmin!$C$4+84)),MONTH((Tahmin!$C$4+84)),MIN(DAY(Kalemler!$D94),DAY(EOMONTH((Tahmin!$C$4+84),0))))&gt;=(Tahmin!$C$4+84),DATE(YEAR((Tahmin!$C$4+84)),MONTH((Tahmin!$C$4+84)),MIN(DAY(Kalemler!$D94),DAY(EOMONTH((Tahmin!$C$4+84),0))))&lt;=(Tahmin!$C$4+90),DATE(YEAR((Tahmin!$C$4+84)),MONTH((Tahmin!$C$4+84)),MIN(DAY(Kalemler!$D94),DAY(EOMONTH((Tahmin!$C$4+84),0))))&gt;=Kalemler!$D94),AND(DATE(YEAR((Tahmin!$C$4+90)),MONTH((Tahmin!$C$4+90)),MIN(DAY(Kalemler!$D94),DAY(EOMONTH((Tahmin!$C$4+90),0))))&gt;=(Tahmin!$C$4+84),DATE(YEAR((Tahmin!$C$4+90)),MONTH((Tahmin!$C$4+90)),MIN(DAY(Kalemler!$D94),DAY(EOMONTH((Tahmin!$C$4+90),0))))&lt;=(Tahmin!$C$4+90),DATE(YEAR((Tahmin!$C$4+90)),MONTH((Tahmin!$C$4+90)),MIN(DAY(Kalemler!$D94),DAY(EOMONTH((Tahmin!$C$4+90),0))))&lt;&gt;DATE(YEAR((Tahmin!$C$4+84)),MONTH((Tahmin!$C$4+84)),MIN(DAY(Kalemler!$D94),DAY(EOMONTH((Tahmin!$C$4+84),0)))),DATE(YEAR((Tahmin!$C$4+90)),MONTH((Tahmin!$C$4+90)),MIN(DAY(Kalemler!$D94),DAY(EOMONTH((Tahmin!$C$4+90),0))))&gt;=Kalemler!$D94)),1,0),IF(AND(Kalemler!$D94&gt;=(Tahmin!$C$4+84),Kalemler!$D94&lt;=(Tahmin!$C$4+90)),1,0))))</f>
        <v>0</v>
      </c>
    </row>
    <row r="95" customFormat="false" ht="15" hidden="false" customHeight="false" outlineLevel="0" collapsed="false">
      <c r="A95" s="0" t="str">
        <f aca="false">IF(Kalemler!A95="","",Kalemler!A95)</f>
        <v/>
      </c>
      <c r="B95" s="0" t="n">
        <f aca="false">IF(OR(Kalemler!$A95="",Kalemler!$C95="",Kalemler!$D95=""),0,Kalemler!$C95*IF(Kalemler!$E95="Haftalık",IF(Kalemler!$D95&lt;=(Tahmin!$C$4+6),1,0),IF(Kalemler!$E95="Aylık",IF(OR(AND(DATE(YEAR((Tahmin!$C$4+0)),MONTH((Tahmin!$C$4+0)),MIN(DAY(Kalemler!$D95),DAY(EOMONTH((Tahmin!$C$4+0),0))))&gt;=(Tahmin!$C$4+0),DATE(YEAR((Tahmin!$C$4+0)),MONTH((Tahmin!$C$4+0)),MIN(DAY(Kalemler!$D95),DAY(EOMONTH((Tahmin!$C$4+0),0))))&lt;=(Tahmin!$C$4+6),DATE(YEAR((Tahmin!$C$4+0)),MONTH((Tahmin!$C$4+0)),MIN(DAY(Kalemler!$D95),DAY(EOMONTH((Tahmin!$C$4+0),0))))&gt;=Kalemler!$D95),AND(DATE(YEAR((Tahmin!$C$4+6)),MONTH((Tahmin!$C$4+6)),MIN(DAY(Kalemler!$D95),DAY(EOMONTH((Tahmin!$C$4+6),0))))&gt;=(Tahmin!$C$4+0),DATE(YEAR((Tahmin!$C$4+6)),MONTH((Tahmin!$C$4+6)),MIN(DAY(Kalemler!$D95),DAY(EOMONTH((Tahmin!$C$4+6),0))))&lt;=(Tahmin!$C$4+6),DATE(YEAR((Tahmin!$C$4+6)),MONTH((Tahmin!$C$4+6)),MIN(DAY(Kalemler!$D95),DAY(EOMONTH((Tahmin!$C$4+6),0))))&lt;&gt;DATE(YEAR((Tahmin!$C$4+0)),MONTH((Tahmin!$C$4+0)),MIN(DAY(Kalemler!$D95),DAY(EOMONTH((Tahmin!$C$4+0),0)))),DATE(YEAR((Tahmin!$C$4+6)),MONTH((Tahmin!$C$4+6)),MIN(DAY(Kalemler!$D95),DAY(EOMONTH((Tahmin!$C$4+6),0))))&gt;=Kalemler!$D95)),1,0),IF(AND(Kalemler!$D95&gt;=(Tahmin!$C$4+0),Kalemler!$D95&lt;=(Tahmin!$C$4+6)),1,0))))</f>
        <v>0</v>
      </c>
      <c r="C95" s="0" t="n">
        <f aca="false">IF(OR(Kalemler!$A95="",Kalemler!$C95="",Kalemler!$D95=""),0,Kalemler!$C95*IF(Kalemler!$E95="Haftalık",IF(Kalemler!$D95&lt;=(Tahmin!$C$4+13),1,0),IF(Kalemler!$E95="Aylık",IF(OR(AND(DATE(YEAR((Tahmin!$C$4+7)),MONTH((Tahmin!$C$4+7)),MIN(DAY(Kalemler!$D95),DAY(EOMONTH((Tahmin!$C$4+7),0))))&gt;=(Tahmin!$C$4+7),DATE(YEAR((Tahmin!$C$4+7)),MONTH((Tahmin!$C$4+7)),MIN(DAY(Kalemler!$D95),DAY(EOMONTH((Tahmin!$C$4+7),0))))&lt;=(Tahmin!$C$4+13),DATE(YEAR((Tahmin!$C$4+7)),MONTH((Tahmin!$C$4+7)),MIN(DAY(Kalemler!$D95),DAY(EOMONTH((Tahmin!$C$4+7),0))))&gt;=Kalemler!$D95),AND(DATE(YEAR((Tahmin!$C$4+13)),MONTH((Tahmin!$C$4+13)),MIN(DAY(Kalemler!$D95),DAY(EOMONTH((Tahmin!$C$4+13),0))))&gt;=(Tahmin!$C$4+7),DATE(YEAR((Tahmin!$C$4+13)),MONTH((Tahmin!$C$4+13)),MIN(DAY(Kalemler!$D95),DAY(EOMONTH((Tahmin!$C$4+13),0))))&lt;=(Tahmin!$C$4+13),DATE(YEAR((Tahmin!$C$4+13)),MONTH((Tahmin!$C$4+13)),MIN(DAY(Kalemler!$D95),DAY(EOMONTH((Tahmin!$C$4+13),0))))&lt;&gt;DATE(YEAR((Tahmin!$C$4+7)),MONTH((Tahmin!$C$4+7)),MIN(DAY(Kalemler!$D95),DAY(EOMONTH((Tahmin!$C$4+7),0)))),DATE(YEAR((Tahmin!$C$4+13)),MONTH((Tahmin!$C$4+13)),MIN(DAY(Kalemler!$D95),DAY(EOMONTH((Tahmin!$C$4+13),0))))&gt;=Kalemler!$D95)),1,0),IF(AND(Kalemler!$D95&gt;=(Tahmin!$C$4+7),Kalemler!$D95&lt;=(Tahmin!$C$4+13)),1,0))))</f>
        <v>0</v>
      </c>
      <c r="D95" s="0" t="n">
        <f aca="false">IF(OR(Kalemler!$A95="",Kalemler!$C95="",Kalemler!$D95=""),0,Kalemler!$C95*IF(Kalemler!$E95="Haftalık",IF(Kalemler!$D95&lt;=(Tahmin!$C$4+20),1,0),IF(Kalemler!$E95="Aylık",IF(OR(AND(DATE(YEAR((Tahmin!$C$4+14)),MONTH((Tahmin!$C$4+14)),MIN(DAY(Kalemler!$D95),DAY(EOMONTH((Tahmin!$C$4+14),0))))&gt;=(Tahmin!$C$4+14),DATE(YEAR((Tahmin!$C$4+14)),MONTH((Tahmin!$C$4+14)),MIN(DAY(Kalemler!$D95),DAY(EOMONTH((Tahmin!$C$4+14),0))))&lt;=(Tahmin!$C$4+20),DATE(YEAR((Tahmin!$C$4+14)),MONTH((Tahmin!$C$4+14)),MIN(DAY(Kalemler!$D95),DAY(EOMONTH((Tahmin!$C$4+14),0))))&gt;=Kalemler!$D95),AND(DATE(YEAR((Tahmin!$C$4+20)),MONTH((Tahmin!$C$4+20)),MIN(DAY(Kalemler!$D95),DAY(EOMONTH((Tahmin!$C$4+20),0))))&gt;=(Tahmin!$C$4+14),DATE(YEAR((Tahmin!$C$4+20)),MONTH((Tahmin!$C$4+20)),MIN(DAY(Kalemler!$D95),DAY(EOMONTH((Tahmin!$C$4+20),0))))&lt;=(Tahmin!$C$4+20),DATE(YEAR((Tahmin!$C$4+20)),MONTH((Tahmin!$C$4+20)),MIN(DAY(Kalemler!$D95),DAY(EOMONTH((Tahmin!$C$4+20),0))))&lt;&gt;DATE(YEAR((Tahmin!$C$4+14)),MONTH((Tahmin!$C$4+14)),MIN(DAY(Kalemler!$D95),DAY(EOMONTH((Tahmin!$C$4+14),0)))),DATE(YEAR((Tahmin!$C$4+20)),MONTH((Tahmin!$C$4+20)),MIN(DAY(Kalemler!$D95),DAY(EOMONTH((Tahmin!$C$4+20),0))))&gt;=Kalemler!$D95)),1,0),IF(AND(Kalemler!$D95&gt;=(Tahmin!$C$4+14),Kalemler!$D95&lt;=(Tahmin!$C$4+20)),1,0))))</f>
        <v>0</v>
      </c>
      <c r="E95" s="0" t="n">
        <f aca="false">IF(OR(Kalemler!$A95="",Kalemler!$C95="",Kalemler!$D95=""),0,Kalemler!$C95*IF(Kalemler!$E95="Haftalık",IF(Kalemler!$D95&lt;=(Tahmin!$C$4+27),1,0),IF(Kalemler!$E95="Aylık",IF(OR(AND(DATE(YEAR((Tahmin!$C$4+21)),MONTH((Tahmin!$C$4+21)),MIN(DAY(Kalemler!$D95),DAY(EOMONTH((Tahmin!$C$4+21),0))))&gt;=(Tahmin!$C$4+21),DATE(YEAR((Tahmin!$C$4+21)),MONTH((Tahmin!$C$4+21)),MIN(DAY(Kalemler!$D95),DAY(EOMONTH((Tahmin!$C$4+21),0))))&lt;=(Tahmin!$C$4+27),DATE(YEAR((Tahmin!$C$4+21)),MONTH((Tahmin!$C$4+21)),MIN(DAY(Kalemler!$D95),DAY(EOMONTH((Tahmin!$C$4+21),0))))&gt;=Kalemler!$D95),AND(DATE(YEAR((Tahmin!$C$4+27)),MONTH((Tahmin!$C$4+27)),MIN(DAY(Kalemler!$D95),DAY(EOMONTH((Tahmin!$C$4+27),0))))&gt;=(Tahmin!$C$4+21),DATE(YEAR((Tahmin!$C$4+27)),MONTH((Tahmin!$C$4+27)),MIN(DAY(Kalemler!$D95),DAY(EOMONTH((Tahmin!$C$4+27),0))))&lt;=(Tahmin!$C$4+27),DATE(YEAR((Tahmin!$C$4+27)),MONTH((Tahmin!$C$4+27)),MIN(DAY(Kalemler!$D95),DAY(EOMONTH((Tahmin!$C$4+27),0))))&lt;&gt;DATE(YEAR((Tahmin!$C$4+21)),MONTH((Tahmin!$C$4+21)),MIN(DAY(Kalemler!$D95),DAY(EOMONTH((Tahmin!$C$4+21),0)))),DATE(YEAR((Tahmin!$C$4+27)),MONTH((Tahmin!$C$4+27)),MIN(DAY(Kalemler!$D95),DAY(EOMONTH((Tahmin!$C$4+27),0))))&gt;=Kalemler!$D95)),1,0),IF(AND(Kalemler!$D95&gt;=(Tahmin!$C$4+21),Kalemler!$D95&lt;=(Tahmin!$C$4+27)),1,0))))</f>
        <v>0</v>
      </c>
      <c r="F95" s="0" t="n">
        <f aca="false">IF(OR(Kalemler!$A95="",Kalemler!$C95="",Kalemler!$D95=""),0,Kalemler!$C95*IF(Kalemler!$E95="Haftalık",IF(Kalemler!$D95&lt;=(Tahmin!$C$4+34),1,0),IF(Kalemler!$E95="Aylık",IF(OR(AND(DATE(YEAR((Tahmin!$C$4+28)),MONTH((Tahmin!$C$4+28)),MIN(DAY(Kalemler!$D95),DAY(EOMONTH((Tahmin!$C$4+28),0))))&gt;=(Tahmin!$C$4+28),DATE(YEAR((Tahmin!$C$4+28)),MONTH((Tahmin!$C$4+28)),MIN(DAY(Kalemler!$D95),DAY(EOMONTH((Tahmin!$C$4+28),0))))&lt;=(Tahmin!$C$4+34),DATE(YEAR((Tahmin!$C$4+28)),MONTH((Tahmin!$C$4+28)),MIN(DAY(Kalemler!$D95),DAY(EOMONTH((Tahmin!$C$4+28),0))))&gt;=Kalemler!$D95),AND(DATE(YEAR((Tahmin!$C$4+34)),MONTH((Tahmin!$C$4+34)),MIN(DAY(Kalemler!$D95),DAY(EOMONTH((Tahmin!$C$4+34),0))))&gt;=(Tahmin!$C$4+28),DATE(YEAR((Tahmin!$C$4+34)),MONTH((Tahmin!$C$4+34)),MIN(DAY(Kalemler!$D95),DAY(EOMONTH((Tahmin!$C$4+34),0))))&lt;=(Tahmin!$C$4+34),DATE(YEAR((Tahmin!$C$4+34)),MONTH((Tahmin!$C$4+34)),MIN(DAY(Kalemler!$D95),DAY(EOMONTH((Tahmin!$C$4+34),0))))&lt;&gt;DATE(YEAR((Tahmin!$C$4+28)),MONTH((Tahmin!$C$4+28)),MIN(DAY(Kalemler!$D95),DAY(EOMONTH((Tahmin!$C$4+28),0)))),DATE(YEAR((Tahmin!$C$4+34)),MONTH((Tahmin!$C$4+34)),MIN(DAY(Kalemler!$D95),DAY(EOMONTH((Tahmin!$C$4+34),0))))&gt;=Kalemler!$D95)),1,0),IF(AND(Kalemler!$D95&gt;=(Tahmin!$C$4+28),Kalemler!$D95&lt;=(Tahmin!$C$4+34)),1,0))))</f>
        <v>0</v>
      </c>
      <c r="G95" s="0" t="n">
        <f aca="false">IF(OR(Kalemler!$A95="",Kalemler!$C95="",Kalemler!$D95=""),0,Kalemler!$C95*IF(Kalemler!$E95="Haftalık",IF(Kalemler!$D95&lt;=(Tahmin!$C$4+41),1,0),IF(Kalemler!$E95="Aylık",IF(OR(AND(DATE(YEAR((Tahmin!$C$4+35)),MONTH((Tahmin!$C$4+35)),MIN(DAY(Kalemler!$D95),DAY(EOMONTH((Tahmin!$C$4+35),0))))&gt;=(Tahmin!$C$4+35),DATE(YEAR((Tahmin!$C$4+35)),MONTH((Tahmin!$C$4+35)),MIN(DAY(Kalemler!$D95),DAY(EOMONTH((Tahmin!$C$4+35),0))))&lt;=(Tahmin!$C$4+41),DATE(YEAR((Tahmin!$C$4+35)),MONTH((Tahmin!$C$4+35)),MIN(DAY(Kalemler!$D95),DAY(EOMONTH((Tahmin!$C$4+35),0))))&gt;=Kalemler!$D95),AND(DATE(YEAR((Tahmin!$C$4+41)),MONTH((Tahmin!$C$4+41)),MIN(DAY(Kalemler!$D95),DAY(EOMONTH((Tahmin!$C$4+41),0))))&gt;=(Tahmin!$C$4+35),DATE(YEAR((Tahmin!$C$4+41)),MONTH((Tahmin!$C$4+41)),MIN(DAY(Kalemler!$D95),DAY(EOMONTH((Tahmin!$C$4+41),0))))&lt;=(Tahmin!$C$4+41),DATE(YEAR((Tahmin!$C$4+41)),MONTH((Tahmin!$C$4+41)),MIN(DAY(Kalemler!$D95),DAY(EOMONTH((Tahmin!$C$4+41),0))))&lt;&gt;DATE(YEAR((Tahmin!$C$4+35)),MONTH((Tahmin!$C$4+35)),MIN(DAY(Kalemler!$D95),DAY(EOMONTH((Tahmin!$C$4+35),0)))),DATE(YEAR((Tahmin!$C$4+41)),MONTH((Tahmin!$C$4+41)),MIN(DAY(Kalemler!$D95),DAY(EOMONTH((Tahmin!$C$4+41),0))))&gt;=Kalemler!$D95)),1,0),IF(AND(Kalemler!$D95&gt;=(Tahmin!$C$4+35),Kalemler!$D95&lt;=(Tahmin!$C$4+41)),1,0))))</f>
        <v>0</v>
      </c>
      <c r="H95" s="0" t="n">
        <f aca="false">IF(OR(Kalemler!$A95="",Kalemler!$C95="",Kalemler!$D95=""),0,Kalemler!$C95*IF(Kalemler!$E95="Haftalık",IF(Kalemler!$D95&lt;=(Tahmin!$C$4+48),1,0),IF(Kalemler!$E95="Aylık",IF(OR(AND(DATE(YEAR((Tahmin!$C$4+42)),MONTH((Tahmin!$C$4+42)),MIN(DAY(Kalemler!$D95),DAY(EOMONTH((Tahmin!$C$4+42),0))))&gt;=(Tahmin!$C$4+42),DATE(YEAR((Tahmin!$C$4+42)),MONTH((Tahmin!$C$4+42)),MIN(DAY(Kalemler!$D95),DAY(EOMONTH((Tahmin!$C$4+42),0))))&lt;=(Tahmin!$C$4+48),DATE(YEAR((Tahmin!$C$4+42)),MONTH((Tahmin!$C$4+42)),MIN(DAY(Kalemler!$D95),DAY(EOMONTH((Tahmin!$C$4+42),0))))&gt;=Kalemler!$D95),AND(DATE(YEAR((Tahmin!$C$4+48)),MONTH((Tahmin!$C$4+48)),MIN(DAY(Kalemler!$D95),DAY(EOMONTH((Tahmin!$C$4+48),0))))&gt;=(Tahmin!$C$4+42),DATE(YEAR((Tahmin!$C$4+48)),MONTH((Tahmin!$C$4+48)),MIN(DAY(Kalemler!$D95),DAY(EOMONTH((Tahmin!$C$4+48),0))))&lt;=(Tahmin!$C$4+48),DATE(YEAR((Tahmin!$C$4+48)),MONTH((Tahmin!$C$4+48)),MIN(DAY(Kalemler!$D95),DAY(EOMONTH((Tahmin!$C$4+48),0))))&lt;&gt;DATE(YEAR((Tahmin!$C$4+42)),MONTH((Tahmin!$C$4+42)),MIN(DAY(Kalemler!$D95),DAY(EOMONTH((Tahmin!$C$4+42),0)))),DATE(YEAR((Tahmin!$C$4+48)),MONTH((Tahmin!$C$4+48)),MIN(DAY(Kalemler!$D95),DAY(EOMONTH((Tahmin!$C$4+48),0))))&gt;=Kalemler!$D95)),1,0),IF(AND(Kalemler!$D95&gt;=(Tahmin!$C$4+42),Kalemler!$D95&lt;=(Tahmin!$C$4+48)),1,0))))</f>
        <v>0</v>
      </c>
      <c r="I95" s="0" t="n">
        <f aca="false">IF(OR(Kalemler!$A95="",Kalemler!$C95="",Kalemler!$D95=""),0,Kalemler!$C95*IF(Kalemler!$E95="Haftalık",IF(Kalemler!$D95&lt;=(Tahmin!$C$4+55),1,0),IF(Kalemler!$E95="Aylık",IF(OR(AND(DATE(YEAR((Tahmin!$C$4+49)),MONTH((Tahmin!$C$4+49)),MIN(DAY(Kalemler!$D95),DAY(EOMONTH((Tahmin!$C$4+49),0))))&gt;=(Tahmin!$C$4+49),DATE(YEAR((Tahmin!$C$4+49)),MONTH((Tahmin!$C$4+49)),MIN(DAY(Kalemler!$D95),DAY(EOMONTH((Tahmin!$C$4+49),0))))&lt;=(Tahmin!$C$4+55),DATE(YEAR((Tahmin!$C$4+49)),MONTH((Tahmin!$C$4+49)),MIN(DAY(Kalemler!$D95),DAY(EOMONTH((Tahmin!$C$4+49),0))))&gt;=Kalemler!$D95),AND(DATE(YEAR((Tahmin!$C$4+55)),MONTH((Tahmin!$C$4+55)),MIN(DAY(Kalemler!$D95),DAY(EOMONTH((Tahmin!$C$4+55),0))))&gt;=(Tahmin!$C$4+49),DATE(YEAR((Tahmin!$C$4+55)),MONTH((Tahmin!$C$4+55)),MIN(DAY(Kalemler!$D95),DAY(EOMONTH((Tahmin!$C$4+55),0))))&lt;=(Tahmin!$C$4+55),DATE(YEAR((Tahmin!$C$4+55)),MONTH((Tahmin!$C$4+55)),MIN(DAY(Kalemler!$D95),DAY(EOMONTH((Tahmin!$C$4+55),0))))&lt;&gt;DATE(YEAR((Tahmin!$C$4+49)),MONTH((Tahmin!$C$4+49)),MIN(DAY(Kalemler!$D95),DAY(EOMONTH((Tahmin!$C$4+49),0)))),DATE(YEAR((Tahmin!$C$4+55)),MONTH((Tahmin!$C$4+55)),MIN(DAY(Kalemler!$D95),DAY(EOMONTH((Tahmin!$C$4+55),0))))&gt;=Kalemler!$D95)),1,0),IF(AND(Kalemler!$D95&gt;=(Tahmin!$C$4+49),Kalemler!$D95&lt;=(Tahmin!$C$4+55)),1,0))))</f>
        <v>0</v>
      </c>
      <c r="J95" s="0" t="n">
        <f aca="false">IF(OR(Kalemler!$A95="",Kalemler!$C95="",Kalemler!$D95=""),0,Kalemler!$C95*IF(Kalemler!$E95="Haftalık",IF(Kalemler!$D95&lt;=(Tahmin!$C$4+62),1,0),IF(Kalemler!$E95="Aylık",IF(OR(AND(DATE(YEAR((Tahmin!$C$4+56)),MONTH((Tahmin!$C$4+56)),MIN(DAY(Kalemler!$D95),DAY(EOMONTH((Tahmin!$C$4+56),0))))&gt;=(Tahmin!$C$4+56),DATE(YEAR((Tahmin!$C$4+56)),MONTH((Tahmin!$C$4+56)),MIN(DAY(Kalemler!$D95),DAY(EOMONTH((Tahmin!$C$4+56),0))))&lt;=(Tahmin!$C$4+62),DATE(YEAR((Tahmin!$C$4+56)),MONTH((Tahmin!$C$4+56)),MIN(DAY(Kalemler!$D95),DAY(EOMONTH((Tahmin!$C$4+56),0))))&gt;=Kalemler!$D95),AND(DATE(YEAR((Tahmin!$C$4+62)),MONTH((Tahmin!$C$4+62)),MIN(DAY(Kalemler!$D95),DAY(EOMONTH((Tahmin!$C$4+62),0))))&gt;=(Tahmin!$C$4+56),DATE(YEAR((Tahmin!$C$4+62)),MONTH((Tahmin!$C$4+62)),MIN(DAY(Kalemler!$D95),DAY(EOMONTH((Tahmin!$C$4+62),0))))&lt;=(Tahmin!$C$4+62),DATE(YEAR((Tahmin!$C$4+62)),MONTH((Tahmin!$C$4+62)),MIN(DAY(Kalemler!$D95),DAY(EOMONTH((Tahmin!$C$4+62),0))))&lt;&gt;DATE(YEAR((Tahmin!$C$4+56)),MONTH((Tahmin!$C$4+56)),MIN(DAY(Kalemler!$D95),DAY(EOMONTH((Tahmin!$C$4+56),0)))),DATE(YEAR((Tahmin!$C$4+62)),MONTH((Tahmin!$C$4+62)),MIN(DAY(Kalemler!$D95),DAY(EOMONTH((Tahmin!$C$4+62),0))))&gt;=Kalemler!$D95)),1,0),IF(AND(Kalemler!$D95&gt;=(Tahmin!$C$4+56),Kalemler!$D95&lt;=(Tahmin!$C$4+62)),1,0))))</f>
        <v>0</v>
      </c>
      <c r="K95" s="0" t="n">
        <f aca="false">IF(OR(Kalemler!$A95="",Kalemler!$C95="",Kalemler!$D95=""),0,Kalemler!$C95*IF(Kalemler!$E95="Haftalık",IF(Kalemler!$D95&lt;=(Tahmin!$C$4+69),1,0),IF(Kalemler!$E95="Aylık",IF(OR(AND(DATE(YEAR((Tahmin!$C$4+63)),MONTH((Tahmin!$C$4+63)),MIN(DAY(Kalemler!$D95),DAY(EOMONTH((Tahmin!$C$4+63),0))))&gt;=(Tahmin!$C$4+63),DATE(YEAR((Tahmin!$C$4+63)),MONTH((Tahmin!$C$4+63)),MIN(DAY(Kalemler!$D95),DAY(EOMONTH((Tahmin!$C$4+63),0))))&lt;=(Tahmin!$C$4+69),DATE(YEAR((Tahmin!$C$4+63)),MONTH((Tahmin!$C$4+63)),MIN(DAY(Kalemler!$D95),DAY(EOMONTH((Tahmin!$C$4+63),0))))&gt;=Kalemler!$D95),AND(DATE(YEAR((Tahmin!$C$4+69)),MONTH((Tahmin!$C$4+69)),MIN(DAY(Kalemler!$D95),DAY(EOMONTH((Tahmin!$C$4+69),0))))&gt;=(Tahmin!$C$4+63),DATE(YEAR((Tahmin!$C$4+69)),MONTH((Tahmin!$C$4+69)),MIN(DAY(Kalemler!$D95),DAY(EOMONTH((Tahmin!$C$4+69),0))))&lt;=(Tahmin!$C$4+69),DATE(YEAR((Tahmin!$C$4+69)),MONTH((Tahmin!$C$4+69)),MIN(DAY(Kalemler!$D95),DAY(EOMONTH((Tahmin!$C$4+69),0))))&lt;&gt;DATE(YEAR((Tahmin!$C$4+63)),MONTH((Tahmin!$C$4+63)),MIN(DAY(Kalemler!$D95),DAY(EOMONTH((Tahmin!$C$4+63),0)))),DATE(YEAR((Tahmin!$C$4+69)),MONTH((Tahmin!$C$4+69)),MIN(DAY(Kalemler!$D95),DAY(EOMONTH((Tahmin!$C$4+69),0))))&gt;=Kalemler!$D95)),1,0),IF(AND(Kalemler!$D95&gt;=(Tahmin!$C$4+63),Kalemler!$D95&lt;=(Tahmin!$C$4+69)),1,0))))</f>
        <v>0</v>
      </c>
      <c r="L95" s="0" t="n">
        <f aca="false">IF(OR(Kalemler!$A95="",Kalemler!$C95="",Kalemler!$D95=""),0,Kalemler!$C95*IF(Kalemler!$E95="Haftalık",IF(Kalemler!$D95&lt;=(Tahmin!$C$4+76),1,0),IF(Kalemler!$E95="Aylık",IF(OR(AND(DATE(YEAR((Tahmin!$C$4+70)),MONTH((Tahmin!$C$4+70)),MIN(DAY(Kalemler!$D95),DAY(EOMONTH((Tahmin!$C$4+70),0))))&gt;=(Tahmin!$C$4+70),DATE(YEAR((Tahmin!$C$4+70)),MONTH((Tahmin!$C$4+70)),MIN(DAY(Kalemler!$D95),DAY(EOMONTH((Tahmin!$C$4+70),0))))&lt;=(Tahmin!$C$4+76),DATE(YEAR((Tahmin!$C$4+70)),MONTH((Tahmin!$C$4+70)),MIN(DAY(Kalemler!$D95),DAY(EOMONTH((Tahmin!$C$4+70),0))))&gt;=Kalemler!$D95),AND(DATE(YEAR((Tahmin!$C$4+76)),MONTH((Tahmin!$C$4+76)),MIN(DAY(Kalemler!$D95),DAY(EOMONTH((Tahmin!$C$4+76),0))))&gt;=(Tahmin!$C$4+70),DATE(YEAR((Tahmin!$C$4+76)),MONTH((Tahmin!$C$4+76)),MIN(DAY(Kalemler!$D95),DAY(EOMONTH((Tahmin!$C$4+76),0))))&lt;=(Tahmin!$C$4+76),DATE(YEAR((Tahmin!$C$4+76)),MONTH((Tahmin!$C$4+76)),MIN(DAY(Kalemler!$D95),DAY(EOMONTH((Tahmin!$C$4+76),0))))&lt;&gt;DATE(YEAR((Tahmin!$C$4+70)),MONTH((Tahmin!$C$4+70)),MIN(DAY(Kalemler!$D95),DAY(EOMONTH((Tahmin!$C$4+70),0)))),DATE(YEAR((Tahmin!$C$4+76)),MONTH((Tahmin!$C$4+76)),MIN(DAY(Kalemler!$D95),DAY(EOMONTH((Tahmin!$C$4+76),0))))&gt;=Kalemler!$D95)),1,0),IF(AND(Kalemler!$D95&gt;=(Tahmin!$C$4+70),Kalemler!$D95&lt;=(Tahmin!$C$4+76)),1,0))))</f>
        <v>0</v>
      </c>
      <c r="M95" s="0" t="n">
        <f aca="false">IF(OR(Kalemler!$A95="",Kalemler!$C95="",Kalemler!$D95=""),0,Kalemler!$C95*IF(Kalemler!$E95="Haftalık",IF(Kalemler!$D95&lt;=(Tahmin!$C$4+83),1,0),IF(Kalemler!$E95="Aylık",IF(OR(AND(DATE(YEAR((Tahmin!$C$4+77)),MONTH((Tahmin!$C$4+77)),MIN(DAY(Kalemler!$D95),DAY(EOMONTH((Tahmin!$C$4+77),0))))&gt;=(Tahmin!$C$4+77),DATE(YEAR((Tahmin!$C$4+77)),MONTH((Tahmin!$C$4+77)),MIN(DAY(Kalemler!$D95),DAY(EOMONTH((Tahmin!$C$4+77),0))))&lt;=(Tahmin!$C$4+83),DATE(YEAR((Tahmin!$C$4+77)),MONTH((Tahmin!$C$4+77)),MIN(DAY(Kalemler!$D95),DAY(EOMONTH((Tahmin!$C$4+77),0))))&gt;=Kalemler!$D95),AND(DATE(YEAR((Tahmin!$C$4+83)),MONTH((Tahmin!$C$4+83)),MIN(DAY(Kalemler!$D95),DAY(EOMONTH((Tahmin!$C$4+83),0))))&gt;=(Tahmin!$C$4+77),DATE(YEAR((Tahmin!$C$4+83)),MONTH((Tahmin!$C$4+83)),MIN(DAY(Kalemler!$D95),DAY(EOMONTH((Tahmin!$C$4+83),0))))&lt;=(Tahmin!$C$4+83),DATE(YEAR((Tahmin!$C$4+83)),MONTH((Tahmin!$C$4+83)),MIN(DAY(Kalemler!$D95),DAY(EOMONTH((Tahmin!$C$4+83),0))))&lt;&gt;DATE(YEAR((Tahmin!$C$4+77)),MONTH((Tahmin!$C$4+77)),MIN(DAY(Kalemler!$D95),DAY(EOMONTH((Tahmin!$C$4+77),0)))),DATE(YEAR((Tahmin!$C$4+83)),MONTH((Tahmin!$C$4+83)),MIN(DAY(Kalemler!$D95),DAY(EOMONTH((Tahmin!$C$4+83),0))))&gt;=Kalemler!$D95)),1,0),IF(AND(Kalemler!$D95&gt;=(Tahmin!$C$4+77),Kalemler!$D95&lt;=(Tahmin!$C$4+83)),1,0))))</f>
        <v>0</v>
      </c>
      <c r="N95" s="0" t="n">
        <f aca="false">IF(OR(Kalemler!$A95="",Kalemler!$C95="",Kalemler!$D95=""),0,Kalemler!$C95*IF(Kalemler!$E95="Haftalık",IF(Kalemler!$D95&lt;=(Tahmin!$C$4+90),1,0),IF(Kalemler!$E95="Aylık",IF(OR(AND(DATE(YEAR((Tahmin!$C$4+84)),MONTH((Tahmin!$C$4+84)),MIN(DAY(Kalemler!$D95),DAY(EOMONTH((Tahmin!$C$4+84),0))))&gt;=(Tahmin!$C$4+84),DATE(YEAR((Tahmin!$C$4+84)),MONTH((Tahmin!$C$4+84)),MIN(DAY(Kalemler!$D95),DAY(EOMONTH((Tahmin!$C$4+84),0))))&lt;=(Tahmin!$C$4+90),DATE(YEAR((Tahmin!$C$4+84)),MONTH((Tahmin!$C$4+84)),MIN(DAY(Kalemler!$D95),DAY(EOMONTH((Tahmin!$C$4+84),0))))&gt;=Kalemler!$D95),AND(DATE(YEAR((Tahmin!$C$4+90)),MONTH((Tahmin!$C$4+90)),MIN(DAY(Kalemler!$D95),DAY(EOMONTH((Tahmin!$C$4+90),0))))&gt;=(Tahmin!$C$4+84),DATE(YEAR((Tahmin!$C$4+90)),MONTH((Tahmin!$C$4+90)),MIN(DAY(Kalemler!$D95),DAY(EOMONTH((Tahmin!$C$4+90),0))))&lt;=(Tahmin!$C$4+90),DATE(YEAR((Tahmin!$C$4+90)),MONTH((Tahmin!$C$4+90)),MIN(DAY(Kalemler!$D95),DAY(EOMONTH((Tahmin!$C$4+90),0))))&lt;&gt;DATE(YEAR((Tahmin!$C$4+84)),MONTH((Tahmin!$C$4+84)),MIN(DAY(Kalemler!$D95),DAY(EOMONTH((Tahmin!$C$4+84),0)))),DATE(YEAR((Tahmin!$C$4+90)),MONTH((Tahmin!$C$4+90)),MIN(DAY(Kalemler!$D95),DAY(EOMONTH((Tahmin!$C$4+90),0))))&gt;=Kalemler!$D95)),1,0),IF(AND(Kalemler!$D95&gt;=(Tahmin!$C$4+84),Kalemler!$D95&lt;=(Tahmin!$C$4+90)),1,0))))</f>
        <v>0</v>
      </c>
    </row>
    <row r="96" customFormat="false" ht="15" hidden="false" customHeight="false" outlineLevel="0" collapsed="false">
      <c r="A96" s="0" t="str">
        <f aca="false">IF(Kalemler!A96="","",Kalemler!A96)</f>
        <v/>
      </c>
      <c r="B96" s="0" t="n">
        <f aca="false">IF(OR(Kalemler!$A96="",Kalemler!$C96="",Kalemler!$D96=""),0,Kalemler!$C96*IF(Kalemler!$E96="Haftalık",IF(Kalemler!$D96&lt;=(Tahmin!$C$4+6),1,0),IF(Kalemler!$E96="Aylık",IF(OR(AND(DATE(YEAR((Tahmin!$C$4+0)),MONTH((Tahmin!$C$4+0)),MIN(DAY(Kalemler!$D96),DAY(EOMONTH((Tahmin!$C$4+0),0))))&gt;=(Tahmin!$C$4+0),DATE(YEAR((Tahmin!$C$4+0)),MONTH((Tahmin!$C$4+0)),MIN(DAY(Kalemler!$D96),DAY(EOMONTH((Tahmin!$C$4+0),0))))&lt;=(Tahmin!$C$4+6),DATE(YEAR((Tahmin!$C$4+0)),MONTH((Tahmin!$C$4+0)),MIN(DAY(Kalemler!$D96),DAY(EOMONTH((Tahmin!$C$4+0),0))))&gt;=Kalemler!$D96),AND(DATE(YEAR((Tahmin!$C$4+6)),MONTH((Tahmin!$C$4+6)),MIN(DAY(Kalemler!$D96),DAY(EOMONTH((Tahmin!$C$4+6),0))))&gt;=(Tahmin!$C$4+0),DATE(YEAR((Tahmin!$C$4+6)),MONTH((Tahmin!$C$4+6)),MIN(DAY(Kalemler!$D96),DAY(EOMONTH((Tahmin!$C$4+6),0))))&lt;=(Tahmin!$C$4+6),DATE(YEAR((Tahmin!$C$4+6)),MONTH((Tahmin!$C$4+6)),MIN(DAY(Kalemler!$D96),DAY(EOMONTH((Tahmin!$C$4+6),0))))&lt;&gt;DATE(YEAR((Tahmin!$C$4+0)),MONTH((Tahmin!$C$4+0)),MIN(DAY(Kalemler!$D96),DAY(EOMONTH((Tahmin!$C$4+0),0)))),DATE(YEAR((Tahmin!$C$4+6)),MONTH((Tahmin!$C$4+6)),MIN(DAY(Kalemler!$D96),DAY(EOMONTH((Tahmin!$C$4+6),0))))&gt;=Kalemler!$D96)),1,0),IF(AND(Kalemler!$D96&gt;=(Tahmin!$C$4+0),Kalemler!$D96&lt;=(Tahmin!$C$4+6)),1,0))))</f>
        <v>0</v>
      </c>
      <c r="C96" s="0" t="n">
        <f aca="false">IF(OR(Kalemler!$A96="",Kalemler!$C96="",Kalemler!$D96=""),0,Kalemler!$C96*IF(Kalemler!$E96="Haftalık",IF(Kalemler!$D96&lt;=(Tahmin!$C$4+13),1,0),IF(Kalemler!$E96="Aylık",IF(OR(AND(DATE(YEAR((Tahmin!$C$4+7)),MONTH((Tahmin!$C$4+7)),MIN(DAY(Kalemler!$D96),DAY(EOMONTH((Tahmin!$C$4+7),0))))&gt;=(Tahmin!$C$4+7),DATE(YEAR((Tahmin!$C$4+7)),MONTH((Tahmin!$C$4+7)),MIN(DAY(Kalemler!$D96),DAY(EOMONTH((Tahmin!$C$4+7),0))))&lt;=(Tahmin!$C$4+13),DATE(YEAR((Tahmin!$C$4+7)),MONTH((Tahmin!$C$4+7)),MIN(DAY(Kalemler!$D96),DAY(EOMONTH((Tahmin!$C$4+7),0))))&gt;=Kalemler!$D96),AND(DATE(YEAR((Tahmin!$C$4+13)),MONTH((Tahmin!$C$4+13)),MIN(DAY(Kalemler!$D96),DAY(EOMONTH((Tahmin!$C$4+13),0))))&gt;=(Tahmin!$C$4+7),DATE(YEAR((Tahmin!$C$4+13)),MONTH((Tahmin!$C$4+13)),MIN(DAY(Kalemler!$D96),DAY(EOMONTH((Tahmin!$C$4+13),0))))&lt;=(Tahmin!$C$4+13),DATE(YEAR((Tahmin!$C$4+13)),MONTH((Tahmin!$C$4+13)),MIN(DAY(Kalemler!$D96),DAY(EOMONTH((Tahmin!$C$4+13),0))))&lt;&gt;DATE(YEAR((Tahmin!$C$4+7)),MONTH((Tahmin!$C$4+7)),MIN(DAY(Kalemler!$D96),DAY(EOMONTH((Tahmin!$C$4+7),0)))),DATE(YEAR((Tahmin!$C$4+13)),MONTH((Tahmin!$C$4+13)),MIN(DAY(Kalemler!$D96),DAY(EOMONTH((Tahmin!$C$4+13),0))))&gt;=Kalemler!$D96)),1,0),IF(AND(Kalemler!$D96&gt;=(Tahmin!$C$4+7),Kalemler!$D96&lt;=(Tahmin!$C$4+13)),1,0))))</f>
        <v>0</v>
      </c>
      <c r="D96" s="0" t="n">
        <f aca="false">IF(OR(Kalemler!$A96="",Kalemler!$C96="",Kalemler!$D96=""),0,Kalemler!$C96*IF(Kalemler!$E96="Haftalık",IF(Kalemler!$D96&lt;=(Tahmin!$C$4+20),1,0),IF(Kalemler!$E96="Aylık",IF(OR(AND(DATE(YEAR((Tahmin!$C$4+14)),MONTH((Tahmin!$C$4+14)),MIN(DAY(Kalemler!$D96),DAY(EOMONTH((Tahmin!$C$4+14),0))))&gt;=(Tahmin!$C$4+14),DATE(YEAR((Tahmin!$C$4+14)),MONTH((Tahmin!$C$4+14)),MIN(DAY(Kalemler!$D96),DAY(EOMONTH((Tahmin!$C$4+14),0))))&lt;=(Tahmin!$C$4+20),DATE(YEAR((Tahmin!$C$4+14)),MONTH((Tahmin!$C$4+14)),MIN(DAY(Kalemler!$D96),DAY(EOMONTH((Tahmin!$C$4+14),0))))&gt;=Kalemler!$D96),AND(DATE(YEAR((Tahmin!$C$4+20)),MONTH((Tahmin!$C$4+20)),MIN(DAY(Kalemler!$D96),DAY(EOMONTH((Tahmin!$C$4+20),0))))&gt;=(Tahmin!$C$4+14),DATE(YEAR((Tahmin!$C$4+20)),MONTH((Tahmin!$C$4+20)),MIN(DAY(Kalemler!$D96),DAY(EOMONTH((Tahmin!$C$4+20),0))))&lt;=(Tahmin!$C$4+20),DATE(YEAR((Tahmin!$C$4+20)),MONTH((Tahmin!$C$4+20)),MIN(DAY(Kalemler!$D96),DAY(EOMONTH((Tahmin!$C$4+20),0))))&lt;&gt;DATE(YEAR((Tahmin!$C$4+14)),MONTH((Tahmin!$C$4+14)),MIN(DAY(Kalemler!$D96),DAY(EOMONTH((Tahmin!$C$4+14),0)))),DATE(YEAR((Tahmin!$C$4+20)),MONTH((Tahmin!$C$4+20)),MIN(DAY(Kalemler!$D96),DAY(EOMONTH((Tahmin!$C$4+20),0))))&gt;=Kalemler!$D96)),1,0),IF(AND(Kalemler!$D96&gt;=(Tahmin!$C$4+14),Kalemler!$D96&lt;=(Tahmin!$C$4+20)),1,0))))</f>
        <v>0</v>
      </c>
      <c r="E96" s="0" t="n">
        <f aca="false">IF(OR(Kalemler!$A96="",Kalemler!$C96="",Kalemler!$D96=""),0,Kalemler!$C96*IF(Kalemler!$E96="Haftalık",IF(Kalemler!$D96&lt;=(Tahmin!$C$4+27),1,0),IF(Kalemler!$E96="Aylık",IF(OR(AND(DATE(YEAR((Tahmin!$C$4+21)),MONTH((Tahmin!$C$4+21)),MIN(DAY(Kalemler!$D96),DAY(EOMONTH((Tahmin!$C$4+21),0))))&gt;=(Tahmin!$C$4+21),DATE(YEAR((Tahmin!$C$4+21)),MONTH((Tahmin!$C$4+21)),MIN(DAY(Kalemler!$D96),DAY(EOMONTH((Tahmin!$C$4+21),0))))&lt;=(Tahmin!$C$4+27),DATE(YEAR((Tahmin!$C$4+21)),MONTH((Tahmin!$C$4+21)),MIN(DAY(Kalemler!$D96),DAY(EOMONTH((Tahmin!$C$4+21),0))))&gt;=Kalemler!$D96),AND(DATE(YEAR((Tahmin!$C$4+27)),MONTH((Tahmin!$C$4+27)),MIN(DAY(Kalemler!$D96),DAY(EOMONTH((Tahmin!$C$4+27),0))))&gt;=(Tahmin!$C$4+21),DATE(YEAR((Tahmin!$C$4+27)),MONTH((Tahmin!$C$4+27)),MIN(DAY(Kalemler!$D96),DAY(EOMONTH((Tahmin!$C$4+27),0))))&lt;=(Tahmin!$C$4+27),DATE(YEAR((Tahmin!$C$4+27)),MONTH((Tahmin!$C$4+27)),MIN(DAY(Kalemler!$D96),DAY(EOMONTH((Tahmin!$C$4+27),0))))&lt;&gt;DATE(YEAR((Tahmin!$C$4+21)),MONTH((Tahmin!$C$4+21)),MIN(DAY(Kalemler!$D96),DAY(EOMONTH((Tahmin!$C$4+21),0)))),DATE(YEAR((Tahmin!$C$4+27)),MONTH((Tahmin!$C$4+27)),MIN(DAY(Kalemler!$D96),DAY(EOMONTH((Tahmin!$C$4+27),0))))&gt;=Kalemler!$D96)),1,0),IF(AND(Kalemler!$D96&gt;=(Tahmin!$C$4+21),Kalemler!$D96&lt;=(Tahmin!$C$4+27)),1,0))))</f>
        <v>0</v>
      </c>
      <c r="F96" s="0" t="n">
        <f aca="false">IF(OR(Kalemler!$A96="",Kalemler!$C96="",Kalemler!$D96=""),0,Kalemler!$C96*IF(Kalemler!$E96="Haftalık",IF(Kalemler!$D96&lt;=(Tahmin!$C$4+34),1,0),IF(Kalemler!$E96="Aylık",IF(OR(AND(DATE(YEAR((Tahmin!$C$4+28)),MONTH((Tahmin!$C$4+28)),MIN(DAY(Kalemler!$D96),DAY(EOMONTH((Tahmin!$C$4+28),0))))&gt;=(Tahmin!$C$4+28),DATE(YEAR((Tahmin!$C$4+28)),MONTH((Tahmin!$C$4+28)),MIN(DAY(Kalemler!$D96),DAY(EOMONTH((Tahmin!$C$4+28),0))))&lt;=(Tahmin!$C$4+34),DATE(YEAR((Tahmin!$C$4+28)),MONTH((Tahmin!$C$4+28)),MIN(DAY(Kalemler!$D96),DAY(EOMONTH((Tahmin!$C$4+28),0))))&gt;=Kalemler!$D96),AND(DATE(YEAR((Tahmin!$C$4+34)),MONTH((Tahmin!$C$4+34)),MIN(DAY(Kalemler!$D96),DAY(EOMONTH((Tahmin!$C$4+34),0))))&gt;=(Tahmin!$C$4+28),DATE(YEAR((Tahmin!$C$4+34)),MONTH((Tahmin!$C$4+34)),MIN(DAY(Kalemler!$D96),DAY(EOMONTH((Tahmin!$C$4+34),0))))&lt;=(Tahmin!$C$4+34),DATE(YEAR((Tahmin!$C$4+34)),MONTH((Tahmin!$C$4+34)),MIN(DAY(Kalemler!$D96),DAY(EOMONTH((Tahmin!$C$4+34),0))))&lt;&gt;DATE(YEAR((Tahmin!$C$4+28)),MONTH((Tahmin!$C$4+28)),MIN(DAY(Kalemler!$D96),DAY(EOMONTH((Tahmin!$C$4+28),0)))),DATE(YEAR((Tahmin!$C$4+34)),MONTH((Tahmin!$C$4+34)),MIN(DAY(Kalemler!$D96),DAY(EOMONTH((Tahmin!$C$4+34),0))))&gt;=Kalemler!$D96)),1,0),IF(AND(Kalemler!$D96&gt;=(Tahmin!$C$4+28),Kalemler!$D96&lt;=(Tahmin!$C$4+34)),1,0))))</f>
        <v>0</v>
      </c>
      <c r="G96" s="0" t="n">
        <f aca="false">IF(OR(Kalemler!$A96="",Kalemler!$C96="",Kalemler!$D96=""),0,Kalemler!$C96*IF(Kalemler!$E96="Haftalık",IF(Kalemler!$D96&lt;=(Tahmin!$C$4+41),1,0),IF(Kalemler!$E96="Aylık",IF(OR(AND(DATE(YEAR((Tahmin!$C$4+35)),MONTH((Tahmin!$C$4+35)),MIN(DAY(Kalemler!$D96),DAY(EOMONTH((Tahmin!$C$4+35),0))))&gt;=(Tahmin!$C$4+35),DATE(YEAR((Tahmin!$C$4+35)),MONTH((Tahmin!$C$4+35)),MIN(DAY(Kalemler!$D96),DAY(EOMONTH((Tahmin!$C$4+35),0))))&lt;=(Tahmin!$C$4+41),DATE(YEAR((Tahmin!$C$4+35)),MONTH((Tahmin!$C$4+35)),MIN(DAY(Kalemler!$D96),DAY(EOMONTH((Tahmin!$C$4+35),0))))&gt;=Kalemler!$D96),AND(DATE(YEAR((Tahmin!$C$4+41)),MONTH((Tahmin!$C$4+41)),MIN(DAY(Kalemler!$D96),DAY(EOMONTH((Tahmin!$C$4+41),0))))&gt;=(Tahmin!$C$4+35),DATE(YEAR((Tahmin!$C$4+41)),MONTH((Tahmin!$C$4+41)),MIN(DAY(Kalemler!$D96),DAY(EOMONTH((Tahmin!$C$4+41),0))))&lt;=(Tahmin!$C$4+41),DATE(YEAR((Tahmin!$C$4+41)),MONTH((Tahmin!$C$4+41)),MIN(DAY(Kalemler!$D96),DAY(EOMONTH((Tahmin!$C$4+41),0))))&lt;&gt;DATE(YEAR((Tahmin!$C$4+35)),MONTH((Tahmin!$C$4+35)),MIN(DAY(Kalemler!$D96),DAY(EOMONTH((Tahmin!$C$4+35),0)))),DATE(YEAR((Tahmin!$C$4+41)),MONTH((Tahmin!$C$4+41)),MIN(DAY(Kalemler!$D96),DAY(EOMONTH((Tahmin!$C$4+41),0))))&gt;=Kalemler!$D96)),1,0),IF(AND(Kalemler!$D96&gt;=(Tahmin!$C$4+35),Kalemler!$D96&lt;=(Tahmin!$C$4+41)),1,0))))</f>
        <v>0</v>
      </c>
      <c r="H96" s="0" t="n">
        <f aca="false">IF(OR(Kalemler!$A96="",Kalemler!$C96="",Kalemler!$D96=""),0,Kalemler!$C96*IF(Kalemler!$E96="Haftalık",IF(Kalemler!$D96&lt;=(Tahmin!$C$4+48),1,0),IF(Kalemler!$E96="Aylık",IF(OR(AND(DATE(YEAR((Tahmin!$C$4+42)),MONTH((Tahmin!$C$4+42)),MIN(DAY(Kalemler!$D96),DAY(EOMONTH((Tahmin!$C$4+42),0))))&gt;=(Tahmin!$C$4+42),DATE(YEAR((Tahmin!$C$4+42)),MONTH((Tahmin!$C$4+42)),MIN(DAY(Kalemler!$D96),DAY(EOMONTH((Tahmin!$C$4+42),0))))&lt;=(Tahmin!$C$4+48),DATE(YEAR((Tahmin!$C$4+42)),MONTH((Tahmin!$C$4+42)),MIN(DAY(Kalemler!$D96),DAY(EOMONTH((Tahmin!$C$4+42),0))))&gt;=Kalemler!$D96),AND(DATE(YEAR((Tahmin!$C$4+48)),MONTH((Tahmin!$C$4+48)),MIN(DAY(Kalemler!$D96),DAY(EOMONTH((Tahmin!$C$4+48),0))))&gt;=(Tahmin!$C$4+42),DATE(YEAR((Tahmin!$C$4+48)),MONTH((Tahmin!$C$4+48)),MIN(DAY(Kalemler!$D96),DAY(EOMONTH((Tahmin!$C$4+48),0))))&lt;=(Tahmin!$C$4+48),DATE(YEAR((Tahmin!$C$4+48)),MONTH((Tahmin!$C$4+48)),MIN(DAY(Kalemler!$D96),DAY(EOMONTH((Tahmin!$C$4+48),0))))&lt;&gt;DATE(YEAR((Tahmin!$C$4+42)),MONTH((Tahmin!$C$4+42)),MIN(DAY(Kalemler!$D96),DAY(EOMONTH((Tahmin!$C$4+42),0)))),DATE(YEAR((Tahmin!$C$4+48)),MONTH((Tahmin!$C$4+48)),MIN(DAY(Kalemler!$D96),DAY(EOMONTH((Tahmin!$C$4+48),0))))&gt;=Kalemler!$D96)),1,0),IF(AND(Kalemler!$D96&gt;=(Tahmin!$C$4+42),Kalemler!$D96&lt;=(Tahmin!$C$4+48)),1,0))))</f>
        <v>0</v>
      </c>
      <c r="I96" s="0" t="n">
        <f aca="false">IF(OR(Kalemler!$A96="",Kalemler!$C96="",Kalemler!$D96=""),0,Kalemler!$C96*IF(Kalemler!$E96="Haftalık",IF(Kalemler!$D96&lt;=(Tahmin!$C$4+55),1,0),IF(Kalemler!$E96="Aylık",IF(OR(AND(DATE(YEAR((Tahmin!$C$4+49)),MONTH((Tahmin!$C$4+49)),MIN(DAY(Kalemler!$D96),DAY(EOMONTH((Tahmin!$C$4+49),0))))&gt;=(Tahmin!$C$4+49),DATE(YEAR((Tahmin!$C$4+49)),MONTH((Tahmin!$C$4+49)),MIN(DAY(Kalemler!$D96),DAY(EOMONTH((Tahmin!$C$4+49),0))))&lt;=(Tahmin!$C$4+55),DATE(YEAR((Tahmin!$C$4+49)),MONTH((Tahmin!$C$4+49)),MIN(DAY(Kalemler!$D96),DAY(EOMONTH((Tahmin!$C$4+49),0))))&gt;=Kalemler!$D96),AND(DATE(YEAR((Tahmin!$C$4+55)),MONTH((Tahmin!$C$4+55)),MIN(DAY(Kalemler!$D96),DAY(EOMONTH((Tahmin!$C$4+55),0))))&gt;=(Tahmin!$C$4+49),DATE(YEAR((Tahmin!$C$4+55)),MONTH((Tahmin!$C$4+55)),MIN(DAY(Kalemler!$D96),DAY(EOMONTH((Tahmin!$C$4+55),0))))&lt;=(Tahmin!$C$4+55),DATE(YEAR((Tahmin!$C$4+55)),MONTH((Tahmin!$C$4+55)),MIN(DAY(Kalemler!$D96),DAY(EOMONTH((Tahmin!$C$4+55),0))))&lt;&gt;DATE(YEAR((Tahmin!$C$4+49)),MONTH((Tahmin!$C$4+49)),MIN(DAY(Kalemler!$D96),DAY(EOMONTH((Tahmin!$C$4+49),0)))),DATE(YEAR((Tahmin!$C$4+55)),MONTH((Tahmin!$C$4+55)),MIN(DAY(Kalemler!$D96),DAY(EOMONTH((Tahmin!$C$4+55),0))))&gt;=Kalemler!$D96)),1,0),IF(AND(Kalemler!$D96&gt;=(Tahmin!$C$4+49),Kalemler!$D96&lt;=(Tahmin!$C$4+55)),1,0))))</f>
        <v>0</v>
      </c>
      <c r="J96" s="0" t="n">
        <f aca="false">IF(OR(Kalemler!$A96="",Kalemler!$C96="",Kalemler!$D96=""),0,Kalemler!$C96*IF(Kalemler!$E96="Haftalık",IF(Kalemler!$D96&lt;=(Tahmin!$C$4+62),1,0),IF(Kalemler!$E96="Aylık",IF(OR(AND(DATE(YEAR((Tahmin!$C$4+56)),MONTH((Tahmin!$C$4+56)),MIN(DAY(Kalemler!$D96),DAY(EOMONTH((Tahmin!$C$4+56),0))))&gt;=(Tahmin!$C$4+56),DATE(YEAR((Tahmin!$C$4+56)),MONTH((Tahmin!$C$4+56)),MIN(DAY(Kalemler!$D96),DAY(EOMONTH((Tahmin!$C$4+56),0))))&lt;=(Tahmin!$C$4+62),DATE(YEAR((Tahmin!$C$4+56)),MONTH((Tahmin!$C$4+56)),MIN(DAY(Kalemler!$D96),DAY(EOMONTH((Tahmin!$C$4+56),0))))&gt;=Kalemler!$D96),AND(DATE(YEAR((Tahmin!$C$4+62)),MONTH((Tahmin!$C$4+62)),MIN(DAY(Kalemler!$D96),DAY(EOMONTH((Tahmin!$C$4+62),0))))&gt;=(Tahmin!$C$4+56),DATE(YEAR((Tahmin!$C$4+62)),MONTH((Tahmin!$C$4+62)),MIN(DAY(Kalemler!$D96),DAY(EOMONTH((Tahmin!$C$4+62),0))))&lt;=(Tahmin!$C$4+62),DATE(YEAR((Tahmin!$C$4+62)),MONTH((Tahmin!$C$4+62)),MIN(DAY(Kalemler!$D96),DAY(EOMONTH((Tahmin!$C$4+62),0))))&lt;&gt;DATE(YEAR((Tahmin!$C$4+56)),MONTH((Tahmin!$C$4+56)),MIN(DAY(Kalemler!$D96),DAY(EOMONTH((Tahmin!$C$4+56),0)))),DATE(YEAR((Tahmin!$C$4+62)),MONTH((Tahmin!$C$4+62)),MIN(DAY(Kalemler!$D96),DAY(EOMONTH((Tahmin!$C$4+62),0))))&gt;=Kalemler!$D96)),1,0),IF(AND(Kalemler!$D96&gt;=(Tahmin!$C$4+56),Kalemler!$D96&lt;=(Tahmin!$C$4+62)),1,0))))</f>
        <v>0</v>
      </c>
      <c r="K96" s="0" t="n">
        <f aca="false">IF(OR(Kalemler!$A96="",Kalemler!$C96="",Kalemler!$D96=""),0,Kalemler!$C96*IF(Kalemler!$E96="Haftalık",IF(Kalemler!$D96&lt;=(Tahmin!$C$4+69),1,0),IF(Kalemler!$E96="Aylık",IF(OR(AND(DATE(YEAR((Tahmin!$C$4+63)),MONTH((Tahmin!$C$4+63)),MIN(DAY(Kalemler!$D96),DAY(EOMONTH((Tahmin!$C$4+63),0))))&gt;=(Tahmin!$C$4+63),DATE(YEAR((Tahmin!$C$4+63)),MONTH((Tahmin!$C$4+63)),MIN(DAY(Kalemler!$D96),DAY(EOMONTH((Tahmin!$C$4+63),0))))&lt;=(Tahmin!$C$4+69),DATE(YEAR((Tahmin!$C$4+63)),MONTH((Tahmin!$C$4+63)),MIN(DAY(Kalemler!$D96),DAY(EOMONTH((Tahmin!$C$4+63),0))))&gt;=Kalemler!$D96),AND(DATE(YEAR((Tahmin!$C$4+69)),MONTH((Tahmin!$C$4+69)),MIN(DAY(Kalemler!$D96),DAY(EOMONTH((Tahmin!$C$4+69),0))))&gt;=(Tahmin!$C$4+63),DATE(YEAR((Tahmin!$C$4+69)),MONTH((Tahmin!$C$4+69)),MIN(DAY(Kalemler!$D96),DAY(EOMONTH((Tahmin!$C$4+69),0))))&lt;=(Tahmin!$C$4+69),DATE(YEAR((Tahmin!$C$4+69)),MONTH((Tahmin!$C$4+69)),MIN(DAY(Kalemler!$D96),DAY(EOMONTH((Tahmin!$C$4+69),0))))&lt;&gt;DATE(YEAR((Tahmin!$C$4+63)),MONTH((Tahmin!$C$4+63)),MIN(DAY(Kalemler!$D96),DAY(EOMONTH((Tahmin!$C$4+63),0)))),DATE(YEAR((Tahmin!$C$4+69)),MONTH((Tahmin!$C$4+69)),MIN(DAY(Kalemler!$D96),DAY(EOMONTH((Tahmin!$C$4+69),0))))&gt;=Kalemler!$D96)),1,0),IF(AND(Kalemler!$D96&gt;=(Tahmin!$C$4+63),Kalemler!$D96&lt;=(Tahmin!$C$4+69)),1,0))))</f>
        <v>0</v>
      </c>
      <c r="L96" s="0" t="n">
        <f aca="false">IF(OR(Kalemler!$A96="",Kalemler!$C96="",Kalemler!$D96=""),0,Kalemler!$C96*IF(Kalemler!$E96="Haftalık",IF(Kalemler!$D96&lt;=(Tahmin!$C$4+76),1,0),IF(Kalemler!$E96="Aylık",IF(OR(AND(DATE(YEAR((Tahmin!$C$4+70)),MONTH((Tahmin!$C$4+70)),MIN(DAY(Kalemler!$D96),DAY(EOMONTH((Tahmin!$C$4+70),0))))&gt;=(Tahmin!$C$4+70),DATE(YEAR((Tahmin!$C$4+70)),MONTH((Tahmin!$C$4+70)),MIN(DAY(Kalemler!$D96),DAY(EOMONTH((Tahmin!$C$4+70),0))))&lt;=(Tahmin!$C$4+76),DATE(YEAR((Tahmin!$C$4+70)),MONTH((Tahmin!$C$4+70)),MIN(DAY(Kalemler!$D96),DAY(EOMONTH((Tahmin!$C$4+70),0))))&gt;=Kalemler!$D96),AND(DATE(YEAR((Tahmin!$C$4+76)),MONTH((Tahmin!$C$4+76)),MIN(DAY(Kalemler!$D96),DAY(EOMONTH((Tahmin!$C$4+76),0))))&gt;=(Tahmin!$C$4+70),DATE(YEAR((Tahmin!$C$4+76)),MONTH((Tahmin!$C$4+76)),MIN(DAY(Kalemler!$D96),DAY(EOMONTH((Tahmin!$C$4+76),0))))&lt;=(Tahmin!$C$4+76),DATE(YEAR((Tahmin!$C$4+76)),MONTH((Tahmin!$C$4+76)),MIN(DAY(Kalemler!$D96),DAY(EOMONTH((Tahmin!$C$4+76),0))))&lt;&gt;DATE(YEAR((Tahmin!$C$4+70)),MONTH((Tahmin!$C$4+70)),MIN(DAY(Kalemler!$D96),DAY(EOMONTH((Tahmin!$C$4+70),0)))),DATE(YEAR((Tahmin!$C$4+76)),MONTH((Tahmin!$C$4+76)),MIN(DAY(Kalemler!$D96),DAY(EOMONTH((Tahmin!$C$4+76),0))))&gt;=Kalemler!$D96)),1,0),IF(AND(Kalemler!$D96&gt;=(Tahmin!$C$4+70),Kalemler!$D96&lt;=(Tahmin!$C$4+76)),1,0))))</f>
        <v>0</v>
      </c>
      <c r="M96" s="0" t="n">
        <f aca="false">IF(OR(Kalemler!$A96="",Kalemler!$C96="",Kalemler!$D96=""),0,Kalemler!$C96*IF(Kalemler!$E96="Haftalık",IF(Kalemler!$D96&lt;=(Tahmin!$C$4+83),1,0),IF(Kalemler!$E96="Aylık",IF(OR(AND(DATE(YEAR((Tahmin!$C$4+77)),MONTH((Tahmin!$C$4+77)),MIN(DAY(Kalemler!$D96),DAY(EOMONTH((Tahmin!$C$4+77),0))))&gt;=(Tahmin!$C$4+77),DATE(YEAR((Tahmin!$C$4+77)),MONTH((Tahmin!$C$4+77)),MIN(DAY(Kalemler!$D96),DAY(EOMONTH((Tahmin!$C$4+77),0))))&lt;=(Tahmin!$C$4+83),DATE(YEAR((Tahmin!$C$4+77)),MONTH((Tahmin!$C$4+77)),MIN(DAY(Kalemler!$D96),DAY(EOMONTH((Tahmin!$C$4+77),0))))&gt;=Kalemler!$D96),AND(DATE(YEAR((Tahmin!$C$4+83)),MONTH((Tahmin!$C$4+83)),MIN(DAY(Kalemler!$D96),DAY(EOMONTH((Tahmin!$C$4+83),0))))&gt;=(Tahmin!$C$4+77),DATE(YEAR((Tahmin!$C$4+83)),MONTH((Tahmin!$C$4+83)),MIN(DAY(Kalemler!$D96),DAY(EOMONTH((Tahmin!$C$4+83),0))))&lt;=(Tahmin!$C$4+83),DATE(YEAR((Tahmin!$C$4+83)),MONTH((Tahmin!$C$4+83)),MIN(DAY(Kalemler!$D96),DAY(EOMONTH((Tahmin!$C$4+83),0))))&lt;&gt;DATE(YEAR((Tahmin!$C$4+77)),MONTH((Tahmin!$C$4+77)),MIN(DAY(Kalemler!$D96),DAY(EOMONTH((Tahmin!$C$4+77),0)))),DATE(YEAR((Tahmin!$C$4+83)),MONTH((Tahmin!$C$4+83)),MIN(DAY(Kalemler!$D96),DAY(EOMONTH((Tahmin!$C$4+83),0))))&gt;=Kalemler!$D96)),1,0),IF(AND(Kalemler!$D96&gt;=(Tahmin!$C$4+77),Kalemler!$D96&lt;=(Tahmin!$C$4+83)),1,0))))</f>
        <v>0</v>
      </c>
      <c r="N96" s="0" t="n">
        <f aca="false">IF(OR(Kalemler!$A96="",Kalemler!$C96="",Kalemler!$D96=""),0,Kalemler!$C96*IF(Kalemler!$E96="Haftalık",IF(Kalemler!$D96&lt;=(Tahmin!$C$4+90),1,0),IF(Kalemler!$E96="Aylık",IF(OR(AND(DATE(YEAR((Tahmin!$C$4+84)),MONTH((Tahmin!$C$4+84)),MIN(DAY(Kalemler!$D96),DAY(EOMONTH((Tahmin!$C$4+84),0))))&gt;=(Tahmin!$C$4+84),DATE(YEAR((Tahmin!$C$4+84)),MONTH((Tahmin!$C$4+84)),MIN(DAY(Kalemler!$D96),DAY(EOMONTH((Tahmin!$C$4+84),0))))&lt;=(Tahmin!$C$4+90),DATE(YEAR((Tahmin!$C$4+84)),MONTH((Tahmin!$C$4+84)),MIN(DAY(Kalemler!$D96),DAY(EOMONTH((Tahmin!$C$4+84),0))))&gt;=Kalemler!$D96),AND(DATE(YEAR((Tahmin!$C$4+90)),MONTH((Tahmin!$C$4+90)),MIN(DAY(Kalemler!$D96),DAY(EOMONTH((Tahmin!$C$4+90),0))))&gt;=(Tahmin!$C$4+84),DATE(YEAR((Tahmin!$C$4+90)),MONTH((Tahmin!$C$4+90)),MIN(DAY(Kalemler!$D96),DAY(EOMONTH((Tahmin!$C$4+90),0))))&lt;=(Tahmin!$C$4+90),DATE(YEAR((Tahmin!$C$4+90)),MONTH((Tahmin!$C$4+90)),MIN(DAY(Kalemler!$D96),DAY(EOMONTH((Tahmin!$C$4+90),0))))&lt;&gt;DATE(YEAR((Tahmin!$C$4+84)),MONTH((Tahmin!$C$4+84)),MIN(DAY(Kalemler!$D96),DAY(EOMONTH((Tahmin!$C$4+84),0)))),DATE(YEAR((Tahmin!$C$4+90)),MONTH((Tahmin!$C$4+90)),MIN(DAY(Kalemler!$D96),DAY(EOMONTH((Tahmin!$C$4+90),0))))&gt;=Kalemler!$D96)),1,0),IF(AND(Kalemler!$D96&gt;=(Tahmin!$C$4+84),Kalemler!$D96&lt;=(Tahmin!$C$4+90)),1,0))))</f>
        <v>0</v>
      </c>
    </row>
    <row r="97" customFormat="false" ht="15" hidden="false" customHeight="false" outlineLevel="0" collapsed="false">
      <c r="A97" s="0" t="str">
        <f aca="false">IF(Kalemler!A97="","",Kalemler!A97)</f>
        <v/>
      </c>
      <c r="B97" s="0" t="n">
        <f aca="false">IF(OR(Kalemler!$A97="",Kalemler!$C97="",Kalemler!$D97=""),0,Kalemler!$C97*IF(Kalemler!$E97="Haftalık",IF(Kalemler!$D97&lt;=(Tahmin!$C$4+6),1,0),IF(Kalemler!$E97="Aylık",IF(OR(AND(DATE(YEAR((Tahmin!$C$4+0)),MONTH((Tahmin!$C$4+0)),MIN(DAY(Kalemler!$D97),DAY(EOMONTH((Tahmin!$C$4+0),0))))&gt;=(Tahmin!$C$4+0),DATE(YEAR((Tahmin!$C$4+0)),MONTH((Tahmin!$C$4+0)),MIN(DAY(Kalemler!$D97),DAY(EOMONTH((Tahmin!$C$4+0),0))))&lt;=(Tahmin!$C$4+6),DATE(YEAR((Tahmin!$C$4+0)),MONTH((Tahmin!$C$4+0)),MIN(DAY(Kalemler!$D97),DAY(EOMONTH((Tahmin!$C$4+0),0))))&gt;=Kalemler!$D97),AND(DATE(YEAR((Tahmin!$C$4+6)),MONTH((Tahmin!$C$4+6)),MIN(DAY(Kalemler!$D97),DAY(EOMONTH((Tahmin!$C$4+6),0))))&gt;=(Tahmin!$C$4+0),DATE(YEAR((Tahmin!$C$4+6)),MONTH((Tahmin!$C$4+6)),MIN(DAY(Kalemler!$D97),DAY(EOMONTH((Tahmin!$C$4+6),0))))&lt;=(Tahmin!$C$4+6),DATE(YEAR((Tahmin!$C$4+6)),MONTH((Tahmin!$C$4+6)),MIN(DAY(Kalemler!$D97),DAY(EOMONTH((Tahmin!$C$4+6),0))))&lt;&gt;DATE(YEAR((Tahmin!$C$4+0)),MONTH((Tahmin!$C$4+0)),MIN(DAY(Kalemler!$D97),DAY(EOMONTH((Tahmin!$C$4+0),0)))),DATE(YEAR((Tahmin!$C$4+6)),MONTH((Tahmin!$C$4+6)),MIN(DAY(Kalemler!$D97),DAY(EOMONTH((Tahmin!$C$4+6),0))))&gt;=Kalemler!$D97)),1,0),IF(AND(Kalemler!$D97&gt;=(Tahmin!$C$4+0),Kalemler!$D97&lt;=(Tahmin!$C$4+6)),1,0))))</f>
        <v>0</v>
      </c>
      <c r="C97" s="0" t="n">
        <f aca="false">IF(OR(Kalemler!$A97="",Kalemler!$C97="",Kalemler!$D97=""),0,Kalemler!$C97*IF(Kalemler!$E97="Haftalık",IF(Kalemler!$D97&lt;=(Tahmin!$C$4+13),1,0),IF(Kalemler!$E97="Aylık",IF(OR(AND(DATE(YEAR((Tahmin!$C$4+7)),MONTH((Tahmin!$C$4+7)),MIN(DAY(Kalemler!$D97),DAY(EOMONTH((Tahmin!$C$4+7),0))))&gt;=(Tahmin!$C$4+7),DATE(YEAR((Tahmin!$C$4+7)),MONTH((Tahmin!$C$4+7)),MIN(DAY(Kalemler!$D97),DAY(EOMONTH((Tahmin!$C$4+7),0))))&lt;=(Tahmin!$C$4+13),DATE(YEAR((Tahmin!$C$4+7)),MONTH((Tahmin!$C$4+7)),MIN(DAY(Kalemler!$D97),DAY(EOMONTH((Tahmin!$C$4+7),0))))&gt;=Kalemler!$D97),AND(DATE(YEAR((Tahmin!$C$4+13)),MONTH((Tahmin!$C$4+13)),MIN(DAY(Kalemler!$D97),DAY(EOMONTH((Tahmin!$C$4+13),0))))&gt;=(Tahmin!$C$4+7),DATE(YEAR((Tahmin!$C$4+13)),MONTH((Tahmin!$C$4+13)),MIN(DAY(Kalemler!$D97),DAY(EOMONTH((Tahmin!$C$4+13),0))))&lt;=(Tahmin!$C$4+13),DATE(YEAR((Tahmin!$C$4+13)),MONTH((Tahmin!$C$4+13)),MIN(DAY(Kalemler!$D97),DAY(EOMONTH((Tahmin!$C$4+13),0))))&lt;&gt;DATE(YEAR((Tahmin!$C$4+7)),MONTH((Tahmin!$C$4+7)),MIN(DAY(Kalemler!$D97),DAY(EOMONTH((Tahmin!$C$4+7),0)))),DATE(YEAR((Tahmin!$C$4+13)),MONTH((Tahmin!$C$4+13)),MIN(DAY(Kalemler!$D97),DAY(EOMONTH((Tahmin!$C$4+13),0))))&gt;=Kalemler!$D97)),1,0),IF(AND(Kalemler!$D97&gt;=(Tahmin!$C$4+7),Kalemler!$D97&lt;=(Tahmin!$C$4+13)),1,0))))</f>
        <v>0</v>
      </c>
      <c r="D97" s="0" t="n">
        <f aca="false">IF(OR(Kalemler!$A97="",Kalemler!$C97="",Kalemler!$D97=""),0,Kalemler!$C97*IF(Kalemler!$E97="Haftalık",IF(Kalemler!$D97&lt;=(Tahmin!$C$4+20),1,0),IF(Kalemler!$E97="Aylık",IF(OR(AND(DATE(YEAR((Tahmin!$C$4+14)),MONTH((Tahmin!$C$4+14)),MIN(DAY(Kalemler!$D97),DAY(EOMONTH((Tahmin!$C$4+14),0))))&gt;=(Tahmin!$C$4+14),DATE(YEAR((Tahmin!$C$4+14)),MONTH((Tahmin!$C$4+14)),MIN(DAY(Kalemler!$D97),DAY(EOMONTH((Tahmin!$C$4+14),0))))&lt;=(Tahmin!$C$4+20),DATE(YEAR((Tahmin!$C$4+14)),MONTH((Tahmin!$C$4+14)),MIN(DAY(Kalemler!$D97),DAY(EOMONTH((Tahmin!$C$4+14),0))))&gt;=Kalemler!$D97),AND(DATE(YEAR((Tahmin!$C$4+20)),MONTH((Tahmin!$C$4+20)),MIN(DAY(Kalemler!$D97),DAY(EOMONTH((Tahmin!$C$4+20),0))))&gt;=(Tahmin!$C$4+14),DATE(YEAR((Tahmin!$C$4+20)),MONTH((Tahmin!$C$4+20)),MIN(DAY(Kalemler!$D97),DAY(EOMONTH((Tahmin!$C$4+20),0))))&lt;=(Tahmin!$C$4+20),DATE(YEAR((Tahmin!$C$4+20)),MONTH((Tahmin!$C$4+20)),MIN(DAY(Kalemler!$D97),DAY(EOMONTH((Tahmin!$C$4+20),0))))&lt;&gt;DATE(YEAR((Tahmin!$C$4+14)),MONTH((Tahmin!$C$4+14)),MIN(DAY(Kalemler!$D97),DAY(EOMONTH((Tahmin!$C$4+14),0)))),DATE(YEAR((Tahmin!$C$4+20)),MONTH((Tahmin!$C$4+20)),MIN(DAY(Kalemler!$D97),DAY(EOMONTH((Tahmin!$C$4+20),0))))&gt;=Kalemler!$D97)),1,0),IF(AND(Kalemler!$D97&gt;=(Tahmin!$C$4+14),Kalemler!$D97&lt;=(Tahmin!$C$4+20)),1,0))))</f>
        <v>0</v>
      </c>
      <c r="E97" s="0" t="n">
        <f aca="false">IF(OR(Kalemler!$A97="",Kalemler!$C97="",Kalemler!$D97=""),0,Kalemler!$C97*IF(Kalemler!$E97="Haftalık",IF(Kalemler!$D97&lt;=(Tahmin!$C$4+27),1,0),IF(Kalemler!$E97="Aylık",IF(OR(AND(DATE(YEAR((Tahmin!$C$4+21)),MONTH((Tahmin!$C$4+21)),MIN(DAY(Kalemler!$D97),DAY(EOMONTH((Tahmin!$C$4+21),0))))&gt;=(Tahmin!$C$4+21),DATE(YEAR((Tahmin!$C$4+21)),MONTH((Tahmin!$C$4+21)),MIN(DAY(Kalemler!$D97),DAY(EOMONTH((Tahmin!$C$4+21),0))))&lt;=(Tahmin!$C$4+27),DATE(YEAR((Tahmin!$C$4+21)),MONTH((Tahmin!$C$4+21)),MIN(DAY(Kalemler!$D97),DAY(EOMONTH((Tahmin!$C$4+21),0))))&gt;=Kalemler!$D97),AND(DATE(YEAR((Tahmin!$C$4+27)),MONTH((Tahmin!$C$4+27)),MIN(DAY(Kalemler!$D97),DAY(EOMONTH((Tahmin!$C$4+27),0))))&gt;=(Tahmin!$C$4+21),DATE(YEAR((Tahmin!$C$4+27)),MONTH((Tahmin!$C$4+27)),MIN(DAY(Kalemler!$D97),DAY(EOMONTH((Tahmin!$C$4+27),0))))&lt;=(Tahmin!$C$4+27),DATE(YEAR((Tahmin!$C$4+27)),MONTH((Tahmin!$C$4+27)),MIN(DAY(Kalemler!$D97),DAY(EOMONTH((Tahmin!$C$4+27),0))))&lt;&gt;DATE(YEAR((Tahmin!$C$4+21)),MONTH((Tahmin!$C$4+21)),MIN(DAY(Kalemler!$D97),DAY(EOMONTH((Tahmin!$C$4+21),0)))),DATE(YEAR((Tahmin!$C$4+27)),MONTH((Tahmin!$C$4+27)),MIN(DAY(Kalemler!$D97),DAY(EOMONTH((Tahmin!$C$4+27),0))))&gt;=Kalemler!$D97)),1,0),IF(AND(Kalemler!$D97&gt;=(Tahmin!$C$4+21),Kalemler!$D97&lt;=(Tahmin!$C$4+27)),1,0))))</f>
        <v>0</v>
      </c>
      <c r="F97" s="0" t="n">
        <f aca="false">IF(OR(Kalemler!$A97="",Kalemler!$C97="",Kalemler!$D97=""),0,Kalemler!$C97*IF(Kalemler!$E97="Haftalık",IF(Kalemler!$D97&lt;=(Tahmin!$C$4+34),1,0),IF(Kalemler!$E97="Aylık",IF(OR(AND(DATE(YEAR((Tahmin!$C$4+28)),MONTH((Tahmin!$C$4+28)),MIN(DAY(Kalemler!$D97),DAY(EOMONTH((Tahmin!$C$4+28),0))))&gt;=(Tahmin!$C$4+28),DATE(YEAR((Tahmin!$C$4+28)),MONTH((Tahmin!$C$4+28)),MIN(DAY(Kalemler!$D97),DAY(EOMONTH((Tahmin!$C$4+28),0))))&lt;=(Tahmin!$C$4+34),DATE(YEAR((Tahmin!$C$4+28)),MONTH((Tahmin!$C$4+28)),MIN(DAY(Kalemler!$D97),DAY(EOMONTH((Tahmin!$C$4+28),0))))&gt;=Kalemler!$D97),AND(DATE(YEAR((Tahmin!$C$4+34)),MONTH((Tahmin!$C$4+34)),MIN(DAY(Kalemler!$D97),DAY(EOMONTH((Tahmin!$C$4+34),0))))&gt;=(Tahmin!$C$4+28),DATE(YEAR((Tahmin!$C$4+34)),MONTH((Tahmin!$C$4+34)),MIN(DAY(Kalemler!$D97),DAY(EOMONTH((Tahmin!$C$4+34),0))))&lt;=(Tahmin!$C$4+34),DATE(YEAR((Tahmin!$C$4+34)),MONTH((Tahmin!$C$4+34)),MIN(DAY(Kalemler!$D97),DAY(EOMONTH((Tahmin!$C$4+34),0))))&lt;&gt;DATE(YEAR((Tahmin!$C$4+28)),MONTH((Tahmin!$C$4+28)),MIN(DAY(Kalemler!$D97),DAY(EOMONTH((Tahmin!$C$4+28),0)))),DATE(YEAR((Tahmin!$C$4+34)),MONTH((Tahmin!$C$4+34)),MIN(DAY(Kalemler!$D97),DAY(EOMONTH((Tahmin!$C$4+34),0))))&gt;=Kalemler!$D97)),1,0),IF(AND(Kalemler!$D97&gt;=(Tahmin!$C$4+28),Kalemler!$D97&lt;=(Tahmin!$C$4+34)),1,0))))</f>
        <v>0</v>
      </c>
      <c r="G97" s="0" t="n">
        <f aca="false">IF(OR(Kalemler!$A97="",Kalemler!$C97="",Kalemler!$D97=""),0,Kalemler!$C97*IF(Kalemler!$E97="Haftalık",IF(Kalemler!$D97&lt;=(Tahmin!$C$4+41),1,0),IF(Kalemler!$E97="Aylık",IF(OR(AND(DATE(YEAR((Tahmin!$C$4+35)),MONTH((Tahmin!$C$4+35)),MIN(DAY(Kalemler!$D97),DAY(EOMONTH((Tahmin!$C$4+35),0))))&gt;=(Tahmin!$C$4+35),DATE(YEAR((Tahmin!$C$4+35)),MONTH((Tahmin!$C$4+35)),MIN(DAY(Kalemler!$D97),DAY(EOMONTH((Tahmin!$C$4+35),0))))&lt;=(Tahmin!$C$4+41),DATE(YEAR((Tahmin!$C$4+35)),MONTH((Tahmin!$C$4+35)),MIN(DAY(Kalemler!$D97),DAY(EOMONTH((Tahmin!$C$4+35),0))))&gt;=Kalemler!$D97),AND(DATE(YEAR((Tahmin!$C$4+41)),MONTH((Tahmin!$C$4+41)),MIN(DAY(Kalemler!$D97),DAY(EOMONTH((Tahmin!$C$4+41),0))))&gt;=(Tahmin!$C$4+35),DATE(YEAR((Tahmin!$C$4+41)),MONTH((Tahmin!$C$4+41)),MIN(DAY(Kalemler!$D97),DAY(EOMONTH((Tahmin!$C$4+41),0))))&lt;=(Tahmin!$C$4+41),DATE(YEAR((Tahmin!$C$4+41)),MONTH((Tahmin!$C$4+41)),MIN(DAY(Kalemler!$D97),DAY(EOMONTH((Tahmin!$C$4+41),0))))&lt;&gt;DATE(YEAR((Tahmin!$C$4+35)),MONTH((Tahmin!$C$4+35)),MIN(DAY(Kalemler!$D97),DAY(EOMONTH((Tahmin!$C$4+35),0)))),DATE(YEAR((Tahmin!$C$4+41)),MONTH((Tahmin!$C$4+41)),MIN(DAY(Kalemler!$D97),DAY(EOMONTH((Tahmin!$C$4+41),0))))&gt;=Kalemler!$D97)),1,0),IF(AND(Kalemler!$D97&gt;=(Tahmin!$C$4+35),Kalemler!$D97&lt;=(Tahmin!$C$4+41)),1,0))))</f>
        <v>0</v>
      </c>
      <c r="H97" s="0" t="n">
        <f aca="false">IF(OR(Kalemler!$A97="",Kalemler!$C97="",Kalemler!$D97=""),0,Kalemler!$C97*IF(Kalemler!$E97="Haftalık",IF(Kalemler!$D97&lt;=(Tahmin!$C$4+48),1,0),IF(Kalemler!$E97="Aylık",IF(OR(AND(DATE(YEAR((Tahmin!$C$4+42)),MONTH((Tahmin!$C$4+42)),MIN(DAY(Kalemler!$D97),DAY(EOMONTH((Tahmin!$C$4+42),0))))&gt;=(Tahmin!$C$4+42),DATE(YEAR((Tahmin!$C$4+42)),MONTH((Tahmin!$C$4+42)),MIN(DAY(Kalemler!$D97),DAY(EOMONTH((Tahmin!$C$4+42),0))))&lt;=(Tahmin!$C$4+48),DATE(YEAR((Tahmin!$C$4+42)),MONTH((Tahmin!$C$4+42)),MIN(DAY(Kalemler!$D97),DAY(EOMONTH((Tahmin!$C$4+42),0))))&gt;=Kalemler!$D97),AND(DATE(YEAR((Tahmin!$C$4+48)),MONTH((Tahmin!$C$4+48)),MIN(DAY(Kalemler!$D97),DAY(EOMONTH((Tahmin!$C$4+48),0))))&gt;=(Tahmin!$C$4+42),DATE(YEAR((Tahmin!$C$4+48)),MONTH((Tahmin!$C$4+48)),MIN(DAY(Kalemler!$D97),DAY(EOMONTH((Tahmin!$C$4+48),0))))&lt;=(Tahmin!$C$4+48),DATE(YEAR((Tahmin!$C$4+48)),MONTH((Tahmin!$C$4+48)),MIN(DAY(Kalemler!$D97),DAY(EOMONTH((Tahmin!$C$4+48),0))))&lt;&gt;DATE(YEAR((Tahmin!$C$4+42)),MONTH((Tahmin!$C$4+42)),MIN(DAY(Kalemler!$D97),DAY(EOMONTH((Tahmin!$C$4+42),0)))),DATE(YEAR((Tahmin!$C$4+48)),MONTH((Tahmin!$C$4+48)),MIN(DAY(Kalemler!$D97),DAY(EOMONTH((Tahmin!$C$4+48),0))))&gt;=Kalemler!$D97)),1,0),IF(AND(Kalemler!$D97&gt;=(Tahmin!$C$4+42),Kalemler!$D97&lt;=(Tahmin!$C$4+48)),1,0))))</f>
        <v>0</v>
      </c>
      <c r="I97" s="0" t="n">
        <f aca="false">IF(OR(Kalemler!$A97="",Kalemler!$C97="",Kalemler!$D97=""),0,Kalemler!$C97*IF(Kalemler!$E97="Haftalık",IF(Kalemler!$D97&lt;=(Tahmin!$C$4+55),1,0),IF(Kalemler!$E97="Aylık",IF(OR(AND(DATE(YEAR((Tahmin!$C$4+49)),MONTH((Tahmin!$C$4+49)),MIN(DAY(Kalemler!$D97),DAY(EOMONTH((Tahmin!$C$4+49),0))))&gt;=(Tahmin!$C$4+49),DATE(YEAR((Tahmin!$C$4+49)),MONTH((Tahmin!$C$4+49)),MIN(DAY(Kalemler!$D97),DAY(EOMONTH((Tahmin!$C$4+49),0))))&lt;=(Tahmin!$C$4+55),DATE(YEAR((Tahmin!$C$4+49)),MONTH((Tahmin!$C$4+49)),MIN(DAY(Kalemler!$D97),DAY(EOMONTH((Tahmin!$C$4+49),0))))&gt;=Kalemler!$D97),AND(DATE(YEAR((Tahmin!$C$4+55)),MONTH((Tahmin!$C$4+55)),MIN(DAY(Kalemler!$D97),DAY(EOMONTH((Tahmin!$C$4+55),0))))&gt;=(Tahmin!$C$4+49),DATE(YEAR((Tahmin!$C$4+55)),MONTH((Tahmin!$C$4+55)),MIN(DAY(Kalemler!$D97),DAY(EOMONTH((Tahmin!$C$4+55),0))))&lt;=(Tahmin!$C$4+55),DATE(YEAR((Tahmin!$C$4+55)),MONTH((Tahmin!$C$4+55)),MIN(DAY(Kalemler!$D97),DAY(EOMONTH((Tahmin!$C$4+55),0))))&lt;&gt;DATE(YEAR((Tahmin!$C$4+49)),MONTH((Tahmin!$C$4+49)),MIN(DAY(Kalemler!$D97),DAY(EOMONTH((Tahmin!$C$4+49),0)))),DATE(YEAR((Tahmin!$C$4+55)),MONTH((Tahmin!$C$4+55)),MIN(DAY(Kalemler!$D97),DAY(EOMONTH((Tahmin!$C$4+55),0))))&gt;=Kalemler!$D97)),1,0),IF(AND(Kalemler!$D97&gt;=(Tahmin!$C$4+49),Kalemler!$D97&lt;=(Tahmin!$C$4+55)),1,0))))</f>
        <v>0</v>
      </c>
      <c r="J97" s="0" t="n">
        <f aca="false">IF(OR(Kalemler!$A97="",Kalemler!$C97="",Kalemler!$D97=""),0,Kalemler!$C97*IF(Kalemler!$E97="Haftalık",IF(Kalemler!$D97&lt;=(Tahmin!$C$4+62),1,0),IF(Kalemler!$E97="Aylık",IF(OR(AND(DATE(YEAR((Tahmin!$C$4+56)),MONTH((Tahmin!$C$4+56)),MIN(DAY(Kalemler!$D97),DAY(EOMONTH((Tahmin!$C$4+56),0))))&gt;=(Tahmin!$C$4+56),DATE(YEAR((Tahmin!$C$4+56)),MONTH((Tahmin!$C$4+56)),MIN(DAY(Kalemler!$D97),DAY(EOMONTH((Tahmin!$C$4+56),0))))&lt;=(Tahmin!$C$4+62),DATE(YEAR((Tahmin!$C$4+56)),MONTH((Tahmin!$C$4+56)),MIN(DAY(Kalemler!$D97),DAY(EOMONTH((Tahmin!$C$4+56),0))))&gt;=Kalemler!$D97),AND(DATE(YEAR((Tahmin!$C$4+62)),MONTH((Tahmin!$C$4+62)),MIN(DAY(Kalemler!$D97),DAY(EOMONTH((Tahmin!$C$4+62),0))))&gt;=(Tahmin!$C$4+56),DATE(YEAR((Tahmin!$C$4+62)),MONTH((Tahmin!$C$4+62)),MIN(DAY(Kalemler!$D97),DAY(EOMONTH((Tahmin!$C$4+62),0))))&lt;=(Tahmin!$C$4+62),DATE(YEAR((Tahmin!$C$4+62)),MONTH((Tahmin!$C$4+62)),MIN(DAY(Kalemler!$D97),DAY(EOMONTH((Tahmin!$C$4+62),0))))&lt;&gt;DATE(YEAR((Tahmin!$C$4+56)),MONTH((Tahmin!$C$4+56)),MIN(DAY(Kalemler!$D97),DAY(EOMONTH((Tahmin!$C$4+56),0)))),DATE(YEAR((Tahmin!$C$4+62)),MONTH((Tahmin!$C$4+62)),MIN(DAY(Kalemler!$D97),DAY(EOMONTH((Tahmin!$C$4+62),0))))&gt;=Kalemler!$D97)),1,0),IF(AND(Kalemler!$D97&gt;=(Tahmin!$C$4+56),Kalemler!$D97&lt;=(Tahmin!$C$4+62)),1,0))))</f>
        <v>0</v>
      </c>
      <c r="K97" s="0" t="n">
        <f aca="false">IF(OR(Kalemler!$A97="",Kalemler!$C97="",Kalemler!$D97=""),0,Kalemler!$C97*IF(Kalemler!$E97="Haftalık",IF(Kalemler!$D97&lt;=(Tahmin!$C$4+69),1,0),IF(Kalemler!$E97="Aylık",IF(OR(AND(DATE(YEAR((Tahmin!$C$4+63)),MONTH((Tahmin!$C$4+63)),MIN(DAY(Kalemler!$D97),DAY(EOMONTH((Tahmin!$C$4+63),0))))&gt;=(Tahmin!$C$4+63),DATE(YEAR((Tahmin!$C$4+63)),MONTH((Tahmin!$C$4+63)),MIN(DAY(Kalemler!$D97),DAY(EOMONTH((Tahmin!$C$4+63),0))))&lt;=(Tahmin!$C$4+69),DATE(YEAR((Tahmin!$C$4+63)),MONTH((Tahmin!$C$4+63)),MIN(DAY(Kalemler!$D97),DAY(EOMONTH((Tahmin!$C$4+63),0))))&gt;=Kalemler!$D97),AND(DATE(YEAR((Tahmin!$C$4+69)),MONTH((Tahmin!$C$4+69)),MIN(DAY(Kalemler!$D97),DAY(EOMONTH((Tahmin!$C$4+69),0))))&gt;=(Tahmin!$C$4+63),DATE(YEAR((Tahmin!$C$4+69)),MONTH((Tahmin!$C$4+69)),MIN(DAY(Kalemler!$D97),DAY(EOMONTH((Tahmin!$C$4+69),0))))&lt;=(Tahmin!$C$4+69),DATE(YEAR((Tahmin!$C$4+69)),MONTH((Tahmin!$C$4+69)),MIN(DAY(Kalemler!$D97),DAY(EOMONTH((Tahmin!$C$4+69),0))))&lt;&gt;DATE(YEAR((Tahmin!$C$4+63)),MONTH((Tahmin!$C$4+63)),MIN(DAY(Kalemler!$D97),DAY(EOMONTH((Tahmin!$C$4+63),0)))),DATE(YEAR((Tahmin!$C$4+69)),MONTH((Tahmin!$C$4+69)),MIN(DAY(Kalemler!$D97),DAY(EOMONTH((Tahmin!$C$4+69),0))))&gt;=Kalemler!$D97)),1,0),IF(AND(Kalemler!$D97&gt;=(Tahmin!$C$4+63),Kalemler!$D97&lt;=(Tahmin!$C$4+69)),1,0))))</f>
        <v>0</v>
      </c>
      <c r="L97" s="0" t="n">
        <f aca="false">IF(OR(Kalemler!$A97="",Kalemler!$C97="",Kalemler!$D97=""),0,Kalemler!$C97*IF(Kalemler!$E97="Haftalık",IF(Kalemler!$D97&lt;=(Tahmin!$C$4+76),1,0),IF(Kalemler!$E97="Aylık",IF(OR(AND(DATE(YEAR((Tahmin!$C$4+70)),MONTH((Tahmin!$C$4+70)),MIN(DAY(Kalemler!$D97),DAY(EOMONTH((Tahmin!$C$4+70),0))))&gt;=(Tahmin!$C$4+70),DATE(YEAR((Tahmin!$C$4+70)),MONTH((Tahmin!$C$4+70)),MIN(DAY(Kalemler!$D97),DAY(EOMONTH((Tahmin!$C$4+70),0))))&lt;=(Tahmin!$C$4+76),DATE(YEAR((Tahmin!$C$4+70)),MONTH((Tahmin!$C$4+70)),MIN(DAY(Kalemler!$D97),DAY(EOMONTH((Tahmin!$C$4+70),0))))&gt;=Kalemler!$D97),AND(DATE(YEAR((Tahmin!$C$4+76)),MONTH((Tahmin!$C$4+76)),MIN(DAY(Kalemler!$D97),DAY(EOMONTH((Tahmin!$C$4+76),0))))&gt;=(Tahmin!$C$4+70),DATE(YEAR((Tahmin!$C$4+76)),MONTH((Tahmin!$C$4+76)),MIN(DAY(Kalemler!$D97),DAY(EOMONTH((Tahmin!$C$4+76),0))))&lt;=(Tahmin!$C$4+76),DATE(YEAR((Tahmin!$C$4+76)),MONTH((Tahmin!$C$4+76)),MIN(DAY(Kalemler!$D97),DAY(EOMONTH((Tahmin!$C$4+76),0))))&lt;&gt;DATE(YEAR((Tahmin!$C$4+70)),MONTH((Tahmin!$C$4+70)),MIN(DAY(Kalemler!$D97),DAY(EOMONTH((Tahmin!$C$4+70),0)))),DATE(YEAR((Tahmin!$C$4+76)),MONTH((Tahmin!$C$4+76)),MIN(DAY(Kalemler!$D97),DAY(EOMONTH((Tahmin!$C$4+76),0))))&gt;=Kalemler!$D97)),1,0),IF(AND(Kalemler!$D97&gt;=(Tahmin!$C$4+70),Kalemler!$D97&lt;=(Tahmin!$C$4+76)),1,0))))</f>
        <v>0</v>
      </c>
      <c r="M97" s="0" t="n">
        <f aca="false">IF(OR(Kalemler!$A97="",Kalemler!$C97="",Kalemler!$D97=""),0,Kalemler!$C97*IF(Kalemler!$E97="Haftalık",IF(Kalemler!$D97&lt;=(Tahmin!$C$4+83),1,0),IF(Kalemler!$E97="Aylık",IF(OR(AND(DATE(YEAR((Tahmin!$C$4+77)),MONTH((Tahmin!$C$4+77)),MIN(DAY(Kalemler!$D97),DAY(EOMONTH((Tahmin!$C$4+77),0))))&gt;=(Tahmin!$C$4+77),DATE(YEAR((Tahmin!$C$4+77)),MONTH((Tahmin!$C$4+77)),MIN(DAY(Kalemler!$D97),DAY(EOMONTH((Tahmin!$C$4+77),0))))&lt;=(Tahmin!$C$4+83),DATE(YEAR((Tahmin!$C$4+77)),MONTH((Tahmin!$C$4+77)),MIN(DAY(Kalemler!$D97),DAY(EOMONTH((Tahmin!$C$4+77),0))))&gt;=Kalemler!$D97),AND(DATE(YEAR((Tahmin!$C$4+83)),MONTH((Tahmin!$C$4+83)),MIN(DAY(Kalemler!$D97),DAY(EOMONTH((Tahmin!$C$4+83),0))))&gt;=(Tahmin!$C$4+77),DATE(YEAR((Tahmin!$C$4+83)),MONTH((Tahmin!$C$4+83)),MIN(DAY(Kalemler!$D97),DAY(EOMONTH((Tahmin!$C$4+83),0))))&lt;=(Tahmin!$C$4+83),DATE(YEAR((Tahmin!$C$4+83)),MONTH((Tahmin!$C$4+83)),MIN(DAY(Kalemler!$D97),DAY(EOMONTH((Tahmin!$C$4+83),0))))&lt;&gt;DATE(YEAR((Tahmin!$C$4+77)),MONTH((Tahmin!$C$4+77)),MIN(DAY(Kalemler!$D97),DAY(EOMONTH((Tahmin!$C$4+77),0)))),DATE(YEAR((Tahmin!$C$4+83)),MONTH((Tahmin!$C$4+83)),MIN(DAY(Kalemler!$D97),DAY(EOMONTH((Tahmin!$C$4+83),0))))&gt;=Kalemler!$D97)),1,0),IF(AND(Kalemler!$D97&gt;=(Tahmin!$C$4+77),Kalemler!$D97&lt;=(Tahmin!$C$4+83)),1,0))))</f>
        <v>0</v>
      </c>
      <c r="N97" s="0" t="n">
        <f aca="false">IF(OR(Kalemler!$A97="",Kalemler!$C97="",Kalemler!$D97=""),0,Kalemler!$C97*IF(Kalemler!$E97="Haftalık",IF(Kalemler!$D97&lt;=(Tahmin!$C$4+90),1,0),IF(Kalemler!$E97="Aylık",IF(OR(AND(DATE(YEAR((Tahmin!$C$4+84)),MONTH((Tahmin!$C$4+84)),MIN(DAY(Kalemler!$D97),DAY(EOMONTH((Tahmin!$C$4+84),0))))&gt;=(Tahmin!$C$4+84),DATE(YEAR((Tahmin!$C$4+84)),MONTH((Tahmin!$C$4+84)),MIN(DAY(Kalemler!$D97),DAY(EOMONTH((Tahmin!$C$4+84),0))))&lt;=(Tahmin!$C$4+90),DATE(YEAR((Tahmin!$C$4+84)),MONTH((Tahmin!$C$4+84)),MIN(DAY(Kalemler!$D97),DAY(EOMONTH((Tahmin!$C$4+84),0))))&gt;=Kalemler!$D97),AND(DATE(YEAR((Tahmin!$C$4+90)),MONTH((Tahmin!$C$4+90)),MIN(DAY(Kalemler!$D97),DAY(EOMONTH((Tahmin!$C$4+90),0))))&gt;=(Tahmin!$C$4+84),DATE(YEAR((Tahmin!$C$4+90)),MONTH((Tahmin!$C$4+90)),MIN(DAY(Kalemler!$D97),DAY(EOMONTH((Tahmin!$C$4+90),0))))&lt;=(Tahmin!$C$4+90),DATE(YEAR((Tahmin!$C$4+90)),MONTH((Tahmin!$C$4+90)),MIN(DAY(Kalemler!$D97),DAY(EOMONTH((Tahmin!$C$4+90),0))))&lt;&gt;DATE(YEAR((Tahmin!$C$4+84)),MONTH((Tahmin!$C$4+84)),MIN(DAY(Kalemler!$D97),DAY(EOMONTH((Tahmin!$C$4+84),0)))),DATE(YEAR((Tahmin!$C$4+90)),MONTH((Tahmin!$C$4+90)),MIN(DAY(Kalemler!$D97),DAY(EOMONTH((Tahmin!$C$4+90),0))))&gt;=Kalemler!$D97)),1,0),IF(AND(Kalemler!$D97&gt;=(Tahmin!$C$4+84),Kalemler!$D97&lt;=(Tahmin!$C$4+90)),1,0))))</f>
        <v>0</v>
      </c>
    </row>
    <row r="98" customFormat="false" ht="15" hidden="false" customHeight="false" outlineLevel="0" collapsed="false">
      <c r="A98" s="0" t="str">
        <f aca="false">IF(Kalemler!A98="","",Kalemler!A98)</f>
        <v/>
      </c>
      <c r="B98" s="0" t="n">
        <f aca="false">IF(OR(Kalemler!$A98="",Kalemler!$C98="",Kalemler!$D98=""),0,Kalemler!$C98*IF(Kalemler!$E98="Haftalık",IF(Kalemler!$D98&lt;=(Tahmin!$C$4+6),1,0),IF(Kalemler!$E98="Aylık",IF(OR(AND(DATE(YEAR((Tahmin!$C$4+0)),MONTH((Tahmin!$C$4+0)),MIN(DAY(Kalemler!$D98),DAY(EOMONTH((Tahmin!$C$4+0),0))))&gt;=(Tahmin!$C$4+0),DATE(YEAR((Tahmin!$C$4+0)),MONTH((Tahmin!$C$4+0)),MIN(DAY(Kalemler!$D98),DAY(EOMONTH((Tahmin!$C$4+0),0))))&lt;=(Tahmin!$C$4+6),DATE(YEAR((Tahmin!$C$4+0)),MONTH((Tahmin!$C$4+0)),MIN(DAY(Kalemler!$D98),DAY(EOMONTH((Tahmin!$C$4+0),0))))&gt;=Kalemler!$D98),AND(DATE(YEAR((Tahmin!$C$4+6)),MONTH((Tahmin!$C$4+6)),MIN(DAY(Kalemler!$D98),DAY(EOMONTH((Tahmin!$C$4+6),0))))&gt;=(Tahmin!$C$4+0),DATE(YEAR((Tahmin!$C$4+6)),MONTH((Tahmin!$C$4+6)),MIN(DAY(Kalemler!$D98),DAY(EOMONTH((Tahmin!$C$4+6),0))))&lt;=(Tahmin!$C$4+6),DATE(YEAR((Tahmin!$C$4+6)),MONTH((Tahmin!$C$4+6)),MIN(DAY(Kalemler!$D98),DAY(EOMONTH((Tahmin!$C$4+6),0))))&lt;&gt;DATE(YEAR((Tahmin!$C$4+0)),MONTH((Tahmin!$C$4+0)),MIN(DAY(Kalemler!$D98),DAY(EOMONTH((Tahmin!$C$4+0),0)))),DATE(YEAR((Tahmin!$C$4+6)),MONTH((Tahmin!$C$4+6)),MIN(DAY(Kalemler!$D98),DAY(EOMONTH((Tahmin!$C$4+6),0))))&gt;=Kalemler!$D98)),1,0),IF(AND(Kalemler!$D98&gt;=(Tahmin!$C$4+0),Kalemler!$D98&lt;=(Tahmin!$C$4+6)),1,0))))</f>
        <v>0</v>
      </c>
      <c r="C98" s="0" t="n">
        <f aca="false">IF(OR(Kalemler!$A98="",Kalemler!$C98="",Kalemler!$D98=""),0,Kalemler!$C98*IF(Kalemler!$E98="Haftalık",IF(Kalemler!$D98&lt;=(Tahmin!$C$4+13),1,0),IF(Kalemler!$E98="Aylık",IF(OR(AND(DATE(YEAR((Tahmin!$C$4+7)),MONTH((Tahmin!$C$4+7)),MIN(DAY(Kalemler!$D98),DAY(EOMONTH((Tahmin!$C$4+7),0))))&gt;=(Tahmin!$C$4+7),DATE(YEAR((Tahmin!$C$4+7)),MONTH((Tahmin!$C$4+7)),MIN(DAY(Kalemler!$D98),DAY(EOMONTH((Tahmin!$C$4+7),0))))&lt;=(Tahmin!$C$4+13),DATE(YEAR((Tahmin!$C$4+7)),MONTH((Tahmin!$C$4+7)),MIN(DAY(Kalemler!$D98),DAY(EOMONTH((Tahmin!$C$4+7),0))))&gt;=Kalemler!$D98),AND(DATE(YEAR((Tahmin!$C$4+13)),MONTH((Tahmin!$C$4+13)),MIN(DAY(Kalemler!$D98),DAY(EOMONTH((Tahmin!$C$4+13),0))))&gt;=(Tahmin!$C$4+7),DATE(YEAR((Tahmin!$C$4+13)),MONTH((Tahmin!$C$4+13)),MIN(DAY(Kalemler!$D98),DAY(EOMONTH((Tahmin!$C$4+13),0))))&lt;=(Tahmin!$C$4+13),DATE(YEAR((Tahmin!$C$4+13)),MONTH((Tahmin!$C$4+13)),MIN(DAY(Kalemler!$D98),DAY(EOMONTH((Tahmin!$C$4+13),0))))&lt;&gt;DATE(YEAR((Tahmin!$C$4+7)),MONTH((Tahmin!$C$4+7)),MIN(DAY(Kalemler!$D98),DAY(EOMONTH((Tahmin!$C$4+7),0)))),DATE(YEAR((Tahmin!$C$4+13)),MONTH((Tahmin!$C$4+13)),MIN(DAY(Kalemler!$D98),DAY(EOMONTH((Tahmin!$C$4+13),0))))&gt;=Kalemler!$D98)),1,0),IF(AND(Kalemler!$D98&gt;=(Tahmin!$C$4+7),Kalemler!$D98&lt;=(Tahmin!$C$4+13)),1,0))))</f>
        <v>0</v>
      </c>
      <c r="D98" s="0" t="n">
        <f aca="false">IF(OR(Kalemler!$A98="",Kalemler!$C98="",Kalemler!$D98=""),0,Kalemler!$C98*IF(Kalemler!$E98="Haftalık",IF(Kalemler!$D98&lt;=(Tahmin!$C$4+20),1,0),IF(Kalemler!$E98="Aylık",IF(OR(AND(DATE(YEAR((Tahmin!$C$4+14)),MONTH((Tahmin!$C$4+14)),MIN(DAY(Kalemler!$D98),DAY(EOMONTH((Tahmin!$C$4+14),0))))&gt;=(Tahmin!$C$4+14),DATE(YEAR((Tahmin!$C$4+14)),MONTH((Tahmin!$C$4+14)),MIN(DAY(Kalemler!$D98),DAY(EOMONTH((Tahmin!$C$4+14),0))))&lt;=(Tahmin!$C$4+20),DATE(YEAR((Tahmin!$C$4+14)),MONTH((Tahmin!$C$4+14)),MIN(DAY(Kalemler!$D98),DAY(EOMONTH((Tahmin!$C$4+14),0))))&gt;=Kalemler!$D98),AND(DATE(YEAR((Tahmin!$C$4+20)),MONTH((Tahmin!$C$4+20)),MIN(DAY(Kalemler!$D98),DAY(EOMONTH((Tahmin!$C$4+20),0))))&gt;=(Tahmin!$C$4+14),DATE(YEAR((Tahmin!$C$4+20)),MONTH((Tahmin!$C$4+20)),MIN(DAY(Kalemler!$D98),DAY(EOMONTH((Tahmin!$C$4+20),0))))&lt;=(Tahmin!$C$4+20),DATE(YEAR((Tahmin!$C$4+20)),MONTH((Tahmin!$C$4+20)),MIN(DAY(Kalemler!$D98),DAY(EOMONTH((Tahmin!$C$4+20),0))))&lt;&gt;DATE(YEAR((Tahmin!$C$4+14)),MONTH((Tahmin!$C$4+14)),MIN(DAY(Kalemler!$D98),DAY(EOMONTH((Tahmin!$C$4+14),0)))),DATE(YEAR((Tahmin!$C$4+20)),MONTH((Tahmin!$C$4+20)),MIN(DAY(Kalemler!$D98),DAY(EOMONTH((Tahmin!$C$4+20),0))))&gt;=Kalemler!$D98)),1,0),IF(AND(Kalemler!$D98&gt;=(Tahmin!$C$4+14),Kalemler!$D98&lt;=(Tahmin!$C$4+20)),1,0))))</f>
        <v>0</v>
      </c>
      <c r="E98" s="0" t="n">
        <f aca="false">IF(OR(Kalemler!$A98="",Kalemler!$C98="",Kalemler!$D98=""),0,Kalemler!$C98*IF(Kalemler!$E98="Haftalık",IF(Kalemler!$D98&lt;=(Tahmin!$C$4+27),1,0),IF(Kalemler!$E98="Aylık",IF(OR(AND(DATE(YEAR((Tahmin!$C$4+21)),MONTH((Tahmin!$C$4+21)),MIN(DAY(Kalemler!$D98),DAY(EOMONTH((Tahmin!$C$4+21),0))))&gt;=(Tahmin!$C$4+21),DATE(YEAR((Tahmin!$C$4+21)),MONTH((Tahmin!$C$4+21)),MIN(DAY(Kalemler!$D98),DAY(EOMONTH((Tahmin!$C$4+21),0))))&lt;=(Tahmin!$C$4+27),DATE(YEAR((Tahmin!$C$4+21)),MONTH((Tahmin!$C$4+21)),MIN(DAY(Kalemler!$D98),DAY(EOMONTH((Tahmin!$C$4+21),0))))&gt;=Kalemler!$D98),AND(DATE(YEAR((Tahmin!$C$4+27)),MONTH((Tahmin!$C$4+27)),MIN(DAY(Kalemler!$D98),DAY(EOMONTH((Tahmin!$C$4+27),0))))&gt;=(Tahmin!$C$4+21),DATE(YEAR((Tahmin!$C$4+27)),MONTH((Tahmin!$C$4+27)),MIN(DAY(Kalemler!$D98),DAY(EOMONTH((Tahmin!$C$4+27),0))))&lt;=(Tahmin!$C$4+27),DATE(YEAR((Tahmin!$C$4+27)),MONTH((Tahmin!$C$4+27)),MIN(DAY(Kalemler!$D98),DAY(EOMONTH((Tahmin!$C$4+27),0))))&lt;&gt;DATE(YEAR((Tahmin!$C$4+21)),MONTH((Tahmin!$C$4+21)),MIN(DAY(Kalemler!$D98),DAY(EOMONTH((Tahmin!$C$4+21),0)))),DATE(YEAR((Tahmin!$C$4+27)),MONTH((Tahmin!$C$4+27)),MIN(DAY(Kalemler!$D98),DAY(EOMONTH((Tahmin!$C$4+27),0))))&gt;=Kalemler!$D98)),1,0),IF(AND(Kalemler!$D98&gt;=(Tahmin!$C$4+21),Kalemler!$D98&lt;=(Tahmin!$C$4+27)),1,0))))</f>
        <v>0</v>
      </c>
      <c r="F98" s="0" t="n">
        <f aca="false">IF(OR(Kalemler!$A98="",Kalemler!$C98="",Kalemler!$D98=""),0,Kalemler!$C98*IF(Kalemler!$E98="Haftalık",IF(Kalemler!$D98&lt;=(Tahmin!$C$4+34),1,0),IF(Kalemler!$E98="Aylık",IF(OR(AND(DATE(YEAR((Tahmin!$C$4+28)),MONTH((Tahmin!$C$4+28)),MIN(DAY(Kalemler!$D98),DAY(EOMONTH((Tahmin!$C$4+28),0))))&gt;=(Tahmin!$C$4+28),DATE(YEAR((Tahmin!$C$4+28)),MONTH((Tahmin!$C$4+28)),MIN(DAY(Kalemler!$D98),DAY(EOMONTH((Tahmin!$C$4+28),0))))&lt;=(Tahmin!$C$4+34),DATE(YEAR((Tahmin!$C$4+28)),MONTH((Tahmin!$C$4+28)),MIN(DAY(Kalemler!$D98),DAY(EOMONTH((Tahmin!$C$4+28),0))))&gt;=Kalemler!$D98),AND(DATE(YEAR((Tahmin!$C$4+34)),MONTH((Tahmin!$C$4+34)),MIN(DAY(Kalemler!$D98),DAY(EOMONTH((Tahmin!$C$4+34),0))))&gt;=(Tahmin!$C$4+28),DATE(YEAR((Tahmin!$C$4+34)),MONTH((Tahmin!$C$4+34)),MIN(DAY(Kalemler!$D98),DAY(EOMONTH((Tahmin!$C$4+34),0))))&lt;=(Tahmin!$C$4+34),DATE(YEAR((Tahmin!$C$4+34)),MONTH((Tahmin!$C$4+34)),MIN(DAY(Kalemler!$D98),DAY(EOMONTH((Tahmin!$C$4+34),0))))&lt;&gt;DATE(YEAR((Tahmin!$C$4+28)),MONTH((Tahmin!$C$4+28)),MIN(DAY(Kalemler!$D98),DAY(EOMONTH((Tahmin!$C$4+28),0)))),DATE(YEAR((Tahmin!$C$4+34)),MONTH((Tahmin!$C$4+34)),MIN(DAY(Kalemler!$D98),DAY(EOMONTH((Tahmin!$C$4+34),0))))&gt;=Kalemler!$D98)),1,0),IF(AND(Kalemler!$D98&gt;=(Tahmin!$C$4+28),Kalemler!$D98&lt;=(Tahmin!$C$4+34)),1,0))))</f>
        <v>0</v>
      </c>
      <c r="G98" s="0" t="n">
        <f aca="false">IF(OR(Kalemler!$A98="",Kalemler!$C98="",Kalemler!$D98=""),0,Kalemler!$C98*IF(Kalemler!$E98="Haftalık",IF(Kalemler!$D98&lt;=(Tahmin!$C$4+41),1,0),IF(Kalemler!$E98="Aylık",IF(OR(AND(DATE(YEAR((Tahmin!$C$4+35)),MONTH((Tahmin!$C$4+35)),MIN(DAY(Kalemler!$D98),DAY(EOMONTH((Tahmin!$C$4+35),0))))&gt;=(Tahmin!$C$4+35),DATE(YEAR((Tahmin!$C$4+35)),MONTH((Tahmin!$C$4+35)),MIN(DAY(Kalemler!$D98),DAY(EOMONTH((Tahmin!$C$4+35),0))))&lt;=(Tahmin!$C$4+41),DATE(YEAR((Tahmin!$C$4+35)),MONTH((Tahmin!$C$4+35)),MIN(DAY(Kalemler!$D98),DAY(EOMONTH((Tahmin!$C$4+35),0))))&gt;=Kalemler!$D98),AND(DATE(YEAR((Tahmin!$C$4+41)),MONTH((Tahmin!$C$4+41)),MIN(DAY(Kalemler!$D98),DAY(EOMONTH((Tahmin!$C$4+41),0))))&gt;=(Tahmin!$C$4+35),DATE(YEAR((Tahmin!$C$4+41)),MONTH((Tahmin!$C$4+41)),MIN(DAY(Kalemler!$D98),DAY(EOMONTH((Tahmin!$C$4+41),0))))&lt;=(Tahmin!$C$4+41),DATE(YEAR((Tahmin!$C$4+41)),MONTH((Tahmin!$C$4+41)),MIN(DAY(Kalemler!$D98),DAY(EOMONTH((Tahmin!$C$4+41),0))))&lt;&gt;DATE(YEAR((Tahmin!$C$4+35)),MONTH((Tahmin!$C$4+35)),MIN(DAY(Kalemler!$D98),DAY(EOMONTH((Tahmin!$C$4+35),0)))),DATE(YEAR((Tahmin!$C$4+41)),MONTH((Tahmin!$C$4+41)),MIN(DAY(Kalemler!$D98),DAY(EOMONTH((Tahmin!$C$4+41),0))))&gt;=Kalemler!$D98)),1,0),IF(AND(Kalemler!$D98&gt;=(Tahmin!$C$4+35),Kalemler!$D98&lt;=(Tahmin!$C$4+41)),1,0))))</f>
        <v>0</v>
      </c>
      <c r="H98" s="0" t="n">
        <f aca="false">IF(OR(Kalemler!$A98="",Kalemler!$C98="",Kalemler!$D98=""),0,Kalemler!$C98*IF(Kalemler!$E98="Haftalık",IF(Kalemler!$D98&lt;=(Tahmin!$C$4+48),1,0),IF(Kalemler!$E98="Aylık",IF(OR(AND(DATE(YEAR((Tahmin!$C$4+42)),MONTH((Tahmin!$C$4+42)),MIN(DAY(Kalemler!$D98),DAY(EOMONTH((Tahmin!$C$4+42),0))))&gt;=(Tahmin!$C$4+42),DATE(YEAR((Tahmin!$C$4+42)),MONTH((Tahmin!$C$4+42)),MIN(DAY(Kalemler!$D98),DAY(EOMONTH((Tahmin!$C$4+42),0))))&lt;=(Tahmin!$C$4+48),DATE(YEAR((Tahmin!$C$4+42)),MONTH((Tahmin!$C$4+42)),MIN(DAY(Kalemler!$D98),DAY(EOMONTH((Tahmin!$C$4+42),0))))&gt;=Kalemler!$D98),AND(DATE(YEAR((Tahmin!$C$4+48)),MONTH((Tahmin!$C$4+48)),MIN(DAY(Kalemler!$D98),DAY(EOMONTH((Tahmin!$C$4+48),0))))&gt;=(Tahmin!$C$4+42),DATE(YEAR((Tahmin!$C$4+48)),MONTH((Tahmin!$C$4+48)),MIN(DAY(Kalemler!$D98),DAY(EOMONTH((Tahmin!$C$4+48),0))))&lt;=(Tahmin!$C$4+48),DATE(YEAR((Tahmin!$C$4+48)),MONTH((Tahmin!$C$4+48)),MIN(DAY(Kalemler!$D98),DAY(EOMONTH((Tahmin!$C$4+48),0))))&lt;&gt;DATE(YEAR((Tahmin!$C$4+42)),MONTH((Tahmin!$C$4+42)),MIN(DAY(Kalemler!$D98),DAY(EOMONTH((Tahmin!$C$4+42),0)))),DATE(YEAR((Tahmin!$C$4+48)),MONTH((Tahmin!$C$4+48)),MIN(DAY(Kalemler!$D98),DAY(EOMONTH((Tahmin!$C$4+48),0))))&gt;=Kalemler!$D98)),1,0),IF(AND(Kalemler!$D98&gt;=(Tahmin!$C$4+42),Kalemler!$D98&lt;=(Tahmin!$C$4+48)),1,0))))</f>
        <v>0</v>
      </c>
      <c r="I98" s="0" t="n">
        <f aca="false">IF(OR(Kalemler!$A98="",Kalemler!$C98="",Kalemler!$D98=""),0,Kalemler!$C98*IF(Kalemler!$E98="Haftalık",IF(Kalemler!$D98&lt;=(Tahmin!$C$4+55),1,0),IF(Kalemler!$E98="Aylık",IF(OR(AND(DATE(YEAR((Tahmin!$C$4+49)),MONTH((Tahmin!$C$4+49)),MIN(DAY(Kalemler!$D98),DAY(EOMONTH((Tahmin!$C$4+49),0))))&gt;=(Tahmin!$C$4+49),DATE(YEAR((Tahmin!$C$4+49)),MONTH((Tahmin!$C$4+49)),MIN(DAY(Kalemler!$D98),DAY(EOMONTH((Tahmin!$C$4+49),0))))&lt;=(Tahmin!$C$4+55),DATE(YEAR((Tahmin!$C$4+49)),MONTH((Tahmin!$C$4+49)),MIN(DAY(Kalemler!$D98),DAY(EOMONTH((Tahmin!$C$4+49),0))))&gt;=Kalemler!$D98),AND(DATE(YEAR((Tahmin!$C$4+55)),MONTH((Tahmin!$C$4+55)),MIN(DAY(Kalemler!$D98),DAY(EOMONTH((Tahmin!$C$4+55),0))))&gt;=(Tahmin!$C$4+49),DATE(YEAR((Tahmin!$C$4+55)),MONTH((Tahmin!$C$4+55)),MIN(DAY(Kalemler!$D98),DAY(EOMONTH((Tahmin!$C$4+55),0))))&lt;=(Tahmin!$C$4+55),DATE(YEAR((Tahmin!$C$4+55)),MONTH((Tahmin!$C$4+55)),MIN(DAY(Kalemler!$D98),DAY(EOMONTH((Tahmin!$C$4+55),0))))&lt;&gt;DATE(YEAR((Tahmin!$C$4+49)),MONTH((Tahmin!$C$4+49)),MIN(DAY(Kalemler!$D98),DAY(EOMONTH((Tahmin!$C$4+49),0)))),DATE(YEAR((Tahmin!$C$4+55)),MONTH((Tahmin!$C$4+55)),MIN(DAY(Kalemler!$D98),DAY(EOMONTH((Tahmin!$C$4+55),0))))&gt;=Kalemler!$D98)),1,0),IF(AND(Kalemler!$D98&gt;=(Tahmin!$C$4+49),Kalemler!$D98&lt;=(Tahmin!$C$4+55)),1,0))))</f>
        <v>0</v>
      </c>
      <c r="J98" s="0" t="n">
        <f aca="false">IF(OR(Kalemler!$A98="",Kalemler!$C98="",Kalemler!$D98=""),0,Kalemler!$C98*IF(Kalemler!$E98="Haftalık",IF(Kalemler!$D98&lt;=(Tahmin!$C$4+62),1,0),IF(Kalemler!$E98="Aylık",IF(OR(AND(DATE(YEAR((Tahmin!$C$4+56)),MONTH((Tahmin!$C$4+56)),MIN(DAY(Kalemler!$D98),DAY(EOMONTH((Tahmin!$C$4+56),0))))&gt;=(Tahmin!$C$4+56),DATE(YEAR((Tahmin!$C$4+56)),MONTH((Tahmin!$C$4+56)),MIN(DAY(Kalemler!$D98),DAY(EOMONTH((Tahmin!$C$4+56),0))))&lt;=(Tahmin!$C$4+62),DATE(YEAR((Tahmin!$C$4+56)),MONTH((Tahmin!$C$4+56)),MIN(DAY(Kalemler!$D98),DAY(EOMONTH((Tahmin!$C$4+56),0))))&gt;=Kalemler!$D98),AND(DATE(YEAR((Tahmin!$C$4+62)),MONTH((Tahmin!$C$4+62)),MIN(DAY(Kalemler!$D98),DAY(EOMONTH((Tahmin!$C$4+62),0))))&gt;=(Tahmin!$C$4+56),DATE(YEAR((Tahmin!$C$4+62)),MONTH((Tahmin!$C$4+62)),MIN(DAY(Kalemler!$D98),DAY(EOMONTH((Tahmin!$C$4+62),0))))&lt;=(Tahmin!$C$4+62),DATE(YEAR((Tahmin!$C$4+62)),MONTH((Tahmin!$C$4+62)),MIN(DAY(Kalemler!$D98),DAY(EOMONTH((Tahmin!$C$4+62),0))))&lt;&gt;DATE(YEAR((Tahmin!$C$4+56)),MONTH((Tahmin!$C$4+56)),MIN(DAY(Kalemler!$D98),DAY(EOMONTH((Tahmin!$C$4+56),0)))),DATE(YEAR((Tahmin!$C$4+62)),MONTH((Tahmin!$C$4+62)),MIN(DAY(Kalemler!$D98),DAY(EOMONTH((Tahmin!$C$4+62),0))))&gt;=Kalemler!$D98)),1,0),IF(AND(Kalemler!$D98&gt;=(Tahmin!$C$4+56),Kalemler!$D98&lt;=(Tahmin!$C$4+62)),1,0))))</f>
        <v>0</v>
      </c>
      <c r="K98" s="0" t="n">
        <f aca="false">IF(OR(Kalemler!$A98="",Kalemler!$C98="",Kalemler!$D98=""),0,Kalemler!$C98*IF(Kalemler!$E98="Haftalık",IF(Kalemler!$D98&lt;=(Tahmin!$C$4+69),1,0),IF(Kalemler!$E98="Aylık",IF(OR(AND(DATE(YEAR((Tahmin!$C$4+63)),MONTH((Tahmin!$C$4+63)),MIN(DAY(Kalemler!$D98),DAY(EOMONTH((Tahmin!$C$4+63),0))))&gt;=(Tahmin!$C$4+63),DATE(YEAR((Tahmin!$C$4+63)),MONTH((Tahmin!$C$4+63)),MIN(DAY(Kalemler!$D98),DAY(EOMONTH((Tahmin!$C$4+63),0))))&lt;=(Tahmin!$C$4+69),DATE(YEAR((Tahmin!$C$4+63)),MONTH((Tahmin!$C$4+63)),MIN(DAY(Kalemler!$D98),DAY(EOMONTH((Tahmin!$C$4+63),0))))&gt;=Kalemler!$D98),AND(DATE(YEAR((Tahmin!$C$4+69)),MONTH((Tahmin!$C$4+69)),MIN(DAY(Kalemler!$D98),DAY(EOMONTH((Tahmin!$C$4+69),0))))&gt;=(Tahmin!$C$4+63),DATE(YEAR((Tahmin!$C$4+69)),MONTH((Tahmin!$C$4+69)),MIN(DAY(Kalemler!$D98),DAY(EOMONTH((Tahmin!$C$4+69),0))))&lt;=(Tahmin!$C$4+69),DATE(YEAR((Tahmin!$C$4+69)),MONTH((Tahmin!$C$4+69)),MIN(DAY(Kalemler!$D98),DAY(EOMONTH((Tahmin!$C$4+69),0))))&lt;&gt;DATE(YEAR((Tahmin!$C$4+63)),MONTH((Tahmin!$C$4+63)),MIN(DAY(Kalemler!$D98),DAY(EOMONTH((Tahmin!$C$4+63),0)))),DATE(YEAR((Tahmin!$C$4+69)),MONTH((Tahmin!$C$4+69)),MIN(DAY(Kalemler!$D98),DAY(EOMONTH((Tahmin!$C$4+69),0))))&gt;=Kalemler!$D98)),1,0),IF(AND(Kalemler!$D98&gt;=(Tahmin!$C$4+63),Kalemler!$D98&lt;=(Tahmin!$C$4+69)),1,0))))</f>
        <v>0</v>
      </c>
      <c r="L98" s="0" t="n">
        <f aca="false">IF(OR(Kalemler!$A98="",Kalemler!$C98="",Kalemler!$D98=""),0,Kalemler!$C98*IF(Kalemler!$E98="Haftalık",IF(Kalemler!$D98&lt;=(Tahmin!$C$4+76),1,0),IF(Kalemler!$E98="Aylık",IF(OR(AND(DATE(YEAR((Tahmin!$C$4+70)),MONTH((Tahmin!$C$4+70)),MIN(DAY(Kalemler!$D98),DAY(EOMONTH((Tahmin!$C$4+70),0))))&gt;=(Tahmin!$C$4+70),DATE(YEAR((Tahmin!$C$4+70)),MONTH((Tahmin!$C$4+70)),MIN(DAY(Kalemler!$D98),DAY(EOMONTH((Tahmin!$C$4+70),0))))&lt;=(Tahmin!$C$4+76),DATE(YEAR((Tahmin!$C$4+70)),MONTH((Tahmin!$C$4+70)),MIN(DAY(Kalemler!$D98),DAY(EOMONTH((Tahmin!$C$4+70),0))))&gt;=Kalemler!$D98),AND(DATE(YEAR((Tahmin!$C$4+76)),MONTH((Tahmin!$C$4+76)),MIN(DAY(Kalemler!$D98),DAY(EOMONTH((Tahmin!$C$4+76),0))))&gt;=(Tahmin!$C$4+70),DATE(YEAR((Tahmin!$C$4+76)),MONTH((Tahmin!$C$4+76)),MIN(DAY(Kalemler!$D98),DAY(EOMONTH((Tahmin!$C$4+76),0))))&lt;=(Tahmin!$C$4+76),DATE(YEAR((Tahmin!$C$4+76)),MONTH((Tahmin!$C$4+76)),MIN(DAY(Kalemler!$D98),DAY(EOMONTH((Tahmin!$C$4+76),0))))&lt;&gt;DATE(YEAR((Tahmin!$C$4+70)),MONTH((Tahmin!$C$4+70)),MIN(DAY(Kalemler!$D98),DAY(EOMONTH((Tahmin!$C$4+70),0)))),DATE(YEAR((Tahmin!$C$4+76)),MONTH((Tahmin!$C$4+76)),MIN(DAY(Kalemler!$D98),DAY(EOMONTH((Tahmin!$C$4+76),0))))&gt;=Kalemler!$D98)),1,0),IF(AND(Kalemler!$D98&gt;=(Tahmin!$C$4+70),Kalemler!$D98&lt;=(Tahmin!$C$4+76)),1,0))))</f>
        <v>0</v>
      </c>
      <c r="M98" s="0" t="n">
        <f aca="false">IF(OR(Kalemler!$A98="",Kalemler!$C98="",Kalemler!$D98=""),0,Kalemler!$C98*IF(Kalemler!$E98="Haftalık",IF(Kalemler!$D98&lt;=(Tahmin!$C$4+83),1,0),IF(Kalemler!$E98="Aylık",IF(OR(AND(DATE(YEAR((Tahmin!$C$4+77)),MONTH((Tahmin!$C$4+77)),MIN(DAY(Kalemler!$D98),DAY(EOMONTH((Tahmin!$C$4+77),0))))&gt;=(Tahmin!$C$4+77),DATE(YEAR((Tahmin!$C$4+77)),MONTH((Tahmin!$C$4+77)),MIN(DAY(Kalemler!$D98),DAY(EOMONTH((Tahmin!$C$4+77),0))))&lt;=(Tahmin!$C$4+83),DATE(YEAR((Tahmin!$C$4+77)),MONTH((Tahmin!$C$4+77)),MIN(DAY(Kalemler!$D98),DAY(EOMONTH((Tahmin!$C$4+77),0))))&gt;=Kalemler!$D98),AND(DATE(YEAR((Tahmin!$C$4+83)),MONTH((Tahmin!$C$4+83)),MIN(DAY(Kalemler!$D98),DAY(EOMONTH((Tahmin!$C$4+83),0))))&gt;=(Tahmin!$C$4+77),DATE(YEAR((Tahmin!$C$4+83)),MONTH((Tahmin!$C$4+83)),MIN(DAY(Kalemler!$D98),DAY(EOMONTH((Tahmin!$C$4+83),0))))&lt;=(Tahmin!$C$4+83),DATE(YEAR((Tahmin!$C$4+83)),MONTH((Tahmin!$C$4+83)),MIN(DAY(Kalemler!$D98),DAY(EOMONTH((Tahmin!$C$4+83),0))))&lt;&gt;DATE(YEAR((Tahmin!$C$4+77)),MONTH((Tahmin!$C$4+77)),MIN(DAY(Kalemler!$D98),DAY(EOMONTH((Tahmin!$C$4+77),0)))),DATE(YEAR((Tahmin!$C$4+83)),MONTH((Tahmin!$C$4+83)),MIN(DAY(Kalemler!$D98),DAY(EOMONTH((Tahmin!$C$4+83),0))))&gt;=Kalemler!$D98)),1,0),IF(AND(Kalemler!$D98&gt;=(Tahmin!$C$4+77),Kalemler!$D98&lt;=(Tahmin!$C$4+83)),1,0))))</f>
        <v>0</v>
      </c>
      <c r="N98" s="0" t="n">
        <f aca="false">IF(OR(Kalemler!$A98="",Kalemler!$C98="",Kalemler!$D98=""),0,Kalemler!$C98*IF(Kalemler!$E98="Haftalık",IF(Kalemler!$D98&lt;=(Tahmin!$C$4+90),1,0),IF(Kalemler!$E98="Aylık",IF(OR(AND(DATE(YEAR((Tahmin!$C$4+84)),MONTH((Tahmin!$C$4+84)),MIN(DAY(Kalemler!$D98),DAY(EOMONTH((Tahmin!$C$4+84),0))))&gt;=(Tahmin!$C$4+84),DATE(YEAR((Tahmin!$C$4+84)),MONTH((Tahmin!$C$4+84)),MIN(DAY(Kalemler!$D98),DAY(EOMONTH((Tahmin!$C$4+84),0))))&lt;=(Tahmin!$C$4+90),DATE(YEAR((Tahmin!$C$4+84)),MONTH((Tahmin!$C$4+84)),MIN(DAY(Kalemler!$D98),DAY(EOMONTH((Tahmin!$C$4+84),0))))&gt;=Kalemler!$D98),AND(DATE(YEAR((Tahmin!$C$4+90)),MONTH((Tahmin!$C$4+90)),MIN(DAY(Kalemler!$D98),DAY(EOMONTH((Tahmin!$C$4+90),0))))&gt;=(Tahmin!$C$4+84),DATE(YEAR((Tahmin!$C$4+90)),MONTH((Tahmin!$C$4+90)),MIN(DAY(Kalemler!$D98),DAY(EOMONTH((Tahmin!$C$4+90),0))))&lt;=(Tahmin!$C$4+90),DATE(YEAR((Tahmin!$C$4+90)),MONTH((Tahmin!$C$4+90)),MIN(DAY(Kalemler!$D98),DAY(EOMONTH((Tahmin!$C$4+90),0))))&lt;&gt;DATE(YEAR((Tahmin!$C$4+84)),MONTH((Tahmin!$C$4+84)),MIN(DAY(Kalemler!$D98),DAY(EOMONTH((Tahmin!$C$4+84),0)))),DATE(YEAR((Tahmin!$C$4+90)),MONTH((Tahmin!$C$4+90)),MIN(DAY(Kalemler!$D98),DAY(EOMONTH((Tahmin!$C$4+90),0))))&gt;=Kalemler!$D98)),1,0),IF(AND(Kalemler!$D98&gt;=(Tahmin!$C$4+84),Kalemler!$D98&lt;=(Tahmin!$C$4+90)),1,0))))</f>
        <v>0</v>
      </c>
    </row>
    <row r="99" customFormat="false" ht="15" hidden="false" customHeight="false" outlineLevel="0" collapsed="false">
      <c r="A99" s="0" t="str">
        <f aca="false">IF(Kalemler!A99="","",Kalemler!A99)</f>
        <v/>
      </c>
      <c r="B99" s="0" t="n">
        <f aca="false">IF(OR(Kalemler!$A99="",Kalemler!$C99="",Kalemler!$D99=""),0,Kalemler!$C99*IF(Kalemler!$E99="Haftalık",IF(Kalemler!$D99&lt;=(Tahmin!$C$4+6),1,0),IF(Kalemler!$E99="Aylık",IF(OR(AND(DATE(YEAR((Tahmin!$C$4+0)),MONTH((Tahmin!$C$4+0)),MIN(DAY(Kalemler!$D99),DAY(EOMONTH((Tahmin!$C$4+0),0))))&gt;=(Tahmin!$C$4+0),DATE(YEAR((Tahmin!$C$4+0)),MONTH((Tahmin!$C$4+0)),MIN(DAY(Kalemler!$D99),DAY(EOMONTH((Tahmin!$C$4+0),0))))&lt;=(Tahmin!$C$4+6),DATE(YEAR((Tahmin!$C$4+0)),MONTH((Tahmin!$C$4+0)),MIN(DAY(Kalemler!$D99),DAY(EOMONTH((Tahmin!$C$4+0),0))))&gt;=Kalemler!$D99),AND(DATE(YEAR((Tahmin!$C$4+6)),MONTH((Tahmin!$C$4+6)),MIN(DAY(Kalemler!$D99),DAY(EOMONTH((Tahmin!$C$4+6),0))))&gt;=(Tahmin!$C$4+0),DATE(YEAR((Tahmin!$C$4+6)),MONTH((Tahmin!$C$4+6)),MIN(DAY(Kalemler!$D99),DAY(EOMONTH((Tahmin!$C$4+6),0))))&lt;=(Tahmin!$C$4+6),DATE(YEAR((Tahmin!$C$4+6)),MONTH((Tahmin!$C$4+6)),MIN(DAY(Kalemler!$D99),DAY(EOMONTH((Tahmin!$C$4+6),0))))&lt;&gt;DATE(YEAR((Tahmin!$C$4+0)),MONTH((Tahmin!$C$4+0)),MIN(DAY(Kalemler!$D99),DAY(EOMONTH((Tahmin!$C$4+0),0)))),DATE(YEAR((Tahmin!$C$4+6)),MONTH((Tahmin!$C$4+6)),MIN(DAY(Kalemler!$D99),DAY(EOMONTH((Tahmin!$C$4+6),0))))&gt;=Kalemler!$D99)),1,0),IF(AND(Kalemler!$D99&gt;=(Tahmin!$C$4+0),Kalemler!$D99&lt;=(Tahmin!$C$4+6)),1,0))))</f>
        <v>0</v>
      </c>
      <c r="C99" s="0" t="n">
        <f aca="false">IF(OR(Kalemler!$A99="",Kalemler!$C99="",Kalemler!$D99=""),0,Kalemler!$C99*IF(Kalemler!$E99="Haftalık",IF(Kalemler!$D99&lt;=(Tahmin!$C$4+13),1,0),IF(Kalemler!$E99="Aylık",IF(OR(AND(DATE(YEAR((Tahmin!$C$4+7)),MONTH((Tahmin!$C$4+7)),MIN(DAY(Kalemler!$D99),DAY(EOMONTH((Tahmin!$C$4+7),0))))&gt;=(Tahmin!$C$4+7),DATE(YEAR((Tahmin!$C$4+7)),MONTH((Tahmin!$C$4+7)),MIN(DAY(Kalemler!$D99),DAY(EOMONTH((Tahmin!$C$4+7),0))))&lt;=(Tahmin!$C$4+13),DATE(YEAR((Tahmin!$C$4+7)),MONTH((Tahmin!$C$4+7)),MIN(DAY(Kalemler!$D99),DAY(EOMONTH((Tahmin!$C$4+7),0))))&gt;=Kalemler!$D99),AND(DATE(YEAR((Tahmin!$C$4+13)),MONTH((Tahmin!$C$4+13)),MIN(DAY(Kalemler!$D99),DAY(EOMONTH((Tahmin!$C$4+13),0))))&gt;=(Tahmin!$C$4+7),DATE(YEAR((Tahmin!$C$4+13)),MONTH((Tahmin!$C$4+13)),MIN(DAY(Kalemler!$D99),DAY(EOMONTH((Tahmin!$C$4+13),0))))&lt;=(Tahmin!$C$4+13),DATE(YEAR((Tahmin!$C$4+13)),MONTH((Tahmin!$C$4+13)),MIN(DAY(Kalemler!$D99),DAY(EOMONTH((Tahmin!$C$4+13),0))))&lt;&gt;DATE(YEAR((Tahmin!$C$4+7)),MONTH((Tahmin!$C$4+7)),MIN(DAY(Kalemler!$D99),DAY(EOMONTH((Tahmin!$C$4+7),0)))),DATE(YEAR((Tahmin!$C$4+13)),MONTH((Tahmin!$C$4+13)),MIN(DAY(Kalemler!$D99),DAY(EOMONTH((Tahmin!$C$4+13),0))))&gt;=Kalemler!$D99)),1,0),IF(AND(Kalemler!$D99&gt;=(Tahmin!$C$4+7),Kalemler!$D99&lt;=(Tahmin!$C$4+13)),1,0))))</f>
        <v>0</v>
      </c>
      <c r="D99" s="0" t="n">
        <f aca="false">IF(OR(Kalemler!$A99="",Kalemler!$C99="",Kalemler!$D99=""),0,Kalemler!$C99*IF(Kalemler!$E99="Haftalık",IF(Kalemler!$D99&lt;=(Tahmin!$C$4+20),1,0),IF(Kalemler!$E99="Aylık",IF(OR(AND(DATE(YEAR((Tahmin!$C$4+14)),MONTH((Tahmin!$C$4+14)),MIN(DAY(Kalemler!$D99),DAY(EOMONTH((Tahmin!$C$4+14),0))))&gt;=(Tahmin!$C$4+14),DATE(YEAR((Tahmin!$C$4+14)),MONTH((Tahmin!$C$4+14)),MIN(DAY(Kalemler!$D99),DAY(EOMONTH((Tahmin!$C$4+14),0))))&lt;=(Tahmin!$C$4+20),DATE(YEAR((Tahmin!$C$4+14)),MONTH((Tahmin!$C$4+14)),MIN(DAY(Kalemler!$D99),DAY(EOMONTH((Tahmin!$C$4+14),0))))&gt;=Kalemler!$D99),AND(DATE(YEAR((Tahmin!$C$4+20)),MONTH((Tahmin!$C$4+20)),MIN(DAY(Kalemler!$D99),DAY(EOMONTH((Tahmin!$C$4+20),0))))&gt;=(Tahmin!$C$4+14),DATE(YEAR((Tahmin!$C$4+20)),MONTH((Tahmin!$C$4+20)),MIN(DAY(Kalemler!$D99),DAY(EOMONTH((Tahmin!$C$4+20),0))))&lt;=(Tahmin!$C$4+20),DATE(YEAR((Tahmin!$C$4+20)),MONTH((Tahmin!$C$4+20)),MIN(DAY(Kalemler!$D99),DAY(EOMONTH((Tahmin!$C$4+20),0))))&lt;&gt;DATE(YEAR((Tahmin!$C$4+14)),MONTH((Tahmin!$C$4+14)),MIN(DAY(Kalemler!$D99),DAY(EOMONTH((Tahmin!$C$4+14),0)))),DATE(YEAR((Tahmin!$C$4+20)),MONTH((Tahmin!$C$4+20)),MIN(DAY(Kalemler!$D99),DAY(EOMONTH((Tahmin!$C$4+20),0))))&gt;=Kalemler!$D99)),1,0),IF(AND(Kalemler!$D99&gt;=(Tahmin!$C$4+14),Kalemler!$D99&lt;=(Tahmin!$C$4+20)),1,0))))</f>
        <v>0</v>
      </c>
      <c r="E99" s="0" t="n">
        <f aca="false">IF(OR(Kalemler!$A99="",Kalemler!$C99="",Kalemler!$D99=""),0,Kalemler!$C99*IF(Kalemler!$E99="Haftalık",IF(Kalemler!$D99&lt;=(Tahmin!$C$4+27),1,0),IF(Kalemler!$E99="Aylık",IF(OR(AND(DATE(YEAR((Tahmin!$C$4+21)),MONTH((Tahmin!$C$4+21)),MIN(DAY(Kalemler!$D99),DAY(EOMONTH((Tahmin!$C$4+21),0))))&gt;=(Tahmin!$C$4+21),DATE(YEAR((Tahmin!$C$4+21)),MONTH((Tahmin!$C$4+21)),MIN(DAY(Kalemler!$D99),DAY(EOMONTH((Tahmin!$C$4+21),0))))&lt;=(Tahmin!$C$4+27),DATE(YEAR((Tahmin!$C$4+21)),MONTH((Tahmin!$C$4+21)),MIN(DAY(Kalemler!$D99),DAY(EOMONTH((Tahmin!$C$4+21),0))))&gt;=Kalemler!$D99),AND(DATE(YEAR((Tahmin!$C$4+27)),MONTH((Tahmin!$C$4+27)),MIN(DAY(Kalemler!$D99),DAY(EOMONTH((Tahmin!$C$4+27),0))))&gt;=(Tahmin!$C$4+21),DATE(YEAR((Tahmin!$C$4+27)),MONTH((Tahmin!$C$4+27)),MIN(DAY(Kalemler!$D99),DAY(EOMONTH((Tahmin!$C$4+27),0))))&lt;=(Tahmin!$C$4+27),DATE(YEAR((Tahmin!$C$4+27)),MONTH((Tahmin!$C$4+27)),MIN(DAY(Kalemler!$D99),DAY(EOMONTH((Tahmin!$C$4+27),0))))&lt;&gt;DATE(YEAR((Tahmin!$C$4+21)),MONTH((Tahmin!$C$4+21)),MIN(DAY(Kalemler!$D99),DAY(EOMONTH((Tahmin!$C$4+21),0)))),DATE(YEAR((Tahmin!$C$4+27)),MONTH((Tahmin!$C$4+27)),MIN(DAY(Kalemler!$D99),DAY(EOMONTH((Tahmin!$C$4+27),0))))&gt;=Kalemler!$D99)),1,0),IF(AND(Kalemler!$D99&gt;=(Tahmin!$C$4+21),Kalemler!$D99&lt;=(Tahmin!$C$4+27)),1,0))))</f>
        <v>0</v>
      </c>
      <c r="F99" s="0" t="n">
        <f aca="false">IF(OR(Kalemler!$A99="",Kalemler!$C99="",Kalemler!$D99=""),0,Kalemler!$C99*IF(Kalemler!$E99="Haftalık",IF(Kalemler!$D99&lt;=(Tahmin!$C$4+34),1,0),IF(Kalemler!$E99="Aylık",IF(OR(AND(DATE(YEAR((Tahmin!$C$4+28)),MONTH((Tahmin!$C$4+28)),MIN(DAY(Kalemler!$D99),DAY(EOMONTH((Tahmin!$C$4+28),0))))&gt;=(Tahmin!$C$4+28),DATE(YEAR((Tahmin!$C$4+28)),MONTH((Tahmin!$C$4+28)),MIN(DAY(Kalemler!$D99),DAY(EOMONTH((Tahmin!$C$4+28),0))))&lt;=(Tahmin!$C$4+34),DATE(YEAR((Tahmin!$C$4+28)),MONTH((Tahmin!$C$4+28)),MIN(DAY(Kalemler!$D99),DAY(EOMONTH((Tahmin!$C$4+28),0))))&gt;=Kalemler!$D99),AND(DATE(YEAR((Tahmin!$C$4+34)),MONTH((Tahmin!$C$4+34)),MIN(DAY(Kalemler!$D99),DAY(EOMONTH((Tahmin!$C$4+34),0))))&gt;=(Tahmin!$C$4+28),DATE(YEAR((Tahmin!$C$4+34)),MONTH((Tahmin!$C$4+34)),MIN(DAY(Kalemler!$D99),DAY(EOMONTH((Tahmin!$C$4+34),0))))&lt;=(Tahmin!$C$4+34),DATE(YEAR((Tahmin!$C$4+34)),MONTH((Tahmin!$C$4+34)),MIN(DAY(Kalemler!$D99),DAY(EOMONTH((Tahmin!$C$4+34),0))))&lt;&gt;DATE(YEAR((Tahmin!$C$4+28)),MONTH((Tahmin!$C$4+28)),MIN(DAY(Kalemler!$D99),DAY(EOMONTH((Tahmin!$C$4+28),0)))),DATE(YEAR((Tahmin!$C$4+34)),MONTH((Tahmin!$C$4+34)),MIN(DAY(Kalemler!$D99),DAY(EOMONTH((Tahmin!$C$4+34),0))))&gt;=Kalemler!$D99)),1,0),IF(AND(Kalemler!$D99&gt;=(Tahmin!$C$4+28),Kalemler!$D99&lt;=(Tahmin!$C$4+34)),1,0))))</f>
        <v>0</v>
      </c>
      <c r="G99" s="0" t="n">
        <f aca="false">IF(OR(Kalemler!$A99="",Kalemler!$C99="",Kalemler!$D99=""),0,Kalemler!$C99*IF(Kalemler!$E99="Haftalık",IF(Kalemler!$D99&lt;=(Tahmin!$C$4+41),1,0),IF(Kalemler!$E99="Aylık",IF(OR(AND(DATE(YEAR((Tahmin!$C$4+35)),MONTH((Tahmin!$C$4+35)),MIN(DAY(Kalemler!$D99),DAY(EOMONTH((Tahmin!$C$4+35),0))))&gt;=(Tahmin!$C$4+35),DATE(YEAR((Tahmin!$C$4+35)),MONTH((Tahmin!$C$4+35)),MIN(DAY(Kalemler!$D99),DAY(EOMONTH((Tahmin!$C$4+35),0))))&lt;=(Tahmin!$C$4+41),DATE(YEAR((Tahmin!$C$4+35)),MONTH((Tahmin!$C$4+35)),MIN(DAY(Kalemler!$D99),DAY(EOMONTH((Tahmin!$C$4+35),0))))&gt;=Kalemler!$D99),AND(DATE(YEAR((Tahmin!$C$4+41)),MONTH((Tahmin!$C$4+41)),MIN(DAY(Kalemler!$D99),DAY(EOMONTH((Tahmin!$C$4+41),0))))&gt;=(Tahmin!$C$4+35),DATE(YEAR((Tahmin!$C$4+41)),MONTH((Tahmin!$C$4+41)),MIN(DAY(Kalemler!$D99),DAY(EOMONTH((Tahmin!$C$4+41),0))))&lt;=(Tahmin!$C$4+41),DATE(YEAR((Tahmin!$C$4+41)),MONTH((Tahmin!$C$4+41)),MIN(DAY(Kalemler!$D99),DAY(EOMONTH((Tahmin!$C$4+41),0))))&lt;&gt;DATE(YEAR((Tahmin!$C$4+35)),MONTH((Tahmin!$C$4+35)),MIN(DAY(Kalemler!$D99),DAY(EOMONTH((Tahmin!$C$4+35),0)))),DATE(YEAR((Tahmin!$C$4+41)),MONTH((Tahmin!$C$4+41)),MIN(DAY(Kalemler!$D99),DAY(EOMONTH((Tahmin!$C$4+41),0))))&gt;=Kalemler!$D99)),1,0),IF(AND(Kalemler!$D99&gt;=(Tahmin!$C$4+35),Kalemler!$D99&lt;=(Tahmin!$C$4+41)),1,0))))</f>
        <v>0</v>
      </c>
      <c r="H99" s="0" t="n">
        <f aca="false">IF(OR(Kalemler!$A99="",Kalemler!$C99="",Kalemler!$D99=""),0,Kalemler!$C99*IF(Kalemler!$E99="Haftalık",IF(Kalemler!$D99&lt;=(Tahmin!$C$4+48),1,0),IF(Kalemler!$E99="Aylık",IF(OR(AND(DATE(YEAR((Tahmin!$C$4+42)),MONTH((Tahmin!$C$4+42)),MIN(DAY(Kalemler!$D99),DAY(EOMONTH((Tahmin!$C$4+42),0))))&gt;=(Tahmin!$C$4+42),DATE(YEAR((Tahmin!$C$4+42)),MONTH((Tahmin!$C$4+42)),MIN(DAY(Kalemler!$D99),DAY(EOMONTH((Tahmin!$C$4+42),0))))&lt;=(Tahmin!$C$4+48),DATE(YEAR((Tahmin!$C$4+42)),MONTH((Tahmin!$C$4+42)),MIN(DAY(Kalemler!$D99),DAY(EOMONTH((Tahmin!$C$4+42),0))))&gt;=Kalemler!$D99),AND(DATE(YEAR((Tahmin!$C$4+48)),MONTH((Tahmin!$C$4+48)),MIN(DAY(Kalemler!$D99),DAY(EOMONTH((Tahmin!$C$4+48),0))))&gt;=(Tahmin!$C$4+42),DATE(YEAR((Tahmin!$C$4+48)),MONTH((Tahmin!$C$4+48)),MIN(DAY(Kalemler!$D99),DAY(EOMONTH((Tahmin!$C$4+48),0))))&lt;=(Tahmin!$C$4+48),DATE(YEAR((Tahmin!$C$4+48)),MONTH((Tahmin!$C$4+48)),MIN(DAY(Kalemler!$D99),DAY(EOMONTH((Tahmin!$C$4+48),0))))&lt;&gt;DATE(YEAR((Tahmin!$C$4+42)),MONTH((Tahmin!$C$4+42)),MIN(DAY(Kalemler!$D99),DAY(EOMONTH((Tahmin!$C$4+42),0)))),DATE(YEAR((Tahmin!$C$4+48)),MONTH((Tahmin!$C$4+48)),MIN(DAY(Kalemler!$D99),DAY(EOMONTH((Tahmin!$C$4+48),0))))&gt;=Kalemler!$D99)),1,0),IF(AND(Kalemler!$D99&gt;=(Tahmin!$C$4+42),Kalemler!$D99&lt;=(Tahmin!$C$4+48)),1,0))))</f>
        <v>0</v>
      </c>
      <c r="I99" s="0" t="n">
        <f aca="false">IF(OR(Kalemler!$A99="",Kalemler!$C99="",Kalemler!$D99=""),0,Kalemler!$C99*IF(Kalemler!$E99="Haftalık",IF(Kalemler!$D99&lt;=(Tahmin!$C$4+55),1,0),IF(Kalemler!$E99="Aylık",IF(OR(AND(DATE(YEAR((Tahmin!$C$4+49)),MONTH((Tahmin!$C$4+49)),MIN(DAY(Kalemler!$D99),DAY(EOMONTH((Tahmin!$C$4+49),0))))&gt;=(Tahmin!$C$4+49),DATE(YEAR((Tahmin!$C$4+49)),MONTH((Tahmin!$C$4+49)),MIN(DAY(Kalemler!$D99),DAY(EOMONTH((Tahmin!$C$4+49),0))))&lt;=(Tahmin!$C$4+55),DATE(YEAR((Tahmin!$C$4+49)),MONTH((Tahmin!$C$4+49)),MIN(DAY(Kalemler!$D99),DAY(EOMONTH((Tahmin!$C$4+49),0))))&gt;=Kalemler!$D99),AND(DATE(YEAR((Tahmin!$C$4+55)),MONTH((Tahmin!$C$4+55)),MIN(DAY(Kalemler!$D99),DAY(EOMONTH((Tahmin!$C$4+55),0))))&gt;=(Tahmin!$C$4+49),DATE(YEAR((Tahmin!$C$4+55)),MONTH((Tahmin!$C$4+55)),MIN(DAY(Kalemler!$D99),DAY(EOMONTH((Tahmin!$C$4+55),0))))&lt;=(Tahmin!$C$4+55),DATE(YEAR((Tahmin!$C$4+55)),MONTH((Tahmin!$C$4+55)),MIN(DAY(Kalemler!$D99),DAY(EOMONTH((Tahmin!$C$4+55),0))))&lt;&gt;DATE(YEAR((Tahmin!$C$4+49)),MONTH((Tahmin!$C$4+49)),MIN(DAY(Kalemler!$D99),DAY(EOMONTH((Tahmin!$C$4+49),0)))),DATE(YEAR((Tahmin!$C$4+55)),MONTH((Tahmin!$C$4+55)),MIN(DAY(Kalemler!$D99),DAY(EOMONTH((Tahmin!$C$4+55),0))))&gt;=Kalemler!$D99)),1,0),IF(AND(Kalemler!$D99&gt;=(Tahmin!$C$4+49),Kalemler!$D99&lt;=(Tahmin!$C$4+55)),1,0))))</f>
        <v>0</v>
      </c>
      <c r="J99" s="0" t="n">
        <f aca="false">IF(OR(Kalemler!$A99="",Kalemler!$C99="",Kalemler!$D99=""),0,Kalemler!$C99*IF(Kalemler!$E99="Haftalık",IF(Kalemler!$D99&lt;=(Tahmin!$C$4+62),1,0),IF(Kalemler!$E99="Aylık",IF(OR(AND(DATE(YEAR((Tahmin!$C$4+56)),MONTH((Tahmin!$C$4+56)),MIN(DAY(Kalemler!$D99),DAY(EOMONTH((Tahmin!$C$4+56),0))))&gt;=(Tahmin!$C$4+56),DATE(YEAR((Tahmin!$C$4+56)),MONTH((Tahmin!$C$4+56)),MIN(DAY(Kalemler!$D99),DAY(EOMONTH((Tahmin!$C$4+56),0))))&lt;=(Tahmin!$C$4+62),DATE(YEAR((Tahmin!$C$4+56)),MONTH((Tahmin!$C$4+56)),MIN(DAY(Kalemler!$D99),DAY(EOMONTH((Tahmin!$C$4+56),0))))&gt;=Kalemler!$D99),AND(DATE(YEAR((Tahmin!$C$4+62)),MONTH((Tahmin!$C$4+62)),MIN(DAY(Kalemler!$D99),DAY(EOMONTH((Tahmin!$C$4+62),0))))&gt;=(Tahmin!$C$4+56),DATE(YEAR((Tahmin!$C$4+62)),MONTH((Tahmin!$C$4+62)),MIN(DAY(Kalemler!$D99),DAY(EOMONTH((Tahmin!$C$4+62),0))))&lt;=(Tahmin!$C$4+62),DATE(YEAR((Tahmin!$C$4+62)),MONTH((Tahmin!$C$4+62)),MIN(DAY(Kalemler!$D99),DAY(EOMONTH((Tahmin!$C$4+62),0))))&lt;&gt;DATE(YEAR((Tahmin!$C$4+56)),MONTH((Tahmin!$C$4+56)),MIN(DAY(Kalemler!$D99),DAY(EOMONTH((Tahmin!$C$4+56),0)))),DATE(YEAR((Tahmin!$C$4+62)),MONTH((Tahmin!$C$4+62)),MIN(DAY(Kalemler!$D99),DAY(EOMONTH((Tahmin!$C$4+62),0))))&gt;=Kalemler!$D99)),1,0),IF(AND(Kalemler!$D99&gt;=(Tahmin!$C$4+56),Kalemler!$D99&lt;=(Tahmin!$C$4+62)),1,0))))</f>
        <v>0</v>
      </c>
      <c r="K99" s="0" t="n">
        <f aca="false">IF(OR(Kalemler!$A99="",Kalemler!$C99="",Kalemler!$D99=""),0,Kalemler!$C99*IF(Kalemler!$E99="Haftalık",IF(Kalemler!$D99&lt;=(Tahmin!$C$4+69),1,0),IF(Kalemler!$E99="Aylık",IF(OR(AND(DATE(YEAR((Tahmin!$C$4+63)),MONTH((Tahmin!$C$4+63)),MIN(DAY(Kalemler!$D99),DAY(EOMONTH((Tahmin!$C$4+63),0))))&gt;=(Tahmin!$C$4+63),DATE(YEAR((Tahmin!$C$4+63)),MONTH((Tahmin!$C$4+63)),MIN(DAY(Kalemler!$D99),DAY(EOMONTH((Tahmin!$C$4+63),0))))&lt;=(Tahmin!$C$4+69),DATE(YEAR((Tahmin!$C$4+63)),MONTH((Tahmin!$C$4+63)),MIN(DAY(Kalemler!$D99),DAY(EOMONTH((Tahmin!$C$4+63),0))))&gt;=Kalemler!$D99),AND(DATE(YEAR((Tahmin!$C$4+69)),MONTH((Tahmin!$C$4+69)),MIN(DAY(Kalemler!$D99),DAY(EOMONTH((Tahmin!$C$4+69),0))))&gt;=(Tahmin!$C$4+63),DATE(YEAR((Tahmin!$C$4+69)),MONTH((Tahmin!$C$4+69)),MIN(DAY(Kalemler!$D99),DAY(EOMONTH((Tahmin!$C$4+69),0))))&lt;=(Tahmin!$C$4+69),DATE(YEAR((Tahmin!$C$4+69)),MONTH((Tahmin!$C$4+69)),MIN(DAY(Kalemler!$D99),DAY(EOMONTH((Tahmin!$C$4+69),0))))&lt;&gt;DATE(YEAR((Tahmin!$C$4+63)),MONTH((Tahmin!$C$4+63)),MIN(DAY(Kalemler!$D99),DAY(EOMONTH((Tahmin!$C$4+63),0)))),DATE(YEAR((Tahmin!$C$4+69)),MONTH((Tahmin!$C$4+69)),MIN(DAY(Kalemler!$D99),DAY(EOMONTH((Tahmin!$C$4+69),0))))&gt;=Kalemler!$D99)),1,0),IF(AND(Kalemler!$D99&gt;=(Tahmin!$C$4+63),Kalemler!$D99&lt;=(Tahmin!$C$4+69)),1,0))))</f>
        <v>0</v>
      </c>
      <c r="L99" s="0" t="n">
        <f aca="false">IF(OR(Kalemler!$A99="",Kalemler!$C99="",Kalemler!$D99=""),0,Kalemler!$C99*IF(Kalemler!$E99="Haftalık",IF(Kalemler!$D99&lt;=(Tahmin!$C$4+76),1,0),IF(Kalemler!$E99="Aylık",IF(OR(AND(DATE(YEAR((Tahmin!$C$4+70)),MONTH((Tahmin!$C$4+70)),MIN(DAY(Kalemler!$D99),DAY(EOMONTH((Tahmin!$C$4+70),0))))&gt;=(Tahmin!$C$4+70),DATE(YEAR((Tahmin!$C$4+70)),MONTH((Tahmin!$C$4+70)),MIN(DAY(Kalemler!$D99),DAY(EOMONTH((Tahmin!$C$4+70),0))))&lt;=(Tahmin!$C$4+76),DATE(YEAR((Tahmin!$C$4+70)),MONTH((Tahmin!$C$4+70)),MIN(DAY(Kalemler!$D99),DAY(EOMONTH((Tahmin!$C$4+70),0))))&gt;=Kalemler!$D99),AND(DATE(YEAR((Tahmin!$C$4+76)),MONTH((Tahmin!$C$4+76)),MIN(DAY(Kalemler!$D99),DAY(EOMONTH((Tahmin!$C$4+76),0))))&gt;=(Tahmin!$C$4+70),DATE(YEAR((Tahmin!$C$4+76)),MONTH((Tahmin!$C$4+76)),MIN(DAY(Kalemler!$D99),DAY(EOMONTH((Tahmin!$C$4+76),0))))&lt;=(Tahmin!$C$4+76),DATE(YEAR((Tahmin!$C$4+76)),MONTH((Tahmin!$C$4+76)),MIN(DAY(Kalemler!$D99),DAY(EOMONTH((Tahmin!$C$4+76),0))))&lt;&gt;DATE(YEAR((Tahmin!$C$4+70)),MONTH((Tahmin!$C$4+70)),MIN(DAY(Kalemler!$D99),DAY(EOMONTH((Tahmin!$C$4+70),0)))),DATE(YEAR((Tahmin!$C$4+76)),MONTH((Tahmin!$C$4+76)),MIN(DAY(Kalemler!$D99),DAY(EOMONTH((Tahmin!$C$4+76),0))))&gt;=Kalemler!$D99)),1,0),IF(AND(Kalemler!$D99&gt;=(Tahmin!$C$4+70),Kalemler!$D99&lt;=(Tahmin!$C$4+76)),1,0))))</f>
        <v>0</v>
      </c>
      <c r="M99" s="0" t="n">
        <f aca="false">IF(OR(Kalemler!$A99="",Kalemler!$C99="",Kalemler!$D99=""),0,Kalemler!$C99*IF(Kalemler!$E99="Haftalık",IF(Kalemler!$D99&lt;=(Tahmin!$C$4+83),1,0),IF(Kalemler!$E99="Aylık",IF(OR(AND(DATE(YEAR((Tahmin!$C$4+77)),MONTH((Tahmin!$C$4+77)),MIN(DAY(Kalemler!$D99),DAY(EOMONTH((Tahmin!$C$4+77),0))))&gt;=(Tahmin!$C$4+77),DATE(YEAR((Tahmin!$C$4+77)),MONTH((Tahmin!$C$4+77)),MIN(DAY(Kalemler!$D99),DAY(EOMONTH((Tahmin!$C$4+77),0))))&lt;=(Tahmin!$C$4+83),DATE(YEAR((Tahmin!$C$4+77)),MONTH((Tahmin!$C$4+77)),MIN(DAY(Kalemler!$D99),DAY(EOMONTH((Tahmin!$C$4+77),0))))&gt;=Kalemler!$D99),AND(DATE(YEAR((Tahmin!$C$4+83)),MONTH((Tahmin!$C$4+83)),MIN(DAY(Kalemler!$D99),DAY(EOMONTH((Tahmin!$C$4+83),0))))&gt;=(Tahmin!$C$4+77),DATE(YEAR((Tahmin!$C$4+83)),MONTH((Tahmin!$C$4+83)),MIN(DAY(Kalemler!$D99),DAY(EOMONTH((Tahmin!$C$4+83),0))))&lt;=(Tahmin!$C$4+83),DATE(YEAR((Tahmin!$C$4+83)),MONTH((Tahmin!$C$4+83)),MIN(DAY(Kalemler!$D99),DAY(EOMONTH((Tahmin!$C$4+83),0))))&lt;&gt;DATE(YEAR((Tahmin!$C$4+77)),MONTH((Tahmin!$C$4+77)),MIN(DAY(Kalemler!$D99),DAY(EOMONTH((Tahmin!$C$4+77),0)))),DATE(YEAR((Tahmin!$C$4+83)),MONTH((Tahmin!$C$4+83)),MIN(DAY(Kalemler!$D99),DAY(EOMONTH((Tahmin!$C$4+83),0))))&gt;=Kalemler!$D99)),1,0),IF(AND(Kalemler!$D99&gt;=(Tahmin!$C$4+77),Kalemler!$D99&lt;=(Tahmin!$C$4+83)),1,0))))</f>
        <v>0</v>
      </c>
      <c r="N99" s="0" t="n">
        <f aca="false">IF(OR(Kalemler!$A99="",Kalemler!$C99="",Kalemler!$D99=""),0,Kalemler!$C99*IF(Kalemler!$E99="Haftalık",IF(Kalemler!$D99&lt;=(Tahmin!$C$4+90),1,0),IF(Kalemler!$E99="Aylık",IF(OR(AND(DATE(YEAR((Tahmin!$C$4+84)),MONTH((Tahmin!$C$4+84)),MIN(DAY(Kalemler!$D99),DAY(EOMONTH((Tahmin!$C$4+84),0))))&gt;=(Tahmin!$C$4+84),DATE(YEAR((Tahmin!$C$4+84)),MONTH((Tahmin!$C$4+84)),MIN(DAY(Kalemler!$D99),DAY(EOMONTH((Tahmin!$C$4+84),0))))&lt;=(Tahmin!$C$4+90),DATE(YEAR((Tahmin!$C$4+84)),MONTH((Tahmin!$C$4+84)),MIN(DAY(Kalemler!$D99),DAY(EOMONTH((Tahmin!$C$4+84),0))))&gt;=Kalemler!$D99),AND(DATE(YEAR((Tahmin!$C$4+90)),MONTH((Tahmin!$C$4+90)),MIN(DAY(Kalemler!$D99),DAY(EOMONTH((Tahmin!$C$4+90),0))))&gt;=(Tahmin!$C$4+84),DATE(YEAR((Tahmin!$C$4+90)),MONTH((Tahmin!$C$4+90)),MIN(DAY(Kalemler!$D99),DAY(EOMONTH((Tahmin!$C$4+90),0))))&lt;=(Tahmin!$C$4+90),DATE(YEAR((Tahmin!$C$4+90)),MONTH((Tahmin!$C$4+90)),MIN(DAY(Kalemler!$D99),DAY(EOMONTH((Tahmin!$C$4+90),0))))&lt;&gt;DATE(YEAR((Tahmin!$C$4+84)),MONTH((Tahmin!$C$4+84)),MIN(DAY(Kalemler!$D99),DAY(EOMONTH((Tahmin!$C$4+84),0)))),DATE(YEAR((Tahmin!$C$4+90)),MONTH((Tahmin!$C$4+90)),MIN(DAY(Kalemler!$D99),DAY(EOMONTH((Tahmin!$C$4+90),0))))&gt;=Kalemler!$D99)),1,0),IF(AND(Kalemler!$D99&gt;=(Tahmin!$C$4+84),Kalemler!$D99&lt;=(Tahmin!$C$4+90)),1,0))))</f>
        <v>0</v>
      </c>
    </row>
    <row r="100" customFormat="false" ht="15" hidden="false" customHeight="false" outlineLevel="0" collapsed="false">
      <c r="A100" s="0" t="str">
        <f aca="false">IF(Kalemler!A100="","",Kalemler!A100)</f>
        <v/>
      </c>
      <c r="B100" s="0" t="n">
        <f aca="false">IF(OR(Kalemler!$A100="",Kalemler!$C100="",Kalemler!$D100=""),0,Kalemler!$C100*IF(Kalemler!$E100="Haftalık",IF(Kalemler!$D100&lt;=(Tahmin!$C$4+6),1,0),IF(Kalemler!$E100="Aylık",IF(OR(AND(DATE(YEAR((Tahmin!$C$4+0)),MONTH((Tahmin!$C$4+0)),MIN(DAY(Kalemler!$D100),DAY(EOMONTH((Tahmin!$C$4+0),0))))&gt;=(Tahmin!$C$4+0),DATE(YEAR((Tahmin!$C$4+0)),MONTH((Tahmin!$C$4+0)),MIN(DAY(Kalemler!$D100),DAY(EOMONTH((Tahmin!$C$4+0),0))))&lt;=(Tahmin!$C$4+6),DATE(YEAR((Tahmin!$C$4+0)),MONTH((Tahmin!$C$4+0)),MIN(DAY(Kalemler!$D100),DAY(EOMONTH((Tahmin!$C$4+0),0))))&gt;=Kalemler!$D100),AND(DATE(YEAR((Tahmin!$C$4+6)),MONTH((Tahmin!$C$4+6)),MIN(DAY(Kalemler!$D100),DAY(EOMONTH((Tahmin!$C$4+6),0))))&gt;=(Tahmin!$C$4+0),DATE(YEAR((Tahmin!$C$4+6)),MONTH((Tahmin!$C$4+6)),MIN(DAY(Kalemler!$D100),DAY(EOMONTH((Tahmin!$C$4+6),0))))&lt;=(Tahmin!$C$4+6),DATE(YEAR((Tahmin!$C$4+6)),MONTH((Tahmin!$C$4+6)),MIN(DAY(Kalemler!$D100),DAY(EOMONTH((Tahmin!$C$4+6),0))))&lt;&gt;DATE(YEAR((Tahmin!$C$4+0)),MONTH((Tahmin!$C$4+0)),MIN(DAY(Kalemler!$D100),DAY(EOMONTH((Tahmin!$C$4+0),0)))),DATE(YEAR((Tahmin!$C$4+6)),MONTH((Tahmin!$C$4+6)),MIN(DAY(Kalemler!$D100),DAY(EOMONTH((Tahmin!$C$4+6),0))))&gt;=Kalemler!$D100)),1,0),IF(AND(Kalemler!$D100&gt;=(Tahmin!$C$4+0),Kalemler!$D100&lt;=(Tahmin!$C$4+6)),1,0))))</f>
        <v>0</v>
      </c>
      <c r="C100" s="0" t="n">
        <f aca="false">IF(OR(Kalemler!$A100="",Kalemler!$C100="",Kalemler!$D100=""),0,Kalemler!$C100*IF(Kalemler!$E100="Haftalık",IF(Kalemler!$D100&lt;=(Tahmin!$C$4+13),1,0),IF(Kalemler!$E100="Aylık",IF(OR(AND(DATE(YEAR((Tahmin!$C$4+7)),MONTH((Tahmin!$C$4+7)),MIN(DAY(Kalemler!$D100),DAY(EOMONTH((Tahmin!$C$4+7),0))))&gt;=(Tahmin!$C$4+7),DATE(YEAR((Tahmin!$C$4+7)),MONTH((Tahmin!$C$4+7)),MIN(DAY(Kalemler!$D100),DAY(EOMONTH((Tahmin!$C$4+7),0))))&lt;=(Tahmin!$C$4+13),DATE(YEAR((Tahmin!$C$4+7)),MONTH((Tahmin!$C$4+7)),MIN(DAY(Kalemler!$D100),DAY(EOMONTH((Tahmin!$C$4+7),0))))&gt;=Kalemler!$D100),AND(DATE(YEAR((Tahmin!$C$4+13)),MONTH((Tahmin!$C$4+13)),MIN(DAY(Kalemler!$D100),DAY(EOMONTH((Tahmin!$C$4+13),0))))&gt;=(Tahmin!$C$4+7),DATE(YEAR((Tahmin!$C$4+13)),MONTH((Tahmin!$C$4+13)),MIN(DAY(Kalemler!$D100),DAY(EOMONTH((Tahmin!$C$4+13),0))))&lt;=(Tahmin!$C$4+13),DATE(YEAR((Tahmin!$C$4+13)),MONTH((Tahmin!$C$4+13)),MIN(DAY(Kalemler!$D100),DAY(EOMONTH((Tahmin!$C$4+13),0))))&lt;&gt;DATE(YEAR((Tahmin!$C$4+7)),MONTH((Tahmin!$C$4+7)),MIN(DAY(Kalemler!$D100),DAY(EOMONTH((Tahmin!$C$4+7),0)))),DATE(YEAR((Tahmin!$C$4+13)),MONTH((Tahmin!$C$4+13)),MIN(DAY(Kalemler!$D100),DAY(EOMONTH((Tahmin!$C$4+13),0))))&gt;=Kalemler!$D100)),1,0),IF(AND(Kalemler!$D100&gt;=(Tahmin!$C$4+7),Kalemler!$D100&lt;=(Tahmin!$C$4+13)),1,0))))</f>
        <v>0</v>
      </c>
      <c r="D100" s="0" t="n">
        <f aca="false">IF(OR(Kalemler!$A100="",Kalemler!$C100="",Kalemler!$D100=""),0,Kalemler!$C100*IF(Kalemler!$E100="Haftalık",IF(Kalemler!$D100&lt;=(Tahmin!$C$4+20),1,0),IF(Kalemler!$E100="Aylık",IF(OR(AND(DATE(YEAR((Tahmin!$C$4+14)),MONTH((Tahmin!$C$4+14)),MIN(DAY(Kalemler!$D100),DAY(EOMONTH((Tahmin!$C$4+14),0))))&gt;=(Tahmin!$C$4+14),DATE(YEAR((Tahmin!$C$4+14)),MONTH((Tahmin!$C$4+14)),MIN(DAY(Kalemler!$D100),DAY(EOMONTH((Tahmin!$C$4+14),0))))&lt;=(Tahmin!$C$4+20),DATE(YEAR((Tahmin!$C$4+14)),MONTH((Tahmin!$C$4+14)),MIN(DAY(Kalemler!$D100),DAY(EOMONTH((Tahmin!$C$4+14),0))))&gt;=Kalemler!$D100),AND(DATE(YEAR((Tahmin!$C$4+20)),MONTH((Tahmin!$C$4+20)),MIN(DAY(Kalemler!$D100),DAY(EOMONTH((Tahmin!$C$4+20),0))))&gt;=(Tahmin!$C$4+14),DATE(YEAR((Tahmin!$C$4+20)),MONTH((Tahmin!$C$4+20)),MIN(DAY(Kalemler!$D100),DAY(EOMONTH((Tahmin!$C$4+20),0))))&lt;=(Tahmin!$C$4+20),DATE(YEAR((Tahmin!$C$4+20)),MONTH((Tahmin!$C$4+20)),MIN(DAY(Kalemler!$D100),DAY(EOMONTH((Tahmin!$C$4+20),0))))&lt;&gt;DATE(YEAR((Tahmin!$C$4+14)),MONTH((Tahmin!$C$4+14)),MIN(DAY(Kalemler!$D100),DAY(EOMONTH((Tahmin!$C$4+14),0)))),DATE(YEAR((Tahmin!$C$4+20)),MONTH((Tahmin!$C$4+20)),MIN(DAY(Kalemler!$D100),DAY(EOMONTH((Tahmin!$C$4+20),0))))&gt;=Kalemler!$D100)),1,0),IF(AND(Kalemler!$D100&gt;=(Tahmin!$C$4+14),Kalemler!$D100&lt;=(Tahmin!$C$4+20)),1,0))))</f>
        <v>0</v>
      </c>
      <c r="E100" s="0" t="n">
        <f aca="false">IF(OR(Kalemler!$A100="",Kalemler!$C100="",Kalemler!$D100=""),0,Kalemler!$C100*IF(Kalemler!$E100="Haftalık",IF(Kalemler!$D100&lt;=(Tahmin!$C$4+27),1,0),IF(Kalemler!$E100="Aylık",IF(OR(AND(DATE(YEAR((Tahmin!$C$4+21)),MONTH((Tahmin!$C$4+21)),MIN(DAY(Kalemler!$D100),DAY(EOMONTH((Tahmin!$C$4+21),0))))&gt;=(Tahmin!$C$4+21),DATE(YEAR((Tahmin!$C$4+21)),MONTH((Tahmin!$C$4+21)),MIN(DAY(Kalemler!$D100),DAY(EOMONTH((Tahmin!$C$4+21),0))))&lt;=(Tahmin!$C$4+27),DATE(YEAR((Tahmin!$C$4+21)),MONTH((Tahmin!$C$4+21)),MIN(DAY(Kalemler!$D100),DAY(EOMONTH((Tahmin!$C$4+21),0))))&gt;=Kalemler!$D100),AND(DATE(YEAR((Tahmin!$C$4+27)),MONTH((Tahmin!$C$4+27)),MIN(DAY(Kalemler!$D100),DAY(EOMONTH((Tahmin!$C$4+27),0))))&gt;=(Tahmin!$C$4+21),DATE(YEAR((Tahmin!$C$4+27)),MONTH((Tahmin!$C$4+27)),MIN(DAY(Kalemler!$D100),DAY(EOMONTH((Tahmin!$C$4+27),0))))&lt;=(Tahmin!$C$4+27),DATE(YEAR((Tahmin!$C$4+27)),MONTH((Tahmin!$C$4+27)),MIN(DAY(Kalemler!$D100),DAY(EOMONTH((Tahmin!$C$4+27),0))))&lt;&gt;DATE(YEAR((Tahmin!$C$4+21)),MONTH((Tahmin!$C$4+21)),MIN(DAY(Kalemler!$D100),DAY(EOMONTH((Tahmin!$C$4+21),0)))),DATE(YEAR((Tahmin!$C$4+27)),MONTH((Tahmin!$C$4+27)),MIN(DAY(Kalemler!$D100),DAY(EOMONTH((Tahmin!$C$4+27),0))))&gt;=Kalemler!$D100)),1,0),IF(AND(Kalemler!$D100&gt;=(Tahmin!$C$4+21),Kalemler!$D100&lt;=(Tahmin!$C$4+27)),1,0))))</f>
        <v>0</v>
      </c>
      <c r="F100" s="0" t="n">
        <f aca="false">IF(OR(Kalemler!$A100="",Kalemler!$C100="",Kalemler!$D100=""),0,Kalemler!$C100*IF(Kalemler!$E100="Haftalık",IF(Kalemler!$D100&lt;=(Tahmin!$C$4+34),1,0),IF(Kalemler!$E100="Aylık",IF(OR(AND(DATE(YEAR((Tahmin!$C$4+28)),MONTH((Tahmin!$C$4+28)),MIN(DAY(Kalemler!$D100),DAY(EOMONTH((Tahmin!$C$4+28),0))))&gt;=(Tahmin!$C$4+28),DATE(YEAR((Tahmin!$C$4+28)),MONTH((Tahmin!$C$4+28)),MIN(DAY(Kalemler!$D100),DAY(EOMONTH((Tahmin!$C$4+28),0))))&lt;=(Tahmin!$C$4+34),DATE(YEAR((Tahmin!$C$4+28)),MONTH((Tahmin!$C$4+28)),MIN(DAY(Kalemler!$D100),DAY(EOMONTH((Tahmin!$C$4+28),0))))&gt;=Kalemler!$D100),AND(DATE(YEAR((Tahmin!$C$4+34)),MONTH((Tahmin!$C$4+34)),MIN(DAY(Kalemler!$D100),DAY(EOMONTH((Tahmin!$C$4+34),0))))&gt;=(Tahmin!$C$4+28),DATE(YEAR((Tahmin!$C$4+34)),MONTH((Tahmin!$C$4+34)),MIN(DAY(Kalemler!$D100),DAY(EOMONTH((Tahmin!$C$4+34),0))))&lt;=(Tahmin!$C$4+34),DATE(YEAR((Tahmin!$C$4+34)),MONTH((Tahmin!$C$4+34)),MIN(DAY(Kalemler!$D100),DAY(EOMONTH((Tahmin!$C$4+34),0))))&lt;&gt;DATE(YEAR((Tahmin!$C$4+28)),MONTH((Tahmin!$C$4+28)),MIN(DAY(Kalemler!$D100),DAY(EOMONTH((Tahmin!$C$4+28),0)))),DATE(YEAR((Tahmin!$C$4+34)),MONTH((Tahmin!$C$4+34)),MIN(DAY(Kalemler!$D100),DAY(EOMONTH((Tahmin!$C$4+34),0))))&gt;=Kalemler!$D100)),1,0),IF(AND(Kalemler!$D100&gt;=(Tahmin!$C$4+28),Kalemler!$D100&lt;=(Tahmin!$C$4+34)),1,0))))</f>
        <v>0</v>
      </c>
      <c r="G100" s="0" t="n">
        <f aca="false">IF(OR(Kalemler!$A100="",Kalemler!$C100="",Kalemler!$D100=""),0,Kalemler!$C100*IF(Kalemler!$E100="Haftalık",IF(Kalemler!$D100&lt;=(Tahmin!$C$4+41),1,0),IF(Kalemler!$E100="Aylık",IF(OR(AND(DATE(YEAR((Tahmin!$C$4+35)),MONTH((Tahmin!$C$4+35)),MIN(DAY(Kalemler!$D100),DAY(EOMONTH((Tahmin!$C$4+35),0))))&gt;=(Tahmin!$C$4+35),DATE(YEAR((Tahmin!$C$4+35)),MONTH((Tahmin!$C$4+35)),MIN(DAY(Kalemler!$D100),DAY(EOMONTH((Tahmin!$C$4+35),0))))&lt;=(Tahmin!$C$4+41),DATE(YEAR((Tahmin!$C$4+35)),MONTH((Tahmin!$C$4+35)),MIN(DAY(Kalemler!$D100),DAY(EOMONTH((Tahmin!$C$4+35),0))))&gt;=Kalemler!$D100),AND(DATE(YEAR((Tahmin!$C$4+41)),MONTH((Tahmin!$C$4+41)),MIN(DAY(Kalemler!$D100),DAY(EOMONTH((Tahmin!$C$4+41),0))))&gt;=(Tahmin!$C$4+35),DATE(YEAR((Tahmin!$C$4+41)),MONTH((Tahmin!$C$4+41)),MIN(DAY(Kalemler!$D100),DAY(EOMONTH((Tahmin!$C$4+41),0))))&lt;=(Tahmin!$C$4+41),DATE(YEAR((Tahmin!$C$4+41)),MONTH((Tahmin!$C$4+41)),MIN(DAY(Kalemler!$D100),DAY(EOMONTH((Tahmin!$C$4+41),0))))&lt;&gt;DATE(YEAR((Tahmin!$C$4+35)),MONTH((Tahmin!$C$4+35)),MIN(DAY(Kalemler!$D100),DAY(EOMONTH((Tahmin!$C$4+35),0)))),DATE(YEAR((Tahmin!$C$4+41)),MONTH((Tahmin!$C$4+41)),MIN(DAY(Kalemler!$D100),DAY(EOMONTH((Tahmin!$C$4+41),0))))&gt;=Kalemler!$D100)),1,0),IF(AND(Kalemler!$D100&gt;=(Tahmin!$C$4+35),Kalemler!$D100&lt;=(Tahmin!$C$4+41)),1,0))))</f>
        <v>0</v>
      </c>
      <c r="H100" s="0" t="n">
        <f aca="false">IF(OR(Kalemler!$A100="",Kalemler!$C100="",Kalemler!$D100=""),0,Kalemler!$C100*IF(Kalemler!$E100="Haftalık",IF(Kalemler!$D100&lt;=(Tahmin!$C$4+48),1,0),IF(Kalemler!$E100="Aylık",IF(OR(AND(DATE(YEAR((Tahmin!$C$4+42)),MONTH((Tahmin!$C$4+42)),MIN(DAY(Kalemler!$D100),DAY(EOMONTH((Tahmin!$C$4+42),0))))&gt;=(Tahmin!$C$4+42),DATE(YEAR((Tahmin!$C$4+42)),MONTH((Tahmin!$C$4+42)),MIN(DAY(Kalemler!$D100),DAY(EOMONTH((Tahmin!$C$4+42),0))))&lt;=(Tahmin!$C$4+48),DATE(YEAR((Tahmin!$C$4+42)),MONTH((Tahmin!$C$4+42)),MIN(DAY(Kalemler!$D100),DAY(EOMONTH((Tahmin!$C$4+42),0))))&gt;=Kalemler!$D100),AND(DATE(YEAR((Tahmin!$C$4+48)),MONTH((Tahmin!$C$4+48)),MIN(DAY(Kalemler!$D100),DAY(EOMONTH((Tahmin!$C$4+48),0))))&gt;=(Tahmin!$C$4+42),DATE(YEAR((Tahmin!$C$4+48)),MONTH((Tahmin!$C$4+48)),MIN(DAY(Kalemler!$D100),DAY(EOMONTH((Tahmin!$C$4+48),0))))&lt;=(Tahmin!$C$4+48),DATE(YEAR((Tahmin!$C$4+48)),MONTH((Tahmin!$C$4+48)),MIN(DAY(Kalemler!$D100),DAY(EOMONTH((Tahmin!$C$4+48),0))))&lt;&gt;DATE(YEAR((Tahmin!$C$4+42)),MONTH((Tahmin!$C$4+42)),MIN(DAY(Kalemler!$D100),DAY(EOMONTH((Tahmin!$C$4+42),0)))),DATE(YEAR((Tahmin!$C$4+48)),MONTH((Tahmin!$C$4+48)),MIN(DAY(Kalemler!$D100),DAY(EOMONTH((Tahmin!$C$4+48),0))))&gt;=Kalemler!$D100)),1,0),IF(AND(Kalemler!$D100&gt;=(Tahmin!$C$4+42),Kalemler!$D100&lt;=(Tahmin!$C$4+48)),1,0))))</f>
        <v>0</v>
      </c>
      <c r="I100" s="0" t="n">
        <f aca="false">IF(OR(Kalemler!$A100="",Kalemler!$C100="",Kalemler!$D100=""),0,Kalemler!$C100*IF(Kalemler!$E100="Haftalık",IF(Kalemler!$D100&lt;=(Tahmin!$C$4+55),1,0),IF(Kalemler!$E100="Aylık",IF(OR(AND(DATE(YEAR((Tahmin!$C$4+49)),MONTH((Tahmin!$C$4+49)),MIN(DAY(Kalemler!$D100),DAY(EOMONTH((Tahmin!$C$4+49),0))))&gt;=(Tahmin!$C$4+49),DATE(YEAR((Tahmin!$C$4+49)),MONTH((Tahmin!$C$4+49)),MIN(DAY(Kalemler!$D100),DAY(EOMONTH((Tahmin!$C$4+49),0))))&lt;=(Tahmin!$C$4+55),DATE(YEAR((Tahmin!$C$4+49)),MONTH((Tahmin!$C$4+49)),MIN(DAY(Kalemler!$D100),DAY(EOMONTH((Tahmin!$C$4+49),0))))&gt;=Kalemler!$D100),AND(DATE(YEAR((Tahmin!$C$4+55)),MONTH((Tahmin!$C$4+55)),MIN(DAY(Kalemler!$D100),DAY(EOMONTH((Tahmin!$C$4+55),0))))&gt;=(Tahmin!$C$4+49),DATE(YEAR((Tahmin!$C$4+55)),MONTH((Tahmin!$C$4+55)),MIN(DAY(Kalemler!$D100),DAY(EOMONTH((Tahmin!$C$4+55),0))))&lt;=(Tahmin!$C$4+55),DATE(YEAR((Tahmin!$C$4+55)),MONTH((Tahmin!$C$4+55)),MIN(DAY(Kalemler!$D100),DAY(EOMONTH((Tahmin!$C$4+55),0))))&lt;&gt;DATE(YEAR((Tahmin!$C$4+49)),MONTH((Tahmin!$C$4+49)),MIN(DAY(Kalemler!$D100),DAY(EOMONTH((Tahmin!$C$4+49),0)))),DATE(YEAR((Tahmin!$C$4+55)),MONTH((Tahmin!$C$4+55)),MIN(DAY(Kalemler!$D100),DAY(EOMONTH((Tahmin!$C$4+55),0))))&gt;=Kalemler!$D100)),1,0),IF(AND(Kalemler!$D100&gt;=(Tahmin!$C$4+49),Kalemler!$D100&lt;=(Tahmin!$C$4+55)),1,0))))</f>
        <v>0</v>
      </c>
      <c r="J100" s="0" t="n">
        <f aca="false">IF(OR(Kalemler!$A100="",Kalemler!$C100="",Kalemler!$D100=""),0,Kalemler!$C100*IF(Kalemler!$E100="Haftalık",IF(Kalemler!$D100&lt;=(Tahmin!$C$4+62),1,0),IF(Kalemler!$E100="Aylık",IF(OR(AND(DATE(YEAR((Tahmin!$C$4+56)),MONTH((Tahmin!$C$4+56)),MIN(DAY(Kalemler!$D100),DAY(EOMONTH((Tahmin!$C$4+56),0))))&gt;=(Tahmin!$C$4+56),DATE(YEAR((Tahmin!$C$4+56)),MONTH((Tahmin!$C$4+56)),MIN(DAY(Kalemler!$D100),DAY(EOMONTH((Tahmin!$C$4+56),0))))&lt;=(Tahmin!$C$4+62),DATE(YEAR((Tahmin!$C$4+56)),MONTH((Tahmin!$C$4+56)),MIN(DAY(Kalemler!$D100),DAY(EOMONTH((Tahmin!$C$4+56),0))))&gt;=Kalemler!$D100),AND(DATE(YEAR((Tahmin!$C$4+62)),MONTH((Tahmin!$C$4+62)),MIN(DAY(Kalemler!$D100),DAY(EOMONTH((Tahmin!$C$4+62),0))))&gt;=(Tahmin!$C$4+56),DATE(YEAR((Tahmin!$C$4+62)),MONTH((Tahmin!$C$4+62)),MIN(DAY(Kalemler!$D100),DAY(EOMONTH((Tahmin!$C$4+62),0))))&lt;=(Tahmin!$C$4+62),DATE(YEAR((Tahmin!$C$4+62)),MONTH((Tahmin!$C$4+62)),MIN(DAY(Kalemler!$D100),DAY(EOMONTH((Tahmin!$C$4+62),0))))&lt;&gt;DATE(YEAR((Tahmin!$C$4+56)),MONTH((Tahmin!$C$4+56)),MIN(DAY(Kalemler!$D100),DAY(EOMONTH((Tahmin!$C$4+56),0)))),DATE(YEAR((Tahmin!$C$4+62)),MONTH((Tahmin!$C$4+62)),MIN(DAY(Kalemler!$D100),DAY(EOMONTH((Tahmin!$C$4+62),0))))&gt;=Kalemler!$D100)),1,0),IF(AND(Kalemler!$D100&gt;=(Tahmin!$C$4+56),Kalemler!$D100&lt;=(Tahmin!$C$4+62)),1,0))))</f>
        <v>0</v>
      </c>
      <c r="K100" s="0" t="n">
        <f aca="false">IF(OR(Kalemler!$A100="",Kalemler!$C100="",Kalemler!$D100=""),0,Kalemler!$C100*IF(Kalemler!$E100="Haftalık",IF(Kalemler!$D100&lt;=(Tahmin!$C$4+69),1,0),IF(Kalemler!$E100="Aylık",IF(OR(AND(DATE(YEAR((Tahmin!$C$4+63)),MONTH((Tahmin!$C$4+63)),MIN(DAY(Kalemler!$D100),DAY(EOMONTH((Tahmin!$C$4+63),0))))&gt;=(Tahmin!$C$4+63),DATE(YEAR((Tahmin!$C$4+63)),MONTH((Tahmin!$C$4+63)),MIN(DAY(Kalemler!$D100),DAY(EOMONTH((Tahmin!$C$4+63),0))))&lt;=(Tahmin!$C$4+69),DATE(YEAR((Tahmin!$C$4+63)),MONTH((Tahmin!$C$4+63)),MIN(DAY(Kalemler!$D100),DAY(EOMONTH((Tahmin!$C$4+63),0))))&gt;=Kalemler!$D100),AND(DATE(YEAR((Tahmin!$C$4+69)),MONTH((Tahmin!$C$4+69)),MIN(DAY(Kalemler!$D100),DAY(EOMONTH((Tahmin!$C$4+69),0))))&gt;=(Tahmin!$C$4+63),DATE(YEAR((Tahmin!$C$4+69)),MONTH((Tahmin!$C$4+69)),MIN(DAY(Kalemler!$D100),DAY(EOMONTH((Tahmin!$C$4+69),0))))&lt;=(Tahmin!$C$4+69),DATE(YEAR((Tahmin!$C$4+69)),MONTH((Tahmin!$C$4+69)),MIN(DAY(Kalemler!$D100),DAY(EOMONTH((Tahmin!$C$4+69),0))))&lt;&gt;DATE(YEAR((Tahmin!$C$4+63)),MONTH((Tahmin!$C$4+63)),MIN(DAY(Kalemler!$D100),DAY(EOMONTH((Tahmin!$C$4+63),0)))),DATE(YEAR((Tahmin!$C$4+69)),MONTH((Tahmin!$C$4+69)),MIN(DAY(Kalemler!$D100),DAY(EOMONTH((Tahmin!$C$4+69),0))))&gt;=Kalemler!$D100)),1,0),IF(AND(Kalemler!$D100&gt;=(Tahmin!$C$4+63),Kalemler!$D100&lt;=(Tahmin!$C$4+69)),1,0))))</f>
        <v>0</v>
      </c>
      <c r="L100" s="0" t="n">
        <f aca="false">IF(OR(Kalemler!$A100="",Kalemler!$C100="",Kalemler!$D100=""),0,Kalemler!$C100*IF(Kalemler!$E100="Haftalık",IF(Kalemler!$D100&lt;=(Tahmin!$C$4+76),1,0),IF(Kalemler!$E100="Aylık",IF(OR(AND(DATE(YEAR((Tahmin!$C$4+70)),MONTH((Tahmin!$C$4+70)),MIN(DAY(Kalemler!$D100),DAY(EOMONTH((Tahmin!$C$4+70),0))))&gt;=(Tahmin!$C$4+70),DATE(YEAR((Tahmin!$C$4+70)),MONTH((Tahmin!$C$4+70)),MIN(DAY(Kalemler!$D100),DAY(EOMONTH((Tahmin!$C$4+70),0))))&lt;=(Tahmin!$C$4+76),DATE(YEAR((Tahmin!$C$4+70)),MONTH((Tahmin!$C$4+70)),MIN(DAY(Kalemler!$D100),DAY(EOMONTH((Tahmin!$C$4+70),0))))&gt;=Kalemler!$D100),AND(DATE(YEAR((Tahmin!$C$4+76)),MONTH((Tahmin!$C$4+76)),MIN(DAY(Kalemler!$D100),DAY(EOMONTH((Tahmin!$C$4+76),0))))&gt;=(Tahmin!$C$4+70),DATE(YEAR((Tahmin!$C$4+76)),MONTH((Tahmin!$C$4+76)),MIN(DAY(Kalemler!$D100),DAY(EOMONTH((Tahmin!$C$4+76),0))))&lt;=(Tahmin!$C$4+76),DATE(YEAR((Tahmin!$C$4+76)),MONTH((Tahmin!$C$4+76)),MIN(DAY(Kalemler!$D100),DAY(EOMONTH((Tahmin!$C$4+76),0))))&lt;&gt;DATE(YEAR((Tahmin!$C$4+70)),MONTH((Tahmin!$C$4+70)),MIN(DAY(Kalemler!$D100),DAY(EOMONTH((Tahmin!$C$4+70),0)))),DATE(YEAR((Tahmin!$C$4+76)),MONTH((Tahmin!$C$4+76)),MIN(DAY(Kalemler!$D100),DAY(EOMONTH((Tahmin!$C$4+76),0))))&gt;=Kalemler!$D100)),1,0),IF(AND(Kalemler!$D100&gt;=(Tahmin!$C$4+70),Kalemler!$D100&lt;=(Tahmin!$C$4+76)),1,0))))</f>
        <v>0</v>
      </c>
      <c r="M100" s="0" t="n">
        <f aca="false">IF(OR(Kalemler!$A100="",Kalemler!$C100="",Kalemler!$D100=""),0,Kalemler!$C100*IF(Kalemler!$E100="Haftalık",IF(Kalemler!$D100&lt;=(Tahmin!$C$4+83),1,0),IF(Kalemler!$E100="Aylık",IF(OR(AND(DATE(YEAR((Tahmin!$C$4+77)),MONTH((Tahmin!$C$4+77)),MIN(DAY(Kalemler!$D100),DAY(EOMONTH((Tahmin!$C$4+77),0))))&gt;=(Tahmin!$C$4+77),DATE(YEAR((Tahmin!$C$4+77)),MONTH((Tahmin!$C$4+77)),MIN(DAY(Kalemler!$D100),DAY(EOMONTH((Tahmin!$C$4+77),0))))&lt;=(Tahmin!$C$4+83),DATE(YEAR((Tahmin!$C$4+77)),MONTH((Tahmin!$C$4+77)),MIN(DAY(Kalemler!$D100),DAY(EOMONTH((Tahmin!$C$4+77),0))))&gt;=Kalemler!$D100),AND(DATE(YEAR((Tahmin!$C$4+83)),MONTH((Tahmin!$C$4+83)),MIN(DAY(Kalemler!$D100),DAY(EOMONTH((Tahmin!$C$4+83),0))))&gt;=(Tahmin!$C$4+77),DATE(YEAR((Tahmin!$C$4+83)),MONTH((Tahmin!$C$4+83)),MIN(DAY(Kalemler!$D100),DAY(EOMONTH((Tahmin!$C$4+83),0))))&lt;=(Tahmin!$C$4+83),DATE(YEAR((Tahmin!$C$4+83)),MONTH((Tahmin!$C$4+83)),MIN(DAY(Kalemler!$D100),DAY(EOMONTH((Tahmin!$C$4+83),0))))&lt;&gt;DATE(YEAR((Tahmin!$C$4+77)),MONTH((Tahmin!$C$4+77)),MIN(DAY(Kalemler!$D100),DAY(EOMONTH((Tahmin!$C$4+77),0)))),DATE(YEAR((Tahmin!$C$4+83)),MONTH((Tahmin!$C$4+83)),MIN(DAY(Kalemler!$D100),DAY(EOMONTH((Tahmin!$C$4+83),0))))&gt;=Kalemler!$D100)),1,0),IF(AND(Kalemler!$D100&gt;=(Tahmin!$C$4+77),Kalemler!$D100&lt;=(Tahmin!$C$4+83)),1,0))))</f>
        <v>0</v>
      </c>
      <c r="N100" s="0" t="n">
        <f aca="false">IF(OR(Kalemler!$A100="",Kalemler!$C100="",Kalemler!$D100=""),0,Kalemler!$C100*IF(Kalemler!$E100="Haftalık",IF(Kalemler!$D100&lt;=(Tahmin!$C$4+90),1,0),IF(Kalemler!$E100="Aylık",IF(OR(AND(DATE(YEAR((Tahmin!$C$4+84)),MONTH((Tahmin!$C$4+84)),MIN(DAY(Kalemler!$D100),DAY(EOMONTH((Tahmin!$C$4+84),0))))&gt;=(Tahmin!$C$4+84),DATE(YEAR((Tahmin!$C$4+84)),MONTH((Tahmin!$C$4+84)),MIN(DAY(Kalemler!$D100),DAY(EOMONTH((Tahmin!$C$4+84),0))))&lt;=(Tahmin!$C$4+90),DATE(YEAR((Tahmin!$C$4+84)),MONTH((Tahmin!$C$4+84)),MIN(DAY(Kalemler!$D100),DAY(EOMONTH((Tahmin!$C$4+84),0))))&gt;=Kalemler!$D100),AND(DATE(YEAR((Tahmin!$C$4+90)),MONTH((Tahmin!$C$4+90)),MIN(DAY(Kalemler!$D100),DAY(EOMONTH((Tahmin!$C$4+90),0))))&gt;=(Tahmin!$C$4+84),DATE(YEAR((Tahmin!$C$4+90)),MONTH((Tahmin!$C$4+90)),MIN(DAY(Kalemler!$D100),DAY(EOMONTH((Tahmin!$C$4+90),0))))&lt;=(Tahmin!$C$4+90),DATE(YEAR((Tahmin!$C$4+90)),MONTH((Tahmin!$C$4+90)),MIN(DAY(Kalemler!$D100),DAY(EOMONTH((Tahmin!$C$4+90),0))))&lt;&gt;DATE(YEAR((Tahmin!$C$4+84)),MONTH((Tahmin!$C$4+84)),MIN(DAY(Kalemler!$D100),DAY(EOMONTH((Tahmin!$C$4+84),0)))),DATE(YEAR((Tahmin!$C$4+90)),MONTH((Tahmin!$C$4+90)),MIN(DAY(Kalemler!$D100),DAY(EOMONTH((Tahmin!$C$4+90),0))))&gt;=Kalemler!$D100)),1,0),IF(AND(Kalemler!$D100&gt;=(Tahmin!$C$4+84),Kalemler!$D100&lt;=(Tahmin!$C$4+90)),1,0))))</f>
        <v>0</v>
      </c>
    </row>
    <row r="101" customFormat="false" ht="15" hidden="false" customHeight="false" outlineLevel="0" collapsed="false">
      <c r="A101" s="0" t="str">
        <f aca="false">IF(Kalemler!A101="","",Kalemler!A101)</f>
        <v/>
      </c>
      <c r="B101" s="0" t="n">
        <f aca="false">IF(OR(Kalemler!$A101="",Kalemler!$C101="",Kalemler!$D101=""),0,Kalemler!$C101*IF(Kalemler!$E101="Haftalık",IF(Kalemler!$D101&lt;=(Tahmin!$C$4+6),1,0),IF(Kalemler!$E101="Aylık",IF(OR(AND(DATE(YEAR((Tahmin!$C$4+0)),MONTH((Tahmin!$C$4+0)),MIN(DAY(Kalemler!$D101),DAY(EOMONTH((Tahmin!$C$4+0),0))))&gt;=(Tahmin!$C$4+0),DATE(YEAR((Tahmin!$C$4+0)),MONTH((Tahmin!$C$4+0)),MIN(DAY(Kalemler!$D101),DAY(EOMONTH((Tahmin!$C$4+0),0))))&lt;=(Tahmin!$C$4+6),DATE(YEAR((Tahmin!$C$4+0)),MONTH((Tahmin!$C$4+0)),MIN(DAY(Kalemler!$D101),DAY(EOMONTH((Tahmin!$C$4+0),0))))&gt;=Kalemler!$D101),AND(DATE(YEAR((Tahmin!$C$4+6)),MONTH((Tahmin!$C$4+6)),MIN(DAY(Kalemler!$D101),DAY(EOMONTH((Tahmin!$C$4+6),0))))&gt;=(Tahmin!$C$4+0),DATE(YEAR((Tahmin!$C$4+6)),MONTH((Tahmin!$C$4+6)),MIN(DAY(Kalemler!$D101),DAY(EOMONTH((Tahmin!$C$4+6),0))))&lt;=(Tahmin!$C$4+6),DATE(YEAR((Tahmin!$C$4+6)),MONTH((Tahmin!$C$4+6)),MIN(DAY(Kalemler!$D101),DAY(EOMONTH((Tahmin!$C$4+6),0))))&lt;&gt;DATE(YEAR((Tahmin!$C$4+0)),MONTH((Tahmin!$C$4+0)),MIN(DAY(Kalemler!$D101),DAY(EOMONTH((Tahmin!$C$4+0),0)))),DATE(YEAR((Tahmin!$C$4+6)),MONTH((Tahmin!$C$4+6)),MIN(DAY(Kalemler!$D101),DAY(EOMONTH((Tahmin!$C$4+6),0))))&gt;=Kalemler!$D101)),1,0),IF(AND(Kalemler!$D101&gt;=(Tahmin!$C$4+0),Kalemler!$D101&lt;=(Tahmin!$C$4+6)),1,0))))</f>
        <v>0</v>
      </c>
      <c r="C101" s="0" t="n">
        <f aca="false">IF(OR(Kalemler!$A101="",Kalemler!$C101="",Kalemler!$D101=""),0,Kalemler!$C101*IF(Kalemler!$E101="Haftalık",IF(Kalemler!$D101&lt;=(Tahmin!$C$4+13),1,0),IF(Kalemler!$E101="Aylık",IF(OR(AND(DATE(YEAR((Tahmin!$C$4+7)),MONTH((Tahmin!$C$4+7)),MIN(DAY(Kalemler!$D101),DAY(EOMONTH((Tahmin!$C$4+7),0))))&gt;=(Tahmin!$C$4+7),DATE(YEAR((Tahmin!$C$4+7)),MONTH((Tahmin!$C$4+7)),MIN(DAY(Kalemler!$D101),DAY(EOMONTH((Tahmin!$C$4+7),0))))&lt;=(Tahmin!$C$4+13),DATE(YEAR((Tahmin!$C$4+7)),MONTH((Tahmin!$C$4+7)),MIN(DAY(Kalemler!$D101),DAY(EOMONTH((Tahmin!$C$4+7),0))))&gt;=Kalemler!$D101),AND(DATE(YEAR((Tahmin!$C$4+13)),MONTH((Tahmin!$C$4+13)),MIN(DAY(Kalemler!$D101),DAY(EOMONTH((Tahmin!$C$4+13),0))))&gt;=(Tahmin!$C$4+7),DATE(YEAR((Tahmin!$C$4+13)),MONTH((Tahmin!$C$4+13)),MIN(DAY(Kalemler!$D101),DAY(EOMONTH((Tahmin!$C$4+13),0))))&lt;=(Tahmin!$C$4+13),DATE(YEAR((Tahmin!$C$4+13)),MONTH((Tahmin!$C$4+13)),MIN(DAY(Kalemler!$D101),DAY(EOMONTH((Tahmin!$C$4+13),0))))&lt;&gt;DATE(YEAR((Tahmin!$C$4+7)),MONTH((Tahmin!$C$4+7)),MIN(DAY(Kalemler!$D101),DAY(EOMONTH((Tahmin!$C$4+7),0)))),DATE(YEAR((Tahmin!$C$4+13)),MONTH((Tahmin!$C$4+13)),MIN(DAY(Kalemler!$D101),DAY(EOMONTH((Tahmin!$C$4+13),0))))&gt;=Kalemler!$D101)),1,0),IF(AND(Kalemler!$D101&gt;=(Tahmin!$C$4+7),Kalemler!$D101&lt;=(Tahmin!$C$4+13)),1,0))))</f>
        <v>0</v>
      </c>
      <c r="D101" s="0" t="n">
        <f aca="false">IF(OR(Kalemler!$A101="",Kalemler!$C101="",Kalemler!$D101=""),0,Kalemler!$C101*IF(Kalemler!$E101="Haftalık",IF(Kalemler!$D101&lt;=(Tahmin!$C$4+20),1,0),IF(Kalemler!$E101="Aylık",IF(OR(AND(DATE(YEAR((Tahmin!$C$4+14)),MONTH((Tahmin!$C$4+14)),MIN(DAY(Kalemler!$D101),DAY(EOMONTH((Tahmin!$C$4+14),0))))&gt;=(Tahmin!$C$4+14),DATE(YEAR((Tahmin!$C$4+14)),MONTH((Tahmin!$C$4+14)),MIN(DAY(Kalemler!$D101),DAY(EOMONTH((Tahmin!$C$4+14),0))))&lt;=(Tahmin!$C$4+20),DATE(YEAR((Tahmin!$C$4+14)),MONTH((Tahmin!$C$4+14)),MIN(DAY(Kalemler!$D101),DAY(EOMONTH((Tahmin!$C$4+14),0))))&gt;=Kalemler!$D101),AND(DATE(YEAR((Tahmin!$C$4+20)),MONTH((Tahmin!$C$4+20)),MIN(DAY(Kalemler!$D101),DAY(EOMONTH((Tahmin!$C$4+20),0))))&gt;=(Tahmin!$C$4+14),DATE(YEAR((Tahmin!$C$4+20)),MONTH((Tahmin!$C$4+20)),MIN(DAY(Kalemler!$D101),DAY(EOMONTH((Tahmin!$C$4+20),0))))&lt;=(Tahmin!$C$4+20),DATE(YEAR((Tahmin!$C$4+20)),MONTH((Tahmin!$C$4+20)),MIN(DAY(Kalemler!$D101),DAY(EOMONTH((Tahmin!$C$4+20),0))))&lt;&gt;DATE(YEAR((Tahmin!$C$4+14)),MONTH((Tahmin!$C$4+14)),MIN(DAY(Kalemler!$D101),DAY(EOMONTH((Tahmin!$C$4+14),0)))),DATE(YEAR((Tahmin!$C$4+20)),MONTH((Tahmin!$C$4+20)),MIN(DAY(Kalemler!$D101),DAY(EOMONTH((Tahmin!$C$4+20),0))))&gt;=Kalemler!$D101)),1,0),IF(AND(Kalemler!$D101&gt;=(Tahmin!$C$4+14),Kalemler!$D101&lt;=(Tahmin!$C$4+20)),1,0))))</f>
        <v>0</v>
      </c>
      <c r="E101" s="0" t="n">
        <f aca="false">IF(OR(Kalemler!$A101="",Kalemler!$C101="",Kalemler!$D101=""),0,Kalemler!$C101*IF(Kalemler!$E101="Haftalık",IF(Kalemler!$D101&lt;=(Tahmin!$C$4+27),1,0),IF(Kalemler!$E101="Aylık",IF(OR(AND(DATE(YEAR((Tahmin!$C$4+21)),MONTH((Tahmin!$C$4+21)),MIN(DAY(Kalemler!$D101),DAY(EOMONTH((Tahmin!$C$4+21),0))))&gt;=(Tahmin!$C$4+21),DATE(YEAR((Tahmin!$C$4+21)),MONTH((Tahmin!$C$4+21)),MIN(DAY(Kalemler!$D101),DAY(EOMONTH((Tahmin!$C$4+21),0))))&lt;=(Tahmin!$C$4+27),DATE(YEAR((Tahmin!$C$4+21)),MONTH((Tahmin!$C$4+21)),MIN(DAY(Kalemler!$D101),DAY(EOMONTH((Tahmin!$C$4+21),0))))&gt;=Kalemler!$D101),AND(DATE(YEAR((Tahmin!$C$4+27)),MONTH((Tahmin!$C$4+27)),MIN(DAY(Kalemler!$D101),DAY(EOMONTH((Tahmin!$C$4+27),0))))&gt;=(Tahmin!$C$4+21),DATE(YEAR((Tahmin!$C$4+27)),MONTH((Tahmin!$C$4+27)),MIN(DAY(Kalemler!$D101),DAY(EOMONTH((Tahmin!$C$4+27),0))))&lt;=(Tahmin!$C$4+27),DATE(YEAR((Tahmin!$C$4+27)),MONTH((Tahmin!$C$4+27)),MIN(DAY(Kalemler!$D101),DAY(EOMONTH((Tahmin!$C$4+27),0))))&lt;&gt;DATE(YEAR((Tahmin!$C$4+21)),MONTH((Tahmin!$C$4+21)),MIN(DAY(Kalemler!$D101),DAY(EOMONTH((Tahmin!$C$4+21),0)))),DATE(YEAR((Tahmin!$C$4+27)),MONTH((Tahmin!$C$4+27)),MIN(DAY(Kalemler!$D101),DAY(EOMONTH((Tahmin!$C$4+27),0))))&gt;=Kalemler!$D101)),1,0),IF(AND(Kalemler!$D101&gt;=(Tahmin!$C$4+21),Kalemler!$D101&lt;=(Tahmin!$C$4+27)),1,0))))</f>
        <v>0</v>
      </c>
      <c r="F101" s="0" t="n">
        <f aca="false">IF(OR(Kalemler!$A101="",Kalemler!$C101="",Kalemler!$D101=""),0,Kalemler!$C101*IF(Kalemler!$E101="Haftalık",IF(Kalemler!$D101&lt;=(Tahmin!$C$4+34),1,0),IF(Kalemler!$E101="Aylık",IF(OR(AND(DATE(YEAR((Tahmin!$C$4+28)),MONTH((Tahmin!$C$4+28)),MIN(DAY(Kalemler!$D101),DAY(EOMONTH((Tahmin!$C$4+28),0))))&gt;=(Tahmin!$C$4+28),DATE(YEAR((Tahmin!$C$4+28)),MONTH((Tahmin!$C$4+28)),MIN(DAY(Kalemler!$D101),DAY(EOMONTH((Tahmin!$C$4+28),0))))&lt;=(Tahmin!$C$4+34),DATE(YEAR((Tahmin!$C$4+28)),MONTH((Tahmin!$C$4+28)),MIN(DAY(Kalemler!$D101),DAY(EOMONTH((Tahmin!$C$4+28),0))))&gt;=Kalemler!$D101),AND(DATE(YEAR((Tahmin!$C$4+34)),MONTH((Tahmin!$C$4+34)),MIN(DAY(Kalemler!$D101),DAY(EOMONTH((Tahmin!$C$4+34),0))))&gt;=(Tahmin!$C$4+28),DATE(YEAR((Tahmin!$C$4+34)),MONTH((Tahmin!$C$4+34)),MIN(DAY(Kalemler!$D101),DAY(EOMONTH((Tahmin!$C$4+34),0))))&lt;=(Tahmin!$C$4+34),DATE(YEAR((Tahmin!$C$4+34)),MONTH((Tahmin!$C$4+34)),MIN(DAY(Kalemler!$D101),DAY(EOMONTH((Tahmin!$C$4+34),0))))&lt;&gt;DATE(YEAR((Tahmin!$C$4+28)),MONTH((Tahmin!$C$4+28)),MIN(DAY(Kalemler!$D101),DAY(EOMONTH((Tahmin!$C$4+28),0)))),DATE(YEAR((Tahmin!$C$4+34)),MONTH((Tahmin!$C$4+34)),MIN(DAY(Kalemler!$D101),DAY(EOMONTH((Tahmin!$C$4+34),0))))&gt;=Kalemler!$D101)),1,0),IF(AND(Kalemler!$D101&gt;=(Tahmin!$C$4+28),Kalemler!$D101&lt;=(Tahmin!$C$4+34)),1,0))))</f>
        <v>0</v>
      </c>
      <c r="G101" s="0" t="n">
        <f aca="false">IF(OR(Kalemler!$A101="",Kalemler!$C101="",Kalemler!$D101=""),0,Kalemler!$C101*IF(Kalemler!$E101="Haftalık",IF(Kalemler!$D101&lt;=(Tahmin!$C$4+41),1,0),IF(Kalemler!$E101="Aylık",IF(OR(AND(DATE(YEAR((Tahmin!$C$4+35)),MONTH((Tahmin!$C$4+35)),MIN(DAY(Kalemler!$D101),DAY(EOMONTH((Tahmin!$C$4+35),0))))&gt;=(Tahmin!$C$4+35),DATE(YEAR((Tahmin!$C$4+35)),MONTH((Tahmin!$C$4+35)),MIN(DAY(Kalemler!$D101),DAY(EOMONTH((Tahmin!$C$4+35),0))))&lt;=(Tahmin!$C$4+41),DATE(YEAR((Tahmin!$C$4+35)),MONTH((Tahmin!$C$4+35)),MIN(DAY(Kalemler!$D101),DAY(EOMONTH((Tahmin!$C$4+35),0))))&gt;=Kalemler!$D101),AND(DATE(YEAR((Tahmin!$C$4+41)),MONTH((Tahmin!$C$4+41)),MIN(DAY(Kalemler!$D101),DAY(EOMONTH((Tahmin!$C$4+41),0))))&gt;=(Tahmin!$C$4+35),DATE(YEAR((Tahmin!$C$4+41)),MONTH((Tahmin!$C$4+41)),MIN(DAY(Kalemler!$D101),DAY(EOMONTH((Tahmin!$C$4+41),0))))&lt;=(Tahmin!$C$4+41),DATE(YEAR((Tahmin!$C$4+41)),MONTH((Tahmin!$C$4+41)),MIN(DAY(Kalemler!$D101),DAY(EOMONTH((Tahmin!$C$4+41),0))))&lt;&gt;DATE(YEAR((Tahmin!$C$4+35)),MONTH((Tahmin!$C$4+35)),MIN(DAY(Kalemler!$D101),DAY(EOMONTH((Tahmin!$C$4+35),0)))),DATE(YEAR((Tahmin!$C$4+41)),MONTH((Tahmin!$C$4+41)),MIN(DAY(Kalemler!$D101),DAY(EOMONTH((Tahmin!$C$4+41),0))))&gt;=Kalemler!$D101)),1,0),IF(AND(Kalemler!$D101&gt;=(Tahmin!$C$4+35),Kalemler!$D101&lt;=(Tahmin!$C$4+41)),1,0))))</f>
        <v>0</v>
      </c>
      <c r="H101" s="0" t="n">
        <f aca="false">IF(OR(Kalemler!$A101="",Kalemler!$C101="",Kalemler!$D101=""),0,Kalemler!$C101*IF(Kalemler!$E101="Haftalık",IF(Kalemler!$D101&lt;=(Tahmin!$C$4+48),1,0),IF(Kalemler!$E101="Aylık",IF(OR(AND(DATE(YEAR((Tahmin!$C$4+42)),MONTH((Tahmin!$C$4+42)),MIN(DAY(Kalemler!$D101),DAY(EOMONTH((Tahmin!$C$4+42),0))))&gt;=(Tahmin!$C$4+42),DATE(YEAR((Tahmin!$C$4+42)),MONTH((Tahmin!$C$4+42)),MIN(DAY(Kalemler!$D101),DAY(EOMONTH((Tahmin!$C$4+42),0))))&lt;=(Tahmin!$C$4+48),DATE(YEAR((Tahmin!$C$4+42)),MONTH((Tahmin!$C$4+42)),MIN(DAY(Kalemler!$D101),DAY(EOMONTH((Tahmin!$C$4+42),0))))&gt;=Kalemler!$D101),AND(DATE(YEAR((Tahmin!$C$4+48)),MONTH((Tahmin!$C$4+48)),MIN(DAY(Kalemler!$D101),DAY(EOMONTH((Tahmin!$C$4+48),0))))&gt;=(Tahmin!$C$4+42),DATE(YEAR((Tahmin!$C$4+48)),MONTH((Tahmin!$C$4+48)),MIN(DAY(Kalemler!$D101),DAY(EOMONTH((Tahmin!$C$4+48),0))))&lt;=(Tahmin!$C$4+48),DATE(YEAR((Tahmin!$C$4+48)),MONTH((Tahmin!$C$4+48)),MIN(DAY(Kalemler!$D101),DAY(EOMONTH((Tahmin!$C$4+48),0))))&lt;&gt;DATE(YEAR((Tahmin!$C$4+42)),MONTH((Tahmin!$C$4+42)),MIN(DAY(Kalemler!$D101),DAY(EOMONTH((Tahmin!$C$4+42),0)))),DATE(YEAR((Tahmin!$C$4+48)),MONTH((Tahmin!$C$4+48)),MIN(DAY(Kalemler!$D101),DAY(EOMONTH((Tahmin!$C$4+48),0))))&gt;=Kalemler!$D101)),1,0),IF(AND(Kalemler!$D101&gt;=(Tahmin!$C$4+42),Kalemler!$D101&lt;=(Tahmin!$C$4+48)),1,0))))</f>
        <v>0</v>
      </c>
      <c r="I101" s="0" t="n">
        <f aca="false">IF(OR(Kalemler!$A101="",Kalemler!$C101="",Kalemler!$D101=""),0,Kalemler!$C101*IF(Kalemler!$E101="Haftalık",IF(Kalemler!$D101&lt;=(Tahmin!$C$4+55),1,0),IF(Kalemler!$E101="Aylık",IF(OR(AND(DATE(YEAR((Tahmin!$C$4+49)),MONTH((Tahmin!$C$4+49)),MIN(DAY(Kalemler!$D101),DAY(EOMONTH((Tahmin!$C$4+49),0))))&gt;=(Tahmin!$C$4+49),DATE(YEAR((Tahmin!$C$4+49)),MONTH((Tahmin!$C$4+49)),MIN(DAY(Kalemler!$D101),DAY(EOMONTH((Tahmin!$C$4+49),0))))&lt;=(Tahmin!$C$4+55),DATE(YEAR((Tahmin!$C$4+49)),MONTH((Tahmin!$C$4+49)),MIN(DAY(Kalemler!$D101),DAY(EOMONTH((Tahmin!$C$4+49),0))))&gt;=Kalemler!$D101),AND(DATE(YEAR((Tahmin!$C$4+55)),MONTH((Tahmin!$C$4+55)),MIN(DAY(Kalemler!$D101),DAY(EOMONTH((Tahmin!$C$4+55),0))))&gt;=(Tahmin!$C$4+49),DATE(YEAR((Tahmin!$C$4+55)),MONTH((Tahmin!$C$4+55)),MIN(DAY(Kalemler!$D101),DAY(EOMONTH((Tahmin!$C$4+55),0))))&lt;=(Tahmin!$C$4+55),DATE(YEAR((Tahmin!$C$4+55)),MONTH((Tahmin!$C$4+55)),MIN(DAY(Kalemler!$D101),DAY(EOMONTH((Tahmin!$C$4+55),0))))&lt;&gt;DATE(YEAR((Tahmin!$C$4+49)),MONTH((Tahmin!$C$4+49)),MIN(DAY(Kalemler!$D101),DAY(EOMONTH((Tahmin!$C$4+49),0)))),DATE(YEAR((Tahmin!$C$4+55)),MONTH((Tahmin!$C$4+55)),MIN(DAY(Kalemler!$D101),DAY(EOMONTH((Tahmin!$C$4+55),0))))&gt;=Kalemler!$D101)),1,0),IF(AND(Kalemler!$D101&gt;=(Tahmin!$C$4+49),Kalemler!$D101&lt;=(Tahmin!$C$4+55)),1,0))))</f>
        <v>0</v>
      </c>
      <c r="J101" s="0" t="n">
        <f aca="false">IF(OR(Kalemler!$A101="",Kalemler!$C101="",Kalemler!$D101=""),0,Kalemler!$C101*IF(Kalemler!$E101="Haftalık",IF(Kalemler!$D101&lt;=(Tahmin!$C$4+62),1,0),IF(Kalemler!$E101="Aylık",IF(OR(AND(DATE(YEAR((Tahmin!$C$4+56)),MONTH((Tahmin!$C$4+56)),MIN(DAY(Kalemler!$D101),DAY(EOMONTH((Tahmin!$C$4+56),0))))&gt;=(Tahmin!$C$4+56),DATE(YEAR((Tahmin!$C$4+56)),MONTH((Tahmin!$C$4+56)),MIN(DAY(Kalemler!$D101),DAY(EOMONTH((Tahmin!$C$4+56),0))))&lt;=(Tahmin!$C$4+62),DATE(YEAR((Tahmin!$C$4+56)),MONTH((Tahmin!$C$4+56)),MIN(DAY(Kalemler!$D101),DAY(EOMONTH((Tahmin!$C$4+56),0))))&gt;=Kalemler!$D101),AND(DATE(YEAR((Tahmin!$C$4+62)),MONTH((Tahmin!$C$4+62)),MIN(DAY(Kalemler!$D101),DAY(EOMONTH((Tahmin!$C$4+62),0))))&gt;=(Tahmin!$C$4+56),DATE(YEAR((Tahmin!$C$4+62)),MONTH((Tahmin!$C$4+62)),MIN(DAY(Kalemler!$D101),DAY(EOMONTH((Tahmin!$C$4+62),0))))&lt;=(Tahmin!$C$4+62),DATE(YEAR((Tahmin!$C$4+62)),MONTH((Tahmin!$C$4+62)),MIN(DAY(Kalemler!$D101),DAY(EOMONTH((Tahmin!$C$4+62),0))))&lt;&gt;DATE(YEAR((Tahmin!$C$4+56)),MONTH((Tahmin!$C$4+56)),MIN(DAY(Kalemler!$D101),DAY(EOMONTH((Tahmin!$C$4+56),0)))),DATE(YEAR((Tahmin!$C$4+62)),MONTH((Tahmin!$C$4+62)),MIN(DAY(Kalemler!$D101),DAY(EOMONTH((Tahmin!$C$4+62),0))))&gt;=Kalemler!$D101)),1,0),IF(AND(Kalemler!$D101&gt;=(Tahmin!$C$4+56),Kalemler!$D101&lt;=(Tahmin!$C$4+62)),1,0))))</f>
        <v>0</v>
      </c>
      <c r="K101" s="0" t="n">
        <f aca="false">IF(OR(Kalemler!$A101="",Kalemler!$C101="",Kalemler!$D101=""),0,Kalemler!$C101*IF(Kalemler!$E101="Haftalık",IF(Kalemler!$D101&lt;=(Tahmin!$C$4+69),1,0),IF(Kalemler!$E101="Aylık",IF(OR(AND(DATE(YEAR((Tahmin!$C$4+63)),MONTH((Tahmin!$C$4+63)),MIN(DAY(Kalemler!$D101),DAY(EOMONTH((Tahmin!$C$4+63),0))))&gt;=(Tahmin!$C$4+63),DATE(YEAR((Tahmin!$C$4+63)),MONTH((Tahmin!$C$4+63)),MIN(DAY(Kalemler!$D101),DAY(EOMONTH((Tahmin!$C$4+63),0))))&lt;=(Tahmin!$C$4+69),DATE(YEAR((Tahmin!$C$4+63)),MONTH((Tahmin!$C$4+63)),MIN(DAY(Kalemler!$D101),DAY(EOMONTH((Tahmin!$C$4+63),0))))&gt;=Kalemler!$D101),AND(DATE(YEAR((Tahmin!$C$4+69)),MONTH((Tahmin!$C$4+69)),MIN(DAY(Kalemler!$D101),DAY(EOMONTH((Tahmin!$C$4+69),0))))&gt;=(Tahmin!$C$4+63),DATE(YEAR((Tahmin!$C$4+69)),MONTH((Tahmin!$C$4+69)),MIN(DAY(Kalemler!$D101),DAY(EOMONTH((Tahmin!$C$4+69),0))))&lt;=(Tahmin!$C$4+69),DATE(YEAR((Tahmin!$C$4+69)),MONTH((Tahmin!$C$4+69)),MIN(DAY(Kalemler!$D101),DAY(EOMONTH((Tahmin!$C$4+69),0))))&lt;&gt;DATE(YEAR((Tahmin!$C$4+63)),MONTH((Tahmin!$C$4+63)),MIN(DAY(Kalemler!$D101),DAY(EOMONTH((Tahmin!$C$4+63),0)))),DATE(YEAR((Tahmin!$C$4+69)),MONTH((Tahmin!$C$4+69)),MIN(DAY(Kalemler!$D101),DAY(EOMONTH((Tahmin!$C$4+69),0))))&gt;=Kalemler!$D101)),1,0),IF(AND(Kalemler!$D101&gt;=(Tahmin!$C$4+63),Kalemler!$D101&lt;=(Tahmin!$C$4+69)),1,0))))</f>
        <v>0</v>
      </c>
      <c r="L101" s="0" t="n">
        <f aca="false">IF(OR(Kalemler!$A101="",Kalemler!$C101="",Kalemler!$D101=""),0,Kalemler!$C101*IF(Kalemler!$E101="Haftalık",IF(Kalemler!$D101&lt;=(Tahmin!$C$4+76),1,0),IF(Kalemler!$E101="Aylık",IF(OR(AND(DATE(YEAR((Tahmin!$C$4+70)),MONTH((Tahmin!$C$4+70)),MIN(DAY(Kalemler!$D101),DAY(EOMONTH((Tahmin!$C$4+70),0))))&gt;=(Tahmin!$C$4+70),DATE(YEAR((Tahmin!$C$4+70)),MONTH((Tahmin!$C$4+70)),MIN(DAY(Kalemler!$D101),DAY(EOMONTH((Tahmin!$C$4+70),0))))&lt;=(Tahmin!$C$4+76),DATE(YEAR((Tahmin!$C$4+70)),MONTH((Tahmin!$C$4+70)),MIN(DAY(Kalemler!$D101),DAY(EOMONTH((Tahmin!$C$4+70),0))))&gt;=Kalemler!$D101),AND(DATE(YEAR((Tahmin!$C$4+76)),MONTH((Tahmin!$C$4+76)),MIN(DAY(Kalemler!$D101),DAY(EOMONTH((Tahmin!$C$4+76),0))))&gt;=(Tahmin!$C$4+70),DATE(YEAR((Tahmin!$C$4+76)),MONTH((Tahmin!$C$4+76)),MIN(DAY(Kalemler!$D101),DAY(EOMONTH((Tahmin!$C$4+76),0))))&lt;=(Tahmin!$C$4+76),DATE(YEAR((Tahmin!$C$4+76)),MONTH((Tahmin!$C$4+76)),MIN(DAY(Kalemler!$D101),DAY(EOMONTH((Tahmin!$C$4+76),0))))&lt;&gt;DATE(YEAR((Tahmin!$C$4+70)),MONTH((Tahmin!$C$4+70)),MIN(DAY(Kalemler!$D101),DAY(EOMONTH((Tahmin!$C$4+70),0)))),DATE(YEAR((Tahmin!$C$4+76)),MONTH((Tahmin!$C$4+76)),MIN(DAY(Kalemler!$D101),DAY(EOMONTH((Tahmin!$C$4+76),0))))&gt;=Kalemler!$D101)),1,0),IF(AND(Kalemler!$D101&gt;=(Tahmin!$C$4+70),Kalemler!$D101&lt;=(Tahmin!$C$4+76)),1,0))))</f>
        <v>0</v>
      </c>
      <c r="M101" s="0" t="n">
        <f aca="false">IF(OR(Kalemler!$A101="",Kalemler!$C101="",Kalemler!$D101=""),0,Kalemler!$C101*IF(Kalemler!$E101="Haftalık",IF(Kalemler!$D101&lt;=(Tahmin!$C$4+83),1,0),IF(Kalemler!$E101="Aylık",IF(OR(AND(DATE(YEAR((Tahmin!$C$4+77)),MONTH((Tahmin!$C$4+77)),MIN(DAY(Kalemler!$D101),DAY(EOMONTH((Tahmin!$C$4+77),0))))&gt;=(Tahmin!$C$4+77),DATE(YEAR((Tahmin!$C$4+77)),MONTH((Tahmin!$C$4+77)),MIN(DAY(Kalemler!$D101),DAY(EOMONTH((Tahmin!$C$4+77),0))))&lt;=(Tahmin!$C$4+83),DATE(YEAR((Tahmin!$C$4+77)),MONTH((Tahmin!$C$4+77)),MIN(DAY(Kalemler!$D101),DAY(EOMONTH((Tahmin!$C$4+77),0))))&gt;=Kalemler!$D101),AND(DATE(YEAR((Tahmin!$C$4+83)),MONTH((Tahmin!$C$4+83)),MIN(DAY(Kalemler!$D101),DAY(EOMONTH((Tahmin!$C$4+83),0))))&gt;=(Tahmin!$C$4+77),DATE(YEAR((Tahmin!$C$4+83)),MONTH((Tahmin!$C$4+83)),MIN(DAY(Kalemler!$D101),DAY(EOMONTH((Tahmin!$C$4+83),0))))&lt;=(Tahmin!$C$4+83),DATE(YEAR((Tahmin!$C$4+83)),MONTH((Tahmin!$C$4+83)),MIN(DAY(Kalemler!$D101),DAY(EOMONTH((Tahmin!$C$4+83),0))))&lt;&gt;DATE(YEAR((Tahmin!$C$4+77)),MONTH((Tahmin!$C$4+77)),MIN(DAY(Kalemler!$D101),DAY(EOMONTH((Tahmin!$C$4+77),0)))),DATE(YEAR((Tahmin!$C$4+83)),MONTH((Tahmin!$C$4+83)),MIN(DAY(Kalemler!$D101),DAY(EOMONTH((Tahmin!$C$4+83),0))))&gt;=Kalemler!$D101)),1,0),IF(AND(Kalemler!$D101&gt;=(Tahmin!$C$4+77),Kalemler!$D101&lt;=(Tahmin!$C$4+83)),1,0))))</f>
        <v>0</v>
      </c>
      <c r="N101" s="0" t="n">
        <f aca="false">IF(OR(Kalemler!$A101="",Kalemler!$C101="",Kalemler!$D101=""),0,Kalemler!$C101*IF(Kalemler!$E101="Haftalık",IF(Kalemler!$D101&lt;=(Tahmin!$C$4+90),1,0),IF(Kalemler!$E101="Aylık",IF(OR(AND(DATE(YEAR((Tahmin!$C$4+84)),MONTH((Tahmin!$C$4+84)),MIN(DAY(Kalemler!$D101),DAY(EOMONTH((Tahmin!$C$4+84),0))))&gt;=(Tahmin!$C$4+84),DATE(YEAR((Tahmin!$C$4+84)),MONTH((Tahmin!$C$4+84)),MIN(DAY(Kalemler!$D101),DAY(EOMONTH((Tahmin!$C$4+84),0))))&lt;=(Tahmin!$C$4+90),DATE(YEAR((Tahmin!$C$4+84)),MONTH((Tahmin!$C$4+84)),MIN(DAY(Kalemler!$D101),DAY(EOMONTH((Tahmin!$C$4+84),0))))&gt;=Kalemler!$D101),AND(DATE(YEAR((Tahmin!$C$4+90)),MONTH((Tahmin!$C$4+90)),MIN(DAY(Kalemler!$D101),DAY(EOMONTH((Tahmin!$C$4+90),0))))&gt;=(Tahmin!$C$4+84),DATE(YEAR((Tahmin!$C$4+90)),MONTH((Tahmin!$C$4+90)),MIN(DAY(Kalemler!$D101),DAY(EOMONTH((Tahmin!$C$4+90),0))))&lt;=(Tahmin!$C$4+90),DATE(YEAR((Tahmin!$C$4+90)),MONTH((Tahmin!$C$4+90)),MIN(DAY(Kalemler!$D101),DAY(EOMONTH((Tahmin!$C$4+90),0))))&lt;&gt;DATE(YEAR((Tahmin!$C$4+84)),MONTH((Tahmin!$C$4+84)),MIN(DAY(Kalemler!$D101),DAY(EOMONTH((Tahmin!$C$4+84),0)))),DATE(YEAR((Tahmin!$C$4+90)),MONTH((Tahmin!$C$4+90)),MIN(DAY(Kalemler!$D101),DAY(EOMONTH((Tahmin!$C$4+90),0))))&gt;=Kalemler!$D101)),1,0),IF(AND(Kalemler!$D101&gt;=(Tahmin!$C$4+84),Kalemler!$D101&lt;=(Tahmin!$C$4+90)),1,0))))</f>
        <v>0</v>
      </c>
    </row>
    <row r="102" customFormat="false" ht="15" hidden="false" customHeight="false" outlineLevel="0" collapsed="false">
      <c r="A102" s="0" t="str">
        <f aca="false">IF(Kalemler!A102="","",Kalemler!A102)</f>
        <v/>
      </c>
      <c r="B102" s="0" t="n">
        <f aca="false">IF(OR(Kalemler!$A102="",Kalemler!$C102="",Kalemler!$D102=""),0,Kalemler!$C102*IF(Kalemler!$E102="Haftalık",IF(Kalemler!$D102&lt;=(Tahmin!$C$4+6),1,0),IF(Kalemler!$E102="Aylık",IF(OR(AND(DATE(YEAR((Tahmin!$C$4+0)),MONTH((Tahmin!$C$4+0)),MIN(DAY(Kalemler!$D102),DAY(EOMONTH((Tahmin!$C$4+0),0))))&gt;=(Tahmin!$C$4+0),DATE(YEAR((Tahmin!$C$4+0)),MONTH((Tahmin!$C$4+0)),MIN(DAY(Kalemler!$D102),DAY(EOMONTH((Tahmin!$C$4+0),0))))&lt;=(Tahmin!$C$4+6),DATE(YEAR((Tahmin!$C$4+0)),MONTH((Tahmin!$C$4+0)),MIN(DAY(Kalemler!$D102),DAY(EOMONTH((Tahmin!$C$4+0),0))))&gt;=Kalemler!$D102),AND(DATE(YEAR((Tahmin!$C$4+6)),MONTH((Tahmin!$C$4+6)),MIN(DAY(Kalemler!$D102),DAY(EOMONTH((Tahmin!$C$4+6),0))))&gt;=(Tahmin!$C$4+0),DATE(YEAR((Tahmin!$C$4+6)),MONTH((Tahmin!$C$4+6)),MIN(DAY(Kalemler!$D102),DAY(EOMONTH((Tahmin!$C$4+6),0))))&lt;=(Tahmin!$C$4+6),DATE(YEAR((Tahmin!$C$4+6)),MONTH((Tahmin!$C$4+6)),MIN(DAY(Kalemler!$D102),DAY(EOMONTH((Tahmin!$C$4+6),0))))&lt;&gt;DATE(YEAR((Tahmin!$C$4+0)),MONTH((Tahmin!$C$4+0)),MIN(DAY(Kalemler!$D102),DAY(EOMONTH((Tahmin!$C$4+0),0)))),DATE(YEAR((Tahmin!$C$4+6)),MONTH((Tahmin!$C$4+6)),MIN(DAY(Kalemler!$D102),DAY(EOMONTH((Tahmin!$C$4+6),0))))&gt;=Kalemler!$D102)),1,0),IF(AND(Kalemler!$D102&gt;=(Tahmin!$C$4+0),Kalemler!$D102&lt;=(Tahmin!$C$4+6)),1,0))))</f>
        <v>0</v>
      </c>
      <c r="C102" s="0" t="n">
        <f aca="false">IF(OR(Kalemler!$A102="",Kalemler!$C102="",Kalemler!$D102=""),0,Kalemler!$C102*IF(Kalemler!$E102="Haftalık",IF(Kalemler!$D102&lt;=(Tahmin!$C$4+13),1,0),IF(Kalemler!$E102="Aylık",IF(OR(AND(DATE(YEAR((Tahmin!$C$4+7)),MONTH((Tahmin!$C$4+7)),MIN(DAY(Kalemler!$D102),DAY(EOMONTH((Tahmin!$C$4+7),0))))&gt;=(Tahmin!$C$4+7),DATE(YEAR((Tahmin!$C$4+7)),MONTH((Tahmin!$C$4+7)),MIN(DAY(Kalemler!$D102),DAY(EOMONTH((Tahmin!$C$4+7),0))))&lt;=(Tahmin!$C$4+13),DATE(YEAR((Tahmin!$C$4+7)),MONTH((Tahmin!$C$4+7)),MIN(DAY(Kalemler!$D102),DAY(EOMONTH((Tahmin!$C$4+7),0))))&gt;=Kalemler!$D102),AND(DATE(YEAR((Tahmin!$C$4+13)),MONTH((Tahmin!$C$4+13)),MIN(DAY(Kalemler!$D102),DAY(EOMONTH((Tahmin!$C$4+13),0))))&gt;=(Tahmin!$C$4+7),DATE(YEAR((Tahmin!$C$4+13)),MONTH((Tahmin!$C$4+13)),MIN(DAY(Kalemler!$D102),DAY(EOMONTH((Tahmin!$C$4+13),0))))&lt;=(Tahmin!$C$4+13),DATE(YEAR((Tahmin!$C$4+13)),MONTH((Tahmin!$C$4+13)),MIN(DAY(Kalemler!$D102),DAY(EOMONTH((Tahmin!$C$4+13),0))))&lt;&gt;DATE(YEAR((Tahmin!$C$4+7)),MONTH((Tahmin!$C$4+7)),MIN(DAY(Kalemler!$D102),DAY(EOMONTH((Tahmin!$C$4+7),0)))),DATE(YEAR((Tahmin!$C$4+13)),MONTH((Tahmin!$C$4+13)),MIN(DAY(Kalemler!$D102),DAY(EOMONTH((Tahmin!$C$4+13),0))))&gt;=Kalemler!$D102)),1,0),IF(AND(Kalemler!$D102&gt;=(Tahmin!$C$4+7),Kalemler!$D102&lt;=(Tahmin!$C$4+13)),1,0))))</f>
        <v>0</v>
      </c>
      <c r="D102" s="0" t="n">
        <f aca="false">IF(OR(Kalemler!$A102="",Kalemler!$C102="",Kalemler!$D102=""),0,Kalemler!$C102*IF(Kalemler!$E102="Haftalık",IF(Kalemler!$D102&lt;=(Tahmin!$C$4+20),1,0),IF(Kalemler!$E102="Aylık",IF(OR(AND(DATE(YEAR((Tahmin!$C$4+14)),MONTH((Tahmin!$C$4+14)),MIN(DAY(Kalemler!$D102),DAY(EOMONTH((Tahmin!$C$4+14),0))))&gt;=(Tahmin!$C$4+14),DATE(YEAR((Tahmin!$C$4+14)),MONTH((Tahmin!$C$4+14)),MIN(DAY(Kalemler!$D102),DAY(EOMONTH((Tahmin!$C$4+14),0))))&lt;=(Tahmin!$C$4+20),DATE(YEAR((Tahmin!$C$4+14)),MONTH((Tahmin!$C$4+14)),MIN(DAY(Kalemler!$D102),DAY(EOMONTH((Tahmin!$C$4+14),0))))&gt;=Kalemler!$D102),AND(DATE(YEAR((Tahmin!$C$4+20)),MONTH((Tahmin!$C$4+20)),MIN(DAY(Kalemler!$D102),DAY(EOMONTH((Tahmin!$C$4+20),0))))&gt;=(Tahmin!$C$4+14),DATE(YEAR((Tahmin!$C$4+20)),MONTH((Tahmin!$C$4+20)),MIN(DAY(Kalemler!$D102),DAY(EOMONTH((Tahmin!$C$4+20),0))))&lt;=(Tahmin!$C$4+20),DATE(YEAR((Tahmin!$C$4+20)),MONTH((Tahmin!$C$4+20)),MIN(DAY(Kalemler!$D102),DAY(EOMONTH((Tahmin!$C$4+20),0))))&lt;&gt;DATE(YEAR((Tahmin!$C$4+14)),MONTH((Tahmin!$C$4+14)),MIN(DAY(Kalemler!$D102),DAY(EOMONTH((Tahmin!$C$4+14),0)))),DATE(YEAR((Tahmin!$C$4+20)),MONTH((Tahmin!$C$4+20)),MIN(DAY(Kalemler!$D102),DAY(EOMONTH((Tahmin!$C$4+20),0))))&gt;=Kalemler!$D102)),1,0),IF(AND(Kalemler!$D102&gt;=(Tahmin!$C$4+14),Kalemler!$D102&lt;=(Tahmin!$C$4+20)),1,0))))</f>
        <v>0</v>
      </c>
      <c r="E102" s="0" t="n">
        <f aca="false">IF(OR(Kalemler!$A102="",Kalemler!$C102="",Kalemler!$D102=""),0,Kalemler!$C102*IF(Kalemler!$E102="Haftalık",IF(Kalemler!$D102&lt;=(Tahmin!$C$4+27),1,0),IF(Kalemler!$E102="Aylık",IF(OR(AND(DATE(YEAR((Tahmin!$C$4+21)),MONTH((Tahmin!$C$4+21)),MIN(DAY(Kalemler!$D102),DAY(EOMONTH((Tahmin!$C$4+21),0))))&gt;=(Tahmin!$C$4+21),DATE(YEAR((Tahmin!$C$4+21)),MONTH((Tahmin!$C$4+21)),MIN(DAY(Kalemler!$D102),DAY(EOMONTH((Tahmin!$C$4+21),0))))&lt;=(Tahmin!$C$4+27),DATE(YEAR((Tahmin!$C$4+21)),MONTH((Tahmin!$C$4+21)),MIN(DAY(Kalemler!$D102),DAY(EOMONTH((Tahmin!$C$4+21),0))))&gt;=Kalemler!$D102),AND(DATE(YEAR((Tahmin!$C$4+27)),MONTH((Tahmin!$C$4+27)),MIN(DAY(Kalemler!$D102),DAY(EOMONTH((Tahmin!$C$4+27),0))))&gt;=(Tahmin!$C$4+21),DATE(YEAR((Tahmin!$C$4+27)),MONTH((Tahmin!$C$4+27)),MIN(DAY(Kalemler!$D102),DAY(EOMONTH((Tahmin!$C$4+27),0))))&lt;=(Tahmin!$C$4+27),DATE(YEAR((Tahmin!$C$4+27)),MONTH((Tahmin!$C$4+27)),MIN(DAY(Kalemler!$D102),DAY(EOMONTH((Tahmin!$C$4+27),0))))&lt;&gt;DATE(YEAR((Tahmin!$C$4+21)),MONTH((Tahmin!$C$4+21)),MIN(DAY(Kalemler!$D102),DAY(EOMONTH((Tahmin!$C$4+21),0)))),DATE(YEAR((Tahmin!$C$4+27)),MONTH((Tahmin!$C$4+27)),MIN(DAY(Kalemler!$D102),DAY(EOMONTH((Tahmin!$C$4+27),0))))&gt;=Kalemler!$D102)),1,0),IF(AND(Kalemler!$D102&gt;=(Tahmin!$C$4+21),Kalemler!$D102&lt;=(Tahmin!$C$4+27)),1,0))))</f>
        <v>0</v>
      </c>
      <c r="F102" s="0" t="n">
        <f aca="false">IF(OR(Kalemler!$A102="",Kalemler!$C102="",Kalemler!$D102=""),0,Kalemler!$C102*IF(Kalemler!$E102="Haftalık",IF(Kalemler!$D102&lt;=(Tahmin!$C$4+34),1,0),IF(Kalemler!$E102="Aylık",IF(OR(AND(DATE(YEAR((Tahmin!$C$4+28)),MONTH((Tahmin!$C$4+28)),MIN(DAY(Kalemler!$D102),DAY(EOMONTH((Tahmin!$C$4+28),0))))&gt;=(Tahmin!$C$4+28),DATE(YEAR((Tahmin!$C$4+28)),MONTH((Tahmin!$C$4+28)),MIN(DAY(Kalemler!$D102),DAY(EOMONTH((Tahmin!$C$4+28),0))))&lt;=(Tahmin!$C$4+34),DATE(YEAR((Tahmin!$C$4+28)),MONTH((Tahmin!$C$4+28)),MIN(DAY(Kalemler!$D102),DAY(EOMONTH((Tahmin!$C$4+28),0))))&gt;=Kalemler!$D102),AND(DATE(YEAR((Tahmin!$C$4+34)),MONTH((Tahmin!$C$4+34)),MIN(DAY(Kalemler!$D102),DAY(EOMONTH((Tahmin!$C$4+34),0))))&gt;=(Tahmin!$C$4+28),DATE(YEAR((Tahmin!$C$4+34)),MONTH((Tahmin!$C$4+34)),MIN(DAY(Kalemler!$D102),DAY(EOMONTH((Tahmin!$C$4+34),0))))&lt;=(Tahmin!$C$4+34),DATE(YEAR((Tahmin!$C$4+34)),MONTH((Tahmin!$C$4+34)),MIN(DAY(Kalemler!$D102),DAY(EOMONTH((Tahmin!$C$4+34),0))))&lt;&gt;DATE(YEAR((Tahmin!$C$4+28)),MONTH((Tahmin!$C$4+28)),MIN(DAY(Kalemler!$D102),DAY(EOMONTH((Tahmin!$C$4+28),0)))),DATE(YEAR((Tahmin!$C$4+34)),MONTH((Tahmin!$C$4+34)),MIN(DAY(Kalemler!$D102),DAY(EOMONTH((Tahmin!$C$4+34),0))))&gt;=Kalemler!$D102)),1,0),IF(AND(Kalemler!$D102&gt;=(Tahmin!$C$4+28),Kalemler!$D102&lt;=(Tahmin!$C$4+34)),1,0))))</f>
        <v>0</v>
      </c>
      <c r="G102" s="0" t="n">
        <f aca="false">IF(OR(Kalemler!$A102="",Kalemler!$C102="",Kalemler!$D102=""),0,Kalemler!$C102*IF(Kalemler!$E102="Haftalık",IF(Kalemler!$D102&lt;=(Tahmin!$C$4+41),1,0),IF(Kalemler!$E102="Aylık",IF(OR(AND(DATE(YEAR((Tahmin!$C$4+35)),MONTH((Tahmin!$C$4+35)),MIN(DAY(Kalemler!$D102),DAY(EOMONTH((Tahmin!$C$4+35),0))))&gt;=(Tahmin!$C$4+35),DATE(YEAR((Tahmin!$C$4+35)),MONTH((Tahmin!$C$4+35)),MIN(DAY(Kalemler!$D102),DAY(EOMONTH((Tahmin!$C$4+35),0))))&lt;=(Tahmin!$C$4+41),DATE(YEAR((Tahmin!$C$4+35)),MONTH((Tahmin!$C$4+35)),MIN(DAY(Kalemler!$D102),DAY(EOMONTH((Tahmin!$C$4+35),0))))&gt;=Kalemler!$D102),AND(DATE(YEAR((Tahmin!$C$4+41)),MONTH((Tahmin!$C$4+41)),MIN(DAY(Kalemler!$D102),DAY(EOMONTH((Tahmin!$C$4+41),0))))&gt;=(Tahmin!$C$4+35),DATE(YEAR((Tahmin!$C$4+41)),MONTH((Tahmin!$C$4+41)),MIN(DAY(Kalemler!$D102),DAY(EOMONTH((Tahmin!$C$4+41),0))))&lt;=(Tahmin!$C$4+41),DATE(YEAR((Tahmin!$C$4+41)),MONTH((Tahmin!$C$4+41)),MIN(DAY(Kalemler!$D102),DAY(EOMONTH((Tahmin!$C$4+41),0))))&lt;&gt;DATE(YEAR((Tahmin!$C$4+35)),MONTH((Tahmin!$C$4+35)),MIN(DAY(Kalemler!$D102),DAY(EOMONTH((Tahmin!$C$4+35),0)))),DATE(YEAR((Tahmin!$C$4+41)),MONTH((Tahmin!$C$4+41)),MIN(DAY(Kalemler!$D102),DAY(EOMONTH((Tahmin!$C$4+41),0))))&gt;=Kalemler!$D102)),1,0),IF(AND(Kalemler!$D102&gt;=(Tahmin!$C$4+35),Kalemler!$D102&lt;=(Tahmin!$C$4+41)),1,0))))</f>
        <v>0</v>
      </c>
      <c r="H102" s="0" t="n">
        <f aca="false">IF(OR(Kalemler!$A102="",Kalemler!$C102="",Kalemler!$D102=""),0,Kalemler!$C102*IF(Kalemler!$E102="Haftalık",IF(Kalemler!$D102&lt;=(Tahmin!$C$4+48),1,0),IF(Kalemler!$E102="Aylık",IF(OR(AND(DATE(YEAR((Tahmin!$C$4+42)),MONTH((Tahmin!$C$4+42)),MIN(DAY(Kalemler!$D102),DAY(EOMONTH((Tahmin!$C$4+42),0))))&gt;=(Tahmin!$C$4+42),DATE(YEAR((Tahmin!$C$4+42)),MONTH((Tahmin!$C$4+42)),MIN(DAY(Kalemler!$D102),DAY(EOMONTH((Tahmin!$C$4+42),0))))&lt;=(Tahmin!$C$4+48),DATE(YEAR((Tahmin!$C$4+42)),MONTH((Tahmin!$C$4+42)),MIN(DAY(Kalemler!$D102),DAY(EOMONTH((Tahmin!$C$4+42),0))))&gt;=Kalemler!$D102),AND(DATE(YEAR((Tahmin!$C$4+48)),MONTH((Tahmin!$C$4+48)),MIN(DAY(Kalemler!$D102),DAY(EOMONTH((Tahmin!$C$4+48),0))))&gt;=(Tahmin!$C$4+42),DATE(YEAR((Tahmin!$C$4+48)),MONTH((Tahmin!$C$4+48)),MIN(DAY(Kalemler!$D102),DAY(EOMONTH((Tahmin!$C$4+48),0))))&lt;=(Tahmin!$C$4+48),DATE(YEAR((Tahmin!$C$4+48)),MONTH((Tahmin!$C$4+48)),MIN(DAY(Kalemler!$D102),DAY(EOMONTH((Tahmin!$C$4+48),0))))&lt;&gt;DATE(YEAR((Tahmin!$C$4+42)),MONTH((Tahmin!$C$4+42)),MIN(DAY(Kalemler!$D102),DAY(EOMONTH((Tahmin!$C$4+42),0)))),DATE(YEAR((Tahmin!$C$4+48)),MONTH((Tahmin!$C$4+48)),MIN(DAY(Kalemler!$D102),DAY(EOMONTH((Tahmin!$C$4+48),0))))&gt;=Kalemler!$D102)),1,0),IF(AND(Kalemler!$D102&gt;=(Tahmin!$C$4+42),Kalemler!$D102&lt;=(Tahmin!$C$4+48)),1,0))))</f>
        <v>0</v>
      </c>
      <c r="I102" s="0" t="n">
        <f aca="false">IF(OR(Kalemler!$A102="",Kalemler!$C102="",Kalemler!$D102=""),0,Kalemler!$C102*IF(Kalemler!$E102="Haftalık",IF(Kalemler!$D102&lt;=(Tahmin!$C$4+55),1,0),IF(Kalemler!$E102="Aylık",IF(OR(AND(DATE(YEAR((Tahmin!$C$4+49)),MONTH((Tahmin!$C$4+49)),MIN(DAY(Kalemler!$D102),DAY(EOMONTH((Tahmin!$C$4+49),0))))&gt;=(Tahmin!$C$4+49),DATE(YEAR((Tahmin!$C$4+49)),MONTH((Tahmin!$C$4+49)),MIN(DAY(Kalemler!$D102),DAY(EOMONTH((Tahmin!$C$4+49),0))))&lt;=(Tahmin!$C$4+55),DATE(YEAR((Tahmin!$C$4+49)),MONTH((Tahmin!$C$4+49)),MIN(DAY(Kalemler!$D102),DAY(EOMONTH((Tahmin!$C$4+49),0))))&gt;=Kalemler!$D102),AND(DATE(YEAR((Tahmin!$C$4+55)),MONTH((Tahmin!$C$4+55)),MIN(DAY(Kalemler!$D102),DAY(EOMONTH((Tahmin!$C$4+55),0))))&gt;=(Tahmin!$C$4+49),DATE(YEAR((Tahmin!$C$4+55)),MONTH((Tahmin!$C$4+55)),MIN(DAY(Kalemler!$D102),DAY(EOMONTH((Tahmin!$C$4+55),0))))&lt;=(Tahmin!$C$4+55),DATE(YEAR((Tahmin!$C$4+55)),MONTH((Tahmin!$C$4+55)),MIN(DAY(Kalemler!$D102),DAY(EOMONTH((Tahmin!$C$4+55),0))))&lt;&gt;DATE(YEAR((Tahmin!$C$4+49)),MONTH((Tahmin!$C$4+49)),MIN(DAY(Kalemler!$D102),DAY(EOMONTH((Tahmin!$C$4+49),0)))),DATE(YEAR((Tahmin!$C$4+55)),MONTH((Tahmin!$C$4+55)),MIN(DAY(Kalemler!$D102),DAY(EOMONTH((Tahmin!$C$4+55),0))))&gt;=Kalemler!$D102)),1,0),IF(AND(Kalemler!$D102&gt;=(Tahmin!$C$4+49),Kalemler!$D102&lt;=(Tahmin!$C$4+55)),1,0))))</f>
        <v>0</v>
      </c>
      <c r="J102" s="0" t="n">
        <f aca="false">IF(OR(Kalemler!$A102="",Kalemler!$C102="",Kalemler!$D102=""),0,Kalemler!$C102*IF(Kalemler!$E102="Haftalık",IF(Kalemler!$D102&lt;=(Tahmin!$C$4+62),1,0),IF(Kalemler!$E102="Aylık",IF(OR(AND(DATE(YEAR((Tahmin!$C$4+56)),MONTH((Tahmin!$C$4+56)),MIN(DAY(Kalemler!$D102),DAY(EOMONTH((Tahmin!$C$4+56),0))))&gt;=(Tahmin!$C$4+56),DATE(YEAR((Tahmin!$C$4+56)),MONTH((Tahmin!$C$4+56)),MIN(DAY(Kalemler!$D102),DAY(EOMONTH((Tahmin!$C$4+56),0))))&lt;=(Tahmin!$C$4+62),DATE(YEAR((Tahmin!$C$4+56)),MONTH((Tahmin!$C$4+56)),MIN(DAY(Kalemler!$D102),DAY(EOMONTH((Tahmin!$C$4+56),0))))&gt;=Kalemler!$D102),AND(DATE(YEAR((Tahmin!$C$4+62)),MONTH((Tahmin!$C$4+62)),MIN(DAY(Kalemler!$D102),DAY(EOMONTH((Tahmin!$C$4+62),0))))&gt;=(Tahmin!$C$4+56),DATE(YEAR((Tahmin!$C$4+62)),MONTH((Tahmin!$C$4+62)),MIN(DAY(Kalemler!$D102),DAY(EOMONTH((Tahmin!$C$4+62),0))))&lt;=(Tahmin!$C$4+62),DATE(YEAR((Tahmin!$C$4+62)),MONTH((Tahmin!$C$4+62)),MIN(DAY(Kalemler!$D102),DAY(EOMONTH((Tahmin!$C$4+62),0))))&lt;&gt;DATE(YEAR((Tahmin!$C$4+56)),MONTH((Tahmin!$C$4+56)),MIN(DAY(Kalemler!$D102),DAY(EOMONTH((Tahmin!$C$4+56),0)))),DATE(YEAR((Tahmin!$C$4+62)),MONTH((Tahmin!$C$4+62)),MIN(DAY(Kalemler!$D102),DAY(EOMONTH((Tahmin!$C$4+62),0))))&gt;=Kalemler!$D102)),1,0),IF(AND(Kalemler!$D102&gt;=(Tahmin!$C$4+56),Kalemler!$D102&lt;=(Tahmin!$C$4+62)),1,0))))</f>
        <v>0</v>
      </c>
      <c r="K102" s="0" t="n">
        <f aca="false">IF(OR(Kalemler!$A102="",Kalemler!$C102="",Kalemler!$D102=""),0,Kalemler!$C102*IF(Kalemler!$E102="Haftalık",IF(Kalemler!$D102&lt;=(Tahmin!$C$4+69),1,0),IF(Kalemler!$E102="Aylık",IF(OR(AND(DATE(YEAR((Tahmin!$C$4+63)),MONTH((Tahmin!$C$4+63)),MIN(DAY(Kalemler!$D102),DAY(EOMONTH((Tahmin!$C$4+63),0))))&gt;=(Tahmin!$C$4+63),DATE(YEAR((Tahmin!$C$4+63)),MONTH((Tahmin!$C$4+63)),MIN(DAY(Kalemler!$D102),DAY(EOMONTH((Tahmin!$C$4+63),0))))&lt;=(Tahmin!$C$4+69),DATE(YEAR((Tahmin!$C$4+63)),MONTH((Tahmin!$C$4+63)),MIN(DAY(Kalemler!$D102),DAY(EOMONTH((Tahmin!$C$4+63),0))))&gt;=Kalemler!$D102),AND(DATE(YEAR((Tahmin!$C$4+69)),MONTH((Tahmin!$C$4+69)),MIN(DAY(Kalemler!$D102),DAY(EOMONTH((Tahmin!$C$4+69),0))))&gt;=(Tahmin!$C$4+63),DATE(YEAR((Tahmin!$C$4+69)),MONTH((Tahmin!$C$4+69)),MIN(DAY(Kalemler!$D102),DAY(EOMONTH((Tahmin!$C$4+69),0))))&lt;=(Tahmin!$C$4+69),DATE(YEAR((Tahmin!$C$4+69)),MONTH((Tahmin!$C$4+69)),MIN(DAY(Kalemler!$D102),DAY(EOMONTH((Tahmin!$C$4+69),0))))&lt;&gt;DATE(YEAR((Tahmin!$C$4+63)),MONTH((Tahmin!$C$4+63)),MIN(DAY(Kalemler!$D102),DAY(EOMONTH((Tahmin!$C$4+63),0)))),DATE(YEAR((Tahmin!$C$4+69)),MONTH((Tahmin!$C$4+69)),MIN(DAY(Kalemler!$D102),DAY(EOMONTH((Tahmin!$C$4+69),0))))&gt;=Kalemler!$D102)),1,0),IF(AND(Kalemler!$D102&gt;=(Tahmin!$C$4+63),Kalemler!$D102&lt;=(Tahmin!$C$4+69)),1,0))))</f>
        <v>0</v>
      </c>
      <c r="L102" s="0" t="n">
        <f aca="false">IF(OR(Kalemler!$A102="",Kalemler!$C102="",Kalemler!$D102=""),0,Kalemler!$C102*IF(Kalemler!$E102="Haftalık",IF(Kalemler!$D102&lt;=(Tahmin!$C$4+76),1,0),IF(Kalemler!$E102="Aylık",IF(OR(AND(DATE(YEAR((Tahmin!$C$4+70)),MONTH((Tahmin!$C$4+70)),MIN(DAY(Kalemler!$D102),DAY(EOMONTH((Tahmin!$C$4+70),0))))&gt;=(Tahmin!$C$4+70),DATE(YEAR((Tahmin!$C$4+70)),MONTH((Tahmin!$C$4+70)),MIN(DAY(Kalemler!$D102),DAY(EOMONTH((Tahmin!$C$4+70),0))))&lt;=(Tahmin!$C$4+76),DATE(YEAR((Tahmin!$C$4+70)),MONTH((Tahmin!$C$4+70)),MIN(DAY(Kalemler!$D102),DAY(EOMONTH((Tahmin!$C$4+70),0))))&gt;=Kalemler!$D102),AND(DATE(YEAR((Tahmin!$C$4+76)),MONTH((Tahmin!$C$4+76)),MIN(DAY(Kalemler!$D102),DAY(EOMONTH((Tahmin!$C$4+76),0))))&gt;=(Tahmin!$C$4+70),DATE(YEAR((Tahmin!$C$4+76)),MONTH((Tahmin!$C$4+76)),MIN(DAY(Kalemler!$D102),DAY(EOMONTH((Tahmin!$C$4+76),0))))&lt;=(Tahmin!$C$4+76),DATE(YEAR((Tahmin!$C$4+76)),MONTH((Tahmin!$C$4+76)),MIN(DAY(Kalemler!$D102),DAY(EOMONTH((Tahmin!$C$4+76),0))))&lt;&gt;DATE(YEAR((Tahmin!$C$4+70)),MONTH((Tahmin!$C$4+70)),MIN(DAY(Kalemler!$D102),DAY(EOMONTH((Tahmin!$C$4+70),0)))),DATE(YEAR((Tahmin!$C$4+76)),MONTH((Tahmin!$C$4+76)),MIN(DAY(Kalemler!$D102),DAY(EOMONTH((Tahmin!$C$4+76),0))))&gt;=Kalemler!$D102)),1,0),IF(AND(Kalemler!$D102&gt;=(Tahmin!$C$4+70),Kalemler!$D102&lt;=(Tahmin!$C$4+76)),1,0))))</f>
        <v>0</v>
      </c>
      <c r="M102" s="0" t="n">
        <f aca="false">IF(OR(Kalemler!$A102="",Kalemler!$C102="",Kalemler!$D102=""),0,Kalemler!$C102*IF(Kalemler!$E102="Haftalık",IF(Kalemler!$D102&lt;=(Tahmin!$C$4+83),1,0),IF(Kalemler!$E102="Aylık",IF(OR(AND(DATE(YEAR((Tahmin!$C$4+77)),MONTH((Tahmin!$C$4+77)),MIN(DAY(Kalemler!$D102),DAY(EOMONTH((Tahmin!$C$4+77),0))))&gt;=(Tahmin!$C$4+77),DATE(YEAR((Tahmin!$C$4+77)),MONTH((Tahmin!$C$4+77)),MIN(DAY(Kalemler!$D102),DAY(EOMONTH((Tahmin!$C$4+77),0))))&lt;=(Tahmin!$C$4+83),DATE(YEAR((Tahmin!$C$4+77)),MONTH((Tahmin!$C$4+77)),MIN(DAY(Kalemler!$D102),DAY(EOMONTH((Tahmin!$C$4+77),0))))&gt;=Kalemler!$D102),AND(DATE(YEAR((Tahmin!$C$4+83)),MONTH((Tahmin!$C$4+83)),MIN(DAY(Kalemler!$D102),DAY(EOMONTH((Tahmin!$C$4+83),0))))&gt;=(Tahmin!$C$4+77),DATE(YEAR((Tahmin!$C$4+83)),MONTH((Tahmin!$C$4+83)),MIN(DAY(Kalemler!$D102),DAY(EOMONTH((Tahmin!$C$4+83),0))))&lt;=(Tahmin!$C$4+83),DATE(YEAR((Tahmin!$C$4+83)),MONTH((Tahmin!$C$4+83)),MIN(DAY(Kalemler!$D102),DAY(EOMONTH((Tahmin!$C$4+83),0))))&lt;&gt;DATE(YEAR((Tahmin!$C$4+77)),MONTH((Tahmin!$C$4+77)),MIN(DAY(Kalemler!$D102),DAY(EOMONTH((Tahmin!$C$4+77),0)))),DATE(YEAR((Tahmin!$C$4+83)),MONTH((Tahmin!$C$4+83)),MIN(DAY(Kalemler!$D102),DAY(EOMONTH((Tahmin!$C$4+83),0))))&gt;=Kalemler!$D102)),1,0),IF(AND(Kalemler!$D102&gt;=(Tahmin!$C$4+77),Kalemler!$D102&lt;=(Tahmin!$C$4+83)),1,0))))</f>
        <v>0</v>
      </c>
      <c r="N102" s="0" t="n">
        <f aca="false">IF(OR(Kalemler!$A102="",Kalemler!$C102="",Kalemler!$D102=""),0,Kalemler!$C102*IF(Kalemler!$E102="Haftalık",IF(Kalemler!$D102&lt;=(Tahmin!$C$4+90),1,0),IF(Kalemler!$E102="Aylık",IF(OR(AND(DATE(YEAR((Tahmin!$C$4+84)),MONTH((Tahmin!$C$4+84)),MIN(DAY(Kalemler!$D102),DAY(EOMONTH((Tahmin!$C$4+84),0))))&gt;=(Tahmin!$C$4+84),DATE(YEAR((Tahmin!$C$4+84)),MONTH((Tahmin!$C$4+84)),MIN(DAY(Kalemler!$D102),DAY(EOMONTH((Tahmin!$C$4+84),0))))&lt;=(Tahmin!$C$4+90),DATE(YEAR((Tahmin!$C$4+84)),MONTH((Tahmin!$C$4+84)),MIN(DAY(Kalemler!$D102),DAY(EOMONTH((Tahmin!$C$4+84),0))))&gt;=Kalemler!$D102),AND(DATE(YEAR((Tahmin!$C$4+90)),MONTH((Tahmin!$C$4+90)),MIN(DAY(Kalemler!$D102),DAY(EOMONTH((Tahmin!$C$4+90),0))))&gt;=(Tahmin!$C$4+84),DATE(YEAR((Tahmin!$C$4+90)),MONTH((Tahmin!$C$4+90)),MIN(DAY(Kalemler!$D102),DAY(EOMONTH((Tahmin!$C$4+90),0))))&lt;=(Tahmin!$C$4+90),DATE(YEAR((Tahmin!$C$4+90)),MONTH((Tahmin!$C$4+90)),MIN(DAY(Kalemler!$D102),DAY(EOMONTH((Tahmin!$C$4+90),0))))&lt;&gt;DATE(YEAR((Tahmin!$C$4+84)),MONTH((Tahmin!$C$4+84)),MIN(DAY(Kalemler!$D102),DAY(EOMONTH((Tahmin!$C$4+84),0)))),DATE(YEAR((Tahmin!$C$4+90)),MONTH((Tahmin!$C$4+90)),MIN(DAY(Kalemler!$D102),DAY(EOMONTH((Tahmin!$C$4+90),0))))&gt;=Kalemler!$D102)),1,0),IF(AND(Kalemler!$D102&gt;=(Tahmin!$C$4+84),Kalemler!$D102&lt;=(Tahmin!$C$4+90)),1,0))))</f>
        <v>0</v>
      </c>
    </row>
    <row r="103" customFormat="false" ht="15" hidden="false" customHeight="false" outlineLevel="0" collapsed="false">
      <c r="A103" s="0" t="str">
        <f aca="false">IF(Kalemler!A103="","",Kalemler!A103)</f>
        <v/>
      </c>
      <c r="B103" s="0" t="n">
        <f aca="false">IF(OR(Kalemler!$A103="",Kalemler!$C103="",Kalemler!$D103=""),0,Kalemler!$C103*IF(Kalemler!$E103="Haftalık",IF(Kalemler!$D103&lt;=(Tahmin!$C$4+6),1,0),IF(Kalemler!$E103="Aylık",IF(OR(AND(DATE(YEAR((Tahmin!$C$4+0)),MONTH((Tahmin!$C$4+0)),MIN(DAY(Kalemler!$D103),DAY(EOMONTH((Tahmin!$C$4+0),0))))&gt;=(Tahmin!$C$4+0),DATE(YEAR((Tahmin!$C$4+0)),MONTH((Tahmin!$C$4+0)),MIN(DAY(Kalemler!$D103),DAY(EOMONTH((Tahmin!$C$4+0),0))))&lt;=(Tahmin!$C$4+6),DATE(YEAR((Tahmin!$C$4+0)),MONTH((Tahmin!$C$4+0)),MIN(DAY(Kalemler!$D103),DAY(EOMONTH((Tahmin!$C$4+0),0))))&gt;=Kalemler!$D103),AND(DATE(YEAR((Tahmin!$C$4+6)),MONTH((Tahmin!$C$4+6)),MIN(DAY(Kalemler!$D103),DAY(EOMONTH((Tahmin!$C$4+6),0))))&gt;=(Tahmin!$C$4+0),DATE(YEAR((Tahmin!$C$4+6)),MONTH((Tahmin!$C$4+6)),MIN(DAY(Kalemler!$D103),DAY(EOMONTH((Tahmin!$C$4+6),0))))&lt;=(Tahmin!$C$4+6),DATE(YEAR((Tahmin!$C$4+6)),MONTH((Tahmin!$C$4+6)),MIN(DAY(Kalemler!$D103),DAY(EOMONTH((Tahmin!$C$4+6),0))))&lt;&gt;DATE(YEAR((Tahmin!$C$4+0)),MONTH((Tahmin!$C$4+0)),MIN(DAY(Kalemler!$D103),DAY(EOMONTH((Tahmin!$C$4+0),0)))),DATE(YEAR((Tahmin!$C$4+6)),MONTH((Tahmin!$C$4+6)),MIN(DAY(Kalemler!$D103),DAY(EOMONTH((Tahmin!$C$4+6),0))))&gt;=Kalemler!$D103)),1,0),IF(AND(Kalemler!$D103&gt;=(Tahmin!$C$4+0),Kalemler!$D103&lt;=(Tahmin!$C$4+6)),1,0))))</f>
        <v>0</v>
      </c>
      <c r="C103" s="0" t="n">
        <f aca="false">IF(OR(Kalemler!$A103="",Kalemler!$C103="",Kalemler!$D103=""),0,Kalemler!$C103*IF(Kalemler!$E103="Haftalık",IF(Kalemler!$D103&lt;=(Tahmin!$C$4+13),1,0),IF(Kalemler!$E103="Aylık",IF(OR(AND(DATE(YEAR((Tahmin!$C$4+7)),MONTH((Tahmin!$C$4+7)),MIN(DAY(Kalemler!$D103),DAY(EOMONTH((Tahmin!$C$4+7),0))))&gt;=(Tahmin!$C$4+7),DATE(YEAR((Tahmin!$C$4+7)),MONTH((Tahmin!$C$4+7)),MIN(DAY(Kalemler!$D103),DAY(EOMONTH((Tahmin!$C$4+7),0))))&lt;=(Tahmin!$C$4+13),DATE(YEAR((Tahmin!$C$4+7)),MONTH((Tahmin!$C$4+7)),MIN(DAY(Kalemler!$D103),DAY(EOMONTH((Tahmin!$C$4+7),0))))&gt;=Kalemler!$D103),AND(DATE(YEAR((Tahmin!$C$4+13)),MONTH((Tahmin!$C$4+13)),MIN(DAY(Kalemler!$D103),DAY(EOMONTH((Tahmin!$C$4+13),0))))&gt;=(Tahmin!$C$4+7),DATE(YEAR((Tahmin!$C$4+13)),MONTH((Tahmin!$C$4+13)),MIN(DAY(Kalemler!$D103),DAY(EOMONTH((Tahmin!$C$4+13),0))))&lt;=(Tahmin!$C$4+13),DATE(YEAR((Tahmin!$C$4+13)),MONTH((Tahmin!$C$4+13)),MIN(DAY(Kalemler!$D103),DAY(EOMONTH((Tahmin!$C$4+13),0))))&lt;&gt;DATE(YEAR((Tahmin!$C$4+7)),MONTH((Tahmin!$C$4+7)),MIN(DAY(Kalemler!$D103),DAY(EOMONTH((Tahmin!$C$4+7),0)))),DATE(YEAR((Tahmin!$C$4+13)),MONTH((Tahmin!$C$4+13)),MIN(DAY(Kalemler!$D103),DAY(EOMONTH((Tahmin!$C$4+13),0))))&gt;=Kalemler!$D103)),1,0),IF(AND(Kalemler!$D103&gt;=(Tahmin!$C$4+7),Kalemler!$D103&lt;=(Tahmin!$C$4+13)),1,0))))</f>
        <v>0</v>
      </c>
      <c r="D103" s="0" t="n">
        <f aca="false">IF(OR(Kalemler!$A103="",Kalemler!$C103="",Kalemler!$D103=""),0,Kalemler!$C103*IF(Kalemler!$E103="Haftalık",IF(Kalemler!$D103&lt;=(Tahmin!$C$4+20),1,0),IF(Kalemler!$E103="Aylık",IF(OR(AND(DATE(YEAR((Tahmin!$C$4+14)),MONTH((Tahmin!$C$4+14)),MIN(DAY(Kalemler!$D103),DAY(EOMONTH((Tahmin!$C$4+14),0))))&gt;=(Tahmin!$C$4+14),DATE(YEAR((Tahmin!$C$4+14)),MONTH((Tahmin!$C$4+14)),MIN(DAY(Kalemler!$D103),DAY(EOMONTH((Tahmin!$C$4+14),0))))&lt;=(Tahmin!$C$4+20),DATE(YEAR((Tahmin!$C$4+14)),MONTH((Tahmin!$C$4+14)),MIN(DAY(Kalemler!$D103),DAY(EOMONTH((Tahmin!$C$4+14),0))))&gt;=Kalemler!$D103),AND(DATE(YEAR((Tahmin!$C$4+20)),MONTH((Tahmin!$C$4+20)),MIN(DAY(Kalemler!$D103),DAY(EOMONTH((Tahmin!$C$4+20),0))))&gt;=(Tahmin!$C$4+14),DATE(YEAR((Tahmin!$C$4+20)),MONTH((Tahmin!$C$4+20)),MIN(DAY(Kalemler!$D103),DAY(EOMONTH((Tahmin!$C$4+20),0))))&lt;=(Tahmin!$C$4+20),DATE(YEAR((Tahmin!$C$4+20)),MONTH((Tahmin!$C$4+20)),MIN(DAY(Kalemler!$D103),DAY(EOMONTH((Tahmin!$C$4+20),0))))&lt;&gt;DATE(YEAR((Tahmin!$C$4+14)),MONTH((Tahmin!$C$4+14)),MIN(DAY(Kalemler!$D103),DAY(EOMONTH((Tahmin!$C$4+14),0)))),DATE(YEAR((Tahmin!$C$4+20)),MONTH((Tahmin!$C$4+20)),MIN(DAY(Kalemler!$D103),DAY(EOMONTH((Tahmin!$C$4+20),0))))&gt;=Kalemler!$D103)),1,0),IF(AND(Kalemler!$D103&gt;=(Tahmin!$C$4+14),Kalemler!$D103&lt;=(Tahmin!$C$4+20)),1,0))))</f>
        <v>0</v>
      </c>
      <c r="E103" s="0" t="n">
        <f aca="false">IF(OR(Kalemler!$A103="",Kalemler!$C103="",Kalemler!$D103=""),0,Kalemler!$C103*IF(Kalemler!$E103="Haftalık",IF(Kalemler!$D103&lt;=(Tahmin!$C$4+27),1,0),IF(Kalemler!$E103="Aylık",IF(OR(AND(DATE(YEAR((Tahmin!$C$4+21)),MONTH((Tahmin!$C$4+21)),MIN(DAY(Kalemler!$D103),DAY(EOMONTH((Tahmin!$C$4+21),0))))&gt;=(Tahmin!$C$4+21),DATE(YEAR((Tahmin!$C$4+21)),MONTH((Tahmin!$C$4+21)),MIN(DAY(Kalemler!$D103),DAY(EOMONTH((Tahmin!$C$4+21),0))))&lt;=(Tahmin!$C$4+27),DATE(YEAR((Tahmin!$C$4+21)),MONTH((Tahmin!$C$4+21)),MIN(DAY(Kalemler!$D103),DAY(EOMONTH((Tahmin!$C$4+21),0))))&gt;=Kalemler!$D103),AND(DATE(YEAR((Tahmin!$C$4+27)),MONTH((Tahmin!$C$4+27)),MIN(DAY(Kalemler!$D103),DAY(EOMONTH((Tahmin!$C$4+27),0))))&gt;=(Tahmin!$C$4+21),DATE(YEAR((Tahmin!$C$4+27)),MONTH((Tahmin!$C$4+27)),MIN(DAY(Kalemler!$D103),DAY(EOMONTH((Tahmin!$C$4+27),0))))&lt;=(Tahmin!$C$4+27),DATE(YEAR((Tahmin!$C$4+27)),MONTH((Tahmin!$C$4+27)),MIN(DAY(Kalemler!$D103),DAY(EOMONTH((Tahmin!$C$4+27),0))))&lt;&gt;DATE(YEAR((Tahmin!$C$4+21)),MONTH((Tahmin!$C$4+21)),MIN(DAY(Kalemler!$D103),DAY(EOMONTH((Tahmin!$C$4+21),0)))),DATE(YEAR((Tahmin!$C$4+27)),MONTH((Tahmin!$C$4+27)),MIN(DAY(Kalemler!$D103),DAY(EOMONTH((Tahmin!$C$4+27),0))))&gt;=Kalemler!$D103)),1,0),IF(AND(Kalemler!$D103&gt;=(Tahmin!$C$4+21),Kalemler!$D103&lt;=(Tahmin!$C$4+27)),1,0))))</f>
        <v>0</v>
      </c>
      <c r="F103" s="0" t="n">
        <f aca="false">IF(OR(Kalemler!$A103="",Kalemler!$C103="",Kalemler!$D103=""),0,Kalemler!$C103*IF(Kalemler!$E103="Haftalık",IF(Kalemler!$D103&lt;=(Tahmin!$C$4+34),1,0),IF(Kalemler!$E103="Aylık",IF(OR(AND(DATE(YEAR((Tahmin!$C$4+28)),MONTH((Tahmin!$C$4+28)),MIN(DAY(Kalemler!$D103),DAY(EOMONTH((Tahmin!$C$4+28),0))))&gt;=(Tahmin!$C$4+28),DATE(YEAR((Tahmin!$C$4+28)),MONTH((Tahmin!$C$4+28)),MIN(DAY(Kalemler!$D103),DAY(EOMONTH((Tahmin!$C$4+28),0))))&lt;=(Tahmin!$C$4+34),DATE(YEAR((Tahmin!$C$4+28)),MONTH((Tahmin!$C$4+28)),MIN(DAY(Kalemler!$D103),DAY(EOMONTH((Tahmin!$C$4+28),0))))&gt;=Kalemler!$D103),AND(DATE(YEAR((Tahmin!$C$4+34)),MONTH((Tahmin!$C$4+34)),MIN(DAY(Kalemler!$D103),DAY(EOMONTH((Tahmin!$C$4+34),0))))&gt;=(Tahmin!$C$4+28),DATE(YEAR((Tahmin!$C$4+34)),MONTH((Tahmin!$C$4+34)),MIN(DAY(Kalemler!$D103),DAY(EOMONTH((Tahmin!$C$4+34),0))))&lt;=(Tahmin!$C$4+34),DATE(YEAR((Tahmin!$C$4+34)),MONTH((Tahmin!$C$4+34)),MIN(DAY(Kalemler!$D103),DAY(EOMONTH((Tahmin!$C$4+34),0))))&lt;&gt;DATE(YEAR((Tahmin!$C$4+28)),MONTH((Tahmin!$C$4+28)),MIN(DAY(Kalemler!$D103),DAY(EOMONTH((Tahmin!$C$4+28),0)))),DATE(YEAR((Tahmin!$C$4+34)),MONTH((Tahmin!$C$4+34)),MIN(DAY(Kalemler!$D103),DAY(EOMONTH((Tahmin!$C$4+34),0))))&gt;=Kalemler!$D103)),1,0),IF(AND(Kalemler!$D103&gt;=(Tahmin!$C$4+28),Kalemler!$D103&lt;=(Tahmin!$C$4+34)),1,0))))</f>
        <v>0</v>
      </c>
      <c r="G103" s="0" t="n">
        <f aca="false">IF(OR(Kalemler!$A103="",Kalemler!$C103="",Kalemler!$D103=""),0,Kalemler!$C103*IF(Kalemler!$E103="Haftalık",IF(Kalemler!$D103&lt;=(Tahmin!$C$4+41),1,0),IF(Kalemler!$E103="Aylık",IF(OR(AND(DATE(YEAR((Tahmin!$C$4+35)),MONTH((Tahmin!$C$4+35)),MIN(DAY(Kalemler!$D103),DAY(EOMONTH((Tahmin!$C$4+35),0))))&gt;=(Tahmin!$C$4+35),DATE(YEAR((Tahmin!$C$4+35)),MONTH((Tahmin!$C$4+35)),MIN(DAY(Kalemler!$D103),DAY(EOMONTH((Tahmin!$C$4+35),0))))&lt;=(Tahmin!$C$4+41),DATE(YEAR((Tahmin!$C$4+35)),MONTH((Tahmin!$C$4+35)),MIN(DAY(Kalemler!$D103),DAY(EOMONTH((Tahmin!$C$4+35),0))))&gt;=Kalemler!$D103),AND(DATE(YEAR((Tahmin!$C$4+41)),MONTH((Tahmin!$C$4+41)),MIN(DAY(Kalemler!$D103),DAY(EOMONTH((Tahmin!$C$4+41),0))))&gt;=(Tahmin!$C$4+35),DATE(YEAR((Tahmin!$C$4+41)),MONTH((Tahmin!$C$4+41)),MIN(DAY(Kalemler!$D103),DAY(EOMONTH((Tahmin!$C$4+41),0))))&lt;=(Tahmin!$C$4+41),DATE(YEAR((Tahmin!$C$4+41)),MONTH((Tahmin!$C$4+41)),MIN(DAY(Kalemler!$D103),DAY(EOMONTH((Tahmin!$C$4+41),0))))&lt;&gt;DATE(YEAR((Tahmin!$C$4+35)),MONTH((Tahmin!$C$4+35)),MIN(DAY(Kalemler!$D103),DAY(EOMONTH((Tahmin!$C$4+35),0)))),DATE(YEAR((Tahmin!$C$4+41)),MONTH((Tahmin!$C$4+41)),MIN(DAY(Kalemler!$D103),DAY(EOMONTH((Tahmin!$C$4+41),0))))&gt;=Kalemler!$D103)),1,0),IF(AND(Kalemler!$D103&gt;=(Tahmin!$C$4+35),Kalemler!$D103&lt;=(Tahmin!$C$4+41)),1,0))))</f>
        <v>0</v>
      </c>
      <c r="H103" s="0" t="n">
        <f aca="false">IF(OR(Kalemler!$A103="",Kalemler!$C103="",Kalemler!$D103=""),0,Kalemler!$C103*IF(Kalemler!$E103="Haftalık",IF(Kalemler!$D103&lt;=(Tahmin!$C$4+48),1,0),IF(Kalemler!$E103="Aylık",IF(OR(AND(DATE(YEAR((Tahmin!$C$4+42)),MONTH((Tahmin!$C$4+42)),MIN(DAY(Kalemler!$D103),DAY(EOMONTH((Tahmin!$C$4+42),0))))&gt;=(Tahmin!$C$4+42),DATE(YEAR((Tahmin!$C$4+42)),MONTH((Tahmin!$C$4+42)),MIN(DAY(Kalemler!$D103),DAY(EOMONTH((Tahmin!$C$4+42),0))))&lt;=(Tahmin!$C$4+48),DATE(YEAR((Tahmin!$C$4+42)),MONTH((Tahmin!$C$4+42)),MIN(DAY(Kalemler!$D103),DAY(EOMONTH((Tahmin!$C$4+42),0))))&gt;=Kalemler!$D103),AND(DATE(YEAR((Tahmin!$C$4+48)),MONTH((Tahmin!$C$4+48)),MIN(DAY(Kalemler!$D103),DAY(EOMONTH((Tahmin!$C$4+48),0))))&gt;=(Tahmin!$C$4+42),DATE(YEAR((Tahmin!$C$4+48)),MONTH((Tahmin!$C$4+48)),MIN(DAY(Kalemler!$D103),DAY(EOMONTH((Tahmin!$C$4+48),0))))&lt;=(Tahmin!$C$4+48),DATE(YEAR((Tahmin!$C$4+48)),MONTH((Tahmin!$C$4+48)),MIN(DAY(Kalemler!$D103),DAY(EOMONTH((Tahmin!$C$4+48),0))))&lt;&gt;DATE(YEAR((Tahmin!$C$4+42)),MONTH((Tahmin!$C$4+42)),MIN(DAY(Kalemler!$D103),DAY(EOMONTH((Tahmin!$C$4+42),0)))),DATE(YEAR((Tahmin!$C$4+48)),MONTH((Tahmin!$C$4+48)),MIN(DAY(Kalemler!$D103),DAY(EOMONTH((Tahmin!$C$4+48),0))))&gt;=Kalemler!$D103)),1,0),IF(AND(Kalemler!$D103&gt;=(Tahmin!$C$4+42),Kalemler!$D103&lt;=(Tahmin!$C$4+48)),1,0))))</f>
        <v>0</v>
      </c>
      <c r="I103" s="0" t="n">
        <f aca="false">IF(OR(Kalemler!$A103="",Kalemler!$C103="",Kalemler!$D103=""),0,Kalemler!$C103*IF(Kalemler!$E103="Haftalık",IF(Kalemler!$D103&lt;=(Tahmin!$C$4+55),1,0),IF(Kalemler!$E103="Aylık",IF(OR(AND(DATE(YEAR((Tahmin!$C$4+49)),MONTH((Tahmin!$C$4+49)),MIN(DAY(Kalemler!$D103),DAY(EOMONTH((Tahmin!$C$4+49),0))))&gt;=(Tahmin!$C$4+49),DATE(YEAR((Tahmin!$C$4+49)),MONTH((Tahmin!$C$4+49)),MIN(DAY(Kalemler!$D103),DAY(EOMONTH((Tahmin!$C$4+49),0))))&lt;=(Tahmin!$C$4+55),DATE(YEAR((Tahmin!$C$4+49)),MONTH((Tahmin!$C$4+49)),MIN(DAY(Kalemler!$D103),DAY(EOMONTH((Tahmin!$C$4+49),0))))&gt;=Kalemler!$D103),AND(DATE(YEAR((Tahmin!$C$4+55)),MONTH((Tahmin!$C$4+55)),MIN(DAY(Kalemler!$D103),DAY(EOMONTH((Tahmin!$C$4+55),0))))&gt;=(Tahmin!$C$4+49),DATE(YEAR((Tahmin!$C$4+55)),MONTH((Tahmin!$C$4+55)),MIN(DAY(Kalemler!$D103),DAY(EOMONTH((Tahmin!$C$4+55),0))))&lt;=(Tahmin!$C$4+55),DATE(YEAR((Tahmin!$C$4+55)),MONTH((Tahmin!$C$4+55)),MIN(DAY(Kalemler!$D103),DAY(EOMONTH((Tahmin!$C$4+55),0))))&lt;&gt;DATE(YEAR((Tahmin!$C$4+49)),MONTH((Tahmin!$C$4+49)),MIN(DAY(Kalemler!$D103),DAY(EOMONTH((Tahmin!$C$4+49),0)))),DATE(YEAR((Tahmin!$C$4+55)),MONTH((Tahmin!$C$4+55)),MIN(DAY(Kalemler!$D103),DAY(EOMONTH((Tahmin!$C$4+55),0))))&gt;=Kalemler!$D103)),1,0),IF(AND(Kalemler!$D103&gt;=(Tahmin!$C$4+49),Kalemler!$D103&lt;=(Tahmin!$C$4+55)),1,0))))</f>
        <v>0</v>
      </c>
      <c r="J103" s="0" t="n">
        <f aca="false">IF(OR(Kalemler!$A103="",Kalemler!$C103="",Kalemler!$D103=""),0,Kalemler!$C103*IF(Kalemler!$E103="Haftalık",IF(Kalemler!$D103&lt;=(Tahmin!$C$4+62),1,0),IF(Kalemler!$E103="Aylık",IF(OR(AND(DATE(YEAR((Tahmin!$C$4+56)),MONTH((Tahmin!$C$4+56)),MIN(DAY(Kalemler!$D103),DAY(EOMONTH((Tahmin!$C$4+56),0))))&gt;=(Tahmin!$C$4+56),DATE(YEAR((Tahmin!$C$4+56)),MONTH((Tahmin!$C$4+56)),MIN(DAY(Kalemler!$D103),DAY(EOMONTH((Tahmin!$C$4+56),0))))&lt;=(Tahmin!$C$4+62),DATE(YEAR((Tahmin!$C$4+56)),MONTH((Tahmin!$C$4+56)),MIN(DAY(Kalemler!$D103),DAY(EOMONTH((Tahmin!$C$4+56),0))))&gt;=Kalemler!$D103),AND(DATE(YEAR((Tahmin!$C$4+62)),MONTH((Tahmin!$C$4+62)),MIN(DAY(Kalemler!$D103),DAY(EOMONTH((Tahmin!$C$4+62),0))))&gt;=(Tahmin!$C$4+56),DATE(YEAR((Tahmin!$C$4+62)),MONTH((Tahmin!$C$4+62)),MIN(DAY(Kalemler!$D103),DAY(EOMONTH((Tahmin!$C$4+62),0))))&lt;=(Tahmin!$C$4+62),DATE(YEAR((Tahmin!$C$4+62)),MONTH((Tahmin!$C$4+62)),MIN(DAY(Kalemler!$D103),DAY(EOMONTH((Tahmin!$C$4+62),0))))&lt;&gt;DATE(YEAR((Tahmin!$C$4+56)),MONTH((Tahmin!$C$4+56)),MIN(DAY(Kalemler!$D103),DAY(EOMONTH((Tahmin!$C$4+56),0)))),DATE(YEAR((Tahmin!$C$4+62)),MONTH((Tahmin!$C$4+62)),MIN(DAY(Kalemler!$D103),DAY(EOMONTH((Tahmin!$C$4+62),0))))&gt;=Kalemler!$D103)),1,0),IF(AND(Kalemler!$D103&gt;=(Tahmin!$C$4+56),Kalemler!$D103&lt;=(Tahmin!$C$4+62)),1,0))))</f>
        <v>0</v>
      </c>
      <c r="K103" s="0" t="n">
        <f aca="false">IF(OR(Kalemler!$A103="",Kalemler!$C103="",Kalemler!$D103=""),0,Kalemler!$C103*IF(Kalemler!$E103="Haftalık",IF(Kalemler!$D103&lt;=(Tahmin!$C$4+69),1,0),IF(Kalemler!$E103="Aylık",IF(OR(AND(DATE(YEAR((Tahmin!$C$4+63)),MONTH((Tahmin!$C$4+63)),MIN(DAY(Kalemler!$D103),DAY(EOMONTH((Tahmin!$C$4+63),0))))&gt;=(Tahmin!$C$4+63),DATE(YEAR((Tahmin!$C$4+63)),MONTH((Tahmin!$C$4+63)),MIN(DAY(Kalemler!$D103),DAY(EOMONTH((Tahmin!$C$4+63),0))))&lt;=(Tahmin!$C$4+69),DATE(YEAR((Tahmin!$C$4+63)),MONTH((Tahmin!$C$4+63)),MIN(DAY(Kalemler!$D103),DAY(EOMONTH((Tahmin!$C$4+63),0))))&gt;=Kalemler!$D103),AND(DATE(YEAR((Tahmin!$C$4+69)),MONTH((Tahmin!$C$4+69)),MIN(DAY(Kalemler!$D103),DAY(EOMONTH((Tahmin!$C$4+69),0))))&gt;=(Tahmin!$C$4+63),DATE(YEAR((Tahmin!$C$4+69)),MONTH((Tahmin!$C$4+69)),MIN(DAY(Kalemler!$D103),DAY(EOMONTH((Tahmin!$C$4+69),0))))&lt;=(Tahmin!$C$4+69),DATE(YEAR((Tahmin!$C$4+69)),MONTH((Tahmin!$C$4+69)),MIN(DAY(Kalemler!$D103),DAY(EOMONTH((Tahmin!$C$4+69),0))))&lt;&gt;DATE(YEAR((Tahmin!$C$4+63)),MONTH((Tahmin!$C$4+63)),MIN(DAY(Kalemler!$D103),DAY(EOMONTH((Tahmin!$C$4+63),0)))),DATE(YEAR((Tahmin!$C$4+69)),MONTH((Tahmin!$C$4+69)),MIN(DAY(Kalemler!$D103),DAY(EOMONTH((Tahmin!$C$4+69),0))))&gt;=Kalemler!$D103)),1,0),IF(AND(Kalemler!$D103&gt;=(Tahmin!$C$4+63),Kalemler!$D103&lt;=(Tahmin!$C$4+69)),1,0))))</f>
        <v>0</v>
      </c>
      <c r="L103" s="0" t="n">
        <f aca="false">IF(OR(Kalemler!$A103="",Kalemler!$C103="",Kalemler!$D103=""),0,Kalemler!$C103*IF(Kalemler!$E103="Haftalık",IF(Kalemler!$D103&lt;=(Tahmin!$C$4+76),1,0),IF(Kalemler!$E103="Aylık",IF(OR(AND(DATE(YEAR((Tahmin!$C$4+70)),MONTH((Tahmin!$C$4+70)),MIN(DAY(Kalemler!$D103),DAY(EOMONTH((Tahmin!$C$4+70),0))))&gt;=(Tahmin!$C$4+70),DATE(YEAR((Tahmin!$C$4+70)),MONTH((Tahmin!$C$4+70)),MIN(DAY(Kalemler!$D103),DAY(EOMONTH((Tahmin!$C$4+70),0))))&lt;=(Tahmin!$C$4+76),DATE(YEAR((Tahmin!$C$4+70)),MONTH((Tahmin!$C$4+70)),MIN(DAY(Kalemler!$D103),DAY(EOMONTH((Tahmin!$C$4+70),0))))&gt;=Kalemler!$D103),AND(DATE(YEAR((Tahmin!$C$4+76)),MONTH((Tahmin!$C$4+76)),MIN(DAY(Kalemler!$D103),DAY(EOMONTH((Tahmin!$C$4+76),0))))&gt;=(Tahmin!$C$4+70),DATE(YEAR((Tahmin!$C$4+76)),MONTH((Tahmin!$C$4+76)),MIN(DAY(Kalemler!$D103),DAY(EOMONTH((Tahmin!$C$4+76),0))))&lt;=(Tahmin!$C$4+76),DATE(YEAR((Tahmin!$C$4+76)),MONTH((Tahmin!$C$4+76)),MIN(DAY(Kalemler!$D103),DAY(EOMONTH((Tahmin!$C$4+76),0))))&lt;&gt;DATE(YEAR((Tahmin!$C$4+70)),MONTH((Tahmin!$C$4+70)),MIN(DAY(Kalemler!$D103),DAY(EOMONTH((Tahmin!$C$4+70),0)))),DATE(YEAR((Tahmin!$C$4+76)),MONTH((Tahmin!$C$4+76)),MIN(DAY(Kalemler!$D103),DAY(EOMONTH((Tahmin!$C$4+76),0))))&gt;=Kalemler!$D103)),1,0),IF(AND(Kalemler!$D103&gt;=(Tahmin!$C$4+70),Kalemler!$D103&lt;=(Tahmin!$C$4+76)),1,0))))</f>
        <v>0</v>
      </c>
      <c r="M103" s="0" t="n">
        <f aca="false">IF(OR(Kalemler!$A103="",Kalemler!$C103="",Kalemler!$D103=""),0,Kalemler!$C103*IF(Kalemler!$E103="Haftalık",IF(Kalemler!$D103&lt;=(Tahmin!$C$4+83),1,0),IF(Kalemler!$E103="Aylık",IF(OR(AND(DATE(YEAR((Tahmin!$C$4+77)),MONTH((Tahmin!$C$4+77)),MIN(DAY(Kalemler!$D103),DAY(EOMONTH((Tahmin!$C$4+77),0))))&gt;=(Tahmin!$C$4+77),DATE(YEAR((Tahmin!$C$4+77)),MONTH((Tahmin!$C$4+77)),MIN(DAY(Kalemler!$D103),DAY(EOMONTH((Tahmin!$C$4+77),0))))&lt;=(Tahmin!$C$4+83),DATE(YEAR((Tahmin!$C$4+77)),MONTH((Tahmin!$C$4+77)),MIN(DAY(Kalemler!$D103),DAY(EOMONTH((Tahmin!$C$4+77),0))))&gt;=Kalemler!$D103),AND(DATE(YEAR((Tahmin!$C$4+83)),MONTH((Tahmin!$C$4+83)),MIN(DAY(Kalemler!$D103),DAY(EOMONTH((Tahmin!$C$4+83),0))))&gt;=(Tahmin!$C$4+77),DATE(YEAR((Tahmin!$C$4+83)),MONTH((Tahmin!$C$4+83)),MIN(DAY(Kalemler!$D103),DAY(EOMONTH((Tahmin!$C$4+83),0))))&lt;=(Tahmin!$C$4+83),DATE(YEAR((Tahmin!$C$4+83)),MONTH((Tahmin!$C$4+83)),MIN(DAY(Kalemler!$D103),DAY(EOMONTH((Tahmin!$C$4+83),0))))&lt;&gt;DATE(YEAR((Tahmin!$C$4+77)),MONTH((Tahmin!$C$4+77)),MIN(DAY(Kalemler!$D103),DAY(EOMONTH((Tahmin!$C$4+77),0)))),DATE(YEAR((Tahmin!$C$4+83)),MONTH((Tahmin!$C$4+83)),MIN(DAY(Kalemler!$D103),DAY(EOMONTH((Tahmin!$C$4+83),0))))&gt;=Kalemler!$D103)),1,0),IF(AND(Kalemler!$D103&gt;=(Tahmin!$C$4+77),Kalemler!$D103&lt;=(Tahmin!$C$4+83)),1,0))))</f>
        <v>0</v>
      </c>
      <c r="N103" s="0" t="n">
        <f aca="false">IF(OR(Kalemler!$A103="",Kalemler!$C103="",Kalemler!$D103=""),0,Kalemler!$C103*IF(Kalemler!$E103="Haftalık",IF(Kalemler!$D103&lt;=(Tahmin!$C$4+90),1,0),IF(Kalemler!$E103="Aylık",IF(OR(AND(DATE(YEAR((Tahmin!$C$4+84)),MONTH((Tahmin!$C$4+84)),MIN(DAY(Kalemler!$D103),DAY(EOMONTH((Tahmin!$C$4+84),0))))&gt;=(Tahmin!$C$4+84),DATE(YEAR((Tahmin!$C$4+84)),MONTH((Tahmin!$C$4+84)),MIN(DAY(Kalemler!$D103),DAY(EOMONTH((Tahmin!$C$4+84),0))))&lt;=(Tahmin!$C$4+90),DATE(YEAR((Tahmin!$C$4+84)),MONTH((Tahmin!$C$4+84)),MIN(DAY(Kalemler!$D103),DAY(EOMONTH((Tahmin!$C$4+84),0))))&gt;=Kalemler!$D103),AND(DATE(YEAR((Tahmin!$C$4+90)),MONTH((Tahmin!$C$4+90)),MIN(DAY(Kalemler!$D103),DAY(EOMONTH((Tahmin!$C$4+90),0))))&gt;=(Tahmin!$C$4+84),DATE(YEAR((Tahmin!$C$4+90)),MONTH((Tahmin!$C$4+90)),MIN(DAY(Kalemler!$D103),DAY(EOMONTH((Tahmin!$C$4+90),0))))&lt;=(Tahmin!$C$4+90),DATE(YEAR((Tahmin!$C$4+90)),MONTH((Tahmin!$C$4+90)),MIN(DAY(Kalemler!$D103),DAY(EOMONTH((Tahmin!$C$4+90),0))))&lt;&gt;DATE(YEAR((Tahmin!$C$4+84)),MONTH((Tahmin!$C$4+84)),MIN(DAY(Kalemler!$D103),DAY(EOMONTH((Tahmin!$C$4+84),0)))),DATE(YEAR((Tahmin!$C$4+90)),MONTH((Tahmin!$C$4+90)),MIN(DAY(Kalemler!$D103),DAY(EOMONTH((Tahmin!$C$4+90),0))))&gt;=Kalemler!$D103)),1,0),IF(AND(Kalemler!$D103&gt;=(Tahmin!$C$4+84),Kalemler!$D103&lt;=(Tahmin!$C$4+90)),1,0))))</f>
        <v>0</v>
      </c>
    </row>
    <row r="104" customFormat="false" ht="15" hidden="false" customHeight="false" outlineLevel="0" collapsed="false">
      <c r="A104" s="0" t="str">
        <f aca="false">IF(Kalemler!A104="","",Kalemler!A104)</f>
        <v/>
      </c>
      <c r="B104" s="0" t="n">
        <f aca="false">IF(OR(Kalemler!$A104="",Kalemler!$C104="",Kalemler!$D104=""),0,Kalemler!$C104*IF(Kalemler!$E104="Haftalık",IF(Kalemler!$D104&lt;=(Tahmin!$C$4+6),1,0),IF(Kalemler!$E104="Aylık",IF(OR(AND(DATE(YEAR((Tahmin!$C$4+0)),MONTH((Tahmin!$C$4+0)),MIN(DAY(Kalemler!$D104),DAY(EOMONTH((Tahmin!$C$4+0),0))))&gt;=(Tahmin!$C$4+0),DATE(YEAR((Tahmin!$C$4+0)),MONTH((Tahmin!$C$4+0)),MIN(DAY(Kalemler!$D104),DAY(EOMONTH((Tahmin!$C$4+0),0))))&lt;=(Tahmin!$C$4+6),DATE(YEAR((Tahmin!$C$4+0)),MONTH((Tahmin!$C$4+0)),MIN(DAY(Kalemler!$D104),DAY(EOMONTH((Tahmin!$C$4+0),0))))&gt;=Kalemler!$D104),AND(DATE(YEAR((Tahmin!$C$4+6)),MONTH((Tahmin!$C$4+6)),MIN(DAY(Kalemler!$D104),DAY(EOMONTH((Tahmin!$C$4+6),0))))&gt;=(Tahmin!$C$4+0),DATE(YEAR((Tahmin!$C$4+6)),MONTH((Tahmin!$C$4+6)),MIN(DAY(Kalemler!$D104),DAY(EOMONTH((Tahmin!$C$4+6),0))))&lt;=(Tahmin!$C$4+6),DATE(YEAR((Tahmin!$C$4+6)),MONTH((Tahmin!$C$4+6)),MIN(DAY(Kalemler!$D104),DAY(EOMONTH((Tahmin!$C$4+6),0))))&lt;&gt;DATE(YEAR((Tahmin!$C$4+0)),MONTH((Tahmin!$C$4+0)),MIN(DAY(Kalemler!$D104),DAY(EOMONTH((Tahmin!$C$4+0),0)))),DATE(YEAR((Tahmin!$C$4+6)),MONTH((Tahmin!$C$4+6)),MIN(DAY(Kalemler!$D104),DAY(EOMONTH((Tahmin!$C$4+6),0))))&gt;=Kalemler!$D104)),1,0),IF(AND(Kalemler!$D104&gt;=(Tahmin!$C$4+0),Kalemler!$D104&lt;=(Tahmin!$C$4+6)),1,0))))</f>
        <v>0</v>
      </c>
      <c r="C104" s="0" t="n">
        <f aca="false">IF(OR(Kalemler!$A104="",Kalemler!$C104="",Kalemler!$D104=""),0,Kalemler!$C104*IF(Kalemler!$E104="Haftalık",IF(Kalemler!$D104&lt;=(Tahmin!$C$4+13),1,0),IF(Kalemler!$E104="Aylık",IF(OR(AND(DATE(YEAR((Tahmin!$C$4+7)),MONTH((Tahmin!$C$4+7)),MIN(DAY(Kalemler!$D104),DAY(EOMONTH((Tahmin!$C$4+7),0))))&gt;=(Tahmin!$C$4+7),DATE(YEAR((Tahmin!$C$4+7)),MONTH((Tahmin!$C$4+7)),MIN(DAY(Kalemler!$D104),DAY(EOMONTH((Tahmin!$C$4+7),0))))&lt;=(Tahmin!$C$4+13),DATE(YEAR((Tahmin!$C$4+7)),MONTH((Tahmin!$C$4+7)),MIN(DAY(Kalemler!$D104),DAY(EOMONTH((Tahmin!$C$4+7),0))))&gt;=Kalemler!$D104),AND(DATE(YEAR((Tahmin!$C$4+13)),MONTH((Tahmin!$C$4+13)),MIN(DAY(Kalemler!$D104),DAY(EOMONTH((Tahmin!$C$4+13),0))))&gt;=(Tahmin!$C$4+7),DATE(YEAR((Tahmin!$C$4+13)),MONTH((Tahmin!$C$4+13)),MIN(DAY(Kalemler!$D104),DAY(EOMONTH((Tahmin!$C$4+13),0))))&lt;=(Tahmin!$C$4+13),DATE(YEAR((Tahmin!$C$4+13)),MONTH((Tahmin!$C$4+13)),MIN(DAY(Kalemler!$D104),DAY(EOMONTH((Tahmin!$C$4+13),0))))&lt;&gt;DATE(YEAR((Tahmin!$C$4+7)),MONTH((Tahmin!$C$4+7)),MIN(DAY(Kalemler!$D104),DAY(EOMONTH((Tahmin!$C$4+7),0)))),DATE(YEAR((Tahmin!$C$4+13)),MONTH((Tahmin!$C$4+13)),MIN(DAY(Kalemler!$D104),DAY(EOMONTH((Tahmin!$C$4+13),0))))&gt;=Kalemler!$D104)),1,0),IF(AND(Kalemler!$D104&gt;=(Tahmin!$C$4+7),Kalemler!$D104&lt;=(Tahmin!$C$4+13)),1,0))))</f>
        <v>0</v>
      </c>
      <c r="D104" s="0" t="n">
        <f aca="false">IF(OR(Kalemler!$A104="",Kalemler!$C104="",Kalemler!$D104=""),0,Kalemler!$C104*IF(Kalemler!$E104="Haftalık",IF(Kalemler!$D104&lt;=(Tahmin!$C$4+20),1,0),IF(Kalemler!$E104="Aylık",IF(OR(AND(DATE(YEAR((Tahmin!$C$4+14)),MONTH((Tahmin!$C$4+14)),MIN(DAY(Kalemler!$D104),DAY(EOMONTH((Tahmin!$C$4+14),0))))&gt;=(Tahmin!$C$4+14),DATE(YEAR((Tahmin!$C$4+14)),MONTH((Tahmin!$C$4+14)),MIN(DAY(Kalemler!$D104),DAY(EOMONTH((Tahmin!$C$4+14),0))))&lt;=(Tahmin!$C$4+20),DATE(YEAR((Tahmin!$C$4+14)),MONTH((Tahmin!$C$4+14)),MIN(DAY(Kalemler!$D104),DAY(EOMONTH((Tahmin!$C$4+14),0))))&gt;=Kalemler!$D104),AND(DATE(YEAR((Tahmin!$C$4+20)),MONTH((Tahmin!$C$4+20)),MIN(DAY(Kalemler!$D104),DAY(EOMONTH((Tahmin!$C$4+20),0))))&gt;=(Tahmin!$C$4+14),DATE(YEAR((Tahmin!$C$4+20)),MONTH((Tahmin!$C$4+20)),MIN(DAY(Kalemler!$D104),DAY(EOMONTH((Tahmin!$C$4+20),0))))&lt;=(Tahmin!$C$4+20),DATE(YEAR((Tahmin!$C$4+20)),MONTH((Tahmin!$C$4+20)),MIN(DAY(Kalemler!$D104),DAY(EOMONTH((Tahmin!$C$4+20),0))))&lt;&gt;DATE(YEAR((Tahmin!$C$4+14)),MONTH((Tahmin!$C$4+14)),MIN(DAY(Kalemler!$D104),DAY(EOMONTH((Tahmin!$C$4+14),0)))),DATE(YEAR((Tahmin!$C$4+20)),MONTH((Tahmin!$C$4+20)),MIN(DAY(Kalemler!$D104),DAY(EOMONTH((Tahmin!$C$4+20),0))))&gt;=Kalemler!$D104)),1,0),IF(AND(Kalemler!$D104&gt;=(Tahmin!$C$4+14),Kalemler!$D104&lt;=(Tahmin!$C$4+20)),1,0))))</f>
        <v>0</v>
      </c>
      <c r="E104" s="0" t="n">
        <f aca="false">IF(OR(Kalemler!$A104="",Kalemler!$C104="",Kalemler!$D104=""),0,Kalemler!$C104*IF(Kalemler!$E104="Haftalık",IF(Kalemler!$D104&lt;=(Tahmin!$C$4+27),1,0),IF(Kalemler!$E104="Aylık",IF(OR(AND(DATE(YEAR((Tahmin!$C$4+21)),MONTH((Tahmin!$C$4+21)),MIN(DAY(Kalemler!$D104),DAY(EOMONTH((Tahmin!$C$4+21),0))))&gt;=(Tahmin!$C$4+21),DATE(YEAR((Tahmin!$C$4+21)),MONTH((Tahmin!$C$4+21)),MIN(DAY(Kalemler!$D104),DAY(EOMONTH((Tahmin!$C$4+21),0))))&lt;=(Tahmin!$C$4+27),DATE(YEAR((Tahmin!$C$4+21)),MONTH((Tahmin!$C$4+21)),MIN(DAY(Kalemler!$D104),DAY(EOMONTH((Tahmin!$C$4+21),0))))&gt;=Kalemler!$D104),AND(DATE(YEAR((Tahmin!$C$4+27)),MONTH((Tahmin!$C$4+27)),MIN(DAY(Kalemler!$D104),DAY(EOMONTH((Tahmin!$C$4+27),0))))&gt;=(Tahmin!$C$4+21),DATE(YEAR((Tahmin!$C$4+27)),MONTH((Tahmin!$C$4+27)),MIN(DAY(Kalemler!$D104),DAY(EOMONTH((Tahmin!$C$4+27),0))))&lt;=(Tahmin!$C$4+27),DATE(YEAR((Tahmin!$C$4+27)),MONTH((Tahmin!$C$4+27)),MIN(DAY(Kalemler!$D104),DAY(EOMONTH((Tahmin!$C$4+27),0))))&lt;&gt;DATE(YEAR((Tahmin!$C$4+21)),MONTH((Tahmin!$C$4+21)),MIN(DAY(Kalemler!$D104),DAY(EOMONTH((Tahmin!$C$4+21),0)))),DATE(YEAR((Tahmin!$C$4+27)),MONTH((Tahmin!$C$4+27)),MIN(DAY(Kalemler!$D104),DAY(EOMONTH((Tahmin!$C$4+27),0))))&gt;=Kalemler!$D104)),1,0),IF(AND(Kalemler!$D104&gt;=(Tahmin!$C$4+21),Kalemler!$D104&lt;=(Tahmin!$C$4+27)),1,0))))</f>
        <v>0</v>
      </c>
      <c r="F104" s="0" t="n">
        <f aca="false">IF(OR(Kalemler!$A104="",Kalemler!$C104="",Kalemler!$D104=""),0,Kalemler!$C104*IF(Kalemler!$E104="Haftalık",IF(Kalemler!$D104&lt;=(Tahmin!$C$4+34),1,0),IF(Kalemler!$E104="Aylık",IF(OR(AND(DATE(YEAR((Tahmin!$C$4+28)),MONTH((Tahmin!$C$4+28)),MIN(DAY(Kalemler!$D104),DAY(EOMONTH((Tahmin!$C$4+28),0))))&gt;=(Tahmin!$C$4+28),DATE(YEAR((Tahmin!$C$4+28)),MONTH((Tahmin!$C$4+28)),MIN(DAY(Kalemler!$D104),DAY(EOMONTH((Tahmin!$C$4+28),0))))&lt;=(Tahmin!$C$4+34),DATE(YEAR((Tahmin!$C$4+28)),MONTH((Tahmin!$C$4+28)),MIN(DAY(Kalemler!$D104),DAY(EOMONTH((Tahmin!$C$4+28),0))))&gt;=Kalemler!$D104),AND(DATE(YEAR((Tahmin!$C$4+34)),MONTH((Tahmin!$C$4+34)),MIN(DAY(Kalemler!$D104),DAY(EOMONTH((Tahmin!$C$4+34),0))))&gt;=(Tahmin!$C$4+28),DATE(YEAR((Tahmin!$C$4+34)),MONTH((Tahmin!$C$4+34)),MIN(DAY(Kalemler!$D104),DAY(EOMONTH((Tahmin!$C$4+34),0))))&lt;=(Tahmin!$C$4+34),DATE(YEAR((Tahmin!$C$4+34)),MONTH((Tahmin!$C$4+34)),MIN(DAY(Kalemler!$D104),DAY(EOMONTH((Tahmin!$C$4+34),0))))&lt;&gt;DATE(YEAR((Tahmin!$C$4+28)),MONTH((Tahmin!$C$4+28)),MIN(DAY(Kalemler!$D104),DAY(EOMONTH((Tahmin!$C$4+28),0)))),DATE(YEAR((Tahmin!$C$4+34)),MONTH((Tahmin!$C$4+34)),MIN(DAY(Kalemler!$D104),DAY(EOMONTH((Tahmin!$C$4+34),0))))&gt;=Kalemler!$D104)),1,0),IF(AND(Kalemler!$D104&gt;=(Tahmin!$C$4+28),Kalemler!$D104&lt;=(Tahmin!$C$4+34)),1,0))))</f>
        <v>0</v>
      </c>
      <c r="G104" s="0" t="n">
        <f aca="false">IF(OR(Kalemler!$A104="",Kalemler!$C104="",Kalemler!$D104=""),0,Kalemler!$C104*IF(Kalemler!$E104="Haftalık",IF(Kalemler!$D104&lt;=(Tahmin!$C$4+41),1,0),IF(Kalemler!$E104="Aylık",IF(OR(AND(DATE(YEAR((Tahmin!$C$4+35)),MONTH((Tahmin!$C$4+35)),MIN(DAY(Kalemler!$D104),DAY(EOMONTH((Tahmin!$C$4+35),0))))&gt;=(Tahmin!$C$4+35),DATE(YEAR((Tahmin!$C$4+35)),MONTH((Tahmin!$C$4+35)),MIN(DAY(Kalemler!$D104),DAY(EOMONTH((Tahmin!$C$4+35),0))))&lt;=(Tahmin!$C$4+41),DATE(YEAR((Tahmin!$C$4+35)),MONTH((Tahmin!$C$4+35)),MIN(DAY(Kalemler!$D104),DAY(EOMONTH((Tahmin!$C$4+35),0))))&gt;=Kalemler!$D104),AND(DATE(YEAR((Tahmin!$C$4+41)),MONTH((Tahmin!$C$4+41)),MIN(DAY(Kalemler!$D104),DAY(EOMONTH((Tahmin!$C$4+41),0))))&gt;=(Tahmin!$C$4+35),DATE(YEAR((Tahmin!$C$4+41)),MONTH((Tahmin!$C$4+41)),MIN(DAY(Kalemler!$D104),DAY(EOMONTH((Tahmin!$C$4+41),0))))&lt;=(Tahmin!$C$4+41),DATE(YEAR((Tahmin!$C$4+41)),MONTH((Tahmin!$C$4+41)),MIN(DAY(Kalemler!$D104),DAY(EOMONTH((Tahmin!$C$4+41),0))))&lt;&gt;DATE(YEAR((Tahmin!$C$4+35)),MONTH((Tahmin!$C$4+35)),MIN(DAY(Kalemler!$D104),DAY(EOMONTH((Tahmin!$C$4+35),0)))),DATE(YEAR((Tahmin!$C$4+41)),MONTH((Tahmin!$C$4+41)),MIN(DAY(Kalemler!$D104),DAY(EOMONTH((Tahmin!$C$4+41),0))))&gt;=Kalemler!$D104)),1,0),IF(AND(Kalemler!$D104&gt;=(Tahmin!$C$4+35),Kalemler!$D104&lt;=(Tahmin!$C$4+41)),1,0))))</f>
        <v>0</v>
      </c>
      <c r="H104" s="0" t="n">
        <f aca="false">IF(OR(Kalemler!$A104="",Kalemler!$C104="",Kalemler!$D104=""),0,Kalemler!$C104*IF(Kalemler!$E104="Haftalık",IF(Kalemler!$D104&lt;=(Tahmin!$C$4+48),1,0),IF(Kalemler!$E104="Aylık",IF(OR(AND(DATE(YEAR((Tahmin!$C$4+42)),MONTH((Tahmin!$C$4+42)),MIN(DAY(Kalemler!$D104),DAY(EOMONTH((Tahmin!$C$4+42),0))))&gt;=(Tahmin!$C$4+42),DATE(YEAR((Tahmin!$C$4+42)),MONTH((Tahmin!$C$4+42)),MIN(DAY(Kalemler!$D104),DAY(EOMONTH((Tahmin!$C$4+42),0))))&lt;=(Tahmin!$C$4+48),DATE(YEAR((Tahmin!$C$4+42)),MONTH((Tahmin!$C$4+42)),MIN(DAY(Kalemler!$D104),DAY(EOMONTH((Tahmin!$C$4+42),0))))&gt;=Kalemler!$D104),AND(DATE(YEAR((Tahmin!$C$4+48)),MONTH((Tahmin!$C$4+48)),MIN(DAY(Kalemler!$D104),DAY(EOMONTH((Tahmin!$C$4+48),0))))&gt;=(Tahmin!$C$4+42),DATE(YEAR((Tahmin!$C$4+48)),MONTH((Tahmin!$C$4+48)),MIN(DAY(Kalemler!$D104),DAY(EOMONTH((Tahmin!$C$4+48),0))))&lt;=(Tahmin!$C$4+48),DATE(YEAR((Tahmin!$C$4+48)),MONTH((Tahmin!$C$4+48)),MIN(DAY(Kalemler!$D104),DAY(EOMONTH((Tahmin!$C$4+48),0))))&lt;&gt;DATE(YEAR((Tahmin!$C$4+42)),MONTH((Tahmin!$C$4+42)),MIN(DAY(Kalemler!$D104),DAY(EOMONTH((Tahmin!$C$4+42),0)))),DATE(YEAR((Tahmin!$C$4+48)),MONTH((Tahmin!$C$4+48)),MIN(DAY(Kalemler!$D104),DAY(EOMONTH((Tahmin!$C$4+48),0))))&gt;=Kalemler!$D104)),1,0),IF(AND(Kalemler!$D104&gt;=(Tahmin!$C$4+42),Kalemler!$D104&lt;=(Tahmin!$C$4+48)),1,0))))</f>
        <v>0</v>
      </c>
      <c r="I104" s="0" t="n">
        <f aca="false">IF(OR(Kalemler!$A104="",Kalemler!$C104="",Kalemler!$D104=""),0,Kalemler!$C104*IF(Kalemler!$E104="Haftalık",IF(Kalemler!$D104&lt;=(Tahmin!$C$4+55),1,0),IF(Kalemler!$E104="Aylık",IF(OR(AND(DATE(YEAR((Tahmin!$C$4+49)),MONTH((Tahmin!$C$4+49)),MIN(DAY(Kalemler!$D104),DAY(EOMONTH((Tahmin!$C$4+49),0))))&gt;=(Tahmin!$C$4+49),DATE(YEAR((Tahmin!$C$4+49)),MONTH((Tahmin!$C$4+49)),MIN(DAY(Kalemler!$D104),DAY(EOMONTH((Tahmin!$C$4+49),0))))&lt;=(Tahmin!$C$4+55),DATE(YEAR((Tahmin!$C$4+49)),MONTH((Tahmin!$C$4+49)),MIN(DAY(Kalemler!$D104),DAY(EOMONTH((Tahmin!$C$4+49),0))))&gt;=Kalemler!$D104),AND(DATE(YEAR((Tahmin!$C$4+55)),MONTH((Tahmin!$C$4+55)),MIN(DAY(Kalemler!$D104),DAY(EOMONTH((Tahmin!$C$4+55),0))))&gt;=(Tahmin!$C$4+49),DATE(YEAR((Tahmin!$C$4+55)),MONTH((Tahmin!$C$4+55)),MIN(DAY(Kalemler!$D104),DAY(EOMONTH((Tahmin!$C$4+55),0))))&lt;=(Tahmin!$C$4+55),DATE(YEAR((Tahmin!$C$4+55)),MONTH((Tahmin!$C$4+55)),MIN(DAY(Kalemler!$D104),DAY(EOMONTH((Tahmin!$C$4+55),0))))&lt;&gt;DATE(YEAR((Tahmin!$C$4+49)),MONTH((Tahmin!$C$4+49)),MIN(DAY(Kalemler!$D104),DAY(EOMONTH((Tahmin!$C$4+49),0)))),DATE(YEAR((Tahmin!$C$4+55)),MONTH((Tahmin!$C$4+55)),MIN(DAY(Kalemler!$D104),DAY(EOMONTH((Tahmin!$C$4+55),0))))&gt;=Kalemler!$D104)),1,0),IF(AND(Kalemler!$D104&gt;=(Tahmin!$C$4+49),Kalemler!$D104&lt;=(Tahmin!$C$4+55)),1,0))))</f>
        <v>0</v>
      </c>
      <c r="J104" s="0" t="n">
        <f aca="false">IF(OR(Kalemler!$A104="",Kalemler!$C104="",Kalemler!$D104=""),0,Kalemler!$C104*IF(Kalemler!$E104="Haftalık",IF(Kalemler!$D104&lt;=(Tahmin!$C$4+62),1,0),IF(Kalemler!$E104="Aylık",IF(OR(AND(DATE(YEAR((Tahmin!$C$4+56)),MONTH((Tahmin!$C$4+56)),MIN(DAY(Kalemler!$D104),DAY(EOMONTH((Tahmin!$C$4+56),0))))&gt;=(Tahmin!$C$4+56),DATE(YEAR((Tahmin!$C$4+56)),MONTH((Tahmin!$C$4+56)),MIN(DAY(Kalemler!$D104),DAY(EOMONTH((Tahmin!$C$4+56),0))))&lt;=(Tahmin!$C$4+62),DATE(YEAR((Tahmin!$C$4+56)),MONTH((Tahmin!$C$4+56)),MIN(DAY(Kalemler!$D104),DAY(EOMONTH((Tahmin!$C$4+56),0))))&gt;=Kalemler!$D104),AND(DATE(YEAR((Tahmin!$C$4+62)),MONTH((Tahmin!$C$4+62)),MIN(DAY(Kalemler!$D104),DAY(EOMONTH((Tahmin!$C$4+62),0))))&gt;=(Tahmin!$C$4+56),DATE(YEAR((Tahmin!$C$4+62)),MONTH((Tahmin!$C$4+62)),MIN(DAY(Kalemler!$D104),DAY(EOMONTH((Tahmin!$C$4+62),0))))&lt;=(Tahmin!$C$4+62),DATE(YEAR((Tahmin!$C$4+62)),MONTH((Tahmin!$C$4+62)),MIN(DAY(Kalemler!$D104),DAY(EOMONTH((Tahmin!$C$4+62),0))))&lt;&gt;DATE(YEAR((Tahmin!$C$4+56)),MONTH((Tahmin!$C$4+56)),MIN(DAY(Kalemler!$D104),DAY(EOMONTH((Tahmin!$C$4+56),0)))),DATE(YEAR((Tahmin!$C$4+62)),MONTH((Tahmin!$C$4+62)),MIN(DAY(Kalemler!$D104),DAY(EOMONTH((Tahmin!$C$4+62),0))))&gt;=Kalemler!$D104)),1,0),IF(AND(Kalemler!$D104&gt;=(Tahmin!$C$4+56),Kalemler!$D104&lt;=(Tahmin!$C$4+62)),1,0))))</f>
        <v>0</v>
      </c>
      <c r="K104" s="0" t="n">
        <f aca="false">IF(OR(Kalemler!$A104="",Kalemler!$C104="",Kalemler!$D104=""),0,Kalemler!$C104*IF(Kalemler!$E104="Haftalık",IF(Kalemler!$D104&lt;=(Tahmin!$C$4+69),1,0),IF(Kalemler!$E104="Aylık",IF(OR(AND(DATE(YEAR((Tahmin!$C$4+63)),MONTH((Tahmin!$C$4+63)),MIN(DAY(Kalemler!$D104),DAY(EOMONTH((Tahmin!$C$4+63),0))))&gt;=(Tahmin!$C$4+63),DATE(YEAR((Tahmin!$C$4+63)),MONTH((Tahmin!$C$4+63)),MIN(DAY(Kalemler!$D104),DAY(EOMONTH((Tahmin!$C$4+63),0))))&lt;=(Tahmin!$C$4+69),DATE(YEAR((Tahmin!$C$4+63)),MONTH((Tahmin!$C$4+63)),MIN(DAY(Kalemler!$D104),DAY(EOMONTH((Tahmin!$C$4+63),0))))&gt;=Kalemler!$D104),AND(DATE(YEAR((Tahmin!$C$4+69)),MONTH((Tahmin!$C$4+69)),MIN(DAY(Kalemler!$D104),DAY(EOMONTH((Tahmin!$C$4+69),0))))&gt;=(Tahmin!$C$4+63),DATE(YEAR((Tahmin!$C$4+69)),MONTH((Tahmin!$C$4+69)),MIN(DAY(Kalemler!$D104),DAY(EOMONTH((Tahmin!$C$4+69),0))))&lt;=(Tahmin!$C$4+69),DATE(YEAR((Tahmin!$C$4+69)),MONTH((Tahmin!$C$4+69)),MIN(DAY(Kalemler!$D104),DAY(EOMONTH((Tahmin!$C$4+69),0))))&lt;&gt;DATE(YEAR((Tahmin!$C$4+63)),MONTH((Tahmin!$C$4+63)),MIN(DAY(Kalemler!$D104),DAY(EOMONTH((Tahmin!$C$4+63),0)))),DATE(YEAR((Tahmin!$C$4+69)),MONTH((Tahmin!$C$4+69)),MIN(DAY(Kalemler!$D104),DAY(EOMONTH((Tahmin!$C$4+69),0))))&gt;=Kalemler!$D104)),1,0),IF(AND(Kalemler!$D104&gt;=(Tahmin!$C$4+63),Kalemler!$D104&lt;=(Tahmin!$C$4+69)),1,0))))</f>
        <v>0</v>
      </c>
      <c r="L104" s="0" t="n">
        <f aca="false">IF(OR(Kalemler!$A104="",Kalemler!$C104="",Kalemler!$D104=""),0,Kalemler!$C104*IF(Kalemler!$E104="Haftalık",IF(Kalemler!$D104&lt;=(Tahmin!$C$4+76),1,0),IF(Kalemler!$E104="Aylık",IF(OR(AND(DATE(YEAR((Tahmin!$C$4+70)),MONTH((Tahmin!$C$4+70)),MIN(DAY(Kalemler!$D104),DAY(EOMONTH((Tahmin!$C$4+70),0))))&gt;=(Tahmin!$C$4+70),DATE(YEAR((Tahmin!$C$4+70)),MONTH((Tahmin!$C$4+70)),MIN(DAY(Kalemler!$D104),DAY(EOMONTH((Tahmin!$C$4+70),0))))&lt;=(Tahmin!$C$4+76),DATE(YEAR((Tahmin!$C$4+70)),MONTH((Tahmin!$C$4+70)),MIN(DAY(Kalemler!$D104),DAY(EOMONTH((Tahmin!$C$4+70),0))))&gt;=Kalemler!$D104),AND(DATE(YEAR((Tahmin!$C$4+76)),MONTH((Tahmin!$C$4+76)),MIN(DAY(Kalemler!$D104),DAY(EOMONTH((Tahmin!$C$4+76),0))))&gt;=(Tahmin!$C$4+70),DATE(YEAR((Tahmin!$C$4+76)),MONTH((Tahmin!$C$4+76)),MIN(DAY(Kalemler!$D104),DAY(EOMONTH((Tahmin!$C$4+76),0))))&lt;=(Tahmin!$C$4+76),DATE(YEAR((Tahmin!$C$4+76)),MONTH((Tahmin!$C$4+76)),MIN(DAY(Kalemler!$D104),DAY(EOMONTH((Tahmin!$C$4+76),0))))&lt;&gt;DATE(YEAR((Tahmin!$C$4+70)),MONTH((Tahmin!$C$4+70)),MIN(DAY(Kalemler!$D104),DAY(EOMONTH((Tahmin!$C$4+70),0)))),DATE(YEAR((Tahmin!$C$4+76)),MONTH((Tahmin!$C$4+76)),MIN(DAY(Kalemler!$D104),DAY(EOMONTH((Tahmin!$C$4+76),0))))&gt;=Kalemler!$D104)),1,0),IF(AND(Kalemler!$D104&gt;=(Tahmin!$C$4+70),Kalemler!$D104&lt;=(Tahmin!$C$4+76)),1,0))))</f>
        <v>0</v>
      </c>
      <c r="M104" s="0" t="n">
        <f aca="false">IF(OR(Kalemler!$A104="",Kalemler!$C104="",Kalemler!$D104=""),0,Kalemler!$C104*IF(Kalemler!$E104="Haftalık",IF(Kalemler!$D104&lt;=(Tahmin!$C$4+83),1,0),IF(Kalemler!$E104="Aylık",IF(OR(AND(DATE(YEAR((Tahmin!$C$4+77)),MONTH((Tahmin!$C$4+77)),MIN(DAY(Kalemler!$D104),DAY(EOMONTH((Tahmin!$C$4+77),0))))&gt;=(Tahmin!$C$4+77),DATE(YEAR((Tahmin!$C$4+77)),MONTH((Tahmin!$C$4+77)),MIN(DAY(Kalemler!$D104),DAY(EOMONTH((Tahmin!$C$4+77),0))))&lt;=(Tahmin!$C$4+83),DATE(YEAR((Tahmin!$C$4+77)),MONTH((Tahmin!$C$4+77)),MIN(DAY(Kalemler!$D104),DAY(EOMONTH((Tahmin!$C$4+77),0))))&gt;=Kalemler!$D104),AND(DATE(YEAR((Tahmin!$C$4+83)),MONTH((Tahmin!$C$4+83)),MIN(DAY(Kalemler!$D104),DAY(EOMONTH((Tahmin!$C$4+83),0))))&gt;=(Tahmin!$C$4+77),DATE(YEAR((Tahmin!$C$4+83)),MONTH((Tahmin!$C$4+83)),MIN(DAY(Kalemler!$D104),DAY(EOMONTH((Tahmin!$C$4+83),0))))&lt;=(Tahmin!$C$4+83),DATE(YEAR((Tahmin!$C$4+83)),MONTH((Tahmin!$C$4+83)),MIN(DAY(Kalemler!$D104),DAY(EOMONTH((Tahmin!$C$4+83),0))))&lt;&gt;DATE(YEAR((Tahmin!$C$4+77)),MONTH((Tahmin!$C$4+77)),MIN(DAY(Kalemler!$D104),DAY(EOMONTH((Tahmin!$C$4+77),0)))),DATE(YEAR((Tahmin!$C$4+83)),MONTH((Tahmin!$C$4+83)),MIN(DAY(Kalemler!$D104),DAY(EOMONTH((Tahmin!$C$4+83),0))))&gt;=Kalemler!$D104)),1,0),IF(AND(Kalemler!$D104&gt;=(Tahmin!$C$4+77),Kalemler!$D104&lt;=(Tahmin!$C$4+83)),1,0))))</f>
        <v>0</v>
      </c>
      <c r="N104" s="0" t="n">
        <f aca="false">IF(OR(Kalemler!$A104="",Kalemler!$C104="",Kalemler!$D104=""),0,Kalemler!$C104*IF(Kalemler!$E104="Haftalık",IF(Kalemler!$D104&lt;=(Tahmin!$C$4+90),1,0),IF(Kalemler!$E104="Aylık",IF(OR(AND(DATE(YEAR((Tahmin!$C$4+84)),MONTH((Tahmin!$C$4+84)),MIN(DAY(Kalemler!$D104),DAY(EOMONTH((Tahmin!$C$4+84),0))))&gt;=(Tahmin!$C$4+84),DATE(YEAR((Tahmin!$C$4+84)),MONTH((Tahmin!$C$4+84)),MIN(DAY(Kalemler!$D104),DAY(EOMONTH((Tahmin!$C$4+84),0))))&lt;=(Tahmin!$C$4+90),DATE(YEAR((Tahmin!$C$4+84)),MONTH((Tahmin!$C$4+84)),MIN(DAY(Kalemler!$D104),DAY(EOMONTH((Tahmin!$C$4+84),0))))&gt;=Kalemler!$D104),AND(DATE(YEAR((Tahmin!$C$4+90)),MONTH((Tahmin!$C$4+90)),MIN(DAY(Kalemler!$D104),DAY(EOMONTH((Tahmin!$C$4+90),0))))&gt;=(Tahmin!$C$4+84),DATE(YEAR((Tahmin!$C$4+90)),MONTH((Tahmin!$C$4+90)),MIN(DAY(Kalemler!$D104),DAY(EOMONTH((Tahmin!$C$4+90),0))))&lt;=(Tahmin!$C$4+90),DATE(YEAR((Tahmin!$C$4+90)),MONTH((Tahmin!$C$4+90)),MIN(DAY(Kalemler!$D104),DAY(EOMONTH((Tahmin!$C$4+90),0))))&lt;&gt;DATE(YEAR((Tahmin!$C$4+84)),MONTH((Tahmin!$C$4+84)),MIN(DAY(Kalemler!$D104),DAY(EOMONTH((Tahmin!$C$4+84),0)))),DATE(YEAR((Tahmin!$C$4+90)),MONTH((Tahmin!$C$4+90)),MIN(DAY(Kalemler!$D104),DAY(EOMONTH((Tahmin!$C$4+90),0))))&gt;=Kalemler!$D104)),1,0),IF(AND(Kalemler!$D104&gt;=(Tahmin!$C$4+84),Kalemler!$D104&lt;=(Tahmin!$C$4+90)),1,0))))</f>
        <v>0</v>
      </c>
    </row>
    <row r="105" customFormat="false" ht="15" hidden="false" customHeight="false" outlineLevel="0" collapsed="false">
      <c r="A105" s="0" t="str">
        <f aca="false">IF(Kalemler!A105="","",Kalemler!A105)</f>
        <v/>
      </c>
      <c r="B105" s="0" t="n">
        <f aca="false">IF(OR(Kalemler!$A105="",Kalemler!$C105="",Kalemler!$D105=""),0,Kalemler!$C105*IF(Kalemler!$E105="Haftalık",IF(Kalemler!$D105&lt;=(Tahmin!$C$4+6),1,0),IF(Kalemler!$E105="Aylık",IF(OR(AND(DATE(YEAR((Tahmin!$C$4+0)),MONTH((Tahmin!$C$4+0)),MIN(DAY(Kalemler!$D105),DAY(EOMONTH((Tahmin!$C$4+0),0))))&gt;=(Tahmin!$C$4+0),DATE(YEAR((Tahmin!$C$4+0)),MONTH((Tahmin!$C$4+0)),MIN(DAY(Kalemler!$D105),DAY(EOMONTH((Tahmin!$C$4+0),0))))&lt;=(Tahmin!$C$4+6),DATE(YEAR((Tahmin!$C$4+0)),MONTH((Tahmin!$C$4+0)),MIN(DAY(Kalemler!$D105),DAY(EOMONTH((Tahmin!$C$4+0),0))))&gt;=Kalemler!$D105),AND(DATE(YEAR((Tahmin!$C$4+6)),MONTH((Tahmin!$C$4+6)),MIN(DAY(Kalemler!$D105),DAY(EOMONTH((Tahmin!$C$4+6),0))))&gt;=(Tahmin!$C$4+0),DATE(YEAR((Tahmin!$C$4+6)),MONTH((Tahmin!$C$4+6)),MIN(DAY(Kalemler!$D105),DAY(EOMONTH((Tahmin!$C$4+6),0))))&lt;=(Tahmin!$C$4+6),DATE(YEAR((Tahmin!$C$4+6)),MONTH((Tahmin!$C$4+6)),MIN(DAY(Kalemler!$D105),DAY(EOMONTH((Tahmin!$C$4+6),0))))&lt;&gt;DATE(YEAR((Tahmin!$C$4+0)),MONTH((Tahmin!$C$4+0)),MIN(DAY(Kalemler!$D105),DAY(EOMONTH((Tahmin!$C$4+0),0)))),DATE(YEAR((Tahmin!$C$4+6)),MONTH((Tahmin!$C$4+6)),MIN(DAY(Kalemler!$D105),DAY(EOMONTH((Tahmin!$C$4+6),0))))&gt;=Kalemler!$D105)),1,0),IF(AND(Kalemler!$D105&gt;=(Tahmin!$C$4+0),Kalemler!$D105&lt;=(Tahmin!$C$4+6)),1,0))))</f>
        <v>0</v>
      </c>
      <c r="C105" s="0" t="n">
        <f aca="false">IF(OR(Kalemler!$A105="",Kalemler!$C105="",Kalemler!$D105=""),0,Kalemler!$C105*IF(Kalemler!$E105="Haftalık",IF(Kalemler!$D105&lt;=(Tahmin!$C$4+13),1,0),IF(Kalemler!$E105="Aylık",IF(OR(AND(DATE(YEAR((Tahmin!$C$4+7)),MONTH((Tahmin!$C$4+7)),MIN(DAY(Kalemler!$D105),DAY(EOMONTH((Tahmin!$C$4+7),0))))&gt;=(Tahmin!$C$4+7),DATE(YEAR((Tahmin!$C$4+7)),MONTH((Tahmin!$C$4+7)),MIN(DAY(Kalemler!$D105),DAY(EOMONTH((Tahmin!$C$4+7),0))))&lt;=(Tahmin!$C$4+13),DATE(YEAR((Tahmin!$C$4+7)),MONTH((Tahmin!$C$4+7)),MIN(DAY(Kalemler!$D105),DAY(EOMONTH((Tahmin!$C$4+7),0))))&gt;=Kalemler!$D105),AND(DATE(YEAR((Tahmin!$C$4+13)),MONTH((Tahmin!$C$4+13)),MIN(DAY(Kalemler!$D105),DAY(EOMONTH((Tahmin!$C$4+13),0))))&gt;=(Tahmin!$C$4+7),DATE(YEAR((Tahmin!$C$4+13)),MONTH((Tahmin!$C$4+13)),MIN(DAY(Kalemler!$D105),DAY(EOMONTH((Tahmin!$C$4+13),0))))&lt;=(Tahmin!$C$4+13),DATE(YEAR((Tahmin!$C$4+13)),MONTH((Tahmin!$C$4+13)),MIN(DAY(Kalemler!$D105),DAY(EOMONTH((Tahmin!$C$4+13),0))))&lt;&gt;DATE(YEAR((Tahmin!$C$4+7)),MONTH((Tahmin!$C$4+7)),MIN(DAY(Kalemler!$D105),DAY(EOMONTH((Tahmin!$C$4+7),0)))),DATE(YEAR((Tahmin!$C$4+13)),MONTH((Tahmin!$C$4+13)),MIN(DAY(Kalemler!$D105),DAY(EOMONTH((Tahmin!$C$4+13),0))))&gt;=Kalemler!$D105)),1,0),IF(AND(Kalemler!$D105&gt;=(Tahmin!$C$4+7),Kalemler!$D105&lt;=(Tahmin!$C$4+13)),1,0))))</f>
        <v>0</v>
      </c>
      <c r="D105" s="0" t="n">
        <f aca="false">IF(OR(Kalemler!$A105="",Kalemler!$C105="",Kalemler!$D105=""),0,Kalemler!$C105*IF(Kalemler!$E105="Haftalık",IF(Kalemler!$D105&lt;=(Tahmin!$C$4+20),1,0),IF(Kalemler!$E105="Aylık",IF(OR(AND(DATE(YEAR((Tahmin!$C$4+14)),MONTH((Tahmin!$C$4+14)),MIN(DAY(Kalemler!$D105),DAY(EOMONTH((Tahmin!$C$4+14),0))))&gt;=(Tahmin!$C$4+14),DATE(YEAR((Tahmin!$C$4+14)),MONTH((Tahmin!$C$4+14)),MIN(DAY(Kalemler!$D105),DAY(EOMONTH((Tahmin!$C$4+14),0))))&lt;=(Tahmin!$C$4+20),DATE(YEAR((Tahmin!$C$4+14)),MONTH((Tahmin!$C$4+14)),MIN(DAY(Kalemler!$D105),DAY(EOMONTH((Tahmin!$C$4+14),0))))&gt;=Kalemler!$D105),AND(DATE(YEAR((Tahmin!$C$4+20)),MONTH((Tahmin!$C$4+20)),MIN(DAY(Kalemler!$D105),DAY(EOMONTH((Tahmin!$C$4+20),0))))&gt;=(Tahmin!$C$4+14),DATE(YEAR((Tahmin!$C$4+20)),MONTH((Tahmin!$C$4+20)),MIN(DAY(Kalemler!$D105),DAY(EOMONTH((Tahmin!$C$4+20),0))))&lt;=(Tahmin!$C$4+20),DATE(YEAR((Tahmin!$C$4+20)),MONTH((Tahmin!$C$4+20)),MIN(DAY(Kalemler!$D105),DAY(EOMONTH((Tahmin!$C$4+20),0))))&lt;&gt;DATE(YEAR((Tahmin!$C$4+14)),MONTH((Tahmin!$C$4+14)),MIN(DAY(Kalemler!$D105),DAY(EOMONTH((Tahmin!$C$4+14),0)))),DATE(YEAR((Tahmin!$C$4+20)),MONTH((Tahmin!$C$4+20)),MIN(DAY(Kalemler!$D105),DAY(EOMONTH((Tahmin!$C$4+20),0))))&gt;=Kalemler!$D105)),1,0),IF(AND(Kalemler!$D105&gt;=(Tahmin!$C$4+14),Kalemler!$D105&lt;=(Tahmin!$C$4+20)),1,0))))</f>
        <v>0</v>
      </c>
      <c r="E105" s="0" t="n">
        <f aca="false">IF(OR(Kalemler!$A105="",Kalemler!$C105="",Kalemler!$D105=""),0,Kalemler!$C105*IF(Kalemler!$E105="Haftalık",IF(Kalemler!$D105&lt;=(Tahmin!$C$4+27),1,0),IF(Kalemler!$E105="Aylık",IF(OR(AND(DATE(YEAR((Tahmin!$C$4+21)),MONTH((Tahmin!$C$4+21)),MIN(DAY(Kalemler!$D105),DAY(EOMONTH((Tahmin!$C$4+21),0))))&gt;=(Tahmin!$C$4+21),DATE(YEAR((Tahmin!$C$4+21)),MONTH((Tahmin!$C$4+21)),MIN(DAY(Kalemler!$D105),DAY(EOMONTH((Tahmin!$C$4+21),0))))&lt;=(Tahmin!$C$4+27),DATE(YEAR((Tahmin!$C$4+21)),MONTH((Tahmin!$C$4+21)),MIN(DAY(Kalemler!$D105),DAY(EOMONTH((Tahmin!$C$4+21),0))))&gt;=Kalemler!$D105),AND(DATE(YEAR((Tahmin!$C$4+27)),MONTH((Tahmin!$C$4+27)),MIN(DAY(Kalemler!$D105),DAY(EOMONTH((Tahmin!$C$4+27),0))))&gt;=(Tahmin!$C$4+21),DATE(YEAR((Tahmin!$C$4+27)),MONTH((Tahmin!$C$4+27)),MIN(DAY(Kalemler!$D105),DAY(EOMONTH((Tahmin!$C$4+27),0))))&lt;=(Tahmin!$C$4+27),DATE(YEAR((Tahmin!$C$4+27)),MONTH((Tahmin!$C$4+27)),MIN(DAY(Kalemler!$D105),DAY(EOMONTH((Tahmin!$C$4+27),0))))&lt;&gt;DATE(YEAR((Tahmin!$C$4+21)),MONTH((Tahmin!$C$4+21)),MIN(DAY(Kalemler!$D105),DAY(EOMONTH((Tahmin!$C$4+21),0)))),DATE(YEAR((Tahmin!$C$4+27)),MONTH((Tahmin!$C$4+27)),MIN(DAY(Kalemler!$D105),DAY(EOMONTH((Tahmin!$C$4+27),0))))&gt;=Kalemler!$D105)),1,0),IF(AND(Kalemler!$D105&gt;=(Tahmin!$C$4+21),Kalemler!$D105&lt;=(Tahmin!$C$4+27)),1,0))))</f>
        <v>0</v>
      </c>
      <c r="F105" s="0" t="n">
        <f aca="false">IF(OR(Kalemler!$A105="",Kalemler!$C105="",Kalemler!$D105=""),0,Kalemler!$C105*IF(Kalemler!$E105="Haftalık",IF(Kalemler!$D105&lt;=(Tahmin!$C$4+34),1,0),IF(Kalemler!$E105="Aylık",IF(OR(AND(DATE(YEAR((Tahmin!$C$4+28)),MONTH((Tahmin!$C$4+28)),MIN(DAY(Kalemler!$D105),DAY(EOMONTH((Tahmin!$C$4+28),0))))&gt;=(Tahmin!$C$4+28),DATE(YEAR((Tahmin!$C$4+28)),MONTH((Tahmin!$C$4+28)),MIN(DAY(Kalemler!$D105),DAY(EOMONTH((Tahmin!$C$4+28),0))))&lt;=(Tahmin!$C$4+34),DATE(YEAR((Tahmin!$C$4+28)),MONTH((Tahmin!$C$4+28)),MIN(DAY(Kalemler!$D105),DAY(EOMONTH((Tahmin!$C$4+28),0))))&gt;=Kalemler!$D105),AND(DATE(YEAR((Tahmin!$C$4+34)),MONTH((Tahmin!$C$4+34)),MIN(DAY(Kalemler!$D105),DAY(EOMONTH((Tahmin!$C$4+34),0))))&gt;=(Tahmin!$C$4+28),DATE(YEAR((Tahmin!$C$4+34)),MONTH((Tahmin!$C$4+34)),MIN(DAY(Kalemler!$D105),DAY(EOMONTH((Tahmin!$C$4+34),0))))&lt;=(Tahmin!$C$4+34),DATE(YEAR((Tahmin!$C$4+34)),MONTH((Tahmin!$C$4+34)),MIN(DAY(Kalemler!$D105),DAY(EOMONTH((Tahmin!$C$4+34),0))))&lt;&gt;DATE(YEAR((Tahmin!$C$4+28)),MONTH((Tahmin!$C$4+28)),MIN(DAY(Kalemler!$D105),DAY(EOMONTH((Tahmin!$C$4+28),0)))),DATE(YEAR((Tahmin!$C$4+34)),MONTH((Tahmin!$C$4+34)),MIN(DAY(Kalemler!$D105),DAY(EOMONTH((Tahmin!$C$4+34),0))))&gt;=Kalemler!$D105)),1,0),IF(AND(Kalemler!$D105&gt;=(Tahmin!$C$4+28),Kalemler!$D105&lt;=(Tahmin!$C$4+34)),1,0))))</f>
        <v>0</v>
      </c>
      <c r="G105" s="0" t="n">
        <f aca="false">IF(OR(Kalemler!$A105="",Kalemler!$C105="",Kalemler!$D105=""),0,Kalemler!$C105*IF(Kalemler!$E105="Haftalık",IF(Kalemler!$D105&lt;=(Tahmin!$C$4+41),1,0),IF(Kalemler!$E105="Aylık",IF(OR(AND(DATE(YEAR((Tahmin!$C$4+35)),MONTH((Tahmin!$C$4+35)),MIN(DAY(Kalemler!$D105),DAY(EOMONTH((Tahmin!$C$4+35),0))))&gt;=(Tahmin!$C$4+35),DATE(YEAR((Tahmin!$C$4+35)),MONTH((Tahmin!$C$4+35)),MIN(DAY(Kalemler!$D105),DAY(EOMONTH((Tahmin!$C$4+35),0))))&lt;=(Tahmin!$C$4+41),DATE(YEAR((Tahmin!$C$4+35)),MONTH((Tahmin!$C$4+35)),MIN(DAY(Kalemler!$D105),DAY(EOMONTH((Tahmin!$C$4+35),0))))&gt;=Kalemler!$D105),AND(DATE(YEAR((Tahmin!$C$4+41)),MONTH((Tahmin!$C$4+41)),MIN(DAY(Kalemler!$D105),DAY(EOMONTH((Tahmin!$C$4+41),0))))&gt;=(Tahmin!$C$4+35),DATE(YEAR((Tahmin!$C$4+41)),MONTH((Tahmin!$C$4+41)),MIN(DAY(Kalemler!$D105),DAY(EOMONTH((Tahmin!$C$4+41),0))))&lt;=(Tahmin!$C$4+41),DATE(YEAR((Tahmin!$C$4+41)),MONTH((Tahmin!$C$4+41)),MIN(DAY(Kalemler!$D105),DAY(EOMONTH((Tahmin!$C$4+41),0))))&lt;&gt;DATE(YEAR((Tahmin!$C$4+35)),MONTH((Tahmin!$C$4+35)),MIN(DAY(Kalemler!$D105),DAY(EOMONTH((Tahmin!$C$4+35),0)))),DATE(YEAR((Tahmin!$C$4+41)),MONTH((Tahmin!$C$4+41)),MIN(DAY(Kalemler!$D105),DAY(EOMONTH((Tahmin!$C$4+41),0))))&gt;=Kalemler!$D105)),1,0),IF(AND(Kalemler!$D105&gt;=(Tahmin!$C$4+35),Kalemler!$D105&lt;=(Tahmin!$C$4+41)),1,0))))</f>
        <v>0</v>
      </c>
      <c r="H105" s="0" t="n">
        <f aca="false">IF(OR(Kalemler!$A105="",Kalemler!$C105="",Kalemler!$D105=""),0,Kalemler!$C105*IF(Kalemler!$E105="Haftalık",IF(Kalemler!$D105&lt;=(Tahmin!$C$4+48),1,0),IF(Kalemler!$E105="Aylık",IF(OR(AND(DATE(YEAR((Tahmin!$C$4+42)),MONTH((Tahmin!$C$4+42)),MIN(DAY(Kalemler!$D105),DAY(EOMONTH((Tahmin!$C$4+42),0))))&gt;=(Tahmin!$C$4+42),DATE(YEAR((Tahmin!$C$4+42)),MONTH((Tahmin!$C$4+42)),MIN(DAY(Kalemler!$D105),DAY(EOMONTH((Tahmin!$C$4+42),0))))&lt;=(Tahmin!$C$4+48),DATE(YEAR((Tahmin!$C$4+42)),MONTH((Tahmin!$C$4+42)),MIN(DAY(Kalemler!$D105),DAY(EOMONTH((Tahmin!$C$4+42),0))))&gt;=Kalemler!$D105),AND(DATE(YEAR((Tahmin!$C$4+48)),MONTH((Tahmin!$C$4+48)),MIN(DAY(Kalemler!$D105),DAY(EOMONTH((Tahmin!$C$4+48),0))))&gt;=(Tahmin!$C$4+42),DATE(YEAR((Tahmin!$C$4+48)),MONTH((Tahmin!$C$4+48)),MIN(DAY(Kalemler!$D105),DAY(EOMONTH((Tahmin!$C$4+48),0))))&lt;=(Tahmin!$C$4+48),DATE(YEAR((Tahmin!$C$4+48)),MONTH((Tahmin!$C$4+48)),MIN(DAY(Kalemler!$D105),DAY(EOMONTH((Tahmin!$C$4+48),0))))&lt;&gt;DATE(YEAR((Tahmin!$C$4+42)),MONTH((Tahmin!$C$4+42)),MIN(DAY(Kalemler!$D105),DAY(EOMONTH((Tahmin!$C$4+42),0)))),DATE(YEAR((Tahmin!$C$4+48)),MONTH((Tahmin!$C$4+48)),MIN(DAY(Kalemler!$D105),DAY(EOMONTH((Tahmin!$C$4+48),0))))&gt;=Kalemler!$D105)),1,0),IF(AND(Kalemler!$D105&gt;=(Tahmin!$C$4+42),Kalemler!$D105&lt;=(Tahmin!$C$4+48)),1,0))))</f>
        <v>0</v>
      </c>
      <c r="I105" s="0" t="n">
        <f aca="false">IF(OR(Kalemler!$A105="",Kalemler!$C105="",Kalemler!$D105=""),0,Kalemler!$C105*IF(Kalemler!$E105="Haftalık",IF(Kalemler!$D105&lt;=(Tahmin!$C$4+55),1,0),IF(Kalemler!$E105="Aylık",IF(OR(AND(DATE(YEAR((Tahmin!$C$4+49)),MONTH((Tahmin!$C$4+49)),MIN(DAY(Kalemler!$D105),DAY(EOMONTH((Tahmin!$C$4+49),0))))&gt;=(Tahmin!$C$4+49),DATE(YEAR((Tahmin!$C$4+49)),MONTH((Tahmin!$C$4+49)),MIN(DAY(Kalemler!$D105),DAY(EOMONTH((Tahmin!$C$4+49),0))))&lt;=(Tahmin!$C$4+55),DATE(YEAR((Tahmin!$C$4+49)),MONTH((Tahmin!$C$4+49)),MIN(DAY(Kalemler!$D105),DAY(EOMONTH((Tahmin!$C$4+49),0))))&gt;=Kalemler!$D105),AND(DATE(YEAR((Tahmin!$C$4+55)),MONTH((Tahmin!$C$4+55)),MIN(DAY(Kalemler!$D105),DAY(EOMONTH((Tahmin!$C$4+55),0))))&gt;=(Tahmin!$C$4+49),DATE(YEAR((Tahmin!$C$4+55)),MONTH((Tahmin!$C$4+55)),MIN(DAY(Kalemler!$D105),DAY(EOMONTH((Tahmin!$C$4+55),0))))&lt;=(Tahmin!$C$4+55),DATE(YEAR((Tahmin!$C$4+55)),MONTH((Tahmin!$C$4+55)),MIN(DAY(Kalemler!$D105),DAY(EOMONTH((Tahmin!$C$4+55),0))))&lt;&gt;DATE(YEAR((Tahmin!$C$4+49)),MONTH((Tahmin!$C$4+49)),MIN(DAY(Kalemler!$D105),DAY(EOMONTH((Tahmin!$C$4+49),0)))),DATE(YEAR((Tahmin!$C$4+55)),MONTH((Tahmin!$C$4+55)),MIN(DAY(Kalemler!$D105),DAY(EOMONTH((Tahmin!$C$4+55),0))))&gt;=Kalemler!$D105)),1,0),IF(AND(Kalemler!$D105&gt;=(Tahmin!$C$4+49),Kalemler!$D105&lt;=(Tahmin!$C$4+55)),1,0))))</f>
        <v>0</v>
      </c>
      <c r="J105" s="0" t="n">
        <f aca="false">IF(OR(Kalemler!$A105="",Kalemler!$C105="",Kalemler!$D105=""),0,Kalemler!$C105*IF(Kalemler!$E105="Haftalık",IF(Kalemler!$D105&lt;=(Tahmin!$C$4+62),1,0),IF(Kalemler!$E105="Aylık",IF(OR(AND(DATE(YEAR((Tahmin!$C$4+56)),MONTH((Tahmin!$C$4+56)),MIN(DAY(Kalemler!$D105),DAY(EOMONTH((Tahmin!$C$4+56),0))))&gt;=(Tahmin!$C$4+56),DATE(YEAR((Tahmin!$C$4+56)),MONTH((Tahmin!$C$4+56)),MIN(DAY(Kalemler!$D105),DAY(EOMONTH((Tahmin!$C$4+56),0))))&lt;=(Tahmin!$C$4+62),DATE(YEAR((Tahmin!$C$4+56)),MONTH((Tahmin!$C$4+56)),MIN(DAY(Kalemler!$D105),DAY(EOMONTH((Tahmin!$C$4+56),0))))&gt;=Kalemler!$D105),AND(DATE(YEAR((Tahmin!$C$4+62)),MONTH((Tahmin!$C$4+62)),MIN(DAY(Kalemler!$D105),DAY(EOMONTH((Tahmin!$C$4+62),0))))&gt;=(Tahmin!$C$4+56),DATE(YEAR((Tahmin!$C$4+62)),MONTH((Tahmin!$C$4+62)),MIN(DAY(Kalemler!$D105),DAY(EOMONTH((Tahmin!$C$4+62),0))))&lt;=(Tahmin!$C$4+62),DATE(YEAR((Tahmin!$C$4+62)),MONTH((Tahmin!$C$4+62)),MIN(DAY(Kalemler!$D105),DAY(EOMONTH((Tahmin!$C$4+62),0))))&lt;&gt;DATE(YEAR((Tahmin!$C$4+56)),MONTH((Tahmin!$C$4+56)),MIN(DAY(Kalemler!$D105),DAY(EOMONTH((Tahmin!$C$4+56),0)))),DATE(YEAR((Tahmin!$C$4+62)),MONTH((Tahmin!$C$4+62)),MIN(DAY(Kalemler!$D105),DAY(EOMONTH((Tahmin!$C$4+62),0))))&gt;=Kalemler!$D105)),1,0),IF(AND(Kalemler!$D105&gt;=(Tahmin!$C$4+56),Kalemler!$D105&lt;=(Tahmin!$C$4+62)),1,0))))</f>
        <v>0</v>
      </c>
      <c r="K105" s="0" t="n">
        <f aca="false">IF(OR(Kalemler!$A105="",Kalemler!$C105="",Kalemler!$D105=""),0,Kalemler!$C105*IF(Kalemler!$E105="Haftalık",IF(Kalemler!$D105&lt;=(Tahmin!$C$4+69),1,0),IF(Kalemler!$E105="Aylık",IF(OR(AND(DATE(YEAR((Tahmin!$C$4+63)),MONTH((Tahmin!$C$4+63)),MIN(DAY(Kalemler!$D105),DAY(EOMONTH((Tahmin!$C$4+63),0))))&gt;=(Tahmin!$C$4+63),DATE(YEAR((Tahmin!$C$4+63)),MONTH((Tahmin!$C$4+63)),MIN(DAY(Kalemler!$D105),DAY(EOMONTH((Tahmin!$C$4+63),0))))&lt;=(Tahmin!$C$4+69),DATE(YEAR((Tahmin!$C$4+63)),MONTH((Tahmin!$C$4+63)),MIN(DAY(Kalemler!$D105),DAY(EOMONTH((Tahmin!$C$4+63),0))))&gt;=Kalemler!$D105),AND(DATE(YEAR((Tahmin!$C$4+69)),MONTH((Tahmin!$C$4+69)),MIN(DAY(Kalemler!$D105),DAY(EOMONTH((Tahmin!$C$4+69),0))))&gt;=(Tahmin!$C$4+63),DATE(YEAR((Tahmin!$C$4+69)),MONTH((Tahmin!$C$4+69)),MIN(DAY(Kalemler!$D105),DAY(EOMONTH((Tahmin!$C$4+69),0))))&lt;=(Tahmin!$C$4+69),DATE(YEAR((Tahmin!$C$4+69)),MONTH((Tahmin!$C$4+69)),MIN(DAY(Kalemler!$D105),DAY(EOMONTH((Tahmin!$C$4+69),0))))&lt;&gt;DATE(YEAR((Tahmin!$C$4+63)),MONTH((Tahmin!$C$4+63)),MIN(DAY(Kalemler!$D105),DAY(EOMONTH((Tahmin!$C$4+63),0)))),DATE(YEAR((Tahmin!$C$4+69)),MONTH((Tahmin!$C$4+69)),MIN(DAY(Kalemler!$D105),DAY(EOMONTH((Tahmin!$C$4+69),0))))&gt;=Kalemler!$D105)),1,0),IF(AND(Kalemler!$D105&gt;=(Tahmin!$C$4+63),Kalemler!$D105&lt;=(Tahmin!$C$4+69)),1,0))))</f>
        <v>0</v>
      </c>
      <c r="L105" s="0" t="n">
        <f aca="false">IF(OR(Kalemler!$A105="",Kalemler!$C105="",Kalemler!$D105=""),0,Kalemler!$C105*IF(Kalemler!$E105="Haftalık",IF(Kalemler!$D105&lt;=(Tahmin!$C$4+76),1,0),IF(Kalemler!$E105="Aylık",IF(OR(AND(DATE(YEAR((Tahmin!$C$4+70)),MONTH((Tahmin!$C$4+70)),MIN(DAY(Kalemler!$D105),DAY(EOMONTH((Tahmin!$C$4+70),0))))&gt;=(Tahmin!$C$4+70),DATE(YEAR((Tahmin!$C$4+70)),MONTH((Tahmin!$C$4+70)),MIN(DAY(Kalemler!$D105),DAY(EOMONTH((Tahmin!$C$4+70),0))))&lt;=(Tahmin!$C$4+76),DATE(YEAR((Tahmin!$C$4+70)),MONTH((Tahmin!$C$4+70)),MIN(DAY(Kalemler!$D105),DAY(EOMONTH((Tahmin!$C$4+70),0))))&gt;=Kalemler!$D105),AND(DATE(YEAR((Tahmin!$C$4+76)),MONTH((Tahmin!$C$4+76)),MIN(DAY(Kalemler!$D105),DAY(EOMONTH((Tahmin!$C$4+76),0))))&gt;=(Tahmin!$C$4+70),DATE(YEAR((Tahmin!$C$4+76)),MONTH((Tahmin!$C$4+76)),MIN(DAY(Kalemler!$D105),DAY(EOMONTH((Tahmin!$C$4+76),0))))&lt;=(Tahmin!$C$4+76),DATE(YEAR((Tahmin!$C$4+76)),MONTH((Tahmin!$C$4+76)),MIN(DAY(Kalemler!$D105),DAY(EOMONTH((Tahmin!$C$4+76),0))))&lt;&gt;DATE(YEAR((Tahmin!$C$4+70)),MONTH((Tahmin!$C$4+70)),MIN(DAY(Kalemler!$D105),DAY(EOMONTH((Tahmin!$C$4+70),0)))),DATE(YEAR((Tahmin!$C$4+76)),MONTH((Tahmin!$C$4+76)),MIN(DAY(Kalemler!$D105),DAY(EOMONTH((Tahmin!$C$4+76),0))))&gt;=Kalemler!$D105)),1,0),IF(AND(Kalemler!$D105&gt;=(Tahmin!$C$4+70),Kalemler!$D105&lt;=(Tahmin!$C$4+76)),1,0))))</f>
        <v>0</v>
      </c>
      <c r="M105" s="0" t="n">
        <f aca="false">IF(OR(Kalemler!$A105="",Kalemler!$C105="",Kalemler!$D105=""),0,Kalemler!$C105*IF(Kalemler!$E105="Haftalık",IF(Kalemler!$D105&lt;=(Tahmin!$C$4+83),1,0),IF(Kalemler!$E105="Aylık",IF(OR(AND(DATE(YEAR((Tahmin!$C$4+77)),MONTH((Tahmin!$C$4+77)),MIN(DAY(Kalemler!$D105),DAY(EOMONTH((Tahmin!$C$4+77),0))))&gt;=(Tahmin!$C$4+77),DATE(YEAR((Tahmin!$C$4+77)),MONTH((Tahmin!$C$4+77)),MIN(DAY(Kalemler!$D105),DAY(EOMONTH((Tahmin!$C$4+77),0))))&lt;=(Tahmin!$C$4+83),DATE(YEAR((Tahmin!$C$4+77)),MONTH((Tahmin!$C$4+77)),MIN(DAY(Kalemler!$D105),DAY(EOMONTH((Tahmin!$C$4+77),0))))&gt;=Kalemler!$D105),AND(DATE(YEAR((Tahmin!$C$4+83)),MONTH((Tahmin!$C$4+83)),MIN(DAY(Kalemler!$D105),DAY(EOMONTH((Tahmin!$C$4+83),0))))&gt;=(Tahmin!$C$4+77),DATE(YEAR((Tahmin!$C$4+83)),MONTH((Tahmin!$C$4+83)),MIN(DAY(Kalemler!$D105),DAY(EOMONTH((Tahmin!$C$4+83),0))))&lt;=(Tahmin!$C$4+83),DATE(YEAR((Tahmin!$C$4+83)),MONTH((Tahmin!$C$4+83)),MIN(DAY(Kalemler!$D105),DAY(EOMONTH((Tahmin!$C$4+83),0))))&lt;&gt;DATE(YEAR((Tahmin!$C$4+77)),MONTH((Tahmin!$C$4+77)),MIN(DAY(Kalemler!$D105),DAY(EOMONTH((Tahmin!$C$4+77),0)))),DATE(YEAR((Tahmin!$C$4+83)),MONTH((Tahmin!$C$4+83)),MIN(DAY(Kalemler!$D105),DAY(EOMONTH((Tahmin!$C$4+83),0))))&gt;=Kalemler!$D105)),1,0),IF(AND(Kalemler!$D105&gt;=(Tahmin!$C$4+77),Kalemler!$D105&lt;=(Tahmin!$C$4+83)),1,0))))</f>
        <v>0</v>
      </c>
      <c r="N105" s="0" t="n">
        <f aca="false">IF(OR(Kalemler!$A105="",Kalemler!$C105="",Kalemler!$D105=""),0,Kalemler!$C105*IF(Kalemler!$E105="Haftalık",IF(Kalemler!$D105&lt;=(Tahmin!$C$4+90),1,0),IF(Kalemler!$E105="Aylık",IF(OR(AND(DATE(YEAR((Tahmin!$C$4+84)),MONTH((Tahmin!$C$4+84)),MIN(DAY(Kalemler!$D105),DAY(EOMONTH((Tahmin!$C$4+84),0))))&gt;=(Tahmin!$C$4+84),DATE(YEAR((Tahmin!$C$4+84)),MONTH((Tahmin!$C$4+84)),MIN(DAY(Kalemler!$D105),DAY(EOMONTH((Tahmin!$C$4+84),0))))&lt;=(Tahmin!$C$4+90),DATE(YEAR((Tahmin!$C$4+84)),MONTH((Tahmin!$C$4+84)),MIN(DAY(Kalemler!$D105),DAY(EOMONTH((Tahmin!$C$4+84),0))))&gt;=Kalemler!$D105),AND(DATE(YEAR((Tahmin!$C$4+90)),MONTH((Tahmin!$C$4+90)),MIN(DAY(Kalemler!$D105),DAY(EOMONTH((Tahmin!$C$4+90),0))))&gt;=(Tahmin!$C$4+84),DATE(YEAR((Tahmin!$C$4+90)),MONTH((Tahmin!$C$4+90)),MIN(DAY(Kalemler!$D105),DAY(EOMONTH((Tahmin!$C$4+90),0))))&lt;=(Tahmin!$C$4+90),DATE(YEAR((Tahmin!$C$4+90)),MONTH((Tahmin!$C$4+90)),MIN(DAY(Kalemler!$D105),DAY(EOMONTH((Tahmin!$C$4+90),0))))&lt;&gt;DATE(YEAR((Tahmin!$C$4+84)),MONTH((Tahmin!$C$4+84)),MIN(DAY(Kalemler!$D105),DAY(EOMONTH((Tahmin!$C$4+84),0)))),DATE(YEAR((Tahmin!$C$4+90)),MONTH((Tahmin!$C$4+90)),MIN(DAY(Kalemler!$D105),DAY(EOMONTH((Tahmin!$C$4+90),0))))&gt;=Kalemler!$D105)),1,0),IF(AND(Kalemler!$D105&gt;=(Tahmin!$C$4+84),Kalemler!$D105&lt;=(Tahmin!$C$4+90)),1,0))))</f>
        <v>0</v>
      </c>
    </row>
    <row r="106" customFormat="false" ht="15" hidden="false" customHeight="false" outlineLevel="0" collapsed="false">
      <c r="A106" s="0" t="str">
        <f aca="false">IF(Kalemler!A106="","",Kalemler!A106)</f>
        <v/>
      </c>
      <c r="B106" s="0" t="n">
        <f aca="false">IF(OR(Kalemler!$A106="",Kalemler!$C106="",Kalemler!$D106=""),0,Kalemler!$C106*IF(Kalemler!$E106="Haftalık",IF(Kalemler!$D106&lt;=(Tahmin!$C$4+6),1,0),IF(Kalemler!$E106="Aylık",IF(OR(AND(DATE(YEAR((Tahmin!$C$4+0)),MONTH((Tahmin!$C$4+0)),MIN(DAY(Kalemler!$D106),DAY(EOMONTH((Tahmin!$C$4+0),0))))&gt;=(Tahmin!$C$4+0),DATE(YEAR((Tahmin!$C$4+0)),MONTH((Tahmin!$C$4+0)),MIN(DAY(Kalemler!$D106),DAY(EOMONTH((Tahmin!$C$4+0),0))))&lt;=(Tahmin!$C$4+6),DATE(YEAR((Tahmin!$C$4+0)),MONTH((Tahmin!$C$4+0)),MIN(DAY(Kalemler!$D106),DAY(EOMONTH((Tahmin!$C$4+0),0))))&gt;=Kalemler!$D106),AND(DATE(YEAR((Tahmin!$C$4+6)),MONTH((Tahmin!$C$4+6)),MIN(DAY(Kalemler!$D106),DAY(EOMONTH((Tahmin!$C$4+6),0))))&gt;=(Tahmin!$C$4+0),DATE(YEAR((Tahmin!$C$4+6)),MONTH((Tahmin!$C$4+6)),MIN(DAY(Kalemler!$D106),DAY(EOMONTH((Tahmin!$C$4+6),0))))&lt;=(Tahmin!$C$4+6),DATE(YEAR((Tahmin!$C$4+6)),MONTH((Tahmin!$C$4+6)),MIN(DAY(Kalemler!$D106),DAY(EOMONTH((Tahmin!$C$4+6),0))))&lt;&gt;DATE(YEAR((Tahmin!$C$4+0)),MONTH((Tahmin!$C$4+0)),MIN(DAY(Kalemler!$D106),DAY(EOMONTH((Tahmin!$C$4+0),0)))),DATE(YEAR((Tahmin!$C$4+6)),MONTH((Tahmin!$C$4+6)),MIN(DAY(Kalemler!$D106),DAY(EOMONTH((Tahmin!$C$4+6),0))))&gt;=Kalemler!$D106)),1,0),IF(AND(Kalemler!$D106&gt;=(Tahmin!$C$4+0),Kalemler!$D106&lt;=(Tahmin!$C$4+6)),1,0))))</f>
        <v>0</v>
      </c>
      <c r="C106" s="0" t="n">
        <f aca="false">IF(OR(Kalemler!$A106="",Kalemler!$C106="",Kalemler!$D106=""),0,Kalemler!$C106*IF(Kalemler!$E106="Haftalık",IF(Kalemler!$D106&lt;=(Tahmin!$C$4+13),1,0),IF(Kalemler!$E106="Aylık",IF(OR(AND(DATE(YEAR((Tahmin!$C$4+7)),MONTH((Tahmin!$C$4+7)),MIN(DAY(Kalemler!$D106),DAY(EOMONTH((Tahmin!$C$4+7),0))))&gt;=(Tahmin!$C$4+7),DATE(YEAR((Tahmin!$C$4+7)),MONTH((Tahmin!$C$4+7)),MIN(DAY(Kalemler!$D106),DAY(EOMONTH((Tahmin!$C$4+7),0))))&lt;=(Tahmin!$C$4+13),DATE(YEAR((Tahmin!$C$4+7)),MONTH((Tahmin!$C$4+7)),MIN(DAY(Kalemler!$D106),DAY(EOMONTH((Tahmin!$C$4+7),0))))&gt;=Kalemler!$D106),AND(DATE(YEAR((Tahmin!$C$4+13)),MONTH((Tahmin!$C$4+13)),MIN(DAY(Kalemler!$D106),DAY(EOMONTH((Tahmin!$C$4+13),0))))&gt;=(Tahmin!$C$4+7),DATE(YEAR((Tahmin!$C$4+13)),MONTH((Tahmin!$C$4+13)),MIN(DAY(Kalemler!$D106),DAY(EOMONTH((Tahmin!$C$4+13),0))))&lt;=(Tahmin!$C$4+13),DATE(YEAR((Tahmin!$C$4+13)),MONTH((Tahmin!$C$4+13)),MIN(DAY(Kalemler!$D106),DAY(EOMONTH((Tahmin!$C$4+13),0))))&lt;&gt;DATE(YEAR((Tahmin!$C$4+7)),MONTH((Tahmin!$C$4+7)),MIN(DAY(Kalemler!$D106),DAY(EOMONTH((Tahmin!$C$4+7),0)))),DATE(YEAR((Tahmin!$C$4+13)),MONTH((Tahmin!$C$4+13)),MIN(DAY(Kalemler!$D106),DAY(EOMONTH((Tahmin!$C$4+13),0))))&gt;=Kalemler!$D106)),1,0),IF(AND(Kalemler!$D106&gt;=(Tahmin!$C$4+7),Kalemler!$D106&lt;=(Tahmin!$C$4+13)),1,0))))</f>
        <v>0</v>
      </c>
      <c r="D106" s="0" t="n">
        <f aca="false">IF(OR(Kalemler!$A106="",Kalemler!$C106="",Kalemler!$D106=""),0,Kalemler!$C106*IF(Kalemler!$E106="Haftalık",IF(Kalemler!$D106&lt;=(Tahmin!$C$4+20),1,0),IF(Kalemler!$E106="Aylık",IF(OR(AND(DATE(YEAR((Tahmin!$C$4+14)),MONTH((Tahmin!$C$4+14)),MIN(DAY(Kalemler!$D106),DAY(EOMONTH((Tahmin!$C$4+14),0))))&gt;=(Tahmin!$C$4+14),DATE(YEAR((Tahmin!$C$4+14)),MONTH((Tahmin!$C$4+14)),MIN(DAY(Kalemler!$D106),DAY(EOMONTH((Tahmin!$C$4+14),0))))&lt;=(Tahmin!$C$4+20),DATE(YEAR((Tahmin!$C$4+14)),MONTH((Tahmin!$C$4+14)),MIN(DAY(Kalemler!$D106),DAY(EOMONTH((Tahmin!$C$4+14),0))))&gt;=Kalemler!$D106),AND(DATE(YEAR((Tahmin!$C$4+20)),MONTH((Tahmin!$C$4+20)),MIN(DAY(Kalemler!$D106),DAY(EOMONTH((Tahmin!$C$4+20),0))))&gt;=(Tahmin!$C$4+14),DATE(YEAR((Tahmin!$C$4+20)),MONTH((Tahmin!$C$4+20)),MIN(DAY(Kalemler!$D106),DAY(EOMONTH((Tahmin!$C$4+20),0))))&lt;=(Tahmin!$C$4+20),DATE(YEAR((Tahmin!$C$4+20)),MONTH((Tahmin!$C$4+20)),MIN(DAY(Kalemler!$D106),DAY(EOMONTH((Tahmin!$C$4+20),0))))&lt;&gt;DATE(YEAR((Tahmin!$C$4+14)),MONTH((Tahmin!$C$4+14)),MIN(DAY(Kalemler!$D106),DAY(EOMONTH((Tahmin!$C$4+14),0)))),DATE(YEAR((Tahmin!$C$4+20)),MONTH((Tahmin!$C$4+20)),MIN(DAY(Kalemler!$D106),DAY(EOMONTH((Tahmin!$C$4+20),0))))&gt;=Kalemler!$D106)),1,0),IF(AND(Kalemler!$D106&gt;=(Tahmin!$C$4+14),Kalemler!$D106&lt;=(Tahmin!$C$4+20)),1,0))))</f>
        <v>0</v>
      </c>
      <c r="E106" s="0" t="n">
        <f aca="false">IF(OR(Kalemler!$A106="",Kalemler!$C106="",Kalemler!$D106=""),0,Kalemler!$C106*IF(Kalemler!$E106="Haftalık",IF(Kalemler!$D106&lt;=(Tahmin!$C$4+27),1,0),IF(Kalemler!$E106="Aylık",IF(OR(AND(DATE(YEAR((Tahmin!$C$4+21)),MONTH((Tahmin!$C$4+21)),MIN(DAY(Kalemler!$D106),DAY(EOMONTH((Tahmin!$C$4+21),0))))&gt;=(Tahmin!$C$4+21),DATE(YEAR((Tahmin!$C$4+21)),MONTH((Tahmin!$C$4+21)),MIN(DAY(Kalemler!$D106),DAY(EOMONTH((Tahmin!$C$4+21),0))))&lt;=(Tahmin!$C$4+27),DATE(YEAR((Tahmin!$C$4+21)),MONTH((Tahmin!$C$4+21)),MIN(DAY(Kalemler!$D106),DAY(EOMONTH((Tahmin!$C$4+21),0))))&gt;=Kalemler!$D106),AND(DATE(YEAR((Tahmin!$C$4+27)),MONTH((Tahmin!$C$4+27)),MIN(DAY(Kalemler!$D106),DAY(EOMONTH((Tahmin!$C$4+27),0))))&gt;=(Tahmin!$C$4+21),DATE(YEAR((Tahmin!$C$4+27)),MONTH((Tahmin!$C$4+27)),MIN(DAY(Kalemler!$D106),DAY(EOMONTH((Tahmin!$C$4+27),0))))&lt;=(Tahmin!$C$4+27),DATE(YEAR((Tahmin!$C$4+27)),MONTH((Tahmin!$C$4+27)),MIN(DAY(Kalemler!$D106),DAY(EOMONTH((Tahmin!$C$4+27),0))))&lt;&gt;DATE(YEAR((Tahmin!$C$4+21)),MONTH((Tahmin!$C$4+21)),MIN(DAY(Kalemler!$D106),DAY(EOMONTH((Tahmin!$C$4+21),0)))),DATE(YEAR((Tahmin!$C$4+27)),MONTH((Tahmin!$C$4+27)),MIN(DAY(Kalemler!$D106),DAY(EOMONTH((Tahmin!$C$4+27),0))))&gt;=Kalemler!$D106)),1,0),IF(AND(Kalemler!$D106&gt;=(Tahmin!$C$4+21),Kalemler!$D106&lt;=(Tahmin!$C$4+27)),1,0))))</f>
        <v>0</v>
      </c>
      <c r="F106" s="0" t="n">
        <f aca="false">IF(OR(Kalemler!$A106="",Kalemler!$C106="",Kalemler!$D106=""),0,Kalemler!$C106*IF(Kalemler!$E106="Haftalık",IF(Kalemler!$D106&lt;=(Tahmin!$C$4+34),1,0),IF(Kalemler!$E106="Aylık",IF(OR(AND(DATE(YEAR((Tahmin!$C$4+28)),MONTH((Tahmin!$C$4+28)),MIN(DAY(Kalemler!$D106),DAY(EOMONTH((Tahmin!$C$4+28),0))))&gt;=(Tahmin!$C$4+28),DATE(YEAR((Tahmin!$C$4+28)),MONTH((Tahmin!$C$4+28)),MIN(DAY(Kalemler!$D106),DAY(EOMONTH((Tahmin!$C$4+28),0))))&lt;=(Tahmin!$C$4+34),DATE(YEAR((Tahmin!$C$4+28)),MONTH((Tahmin!$C$4+28)),MIN(DAY(Kalemler!$D106),DAY(EOMONTH((Tahmin!$C$4+28),0))))&gt;=Kalemler!$D106),AND(DATE(YEAR((Tahmin!$C$4+34)),MONTH((Tahmin!$C$4+34)),MIN(DAY(Kalemler!$D106),DAY(EOMONTH((Tahmin!$C$4+34),0))))&gt;=(Tahmin!$C$4+28),DATE(YEAR((Tahmin!$C$4+34)),MONTH((Tahmin!$C$4+34)),MIN(DAY(Kalemler!$D106),DAY(EOMONTH((Tahmin!$C$4+34),0))))&lt;=(Tahmin!$C$4+34),DATE(YEAR((Tahmin!$C$4+34)),MONTH((Tahmin!$C$4+34)),MIN(DAY(Kalemler!$D106),DAY(EOMONTH((Tahmin!$C$4+34),0))))&lt;&gt;DATE(YEAR((Tahmin!$C$4+28)),MONTH((Tahmin!$C$4+28)),MIN(DAY(Kalemler!$D106),DAY(EOMONTH((Tahmin!$C$4+28),0)))),DATE(YEAR((Tahmin!$C$4+34)),MONTH((Tahmin!$C$4+34)),MIN(DAY(Kalemler!$D106),DAY(EOMONTH((Tahmin!$C$4+34),0))))&gt;=Kalemler!$D106)),1,0),IF(AND(Kalemler!$D106&gt;=(Tahmin!$C$4+28),Kalemler!$D106&lt;=(Tahmin!$C$4+34)),1,0))))</f>
        <v>0</v>
      </c>
      <c r="G106" s="0" t="n">
        <f aca="false">IF(OR(Kalemler!$A106="",Kalemler!$C106="",Kalemler!$D106=""),0,Kalemler!$C106*IF(Kalemler!$E106="Haftalık",IF(Kalemler!$D106&lt;=(Tahmin!$C$4+41),1,0),IF(Kalemler!$E106="Aylık",IF(OR(AND(DATE(YEAR((Tahmin!$C$4+35)),MONTH((Tahmin!$C$4+35)),MIN(DAY(Kalemler!$D106),DAY(EOMONTH((Tahmin!$C$4+35),0))))&gt;=(Tahmin!$C$4+35),DATE(YEAR((Tahmin!$C$4+35)),MONTH((Tahmin!$C$4+35)),MIN(DAY(Kalemler!$D106),DAY(EOMONTH((Tahmin!$C$4+35),0))))&lt;=(Tahmin!$C$4+41),DATE(YEAR((Tahmin!$C$4+35)),MONTH((Tahmin!$C$4+35)),MIN(DAY(Kalemler!$D106),DAY(EOMONTH((Tahmin!$C$4+35),0))))&gt;=Kalemler!$D106),AND(DATE(YEAR((Tahmin!$C$4+41)),MONTH((Tahmin!$C$4+41)),MIN(DAY(Kalemler!$D106),DAY(EOMONTH((Tahmin!$C$4+41),0))))&gt;=(Tahmin!$C$4+35),DATE(YEAR((Tahmin!$C$4+41)),MONTH((Tahmin!$C$4+41)),MIN(DAY(Kalemler!$D106),DAY(EOMONTH((Tahmin!$C$4+41),0))))&lt;=(Tahmin!$C$4+41),DATE(YEAR((Tahmin!$C$4+41)),MONTH((Tahmin!$C$4+41)),MIN(DAY(Kalemler!$D106),DAY(EOMONTH((Tahmin!$C$4+41),0))))&lt;&gt;DATE(YEAR((Tahmin!$C$4+35)),MONTH((Tahmin!$C$4+35)),MIN(DAY(Kalemler!$D106),DAY(EOMONTH((Tahmin!$C$4+35),0)))),DATE(YEAR((Tahmin!$C$4+41)),MONTH((Tahmin!$C$4+41)),MIN(DAY(Kalemler!$D106),DAY(EOMONTH((Tahmin!$C$4+41),0))))&gt;=Kalemler!$D106)),1,0),IF(AND(Kalemler!$D106&gt;=(Tahmin!$C$4+35),Kalemler!$D106&lt;=(Tahmin!$C$4+41)),1,0))))</f>
        <v>0</v>
      </c>
      <c r="H106" s="0" t="n">
        <f aca="false">IF(OR(Kalemler!$A106="",Kalemler!$C106="",Kalemler!$D106=""),0,Kalemler!$C106*IF(Kalemler!$E106="Haftalık",IF(Kalemler!$D106&lt;=(Tahmin!$C$4+48),1,0),IF(Kalemler!$E106="Aylık",IF(OR(AND(DATE(YEAR((Tahmin!$C$4+42)),MONTH((Tahmin!$C$4+42)),MIN(DAY(Kalemler!$D106),DAY(EOMONTH((Tahmin!$C$4+42),0))))&gt;=(Tahmin!$C$4+42),DATE(YEAR((Tahmin!$C$4+42)),MONTH((Tahmin!$C$4+42)),MIN(DAY(Kalemler!$D106),DAY(EOMONTH((Tahmin!$C$4+42),0))))&lt;=(Tahmin!$C$4+48),DATE(YEAR((Tahmin!$C$4+42)),MONTH((Tahmin!$C$4+42)),MIN(DAY(Kalemler!$D106),DAY(EOMONTH((Tahmin!$C$4+42),0))))&gt;=Kalemler!$D106),AND(DATE(YEAR((Tahmin!$C$4+48)),MONTH((Tahmin!$C$4+48)),MIN(DAY(Kalemler!$D106),DAY(EOMONTH((Tahmin!$C$4+48),0))))&gt;=(Tahmin!$C$4+42),DATE(YEAR((Tahmin!$C$4+48)),MONTH((Tahmin!$C$4+48)),MIN(DAY(Kalemler!$D106),DAY(EOMONTH((Tahmin!$C$4+48),0))))&lt;=(Tahmin!$C$4+48),DATE(YEAR((Tahmin!$C$4+48)),MONTH((Tahmin!$C$4+48)),MIN(DAY(Kalemler!$D106),DAY(EOMONTH((Tahmin!$C$4+48),0))))&lt;&gt;DATE(YEAR((Tahmin!$C$4+42)),MONTH((Tahmin!$C$4+42)),MIN(DAY(Kalemler!$D106),DAY(EOMONTH((Tahmin!$C$4+42),0)))),DATE(YEAR((Tahmin!$C$4+48)),MONTH((Tahmin!$C$4+48)),MIN(DAY(Kalemler!$D106),DAY(EOMONTH((Tahmin!$C$4+48),0))))&gt;=Kalemler!$D106)),1,0),IF(AND(Kalemler!$D106&gt;=(Tahmin!$C$4+42),Kalemler!$D106&lt;=(Tahmin!$C$4+48)),1,0))))</f>
        <v>0</v>
      </c>
      <c r="I106" s="0" t="n">
        <f aca="false">IF(OR(Kalemler!$A106="",Kalemler!$C106="",Kalemler!$D106=""),0,Kalemler!$C106*IF(Kalemler!$E106="Haftalık",IF(Kalemler!$D106&lt;=(Tahmin!$C$4+55),1,0),IF(Kalemler!$E106="Aylık",IF(OR(AND(DATE(YEAR((Tahmin!$C$4+49)),MONTH((Tahmin!$C$4+49)),MIN(DAY(Kalemler!$D106),DAY(EOMONTH((Tahmin!$C$4+49),0))))&gt;=(Tahmin!$C$4+49),DATE(YEAR((Tahmin!$C$4+49)),MONTH((Tahmin!$C$4+49)),MIN(DAY(Kalemler!$D106),DAY(EOMONTH((Tahmin!$C$4+49),0))))&lt;=(Tahmin!$C$4+55),DATE(YEAR((Tahmin!$C$4+49)),MONTH((Tahmin!$C$4+49)),MIN(DAY(Kalemler!$D106),DAY(EOMONTH((Tahmin!$C$4+49),0))))&gt;=Kalemler!$D106),AND(DATE(YEAR((Tahmin!$C$4+55)),MONTH((Tahmin!$C$4+55)),MIN(DAY(Kalemler!$D106),DAY(EOMONTH((Tahmin!$C$4+55),0))))&gt;=(Tahmin!$C$4+49),DATE(YEAR((Tahmin!$C$4+55)),MONTH((Tahmin!$C$4+55)),MIN(DAY(Kalemler!$D106),DAY(EOMONTH((Tahmin!$C$4+55),0))))&lt;=(Tahmin!$C$4+55),DATE(YEAR((Tahmin!$C$4+55)),MONTH((Tahmin!$C$4+55)),MIN(DAY(Kalemler!$D106),DAY(EOMONTH((Tahmin!$C$4+55),0))))&lt;&gt;DATE(YEAR((Tahmin!$C$4+49)),MONTH((Tahmin!$C$4+49)),MIN(DAY(Kalemler!$D106),DAY(EOMONTH((Tahmin!$C$4+49),0)))),DATE(YEAR((Tahmin!$C$4+55)),MONTH((Tahmin!$C$4+55)),MIN(DAY(Kalemler!$D106),DAY(EOMONTH((Tahmin!$C$4+55),0))))&gt;=Kalemler!$D106)),1,0),IF(AND(Kalemler!$D106&gt;=(Tahmin!$C$4+49),Kalemler!$D106&lt;=(Tahmin!$C$4+55)),1,0))))</f>
        <v>0</v>
      </c>
      <c r="J106" s="0" t="n">
        <f aca="false">IF(OR(Kalemler!$A106="",Kalemler!$C106="",Kalemler!$D106=""),0,Kalemler!$C106*IF(Kalemler!$E106="Haftalık",IF(Kalemler!$D106&lt;=(Tahmin!$C$4+62),1,0),IF(Kalemler!$E106="Aylık",IF(OR(AND(DATE(YEAR((Tahmin!$C$4+56)),MONTH((Tahmin!$C$4+56)),MIN(DAY(Kalemler!$D106),DAY(EOMONTH((Tahmin!$C$4+56),0))))&gt;=(Tahmin!$C$4+56),DATE(YEAR((Tahmin!$C$4+56)),MONTH((Tahmin!$C$4+56)),MIN(DAY(Kalemler!$D106),DAY(EOMONTH((Tahmin!$C$4+56),0))))&lt;=(Tahmin!$C$4+62),DATE(YEAR((Tahmin!$C$4+56)),MONTH((Tahmin!$C$4+56)),MIN(DAY(Kalemler!$D106),DAY(EOMONTH((Tahmin!$C$4+56),0))))&gt;=Kalemler!$D106),AND(DATE(YEAR((Tahmin!$C$4+62)),MONTH((Tahmin!$C$4+62)),MIN(DAY(Kalemler!$D106),DAY(EOMONTH((Tahmin!$C$4+62),0))))&gt;=(Tahmin!$C$4+56),DATE(YEAR((Tahmin!$C$4+62)),MONTH((Tahmin!$C$4+62)),MIN(DAY(Kalemler!$D106),DAY(EOMONTH((Tahmin!$C$4+62),0))))&lt;=(Tahmin!$C$4+62),DATE(YEAR((Tahmin!$C$4+62)),MONTH((Tahmin!$C$4+62)),MIN(DAY(Kalemler!$D106),DAY(EOMONTH((Tahmin!$C$4+62),0))))&lt;&gt;DATE(YEAR((Tahmin!$C$4+56)),MONTH((Tahmin!$C$4+56)),MIN(DAY(Kalemler!$D106),DAY(EOMONTH((Tahmin!$C$4+56),0)))),DATE(YEAR((Tahmin!$C$4+62)),MONTH((Tahmin!$C$4+62)),MIN(DAY(Kalemler!$D106),DAY(EOMONTH((Tahmin!$C$4+62),0))))&gt;=Kalemler!$D106)),1,0),IF(AND(Kalemler!$D106&gt;=(Tahmin!$C$4+56),Kalemler!$D106&lt;=(Tahmin!$C$4+62)),1,0))))</f>
        <v>0</v>
      </c>
      <c r="K106" s="0" t="n">
        <f aca="false">IF(OR(Kalemler!$A106="",Kalemler!$C106="",Kalemler!$D106=""),0,Kalemler!$C106*IF(Kalemler!$E106="Haftalık",IF(Kalemler!$D106&lt;=(Tahmin!$C$4+69),1,0),IF(Kalemler!$E106="Aylık",IF(OR(AND(DATE(YEAR((Tahmin!$C$4+63)),MONTH((Tahmin!$C$4+63)),MIN(DAY(Kalemler!$D106),DAY(EOMONTH((Tahmin!$C$4+63),0))))&gt;=(Tahmin!$C$4+63),DATE(YEAR((Tahmin!$C$4+63)),MONTH((Tahmin!$C$4+63)),MIN(DAY(Kalemler!$D106),DAY(EOMONTH((Tahmin!$C$4+63),0))))&lt;=(Tahmin!$C$4+69),DATE(YEAR((Tahmin!$C$4+63)),MONTH((Tahmin!$C$4+63)),MIN(DAY(Kalemler!$D106),DAY(EOMONTH((Tahmin!$C$4+63),0))))&gt;=Kalemler!$D106),AND(DATE(YEAR((Tahmin!$C$4+69)),MONTH((Tahmin!$C$4+69)),MIN(DAY(Kalemler!$D106),DAY(EOMONTH((Tahmin!$C$4+69),0))))&gt;=(Tahmin!$C$4+63),DATE(YEAR((Tahmin!$C$4+69)),MONTH((Tahmin!$C$4+69)),MIN(DAY(Kalemler!$D106),DAY(EOMONTH((Tahmin!$C$4+69),0))))&lt;=(Tahmin!$C$4+69),DATE(YEAR((Tahmin!$C$4+69)),MONTH((Tahmin!$C$4+69)),MIN(DAY(Kalemler!$D106),DAY(EOMONTH((Tahmin!$C$4+69),0))))&lt;&gt;DATE(YEAR((Tahmin!$C$4+63)),MONTH((Tahmin!$C$4+63)),MIN(DAY(Kalemler!$D106),DAY(EOMONTH((Tahmin!$C$4+63),0)))),DATE(YEAR((Tahmin!$C$4+69)),MONTH((Tahmin!$C$4+69)),MIN(DAY(Kalemler!$D106),DAY(EOMONTH((Tahmin!$C$4+69),0))))&gt;=Kalemler!$D106)),1,0),IF(AND(Kalemler!$D106&gt;=(Tahmin!$C$4+63),Kalemler!$D106&lt;=(Tahmin!$C$4+69)),1,0))))</f>
        <v>0</v>
      </c>
      <c r="L106" s="0" t="n">
        <f aca="false">IF(OR(Kalemler!$A106="",Kalemler!$C106="",Kalemler!$D106=""),0,Kalemler!$C106*IF(Kalemler!$E106="Haftalık",IF(Kalemler!$D106&lt;=(Tahmin!$C$4+76),1,0),IF(Kalemler!$E106="Aylık",IF(OR(AND(DATE(YEAR((Tahmin!$C$4+70)),MONTH((Tahmin!$C$4+70)),MIN(DAY(Kalemler!$D106),DAY(EOMONTH((Tahmin!$C$4+70),0))))&gt;=(Tahmin!$C$4+70),DATE(YEAR((Tahmin!$C$4+70)),MONTH((Tahmin!$C$4+70)),MIN(DAY(Kalemler!$D106),DAY(EOMONTH((Tahmin!$C$4+70),0))))&lt;=(Tahmin!$C$4+76),DATE(YEAR((Tahmin!$C$4+70)),MONTH((Tahmin!$C$4+70)),MIN(DAY(Kalemler!$D106),DAY(EOMONTH((Tahmin!$C$4+70),0))))&gt;=Kalemler!$D106),AND(DATE(YEAR((Tahmin!$C$4+76)),MONTH((Tahmin!$C$4+76)),MIN(DAY(Kalemler!$D106),DAY(EOMONTH((Tahmin!$C$4+76),0))))&gt;=(Tahmin!$C$4+70),DATE(YEAR((Tahmin!$C$4+76)),MONTH((Tahmin!$C$4+76)),MIN(DAY(Kalemler!$D106),DAY(EOMONTH((Tahmin!$C$4+76),0))))&lt;=(Tahmin!$C$4+76),DATE(YEAR((Tahmin!$C$4+76)),MONTH((Tahmin!$C$4+76)),MIN(DAY(Kalemler!$D106),DAY(EOMONTH((Tahmin!$C$4+76),0))))&lt;&gt;DATE(YEAR((Tahmin!$C$4+70)),MONTH((Tahmin!$C$4+70)),MIN(DAY(Kalemler!$D106),DAY(EOMONTH((Tahmin!$C$4+70),0)))),DATE(YEAR((Tahmin!$C$4+76)),MONTH((Tahmin!$C$4+76)),MIN(DAY(Kalemler!$D106),DAY(EOMONTH((Tahmin!$C$4+76),0))))&gt;=Kalemler!$D106)),1,0),IF(AND(Kalemler!$D106&gt;=(Tahmin!$C$4+70),Kalemler!$D106&lt;=(Tahmin!$C$4+76)),1,0))))</f>
        <v>0</v>
      </c>
      <c r="M106" s="0" t="n">
        <f aca="false">IF(OR(Kalemler!$A106="",Kalemler!$C106="",Kalemler!$D106=""),0,Kalemler!$C106*IF(Kalemler!$E106="Haftalık",IF(Kalemler!$D106&lt;=(Tahmin!$C$4+83),1,0),IF(Kalemler!$E106="Aylık",IF(OR(AND(DATE(YEAR((Tahmin!$C$4+77)),MONTH((Tahmin!$C$4+77)),MIN(DAY(Kalemler!$D106),DAY(EOMONTH((Tahmin!$C$4+77),0))))&gt;=(Tahmin!$C$4+77),DATE(YEAR((Tahmin!$C$4+77)),MONTH((Tahmin!$C$4+77)),MIN(DAY(Kalemler!$D106),DAY(EOMONTH((Tahmin!$C$4+77),0))))&lt;=(Tahmin!$C$4+83),DATE(YEAR((Tahmin!$C$4+77)),MONTH((Tahmin!$C$4+77)),MIN(DAY(Kalemler!$D106),DAY(EOMONTH((Tahmin!$C$4+77),0))))&gt;=Kalemler!$D106),AND(DATE(YEAR((Tahmin!$C$4+83)),MONTH((Tahmin!$C$4+83)),MIN(DAY(Kalemler!$D106),DAY(EOMONTH((Tahmin!$C$4+83),0))))&gt;=(Tahmin!$C$4+77),DATE(YEAR((Tahmin!$C$4+83)),MONTH((Tahmin!$C$4+83)),MIN(DAY(Kalemler!$D106),DAY(EOMONTH((Tahmin!$C$4+83),0))))&lt;=(Tahmin!$C$4+83),DATE(YEAR((Tahmin!$C$4+83)),MONTH((Tahmin!$C$4+83)),MIN(DAY(Kalemler!$D106),DAY(EOMONTH((Tahmin!$C$4+83),0))))&lt;&gt;DATE(YEAR((Tahmin!$C$4+77)),MONTH((Tahmin!$C$4+77)),MIN(DAY(Kalemler!$D106),DAY(EOMONTH((Tahmin!$C$4+77),0)))),DATE(YEAR((Tahmin!$C$4+83)),MONTH((Tahmin!$C$4+83)),MIN(DAY(Kalemler!$D106),DAY(EOMONTH((Tahmin!$C$4+83),0))))&gt;=Kalemler!$D106)),1,0),IF(AND(Kalemler!$D106&gt;=(Tahmin!$C$4+77),Kalemler!$D106&lt;=(Tahmin!$C$4+83)),1,0))))</f>
        <v>0</v>
      </c>
      <c r="N106" s="0" t="n">
        <f aca="false">IF(OR(Kalemler!$A106="",Kalemler!$C106="",Kalemler!$D106=""),0,Kalemler!$C106*IF(Kalemler!$E106="Haftalık",IF(Kalemler!$D106&lt;=(Tahmin!$C$4+90),1,0),IF(Kalemler!$E106="Aylık",IF(OR(AND(DATE(YEAR((Tahmin!$C$4+84)),MONTH((Tahmin!$C$4+84)),MIN(DAY(Kalemler!$D106),DAY(EOMONTH((Tahmin!$C$4+84),0))))&gt;=(Tahmin!$C$4+84),DATE(YEAR((Tahmin!$C$4+84)),MONTH((Tahmin!$C$4+84)),MIN(DAY(Kalemler!$D106),DAY(EOMONTH((Tahmin!$C$4+84),0))))&lt;=(Tahmin!$C$4+90),DATE(YEAR((Tahmin!$C$4+84)),MONTH((Tahmin!$C$4+84)),MIN(DAY(Kalemler!$D106),DAY(EOMONTH((Tahmin!$C$4+84),0))))&gt;=Kalemler!$D106),AND(DATE(YEAR((Tahmin!$C$4+90)),MONTH((Tahmin!$C$4+90)),MIN(DAY(Kalemler!$D106),DAY(EOMONTH((Tahmin!$C$4+90),0))))&gt;=(Tahmin!$C$4+84),DATE(YEAR((Tahmin!$C$4+90)),MONTH((Tahmin!$C$4+90)),MIN(DAY(Kalemler!$D106),DAY(EOMONTH((Tahmin!$C$4+90),0))))&lt;=(Tahmin!$C$4+90),DATE(YEAR((Tahmin!$C$4+90)),MONTH((Tahmin!$C$4+90)),MIN(DAY(Kalemler!$D106),DAY(EOMONTH((Tahmin!$C$4+90),0))))&lt;&gt;DATE(YEAR((Tahmin!$C$4+84)),MONTH((Tahmin!$C$4+84)),MIN(DAY(Kalemler!$D106),DAY(EOMONTH((Tahmin!$C$4+84),0)))),DATE(YEAR((Tahmin!$C$4+90)),MONTH((Tahmin!$C$4+90)),MIN(DAY(Kalemler!$D106),DAY(EOMONTH((Tahmin!$C$4+90),0))))&gt;=Kalemler!$D106)),1,0),IF(AND(Kalemler!$D106&gt;=(Tahmin!$C$4+84),Kalemler!$D106&lt;=(Tahmin!$C$4+90)),1,0))))</f>
        <v>0</v>
      </c>
    </row>
    <row r="107" customFormat="false" ht="15" hidden="false" customHeight="false" outlineLevel="0" collapsed="false">
      <c r="A107" s="0" t="str">
        <f aca="false">IF(Kalemler!A107="","",Kalemler!A107)</f>
        <v/>
      </c>
      <c r="B107" s="0" t="n">
        <f aca="false">IF(OR(Kalemler!$A107="",Kalemler!$C107="",Kalemler!$D107=""),0,Kalemler!$C107*IF(Kalemler!$E107="Haftalık",IF(Kalemler!$D107&lt;=(Tahmin!$C$4+6),1,0),IF(Kalemler!$E107="Aylık",IF(OR(AND(DATE(YEAR((Tahmin!$C$4+0)),MONTH((Tahmin!$C$4+0)),MIN(DAY(Kalemler!$D107),DAY(EOMONTH((Tahmin!$C$4+0),0))))&gt;=(Tahmin!$C$4+0),DATE(YEAR((Tahmin!$C$4+0)),MONTH((Tahmin!$C$4+0)),MIN(DAY(Kalemler!$D107),DAY(EOMONTH((Tahmin!$C$4+0),0))))&lt;=(Tahmin!$C$4+6),DATE(YEAR((Tahmin!$C$4+0)),MONTH((Tahmin!$C$4+0)),MIN(DAY(Kalemler!$D107),DAY(EOMONTH((Tahmin!$C$4+0),0))))&gt;=Kalemler!$D107),AND(DATE(YEAR((Tahmin!$C$4+6)),MONTH((Tahmin!$C$4+6)),MIN(DAY(Kalemler!$D107),DAY(EOMONTH((Tahmin!$C$4+6),0))))&gt;=(Tahmin!$C$4+0),DATE(YEAR((Tahmin!$C$4+6)),MONTH((Tahmin!$C$4+6)),MIN(DAY(Kalemler!$D107),DAY(EOMONTH((Tahmin!$C$4+6),0))))&lt;=(Tahmin!$C$4+6),DATE(YEAR((Tahmin!$C$4+6)),MONTH((Tahmin!$C$4+6)),MIN(DAY(Kalemler!$D107),DAY(EOMONTH((Tahmin!$C$4+6),0))))&lt;&gt;DATE(YEAR((Tahmin!$C$4+0)),MONTH((Tahmin!$C$4+0)),MIN(DAY(Kalemler!$D107),DAY(EOMONTH((Tahmin!$C$4+0),0)))),DATE(YEAR((Tahmin!$C$4+6)),MONTH((Tahmin!$C$4+6)),MIN(DAY(Kalemler!$D107),DAY(EOMONTH((Tahmin!$C$4+6),0))))&gt;=Kalemler!$D107)),1,0),IF(AND(Kalemler!$D107&gt;=(Tahmin!$C$4+0),Kalemler!$D107&lt;=(Tahmin!$C$4+6)),1,0))))</f>
        <v>0</v>
      </c>
      <c r="C107" s="0" t="n">
        <f aca="false">IF(OR(Kalemler!$A107="",Kalemler!$C107="",Kalemler!$D107=""),0,Kalemler!$C107*IF(Kalemler!$E107="Haftalık",IF(Kalemler!$D107&lt;=(Tahmin!$C$4+13),1,0),IF(Kalemler!$E107="Aylık",IF(OR(AND(DATE(YEAR((Tahmin!$C$4+7)),MONTH((Tahmin!$C$4+7)),MIN(DAY(Kalemler!$D107),DAY(EOMONTH((Tahmin!$C$4+7),0))))&gt;=(Tahmin!$C$4+7),DATE(YEAR((Tahmin!$C$4+7)),MONTH((Tahmin!$C$4+7)),MIN(DAY(Kalemler!$D107),DAY(EOMONTH((Tahmin!$C$4+7),0))))&lt;=(Tahmin!$C$4+13),DATE(YEAR((Tahmin!$C$4+7)),MONTH((Tahmin!$C$4+7)),MIN(DAY(Kalemler!$D107),DAY(EOMONTH((Tahmin!$C$4+7),0))))&gt;=Kalemler!$D107),AND(DATE(YEAR((Tahmin!$C$4+13)),MONTH((Tahmin!$C$4+13)),MIN(DAY(Kalemler!$D107),DAY(EOMONTH((Tahmin!$C$4+13),0))))&gt;=(Tahmin!$C$4+7),DATE(YEAR((Tahmin!$C$4+13)),MONTH((Tahmin!$C$4+13)),MIN(DAY(Kalemler!$D107),DAY(EOMONTH((Tahmin!$C$4+13),0))))&lt;=(Tahmin!$C$4+13),DATE(YEAR((Tahmin!$C$4+13)),MONTH((Tahmin!$C$4+13)),MIN(DAY(Kalemler!$D107),DAY(EOMONTH((Tahmin!$C$4+13),0))))&lt;&gt;DATE(YEAR((Tahmin!$C$4+7)),MONTH((Tahmin!$C$4+7)),MIN(DAY(Kalemler!$D107),DAY(EOMONTH((Tahmin!$C$4+7),0)))),DATE(YEAR((Tahmin!$C$4+13)),MONTH((Tahmin!$C$4+13)),MIN(DAY(Kalemler!$D107),DAY(EOMONTH((Tahmin!$C$4+13),0))))&gt;=Kalemler!$D107)),1,0),IF(AND(Kalemler!$D107&gt;=(Tahmin!$C$4+7),Kalemler!$D107&lt;=(Tahmin!$C$4+13)),1,0))))</f>
        <v>0</v>
      </c>
      <c r="D107" s="0" t="n">
        <f aca="false">IF(OR(Kalemler!$A107="",Kalemler!$C107="",Kalemler!$D107=""),0,Kalemler!$C107*IF(Kalemler!$E107="Haftalık",IF(Kalemler!$D107&lt;=(Tahmin!$C$4+20),1,0),IF(Kalemler!$E107="Aylık",IF(OR(AND(DATE(YEAR((Tahmin!$C$4+14)),MONTH((Tahmin!$C$4+14)),MIN(DAY(Kalemler!$D107),DAY(EOMONTH((Tahmin!$C$4+14),0))))&gt;=(Tahmin!$C$4+14),DATE(YEAR((Tahmin!$C$4+14)),MONTH((Tahmin!$C$4+14)),MIN(DAY(Kalemler!$D107),DAY(EOMONTH((Tahmin!$C$4+14),0))))&lt;=(Tahmin!$C$4+20),DATE(YEAR((Tahmin!$C$4+14)),MONTH((Tahmin!$C$4+14)),MIN(DAY(Kalemler!$D107),DAY(EOMONTH((Tahmin!$C$4+14),0))))&gt;=Kalemler!$D107),AND(DATE(YEAR((Tahmin!$C$4+20)),MONTH((Tahmin!$C$4+20)),MIN(DAY(Kalemler!$D107),DAY(EOMONTH((Tahmin!$C$4+20),0))))&gt;=(Tahmin!$C$4+14),DATE(YEAR((Tahmin!$C$4+20)),MONTH((Tahmin!$C$4+20)),MIN(DAY(Kalemler!$D107),DAY(EOMONTH((Tahmin!$C$4+20),0))))&lt;=(Tahmin!$C$4+20),DATE(YEAR((Tahmin!$C$4+20)),MONTH((Tahmin!$C$4+20)),MIN(DAY(Kalemler!$D107),DAY(EOMONTH((Tahmin!$C$4+20),0))))&lt;&gt;DATE(YEAR((Tahmin!$C$4+14)),MONTH((Tahmin!$C$4+14)),MIN(DAY(Kalemler!$D107),DAY(EOMONTH((Tahmin!$C$4+14),0)))),DATE(YEAR((Tahmin!$C$4+20)),MONTH((Tahmin!$C$4+20)),MIN(DAY(Kalemler!$D107),DAY(EOMONTH((Tahmin!$C$4+20),0))))&gt;=Kalemler!$D107)),1,0),IF(AND(Kalemler!$D107&gt;=(Tahmin!$C$4+14),Kalemler!$D107&lt;=(Tahmin!$C$4+20)),1,0))))</f>
        <v>0</v>
      </c>
      <c r="E107" s="0" t="n">
        <f aca="false">IF(OR(Kalemler!$A107="",Kalemler!$C107="",Kalemler!$D107=""),0,Kalemler!$C107*IF(Kalemler!$E107="Haftalık",IF(Kalemler!$D107&lt;=(Tahmin!$C$4+27),1,0),IF(Kalemler!$E107="Aylık",IF(OR(AND(DATE(YEAR((Tahmin!$C$4+21)),MONTH((Tahmin!$C$4+21)),MIN(DAY(Kalemler!$D107),DAY(EOMONTH((Tahmin!$C$4+21),0))))&gt;=(Tahmin!$C$4+21),DATE(YEAR((Tahmin!$C$4+21)),MONTH((Tahmin!$C$4+21)),MIN(DAY(Kalemler!$D107),DAY(EOMONTH((Tahmin!$C$4+21),0))))&lt;=(Tahmin!$C$4+27),DATE(YEAR((Tahmin!$C$4+21)),MONTH((Tahmin!$C$4+21)),MIN(DAY(Kalemler!$D107),DAY(EOMONTH((Tahmin!$C$4+21),0))))&gt;=Kalemler!$D107),AND(DATE(YEAR((Tahmin!$C$4+27)),MONTH((Tahmin!$C$4+27)),MIN(DAY(Kalemler!$D107),DAY(EOMONTH((Tahmin!$C$4+27),0))))&gt;=(Tahmin!$C$4+21),DATE(YEAR((Tahmin!$C$4+27)),MONTH((Tahmin!$C$4+27)),MIN(DAY(Kalemler!$D107),DAY(EOMONTH((Tahmin!$C$4+27),0))))&lt;=(Tahmin!$C$4+27),DATE(YEAR((Tahmin!$C$4+27)),MONTH((Tahmin!$C$4+27)),MIN(DAY(Kalemler!$D107),DAY(EOMONTH((Tahmin!$C$4+27),0))))&lt;&gt;DATE(YEAR((Tahmin!$C$4+21)),MONTH((Tahmin!$C$4+21)),MIN(DAY(Kalemler!$D107),DAY(EOMONTH((Tahmin!$C$4+21),0)))),DATE(YEAR((Tahmin!$C$4+27)),MONTH((Tahmin!$C$4+27)),MIN(DAY(Kalemler!$D107),DAY(EOMONTH((Tahmin!$C$4+27),0))))&gt;=Kalemler!$D107)),1,0),IF(AND(Kalemler!$D107&gt;=(Tahmin!$C$4+21),Kalemler!$D107&lt;=(Tahmin!$C$4+27)),1,0))))</f>
        <v>0</v>
      </c>
      <c r="F107" s="0" t="n">
        <f aca="false">IF(OR(Kalemler!$A107="",Kalemler!$C107="",Kalemler!$D107=""),0,Kalemler!$C107*IF(Kalemler!$E107="Haftalık",IF(Kalemler!$D107&lt;=(Tahmin!$C$4+34),1,0),IF(Kalemler!$E107="Aylık",IF(OR(AND(DATE(YEAR((Tahmin!$C$4+28)),MONTH((Tahmin!$C$4+28)),MIN(DAY(Kalemler!$D107),DAY(EOMONTH((Tahmin!$C$4+28),0))))&gt;=(Tahmin!$C$4+28),DATE(YEAR((Tahmin!$C$4+28)),MONTH((Tahmin!$C$4+28)),MIN(DAY(Kalemler!$D107),DAY(EOMONTH((Tahmin!$C$4+28),0))))&lt;=(Tahmin!$C$4+34),DATE(YEAR((Tahmin!$C$4+28)),MONTH((Tahmin!$C$4+28)),MIN(DAY(Kalemler!$D107),DAY(EOMONTH((Tahmin!$C$4+28),0))))&gt;=Kalemler!$D107),AND(DATE(YEAR((Tahmin!$C$4+34)),MONTH((Tahmin!$C$4+34)),MIN(DAY(Kalemler!$D107),DAY(EOMONTH((Tahmin!$C$4+34),0))))&gt;=(Tahmin!$C$4+28),DATE(YEAR((Tahmin!$C$4+34)),MONTH((Tahmin!$C$4+34)),MIN(DAY(Kalemler!$D107),DAY(EOMONTH((Tahmin!$C$4+34),0))))&lt;=(Tahmin!$C$4+34),DATE(YEAR((Tahmin!$C$4+34)),MONTH((Tahmin!$C$4+34)),MIN(DAY(Kalemler!$D107),DAY(EOMONTH((Tahmin!$C$4+34),0))))&lt;&gt;DATE(YEAR((Tahmin!$C$4+28)),MONTH((Tahmin!$C$4+28)),MIN(DAY(Kalemler!$D107),DAY(EOMONTH((Tahmin!$C$4+28),0)))),DATE(YEAR((Tahmin!$C$4+34)),MONTH((Tahmin!$C$4+34)),MIN(DAY(Kalemler!$D107),DAY(EOMONTH((Tahmin!$C$4+34),0))))&gt;=Kalemler!$D107)),1,0),IF(AND(Kalemler!$D107&gt;=(Tahmin!$C$4+28),Kalemler!$D107&lt;=(Tahmin!$C$4+34)),1,0))))</f>
        <v>0</v>
      </c>
      <c r="G107" s="0" t="n">
        <f aca="false">IF(OR(Kalemler!$A107="",Kalemler!$C107="",Kalemler!$D107=""),0,Kalemler!$C107*IF(Kalemler!$E107="Haftalık",IF(Kalemler!$D107&lt;=(Tahmin!$C$4+41),1,0),IF(Kalemler!$E107="Aylık",IF(OR(AND(DATE(YEAR((Tahmin!$C$4+35)),MONTH((Tahmin!$C$4+35)),MIN(DAY(Kalemler!$D107),DAY(EOMONTH((Tahmin!$C$4+35),0))))&gt;=(Tahmin!$C$4+35),DATE(YEAR((Tahmin!$C$4+35)),MONTH((Tahmin!$C$4+35)),MIN(DAY(Kalemler!$D107),DAY(EOMONTH((Tahmin!$C$4+35),0))))&lt;=(Tahmin!$C$4+41),DATE(YEAR((Tahmin!$C$4+35)),MONTH((Tahmin!$C$4+35)),MIN(DAY(Kalemler!$D107),DAY(EOMONTH((Tahmin!$C$4+35),0))))&gt;=Kalemler!$D107),AND(DATE(YEAR((Tahmin!$C$4+41)),MONTH((Tahmin!$C$4+41)),MIN(DAY(Kalemler!$D107),DAY(EOMONTH((Tahmin!$C$4+41),0))))&gt;=(Tahmin!$C$4+35),DATE(YEAR((Tahmin!$C$4+41)),MONTH((Tahmin!$C$4+41)),MIN(DAY(Kalemler!$D107),DAY(EOMONTH((Tahmin!$C$4+41),0))))&lt;=(Tahmin!$C$4+41),DATE(YEAR((Tahmin!$C$4+41)),MONTH((Tahmin!$C$4+41)),MIN(DAY(Kalemler!$D107),DAY(EOMONTH((Tahmin!$C$4+41),0))))&lt;&gt;DATE(YEAR((Tahmin!$C$4+35)),MONTH((Tahmin!$C$4+35)),MIN(DAY(Kalemler!$D107),DAY(EOMONTH((Tahmin!$C$4+35),0)))),DATE(YEAR((Tahmin!$C$4+41)),MONTH((Tahmin!$C$4+41)),MIN(DAY(Kalemler!$D107),DAY(EOMONTH((Tahmin!$C$4+41),0))))&gt;=Kalemler!$D107)),1,0),IF(AND(Kalemler!$D107&gt;=(Tahmin!$C$4+35),Kalemler!$D107&lt;=(Tahmin!$C$4+41)),1,0))))</f>
        <v>0</v>
      </c>
      <c r="H107" s="0" t="n">
        <f aca="false">IF(OR(Kalemler!$A107="",Kalemler!$C107="",Kalemler!$D107=""),0,Kalemler!$C107*IF(Kalemler!$E107="Haftalık",IF(Kalemler!$D107&lt;=(Tahmin!$C$4+48),1,0),IF(Kalemler!$E107="Aylık",IF(OR(AND(DATE(YEAR((Tahmin!$C$4+42)),MONTH((Tahmin!$C$4+42)),MIN(DAY(Kalemler!$D107),DAY(EOMONTH((Tahmin!$C$4+42),0))))&gt;=(Tahmin!$C$4+42),DATE(YEAR((Tahmin!$C$4+42)),MONTH((Tahmin!$C$4+42)),MIN(DAY(Kalemler!$D107),DAY(EOMONTH((Tahmin!$C$4+42),0))))&lt;=(Tahmin!$C$4+48),DATE(YEAR((Tahmin!$C$4+42)),MONTH((Tahmin!$C$4+42)),MIN(DAY(Kalemler!$D107),DAY(EOMONTH((Tahmin!$C$4+42),0))))&gt;=Kalemler!$D107),AND(DATE(YEAR((Tahmin!$C$4+48)),MONTH((Tahmin!$C$4+48)),MIN(DAY(Kalemler!$D107),DAY(EOMONTH((Tahmin!$C$4+48),0))))&gt;=(Tahmin!$C$4+42),DATE(YEAR((Tahmin!$C$4+48)),MONTH((Tahmin!$C$4+48)),MIN(DAY(Kalemler!$D107),DAY(EOMONTH((Tahmin!$C$4+48),0))))&lt;=(Tahmin!$C$4+48),DATE(YEAR((Tahmin!$C$4+48)),MONTH((Tahmin!$C$4+48)),MIN(DAY(Kalemler!$D107),DAY(EOMONTH((Tahmin!$C$4+48),0))))&lt;&gt;DATE(YEAR((Tahmin!$C$4+42)),MONTH((Tahmin!$C$4+42)),MIN(DAY(Kalemler!$D107),DAY(EOMONTH((Tahmin!$C$4+42),0)))),DATE(YEAR((Tahmin!$C$4+48)),MONTH((Tahmin!$C$4+48)),MIN(DAY(Kalemler!$D107),DAY(EOMONTH((Tahmin!$C$4+48),0))))&gt;=Kalemler!$D107)),1,0),IF(AND(Kalemler!$D107&gt;=(Tahmin!$C$4+42),Kalemler!$D107&lt;=(Tahmin!$C$4+48)),1,0))))</f>
        <v>0</v>
      </c>
      <c r="I107" s="0" t="n">
        <f aca="false">IF(OR(Kalemler!$A107="",Kalemler!$C107="",Kalemler!$D107=""),0,Kalemler!$C107*IF(Kalemler!$E107="Haftalık",IF(Kalemler!$D107&lt;=(Tahmin!$C$4+55),1,0),IF(Kalemler!$E107="Aylık",IF(OR(AND(DATE(YEAR((Tahmin!$C$4+49)),MONTH((Tahmin!$C$4+49)),MIN(DAY(Kalemler!$D107),DAY(EOMONTH((Tahmin!$C$4+49),0))))&gt;=(Tahmin!$C$4+49),DATE(YEAR((Tahmin!$C$4+49)),MONTH((Tahmin!$C$4+49)),MIN(DAY(Kalemler!$D107),DAY(EOMONTH((Tahmin!$C$4+49),0))))&lt;=(Tahmin!$C$4+55),DATE(YEAR((Tahmin!$C$4+49)),MONTH((Tahmin!$C$4+49)),MIN(DAY(Kalemler!$D107),DAY(EOMONTH((Tahmin!$C$4+49),0))))&gt;=Kalemler!$D107),AND(DATE(YEAR((Tahmin!$C$4+55)),MONTH((Tahmin!$C$4+55)),MIN(DAY(Kalemler!$D107),DAY(EOMONTH((Tahmin!$C$4+55),0))))&gt;=(Tahmin!$C$4+49),DATE(YEAR((Tahmin!$C$4+55)),MONTH((Tahmin!$C$4+55)),MIN(DAY(Kalemler!$D107),DAY(EOMONTH((Tahmin!$C$4+55),0))))&lt;=(Tahmin!$C$4+55),DATE(YEAR((Tahmin!$C$4+55)),MONTH((Tahmin!$C$4+55)),MIN(DAY(Kalemler!$D107),DAY(EOMONTH((Tahmin!$C$4+55),0))))&lt;&gt;DATE(YEAR((Tahmin!$C$4+49)),MONTH((Tahmin!$C$4+49)),MIN(DAY(Kalemler!$D107),DAY(EOMONTH((Tahmin!$C$4+49),0)))),DATE(YEAR((Tahmin!$C$4+55)),MONTH((Tahmin!$C$4+55)),MIN(DAY(Kalemler!$D107),DAY(EOMONTH((Tahmin!$C$4+55),0))))&gt;=Kalemler!$D107)),1,0),IF(AND(Kalemler!$D107&gt;=(Tahmin!$C$4+49),Kalemler!$D107&lt;=(Tahmin!$C$4+55)),1,0))))</f>
        <v>0</v>
      </c>
      <c r="J107" s="0" t="n">
        <f aca="false">IF(OR(Kalemler!$A107="",Kalemler!$C107="",Kalemler!$D107=""),0,Kalemler!$C107*IF(Kalemler!$E107="Haftalık",IF(Kalemler!$D107&lt;=(Tahmin!$C$4+62),1,0),IF(Kalemler!$E107="Aylık",IF(OR(AND(DATE(YEAR((Tahmin!$C$4+56)),MONTH((Tahmin!$C$4+56)),MIN(DAY(Kalemler!$D107),DAY(EOMONTH((Tahmin!$C$4+56),0))))&gt;=(Tahmin!$C$4+56),DATE(YEAR((Tahmin!$C$4+56)),MONTH((Tahmin!$C$4+56)),MIN(DAY(Kalemler!$D107),DAY(EOMONTH((Tahmin!$C$4+56),0))))&lt;=(Tahmin!$C$4+62),DATE(YEAR((Tahmin!$C$4+56)),MONTH((Tahmin!$C$4+56)),MIN(DAY(Kalemler!$D107),DAY(EOMONTH((Tahmin!$C$4+56),0))))&gt;=Kalemler!$D107),AND(DATE(YEAR((Tahmin!$C$4+62)),MONTH((Tahmin!$C$4+62)),MIN(DAY(Kalemler!$D107),DAY(EOMONTH((Tahmin!$C$4+62),0))))&gt;=(Tahmin!$C$4+56),DATE(YEAR((Tahmin!$C$4+62)),MONTH((Tahmin!$C$4+62)),MIN(DAY(Kalemler!$D107),DAY(EOMONTH((Tahmin!$C$4+62),0))))&lt;=(Tahmin!$C$4+62),DATE(YEAR((Tahmin!$C$4+62)),MONTH((Tahmin!$C$4+62)),MIN(DAY(Kalemler!$D107),DAY(EOMONTH((Tahmin!$C$4+62),0))))&lt;&gt;DATE(YEAR((Tahmin!$C$4+56)),MONTH((Tahmin!$C$4+56)),MIN(DAY(Kalemler!$D107),DAY(EOMONTH((Tahmin!$C$4+56),0)))),DATE(YEAR((Tahmin!$C$4+62)),MONTH((Tahmin!$C$4+62)),MIN(DAY(Kalemler!$D107),DAY(EOMONTH((Tahmin!$C$4+62),0))))&gt;=Kalemler!$D107)),1,0),IF(AND(Kalemler!$D107&gt;=(Tahmin!$C$4+56),Kalemler!$D107&lt;=(Tahmin!$C$4+62)),1,0))))</f>
        <v>0</v>
      </c>
      <c r="K107" s="0" t="n">
        <f aca="false">IF(OR(Kalemler!$A107="",Kalemler!$C107="",Kalemler!$D107=""),0,Kalemler!$C107*IF(Kalemler!$E107="Haftalık",IF(Kalemler!$D107&lt;=(Tahmin!$C$4+69),1,0),IF(Kalemler!$E107="Aylık",IF(OR(AND(DATE(YEAR((Tahmin!$C$4+63)),MONTH((Tahmin!$C$4+63)),MIN(DAY(Kalemler!$D107),DAY(EOMONTH((Tahmin!$C$4+63),0))))&gt;=(Tahmin!$C$4+63),DATE(YEAR((Tahmin!$C$4+63)),MONTH((Tahmin!$C$4+63)),MIN(DAY(Kalemler!$D107),DAY(EOMONTH((Tahmin!$C$4+63),0))))&lt;=(Tahmin!$C$4+69),DATE(YEAR((Tahmin!$C$4+63)),MONTH((Tahmin!$C$4+63)),MIN(DAY(Kalemler!$D107),DAY(EOMONTH((Tahmin!$C$4+63),0))))&gt;=Kalemler!$D107),AND(DATE(YEAR((Tahmin!$C$4+69)),MONTH((Tahmin!$C$4+69)),MIN(DAY(Kalemler!$D107),DAY(EOMONTH((Tahmin!$C$4+69),0))))&gt;=(Tahmin!$C$4+63),DATE(YEAR((Tahmin!$C$4+69)),MONTH((Tahmin!$C$4+69)),MIN(DAY(Kalemler!$D107),DAY(EOMONTH((Tahmin!$C$4+69),0))))&lt;=(Tahmin!$C$4+69),DATE(YEAR((Tahmin!$C$4+69)),MONTH((Tahmin!$C$4+69)),MIN(DAY(Kalemler!$D107),DAY(EOMONTH((Tahmin!$C$4+69),0))))&lt;&gt;DATE(YEAR((Tahmin!$C$4+63)),MONTH((Tahmin!$C$4+63)),MIN(DAY(Kalemler!$D107),DAY(EOMONTH((Tahmin!$C$4+63),0)))),DATE(YEAR((Tahmin!$C$4+69)),MONTH((Tahmin!$C$4+69)),MIN(DAY(Kalemler!$D107),DAY(EOMONTH((Tahmin!$C$4+69),0))))&gt;=Kalemler!$D107)),1,0),IF(AND(Kalemler!$D107&gt;=(Tahmin!$C$4+63),Kalemler!$D107&lt;=(Tahmin!$C$4+69)),1,0))))</f>
        <v>0</v>
      </c>
      <c r="L107" s="0" t="n">
        <f aca="false">IF(OR(Kalemler!$A107="",Kalemler!$C107="",Kalemler!$D107=""),0,Kalemler!$C107*IF(Kalemler!$E107="Haftalık",IF(Kalemler!$D107&lt;=(Tahmin!$C$4+76),1,0),IF(Kalemler!$E107="Aylık",IF(OR(AND(DATE(YEAR((Tahmin!$C$4+70)),MONTH((Tahmin!$C$4+70)),MIN(DAY(Kalemler!$D107),DAY(EOMONTH((Tahmin!$C$4+70),0))))&gt;=(Tahmin!$C$4+70),DATE(YEAR((Tahmin!$C$4+70)),MONTH((Tahmin!$C$4+70)),MIN(DAY(Kalemler!$D107),DAY(EOMONTH((Tahmin!$C$4+70),0))))&lt;=(Tahmin!$C$4+76),DATE(YEAR((Tahmin!$C$4+70)),MONTH((Tahmin!$C$4+70)),MIN(DAY(Kalemler!$D107),DAY(EOMONTH((Tahmin!$C$4+70),0))))&gt;=Kalemler!$D107),AND(DATE(YEAR((Tahmin!$C$4+76)),MONTH((Tahmin!$C$4+76)),MIN(DAY(Kalemler!$D107),DAY(EOMONTH((Tahmin!$C$4+76),0))))&gt;=(Tahmin!$C$4+70),DATE(YEAR((Tahmin!$C$4+76)),MONTH((Tahmin!$C$4+76)),MIN(DAY(Kalemler!$D107),DAY(EOMONTH((Tahmin!$C$4+76),0))))&lt;=(Tahmin!$C$4+76),DATE(YEAR((Tahmin!$C$4+76)),MONTH((Tahmin!$C$4+76)),MIN(DAY(Kalemler!$D107),DAY(EOMONTH((Tahmin!$C$4+76),0))))&lt;&gt;DATE(YEAR((Tahmin!$C$4+70)),MONTH((Tahmin!$C$4+70)),MIN(DAY(Kalemler!$D107),DAY(EOMONTH((Tahmin!$C$4+70),0)))),DATE(YEAR((Tahmin!$C$4+76)),MONTH((Tahmin!$C$4+76)),MIN(DAY(Kalemler!$D107),DAY(EOMONTH((Tahmin!$C$4+76),0))))&gt;=Kalemler!$D107)),1,0),IF(AND(Kalemler!$D107&gt;=(Tahmin!$C$4+70),Kalemler!$D107&lt;=(Tahmin!$C$4+76)),1,0))))</f>
        <v>0</v>
      </c>
      <c r="M107" s="0" t="n">
        <f aca="false">IF(OR(Kalemler!$A107="",Kalemler!$C107="",Kalemler!$D107=""),0,Kalemler!$C107*IF(Kalemler!$E107="Haftalık",IF(Kalemler!$D107&lt;=(Tahmin!$C$4+83),1,0),IF(Kalemler!$E107="Aylık",IF(OR(AND(DATE(YEAR((Tahmin!$C$4+77)),MONTH((Tahmin!$C$4+77)),MIN(DAY(Kalemler!$D107),DAY(EOMONTH((Tahmin!$C$4+77),0))))&gt;=(Tahmin!$C$4+77),DATE(YEAR((Tahmin!$C$4+77)),MONTH((Tahmin!$C$4+77)),MIN(DAY(Kalemler!$D107),DAY(EOMONTH((Tahmin!$C$4+77),0))))&lt;=(Tahmin!$C$4+83),DATE(YEAR((Tahmin!$C$4+77)),MONTH((Tahmin!$C$4+77)),MIN(DAY(Kalemler!$D107),DAY(EOMONTH((Tahmin!$C$4+77),0))))&gt;=Kalemler!$D107),AND(DATE(YEAR((Tahmin!$C$4+83)),MONTH((Tahmin!$C$4+83)),MIN(DAY(Kalemler!$D107),DAY(EOMONTH((Tahmin!$C$4+83),0))))&gt;=(Tahmin!$C$4+77),DATE(YEAR((Tahmin!$C$4+83)),MONTH((Tahmin!$C$4+83)),MIN(DAY(Kalemler!$D107),DAY(EOMONTH((Tahmin!$C$4+83),0))))&lt;=(Tahmin!$C$4+83),DATE(YEAR((Tahmin!$C$4+83)),MONTH((Tahmin!$C$4+83)),MIN(DAY(Kalemler!$D107),DAY(EOMONTH((Tahmin!$C$4+83),0))))&lt;&gt;DATE(YEAR((Tahmin!$C$4+77)),MONTH((Tahmin!$C$4+77)),MIN(DAY(Kalemler!$D107),DAY(EOMONTH((Tahmin!$C$4+77),0)))),DATE(YEAR((Tahmin!$C$4+83)),MONTH((Tahmin!$C$4+83)),MIN(DAY(Kalemler!$D107),DAY(EOMONTH((Tahmin!$C$4+83),0))))&gt;=Kalemler!$D107)),1,0),IF(AND(Kalemler!$D107&gt;=(Tahmin!$C$4+77),Kalemler!$D107&lt;=(Tahmin!$C$4+83)),1,0))))</f>
        <v>0</v>
      </c>
      <c r="N107" s="0" t="n">
        <f aca="false">IF(OR(Kalemler!$A107="",Kalemler!$C107="",Kalemler!$D107=""),0,Kalemler!$C107*IF(Kalemler!$E107="Haftalık",IF(Kalemler!$D107&lt;=(Tahmin!$C$4+90),1,0),IF(Kalemler!$E107="Aylık",IF(OR(AND(DATE(YEAR((Tahmin!$C$4+84)),MONTH((Tahmin!$C$4+84)),MIN(DAY(Kalemler!$D107),DAY(EOMONTH((Tahmin!$C$4+84),0))))&gt;=(Tahmin!$C$4+84),DATE(YEAR((Tahmin!$C$4+84)),MONTH((Tahmin!$C$4+84)),MIN(DAY(Kalemler!$D107),DAY(EOMONTH((Tahmin!$C$4+84),0))))&lt;=(Tahmin!$C$4+90),DATE(YEAR((Tahmin!$C$4+84)),MONTH((Tahmin!$C$4+84)),MIN(DAY(Kalemler!$D107),DAY(EOMONTH((Tahmin!$C$4+84),0))))&gt;=Kalemler!$D107),AND(DATE(YEAR((Tahmin!$C$4+90)),MONTH((Tahmin!$C$4+90)),MIN(DAY(Kalemler!$D107),DAY(EOMONTH((Tahmin!$C$4+90),0))))&gt;=(Tahmin!$C$4+84),DATE(YEAR((Tahmin!$C$4+90)),MONTH((Tahmin!$C$4+90)),MIN(DAY(Kalemler!$D107),DAY(EOMONTH((Tahmin!$C$4+90),0))))&lt;=(Tahmin!$C$4+90),DATE(YEAR((Tahmin!$C$4+90)),MONTH((Tahmin!$C$4+90)),MIN(DAY(Kalemler!$D107),DAY(EOMONTH((Tahmin!$C$4+90),0))))&lt;&gt;DATE(YEAR((Tahmin!$C$4+84)),MONTH((Tahmin!$C$4+84)),MIN(DAY(Kalemler!$D107),DAY(EOMONTH((Tahmin!$C$4+84),0)))),DATE(YEAR((Tahmin!$C$4+90)),MONTH((Tahmin!$C$4+90)),MIN(DAY(Kalemler!$D107),DAY(EOMONTH((Tahmin!$C$4+90),0))))&gt;=Kalemler!$D107)),1,0),IF(AND(Kalemler!$D107&gt;=(Tahmin!$C$4+84),Kalemler!$D107&lt;=(Tahmin!$C$4+90)),1,0))))</f>
        <v>0</v>
      </c>
    </row>
    <row r="108" customFormat="false" ht="15" hidden="false" customHeight="false" outlineLevel="0" collapsed="false">
      <c r="A108" s="0" t="str">
        <f aca="false">IF(Kalemler!A108="","",Kalemler!A108)</f>
        <v/>
      </c>
      <c r="B108" s="0" t="n">
        <f aca="false">IF(OR(Kalemler!$A108="",Kalemler!$C108="",Kalemler!$D108=""),0,Kalemler!$C108*IF(Kalemler!$E108="Haftalık",IF(Kalemler!$D108&lt;=(Tahmin!$C$4+6),1,0),IF(Kalemler!$E108="Aylık",IF(OR(AND(DATE(YEAR((Tahmin!$C$4+0)),MONTH((Tahmin!$C$4+0)),MIN(DAY(Kalemler!$D108),DAY(EOMONTH((Tahmin!$C$4+0),0))))&gt;=(Tahmin!$C$4+0),DATE(YEAR((Tahmin!$C$4+0)),MONTH((Tahmin!$C$4+0)),MIN(DAY(Kalemler!$D108),DAY(EOMONTH((Tahmin!$C$4+0),0))))&lt;=(Tahmin!$C$4+6),DATE(YEAR((Tahmin!$C$4+0)),MONTH((Tahmin!$C$4+0)),MIN(DAY(Kalemler!$D108),DAY(EOMONTH((Tahmin!$C$4+0),0))))&gt;=Kalemler!$D108),AND(DATE(YEAR((Tahmin!$C$4+6)),MONTH((Tahmin!$C$4+6)),MIN(DAY(Kalemler!$D108),DAY(EOMONTH((Tahmin!$C$4+6),0))))&gt;=(Tahmin!$C$4+0),DATE(YEAR((Tahmin!$C$4+6)),MONTH((Tahmin!$C$4+6)),MIN(DAY(Kalemler!$D108),DAY(EOMONTH((Tahmin!$C$4+6),0))))&lt;=(Tahmin!$C$4+6),DATE(YEAR((Tahmin!$C$4+6)),MONTH((Tahmin!$C$4+6)),MIN(DAY(Kalemler!$D108),DAY(EOMONTH((Tahmin!$C$4+6),0))))&lt;&gt;DATE(YEAR((Tahmin!$C$4+0)),MONTH((Tahmin!$C$4+0)),MIN(DAY(Kalemler!$D108),DAY(EOMONTH((Tahmin!$C$4+0),0)))),DATE(YEAR((Tahmin!$C$4+6)),MONTH((Tahmin!$C$4+6)),MIN(DAY(Kalemler!$D108),DAY(EOMONTH((Tahmin!$C$4+6),0))))&gt;=Kalemler!$D108)),1,0),IF(AND(Kalemler!$D108&gt;=(Tahmin!$C$4+0),Kalemler!$D108&lt;=(Tahmin!$C$4+6)),1,0))))</f>
        <v>0</v>
      </c>
      <c r="C108" s="0" t="n">
        <f aca="false">IF(OR(Kalemler!$A108="",Kalemler!$C108="",Kalemler!$D108=""),0,Kalemler!$C108*IF(Kalemler!$E108="Haftalık",IF(Kalemler!$D108&lt;=(Tahmin!$C$4+13),1,0),IF(Kalemler!$E108="Aylık",IF(OR(AND(DATE(YEAR((Tahmin!$C$4+7)),MONTH((Tahmin!$C$4+7)),MIN(DAY(Kalemler!$D108),DAY(EOMONTH((Tahmin!$C$4+7),0))))&gt;=(Tahmin!$C$4+7),DATE(YEAR((Tahmin!$C$4+7)),MONTH((Tahmin!$C$4+7)),MIN(DAY(Kalemler!$D108),DAY(EOMONTH((Tahmin!$C$4+7),0))))&lt;=(Tahmin!$C$4+13),DATE(YEAR((Tahmin!$C$4+7)),MONTH((Tahmin!$C$4+7)),MIN(DAY(Kalemler!$D108),DAY(EOMONTH((Tahmin!$C$4+7),0))))&gt;=Kalemler!$D108),AND(DATE(YEAR((Tahmin!$C$4+13)),MONTH((Tahmin!$C$4+13)),MIN(DAY(Kalemler!$D108),DAY(EOMONTH((Tahmin!$C$4+13),0))))&gt;=(Tahmin!$C$4+7),DATE(YEAR((Tahmin!$C$4+13)),MONTH((Tahmin!$C$4+13)),MIN(DAY(Kalemler!$D108),DAY(EOMONTH((Tahmin!$C$4+13),0))))&lt;=(Tahmin!$C$4+13),DATE(YEAR((Tahmin!$C$4+13)),MONTH((Tahmin!$C$4+13)),MIN(DAY(Kalemler!$D108),DAY(EOMONTH((Tahmin!$C$4+13),0))))&lt;&gt;DATE(YEAR((Tahmin!$C$4+7)),MONTH((Tahmin!$C$4+7)),MIN(DAY(Kalemler!$D108),DAY(EOMONTH((Tahmin!$C$4+7),0)))),DATE(YEAR((Tahmin!$C$4+13)),MONTH((Tahmin!$C$4+13)),MIN(DAY(Kalemler!$D108),DAY(EOMONTH((Tahmin!$C$4+13),0))))&gt;=Kalemler!$D108)),1,0),IF(AND(Kalemler!$D108&gt;=(Tahmin!$C$4+7),Kalemler!$D108&lt;=(Tahmin!$C$4+13)),1,0))))</f>
        <v>0</v>
      </c>
      <c r="D108" s="0" t="n">
        <f aca="false">IF(OR(Kalemler!$A108="",Kalemler!$C108="",Kalemler!$D108=""),0,Kalemler!$C108*IF(Kalemler!$E108="Haftalık",IF(Kalemler!$D108&lt;=(Tahmin!$C$4+20),1,0),IF(Kalemler!$E108="Aylık",IF(OR(AND(DATE(YEAR((Tahmin!$C$4+14)),MONTH((Tahmin!$C$4+14)),MIN(DAY(Kalemler!$D108),DAY(EOMONTH((Tahmin!$C$4+14),0))))&gt;=(Tahmin!$C$4+14),DATE(YEAR((Tahmin!$C$4+14)),MONTH((Tahmin!$C$4+14)),MIN(DAY(Kalemler!$D108),DAY(EOMONTH((Tahmin!$C$4+14),0))))&lt;=(Tahmin!$C$4+20),DATE(YEAR((Tahmin!$C$4+14)),MONTH((Tahmin!$C$4+14)),MIN(DAY(Kalemler!$D108),DAY(EOMONTH((Tahmin!$C$4+14),0))))&gt;=Kalemler!$D108),AND(DATE(YEAR((Tahmin!$C$4+20)),MONTH((Tahmin!$C$4+20)),MIN(DAY(Kalemler!$D108),DAY(EOMONTH((Tahmin!$C$4+20),0))))&gt;=(Tahmin!$C$4+14),DATE(YEAR((Tahmin!$C$4+20)),MONTH((Tahmin!$C$4+20)),MIN(DAY(Kalemler!$D108),DAY(EOMONTH((Tahmin!$C$4+20),0))))&lt;=(Tahmin!$C$4+20),DATE(YEAR((Tahmin!$C$4+20)),MONTH((Tahmin!$C$4+20)),MIN(DAY(Kalemler!$D108),DAY(EOMONTH((Tahmin!$C$4+20),0))))&lt;&gt;DATE(YEAR((Tahmin!$C$4+14)),MONTH((Tahmin!$C$4+14)),MIN(DAY(Kalemler!$D108),DAY(EOMONTH((Tahmin!$C$4+14),0)))),DATE(YEAR((Tahmin!$C$4+20)),MONTH((Tahmin!$C$4+20)),MIN(DAY(Kalemler!$D108),DAY(EOMONTH((Tahmin!$C$4+20),0))))&gt;=Kalemler!$D108)),1,0),IF(AND(Kalemler!$D108&gt;=(Tahmin!$C$4+14),Kalemler!$D108&lt;=(Tahmin!$C$4+20)),1,0))))</f>
        <v>0</v>
      </c>
      <c r="E108" s="0" t="n">
        <f aca="false">IF(OR(Kalemler!$A108="",Kalemler!$C108="",Kalemler!$D108=""),0,Kalemler!$C108*IF(Kalemler!$E108="Haftalık",IF(Kalemler!$D108&lt;=(Tahmin!$C$4+27),1,0),IF(Kalemler!$E108="Aylık",IF(OR(AND(DATE(YEAR((Tahmin!$C$4+21)),MONTH((Tahmin!$C$4+21)),MIN(DAY(Kalemler!$D108),DAY(EOMONTH((Tahmin!$C$4+21),0))))&gt;=(Tahmin!$C$4+21),DATE(YEAR((Tahmin!$C$4+21)),MONTH((Tahmin!$C$4+21)),MIN(DAY(Kalemler!$D108),DAY(EOMONTH((Tahmin!$C$4+21),0))))&lt;=(Tahmin!$C$4+27),DATE(YEAR((Tahmin!$C$4+21)),MONTH((Tahmin!$C$4+21)),MIN(DAY(Kalemler!$D108),DAY(EOMONTH((Tahmin!$C$4+21),0))))&gt;=Kalemler!$D108),AND(DATE(YEAR((Tahmin!$C$4+27)),MONTH((Tahmin!$C$4+27)),MIN(DAY(Kalemler!$D108),DAY(EOMONTH((Tahmin!$C$4+27),0))))&gt;=(Tahmin!$C$4+21),DATE(YEAR((Tahmin!$C$4+27)),MONTH((Tahmin!$C$4+27)),MIN(DAY(Kalemler!$D108),DAY(EOMONTH((Tahmin!$C$4+27),0))))&lt;=(Tahmin!$C$4+27),DATE(YEAR((Tahmin!$C$4+27)),MONTH((Tahmin!$C$4+27)),MIN(DAY(Kalemler!$D108),DAY(EOMONTH((Tahmin!$C$4+27),0))))&lt;&gt;DATE(YEAR((Tahmin!$C$4+21)),MONTH((Tahmin!$C$4+21)),MIN(DAY(Kalemler!$D108),DAY(EOMONTH((Tahmin!$C$4+21),0)))),DATE(YEAR((Tahmin!$C$4+27)),MONTH((Tahmin!$C$4+27)),MIN(DAY(Kalemler!$D108),DAY(EOMONTH((Tahmin!$C$4+27),0))))&gt;=Kalemler!$D108)),1,0),IF(AND(Kalemler!$D108&gt;=(Tahmin!$C$4+21),Kalemler!$D108&lt;=(Tahmin!$C$4+27)),1,0))))</f>
        <v>0</v>
      </c>
      <c r="F108" s="0" t="n">
        <f aca="false">IF(OR(Kalemler!$A108="",Kalemler!$C108="",Kalemler!$D108=""),0,Kalemler!$C108*IF(Kalemler!$E108="Haftalık",IF(Kalemler!$D108&lt;=(Tahmin!$C$4+34),1,0),IF(Kalemler!$E108="Aylık",IF(OR(AND(DATE(YEAR((Tahmin!$C$4+28)),MONTH((Tahmin!$C$4+28)),MIN(DAY(Kalemler!$D108),DAY(EOMONTH((Tahmin!$C$4+28),0))))&gt;=(Tahmin!$C$4+28),DATE(YEAR((Tahmin!$C$4+28)),MONTH((Tahmin!$C$4+28)),MIN(DAY(Kalemler!$D108),DAY(EOMONTH((Tahmin!$C$4+28),0))))&lt;=(Tahmin!$C$4+34),DATE(YEAR((Tahmin!$C$4+28)),MONTH((Tahmin!$C$4+28)),MIN(DAY(Kalemler!$D108),DAY(EOMONTH((Tahmin!$C$4+28),0))))&gt;=Kalemler!$D108),AND(DATE(YEAR((Tahmin!$C$4+34)),MONTH((Tahmin!$C$4+34)),MIN(DAY(Kalemler!$D108),DAY(EOMONTH((Tahmin!$C$4+34),0))))&gt;=(Tahmin!$C$4+28),DATE(YEAR((Tahmin!$C$4+34)),MONTH((Tahmin!$C$4+34)),MIN(DAY(Kalemler!$D108),DAY(EOMONTH((Tahmin!$C$4+34),0))))&lt;=(Tahmin!$C$4+34),DATE(YEAR((Tahmin!$C$4+34)),MONTH((Tahmin!$C$4+34)),MIN(DAY(Kalemler!$D108),DAY(EOMONTH((Tahmin!$C$4+34),0))))&lt;&gt;DATE(YEAR((Tahmin!$C$4+28)),MONTH((Tahmin!$C$4+28)),MIN(DAY(Kalemler!$D108),DAY(EOMONTH((Tahmin!$C$4+28),0)))),DATE(YEAR((Tahmin!$C$4+34)),MONTH((Tahmin!$C$4+34)),MIN(DAY(Kalemler!$D108),DAY(EOMONTH((Tahmin!$C$4+34),0))))&gt;=Kalemler!$D108)),1,0),IF(AND(Kalemler!$D108&gt;=(Tahmin!$C$4+28),Kalemler!$D108&lt;=(Tahmin!$C$4+34)),1,0))))</f>
        <v>0</v>
      </c>
      <c r="G108" s="0" t="n">
        <f aca="false">IF(OR(Kalemler!$A108="",Kalemler!$C108="",Kalemler!$D108=""),0,Kalemler!$C108*IF(Kalemler!$E108="Haftalık",IF(Kalemler!$D108&lt;=(Tahmin!$C$4+41),1,0),IF(Kalemler!$E108="Aylık",IF(OR(AND(DATE(YEAR((Tahmin!$C$4+35)),MONTH((Tahmin!$C$4+35)),MIN(DAY(Kalemler!$D108),DAY(EOMONTH((Tahmin!$C$4+35),0))))&gt;=(Tahmin!$C$4+35),DATE(YEAR((Tahmin!$C$4+35)),MONTH((Tahmin!$C$4+35)),MIN(DAY(Kalemler!$D108),DAY(EOMONTH((Tahmin!$C$4+35),0))))&lt;=(Tahmin!$C$4+41),DATE(YEAR((Tahmin!$C$4+35)),MONTH((Tahmin!$C$4+35)),MIN(DAY(Kalemler!$D108),DAY(EOMONTH((Tahmin!$C$4+35),0))))&gt;=Kalemler!$D108),AND(DATE(YEAR((Tahmin!$C$4+41)),MONTH((Tahmin!$C$4+41)),MIN(DAY(Kalemler!$D108),DAY(EOMONTH((Tahmin!$C$4+41),0))))&gt;=(Tahmin!$C$4+35),DATE(YEAR((Tahmin!$C$4+41)),MONTH((Tahmin!$C$4+41)),MIN(DAY(Kalemler!$D108),DAY(EOMONTH((Tahmin!$C$4+41),0))))&lt;=(Tahmin!$C$4+41),DATE(YEAR((Tahmin!$C$4+41)),MONTH((Tahmin!$C$4+41)),MIN(DAY(Kalemler!$D108),DAY(EOMONTH((Tahmin!$C$4+41),0))))&lt;&gt;DATE(YEAR((Tahmin!$C$4+35)),MONTH((Tahmin!$C$4+35)),MIN(DAY(Kalemler!$D108),DAY(EOMONTH((Tahmin!$C$4+35),0)))),DATE(YEAR((Tahmin!$C$4+41)),MONTH((Tahmin!$C$4+41)),MIN(DAY(Kalemler!$D108),DAY(EOMONTH((Tahmin!$C$4+41),0))))&gt;=Kalemler!$D108)),1,0),IF(AND(Kalemler!$D108&gt;=(Tahmin!$C$4+35),Kalemler!$D108&lt;=(Tahmin!$C$4+41)),1,0))))</f>
        <v>0</v>
      </c>
      <c r="H108" s="0" t="n">
        <f aca="false">IF(OR(Kalemler!$A108="",Kalemler!$C108="",Kalemler!$D108=""),0,Kalemler!$C108*IF(Kalemler!$E108="Haftalık",IF(Kalemler!$D108&lt;=(Tahmin!$C$4+48),1,0),IF(Kalemler!$E108="Aylık",IF(OR(AND(DATE(YEAR((Tahmin!$C$4+42)),MONTH((Tahmin!$C$4+42)),MIN(DAY(Kalemler!$D108),DAY(EOMONTH((Tahmin!$C$4+42),0))))&gt;=(Tahmin!$C$4+42),DATE(YEAR((Tahmin!$C$4+42)),MONTH((Tahmin!$C$4+42)),MIN(DAY(Kalemler!$D108),DAY(EOMONTH((Tahmin!$C$4+42),0))))&lt;=(Tahmin!$C$4+48),DATE(YEAR((Tahmin!$C$4+42)),MONTH((Tahmin!$C$4+42)),MIN(DAY(Kalemler!$D108),DAY(EOMONTH((Tahmin!$C$4+42),0))))&gt;=Kalemler!$D108),AND(DATE(YEAR((Tahmin!$C$4+48)),MONTH((Tahmin!$C$4+48)),MIN(DAY(Kalemler!$D108),DAY(EOMONTH((Tahmin!$C$4+48),0))))&gt;=(Tahmin!$C$4+42),DATE(YEAR((Tahmin!$C$4+48)),MONTH((Tahmin!$C$4+48)),MIN(DAY(Kalemler!$D108),DAY(EOMONTH((Tahmin!$C$4+48),0))))&lt;=(Tahmin!$C$4+48),DATE(YEAR((Tahmin!$C$4+48)),MONTH((Tahmin!$C$4+48)),MIN(DAY(Kalemler!$D108),DAY(EOMONTH((Tahmin!$C$4+48),0))))&lt;&gt;DATE(YEAR((Tahmin!$C$4+42)),MONTH((Tahmin!$C$4+42)),MIN(DAY(Kalemler!$D108),DAY(EOMONTH((Tahmin!$C$4+42),0)))),DATE(YEAR((Tahmin!$C$4+48)),MONTH((Tahmin!$C$4+48)),MIN(DAY(Kalemler!$D108),DAY(EOMONTH((Tahmin!$C$4+48),0))))&gt;=Kalemler!$D108)),1,0),IF(AND(Kalemler!$D108&gt;=(Tahmin!$C$4+42),Kalemler!$D108&lt;=(Tahmin!$C$4+48)),1,0))))</f>
        <v>0</v>
      </c>
      <c r="I108" s="0" t="n">
        <f aca="false">IF(OR(Kalemler!$A108="",Kalemler!$C108="",Kalemler!$D108=""),0,Kalemler!$C108*IF(Kalemler!$E108="Haftalık",IF(Kalemler!$D108&lt;=(Tahmin!$C$4+55),1,0),IF(Kalemler!$E108="Aylık",IF(OR(AND(DATE(YEAR((Tahmin!$C$4+49)),MONTH((Tahmin!$C$4+49)),MIN(DAY(Kalemler!$D108),DAY(EOMONTH((Tahmin!$C$4+49),0))))&gt;=(Tahmin!$C$4+49),DATE(YEAR((Tahmin!$C$4+49)),MONTH((Tahmin!$C$4+49)),MIN(DAY(Kalemler!$D108),DAY(EOMONTH((Tahmin!$C$4+49),0))))&lt;=(Tahmin!$C$4+55),DATE(YEAR((Tahmin!$C$4+49)),MONTH((Tahmin!$C$4+49)),MIN(DAY(Kalemler!$D108),DAY(EOMONTH((Tahmin!$C$4+49),0))))&gt;=Kalemler!$D108),AND(DATE(YEAR((Tahmin!$C$4+55)),MONTH((Tahmin!$C$4+55)),MIN(DAY(Kalemler!$D108),DAY(EOMONTH((Tahmin!$C$4+55),0))))&gt;=(Tahmin!$C$4+49),DATE(YEAR((Tahmin!$C$4+55)),MONTH((Tahmin!$C$4+55)),MIN(DAY(Kalemler!$D108),DAY(EOMONTH((Tahmin!$C$4+55),0))))&lt;=(Tahmin!$C$4+55),DATE(YEAR((Tahmin!$C$4+55)),MONTH((Tahmin!$C$4+55)),MIN(DAY(Kalemler!$D108),DAY(EOMONTH((Tahmin!$C$4+55),0))))&lt;&gt;DATE(YEAR((Tahmin!$C$4+49)),MONTH((Tahmin!$C$4+49)),MIN(DAY(Kalemler!$D108),DAY(EOMONTH((Tahmin!$C$4+49),0)))),DATE(YEAR((Tahmin!$C$4+55)),MONTH((Tahmin!$C$4+55)),MIN(DAY(Kalemler!$D108),DAY(EOMONTH((Tahmin!$C$4+55),0))))&gt;=Kalemler!$D108)),1,0),IF(AND(Kalemler!$D108&gt;=(Tahmin!$C$4+49),Kalemler!$D108&lt;=(Tahmin!$C$4+55)),1,0))))</f>
        <v>0</v>
      </c>
      <c r="J108" s="0" t="n">
        <f aca="false">IF(OR(Kalemler!$A108="",Kalemler!$C108="",Kalemler!$D108=""),0,Kalemler!$C108*IF(Kalemler!$E108="Haftalık",IF(Kalemler!$D108&lt;=(Tahmin!$C$4+62),1,0),IF(Kalemler!$E108="Aylık",IF(OR(AND(DATE(YEAR((Tahmin!$C$4+56)),MONTH((Tahmin!$C$4+56)),MIN(DAY(Kalemler!$D108),DAY(EOMONTH((Tahmin!$C$4+56),0))))&gt;=(Tahmin!$C$4+56),DATE(YEAR((Tahmin!$C$4+56)),MONTH((Tahmin!$C$4+56)),MIN(DAY(Kalemler!$D108),DAY(EOMONTH((Tahmin!$C$4+56),0))))&lt;=(Tahmin!$C$4+62),DATE(YEAR((Tahmin!$C$4+56)),MONTH((Tahmin!$C$4+56)),MIN(DAY(Kalemler!$D108),DAY(EOMONTH((Tahmin!$C$4+56),0))))&gt;=Kalemler!$D108),AND(DATE(YEAR((Tahmin!$C$4+62)),MONTH((Tahmin!$C$4+62)),MIN(DAY(Kalemler!$D108),DAY(EOMONTH((Tahmin!$C$4+62),0))))&gt;=(Tahmin!$C$4+56),DATE(YEAR((Tahmin!$C$4+62)),MONTH((Tahmin!$C$4+62)),MIN(DAY(Kalemler!$D108),DAY(EOMONTH((Tahmin!$C$4+62),0))))&lt;=(Tahmin!$C$4+62),DATE(YEAR((Tahmin!$C$4+62)),MONTH((Tahmin!$C$4+62)),MIN(DAY(Kalemler!$D108),DAY(EOMONTH((Tahmin!$C$4+62),0))))&lt;&gt;DATE(YEAR((Tahmin!$C$4+56)),MONTH((Tahmin!$C$4+56)),MIN(DAY(Kalemler!$D108),DAY(EOMONTH((Tahmin!$C$4+56),0)))),DATE(YEAR((Tahmin!$C$4+62)),MONTH((Tahmin!$C$4+62)),MIN(DAY(Kalemler!$D108),DAY(EOMONTH((Tahmin!$C$4+62),0))))&gt;=Kalemler!$D108)),1,0),IF(AND(Kalemler!$D108&gt;=(Tahmin!$C$4+56),Kalemler!$D108&lt;=(Tahmin!$C$4+62)),1,0))))</f>
        <v>0</v>
      </c>
      <c r="K108" s="0" t="n">
        <f aca="false">IF(OR(Kalemler!$A108="",Kalemler!$C108="",Kalemler!$D108=""),0,Kalemler!$C108*IF(Kalemler!$E108="Haftalık",IF(Kalemler!$D108&lt;=(Tahmin!$C$4+69),1,0),IF(Kalemler!$E108="Aylık",IF(OR(AND(DATE(YEAR((Tahmin!$C$4+63)),MONTH((Tahmin!$C$4+63)),MIN(DAY(Kalemler!$D108),DAY(EOMONTH((Tahmin!$C$4+63),0))))&gt;=(Tahmin!$C$4+63),DATE(YEAR((Tahmin!$C$4+63)),MONTH((Tahmin!$C$4+63)),MIN(DAY(Kalemler!$D108),DAY(EOMONTH((Tahmin!$C$4+63),0))))&lt;=(Tahmin!$C$4+69),DATE(YEAR((Tahmin!$C$4+63)),MONTH((Tahmin!$C$4+63)),MIN(DAY(Kalemler!$D108),DAY(EOMONTH((Tahmin!$C$4+63),0))))&gt;=Kalemler!$D108),AND(DATE(YEAR((Tahmin!$C$4+69)),MONTH((Tahmin!$C$4+69)),MIN(DAY(Kalemler!$D108),DAY(EOMONTH((Tahmin!$C$4+69),0))))&gt;=(Tahmin!$C$4+63),DATE(YEAR((Tahmin!$C$4+69)),MONTH((Tahmin!$C$4+69)),MIN(DAY(Kalemler!$D108),DAY(EOMONTH((Tahmin!$C$4+69),0))))&lt;=(Tahmin!$C$4+69),DATE(YEAR((Tahmin!$C$4+69)),MONTH((Tahmin!$C$4+69)),MIN(DAY(Kalemler!$D108),DAY(EOMONTH((Tahmin!$C$4+69),0))))&lt;&gt;DATE(YEAR((Tahmin!$C$4+63)),MONTH((Tahmin!$C$4+63)),MIN(DAY(Kalemler!$D108),DAY(EOMONTH((Tahmin!$C$4+63),0)))),DATE(YEAR((Tahmin!$C$4+69)),MONTH((Tahmin!$C$4+69)),MIN(DAY(Kalemler!$D108),DAY(EOMONTH((Tahmin!$C$4+69),0))))&gt;=Kalemler!$D108)),1,0),IF(AND(Kalemler!$D108&gt;=(Tahmin!$C$4+63),Kalemler!$D108&lt;=(Tahmin!$C$4+69)),1,0))))</f>
        <v>0</v>
      </c>
      <c r="L108" s="0" t="n">
        <f aca="false">IF(OR(Kalemler!$A108="",Kalemler!$C108="",Kalemler!$D108=""),0,Kalemler!$C108*IF(Kalemler!$E108="Haftalık",IF(Kalemler!$D108&lt;=(Tahmin!$C$4+76),1,0),IF(Kalemler!$E108="Aylık",IF(OR(AND(DATE(YEAR((Tahmin!$C$4+70)),MONTH((Tahmin!$C$4+70)),MIN(DAY(Kalemler!$D108),DAY(EOMONTH((Tahmin!$C$4+70),0))))&gt;=(Tahmin!$C$4+70),DATE(YEAR((Tahmin!$C$4+70)),MONTH((Tahmin!$C$4+70)),MIN(DAY(Kalemler!$D108),DAY(EOMONTH((Tahmin!$C$4+70),0))))&lt;=(Tahmin!$C$4+76),DATE(YEAR((Tahmin!$C$4+70)),MONTH((Tahmin!$C$4+70)),MIN(DAY(Kalemler!$D108),DAY(EOMONTH((Tahmin!$C$4+70),0))))&gt;=Kalemler!$D108),AND(DATE(YEAR((Tahmin!$C$4+76)),MONTH((Tahmin!$C$4+76)),MIN(DAY(Kalemler!$D108),DAY(EOMONTH((Tahmin!$C$4+76),0))))&gt;=(Tahmin!$C$4+70),DATE(YEAR((Tahmin!$C$4+76)),MONTH((Tahmin!$C$4+76)),MIN(DAY(Kalemler!$D108),DAY(EOMONTH((Tahmin!$C$4+76),0))))&lt;=(Tahmin!$C$4+76),DATE(YEAR((Tahmin!$C$4+76)),MONTH((Tahmin!$C$4+76)),MIN(DAY(Kalemler!$D108),DAY(EOMONTH((Tahmin!$C$4+76),0))))&lt;&gt;DATE(YEAR((Tahmin!$C$4+70)),MONTH((Tahmin!$C$4+70)),MIN(DAY(Kalemler!$D108),DAY(EOMONTH((Tahmin!$C$4+70),0)))),DATE(YEAR((Tahmin!$C$4+76)),MONTH((Tahmin!$C$4+76)),MIN(DAY(Kalemler!$D108),DAY(EOMONTH((Tahmin!$C$4+76),0))))&gt;=Kalemler!$D108)),1,0),IF(AND(Kalemler!$D108&gt;=(Tahmin!$C$4+70),Kalemler!$D108&lt;=(Tahmin!$C$4+76)),1,0))))</f>
        <v>0</v>
      </c>
      <c r="M108" s="0" t="n">
        <f aca="false">IF(OR(Kalemler!$A108="",Kalemler!$C108="",Kalemler!$D108=""),0,Kalemler!$C108*IF(Kalemler!$E108="Haftalık",IF(Kalemler!$D108&lt;=(Tahmin!$C$4+83),1,0),IF(Kalemler!$E108="Aylık",IF(OR(AND(DATE(YEAR((Tahmin!$C$4+77)),MONTH((Tahmin!$C$4+77)),MIN(DAY(Kalemler!$D108),DAY(EOMONTH((Tahmin!$C$4+77),0))))&gt;=(Tahmin!$C$4+77),DATE(YEAR((Tahmin!$C$4+77)),MONTH((Tahmin!$C$4+77)),MIN(DAY(Kalemler!$D108),DAY(EOMONTH((Tahmin!$C$4+77),0))))&lt;=(Tahmin!$C$4+83),DATE(YEAR((Tahmin!$C$4+77)),MONTH((Tahmin!$C$4+77)),MIN(DAY(Kalemler!$D108),DAY(EOMONTH((Tahmin!$C$4+77),0))))&gt;=Kalemler!$D108),AND(DATE(YEAR((Tahmin!$C$4+83)),MONTH((Tahmin!$C$4+83)),MIN(DAY(Kalemler!$D108),DAY(EOMONTH((Tahmin!$C$4+83),0))))&gt;=(Tahmin!$C$4+77),DATE(YEAR((Tahmin!$C$4+83)),MONTH((Tahmin!$C$4+83)),MIN(DAY(Kalemler!$D108),DAY(EOMONTH((Tahmin!$C$4+83),0))))&lt;=(Tahmin!$C$4+83),DATE(YEAR((Tahmin!$C$4+83)),MONTH((Tahmin!$C$4+83)),MIN(DAY(Kalemler!$D108),DAY(EOMONTH((Tahmin!$C$4+83),0))))&lt;&gt;DATE(YEAR((Tahmin!$C$4+77)),MONTH((Tahmin!$C$4+77)),MIN(DAY(Kalemler!$D108),DAY(EOMONTH((Tahmin!$C$4+77),0)))),DATE(YEAR((Tahmin!$C$4+83)),MONTH((Tahmin!$C$4+83)),MIN(DAY(Kalemler!$D108),DAY(EOMONTH((Tahmin!$C$4+83),0))))&gt;=Kalemler!$D108)),1,0),IF(AND(Kalemler!$D108&gt;=(Tahmin!$C$4+77),Kalemler!$D108&lt;=(Tahmin!$C$4+83)),1,0))))</f>
        <v>0</v>
      </c>
      <c r="N108" s="0" t="n">
        <f aca="false">IF(OR(Kalemler!$A108="",Kalemler!$C108="",Kalemler!$D108=""),0,Kalemler!$C108*IF(Kalemler!$E108="Haftalık",IF(Kalemler!$D108&lt;=(Tahmin!$C$4+90),1,0),IF(Kalemler!$E108="Aylık",IF(OR(AND(DATE(YEAR((Tahmin!$C$4+84)),MONTH((Tahmin!$C$4+84)),MIN(DAY(Kalemler!$D108),DAY(EOMONTH((Tahmin!$C$4+84),0))))&gt;=(Tahmin!$C$4+84),DATE(YEAR((Tahmin!$C$4+84)),MONTH((Tahmin!$C$4+84)),MIN(DAY(Kalemler!$D108),DAY(EOMONTH((Tahmin!$C$4+84),0))))&lt;=(Tahmin!$C$4+90),DATE(YEAR((Tahmin!$C$4+84)),MONTH((Tahmin!$C$4+84)),MIN(DAY(Kalemler!$D108),DAY(EOMONTH((Tahmin!$C$4+84),0))))&gt;=Kalemler!$D108),AND(DATE(YEAR((Tahmin!$C$4+90)),MONTH((Tahmin!$C$4+90)),MIN(DAY(Kalemler!$D108),DAY(EOMONTH((Tahmin!$C$4+90),0))))&gt;=(Tahmin!$C$4+84),DATE(YEAR((Tahmin!$C$4+90)),MONTH((Tahmin!$C$4+90)),MIN(DAY(Kalemler!$D108),DAY(EOMONTH((Tahmin!$C$4+90),0))))&lt;=(Tahmin!$C$4+90),DATE(YEAR((Tahmin!$C$4+90)),MONTH((Tahmin!$C$4+90)),MIN(DAY(Kalemler!$D108),DAY(EOMONTH((Tahmin!$C$4+90),0))))&lt;&gt;DATE(YEAR((Tahmin!$C$4+84)),MONTH((Tahmin!$C$4+84)),MIN(DAY(Kalemler!$D108),DAY(EOMONTH((Tahmin!$C$4+84),0)))),DATE(YEAR((Tahmin!$C$4+90)),MONTH((Tahmin!$C$4+90)),MIN(DAY(Kalemler!$D108),DAY(EOMONTH((Tahmin!$C$4+90),0))))&gt;=Kalemler!$D108)),1,0),IF(AND(Kalemler!$D108&gt;=(Tahmin!$C$4+84),Kalemler!$D108&lt;=(Tahmin!$C$4+90)),1,0))))</f>
        <v>0</v>
      </c>
    </row>
    <row r="109" customFormat="false" ht="15" hidden="false" customHeight="false" outlineLevel="0" collapsed="false">
      <c r="A109" s="0" t="str">
        <f aca="false">IF(Kalemler!A109="","",Kalemler!A109)</f>
        <v/>
      </c>
      <c r="B109" s="0" t="n">
        <f aca="false">IF(OR(Kalemler!$A109="",Kalemler!$C109="",Kalemler!$D109=""),0,Kalemler!$C109*IF(Kalemler!$E109="Haftalık",IF(Kalemler!$D109&lt;=(Tahmin!$C$4+6),1,0),IF(Kalemler!$E109="Aylık",IF(OR(AND(DATE(YEAR((Tahmin!$C$4+0)),MONTH((Tahmin!$C$4+0)),MIN(DAY(Kalemler!$D109),DAY(EOMONTH((Tahmin!$C$4+0),0))))&gt;=(Tahmin!$C$4+0),DATE(YEAR((Tahmin!$C$4+0)),MONTH((Tahmin!$C$4+0)),MIN(DAY(Kalemler!$D109),DAY(EOMONTH((Tahmin!$C$4+0),0))))&lt;=(Tahmin!$C$4+6),DATE(YEAR((Tahmin!$C$4+0)),MONTH((Tahmin!$C$4+0)),MIN(DAY(Kalemler!$D109),DAY(EOMONTH((Tahmin!$C$4+0),0))))&gt;=Kalemler!$D109),AND(DATE(YEAR((Tahmin!$C$4+6)),MONTH((Tahmin!$C$4+6)),MIN(DAY(Kalemler!$D109),DAY(EOMONTH((Tahmin!$C$4+6),0))))&gt;=(Tahmin!$C$4+0),DATE(YEAR((Tahmin!$C$4+6)),MONTH((Tahmin!$C$4+6)),MIN(DAY(Kalemler!$D109),DAY(EOMONTH((Tahmin!$C$4+6),0))))&lt;=(Tahmin!$C$4+6),DATE(YEAR((Tahmin!$C$4+6)),MONTH((Tahmin!$C$4+6)),MIN(DAY(Kalemler!$D109),DAY(EOMONTH((Tahmin!$C$4+6),0))))&lt;&gt;DATE(YEAR((Tahmin!$C$4+0)),MONTH((Tahmin!$C$4+0)),MIN(DAY(Kalemler!$D109),DAY(EOMONTH((Tahmin!$C$4+0),0)))),DATE(YEAR((Tahmin!$C$4+6)),MONTH((Tahmin!$C$4+6)),MIN(DAY(Kalemler!$D109),DAY(EOMONTH((Tahmin!$C$4+6),0))))&gt;=Kalemler!$D109)),1,0),IF(AND(Kalemler!$D109&gt;=(Tahmin!$C$4+0),Kalemler!$D109&lt;=(Tahmin!$C$4+6)),1,0))))</f>
        <v>0</v>
      </c>
      <c r="C109" s="0" t="n">
        <f aca="false">IF(OR(Kalemler!$A109="",Kalemler!$C109="",Kalemler!$D109=""),0,Kalemler!$C109*IF(Kalemler!$E109="Haftalık",IF(Kalemler!$D109&lt;=(Tahmin!$C$4+13),1,0),IF(Kalemler!$E109="Aylık",IF(OR(AND(DATE(YEAR((Tahmin!$C$4+7)),MONTH((Tahmin!$C$4+7)),MIN(DAY(Kalemler!$D109),DAY(EOMONTH((Tahmin!$C$4+7),0))))&gt;=(Tahmin!$C$4+7),DATE(YEAR((Tahmin!$C$4+7)),MONTH((Tahmin!$C$4+7)),MIN(DAY(Kalemler!$D109),DAY(EOMONTH((Tahmin!$C$4+7),0))))&lt;=(Tahmin!$C$4+13),DATE(YEAR((Tahmin!$C$4+7)),MONTH((Tahmin!$C$4+7)),MIN(DAY(Kalemler!$D109),DAY(EOMONTH((Tahmin!$C$4+7),0))))&gt;=Kalemler!$D109),AND(DATE(YEAR((Tahmin!$C$4+13)),MONTH((Tahmin!$C$4+13)),MIN(DAY(Kalemler!$D109),DAY(EOMONTH((Tahmin!$C$4+13),0))))&gt;=(Tahmin!$C$4+7),DATE(YEAR((Tahmin!$C$4+13)),MONTH((Tahmin!$C$4+13)),MIN(DAY(Kalemler!$D109),DAY(EOMONTH((Tahmin!$C$4+13),0))))&lt;=(Tahmin!$C$4+13),DATE(YEAR((Tahmin!$C$4+13)),MONTH((Tahmin!$C$4+13)),MIN(DAY(Kalemler!$D109),DAY(EOMONTH((Tahmin!$C$4+13),0))))&lt;&gt;DATE(YEAR((Tahmin!$C$4+7)),MONTH((Tahmin!$C$4+7)),MIN(DAY(Kalemler!$D109),DAY(EOMONTH((Tahmin!$C$4+7),0)))),DATE(YEAR((Tahmin!$C$4+13)),MONTH((Tahmin!$C$4+13)),MIN(DAY(Kalemler!$D109),DAY(EOMONTH((Tahmin!$C$4+13),0))))&gt;=Kalemler!$D109)),1,0),IF(AND(Kalemler!$D109&gt;=(Tahmin!$C$4+7),Kalemler!$D109&lt;=(Tahmin!$C$4+13)),1,0))))</f>
        <v>0</v>
      </c>
      <c r="D109" s="0" t="n">
        <f aca="false">IF(OR(Kalemler!$A109="",Kalemler!$C109="",Kalemler!$D109=""),0,Kalemler!$C109*IF(Kalemler!$E109="Haftalık",IF(Kalemler!$D109&lt;=(Tahmin!$C$4+20),1,0),IF(Kalemler!$E109="Aylık",IF(OR(AND(DATE(YEAR((Tahmin!$C$4+14)),MONTH((Tahmin!$C$4+14)),MIN(DAY(Kalemler!$D109),DAY(EOMONTH((Tahmin!$C$4+14),0))))&gt;=(Tahmin!$C$4+14),DATE(YEAR((Tahmin!$C$4+14)),MONTH((Tahmin!$C$4+14)),MIN(DAY(Kalemler!$D109),DAY(EOMONTH((Tahmin!$C$4+14),0))))&lt;=(Tahmin!$C$4+20),DATE(YEAR((Tahmin!$C$4+14)),MONTH((Tahmin!$C$4+14)),MIN(DAY(Kalemler!$D109),DAY(EOMONTH((Tahmin!$C$4+14),0))))&gt;=Kalemler!$D109),AND(DATE(YEAR((Tahmin!$C$4+20)),MONTH((Tahmin!$C$4+20)),MIN(DAY(Kalemler!$D109),DAY(EOMONTH((Tahmin!$C$4+20),0))))&gt;=(Tahmin!$C$4+14),DATE(YEAR((Tahmin!$C$4+20)),MONTH((Tahmin!$C$4+20)),MIN(DAY(Kalemler!$D109),DAY(EOMONTH((Tahmin!$C$4+20),0))))&lt;=(Tahmin!$C$4+20),DATE(YEAR((Tahmin!$C$4+20)),MONTH((Tahmin!$C$4+20)),MIN(DAY(Kalemler!$D109),DAY(EOMONTH((Tahmin!$C$4+20),0))))&lt;&gt;DATE(YEAR((Tahmin!$C$4+14)),MONTH((Tahmin!$C$4+14)),MIN(DAY(Kalemler!$D109),DAY(EOMONTH((Tahmin!$C$4+14),0)))),DATE(YEAR((Tahmin!$C$4+20)),MONTH((Tahmin!$C$4+20)),MIN(DAY(Kalemler!$D109),DAY(EOMONTH((Tahmin!$C$4+20),0))))&gt;=Kalemler!$D109)),1,0),IF(AND(Kalemler!$D109&gt;=(Tahmin!$C$4+14),Kalemler!$D109&lt;=(Tahmin!$C$4+20)),1,0))))</f>
        <v>0</v>
      </c>
      <c r="E109" s="0" t="n">
        <f aca="false">IF(OR(Kalemler!$A109="",Kalemler!$C109="",Kalemler!$D109=""),0,Kalemler!$C109*IF(Kalemler!$E109="Haftalık",IF(Kalemler!$D109&lt;=(Tahmin!$C$4+27),1,0),IF(Kalemler!$E109="Aylık",IF(OR(AND(DATE(YEAR((Tahmin!$C$4+21)),MONTH((Tahmin!$C$4+21)),MIN(DAY(Kalemler!$D109),DAY(EOMONTH((Tahmin!$C$4+21),0))))&gt;=(Tahmin!$C$4+21),DATE(YEAR((Tahmin!$C$4+21)),MONTH((Tahmin!$C$4+21)),MIN(DAY(Kalemler!$D109),DAY(EOMONTH((Tahmin!$C$4+21),0))))&lt;=(Tahmin!$C$4+27),DATE(YEAR((Tahmin!$C$4+21)),MONTH((Tahmin!$C$4+21)),MIN(DAY(Kalemler!$D109),DAY(EOMONTH((Tahmin!$C$4+21),0))))&gt;=Kalemler!$D109),AND(DATE(YEAR((Tahmin!$C$4+27)),MONTH((Tahmin!$C$4+27)),MIN(DAY(Kalemler!$D109),DAY(EOMONTH((Tahmin!$C$4+27),0))))&gt;=(Tahmin!$C$4+21),DATE(YEAR((Tahmin!$C$4+27)),MONTH((Tahmin!$C$4+27)),MIN(DAY(Kalemler!$D109),DAY(EOMONTH((Tahmin!$C$4+27),0))))&lt;=(Tahmin!$C$4+27),DATE(YEAR((Tahmin!$C$4+27)),MONTH((Tahmin!$C$4+27)),MIN(DAY(Kalemler!$D109),DAY(EOMONTH((Tahmin!$C$4+27),0))))&lt;&gt;DATE(YEAR((Tahmin!$C$4+21)),MONTH((Tahmin!$C$4+21)),MIN(DAY(Kalemler!$D109),DAY(EOMONTH((Tahmin!$C$4+21),0)))),DATE(YEAR((Tahmin!$C$4+27)),MONTH((Tahmin!$C$4+27)),MIN(DAY(Kalemler!$D109),DAY(EOMONTH((Tahmin!$C$4+27),0))))&gt;=Kalemler!$D109)),1,0),IF(AND(Kalemler!$D109&gt;=(Tahmin!$C$4+21),Kalemler!$D109&lt;=(Tahmin!$C$4+27)),1,0))))</f>
        <v>0</v>
      </c>
      <c r="F109" s="0" t="n">
        <f aca="false">IF(OR(Kalemler!$A109="",Kalemler!$C109="",Kalemler!$D109=""),0,Kalemler!$C109*IF(Kalemler!$E109="Haftalık",IF(Kalemler!$D109&lt;=(Tahmin!$C$4+34),1,0),IF(Kalemler!$E109="Aylık",IF(OR(AND(DATE(YEAR((Tahmin!$C$4+28)),MONTH((Tahmin!$C$4+28)),MIN(DAY(Kalemler!$D109),DAY(EOMONTH((Tahmin!$C$4+28),0))))&gt;=(Tahmin!$C$4+28),DATE(YEAR((Tahmin!$C$4+28)),MONTH((Tahmin!$C$4+28)),MIN(DAY(Kalemler!$D109),DAY(EOMONTH((Tahmin!$C$4+28),0))))&lt;=(Tahmin!$C$4+34),DATE(YEAR((Tahmin!$C$4+28)),MONTH((Tahmin!$C$4+28)),MIN(DAY(Kalemler!$D109),DAY(EOMONTH((Tahmin!$C$4+28),0))))&gt;=Kalemler!$D109),AND(DATE(YEAR((Tahmin!$C$4+34)),MONTH((Tahmin!$C$4+34)),MIN(DAY(Kalemler!$D109),DAY(EOMONTH((Tahmin!$C$4+34),0))))&gt;=(Tahmin!$C$4+28),DATE(YEAR((Tahmin!$C$4+34)),MONTH((Tahmin!$C$4+34)),MIN(DAY(Kalemler!$D109),DAY(EOMONTH((Tahmin!$C$4+34),0))))&lt;=(Tahmin!$C$4+34),DATE(YEAR((Tahmin!$C$4+34)),MONTH((Tahmin!$C$4+34)),MIN(DAY(Kalemler!$D109),DAY(EOMONTH((Tahmin!$C$4+34),0))))&lt;&gt;DATE(YEAR((Tahmin!$C$4+28)),MONTH((Tahmin!$C$4+28)),MIN(DAY(Kalemler!$D109),DAY(EOMONTH((Tahmin!$C$4+28),0)))),DATE(YEAR((Tahmin!$C$4+34)),MONTH((Tahmin!$C$4+34)),MIN(DAY(Kalemler!$D109),DAY(EOMONTH((Tahmin!$C$4+34),0))))&gt;=Kalemler!$D109)),1,0),IF(AND(Kalemler!$D109&gt;=(Tahmin!$C$4+28),Kalemler!$D109&lt;=(Tahmin!$C$4+34)),1,0))))</f>
        <v>0</v>
      </c>
      <c r="G109" s="0" t="n">
        <f aca="false">IF(OR(Kalemler!$A109="",Kalemler!$C109="",Kalemler!$D109=""),0,Kalemler!$C109*IF(Kalemler!$E109="Haftalık",IF(Kalemler!$D109&lt;=(Tahmin!$C$4+41),1,0),IF(Kalemler!$E109="Aylık",IF(OR(AND(DATE(YEAR((Tahmin!$C$4+35)),MONTH((Tahmin!$C$4+35)),MIN(DAY(Kalemler!$D109),DAY(EOMONTH((Tahmin!$C$4+35),0))))&gt;=(Tahmin!$C$4+35),DATE(YEAR((Tahmin!$C$4+35)),MONTH((Tahmin!$C$4+35)),MIN(DAY(Kalemler!$D109),DAY(EOMONTH((Tahmin!$C$4+35),0))))&lt;=(Tahmin!$C$4+41),DATE(YEAR((Tahmin!$C$4+35)),MONTH((Tahmin!$C$4+35)),MIN(DAY(Kalemler!$D109),DAY(EOMONTH((Tahmin!$C$4+35),0))))&gt;=Kalemler!$D109),AND(DATE(YEAR((Tahmin!$C$4+41)),MONTH((Tahmin!$C$4+41)),MIN(DAY(Kalemler!$D109),DAY(EOMONTH((Tahmin!$C$4+41),0))))&gt;=(Tahmin!$C$4+35),DATE(YEAR((Tahmin!$C$4+41)),MONTH((Tahmin!$C$4+41)),MIN(DAY(Kalemler!$D109),DAY(EOMONTH((Tahmin!$C$4+41),0))))&lt;=(Tahmin!$C$4+41),DATE(YEAR((Tahmin!$C$4+41)),MONTH((Tahmin!$C$4+41)),MIN(DAY(Kalemler!$D109),DAY(EOMONTH((Tahmin!$C$4+41),0))))&lt;&gt;DATE(YEAR((Tahmin!$C$4+35)),MONTH((Tahmin!$C$4+35)),MIN(DAY(Kalemler!$D109),DAY(EOMONTH((Tahmin!$C$4+35),0)))),DATE(YEAR((Tahmin!$C$4+41)),MONTH((Tahmin!$C$4+41)),MIN(DAY(Kalemler!$D109),DAY(EOMONTH((Tahmin!$C$4+41),0))))&gt;=Kalemler!$D109)),1,0),IF(AND(Kalemler!$D109&gt;=(Tahmin!$C$4+35),Kalemler!$D109&lt;=(Tahmin!$C$4+41)),1,0))))</f>
        <v>0</v>
      </c>
      <c r="H109" s="0" t="n">
        <f aca="false">IF(OR(Kalemler!$A109="",Kalemler!$C109="",Kalemler!$D109=""),0,Kalemler!$C109*IF(Kalemler!$E109="Haftalık",IF(Kalemler!$D109&lt;=(Tahmin!$C$4+48),1,0),IF(Kalemler!$E109="Aylık",IF(OR(AND(DATE(YEAR((Tahmin!$C$4+42)),MONTH((Tahmin!$C$4+42)),MIN(DAY(Kalemler!$D109),DAY(EOMONTH((Tahmin!$C$4+42),0))))&gt;=(Tahmin!$C$4+42),DATE(YEAR((Tahmin!$C$4+42)),MONTH((Tahmin!$C$4+42)),MIN(DAY(Kalemler!$D109),DAY(EOMONTH((Tahmin!$C$4+42),0))))&lt;=(Tahmin!$C$4+48),DATE(YEAR((Tahmin!$C$4+42)),MONTH((Tahmin!$C$4+42)),MIN(DAY(Kalemler!$D109),DAY(EOMONTH((Tahmin!$C$4+42),0))))&gt;=Kalemler!$D109),AND(DATE(YEAR((Tahmin!$C$4+48)),MONTH((Tahmin!$C$4+48)),MIN(DAY(Kalemler!$D109),DAY(EOMONTH((Tahmin!$C$4+48),0))))&gt;=(Tahmin!$C$4+42),DATE(YEAR((Tahmin!$C$4+48)),MONTH((Tahmin!$C$4+48)),MIN(DAY(Kalemler!$D109),DAY(EOMONTH((Tahmin!$C$4+48),0))))&lt;=(Tahmin!$C$4+48),DATE(YEAR((Tahmin!$C$4+48)),MONTH((Tahmin!$C$4+48)),MIN(DAY(Kalemler!$D109),DAY(EOMONTH((Tahmin!$C$4+48),0))))&lt;&gt;DATE(YEAR((Tahmin!$C$4+42)),MONTH((Tahmin!$C$4+42)),MIN(DAY(Kalemler!$D109),DAY(EOMONTH((Tahmin!$C$4+42),0)))),DATE(YEAR((Tahmin!$C$4+48)),MONTH((Tahmin!$C$4+48)),MIN(DAY(Kalemler!$D109),DAY(EOMONTH((Tahmin!$C$4+48),0))))&gt;=Kalemler!$D109)),1,0),IF(AND(Kalemler!$D109&gt;=(Tahmin!$C$4+42),Kalemler!$D109&lt;=(Tahmin!$C$4+48)),1,0))))</f>
        <v>0</v>
      </c>
      <c r="I109" s="0" t="n">
        <f aca="false">IF(OR(Kalemler!$A109="",Kalemler!$C109="",Kalemler!$D109=""),0,Kalemler!$C109*IF(Kalemler!$E109="Haftalık",IF(Kalemler!$D109&lt;=(Tahmin!$C$4+55),1,0),IF(Kalemler!$E109="Aylık",IF(OR(AND(DATE(YEAR((Tahmin!$C$4+49)),MONTH((Tahmin!$C$4+49)),MIN(DAY(Kalemler!$D109),DAY(EOMONTH((Tahmin!$C$4+49),0))))&gt;=(Tahmin!$C$4+49),DATE(YEAR((Tahmin!$C$4+49)),MONTH((Tahmin!$C$4+49)),MIN(DAY(Kalemler!$D109),DAY(EOMONTH((Tahmin!$C$4+49),0))))&lt;=(Tahmin!$C$4+55),DATE(YEAR((Tahmin!$C$4+49)),MONTH((Tahmin!$C$4+49)),MIN(DAY(Kalemler!$D109),DAY(EOMONTH((Tahmin!$C$4+49),0))))&gt;=Kalemler!$D109),AND(DATE(YEAR((Tahmin!$C$4+55)),MONTH((Tahmin!$C$4+55)),MIN(DAY(Kalemler!$D109),DAY(EOMONTH((Tahmin!$C$4+55),0))))&gt;=(Tahmin!$C$4+49),DATE(YEAR((Tahmin!$C$4+55)),MONTH((Tahmin!$C$4+55)),MIN(DAY(Kalemler!$D109),DAY(EOMONTH((Tahmin!$C$4+55),0))))&lt;=(Tahmin!$C$4+55),DATE(YEAR((Tahmin!$C$4+55)),MONTH((Tahmin!$C$4+55)),MIN(DAY(Kalemler!$D109),DAY(EOMONTH((Tahmin!$C$4+55),0))))&lt;&gt;DATE(YEAR((Tahmin!$C$4+49)),MONTH((Tahmin!$C$4+49)),MIN(DAY(Kalemler!$D109),DAY(EOMONTH((Tahmin!$C$4+49),0)))),DATE(YEAR((Tahmin!$C$4+55)),MONTH((Tahmin!$C$4+55)),MIN(DAY(Kalemler!$D109),DAY(EOMONTH((Tahmin!$C$4+55),0))))&gt;=Kalemler!$D109)),1,0),IF(AND(Kalemler!$D109&gt;=(Tahmin!$C$4+49),Kalemler!$D109&lt;=(Tahmin!$C$4+55)),1,0))))</f>
        <v>0</v>
      </c>
      <c r="J109" s="0" t="n">
        <f aca="false">IF(OR(Kalemler!$A109="",Kalemler!$C109="",Kalemler!$D109=""),0,Kalemler!$C109*IF(Kalemler!$E109="Haftalık",IF(Kalemler!$D109&lt;=(Tahmin!$C$4+62),1,0),IF(Kalemler!$E109="Aylık",IF(OR(AND(DATE(YEAR((Tahmin!$C$4+56)),MONTH((Tahmin!$C$4+56)),MIN(DAY(Kalemler!$D109),DAY(EOMONTH((Tahmin!$C$4+56),0))))&gt;=(Tahmin!$C$4+56),DATE(YEAR((Tahmin!$C$4+56)),MONTH((Tahmin!$C$4+56)),MIN(DAY(Kalemler!$D109),DAY(EOMONTH((Tahmin!$C$4+56),0))))&lt;=(Tahmin!$C$4+62),DATE(YEAR((Tahmin!$C$4+56)),MONTH((Tahmin!$C$4+56)),MIN(DAY(Kalemler!$D109),DAY(EOMONTH((Tahmin!$C$4+56),0))))&gt;=Kalemler!$D109),AND(DATE(YEAR((Tahmin!$C$4+62)),MONTH((Tahmin!$C$4+62)),MIN(DAY(Kalemler!$D109),DAY(EOMONTH((Tahmin!$C$4+62),0))))&gt;=(Tahmin!$C$4+56),DATE(YEAR((Tahmin!$C$4+62)),MONTH((Tahmin!$C$4+62)),MIN(DAY(Kalemler!$D109),DAY(EOMONTH((Tahmin!$C$4+62),0))))&lt;=(Tahmin!$C$4+62),DATE(YEAR((Tahmin!$C$4+62)),MONTH((Tahmin!$C$4+62)),MIN(DAY(Kalemler!$D109),DAY(EOMONTH((Tahmin!$C$4+62),0))))&lt;&gt;DATE(YEAR((Tahmin!$C$4+56)),MONTH((Tahmin!$C$4+56)),MIN(DAY(Kalemler!$D109),DAY(EOMONTH((Tahmin!$C$4+56),0)))),DATE(YEAR((Tahmin!$C$4+62)),MONTH((Tahmin!$C$4+62)),MIN(DAY(Kalemler!$D109),DAY(EOMONTH((Tahmin!$C$4+62),0))))&gt;=Kalemler!$D109)),1,0),IF(AND(Kalemler!$D109&gt;=(Tahmin!$C$4+56),Kalemler!$D109&lt;=(Tahmin!$C$4+62)),1,0))))</f>
        <v>0</v>
      </c>
      <c r="K109" s="0" t="n">
        <f aca="false">IF(OR(Kalemler!$A109="",Kalemler!$C109="",Kalemler!$D109=""),0,Kalemler!$C109*IF(Kalemler!$E109="Haftalık",IF(Kalemler!$D109&lt;=(Tahmin!$C$4+69),1,0),IF(Kalemler!$E109="Aylık",IF(OR(AND(DATE(YEAR((Tahmin!$C$4+63)),MONTH((Tahmin!$C$4+63)),MIN(DAY(Kalemler!$D109),DAY(EOMONTH((Tahmin!$C$4+63),0))))&gt;=(Tahmin!$C$4+63),DATE(YEAR((Tahmin!$C$4+63)),MONTH((Tahmin!$C$4+63)),MIN(DAY(Kalemler!$D109),DAY(EOMONTH((Tahmin!$C$4+63),0))))&lt;=(Tahmin!$C$4+69),DATE(YEAR((Tahmin!$C$4+63)),MONTH((Tahmin!$C$4+63)),MIN(DAY(Kalemler!$D109),DAY(EOMONTH((Tahmin!$C$4+63),0))))&gt;=Kalemler!$D109),AND(DATE(YEAR((Tahmin!$C$4+69)),MONTH((Tahmin!$C$4+69)),MIN(DAY(Kalemler!$D109),DAY(EOMONTH((Tahmin!$C$4+69),0))))&gt;=(Tahmin!$C$4+63),DATE(YEAR((Tahmin!$C$4+69)),MONTH((Tahmin!$C$4+69)),MIN(DAY(Kalemler!$D109),DAY(EOMONTH((Tahmin!$C$4+69),0))))&lt;=(Tahmin!$C$4+69),DATE(YEAR((Tahmin!$C$4+69)),MONTH((Tahmin!$C$4+69)),MIN(DAY(Kalemler!$D109),DAY(EOMONTH((Tahmin!$C$4+69),0))))&lt;&gt;DATE(YEAR((Tahmin!$C$4+63)),MONTH((Tahmin!$C$4+63)),MIN(DAY(Kalemler!$D109),DAY(EOMONTH((Tahmin!$C$4+63),0)))),DATE(YEAR((Tahmin!$C$4+69)),MONTH((Tahmin!$C$4+69)),MIN(DAY(Kalemler!$D109),DAY(EOMONTH((Tahmin!$C$4+69),0))))&gt;=Kalemler!$D109)),1,0),IF(AND(Kalemler!$D109&gt;=(Tahmin!$C$4+63),Kalemler!$D109&lt;=(Tahmin!$C$4+69)),1,0))))</f>
        <v>0</v>
      </c>
      <c r="L109" s="0" t="n">
        <f aca="false">IF(OR(Kalemler!$A109="",Kalemler!$C109="",Kalemler!$D109=""),0,Kalemler!$C109*IF(Kalemler!$E109="Haftalık",IF(Kalemler!$D109&lt;=(Tahmin!$C$4+76),1,0),IF(Kalemler!$E109="Aylık",IF(OR(AND(DATE(YEAR((Tahmin!$C$4+70)),MONTH((Tahmin!$C$4+70)),MIN(DAY(Kalemler!$D109),DAY(EOMONTH((Tahmin!$C$4+70),0))))&gt;=(Tahmin!$C$4+70),DATE(YEAR((Tahmin!$C$4+70)),MONTH((Tahmin!$C$4+70)),MIN(DAY(Kalemler!$D109),DAY(EOMONTH((Tahmin!$C$4+70),0))))&lt;=(Tahmin!$C$4+76),DATE(YEAR((Tahmin!$C$4+70)),MONTH((Tahmin!$C$4+70)),MIN(DAY(Kalemler!$D109),DAY(EOMONTH((Tahmin!$C$4+70),0))))&gt;=Kalemler!$D109),AND(DATE(YEAR((Tahmin!$C$4+76)),MONTH((Tahmin!$C$4+76)),MIN(DAY(Kalemler!$D109),DAY(EOMONTH((Tahmin!$C$4+76),0))))&gt;=(Tahmin!$C$4+70),DATE(YEAR((Tahmin!$C$4+76)),MONTH((Tahmin!$C$4+76)),MIN(DAY(Kalemler!$D109),DAY(EOMONTH((Tahmin!$C$4+76),0))))&lt;=(Tahmin!$C$4+76),DATE(YEAR((Tahmin!$C$4+76)),MONTH((Tahmin!$C$4+76)),MIN(DAY(Kalemler!$D109),DAY(EOMONTH((Tahmin!$C$4+76),0))))&lt;&gt;DATE(YEAR((Tahmin!$C$4+70)),MONTH((Tahmin!$C$4+70)),MIN(DAY(Kalemler!$D109),DAY(EOMONTH((Tahmin!$C$4+70),0)))),DATE(YEAR((Tahmin!$C$4+76)),MONTH((Tahmin!$C$4+76)),MIN(DAY(Kalemler!$D109),DAY(EOMONTH((Tahmin!$C$4+76),0))))&gt;=Kalemler!$D109)),1,0),IF(AND(Kalemler!$D109&gt;=(Tahmin!$C$4+70),Kalemler!$D109&lt;=(Tahmin!$C$4+76)),1,0))))</f>
        <v>0</v>
      </c>
      <c r="M109" s="0" t="n">
        <f aca="false">IF(OR(Kalemler!$A109="",Kalemler!$C109="",Kalemler!$D109=""),0,Kalemler!$C109*IF(Kalemler!$E109="Haftalık",IF(Kalemler!$D109&lt;=(Tahmin!$C$4+83),1,0),IF(Kalemler!$E109="Aylık",IF(OR(AND(DATE(YEAR((Tahmin!$C$4+77)),MONTH((Tahmin!$C$4+77)),MIN(DAY(Kalemler!$D109),DAY(EOMONTH((Tahmin!$C$4+77),0))))&gt;=(Tahmin!$C$4+77),DATE(YEAR((Tahmin!$C$4+77)),MONTH((Tahmin!$C$4+77)),MIN(DAY(Kalemler!$D109),DAY(EOMONTH((Tahmin!$C$4+77),0))))&lt;=(Tahmin!$C$4+83),DATE(YEAR((Tahmin!$C$4+77)),MONTH((Tahmin!$C$4+77)),MIN(DAY(Kalemler!$D109),DAY(EOMONTH((Tahmin!$C$4+77),0))))&gt;=Kalemler!$D109),AND(DATE(YEAR((Tahmin!$C$4+83)),MONTH((Tahmin!$C$4+83)),MIN(DAY(Kalemler!$D109),DAY(EOMONTH((Tahmin!$C$4+83),0))))&gt;=(Tahmin!$C$4+77),DATE(YEAR((Tahmin!$C$4+83)),MONTH((Tahmin!$C$4+83)),MIN(DAY(Kalemler!$D109),DAY(EOMONTH((Tahmin!$C$4+83),0))))&lt;=(Tahmin!$C$4+83),DATE(YEAR((Tahmin!$C$4+83)),MONTH((Tahmin!$C$4+83)),MIN(DAY(Kalemler!$D109),DAY(EOMONTH((Tahmin!$C$4+83),0))))&lt;&gt;DATE(YEAR((Tahmin!$C$4+77)),MONTH((Tahmin!$C$4+77)),MIN(DAY(Kalemler!$D109),DAY(EOMONTH((Tahmin!$C$4+77),0)))),DATE(YEAR((Tahmin!$C$4+83)),MONTH((Tahmin!$C$4+83)),MIN(DAY(Kalemler!$D109),DAY(EOMONTH((Tahmin!$C$4+83),0))))&gt;=Kalemler!$D109)),1,0),IF(AND(Kalemler!$D109&gt;=(Tahmin!$C$4+77),Kalemler!$D109&lt;=(Tahmin!$C$4+83)),1,0))))</f>
        <v>0</v>
      </c>
      <c r="N109" s="0" t="n">
        <f aca="false">IF(OR(Kalemler!$A109="",Kalemler!$C109="",Kalemler!$D109=""),0,Kalemler!$C109*IF(Kalemler!$E109="Haftalık",IF(Kalemler!$D109&lt;=(Tahmin!$C$4+90),1,0),IF(Kalemler!$E109="Aylık",IF(OR(AND(DATE(YEAR((Tahmin!$C$4+84)),MONTH((Tahmin!$C$4+84)),MIN(DAY(Kalemler!$D109),DAY(EOMONTH((Tahmin!$C$4+84),0))))&gt;=(Tahmin!$C$4+84),DATE(YEAR((Tahmin!$C$4+84)),MONTH((Tahmin!$C$4+84)),MIN(DAY(Kalemler!$D109),DAY(EOMONTH((Tahmin!$C$4+84),0))))&lt;=(Tahmin!$C$4+90),DATE(YEAR((Tahmin!$C$4+84)),MONTH((Tahmin!$C$4+84)),MIN(DAY(Kalemler!$D109),DAY(EOMONTH((Tahmin!$C$4+84),0))))&gt;=Kalemler!$D109),AND(DATE(YEAR((Tahmin!$C$4+90)),MONTH((Tahmin!$C$4+90)),MIN(DAY(Kalemler!$D109),DAY(EOMONTH((Tahmin!$C$4+90),0))))&gt;=(Tahmin!$C$4+84),DATE(YEAR((Tahmin!$C$4+90)),MONTH((Tahmin!$C$4+90)),MIN(DAY(Kalemler!$D109),DAY(EOMONTH((Tahmin!$C$4+90),0))))&lt;=(Tahmin!$C$4+90),DATE(YEAR((Tahmin!$C$4+90)),MONTH((Tahmin!$C$4+90)),MIN(DAY(Kalemler!$D109),DAY(EOMONTH((Tahmin!$C$4+90),0))))&lt;&gt;DATE(YEAR((Tahmin!$C$4+84)),MONTH((Tahmin!$C$4+84)),MIN(DAY(Kalemler!$D109),DAY(EOMONTH((Tahmin!$C$4+84),0)))),DATE(YEAR((Tahmin!$C$4+90)),MONTH((Tahmin!$C$4+90)),MIN(DAY(Kalemler!$D109),DAY(EOMONTH((Tahmin!$C$4+90),0))))&gt;=Kalemler!$D109)),1,0),IF(AND(Kalemler!$D109&gt;=(Tahmin!$C$4+84),Kalemler!$D109&lt;=(Tahmin!$C$4+90)),1,0))))</f>
        <v>0</v>
      </c>
    </row>
    <row r="110" customFormat="false" ht="15" hidden="false" customHeight="false" outlineLevel="0" collapsed="false">
      <c r="A110" s="0" t="str">
        <f aca="false">IF(Kalemler!A110="","",Kalemler!A110)</f>
        <v/>
      </c>
      <c r="B110" s="0" t="n">
        <f aca="false">IF(OR(Kalemler!$A110="",Kalemler!$C110="",Kalemler!$D110=""),0,Kalemler!$C110*IF(Kalemler!$E110="Haftalık",IF(Kalemler!$D110&lt;=(Tahmin!$C$4+6),1,0),IF(Kalemler!$E110="Aylık",IF(OR(AND(DATE(YEAR((Tahmin!$C$4+0)),MONTH((Tahmin!$C$4+0)),MIN(DAY(Kalemler!$D110),DAY(EOMONTH((Tahmin!$C$4+0),0))))&gt;=(Tahmin!$C$4+0),DATE(YEAR((Tahmin!$C$4+0)),MONTH((Tahmin!$C$4+0)),MIN(DAY(Kalemler!$D110),DAY(EOMONTH((Tahmin!$C$4+0),0))))&lt;=(Tahmin!$C$4+6),DATE(YEAR((Tahmin!$C$4+0)),MONTH((Tahmin!$C$4+0)),MIN(DAY(Kalemler!$D110),DAY(EOMONTH((Tahmin!$C$4+0),0))))&gt;=Kalemler!$D110),AND(DATE(YEAR((Tahmin!$C$4+6)),MONTH((Tahmin!$C$4+6)),MIN(DAY(Kalemler!$D110),DAY(EOMONTH((Tahmin!$C$4+6),0))))&gt;=(Tahmin!$C$4+0),DATE(YEAR((Tahmin!$C$4+6)),MONTH((Tahmin!$C$4+6)),MIN(DAY(Kalemler!$D110),DAY(EOMONTH((Tahmin!$C$4+6),0))))&lt;=(Tahmin!$C$4+6),DATE(YEAR((Tahmin!$C$4+6)),MONTH((Tahmin!$C$4+6)),MIN(DAY(Kalemler!$D110),DAY(EOMONTH((Tahmin!$C$4+6),0))))&lt;&gt;DATE(YEAR((Tahmin!$C$4+0)),MONTH((Tahmin!$C$4+0)),MIN(DAY(Kalemler!$D110),DAY(EOMONTH((Tahmin!$C$4+0),0)))),DATE(YEAR((Tahmin!$C$4+6)),MONTH((Tahmin!$C$4+6)),MIN(DAY(Kalemler!$D110),DAY(EOMONTH((Tahmin!$C$4+6),0))))&gt;=Kalemler!$D110)),1,0),IF(AND(Kalemler!$D110&gt;=(Tahmin!$C$4+0),Kalemler!$D110&lt;=(Tahmin!$C$4+6)),1,0))))</f>
        <v>0</v>
      </c>
      <c r="C110" s="0" t="n">
        <f aca="false">IF(OR(Kalemler!$A110="",Kalemler!$C110="",Kalemler!$D110=""),0,Kalemler!$C110*IF(Kalemler!$E110="Haftalık",IF(Kalemler!$D110&lt;=(Tahmin!$C$4+13),1,0),IF(Kalemler!$E110="Aylık",IF(OR(AND(DATE(YEAR((Tahmin!$C$4+7)),MONTH((Tahmin!$C$4+7)),MIN(DAY(Kalemler!$D110),DAY(EOMONTH((Tahmin!$C$4+7),0))))&gt;=(Tahmin!$C$4+7),DATE(YEAR((Tahmin!$C$4+7)),MONTH((Tahmin!$C$4+7)),MIN(DAY(Kalemler!$D110),DAY(EOMONTH((Tahmin!$C$4+7),0))))&lt;=(Tahmin!$C$4+13),DATE(YEAR((Tahmin!$C$4+7)),MONTH((Tahmin!$C$4+7)),MIN(DAY(Kalemler!$D110),DAY(EOMONTH((Tahmin!$C$4+7),0))))&gt;=Kalemler!$D110),AND(DATE(YEAR((Tahmin!$C$4+13)),MONTH((Tahmin!$C$4+13)),MIN(DAY(Kalemler!$D110),DAY(EOMONTH((Tahmin!$C$4+13),0))))&gt;=(Tahmin!$C$4+7),DATE(YEAR((Tahmin!$C$4+13)),MONTH((Tahmin!$C$4+13)),MIN(DAY(Kalemler!$D110),DAY(EOMONTH((Tahmin!$C$4+13),0))))&lt;=(Tahmin!$C$4+13),DATE(YEAR((Tahmin!$C$4+13)),MONTH((Tahmin!$C$4+13)),MIN(DAY(Kalemler!$D110),DAY(EOMONTH((Tahmin!$C$4+13),0))))&lt;&gt;DATE(YEAR((Tahmin!$C$4+7)),MONTH((Tahmin!$C$4+7)),MIN(DAY(Kalemler!$D110),DAY(EOMONTH((Tahmin!$C$4+7),0)))),DATE(YEAR((Tahmin!$C$4+13)),MONTH((Tahmin!$C$4+13)),MIN(DAY(Kalemler!$D110),DAY(EOMONTH((Tahmin!$C$4+13),0))))&gt;=Kalemler!$D110)),1,0),IF(AND(Kalemler!$D110&gt;=(Tahmin!$C$4+7),Kalemler!$D110&lt;=(Tahmin!$C$4+13)),1,0))))</f>
        <v>0</v>
      </c>
      <c r="D110" s="0" t="n">
        <f aca="false">IF(OR(Kalemler!$A110="",Kalemler!$C110="",Kalemler!$D110=""),0,Kalemler!$C110*IF(Kalemler!$E110="Haftalık",IF(Kalemler!$D110&lt;=(Tahmin!$C$4+20),1,0),IF(Kalemler!$E110="Aylık",IF(OR(AND(DATE(YEAR((Tahmin!$C$4+14)),MONTH((Tahmin!$C$4+14)),MIN(DAY(Kalemler!$D110),DAY(EOMONTH((Tahmin!$C$4+14),0))))&gt;=(Tahmin!$C$4+14),DATE(YEAR((Tahmin!$C$4+14)),MONTH((Tahmin!$C$4+14)),MIN(DAY(Kalemler!$D110),DAY(EOMONTH((Tahmin!$C$4+14),0))))&lt;=(Tahmin!$C$4+20),DATE(YEAR((Tahmin!$C$4+14)),MONTH((Tahmin!$C$4+14)),MIN(DAY(Kalemler!$D110),DAY(EOMONTH((Tahmin!$C$4+14),0))))&gt;=Kalemler!$D110),AND(DATE(YEAR((Tahmin!$C$4+20)),MONTH((Tahmin!$C$4+20)),MIN(DAY(Kalemler!$D110),DAY(EOMONTH((Tahmin!$C$4+20),0))))&gt;=(Tahmin!$C$4+14),DATE(YEAR((Tahmin!$C$4+20)),MONTH((Tahmin!$C$4+20)),MIN(DAY(Kalemler!$D110),DAY(EOMONTH((Tahmin!$C$4+20),0))))&lt;=(Tahmin!$C$4+20),DATE(YEAR((Tahmin!$C$4+20)),MONTH((Tahmin!$C$4+20)),MIN(DAY(Kalemler!$D110),DAY(EOMONTH((Tahmin!$C$4+20),0))))&lt;&gt;DATE(YEAR((Tahmin!$C$4+14)),MONTH((Tahmin!$C$4+14)),MIN(DAY(Kalemler!$D110),DAY(EOMONTH((Tahmin!$C$4+14),0)))),DATE(YEAR((Tahmin!$C$4+20)),MONTH((Tahmin!$C$4+20)),MIN(DAY(Kalemler!$D110),DAY(EOMONTH((Tahmin!$C$4+20),0))))&gt;=Kalemler!$D110)),1,0),IF(AND(Kalemler!$D110&gt;=(Tahmin!$C$4+14),Kalemler!$D110&lt;=(Tahmin!$C$4+20)),1,0))))</f>
        <v>0</v>
      </c>
      <c r="E110" s="0" t="n">
        <f aca="false">IF(OR(Kalemler!$A110="",Kalemler!$C110="",Kalemler!$D110=""),0,Kalemler!$C110*IF(Kalemler!$E110="Haftalık",IF(Kalemler!$D110&lt;=(Tahmin!$C$4+27),1,0),IF(Kalemler!$E110="Aylık",IF(OR(AND(DATE(YEAR((Tahmin!$C$4+21)),MONTH((Tahmin!$C$4+21)),MIN(DAY(Kalemler!$D110),DAY(EOMONTH((Tahmin!$C$4+21),0))))&gt;=(Tahmin!$C$4+21),DATE(YEAR((Tahmin!$C$4+21)),MONTH((Tahmin!$C$4+21)),MIN(DAY(Kalemler!$D110),DAY(EOMONTH((Tahmin!$C$4+21),0))))&lt;=(Tahmin!$C$4+27),DATE(YEAR((Tahmin!$C$4+21)),MONTH((Tahmin!$C$4+21)),MIN(DAY(Kalemler!$D110),DAY(EOMONTH((Tahmin!$C$4+21),0))))&gt;=Kalemler!$D110),AND(DATE(YEAR((Tahmin!$C$4+27)),MONTH((Tahmin!$C$4+27)),MIN(DAY(Kalemler!$D110),DAY(EOMONTH((Tahmin!$C$4+27),0))))&gt;=(Tahmin!$C$4+21),DATE(YEAR((Tahmin!$C$4+27)),MONTH((Tahmin!$C$4+27)),MIN(DAY(Kalemler!$D110),DAY(EOMONTH((Tahmin!$C$4+27),0))))&lt;=(Tahmin!$C$4+27),DATE(YEAR((Tahmin!$C$4+27)),MONTH((Tahmin!$C$4+27)),MIN(DAY(Kalemler!$D110),DAY(EOMONTH((Tahmin!$C$4+27),0))))&lt;&gt;DATE(YEAR((Tahmin!$C$4+21)),MONTH((Tahmin!$C$4+21)),MIN(DAY(Kalemler!$D110),DAY(EOMONTH((Tahmin!$C$4+21),0)))),DATE(YEAR((Tahmin!$C$4+27)),MONTH((Tahmin!$C$4+27)),MIN(DAY(Kalemler!$D110),DAY(EOMONTH((Tahmin!$C$4+27),0))))&gt;=Kalemler!$D110)),1,0),IF(AND(Kalemler!$D110&gt;=(Tahmin!$C$4+21),Kalemler!$D110&lt;=(Tahmin!$C$4+27)),1,0))))</f>
        <v>0</v>
      </c>
      <c r="F110" s="0" t="n">
        <f aca="false">IF(OR(Kalemler!$A110="",Kalemler!$C110="",Kalemler!$D110=""),0,Kalemler!$C110*IF(Kalemler!$E110="Haftalık",IF(Kalemler!$D110&lt;=(Tahmin!$C$4+34),1,0),IF(Kalemler!$E110="Aylık",IF(OR(AND(DATE(YEAR((Tahmin!$C$4+28)),MONTH((Tahmin!$C$4+28)),MIN(DAY(Kalemler!$D110),DAY(EOMONTH((Tahmin!$C$4+28),0))))&gt;=(Tahmin!$C$4+28),DATE(YEAR((Tahmin!$C$4+28)),MONTH((Tahmin!$C$4+28)),MIN(DAY(Kalemler!$D110),DAY(EOMONTH((Tahmin!$C$4+28),0))))&lt;=(Tahmin!$C$4+34),DATE(YEAR((Tahmin!$C$4+28)),MONTH((Tahmin!$C$4+28)),MIN(DAY(Kalemler!$D110),DAY(EOMONTH((Tahmin!$C$4+28),0))))&gt;=Kalemler!$D110),AND(DATE(YEAR((Tahmin!$C$4+34)),MONTH((Tahmin!$C$4+34)),MIN(DAY(Kalemler!$D110),DAY(EOMONTH((Tahmin!$C$4+34),0))))&gt;=(Tahmin!$C$4+28),DATE(YEAR((Tahmin!$C$4+34)),MONTH((Tahmin!$C$4+34)),MIN(DAY(Kalemler!$D110),DAY(EOMONTH((Tahmin!$C$4+34),0))))&lt;=(Tahmin!$C$4+34),DATE(YEAR((Tahmin!$C$4+34)),MONTH((Tahmin!$C$4+34)),MIN(DAY(Kalemler!$D110),DAY(EOMONTH((Tahmin!$C$4+34),0))))&lt;&gt;DATE(YEAR((Tahmin!$C$4+28)),MONTH((Tahmin!$C$4+28)),MIN(DAY(Kalemler!$D110),DAY(EOMONTH((Tahmin!$C$4+28),0)))),DATE(YEAR((Tahmin!$C$4+34)),MONTH((Tahmin!$C$4+34)),MIN(DAY(Kalemler!$D110),DAY(EOMONTH((Tahmin!$C$4+34),0))))&gt;=Kalemler!$D110)),1,0),IF(AND(Kalemler!$D110&gt;=(Tahmin!$C$4+28),Kalemler!$D110&lt;=(Tahmin!$C$4+34)),1,0))))</f>
        <v>0</v>
      </c>
      <c r="G110" s="0" t="n">
        <f aca="false">IF(OR(Kalemler!$A110="",Kalemler!$C110="",Kalemler!$D110=""),0,Kalemler!$C110*IF(Kalemler!$E110="Haftalık",IF(Kalemler!$D110&lt;=(Tahmin!$C$4+41),1,0),IF(Kalemler!$E110="Aylık",IF(OR(AND(DATE(YEAR((Tahmin!$C$4+35)),MONTH((Tahmin!$C$4+35)),MIN(DAY(Kalemler!$D110),DAY(EOMONTH((Tahmin!$C$4+35),0))))&gt;=(Tahmin!$C$4+35),DATE(YEAR((Tahmin!$C$4+35)),MONTH((Tahmin!$C$4+35)),MIN(DAY(Kalemler!$D110),DAY(EOMONTH((Tahmin!$C$4+35),0))))&lt;=(Tahmin!$C$4+41),DATE(YEAR((Tahmin!$C$4+35)),MONTH((Tahmin!$C$4+35)),MIN(DAY(Kalemler!$D110),DAY(EOMONTH((Tahmin!$C$4+35),0))))&gt;=Kalemler!$D110),AND(DATE(YEAR((Tahmin!$C$4+41)),MONTH((Tahmin!$C$4+41)),MIN(DAY(Kalemler!$D110),DAY(EOMONTH((Tahmin!$C$4+41),0))))&gt;=(Tahmin!$C$4+35),DATE(YEAR((Tahmin!$C$4+41)),MONTH((Tahmin!$C$4+41)),MIN(DAY(Kalemler!$D110),DAY(EOMONTH((Tahmin!$C$4+41),0))))&lt;=(Tahmin!$C$4+41),DATE(YEAR((Tahmin!$C$4+41)),MONTH((Tahmin!$C$4+41)),MIN(DAY(Kalemler!$D110),DAY(EOMONTH((Tahmin!$C$4+41),0))))&lt;&gt;DATE(YEAR((Tahmin!$C$4+35)),MONTH((Tahmin!$C$4+35)),MIN(DAY(Kalemler!$D110),DAY(EOMONTH((Tahmin!$C$4+35),0)))),DATE(YEAR((Tahmin!$C$4+41)),MONTH((Tahmin!$C$4+41)),MIN(DAY(Kalemler!$D110),DAY(EOMONTH((Tahmin!$C$4+41),0))))&gt;=Kalemler!$D110)),1,0),IF(AND(Kalemler!$D110&gt;=(Tahmin!$C$4+35),Kalemler!$D110&lt;=(Tahmin!$C$4+41)),1,0))))</f>
        <v>0</v>
      </c>
      <c r="H110" s="0" t="n">
        <f aca="false">IF(OR(Kalemler!$A110="",Kalemler!$C110="",Kalemler!$D110=""),0,Kalemler!$C110*IF(Kalemler!$E110="Haftalık",IF(Kalemler!$D110&lt;=(Tahmin!$C$4+48),1,0),IF(Kalemler!$E110="Aylık",IF(OR(AND(DATE(YEAR((Tahmin!$C$4+42)),MONTH((Tahmin!$C$4+42)),MIN(DAY(Kalemler!$D110),DAY(EOMONTH((Tahmin!$C$4+42),0))))&gt;=(Tahmin!$C$4+42),DATE(YEAR((Tahmin!$C$4+42)),MONTH((Tahmin!$C$4+42)),MIN(DAY(Kalemler!$D110),DAY(EOMONTH((Tahmin!$C$4+42),0))))&lt;=(Tahmin!$C$4+48),DATE(YEAR((Tahmin!$C$4+42)),MONTH((Tahmin!$C$4+42)),MIN(DAY(Kalemler!$D110),DAY(EOMONTH((Tahmin!$C$4+42),0))))&gt;=Kalemler!$D110),AND(DATE(YEAR((Tahmin!$C$4+48)),MONTH((Tahmin!$C$4+48)),MIN(DAY(Kalemler!$D110),DAY(EOMONTH((Tahmin!$C$4+48),0))))&gt;=(Tahmin!$C$4+42),DATE(YEAR((Tahmin!$C$4+48)),MONTH((Tahmin!$C$4+48)),MIN(DAY(Kalemler!$D110),DAY(EOMONTH((Tahmin!$C$4+48),0))))&lt;=(Tahmin!$C$4+48),DATE(YEAR((Tahmin!$C$4+48)),MONTH((Tahmin!$C$4+48)),MIN(DAY(Kalemler!$D110),DAY(EOMONTH((Tahmin!$C$4+48),0))))&lt;&gt;DATE(YEAR((Tahmin!$C$4+42)),MONTH((Tahmin!$C$4+42)),MIN(DAY(Kalemler!$D110),DAY(EOMONTH((Tahmin!$C$4+42),0)))),DATE(YEAR((Tahmin!$C$4+48)),MONTH((Tahmin!$C$4+48)),MIN(DAY(Kalemler!$D110),DAY(EOMONTH((Tahmin!$C$4+48),0))))&gt;=Kalemler!$D110)),1,0),IF(AND(Kalemler!$D110&gt;=(Tahmin!$C$4+42),Kalemler!$D110&lt;=(Tahmin!$C$4+48)),1,0))))</f>
        <v>0</v>
      </c>
      <c r="I110" s="0" t="n">
        <f aca="false">IF(OR(Kalemler!$A110="",Kalemler!$C110="",Kalemler!$D110=""),0,Kalemler!$C110*IF(Kalemler!$E110="Haftalık",IF(Kalemler!$D110&lt;=(Tahmin!$C$4+55),1,0),IF(Kalemler!$E110="Aylık",IF(OR(AND(DATE(YEAR((Tahmin!$C$4+49)),MONTH((Tahmin!$C$4+49)),MIN(DAY(Kalemler!$D110),DAY(EOMONTH((Tahmin!$C$4+49),0))))&gt;=(Tahmin!$C$4+49),DATE(YEAR((Tahmin!$C$4+49)),MONTH((Tahmin!$C$4+49)),MIN(DAY(Kalemler!$D110),DAY(EOMONTH((Tahmin!$C$4+49),0))))&lt;=(Tahmin!$C$4+55),DATE(YEAR((Tahmin!$C$4+49)),MONTH((Tahmin!$C$4+49)),MIN(DAY(Kalemler!$D110),DAY(EOMONTH((Tahmin!$C$4+49),0))))&gt;=Kalemler!$D110),AND(DATE(YEAR((Tahmin!$C$4+55)),MONTH((Tahmin!$C$4+55)),MIN(DAY(Kalemler!$D110),DAY(EOMONTH((Tahmin!$C$4+55),0))))&gt;=(Tahmin!$C$4+49),DATE(YEAR((Tahmin!$C$4+55)),MONTH((Tahmin!$C$4+55)),MIN(DAY(Kalemler!$D110),DAY(EOMONTH((Tahmin!$C$4+55),0))))&lt;=(Tahmin!$C$4+55),DATE(YEAR((Tahmin!$C$4+55)),MONTH((Tahmin!$C$4+55)),MIN(DAY(Kalemler!$D110),DAY(EOMONTH((Tahmin!$C$4+55),0))))&lt;&gt;DATE(YEAR((Tahmin!$C$4+49)),MONTH((Tahmin!$C$4+49)),MIN(DAY(Kalemler!$D110),DAY(EOMONTH((Tahmin!$C$4+49),0)))),DATE(YEAR((Tahmin!$C$4+55)),MONTH((Tahmin!$C$4+55)),MIN(DAY(Kalemler!$D110),DAY(EOMONTH((Tahmin!$C$4+55),0))))&gt;=Kalemler!$D110)),1,0),IF(AND(Kalemler!$D110&gt;=(Tahmin!$C$4+49),Kalemler!$D110&lt;=(Tahmin!$C$4+55)),1,0))))</f>
        <v>0</v>
      </c>
      <c r="J110" s="0" t="n">
        <f aca="false">IF(OR(Kalemler!$A110="",Kalemler!$C110="",Kalemler!$D110=""),0,Kalemler!$C110*IF(Kalemler!$E110="Haftalık",IF(Kalemler!$D110&lt;=(Tahmin!$C$4+62),1,0),IF(Kalemler!$E110="Aylık",IF(OR(AND(DATE(YEAR((Tahmin!$C$4+56)),MONTH((Tahmin!$C$4+56)),MIN(DAY(Kalemler!$D110),DAY(EOMONTH((Tahmin!$C$4+56),0))))&gt;=(Tahmin!$C$4+56),DATE(YEAR((Tahmin!$C$4+56)),MONTH((Tahmin!$C$4+56)),MIN(DAY(Kalemler!$D110),DAY(EOMONTH((Tahmin!$C$4+56),0))))&lt;=(Tahmin!$C$4+62),DATE(YEAR((Tahmin!$C$4+56)),MONTH((Tahmin!$C$4+56)),MIN(DAY(Kalemler!$D110),DAY(EOMONTH((Tahmin!$C$4+56),0))))&gt;=Kalemler!$D110),AND(DATE(YEAR((Tahmin!$C$4+62)),MONTH((Tahmin!$C$4+62)),MIN(DAY(Kalemler!$D110),DAY(EOMONTH((Tahmin!$C$4+62),0))))&gt;=(Tahmin!$C$4+56),DATE(YEAR((Tahmin!$C$4+62)),MONTH((Tahmin!$C$4+62)),MIN(DAY(Kalemler!$D110),DAY(EOMONTH((Tahmin!$C$4+62),0))))&lt;=(Tahmin!$C$4+62),DATE(YEAR((Tahmin!$C$4+62)),MONTH((Tahmin!$C$4+62)),MIN(DAY(Kalemler!$D110),DAY(EOMONTH((Tahmin!$C$4+62),0))))&lt;&gt;DATE(YEAR((Tahmin!$C$4+56)),MONTH((Tahmin!$C$4+56)),MIN(DAY(Kalemler!$D110),DAY(EOMONTH((Tahmin!$C$4+56),0)))),DATE(YEAR((Tahmin!$C$4+62)),MONTH((Tahmin!$C$4+62)),MIN(DAY(Kalemler!$D110),DAY(EOMONTH((Tahmin!$C$4+62),0))))&gt;=Kalemler!$D110)),1,0),IF(AND(Kalemler!$D110&gt;=(Tahmin!$C$4+56),Kalemler!$D110&lt;=(Tahmin!$C$4+62)),1,0))))</f>
        <v>0</v>
      </c>
      <c r="K110" s="0" t="n">
        <f aca="false">IF(OR(Kalemler!$A110="",Kalemler!$C110="",Kalemler!$D110=""),0,Kalemler!$C110*IF(Kalemler!$E110="Haftalık",IF(Kalemler!$D110&lt;=(Tahmin!$C$4+69),1,0),IF(Kalemler!$E110="Aylık",IF(OR(AND(DATE(YEAR((Tahmin!$C$4+63)),MONTH((Tahmin!$C$4+63)),MIN(DAY(Kalemler!$D110),DAY(EOMONTH((Tahmin!$C$4+63),0))))&gt;=(Tahmin!$C$4+63),DATE(YEAR((Tahmin!$C$4+63)),MONTH((Tahmin!$C$4+63)),MIN(DAY(Kalemler!$D110),DAY(EOMONTH((Tahmin!$C$4+63),0))))&lt;=(Tahmin!$C$4+69),DATE(YEAR((Tahmin!$C$4+63)),MONTH((Tahmin!$C$4+63)),MIN(DAY(Kalemler!$D110),DAY(EOMONTH((Tahmin!$C$4+63),0))))&gt;=Kalemler!$D110),AND(DATE(YEAR((Tahmin!$C$4+69)),MONTH((Tahmin!$C$4+69)),MIN(DAY(Kalemler!$D110),DAY(EOMONTH((Tahmin!$C$4+69),0))))&gt;=(Tahmin!$C$4+63),DATE(YEAR((Tahmin!$C$4+69)),MONTH((Tahmin!$C$4+69)),MIN(DAY(Kalemler!$D110),DAY(EOMONTH((Tahmin!$C$4+69),0))))&lt;=(Tahmin!$C$4+69),DATE(YEAR((Tahmin!$C$4+69)),MONTH((Tahmin!$C$4+69)),MIN(DAY(Kalemler!$D110),DAY(EOMONTH((Tahmin!$C$4+69),0))))&lt;&gt;DATE(YEAR((Tahmin!$C$4+63)),MONTH((Tahmin!$C$4+63)),MIN(DAY(Kalemler!$D110),DAY(EOMONTH((Tahmin!$C$4+63),0)))),DATE(YEAR((Tahmin!$C$4+69)),MONTH((Tahmin!$C$4+69)),MIN(DAY(Kalemler!$D110),DAY(EOMONTH((Tahmin!$C$4+69),0))))&gt;=Kalemler!$D110)),1,0),IF(AND(Kalemler!$D110&gt;=(Tahmin!$C$4+63),Kalemler!$D110&lt;=(Tahmin!$C$4+69)),1,0))))</f>
        <v>0</v>
      </c>
      <c r="L110" s="0" t="n">
        <f aca="false">IF(OR(Kalemler!$A110="",Kalemler!$C110="",Kalemler!$D110=""),0,Kalemler!$C110*IF(Kalemler!$E110="Haftalık",IF(Kalemler!$D110&lt;=(Tahmin!$C$4+76),1,0),IF(Kalemler!$E110="Aylık",IF(OR(AND(DATE(YEAR((Tahmin!$C$4+70)),MONTH((Tahmin!$C$4+70)),MIN(DAY(Kalemler!$D110),DAY(EOMONTH((Tahmin!$C$4+70),0))))&gt;=(Tahmin!$C$4+70),DATE(YEAR((Tahmin!$C$4+70)),MONTH((Tahmin!$C$4+70)),MIN(DAY(Kalemler!$D110),DAY(EOMONTH((Tahmin!$C$4+70),0))))&lt;=(Tahmin!$C$4+76),DATE(YEAR((Tahmin!$C$4+70)),MONTH((Tahmin!$C$4+70)),MIN(DAY(Kalemler!$D110),DAY(EOMONTH((Tahmin!$C$4+70),0))))&gt;=Kalemler!$D110),AND(DATE(YEAR((Tahmin!$C$4+76)),MONTH((Tahmin!$C$4+76)),MIN(DAY(Kalemler!$D110),DAY(EOMONTH((Tahmin!$C$4+76),0))))&gt;=(Tahmin!$C$4+70),DATE(YEAR((Tahmin!$C$4+76)),MONTH((Tahmin!$C$4+76)),MIN(DAY(Kalemler!$D110),DAY(EOMONTH((Tahmin!$C$4+76),0))))&lt;=(Tahmin!$C$4+76),DATE(YEAR((Tahmin!$C$4+76)),MONTH((Tahmin!$C$4+76)),MIN(DAY(Kalemler!$D110),DAY(EOMONTH((Tahmin!$C$4+76),0))))&lt;&gt;DATE(YEAR((Tahmin!$C$4+70)),MONTH((Tahmin!$C$4+70)),MIN(DAY(Kalemler!$D110),DAY(EOMONTH((Tahmin!$C$4+70),0)))),DATE(YEAR((Tahmin!$C$4+76)),MONTH((Tahmin!$C$4+76)),MIN(DAY(Kalemler!$D110),DAY(EOMONTH((Tahmin!$C$4+76),0))))&gt;=Kalemler!$D110)),1,0),IF(AND(Kalemler!$D110&gt;=(Tahmin!$C$4+70),Kalemler!$D110&lt;=(Tahmin!$C$4+76)),1,0))))</f>
        <v>0</v>
      </c>
      <c r="M110" s="0" t="n">
        <f aca="false">IF(OR(Kalemler!$A110="",Kalemler!$C110="",Kalemler!$D110=""),0,Kalemler!$C110*IF(Kalemler!$E110="Haftalık",IF(Kalemler!$D110&lt;=(Tahmin!$C$4+83),1,0),IF(Kalemler!$E110="Aylık",IF(OR(AND(DATE(YEAR((Tahmin!$C$4+77)),MONTH((Tahmin!$C$4+77)),MIN(DAY(Kalemler!$D110),DAY(EOMONTH((Tahmin!$C$4+77),0))))&gt;=(Tahmin!$C$4+77),DATE(YEAR((Tahmin!$C$4+77)),MONTH((Tahmin!$C$4+77)),MIN(DAY(Kalemler!$D110),DAY(EOMONTH((Tahmin!$C$4+77),0))))&lt;=(Tahmin!$C$4+83),DATE(YEAR((Tahmin!$C$4+77)),MONTH((Tahmin!$C$4+77)),MIN(DAY(Kalemler!$D110),DAY(EOMONTH((Tahmin!$C$4+77),0))))&gt;=Kalemler!$D110),AND(DATE(YEAR((Tahmin!$C$4+83)),MONTH((Tahmin!$C$4+83)),MIN(DAY(Kalemler!$D110),DAY(EOMONTH((Tahmin!$C$4+83),0))))&gt;=(Tahmin!$C$4+77),DATE(YEAR((Tahmin!$C$4+83)),MONTH((Tahmin!$C$4+83)),MIN(DAY(Kalemler!$D110),DAY(EOMONTH((Tahmin!$C$4+83),0))))&lt;=(Tahmin!$C$4+83),DATE(YEAR((Tahmin!$C$4+83)),MONTH((Tahmin!$C$4+83)),MIN(DAY(Kalemler!$D110),DAY(EOMONTH((Tahmin!$C$4+83),0))))&lt;&gt;DATE(YEAR((Tahmin!$C$4+77)),MONTH((Tahmin!$C$4+77)),MIN(DAY(Kalemler!$D110),DAY(EOMONTH((Tahmin!$C$4+77),0)))),DATE(YEAR((Tahmin!$C$4+83)),MONTH((Tahmin!$C$4+83)),MIN(DAY(Kalemler!$D110),DAY(EOMONTH((Tahmin!$C$4+83),0))))&gt;=Kalemler!$D110)),1,0),IF(AND(Kalemler!$D110&gt;=(Tahmin!$C$4+77),Kalemler!$D110&lt;=(Tahmin!$C$4+83)),1,0))))</f>
        <v>0</v>
      </c>
      <c r="N110" s="0" t="n">
        <f aca="false">IF(OR(Kalemler!$A110="",Kalemler!$C110="",Kalemler!$D110=""),0,Kalemler!$C110*IF(Kalemler!$E110="Haftalık",IF(Kalemler!$D110&lt;=(Tahmin!$C$4+90),1,0),IF(Kalemler!$E110="Aylık",IF(OR(AND(DATE(YEAR((Tahmin!$C$4+84)),MONTH((Tahmin!$C$4+84)),MIN(DAY(Kalemler!$D110),DAY(EOMONTH((Tahmin!$C$4+84),0))))&gt;=(Tahmin!$C$4+84),DATE(YEAR((Tahmin!$C$4+84)),MONTH((Tahmin!$C$4+84)),MIN(DAY(Kalemler!$D110),DAY(EOMONTH((Tahmin!$C$4+84),0))))&lt;=(Tahmin!$C$4+90),DATE(YEAR((Tahmin!$C$4+84)),MONTH((Tahmin!$C$4+84)),MIN(DAY(Kalemler!$D110),DAY(EOMONTH((Tahmin!$C$4+84),0))))&gt;=Kalemler!$D110),AND(DATE(YEAR((Tahmin!$C$4+90)),MONTH((Tahmin!$C$4+90)),MIN(DAY(Kalemler!$D110),DAY(EOMONTH((Tahmin!$C$4+90),0))))&gt;=(Tahmin!$C$4+84),DATE(YEAR((Tahmin!$C$4+90)),MONTH((Tahmin!$C$4+90)),MIN(DAY(Kalemler!$D110),DAY(EOMONTH((Tahmin!$C$4+90),0))))&lt;=(Tahmin!$C$4+90),DATE(YEAR((Tahmin!$C$4+90)),MONTH((Tahmin!$C$4+90)),MIN(DAY(Kalemler!$D110),DAY(EOMONTH((Tahmin!$C$4+90),0))))&lt;&gt;DATE(YEAR((Tahmin!$C$4+84)),MONTH((Tahmin!$C$4+84)),MIN(DAY(Kalemler!$D110),DAY(EOMONTH((Tahmin!$C$4+84),0)))),DATE(YEAR((Tahmin!$C$4+90)),MONTH((Tahmin!$C$4+90)),MIN(DAY(Kalemler!$D110),DAY(EOMONTH((Tahmin!$C$4+90),0))))&gt;=Kalemler!$D110)),1,0),IF(AND(Kalemler!$D110&gt;=(Tahmin!$C$4+84),Kalemler!$D110&lt;=(Tahmin!$C$4+90)),1,0))))</f>
        <v>0</v>
      </c>
    </row>
    <row r="111" customFormat="false" ht="15" hidden="false" customHeight="false" outlineLevel="0" collapsed="false">
      <c r="A111" s="0" t="str">
        <f aca="false">IF(Kalemler!A111="","",Kalemler!A111)</f>
        <v/>
      </c>
      <c r="B111" s="0" t="n">
        <f aca="false">IF(OR(Kalemler!$A111="",Kalemler!$C111="",Kalemler!$D111=""),0,Kalemler!$C111*IF(Kalemler!$E111="Haftalık",IF(Kalemler!$D111&lt;=(Tahmin!$C$4+6),1,0),IF(Kalemler!$E111="Aylık",IF(OR(AND(DATE(YEAR((Tahmin!$C$4+0)),MONTH((Tahmin!$C$4+0)),MIN(DAY(Kalemler!$D111),DAY(EOMONTH((Tahmin!$C$4+0),0))))&gt;=(Tahmin!$C$4+0),DATE(YEAR((Tahmin!$C$4+0)),MONTH((Tahmin!$C$4+0)),MIN(DAY(Kalemler!$D111),DAY(EOMONTH((Tahmin!$C$4+0),0))))&lt;=(Tahmin!$C$4+6),DATE(YEAR((Tahmin!$C$4+0)),MONTH((Tahmin!$C$4+0)),MIN(DAY(Kalemler!$D111),DAY(EOMONTH((Tahmin!$C$4+0),0))))&gt;=Kalemler!$D111),AND(DATE(YEAR((Tahmin!$C$4+6)),MONTH((Tahmin!$C$4+6)),MIN(DAY(Kalemler!$D111),DAY(EOMONTH((Tahmin!$C$4+6),0))))&gt;=(Tahmin!$C$4+0),DATE(YEAR((Tahmin!$C$4+6)),MONTH((Tahmin!$C$4+6)),MIN(DAY(Kalemler!$D111),DAY(EOMONTH((Tahmin!$C$4+6),0))))&lt;=(Tahmin!$C$4+6),DATE(YEAR((Tahmin!$C$4+6)),MONTH((Tahmin!$C$4+6)),MIN(DAY(Kalemler!$D111),DAY(EOMONTH((Tahmin!$C$4+6),0))))&lt;&gt;DATE(YEAR((Tahmin!$C$4+0)),MONTH((Tahmin!$C$4+0)),MIN(DAY(Kalemler!$D111),DAY(EOMONTH((Tahmin!$C$4+0),0)))),DATE(YEAR((Tahmin!$C$4+6)),MONTH((Tahmin!$C$4+6)),MIN(DAY(Kalemler!$D111),DAY(EOMONTH((Tahmin!$C$4+6),0))))&gt;=Kalemler!$D111)),1,0),IF(AND(Kalemler!$D111&gt;=(Tahmin!$C$4+0),Kalemler!$D111&lt;=(Tahmin!$C$4+6)),1,0))))</f>
        <v>0</v>
      </c>
      <c r="C111" s="0" t="n">
        <f aca="false">IF(OR(Kalemler!$A111="",Kalemler!$C111="",Kalemler!$D111=""),0,Kalemler!$C111*IF(Kalemler!$E111="Haftalık",IF(Kalemler!$D111&lt;=(Tahmin!$C$4+13),1,0),IF(Kalemler!$E111="Aylık",IF(OR(AND(DATE(YEAR((Tahmin!$C$4+7)),MONTH((Tahmin!$C$4+7)),MIN(DAY(Kalemler!$D111),DAY(EOMONTH((Tahmin!$C$4+7),0))))&gt;=(Tahmin!$C$4+7),DATE(YEAR((Tahmin!$C$4+7)),MONTH((Tahmin!$C$4+7)),MIN(DAY(Kalemler!$D111),DAY(EOMONTH((Tahmin!$C$4+7),0))))&lt;=(Tahmin!$C$4+13),DATE(YEAR((Tahmin!$C$4+7)),MONTH((Tahmin!$C$4+7)),MIN(DAY(Kalemler!$D111),DAY(EOMONTH((Tahmin!$C$4+7),0))))&gt;=Kalemler!$D111),AND(DATE(YEAR((Tahmin!$C$4+13)),MONTH((Tahmin!$C$4+13)),MIN(DAY(Kalemler!$D111),DAY(EOMONTH((Tahmin!$C$4+13),0))))&gt;=(Tahmin!$C$4+7),DATE(YEAR((Tahmin!$C$4+13)),MONTH((Tahmin!$C$4+13)),MIN(DAY(Kalemler!$D111),DAY(EOMONTH((Tahmin!$C$4+13),0))))&lt;=(Tahmin!$C$4+13),DATE(YEAR((Tahmin!$C$4+13)),MONTH((Tahmin!$C$4+13)),MIN(DAY(Kalemler!$D111),DAY(EOMONTH((Tahmin!$C$4+13),0))))&lt;&gt;DATE(YEAR((Tahmin!$C$4+7)),MONTH((Tahmin!$C$4+7)),MIN(DAY(Kalemler!$D111),DAY(EOMONTH((Tahmin!$C$4+7),0)))),DATE(YEAR((Tahmin!$C$4+13)),MONTH((Tahmin!$C$4+13)),MIN(DAY(Kalemler!$D111),DAY(EOMONTH((Tahmin!$C$4+13),0))))&gt;=Kalemler!$D111)),1,0),IF(AND(Kalemler!$D111&gt;=(Tahmin!$C$4+7),Kalemler!$D111&lt;=(Tahmin!$C$4+13)),1,0))))</f>
        <v>0</v>
      </c>
      <c r="D111" s="0" t="n">
        <f aca="false">IF(OR(Kalemler!$A111="",Kalemler!$C111="",Kalemler!$D111=""),0,Kalemler!$C111*IF(Kalemler!$E111="Haftalık",IF(Kalemler!$D111&lt;=(Tahmin!$C$4+20),1,0),IF(Kalemler!$E111="Aylık",IF(OR(AND(DATE(YEAR((Tahmin!$C$4+14)),MONTH((Tahmin!$C$4+14)),MIN(DAY(Kalemler!$D111),DAY(EOMONTH((Tahmin!$C$4+14),0))))&gt;=(Tahmin!$C$4+14),DATE(YEAR((Tahmin!$C$4+14)),MONTH((Tahmin!$C$4+14)),MIN(DAY(Kalemler!$D111),DAY(EOMONTH((Tahmin!$C$4+14),0))))&lt;=(Tahmin!$C$4+20),DATE(YEAR((Tahmin!$C$4+14)),MONTH((Tahmin!$C$4+14)),MIN(DAY(Kalemler!$D111),DAY(EOMONTH((Tahmin!$C$4+14),0))))&gt;=Kalemler!$D111),AND(DATE(YEAR((Tahmin!$C$4+20)),MONTH((Tahmin!$C$4+20)),MIN(DAY(Kalemler!$D111),DAY(EOMONTH((Tahmin!$C$4+20),0))))&gt;=(Tahmin!$C$4+14),DATE(YEAR((Tahmin!$C$4+20)),MONTH((Tahmin!$C$4+20)),MIN(DAY(Kalemler!$D111),DAY(EOMONTH((Tahmin!$C$4+20),0))))&lt;=(Tahmin!$C$4+20),DATE(YEAR((Tahmin!$C$4+20)),MONTH((Tahmin!$C$4+20)),MIN(DAY(Kalemler!$D111),DAY(EOMONTH((Tahmin!$C$4+20),0))))&lt;&gt;DATE(YEAR((Tahmin!$C$4+14)),MONTH((Tahmin!$C$4+14)),MIN(DAY(Kalemler!$D111),DAY(EOMONTH((Tahmin!$C$4+14),0)))),DATE(YEAR((Tahmin!$C$4+20)),MONTH((Tahmin!$C$4+20)),MIN(DAY(Kalemler!$D111),DAY(EOMONTH((Tahmin!$C$4+20),0))))&gt;=Kalemler!$D111)),1,0),IF(AND(Kalemler!$D111&gt;=(Tahmin!$C$4+14),Kalemler!$D111&lt;=(Tahmin!$C$4+20)),1,0))))</f>
        <v>0</v>
      </c>
      <c r="E111" s="0" t="n">
        <f aca="false">IF(OR(Kalemler!$A111="",Kalemler!$C111="",Kalemler!$D111=""),0,Kalemler!$C111*IF(Kalemler!$E111="Haftalık",IF(Kalemler!$D111&lt;=(Tahmin!$C$4+27),1,0),IF(Kalemler!$E111="Aylık",IF(OR(AND(DATE(YEAR((Tahmin!$C$4+21)),MONTH((Tahmin!$C$4+21)),MIN(DAY(Kalemler!$D111),DAY(EOMONTH((Tahmin!$C$4+21),0))))&gt;=(Tahmin!$C$4+21),DATE(YEAR((Tahmin!$C$4+21)),MONTH((Tahmin!$C$4+21)),MIN(DAY(Kalemler!$D111),DAY(EOMONTH((Tahmin!$C$4+21),0))))&lt;=(Tahmin!$C$4+27),DATE(YEAR((Tahmin!$C$4+21)),MONTH((Tahmin!$C$4+21)),MIN(DAY(Kalemler!$D111),DAY(EOMONTH((Tahmin!$C$4+21),0))))&gt;=Kalemler!$D111),AND(DATE(YEAR((Tahmin!$C$4+27)),MONTH((Tahmin!$C$4+27)),MIN(DAY(Kalemler!$D111),DAY(EOMONTH((Tahmin!$C$4+27),0))))&gt;=(Tahmin!$C$4+21),DATE(YEAR((Tahmin!$C$4+27)),MONTH((Tahmin!$C$4+27)),MIN(DAY(Kalemler!$D111),DAY(EOMONTH((Tahmin!$C$4+27),0))))&lt;=(Tahmin!$C$4+27),DATE(YEAR((Tahmin!$C$4+27)),MONTH((Tahmin!$C$4+27)),MIN(DAY(Kalemler!$D111),DAY(EOMONTH((Tahmin!$C$4+27),0))))&lt;&gt;DATE(YEAR((Tahmin!$C$4+21)),MONTH((Tahmin!$C$4+21)),MIN(DAY(Kalemler!$D111),DAY(EOMONTH((Tahmin!$C$4+21),0)))),DATE(YEAR((Tahmin!$C$4+27)),MONTH((Tahmin!$C$4+27)),MIN(DAY(Kalemler!$D111),DAY(EOMONTH((Tahmin!$C$4+27),0))))&gt;=Kalemler!$D111)),1,0),IF(AND(Kalemler!$D111&gt;=(Tahmin!$C$4+21),Kalemler!$D111&lt;=(Tahmin!$C$4+27)),1,0))))</f>
        <v>0</v>
      </c>
      <c r="F111" s="0" t="n">
        <f aca="false">IF(OR(Kalemler!$A111="",Kalemler!$C111="",Kalemler!$D111=""),0,Kalemler!$C111*IF(Kalemler!$E111="Haftalık",IF(Kalemler!$D111&lt;=(Tahmin!$C$4+34),1,0),IF(Kalemler!$E111="Aylık",IF(OR(AND(DATE(YEAR((Tahmin!$C$4+28)),MONTH((Tahmin!$C$4+28)),MIN(DAY(Kalemler!$D111),DAY(EOMONTH((Tahmin!$C$4+28),0))))&gt;=(Tahmin!$C$4+28),DATE(YEAR((Tahmin!$C$4+28)),MONTH((Tahmin!$C$4+28)),MIN(DAY(Kalemler!$D111),DAY(EOMONTH((Tahmin!$C$4+28),0))))&lt;=(Tahmin!$C$4+34),DATE(YEAR((Tahmin!$C$4+28)),MONTH((Tahmin!$C$4+28)),MIN(DAY(Kalemler!$D111),DAY(EOMONTH((Tahmin!$C$4+28),0))))&gt;=Kalemler!$D111),AND(DATE(YEAR((Tahmin!$C$4+34)),MONTH((Tahmin!$C$4+34)),MIN(DAY(Kalemler!$D111),DAY(EOMONTH((Tahmin!$C$4+34),0))))&gt;=(Tahmin!$C$4+28),DATE(YEAR((Tahmin!$C$4+34)),MONTH((Tahmin!$C$4+34)),MIN(DAY(Kalemler!$D111),DAY(EOMONTH((Tahmin!$C$4+34),0))))&lt;=(Tahmin!$C$4+34),DATE(YEAR((Tahmin!$C$4+34)),MONTH((Tahmin!$C$4+34)),MIN(DAY(Kalemler!$D111),DAY(EOMONTH((Tahmin!$C$4+34),0))))&lt;&gt;DATE(YEAR((Tahmin!$C$4+28)),MONTH((Tahmin!$C$4+28)),MIN(DAY(Kalemler!$D111),DAY(EOMONTH((Tahmin!$C$4+28),0)))),DATE(YEAR((Tahmin!$C$4+34)),MONTH((Tahmin!$C$4+34)),MIN(DAY(Kalemler!$D111),DAY(EOMONTH((Tahmin!$C$4+34),0))))&gt;=Kalemler!$D111)),1,0),IF(AND(Kalemler!$D111&gt;=(Tahmin!$C$4+28),Kalemler!$D111&lt;=(Tahmin!$C$4+34)),1,0))))</f>
        <v>0</v>
      </c>
      <c r="G111" s="0" t="n">
        <f aca="false">IF(OR(Kalemler!$A111="",Kalemler!$C111="",Kalemler!$D111=""),0,Kalemler!$C111*IF(Kalemler!$E111="Haftalık",IF(Kalemler!$D111&lt;=(Tahmin!$C$4+41),1,0),IF(Kalemler!$E111="Aylık",IF(OR(AND(DATE(YEAR((Tahmin!$C$4+35)),MONTH((Tahmin!$C$4+35)),MIN(DAY(Kalemler!$D111),DAY(EOMONTH((Tahmin!$C$4+35),0))))&gt;=(Tahmin!$C$4+35),DATE(YEAR((Tahmin!$C$4+35)),MONTH((Tahmin!$C$4+35)),MIN(DAY(Kalemler!$D111),DAY(EOMONTH((Tahmin!$C$4+35),0))))&lt;=(Tahmin!$C$4+41),DATE(YEAR((Tahmin!$C$4+35)),MONTH((Tahmin!$C$4+35)),MIN(DAY(Kalemler!$D111),DAY(EOMONTH((Tahmin!$C$4+35),0))))&gt;=Kalemler!$D111),AND(DATE(YEAR((Tahmin!$C$4+41)),MONTH((Tahmin!$C$4+41)),MIN(DAY(Kalemler!$D111),DAY(EOMONTH((Tahmin!$C$4+41),0))))&gt;=(Tahmin!$C$4+35),DATE(YEAR((Tahmin!$C$4+41)),MONTH((Tahmin!$C$4+41)),MIN(DAY(Kalemler!$D111),DAY(EOMONTH((Tahmin!$C$4+41),0))))&lt;=(Tahmin!$C$4+41),DATE(YEAR((Tahmin!$C$4+41)),MONTH((Tahmin!$C$4+41)),MIN(DAY(Kalemler!$D111),DAY(EOMONTH((Tahmin!$C$4+41),0))))&lt;&gt;DATE(YEAR((Tahmin!$C$4+35)),MONTH((Tahmin!$C$4+35)),MIN(DAY(Kalemler!$D111),DAY(EOMONTH((Tahmin!$C$4+35),0)))),DATE(YEAR((Tahmin!$C$4+41)),MONTH((Tahmin!$C$4+41)),MIN(DAY(Kalemler!$D111),DAY(EOMONTH((Tahmin!$C$4+41),0))))&gt;=Kalemler!$D111)),1,0),IF(AND(Kalemler!$D111&gt;=(Tahmin!$C$4+35),Kalemler!$D111&lt;=(Tahmin!$C$4+41)),1,0))))</f>
        <v>0</v>
      </c>
      <c r="H111" s="0" t="n">
        <f aca="false">IF(OR(Kalemler!$A111="",Kalemler!$C111="",Kalemler!$D111=""),0,Kalemler!$C111*IF(Kalemler!$E111="Haftalık",IF(Kalemler!$D111&lt;=(Tahmin!$C$4+48),1,0),IF(Kalemler!$E111="Aylık",IF(OR(AND(DATE(YEAR((Tahmin!$C$4+42)),MONTH((Tahmin!$C$4+42)),MIN(DAY(Kalemler!$D111),DAY(EOMONTH((Tahmin!$C$4+42),0))))&gt;=(Tahmin!$C$4+42),DATE(YEAR((Tahmin!$C$4+42)),MONTH((Tahmin!$C$4+42)),MIN(DAY(Kalemler!$D111),DAY(EOMONTH((Tahmin!$C$4+42),0))))&lt;=(Tahmin!$C$4+48),DATE(YEAR((Tahmin!$C$4+42)),MONTH((Tahmin!$C$4+42)),MIN(DAY(Kalemler!$D111),DAY(EOMONTH((Tahmin!$C$4+42),0))))&gt;=Kalemler!$D111),AND(DATE(YEAR((Tahmin!$C$4+48)),MONTH((Tahmin!$C$4+48)),MIN(DAY(Kalemler!$D111),DAY(EOMONTH((Tahmin!$C$4+48),0))))&gt;=(Tahmin!$C$4+42),DATE(YEAR((Tahmin!$C$4+48)),MONTH((Tahmin!$C$4+48)),MIN(DAY(Kalemler!$D111),DAY(EOMONTH((Tahmin!$C$4+48),0))))&lt;=(Tahmin!$C$4+48),DATE(YEAR((Tahmin!$C$4+48)),MONTH((Tahmin!$C$4+48)),MIN(DAY(Kalemler!$D111),DAY(EOMONTH((Tahmin!$C$4+48),0))))&lt;&gt;DATE(YEAR((Tahmin!$C$4+42)),MONTH((Tahmin!$C$4+42)),MIN(DAY(Kalemler!$D111),DAY(EOMONTH((Tahmin!$C$4+42),0)))),DATE(YEAR((Tahmin!$C$4+48)),MONTH((Tahmin!$C$4+48)),MIN(DAY(Kalemler!$D111),DAY(EOMONTH((Tahmin!$C$4+48),0))))&gt;=Kalemler!$D111)),1,0),IF(AND(Kalemler!$D111&gt;=(Tahmin!$C$4+42),Kalemler!$D111&lt;=(Tahmin!$C$4+48)),1,0))))</f>
        <v>0</v>
      </c>
      <c r="I111" s="0" t="n">
        <f aca="false">IF(OR(Kalemler!$A111="",Kalemler!$C111="",Kalemler!$D111=""),0,Kalemler!$C111*IF(Kalemler!$E111="Haftalık",IF(Kalemler!$D111&lt;=(Tahmin!$C$4+55),1,0),IF(Kalemler!$E111="Aylık",IF(OR(AND(DATE(YEAR((Tahmin!$C$4+49)),MONTH((Tahmin!$C$4+49)),MIN(DAY(Kalemler!$D111),DAY(EOMONTH((Tahmin!$C$4+49),0))))&gt;=(Tahmin!$C$4+49),DATE(YEAR((Tahmin!$C$4+49)),MONTH((Tahmin!$C$4+49)),MIN(DAY(Kalemler!$D111),DAY(EOMONTH((Tahmin!$C$4+49),0))))&lt;=(Tahmin!$C$4+55),DATE(YEAR((Tahmin!$C$4+49)),MONTH((Tahmin!$C$4+49)),MIN(DAY(Kalemler!$D111),DAY(EOMONTH((Tahmin!$C$4+49),0))))&gt;=Kalemler!$D111),AND(DATE(YEAR((Tahmin!$C$4+55)),MONTH((Tahmin!$C$4+55)),MIN(DAY(Kalemler!$D111),DAY(EOMONTH((Tahmin!$C$4+55),0))))&gt;=(Tahmin!$C$4+49),DATE(YEAR((Tahmin!$C$4+55)),MONTH((Tahmin!$C$4+55)),MIN(DAY(Kalemler!$D111),DAY(EOMONTH((Tahmin!$C$4+55),0))))&lt;=(Tahmin!$C$4+55),DATE(YEAR((Tahmin!$C$4+55)),MONTH((Tahmin!$C$4+55)),MIN(DAY(Kalemler!$D111),DAY(EOMONTH((Tahmin!$C$4+55),0))))&lt;&gt;DATE(YEAR((Tahmin!$C$4+49)),MONTH((Tahmin!$C$4+49)),MIN(DAY(Kalemler!$D111),DAY(EOMONTH((Tahmin!$C$4+49),0)))),DATE(YEAR((Tahmin!$C$4+55)),MONTH((Tahmin!$C$4+55)),MIN(DAY(Kalemler!$D111),DAY(EOMONTH((Tahmin!$C$4+55),0))))&gt;=Kalemler!$D111)),1,0),IF(AND(Kalemler!$D111&gt;=(Tahmin!$C$4+49),Kalemler!$D111&lt;=(Tahmin!$C$4+55)),1,0))))</f>
        <v>0</v>
      </c>
      <c r="J111" s="0" t="n">
        <f aca="false">IF(OR(Kalemler!$A111="",Kalemler!$C111="",Kalemler!$D111=""),0,Kalemler!$C111*IF(Kalemler!$E111="Haftalık",IF(Kalemler!$D111&lt;=(Tahmin!$C$4+62),1,0),IF(Kalemler!$E111="Aylık",IF(OR(AND(DATE(YEAR((Tahmin!$C$4+56)),MONTH((Tahmin!$C$4+56)),MIN(DAY(Kalemler!$D111),DAY(EOMONTH((Tahmin!$C$4+56),0))))&gt;=(Tahmin!$C$4+56),DATE(YEAR((Tahmin!$C$4+56)),MONTH((Tahmin!$C$4+56)),MIN(DAY(Kalemler!$D111),DAY(EOMONTH((Tahmin!$C$4+56),0))))&lt;=(Tahmin!$C$4+62),DATE(YEAR((Tahmin!$C$4+56)),MONTH((Tahmin!$C$4+56)),MIN(DAY(Kalemler!$D111),DAY(EOMONTH((Tahmin!$C$4+56),0))))&gt;=Kalemler!$D111),AND(DATE(YEAR((Tahmin!$C$4+62)),MONTH((Tahmin!$C$4+62)),MIN(DAY(Kalemler!$D111),DAY(EOMONTH((Tahmin!$C$4+62),0))))&gt;=(Tahmin!$C$4+56),DATE(YEAR((Tahmin!$C$4+62)),MONTH((Tahmin!$C$4+62)),MIN(DAY(Kalemler!$D111),DAY(EOMONTH((Tahmin!$C$4+62),0))))&lt;=(Tahmin!$C$4+62),DATE(YEAR((Tahmin!$C$4+62)),MONTH((Tahmin!$C$4+62)),MIN(DAY(Kalemler!$D111),DAY(EOMONTH((Tahmin!$C$4+62),0))))&lt;&gt;DATE(YEAR((Tahmin!$C$4+56)),MONTH((Tahmin!$C$4+56)),MIN(DAY(Kalemler!$D111),DAY(EOMONTH((Tahmin!$C$4+56),0)))),DATE(YEAR((Tahmin!$C$4+62)),MONTH((Tahmin!$C$4+62)),MIN(DAY(Kalemler!$D111),DAY(EOMONTH((Tahmin!$C$4+62),0))))&gt;=Kalemler!$D111)),1,0),IF(AND(Kalemler!$D111&gt;=(Tahmin!$C$4+56),Kalemler!$D111&lt;=(Tahmin!$C$4+62)),1,0))))</f>
        <v>0</v>
      </c>
      <c r="K111" s="0" t="n">
        <f aca="false">IF(OR(Kalemler!$A111="",Kalemler!$C111="",Kalemler!$D111=""),0,Kalemler!$C111*IF(Kalemler!$E111="Haftalık",IF(Kalemler!$D111&lt;=(Tahmin!$C$4+69),1,0),IF(Kalemler!$E111="Aylık",IF(OR(AND(DATE(YEAR((Tahmin!$C$4+63)),MONTH((Tahmin!$C$4+63)),MIN(DAY(Kalemler!$D111),DAY(EOMONTH((Tahmin!$C$4+63),0))))&gt;=(Tahmin!$C$4+63),DATE(YEAR((Tahmin!$C$4+63)),MONTH((Tahmin!$C$4+63)),MIN(DAY(Kalemler!$D111),DAY(EOMONTH((Tahmin!$C$4+63),0))))&lt;=(Tahmin!$C$4+69),DATE(YEAR((Tahmin!$C$4+63)),MONTH((Tahmin!$C$4+63)),MIN(DAY(Kalemler!$D111),DAY(EOMONTH((Tahmin!$C$4+63),0))))&gt;=Kalemler!$D111),AND(DATE(YEAR((Tahmin!$C$4+69)),MONTH((Tahmin!$C$4+69)),MIN(DAY(Kalemler!$D111),DAY(EOMONTH((Tahmin!$C$4+69),0))))&gt;=(Tahmin!$C$4+63),DATE(YEAR((Tahmin!$C$4+69)),MONTH((Tahmin!$C$4+69)),MIN(DAY(Kalemler!$D111),DAY(EOMONTH((Tahmin!$C$4+69),0))))&lt;=(Tahmin!$C$4+69),DATE(YEAR((Tahmin!$C$4+69)),MONTH((Tahmin!$C$4+69)),MIN(DAY(Kalemler!$D111),DAY(EOMONTH((Tahmin!$C$4+69),0))))&lt;&gt;DATE(YEAR((Tahmin!$C$4+63)),MONTH((Tahmin!$C$4+63)),MIN(DAY(Kalemler!$D111),DAY(EOMONTH((Tahmin!$C$4+63),0)))),DATE(YEAR((Tahmin!$C$4+69)),MONTH((Tahmin!$C$4+69)),MIN(DAY(Kalemler!$D111),DAY(EOMONTH((Tahmin!$C$4+69),0))))&gt;=Kalemler!$D111)),1,0),IF(AND(Kalemler!$D111&gt;=(Tahmin!$C$4+63),Kalemler!$D111&lt;=(Tahmin!$C$4+69)),1,0))))</f>
        <v>0</v>
      </c>
      <c r="L111" s="0" t="n">
        <f aca="false">IF(OR(Kalemler!$A111="",Kalemler!$C111="",Kalemler!$D111=""),0,Kalemler!$C111*IF(Kalemler!$E111="Haftalık",IF(Kalemler!$D111&lt;=(Tahmin!$C$4+76),1,0),IF(Kalemler!$E111="Aylık",IF(OR(AND(DATE(YEAR((Tahmin!$C$4+70)),MONTH((Tahmin!$C$4+70)),MIN(DAY(Kalemler!$D111),DAY(EOMONTH((Tahmin!$C$4+70),0))))&gt;=(Tahmin!$C$4+70),DATE(YEAR((Tahmin!$C$4+70)),MONTH((Tahmin!$C$4+70)),MIN(DAY(Kalemler!$D111),DAY(EOMONTH((Tahmin!$C$4+70),0))))&lt;=(Tahmin!$C$4+76),DATE(YEAR((Tahmin!$C$4+70)),MONTH((Tahmin!$C$4+70)),MIN(DAY(Kalemler!$D111),DAY(EOMONTH((Tahmin!$C$4+70),0))))&gt;=Kalemler!$D111),AND(DATE(YEAR((Tahmin!$C$4+76)),MONTH((Tahmin!$C$4+76)),MIN(DAY(Kalemler!$D111),DAY(EOMONTH((Tahmin!$C$4+76),0))))&gt;=(Tahmin!$C$4+70),DATE(YEAR((Tahmin!$C$4+76)),MONTH((Tahmin!$C$4+76)),MIN(DAY(Kalemler!$D111),DAY(EOMONTH((Tahmin!$C$4+76),0))))&lt;=(Tahmin!$C$4+76),DATE(YEAR((Tahmin!$C$4+76)),MONTH((Tahmin!$C$4+76)),MIN(DAY(Kalemler!$D111),DAY(EOMONTH((Tahmin!$C$4+76),0))))&lt;&gt;DATE(YEAR((Tahmin!$C$4+70)),MONTH((Tahmin!$C$4+70)),MIN(DAY(Kalemler!$D111),DAY(EOMONTH((Tahmin!$C$4+70),0)))),DATE(YEAR((Tahmin!$C$4+76)),MONTH((Tahmin!$C$4+76)),MIN(DAY(Kalemler!$D111),DAY(EOMONTH((Tahmin!$C$4+76),0))))&gt;=Kalemler!$D111)),1,0),IF(AND(Kalemler!$D111&gt;=(Tahmin!$C$4+70),Kalemler!$D111&lt;=(Tahmin!$C$4+76)),1,0))))</f>
        <v>0</v>
      </c>
      <c r="M111" s="0" t="n">
        <f aca="false">IF(OR(Kalemler!$A111="",Kalemler!$C111="",Kalemler!$D111=""),0,Kalemler!$C111*IF(Kalemler!$E111="Haftalık",IF(Kalemler!$D111&lt;=(Tahmin!$C$4+83),1,0),IF(Kalemler!$E111="Aylık",IF(OR(AND(DATE(YEAR((Tahmin!$C$4+77)),MONTH((Tahmin!$C$4+77)),MIN(DAY(Kalemler!$D111),DAY(EOMONTH((Tahmin!$C$4+77),0))))&gt;=(Tahmin!$C$4+77),DATE(YEAR((Tahmin!$C$4+77)),MONTH((Tahmin!$C$4+77)),MIN(DAY(Kalemler!$D111),DAY(EOMONTH((Tahmin!$C$4+77),0))))&lt;=(Tahmin!$C$4+83),DATE(YEAR((Tahmin!$C$4+77)),MONTH((Tahmin!$C$4+77)),MIN(DAY(Kalemler!$D111),DAY(EOMONTH((Tahmin!$C$4+77),0))))&gt;=Kalemler!$D111),AND(DATE(YEAR((Tahmin!$C$4+83)),MONTH((Tahmin!$C$4+83)),MIN(DAY(Kalemler!$D111),DAY(EOMONTH((Tahmin!$C$4+83),0))))&gt;=(Tahmin!$C$4+77),DATE(YEAR((Tahmin!$C$4+83)),MONTH((Tahmin!$C$4+83)),MIN(DAY(Kalemler!$D111),DAY(EOMONTH((Tahmin!$C$4+83),0))))&lt;=(Tahmin!$C$4+83),DATE(YEAR((Tahmin!$C$4+83)),MONTH((Tahmin!$C$4+83)),MIN(DAY(Kalemler!$D111),DAY(EOMONTH((Tahmin!$C$4+83),0))))&lt;&gt;DATE(YEAR((Tahmin!$C$4+77)),MONTH((Tahmin!$C$4+77)),MIN(DAY(Kalemler!$D111),DAY(EOMONTH((Tahmin!$C$4+77),0)))),DATE(YEAR((Tahmin!$C$4+83)),MONTH((Tahmin!$C$4+83)),MIN(DAY(Kalemler!$D111),DAY(EOMONTH((Tahmin!$C$4+83),0))))&gt;=Kalemler!$D111)),1,0),IF(AND(Kalemler!$D111&gt;=(Tahmin!$C$4+77),Kalemler!$D111&lt;=(Tahmin!$C$4+83)),1,0))))</f>
        <v>0</v>
      </c>
      <c r="N111" s="0" t="n">
        <f aca="false">IF(OR(Kalemler!$A111="",Kalemler!$C111="",Kalemler!$D111=""),0,Kalemler!$C111*IF(Kalemler!$E111="Haftalık",IF(Kalemler!$D111&lt;=(Tahmin!$C$4+90),1,0),IF(Kalemler!$E111="Aylık",IF(OR(AND(DATE(YEAR((Tahmin!$C$4+84)),MONTH((Tahmin!$C$4+84)),MIN(DAY(Kalemler!$D111),DAY(EOMONTH((Tahmin!$C$4+84),0))))&gt;=(Tahmin!$C$4+84),DATE(YEAR((Tahmin!$C$4+84)),MONTH((Tahmin!$C$4+84)),MIN(DAY(Kalemler!$D111),DAY(EOMONTH((Tahmin!$C$4+84),0))))&lt;=(Tahmin!$C$4+90),DATE(YEAR((Tahmin!$C$4+84)),MONTH((Tahmin!$C$4+84)),MIN(DAY(Kalemler!$D111),DAY(EOMONTH((Tahmin!$C$4+84),0))))&gt;=Kalemler!$D111),AND(DATE(YEAR((Tahmin!$C$4+90)),MONTH((Tahmin!$C$4+90)),MIN(DAY(Kalemler!$D111),DAY(EOMONTH((Tahmin!$C$4+90),0))))&gt;=(Tahmin!$C$4+84),DATE(YEAR((Tahmin!$C$4+90)),MONTH((Tahmin!$C$4+90)),MIN(DAY(Kalemler!$D111),DAY(EOMONTH((Tahmin!$C$4+90),0))))&lt;=(Tahmin!$C$4+90),DATE(YEAR((Tahmin!$C$4+90)),MONTH((Tahmin!$C$4+90)),MIN(DAY(Kalemler!$D111),DAY(EOMONTH((Tahmin!$C$4+90),0))))&lt;&gt;DATE(YEAR((Tahmin!$C$4+84)),MONTH((Tahmin!$C$4+84)),MIN(DAY(Kalemler!$D111),DAY(EOMONTH((Tahmin!$C$4+84),0)))),DATE(YEAR((Tahmin!$C$4+90)),MONTH((Tahmin!$C$4+90)),MIN(DAY(Kalemler!$D111),DAY(EOMONTH((Tahmin!$C$4+90),0))))&gt;=Kalemler!$D111)),1,0),IF(AND(Kalemler!$D111&gt;=(Tahmin!$C$4+84),Kalemler!$D111&lt;=(Tahmin!$C$4+90)),1,0))))</f>
        <v>0</v>
      </c>
    </row>
    <row r="112" customFormat="false" ht="15" hidden="false" customHeight="false" outlineLevel="0" collapsed="false">
      <c r="A112" s="0" t="str">
        <f aca="false">IF(Kalemler!A112="","",Kalemler!A112)</f>
        <v/>
      </c>
      <c r="B112" s="0" t="n">
        <f aca="false">IF(OR(Kalemler!$A112="",Kalemler!$C112="",Kalemler!$D112=""),0,Kalemler!$C112*IF(Kalemler!$E112="Haftalık",IF(Kalemler!$D112&lt;=(Tahmin!$C$4+6),1,0),IF(Kalemler!$E112="Aylık",IF(OR(AND(DATE(YEAR((Tahmin!$C$4+0)),MONTH((Tahmin!$C$4+0)),MIN(DAY(Kalemler!$D112),DAY(EOMONTH((Tahmin!$C$4+0),0))))&gt;=(Tahmin!$C$4+0),DATE(YEAR((Tahmin!$C$4+0)),MONTH((Tahmin!$C$4+0)),MIN(DAY(Kalemler!$D112),DAY(EOMONTH((Tahmin!$C$4+0),0))))&lt;=(Tahmin!$C$4+6),DATE(YEAR((Tahmin!$C$4+0)),MONTH((Tahmin!$C$4+0)),MIN(DAY(Kalemler!$D112),DAY(EOMONTH((Tahmin!$C$4+0),0))))&gt;=Kalemler!$D112),AND(DATE(YEAR((Tahmin!$C$4+6)),MONTH((Tahmin!$C$4+6)),MIN(DAY(Kalemler!$D112),DAY(EOMONTH((Tahmin!$C$4+6),0))))&gt;=(Tahmin!$C$4+0),DATE(YEAR((Tahmin!$C$4+6)),MONTH((Tahmin!$C$4+6)),MIN(DAY(Kalemler!$D112),DAY(EOMONTH((Tahmin!$C$4+6),0))))&lt;=(Tahmin!$C$4+6),DATE(YEAR((Tahmin!$C$4+6)),MONTH((Tahmin!$C$4+6)),MIN(DAY(Kalemler!$D112),DAY(EOMONTH((Tahmin!$C$4+6),0))))&lt;&gt;DATE(YEAR((Tahmin!$C$4+0)),MONTH((Tahmin!$C$4+0)),MIN(DAY(Kalemler!$D112),DAY(EOMONTH((Tahmin!$C$4+0),0)))),DATE(YEAR((Tahmin!$C$4+6)),MONTH((Tahmin!$C$4+6)),MIN(DAY(Kalemler!$D112),DAY(EOMONTH((Tahmin!$C$4+6),0))))&gt;=Kalemler!$D112)),1,0),IF(AND(Kalemler!$D112&gt;=(Tahmin!$C$4+0),Kalemler!$D112&lt;=(Tahmin!$C$4+6)),1,0))))</f>
        <v>0</v>
      </c>
      <c r="C112" s="0" t="n">
        <f aca="false">IF(OR(Kalemler!$A112="",Kalemler!$C112="",Kalemler!$D112=""),0,Kalemler!$C112*IF(Kalemler!$E112="Haftalık",IF(Kalemler!$D112&lt;=(Tahmin!$C$4+13),1,0),IF(Kalemler!$E112="Aylık",IF(OR(AND(DATE(YEAR((Tahmin!$C$4+7)),MONTH((Tahmin!$C$4+7)),MIN(DAY(Kalemler!$D112),DAY(EOMONTH((Tahmin!$C$4+7),0))))&gt;=(Tahmin!$C$4+7),DATE(YEAR((Tahmin!$C$4+7)),MONTH((Tahmin!$C$4+7)),MIN(DAY(Kalemler!$D112),DAY(EOMONTH((Tahmin!$C$4+7),0))))&lt;=(Tahmin!$C$4+13),DATE(YEAR((Tahmin!$C$4+7)),MONTH((Tahmin!$C$4+7)),MIN(DAY(Kalemler!$D112),DAY(EOMONTH((Tahmin!$C$4+7),0))))&gt;=Kalemler!$D112),AND(DATE(YEAR((Tahmin!$C$4+13)),MONTH((Tahmin!$C$4+13)),MIN(DAY(Kalemler!$D112),DAY(EOMONTH((Tahmin!$C$4+13),0))))&gt;=(Tahmin!$C$4+7),DATE(YEAR((Tahmin!$C$4+13)),MONTH((Tahmin!$C$4+13)),MIN(DAY(Kalemler!$D112),DAY(EOMONTH((Tahmin!$C$4+13),0))))&lt;=(Tahmin!$C$4+13),DATE(YEAR((Tahmin!$C$4+13)),MONTH((Tahmin!$C$4+13)),MIN(DAY(Kalemler!$D112),DAY(EOMONTH((Tahmin!$C$4+13),0))))&lt;&gt;DATE(YEAR((Tahmin!$C$4+7)),MONTH((Tahmin!$C$4+7)),MIN(DAY(Kalemler!$D112),DAY(EOMONTH((Tahmin!$C$4+7),0)))),DATE(YEAR((Tahmin!$C$4+13)),MONTH((Tahmin!$C$4+13)),MIN(DAY(Kalemler!$D112),DAY(EOMONTH((Tahmin!$C$4+13),0))))&gt;=Kalemler!$D112)),1,0),IF(AND(Kalemler!$D112&gt;=(Tahmin!$C$4+7),Kalemler!$D112&lt;=(Tahmin!$C$4+13)),1,0))))</f>
        <v>0</v>
      </c>
      <c r="D112" s="0" t="n">
        <f aca="false">IF(OR(Kalemler!$A112="",Kalemler!$C112="",Kalemler!$D112=""),0,Kalemler!$C112*IF(Kalemler!$E112="Haftalık",IF(Kalemler!$D112&lt;=(Tahmin!$C$4+20),1,0),IF(Kalemler!$E112="Aylık",IF(OR(AND(DATE(YEAR((Tahmin!$C$4+14)),MONTH((Tahmin!$C$4+14)),MIN(DAY(Kalemler!$D112),DAY(EOMONTH((Tahmin!$C$4+14),0))))&gt;=(Tahmin!$C$4+14),DATE(YEAR((Tahmin!$C$4+14)),MONTH((Tahmin!$C$4+14)),MIN(DAY(Kalemler!$D112),DAY(EOMONTH((Tahmin!$C$4+14),0))))&lt;=(Tahmin!$C$4+20),DATE(YEAR((Tahmin!$C$4+14)),MONTH((Tahmin!$C$4+14)),MIN(DAY(Kalemler!$D112),DAY(EOMONTH((Tahmin!$C$4+14),0))))&gt;=Kalemler!$D112),AND(DATE(YEAR((Tahmin!$C$4+20)),MONTH((Tahmin!$C$4+20)),MIN(DAY(Kalemler!$D112),DAY(EOMONTH((Tahmin!$C$4+20),0))))&gt;=(Tahmin!$C$4+14),DATE(YEAR((Tahmin!$C$4+20)),MONTH((Tahmin!$C$4+20)),MIN(DAY(Kalemler!$D112),DAY(EOMONTH((Tahmin!$C$4+20),0))))&lt;=(Tahmin!$C$4+20),DATE(YEAR((Tahmin!$C$4+20)),MONTH((Tahmin!$C$4+20)),MIN(DAY(Kalemler!$D112),DAY(EOMONTH((Tahmin!$C$4+20),0))))&lt;&gt;DATE(YEAR((Tahmin!$C$4+14)),MONTH((Tahmin!$C$4+14)),MIN(DAY(Kalemler!$D112),DAY(EOMONTH((Tahmin!$C$4+14),0)))),DATE(YEAR((Tahmin!$C$4+20)),MONTH((Tahmin!$C$4+20)),MIN(DAY(Kalemler!$D112),DAY(EOMONTH((Tahmin!$C$4+20),0))))&gt;=Kalemler!$D112)),1,0),IF(AND(Kalemler!$D112&gt;=(Tahmin!$C$4+14),Kalemler!$D112&lt;=(Tahmin!$C$4+20)),1,0))))</f>
        <v>0</v>
      </c>
      <c r="E112" s="0" t="n">
        <f aca="false">IF(OR(Kalemler!$A112="",Kalemler!$C112="",Kalemler!$D112=""),0,Kalemler!$C112*IF(Kalemler!$E112="Haftalık",IF(Kalemler!$D112&lt;=(Tahmin!$C$4+27),1,0),IF(Kalemler!$E112="Aylık",IF(OR(AND(DATE(YEAR((Tahmin!$C$4+21)),MONTH((Tahmin!$C$4+21)),MIN(DAY(Kalemler!$D112),DAY(EOMONTH((Tahmin!$C$4+21),0))))&gt;=(Tahmin!$C$4+21),DATE(YEAR((Tahmin!$C$4+21)),MONTH((Tahmin!$C$4+21)),MIN(DAY(Kalemler!$D112),DAY(EOMONTH((Tahmin!$C$4+21),0))))&lt;=(Tahmin!$C$4+27),DATE(YEAR((Tahmin!$C$4+21)),MONTH((Tahmin!$C$4+21)),MIN(DAY(Kalemler!$D112),DAY(EOMONTH((Tahmin!$C$4+21),0))))&gt;=Kalemler!$D112),AND(DATE(YEAR((Tahmin!$C$4+27)),MONTH((Tahmin!$C$4+27)),MIN(DAY(Kalemler!$D112),DAY(EOMONTH((Tahmin!$C$4+27),0))))&gt;=(Tahmin!$C$4+21),DATE(YEAR((Tahmin!$C$4+27)),MONTH((Tahmin!$C$4+27)),MIN(DAY(Kalemler!$D112),DAY(EOMONTH((Tahmin!$C$4+27),0))))&lt;=(Tahmin!$C$4+27),DATE(YEAR((Tahmin!$C$4+27)),MONTH((Tahmin!$C$4+27)),MIN(DAY(Kalemler!$D112),DAY(EOMONTH((Tahmin!$C$4+27),0))))&lt;&gt;DATE(YEAR((Tahmin!$C$4+21)),MONTH((Tahmin!$C$4+21)),MIN(DAY(Kalemler!$D112),DAY(EOMONTH((Tahmin!$C$4+21),0)))),DATE(YEAR((Tahmin!$C$4+27)),MONTH((Tahmin!$C$4+27)),MIN(DAY(Kalemler!$D112),DAY(EOMONTH((Tahmin!$C$4+27),0))))&gt;=Kalemler!$D112)),1,0),IF(AND(Kalemler!$D112&gt;=(Tahmin!$C$4+21),Kalemler!$D112&lt;=(Tahmin!$C$4+27)),1,0))))</f>
        <v>0</v>
      </c>
      <c r="F112" s="0" t="n">
        <f aca="false">IF(OR(Kalemler!$A112="",Kalemler!$C112="",Kalemler!$D112=""),0,Kalemler!$C112*IF(Kalemler!$E112="Haftalık",IF(Kalemler!$D112&lt;=(Tahmin!$C$4+34),1,0),IF(Kalemler!$E112="Aylık",IF(OR(AND(DATE(YEAR((Tahmin!$C$4+28)),MONTH((Tahmin!$C$4+28)),MIN(DAY(Kalemler!$D112),DAY(EOMONTH((Tahmin!$C$4+28),0))))&gt;=(Tahmin!$C$4+28),DATE(YEAR((Tahmin!$C$4+28)),MONTH((Tahmin!$C$4+28)),MIN(DAY(Kalemler!$D112),DAY(EOMONTH((Tahmin!$C$4+28),0))))&lt;=(Tahmin!$C$4+34),DATE(YEAR((Tahmin!$C$4+28)),MONTH((Tahmin!$C$4+28)),MIN(DAY(Kalemler!$D112),DAY(EOMONTH((Tahmin!$C$4+28),0))))&gt;=Kalemler!$D112),AND(DATE(YEAR((Tahmin!$C$4+34)),MONTH((Tahmin!$C$4+34)),MIN(DAY(Kalemler!$D112),DAY(EOMONTH((Tahmin!$C$4+34),0))))&gt;=(Tahmin!$C$4+28),DATE(YEAR((Tahmin!$C$4+34)),MONTH((Tahmin!$C$4+34)),MIN(DAY(Kalemler!$D112),DAY(EOMONTH((Tahmin!$C$4+34),0))))&lt;=(Tahmin!$C$4+34),DATE(YEAR((Tahmin!$C$4+34)),MONTH((Tahmin!$C$4+34)),MIN(DAY(Kalemler!$D112),DAY(EOMONTH((Tahmin!$C$4+34),0))))&lt;&gt;DATE(YEAR((Tahmin!$C$4+28)),MONTH((Tahmin!$C$4+28)),MIN(DAY(Kalemler!$D112),DAY(EOMONTH((Tahmin!$C$4+28),0)))),DATE(YEAR((Tahmin!$C$4+34)),MONTH((Tahmin!$C$4+34)),MIN(DAY(Kalemler!$D112),DAY(EOMONTH((Tahmin!$C$4+34),0))))&gt;=Kalemler!$D112)),1,0),IF(AND(Kalemler!$D112&gt;=(Tahmin!$C$4+28),Kalemler!$D112&lt;=(Tahmin!$C$4+34)),1,0))))</f>
        <v>0</v>
      </c>
      <c r="G112" s="0" t="n">
        <f aca="false">IF(OR(Kalemler!$A112="",Kalemler!$C112="",Kalemler!$D112=""),0,Kalemler!$C112*IF(Kalemler!$E112="Haftalık",IF(Kalemler!$D112&lt;=(Tahmin!$C$4+41),1,0),IF(Kalemler!$E112="Aylık",IF(OR(AND(DATE(YEAR((Tahmin!$C$4+35)),MONTH((Tahmin!$C$4+35)),MIN(DAY(Kalemler!$D112),DAY(EOMONTH((Tahmin!$C$4+35),0))))&gt;=(Tahmin!$C$4+35),DATE(YEAR((Tahmin!$C$4+35)),MONTH((Tahmin!$C$4+35)),MIN(DAY(Kalemler!$D112),DAY(EOMONTH((Tahmin!$C$4+35),0))))&lt;=(Tahmin!$C$4+41),DATE(YEAR((Tahmin!$C$4+35)),MONTH((Tahmin!$C$4+35)),MIN(DAY(Kalemler!$D112),DAY(EOMONTH((Tahmin!$C$4+35),0))))&gt;=Kalemler!$D112),AND(DATE(YEAR((Tahmin!$C$4+41)),MONTH((Tahmin!$C$4+41)),MIN(DAY(Kalemler!$D112),DAY(EOMONTH((Tahmin!$C$4+41),0))))&gt;=(Tahmin!$C$4+35),DATE(YEAR((Tahmin!$C$4+41)),MONTH((Tahmin!$C$4+41)),MIN(DAY(Kalemler!$D112),DAY(EOMONTH((Tahmin!$C$4+41),0))))&lt;=(Tahmin!$C$4+41),DATE(YEAR((Tahmin!$C$4+41)),MONTH((Tahmin!$C$4+41)),MIN(DAY(Kalemler!$D112),DAY(EOMONTH((Tahmin!$C$4+41),0))))&lt;&gt;DATE(YEAR((Tahmin!$C$4+35)),MONTH((Tahmin!$C$4+35)),MIN(DAY(Kalemler!$D112),DAY(EOMONTH((Tahmin!$C$4+35),0)))),DATE(YEAR((Tahmin!$C$4+41)),MONTH((Tahmin!$C$4+41)),MIN(DAY(Kalemler!$D112),DAY(EOMONTH((Tahmin!$C$4+41),0))))&gt;=Kalemler!$D112)),1,0),IF(AND(Kalemler!$D112&gt;=(Tahmin!$C$4+35),Kalemler!$D112&lt;=(Tahmin!$C$4+41)),1,0))))</f>
        <v>0</v>
      </c>
      <c r="H112" s="0" t="n">
        <f aca="false">IF(OR(Kalemler!$A112="",Kalemler!$C112="",Kalemler!$D112=""),0,Kalemler!$C112*IF(Kalemler!$E112="Haftalık",IF(Kalemler!$D112&lt;=(Tahmin!$C$4+48),1,0),IF(Kalemler!$E112="Aylık",IF(OR(AND(DATE(YEAR((Tahmin!$C$4+42)),MONTH((Tahmin!$C$4+42)),MIN(DAY(Kalemler!$D112),DAY(EOMONTH((Tahmin!$C$4+42),0))))&gt;=(Tahmin!$C$4+42),DATE(YEAR((Tahmin!$C$4+42)),MONTH((Tahmin!$C$4+42)),MIN(DAY(Kalemler!$D112),DAY(EOMONTH((Tahmin!$C$4+42),0))))&lt;=(Tahmin!$C$4+48),DATE(YEAR((Tahmin!$C$4+42)),MONTH((Tahmin!$C$4+42)),MIN(DAY(Kalemler!$D112),DAY(EOMONTH((Tahmin!$C$4+42),0))))&gt;=Kalemler!$D112),AND(DATE(YEAR((Tahmin!$C$4+48)),MONTH((Tahmin!$C$4+48)),MIN(DAY(Kalemler!$D112),DAY(EOMONTH((Tahmin!$C$4+48),0))))&gt;=(Tahmin!$C$4+42),DATE(YEAR((Tahmin!$C$4+48)),MONTH((Tahmin!$C$4+48)),MIN(DAY(Kalemler!$D112),DAY(EOMONTH((Tahmin!$C$4+48),0))))&lt;=(Tahmin!$C$4+48),DATE(YEAR((Tahmin!$C$4+48)),MONTH((Tahmin!$C$4+48)),MIN(DAY(Kalemler!$D112),DAY(EOMONTH((Tahmin!$C$4+48),0))))&lt;&gt;DATE(YEAR((Tahmin!$C$4+42)),MONTH((Tahmin!$C$4+42)),MIN(DAY(Kalemler!$D112),DAY(EOMONTH((Tahmin!$C$4+42),0)))),DATE(YEAR((Tahmin!$C$4+48)),MONTH((Tahmin!$C$4+48)),MIN(DAY(Kalemler!$D112),DAY(EOMONTH((Tahmin!$C$4+48),0))))&gt;=Kalemler!$D112)),1,0),IF(AND(Kalemler!$D112&gt;=(Tahmin!$C$4+42),Kalemler!$D112&lt;=(Tahmin!$C$4+48)),1,0))))</f>
        <v>0</v>
      </c>
      <c r="I112" s="0" t="n">
        <f aca="false">IF(OR(Kalemler!$A112="",Kalemler!$C112="",Kalemler!$D112=""),0,Kalemler!$C112*IF(Kalemler!$E112="Haftalık",IF(Kalemler!$D112&lt;=(Tahmin!$C$4+55),1,0),IF(Kalemler!$E112="Aylık",IF(OR(AND(DATE(YEAR((Tahmin!$C$4+49)),MONTH((Tahmin!$C$4+49)),MIN(DAY(Kalemler!$D112),DAY(EOMONTH((Tahmin!$C$4+49),0))))&gt;=(Tahmin!$C$4+49),DATE(YEAR((Tahmin!$C$4+49)),MONTH((Tahmin!$C$4+49)),MIN(DAY(Kalemler!$D112),DAY(EOMONTH((Tahmin!$C$4+49),0))))&lt;=(Tahmin!$C$4+55),DATE(YEAR((Tahmin!$C$4+49)),MONTH((Tahmin!$C$4+49)),MIN(DAY(Kalemler!$D112),DAY(EOMONTH((Tahmin!$C$4+49),0))))&gt;=Kalemler!$D112),AND(DATE(YEAR((Tahmin!$C$4+55)),MONTH((Tahmin!$C$4+55)),MIN(DAY(Kalemler!$D112),DAY(EOMONTH((Tahmin!$C$4+55),0))))&gt;=(Tahmin!$C$4+49),DATE(YEAR((Tahmin!$C$4+55)),MONTH((Tahmin!$C$4+55)),MIN(DAY(Kalemler!$D112),DAY(EOMONTH((Tahmin!$C$4+55),0))))&lt;=(Tahmin!$C$4+55),DATE(YEAR((Tahmin!$C$4+55)),MONTH((Tahmin!$C$4+55)),MIN(DAY(Kalemler!$D112),DAY(EOMONTH((Tahmin!$C$4+55),0))))&lt;&gt;DATE(YEAR((Tahmin!$C$4+49)),MONTH((Tahmin!$C$4+49)),MIN(DAY(Kalemler!$D112),DAY(EOMONTH((Tahmin!$C$4+49),0)))),DATE(YEAR((Tahmin!$C$4+55)),MONTH((Tahmin!$C$4+55)),MIN(DAY(Kalemler!$D112),DAY(EOMONTH((Tahmin!$C$4+55),0))))&gt;=Kalemler!$D112)),1,0),IF(AND(Kalemler!$D112&gt;=(Tahmin!$C$4+49),Kalemler!$D112&lt;=(Tahmin!$C$4+55)),1,0))))</f>
        <v>0</v>
      </c>
      <c r="J112" s="0" t="n">
        <f aca="false">IF(OR(Kalemler!$A112="",Kalemler!$C112="",Kalemler!$D112=""),0,Kalemler!$C112*IF(Kalemler!$E112="Haftalık",IF(Kalemler!$D112&lt;=(Tahmin!$C$4+62),1,0),IF(Kalemler!$E112="Aylık",IF(OR(AND(DATE(YEAR((Tahmin!$C$4+56)),MONTH((Tahmin!$C$4+56)),MIN(DAY(Kalemler!$D112),DAY(EOMONTH((Tahmin!$C$4+56),0))))&gt;=(Tahmin!$C$4+56),DATE(YEAR((Tahmin!$C$4+56)),MONTH((Tahmin!$C$4+56)),MIN(DAY(Kalemler!$D112),DAY(EOMONTH((Tahmin!$C$4+56),0))))&lt;=(Tahmin!$C$4+62),DATE(YEAR((Tahmin!$C$4+56)),MONTH((Tahmin!$C$4+56)),MIN(DAY(Kalemler!$D112),DAY(EOMONTH((Tahmin!$C$4+56),0))))&gt;=Kalemler!$D112),AND(DATE(YEAR((Tahmin!$C$4+62)),MONTH((Tahmin!$C$4+62)),MIN(DAY(Kalemler!$D112),DAY(EOMONTH((Tahmin!$C$4+62),0))))&gt;=(Tahmin!$C$4+56),DATE(YEAR((Tahmin!$C$4+62)),MONTH((Tahmin!$C$4+62)),MIN(DAY(Kalemler!$D112),DAY(EOMONTH((Tahmin!$C$4+62),0))))&lt;=(Tahmin!$C$4+62),DATE(YEAR((Tahmin!$C$4+62)),MONTH((Tahmin!$C$4+62)),MIN(DAY(Kalemler!$D112),DAY(EOMONTH((Tahmin!$C$4+62),0))))&lt;&gt;DATE(YEAR((Tahmin!$C$4+56)),MONTH((Tahmin!$C$4+56)),MIN(DAY(Kalemler!$D112),DAY(EOMONTH((Tahmin!$C$4+56),0)))),DATE(YEAR((Tahmin!$C$4+62)),MONTH((Tahmin!$C$4+62)),MIN(DAY(Kalemler!$D112),DAY(EOMONTH((Tahmin!$C$4+62),0))))&gt;=Kalemler!$D112)),1,0),IF(AND(Kalemler!$D112&gt;=(Tahmin!$C$4+56),Kalemler!$D112&lt;=(Tahmin!$C$4+62)),1,0))))</f>
        <v>0</v>
      </c>
      <c r="K112" s="0" t="n">
        <f aca="false">IF(OR(Kalemler!$A112="",Kalemler!$C112="",Kalemler!$D112=""),0,Kalemler!$C112*IF(Kalemler!$E112="Haftalık",IF(Kalemler!$D112&lt;=(Tahmin!$C$4+69),1,0),IF(Kalemler!$E112="Aylık",IF(OR(AND(DATE(YEAR((Tahmin!$C$4+63)),MONTH((Tahmin!$C$4+63)),MIN(DAY(Kalemler!$D112),DAY(EOMONTH((Tahmin!$C$4+63),0))))&gt;=(Tahmin!$C$4+63),DATE(YEAR((Tahmin!$C$4+63)),MONTH((Tahmin!$C$4+63)),MIN(DAY(Kalemler!$D112),DAY(EOMONTH((Tahmin!$C$4+63),0))))&lt;=(Tahmin!$C$4+69),DATE(YEAR((Tahmin!$C$4+63)),MONTH((Tahmin!$C$4+63)),MIN(DAY(Kalemler!$D112),DAY(EOMONTH((Tahmin!$C$4+63),0))))&gt;=Kalemler!$D112),AND(DATE(YEAR((Tahmin!$C$4+69)),MONTH((Tahmin!$C$4+69)),MIN(DAY(Kalemler!$D112),DAY(EOMONTH((Tahmin!$C$4+69),0))))&gt;=(Tahmin!$C$4+63),DATE(YEAR((Tahmin!$C$4+69)),MONTH((Tahmin!$C$4+69)),MIN(DAY(Kalemler!$D112),DAY(EOMONTH((Tahmin!$C$4+69),0))))&lt;=(Tahmin!$C$4+69),DATE(YEAR((Tahmin!$C$4+69)),MONTH((Tahmin!$C$4+69)),MIN(DAY(Kalemler!$D112),DAY(EOMONTH((Tahmin!$C$4+69),0))))&lt;&gt;DATE(YEAR((Tahmin!$C$4+63)),MONTH((Tahmin!$C$4+63)),MIN(DAY(Kalemler!$D112),DAY(EOMONTH((Tahmin!$C$4+63),0)))),DATE(YEAR((Tahmin!$C$4+69)),MONTH((Tahmin!$C$4+69)),MIN(DAY(Kalemler!$D112),DAY(EOMONTH((Tahmin!$C$4+69),0))))&gt;=Kalemler!$D112)),1,0),IF(AND(Kalemler!$D112&gt;=(Tahmin!$C$4+63),Kalemler!$D112&lt;=(Tahmin!$C$4+69)),1,0))))</f>
        <v>0</v>
      </c>
      <c r="L112" s="0" t="n">
        <f aca="false">IF(OR(Kalemler!$A112="",Kalemler!$C112="",Kalemler!$D112=""),0,Kalemler!$C112*IF(Kalemler!$E112="Haftalık",IF(Kalemler!$D112&lt;=(Tahmin!$C$4+76),1,0),IF(Kalemler!$E112="Aylık",IF(OR(AND(DATE(YEAR((Tahmin!$C$4+70)),MONTH((Tahmin!$C$4+70)),MIN(DAY(Kalemler!$D112),DAY(EOMONTH((Tahmin!$C$4+70),0))))&gt;=(Tahmin!$C$4+70),DATE(YEAR((Tahmin!$C$4+70)),MONTH((Tahmin!$C$4+70)),MIN(DAY(Kalemler!$D112),DAY(EOMONTH((Tahmin!$C$4+70),0))))&lt;=(Tahmin!$C$4+76),DATE(YEAR((Tahmin!$C$4+70)),MONTH((Tahmin!$C$4+70)),MIN(DAY(Kalemler!$D112),DAY(EOMONTH((Tahmin!$C$4+70),0))))&gt;=Kalemler!$D112),AND(DATE(YEAR((Tahmin!$C$4+76)),MONTH((Tahmin!$C$4+76)),MIN(DAY(Kalemler!$D112),DAY(EOMONTH((Tahmin!$C$4+76),0))))&gt;=(Tahmin!$C$4+70),DATE(YEAR((Tahmin!$C$4+76)),MONTH((Tahmin!$C$4+76)),MIN(DAY(Kalemler!$D112),DAY(EOMONTH((Tahmin!$C$4+76),0))))&lt;=(Tahmin!$C$4+76),DATE(YEAR((Tahmin!$C$4+76)),MONTH((Tahmin!$C$4+76)),MIN(DAY(Kalemler!$D112),DAY(EOMONTH((Tahmin!$C$4+76),0))))&lt;&gt;DATE(YEAR((Tahmin!$C$4+70)),MONTH((Tahmin!$C$4+70)),MIN(DAY(Kalemler!$D112),DAY(EOMONTH((Tahmin!$C$4+70),0)))),DATE(YEAR((Tahmin!$C$4+76)),MONTH((Tahmin!$C$4+76)),MIN(DAY(Kalemler!$D112),DAY(EOMONTH((Tahmin!$C$4+76),0))))&gt;=Kalemler!$D112)),1,0),IF(AND(Kalemler!$D112&gt;=(Tahmin!$C$4+70),Kalemler!$D112&lt;=(Tahmin!$C$4+76)),1,0))))</f>
        <v>0</v>
      </c>
      <c r="M112" s="0" t="n">
        <f aca="false">IF(OR(Kalemler!$A112="",Kalemler!$C112="",Kalemler!$D112=""),0,Kalemler!$C112*IF(Kalemler!$E112="Haftalık",IF(Kalemler!$D112&lt;=(Tahmin!$C$4+83),1,0),IF(Kalemler!$E112="Aylık",IF(OR(AND(DATE(YEAR((Tahmin!$C$4+77)),MONTH((Tahmin!$C$4+77)),MIN(DAY(Kalemler!$D112),DAY(EOMONTH((Tahmin!$C$4+77),0))))&gt;=(Tahmin!$C$4+77),DATE(YEAR((Tahmin!$C$4+77)),MONTH((Tahmin!$C$4+77)),MIN(DAY(Kalemler!$D112),DAY(EOMONTH((Tahmin!$C$4+77),0))))&lt;=(Tahmin!$C$4+83),DATE(YEAR((Tahmin!$C$4+77)),MONTH((Tahmin!$C$4+77)),MIN(DAY(Kalemler!$D112),DAY(EOMONTH((Tahmin!$C$4+77),0))))&gt;=Kalemler!$D112),AND(DATE(YEAR((Tahmin!$C$4+83)),MONTH((Tahmin!$C$4+83)),MIN(DAY(Kalemler!$D112),DAY(EOMONTH((Tahmin!$C$4+83),0))))&gt;=(Tahmin!$C$4+77),DATE(YEAR((Tahmin!$C$4+83)),MONTH((Tahmin!$C$4+83)),MIN(DAY(Kalemler!$D112),DAY(EOMONTH((Tahmin!$C$4+83),0))))&lt;=(Tahmin!$C$4+83),DATE(YEAR((Tahmin!$C$4+83)),MONTH((Tahmin!$C$4+83)),MIN(DAY(Kalemler!$D112),DAY(EOMONTH((Tahmin!$C$4+83),0))))&lt;&gt;DATE(YEAR((Tahmin!$C$4+77)),MONTH((Tahmin!$C$4+77)),MIN(DAY(Kalemler!$D112),DAY(EOMONTH((Tahmin!$C$4+77),0)))),DATE(YEAR((Tahmin!$C$4+83)),MONTH((Tahmin!$C$4+83)),MIN(DAY(Kalemler!$D112),DAY(EOMONTH((Tahmin!$C$4+83),0))))&gt;=Kalemler!$D112)),1,0),IF(AND(Kalemler!$D112&gt;=(Tahmin!$C$4+77),Kalemler!$D112&lt;=(Tahmin!$C$4+83)),1,0))))</f>
        <v>0</v>
      </c>
      <c r="N112" s="0" t="n">
        <f aca="false">IF(OR(Kalemler!$A112="",Kalemler!$C112="",Kalemler!$D112=""),0,Kalemler!$C112*IF(Kalemler!$E112="Haftalık",IF(Kalemler!$D112&lt;=(Tahmin!$C$4+90),1,0),IF(Kalemler!$E112="Aylık",IF(OR(AND(DATE(YEAR((Tahmin!$C$4+84)),MONTH((Tahmin!$C$4+84)),MIN(DAY(Kalemler!$D112),DAY(EOMONTH((Tahmin!$C$4+84),0))))&gt;=(Tahmin!$C$4+84),DATE(YEAR((Tahmin!$C$4+84)),MONTH((Tahmin!$C$4+84)),MIN(DAY(Kalemler!$D112),DAY(EOMONTH((Tahmin!$C$4+84),0))))&lt;=(Tahmin!$C$4+90),DATE(YEAR((Tahmin!$C$4+84)),MONTH((Tahmin!$C$4+84)),MIN(DAY(Kalemler!$D112),DAY(EOMONTH((Tahmin!$C$4+84),0))))&gt;=Kalemler!$D112),AND(DATE(YEAR((Tahmin!$C$4+90)),MONTH((Tahmin!$C$4+90)),MIN(DAY(Kalemler!$D112),DAY(EOMONTH((Tahmin!$C$4+90),0))))&gt;=(Tahmin!$C$4+84),DATE(YEAR((Tahmin!$C$4+90)),MONTH((Tahmin!$C$4+90)),MIN(DAY(Kalemler!$D112),DAY(EOMONTH((Tahmin!$C$4+90),0))))&lt;=(Tahmin!$C$4+90),DATE(YEAR((Tahmin!$C$4+90)),MONTH((Tahmin!$C$4+90)),MIN(DAY(Kalemler!$D112),DAY(EOMONTH((Tahmin!$C$4+90),0))))&lt;&gt;DATE(YEAR((Tahmin!$C$4+84)),MONTH((Tahmin!$C$4+84)),MIN(DAY(Kalemler!$D112),DAY(EOMONTH((Tahmin!$C$4+84),0)))),DATE(YEAR((Tahmin!$C$4+90)),MONTH((Tahmin!$C$4+90)),MIN(DAY(Kalemler!$D112),DAY(EOMONTH((Tahmin!$C$4+90),0))))&gt;=Kalemler!$D112)),1,0),IF(AND(Kalemler!$D112&gt;=(Tahmin!$C$4+84),Kalemler!$D112&lt;=(Tahmin!$C$4+90)),1,0))))</f>
        <v>0</v>
      </c>
    </row>
    <row r="113" customFormat="false" ht="15" hidden="false" customHeight="false" outlineLevel="0" collapsed="false">
      <c r="A113" s="0" t="str">
        <f aca="false">IF(Kalemler!A113="","",Kalemler!A113)</f>
        <v/>
      </c>
      <c r="B113" s="0" t="n">
        <f aca="false">IF(OR(Kalemler!$A113="",Kalemler!$C113="",Kalemler!$D113=""),0,Kalemler!$C113*IF(Kalemler!$E113="Haftalık",IF(Kalemler!$D113&lt;=(Tahmin!$C$4+6),1,0),IF(Kalemler!$E113="Aylık",IF(OR(AND(DATE(YEAR((Tahmin!$C$4+0)),MONTH((Tahmin!$C$4+0)),MIN(DAY(Kalemler!$D113),DAY(EOMONTH((Tahmin!$C$4+0),0))))&gt;=(Tahmin!$C$4+0),DATE(YEAR((Tahmin!$C$4+0)),MONTH((Tahmin!$C$4+0)),MIN(DAY(Kalemler!$D113),DAY(EOMONTH((Tahmin!$C$4+0),0))))&lt;=(Tahmin!$C$4+6),DATE(YEAR((Tahmin!$C$4+0)),MONTH((Tahmin!$C$4+0)),MIN(DAY(Kalemler!$D113),DAY(EOMONTH((Tahmin!$C$4+0),0))))&gt;=Kalemler!$D113),AND(DATE(YEAR((Tahmin!$C$4+6)),MONTH((Tahmin!$C$4+6)),MIN(DAY(Kalemler!$D113),DAY(EOMONTH((Tahmin!$C$4+6),0))))&gt;=(Tahmin!$C$4+0),DATE(YEAR((Tahmin!$C$4+6)),MONTH((Tahmin!$C$4+6)),MIN(DAY(Kalemler!$D113),DAY(EOMONTH((Tahmin!$C$4+6),0))))&lt;=(Tahmin!$C$4+6),DATE(YEAR((Tahmin!$C$4+6)),MONTH((Tahmin!$C$4+6)),MIN(DAY(Kalemler!$D113),DAY(EOMONTH((Tahmin!$C$4+6),0))))&lt;&gt;DATE(YEAR((Tahmin!$C$4+0)),MONTH((Tahmin!$C$4+0)),MIN(DAY(Kalemler!$D113),DAY(EOMONTH((Tahmin!$C$4+0),0)))),DATE(YEAR((Tahmin!$C$4+6)),MONTH((Tahmin!$C$4+6)),MIN(DAY(Kalemler!$D113),DAY(EOMONTH((Tahmin!$C$4+6),0))))&gt;=Kalemler!$D113)),1,0),IF(AND(Kalemler!$D113&gt;=(Tahmin!$C$4+0),Kalemler!$D113&lt;=(Tahmin!$C$4+6)),1,0))))</f>
        <v>0</v>
      </c>
      <c r="C113" s="0" t="n">
        <f aca="false">IF(OR(Kalemler!$A113="",Kalemler!$C113="",Kalemler!$D113=""),0,Kalemler!$C113*IF(Kalemler!$E113="Haftalık",IF(Kalemler!$D113&lt;=(Tahmin!$C$4+13),1,0),IF(Kalemler!$E113="Aylık",IF(OR(AND(DATE(YEAR((Tahmin!$C$4+7)),MONTH((Tahmin!$C$4+7)),MIN(DAY(Kalemler!$D113),DAY(EOMONTH((Tahmin!$C$4+7),0))))&gt;=(Tahmin!$C$4+7),DATE(YEAR((Tahmin!$C$4+7)),MONTH((Tahmin!$C$4+7)),MIN(DAY(Kalemler!$D113),DAY(EOMONTH((Tahmin!$C$4+7),0))))&lt;=(Tahmin!$C$4+13),DATE(YEAR((Tahmin!$C$4+7)),MONTH((Tahmin!$C$4+7)),MIN(DAY(Kalemler!$D113),DAY(EOMONTH((Tahmin!$C$4+7),0))))&gt;=Kalemler!$D113),AND(DATE(YEAR((Tahmin!$C$4+13)),MONTH((Tahmin!$C$4+13)),MIN(DAY(Kalemler!$D113),DAY(EOMONTH((Tahmin!$C$4+13),0))))&gt;=(Tahmin!$C$4+7),DATE(YEAR((Tahmin!$C$4+13)),MONTH((Tahmin!$C$4+13)),MIN(DAY(Kalemler!$D113),DAY(EOMONTH((Tahmin!$C$4+13),0))))&lt;=(Tahmin!$C$4+13),DATE(YEAR((Tahmin!$C$4+13)),MONTH((Tahmin!$C$4+13)),MIN(DAY(Kalemler!$D113),DAY(EOMONTH((Tahmin!$C$4+13),0))))&lt;&gt;DATE(YEAR((Tahmin!$C$4+7)),MONTH((Tahmin!$C$4+7)),MIN(DAY(Kalemler!$D113),DAY(EOMONTH((Tahmin!$C$4+7),0)))),DATE(YEAR((Tahmin!$C$4+13)),MONTH((Tahmin!$C$4+13)),MIN(DAY(Kalemler!$D113),DAY(EOMONTH((Tahmin!$C$4+13),0))))&gt;=Kalemler!$D113)),1,0),IF(AND(Kalemler!$D113&gt;=(Tahmin!$C$4+7),Kalemler!$D113&lt;=(Tahmin!$C$4+13)),1,0))))</f>
        <v>0</v>
      </c>
      <c r="D113" s="0" t="n">
        <f aca="false">IF(OR(Kalemler!$A113="",Kalemler!$C113="",Kalemler!$D113=""),0,Kalemler!$C113*IF(Kalemler!$E113="Haftalık",IF(Kalemler!$D113&lt;=(Tahmin!$C$4+20),1,0),IF(Kalemler!$E113="Aylık",IF(OR(AND(DATE(YEAR((Tahmin!$C$4+14)),MONTH((Tahmin!$C$4+14)),MIN(DAY(Kalemler!$D113),DAY(EOMONTH((Tahmin!$C$4+14),0))))&gt;=(Tahmin!$C$4+14),DATE(YEAR((Tahmin!$C$4+14)),MONTH((Tahmin!$C$4+14)),MIN(DAY(Kalemler!$D113),DAY(EOMONTH((Tahmin!$C$4+14),0))))&lt;=(Tahmin!$C$4+20),DATE(YEAR((Tahmin!$C$4+14)),MONTH((Tahmin!$C$4+14)),MIN(DAY(Kalemler!$D113),DAY(EOMONTH((Tahmin!$C$4+14),0))))&gt;=Kalemler!$D113),AND(DATE(YEAR((Tahmin!$C$4+20)),MONTH((Tahmin!$C$4+20)),MIN(DAY(Kalemler!$D113),DAY(EOMONTH((Tahmin!$C$4+20),0))))&gt;=(Tahmin!$C$4+14),DATE(YEAR((Tahmin!$C$4+20)),MONTH((Tahmin!$C$4+20)),MIN(DAY(Kalemler!$D113),DAY(EOMONTH((Tahmin!$C$4+20),0))))&lt;=(Tahmin!$C$4+20),DATE(YEAR((Tahmin!$C$4+20)),MONTH((Tahmin!$C$4+20)),MIN(DAY(Kalemler!$D113),DAY(EOMONTH((Tahmin!$C$4+20),0))))&lt;&gt;DATE(YEAR((Tahmin!$C$4+14)),MONTH((Tahmin!$C$4+14)),MIN(DAY(Kalemler!$D113),DAY(EOMONTH((Tahmin!$C$4+14),0)))),DATE(YEAR((Tahmin!$C$4+20)),MONTH((Tahmin!$C$4+20)),MIN(DAY(Kalemler!$D113),DAY(EOMONTH((Tahmin!$C$4+20),0))))&gt;=Kalemler!$D113)),1,0),IF(AND(Kalemler!$D113&gt;=(Tahmin!$C$4+14),Kalemler!$D113&lt;=(Tahmin!$C$4+20)),1,0))))</f>
        <v>0</v>
      </c>
      <c r="E113" s="0" t="n">
        <f aca="false">IF(OR(Kalemler!$A113="",Kalemler!$C113="",Kalemler!$D113=""),0,Kalemler!$C113*IF(Kalemler!$E113="Haftalık",IF(Kalemler!$D113&lt;=(Tahmin!$C$4+27),1,0),IF(Kalemler!$E113="Aylık",IF(OR(AND(DATE(YEAR((Tahmin!$C$4+21)),MONTH((Tahmin!$C$4+21)),MIN(DAY(Kalemler!$D113),DAY(EOMONTH((Tahmin!$C$4+21),0))))&gt;=(Tahmin!$C$4+21),DATE(YEAR((Tahmin!$C$4+21)),MONTH((Tahmin!$C$4+21)),MIN(DAY(Kalemler!$D113),DAY(EOMONTH((Tahmin!$C$4+21),0))))&lt;=(Tahmin!$C$4+27),DATE(YEAR((Tahmin!$C$4+21)),MONTH((Tahmin!$C$4+21)),MIN(DAY(Kalemler!$D113),DAY(EOMONTH((Tahmin!$C$4+21),0))))&gt;=Kalemler!$D113),AND(DATE(YEAR((Tahmin!$C$4+27)),MONTH((Tahmin!$C$4+27)),MIN(DAY(Kalemler!$D113),DAY(EOMONTH((Tahmin!$C$4+27),0))))&gt;=(Tahmin!$C$4+21),DATE(YEAR((Tahmin!$C$4+27)),MONTH((Tahmin!$C$4+27)),MIN(DAY(Kalemler!$D113),DAY(EOMONTH((Tahmin!$C$4+27),0))))&lt;=(Tahmin!$C$4+27),DATE(YEAR((Tahmin!$C$4+27)),MONTH((Tahmin!$C$4+27)),MIN(DAY(Kalemler!$D113),DAY(EOMONTH((Tahmin!$C$4+27),0))))&lt;&gt;DATE(YEAR((Tahmin!$C$4+21)),MONTH((Tahmin!$C$4+21)),MIN(DAY(Kalemler!$D113),DAY(EOMONTH((Tahmin!$C$4+21),0)))),DATE(YEAR((Tahmin!$C$4+27)),MONTH((Tahmin!$C$4+27)),MIN(DAY(Kalemler!$D113),DAY(EOMONTH((Tahmin!$C$4+27),0))))&gt;=Kalemler!$D113)),1,0),IF(AND(Kalemler!$D113&gt;=(Tahmin!$C$4+21),Kalemler!$D113&lt;=(Tahmin!$C$4+27)),1,0))))</f>
        <v>0</v>
      </c>
      <c r="F113" s="0" t="n">
        <f aca="false">IF(OR(Kalemler!$A113="",Kalemler!$C113="",Kalemler!$D113=""),0,Kalemler!$C113*IF(Kalemler!$E113="Haftalık",IF(Kalemler!$D113&lt;=(Tahmin!$C$4+34),1,0),IF(Kalemler!$E113="Aylık",IF(OR(AND(DATE(YEAR((Tahmin!$C$4+28)),MONTH((Tahmin!$C$4+28)),MIN(DAY(Kalemler!$D113),DAY(EOMONTH((Tahmin!$C$4+28),0))))&gt;=(Tahmin!$C$4+28),DATE(YEAR((Tahmin!$C$4+28)),MONTH((Tahmin!$C$4+28)),MIN(DAY(Kalemler!$D113),DAY(EOMONTH((Tahmin!$C$4+28),0))))&lt;=(Tahmin!$C$4+34),DATE(YEAR((Tahmin!$C$4+28)),MONTH((Tahmin!$C$4+28)),MIN(DAY(Kalemler!$D113),DAY(EOMONTH((Tahmin!$C$4+28),0))))&gt;=Kalemler!$D113),AND(DATE(YEAR((Tahmin!$C$4+34)),MONTH((Tahmin!$C$4+34)),MIN(DAY(Kalemler!$D113),DAY(EOMONTH((Tahmin!$C$4+34),0))))&gt;=(Tahmin!$C$4+28),DATE(YEAR((Tahmin!$C$4+34)),MONTH((Tahmin!$C$4+34)),MIN(DAY(Kalemler!$D113),DAY(EOMONTH((Tahmin!$C$4+34),0))))&lt;=(Tahmin!$C$4+34),DATE(YEAR((Tahmin!$C$4+34)),MONTH((Tahmin!$C$4+34)),MIN(DAY(Kalemler!$D113),DAY(EOMONTH((Tahmin!$C$4+34),0))))&lt;&gt;DATE(YEAR((Tahmin!$C$4+28)),MONTH((Tahmin!$C$4+28)),MIN(DAY(Kalemler!$D113),DAY(EOMONTH((Tahmin!$C$4+28),0)))),DATE(YEAR((Tahmin!$C$4+34)),MONTH((Tahmin!$C$4+34)),MIN(DAY(Kalemler!$D113),DAY(EOMONTH((Tahmin!$C$4+34),0))))&gt;=Kalemler!$D113)),1,0),IF(AND(Kalemler!$D113&gt;=(Tahmin!$C$4+28),Kalemler!$D113&lt;=(Tahmin!$C$4+34)),1,0))))</f>
        <v>0</v>
      </c>
      <c r="G113" s="0" t="n">
        <f aca="false">IF(OR(Kalemler!$A113="",Kalemler!$C113="",Kalemler!$D113=""),0,Kalemler!$C113*IF(Kalemler!$E113="Haftalık",IF(Kalemler!$D113&lt;=(Tahmin!$C$4+41),1,0),IF(Kalemler!$E113="Aylık",IF(OR(AND(DATE(YEAR((Tahmin!$C$4+35)),MONTH((Tahmin!$C$4+35)),MIN(DAY(Kalemler!$D113),DAY(EOMONTH((Tahmin!$C$4+35),0))))&gt;=(Tahmin!$C$4+35),DATE(YEAR((Tahmin!$C$4+35)),MONTH((Tahmin!$C$4+35)),MIN(DAY(Kalemler!$D113),DAY(EOMONTH((Tahmin!$C$4+35),0))))&lt;=(Tahmin!$C$4+41),DATE(YEAR((Tahmin!$C$4+35)),MONTH((Tahmin!$C$4+35)),MIN(DAY(Kalemler!$D113),DAY(EOMONTH((Tahmin!$C$4+35),0))))&gt;=Kalemler!$D113),AND(DATE(YEAR((Tahmin!$C$4+41)),MONTH((Tahmin!$C$4+41)),MIN(DAY(Kalemler!$D113),DAY(EOMONTH((Tahmin!$C$4+41),0))))&gt;=(Tahmin!$C$4+35),DATE(YEAR((Tahmin!$C$4+41)),MONTH((Tahmin!$C$4+41)),MIN(DAY(Kalemler!$D113),DAY(EOMONTH((Tahmin!$C$4+41),0))))&lt;=(Tahmin!$C$4+41),DATE(YEAR((Tahmin!$C$4+41)),MONTH((Tahmin!$C$4+41)),MIN(DAY(Kalemler!$D113),DAY(EOMONTH((Tahmin!$C$4+41),0))))&lt;&gt;DATE(YEAR((Tahmin!$C$4+35)),MONTH((Tahmin!$C$4+35)),MIN(DAY(Kalemler!$D113),DAY(EOMONTH((Tahmin!$C$4+35),0)))),DATE(YEAR((Tahmin!$C$4+41)),MONTH((Tahmin!$C$4+41)),MIN(DAY(Kalemler!$D113),DAY(EOMONTH((Tahmin!$C$4+41),0))))&gt;=Kalemler!$D113)),1,0),IF(AND(Kalemler!$D113&gt;=(Tahmin!$C$4+35),Kalemler!$D113&lt;=(Tahmin!$C$4+41)),1,0))))</f>
        <v>0</v>
      </c>
      <c r="H113" s="0" t="n">
        <f aca="false">IF(OR(Kalemler!$A113="",Kalemler!$C113="",Kalemler!$D113=""),0,Kalemler!$C113*IF(Kalemler!$E113="Haftalık",IF(Kalemler!$D113&lt;=(Tahmin!$C$4+48),1,0),IF(Kalemler!$E113="Aylık",IF(OR(AND(DATE(YEAR((Tahmin!$C$4+42)),MONTH((Tahmin!$C$4+42)),MIN(DAY(Kalemler!$D113),DAY(EOMONTH((Tahmin!$C$4+42),0))))&gt;=(Tahmin!$C$4+42),DATE(YEAR((Tahmin!$C$4+42)),MONTH((Tahmin!$C$4+42)),MIN(DAY(Kalemler!$D113),DAY(EOMONTH((Tahmin!$C$4+42),0))))&lt;=(Tahmin!$C$4+48),DATE(YEAR((Tahmin!$C$4+42)),MONTH((Tahmin!$C$4+42)),MIN(DAY(Kalemler!$D113),DAY(EOMONTH((Tahmin!$C$4+42),0))))&gt;=Kalemler!$D113),AND(DATE(YEAR((Tahmin!$C$4+48)),MONTH((Tahmin!$C$4+48)),MIN(DAY(Kalemler!$D113),DAY(EOMONTH((Tahmin!$C$4+48),0))))&gt;=(Tahmin!$C$4+42),DATE(YEAR((Tahmin!$C$4+48)),MONTH((Tahmin!$C$4+48)),MIN(DAY(Kalemler!$D113),DAY(EOMONTH((Tahmin!$C$4+48),0))))&lt;=(Tahmin!$C$4+48),DATE(YEAR((Tahmin!$C$4+48)),MONTH((Tahmin!$C$4+48)),MIN(DAY(Kalemler!$D113),DAY(EOMONTH((Tahmin!$C$4+48),0))))&lt;&gt;DATE(YEAR((Tahmin!$C$4+42)),MONTH((Tahmin!$C$4+42)),MIN(DAY(Kalemler!$D113),DAY(EOMONTH((Tahmin!$C$4+42),0)))),DATE(YEAR((Tahmin!$C$4+48)),MONTH((Tahmin!$C$4+48)),MIN(DAY(Kalemler!$D113),DAY(EOMONTH((Tahmin!$C$4+48),0))))&gt;=Kalemler!$D113)),1,0),IF(AND(Kalemler!$D113&gt;=(Tahmin!$C$4+42),Kalemler!$D113&lt;=(Tahmin!$C$4+48)),1,0))))</f>
        <v>0</v>
      </c>
      <c r="I113" s="0" t="n">
        <f aca="false">IF(OR(Kalemler!$A113="",Kalemler!$C113="",Kalemler!$D113=""),0,Kalemler!$C113*IF(Kalemler!$E113="Haftalık",IF(Kalemler!$D113&lt;=(Tahmin!$C$4+55),1,0),IF(Kalemler!$E113="Aylık",IF(OR(AND(DATE(YEAR((Tahmin!$C$4+49)),MONTH((Tahmin!$C$4+49)),MIN(DAY(Kalemler!$D113),DAY(EOMONTH((Tahmin!$C$4+49),0))))&gt;=(Tahmin!$C$4+49),DATE(YEAR((Tahmin!$C$4+49)),MONTH((Tahmin!$C$4+49)),MIN(DAY(Kalemler!$D113),DAY(EOMONTH((Tahmin!$C$4+49),0))))&lt;=(Tahmin!$C$4+55),DATE(YEAR((Tahmin!$C$4+49)),MONTH((Tahmin!$C$4+49)),MIN(DAY(Kalemler!$D113),DAY(EOMONTH((Tahmin!$C$4+49),0))))&gt;=Kalemler!$D113),AND(DATE(YEAR((Tahmin!$C$4+55)),MONTH((Tahmin!$C$4+55)),MIN(DAY(Kalemler!$D113),DAY(EOMONTH((Tahmin!$C$4+55),0))))&gt;=(Tahmin!$C$4+49),DATE(YEAR((Tahmin!$C$4+55)),MONTH((Tahmin!$C$4+55)),MIN(DAY(Kalemler!$D113),DAY(EOMONTH((Tahmin!$C$4+55),0))))&lt;=(Tahmin!$C$4+55),DATE(YEAR((Tahmin!$C$4+55)),MONTH((Tahmin!$C$4+55)),MIN(DAY(Kalemler!$D113),DAY(EOMONTH((Tahmin!$C$4+55),0))))&lt;&gt;DATE(YEAR((Tahmin!$C$4+49)),MONTH((Tahmin!$C$4+49)),MIN(DAY(Kalemler!$D113),DAY(EOMONTH((Tahmin!$C$4+49),0)))),DATE(YEAR((Tahmin!$C$4+55)),MONTH((Tahmin!$C$4+55)),MIN(DAY(Kalemler!$D113),DAY(EOMONTH((Tahmin!$C$4+55),0))))&gt;=Kalemler!$D113)),1,0),IF(AND(Kalemler!$D113&gt;=(Tahmin!$C$4+49),Kalemler!$D113&lt;=(Tahmin!$C$4+55)),1,0))))</f>
        <v>0</v>
      </c>
      <c r="J113" s="0" t="n">
        <f aca="false">IF(OR(Kalemler!$A113="",Kalemler!$C113="",Kalemler!$D113=""),0,Kalemler!$C113*IF(Kalemler!$E113="Haftalık",IF(Kalemler!$D113&lt;=(Tahmin!$C$4+62),1,0),IF(Kalemler!$E113="Aylık",IF(OR(AND(DATE(YEAR((Tahmin!$C$4+56)),MONTH((Tahmin!$C$4+56)),MIN(DAY(Kalemler!$D113),DAY(EOMONTH((Tahmin!$C$4+56),0))))&gt;=(Tahmin!$C$4+56),DATE(YEAR((Tahmin!$C$4+56)),MONTH((Tahmin!$C$4+56)),MIN(DAY(Kalemler!$D113),DAY(EOMONTH((Tahmin!$C$4+56),0))))&lt;=(Tahmin!$C$4+62),DATE(YEAR((Tahmin!$C$4+56)),MONTH((Tahmin!$C$4+56)),MIN(DAY(Kalemler!$D113),DAY(EOMONTH((Tahmin!$C$4+56),0))))&gt;=Kalemler!$D113),AND(DATE(YEAR((Tahmin!$C$4+62)),MONTH((Tahmin!$C$4+62)),MIN(DAY(Kalemler!$D113),DAY(EOMONTH((Tahmin!$C$4+62),0))))&gt;=(Tahmin!$C$4+56),DATE(YEAR((Tahmin!$C$4+62)),MONTH((Tahmin!$C$4+62)),MIN(DAY(Kalemler!$D113),DAY(EOMONTH((Tahmin!$C$4+62),0))))&lt;=(Tahmin!$C$4+62),DATE(YEAR((Tahmin!$C$4+62)),MONTH((Tahmin!$C$4+62)),MIN(DAY(Kalemler!$D113),DAY(EOMONTH((Tahmin!$C$4+62),0))))&lt;&gt;DATE(YEAR((Tahmin!$C$4+56)),MONTH((Tahmin!$C$4+56)),MIN(DAY(Kalemler!$D113),DAY(EOMONTH((Tahmin!$C$4+56),0)))),DATE(YEAR((Tahmin!$C$4+62)),MONTH((Tahmin!$C$4+62)),MIN(DAY(Kalemler!$D113),DAY(EOMONTH((Tahmin!$C$4+62),0))))&gt;=Kalemler!$D113)),1,0),IF(AND(Kalemler!$D113&gt;=(Tahmin!$C$4+56),Kalemler!$D113&lt;=(Tahmin!$C$4+62)),1,0))))</f>
        <v>0</v>
      </c>
      <c r="K113" s="0" t="n">
        <f aca="false">IF(OR(Kalemler!$A113="",Kalemler!$C113="",Kalemler!$D113=""),0,Kalemler!$C113*IF(Kalemler!$E113="Haftalık",IF(Kalemler!$D113&lt;=(Tahmin!$C$4+69),1,0),IF(Kalemler!$E113="Aylık",IF(OR(AND(DATE(YEAR((Tahmin!$C$4+63)),MONTH((Tahmin!$C$4+63)),MIN(DAY(Kalemler!$D113),DAY(EOMONTH((Tahmin!$C$4+63),0))))&gt;=(Tahmin!$C$4+63),DATE(YEAR((Tahmin!$C$4+63)),MONTH((Tahmin!$C$4+63)),MIN(DAY(Kalemler!$D113),DAY(EOMONTH((Tahmin!$C$4+63),0))))&lt;=(Tahmin!$C$4+69),DATE(YEAR((Tahmin!$C$4+63)),MONTH((Tahmin!$C$4+63)),MIN(DAY(Kalemler!$D113),DAY(EOMONTH((Tahmin!$C$4+63),0))))&gt;=Kalemler!$D113),AND(DATE(YEAR((Tahmin!$C$4+69)),MONTH((Tahmin!$C$4+69)),MIN(DAY(Kalemler!$D113),DAY(EOMONTH((Tahmin!$C$4+69),0))))&gt;=(Tahmin!$C$4+63),DATE(YEAR((Tahmin!$C$4+69)),MONTH((Tahmin!$C$4+69)),MIN(DAY(Kalemler!$D113),DAY(EOMONTH((Tahmin!$C$4+69),0))))&lt;=(Tahmin!$C$4+69),DATE(YEAR((Tahmin!$C$4+69)),MONTH((Tahmin!$C$4+69)),MIN(DAY(Kalemler!$D113),DAY(EOMONTH((Tahmin!$C$4+69),0))))&lt;&gt;DATE(YEAR((Tahmin!$C$4+63)),MONTH((Tahmin!$C$4+63)),MIN(DAY(Kalemler!$D113),DAY(EOMONTH((Tahmin!$C$4+63),0)))),DATE(YEAR((Tahmin!$C$4+69)),MONTH((Tahmin!$C$4+69)),MIN(DAY(Kalemler!$D113),DAY(EOMONTH((Tahmin!$C$4+69),0))))&gt;=Kalemler!$D113)),1,0),IF(AND(Kalemler!$D113&gt;=(Tahmin!$C$4+63),Kalemler!$D113&lt;=(Tahmin!$C$4+69)),1,0))))</f>
        <v>0</v>
      </c>
      <c r="L113" s="0" t="n">
        <f aca="false">IF(OR(Kalemler!$A113="",Kalemler!$C113="",Kalemler!$D113=""),0,Kalemler!$C113*IF(Kalemler!$E113="Haftalık",IF(Kalemler!$D113&lt;=(Tahmin!$C$4+76),1,0),IF(Kalemler!$E113="Aylık",IF(OR(AND(DATE(YEAR((Tahmin!$C$4+70)),MONTH((Tahmin!$C$4+70)),MIN(DAY(Kalemler!$D113),DAY(EOMONTH((Tahmin!$C$4+70),0))))&gt;=(Tahmin!$C$4+70),DATE(YEAR((Tahmin!$C$4+70)),MONTH((Tahmin!$C$4+70)),MIN(DAY(Kalemler!$D113),DAY(EOMONTH((Tahmin!$C$4+70),0))))&lt;=(Tahmin!$C$4+76),DATE(YEAR((Tahmin!$C$4+70)),MONTH((Tahmin!$C$4+70)),MIN(DAY(Kalemler!$D113),DAY(EOMONTH((Tahmin!$C$4+70),0))))&gt;=Kalemler!$D113),AND(DATE(YEAR((Tahmin!$C$4+76)),MONTH((Tahmin!$C$4+76)),MIN(DAY(Kalemler!$D113),DAY(EOMONTH((Tahmin!$C$4+76),0))))&gt;=(Tahmin!$C$4+70),DATE(YEAR((Tahmin!$C$4+76)),MONTH((Tahmin!$C$4+76)),MIN(DAY(Kalemler!$D113),DAY(EOMONTH((Tahmin!$C$4+76),0))))&lt;=(Tahmin!$C$4+76),DATE(YEAR((Tahmin!$C$4+76)),MONTH((Tahmin!$C$4+76)),MIN(DAY(Kalemler!$D113),DAY(EOMONTH((Tahmin!$C$4+76),0))))&lt;&gt;DATE(YEAR((Tahmin!$C$4+70)),MONTH((Tahmin!$C$4+70)),MIN(DAY(Kalemler!$D113),DAY(EOMONTH((Tahmin!$C$4+70),0)))),DATE(YEAR((Tahmin!$C$4+76)),MONTH((Tahmin!$C$4+76)),MIN(DAY(Kalemler!$D113),DAY(EOMONTH((Tahmin!$C$4+76),0))))&gt;=Kalemler!$D113)),1,0),IF(AND(Kalemler!$D113&gt;=(Tahmin!$C$4+70),Kalemler!$D113&lt;=(Tahmin!$C$4+76)),1,0))))</f>
        <v>0</v>
      </c>
      <c r="M113" s="0" t="n">
        <f aca="false">IF(OR(Kalemler!$A113="",Kalemler!$C113="",Kalemler!$D113=""),0,Kalemler!$C113*IF(Kalemler!$E113="Haftalık",IF(Kalemler!$D113&lt;=(Tahmin!$C$4+83),1,0),IF(Kalemler!$E113="Aylık",IF(OR(AND(DATE(YEAR((Tahmin!$C$4+77)),MONTH((Tahmin!$C$4+77)),MIN(DAY(Kalemler!$D113),DAY(EOMONTH((Tahmin!$C$4+77),0))))&gt;=(Tahmin!$C$4+77),DATE(YEAR((Tahmin!$C$4+77)),MONTH((Tahmin!$C$4+77)),MIN(DAY(Kalemler!$D113),DAY(EOMONTH((Tahmin!$C$4+77),0))))&lt;=(Tahmin!$C$4+83),DATE(YEAR((Tahmin!$C$4+77)),MONTH((Tahmin!$C$4+77)),MIN(DAY(Kalemler!$D113),DAY(EOMONTH((Tahmin!$C$4+77),0))))&gt;=Kalemler!$D113),AND(DATE(YEAR((Tahmin!$C$4+83)),MONTH((Tahmin!$C$4+83)),MIN(DAY(Kalemler!$D113),DAY(EOMONTH((Tahmin!$C$4+83),0))))&gt;=(Tahmin!$C$4+77),DATE(YEAR((Tahmin!$C$4+83)),MONTH((Tahmin!$C$4+83)),MIN(DAY(Kalemler!$D113),DAY(EOMONTH((Tahmin!$C$4+83),0))))&lt;=(Tahmin!$C$4+83),DATE(YEAR((Tahmin!$C$4+83)),MONTH((Tahmin!$C$4+83)),MIN(DAY(Kalemler!$D113),DAY(EOMONTH((Tahmin!$C$4+83),0))))&lt;&gt;DATE(YEAR((Tahmin!$C$4+77)),MONTH((Tahmin!$C$4+77)),MIN(DAY(Kalemler!$D113),DAY(EOMONTH((Tahmin!$C$4+77),0)))),DATE(YEAR((Tahmin!$C$4+83)),MONTH((Tahmin!$C$4+83)),MIN(DAY(Kalemler!$D113),DAY(EOMONTH((Tahmin!$C$4+83),0))))&gt;=Kalemler!$D113)),1,0),IF(AND(Kalemler!$D113&gt;=(Tahmin!$C$4+77),Kalemler!$D113&lt;=(Tahmin!$C$4+83)),1,0))))</f>
        <v>0</v>
      </c>
      <c r="N113" s="0" t="n">
        <f aca="false">IF(OR(Kalemler!$A113="",Kalemler!$C113="",Kalemler!$D113=""),0,Kalemler!$C113*IF(Kalemler!$E113="Haftalık",IF(Kalemler!$D113&lt;=(Tahmin!$C$4+90),1,0),IF(Kalemler!$E113="Aylık",IF(OR(AND(DATE(YEAR((Tahmin!$C$4+84)),MONTH((Tahmin!$C$4+84)),MIN(DAY(Kalemler!$D113),DAY(EOMONTH((Tahmin!$C$4+84),0))))&gt;=(Tahmin!$C$4+84),DATE(YEAR((Tahmin!$C$4+84)),MONTH((Tahmin!$C$4+84)),MIN(DAY(Kalemler!$D113),DAY(EOMONTH((Tahmin!$C$4+84),0))))&lt;=(Tahmin!$C$4+90),DATE(YEAR((Tahmin!$C$4+84)),MONTH((Tahmin!$C$4+84)),MIN(DAY(Kalemler!$D113),DAY(EOMONTH((Tahmin!$C$4+84),0))))&gt;=Kalemler!$D113),AND(DATE(YEAR((Tahmin!$C$4+90)),MONTH((Tahmin!$C$4+90)),MIN(DAY(Kalemler!$D113),DAY(EOMONTH((Tahmin!$C$4+90),0))))&gt;=(Tahmin!$C$4+84),DATE(YEAR((Tahmin!$C$4+90)),MONTH((Tahmin!$C$4+90)),MIN(DAY(Kalemler!$D113),DAY(EOMONTH((Tahmin!$C$4+90),0))))&lt;=(Tahmin!$C$4+90),DATE(YEAR((Tahmin!$C$4+90)),MONTH((Tahmin!$C$4+90)),MIN(DAY(Kalemler!$D113),DAY(EOMONTH((Tahmin!$C$4+90),0))))&lt;&gt;DATE(YEAR((Tahmin!$C$4+84)),MONTH((Tahmin!$C$4+84)),MIN(DAY(Kalemler!$D113),DAY(EOMONTH((Tahmin!$C$4+84),0)))),DATE(YEAR((Tahmin!$C$4+90)),MONTH((Tahmin!$C$4+90)),MIN(DAY(Kalemler!$D113),DAY(EOMONTH((Tahmin!$C$4+90),0))))&gt;=Kalemler!$D113)),1,0),IF(AND(Kalemler!$D113&gt;=(Tahmin!$C$4+84),Kalemler!$D113&lt;=(Tahmin!$C$4+90)),1,0))))</f>
        <v>0</v>
      </c>
    </row>
    <row r="114" customFormat="false" ht="15" hidden="false" customHeight="false" outlineLevel="0" collapsed="false">
      <c r="A114" s="0" t="str">
        <f aca="false">IF(Kalemler!A114="","",Kalemler!A114)</f>
        <v/>
      </c>
      <c r="B114" s="0" t="n">
        <f aca="false">IF(OR(Kalemler!$A114="",Kalemler!$C114="",Kalemler!$D114=""),0,Kalemler!$C114*IF(Kalemler!$E114="Haftalık",IF(Kalemler!$D114&lt;=(Tahmin!$C$4+6),1,0),IF(Kalemler!$E114="Aylık",IF(OR(AND(DATE(YEAR((Tahmin!$C$4+0)),MONTH((Tahmin!$C$4+0)),MIN(DAY(Kalemler!$D114),DAY(EOMONTH((Tahmin!$C$4+0),0))))&gt;=(Tahmin!$C$4+0),DATE(YEAR((Tahmin!$C$4+0)),MONTH((Tahmin!$C$4+0)),MIN(DAY(Kalemler!$D114),DAY(EOMONTH((Tahmin!$C$4+0),0))))&lt;=(Tahmin!$C$4+6),DATE(YEAR((Tahmin!$C$4+0)),MONTH((Tahmin!$C$4+0)),MIN(DAY(Kalemler!$D114),DAY(EOMONTH((Tahmin!$C$4+0),0))))&gt;=Kalemler!$D114),AND(DATE(YEAR((Tahmin!$C$4+6)),MONTH((Tahmin!$C$4+6)),MIN(DAY(Kalemler!$D114),DAY(EOMONTH((Tahmin!$C$4+6),0))))&gt;=(Tahmin!$C$4+0),DATE(YEAR((Tahmin!$C$4+6)),MONTH((Tahmin!$C$4+6)),MIN(DAY(Kalemler!$D114),DAY(EOMONTH((Tahmin!$C$4+6),0))))&lt;=(Tahmin!$C$4+6),DATE(YEAR((Tahmin!$C$4+6)),MONTH((Tahmin!$C$4+6)),MIN(DAY(Kalemler!$D114),DAY(EOMONTH((Tahmin!$C$4+6),0))))&lt;&gt;DATE(YEAR((Tahmin!$C$4+0)),MONTH((Tahmin!$C$4+0)),MIN(DAY(Kalemler!$D114),DAY(EOMONTH((Tahmin!$C$4+0),0)))),DATE(YEAR((Tahmin!$C$4+6)),MONTH((Tahmin!$C$4+6)),MIN(DAY(Kalemler!$D114),DAY(EOMONTH((Tahmin!$C$4+6),0))))&gt;=Kalemler!$D114)),1,0),IF(AND(Kalemler!$D114&gt;=(Tahmin!$C$4+0),Kalemler!$D114&lt;=(Tahmin!$C$4+6)),1,0))))</f>
        <v>0</v>
      </c>
      <c r="C114" s="0" t="n">
        <f aca="false">IF(OR(Kalemler!$A114="",Kalemler!$C114="",Kalemler!$D114=""),0,Kalemler!$C114*IF(Kalemler!$E114="Haftalık",IF(Kalemler!$D114&lt;=(Tahmin!$C$4+13),1,0),IF(Kalemler!$E114="Aylık",IF(OR(AND(DATE(YEAR((Tahmin!$C$4+7)),MONTH((Tahmin!$C$4+7)),MIN(DAY(Kalemler!$D114),DAY(EOMONTH((Tahmin!$C$4+7),0))))&gt;=(Tahmin!$C$4+7),DATE(YEAR((Tahmin!$C$4+7)),MONTH((Tahmin!$C$4+7)),MIN(DAY(Kalemler!$D114),DAY(EOMONTH((Tahmin!$C$4+7),0))))&lt;=(Tahmin!$C$4+13),DATE(YEAR((Tahmin!$C$4+7)),MONTH((Tahmin!$C$4+7)),MIN(DAY(Kalemler!$D114),DAY(EOMONTH((Tahmin!$C$4+7),0))))&gt;=Kalemler!$D114),AND(DATE(YEAR((Tahmin!$C$4+13)),MONTH((Tahmin!$C$4+13)),MIN(DAY(Kalemler!$D114),DAY(EOMONTH((Tahmin!$C$4+13),0))))&gt;=(Tahmin!$C$4+7),DATE(YEAR((Tahmin!$C$4+13)),MONTH((Tahmin!$C$4+13)),MIN(DAY(Kalemler!$D114),DAY(EOMONTH((Tahmin!$C$4+13),0))))&lt;=(Tahmin!$C$4+13),DATE(YEAR((Tahmin!$C$4+13)),MONTH((Tahmin!$C$4+13)),MIN(DAY(Kalemler!$D114),DAY(EOMONTH((Tahmin!$C$4+13),0))))&lt;&gt;DATE(YEAR((Tahmin!$C$4+7)),MONTH((Tahmin!$C$4+7)),MIN(DAY(Kalemler!$D114),DAY(EOMONTH((Tahmin!$C$4+7),0)))),DATE(YEAR((Tahmin!$C$4+13)),MONTH((Tahmin!$C$4+13)),MIN(DAY(Kalemler!$D114),DAY(EOMONTH((Tahmin!$C$4+13),0))))&gt;=Kalemler!$D114)),1,0),IF(AND(Kalemler!$D114&gt;=(Tahmin!$C$4+7),Kalemler!$D114&lt;=(Tahmin!$C$4+13)),1,0))))</f>
        <v>0</v>
      </c>
      <c r="D114" s="0" t="n">
        <f aca="false">IF(OR(Kalemler!$A114="",Kalemler!$C114="",Kalemler!$D114=""),0,Kalemler!$C114*IF(Kalemler!$E114="Haftalık",IF(Kalemler!$D114&lt;=(Tahmin!$C$4+20),1,0),IF(Kalemler!$E114="Aylık",IF(OR(AND(DATE(YEAR((Tahmin!$C$4+14)),MONTH((Tahmin!$C$4+14)),MIN(DAY(Kalemler!$D114),DAY(EOMONTH((Tahmin!$C$4+14),0))))&gt;=(Tahmin!$C$4+14),DATE(YEAR((Tahmin!$C$4+14)),MONTH((Tahmin!$C$4+14)),MIN(DAY(Kalemler!$D114),DAY(EOMONTH((Tahmin!$C$4+14),0))))&lt;=(Tahmin!$C$4+20),DATE(YEAR((Tahmin!$C$4+14)),MONTH((Tahmin!$C$4+14)),MIN(DAY(Kalemler!$D114),DAY(EOMONTH((Tahmin!$C$4+14),0))))&gt;=Kalemler!$D114),AND(DATE(YEAR((Tahmin!$C$4+20)),MONTH((Tahmin!$C$4+20)),MIN(DAY(Kalemler!$D114),DAY(EOMONTH((Tahmin!$C$4+20),0))))&gt;=(Tahmin!$C$4+14),DATE(YEAR((Tahmin!$C$4+20)),MONTH((Tahmin!$C$4+20)),MIN(DAY(Kalemler!$D114),DAY(EOMONTH((Tahmin!$C$4+20),0))))&lt;=(Tahmin!$C$4+20),DATE(YEAR((Tahmin!$C$4+20)),MONTH((Tahmin!$C$4+20)),MIN(DAY(Kalemler!$D114),DAY(EOMONTH((Tahmin!$C$4+20),0))))&lt;&gt;DATE(YEAR((Tahmin!$C$4+14)),MONTH((Tahmin!$C$4+14)),MIN(DAY(Kalemler!$D114),DAY(EOMONTH((Tahmin!$C$4+14),0)))),DATE(YEAR((Tahmin!$C$4+20)),MONTH((Tahmin!$C$4+20)),MIN(DAY(Kalemler!$D114),DAY(EOMONTH((Tahmin!$C$4+20),0))))&gt;=Kalemler!$D114)),1,0),IF(AND(Kalemler!$D114&gt;=(Tahmin!$C$4+14),Kalemler!$D114&lt;=(Tahmin!$C$4+20)),1,0))))</f>
        <v>0</v>
      </c>
      <c r="E114" s="0" t="n">
        <f aca="false">IF(OR(Kalemler!$A114="",Kalemler!$C114="",Kalemler!$D114=""),0,Kalemler!$C114*IF(Kalemler!$E114="Haftalık",IF(Kalemler!$D114&lt;=(Tahmin!$C$4+27),1,0),IF(Kalemler!$E114="Aylık",IF(OR(AND(DATE(YEAR((Tahmin!$C$4+21)),MONTH((Tahmin!$C$4+21)),MIN(DAY(Kalemler!$D114),DAY(EOMONTH((Tahmin!$C$4+21),0))))&gt;=(Tahmin!$C$4+21),DATE(YEAR((Tahmin!$C$4+21)),MONTH((Tahmin!$C$4+21)),MIN(DAY(Kalemler!$D114),DAY(EOMONTH((Tahmin!$C$4+21),0))))&lt;=(Tahmin!$C$4+27),DATE(YEAR((Tahmin!$C$4+21)),MONTH((Tahmin!$C$4+21)),MIN(DAY(Kalemler!$D114),DAY(EOMONTH((Tahmin!$C$4+21),0))))&gt;=Kalemler!$D114),AND(DATE(YEAR((Tahmin!$C$4+27)),MONTH((Tahmin!$C$4+27)),MIN(DAY(Kalemler!$D114),DAY(EOMONTH((Tahmin!$C$4+27),0))))&gt;=(Tahmin!$C$4+21),DATE(YEAR((Tahmin!$C$4+27)),MONTH((Tahmin!$C$4+27)),MIN(DAY(Kalemler!$D114),DAY(EOMONTH((Tahmin!$C$4+27),0))))&lt;=(Tahmin!$C$4+27),DATE(YEAR((Tahmin!$C$4+27)),MONTH((Tahmin!$C$4+27)),MIN(DAY(Kalemler!$D114),DAY(EOMONTH((Tahmin!$C$4+27),0))))&lt;&gt;DATE(YEAR((Tahmin!$C$4+21)),MONTH((Tahmin!$C$4+21)),MIN(DAY(Kalemler!$D114),DAY(EOMONTH((Tahmin!$C$4+21),0)))),DATE(YEAR((Tahmin!$C$4+27)),MONTH((Tahmin!$C$4+27)),MIN(DAY(Kalemler!$D114),DAY(EOMONTH((Tahmin!$C$4+27),0))))&gt;=Kalemler!$D114)),1,0),IF(AND(Kalemler!$D114&gt;=(Tahmin!$C$4+21),Kalemler!$D114&lt;=(Tahmin!$C$4+27)),1,0))))</f>
        <v>0</v>
      </c>
      <c r="F114" s="0" t="n">
        <f aca="false">IF(OR(Kalemler!$A114="",Kalemler!$C114="",Kalemler!$D114=""),0,Kalemler!$C114*IF(Kalemler!$E114="Haftalık",IF(Kalemler!$D114&lt;=(Tahmin!$C$4+34),1,0),IF(Kalemler!$E114="Aylık",IF(OR(AND(DATE(YEAR((Tahmin!$C$4+28)),MONTH((Tahmin!$C$4+28)),MIN(DAY(Kalemler!$D114),DAY(EOMONTH((Tahmin!$C$4+28),0))))&gt;=(Tahmin!$C$4+28),DATE(YEAR((Tahmin!$C$4+28)),MONTH((Tahmin!$C$4+28)),MIN(DAY(Kalemler!$D114),DAY(EOMONTH((Tahmin!$C$4+28),0))))&lt;=(Tahmin!$C$4+34),DATE(YEAR((Tahmin!$C$4+28)),MONTH((Tahmin!$C$4+28)),MIN(DAY(Kalemler!$D114),DAY(EOMONTH((Tahmin!$C$4+28),0))))&gt;=Kalemler!$D114),AND(DATE(YEAR((Tahmin!$C$4+34)),MONTH((Tahmin!$C$4+34)),MIN(DAY(Kalemler!$D114),DAY(EOMONTH((Tahmin!$C$4+34),0))))&gt;=(Tahmin!$C$4+28),DATE(YEAR((Tahmin!$C$4+34)),MONTH((Tahmin!$C$4+34)),MIN(DAY(Kalemler!$D114),DAY(EOMONTH((Tahmin!$C$4+34),0))))&lt;=(Tahmin!$C$4+34),DATE(YEAR((Tahmin!$C$4+34)),MONTH((Tahmin!$C$4+34)),MIN(DAY(Kalemler!$D114),DAY(EOMONTH((Tahmin!$C$4+34),0))))&lt;&gt;DATE(YEAR((Tahmin!$C$4+28)),MONTH((Tahmin!$C$4+28)),MIN(DAY(Kalemler!$D114),DAY(EOMONTH((Tahmin!$C$4+28),0)))),DATE(YEAR((Tahmin!$C$4+34)),MONTH((Tahmin!$C$4+34)),MIN(DAY(Kalemler!$D114),DAY(EOMONTH((Tahmin!$C$4+34),0))))&gt;=Kalemler!$D114)),1,0),IF(AND(Kalemler!$D114&gt;=(Tahmin!$C$4+28),Kalemler!$D114&lt;=(Tahmin!$C$4+34)),1,0))))</f>
        <v>0</v>
      </c>
      <c r="G114" s="0" t="n">
        <f aca="false">IF(OR(Kalemler!$A114="",Kalemler!$C114="",Kalemler!$D114=""),0,Kalemler!$C114*IF(Kalemler!$E114="Haftalık",IF(Kalemler!$D114&lt;=(Tahmin!$C$4+41),1,0),IF(Kalemler!$E114="Aylık",IF(OR(AND(DATE(YEAR((Tahmin!$C$4+35)),MONTH((Tahmin!$C$4+35)),MIN(DAY(Kalemler!$D114),DAY(EOMONTH((Tahmin!$C$4+35),0))))&gt;=(Tahmin!$C$4+35),DATE(YEAR((Tahmin!$C$4+35)),MONTH((Tahmin!$C$4+35)),MIN(DAY(Kalemler!$D114),DAY(EOMONTH((Tahmin!$C$4+35),0))))&lt;=(Tahmin!$C$4+41),DATE(YEAR((Tahmin!$C$4+35)),MONTH((Tahmin!$C$4+35)),MIN(DAY(Kalemler!$D114),DAY(EOMONTH((Tahmin!$C$4+35),0))))&gt;=Kalemler!$D114),AND(DATE(YEAR((Tahmin!$C$4+41)),MONTH((Tahmin!$C$4+41)),MIN(DAY(Kalemler!$D114),DAY(EOMONTH((Tahmin!$C$4+41),0))))&gt;=(Tahmin!$C$4+35),DATE(YEAR((Tahmin!$C$4+41)),MONTH((Tahmin!$C$4+41)),MIN(DAY(Kalemler!$D114),DAY(EOMONTH((Tahmin!$C$4+41),0))))&lt;=(Tahmin!$C$4+41),DATE(YEAR((Tahmin!$C$4+41)),MONTH((Tahmin!$C$4+41)),MIN(DAY(Kalemler!$D114),DAY(EOMONTH((Tahmin!$C$4+41),0))))&lt;&gt;DATE(YEAR((Tahmin!$C$4+35)),MONTH((Tahmin!$C$4+35)),MIN(DAY(Kalemler!$D114),DAY(EOMONTH((Tahmin!$C$4+35),0)))),DATE(YEAR((Tahmin!$C$4+41)),MONTH((Tahmin!$C$4+41)),MIN(DAY(Kalemler!$D114),DAY(EOMONTH((Tahmin!$C$4+41),0))))&gt;=Kalemler!$D114)),1,0),IF(AND(Kalemler!$D114&gt;=(Tahmin!$C$4+35),Kalemler!$D114&lt;=(Tahmin!$C$4+41)),1,0))))</f>
        <v>0</v>
      </c>
      <c r="H114" s="0" t="n">
        <f aca="false">IF(OR(Kalemler!$A114="",Kalemler!$C114="",Kalemler!$D114=""),0,Kalemler!$C114*IF(Kalemler!$E114="Haftalık",IF(Kalemler!$D114&lt;=(Tahmin!$C$4+48),1,0),IF(Kalemler!$E114="Aylık",IF(OR(AND(DATE(YEAR((Tahmin!$C$4+42)),MONTH((Tahmin!$C$4+42)),MIN(DAY(Kalemler!$D114),DAY(EOMONTH((Tahmin!$C$4+42),0))))&gt;=(Tahmin!$C$4+42),DATE(YEAR((Tahmin!$C$4+42)),MONTH((Tahmin!$C$4+42)),MIN(DAY(Kalemler!$D114),DAY(EOMONTH((Tahmin!$C$4+42),0))))&lt;=(Tahmin!$C$4+48),DATE(YEAR((Tahmin!$C$4+42)),MONTH((Tahmin!$C$4+42)),MIN(DAY(Kalemler!$D114),DAY(EOMONTH((Tahmin!$C$4+42),0))))&gt;=Kalemler!$D114),AND(DATE(YEAR((Tahmin!$C$4+48)),MONTH((Tahmin!$C$4+48)),MIN(DAY(Kalemler!$D114),DAY(EOMONTH((Tahmin!$C$4+48),0))))&gt;=(Tahmin!$C$4+42),DATE(YEAR((Tahmin!$C$4+48)),MONTH((Tahmin!$C$4+48)),MIN(DAY(Kalemler!$D114),DAY(EOMONTH((Tahmin!$C$4+48),0))))&lt;=(Tahmin!$C$4+48),DATE(YEAR((Tahmin!$C$4+48)),MONTH((Tahmin!$C$4+48)),MIN(DAY(Kalemler!$D114),DAY(EOMONTH((Tahmin!$C$4+48),0))))&lt;&gt;DATE(YEAR((Tahmin!$C$4+42)),MONTH((Tahmin!$C$4+42)),MIN(DAY(Kalemler!$D114),DAY(EOMONTH((Tahmin!$C$4+42),0)))),DATE(YEAR((Tahmin!$C$4+48)),MONTH((Tahmin!$C$4+48)),MIN(DAY(Kalemler!$D114),DAY(EOMONTH((Tahmin!$C$4+48),0))))&gt;=Kalemler!$D114)),1,0),IF(AND(Kalemler!$D114&gt;=(Tahmin!$C$4+42),Kalemler!$D114&lt;=(Tahmin!$C$4+48)),1,0))))</f>
        <v>0</v>
      </c>
      <c r="I114" s="0" t="n">
        <f aca="false">IF(OR(Kalemler!$A114="",Kalemler!$C114="",Kalemler!$D114=""),0,Kalemler!$C114*IF(Kalemler!$E114="Haftalık",IF(Kalemler!$D114&lt;=(Tahmin!$C$4+55),1,0),IF(Kalemler!$E114="Aylık",IF(OR(AND(DATE(YEAR((Tahmin!$C$4+49)),MONTH((Tahmin!$C$4+49)),MIN(DAY(Kalemler!$D114),DAY(EOMONTH((Tahmin!$C$4+49),0))))&gt;=(Tahmin!$C$4+49),DATE(YEAR((Tahmin!$C$4+49)),MONTH((Tahmin!$C$4+49)),MIN(DAY(Kalemler!$D114),DAY(EOMONTH((Tahmin!$C$4+49),0))))&lt;=(Tahmin!$C$4+55),DATE(YEAR((Tahmin!$C$4+49)),MONTH((Tahmin!$C$4+49)),MIN(DAY(Kalemler!$D114),DAY(EOMONTH((Tahmin!$C$4+49),0))))&gt;=Kalemler!$D114),AND(DATE(YEAR((Tahmin!$C$4+55)),MONTH((Tahmin!$C$4+55)),MIN(DAY(Kalemler!$D114),DAY(EOMONTH((Tahmin!$C$4+55),0))))&gt;=(Tahmin!$C$4+49),DATE(YEAR((Tahmin!$C$4+55)),MONTH((Tahmin!$C$4+55)),MIN(DAY(Kalemler!$D114),DAY(EOMONTH((Tahmin!$C$4+55),0))))&lt;=(Tahmin!$C$4+55),DATE(YEAR((Tahmin!$C$4+55)),MONTH((Tahmin!$C$4+55)),MIN(DAY(Kalemler!$D114),DAY(EOMONTH((Tahmin!$C$4+55),0))))&lt;&gt;DATE(YEAR((Tahmin!$C$4+49)),MONTH((Tahmin!$C$4+49)),MIN(DAY(Kalemler!$D114),DAY(EOMONTH((Tahmin!$C$4+49),0)))),DATE(YEAR((Tahmin!$C$4+55)),MONTH((Tahmin!$C$4+55)),MIN(DAY(Kalemler!$D114),DAY(EOMONTH((Tahmin!$C$4+55),0))))&gt;=Kalemler!$D114)),1,0),IF(AND(Kalemler!$D114&gt;=(Tahmin!$C$4+49),Kalemler!$D114&lt;=(Tahmin!$C$4+55)),1,0))))</f>
        <v>0</v>
      </c>
      <c r="J114" s="0" t="n">
        <f aca="false">IF(OR(Kalemler!$A114="",Kalemler!$C114="",Kalemler!$D114=""),0,Kalemler!$C114*IF(Kalemler!$E114="Haftalık",IF(Kalemler!$D114&lt;=(Tahmin!$C$4+62),1,0),IF(Kalemler!$E114="Aylık",IF(OR(AND(DATE(YEAR((Tahmin!$C$4+56)),MONTH((Tahmin!$C$4+56)),MIN(DAY(Kalemler!$D114),DAY(EOMONTH((Tahmin!$C$4+56),0))))&gt;=(Tahmin!$C$4+56),DATE(YEAR((Tahmin!$C$4+56)),MONTH((Tahmin!$C$4+56)),MIN(DAY(Kalemler!$D114),DAY(EOMONTH((Tahmin!$C$4+56),0))))&lt;=(Tahmin!$C$4+62),DATE(YEAR((Tahmin!$C$4+56)),MONTH((Tahmin!$C$4+56)),MIN(DAY(Kalemler!$D114),DAY(EOMONTH((Tahmin!$C$4+56),0))))&gt;=Kalemler!$D114),AND(DATE(YEAR((Tahmin!$C$4+62)),MONTH((Tahmin!$C$4+62)),MIN(DAY(Kalemler!$D114),DAY(EOMONTH((Tahmin!$C$4+62),0))))&gt;=(Tahmin!$C$4+56),DATE(YEAR((Tahmin!$C$4+62)),MONTH((Tahmin!$C$4+62)),MIN(DAY(Kalemler!$D114),DAY(EOMONTH((Tahmin!$C$4+62),0))))&lt;=(Tahmin!$C$4+62),DATE(YEAR((Tahmin!$C$4+62)),MONTH((Tahmin!$C$4+62)),MIN(DAY(Kalemler!$D114),DAY(EOMONTH((Tahmin!$C$4+62),0))))&lt;&gt;DATE(YEAR((Tahmin!$C$4+56)),MONTH((Tahmin!$C$4+56)),MIN(DAY(Kalemler!$D114),DAY(EOMONTH((Tahmin!$C$4+56),0)))),DATE(YEAR((Tahmin!$C$4+62)),MONTH((Tahmin!$C$4+62)),MIN(DAY(Kalemler!$D114),DAY(EOMONTH((Tahmin!$C$4+62),0))))&gt;=Kalemler!$D114)),1,0),IF(AND(Kalemler!$D114&gt;=(Tahmin!$C$4+56),Kalemler!$D114&lt;=(Tahmin!$C$4+62)),1,0))))</f>
        <v>0</v>
      </c>
      <c r="K114" s="0" t="n">
        <f aca="false">IF(OR(Kalemler!$A114="",Kalemler!$C114="",Kalemler!$D114=""),0,Kalemler!$C114*IF(Kalemler!$E114="Haftalık",IF(Kalemler!$D114&lt;=(Tahmin!$C$4+69),1,0),IF(Kalemler!$E114="Aylık",IF(OR(AND(DATE(YEAR((Tahmin!$C$4+63)),MONTH((Tahmin!$C$4+63)),MIN(DAY(Kalemler!$D114),DAY(EOMONTH((Tahmin!$C$4+63),0))))&gt;=(Tahmin!$C$4+63),DATE(YEAR((Tahmin!$C$4+63)),MONTH((Tahmin!$C$4+63)),MIN(DAY(Kalemler!$D114),DAY(EOMONTH((Tahmin!$C$4+63),0))))&lt;=(Tahmin!$C$4+69),DATE(YEAR((Tahmin!$C$4+63)),MONTH((Tahmin!$C$4+63)),MIN(DAY(Kalemler!$D114),DAY(EOMONTH((Tahmin!$C$4+63),0))))&gt;=Kalemler!$D114),AND(DATE(YEAR((Tahmin!$C$4+69)),MONTH((Tahmin!$C$4+69)),MIN(DAY(Kalemler!$D114),DAY(EOMONTH((Tahmin!$C$4+69),0))))&gt;=(Tahmin!$C$4+63),DATE(YEAR((Tahmin!$C$4+69)),MONTH((Tahmin!$C$4+69)),MIN(DAY(Kalemler!$D114),DAY(EOMONTH((Tahmin!$C$4+69),0))))&lt;=(Tahmin!$C$4+69),DATE(YEAR((Tahmin!$C$4+69)),MONTH((Tahmin!$C$4+69)),MIN(DAY(Kalemler!$D114),DAY(EOMONTH((Tahmin!$C$4+69),0))))&lt;&gt;DATE(YEAR((Tahmin!$C$4+63)),MONTH((Tahmin!$C$4+63)),MIN(DAY(Kalemler!$D114),DAY(EOMONTH((Tahmin!$C$4+63),0)))),DATE(YEAR((Tahmin!$C$4+69)),MONTH((Tahmin!$C$4+69)),MIN(DAY(Kalemler!$D114),DAY(EOMONTH((Tahmin!$C$4+69),0))))&gt;=Kalemler!$D114)),1,0),IF(AND(Kalemler!$D114&gt;=(Tahmin!$C$4+63),Kalemler!$D114&lt;=(Tahmin!$C$4+69)),1,0))))</f>
        <v>0</v>
      </c>
      <c r="L114" s="0" t="n">
        <f aca="false">IF(OR(Kalemler!$A114="",Kalemler!$C114="",Kalemler!$D114=""),0,Kalemler!$C114*IF(Kalemler!$E114="Haftalık",IF(Kalemler!$D114&lt;=(Tahmin!$C$4+76),1,0),IF(Kalemler!$E114="Aylık",IF(OR(AND(DATE(YEAR((Tahmin!$C$4+70)),MONTH((Tahmin!$C$4+70)),MIN(DAY(Kalemler!$D114),DAY(EOMONTH((Tahmin!$C$4+70),0))))&gt;=(Tahmin!$C$4+70),DATE(YEAR((Tahmin!$C$4+70)),MONTH((Tahmin!$C$4+70)),MIN(DAY(Kalemler!$D114),DAY(EOMONTH((Tahmin!$C$4+70),0))))&lt;=(Tahmin!$C$4+76),DATE(YEAR((Tahmin!$C$4+70)),MONTH((Tahmin!$C$4+70)),MIN(DAY(Kalemler!$D114),DAY(EOMONTH((Tahmin!$C$4+70),0))))&gt;=Kalemler!$D114),AND(DATE(YEAR((Tahmin!$C$4+76)),MONTH((Tahmin!$C$4+76)),MIN(DAY(Kalemler!$D114),DAY(EOMONTH((Tahmin!$C$4+76),0))))&gt;=(Tahmin!$C$4+70),DATE(YEAR((Tahmin!$C$4+76)),MONTH((Tahmin!$C$4+76)),MIN(DAY(Kalemler!$D114),DAY(EOMONTH((Tahmin!$C$4+76),0))))&lt;=(Tahmin!$C$4+76),DATE(YEAR((Tahmin!$C$4+76)),MONTH((Tahmin!$C$4+76)),MIN(DAY(Kalemler!$D114),DAY(EOMONTH((Tahmin!$C$4+76),0))))&lt;&gt;DATE(YEAR((Tahmin!$C$4+70)),MONTH((Tahmin!$C$4+70)),MIN(DAY(Kalemler!$D114),DAY(EOMONTH((Tahmin!$C$4+70),0)))),DATE(YEAR((Tahmin!$C$4+76)),MONTH((Tahmin!$C$4+76)),MIN(DAY(Kalemler!$D114),DAY(EOMONTH((Tahmin!$C$4+76),0))))&gt;=Kalemler!$D114)),1,0),IF(AND(Kalemler!$D114&gt;=(Tahmin!$C$4+70),Kalemler!$D114&lt;=(Tahmin!$C$4+76)),1,0))))</f>
        <v>0</v>
      </c>
      <c r="M114" s="0" t="n">
        <f aca="false">IF(OR(Kalemler!$A114="",Kalemler!$C114="",Kalemler!$D114=""),0,Kalemler!$C114*IF(Kalemler!$E114="Haftalık",IF(Kalemler!$D114&lt;=(Tahmin!$C$4+83),1,0),IF(Kalemler!$E114="Aylık",IF(OR(AND(DATE(YEAR((Tahmin!$C$4+77)),MONTH((Tahmin!$C$4+77)),MIN(DAY(Kalemler!$D114),DAY(EOMONTH((Tahmin!$C$4+77),0))))&gt;=(Tahmin!$C$4+77),DATE(YEAR((Tahmin!$C$4+77)),MONTH((Tahmin!$C$4+77)),MIN(DAY(Kalemler!$D114),DAY(EOMONTH((Tahmin!$C$4+77),0))))&lt;=(Tahmin!$C$4+83),DATE(YEAR((Tahmin!$C$4+77)),MONTH((Tahmin!$C$4+77)),MIN(DAY(Kalemler!$D114),DAY(EOMONTH((Tahmin!$C$4+77),0))))&gt;=Kalemler!$D114),AND(DATE(YEAR((Tahmin!$C$4+83)),MONTH((Tahmin!$C$4+83)),MIN(DAY(Kalemler!$D114),DAY(EOMONTH((Tahmin!$C$4+83),0))))&gt;=(Tahmin!$C$4+77),DATE(YEAR((Tahmin!$C$4+83)),MONTH((Tahmin!$C$4+83)),MIN(DAY(Kalemler!$D114),DAY(EOMONTH((Tahmin!$C$4+83),0))))&lt;=(Tahmin!$C$4+83),DATE(YEAR((Tahmin!$C$4+83)),MONTH((Tahmin!$C$4+83)),MIN(DAY(Kalemler!$D114),DAY(EOMONTH((Tahmin!$C$4+83),0))))&lt;&gt;DATE(YEAR((Tahmin!$C$4+77)),MONTH((Tahmin!$C$4+77)),MIN(DAY(Kalemler!$D114),DAY(EOMONTH((Tahmin!$C$4+77),0)))),DATE(YEAR((Tahmin!$C$4+83)),MONTH((Tahmin!$C$4+83)),MIN(DAY(Kalemler!$D114),DAY(EOMONTH((Tahmin!$C$4+83),0))))&gt;=Kalemler!$D114)),1,0),IF(AND(Kalemler!$D114&gt;=(Tahmin!$C$4+77),Kalemler!$D114&lt;=(Tahmin!$C$4+83)),1,0))))</f>
        <v>0</v>
      </c>
      <c r="N114" s="0" t="n">
        <f aca="false">IF(OR(Kalemler!$A114="",Kalemler!$C114="",Kalemler!$D114=""),0,Kalemler!$C114*IF(Kalemler!$E114="Haftalık",IF(Kalemler!$D114&lt;=(Tahmin!$C$4+90),1,0),IF(Kalemler!$E114="Aylık",IF(OR(AND(DATE(YEAR((Tahmin!$C$4+84)),MONTH((Tahmin!$C$4+84)),MIN(DAY(Kalemler!$D114),DAY(EOMONTH((Tahmin!$C$4+84),0))))&gt;=(Tahmin!$C$4+84),DATE(YEAR((Tahmin!$C$4+84)),MONTH((Tahmin!$C$4+84)),MIN(DAY(Kalemler!$D114),DAY(EOMONTH((Tahmin!$C$4+84),0))))&lt;=(Tahmin!$C$4+90),DATE(YEAR((Tahmin!$C$4+84)),MONTH((Tahmin!$C$4+84)),MIN(DAY(Kalemler!$D114),DAY(EOMONTH((Tahmin!$C$4+84),0))))&gt;=Kalemler!$D114),AND(DATE(YEAR((Tahmin!$C$4+90)),MONTH((Tahmin!$C$4+90)),MIN(DAY(Kalemler!$D114),DAY(EOMONTH((Tahmin!$C$4+90),0))))&gt;=(Tahmin!$C$4+84),DATE(YEAR((Tahmin!$C$4+90)),MONTH((Tahmin!$C$4+90)),MIN(DAY(Kalemler!$D114),DAY(EOMONTH((Tahmin!$C$4+90),0))))&lt;=(Tahmin!$C$4+90),DATE(YEAR((Tahmin!$C$4+90)),MONTH((Tahmin!$C$4+90)),MIN(DAY(Kalemler!$D114),DAY(EOMONTH((Tahmin!$C$4+90),0))))&lt;&gt;DATE(YEAR((Tahmin!$C$4+84)),MONTH((Tahmin!$C$4+84)),MIN(DAY(Kalemler!$D114),DAY(EOMONTH((Tahmin!$C$4+84),0)))),DATE(YEAR((Tahmin!$C$4+90)),MONTH((Tahmin!$C$4+90)),MIN(DAY(Kalemler!$D114),DAY(EOMONTH((Tahmin!$C$4+90),0))))&gt;=Kalemler!$D114)),1,0),IF(AND(Kalemler!$D114&gt;=(Tahmin!$C$4+84),Kalemler!$D114&lt;=(Tahmin!$C$4+90)),1,0))))</f>
        <v>0</v>
      </c>
    </row>
    <row r="115" customFormat="false" ht="15" hidden="false" customHeight="false" outlineLevel="0" collapsed="false">
      <c r="A115" s="0" t="str">
        <f aca="false">IF(Kalemler!A115="","",Kalemler!A115)</f>
        <v/>
      </c>
      <c r="B115" s="0" t="n">
        <f aca="false">IF(OR(Kalemler!$A115="",Kalemler!$C115="",Kalemler!$D115=""),0,Kalemler!$C115*IF(Kalemler!$E115="Haftalık",IF(Kalemler!$D115&lt;=(Tahmin!$C$4+6),1,0),IF(Kalemler!$E115="Aylık",IF(OR(AND(DATE(YEAR((Tahmin!$C$4+0)),MONTH((Tahmin!$C$4+0)),MIN(DAY(Kalemler!$D115),DAY(EOMONTH((Tahmin!$C$4+0),0))))&gt;=(Tahmin!$C$4+0),DATE(YEAR((Tahmin!$C$4+0)),MONTH((Tahmin!$C$4+0)),MIN(DAY(Kalemler!$D115),DAY(EOMONTH((Tahmin!$C$4+0),0))))&lt;=(Tahmin!$C$4+6),DATE(YEAR((Tahmin!$C$4+0)),MONTH((Tahmin!$C$4+0)),MIN(DAY(Kalemler!$D115),DAY(EOMONTH((Tahmin!$C$4+0),0))))&gt;=Kalemler!$D115),AND(DATE(YEAR((Tahmin!$C$4+6)),MONTH((Tahmin!$C$4+6)),MIN(DAY(Kalemler!$D115),DAY(EOMONTH((Tahmin!$C$4+6),0))))&gt;=(Tahmin!$C$4+0),DATE(YEAR((Tahmin!$C$4+6)),MONTH((Tahmin!$C$4+6)),MIN(DAY(Kalemler!$D115),DAY(EOMONTH((Tahmin!$C$4+6),0))))&lt;=(Tahmin!$C$4+6),DATE(YEAR((Tahmin!$C$4+6)),MONTH((Tahmin!$C$4+6)),MIN(DAY(Kalemler!$D115),DAY(EOMONTH((Tahmin!$C$4+6),0))))&lt;&gt;DATE(YEAR((Tahmin!$C$4+0)),MONTH((Tahmin!$C$4+0)),MIN(DAY(Kalemler!$D115),DAY(EOMONTH((Tahmin!$C$4+0),0)))),DATE(YEAR((Tahmin!$C$4+6)),MONTH((Tahmin!$C$4+6)),MIN(DAY(Kalemler!$D115),DAY(EOMONTH((Tahmin!$C$4+6),0))))&gt;=Kalemler!$D115)),1,0),IF(AND(Kalemler!$D115&gt;=(Tahmin!$C$4+0),Kalemler!$D115&lt;=(Tahmin!$C$4+6)),1,0))))</f>
        <v>0</v>
      </c>
      <c r="C115" s="0" t="n">
        <f aca="false">IF(OR(Kalemler!$A115="",Kalemler!$C115="",Kalemler!$D115=""),0,Kalemler!$C115*IF(Kalemler!$E115="Haftalık",IF(Kalemler!$D115&lt;=(Tahmin!$C$4+13),1,0),IF(Kalemler!$E115="Aylık",IF(OR(AND(DATE(YEAR((Tahmin!$C$4+7)),MONTH((Tahmin!$C$4+7)),MIN(DAY(Kalemler!$D115),DAY(EOMONTH((Tahmin!$C$4+7),0))))&gt;=(Tahmin!$C$4+7),DATE(YEAR((Tahmin!$C$4+7)),MONTH((Tahmin!$C$4+7)),MIN(DAY(Kalemler!$D115),DAY(EOMONTH((Tahmin!$C$4+7),0))))&lt;=(Tahmin!$C$4+13),DATE(YEAR((Tahmin!$C$4+7)),MONTH((Tahmin!$C$4+7)),MIN(DAY(Kalemler!$D115),DAY(EOMONTH((Tahmin!$C$4+7),0))))&gt;=Kalemler!$D115),AND(DATE(YEAR((Tahmin!$C$4+13)),MONTH((Tahmin!$C$4+13)),MIN(DAY(Kalemler!$D115),DAY(EOMONTH((Tahmin!$C$4+13),0))))&gt;=(Tahmin!$C$4+7),DATE(YEAR((Tahmin!$C$4+13)),MONTH((Tahmin!$C$4+13)),MIN(DAY(Kalemler!$D115),DAY(EOMONTH((Tahmin!$C$4+13),0))))&lt;=(Tahmin!$C$4+13),DATE(YEAR((Tahmin!$C$4+13)),MONTH((Tahmin!$C$4+13)),MIN(DAY(Kalemler!$D115),DAY(EOMONTH((Tahmin!$C$4+13),0))))&lt;&gt;DATE(YEAR((Tahmin!$C$4+7)),MONTH((Tahmin!$C$4+7)),MIN(DAY(Kalemler!$D115),DAY(EOMONTH((Tahmin!$C$4+7),0)))),DATE(YEAR((Tahmin!$C$4+13)),MONTH((Tahmin!$C$4+13)),MIN(DAY(Kalemler!$D115),DAY(EOMONTH((Tahmin!$C$4+13),0))))&gt;=Kalemler!$D115)),1,0),IF(AND(Kalemler!$D115&gt;=(Tahmin!$C$4+7),Kalemler!$D115&lt;=(Tahmin!$C$4+13)),1,0))))</f>
        <v>0</v>
      </c>
      <c r="D115" s="0" t="n">
        <f aca="false">IF(OR(Kalemler!$A115="",Kalemler!$C115="",Kalemler!$D115=""),0,Kalemler!$C115*IF(Kalemler!$E115="Haftalık",IF(Kalemler!$D115&lt;=(Tahmin!$C$4+20),1,0),IF(Kalemler!$E115="Aylık",IF(OR(AND(DATE(YEAR((Tahmin!$C$4+14)),MONTH((Tahmin!$C$4+14)),MIN(DAY(Kalemler!$D115),DAY(EOMONTH((Tahmin!$C$4+14),0))))&gt;=(Tahmin!$C$4+14),DATE(YEAR((Tahmin!$C$4+14)),MONTH((Tahmin!$C$4+14)),MIN(DAY(Kalemler!$D115),DAY(EOMONTH((Tahmin!$C$4+14),0))))&lt;=(Tahmin!$C$4+20),DATE(YEAR((Tahmin!$C$4+14)),MONTH((Tahmin!$C$4+14)),MIN(DAY(Kalemler!$D115),DAY(EOMONTH((Tahmin!$C$4+14),0))))&gt;=Kalemler!$D115),AND(DATE(YEAR((Tahmin!$C$4+20)),MONTH((Tahmin!$C$4+20)),MIN(DAY(Kalemler!$D115),DAY(EOMONTH((Tahmin!$C$4+20),0))))&gt;=(Tahmin!$C$4+14),DATE(YEAR((Tahmin!$C$4+20)),MONTH((Tahmin!$C$4+20)),MIN(DAY(Kalemler!$D115),DAY(EOMONTH((Tahmin!$C$4+20),0))))&lt;=(Tahmin!$C$4+20),DATE(YEAR((Tahmin!$C$4+20)),MONTH((Tahmin!$C$4+20)),MIN(DAY(Kalemler!$D115),DAY(EOMONTH((Tahmin!$C$4+20),0))))&lt;&gt;DATE(YEAR((Tahmin!$C$4+14)),MONTH((Tahmin!$C$4+14)),MIN(DAY(Kalemler!$D115),DAY(EOMONTH((Tahmin!$C$4+14),0)))),DATE(YEAR((Tahmin!$C$4+20)),MONTH((Tahmin!$C$4+20)),MIN(DAY(Kalemler!$D115),DAY(EOMONTH((Tahmin!$C$4+20),0))))&gt;=Kalemler!$D115)),1,0),IF(AND(Kalemler!$D115&gt;=(Tahmin!$C$4+14),Kalemler!$D115&lt;=(Tahmin!$C$4+20)),1,0))))</f>
        <v>0</v>
      </c>
      <c r="E115" s="0" t="n">
        <f aca="false">IF(OR(Kalemler!$A115="",Kalemler!$C115="",Kalemler!$D115=""),0,Kalemler!$C115*IF(Kalemler!$E115="Haftalık",IF(Kalemler!$D115&lt;=(Tahmin!$C$4+27),1,0),IF(Kalemler!$E115="Aylık",IF(OR(AND(DATE(YEAR((Tahmin!$C$4+21)),MONTH((Tahmin!$C$4+21)),MIN(DAY(Kalemler!$D115),DAY(EOMONTH((Tahmin!$C$4+21),0))))&gt;=(Tahmin!$C$4+21),DATE(YEAR((Tahmin!$C$4+21)),MONTH((Tahmin!$C$4+21)),MIN(DAY(Kalemler!$D115),DAY(EOMONTH((Tahmin!$C$4+21),0))))&lt;=(Tahmin!$C$4+27),DATE(YEAR((Tahmin!$C$4+21)),MONTH((Tahmin!$C$4+21)),MIN(DAY(Kalemler!$D115),DAY(EOMONTH((Tahmin!$C$4+21),0))))&gt;=Kalemler!$D115),AND(DATE(YEAR((Tahmin!$C$4+27)),MONTH((Tahmin!$C$4+27)),MIN(DAY(Kalemler!$D115),DAY(EOMONTH((Tahmin!$C$4+27),0))))&gt;=(Tahmin!$C$4+21),DATE(YEAR((Tahmin!$C$4+27)),MONTH((Tahmin!$C$4+27)),MIN(DAY(Kalemler!$D115),DAY(EOMONTH((Tahmin!$C$4+27),0))))&lt;=(Tahmin!$C$4+27),DATE(YEAR((Tahmin!$C$4+27)),MONTH((Tahmin!$C$4+27)),MIN(DAY(Kalemler!$D115),DAY(EOMONTH((Tahmin!$C$4+27),0))))&lt;&gt;DATE(YEAR((Tahmin!$C$4+21)),MONTH((Tahmin!$C$4+21)),MIN(DAY(Kalemler!$D115),DAY(EOMONTH((Tahmin!$C$4+21),0)))),DATE(YEAR((Tahmin!$C$4+27)),MONTH((Tahmin!$C$4+27)),MIN(DAY(Kalemler!$D115),DAY(EOMONTH((Tahmin!$C$4+27),0))))&gt;=Kalemler!$D115)),1,0),IF(AND(Kalemler!$D115&gt;=(Tahmin!$C$4+21),Kalemler!$D115&lt;=(Tahmin!$C$4+27)),1,0))))</f>
        <v>0</v>
      </c>
      <c r="F115" s="0" t="n">
        <f aca="false">IF(OR(Kalemler!$A115="",Kalemler!$C115="",Kalemler!$D115=""),0,Kalemler!$C115*IF(Kalemler!$E115="Haftalık",IF(Kalemler!$D115&lt;=(Tahmin!$C$4+34),1,0),IF(Kalemler!$E115="Aylık",IF(OR(AND(DATE(YEAR((Tahmin!$C$4+28)),MONTH((Tahmin!$C$4+28)),MIN(DAY(Kalemler!$D115),DAY(EOMONTH((Tahmin!$C$4+28),0))))&gt;=(Tahmin!$C$4+28),DATE(YEAR((Tahmin!$C$4+28)),MONTH((Tahmin!$C$4+28)),MIN(DAY(Kalemler!$D115),DAY(EOMONTH((Tahmin!$C$4+28),0))))&lt;=(Tahmin!$C$4+34),DATE(YEAR((Tahmin!$C$4+28)),MONTH((Tahmin!$C$4+28)),MIN(DAY(Kalemler!$D115),DAY(EOMONTH((Tahmin!$C$4+28),0))))&gt;=Kalemler!$D115),AND(DATE(YEAR((Tahmin!$C$4+34)),MONTH((Tahmin!$C$4+34)),MIN(DAY(Kalemler!$D115),DAY(EOMONTH((Tahmin!$C$4+34),0))))&gt;=(Tahmin!$C$4+28),DATE(YEAR((Tahmin!$C$4+34)),MONTH((Tahmin!$C$4+34)),MIN(DAY(Kalemler!$D115),DAY(EOMONTH((Tahmin!$C$4+34),0))))&lt;=(Tahmin!$C$4+34),DATE(YEAR((Tahmin!$C$4+34)),MONTH((Tahmin!$C$4+34)),MIN(DAY(Kalemler!$D115),DAY(EOMONTH((Tahmin!$C$4+34),0))))&lt;&gt;DATE(YEAR((Tahmin!$C$4+28)),MONTH((Tahmin!$C$4+28)),MIN(DAY(Kalemler!$D115),DAY(EOMONTH((Tahmin!$C$4+28),0)))),DATE(YEAR((Tahmin!$C$4+34)),MONTH((Tahmin!$C$4+34)),MIN(DAY(Kalemler!$D115),DAY(EOMONTH((Tahmin!$C$4+34),0))))&gt;=Kalemler!$D115)),1,0),IF(AND(Kalemler!$D115&gt;=(Tahmin!$C$4+28),Kalemler!$D115&lt;=(Tahmin!$C$4+34)),1,0))))</f>
        <v>0</v>
      </c>
      <c r="G115" s="0" t="n">
        <f aca="false">IF(OR(Kalemler!$A115="",Kalemler!$C115="",Kalemler!$D115=""),0,Kalemler!$C115*IF(Kalemler!$E115="Haftalık",IF(Kalemler!$D115&lt;=(Tahmin!$C$4+41),1,0),IF(Kalemler!$E115="Aylık",IF(OR(AND(DATE(YEAR((Tahmin!$C$4+35)),MONTH((Tahmin!$C$4+35)),MIN(DAY(Kalemler!$D115),DAY(EOMONTH((Tahmin!$C$4+35),0))))&gt;=(Tahmin!$C$4+35),DATE(YEAR((Tahmin!$C$4+35)),MONTH((Tahmin!$C$4+35)),MIN(DAY(Kalemler!$D115),DAY(EOMONTH((Tahmin!$C$4+35),0))))&lt;=(Tahmin!$C$4+41),DATE(YEAR((Tahmin!$C$4+35)),MONTH((Tahmin!$C$4+35)),MIN(DAY(Kalemler!$D115),DAY(EOMONTH((Tahmin!$C$4+35),0))))&gt;=Kalemler!$D115),AND(DATE(YEAR((Tahmin!$C$4+41)),MONTH((Tahmin!$C$4+41)),MIN(DAY(Kalemler!$D115),DAY(EOMONTH((Tahmin!$C$4+41),0))))&gt;=(Tahmin!$C$4+35),DATE(YEAR((Tahmin!$C$4+41)),MONTH((Tahmin!$C$4+41)),MIN(DAY(Kalemler!$D115),DAY(EOMONTH((Tahmin!$C$4+41),0))))&lt;=(Tahmin!$C$4+41),DATE(YEAR((Tahmin!$C$4+41)),MONTH((Tahmin!$C$4+41)),MIN(DAY(Kalemler!$D115),DAY(EOMONTH((Tahmin!$C$4+41),0))))&lt;&gt;DATE(YEAR((Tahmin!$C$4+35)),MONTH((Tahmin!$C$4+35)),MIN(DAY(Kalemler!$D115),DAY(EOMONTH((Tahmin!$C$4+35),0)))),DATE(YEAR((Tahmin!$C$4+41)),MONTH((Tahmin!$C$4+41)),MIN(DAY(Kalemler!$D115),DAY(EOMONTH((Tahmin!$C$4+41),0))))&gt;=Kalemler!$D115)),1,0),IF(AND(Kalemler!$D115&gt;=(Tahmin!$C$4+35),Kalemler!$D115&lt;=(Tahmin!$C$4+41)),1,0))))</f>
        <v>0</v>
      </c>
      <c r="H115" s="0" t="n">
        <f aca="false">IF(OR(Kalemler!$A115="",Kalemler!$C115="",Kalemler!$D115=""),0,Kalemler!$C115*IF(Kalemler!$E115="Haftalık",IF(Kalemler!$D115&lt;=(Tahmin!$C$4+48),1,0),IF(Kalemler!$E115="Aylık",IF(OR(AND(DATE(YEAR((Tahmin!$C$4+42)),MONTH((Tahmin!$C$4+42)),MIN(DAY(Kalemler!$D115),DAY(EOMONTH((Tahmin!$C$4+42),0))))&gt;=(Tahmin!$C$4+42),DATE(YEAR((Tahmin!$C$4+42)),MONTH((Tahmin!$C$4+42)),MIN(DAY(Kalemler!$D115),DAY(EOMONTH((Tahmin!$C$4+42),0))))&lt;=(Tahmin!$C$4+48),DATE(YEAR((Tahmin!$C$4+42)),MONTH((Tahmin!$C$4+42)),MIN(DAY(Kalemler!$D115),DAY(EOMONTH((Tahmin!$C$4+42),0))))&gt;=Kalemler!$D115),AND(DATE(YEAR((Tahmin!$C$4+48)),MONTH((Tahmin!$C$4+48)),MIN(DAY(Kalemler!$D115),DAY(EOMONTH((Tahmin!$C$4+48),0))))&gt;=(Tahmin!$C$4+42),DATE(YEAR((Tahmin!$C$4+48)),MONTH((Tahmin!$C$4+48)),MIN(DAY(Kalemler!$D115),DAY(EOMONTH((Tahmin!$C$4+48),0))))&lt;=(Tahmin!$C$4+48),DATE(YEAR((Tahmin!$C$4+48)),MONTH((Tahmin!$C$4+48)),MIN(DAY(Kalemler!$D115),DAY(EOMONTH((Tahmin!$C$4+48),0))))&lt;&gt;DATE(YEAR((Tahmin!$C$4+42)),MONTH((Tahmin!$C$4+42)),MIN(DAY(Kalemler!$D115),DAY(EOMONTH((Tahmin!$C$4+42),0)))),DATE(YEAR((Tahmin!$C$4+48)),MONTH((Tahmin!$C$4+48)),MIN(DAY(Kalemler!$D115),DAY(EOMONTH((Tahmin!$C$4+48),0))))&gt;=Kalemler!$D115)),1,0),IF(AND(Kalemler!$D115&gt;=(Tahmin!$C$4+42),Kalemler!$D115&lt;=(Tahmin!$C$4+48)),1,0))))</f>
        <v>0</v>
      </c>
      <c r="I115" s="0" t="n">
        <f aca="false">IF(OR(Kalemler!$A115="",Kalemler!$C115="",Kalemler!$D115=""),0,Kalemler!$C115*IF(Kalemler!$E115="Haftalık",IF(Kalemler!$D115&lt;=(Tahmin!$C$4+55),1,0),IF(Kalemler!$E115="Aylık",IF(OR(AND(DATE(YEAR((Tahmin!$C$4+49)),MONTH((Tahmin!$C$4+49)),MIN(DAY(Kalemler!$D115),DAY(EOMONTH((Tahmin!$C$4+49),0))))&gt;=(Tahmin!$C$4+49),DATE(YEAR((Tahmin!$C$4+49)),MONTH((Tahmin!$C$4+49)),MIN(DAY(Kalemler!$D115),DAY(EOMONTH((Tahmin!$C$4+49),0))))&lt;=(Tahmin!$C$4+55),DATE(YEAR((Tahmin!$C$4+49)),MONTH((Tahmin!$C$4+49)),MIN(DAY(Kalemler!$D115),DAY(EOMONTH((Tahmin!$C$4+49),0))))&gt;=Kalemler!$D115),AND(DATE(YEAR((Tahmin!$C$4+55)),MONTH((Tahmin!$C$4+55)),MIN(DAY(Kalemler!$D115),DAY(EOMONTH((Tahmin!$C$4+55),0))))&gt;=(Tahmin!$C$4+49),DATE(YEAR((Tahmin!$C$4+55)),MONTH((Tahmin!$C$4+55)),MIN(DAY(Kalemler!$D115),DAY(EOMONTH((Tahmin!$C$4+55),0))))&lt;=(Tahmin!$C$4+55),DATE(YEAR((Tahmin!$C$4+55)),MONTH((Tahmin!$C$4+55)),MIN(DAY(Kalemler!$D115),DAY(EOMONTH((Tahmin!$C$4+55),0))))&lt;&gt;DATE(YEAR((Tahmin!$C$4+49)),MONTH((Tahmin!$C$4+49)),MIN(DAY(Kalemler!$D115),DAY(EOMONTH((Tahmin!$C$4+49),0)))),DATE(YEAR((Tahmin!$C$4+55)),MONTH((Tahmin!$C$4+55)),MIN(DAY(Kalemler!$D115),DAY(EOMONTH((Tahmin!$C$4+55),0))))&gt;=Kalemler!$D115)),1,0),IF(AND(Kalemler!$D115&gt;=(Tahmin!$C$4+49),Kalemler!$D115&lt;=(Tahmin!$C$4+55)),1,0))))</f>
        <v>0</v>
      </c>
      <c r="J115" s="0" t="n">
        <f aca="false">IF(OR(Kalemler!$A115="",Kalemler!$C115="",Kalemler!$D115=""),0,Kalemler!$C115*IF(Kalemler!$E115="Haftalık",IF(Kalemler!$D115&lt;=(Tahmin!$C$4+62),1,0),IF(Kalemler!$E115="Aylık",IF(OR(AND(DATE(YEAR((Tahmin!$C$4+56)),MONTH((Tahmin!$C$4+56)),MIN(DAY(Kalemler!$D115),DAY(EOMONTH((Tahmin!$C$4+56),0))))&gt;=(Tahmin!$C$4+56),DATE(YEAR((Tahmin!$C$4+56)),MONTH((Tahmin!$C$4+56)),MIN(DAY(Kalemler!$D115),DAY(EOMONTH((Tahmin!$C$4+56),0))))&lt;=(Tahmin!$C$4+62),DATE(YEAR((Tahmin!$C$4+56)),MONTH((Tahmin!$C$4+56)),MIN(DAY(Kalemler!$D115),DAY(EOMONTH((Tahmin!$C$4+56),0))))&gt;=Kalemler!$D115),AND(DATE(YEAR((Tahmin!$C$4+62)),MONTH((Tahmin!$C$4+62)),MIN(DAY(Kalemler!$D115),DAY(EOMONTH((Tahmin!$C$4+62),0))))&gt;=(Tahmin!$C$4+56),DATE(YEAR((Tahmin!$C$4+62)),MONTH((Tahmin!$C$4+62)),MIN(DAY(Kalemler!$D115),DAY(EOMONTH((Tahmin!$C$4+62),0))))&lt;=(Tahmin!$C$4+62),DATE(YEAR((Tahmin!$C$4+62)),MONTH((Tahmin!$C$4+62)),MIN(DAY(Kalemler!$D115),DAY(EOMONTH((Tahmin!$C$4+62),0))))&lt;&gt;DATE(YEAR((Tahmin!$C$4+56)),MONTH((Tahmin!$C$4+56)),MIN(DAY(Kalemler!$D115),DAY(EOMONTH((Tahmin!$C$4+56),0)))),DATE(YEAR((Tahmin!$C$4+62)),MONTH((Tahmin!$C$4+62)),MIN(DAY(Kalemler!$D115),DAY(EOMONTH((Tahmin!$C$4+62),0))))&gt;=Kalemler!$D115)),1,0),IF(AND(Kalemler!$D115&gt;=(Tahmin!$C$4+56),Kalemler!$D115&lt;=(Tahmin!$C$4+62)),1,0))))</f>
        <v>0</v>
      </c>
      <c r="K115" s="0" t="n">
        <f aca="false">IF(OR(Kalemler!$A115="",Kalemler!$C115="",Kalemler!$D115=""),0,Kalemler!$C115*IF(Kalemler!$E115="Haftalık",IF(Kalemler!$D115&lt;=(Tahmin!$C$4+69),1,0),IF(Kalemler!$E115="Aylık",IF(OR(AND(DATE(YEAR((Tahmin!$C$4+63)),MONTH((Tahmin!$C$4+63)),MIN(DAY(Kalemler!$D115),DAY(EOMONTH((Tahmin!$C$4+63),0))))&gt;=(Tahmin!$C$4+63),DATE(YEAR((Tahmin!$C$4+63)),MONTH((Tahmin!$C$4+63)),MIN(DAY(Kalemler!$D115),DAY(EOMONTH((Tahmin!$C$4+63),0))))&lt;=(Tahmin!$C$4+69),DATE(YEAR((Tahmin!$C$4+63)),MONTH((Tahmin!$C$4+63)),MIN(DAY(Kalemler!$D115),DAY(EOMONTH((Tahmin!$C$4+63),0))))&gt;=Kalemler!$D115),AND(DATE(YEAR((Tahmin!$C$4+69)),MONTH((Tahmin!$C$4+69)),MIN(DAY(Kalemler!$D115),DAY(EOMONTH((Tahmin!$C$4+69),0))))&gt;=(Tahmin!$C$4+63),DATE(YEAR((Tahmin!$C$4+69)),MONTH((Tahmin!$C$4+69)),MIN(DAY(Kalemler!$D115),DAY(EOMONTH((Tahmin!$C$4+69),0))))&lt;=(Tahmin!$C$4+69),DATE(YEAR((Tahmin!$C$4+69)),MONTH((Tahmin!$C$4+69)),MIN(DAY(Kalemler!$D115),DAY(EOMONTH((Tahmin!$C$4+69),0))))&lt;&gt;DATE(YEAR((Tahmin!$C$4+63)),MONTH((Tahmin!$C$4+63)),MIN(DAY(Kalemler!$D115),DAY(EOMONTH((Tahmin!$C$4+63),0)))),DATE(YEAR((Tahmin!$C$4+69)),MONTH((Tahmin!$C$4+69)),MIN(DAY(Kalemler!$D115),DAY(EOMONTH((Tahmin!$C$4+69),0))))&gt;=Kalemler!$D115)),1,0),IF(AND(Kalemler!$D115&gt;=(Tahmin!$C$4+63),Kalemler!$D115&lt;=(Tahmin!$C$4+69)),1,0))))</f>
        <v>0</v>
      </c>
      <c r="L115" s="0" t="n">
        <f aca="false">IF(OR(Kalemler!$A115="",Kalemler!$C115="",Kalemler!$D115=""),0,Kalemler!$C115*IF(Kalemler!$E115="Haftalık",IF(Kalemler!$D115&lt;=(Tahmin!$C$4+76),1,0),IF(Kalemler!$E115="Aylık",IF(OR(AND(DATE(YEAR((Tahmin!$C$4+70)),MONTH((Tahmin!$C$4+70)),MIN(DAY(Kalemler!$D115),DAY(EOMONTH((Tahmin!$C$4+70),0))))&gt;=(Tahmin!$C$4+70),DATE(YEAR((Tahmin!$C$4+70)),MONTH((Tahmin!$C$4+70)),MIN(DAY(Kalemler!$D115),DAY(EOMONTH((Tahmin!$C$4+70),0))))&lt;=(Tahmin!$C$4+76),DATE(YEAR((Tahmin!$C$4+70)),MONTH((Tahmin!$C$4+70)),MIN(DAY(Kalemler!$D115),DAY(EOMONTH((Tahmin!$C$4+70),0))))&gt;=Kalemler!$D115),AND(DATE(YEAR((Tahmin!$C$4+76)),MONTH((Tahmin!$C$4+76)),MIN(DAY(Kalemler!$D115),DAY(EOMONTH((Tahmin!$C$4+76),0))))&gt;=(Tahmin!$C$4+70),DATE(YEAR((Tahmin!$C$4+76)),MONTH((Tahmin!$C$4+76)),MIN(DAY(Kalemler!$D115),DAY(EOMONTH((Tahmin!$C$4+76),0))))&lt;=(Tahmin!$C$4+76),DATE(YEAR((Tahmin!$C$4+76)),MONTH((Tahmin!$C$4+76)),MIN(DAY(Kalemler!$D115),DAY(EOMONTH((Tahmin!$C$4+76),0))))&lt;&gt;DATE(YEAR((Tahmin!$C$4+70)),MONTH((Tahmin!$C$4+70)),MIN(DAY(Kalemler!$D115),DAY(EOMONTH((Tahmin!$C$4+70),0)))),DATE(YEAR((Tahmin!$C$4+76)),MONTH((Tahmin!$C$4+76)),MIN(DAY(Kalemler!$D115),DAY(EOMONTH((Tahmin!$C$4+76),0))))&gt;=Kalemler!$D115)),1,0),IF(AND(Kalemler!$D115&gt;=(Tahmin!$C$4+70),Kalemler!$D115&lt;=(Tahmin!$C$4+76)),1,0))))</f>
        <v>0</v>
      </c>
      <c r="M115" s="0" t="n">
        <f aca="false">IF(OR(Kalemler!$A115="",Kalemler!$C115="",Kalemler!$D115=""),0,Kalemler!$C115*IF(Kalemler!$E115="Haftalık",IF(Kalemler!$D115&lt;=(Tahmin!$C$4+83),1,0),IF(Kalemler!$E115="Aylık",IF(OR(AND(DATE(YEAR((Tahmin!$C$4+77)),MONTH((Tahmin!$C$4+77)),MIN(DAY(Kalemler!$D115),DAY(EOMONTH((Tahmin!$C$4+77),0))))&gt;=(Tahmin!$C$4+77),DATE(YEAR((Tahmin!$C$4+77)),MONTH((Tahmin!$C$4+77)),MIN(DAY(Kalemler!$D115),DAY(EOMONTH((Tahmin!$C$4+77),0))))&lt;=(Tahmin!$C$4+83),DATE(YEAR((Tahmin!$C$4+77)),MONTH((Tahmin!$C$4+77)),MIN(DAY(Kalemler!$D115),DAY(EOMONTH((Tahmin!$C$4+77),0))))&gt;=Kalemler!$D115),AND(DATE(YEAR((Tahmin!$C$4+83)),MONTH((Tahmin!$C$4+83)),MIN(DAY(Kalemler!$D115),DAY(EOMONTH((Tahmin!$C$4+83),0))))&gt;=(Tahmin!$C$4+77),DATE(YEAR((Tahmin!$C$4+83)),MONTH((Tahmin!$C$4+83)),MIN(DAY(Kalemler!$D115),DAY(EOMONTH((Tahmin!$C$4+83),0))))&lt;=(Tahmin!$C$4+83),DATE(YEAR((Tahmin!$C$4+83)),MONTH((Tahmin!$C$4+83)),MIN(DAY(Kalemler!$D115),DAY(EOMONTH((Tahmin!$C$4+83),0))))&lt;&gt;DATE(YEAR((Tahmin!$C$4+77)),MONTH((Tahmin!$C$4+77)),MIN(DAY(Kalemler!$D115),DAY(EOMONTH((Tahmin!$C$4+77),0)))),DATE(YEAR((Tahmin!$C$4+83)),MONTH((Tahmin!$C$4+83)),MIN(DAY(Kalemler!$D115),DAY(EOMONTH((Tahmin!$C$4+83),0))))&gt;=Kalemler!$D115)),1,0),IF(AND(Kalemler!$D115&gt;=(Tahmin!$C$4+77),Kalemler!$D115&lt;=(Tahmin!$C$4+83)),1,0))))</f>
        <v>0</v>
      </c>
      <c r="N115" s="0" t="n">
        <f aca="false">IF(OR(Kalemler!$A115="",Kalemler!$C115="",Kalemler!$D115=""),0,Kalemler!$C115*IF(Kalemler!$E115="Haftalık",IF(Kalemler!$D115&lt;=(Tahmin!$C$4+90),1,0),IF(Kalemler!$E115="Aylık",IF(OR(AND(DATE(YEAR((Tahmin!$C$4+84)),MONTH((Tahmin!$C$4+84)),MIN(DAY(Kalemler!$D115),DAY(EOMONTH((Tahmin!$C$4+84),0))))&gt;=(Tahmin!$C$4+84),DATE(YEAR((Tahmin!$C$4+84)),MONTH((Tahmin!$C$4+84)),MIN(DAY(Kalemler!$D115),DAY(EOMONTH((Tahmin!$C$4+84),0))))&lt;=(Tahmin!$C$4+90),DATE(YEAR((Tahmin!$C$4+84)),MONTH((Tahmin!$C$4+84)),MIN(DAY(Kalemler!$D115),DAY(EOMONTH((Tahmin!$C$4+84),0))))&gt;=Kalemler!$D115),AND(DATE(YEAR((Tahmin!$C$4+90)),MONTH((Tahmin!$C$4+90)),MIN(DAY(Kalemler!$D115),DAY(EOMONTH((Tahmin!$C$4+90),0))))&gt;=(Tahmin!$C$4+84),DATE(YEAR((Tahmin!$C$4+90)),MONTH((Tahmin!$C$4+90)),MIN(DAY(Kalemler!$D115),DAY(EOMONTH((Tahmin!$C$4+90),0))))&lt;=(Tahmin!$C$4+90),DATE(YEAR((Tahmin!$C$4+90)),MONTH((Tahmin!$C$4+90)),MIN(DAY(Kalemler!$D115),DAY(EOMONTH((Tahmin!$C$4+90),0))))&lt;&gt;DATE(YEAR((Tahmin!$C$4+84)),MONTH((Tahmin!$C$4+84)),MIN(DAY(Kalemler!$D115),DAY(EOMONTH((Tahmin!$C$4+84),0)))),DATE(YEAR((Tahmin!$C$4+90)),MONTH((Tahmin!$C$4+90)),MIN(DAY(Kalemler!$D115),DAY(EOMONTH((Tahmin!$C$4+90),0))))&gt;=Kalemler!$D115)),1,0),IF(AND(Kalemler!$D115&gt;=(Tahmin!$C$4+84),Kalemler!$D115&lt;=(Tahmin!$C$4+90)),1,0))))</f>
        <v>0</v>
      </c>
    </row>
    <row r="116" customFormat="false" ht="15" hidden="false" customHeight="false" outlineLevel="0" collapsed="false">
      <c r="A116" s="0" t="str">
        <f aca="false">IF(Kalemler!A116="","",Kalemler!A116)</f>
        <v/>
      </c>
      <c r="B116" s="0" t="n">
        <f aca="false">IF(OR(Kalemler!$A116="",Kalemler!$C116="",Kalemler!$D116=""),0,Kalemler!$C116*IF(Kalemler!$E116="Haftalık",IF(Kalemler!$D116&lt;=(Tahmin!$C$4+6),1,0),IF(Kalemler!$E116="Aylık",IF(OR(AND(DATE(YEAR((Tahmin!$C$4+0)),MONTH((Tahmin!$C$4+0)),MIN(DAY(Kalemler!$D116),DAY(EOMONTH((Tahmin!$C$4+0),0))))&gt;=(Tahmin!$C$4+0),DATE(YEAR((Tahmin!$C$4+0)),MONTH((Tahmin!$C$4+0)),MIN(DAY(Kalemler!$D116),DAY(EOMONTH((Tahmin!$C$4+0),0))))&lt;=(Tahmin!$C$4+6),DATE(YEAR((Tahmin!$C$4+0)),MONTH((Tahmin!$C$4+0)),MIN(DAY(Kalemler!$D116),DAY(EOMONTH((Tahmin!$C$4+0),0))))&gt;=Kalemler!$D116),AND(DATE(YEAR((Tahmin!$C$4+6)),MONTH((Tahmin!$C$4+6)),MIN(DAY(Kalemler!$D116),DAY(EOMONTH((Tahmin!$C$4+6),0))))&gt;=(Tahmin!$C$4+0),DATE(YEAR((Tahmin!$C$4+6)),MONTH((Tahmin!$C$4+6)),MIN(DAY(Kalemler!$D116),DAY(EOMONTH((Tahmin!$C$4+6),0))))&lt;=(Tahmin!$C$4+6),DATE(YEAR((Tahmin!$C$4+6)),MONTH((Tahmin!$C$4+6)),MIN(DAY(Kalemler!$D116),DAY(EOMONTH((Tahmin!$C$4+6),0))))&lt;&gt;DATE(YEAR((Tahmin!$C$4+0)),MONTH((Tahmin!$C$4+0)),MIN(DAY(Kalemler!$D116),DAY(EOMONTH((Tahmin!$C$4+0),0)))),DATE(YEAR((Tahmin!$C$4+6)),MONTH((Tahmin!$C$4+6)),MIN(DAY(Kalemler!$D116),DAY(EOMONTH((Tahmin!$C$4+6),0))))&gt;=Kalemler!$D116)),1,0),IF(AND(Kalemler!$D116&gt;=(Tahmin!$C$4+0),Kalemler!$D116&lt;=(Tahmin!$C$4+6)),1,0))))</f>
        <v>0</v>
      </c>
      <c r="C116" s="0" t="n">
        <f aca="false">IF(OR(Kalemler!$A116="",Kalemler!$C116="",Kalemler!$D116=""),0,Kalemler!$C116*IF(Kalemler!$E116="Haftalık",IF(Kalemler!$D116&lt;=(Tahmin!$C$4+13),1,0),IF(Kalemler!$E116="Aylık",IF(OR(AND(DATE(YEAR((Tahmin!$C$4+7)),MONTH((Tahmin!$C$4+7)),MIN(DAY(Kalemler!$D116),DAY(EOMONTH((Tahmin!$C$4+7),0))))&gt;=(Tahmin!$C$4+7),DATE(YEAR((Tahmin!$C$4+7)),MONTH((Tahmin!$C$4+7)),MIN(DAY(Kalemler!$D116),DAY(EOMONTH((Tahmin!$C$4+7),0))))&lt;=(Tahmin!$C$4+13),DATE(YEAR((Tahmin!$C$4+7)),MONTH((Tahmin!$C$4+7)),MIN(DAY(Kalemler!$D116),DAY(EOMONTH((Tahmin!$C$4+7),0))))&gt;=Kalemler!$D116),AND(DATE(YEAR((Tahmin!$C$4+13)),MONTH((Tahmin!$C$4+13)),MIN(DAY(Kalemler!$D116),DAY(EOMONTH((Tahmin!$C$4+13),0))))&gt;=(Tahmin!$C$4+7),DATE(YEAR((Tahmin!$C$4+13)),MONTH((Tahmin!$C$4+13)),MIN(DAY(Kalemler!$D116),DAY(EOMONTH((Tahmin!$C$4+13),0))))&lt;=(Tahmin!$C$4+13),DATE(YEAR((Tahmin!$C$4+13)),MONTH((Tahmin!$C$4+13)),MIN(DAY(Kalemler!$D116),DAY(EOMONTH((Tahmin!$C$4+13),0))))&lt;&gt;DATE(YEAR((Tahmin!$C$4+7)),MONTH((Tahmin!$C$4+7)),MIN(DAY(Kalemler!$D116),DAY(EOMONTH((Tahmin!$C$4+7),0)))),DATE(YEAR((Tahmin!$C$4+13)),MONTH((Tahmin!$C$4+13)),MIN(DAY(Kalemler!$D116),DAY(EOMONTH((Tahmin!$C$4+13),0))))&gt;=Kalemler!$D116)),1,0),IF(AND(Kalemler!$D116&gt;=(Tahmin!$C$4+7),Kalemler!$D116&lt;=(Tahmin!$C$4+13)),1,0))))</f>
        <v>0</v>
      </c>
      <c r="D116" s="0" t="n">
        <f aca="false">IF(OR(Kalemler!$A116="",Kalemler!$C116="",Kalemler!$D116=""),0,Kalemler!$C116*IF(Kalemler!$E116="Haftalık",IF(Kalemler!$D116&lt;=(Tahmin!$C$4+20),1,0),IF(Kalemler!$E116="Aylık",IF(OR(AND(DATE(YEAR((Tahmin!$C$4+14)),MONTH((Tahmin!$C$4+14)),MIN(DAY(Kalemler!$D116),DAY(EOMONTH((Tahmin!$C$4+14),0))))&gt;=(Tahmin!$C$4+14),DATE(YEAR((Tahmin!$C$4+14)),MONTH((Tahmin!$C$4+14)),MIN(DAY(Kalemler!$D116),DAY(EOMONTH((Tahmin!$C$4+14),0))))&lt;=(Tahmin!$C$4+20),DATE(YEAR((Tahmin!$C$4+14)),MONTH((Tahmin!$C$4+14)),MIN(DAY(Kalemler!$D116),DAY(EOMONTH((Tahmin!$C$4+14),0))))&gt;=Kalemler!$D116),AND(DATE(YEAR((Tahmin!$C$4+20)),MONTH((Tahmin!$C$4+20)),MIN(DAY(Kalemler!$D116),DAY(EOMONTH((Tahmin!$C$4+20),0))))&gt;=(Tahmin!$C$4+14),DATE(YEAR((Tahmin!$C$4+20)),MONTH((Tahmin!$C$4+20)),MIN(DAY(Kalemler!$D116),DAY(EOMONTH((Tahmin!$C$4+20),0))))&lt;=(Tahmin!$C$4+20),DATE(YEAR((Tahmin!$C$4+20)),MONTH((Tahmin!$C$4+20)),MIN(DAY(Kalemler!$D116),DAY(EOMONTH((Tahmin!$C$4+20),0))))&lt;&gt;DATE(YEAR((Tahmin!$C$4+14)),MONTH((Tahmin!$C$4+14)),MIN(DAY(Kalemler!$D116),DAY(EOMONTH((Tahmin!$C$4+14),0)))),DATE(YEAR((Tahmin!$C$4+20)),MONTH((Tahmin!$C$4+20)),MIN(DAY(Kalemler!$D116),DAY(EOMONTH((Tahmin!$C$4+20),0))))&gt;=Kalemler!$D116)),1,0),IF(AND(Kalemler!$D116&gt;=(Tahmin!$C$4+14),Kalemler!$D116&lt;=(Tahmin!$C$4+20)),1,0))))</f>
        <v>0</v>
      </c>
      <c r="E116" s="0" t="n">
        <f aca="false">IF(OR(Kalemler!$A116="",Kalemler!$C116="",Kalemler!$D116=""),0,Kalemler!$C116*IF(Kalemler!$E116="Haftalık",IF(Kalemler!$D116&lt;=(Tahmin!$C$4+27),1,0),IF(Kalemler!$E116="Aylık",IF(OR(AND(DATE(YEAR((Tahmin!$C$4+21)),MONTH((Tahmin!$C$4+21)),MIN(DAY(Kalemler!$D116),DAY(EOMONTH((Tahmin!$C$4+21),0))))&gt;=(Tahmin!$C$4+21),DATE(YEAR((Tahmin!$C$4+21)),MONTH((Tahmin!$C$4+21)),MIN(DAY(Kalemler!$D116),DAY(EOMONTH((Tahmin!$C$4+21),0))))&lt;=(Tahmin!$C$4+27),DATE(YEAR((Tahmin!$C$4+21)),MONTH((Tahmin!$C$4+21)),MIN(DAY(Kalemler!$D116),DAY(EOMONTH((Tahmin!$C$4+21),0))))&gt;=Kalemler!$D116),AND(DATE(YEAR((Tahmin!$C$4+27)),MONTH((Tahmin!$C$4+27)),MIN(DAY(Kalemler!$D116),DAY(EOMONTH((Tahmin!$C$4+27),0))))&gt;=(Tahmin!$C$4+21),DATE(YEAR((Tahmin!$C$4+27)),MONTH((Tahmin!$C$4+27)),MIN(DAY(Kalemler!$D116),DAY(EOMONTH((Tahmin!$C$4+27),0))))&lt;=(Tahmin!$C$4+27),DATE(YEAR((Tahmin!$C$4+27)),MONTH((Tahmin!$C$4+27)),MIN(DAY(Kalemler!$D116),DAY(EOMONTH((Tahmin!$C$4+27),0))))&lt;&gt;DATE(YEAR((Tahmin!$C$4+21)),MONTH((Tahmin!$C$4+21)),MIN(DAY(Kalemler!$D116),DAY(EOMONTH((Tahmin!$C$4+21),0)))),DATE(YEAR((Tahmin!$C$4+27)),MONTH((Tahmin!$C$4+27)),MIN(DAY(Kalemler!$D116),DAY(EOMONTH((Tahmin!$C$4+27),0))))&gt;=Kalemler!$D116)),1,0),IF(AND(Kalemler!$D116&gt;=(Tahmin!$C$4+21),Kalemler!$D116&lt;=(Tahmin!$C$4+27)),1,0))))</f>
        <v>0</v>
      </c>
      <c r="F116" s="0" t="n">
        <f aca="false">IF(OR(Kalemler!$A116="",Kalemler!$C116="",Kalemler!$D116=""),0,Kalemler!$C116*IF(Kalemler!$E116="Haftalık",IF(Kalemler!$D116&lt;=(Tahmin!$C$4+34),1,0),IF(Kalemler!$E116="Aylık",IF(OR(AND(DATE(YEAR((Tahmin!$C$4+28)),MONTH((Tahmin!$C$4+28)),MIN(DAY(Kalemler!$D116),DAY(EOMONTH((Tahmin!$C$4+28),0))))&gt;=(Tahmin!$C$4+28),DATE(YEAR((Tahmin!$C$4+28)),MONTH((Tahmin!$C$4+28)),MIN(DAY(Kalemler!$D116),DAY(EOMONTH((Tahmin!$C$4+28),0))))&lt;=(Tahmin!$C$4+34),DATE(YEAR((Tahmin!$C$4+28)),MONTH((Tahmin!$C$4+28)),MIN(DAY(Kalemler!$D116),DAY(EOMONTH((Tahmin!$C$4+28),0))))&gt;=Kalemler!$D116),AND(DATE(YEAR((Tahmin!$C$4+34)),MONTH((Tahmin!$C$4+34)),MIN(DAY(Kalemler!$D116),DAY(EOMONTH((Tahmin!$C$4+34),0))))&gt;=(Tahmin!$C$4+28),DATE(YEAR((Tahmin!$C$4+34)),MONTH((Tahmin!$C$4+34)),MIN(DAY(Kalemler!$D116),DAY(EOMONTH((Tahmin!$C$4+34),0))))&lt;=(Tahmin!$C$4+34),DATE(YEAR((Tahmin!$C$4+34)),MONTH((Tahmin!$C$4+34)),MIN(DAY(Kalemler!$D116),DAY(EOMONTH((Tahmin!$C$4+34),0))))&lt;&gt;DATE(YEAR((Tahmin!$C$4+28)),MONTH((Tahmin!$C$4+28)),MIN(DAY(Kalemler!$D116),DAY(EOMONTH((Tahmin!$C$4+28),0)))),DATE(YEAR((Tahmin!$C$4+34)),MONTH((Tahmin!$C$4+34)),MIN(DAY(Kalemler!$D116),DAY(EOMONTH((Tahmin!$C$4+34),0))))&gt;=Kalemler!$D116)),1,0),IF(AND(Kalemler!$D116&gt;=(Tahmin!$C$4+28),Kalemler!$D116&lt;=(Tahmin!$C$4+34)),1,0))))</f>
        <v>0</v>
      </c>
      <c r="G116" s="0" t="n">
        <f aca="false">IF(OR(Kalemler!$A116="",Kalemler!$C116="",Kalemler!$D116=""),0,Kalemler!$C116*IF(Kalemler!$E116="Haftalık",IF(Kalemler!$D116&lt;=(Tahmin!$C$4+41),1,0),IF(Kalemler!$E116="Aylık",IF(OR(AND(DATE(YEAR((Tahmin!$C$4+35)),MONTH((Tahmin!$C$4+35)),MIN(DAY(Kalemler!$D116),DAY(EOMONTH((Tahmin!$C$4+35),0))))&gt;=(Tahmin!$C$4+35),DATE(YEAR((Tahmin!$C$4+35)),MONTH((Tahmin!$C$4+35)),MIN(DAY(Kalemler!$D116),DAY(EOMONTH((Tahmin!$C$4+35),0))))&lt;=(Tahmin!$C$4+41),DATE(YEAR((Tahmin!$C$4+35)),MONTH((Tahmin!$C$4+35)),MIN(DAY(Kalemler!$D116),DAY(EOMONTH((Tahmin!$C$4+35),0))))&gt;=Kalemler!$D116),AND(DATE(YEAR((Tahmin!$C$4+41)),MONTH((Tahmin!$C$4+41)),MIN(DAY(Kalemler!$D116),DAY(EOMONTH((Tahmin!$C$4+41),0))))&gt;=(Tahmin!$C$4+35),DATE(YEAR((Tahmin!$C$4+41)),MONTH((Tahmin!$C$4+41)),MIN(DAY(Kalemler!$D116),DAY(EOMONTH((Tahmin!$C$4+41),0))))&lt;=(Tahmin!$C$4+41),DATE(YEAR((Tahmin!$C$4+41)),MONTH((Tahmin!$C$4+41)),MIN(DAY(Kalemler!$D116),DAY(EOMONTH((Tahmin!$C$4+41),0))))&lt;&gt;DATE(YEAR((Tahmin!$C$4+35)),MONTH((Tahmin!$C$4+35)),MIN(DAY(Kalemler!$D116),DAY(EOMONTH((Tahmin!$C$4+35),0)))),DATE(YEAR((Tahmin!$C$4+41)),MONTH((Tahmin!$C$4+41)),MIN(DAY(Kalemler!$D116),DAY(EOMONTH((Tahmin!$C$4+41),0))))&gt;=Kalemler!$D116)),1,0),IF(AND(Kalemler!$D116&gt;=(Tahmin!$C$4+35),Kalemler!$D116&lt;=(Tahmin!$C$4+41)),1,0))))</f>
        <v>0</v>
      </c>
      <c r="H116" s="0" t="n">
        <f aca="false">IF(OR(Kalemler!$A116="",Kalemler!$C116="",Kalemler!$D116=""),0,Kalemler!$C116*IF(Kalemler!$E116="Haftalık",IF(Kalemler!$D116&lt;=(Tahmin!$C$4+48),1,0),IF(Kalemler!$E116="Aylık",IF(OR(AND(DATE(YEAR((Tahmin!$C$4+42)),MONTH((Tahmin!$C$4+42)),MIN(DAY(Kalemler!$D116),DAY(EOMONTH((Tahmin!$C$4+42),0))))&gt;=(Tahmin!$C$4+42),DATE(YEAR((Tahmin!$C$4+42)),MONTH((Tahmin!$C$4+42)),MIN(DAY(Kalemler!$D116),DAY(EOMONTH((Tahmin!$C$4+42),0))))&lt;=(Tahmin!$C$4+48),DATE(YEAR((Tahmin!$C$4+42)),MONTH((Tahmin!$C$4+42)),MIN(DAY(Kalemler!$D116),DAY(EOMONTH((Tahmin!$C$4+42),0))))&gt;=Kalemler!$D116),AND(DATE(YEAR((Tahmin!$C$4+48)),MONTH((Tahmin!$C$4+48)),MIN(DAY(Kalemler!$D116),DAY(EOMONTH((Tahmin!$C$4+48),0))))&gt;=(Tahmin!$C$4+42),DATE(YEAR((Tahmin!$C$4+48)),MONTH((Tahmin!$C$4+48)),MIN(DAY(Kalemler!$D116),DAY(EOMONTH((Tahmin!$C$4+48),0))))&lt;=(Tahmin!$C$4+48),DATE(YEAR((Tahmin!$C$4+48)),MONTH((Tahmin!$C$4+48)),MIN(DAY(Kalemler!$D116),DAY(EOMONTH((Tahmin!$C$4+48),0))))&lt;&gt;DATE(YEAR((Tahmin!$C$4+42)),MONTH((Tahmin!$C$4+42)),MIN(DAY(Kalemler!$D116),DAY(EOMONTH((Tahmin!$C$4+42),0)))),DATE(YEAR((Tahmin!$C$4+48)),MONTH((Tahmin!$C$4+48)),MIN(DAY(Kalemler!$D116),DAY(EOMONTH((Tahmin!$C$4+48),0))))&gt;=Kalemler!$D116)),1,0),IF(AND(Kalemler!$D116&gt;=(Tahmin!$C$4+42),Kalemler!$D116&lt;=(Tahmin!$C$4+48)),1,0))))</f>
        <v>0</v>
      </c>
      <c r="I116" s="0" t="n">
        <f aca="false">IF(OR(Kalemler!$A116="",Kalemler!$C116="",Kalemler!$D116=""),0,Kalemler!$C116*IF(Kalemler!$E116="Haftalık",IF(Kalemler!$D116&lt;=(Tahmin!$C$4+55),1,0),IF(Kalemler!$E116="Aylık",IF(OR(AND(DATE(YEAR((Tahmin!$C$4+49)),MONTH((Tahmin!$C$4+49)),MIN(DAY(Kalemler!$D116),DAY(EOMONTH((Tahmin!$C$4+49),0))))&gt;=(Tahmin!$C$4+49),DATE(YEAR((Tahmin!$C$4+49)),MONTH((Tahmin!$C$4+49)),MIN(DAY(Kalemler!$D116),DAY(EOMONTH((Tahmin!$C$4+49),0))))&lt;=(Tahmin!$C$4+55),DATE(YEAR((Tahmin!$C$4+49)),MONTH((Tahmin!$C$4+49)),MIN(DAY(Kalemler!$D116),DAY(EOMONTH((Tahmin!$C$4+49),0))))&gt;=Kalemler!$D116),AND(DATE(YEAR((Tahmin!$C$4+55)),MONTH((Tahmin!$C$4+55)),MIN(DAY(Kalemler!$D116),DAY(EOMONTH((Tahmin!$C$4+55),0))))&gt;=(Tahmin!$C$4+49),DATE(YEAR((Tahmin!$C$4+55)),MONTH((Tahmin!$C$4+55)),MIN(DAY(Kalemler!$D116),DAY(EOMONTH((Tahmin!$C$4+55),0))))&lt;=(Tahmin!$C$4+55),DATE(YEAR((Tahmin!$C$4+55)),MONTH((Tahmin!$C$4+55)),MIN(DAY(Kalemler!$D116),DAY(EOMONTH((Tahmin!$C$4+55),0))))&lt;&gt;DATE(YEAR((Tahmin!$C$4+49)),MONTH((Tahmin!$C$4+49)),MIN(DAY(Kalemler!$D116),DAY(EOMONTH((Tahmin!$C$4+49),0)))),DATE(YEAR((Tahmin!$C$4+55)),MONTH((Tahmin!$C$4+55)),MIN(DAY(Kalemler!$D116),DAY(EOMONTH((Tahmin!$C$4+55),0))))&gt;=Kalemler!$D116)),1,0),IF(AND(Kalemler!$D116&gt;=(Tahmin!$C$4+49),Kalemler!$D116&lt;=(Tahmin!$C$4+55)),1,0))))</f>
        <v>0</v>
      </c>
      <c r="J116" s="0" t="n">
        <f aca="false">IF(OR(Kalemler!$A116="",Kalemler!$C116="",Kalemler!$D116=""),0,Kalemler!$C116*IF(Kalemler!$E116="Haftalık",IF(Kalemler!$D116&lt;=(Tahmin!$C$4+62),1,0),IF(Kalemler!$E116="Aylık",IF(OR(AND(DATE(YEAR((Tahmin!$C$4+56)),MONTH((Tahmin!$C$4+56)),MIN(DAY(Kalemler!$D116),DAY(EOMONTH((Tahmin!$C$4+56),0))))&gt;=(Tahmin!$C$4+56),DATE(YEAR((Tahmin!$C$4+56)),MONTH((Tahmin!$C$4+56)),MIN(DAY(Kalemler!$D116),DAY(EOMONTH((Tahmin!$C$4+56),0))))&lt;=(Tahmin!$C$4+62),DATE(YEAR((Tahmin!$C$4+56)),MONTH((Tahmin!$C$4+56)),MIN(DAY(Kalemler!$D116),DAY(EOMONTH((Tahmin!$C$4+56),0))))&gt;=Kalemler!$D116),AND(DATE(YEAR((Tahmin!$C$4+62)),MONTH((Tahmin!$C$4+62)),MIN(DAY(Kalemler!$D116),DAY(EOMONTH((Tahmin!$C$4+62),0))))&gt;=(Tahmin!$C$4+56),DATE(YEAR((Tahmin!$C$4+62)),MONTH((Tahmin!$C$4+62)),MIN(DAY(Kalemler!$D116),DAY(EOMONTH((Tahmin!$C$4+62),0))))&lt;=(Tahmin!$C$4+62),DATE(YEAR((Tahmin!$C$4+62)),MONTH((Tahmin!$C$4+62)),MIN(DAY(Kalemler!$D116),DAY(EOMONTH((Tahmin!$C$4+62),0))))&lt;&gt;DATE(YEAR((Tahmin!$C$4+56)),MONTH((Tahmin!$C$4+56)),MIN(DAY(Kalemler!$D116),DAY(EOMONTH((Tahmin!$C$4+56),0)))),DATE(YEAR((Tahmin!$C$4+62)),MONTH((Tahmin!$C$4+62)),MIN(DAY(Kalemler!$D116),DAY(EOMONTH((Tahmin!$C$4+62),0))))&gt;=Kalemler!$D116)),1,0),IF(AND(Kalemler!$D116&gt;=(Tahmin!$C$4+56),Kalemler!$D116&lt;=(Tahmin!$C$4+62)),1,0))))</f>
        <v>0</v>
      </c>
      <c r="K116" s="0" t="n">
        <f aca="false">IF(OR(Kalemler!$A116="",Kalemler!$C116="",Kalemler!$D116=""),0,Kalemler!$C116*IF(Kalemler!$E116="Haftalık",IF(Kalemler!$D116&lt;=(Tahmin!$C$4+69),1,0),IF(Kalemler!$E116="Aylık",IF(OR(AND(DATE(YEAR((Tahmin!$C$4+63)),MONTH((Tahmin!$C$4+63)),MIN(DAY(Kalemler!$D116),DAY(EOMONTH((Tahmin!$C$4+63),0))))&gt;=(Tahmin!$C$4+63),DATE(YEAR((Tahmin!$C$4+63)),MONTH((Tahmin!$C$4+63)),MIN(DAY(Kalemler!$D116),DAY(EOMONTH((Tahmin!$C$4+63),0))))&lt;=(Tahmin!$C$4+69),DATE(YEAR((Tahmin!$C$4+63)),MONTH((Tahmin!$C$4+63)),MIN(DAY(Kalemler!$D116),DAY(EOMONTH((Tahmin!$C$4+63),0))))&gt;=Kalemler!$D116),AND(DATE(YEAR((Tahmin!$C$4+69)),MONTH((Tahmin!$C$4+69)),MIN(DAY(Kalemler!$D116),DAY(EOMONTH((Tahmin!$C$4+69),0))))&gt;=(Tahmin!$C$4+63),DATE(YEAR((Tahmin!$C$4+69)),MONTH((Tahmin!$C$4+69)),MIN(DAY(Kalemler!$D116),DAY(EOMONTH((Tahmin!$C$4+69),0))))&lt;=(Tahmin!$C$4+69),DATE(YEAR((Tahmin!$C$4+69)),MONTH((Tahmin!$C$4+69)),MIN(DAY(Kalemler!$D116),DAY(EOMONTH((Tahmin!$C$4+69),0))))&lt;&gt;DATE(YEAR((Tahmin!$C$4+63)),MONTH((Tahmin!$C$4+63)),MIN(DAY(Kalemler!$D116),DAY(EOMONTH((Tahmin!$C$4+63),0)))),DATE(YEAR((Tahmin!$C$4+69)),MONTH((Tahmin!$C$4+69)),MIN(DAY(Kalemler!$D116),DAY(EOMONTH((Tahmin!$C$4+69),0))))&gt;=Kalemler!$D116)),1,0),IF(AND(Kalemler!$D116&gt;=(Tahmin!$C$4+63),Kalemler!$D116&lt;=(Tahmin!$C$4+69)),1,0))))</f>
        <v>0</v>
      </c>
      <c r="L116" s="0" t="n">
        <f aca="false">IF(OR(Kalemler!$A116="",Kalemler!$C116="",Kalemler!$D116=""),0,Kalemler!$C116*IF(Kalemler!$E116="Haftalık",IF(Kalemler!$D116&lt;=(Tahmin!$C$4+76),1,0),IF(Kalemler!$E116="Aylık",IF(OR(AND(DATE(YEAR((Tahmin!$C$4+70)),MONTH((Tahmin!$C$4+70)),MIN(DAY(Kalemler!$D116),DAY(EOMONTH((Tahmin!$C$4+70),0))))&gt;=(Tahmin!$C$4+70),DATE(YEAR((Tahmin!$C$4+70)),MONTH((Tahmin!$C$4+70)),MIN(DAY(Kalemler!$D116),DAY(EOMONTH((Tahmin!$C$4+70),0))))&lt;=(Tahmin!$C$4+76),DATE(YEAR((Tahmin!$C$4+70)),MONTH((Tahmin!$C$4+70)),MIN(DAY(Kalemler!$D116),DAY(EOMONTH((Tahmin!$C$4+70),0))))&gt;=Kalemler!$D116),AND(DATE(YEAR((Tahmin!$C$4+76)),MONTH((Tahmin!$C$4+76)),MIN(DAY(Kalemler!$D116),DAY(EOMONTH((Tahmin!$C$4+76),0))))&gt;=(Tahmin!$C$4+70),DATE(YEAR((Tahmin!$C$4+76)),MONTH((Tahmin!$C$4+76)),MIN(DAY(Kalemler!$D116),DAY(EOMONTH((Tahmin!$C$4+76),0))))&lt;=(Tahmin!$C$4+76),DATE(YEAR((Tahmin!$C$4+76)),MONTH((Tahmin!$C$4+76)),MIN(DAY(Kalemler!$D116),DAY(EOMONTH((Tahmin!$C$4+76),0))))&lt;&gt;DATE(YEAR((Tahmin!$C$4+70)),MONTH((Tahmin!$C$4+70)),MIN(DAY(Kalemler!$D116),DAY(EOMONTH((Tahmin!$C$4+70),0)))),DATE(YEAR((Tahmin!$C$4+76)),MONTH((Tahmin!$C$4+76)),MIN(DAY(Kalemler!$D116),DAY(EOMONTH((Tahmin!$C$4+76),0))))&gt;=Kalemler!$D116)),1,0),IF(AND(Kalemler!$D116&gt;=(Tahmin!$C$4+70),Kalemler!$D116&lt;=(Tahmin!$C$4+76)),1,0))))</f>
        <v>0</v>
      </c>
      <c r="M116" s="0" t="n">
        <f aca="false">IF(OR(Kalemler!$A116="",Kalemler!$C116="",Kalemler!$D116=""),0,Kalemler!$C116*IF(Kalemler!$E116="Haftalık",IF(Kalemler!$D116&lt;=(Tahmin!$C$4+83),1,0),IF(Kalemler!$E116="Aylık",IF(OR(AND(DATE(YEAR((Tahmin!$C$4+77)),MONTH((Tahmin!$C$4+77)),MIN(DAY(Kalemler!$D116),DAY(EOMONTH((Tahmin!$C$4+77),0))))&gt;=(Tahmin!$C$4+77),DATE(YEAR((Tahmin!$C$4+77)),MONTH((Tahmin!$C$4+77)),MIN(DAY(Kalemler!$D116),DAY(EOMONTH((Tahmin!$C$4+77),0))))&lt;=(Tahmin!$C$4+83),DATE(YEAR((Tahmin!$C$4+77)),MONTH((Tahmin!$C$4+77)),MIN(DAY(Kalemler!$D116),DAY(EOMONTH((Tahmin!$C$4+77),0))))&gt;=Kalemler!$D116),AND(DATE(YEAR((Tahmin!$C$4+83)),MONTH((Tahmin!$C$4+83)),MIN(DAY(Kalemler!$D116),DAY(EOMONTH((Tahmin!$C$4+83),0))))&gt;=(Tahmin!$C$4+77),DATE(YEAR((Tahmin!$C$4+83)),MONTH((Tahmin!$C$4+83)),MIN(DAY(Kalemler!$D116),DAY(EOMONTH((Tahmin!$C$4+83),0))))&lt;=(Tahmin!$C$4+83),DATE(YEAR((Tahmin!$C$4+83)),MONTH((Tahmin!$C$4+83)),MIN(DAY(Kalemler!$D116),DAY(EOMONTH((Tahmin!$C$4+83),0))))&lt;&gt;DATE(YEAR((Tahmin!$C$4+77)),MONTH((Tahmin!$C$4+77)),MIN(DAY(Kalemler!$D116),DAY(EOMONTH((Tahmin!$C$4+77),0)))),DATE(YEAR((Tahmin!$C$4+83)),MONTH((Tahmin!$C$4+83)),MIN(DAY(Kalemler!$D116),DAY(EOMONTH((Tahmin!$C$4+83),0))))&gt;=Kalemler!$D116)),1,0),IF(AND(Kalemler!$D116&gt;=(Tahmin!$C$4+77),Kalemler!$D116&lt;=(Tahmin!$C$4+83)),1,0))))</f>
        <v>0</v>
      </c>
      <c r="N116" s="0" t="n">
        <f aca="false">IF(OR(Kalemler!$A116="",Kalemler!$C116="",Kalemler!$D116=""),0,Kalemler!$C116*IF(Kalemler!$E116="Haftalık",IF(Kalemler!$D116&lt;=(Tahmin!$C$4+90),1,0),IF(Kalemler!$E116="Aylık",IF(OR(AND(DATE(YEAR((Tahmin!$C$4+84)),MONTH((Tahmin!$C$4+84)),MIN(DAY(Kalemler!$D116),DAY(EOMONTH((Tahmin!$C$4+84),0))))&gt;=(Tahmin!$C$4+84),DATE(YEAR((Tahmin!$C$4+84)),MONTH((Tahmin!$C$4+84)),MIN(DAY(Kalemler!$D116),DAY(EOMONTH((Tahmin!$C$4+84),0))))&lt;=(Tahmin!$C$4+90),DATE(YEAR((Tahmin!$C$4+84)),MONTH((Tahmin!$C$4+84)),MIN(DAY(Kalemler!$D116),DAY(EOMONTH((Tahmin!$C$4+84),0))))&gt;=Kalemler!$D116),AND(DATE(YEAR((Tahmin!$C$4+90)),MONTH((Tahmin!$C$4+90)),MIN(DAY(Kalemler!$D116),DAY(EOMONTH((Tahmin!$C$4+90),0))))&gt;=(Tahmin!$C$4+84),DATE(YEAR((Tahmin!$C$4+90)),MONTH((Tahmin!$C$4+90)),MIN(DAY(Kalemler!$D116),DAY(EOMONTH((Tahmin!$C$4+90),0))))&lt;=(Tahmin!$C$4+90),DATE(YEAR((Tahmin!$C$4+90)),MONTH((Tahmin!$C$4+90)),MIN(DAY(Kalemler!$D116),DAY(EOMONTH((Tahmin!$C$4+90),0))))&lt;&gt;DATE(YEAR((Tahmin!$C$4+84)),MONTH((Tahmin!$C$4+84)),MIN(DAY(Kalemler!$D116),DAY(EOMONTH((Tahmin!$C$4+84),0)))),DATE(YEAR((Tahmin!$C$4+90)),MONTH((Tahmin!$C$4+90)),MIN(DAY(Kalemler!$D116),DAY(EOMONTH((Tahmin!$C$4+90),0))))&gt;=Kalemler!$D116)),1,0),IF(AND(Kalemler!$D116&gt;=(Tahmin!$C$4+84),Kalemler!$D116&lt;=(Tahmin!$C$4+90)),1,0))))</f>
        <v>0</v>
      </c>
    </row>
    <row r="117" customFormat="false" ht="15" hidden="false" customHeight="false" outlineLevel="0" collapsed="false">
      <c r="A117" s="0" t="str">
        <f aca="false">IF(Kalemler!A117="","",Kalemler!A117)</f>
        <v/>
      </c>
      <c r="B117" s="0" t="n">
        <f aca="false">IF(OR(Kalemler!$A117="",Kalemler!$C117="",Kalemler!$D117=""),0,Kalemler!$C117*IF(Kalemler!$E117="Haftalık",IF(Kalemler!$D117&lt;=(Tahmin!$C$4+6),1,0),IF(Kalemler!$E117="Aylık",IF(OR(AND(DATE(YEAR((Tahmin!$C$4+0)),MONTH((Tahmin!$C$4+0)),MIN(DAY(Kalemler!$D117),DAY(EOMONTH((Tahmin!$C$4+0),0))))&gt;=(Tahmin!$C$4+0),DATE(YEAR((Tahmin!$C$4+0)),MONTH((Tahmin!$C$4+0)),MIN(DAY(Kalemler!$D117),DAY(EOMONTH((Tahmin!$C$4+0),0))))&lt;=(Tahmin!$C$4+6),DATE(YEAR((Tahmin!$C$4+0)),MONTH((Tahmin!$C$4+0)),MIN(DAY(Kalemler!$D117),DAY(EOMONTH((Tahmin!$C$4+0),0))))&gt;=Kalemler!$D117),AND(DATE(YEAR((Tahmin!$C$4+6)),MONTH((Tahmin!$C$4+6)),MIN(DAY(Kalemler!$D117),DAY(EOMONTH((Tahmin!$C$4+6),0))))&gt;=(Tahmin!$C$4+0),DATE(YEAR((Tahmin!$C$4+6)),MONTH((Tahmin!$C$4+6)),MIN(DAY(Kalemler!$D117),DAY(EOMONTH((Tahmin!$C$4+6),0))))&lt;=(Tahmin!$C$4+6),DATE(YEAR((Tahmin!$C$4+6)),MONTH((Tahmin!$C$4+6)),MIN(DAY(Kalemler!$D117),DAY(EOMONTH((Tahmin!$C$4+6),0))))&lt;&gt;DATE(YEAR((Tahmin!$C$4+0)),MONTH((Tahmin!$C$4+0)),MIN(DAY(Kalemler!$D117),DAY(EOMONTH((Tahmin!$C$4+0),0)))),DATE(YEAR((Tahmin!$C$4+6)),MONTH((Tahmin!$C$4+6)),MIN(DAY(Kalemler!$D117),DAY(EOMONTH((Tahmin!$C$4+6),0))))&gt;=Kalemler!$D117)),1,0),IF(AND(Kalemler!$D117&gt;=(Tahmin!$C$4+0),Kalemler!$D117&lt;=(Tahmin!$C$4+6)),1,0))))</f>
        <v>0</v>
      </c>
      <c r="C117" s="0" t="n">
        <f aca="false">IF(OR(Kalemler!$A117="",Kalemler!$C117="",Kalemler!$D117=""),0,Kalemler!$C117*IF(Kalemler!$E117="Haftalık",IF(Kalemler!$D117&lt;=(Tahmin!$C$4+13),1,0),IF(Kalemler!$E117="Aylık",IF(OR(AND(DATE(YEAR((Tahmin!$C$4+7)),MONTH((Tahmin!$C$4+7)),MIN(DAY(Kalemler!$D117),DAY(EOMONTH((Tahmin!$C$4+7),0))))&gt;=(Tahmin!$C$4+7),DATE(YEAR((Tahmin!$C$4+7)),MONTH((Tahmin!$C$4+7)),MIN(DAY(Kalemler!$D117),DAY(EOMONTH((Tahmin!$C$4+7),0))))&lt;=(Tahmin!$C$4+13),DATE(YEAR((Tahmin!$C$4+7)),MONTH((Tahmin!$C$4+7)),MIN(DAY(Kalemler!$D117),DAY(EOMONTH((Tahmin!$C$4+7),0))))&gt;=Kalemler!$D117),AND(DATE(YEAR((Tahmin!$C$4+13)),MONTH((Tahmin!$C$4+13)),MIN(DAY(Kalemler!$D117),DAY(EOMONTH((Tahmin!$C$4+13),0))))&gt;=(Tahmin!$C$4+7),DATE(YEAR((Tahmin!$C$4+13)),MONTH((Tahmin!$C$4+13)),MIN(DAY(Kalemler!$D117),DAY(EOMONTH((Tahmin!$C$4+13),0))))&lt;=(Tahmin!$C$4+13),DATE(YEAR((Tahmin!$C$4+13)),MONTH((Tahmin!$C$4+13)),MIN(DAY(Kalemler!$D117),DAY(EOMONTH((Tahmin!$C$4+13),0))))&lt;&gt;DATE(YEAR((Tahmin!$C$4+7)),MONTH((Tahmin!$C$4+7)),MIN(DAY(Kalemler!$D117),DAY(EOMONTH((Tahmin!$C$4+7),0)))),DATE(YEAR((Tahmin!$C$4+13)),MONTH((Tahmin!$C$4+13)),MIN(DAY(Kalemler!$D117),DAY(EOMONTH((Tahmin!$C$4+13),0))))&gt;=Kalemler!$D117)),1,0),IF(AND(Kalemler!$D117&gt;=(Tahmin!$C$4+7),Kalemler!$D117&lt;=(Tahmin!$C$4+13)),1,0))))</f>
        <v>0</v>
      </c>
      <c r="D117" s="0" t="n">
        <f aca="false">IF(OR(Kalemler!$A117="",Kalemler!$C117="",Kalemler!$D117=""),0,Kalemler!$C117*IF(Kalemler!$E117="Haftalık",IF(Kalemler!$D117&lt;=(Tahmin!$C$4+20),1,0),IF(Kalemler!$E117="Aylık",IF(OR(AND(DATE(YEAR((Tahmin!$C$4+14)),MONTH((Tahmin!$C$4+14)),MIN(DAY(Kalemler!$D117),DAY(EOMONTH((Tahmin!$C$4+14),0))))&gt;=(Tahmin!$C$4+14),DATE(YEAR((Tahmin!$C$4+14)),MONTH((Tahmin!$C$4+14)),MIN(DAY(Kalemler!$D117),DAY(EOMONTH((Tahmin!$C$4+14),0))))&lt;=(Tahmin!$C$4+20),DATE(YEAR((Tahmin!$C$4+14)),MONTH((Tahmin!$C$4+14)),MIN(DAY(Kalemler!$D117),DAY(EOMONTH((Tahmin!$C$4+14),0))))&gt;=Kalemler!$D117),AND(DATE(YEAR((Tahmin!$C$4+20)),MONTH((Tahmin!$C$4+20)),MIN(DAY(Kalemler!$D117),DAY(EOMONTH((Tahmin!$C$4+20),0))))&gt;=(Tahmin!$C$4+14),DATE(YEAR((Tahmin!$C$4+20)),MONTH((Tahmin!$C$4+20)),MIN(DAY(Kalemler!$D117),DAY(EOMONTH((Tahmin!$C$4+20),0))))&lt;=(Tahmin!$C$4+20),DATE(YEAR((Tahmin!$C$4+20)),MONTH((Tahmin!$C$4+20)),MIN(DAY(Kalemler!$D117),DAY(EOMONTH((Tahmin!$C$4+20),0))))&lt;&gt;DATE(YEAR((Tahmin!$C$4+14)),MONTH((Tahmin!$C$4+14)),MIN(DAY(Kalemler!$D117),DAY(EOMONTH((Tahmin!$C$4+14),0)))),DATE(YEAR((Tahmin!$C$4+20)),MONTH((Tahmin!$C$4+20)),MIN(DAY(Kalemler!$D117),DAY(EOMONTH((Tahmin!$C$4+20),0))))&gt;=Kalemler!$D117)),1,0),IF(AND(Kalemler!$D117&gt;=(Tahmin!$C$4+14),Kalemler!$D117&lt;=(Tahmin!$C$4+20)),1,0))))</f>
        <v>0</v>
      </c>
      <c r="E117" s="0" t="n">
        <f aca="false">IF(OR(Kalemler!$A117="",Kalemler!$C117="",Kalemler!$D117=""),0,Kalemler!$C117*IF(Kalemler!$E117="Haftalık",IF(Kalemler!$D117&lt;=(Tahmin!$C$4+27),1,0),IF(Kalemler!$E117="Aylık",IF(OR(AND(DATE(YEAR((Tahmin!$C$4+21)),MONTH((Tahmin!$C$4+21)),MIN(DAY(Kalemler!$D117),DAY(EOMONTH((Tahmin!$C$4+21),0))))&gt;=(Tahmin!$C$4+21),DATE(YEAR((Tahmin!$C$4+21)),MONTH((Tahmin!$C$4+21)),MIN(DAY(Kalemler!$D117),DAY(EOMONTH((Tahmin!$C$4+21),0))))&lt;=(Tahmin!$C$4+27),DATE(YEAR((Tahmin!$C$4+21)),MONTH((Tahmin!$C$4+21)),MIN(DAY(Kalemler!$D117),DAY(EOMONTH((Tahmin!$C$4+21),0))))&gt;=Kalemler!$D117),AND(DATE(YEAR((Tahmin!$C$4+27)),MONTH((Tahmin!$C$4+27)),MIN(DAY(Kalemler!$D117),DAY(EOMONTH((Tahmin!$C$4+27),0))))&gt;=(Tahmin!$C$4+21),DATE(YEAR((Tahmin!$C$4+27)),MONTH((Tahmin!$C$4+27)),MIN(DAY(Kalemler!$D117),DAY(EOMONTH((Tahmin!$C$4+27),0))))&lt;=(Tahmin!$C$4+27),DATE(YEAR((Tahmin!$C$4+27)),MONTH((Tahmin!$C$4+27)),MIN(DAY(Kalemler!$D117),DAY(EOMONTH((Tahmin!$C$4+27),0))))&lt;&gt;DATE(YEAR((Tahmin!$C$4+21)),MONTH((Tahmin!$C$4+21)),MIN(DAY(Kalemler!$D117),DAY(EOMONTH((Tahmin!$C$4+21),0)))),DATE(YEAR((Tahmin!$C$4+27)),MONTH((Tahmin!$C$4+27)),MIN(DAY(Kalemler!$D117),DAY(EOMONTH((Tahmin!$C$4+27),0))))&gt;=Kalemler!$D117)),1,0),IF(AND(Kalemler!$D117&gt;=(Tahmin!$C$4+21),Kalemler!$D117&lt;=(Tahmin!$C$4+27)),1,0))))</f>
        <v>0</v>
      </c>
      <c r="F117" s="0" t="n">
        <f aca="false">IF(OR(Kalemler!$A117="",Kalemler!$C117="",Kalemler!$D117=""),0,Kalemler!$C117*IF(Kalemler!$E117="Haftalık",IF(Kalemler!$D117&lt;=(Tahmin!$C$4+34),1,0),IF(Kalemler!$E117="Aylık",IF(OR(AND(DATE(YEAR((Tahmin!$C$4+28)),MONTH((Tahmin!$C$4+28)),MIN(DAY(Kalemler!$D117),DAY(EOMONTH((Tahmin!$C$4+28),0))))&gt;=(Tahmin!$C$4+28),DATE(YEAR((Tahmin!$C$4+28)),MONTH((Tahmin!$C$4+28)),MIN(DAY(Kalemler!$D117),DAY(EOMONTH((Tahmin!$C$4+28),0))))&lt;=(Tahmin!$C$4+34),DATE(YEAR((Tahmin!$C$4+28)),MONTH((Tahmin!$C$4+28)),MIN(DAY(Kalemler!$D117),DAY(EOMONTH((Tahmin!$C$4+28),0))))&gt;=Kalemler!$D117),AND(DATE(YEAR((Tahmin!$C$4+34)),MONTH((Tahmin!$C$4+34)),MIN(DAY(Kalemler!$D117),DAY(EOMONTH((Tahmin!$C$4+34),0))))&gt;=(Tahmin!$C$4+28),DATE(YEAR((Tahmin!$C$4+34)),MONTH((Tahmin!$C$4+34)),MIN(DAY(Kalemler!$D117),DAY(EOMONTH((Tahmin!$C$4+34),0))))&lt;=(Tahmin!$C$4+34),DATE(YEAR((Tahmin!$C$4+34)),MONTH((Tahmin!$C$4+34)),MIN(DAY(Kalemler!$D117),DAY(EOMONTH((Tahmin!$C$4+34),0))))&lt;&gt;DATE(YEAR((Tahmin!$C$4+28)),MONTH((Tahmin!$C$4+28)),MIN(DAY(Kalemler!$D117),DAY(EOMONTH((Tahmin!$C$4+28),0)))),DATE(YEAR((Tahmin!$C$4+34)),MONTH((Tahmin!$C$4+34)),MIN(DAY(Kalemler!$D117),DAY(EOMONTH((Tahmin!$C$4+34),0))))&gt;=Kalemler!$D117)),1,0),IF(AND(Kalemler!$D117&gt;=(Tahmin!$C$4+28),Kalemler!$D117&lt;=(Tahmin!$C$4+34)),1,0))))</f>
        <v>0</v>
      </c>
      <c r="G117" s="0" t="n">
        <f aca="false">IF(OR(Kalemler!$A117="",Kalemler!$C117="",Kalemler!$D117=""),0,Kalemler!$C117*IF(Kalemler!$E117="Haftalık",IF(Kalemler!$D117&lt;=(Tahmin!$C$4+41),1,0),IF(Kalemler!$E117="Aylık",IF(OR(AND(DATE(YEAR((Tahmin!$C$4+35)),MONTH((Tahmin!$C$4+35)),MIN(DAY(Kalemler!$D117),DAY(EOMONTH((Tahmin!$C$4+35),0))))&gt;=(Tahmin!$C$4+35),DATE(YEAR((Tahmin!$C$4+35)),MONTH((Tahmin!$C$4+35)),MIN(DAY(Kalemler!$D117),DAY(EOMONTH((Tahmin!$C$4+35),0))))&lt;=(Tahmin!$C$4+41),DATE(YEAR((Tahmin!$C$4+35)),MONTH((Tahmin!$C$4+35)),MIN(DAY(Kalemler!$D117),DAY(EOMONTH((Tahmin!$C$4+35),0))))&gt;=Kalemler!$D117),AND(DATE(YEAR((Tahmin!$C$4+41)),MONTH((Tahmin!$C$4+41)),MIN(DAY(Kalemler!$D117),DAY(EOMONTH((Tahmin!$C$4+41),0))))&gt;=(Tahmin!$C$4+35),DATE(YEAR((Tahmin!$C$4+41)),MONTH((Tahmin!$C$4+41)),MIN(DAY(Kalemler!$D117),DAY(EOMONTH((Tahmin!$C$4+41),0))))&lt;=(Tahmin!$C$4+41),DATE(YEAR((Tahmin!$C$4+41)),MONTH((Tahmin!$C$4+41)),MIN(DAY(Kalemler!$D117),DAY(EOMONTH((Tahmin!$C$4+41),0))))&lt;&gt;DATE(YEAR((Tahmin!$C$4+35)),MONTH((Tahmin!$C$4+35)),MIN(DAY(Kalemler!$D117),DAY(EOMONTH((Tahmin!$C$4+35),0)))),DATE(YEAR((Tahmin!$C$4+41)),MONTH((Tahmin!$C$4+41)),MIN(DAY(Kalemler!$D117),DAY(EOMONTH((Tahmin!$C$4+41),0))))&gt;=Kalemler!$D117)),1,0),IF(AND(Kalemler!$D117&gt;=(Tahmin!$C$4+35),Kalemler!$D117&lt;=(Tahmin!$C$4+41)),1,0))))</f>
        <v>0</v>
      </c>
      <c r="H117" s="0" t="n">
        <f aca="false">IF(OR(Kalemler!$A117="",Kalemler!$C117="",Kalemler!$D117=""),0,Kalemler!$C117*IF(Kalemler!$E117="Haftalık",IF(Kalemler!$D117&lt;=(Tahmin!$C$4+48),1,0),IF(Kalemler!$E117="Aylık",IF(OR(AND(DATE(YEAR((Tahmin!$C$4+42)),MONTH((Tahmin!$C$4+42)),MIN(DAY(Kalemler!$D117),DAY(EOMONTH((Tahmin!$C$4+42),0))))&gt;=(Tahmin!$C$4+42),DATE(YEAR((Tahmin!$C$4+42)),MONTH((Tahmin!$C$4+42)),MIN(DAY(Kalemler!$D117),DAY(EOMONTH((Tahmin!$C$4+42),0))))&lt;=(Tahmin!$C$4+48),DATE(YEAR((Tahmin!$C$4+42)),MONTH((Tahmin!$C$4+42)),MIN(DAY(Kalemler!$D117),DAY(EOMONTH((Tahmin!$C$4+42),0))))&gt;=Kalemler!$D117),AND(DATE(YEAR((Tahmin!$C$4+48)),MONTH((Tahmin!$C$4+48)),MIN(DAY(Kalemler!$D117),DAY(EOMONTH((Tahmin!$C$4+48),0))))&gt;=(Tahmin!$C$4+42),DATE(YEAR((Tahmin!$C$4+48)),MONTH((Tahmin!$C$4+48)),MIN(DAY(Kalemler!$D117),DAY(EOMONTH((Tahmin!$C$4+48),0))))&lt;=(Tahmin!$C$4+48),DATE(YEAR((Tahmin!$C$4+48)),MONTH((Tahmin!$C$4+48)),MIN(DAY(Kalemler!$D117),DAY(EOMONTH((Tahmin!$C$4+48),0))))&lt;&gt;DATE(YEAR((Tahmin!$C$4+42)),MONTH((Tahmin!$C$4+42)),MIN(DAY(Kalemler!$D117),DAY(EOMONTH((Tahmin!$C$4+42),0)))),DATE(YEAR((Tahmin!$C$4+48)),MONTH((Tahmin!$C$4+48)),MIN(DAY(Kalemler!$D117),DAY(EOMONTH((Tahmin!$C$4+48),0))))&gt;=Kalemler!$D117)),1,0),IF(AND(Kalemler!$D117&gt;=(Tahmin!$C$4+42),Kalemler!$D117&lt;=(Tahmin!$C$4+48)),1,0))))</f>
        <v>0</v>
      </c>
      <c r="I117" s="0" t="n">
        <f aca="false">IF(OR(Kalemler!$A117="",Kalemler!$C117="",Kalemler!$D117=""),0,Kalemler!$C117*IF(Kalemler!$E117="Haftalık",IF(Kalemler!$D117&lt;=(Tahmin!$C$4+55),1,0),IF(Kalemler!$E117="Aylık",IF(OR(AND(DATE(YEAR((Tahmin!$C$4+49)),MONTH((Tahmin!$C$4+49)),MIN(DAY(Kalemler!$D117),DAY(EOMONTH((Tahmin!$C$4+49),0))))&gt;=(Tahmin!$C$4+49),DATE(YEAR((Tahmin!$C$4+49)),MONTH((Tahmin!$C$4+49)),MIN(DAY(Kalemler!$D117),DAY(EOMONTH((Tahmin!$C$4+49),0))))&lt;=(Tahmin!$C$4+55),DATE(YEAR((Tahmin!$C$4+49)),MONTH((Tahmin!$C$4+49)),MIN(DAY(Kalemler!$D117),DAY(EOMONTH((Tahmin!$C$4+49),0))))&gt;=Kalemler!$D117),AND(DATE(YEAR((Tahmin!$C$4+55)),MONTH((Tahmin!$C$4+55)),MIN(DAY(Kalemler!$D117),DAY(EOMONTH((Tahmin!$C$4+55),0))))&gt;=(Tahmin!$C$4+49),DATE(YEAR((Tahmin!$C$4+55)),MONTH((Tahmin!$C$4+55)),MIN(DAY(Kalemler!$D117),DAY(EOMONTH((Tahmin!$C$4+55),0))))&lt;=(Tahmin!$C$4+55),DATE(YEAR((Tahmin!$C$4+55)),MONTH((Tahmin!$C$4+55)),MIN(DAY(Kalemler!$D117),DAY(EOMONTH((Tahmin!$C$4+55),0))))&lt;&gt;DATE(YEAR((Tahmin!$C$4+49)),MONTH((Tahmin!$C$4+49)),MIN(DAY(Kalemler!$D117),DAY(EOMONTH((Tahmin!$C$4+49),0)))),DATE(YEAR((Tahmin!$C$4+55)),MONTH((Tahmin!$C$4+55)),MIN(DAY(Kalemler!$D117),DAY(EOMONTH((Tahmin!$C$4+55),0))))&gt;=Kalemler!$D117)),1,0),IF(AND(Kalemler!$D117&gt;=(Tahmin!$C$4+49),Kalemler!$D117&lt;=(Tahmin!$C$4+55)),1,0))))</f>
        <v>0</v>
      </c>
      <c r="J117" s="0" t="n">
        <f aca="false">IF(OR(Kalemler!$A117="",Kalemler!$C117="",Kalemler!$D117=""),0,Kalemler!$C117*IF(Kalemler!$E117="Haftalık",IF(Kalemler!$D117&lt;=(Tahmin!$C$4+62),1,0),IF(Kalemler!$E117="Aylık",IF(OR(AND(DATE(YEAR((Tahmin!$C$4+56)),MONTH((Tahmin!$C$4+56)),MIN(DAY(Kalemler!$D117),DAY(EOMONTH((Tahmin!$C$4+56),0))))&gt;=(Tahmin!$C$4+56),DATE(YEAR((Tahmin!$C$4+56)),MONTH((Tahmin!$C$4+56)),MIN(DAY(Kalemler!$D117),DAY(EOMONTH((Tahmin!$C$4+56),0))))&lt;=(Tahmin!$C$4+62),DATE(YEAR((Tahmin!$C$4+56)),MONTH((Tahmin!$C$4+56)),MIN(DAY(Kalemler!$D117),DAY(EOMONTH((Tahmin!$C$4+56),0))))&gt;=Kalemler!$D117),AND(DATE(YEAR((Tahmin!$C$4+62)),MONTH((Tahmin!$C$4+62)),MIN(DAY(Kalemler!$D117),DAY(EOMONTH((Tahmin!$C$4+62),0))))&gt;=(Tahmin!$C$4+56),DATE(YEAR((Tahmin!$C$4+62)),MONTH((Tahmin!$C$4+62)),MIN(DAY(Kalemler!$D117),DAY(EOMONTH((Tahmin!$C$4+62),0))))&lt;=(Tahmin!$C$4+62),DATE(YEAR((Tahmin!$C$4+62)),MONTH((Tahmin!$C$4+62)),MIN(DAY(Kalemler!$D117),DAY(EOMONTH((Tahmin!$C$4+62),0))))&lt;&gt;DATE(YEAR((Tahmin!$C$4+56)),MONTH((Tahmin!$C$4+56)),MIN(DAY(Kalemler!$D117),DAY(EOMONTH((Tahmin!$C$4+56),0)))),DATE(YEAR((Tahmin!$C$4+62)),MONTH((Tahmin!$C$4+62)),MIN(DAY(Kalemler!$D117),DAY(EOMONTH((Tahmin!$C$4+62),0))))&gt;=Kalemler!$D117)),1,0),IF(AND(Kalemler!$D117&gt;=(Tahmin!$C$4+56),Kalemler!$D117&lt;=(Tahmin!$C$4+62)),1,0))))</f>
        <v>0</v>
      </c>
      <c r="K117" s="0" t="n">
        <f aca="false">IF(OR(Kalemler!$A117="",Kalemler!$C117="",Kalemler!$D117=""),0,Kalemler!$C117*IF(Kalemler!$E117="Haftalık",IF(Kalemler!$D117&lt;=(Tahmin!$C$4+69),1,0),IF(Kalemler!$E117="Aylık",IF(OR(AND(DATE(YEAR((Tahmin!$C$4+63)),MONTH((Tahmin!$C$4+63)),MIN(DAY(Kalemler!$D117),DAY(EOMONTH((Tahmin!$C$4+63),0))))&gt;=(Tahmin!$C$4+63),DATE(YEAR((Tahmin!$C$4+63)),MONTH((Tahmin!$C$4+63)),MIN(DAY(Kalemler!$D117),DAY(EOMONTH((Tahmin!$C$4+63),0))))&lt;=(Tahmin!$C$4+69),DATE(YEAR((Tahmin!$C$4+63)),MONTH((Tahmin!$C$4+63)),MIN(DAY(Kalemler!$D117),DAY(EOMONTH((Tahmin!$C$4+63),0))))&gt;=Kalemler!$D117),AND(DATE(YEAR((Tahmin!$C$4+69)),MONTH((Tahmin!$C$4+69)),MIN(DAY(Kalemler!$D117),DAY(EOMONTH((Tahmin!$C$4+69),0))))&gt;=(Tahmin!$C$4+63),DATE(YEAR((Tahmin!$C$4+69)),MONTH((Tahmin!$C$4+69)),MIN(DAY(Kalemler!$D117),DAY(EOMONTH((Tahmin!$C$4+69),0))))&lt;=(Tahmin!$C$4+69),DATE(YEAR((Tahmin!$C$4+69)),MONTH((Tahmin!$C$4+69)),MIN(DAY(Kalemler!$D117),DAY(EOMONTH((Tahmin!$C$4+69),0))))&lt;&gt;DATE(YEAR((Tahmin!$C$4+63)),MONTH((Tahmin!$C$4+63)),MIN(DAY(Kalemler!$D117),DAY(EOMONTH((Tahmin!$C$4+63),0)))),DATE(YEAR((Tahmin!$C$4+69)),MONTH((Tahmin!$C$4+69)),MIN(DAY(Kalemler!$D117),DAY(EOMONTH((Tahmin!$C$4+69),0))))&gt;=Kalemler!$D117)),1,0),IF(AND(Kalemler!$D117&gt;=(Tahmin!$C$4+63),Kalemler!$D117&lt;=(Tahmin!$C$4+69)),1,0))))</f>
        <v>0</v>
      </c>
      <c r="L117" s="0" t="n">
        <f aca="false">IF(OR(Kalemler!$A117="",Kalemler!$C117="",Kalemler!$D117=""),0,Kalemler!$C117*IF(Kalemler!$E117="Haftalık",IF(Kalemler!$D117&lt;=(Tahmin!$C$4+76),1,0),IF(Kalemler!$E117="Aylık",IF(OR(AND(DATE(YEAR((Tahmin!$C$4+70)),MONTH((Tahmin!$C$4+70)),MIN(DAY(Kalemler!$D117),DAY(EOMONTH((Tahmin!$C$4+70),0))))&gt;=(Tahmin!$C$4+70),DATE(YEAR((Tahmin!$C$4+70)),MONTH((Tahmin!$C$4+70)),MIN(DAY(Kalemler!$D117),DAY(EOMONTH((Tahmin!$C$4+70),0))))&lt;=(Tahmin!$C$4+76),DATE(YEAR((Tahmin!$C$4+70)),MONTH((Tahmin!$C$4+70)),MIN(DAY(Kalemler!$D117),DAY(EOMONTH((Tahmin!$C$4+70),0))))&gt;=Kalemler!$D117),AND(DATE(YEAR((Tahmin!$C$4+76)),MONTH((Tahmin!$C$4+76)),MIN(DAY(Kalemler!$D117),DAY(EOMONTH((Tahmin!$C$4+76),0))))&gt;=(Tahmin!$C$4+70),DATE(YEAR((Tahmin!$C$4+76)),MONTH((Tahmin!$C$4+76)),MIN(DAY(Kalemler!$D117),DAY(EOMONTH((Tahmin!$C$4+76),0))))&lt;=(Tahmin!$C$4+76),DATE(YEAR((Tahmin!$C$4+76)),MONTH((Tahmin!$C$4+76)),MIN(DAY(Kalemler!$D117),DAY(EOMONTH((Tahmin!$C$4+76),0))))&lt;&gt;DATE(YEAR((Tahmin!$C$4+70)),MONTH((Tahmin!$C$4+70)),MIN(DAY(Kalemler!$D117),DAY(EOMONTH((Tahmin!$C$4+70),0)))),DATE(YEAR((Tahmin!$C$4+76)),MONTH((Tahmin!$C$4+76)),MIN(DAY(Kalemler!$D117),DAY(EOMONTH((Tahmin!$C$4+76),0))))&gt;=Kalemler!$D117)),1,0),IF(AND(Kalemler!$D117&gt;=(Tahmin!$C$4+70),Kalemler!$D117&lt;=(Tahmin!$C$4+76)),1,0))))</f>
        <v>0</v>
      </c>
      <c r="M117" s="0" t="n">
        <f aca="false">IF(OR(Kalemler!$A117="",Kalemler!$C117="",Kalemler!$D117=""),0,Kalemler!$C117*IF(Kalemler!$E117="Haftalık",IF(Kalemler!$D117&lt;=(Tahmin!$C$4+83),1,0),IF(Kalemler!$E117="Aylık",IF(OR(AND(DATE(YEAR((Tahmin!$C$4+77)),MONTH((Tahmin!$C$4+77)),MIN(DAY(Kalemler!$D117),DAY(EOMONTH((Tahmin!$C$4+77),0))))&gt;=(Tahmin!$C$4+77),DATE(YEAR((Tahmin!$C$4+77)),MONTH((Tahmin!$C$4+77)),MIN(DAY(Kalemler!$D117),DAY(EOMONTH((Tahmin!$C$4+77),0))))&lt;=(Tahmin!$C$4+83),DATE(YEAR((Tahmin!$C$4+77)),MONTH((Tahmin!$C$4+77)),MIN(DAY(Kalemler!$D117),DAY(EOMONTH((Tahmin!$C$4+77),0))))&gt;=Kalemler!$D117),AND(DATE(YEAR((Tahmin!$C$4+83)),MONTH((Tahmin!$C$4+83)),MIN(DAY(Kalemler!$D117),DAY(EOMONTH((Tahmin!$C$4+83),0))))&gt;=(Tahmin!$C$4+77),DATE(YEAR((Tahmin!$C$4+83)),MONTH((Tahmin!$C$4+83)),MIN(DAY(Kalemler!$D117),DAY(EOMONTH((Tahmin!$C$4+83),0))))&lt;=(Tahmin!$C$4+83),DATE(YEAR((Tahmin!$C$4+83)),MONTH((Tahmin!$C$4+83)),MIN(DAY(Kalemler!$D117),DAY(EOMONTH((Tahmin!$C$4+83),0))))&lt;&gt;DATE(YEAR((Tahmin!$C$4+77)),MONTH((Tahmin!$C$4+77)),MIN(DAY(Kalemler!$D117),DAY(EOMONTH((Tahmin!$C$4+77),0)))),DATE(YEAR((Tahmin!$C$4+83)),MONTH((Tahmin!$C$4+83)),MIN(DAY(Kalemler!$D117),DAY(EOMONTH((Tahmin!$C$4+83),0))))&gt;=Kalemler!$D117)),1,0),IF(AND(Kalemler!$D117&gt;=(Tahmin!$C$4+77),Kalemler!$D117&lt;=(Tahmin!$C$4+83)),1,0))))</f>
        <v>0</v>
      </c>
      <c r="N117" s="0" t="n">
        <f aca="false">IF(OR(Kalemler!$A117="",Kalemler!$C117="",Kalemler!$D117=""),0,Kalemler!$C117*IF(Kalemler!$E117="Haftalık",IF(Kalemler!$D117&lt;=(Tahmin!$C$4+90),1,0),IF(Kalemler!$E117="Aylık",IF(OR(AND(DATE(YEAR((Tahmin!$C$4+84)),MONTH((Tahmin!$C$4+84)),MIN(DAY(Kalemler!$D117),DAY(EOMONTH((Tahmin!$C$4+84),0))))&gt;=(Tahmin!$C$4+84),DATE(YEAR((Tahmin!$C$4+84)),MONTH((Tahmin!$C$4+84)),MIN(DAY(Kalemler!$D117),DAY(EOMONTH((Tahmin!$C$4+84),0))))&lt;=(Tahmin!$C$4+90),DATE(YEAR((Tahmin!$C$4+84)),MONTH((Tahmin!$C$4+84)),MIN(DAY(Kalemler!$D117),DAY(EOMONTH((Tahmin!$C$4+84),0))))&gt;=Kalemler!$D117),AND(DATE(YEAR((Tahmin!$C$4+90)),MONTH((Tahmin!$C$4+90)),MIN(DAY(Kalemler!$D117),DAY(EOMONTH((Tahmin!$C$4+90),0))))&gt;=(Tahmin!$C$4+84),DATE(YEAR((Tahmin!$C$4+90)),MONTH((Tahmin!$C$4+90)),MIN(DAY(Kalemler!$D117),DAY(EOMONTH((Tahmin!$C$4+90),0))))&lt;=(Tahmin!$C$4+90),DATE(YEAR((Tahmin!$C$4+90)),MONTH((Tahmin!$C$4+90)),MIN(DAY(Kalemler!$D117),DAY(EOMONTH((Tahmin!$C$4+90),0))))&lt;&gt;DATE(YEAR((Tahmin!$C$4+84)),MONTH((Tahmin!$C$4+84)),MIN(DAY(Kalemler!$D117),DAY(EOMONTH((Tahmin!$C$4+84),0)))),DATE(YEAR((Tahmin!$C$4+90)),MONTH((Tahmin!$C$4+90)),MIN(DAY(Kalemler!$D117),DAY(EOMONTH((Tahmin!$C$4+90),0))))&gt;=Kalemler!$D117)),1,0),IF(AND(Kalemler!$D117&gt;=(Tahmin!$C$4+84),Kalemler!$D117&lt;=(Tahmin!$C$4+90)),1,0))))</f>
        <v>0</v>
      </c>
    </row>
    <row r="118" customFormat="false" ht="15" hidden="false" customHeight="false" outlineLevel="0" collapsed="false">
      <c r="A118" s="0" t="str">
        <f aca="false">IF(Kalemler!A118="","",Kalemler!A118)</f>
        <v/>
      </c>
      <c r="B118" s="0" t="n">
        <f aca="false">IF(OR(Kalemler!$A118="",Kalemler!$C118="",Kalemler!$D118=""),0,Kalemler!$C118*IF(Kalemler!$E118="Haftalık",IF(Kalemler!$D118&lt;=(Tahmin!$C$4+6),1,0),IF(Kalemler!$E118="Aylık",IF(OR(AND(DATE(YEAR((Tahmin!$C$4+0)),MONTH((Tahmin!$C$4+0)),MIN(DAY(Kalemler!$D118),DAY(EOMONTH((Tahmin!$C$4+0),0))))&gt;=(Tahmin!$C$4+0),DATE(YEAR((Tahmin!$C$4+0)),MONTH((Tahmin!$C$4+0)),MIN(DAY(Kalemler!$D118),DAY(EOMONTH((Tahmin!$C$4+0),0))))&lt;=(Tahmin!$C$4+6),DATE(YEAR((Tahmin!$C$4+0)),MONTH((Tahmin!$C$4+0)),MIN(DAY(Kalemler!$D118),DAY(EOMONTH((Tahmin!$C$4+0),0))))&gt;=Kalemler!$D118),AND(DATE(YEAR((Tahmin!$C$4+6)),MONTH((Tahmin!$C$4+6)),MIN(DAY(Kalemler!$D118),DAY(EOMONTH((Tahmin!$C$4+6),0))))&gt;=(Tahmin!$C$4+0),DATE(YEAR((Tahmin!$C$4+6)),MONTH((Tahmin!$C$4+6)),MIN(DAY(Kalemler!$D118),DAY(EOMONTH((Tahmin!$C$4+6),0))))&lt;=(Tahmin!$C$4+6),DATE(YEAR((Tahmin!$C$4+6)),MONTH((Tahmin!$C$4+6)),MIN(DAY(Kalemler!$D118),DAY(EOMONTH((Tahmin!$C$4+6),0))))&lt;&gt;DATE(YEAR((Tahmin!$C$4+0)),MONTH((Tahmin!$C$4+0)),MIN(DAY(Kalemler!$D118),DAY(EOMONTH((Tahmin!$C$4+0),0)))),DATE(YEAR((Tahmin!$C$4+6)),MONTH((Tahmin!$C$4+6)),MIN(DAY(Kalemler!$D118),DAY(EOMONTH((Tahmin!$C$4+6),0))))&gt;=Kalemler!$D118)),1,0),IF(AND(Kalemler!$D118&gt;=(Tahmin!$C$4+0),Kalemler!$D118&lt;=(Tahmin!$C$4+6)),1,0))))</f>
        <v>0</v>
      </c>
      <c r="C118" s="0" t="n">
        <f aca="false">IF(OR(Kalemler!$A118="",Kalemler!$C118="",Kalemler!$D118=""),0,Kalemler!$C118*IF(Kalemler!$E118="Haftalık",IF(Kalemler!$D118&lt;=(Tahmin!$C$4+13),1,0),IF(Kalemler!$E118="Aylık",IF(OR(AND(DATE(YEAR((Tahmin!$C$4+7)),MONTH((Tahmin!$C$4+7)),MIN(DAY(Kalemler!$D118),DAY(EOMONTH((Tahmin!$C$4+7),0))))&gt;=(Tahmin!$C$4+7),DATE(YEAR((Tahmin!$C$4+7)),MONTH((Tahmin!$C$4+7)),MIN(DAY(Kalemler!$D118),DAY(EOMONTH((Tahmin!$C$4+7),0))))&lt;=(Tahmin!$C$4+13),DATE(YEAR((Tahmin!$C$4+7)),MONTH((Tahmin!$C$4+7)),MIN(DAY(Kalemler!$D118),DAY(EOMONTH((Tahmin!$C$4+7),0))))&gt;=Kalemler!$D118),AND(DATE(YEAR((Tahmin!$C$4+13)),MONTH((Tahmin!$C$4+13)),MIN(DAY(Kalemler!$D118),DAY(EOMONTH((Tahmin!$C$4+13),0))))&gt;=(Tahmin!$C$4+7),DATE(YEAR((Tahmin!$C$4+13)),MONTH((Tahmin!$C$4+13)),MIN(DAY(Kalemler!$D118),DAY(EOMONTH((Tahmin!$C$4+13),0))))&lt;=(Tahmin!$C$4+13),DATE(YEAR((Tahmin!$C$4+13)),MONTH((Tahmin!$C$4+13)),MIN(DAY(Kalemler!$D118),DAY(EOMONTH((Tahmin!$C$4+13),0))))&lt;&gt;DATE(YEAR((Tahmin!$C$4+7)),MONTH((Tahmin!$C$4+7)),MIN(DAY(Kalemler!$D118),DAY(EOMONTH((Tahmin!$C$4+7),0)))),DATE(YEAR((Tahmin!$C$4+13)),MONTH((Tahmin!$C$4+13)),MIN(DAY(Kalemler!$D118),DAY(EOMONTH((Tahmin!$C$4+13),0))))&gt;=Kalemler!$D118)),1,0),IF(AND(Kalemler!$D118&gt;=(Tahmin!$C$4+7),Kalemler!$D118&lt;=(Tahmin!$C$4+13)),1,0))))</f>
        <v>0</v>
      </c>
      <c r="D118" s="0" t="n">
        <f aca="false">IF(OR(Kalemler!$A118="",Kalemler!$C118="",Kalemler!$D118=""),0,Kalemler!$C118*IF(Kalemler!$E118="Haftalık",IF(Kalemler!$D118&lt;=(Tahmin!$C$4+20),1,0),IF(Kalemler!$E118="Aylık",IF(OR(AND(DATE(YEAR((Tahmin!$C$4+14)),MONTH((Tahmin!$C$4+14)),MIN(DAY(Kalemler!$D118),DAY(EOMONTH((Tahmin!$C$4+14),0))))&gt;=(Tahmin!$C$4+14),DATE(YEAR((Tahmin!$C$4+14)),MONTH((Tahmin!$C$4+14)),MIN(DAY(Kalemler!$D118),DAY(EOMONTH((Tahmin!$C$4+14),0))))&lt;=(Tahmin!$C$4+20),DATE(YEAR((Tahmin!$C$4+14)),MONTH((Tahmin!$C$4+14)),MIN(DAY(Kalemler!$D118),DAY(EOMONTH((Tahmin!$C$4+14),0))))&gt;=Kalemler!$D118),AND(DATE(YEAR((Tahmin!$C$4+20)),MONTH((Tahmin!$C$4+20)),MIN(DAY(Kalemler!$D118),DAY(EOMONTH((Tahmin!$C$4+20),0))))&gt;=(Tahmin!$C$4+14),DATE(YEAR((Tahmin!$C$4+20)),MONTH((Tahmin!$C$4+20)),MIN(DAY(Kalemler!$D118),DAY(EOMONTH((Tahmin!$C$4+20),0))))&lt;=(Tahmin!$C$4+20),DATE(YEAR((Tahmin!$C$4+20)),MONTH((Tahmin!$C$4+20)),MIN(DAY(Kalemler!$D118),DAY(EOMONTH((Tahmin!$C$4+20),0))))&lt;&gt;DATE(YEAR((Tahmin!$C$4+14)),MONTH((Tahmin!$C$4+14)),MIN(DAY(Kalemler!$D118),DAY(EOMONTH((Tahmin!$C$4+14),0)))),DATE(YEAR((Tahmin!$C$4+20)),MONTH((Tahmin!$C$4+20)),MIN(DAY(Kalemler!$D118),DAY(EOMONTH((Tahmin!$C$4+20),0))))&gt;=Kalemler!$D118)),1,0),IF(AND(Kalemler!$D118&gt;=(Tahmin!$C$4+14),Kalemler!$D118&lt;=(Tahmin!$C$4+20)),1,0))))</f>
        <v>0</v>
      </c>
      <c r="E118" s="0" t="n">
        <f aca="false">IF(OR(Kalemler!$A118="",Kalemler!$C118="",Kalemler!$D118=""),0,Kalemler!$C118*IF(Kalemler!$E118="Haftalık",IF(Kalemler!$D118&lt;=(Tahmin!$C$4+27),1,0),IF(Kalemler!$E118="Aylık",IF(OR(AND(DATE(YEAR((Tahmin!$C$4+21)),MONTH((Tahmin!$C$4+21)),MIN(DAY(Kalemler!$D118),DAY(EOMONTH((Tahmin!$C$4+21),0))))&gt;=(Tahmin!$C$4+21),DATE(YEAR((Tahmin!$C$4+21)),MONTH((Tahmin!$C$4+21)),MIN(DAY(Kalemler!$D118),DAY(EOMONTH((Tahmin!$C$4+21),0))))&lt;=(Tahmin!$C$4+27),DATE(YEAR((Tahmin!$C$4+21)),MONTH((Tahmin!$C$4+21)),MIN(DAY(Kalemler!$D118),DAY(EOMONTH((Tahmin!$C$4+21),0))))&gt;=Kalemler!$D118),AND(DATE(YEAR((Tahmin!$C$4+27)),MONTH((Tahmin!$C$4+27)),MIN(DAY(Kalemler!$D118),DAY(EOMONTH((Tahmin!$C$4+27),0))))&gt;=(Tahmin!$C$4+21),DATE(YEAR((Tahmin!$C$4+27)),MONTH((Tahmin!$C$4+27)),MIN(DAY(Kalemler!$D118),DAY(EOMONTH((Tahmin!$C$4+27),0))))&lt;=(Tahmin!$C$4+27),DATE(YEAR((Tahmin!$C$4+27)),MONTH((Tahmin!$C$4+27)),MIN(DAY(Kalemler!$D118),DAY(EOMONTH((Tahmin!$C$4+27),0))))&lt;&gt;DATE(YEAR((Tahmin!$C$4+21)),MONTH((Tahmin!$C$4+21)),MIN(DAY(Kalemler!$D118),DAY(EOMONTH((Tahmin!$C$4+21),0)))),DATE(YEAR((Tahmin!$C$4+27)),MONTH((Tahmin!$C$4+27)),MIN(DAY(Kalemler!$D118),DAY(EOMONTH((Tahmin!$C$4+27),0))))&gt;=Kalemler!$D118)),1,0),IF(AND(Kalemler!$D118&gt;=(Tahmin!$C$4+21),Kalemler!$D118&lt;=(Tahmin!$C$4+27)),1,0))))</f>
        <v>0</v>
      </c>
      <c r="F118" s="0" t="n">
        <f aca="false">IF(OR(Kalemler!$A118="",Kalemler!$C118="",Kalemler!$D118=""),0,Kalemler!$C118*IF(Kalemler!$E118="Haftalık",IF(Kalemler!$D118&lt;=(Tahmin!$C$4+34),1,0),IF(Kalemler!$E118="Aylık",IF(OR(AND(DATE(YEAR((Tahmin!$C$4+28)),MONTH((Tahmin!$C$4+28)),MIN(DAY(Kalemler!$D118),DAY(EOMONTH((Tahmin!$C$4+28),0))))&gt;=(Tahmin!$C$4+28),DATE(YEAR((Tahmin!$C$4+28)),MONTH((Tahmin!$C$4+28)),MIN(DAY(Kalemler!$D118),DAY(EOMONTH((Tahmin!$C$4+28),0))))&lt;=(Tahmin!$C$4+34),DATE(YEAR((Tahmin!$C$4+28)),MONTH((Tahmin!$C$4+28)),MIN(DAY(Kalemler!$D118),DAY(EOMONTH((Tahmin!$C$4+28),0))))&gt;=Kalemler!$D118),AND(DATE(YEAR((Tahmin!$C$4+34)),MONTH((Tahmin!$C$4+34)),MIN(DAY(Kalemler!$D118),DAY(EOMONTH((Tahmin!$C$4+34),0))))&gt;=(Tahmin!$C$4+28),DATE(YEAR((Tahmin!$C$4+34)),MONTH((Tahmin!$C$4+34)),MIN(DAY(Kalemler!$D118),DAY(EOMONTH((Tahmin!$C$4+34),0))))&lt;=(Tahmin!$C$4+34),DATE(YEAR((Tahmin!$C$4+34)),MONTH((Tahmin!$C$4+34)),MIN(DAY(Kalemler!$D118),DAY(EOMONTH((Tahmin!$C$4+34),0))))&lt;&gt;DATE(YEAR((Tahmin!$C$4+28)),MONTH((Tahmin!$C$4+28)),MIN(DAY(Kalemler!$D118),DAY(EOMONTH((Tahmin!$C$4+28),0)))),DATE(YEAR((Tahmin!$C$4+34)),MONTH((Tahmin!$C$4+34)),MIN(DAY(Kalemler!$D118),DAY(EOMONTH((Tahmin!$C$4+34),0))))&gt;=Kalemler!$D118)),1,0),IF(AND(Kalemler!$D118&gt;=(Tahmin!$C$4+28),Kalemler!$D118&lt;=(Tahmin!$C$4+34)),1,0))))</f>
        <v>0</v>
      </c>
      <c r="G118" s="0" t="n">
        <f aca="false">IF(OR(Kalemler!$A118="",Kalemler!$C118="",Kalemler!$D118=""),0,Kalemler!$C118*IF(Kalemler!$E118="Haftalık",IF(Kalemler!$D118&lt;=(Tahmin!$C$4+41),1,0),IF(Kalemler!$E118="Aylık",IF(OR(AND(DATE(YEAR((Tahmin!$C$4+35)),MONTH((Tahmin!$C$4+35)),MIN(DAY(Kalemler!$D118),DAY(EOMONTH((Tahmin!$C$4+35),0))))&gt;=(Tahmin!$C$4+35),DATE(YEAR((Tahmin!$C$4+35)),MONTH((Tahmin!$C$4+35)),MIN(DAY(Kalemler!$D118),DAY(EOMONTH((Tahmin!$C$4+35),0))))&lt;=(Tahmin!$C$4+41),DATE(YEAR((Tahmin!$C$4+35)),MONTH((Tahmin!$C$4+35)),MIN(DAY(Kalemler!$D118),DAY(EOMONTH((Tahmin!$C$4+35),0))))&gt;=Kalemler!$D118),AND(DATE(YEAR((Tahmin!$C$4+41)),MONTH((Tahmin!$C$4+41)),MIN(DAY(Kalemler!$D118),DAY(EOMONTH((Tahmin!$C$4+41),0))))&gt;=(Tahmin!$C$4+35),DATE(YEAR((Tahmin!$C$4+41)),MONTH((Tahmin!$C$4+41)),MIN(DAY(Kalemler!$D118),DAY(EOMONTH((Tahmin!$C$4+41),0))))&lt;=(Tahmin!$C$4+41),DATE(YEAR((Tahmin!$C$4+41)),MONTH((Tahmin!$C$4+41)),MIN(DAY(Kalemler!$D118),DAY(EOMONTH((Tahmin!$C$4+41),0))))&lt;&gt;DATE(YEAR((Tahmin!$C$4+35)),MONTH((Tahmin!$C$4+35)),MIN(DAY(Kalemler!$D118),DAY(EOMONTH((Tahmin!$C$4+35),0)))),DATE(YEAR((Tahmin!$C$4+41)),MONTH((Tahmin!$C$4+41)),MIN(DAY(Kalemler!$D118),DAY(EOMONTH((Tahmin!$C$4+41),0))))&gt;=Kalemler!$D118)),1,0),IF(AND(Kalemler!$D118&gt;=(Tahmin!$C$4+35),Kalemler!$D118&lt;=(Tahmin!$C$4+41)),1,0))))</f>
        <v>0</v>
      </c>
      <c r="H118" s="0" t="n">
        <f aca="false">IF(OR(Kalemler!$A118="",Kalemler!$C118="",Kalemler!$D118=""),0,Kalemler!$C118*IF(Kalemler!$E118="Haftalık",IF(Kalemler!$D118&lt;=(Tahmin!$C$4+48),1,0),IF(Kalemler!$E118="Aylık",IF(OR(AND(DATE(YEAR((Tahmin!$C$4+42)),MONTH((Tahmin!$C$4+42)),MIN(DAY(Kalemler!$D118),DAY(EOMONTH((Tahmin!$C$4+42),0))))&gt;=(Tahmin!$C$4+42),DATE(YEAR((Tahmin!$C$4+42)),MONTH((Tahmin!$C$4+42)),MIN(DAY(Kalemler!$D118),DAY(EOMONTH((Tahmin!$C$4+42),0))))&lt;=(Tahmin!$C$4+48),DATE(YEAR((Tahmin!$C$4+42)),MONTH((Tahmin!$C$4+42)),MIN(DAY(Kalemler!$D118),DAY(EOMONTH((Tahmin!$C$4+42),0))))&gt;=Kalemler!$D118),AND(DATE(YEAR((Tahmin!$C$4+48)),MONTH((Tahmin!$C$4+48)),MIN(DAY(Kalemler!$D118),DAY(EOMONTH((Tahmin!$C$4+48),0))))&gt;=(Tahmin!$C$4+42),DATE(YEAR((Tahmin!$C$4+48)),MONTH((Tahmin!$C$4+48)),MIN(DAY(Kalemler!$D118),DAY(EOMONTH((Tahmin!$C$4+48),0))))&lt;=(Tahmin!$C$4+48),DATE(YEAR((Tahmin!$C$4+48)),MONTH((Tahmin!$C$4+48)),MIN(DAY(Kalemler!$D118),DAY(EOMONTH((Tahmin!$C$4+48),0))))&lt;&gt;DATE(YEAR((Tahmin!$C$4+42)),MONTH((Tahmin!$C$4+42)),MIN(DAY(Kalemler!$D118),DAY(EOMONTH((Tahmin!$C$4+42),0)))),DATE(YEAR((Tahmin!$C$4+48)),MONTH((Tahmin!$C$4+48)),MIN(DAY(Kalemler!$D118),DAY(EOMONTH((Tahmin!$C$4+48),0))))&gt;=Kalemler!$D118)),1,0),IF(AND(Kalemler!$D118&gt;=(Tahmin!$C$4+42),Kalemler!$D118&lt;=(Tahmin!$C$4+48)),1,0))))</f>
        <v>0</v>
      </c>
      <c r="I118" s="0" t="n">
        <f aca="false">IF(OR(Kalemler!$A118="",Kalemler!$C118="",Kalemler!$D118=""),0,Kalemler!$C118*IF(Kalemler!$E118="Haftalık",IF(Kalemler!$D118&lt;=(Tahmin!$C$4+55),1,0),IF(Kalemler!$E118="Aylık",IF(OR(AND(DATE(YEAR((Tahmin!$C$4+49)),MONTH((Tahmin!$C$4+49)),MIN(DAY(Kalemler!$D118),DAY(EOMONTH((Tahmin!$C$4+49),0))))&gt;=(Tahmin!$C$4+49),DATE(YEAR((Tahmin!$C$4+49)),MONTH((Tahmin!$C$4+49)),MIN(DAY(Kalemler!$D118),DAY(EOMONTH((Tahmin!$C$4+49),0))))&lt;=(Tahmin!$C$4+55),DATE(YEAR((Tahmin!$C$4+49)),MONTH((Tahmin!$C$4+49)),MIN(DAY(Kalemler!$D118),DAY(EOMONTH((Tahmin!$C$4+49),0))))&gt;=Kalemler!$D118),AND(DATE(YEAR((Tahmin!$C$4+55)),MONTH((Tahmin!$C$4+55)),MIN(DAY(Kalemler!$D118),DAY(EOMONTH((Tahmin!$C$4+55),0))))&gt;=(Tahmin!$C$4+49),DATE(YEAR((Tahmin!$C$4+55)),MONTH((Tahmin!$C$4+55)),MIN(DAY(Kalemler!$D118),DAY(EOMONTH((Tahmin!$C$4+55),0))))&lt;=(Tahmin!$C$4+55),DATE(YEAR((Tahmin!$C$4+55)),MONTH((Tahmin!$C$4+55)),MIN(DAY(Kalemler!$D118),DAY(EOMONTH((Tahmin!$C$4+55),0))))&lt;&gt;DATE(YEAR((Tahmin!$C$4+49)),MONTH((Tahmin!$C$4+49)),MIN(DAY(Kalemler!$D118),DAY(EOMONTH((Tahmin!$C$4+49),0)))),DATE(YEAR((Tahmin!$C$4+55)),MONTH((Tahmin!$C$4+55)),MIN(DAY(Kalemler!$D118),DAY(EOMONTH((Tahmin!$C$4+55),0))))&gt;=Kalemler!$D118)),1,0),IF(AND(Kalemler!$D118&gt;=(Tahmin!$C$4+49),Kalemler!$D118&lt;=(Tahmin!$C$4+55)),1,0))))</f>
        <v>0</v>
      </c>
      <c r="J118" s="0" t="n">
        <f aca="false">IF(OR(Kalemler!$A118="",Kalemler!$C118="",Kalemler!$D118=""),0,Kalemler!$C118*IF(Kalemler!$E118="Haftalık",IF(Kalemler!$D118&lt;=(Tahmin!$C$4+62),1,0),IF(Kalemler!$E118="Aylık",IF(OR(AND(DATE(YEAR((Tahmin!$C$4+56)),MONTH((Tahmin!$C$4+56)),MIN(DAY(Kalemler!$D118),DAY(EOMONTH((Tahmin!$C$4+56),0))))&gt;=(Tahmin!$C$4+56),DATE(YEAR((Tahmin!$C$4+56)),MONTH((Tahmin!$C$4+56)),MIN(DAY(Kalemler!$D118),DAY(EOMONTH((Tahmin!$C$4+56),0))))&lt;=(Tahmin!$C$4+62),DATE(YEAR((Tahmin!$C$4+56)),MONTH((Tahmin!$C$4+56)),MIN(DAY(Kalemler!$D118),DAY(EOMONTH((Tahmin!$C$4+56),0))))&gt;=Kalemler!$D118),AND(DATE(YEAR((Tahmin!$C$4+62)),MONTH((Tahmin!$C$4+62)),MIN(DAY(Kalemler!$D118),DAY(EOMONTH((Tahmin!$C$4+62),0))))&gt;=(Tahmin!$C$4+56),DATE(YEAR((Tahmin!$C$4+62)),MONTH((Tahmin!$C$4+62)),MIN(DAY(Kalemler!$D118),DAY(EOMONTH((Tahmin!$C$4+62),0))))&lt;=(Tahmin!$C$4+62),DATE(YEAR((Tahmin!$C$4+62)),MONTH((Tahmin!$C$4+62)),MIN(DAY(Kalemler!$D118),DAY(EOMONTH((Tahmin!$C$4+62),0))))&lt;&gt;DATE(YEAR((Tahmin!$C$4+56)),MONTH((Tahmin!$C$4+56)),MIN(DAY(Kalemler!$D118),DAY(EOMONTH((Tahmin!$C$4+56),0)))),DATE(YEAR((Tahmin!$C$4+62)),MONTH((Tahmin!$C$4+62)),MIN(DAY(Kalemler!$D118),DAY(EOMONTH((Tahmin!$C$4+62),0))))&gt;=Kalemler!$D118)),1,0),IF(AND(Kalemler!$D118&gt;=(Tahmin!$C$4+56),Kalemler!$D118&lt;=(Tahmin!$C$4+62)),1,0))))</f>
        <v>0</v>
      </c>
      <c r="K118" s="0" t="n">
        <f aca="false">IF(OR(Kalemler!$A118="",Kalemler!$C118="",Kalemler!$D118=""),0,Kalemler!$C118*IF(Kalemler!$E118="Haftalık",IF(Kalemler!$D118&lt;=(Tahmin!$C$4+69),1,0),IF(Kalemler!$E118="Aylık",IF(OR(AND(DATE(YEAR((Tahmin!$C$4+63)),MONTH((Tahmin!$C$4+63)),MIN(DAY(Kalemler!$D118),DAY(EOMONTH((Tahmin!$C$4+63),0))))&gt;=(Tahmin!$C$4+63),DATE(YEAR((Tahmin!$C$4+63)),MONTH((Tahmin!$C$4+63)),MIN(DAY(Kalemler!$D118),DAY(EOMONTH((Tahmin!$C$4+63),0))))&lt;=(Tahmin!$C$4+69),DATE(YEAR((Tahmin!$C$4+63)),MONTH((Tahmin!$C$4+63)),MIN(DAY(Kalemler!$D118),DAY(EOMONTH((Tahmin!$C$4+63),0))))&gt;=Kalemler!$D118),AND(DATE(YEAR((Tahmin!$C$4+69)),MONTH((Tahmin!$C$4+69)),MIN(DAY(Kalemler!$D118),DAY(EOMONTH((Tahmin!$C$4+69),0))))&gt;=(Tahmin!$C$4+63),DATE(YEAR((Tahmin!$C$4+69)),MONTH((Tahmin!$C$4+69)),MIN(DAY(Kalemler!$D118),DAY(EOMONTH((Tahmin!$C$4+69),0))))&lt;=(Tahmin!$C$4+69),DATE(YEAR((Tahmin!$C$4+69)),MONTH((Tahmin!$C$4+69)),MIN(DAY(Kalemler!$D118),DAY(EOMONTH((Tahmin!$C$4+69),0))))&lt;&gt;DATE(YEAR((Tahmin!$C$4+63)),MONTH((Tahmin!$C$4+63)),MIN(DAY(Kalemler!$D118),DAY(EOMONTH((Tahmin!$C$4+63),0)))),DATE(YEAR((Tahmin!$C$4+69)),MONTH((Tahmin!$C$4+69)),MIN(DAY(Kalemler!$D118),DAY(EOMONTH((Tahmin!$C$4+69),0))))&gt;=Kalemler!$D118)),1,0),IF(AND(Kalemler!$D118&gt;=(Tahmin!$C$4+63),Kalemler!$D118&lt;=(Tahmin!$C$4+69)),1,0))))</f>
        <v>0</v>
      </c>
      <c r="L118" s="0" t="n">
        <f aca="false">IF(OR(Kalemler!$A118="",Kalemler!$C118="",Kalemler!$D118=""),0,Kalemler!$C118*IF(Kalemler!$E118="Haftalık",IF(Kalemler!$D118&lt;=(Tahmin!$C$4+76),1,0),IF(Kalemler!$E118="Aylık",IF(OR(AND(DATE(YEAR((Tahmin!$C$4+70)),MONTH((Tahmin!$C$4+70)),MIN(DAY(Kalemler!$D118),DAY(EOMONTH((Tahmin!$C$4+70),0))))&gt;=(Tahmin!$C$4+70),DATE(YEAR((Tahmin!$C$4+70)),MONTH((Tahmin!$C$4+70)),MIN(DAY(Kalemler!$D118),DAY(EOMONTH((Tahmin!$C$4+70),0))))&lt;=(Tahmin!$C$4+76),DATE(YEAR((Tahmin!$C$4+70)),MONTH((Tahmin!$C$4+70)),MIN(DAY(Kalemler!$D118),DAY(EOMONTH((Tahmin!$C$4+70),0))))&gt;=Kalemler!$D118),AND(DATE(YEAR((Tahmin!$C$4+76)),MONTH((Tahmin!$C$4+76)),MIN(DAY(Kalemler!$D118),DAY(EOMONTH((Tahmin!$C$4+76),0))))&gt;=(Tahmin!$C$4+70),DATE(YEAR((Tahmin!$C$4+76)),MONTH((Tahmin!$C$4+76)),MIN(DAY(Kalemler!$D118),DAY(EOMONTH((Tahmin!$C$4+76),0))))&lt;=(Tahmin!$C$4+76),DATE(YEAR((Tahmin!$C$4+76)),MONTH((Tahmin!$C$4+76)),MIN(DAY(Kalemler!$D118),DAY(EOMONTH((Tahmin!$C$4+76),0))))&lt;&gt;DATE(YEAR((Tahmin!$C$4+70)),MONTH((Tahmin!$C$4+70)),MIN(DAY(Kalemler!$D118),DAY(EOMONTH((Tahmin!$C$4+70),0)))),DATE(YEAR((Tahmin!$C$4+76)),MONTH((Tahmin!$C$4+76)),MIN(DAY(Kalemler!$D118),DAY(EOMONTH((Tahmin!$C$4+76),0))))&gt;=Kalemler!$D118)),1,0),IF(AND(Kalemler!$D118&gt;=(Tahmin!$C$4+70),Kalemler!$D118&lt;=(Tahmin!$C$4+76)),1,0))))</f>
        <v>0</v>
      </c>
      <c r="M118" s="0" t="n">
        <f aca="false">IF(OR(Kalemler!$A118="",Kalemler!$C118="",Kalemler!$D118=""),0,Kalemler!$C118*IF(Kalemler!$E118="Haftalık",IF(Kalemler!$D118&lt;=(Tahmin!$C$4+83),1,0),IF(Kalemler!$E118="Aylık",IF(OR(AND(DATE(YEAR((Tahmin!$C$4+77)),MONTH((Tahmin!$C$4+77)),MIN(DAY(Kalemler!$D118),DAY(EOMONTH((Tahmin!$C$4+77),0))))&gt;=(Tahmin!$C$4+77),DATE(YEAR((Tahmin!$C$4+77)),MONTH((Tahmin!$C$4+77)),MIN(DAY(Kalemler!$D118),DAY(EOMONTH((Tahmin!$C$4+77),0))))&lt;=(Tahmin!$C$4+83),DATE(YEAR((Tahmin!$C$4+77)),MONTH((Tahmin!$C$4+77)),MIN(DAY(Kalemler!$D118),DAY(EOMONTH((Tahmin!$C$4+77),0))))&gt;=Kalemler!$D118),AND(DATE(YEAR((Tahmin!$C$4+83)),MONTH((Tahmin!$C$4+83)),MIN(DAY(Kalemler!$D118),DAY(EOMONTH((Tahmin!$C$4+83),0))))&gt;=(Tahmin!$C$4+77),DATE(YEAR((Tahmin!$C$4+83)),MONTH((Tahmin!$C$4+83)),MIN(DAY(Kalemler!$D118),DAY(EOMONTH((Tahmin!$C$4+83),0))))&lt;=(Tahmin!$C$4+83),DATE(YEAR((Tahmin!$C$4+83)),MONTH((Tahmin!$C$4+83)),MIN(DAY(Kalemler!$D118),DAY(EOMONTH((Tahmin!$C$4+83),0))))&lt;&gt;DATE(YEAR((Tahmin!$C$4+77)),MONTH((Tahmin!$C$4+77)),MIN(DAY(Kalemler!$D118),DAY(EOMONTH((Tahmin!$C$4+77),0)))),DATE(YEAR((Tahmin!$C$4+83)),MONTH((Tahmin!$C$4+83)),MIN(DAY(Kalemler!$D118),DAY(EOMONTH((Tahmin!$C$4+83),0))))&gt;=Kalemler!$D118)),1,0),IF(AND(Kalemler!$D118&gt;=(Tahmin!$C$4+77),Kalemler!$D118&lt;=(Tahmin!$C$4+83)),1,0))))</f>
        <v>0</v>
      </c>
      <c r="N118" s="0" t="n">
        <f aca="false">IF(OR(Kalemler!$A118="",Kalemler!$C118="",Kalemler!$D118=""),0,Kalemler!$C118*IF(Kalemler!$E118="Haftalık",IF(Kalemler!$D118&lt;=(Tahmin!$C$4+90),1,0),IF(Kalemler!$E118="Aylık",IF(OR(AND(DATE(YEAR((Tahmin!$C$4+84)),MONTH((Tahmin!$C$4+84)),MIN(DAY(Kalemler!$D118),DAY(EOMONTH((Tahmin!$C$4+84),0))))&gt;=(Tahmin!$C$4+84),DATE(YEAR((Tahmin!$C$4+84)),MONTH((Tahmin!$C$4+84)),MIN(DAY(Kalemler!$D118),DAY(EOMONTH((Tahmin!$C$4+84),0))))&lt;=(Tahmin!$C$4+90),DATE(YEAR((Tahmin!$C$4+84)),MONTH((Tahmin!$C$4+84)),MIN(DAY(Kalemler!$D118),DAY(EOMONTH((Tahmin!$C$4+84),0))))&gt;=Kalemler!$D118),AND(DATE(YEAR((Tahmin!$C$4+90)),MONTH((Tahmin!$C$4+90)),MIN(DAY(Kalemler!$D118),DAY(EOMONTH((Tahmin!$C$4+90),0))))&gt;=(Tahmin!$C$4+84),DATE(YEAR((Tahmin!$C$4+90)),MONTH((Tahmin!$C$4+90)),MIN(DAY(Kalemler!$D118),DAY(EOMONTH((Tahmin!$C$4+90),0))))&lt;=(Tahmin!$C$4+90),DATE(YEAR((Tahmin!$C$4+90)),MONTH((Tahmin!$C$4+90)),MIN(DAY(Kalemler!$D118),DAY(EOMONTH((Tahmin!$C$4+90),0))))&lt;&gt;DATE(YEAR((Tahmin!$C$4+84)),MONTH((Tahmin!$C$4+84)),MIN(DAY(Kalemler!$D118),DAY(EOMONTH((Tahmin!$C$4+84),0)))),DATE(YEAR((Tahmin!$C$4+90)),MONTH((Tahmin!$C$4+90)),MIN(DAY(Kalemler!$D118),DAY(EOMONTH((Tahmin!$C$4+90),0))))&gt;=Kalemler!$D118)),1,0),IF(AND(Kalemler!$D118&gt;=(Tahmin!$C$4+84),Kalemler!$D118&lt;=(Tahmin!$C$4+90)),1,0))))</f>
        <v>0</v>
      </c>
    </row>
    <row r="119" customFormat="false" ht="15" hidden="false" customHeight="false" outlineLevel="0" collapsed="false">
      <c r="A119" s="0" t="str">
        <f aca="false">IF(Kalemler!A119="","",Kalemler!A119)</f>
        <v/>
      </c>
      <c r="B119" s="0" t="n">
        <f aca="false">IF(OR(Kalemler!$A119="",Kalemler!$C119="",Kalemler!$D119=""),0,Kalemler!$C119*IF(Kalemler!$E119="Haftalık",IF(Kalemler!$D119&lt;=(Tahmin!$C$4+6),1,0),IF(Kalemler!$E119="Aylık",IF(OR(AND(DATE(YEAR((Tahmin!$C$4+0)),MONTH((Tahmin!$C$4+0)),MIN(DAY(Kalemler!$D119),DAY(EOMONTH((Tahmin!$C$4+0),0))))&gt;=(Tahmin!$C$4+0),DATE(YEAR((Tahmin!$C$4+0)),MONTH((Tahmin!$C$4+0)),MIN(DAY(Kalemler!$D119),DAY(EOMONTH((Tahmin!$C$4+0),0))))&lt;=(Tahmin!$C$4+6),DATE(YEAR((Tahmin!$C$4+0)),MONTH((Tahmin!$C$4+0)),MIN(DAY(Kalemler!$D119),DAY(EOMONTH((Tahmin!$C$4+0),0))))&gt;=Kalemler!$D119),AND(DATE(YEAR((Tahmin!$C$4+6)),MONTH((Tahmin!$C$4+6)),MIN(DAY(Kalemler!$D119),DAY(EOMONTH((Tahmin!$C$4+6),0))))&gt;=(Tahmin!$C$4+0),DATE(YEAR((Tahmin!$C$4+6)),MONTH((Tahmin!$C$4+6)),MIN(DAY(Kalemler!$D119),DAY(EOMONTH((Tahmin!$C$4+6),0))))&lt;=(Tahmin!$C$4+6),DATE(YEAR((Tahmin!$C$4+6)),MONTH((Tahmin!$C$4+6)),MIN(DAY(Kalemler!$D119),DAY(EOMONTH((Tahmin!$C$4+6),0))))&lt;&gt;DATE(YEAR((Tahmin!$C$4+0)),MONTH((Tahmin!$C$4+0)),MIN(DAY(Kalemler!$D119),DAY(EOMONTH((Tahmin!$C$4+0),0)))),DATE(YEAR((Tahmin!$C$4+6)),MONTH((Tahmin!$C$4+6)),MIN(DAY(Kalemler!$D119),DAY(EOMONTH((Tahmin!$C$4+6),0))))&gt;=Kalemler!$D119)),1,0),IF(AND(Kalemler!$D119&gt;=(Tahmin!$C$4+0),Kalemler!$D119&lt;=(Tahmin!$C$4+6)),1,0))))</f>
        <v>0</v>
      </c>
      <c r="C119" s="0" t="n">
        <f aca="false">IF(OR(Kalemler!$A119="",Kalemler!$C119="",Kalemler!$D119=""),0,Kalemler!$C119*IF(Kalemler!$E119="Haftalık",IF(Kalemler!$D119&lt;=(Tahmin!$C$4+13),1,0),IF(Kalemler!$E119="Aylık",IF(OR(AND(DATE(YEAR((Tahmin!$C$4+7)),MONTH((Tahmin!$C$4+7)),MIN(DAY(Kalemler!$D119),DAY(EOMONTH((Tahmin!$C$4+7),0))))&gt;=(Tahmin!$C$4+7),DATE(YEAR((Tahmin!$C$4+7)),MONTH((Tahmin!$C$4+7)),MIN(DAY(Kalemler!$D119),DAY(EOMONTH((Tahmin!$C$4+7),0))))&lt;=(Tahmin!$C$4+13),DATE(YEAR((Tahmin!$C$4+7)),MONTH((Tahmin!$C$4+7)),MIN(DAY(Kalemler!$D119),DAY(EOMONTH((Tahmin!$C$4+7),0))))&gt;=Kalemler!$D119),AND(DATE(YEAR((Tahmin!$C$4+13)),MONTH((Tahmin!$C$4+13)),MIN(DAY(Kalemler!$D119),DAY(EOMONTH((Tahmin!$C$4+13),0))))&gt;=(Tahmin!$C$4+7),DATE(YEAR((Tahmin!$C$4+13)),MONTH((Tahmin!$C$4+13)),MIN(DAY(Kalemler!$D119),DAY(EOMONTH((Tahmin!$C$4+13),0))))&lt;=(Tahmin!$C$4+13),DATE(YEAR((Tahmin!$C$4+13)),MONTH((Tahmin!$C$4+13)),MIN(DAY(Kalemler!$D119),DAY(EOMONTH((Tahmin!$C$4+13),0))))&lt;&gt;DATE(YEAR((Tahmin!$C$4+7)),MONTH((Tahmin!$C$4+7)),MIN(DAY(Kalemler!$D119),DAY(EOMONTH((Tahmin!$C$4+7),0)))),DATE(YEAR((Tahmin!$C$4+13)),MONTH((Tahmin!$C$4+13)),MIN(DAY(Kalemler!$D119),DAY(EOMONTH((Tahmin!$C$4+13),0))))&gt;=Kalemler!$D119)),1,0),IF(AND(Kalemler!$D119&gt;=(Tahmin!$C$4+7),Kalemler!$D119&lt;=(Tahmin!$C$4+13)),1,0))))</f>
        <v>0</v>
      </c>
      <c r="D119" s="0" t="n">
        <f aca="false">IF(OR(Kalemler!$A119="",Kalemler!$C119="",Kalemler!$D119=""),0,Kalemler!$C119*IF(Kalemler!$E119="Haftalık",IF(Kalemler!$D119&lt;=(Tahmin!$C$4+20),1,0),IF(Kalemler!$E119="Aylık",IF(OR(AND(DATE(YEAR((Tahmin!$C$4+14)),MONTH((Tahmin!$C$4+14)),MIN(DAY(Kalemler!$D119),DAY(EOMONTH((Tahmin!$C$4+14),0))))&gt;=(Tahmin!$C$4+14),DATE(YEAR((Tahmin!$C$4+14)),MONTH((Tahmin!$C$4+14)),MIN(DAY(Kalemler!$D119),DAY(EOMONTH((Tahmin!$C$4+14),0))))&lt;=(Tahmin!$C$4+20),DATE(YEAR((Tahmin!$C$4+14)),MONTH((Tahmin!$C$4+14)),MIN(DAY(Kalemler!$D119),DAY(EOMONTH((Tahmin!$C$4+14),0))))&gt;=Kalemler!$D119),AND(DATE(YEAR((Tahmin!$C$4+20)),MONTH((Tahmin!$C$4+20)),MIN(DAY(Kalemler!$D119),DAY(EOMONTH((Tahmin!$C$4+20),0))))&gt;=(Tahmin!$C$4+14),DATE(YEAR((Tahmin!$C$4+20)),MONTH((Tahmin!$C$4+20)),MIN(DAY(Kalemler!$D119),DAY(EOMONTH((Tahmin!$C$4+20),0))))&lt;=(Tahmin!$C$4+20),DATE(YEAR((Tahmin!$C$4+20)),MONTH((Tahmin!$C$4+20)),MIN(DAY(Kalemler!$D119),DAY(EOMONTH((Tahmin!$C$4+20),0))))&lt;&gt;DATE(YEAR((Tahmin!$C$4+14)),MONTH((Tahmin!$C$4+14)),MIN(DAY(Kalemler!$D119),DAY(EOMONTH((Tahmin!$C$4+14),0)))),DATE(YEAR((Tahmin!$C$4+20)),MONTH((Tahmin!$C$4+20)),MIN(DAY(Kalemler!$D119),DAY(EOMONTH((Tahmin!$C$4+20),0))))&gt;=Kalemler!$D119)),1,0),IF(AND(Kalemler!$D119&gt;=(Tahmin!$C$4+14),Kalemler!$D119&lt;=(Tahmin!$C$4+20)),1,0))))</f>
        <v>0</v>
      </c>
      <c r="E119" s="0" t="n">
        <f aca="false">IF(OR(Kalemler!$A119="",Kalemler!$C119="",Kalemler!$D119=""),0,Kalemler!$C119*IF(Kalemler!$E119="Haftalık",IF(Kalemler!$D119&lt;=(Tahmin!$C$4+27),1,0),IF(Kalemler!$E119="Aylık",IF(OR(AND(DATE(YEAR((Tahmin!$C$4+21)),MONTH((Tahmin!$C$4+21)),MIN(DAY(Kalemler!$D119),DAY(EOMONTH((Tahmin!$C$4+21),0))))&gt;=(Tahmin!$C$4+21),DATE(YEAR((Tahmin!$C$4+21)),MONTH((Tahmin!$C$4+21)),MIN(DAY(Kalemler!$D119),DAY(EOMONTH((Tahmin!$C$4+21),0))))&lt;=(Tahmin!$C$4+27),DATE(YEAR((Tahmin!$C$4+21)),MONTH((Tahmin!$C$4+21)),MIN(DAY(Kalemler!$D119),DAY(EOMONTH((Tahmin!$C$4+21),0))))&gt;=Kalemler!$D119),AND(DATE(YEAR((Tahmin!$C$4+27)),MONTH((Tahmin!$C$4+27)),MIN(DAY(Kalemler!$D119),DAY(EOMONTH((Tahmin!$C$4+27),0))))&gt;=(Tahmin!$C$4+21),DATE(YEAR((Tahmin!$C$4+27)),MONTH((Tahmin!$C$4+27)),MIN(DAY(Kalemler!$D119),DAY(EOMONTH((Tahmin!$C$4+27),0))))&lt;=(Tahmin!$C$4+27),DATE(YEAR((Tahmin!$C$4+27)),MONTH((Tahmin!$C$4+27)),MIN(DAY(Kalemler!$D119),DAY(EOMONTH((Tahmin!$C$4+27),0))))&lt;&gt;DATE(YEAR((Tahmin!$C$4+21)),MONTH((Tahmin!$C$4+21)),MIN(DAY(Kalemler!$D119),DAY(EOMONTH((Tahmin!$C$4+21),0)))),DATE(YEAR((Tahmin!$C$4+27)),MONTH((Tahmin!$C$4+27)),MIN(DAY(Kalemler!$D119),DAY(EOMONTH((Tahmin!$C$4+27),0))))&gt;=Kalemler!$D119)),1,0),IF(AND(Kalemler!$D119&gt;=(Tahmin!$C$4+21),Kalemler!$D119&lt;=(Tahmin!$C$4+27)),1,0))))</f>
        <v>0</v>
      </c>
      <c r="F119" s="0" t="n">
        <f aca="false">IF(OR(Kalemler!$A119="",Kalemler!$C119="",Kalemler!$D119=""),0,Kalemler!$C119*IF(Kalemler!$E119="Haftalık",IF(Kalemler!$D119&lt;=(Tahmin!$C$4+34),1,0),IF(Kalemler!$E119="Aylık",IF(OR(AND(DATE(YEAR((Tahmin!$C$4+28)),MONTH((Tahmin!$C$4+28)),MIN(DAY(Kalemler!$D119),DAY(EOMONTH((Tahmin!$C$4+28),0))))&gt;=(Tahmin!$C$4+28),DATE(YEAR((Tahmin!$C$4+28)),MONTH((Tahmin!$C$4+28)),MIN(DAY(Kalemler!$D119),DAY(EOMONTH((Tahmin!$C$4+28),0))))&lt;=(Tahmin!$C$4+34),DATE(YEAR((Tahmin!$C$4+28)),MONTH((Tahmin!$C$4+28)),MIN(DAY(Kalemler!$D119),DAY(EOMONTH((Tahmin!$C$4+28),0))))&gt;=Kalemler!$D119),AND(DATE(YEAR((Tahmin!$C$4+34)),MONTH((Tahmin!$C$4+34)),MIN(DAY(Kalemler!$D119),DAY(EOMONTH((Tahmin!$C$4+34),0))))&gt;=(Tahmin!$C$4+28),DATE(YEAR((Tahmin!$C$4+34)),MONTH((Tahmin!$C$4+34)),MIN(DAY(Kalemler!$D119),DAY(EOMONTH((Tahmin!$C$4+34),0))))&lt;=(Tahmin!$C$4+34),DATE(YEAR((Tahmin!$C$4+34)),MONTH((Tahmin!$C$4+34)),MIN(DAY(Kalemler!$D119),DAY(EOMONTH((Tahmin!$C$4+34),0))))&lt;&gt;DATE(YEAR((Tahmin!$C$4+28)),MONTH((Tahmin!$C$4+28)),MIN(DAY(Kalemler!$D119),DAY(EOMONTH((Tahmin!$C$4+28),0)))),DATE(YEAR((Tahmin!$C$4+34)),MONTH((Tahmin!$C$4+34)),MIN(DAY(Kalemler!$D119),DAY(EOMONTH((Tahmin!$C$4+34),0))))&gt;=Kalemler!$D119)),1,0),IF(AND(Kalemler!$D119&gt;=(Tahmin!$C$4+28),Kalemler!$D119&lt;=(Tahmin!$C$4+34)),1,0))))</f>
        <v>0</v>
      </c>
      <c r="G119" s="0" t="n">
        <f aca="false">IF(OR(Kalemler!$A119="",Kalemler!$C119="",Kalemler!$D119=""),0,Kalemler!$C119*IF(Kalemler!$E119="Haftalık",IF(Kalemler!$D119&lt;=(Tahmin!$C$4+41),1,0),IF(Kalemler!$E119="Aylık",IF(OR(AND(DATE(YEAR((Tahmin!$C$4+35)),MONTH((Tahmin!$C$4+35)),MIN(DAY(Kalemler!$D119),DAY(EOMONTH((Tahmin!$C$4+35),0))))&gt;=(Tahmin!$C$4+35),DATE(YEAR((Tahmin!$C$4+35)),MONTH((Tahmin!$C$4+35)),MIN(DAY(Kalemler!$D119),DAY(EOMONTH((Tahmin!$C$4+35),0))))&lt;=(Tahmin!$C$4+41),DATE(YEAR((Tahmin!$C$4+35)),MONTH((Tahmin!$C$4+35)),MIN(DAY(Kalemler!$D119),DAY(EOMONTH((Tahmin!$C$4+35),0))))&gt;=Kalemler!$D119),AND(DATE(YEAR((Tahmin!$C$4+41)),MONTH((Tahmin!$C$4+41)),MIN(DAY(Kalemler!$D119),DAY(EOMONTH((Tahmin!$C$4+41),0))))&gt;=(Tahmin!$C$4+35),DATE(YEAR((Tahmin!$C$4+41)),MONTH((Tahmin!$C$4+41)),MIN(DAY(Kalemler!$D119),DAY(EOMONTH((Tahmin!$C$4+41),0))))&lt;=(Tahmin!$C$4+41),DATE(YEAR((Tahmin!$C$4+41)),MONTH((Tahmin!$C$4+41)),MIN(DAY(Kalemler!$D119),DAY(EOMONTH((Tahmin!$C$4+41),0))))&lt;&gt;DATE(YEAR((Tahmin!$C$4+35)),MONTH((Tahmin!$C$4+35)),MIN(DAY(Kalemler!$D119),DAY(EOMONTH((Tahmin!$C$4+35),0)))),DATE(YEAR((Tahmin!$C$4+41)),MONTH((Tahmin!$C$4+41)),MIN(DAY(Kalemler!$D119),DAY(EOMONTH((Tahmin!$C$4+41),0))))&gt;=Kalemler!$D119)),1,0),IF(AND(Kalemler!$D119&gt;=(Tahmin!$C$4+35),Kalemler!$D119&lt;=(Tahmin!$C$4+41)),1,0))))</f>
        <v>0</v>
      </c>
      <c r="H119" s="0" t="n">
        <f aca="false">IF(OR(Kalemler!$A119="",Kalemler!$C119="",Kalemler!$D119=""),0,Kalemler!$C119*IF(Kalemler!$E119="Haftalık",IF(Kalemler!$D119&lt;=(Tahmin!$C$4+48),1,0),IF(Kalemler!$E119="Aylık",IF(OR(AND(DATE(YEAR((Tahmin!$C$4+42)),MONTH((Tahmin!$C$4+42)),MIN(DAY(Kalemler!$D119),DAY(EOMONTH((Tahmin!$C$4+42),0))))&gt;=(Tahmin!$C$4+42),DATE(YEAR((Tahmin!$C$4+42)),MONTH((Tahmin!$C$4+42)),MIN(DAY(Kalemler!$D119),DAY(EOMONTH((Tahmin!$C$4+42),0))))&lt;=(Tahmin!$C$4+48),DATE(YEAR((Tahmin!$C$4+42)),MONTH((Tahmin!$C$4+42)),MIN(DAY(Kalemler!$D119),DAY(EOMONTH((Tahmin!$C$4+42),0))))&gt;=Kalemler!$D119),AND(DATE(YEAR((Tahmin!$C$4+48)),MONTH((Tahmin!$C$4+48)),MIN(DAY(Kalemler!$D119),DAY(EOMONTH((Tahmin!$C$4+48),0))))&gt;=(Tahmin!$C$4+42),DATE(YEAR((Tahmin!$C$4+48)),MONTH((Tahmin!$C$4+48)),MIN(DAY(Kalemler!$D119),DAY(EOMONTH((Tahmin!$C$4+48),0))))&lt;=(Tahmin!$C$4+48),DATE(YEAR((Tahmin!$C$4+48)),MONTH((Tahmin!$C$4+48)),MIN(DAY(Kalemler!$D119),DAY(EOMONTH((Tahmin!$C$4+48),0))))&lt;&gt;DATE(YEAR((Tahmin!$C$4+42)),MONTH((Tahmin!$C$4+42)),MIN(DAY(Kalemler!$D119),DAY(EOMONTH((Tahmin!$C$4+42),0)))),DATE(YEAR((Tahmin!$C$4+48)),MONTH((Tahmin!$C$4+48)),MIN(DAY(Kalemler!$D119),DAY(EOMONTH((Tahmin!$C$4+48),0))))&gt;=Kalemler!$D119)),1,0),IF(AND(Kalemler!$D119&gt;=(Tahmin!$C$4+42),Kalemler!$D119&lt;=(Tahmin!$C$4+48)),1,0))))</f>
        <v>0</v>
      </c>
      <c r="I119" s="0" t="n">
        <f aca="false">IF(OR(Kalemler!$A119="",Kalemler!$C119="",Kalemler!$D119=""),0,Kalemler!$C119*IF(Kalemler!$E119="Haftalık",IF(Kalemler!$D119&lt;=(Tahmin!$C$4+55),1,0),IF(Kalemler!$E119="Aylık",IF(OR(AND(DATE(YEAR((Tahmin!$C$4+49)),MONTH((Tahmin!$C$4+49)),MIN(DAY(Kalemler!$D119),DAY(EOMONTH((Tahmin!$C$4+49),0))))&gt;=(Tahmin!$C$4+49),DATE(YEAR((Tahmin!$C$4+49)),MONTH((Tahmin!$C$4+49)),MIN(DAY(Kalemler!$D119),DAY(EOMONTH((Tahmin!$C$4+49),0))))&lt;=(Tahmin!$C$4+55),DATE(YEAR((Tahmin!$C$4+49)),MONTH((Tahmin!$C$4+49)),MIN(DAY(Kalemler!$D119),DAY(EOMONTH((Tahmin!$C$4+49),0))))&gt;=Kalemler!$D119),AND(DATE(YEAR((Tahmin!$C$4+55)),MONTH((Tahmin!$C$4+55)),MIN(DAY(Kalemler!$D119),DAY(EOMONTH((Tahmin!$C$4+55),0))))&gt;=(Tahmin!$C$4+49),DATE(YEAR((Tahmin!$C$4+55)),MONTH((Tahmin!$C$4+55)),MIN(DAY(Kalemler!$D119),DAY(EOMONTH((Tahmin!$C$4+55),0))))&lt;=(Tahmin!$C$4+55),DATE(YEAR((Tahmin!$C$4+55)),MONTH((Tahmin!$C$4+55)),MIN(DAY(Kalemler!$D119),DAY(EOMONTH((Tahmin!$C$4+55),0))))&lt;&gt;DATE(YEAR((Tahmin!$C$4+49)),MONTH((Tahmin!$C$4+49)),MIN(DAY(Kalemler!$D119),DAY(EOMONTH((Tahmin!$C$4+49),0)))),DATE(YEAR((Tahmin!$C$4+55)),MONTH((Tahmin!$C$4+55)),MIN(DAY(Kalemler!$D119),DAY(EOMONTH((Tahmin!$C$4+55),0))))&gt;=Kalemler!$D119)),1,0),IF(AND(Kalemler!$D119&gt;=(Tahmin!$C$4+49),Kalemler!$D119&lt;=(Tahmin!$C$4+55)),1,0))))</f>
        <v>0</v>
      </c>
      <c r="J119" s="0" t="n">
        <f aca="false">IF(OR(Kalemler!$A119="",Kalemler!$C119="",Kalemler!$D119=""),0,Kalemler!$C119*IF(Kalemler!$E119="Haftalık",IF(Kalemler!$D119&lt;=(Tahmin!$C$4+62),1,0),IF(Kalemler!$E119="Aylık",IF(OR(AND(DATE(YEAR((Tahmin!$C$4+56)),MONTH((Tahmin!$C$4+56)),MIN(DAY(Kalemler!$D119),DAY(EOMONTH((Tahmin!$C$4+56),0))))&gt;=(Tahmin!$C$4+56),DATE(YEAR((Tahmin!$C$4+56)),MONTH((Tahmin!$C$4+56)),MIN(DAY(Kalemler!$D119),DAY(EOMONTH((Tahmin!$C$4+56),0))))&lt;=(Tahmin!$C$4+62),DATE(YEAR((Tahmin!$C$4+56)),MONTH((Tahmin!$C$4+56)),MIN(DAY(Kalemler!$D119),DAY(EOMONTH((Tahmin!$C$4+56),0))))&gt;=Kalemler!$D119),AND(DATE(YEAR((Tahmin!$C$4+62)),MONTH((Tahmin!$C$4+62)),MIN(DAY(Kalemler!$D119),DAY(EOMONTH((Tahmin!$C$4+62),0))))&gt;=(Tahmin!$C$4+56),DATE(YEAR((Tahmin!$C$4+62)),MONTH((Tahmin!$C$4+62)),MIN(DAY(Kalemler!$D119),DAY(EOMONTH((Tahmin!$C$4+62),0))))&lt;=(Tahmin!$C$4+62),DATE(YEAR((Tahmin!$C$4+62)),MONTH((Tahmin!$C$4+62)),MIN(DAY(Kalemler!$D119),DAY(EOMONTH((Tahmin!$C$4+62),0))))&lt;&gt;DATE(YEAR((Tahmin!$C$4+56)),MONTH((Tahmin!$C$4+56)),MIN(DAY(Kalemler!$D119),DAY(EOMONTH((Tahmin!$C$4+56),0)))),DATE(YEAR((Tahmin!$C$4+62)),MONTH((Tahmin!$C$4+62)),MIN(DAY(Kalemler!$D119),DAY(EOMONTH((Tahmin!$C$4+62),0))))&gt;=Kalemler!$D119)),1,0),IF(AND(Kalemler!$D119&gt;=(Tahmin!$C$4+56),Kalemler!$D119&lt;=(Tahmin!$C$4+62)),1,0))))</f>
        <v>0</v>
      </c>
      <c r="K119" s="0" t="n">
        <f aca="false">IF(OR(Kalemler!$A119="",Kalemler!$C119="",Kalemler!$D119=""),0,Kalemler!$C119*IF(Kalemler!$E119="Haftalık",IF(Kalemler!$D119&lt;=(Tahmin!$C$4+69),1,0),IF(Kalemler!$E119="Aylık",IF(OR(AND(DATE(YEAR((Tahmin!$C$4+63)),MONTH((Tahmin!$C$4+63)),MIN(DAY(Kalemler!$D119),DAY(EOMONTH((Tahmin!$C$4+63),0))))&gt;=(Tahmin!$C$4+63),DATE(YEAR((Tahmin!$C$4+63)),MONTH((Tahmin!$C$4+63)),MIN(DAY(Kalemler!$D119),DAY(EOMONTH((Tahmin!$C$4+63),0))))&lt;=(Tahmin!$C$4+69),DATE(YEAR((Tahmin!$C$4+63)),MONTH((Tahmin!$C$4+63)),MIN(DAY(Kalemler!$D119),DAY(EOMONTH((Tahmin!$C$4+63),0))))&gt;=Kalemler!$D119),AND(DATE(YEAR((Tahmin!$C$4+69)),MONTH((Tahmin!$C$4+69)),MIN(DAY(Kalemler!$D119),DAY(EOMONTH((Tahmin!$C$4+69),0))))&gt;=(Tahmin!$C$4+63),DATE(YEAR((Tahmin!$C$4+69)),MONTH((Tahmin!$C$4+69)),MIN(DAY(Kalemler!$D119),DAY(EOMONTH((Tahmin!$C$4+69),0))))&lt;=(Tahmin!$C$4+69),DATE(YEAR((Tahmin!$C$4+69)),MONTH((Tahmin!$C$4+69)),MIN(DAY(Kalemler!$D119),DAY(EOMONTH((Tahmin!$C$4+69),0))))&lt;&gt;DATE(YEAR((Tahmin!$C$4+63)),MONTH((Tahmin!$C$4+63)),MIN(DAY(Kalemler!$D119),DAY(EOMONTH((Tahmin!$C$4+63),0)))),DATE(YEAR((Tahmin!$C$4+69)),MONTH((Tahmin!$C$4+69)),MIN(DAY(Kalemler!$D119),DAY(EOMONTH((Tahmin!$C$4+69),0))))&gt;=Kalemler!$D119)),1,0),IF(AND(Kalemler!$D119&gt;=(Tahmin!$C$4+63),Kalemler!$D119&lt;=(Tahmin!$C$4+69)),1,0))))</f>
        <v>0</v>
      </c>
      <c r="L119" s="0" t="n">
        <f aca="false">IF(OR(Kalemler!$A119="",Kalemler!$C119="",Kalemler!$D119=""),0,Kalemler!$C119*IF(Kalemler!$E119="Haftalık",IF(Kalemler!$D119&lt;=(Tahmin!$C$4+76),1,0),IF(Kalemler!$E119="Aylık",IF(OR(AND(DATE(YEAR((Tahmin!$C$4+70)),MONTH((Tahmin!$C$4+70)),MIN(DAY(Kalemler!$D119),DAY(EOMONTH((Tahmin!$C$4+70),0))))&gt;=(Tahmin!$C$4+70),DATE(YEAR((Tahmin!$C$4+70)),MONTH((Tahmin!$C$4+70)),MIN(DAY(Kalemler!$D119),DAY(EOMONTH((Tahmin!$C$4+70),0))))&lt;=(Tahmin!$C$4+76),DATE(YEAR((Tahmin!$C$4+70)),MONTH((Tahmin!$C$4+70)),MIN(DAY(Kalemler!$D119),DAY(EOMONTH((Tahmin!$C$4+70),0))))&gt;=Kalemler!$D119),AND(DATE(YEAR((Tahmin!$C$4+76)),MONTH((Tahmin!$C$4+76)),MIN(DAY(Kalemler!$D119),DAY(EOMONTH((Tahmin!$C$4+76),0))))&gt;=(Tahmin!$C$4+70),DATE(YEAR((Tahmin!$C$4+76)),MONTH((Tahmin!$C$4+76)),MIN(DAY(Kalemler!$D119),DAY(EOMONTH((Tahmin!$C$4+76),0))))&lt;=(Tahmin!$C$4+76),DATE(YEAR((Tahmin!$C$4+76)),MONTH((Tahmin!$C$4+76)),MIN(DAY(Kalemler!$D119),DAY(EOMONTH((Tahmin!$C$4+76),0))))&lt;&gt;DATE(YEAR((Tahmin!$C$4+70)),MONTH((Tahmin!$C$4+70)),MIN(DAY(Kalemler!$D119),DAY(EOMONTH((Tahmin!$C$4+70),0)))),DATE(YEAR((Tahmin!$C$4+76)),MONTH((Tahmin!$C$4+76)),MIN(DAY(Kalemler!$D119),DAY(EOMONTH((Tahmin!$C$4+76),0))))&gt;=Kalemler!$D119)),1,0),IF(AND(Kalemler!$D119&gt;=(Tahmin!$C$4+70),Kalemler!$D119&lt;=(Tahmin!$C$4+76)),1,0))))</f>
        <v>0</v>
      </c>
      <c r="M119" s="0" t="n">
        <f aca="false">IF(OR(Kalemler!$A119="",Kalemler!$C119="",Kalemler!$D119=""),0,Kalemler!$C119*IF(Kalemler!$E119="Haftalık",IF(Kalemler!$D119&lt;=(Tahmin!$C$4+83),1,0),IF(Kalemler!$E119="Aylık",IF(OR(AND(DATE(YEAR((Tahmin!$C$4+77)),MONTH((Tahmin!$C$4+77)),MIN(DAY(Kalemler!$D119),DAY(EOMONTH((Tahmin!$C$4+77),0))))&gt;=(Tahmin!$C$4+77),DATE(YEAR((Tahmin!$C$4+77)),MONTH((Tahmin!$C$4+77)),MIN(DAY(Kalemler!$D119),DAY(EOMONTH((Tahmin!$C$4+77),0))))&lt;=(Tahmin!$C$4+83),DATE(YEAR((Tahmin!$C$4+77)),MONTH((Tahmin!$C$4+77)),MIN(DAY(Kalemler!$D119),DAY(EOMONTH((Tahmin!$C$4+77),0))))&gt;=Kalemler!$D119),AND(DATE(YEAR((Tahmin!$C$4+83)),MONTH((Tahmin!$C$4+83)),MIN(DAY(Kalemler!$D119),DAY(EOMONTH((Tahmin!$C$4+83),0))))&gt;=(Tahmin!$C$4+77),DATE(YEAR((Tahmin!$C$4+83)),MONTH((Tahmin!$C$4+83)),MIN(DAY(Kalemler!$D119),DAY(EOMONTH((Tahmin!$C$4+83),0))))&lt;=(Tahmin!$C$4+83),DATE(YEAR((Tahmin!$C$4+83)),MONTH((Tahmin!$C$4+83)),MIN(DAY(Kalemler!$D119),DAY(EOMONTH((Tahmin!$C$4+83),0))))&lt;&gt;DATE(YEAR((Tahmin!$C$4+77)),MONTH((Tahmin!$C$4+77)),MIN(DAY(Kalemler!$D119),DAY(EOMONTH((Tahmin!$C$4+77),0)))),DATE(YEAR((Tahmin!$C$4+83)),MONTH((Tahmin!$C$4+83)),MIN(DAY(Kalemler!$D119),DAY(EOMONTH((Tahmin!$C$4+83),0))))&gt;=Kalemler!$D119)),1,0),IF(AND(Kalemler!$D119&gt;=(Tahmin!$C$4+77),Kalemler!$D119&lt;=(Tahmin!$C$4+83)),1,0))))</f>
        <v>0</v>
      </c>
      <c r="N119" s="0" t="n">
        <f aca="false">IF(OR(Kalemler!$A119="",Kalemler!$C119="",Kalemler!$D119=""),0,Kalemler!$C119*IF(Kalemler!$E119="Haftalık",IF(Kalemler!$D119&lt;=(Tahmin!$C$4+90),1,0),IF(Kalemler!$E119="Aylık",IF(OR(AND(DATE(YEAR((Tahmin!$C$4+84)),MONTH((Tahmin!$C$4+84)),MIN(DAY(Kalemler!$D119),DAY(EOMONTH((Tahmin!$C$4+84),0))))&gt;=(Tahmin!$C$4+84),DATE(YEAR((Tahmin!$C$4+84)),MONTH((Tahmin!$C$4+84)),MIN(DAY(Kalemler!$D119),DAY(EOMONTH((Tahmin!$C$4+84),0))))&lt;=(Tahmin!$C$4+90),DATE(YEAR((Tahmin!$C$4+84)),MONTH((Tahmin!$C$4+84)),MIN(DAY(Kalemler!$D119),DAY(EOMONTH((Tahmin!$C$4+84),0))))&gt;=Kalemler!$D119),AND(DATE(YEAR((Tahmin!$C$4+90)),MONTH((Tahmin!$C$4+90)),MIN(DAY(Kalemler!$D119),DAY(EOMONTH((Tahmin!$C$4+90),0))))&gt;=(Tahmin!$C$4+84),DATE(YEAR((Tahmin!$C$4+90)),MONTH((Tahmin!$C$4+90)),MIN(DAY(Kalemler!$D119),DAY(EOMONTH((Tahmin!$C$4+90),0))))&lt;=(Tahmin!$C$4+90),DATE(YEAR((Tahmin!$C$4+90)),MONTH((Tahmin!$C$4+90)),MIN(DAY(Kalemler!$D119),DAY(EOMONTH((Tahmin!$C$4+90),0))))&lt;&gt;DATE(YEAR((Tahmin!$C$4+84)),MONTH((Tahmin!$C$4+84)),MIN(DAY(Kalemler!$D119),DAY(EOMONTH((Tahmin!$C$4+84),0)))),DATE(YEAR((Tahmin!$C$4+90)),MONTH((Tahmin!$C$4+90)),MIN(DAY(Kalemler!$D119),DAY(EOMONTH((Tahmin!$C$4+90),0))))&gt;=Kalemler!$D119)),1,0),IF(AND(Kalemler!$D119&gt;=(Tahmin!$C$4+84),Kalemler!$D119&lt;=(Tahmin!$C$4+90)),1,0))))</f>
        <v>0</v>
      </c>
    </row>
    <row r="120" customFormat="false" ht="15" hidden="false" customHeight="false" outlineLevel="0" collapsed="false">
      <c r="A120" s="0" t="str">
        <f aca="false">IF(Kalemler!A120="","",Kalemler!A120)</f>
        <v/>
      </c>
      <c r="B120" s="0" t="n">
        <f aca="false">IF(OR(Kalemler!$A120="",Kalemler!$C120="",Kalemler!$D120=""),0,Kalemler!$C120*IF(Kalemler!$E120="Haftalık",IF(Kalemler!$D120&lt;=(Tahmin!$C$4+6),1,0),IF(Kalemler!$E120="Aylık",IF(OR(AND(DATE(YEAR((Tahmin!$C$4+0)),MONTH((Tahmin!$C$4+0)),MIN(DAY(Kalemler!$D120),DAY(EOMONTH((Tahmin!$C$4+0),0))))&gt;=(Tahmin!$C$4+0),DATE(YEAR((Tahmin!$C$4+0)),MONTH((Tahmin!$C$4+0)),MIN(DAY(Kalemler!$D120),DAY(EOMONTH((Tahmin!$C$4+0),0))))&lt;=(Tahmin!$C$4+6),DATE(YEAR((Tahmin!$C$4+0)),MONTH((Tahmin!$C$4+0)),MIN(DAY(Kalemler!$D120),DAY(EOMONTH((Tahmin!$C$4+0),0))))&gt;=Kalemler!$D120),AND(DATE(YEAR((Tahmin!$C$4+6)),MONTH((Tahmin!$C$4+6)),MIN(DAY(Kalemler!$D120),DAY(EOMONTH((Tahmin!$C$4+6),0))))&gt;=(Tahmin!$C$4+0),DATE(YEAR((Tahmin!$C$4+6)),MONTH((Tahmin!$C$4+6)),MIN(DAY(Kalemler!$D120),DAY(EOMONTH((Tahmin!$C$4+6),0))))&lt;=(Tahmin!$C$4+6),DATE(YEAR((Tahmin!$C$4+6)),MONTH((Tahmin!$C$4+6)),MIN(DAY(Kalemler!$D120),DAY(EOMONTH((Tahmin!$C$4+6),0))))&lt;&gt;DATE(YEAR((Tahmin!$C$4+0)),MONTH((Tahmin!$C$4+0)),MIN(DAY(Kalemler!$D120),DAY(EOMONTH((Tahmin!$C$4+0),0)))),DATE(YEAR((Tahmin!$C$4+6)),MONTH((Tahmin!$C$4+6)),MIN(DAY(Kalemler!$D120),DAY(EOMONTH((Tahmin!$C$4+6),0))))&gt;=Kalemler!$D120)),1,0),IF(AND(Kalemler!$D120&gt;=(Tahmin!$C$4+0),Kalemler!$D120&lt;=(Tahmin!$C$4+6)),1,0))))</f>
        <v>0</v>
      </c>
      <c r="C120" s="0" t="n">
        <f aca="false">IF(OR(Kalemler!$A120="",Kalemler!$C120="",Kalemler!$D120=""),0,Kalemler!$C120*IF(Kalemler!$E120="Haftalık",IF(Kalemler!$D120&lt;=(Tahmin!$C$4+13),1,0),IF(Kalemler!$E120="Aylık",IF(OR(AND(DATE(YEAR((Tahmin!$C$4+7)),MONTH((Tahmin!$C$4+7)),MIN(DAY(Kalemler!$D120),DAY(EOMONTH((Tahmin!$C$4+7),0))))&gt;=(Tahmin!$C$4+7),DATE(YEAR((Tahmin!$C$4+7)),MONTH((Tahmin!$C$4+7)),MIN(DAY(Kalemler!$D120),DAY(EOMONTH((Tahmin!$C$4+7),0))))&lt;=(Tahmin!$C$4+13),DATE(YEAR((Tahmin!$C$4+7)),MONTH((Tahmin!$C$4+7)),MIN(DAY(Kalemler!$D120),DAY(EOMONTH((Tahmin!$C$4+7),0))))&gt;=Kalemler!$D120),AND(DATE(YEAR((Tahmin!$C$4+13)),MONTH((Tahmin!$C$4+13)),MIN(DAY(Kalemler!$D120),DAY(EOMONTH((Tahmin!$C$4+13),0))))&gt;=(Tahmin!$C$4+7),DATE(YEAR((Tahmin!$C$4+13)),MONTH((Tahmin!$C$4+13)),MIN(DAY(Kalemler!$D120),DAY(EOMONTH((Tahmin!$C$4+13),0))))&lt;=(Tahmin!$C$4+13),DATE(YEAR((Tahmin!$C$4+13)),MONTH((Tahmin!$C$4+13)),MIN(DAY(Kalemler!$D120),DAY(EOMONTH((Tahmin!$C$4+13),0))))&lt;&gt;DATE(YEAR((Tahmin!$C$4+7)),MONTH((Tahmin!$C$4+7)),MIN(DAY(Kalemler!$D120),DAY(EOMONTH((Tahmin!$C$4+7),0)))),DATE(YEAR((Tahmin!$C$4+13)),MONTH((Tahmin!$C$4+13)),MIN(DAY(Kalemler!$D120),DAY(EOMONTH((Tahmin!$C$4+13),0))))&gt;=Kalemler!$D120)),1,0),IF(AND(Kalemler!$D120&gt;=(Tahmin!$C$4+7),Kalemler!$D120&lt;=(Tahmin!$C$4+13)),1,0))))</f>
        <v>0</v>
      </c>
      <c r="D120" s="0" t="n">
        <f aca="false">IF(OR(Kalemler!$A120="",Kalemler!$C120="",Kalemler!$D120=""),0,Kalemler!$C120*IF(Kalemler!$E120="Haftalık",IF(Kalemler!$D120&lt;=(Tahmin!$C$4+20),1,0),IF(Kalemler!$E120="Aylık",IF(OR(AND(DATE(YEAR((Tahmin!$C$4+14)),MONTH((Tahmin!$C$4+14)),MIN(DAY(Kalemler!$D120),DAY(EOMONTH((Tahmin!$C$4+14),0))))&gt;=(Tahmin!$C$4+14),DATE(YEAR((Tahmin!$C$4+14)),MONTH((Tahmin!$C$4+14)),MIN(DAY(Kalemler!$D120),DAY(EOMONTH((Tahmin!$C$4+14),0))))&lt;=(Tahmin!$C$4+20),DATE(YEAR((Tahmin!$C$4+14)),MONTH((Tahmin!$C$4+14)),MIN(DAY(Kalemler!$D120),DAY(EOMONTH((Tahmin!$C$4+14),0))))&gt;=Kalemler!$D120),AND(DATE(YEAR((Tahmin!$C$4+20)),MONTH((Tahmin!$C$4+20)),MIN(DAY(Kalemler!$D120),DAY(EOMONTH((Tahmin!$C$4+20),0))))&gt;=(Tahmin!$C$4+14),DATE(YEAR((Tahmin!$C$4+20)),MONTH((Tahmin!$C$4+20)),MIN(DAY(Kalemler!$D120),DAY(EOMONTH((Tahmin!$C$4+20),0))))&lt;=(Tahmin!$C$4+20),DATE(YEAR((Tahmin!$C$4+20)),MONTH((Tahmin!$C$4+20)),MIN(DAY(Kalemler!$D120),DAY(EOMONTH((Tahmin!$C$4+20),0))))&lt;&gt;DATE(YEAR((Tahmin!$C$4+14)),MONTH((Tahmin!$C$4+14)),MIN(DAY(Kalemler!$D120),DAY(EOMONTH((Tahmin!$C$4+14),0)))),DATE(YEAR((Tahmin!$C$4+20)),MONTH((Tahmin!$C$4+20)),MIN(DAY(Kalemler!$D120),DAY(EOMONTH((Tahmin!$C$4+20),0))))&gt;=Kalemler!$D120)),1,0),IF(AND(Kalemler!$D120&gt;=(Tahmin!$C$4+14),Kalemler!$D120&lt;=(Tahmin!$C$4+20)),1,0))))</f>
        <v>0</v>
      </c>
      <c r="E120" s="0" t="n">
        <f aca="false">IF(OR(Kalemler!$A120="",Kalemler!$C120="",Kalemler!$D120=""),0,Kalemler!$C120*IF(Kalemler!$E120="Haftalık",IF(Kalemler!$D120&lt;=(Tahmin!$C$4+27),1,0),IF(Kalemler!$E120="Aylık",IF(OR(AND(DATE(YEAR((Tahmin!$C$4+21)),MONTH((Tahmin!$C$4+21)),MIN(DAY(Kalemler!$D120),DAY(EOMONTH((Tahmin!$C$4+21),0))))&gt;=(Tahmin!$C$4+21),DATE(YEAR((Tahmin!$C$4+21)),MONTH((Tahmin!$C$4+21)),MIN(DAY(Kalemler!$D120),DAY(EOMONTH((Tahmin!$C$4+21),0))))&lt;=(Tahmin!$C$4+27),DATE(YEAR((Tahmin!$C$4+21)),MONTH((Tahmin!$C$4+21)),MIN(DAY(Kalemler!$D120),DAY(EOMONTH((Tahmin!$C$4+21),0))))&gt;=Kalemler!$D120),AND(DATE(YEAR((Tahmin!$C$4+27)),MONTH((Tahmin!$C$4+27)),MIN(DAY(Kalemler!$D120),DAY(EOMONTH((Tahmin!$C$4+27),0))))&gt;=(Tahmin!$C$4+21),DATE(YEAR((Tahmin!$C$4+27)),MONTH((Tahmin!$C$4+27)),MIN(DAY(Kalemler!$D120),DAY(EOMONTH((Tahmin!$C$4+27),0))))&lt;=(Tahmin!$C$4+27),DATE(YEAR((Tahmin!$C$4+27)),MONTH((Tahmin!$C$4+27)),MIN(DAY(Kalemler!$D120),DAY(EOMONTH((Tahmin!$C$4+27),0))))&lt;&gt;DATE(YEAR((Tahmin!$C$4+21)),MONTH((Tahmin!$C$4+21)),MIN(DAY(Kalemler!$D120),DAY(EOMONTH((Tahmin!$C$4+21),0)))),DATE(YEAR((Tahmin!$C$4+27)),MONTH((Tahmin!$C$4+27)),MIN(DAY(Kalemler!$D120),DAY(EOMONTH((Tahmin!$C$4+27),0))))&gt;=Kalemler!$D120)),1,0),IF(AND(Kalemler!$D120&gt;=(Tahmin!$C$4+21),Kalemler!$D120&lt;=(Tahmin!$C$4+27)),1,0))))</f>
        <v>0</v>
      </c>
      <c r="F120" s="0" t="n">
        <f aca="false">IF(OR(Kalemler!$A120="",Kalemler!$C120="",Kalemler!$D120=""),0,Kalemler!$C120*IF(Kalemler!$E120="Haftalık",IF(Kalemler!$D120&lt;=(Tahmin!$C$4+34),1,0),IF(Kalemler!$E120="Aylık",IF(OR(AND(DATE(YEAR((Tahmin!$C$4+28)),MONTH((Tahmin!$C$4+28)),MIN(DAY(Kalemler!$D120),DAY(EOMONTH((Tahmin!$C$4+28),0))))&gt;=(Tahmin!$C$4+28),DATE(YEAR((Tahmin!$C$4+28)),MONTH((Tahmin!$C$4+28)),MIN(DAY(Kalemler!$D120),DAY(EOMONTH((Tahmin!$C$4+28),0))))&lt;=(Tahmin!$C$4+34),DATE(YEAR((Tahmin!$C$4+28)),MONTH((Tahmin!$C$4+28)),MIN(DAY(Kalemler!$D120),DAY(EOMONTH((Tahmin!$C$4+28),0))))&gt;=Kalemler!$D120),AND(DATE(YEAR((Tahmin!$C$4+34)),MONTH((Tahmin!$C$4+34)),MIN(DAY(Kalemler!$D120),DAY(EOMONTH((Tahmin!$C$4+34),0))))&gt;=(Tahmin!$C$4+28),DATE(YEAR((Tahmin!$C$4+34)),MONTH((Tahmin!$C$4+34)),MIN(DAY(Kalemler!$D120),DAY(EOMONTH((Tahmin!$C$4+34),0))))&lt;=(Tahmin!$C$4+34),DATE(YEAR((Tahmin!$C$4+34)),MONTH((Tahmin!$C$4+34)),MIN(DAY(Kalemler!$D120),DAY(EOMONTH((Tahmin!$C$4+34),0))))&lt;&gt;DATE(YEAR((Tahmin!$C$4+28)),MONTH((Tahmin!$C$4+28)),MIN(DAY(Kalemler!$D120),DAY(EOMONTH((Tahmin!$C$4+28),0)))),DATE(YEAR((Tahmin!$C$4+34)),MONTH((Tahmin!$C$4+34)),MIN(DAY(Kalemler!$D120),DAY(EOMONTH((Tahmin!$C$4+34),0))))&gt;=Kalemler!$D120)),1,0),IF(AND(Kalemler!$D120&gt;=(Tahmin!$C$4+28),Kalemler!$D120&lt;=(Tahmin!$C$4+34)),1,0))))</f>
        <v>0</v>
      </c>
      <c r="G120" s="0" t="n">
        <f aca="false">IF(OR(Kalemler!$A120="",Kalemler!$C120="",Kalemler!$D120=""),0,Kalemler!$C120*IF(Kalemler!$E120="Haftalık",IF(Kalemler!$D120&lt;=(Tahmin!$C$4+41),1,0),IF(Kalemler!$E120="Aylık",IF(OR(AND(DATE(YEAR((Tahmin!$C$4+35)),MONTH((Tahmin!$C$4+35)),MIN(DAY(Kalemler!$D120),DAY(EOMONTH((Tahmin!$C$4+35),0))))&gt;=(Tahmin!$C$4+35),DATE(YEAR((Tahmin!$C$4+35)),MONTH((Tahmin!$C$4+35)),MIN(DAY(Kalemler!$D120),DAY(EOMONTH((Tahmin!$C$4+35),0))))&lt;=(Tahmin!$C$4+41),DATE(YEAR((Tahmin!$C$4+35)),MONTH((Tahmin!$C$4+35)),MIN(DAY(Kalemler!$D120),DAY(EOMONTH((Tahmin!$C$4+35),0))))&gt;=Kalemler!$D120),AND(DATE(YEAR((Tahmin!$C$4+41)),MONTH((Tahmin!$C$4+41)),MIN(DAY(Kalemler!$D120),DAY(EOMONTH((Tahmin!$C$4+41),0))))&gt;=(Tahmin!$C$4+35),DATE(YEAR((Tahmin!$C$4+41)),MONTH((Tahmin!$C$4+41)),MIN(DAY(Kalemler!$D120),DAY(EOMONTH((Tahmin!$C$4+41),0))))&lt;=(Tahmin!$C$4+41),DATE(YEAR((Tahmin!$C$4+41)),MONTH((Tahmin!$C$4+41)),MIN(DAY(Kalemler!$D120),DAY(EOMONTH((Tahmin!$C$4+41),0))))&lt;&gt;DATE(YEAR((Tahmin!$C$4+35)),MONTH((Tahmin!$C$4+35)),MIN(DAY(Kalemler!$D120),DAY(EOMONTH((Tahmin!$C$4+35),0)))),DATE(YEAR((Tahmin!$C$4+41)),MONTH((Tahmin!$C$4+41)),MIN(DAY(Kalemler!$D120),DAY(EOMONTH((Tahmin!$C$4+41),0))))&gt;=Kalemler!$D120)),1,0),IF(AND(Kalemler!$D120&gt;=(Tahmin!$C$4+35),Kalemler!$D120&lt;=(Tahmin!$C$4+41)),1,0))))</f>
        <v>0</v>
      </c>
      <c r="H120" s="0" t="n">
        <f aca="false">IF(OR(Kalemler!$A120="",Kalemler!$C120="",Kalemler!$D120=""),0,Kalemler!$C120*IF(Kalemler!$E120="Haftalık",IF(Kalemler!$D120&lt;=(Tahmin!$C$4+48),1,0),IF(Kalemler!$E120="Aylık",IF(OR(AND(DATE(YEAR((Tahmin!$C$4+42)),MONTH((Tahmin!$C$4+42)),MIN(DAY(Kalemler!$D120),DAY(EOMONTH((Tahmin!$C$4+42),0))))&gt;=(Tahmin!$C$4+42),DATE(YEAR((Tahmin!$C$4+42)),MONTH((Tahmin!$C$4+42)),MIN(DAY(Kalemler!$D120),DAY(EOMONTH((Tahmin!$C$4+42),0))))&lt;=(Tahmin!$C$4+48),DATE(YEAR((Tahmin!$C$4+42)),MONTH((Tahmin!$C$4+42)),MIN(DAY(Kalemler!$D120),DAY(EOMONTH((Tahmin!$C$4+42),0))))&gt;=Kalemler!$D120),AND(DATE(YEAR((Tahmin!$C$4+48)),MONTH((Tahmin!$C$4+48)),MIN(DAY(Kalemler!$D120),DAY(EOMONTH((Tahmin!$C$4+48),0))))&gt;=(Tahmin!$C$4+42),DATE(YEAR((Tahmin!$C$4+48)),MONTH((Tahmin!$C$4+48)),MIN(DAY(Kalemler!$D120),DAY(EOMONTH((Tahmin!$C$4+48),0))))&lt;=(Tahmin!$C$4+48),DATE(YEAR((Tahmin!$C$4+48)),MONTH((Tahmin!$C$4+48)),MIN(DAY(Kalemler!$D120),DAY(EOMONTH((Tahmin!$C$4+48),0))))&lt;&gt;DATE(YEAR((Tahmin!$C$4+42)),MONTH((Tahmin!$C$4+42)),MIN(DAY(Kalemler!$D120),DAY(EOMONTH((Tahmin!$C$4+42),0)))),DATE(YEAR((Tahmin!$C$4+48)),MONTH((Tahmin!$C$4+48)),MIN(DAY(Kalemler!$D120),DAY(EOMONTH((Tahmin!$C$4+48),0))))&gt;=Kalemler!$D120)),1,0),IF(AND(Kalemler!$D120&gt;=(Tahmin!$C$4+42),Kalemler!$D120&lt;=(Tahmin!$C$4+48)),1,0))))</f>
        <v>0</v>
      </c>
      <c r="I120" s="0" t="n">
        <f aca="false">IF(OR(Kalemler!$A120="",Kalemler!$C120="",Kalemler!$D120=""),0,Kalemler!$C120*IF(Kalemler!$E120="Haftalık",IF(Kalemler!$D120&lt;=(Tahmin!$C$4+55),1,0),IF(Kalemler!$E120="Aylık",IF(OR(AND(DATE(YEAR((Tahmin!$C$4+49)),MONTH((Tahmin!$C$4+49)),MIN(DAY(Kalemler!$D120),DAY(EOMONTH((Tahmin!$C$4+49),0))))&gt;=(Tahmin!$C$4+49),DATE(YEAR((Tahmin!$C$4+49)),MONTH((Tahmin!$C$4+49)),MIN(DAY(Kalemler!$D120),DAY(EOMONTH((Tahmin!$C$4+49),0))))&lt;=(Tahmin!$C$4+55),DATE(YEAR((Tahmin!$C$4+49)),MONTH((Tahmin!$C$4+49)),MIN(DAY(Kalemler!$D120),DAY(EOMONTH((Tahmin!$C$4+49),0))))&gt;=Kalemler!$D120),AND(DATE(YEAR((Tahmin!$C$4+55)),MONTH((Tahmin!$C$4+55)),MIN(DAY(Kalemler!$D120),DAY(EOMONTH((Tahmin!$C$4+55),0))))&gt;=(Tahmin!$C$4+49),DATE(YEAR((Tahmin!$C$4+55)),MONTH((Tahmin!$C$4+55)),MIN(DAY(Kalemler!$D120),DAY(EOMONTH((Tahmin!$C$4+55),0))))&lt;=(Tahmin!$C$4+55),DATE(YEAR((Tahmin!$C$4+55)),MONTH((Tahmin!$C$4+55)),MIN(DAY(Kalemler!$D120),DAY(EOMONTH((Tahmin!$C$4+55),0))))&lt;&gt;DATE(YEAR((Tahmin!$C$4+49)),MONTH((Tahmin!$C$4+49)),MIN(DAY(Kalemler!$D120),DAY(EOMONTH((Tahmin!$C$4+49),0)))),DATE(YEAR((Tahmin!$C$4+55)),MONTH((Tahmin!$C$4+55)),MIN(DAY(Kalemler!$D120),DAY(EOMONTH((Tahmin!$C$4+55),0))))&gt;=Kalemler!$D120)),1,0),IF(AND(Kalemler!$D120&gt;=(Tahmin!$C$4+49),Kalemler!$D120&lt;=(Tahmin!$C$4+55)),1,0))))</f>
        <v>0</v>
      </c>
      <c r="J120" s="0" t="n">
        <f aca="false">IF(OR(Kalemler!$A120="",Kalemler!$C120="",Kalemler!$D120=""),0,Kalemler!$C120*IF(Kalemler!$E120="Haftalık",IF(Kalemler!$D120&lt;=(Tahmin!$C$4+62),1,0),IF(Kalemler!$E120="Aylık",IF(OR(AND(DATE(YEAR((Tahmin!$C$4+56)),MONTH((Tahmin!$C$4+56)),MIN(DAY(Kalemler!$D120),DAY(EOMONTH((Tahmin!$C$4+56),0))))&gt;=(Tahmin!$C$4+56),DATE(YEAR((Tahmin!$C$4+56)),MONTH((Tahmin!$C$4+56)),MIN(DAY(Kalemler!$D120),DAY(EOMONTH((Tahmin!$C$4+56),0))))&lt;=(Tahmin!$C$4+62),DATE(YEAR((Tahmin!$C$4+56)),MONTH((Tahmin!$C$4+56)),MIN(DAY(Kalemler!$D120),DAY(EOMONTH((Tahmin!$C$4+56),0))))&gt;=Kalemler!$D120),AND(DATE(YEAR((Tahmin!$C$4+62)),MONTH((Tahmin!$C$4+62)),MIN(DAY(Kalemler!$D120),DAY(EOMONTH((Tahmin!$C$4+62),0))))&gt;=(Tahmin!$C$4+56),DATE(YEAR((Tahmin!$C$4+62)),MONTH((Tahmin!$C$4+62)),MIN(DAY(Kalemler!$D120),DAY(EOMONTH((Tahmin!$C$4+62),0))))&lt;=(Tahmin!$C$4+62),DATE(YEAR((Tahmin!$C$4+62)),MONTH((Tahmin!$C$4+62)),MIN(DAY(Kalemler!$D120),DAY(EOMONTH((Tahmin!$C$4+62),0))))&lt;&gt;DATE(YEAR((Tahmin!$C$4+56)),MONTH((Tahmin!$C$4+56)),MIN(DAY(Kalemler!$D120),DAY(EOMONTH((Tahmin!$C$4+56),0)))),DATE(YEAR((Tahmin!$C$4+62)),MONTH((Tahmin!$C$4+62)),MIN(DAY(Kalemler!$D120),DAY(EOMONTH((Tahmin!$C$4+62),0))))&gt;=Kalemler!$D120)),1,0),IF(AND(Kalemler!$D120&gt;=(Tahmin!$C$4+56),Kalemler!$D120&lt;=(Tahmin!$C$4+62)),1,0))))</f>
        <v>0</v>
      </c>
      <c r="K120" s="0" t="n">
        <f aca="false">IF(OR(Kalemler!$A120="",Kalemler!$C120="",Kalemler!$D120=""),0,Kalemler!$C120*IF(Kalemler!$E120="Haftalık",IF(Kalemler!$D120&lt;=(Tahmin!$C$4+69),1,0),IF(Kalemler!$E120="Aylık",IF(OR(AND(DATE(YEAR((Tahmin!$C$4+63)),MONTH((Tahmin!$C$4+63)),MIN(DAY(Kalemler!$D120),DAY(EOMONTH((Tahmin!$C$4+63),0))))&gt;=(Tahmin!$C$4+63),DATE(YEAR((Tahmin!$C$4+63)),MONTH((Tahmin!$C$4+63)),MIN(DAY(Kalemler!$D120),DAY(EOMONTH((Tahmin!$C$4+63),0))))&lt;=(Tahmin!$C$4+69),DATE(YEAR((Tahmin!$C$4+63)),MONTH((Tahmin!$C$4+63)),MIN(DAY(Kalemler!$D120),DAY(EOMONTH((Tahmin!$C$4+63),0))))&gt;=Kalemler!$D120),AND(DATE(YEAR((Tahmin!$C$4+69)),MONTH((Tahmin!$C$4+69)),MIN(DAY(Kalemler!$D120),DAY(EOMONTH((Tahmin!$C$4+69),0))))&gt;=(Tahmin!$C$4+63),DATE(YEAR((Tahmin!$C$4+69)),MONTH((Tahmin!$C$4+69)),MIN(DAY(Kalemler!$D120),DAY(EOMONTH((Tahmin!$C$4+69),0))))&lt;=(Tahmin!$C$4+69),DATE(YEAR((Tahmin!$C$4+69)),MONTH((Tahmin!$C$4+69)),MIN(DAY(Kalemler!$D120),DAY(EOMONTH((Tahmin!$C$4+69),0))))&lt;&gt;DATE(YEAR((Tahmin!$C$4+63)),MONTH((Tahmin!$C$4+63)),MIN(DAY(Kalemler!$D120),DAY(EOMONTH((Tahmin!$C$4+63),0)))),DATE(YEAR((Tahmin!$C$4+69)),MONTH((Tahmin!$C$4+69)),MIN(DAY(Kalemler!$D120),DAY(EOMONTH((Tahmin!$C$4+69),0))))&gt;=Kalemler!$D120)),1,0),IF(AND(Kalemler!$D120&gt;=(Tahmin!$C$4+63),Kalemler!$D120&lt;=(Tahmin!$C$4+69)),1,0))))</f>
        <v>0</v>
      </c>
      <c r="L120" s="0" t="n">
        <f aca="false">IF(OR(Kalemler!$A120="",Kalemler!$C120="",Kalemler!$D120=""),0,Kalemler!$C120*IF(Kalemler!$E120="Haftalık",IF(Kalemler!$D120&lt;=(Tahmin!$C$4+76),1,0),IF(Kalemler!$E120="Aylık",IF(OR(AND(DATE(YEAR((Tahmin!$C$4+70)),MONTH((Tahmin!$C$4+70)),MIN(DAY(Kalemler!$D120),DAY(EOMONTH((Tahmin!$C$4+70),0))))&gt;=(Tahmin!$C$4+70),DATE(YEAR((Tahmin!$C$4+70)),MONTH((Tahmin!$C$4+70)),MIN(DAY(Kalemler!$D120),DAY(EOMONTH((Tahmin!$C$4+70),0))))&lt;=(Tahmin!$C$4+76),DATE(YEAR((Tahmin!$C$4+70)),MONTH((Tahmin!$C$4+70)),MIN(DAY(Kalemler!$D120),DAY(EOMONTH((Tahmin!$C$4+70),0))))&gt;=Kalemler!$D120),AND(DATE(YEAR((Tahmin!$C$4+76)),MONTH((Tahmin!$C$4+76)),MIN(DAY(Kalemler!$D120),DAY(EOMONTH((Tahmin!$C$4+76),0))))&gt;=(Tahmin!$C$4+70),DATE(YEAR((Tahmin!$C$4+76)),MONTH((Tahmin!$C$4+76)),MIN(DAY(Kalemler!$D120),DAY(EOMONTH((Tahmin!$C$4+76),0))))&lt;=(Tahmin!$C$4+76),DATE(YEAR((Tahmin!$C$4+76)),MONTH((Tahmin!$C$4+76)),MIN(DAY(Kalemler!$D120),DAY(EOMONTH((Tahmin!$C$4+76),0))))&lt;&gt;DATE(YEAR((Tahmin!$C$4+70)),MONTH((Tahmin!$C$4+70)),MIN(DAY(Kalemler!$D120),DAY(EOMONTH((Tahmin!$C$4+70),0)))),DATE(YEAR((Tahmin!$C$4+76)),MONTH((Tahmin!$C$4+76)),MIN(DAY(Kalemler!$D120),DAY(EOMONTH((Tahmin!$C$4+76),0))))&gt;=Kalemler!$D120)),1,0),IF(AND(Kalemler!$D120&gt;=(Tahmin!$C$4+70),Kalemler!$D120&lt;=(Tahmin!$C$4+76)),1,0))))</f>
        <v>0</v>
      </c>
      <c r="M120" s="0" t="n">
        <f aca="false">IF(OR(Kalemler!$A120="",Kalemler!$C120="",Kalemler!$D120=""),0,Kalemler!$C120*IF(Kalemler!$E120="Haftalık",IF(Kalemler!$D120&lt;=(Tahmin!$C$4+83),1,0),IF(Kalemler!$E120="Aylık",IF(OR(AND(DATE(YEAR((Tahmin!$C$4+77)),MONTH((Tahmin!$C$4+77)),MIN(DAY(Kalemler!$D120),DAY(EOMONTH((Tahmin!$C$4+77),0))))&gt;=(Tahmin!$C$4+77),DATE(YEAR((Tahmin!$C$4+77)),MONTH((Tahmin!$C$4+77)),MIN(DAY(Kalemler!$D120),DAY(EOMONTH((Tahmin!$C$4+77),0))))&lt;=(Tahmin!$C$4+83),DATE(YEAR((Tahmin!$C$4+77)),MONTH((Tahmin!$C$4+77)),MIN(DAY(Kalemler!$D120),DAY(EOMONTH((Tahmin!$C$4+77),0))))&gt;=Kalemler!$D120),AND(DATE(YEAR((Tahmin!$C$4+83)),MONTH((Tahmin!$C$4+83)),MIN(DAY(Kalemler!$D120),DAY(EOMONTH((Tahmin!$C$4+83),0))))&gt;=(Tahmin!$C$4+77),DATE(YEAR((Tahmin!$C$4+83)),MONTH((Tahmin!$C$4+83)),MIN(DAY(Kalemler!$D120),DAY(EOMONTH((Tahmin!$C$4+83),0))))&lt;=(Tahmin!$C$4+83),DATE(YEAR((Tahmin!$C$4+83)),MONTH((Tahmin!$C$4+83)),MIN(DAY(Kalemler!$D120),DAY(EOMONTH((Tahmin!$C$4+83),0))))&lt;&gt;DATE(YEAR((Tahmin!$C$4+77)),MONTH((Tahmin!$C$4+77)),MIN(DAY(Kalemler!$D120),DAY(EOMONTH((Tahmin!$C$4+77),0)))),DATE(YEAR((Tahmin!$C$4+83)),MONTH((Tahmin!$C$4+83)),MIN(DAY(Kalemler!$D120),DAY(EOMONTH((Tahmin!$C$4+83),0))))&gt;=Kalemler!$D120)),1,0),IF(AND(Kalemler!$D120&gt;=(Tahmin!$C$4+77),Kalemler!$D120&lt;=(Tahmin!$C$4+83)),1,0))))</f>
        <v>0</v>
      </c>
      <c r="N120" s="0" t="n">
        <f aca="false">IF(OR(Kalemler!$A120="",Kalemler!$C120="",Kalemler!$D120=""),0,Kalemler!$C120*IF(Kalemler!$E120="Haftalık",IF(Kalemler!$D120&lt;=(Tahmin!$C$4+90),1,0),IF(Kalemler!$E120="Aylık",IF(OR(AND(DATE(YEAR((Tahmin!$C$4+84)),MONTH((Tahmin!$C$4+84)),MIN(DAY(Kalemler!$D120),DAY(EOMONTH((Tahmin!$C$4+84),0))))&gt;=(Tahmin!$C$4+84),DATE(YEAR((Tahmin!$C$4+84)),MONTH((Tahmin!$C$4+84)),MIN(DAY(Kalemler!$D120),DAY(EOMONTH((Tahmin!$C$4+84),0))))&lt;=(Tahmin!$C$4+90),DATE(YEAR((Tahmin!$C$4+84)),MONTH((Tahmin!$C$4+84)),MIN(DAY(Kalemler!$D120),DAY(EOMONTH((Tahmin!$C$4+84),0))))&gt;=Kalemler!$D120),AND(DATE(YEAR((Tahmin!$C$4+90)),MONTH((Tahmin!$C$4+90)),MIN(DAY(Kalemler!$D120),DAY(EOMONTH((Tahmin!$C$4+90),0))))&gt;=(Tahmin!$C$4+84),DATE(YEAR((Tahmin!$C$4+90)),MONTH((Tahmin!$C$4+90)),MIN(DAY(Kalemler!$D120),DAY(EOMONTH((Tahmin!$C$4+90),0))))&lt;=(Tahmin!$C$4+90),DATE(YEAR((Tahmin!$C$4+90)),MONTH((Tahmin!$C$4+90)),MIN(DAY(Kalemler!$D120),DAY(EOMONTH((Tahmin!$C$4+90),0))))&lt;&gt;DATE(YEAR((Tahmin!$C$4+84)),MONTH((Tahmin!$C$4+84)),MIN(DAY(Kalemler!$D120),DAY(EOMONTH((Tahmin!$C$4+84),0)))),DATE(YEAR((Tahmin!$C$4+90)),MONTH((Tahmin!$C$4+90)),MIN(DAY(Kalemler!$D120),DAY(EOMONTH((Tahmin!$C$4+90),0))))&gt;=Kalemler!$D120)),1,0),IF(AND(Kalemler!$D120&gt;=(Tahmin!$C$4+84),Kalemler!$D120&lt;=(Tahmin!$C$4+90)),1,0))))</f>
        <v>0</v>
      </c>
    </row>
    <row r="121" customFormat="false" ht="15" hidden="false" customHeight="false" outlineLevel="0" collapsed="false">
      <c r="A121" s="0" t="str">
        <f aca="false">IF(Kalemler!A121="","",Kalemler!A121)</f>
        <v/>
      </c>
      <c r="B121" s="0" t="n">
        <f aca="false">IF(OR(Kalemler!$A121="",Kalemler!$C121="",Kalemler!$D121=""),0,Kalemler!$C121*IF(Kalemler!$E121="Haftalık",IF(Kalemler!$D121&lt;=(Tahmin!$C$4+6),1,0),IF(Kalemler!$E121="Aylık",IF(OR(AND(DATE(YEAR((Tahmin!$C$4+0)),MONTH((Tahmin!$C$4+0)),MIN(DAY(Kalemler!$D121),DAY(EOMONTH((Tahmin!$C$4+0),0))))&gt;=(Tahmin!$C$4+0),DATE(YEAR((Tahmin!$C$4+0)),MONTH((Tahmin!$C$4+0)),MIN(DAY(Kalemler!$D121),DAY(EOMONTH((Tahmin!$C$4+0),0))))&lt;=(Tahmin!$C$4+6),DATE(YEAR((Tahmin!$C$4+0)),MONTH((Tahmin!$C$4+0)),MIN(DAY(Kalemler!$D121),DAY(EOMONTH((Tahmin!$C$4+0),0))))&gt;=Kalemler!$D121),AND(DATE(YEAR((Tahmin!$C$4+6)),MONTH((Tahmin!$C$4+6)),MIN(DAY(Kalemler!$D121),DAY(EOMONTH((Tahmin!$C$4+6),0))))&gt;=(Tahmin!$C$4+0),DATE(YEAR((Tahmin!$C$4+6)),MONTH((Tahmin!$C$4+6)),MIN(DAY(Kalemler!$D121),DAY(EOMONTH((Tahmin!$C$4+6),0))))&lt;=(Tahmin!$C$4+6),DATE(YEAR((Tahmin!$C$4+6)),MONTH((Tahmin!$C$4+6)),MIN(DAY(Kalemler!$D121),DAY(EOMONTH((Tahmin!$C$4+6),0))))&lt;&gt;DATE(YEAR((Tahmin!$C$4+0)),MONTH((Tahmin!$C$4+0)),MIN(DAY(Kalemler!$D121),DAY(EOMONTH((Tahmin!$C$4+0),0)))),DATE(YEAR((Tahmin!$C$4+6)),MONTH((Tahmin!$C$4+6)),MIN(DAY(Kalemler!$D121),DAY(EOMONTH((Tahmin!$C$4+6),0))))&gt;=Kalemler!$D121)),1,0),IF(AND(Kalemler!$D121&gt;=(Tahmin!$C$4+0),Kalemler!$D121&lt;=(Tahmin!$C$4+6)),1,0))))</f>
        <v>0</v>
      </c>
      <c r="C121" s="0" t="n">
        <f aca="false">IF(OR(Kalemler!$A121="",Kalemler!$C121="",Kalemler!$D121=""),0,Kalemler!$C121*IF(Kalemler!$E121="Haftalık",IF(Kalemler!$D121&lt;=(Tahmin!$C$4+13),1,0),IF(Kalemler!$E121="Aylık",IF(OR(AND(DATE(YEAR((Tahmin!$C$4+7)),MONTH((Tahmin!$C$4+7)),MIN(DAY(Kalemler!$D121),DAY(EOMONTH((Tahmin!$C$4+7),0))))&gt;=(Tahmin!$C$4+7),DATE(YEAR((Tahmin!$C$4+7)),MONTH((Tahmin!$C$4+7)),MIN(DAY(Kalemler!$D121),DAY(EOMONTH((Tahmin!$C$4+7),0))))&lt;=(Tahmin!$C$4+13),DATE(YEAR((Tahmin!$C$4+7)),MONTH((Tahmin!$C$4+7)),MIN(DAY(Kalemler!$D121),DAY(EOMONTH((Tahmin!$C$4+7),0))))&gt;=Kalemler!$D121),AND(DATE(YEAR((Tahmin!$C$4+13)),MONTH((Tahmin!$C$4+13)),MIN(DAY(Kalemler!$D121),DAY(EOMONTH((Tahmin!$C$4+13),0))))&gt;=(Tahmin!$C$4+7),DATE(YEAR((Tahmin!$C$4+13)),MONTH((Tahmin!$C$4+13)),MIN(DAY(Kalemler!$D121),DAY(EOMONTH((Tahmin!$C$4+13),0))))&lt;=(Tahmin!$C$4+13),DATE(YEAR((Tahmin!$C$4+13)),MONTH((Tahmin!$C$4+13)),MIN(DAY(Kalemler!$D121),DAY(EOMONTH((Tahmin!$C$4+13),0))))&lt;&gt;DATE(YEAR((Tahmin!$C$4+7)),MONTH((Tahmin!$C$4+7)),MIN(DAY(Kalemler!$D121),DAY(EOMONTH((Tahmin!$C$4+7),0)))),DATE(YEAR((Tahmin!$C$4+13)),MONTH((Tahmin!$C$4+13)),MIN(DAY(Kalemler!$D121),DAY(EOMONTH((Tahmin!$C$4+13),0))))&gt;=Kalemler!$D121)),1,0),IF(AND(Kalemler!$D121&gt;=(Tahmin!$C$4+7),Kalemler!$D121&lt;=(Tahmin!$C$4+13)),1,0))))</f>
        <v>0</v>
      </c>
      <c r="D121" s="0" t="n">
        <f aca="false">IF(OR(Kalemler!$A121="",Kalemler!$C121="",Kalemler!$D121=""),0,Kalemler!$C121*IF(Kalemler!$E121="Haftalık",IF(Kalemler!$D121&lt;=(Tahmin!$C$4+20),1,0),IF(Kalemler!$E121="Aylık",IF(OR(AND(DATE(YEAR((Tahmin!$C$4+14)),MONTH((Tahmin!$C$4+14)),MIN(DAY(Kalemler!$D121),DAY(EOMONTH((Tahmin!$C$4+14),0))))&gt;=(Tahmin!$C$4+14),DATE(YEAR((Tahmin!$C$4+14)),MONTH((Tahmin!$C$4+14)),MIN(DAY(Kalemler!$D121),DAY(EOMONTH((Tahmin!$C$4+14),0))))&lt;=(Tahmin!$C$4+20),DATE(YEAR((Tahmin!$C$4+14)),MONTH((Tahmin!$C$4+14)),MIN(DAY(Kalemler!$D121),DAY(EOMONTH((Tahmin!$C$4+14),0))))&gt;=Kalemler!$D121),AND(DATE(YEAR((Tahmin!$C$4+20)),MONTH((Tahmin!$C$4+20)),MIN(DAY(Kalemler!$D121),DAY(EOMONTH((Tahmin!$C$4+20),0))))&gt;=(Tahmin!$C$4+14),DATE(YEAR((Tahmin!$C$4+20)),MONTH((Tahmin!$C$4+20)),MIN(DAY(Kalemler!$D121),DAY(EOMONTH((Tahmin!$C$4+20),0))))&lt;=(Tahmin!$C$4+20),DATE(YEAR((Tahmin!$C$4+20)),MONTH((Tahmin!$C$4+20)),MIN(DAY(Kalemler!$D121),DAY(EOMONTH((Tahmin!$C$4+20),0))))&lt;&gt;DATE(YEAR((Tahmin!$C$4+14)),MONTH((Tahmin!$C$4+14)),MIN(DAY(Kalemler!$D121),DAY(EOMONTH((Tahmin!$C$4+14),0)))),DATE(YEAR((Tahmin!$C$4+20)),MONTH((Tahmin!$C$4+20)),MIN(DAY(Kalemler!$D121),DAY(EOMONTH((Tahmin!$C$4+20),0))))&gt;=Kalemler!$D121)),1,0),IF(AND(Kalemler!$D121&gt;=(Tahmin!$C$4+14),Kalemler!$D121&lt;=(Tahmin!$C$4+20)),1,0))))</f>
        <v>0</v>
      </c>
      <c r="E121" s="0" t="n">
        <f aca="false">IF(OR(Kalemler!$A121="",Kalemler!$C121="",Kalemler!$D121=""),0,Kalemler!$C121*IF(Kalemler!$E121="Haftalık",IF(Kalemler!$D121&lt;=(Tahmin!$C$4+27),1,0),IF(Kalemler!$E121="Aylık",IF(OR(AND(DATE(YEAR((Tahmin!$C$4+21)),MONTH((Tahmin!$C$4+21)),MIN(DAY(Kalemler!$D121),DAY(EOMONTH((Tahmin!$C$4+21),0))))&gt;=(Tahmin!$C$4+21),DATE(YEAR((Tahmin!$C$4+21)),MONTH((Tahmin!$C$4+21)),MIN(DAY(Kalemler!$D121),DAY(EOMONTH((Tahmin!$C$4+21),0))))&lt;=(Tahmin!$C$4+27),DATE(YEAR((Tahmin!$C$4+21)),MONTH((Tahmin!$C$4+21)),MIN(DAY(Kalemler!$D121),DAY(EOMONTH((Tahmin!$C$4+21),0))))&gt;=Kalemler!$D121),AND(DATE(YEAR((Tahmin!$C$4+27)),MONTH((Tahmin!$C$4+27)),MIN(DAY(Kalemler!$D121),DAY(EOMONTH((Tahmin!$C$4+27),0))))&gt;=(Tahmin!$C$4+21),DATE(YEAR((Tahmin!$C$4+27)),MONTH((Tahmin!$C$4+27)),MIN(DAY(Kalemler!$D121),DAY(EOMONTH((Tahmin!$C$4+27),0))))&lt;=(Tahmin!$C$4+27),DATE(YEAR((Tahmin!$C$4+27)),MONTH((Tahmin!$C$4+27)),MIN(DAY(Kalemler!$D121),DAY(EOMONTH((Tahmin!$C$4+27),0))))&lt;&gt;DATE(YEAR((Tahmin!$C$4+21)),MONTH((Tahmin!$C$4+21)),MIN(DAY(Kalemler!$D121),DAY(EOMONTH((Tahmin!$C$4+21),0)))),DATE(YEAR((Tahmin!$C$4+27)),MONTH((Tahmin!$C$4+27)),MIN(DAY(Kalemler!$D121),DAY(EOMONTH((Tahmin!$C$4+27),0))))&gt;=Kalemler!$D121)),1,0),IF(AND(Kalemler!$D121&gt;=(Tahmin!$C$4+21),Kalemler!$D121&lt;=(Tahmin!$C$4+27)),1,0))))</f>
        <v>0</v>
      </c>
      <c r="F121" s="0" t="n">
        <f aca="false">IF(OR(Kalemler!$A121="",Kalemler!$C121="",Kalemler!$D121=""),0,Kalemler!$C121*IF(Kalemler!$E121="Haftalık",IF(Kalemler!$D121&lt;=(Tahmin!$C$4+34),1,0),IF(Kalemler!$E121="Aylık",IF(OR(AND(DATE(YEAR((Tahmin!$C$4+28)),MONTH((Tahmin!$C$4+28)),MIN(DAY(Kalemler!$D121),DAY(EOMONTH((Tahmin!$C$4+28),0))))&gt;=(Tahmin!$C$4+28),DATE(YEAR((Tahmin!$C$4+28)),MONTH((Tahmin!$C$4+28)),MIN(DAY(Kalemler!$D121),DAY(EOMONTH((Tahmin!$C$4+28),0))))&lt;=(Tahmin!$C$4+34),DATE(YEAR((Tahmin!$C$4+28)),MONTH((Tahmin!$C$4+28)),MIN(DAY(Kalemler!$D121),DAY(EOMONTH((Tahmin!$C$4+28),0))))&gt;=Kalemler!$D121),AND(DATE(YEAR((Tahmin!$C$4+34)),MONTH((Tahmin!$C$4+34)),MIN(DAY(Kalemler!$D121),DAY(EOMONTH((Tahmin!$C$4+34),0))))&gt;=(Tahmin!$C$4+28),DATE(YEAR((Tahmin!$C$4+34)),MONTH((Tahmin!$C$4+34)),MIN(DAY(Kalemler!$D121),DAY(EOMONTH((Tahmin!$C$4+34),0))))&lt;=(Tahmin!$C$4+34),DATE(YEAR((Tahmin!$C$4+34)),MONTH((Tahmin!$C$4+34)),MIN(DAY(Kalemler!$D121),DAY(EOMONTH((Tahmin!$C$4+34),0))))&lt;&gt;DATE(YEAR((Tahmin!$C$4+28)),MONTH((Tahmin!$C$4+28)),MIN(DAY(Kalemler!$D121),DAY(EOMONTH((Tahmin!$C$4+28),0)))),DATE(YEAR((Tahmin!$C$4+34)),MONTH((Tahmin!$C$4+34)),MIN(DAY(Kalemler!$D121),DAY(EOMONTH((Tahmin!$C$4+34),0))))&gt;=Kalemler!$D121)),1,0),IF(AND(Kalemler!$D121&gt;=(Tahmin!$C$4+28),Kalemler!$D121&lt;=(Tahmin!$C$4+34)),1,0))))</f>
        <v>0</v>
      </c>
      <c r="G121" s="0" t="n">
        <f aca="false">IF(OR(Kalemler!$A121="",Kalemler!$C121="",Kalemler!$D121=""),0,Kalemler!$C121*IF(Kalemler!$E121="Haftalık",IF(Kalemler!$D121&lt;=(Tahmin!$C$4+41),1,0),IF(Kalemler!$E121="Aylık",IF(OR(AND(DATE(YEAR((Tahmin!$C$4+35)),MONTH((Tahmin!$C$4+35)),MIN(DAY(Kalemler!$D121),DAY(EOMONTH((Tahmin!$C$4+35),0))))&gt;=(Tahmin!$C$4+35),DATE(YEAR((Tahmin!$C$4+35)),MONTH((Tahmin!$C$4+35)),MIN(DAY(Kalemler!$D121),DAY(EOMONTH((Tahmin!$C$4+35),0))))&lt;=(Tahmin!$C$4+41),DATE(YEAR((Tahmin!$C$4+35)),MONTH((Tahmin!$C$4+35)),MIN(DAY(Kalemler!$D121),DAY(EOMONTH((Tahmin!$C$4+35),0))))&gt;=Kalemler!$D121),AND(DATE(YEAR((Tahmin!$C$4+41)),MONTH((Tahmin!$C$4+41)),MIN(DAY(Kalemler!$D121),DAY(EOMONTH((Tahmin!$C$4+41),0))))&gt;=(Tahmin!$C$4+35),DATE(YEAR((Tahmin!$C$4+41)),MONTH((Tahmin!$C$4+41)),MIN(DAY(Kalemler!$D121),DAY(EOMONTH((Tahmin!$C$4+41),0))))&lt;=(Tahmin!$C$4+41),DATE(YEAR((Tahmin!$C$4+41)),MONTH((Tahmin!$C$4+41)),MIN(DAY(Kalemler!$D121),DAY(EOMONTH((Tahmin!$C$4+41),0))))&lt;&gt;DATE(YEAR((Tahmin!$C$4+35)),MONTH((Tahmin!$C$4+35)),MIN(DAY(Kalemler!$D121),DAY(EOMONTH((Tahmin!$C$4+35),0)))),DATE(YEAR((Tahmin!$C$4+41)),MONTH((Tahmin!$C$4+41)),MIN(DAY(Kalemler!$D121),DAY(EOMONTH((Tahmin!$C$4+41),0))))&gt;=Kalemler!$D121)),1,0),IF(AND(Kalemler!$D121&gt;=(Tahmin!$C$4+35),Kalemler!$D121&lt;=(Tahmin!$C$4+41)),1,0))))</f>
        <v>0</v>
      </c>
      <c r="H121" s="0" t="n">
        <f aca="false">IF(OR(Kalemler!$A121="",Kalemler!$C121="",Kalemler!$D121=""),0,Kalemler!$C121*IF(Kalemler!$E121="Haftalık",IF(Kalemler!$D121&lt;=(Tahmin!$C$4+48),1,0),IF(Kalemler!$E121="Aylık",IF(OR(AND(DATE(YEAR((Tahmin!$C$4+42)),MONTH((Tahmin!$C$4+42)),MIN(DAY(Kalemler!$D121),DAY(EOMONTH((Tahmin!$C$4+42),0))))&gt;=(Tahmin!$C$4+42),DATE(YEAR((Tahmin!$C$4+42)),MONTH((Tahmin!$C$4+42)),MIN(DAY(Kalemler!$D121),DAY(EOMONTH((Tahmin!$C$4+42),0))))&lt;=(Tahmin!$C$4+48),DATE(YEAR((Tahmin!$C$4+42)),MONTH((Tahmin!$C$4+42)),MIN(DAY(Kalemler!$D121),DAY(EOMONTH((Tahmin!$C$4+42),0))))&gt;=Kalemler!$D121),AND(DATE(YEAR((Tahmin!$C$4+48)),MONTH((Tahmin!$C$4+48)),MIN(DAY(Kalemler!$D121),DAY(EOMONTH((Tahmin!$C$4+48),0))))&gt;=(Tahmin!$C$4+42),DATE(YEAR((Tahmin!$C$4+48)),MONTH((Tahmin!$C$4+48)),MIN(DAY(Kalemler!$D121),DAY(EOMONTH((Tahmin!$C$4+48),0))))&lt;=(Tahmin!$C$4+48),DATE(YEAR((Tahmin!$C$4+48)),MONTH((Tahmin!$C$4+48)),MIN(DAY(Kalemler!$D121),DAY(EOMONTH((Tahmin!$C$4+48),0))))&lt;&gt;DATE(YEAR((Tahmin!$C$4+42)),MONTH((Tahmin!$C$4+42)),MIN(DAY(Kalemler!$D121),DAY(EOMONTH((Tahmin!$C$4+42),0)))),DATE(YEAR((Tahmin!$C$4+48)),MONTH((Tahmin!$C$4+48)),MIN(DAY(Kalemler!$D121),DAY(EOMONTH((Tahmin!$C$4+48),0))))&gt;=Kalemler!$D121)),1,0),IF(AND(Kalemler!$D121&gt;=(Tahmin!$C$4+42),Kalemler!$D121&lt;=(Tahmin!$C$4+48)),1,0))))</f>
        <v>0</v>
      </c>
      <c r="I121" s="0" t="n">
        <f aca="false">IF(OR(Kalemler!$A121="",Kalemler!$C121="",Kalemler!$D121=""),0,Kalemler!$C121*IF(Kalemler!$E121="Haftalık",IF(Kalemler!$D121&lt;=(Tahmin!$C$4+55),1,0),IF(Kalemler!$E121="Aylık",IF(OR(AND(DATE(YEAR((Tahmin!$C$4+49)),MONTH((Tahmin!$C$4+49)),MIN(DAY(Kalemler!$D121),DAY(EOMONTH((Tahmin!$C$4+49),0))))&gt;=(Tahmin!$C$4+49),DATE(YEAR((Tahmin!$C$4+49)),MONTH((Tahmin!$C$4+49)),MIN(DAY(Kalemler!$D121),DAY(EOMONTH((Tahmin!$C$4+49),0))))&lt;=(Tahmin!$C$4+55),DATE(YEAR((Tahmin!$C$4+49)),MONTH((Tahmin!$C$4+49)),MIN(DAY(Kalemler!$D121),DAY(EOMONTH((Tahmin!$C$4+49),0))))&gt;=Kalemler!$D121),AND(DATE(YEAR((Tahmin!$C$4+55)),MONTH((Tahmin!$C$4+55)),MIN(DAY(Kalemler!$D121),DAY(EOMONTH((Tahmin!$C$4+55),0))))&gt;=(Tahmin!$C$4+49),DATE(YEAR((Tahmin!$C$4+55)),MONTH((Tahmin!$C$4+55)),MIN(DAY(Kalemler!$D121),DAY(EOMONTH((Tahmin!$C$4+55),0))))&lt;=(Tahmin!$C$4+55),DATE(YEAR((Tahmin!$C$4+55)),MONTH((Tahmin!$C$4+55)),MIN(DAY(Kalemler!$D121),DAY(EOMONTH((Tahmin!$C$4+55),0))))&lt;&gt;DATE(YEAR((Tahmin!$C$4+49)),MONTH((Tahmin!$C$4+49)),MIN(DAY(Kalemler!$D121),DAY(EOMONTH((Tahmin!$C$4+49),0)))),DATE(YEAR((Tahmin!$C$4+55)),MONTH((Tahmin!$C$4+55)),MIN(DAY(Kalemler!$D121),DAY(EOMONTH((Tahmin!$C$4+55),0))))&gt;=Kalemler!$D121)),1,0),IF(AND(Kalemler!$D121&gt;=(Tahmin!$C$4+49),Kalemler!$D121&lt;=(Tahmin!$C$4+55)),1,0))))</f>
        <v>0</v>
      </c>
      <c r="J121" s="0" t="n">
        <f aca="false">IF(OR(Kalemler!$A121="",Kalemler!$C121="",Kalemler!$D121=""),0,Kalemler!$C121*IF(Kalemler!$E121="Haftalık",IF(Kalemler!$D121&lt;=(Tahmin!$C$4+62),1,0),IF(Kalemler!$E121="Aylık",IF(OR(AND(DATE(YEAR((Tahmin!$C$4+56)),MONTH((Tahmin!$C$4+56)),MIN(DAY(Kalemler!$D121),DAY(EOMONTH((Tahmin!$C$4+56),0))))&gt;=(Tahmin!$C$4+56),DATE(YEAR((Tahmin!$C$4+56)),MONTH((Tahmin!$C$4+56)),MIN(DAY(Kalemler!$D121),DAY(EOMONTH((Tahmin!$C$4+56),0))))&lt;=(Tahmin!$C$4+62),DATE(YEAR((Tahmin!$C$4+56)),MONTH((Tahmin!$C$4+56)),MIN(DAY(Kalemler!$D121),DAY(EOMONTH((Tahmin!$C$4+56),0))))&gt;=Kalemler!$D121),AND(DATE(YEAR((Tahmin!$C$4+62)),MONTH((Tahmin!$C$4+62)),MIN(DAY(Kalemler!$D121),DAY(EOMONTH((Tahmin!$C$4+62),0))))&gt;=(Tahmin!$C$4+56),DATE(YEAR((Tahmin!$C$4+62)),MONTH((Tahmin!$C$4+62)),MIN(DAY(Kalemler!$D121),DAY(EOMONTH((Tahmin!$C$4+62),0))))&lt;=(Tahmin!$C$4+62),DATE(YEAR((Tahmin!$C$4+62)),MONTH((Tahmin!$C$4+62)),MIN(DAY(Kalemler!$D121),DAY(EOMONTH((Tahmin!$C$4+62),0))))&lt;&gt;DATE(YEAR((Tahmin!$C$4+56)),MONTH((Tahmin!$C$4+56)),MIN(DAY(Kalemler!$D121),DAY(EOMONTH((Tahmin!$C$4+56),0)))),DATE(YEAR((Tahmin!$C$4+62)),MONTH((Tahmin!$C$4+62)),MIN(DAY(Kalemler!$D121),DAY(EOMONTH((Tahmin!$C$4+62),0))))&gt;=Kalemler!$D121)),1,0),IF(AND(Kalemler!$D121&gt;=(Tahmin!$C$4+56),Kalemler!$D121&lt;=(Tahmin!$C$4+62)),1,0))))</f>
        <v>0</v>
      </c>
      <c r="K121" s="0" t="n">
        <f aca="false">IF(OR(Kalemler!$A121="",Kalemler!$C121="",Kalemler!$D121=""),0,Kalemler!$C121*IF(Kalemler!$E121="Haftalık",IF(Kalemler!$D121&lt;=(Tahmin!$C$4+69),1,0),IF(Kalemler!$E121="Aylık",IF(OR(AND(DATE(YEAR((Tahmin!$C$4+63)),MONTH((Tahmin!$C$4+63)),MIN(DAY(Kalemler!$D121),DAY(EOMONTH((Tahmin!$C$4+63),0))))&gt;=(Tahmin!$C$4+63),DATE(YEAR((Tahmin!$C$4+63)),MONTH((Tahmin!$C$4+63)),MIN(DAY(Kalemler!$D121),DAY(EOMONTH((Tahmin!$C$4+63),0))))&lt;=(Tahmin!$C$4+69),DATE(YEAR((Tahmin!$C$4+63)),MONTH((Tahmin!$C$4+63)),MIN(DAY(Kalemler!$D121),DAY(EOMONTH((Tahmin!$C$4+63),0))))&gt;=Kalemler!$D121),AND(DATE(YEAR((Tahmin!$C$4+69)),MONTH((Tahmin!$C$4+69)),MIN(DAY(Kalemler!$D121),DAY(EOMONTH((Tahmin!$C$4+69),0))))&gt;=(Tahmin!$C$4+63),DATE(YEAR((Tahmin!$C$4+69)),MONTH((Tahmin!$C$4+69)),MIN(DAY(Kalemler!$D121),DAY(EOMONTH((Tahmin!$C$4+69),0))))&lt;=(Tahmin!$C$4+69),DATE(YEAR((Tahmin!$C$4+69)),MONTH((Tahmin!$C$4+69)),MIN(DAY(Kalemler!$D121),DAY(EOMONTH((Tahmin!$C$4+69),0))))&lt;&gt;DATE(YEAR((Tahmin!$C$4+63)),MONTH((Tahmin!$C$4+63)),MIN(DAY(Kalemler!$D121),DAY(EOMONTH((Tahmin!$C$4+63),0)))),DATE(YEAR((Tahmin!$C$4+69)),MONTH((Tahmin!$C$4+69)),MIN(DAY(Kalemler!$D121),DAY(EOMONTH((Tahmin!$C$4+69),0))))&gt;=Kalemler!$D121)),1,0),IF(AND(Kalemler!$D121&gt;=(Tahmin!$C$4+63),Kalemler!$D121&lt;=(Tahmin!$C$4+69)),1,0))))</f>
        <v>0</v>
      </c>
      <c r="L121" s="0" t="n">
        <f aca="false">IF(OR(Kalemler!$A121="",Kalemler!$C121="",Kalemler!$D121=""),0,Kalemler!$C121*IF(Kalemler!$E121="Haftalık",IF(Kalemler!$D121&lt;=(Tahmin!$C$4+76),1,0),IF(Kalemler!$E121="Aylık",IF(OR(AND(DATE(YEAR((Tahmin!$C$4+70)),MONTH((Tahmin!$C$4+70)),MIN(DAY(Kalemler!$D121),DAY(EOMONTH((Tahmin!$C$4+70),0))))&gt;=(Tahmin!$C$4+70),DATE(YEAR((Tahmin!$C$4+70)),MONTH((Tahmin!$C$4+70)),MIN(DAY(Kalemler!$D121),DAY(EOMONTH((Tahmin!$C$4+70),0))))&lt;=(Tahmin!$C$4+76),DATE(YEAR((Tahmin!$C$4+70)),MONTH((Tahmin!$C$4+70)),MIN(DAY(Kalemler!$D121),DAY(EOMONTH((Tahmin!$C$4+70),0))))&gt;=Kalemler!$D121),AND(DATE(YEAR((Tahmin!$C$4+76)),MONTH((Tahmin!$C$4+76)),MIN(DAY(Kalemler!$D121),DAY(EOMONTH((Tahmin!$C$4+76),0))))&gt;=(Tahmin!$C$4+70),DATE(YEAR((Tahmin!$C$4+76)),MONTH((Tahmin!$C$4+76)),MIN(DAY(Kalemler!$D121),DAY(EOMONTH((Tahmin!$C$4+76),0))))&lt;=(Tahmin!$C$4+76),DATE(YEAR((Tahmin!$C$4+76)),MONTH((Tahmin!$C$4+76)),MIN(DAY(Kalemler!$D121),DAY(EOMONTH((Tahmin!$C$4+76),0))))&lt;&gt;DATE(YEAR((Tahmin!$C$4+70)),MONTH((Tahmin!$C$4+70)),MIN(DAY(Kalemler!$D121),DAY(EOMONTH((Tahmin!$C$4+70),0)))),DATE(YEAR((Tahmin!$C$4+76)),MONTH((Tahmin!$C$4+76)),MIN(DAY(Kalemler!$D121),DAY(EOMONTH((Tahmin!$C$4+76),0))))&gt;=Kalemler!$D121)),1,0),IF(AND(Kalemler!$D121&gt;=(Tahmin!$C$4+70),Kalemler!$D121&lt;=(Tahmin!$C$4+76)),1,0))))</f>
        <v>0</v>
      </c>
      <c r="M121" s="0" t="n">
        <f aca="false">IF(OR(Kalemler!$A121="",Kalemler!$C121="",Kalemler!$D121=""),0,Kalemler!$C121*IF(Kalemler!$E121="Haftalık",IF(Kalemler!$D121&lt;=(Tahmin!$C$4+83),1,0),IF(Kalemler!$E121="Aylık",IF(OR(AND(DATE(YEAR((Tahmin!$C$4+77)),MONTH((Tahmin!$C$4+77)),MIN(DAY(Kalemler!$D121),DAY(EOMONTH((Tahmin!$C$4+77),0))))&gt;=(Tahmin!$C$4+77),DATE(YEAR((Tahmin!$C$4+77)),MONTH((Tahmin!$C$4+77)),MIN(DAY(Kalemler!$D121),DAY(EOMONTH((Tahmin!$C$4+77),0))))&lt;=(Tahmin!$C$4+83),DATE(YEAR((Tahmin!$C$4+77)),MONTH((Tahmin!$C$4+77)),MIN(DAY(Kalemler!$D121),DAY(EOMONTH((Tahmin!$C$4+77),0))))&gt;=Kalemler!$D121),AND(DATE(YEAR((Tahmin!$C$4+83)),MONTH((Tahmin!$C$4+83)),MIN(DAY(Kalemler!$D121),DAY(EOMONTH((Tahmin!$C$4+83),0))))&gt;=(Tahmin!$C$4+77),DATE(YEAR((Tahmin!$C$4+83)),MONTH((Tahmin!$C$4+83)),MIN(DAY(Kalemler!$D121),DAY(EOMONTH((Tahmin!$C$4+83),0))))&lt;=(Tahmin!$C$4+83),DATE(YEAR((Tahmin!$C$4+83)),MONTH((Tahmin!$C$4+83)),MIN(DAY(Kalemler!$D121),DAY(EOMONTH((Tahmin!$C$4+83),0))))&lt;&gt;DATE(YEAR((Tahmin!$C$4+77)),MONTH((Tahmin!$C$4+77)),MIN(DAY(Kalemler!$D121),DAY(EOMONTH((Tahmin!$C$4+77),0)))),DATE(YEAR((Tahmin!$C$4+83)),MONTH((Tahmin!$C$4+83)),MIN(DAY(Kalemler!$D121),DAY(EOMONTH((Tahmin!$C$4+83),0))))&gt;=Kalemler!$D121)),1,0),IF(AND(Kalemler!$D121&gt;=(Tahmin!$C$4+77),Kalemler!$D121&lt;=(Tahmin!$C$4+83)),1,0))))</f>
        <v>0</v>
      </c>
      <c r="N121" s="0" t="n">
        <f aca="false">IF(OR(Kalemler!$A121="",Kalemler!$C121="",Kalemler!$D121=""),0,Kalemler!$C121*IF(Kalemler!$E121="Haftalık",IF(Kalemler!$D121&lt;=(Tahmin!$C$4+90),1,0),IF(Kalemler!$E121="Aylık",IF(OR(AND(DATE(YEAR((Tahmin!$C$4+84)),MONTH((Tahmin!$C$4+84)),MIN(DAY(Kalemler!$D121),DAY(EOMONTH((Tahmin!$C$4+84),0))))&gt;=(Tahmin!$C$4+84),DATE(YEAR((Tahmin!$C$4+84)),MONTH((Tahmin!$C$4+84)),MIN(DAY(Kalemler!$D121),DAY(EOMONTH((Tahmin!$C$4+84),0))))&lt;=(Tahmin!$C$4+90),DATE(YEAR((Tahmin!$C$4+84)),MONTH((Tahmin!$C$4+84)),MIN(DAY(Kalemler!$D121),DAY(EOMONTH((Tahmin!$C$4+84),0))))&gt;=Kalemler!$D121),AND(DATE(YEAR((Tahmin!$C$4+90)),MONTH((Tahmin!$C$4+90)),MIN(DAY(Kalemler!$D121),DAY(EOMONTH((Tahmin!$C$4+90),0))))&gt;=(Tahmin!$C$4+84),DATE(YEAR((Tahmin!$C$4+90)),MONTH((Tahmin!$C$4+90)),MIN(DAY(Kalemler!$D121),DAY(EOMONTH((Tahmin!$C$4+90),0))))&lt;=(Tahmin!$C$4+90),DATE(YEAR((Tahmin!$C$4+90)),MONTH((Tahmin!$C$4+90)),MIN(DAY(Kalemler!$D121),DAY(EOMONTH((Tahmin!$C$4+90),0))))&lt;&gt;DATE(YEAR((Tahmin!$C$4+84)),MONTH((Tahmin!$C$4+84)),MIN(DAY(Kalemler!$D121),DAY(EOMONTH((Tahmin!$C$4+84),0)))),DATE(YEAR((Tahmin!$C$4+90)),MONTH((Tahmin!$C$4+90)),MIN(DAY(Kalemler!$D121),DAY(EOMONTH((Tahmin!$C$4+90),0))))&gt;=Kalemler!$D121)),1,0),IF(AND(Kalemler!$D121&gt;=(Tahmin!$C$4+84),Kalemler!$D121&lt;=(Tahmin!$C$4+90)),1,0))))</f>
        <v>0</v>
      </c>
    </row>
    <row r="122" customFormat="false" ht="15" hidden="false" customHeight="false" outlineLevel="0" collapsed="false">
      <c r="A122" s="0" t="str">
        <f aca="false">IF(Kalemler!A122="","",Kalemler!A122)</f>
        <v/>
      </c>
      <c r="B122" s="0" t="n">
        <f aca="false">IF(OR(Kalemler!$A122="",Kalemler!$C122="",Kalemler!$D122=""),0,Kalemler!$C122*IF(Kalemler!$E122="Haftalık",IF(Kalemler!$D122&lt;=(Tahmin!$C$4+6),1,0),IF(Kalemler!$E122="Aylık",IF(OR(AND(DATE(YEAR((Tahmin!$C$4+0)),MONTH((Tahmin!$C$4+0)),MIN(DAY(Kalemler!$D122),DAY(EOMONTH((Tahmin!$C$4+0),0))))&gt;=(Tahmin!$C$4+0),DATE(YEAR((Tahmin!$C$4+0)),MONTH((Tahmin!$C$4+0)),MIN(DAY(Kalemler!$D122),DAY(EOMONTH((Tahmin!$C$4+0),0))))&lt;=(Tahmin!$C$4+6),DATE(YEAR((Tahmin!$C$4+0)),MONTH((Tahmin!$C$4+0)),MIN(DAY(Kalemler!$D122),DAY(EOMONTH((Tahmin!$C$4+0),0))))&gt;=Kalemler!$D122),AND(DATE(YEAR((Tahmin!$C$4+6)),MONTH((Tahmin!$C$4+6)),MIN(DAY(Kalemler!$D122),DAY(EOMONTH((Tahmin!$C$4+6),0))))&gt;=(Tahmin!$C$4+0),DATE(YEAR((Tahmin!$C$4+6)),MONTH((Tahmin!$C$4+6)),MIN(DAY(Kalemler!$D122),DAY(EOMONTH((Tahmin!$C$4+6),0))))&lt;=(Tahmin!$C$4+6),DATE(YEAR((Tahmin!$C$4+6)),MONTH((Tahmin!$C$4+6)),MIN(DAY(Kalemler!$D122),DAY(EOMONTH((Tahmin!$C$4+6),0))))&lt;&gt;DATE(YEAR((Tahmin!$C$4+0)),MONTH((Tahmin!$C$4+0)),MIN(DAY(Kalemler!$D122),DAY(EOMONTH((Tahmin!$C$4+0),0)))),DATE(YEAR((Tahmin!$C$4+6)),MONTH((Tahmin!$C$4+6)),MIN(DAY(Kalemler!$D122),DAY(EOMONTH((Tahmin!$C$4+6),0))))&gt;=Kalemler!$D122)),1,0),IF(AND(Kalemler!$D122&gt;=(Tahmin!$C$4+0),Kalemler!$D122&lt;=(Tahmin!$C$4+6)),1,0))))</f>
        <v>0</v>
      </c>
      <c r="C122" s="0" t="n">
        <f aca="false">IF(OR(Kalemler!$A122="",Kalemler!$C122="",Kalemler!$D122=""),0,Kalemler!$C122*IF(Kalemler!$E122="Haftalık",IF(Kalemler!$D122&lt;=(Tahmin!$C$4+13),1,0),IF(Kalemler!$E122="Aylık",IF(OR(AND(DATE(YEAR((Tahmin!$C$4+7)),MONTH((Tahmin!$C$4+7)),MIN(DAY(Kalemler!$D122),DAY(EOMONTH((Tahmin!$C$4+7),0))))&gt;=(Tahmin!$C$4+7),DATE(YEAR((Tahmin!$C$4+7)),MONTH((Tahmin!$C$4+7)),MIN(DAY(Kalemler!$D122),DAY(EOMONTH((Tahmin!$C$4+7),0))))&lt;=(Tahmin!$C$4+13),DATE(YEAR((Tahmin!$C$4+7)),MONTH((Tahmin!$C$4+7)),MIN(DAY(Kalemler!$D122),DAY(EOMONTH((Tahmin!$C$4+7),0))))&gt;=Kalemler!$D122),AND(DATE(YEAR((Tahmin!$C$4+13)),MONTH((Tahmin!$C$4+13)),MIN(DAY(Kalemler!$D122),DAY(EOMONTH((Tahmin!$C$4+13),0))))&gt;=(Tahmin!$C$4+7),DATE(YEAR((Tahmin!$C$4+13)),MONTH((Tahmin!$C$4+13)),MIN(DAY(Kalemler!$D122),DAY(EOMONTH((Tahmin!$C$4+13),0))))&lt;=(Tahmin!$C$4+13),DATE(YEAR((Tahmin!$C$4+13)),MONTH((Tahmin!$C$4+13)),MIN(DAY(Kalemler!$D122),DAY(EOMONTH((Tahmin!$C$4+13),0))))&lt;&gt;DATE(YEAR((Tahmin!$C$4+7)),MONTH((Tahmin!$C$4+7)),MIN(DAY(Kalemler!$D122),DAY(EOMONTH((Tahmin!$C$4+7),0)))),DATE(YEAR((Tahmin!$C$4+13)),MONTH((Tahmin!$C$4+13)),MIN(DAY(Kalemler!$D122),DAY(EOMONTH((Tahmin!$C$4+13),0))))&gt;=Kalemler!$D122)),1,0),IF(AND(Kalemler!$D122&gt;=(Tahmin!$C$4+7),Kalemler!$D122&lt;=(Tahmin!$C$4+13)),1,0))))</f>
        <v>0</v>
      </c>
      <c r="D122" s="0" t="n">
        <f aca="false">IF(OR(Kalemler!$A122="",Kalemler!$C122="",Kalemler!$D122=""),0,Kalemler!$C122*IF(Kalemler!$E122="Haftalık",IF(Kalemler!$D122&lt;=(Tahmin!$C$4+20),1,0),IF(Kalemler!$E122="Aylık",IF(OR(AND(DATE(YEAR((Tahmin!$C$4+14)),MONTH((Tahmin!$C$4+14)),MIN(DAY(Kalemler!$D122),DAY(EOMONTH((Tahmin!$C$4+14),0))))&gt;=(Tahmin!$C$4+14),DATE(YEAR((Tahmin!$C$4+14)),MONTH((Tahmin!$C$4+14)),MIN(DAY(Kalemler!$D122),DAY(EOMONTH((Tahmin!$C$4+14),0))))&lt;=(Tahmin!$C$4+20),DATE(YEAR((Tahmin!$C$4+14)),MONTH((Tahmin!$C$4+14)),MIN(DAY(Kalemler!$D122),DAY(EOMONTH((Tahmin!$C$4+14),0))))&gt;=Kalemler!$D122),AND(DATE(YEAR((Tahmin!$C$4+20)),MONTH((Tahmin!$C$4+20)),MIN(DAY(Kalemler!$D122),DAY(EOMONTH((Tahmin!$C$4+20),0))))&gt;=(Tahmin!$C$4+14),DATE(YEAR((Tahmin!$C$4+20)),MONTH((Tahmin!$C$4+20)),MIN(DAY(Kalemler!$D122),DAY(EOMONTH((Tahmin!$C$4+20),0))))&lt;=(Tahmin!$C$4+20),DATE(YEAR((Tahmin!$C$4+20)),MONTH((Tahmin!$C$4+20)),MIN(DAY(Kalemler!$D122),DAY(EOMONTH((Tahmin!$C$4+20),0))))&lt;&gt;DATE(YEAR((Tahmin!$C$4+14)),MONTH((Tahmin!$C$4+14)),MIN(DAY(Kalemler!$D122),DAY(EOMONTH((Tahmin!$C$4+14),0)))),DATE(YEAR((Tahmin!$C$4+20)),MONTH((Tahmin!$C$4+20)),MIN(DAY(Kalemler!$D122),DAY(EOMONTH((Tahmin!$C$4+20),0))))&gt;=Kalemler!$D122)),1,0),IF(AND(Kalemler!$D122&gt;=(Tahmin!$C$4+14),Kalemler!$D122&lt;=(Tahmin!$C$4+20)),1,0))))</f>
        <v>0</v>
      </c>
      <c r="E122" s="0" t="n">
        <f aca="false">IF(OR(Kalemler!$A122="",Kalemler!$C122="",Kalemler!$D122=""),0,Kalemler!$C122*IF(Kalemler!$E122="Haftalık",IF(Kalemler!$D122&lt;=(Tahmin!$C$4+27),1,0),IF(Kalemler!$E122="Aylık",IF(OR(AND(DATE(YEAR((Tahmin!$C$4+21)),MONTH((Tahmin!$C$4+21)),MIN(DAY(Kalemler!$D122),DAY(EOMONTH((Tahmin!$C$4+21),0))))&gt;=(Tahmin!$C$4+21),DATE(YEAR((Tahmin!$C$4+21)),MONTH((Tahmin!$C$4+21)),MIN(DAY(Kalemler!$D122),DAY(EOMONTH((Tahmin!$C$4+21),0))))&lt;=(Tahmin!$C$4+27),DATE(YEAR((Tahmin!$C$4+21)),MONTH((Tahmin!$C$4+21)),MIN(DAY(Kalemler!$D122),DAY(EOMONTH((Tahmin!$C$4+21),0))))&gt;=Kalemler!$D122),AND(DATE(YEAR((Tahmin!$C$4+27)),MONTH((Tahmin!$C$4+27)),MIN(DAY(Kalemler!$D122),DAY(EOMONTH((Tahmin!$C$4+27),0))))&gt;=(Tahmin!$C$4+21),DATE(YEAR((Tahmin!$C$4+27)),MONTH((Tahmin!$C$4+27)),MIN(DAY(Kalemler!$D122),DAY(EOMONTH((Tahmin!$C$4+27),0))))&lt;=(Tahmin!$C$4+27),DATE(YEAR((Tahmin!$C$4+27)),MONTH((Tahmin!$C$4+27)),MIN(DAY(Kalemler!$D122),DAY(EOMONTH((Tahmin!$C$4+27),0))))&lt;&gt;DATE(YEAR((Tahmin!$C$4+21)),MONTH((Tahmin!$C$4+21)),MIN(DAY(Kalemler!$D122),DAY(EOMONTH((Tahmin!$C$4+21),0)))),DATE(YEAR((Tahmin!$C$4+27)),MONTH((Tahmin!$C$4+27)),MIN(DAY(Kalemler!$D122),DAY(EOMONTH((Tahmin!$C$4+27),0))))&gt;=Kalemler!$D122)),1,0),IF(AND(Kalemler!$D122&gt;=(Tahmin!$C$4+21),Kalemler!$D122&lt;=(Tahmin!$C$4+27)),1,0))))</f>
        <v>0</v>
      </c>
      <c r="F122" s="0" t="n">
        <f aca="false">IF(OR(Kalemler!$A122="",Kalemler!$C122="",Kalemler!$D122=""),0,Kalemler!$C122*IF(Kalemler!$E122="Haftalık",IF(Kalemler!$D122&lt;=(Tahmin!$C$4+34),1,0),IF(Kalemler!$E122="Aylık",IF(OR(AND(DATE(YEAR((Tahmin!$C$4+28)),MONTH((Tahmin!$C$4+28)),MIN(DAY(Kalemler!$D122),DAY(EOMONTH((Tahmin!$C$4+28),0))))&gt;=(Tahmin!$C$4+28),DATE(YEAR((Tahmin!$C$4+28)),MONTH((Tahmin!$C$4+28)),MIN(DAY(Kalemler!$D122),DAY(EOMONTH((Tahmin!$C$4+28),0))))&lt;=(Tahmin!$C$4+34),DATE(YEAR((Tahmin!$C$4+28)),MONTH((Tahmin!$C$4+28)),MIN(DAY(Kalemler!$D122),DAY(EOMONTH((Tahmin!$C$4+28),0))))&gt;=Kalemler!$D122),AND(DATE(YEAR((Tahmin!$C$4+34)),MONTH((Tahmin!$C$4+34)),MIN(DAY(Kalemler!$D122),DAY(EOMONTH((Tahmin!$C$4+34),0))))&gt;=(Tahmin!$C$4+28),DATE(YEAR((Tahmin!$C$4+34)),MONTH((Tahmin!$C$4+34)),MIN(DAY(Kalemler!$D122),DAY(EOMONTH((Tahmin!$C$4+34),0))))&lt;=(Tahmin!$C$4+34),DATE(YEAR((Tahmin!$C$4+34)),MONTH((Tahmin!$C$4+34)),MIN(DAY(Kalemler!$D122),DAY(EOMONTH((Tahmin!$C$4+34),0))))&lt;&gt;DATE(YEAR((Tahmin!$C$4+28)),MONTH((Tahmin!$C$4+28)),MIN(DAY(Kalemler!$D122),DAY(EOMONTH((Tahmin!$C$4+28),0)))),DATE(YEAR((Tahmin!$C$4+34)),MONTH((Tahmin!$C$4+34)),MIN(DAY(Kalemler!$D122),DAY(EOMONTH((Tahmin!$C$4+34),0))))&gt;=Kalemler!$D122)),1,0),IF(AND(Kalemler!$D122&gt;=(Tahmin!$C$4+28),Kalemler!$D122&lt;=(Tahmin!$C$4+34)),1,0))))</f>
        <v>0</v>
      </c>
      <c r="G122" s="0" t="n">
        <f aca="false">IF(OR(Kalemler!$A122="",Kalemler!$C122="",Kalemler!$D122=""),0,Kalemler!$C122*IF(Kalemler!$E122="Haftalık",IF(Kalemler!$D122&lt;=(Tahmin!$C$4+41),1,0),IF(Kalemler!$E122="Aylık",IF(OR(AND(DATE(YEAR((Tahmin!$C$4+35)),MONTH((Tahmin!$C$4+35)),MIN(DAY(Kalemler!$D122),DAY(EOMONTH((Tahmin!$C$4+35),0))))&gt;=(Tahmin!$C$4+35),DATE(YEAR((Tahmin!$C$4+35)),MONTH((Tahmin!$C$4+35)),MIN(DAY(Kalemler!$D122),DAY(EOMONTH((Tahmin!$C$4+35),0))))&lt;=(Tahmin!$C$4+41),DATE(YEAR((Tahmin!$C$4+35)),MONTH((Tahmin!$C$4+35)),MIN(DAY(Kalemler!$D122),DAY(EOMONTH((Tahmin!$C$4+35),0))))&gt;=Kalemler!$D122),AND(DATE(YEAR((Tahmin!$C$4+41)),MONTH((Tahmin!$C$4+41)),MIN(DAY(Kalemler!$D122),DAY(EOMONTH((Tahmin!$C$4+41),0))))&gt;=(Tahmin!$C$4+35),DATE(YEAR((Tahmin!$C$4+41)),MONTH((Tahmin!$C$4+41)),MIN(DAY(Kalemler!$D122),DAY(EOMONTH((Tahmin!$C$4+41),0))))&lt;=(Tahmin!$C$4+41),DATE(YEAR((Tahmin!$C$4+41)),MONTH((Tahmin!$C$4+41)),MIN(DAY(Kalemler!$D122),DAY(EOMONTH((Tahmin!$C$4+41),0))))&lt;&gt;DATE(YEAR((Tahmin!$C$4+35)),MONTH((Tahmin!$C$4+35)),MIN(DAY(Kalemler!$D122),DAY(EOMONTH((Tahmin!$C$4+35),0)))),DATE(YEAR((Tahmin!$C$4+41)),MONTH((Tahmin!$C$4+41)),MIN(DAY(Kalemler!$D122),DAY(EOMONTH((Tahmin!$C$4+41),0))))&gt;=Kalemler!$D122)),1,0),IF(AND(Kalemler!$D122&gt;=(Tahmin!$C$4+35),Kalemler!$D122&lt;=(Tahmin!$C$4+41)),1,0))))</f>
        <v>0</v>
      </c>
      <c r="H122" s="0" t="n">
        <f aca="false">IF(OR(Kalemler!$A122="",Kalemler!$C122="",Kalemler!$D122=""),0,Kalemler!$C122*IF(Kalemler!$E122="Haftalık",IF(Kalemler!$D122&lt;=(Tahmin!$C$4+48),1,0),IF(Kalemler!$E122="Aylık",IF(OR(AND(DATE(YEAR((Tahmin!$C$4+42)),MONTH((Tahmin!$C$4+42)),MIN(DAY(Kalemler!$D122),DAY(EOMONTH((Tahmin!$C$4+42),0))))&gt;=(Tahmin!$C$4+42),DATE(YEAR((Tahmin!$C$4+42)),MONTH((Tahmin!$C$4+42)),MIN(DAY(Kalemler!$D122),DAY(EOMONTH((Tahmin!$C$4+42),0))))&lt;=(Tahmin!$C$4+48),DATE(YEAR((Tahmin!$C$4+42)),MONTH((Tahmin!$C$4+42)),MIN(DAY(Kalemler!$D122),DAY(EOMONTH((Tahmin!$C$4+42),0))))&gt;=Kalemler!$D122),AND(DATE(YEAR((Tahmin!$C$4+48)),MONTH((Tahmin!$C$4+48)),MIN(DAY(Kalemler!$D122),DAY(EOMONTH((Tahmin!$C$4+48),0))))&gt;=(Tahmin!$C$4+42),DATE(YEAR((Tahmin!$C$4+48)),MONTH((Tahmin!$C$4+48)),MIN(DAY(Kalemler!$D122),DAY(EOMONTH((Tahmin!$C$4+48),0))))&lt;=(Tahmin!$C$4+48),DATE(YEAR((Tahmin!$C$4+48)),MONTH((Tahmin!$C$4+48)),MIN(DAY(Kalemler!$D122),DAY(EOMONTH((Tahmin!$C$4+48),0))))&lt;&gt;DATE(YEAR((Tahmin!$C$4+42)),MONTH((Tahmin!$C$4+42)),MIN(DAY(Kalemler!$D122),DAY(EOMONTH((Tahmin!$C$4+42),0)))),DATE(YEAR((Tahmin!$C$4+48)),MONTH((Tahmin!$C$4+48)),MIN(DAY(Kalemler!$D122),DAY(EOMONTH((Tahmin!$C$4+48),0))))&gt;=Kalemler!$D122)),1,0),IF(AND(Kalemler!$D122&gt;=(Tahmin!$C$4+42),Kalemler!$D122&lt;=(Tahmin!$C$4+48)),1,0))))</f>
        <v>0</v>
      </c>
      <c r="I122" s="0" t="n">
        <f aca="false">IF(OR(Kalemler!$A122="",Kalemler!$C122="",Kalemler!$D122=""),0,Kalemler!$C122*IF(Kalemler!$E122="Haftalık",IF(Kalemler!$D122&lt;=(Tahmin!$C$4+55),1,0),IF(Kalemler!$E122="Aylık",IF(OR(AND(DATE(YEAR((Tahmin!$C$4+49)),MONTH((Tahmin!$C$4+49)),MIN(DAY(Kalemler!$D122),DAY(EOMONTH((Tahmin!$C$4+49),0))))&gt;=(Tahmin!$C$4+49),DATE(YEAR((Tahmin!$C$4+49)),MONTH((Tahmin!$C$4+49)),MIN(DAY(Kalemler!$D122),DAY(EOMONTH((Tahmin!$C$4+49),0))))&lt;=(Tahmin!$C$4+55),DATE(YEAR((Tahmin!$C$4+49)),MONTH((Tahmin!$C$4+49)),MIN(DAY(Kalemler!$D122),DAY(EOMONTH((Tahmin!$C$4+49),0))))&gt;=Kalemler!$D122),AND(DATE(YEAR((Tahmin!$C$4+55)),MONTH((Tahmin!$C$4+55)),MIN(DAY(Kalemler!$D122),DAY(EOMONTH((Tahmin!$C$4+55),0))))&gt;=(Tahmin!$C$4+49),DATE(YEAR((Tahmin!$C$4+55)),MONTH((Tahmin!$C$4+55)),MIN(DAY(Kalemler!$D122),DAY(EOMONTH((Tahmin!$C$4+55),0))))&lt;=(Tahmin!$C$4+55),DATE(YEAR((Tahmin!$C$4+55)),MONTH((Tahmin!$C$4+55)),MIN(DAY(Kalemler!$D122),DAY(EOMONTH((Tahmin!$C$4+55),0))))&lt;&gt;DATE(YEAR((Tahmin!$C$4+49)),MONTH((Tahmin!$C$4+49)),MIN(DAY(Kalemler!$D122),DAY(EOMONTH((Tahmin!$C$4+49),0)))),DATE(YEAR((Tahmin!$C$4+55)),MONTH((Tahmin!$C$4+55)),MIN(DAY(Kalemler!$D122),DAY(EOMONTH((Tahmin!$C$4+55),0))))&gt;=Kalemler!$D122)),1,0),IF(AND(Kalemler!$D122&gt;=(Tahmin!$C$4+49),Kalemler!$D122&lt;=(Tahmin!$C$4+55)),1,0))))</f>
        <v>0</v>
      </c>
      <c r="J122" s="0" t="n">
        <f aca="false">IF(OR(Kalemler!$A122="",Kalemler!$C122="",Kalemler!$D122=""),0,Kalemler!$C122*IF(Kalemler!$E122="Haftalık",IF(Kalemler!$D122&lt;=(Tahmin!$C$4+62),1,0),IF(Kalemler!$E122="Aylık",IF(OR(AND(DATE(YEAR((Tahmin!$C$4+56)),MONTH((Tahmin!$C$4+56)),MIN(DAY(Kalemler!$D122),DAY(EOMONTH((Tahmin!$C$4+56),0))))&gt;=(Tahmin!$C$4+56),DATE(YEAR((Tahmin!$C$4+56)),MONTH((Tahmin!$C$4+56)),MIN(DAY(Kalemler!$D122),DAY(EOMONTH((Tahmin!$C$4+56),0))))&lt;=(Tahmin!$C$4+62),DATE(YEAR((Tahmin!$C$4+56)),MONTH((Tahmin!$C$4+56)),MIN(DAY(Kalemler!$D122),DAY(EOMONTH((Tahmin!$C$4+56),0))))&gt;=Kalemler!$D122),AND(DATE(YEAR((Tahmin!$C$4+62)),MONTH((Tahmin!$C$4+62)),MIN(DAY(Kalemler!$D122),DAY(EOMONTH((Tahmin!$C$4+62),0))))&gt;=(Tahmin!$C$4+56),DATE(YEAR((Tahmin!$C$4+62)),MONTH((Tahmin!$C$4+62)),MIN(DAY(Kalemler!$D122),DAY(EOMONTH((Tahmin!$C$4+62),0))))&lt;=(Tahmin!$C$4+62),DATE(YEAR((Tahmin!$C$4+62)),MONTH((Tahmin!$C$4+62)),MIN(DAY(Kalemler!$D122),DAY(EOMONTH((Tahmin!$C$4+62),0))))&lt;&gt;DATE(YEAR((Tahmin!$C$4+56)),MONTH((Tahmin!$C$4+56)),MIN(DAY(Kalemler!$D122),DAY(EOMONTH((Tahmin!$C$4+56),0)))),DATE(YEAR((Tahmin!$C$4+62)),MONTH((Tahmin!$C$4+62)),MIN(DAY(Kalemler!$D122),DAY(EOMONTH((Tahmin!$C$4+62),0))))&gt;=Kalemler!$D122)),1,0),IF(AND(Kalemler!$D122&gt;=(Tahmin!$C$4+56),Kalemler!$D122&lt;=(Tahmin!$C$4+62)),1,0))))</f>
        <v>0</v>
      </c>
      <c r="K122" s="0" t="n">
        <f aca="false">IF(OR(Kalemler!$A122="",Kalemler!$C122="",Kalemler!$D122=""),0,Kalemler!$C122*IF(Kalemler!$E122="Haftalık",IF(Kalemler!$D122&lt;=(Tahmin!$C$4+69),1,0),IF(Kalemler!$E122="Aylık",IF(OR(AND(DATE(YEAR((Tahmin!$C$4+63)),MONTH((Tahmin!$C$4+63)),MIN(DAY(Kalemler!$D122),DAY(EOMONTH((Tahmin!$C$4+63),0))))&gt;=(Tahmin!$C$4+63),DATE(YEAR((Tahmin!$C$4+63)),MONTH((Tahmin!$C$4+63)),MIN(DAY(Kalemler!$D122),DAY(EOMONTH((Tahmin!$C$4+63),0))))&lt;=(Tahmin!$C$4+69),DATE(YEAR((Tahmin!$C$4+63)),MONTH((Tahmin!$C$4+63)),MIN(DAY(Kalemler!$D122),DAY(EOMONTH((Tahmin!$C$4+63),0))))&gt;=Kalemler!$D122),AND(DATE(YEAR((Tahmin!$C$4+69)),MONTH((Tahmin!$C$4+69)),MIN(DAY(Kalemler!$D122),DAY(EOMONTH((Tahmin!$C$4+69),0))))&gt;=(Tahmin!$C$4+63),DATE(YEAR((Tahmin!$C$4+69)),MONTH((Tahmin!$C$4+69)),MIN(DAY(Kalemler!$D122),DAY(EOMONTH((Tahmin!$C$4+69),0))))&lt;=(Tahmin!$C$4+69),DATE(YEAR((Tahmin!$C$4+69)),MONTH((Tahmin!$C$4+69)),MIN(DAY(Kalemler!$D122),DAY(EOMONTH((Tahmin!$C$4+69),0))))&lt;&gt;DATE(YEAR((Tahmin!$C$4+63)),MONTH((Tahmin!$C$4+63)),MIN(DAY(Kalemler!$D122),DAY(EOMONTH((Tahmin!$C$4+63),0)))),DATE(YEAR((Tahmin!$C$4+69)),MONTH((Tahmin!$C$4+69)),MIN(DAY(Kalemler!$D122),DAY(EOMONTH((Tahmin!$C$4+69),0))))&gt;=Kalemler!$D122)),1,0),IF(AND(Kalemler!$D122&gt;=(Tahmin!$C$4+63),Kalemler!$D122&lt;=(Tahmin!$C$4+69)),1,0))))</f>
        <v>0</v>
      </c>
      <c r="L122" s="0" t="n">
        <f aca="false">IF(OR(Kalemler!$A122="",Kalemler!$C122="",Kalemler!$D122=""),0,Kalemler!$C122*IF(Kalemler!$E122="Haftalık",IF(Kalemler!$D122&lt;=(Tahmin!$C$4+76),1,0),IF(Kalemler!$E122="Aylık",IF(OR(AND(DATE(YEAR((Tahmin!$C$4+70)),MONTH((Tahmin!$C$4+70)),MIN(DAY(Kalemler!$D122),DAY(EOMONTH((Tahmin!$C$4+70),0))))&gt;=(Tahmin!$C$4+70),DATE(YEAR((Tahmin!$C$4+70)),MONTH((Tahmin!$C$4+70)),MIN(DAY(Kalemler!$D122),DAY(EOMONTH((Tahmin!$C$4+70),0))))&lt;=(Tahmin!$C$4+76),DATE(YEAR((Tahmin!$C$4+70)),MONTH((Tahmin!$C$4+70)),MIN(DAY(Kalemler!$D122),DAY(EOMONTH((Tahmin!$C$4+70),0))))&gt;=Kalemler!$D122),AND(DATE(YEAR((Tahmin!$C$4+76)),MONTH((Tahmin!$C$4+76)),MIN(DAY(Kalemler!$D122),DAY(EOMONTH((Tahmin!$C$4+76),0))))&gt;=(Tahmin!$C$4+70),DATE(YEAR((Tahmin!$C$4+76)),MONTH((Tahmin!$C$4+76)),MIN(DAY(Kalemler!$D122),DAY(EOMONTH((Tahmin!$C$4+76),0))))&lt;=(Tahmin!$C$4+76),DATE(YEAR((Tahmin!$C$4+76)),MONTH((Tahmin!$C$4+76)),MIN(DAY(Kalemler!$D122),DAY(EOMONTH((Tahmin!$C$4+76),0))))&lt;&gt;DATE(YEAR((Tahmin!$C$4+70)),MONTH((Tahmin!$C$4+70)),MIN(DAY(Kalemler!$D122),DAY(EOMONTH((Tahmin!$C$4+70),0)))),DATE(YEAR((Tahmin!$C$4+76)),MONTH((Tahmin!$C$4+76)),MIN(DAY(Kalemler!$D122),DAY(EOMONTH((Tahmin!$C$4+76),0))))&gt;=Kalemler!$D122)),1,0),IF(AND(Kalemler!$D122&gt;=(Tahmin!$C$4+70),Kalemler!$D122&lt;=(Tahmin!$C$4+76)),1,0))))</f>
        <v>0</v>
      </c>
      <c r="M122" s="0" t="n">
        <f aca="false">IF(OR(Kalemler!$A122="",Kalemler!$C122="",Kalemler!$D122=""),0,Kalemler!$C122*IF(Kalemler!$E122="Haftalık",IF(Kalemler!$D122&lt;=(Tahmin!$C$4+83),1,0),IF(Kalemler!$E122="Aylık",IF(OR(AND(DATE(YEAR((Tahmin!$C$4+77)),MONTH((Tahmin!$C$4+77)),MIN(DAY(Kalemler!$D122),DAY(EOMONTH((Tahmin!$C$4+77),0))))&gt;=(Tahmin!$C$4+77),DATE(YEAR((Tahmin!$C$4+77)),MONTH((Tahmin!$C$4+77)),MIN(DAY(Kalemler!$D122),DAY(EOMONTH((Tahmin!$C$4+77),0))))&lt;=(Tahmin!$C$4+83),DATE(YEAR((Tahmin!$C$4+77)),MONTH((Tahmin!$C$4+77)),MIN(DAY(Kalemler!$D122),DAY(EOMONTH((Tahmin!$C$4+77),0))))&gt;=Kalemler!$D122),AND(DATE(YEAR((Tahmin!$C$4+83)),MONTH((Tahmin!$C$4+83)),MIN(DAY(Kalemler!$D122),DAY(EOMONTH((Tahmin!$C$4+83),0))))&gt;=(Tahmin!$C$4+77),DATE(YEAR((Tahmin!$C$4+83)),MONTH((Tahmin!$C$4+83)),MIN(DAY(Kalemler!$D122),DAY(EOMONTH((Tahmin!$C$4+83),0))))&lt;=(Tahmin!$C$4+83),DATE(YEAR((Tahmin!$C$4+83)),MONTH((Tahmin!$C$4+83)),MIN(DAY(Kalemler!$D122),DAY(EOMONTH((Tahmin!$C$4+83),0))))&lt;&gt;DATE(YEAR((Tahmin!$C$4+77)),MONTH((Tahmin!$C$4+77)),MIN(DAY(Kalemler!$D122),DAY(EOMONTH((Tahmin!$C$4+77),0)))),DATE(YEAR((Tahmin!$C$4+83)),MONTH((Tahmin!$C$4+83)),MIN(DAY(Kalemler!$D122),DAY(EOMONTH((Tahmin!$C$4+83),0))))&gt;=Kalemler!$D122)),1,0),IF(AND(Kalemler!$D122&gt;=(Tahmin!$C$4+77),Kalemler!$D122&lt;=(Tahmin!$C$4+83)),1,0))))</f>
        <v>0</v>
      </c>
      <c r="N122" s="0" t="n">
        <f aca="false">IF(OR(Kalemler!$A122="",Kalemler!$C122="",Kalemler!$D122=""),0,Kalemler!$C122*IF(Kalemler!$E122="Haftalık",IF(Kalemler!$D122&lt;=(Tahmin!$C$4+90),1,0),IF(Kalemler!$E122="Aylık",IF(OR(AND(DATE(YEAR((Tahmin!$C$4+84)),MONTH((Tahmin!$C$4+84)),MIN(DAY(Kalemler!$D122),DAY(EOMONTH((Tahmin!$C$4+84),0))))&gt;=(Tahmin!$C$4+84),DATE(YEAR((Tahmin!$C$4+84)),MONTH((Tahmin!$C$4+84)),MIN(DAY(Kalemler!$D122),DAY(EOMONTH((Tahmin!$C$4+84),0))))&lt;=(Tahmin!$C$4+90),DATE(YEAR((Tahmin!$C$4+84)),MONTH((Tahmin!$C$4+84)),MIN(DAY(Kalemler!$D122),DAY(EOMONTH((Tahmin!$C$4+84),0))))&gt;=Kalemler!$D122),AND(DATE(YEAR((Tahmin!$C$4+90)),MONTH((Tahmin!$C$4+90)),MIN(DAY(Kalemler!$D122),DAY(EOMONTH((Tahmin!$C$4+90),0))))&gt;=(Tahmin!$C$4+84),DATE(YEAR((Tahmin!$C$4+90)),MONTH((Tahmin!$C$4+90)),MIN(DAY(Kalemler!$D122),DAY(EOMONTH((Tahmin!$C$4+90),0))))&lt;=(Tahmin!$C$4+90),DATE(YEAR((Tahmin!$C$4+90)),MONTH((Tahmin!$C$4+90)),MIN(DAY(Kalemler!$D122),DAY(EOMONTH((Tahmin!$C$4+90),0))))&lt;&gt;DATE(YEAR((Tahmin!$C$4+84)),MONTH((Tahmin!$C$4+84)),MIN(DAY(Kalemler!$D122),DAY(EOMONTH((Tahmin!$C$4+84),0)))),DATE(YEAR((Tahmin!$C$4+90)),MONTH((Tahmin!$C$4+90)),MIN(DAY(Kalemler!$D122),DAY(EOMONTH((Tahmin!$C$4+90),0))))&gt;=Kalemler!$D122)),1,0),IF(AND(Kalemler!$D122&gt;=(Tahmin!$C$4+84),Kalemler!$D122&lt;=(Tahmin!$C$4+90)),1,0))))</f>
        <v>0</v>
      </c>
    </row>
    <row r="123" customFormat="false" ht="15" hidden="false" customHeight="false" outlineLevel="0" collapsed="false">
      <c r="A123" s="0" t="str">
        <f aca="false">IF(Kalemler!A123="","",Kalemler!A123)</f>
        <v/>
      </c>
      <c r="B123" s="0" t="n">
        <f aca="false">IF(OR(Kalemler!$A123="",Kalemler!$C123="",Kalemler!$D123=""),0,Kalemler!$C123*IF(Kalemler!$E123="Haftalık",IF(Kalemler!$D123&lt;=(Tahmin!$C$4+6),1,0),IF(Kalemler!$E123="Aylık",IF(OR(AND(DATE(YEAR((Tahmin!$C$4+0)),MONTH((Tahmin!$C$4+0)),MIN(DAY(Kalemler!$D123),DAY(EOMONTH((Tahmin!$C$4+0),0))))&gt;=(Tahmin!$C$4+0),DATE(YEAR((Tahmin!$C$4+0)),MONTH((Tahmin!$C$4+0)),MIN(DAY(Kalemler!$D123),DAY(EOMONTH((Tahmin!$C$4+0),0))))&lt;=(Tahmin!$C$4+6),DATE(YEAR((Tahmin!$C$4+0)),MONTH((Tahmin!$C$4+0)),MIN(DAY(Kalemler!$D123),DAY(EOMONTH((Tahmin!$C$4+0),0))))&gt;=Kalemler!$D123),AND(DATE(YEAR((Tahmin!$C$4+6)),MONTH((Tahmin!$C$4+6)),MIN(DAY(Kalemler!$D123),DAY(EOMONTH((Tahmin!$C$4+6),0))))&gt;=(Tahmin!$C$4+0),DATE(YEAR((Tahmin!$C$4+6)),MONTH((Tahmin!$C$4+6)),MIN(DAY(Kalemler!$D123),DAY(EOMONTH((Tahmin!$C$4+6),0))))&lt;=(Tahmin!$C$4+6),DATE(YEAR((Tahmin!$C$4+6)),MONTH((Tahmin!$C$4+6)),MIN(DAY(Kalemler!$D123),DAY(EOMONTH((Tahmin!$C$4+6),0))))&lt;&gt;DATE(YEAR((Tahmin!$C$4+0)),MONTH((Tahmin!$C$4+0)),MIN(DAY(Kalemler!$D123),DAY(EOMONTH((Tahmin!$C$4+0),0)))),DATE(YEAR((Tahmin!$C$4+6)),MONTH((Tahmin!$C$4+6)),MIN(DAY(Kalemler!$D123),DAY(EOMONTH((Tahmin!$C$4+6),0))))&gt;=Kalemler!$D123)),1,0),IF(AND(Kalemler!$D123&gt;=(Tahmin!$C$4+0),Kalemler!$D123&lt;=(Tahmin!$C$4+6)),1,0))))</f>
        <v>0</v>
      </c>
      <c r="C123" s="0" t="n">
        <f aca="false">IF(OR(Kalemler!$A123="",Kalemler!$C123="",Kalemler!$D123=""),0,Kalemler!$C123*IF(Kalemler!$E123="Haftalık",IF(Kalemler!$D123&lt;=(Tahmin!$C$4+13),1,0),IF(Kalemler!$E123="Aylık",IF(OR(AND(DATE(YEAR((Tahmin!$C$4+7)),MONTH((Tahmin!$C$4+7)),MIN(DAY(Kalemler!$D123),DAY(EOMONTH((Tahmin!$C$4+7),0))))&gt;=(Tahmin!$C$4+7),DATE(YEAR((Tahmin!$C$4+7)),MONTH((Tahmin!$C$4+7)),MIN(DAY(Kalemler!$D123),DAY(EOMONTH((Tahmin!$C$4+7),0))))&lt;=(Tahmin!$C$4+13),DATE(YEAR((Tahmin!$C$4+7)),MONTH((Tahmin!$C$4+7)),MIN(DAY(Kalemler!$D123),DAY(EOMONTH((Tahmin!$C$4+7),0))))&gt;=Kalemler!$D123),AND(DATE(YEAR((Tahmin!$C$4+13)),MONTH((Tahmin!$C$4+13)),MIN(DAY(Kalemler!$D123),DAY(EOMONTH((Tahmin!$C$4+13),0))))&gt;=(Tahmin!$C$4+7),DATE(YEAR((Tahmin!$C$4+13)),MONTH((Tahmin!$C$4+13)),MIN(DAY(Kalemler!$D123),DAY(EOMONTH((Tahmin!$C$4+13),0))))&lt;=(Tahmin!$C$4+13),DATE(YEAR((Tahmin!$C$4+13)),MONTH((Tahmin!$C$4+13)),MIN(DAY(Kalemler!$D123),DAY(EOMONTH((Tahmin!$C$4+13),0))))&lt;&gt;DATE(YEAR((Tahmin!$C$4+7)),MONTH((Tahmin!$C$4+7)),MIN(DAY(Kalemler!$D123),DAY(EOMONTH((Tahmin!$C$4+7),0)))),DATE(YEAR((Tahmin!$C$4+13)),MONTH((Tahmin!$C$4+13)),MIN(DAY(Kalemler!$D123),DAY(EOMONTH((Tahmin!$C$4+13),0))))&gt;=Kalemler!$D123)),1,0),IF(AND(Kalemler!$D123&gt;=(Tahmin!$C$4+7),Kalemler!$D123&lt;=(Tahmin!$C$4+13)),1,0))))</f>
        <v>0</v>
      </c>
      <c r="D123" s="0" t="n">
        <f aca="false">IF(OR(Kalemler!$A123="",Kalemler!$C123="",Kalemler!$D123=""),0,Kalemler!$C123*IF(Kalemler!$E123="Haftalık",IF(Kalemler!$D123&lt;=(Tahmin!$C$4+20),1,0),IF(Kalemler!$E123="Aylık",IF(OR(AND(DATE(YEAR((Tahmin!$C$4+14)),MONTH((Tahmin!$C$4+14)),MIN(DAY(Kalemler!$D123),DAY(EOMONTH((Tahmin!$C$4+14),0))))&gt;=(Tahmin!$C$4+14),DATE(YEAR((Tahmin!$C$4+14)),MONTH((Tahmin!$C$4+14)),MIN(DAY(Kalemler!$D123),DAY(EOMONTH((Tahmin!$C$4+14),0))))&lt;=(Tahmin!$C$4+20),DATE(YEAR((Tahmin!$C$4+14)),MONTH((Tahmin!$C$4+14)),MIN(DAY(Kalemler!$D123),DAY(EOMONTH((Tahmin!$C$4+14),0))))&gt;=Kalemler!$D123),AND(DATE(YEAR((Tahmin!$C$4+20)),MONTH((Tahmin!$C$4+20)),MIN(DAY(Kalemler!$D123),DAY(EOMONTH((Tahmin!$C$4+20),0))))&gt;=(Tahmin!$C$4+14),DATE(YEAR((Tahmin!$C$4+20)),MONTH((Tahmin!$C$4+20)),MIN(DAY(Kalemler!$D123),DAY(EOMONTH((Tahmin!$C$4+20),0))))&lt;=(Tahmin!$C$4+20),DATE(YEAR((Tahmin!$C$4+20)),MONTH((Tahmin!$C$4+20)),MIN(DAY(Kalemler!$D123),DAY(EOMONTH((Tahmin!$C$4+20),0))))&lt;&gt;DATE(YEAR((Tahmin!$C$4+14)),MONTH((Tahmin!$C$4+14)),MIN(DAY(Kalemler!$D123),DAY(EOMONTH((Tahmin!$C$4+14),0)))),DATE(YEAR((Tahmin!$C$4+20)),MONTH((Tahmin!$C$4+20)),MIN(DAY(Kalemler!$D123),DAY(EOMONTH((Tahmin!$C$4+20),0))))&gt;=Kalemler!$D123)),1,0),IF(AND(Kalemler!$D123&gt;=(Tahmin!$C$4+14),Kalemler!$D123&lt;=(Tahmin!$C$4+20)),1,0))))</f>
        <v>0</v>
      </c>
      <c r="E123" s="0" t="n">
        <f aca="false">IF(OR(Kalemler!$A123="",Kalemler!$C123="",Kalemler!$D123=""),0,Kalemler!$C123*IF(Kalemler!$E123="Haftalık",IF(Kalemler!$D123&lt;=(Tahmin!$C$4+27),1,0),IF(Kalemler!$E123="Aylık",IF(OR(AND(DATE(YEAR((Tahmin!$C$4+21)),MONTH((Tahmin!$C$4+21)),MIN(DAY(Kalemler!$D123),DAY(EOMONTH((Tahmin!$C$4+21),0))))&gt;=(Tahmin!$C$4+21),DATE(YEAR((Tahmin!$C$4+21)),MONTH((Tahmin!$C$4+21)),MIN(DAY(Kalemler!$D123),DAY(EOMONTH((Tahmin!$C$4+21),0))))&lt;=(Tahmin!$C$4+27),DATE(YEAR((Tahmin!$C$4+21)),MONTH((Tahmin!$C$4+21)),MIN(DAY(Kalemler!$D123),DAY(EOMONTH((Tahmin!$C$4+21),0))))&gt;=Kalemler!$D123),AND(DATE(YEAR((Tahmin!$C$4+27)),MONTH((Tahmin!$C$4+27)),MIN(DAY(Kalemler!$D123),DAY(EOMONTH((Tahmin!$C$4+27),0))))&gt;=(Tahmin!$C$4+21),DATE(YEAR((Tahmin!$C$4+27)),MONTH((Tahmin!$C$4+27)),MIN(DAY(Kalemler!$D123),DAY(EOMONTH((Tahmin!$C$4+27),0))))&lt;=(Tahmin!$C$4+27),DATE(YEAR((Tahmin!$C$4+27)),MONTH((Tahmin!$C$4+27)),MIN(DAY(Kalemler!$D123),DAY(EOMONTH((Tahmin!$C$4+27),0))))&lt;&gt;DATE(YEAR((Tahmin!$C$4+21)),MONTH((Tahmin!$C$4+21)),MIN(DAY(Kalemler!$D123),DAY(EOMONTH((Tahmin!$C$4+21),0)))),DATE(YEAR((Tahmin!$C$4+27)),MONTH((Tahmin!$C$4+27)),MIN(DAY(Kalemler!$D123),DAY(EOMONTH((Tahmin!$C$4+27),0))))&gt;=Kalemler!$D123)),1,0),IF(AND(Kalemler!$D123&gt;=(Tahmin!$C$4+21),Kalemler!$D123&lt;=(Tahmin!$C$4+27)),1,0))))</f>
        <v>0</v>
      </c>
      <c r="F123" s="0" t="n">
        <f aca="false">IF(OR(Kalemler!$A123="",Kalemler!$C123="",Kalemler!$D123=""),0,Kalemler!$C123*IF(Kalemler!$E123="Haftalık",IF(Kalemler!$D123&lt;=(Tahmin!$C$4+34),1,0),IF(Kalemler!$E123="Aylık",IF(OR(AND(DATE(YEAR((Tahmin!$C$4+28)),MONTH((Tahmin!$C$4+28)),MIN(DAY(Kalemler!$D123),DAY(EOMONTH((Tahmin!$C$4+28),0))))&gt;=(Tahmin!$C$4+28),DATE(YEAR((Tahmin!$C$4+28)),MONTH((Tahmin!$C$4+28)),MIN(DAY(Kalemler!$D123),DAY(EOMONTH((Tahmin!$C$4+28),0))))&lt;=(Tahmin!$C$4+34),DATE(YEAR((Tahmin!$C$4+28)),MONTH((Tahmin!$C$4+28)),MIN(DAY(Kalemler!$D123),DAY(EOMONTH((Tahmin!$C$4+28),0))))&gt;=Kalemler!$D123),AND(DATE(YEAR((Tahmin!$C$4+34)),MONTH((Tahmin!$C$4+34)),MIN(DAY(Kalemler!$D123),DAY(EOMONTH((Tahmin!$C$4+34),0))))&gt;=(Tahmin!$C$4+28),DATE(YEAR((Tahmin!$C$4+34)),MONTH((Tahmin!$C$4+34)),MIN(DAY(Kalemler!$D123),DAY(EOMONTH((Tahmin!$C$4+34),0))))&lt;=(Tahmin!$C$4+34),DATE(YEAR((Tahmin!$C$4+34)),MONTH((Tahmin!$C$4+34)),MIN(DAY(Kalemler!$D123),DAY(EOMONTH((Tahmin!$C$4+34),0))))&lt;&gt;DATE(YEAR((Tahmin!$C$4+28)),MONTH((Tahmin!$C$4+28)),MIN(DAY(Kalemler!$D123),DAY(EOMONTH((Tahmin!$C$4+28),0)))),DATE(YEAR((Tahmin!$C$4+34)),MONTH((Tahmin!$C$4+34)),MIN(DAY(Kalemler!$D123),DAY(EOMONTH((Tahmin!$C$4+34),0))))&gt;=Kalemler!$D123)),1,0),IF(AND(Kalemler!$D123&gt;=(Tahmin!$C$4+28),Kalemler!$D123&lt;=(Tahmin!$C$4+34)),1,0))))</f>
        <v>0</v>
      </c>
      <c r="G123" s="0" t="n">
        <f aca="false">IF(OR(Kalemler!$A123="",Kalemler!$C123="",Kalemler!$D123=""),0,Kalemler!$C123*IF(Kalemler!$E123="Haftalık",IF(Kalemler!$D123&lt;=(Tahmin!$C$4+41),1,0),IF(Kalemler!$E123="Aylık",IF(OR(AND(DATE(YEAR((Tahmin!$C$4+35)),MONTH((Tahmin!$C$4+35)),MIN(DAY(Kalemler!$D123),DAY(EOMONTH((Tahmin!$C$4+35),0))))&gt;=(Tahmin!$C$4+35),DATE(YEAR((Tahmin!$C$4+35)),MONTH((Tahmin!$C$4+35)),MIN(DAY(Kalemler!$D123),DAY(EOMONTH((Tahmin!$C$4+35),0))))&lt;=(Tahmin!$C$4+41),DATE(YEAR((Tahmin!$C$4+35)),MONTH((Tahmin!$C$4+35)),MIN(DAY(Kalemler!$D123),DAY(EOMONTH((Tahmin!$C$4+35),0))))&gt;=Kalemler!$D123),AND(DATE(YEAR((Tahmin!$C$4+41)),MONTH((Tahmin!$C$4+41)),MIN(DAY(Kalemler!$D123),DAY(EOMONTH((Tahmin!$C$4+41),0))))&gt;=(Tahmin!$C$4+35),DATE(YEAR((Tahmin!$C$4+41)),MONTH((Tahmin!$C$4+41)),MIN(DAY(Kalemler!$D123),DAY(EOMONTH((Tahmin!$C$4+41),0))))&lt;=(Tahmin!$C$4+41),DATE(YEAR((Tahmin!$C$4+41)),MONTH((Tahmin!$C$4+41)),MIN(DAY(Kalemler!$D123),DAY(EOMONTH((Tahmin!$C$4+41),0))))&lt;&gt;DATE(YEAR((Tahmin!$C$4+35)),MONTH((Tahmin!$C$4+35)),MIN(DAY(Kalemler!$D123),DAY(EOMONTH((Tahmin!$C$4+35),0)))),DATE(YEAR((Tahmin!$C$4+41)),MONTH((Tahmin!$C$4+41)),MIN(DAY(Kalemler!$D123),DAY(EOMONTH((Tahmin!$C$4+41),0))))&gt;=Kalemler!$D123)),1,0),IF(AND(Kalemler!$D123&gt;=(Tahmin!$C$4+35),Kalemler!$D123&lt;=(Tahmin!$C$4+41)),1,0))))</f>
        <v>0</v>
      </c>
      <c r="H123" s="0" t="n">
        <f aca="false">IF(OR(Kalemler!$A123="",Kalemler!$C123="",Kalemler!$D123=""),0,Kalemler!$C123*IF(Kalemler!$E123="Haftalık",IF(Kalemler!$D123&lt;=(Tahmin!$C$4+48),1,0),IF(Kalemler!$E123="Aylık",IF(OR(AND(DATE(YEAR((Tahmin!$C$4+42)),MONTH((Tahmin!$C$4+42)),MIN(DAY(Kalemler!$D123),DAY(EOMONTH((Tahmin!$C$4+42),0))))&gt;=(Tahmin!$C$4+42),DATE(YEAR((Tahmin!$C$4+42)),MONTH((Tahmin!$C$4+42)),MIN(DAY(Kalemler!$D123),DAY(EOMONTH((Tahmin!$C$4+42),0))))&lt;=(Tahmin!$C$4+48),DATE(YEAR((Tahmin!$C$4+42)),MONTH((Tahmin!$C$4+42)),MIN(DAY(Kalemler!$D123),DAY(EOMONTH((Tahmin!$C$4+42),0))))&gt;=Kalemler!$D123),AND(DATE(YEAR((Tahmin!$C$4+48)),MONTH((Tahmin!$C$4+48)),MIN(DAY(Kalemler!$D123),DAY(EOMONTH((Tahmin!$C$4+48),0))))&gt;=(Tahmin!$C$4+42),DATE(YEAR((Tahmin!$C$4+48)),MONTH((Tahmin!$C$4+48)),MIN(DAY(Kalemler!$D123),DAY(EOMONTH((Tahmin!$C$4+48),0))))&lt;=(Tahmin!$C$4+48),DATE(YEAR((Tahmin!$C$4+48)),MONTH((Tahmin!$C$4+48)),MIN(DAY(Kalemler!$D123),DAY(EOMONTH((Tahmin!$C$4+48),0))))&lt;&gt;DATE(YEAR((Tahmin!$C$4+42)),MONTH((Tahmin!$C$4+42)),MIN(DAY(Kalemler!$D123),DAY(EOMONTH((Tahmin!$C$4+42),0)))),DATE(YEAR((Tahmin!$C$4+48)),MONTH((Tahmin!$C$4+48)),MIN(DAY(Kalemler!$D123),DAY(EOMONTH((Tahmin!$C$4+48),0))))&gt;=Kalemler!$D123)),1,0),IF(AND(Kalemler!$D123&gt;=(Tahmin!$C$4+42),Kalemler!$D123&lt;=(Tahmin!$C$4+48)),1,0))))</f>
        <v>0</v>
      </c>
      <c r="I123" s="0" t="n">
        <f aca="false">IF(OR(Kalemler!$A123="",Kalemler!$C123="",Kalemler!$D123=""),0,Kalemler!$C123*IF(Kalemler!$E123="Haftalık",IF(Kalemler!$D123&lt;=(Tahmin!$C$4+55),1,0),IF(Kalemler!$E123="Aylık",IF(OR(AND(DATE(YEAR((Tahmin!$C$4+49)),MONTH((Tahmin!$C$4+49)),MIN(DAY(Kalemler!$D123),DAY(EOMONTH((Tahmin!$C$4+49),0))))&gt;=(Tahmin!$C$4+49),DATE(YEAR((Tahmin!$C$4+49)),MONTH((Tahmin!$C$4+49)),MIN(DAY(Kalemler!$D123),DAY(EOMONTH((Tahmin!$C$4+49),0))))&lt;=(Tahmin!$C$4+55),DATE(YEAR((Tahmin!$C$4+49)),MONTH((Tahmin!$C$4+49)),MIN(DAY(Kalemler!$D123),DAY(EOMONTH((Tahmin!$C$4+49),0))))&gt;=Kalemler!$D123),AND(DATE(YEAR((Tahmin!$C$4+55)),MONTH((Tahmin!$C$4+55)),MIN(DAY(Kalemler!$D123),DAY(EOMONTH((Tahmin!$C$4+55),0))))&gt;=(Tahmin!$C$4+49),DATE(YEAR((Tahmin!$C$4+55)),MONTH((Tahmin!$C$4+55)),MIN(DAY(Kalemler!$D123),DAY(EOMONTH((Tahmin!$C$4+55),0))))&lt;=(Tahmin!$C$4+55),DATE(YEAR((Tahmin!$C$4+55)),MONTH((Tahmin!$C$4+55)),MIN(DAY(Kalemler!$D123),DAY(EOMONTH((Tahmin!$C$4+55),0))))&lt;&gt;DATE(YEAR((Tahmin!$C$4+49)),MONTH((Tahmin!$C$4+49)),MIN(DAY(Kalemler!$D123),DAY(EOMONTH((Tahmin!$C$4+49),0)))),DATE(YEAR((Tahmin!$C$4+55)),MONTH((Tahmin!$C$4+55)),MIN(DAY(Kalemler!$D123),DAY(EOMONTH((Tahmin!$C$4+55),0))))&gt;=Kalemler!$D123)),1,0),IF(AND(Kalemler!$D123&gt;=(Tahmin!$C$4+49),Kalemler!$D123&lt;=(Tahmin!$C$4+55)),1,0))))</f>
        <v>0</v>
      </c>
      <c r="J123" s="0" t="n">
        <f aca="false">IF(OR(Kalemler!$A123="",Kalemler!$C123="",Kalemler!$D123=""),0,Kalemler!$C123*IF(Kalemler!$E123="Haftalık",IF(Kalemler!$D123&lt;=(Tahmin!$C$4+62),1,0),IF(Kalemler!$E123="Aylık",IF(OR(AND(DATE(YEAR((Tahmin!$C$4+56)),MONTH((Tahmin!$C$4+56)),MIN(DAY(Kalemler!$D123),DAY(EOMONTH((Tahmin!$C$4+56),0))))&gt;=(Tahmin!$C$4+56),DATE(YEAR((Tahmin!$C$4+56)),MONTH((Tahmin!$C$4+56)),MIN(DAY(Kalemler!$D123),DAY(EOMONTH((Tahmin!$C$4+56),0))))&lt;=(Tahmin!$C$4+62),DATE(YEAR((Tahmin!$C$4+56)),MONTH((Tahmin!$C$4+56)),MIN(DAY(Kalemler!$D123),DAY(EOMONTH((Tahmin!$C$4+56),0))))&gt;=Kalemler!$D123),AND(DATE(YEAR((Tahmin!$C$4+62)),MONTH((Tahmin!$C$4+62)),MIN(DAY(Kalemler!$D123),DAY(EOMONTH((Tahmin!$C$4+62),0))))&gt;=(Tahmin!$C$4+56),DATE(YEAR((Tahmin!$C$4+62)),MONTH((Tahmin!$C$4+62)),MIN(DAY(Kalemler!$D123),DAY(EOMONTH((Tahmin!$C$4+62),0))))&lt;=(Tahmin!$C$4+62),DATE(YEAR((Tahmin!$C$4+62)),MONTH((Tahmin!$C$4+62)),MIN(DAY(Kalemler!$D123),DAY(EOMONTH((Tahmin!$C$4+62),0))))&lt;&gt;DATE(YEAR((Tahmin!$C$4+56)),MONTH((Tahmin!$C$4+56)),MIN(DAY(Kalemler!$D123),DAY(EOMONTH((Tahmin!$C$4+56),0)))),DATE(YEAR((Tahmin!$C$4+62)),MONTH((Tahmin!$C$4+62)),MIN(DAY(Kalemler!$D123),DAY(EOMONTH((Tahmin!$C$4+62),0))))&gt;=Kalemler!$D123)),1,0),IF(AND(Kalemler!$D123&gt;=(Tahmin!$C$4+56),Kalemler!$D123&lt;=(Tahmin!$C$4+62)),1,0))))</f>
        <v>0</v>
      </c>
      <c r="K123" s="0" t="n">
        <f aca="false">IF(OR(Kalemler!$A123="",Kalemler!$C123="",Kalemler!$D123=""),0,Kalemler!$C123*IF(Kalemler!$E123="Haftalık",IF(Kalemler!$D123&lt;=(Tahmin!$C$4+69),1,0),IF(Kalemler!$E123="Aylık",IF(OR(AND(DATE(YEAR((Tahmin!$C$4+63)),MONTH((Tahmin!$C$4+63)),MIN(DAY(Kalemler!$D123),DAY(EOMONTH((Tahmin!$C$4+63),0))))&gt;=(Tahmin!$C$4+63),DATE(YEAR((Tahmin!$C$4+63)),MONTH((Tahmin!$C$4+63)),MIN(DAY(Kalemler!$D123),DAY(EOMONTH((Tahmin!$C$4+63),0))))&lt;=(Tahmin!$C$4+69),DATE(YEAR((Tahmin!$C$4+63)),MONTH((Tahmin!$C$4+63)),MIN(DAY(Kalemler!$D123),DAY(EOMONTH((Tahmin!$C$4+63),0))))&gt;=Kalemler!$D123),AND(DATE(YEAR((Tahmin!$C$4+69)),MONTH((Tahmin!$C$4+69)),MIN(DAY(Kalemler!$D123),DAY(EOMONTH((Tahmin!$C$4+69),0))))&gt;=(Tahmin!$C$4+63),DATE(YEAR((Tahmin!$C$4+69)),MONTH((Tahmin!$C$4+69)),MIN(DAY(Kalemler!$D123),DAY(EOMONTH((Tahmin!$C$4+69),0))))&lt;=(Tahmin!$C$4+69),DATE(YEAR((Tahmin!$C$4+69)),MONTH((Tahmin!$C$4+69)),MIN(DAY(Kalemler!$D123),DAY(EOMONTH((Tahmin!$C$4+69),0))))&lt;&gt;DATE(YEAR((Tahmin!$C$4+63)),MONTH((Tahmin!$C$4+63)),MIN(DAY(Kalemler!$D123),DAY(EOMONTH((Tahmin!$C$4+63),0)))),DATE(YEAR((Tahmin!$C$4+69)),MONTH((Tahmin!$C$4+69)),MIN(DAY(Kalemler!$D123),DAY(EOMONTH((Tahmin!$C$4+69),0))))&gt;=Kalemler!$D123)),1,0),IF(AND(Kalemler!$D123&gt;=(Tahmin!$C$4+63),Kalemler!$D123&lt;=(Tahmin!$C$4+69)),1,0))))</f>
        <v>0</v>
      </c>
      <c r="L123" s="0" t="n">
        <f aca="false">IF(OR(Kalemler!$A123="",Kalemler!$C123="",Kalemler!$D123=""),0,Kalemler!$C123*IF(Kalemler!$E123="Haftalık",IF(Kalemler!$D123&lt;=(Tahmin!$C$4+76),1,0),IF(Kalemler!$E123="Aylık",IF(OR(AND(DATE(YEAR((Tahmin!$C$4+70)),MONTH((Tahmin!$C$4+70)),MIN(DAY(Kalemler!$D123),DAY(EOMONTH((Tahmin!$C$4+70),0))))&gt;=(Tahmin!$C$4+70),DATE(YEAR((Tahmin!$C$4+70)),MONTH((Tahmin!$C$4+70)),MIN(DAY(Kalemler!$D123),DAY(EOMONTH((Tahmin!$C$4+70),0))))&lt;=(Tahmin!$C$4+76),DATE(YEAR((Tahmin!$C$4+70)),MONTH((Tahmin!$C$4+70)),MIN(DAY(Kalemler!$D123),DAY(EOMONTH((Tahmin!$C$4+70),0))))&gt;=Kalemler!$D123),AND(DATE(YEAR((Tahmin!$C$4+76)),MONTH((Tahmin!$C$4+76)),MIN(DAY(Kalemler!$D123),DAY(EOMONTH((Tahmin!$C$4+76),0))))&gt;=(Tahmin!$C$4+70),DATE(YEAR((Tahmin!$C$4+76)),MONTH((Tahmin!$C$4+76)),MIN(DAY(Kalemler!$D123),DAY(EOMONTH((Tahmin!$C$4+76),0))))&lt;=(Tahmin!$C$4+76),DATE(YEAR((Tahmin!$C$4+76)),MONTH((Tahmin!$C$4+76)),MIN(DAY(Kalemler!$D123),DAY(EOMONTH((Tahmin!$C$4+76),0))))&lt;&gt;DATE(YEAR((Tahmin!$C$4+70)),MONTH((Tahmin!$C$4+70)),MIN(DAY(Kalemler!$D123),DAY(EOMONTH((Tahmin!$C$4+70),0)))),DATE(YEAR((Tahmin!$C$4+76)),MONTH((Tahmin!$C$4+76)),MIN(DAY(Kalemler!$D123),DAY(EOMONTH((Tahmin!$C$4+76),0))))&gt;=Kalemler!$D123)),1,0),IF(AND(Kalemler!$D123&gt;=(Tahmin!$C$4+70),Kalemler!$D123&lt;=(Tahmin!$C$4+76)),1,0))))</f>
        <v>0</v>
      </c>
      <c r="M123" s="0" t="n">
        <f aca="false">IF(OR(Kalemler!$A123="",Kalemler!$C123="",Kalemler!$D123=""),0,Kalemler!$C123*IF(Kalemler!$E123="Haftalık",IF(Kalemler!$D123&lt;=(Tahmin!$C$4+83),1,0),IF(Kalemler!$E123="Aylık",IF(OR(AND(DATE(YEAR((Tahmin!$C$4+77)),MONTH((Tahmin!$C$4+77)),MIN(DAY(Kalemler!$D123),DAY(EOMONTH((Tahmin!$C$4+77),0))))&gt;=(Tahmin!$C$4+77),DATE(YEAR((Tahmin!$C$4+77)),MONTH((Tahmin!$C$4+77)),MIN(DAY(Kalemler!$D123),DAY(EOMONTH((Tahmin!$C$4+77),0))))&lt;=(Tahmin!$C$4+83),DATE(YEAR((Tahmin!$C$4+77)),MONTH((Tahmin!$C$4+77)),MIN(DAY(Kalemler!$D123),DAY(EOMONTH((Tahmin!$C$4+77),0))))&gt;=Kalemler!$D123),AND(DATE(YEAR((Tahmin!$C$4+83)),MONTH((Tahmin!$C$4+83)),MIN(DAY(Kalemler!$D123),DAY(EOMONTH((Tahmin!$C$4+83),0))))&gt;=(Tahmin!$C$4+77),DATE(YEAR((Tahmin!$C$4+83)),MONTH((Tahmin!$C$4+83)),MIN(DAY(Kalemler!$D123),DAY(EOMONTH((Tahmin!$C$4+83),0))))&lt;=(Tahmin!$C$4+83),DATE(YEAR((Tahmin!$C$4+83)),MONTH((Tahmin!$C$4+83)),MIN(DAY(Kalemler!$D123),DAY(EOMONTH((Tahmin!$C$4+83),0))))&lt;&gt;DATE(YEAR((Tahmin!$C$4+77)),MONTH((Tahmin!$C$4+77)),MIN(DAY(Kalemler!$D123),DAY(EOMONTH((Tahmin!$C$4+77),0)))),DATE(YEAR((Tahmin!$C$4+83)),MONTH((Tahmin!$C$4+83)),MIN(DAY(Kalemler!$D123),DAY(EOMONTH((Tahmin!$C$4+83),0))))&gt;=Kalemler!$D123)),1,0),IF(AND(Kalemler!$D123&gt;=(Tahmin!$C$4+77),Kalemler!$D123&lt;=(Tahmin!$C$4+83)),1,0))))</f>
        <v>0</v>
      </c>
      <c r="N123" s="0" t="n">
        <f aca="false">IF(OR(Kalemler!$A123="",Kalemler!$C123="",Kalemler!$D123=""),0,Kalemler!$C123*IF(Kalemler!$E123="Haftalık",IF(Kalemler!$D123&lt;=(Tahmin!$C$4+90),1,0),IF(Kalemler!$E123="Aylık",IF(OR(AND(DATE(YEAR((Tahmin!$C$4+84)),MONTH((Tahmin!$C$4+84)),MIN(DAY(Kalemler!$D123),DAY(EOMONTH((Tahmin!$C$4+84),0))))&gt;=(Tahmin!$C$4+84),DATE(YEAR((Tahmin!$C$4+84)),MONTH((Tahmin!$C$4+84)),MIN(DAY(Kalemler!$D123),DAY(EOMONTH((Tahmin!$C$4+84),0))))&lt;=(Tahmin!$C$4+90),DATE(YEAR((Tahmin!$C$4+84)),MONTH((Tahmin!$C$4+84)),MIN(DAY(Kalemler!$D123),DAY(EOMONTH((Tahmin!$C$4+84),0))))&gt;=Kalemler!$D123),AND(DATE(YEAR((Tahmin!$C$4+90)),MONTH((Tahmin!$C$4+90)),MIN(DAY(Kalemler!$D123),DAY(EOMONTH((Tahmin!$C$4+90),0))))&gt;=(Tahmin!$C$4+84),DATE(YEAR((Tahmin!$C$4+90)),MONTH((Tahmin!$C$4+90)),MIN(DAY(Kalemler!$D123),DAY(EOMONTH((Tahmin!$C$4+90),0))))&lt;=(Tahmin!$C$4+90),DATE(YEAR((Tahmin!$C$4+90)),MONTH((Tahmin!$C$4+90)),MIN(DAY(Kalemler!$D123),DAY(EOMONTH((Tahmin!$C$4+90),0))))&lt;&gt;DATE(YEAR((Tahmin!$C$4+84)),MONTH((Tahmin!$C$4+84)),MIN(DAY(Kalemler!$D123),DAY(EOMONTH((Tahmin!$C$4+84),0)))),DATE(YEAR((Tahmin!$C$4+90)),MONTH((Tahmin!$C$4+90)),MIN(DAY(Kalemler!$D123),DAY(EOMONTH((Tahmin!$C$4+90),0))))&gt;=Kalemler!$D123)),1,0),IF(AND(Kalemler!$D123&gt;=(Tahmin!$C$4+84),Kalemler!$D123&lt;=(Tahmin!$C$4+90)),1,0))))</f>
        <v>0</v>
      </c>
    </row>
    <row r="124" customFormat="false" ht="15" hidden="false" customHeight="false" outlineLevel="0" collapsed="false">
      <c r="A124" s="0" t="str">
        <f aca="false">IF(Kalemler!A124="","",Kalemler!A124)</f>
        <v/>
      </c>
      <c r="B124" s="0" t="n">
        <f aca="false">IF(OR(Kalemler!$A124="",Kalemler!$C124="",Kalemler!$D124=""),0,Kalemler!$C124*IF(Kalemler!$E124="Haftalık",IF(Kalemler!$D124&lt;=(Tahmin!$C$4+6),1,0),IF(Kalemler!$E124="Aylık",IF(OR(AND(DATE(YEAR((Tahmin!$C$4+0)),MONTH((Tahmin!$C$4+0)),MIN(DAY(Kalemler!$D124),DAY(EOMONTH((Tahmin!$C$4+0),0))))&gt;=(Tahmin!$C$4+0),DATE(YEAR((Tahmin!$C$4+0)),MONTH((Tahmin!$C$4+0)),MIN(DAY(Kalemler!$D124),DAY(EOMONTH((Tahmin!$C$4+0),0))))&lt;=(Tahmin!$C$4+6),DATE(YEAR((Tahmin!$C$4+0)),MONTH((Tahmin!$C$4+0)),MIN(DAY(Kalemler!$D124),DAY(EOMONTH((Tahmin!$C$4+0),0))))&gt;=Kalemler!$D124),AND(DATE(YEAR((Tahmin!$C$4+6)),MONTH((Tahmin!$C$4+6)),MIN(DAY(Kalemler!$D124),DAY(EOMONTH((Tahmin!$C$4+6),0))))&gt;=(Tahmin!$C$4+0),DATE(YEAR((Tahmin!$C$4+6)),MONTH((Tahmin!$C$4+6)),MIN(DAY(Kalemler!$D124),DAY(EOMONTH((Tahmin!$C$4+6),0))))&lt;=(Tahmin!$C$4+6),DATE(YEAR((Tahmin!$C$4+6)),MONTH((Tahmin!$C$4+6)),MIN(DAY(Kalemler!$D124),DAY(EOMONTH((Tahmin!$C$4+6),0))))&lt;&gt;DATE(YEAR((Tahmin!$C$4+0)),MONTH((Tahmin!$C$4+0)),MIN(DAY(Kalemler!$D124),DAY(EOMONTH((Tahmin!$C$4+0),0)))),DATE(YEAR((Tahmin!$C$4+6)),MONTH((Tahmin!$C$4+6)),MIN(DAY(Kalemler!$D124),DAY(EOMONTH((Tahmin!$C$4+6),0))))&gt;=Kalemler!$D124)),1,0),IF(AND(Kalemler!$D124&gt;=(Tahmin!$C$4+0),Kalemler!$D124&lt;=(Tahmin!$C$4+6)),1,0))))</f>
        <v>0</v>
      </c>
      <c r="C124" s="0" t="n">
        <f aca="false">IF(OR(Kalemler!$A124="",Kalemler!$C124="",Kalemler!$D124=""),0,Kalemler!$C124*IF(Kalemler!$E124="Haftalık",IF(Kalemler!$D124&lt;=(Tahmin!$C$4+13),1,0),IF(Kalemler!$E124="Aylık",IF(OR(AND(DATE(YEAR((Tahmin!$C$4+7)),MONTH((Tahmin!$C$4+7)),MIN(DAY(Kalemler!$D124),DAY(EOMONTH((Tahmin!$C$4+7),0))))&gt;=(Tahmin!$C$4+7),DATE(YEAR((Tahmin!$C$4+7)),MONTH((Tahmin!$C$4+7)),MIN(DAY(Kalemler!$D124),DAY(EOMONTH((Tahmin!$C$4+7),0))))&lt;=(Tahmin!$C$4+13),DATE(YEAR((Tahmin!$C$4+7)),MONTH((Tahmin!$C$4+7)),MIN(DAY(Kalemler!$D124),DAY(EOMONTH((Tahmin!$C$4+7),0))))&gt;=Kalemler!$D124),AND(DATE(YEAR((Tahmin!$C$4+13)),MONTH((Tahmin!$C$4+13)),MIN(DAY(Kalemler!$D124),DAY(EOMONTH((Tahmin!$C$4+13),0))))&gt;=(Tahmin!$C$4+7),DATE(YEAR((Tahmin!$C$4+13)),MONTH((Tahmin!$C$4+13)),MIN(DAY(Kalemler!$D124),DAY(EOMONTH((Tahmin!$C$4+13),0))))&lt;=(Tahmin!$C$4+13),DATE(YEAR((Tahmin!$C$4+13)),MONTH((Tahmin!$C$4+13)),MIN(DAY(Kalemler!$D124),DAY(EOMONTH((Tahmin!$C$4+13),0))))&lt;&gt;DATE(YEAR((Tahmin!$C$4+7)),MONTH((Tahmin!$C$4+7)),MIN(DAY(Kalemler!$D124),DAY(EOMONTH((Tahmin!$C$4+7),0)))),DATE(YEAR((Tahmin!$C$4+13)),MONTH((Tahmin!$C$4+13)),MIN(DAY(Kalemler!$D124),DAY(EOMONTH((Tahmin!$C$4+13),0))))&gt;=Kalemler!$D124)),1,0),IF(AND(Kalemler!$D124&gt;=(Tahmin!$C$4+7),Kalemler!$D124&lt;=(Tahmin!$C$4+13)),1,0))))</f>
        <v>0</v>
      </c>
      <c r="D124" s="0" t="n">
        <f aca="false">IF(OR(Kalemler!$A124="",Kalemler!$C124="",Kalemler!$D124=""),0,Kalemler!$C124*IF(Kalemler!$E124="Haftalık",IF(Kalemler!$D124&lt;=(Tahmin!$C$4+20),1,0),IF(Kalemler!$E124="Aylık",IF(OR(AND(DATE(YEAR((Tahmin!$C$4+14)),MONTH((Tahmin!$C$4+14)),MIN(DAY(Kalemler!$D124),DAY(EOMONTH((Tahmin!$C$4+14),0))))&gt;=(Tahmin!$C$4+14),DATE(YEAR((Tahmin!$C$4+14)),MONTH((Tahmin!$C$4+14)),MIN(DAY(Kalemler!$D124),DAY(EOMONTH((Tahmin!$C$4+14),0))))&lt;=(Tahmin!$C$4+20),DATE(YEAR((Tahmin!$C$4+14)),MONTH((Tahmin!$C$4+14)),MIN(DAY(Kalemler!$D124),DAY(EOMONTH((Tahmin!$C$4+14),0))))&gt;=Kalemler!$D124),AND(DATE(YEAR((Tahmin!$C$4+20)),MONTH((Tahmin!$C$4+20)),MIN(DAY(Kalemler!$D124),DAY(EOMONTH((Tahmin!$C$4+20),0))))&gt;=(Tahmin!$C$4+14),DATE(YEAR((Tahmin!$C$4+20)),MONTH((Tahmin!$C$4+20)),MIN(DAY(Kalemler!$D124),DAY(EOMONTH((Tahmin!$C$4+20),0))))&lt;=(Tahmin!$C$4+20),DATE(YEAR((Tahmin!$C$4+20)),MONTH((Tahmin!$C$4+20)),MIN(DAY(Kalemler!$D124),DAY(EOMONTH((Tahmin!$C$4+20),0))))&lt;&gt;DATE(YEAR((Tahmin!$C$4+14)),MONTH((Tahmin!$C$4+14)),MIN(DAY(Kalemler!$D124),DAY(EOMONTH((Tahmin!$C$4+14),0)))),DATE(YEAR((Tahmin!$C$4+20)),MONTH((Tahmin!$C$4+20)),MIN(DAY(Kalemler!$D124),DAY(EOMONTH((Tahmin!$C$4+20),0))))&gt;=Kalemler!$D124)),1,0),IF(AND(Kalemler!$D124&gt;=(Tahmin!$C$4+14),Kalemler!$D124&lt;=(Tahmin!$C$4+20)),1,0))))</f>
        <v>0</v>
      </c>
      <c r="E124" s="0" t="n">
        <f aca="false">IF(OR(Kalemler!$A124="",Kalemler!$C124="",Kalemler!$D124=""),0,Kalemler!$C124*IF(Kalemler!$E124="Haftalık",IF(Kalemler!$D124&lt;=(Tahmin!$C$4+27),1,0),IF(Kalemler!$E124="Aylık",IF(OR(AND(DATE(YEAR((Tahmin!$C$4+21)),MONTH((Tahmin!$C$4+21)),MIN(DAY(Kalemler!$D124),DAY(EOMONTH((Tahmin!$C$4+21),0))))&gt;=(Tahmin!$C$4+21),DATE(YEAR((Tahmin!$C$4+21)),MONTH((Tahmin!$C$4+21)),MIN(DAY(Kalemler!$D124),DAY(EOMONTH((Tahmin!$C$4+21),0))))&lt;=(Tahmin!$C$4+27),DATE(YEAR((Tahmin!$C$4+21)),MONTH((Tahmin!$C$4+21)),MIN(DAY(Kalemler!$D124),DAY(EOMONTH((Tahmin!$C$4+21),0))))&gt;=Kalemler!$D124),AND(DATE(YEAR((Tahmin!$C$4+27)),MONTH((Tahmin!$C$4+27)),MIN(DAY(Kalemler!$D124),DAY(EOMONTH((Tahmin!$C$4+27),0))))&gt;=(Tahmin!$C$4+21),DATE(YEAR((Tahmin!$C$4+27)),MONTH((Tahmin!$C$4+27)),MIN(DAY(Kalemler!$D124),DAY(EOMONTH((Tahmin!$C$4+27),0))))&lt;=(Tahmin!$C$4+27),DATE(YEAR((Tahmin!$C$4+27)),MONTH((Tahmin!$C$4+27)),MIN(DAY(Kalemler!$D124),DAY(EOMONTH((Tahmin!$C$4+27),0))))&lt;&gt;DATE(YEAR((Tahmin!$C$4+21)),MONTH((Tahmin!$C$4+21)),MIN(DAY(Kalemler!$D124),DAY(EOMONTH((Tahmin!$C$4+21),0)))),DATE(YEAR((Tahmin!$C$4+27)),MONTH((Tahmin!$C$4+27)),MIN(DAY(Kalemler!$D124),DAY(EOMONTH((Tahmin!$C$4+27),0))))&gt;=Kalemler!$D124)),1,0),IF(AND(Kalemler!$D124&gt;=(Tahmin!$C$4+21),Kalemler!$D124&lt;=(Tahmin!$C$4+27)),1,0))))</f>
        <v>0</v>
      </c>
      <c r="F124" s="0" t="n">
        <f aca="false">IF(OR(Kalemler!$A124="",Kalemler!$C124="",Kalemler!$D124=""),0,Kalemler!$C124*IF(Kalemler!$E124="Haftalık",IF(Kalemler!$D124&lt;=(Tahmin!$C$4+34),1,0),IF(Kalemler!$E124="Aylık",IF(OR(AND(DATE(YEAR((Tahmin!$C$4+28)),MONTH((Tahmin!$C$4+28)),MIN(DAY(Kalemler!$D124),DAY(EOMONTH((Tahmin!$C$4+28),0))))&gt;=(Tahmin!$C$4+28),DATE(YEAR((Tahmin!$C$4+28)),MONTH((Tahmin!$C$4+28)),MIN(DAY(Kalemler!$D124),DAY(EOMONTH((Tahmin!$C$4+28),0))))&lt;=(Tahmin!$C$4+34),DATE(YEAR((Tahmin!$C$4+28)),MONTH((Tahmin!$C$4+28)),MIN(DAY(Kalemler!$D124),DAY(EOMONTH((Tahmin!$C$4+28),0))))&gt;=Kalemler!$D124),AND(DATE(YEAR((Tahmin!$C$4+34)),MONTH((Tahmin!$C$4+34)),MIN(DAY(Kalemler!$D124),DAY(EOMONTH((Tahmin!$C$4+34),0))))&gt;=(Tahmin!$C$4+28),DATE(YEAR((Tahmin!$C$4+34)),MONTH((Tahmin!$C$4+34)),MIN(DAY(Kalemler!$D124),DAY(EOMONTH((Tahmin!$C$4+34),0))))&lt;=(Tahmin!$C$4+34),DATE(YEAR((Tahmin!$C$4+34)),MONTH((Tahmin!$C$4+34)),MIN(DAY(Kalemler!$D124),DAY(EOMONTH((Tahmin!$C$4+34),0))))&lt;&gt;DATE(YEAR((Tahmin!$C$4+28)),MONTH((Tahmin!$C$4+28)),MIN(DAY(Kalemler!$D124),DAY(EOMONTH((Tahmin!$C$4+28),0)))),DATE(YEAR((Tahmin!$C$4+34)),MONTH((Tahmin!$C$4+34)),MIN(DAY(Kalemler!$D124),DAY(EOMONTH((Tahmin!$C$4+34),0))))&gt;=Kalemler!$D124)),1,0),IF(AND(Kalemler!$D124&gt;=(Tahmin!$C$4+28),Kalemler!$D124&lt;=(Tahmin!$C$4+34)),1,0))))</f>
        <v>0</v>
      </c>
      <c r="G124" s="0" t="n">
        <f aca="false">IF(OR(Kalemler!$A124="",Kalemler!$C124="",Kalemler!$D124=""),0,Kalemler!$C124*IF(Kalemler!$E124="Haftalık",IF(Kalemler!$D124&lt;=(Tahmin!$C$4+41),1,0),IF(Kalemler!$E124="Aylık",IF(OR(AND(DATE(YEAR((Tahmin!$C$4+35)),MONTH((Tahmin!$C$4+35)),MIN(DAY(Kalemler!$D124),DAY(EOMONTH((Tahmin!$C$4+35),0))))&gt;=(Tahmin!$C$4+35),DATE(YEAR((Tahmin!$C$4+35)),MONTH((Tahmin!$C$4+35)),MIN(DAY(Kalemler!$D124),DAY(EOMONTH((Tahmin!$C$4+35),0))))&lt;=(Tahmin!$C$4+41),DATE(YEAR((Tahmin!$C$4+35)),MONTH((Tahmin!$C$4+35)),MIN(DAY(Kalemler!$D124),DAY(EOMONTH((Tahmin!$C$4+35),0))))&gt;=Kalemler!$D124),AND(DATE(YEAR((Tahmin!$C$4+41)),MONTH((Tahmin!$C$4+41)),MIN(DAY(Kalemler!$D124),DAY(EOMONTH((Tahmin!$C$4+41),0))))&gt;=(Tahmin!$C$4+35),DATE(YEAR((Tahmin!$C$4+41)),MONTH((Tahmin!$C$4+41)),MIN(DAY(Kalemler!$D124),DAY(EOMONTH((Tahmin!$C$4+41),0))))&lt;=(Tahmin!$C$4+41),DATE(YEAR((Tahmin!$C$4+41)),MONTH((Tahmin!$C$4+41)),MIN(DAY(Kalemler!$D124),DAY(EOMONTH((Tahmin!$C$4+41),0))))&lt;&gt;DATE(YEAR((Tahmin!$C$4+35)),MONTH((Tahmin!$C$4+35)),MIN(DAY(Kalemler!$D124),DAY(EOMONTH((Tahmin!$C$4+35),0)))),DATE(YEAR((Tahmin!$C$4+41)),MONTH((Tahmin!$C$4+41)),MIN(DAY(Kalemler!$D124),DAY(EOMONTH((Tahmin!$C$4+41),0))))&gt;=Kalemler!$D124)),1,0),IF(AND(Kalemler!$D124&gt;=(Tahmin!$C$4+35),Kalemler!$D124&lt;=(Tahmin!$C$4+41)),1,0))))</f>
        <v>0</v>
      </c>
      <c r="H124" s="0" t="n">
        <f aca="false">IF(OR(Kalemler!$A124="",Kalemler!$C124="",Kalemler!$D124=""),0,Kalemler!$C124*IF(Kalemler!$E124="Haftalık",IF(Kalemler!$D124&lt;=(Tahmin!$C$4+48),1,0),IF(Kalemler!$E124="Aylık",IF(OR(AND(DATE(YEAR((Tahmin!$C$4+42)),MONTH((Tahmin!$C$4+42)),MIN(DAY(Kalemler!$D124),DAY(EOMONTH((Tahmin!$C$4+42),0))))&gt;=(Tahmin!$C$4+42),DATE(YEAR((Tahmin!$C$4+42)),MONTH((Tahmin!$C$4+42)),MIN(DAY(Kalemler!$D124),DAY(EOMONTH((Tahmin!$C$4+42),0))))&lt;=(Tahmin!$C$4+48),DATE(YEAR((Tahmin!$C$4+42)),MONTH((Tahmin!$C$4+42)),MIN(DAY(Kalemler!$D124),DAY(EOMONTH((Tahmin!$C$4+42),0))))&gt;=Kalemler!$D124),AND(DATE(YEAR((Tahmin!$C$4+48)),MONTH((Tahmin!$C$4+48)),MIN(DAY(Kalemler!$D124),DAY(EOMONTH((Tahmin!$C$4+48),0))))&gt;=(Tahmin!$C$4+42),DATE(YEAR((Tahmin!$C$4+48)),MONTH((Tahmin!$C$4+48)),MIN(DAY(Kalemler!$D124),DAY(EOMONTH((Tahmin!$C$4+48),0))))&lt;=(Tahmin!$C$4+48),DATE(YEAR((Tahmin!$C$4+48)),MONTH((Tahmin!$C$4+48)),MIN(DAY(Kalemler!$D124),DAY(EOMONTH((Tahmin!$C$4+48),0))))&lt;&gt;DATE(YEAR((Tahmin!$C$4+42)),MONTH((Tahmin!$C$4+42)),MIN(DAY(Kalemler!$D124),DAY(EOMONTH((Tahmin!$C$4+42),0)))),DATE(YEAR((Tahmin!$C$4+48)),MONTH((Tahmin!$C$4+48)),MIN(DAY(Kalemler!$D124),DAY(EOMONTH((Tahmin!$C$4+48),0))))&gt;=Kalemler!$D124)),1,0),IF(AND(Kalemler!$D124&gt;=(Tahmin!$C$4+42),Kalemler!$D124&lt;=(Tahmin!$C$4+48)),1,0))))</f>
        <v>0</v>
      </c>
      <c r="I124" s="0" t="n">
        <f aca="false">IF(OR(Kalemler!$A124="",Kalemler!$C124="",Kalemler!$D124=""),0,Kalemler!$C124*IF(Kalemler!$E124="Haftalık",IF(Kalemler!$D124&lt;=(Tahmin!$C$4+55),1,0),IF(Kalemler!$E124="Aylık",IF(OR(AND(DATE(YEAR((Tahmin!$C$4+49)),MONTH((Tahmin!$C$4+49)),MIN(DAY(Kalemler!$D124),DAY(EOMONTH((Tahmin!$C$4+49),0))))&gt;=(Tahmin!$C$4+49),DATE(YEAR((Tahmin!$C$4+49)),MONTH((Tahmin!$C$4+49)),MIN(DAY(Kalemler!$D124),DAY(EOMONTH((Tahmin!$C$4+49),0))))&lt;=(Tahmin!$C$4+55),DATE(YEAR((Tahmin!$C$4+49)),MONTH((Tahmin!$C$4+49)),MIN(DAY(Kalemler!$D124),DAY(EOMONTH((Tahmin!$C$4+49),0))))&gt;=Kalemler!$D124),AND(DATE(YEAR((Tahmin!$C$4+55)),MONTH((Tahmin!$C$4+55)),MIN(DAY(Kalemler!$D124),DAY(EOMONTH((Tahmin!$C$4+55),0))))&gt;=(Tahmin!$C$4+49),DATE(YEAR((Tahmin!$C$4+55)),MONTH((Tahmin!$C$4+55)),MIN(DAY(Kalemler!$D124),DAY(EOMONTH((Tahmin!$C$4+55),0))))&lt;=(Tahmin!$C$4+55),DATE(YEAR((Tahmin!$C$4+55)),MONTH((Tahmin!$C$4+55)),MIN(DAY(Kalemler!$D124),DAY(EOMONTH((Tahmin!$C$4+55),0))))&lt;&gt;DATE(YEAR((Tahmin!$C$4+49)),MONTH((Tahmin!$C$4+49)),MIN(DAY(Kalemler!$D124),DAY(EOMONTH((Tahmin!$C$4+49),0)))),DATE(YEAR((Tahmin!$C$4+55)),MONTH((Tahmin!$C$4+55)),MIN(DAY(Kalemler!$D124),DAY(EOMONTH((Tahmin!$C$4+55),0))))&gt;=Kalemler!$D124)),1,0),IF(AND(Kalemler!$D124&gt;=(Tahmin!$C$4+49),Kalemler!$D124&lt;=(Tahmin!$C$4+55)),1,0))))</f>
        <v>0</v>
      </c>
      <c r="J124" s="0" t="n">
        <f aca="false">IF(OR(Kalemler!$A124="",Kalemler!$C124="",Kalemler!$D124=""),0,Kalemler!$C124*IF(Kalemler!$E124="Haftalık",IF(Kalemler!$D124&lt;=(Tahmin!$C$4+62),1,0),IF(Kalemler!$E124="Aylık",IF(OR(AND(DATE(YEAR((Tahmin!$C$4+56)),MONTH((Tahmin!$C$4+56)),MIN(DAY(Kalemler!$D124),DAY(EOMONTH((Tahmin!$C$4+56),0))))&gt;=(Tahmin!$C$4+56),DATE(YEAR((Tahmin!$C$4+56)),MONTH((Tahmin!$C$4+56)),MIN(DAY(Kalemler!$D124),DAY(EOMONTH((Tahmin!$C$4+56),0))))&lt;=(Tahmin!$C$4+62),DATE(YEAR((Tahmin!$C$4+56)),MONTH((Tahmin!$C$4+56)),MIN(DAY(Kalemler!$D124),DAY(EOMONTH((Tahmin!$C$4+56),0))))&gt;=Kalemler!$D124),AND(DATE(YEAR((Tahmin!$C$4+62)),MONTH((Tahmin!$C$4+62)),MIN(DAY(Kalemler!$D124),DAY(EOMONTH((Tahmin!$C$4+62),0))))&gt;=(Tahmin!$C$4+56),DATE(YEAR((Tahmin!$C$4+62)),MONTH((Tahmin!$C$4+62)),MIN(DAY(Kalemler!$D124),DAY(EOMONTH((Tahmin!$C$4+62),0))))&lt;=(Tahmin!$C$4+62),DATE(YEAR((Tahmin!$C$4+62)),MONTH((Tahmin!$C$4+62)),MIN(DAY(Kalemler!$D124),DAY(EOMONTH((Tahmin!$C$4+62),0))))&lt;&gt;DATE(YEAR((Tahmin!$C$4+56)),MONTH((Tahmin!$C$4+56)),MIN(DAY(Kalemler!$D124),DAY(EOMONTH((Tahmin!$C$4+56),0)))),DATE(YEAR((Tahmin!$C$4+62)),MONTH((Tahmin!$C$4+62)),MIN(DAY(Kalemler!$D124),DAY(EOMONTH((Tahmin!$C$4+62),0))))&gt;=Kalemler!$D124)),1,0),IF(AND(Kalemler!$D124&gt;=(Tahmin!$C$4+56),Kalemler!$D124&lt;=(Tahmin!$C$4+62)),1,0))))</f>
        <v>0</v>
      </c>
      <c r="K124" s="0" t="n">
        <f aca="false">IF(OR(Kalemler!$A124="",Kalemler!$C124="",Kalemler!$D124=""),0,Kalemler!$C124*IF(Kalemler!$E124="Haftalık",IF(Kalemler!$D124&lt;=(Tahmin!$C$4+69),1,0),IF(Kalemler!$E124="Aylık",IF(OR(AND(DATE(YEAR((Tahmin!$C$4+63)),MONTH((Tahmin!$C$4+63)),MIN(DAY(Kalemler!$D124),DAY(EOMONTH((Tahmin!$C$4+63),0))))&gt;=(Tahmin!$C$4+63),DATE(YEAR((Tahmin!$C$4+63)),MONTH((Tahmin!$C$4+63)),MIN(DAY(Kalemler!$D124),DAY(EOMONTH((Tahmin!$C$4+63),0))))&lt;=(Tahmin!$C$4+69),DATE(YEAR((Tahmin!$C$4+63)),MONTH((Tahmin!$C$4+63)),MIN(DAY(Kalemler!$D124),DAY(EOMONTH((Tahmin!$C$4+63),0))))&gt;=Kalemler!$D124),AND(DATE(YEAR((Tahmin!$C$4+69)),MONTH((Tahmin!$C$4+69)),MIN(DAY(Kalemler!$D124),DAY(EOMONTH((Tahmin!$C$4+69),0))))&gt;=(Tahmin!$C$4+63),DATE(YEAR((Tahmin!$C$4+69)),MONTH((Tahmin!$C$4+69)),MIN(DAY(Kalemler!$D124),DAY(EOMONTH((Tahmin!$C$4+69),0))))&lt;=(Tahmin!$C$4+69),DATE(YEAR((Tahmin!$C$4+69)),MONTH((Tahmin!$C$4+69)),MIN(DAY(Kalemler!$D124),DAY(EOMONTH((Tahmin!$C$4+69),0))))&lt;&gt;DATE(YEAR((Tahmin!$C$4+63)),MONTH((Tahmin!$C$4+63)),MIN(DAY(Kalemler!$D124),DAY(EOMONTH((Tahmin!$C$4+63),0)))),DATE(YEAR((Tahmin!$C$4+69)),MONTH((Tahmin!$C$4+69)),MIN(DAY(Kalemler!$D124),DAY(EOMONTH((Tahmin!$C$4+69),0))))&gt;=Kalemler!$D124)),1,0),IF(AND(Kalemler!$D124&gt;=(Tahmin!$C$4+63),Kalemler!$D124&lt;=(Tahmin!$C$4+69)),1,0))))</f>
        <v>0</v>
      </c>
      <c r="L124" s="0" t="n">
        <f aca="false">IF(OR(Kalemler!$A124="",Kalemler!$C124="",Kalemler!$D124=""),0,Kalemler!$C124*IF(Kalemler!$E124="Haftalık",IF(Kalemler!$D124&lt;=(Tahmin!$C$4+76),1,0),IF(Kalemler!$E124="Aylık",IF(OR(AND(DATE(YEAR((Tahmin!$C$4+70)),MONTH((Tahmin!$C$4+70)),MIN(DAY(Kalemler!$D124),DAY(EOMONTH((Tahmin!$C$4+70),0))))&gt;=(Tahmin!$C$4+70),DATE(YEAR((Tahmin!$C$4+70)),MONTH((Tahmin!$C$4+70)),MIN(DAY(Kalemler!$D124),DAY(EOMONTH((Tahmin!$C$4+70),0))))&lt;=(Tahmin!$C$4+76),DATE(YEAR((Tahmin!$C$4+70)),MONTH((Tahmin!$C$4+70)),MIN(DAY(Kalemler!$D124),DAY(EOMONTH((Tahmin!$C$4+70),0))))&gt;=Kalemler!$D124),AND(DATE(YEAR((Tahmin!$C$4+76)),MONTH((Tahmin!$C$4+76)),MIN(DAY(Kalemler!$D124),DAY(EOMONTH((Tahmin!$C$4+76),0))))&gt;=(Tahmin!$C$4+70),DATE(YEAR((Tahmin!$C$4+76)),MONTH((Tahmin!$C$4+76)),MIN(DAY(Kalemler!$D124),DAY(EOMONTH((Tahmin!$C$4+76),0))))&lt;=(Tahmin!$C$4+76),DATE(YEAR((Tahmin!$C$4+76)),MONTH((Tahmin!$C$4+76)),MIN(DAY(Kalemler!$D124),DAY(EOMONTH((Tahmin!$C$4+76),0))))&lt;&gt;DATE(YEAR((Tahmin!$C$4+70)),MONTH((Tahmin!$C$4+70)),MIN(DAY(Kalemler!$D124),DAY(EOMONTH((Tahmin!$C$4+70),0)))),DATE(YEAR((Tahmin!$C$4+76)),MONTH((Tahmin!$C$4+76)),MIN(DAY(Kalemler!$D124),DAY(EOMONTH((Tahmin!$C$4+76),0))))&gt;=Kalemler!$D124)),1,0),IF(AND(Kalemler!$D124&gt;=(Tahmin!$C$4+70),Kalemler!$D124&lt;=(Tahmin!$C$4+76)),1,0))))</f>
        <v>0</v>
      </c>
      <c r="M124" s="0" t="n">
        <f aca="false">IF(OR(Kalemler!$A124="",Kalemler!$C124="",Kalemler!$D124=""),0,Kalemler!$C124*IF(Kalemler!$E124="Haftalık",IF(Kalemler!$D124&lt;=(Tahmin!$C$4+83),1,0),IF(Kalemler!$E124="Aylık",IF(OR(AND(DATE(YEAR((Tahmin!$C$4+77)),MONTH((Tahmin!$C$4+77)),MIN(DAY(Kalemler!$D124),DAY(EOMONTH((Tahmin!$C$4+77),0))))&gt;=(Tahmin!$C$4+77),DATE(YEAR((Tahmin!$C$4+77)),MONTH((Tahmin!$C$4+77)),MIN(DAY(Kalemler!$D124),DAY(EOMONTH((Tahmin!$C$4+77),0))))&lt;=(Tahmin!$C$4+83),DATE(YEAR((Tahmin!$C$4+77)),MONTH((Tahmin!$C$4+77)),MIN(DAY(Kalemler!$D124),DAY(EOMONTH((Tahmin!$C$4+77),0))))&gt;=Kalemler!$D124),AND(DATE(YEAR((Tahmin!$C$4+83)),MONTH((Tahmin!$C$4+83)),MIN(DAY(Kalemler!$D124),DAY(EOMONTH((Tahmin!$C$4+83),0))))&gt;=(Tahmin!$C$4+77),DATE(YEAR((Tahmin!$C$4+83)),MONTH((Tahmin!$C$4+83)),MIN(DAY(Kalemler!$D124),DAY(EOMONTH((Tahmin!$C$4+83),0))))&lt;=(Tahmin!$C$4+83),DATE(YEAR((Tahmin!$C$4+83)),MONTH((Tahmin!$C$4+83)),MIN(DAY(Kalemler!$D124),DAY(EOMONTH((Tahmin!$C$4+83),0))))&lt;&gt;DATE(YEAR((Tahmin!$C$4+77)),MONTH((Tahmin!$C$4+77)),MIN(DAY(Kalemler!$D124),DAY(EOMONTH((Tahmin!$C$4+77),0)))),DATE(YEAR((Tahmin!$C$4+83)),MONTH((Tahmin!$C$4+83)),MIN(DAY(Kalemler!$D124),DAY(EOMONTH((Tahmin!$C$4+83),0))))&gt;=Kalemler!$D124)),1,0),IF(AND(Kalemler!$D124&gt;=(Tahmin!$C$4+77),Kalemler!$D124&lt;=(Tahmin!$C$4+83)),1,0))))</f>
        <v>0</v>
      </c>
      <c r="N124" s="0" t="n">
        <f aca="false">IF(OR(Kalemler!$A124="",Kalemler!$C124="",Kalemler!$D124=""),0,Kalemler!$C124*IF(Kalemler!$E124="Haftalık",IF(Kalemler!$D124&lt;=(Tahmin!$C$4+90),1,0),IF(Kalemler!$E124="Aylık",IF(OR(AND(DATE(YEAR((Tahmin!$C$4+84)),MONTH((Tahmin!$C$4+84)),MIN(DAY(Kalemler!$D124),DAY(EOMONTH((Tahmin!$C$4+84),0))))&gt;=(Tahmin!$C$4+84),DATE(YEAR((Tahmin!$C$4+84)),MONTH((Tahmin!$C$4+84)),MIN(DAY(Kalemler!$D124),DAY(EOMONTH((Tahmin!$C$4+84),0))))&lt;=(Tahmin!$C$4+90),DATE(YEAR((Tahmin!$C$4+84)),MONTH((Tahmin!$C$4+84)),MIN(DAY(Kalemler!$D124),DAY(EOMONTH((Tahmin!$C$4+84),0))))&gt;=Kalemler!$D124),AND(DATE(YEAR((Tahmin!$C$4+90)),MONTH((Tahmin!$C$4+90)),MIN(DAY(Kalemler!$D124),DAY(EOMONTH((Tahmin!$C$4+90),0))))&gt;=(Tahmin!$C$4+84),DATE(YEAR((Tahmin!$C$4+90)),MONTH((Tahmin!$C$4+90)),MIN(DAY(Kalemler!$D124),DAY(EOMONTH((Tahmin!$C$4+90),0))))&lt;=(Tahmin!$C$4+90),DATE(YEAR((Tahmin!$C$4+90)),MONTH((Tahmin!$C$4+90)),MIN(DAY(Kalemler!$D124),DAY(EOMONTH((Tahmin!$C$4+90),0))))&lt;&gt;DATE(YEAR((Tahmin!$C$4+84)),MONTH((Tahmin!$C$4+84)),MIN(DAY(Kalemler!$D124),DAY(EOMONTH((Tahmin!$C$4+84),0)))),DATE(YEAR((Tahmin!$C$4+90)),MONTH((Tahmin!$C$4+90)),MIN(DAY(Kalemler!$D124),DAY(EOMONTH((Tahmin!$C$4+90),0))))&gt;=Kalemler!$D124)),1,0),IF(AND(Kalemler!$D124&gt;=(Tahmin!$C$4+84),Kalemler!$D124&lt;=(Tahmin!$C$4+90)),1,0))))</f>
        <v>0</v>
      </c>
    </row>
    <row r="125" customFormat="false" ht="15" hidden="false" customHeight="false" outlineLevel="0" collapsed="false">
      <c r="A125" s="0" t="str">
        <f aca="false">IF(Kalemler!A125="","",Kalemler!A125)</f>
        <v/>
      </c>
      <c r="B125" s="0" t="n">
        <f aca="false">IF(OR(Kalemler!$A125="",Kalemler!$C125="",Kalemler!$D125=""),0,Kalemler!$C125*IF(Kalemler!$E125="Haftalık",IF(Kalemler!$D125&lt;=(Tahmin!$C$4+6),1,0),IF(Kalemler!$E125="Aylık",IF(OR(AND(DATE(YEAR((Tahmin!$C$4+0)),MONTH((Tahmin!$C$4+0)),MIN(DAY(Kalemler!$D125),DAY(EOMONTH((Tahmin!$C$4+0),0))))&gt;=(Tahmin!$C$4+0),DATE(YEAR((Tahmin!$C$4+0)),MONTH((Tahmin!$C$4+0)),MIN(DAY(Kalemler!$D125),DAY(EOMONTH((Tahmin!$C$4+0),0))))&lt;=(Tahmin!$C$4+6),DATE(YEAR((Tahmin!$C$4+0)),MONTH((Tahmin!$C$4+0)),MIN(DAY(Kalemler!$D125),DAY(EOMONTH((Tahmin!$C$4+0),0))))&gt;=Kalemler!$D125),AND(DATE(YEAR((Tahmin!$C$4+6)),MONTH((Tahmin!$C$4+6)),MIN(DAY(Kalemler!$D125),DAY(EOMONTH((Tahmin!$C$4+6),0))))&gt;=(Tahmin!$C$4+0),DATE(YEAR((Tahmin!$C$4+6)),MONTH((Tahmin!$C$4+6)),MIN(DAY(Kalemler!$D125),DAY(EOMONTH((Tahmin!$C$4+6),0))))&lt;=(Tahmin!$C$4+6),DATE(YEAR((Tahmin!$C$4+6)),MONTH((Tahmin!$C$4+6)),MIN(DAY(Kalemler!$D125),DAY(EOMONTH((Tahmin!$C$4+6),0))))&lt;&gt;DATE(YEAR((Tahmin!$C$4+0)),MONTH((Tahmin!$C$4+0)),MIN(DAY(Kalemler!$D125),DAY(EOMONTH((Tahmin!$C$4+0),0)))),DATE(YEAR((Tahmin!$C$4+6)),MONTH((Tahmin!$C$4+6)),MIN(DAY(Kalemler!$D125),DAY(EOMONTH((Tahmin!$C$4+6),0))))&gt;=Kalemler!$D125)),1,0),IF(AND(Kalemler!$D125&gt;=(Tahmin!$C$4+0),Kalemler!$D125&lt;=(Tahmin!$C$4+6)),1,0))))</f>
        <v>0</v>
      </c>
      <c r="C125" s="0" t="n">
        <f aca="false">IF(OR(Kalemler!$A125="",Kalemler!$C125="",Kalemler!$D125=""),0,Kalemler!$C125*IF(Kalemler!$E125="Haftalık",IF(Kalemler!$D125&lt;=(Tahmin!$C$4+13),1,0),IF(Kalemler!$E125="Aylık",IF(OR(AND(DATE(YEAR((Tahmin!$C$4+7)),MONTH((Tahmin!$C$4+7)),MIN(DAY(Kalemler!$D125),DAY(EOMONTH((Tahmin!$C$4+7),0))))&gt;=(Tahmin!$C$4+7),DATE(YEAR((Tahmin!$C$4+7)),MONTH((Tahmin!$C$4+7)),MIN(DAY(Kalemler!$D125),DAY(EOMONTH((Tahmin!$C$4+7),0))))&lt;=(Tahmin!$C$4+13),DATE(YEAR((Tahmin!$C$4+7)),MONTH((Tahmin!$C$4+7)),MIN(DAY(Kalemler!$D125),DAY(EOMONTH((Tahmin!$C$4+7),0))))&gt;=Kalemler!$D125),AND(DATE(YEAR((Tahmin!$C$4+13)),MONTH((Tahmin!$C$4+13)),MIN(DAY(Kalemler!$D125),DAY(EOMONTH((Tahmin!$C$4+13),0))))&gt;=(Tahmin!$C$4+7),DATE(YEAR((Tahmin!$C$4+13)),MONTH((Tahmin!$C$4+13)),MIN(DAY(Kalemler!$D125),DAY(EOMONTH((Tahmin!$C$4+13),0))))&lt;=(Tahmin!$C$4+13),DATE(YEAR((Tahmin!$C$4+13)),MONTH((Tahmin!$C$4+13)),MIN(DAY(Kalemler!$D125),DAY(EOMONTH((Tahmin!$C$4+13),0))))&lt;&gt;DATE(YEAR((Tahmin!$C$4+7)),MONTH((Tahmin!$C$4+7)),MIN(DAY(Kalemler!$D125),DAY(EOMONTH((Tahmin!$C$4+7),0)))),DATE(YEAR((Tahmin!$C$4+13)),MONTH((Tahmin!$C$4+13)),MIN(DAY(Kalemler!$D125),DAY(EOMONTH((Tahmin!$C$4+13),0))))&gt;=Kalemler!$D125)),1,0),IF(AND(Kalemler!$D125&gt;=(Tahmin!$C$4+7),Kalemler!$D125&lt;=(Tahmin!$C$4+13)),1,0))))</f>
        <v>0</v>
      </c>
      <c r="D125" s="0" t="n">
        <f aca="false">IF(OR(Kalemler!$A125="",Kalemler!$C125="",Kalemler!$D125=""),0,Kalemler!$C125*IF(Kalemler!$E125="Haftalık",IF(Kalemler!$D125&lt;=(Tahmin!$C$4+20),1,0),IF(Kalemler!$E125="Aylık",IF(OR(AND(DATE(YEAR((Tahmin!$C$4+14)),MONTH((Tahmin!$C$4+14)),MIN(DAY(Kalemler!$D125),DAY(EOMONTH((Tahmin!$C$4+14),0))))&gt;=(Tahmin!$C$4+14),DATE(YEAR((Tahmin!$C$4+14)),MONTH((Tahmin!$C$4+14)),MIN(DAY(Kalemler!$D125),DAY(EOMONTH((Tahmin!$C$4+14),0))))&lt;=(Tahmin!$C$4+20),DATE(YEAR((Tahmin!$C$4+14)),MONTH((Tahmin!$C$4+14)),MIN(DAY(Kalemler!$D125),DAY(EOMONTH((Tahmin!$C$4+14),0))))&gt;=Kalemler!$D125),AND(DATE(YEAR((Tahmin!$C$4+20)),MONTH((Tahmin!$C$4+20)),MIN(DAY(Kalemler!$D125),DAY(EOMONTH((Tahmin!$C$4+20),0))))&gt;=(Tahmin!$C$4+14),DATE(YEAR((Tahmin!$C$4+20)),MONTH((Tahmin!$C$4+20)),MIN(DAY(Kalemler!$D125),DAY(EOMONTH((Tahmin!$C$4+20),0))))&lt;=(Tahmin!$C$4+20),DATE(YEAR((Tahmin!$C$4+20)),MONTH((Tahmin!$C$4+20)),MIN(DAY(Kalemler!$D125),DAY(EOMONTH((Tahmin!$C$4+20),0))))&lt;&gt;DATE(YEAR((Tahmin!$C$4+14)),MONTH((Tahmin!$C$4+14)),MIN(DAY(Kalemler!$D125),DAY(EOMONTH((Tahmin!$C$4+14),0)))),DATE(YEAR((Tahmin!$C$4+20)),MONTH((Tahmin!$C$4+20)),MIN(DAY(Kalemler!$D125),DAY(EOMONTH((Tahmin!$C$4+20),0))))&gt;=Kalemler!$D125)),1,0),IF(AND(Kalemler!$D125&gt;=(Tahmin!$C$4+14),Kalemler!$D125&lt;=(Tahmin!$C$4+20)),1,0))))</f>
        <v>0</v>
      </c>
      <c r="E125" s="0" t="n">
        <f aca="false">IF(OR(Kalemler!$A125="",Kalemler!$C125="",Kalemler!$D125=""),0,Kalemler!$C125*IF(Kalemler!$E125="Haftalık",IF(Kalemler!$D125&lt;=(Tahmin!$C$4+27),1,0),IF(Kalemler!$E125="Aylık",IF(OR(AND(DATE(YEAR((Tahmin!$C$4+21)),MONTH((Tahmin!$C$4+21)),MIN(DAY(Kalemler!$D125),DAY(EOMONTH((Tahmin!$C$4+21),0))))&gt;=(Tahmin!$C$4+21),DATE(YEAR((Tahmin!$C$4+21)),MONTH((Tahmin!$C$4+21)),MIN(DAY(Kalemler!$D125),DAY(EOMONTH((Tahmin!$C$4+21),0))))&lt;=(Tahmin!$C$4+27),DATE(YEAR((Tahmin!$C$4+21)),MONTH((Tahmin!$C$4+21)),MIN(DAY(Kalemler!$D125),DAY(EOMONTH((Tahmin!$C$4+21),0))))&gt;=Kalemler!$D125),AND(DATE(YEAR((Tahmin!$C$4+27)),MONTH((Tahmin!$C$4+27)),MIN(DAY(Kalemler!$D125),DAY(EOMONTH((Tahmin!$C$4+27),0))))&gt;=(Tahmin!$C$4+21),DATE(YEAR((Tahmin!$C$4+27)),MONTH((Tahmin!$C$4+27)),MIN(DAY(Kalemler!$D125),DAY(EOMONTH((Tahmin!$C$4+27),0))))&lt;=(Tahmin!$C$4+27),DATE(YEAR((Tahmin!$C$4+27)),MONTH((Tahmin!$C$4+27)),MIN(DAY(Kalemler!$D125),DAY(EOMONTH((Tahmin!$C$4+27),0))))&lt;&gt;DATE(YEAR((Tahmin!$C$4+21)),MONTH((Tahmin!$C$4+21)),MIN(DAY(Kalemler!$D125),DAY(EOMONTH((Tahmin!$C$4+21),0)))),DATE(YEAR((Tahmin!$C$4+27)),MONTH((Tahmin!$C$4+27)),MIN(DAY(Kalemler!$D125),DAY(EOMONTH((Tahmin!$C$4+27),0))))&gt;=Kalemler!$D125)),1,0),IF(AND(Kalemler!$D125&gt;=(Tahmin!$C$4+21),Kalemler!$D125&lt;=(Tahmin!$C$4+27)),1,0))))</f>
        <v>0</v>
      </c>
      <c r="F125" s="0" t="n">
        <f aca="false">IF(OR(Kalemler!$A125="",Kalemler!$C125="",Kalemler!$D125=""),0,Kalemler!$C125*IF(Kalemler!$E125="Haftalık",IF(Kalemler!$D125&lt;=(Tahmin!$C$4+34),1,0),IF(Kalemler!$E125="Aylık",IF(OR(AND(DATE(YEAR((Tahmin!$C$4+28)),MONTH((Tahmin!$C$4+28)),MIN(DAY(Kalemler!$D125),DAY(EOMONTH((Tahmin!$C$4+28),0))))&gt;=(Tahmin!$C$4+28),DATE(YEAR((Tahmin!$C$4+28)),MONTH((Tahmin!$C$4+28)),MIN(DAY(Kalemler!$D125),DAY(EOMONTH((Tahmin!$C$4+28),0))))&lt;=(Tahmin!$C$4+34),DATE(YEAR((Tahmin!$C$4+28)),MONTH((Tahmin!$C$4+28)),MIN(DAY(Kalemler!$D125),DAY(EOMONTH((Tahmin!$C$4+28),0))))&gt;=Kalemler!$D125),AND(DATE(YEAR((Tahmin!$C$4+34)),MONTH((Tahmin!$C$4+34)),MIN(DAY(Kalemler!$D125),DAY(EOMONTH((Tahmin!$C$4+34),0))))&gt;=(Tahmin!$C$4+28),DATE(YEAR((Tahmin!$C$4+34)),MONTH((Tahmin!$C$4+34)),MIN(DAY(Kalemler!$D125),DAY(EOMONTH((Tahmin!$C$4+34),0))))&lt;=(Tahmin!$C$4+34),DATE(YEAR((Tahmin!$C$4+34)),MONTH((Tahmin!$C$4+34)),MIN(DAY(Kalemler!$D125),DAY(EOMONTH((Tahmin!$C$4+34),0))))&lt;&gt;DATE(YEAR((Tahmin!$C$4+28)),MONTH((Tahmin!$C$4+28)),MIN(DAY(Kalemler!$D125),DAY(EOMONTH((Tahmin!$C$4+28),0)))),DATE(YEAR((Tahmin!$C$4+34)),MONTH((Tahmin!$C$4+34)),MIN(DAY(Kalemler!$D125),DAY(EOMONTH((Tahmin!$C$4+34),0))))&gt;=Kalemler!$D125)),1,0),IF(AND(Kalemler!$D125&gt;=(Tahmin!$C$4+28),Kalemler!$D125&lt;=(Tahmin!$C$4+34)),1,0))))</f>
        <v>0</v>
      </c>
      <c r="G125" s="0" t="n">
        <f aca="false">IF(OR(Kalemler!$A125="",Kalemler!$C125="",Kalemler!$D125=""),0,Kalemler!$C125*IF(Kalemler!$E125="Haftalık",IF(Kalemler!$D125&lt;=(Tahmin!$C$4+41),1,0),IF(Kalemler!$E125="Aylık",IF(OR(AND(DATE(YEAR((Tahmin!$C$4+35)),MONTH((Tahmin!$C$4+35)),MIN(DAY(Kalemler!$D125),DAY(EOMONTH((Tahmin!$C$4+35),0))))&gt;=(Tahmin!$C$4+35),DATE(YEAR((Tahmin!$C$4+35)),MONTH((Tahmin!$C$4+35)),MIN(DAY(Kalemler!$D125),DAY(EOMONTH((Tahmin!$C$4+35),0))))&lt;=(Tahmin!$C$4+41),DATE(YEAR((Tahmin!$C$4+35)),MONTH((Tahmin!$C$4+35)),MIN(DAY(Kalemler!$D125),DAY(EOMONTH((Tahmin!$C$4+35),0))))&gt;=Kalemler!$D125),AND(DATE(YEAR((Tahmin!$C$4+41)),MONTH((Tahmin!$C$4+41)),MIN(DAY(Kalemler!$D125),DAY(EOMONTH((Tahmin!$C$4+41),0))))&gt;=(Tahmin!$C$4+35),DATE(YEAR((Tahmin!$C$4+41)),MONTH((Tahmin!$C$4+41)),MIN(DAY(Kalemler!$D125),DAY(EOMONTH((Tahmin!$C$4+41),0))))&lt;=(Tahmin!$C$4+41),DATE(YEAR((Tahmin!$C$4+41)),MONTH((Tahmin!$C$4+41)),MIN(DAY(Kalemler!$D125),DAY(EOMONTH((Tahmin!$C$4+41),0))))&lt;&gt;DATE(YEAR((Tahmin!$C$4+35)),MONTH((Tahmin!$C$4+35)),MIN(DAY(Kalemler!$D125),DAY(EOMONTH((Tahmin!$C$4+35),0)))),DATE(YEAR((Tahmin!$C$4+41)),MONTH((Tahmin!$C$4+41)),MIN(DAY(Kalemler!$D125),DAY(EOMONTH((Tahmin!$C$4+41),0))))&gt;=Kalemler!$D125)),1,0),IF(AND(Kalemler!$D125&gt;=(Tahmin!$C$4+35),Kalemler!$D125&lt;=(Tahmin!$C$4+41)),1,0))))</f>
        <v>0</v>
      </c>
      <c r="H125" s="0" t="n">
        <f aca="false">IF(OR(Kalemler!$A125="",Kalemler!$C125="",Kalemler!$D125=""),0,Kalemler!$C125*IF(Kalemler!$E125="Haftalık",IF(Kalemler!$D125&lt;=(Tahmin!$C$4+48),1,0),IF(Kalemler!$E125="Aylık",IF(OR(AND(DATE(YEAR((Tahmin!$C$4+42)),MONTH((Tahmin!$C$4+42)),MIN(DAY(Kalemler!$D125),DAY(EOMONTH((Tahmin!$C$4+42),0))))&gt;=(Tahmin!$C$4+42),DATE(YEAR((Tahmin!$C$4+42)),MONTH((Tahmin!$C$4+42)),MIN(DAY(Kalemler!$D125),DAY(EOMONTH((Tahmin!$C$4+42),0))))&lt;=(Tahmin!$C$4+48),DATE(YEAR((Tahmin!$C$4+42)),MONTH((Tahmin!$C$4+42)),MIN(DAY(Kalemler!$D125),DAY(EOMONTH((Tahmin!$C$4+42),0))))&gt;=Kalemler!$D125),AND(DATE(YEAR((Tahmin!$C$4+48)),MONTH((Tahmin!$C$4+48)),MIN(DAY(Kalemler!$D125),DAY(EOMONTH((Tahmin!$C$4+48),0))))&gt;=(Tahmin!$C$4+42),DATE(YEAR((Tahmin!$C$4+48)),MONTH((Tahmin!$C$4+48)),MIN(DAY(Kalemler!$D125),DAY(EOMONTH((Tahmin!$C$4+48),0))))&lt;=(Tahmin!$C$4+48),DATE(YEAR((Tahmin!$C$4+48)),MONTH((Tahmin!$C$4+48)),MIN(DAY(Kalemler!$D125),DAY(EOMONTH((Tahmin!$C$4+48),0))))&lt;&gt;DATE(YEAR((Tahmin!$C$4+42)),MONTH((Tahmin!$C$4+42)),MIN(DAY(Kalemler!$D125),DAY(EOMONTH((Tahmin!$C$4+42),0)))),DATE(YEAR((Tahmin!$C$4+48)),MONTH((Tahmin!$C$4+48)),MIN(DAY(Kalemler!$D125),DAY(EOMONTH((Tahmin!$C$4+48),0))))&gt;=Kalemler!$D125)),1,0),IF(AND(Kalemler!$D125&gt;=(Tahmin!$C$4+42),Kalemler!$D125&lt;=(Tahmin!$C$4+48)),1,0))))</f>
        <v>0</v>
      </c>
      <c r="I125" s="0" t="n">
        <f aca="false">IF(OR(Kalemler!$A125="",Kalemler!$C125="",Kalemler!$D125=""),0,Kalemler!$C125*IF(Kalemler!$E125="Haftalık",IF(Kalemler!$D125&lt;=(Tahmin!$C$4+55),1,0),IF(Kalemler!$E125="Aylık",IF(OR(AND(DATE(YEAR((Tahmin!$C$4+49)),MONTH((Tahmin!$C$4+49)),MIN(DAY(Kalemler!$D125),DAY(EOMONTH((Tahmin!$C$4+49),0))))&gt;=(Tahmin!$C$4+49),DATE(YEAR((Tahmin!$C$4+49)),MONTH((Tahmin!$C$4+49)),MIN(DAY(Kalemler!$D125),DAY(EOMONTH((Tahmin!$C$4+49),0))))&lt;=(Tahmin!$C$4+55),DATE(YEAR((Tahmin!$C$4+49)),MONTH((Tahmin!$C$4+49)),MIN(DAY(Kalemler!$D125),DAY(EOMONTH((Tahmin!$C$4+49),0))))&gt;=Kalemler!$D125),AND(DATE(YEAR((Tahmin!$C$4+55)),MONTH((Tahmin!$C$4+55)),MIN(DAY(Kalemler!$D125),DAY(EOMONTH((Tahmin!$C$4+55),0))))&gt;=(Tahmin!$C$4+49),DATE(YEAR((Tahmin!$C$4+55)),MONTH((Tahmin!$C$4+55)),MIN(DAY(Kalemler!$D125),DAY(EOMONTH((Tahmin!$C$4+55),0))))&lt;=(Tahmin!$C$4+55),DATE(YEAR((Tahmin!$C$4+55)),MONTH((Tahmin!$C$4+55)),MIN(DAY(Kalemler!$D125),DAY(EOMONTH((Tahmin!$C$4+55),0))))&lt;&gt;DATE(YEAR((Tahmin!$C$4+49)),MONTH((Tahmin!$C$4+49)),MIN(DAY(Kalemler!$D125),DAY(EOMONTH((Tahmin!$C$4+49),0)))),DATE(YEAR((Tahmin!$C$4+55)),MONTH((Tahmin!$C$4+55)),MIN(DAY(Kalemler!$D125),DAY(EOMONTH((Tahmin!$C$4+55),0))))&gt;=Kalemler!$D125)),1,0),IF(AND(Kalemler!$D125&gt;=(Tahmin!$C$4+49),Kalemler!$D125&lt;=(Tahmin!$C$4+55)),1,0))))</f>
        <v>0</v>
      </c>
      <c r="J125" s="0" t="n">
        <f aca="false">IF(OR(Kalemler!$A125="",Kalemler!$C125="",Kalemler!$D125=""),0,Kalemler!$C125*IF(Kalemler!$E125="Haftalık",IF(Kalemler!$D125&lt;=(Tahmin!$C$4+62),1,0),IF(Kalemler!$E125="Aylık",IF(OR(AND(DATE(YEAR((Tahmin!$C$4+56)),MONTH((Tahmin!$C$4+56)),MIN(DAY(Kalemler!$D125),DAY(EOMONTH((Tahmin!$C$4+56),0))))&gt;=(Tahmin!$C$4+56),DATE(YEAR((Tahmin!$C$4+56)),MONTH((Tahmin!$C$4+56)),MIN(DAY(Kalemler!$D125),DAY(EOMONTH((Tahmin!$C$4+56),0))))&lt;=(Tahmin!$C$4+62),DATE(YEAR((Tahmin!$C$4+56)),MONTH((Tahmin!$C$4+56)),MIN(DAY(Kalemler!$D125),DAY(EOMONTH((Tahmin!$C$4+56),0))))&gt;=Kalemler!$D125),AND(DATE(YEAR((Tahmin!$C$4+62)),MONTH((Tahmin!$C$4+62)),MIN(DAY(Kalemler!$D125),DAY(EOMONTH((Tahmin!$C$4+62),0))))&gt;=(Tahmin!$C$4+56),DATE(YEAR((Tahmin!$C$4+62)),MONTH((Tahmin!$C$4+62)),MIN(DAY(Kalemler!$D125),DAY(EOMONTH((Tahmin!$C$4+62),0))))&lt;=(Tahmin!$C$4+62),DATE(YEAR((Tahmin!$C$4+62)),MONTH((Tahmin!$C$4+62)),MIN(DAY(Kalemler!$D125),DAY(EOMONTH((Tahmin!$C$4+62),0))))&lt;&gt;DATE(YEAR((Tahmin!$C$4+56)),MONTH((Tahmin!$C$4+56)),MIN(DAY(Kalemler!$D125),DAY(EOMONTH((Tahmin!$C$4+56),0)))),DATE(YEAR((Tahmin!$C$4+62)),MONTH((Tahmin!$C$4+62)),MIN(DAY(Kalemler!$D125),DAY(EOMONTH((Tahmin!$C$4+62),0))))&gt;=Kalemler!$D125)),1,0),IF(AND(Kalemler!$D125&gt;=(Tahmin!$C$4+56),Kalemler!$D125&lt;=(Tahmin!$C$4+62)),1,0))))</f>
        <v>0</v>
      </c>
      <c r="K125" s="0" t="n">
        <f aca="false">IF(OR(Kalemler!$A125="",Kalemler!$C125="",Kalemler!$D125=""),0,Kalemler!$C125*IF(Kalemler!$E125="Haftalık",IF(Kalemler!$D125&lt;=(Tahmin!$C$4+69),1,0),IF(Kalemler!$E125="Aylık",IF(OR(AND(DATE(YEAR((Tahmin!$C$4+63)),MONTH((Tahmin!$C$4+63)),MIN(DAY(Kalemler!$D125),DAY(EOMONTH((Tahmin!$C$4+63),0))))&gt;=(Tahmin!$C$4+63),DATE(YEAR((Tahmin!$C$4+63)),MONTH((Tahmin!$C$4+63)),MIN(DAY(Kalemler!$D125),DAY(EOMONTH((Tahmin!$C$4+63),0))))&lt;=(Tahmin!$C$4+69),DATE(YEAR((Tahmin!$C$4+63)),MONTH((Tahmin!$C$4+63)),MIN(DAY(Kalemler!$D125),DAY(EOMONTH((Tahmin!$C$4+63),0))))&gt;=Kalemler!$D125),AND(DATE(YEAR((Tahmin!$C$4+69)),MONTH((Tahmin!$C$4+69)),MIN(DAY(Kalemler!$D125),DAY(EOMONTH((Tahmin!$C$4+69),0))))&gt;=(Tahmin!$C$4+63),DATE(YEAR((Tahmin!$C$4+69)),MONTH((Tahmin!$C$4+69)),MIN(DAY(Kalemler!$D125),DAY(EOMONTH((Tahmin!$C$4+69),0))))&lt;=(Tahmin!$C$4+69),DATE(YEAR((Tahmin!$C$4+69)),MONTH((Tahmin!$C$4+69)),MIN(DAY(Kalemler!$D125),DAY(EOMONTH((Tahmin!$C$4+69),0))))&lt;&gt;DATE(YEAR((Tahmin!$C$4+63)),MONTH((Tahmin!$C$4+63)),MIN(DAY(Kalemler!$D125),DAY(EOMONTH((Tahmin!$C$4+63),0)))),DATE(YEAR((Tahmin!$C$4+69)),MONTH((Tahmin!$C$4+69)),MIN(DAY(Kalemler!$D125),DAY(EOMONTH((Tahmin!$C$4+69),0))))&gt;=Kalemler!$D125)),1,0),IF(AND(Kalemler!$D125&gt;=(Tahmin!$C$4+63),Kalemler!$D125&lt;=(Tahmin!$C$4+69)),1,0))))</f>
        <v>0</v>
      </c>
      <c r="L125" s="0" t="n">
        <f aca="false">IF(OR(Kalemler!$A125="",Kalemler!$C125="",Kalemler!$D125=""),0,Kalemler!$C125*IF(Kalemler!$E125="Haftalık",IF(Kalemler!$D125&lt;=(Tahmin!$C$4+76),1,0),IF(Kalemler!$E125="Aylık",IF(OR(AND(DATE(YEAR((Tahmin!$C$4+70)),MONTH((Tahmin!$C$4+70)),MIN(DAY(Kalemler!$D125),DAY(EOMONTH((Tahmin!$C$4+70),0))))&gt;=(Tahmin!$C$4+70),DATE(YEAR((Tahmin!$C$4+70)),MONTH((Tahmin!$C$4+70)),MIN(DAY(Kalemler!$D125),DAY(EOMONTH((Tahmin!$C$4+70),0))))&lt;=(Tahmin!$C$4+76),DATE(YEAR((Tahmin!$C$4+70)),MONTH((Tahmin!$C$4+70)),MIN(DAY(Kalemler!$D125),DAY(EOMONTH((Tahmin!$C$4+70),0))))&gt;=Kalemler!$D125),AND(DATE(YEAR((Tahmin!$C$4+76)),MONTH((Tahmin!$C$4+76)),MIN(DAY(Kalemler!$D125),DAY(EOMONTH((Tahmin!$C$4+76),0))))&gt;=(Tahmin!$C$4+70),DATE(YEAR((Tahmin!$C$4+76)),MONTH((Tahmin!$C$4+76)),MIN(DAY(Kalemler!$D125),DAY(EOMONTH((Tahmin!$C$4+76),0))))&lt;=(Tahmin!$C$4+76),DATE(YEAR((Tahmin!$C$4+76)),MONTH((Tahmin!$C$4+76)),MIN(DAY(Kalemler!$D125),DAY(EOMONTH((Tahmin!$C$4+76),0))))&lt;&gt;DATE(YEAR((Tahmin!$C$4+70)),MONTH((Tahmin!$C$4+70)),MIN(DAY(Kalemler!$D125),DAY(EOMONTH((Tahmin!$C$4+70),0)))),DATE(YEAR((Tahmin!$C$4+76)),MONTH((Tahmin!$C$4+76)),MIN(DAY(Kalemler!$D125),DAY(EOMONTH((Tahmin!$C$4+76),0))))&gt;=Kalemler!$D125)),1,0),IF(AND(Kalemler!$D125&gt;=(Tahmin!$C$4+70),Kalemler!$D125&lt;=(Tahmin!$C$4+76)),1,0))))</f>
        <v>0</v>
      </c>
      <c r="M125" s="0" t="n">
        <f aca="false">IF(OR(Kalemler!$A125="",Kalemler!$C125="",Kalemler!$D125=""),0,Kalemler!$C125*IF(Kalemler!$E125="Haftalık",IF(Kalemler!$D125&lt;=(Tahmin!$C$4+83),1,0),IF(Kalemler!$E125="Aylık",IF(OR(AND(DATE(YEAR((Tahmin!$C$4+77)),MONTH((Tahmin!$C$4+77)),MIN(DAY(Kalemler!$D125),DAY(EOMONTH((Tahmin!$C$4+77),0))))&gt;=(Tahmin!$C$4+77),DATE(YEAR((Tahmin!$C$4+77)),MONTH((Tahmin!$C$4+77)),MIN(DAY(Kalemler!$D125),DAY(EOMONTH((Tahmin!$C$4+77),0))))&lt;=(Tahmin!$C$4+83),DATE(YEAR((Tahmin!$C$4+77)),MONTH((Tahmin!$C$4+77)),MIN(DAY(Kalemler!$D125),DAY(EOMONTH((Tahmin!$C$4+77),0))))&gt;=Kalemler!$D125),AND(DATE(YEAR((Tahmin!$C$4+83)),MONTH((Tahmin!$C$4+83)),MIN(DAY(Kalemler!$D125),DAY(EOMONTH((Tahmin!$C$4+83),0))))&gt;=(Tahmin!$C$4+77),DATE(YEAR((Tahmin!$C$4+83)),MONTH((Tahmin!$C$4+83)),MIN(DAY(Kalemler!$D125),DAY(EOMONTH((Tahmin!$C$4+83),0))))&lt;=(Tahmin!$C$4+83),DATE(YEAR((Tahmin!$C$4+83)),MONTH((Tahmin!$C$4+83)),MIN(DAY(Kalemler!$D125),DAY(EOMONTH((Tahmin!$C$4+83),0))))&lt;&gt;DATE(YEAR((Tahmin!$C$4+77)),MONTH((Tahmin!$C$4+77)),MIN(DAY(Kalemler!$D125),DAY(EOMONTH((Tahmin!$C$4+77),0)))),DATE(YEAR((Tahmin!$C$4+83)),MONTH((Tahmin!$C$4+83)),MIN(DAY(Kalemler!$D125),DAY(EOMONTH((Tahmin!$C$4+83),0))))&gt;=Kalemler!$D125)),1,0),IF(AND(Kalemler!$D125&gt;=(Tahmin!$C$4+77),Kalemler!$D125&lt;=(Tahmin!$C$4+83)),1,0))))</f>
        <v>0</v>
      </c>
      <c r="N125" s="0" t="n">
        <f aca="false">IF(OR(Kalemler!$A125="",Kalemler!$C125="",Kalemler!$D125=""),0,Kalemler!$C125*IF(Kalemler!$E125="Haftalık",IF(Kalemler!$D125&lt;=(Tahmin!$C$4+90),1,0),IF(Kalemler!$E125="Aylık",IF(OR(AND(DATE(YEAR((Tahmin!$C$4+84)),MONTH((Tahmin!$C$4+84)),MIN(DAY(Kalemler!$D125),DAY(EOMONTH((Tahmin!$C$4+84),0))))&gt;=(Tahmin!$C$4+84),DATE(YEAR((Tahmin!$C$4+84)),MONTH((Tahmin!$C$4+84)),MIN(DAY(Kalemler!$D125),DAY(EOMONTH((Tahmin!$C$4+84),0))))&lt;=(Tahmin!$C$4+90),DATE(YEAR((Tahmin!$C$4+84)),MONTH((Tahmin!$C$4+84)),MIN(DAY(Kalemler!$D125),DAY(EOMONTH((Tahmin!$C$4+84),0))))&gt;=Kalemler!$D125),AND(DATE(YEAR((Tahmin!$C$4+90)),MONTH((Tahmin!$C$4+90)),MIN(DAY(Kalemler!$D125),DAY(EOMONTH((Tahmin!$C$4+90),0))))&gt;=(Tahmin!$C$4+84),DATE(YEAR((Tahmin!$C$4+90)),MONTH((Tahmin!$C$4+90)),MIN(DAY(Kalemler!$D125),DAY(EOMONTH((Tahmin!$C$4+90),0))))&lt;=(Tahmin!$C$4+90),DATE(YEAR((Tahmin!$C$4+90)),MONTH((Tahmin!$C$4+90)),MIN(DAY(Kalemler!$D125),DAY(EOMONTH((Tahmin!$C$4+90),0))))&lt;&gt;DATE(YEAR((Tahmin!$C$4+84)),MONTH((Tahmin!$C$4+84)),MIN(DAY(Kalemler!$D125),DAY(EOMONTH((Tahmin!$C$4+84),0)))),DATE(YEAR((Tahmin!$C$4+90)),MONTH((Tahmin!$C$4+90)),MIN(DAY(Kalemler!$D125),DAY(EOMONTH((Tahmin!$C$4+90),0))))&gt;=Kalemler!$D125)),1,0),IF(AND(Kalemler!$D125&gt;=(Tahmin!$C$4+84),Kalemler!$D125&lt;=(Tahmin!$C$4+90)),1,0))))</f>
        <v>0</v>
      </c>
    </row>
    <row r="126" customFormat="false" ht="15" hidden="false" customHeight="false" outlineLevel="0" collapsed="false">
      <c r="A126" s="0" t="str">
        <f aca="false">IF(Kalemler!A126="","",Kalemler!A126)</f>
        <v/>
      </c>
      <c r="B126" s="0" t="n">
        <f aca="false">IF(OR(Kalemler!$A126="",Kalemler!$C126="",Kalemler!$D126=""),0,Kalemler!$C126*IF(Kalemler!$E126="Haftalık",IF(Kalemler!$D126&lt;=(Tahmin!$C$4+6),1,0),IF(Kalemler!$E126="Aylık",IF(OR(AND(DATE(YEAR((Tahmin!$C$4+0)),MONTH((Tahmin!$C$4+0)),MIN(DAY(Kalemler!$D126),DAY(EOMONTH((Tahmin!$C$4+0),0))))&gt;=(Tahmin!$C$4+0),DATE(YEAR((Tahmin!$C$4+0)),MONTH((Tahmin!$C$4+0)),MIN(DAY(Kalemler!$D126),DAY(EOMONTH((Tahmin!$C$4+0),0))))&lt;=(Tahmin!$C$4+6),DATE(YEAR((Tahmin!$C$4+0)),MONTH((Tahmin!$C$4+0)),MIN(DAY(Kalemler!$D126),DAY(EOMONTH((Tahmin!$C$4+0),0))))&gt;=Kalemler!$D126),AND(DATE(YEAR((Tahmin!$C$4+6)),MONTH((Tahmin!$C$4+6)),MIN(DAY(Kalemler!$D126),DAY(EOMONTH((Tahmin!$C$4+6),0))))&gt;=(Tahmin!$C$4+0),DATE(YEAR((Tahmin!$C$4+6)),MONTH((Tahmin!$C$4+6)),MIN(DAY(Kalemler!$D126),DAY(EOMONTH((Tahmin!$C$4+6),0))))&lt;=(Tahmin!$C$4+6),DATE(YEAR((Tahmin!$C$4+6)),MONTH((Tahmin!$C$4+6)),MIN(DAY(Kalemler!$D126),DAY(EOMONTH((Tahmin!$C$4+6),0))))&lt;&gt;DATE(YEAR((Tahmin!$C$4+0)),MONTH((Tahmin!$C$4+0)),MIN(DAY(Kalemler!$D126),DAY(EOMONTH((Tahmin!$C$4+0),0)))),DATE(YEAR((Tahmin!$C$4+6)),MONTH((Tahmin!$C$4+6)),MIN(DAY(Kalemler!$D126),DAY(EOMONTH((Tahmin!$C$4+6),0))))&gt;=Kalemler!$D126)),1,0),IF(AND(Kalemler!$D126&gt;=(Tahmin!$C$4+0),Kalemler!$D126&lt;=(Tahmin!$C$4+6)),1,0))))</f>
        <v>0</v>
      </c>
      <c r="C126" s="0" t="n">
        <f aca="false">IF(OR(Kalemler!$A126="",Kalemler!$C126="",Kalemler!$D126=""),0,Kalemler!$C126*IF(Kalemler!$E126="Haftalık",IF(Kalemler!$D126&lt;=(Tahmin!$C$4+13),1,0),IF(Kalemler!$E126="Aylık",IF(OR(AND(DATE(YEAR((Tahmin!$C$4+7)),MONTH((Tahmin!$C$4+7)),MIN(DAY(Kalemler!$D126),DAY(EOMONTH((Tahmin!$C$4+7),0))))&gt;=(Tahmin!$C$4+7),DATE(YEAR((Tahmin!$C$4+7)),MONTH((Tahmin!$C$4+7)),MIN(DAY(Kalemler!$D126),DAY(EOMONTH((Tahmin!$C$4+7),0))))&lt;=(Tahmin!$C$4+13),DATE(YEAR((Tahmin!$C$4+7)),MONTH((Tahmin!$C$4+7)),MIN(DAY(Kalemler!$D126),DAY(EOMONTH((Tahmin!$C$4+7),0))))&gt;=Kalemler!$D126),AND(DATE(YEAR((Tahmin!$C$4+13)),MONTH((Tahmin!$C$4+13)),MIN(DAY(Kalemler!$D126),DAY(EOMONTH((Tahmin!$C$4+13),0))))&gt;=(Tahmin!$C$4+7),DATE(YEAR((Tahmin!$C$4+13)),MONTH((Tahmin!$C$4+13)),MIN(DAY(Kalemler!$D126),DAY(EOMONTH((Tahmin!$C$4+13),0))))&lt;=(Tahmin!$C$4+13),DATE(YEAR((Tahmin!$C$4+13)),MONTH((Tahmin!$C$4+13)),MIN(DAY(Kalemler!$D126),DAY(EOMONTH((Tahmin!$C$4+13),0))))&lt;&gt;DATE(YEAR((Tahmin!$C$4+7)),MONTH((Tahmin!$C$4+7)),MIN(DAY(Kalemler!$D126),DAY(EOMONTH((Tahmin!$C$4+7),0)))),DATE(YEAR((Tahmin!$C$4+13)),MONTH((Tahmin!$C$4+13)),MIN(DAY(Kalemler!$D126),DAY(EOMONTH((Tahmin!$C$4+13),0))))&gt;=Kalemler!$D126)),1,0),IF(AND(Kalemler!$D126&gt;=(Tahmin!$C$4+7),Kalemler!$D126&lt;=(Tahmin!$C$4+13)),1,0))))</f>
        <v>0</v>
      </c>
      <c r="D126" s="0" t="n">
        <f aca="false">IF(OR(Kalemler!$A126="",Kalemler!$C126="",Kalemler!$D126=""),0,Kalemler!$C126*IF(Kalemler!$E126="Haftalık",IF(Kalemler!$D126&lt;=(Tahmin!$C$4+20),1,0),IF(Kalemler!$E126="Aylık",IF(OR(AND(DATE(YEAR((Tahmin!$C$4+14)),MONTH((Tahmin!$C$4+14)),MIN(DAY(Kalemler!$D126),DAY(EOMONTH((Tahmin!$C$4+14),0))))&gt;=(Tahmin!$C$4+14),DATE(YEAR((Tahmin!$C$4+14)),MONTH((Tahmin!$C$4+14)),MIN(DAY(Kalemler!$D126),DAY(EOMONTH((Tahmin!$C$4+14),0))))&lt;=(Tahmin!$C$4+20),DATE(YEAR((Tahmin!$C$4+14)),MONTH((Tahmin!$C$4+14)),MIN(DAY(Kalemler!$D126),DAY(EOMONTH((Tahmin!$C$4+14),0))))&gt;=Kalemler!$D126),AND(DATE(YEAR((Tahmin!$C$4+20)),MONTH((Tahmin!$C$4+20)),MIN(DAY(Kalemler!$D126),DAY(EOMONTH((Tahmin!$C$4+20),0))))&gt;=(Tahmin!$C$4+14),DATE(YEAR((Tahmin!$C$4+20)),MONTH((Tahmin!$C$4+20)),MIN(DAY(Kalemler!$D126),DAY(EOMONTH((Tahmin!$C$4+20),0))))&lt;=(Tahmin!$C$4+20),DATE(YEAR((Tahmin!$C$4+20)),MONTH((Tahmin!$C$4+20)),MIN(DAY(Kalemler!$D126),DAY(EOMONTH((Tahmin!$C$4+20),0))))&lt;&gt;DATE(YEAR((Tahmin!$C$4+14)),MONTH((Tahmin!$C$4+14)),MIN(DAY(Kalemler!$D126),DAY(EOMONTH((Tahmin!$C$4+14),0)))),DATE(YEAR((Tahmin!$C$4+20)),MONTH((Tahmin!$C$4+20)),MIN(DAY(Kalemler!$D126),DAY(EOMONTH((Tahmin!$C$4+20),0))))&gt;=Kalemler!$D126)),1,0),IF(AND(Kalemler!$D126&gt;=(Tahmin!$C$4+14),Kalemler!$D126&lt;=(Tahmin!$C$4+20)),1,0))))</f>
        <v>0</v>
      </c>
      <c r="E126" s="0" t="n">
        <f aca="false">IF(OR(Kalemler!$A126="",Kalemler!$C126="",Kalemler!$D126=""),0,Kalemler!$C126*IF(Kalemler!$E126="Haftalık",IF(Kalemler!$D126&lt;=(Tahmin!$C$4+27),1,0),IF(Kalemler!$E126="Aylık",IF(OR(AND(DATE(YEAR((Tahmin!$C$4+21)),MONTH((Tahmin!$C$4+21)),MIN(DAY(Kalemler!$D126),DAY(EOMONTH((Tahmin!$C$4+21),0))))&gt;=(Tahmin!$C$4+21),DATE(YEAR((Tahmin!$C$4+21)),MONTH((Tahmin!$C$4+21)),MIN(DAY(Kalemler!$D126),DAY(EOMONTH((Tahmin!$C$4+21),0))))&lt;=(Tahmin!$C$4+27),DATE(YEAR((Tahmin!$C$4+21)),MONTH((Tahmin!$C$4+21)),MIN(DAY(Kalemler!$D126),DAY(EOMONTH((Tahmin!$C$4+21),0))))&gt;=Kalemler!$D126),AND(DATE(YEAR((Tahmin!$C$4+27)),MONTH((Tahmin!$C$4+27)),MIN(DAY(Kalemler!$D126),DAY(EOMONTH((Tahmin!$C$4+27),0))))&gt;=(Tahmin!$C$4+21),DATE(YEAR((Tahmin!$C$4+27)),MONTH((Tahmin!$C$4+27)),MIN(DAY(Kalemler!$D126),DAY(EOMONTH((Tahmin!$C$4+27),0))))&lt;=(Tahmin!$C$4+27),DATE(YEAR((Tahmin!$C$4+27)),MONTH((Tahmin!$C$4+27)),MIN(DAY(Kalemler!$D126),DAY(EOMONTH((Tahmin!$C$4+27),0))))&lt;&gt;DATE(YEAR((Tahmin!$C$4+21)),MONTH((Tahmin!$C$4+21)),MIN(DAY(Kalemler!$D126),DAY(EOMONTH((Tahmin!$C$4+21),0)))),DATE(YEAR((Tahmin!$C$4+27)),MONTH((Tahmin!$C$4+27)),MIN(DAY(Kalemler!$D126),DAY(EOMONTH((Tahmin!$C$4+27),0))))&gt;=Kalemler!$D126)),1,0),IF(AND(Kalemler!$D126&gt;=(Tahmin!$C$4+21),Kalemler!$D126&lt;=(Tahmin!$C$4+27)),1,0))))</f>
        <v>0</v>
      </c>
      <c r="F126" s="0" t="n">
        <f aca="false">IF(OR(Kalemler!$A126="",Kalemler!$C126="",Kalemler!$D126=""),0,Kalemler!$C126*IF(Kalemler!$E126="Haftalık",IF(Kalemler!$D126&lt;=(Tahmin!$C$4+34),1,0),IF(Kalemler!$E126="Aylık",IF(OR(AND(DATE(YEAR((Tahmin!$C$4+28)),MONTH((Tahmin!$C$4+28)),MIN(DAY(Kalemler!$D126),DAY(EOMONTH((Tahmin!$C$4+28),0))))&gt;=(Tahmin!$C$4+28),DATE(YEAR((Tahmin!$C$4+28)),MONTH((Tahmin!$C$4+28)),MIN(DAY(Kalemler!$D126),DAY(EOMONTH((Tahmin!$C$4+28),0))))&lt;=(Tahmin!$C$4+34),DATE(YEAR((Tahmin!$C$4+28)),MONTH((Tahmin!$C$4+28)),MIN(DAY(Kalemler!$D126),DAY(EOMONTH((Tahmin!$C$4+28),0))))&gt;=Kalemler!$D126),AND(DATE(YEAR((Tahmin!$C$4+34)),MONTH((Tahmin!$C$4+34)),MIN(DAY(Kalemler!$D126),DAY(EOMONTH((Tahmin!$C$4+34),0))))&gt;=(Tahmin!$C$4+28),DATE(YEAR((Tahmin!$C$4+34)),MONTH((Tahmin!$C$4+34)),MIN(DAY(Kalemler!$D126),DAY(EOMONTH((Tahmin!$C$4+34),0))))&lt;=(Tahmin!$C$4+34),DATE(YEAR((Tahmin!$C$4+34)),MONTH((Tahmin!$C$4+34)),MIN(DAY(Kalemler!$D126),DAY(EOMONTH((Tahmin!$C$4+34),0))))&lt;&gt;DATE(YEAR((Tahmin!$C$4+28)),MONTH((Tahmin!$C$4+28)),MIN(DAY(Kalemler!$D126),DAY(EOMONTH((Tahmin!$C$4+28),0)))),DATE(YEAR((Tahmin!$C$4+34)),MONTH((Tahmin!$C$4+34)),MIN(DAY(Kalemler!$D126),DAY(EOMONTH((Tahmin!$C$4+34),0))))&gt;=Kalemler!$D126)),1,0),IF(AND(Kalemler!$D126&gt;=(Tahmin!$C$4+28),Kalemler!$D126&lt;=(Tahmin!$C$4+34)),1,0))))</f>
        <v>0</v>
      </c>
      <c r="G126" s="0" t="n">
        <f aca="false">IF(OR(Kalemler!$A126="",Kalemler!$C126="",Kalemler!$D126=""),0,Kalemler!$C126*IF(Kalemler!$E126="Haftalık",IF(Kalemler!$D126&lt;=(Tahmin!$C$4+41),1,0),IF(Kalemler!$E126="Aylık",IF(OR(AND(DATE(YEAR((Tahmin!$C$4+35)),MONTH((Tahmin!$C$4+35)),MIN(DAY(Kalemler!$D126),DAY(EOMONTH((Tahmin!$C$4+35),0))))&gt;=(Tahmin!$C$4+35),DATE(YEAR((Tahmin!$C$4+35)),MONTH((Tahmin!$C$4+35)),MIN(DAY(Kalemler!$D126),DAY(EOMONTH((Tahmin!$C$4+35),0))))&lt;=(Tahmin!$C$4+41),DATE(YEAR((Tahmin!$C$4+35)),MONTH((Tahmin!$C$4+35)),MIN(DAY(Kalemler!$D126),DAY(EOMONTH((Tahmin!$C$4+35),0))))&gt;=Kalemler!$D126),AND(DATE(YEAR((Tahmin!$C$4+41)),MONTH((Tahmin!$C$4+41)),MIN(DAY(Kalemler!$D126),DAY(EOMONTH((Tahmin!$C$4+41),0))))&gt;=(Tahmin!$C$4+35),DATE(YEAR((Tahmin!$C$4+41)),MONTH((Tahmin!$C$4+41)),MIN(DAY(Kalemler!$D126),DAY(EOMONTH((Tahmin!$C$4+41),0))))&lt;=(Tahmin!$C$4+41),DATE(YEAR((Tahmin!$C$4+41)),MONTH((Tahmin!$C$4+41)),MIN(DAY(Kalemler!$D126),DAY(EOMONTH((Tahmin!$C$4+41),0))))&lt;&gt;DATE(YEAR((Tahmin!$C$4+35)),MONTH((Tahmin!$C$4+35)),MIN(DAY(Kalemler!$D126),DAY(EOMONTH((Tahmin!$C$4+35),0)))),DATE(YEAR((Tahmin!$C$4+41)),MONTH((Tahmin!$C$4+41)),MIN(DAY(Kalemler!$D126),DAY(EOMONTH((Tahmin!$C$4+41),0))))&gt;=Kalemler!$D126)),1,0),IF(AND(Kalemler!$D126&gt;=(Tahmin!$C$4+35),Kalemler!$D126&lt;=(Tahmin!$C$4+41)),1,0))))</f>
        <v>0</v>
      </c>
      <c r="H126" s="0" t="n">
        <f aca="false">IF(OR(Kalemler!$A126="",Kalemler!$C126="",Kalemler!$D126=""),0,Kalemler!$C126*IF(Kalemler!$E126="Haftalık",IF(Kalemler!$D126&lt;=(Tahmin!$C$4+48),1,0),IF(Kalemler!$E126="Aylık",IF(OR(AND(DATE(YEAR((Tahmin!$C$4+42)),MONTH((Tahmin!$C$4+42)),MIN(DAY(Kalemler!$D126),DAY(EOMONTH((Tahmin!$C$4+42),0))))&gt;=(Tahmin!$C$4+42),DATE(YEAR((Tahmin!$C$4+42)),MONTH((Tahmin!$C$4+42)),MIN(DAY(Kalemler!$D126),DAY(EOMONTH((Tahmin!$C$4+42),0))))&lt;=(Tahmin!$C$4+48),DATE(YEAR((Tahmin!$C$4+42)),MONTH((Tahmin!$C$4+42)),MIN(DAY(Kalemler!$D126),DAY(EOMONTH((Tahmin!$C$4+42),0))))&gt;=Kalemler!$D126),AND(DATE(YEAR((Tahmin!$C$4+48)),MONTH((Tahmin!$C$4+48)),MIN(DAY(Kalemler!$D126),DAY(EOMONTH((Tahmin!$C$4+48),0))))&gt;=(Tahmin!$C$4+42),DATE(YEAR((Tahmin!$C$4+48)),MONTH((Tahmin!$C$4+48)),MIN(DAY(Kalemler!$D126),DAY(EOMONTH((Tahmin!$C$4+48),0))))&lt;=(Tahmin!$C$4+48),DATE(YEAR((Tahmin!$C$4+48)),MONTH((Tahmin!$C$4+48)),MIN(DAY(Kalemler!$D126),DAY(EOMONTH((Tahmin!$C$4+48),0))))&lt;&gt;DATE(YEAR((Tahmin!$C$4+42)),MONTH((Tahmin!$C$4+42)),MIN(DAY(Kalemler!$D126),DAY(EOMONTH((Tahmin!$C$4+42),0)))),DATE(YEAR((Tahmin!$C$4+48)),MONTH((Tahmin!$C$4+48)),MIN(DAY(Kalemler!$D126),DAY(EOMONTH((Tahmin!$C$4+48),0))))&gt;=Kalemler!$D126)),1,0),IF(AND(Kalemler!$D126&gt;=(Tahmin!$C$4+42),Kalemler!$D126&lt;=(Tahmin!$C$4+48)),1,0))))</f>
        <v>0</v>
      </c>
      <c r="I126" s="0" t="n">
        <f aca="false">IF(OR(Kalemler!$A126="",Kalemler!$C126="",Kalemler!$D126=""),0,Kalemler!$C126*IF(Kalemler!$E126="Haftalık",IF(Kalemler!$D126&lt;=(Tahmin!$C$4+55),1,0),IF(Kalemler!$E126="Aylık",IF(OR(AND(DATE(YEAR((Tahmin!$C$4+49)),MONTH((Tahmin!$C$4+49)),MIN(DAY(Kalemler!$D126),DAY(EOMONTH((Tahmin!$C$4+49),0))))&gt;=(Tahmin!$C$4+49),DATE(YEAR((Tahmin!$C$4+49)),MONTH((Tahmin!$C$4+49)),MIN(DAY(Kalemler!$D126),DAY(EOMONTH((Tahmin!$C$4+49),0))))&lt;=(Tahmin!$C$4+55),DATE(YEAR((Tahmin!$C$4+49)),MONTH((Tahmin!$C$4+49)),MIN(DAY(Kalemler!$D126),DAY(EOMONTH((Tahmin!$C$4+49),0))))&gt;=Kalemler!$D126),AND(DATE(YEAR((Tahmin!$C$4+55)),MONTH((Tahmin!$C$4+55)),MIN(DAY(Kalemler!$D126),DAY(EOMONTH((Tahmin!$C$4+55),0))))&gt;=(Tahmin!$C$4+49),DATE(YEAR((Tahmin!$C$4+55)),MONTH((Tahmin!$C$4+55)),MIN(DAY(Kalemler!$D126),DAY(EOMONTH((Tahmin!$C$4+55),0))))&lt;=(Tahmin!$C$4+55),DATE(YEAR((Tahmin!$C$4+55)),MONTH((Tahmin!$C$4+55)),MIN(DAY(Kalemler!$D126),DAY(EOMONTH((Tahmin!$C$4+55),0))))&lt;&gt;DATE(YEAR((Tahmin!$C$4+49)),MONTH((Tahmin!$C$4+49)),MIN(DAY(Kalemler!$D126),DAY(EOMONTH((Tahmin!$C$4+49),0)))),DATE(YEAR((Tahmin!$C$4+55)),MONTH((Tahmin!$C$4+55)),MIN(DAY(Kalemler!$D126),DAY(EOMONTH((Tahmin!$C$4+55),0))))&gt;=Kalemler!$D126)),1,0),IF(AND(Kalemler!$D126&gt;=(Tahmin!$C$4+49),Kalemler!$D126&lt;=(Tahmin!$C$4+55)),1,0))))</f>
        <v>0</v>
      </c>
      <c r="J126" s="0" t="n">
        <f aca="false">IF(OR(Kalemler!$A126="",Kalemler!$C126="",Kalemler!$D126=""),0,Kalemler!$C126*IF(Kalemler!$E126="Haftalık",IF(Kalemler!$D126&lt;=(Tahmin!$C$4+62),1,0),IF(Kalemler!$E126="Aylık",IF(OR(AND(DATE(YEAR((Tahmin!$C$4+56)),MONTH((Tahmin!$C$4+56)),MIN(DAY(Kalemler!$D126),DAY(EOMONTH((Tahmin!$C$4+56),0))))&gt;=(Tahmin!$C$4+56),DATE(YEAR((Tahmin!$C$4+56)),MONTH((Tahmin!$C$4+56)),MIN(DAY(Kalemler!$D126),DAY(EOMONTH((Tahmin!$C$4+56),0))))&lt;=(Tahmin!$C$4+62),DATE(YEAR((Tahmin!$C$4+56)),MONTH((Tahmin!$C$4+56)),MIN(DAY(Kalemler!$D126),DAY(EOMONTH((Tahmin!$C$4+56),0))))&gt;=Kalemler!$D126),AND(DATE(YEAR((Tahmin!$C$4+62)),MONTH((Tahmin!$C$4+62)),MIN(DAY(Kalemler!$D126),DAY(EOMONTH((Tahmin!$C$4+62),0))))&gt;=(Tahmin!$C$4+56),DATE(YEAR((Tahmin!$C$4+62)),MONTH((Tahmin!$C$4+62)),MIN(DAY(Kalemler!$D126),DAY(EOMONTH((Tahmin!$C$4+62),0))))&lt;=(Tahmin!$C$4+62),DATE(YEAR((Tahmin!$C$4+62)),MONTH((Tahmin!$C$4+62)),MIN(DAY(Kalemler!$D126),DAY(EOMONTH((Tahmin!$C$4+62),0))))&lt;&gt;DATE(YEAR((Tahmin!$C$4+56)),MONTH((Tahmin!$C$4+56)),MIN(DAY(Kalemler!$D126),DAY(EOMONTH((Tahmin!$C$4+56),0)))),DATE(YEAR((Tahmin!$C$4+62)),MONTH((Tahmin!$C$4+62)),MIN(DAY(Kalemler!$D126),DAY(EOMONTH((Tahmin!$C$4+62),0))))&gt;=Kalemler!$D126)),1,0),IF(AND(Kalemler!$D126&gt;=(Tahmin!$C$4+56),Kalemler!$D126&lt;=(Tahmin!$C$4+62)),1,0))))</f>
        <v>0</v>
      </c>
      <c r="K126" s="0" t="n">
        <f aca="false">IF(OR(Kalemler!$A126="",Kalemler!$C126="",Kalemler!$D126=""),0,Kalemler!$C126*IF(Kalemler!$E126="Haftalık",IF(Kalemler!$D126&lt;=(Tahmin!$C$4+69),1,0),IF(Kalemler!$E126="Aylık",IF(OR(AND(DATE(YEAR((Tahmin!$C$4+63)),MONTH((Tahmin!$C$4+63)),MIN(DAY(Kalemler!$D126),DAY(EOMONTH((Tahmin!$C$4+63),0))))&gt;=(Tahmin!$C$4+63),DATE(YEAR((Tahmin!$C$4+63)),MONTH((Tahmin!$C$4+63)),MIN(DAY(Kalemler!$D126),DAY(EOMONTH((Tahmin!$C$4+63),0))))&lt;=(Tahmin!$C$4+69),DATE(YEAR((Tahmin!$C$4+63)),MONTH((Tahmin!$C$4+63)),MIN(DAY(Kalemler!$D126),DAY(EOMONTH((Tahmin!$C$4+63),0))))&gt;=Kalemler!$D126),AND(DATE(YEAR((Tahmin!$C$4+69)),MONTH((Tahmin!$C$4+69)),MIN(DAY(Kalemler!$D126),DAY(EOMONTH((Tahmin!$C$4+69),0))))&gt;=(Tahmin!$C$4+63),DATE(YEAR((Tahmin!$C$4+69)),MONTH((Tahmin!$C$4+69)),MIN(DAY(Kalemler!$D126),DAY(EOMONTH((Tahmin!$C$4+69),0))))&lt;=(Tahmin!$C$4+69),DATE(YEAR((Tahmin!$C$4+69)),MONTH((Tahmin!$C$4+69)),MIN(DAY(Kalemler!$D126),DAY(EOMONTH((Tahmin!$C$4+69),0))))&lt;&gt;DATE(YEAR((Tahmin!$C$4+63)),MONTH((Tahmin!$C$4+63)),MIN(DAY(Kalemler!$D126),DAY(EOMONTH((Tahmin!$C$4+63),0)))),DATE(YEAR((Tahmin!$C$4+69)),MONTH((Tahmin!$C$4+69)),MIN(DAY(Kalemler!$D126),DAY(EOMONTH((Tahmin!$C$4+69),0))))&gt;=Kalemler!$D126)),1,0),IF(AND(Kalemler!$D126&gt;=(Tahmin!$C$4+63),Kalemler!$D126&lt;=(Tahmin!$C$4+69)),1,0))))</f>
        <v>0</v>
      </c>
      <c r="L126" s="0" t="n">
        <f aca="false">IF(OR(Kalemler!$A126="",Kalemler!$C126="",Kalemler!$D126=""),0,Kalemler!$C126*IF(Kalemler!$E126="Haftalık",IF(Kalemler!$D126&lt;=(Tahmin!$C$4+76),1,0),IF(Kalemler!$E126="Aylık",IF(OR(AND(DATE(YEAR((Tahmin!$C$4+70)),MONTH((Tahmin!$C$4+70)),MIN(DAY(Kalemler!$D126),DAY(EOMONTH((Tahmin!$C$4+70),0))))&gt;=(Tahmin!$C$4+70),DATE(YEAR((Tahmin!$C$4+70)),MONTH((Tahmin!$C$4+70)),MIN(DAY(Kalemler!$D126),DAY(EOMONTH((Tahmin!$C$4+70),0))))&lt;=(Tahmin!$C$4+76),DATE(YEAR((Tahmin!$C$4+70)),MONTH((Tahmin!$C$4+70)),MIN(DAY(Kalemler!$D126),DAY(EOMONTH((Tahmin!$C$4+70),0))))&gt;=Kalemler!$D126),AND(DATE(YEAR((Tahmin!$C$4+76)),MONTH((Tahmin!$C$4+76)),MIN(DAY(Kalemler!$D126),DAY(EOMONTH((Tahmin!$C$4+76),0))))&gt;=(Tahmin!$C$4+70),DATE(YEAR((Tahmin!$C$4+76)),MONTH((Tahmin!$C$4+76)),MIN(DAY(Kalemler!$D126),DAY(EOMONTH((Tahmin!$C$4+76),0))))&lt;=(Tahmin!$C$4+76),DATE(YEAR((Tahmin!$C$4+76)),MONTH((Tahmin!$C$4+76)),MIN(DAY(Kalemler!$D126),DAY(EOMONTH((Tahmin!$C$4+76),0))))&lt;&gt;DATE(YEAR((Tahmin!$C$4+70)),MONTH((Tahmin!$C$4+70)),MIN(DAY(Kalemler!$D126),DAY(EOMONTH((Tahmin!$C$4+70),0)))),DATE(YEAR((Tahmin!$C$4+76)),MONTH((Tahmin!$C$4+76)),MIN(DAY(Kalemler!$D126),DAY(EOMONTH((Tahmin!$C$4+76),0))))&gt;=Kalemler!$D126)),1,0),IF(AND(Kalemler!$D126&gt;=(Tahmin!$C$4+70),Kalemler!$D126&lt;=(Tahmin!$C$4+76)),1,0))))</f>
        <v>0</v>
      </c>
      <c r="M126" s="0" t="n">
        <f aca="false">IF(OR(Kalemler!$A126="",Kalemler!$C126="",Kalemler!$D126=""),0,Kalemler!$C126*IF(Kalemler!$E126="Haftalık",IF(Kalemler!$D126&lt;=(Tahmin!$C$4+83),1,0),IF(Kalemler!$E126="Aylık",IF(OR(AND(DATE(YEAR((Tahmin!$C$4+77)),MONTH((Tahmin!$C$4+77)),MIN(DAY(Kalemler!$D126),DAY(EOMONTH((Tahmin!$C$4+77),0))))&gt;=(Tahmin!$C$4+77),DATE(YEAR((Tahmin!$C$4+77)),MONTH((Tahmin!$C$4+77)),MIN(DAY(Kalemler!$D126),DAY(EOMONTH((Tahmin!$C$4+77),0))))&lt;=(Tahmin!$C$4+83),DATE(YEAR((Tahmin!$C$4+77)),MONTH((Tahmin!$C$4+77)),MIN(DAY(Kalemler!$D126),DAY(EOMONTH((Tahmin!$C$4+77),0))))&gt;=Kalemler!$D126),AND(DATE(YEAR((Tahmin!$C$4+83)),MONTH((Tahmin!$C$4+83)),MIN(DAY(Kalemler!$D126),DAY(EOMONTH((Tahmin!$C$4+83),0))))&gt;=(Tahmin!$C$4+77),DATE(YEAR((Tahmin!$C$4+83)),MONTH((Tahmin!$C$4+83)),MIN(DAY(Kalemler!$D126),DAY(EOMONTH((Tahmin!$C$4+83),0))))&lt;=(Tahmin!$C$4+83),DATE(YEAR((Tahmin!$C$4+83)),MONTH((Tahmin!$C$4+83)),MIN(DAY(Kalemler!$D126),DAY(EOMONTH((Tahmin!$C$4+83),0))))&lt;&gt;DATE(YEAR((Tahmin!$C$4+77)),MONTH((Tahmin!$C$4+77)),MIN(DAY(Kalemler!$D126),DAY(EOMONTH((Tahmin!$C$4+77),0)))),DATE(YEAR((Tahmin!$C$4+83)),MONTH((Tahmin!$C$4+83)),MIN(DAY(Kalemler!$D126),DAY(EOMONTH((Tahmin!$C$4+83),0))))&gt;=Kalemler!$D126)),1,0),IF(AND(Kalemler!$D126&gt;=(Tahmin!$C$4+77),Kalemler!$D126&lt;=(Tahmin!$C$4+83)),1,0))))</f>
        <v>0</v>
      </c>
      <c r="N126" s="0" t="n">
        <f aca="false">IF(OR(Kalemler!$A126="",Kalemler!$C126="",Kalemler!$D126=""),0,Kalemler!$C126*IF(Kalemler!$E126="Haftalık",IF(Kalemler!$D126&lt;=(Tahmin!$C$4+90),1,0),IF(Kalemler!$E126="Aylık",IF(OR(AND(DATE(YEAR((Tahmin!$C$4+84)),MONTH((Tahmin!$C$4+84)),MIN(DAY(Kalemler!$D126),DAY(EOMONTH((Tahmin!$C$4+84),0))))&gt;=(Tahmin!$C$4+84),DATE(YEAR((Tahmin!$C$4+84)),MONTH((Tahmin!$C$4+84)),MIN(DAY(Kalemler!$D126),DAY(EOMONTH((Tahmin!$C$4+84),0))))&lt;=(Tahmin!$C$4+90),DATE(YEAR((Tahmin!$C$4+84)),MONTH((Tahmin!$C$4+84)),MIN(DAY(Kalemler!$D126),DAY(EOMONTH((Tahmin!$C$4+84),0))))&gt;=Kalemler!$D126),AND(DATE(YEAR((Tahmin!$C$4+90)),MONTH((Tahmin!$C$4+90)),MIN(DAY(Kalemler!$D126),DAY(EOMONTH((Tahmin!$C$4+90),0))))&gt;=(Tahmin!$C$4+84),DATE(YEAR((Tahmin!$C$4+90)),MONTH((Tahmin!$C$4+90)),MIN(DAY(Kalemler!$D126),DAY(EOMONTH((Tahmin!$C$4+90),0))))&lt;=(Tahmin!$C$4+90),DATE(YEAR((Tahmin!$C$4+90)),MONTH((Tahmin!$C$4+90)),MIN(DAY(Kalemler!$D126),DAY(EOMONTH((Tahmin!$C$4+90),0))))&lt;&gt;DATE(YEAR((Tahmin!$C$4+84)),MONTH((Tahmin!$C$4+84)),MIN(DAY(Kalemler!$D126),DAY(EOMONTH((Tahmin!$C$4+84),0)))),DATE(YEAR((Tahmin!$C$4+90)),MONTH((Tahmin!$C$4+90)),MIN(DAY(Kalemler!$D126),DAY(EOMONTH((Tahmin!$C$4+90),0))))&gt;=Kalemler!$D126)),1,0),IF(AND(Kalemler!$D126&gt;=(Tahmin!$C$4+84),Kalemler!$D126&lt;=(Tahmin!$C$4+90)),1,0))))</f>
        <v>0</v>
      </c>
    </row>
    <row r="127" customFormat="false" ht="15" hidden="false" customHeight="false" outlineLevel="0" collapsed="false">
      <c r="A127" s="0" t="str">
        <f aca="false">IF(Kalemler!A127="","",Kalemler!A127)</f>
        <v/>
      </c>
      <c r="B127" s="0" t="n">
        <f aca="false">IF(OR(Kalemler!$A127="",Kalemler!$C127="",Kalemler!$D127=""),0,Kalemler!$C127*IF(Kalemler!$E127="Haftalık",IF(Kalemler!$D127&lt;=(Tahmin!$C$4+6),1,0),IF(Kalemler!$E127="Aylık",IF(OR(AND(DATE(YEAR((Tahmin!$C$4+0)),MONTH((Tahmin!$C$4+0)),MIN(DAY(Kalemler!$D127),DAY(EOMONTH((Tahmin!$C$4+0),0))))&gt;=(Tahmin!$C$4+0),DATE(YEAR((Tahmin!$C$4+0)),MONTH((Tahmin!$C$4+0)),MIN(DAY(Kalemler!$D127),DAY(EOMONTH((Tahmin!$C$4+0),0))))&lt;=(Tahmin!$C$4+6),DATE(YEAR((Tahmin!$C$4+0)),MONTH((Tahmin!$C$4+0)),MIN(DAY(Kalemler!$D127),DAY(EOMONTH((Tahmin!$C$4+0),0))))&gt;=Kalemler!$D127),AND(DATE(YEAR((Tahmin!$C$4+6)),MONTH((Tahmin!$C$4+6)),MIN(DAY(Kalemler!$D127),DAY(EOMONTH((Tahmin!$C$4+6),0))))&gt;=(Tahmin!$C$4+0),DATE(YEAR((Tahmin!$C$4+6)),MONTH((Tahmin!$C$4+6)),MIN(DAY(Kalemler!$D127),DAY(EOMONTH((Tahmin!$C$4+6),0))))&lt;=(Tahmin!$C$4+6),DATE(YEAR((Tahmin!$C$4+6)),MONTH((Tahmin!$C$4+6)),MIN(DAY(Kalemler!$D127),DAY(EOMONTH((Tahmin!$C$4+6),0))))&lt;&gt;DATE(YEAR((Tahmin!$C$4+0)),MONTH((Tahmin!$C$4+0)),MIN(DAY(Kalemler!$D127),DAY(EOMONTH((Tahmin!$C$4+0),0)))),DATE(YEAR((Tahmin!$C$4+6)),MONTH((Tahmin!$C$4+6)),MIN(DAY(Kalemler!$D127),DAY(EOMONTH((Tahmin!$C$4+6),0))))&gt;=Kalemler!$D127)),1,0),IF(AND(Kalemler!$D127&gt;=(Tahmin!$C$4+0),Kalemler!$D127&lt;=(Tahmin!$C$4+6)),1,0))))</f>
        <v>0</v>
      </c>
      <c r="C127" s="0" t="n">
        <f aca="false">IF(OR(Kalemler!$A127="",Kalemler!$C127="",Kalemler!$D127=""),0,Kalemler!$C127*IF(Kalemler!$E127="Haftalık",IF(Kalemler!$D127&lt;=(Tahmin!$C$4+13),1,0),IF(Kalemler!$E127="Aylık",IF(OR(AND(DATE(YEAR((Tahmin!$C$4+7)),MONTH((Tahmin!$C$4+7)),MIN(DAY(Kalemler!$D127),DAY(EOMONTH((Tahmin!$C$4+7),0))))&gt;=(Tahmin!$C$4+7),DATE(YEAR((Tahmin!$C$4+7)),MONTH((Tahmin!$C$4+7)),MIN(DAY(Kalemler!$D127),DAY(EOMONTH((Tahmin!$C$4+7),0))))&lt;=(Tahmin!$C$4+13),DATE(YEAR((Tahmin!$C$4+7)),MONTH((Tahmin!$C$4+7)),MIN(DAY(Kalemler!$D127),DAY(EOMONTH((Tahmin!$C$4+7),0))))&gt;=Kalemler!$D127),AND(DATE(YEAR((Tahmin!$C$4+13)),MONTH((Tahmin!$C$4+13)),MIN(DAY(Kalemler!$D127),DAY(EOMONTH((Tahmin!$C$4+13),0))))&gt;=(Tahmin!$C$4+7),DATE(YEAR((Tahmin!$C$4+13)),MONTH((Tahmin!$C$4+13)),MIN(DAY(Kalemler!$D127),DAY(EOMONTH((Tahmin!$C$4+13),0))))&lt;=(Tahmin!$C$4+13),DATE(YEAR((Tahmin!$C$4+13)),MONTH((Tahmin!$C$4+13)),MIN(DAY(Kalemler!$D127),DAY(EOMONTH((Tahmin!$C$4+13),0))))&lt;&gt;DATE(YEAR((Tahmin!$C$4+7)),MONTH((Tahmin!$C$4+7)),MIN(DAY(Kalemler!$D127),DAY(EOMONTH((Tahmin!$C$4+7),0)))),DATE(YEAR((Tahmin!$C$4+13)),MONTH((Tahmin!$C$4+13)),MIN(DAY(Kalemler!$D127),DAY(EOMONTH((Tahmin!$C$4+13),0))))&gt;=Kalemler!$D127)),1,0),IF(AND(Kalemler!$D127&gt;=(Tahmin!$C$4+7),Kalemler!$D127&lt;=(Tahmin!$C$4+13)),1,0))))</f>
        <v>0</v>
      </c>
      <c r="D127" s="0" t="n">
        <f aca="false">IF(OR(Kalemler!$A127="",Kalemler!$C127="",Kalemler!$D127=""),0,Kalemler!$C127*IF(Kalemler!$E127="Haftalık",IF(Kalemler!$D127&lt;=(Tahmin!$C$4+20),1,0),IF(Kalemler!$E127="Aylık",IF(OR(AND(DATE(YEAR((Tahmin!$C$4+14)),MONTH((Tahmin!$C$4+14)),MIN(DAY(Kalemler!$D127),DAY(EOMONTH((Tahmin!$C$4+14),0))))&gt;=(Tahmin!$C$4+14),DATE(YEAR((Tahmin!$C$4+14)),MONTH((Tahmin!$C$4+14)),MIN(DAY(Kalemler!$D127),DAY(EOMONTH((Tahmin!$C$4+14),0))))&lt;=(Tahmin!$C$4+20),DATE(YEAR((Tahmin!$C$4+14)),MONTH((Tahmin!$C$4+14)),MIN(DAY(Kalemler!$D127),DAY(EOMONTH((Tahmin!$C$4+14),0))))&gt;=Kalemler!$D127),AND(DATE(YEAR((Tahmin!$C$4+20)),MONTH((Tahmin!$C$4+20)),MIN(DAY(Kalemler!$D127),DAY(EOMONTH((Tahmin!$C$4+20),0))))&gt;=(Tahmin!$C$4+14),DATE(YEAR((Tahmin!$C$4+20)),MONTH((Tahmin!$C$4+20)),MIN(DAY(Kalemler!$D127),DAY(EOMONTH((Tahmin!$C$4+20),0))))&lt;=(Tahmin!$C$4+20),DATE(YEAR((Tahmin!$C$4+20)),MONTH((Tahmin!$C$4+20)),MIN(DAY(Kalemler!$D127),DAY(EOMONTH((Tahmin!$C$4+20),0))))&lt;&gt;DATE(YEAR((Tahmin!$C$4+14)),MONTH((Tahmin!$C$4+14)),MIN(DAY(Kalemler!$D127),DAY(EOMONTH((Tahmin!$C$4+14),0)))),DATE(YEAR((Tahmin!$C$4+20)),MONTH((Tahmin!$C$4+20)),MIN(DAY(Kalemler!$D127),DAY(EOMONTH((Tahmin!$C$4+20),0))))&gt;=Kalemler!$D127)),1,0),IF(AND(Kalemler!$D127&gt;=(Tahmin!$C$4+14),Kalemler!$D127&lt;=(Tahmin!$C$4+20)),1,0))))</f>
        <v>0</v>
      </c>
      <c r="E127" s="0" t="n">
        <f aca="false">IF(OR(Kalemler!$A127="",Kalemler!$C127="",Kalemler!$D127=""),0,Kalemler!$C127*IF(Kalemler!$E127="Haftalık",IF(Kalemler!$D127&lt;=(Tahmin!$C$4+27),1,0),IF(Kalemler!$E127="Aylık",IF(OR(AND(DATE(YEAR((Tahmin!$C$4+21)),MONTH((Tahmin!$C$4+21)),MIN(DAY(Kalemler!$D127),DAY(EOMONTH((Tahmin!$C$4+21),0))))&gt;=(Tahmin!$C$4+21),DATE(YEAR((Tahmin!$C$4+21)),MONTH((Tahmin!$C$4+21)),MIN(DAY(Kalemler!$D127),DAY(EOMONTH((Tahmin!$C$4+21),0))))&lt;=(Tahmin!$C$4+27),DATE(YEAR((Tahmin!$C$4+21)),MONTH((Tahmin!$C$4+21)),MIN(DAY(Kalemler!$D127),DAY(EOMONTH((Tahmin!$C$4+21),0))))&gt;=Kalemler!$D127),AND(DATE(YEAR((Tahmin!$C$4+27)),MONTH((Tahmin!$C$4+27)),MIN(DAY(Kalemler!$D127),DAY(EOMONTH((Tahmin!$C$4+27),0))))&gt;=(Tahmin!$C$4+21),DATE(YEAR((Tahmin!$C$4+27)),MONTH((Tahmin!$C$4+27)),MIN(DAY(Kalemler!$D127),DAY(EOMONTH((Tahmin!$C$4+27),0))))&lt;=(Tahmin!$C$4+27),DATE(YEAR((Tahmin!$C$4+27)),MONTH((Tahmin!$C$4+27)),MIN(DAY(Kalemler!$D127),DAY(EOMONTH((Tahmin!$C$4+27),0))))&lt;&gt;DATE(YEAR((Tahmin!$C$4+21)),MONTH((Tahmin!$C$4+21)),MIN(DAY(Kalemler!$D127),DAY(EOMONTH((Tahmin!$C$4+21),0)))),DATE(YEAR((Tahmin!$C$4+27)),MONTH((Tahmin!$C$4+27)),MIN(DAY(Kalemler!$D127),DAY(EOMONTH((Tahmin!$C$4+27),0))))&gt;=Kalemler!$D127)),1,0),IF(AND(Kalemler!$D127&gt;=(Tahmin!$C$4+21),Kalemler!$D127&lt;=(Tahmin!$C$4+27)),1,0))))</f>
        <v>0</v>
      </c>
      <c r="F127" s="0" t="n">
        <f aca="false">IF(OR(Kalemler!$A127="",Kalemler!$C127="",Kalemler!$D127=""),0,Kalemler!$C127*IF(Kalemler!$E127="Haftalık",IF(Kalemler!$D127&lt;=(Tahmin!$C$4+34),1,0),IF(Kalemler!$E127="Aylık",IF(OR(AND(DATE(YEAR((Tahmin!$C$4+28)),MONTH((Tahmin!$C$4+28)),MIN(DAY(Kalemler!$D127),DAY(EOMONTH((Tahmin!$C$4+28),0))))&gt;=(Tahmin!$C$4+28),DATE(YEAR((Tahmin!$C$4+28)),MONTH((Tahmin!$C$4+28)),MIN(DAY(Kalemler!$D127),DAY(EOMONTH((Tahmin!$C$4+28),0))))&lt;=(Tahmin!$C$4+34),DATE(YEAR((Tahmin!$C$4+28)),MONTH((Tahmin!$C$4+28)),MIN(DAY(Kalemler!$D127),DAY(EOMONTH((Tahmin!$C$4+28),0))))&gt;=Kalemler!$D127),AND(DATE(YEAR((Tahmin!$C$4+34)),MONTH((Tahmin!$C$4+34)),MIN(DAY(Kalemler!$D127),DAY(EOMONTH((Tahmin!$C$4+34),0))))&gt;=(Tahmin!$C$4+28),DATE(YEAR((Tahmin!$C$4+34)),MONTH((Tahmin!$C$4+34)),MIN(DAY(Kalemler!$D127),DAY(EOMONTH((Tahmin!$C$4+34),0))))&lt;=(Tahmin!$C$4+34),DATE(YEAR((Tahmin!$C$4+34)),MONTH((Tahmin!$C$4+34)),MIN(DAY(Kalemler!$D127),DAY(EOMONTH((Tahmin!$C$4+34),0))))&lt;&gt;DATE(YEAR((Tahmin!$C$4+28)),MONTH((Tahmin!$C$4+28)),MIN(DAY(Kalemler!$D127),DAY(EOMONTH((Tahmin!$C$4+28),0)))),DATE(YEAR((Tahmin!$C$4+34)),MONTH((Tahmin!$C$4+34)),MIN(DAY(Kalemler!$D127),DAY(EOMONTH((Tahmin!$C$4+34),0))))&gt;=Kalemler!$D127)),1,0),IF(AND(Kalemler!$D127&gt;=(Tahmin!$C$4+28),Kalemler!$D127&lt;=(Tahmin!$C$4+34)),1,0))))</f>
        <v>0</v>
      </c>
      <c r="G127" s="0" t="n">
        <f aca="false">IF(OR(Kalemler!$A127="",Kalemler!$C127="",Kalemler!$D127=""),0,Kalemler!$C127*IF(Kalemler!$E127="Haftalık",IF(Kalemler!$D127&lt;=(Tahmin!$C$4+41),1,0),IF(Kalemler!$E127="Aylık",IF(OR(AND(DATE(YEAR((Tahmin!$C$4+35)),MONTH((Tahmin!$C$4+35)),MIN(DAY(Kalemler!$D127),DAY(EOMONTH((Tahmin!$C$4+35),0))))&gt;=(Tahmin!$C$4+35),DATE(YEAR((Tahmin!$C$4+35)),MONTH((Tahmin!$C$4+35)),MIN(DAY(Kalemler!$D127),DAY(EOMONTH((Tahmin!$C$4+35),0))))&lt;=(Tahmin!$C$4+41),DATE(YEAR((Tahmin!$C$4+35)),MONTH((Tahmin!$C$4+35)),MIN(DAY(Kalemler!$D127),DAY(EOMONTH((Tahmin!$C$4+35),0))))&gt;=Kalemler!$D127),AND(DATE(YEAR((Tahmin!$C$4+41)),MONTH((Tahmin!$C$4+41)),MIN(DAY(Kalemler!$D127),DAY(EOMONTH((Tahmin!$C$4+41),0))))&gt;=(Tahmin!$C$4+35),DATE(YEAR((Tahmin!$C$4+41)),MONTH((Tahmin!$C$4+41)),MIN(DAY(Kalemler!$D127),DAY(EOMONTH((Tahmin!$C$4+41),0))))&lt;=(Tahmin!$C$4+41),DATE(YEAR((Tahmin!$C$4+41)),MONTH((Tahmin!$C$4+41)),MIN(DAY(Kalemler!$D127),DAY(EOMONTH((Tahmin!$C$4+41),0))))&lt;&gt;DATE(YEAR((Tahmin!$C$4+35)),MONTH((Tahmin!$C$4+35)),MIN(DAY(Kalemler!$D127),DAY(EOMONTH((Tahmin!$C$4+35),0)))),DATE(YEAR((Tahmin!$C$4+41)),MONTH((Tahmin!$C$4+41)),MIN(DAY(Kalemler!$D127),DAY(EOMONTH((Tahmin!$C$4+41),0))))&gt;=Kalemler!$D127)),1,0),IF(AND(Kalemler!$D127&gt;=(Tahmin!$C$4+35),Kalemler!$D127&lt;=(Tahmin!$C$4+41)),1,0))))</f>
        <v>0</v>
      </c>
      <c r="H127" s="0" t="n">
        <f aca="false">IF(OR(Kalemler!$A127="",Kalemler!$C127="",Kalemler!$D127=""),0,Kalemler!$C127*IF(Kalemler!$E127="Haftalık",IF(Kalemler!$D127&lt;=(Tahmin!$C$4+48),1,0),IF(Kalemler!$E127="Aylık",IF(OR(AND(DATE(YEAR((Tahmin!$C$4+42)),MONTH((Tahmin!$C$4+42)),MIN(DAY(Kalemler!$D127),DAY(EOMONTH((Tahmin!$C$4+42),0))))&gt;=(Tahmin!$C$4+42),DATE(YEAR((Tahmin!$C$4+42)),MONTH((Tahmin!$C$4+42)),MIN(DAY(Kalemler!$D127),DAY(EOMONTH((Tahmin!$C$4+42),0))))&lt;=(Tahmin!$C$4+48),DATE(YEAR((Tahmin!$C$4+42)),MONTH((Tahmin!$C$4+42)),MIN(DAY(Kalemler!$D127),DAY(EOMONTH((Tahmin!$C$4+42),0))))&gt;=Kalemler!$D127),AND(DATE(YEAR((Tahmin!$C$4+48)),MONTH((Tahmin!$C$4+48)),MIN(DAY(Kalemler!$D127),DAY(EOMONTH((Tahmin!$C$4+48),0))))&gt;=(Tahmin!$C$4+42),DATE(YEAR((Tahmin!$C$4+48)),MONTH((Tahmin!$C$4+48)),MIN(DAY(Kalemler!$D127),DAY(EOMONTH((Tahmin!$C$4+48),0))))&lt;=(Tahmin!$C$4+48),DATE(YEAR((Tahmin!$C$4+48)),MONTH((Tahmin!$C$4+48)),MIN(DAY(Kalemler!$D127),DAY(EOMONTH((Tahmin!$C$4+48),0))))&lt;&gt;DATE(YEAR((Tahmin!$C$4+42)),MONTH((Tahmin!$C$4+42)),MIN(DAY(Kalemler!$D127),DAY(EOMONTH((Tahmin!$C$4+42),0)))),DATE(YEAR((Tahmin!$C$4+48)),MONTH((Tahmin!$C$4+48)),MIN(DAY(Kalemler!$D127),DAY(EOMONTH((Tahmin!$C$4+48),0))))&gt;=Kalemler!$D127)),1,0),IF(AND(Kalemler!$D127&gt;=(Tahmin!$C$4+42),Kalemler!$D127&lt;=(Tahmin!$C$4+48)),1,0))))</f>
        <v>0</v>
      </c>
      <c r="I127" s="0" t="n">
        <f aca="false">IF(OR(Kalemler!$A127="",Kalemler!$C127="",Kalemler!$D127=""),0,Kalemler!$C127*IF(Kalemler!$E127="Haftalık",IF(Kalemler!$D127&lt;=(Tahmin!$C$4+55),1,0),IF(Kalemler!$E127="Aylık",IF(OR(AND(DATE(YEAR((Tahmin!$C$4+49)),MONTH((Tahmin!$C$4+49)),MIN(DAY(Kalemler!$D127),DAY(EOMONTH((Tahmin!$C$4+49),0))))&gt;=(Tahmin!$C$4+49),DATE(YEAR((Tahmin!$C$4+49)),MONTH((Tahmin!$C$4+49)),MIN(DAY(Kalemler!$D127),DAY(EOMONTH((Tahmin!$C$4+49),0))))&lt;=(Tahmin!$C$4+55),DATE(YEAR((Tahmin!$C$4+49)),MONTH((Tahmin!$C$4+49)),MIN(DAY(Kalemler!$D127),DAY(EOMONTH((Tahmin!$C$4+49),0))))&gt;=Kalemler!$D127),AND(DATE(YEAR((Tahmin!$C$4+55)),MONTH((Tahmin!$C$4+55)),MIN(DAY(Kalemler!$D127),DAY(EOMONTH((Tahmin!$C$4+55),0))))&gt;=(Tahmin!$C$4+49),DATE(YEAR((Tahmin!$C$4+55)),MONTH((Tahmin!$C$4+55)),MIN(DAY(Kalemler!$D127),DAY(EOMONTH((Tahmin!$C$4+55),0))))&lt;=(Tahmin!$C$4+55),DATE(YEAR((Tahmin!$C$4+55)),MONTH((Tahmin!$C$4+55)),MIN(DAY(Kalemler!$D127),DAY(EOMONTH((Tahmin!$C$4+55),0))))&lt;&gt;DATE(YEAR((Tahmin!$C$4+49)),MONTH((Tahmin!$C$4+49)),MIN(DAY(Kalemler!$D127),DAY(EOMONTH((Tahmin!$C$4+49),0)))),DATE(YEAR((Tahmin!$C$4+55)),MONTH((Tahmin!$C$4+55)),MIN(DAY(Kalemler!$D127),DAY(EOMONTH((Tahmin!$C$4+55),0))))&gt;=Kalemler!$D127)),1,0),IF(AND(Kalemler!$D127&gt;=(Tahmin!$C$4+49),Kalemler!$D127&lt;=(Tahmin!$C$4+55)),1,0))))</f>
        <v>0</v>
      </c>
      <c r="J127" s="0" t="n">
        <f aca="false">IF(OR(Kalemler!$A127="",Kalemler!$C127="",Kalemler!$D127=""),0,Kalemler!$C127*IF(Kalemler!$E127="Haftalık",IF(Kalemler!$D127&lt;=(Tahmin!$C$4+62),1,0),IF(Kalemler!$E127="Aylık",IF(OR(AND(DATE(YEAR((Tahmin!$C$4+56)),MONTH((Tahmin!$C$4+56)),MIN(DAY(Kalemler!$D127),DAY(EOMONTH((Tahmin!$C$4+56),0))))&gt;=(Tahmin!$C$4+56),DATE(YEAR((Tahmin!$C$4+56)),MONTH((Tahmin!$C$4+56)),MIN(DAY(Kalemler!$D127),DAY(EOMONTH((Tahmin!$C$4+56),0))))&lt;=(Tahmin!$C$4+62),DATE(YEAR((Tahmin!$C$4+56)),MONTH((Tahmin!$C$4+56)),MIN(DAY(Kalemler!$D127),DAY(EOMONTH((Tahmin!$C$4+56),0))))&gt;=Kalemler!$D127),AND(DATE(YEAR((Tahmin!$C$4+62)),MONTH((Tahmin!$C$4+62)),MIN(DAY(Kalemler!$D127),DAY(EOMONTH((Tahmin!$C$4+62),0))))&gt;=(Tahmin!$C$4+56),DATE(YEAR((Tahmin!$C$4+62)),MONTH((Tahmin!$C$4+62)),MIN(DAY(Kalemler!$D127),DAY(EOMONTH((Tahmin!$C$4+62),0))))&lt;=(Tahmin!$C$4+62),DATE(YEAR((Tahmin!$C$4+62)),MONTH((Tahmin!$C$4+62)),MIN(DAY(Kalemler!$D127),DAY(EOMONTH((Tahmin!$C$4+62),0))))&lt;&gt;DATE(YEAR((Tahmin!$C$4+56)),MONTH((Tahmin!$C$4+56)),MIN(DAY(Kalemler!$D127),DAY(EOMONTH((Tahmin!$C$4+56),0)))),DATE(YEAR((Tahmin!$C$4+62)),MONTH((Tahmin!$C$4+62)),MIN(DAY(Kalemler!$D127),DAY(EOMONTH((Tahmin!$C$4+62),0))))&gt;=Kalemler!$D127)),1,0),IF(AND(Kalemler!$D127&gt;=(Tahmin!$C$4+56),Kalemler!$D127&lt;=(Tahmin!$C$4+62)),1,0))))</f>
        <v>0</v>
      </c>
      <c r="K127" s="0" t="n">
        <f aca="false">IF(OR(Kalemler!$A127="",Kalemler!$C127="",Kalemler!$D127=""),0,Kalemler!$C127*IF(Kalemler!$E127="Haftalık",IF(Kalemler!$D127&lt;=(Tahmin!$C$4+69),1,0),IF(Kalemler!$E127="Aylık",IF(OR(AND(DATE(YEAR((Tahmin!$C$4+63)),MONTH((Tahmin!$C$4+63)),MIN(DAY(Kalemler!$D127),DAY(EOMONTH((Tahmin!$C$4+63),0))))&gt;=(Tahmin!$C$4+63),DATE(YEAR((Tahmin!$C$4+63)),MONTH((Tahmin!$C$4+63)),MIN(DAY(Kalemler!$D127),DAY(EOMONTH((Tahmin!$C$4+63),0))))&lt;=(Tahmin!$C$4+69),DATE(YEAR((Tahmin!$C$4+63)),MONTH((Tahmin!$C$4+63)),MIN(DAY(Kalemler!$D127),DAY(EOMONTH((Tahmin!$C$4+63),0))))&gt;=Kalemler!$D127),AND(DATE(YEAR((Tahmin!$C$4+69)),MONTH((Tahmin!$C$4+69)),MIN(DAY(Kalemler!$D127),DAY(EOMONTH((Tahmin!$C$4+69),0))))&gt;=(Tahmin!$C$4+63),DATE(YEAR((Tahmin!$C$4+69)),MONTH((Tahmin!$C$4+69)),MIN(DAY(Kalemler!$D127),DAY(EOMONTH((Tahmin!$C$4+69),0))))&lt;=(Tahmin!$C$4+69),DATE(YEAR((Tahmin!$C$4+69)),MONTH((Tahmin!$C$4+69)),MIN(DAY(Kalemler!$D127),DAY(EOMONTH((Tahmin!$C$4+69),0))))&lt;&gt;DATE(YEAR((Tahmin!$C$4+63)),MONTH((Tahmin!$C$4+63)),MIN(DAY(Kalemler!$D127),DAY(EOMONTH((Tahmin!$C$4+63),0)))),DATE(YEAR((Tahmin!$C$4+69)),MONTH((Tahmin!$C$4+69)),MIN(DAY(Kalemler!$D127),DAY(EOMONTH((Tahmin!$C$4+69),0))))&gt;=Kalemler!$D127)),1,0),IF(AND(Kalemler!$D127&gt;=(Tahmin!$C$4+63),Kalemler!$D127&lt;=(Tahmin!$C$4+69)),1,0))))</f>
        <v>0</v>
      </c>
      <c r="L127" s="0" t="n">
        <f aca="false">IF(OR(Kalemler!$A127="",Kalemler!$C127="",Kalemler!$D127=""),0,Kalemler!$C127*IF(Kalemler!$E127="Haftalık",IF(Kalemler!$D127&lt;=(Tahmin!$C$4+76),1,0),IF(Kalemler!$E127="Aylık",IF(OR(AND(DATE(YEAR((Tahmin!$C$4+70)),MONTH((Tahmin!$C$4+70)),MIN(DAY(Kalemler!$D127),DAY(EOMONTH((Tahmin!$C$4+70),0))))&gt;=(Tahmin!$C$4+70),DATE(YEAR((Tahmin!$C$4+70)),MONTH((Tahmin!$C$4+70)),MIN(DAY(Kalemler!$D127),DAY(EOMONTH((Tahmin!$C$4+70),0))))&lt;=(Tahmin!$C$4+76),DATE(YEAR((Tahmin!$C$4+70)),MONTH((Tahmin!$C$4+70)),MIN(DAY(Kalemler!$D127),DAY(EOMONTH((Tahmin!$C$4+70),0))))&gt;=Kalemler!$D127),AND(DATE(YEAR((Tahmin!$C$4+76)),MONTH((Tahmin!$C$4+76)),MIN(DAY(Kalemler!$D127),DAY(EOMONTH((Tahmin!$C$4+76),0))))&gt;=(Tahmin!$C$4+70),DATE(YEAR((Tahmin!$C$4+76)),MONTH((Tahmin!$C$4+76)),MIN(DAY(Kalemler!$D127),DAY(EOMONTH((Tahmin!$C$4+76),0))))&lt;=(Tahmin!$C$4+76),DATE(YEAR((Tahmin!$C$4+76)),MONTH((Tahmin!$C$4+76)),MIN(DAY(Kalemler!$D127),DAY(EOMONTH((Tahmin!$C$4+76),0))))&lt;&gt;DATE(YEAR((Tahmin!$C$4+70)),MONTH((Tahmin!$C$4+70)),MIN(DAY(Kalemler!$D127),DAY(EOMONTH((Tahmin!$C$4+70),0)))),DATE(YEAR((Tahmin!$C$4+76)),MONTH((Tahmin!$C$4+76)),MIN(DAY(Kalemler!$D127),DAY(EOMONTH((Tahmin!$C$4+76),0))))&gt;=Kalemler!$D127)),1,0),IF(AND(Kalemler!$D127&gt;=(Tahmin!$C$4+70),Kalemler!$D127&lt;=(Tahmin!$C$4+76)),1,0))))</f>
        <v>0</v>
      </c>
      <c r="M127" s="0" t="n">
        <f aca="false">IF(OR(Kalemler!$A127="",Kalemler!$C127="",Kalemler!$D127=""),0,Kalemler!$C127*IF(Kalemler!$E127="Haftalık",IF(Kalemler!$D127&lt;=(Tahmin!$C$4+83),1,0),IF(Kalemler!$E127="Aylık",IF(OR(AND(DATE(YEAR((Tahmin!$C$4+77)),MONTH((Tahmin!$C$4+77)),MIN(DAY(Kalemler!$D127),DAY(EOMONTH((Tahmin!$C$4+77),0))))&gt;=(Tahmin!$C$4+77),DATE(YEAR((Tahmin!$C$4+77)),MONTH((Tahmin!$C$4+77)),MIN(DAY(Kalemler!$D127),DAY(EOMONTH((Tahmin!$C$4+77),0))))&lt;=(Tahmin!$C$4+83),DATE(YEAR((Tahmin!$C$4+77)),MONTH((Tahmin!$C$4+77)),MIN(DAY(Kalemler!$D127),DAY(EOMONTH((Tahmin!$C$4+77),0))))&gt;=Kalemler!$D127),AND(DATE(YEAR((Tahmin!$C$4+83)),MONTH((Tahmin!$C$4+83)),MIN(DAY(Kalemler!$D127),DAY(EOMONTH((Tahmin!$C$4+83),0))))&gt;=(Tahmin!$C$4+77),DATE(YEAR((Tahmin!$C$4+83)),MONTH((Tahmin!$C$4+83)),MIN(DAY(Kalemler!$D127),DAY(EOMONTH((Tahmin!$C$4+83),0))))&lt;=(Tahmin!$C$4+83),DATE(YEAR((Tahmin!$C$4+83)),MONTH((Tahmin!$C$4+83)),MIN(DAY(Kalemler!$D127),DAY(EOMONTH((Tahmin!$C$4+83),0))))&lt;&gt;DATE(YEAR((Tahmin!$C$4+77)),MONTH((Tahmin!$C$4+77)),MIN(DAY(Kalemler!$D127),DAY(EOMONTH((Tahmin!$C$4+77),0)))),DATE(YEAR((Tahmin!$C$4+83)),MONTH((Tahmin!$C$4+83)),MIN(DAY(Kalemler!$D127),DAY(EOMONTH((Tahmin!$C$4+83),0))))&gt;=Kalemler!$D127)),1,0),IF(AND(Kalemler!$D127&gt;=(Tahmin!$C$4+77),Kalemler!$D127&lt;=(Tahmin!$C$4+83)),1,0))))</f>
        <v>0</v>
      </c>
      <c r="N127" s="0" t="n">
        <f aca="false">IF(OR(Kalemler!$A127="",Kalemler!$C127="",Kalemler!$D127=""),0,Kalemler!$C127*IF(Kalemler!$E127="Haftalık",IF(Kalemler!$D127&lt;=(Tahmin!$C$4+90),1,0),IF(Kalemler!$E127="Aylık",IF(OR(AND(DATE(YEAR((Tahmin!$C$4+84)),MONTH((Tahmin!$C$4+84)),MIN(DAY(Kalemler!$D127),DAY(EOMONTH((Tahmin!$C$4+84),0))))&gt;=(Tahmin!$C$4+84),DATE(YEAR((Tahmin!$C$4+84)),MONTH((Tahmin!$C$4+84)),MIN(DAY(Kalemler!$D127),DAY(EOMONTH((Tahmin!$C$4+84),0))))&lt;=(Tahmin!$C$4+90),DATE(YEAR((Tahmin!$C$4+84)),MONTH((Tahmin!$C$4+84)),MIN(DAY(Kalemler!$D127),DAY(EOMONTH((Tahmin!$C$4+84),0))))&gt;=Kalemler!$D127),AND(DATE(YEAR((Tahmin!$C$4+90)),MONTH((Tahmin!$C$4+90)),MIN(DAY(Kalemler!$D127),DAY(EOMONTH((Tahmin!$C$4+90),0))))&gt;=(Tahmin!$C$4+84),DATE(YEAR((Tahmin!$C$4+90)),MONTH((Tahmin!$C$4+90)),MIN(DAY(Kalemler!$D127),DAY(EOMONTH((Tahmin!$C$4+90),0))))&lt;=(Tahmin!$C$4+90),DATE(YEAR((Tahmin!$C$4+90)),MONTH((Tahmin!$C$4+90)),MIN(DAY(Kalemler!$D127),DAY(EOMONTH((Tahmin!$C$4+90),0))))&lt;&gt;DATE(YEAR((Tahmin!$C$4+84)),MONTH((Tahmin!$C$4+84)),MIN(DAY(Kalemler!$D127),DAY(EOMONTH((Tahmin!$C$4+84),0)))),DATE(YEAR((Tahmin!$C$4+90)),MONTH((Tahmin!$C$4+90)),MIN(DAY(Kalemler!$D127),DAY(EOMONTH((Tahmin!$C$4+90),0))))&gt;=Kalemler!$D127)),1,0),IF(AND(Kalemler!$D127&gt;=(Tahmin!$C$4+84),Kalemler!$D127&lt;=(Tahmin!$C$4+90)),1,0))))</f>
        <v>0</v>
      </c>
    </row>
    <row r="128" customFormat="false" ht="15" hidden="false" customHeight="false" outlineLevel="0" collapsed="false">
      <c r="A128" s="0" t="str">
        <f aca="false">IF(Kalemler!A128="","",Kalemler!A128)</f>
        <v/>
      </c>
      <c r="B128" s="0" t="n">
        <f aca="false">IF(OR(Kalemler!$A128="",Kalemler!$C128="",Kalemler!$D128=""),0,Kalemler!$C128*IF(Kalemler!$E128="Haftalık",IF(Kalemler!$D128&lt;=(Tahmin!$C$4+6),1,0),IF(Kalemler!$E128="Aylık",IF(OR(AND(DATE(YEAR((Tahmin!$C$4+0)),MONTH((Tahmin!$C$4+0)),MIN(DAY(Kalemler!$D128),DAY(EOMONTH((Tahmin!$C$4+0),0))))&gt;=(Tahmin!$C$4+0),DATE(YEAR((Tahmin!$C$4+0)),MONTH((Tahmin!$C$4+0)),MIN(DAY(Kalemler!$D128),DAY(EOMONTH((Tahmin!$C$4+0),0))))&lt;=(Tahmin!$C$4+6),DATE(YEAR((Tahmin!$C$4+0)),MONTH((Tahmin!$C$4+0)),MIN(DAY(Kalemler!$D128),DAY(EOMONTH((Tahmin!$C$4+0),0))))&gt;=Kalemler!$D128),AND(DATE(YEAR((Tahmin!$C$4+6)),MONTH((Tahmin!$C$4+6)),MIN(DAY(Kalemler!$D128),DAY(EOMONTH((Tahmin!$C$4+6),0))))&gt;=(Tahmin!$C$4+0),DATE(YEAR((Tahmin!$C$4+6)),MONTH((Tahmin!$C$4+6)),MIN(DAY(Kalemler!$D128),DAY(EOMONTH((Tahmin!$C$4+6),0))))&lt;=(Tahmin!$C$4+6),DATE(YEAR((Tahmin!$C$4+6)),MONTH((Tahmin!$C$4+6)),MIN(DAY(Kalemler!$D128),DAY(EOMONTH((Tahmin!$C$4+6),0))))&lt;&gt;DATE(YEAR((Tahmin!$C$4+0)),MONTH((Tahmin!$C$4+0)),MIN(DAY(Kalemler!$D128),DAY(EOMONTH((Tahmin!$C$4+0),0)))),DATE(YEAR((Tahmin!$C$4+6)),MONTH((Tahmin!$C$4+6)),MIN(DAY(Kalemler!$D128),DAY(EOMONTH((Tahmin!$C$4+6),0))))&gt;=Kalemler!$D128)),1,0),IF(AND(Kalemler!$D128&gt;=(Tahmin!$C$4+0),Kalemler!$D128&lt;=(Tahmin!$C$4+6)),1,0))))</f>
        <v>0</v>
      </c>
      <c r="C128" s="0" t="n">
        <f aca="false">IF(OR(Kalemler!$A128="",Kalemler!$C128="",Kalemler!$D128=""),0,Kalemler!$C128*IF(Kalemler!$E128="Haftalık",IF(Kalemler!$D128&lt;=(Tahmin!$C$4+13),1,0),IF(Kalemler!$E128="Aylık",IF(OR(AND(DATE(YEAR((Tahmin!$C$4+7)),MONTH((Tahmin!$C$4+7)),MIN(DAY(Kalemler!$D128),DAY(EOMONTH((Tahmin!$C$4+7),0))))&gt;=(Tahmin!$C$4+7),DATE(YEAR((Tahmin!$C$4+7)),MONTH((Tahmin!$C$4+7)),MIN(DAY(Kalemler!$D128),DAY(EOMONTH((Tahmin!$C$4+7),0))))&lt;=(Tahmin!$C$4+13),DATE(YEAR((Tahmin!$C$4+7)),MONTH((Tahmin!$C$4+7)),MIN(DAY(Kalemler!$D128),DAY(EOMONTH((Tahmin!$C$4+7),0))))&gt;=Kalemler!$D128),AND(DATE(YEAR((Tahmin!$C$4+13)),MONTH((Tahmin!$C$4+13)),MIN(DAY(Kalemler!$D128),DAY(EOMONTH((Tahmin!$C$4+13),0))))&gt;=(Tahmin!$C$4+7),DATE(YEAR((Tahmin!$C$4+13)),MONTH((Tahmin!$C$4+13)),MIN(DAY(Kalemler!$D128),DAY(EOMONTH((Tahmin!$C$4+13),0))))&lt;=(Tahmin!$C$4+13),DATE(YEAR((Tahmin!$C$4+13)),MONTH((Tahmin!$C$4+13)),MIN(DAY(Kalemler!$D128),DAY(EOMONTH((Tahmin!$C$4+13),0))))&lt;&gt;DATE(YEAR((Tahmin!$C$4+7)),MONTH((Tahmin!$C$4+7)),MIN(DAY(Kalemler!$D128),DAY(EOMONTH((Tahmin!$C$4+7),0)))),DATE(YEAR((Tahmin!$C$4+13)),MONTH((Tahmin!$C$4+13)),MIN(DAY(Kalemler!$D128),DAY(EOMONTH((Tahmin!$C$4+13),0))))&gt;=Kalemler!$D128)),1,0),IF(AND(Kalemler!$D128&gt;=(Tahmin!$C$4+7),Kalemler!$D128&lt;=(Tahmin!$C$4+13)),1,0))))</f>
        <v>0</v>
      </c>
      <c r="D128" s="0" t="n">
        <f aca="false">IF(OR(Kalemler!$A128="",Kalemler!$C128="",Kalemler!$D128=""),0,Kalemler!$C128*IF(Kalemler!$E128="Haftalık",IF(Kalemler!$D128&lt;=(Tahmin!$C$4+20),1,0),IF(Kalemler!$E128="Aylık",IF(OR(AND(DATE(YEAR((Tahmin!$C$4+14)),MONTH((Tahmin!$C$4+14)),MIN(DAY(Kalemler!$D128),DAY(EOMONTH((Tahmin!$C$4+14),0))))&gt;=(Tahmin!$C$4+14),DATE(YEAR((Tahmin!$C$4+14)),MONTH((Tahmin!$C$4+14)),MIN(DAY(Kalemler!$D128),DAY(EOMONTH((Tahmin!$C$4+14),0))))&lt;=(Tahmin!$C$4+20),DATE(YEAR((Tahmin!$C$4+14)),MONTH((Tahmin!$C$4+14)),MIN(DAY(Kalemler!$D128),DAY(EOMONTH((Tahmin!$C$4+14),0))))&gt;=Kalemler!$D128),AND(DATE(YEAR((Tahmin!$C$4+20)),MONTH((Tahmin!$C$4+20)),MIN(DAY(Kalemler!$D128),DAY(EOMONTH((Tahmin!$C$4+20),0))))&gt;=(Tahmin!$C$4+14),DATE(YEAR((Tahmin!$C$4+20)),MONTH((Tahmin!$C$4+20)),MIN(DAY(Kalemler!$D128),DAY(EOMONTH((Tahmin!$C$4+20),0))))&lt;=(Tahmin!$C$4+20),DATE(YEAR((Tahmin!$C$4+20)),MONTH((Tahmin!$C$4+20)),MIN(DAY(Kalemler!$D128),DAY(EOMONTH((Tahmin!$C$4+20),0))))&lt;&gt;DATE(YEAR((Tahmin!$C$4+14)),MONTH((Tahmin!$C$4+14)),MIN(DAY(Kalemler!$D128),DAY(EOMONTH((Tahmin!$C$4+14),0)))),DATE(YEAR((Tahmin!$C$4+20)),MONTH((Tahmin!$C$4+20)),MIN(DAY(Kalemler!$D128),DAY(EOMONTH((Tahmin!$C$4+20),0))))&gt;=Kalemler!$D128)),1,0),IF(AND(Kalemler!$D128&gt;=(Tahmin!$C$4+14),Kalemler!$D128&lt;=(Tahmin!$C$4+20)),1,0))))</f>
        <v>0</v>
      </c>
      <c r="E128" s="0" t="n">
        <f aca="false">IF(OR(Kalemler!$A128="",Kalemler!$C128="",Kalemler!$D128=""),0,Kalemler!$C128*IF(Kalemler!$E128="Haftalık",IF(Kalemler!$D128&lt;=(Tahmin!$C$4+27),1,0),IF(Kalemler!$E128="Aylık",IF(OR(AND(DATE(YEAR((Tahmin!$C$4+21)),MONTH((Tahmin!$C$4+21)),MIN(DAY(Kalemler!$D128),DAY(EOMONTH((Tahmin!$C$4+21),0))))&gt;=(Tahmin!$C$4+21),DATE(YEAR((Tahmin!$C$4+21)),MONTH((Tahmin!$C$4+21)),MIN(DAY(Kalemler!$D128),DAY(EOMONTH((Tahmin!$C$4+21),0))))&lt;=(Tahmin!$C$4+27),DATE(YEAR((Tahmin!$C$4+21)),MONTH((Tahmin!$C$4+21)),MIN(DAY(Kalemler!$D128),DAY(EOMONTH((Tahmin!$C$4+21),0))))&gt;=Kalemler!$D128),AND(DATE(YEAR((Tahmin!$C$4+27)),MONTH((Tahmin!$C$4+27)),MIN(DAY(Kalemler!$D128),DAY(EOMONTH((Tahmin!$C$4+27),0))))&gt;=(Tahmin!$C$4+21),DATE(YEAR((Tahmin!$C$4+27)),MONTH((Tahmin!$C$4+27)),MIN(DAY(Kalemler!$D128),DAY(EOMONTH((Tahmin!$C$4+27),0))))&lt;=(Tahmin!$C$4+27),DATE(YEAR((Tahmin!$C$4+27)),MONTH((Tahmin!$C$4+27)),MIN(DAY(Kalemler!$D128),DAY(EOMONTH((Tahmin!$C$4+27),0))))&lt;&gt;DATE(YEAR((Tahmin!$C$4+21)),MONTH((Tahmin!$C$4+21)),MIN(DAY(Kalemler!$D128),DAY(EOMONTH((Tahmin!$C$4+21),0)))),DATE(YEAR((Tahmin!$C$4+27)),MONTH((Tahmin!$C$4+27)),MIN(DAY(Kalemler!$D128),DAY(EOMONTH((Tahmin!$C$4+27),0))))&gt;=Kalemler!$D128)),1,0),IF(AND(Kalemler!$D128&gt;=(Tahmin!$C$4+21),Kalemler!$D128&lt;=(Tahmin!$C$4+27)),1,0))))</f>
        <v>0</v>
      </c>
      <c r="F128" s="0" t="n">
        <f aca="false">IF(OR(Kalemler!$A128="",Kalemler!$C128="",Kalemler!$D128=""),0,Kalemler!$C128*IF(Kalemler!$E128="Haftalık",IF(Kalemler!$D128&lt;=(Tahmin!$C$4+34),1,0),IF(Kalemler!$E128="Aylık",IF(OR(AND(DATE(YEAR((Tahmin!$C$4+28)),MONTH((Tahmin!$C$4+28)),MIN(DAY(Kalemler!$D128),DAY(EOMONTH((Tahmin!$C$4+28),0))))&gt;=(Tahmin!$C$4+28),DATE(YEAR((Tahmin!$C$4+28)),MONTH((Tahmin!$C$4+28)),MIN(DAY(Kalemler!$D128),DAY(EOMONTH((Tahmin!$C$4+28),0))))&lt;=(Tahmin!$C$4+34),DATE(YEAR((Tahmin!$C$4+28)),MONTH((Tahmin!$C$4+28)),MIN(DAY(Kalemler!$D128),DAY(EOMONTH((Tahmin!$C$4+28),0))))&gt;=Kalemler!$D128),AND(DATE(YEAR((Tahmin!$C$4+34)),MONTH((Tahmin!$C$4+34)),MIN(DAY(Kalemler!$D128),DAY(EOMONTH((Tahmin!$C$4+34),0))))&gt;=(Tahmin!$C$4+28),DATE(YEAR((Tahmin!$C$4+34)),MONTH((Tahmin!$C$4+34)),MIN(DAY(Kalemler!$D128),DAY(EOMONTH((Tahmin!$C$4+34),0))))&lt;=(Tahmin!$C$4+34),DATE(YEAR((Tahmin!$C$4+34)),MONTH((Tahmin!$C$4+34)),MIN(DAY(Kalemler!$D128),DAY(EOMONTH((Tahmin!$C$4+34),0))))&lt;&gt;DATE(YEAR((Tahmin!$C$4+28)),MONTH((Tahmin!$C$4+28)),MIN(DAY(Kalemler!$D128),DAY(EOMONTH((Tahmin!$C$4+28),0)))),DATE(YEAR((Tahmin!$C$4+34)),MONTH((Tahmin!$C$4+34)),MIN(DAY(Kalemler!$D128),DAY(EOMONTH((Tahmin!$C$4+34),0))))&gt;=Kalemler!$D128)),1,0),IF(AND(Kalemler!$D128&gt;=(Tahmin!$C$4+28),Kalemler!$D128&lt;=(Tahmin!$C$4+34)),1,0))))</f>
        <v>0</v>
      </c>
      <c r="G128" s="0" t="n">
        <f aca="false">IF(OR(Kalemler!$A128="",Kalemler!$C128="",Kalemler!$D128=""),0,Kalemler!$C128*IF(Kalemler!$E128="Haftalık",IF(Kalemler!$D128&lt;=(Tahmin!$C$4+41),1,0),IF(Kalemler!$E128="Aylık",IF(OR(AND(DATE(YEAR((Tahmin!$C$4+35)),MONTH((Tahmin!$C$4+35)),MIN(DAY(Kalemler!$D128),DAY(EOMONTH((Tahmin!$C$4+35),0))))&gt;=(Tahmin!$C$4+35),DATE(YEAR((Tahmin!$C$4+35)),MONTH((Tahmin!$C$4+35)),MIN(DAY(Kalemler!$D128),DAY(EOMONTH((Tahmin!$C$4+35),0))))&lt;=(Tahmin!$C$4+41),DATE(YEAR((Tahmin!$C$4+35)),MONTH((Tahmin!$C$4+35)),MIN(DAY(Kalemler!$D128),DAY(EOMONTH((Tahmin!$C$4+35),0))))&gt;=Kalemler!$D128),AND(DATE(YEAR((Tahmin!$C$4+41)),MONTH((Tahmin!$C$4+41)),MIN(DAY(Kalemler!$D128),DAY(EOMONTH((Tahmin!$C$4+41),0))))&gt;=(Tahmin!$C$4+35),DATE(YEAR((Tahmin!$C$4+41)),MONTH((Tahmin!$C$4+41)),MIN(DAY(Kalemler!$D128),DAY(EOMONTH((Tahmin!$C$4+41),0))))&lt;=(Tahmin!$C$4+41),DATE(YEAR((Tahmin!$C$4+41)),MONTH((Tahmin!$C$4+41)),MIN(DAY(Kalemler!$D128),DAY(EOMONTH((Tahmin!$C$4+41),0))))&lt;&gt;DATE(YEAR((Tahmin!$C$4+35)),MONTH((Tahmin!$C$4+35)),MIN(DAY(Kalemler!$D128),DAY(EOMONTH((Tahmin!$C$4+35),0)))),DATE(YEAR((Tahmin!$C$4+41)),MONTH((Tahmin!$C$4+41)),MIN(DAY(Kalemler!$D128),DAY(EOMONTH((Tahmin!$C$4+41),0))))&gt;=Kalemler!$D128)),1,0),IF(AND(Kalemler!$D128&gt;=(Tahmin!$C$4+35),Kalemler!$D128&lt;=(Tahmin!$C$4+41)),1,0))))</f>
        <v>0</v>
      </c>
      <c r="H128" s="0" t="n">
        <f aca="false">IF(OR(Kalemler!$A128="",Kalemler!$C128="",Kalemler!$D128=""),0,Kalemler!$C128*IF(Kalemler!$E128="Haftalık",IF(Kalemler!$D128&lt;=(Tahmin!$C$4+48),1,0),IF(Kalemler!$E128="Aylık",IF(OR(AND(DATE(YEAR((Tahmin!$C$4+42)),MONTH((Tahmin!$C$4+42)),MIN(DAY(Kalemler!$D128),DAY(EOMONTH((Tahmin!$C$4+42),0))))&gt;=(Tahmin!$C$4+42),DATE(YEAR((Tahmin!$C$4+42)),MONTH((Tahmin!$C$4+42)),MIN(DAY(Kalemler!$D128),DAY(EOMONTH((Tahmin!$C$4+42),0))))&lt;=(Tahmin!$C$4+48),DATE(YEAR((Tahmin!$C$4+42)),MONTH((Tahmin!$C$4+42)),MIN(DAY(Kalemler!$D128),DAY(EOMONTH((Tahmin!$C$4+42),0))))&gt;=Kalemler!$D128),AND(DATE(YEAR((Tahmin!$C$4+48)),MONTH((Tahmin!$C$4+48)),MIN(DAY(Kalemler!$D128),DAY(EOMONTH((Tahmin!$C$4+48),0))))&gt;=(Tahmin!$C$4+42),DATE(YEAR((Tahmin!$C$4+48)),MONTH((Tahmin!$C$4+48)),MIN(DAY(Kalemler!$D128),DAY(EOMONTH((Tahmin!$C$4+48),0))))&lt;=(Tahmin!$C$4+48),DATE(YEAR((Tahmin!$C$4+48)),MONTH((Tahmin!$C$4+48)),MIN(DAY(Kalemler!$D128),DAY(EOMONTH((Tahmin!$C$4+48),0))))&lt;&gt;DATE(YEAR((Tahmin!$C$4+42)),MONTH((Tahmin!$C$4+42)),MIN(DAY(Kalemler!$D128),DAY(EOMONTH((Tahmin!$C$4+42),0)))),DATE(YEAR((Tahmin!$C$4+48)),MONTH((Tahmin!$C$4+48)),MIN(DAY(Kalemler!$D128),DAY(EOMONTH((Tahmin!$C$4+48),0))))&gt;=Kalemler!$D128)),1,0),IF(AND(Kalemler!$D128&gt;=(Tahmin!$C$4+42),Kalemler!$D128&lt;=(Tahmin!$C$4+48)),1,0))))</f>
        <v>0</v>
      </c>
      <c r="I128" s="0" t="n">
        <f aca="false">IF(OR(Kalemler!$A128="",Kalemler!$C128="",Kalemler!$D128=""),0,Kalemler!$C128*IF(Kalemler!$E128="Haftalık",IF(Kalemler!$D128&lt;=(Tahmin!$C$4+55),1,0),IF(Kalemler!$E128="Aylık",IF(OR(AND(DATE(YEAR((Tahmin!$C$4+49)),MONTH((Tahmin!$C$4+49)),MIN(DAY(Kalemler!$D128),DAY(EOMONTH((Tahmin!$C$4+49),0))))&gt;=(Tahmin!$C$4+49),DATE(YEAR((Tahmin!$C$4+49)),MONTH((Tahmin!$C$4+49)),MIN(DAY(Kalemler!$D128),DAY(EOMONTH((Tahmin!$C$4+49),0))))&lt;=(Tahmin!$C$4+55),DATE(YEAR((Tahmin!$C$4+49)),MONTH((Tahmin!$C$4+49)),MIN(DAY(Kalemler!$D128),DAY(EOMONTH((Tahmin!$C$4+49),0))))&gt;=Kalemler!$D128),AND(DATE(YEAR((Tahmin!$C$4+55)),MONTH((Tahmin!$C$4+55)),MIN(DAY(Kalemler!$D128),DAY(EOMONTH((Tahmin!$C$4+55),0))))&gt;=(Tahmin!$C$4+49),DATE(YEAR((Tahmin!$C$4+55)),MONTH((Tahmin!$C$4+55)),MIN(DAY(Kalemler!$D128),DAY(EOMONTH((Tahmin!$C$4+55),0))))&lt;=(Tahmin!$C$4+55),DATE(YEAR((Tahmin!$C$4+55)),MONTH((Tahmin!$C$4+55)),MIN(DAY(Kalemler!$D128),DAY(EOMONTH((Tahmin!$C$4+55),0))))&lt;&gt;DATE(YEAR((Tahmin!$C$4+49)),MONTH((Tahmin!$C$4+49)),MIN(DAY(Kalemler!$D128),DAY(EOMONTH((Tahmin!$C$4+49),0)))),DATE(YEAR((Tahmin!$C$4+55)),MONTH((Tahmin!$C$4+55)),MIN(DAY(Kalemler!$D128),DAY(EOMONTH((Tahmin!$C$4+55),0))))&gt;=Kalemler!$D128)),1,0),IF(AND(Kalemler!$D128&gt;=(Tahmin!$C$4+49),Kalemler!$D128&lt;=(Tahmin!$C$4+55)),1,0))))</f>
        <v>0</v>
      </c>
      <c r="J128" s="0" t="n">
        <f aca="false">IF(OR(Kalemler!$A128="",Kalemler!$C128="",Kalemler!$D128=""),0,Kalemler!$C128*IF(Kalemler!$E128="Haftalık",IF(Kalemler!$D128&lt;=(Tahmin!$C$4+62),1,0),IF(Kalemler!$E128="Aylık",IF(OR(AND(DATE(YEAR((Tahmin!$C$4+56)),MONTH((Tahmin!$C$4+56)),MIN(DAY(Kalemler!$D128),DAY(EOMONTH((Tahmin!$C$4+56),0))))&gt;=(Tahmin!$C$4+56),DATE(YEAR((Tahmin!$C$4+56)),MONTH((Tahmin!$C$4+56)),MIN(DAY(Kalemler!$D128),DAY(EOMONTH((Tahmin!$C$4+56),0))))&lt;=(Tahmin!$C$4+62),DATE(YEAR((Tahmin!$C$4+56)),MONTH((Tahmin!$C$4+56)),MIN(DAY(Kalemler!$D128),DAY(EOMONTH((Tahmin!$C$4+56),0))))&gt;=Kalemler!$D128),AND(DATE(YEAR((Tahmin!$C$4+62)),MONTH((Tahmin!$C$4+62)),MIN(DAY(Kalemler!$D128),DAY(EOMONTH((Tahmin!$C$4+62),0))))&gt;=(Tahmin!$C$4+56),DATE(YEAR((Tahmin!$C$4+62)),MONTH((Tahmin!$C$4+62)),MIN(DAY(Kalemler!$D128),DAY(EOMONTH((Tahmin!$C$4+62),0))))&lt;=(Tahmin!$C$4+62),DATE(YEAR((Tahmin!$C$4+62)),MONTH((Tahmin!$C$4+62)),MIN(DAY(Kalemler!$D128),DAY(EOMONTH((Tahmin!$C$4+62),0))))&lt;&gt;DATE(YEAR((Tahmin!$C$4+56)),MONTH((Tahmin!$C$4+56)),MIN(DAY(Kalemler!$D128),DAY(EOMONTH((Tahmin!$C$4+56),0)))),DATE(YEAR((Tahmin!$C$4+62)),MONTH((Tahmin!$C$4+62)),MIN(DAY(Kalemler!$D128),DAY(EOMONTH((Tahmin!$C$4+62),0))))&gt;=Kalemler!$D128)),1,0),IF(AND(Kalemler!$D128&gt;=(Tahmin!$C$4+56),Kalemler!$D128&lt;=(Tahmin!$C$4+62)),1,0))))</f>
        <v>0</v>
      </c>
      <c r="K128" s="0" t="n">
        <f aca="false">IF(OR(Kalemler!$A128="",Kalemler!$C128="",Kalemler!$D128=""),0,Kalemler!$C128*IF(Kalemler!$E128="Haftalık",IF(Kalemler!$D128&lt;=(Tahmin!$C$4+69),1,0),IF(Kalemler!$E128="Aylık",IF(OR(AND(DATE(YEAR((Tahmin!$C$4+63)),MONTH((Tahmin!$C$4+63)),MIN(DAY(Kalemler!$D128),DAY(EOMONTH((Tahmin!$C$4+63),0))))&gt;=(Tahmin!$C$4+63),DATE(YEAR((Tahmin!$C$4+63)),MONTH((Tahmin!$C$4+63)),MIN(DAY(Kalemler!$D128),DAY(EOMONTH((Tahmin!$C$4+63),0))))&lt;=(Tahmin!$C$4+69),DATE(YEAR((Tahmin!$C$4+63)),MONTH((Tahmin!$C$4+63)),MIN(DAY(Kalemler!$D128),DAY(EOMONTH((Tahmin!$C$4+63),0))))&gt;=Kalemler!$D128),AND(DATE(YEAR((Tahmin!$C$4+69)),MONTH((Tahmin!$C$4+69)),MIN(DAY(Kalemler!$D128),DAY(EOMONTH((Tahmin!$C$4+69),0))))&gt;=(Tahmin!$C$4+63),DATE(YEAR((Tahmin!$C$4+69)),MONTH((Tahmin!$C$4+69)),MIN(DAY(Kalemler!$D128),DAY(EOMONTH((Tahmin!$C$4+69),0))))&lt;=(Tahmin!$C$4+69),DATE(YEAR((Tahmin!$C$4+69)),MONTH((Tahmin!$C$4+69)),MIN(DAY(Kalemler!$D128),DAY(EOMONTH((Tahmin!$C$4+69),0))))&lt;&gt;DATE(YEAR((Tahmin!$C$4+63)),MONTH((Tahmin!$C$4+63)),MIN(DAY(Kalemler!$D128),DAY(EOMONTH((Tahmin!$C$4+63),0)))),DATE(YEAR((Tahmin!$C$4+69)),MONTH((Tahmin!$C$4+69)),MIN(DAY(Kalemler!$D128),DAY(EOMONTH((Tahmin!$C$4+69),0))))&gt;=Kalemler!$D128)),1,0),IF(AND(Kalemler!$D128&gt;=(Tahmin!$C$4+63),Kalemler!$D128&lt;=(Tahmin!$C$4+69)),1,0))))</f>
        <v>0</v>
      </c>
      <c r="L128" s="0" t="n">
        <f aca="false">IF(OR(Kalemler!$A128="",Kalemler!$C128="",Kalemler!$D128=""),0,Kalemler!$C128*IF(Kalemler!$E128="Haftalık",IF(Kalemler!$D128&lt;=(Tahmin!$C$4+76),1,0),IF(Kalemler!$E128="Aylık",IF(OR(AND(DATE(YEAR((Tahmin!$C$4+70)),MONTH((Tahmin!$C$4+70)),MIN(DAY(Kalemler!$D128),DAY(EOMONTH((Tahmin!$C$4+70),0))))&gt;=(Tahmin!$C$4+70),DATE(YEAR((Tahmin!$C$4+70)),MONTH((Tahmin!$C$4+70)),MIN(DAY(Kalemler!$D128),DAY(EOMONTH((Tahmin!$C$4+70),0))))&lt;=(Tahmin!$C$4+76),DATE(YEAR((Tahmin!$C$4+70)),MONTH((Tahmin!$C$4+70)),MIN(DAY(Kalemler!$D128),DAY(EOMONTH((Tahmin!$C$4+70),0))))&gt;=Kalemler!$D128),AND(DATE(YEAR((Tahmin!$C$4+76)),MONTH((Tahmin!$C$4+76)),MIN(DAY(Kalemler!$D128),DAY(EOMONTH((Tahmin!$C$4+76),0))))&gt;=(Tahmin!$C$4+70),DATE(YEAR((Tahmin!$C$4+76)),MONTH((Tahmin!$C$4+76)),MIN(DAY(Kalemler!$D128),DAY(EOMONTH((Tahmin!$C$4+76),0))))&lt;=(Tahmin!$C$4+76),DATE(YEAR((Tahmin!$C$4+76)),MONTH((Tahmin!$C$4+76)),MIN(DAY(Kalemler!$D128),DAY(EOMONTH((Tahmin!$C$4+76),0))))&lt;&gt;DATE(YEAR((Tahmin!$C$4+70)),MONTH((Tahmin!$C$4+70)),MIN(DAY(Kalemler!$D128),DAY(EOMONTH((Tahmin!$C$4+70),0)))),DATE(YEAR((Tahmin!$C$4+76)),MONTH((Tahmin!$C$4+76)),MIN(DAY(Kalemler!$D128),DAY(EOMONTH((Tahmin!$C$4+76),0))))&gt;=Kalemler!$D128)),1,0),IF(AND(Kalemler!$D128&gt;=(Tahmin!$C$4+70),Kalemler!$D128&lt;=(Tahmin!$C$4+76)),1,0))))</f>
        <v>0</v>
      </c>
      <c r="M128" s="0" t="n">
        <f aca="false">IF(OR(Kalemler!$A128="",Kalemler!$C128="",Kalemler!$D128=""),0,Kalemler!$C128*IF(Kalemler!$E128="Haftalık",IF(Kalemler!$D128&lt;=(Tahmin!$C$4+83),1,0),IF(Kalemler!$E128="Aylık",IF(OR(AND(DATE(YEAR((Tahmin!$C$4+77)),MONTH((Tahmin!$C$4+77)),MIN(DAY(Kalemler!$D128),DAY(EOMONTH((Tahmin!$C$4+77),0))))&gt;=(Tahmin!$C$4+77),DATE(YEAR((Tahmin!$C$4+77)),MONTH((Tahmin!$C$4+77)),MIN(DAY(Kalemler!$D128),DAY(EOMONTH((Tahmin!$C$4+77),0))))&lt;=(Tahmin!$C$4+83),DATE(YEAR((Tahmin!$C$4+77)),MONTH((Tahmin!$C$4+77)),MIN(DAY(Kalemler!$D128),DAY(EOMONTH((Tahmin!$C$4+77),0))))&gt;=Kalemler!$D128),AND(DATE(YEAR((Tahmin!$C$4+83)),MONTH((Tahmin!$C$4+83)),MIN(DAY(Kalemler!$D128),DAY(EOMONTH((Tahmin!$C$4+83),0))))&gt;=(Tahmin!$C$4+77),DATE(YEAR((Tahmin!$C$4+83)),MONTH((Tahmin!$C$4+83)),MIN(DAY(Kalemler!$D128),DAY(EOMONTH((Tahmin!$C$4+83),0))))&lt;=(Tahmin!$C$4+83),DATE(YEAR((Tahmin!$C$4+83)),MONTH((Tahmin!$C$4+83)),MIN(DAY(Kalemler!$D128),DAY(EOMONTH((Tahmin!$C$4+83),0))))&lt;&gt;DATE(YEAR((Tahmin!$C$4+77)),MONTH((Tahmin!$C$4+77)),MIN(DAY(Kalemler!$D128),DAY(EOMONTH((Tahmin!$C$4+77),0)))),DATE(YEAR((Tahmin!$C$4+83)),MONTH((Tahmin!$C$4+83)),MIN(DAY(Kalemler!$D128),DAY(EOMONTH((Tahmin!$C$4+83),0))))&gt;=Kalemler!$D128)),1,0),IF(AND(Kalemler!$D128&gt;=(Tahmin!$C$4+77),Kalemler!$D128&lt;=(Tahmin!$C$4+83)),1,0))))</f>
        <v>0</v>
      </c>
      <c r="N128" s="0" t="n">
        <f aca="false">IF(OR(Kalemler!$A128="",Kalemler!$C128="",Kalemler!$D128=""),0,Kalemler!$C128*IF(Kalemler!$E128="Haftalık",IF(Kalemler!$D128&lt;=(Tahmin!$C$4+90),1,0),IF(Kalemler!$E128="Aylık",IF(OR(AND(DATE(YEAR((Tahmin!$C$4+84)),MONTH((Tahmin!$C$4+84)),MIN(DAY(Kalemler!$D128),DAY(EOMONTH((Tahmin!$C$4+84),0))))&gt;=(Tahmin!$C$4+84),DATE(YEAR((Tahmin!$C$4+84)),MONTH((Tahmin!$C$4+84)),MIN(DAY(Kalemler!$D128),DAY(EOMONTH((Tahmin!$C$4+84),0))))&lt;=(Tahmin!$C$4+90),DATE(YEAR((Tahmin!$C$4+84)),MONTH((Tahmin!$C$4+84)),MIN(DAY(Kalemler!$D128),DAY(EOMONTH((Tahmin!$C$4+84),0))))&gt;=Kalemler!$D128),AND(DATE(YEAR((Tahmin!$C$4+90)),MONTH((Tahmin!$C$4+90)),MIN(DAY(Kalemler!$D128),DAY(EOMONTH((Tahmin!$C$4+90),0))))&gt;=(Tahmin!$C$4+84),DATE(YEAR((Tahmin!$C$4+90)),MONTH((Tahmin!$C$4+90)),MIN(DAY(Kalemler!$D128),DAY(EOMONTH((Tahmin!$C$4+90),0))))&lt;=(Tahmin!$C$4+90),DATE(YEAR((Tahmin!$C$4+90)),MONTH((Tahmin!$C$4+90)),MIN(DAY(Kalemler!$D128),DAY(EOMONTH((Tahmin!$C$4+90),0))))&lt;&gt;DATE(YEAR((Tahmin!$C$4+84)),MONTH((Tahmin!$C$4+84)),MIN(DAY(Kalemler!$D128),DAY(EOMONTH((Tahmin!$C$4+84),0)))),DATE(YEAR((Tahmin!$C$4+90)),MONTH((Tahmin!$C$4+90)),MIN(DAY(Kalemler!$D128),DAY(EOMONTH((Tahmin!$C$4+90),0))))&gt;=Kalemler!$D128)),1,0),IF(AND(Kalemler!$D128&gt;=(Tahmin!$C$4+84),Kalemler!$D128&lt;=(Tahmin!$C$4+90)),1,0))))</f>
        <v>0</v>
      </c>
    </row>
    <row r="129" customFormat="false" ht="15" hidden="false" customHeight="false" outlineLevel="0" collapsed="false">
      <c r="A129" s="0" t="str">
        <f aca="false">IF(Kalemler!A129="","",Kalemler!A129)</f>
        <v/>
      </c>
      <c r="B129" s="0" t="n">
        <f aca="false">IF(OR(Kalemler!$A129="",Kalemler!$C129="",Kalemler!$D129=""),0,Kalemler!$C129*IF(Kalemler!$E129="Haftalık",IF(Kalemler!$D129&lt;=(Tahmin!$C$4+6),1,0),IF(Kalemler!$E129="Aylık",IF(OR(AND(DATE(YEAR((Tahmin!$C$4+0)),MONTH((Tahmin!$C$4+0)),MIN(DAY(Kalemler!$D129),DAY(EOMONTH((Tahmin!$C$4+0),0))))&gt;=(Tahmin!$C$4+0),DATE(YEAR((Tahmin!$C$4+0)),MONTH((Tahmin!$C$4+0)),MIN(DAY(Kalemler!$D129),DAY(EOMONTH((Tahmin!$C$4+0),0))))&lt;=(Tahmin!$C$4+6),DATE(YEAR((Tahmin!$C$4+0)),MONTH((Tahmin!$C$4+0)),MIN(DAY(Kalemler!$D129),DAY(EOMONTH((Tahmin!$C$4+0),0))))&gt;=Kalemler!$D129),AND(DATE(YEAR((Tahmin!$C$4+6)),MONTH((Tahmin!$C$4+6)),MIN(DAY(Kalemler!$D129),DAY(EOMONTH((Tahmin!$C$4+6),0))))&gt;=(Tahmin!$C$4+0),DATE(YEAR((Tahmin!$C$4+6)),MONTH((Tahmin!$C$4+6)),MIN(DAY(Kalemler!$D129),DAY(EOMONTH((Tahmin!$C$4+6),0))))&lt;=(Tahmin!$C$4+6),DATE(YEAR((Tahmin!$C$4+6)),MONTH((Tahmin!$C$4+6)),MIN(DAY(Kalemler!$D129),DAY(EOMONTH((Tahmin!$C$4+6),0))))&lt;&gt;DATE(YEAR((Tahmin!$C$4+0)),MONTH((Tahmin!$C$4+0)),MIN(DAY(Kalemler!$D129),DAY(EOMONTH((Tahmin!$C$4+0),0)))),DATE(YEAR((Tahmin!$C$4+6)),MONTH((Tahmin!$C$4+6)),MIN(DAY(Kalemler!$D129),DAY(EOMONTH((Tahmin!$C$4+6),0))))&gt;=Kalemler!$D129)),1,0),IF(AND(Kalemler!$D129&gt;=(Tahmin!$C$4+0),Kalemler!$D129&lt;=(Tahmin!$C$4+6)),1,0))))</f>
        <v>0</v>
      </c>
      <c r="C129" s="0" t="n">
        <f aca="false">IF(OR(Kalemler!$A129="",Kalemler!$C129="",Kalemler!$D129=""),0,Kalemler!$C129*IF(Kalemler!$E129="Haftalık",IF(Kalemler!$D129&lt;=(Tahmin!$C$4+13),1,0),IF(Kalemler!$E129="Aylık",IF(OR(AND(DATE(YEAR((Tahmin!$C$4+7)),MONTH((Tahmin!$C$4+7)),MIN(DAY(Kalemler!$D129),DAY(EOMONTH((Tahmin!$C$4+7),0))))&gt;=(Tahmin!$C$4+7),DATE(YEAR((Tahmin!$C$4+7)),MONTH((Tahmin!$C$4+7)),MIN(DAY(Kalemler!$D129),DAY(EOMONTH((Tahmin!$C$4+7),0))))&lt;=(Tahmin!$C$4+13),DATE(YEAR((Tahmin!$C$4+7)),MONTH((Tahmin!$C$4+7)),MIN(DAY(Kalemler!$D129),DAY(EOMONTH((Tahmin!$C$4+7),0))))&gt;=Kalemler!$D129),AND(DATE(YEAR((Tahmin!$C$4+13)),MONTH((Tahmin!$C$4+13)),MIN(DAY(Kalemler!$D129),DAY(EOMONTH((Tahmin!$C$4+13),0))))&gt;=(Tahmin!$C$4+7),DATE(YEAR((Tahmin!$C$4+13)),MONTH((Tahmin!$C$4+13)),MIN(DAY(Kalemler!$D129),DAY(EOMONTH((Tahmin!$C$4+13),0))))&lt;=(Tahmin!$C$4+13),DATE(YEAR((Tahmin!$C$4+13)),MONTH((Tahmin!$C$4+13)),MIN(DAY(Kalemler!$D129),DAY(EOMONTH((Tahmin!$C$4+13),0))))&lt;&gt;DATE(YEAR((Tahmin!$C$4+7)),MONTH((Tahmin!$C$4+7)),MIN(DAY(Kalemler!$D129),DAY(EOMONTH((Tahmin!$C$4+7),0)))),DATE(YEAR((Tahmin!$C$4+13)),MONTH((Tahmin!$C$4+13)),MIN(DAY(Kalemler!$D129),DAY(EOMONTH((Tahmin!$C$4+13),0))))&gt;=Kalemler!$D129)),1,0),IF(AND(Kalemler!$D129&gt;=(Tahmin!$C$4+7),Kalemler!$D129&lt;=(Tahmin!$C$4+13)),1,0))))</f>
        <v>0</v>
      </c>
      <c r="D129" s="0" t="n">
        <f aca="false">IF(OR(Kalemler!$A129="",Kalemler!$C129="",Kalemler!$D129=""),0,Kalemler!$C129*IF(Kalemler!$E129="Haftalık",IF(Kalemler!$D129&lt;=(Tahmin!$C$4+20),1,0),IF(Kalemler!$E129="Aylık",IF(OR(AND(DATE(YEAR((Tahmin!$C$4+14)),MONTH((Tahmin!$C$4+14)),MIN(DAY(Kalemler!$D129),DAY(EOMONTH((Tahmin!$C$4+14),0))))&gt;=(Tahmin!$C$4+14),DATE(YEAR((Tahmin!$C$4+14)),MONTH((Tahmin!$C$4+14)),MIN(DAY(Kalemler!$D129),DAY(EOMONTH((Tahmin!$C$4+14),0))))&lt;=(Tahmin!$C$4+20),DATE(YEAR((Tahmin!$C$4+14)),MONTH((Tahmin!$C$4+14)),MIN(DAY(Kalemler!$D129),DAY(EOMONTH((Tahmin!$C$4+14),0))))&gt;=Kalemler!$D129),AND(DATE(YEAR((Tahmin!$C$4+20)),MONTH((Tahmin!$C$4+20)),MIN(DAY(Kalemler!$D129),DAY(EOMONTH((Tahmin!$C$4+20),0))))&gt;=(Tahmin!$C$4+14),DATE(YEAR((Tahmin!$C$4+20)),MONTH((Tahmin!$C$4+20)),MIN(DAY(Kalemler!$D129),DAY(EOMONTH((Tahmin!$C$4+20),0))))&lt;=(Tahmin!$C$4+20),DATE(YEAR((Tahmin!$C$4+20)),MONTH((Tahmin!$C$4+20)),MIN(DAY(Kalemler!$D129),DAY(EOMONTH((Tahmin!$C$4+20),0))))&lt;&gt;DATE(YEAR((Tahmin!$C$4+14)),MONTH((Tahmin!$C$4+14)),MIN(DAY(Kalemler!$D129),DAY(EOMONTH((Tahmin!$C$4+14),0)))),DATE(YEAR((Tahmin!$C$4+20)),MONTH((Tahmin!$C$4+20)),MIN(DAY(Kalemler!$D129),DAY(EOMONTH((Tahmin!$C$4+20),0))))&gt;=Kalemler!$D129)),1,0),IF(AND(Kalemler!$D129&gt;=(Tahmin!$C$4+14),Kalemler!$D129&lt;=(Tahmin!$C$4+20)),1,0))))</f>
        <v>0</v>
      </c>
      <c r="E129" s="0" t="n">
        <f aca="false">IF(OR(Kalemler!$A129="",Kalemler!$C129="",Kalemler!$D129=""),0,Kalemler!$C129*IF(Kalemler!$E129="Haftalık",IF(Kalemler!$D129&lt;=(Tahmin!$C$4+27),1,0),IF(Kalemler!$E129="Aylık",IF(OR(AND(DATE(YEAR((Tahmin!$C$4+21)),MONTH((Tahmin!$C$4+21)),MIN(DAY(Kalemler!$D129),DAY(EOMONTH((Tahmin!$C$4+21),0))))&gt;=(Tahmin!$C$4+21),DATE(YEAR((Tahmin!$C$4+21)),MONTH((Tahmin!$C$4+21)),MIN(DAY(Kalemler!$D129),DAY(EOMONTH((Tahmin!$C$4+21),0))))&lt;=(Tahmin!$C$4+27),DATE(YEAR((Tahmin!$C$4+21)),MONTH((Tahmin!$C$4+21)),MIN(DAY(Kalemler!$D129),DAY(EOMONTH((Tahmin!$C$4+21),0))))&gt;=Kalemler!$D129),AND(DATE(YEAR((Tahmin!$C$4+27)),MONTH((Tahmin!$C$4+27)),MIN(DAY(Kalemler!$D129),DAY(EOMONTH((Tahmin!$C$4+27),0))))&gt;=(Tahmin!$C$4+21),DATE(YEAR((Tahmin!$C$4+27)),MONTH((Tahmin!$C$4+27)),MIN(DAY(Kalemler!$D129),DAY(EOMONTH((Tahmin!$C$4+27),0))))&lt;=(Tahmin!$C$4+27),DATE(YEAR((Tahmin!$C$4+27)),MONTH((Tahmin!$C$4+27)),MIN(DAY(Kalemler!$D129),DAY(EOMONTH((Tahmin!$C$4+27),0))))&lt;&gt;DATE(YEAR((Tahmin!$C$4+21)),MONTH((Tahmin!$C$4+21)),MIN(DAY(Kalemler!$D129),DAY(EOMONTH((Tahmin!$C$4+21),0)))),DATE(YEAR((Tahmin!$C$4+27)),MONTH((Tahmin!$C$4+27)),MIN(DAY(Kalemler!$D129),DAY(EOMONTH((Tahmin!$C$4+27),0))))&gt;=Kalemler!$D129)),1,0),IF(AND(Kalemler!$D129&gt;=(Tahmin!$C$4+21),Kalemler!$D129&lt;=(Tahmin!$C$4+27)),1,0))))</f>
        <v>0</v>
      </c>
      <c r="F129" s="0" t="n">
        <f aca="false">IF(OR(Kalemler!$A129="",Kalemler!$C129="",Kalemler!$D129=""),0,Kalemler!$C129*IF(Kalemler!$E129="Haftalık",IF(Kalemler!$D129&lt;=(Tahmin!$C$4+34),1,0),IF(Kalemler!$E129="Aylık",IF(OR(AND(DATE(YEAR((Tahmin!$C$4+28)),MONTH((Tahmin!$C$4+28)),MIN(DAY(Kalemler!$D129),DAY(EOMONTH((Tahmin!$C$4+28),0))))&gt;=(Tahmin!$C$4+28),DATE(YEAR((Tahmin!$C$4+28)),MONTH((Tahmin!$C$4+28)),MIN(DAY(Kalemler!$D129),DAY(EOMONTH((Tahmin!$C$4+28),0))))&lt;=(Tahmin!$C$4+34),DATE(YEAR((Tahmin!$C$4+28)),MONTH((Tahmin!$C$4+28)),MIN(DAY(Kalemler!$D129),DAY(EOMONTH((Tahmin!$C$4+28),0))))&gt;=Kalemler!$D129),AND(DATE(YEAR((Tahmin!$C$4+34)),MONTH((Tahmin!$C$4+34)),MIN(DAY(Kalemler!$D129),DAY(EOMONTH((Tahmin!$C$4+34),0))))&gt;=(Tahmin!$C$4+28),DATE(YEAR((Tahmin!$C$4+34)),MONTH((Tahmin!$C$4+34)),MIN(DAY(Kalemler!$D129),DAY(EOMONTH((Tahmin!$C$4+34),0))))&lt;=(Tahmin!$C$4+34),DATE(YEAR((Tahmin!$C$4+34)),MONTH((Tahmin!$C$4+34)),MIN(DAY(Kalemler!$D129),DAY(EOMONTH((Tahmin!$C$4+34),0))))&lt;&gt;DATE(YEAR((Tahmin!$C$4+28)),MONTH((Tahmin!$C$4+28)),MIN(DAY(Kalemler!$D129),DAY(EOMONTH((Tahmin!$C$4+28),0)))),DATE(YEAR((Tahmin!$C$4+34)),MONTH((Tahmin!$C$4+34)),MIN(DAY(Kalemler!$D129),DAY(EOMONTH((Tahmin!$C$4+34),0))))&gt;=Kalemler!$D129)),1,0),IF(AND(Kalemler!$D129&gt;=(Tahmin!$C$4+28),Kalemler!$D129&lt;=(Tahmin!$C$4+34)),1,0))))</f>
        <v>0</v>
      </c>
      <c r="G129" s="0" t="n">
        <f aca="false">IF(OR(Kalemler!$A129="",Kalemler!$C129="",Kalemler!$D129=""),0,Kalemler!$C129*IF(Kalemler!$E129="Haftalık",IF(Kalemler!$D129&lt;=(Tahmin!$C$4+41),1,0),IF(Kalemler!$E129="Aylık",IF(OR(AND(DATE(YEAR((Tahmin!$C$4+35)),MONTH((Tahmin!$C$4+35)),MIN(DAY(Kalemler!$D129),DAY(EOMONTH((Tahmin!$C$4+35),0))))&gt;=(Tahmin!$C$4+35),DATE(YEAR((Tahmin!$C$4+35)),MONTH((Tahmin!$C$4+35)),MIN(DAY(Kalemler!$D129),DAY(EOMONTH((Tahmin!$C$4+35),0))))&lt;=(Tahmin!$C$4+41),DATE(YEAR((Tahmin!$C$4+35)),MONTH((Tahmin!$C$4+35)),MIN(DAY(Kalemler!$D129),DAY(EOMONTH((Tahmin!$C$4+35),0))))&gt;=Kalemler!$D129),AND(DATE(YEAR((Tahmin!$C$4+41)),MONTH((Tahmin!$C$4+41)),MIN(DAY(Kalemler!$D129),DAY(EOMONTH((Tahmin!$C$4+41),0))))&gt;=(Tahmin!$C$4+35),DATE(YEAR((Tahmin!$C$4+41)),MONTH((Tahmin!$C$4+41)),MIN(DAY(Kalemler!$D129),DAY(EOMONTH((Tahmin!$C$4+41),0))))&lt;=(Tahmin!$C$4+41),DATE(YEAR((Tahmin!$C$4+41)),MONTH((Tahmin!$C$4+41)),MIN(DAY(Kalemler!$D129),DAY(EOMONTH((Tahmin!$C$4+41),0))))&lt;&gt;DATE(YEAR((Tahmin!$C$4+35)),MONTH((Tahmin!$C$4+35)),MIN(DAY(Kalemler!$D129),DAY(EOMONTH((Tahmin!$C$4+35),0)))),DATE(YEAR((Tahmin!$C$4+41)),MONTH((Tahmin!$C$4+41)),MIN(DAY(Kalemler!$D129),DAY(EOMONTH((Tahmin!$C$4+41),0))))&gt;=Kalemler!$D129)),1,0),IF(AND(Kalemler!$D129&gt;=(Tahmin!$C$4+35),Kalemler!$D129&lt;=(Tahmin!$C$4+41)),1,0))))</f>
        <v>0</v>
      </c>
      <c r="H129" s="0" t="n">
        <f aca="false">IF(OR(Kalemler!$A129="",Kalemler!$C129="",Kalemler!$D129=""),0,Kalemler!$C129*IF(Kalemler!$E129="Haftalık",IF(Kalemler!$D129&lt;=(Tahmin!$C$4+48),1,0),IF(Kalemler!$E129="Aylık",IF(OR(AND(DATE(YEAR((Tahmin!$C$4+42)),MONTH((Tahmin!$C$4+42)),MIN(DAY(Kalemler!$D129),DAY(EOMONTH((Tahmin!$C$4+42),0))))&gt;=(Tahmin!$C$4+42),DATE(YEAR((Tahmin!$C$4+42)),MONTH((Tahmin!$C$4+42)),MIN(DAY(Kalemler!$D129),DAY(EOMONTH((Tahmin!$C$4+42),0))))&lt;=(Tahmin!$C$4+48),DATE(YEAR((Tahmin!$C$4+42)),MONTH((Tahmin!$C$4+42)),MIN(DAY(Kalemler!$D129),DAY(EOMONTH((Tahmin!$C$4+42),0))))&gt;=Kalemler!$D129),AND(DATE(YEAR((Tahmin!$C$4+48)),MONTH((Tahmin!$C$4+48)),MIN(DAY(Kalemler!$D129),DAY(EOMONTH((Tahmin!$C$4+48),0))))&gt;=(Tahmin!$C$4+42),DATE(YEAR((Tahmin!$C$4+48)),MONTH((Tahmin!$C$4+48)),MIN(DAY(Kalemler!$D129),DAY(EOMONTH((Tahmin!$C$4+48),0))))&lt;=(Tahmin!$C$4+48),DATE(YEAR((Tahmin!$C$4+48)),MONTH((Tahmin!$C$4+48)),MIN(DAY(Kalemler!$D129),DAY(EOMONTH((Tahmin!$C$4+48),0))))&lt;&gt;DATE(YEAR((Tahmin!$C$4+42)),MONTH((Tahmin!$C$4+42)),MIN(DAY(Kalemler!$D129),DAY(EOMONTH((Tahmin!$C$4+42),0)))),DATE(YEAR((Tahmin!$C$4+48)),MONTH((Tahmin!$C$4+48)),MIN(DAY(Kalemler!$D129),DAY(EOMONTH((Tahmin!$C$4+48),0))))&gt;=Kalemler!$D129)),1,0),IF(AND(Kalemler!$D129&gt;=(Tahmin!$C$4+42),Kalemler!$D129&lt;=(Tahmin!$C$4+48)),1,0))))</f>
        <v>0</v>
      </c>
      <c r="I129" s="0" t="n">
        <f aca="false">IF(OR(Kalemler!$A129="",Kalemler!$C129="",Kalemler!$D129=""),0,Kalemler!$C129*IF(Kalemler!$E129="Haftalık",IF(Kalemler!$D129&lt;=(Tahmin!$C$4+55),1,0),IF(Kalemler!$E129="Aylık",IF(OR(AND(DATE(YEAR((Tahmin!$C$4+49)),MONTH((Tahmin!$C$4+49)),MIN(DAY(Kalemler!$D129),DAY(EOMONTH((Tahmin!$C$4+49),0))))&gt;=(Tahmin!$C$4+49),DATE(YEAR((Tahmin!$C$4+49)),MONTH((Tahmin!$C$4+49)),MIN(DAY(Kalemler!$D129),DAY(EOMONTH((Tahmin!$C$4+49),0))))&lt;=(Tahmin!$C$4+55),DATE(YEAR((Tahmin!$C$4+49)),MONTH((Tahmin!$C$4+49)),MIN(DAY(Kalemler!$D129),DAY(EOMONTH((Tahmin!$C$4+49),0))))&gt;=Kalemler!$D129),AND(DATE(YEAR((Tahmin!$C$4+55)),MONTH((Tahmin!$C$4+55)),MIN(DAY(Kalemler!$D129),DAY(EOMONTH((Tahmin!$C$4+55),0))))&gt;=(Tahmin!$C$4+49),DATE(YEAR((Tahmin!$C$4+55)),MONTH((Tahmin!$C$4+55)),MIN(DAY(Kalemler!$D129),DAY(EOMONTH((Tahmin!$C$4+55),0))))&lt;=(Tahmin!$C$4+55),DATE(YEAR((Tahmin!$C$4+55)),MONTH((Tahmin!$C$4+55)),MIN(DAY(Kalemler!$D129),DAY(EOMONTH((Tahmin!$C$4+55),0))))&lt;&gt;DATE(YEAR((Tahmin!$C$4+49)),MONTH((Tahmin!$C$4+49)),MIN(DAY(Kalemler!$D129),DAY(EOMONTH((Tahmin!$C$4+49),0)))),DATE(YEAR((Tahmin!$C$4+55)),MONTH((Tahmin!$C$4+55)),MIN(DAY(Kalemler!$D129),DAY(EOMONTH((Tahmin!$C$4+55),0))))&gt;=Kalemler!$D129)),1,0),IF(AND(Kalemler!$D129&gt;=(Tahmin!$C$4+49),Kalemler!$D129&lt;=(Tahmin!$C$4+55)),1,0))))</f>
        <v>0</v>
      </c>
      <c r="J129" s="0" t="n">
        <f aca="false">IF(OR(Kalemler!$A129="",Kalemler!$C129="",Kalemler!$D129=""),0,Kalemler!$C129*IF(Kalemler!$E129="Haftalık",IF(Kalemler!$D129&lt;=(Tahmin!$C$4+62),1,0),IF(Kalemler!$E129="Aylık",IF(OR(AND(DATE(YEAR((Tahmin!$C$4+56)),MONTH((Tahmin!$C$4+56)),MIN(DAY(Kalemler!$D129),DAY(EOMONTH((Tahmin!$C$4+56),0))))&gt;=(Tahmin!$C$4+56),DATE(YEAR((Tahmin!$C$4+56)),MONTH((Tahmin!$C$4+56)),MIN(DAY(Kalemler!$D129),DAY(EOMONTH((Tahmin!$C$4+56),0))))&lt;=(Tahmin!$C$4+62),DATE(YEAR((Tahmin!$C$4+56)),MONTH((Tahmin!$C$4+56)),MIN(DAY(Kalemler!$D129),DAY(EOMONTH((Tahmin!$C$4+56),0))))&gt;=Kalemler!$D129),AND(DATE(YEAR((Tahmin!$C$4+62)),MONTH((Tahmin!$C$4+62)),MIN(DAY(Kalemler!$D129),DAY(EOMONTH((Tahmin!$C$4+62),0))))&gt;=(Tahmin!$C$4+56),DATE(YEAR((Tahmin!$C$4+62)),MONTH((Tahmin!$C$4+62)),MIN(DAY(Kalemler!$D129),DAY(EOMONTH((Tahmin!$C$4+62),0))))&lt;=(Tahmin!$C$4+62),DATE(YEAR((Tahmin!$C$4+62)),MONTH((Tahmin!$C$4+62)),MIN(DAY(Kalemler!$D129),DAY(EOMONTH((Tahmin!$C$4+62),0))))&lt;&gt;DATE(YEAR((Tahmin!$C$4+56)),MONTH((Tahmin!$C$4+56)),MIN(DAY(Kalemler!$D129),DAY(EOMONTH((Tahmin!$C$4+56),0)))),DATE(YEAR((Tahmin!$C$4+62)),MONTH((Tahmin!$C$4+62)),MIN(DAY(Kalemler!$D129),DAY(EOMONTH((Tahmin!$C$4+62),0))))&gt;=Kalemler!$D129)),1,0),IF(AND(Kalemler!$D129&gt;=(Tahmin!$C$4+56),Kalemler!$D129&lt;=(Tahmin!$C$4+62)),1,0))))</f>
        <v>0</v>
      </c>
      <c r="K129" s="0" t="n">
        <f aca="false">IF(OR(Kalemler!$A129="",Kalemler!$C129="",Kalemler!$D129=""),0,Kalemler!$C129*IF(Kalemler!$E129="Haftalık",IF(Kalemler!$D129&lt;=(Tahmin!$C$4+69),1,0),IF(Kalemler!$E129="Aylık",IF(OR(AND(DATE(YEAR((Tahmin!$C$4+63)),MONTH((Tahmin!$C$4+63)),MIN(DAY(Kalemler!$D129),DAY(EOMONTH((Tahmin!$C$4+63),0))))&gt;=(Tahmin!$C$4+63),DATE(YEAR((Tahmin!$C$4+63)),MONTH((Tahmin!$C$4+63)),MIN(DAY(Kalemler!$D129),DAY(EOMONTH((Tahmin!$C$4+63),0))))&lt;=(Tahmin!$C$4+69),DATE(YEAR((Tahmin!$C$4+63)),MONTH((Tahmin!$C$4+63)),MIN(DAY(Kalemler!$D129),DAY(EOMONTH((Tahmin!$C$4+63),0))))&gt;=Kalemler!$D129),AND(DATE(YEAR((Tahmin!$C$4+69)),MONTH((Tahmin!$C$4+69)),MIN(DAY(Kalemler!$D129),DAY(EOMONTH((Tahmin!$C$4+69),0))))&gt;=(Tahmin!$C$4+63),DATE(YEAR((Tahmin!$C$4+69)),MONTH((Tahmin!$C$4+69)),MIN(DAY(Kalemler!$D129),DAY(EOMONTH((Tahmin!$C$4+69),0))))&lt;=(Tahmin!$C$4+69),DATE(YEAR((Tahmin!$C$4+69)),MONTH((Tahmin!$C$4+69)),MIN(DAY(Kalemler!$D129),DAY(EOMONTH((Tahmin!$C$4+69),0))))&lt;&gt;DATE(YEAR((Tahmin!$C$4+63)),MONTH((Tahmin!$C$4+63)),MIN(DAY(Kalemler!$D129),DAY(EOMONTH((Tahmin!$C$4+63),0)))),DATE(YEAR((Tahmin!$C$4+69)),MONTH((Tahmin!$C$4+69)),MIN(DAY(Kalemler!$D129),DAY(EOMONTH((Tahmin!$C$4+69),0))))&gt;=Kalemler!$D129)),1,0),IF(AND(Kalemler!$D129&gt;=(Tahmin!$C$4+63),Kalemler!$D129&lt;=(Tahmin!$C$4+69)),1,0))))</f>
        <v>0</v>
      </c>
      <c r="L129" s="0" t="n">
        <f aca="false">IF(OR(Kalemler!$A129="",Kalemler!$C129="",Kalemler!$D129=""),0,Kalemler!$C129*IF(Kalemler!$E129="Haftalık",IF(Kalemler!$D129&lt;=(Tahmin!$C$4+76),1,0),IF(Kalemler!$E129="Aylık",IF(OR(AND(DATE(YEAR((Tahmin!$C$4+70)),MONTH((Tahmin!$C$4+70)),MIN(DAY(Kalemler!$D129),DAY(EOMONTH((Tahmin!$C$4+70),0))))&gt;=(Tahmin!$C$4+70),DATE(YEAR((Tahmin!$C$4+70)),MONTH((Tahmin!$C$4+70)),MIN(DAY(Kalemler!$D129),DAY(EOMONTH((Tahmin!$C$4+70),0))))&lt;=(Tahmin!$C$4+76),DATE(YEAR((Tahmin!$C$4+70)),MONTH((Tahmin!$C$4+70)),MIN(DAY(Kalemler!$D129),DAY(EOMONTH((Tahmin!$C$4+70),0))))&gt;=Kalemler!$D129),AND(DATE(YEAR((Tahmin!$C$4+76)),MONTH((Tahmin!$C$4+76)),MIN(DAY(Kalemler!$D129),DAY(EOMONTH((Tahmin!$C$4+76),0))))&gt;=(Tahmin!$C$4+70),DATE(YEAR((Tahmin!$C$4+76)),MONTH((Tahmin!$C$4+76)),MIN(DAY(Kalemler!$D129),DAY(EOMONTH((Tahmin!$C$4+76),0))))&lt;=(Tahmin!$C$4+76),DATE(YEAR((Tahmin!$C$4+76)),MONTH((Tahmin!$C$4+76)),MIN(DAY(Kalemler!$D129),DAY(EOMONTH((Tahmin!$C$4+76),0))))&lt;&gt;DATE(YEAR((Tahmin!$C$4+70)),MONTH((Tahmin!$C$4+70)),MIN(DAY(Kalemler!$D129),DAY(EOMONTH((Tahmin!$C$4+70),0)))),DATE(YEAR((Tahmin!$C$4+76)),MONTH((Tahmin!$C$4+76)),MIN(DAY(Kalemler!$D129),DAY(EOMONTH((Tahmin!$C$4+76),0))))&gt;=Kalemler!$D129)),1,0),IF(AND(Kalemler!$D129&gt;=(Tahmin!$C$4+70),Kalemler!$D129&lt;=(Tahmin!$C$4+76)),1,0))))</f>
        <v>0</v>
      </c>
      <c r="M129" s="0" t="n">
        <f aca="false">IF(OR(Kalemler!$A129="",Kalemler!$C129="",Kalemler!$D129=""),0,Kalemler!$C129*IF(Kalemler!$E129="Haftalık",IF(Kalemler!$D129&lt;=(Tahmin!$C$4+83),1,0),IF(Kalemler!$E129="Aylık",IF(OR(AND(DATE(YEAR((Tahmin!$C$4+77)),MONTH((Tahmin!$C$4+77)),MIN(DAY(Kalemler!$D129),DAY(EOMONTH((Tahmin!$C$4+77),0))))&gt;=(Tahmin!$C$4+77),DATE(YEAR((Tahmin!$C$4+77)),MONTH((Tahmin!$C$4+77)),MIN(DAY(Kalemler!$D129),DAY(EOMONTH((Tahmin!$C$4+77),0))))&lt;=(Tahmin!$C$4+83),DATE(YEAR((Tahmin!$C$4+77)),MONTH((Tahmin!$C$4+77)),MIN(DAY(Kalemler!$D129),DAY(EOMONTH((Tahmin!$C$4+77),0))))&gt;=Kalemler!$D129),AND(DATE(YEAR((Tahmin!$C$4+83)),MONTH((Tahmin!$C$4+83)),MIN(DAY(Kalemler!$D129),DAY(EOMONTH((Tahmin!$C$4+83),0))))&gt;=(Tahmin!$C$4+77),DATE(YEAR((Tahmin!$C$4+83)),MONTH((Tahmin!$C$4+83)),MIN(DAY(Kalemler!$D129),DAY(EOMONTH((Tahmin!$C$4+83),0))))&lt;=(Tahmin!$C$4+83),DATE(YEAR((Tahmin!$C$4+83)),MONTH((Tahmin!$C$4+83)),MIN(DAY(Kalemler!$D129),DAY(EOMONTH((Tahmin!$C$4+83),0))))&lt;&gt;DATE(YEAR((Tahmin!$C$4+77)),MONTH((Tahmin!$C$4+77)),MIN(DAY(Kalemler!$D129),DAY(EOMONTH((Tahmin!$C$4+77),0)))),DATE(YEAR((Tahmin!$C$4+83)),MONTH((Tahmin!$C$4+83)),MIN(DAY(Kalemler!$D129),DAY(EOMONTH((Tahmin!$C$4+83),0))))&gt;=Kalemler!$D129)),1,0),IF(AND(Kalemler!$D129&gt;=(Tahmin!$C$4+77),Kalemler!$D129&lt;=(Tahmin!$C$4+83)),1,0))))</f>
        <v>0</v>
      </c>
      <c r="N129" s="0" t="n">
        <f aca="false">IF(OR(Kalemler!$A129="",Kalemler!$C129="",Kalemler!$D129=""),0,Kalemler!$C129*IF(Kalemler!$E129="Haftalık",IF(Kalemler!$D129&lt;=(Tahmin!$C$4+90),1,0),IF(Kalemler!$E129="Aylık",IF(OR(AND(DATE(YEAR((Tahmin!$C$4+84)),MONTH((Tahmin!$C$4+84)),MIN(DAY(Kalemler!$D129),DAY(EOMONTH((Tahmin!$C$4+84),0))))&gt;=(Tahmin!$C$4+84),DATE(YEAR((Tahmin!$C$4+84)),MONTH((Tahmin!$C$4+84)),MIN(DAY(Kalemler!$D129),DAY(EOMONTH((Tahmin!$C$4+84),0))))&lt;=(Tahmin!$C$4+90),DATE(YEAR((Tahmin!$C$4+84)),MONTH((Tahmin!$C$4+84)),MIN(DAY(Kalemler!$D129),DAY(EOMONTH((Tahmin!$C$4+84),0))))&gt;=Kalemler!$D129),AND(DATE(YEAR((Tahmin!$C$4+90)),MONTH((Tahmin!$C$4+90)),MIN(DAY(Kalemler!$D129),DAY(EOMONTH((Tahmin!$C$4+90),0))))&gt;=(Tahmin!$C$4+84),DATE(YEAR((Tahmin!$C$4+90)),MONTH((Tahmin!$C$4+90)),MIN(DAY(Kalemler!$D129),DAY(EOMONTH((Tahmin!$C$4+90),0))))&lt;=(Tahmin!$C$4+90),DATE(YEAR((Tahmin!$C$4+90)),MONTH((Tahmin!$C$4+90)),MIN(DAY(Kalemler!$D129),DAY(EOMONTH((Tahmin!$C$4+90),0))))&lt;&gt;DATE(YEAR((Tahmin!$C$4+84)),MONTH((Tahmin!$C$4+84)),MIN(DAY(Kalemler!$D129),DAY(EOMONTH((Tahmin!$C$4+84),0)))),DATE(YEAR((Tahmin!$C$4+90)),MONTH((Tahmin!$C$4+90)),MIN(DAY(Kalemler!$D129),DAY(EOMONTH((Tahmin!$C$4+90),0))))&gt;=Kalemler!$D129)),1,0),IF(AND(Kalemler!$D129&gt;=(Tahmin!$C$4+84),Kalemler!$D129&lt;=(Tahmin!$C$4+90)),1,0))))</f>
        <v>0</v>
      </c>
    </row>
    <row r="130" customFormat="false" ht="15" hidden="false" customHeight="false" outlineLevel="0" collapsed="false">
      <c r="A130" s="0" t="str">
        <f aca="false">IF(Kalemler!A130="","",Kalemler!A130)</f>
        <v/>
      </c>
      <c r="B130" s="0" t="n">
        <f aca="false">IF(OR(Kalemler!$A130="",Kalemler!$C130="",Kalemler!$D130=""),0,Kalemler!$C130*IF(Kalemler!$E130="Haftalık",IF(Kalemler!$D130&lt;=(Tahmin!$C$4+6),1,0),IF(Kalemler!$E130="Aylık",IF(OR(AND(DATE(YEAR((Tahmin!$C$4+0)),MONTH((Tahmin!$C$4+0)),MIN(DAY(Kalemler!$D130),DAY(EOMONTH((Tahmin!$C$4+0),0))))&gt;=(Tahmin!$C$4+0),DATE(YEAR((Tahmin!$C$4+0)),MONTH((Tahmin!$C$4+0)),MIN(DAY(Kalemler!$D130),DAY(EOMONTH((Tahmin!$C$4+0),0))))&lt;=(Tahmin!$C$4+6),DATE(YEAR((Tahmin!$C$4+0)),MONTH((Tahmin!$C$4+0)),MIN(DAY(Kalemler!$D130),DAY(EOMONTH((Tahmin!$C$4+0),0))))&gt;=Kalemler!$D130),AND(DATE(YEAR((Tahmin!$C$4+6)),MONTH((Tahmin!$C$4+6)),MIN(DAY(Kalemler!$D130),DAY(EOMONTH((Tahmin!$C$4+6),0))))&gt;=(Tahmin!$C$4+0),DATE(YEAR((Tahmin!$C$4+6)),MONTH((Tahmin!$C$4+6)),MIN(DAY(Kalemler!$D130),DAY(EOMONTH((Tahmin!$C$4+6),0))))&lt;=(Tahmin!$C$4+6),DATE(YEAR((Tahmin!$C$4+6)),MONTH((Tahmin!$C$4+6)),MIN(DAY(Kalemler!$D130),DAY(EOMONTH((Tahmin!$C$4+6),0))))&lt;&gt;DATE(YEAR((Tahmin!$C$4+0)),MONTH((Tahmin!$C$4+0)),MIN(DAY(Kalemler!$D130),DAY(EOMONTH((Tahmin!$C$4+0),0)))),DATE(YEAR((Tahmin!$C$4+6)),MONTH((Tahmin!$C$4+6)),MIN(DAY(Kalemler!$D130),DAY(EOMONTH((Tahmin!$C$4+6),0))))&gt;=Kalemler!$D130)),1,0),IF(AND(Kalemler!$D130&gt;=(Tahmin!$C$4+0),Kalemler!$D130&lt;=(Tahmin!$C$4+6)),1,0))))</f>
        <v>0</v>
      </c>
      <c r="C130" s="0" t="n">
        <f aca="false">IF(OR(Kalemler!$A130="",Kalemler!$C130="",Kalemler!$D130=""),0,Kalemler!$C130*IF(Kalemler!$E130="Haftalık",IF(Kalemler!$D130&lt;=(Tahmin!$C$4+13),1,0),IF(Kalemler!$E130="Aylık",IF(OR(AND(DATE(YEAR((Tahmin!$C$4+7)),MONTH((Tahmin!$C$4+7)),MIN(DAY(Kalemler!$D130),DAY(EOMONTH((Tahmin!$C$4+7),0))))&gt;=(Tahmin!$C$4+7),DATE(YEAR((Tahmin!$C$4+7)),MONTH((Tahmin!$C$4+7)),MIN(DAY(Kalemler!$D130),DAY(EOMONTH((Tahmin!$C$4+7),0))))&lt;=(Tahmin!$C$4+13),DATE(YEAR((Tahmin!$C$4+7)),MONTH((Tahmin!$C$4+7)),MIN(DAY(Kalemler!$D130),DAY(EOMONTH((Tahmin!$C$4+7),0))))&gt;=Kalemler!$D130),AND(DATE(YEAR((Tahmin!$C$4+13)),MONTH((Tahmin!$C$4+13)),MIN(DAY(Kalemler!$D130),DAY(EOMONTH((Tahmin!$C$4+13),0))))&gt;=(Tahmin!$C$4+7),DATE(YEAR((Tahmin!$C$4+13)),MONTH((Tahmin!$C$4+13)),MIN(DAY(Kalemler!$D130),DAY(EOMONTH((Tahmin!$C$4+13),0))))&lt;=(Tahmin!$C$4+13),DATE(YEAR((Tahmin!$C$4+13)),MONTH((Tahmin!$C$4+13)),MIN(DAY(Kalemler!$D130),DAY(EOMONTH((Tahmin!$C$4+13),0))))&lt;&gt;DATE(YEAR((Tahmin!$C$4+7)),MONTH((Tahmin!$C$4+7)),MIN(DAY(Kalemler!$D130),DAY(EOMONTH((Tahmin!$C$4+7),0)))),DATE(YEAR((Tahmin!$C$4+13)),MONTH((Tahmin!$C$4+13)),MIN(DAY(Kalemler!$D130),DAY(EOMONTH((Tahmin!$C$4+13),0))))&gt;=Kalemler!$D130)),1,0),IF(AND(Kalemler!$D130&gt;=(Tahmin!$C$4+7),Kalemler!$D130&lt;=(Tahmin!$C$4+13)),1,0))))</f>
        <v>0</v>
      </c>
      <c r="D130" s="0" t="n">
        <f aca="false">IF(OR(Kalemler!$A130="",Kalemler!$C130="",Kalemler!$D130=""),0,Kalemler!$C130*IF(Kalemler!$E130="Haftalık",IF(Kalemler!$D130&lt;=(Tahmin!$C$4+20),1,0),IF(Kalemler!$E130="Aylık",IF(OR(AND(DATE(YEAR((Tahmin!$C$4+14)),MONTH((Tahmin!$C$4+14)),MIN(DAY(Kalemler!$D130),DAY(EOMONTH((Tahmin!$C$4+14),0))))&gt;=(Tahmin!$C$4+14),DATE(YEAR((Tahmin!$C$4+14)),MONTH((Tahmin!$C$4+14)),MIN(DAY(Kalemler!$D130),DAY(EOMONTH((Tahmin!$C$4+14),0))))&lt;=(Tahmin!$C$4+20),DATE(YEAR((Tahmin!$C$4+14)),MONTH((Tahmin!$C$4+14)),MIN(DAY(Kalemler!$D130),DAY(EOMONTH((Tahmin!$C$4+14),0))))&gt;=Kalemler!$D130),AND(DATE(YEAR((Tahmin!$C$4+20)),MONTH((Tahmin!$C$4+20)),MIN(DAY(Kalemler!$D130),DAY(EOMONTH((Tahmin!$C$4+20),0))))&gt;=(Tahmin!$C$4+14),DATE(YEAR((Tahmin!$C$4+20)),MONTH((Tahmin!$C$4+20)),MIN(DAY(Kalemler!$D130),DAY(EOMONTH((Tahmin!$C$4+20),0))))&lt;=(Tahmin!$C$4+20),DATE(YEAR((Tahmin!$C$4+20)),MONTH((Tahmin!$C$4+20)),MIN(DAY(Kalemler!$D130),DAY(EOMONTH((Tahmin!$C$4+20),0))))&lt;&gt;DATE(YEAR((Tahmin!$C$4+14)),MONTH((Tahmin!$C$4+14)),MIN(DAY(Kalemler!$D130),DAY(EOMONTH((Tahmin!$C$4+14),0)))),DATE(YEAR((Tahmin!$C$4+20)),MONTH((Tahmin!$C$4+20)),MIN(DAY(Kalemler!$D130),DAY(EOMONTH((Tahmin!$C$4+20),0))))&gt;=Kalemler!$D130)),1,0),IF(AND(Kalemler!$D130&gt;=(Tahmin!$C$4+14),Kalemler!$D130&lt;=(Tahmin!$C$4+20)),1,0))))</f>
        <v>0</v>
      </c>
      <c r="E130" s="0" t="n">
        <f aca="false">IF(OR(Kalemler!$A130="",Kalemler!$C130="",Kalemler!$D130=""),0,Kalemler!$C130*IF(Kalemler!$E130="Haftalık",IF(Kalemler!$D130&lt;=(Tahmin!$C$4+27),1,0),IF(Kalemler!$E130="Aylık",IF(OR(AND(DATE(YEAR((Tahmin!$C$4+21)),MONTH((Tahmin!$C$4+21)),MIN(DAY(Kalemler!$D130),DAY(EOMONTH((Tahmin!$C$4+21),0))))&gt;=(Tahmin!$C$4+21),DATE(YEAR((Tahmin!$C$4+21)),MONTH((Tahmin!$C$4+21)),MIN(DAY(Kalemler!$D130),DAY(EOMONTH((Tahmin!$C$4+21),0))))&lt;=(Tahmin!$C$4+27),DATE(YEAR((Tahmin!$C$4+21)),MONTH((Tahmin!$C$4+21)),MIN(DAY(Kalemler!$D130),DAY(EOMONTH((Tahmin!$C$4+21),0))))&gt;=Kalemler!$D130),AND(DATE(YEAR((Tahmin!$C$4+27)),MONTH((Tahmin!$C$4+27)),MIN(DAY(Kalemler!$D130),DAY(EOMONTH((Tahmin!$C$4+27),0))))&gt;=(Tahmin!$C$4+21),DATE(YEAR((Tahmin!$C$4+27)),MONTH((Tahmin!$C$4+27)),MIN(DAY(Kalemler!$D130),DAY(EOMONTH((Tahmin!$C$4+27),0))))&lt;=(Tahmin!$C$4+27),DATE(YEAR((Tahmin!$C$4+27)),MONTH((Tahmin!$C$4+27)),MIN(DAY(Kalemler!$D130),DAY(EOMONTH((Tahmin!$C$4+27),0))))&lt;&gt;DATE(YEAR((Tahmin!$C$4+21)),MONTH((Tahmin!$C$4+21)),MIN(DAY(Kalemler!$D130),DAY(EOMONTH((Tahmin!$C$4+21),0)))),DATE(YEAR((Tahmin!$C$4+27)),MONTH((Tahmin!$C$4+27)),MIN(DAY(Kalemler!$D130),DAY(EOMONTH((Tahmin!$C$4+27),0))))&gt;=Kalemler!$D130)),1,0),IF(AND(Kalemler!$D130&gt;=(Tahmin!$C$4+21),Kalemler!$D130&lt;=(Tahmin!$C$4+27)),1,0))))</f>
        <v>0</v>
      </c>
      <c r="F130" s="0" t="n">
        <f aca="false">IF(OR(Kalemler!$A130="",Kalemler!$C130="",Kalemler!$D130=""),0,Kalemler!$C130*IF(Kalemler!$E130="Haftalık",IF(Kalemler!$D130&lt;=(Tahmin!$C$4+34),1,0),IF(Kalemler!$E130="Aylık",IF(OR(AND(DATE(YEAR((Tahmin!$C$4+28)),MONTH((Tahmin!$C$4+28)),MIN(DAY(Kalemler!$D130),DAY(EOMONTH((Tahmin!$C$4+28),0))))&gt;=(Tahmin!$C$4+28),DATE(YEAR((Tahmin!$C$4+28)),MONTH((Tahmin!$C$4+28)),MIN(DAY(Kalemler!$D130),DAY(EOMONTH((Tahmin!$C$4+28),0))))&lt;=(Tahmin!$C$4+34),DATE(YEAR((Tahmin!$C$4+28)),MONTH((Tahmin!$C$4+28)),MIN(DAY(Kalemler!$D130),DAY(EOMONTH((Tahmin!$C$4+28),0))))&gt;=Kalemler!$D130),AND(DATE(YEAR((Tahmin!$C$4+34)),MONTH((Tahmin!$C$4+34)),MIN(DAY(Kalemler!$D130),DAY(EOMONTH((Tahmin!$C$4+34),0))))&gt;=(Tahmin!$C$4+28),DATE(YEAR((Tahmin!$C$4+34)),MONTH((Tahmin!$C$4+34)),MIN(DAY(Kalemler!$D130),DAY(EOMONTH((Tahmin!$C$4+34),0))))&lt;=(Tahmin!$C$4+34),DATE(YEAR((Tahmin!$C$4+34)),MONTH((Tahmin!$C$4+34)),MIN(DAY(Kalemler!$D130),DAY(EOMONTH((Tahmin!$C$4+34),0))))&lt;&gt;DATE(YEAR((Tahmin!$C$4+28)),MONTH((Tahmin!$C$4+28)),MIN(DAY(Kalemler!$D130),DAY(EOMONTH((Tahmin!$C$4+28),0)))),DATE(YEAR((Tahmin!$C$4+34)),MONTH((Tahmin!$C$4+34)),MIN(DAY(Kalemler!$D130),DAY(EOMONTH((Tahmin!$C$4+34),0))))&gt;=Kalemler!$D130)),1,0),IF(AND(Kalemler!$D130&gt;=(Tahmin!$C$4+28),Kalemler!$D130&lt;=(Tahmin!$C$4+34)),1,0))))</f>
        <v>0</v>
      </c>
      <c r="G130" s="0" t="n">
        <f aca="false">IF(OR(Kalemler!$A130="",Kalemler!$C130="",Kalemler!$D130=""),0,Kalemler!$C130*IF(Kalemler!$E130="Haftalık",IF(Kalemler!$D130&lt;=(Tahmin!$C$4+41),1,0),IF(Kalemler!$E130="Aylık",IF(OR(AND(DATE(YEAR((Tahmin!$C$4+35)),MONTH((Tahmin!$C$4+35)),MIN(DAY(Kalemler!$D130),DAY(EOMONTH((Tahmin!$C$4+35),0))))&gt;=(Tahmin!$C$4+35),DATE(YEAR((Tahmin!$C$4+35)),MONTH((Tahmin!$C$4+35)),MIN(DAY(Kalemler!$D130),DAY(EOMONTH((Tahmin!$C$4+35),0))))&lt;=(Tahmin!$C$4+41),DATE(YEAR((Tahmin!$C$4+35)),MONTH((Tahmin!$C$4+35)),MIN(DAY(Kalemler!$D130),DAY(EOMONTH((Tahmin!$C$4+35),0))))&gt;=Kalemler!$D130),AND(DATE(YEAR((Tahmin!$C$4+41)),MONTH((Tahmin!$C$4+41)),MIN(DAY(Kalemler!$D130),DAY(EOMONTH((Tahmin!$C$4+41),0))))&gt;=(Tahmin!$C$4+35),DATE(YEAR((Tahmin!$C$4+41)),MONTH((Tahmin!$C$4+41)),MIN(DAY(Kalemler!$D130),DAY(EOMONTH((Tahmin!$C$4+41),0))))&lt;=(Tahmin!$C$4+41),DATE(YEAR((Tahmin!$C$4+41)),MONTH((Tahmin!$C$4+41)),MIN(DAY(Kalemler!$D130),DAY(EOMONTH((Tahmin!$C$4+41),0))))&lt;&gt;DATE(YEAR((Tahmin!$C$4+35)),MONTH((Tahmin!$C$4+35)),MIN(DAY(Kalemler!$D130),DAY(EOMONTH((Tahmin!$C$4+35),0)))),DATE(YEAR((Tahmin!$C$4+41)),MONTH((Tahmin!$C$4+41)),MIN(DAY(Kalemler!$D130),DAY(EOMONTH((Tahmin!$C$4+41),0))))&gt;=Kalemler!$D130)),1,0),IF(AND(Kalemler!$D130&gt;=(Tahmin!$C$4+35),Kalemler!$D130&lt;=(Tahmin!$C$4+41)),1,0))))</f>
        <v>0</v>
      </c>
      <c r="H130" s="0" t="n">
        <f aca="false">IF(OR(Kalemler!$A130="",Kalemler!$C130="",Kalemler!$D130=""),0,Kalemler!$C130*IF(Kalemler!$E130="Haftalık",IF(Kalemler!$D130&lt;=(Tahmin!$C$4+48),1,0),IF(Kalemler!$E130="Aylık",IF(OR(AND(DATE(YEAR((Tahmin!$C$4+42)),MONTH((Tahmin!$C$4+42)),MIN(DAY(Kalemler!$D130),DAY(EOMONTH((Tahmin!$C$4+42),0))))&gt;=(Tahmin!$C$4+42),DATE(YEAR((Tahmin!$C$4+42)),MONTH((Tahmin!$C$4+42)),MIN(DAY(Kalemler!$D130),DAY(EOMONTH((Tahmin!$C$4+42),0))))&lt;=(Tahmin!$C$4+48),DATE(YEAR((Tahmin!$C$4+42)),MONTH((Tahmin!$C$4+42)),MIN(DAY(Kalemler!$D130),DAY(EOMONTH((Tahmin!$C$4+42),0))))&gt;=Kalemler!$D130),AND(DATE(YEAR((Tahmin!$C$4+48)),MONTH((Tahmin!$C$4+48)),MIN(DAY(Kalemler!$D130),DAY(EOMONTH((Tahmin!$C$4+48),0))))&gt;=(Tahmin!$C$4+42),DATE(YEAR((Tahmin!$C$4+48)),MONTH((Tahmin!$C$4+48)),MIN(DAY(Kalemler!$D130),DAY(EOMONTH((Tahmin!$C$4+48),0))))&lt;=(Tahmin!$C$4+48),DATE(YEAR((Tahmin!$C$4+48)),MONTH((Tahmin!$C$4+48)),MIN(DAY(Kalemler!$D130),DAY(EOMONTH((Tahmin!$C$4+48),0))))&lt;&gt;DATE(YEAR((Tahmin!$C$4+42)),MONTH((Tahmin!$C$4+42)),MIN(DAY(Kalemler!$D130),DAY(EOMONTH((Tahmin!$C$4+42),0)))),DATE(YEAR((Tahmin!$C$4+48)),MONTH((Tahmin!$C$4+48)),MIN(DAY(Kalemler!$D130),DAY(EOMONTH((Tahmin!$C$4+48),0))))&gt;=Kalemler!$D130)),1,0),IF(AND(Kalemler!$D130&gt;=(Tahmin!$C$4+42),Kalemler!$D130&lt;=(Tahmin!$C$4+48)),1,0))))</f>
        <v>0</v>
      </c>
      <c r="I130" s="0" t="n">
        <f aca="false">IF(OR(Kalemler!$A130="",Kalemler!$C130="",Kalemler!$D130=""),0,Kalemler!$C130*IF(Kalemler!$E130="Haftalık",IF(Kalemler!$D130&lt;=(Tahmin!$C$4+55),1,0),IF(Kalemler!$E130="Aylık",IF(OR(AND(DATE(YEAR((Tahmin!$C$4+49)),MONTH((Tahmin!$C$4+49)),MIN(DAY(Kalemler!$D130),DAY(EOMONTH((Tahmin!$C$4+49),0))))&gt;=(Tahmin!$C$4+49),DATE(YEAR((Tahmin!$C$4+49)),MONTH((Tahmin!$C$4+49)),MIN(DAY(Kalemler!$D130),DAY(EOMONTH((Tahmin!$C$4+49),0))))&lt;=(Tahmin!$C$4+55),DATE(YEAR((Tahmin!$C$4+49)),MONTH((Tahmin!$C$4+49)),MIN(DAY(Kalemler!$D130),DAY(EOMONTH((Tahmin!$C$4+49),0))))&gt;=Kalemler!$D130),AND(DATE(YEAR((Tahmin!$C$4+55)),MONTH((Tahmin!$C$4+55)),MIN(DAY(Kalemler!$D130),DAY(EOMONTH((Tahmin!$C$4+55),0))))&gt;=(Tahmin!$C$4+49),DATE(YEAR((Tahmin!$C$4+55)),MONTH((Tahmin!$C$4+55)),MIN(DAY(Kalemler!$D130),DAY(EOMONTH((Tahmin!$C$4+55),0))))&lt;=(Tahmin!$C$4+55),DATE(YEAR((Tahmin!$C$4+55)),MONTH((Tahmin!$C$4+55)),MIN(DAY(Kalemler!$D130),DAY(EOMONTH((Tahmin!$C$4+55),0))))&lt;&gt;DATE(YEAR((Tahmin!$C$4+49)),MONTH((Tahmin!$C$4+49)),MIN(DAY(Kalemler!$D130),DAY(EOMONTH((Tahmin!$C$4+49),0)))),DATE(YEAR((Tahmin!$C$4+55)),MONTH((Tahmin!$C$4+55)),MIN(DAY(Kalemler!$D130),DAY(EOMONTH((Tahmin!$C$4+55),0))))&gt;=Kalemler!$D130)),1,0),IF(AND(Kalemler!$D130&gt;=(Tahmin!$C$4+49),Kalemler!$D130&lt;=(Tahmin!$C$4+55)),1,0))))</f>
        <v>0</v>
      </c>
      <c r="J130" s="0" t="n">
        <f aca="false">IF(OR(Kalemler!$A130="",Kalemler!$C130="",Kalemler!$D130=""),0,Kalemler!$C130*IF(Kalemler!$E130="Haftalık",IF(Kalemler!$D130&lt;=(Tahmin!$C$4+62),1,0),IF(Kalemler!$E130="Aylık",IF(OR(AND(DATE(YEAR((Tahmin!$C$4+56)),MONTH((Tahmin!$C$4+56)),MIN(DAY(Kalemler!$D130),DAY(EOMONTH((Tahmin!$C$4+56),0))))&gt;=(Tahmin!$C$4+56),DATE(YEAR((Tahmin!$C$4+56)),MONTH((Tahmin!$C$4+56)),MIN(DAY(Kalemler!$D130),DAY(EOMONTH((Tahmin!$C$4+56),0))))&lt;=(Tahmin!$C$4+62),DATE(YEAR((Tahmin!$C$4+56)),MONTH((Tahmin!$C$4+56)),MIN(DAY(Kalemler!$D130),DAY(EOMONTH((Tahmin!$C$4+56),0))))&gt;=Kalemler!$D130),AND(DATE(YEAR((Tahmin!$C$4+62)),MONTH((Tahmin!$C$4+62)),MIN(DAY(Kalemler!$D130),DAY(EOMONTH((Tahmin!$C$4+62),0))))&gt;=(Tahmin!$C$4+56),DATE(YEAR((Tahmin!$C$4+62)),MONTH((Tahmin!$C$4+62)),MIN(DAY(Kalemler!$D130),DAY(EOMONTH((Tahmin!$C$4+62),0))))&lt;=(Tahmin!$C$4+62),DATE(YEAR((Tahmin!$C$4+62)),MONTH((Tahmin!$C$4+62)),MIN(DAY(Kalemler!$D130),DAY(EOMONTH((Tahmin!$C$4+62),0))))&lt;&gt;DATE(YEAR((Tahmin!$C$4+56)),MONTH((Tahmin!$C$4+56)),MIN(DAY(Kalemler!$D130),DAY(EOMONTH((Tahmin!$C$4+56),0)))),DATE(YEAR((Tahmin!$C$4+62)),MONTH((Tahmin!$C$4+62)),MIN(DAY(Kalemler!$D130),DAY(EOMONTH((Tahmin!$C$4+62),0))))&gt;=Kalemler!$D130)),1,0),IF(AND(Kalemler!$D130&gt;=(Tahmin!$C$4+56),Kalemler!$D130&lt;=(Tahmin!$C$4+62)),1,0))))</f>
        <v>0</v>
      </c>
      <c r="K130" s="0" t="n">
        <f aca="false">IF(OR(Kalemler!$A130="",Kalemler!$C130="",Kalemler!$D130=""),0,Kalemler!$C130*IF(Kalemler!$E130="Haftalık",IF(Kalemler!$D130&lt;=(Tahmin!$C$4+69),1,0),IF(Kalemler!$E130="Aylık",IF(OR(AND(DATE(YEAR((Tahmin!$C$4+63)),MONTH((Tahmin!$C$4+63)),MIN(DAY(Kalemler!$D130),DAY(EOMONTH((Tahmin!$C$4+63),0))))&gt;=(Tahmin!$C$4+63),DATE(YEAR((Tahmin!$C$4+63)),MONTH((Tahmin!$C$4+63)),MIN(DAY(Kalemler!$D130),DAY(EOMONTH((Tahmin!$C$4+63),0))))&lt;=(Tahmin!$C$4+69),DATE(YEAR((Tahmin!$C$4+63)),MONTH((Tahmin!$C$4+63)),MIN(DAY(Kalemler!$D130),DAY(EOMONTH((Tahmin!$C$4+63),0))))&gt;=Kalemler!$D130),AND(DATE(YEAR((Tahmin!$C$4+69)),MONTH((Tahmin!$C$4+69)),MIN(DAY(Kalemler!$D130),DAY(EOMONTH((Tahmin!$C$4+69),0))))&gt;=(Tahmin!$C$4+63),DATE(YEAR((Tahmin!$C$4+69)),MONTH((Tahmin!$C$4+69)),MIN(DAY(Kalemler!$D130),DAY(EOMONTH((Tahmin!$C$4+69),0))))&lt;=(Tahmin!$C$4+69),DATE(YEAR((Tahmin!$C$4+69)),MONTH((Tahmin!$C$4+69)),MIN(DAY(Kalemler!$D130),DAY(EOMONTH((Tahmin!$C$4+69),0))))&lt;&gt;DATE(YEAR((Tahmin!$C$4+63)),MONTH((Tahmin!$C$4+63)),MIN(DAY(Kalemler!$D130),DAY(EOMONTH((Tahmin!$C$4+63),0)))),DATE(YEAR((Tahmin!$C$4+69)),MONTH((Tahmin!$C$4+69)),MIN(DAY(Kalemler!$D130),DAY(EOMONTH((Tahmin!$C$4+69),0))))&gt;=Kalemler!$D130)),1,0),IF(AND(Kalemler!$D130&gt;=(Tahmin!$C$4+63),Kalemler!$D130&lt;=(Tahmin!$C$4+69)),1,0))))</f>
        <v>0</v>
      </c>
      <c r="L130" s="0" t="n">
        <f aca="false">IF(OR(Kalemler!$A130="",Kalemler!$C130="",Kalemler!$D130=""),0,Kalemler!$C130*IF(Kalemler!$E130="Haftalık",IF(Kalemler!$D130&lt;=(Tahmin!$C$4+76),1,0),IF(Kalemler!$E130="Aylık",IF(OR(AND(DATE(YEAR((Tahmin!$C$4+70)),MONTH((Tahmin!$C$4+70)),MIN(DAY(Kalemler!$D130),DAY(EOMONTH((Tahmin!$C$4+70),0))))&gt;=(Tahmin!$C$4+70),DATE(YEAR((Tahmin!$C$4+70)),MONTH((Tahmin!$C$4+70)),MIN(DAY(Kalemler!$D130),DAY(EOMONTH((Tahmin!$C$4+70),0))))&lt;=(Tahmin!$C$4+76),DATE(YEAR((Tahmin!$C$4+70)),MONTH((Tahmin!$C$4+70)),MIN(DAY(Kalemler!$D130),DAY(EOMONTH((Tahmin!$C$4+70),0))))&gt;=Kalemler!$D130),AND(DATE(YEAR((Tahmin!$C$4+76)),MONTH((Tahmin!$C$4+76)),MIN(DAY(Kalemler!$D130),DAY(EOMONTH((Tahmin!$C$4+76),0))))&gt;=(Tahmin!$C$4+70),DATE(YEAR((Tahmin!$C$4+76)),MONTH((Tahmin!$C$4+76)),MIN(DAY(Kalemler!$D130),DAY(EOMONTH((Tahmin!$C$4+76),0))))&lt;=(Tahmin!$C$4+76),DATE(YEAR((Tahmin!$C$4+76)),MONTH((Tahmin!$C$4+76)),MIN(DAY(Kalemler!$D130),DAY(EOMONTH((Tahmin!$C$4+76),0))))&lt;&gt;DATE(YEAR((Tahmin!$C$4+70)),MONTH((Tahmin!$C$4+70)),MIN(DAY(Kalemler!$D130),DAY(EOMONTH((Tahmin!$C$4+70),0)))),DATE(YEAR((Tahmin!$C$4+76)),MONTH((Tahmin!$C$4+76)),MIN(DAY(Kalemler!$D130),DAY(EOMONTH((Tahmin!$C$4+76),0))))&gt;=Kalemler!$D130)),1,0),IF(AND(Kalemler!$D130&gt;=(Tahmin!$C$4+70),Kalemler!$D130&lt;=(Tahmin!$C$4+76)),1,0))))</f>
        <v>0</v>
      </c>
      <c r="M130" s="0" t="n">
        <f aca="false">IF(OR(Kalemler!$A130="",Kalemler!$C130="",Kalemler!$D130=""),0,Kalemler!$C130*IF(Kalemler!$E130="Haftalık",IF(Kalemler!$D130&lt;=(Tahmin!$C$4+83),1,0),IF(Kalemler!$E130="Aylık",IF(OR(AND(DATE(YEAR((Tahmin!$C$4+77)),MONTH((Tahmin!$C$4+77)),MIN(DAY(Kalemler!$D130),DAY(EOMONTH((Tahmin!$C$4+77),0))))&gt;=(Tahmin!$C$4+77),DATE(YEAR((Tahmin!$C$4+77)),MONTH((Tahmin!$C$4+77)),MIN(DAY(Kalemler!$D130),DAY(EOMONTH((Tahmin!$C$4+77),0))))&lt;=(Tahmin!$C$4+83),DATE(YEAR((Tahmin!$C$4+77)),MONTH((Tahmin!$C$4+77)),MIN(DAY(Kalemler!$D130),DAY(EOMONTH((Tahmin!$C$4+77),0))))&gt;=Kalemler!$D130),AND(DATE(YEAR((Tahmin!$C$4+83)),MONTH((Tahmin!$C$4+83)),MIN(DAY(Kalemler!$D130),DAY(EOMONTH((Tahmin!$C$4+83),0))))&gt;=(Tahmin!$C$4+77),DATE(YEAR((Tahmin!$C$4+83)),MONTH((Tahmin!$C$4+83)),MIN(DAY(Kalemler!$D130),DAY(EOMONTH((Tahmin!$C$4+83),0))))&lt;=(Tahmin!$C$4+83),DATE(YEAR((Tahmin!$C$4+83)),MONTH((Tahmin!$C$4+83)),MIN(DAY(Kalemler!$D130),DAY(EOMONTH((Tahmin!$C$4+83),0))))&lt;&gt;DATE(YEAR((Tahmin!$C$4+77)),MONTH((Tahmin!$C$4+77)),MIN(DAY(Kalemler!$D130),DAY(EOMONTH((Tahmin!$C$4+77),0)))),DATE(YEAR((Tahmin!$C$4+83)),MONTH((Tahmin!$C$4+83)),MIN(DAY(Kalemler!$D130),DAY(EOMONTH((Tahmin!$C$4+83),0))))&gt;=Kalemler!$D130)),1,0),IF(AND(Kalemler!$D130&gt;=(Tahmin!$C$4+77),Kalemler!$D130&lt;=(Tahmin!$C$4+83)),1,0))))</f>
        <v>0</v>
      </c>
      <c r="N130" s="0" t="n">
        <f aca="false">IF(OR(Kalemler!$A130="",Kalemler!$C130="",Kalemler!$D130=""),0,Kalemler!$C130*IF(Kalemler!$E130="Haftalık",IF(Kalemler!$D130&lt;=(Tahmin!$C$4+90),1,0),IF(Kalemler!$E130="Aylık",IF(OR(AND(DATE(YEAR((Tahmin!$C$4+84)),MONTH((Tahmin!$C$4+84)),MIN(DAY(Kalemler!$D130),DAY(EOMONTH((Tahmin!$C$4+84),0))))&gt;=(Tahmin!$C$4+84),DATE(YEAR((Tahmin!$C$4+84)),MONTH((Tahmin!$C$4+84)),MIN(DAY(Kalemler!$D130),DAY(EOMONTH((Tahmin!$C$4+84),0))))&lt;=(Tahmin!$C$4+90),DATE(YEAR((Tahmin!$C$4+84)),MONTH((Tahmin!$C$4+84)),MIN(DAY(Kalemler!$D130),DAY(EOMONTH((Tahmin!$C$4+84),0))))&gt;=Kalemler!$D130),AND(DATE(YEAR((Tahmin!$C$4+90)),MONTH((Tahmin!$C$4+90)),MIN(DAY(Kalemler!$D130),DAY(EOMONTH((Tahmin!$C$4+90),0))))&gt;=(Tahmin!$C$4+84),DATE(YEAR((Tahmin!$C$4+90)),MONTH((Tahmin!$C$4+90)),MIN(DAY(Kalemler!$D130),DAY(EOMONTH((Tahmin!$C$4+90),0))))&lt;=(Tahmin!$C$4+90),DATE(YEAR((Tahmin!$C$4+90)),MONTH((Tahmin!$C$4+90)),MIN(DAY(Kalemler!$D130),DAY(EOMONTH((Tahmin!$C$4+90),0))))&lt;&gt;DATE(YEAR((Tahmin!$C$4+84)),MONTH((Tahmin!$C$4+84)),MIN(DAY(Kalemler!$D130),DAY(EOMONTH((Tahmin!$C$4+84),0)))),DATE(YEAR((Tahmin!$C$4+90)),MONTH((Tahmin!$C$4+90)),MIN(DAY(Kalemler!$D130),DAY(EOMONTH((Tahmin!$C$4+90),0))))&gt;=Kalemler!$D130)),1,0),IF(AND(Kalemler!$D130&gt;=(Tahmin!$C$4+84),Kalemler!$D130&lt;=(Tahmin!$C$4+90)),1,0))))</f>
        <v>0</v>
      </c>
    </row>
    <row r="131" customFormat="false" ht="15" hidden="false" customHeight="false" outlineLevel="0" collapsed="false">
      <c r="A131" s="0" t="str">
        <f aca="false">IF(Kalemler!A131="","",Kalemler!A131)</f>
        <v/>
      </c>
      <c r="B131" s="0" t="n">
        <f aca="false">IF(OR(Kalemler!$A131="",Kalemler!$C131="",Kalemler!$D131=""),0,Kalemler!$C131*IF(Kalemler!$E131="Haftalık",IF(Kalemler!$D131&lt;=(Tahmin!$C$4+6),1,0),IF(Kalemler!$E131="Aylık",IF(OR(AND(DATE(YEAR((Tahmin!$C$4+0)),MONTH((Tahmin!$C$4+0)),MIN(DAY(Kalemler!$D131),DAY(EOMONTH((Tahmin!$C$4+0),0))))&gt;=(Tahmin!$C$4+0),DATE(YEAR((Tahmin!$C$4+0)),MONTH((Tahmin!$C$4+0)),MIN(DAY(Kalemler!$D131),DAY(EOMONTH((Tahmin!$C$4+0),0))))&lt;=(Tahmin!$C$4+6),DATE(YEAR((Tahmin!$C$4+0)),MONTH((Tahmin!$C$4+0)),MIN(DAY(Kalemler!$D131),DAY(EOMONTH((Tahmin!$C$4+0),0))))&gt;=Kalemler!$D131),AND(DATE(YEAR((Tahmin!$C$4+6)),MONTH((Tahmin!$C$4+6)),MIN(DAY(Kalemler!$D131),DAY(EOMONTH((Tahmin!$C$4+6),0))))&gt;=(Tahmin!$C$4+0),DATE(YEAR((Tahmin!$C$4+6)),MONTH((Tahmin!$C$4+6)),MIN(DAY(Kalemler!$D131),DAY(EOMONTH((Tahmin!$C$4+6),0))))&lt;=(Tahmin!$C$4+6),DATE(YEAR((Tahmin!$C$4+6)),MONTH((Tahmin!$C$4+6)),MIN(DAY(Kalemler!$D131),DAY(EOMONTH((Tahmin!$C$4+6),0))))&lt;&gt;DATE(YEAR((Tahmin!$C$4+0)),MONTH((Tahmin!$C$4+0)),MIN(DAY(Kalemler!$D131),DAY(EOMONTH((Tahmin!$C$4+0),0)))),DATE(YEAR((Tahmin!$C$4+6)),MONTH((Tahmin!$C$4+6)),MIN(DAY(Kalemler!$D131),DAY(EOMONTH((Tahmin!$C$4+6),0))))&gt;=Kalemler!$D131)),1,0),IF(AND(Kalemler!$D131&gt;=(Tahmin!$C$4+0),Kalemler!$D131&lt;=(Tahmin!$C$4+6)),1,0))))</f>
        <v>0</v>
      </c>
      <c r="C131" s="0" t="n">
        <f aca="false">IF(OR(Kalemler!$A131="",Kalemler!$C131="",Kalemler!$D131=""),0,Kalemler!$C131*IF(Kalemler!$E131="Haftalık",IF(Kalemler!$D131&lt;=(Tahmin!$C$4+13),1,0),IF(Kalemler!$E131="Aylık",IF(OR(AND(DATE(YEAR((Tahmin!$C$4+7)),MONTH((Tahmin!$C$4+7)),MIN(DAY(Kalemler!$D131),DAY(EOMONTH((Tahmin!$C$4+7),0))))&gt;=(Tahmin!$C$4+7),DATE(YEAR((Tahmin!$C$4+7)),MONTH((Tahmin!$C$4+7)),MIN(DAY(Kalemler!$D131),DAY(EOMONTH((Tahmin!$C$4+7),0))))&lt;=(Tahmin!$C$4+13),DATE(YEAR((Tahmin!$C$4+7)),MONTH((Tahmin!$C$4+7)),MIN(DAY(Kalemler!$D131),DAY(EOMONTH((Tahmin!$C$4+7),0))))&gt;=Kalemler!$D131),AND(DATE(YEAR((Tahmin!$C$4+13)),MONTH((Tahmin!$C$4+13)),MIN(DAY(Kalemler!$D131),DAY(EOMONTH((Tahmin!$C$4+13),0))))&gt;=(Tahmin!$C$4+7),DATE(YEAR((Tahmin!$C$4+13)),MONTH((Tahmin!$C$4+13)),MIN(DAY(Kalemler!$D131),DAY(EOMONTH((Tahmin!$C$4+13),0))))&lt;=(Tahmin!$C$4+13),DATE(YEAR((Tahmin!$C$4+13)),MONTH((Tahmin!$C$4+13)),MIN(DAY(Kalemler!$D131),DAY(EOMONTH((Tahmin!$C$4+13),0))))&lt;&gt;DATE(YEAR((Tahmin!$C$4+7)),MONTH((Tahmin!$C$4+7)),MIN(DAY(Kalemler!$D131),DAY(EOMONTH((Tahmin!$C$4+7),0)))),DATE(YEAR((Tahmin!$C$4+13)),MONTH((Tahmin!$C$4+13)),MIN(DAY(Kalemler!$D131),DAY(EOMONTH((Tahmin!$C$4+13),0))))&gt;=Kalemler!$D131)),1,0),IF(AND(Kalemler!$D131&gt;=(Tahmin!$C$4+7),Kalemler!$D131&lt;=(Tahmin!$C$4+13)),1,0))))</f>
        <v>0</v>
      </c>
      <c r="D131" s="0" t="n">
        <f aca="false">IF(OR(Kalemler!$A131="",Kalemler!$C131="",Kalemler!$D131=""),0,Kalemler!$C131*IF(Kalemler!$E131="Haftalık",IF(Kalemler!$D131&lt;=(Tahmin!$C$4+20),1,0),IF(Kalemler!$E131="Aylık",IF(OR(AND(DATE(YEAR((Tahmin!$C$4+14)),MONTH((Tahmin!$C$4+14)),MIN(DAY(Kalemler!$D131),DAY(EOMONTH((Tahmin!$C$4+14),0))))&gt;=(Tahmin!$C$4+14),DATE(YEAR((Tahmin!$C$4+14)),MONTH((Tahmin!$C$4+14)),MIN(DAY(Kalemler!$D131),DAY(EOMONTH((Tahmin!$C$4+14),0))))&lt;=(Tahmin!$C$4+20),DATE(YEAR((Tahmin!$C$4+14)),MONTH((Tahmin!$C$4+14)),MIN(DAY(Kalemler!$D131),DAY(EOMONTH((Tahmin!$C$4+14),0))))&gt;=Kalemler!$D131),AND(DATE(YEAR((Tahmin!$C$4+20)),MONTH((Tahmin!$C$4+20)),MIN(DAY(Kalemler!$D131),DAY(EOMONTH((Tahmin!$C$4+20),0))))&gt;=(Tahmin!$C$4+14),DATE(YEAR((Tahmin!$C$4+20)),MONTH((Tahmin!$C$4+20)),MIN(DAY(Kalemler!$D131),DAY(EOMONTH((Tahmin!$C$4+20),0))))&lt;=(Tahmin!$C$4+20),DATE(YEAR((Tahmin!$C$4+20)),MONTH((Tahmin!$C$4+20)),MIN(DAY(Kalemler!$D131),DAY(EOMONTH((Tahmin!$C$4+20),0))))&lt;&gt;DATE(YEAR((Tahmin!$C$4+14)),MONTH((Tahmin!$C$4+14)),MIN(DAY(Kalemler!$D131),DAY(EOMONTH((Tahmin!$C$4+14),0)))),DATE(YEAR((Tahmin!$C$4+20)),MONTH((Tahmin!$C$4+20)),MIN(DAY(Kalemler!$D131),DAY(EOMONTH((Tahmin!$C$4+20),0))))&gt;=Kalemler!$D131)),1,0),IF(AND(Kalemler!$D131&gt;=(Tahmin!$C$4+14),Kalemler!$D131&lt;=(Tahmin!$C$4+20)),1,0))))</f>
        <v>0</v>
      </c>
      <c r="E131" s="0" t="n">
        <f aca="false">IF(OR(Kalemler!$A131="",Kalemler!$C131="",Kalemler!$D131=""),0,Kalemler!$C131*IF(Kalemler!$E131="Haftalık",IF(Kalemler!$D131&lt;=(Tahmin!$C$4+27),1,0),IF(Kalemler!$E131="Aylık",IF(OR(AND(DATE(YEAR((Tahmin!$C$4+21)),MONTH((Tahmin!$C$4+21)),MIN(DAY(Kalemler!$D131),DAY(EOMONTH((Tahmin!$C$4+21),0))))&gt;=(Tahmin!$C$4+21),DATE(YEAR((Tahmin!$C$4+21)),MONTH((Tahmin!$C$4+21)),MIN(DAY(Kalemler!$D131),DAY(EOMONTH((Tahmin!$C$4+21),0))))&lt;=(Tahmin!$C$4+27),DATE(YEAR((Tahmin!$C$4+21)),MONTH((Tahmin!$C$4+21)),MIN(DAY(Kalemler!$D131),DAY(EOMONTH((Tahmin!$C$4+21),0))))&gt;=Kalemler!$D131),AND(DATE(YEAR((Tahmin!$C$4+27)),MONTH((Tahmin!$C$4+27)),MIN(DAY(Kalemler!$D131),DAY(EOMONTH((Tahmin!$C$4+27),0))))&gt;=(Tahmin!$C$4+21),DATE(YEAR((Tahmin!$C$4+27)),MONTH((Tahmin!$C$4+27)),MIN(DAY(Kalemler!$D131),DAY(EOMONTH((Tahmin!$C$4+27),0))))&lt;=(Tahmin!$C$4+27),DATE(YEAR((Tahmin!$C$4+27)),MONTH((Tahmin!$C$4+27)),MIN(DAY(Kalemler!$D131),DAY(EOMONTH((Tahmin!$C$4+27),0))))&lt;&gt;DATE(YEAR((Tahmin!$C$4+21)),MONTH((Tahmin!$C$4+21)),MIN(DAY(Kalemler!$D131),DAY(EOMONTH((Tahmin!$C$4+21),0)))),DATE(YEAR((Tahmin!$C$4+27)),MONTH((Tahmin!$C$4+27)),MIN(DAY(Kalemler!$D131),DAY(EOMONTH((Tahmin!$C$4+27),0))))&gt;=Kalemler!$D131)),1,0),IF(AND(Kalemler!$D131&gt;=(Tahmin!$C$4+21),Kalemler!$D131&lt;=(Tahmin!$C$4+27)),1,0))))</f>
        <v>0</v>
      </c>
      <c r="F131" s="0" t="n">
        <f aca="false">IF(OR(Kalemler!$A131="",Kalemler!$C131="",Kalemler!$D131=""),0,Kalemler!$C131*IF(Kalemler!$E131="Haftalık",IF(Kalemler!$D131&lt;=(Tahmin!$C$4+34),1,0),IF(Kalemler!$E131="Aylık",IF(OR(AND(DATE(YEAR((Tahmin!$C$4+28)),MONTH((Tahmin!$C$4+28)),MIN(DAY(Kalemler!$D131),DAY(EOMONTH((Tahmin!$C$4+28),0))))&gt;=(Tahmin!$C$4+28),DATE(YEAR((Tahmin!$C$4+28)),MONTH((Tahmin!$C$4+28)),MIN(DAY(Kalemler!$D131),DAY(EOMONTH((Tahmin!$C$4+28),0))))&lt;=(Tahmin!$C$4+34),DATE(YEAR((Tahmin!$C$4+28)),MONTH((Tahmin!$C$4+28)),MIN(DAY(Kalemler!$D131),DAY(EOMONTH((Tahmin!$C$4+28),0))))&gt;=Kalemler!$D131),AND(DATE(YEAR((Tahmin!$C$4+34)),MONTH((Tahmin!$C$4+34)),MIN(DAY(Kalemler!$D131),DAY(EOMONTH((Tahmin!$C$4+34),0))))&gt;=(Tahmin!$C$4+28),DATE(YEAR((Tahmin!$C$4+34)),MONTH((Tahmin!$C$4+34)),MIN(DAY(Kalemler!$D131),DAY(EOMONTH((Tahmin!$C$4+34),0))))&lt;=(Tahmin!$C$4+34),DATE(YEAR((Tahmin!$C$4+34)),MONTH((Tahmin!$C$4+34)),MIN(DAY(Kalemler!$D131),DAY(EOMONTH((Tahmin!$C$4+34),0))))&lt;&gt;DATE(YEAR((Tahmin!$C$4+28)),MONTH((Tahmin!$C$4+28)),MIN(DAY(Kalemler!$D131),DAY(EOMONTH((Tahmin!$C$4+28),0)))),DATE(YEAR((Tahmin!$C$4+34)),MONTH((Tahmin!$C$4+34)),MIN(DAY(Kalemler!$D131),DAY(EOMONTH((Tahmin!$C$4+34),0))))&gt;=Kalemler!$D131)),1,0),IF(AND(Kalemler!$D131&gt;=(Tahmin!$C$4+28),Kalemler!$D131&lt;=(Tahmin!$C$4+34)),1,0))))</f>
        <v>0</v>
      </c>
      <c r="G131" s="0" t="n">
        <f aca="false">IF(OR(Kalemler!$A131="",Kalemler!$C131="",Kalemler!$D131=""),0,Kalemler!$C131*IF(Kalemler!$E131="Haftalık",IF(Kalemler!$D131&lt;=(Tahmin!$C$4+41),1,0),IF(Kalemler!$E131="Aylık",IF(OR(AND(DATE(YEAR((Tahmin!$C$4+35)),MONTH((Tahmin!$C$4+35)),MIN(DAY(Kalemler!$D131),DAY(EOMONTH((Tahmin!$C$4+35),0))))&gt;=(Tahmin!$C$4+35),DATE(YEAR((Tahmin!$C$4+35)),MONTH((Tahmin!$C$4+35)),MIN(DAY(Kalemler!$D131),DAY(EOMONTH((Tahmin!$C$4+35),0))))&lt;=(Tahmin!$C$4+41),DATE(YEAR((Tahmin!$C$4+35)),MONTH((Tahmin!$C$4+35)),MIN(DAY(Kalemler!$D131),DAY(EOMONTH((Tahmin!$C$4+35),0))))&gt;=Kalemler!$D131),AND(DATE(YEAR((Tahmin!$C$4+41)),MONTH((Tahmin!$C$4+41)),MIN(DAY(Kalemler!$D131),DAY(EOMONTH((Tahmin!$C$4+41),0))))&gt;=(Tahmin!$C$4+35),DATE(YEAR((Tahmin!$C$4+41)),MONTH((Tahmin!$C$4+41)),MIN(DAY(Kalemler!$D131),DAY(EOMONTH((Tahmin!$C$4+41),0))))&lt;=(Tahmin!$C$4+41),DATE(YEAR((Tahmin!$C$4+41)),MONTH((Tahmin!$C$4+41)),MIN(DAY(Kalemler!$D131),DAY(EOMONTH((Tahmin!$C$4+41),0))))&lt;&gt;DATE(YEAR((Tahmin!$C$4+35)),MONTH((Tahmin!$C$4+35)),MIN(DAY(Kalemler!$D131),DAY(EOMONTH((Tahmin!$C$4+35),0)))),DATE(YEAR((Tahmin!$C$4+41)),MONTH((Tahmin!$C$4+41)),MIN(DAY(Kalemler!$D131),DAY(EOMONTH((Tahmin!$C$4+41),0))))&gt;=Kalemler!$D131)),1,0),IF(AND(Kalemler!$D131&gt;=(Tahmin!$C$4+35),Kalemler!$D131&lt;=(Tahmin!$C$4+41)),1,0))))</f>
        <v>0</v>
      </c>
      <c r="H131" s="0" t="n">
        <f aca="false">IF(OR(Kalemler!$A131="",Kalemler!$C131="",Kalemler!$D131=""),0,Kalemler!$C131*IF(Kalemler!$E131="Haftalık",IF(Kalemler!$D131&lt;=(Tahmin!$C$4+48),1,0),IF(Kalemler!$E131="Aylık",IF(OR(AND(DATE(YEAR((Tahmin!$C$4+42)),MONTH((Tahmin!$C$4+42)),MIN(DAY(Kalemler!$D131),DAY(EOMONTH((Tahmin!$C$4+42),0))))&gt;=(Tahmin!$C$4+42),DATE(YEAR((Tahmin!$C$4+42)),MONTH((Tahmin!$C$4+42)),MIN(DAY(Kalemler!$D131),DAY(EOMONTH((Tahmin!$C$4+42),0))))&lt;=(Tahmin!$C$4+48),DATE(YEAR((Tahmin!$C$4+42)),MONTH((Tahmin!$C$4+42)),MIN(DAY(Kalemler!$D131),DAY(EOMONTH((Tahmin!$C$4+42),0))))&gt;=Kalemler!$D131),AND(DATE(YEAR((Tahmin!$C$4+48)),MONTH((Tahmin!$C$4+48)),MIN(DAY(Kalemler!$D131),DAY(EOMONTH((Tahmin!$C$4+48),0))))&gt;=(Tahmin!$C$4+42),DATE(YEAR((Tahmin!$C$4+48)),MONTH((Tahmin!$C$4+48)),MIN(DAY(Kalemler!$D131),DAY(EOMONTH((Tahmin!$C$4+48),0))))&lt;=(Tahmin!$C$4+48),DATE(YEAR((Tahmin!$C$4+48)),MONTH((Tahmin!$C$4+48)),MIN(DAY(Kalemler!$D131),DAY(EOMONTH((Tahmin!$C$4+48),0))))&lt;&gt;DATE(YEAR((Tahmin!$C$4+42)),MONTH((Tahmin!$C$4+42)),MIN(DAY(Kalemler!$D131),DAY(EOMONTH((Tahmin!$C$4+42),0)))),DATE(YEAR((Tahmin!$C$4+48)),MONTH((Tahmin!$C$4+48)),MIN(DAY(Kalemler!$D131),DAY(EOMONTH((Tahmin!$C$4+48),0))))&gt;=Kalemler!$D131)),1,0),IF(AND(Kalemler!$D131&gt;=(Tahmin!$C$4+42),Kalemler!$D131&lt;=(Tahmin!$C$4+48)),1,0))))</f>
        <v>0</v>
      </c>
      <c r="I131" s="0" t="n">
        <f aca="false">IF(OR(Kalemler!$A131="",Kalemler!$C131="",Kalemler!$D131=""),0,Kalemler!$C131*IF(Kalemler!$E131="Haftalık",IF(Kalemler!$D131&lt;=(Tahmin!$C$4+55),1,0),IF(Kalemler!$E131="Aylık",IF(OR(AND(DATE(YEAR((Tahmin!$C$4+49)),MONTH((Tahmin!$C$4+49)),MIN(DAY(Kalemler!$D131),DAY(EOMONTH((Tahmin!$C$4+49),0))))&gt;=(Tahmin!$C$4+49),DATE(YEAR((Tahmin!$C$4+49)),MONTH((Tahmin!$C$4+49)),MIN(DAY(Kalemler!$D131),DAY(EOMONTH((Tahmin!$C$4+49),0))))&lt;=(Tahmin!$C$4+55),DATE(YEAR((Tahmin!$C$4+49)),MONTH((Tahmin!$C$4+49)),MIN(DAY(Kalemler!$D131),DAY(EOMONTH((Tahmin!$C$4+49),0))))&gt;=Kalemler!$D131),AND(DATE(YEAR((Tahmin!$C$4+55)),MONTH((Tahmin!$C$4+55)),MIN(DAY(Kalemler!$D131),DAY(EOMONTH((Tahmin!$C$4+55),0))))&gt;=(Tahmin!$C$4+49),DATE(YEAR((Tahmin!$C$4+55)),MONTH((Tahmin!$C$4+55)),MIN(DAY(Kalemler!$D131),DAY(EOMONTH((Tahmin!$C$4+55),0))))&lt;=(Tahmin!$C$4+55),DATE(YEAR((Tahmin!$C$4+55)),MONTH((Tahmin!$C$4+55)),MIN(DAY(Kalemler!$D131),DAY(EOMONTH((Tahmin!$C$4+55),0))))&lt;&gt;DATE(YEAR((Tahmin!$C$4+49)),MONTH((Tahmin!$C$4+49)),MIN(DAY(Kalemler!$D131),DAY(EOMONTH((Tahmin!$C$4+49),0)))),DATE(YEAR((Tahmin!$C$4+55)),MONTH((Tahmin!$C$4+55)),MIN(DAY(Kalemler!$D131),DAY(EOMONTH((Tahmin!$C$4+55),0))))&gt;=Kalemler!$D131)),1,0),IF(AND(Kalemler!$D131&gt;=(Tahmin!$C$4+49),Kalemler!$D131&lt;=(Tahmin!$C$4+55)),1,0))))</f>
        <v>0</v>
      </c>
      <c r="J131" s="0" t="n">
        <f aca="false">IF(OR(Kalemler!$A131="",Kalemler!$C131="",Kalemler!$D131=""),0,Kalemler!$C131*IF(Kalemler!$E131="Haftalık",IF(Kalemler!$D131&lt;=(Tahmin!$C$4+62),1,0),IF(Kalemler!$E131="Aylık",IF(OR(AND(DATE(YEAR((Tahmin!$C$4+56)),MONTH((Tahmin!$C$4+56)),MIN(DAY(Kalemler!$D131),DAY(EOMONTH((Tahmin!$C$4+56),0))))&gt;=(Tahmin!$C$4+56),DATE(YEAR((Tahmin!$C$4+56)),MONTH((Tahmin!$C$4+56)),MIN(DAY(Kalemler!$D131),DAY(EOMONTH((Tahmin!$C$4+56),0))))&lt;=(Tahmin!$C$4+62),DATE(YEAR((Tahmin!$C$4+56)),MONTH((Tahmin!$C$4+56)),MIN(DAY(Kalemler!$D131),DAY(EOMONTH((Tahmin!$C$4+56),0))))&gt;=Kalemler!$D131),AND(DATE(YEAR((Tahmin!$C$4+62)),MONTH((Tahmin!$C$4+62)),MIN(DAY(Kalemler!$D131),DAY(EOMONTH((Tahmin!$C$4+62),0))))&gt;=(Tahmin!$C$4+56),DATE(YEAR((Tahmin!$C$4+62)),MONTH((Tahmin!$C$4+62)),MIN(DAY(Kalemler!$D131),DAY(EOMONTH((Tahmin!$C$4+62),0))))&lt;=(Tahmin!$C$4+62),DATE(YEAR((Tahmin!$C$4+62)),MONTH((Tahmin!$C$4+62)),MIN(DAY(Kalemler!$D131),DAY(EOMONTH((Tahmin!$C$4+62),0))))&lt;&gt;DATE(YEAR((Tahmin!$C$4+56)),MONTH((Tahmin!$C$4+56)),MIN(DAY(Kalemler!$D131),DAY(EOMONTH((Tahmin!$C$4+56),0)))),DATE(YEAR((Tahmin!$C$4+62)),MONTH((Tahmin!$C$4+62)),MIN(DAY(Kalemler!$D131),DAY(EOMONTH((Tahmin!$C$4+62),0))))&gt;=Kalemler!$D131)),1,0),IF(AND(Kalemler!$D131&gt;=(Tahmin!$C$4+56),Kalemler!$D131&lt;=(Tahmin!$C$4+62)),1,0))))</f>
        <v>0</v>
      </c>
      <c r="K131" s="0" t="n">
        <f aca="false">IF(OR(Kalemler!$A131="",Kalemler!$C131="",Kalemler!$D131=""),0,Kalemler!$C131*IF(Kalemler!$E131="Haftalık",IF(Kalemler!$D131&lt;=(Tahmin!$C$4+69),1,0),IF(Kalemler!$E131="Aylık",IF(OR(AND(DATE(YEAR((Tahmin!$C$4+63)),MONTH((Tahmin!$C$4+63)),MIN(DAY(Kalemler!$D131),DAY(EOMONTH((Tahmin!$C$4+63),0))))&gt;=(Tahmin!$C$4+63),DATE(YEAR((Tahmin!$C$4+63)),MONTH((Tahmin!$C$4+63)),MIN(DAY(Kalemler!$D131),DAY(EOMONTH((Tahmin!$C$4+63),0))))&lt;=(Tahmin!$C$4+69),DATE(YEAR((Tahmin!$C$4+63)),MONTH((Tahmin!$C$4+63)),MIN(DAY(Kalemler!$D131),DAY(EOMONTH((Tahmin!$C$4+63),0))))&gt;=Kalemler!$D131),AND(DATE(YEAR((Tahmin!$C$4+69)),MONTH((Tahmin!$C$4+69)),MIN(DAY(Kalemler!$D131),DAY(EOMONTH((Tahmin!$C$4+69),0))))&gt;=(Tahmin!$C$4+63),DATE(YEAR((Tahmin!$C$4+69)),MONTH((Tahmin!$C$4+69)),MIN(DAY(Kalemler!$D131),DAY(EOMONTH((Tahmin!$C$4+69),0))))&lt;=(Tahmin!$C$4+69),DATE(YEAR((Tahmin!$C$4+69)),MONTH((Tahmin!$C$4+69)),MIN(DAY(Kalemler!$D131),DAY(EOMONTH((Tahmin!$C$4+69),0))))&lt;&gt;DATE(YEAR((Tahmin!$C$4+63)),MONTH((Tahmin!$C$4+63)),MIN(DAY(Kalemler!$D131),DAY(EOMONTH((Tahmin!$C$4+63),0)))),DATE(YEAR((Tahmin!$C$4+69)),MONTH((Tahmin!$C$4+69)),MIN(DAY(Kalemler!$D131),DAY(EOMONTH((Tahmin!$C$4+69),0))))&gt;=Kalemler!$D131)),1,0),IF(AND(Kalemler!$D131&gt;=(Tahmin!$C$4+63),Kalemler!$D131&lt;=(Tahmin!$C$4+69)),1,0))))</f>
        <v>0</v>
      </c>
      <c r="L131" s="0" t="n">
        <f aca="false">IF(OR(Kalemler!$A131="",Kalemler!$C131="",Kalemler!$D131=""),0,Kalemler!$C131*IF(Kalemler!$E131="Haftalık",IF(Kalemler!$D131&lt;=(Tahmin!$C$4+76),1,0),IF(Kalemler!$E131="Aylık",IF(OR(AND(DATE(YEAR((Tahmin!$C$4+70)),MONTH((Tahmin!$C$4+70)),MIN(DAY(Kalemler!$D131),DAY(EOMONTH((Tahmin!$C$4+70),0))))&gt;=(Tahmin!$C$4+70),DATE(YEAR((Tahmin!$C$4+70)),MONTH((Tahmin!$C$4+70)),MIN(DAY(Kalemler!$D131),DAY(EOMONTH((Tahmin!$C$4+70),0))))&lt;=(Tahmin!$C$4+76),DATE(YEAR((Tahmin!$C$4+70)),MONTH((Tahmin!$C$4+70)),MIN(DAY(Kalemler!$D131),DAY(EOMONTH((Tahmin!$C$4+70),0))))&gt;=Kalemler!$D131),AND(DATE(YEAR((Tahmin!$C$4+76)),MONTH((Tahmin!$C$4+76)),MIN(DAY(Kalemler!$D131),DAY(EOMONTH((Tahmin!$C$4+76),0))))&gt;=(Tahmin!$C$4+70),DATE(YEAR((Tahmin!$C$4+76)),MONTH((Tahmin!$C$4+76)),MIN(DAY(Kalemler!$D131),DAY(EOMONTH((Tahmin!$C$4+76),0))))&lt;=(Tahmin!$C$4+76),DATE(YEAR((Tahmin!$C$4+76)),MONTH((Tahmin!$C$4+76)),MIN(DAY(Kalemler!$D131),DAY(EOMONTH((Tahmin!$C$4+76),0))))&lt;&gt;DATE(YEAR((Tahmin!$C$4+70)),MONTH((Tahmin!$C$4+70)),MIN(DAY(Kalemler!$D131),DAY(EOMONTH((Tahmin!$C$4+70),0)))),DATE(YEAR((Tahmin!$C$4+76)),MONTH((Tahmin!$C$4+76)),MIN(DAY(Kalemler!$D131),DAY(EOMONTH((Tahmin!$C$4+76),0))))&gt;=Kalemler!$D131)),1,0),IF(AND(Kalemler!$D131&gt;=(Tahmin!$C$4+70),Kalemler!$D131&lt;=(Tahmin!$C$4+76)),1,0))))</f>
        <v>0</v>
      </c>
      <c r="M131" s="0" t="n">
        <f aca="false">IF(OR(Kalemler!$A131="",Kalemler!$C131="",Kalemler!$D131=""),0,Kalemler!$C131*IF(Kalemler!$E131="Haftalık",IF(Kalemler!$D131&lt;=(Tahmin!$C$4+83),1,0),IF(Kalemler!$E131="Aylık",IF(OR(AND(DATE(YEAR((Tahmin!$C$4+77)),MONTH((Tahmin!$C$4+77)),MIN(DAY(Kalemler!$D131),DAY(EOMONTH((Tahmin!$C$4+77),0))))&gt;=(Tahmin!$C$4+77),DATE(YEAR((Tahmin!$C$4+77)),MONTH((Tahmin!$C$4+77)),MIN(DAY(Kalemler!$D131),DAY(EOMONTH((Tahmin!$C$4+77),0))))&lt;=(Tahmin!$C$4+83),DATE(YEAR((Tahmin!$C$4+77)),MONTH((Tahmin!$C$4+77)),MIN(DAY(Kalemler!$D131),DAY(EOMONTH((Tahmin!$C$4+77),0))))&gt;=Kalemler!$D131),AND(DATE(YEAR((Tahmin!$C$4+83)),MONTH((Tahmin!$C$4+83)),MIN(DAY(Kalemler!$D131),DAY(EOMONTH((Tahmin!$C$4+83),0))))&gt;=(Tahmin!$C$4+77),DATE(YEAR((Tahmin!$C$4+83)),MONTH((Tahmin!$C$4+83)),MIN(DAY(Kalemler!$D131),DAY(EOMONTH((Tahmin!$C$4+83),0))))&lt;=(Tahmin!$C$4+83),DATE(YEAR((Tahmin!$C$4+83)),MONTH((Tahmin!$C$4+83)),MIN(DAY(Kalemler!$D131),DAY(EOMONTH((Tahmin!$C$4+83),0))))&lt;&gt;DATE(YEAR((Tahmin!$C$4+77)),MONTH((Tahmin!$C$4+77)),MIN(DAY(Kalemler!$D131),DAY(EOMONTH((Tahmin!$C$4+77),0)))),DATE(YEAR((Tahmin!$C$4+83)),MONTH((Tahmin!$C$4+83)),MIN(DAY(Kalemler!$D131),DAY(EOMONTH((Tahmin!$C$4+83),0))))&gt;=Kalemler!$D131)),1,0),IF(AND(Kalemler!$D131&gt;=(Tahmin!$C$4+77),Kalemler!$D131&lt;=(Tahmin!$C$4+83)),1,0))))</f>
        <v>0</v>
      </c>
      <c r="N131" s="0" t="n">
        <f aca="false">IF(OR(Kalemler!$A131="",Kalemler!$C131="",Kalemler!$D131=""),0,Kalemler!$C131*IF(Kalemler!$E131="Haftalık",IF(Kalemler!$D131&lt;=(Tahmin!$C$4+90),1,0),IF(Kalemler!$E131="Aylık",IF(OR(AND(DATE(YEAR((Tahmin!$C$4+84)),MONTH((Tahmin!$C$4+84)),MIN(DAY(Kalemler!$D131),DAY(EOMONTH((Tahmin!$C$4+84),0))))&gt;=(Tahmin!$C$4+84),DATE(YEAR((Tahmin!$C$4+84)),MONTH((Tahmin!$C$4+84)),MIN(DAY(Kalemler!$D131),DAY(EOMONTH((Tahmin!$C$4+84),0))))&lt;=(Tahmin!$C$4+90),DATE(YEAR((Tahmin!$C$4+84)),MONTH((Tahmin!$C$4+84)),MIN(DAY(Kalemler!$D131),DAY(EOMONTH((Tahmin!$C$4+84),0))))&gt;=Kalemler!$D131),AND(DATE(YEAR((Tahmin!$C$4+90)),MONTH((Tahmin!$C$4+90)),MIN(DAY(Kalemler!$D131),DAY(EOMONTH((Tahmin!$C$4+90),0))))&gt;=(Tahmin!$C$4+84),DATE(YEAR((Tahmin!$C$4+90)),MONTH((Tahmin!$C$4+90)),MIN(DAY(Kalemler!$D131),DAY(EOMONTH((Tahmin!$C$4+90),0))))&lt;=(Tahmin!$C$4+90),DATE(YEAR((Tahmin!$C$4+90)),MONTH((Tahmin!$C$4+90)),MIN(DAY(Kalemler!$D131),DAY(EOMONTH((Tahmin!$C$4+90),0))))&lt;&gt;DATE(YEAR((Tahmin!$C$4+84)),MONTH((Tahmin!$C$4+84)),MIN(DAY(Kalemler!$D131),DAY(EOMONTH((Tahmin!$C$4+84),0)))),DATE(YEAR((Tahmin!$C$4+90)),MONTH((Tahmin!$C$4+90)),MIN(DAY(Kalemler!$D131),DAY(EOMONTH((Tahmin!$C$4+90),0))))&gt;=Kalemler!$D131)),1,0),IF(AND(Kalemler!$D131&gt;=(Tahmin!$C$4+84),Kalemler!$D131&lt;=(Tahmin!$C$4+90)),1,0))))</f>
        <v>0</v>
      </c>
    </row>
    <row r="132" customFormat="false" ht="15" hidden="false" customHeight="false" outlineLevel="0" collapsed="false">
      <c r="A132" s="0" t="str">
        <f aca="false">IF(Kalemler!A132="","",Kalemler!A132)</f>
        <v/>
      </c>
      <c r="B132" s="0" t="n">
        <f aca="false">IF(OR(Kalemler!$A132="",Kalemler!$C132="",Kalemler!$D132=""),0,Kalemler!$C132*IF(Kalemler!$E132="Haftalık",IF(Kalemler!$D132&lt;=(Tahmin!$C$4+6),1,0),IF(Kalemler!$E132="Aylık",IF(OR(AND(DATE(YEAR((Tahmin!$C$4+0)),MONTH((Tahmin!$C$4+0)),MIN(DAY(Kalemler!$D132),DAY(EOMONTH((Tahmin!$C$4+0),0))))&gt;=(Tahmin!$C$4+0),DATE(YEAR((Tahmin!$C$4+0)),MONTH((Tahmin!$C$4+0)),MIN(DAY(Kalemler!$D132),DAY(EOMONTH((Tahmin!$C$4+0),0))))&lt;=(Tahmin!$C$4+6),DATE(YEAR((Tahmin!$C$4+0)),MONTH((Tahmin!$C$4+0)),MIN(DAY(Kalemler!$D132),DAY(EOMONTH((Tahmin!$C$4+0),0))))&gt;=Kalemler!$D132),AND(DATE(YEAR((Tahmin!$C$4+6)),MONTH((Tahmin!$C$4+6)),MIN(DAY(Kalemler!$D132),DAY(EOMONTH((Tahmin!$C$4+6),0))))&gt;=(Tahmin!$C$4+0),DATE(YEAR((Tahmin!$C$4+6)),MONTH((Tahmin!$C$4+6)),MIN(DAY(Kalemler!$D132),DAY(EOMONTH((Tahmin!$C$4+6),0))))&lt;=(Tahmin!$C$4+6),DATE(YEAR((Tahmin!$C$4+6)),MONTH((Tahmin!$C$4+6)),MIN(DAY(Kalemler!$D132),DAY(EOMONTH((Tahmin!$C$4+6),0))))&lt;&gt;DATE(YEAR((Tahmin!$C$4+0)),MONTH((Tahmin!$C$4+0)),MIN(DAY(Kalemler!$D132),DAY(EOMONTH((Tahmin!$C$4+0),0)))),DATE(YEAR((Tahmin!$C$4+6)),MONTH((Tahmin!$C$4+6)),MIN(DAY(Kalemler!$D132),DAY(EOMONTH((Tahmin!$C$4+6),0))))&gt;=Kalemler!$D132)),1,0),IF(AND(Kalemler!$D132&gt;=(Tahmin!$C$4+0),Kalemler!$D132&lt;=(Tahmin!$C$4+6)),1,0))))</f>
        <v>0</v>
      </c>
      <c r="C132" s="0" t="n">
        <f aca="false">IF(OR(Kalemler!$A132="",Kalemler!$C132="",Kalemler!$D132=""),0,Kalemler!$C132*IF(Kalemler!$E132="Haftalık",IF(Kalemler!$D132&lt;=(Tahmin!$C$4+13),1,0),IF(Kalemler!$E132="Aylık",IF(OR(AND(DATE(YEAR((Tahmin!$C$4+7)),MONTH((Tahmin!$C$4+7)),MIN(DAY(Kalemler!$D132),DAY(EOMONTH((Tahmin!$C$4+7),0))))&gt;=(Tahmin!$C$4+7),DATE(YEAR((Tahmin!$C$4+7)),MONTH((Tahmin!$C$4+7)),MIN(DAY(Kalemler!$D132),DAY(EOMONTH((Tahmin!$C$4+7),0))))&lt;=(Tahmin!$C$4+13),DATE(YEAR((Tahmin!$C$4+7)),MONTH((Tahmin!$C$4+7)),MIN(DAY(Kalemler!$D132),DAY(EOMONTH((Tahmin!$C$4+7),0))))&gt;=Kalemler!$D132),AND(DATE(YEAR((Tahmin!$C$4+13)),MONTH((Tahmin!$C$4+13)),MIN(DAY(Kalemler!$D132),DAY(EOMONTH((Tahmin!$C$4+13),0))))&gt;=(Tahmin!$C$4+7),DATE(YEAR((Tahmin!$C$4+13)),MONTH((Tahmin!$C$4+13)),MIN(DAY(Kalemler!$D132),DAY(EOMONTH((Tahmin!$C$4+13),0))))&lt;=(Tahmin!$C$4+13),DATE(YEAR((Tahmin!$C$4+13)),MONTH((Tahmin!$C$4+13)),MIN(DAY(Kalemler!$D132),DAY(EOMONTH((Tahmin!$C$4+13),0))))&lt;&gt;DATE(YEAR((Tahmin!$C$4+7)),MONTH((Tahmin!$C$4+7)),MIN(DAY(Kalemler!$D132),DAY(EOMONTH((Tahmin!$C$4+7),0)))),DATE(YEAR((Tahmin!$C$4+13)),MONTH((Tahmin!$C$4+13)),MIN(DAY(Kalemler!$D132),DAY(EOMONTH((Tahmin!$C$4+13),0))))&gt;=Kalemler!$D132)),1,0),IF(AND(Kalemler!$D132&gt;=(Tahmin!$C$4+7),Kalemler!$D132&lt;=(Tahmin!$C$4+13)),1,0))))</f>
        <v>0</v>
      </c>
      <c r="D132" s="0" t="n">
        <f aca="false">IF(OR(Kalemler!$A132="",Kalemler!$C132="",Kalemler!$D132=""),0,Kalemler!$C132*IF(Kalemler!$E132="Haftalık",IF(Kalemler!$D132&lt;=(Tahmin!$C$4+20),1,0),IF(Kalemler!$E132="Aylık",IF(OR(AND(DATE(YEAR((Tahmin!$C$4+14)),MONTH((Tahmin!$C$4+14)),MIN(DAY(Kalemler!$D132),DAY(EOMONTH((Tahmin!$C$4+14),0))))&gt;=(Tahmin!$C$4+14),DATE(YEAR((Tahmin!$C$4+14)),MONTH((Tahmin!$C$4+14)),MIN(DAY(Kalemler!$D132),DAY(EOMONTH((Tahmin!$C$4+14),0))))&lt;=(Tahmin!$C$4+20),DATE(YEAR((Tahmin!$C$4+14)),MONTH((Tahmin!$C$4+14)),MIN(DAY(Kalemler!$D132),DAY(EOMONTH((Tahmin!$C$4+14),0))))&gt;=Kalemler!$D132),AND(DATE(YEAR((Tahmin!$C$4+20)),MONTH((Tahmin!$C$4+20)),MIN(DAY(Kalemler!$D132),DAY(EOMONTH((Tahmin!$C$4+20),0))))&gt;=(Tahmin!$C$4+14),DATE(YEAR((Tahmin!$C$4+20)),MONTH((Tahmin!$C$4+20)),MIN(DAY(Kalemler!$D132),DAY(EOMONTH((Tahmin!$C$4+20),0))))&lt;=(Tahmin!$C$4+20),DATE(YEAR((Tahmin!$C$4+20)),MONTH((Tahmin!$C$4+20)),MIN(DAY(Kalemler!$D132),DAY(EOMONTH((Tahmin!$C$4+20),0))))&lt;&gt;DATE(YEAR((Tahmin!$C$4+14)),MONTH((Tahmin!$C$4+14)),MIN(DAY(Kalemler!$D132),DAY(EOMONTH((Tahmin!$C$4+14),0)))),DATE(YEAR((Tahmin!$C$4+20)),MONTH((Tahmin!$C$4+20)),MIN(DAY(Kalemler!$D132),DAY(EOMONTH((Tahmin!$C$4+20),0))))&gt;=Kalemler!$D132)),1,0),IF(AND(Kalemler!$D132&gt;=(Tahmin!$C$4+14),Kalemler!$D132&lt;=(Tahmin!$C$4+20)),1,0))))</f>
        <v>0</v>
      </c>
      <c r="E132" s="0" t="n">
        <f aca="false">IF(OR(Kalemler!$A132="",Kalemler!$C132="",Kalemler!$D132=""),0,Kalemler!$C132*IF(Kalemler!$E132="Haftalık",IF(Kalemler!$D132&lt;=(Tahmin!$C$4+27),1,0),IF(Kalemler!$E132="Aylık",IF(OR(AND(DATE(YEAR((Tahmin!$C$4+21)),MONTH((Tahmin!$C$4+21)),MIN(DAY(Kalemler!$D132),DAY(EOMONTH((Tahmin!$C$4+21),0))))&gt;=(Tahmin!$C$4+21),DATE(YEAR((Tahmin!$C$4+21)),MONTH((Tahmin!$C$4+21)),MIN(DAY(Kalemler!$D132),DAY(EOMONTH((Tahmin!$C$4+21),0))))&lt;=(Tahmin!$C$4+27),DATE(YEAR((Tahmin!$C$4+21)),MONTH((Tahmin!$C$4+21)),MIN(DAY(Kalemler!$D132),DAY(EOMONTH((Tahmin!$C$4+21),0))))&gt;=Kalemler!$D132),AND(DATE(YEAR((Tahmin!$C$4+27)),MONTH((Tahmin!$C$4+27)),MIN(DAY(Kalemler!$D132),DAY(EOMONTH((Tahmin!$C$4+27),0))))&gt;=(Tahmin!$C$4+21),DATE(YEAR((Tahmin!$C$4+27)),MONTH((Tahmin!$C$4+27)),MIN(DAY(Kalemler!$D132),DAY(EOMONTH((Tahmin!$C$4+27),0))))&lt;=(Tahmin!$C$4+27),DATE(YEAR((Tahmin!$C$4+27)),MONTH((Tahmin!$C$4+27)),MIN(DAY(Kalemler!$D132),DAY(EOMONTH((Tahmin!$C$4+27),0))))&lt;&gt;DATE(YEAR((Tahmin!$C$4+21)),MONTH((Tahmin!$C$4+21)),MIN(DAY(Kalemler!$D132),DAY(EOMONTH((Tahmin!$C$4+21),0)))),DATE(YEAR((Tahmin!$C$4+27)),MONTH((Tahmin!$C$4+27)),MIN(DAY(Kalemler!$D132),DAY(EOMONTH((Tahmin!$C$4+27),0))))&gt;=Kalemler!$D132)),1,0),IF(AND(Kalemler!$D132&gt;=(Tahmin!$C$4+21),Kalemler!$D132&lt;=(Tahmin!$C$4+27)),1,0))))</f>
        <v>0</v>
      </c>
      <c r="F132" s="0" t="n">
        <f aca="false">IF(OR(Kalemler!$A132="",Kalemler!$C132="",Kalemler!$D132=""),0,Kalemler!$C132*IF(Kalemler!$E132="Haftalık",IF(Kalemler!$D132&lt;=(Tahmin!$C$4+34),1,0),IF(Kalemler!$E132="Aylık",IF(OR(AND(DATE(YEAR((Tahmin!$C$4+28)),MONTH((Tahmin!$C$4+28)),MIN(DAY(Kalemler!$D132),DAY(EOMONTH((Tahmin!$C$4+28),0))))&gt;=(Tahmin!$C$4+28),DATE(YEAR((Tahmin!$C$4+28)),MONTH((Tahmin!$C$4+28)),MIN(DAY(Kalemler!$D132),DAY(EOMONTH((Tahmin!$C$4+28),0))))&lt;=(Tahmin!$C$4+34),DATE(YEAR((Tahmin!$C$4+28)),MONTH((Tahmin!$C$4+28)),MIN(DAY(Kalemler!$D132),DAY(EOMONTH((Tahmin!$C$4+28),0))))&gt;=Kalemler!$D132),AND(DATE(YEAR((Tahmin!$C$4+34)),MONTH((Tahmin!$C$4+34)),MIN(DAY(Kalemler!$D132),DAY(EOMONTH((Tahmin!$C$4+34),0))))&gt;=(Tahmin!$C$4+28),DATE(YEAR((Tahmin!$C$4+34)),MONTH((Tahmin!$C$4+34)),MIN(DAY(Kalemler!$D132),DAY(EOMONTH((Tahmin!$C$4+34),0))))&lt;=(Tahmin!$C$4+34),DATE(YEAR((Tahmin!$C$4+34)),MONTH((Tahmin!$C$4+34)),MIN(DAY(Kalemler!$D132),DAY(EOMONTH((Tahmin!$C$4+34),0))))&lt;&gt;DATE(YEAR((Tahmin!$C$4+28)),MONTH((Tahmin!$C$4+28)),MIN(DAY(Kalemler!$D132),DAY(EOMONTH((Tahmin!$C$4+28),0)))),DATE(YEAR((Tahmin!$C$4+34)),MONTH((Tahmin!$C$4+34)),MIN(DAY(Kalemler!$D132),DAY(EOMONTH((Tahmin!$C$4+34),0))))&gt;=Kalemler!$D132)),1,0),IF(AND(Kalemler!$D132&gt;=(Tahmin!$C$4+28),Kalemler!$D132&lt;=(Tahmin!$C$4+34)),1,0))))</f>
        <v>0</v>
      </c>
      <c r="G132" s="0" t="n">
        <f aca="false">IF(OR(Kalemler!$A132="",Kalemler!$C132="",Kalemler!$D132=""),0,Kalemler!$C132*IF(Kalemler!$E132="Haftalık",IF(Kalemler!$D132&lt;=(Tahmin!$C$4+41),1,0),IF(Kalemler!$E132="Aylık",IF(OR(AND(DATE(YEAR((Tahmin!$C$4+35)),MONTH((Tahmin!$C$4+35)),MIN(DAY(Kalemler!$D132),DAY(EOMONTH((Tahmin!$C$4+35),0))))&gt;=(Tahmin!$C$4+35),DATE(YEAR((Tahmin!$C$4+35)),MONTH((Tahmin!$C$4+35)),MIN(DAY(Kalemler!$D132),DAY(EOMONTH((Tahmin!$C$4+35),0))))&lt;=(Tahmin!$C$4+41),DATE(YEAR((Tahmin!$C$4+35)),MONTH((Tahmin!$C$4+35)),MIN(DAY(Kalemler!$D132),DAY(EOMONTH((Tahmin!$C$4+35),0))))&gt;=Kalemler!$D132),AND(DATE(YEAR((Tahmin!$C$4+41)),MONTH((Tahmin!$C$4+41)),MIN(DAY(Kalemler!$D132),DAY(EOMONTH((Tahmin!$C$4+41),0))))&gt;=(Tahmin!$C$4+35),DATE(YEAR((Tahmin!$C$4+41)),MONTH((Tahmin!$C$4+41)),MIN(DAY(Kalemler!$D132),DAY(EOMONTH((Tahmin!$C$4+41),0))))&lt;=(Tahmin!$C$4+41),DATE(YEAR((Tahmin!$C$4+41)),MONTH((Tahmin!$C$4+41)),MIN(DAY(Kalemler!$D132),DAY(EOMONTH((Tahmin!$C$4+41),0))))&lt;&gt;DATE(YEAR((Tahmin!$C$4+35)),MONTH((Tahmin!$C$4+35)),MIN(DAY(Kalemler!$D132),DAY(EOMONTH((Tahmin!$C$4+35),0)))),DATE(YEAR((Tahmin!$C$4+41)),MONTH((Tahmin!$C$4+41)),MIN(DAY(Kalemler!$D132),DAY(EOMONTH((Tahmin!$C$4+41),0))))&gt;=Kalemler!$D132)),1,0),IF(AND(Kalemler!$D132&gt;=(Tahmin!$C$4+35),Kalemler!$D132&lt;=(Tahmin!$C$4+41)),1,0))))</f>
        <v>0</v>
      </c>
      <c r="H132" s="0" t="n">
        <f aca="false">IF(OR(Kalemler!$A132="",Kalemler!$C132="",Kalemler!$D132=""),0,Kalemler!$C132*IF(Kalemler!$E132="Haftalık",IF(Kalemler!$D132&lt;=(Tahmin!$C$4+48),1,0),IF(Kalemler!$E132="Aylık",IF(OR(AND(DATE(YEAR((Tahmin!$C$4+42)),MONTH((Tahmin!$C$4+42)),MIN(DAY(Kalemler!$D132),DAY(EOMONTH((Tahmin!$C$4+42),0))))&gt;=(Tahmin!$C$4+42),DATE(YEAR((Tahmin!$C$4+42)),MONTH((Tahmin!$C$4+42)),MIN(DAY(Kalemler!$D132),DAY(EOMONTH((Tahmin!$C$4+42),0))))&lt;=(Tahmin!$C$4+48),DATE(YEAR((Tahmin!$C$4+42)),MONTH((Tahmin!$C$4+42)),MIN(DAY(Kalemler!$D132),DAY(EOMONTH((Tahmin!$C$4+42),0))))&gt;=Kalemler!$D132),AND(DATE(YEAR((Tahmin!$C$4+48)),MONTH((Tahmin!$C$4+48)),MIN(DAY(Kalemler!$D132),DAY(EOMONTH((Tahmin!$C$4+48),0))))&gt;=(Tahmin!$C$4+42),DATE(YEAR((Tahmin!$C$4+48)),MONTH((Tahmin!$C$4+48)),MIN(DAY(Kalemler!$D132),DAY(EOMONTH((Tahmin!$C$4+48),0))))&lt;=(Tahmin!$C$4+48),DATE(YEAR((Tahmin!$C$4+48)),MONTH((Tahmin!$C$4+48)),MIN(DAY(Kalemler!$D132),DAY(EOMONTH((Tahmin!$C$4+48),0))))&lt;&gt;DATE(YEAR((Tahmin!$C$4+42)),MONTH((Tahmin!$C$4+42)),MIN(DAY(Kalemler!$D132),DAY(EOMONTH((Tahmin!$C$4+42),0)))),DATE(YEAR((Tahmin!$C$4+48)),MONTH((Tahmin!$C$4+48)),MIN(DAY(Kalemler!$D132),DAY(EOMONTH((Tahmin!$C$4+48),0))))&gt;=Kalemler!$D132)),1,0),IF(AND(Kalemler!$D132&gt;=(Tahmin!$C$4+42),Kalemler!$D132&lt;=(Tahmin!$C$4+48)),1,0))))</f>
        <v>0</v>
      </c>
      <c r="I132" s="0" t="n">
        <f aca="false">IF(OR(Kalemler!$A132="",Kalemler!$C132="",Kalemler!$D132=""),0,Kalemler!$C132*IF(Kalemler!$E132="Haftalık",IF(Kalemler!$D132&lt;=(Tahmin!$C$4+55),1,0),IF(Kalemler!$E132="Aylık",IF(OR(AND(DATE(YEAR((Tahmin!$C$4+49)),MONTH((Tahmin!$C$4+49)),MIN(DAY(Kalemler!$D132),DAY(EOMONTH((Tahmin!$C$4+49),0))))&gt;=(Tahmin!$C$4+49),DATE(YEAR((Tahmin!$C$4+49)),MONTH((Tahmin!$C$4+49)),MIN(DAY(Kalemler!$D132),DAY(EOMONTH((Tahmin!$C$4+49),0))))&lt;=(Tahmin!$C$4+55),DATE(YEAR((Tahmin!$C$4+49)),MONTH((Tahmin!$C$4+49)),MIN(DAY(Kalemler!$D132),DAY(EOMONTH((Tahmin!$C$4+49),0))))&gt;=Kalemler!$D132),AND(DATE(YEAR((Tahmin!$C$4+55)),MONTH((Tahmin!$C$4+55)),MIN(DAY(Kalemler!$D132),DAY(EOMONTH((Tahmin!$C$4+55),0))))&gt;=(Tahmin!$C$4+49),DATE(YEAR((Tahmin!$C$4+55)),MONTH((Tahmin!$C$4+55)),MIN(DAY(Kalemler!$D132),DAY(EOMONTH((Tahmin!$C$4+55),0))))&lt;=(Tahmin!$C$4+55),DATE(YEAR((Tahmin!$C$4+55)),MONTH((Tahmin!$C$4+55)),MIN(DAY(Kalemler!$D132),DAY(EOMONTH((Tahmin!$C$4+55),0))))&lt;&gt;DATE(YEAR((Tahmin!$C$4+49)),MONTH((Tahmin!$C$4+49)),MIN(DAY(Kalemler!$D132),DAY(EOMONTH((Tahmin!$C$4+49),0)))),DATE(YEAR((Tahmin!$C$4+55)),MONTH((Tahmin!$C$4+55)),MIN(DAY(Kalemler!$D132),DAY(EOMONTH((Tahmin!$C$4+55),0))))&gt;=Kalemler!$D132)),1,0),IF(AND(Kalemler!$D132&gt;=(Tahmin!$C$4+49),Kalemler!$D132&lt;=(Tahmin!$C$4+55)),1,0))))</f>
        <v>0</v>
      </c>
      <c r="J132" s="0" t="n">
        <f aca="false">IF(OR(Kalemler!$A132="",Kalemler!$C132="",Kalemler!$D132=""),0,Kalemler!$C132*IF(Kalemler!$E132="Haftalık",IF(Kalemler!$D132&lt;=(Tahmin!$C$4+62),1,0),IF(Kalemler!$E132="Aylık",IF(OR(AND(DATE(YEAR((Tahmin!$C$4+56)),MONTH((Tahmin!$C$4+56)),MIN(DAY(Kalemler!$D132),DAY(EOMONTH((Tahmin!$C$4+56),0))))&gt;=(Tahmin!$C$4+56),DATE(YEAR((Tahmin!$C$4+56)),MONTH((Tahmin!$C$4+56)),MIN(DAY(Kalemler!$D132),DAY(EOMONTH((Tahmin!$C$4+56),0))))&lt;=(Tahmin!$C$4+62),DATE(YEAR((Tahmin!$C$4+56)),MONTH((Tahmin!$C$4+56)),MIN(DAY(Kalemler!$D132),DAY(EOMONTH((Tahmin!$C$4+56),0))))&gt;=Kalemler!$D132),AND(DATE(YEAR((Tahmin!$C$4+62)),MONTH((Tahmin!$C$4+62)),MIN(DAY(Kalemler!$D132),DAY(EOMONTH((Tahmin!$C$4+62),0))))&gt;=(Tahmin!$C$4+56),DATE(YEAR((Tahmin!$C$4+62)),MONTH((Tahmin!$C$4+62)),MIN(DAY(Kalemler!$D132),DAY(EOMONTH((Tahmin!$C$4+62),0))))&lt;=(Tahmin!$C$4+62),DATE(YEAR((Tahmin!$C$4+62)),MONTH((Tahmin!$C$4+62)),MIN(DAY(Kalemler!$D132),DAY(EOMONTH((Tahmin!$C$4+62),0))))&lt;&gt;DATE(YEAR((Tahmin!$C$4+56)),MONTH((Tahmin!$C$4+56)),MIN(DAY(Kalemler!$D132),DAY(EOMONTH((Tahmin!$C$4+56),0)))),DATE(YEAR((Tahmin!$C$4+62)),MONTH((Tahmin!$C$4+62)),MIN(DAY(Kalemler!$D132),DAY(EOMONTH((Tahmin!$C$4+62),0))))&gt;=Kalemler!$D132)),1,0),IF(AND(Kalemler!$D132&gt;=(Tahmin!$C$4+56),Kalemler!$D132&lt;=(Tahmin!$C$4+62)),1,0))))</f>
        <v>0</v>
      </c>
      <c r="K132" s="0" t="n">
        <f aca="false">IF(OR(Kalemler!$A132="",Kalemler!$C132="",Kalemler!$D132=""),0,Kalemler!$C132*IF(Kalemler!$E132="Haftalık",IF(Kalemler!$D132&lt;=(Tahmin!$C$4+69),1,0),IF(Kalemler!$E132="Aylık",IF(OR(AND(DATE(YEAR((Tahmin!$C$4+63)),MONTH((Tahmin!$C$4+63)),MIN(DAY(Kalemler!$D132),DAY(EOMONTH((Tahmin!$C$4+63),0))))&gt;=(Tahmin!$C$4+63),DATE(YEAR((Tahmin!$C$4+63)),MONTH((Tahmin!$C$4+63)),MIN(DAY(Kalemler!$D132),DAY(EOMONTH((Tahmin!$C$4+63),0))))&lt;=(Tahmin!$C$4+69),DATE(YEAR((Tahmin!$C$4+63)),MONTH((Tahmin!$C$4+63)),MIN(DAY(Kalemler!$D132),DAY(EOMONTH((Tahmin!$C$4+63),0))))&gt;=Kalemler!$D132),AND(DATE(YEAR((Tahmin!$C$4+69)),MONTH((Tahmin!$C$4+69)),MIN(DAY(Kalemler!$D132),DAY(EOMONTH((Tahmin!$C$4+69),0))))&gt;=(Tahmin!$C$4+63),DATE(YEAR((Tahmin!$C$4+69)),MONTH((Tahmin!$C$4+69)),MIN(DAY(Kalemler!$D132),DAY(EOMONTH((Tahmin!$C$4+69),0))))&lt;=(Tahmin!$C$4+69),DATE(YEAR((Tahmin!$C$4+69)),MONTH((Tahmin!$C$4+69)),MIN(DAY(Kalemler!$D132),DAY(EOMONTH((Tahmin!$C$4+69),0))))&lt;&gt;DATE(YEAR((Tahmin!$C$4+63)),MONTH((Tahmin!$C$4+63)),MIN(DAY(Kalemler!$D132),DAY(EOMONTH((Tahmin!$C$4+63),0)))),DATE(YEAR((Tahmin!$C$4+69)),MONTH((Tahmin!$C$4+69)),MIN(DAY(Kalemler!$D132),DAY(EOMONTH((Tahmin!$C$4+69),0))))&gt;=Kalemler!$D132)),1,0),IF(AND(Kalemler!$D132&gt;=(Tahmin!$C$4+63),Kalemler!$D132&lt;=(Tahmin!$C$4+69)),1,0))))</f>
        <v>0</v>
      </c>
      <c r="L132" s="0" t="n">
        <f aca="false">IF(OR(Kalemler!$A132="",Kalemler!$C132="",Kalemler!$D132=""),0,Kalemler!$C132*IF(Kalemler!$E132="Haftalık",IF(Kalemler!$D132&lt;=(Tahmin!$C$4+76),1,0),IF(Kalemler!$E132="Aylık",IF(OR(AND(DATE(YEAR((Tahmin!$C$4+70)),MONTH((Tahmin!$C$4+70)),MIN(DAY(Kalemler!$D132),DAY(EOMONTH((Tahmin!$C$4+70),0))))&gt;=(Tahmin!$C$4+70),DATE(YEAR((Tahmin!$C$4+70)),MONTH((Tahmin!$C$4+70)),MIN(DAY(Kalemler!$D132),DAY(EOMONTH((Tahmin!$C$4+70),0))))&lt;=(Tahmin!$C$4+76),DATE(YEAR((Tahmin!$C$4+70)),MONTH((Tahmin!$C$4+70)),MIN(DAY(Kalemler!$D132),DAY(EOMONTH((Tahmin!$C$4+70),0))))&gt;=Kalemler!$D132),AND(DATE(YEAR((Tahmin!$C$4+76)),MONTH((Tahmin!$C$4+76)),MIN(DAY(Kalemler!$D132),DAY(EOMONTH((Tahmin!$C$4+76),0))))&gt;=(Tahmin!$C$4+70),DATE(YEAR((Tahmin!$C$4+76)),MONTH((Tahmin!$C$4+76)),MIN(DAY(Kalemler!$D132),DAY(EOMONTH((Tahmin!$C$4+76),0))))&lt;=(Tahmin!$C$4+76),DATE(YEAR((Tahmin!$C$4+76)),MONTH((Tahmin!$C$4+76)),MIN(DAY(Kalemler!$D132),DAY(EOMONTH((Tahmin!$C$4+76),0))))&lt;&gt;DATE(YEAR((Tahmin!$C$4+70)),MONTH((Tahmin!$C$4+70)),MIN(DAY(Kalemler!$D132),DAY(EOMONTH((Tahmin!$C$4+70),0)))),DATE(YEAR((Tahmin!$C$4+76)),MONTH((Tahmin!$C$4+76)),MIN(DAY(Kalemler!$D132),DAY(EOMONTH((Tahmin!$C$4+76),0))))&gt;=Kalemler!$D132)),1,0),IF(AND(Kalemler!$D132&gt;=(Tahmin!$C$4+70),Kalemler!$D132&lt;=(Tahmin!$C$4+76)),1,0))))</f>
        <v>0</v>
      </c>
      <c r="M132" s="0" t="n">
        <f aca="false">IF(OR(Kalemler!$A132="",Kalemler!$C132="",Kalemler!$D132=""),0,Kalemler!$C132*IF(Kalemler!$E132="Haftalık",IF(Kalemler!$D132&lt;=(Tahmin!$C$4+83),1,0),IF(Kalemler!$E132="Aylık",IF(OR(AND(DATE(YEAR((Tahmin!$C$4+77)),MONTH((Tahmin!$C$4+77)),MIN(DAY(Kalemler!$D132),DAY(EOMONTH((Tahmin!$C$4+77),0))))&gt;=(Tahmin!$C$4+77),DATE(YEAR((Tahmin!$C$4+77)),MONTH((Tahmin!$C$4+77)),MIN(DAY(Kalemler!$D132),DAY(EOMONTH((Tahmin!$C$4+77),0))))&lt;=(Tahmin!$C$4+83),DATE(YEAR((Tahmin!$C$4+77)),MONTH((Tahmin!$C$4+77)),MIN(DAY(Kalemler!$D132),DAY(EOMONTH((Tahmin!$C$4+77),0))))&gt;=Kalemler!$D132),AND(DATE(YEAR((Tahmin!$C$4+83)),MONTH((Tahmin!$C$4+83)),MIN(DAY(Kalemler!$D132),DAY(EOMONTH((Tahmin!$C$4+83),0))))&gt;=(Tahmin!$C$4+77),DATE(YEAR((Tahmin!$C$4+83)),MONTH((Tahmin!$C$4+83)),MIN(DAY(Kalemler!$D132),DAY(EOMONTH((Tahmin!$C$4+83),0))))&lt;=(Tahmin!$C$4+83),DATE(YEAR((Tahmin!$C$4+83)),MONTH((Tahmin!$C$4+83)),MIN(DAY(Kalemler!$D132),DAY(EOMONTH((Tahmin!$C$4+83),0))))&lt;&gt;DATE(YEAR((Tahmin!$C$4+77)),MONTH((Tahmin!$C$4+77)),MIN(DAY(Kalemler!$D132),DAY(EOMONTH((Tahmin!$C$4+77),0)))),DATE(YEAR((Tahmin!$C$4+83)),MONTH((Tahmin!$C$4+83)),MIN(DAY(Kalemler!$D132),DAY(EOMONTH((Tahmin!$C$4+83),0))))&gt;=Kalemler!$D132)),1,0),IF(AND(Kalemler!$D132&gt;=(Tahmin!$C$4+77),Kalemler!$D132&lt;=(Tahmin!$C$4+83)),1,0))))</f>
        <v>0</v>
      </c>
      <c r="N132" s="0" t="n">
        <f aca="false">IF(OR(Kalemler!$A132="",Kalemler!$C132="",Kalemler!$D132=""),0,Kalemler!$C132*IF(Kalemler!$E132="Haftalık",IF(Kalemler!$D132&lt;=(Tahmin!$C$4+90),1,0),IF(Kalemler!$E132="Aylık",IF(OR(AND(DATE(YEAR((Tahmin!$C$4+84)),MONTH((Tahmin!$C$4+84)),MIN(DAY(Kalemler!$D132),DAY(EOMONTH((Tahmin!$C$4+84),0))))&gt;=(Tahmin!$C$4+84),DATE(YEAR((Tahmin!$C$4+84)),MONTH((Tahmin!$C$4+84)),MIN(DAY(Kalemler!$D132),DAY(EOMONTH((Tahmin!$C$4+84),0))))&lt;=(Tahmin!$C$4+90),DATE(YEAR((Tahmin!$C$4+84)),MONTH((Tahmin!$C$4+84)),MIN(DAY(Kalemler!$D132),DAY(EOMONTH((Tahmin!$C$4+84),0))))&gt;=Kalemler!$D132),AND(DATE(YEAR((Tahmin!$C$4+90)),MONTH((Tahmin!$C$4+90)),MIN(DAY(Kalemler!$D132),DAY(EOMONTH((Tahmin!$C$4+90),0))))&gt;=(Tahmin!$C$4+84),DATE(YEAR((Tahmin!$C$4+90)),MONTH((Tahmin!$C$4+90)),MIN(DAY(Kalemler!$D132),DAY(EOMONTH((Tahmin!$C$4+90),0))))&lt;=(Tahmin!$C$4+90),DATE(YEAR((Tahmin!$C$4+90)),MONTH((Tahmin!$C$4+90)),MIN(DAY(Kalemler!$D132),DAY(EOMONTH((Tahmin!$C$4+90),0))))&lt;&gt;DATE(YEAR((Tahmin!$C$4+84)),MONTH((Tahmin!$C$4+84)),MIN(DAY(Kalemler!$D132),DAY(EOMONTH((Tahmin!$C$4+84),0)))),DATE(YEAR((Tahmin!$C$4+90)),MONTH((Tahmin!$C$4+90)),MIN(DAY(Kalemler!$D132),DAY(EOMONTH((Tahmin!$C$4+90),0))))&gt;=Kalemler!$D132)),1,0),IF(AND(Kalemler!$D132&gt;=(Tahmin!$C$4+84),Kalemler!$D132&lt;=(Tahmin!$C$4+90)),1,0))))</f>
        <v>0</v>
      </c>
    </row>
    <row r="133" customFormat="false" ht="15" hidden="false" customHeight="false" outlineLevel="0" collapsed="false">
      <c r="A133" s="0" t="str">
        <f aca="false">IF(Kalemler!A133="","",Kalemler!A133)</f>
        <v/>
      </c>
      <c r="B133" s="0" t="n">
        <f aca="false">IF(OR(Kalemler!$A133="",Kalemler!$C133="",Kalemler!$D133=""),0,Kalemler!$C133*IF(Kalemler!$E133="Haftalık",IF(Kalemler!$D133&lt;=(Tahmin!$C$4+6),1,0),IF(Kalemler!$E133="Aylık",IF(OR(AND(DATE(YEAR((Tahmin!$C$4+0)),MONTH((Tahmin!$C$4+0)),MIN(DAY(Kalemler!$D133),DAY(EOMONTH((Tahmin!$C$4+0),0))))&gt;=(Tahmin!$C$4+0),DATE(YEAR((Tahmin!$C$4+0)),MONTH((Tahmin!$C$4+0)),MIN(DAY(Kalemler!$D133),DAY(EOMONTH((Tahmin!$C$4+0),0))))&lt;=(Tahmin!$C$4+6),DATE(YEAR((Tahmin!$C$4+0)),MONTH((Tahmin!$C$4+0)),MIN(DAY(Kalemler!$D133),DAY(EOMONTH((Tahmin!$C$4+0),0))))&gt;=Kalemler!$D133),AND(DATE(YEAR((Tahmin!$C$4+6)),MONTH((Tahmin!$C$4+6)),MIN(DAY(Kalemler!$D133),DAY(EOMONTH((Tahmin!$C$4+6),0))))&gt;=(Tahmin!$C$4+0),DATE(YEAR((Tahmin!$C$4+6)),MONTH((Tahmin!$C$4+6)),MIN(DAY(Kalemler!$D133),DAY(EOMONTH((Tahmin!$C$4+6),0))))&lt;=(Tahmin!$C$4+6),DATE(YEAR((Tahmin!$C$4+6)),MONTH((Tahmin!$C$4+6)),MIN(DAY(Kalemler!$D133),DAY(EOMONTH((Tahmin!$C$4+6),0))))&lt;&gt;DATE(YEAR((Tahmin!$C$4+0)),MONTH((Tahmin!$C$4+0)),MIN(DAY(Kalemler!$D133),DAY(EOMONTH((Tahmin!$C$4+0),0)))),DATE(YEAR((Tahmin!$C$4+6)),MONTH((Tahmin!$C$4+6)),MIN(DAY(Kalemler!$D133),DAY(EOMONTH((Tahmin!$C$4+6),0))))&gt;=Kalemler!$D133)),1,0),IF(AND(Kalemler!$D133&gt;=(Tahmin!$C$4+0),Kalemler!$D133&lt;=(Tahmin!$C$4+6)),1,0))))</f>
        <v>0</v>
      </c>
      <c r="C133" s="0" t="n">
        <f aca="false">IF(OR(Kalemler!$A133="",Kalemler!$C133="",Kalemler!$D133=""),0,Kalemler!$C133*IF(Kalemler!$E133="Haftalık",IF(Kalemler!$D133&lt;=(Tahmin!$C$4+13),1,0),IF(Kalemler!$E133="Aylık",IF(OR(AND(DATE(YEAR((Tahmin!$C$4+7)),MONTH((Tahmin!$C$4+7)),MIN(DAY(Kalemler!$D133),DAY(EOMONTH((Tahmin!$C$4+7),0))))&gt;=(Tahmin!$C$4+7),DATE(YEAR((Tahmin!$C$4+7)),MONTH((Tahmin!$C$4+7)),MIN(DAY(Kalemler!$D133),DAY(EOMONTH((Tahmin!$C$4+7),0))))&lt;=(Tahmin!$C$4+13),DATE(YEAR((Tahmin!$C$4+7)),MONTH((Tahmin!$C$4+7)),MIN(DAY(Kalemler!$D133),DAY(EOMONTH((Tahmin!$C$4+7),0))))&gt;=Kalemler!$D133),AND(DATE(YEAR((Tahmin!$C$4+13)),MONTH((Tahmin!$C$4+13)),MIN(DAY(Kalemler!$D133),DAY(EOMONTH((Tahmin!$C$4+13),0))))&gt;=(Tahmin!$C$4+7),DATE(YEAR((Tahmin!$C$4+13)),MONTH((Tahmin!$C$4+13)),MIN(DAY(Kalemler!$D133),DAY(EOMONTH((Tahmin!$C$4+13),0))))&lt;=(Tahmin!$C$4+13),DATE(YEAR((Tahmin!$C$4+13)),MONTH((Tahmin!$C$4+13)),MIN(DAY(Kalemler!$D133),DAY(EOMONTH((Tahmin!$C$4+13),0))))&lt;&gt;DATE(YEAR((Tahmin!$C$4+7)),MONTH((Tahmin!$C$4+7)),MIN(DAY(Kalemler!$D133),DAY(EOMONTH((Tahmin!$C$4+7),0)))),DATE(YEAR((Tahmin!$C$4+13)),MONTH((Tahmin!$C$4+13)),MIN(DAY(Kalemler!$D133),DAY(EOMONTH((Tahmin!$C$4+13),0))))&gt;=Kalemler!$D133)),1,0),IF(AND(Kalemler!$D133&gt;=(Tahmin!$C$4+7),Kalemler!$D133&lt;=(Tahmin!$C$4+13)),1,0))))</f>
        <v>0</v>
      </c>
      <c r="D133" s="0" t="n">
        <f aca="false">IF(OR(Kalemler!$A133="",Kalemler!$C133="",Kalemler!$D133=""),0,Kalemler!$C133*IF(Kalemler!$E133="Haftalık",IF(Kalemler!$D133&lt;=(Tahmin!$C$4+20),1,0),IF(Kalemler!$E133="Aylık",IF(OR(AND(DATE(YEAR((Tahmin!$C$4+14)),MONTH((Tahmin!$C$4+14)),MIN(DAY(Kalemler!$D133),DAY(EOMONTH((Tahmin!$C$4+14),0))))&gt;=(Tahmin!$C$4+14),DATE(YEAR((Tahmin!$C$4+14)),MONTH((Tahmin!$C$4+14)),MIN(DAY(Kalemler!$D133),DAY(EOMONTH((Tahmin!$C$4+14),0))))&lt;=(Tahmin!$C$4+20),DATE(YEAR((Tahmin!$C$4+14)),MONTH((Tahmin!$C$4+14)),MIN(DAY(Kalemler!$D133),DAY(EOMONTH((Tahmin!$C$4+14),0))))&gt;=Kalemler!$D133),AND(DATE(YEAR((Tahmin!$C$4+20)),MONTH((Tahmin!$C$4+20)),MIN(DAY(Kalemler!$D133),DAY(EOMONTH((Tahmin!$C$4+20),0))))&gt;=(Tahmin!$C$4+14),DATE(YEAR((Tahmin!$C$4+20)),MONTH((Tahmin!$C$4+20)),MIN(DAY(Kalemler!$D133),DAY(EOMONTH((Tahmin!$C$4+20),0))))&lt;=(Tahmin!$C$4+20),DATE(YEAR((Tahmin!$C$4+20)),MONTH((Tahmin!$C$4+20)),MIN(DAY(Kalemler!$D133),DAY(EOMONTH((Tahmin!$C$4+20),0))))&lt;&gt;DATE(YEAR((Tahmin!$C$4+14)),MONTH((Tahmin!$C$4+14)),MIN(DAY(Kalemler!$D133),DAY(EOMONTH((Tahmin!$C$4+14),0)))),DATE(YEAR((Tahmin!$C$4+20)),MONTH((Tahmin!$C$4+20)),MIN(DAY(Kalemler!$D133),DAY(EOMONTH((Tahmin!$C$4+20),0))))&gt;=Kalemler!$D133)),1,0),IF(AND(Kalemler!$D133&gt;=(Tahmin!$C$4+14),Kalemler!$D133&lt;=(Tahmin!$C$4+20)),1,0))))</f>
        <v>0</v>
      </c>
      <c r="E133" s="0" t="n">
        <f aca="false">IF(OR(Kalemler!$A133="",Kalemler!$C133="",Kalemler!$D133=""),0,Kalemler!$C133*IF(Kalemler!$E133="Haftalık",IF(Kalemler!$D133&lt;=(Tahmin!$C$4+27),1,0),IF(Kalemler!$E133="Aylık",IF(OR(AND(DATE(YEAR((Tahmin!$C$4+21)),MONTH((Tahmin!$C$4+21)),MIN(DAY(Kalemler!$D133),DAY(EOMONTH((Tahmin!$C$4+21),0))))&gt;=(Tahmin!$C$4+21),DATE(YEAR((Tahmin!$C$4+21)),MONTH((Tahmin!$C$4+21)),MIN(DAY(Kalemler!$D133),DAY(EOMONTH((Tahmin!$C$4+21),0))))&lt;=(Tahmin!$C$4+27),DATE(YEAR((Tahmin!$C$4+21)),MONTH((Tahmin!$C$4+21)),MIN(DAY(Kalemler!$D133),DAY(EOMONTH((Tahmin!$C$4+21),0))))&gt;=Kalemler!$D133),AND(DATE(YEAR((Tahmin!$C$4+27)),MONTH((Tahmin!$C$4+27)),MIN(DAY(Kalemler!$D133),DAY(EOMONTH((Tahmin!$C$4+27),0))))&gt;=(Tahmin!$C$4+21),DATE(YEAR((Tahmin!$C$4+27)),MONTH((Tahmin!$C$4+27)),MIN(DAY(Kalemler!$D133),DAY(EOMONTH((Tahmin!$C$4+27),0))))&lt;=(Tahmin!$C$4+27),DATE(YEAR((Tahmin!$C$4+27)),MONTH((Tahmin!$C$4+27)),MIN(DAY(Kalemler!$D133),DAY(EOMONTH((Tahmin!$C$4+27),0))))&lt;&gt;DATE(YEAR((Tahmin!$C$4+21)),MONTH((Tahmin!$C$4+21)),MIN(DAY(Kalemler!$D133),DAY(EOMONTH((Tahmin!$C$4+21),0)))),DATE(YEAR((Tahmin!$C$4+27)),MONTH((Tahmin!$C$4+27)),MIN(DAY(Kalemler!$D133),DAY(EOMONTH((Tahmin!$C$4+27),0))))&gt;=Kalemler!$D133)),1,0),IF(AND(Kalemler!$D133&gt;=(Tahmin!$C$4+21),Kalemler!$D133&lt;=(Tahmin!$C$4+27)),1,0))))</f>
        <v>0</v>
      </c>
      <c r="F133" s="0" t="n">
        <f aca="false">IF(OR(Kalemler!$A133="",Kalemler!$C133="",Kalemler!$D133=""),0,Kalemler!$C133*IF(Kalemler!$E133="Haftalık",IF(Kalemler!$D133&lt;=(Tahmin!$C$4+34),1,0),IF(Kalemler!$E133="Aylık",IF(OR(AND(DATE(YEAR((Tahmin!$C$4+28)),MONTH((Tahmin!$C$4+28)),MIN(DAY(Kalemler!$D133),DAY(EOMONTH((Tahmin!$C$4+28),0))))&gt;=(Tahmin!$C$4+28),DATE(YEAR((Tahmin!$C$4+28)),MONTH((Tahmin!$C$4+28)),MIN(DAY(Kalemler!$D133),DAY(EOMONTH((Tahmin!$C$4+28),0))))&lt;=(Tahmin!$C$4+34),DATE(YEAR((Tahmin!$C$4+28)),MONTH((Tahmin!$C$4+28)),MIN(DAY(Kalemler!$D133),DAY(EOMONTH((Tahmin!$C$4+28),0))))&gt;=Kalemler!$D133),AND(DATE(YEAR((Tahmin!$C$4+34)),MONTH((Tahmin!$C$4+34)),MIN(DAY(Kalemler!$D133),DAY(EOMONTH((Tahmin!$C$4+34),0))))&gt;=(Tahmin!$C$4+28),DATE(YEAR((Tahmin!$C$4+34)),MONTH((Tahmin!$C$4+34)),MIN(DAY(Kalemler!$D133),DAY(EOMONTH((Tahmin!$C$4+34),0))))&lt;=(Tahmin!$C$4+34),DATE(YEAR((Tahmin!$C$4+34)),MONTH((Tahmin!$C$4+34)),MIN(DAY(Kalemler!$D133),DAY(EOMONTH((Tahmin!$C$4+34),0))))&lt;&gt;DATE(YEAR((Tahmin!$C$4+28)),MONTH((Tahmin!$C$4+28)),MIN(DAY(Kalemler!$D133),DAY(EOMONTH((Tahmin!$C$4+28),0)))),DATE(YEAR((Tahmin!$C$4+34)),MONTH((Tahmin!$C$4+34)),MIN(DAY(Kalemler!$D133),DAY(EOMONTH((Tahmin!$C$4+34),0))))&gt;=Kalemler!$D133)),1,0),IF(AND(Kalemler!$D133&gt;=(Tahmin!$C$4+28),Kalemler!$D133&lt;=(Tahmin!$C$4+34)),1,0))))</f>
        <v>0</v>
      </c>
      <c r="G133" s="0" t="n">
        <f aca="false">IF(OR(Kalemler!$A133="",Kalemler!$C133="",Kalemler!$D133=""),0,Kalemler!$C133*IF(Kalemler!$E133="Haftalık",IF(Kalemler!$D133&lt;=(Tahmin!$C$4+41),1,0),IF(Kalemler!$E133="Aylık",IF(OR(AND(DATE(YEAR((Tahmin!$C$4+35)),MONTH((Tahmin!$C$4+35)),MIN(DAY(Kalemler!$D133),DAY(EOMONTH((Tahmin!$C$4+35),0))))&gt;=(Tahmin!$C$4+35),DATE(YEAR((Tahmin!$C$4+35)),MONTH((Tahmin!$C$4+35)),MIN(DAY(Kalemler!$D133),DAY(EOMONTH((Tahmin!$C$4+35),0))))&lt;=(Tahmin!$C$4+41),DATE(YEAR((Tahmin!$C$4+35)),MONTH((Tahmin!$C$4+35)),MIN(DAY(Kalemler!$D133),DAY(EOMONTH((Tahmin!$C$4+35),0))))&gt;=Kalemler!$D133),AND(DATE(YEAR((Tahmin!$C$4+41)),MONTH((Tahmin!$C$4+41)),MIN(DAY(Kalemler!$D133),DAY(EOMONTH((Tahmin!$C$4+41),0))))&gt;=(Tahmin!$C$4+35),DATE(YEAR((Tahmin!$C$4+41)),MONTH((Tahmin!$C$4+41)),MIN(DAY(Kalemler!$D133),DAY(EOMONTH((Tahmin!$C$4+41),0))))&lt;=(Tahmin!$C$4+41),DATE(YEAR((Tahmin!$C$4+41)),MONTH((Tahmin!$C$4+41)),MIN(DAY(Kalemler!$D133),DAY(EOMONTH((Tahmin!$C$4+41),0))))&lt;&gt;DATE(YEAR((Tahmin!$C$4+35)),MONTH((Tahmin!$C$4+35)),MIN(DAY(Kalemler!$D133),DAY(EOMONTH((Tahmin!$C$4+35),0)))),DATE(YEAR((Tahmin!$C$4+41)),MONTH((Tahmin!$C$4+41)),MIN(DAY(Kalemler!$D133),DAY(EOMONTH((Tahmin!$C$4+41),0))))&gt;=Kalemler!$D133)),1,0),IF(AND(Kalemler!$D133&gt;=(Tahmin!$C$4+35),Kalemler!$D133&lt;=(Tahmin!$C$4+41)),1,0))))</f>
        <v>0</v>
      </c>
      <c r="H133" s="0" t="n">
        <f aca="false">IF(OR(Kalemler!$A133="",Kalemler!$C133="",Kalemler!$D133=""),0,Kalemler!$C133*IF(Kalemler!$E133="Haftalık",IF(Kalemler!$D133&lt;=(Tahmin!$C$4+48),1,0),IF(Kalemler!$E133="Aylık",IF(OR(AND(DATE(YEAR((Tahmin!$C$4+42)),MONTH((Tahmin!$C$4+42)),MIN(DAY(Kalemler!$D133),DAY(EOMONTH((Tahmin!$C$4+42),0))))&gt;=(Tahmin!$C$4+42),DATE(YEAR((Tahmin!$C$4+42)),MONTH((Tahmin!$C$4+42)),MIN(DAY(Kalemler!$D133),DAY(EOMONTH((Tahmin!$C$4+42),0))))&lt;=(Tahmin!$C$4+48),DATE(YEAR((Tahmin!$C$4+42)),MONTH((Tahmin!$C$4+42)),MIN(DAY(Kalemler!$D133),DAY(EOMONTH((Tahmin!$C$4+42),0))))&gt;=Kalemler!$D133),AND(DATE(YEAR((Tahmin!$C$4+48)),MONTH((Tahmin!$C$4+48)),MIN(DAY(Kalemler!$D133),DAY(EOMONTH((Tahmin!$C$4+48),0))))&gt;=(Tahmin!$C$4+42),DATE(YEAR((Tahmin!$C$4+48)),MONTH((Tahmin!$C$4+48)),MIN(DAY(Kalemler!$D133),DAY(EOMONTH((Tahmin!$C$4+48),0))))&lt;=(Tahmin!$C$4+48),DATE(YEAR((Tahmin!$C$4+48)),MONTH((Tahmin!$C$4+48)),MIN(DAY(Kalemler!$D133),DAY(EOMONTH((Tahmin!$C$4+48),0))))&lt;&gt;DATE(YEAR((Tahmin!$C$4+42)),MONTH((Tahmin!$C$4+42)),MIN(DAY(Kalemler!$D133),DAY(EOMONTH((Tahmin!$C$4+42),0)))),DATE(YEAR((Tahmin!$C$4+48)),MONTH((Tahmin!$C$4+48)),MIN(DAY(Kalemler!$D133),DAY(EOMONTH((Tahmin!$C$4+48),0))))&gt;=Kalemler!$D133)),1,0),IF(AND(Kalemler!$D133&gt;=(Tahmin!$C$4+42),Kalemler!$D133&lt;=(Tahmin!$C$4+48)),1,0))))</f>
        <v>0</v>
      </c>
      <c r="I133" s="0" t="n">
        <f aca="false">IF(OR(Kalemler!$A133="",Kalemler!$C133="",Kalemler!$D133=""),0,Kalemler!$C133*IF(Kalemler!$E133="Haftalık",IF(Kalemler!$D133&lt;=(Tahmin!$C$4+55),1,0),IF(Kalemler!$E133="Aylık",IF(OR(AND(DATE(YEAR((Tahmin!$C$4+49)),MONTH((Tahmin!$C$4+49)),MIN(DAY(Kalemler!$D133),DAY(EOMONTH((Tahmin!$C$4+49),0))))&gt;=(Tahmin!$C$4+49),DATE(YEAR((Tahmin!$C$4+49)),MONTH((Tahmin!$C$4+49)),MIN(DAY(Kalemler!$D133),DAY(EOMONTH((Tahmin!$C$4+49),0))))&lt;=(Tahmin!$C$4+55),DATE(YEAR((Tahmin!$C$4+49)),MONTH((Tahmin!$C$4+49)),MIN(DAY(Kalemler!$D133),DAY(EOMONTH((Tahmin!$C$4+49),0))))&gt;=Kalemler!$D133),AND(DATE(YEAR((Tahmin!$C$4+55)),MONTH((Tahmin!$C$4+55)),MIN(DAY(Kalemler!$D133),DAY(EOMONTH((Tahmin!$C$4+55),0))))&gt;=(Tahmin!$C$4+49),DATE(YEAR((Tahmin!$C$4+55)),MONTH((Tahmin!$C$4+55)),MIN(DAY(Kalemler!$D133),DAY(EOMONTH((Tahmin!$C$4+55),0))))&lt;=(Tahmin!$C$4+55),DATE(YEAR((Tahmin!$C$4+55)),MONTH((Tahmin!$C$4+55)),MIN(DAY(Kalemler!$D133),DAY(EOMONTH((Tahmin!$C$4+55),0))))&lt;&gt;DATE(YEAR((Tahmin!$C$4+49)),MONTH((Tahmin!$C$4+49)),MIN(DAY(Kalemler!$D133),DAY(EOMONTH((Tahmin!$C$4+49),0)))),DATE(YEAR((Tahmin!$C$4+55)),MONTH((Tahmin!$C$4+55)),MIN(DAY(Kalemler!$D133),DAY(EOMONTH((Tahmin!$C$4+55),0))))&gt;=Kalemler!$D133)),1,0),IF(AND(Kalemler!$D133&gt;=(Tahmin!$C$4+49),Kalemler!$D133&lt;=(Tahmin!$C$4+55)),1,0))))</f>
        <v>0</v>
      </c>
      <c r="J133" s="0" t="n">
        <f aca="false">IF(OR(Kalemler!$A133="",Kalemler!$C133="",Kalemler!$D133=""),0,Kalemler!$C133*IF(Kalemler!$E133="Haftalık",IF(Kalemler!$D133&lt;=(Tahmin!$C$4+62),1,0),IF(Kalemler!$E133="Aylık",IF(OR(AND(DATE(YEAR((Tahmin!$C$4+56)),MONTH((Tahmin!$C$4+56)),MIN(DAY(Kalemler!$D133),DAY(EOMONTH((Tahmin!$C$4+56),0))))&gt;=(Tahmin!$C$4+56),DATE(YEAR((Tahmin!$C$4+56)),MONTH((Tahmin!$C$4+56)),MIN(DAY(Kalemler!$D133),DAY(EOMONTH((Tahmin!$C$4+56),0))))&lt;=(Tahmin!$C$4+62),DATE(YEAR((Tahmin!$C$4+56)),MONTH((Tahmin!$C$4+56)),MIN(DAY(Kalemler!$D133),DAY(EOMONTH((Tahmin!$C$4+56),0))))&gt;=Kalemler!$D133),AND(DATE(YEAR((Tahmin!$C$4+62)),MONTH((Tahmin!$C$4+62)),MIN(DAY(Kalemler!$D133),DAY(EOMONTH((Tahmin!$C$4+62),0))))&gt;=(Tahmin!$C$4+56),DATE(YEAR((Tahmin!$C$4+62)),MONTH((Tahmin!$C$4+62)),MIN(DAY(Kalemler!$D133),DAY(EOMONTH((Tahmin!$C$4+62),0))))&lt;=(Tahmin!$C$4+62),DATE(YEAR((Tahmin!$C$4+62)),MONTH((Tahmin!$C$4+62)),MIN(DAY(Kalemler!$D133),DAY(EOMONTH((Tahmin!$C$4+62),0))))&lt;&gt;DATE(YEAR((Tahmin!$C$4+56)),MONTH((Tahmin!$C$4+56)),MIN(DAY(Kalemler!$D133),DAY(EOMONTH((Tahmin!$C$4+56),0)))),DATE(YEAR((Tahmin!$C$4+62)),MONTH((Tahmin!$C$4+62)),MIN(DAY(Kalemler!$D133),DAY(EOMONTH((Tahmin!$C$4+62),0))))&gt;=Kalemler!$D133)),1,0),IF(AND(Kalemler!$D133&gt;=(Tahmin!$C$4+56),Kalemler!$D133&lt;=(Tahmin!$C$4+62)),1,0))))</f>
        <v>0</v>
      </c>
      <c r="K133" s="0" t="n">
        <f aca="false">IF(OR(Kalemler!$A133="",Kalemler!$C133="",Kalemler!$D133=""),0,Kalemler!$C133*IF(Kalemler!$E133="Haftalık",IF(Kalemler!$D133&lt;=(Tahmin!$C$4+69),1,0),IF(Kalemler!$E133="Aylık",IF(OR(AND(DATE(YEAR((Tahmin!$C$4+63)),MONTH((Tahmin!$C$4+63)),MIN(DAY(Kalemler!$D133),DAY(EOMONTH((Tahmin!$C$4+63),0))))&gt;=(Tahmin!$C$4+63),DATE(YEAR((Tahmin!$C$4+63)),MONTH((Tahmin!$C$4+63)),MIN(DAY(Kalemler!$D133),DAY(EOMONTH((Tahmin!$C$4+63),0))))&lt;=(Tahmin!$C$4+69),DATE(YEAR((Tahmin!$C$4+63)),MONTH((Tahmin!$C$4+63)),MIN(DAY(Kalemler!$D133),DAY(EOMONTH((Tahmin!$C$4+63),0))))&gt;=Kalemler!$D133),AND(DATE(YEAR((Tahmin!$C$4+69)),MONTH((Tahmin!$C$4+69)),MIN(DAY(Kalemler!$D133),DAY(EOMONTH((Tahmin!$C$4+69),0))))&gt;=(Tahmin!$C$4+63),DATE(YEAR((Tahmin!$C$4+69)),MONTH((Tahmin!$C$4+69)),MIN(DAY(Kalemler!$D133),DAY(EOMONTH((Tahmin!$C$4+69),0))))&lt;=(Tahmin!$C$4+69),DATE(YEAR((Tahmin!$C$4+69)),MONTH((Tahmin!$C$4+69)),MIN(DAY(Kalemler!$D133),DAY(EOMONTH((Tahmin!$C$4+69),0))))&lt;&gt;DATE(YEAR((Tahmin!$C$4+63)),MONTH((Tahmin!$C$4+63)),MIN(DAY(Kalemler!$D133),DAY(EOMONTH((Tahmin!$C$4+63),0)))),DATE(YEAR((Tahmin!$C$4+69)),MONTH((Tahmin!$C$4+69)),MIN(DAY(Kalemler!$D133),DAY(EOMONTH((Tahmin!$C$4+69),0))))&gt;=Kalemler!$D133)),1,0),IF(AND(Kalemler!$D133&gt;=(Tahmin!$C$4+63),Kalemler!$D133&lt;=(Tahmin!$C$4+69)),1,0))))</f>
        <v>0</v>
      </c>
      <c r="L133" s="0" t="n">
        <f aca="false">IF(OR(Kalemler!$A133="",Kalemler!$C133="",Kalemler!$D133=""),0,Kalemler!$C133*IF(Kalemler!$E133="Haftalık",IF(Kalemler!$D133&lt;=(Tahmin!$C$4+76),1,0),IF(Kalemler!$E133="Aylık",IF(OR(AND(DATE(YEAR((Tahmin!$C$4+70)),MONTH((Tahmin!$C$4+70)),MIN(DAY(Kalemler!$D133),DAY(EOMONTH((Tahmin!$C$4+70),0))))&gt;=(Tahmin!$C$4+70),DATE(YEAR((Tahmin!$C$4+70)),MONTH((Tahmin!$C$4+70)),MIN(DAY(Kalemler!$D133),DAY(EOMONTH((Tahmin!$C$4+70),0))))&lt;=(Tahmin!$C$4+76),DATE(YEAR((Tahmin!$C$4+70)),MONTH((Tahmin!$C$4+70)),MIN(DAY(Kalemler!$D133),DAY(EOMONTH((Tahmin!$C$4+70),0))))&gt;=Kalemler!$D133),AND(DATE(YEAR((Tahmin!$C$4+76)),MONTH((Tahmin!$C$4+76)),MIN(DAY(Kalemler!$D133),DAY(EOMONTH((Tahmin!$C$4+76),0))))&gt;=(Tahmin!$C$4+70),DATE(YEAR((Tahmin!$C$4+76)),MONTH((Tahmin!$C$4+76)),MIN(DAY(Kalemler!$D133),DAY(EOMONTH((Tahmin!$C$4+76),0))))&lt;=(Tahmin!$C$4+76),DATE(YEAR((Tahmin!$C$4+76)),MONTH((Tahmin!$C$4+76)),MIN(DAY(Kalemler!$D133),DAY(EOMONTH((Tahmin!$C$4+76),0))))&lt;&gt;DATE(YEAR((Tahmin!$C$4+70)),MONTH((Tahmin!$C$4+70)),MIN(DAY(Kalemler!$D133),DAY(EOMONTH((Tahmin!$C$4+70),0)))),DATE(YEAR((Tahmin!$C$4+76)),MONTH((Tahmin!$C$4+76)),MIN(DAY(Kalemler!$D133),DAY(EOMONTH((Tahmin!$C$4+76),0))))&gt;=Kalemler!$D133)),1,0),IF(AND(Kalemler!$D133&gt;=(Tahmin!$C$4+70),Kalemler!$D133&lt;=(Tahmin!$C$4+76)),1,0))))</f>
        <v>0</v>
      </c>
      <c r="M133" s="0" t="n">
        <f aca="false">IF(OR(Kalemler!$A133="",Kalemler!$C133="",Kalemler!$D133=""),0,Kalemler!$C133*IF(Kalemler!$E133="Haftalık",IF(Kalemler!$D133&lt;=(Tahmin!$C$4+83),1,0),IF(Kalemler!$E133="Aylık",IF(OR(AND(DATE(YEAR((Tahmin!$C$4+77)),MONTH((Tahmin!$C$4+77)),MIN(DAY(Kalemler!$D133),DAY(EOMONTH((Tahmin!$C$4+77),0))))&gt;=(Tahmin!$C$4+77),DATE(YEAR((Tahmin!$C$4+77)),MONTH((Tahmin!$C$4+77)),MIN(DAY(Kalemler!$D133),DAY(EOMONTH((Tahmin!$C$4+77),0))))&lt;=(Tahmin!$C$4+83),DATE(YEAR((Tahmin!$C$4+77)),MONTH((Tahmin!$C$4+77)),MIN(DAY(Kalemler!$D133),DAY(EOMONTH((Tahmin!$C$4+77),0))))&gt;=Kalemler!$D133),AND(DATE(YEAR((Tahmin!$C$4+83)),MONTH((Tahmin!$C$4+83)),MIN(DAY(Kalemler!$D133),DAY(EOMONTH((Tahmin!$C$4+83),0))))&gt;=(Tahmin!$C$4+77),DATE(YEAR((Tahmin!$C$4+83)),MONTH((Tahmin!$C$4+83)),MIN(DAY(Kalemler!$D133),DAY(EOMONTH((Tahmin!$C$4+83),0))))&lt;=(Tahmin!$C$4+83),DATE(YEAR((Tahmin!$C$4+83)),MONTH((Tahmin!$C$4+83)),MIN(DAY(Kalemler!$D133),DAY(EOMONTH((Tahmin!$C$4+83),0))))&lt;&gt;DATE(YEAR((Tahmin!$C$4+77)),MONTH((Tahmin!$C$4+77)),MIN(DAY(Kalemler!$D133),DAY(EOMONTH((Tahmin!$C$4+77),0)))),DATE(YEAR((Tahmin!$C$4+83)),MONTH((Tahmin!$C$4+83)),MIN(DAY(Kalemler!$D133),DAY(EOMONTH((Tahmin!$C$4+83),0))))&gt;=Kalemler!$D133)),1,0),IF(AND(Kalemler!$D133&gt;=(Tahmin!$C$4+77),Kalemler!$D133&lt;=(Tahmin!$C$4+83)),1,0))))</f>
        <v>0</v>
      </c>
      <c r="N133" s="0" t="n">
        <f aca="false">IF(OR(Kalemler!$A133="",Kalemler!$C133="",Kalemler!$D133=""),0,Kalemler!$C133*IF(Kalemler!$E133="Haftalık",IF(Kalemler!$D133&lt;=(Tahmin!$C$4+90),1,0),IF(Kalemler!$E133="Aylık",IF(OR(AND(DATE(YEAR((Tahmin!$C$4+84)),MONTH((Tahmin!$C$4+84)),MIN(DAY(Kalemler!$D133),DAY(EOMONTH((Tahmin!$C$4+84),0))))&gt;=(Tahmin!$C$4+84),DATE(YEAR((Tahmin!$C$4+84)),MONTH((Tahmin!$C$4+84)),MIN(DAY(Kalemler!$D133),DAY(EOMONTH((Tahmin!$C$4+84),0))))&lt;=(Tahmin!$C$4+90),DATE(YEAR((Tahmin!$C$4+84)),MONTH((Tahmin!$C$4+84)),MIN(DAY(Kalemler!$D133),DAY(EOMONTH((Tahmin!$C$4+84),0))))&gt;=Kalemler!$D133),AND(DATE(YEAR((Tahmin!$C$4+90)),MONTH((Tahmin!$C$4+90)),MIN(DAY(Kalemler!$D133),DAY(EOMONTH((Tahmin!$C$4+90),0))))&gt;=(Tahmin!$C$4+84),DATE(YEAR((Tahmin!$C$4+90)),MONTH((Tahmin!$C$4+90)),MIN(DAY(Kalemler!$D133),DAY(EOMONTH((Tahmin!$C$4+90),0))))&lt;=(Tahmin!$C$4+90),DATE(YEAR((Tahmin!$C$4+90)),MONTH((Tahmin!$C$4+90)),MIN(DAY(Kalemler!$D133),DAY(EOMONTH((Tahmin!$C$4+90),0))))&lt;&gt;DATE(YEAR((Tahmin!$C$4+84)),MONTH((Tahmin!$C$4+84)),MIN(DAY(Kalemler!$D133),DAY(EOMONTH((Tahmin!$C$4+84),0)))),DATE(YEAR((Tahmin!$C$4+90)),MONTH((Tahmin!$C$4+90)),MIN(DAY(Kalemler!$D133),DAY(EOMONTH((Tahmin!$C$4+90),0))))&gt;=Kalemler!$D133)),1,0),IF(AND(Kalemler!$D133&gt;=(Tahmin!$C$4+84),Kalemler!$D133&lt;=(Tahmin!$C$4+90)),1,0))))</f>
        <v>0</v>
      </c>
    </row>
    <row r="134" customFormat="false" ht="15" hidden="false" customHeight="false" outlineLevel="0" collapsed="false">
      <c r="A134" s="0" t="str">
        <f aca="false">IF(Kalemler!A134="","",Kalemler!A134)</f>
        <v/>
      </c>
      <c r="B134" s="0" t="n">
        <f aca="false">IF(OR(Kalemler!$A134="",Kalemler!$C134="",Kalemler!$D134=""),0,Kalemler!$C134*IF(Kalemler!$E134="Haftalık",IF(Kalemler!$D134&lt;=(Tahmin!$C$4+6),1,0),IF(Kalemler!$E134="Aylık",IF(OR(AND(DATE(YEAR((Tahmin!$C$4+0)),MONTH((Tahmin!$C$4+0)),MIN(DAY(Kalemler!$D134),DAY(EOMONTH((Tahmin!$C$4+0),0))))&gt;=(Tahmin!$C$4+0),DATE(YEAR((Tahmin!$C$4+0)),MONTH((Tahmin!$C$4+0)),MIN(DAY(Kalemler!$D134),DAY(EOMONTH((Tahmin!$C$4+0),0))))&lt;=(Tahmin!$C$4+6),DATE(YEAR((Tahmin!$C$4+0)),MONTH((Tahmin!$C$4+0)),MIN(DAY(Kalemler!$D134),DAY(EOMONTH((Tahmin!$C$4+0),0))))&gt;=Kalemler!$D134),AND(DATE(YEAR((Tahmin!$C$4+6)),MONTH((Tahmin!$C$4+6)),MIN(DAY(Kalemler!$D134),DAY(EOMONTH((Tahmin!$C$4+6),0))))&gt;=(Tahmin!$C$4+0),DATE(YEAR((Tahmin!$C$4+6)),MONTH((Tahmin!$C$4+6)),MIN(DAY(Kalemler!$D134),DAY(EOMONTH((Tahmin!$C$4+6),0))))&lt;=(Tahmin!$C$4+6),DATE(YEAR((Tahmin!$C$4+6)),MONTH((Tahmin!$C$4+6)),MIN(DAY(Kalemler!$D134),DAY(EOMONTH((Tahmin!$C$4+6),0))))&lt;&gt;DATE(YEAR((Tahmin!$C$4+0)),MONTH((Tahmin!$C$4+0)),MIN(DAY(Kalemler!$D134),DAY(EOMONTH((Tahmin!$C$4+0),0)))),DATE(YEAR((Tahmin!$C$4+6)),MONTH((Tahmin!$C$4+6)),MIN(DAY(Kalemler!$D134),DAY(EOMONTH((Tahmin!$C$4+6),0))))&gt;=Kalemler!$D134)),1,0),IF(AND(Kalemler!$D134&gt;=(Tahmin!$C$4+0),Kalemler!$D134&lt;=(Tahmin!$C$4+6)),1,0))))</f>
        <v>0</v>
      </c>
      <c r="C134" s="0" t="n">
        <f aca="false">IF(OR(Kalemler!$A134="",Kalemler!$C134="",Kalemler!$D134=""),0,Kalemler!$C134*IF(Kalemler!$E134="Haftalık",IF(Kalemler!$D134&lt;=(Tahmin!$C$4+13),1,0),IF(Kalemler!$E134="Aylık",IF(OR(AND(DATE(YEAR((Tahmin!$C$4+7)),MONTH((Tahmin!$C$4+7)),MIN(DAY(Kalemler!$D134),DAY(EOMONTH((Tahmin!$C$4+7),0))))&gt;=(Tahmin!$C$4+7),DATE(YEAR((Tahmin!$C$4+7)),MONTH((Tahmin!$C$4+7)),MIN(DAY(Kalemler!$D134),DAY(EOMONTH((Tahmin!$C$4+7),0))))&lt;=(Tahmin!$C$4+13),DATE(YEAR((Tahmin!$C$4+7)),MONTH((Tahmin!$C$4+7)),MIN(DAY(Kalemler!$D134),DAY(EOMONTH((Tahmin!$C$4+7),0))))&gt;=Kalemler!$D134),AND(DATE(YEAR((Tahmin!$C$4+13)),MONTH((Tahmin!$C$4+13)),MIN(DAY(Kalemler!$D134),DAY(EOMONTH((Tahmin!$C$4+13),0))))&gt;=(Tahmin!$C$4+7),DATE(YEAR((Tahmin!$C$4+13)),MONTH((Tahmin!$C$4+13)),MIN(DAY(Kalemler!$D134),DAY(EOMONTH((Tahmin!$C$4+13),0))))&lt;=(Tahmin!$C$4+13),DATE(YEAR((Tahmin!$C$4+13)),MONTH((Tahmin!$C$4+13)),MIN(DAY(Kalemler!$D134),DAY(EOMONTH((Tahmin!$C$4+13),0))))&lt;&gt;DATE(YEAR((Tahmin!$C$4+7)),MONTH((Tahmin!$C$4+7)),MIN(DAY(Kalemler!$D134),DAY(EOMONTH((Tahmin!$C$4+7),0)))),DATE(YEAR((Tahmin!$C$4+13)),MONTH((Tahmin!$C$4+13)),MIN(DAY(Kalemler!$D134),DAY(EOMONTH((Tahmin!$C$4+13),0))))&gt;=Kalemler!$D134)),1,0),IF(AND(Kalemler!$D134&gt;=(Tahmin!$C$4+7),Kalemler!$D134&lt;=(Tahmin!$C$4+13)),1,0))))</f>
        <v>0</v>
      </c>
      <c r="D134" s="0" t="n">
        <f aca="false">IF(OR(Kalemler!$A134="",Kalemler!$C134="",Kalemler!$D134=""),0,Kalemler!$C134*IF(Kalemler!$E134="Haftalık",IF(Kalemler!$D134&lt;=(Tahmin!$C$4+20),1,0),IF(Kalemler!$E134="Aylık",IF(OR(AND(DATE(YEAR((Tahmin!$C$4+14)),MONTH((Tahmin!$C$4+14)),MIN(DAY(Kalemler!$D134),DAY(EOMONTH((Tahmin!$C$4+14),0))))&gt;=(Tahmin!$C$4+14),DATE(YEAR((Tahmin!$C$4+14)),MONTH((Tahmin!$C$4+14)),MIN(DAY(Kalemler!$D134),DAY(EOMONTH((Tahmin!$C$4+14),0))))&lt;=(Tahmin!$C$4+20),DATE(YEAR((Tahmin!$C$4+14)),MONTH((Tahmin!$C$4+14)),MIN(DAY(Kalemler!$D134),DAY(EOMONTH((Tahmin!$C$4+14),0))))&gt;=Kalemler!$D134),AND(DATE(YEAR((Tahmin!$C$4+20)),MONTH((Tahmin!$C$4+20)),MIN(DAY(Kalemler!$D134),DAY(EOMONTH((Tahmin!$C$4+20),0))))&gt;=(Tahmin!$C$4+14),DATE(YEAR((Tahmin!$C$4+20)),MONTH((Tahmin!$C$4+20)),MIN(DAY(Kalemler!$D134),DAY(EOMONTH((Tahmin!$C$4+20),0))))&lt;=(Tahmin!$C$4+20),DATE(YEAR((Tahmin!$C$4+20)),MONTH((Tahmin!$C$4+20)),MIN(DAY(Kalemler!$D134),DAY(EOMONTH((Tahmin!$C$4+20),0))))&lt;&gt;DATE(YEAR((Tahmin!$C$4+14)),MONTH((Tahmin!$C$4+14)),MIN(DAY(Kalemler!$D134),DAY(EOMONTH((Tahmin!$C$4+14),0)))),DATE(YEAR((Tahmin!$C$4+20)),MONTH((Tahmin!$C$4+20)),MIN(DAY(Kalemler!$D134),DAY(EOMONTH((Tahmin!$C$4+20),0))))&gt;=Kalemler!$D134)),1,0),IF(AND(Kalemler!$D134&gt;=(Tahmin!$C$4+14),Kalemler!$D134&lt;=(Tahmin!$C$4+20)),1,0))))</f>
        <v>0</v>
      </c>
      <c r="E134" s="0" t="n">
        <f aca="false">IF(OR(Kalemler!$A134="",Kalemler!$C134="",Kalemler!$D134=""),0,Kalemler!$C134*IF(Kalemler!$E134="Haftalık",IF(Kalemler!$D134&lt;=(Tahmin!$C$4+27),1,0),IF(Kalemler!$E134="Aylık",IF(OR(AND(DATE(YEAR((Tahmin!$C$4+21)),MONTH((Tahmin!$C$4+21)),MIN(DAY(Kalemler!$D134),DAY(EOMONTH((Tahmin!$C$4+21),0))))&gt;=(Tahmin!$C$4+21),DATE(YEAR((Tahmin!$C$4+21)),MONTH((Tahmin!$C$4+21)),MIN(DAY(Kalemler!$D134),DAY(EOMONTH((Tahmin!$C$4+21),0))))&lt;=(Tahmin!$C$4+27),DATE(YEAR((Tahmin!$C$4+21)),MONTH((Tahmin!$C$4+21)),MIN(DAY(Kalemler!$D134),DAY(EOMONTH((Tahmin!$C$4+21),0))))&gt;=Kalemler!$D134),AND(DATE(YEAR((Tahmin!$C$4+27)),MONTH((Tahmin!$C$4+27)),MIN(DAY(Kalemler!$D134),DAY(EOMONTH((Tahmin!$C$4+27),0))))&gt;=(Tahmin!$C$4+21),DATE(YEAR((Tahmin!$C$4+27)),MONTH((Tahmin!$C$4+27)),MIN(DAY(Kalemler!$D134),DAY(EOMONTH((Tahmin!$C$4+27),0))))&lt;=(Tahmin!$C$4+27),DATE(YEAR((Tahmin!$C$4+27)),MONTH((Tahmin!$C$4+27)),MIN(DAY(Kalemler!$D134),DAY(EOMONTH((Tahmin!$C$4+27),0))))&lt;&gt;DATE(YEAR((Tahmin!$C$4+21)),MONTH((Tahmin!$C$4+21)),MIN(DAY(Kalemler!$D134),DAY(EOMONTH((Tahmin!$C$4+21),0)))),DATE(YEAR((Tahmin!$C$4+27)),MONTH((Tahmin!$C$4+27)),MIN(DAY(Kalemler!$D134),DAY(EOMONTH((Tahmin!$C$4+27),0))))&gt;=Kalemler!$D134)),1,0),IF(AND(Kalemler!$D134&gt;=(Tahmin!$C$4+21),Kalemler!$D134&lt;=(Tahmin!$C$4+27)),1,0))))</f>
        <v>0</v>
      </c>
      <c r="F134" s="0" t="n">
        <f aca="false">IF(OR(Kalemler!$A134="",Kalemler!$C134="",Kalemler!$D134=""),0,Kalemler!$C134*IF(Kalemler!$E134="Haftalık",IF(Kalemler!$D134&lt;=(Tahmin!$C$4+34),1,0),IF(Kalemler!$E134="Aylık",IF(OR(AND(DATE(YEAR((Tahmin!$C$4+28)),MONTH((Tahmin!$C$4+28)),MIN(DAY(Kalemler!$D134),DAY(EOMONTH((Tahmin!$C$4+28),0))))&gt;=(Tahmin!$C$4+28),DATE(YEAR((Tahmin!$C$4+28)),MONTH((Tahmin!$C$4+28)),MIN(DAY(Kalemler!$D134),DAY(EOMONTH((Tahmin!$C$4+28),0))))&lt;=(Tahmin!$C$4+34),DATE(YEAR((Tahmin!$C$4+28)),MONTH((Tahmin!$C$4+28)),MIN(DAY(Kalemler!$D134),DAY(EOMONTH((Tahmin!$C$4+28),0))))&gt;=Kalemler!$D134),AND(DATE(YEAR((Tahmin!$C$4+34)),MONTH((Tahmin!$C$4+34)),MIN(DAY(Kalemler!$D134),DAY(EOMONTH((Tahmin!$C$4+34),0))))&gt;=(Tahmin!$C$4+28),DATE(YEAR((Tahmin!$C$4+34)),MONTH((Tahmin!$C$4+34)),MIN(DAY(Kalemler!$D134),DAY(EOMONTH((Tahmin!$C$4+34),0))))&lt;=(Tahmin!$C$4+34),DATE(YEAR((Tahmin!$C$4+34)),MONTH((Tahmin!$C$4+34)),MIN(DAY(Kalemler!$D134),DAY(EOMONTH((Tahmin!$C$4+34),0))))&lt;&gt;DATE(YEAR((Tahmin!$C$4+28)),MONTH((Tahmin!$C$4+28)),MIN(DAY(Kalemler!$D134),DAY(EOMONTH((Tahmin!$C$4+28),0)))),DATE(YEAR((Tahmin!$C$4+34)),MONTH((Tahmin!$C$4+34)),MIN(DAY(Kalemler!$D134),DAY(EOMONTH((Tahmin!$C$4+34),0))))&gt;=Kalemler!$D134)),1,0),IF(AND(Kalemler!$D134&gt;=(Tahmin!$C$4+28),Kalemler!$D134&lt;=(Tahmin!$C$4+34)),1,0))))</f>
        <v>0</v>
      </c>
      <c r="G134" s="0" t="n">
        <f aca="false">IF(OR(Kalemler!$A134="",Kalemler!$C134="",Kalemler!$D134=""),0,Kalemler!$C134*IF(Kalemler!$E134="Haftalık",IF(Kalemler!$D134&lt;=(Tahmin!$C$4+41),1,0),IF(Kalemler!$E134="Aylık",IF(OR(AND(DATE(YEAR((Tahmin!$C$4+35)),MONTH((Tahmin!$C$4+35)),MIN(DAY(Kalemler!$D134),DAY(EOMONTH((Tahmin!$C$4+35),0))))&gt;=(Tahmin!$C$4+35),DATE(YEAR((Tahmin!$C$4+35)),MONTH((Tahmin!$C$4+35)),MIN(DAY(Kalemler!$D134),DAY(EOMONTH((Tahmin!$C$4+35),0))))&lt;=(Tahmin!$C$4+41),DATE(YEAR((Tahmin!$C$4+35)),MONTH((Tahmin!$C$4+35)),MIN(DAY(Kalemler!$D134),DAY(EOMONTH((Tahmin!$C$4+35),0))))&gt;=Kalemler!$D134),AND(DATE(YEAR((Tahmin!$C$4+41)),MONTH((Tahmin!$C$4+41)),MIN(DAY(Kalemler!$D134),DAY(EOMONTH((Tahmin!$C$4+41),0))))&gt;=(Tahmin!$C$4+35),DATE(YEAR((Tahmin!$C$4+41)),MONTH((Tahmin!$C$4+41)),MIN(DAY(Kalemler!$D134),DAY(EOMONTH((Tahmin!$C$4+41),0))))&lt;=(Tahmin!$C$4+41),DATE(YEAR((Tahmin!$C$4+41)),MONTH((Tahmin!$C$4+41)),MIN(DAY(Kalemler!$D134),DAY(EOMONTH((Tahmin!$C$4+41),0))))&lt;&gt;DATE(YEAR((Tahmin!$C$4+35)),MONTH((Tahmin!$C$4+35)),MIN(DAY(Kalemler!$D134),DAY(EOMONTH((Tahmin!$C$4+35),0)))),DATE(YEAR((Tahmin!$C$4+41)),MONTH((Tahmin!$C$4+41)),MIN(DAY(Kalemler!$D134),DAY(EOMONTH((Tahmin!$C$4+41),0))))&gt;=Kalemler!$D134)),1,0),IF(AND(Kalemler!$D134&gt;=(Tahmin!$C$4+35),Kalemler!$D134&lt;=(Tahmin!$C$4+41)),1,0))))</f>
        <v>0</v>
      </c>
      <c r="H134" s="0" t="n">
        <f aca="false">IF(OR(Kalemler!$A134="",Kalemler!$C134="",Kalemler!$D134=""),0,Kalemler!$C134*IF(Kalemler!$E134="Haftalık",IF(Kalemler!$D134&lt;=(Tahmin!$C$4+48),1,0),IF(Kalemler!$E134="Aylık",IF(OR(AND(DATE(YEAR((Tahmin!$C$4+42)),MONTH((Tahmin!$C$4+42)),MIN(DAY(Kalemler!$D134),DAY(EOMONTH((Tahmin!$C$4+42),0))))&gt;=(Tahmin!$C$4+42),DATE(YEAR((Tahmin!$C$4+42)),MONTH((Tahmin!$C$4+42)),MIN(DAY(Kalemler!$D134),DAY(EOMONTH((Tahmin!$C$4+42),0))))&lt;=(Tahmin!$C$4+48),DATE(YEAR((Tahmin!$C$4+42)),MONTH((Tahmin!$C$4+42)),MIN(DAY(Kalemler!$D134),DAY(EOMONTH((Tahmin!$C$4+42),0))))&gt;=Kalemler!$D134),AND(DATE(YEAR((Tahmin!$C$4+48)),MONTH((Tahmin!$C$4+48)),MIN(DAY(Kalemler!$D134),DAY(EOMONTH((Tahmin!$C$4+48),0))))&gt;=(Tahmin!$C$4+42),DATE(YEAR((Tahmin!$C$4+48)),MONTH((Tahmin!$C$4+48)),MIN(DAY(Kalemler!$D134),DAY(EOMONTH((Tahmin!$C$4+48),0))))&lt;=(Tahmin!$C$4+48),DATE(YEAR((Tahmin!$C$4+48)),MONTH((Tahmin!$C$4+48)),MIN(DAY(Kalemler!$D134),DAY(EOMONTH((Tahmin!$C$4+48),0))))&lt;&gt;DATE(YEAR((Tahmin!$C$4+42)),MONTH((Tahmin!$C$4+42)),MIN(DAY(Kalemler!$D134),DAY(EOMONTH((Tahmin!$C$4+42),0)))),DATE(YEAR((Tahmin!$C$4+48)),MONTH((Tahmin!$C$4+48)),MIN(DAY(Kalemler!$D134),DAY(EOMONTH((Tahmin!$C$4+48),0))))&gt;=Kalemler!$D134)),1,0),IF(AND(Kalemler!$D134&gt;=(Tahmin!$C$4+42),Kalemler!$D134&lt;=(Tahmin!$C$4+48)),1,0))))</f>
        <v>0</v>
      </c>
      <c r="I134" s="0" t="n">
        <f aca="false">IF(OR(Kalemler!$A134="",Kalemler!$C134="",Kalemler!$D134=""),0,Kalemler!$C134*IF(Kalemler!$E134="Haftalık",IF(Kalemler!$D134&lt;=(Tahmin!$C$4+55),1,0),IF(Kalemler!$E134="Aylık",IF(OR(AND(DATE(YEAR((Tahmin!$C$4+49)),MONTH((Tahmin!$C$4+49)),MIN(DAY(Kalemler!$D134),DAY(EOMONTH((Tahmin!$C$4+49),0))))&gt;=(Tahmin!$C$4+49),DATE(YEAR((Tahmin!$C$4+49)),MONTH((Tahmin!$C$4+49)),MIN(DAY(Kalemler!$D134),DAY(EOMONTH((Tahmin!$C$4+49),0))))&lt;=(Tahmin!$C$4+55),DATE(YEAR((Tahmin!$C$4+49)),MONTH((Tahmin!$C$4+49)),MIN(DAY(Kalemler!$D134),DAY(EOMONTH((Tahmin!$C$4+49),0))))&gt;=Kalemler!$D134),AND(DATE(YEAR((Tahmin!$C$4+55)),MONTH((Tahmin!$C$4+55)),MIN(DAY(Kalemler!$D134),DAY(EOMONTH((Tahmin!$C$4+55),0))))&gt;=(Tahmin!$C$4+49),DATE(YEAR((Tahmin!$C$4+55)),MONTH((Tahmin!$C$4+55)),MIN(DAY(Kalemler!$D134),DAY(EOMONTH((Tahmin!$C$4+55),0))))&lt;=(Tahmin!$C$4+55),DATE(YEAR((Tahmin!$C$4+55)),MONTH((Tahmin!$C$4+55)),MIN(DAY(Kalemler!$D134),DAY(EOMONTH((Tahmin!$C$4+55),0))))&lt;&gt;DATE(YEAR((Tahmin!$C$4+49)),MONTH((Tahmin!$C$4+49)),MIN(DAY(Kalemler!$D134),DAY(EOMONTH((Tahmin!$C$4+49),0)))),DATE(YEAR((Tahmin!$C$4+55)),MONTH((Tahmin!$C$4+55)),MIN(DAY(Kalemler!$D134),DAY(EOMONTH((Tahmin!$C$4+55),0))))&gt;=Kalemler!$D134)),1,0),IF(AND(Kalemler!$D134&gt;=(Tahmin!$C$4+49),Kalemler!$D134&lt;=(Tahmin!$C$4+55)),1,0))))</f>
        <v>0</v>
      </c>
      <c r="J134" s="0" t="n">
        <f aca="false">IF(OR(Kalemler!$A134="",Kalemler!$C134="",Kalemler!$D134=""),0,Kalemler!$C134*IF(Kalemler!$E134="Haftalık",IF(Kalemler!$D134&lt;=(Tahmin!$C$4+62),1,0),IF(Kalemler!$E134="Aylık",IF(OR(AND(DATE(YEAR((Tahmin!$C$4+56)),MONTH((Tahmin!$C$4+56)),MIN(DAY(Kalemler!$D134),DAY(EOMONTH((Tahmin!$C$4+56),0))))&gt;=(Tahmin!$C$4+56),DATE(YEAR((Tahmin!$C$4+56)),MONTH((Tahmin!$C$4+56)),MIN(DAY(Kalemler!$D134),DAY(EOMONTH((Tahmin!$C$4+56),0))))&lt;=(Tahmin!$C$4+62),DATE(YEAR((Tahmin!$C$4+56)),MONTH((Tahmin!$C$4+56)),MIN(DAY(Kalemler!$D134),DAY(EOMONTH((Tahmin!$C$4+56),0))))&gt;=Kalemler!$D134),AND(DATE(YEAR((Tahmin!$C$4+62)),MONTH((Tahmin!$C$4+62)),MIN(DAY(Kalemler!$D134),DAY(EOMONTH((Tahmin!$C$4+62),0))))&gt;=(Tahmin!$C$4+56),DATE(YEAR((Tahmin!$C$4+62)),MONTH((Tahmin!$C$4+62)),MIN(DAY(Kalemler!$D134),DAY(EOMONTH((Tahmin!$C$4+62),0))))&lt;=(Tahmin!$C$4+62),DATE(YEAR((Tahmin!$C$4+62)),MONTH((Tahmin!$C$4+62)),MIN(DAY(Kalemler!$D134),DAY(EOMONTH((Tahmin!$C$4+62),0))))&lt;&gt;DATE(YEAR((Tahmin!$C$4+56)),MONTH((Tahmin!$C$4+56)),MIN(DAY(Kalemler!$D134),DAY(EOMONTH((Tahmin!$C$4+56),0)))),DATE(YEAR((Tahmin!$C$4+62)),MONTH((Tahmin!$C$4+62)),MIN(DAY(Kalemler!$D134),DAY(EOMONTH((Tahmin!$C$4+62),0))))&gt;=Kalemler!$D134)),1,0),IF(AND(Kalemler!$D134&gt;=(Tahmin!$C$4+56),Kalemler!$D134&lt;=(Tahmin!$C$4+62)),1,0))))</f>
        <v>0</v>
      </c>
      <c r="K134" s="0" t="n">
        <f aca="false">IF(OR(Kalemler!$A134="",Kalemler!$C134="",Kalemler!$D134=""),0,Kalemler!$C134*IF(Kalemler!$E134="Haftalık",IF(Kalemler!$D134&lt;=(Tahmin!$C$4+69),1,0),IF(Kalemler!$E134="Aylık",IF(OR(AND(DATE(YEAR((Tahmin!$C$4+63)),MONTH((Tahmin!$C$4+63)),MIN(DAY(Kalemler!$D134),DAY(EOMONTH((Tahmin!$C$4+63),0))))&gt;=(Tahmin!$C$4+63),DATE(YEAR((Tahmin!$C$4+63)),MONTH((Tahmin!$C$4+63)),MIN(DAY(Kalemler!$D134),DAY(EOMONTH((Tahmin!$C$4+63),0))))&lt;=(Tahmin!$C$4+69),DATE(YEAR((Tahmin!$C$4+63)),MONTH((Tahmin!$C$4+63)),MIN(DAY(Kalemler!$D134),DAY(EOMONTH((Tahmin!$C$4+63),0))))&gt;=Kalemler!$D134),AND(DATE(YEAR((Tahmin!$C$4+69)),MONTH((Tahmin!$C$4+69)),MIN(DAY(Kalemler!$D134),DAY(EOMONTH((Tahmin!$C$4+69),0))))&gt;=(Tahmin!$C$4+63),DATE(YEAR((Tahmin!$C$4+69)),MONTH((Tahmin!$C$4+69)),MIN(DAY(Kalemler!$D134),DAY(EOMONTH((Tahmin!$C$4+69),0))))&lt;=(Tahmin!$C$4+69),DATE(YEAR((Tahmin!$C$4+69)),MONTH((Tahmin!$C$4+69)),MIN(DAY(Kalemler!$D134),DAY(EOMONTH((Tahmin!$C$4+69),0))))&lt;&gt;DATE(YEAR((Tahmin!$C$4+63)),MONTH((Tahmin!$C$4+63)),MIN(DAY(Kalemler!$D134),DAY(EOMONTH((Tahmin!$C$4+63),0)))),DATE(YEAR((Tahmin!$C$4+69)),MONTH((Tahmin!$C$4+69)),MIN(DAY(Kalemler!$D134),DAY(EOMONTH((Tahmin!$C$4+69),0))))&gt;=Kalemler!$D134)),1,0),IF(AND(Kalemler!$D134&gt;=(Tahmin!$C$4+63),Kalemler!$D134&lt;=(Tahmin!$C$4+69)),1,0))))</f>
        <v>0</v>
      </c>
      <c r="L134" s="0" t="n">
        <f aca="false">IF(OR(Kalemler!$A134="",Kalemler!$C134="",Kalemler!$D134=""),0,Kalemler!$C134*IF(Kalemler!$E134="Haftalık",IF(Kalemler!$D134&lt;=(Tahmin!$C$4+76),1,0),IF(Kalemler!$E134="Aylık",IF(OR(AND(DATE(YEAR((Tahmin!$C$4+70)),MONTH((Tahmin!$C$4+70)),MIN(DAY(Kalemler!$D134),DAY(EOMONTH((Tahmin!$C$4+70),0))))&gt;=(Tahmin!$C$4+70),DATE(YEAR((Tahmin!$C$4+70)),MONTH((Tahmin!$C$4+70)),MIN(DAY(Kalemler!$D134),DAY(EOMONTH((Tahmin!$C$4+70),0))))&lt;=(Tahmin!$C$4+76),DATE(YEAR((Tahmin!$C$4+70)),MONTH((Tahmin!$C$4+70)),MIN(DAY(Kalemler!$D134),DAY(EOMONTH((Tahmin!$C$4+70),0))))&gt;=Kalemler!$D134),AND(DATE(YEAR((Tahmin!$C$4+76)),MONTH((Tahmin!$C$4+76)),MIN(DAY(Kalemler!$D134),DAY(EOMONTH((Tahmin!$C$4+76),0))))&gt;=(Tahmin!$C$4+70),DATE(YEAR((Tahmin!$C$4+76)),MONTH((Tahmin!$C$4+76)),MIN(DAY(Kalemler!$D134),DAY(EOMONTH((Tahmin!$C$4+76),0))))&lt;=(Tahmin!$C$4+76),DATE(YEAR((Tahmin!$C$4+76)),MONTH((Tahmin!$C$4+76)),MIN(DAY(Kalemler!$D134),DAY(EOMONTH((Tahmin!$C$4+76),0))))&lt;&gt;DATE(YEAR((Tahmin!$C$4+70)),MONTH((Tahmin!$C$4+70)),MIN(DAY(Kalemler!$D134),DAY(EOMONTH((Tahmin!$C$4+70),0)))),DATE(YEAR((Tahmin!$C$4+76)),MONTH((Tahmin!$C$4+76)),MIN(DAY(Kalemler!$D134),DAY(EOMONTH((Tahmin!$C$4+76),0))))&gt;=Kalemler!$D134)),1,0),IF(AND(Kalemler!$D134&gt;=(Tahmin!$C$4+70),Kalemler!$D134&lt;=(Tahmin!$C$4+76)),1,0))))</f>
        <v>0</v>
      </c>
      <c r="M134" s="0" t="n">
        <f aca="false">IF(OR(Kalemler!$A134="",Kalemler!$C134="",Kalemler!$D134=""),0,Kalemler!$C134*IF(Kalemler!$E134="Haftalık",IF(Kalemler!$D134&lt;=(Tahmin!$C$4+83),1,0),IF(Kalemler!$E134="Aylık",IF(OR(AND(DATE(YEAR((Tahmin!$C$4+77)),MONTH((Tahmin!$C$4+77)),MIN(DAY(Kalemler!$D134),DAY(EOMONTH((Tahmin!$C$4+77),0))))&gt;=(Tahmin!$C$4+77),DATE(YEAR((Tahmin!$C$4+77)),MONTH((Tahmin!$C$4+77)),MIN(DAY(Kalemler!$D134),DAY(EOMONTH((Tahmin!$C$4+77),0))))&lt;=(Tahmin!$C$4+83),DATE(YEAR((Tahmin!$C$4+77)),MONTH((Tahmin!$C$4+77)),MIN(DAY(Kalemler!$D134),DAY(EOMONTH((Tahmin!$C$4+77),0))))&gt;=Kalemler!$D134),AND(DATE(YEAR((Tahmin!$C$4+83)),MONTH((Tahmin!$C$4+83)),MIN(DAY(Kalemler!$D134),DAY(EOMONTH((Tahmin!$C$4+83),0))))&gt;=(Tahmin!$C$4+77),DATE(YEAR((Tahmin!$C$4+83)),MONTH((Tahmin!$C$4+83)),MIN(DAY(Kalemler!$D134),DAY(EOMONTH((Tahmin!$C$4+83),0))))&lt;=(Tahmin!$C$4+83),DATE(YEAR((Tahmin!$C$4+83)),MONTH((Tahmin!$C$4+83)),MIN(DAY(Kalemler!$D134),DAY(EOMONTH((Tahmin!$C$4+83),0))))&lt;&gt;DATE(YEAR((Tahmin!$C$4+77)),MONTH((Tahmin!$C$4+77)),MIN(DAY(Kalemler!$D134),DAY(EOMONTH((Tahmin!$C$4+77),0)))),DATE(YEAR((Tahmin!$C$4+83)),MONTH((Tahmin!$C$4+83)),MIN(DAY(Kalemler!$D134),DAY(EOMONTH((Tahmin!$C$4+83),0))))&gt;=Kalemler!$D134)),1,0),IF(AND(Kalemler!$D134&gt;=(Tahmin!$C$4+77),Kalemler!$D134&lt;=(Tahmin!$C$4+83)),1,0))))</f>
        <v>0</v>
      </c>
      <c r="N134" s="0" t="n">
        <f aca="false">IF(OR(Kalemler!$A134="",Kalemler!$C134="",Kalemler!$D134=""),0,Kalemler!$C134*IF(Kalemler!$E134="Haftalık",IF(Kalemler!$D134&lt;=(Tahmin!$C$4+90),1,0),IF(Kalemler!$E134="Aylık",IF(OR(AND(DATE(YEAR((Tahmin!$C$4+84)),MONTH((Tahmin!$C$4+84)),MIN(DAY(Kalemler!$D134),DAY(EOMONTH((Tahmin!$C$4+84),0))))&gt;=(Tahmin!$C$4+84),DATE(YEAR((Tahmin!$C$4+84)),MONTH((Tahmin!$C$4+84)),MIN(DAY(Kalemler!$D134),DAY(EOMONTH((Tahmin!$C$4+84),0))))&lt;=(Tahmin!$C$4+90),DATE(YEAR((Tahmin!$C$4+84)),MONTH((Tahmin!$C$4+84)),MIN(DAY(Kalemler!$D134),DAY(EOMONTH((Tahmin!$C$4+84),0))))&gt;=Kalemler!$D134),AND(DATE(YEAR((Tahmin!$C$4+90)),MONTH((Tahmin!$C$4+90)),MIN(DAY(Kalemler!$D134),DAY(EOMONTH((Tahmin!$C$4+90),0))))&gt;=(Tahmin!$C$4+84),DATE(YEAR((Tahmin!$C$4+90)),MONTH((Tahmin!$C$4+90)),MIN(DAY(Kalemler!$D134),DAY(EOMONTH((Tahmin!$C$4+90),0))))&lt;=(Tahmin!$C$4+90),DATE(YEAR((Tahmin!$C$4+90)),MONTH((Tahmin!$C$4+90)),MIN(DAY(Kalemler!$D134),DAY(EOMONTH((Tahmin!$C$4+90),0))))&lt;&gt;DATE(YEAR((Tahmin!$C$4+84)),MONTH((Tahmin!$C$4+84)),MIN(DAY(Kalemler!$D134),DAY(EOMONTH((Tahmin!$C$4+84),0)))),DATE(YEAR((Tahmin!$C$4+90)),MONTH((Tahmin!$C$4+90)),MIN(DAY(Kalemler!$D134),DAY(EOMONTH((Tahmin!$C$4+90),0))))&gt;=Kalemler!$D134)),1,0),IF(AND(Kalemler!$D134&gt;=(Tahmin!$C$4+84),Kalemler!$D134&lt;=(Tahmin!$C$4+90)),1,0))))</f>
        <v>0</v>
      </c>
    </row>
    <row r="135" customFormat="false" ht="15" hidden="false" customHeight="false" outlineLevel="0" collapsed="false">
      <c r="A135" s="0" t="str">
        <f aca="false">IF(Kalemler!A135="","",Kalemler!A135)</f>
        <v/>
      </c>
      <c r="B135" s="0" t="n">
        <f aca="false">IF(OR(Kalemler!$A135="",Kalemler!$C135="",Kalemler!$D135=""),0,Kalemler!$C135*IF(Kalemler!$E135="Haftalık",IF(Kalemler!$D135&lt;=(Tahmin!$C$4+6),1,0),IF(Kalemler!$E135="Aylık",IF(OR(AND(DATE(YEAR((Tahmin!$C$4+0)),MONTH((Tahmin!$C$4+0)),MIN(DAY(Kalemler!$D135),DAY(EOMONTH((Tahmin!$C$4+0),0))))&gt;=(Tahmin!$C$4+0),DATE(YEAR((Tahmin!$C$4+0)),MONTH((Tahmin!$C$4+0)),MIN(DAY(Kalemler!$D135),DAY(EOMONTH((Tahmin!$C$4+0),0))))&lt;=(Tahmin!$C$4+6),DATE(YEAR((Tahmin!$C$4+0)),MONTH((Tahmin!$C$4+0)),MIN(DAY(Kalemler!$D135),DAY(EOMONTH((Tahmin!$C$4+0),0))))&gt;=Kalemler!$D135),AND(DATE(YEAR((Tahmin!$C$4+6)),MONTH((Tahmin!$C$4+6)),MIN(DAY(Kalemler!$D135),DAY(EOMONTH((Tahmin!$C$4+6),0))))&gt;=(Tahmin!$C$4+0),DATE(YEAR((Tahmin!$C$4+6)),MONTH((Tahmin!$C$4+6)),MIN(DAY(Kalemler!$D135),DAY(EOMONTH((Tahmin!$C$4+6),0))))&lt;=(Tahmin!$C$4+6),DATE(YEAR((Tahmin!$C$4+6)),MONTH((Tahmin!$C$4+6)),MIN(DAY(Kalemler!$D135),DAY(EOMONTH((Tahmin!$C$4+6),0))))&lt;&gt;DATE(YEAR((Tahmin!$C$4+0)),MONTH((Tahmin!$C$4+0)),MIN(DAY(Kalemler!$D135),DAY(EOMONTH((Tahmin!$C$4+0),0)))),DATE(YEAR((Tahmin!$C$4+6)),MONTH((Tahmin!$C$4+6)),MIN(DAY(Kalemler!$D135),DAY(EOMONTH((Tahmin!$C$4+6),0))))&gt;=Kalemler!$D135)),1,0),IF(AND(Kalemler!$D135&gt;=(Tahmin!$C$4+0),Kalemler!$D135&lt;=(Tahmin!$C$4+6)),1,0))))</f>
        <v>0</v>
      </c>
      <c r="C135" s="0" t="n">
        <f aca="false">IF(OR(Kalemler!$A135="",Kalemler!$C135="",Kalemler!$D135=""),0,Kalemler!$C135*IF(Kalemler!$E135="Haftalık",IF(Kalemler!$D135&lt;=(Tahmin!$C$4+13),1,0),IF(Kalemler!$E135="Aylık",IF(OR(AND(DATE(YEAR((Tahmin!$C$4+7)),MONTH((Tahmin!$C$4+7)),MIN(DAY(Kalemler!$D135),DAY(EOMONTH((Tahmin!$C$4+7),0))))&gt;=(Tahmin!$C$4+7),DATE(YEAR((Tahmin!$C$4+7)),MONTH((Tahmin!$C$4+7)),MIN(DAY(Kalemler!$D135),DAY(EOMONTH((Tahmin!$C$4+7),0))))&lt;=(Tahmin!$C$4+13),DATE(YEAR((Tahmin!$C$4+7)),MONTH((Tahmin!$C$4+7)),MIN(DAY(Kalemler!$D135),DAY(EOMONTH((Tahmin!$C$4+7),0))))&gt;=Kalemler!$D135),AND(DATE(YEAR((Tahmin!$C$4+13)),MONTH((Tahmin!$C$4+13)),MIN(DAY(Kalemler!$D135),DAY(EOMONTH((Tahmin!$C$4+13),0))))&gt;=(Tahmin!$C$4+7),DATE(YEAR((Tahmin!$C$4+13)),MONTH((Tahmin!$C$4+13)),MIN(DAY(Kalemler!$D135),DAY(EOMONTH((Tahmin!$C$4+13),0))))&lt;=(Tahmin!$C$4+13),DATE(YEAR((Tahmin!$C$4+13)),MONTH((Tahmin!$C$4+13)),MIN(DAY(Kalemler!$D135),DAY(EOMONTH((Tahmin!$C$4+13),0))))&lt;&gt;DATE(YEAR((Tahmin!$C$4+7)),MONTH((Tahmin!$C$4+7)),MIN(DAY(Kalemler!$D135),DAY(EOMONTH((Tahmin!$C$4+7),0)))),DATE(YEAR((Tahmin!$C$4+13)),MONTH((Tahmin!$C$4+13)),MIN(DAY(Kalemler!$D135),DAY(EOMONTH((Tahmin!$C$4+13),0))))&gt;=Kalemler!$D135)),1,0),IF(AND(Kalemler!$D135&gt;=(Tahmin!$C$4+7),Kalemler!$D135&lt;=(Tahmin!$C$4+13)),1,0))))</f>
        <v>0</v>
      </c>
      <c r="D135" s="0" t="n">
        <f aca="false">IF(OR(Kalemler!$A135="",Kalemler!$C135="",Kalemler!$D135=""),0,Kalemler!$C135*IF(Kalemler!$E135="Haftalık",IF(Kalemler!$D135&lt;=(Tahmin!$C$4+20),1,0),IF(Kalemler!$E135="Aylık",IF(OR(AND(DATE(YEAR((Tahmin!$C$4+14)),MONTH((Tahmin!$C$4+14)),MIN(DAY(Kalemler!$D135),DAY(EOMONTH((Tahmin!$C$4+14),0))))&gt;=(Tahmin!$C$4+14),DATE(YEAR((Tahmin!$C$4+14)),MONTH((Tahmin!$C$4+14)),MIN(DAY(Kalemler!$D135),DAY(EOMONTH((Tahmin!$C$4+14),0))))&lt;=(Tahmin!$C$4+20),DATE(YEAR((Tahmin!$C$4+14)),MONTH((Tahmin!$C$4+14)),MIN(DAY(Kalemler!$D135),DAY(EOMONTH((Tahmin!$C$4+14),0))))&gt;=Kalemler!$D135),AND(DATE(YEAR((Tahmin!$C$4+20)),MONTH((Tahmin!$C$4+20)),MIN(DAY(Kalemler!$D135),DAY(EOMONTH((Tahmin!$C$4+20),0))))&gt;=(Tahmin!$C$4+14),DATE(YEAR((Tahmin!$C$4+20)),MONTH((Tahmin!$C$4+20)),MIN(DAY(Kalemler!$D135),DAY(EOMONTH((Tahmin!$C$4+20),0))))&lt;=(Tahmin!$C$4+20),DATE(YEAR((Tahmin!$C$4+20)),MONTH((Tahmin!$C$4+20)),MIN(DAY(Kalemler!$D135),DAY(EOMONTH((Tahmin!$C$4+20),0))))&lt;&gt;DATE(YEAR((Tahmin!$C$4+14)),MONTH((Tahmin!$C$4+14)),MIN(DAY(Kalemler!$D135),DAY(EOMONTH((Tahmin!$C$4+14),0)))),DATE(YEAR((Tahmin!$C$4+20)),MONTH((Tahmin!$C$4+20)),MIN(DAY(Kalemler!$D135),DAY(EOMONTH((Tahmin!$C$4+20),0))))&gt;=Kalemler!$D135)),1,0),IF(AND(Kalemler!$D135&gt;=(Tahmin!$C$4+14),Kalemler!$D135&lt;=(Tahmin!$C$4+20)),1,0))))</f>
        <v>0</v>
      </c>
      <c r="E135" s="0" t="n">
        <f aca="false">IF(OR(Kalemler!$A135="",Kalemler!$C135="",Kalemler!$D135=""),0,Kalemler!$C135*IF(Kalemler!$E135="Haftalık",IF(Kalemler!$D135&lt;=(Tahmin!$C$4+27),1,0),IF(Kalemler!$E135="Aylık",IF(OR(AND(DATE(YEAR((Tahmin!$C$4+21)),MONTH((Tahmin!$C$4+21)),MIN(DAY(Kalemler!$D135),DAY(EOMONTH((Tahmin!$C$4+21),0))))&gt;=(Tahmin!$C$4+21),DATE(YEAR((Tahmin!$C$4+21)),MONTH((Tahmin!$C$4+21)),MIN(DAY(Kalemler!$D135),DAY(EOMONTH((Tahmin!$C$4+21),0))))&lt;=(Tahmin!$C$4+27),DATE(YEAR((Tahmin!$C$4+21)),MONTH((Tahmin!$C$4+21)),MIN(DAY(Kalemler!$D135),DAY(EOMONTH((Tahmin!$C$4+21),0))))&gt;=Kalemler!$D135),AND(DATE(YEAR((Tahmin!$C$4+27)),MONTH((Tahmin!$C$4+27)),MIN(DAY(Kalemler!$D135),DAY(EOMONTH((Tahmin!$C$4+27),0))))&gt;=(Tahmin!$C$4+21),DATE(YEAR((Tahmin!$C$4+27)),MONTH((Tahmin!$C$4+27)),MIN(DAY(Kalemler!$D135),DAY(EOMONTH((Tahmin!$C$4+27),0))))&lt;=(Tahmin!$C$4+27),DATE(YEAR((Tahmin!$C$4+27)),MONTH((Tahmin!$C$4+27)),MIN(DAY(Kalemler!$D135),DAY(EOMONTH((Tahmin!$C$4+27),0))))&lt;&gt;DATE(YEAR((Tahmin!$C$4+21)),MONTH((Tahmin!$C$4+21)),MIN(DAY(Kalemler!$D135),DAY(EOMONTH((Tahmin!$C$4+21),0)))),DATE(YEAR((Tahmin!$C$4+27)),MONTH((Tahmin!$C$4+27)),MIN(DAY(Kalemler!$D135),DAY(EOMONTH((Tahmin!$C$4+27),0))))&gt;=Kalemler!$D135)),1,0),IF(AND(Kalemler!$D135&gt;=(Tahmin!$C$4+21),Kalemler!$D135&lt;=(Tahmin!$C$4+27)),1,0))))</f>
        <v>0</v>
      </c>
      <c r="F135" s="0" t="n">
        <f aca="false">IF(OR(Kalemler!$A135="",Kalemler!$C135="",Kalemler!$D135=""),0,Kalemler!$C135*IF(Kalemler!$E135="Haftalık",IF(Kalemler!$D135&lt;=(Tahmin!$C$4+34),1,0),IF(Kalemler!$E135="Aylık",IF(OR(AND(DATE(YEAR((Tahmin!$C$4+28)),MONTH((Tahmin!$C$4+28)),MIN(DAY(Kalemler!$D135),DAY(EOMONTH((Tahmin!$C$4+28),0))))&gt;=(Tahmin!$C$4+28),DATE(YEAR((Tahmin!$C$4+28)),MONTH((Tahmin!$C$4+28)),MIN(DAY(Kalemler!$D135),DAY(EOMONTH((Tahmin!$C$4+28),0))))&lt;=(Tahmin!$C$4+34),DATE(YEAR((Tahmin!$C$4+28)),MONTH((Tahmin!$C$4+28)),MIN(DAY(Kalemler!$D135),DAY(EOMONTH((Tahmin!$C$4+28),0))))&gt;=Kalemler!$D135),AND(DATE(YEAR((Tahmin!$C$4+34)),MONTH((Tahmin!$C$4+34)),MIN(DAY(Kalemler!$D135),DAY(EOMONTH((Tahmin!$C$4+34),0))))&gt;=(Tahmin!$C$4+28),DATE(YEAR((Tahmin!$C$4+34)),MONTH((Tahmin!$C$4+34)),MIN(DAY(Kalemler!$D135),DAY(EOMONTH((Tahmin!$C$4+34),0))))&lt;=(Tahmin!$C$4+34),DATE(YEAR((Tahmin!$C$4+34)),MONTH((Tahmin!$C$4+34)),MIN(DAY(Kalemler!$D135),DAY(EOMONTH((Tahmin!$C$4+34),0))))&lt;&gt;DATE(YEAR((Tahmin!$C$4+28)),MONTH((Tahmin!$C$4+28)),MIN(DAY(Kalemler!$D135),DAY(EOMONTH((Tahmin!$C$4+28),0)))),DATE(YEAR((Tahmin!$C$4+34)),MONTH((Tahmin!$C$4+34)),MIN(DAY(Kalemler!$D135),DAY(EOMONTH((Tahmin!$C$4+34),0))))&gt;=Kalemler!$D135)),1,0),IF(AND(Kalemler!$D135&gt;=(Tahmin!$C$4+28),Kalemler!$D135&lt;=(Tahmin!$C$4+34)),1,0))))</f>
        <v>0</v>
      </c>
      <c r="G135" s="0" t="n">
        <f aca="false">IF(OR(Kalemler!$A135="",Kalemler!$C135="",Kalemler!$D135=""),0,Kalemler!$C135*IF(Kalemler!$E135="Haftalık",IF(Kalemler!$D135&lt;=(Tahmin!$C$4+41),1,0),IF(Kalemler!$E135="Aylık",IF(OR(AND(DATE(YEAR((Tahmin!$C$4+35)),MONTH((Tahmin!$C$4+35)),MIN(DAY(Kalemler!$D135),DAY(EOMONTH((Tahmin!$C$4+35),0))))&gt;=(Tahmin!$C$4+35),DATE(YEAR((Tahmin!$C$4+35)),MONTH((Tahmin!$C$4+35)),MIN(DAY(Kalemler!$D135),DAY(EOMONTH((Tahmin!$C$4+35),0))))&lt;=(Tahmin!$C$4+41),DATE(YEAR((Tahmin!$C$4+35)),MONTH((Tahmin!$C$4+35)),MIN(DAY(Kalemler!$D135),DAY(EOMONTH((Tahmin!$C$4+35),0))))&gt;=Kalemler!$D135),AND(DATE(YEAR((Tahmin!$C$4+41)),MONTH((Tahmin!$C$4+41)),MIN(DAY(Kalemler!$D135),DAY(EOMONTH((Tahmin!$C$4+41),0))))&gt;=(Tahmin!$C$4+35),DATE(YEAR((Tahmin!$C$4+41)),MONTH((Tahmin!$C$4+41)),MIN(DAY(Kalemler!$D135),DAY(EOMONTH((Tahmin!$C$4+41),0))))&lt;=(Tahmin!$C$4+41),DATE(YEAR((Tahmin!$C$4+41)),MONTH((Tahmin!$C$4+41)),MIN(DAY(Kalemler!$D135),DAY(EOMONTH((Tahmin!$C$4+41),0))))&lt;&gt;DATE(YEAR((Tahmin!$C$4+35)),MONTH((Tahmin!$C$4+35)),MIN(DAY(Kalemler!$D135),DAY(EOMONTH((Tahmin!$C$4+35),0)))),DATE(YEAR((Tahmin!$C$4+41)),MONTH((Tahmin!$C$4+41)),MIN(DAY(Kalemler!$D135),DAY(EOMONTH((Tahmin!$C$4+41),0))))&gt;=Kalemler!$D135)),1,0),IF(AND(Kalemler!$D135&gt;=(Tahmin!$C$4+35),Kalemler!$D135&lt;=(Tahmin!$C$4+41)),1,0))))</f>
        <v>0</v>
      </c>
      <c r="H135" s="0" t="n">
        <f aca="false">IF(OR(Kalemler!$A135="",Kalemler!$C135="",Kalemler!$D135=""),0,Kalemler!$C135*IF(Kalemler!$E135="Haftalık",IF(Kalemler!$D135&lt;=(Tahmin!$C$4+48),1,0),IF(Kalemler!$E135="Aylık",IF(OR(AND(DATE(YEAR((Tahmin!$C$4+42)),MONTH((Tahmin!$C$4+42)),MIN(DAY(Kalemler!$D135),DAY(EOMONTH((Tahmin!$C$4+42),0))))&gt;=(Tahmin!$C$4+42),DATE(YEAR((Tahmin!$C$4+42)),MONTH((Tahmin!$C$4+42)),MIN(DAY(Kalemler!$D135),DAY(EOMONTH((Tahmin!$C$4+42),0))))&lt;=(Tahmin!$C$4+48),DATE(YEAR((Tahmin!$C$4+42)),MONTH((Tahmin!$C$4+42)),MIN(DAY(Kalemler!$D135),DAY(EOMONTH((Tahmin!$C$4+42),0))))&gt;=Kalemler!$D135),AND(DATE(YEAR((Tahmin!$C$4+48)),MONTH((Tahmin!$C$4+48)),MIN(DAY(Kalemler!$D135),DAY(EOMONTH((Tahmin!$C$4+48),0))))&gt;=(Tahmin!$C$4+42),DATE(YEAR((Tahmin!$C$4+48)),MONTH((Tahmin!$C$4+48)),MIN(DAY(Kalemler!$D135),DAY(EOMONTH((Tahmin!$C$4+48),0))))&lt;=(Tahmin!$C$4+48),DATE(YEAR((Tahmin!$C$4+48)),MONTH((Tahmin!$C$4+48)),MIN(DAY(Kalemler!$D135),DAY(EOMONTH((Tahmin!$C$4+48),0))))&lt;&gt;DATE(YEAR((Tahmin!$C$4+42)),MONTH((Tahmin!$C$4+42)),MIN(DAY(Kalemler!$D135),DAY(EOMONTH((Tahmin!$C$4+42),0)))),DATE(YEAR((Tahmin!$C$4+48)),MONTH((Tahmin!$C$4+48)),MIN(DAY(Kalemler!$D135),DAY(EOMONTH((Tahmin!$C$4+48),0))))&gt;=Kalemler!$D135)),1,0),IF(AND(Kalemler!$D135&gt;=(Tahmin!$C$4+42),Kalemler!$D135&lt;=(Tahmin!$C$4+48)),1,0))))</f>
        <v>0</v>
      </c>
      <c r="I135" s="0" t="n">
        <f aca="false">IF(OR(Kalemler!$A135="",Kalemler!$C135="",Kalemler!$D135=""),0,Kalemler!$C135*IF(Kalemler!$E135="Haftalık",IF(Kalemler!$D135&lt;=(Tahmin!$C$4+55),1,0),IF(Kalemler!$E135="Aylık",IF(OR(AND(DATE(YEAR((Tahmin!$C$4+49)),MONTH((Tahmin!$C$4+49)),MIN(DAY(Kalemler!$D135),DAY(EOMONTH((Tahmin!$C$4+49),0))))&gt;=(Tahmin!$C$4+49),DATE(YEAR((Tahmin!$C$4+49)),MONTH((Tahmin!$C$4+49)),MIN(DAY(Kalemler!$D135),DAY(EOMONTH((Tahmin!$C$4+49),0))))&lt;=(Tahmin!$C$4+55),DATE(YEAR((Tahmin!$C$4+49)),MONTH((Tahmin!$C$4+49)),MIN(DAY(Kalemler!$D135),DAY(EOMONTH((Tahmin!$C$4+49),0))))&gt;=Kalemler!$D135),AND(DATE(YEAR((Tahmin!$C$4+55)),MONTH((Tahmin!$C$4+55)),MIN(DAY(Kalemler!$D135),DAY(EOMONTH((Tahmin!$C$4+55),0))))&gt;=(Tahmin!$C$4+49),DATE(YEAR((Tahmin!$C$4+55)),MONTH((Tahmin!$C$4+55)),MIN(DAY(Kalemler!$D135),DAY(EOMONTH((Tahmin!$C$4+55),0))))&lt;=(Tahmin!$C$4+55),DATE(YEAR((Tahmin!$C$4+55)),MONTH((Tahmin!$C$4+55)),MIN(DAY(Kalemler!$D135),DAY(EOMONTH((Tahmin!$C$4+55),0))))&lt;&gt;DATE(YEAR((Tahmin!$C$4+49)),MONTH((Tahmin!$C$4+49)),MIN(DAY(Kalemler!$D135),DAY(EOMONTH((Tahmin!$C$4+49),0)))),DATE(YEAR((Tahmin!$C$4+55)),MONTH((Tahmin!$C$4+55)),MIN(DAY(Kalemler!$D135),DAY(EOMONTH((Tahmin!$C$4+55),0))))&gt;=Kalemler!$D135)),1,0),IF(AND(Kalemler!$D135&gt;=(Tahmin!$C$4+49),Kalemler!$D135&lt;=(Tahmin!$C$4+55)),1,0))))</f>
        <v>0</v>
      </c>
      <c r="J135" s="0" t="n">
        <f aca="false">IF(OR(Kalemler!$A135="",Kalemler!$C135="",Kalemler!$D135=""),0,Kalemler!$C135*IF(Kalemler!$E135="Haftalık",IF(Kalemler!$D135&lt;=(Tahmin!$C$4+62),1,0),IF(Kalemler!$E135="Aylık",IF(OR(AND(DATE(YEAR((Tahmin!$C$4+56)),MONTH((Tahmin!$C$4+56)),MIN(DAY(Kalemler!$D135),DAY(EOMONTH((Tahmin!$C$4+56),0))))&gt;=(Tahmin!$C$4+56),DATE(YEAR((Tahmin!$C$4+56)),MONTH((Tahmin!$C$4+56)),MIN(DAY(Kalemler!$D135),DAY(EOMONTH((Tahmin!$C$4+56),0))))&lt;=(Tahmin!$C$4+62),DATE(YEAR((Tahmin!$C$4+56)),MONTH((Tahmin!$C$4+56)),MIN(DAY(Kalemler!$D135),DAY(EOMONTH((Tahmin!$C$4+56),0))))&gt;=Kalemler!$D135),AND(DATE(YEAR((Tahmin!$C$4+62)),MONTH((Tahmin!$C$4+62)),MIN(DAY(Kalemler!$D135),DAY(EOMONTH((Tahmin!$C$4+62),0))))&gt;=(Tahmin!$C$4+56),DATE(YEAR((Tahmin!$C$4+62)),MONTH((Tahmin!$C$4+62)),MIN(DAY(Kalemler!$D135),DAY(EOMONTH((Tahmin!$C$4+62),0))))&lt;=(Tahmin!$C$4+62),DATE(YEAR((Tahmin!$C$4+62)),MONTH((Tahmin!$C$4+62)),MIN(DAY(Kalemler!$D135),DAY(EOMONTH((Tahmin!$C$4+62),0))))&lt;&gt;DATE(YEAR((Tahmin!$C$4+56)),MONTH((Tahmin!$C$4+56)),MIN(DAY(Kalemler!$D135),DAY(EOMONTH((Tahmin!$C$4+56),0)))),DATE(YEAR((Tahmin!$C$4+62)),MONTH((Tahmin!$C$4+62)),MIN(DAY(Kalemler!$D135),DAY(EOMONTH((Tahmin!$C$4+62),0))))&gt;=Kalemler!$D135)),1,0),IF(AND(Kalemler!$D135&gt;=(Tahmin!$C$4+56),Kalemler!$D135&lt;=(Tahmin!$C$4+62)),1,0))))</f>
        <v>0</v>
      </c>
      <c r="K135" s="0" t="n">
        <f aca="false">IF(OR(Kalemler!$A135="",Kalemler!$C135="",Kalemler!$D135=""),0,Kalemler!$C135*IF(Kalemler!$E135="Haftalık",IF(Kalemler!$D135&lt;=(Tahmin!$C$4+69),1,0),IF(Kalemler!$E135="Aylık",IF(OR(AND(DATE(YEAR((Tahmin!$C$4+63)),MONTH((Tahmin!$C$4+63)),MIN(DAY(Kalemler!$D135),DAY(EOMONTH((Tahmin!$C$4+63),0))))&gt;=(Tahmin!$C$4+63),DATE(YEAR((Tahmin!$C$4+63)),MONTH((Tahmin!$C$4+63)),MIN(DAY(Kalemler!$D135),DAY(EOMONTH((Tahmin!$C$4+63),0))))&lt;=(Tahmin!$C$4+69),DATE(YEAR((Tahmin!$C$4+63)),MONTH((Tahmin!$C$4+63)),MIN(DAY(Kalemler!$D135),DAY(EOMONTH((Tahmin!$C$4+63),0))))&gt;=Kalemler!$D135),AND(DATE(YEAR((Tahmin!$C$4+69)),MONTH((Tahmin!$C$4+69)),MIN(DAY(Kalemler!$D135),DAY(EOMONTH((Tahmin!$C$4+69),0))))&gt;=(Tahmin!$C$4+63),DATE(YEAR((Tahmin!$C$4+69)),MONTH((Tahmin!$C$4+69)),MIN(DAY(Kalemler!$D135),DAY(EOMONTH((Tahmin!$C$4+69),0))))&lt;=(Tahmin!$C$4+69),DATE(YEAR((Tahmin!$C$4+69)),MONTH((Tahmin!$C$4+69)),MIN(DAY(Kalemler!$D135),DAY(EOMONTH((Tahmin!$C$4+69),0))))&lt;&gt;DATE(YEAR((Tahmin!$C$4+63)),MONTH((Tahmin!$C$4+63)),MIN(DAY(Kalemler!$D135),DAY(EOMONTH((Tahmin!$C$4+63),0)))),DATE(YEAR((Tahmin!$C$4+69)),MONTH((Tahmin!$C$4+69)),MIN(DAY(Kalemler!$D135),DAY(EOMONTH((Tahmin!$C$4+69),0))))&gt;=Kalemler!$D135)),1,0),IF(AND(Kalemler!$D135&gt;=(Tahmin!$C$4+63),Kalemler!$D135&lt;=(Tahmin!$C$4+69)),1,0))))</f>
        <v>0</v>
      </c>
      <c r="L135" s="0" t="n">
        <f aca="false">IF(OR(Kalemler!$A135="",Kalemler!$C135="",Kalemler!$D135=""),0,Kalemler!$C135*IF(Kalemler!$E135="Haftalık",IF(Kalemler!$D135&lt;=(Tahmin!$C$4+76),1,0),IF(Kalemler!$E135="Aylık",IF(OR(AND(DATE(YEAR((Tahmin!$C$4+70)),MONTH((Tahmin!$C$4+70)),MIN(DAY(Kalemler!$D135),DAY(EOMONTH((Tahmin!$C$4+70),0))))&gt;=(Tahmin!$C$4+70),DATE(YEAR((Tahmin!$C$4+70)),MONTH((Tahmin!$C$4+70)),MIN(DAY(Kalemler!$D135),DAY(EOMONTH((Tahmin!$C$4+70),0))))&lt;=(Tahmin!$C$4+76),DATE(YEAR((Tahmin!$C$4+70)),MONTH((Tahmin!$C$4+70)),MIN(DAY(Kalemler!$D135),DAY(EOMONTH((Tahmin!$C$4+70),0))))&gt;=Kalemler!$D135),AND(DATE(YEAR((Tahmin!$C$4+76)),MONTH((Tahmin!$C$4+76)),MIN(DAY(Kalemler!$D135),DAY(EOMONTH((Tahmin!$C$4+76),0))))&gt;=(Tahmin!$C$4+70),DATE(YEAR((Tahmin!$C$4+76)),MONTH((Tahmin!$C$4+76)),MIN(DAY(Kalemler!$D135),DAY(EOMONTH((Tahmin!$C$4+76),0))))&lt;=(Tahmin!$C$4+76),DATE(YEAR((Tahmin!$C$4+76)),MONTH((Tahmin!$C$4+76)),MIN(DAY(Kalemler!$D135),DAY(EOMONTH((Tahmin!$C$4+76),0))))&lt;&gt;DATE(YEAR((Tahmin!$C$4+70)),MONTH((Tahmin!$C$4+70)),MIN(DAY(Kalemler!$D135),DAY(EOMONTH((Tahmin!$C$4+70),0)))),DATE(YEAR((Tahmin!$C$4+76)),MONTH((Tahmin!$C$4+76)),MIN(DAY(Kalemler!$D135),DAY(EOMONTH((Tahmin!$C$4+76),0))))&gt;=Kalemler!$D135)),1,0),IF(AND(Kalemler!$D135&gt;=(Tahmin!$C$4+70),Kalemler!$D135&lt;=(Tahmin!$C$4+76)),1,0))))</f>
        <v>0</v>
      </c>
      <c r="M135" s="0" t="n">
        <f aca="false">IF(OR(Kalemler!$A135="",Kalemler!$C135="",Kalemler!$D135=""),0,Kalemler!$C135*IF(Kalemler!$E135="Haftalık",IF(Kalemler!$D135&lt;=(Tahmin!$C$4+83),1,0),IF(Kalemler!$E135="Aylık",IF(OR(AND(DATE(YEAR((Tahmin!$C$4+77)),MONTH((Tahmin!$C$4+77)),MIN(DAY(Kalemler!$D135),DAY(EOMONTH((Tahmin!$C$4+77),0))))&gt;=(Tahmin!$C$4+77),DATE(YEAR((Tahmin!$C$4+77)),MONTH((Tahmin!$C$4+77)),MIN(DAY(Kalemler!$D135),DAY(EOMONTH((Tahmin!$C$4+77),0))))&lt;=(Tahmin!$C$4+83),DATE(YEAR((Tahmin!$C$4+77)),MONTH((Tahmin!$C$4+77)),MIN(DAY(Kalemler!$D135),DAY(EOMONTH((Tahmin!$C$4+77),0))))&gt;=Kalemler!$D135),AND(DATE(YEAR((Tahmin!$C$4+83)),MONTH((Tahmin!$C$4+83)),MIN(DAY(Kalemler!$D135),DAY(EOMONTH((Tahmin!$C$4+83),0))))&gt;=(Tahmin!$C$4+77),DATE(YEAR((Tahmin!$C$4+83)),MONTH((Tahmin!$C$4+83)),MIN(DAY(Kalemler!$D135),DAY(EOMONTH((Tahmin!$C$4+83),0))))&lt;=(Tahmin!$C$4+83),DATE(YEAR((Tahmin!$C$4+83)),MONTH((Tahmin!$C$4+83)),MIN(DAY(Kalemler!$D135),DAY(EOMONTH((Tahmin!$C$4+83),0))))&lt;&gt;DATE(YEAR((Tahmin!$C$4+77)),MONTH((Tahmin!$C$4+77)),MIN(DAY(Kalemler!$D135),DAY(EOMONTH((Tahmin!$C$4+77),0)))),DATE(YEAR((Tahmin!$C$4+83)),MONTH((Tahmin!$C$4+83)),MIN(DAY(Kalemler!$D135),DAY(EOMONTH((Tahmin!$C$4+83),0))))&gt;=Kalemler!$D135)),1,0),IF(AND(Kalemler!$D135&gt;=(Tahmin!$C$4+77),Kalemler!$D135&lt;=(Tahmin!$C$4+83)),1,0))))</f>
        <v>0</v>
      </c>
      <c r="N135" s="0" t="n">
        <f aca="false">IF(OR(Kalemler!$A135="",Kalemler!$C135="",Kalemler!$D135=""),0,Kalemler!$C135*IF(Kalemler!$E135="Haftalık",IF(Kalemler!$D135&lt;=(Tahmin!$C$4+90),1,0),IF(Kalemler!$E135="Aylık",IF(OR(AND(DATE(YEAR((Tahmin!$C$4+84)),MONTH((Tahmin!$C$4+84)),MIN(DAY(Kalemler!$D135),DAY(EOMONTH((Tahmin!$C$4+84),0))))&gt;=(Tahmin!$C$4+84),DATE(YEAR((Tahmin!$C$4+84)),MONTH((Tahmin!$C$4+84)),MIN(DAY(Kalemler!$D135),DAY(EOMONTH((Tahmin!$C$4+84),0))))&lt;=(Tahmin!$C$4+90),DATE(YEAR((Tahmin!$C$4+84)),MONTH((Tahmin!$C$4+84)),MIN(DAY(Kalemler!$D135),DAY(EOMONTH((Tahmin!$C$4+84),0))))&gt;=Kalemler!$D135),AND(DATE(YEAR((Tahmin!$C$4+90)),MONTH((Tahmin!$C$4+90)),MIN(DAY(Kalemler!$D135),DAY(EOMONTH((Tahmin!$C$4+90),0))))&gt;=(Tahmin!$C$4+84),DATE(YEAR((Tahmin!$C$4+90)),MONTH((Tahmin!$C$4+90)),MIN(DAY(Kalemler!$D135),DAY(EOMONTH((Tahmin!$C$4+90),0))))&lt;=(Tahmin!$C$4+90),DATE(YEAR((Tahmin!$C$4+90)),MONTH((Tahmin!$C$4+90)),MIN(DAY(Kalemler!$D135),DAY(EOMONTH((Tahmin!$C$4+90),0))))&lt;&gt;DATE(YEAR((Tahmin!$C$4+84)),MONTH((Tahmin!$C$4+84)),MIN(DAY(Kalemler!$D135),DAY(EOMONTH((Tahmin!$C$4+84),0)))),DATE(YEAR((Tahmin!$C$4+90)),MONTH((Tahmin!$C$4+90)),MIN(DAY(Kalemler!$D135),DAY(EOMONTH((Tahmin!$C$4+90),0))))&gt;=Kalemler!$D135)),1,0),IF(AND(Kalemler!$D135&gt;=(Tahmin!$C$4+84),Kalemler!$D135&lt;=(Tahmin!$C$4+90)),1,0))))</f>
        <v>0</v>
      </c>
    </row>
    <row r="136" customFormat="false" ht="15" hidden="false" customHeight="false" outlineLevel="0" collapsed="false">
      <c r="A136" s="0" t="str">
        <f aca="false">IF(Kalemler!A136="","",Kalemler!A136)</f>
        <v/>
      </c>
      <c r="B136" s="0" t="n">
        <f aca="false">IF(OR(Kalemler!$A136="",Kalemler!$C136="",Kalemler!$D136=""),0,Kalemler!$C136*IF(Kalemler!$E136="Haftalık",IF(Kalemler!$D136&lt;=(Tahmin!$C$4+6),1,0),IF(Kalemler!$E136="Aylık",IF(OR(AND(DATE(YEAR((Tahmin!$C$4+0)),MONTH((Tahmin!$C$4+0)),MIN(DAY(Kalemler!$D136),DAY(EOMONTH((Tahmin!$C$4+0),0))))&gt;=(Tahmin!$C$4+0),DATE(YEAR((Tahmin!$C$4+0)),MONTH((Tahmin!$C$4+0)),MIN(DAY(Kalemler!$D136),DAY(EOMONTH((Tahmin!$C$4+0),0))))&lt;=(Tahmin!$C$4+6),DATE(YEAR((Tahmin!$C$4+0)),MONTH((Tahmin!$C$4+0)),MIN(DAY(Kalemler!$D136),DAY(EOMONTH((Tahmin!$C$4+0),0))))&gt;=Kalemler!$D136),AND(DATE(YEAR((Tahmin!$C$4+6)),MONTH((Tahmin!$C$4+6)),MIN(DAY(Kalemler!$D136),DAY(EOMONTH((Tahmin!$C$4+6),0))))&gt;=(Tahmin!$C$4+0),DATE(YEAR((Tahmin!$C$4+6)),MONTH((Tahmin!$C$4+6)),MIN(DAY(Kalemler!$D136),DAY(EOMONTH((Tahmin!$C$4+6),0))))&lt;=(Tahmin!$C$4+6),DATE(YEAR((Tahmin!$C$4+6)),MONTH((Tahmin!$C$4+6)),MIN(DAY(Kalemler!$D136),DAY(EOMONTH((Tahmin!$C$4+6),0))))&lt;&gt;DATE(YEAR((Tahmin!$C$4+0)),MONTH((Tahmin!$C$4+0)),MIN(DAY(Kalemler!$D136),DAY(EOMONTH((Tahmin!$C$4+0),0)))),DATE(YEAR((Tahmin!$C$4+6)),MONTH((Tahmin!$C$4+6)),MIN(DAY(Kalemler!$D136),DAY(EOMONTH((Tahmin!$C$4+6),0))))&gt;=Kalemler!$D136)),1,0),IF(AND(Kalemler!$D136&gt;=(Tahmin!$C$4+0),Kalemler!$D136&lt;=(Tahmin!$C$4+6)),1,0))))</f>
        <v>0</v>
      </c>
      <c r="C136" s="0" t="n">
        <f aca="false">IF(OR(Kalemler!$A136="",Kalemler!$C136="",Kalemler!$D136=""),0,Kalemler!$C136*IF(Kalemler!$E136="Haftalık",IF(Kalemler!$D136&lt;=(Tahmin!$C$4+13),1,0),IF(Kalemler!$E136="Aylık",IF(OR(AND(DATE(YEAR((Tahmin!$C$4+7)),MONTH((Tahmin!$C$4+7)),MIN(DAY(Kalemler!$D136),DAY(EOMONTH((Tahmin!$C$4+7),0))))&gt;=(Tahmin!$C$4+7),DATE(YEAR((Tahmin!$C$4+7)),MONTH((Tahmin!$C$4+7)),MIN(DAY(Kalemler!$D136),DAY(EOMONTH((Tahmin!$C$4+7),0))))&lt;=(Tahmin!$C$4+13),DATE(YEAR((Tahmin!$C$4+7)),MONTH((Tahmin!$C$4+7)),MIN(DAY(Kalemler!$D136),DAY(EOMONTH((Tahmin!$C$4+7),0))))&gt;=Kalemler!$D136),AND(DATE(YEAR((Tahmin!$C$4+13)),MONTH((Tahmin!$C$4+13)),MIN(DAY(Kalemler!$D136),DAY(EOMONTH((Tahmin!$C$4+13),0))))&gt;=(Tahmin!$C$4+7),DATE(YEAR((Tahmin!$C$4+13)),MONTH((Tahmin!$C$4+13)),MIN(DAY(Kalemler!$D136),DAY(EOMONTH((Tahmin!$C$4+13),0))))&lt;=(Tahmin!$C$4+13),DATE(YEAR((Tahmin!$C$4+13)),MONTH((Tahmin!$C$4+13)),MIN(DAY(Kalemler!$D136),DAY(EOMONTH((Tahmin!$C$4+13),0))))&lt;&gt;DATE(YEAR((Tahmin!$C$4+7)),MONTH((Tahmin!$C$4+7)),MIN(DAY(Kalemler!$D136),DAY(EOMONTH((Tahmin!$C$4+7),0)))),DATE(YEAR((Tahmin!$C$4+13)),MONTH((Tahmin!$C$4+13)),MIN(DAY(Kalemler!$D136),DAY(EOMONTH((Tahmin!$C$4+13),0))))&gt;=Kalemler!$D136)),1,0),IF(AND(Kalemler!$D136&gt;=(Tahmin!$C$4+7),Kalemler!$D136&lt;=(Tahmin!$C$4+13)),1,0))))</f>
        <v>0</v>
      </c>
      <c r="D136" s="0" t="n">
        <f aca="false">IF(OR(Kalemler!$A136="",Kalemler!$C136="",Kalemler!$D136=""),0,Kalemler!$C136*IF(Kalemler!$E136="Haftalık",IF(Kalemler!$D136&lt;=(Tahmin!$C$4+20),1,0),IF(Kalemler!$E136="Aylık",IF(OR(AND(DATE(YEAR((Tahmin!$C$4+14)),MONTH((Tahmin!$C$4+14)),MIN(DAY(Kalemler!$D136),DAY(EOMONTH((Tahmin!$C$4+14),0))))&gt;=(Tahmin!$C$4+14),DATE(YEAR((Tahmin!$C$4+14)),MONTH((Tahmin!$C$4+14)),MIN(DAY(Kalemler!$D136),DAY(EOMONTH((Tahmin!$C$4+14),0))))&lt;=(Tahmin!$C$4+20),DATE(YEAR((Tahmin!$C$4+14)),MONTH((Tahmin!$C$4+14)),MIN(DAY(Kalemler!$D136),DAY(EOMONTH((Tahmin!$C$4+14),0))))&gt;=Kalemler!$D136),AND(DATE(YEAR((Tahmin!$C$4+20)),MONTH((Tahmin!$C$4+20)),MIN(DAY(Kalemler!$D136),DAY(EOMONTH((Tahmin!$C$4+20),0))))&gt;=(Tahmin!$C$4+14),DATE(YEAR((Tahmin!$C$4+20)),MONTH((Tahmin!$C$4+20)),MIN(DAY(Kalemler!$D136),DAY(EOMONTH((Tahmin!$C$4+20),0))))&lt;=(Tahmin!$C$4+20),DATE(YEAR((Tahmin!$C$4+20)),MONTH((Tahmin!$C$4+20)),MIN(DAY(Kalemler!$D136),DAY(EOMONTH((Tahmin!$C$4+20),0))))&lt;&gt;DATE(YEAR((Tahmin!$C$4+14)),MONTH((Tahmin!$C$4+14)),MIN(DAY(Kalemler!$D136),DAY(EOMONTH((Tahmin!$C$4+14),0)))),DATE(YEAR((Tahmin!$C$4+20)),MONTH((Tahmin!$C$4+20)),MIN(DAY(Kalemler!$D136),DAY(EOMONTH((Tahmin!$C$4+20),0))))&gt;=Kalemler!$D136)),1,0),IF(AND(Kalemler!$D136&gt;=(Tahmin!$C$4+14),Kalemler!$D136&lt;=(Tahmin!$C$4+20)),1,0))))</f>
        <v>0</v>
      </c>
      <c r="E136" s="0" t="n">
        <f aca="false">IF(OR(Kalemler!$A136="",Kalemler!$C136="",Kalemler!$D136=""),0,Kalemler!$C136*IF(Kalemler!$E136="Haftalık",IF(Kalemler!$D136&lt;=(Tahmin!$C$4+27),1,0),IF(Kalemler!$E136="Aylık",IF(OR(AND(DATE(YEAR((Tahmin!$C$4+21)),MONTH((Tahmin!$C$4+21)),MIN(DAY(Kalemler!$D136),DAY(EOMONTH((Tahmin!$C$4+21),0))))&gt;=(Tahmin!$C$4+21),DATE(YEAR((Tahmin!$C$4+21)),MONTH((Tahmin!$C$4+21)),MIN(DAY(Kalemler!$D136),DAY(EOMONTH((Tahmin!$C$4+21),0))))&lt;=(Tahmin!$C$4+27),DATE(YEAR((Tahmin!$C$4+21)),MONTH((Tahmin!$C$4+21)),MIN(DAY(Kalemler!$D136),DAY(EOMONTH((Tahmin!$C$4+21),0))))&gt;=Kalemler!$D136),AND(DATE(YEAR((Tahmin!$C$4+27)),MONTH((Tahmin!$C$4+27)),MIN(DAY(Kalemler!$D136),DAY(EOMONTH((Tahmin!$C$4+27),0))))&gt;=(Tahmin!$C$4+21),DATE(YEAR((Tahmin!$C$4+27)),MONTH((Tahmin!$C$4+27)),MIN(DAY(Kalemler!$D136),DAY(EOMONTH((Tahmin!$C$4+27),0))))&lt;=(Tahmin!$C$4+27),DATE(YEAR((Tahmin!$C$4+27)),MONTH((Tahmin!$C$4+27)),MIN(DAY(Kalemler!$D136),DAY(EOMONTH((Tahmin!$C$4+27),0))))&lt;&gt;DATE(YEAR((Tahmin!$C$4+21)),MONTH((Tahmin!$C$4+21)),MIN(DAY(Kalemler!$D136),DAY(EOMONTH((Tahmin!$C$4+21),0)))),DATE(YEAR((Tahmin!$C$4+27)),MONTH((Tahmin!$C$4+27)),MIN(DAY(Kalemler!$D136),DAY(EOMONTH((Tahmin!$C$4+27),0))))&gt;=Kalemler!$D136)),1,0),IF(AND(Kalemler!$D136&gt;=(Tahmin!$C$4+21),Kalemler!$D136&lt;=(Tahmin!$C$4+27)),1,0))))</f>
        <v>0</v>
      </c>
      <c r="F136" s="0" t="n">
        <f aca="false">IF(OR(Kalemler!$A136="",Kalemler!$C136="",Kalemler!$D136=""),0,Kalemler!$C136*IF(Kalemler!$E136="Haftalık",IF(Kalemler!$D136&lt;=(Tahmin!$C$4+34),1,0),IF(Kalemler!$E136="Aylık",IF(OR(AND(DATE(YEAR((Tahmin!$C$4+28)),MONTH((Tahmin!$C$4+28)),MIN(DAY(Kalemler!$D136),DAY(EOMONTH((Tahmin!$C$4+28),0))))&gt;=(Tahmin!$C$4+28),DATE(YEAR((Tahmin!$C$4+28)),MONTH((Tahmin!$C$4+28)),MIN(DAY(Kalemler!$D136),DAY(EOMONTH((Tahmin!$C$4+28),0))))&lt;=(Tahmin!$C$4+34),DATE(YEAR((Tahmin!$C$4+28)),MONTH((Tahmin!$C$4+28)),MIN(DAY(Kalemler!$D136),DAY(EOMONTH((Tahmin!$C$4+28),0))))&gt;=Kalemler!$D136),AND(DATE(YEAR((Tahmin!$C$4+34)),MONTH((Tahmin!$C$4+34)),MIN(DAY(Kalemler!$D136),DAY(EOMONTH((Tahmin!$C$4+34),0))))&gt;=(Tahmin!$C$4+28),DATE(YEAR((Tahmin!$C$4+34)),MONTH((Tahmin!$C$4+34)),MIN(DAY(Kalemler!$D136),DAY(EOMONTH((Tahmin!$C$4+34),0))))&lt;=(Tahmin!$C$4+34),DATE(YEAR((Tahmin!$C$4+34)),MONTH((Tahmin!$C$4+34)),MIN(DAY(Kalemler!$D136),DAY(EOMONTH((Tahmin!$C$4+34),0))))&lt;&gt;DATE(YEAR((Tahmin!$C$4+28)),MONTH((Tahmin!$C$4+28)),MIN(DAY(Kalemler!$D136),DAY(EOMONTH((Tahmin!$C$4+28),0)))),DATE(YEAR((Tahmin!$C$4+34)),MONTH((Tahmin!$C$4+34)),MIN(DAY(Kalemler!$D136),DAY(EOMONTH((Tahmin!$C$4+34),0))))&gt;=Kalemler!$D136)),1,0),IF(AND(Kalemler!$D136&gt;=(Tahmin!$C$4+28),Kalemler!$D136&lt;=(Tahmin!$C$4+34)),1,0))))</f>
        <v>0</v>
      </c>
      <c r="G136" s="0" t="n">
        <f aca="false">IF(OR(Kalemler!$A136="",Kalemler!$C136="",Kalemler!$D136=""),0,Kalemler!$C136*IF(Kalemler!$E136="Haftalık",IF(Kalemler!$D136&lt;=(Tahmin!$C$4+41),1,0),IF(Kalemler!$E136="Aylık",IF(OR(AND(DATE(YEAR((Tahmin!$C$4+35)),MONTH((Tahmin!$C$4+35)),MIN(DAY(Kalemler!$D136),DAY(EOMONTH((Tahmin!$C$4+35),0))))&gt;=(Tahmin!$C$4+35),DATE(YEAR((Tahmin!$C$4+35)),MONTH((Tahmin!$C$4+35)),MIN(DAY(Kalemler!$D136),DAY(EOMONTH((Tahmin!$C$4+35),0))))&lt;=(Tahmin!$C$4+41),DATE(YEAR((Tahmin!$C$4+35)),MONTH((Tahmin!$C$4+35)),MIN(DAY(Kalemler!$D136),DAY(EOMONTH((Tahmin!$C$4+35),0))))&gt;=Kalemler!$D136),AND(DATE(YEAR((Tahmin!$C$4+41)),MONTH((Tahmin!$C$4+41)),MIN(DAY(Kalemler!$D136),DAY(EOMONTH((Tahmin!$C$4+41),0))))&gt;=(Tahmin!$C$4+35),DATE(YEAR((Tahmin!$C$4+41)),MONTH((Tahmin!$C$4+41)),MIN(DAY(Kalemler!$D136),DAY(EOMONTH((Tahmin!$C$4+41),0))))&lt;=(Tahmin!$C$4+41),DATE(YEAR((Tahmin!$C$4+41)),MONTH((Tahmin!$C$4+41)),MIN(DAY(Kalemler!$D136),DAY(EOMONTH((Tahmin!$C$4+41),0))))&lt;&gt;DATE(YEAR((Tahmin!$C$4+35)),MONTH((Tahmin!$C$4+35)),MIN(DAY(Kalemler!$D136),DAY(EOMONTH((Tahmin!$C$4+35),0)))),DATE(YEAR((Tahmin!$C$4+41)),MONTH((Tahmin!$C$4+41)),MIN(DAY(Kalemler!$D136),DAY(EOMONTH((Tahmin!$C$4+41),0))))&gt;=Kalemler!$D136)),1,0),IF(AND(Kalemler!$D136&gt;=(Tahmin!$C$4+35),Kalemler!$D136&lt;=(Tahmin!$C$4+41)),1,0))))</f>
        <v>0</v>
      </c>
      <c r="H136" s="0" t="n">
        <f aca="false">IF(OR(Kalemler!$A136="",Kalemler!$C136="",Kalemler!$D136=""),0,Kalemler!$C136*IF(Kalemler!$E136="Haftalık",IF(Kalemler!$D136&lt;=(Tahmin!$C$4+48),1,0),IF(Kalemler!$E136="Aylık",IF(OR(AND(DATE(YEAR((Tahmin!$C$4+42)),MONTH((Tahmin!$C$4+42)),MIN(DAY(Kalemler!$D136),DAY(EOMONTH((Tahmin!$C$4+42),0))))&gt;=(Tahmin!$C$4+42),DATE(YEAR((Tahmin!$C$4+42)),MONTH((Tahmin!$C$4+42)),MIN(DAY(Kalemler!$D136),DAY(EOMONTH((Tahmin!$C$4+42),0))))&lt;=(Tahmin!$C$4+48),DATE(YEAR((Tahmin!$C$4+42)),MONTH((Tahmin!$C$4+42)),MIN(DAY(Kalemler!$D136),DAY(EOMONTH((Tahmin!$C$4+42),0))))&gt;=Kalemler!$D136),AND(DATE(YEAR((Tahmin!$C$4+48)),MONTH((Tahmin!$C$4+48)),MIN(DAY(Kalemler!$D136),DAY(EOMONTH((Tahmin!$C$4+48),0))))&gt;=(Tahmin!$C$4+42),DATE(YEAR((Tahmin!$C$4+48)),MONTH((Tahmin!$C$4+48)),MIN(DAY(Kalemler!$D136),DAY(EOMONTH((Tahmin!$C$4+48),0))))&lt;=(Tahmin!$C$4+48),DATE(YEAR((Tahmin!$C$4+48)),MONTH((Tahmin!$C$4+48)),MIN(DAY(Kalemler!$D136),DAY(EOMONTH((Tahmin!$C$4+48),0))))&lt;&gt;DATE(YEAR((Tahmin!$C$4+42)),MONTH((Tahmin!$C$4+42)),MIN(DAY(Kalemler!$D136),DAY(EOMONTH((Tahmin!$C$4+42),0)))),DATE(YEAR((Tahmin!$C$4+48)),MONTH((Tahmin!$C$4+48)),MIN(DAY(Kalemler!$D136),DAY(EOMONTH((Tahmin!$C$4+48),0))))&gt;=Kalemler!$D136)),1,0),IF(AND(Kalemler!$D136&gt;=(Tahmin!$C$4+42),Kalemler!$D136&lt;=(Tahmin!$C$4+48)),1,0))))</f>
        <v>0</v>
      </c>
      <c r="I136" s="0" t="n">
        <f aca="false">IF(OR(Kalemler!$A136="",Kalemler!$C136="",Kalemler!$D136=""),0,Kalemler!$C136*IF(Kalemler!$E136="Haftalık",IF(Kalemler!$D136&lt;=(Tahmin!$C$4+55),1,0),IF(Kalemler!$E136="Aylık",IF(OR(AND(DATE(YEAR((Tahmin!$C$4+49)),MONTH((Tahmin!$C$4+49)),MIN(DAY(Kalemler!$D136),DAY(EOMONTH((Tahmin!$C$4+49),0))))&gt;=(Tahmin!$C$4+49),DATE(YEAR((Tahmin!$C$4+49)),MONTH((Tahmin!$C$4+49)),MIN(DAY(Kalemler!$D136),DAY(EOMONTH((Tahmin!$C$4+49),0))))&lt;=(Tahmin!$C$4+55),DATE(YEAR((Tahmin!$C$4+49)),MONTH((Tahmin!$C$4+49)),MIN(DAY(Kalemler!$D136),DAY(EOMONTH((Tahmin!$C$4+49),0))))&gt;=Kalemler!$D136),AND(DATE(YEAR((Tahmin!$C$4+55)),MONTH((Tahmin!$C$4+55)),MIN(DAY(Kalemler!$D136),DAY(EOMONTH((Tahmin!$C$4+55),0))))&gt;=(Tahmin!$C$4+49),DATE(YEAR((Tahmin!$C$4+55)),MONTH((Tahmin!$C$4+55)),MIN(DAY(Kalemler!$D136),DAY(EOMONTH((Tahmin!$C$4+55),0))))&lt;=(Tahmin!$C$4+55),DATE(YEAR((Tahmin!$C$4+55)),MONTH((Tahmin!$C$4+55)),MIN(DAY(Kalemler!$D136),DAY(EOMONTH((Tahmin!$C$4+55),0))))&lt;&gt;DATE(YEAR((Tahmin!$C$4+49)),MONTH((Tahmin!$C$4+49)),MIN(DAY(Kalemler!$D136),DAY(EOMONTH((Tahmin!$C$4+49),0)))),DATE(YEAR((Tahmin!$C$4+55)),MONTH((Tahmin!$C$4+55)),MIN(DAY(Kalemler!$D136),DAY(EOMONTH((Tahmin!$C$4+55),0))))&gt;=Kalemler!$D136)),1,0),IF(AND(Kalemler!$D136&gt;=(Tahmin!$C$4+49),Kalemler!$D136&lt;=(Tahmin!$C$4+55)),1,0))))</f>
        <v>0</v>
      </c>
      <c r="J136" s="0" t="n">
        <f aca="false">IF(OR(Kalemler!$A136="",Kalemler!$C136="",Kalemler!$D136=""),0,Kalemler!$C136*IF(Kalemler!$E136="Haftalık",IF(Kalemler!$D136&lt;=(Tahmin!$C$4+62),1,0),IF(Kalemler!$E136="Aylık",IF(OR(AND(DATE(YEAR((Tahmin!$C$4+56)),MONTH((Tahmin!$C$4+56)),MIN(DAY(Kalemler!$D136),DAY(EOMONTH((Tahmin!$C$4+56),0))))&gt;=(Tahmin!$C$4+56),DATE(YEAR((Tahmin!$C$4+56)),MONTH((Tahmin!$C$4+56)),MIN(DAY(Kalemler!$D136),DAY(EOMONTH((Tahmin!$C$4+56),0))))&lt;=(Tahmin!$C$4+62),DATE(YEAR((Tahmin!$C$4+56)),MONTH((Tahmin!$C$4+56)),MIN(DAY(Kalemler!$D136),DAY(EOMONTH((Tahmin!$C$4+56),0))))&gt;=Kalemler!$D136),AND(DATE(YEAR((Tahmin!$C$4+62)),MONTH((Tahmin!$C$4+62)),MIN(DAY(Kalemler!$D136),DAY(EOMONTH((Tahmin!$C$4+62),0))))&gt;=(Tahmin!$C$4+56),DATE(YEAR((Tahmin!$C$4+62)),MONTH((Tahmin!$C$4+62)),MIN(DAY(Kalemler!$D136),DAY(EOMONTH((Tahmin!$C$4+62),0))))&lt;=(Tahmin!$C$4+62),DATE(YEAR((Tahmin!$C$4+62)),MONTH((Tahmin!$C$4+62)),MIN(DAY(Kalemler!$D136),DAY(EOMONTH((Tahmin!$C$4+62),0))))&lt;&gt;DATE(YEAR((Tahmin!$C$4+56)),MONTH((Tahmin!$C$4+56)),MIN(DAY(Kalemler!$D136),DAY(EOMONTH((Tahmin!$C$4+56),0)))),DATE(YEAR((Tahmin!$C$4+62)),MONTH((Tahmin!$C$4+62)),MIN(DAY(Kalemler!$D136),DAY(EOMONTH((Tahmin!$C$4+62),0))))&gt;=Kalemler!$D136)),1,0),IF(AND(Kalemler!$D136&gt;=(Tahmin!$C$4+56),Kalemler!$D136&lt;=(Tahmin!$C$4+62)),1,0))))</f>
        <v>0</v>
      </c>
      <c r="K136" s="0" t="n">
        <f aca="false">IF(OR(Kalemler!$A136="",Kalemler!$C136="",Kalemler!$D136=""),0,Kalemler!$C136*IF(Kalemler!$E136="Haftalık",IF(Kalemler!$D136&lt;=(Tahmin!$C$4+69),1,0),IF(Kalemler!$E136="Aylık",IF(OR(AND(DATE(YEAR((Tahmin!$C$4+63)),MONTH((Tahmin!$C$4+63)),MIN(DAY(Kalemler!$D136),DAY(EOMONTH((Tahmin!$C$4+63),0))))&gt;=(Tahmin!$C$4+63),DATE(YEAR((Tahmin!$C$4+63)),MONTH((Tahmin!$C$4+63)),MIN(DAY(Kalemler!$D136),DAY(EOMONTH((Tahmin!$C$4+63),0))))&lt;=(Tahmin!$C$4+69),DATE(YEAR((Tahmin!$C$4+63)),MONTH((Tahmin!$C$4+63)),MIN(DAY(Kalemler!$D136),DAY(EOMONTH((Tahmin!$C$4+63),0))))&gt;=Kalemler!$D136),AND(DATE(YEAR((Tahmin!$C$4+69)),MONTH((Tahmin!$C$4+69)),MIN(DAY(Kalemler!$D136),DAY(EOMONTH((Tahmin!$C$4+69),0))))&gt;=(Tahmin!$C$4+63),DATE(YEAR((Tahmin!$C$4+69)),MONTH((Tahmin!$C$4+69)),MIN(DAY(Kalemler!$D136),DAY(EOMONTH((Tahmin!$C$4+69),0))))&lt;=(Tahmin!$C$4+69),DATE(YEAR((Tahmin!$C$4+69)),MONTH((Tahmin!$C$4+69)),MIN(DAY(Kalemler!$D136),DAY(EOMONTH((Tahmin!$C$4+69),0))))&lt;&gt;DATE(YEAR((Tahmin!$C$4+63)),MONTH((Tahmin!$C$4+63)),MIN(DAY(Kalemler!$D136),DAY(EOMONTH((Tahmin!$C$4+63),0)))),DATE(YEAR((Tahmin!$C$4+69)),MONTH((Tahmin!$C$4+69)),MIN(DAY(Kalemler!$D136),DAY(EOMONTH((Tahmin!$C$4+69),0))))&gt;=Kalemler!$D136)),1,0),IF(AND(Kalemler!$D136&gt;=(Tahmin!$C$4+63),Kalemler!$D136&lt;=(Tahmin!$C$4+69)),1,0))))</f>
        <v>0</v>
      </c>
      <c r="L136" s="0" t="n">
        <f aca="false">IF(OR(Kalemler!$A136="",Kalemler!$C136="",Kalemler!$D136=""),0,Kalemler!$C136*IF(Kalemler!$E136="Haftalık",IF(Kalemler!$D136&lt;=(Tahmin!$C$4+76),1,0),IF(Kalemler!$E136="Aylık",IF(OR(AND(DATE(YEAR((Tahmin!$C$4+70)),MONTH((Tahmin!$C$4+70)),MIN(DAY(Kalemler!$D136),DAY(EOMONTH((Tahmin!$C$4+70),0))))&gt;=(Tahmin!$C$4+70),DATE(YEAR((Tahmin!$C$4+70)),MONTH((Tahmin!$C$4+70)),MIN(DAY(Kalemler!$D136),DAY(EOMONTH((Tahmin!$C$4+70),0))))&lt;=(Tahmin!$C$4+76),DATE(YEAR((Tahmin!$C$4+70)),MONTH((Tahmin!$C$4+70)),MIN(DAY(Kalemler!$D136),DAY(EOMONTH((Tahmin!$C$4+70),0))))&gt;=Kalemler!$D136),AND(DATE(YEAR((Tahmin!$C$4+76)),MONTH((Tahmin!$C$4+76)),MIN(DAY(Kalemler!$D136),DAY(EOMONTH((Tahmin!$C$4+76),0))))&gt;=(Tahmin!$C$4+70),DATE(YEAR((Tahmin!$C$4+76)),MONTH((Tahmin!$C$4+76)),MIN(DAY(Kalemler!$D136),DAY(EOMONTH((Tahmin!$C$4+76),0))))&lt;=(Tahmin!$C$4+76),DATE(YEAR((Tahmin!$C$4+76)),MONTH((Tahmin!$C$4+76)),MIN(DAY(Kalemler!$D136),DAY(EOMONTH((Tahmin!$C$4+76),0))))&lt;&gt;DATE(YEAR((Tahmin!$C$4+70)),MONTH((Tahmin!$C$4+70)),MIN(DAY(Kalemler!$D136),DAY(EOMONTH((Tahmin!$C$4+70),0)))),DATE(YEAR((Tahmin!$C$4+76)),MONTH((Tahmin!$C$4+76)),MIN(DAY(Kalemler!$D136),DAY(EOMONTH((Tahmin!$C$4+76),0))))&gt;=Kalemler!$D136)),1,0),IF(AND(Kalemler!$D136&gt;=(Tahmin!$C$4+70),Kalemler!$D136&lt;=(Tahmin!$C$4+76)),1,0))))</f>
        <v>0</v>
      </c>
      <c r="M136" s="0" t="n">
        <f aca="false">IF(OR(Kalemler!$A136="",Kalemler!$C136="",Kalemler!$D136=""),0,Kalemler!$C136*IF(Kalemler!$E136="Haftalık",IF(Kalemler!$D136&lt;=(Tahmin!$C$4+83),1,0),IF(Kalemler!$E136="Aylık",IF(OR(AND(DATE(YEAR((Tahmin!$C$4+77)),MONTH((Tahmin!$C$4+77)),MIN(DAY(Kalemler!$D136),DAY(EOMONTH((Tahmin!$C$4+77),0))))&gt;=(Tahmin!$C$4+77),DATE(YEAR((Tahmin!$C$4+77)),MONTH((Tahmin!$C$4+77)),MIN(DAY(Kalemler!$D136),DAY(EOMONTH((Tahmin!$C$4+77),0))))&lt;=(Tahmin!$C$4+83),DATE(YEAR((Tahmin!$C$4+77)),MONTH((Tahmin!$C$4+77)),MIN(DAY(Kalemler!$D136),DAY(EOMONTH((Tahmin!$C$4+77),0))))&gt;=Kalemler!$D136),AND(DATE(YEAR((Tahmin!$C$4+83)),MONTH((Tahmin!$C$4+83)),MIN(DAY(Kalemler!$D136),DAY(EOMONTH((Tahmin!$C$4+83),0))))&gt;=(Tahmin!$C$4+77),DATE(YEAR((Tahmin!$C$4+83)),MONTH((Tahmin!$C$4+83)),MIN(DAY(Kalemler!$D136),DAY(EOMONTH((Tahmin!$C$4+83),0))))&lt;=(Tahmin!$C$4+83),DATE(YEAR((Tahmin!$C$4+83)),MONTH((Tahmin!$C$4+83)),MIN(DAY(Kalemler!$D136),DAY(EOMONTH((Tahmin!$C$4+83),0))))&lt;&gt;DATE(YEAR((Tahmin!$C$4+77)),MONTH((Tahmin!$C$4+77)),MIN(DAY(Kalemler!$D136),DAY(EOMONTH((Tahmin!$C$4+77),0)))),DATE(YEAR((Tahmin!$C$4+83)),MONTH((Tahmin!$C$4+83)),MIN(DAY(Kalemler!$D136),DAY(EOMONTH((Tahmin!$C$4+83),0))))&gt;=Kalemler!$D136)),1,0),IF(AND(Kalemler!$D136&gt;=(Tahmin!$C$4+77),Kalemler!$D136&lt;=(Tahmin!$C$4+83)),1,0))))</f>
        <v>0</v>
      </c>
      <c r="N136" s="0" t="n">
        <f aca="false">IF(OR(Kalemler!$A136="",Kalemler!$C136="",Kalemler!$D136=""),0,Kalemler!$C136*IF(Kalemler!$E136="Haftalık",IF(Kalemler!$D136&lt;=(Tahmin!$C$4+90),1,0),IF(Kalemler!$E136="Aylık",IF(OR(AND(DATE(YEAR((Tahmin!$C$4+84)),MONTH((Tahmin!$C$4+84)),MIN(DAY(Kalemler!$D136),DAY(EOMONTH((Tahmin!$C$4+84),0))))&gt;=(Tahmin!$C$4+84),DATE(YEAR((Tahmin!$C$4+84)),MONTH((Tahmin!$C$4+84)),MIN(DAY(Kalemler!$D136),DAY(EOMONTH((Tahmin!$C$4+84),0))))&lt;=(Tahmin!$C$4+90),DATE(YEAR((Tahmin!$C$4+84)),MONTH((Tahmin!$C$4+84)),MIN(DAY(Kalemler!$D136),DAY(EOMONTH((Tahmin!$C$4+84),0))))&gt;=Kalemler!$D136),AND(DATE(YEAR((Tahmin!$C$4+90)),MONTH((Tahmin!$C$4+90)),MIN(DAY(Kalemler!$D136),DAY(EOMONTH((Tahmin!$C$4+90),0))))&gt;=(Tahmin!$C$4+84),DATE(YEAR((Tahmin!$C$4+90)),MONTH((Tahmin!$C$4+90)),MIN(DAY(Kalemler!$D136),DAY(EOMONTH((Tahmin!$C$4+90),0))))&lt;=(Tahmin!$C$4+90),DATE(YEAR((Tahmin!$C$4+90)),MONTH((Tahmin!$C$4+90)),MIN(DAY(Kalemler!$D136),DAY(EOMONTH((Tahmin!$C$4+90),0))))&lt;&gt;DATE(YEAR((Tahmin!$C$4+84)),MONTH((Tahmin!$C$4+84)),MIN(DAY(Kalemler!$D136),DAY(EOMONTH((Tahmin!$C$4+84),0)))),DATE(YEAR((Tahmin!$C$4+90)),MONTH((Tahmin!$C$4+90)),MIN(DAY(Kalemler!$D136),DAY(EOMONTH((Tahmin!$C$4+90),0))))&gt;=Kalemler!$D136)),1,0),IF(AND(Kalemler!$D136&gt;=(Tahmin!$C$4+84),Kalemler!$D136&lt;=(Tahmin!$C$4+90)),1,0))))</f>
        <v>0</v>
      </c>
    </row>
    <row r="137" customFormat="false" ht="15" hidden="false" customHeight="false" outlineLevel="0" collapsed="false">
      <c r="A137" s="0" t="str">
        <f aca="false">IF(Kalemler!A137="","",Kalemler!A137)</f>
        <v/>
      </c>
      <c r="B137" s="0" t="n">
        <f aca="false">IF(OR(Kalemler!$A137="",Kalemler!$C137="",Kalemler!$D137=""),0,Kalemler!$C137*IF(Kalemler!$E137="Haftalık",IF(Kalemler!$D137&lt;=(Tahmin!$C$4+6),1,0),IF(Kalemler!$E137="Aylık",IF(OR(AND(DATE(YEAR((Tahmin!$C$4+0)),MONTH((Tahmin!$C$4+0)),MIN(DAY(Kalemler!$D137),DAY(EOMONTH((Tahmin!$C$4+0),0))))&gt;=(Tahmin!$C$4+0),DATE(YEAR((Tahmin!$C$4+0)),MONTH((Tahmin!$C$4+0)),MIN(DAY(Kalemler!$D137),DAY(EOMONTH((Tahmin!$C$4+0),0))))&lt;=(Tahmin!$C$4+6),DATE(YEAR((Tahmin!$C$4+0)),MONTH((Tahmin!$C$4+0)),MIN(DAY(Kalemler!$D137),DAY(EOMONTH((Tahmin!$C$4+0),0))))&gt;=Kalemler!$D137),AND(DATE(YEAR((Tahmin!$C$4+6)),MONTH((Tahmin!$C$4+6)),MIN(DAY(Kalemler!$D137),DAY(EOMONTH((Tahmin!$C$4+6),0))))&gt;=(Tahmin!$C$4+0),DATE(YEAR((Tahmin!$C$4+6)),MONTH((Tahmin!$C$4+6)),MIN(DAY(Kalemler!$D137),DAY(EOMONTH((Tahmin!$C$4+6),0))))&lt;=(Tahmin!$C$4+6),DATE(YEAR((Tahmin!$C$4+6)),MONTH((Tahmin!$C$4+6)),MIN(DAY(Kalemler!$D137),DAY(EOMONTH((Tahmin!$C$4+6),0))))&lt;&gt;DATE(YEAR((Tahmin!$C$4+0)),MONTH((Tahmin!$C$4+0)),MIN(DAY(Kalemler!$D137),DAY(EOMONTH((Tahmin!$C$4+0),0)))),DATE(YEAR((Tahmin!$C$4+6)),MONTH((Tahmin!$C$4+6)),MIN(DAY(Kalemler!$D137),DAY(EOMONTH((Tahmin!$C$4+6),0))))&gt;=Kalemler!$D137)),1,0),IF(AND(Kalemler!$D137&gt;=(Tahmin!$C$4+0),Kalemler!$D137&lt;=(Tahmin!$C$4+6)),1,0))))</f>
        <v>0</v>
      </c>
      <c r="C137" s="0" t="n">
        <f aca="false">IF(OR(Kalemler!$A137="",Kalemler!$C137="",Kalemler!$D137=""),0,Kalemler!$C137*IF(Kalemler!$E137="Haftalık",IF(Kalemler!$D137&lt;=(Tahmin!$C$4+13),1,0),IF(Kalemler!$E137="Aylık",IF(OR(AND(DATE(YEAR((Tahmin!$C$4+7)),MONTH((Tahmin!$C$4+7)),MIN(DAY(Kalemler!$D137),DAY(EOMONTH((Tahmin!$C$4+7),0))))&gt;=(Tahmin!$C$4+7),DATE(YEAR((Tahmin!$C$4+7)),MONTH((Tahmin!$C$4+7)),MIN(DAY(Kalemler!$D137),DAY(EOMONTH((Tahmin!$C$4+7),0))))&lt;=(Tahmin!$C$4+13),DATE(YEAR((Tahmin!$C$4+7)),MONTH((Tahmin!$C$4+7)),MIN(DAY(Kalemler!$D137),DAY(EOMONTH((Tahmin!$C$4+7),0))))&gt;=Kalemler!$D137),AND(DATE(YEAR((Tahmin!$C$4+13)),MONTH((Tahmin!$C$4+13)),MIN(DAY(Kalemler!$D137),DAY(EOMONTH((Tahmin!$C$4+13),0))))&gt;=(Tahmin!$C$4+7),DATE(YEAR((Tahmin!$C$4+13)),MONTH((Tahmin!$C$4+13)),MIN(DAY(Kalemler!$D137),DAY(EOMONTH((Tahmin!$C$4+13),0))))&lt;=(Tahmin!$C$4+13),DATE(YEAR((Tahmin!$C$4+13)),MONTH((Tahmin!$C$4+13)),MIN(DAY(Kalemler!$D137),DAY(EOMONTH((Tahmin!$C$4+13),0))))&lt;&gt;DATE(YEAR((Tahmin!$C$4+7)),MONTH((Tahmin!$C$4+7)),MIN(DAY(Kalemler!$D137),DAY(EOMONTH((Tahmin!$C$4+7),0)))),DATE(YEAR((Tahmin!$C$4+13)),MONTH((Tahmin!$C$4+13)),MIN(DAY(Kalemler!$D137),DAY(EOMONTH((Tahmin!$C$4+13),0))))&gt;=Kalemler!$D137)),1,0),IF(AND(Kalemler!$D137&gt;=(Tahmin!$C$4+7),Kalemler!$D137&lt;=(Tahmin!$C$4+13)),1,0))))</f>
        <v>0</v>
      </c>
      <c r="D137" s="0" t="n">
        <f aca="false">IF(OR(Kalemler!$A137="",Kalemler!$C137="",Kalemler!$D137=""),0,Kalemler!$C137*IF(Kalemler!$E137="Haftalık",IF(Kalemler!$D137&lt;=(Tahmin!$C$4+20),1,0),IF(Kalemler!$E137="Aylık",IF(OR(AND(DATE(YEAR((Tahmin!$C$4+14)),MONTH((Tahmin!$C$4+14)),MIN(DAY(Kalemler!$D137),DAY(EOMONTH((Tahmin!$C$4+14),0))))&gt;=(Tahmin!$C$4+14),DATE(YEAR((Tahmin!$C$4+14)),MONTH((Tahmin!$C$4+14)),MIN(DAY(Kalemler!$D137),DAY(EOMONTH((Tahmin!$C$4+14),0))))&lt;=(Tahmin!$C$4+20),DATE(YEAR((Tahmin!$C$4+14)),MONTH((Tahmin!$C$4+14)),MIN(DAY(Kalemler!$D137),DAY(EOMONTH((Tahmin!$C$4+14),0))))&gt;=Kalemler!$D137),AND(DATE(YEAR((Tahmin!$C$4+20)),MONTH((Tahmin!$C$4+20)),MIN(DAY(Kalemler!$D137),DAY(EOMONTH((Tahmin!$C$4+20),0))))&gt;=(Tahmin!$C$4+14),DATE(YEAR((Tahmin!$C$4+20)),MONTH((Tahmin!$C$4+20)),MIN(DAY(Kalemler!$D137),DAY(EOMONTH((Tahmin!$C$4+20),0))))&lt;=(Tahmin!$C$4+20),DATE(YEAR((Tahmin!$C$4+20)),MONTH((Tahmin!$C$4+20)),MIN(DAY(Kalemler!$D137),DAY(EOMONTH((Tahmin!$C$4+20),0))))&lt;&gt;DATE(YEAR((Tahmin!$C$4+14)),MONTH((Tahmin!$C$4+14)),MIN(DAY(Kalemler!$D137),DAY(EOMONTH((Tahmin!$C$4+14),0)))),DATE(YEAR((Tahmin!$C$4+20)),MONTH((Tahmin!$C$4+20)),MIN(DAY(Kalemler!$D137),DAY(EOMONTH((Tahmin!$C$4+20),0))))&gt;=Kalemler!$D137)),1,0),IF(AND(Kalemler!$D137&gt;=(Tahmin!$C$4+14),Kalemler!$D137&lt;=(Tahmin!$C$4+20)),1,0))))</f>
        <v>0</v>
      </c>
      <c r="E137" s="0" t="n">
        <f aca="false">IF(OR(Kalemler!$A137="",Kalemler!$C137="",Kalemler!$D137=""),0,Kalemler!$C137*IF(Kalemler!$E137="Haftalık",IF(Kalemler!$D137&lt;=(Tahmin!$C$4+27),1,0),IF(Kalemler!$E137="Aylık",IF(OR(AND(DATE(YEAR((Tahmin!$C$4+21)),MONTH((Tahmin!$C$4+21)),MIN(DAY(Kalemler!$D137),DAY(EOMONTH((Tahmin!$C$4+21),0))))&gt;=(Tahmin!$C$4+21),DATE(YEAR((Tahmin!$C$4+21)),MONTH((Tahmin!$C$4+21)),MIN(DAY(Kalemler!$D137),DAY(EOMONTH((Tahmin!$C$4+21),0))))&lt;=(Tahmin!$C$4+27),DATE(YEAR((Tahmin!$C$4+21)),MONTH((Tahmin!$C$4+21)),MIN(DAY(Kalemler!$D137),DAY(EOMONTH((Tahmin!$C$4+21),0))))&gt;=Kalemler!$D137),AND(DATE(YEAR((Tahmin!$C$4+27)),MONTH((Tahmin!$C$4+27)),MIN(DAY(Kalemler!$D137),DAY(EOMONTH((Tahmin!$C$4+27),0))))&gt;=(Tahmin!$C$4+21),DATE(YEAR((Tahmin!$C$4+27)),MONTH((Tahmin!$C$4+27)),MIN(DAY(Kalemler!$D137),DAY(EOMONTH((Tahmin!$C$4+27),0))))&lt;=(Tahmin!$C$4+27),DATE(YEAR((Tahmin!$C$4+27)),MONTH((Tahmin!$C$4+27)),MIN(DAY(Kalemler!$D137),DAY(EOMONTH((Tahmin!$C$4+27),0))))&lt;&gt;DATE(YEAR((Tahmin!$C$4+21)),MONTH((Tahmin!$C$4+21)),MIN(DAY(Kalemler!$D137),DAY(EOMONTH((Tahmin!$C$4+21),0)))),DATE(YEAR((Tahmin!$C$4+27)),MONTH((Tahmin!$C$4+27)),MIN(DAY(Kalemler!$D137),DAY(EOMONTH((Tahmin!$C$4+27),0))))&gt;=Kalemler!$D137)),1,0),IF(AND(Kalemler!$D137&gt;=(Tahmin!$C$4+21),Kalemler!$D137&lt;=(Tahmin!$C$4+27)),1,0))))</f>
        <v>0</v>
      </c>
      <c r="F137" s="0" t="n">
        <f aca="false">IF(OR(Kalemler!$A137="",Kalemler!$C137="",Kalemler!$D137=""),0,Kalemler!$C137*IF(Kalemler!$E137="Haftalık",IF(Kalemler!$D137&lt;=(Tahmin!$C$4+34),1,0),IF(Kalemler!$E137="Aylık",IF(OR(AND(DATE(YEAR((Tahmin!$C$4+28)),MONTH((Tahmin!$C$4+28)),MIN(DAY(Kalemler!$D137),DAY(EOMONTH((Tahmin!$C$4+28),0))))&gt;=(Tahmin!$C$4+28),DATE(YEAR((Tahmin!$C$4+28)),MONTH((Tahmin!$C$4+28)),MIN(DAY(Kalemler!$D137),DAY(EOMONTH((Tahmin!$C$4+28),0))))&lt;=(Tahmin!$C$4+34),DATE(YEAR((Tahmin!$C$4+28)),MONTH((Tahmin!$C$4+28)),MIN(DAY(Kalemler!$D137),DAY(EOMONTH((Tahmin!$C$4+28),0))))&gt;=Kalemler!$D137),AND(DATE(YEAR((Tahmin!$C$4+34)),MONTH((Tahmin!$C$4+34)),MIN(DAY(Kalemler!$D137),DAY(EOMONTH((Tahmin!$C$4+34),0))))&gt;=(Tahmin!$C$4+28),DATE(YEAR((Tahmin!$C$4+34)),MONTH((Tahmin!$C$4+34)),MIN(DAY(Kalemler!$D137),DAY(EOMONTH((Tahmin!$C$4+34),0))))&lt;=(Tahmin!$C$4+34),DATE(YEAR((Tahmin!$C$4+34)),MONTH((Tahmin!$C$4+34)),MIN(DAY(Kalemler!$D137),DAY(EOMONTH((Tahmin!$C$4+34),0))))&lt;&gt;DATE(YEAR((Tahmin!$C$4+28)),MONTH((Tahmin!$C$4+28)),MIN(DAY(Kalemler!$D137),DAY(EOMONTH((Tahmin!$C$4+28),0)))),DATE(YEAR((Tahmin!$C$4+34)),MONTH((Tahmin!$C$4+34)),MIN(DAY(Kalemler!$D137),DAY(EOMONTH((Tahmin!$C$4+34),0))))&gt;=Kalemler!$D137)),1,0),IF(AND(Kalemler!$D137&gt;=(Tahmin!$C$4+28),Kalemler!$D137&lt;=(Tahmin!$C$4+34)),1,0))))</f>
        <v>0</v>
      </c>
      <c r="G137" s="0" t="n">
        <f aca="false">IF(OR(Kalemler!$A137="",Kalemler!$C137="",Kalemler!$D137=""),0,Kalemler!$C137*IF(Kalemler!$E137="Haftalık",IF(Kalemler!$D137&lt;=(Tahmin!$C$4+41),1,0),IF(Kalemler!$E137="Aylık",IF(OR(AND(DATE(YEAR((Tahmin!$C$4+35)),MONTH((Tahmin!$C$4+35)),MIN(DAY(Kalemler!$D137),DAY(EOMONTH((Tahmin!$C$4+35),0))))&gt;=(Tahmin!$C$4+35),DATE(YEAR((Tahmin!$C$4+35)),MONTH((Tahmin!$C$4+35)),MIN(DAY(Kalemler!$D137),DAY(EOMONTH((Tahmin!$C$4+35),0))))&lt;=(Tahmin!$C$4+41),DATE(YEAR((Tahmin!$C$4+35)),MONTH((Tahmin!$C$4+35)),MIN(DAY(Kalemler!$D137),DAY(EOMONTH((Tahmin!$C$4+35),0))))&gt;=Kalemler!$D137),AND(DATE(YEAR((Tahmin!$C$4+41)),MONTH((Tahmin!$C$4+41)),MIN(DAY(Kalemler!$D137),DAY(EOMONTH((Tahmin!$C$4+41),0))))&gt;=(Tahmin!$C$4+35),DATE(YEAR((Tahmin!$C$4+41)),MONTH((Tahmin!$C$4+41)),MIN(DAY(Kalemler!$D137),DAY(EOMONTH((Tahmin!$C$4+41),0))))&lt;=(Tahmin!$C$4+41),DATE(YEAR((Tahmin!$C$4+41)),MONTH((Tahmin!$C$4+41)),MIN(DAY(Kalemler!$D137),DAY(EOMONTH((Tahmin!$C$4+41),0))))&lt;&gt;DATE(YEAR((Tahmin!$C$4+35)),MONTH((Tahmin!$C$4+35)),MIN(DAY(Kalemler!$D137),DAY(EOMONTH((Tahmin!$C$4+35),0)))),DATE(YEAR((Tahmin!$C$4+41)),MONTH((Tahmin!$C$4+41)),MIN(DAY(Kalemler!$D137),DAY(EOMONTH((Tahmin!$C$4+41),0))))&gt;=Kalemler!$D137)),1,0),IF(AND(Kalemler!$D137&gt;=(Tahmin!$C$4+35),Kalemler!$D137&lt;=(Tahmin!$C$4+41)),1,0))))</f>
        <v>0</v>
      </c>
      <c r="H137" s="0" t="n">
        <f aca="false">IF(OR(Kalemler!$A137="",Kalemler!$C137="",Kalemler!$D137=""),0,Kalemler!$C137*IF(Kalemler!$E137="Haftalık",IF(Kalemler!$D137&lt;=(Tahmin!$C$4+48),1,0),IF(Kalemler!$E137="Aylık",IF(OR(AND(DATE(YEAR((Tahmin!$C$4+42)),MONTH((Tahmin!$C$4+42)),MIN(DAY(Kalemler!$D137),DAY(EOMONTH((Tahmin!$C$4+42),0))))&gt;=(Tahmin!$C$4+42),DATE(YEAR((Tahmin!$C$4+42)),MONTH((Tahmin!$C$4+42)),MIN(DAY(Kalemler!$D137),DAY(EOMONTH((Tahmin!$C$4+42),0))))&lt;=(Tahmin!$C$4+48),DATE(YEAR((Tahmin!$C$4+42)),MONTH((Tahmin!$C$4+42)),MIN(DAY(Kalemler!$D137),DAY(EOMONTH((Tahmin!$C$4+42),0))))&gt;=Kalemler!$D137),AND(DATE(YEAR((Tahmin!$C$4+48)),MONTH((Tahmin!$C$4+48)),MIN(DAY(Kalemler!$D137),DAY(EOMONTH((Tahmin!$C$4+48),0))))&gt;=(Tahmin!$C$4+42),DATE(YEAR((Tahmin!$C$4+48)),MONTH((Tahmin!$C$4+48)),MIN(DAY(Kalemler!$D137),DAY(EOMONTH((Tahmin!$C$4+48),0))))&lt;=(Tahmin!$C$4+48),DATE(YEAR((Tahmin!$C$4+48)),MONTH((Tahmin!$C$4+48)),MIN(DAY(Kalemler!$D137),DAY(EOMONTH((Tahmin!$C$4+48),0))))&lt;&gt;DATE(YEAR((Tahmin!$C$4+42)),MONTH((Tahmin!$C$4+42)),MIN(DAY(Kalemler!$D137),DAY(EOMONTH((Tahmin!$C$4+42),0)))),DATE(YEAR((Tahmin!$C$4+48)),MONTH((Tahmin!$C$4+48)),MIN(DAY(Kalemler!$D137),DAY(EOMONTH((Tahmin!$C$4+48),0))))&gt;=Kalemler!$D137)),1,0),IF(AND(Kalemler!$D137&gt;=(Tahmin!$C$4+42),Kalemler!$D137&lt;=(Tahmin!$C$4+48)),1,0))))</f>
        <v>0</v>
      </c>
      <c r="I137" s="0" t="n">
        <f aca="false">IF(OR(Kalemler!$A137="",Kalemler!$C137="",Kalemler!$D137=""),0,Kalemler!$C137*IF(Kalemler!$E137="Haftalık",IF(Kalemler!$D137&lt;=(Tahmin!$C$4+55),1,0),IF(Kalemler!$E137="Aylık",IF(OR(AND(DATE(YEAR((Tahmin!$C$4+49)),MONTH((Tahmin!$C$4+49)),MIN(DAY(Kalemler!$D137),DAY(EOMONTH((Tahmin!$C$4+49),0))))&gt;=(Tahmin!$C$4+49),DATE(YEAR((Tahmin!$C$4+49)),MONTH((Tahmin!$C$4+49)),MIN(DAY(Kalemler!$D137),DAY(EOMONTH((Tahmin!$C$4+49),0))))&lt;=(Tahmin!$C$4+55),DATE(YEAR((Tahmin!$C$4+49)),MONTH((Tahmin!$C$4+49)),MIN(DAY(Kalemler!$D137),DAY(EOMONTH((Tahmin!$C$4+49),0))))&gt;=Kalemler!$D137),AND(DATE(YEAR((Tahmin!$C$4+55)),MONTH((Tahmin!$C$4+55)),MIN(DAY(Kalemler!$D137),DAY(EOMONTH((Tahmin!$C$4+55),0))))&gt;=(Tahmin!$C$4+49),DATE(YEAR((Tahmin!$C$4+55)),MONTH((Tahmin!$C$4+55)),MIN(DAY(Kalemler!$D137),DAY(EOMONTH((Tahmin!$C$4+55),0))))&lt;=(Tahmin!$C$4+55),DATE(YEAR((Tahmin!$C$4+55)),MONTH((Tahmin!$C$4+55)),MIN(DAY(Kalemler!$D137),DAY(EOMONTH((Tahmin!$C$4+55),0))))&lt;&gt;DATE(YEAR((Tahmin!$C$4+49)),MONTH((Tahmin!$C$4+49)),MIN(DAY(Kalemler!$D137),DAY(EOMONTH((Tahmin!$C$4+49),0)))),DATE(YEAR((Tahmin!$C$4+55)),MONTH((Tahmin!$C$4+55)),MIN(DAY(Kalemler!$D137),DAY(EOMONTH((Tahmin!$C$4+55),0))))&gt;=Kalemler!$D137)),1,0),IF(AND(Kalemler!$D137&gt;=(Tahmin!$C$4+49),Kalemler!$D137&lt;=(Tahmin!$C$4+55)),1,0))))</f>
        <v>0</v>
      </c>
      <c r="J137" s="0" t="n">
        <f aca="false">IF(OR(Kalemler!$A137="",Kalemler!$C137="",Kalemler!$D137=""),0,Kalemler!$C137*IF(Kalemler!$E137="Haftalık",IF(Kalemler!$D137&lt;=(Tahmin!$C$4+62),1,0),IF(Kalemler!$E137="Aylık",IF(OR(AND(DATE(YEAR((Tahmin!$C$4+56)),MONTH((Tahmin!$C$4+56)),MIN(DAY(Kalemler!$D137),DAY(EOMONTH((Tahmin!$C$4+56),0))))&gt;=(Tahmin!$C$4+56),DATE(YEAR((Tahmin!$C$4+56)),MONTH((Tahmin!$C$4+56)),MIN(DAY(Kalemler!$D137),DAY(EOMONTH((Tahmin!$C$4+56),0))))&lt;=(Tahmin!$C$4+62),DATE(YEAR((Tahmin!$C$4+56)),MONTH((Tahmin!$C$4+56)),MIN(DAY(Kalemler!$D137),DAY(EOMONTH((Tahmin!$C$4+56),0))))&gt;=Kalemler!$D137),AND(DATE(YEAR((Tahmin!$C$4+62)),MONTH((Tahmin!$C$4+62)),MIN(DAY(Kalemler!$D137),DAY(EOMONTH((Tahmin!$C$4+62),0))))&gt;=(Tahmin!$C$4+56),DATE(YEAR((Tahmin!$C$4+62)),MONTH((Tahmin!$C$4+62)),MIN(DAY(Kalemler!$D137),DAY(EOMONTH((Tahmin!$C$4+62),0))))&lt;=(Tahmin!$C$4+62),DATE(YEAR((Tahmin!$C$4+62)),MONTH((Tahmin!$C$4+62)),MIN(DAY(Kalemler!$D137),DAY(EOMONTH((Tahmin!$C$4+62),0))))&lt;&gt;DATE(YEAR((Tahmin!$C$4+56)),MONTH((Tahmin!$C$4+56)),MIN(DAY(Kalemler!$D137),DAY(EOMONTH((Tahmin!$C$4+56),0)))),DATE(YEAR((Tahmin!$C$4+62)),MONTH((Tahmin!$C$4+62)),MIN(DAY(Kalemler!$D137),DAY(EOMONTH((Tahmin!$C$4+62),0))))&gt;=Kalemler!$D137)),1,0),IF(AND(Kalemler!$D137&gt;=(Tahmin!$C$4+56),Kalemler!$D137&lt;=(Tahmin!$C$4+62)),1,0))))</f>
        <v>0</v>
      </c>
      <c r="K137" s="0" t="n">
        <f aca="false">IF(OR(Kalemler!$A137="",Kalemler!$C137="",Kalemler!$D137=""),0,Kalemler!$C137*IF(Kalemler!$E137="Haftalık",IF(Kalemler!$D137&lt;=(Tahmin!$C$4+69),1,0),IF(Kalemler!$E137="Aylık",IF(OR(AND(DATE(YEAR((Tahmin!$C$4+63)),MONTH((Tahmin!$C$4+63)),MIN(DAY(Kalemler!$D137),DAY(EOMONTH((Tahmin!$C$4+63),0))))&gt;=(Tahmin!$C$4+63),DATE(YEAR((Tahmin!$C$4+63)),MONTH((Tahmin!$C$4+63)),MIN(DAY(Kalemler!$D137),DAY(EOMONTH((Tahmin!$C$4+63),0))))&lt;=(Tahmin!$C$4+69),DATE(YEAR((Tahmin!$C$4+63)),MONTH((Tahmin!$C$4+63)),MIN(DAY(Kalemler!$D137),DAY(EOMONTH((Tahmin!$C$4+63),0))))&gt;=Kalemler!$D137),AND(DATE(YEAR((Tahmin!$C$4+69)),MONTH((Tahmin!$C$4+69)),MIN(DAY(Kalemler!$D137),DAY(EOMONTH((Tahmin!$C$4+69),0))))&gt;=(Tahmin!$C$4+63),DATE(YEAR((Tahmin!$C$4+69)),MONTH((Tahmin!$C$4+69)),MIN(DAY(Kalemler!$D137),DAY(EOMONTH((Tahmin!$C$4+69),0))))&lt;=(Tahmin!$C$4+69),DATE(YEAR((Tahmin!$C$4+69)),MONTH((Tahmin!$C$4+69)),MIN(DAY(Kalemler!$D137),DAY(EOMONTH((Tahmin!$C$4+69),0))))&lt;&gt;DATE(YEAR((Tahmin!$C$4+63)),MONTH((Tahmin!$C$4+63)),MIN(DAY(Kalemler!$D137),DAY(EOMONTH((Tahmin!$C$4+63),0)))),DATE(YEAR((Tahmin!$C$4+69)),MONTH((Tahmin!$C$4+69)),MIN(DAY(Kalemler!$D137),DAY(EOMONTH((Tahmin!$C$4+69),0))))&gt;=Kalemler!$D137)),1,0),IF(AND(Kalemler!$D137&gt;=(Tahmin!$C$4+63),Kalemler!$D137&lt;=(Tahmin!$C$4+69)),1,0))))</f>
        <v>0</v>
      </c>
      <c r="L137" s="0" t="n">
        <f aca="false">IF(OR(Kalemler!$A137="",Kalemler!$C137="",Kalemler!$D137=""),0,Kalemler!$C137*IF(Kalemler!$E137="Haftalık",IF(Kalemler!$D137&lt;=(Tahmin!$C$4+76),1,0),IF(Kalemler!$E137="Aylık",IF(OR(AND(DATE(YEAR((Tahmin!$C$4+70)),MONTH((Tahmin!$C$4+70)),MIN(DAY(Kalemler!$D137),DAY(EOMONTH((Tahmin!$C$4+70),0))))&gt;=(Tahmin!$C$4+70),DATE(YEAR((Tahmin!$C$4+70)),MONTH((Tahmin!$C$4+70)),MIN(DAY(Kalemler!$D137),DAY(EOMONTH((Tahmin!$C$4+70),0))))&lt;=(Tahmin!$C$4+76),DATE(YEAR((Tahmin!$C$4+70)),MONTH((Tahmin!$C$4+70)),MIN(DAY(Kalemler!$D137),DAY(EOMONTH((Tahmin!$C$4+70),0))))&gt;=Kalemler!$D137),AND(DATE(YEAR((Tahmin!$C$4+76)),MONTH((Tahmin!$C$4+76)),MIN(DAY(Kalemler!$D137),DAY(EOMONTH((Tahmin!$C$4+76),0))))&gt;=(Tahmin!$C$4+70),DATE(YEAR((Tahmin!$C$4+76)),MONTH((Tahmin!$C$4+76)),MIN(DAY(Kalemler!$D137),DAY(EOMONTH((Tahmin!$C$4+76),0))))&lt;=(Tahmin!$C$4+76),DATE(YEAR((Tahmin!$C$4+76)),MONTH((Tahmin!$C$4+76)),MIN(DAY(Kalemler!$D137),DAY(EOMONTH((Tahmin!$C$4+76),0))))&lt;&gt;DATE(YEAR((Tahmin!$C$4+70)),MONTH((Tahmin!$C$4+70)),MIN(DAY(Kalemler!$D137),DAY(EOMONTH((Tahmin!$C$4+70),0)))),DATE(YEAR((Tahmin!$C$4+76)),MONTH((Tahmin!$C$4+76)),MIN(DAY(Kalemler!$D137),DAY(EOMONTH((Tahmin!$C$4+76),0))))&gt;=Kalemler!$D137)),1,0),IF(AND(Kalemler!$D137&gt;=(Tahmin!$C$4+70),Kalemler!$D137&lt;=(Tahmin!$C$4+76)),1,0))))</f>
        <v>0</v>
      </c>
      <c r="M137" s="0" t="n">
        <f aca="false">IF(OR(Kalemler!$A137="",Kalemler!$C137="",Kalemler!$D137=""),0,Kalemler!$C137*IF(Kalemler!$E137="Haftalık",IF(Kalemler!$D137&lt;=(Tahmin!$C$4+83),1,0),IF(Kalemler!$E137="Aylık",IF(OR(AND(DATE(YEAR((Tahmin!$C$4+77)),MONTH((Tahmin!$C$4+77)),MIN(DAY(Kalemler!$D137),DAY(EOMONTH((Tahmin!$C$4+77),0))))&gt;=(Tahmin!$C$4+77),DATE(YEAR((Tahmin!$C$4+77)),MONTH((Tahmin!$C$4+77)),MIN(DAY(Kalemler!$D137),DAY(EOMONTH((Tahmin!$C$4+77),0))))&lt;=(Tahmin!$C$4+83),DATE(YEAR((Tahmin!$C$4+77)),MONTH((Tahmin!$C$4+77)),MIN(DAY(Kalemler!$D137),DAY(EOMONTH((Tahmin!$C$4+77),0))))&gt;=Kalemler!$D137),AND(DATE(YEAR((Tahmin!$C$4+83)),MONTH((Tahmin!$C$4+83)),MIN(DAY(Kalemler!$D137),DAY(EOMONTH((Tahmin!$C$4+83),0))))&gt;=(Tahmin!$C$4+77),DATE(YEAR((Tahmin!$C$4+83)),MONTH((Tahmin!$C$4+83)),MIN(DAY(Kalemler!$D137),DAY(EOMONTH((Tahmin!$C$4+83),0))))&lt;=(Tahmin!$C$4+83),DATE(YEAR((Tahmin!$C$4+83)),MONTH((Tahmin!$C$4+83)),MIN(DAY(Kalemler!$D137),DAY(EOMONTH((Tahmin!$C$4+83),0))))&lt;&gt;DATE(YEAR((Tahmin!$C$4+77)),MONTH((Tahmin!$C$4+77)),MIN(DAY(Kalemler!$D137),DAY(EOMONTH((Tahmin!$C$4+77),0)))),DATE(YEAR((Tahmin!$C$4+83)),MONTH((Tahmin!$C$4+83)),MIN(DAY(Kalemler!$D137),DAY(EOMONTH((Tahmin!$C$4+83),0))))&gt;=Kalemler!$D137)),1,0),IF(AND(Kalemler!$D137&gt;=(Tahmin!$C$4+77),Kalemler!$D137&lt;=(Tahmin!$C$4+83)),1,0))))</f>
        <v>0</v>
      </c>
      <c r="N137" s="0" t="n">
        <f aca="false">IF(OR(Kalemler!$A137="",Kalemler!$C137="",Kalemler!$D137=""),0,Kalemler!$C137*IF(Kalemler!$E137="Haftalık",IF(Kalemler!$D137&lt;=(Tahmin!$C$4+90),1,0),IF(Kalemler!$E137="Aylık",IF(OR(AND(DATE(YEAR((Tahmin!$C$4+84)),MONTH((Tahmin!$C$4+84)),MIN(DAY(Kalemler!$D137),DAY(EOMONTH((Tahmin!$C$4+84),0))))&gt;=(Tahmin!$C$4+84),DATE(YEAR((Tahmin!$C$4+84)),MONTH((Tahmin!$C$4+84)),MIN(DAY(Kalemler!$D137),DAY(EOMONTH((Tahmin!$C$4+84),0))))&lt;=(Tahmin!$C$4+90),DATE(YEAR((Tahmin!$C$4+84)),MONTH((Tahmin!$C$4+84)),MIN(DAY(Kalemler!$D137),DAY(EOMONTH((Tahmin!$C$4+84),0))))&gt;=Kalemler!$D137),AND(DATE(YEAR((Tahmin!$C$4+90)),MONTH((Tahmin!$C$4+90)),MIN(DAY(Kalemler!$D137),DAY(EOMONTH((Tahmin!$C$4+90),0))))&gt;=(Tahmin!$C$4+84),DATE(YEAR((Tahmin!$C$4+90)),MONTH((Tahmin!$C$4+90)),MIN(DAY(Kalemler!$D137),DAY(EOMONTH((Tahmin!$C$4+90),0))))&lt;=(Tahmin!$C$4+90),DATE(YEAR((Tahmin!$C$4+90)),MONTH((Tahmin!$C$4+90)),MIN(DAY(Kalemler!$D137),DAY(EOMONTH((Tahmin!$C$4+90),0))))&lt;&gt;DATE(YEAR((Tahmin!$C$4+84)),MONTH((Tahmin!$C$4+84)),MIN(DAY(Kalemler!$D137),DAY(EOMONTH((Tahmin!$C$4+84),0)))),DATE(YEAR((Tahmin!$C$4+90)),MONTH((Tahmin!$C$4+90)),MIN(DAY(Kalemler!$D137),DAY(EOMONTH((Tahmin!$C$4+90),0))))&gt;=Kalemler!$D137)),1,0),IF(AND(Kalemler!$D137&gt;=(Tahmin!$C$4+84),Kalemler!$D137&lt;=(Tahmin!$C$4+90)),1,0))))</f>
        <v>0</v>
      </c>
    </row>
    <row r="138" customFormat="false" ht="15" hidden="false" customHeight="false" outlineLevel="0" collapsed="false">
      <c r="A138" s="0" t="str">
        <f aca="false">IF(Kalemler!A138="","",Kalemler!A138)</f>
        <v/>
      </c>
      <c r="B138" s="0" t="n">
        <f aca="false">IF(OR(Kalemler!$A138="",Kalemler!$C138="",Kalemler!$D138=""),0,Kalemler!$C138*IF(Kalemler!$E138="Haftalık",IF(Kalemler!$D138&lt;=(Tahmin!$C$4+6),1,0),IF(Kalemler!$E138="Aylık",IF(OR(AND(DATE(YEAR((Tahmin!$C$4+0)),MONTH((Tahmin!$C$4+0)),MIN(DAY(Kalemler!$D138),DAY(EOMONTH((Tahmin!$C$4+0),0))))&gt;=(Tahmin!$C$4+0),DATE(YEAR((Tahmin!$C$4+0)),MONTH((Tahmin!$C$4+0)),MIN(DAY(Kalemler!$D138),DAY(EOMONTH((Tahmin!$C$4+0),0))))&lt;=(Tahmin!$C$4+6),DATE(YEAR((Tahmin!$C$4+0)),MONTH((Tahmin!$C$4+0)),MIN(DAY(Kalemler!$D138),DAY(EOMONTH((Tahmin!$C$4+0),0))))&gt;=Kalemler!$D138),AND(DATE(YEAR((Tahmin!$C$4+6)),MONTH((Tahmin!$C$4+6)),MIN(DAY(Kalemler!$D138),DAY(EOMONTH((Tahmin!$C$4+6),0))))&gt;=(Tahmin!$C$4+0),DATE(YEAR((Tahmin!$C$4+6)),MONTH((Tahmin!$C$4+6)),MIN(DAY(Kalemler!$D138),DAY(EOMONTH((Tahmin!$C$4+6),0))))&lt;=(Tahmin!$C$4+6),DATE(YEAR((Tahmin!$C$4+6)),MONTH((Tahmin!$C$4+6)),MIN(DAY(Kalemler!$D138),DAY(EOMONTH((Tahmin!$C$4+6),0))))&lt;&gt;DATE(YEAR((Tahmin!$C$4+0)),MONTH((Tahmin!$C$4+0)),MIN(DAY(Kalemler!$D138),DAY(EOMONTH((Tahmin!$C$4+0),0)))),DATE(YEAR((Tahmin!$C$4+6)),MONTH((Tahmin!$C$4+6)),MIN(DAY(Kalemler!$D138),DAY(EOMONTH((Tahmin!$C$4+6),0))))&gt;=Kalemler!$D138)),1,0),IF(AND(Kalemler!$D138&gt;=(Tahmin!$C$4+0),Kalemler!$D138&lt;=(Tahmin!$C$4+6)),1,0))))</f>
        <v>0</v>
      </c>
      <c r="C138" s="0" t="n">
        <f aca="false">IF(OR(Kalemler!$A138="",Kalemler!$C138="",Kalemler!$D138=""),0,Kalemler!$C138*IF(Kalemler!$E138="Haftalık",IF(Kalemler!$D138&lt;=(Tahmin!$C$4+13),1,0),IF(Kalemler!$E138="Aylık",IF(OR(AND(DATE(YEAR((Tahmin!$C$4+7)),MONTH((Tahmin!$C$4+7)),MIN(DAY(Kalemler!$D138),DAY(EOMONTH((Tahmin!$C$4+7),0))))&gt;=(Tahmin!$C$4+7),DATE(YEAR((Tahmin!$C$4+7)),MONTH((Tahmin!$C$4+7)),MIN(DAY(Kalemler!$D138),DAY(EOMONTH((Tahmin!$C$4+7),0))))&lt;=(Tahmin!$C$4+13),DATE(YEAR((Tahmin!$C$4+7)),MONTH((Tahmin!$C$4+7)),MIN(DAY(Kalemler!$D138),DAY(EOMONTH((Tahmin!$C$4+7),0))))&gt;=Kalemler!$D138),AND(DATE(YEAR((Tahmin!$C$4+13)),MONTH((Tahmin!$C$4+13)),MIN(DAY(Kalemler!$D138),DAY(EOMONTH((Tahmin!$C$4+13),0))))&gt;=(Tahmin!$C$4+7),DATE(YEAR((Tahmin!$C$4+13)),MONTH((Tahmin!$C$4+13)),MIN(DAY(Kalemler!$D138),DAY(EOMONTH((Tahmin!$C$4+13),0))))&lt;=(Tahmin!$C$4+13),DATE(YEAR((Tahmin!$C$4+13)),MONTH((Tahmin!$C$4+13)),MIN(DAY(Kalemler!$D138),DAY(EOMONTH((Tahmin!$C$4+13),0))))&lt;&gt;DATE(YEAR((Tahmin!$C$4+7)),MONTH((Tahmin!$C$4+7)),MIN(DAY(Kalemler!$D138),DAY(EOMONTH((Tahmin!$C$4+7),0)))),DATE(YEAR((Tahmin!$C$4+13)),MONTH((Tahmin!$C$4+13)),MIN(DAY(Kalemler!$D138),DAY(EOMONTH((Tahmin!$C$4+13),0))))&gt;=Kalemler!$D138)),1,0),IF(AND(Kalemler!$D138&gt;=(Tahmin!$C$4+7),Kalemler!$D138&lt;=(Tahmin!$C$4+13)),1,0))))</f>
        <v>0</v>
      </c>
      <c r="D138" s="0" t="n">
        <f aca="false">IF(OR(Kalemler!$A138="",Kalemler!$C138="",Kalemler!$D138=""),0,Kalemler!$C138*IF(Kalemler!$E138="Haftalık",IF(Kalemler!$D138&lt;=(Tahmin!$C$4+20),1,0),IF(Kalemler!$E138="Aylık",IF(OR(AND(DATE(YEAR((Tahmin!$C$4+14)),MONTH((Tahmin!$C$4+14)),MIN(DAY(Kalemler!$D138),DAY(EOMONTH((Tahmin!$C$4+14),0))))&gt;=(Tahmin!$C$4+14),DATE(YEAR((Tahmin!$C$4+14)),MONTH((Tahmin!$C$4+14)),MIN(DAY(Kalemler!$D138),DAY(EOMONTH((Tahmin!$C$4+14),0))))&lt;=(Tahmin!$C$4+20),DATE(YEAR((Tahmin!$C$4+14)),MONTH((Tahmin!$C$4+14)),MIN(DAY(Kalemler!$D138),DAY(EOMONTH((Tahmin!$C$4+14),0))))&gt;=Kalemler!$D138),AND(DATE(YEAR((Tahmin!$C$4+20)),MONTH((Tahmin!$C$4+20)),MIN(DAY(Kalemler!$D138),DAY(EOMONTH((Tahmin!$C$4+20),0))))&gt;=(Tahmin!$C$4+14),DATE(YEAR((Tahmin!$C$4+20)),MONTH((Tahmin!$C$4+20)),MIN(DAY(Kalemler!$D138),DAY(EOMONTH((Tahmin!$C$4+20),0))))&lt;=(Tahmin!$C$4+20),DATE(YEAR((Tahmin!$C$4+20)),MONTH((Tahmin!$C$4+20)),MIN(DAY(Kalemler!$D138),DAY(EOMONTH((Tahmin!$C$4+20),0))))&lt;&gt;DATE(YEAR((Tahmin!$C$4+14)),MONTH((Tahmin!$C$4+14)),MIN(DAY(Kalemler!$D138),DAY(EOMONTH((Tahmin!$C$4+14),0)))),DATE(YEAR((Tahmin!$C$4+20)),MONTH((Tahmin!$C$4+20)),MIN(DAY(Kalemler!$D138),DAY(EOMONTH((Tahmin!$C$4+20),0))))&gt;=Kalemler!$D138)),1,0),IF(AND(Kalemler!$D138&gt;=(Tahmin!$C$4+14),Kalemler!$D138&lt;=(Tahmin!$C$4+20)),1,0))))</f>
        <v>0</v>
      </c>
      <c r="E138" s="0" t="n">
        <f aca="false">IF(OR(Kalemler!$A138="",Kalemler!$C138="",Kalemler!$D138=""),0,Kalemler!$C138*IF(Kalemler!$E138="Haftalık",IF(Kalemler!$D138&lt;=(Tahmin!$C$4+27),1,0),IF(Kalemler!$E138="Aylık",IF(OR(AND(DATE(YEAR((Tahmin!$C$4+21)),MONTH((Tahmin!$C$4+21)),MIN(DAY(Kalemler!$D138),DAY(EOMONTH((Tahmin!$C$4+21),0))))&gt;=(Tahmin!$C$4+21),DATE(YEAR((Tahmin!$C$4+21)),MONTH((Tahmin!$C$4+21)),MIN(DAY(Kalemler!$D138),DAY(EOMONTH((Tahmin!$C$4+21),0))))&lt;=(Tahmin!$C$4+27),DATE(YEAR((Tahmin!$C$4+21)),MONTH((Tahmin!$C$4+21)),MIN(DAY(Kalemler!$D138),DAY(EOMONTH((Tahmin!$C$4+21),0))))&gt;=Kalemler!$D138),AND(DATE(YEAR((Tahmin!$C$4+27)),MONTH((Tahmin!$C$4+27)),MIN(DAY(Kalemler!$D138),DAY(EOMONTH((Tahmin!$C$4+27),0))))&gt;=(Tahmin!$C$4+21),DATE(YEAR((Tahmin!$C$4+27)),MONTH((Tahmin!$C$4+27)),MIN(DAY(Kalemler!$D138),DAY(EOMONTH((Tahmin!$C$4+27),0))))&lt;=(Tahmin!$C$4+27),DATE(YEAR((Tahmin!$C$4+27)),MONTH((Tahmin!$C$4+27)),MIN(DAY(Kalemler!$D138),DAY(EOMONTH((Tahmin!$C$4+27),0))))&lt;&gt;DATE(YEAR((Tahmin!$C$4+21)),MONTH((Tahmin!$C$4+21)),MIN(DAY(Kalemler!$D138),DAY(EOMONTH((Tahmin!$C$4+21),0)))),DATE(YEAR((Tahmin!$C$4+27)),MONTH((Tahmin!$C$4+27)),MIN(DAY(Kalemler!$D138),DAY(EOMONTH((Tahmin!$C$4+27),0))))&gt;=Kalemler!$D138)),1,0),IF(AND(Kalemler!$D138&gt;=(Tahmin!$C$4+21),Kalemler!$D138&lt;=(Tahmin!$C$4+27)),1,0))))</f>
        <v>0</v>
      </c>
      <c r="F138" s="0" t="n">
        <f aca="false">IF(OR(Kalemler!$A138="",Kalemler!$C138="",Kalemler!$D138=""),0,Kalemler!$C138*IF(Kalemler!$E138="Haftalık",IF(Kalemler!$D138&lt;=(Tahmin!$C$4+34),1,0),IF(Kalemler!$E138="Aylık",IF(OR(AND(DATE(YEAR((Tahmin!$C$4+28)),MONTH((Tahmin!$C$4+28)),MIN(DAY(Kalemler!$D138),DAY(EOMONTH((Tahmin!$C$4+28),0))))&gt;=(Tahmin!$C$4+28),DATE(YEAR((Tahmin!$C$4+28)),MONTH((Tahmin!$C$4+28)),MIN(DAY(Kalemler!$D138),DAY(EOMONTH((Tahmin!$C$4+28),0))))&lt;=(Tahmin!$C$4+34),DATE(YEAR((Tahmin!$C$4+28)),MONTH((Tahmin!$C$4+28)),MIN(DAY(Kalemler!$D138),DAY(EOMONTH((Tahmin!$C$4+28),0))))&gt;=Kalemler!$D138),AND(DATE(YEAR((Tahmin!$C$4+34)),MONTH((Tahmin!$C$4+34)),MIN(DAY(Kalemler!$D138),DAY(EOMONTH((Tahmin!$C$4+34),0))))&gt;=(Tahmin!$C$4+28),DATE(YEAR((Tahmin!$C$4+34)),MONTH((Tahmin!$C$4+34)),MIN(DAY(Kalemler!$D138),DAY(EOMONTH((Tahmin!$C$4+34),0))))&lt;=(Tahmin!$C$4+34),DATE(YEAR((Tahmin!$C$4+34)),MONTH((Tahmin!$C$4+34)),MIN(DAY(Kalemler!$D138),DAY(EOMONTH((Tahmin!$C$4+34),0))))&lt;&gt;DATE(YEAR((Tahmin!$C$4+28)),MONTH((Tahmin!$C$4+28)),MIN(DAY(Kalemler!$D138),DAY(EOMONTH((Tahmin!$C$4+28),0)))),DATE(YEAR((Tahmin!$C$4+34)),MONTH((Tahmin!$C$4+34)),MIN(DAY(Kalemler!$D138),DAY(EOMONTH((Tahmin!$C$4+34),0))))&gt;=Kalemler!$D138)),1,0),IF(AND(Kalemler!$D138&gt;=(Tahmin!$C$4+28),Kalemler!$D138&lt;=(Tahmin!$C$4+34)),1,0))))</f>
        <v>0</v>
      </c>
      <c r="G138" s="0" t="n">
        <f aca="false">IF(OR(Kalemler!$A138="",Kalemler!$C138="",Kalemler!$D138=""),0,Kalemler!$C138*IF(Kalemler!$E138="Haftalık",IF(Kalemler!$D138&lt;=(Tahmin!$C$4+41),1,0),IF(Kalemler!$E138="Aylık",IF(OR(AND(DATE(YEAR((Tahmin!$C$4+35)),MONTH((Tahmin!$C$4+35)),MIN(DAY(Kalemler!$D138),DAY(EOMONTH((Tahmin!$C$4+35),0))))&gt;=(Tahmin!$C$4+35),DATE(YEAR((Tahmin!$C$4+35)),MONTH((Tahmin!$C$4+35)),MIN(DAY(Kalemler!$D138),DAY(EOMONTH((Tahmin!$C$4+35),0))))&lt;=(Tahmin!$C$4+41),DATE(YEAR((Tahmin!$C$4+35)),MONTH((Tahmin!$C$4+35)),MIN(DAY(Kalemler!$D138),DAY(EOMONTH((Tahmin!$C$4+35),0))))&gt;=Kalemler!$D138),AND(DATE(YEAR((Tahmin!$C$4+41)),MONTH((Tahmin!$C$4+41)),MIN(DAY(Kalemler!$D138),DAY(EOMONTH((Tahmin!$C$4+41),0))))&gt;=(Tahmin!$C$4+35),DATE(YEAR((Tahmin!$C$4+41)),MONTH((Tahmin!$C$4+41)),MIN(DAY(Kalemler!$D138),DAY(EOMONTH((Tahmin!$C$4+41),0))))&lt;=(Tahmin!$C$4+41),DATE(YEAR((Tahmin!$C$4+41)),MONTH((Tahmin!$C$4+41)),MIN(DAY(Kalemler!$D138),DAY(EOMONTH((Tahmin!$C$4+41),0))))&lt;&gt;DATE(YEAR((Tahmin!$C$4+35)),MONTH((Tahmin!$C$4+35)),MIN(DAY(Kalemler!$D138),DAY(EOMONTH((Tahmin!$C$4+35),0)))),DATE(YEAR((Tahmin!$C$4+41)),MONTH((Tahmin!$C$4+41)),MIN(DAY(Kalemler!$D138),DAY(EOMONTH((Tahmin!$C$4+41),0))))&gt;=Kalemler!$D138)),1,0),IF(AND(Kalemler!$D138&gt;=(Tahmin!$C$4+35),Kalemler!$D138&lt;=(Tahmin!$C$4+41)),1,0))))</f>
        <v>0</v>
      </c>
      <c r="H138" s="0" t="n">
        <f aca="false">IF(OR(Kalemler!$A138="",Kalemler!$C138="",Kalemler!$D138=""),0,Kalemler!$C138*IF(Kalemler!$E138="Haftalık",IF(Kalemler!$D138&lt;=(Tahmin!$C$4+48),1,0),IF(Kalemler!$E138="Aylık",IF(OR(AND(DATE(YEAR((Tahmin!$C$4+42)),MONTH((Tahmin!$C$4+42)),MIN(DAY(Kalemler!$D138),DAY(EOMONTH((Tahmin!$C$4+42),0))))&gt;=(Tahmin!$C$4+42),DATE(YEAR((Tahmin!$C$4+42)),MONTH((Tahmin!$C$4+42)),MIN(DAY(Kalemler!$D138),DAY(EOMONTH((Tahmin!$C$4+42),0))))&lt;=(Tahmin!$C$4+48),DATE(YEAR((Tahmin!$C$4+42)),MONTH((Tahmin!$C$4+42)),MIN(DAY(Kalemler!$D138),DAY(EOMONTH((Tahmin!$C$4+42),0))))&gt;=Kalemler!$D138),AND(DATE(YEAR((Tahmin!$C$4+48)),MONTH((Tahmin!$C$4+48)),MIN(DAY(Kalemler!$D138),DAY(EOMONTH((Tahmin!$C$4+48),0))))&gt;=(Tahmin!$C$4+42),DATE(YEAR((Tahmin!$C$4+48)),MONTH((Tahmin!$C$4+48)),MIN(DAY(Kalemler!$D138),DAY(EOMONTH((Tahmin!$C$4+48),0))))&lt;=(Tahmin!$C$4+48),DATE(YEAR((Tahmin!$C$4+48)),MONTH((Tahmin!$C$4+48)),MIN(DAY(Kalemler!$D138),DAY(EOMONTH((Tahmin!$C$4+48),0))))&lt;&gt;DATE(YEAR((Tahmin!$C$4+42)),MONTH((Tahmin!$C$4+42)),MIN(DAY(Kalemler!$D138),DAY(EOMONTH((Tahmin!$C$4+42),0)))),DATE(YEAR((Tahmin!$C$4+48)),MONTH((Tahmin!$C$4+48)),MIN(DAY(Kalemler!$D138),DAY(EOMONTH((Tahmin!$C$4+48),0))))&gt;=Kalemler!$D138)),1,0),IF(AND(Kalemler!$D138&gt;=(Tahmin!$C$4+42),Kalemler!$D138&lt;=(Tahmin!$C$4+48)),1,0))))</f>
        <v>0</v>
      </c>
      <c r="I138" s="0" t="n">
        <f aca="false">IF(OR(Kalemler!$A138="",Kalemler!$C138="",Kalemler!$D138=""),0,Kalemler!$C138*IF(Kalemler!$E138="Haftalık",IF(Kalemler!$D138&lt;=(Tahmin!$C$4+55),1,0),IF(Kalemler!$E138="Aylık",IF(OR(AND(DATE(YEAR((Tahmin!$C$4+49)),MONTH((Tahmin!$C$4+49)),MIN(DAY(Kalemler!$D138),DAY(EOMONTH((Tahmin!$C$4+49),0))))&gt;=(Tahmin!$C$4+49),DATE(YEAR((Tahmin!$C$4+49)),MONTH((Tahmin!$C$4+49)),MIN(DAY(Kalemler!$D138),DAY(EOMONTH((Tahmin!$C$4+49),0))))&lt;=(Tahmin!$C$4+55),DATE(YEAR((Tahmin!$C$4+49)),MONTH((Tahmin!$C$4+49)),MIN(DAY(Kalemler!$D138),DAY(EOMONTH((Tahmin!$C$4+49),0))))&gt;=Kalemler!$D138),AND(DATE(YEAR((Tahmin!$C$4+55)),MONTH((Tahmin!$C$4+55)),MIN(DAY(Kalemler!$D138),DAY(EOMONTH((Tahmin!$C$4+55),0))))&gt;=(Tahmin!$C$4+49),DATE(YEAR((Tahmin!$C$4+55)),MONTH((Tahmin!$C$4+55)),MIN(DAY(Kalemler!$D138),DAY(EOMONTH((Tahmin!$C$4+55),0))))&lt;=(Tahmin!$C$4+55),DATE(YEAR((Tahmin!$C$4+55)),MONTH((Tahmin!$C$4+55)),MIN(DAY(Kalemler!$D138),DAY(EOMONTH((Tahmin!$C$4+55),0))))&lt;&gt;DATE(YEAR((Tahmin!$C$4+49)),MONTH((Tahmin!$C$4+49)),MIN(DAY(Kalemler!$D138),DAY(EOMONTH((Tahmin!$C$4+49),0)))),DATE(YEAR((Tahmin!$C$4+55)),MONTH((Tahmin!$C$4+55)),MIN(DAY(Kalemler!$D138),DAY(EOMONTH((Tahmin!$C$4+55),0))))&gt;=Kalemler!$D138)),1,0),IF(AND(Kalemler!$D138&gt;=(Tahmin!$C$4+49),Kalemler!$D138&lt;=(Tahmin!$C$4+55)),1,0))))</f>
        <v>0</v>
      </c>
      <c r="J138" s="0" t="n">
        <f aca="false">IF(OR(Kalemler!$A138="",Kalemler!$C138="",Kalemler!$D138=""),0,Kalemler!$C138*IF(Kalemler!$E138="Haftalık",IF(Kalemler!$D138&lt;=(Tahmin!$C$4+62),1,0),IF(Kalemler!$E138="Aylık",IF(OR(AND(DATE(YEAR((Tahmin!$C$4+56)),MONTH((Tahmin!$C$4+56)),MIN(DAY(Kalemler!$D138),DAY(EOMONTH((Tahmin!$C$4+56),0))))&gt;=(Tahmin!$C$4+56),DATE(YEAR((Tahmin!$C$4+56)),MONTH((Tahmin!$C$4+56)),MIN(DAY(Kalemler!$D138),DAY(EOMONTH((Tahmin!$C$4+56),0))))&lt;=(Tahmin!$C$4+62),DATE(YEAR((Tahmin!$C$4+56)),MONTH((Tahmin!$C$4+56)),MIN(DAY(Kalemler!$D138),DAY(EOMONTH((Tahmin!$C$4+56),0))))&gt;=Kalemler!$D138),AND(DATE(YEAR((Tahmin!$C$4+62)),MONTH((Tahmin!$C$4+62)),MIN(DAY(Kalemler!$D138),DAY(EOMONTH((Tahmin!$C$4+62),0))))&gt;=(Tahmin!$C$4+56),DATE(YEAR((Tahmin!$C$4+62)),MONTH((Tahmin!$C$4+62)),MIN(DAY(Kalemler!$D138),DAY(EOMONTH((Tahmin!$C$4+62),0))))&lt;=(Tahmin!$C$4+62),DATE(YEAR((Tahmin!$C$4+62)),MONTH((Tahmin!$C$4+62)),MIN(DAY(Kalemler!$D138),DAY(EOMONTH((Tahmin!$C$4+62),0))))&lt;&gt;DATE(YEAR((Tahmin!$C$4+56)),MONTH((Tahmin!$C$4+56)),MIN(DAY(Kalemler!$D138),DAY(EOMONTH((Tahmin!$C$4+56),0)))),DATE(YEAR((Tahmin!$C$4+62)),MONTH((Tahmin!$C$4+62)),MIN(DAY(Kalemler!$D138),DAY(EOMONTH((Tahmin!$C$4+62),0))))&gt;=Kalemler!$D138)),1,0),IF(AND(Kalemler!$D138&gt;=(Tahmin!$C$4+56),Kalemler!$D138&lt;=(Tahmin!$C$4+62)),1,0))))</f>
        <v>0</v>
      </c>
      <c r="K138" s="0" t="n">
        <f aca="false">IF(OR(Kalemler!$A138="",Kalemler!$C138="",Kalemler!$D138=""),0,Kalemler!$C138*IF(Kalemler!$E138="Haftalık",IF(Kalemler!$D138&lt;=(Tahmin!$C$4+69),1,0),IF(Kalemler!$E138="Aylık",IF(OR(AND(DATE(YEAR((Tahmin!$C$4+63)),MONTH((Tahmin!$C$4+63)),MIN(DAY(Kalemler!$D138),DAY(EOMONTH((Tahmin!$C$4+63),0))))&gt;=(Tahmin!$C$4+63),DATE(YEAR((Tahmin!$C$4+63)),MONTH((Tahmin!$C$4+63)),MIN(DAY(Kalemler!$D138),DAY(EOMONTH((Tahmin!$C$4+63),0))))&lt;=(Tahmin!$C$4+69),DATE(YEAR((Tahmin!$C$4+63)),MONTH((Tahmin!$C$4+63)),MIN(DAY(Kalemler!$D138),DAY(EOMONTH((Tahmin!$C$4+63),0))))&gt;=Kalemler!$D138),AND(DATE(YEAR((Tahmin!$C$4+69)),MONTH((Tahmin!$C$4+69)),MIN(DAY(Kalemler!$D138),DAY(EOMONTH((Tahmin!$C$4+69),0))))&gt;=(Tahmin!$C$4+63),DATE(YEAR((Tahmin!$C$4+69)),MONTH((Tahmin!$C$4+69)),MIN(DAY(Kalemler!$D138),DAY(EOMONTH((Tahmin!$C$4+69),0))))&lt;=(Tahmin!$C$4+69),DATE(YEAR((Tahmin!$C$4+69)),MONTH((Tahmin!$C$4+69)),MIN(DAY(Kalemler!$D138),DAY(EOMONTH((Tahmin!$C$4+69),0))))&lt;&gt;DATE(YEAR((Tahmin!$C$4+63)),MONTH((Tahmin!$C$4+63)),MIN(DAY(Kalemler!$D138),DAY(EOMONTH((Tahmin!$C$4+63),0)))),DATE(YEAR((Tahmin!$C$4+69)),MONTH((Tahmin!$C$4+69)),MIN(DAY(Kalemler!$D138),DAY(EOMONTH((Tahmin!$C$4+69),0))))&gt;=Kalemler!$D138)),1,0),IF(AND(Kalemler!$D138&gt;=(Tahmin!$C$4+63),Kalemler!$D138&lt;=(Tahmin!$C$4+69)),1,0))))</f>
        <v>0</v>
      </c>
      <c r="L138" s="0" t="n">
        <f aca="false">IF(OR(Kalemler!$A138="",Kalemler!$C138="",Kalemler!$D138=""),0,Kalemler!$C138*IF(Kalemler!$E138="Haftalık",IF(Kalemler!$D138&lt;=(Tahmin!$C$4+76),1,0),IF(Kalemler!$E138="Aylık",IF(OR(AND(DATE(YEAR((Tahmin!$C$4+70)),MONTH((Tahmin!$C$4+70)),MIN(DAY(Kalemler!$D138),DAY(EOMONTH((Tahmin!$C$4+70),0))))&gt;=(Tahmin!$C$4+70),DATE(YEAR((Tahmin!$C$4+70)),MONTH((Tahmin!$C$4+70)),MIN(DAY(Kalemler!$D138),DAY(EOMONTH((Tahmin!$C$4+70),0))))&lt;=(Tahmin!$C$4+76),DATE(YEAR((Tahmin!$C$4+70)),MONTH((Tahmin!$C$4+70)),MIN(DAY(Kalemler!$D138),DAY(EOMONTH((Tahmin!$C$4+70),0))))&gt;=Kalemler!$D138),AND(DATE(YEAR((Tahmin!$C$4+76)),MONTH((Tahmin!$C$4+76)),MIN(DAY(Kalemler!$D138),DAY(EOMONTH((Tahmin!$C$4+76),0))))&gt;=(Tahmin!$C$4+70),DATE(YEAR((Tahmin!$C$4+76)),MONTH((Tahmin!$C$4+76)),MIN(DAY(Kalemler!$D138),DAY(EOMONTH((Tahmin!$C$4+76),0))))&lt;=(Tahmin!$C$4+76),DATE(YEAR((Tahmin!$C$4+76)),MONTH((Tahmin!$C$4+76)),MIN(DAY(Kalemler!$D138),DAY(EOMONTH((Tahmin!$C$4+76),0))))&lt;&gt;DATE(YEAR((Tahmin!$C$4+70)),MONTH((Tahmin!$C$4+70)),MIN(DAY(Kalemler!$D138),DAY(EOMONTH((Tahmin!$C$4+70),0)))),DATE(YEAR((Tahmin!$C$4+76)),MONTH((Tahmin!$C$4+76)),MIN(DAY(Kalemler!$D138),DAY(EOMONTH((Tahmin!$C$4+76),0))))&gt;=Kalemler!$D138)),1,0),IF(AND(Kalemler!$D138&gt;=(Tahmin!$C$4+70),Kalemler!$D138&lt;=(Tahmin!$C$4+76)),1,0))))</f>
        <v>0</v>
      </c>
      <c r="M138" s="0" t="n">
        <f aca="false">IF(OR(Kalemler!$A138="",Kalemler!$C138="",Kalemler!$D138=""),0,Kalemler!$C138*IF(Kalemler!$E138="Haftalık",IF(Kalemler!$D138&lt;=(Tahmin!$C$4+83),1,0),IF(Kalemler!$E138="Aylık",IF(OR(AND(DATE(YEAR((Tahmin!$C$4+77)),MONTH((Tahmin!$C$4+77)),MIN(DAY(Kalemler!$D138),DAY(EOMONTH((Tahmin!$C$4+77),0))))&gt;=(Tahmin!$C$4+77),DATE(YEAR((Tahmin!$C$4+77)),MONTH((Tahmin!$C$4+77)),MIN(DAY(Kalemler!$D138),DAY(EOMONTH((Tahmin!$C$4+77),0))))&lt;=(Tahmin!$C$4+83),DATE(YEAR((Tahmin!$C$4+77)),MONTH((Tahmin!$C$4+77)),MIN(DAY(Kalemler!$D138),DAY(EOMONTH((Tahmin!$C$4+77),0))))&gt;=Kalemler!$D138),AND(DATE(YEAR((Tahmin!$C$4+83)),MONTH((Tahmin!$C$4+83)),MIN(DAY(Kalemler!$D138),DAY(EOMONTH((Tahmin!$C$4+83),0))))&gt;=(Tahmin!$C$4+77),DATE(YEAR((Tahmin!$C$4+83)),MONTH((Tahmin!$C$4+83)),MIN(DAY(Kalemler!$D138),DAY(EOMONTH((Tahmin!$C$4+83),0))))&lt;=(Tahmin!$C$4+83),DATE(YEAR((Tahmin!$C$4+83)),MONTH((Tahmin!$C$4+83)),MIN(DAY(Kalemler!$D138),DAY(EOMONTH((Tahmin!$C$4+83),0))))&lt;&gt;DATE(YEAR((Tahmin!$C$4+77)),MONTH((Tahmin!$C$4+77)),MIN(DAY(Kalemler!$D138),DAY(EOMONTH((Tahmin!$C$4+77),0)))),DATE(YEAR((Tahmin!$C$4+83)),MONTH((Tahmin!$C$4+83)),MIN(DAY(Kalemler!$D138),DAY(EOMONTH((Tahmin!$C$4+83),0))))&gt;=Kalemler!$D138)),1,0),IF(AND(Kalemler!$D138&gt;=(Tahmin!$C$4+77),Kalemler!$D138&lt;=(Tahmin!$C$4+83)),1,0))))</f>
        <v>0</v>
      </c>
      <c r="N138" s="0" t="n">
        <f aca="false">IF(OR(Kalemler!$A138="",Kalemler!$C138="",Kalemler!$D138=""),0,Kalemler!$C138*IF(Kalemler!$E138="Haftalık",IF(Kalemler!$D138&lt;=(Tahmin!$C$4+90),1,0),IF(Kalemler!$E138="Aylık",IF(OR(AND(DATE(YEAR((Tahmin!$C$4+84)),MONTH((Tahmin!$C$4+84)),MIN(DAY(Kalemler!$D138),DAY(EOMONTH((Tahmin!$C$4+84),0))))&gt;=(Tahmin!$C$4+84),DATE(YEAR((Tahmin!$C$4+84)),MONTH((Tahmin!$C$4+84)),MIN(DAY(Kalemler!$D138),DAY(EOMONTH((Tahmin!$C$4+84),0))))&lt;=(Tahmin!$C$4+90),DATE(YEAR((Tahmin!$C$4+84)),MONTH((Tahmin!$C$4+84)),MIN(DAY(Kalemler!$D138),DAY(EOMONTH((Tahmin!$C$4+84),0))))&gt;=Kalemler!$D138),AND(DATE(YEAR((Tahmin!$C$4+90)),MONTH((Tahmin!$C$4+90)),MIN(DAY(Kalemler!$D138),DAY(EOMONTH((Tahmin!$C$4+90),0))))&gt;=(Tahmin!$C$4+84),DATE(YEAR((Tahmin!$C$4+90)),MONTH((Tahmin!$C$4+90)),MIN(DAY(Kalemler!$D138),DAY(EOMONTH((Tahmin!$C$4+90),0))))&lt;=(Tahmin!$C$4+90),DATE(YEAR((Tahmin!$C$4+90)),MONTH((Tahmin!$C$4+90)),MIN(DAY(Kalemler!$D138),DAY(EOMONTH((Tahmin!$C$4+90),0))))&lt;&gt;DATE(YEAR((Tahmin!$C$4+84)),MONTH((Tahmin!$C$4+84)),MIN(DAY(Kalemler!$D138),DAY(EOMONTH((Tahmin!$C$4+84),0)))),DATE(YEAR((Tahmin!$C$4+90)),MONTH((Tahmin!$C$4+90)),MIN(DAY(Kalemler!$D138),DAY(EOMONTH((Tahmin!$C$4+90),0))))&gt;=Kalemler!$D138)),1,0),IF(AND(Kalemler!$D138&gt;=(Tahmin!$C$4+84),Kalemler!$D138&lt;=(Tahmin!$C$4+90)),1,0))))</f>
        <v>0</v>
      </c>
    </row>
    <row r="139" customFormat="false" ht="15" hidden="false" customHeight="false" outlineLevel="0" collapsed="false">
      <c r="A139" s="0" t="str">
        <f aca="false">IF(Kalemler!A139="","",Kalemler!A139)</f>
        <v/>
      </c>
      <c r="B139" s="0" t="n">
        <f aca="false">IF(OR(Kalemler!$A139="",Kalemler!$C139="",Kalemler!$D139=""),0,Kalemler!$C139*IF(Kalemler!$E139="Haftalık",IF(Kalemler!$D139&lt;=(Tahmin!$C$4+6),1,0),IF(Kalemler!$E139="Aylık",IF(OR(AND(DATE(YEAR((Tahmin!$C$4+0)),MONTH((Tahmin!$C$4+0)),MIN(DAY(Kalemler!$D139),DAY(EOMONTH((Tahmin!$C$4+0),0))))&gt;=(Tahmin!$C$4+0),DATE(YEAR((Tahmin!$C$4+0)),MONTH((Tahmin!$C$4+0)),MIN(DAY(Kalemler!$D139),DAY(EOMONTH((Tahmin!$C$4+0),0))))&lt;=(Tahmin!$C$4+6),DATE(YEAR((Tahmin!$C$4+0)),MONTH((Tahmin!$C$4+0)),MIN(DAY(Kalemler!$D139),DAY(EOMONTH((Tahmin!$C$4+0),0))))&gt;=Kalemler!$D139),AND(DATE(YEAR((Tahmin!$C$4+6)),MONTH((Tahmin!$C$4+6)),MIN(DAY(Kalemler!$D139),DAY(EOMONTH((Tahmin!$C$4+6),0))))&gt;=(Tahmin!$C$4+0),DATE(YEAR((Tahmin!$C$4+6)),MONTH((Tahmin!$C$4+6)),MIN(DAY(Kalemler!$D139),DAY(EOMONTH((Tahmin!$C$4+6),0))))&lt;=(Tahmin!$C$4+6),DATE(YEAR((Tahmin!$C$4+6)),MONTH((Tahmin!$C$4+6)),MIN(DAY(Kalemler!$D139),DAY(EOMONTH((Tahmin!$C$4+6),0))))&lt;&gt;DATE(YEAR((Tahmin!$C$4+0)),MONTH((Tahmin!$C$4+0)),MIN(DAY(Kalemler!$D139),DAY(EOMONTH((Tahmin!$C$4+0),0)))),DATE(YEAR((Tahmin!$C$4+6)),MONTH((Tahmin!$C$4+6)),MIN(DAY(Kalemler!$D139),DAY(EOMONTH((Tahmin!$C$4+6),0))))&gt;=Kalemler!$D139)),1,0),IF(AND(Kalemler!$D139&gt;=(Tahmin!$C$4+0),Kalemler!$D139&lt;=(Tahmin!$C$4+6)),1,0))))</f>
        <v>0</v>
      </c>
      <c r="C139" s="0" t="n">
        <f aca="false">IF(OR(Kalemler!$A139="",Kalemler!$C139="",Kalemler!$D139=""),0,Kalemler!$C139*IF(Kalemler!$E139="Haftalık",IF(Kalemler!$D139&lt;=(Tahmin!$C$4+13),1,0),IF(Kalemler!$E139="Aylık",IF(OR(AND(DATE(YEAR((Tahmin!$C$4+7)),MONTH((Tahmin!$C$4+7)),MIN(DAY(Kalemler!$D139),DAY(EOMONTH((Tahmin!$C$4+7),0))))&gt;=(Tahmin!$C$4+7),DATE(YEAR((Tahmin!$C$4+7)),MONTH((Tahmin!$C$4+7)),MIN(DAY(Kalemler!$D139),DAY(EOMONTH((Tahmin!$C$4+7),0))))&lt;=(Tahmin!$C$4+13),DATE(YEAR((Tahmin!$C$4+7)),MONTH((Tahmin!$C$4+7)),MIN(DAY(Kalemler!$D139),DAY(EOMONTH((Tahmin!$C$4+7),0))))&gt;=Kalemler!$D139),AND(DATE(YEAR((Tahmin!$C$4+13)),MONTH((Tahmin!$C$4+13)),MIN(DAY(Kalemler!$D139),DAY(EOMONTH((Tahmin!$C$4+13),0))))&gt;=(Tahmin!$C$4+7),DATE(YEAR((Tahmin!$C$4+13)),MONTH((Tahmin!$C$4+13)),MIN(DAY(Kalemler!$D139),DAY(EOMONTH((Tahmin!$C$4+13),0))))&lt;=(Tahmin!$C$4+13),DATE(YEAR((Tahmin!$C$4+13)),MONTH((Tahmin!$C$4+13)),MIN(DAY(Kalemler!$D139),DAY(EOMONTH((Tahmin!$C$4+13),0))))&lt;&gt;DATE(YEAR((Tahmin!$C$4+7)),MONTH((Tahmin!$C$4+7)),MIN(DAY(Kalemler!$D139),DAY(EOMONTH((Tahmin!$C$4+7),0)))),DATE(YEAR((Tahmin!$C$4+13)),MONTH((Tahmin!$C$4+13)),MIN(DAY(Kalemler!$D139),DAY(EOMONTH((Tahmin!$C$4+13),0))))&gt;=Kalemler!$D139)),1,0),IF(AND(Kalemler!$D139&gt;=(Tahmin!$C$4+7),Kalemler!$D139&lt;=(Tahmin!$C$4+13)),1,0))))</f>
        <v>0</v>
      </c>
      <c r="D139" s="0" t="n">
        <f aca="false">IF(OR(Kalemler!$A139="",Kalemler!$C139="",Kalemler!$D139=""),0,Kalemler!$C139*IF(Kalemler!$E139="Haftalık",IF(Kalemler!$D139&lt;=(Tahmin!$C$4+20),1,0),IF(Kalemler!$E139="Aylık",IF(OR(AND(DATE(YEAR((Tahmin!$C$4+14)),MONTH((Tahmin!$C$4+14)),MIN(DAY(Kalemler!$D139),DAY(EOMONTH((Tahmin!$C$4+14),0))))&gt;=(Tahmin!$C$4+14),DATE(YEAR((Tahmin!$C$4+14)),MONTH((Tahmin!$C$4+14)),MIN(DAY(Kalemler!$D139),DAY(EOMONTH((Tahmin!$C$4+14),0))))&lt;=(Tahmin!$C$4+20),DATE(YEAR((Tahmin!$C$4+14)),MONTH((Tahmin!$C$4+14)),MIN(DAY(Kalemler!$D139),DAY(EOMONTH((Tahmin!$C$4+14),0))))&gt;=Kalemler!$D139),AND(DATE(YEAR((Tahmin!$C$4+20)),MONTH((Tahmin!$C$4+20)),MIN(DAY(Kalemler!$D139),DAY(EOMONTH((Tahmin!$C$4+20),0))))&gt;=(Tahmin!$C$4+14),DATE(YEAR((Tahmin!$C$4+20)),MONTH((Tahmin!$C$4+20)),MIN(DAY(Kalemler!$D139),DAY(EOMONTH((Tahmin!$C$4+20),0))))&lt;=(Tahmin!$C$4+20),DATE(YEAR((Tahmin!$C$4+20)),MONTH((Tahmin!$C$4+20)),MIN(DAY(Kalemler!$D139),DAY(EOMONTH((Tahmin!$C$4+20),0))))&lt;&gt;DATE(YEAR((Tahmin!$C$4+14)),MONTH((Tahmin!$C$4+14)),MIN(DAY(Kalemler!$D139),DAY(EOMONTH((Tahmin!$C$4+14),0)))),DATE(YEAR((Tahmin!$C$4+20)),MONTH((Tahmin!$C$4+20)),MIN(DAY(Kalemler!$D139),DAY(EOMONTH((Tahmin!$C$4+20),0))))&gt;=Kalemler!$D139)),1,0),IF(AND(Kalemler!$D139&gt;=(Tahmin!$C$4+14),Kalemler!$D139&lt;=(Tahmin!$C$4+20)),1,0))))</f>
        <v>0</v>
      </c>
      <c r="E139" s="0" t="n">
        <f aca="false">IF(OR(Kalemler!$A139="",Kalemler!$C139="",Kalemler!$D139=""),0,Kalemler!$C139*IF(Kalemler!$E139="Haftalık",IF(Kalemler!$D139&lt;=(Tahmin!$C$4+27),1,0),IF(Kalemler!$E139="Aylık",IF(OR(AND(DATE(YEAR((Tahmin!$C$4+21)),MONTH((Tahmin!$C$4+21)),MIN(DAY(Kalemler!$D139),DAY(EOMONTH((Tahmin!$C$4+21),0))))&gt;=(Tahmin!$C$4+21),DATE(YEAR((Tahmin!$C$4+21)),MONTH((Tahmin!$C$4+21)),MIN(DAY(Kalemler!$D139),DAY(EOMONTH((Tahmin!$C$4+21),0))))&lt;=(Tahmin!$C$4+27),DATE(YEAR((Tahmin!$C$4+21)),MONTH((Tahmin!$C$4+21)),MIN(DAY(Kalemler!$D139),DAY(EOMONTH((Tahmin!$C$4+21),0))))&gt;=Kalemler!$D139),AND(DATE(YEAR((Tahmin!$C$4+27)),MONTH((Tahmin!$C$4+27)),MIN(DAY(Kalemler!$D139),DAY(EOMONTH((Tahmin!$C$4+27),0))))&gt;=(Tahmin!$C$4+21),DATE(YEAR((Tahmin!$C$4+27)),MONTH((Tahmin!$C$4+27)),MIN(DAY(Kalemler!$D139),DAY(EOMONTH((Tahmin!$C$4+27),0))))&lt;=(Tahmin!$C$4+27),DATE(YEAR((Tahmin!$C$4+27)),MONTH((Tahmin!$C$4+27)),MIN(DAY(Kalemler!$D139),DAY(EOMONTH((Tahmin!$C$4+27),0))))&lt;&gt;DATE(YEAR((Tahmin!$C$4+21)),MONTH((Tahmin!$C$4+21)),MIN(DAY(Kalemler!$D139),DAY(EOMONTH((Tahmin!$C$4+21),0)))),DATE(YEAR((Tahmin!$C$4+27)),MONTH((Tahmin!$C$4+27)),MIN(DAY(Kalemler!$D139),DAY(EOMONTH((Tahmin!$C$4+27),0))))&gt;=Kalemler!$D139)),1,0),IF(AND(Kalemler!$D139&gt;=(Tahmin!$C$4+21),Kalemler!$D139&lt;=(Tahmin!$C$4+27)),1,0))))</f>
        <v>0</v>
      </c>
      <c r="F139" s="0" t="n">
        <f aca="false">IF(OR(Kalemler!$A139="",Kalemler!$C139="",Kalemler!$D139=""),0,Kalemler!$C139*IF(Kalemler!$E139="Haftalık",IF(Kalemler!$D139&lt;=(Tahmin!$C$4+34),1,0),IF(Kalemler!$E139="Aylık",IF(OR(AND(DATE(YEAR((Tahmin!$C$4+28)),MONTH((Tahmin!$C$4+28)),MIN(DAY(Kalemler!$D139),DAY(EOMONTH((Tahmin!$C$4+28),0))))&gt;=(Tahmin!$C$4+28),DATE(YEAR((Tahmin!$C$4+28)),MONTH((Tahmin!$C$4+28)),MIN(DAY(Kalemler!$D139),DAY(EOMONTH((Tahmin!$C$4+28),0))))&lt;=(Tahmin!$C$4+34),DATE(YEAR((Tahmin!$C$4+28)),MONTH((Tahmin!$C$4+28)),MIN(DAY(Kalemler!$D139),DAY(EOMONTH((Tahmin!$C$4+28),0))))&gt;=Kalemler!$D139),AND(DATE(YEAR((Tahmin!$C$4+34)),MONTH((Tahmin!$C$4+34)),MIN(DAY(Kalemler!$D139),DAY(EOMONTH((Tahmin!$C$4+34),0))))&gt;=(Tahmin!$C$4+28),DATE(YEAR((Tahmin!$C$4+34)),MONTH((Tahmin!$C$4+34)),MIN(DAY(Kalemler!$D139),DAY(EOMONTH((Tahmin!$C$4+34),0))))&lt;=(Tahmin!$C$4+34),DATE(YEAR((Tahmin!$C$4+34)),MONTH((Tahmin!$C$4+34)),MIN(DAY(Kalemler!$D139),DAY(EOMONTH((Tahmin!$C$4+34),0))))&lt;&gt;DATE(YEAR((Tahmin!$C$4+28)),MONTH((Tahmin!$C$4+28)),MIN(DAY(Kalemler!$D139),DAY(EOMONTH((Tahmin!$C$4+28),0)))),DATE(YEAR((Tahmin!$C$4+34)),MONTH((Tahmin!$C$4+34)),MIN(DAY(Kalemler!$D139),DAY(EOMONTH((Tahmin!$C$4+34),0))))&gt;=Kalemler!$D139)),1,0),IF(AND(Kalemler!$D139&gt;=(Tahmin!$C$4+28),Kalemler!$D139&lt;=(Tahmin!$C$4+34)),1,0))))</f>
        <v>0</v>
      </c>
      <c r="G139" s="0" t="n">
        <f aca="false">IF(OR(Kalemler!$A139="",Kalemler!$C139="",Kalemler!$D139=""),0,Kalemler!$C139*IF(Kalemler!$E139="Haftalık",IF(Kalemler!$D139&lt;=(Tahmin!$C$4+41),1,0),IF(Kalemler!$E139="Aylık",IF(OR(AND(DATE(YEAR((Tahmin!$C$4+35)),MONTH((Tahmin!$C$4+35)),MIN(DAY(Kalemler!$D139),DAY(EOMONTH((Tahmin!$C$4+35),0))))&gt;=(Tahmin!$C$4+35),DATE(YEAR((Tahmin!$C$4+35)),MONTH((Tahmin!$C$4+35)),MIN(DAY(Kalemler!$D139),DAY(EOMONTH((Tahmin!$C$4+35),0))))&lt;=(Tahmin!$C$4+41),DATE(YEAR((Tahmin!$C$4+35)),MONTH((Tahmin!$C$4+35)),MIN(DAY(Kalemler!$D139),DAY(EOMONTH((Tahmin!$C$4+35),0))))&gt;=Kalemler!$D139),AND(DATE(YEAR((Tahmin!$C$4+41)),MONTH((Tahmin!$C$4+41)),MIN(DAY(Kalemler!$D139),DAY(EOMONTH((Tahmin!$C$4+41),0))))&gt;=(Tahmin!$C$4+35),DATE(YEAR((Tahmin!$C$4+41)),MONTH((Tahmin!$C$4+41)),MIN(DAY(Kalemler!$D139),DAY(EOMONTH((Tahmin!$C$4+41),0))))&lt;=(Tahmin!$C$4+41),DATE(YEAR((Tahmin!$C$4+41)),MONTH((Tahmin!$C$4+41)),MIN(DAY(Kalemler!$D139),DAY(EOMONTH((Tahmin!$C$4+41),0))))&lt;&gt;DATE(YEAR((Tahmin!$C$4+35)),MONTH((Tahmin!$C$4+35)),MIN(DAY(Kalemler!$D139),DAY(EOMONTH((Tahmin!$C$4+35),0)))),DATE(YEAR((Tahmin!$C$4+41)),MONTH((Tahmin!$C$4+41)),MIN(DAY(Kalemler!$D139),DAY(EOMONTH((Tahmin!$C$4+41),0))))&gt;=Kalemler!$D139)),1,0),IF(AND(Kalemler!$D139&gt;=(Tahmin!$C$4+35),Kalemler!$D139&lt;=(Tahmin!$C$4+41)),1,0))))</f>
        <v>0</v>
      </c>
      <c r="H139" s="0" t="n">
        <f aca="false">IF(OR(Kalemler!$A139="",Kalemler!$C139="",Kalemler!$D139=""),0,Kalemler!$C139*IF(Kalemler!$E139="Haftalık",IF(Kalemler!$D139&lt;=(Tahmin!$C$4+48),1,0),IF(Kalemler!$E139="Aylık",IF(OR(AND(DATE(YEAR((Tahmin!$C$4+42)),MONTH((Tahmin!$C$4+42)),MIN(DAY(Kalemler!$D139),DAY(EOMONTH((Tahmin!$C$4+42),0))))&gt;=(Tahmin!$C$4+42),DATE(YEAR((Tahmin!$C$4+42)),MONTH((Tahmin!$C$4+42)),MIN(DAY(Kalemler!$D139),DAY(EOMONTH((Tahmin!$C$4+42),0))))&lt;=(Tahmin!$C$4+48),DATE(YEAR((Tahmin!$C$4+42)),MONTH((Tahmin!$C$4+42)),MIN(DAY(Kalemler!$D139),DAY(EOMONTH((Tahmin!$C$4+42),0))))&gt;=Kalemler!$D139),AND(DATE(YEAR((Tahmin!$C$4+48)),MONTH((Tahmin!$C$4+48)),MIN(DAY(Kalemler!$D139),DAY(EOMONTH((Tahmin!$C$4+48),0))))&gt;=(Tahmin!$C$4+42),DATE(YEAR((Tahmin!$C$4+48)),MONTH((Tahmin!$C$4+48)),MIN(DAY(Kalemler!$D139),DAY(EOMONTH((Tahmin!$C$4+48),0))))&lt;=(Tahmin!$C$4+48),DATE(YEAR((Tahmin!$C$4+48)),MONTH((Tahmin!$C$4+48)),MIN(DAY(Kalemler!$D139),DAY(EOMONTH((Tahmin!$C$4+48),0))))&lt;&gt;DATE(YEAR((Tahmin!$C$4+42)),MONTH((Tahmin!$C$4+42)),MIN(DAY(Kalemler!$D139),DAY(EOMONTH((Tahmin!$C$4+42),0)))),DATE(YEAR((Tahmin!$C$4+48)),MONTH((Tahmin!$C$4+48)),MIN(DAY(Kalemler!$D139),DAY(EOMONTH((Tahmin!$C$4+48),0))))&gt;=Kalemler!$D139)),1,0),IF(AND(Kalemler!$D139&gt;=(Tahmin!$C$4+42),Kalemler!$D139&lt;=(Tahmin!$C$4+48)),1,0))))</f>
        <v>0</v>
      </c>
      <c r="I139" s="0" t="n">
        <f aca="false">IF(OR(Kalemler!$A139="",Kalemler!$C139="",Kalemler!$D139=""),0,Kalemler!$C139*IF(Kalemler!$E139="Haftalık",IF(Kalemler!$D139&lt;=(Tahmin!$C$4+55),1,0),IF(Kalemler!$E139="Aylık",IF(OR(AND(DATE(YEAR((Tahmin!$C$4+49)),MONTH((Tahmin!$C$4+49)),MIN(DAY(Kalemler!$D139),DAY(EOMONTH((Tahmin!$C$4+49),0))))&gt;=(Tahmin!$C$4+49),DATE(YEAR((Tahmin!$C$4+49)),MONTH((Tahmin!$C$4+49)),MIN(DAY(Kalemler!$D139),DAY(EOMONTH((Tahmin!$C$4+49),0))))&lt;=(Tahmin!$C$4+55),DATE(YEAR((Tahmin!$C$4+49)),MONTH((Tahmin!$C$4+49)),MIN(DAY(Kalemler!$D139),DAY(EOMONTH((Tahmin!$C$4+49),0))))&gt;=Kalemler!$D139),AND(DATE(YEAR((Tahmin!$C$4+55)),MONTH((Tahmin!$C$4+55)),MIN(DAY(Kalemler!$D139),DAY(EOMONTH((Tahmin!$C$4+55),0))))&gt;=(Tahmin!$C$4+49),DATE(YEAR((Tahmin!$C$4+55)),MONTH((Tahmin!$C$4+55)),MIN(DAY(Kalemler!$D139),DAY(EOMONTH((Tahmin!$C$4+55),0))))&lt;=(Tahmin!$C$4+55),DATE(YEAR((Tahmin!$C$4+55)),MONTH((Tahmin!$C$4+55)),MIN(DAY(Kalemler!$D139),DAY(EOMONTH((Tahmin!$C$4+55),0))))&lt;&gt;DATE(YEAR((Tahmin!$C$4+49)),MONTH((Tahmin!$C$4+49)),MIN(DAY(Kalemler!$D139),DAY(EOMONTH((Tahmin!$C$4+49),0)))),DATE(YEAR((Tahmin!$C$4+55)),MONTH((Tahmin!$C$4+55)),MIN(DAY(Kalemler!$D139),DAY(EOMONTH((Tahmin!$C$4+55),0))))&gt;=Kalemler!$D139)),1,0),IF(AND(Kalemler!$D139&gt;=(Tahmin!$C$4+49),Kalemler!$D139&lt;=(Tahmin!$C$4+55)),1,0))))</f>
        <v>0</v>
      </c>
      <c r="J139" s="0" t="n">
        <f aca="false">IF(OR(Kalemler!$A139="",Kalemler!$C139="",Kalemler!$D139=""),0,Kalemler!$C139*IF(Kalemler!$E139="Haftalık",IF(Kalemler!$D139&lt;=(Tahmin!$C$4+62),1,0),IF(Kalemler!$E139="Aylık",IF(OR(AND(DATE(YEAR((Tahmin!$C$4+56)),MONTH((Tahmin!$C$4+56)),MIN(DAY(Kalemler!$D139),DAY(EOMONTH((Tahmin!$C$4+56),0))))&gt;=(Tahmin!$C$4+56),DATE(YEAR((Tahmin!$C$4+56)),MONTH((Tahmin!$C$4+56)),MIN(DAY(Kalemler!$D139),DAY(EOMONTH((Tahmin!$C$4+56),0))))&lt;=(Tahmin!$C$4+62),DATE(YEAR((Tahmin!$C$4+56)),MONTH((Tahmin!$C$4+56)),MIN(DAY(Kalemler!$D139),DAY(EOMONTH((Tahmin!$C$4+56),0))))&gt;=Kalemler!$D139),AND(DATE(YEAR((Tahmin!$C$4+62)),MONTH((Tahmin!$C$4+62)),MIN(DAY(Kalemler!$D139),DAY(EOMONTH((Tahmin!$C$4+62),0))))&gt;=(Tahmin!$C$4+56),DATE(YEAR((Tahmin!$C$4+62)),MONTH((Tahmin!$C$4+62)),MIN(DAY(Kalemler!$D139),DAY(EOMONTH((Tahmin!$C$4+62),0))))&lt;=(Tahmin!$C$4+62),DATE(YEAR((Tahmin!$C$4+62)),MONTH((Tahmin!$C$4+62)),MIN(DAY(Kalemler!$D139),DAY(EOMONTH((Tahmin!$C$4+62),0))))&lt;&gt;DATE(YEAR((Tahmin!$C$4+56)),MONTH((Tahmin!$C$4+56)),MIN(DAY(Kalemler!$D139),DAY(EOMONTH((Tahmin!$C$4+56),0)))),DATE(YEAR((Tahmin!$C$4+62)),MONTH((Tahmin!$C$4+62)),MIN(DAY(Kalemler!$D139),DAY(EOMONTH((Tahmin!$C$4+62),0))))&gt;=Kalemler!$D139)),1,0),IF(AND(Kalemler!$D139&gt;=(Tahmin!$C$4+56),Kalemler!$D139&lt;=(Tahmin!$C$4+62)),1,0))))</f>
        <v>0</v>
      </c>
      <c r="K139" s="0" t="n">
        <f aca="false">IF(OR(Kalemler!$A139="",Kalemler!$C139="",Kalemler!$D139=""),0,Kalemler!$C139*IF(Kalemler!$E139="Haftalık",IF(Kalemler!$D139&lt;=(Tahmin!$C$4+69),1,0),IF(Kalemler!$E139="Aylık",IF(OR(AND(DATE(YEAR((Tahmin!$C$4+63)),MONTH((Tahmin!$C$4+63)),MIN(DAY(Kalemler!$D139),DAY(EOMONTH((Tahmin!$C$4+63),0))))&gt;=(Tahmin!$C$4+63),DATE(YEAR((Tahmin!$C$4+63)),MONTH((Tahmin!$C$4+63)),MIN(DAY(Kalemler!$D139),DAY(EOMONTH((Tahmin!$C$4+63),0))))&lt;=(Tahmin!$C$4+69),DATE(YEAR((Tahmin!$C$4+63)),MONTH((Tahmin!$C$4+63)),MIN(DAY(Kalemler!$D139),DAY(EOMONTH((Tahmin!$C$4+63),0))))&gt;=Kalemler!$D139),AND(DATE(YEAR((Tahmin!$C$4+69)),MONTH((Tahmin!$C$4+69)),MIN(DAY(Kalemler!$D139),DAY(EOMONTH((Tahmin!$C$4+69),0))))&gt;=(Tahmin!$C$4+63),DATE(YEAR((Tahmin!$C$4+69)),MONTH((Tahmin!$C$4+69)),MIN(DAY(Kalemler!$D139),DAY(EOMONTH((Tahmin!$C$4+69),0))))&lt;=(Tahmin!$C$4+69),DATE(YEAR((Tahmin!$C$4+69)),MONTH((Tahmin!$C$4+69)),MIN(DAY(Kalemler!$D139),DAY(EOMONTH((Tahmin!$C$4+69),0))))&lt;&gt;DATE(YEAR((Tahmin!$C$4+63)),MONTH((Tahmin!$C$4+63)),MIN(DAY(Kalemler!$D139),DAY(EOMONTH((Tahmin!$C$4+63),0)))),DATE(YEAR((Tahmin!$C$4+69)),MONTH((Tahmin!$C$4+69)),MIN(DAY(Kalemler!$D139),DAY(EOMONTH((Tahmin!$C$4+69),0))))&gt;=Kalemler!$D139)),1,0),IF(AND(Kalemler!$D139&gt;=(Tahmin!$C$4+63),Kalemler!$D139&lt;=(Tahmin!$C$4+69)),1,0))))</f>
        <v>0</v>
      </c>
      <c r="L139" s="0" t="n">
        <f aca="false">IF(OR(Kalemler!$A139="",Kalemler!$C139="",Kalemler!$D139=""),0,Kalemler!$C139*IF(Kalemler!$E139="Haftalık",IF(Kalemler!$D139&lt;=(Tahmin!$C$4+76),1,0),IF(Kalemler!$E139="Aylık",IF(OR(AND(DATE(YEAR((Tahmin!$C$4+70)),MONTH((Tahmin!$C$4+70)),MIN(DAY(Kalemler!$D139),DAY(EOMONTH((Tahmin!$C$4+70),0))))&gt;=(Tahmin!$C$4+70),DATE(YEAR((Tahmin!$C$4+70)),MONTH((Tahmin!$C$4+70)),MIN(DAY(Kalemler!$D139),DAY(EOMONTH((Tahmin!$C$4+70),0))))&lt;=(Tahmin!$C$4+76),DATE(YEAR((Tahmin!$C$4+70)),MONTH((Tahmin!$C$4+70)),MIN(DAY(Kalemler!$D139),DAY(EOMONTH((Tahmin!$C$4+70),0))))&gt;=Kalemler!$D139),AND(DATE(YEAR((Tahmin!$C$4+76)),MONTH((Tahmin!$C$4+76)),MIN(DAY(Kalemler!$D139),DAY(EOMONTH((Tahmin!$C$4+76),0))))&gt;=(Tahmin!$C$4+70),DATE(YEAR((Tahmin!$C$4+76)),MONTH((Tahmin!$C$4+76)),MIN(DAY(Kalemler!$D139),DAY(EOMONTH((Tahmin!$C$4+76),0))))&lt;=(Tahmin!$C$4+76),DATE(YEAR((Tahmin!$C$4+76)),MONTH((Tahmin!$C$4+76)),MIN(DAY(Kalemler!$D139),DAY(EOMONTH((Tahmin!$C$4+76),0))))&lt;&gt;DATE(YEAR((Tahmin!$C$4+70)),MONTH((Tahmin!$C$4+70)),MIN(DAY(Kalemler!$D139),DAY(EOMONTH((Tahmin!$C$4+70),0)))),DATE(YEAR((Tahmin!$C$4+76)),MONTH((Tahmin!$C$4+76)),MIN(DAY(Kalemler!$D139),DAY(EOMONTH((Tahmin!$C$4+76),0))))&gt;=Kalemler!$D139)),1,0),IF(AND(Kalemler!$D139&gt;=(Tahmin!$C$4+70),Kalemler!$D139&lt;=(Tahmin!$C$4+76)),1,0))))</f>
        <v>0</v>
      </c>
      <c r="M139" s="0" t="n">
        <f aca="false">IF(OR(Kalemler!$A139="",Kalemler!$C139="",Kalemler!$D139=""),0,Kalemler!$C139*IF(Kalemler!$E139="Haftalık",IF(Kalemler!$D139&lt;=(Tahmin!$C$4+83),1,0),IF(Kalemler!$E139="Aylık",IF(OR(AND(DATE(YEAR((Tahmin!$C$4+77)),MONTH((Tahmin!$C$4+77)),MIN(DAY(Kalemler!$D139),DAY(EOMONTH((Tahmin!$C$4+77),0))))&gt;=(Tahmin!$C$4+77),DATE(YEAR((Tahmin!$C$4+77)),MONTH((Tahmin!$C$4+77)),MIN(DAY(Kalemler!$D139),DAY(EOMONTH((Tahmin!$C$4+77),0))))&lt;=(Tahmin!$C$4+83),DATE(YEAR((Tahmin!$C$4+77)),MONTH((Tahmin!$C$4+77)),MIN(DAY(Kalemler!$D139),DAY(EOMONTH((Tahmin!$C$4+77),0))))&gt;=Kalemler!$D139),AND(DATE(YEAR((Tahmin!$C$4+83)),MONTH((Tahmin!$C$4+83)),MIN(DAY(Kalemler!$D139),DAY(EOMONTH((Tahmin!$C$4+83),0))))&gt;=(Tahmin!$C$4+77),DATE(YEAR((Tahmin!$C$4+83)),MONTH((Tahmin!$C$4+83)),MIN(DAY(Kalemler!$D139),DAY(EOMONTH((Tahmin!$C$4+83),0))))&lt;=(Tahmin!$C$4+83),DATE(YEAR((Tahmin!$C$4+83)),MONTH((Tahmin!$C$4+83)),MIN(DAY(Kalemler!$D139),DAY(EOMONTH((Tahmin!$C$4+83),0))))&lt;&gt;DATE(YEAR((Tahmin!$C$4+77)),MONTH((Tahmin!$C$4+77)),MIN(DAY(Kalemler!$D139),DAY(EOMONTH((Tahmin!$C$4+77),0)))),DATE(YEAR((Tahmin!$C$4+83)),MONTH((Tahmin!$C$4+83)),MIN(DAY(Kalemler!$D139),DAY(EOMONTH((Tahmin!$C$4+83),0))))&gt;=Kalemler!$D139)),1,0),IF(AND(Kalemler!$D139&gt;=(Tahmin!$C$4+77),Kalemler!$D139&lt;=(Tahmin!$C$4+83)),1,0))))</f>
        <v>0</v>
      </c>
      <c r="N139" s="0" t="n">
        <f aca="false">IF(OR(Kalemler!$A139="",Kalemler!$C139="",Kalemler!$D139=""),0,Kalemler!$C139*IF(Kalemler!$E139="Haftalık",IF(Kalemler!$D139&lt;=(Tahmin!$C$4+90),1,0),IF(Kalemler!$E139="Aylık",IF(OR(AND(DATE(YEAR((Tahmin!$C$4+84)),MONTH((Tahmin!$C$4+84)),MIN(DAY(Kalemler!$D139),DAY(EOMONTH((Tahmin!$C$4+84),0))))&gt;=(Tahmin!$C$4+84),DATE(YEAR((Tahmin!$C$4+84)),MONTH((Tahmin!$C$4+84)),MIN(DAY(Kalemler!$D139),DAY(EOMONTH((Tahmin!$C$4+84),0))))&lt;=(Tahmin!$C$4+90),DATE(YEAR((Tahmin!$C$4+84)),MONTH((Tahmin!$C$4+84)),MIN(DAY(Kalemler!$D139),DAY(EOMONTH((Tahmin!$C$4+84),0))))&gt;=Kalemler!$D139),AND(DATE(YEAR((Tahmin!$C$4+90)),MONTH((Tahmin!$C$4+90)),MIN(DAY(Kalemler!$D139),DAY(EOMONTH((Tahmin!$C$4+90),0))))&gt;=(Tahmin!$C$4+84),DATE(YEAR((Tahmin!$C$4+90)),MONTH((Tahmin!$C$4+90)),MIN(DAY(Kalemler!$D139),DAY(EOMONTH((Tahmin!$C$4+90),0))))&lt;=(Tahmin!$C$4+90),DATE(YEAR((Tahmin!$C$4+90)),MONTH((Tahmin!$C$4+90)),MIN(DAY(Kalemler!$D139),DAY(EOMONTH((Tahmin!$C$4+90),0))))&lt;&gt;DATE(YEAR((Tahmin!$C$4+84)),MONTH((Tahmin!$C$4+84)),MIN(DAY(Kalemler!$D139),DAY(EOMONTH((Tahmin!$C$4+84),0)))),DATE(YEAR((Tahmin!$C$4+90)),MONTH((Tahmin!$C$4+90)),MIN(DAY(Kalemler!$D139),DAY(EOMONTH((Tahmin!$C$4+90),0))))&gt;=Kalemler!$D139)),1,0),IF(AND(Kalemler!$D139&gt;=(Tahmin!$C$4+84),Kalemler!$D139&lt;=(Tahmin!$C$4+90)),1,0))))</f>
        <v>0</v>
      </c>
    </row>
    <row r="140" customFormat="false" ht="15" hidden="false" customHeight="false" outlineLevel="0" collapsed="false">
      <c r="A140" s="0" t="str">
        <f aca="false">IF(Kalemler!A140="","",Kalemler!A140)</f>
        <v/>
      </c>
      <c r="B140" s="0" t="n">
        <f aca="false">IF(OR(Kalemler!$A140="",Kalemler!$C140="",Kalemler!$D140=""),0,Kalemler!$C140*IF(Kalemler!$E140="Haftalık",IF(Kalemler!$D140&lt;=(Tahmin!$C$4+6),1,0),IF(Kalemler!$E140="Aylık",IF(OR(AND(DATE(YEAR((Tahmin!$C$4+0)),MONTH((Tahmin!$C$4+0)),MIN(DAY(Kalemler!$D140),DAY(EOMONTH((Tahmin!$C$4+0),0))))&gt;=(Tahmin!$C$4+0),DATE(YEAR((Tahmin!$C$4+0)),MONTH((Tahmin!$C$4+0)),MIN(DAY(Kalemler!$D140),DAY(EOMONTH((Tahmin!$C$4+0),0))))&lt;=(Tahmin!$C$4+6),DATE(YEAR((Tahmin!$C$4+0)),MONTH((Tahmin!$C$4+0)),MIN(DAY(Kalemler!$D140),DAY(EOMONTH((Tahmin!$C$4+0),0))))&gt;=Kalemler!$D140),AND(DATE(YEAR((Tahmin!$C$4+6)),MONTH((Tahmin!$C$4+6)),MIN(DAY(Kalemler!$D140),DAY(EOMONTH((Tahmin!$C$4+6),0))))&gt;=(Tahmin!$C$4+0),DATE(YEAR((Tahmin!$C$4+6)),MONTH((Tahmin!$C$4+6)),MIN(DAY(Kalemler!$D140),DAY(EOMONTH((Tahmin!$C$4+6),0))))&lt;=(Tahmin!$C$4+6),DATE(YEAR((Tahmin!$C$4+6)),MONTH((Tahmin!$C$4+6)),MIN(DAY(Kalemler!$D140),DAY(EOMONTH((Tahmin!$C$4+6),0))))&lt;&gt;DATE(YEAR((Tahmin!$C$4+0)),MONTH((Tahmin!$C$4+0)),MIN(DAY(Kalemler!$D140),DAY(EOMONTH((Tahmin!$C$4+0),0)))),DATE(YEAR((Tahmin!$C$4+6)),MONTH((Tahmin!$C$4+6)),MIN(DAY(Kalemler!$D140),DAY(EOMONTH((Tahmin!$C$4+6),0))))&gt;=Kalemler!$D140)),1,0),IF(AND(Kalemler!$D140&gt;=(Tahmin!$C$4+0),Kalemler!$D140&lt;=(Tahmin!$C$4+6)),1,0))))</f>
        <v>0</v>
      </c>
      <c r="C140" s="0" t="n">
        <f aca="false">IF(OR(Kalemler!$A140="",Kalemler!$C140="",Kalemler!$D140=""),0,Kalemler!$C140*IF(Kalemler!$E140="Haftalık",IF(Kalemler!$D140&lt;=(Tahmin!$C$4+13),1,0),IF(Kalemler!$E140="Aylık",IF(OR(AND(DATE(YEAR((Tahmin!$C$4+7)),MONTH((Tahmin!$C$4+7)),MIN(DAY(Kalemler!$D140),DAY(EOMONTH((Tahmin!$C$4+7),0))))&gt;=(Tahmin!$C$4+7),DATE(YEAR((Tahmin!$C$4+7)),MONTH((Tahmin!$C$4+7)),MIN(DAY(Kalemler!$D140),DAY(EOMONTH((Tahmin!$C$4+7),0))))&lt;=(Tahmin!$C$4+13),DATE(YEAR((Tahmin!$C$4+7)),MONTH((Tahmin!$C$4+7)),MIN(DAY(Kalemler!$D140),DAY(EOMONTH((Tahmin!$C$4+7),0))))&gt;=Kalemler!$D140),AND(DATE(YEAR((Tahmin!$C$4+13)),MONTH((Tahmin!$C$4+13)),MIN(DAY(Kalemler!$D140),DAY(EOMONTH((Tahmin!$C$4+13),0))))&gt;=(Tahmin!$C$4+7),DATE(YEAR((Tahmin!$C$4+13)),MONTH((Tahmin!$C$4+13)),MIN(DAY(Kalemler!$D140),DAY(EOMONTH((Tahmin!$C$4+13),0))))&lt;=(Tahmin!$C$4+13),DATE(YEAR((Tahmin!$C$4+13)),MONTH((Tahmin!$C$4+13)),MIN(DAY(Kalemler!$D140),DAY(EOMONTH((Tahmin!$C$4+13),0))))&lt;&gt;DATE(YEAR((Tahmin!$C$4+7)),MONTH((Tahmin!$C$4+7)),MIN(DAY(Kalemler!$D140),DAY(EOMONTH((Tahmin!$C$4+7),0)))),DATE(YEAR((Tahmin!$C$4+13)),MONTH((Tahmin!$C$4+13)),MIN(DAY(Kalemler!$D140),DAY(EOMONTH((Tahmin!$C$4+13),0))))&gt;=Kalemler!$D140)),1,0),IF(AND(Kalemler!$D140&gt;=(Tahmin!$C$4+7),Kalemler!$D140&lt;=(Tahmin!$C$4+13)),1,0))))</f>
        <v>0</v>
      </c>
      <c r="D140" s="0" t="n">
        <f aca="false">IF(OR(Kalemler!$A140="",Kalemler!$C140="",Kalemler!$D140=""),0,Kalemler!$C140*IF(Kalemler!$E140="Haftalık",IF(Kalemler!$D140&lt;=(Tahmin!$C$4+20),1,0),IF(Kalemler!$E140="Aylık",IF(OR(AND(DATE(YEAR((Tahmin!$C$4+14)),MONTH((Tahmin!$C$4+14)),MIN(DAY(Kalemler!$D140),DAY(EOMONTH((Tahmin!$C$4+14),0))))&gt;=(Tahmin!$C$4+14),DATE(YEAR((Tahmin!$C$4+14)),MONTH((Tahmin!$C$4+14)),MIN(DAY(Kalemler!$D140),DAY(EOMONTH((Tahmin!$C$4+14),0))))&lt;=(Tahmin!$C$4+20),DATE(YEAR((Tahmin!$C$4+14)),MONTH((Tahmin!$C$4+14)),MIN(DAY(Kalemler!$D140),DAY(EOMONTH((Tahmin!$C$4+14),0))))&gt;=Kalemler!$D140),AND(DATE(YEAR((Tahmin!$C$4+20)),MONTH((Tahmin!$C$4+20)),MIN(DAY(Kalemler!$D140),DAY(EOMONTH((Tahmin!$C$4+20),0))))&gt;=(Tahmin!$C$4+14),DATE(YEAR((Tahmin!$C$4+20)),MONTH((Tahmin!$C$4+20)),MIN(DAY(Kalemler!$D140),DAY(EOMONTH((Tahmin!$C$4+20),0))))&lt;=(Tahmin!$C$4+20),DATE(YEAR((Tahmin!$C$4+20)),MONTH((Tahmin!$C$4+20)),MIN(DAY(Kalemler!$D140),DAY(EOMONTH((Tahmin!$C$4+20),0))))&lt;&gt;DATE(YEAR((Tahmin!$C$4+14)),MONTH((Tahmin!$C$4+14)),MIN(DAY(Kalemler!$D140),DAY(EOMONTH((Tahmin!$C$4+14),0)))),DATE(YEAR((Tahmin!$C$4+20)),MONTH((Tahmin!$C$4+20)),MIN(DAY(Kalemler!$D140),DAY(EOMONTH((Tahmin!$C$4+20),0))))&gt;=Kalemler!$D140)),1,0),IF(AND(Kalemler!$D140&gt;=(Tahmin!$C$4+14),Kalemler!$D140&lt;=(Tahmin!$C$4+20)),1,0))))</f>
        <v>0</v>
      </c>
      <c r="E140" s="0" t="n">
        <f aca="false">IF(OR(Kalemler!$A140="",Kalemler!$C140="",Kalemler!$D140=""),0,Kalemler!$C140*IF(Kalemler!$E140="Haftalık",IF(Kalemler!$D140&lt;=(Tahmin!$C$4+27),1,0),IF(Kalemler!$E140="Aylık",IF(OR(AND(DATE(YEAR((Tahmin!$C$4+21)),MONTH((Tahmin!$C$4+21)),MIN(DAY(Kalemler!$D140),DAY(EOMONTH((Tahmin!$C$4+21),0))))&gt;=(Tahmin!$C$4+21),DATE(YEAR((Tahmin!$C$4+21)),MONTH((Tahmin!$C$4+21)),MIN(DAY(Kalemler!$D140),DAY(EOMONTH((Tahmin!$C$4+21),0))))&lt;=(Tahmin!$C$4+27),DATE(YEAR((Tahmin!$C$4+21)),MONTH((Tahmin!$C$4+21)),MIN(DAY(Kalemler!$D140),DAY(EOMONTH((Tahmin!$C$4+21),0))))&gt;=Kalemler!$D140),AND(DATE(YEAR((Tahmin!$C$4+27)),MONTH((Tahmin!$C$4+27)),MIN(DAY(Kalemler!$D140),DAY(EOMONTH((Tahmin!$C$4+27),0))))&gt;=(Tahmin!$C$4+21),DATE(YEAR((Tahmin!$C$4+27)),MONTH((Tahmin!$C$4+27)),MIN(DAY(Kalemler!$D140),DAY(EOMONTH((Tahmin!$C$4+27),0))))&lt;=(Tahmin!$C$4+27),DATE(YEAR((Tahmin!$C$4+27)),MONTH((Tahmin!$C$4+27)),MIN(DAY(Kalemler!$D140),DAY(EOMONTH((Tahmin!$C$4+27),0))))&lt;&gt;DATE(YEAR((Tahmin!$C$4+21)),MONTH((Tahmin!$C$4+21)),MIN(DAY(Kalemler!$D140),DAY(EOMONTH((Tahmin!$C$4+21),0)))),DATE(YEAR((Tahmin!$C$4+27)),MONTH((Tahmin!$C$4+27)),MIN(DAY(Kalemler!$D140),DAY(EOMONTH((Tahmin!$C$4+27),0))))&gt;=Kalemler!$D140)),1,0),IF(AND(Kalemler!$D140&gt;=(Tahmin!$C$4+21),Kalemler!$D140&lt;=(Tahmin!$C$4+27)),1,0))))</f>
        <v>0</v>
      </c>
      <c r="F140" s="0" t="n">
        <f aca="false">IF(OR(Kalemler!$A140="",Kalemler!$C140="",Kalemler!$D140=""),0,Kalemler!$C140*IF(Kalemler!$E140="Haftalık",IF(Kalemler!$D140&lt;=(Tahmin!$C$4+34),1,0),IF(Kalemler!$E140="Aylık",IF(OR(AND(DATE(YEAR((Tahmin!$C$4+28)),MONTH((Tahmin!$C$4+28)),MIN(DAY(Kalemler!$D140),DAY(EOMONTH((Tahmin!$C$4+28),0))))&gt;=(Tahmin!$C$4+28),DATE(YEAR((Tahmin!$C$4+28)),MONTH((Tahmin!$C$4+28)),MIN(DAY(Kalemler!$D140),DAY(EOMONTH((Tahmin!$C$4+28),0))))&lt;=(Tahmin!$C$4+34),DATE(YEAR((Tahmin!$C$4+28)),MONTH((Tahmin!$C$4+28)),MIN(DAY(Kalemler!$D140),DAY(EOMONTH((Tahmin!$C$4+28),0))))&gt;=Kalemler!$D140),AND(DATE(YEAR((Tahmin!$C$4+34)),MONTH((Tahmin!$C$4+34)),MIN(DAY(Kalemler!$D140),DAY(EOMONTH((Tahmin!$C$4+34),0))))&gt;=(Tahmin!$C$4+28),DATE(YEAR((Tahmin!$C$4+34)),MONTH((Tahmin!$C$4+34)),MIN(DAY(Kalemler!$D140),DAY(EOMONTH((Tahmin!$C$4+34),0))))&lt;=(Tahmin!$C$4+34),DATE(YEAR((Tahmin!$C$4+34)),MONTH((Tahmin!$C$4+34)),MIN(DAY(Kalemler!$D140),DAY(EOMONTH((Tahmin!$C$4+34),0))))&lt;&gt;DATE(YEAR((Tahmin!$C$4+28)),MONTH((Tahmin!$C$4+28)),MIN(DAY(Kalemler!$D140),DAY(EOMONTH((Tahmin!$C$4+28),0)))),DATE(YEAR((Tahmin!$C$4+34)),MONTH((Tahmin!$C$4+34)),MIN(DAY(Kalemler!$D140),DAY(EOMONTH((Tahmin!$C$4+34),0))))&gt;=Kalemler!$D140)),1,0),IF(AND(Kalemler!$D140&gt;=(Tahmin!$C$4+28),Kalemler!$D140&lt;=(Tahmin!$C$4+34)),1,0))))</f>
        <v>0</v>
      </c>
      <c r="G140" s="0" t="n">
        <f aca="false">IF(OR(Kalemler!$A140="",Kalemler!$C140="",Kalemler!$D140=""),0,Kalemler!$C140*IF(Kalemler!$E140="Haftalık",IF(Kalemler!$D140&lt;=(Tahmin!$C$4+41),1,0),IF(Kalemler!$E140="Aylık",IF(OR(AND(DATE(YEAR((Tahmin!$C$4+35)),MONTH((Tahmin!$C$4+35)),MIN(DAY(Kalemler!$D140),DAY(EOMONTH((Tahmin!$C$4+35),0))))&gt;=(Tahmin!$C$4+35),DATE(YEAR((Tahmin!$C$4+35)),MONTH((Tahmin!$C$4+35)),MIN(DAY(Kalemler!$D140),DAY(EOMONTH((Tahmin!$C$4+35),0))))&lt;=(Tahmin!$C$4+41),DATE(YEAR((Tahmin!$C$4+35)),MONTH((Tahmin!$C$4+35)),MIN(DAY(Kalemler!$D140),DAY(EOMONTH((Tahmin!$C$4+35),0))))&gt;=Kalemler!$D140),AND(DATE(YEAR((Tahmin!$C$4+41)),MONTH((Tahmin!$C$4+41)),MIN(DAY(Kalemler!$D140),DAY(EOMONTH((Tahmin!$C$4+41),0))))&gt;=(Tahmin!$C$4+35),DATE(YEAR((Tahmin!$C$4+41)),MONTH((Tahmin!$C$4+41)),MIN(DAY(Kalemler!$D140),DAY(EOMONTH((Tahmin!$C$4+41),0))))&lt;=(Tahmin!$C$4+41),DATE(YEAR((Tahmin!$C$4+41)),MONTH((Tahmin!$C$4+41)),MIN(DAY(Kalemler!$D140),DAY(EOMONTH((Tahmin!$C$4+41),0))))&lt;&gt;DATE(YEAR((Tahmin!$C$4+35)),MONTH((Tahmin!$C$4+35)),MIN(DAY(Kalemler!$D140),DAY(EOMONTH((Tahmin!$C$4+35),0)))),DATE(YEAR((Tahmin!$C$4+41)),MONTH((Tahmin!$C$4+41)),MIN(DAY(Kalemler!$D140),DAY(EOMONTH((Tahmin!$C$4+41),0))))&gt;=Kalemler!$D140)),1,0),IF(AND(Kalemler!$D140&gt;=(Tahmin!$C$4+35),Kalemler!$D140&lt;=(Tahmin!$C$4+41)),1,0))))</f>
        <v>0</v>
      </c>
      <c r="H140" s="0" t="n">
        <f aca="false">IF(OR(Kalemler!$A140="",Kalemler!$C140="",Kalemler!$D140=""),0,Kalemler!$C140*IF(Kalemler!$E140="Haftalık",IF(Kalemler!$D140&lt;=(Tahmin!$C$4+48),1,0),IF(Kalemler!$E140="Aylık",IF(OR(AND(DATE(YEAR((Tahmin!$C$4+42)),MONTH((Tahmin!$C$4+42)),MIN(DAY(Kalemler!$D140),DAY(EOMONTH((Tahmin!$C$4+42),0))))&gt;=(Tahmin!$C$4+42),DATE(YEAR((Tahmin!$C$4+42)),MONTH((Tahmin!$C$4+42)),MIN(DAY(Kalemler!$D140),DAY(EOMONTH((Tahmin!$C$4+42),0))))&lt;=(Tahmin!$C$4+48),DATE(YEAR((Tahmin!$C$4+42)),MONTH((Tahmin!$C$4+42)),MIN(DAY(Kalemler!$D140),DAY(EOMONTH((Tahmin!$C$4+42),0))))&gt;=Kalemler!$D140),AND(DATE(YEAR((Tahmin!$C$4+48)),MONTH((Tahmin!$C$4+48)),MIN(DAY(Kalemler!$D140),DAY(EOMONTH((Tahmin!$C$4+48),0))))&gt;=(Tahmin!$C$4+42),DATE(YEAR((Tahmin!$C$4+48)),MONTH((Tahmin!$C$4+48)),MIN(DAY(Kalemler!$D140),DAY(EOMONTH((Tahmin!$C$4+48),0))))&lt;=(Tahmin!$C$4+48),DATE(YEAR((Tahmin!$C$4+48)),MONTH((Tahmin!$C$4+48)),MIN(DAY(Kalemler!$D140),DAY(EOMONTH((Tahmin!$C$4+48),0))))&lt;&gt;DATE(YEAR((Tahmin!$C$4+42)),MONTH((Tahmin!$C$4+42)),MIN(DAY(Kalemler!$D140),DAY(EOMONTH((Tahmin!$C$4+42),0)))),DATE(YEAR((Tahmin!$C$4+48)),MONTH((Tahmin!$C$4+48)),MIN(DAY(Kalemler!$D140),DAY(EOMONTH((Tahmin!$C$4+48),0))))&gt;=Kalemler!$D140)),1,0),IF(AND(Kalemler!$D140&gt;=(Tahmin!$C$4+42),Kalemler!$D140&lt;=(Tahmin!$C$4+48)),1,0))))</f>
        <v>0</v>
      </c>
      <c r="I140" s="0" t="n">
        <f aca="false">IF(OR(Kalemler!$A140="",Kalemler!$C140="",Kalemler!$D140=""),0,Kalemler!$C140*IF(Kalemler!$E140="Haftalık",IF(Kalemler!$D140&lt;=(Tahmin!$C$4+55),1,0),IF(Kalemler!$E140="Aylık",IF(OR(AND(DATE(YEAR((Tahmin!$C$4+49)),MONTH((Tahmin!$C$4+49)),MIN(DAY(Kalemler!$D140),DAY(EOMONTH((Tahmin!$C$4+49),0))))&gt;=(Tahmin!$C$4+49),DATE(YEAR((Tahmin!$C$4+49)),MONTH((Tahmin!$C$4+49)),MIN(DAY(Kalemler!$D140),DAY(EOMONTH((Tahmin!$C$4+49),0))))&lt;=(Tahmin!$C$4+55),DATE(YEAR((Tahmin!$C$4+49)),MONTH((Tahmin!$C$4+49)),MIN(DAY(Kalemler!$D140),DAY(EOMONTH((Tahmin!$C$4+49),0))))&gt;=Kalemler!$D140),AND(DATE(YEAR((Tahmin!$C$4+55)),MONTH((Tahmin!$C$4+55)),MIN(DAY(Kalemler!$D140),DAY(EOMONTH((Tahmin!$C$4+55),0))))&gt;=(Tahmin!$C$4+49),DATE(YEAR((Tahmin!$C$4+55)),MONTH((Tahmin!$C$4+55)),MIN(DAY(Kalemler!$D140),DAY(EOMONTH((Tahmin!$C$4+55),0))))&lt;=(Tahmin!$C$4+55),DATE(YEAR((Tahmin!$C$4+55)),MONTH((Tahmin!$C$4+55)),MIN(DAY(Kalemler!$D140),DAY(EOMONTH((Tahmin!$C$4+55),0))))&lt;&gt;DATE(YEAR((Tahmin!$C$4+49)),MONTH((Tahmin!$C$4+49)),MIN(DAY(Kalemler!$D140),DAY(EOMONTH((Tahmin!$C$4+49),0)))),DATE(YEAR((Tahmin!$C$4+55)),MONTH((Tahmin!$C$4+55)),MIN(DAY(Kalemler!$D140),DAY(EOMONTH((Tahmin!$C$4+55),0))))&gt;=Kalemler!$D140)),1,0),IF(AND(Kalemler!$D140&gt;=(Tahmin!$C$4+49),Kalemler!$D140&lt;=(Tahmin!$C$4+55)),1,0))))</f>
        <v>0</v>
      </c>
      <c r="J140" s="0" t="n">
        <f aca="false">IF(OR(Kalemler!$A140="",Kalemler!$C140="",Kalemler!$D140=""),0,Kalemler!$C140*IF(Kalemler!$E140="Haftalık",IF(Kalemler!$D140&lt;=(Tahmin!$C$4+62),1,0),IF(Kalemler!$E140="Aylık",IF(OR(AND(DATE(YEAR((Tahmin!$C$4+56)),MONTH((Tahmin!$C$4+56)),MIN(DAY(Kalemler!$D140),DAY(EOMONTH((Tahmin!$C$4+56),0))))&gt;=(Tahmin!$C$4+56),DATE(YEAR((Tahmin!$C$4+56)),MONTH((Tahmin!$C$4+56)),MIN(DAY(Kalemler!$D140),DAY(EOMONTH((Tahmin!$C$4+56),0))))&lt;=(Tahmin!$C$4+62),DATE(YEAR((Tahmin!$C$4+56)),MONTH((Tahmin!$C$4+56)),MIN(DAY(Kalemler!$D140),DAY(EOMONTH((Tahmin!$C$4+56),0))))&gt;=Kalemler!$D140),AND(DATE(YEAR((Tahmin!$C$4+62)),MONTH((Tahmin!$C$4+62)),MIN(DAY(Kalemler!$D140),DAY(EOMONTH((Tahmin!$C$4+62),0))))&gt;=(Tahmin!$C$4+56),DATE(YEAR((Tahmin!$C$4+62)),MONTH((Tahmin!$C$4+62)),MIN(DAY(Kalemler!$D140),DAY(EOMONTH((Tahmin!$C$4+62),0))))&lt;=(Tahmin!$C$4+62),DATE(YEAR((Tahmin!$C$4+62)),MONTH((Tahmin!$C$4+62)),MIN(DAY(Kalemler!$D140),DAY(EOMONTH((Tahmin!$C$4+62),0))))&lt;&gt;DATE(YEAR((Tahmin!$C$4+56)),MONTH((Tahmin!$C$4+56)),MIN(DAY(Kalemler!$D140),DAY(EOMONTH((Tahmin!$C$4+56),0)))),DATE(YEAR((Tahmin!$C$4+62)),MONTH((Tahmin!$C$4+62)),MIN(DAY(Kalemler!$D140),DAY(EOMONTH((Tahmin!$C$4+62),0))))&gt;=Kalemler!$D140)),1,0),IF(AND(Kalemler!$D140&gt;=(Tahmin!$C$4+56),Kalemler!$D140&lt;=(Tahmin!$C$4+62)),1,0))))</f>
        <v>0</v>
      </c>
      <c r="K140" s="0" t="n">
        <f aca="false">IF(OR(Kalemler!$A140="",Kalemler!$C140="",Kalemler!$D140=""),0,Kalemler!$C140*IF(Kalemler!$E140="Haftalık",IF(Kalemler!$D140&lt;=(Tahmin!$C$4+69),1,0),IF(Kalemler!$E140="Aylık",IF(OR(AND(DATE(YEAR((Tahmin!$C$4+63)),MONTH((Tahmin!$C$4+63)),MIN(DAY(Kalemler!$D140),DAY(EOMONTH((Tahmin!$C$4+63),0))))&gt;=(Tahmin!$C$4+63),DATE(YEAR((Tahmin!$C$4+63)),MONTH((Tahmin!$C$4+63)),MIN(DAY(Kalemler!$D140),DAY(EOMONTH((Tahmin!$C$4+63),0))))&lt;=(Tahmin!$C$4+69),DATE(YEAR((Tahmin!$C$4+63)),MONTH((Tahmin!$C$4+63)),MIN(DAY(Kalemler!$D140),DAY(EOMONTH((Tahmin!$C$4+63),0))))&gt;=Kalemler!$D140),AND(DATE(YEAR((Tahmin!$C$4+69)),MONTH((Tahmin!$C$4+69)),MIN(DAY(Kalemler!$D140),DAY(EOMONTH((Tahmin!$C$4+69),0))))&gt;=(Tahmin!$C$4+63),DATE(YEAR((Tahmin!$C$4+69)),MONTH((Tahmin!$C$4+69)),MIN(DAY(Kalemler!$D140),DAY(EOMONTH((Tahmin!$C$4+69),0))))&lt;=(Tahmin!$C$4+69),DATE(YEAR((Tahmin!$C$4+69)),MONTH((Tahmin!$C$4+69)),MIN(DAY(Kalemler!$D140),DAY(EOMONTH((Tahmin!$C$4+69),0))))&lt;&gt;DATE(YEAR((Tahmin!$C$4+63)),MONTH((Tahmin!$C$4+63)),MIN(DAY(Kalemler!$D140),DAY(EOMONTH((Tahmin!$C$4+63),0)))),DATE(YEAR((Tahmin!$C$4+69)),MONTH((Tahmin!$C$4+69)),MIN(DAY(Kalemler!$D140),DAY(EOMONTH((Tahmin!$C$4+69),0))))&gt;=Kalemler!$D140)),1,0),IF(AND(Kalemler!$D140&gt;=(Tahmin!$C$4+63),Kalemler!$D140&lt;=(Tahmin!$C$4+69)),1,0))))</f>
        <v>0</v>
      </c>
      <c r="L140" s="0" t="n">
        <f aca="false">IF(OR(Kalemler!$A140="",Kalemler!$C140="",Kalemler!$D140=""),0,Kalemler!$C140*IF(Kalemler!$E140="Haftalık",IF(Kalemler!$D140&lt;=(Tahmin!$C$4+76),1,0),IF(Kalemler!$E140="Aylık",IF(OR(AND(DATE(YEAR((Tahmin!$C$4+70)),MONTH((Tahmin!$C$4+70)),MIN(DAY(Kalemler!$D140),DAY(EOMONTH((Tahmin!$C$4+70),0))))&gt;=(Tahmin!$C$4+70),DATE(YEAR((Tahmin!$C$4+70)),MONTH((Tahmin!$C$4+70)),MIN(DAY(Kalemler!$D140),DAY(EOMONTH((Tahmin!$C$4+70),0))))&lt;=(Tahmin!$C$4+76),DATE(YEAR((Tahmin!$C$4+70)),MONTH((Tahmin!$C$4+70)),MIN(DAY(Kalemler!$D140),DAY(EOMONTH((Tahmin!$C$4+70),0))))&gt;=Kalemler!$D140),AND(DATE(YEAR((Tahmin!$C$4+76)),MONTH((Tahmin!$C$4+76)),MIN(DAY(Kalemler!$D140),DAY(EOMONTH((Tahmin!$C$4+76),0))))&gt;=(Tahmin!$C$4+70),DATE(YEAR((Tahmin!$C$4+76)),MONTH((Tahmin!$C$4+76)),MIN(DAY(Kalemler!$D140),DAY(EOMONTH((Tahmin!$C$4+76),0))))&lt;=(Tahmin!$C$4+76),DATE(YEAR((Tahmin!$C$4+76)),MONTH((Tahmin!$C$4+76)),MIN(DAY(Kalemler!$D140),DAY(EOMONTH((Tahmin!$C$4+76),0))))&lt;&gt;DATE(YEAR((Tahmin!$C$4+70)),MONTH((Tahmin!$C$4+70)),MIN(DAY(Kalemler!$D140),DAY(EOMONTH((Tahmin!$C$4+70),0)))),DATE(YEAR((Tahmin!$C$4+76)),MONTH((Tahmin!$C$4+76)),MIN(DAY(Kalemler!$D140),DAY(EOMONTH((Tahmin!$C$4+76),0))))&gt;=Kalemler!$D140)),1,0),IF(AND(Kalemler!$D140&gt;=(Tahmin!$C$4+70),Kalemler!$D140&lt;=(Tahmin!$C$4+76)),1,0))))</f>
        <v>0</v>
      </c>
      <c r="M140" s="0" t="n">
        <f aca="false">IF(OR(Kalemler!$A140="",Kalemler!$C140="",Kalemler!$D140=""),0,Kalemler!$C140*IF(Kalemler!$E140="Haftalık",IF(Kalemler!$D140&lt;=(Tahmin!$C$4+83),1,0),IF(Kalemler!$E140="Aylık",IF(OR(AND(DATE(YEAR((Tahmin!$C$4+77)),MONTH((Tahmin!$C$4+77)),MIN(DAY(Kalemler!$D140),DAY(EOMONTH((Tahmin!$C$4+77),0))))&gt;=(Tahmin!$C$4+77),DATE(YEAR((Tahmin!$C$4+77)),MONTH((Tahmin!$C$4+77)),MIN(DAY(Kalemler!$D140),DAY(EOMONTH((Tahmin!$C$4+77),0))))&lt;=(Tahmin!$C$4+83),DATE(YEAR((Tahmin!$C$4+77)),MONTH((Tahmin!$C$4+77)),MIN(DAY(Kalemler!$D140),DAY(EOMONTH((Tahmin!$C$4+77),0))))&gt;=Kalemler!$D140),AND(DATE(YEAR((Tahmin!$C$4+83)),MONTH((Tahmin!$C$4+83)),MIN(DAY(Kalemler!$D140),DAY(EOMONTH((Tahmin!$C$4+83),0))))&gt;=(Tahmin!$C$4+77),DATE(YEAR((Tahmin!$C$4+83)),MONTH((Tahmin!$C$4+83)),MIN(DAY(Kalemler!$D140),DAY(EOMONTH((Tahmin!$C$4+83),0))))&lt;=(Tahmin!$C$4+83),DATE(YEAR((Tahmin!$C$4+83)),MONTH((Tahmin!$C$4+83)),MIN(DAY(Kalemler!$D140),DAY(EOMONTH((Tahmin!$C$4+83),0))))&lt;&gt;DATE(YEAR((Tahmin!$C$4+77)),MONTH((Tahmin!$C$4+77)),MIN(DAY(Kalemler!$D140),DAY(EOMONTH((Tahmin!$C$4+77),0)))),DATE(YEAR((Tahmin!$C$4+83)),MONTH((Tahmin!$C$4+83)),MIN(DAY(Kalemler!$D140),DAY(EOMONTH((Tahmin!$C$4+83),0))))&gt;=Kalemler!$D140)),1,0),IF(AND(Kalemler!$D140&gt;=(Tahmin!$C$4+77),Kalemler!$D140&lt;=(Tahmin!$C$4+83)),1,0))))</f>
        <v>0</v>
      </c>
      <c r="N140" s="0" t="n">
        <f aca="false">IF(OR(Kalemler!$A140="",Kalemler!$C140="",Kalemler!$D140=""),0,Kalemler!$C140*IF(Kalemler!$E140="Haftalık",IF(Kalemler!$D140&lt;=(Tahmin!$C$4+90),1,0),IF(Kalemler!$E140="Aylık",IF(OR(AND(DATE(YEAR((Tahmin!$C$4+84)),MONTH((Tahmin!$C$4+84)),MIN(DAY(Kalemler!$D140),DAY(EOMONTH((Tahmin!$C$4+84),0))))&gt;=(Tahmin!$C$4+84),DATE(YEAR((Tahmin!$C$4+84)),MONTH((Tahmin!$C$4+84)),MIN(DAY(Kalemler!$D140),DAY(EOMONTH((Tahmin!$C$4+84),0))))&lt;=(Tahmin!$C$4+90),DATE(YEAR((Tahmin!$C$4+84)),MONTH((Tahmin!$C$4+84)),MIN(DAY(Kalemler!$D140),DAY(EOMONTH((Tahmin!$C$4+84),0))))&gt;=Kalemler!$D140),AND(DATE(YEAR((Tahmin!$C$4+90)),MONTH((Tahmin!$C$4+90)),MIN(DAY(Kalemler!$D140),DAY(EOMONTH((Tahmin!$C$4+90),0))))&gt;=(Tahmin!$C$4+84),DATE(YEAR((Tahmin!$C$4+90)),MONTH((Tahmin!$C$4+90)),MIN(DAY(Kalemler!$D140),DAY(EOMONTH((Tahmin!$C$4+90),0))))&lt;=(Tahmin!$C$4+90),DATE(YEAR((Tahmin!$C$4+90)),MONTH((Tahmin!$C$4+90)),MIN(DAY(Kalemler!$D140),DAY(EOMONTH((Tahmin!$C$4+90),0))))&lt;&gt;DATE(YEAR((Tahmin!$C$4+84)),MONTH((Tahmin!$C$4+84)),MIN(DAY(Kalemler!$D140),DAY(EOMONTH((Tahmin!$C$4+84),0)))),DATE(YEAR((Tahmin!$C$4+90)),MONTH((Tahmin!$C$4+90)),MIN(DAY(Kalemler!$D140),DAY(EOMONTH((Tahmin!$C$4+90),0))))&gt;=Kalemler!$D140)),1,0),IF(AND(Kalemler!$D140&gt;=(Tahmin!$C$4+84),Kalemler!$D140&lt;=(Tahmin!$C$4+90)),1,0))))</f>
        <v>0</v>
      </c>
    </row>
    <row r="141" customFormat="false" ht="15" hidden="false" customHeight="false" outlineLevel="0" collapsed="false">
      <c r="A141" s="0" t="str">
        <f aca="false">IF(Kalemler!A141="","",Kalemler!A141)</f>
        <v/>
      </c>
      <c r="B141" s="0" t="n">
        <f aca="false">IF(OR(Kalemler!$A141="",Kalemler!$C141="",Kalemler!$D141=""),0,Kalemler!$C141*IF(Kalemler!$E141="Haftalık",IF(Kalemler!$D141&lt;=(Tahmin!$C$4+6),1,0),IF(Kalemler!$E141="Aylık",IF(OR(AND(DATE(YEAR((Tahmin!$C$4+0)),MONTH((Tahmin!$C$4+0)),MIN(DAY(Kalemler!$D141),DAY(EOMONTH((Tahmin!$C$4+0),0))))&gt;=(Tahmin!$C$4+0),DATE(YEAR((Tahmin!$C$4+0)),MONTH((Tahmin!$C$4+0)),MIN(DAY(Kalemler!$D141),DAY(EOMONTH((Tahmin!$C$4+0),0))))&lt;=(Tahmin!$C$4+6),DATE(YEAR((Tahmin!$C$4+0)),MONTH((Tahmin!$C$4+0)),MIN(DAY(Kalemler!$D141),DAY(EOMONTH((Tahmin!$C$4+0),0))))&gt;=Kalemler!$D141),AND(DATE(YEAR((Tahmin!$C$4+6)),MONTH((Tahmin!$C$4+6)),MIN(DAY(Kalemler!$D141),DAY(EOMONTH((Tahmin!$C$4+6),0))))&gt;=(Tahmin!$C$4+0),DATE(YEAR((Tahmin!$C$4+6)),MONTH((Tahmin!$C$4+6)),MIN(DAY(Kalemler!$D141),DAY(EOMONTH((Tahmin!$C$4+6),0))))&lt;=(Tahmin!$C$4+6),DATE(YEAR((Tahmin!$C$4+6)),MONTH((Tahmin!$C$4+6)),MIN(DAY(Kalemler!$D141),DAY(EOMONTH((Tahmin!$C$4+6),0))))&lt;&gt;DATE(YEAR((Tahmin!$C$4+0)),MONTH((Tahmin!$C$4+0)),MIN(DAY(Kalemler!$D141),DAY(EOMONTH((Tahmin!$C$4+0),0)))),DATE(YEAR((Tahmin!$C$4+6)),MONTH((Tahmin!$C$4+6)),MIN(DAY(Kalemler!$D141),DAY(EOMONTH((Tahmin!$C$4+6),0))))&gt;=Kalemler!$D141)),1,0),IF(AND(Kalemler!$D141&gt;=(Tahmin!$C$4+0),Kalemler!$D141&lt;=(Tahmin!$C$4+6)),1,0))))</f>
        <v>0</v>
      </c>
      <c r="C141" s="0" t="n">
        <f aca="false">IF(OR(Kalemler!$A141="",Kalemler!$C141="",Kalemler!$D141=""),0,Kalemler!$C141*IF(Kalemler!$E141="Haftalık",IF(Kalemler!$D141&lt;=(Tahmin!$C$4+13),1,0),IF(Kalemler!$E141="Aylık",IF(OR(AND(DATE(YEAR((Tahmin!$C$4+7)),MONTH((Tahmin!$C$4+7)),MIN(DAY(Kalemler!$D141),DAY(EOMONTH((Tahmin!$C$4+7),0))))&gt;=(Tahmin!$C$4+7),DATE(YEAR((Tahmin!$C$4+7)),MONTH((Tahmin!$C$4+7)),MIN(DAY(Kalemler!$D141),DAY(EOMONTH((Tahmin!$C$4+7),0))))&lt;=(Tahmin!$C$4+13),DATE(YEAR((Tahmin!$C$4+7)),MONTH((Tahmin!$C$4+7)),MIN(DAY(Kalemler!$D141),DAY(EOMONTH((Tahmin!$C$4+7),0))))&gt;=Kalemler!$D141),AND(DATE(YEAR((Tahmin!$C$4+13)),MONTH((Tahmin!$C$4+13)),MIN(DAY(Kalemler!$D141),DAY(EOMONTH((Tahmin!$C$4+13),0))))&gt;=(Tahmin!$C$4+7),DATE(YEAR((Tahmin!$C$4+13)),MONTH((Tahmin!$C$4+13)),MIN(DAY(Kalemler!$D141),DAY(EOMONTH((Tahmin!$C$4+13),0))))&lt;=(Tahmin!$C$4+13),DATE(YEAR((Tahmin!$C$4+13)),MONTH((Tahmin!$C$4+13)),MIN(DAY(Kalemler!$D141),DAY(EOMONTH((Tahmin!$C$4+13),0))))&lt;&gt;DATE(YEAR((Tahmin!$C$4+7)),MONTH((Tahmin!$C$4+7)),MIN(DAY(Kalemler!$D141),DAY(EOMONTH((Tahmin!$C$4+7),0)))),DATE(YEAR((Tahmin!$C$4+13)),MONTH((Tahmin!$C$4+13)),MIN(DAY(Kalemler!$D141),DAY(EOMONTH((Tahmin!$C$4+13),0))))&gt;=Kalemler!$D141)),1,0),IF(AND(Kalemler!$D141&gt;=(Tahmin!$C$4+7),Kalemler!$D141&lt;=(Tahmin!$C$4+13)),1,0))))</f>
        <v>0</v>
      </c>
      <c r="D141" s="0" t="n">
        <f aca="false">IF(OR(Kalemler!$A141="",Kalemler!$C141="",Kalemler!$D141=""),0,Kalemler!$C141*IF(Kalemler!$E141="Haftalık",IF(Kalemler!$D141&lt;=(Tahmin!$C$4+20),1,0),IF(Kalemler!$E141="Aylık",IF(OR(AND(DATE(YEAR((Tahmin!$C$4+14)),MONTH((Tahmin!$C$4+14)),MIN(DAY(Kalemler!$D141),DAY(EOMONTH((Tahmin!$C$4+14),0))))&gt;=(Tahmin!$C$4+14),DATE(YEAR((Tahmin!$C$4+14)),MONTH((Tahmin!$C$4+14)),MIN(DAY(Kalemler!$D141),DAY(EOMONTH((Tahmin!$C$4+14),0))))&lt;=(Tahmin!$C$4+20),DATE(YEAR((Tahmin!$C$4+14)),MONTH((Tahmin!$C$4+14)),MIN(DAY(Kalemler!$D141),DAY(EOMONTH((Tahmin!$C$4+14),0))))&gt;=Kalemler!$D141),AND(DATE(YEAR((Tahmin!$C$4+20)),MONTH((Tahmin!$C$4+20)),MIN(DAY(Kalemler!$D141),DAY(EOMONTH((Tahmin!$C$4+20),0))))&gt;=(Tahmin!$C$4+14),DATE(YEAR((Tahmin!$C$4+20)),MONTH((Tahmin!$C$4+20)),MIN(DAY(Kalemler!$D141),DAY(EOMONTH((Tahmin!$C$4+20),0))))&lt;=(Tahmin!$C$4+20),DATE(YEAR((Tahmin!$C$4+20)),MONTH((Tahmin!$C$4+20)),MIN(DAY(Kalemler!$D141),DAY(EOMONTH((Tahmin!$C$4+20),0))))&lt;&gt;DATE(YEAR((Tahmin!$C$4+14)),MONTH((Tahmin!$C$4+14)),MIN(DAY(Kalemler!$D141),DAY(EOMONTH((Tahmin!$C$4+14),0)))),DATE(YEAR((Tahmin!$C$4+20)),MONTH((Tahmin!$C$4+20)),MIN(DAY(Kalemler!$D141),DAY(EOMONTH((Tahmin!$C$4+20),0))))&gt;=Kalemler!$D141)),1,0),IF(AND(Kalemler!$D141&gt;=(Tahmin!$C$4+14),Kalemler!$D141&lt;=(Tahmin!$C$4+20)),1,0))))</f>
        <v>0</v>
      </c>
      <c r="E141" s="0" t="n">
        <f aca="false">IF(OR(Kalemler!$A141="",Kalemler!$C141="",Kalemler!$D141=""),0,Kalemler!$C141*IF(Kalemler!$E141="Haftalık",IF(Kalemler!$D141&lt;=(Tahmin!$C$4+27),1,0),IF(Kalemler!$E141="Aylık",IF(OR(AND(DATE(YEAR((Tahmin!$C$4+21)),MONTH((Tahmin!$C$4+21)),MIN(DAY(Kalemler!$D141),DAY(EOMONTH((Tahmin!$C$4+21),0))))&gt;=(Tahmin!$C$4+21),DATE(YEAR((Tahmin!$C$4+21)),MONTH((Tahmin!$C$4+21)),MIN(DAY(Kalemler!$D141),DAY(EOMONTH((Tahmin!$C$4+21),0))))&lt;=(Tahmin!$C$4+27),DATE(YEAR((Tahmin!$C$4+21)),MONTH((Tahmin!$C$4+21)),MIN(DAY(Kalemler!$D141),DAY(EOMONTH((Tahmin!$C$4+21),0))))&gt;=Kalemler!$D141),AND(DATE(YEAR((Tahmin!$C$4+27)),MONTH((Tahmin!$C$4+27)),MIN(DAY(Kalemler!$D141),DAY(EOMONTH((Tahmin!$C$4+27),0))))&gt;=(Tahmin!$C$4+21),DATE(YEAR((Tahmin!$C$4+27)),MONTH((Tahmin!$C$4+27)),MIN(DAY(Kalemler!$D141),DAY(EOMONTH((Tahmin!$C$4+27),0))))&lt;=(Tahmin!$C$4+27),DATE(YEAR((Tahmin!$C$4+27)),MONTH((Tahmin!$C$4+27)),MIN(DAY(Kalemler!$D141),DAY(EOMONTH((Tahmin!$C$4+27),0))))&lt;&gt;DATE(YEAR((Tahmin!$C$4+21)),MONTH((Tahmin!$C$4+21)),MIN(DAY(Kalemler!$D141),DAY(EOMONTH((Tahmin!$C$4+21),0)))),DATE(YEAR((Tahmin!$C$4+27)),MONTH((Tahmin!$C$4+27)),MIN(DAY(Kalemler!$D141),DAY(EOMONTH((Tahmin!$C$4+27),0))))&gt;=Kalemler!$D141)),1,0),IF(AND(Kalemler!$D141&gt;=(Tahmin!$C$4+21),Kalemler!$D141&lt;=(Tahmin!$C$4+27)),1,0))))</f>
        <v>0</v>
      </c>
      <c r="F141" s="0" t="n">
        <f aca="false">IF(OR(Kalemler!$A141="",Kalemler!$C141="",Kalemler!$D141=""),0,Kalemler!$C141*IF(Kalemler!$E141="Haftalık",IF(Kalemler!$D141&lt;=(Tahmin!$C$4+34),1,0),IF(Kalemler!$E141="Aylık",IF(OR(AND(DATE(YEAR((Tahmin!$C$4+28)),MONTH((Tahmin!$C$4+28)),MIN(DAY(Kalemler!$D141),DAY(EOMONTH((Tahmin!$C$4+28),0))))&gt;=(Tahmin!$C$4+28),DATE(YEAR((Tahmin!$C$4+28)),MONTH((Tahmin!$C$4+28)),MIN(DAY(Kalemler!$D141),DAY(EOMONTH((Tahmin!$C$4+28),0))))&lt;=(Tahmin!$C$4+34),DATE(YEAR((Tahmin!$C$4+28)),MONTH((Tahmin!$C$4+28)),MIN(DAY(Kalemler!$D141),DAY(EOMONTH((Tahmin!$C$4+28),0))))&gt;=Kalemler!$D141),AND(DATE(YEAR((Tahmin!$C$4+34)),MONTH((Tahmin!$C$4+34)),MIN(DAY(Kalemler!$D141),DAY(EOMONTH((Tahmin!$C$4+34),0))))&gt;=(Tahmin!$C$4+28),DATE(YEAR((Tahmin!$C$4+34)),MONTH((Tahmin!$C$4+34)),MIN(DAY(Kalemler!$D141),DAY(EOMONTH((Tahmin!$C$4+34),0))))&lt;=(Tahmin!$C$4+34),DATE(YEAR((Tahmin!$C$4+34)),MONTH((Tahmin!$C$4+34)),MIN(DAY(Kalemler!$D141),DAY(EOMONTH((Tahmin!$C$4+34),0))))&lt;&gt;DATE(YEAR((Tahmin!$C$4+28)),MONTH((Tahmin!$C$4+28)),MIN(DAY(Kalemler!$D141),DAY(EOMONTH((Tahmin!$C$4+28),0)))),DATE(YEAR((Tahmin!$C$4+34)),MONTH((Tahmin!$C$4+34)),MIN(DAY(Kalemler!$D141),DAY(EOMONTH((Tahmin!$C$4+34),0))))&gt;=Kalemler!$D141)),1,0),IF(AND(Kalemler!$D141&gt;=(Tahmin!$C$4+28),Kalemler!$D141&lt;=(Tahmin!$C$4+34)),1,0))))</f>
        <v>0</v>
      </c>
      <c r="G141" s="0" t="n">
        <f aca="false">IF(OR(Kalemler!$A141="",Kalemler!$C141="",Kalemler!$D141=""),0,Kalemler!$C141*IF(Kalemler!$E141="Haftalık",IF(Kalemler!$D141&lt;=(Tahmin!$C$4+41),1,0),IF(Kalemler!$E141="Aylık",IF(OR(AND(DATE(YEAR((Tahmin!$C$4+35)),MONTH((Tahmin!$C$4+35)),MIN(DAY(Kalemler!$D141),DAY(EOMONTH((Tahmin!$C$4+35),0))))&gt;=(Tahmin!$C$4+35),DATE(YEAR((Tahmin!$C$4+35)),MONTH((Tahmin!$C$4+35)),MIN(DAY(Kalemler!$D141),DAY(EOMONTH((Tahmin!$C$4+35),0))))&lt;=(Tahmin!$C$4+41),DATE(YEAR((Tahmin!$C$4+35)),MONTH((Tahmin!$C$4+35)),MIN(DAY(Kalemler!$D141),DAY(EOMONTH((Tahmin!$C$4+35),0))))&gt;=Kalemler!$D141),AND(DATE(YEAR((Tahmin!$C$4+41)),MONTH((Tahmin!$C$4+41)),MIN(DAY(Kalemler!$D141),DAY(EOMONTH((Tahmin!$C$4+41),0))))&gt;=(Tahmin!$C$4+35),DATE(YEAR((Tahmin!$C$4+41)),MONTH((Tahmin!$C$4+41)),MIN(DAY(Kalemler!$D141),DAY(EOMONTH((Tahmin!$C$4+41),0))))&lt;=(Tahmin!$C$4+41),DATE(YEAR((Tahmin!$C$4+41)),MONTH((Tahmin!$C$4+41)),MIN(DAY(Kalemler!$D141),DAY(EOMONTH((Tahmin!$C$4+41),0))))&lt;&gt;DATE(YEAR((Tahmin!$C$4+35)),MONTH((Tahmin!$C$4+35)),MIN(DAY(Kalemler!$D141),DAY(EOMONTH((Tahmin!$C$4+35),0)))),DATE(YEAR((Tahmin!$C$4+41)),MONTH((Tahmin!$C$4+41)),MIN(DAY(Kalemler!$D141),DAY(EOMONTH((Tahmin!$C$4+41),0))))&gt;=Kalemler!$D141)),1,0),IF(AND(Kalemler!$D141&gt;=(Tahmin!$C$4+35),Kalemler!$D141&lt;=(Tahmin!$C$4+41)),1,0))))</f>
        <v>0</v>
      </c>
      <c r="H141" s="0" t="n">
        <f aca="false">IF(OR(Kalemler!$A141="",Kalemler!$C141="",Kalemler!$D141=""),0,Kalemler!$C141*IF(Kalemler!$E141="Haftalık",IF(Kalemler!$D141&lt;=(Tahmin!$C$4+48),1,0),IF(Kalemler!$E141="Aylık",IF(OR(AND(DATE(YEAR((Tahmin!$C$4+42)),MONTH((Tahmin!$C$4+42)),MIN(DAY(Kalemler!$D141),DAY(EOMONTH((Tahmin!$C$4+42),0))))&gt;=(Tahmin!$C$4+42),DATE(YEAR((Tahmin!$C$4+42)),MONTH((Tahmin!$C$4+42)),MIN(DAY(Kalemler!$D141),DAY(EOMONTH((Tahmin!$C$4+42),0))))&lt;=(Tahmin!$C$4+48),DATE(YEAR((Tahmin!$C$4+42)),MONTH((Tahmin!$C$4+42)),MIN(DAY(Kalemler!$D141),DAY(EOMONTH((Tahmin!$C$4+42),0))))&gt;=Kalemler!$D141),AND(DATE(YEAR((Tahmin!$C$4+48)),MONTH((Tahmin!$C$4+48)),MIN(DAY(Kalemler!$D141),DAY(EOMONTH((Tahmin!$C$4+48),0))))&gt;=(Tahmin!$C$4+42),DATE(YEAR((Tahmin!$C$4+48)),MONTH((Tahmin!$C$4+48)),MIN(DAY(Kalemler!$D141),DAY(EOMONTH((Tahmin!$C$4+48),0))))&lt;=(Tahmin!$C$4+48),DATE(YEAR((Tahmin!$C$4+48)),MONTH((Tahmin!$C$4+48)),MIN(DAY(Kalemler!$D141),DAY(EOMONTH((Tahmin!$C$4+48),0))))&lt;&gt;DATE(YEAR((Tahmin!$C$4+42)),MONTH((Tahmin!$C$4+42)),MIN(DAY(Kalemler!$D141),DAY(EOMONTH((Tahmin!$C$4+42),0)))),DATE(YEAR((Tahmin!$C$4+48)),MONTH((Tahmin!$C$4+48)),MIN(DAY(Kalemler!$D141),DAY(EOMONTH((Tahmin!$C$4+48),0))))&gt;=Kalemler!$D141)),1,0),IF(AND(Kalemler!$D141&gt;=(Tahmin!$C$4+42),Kalemler!$D141&lt;=(Tahmin!$C$4+48)),1,0))))</f>
        <v>0</v>
      </c>
      <c r="I141" s="0" t="n">
        <f aca="false">IF(OR(Kalemler!$A141="",Kalemler!$C141="",Kalemler!$D141=""),0,Kalemler!$C141*IF(Kalemler!$E141="Haftalık",IF(Kalemler!$D141&lt;=(Tahmin!$C$4+55),1,0),IF(Kalemler!$E141="Aylık",IF(OR(AND(DATE(YEAR((Tahmin!$C$4+49)),MONTH((Tahmin!$C$4+49)),MIN(DAY(Kalemler!$D141),DAY(EOMONTH((Tahmin!$C$4+49),0))))&gt;=(Tahmin!$C$4+49),DATE(YEAR((Tahmin!$C$4+49)),MONTH((Tahmin!$C$4+49)),MIN(DAY(Kalemler!$D141),DAY(EOMONTH((Tahmin!$C$4+49),0))))&lt;=(Tahmin!$C$4+55),DATE(YEAR((Tahmin!$C$4+49)),MONTH((Tahmin!$C$4+49)),MIN(DAY(Kalemler!$D141),DAY(EOMONTH((Tahmin!$C$4+49),0))))&gt;=Kalemler!$D141),AND(DATE(YEAR((Tahmin!$C$4+55)),MONTH((Tahmin!$C$4+55)),MIN(DAY(Kalemler!$D141),DAY(EOMONTH((Tahmin!$C$4+55),0))))&gt;=(Tahmin!$C$4+49),DATE(YEAR((Tahmin!$C$4+55)),MONTH((Tahmin!$C$4+55)),MIN(DAY(Kalemler!$D141),DAY(EOMONTH((Tahmin!$C$4+55),0))))&lt;=(Tahmin!$C$4+55),DATE(YEAR((Tahmin!$C$4+55)),MONTH((Tahmin!$C$4+55)),MIN(DAY(Kalemler!$D141),DAY(EOMONTH((Tahmin!$C$4+55),0))))&lt;&gt;DATE(YEAR((Tahmin!$C$4+49)),MONTH((Tahmin!$C$4+49)),MIN(DAY(Kalemler!$D141),DAY(EOMONTH((Tahmin!$C$4+49),0)))),DATE(YEAR((Tahmin!$C$4+55)),MONTH((Tahmin!$C$4+55)),MIN(DAY(Kalemler!$D141),DAY(EOMONTH((Tahmin!$C$4+55),0))))&gt;=Kalemler!$D141)),1,0),IF(AND(Kalemler!$D141&gt;=(Tahmin!$C$4+49),Kalemler!$D141&lt;=(Tahmin!$C$4+55)),1,0))))</f>
        <v>0</v>
      </c>
      <c r="J141" s="0" t="n">
        <f aca="false">IF(OR(Kalemler!$A141="",Kalemler!$C141="",Kalemler!$D141=""),0,Kalemler!$C141*IF(Kalemler!$E141="Haftalık",IF(Kalemler!$D141&lt;=(Tahmin!$C$4+62),1,0),IF(Kalemler!$E141="Aylık",IF(OR(AND(DATE(YEAR((Tahmin!$C$4+56)),MONTH((Tahmin!$C$4+56)),MIN(DAY(Kalemler!$D141),DAY(EOMONTH((Tahmin!$C$4+56),0))))&gt;=(Tahmin!$C$4+56),DATE(YEAR((Tahmin!$C$4+56)),MONTH((Tahmin!$C$4+56)),MIN(DAY(Kalemler!$D141),DAY(EOMONTH((Tahmin!$C$4+56),0))))&lt;=(Tahmin!$C$4+62),DATE(YEAR((Tahmin!$C$4+56)),MONTH((Tahmin!$C$4+56)),MIN(DAY(Kalemler!$D141),DAY(EOMONTH((Tahmin!$C$4+56),0))))&gt;=Kalemler!$D141),AND(DATE(YEAR((Tahmin!$C$4+62)),MONTH((Tahmin!$C$4+62)),MIN(DAY(Kalemler!$D141),DAY(EOMONTH((Tahmin!$C$4+62),0))))&gt;=(Tahmin!$C$4+56),DATE(YEAR((Tahmin!$C$4+62)),MONTH((Tahmin!$C$4+62)),MIN(DAY(Kalemler!$D141),DAY(EOMONTH((Tahmin!$C$4+62),0))))&lt;=(Tahmin!$C$4+62),DATE(YEAR((Tahmin!$C$4+62)),MONTH((Tahmin!$C$4+62)),MIN(DAY(Kalemler!$D141),DAY(EOMONTH((Tahmin!$C$4+62),0))))&lt;&gt;DATE(YEAR((Tahmin!$C$4+56)),MONTH((Tahmin!$C$4+56)),MIN(DAY(Kalemler!$D141),DAY(EOMONTH((Tahmin!$C$4+56),0)))),DATE(YEAR((Tahmin!$C$4+62)),MONTH((Tahmin!$C$4+62)),MIN(DAY(Kalemler!$D141),DAY(EOMONTH((Tahmin!$C$4+62),0))))&gt;=Kalemler!$D141)),1,0),IF(AND(Kalemler!$D141&gt;=(Tahmin!$C$4+56),Kalemler!$D141&lt;=(Tahmin!$C$4+62)),1,0))))</f>
        <v>0</v>
      </c>
      <c r="K141" s="0" t="n">
        <f aca="false">IF(OR(Kalemler!$A141="",Kalemler!$C141="",Kalemler!$D141=""),0,Kalemler!$C141*IF(Kalemler!$E141="Haftalık",IF(Kalemler!$D141&lt;=(Tahmin!$C$4+69),1,0),IF(Kalemler!$E141="Aylık",IF(OR(AND(DATE(YEAR((Tahmin!$C$4+63)),MONTH((Tahmin!$C$4+63)),MIN(DAY(Kalemler!$D141),DAY(EOMONTH((Tahmin!$C$4+63),0))))&gt;=(Tahmin!$C$4+63),DATE(YEAR((Tahmin!$C$4+63)),MONTH((Tahmin!$C$4+63)),MIN(DAY(Kalemler!$D141),DAY(EOMONTH((Tahmin!$C$4+63),0))))&lt;=(Tahmin!$C$4+69),DATE(YEAR((Tahmin!$C$4+63)),MONTH((Tahmin!$C$4+63)),MIN(DAY(Kalemler!$D141),DAY(EOMONTH((Tahmin!$C$4+63),0))))&gt;=Kalemler!$D141),AND(DATE(YEAR((Tahmin!$C$4+69)),MONTH((Tahmin!$C$4+69)),MIN(DAY(Kalemler!$D141),DAY(EOMONTH((Tahmin!$C$4+69),0))))&gt;=(Tahmin!$C$4+63),DATE(YEAR((Tahmin!$C$4+69)),MONTH((Tahmin!$C$4+69)),MIN(DAY(Kalemler!$D141),DAY(EOMONTH((Tahmin!$C$4+69),0))))&lt;=(Tahmin!$C$4+69),DATE(YEAR((Tahmin!$C$4+69)),MONTH((Tahmin!$C$4+69)),MIN(DAY(Kalemler!$D141),DAY(EOMONTH((Tahmin!$C$4+69),0))))&lt;&gt;DATE(YEAR((Tahmin!$C$4+63)),MONTH((Tahmin!$C$4+63)),MIN(DAY(Kalemler!$D141),DAY(EOMONTH((Tahmin!$C$4+63),0)))),DATE(YEAR((Tahmin!$C$4+69)),MONTH((Tahmin!$C$4+69)),MIN(DAY(Kalemler!$D141),DAY(EOMONTH((Tahmin!$C$4+69),0))))&gt;=Kalemler!$D141)),1,0),IF(AND(Kalemler!$D141&gt;=(Tahmin!$C$4+63),Kalemler!$D141&lt;=(Tahmin!$C$4+69)),1,0))))</f>
        <v>0</v>
      </c>
      <c r="L141" s="0" t="n">
        <f aca="false">IF(OR(Kalemler!$A141="",Kalemler!$C141="",Kalemler!$D141=""),0,Kalemler!$C141*IF(Kalemler!$E141="Haftalık",IF(Kalemler!$D141&lt;=(Tahmin!$C$4+76),1,0),IF(Kalemler!$E141="Aylık",IF(OR(AND(DATE(YEAR((Tahmin!$C$4+70)),MONTH((Tahmin!$C$4+70)),MIN(DAY(Kalemler!$D141),DAY(EOMONTH((Tahmin!$C$4+70),0))))&gt;=(Tahmin!$C$4+70),DATE(YEAR((Tahmin!$C$4+70)),MONTH((Tahmin!$C$4+70)),MIN(DAY(Kalemler!$D141),DAY(EOMONTH((Tahmin!$C$4+70),0))))&lt;=(Tahmin!$C$4+76),DATE(YEAR((Tahmin!$C$4+70)),MONTH((Tahmin!$C$4+70)),MIN(DAY(Kalemler!$D141),DAY(EOMONTH((Tahmin!$C$4+70),0))))&gt;=Kalemler!$D141),AND(DATE(YEAR((Tahmin!$C$4+76)),MONTH((Tahmin!$C$4+76)),MIN(DAY(Kalemler!$D141),DAY(EOMONTH((Tahmin!$C$4+76),0))))&gt;=(Tahmin!$C$4+70),DATE(YEAR((Tahmin!$C$4+76)),MONTH((Tahmin!$C$4+76)),MIN(DAY(Kalemler!$D141),DAY(EOMONTH((Tahmin!$C$4+76),0))))&lt;=(Tahmin!$C$4+76),DATE(YEAR((Tahmin!$C$4+76)),MONTH((Tahmin!$C$4+76)),MIN(DAY(Kalemler!$D141),DAY(EOMONTH((Tahmin!$C$4+76),0))))&lt;&gt;DATE(YEAR((Tahmin!$C$4+70)),MONTH((Tahmin!$C$4+70)),MIN(DAY(Kalemler!$D141),DAY(EOMONTH((Tahmin!$C$4+70),0)))),DATE(YEAR((Tahmin!$C$4+76)),MONTH((Tahmin!$C$4+76)),MIN(DAY(Kalemler!$D141),DAY(EOMONTH((Tahmin!$C$4+76),0))))&gt;=Kalemler!$D141)),1,0),IF(AND(Kalemler!$D141&gt;=(Tahmin!$C$4+70),Kalemler!$D141&lt;=(Tahmin!$C$4+76)),1,0))))</f>
        <v>0</v>
      </c>
      <c r="M141" s="0" t="n">
        <f aca="false">IF(OR(Kalemler!$A141="",Kalemler!$C141="",Kalemler!$D141=""),0,Kalemler!$C141*IF(Kalemler!$E141="Haftalık",IF(Kalemler!$D141&lt;=(Tahmin!$C$4+83),1,0),IF(Kalemler!$E141="Aylık",IF(OR(AND(DATE(YEAR((Tahmin!$C$4+77)),MONTH((Tahmin!$C$4+77)),MIN(DAY(Kalemler!$D141),DAY(EOMONTH((Tahmin!$C$4+77),0))))&gt;=(Tahmin!$C$4+77),DATE(YEAR((Tahmin!$C$4+77)),MONTH((Tahmin!$C$4+77)),MIN(DAY(Kalemler!$D141),DAY(EOMONTH((Tahmin!$C$4+77),0))))&lt;=(Tahmin!$C$4+83),DATE(YEAR((Tahmin!$C$4+77)),MONTH((Tahmin!$C$4+77)),MIN(DAY(Kalemler!$D141),DAY(EOMONTH((Tahmin!$C$4+77),0))))&gt;=Kalemler!$D141),AND(DATE(YEAR((Tahmin!$C$4+83)),MONTH((Tahmin!$C$4+83)),MIN(DAY(Kalemler!$D141),DAY(EOMONTH((Tahmin!$C$4+83),0))))&gt;=(Tahmin!$C$4+77),DATE(YEAR((Tahmin!$C$4+83)),MONTH((Tahmin!$C$4+83)),MIN(DAY(Kalemler!$D141),DAY(EOMONTH((Tahmin!$C$4+83),0))))&lt;=(Tahmin!$C$4+83),DATE(YEAR((Tahmin!$C$4+83)),MONTH((Tahmin!$C$4+83)),MIN(DAY(Kalemler!$D141),DAY(EOMONTH((Tahmin!$C$4+83),0))))&lt;&gt;DATE(YEAR((Tahmin!$C$4+77)),MONTH((Tahmin!$C$4+77)),MIN(DAY(Kalemler!$D141),DAY(EOMONTH((Tahmin!$C$4+77),0)))),DATE(YEAR((Tahmin!$C$4+83)),MONTH((Tahmin!$C$4+83)),MIN(DAY(Kalemler!$D141),DAY(EOMONTH((Tahmin!$C$4+83),0))))&gt;=Kalemler!$D141)),1,0),IF(AND(Kalemler!$D141&gt;=(Tahmin!$C$4+77),Kalemler!$D141&lt;=(Tahmin!$C$4+83)),1,0))))</f>
        <v>0</v>
      </c>
      <c r="N141" s="0" t="n">
        <f aca="false">IF(OR(Kalemler!$A141="",Kalemler!$C141="",Kalemler!$D141=""),0,Kalemler!$C141*IF(Kalemler!$E141="Haftalık",IF(Kalemler!$D141&lt;=(Tahmin!$C$4+90),1,0),IF(Kalemler!$E141="Aylık",IF(OR(AND(DATE(YEAR((Tahmin!$C$4+84)),MONTH((Tahmin!$C$4+84)),MIN(DAY(Kalemler!$D141),DAY(EOMONTH((Tahmin!$C$4+84),0))))&gt;=(Tahmin!$C$4+84),DATE(YEAR((Tahmin!$C$4+84)),MONTH((Tahmin!$C$4+84)),MIN(DAY(Kalemler!$D141),DAY(EOMONTH((Tahmin!$C$4+84),0))))&lt;=(Tahmin!$C$4+90),DATE(YEAR((Tahmin!$C$4+84)),MONTH((Tahmin!$C$4+84)),MIN(DAY(Kalemler!$D141),DAY(EOMONTH((Tahmin!$C$4+84),0))))&gt;=Kalemler!$D141),AND(DATE(YEAR((Tahmin!$C$4+90)),MONTH((Tahmin!$C$4+90)),MIN(DAY(Kalemler!$D141),DAY(EOMONTH((Tahmin!$C$4+90),0))))&gt;=(Tahmin!$C$4+84),DATE(YEAR((Tahmin!$C$4+90)),MONTH((Tahmin!$C$4+90)),MIN(DAY(Kalemler!$D141),DAY(EOMONTH((Tahmin!$C$4+90),0))))&lt;=(Tahmin!$C$4+90),DATE(YEAR((Tahmin!$C$4+90)),MONTH((Tahmin!$C$4+90)),MIN(DAY(Kalemler!$D141),DAY(EOMONTH((Tahmin!$C$4+90),0))))&lt;&gt;DATE(YEAR((Tahmin!$C$4+84)),MONTH((Tahmin!$C$4+84)),MIN(DAY(Kalemler!$D141),DAY(EOMONTH((Tahmin!$C$4+84),0)))),DATE(YEAR((Tahmin!$C$4+90)),MONTH((Tahmin!$C$4+90)),MIN(DAY(Kalemler!$D141),DAY(EOMONTH((Tahmin!$C$4+90),0))))&gt;=Kalemler!$D141)),1,0),IF(AND(Kalemler!$D141&gt;=(Tahmin!$C$4+84),Kalemler!$D141&lt;=(Tahmin!$C$4+90)),1,0))))</f>
        <v>0</v>
      </c>
    </row>
    <row r="142" customFormat="false" ht="15" hidden="false" customHeight="false" outlineLevel="0" collapsed="false">
      <c r="A142" s="0" t="str">
        <f aca="false">IF(Kalemler!A142="","",Kalemler!A142)</f>
        <v/>
      </c>
      <c r="B142" s="0" t="n">
        <f aca="false">IF(OR(Kalemler!$A142="",Kalemler!$C142="",Kalemler!$D142=""),0,Kalemler!$C142*IF(Kalemler!$E142="Haftalık",IF(Kalemler!$D142&lt;=(Tahmin!$C$4+6),1,0),IF(Kalemler!$E142="Aylık",IF(OR(AND(DATE(YEAR((Tahmin!$C$4+0)),MONTH((Tahmin!$C$4+0)),MIN(DAY(Kalemler!$D142),DAY(EOMONTH((Tahmin!$C$4+0),0))))&gt;=(Tahmin!$C$4+0),DATE(YEAR((Tahmin!$C$4+0)),MONTH((Tahmin!$C$4+0)),MIN(DAY(Kalemler!$D142),DAY(EOMONTH((Tahmin!$C$4+0),0))))&lt;=(Tahmin!$C$4+6),DATE(YEAR((Tahmin!$C$4+0)),MONTH((Tahmin!$C$4+0)),MIN(DAY(Kalemler!$D142),DAY(EOMONTH((Tahmin!$C$4+0),0))))&gt;=Kalemler!$D142),AND(DATE(YEAR((Tahmin!$C$4+6)),MONTH((Tahmin!$C$4+6)),MIN(DAY(Kalemler!$D142),DAY(EOMONTH((Tahmin!$C$4+6),0))))&gt;=(Tahmin!$C$4+0),DATE(YEAR((Tahmin!$C$4+6)),MONTH((Tahmin!$C$4+6)),MIN(DAY(Kalemler!$D142),DAY(EOMONTH((Tahmin!$C$4+6),0))))&lt;=(Tahmin!$C$4+6),DATE(YEAR((Tahmin!$C$4+6)),MONTH((Tahmin!$C$4+6)),MIN(DAY(Kalemler!$D142),DAY(EOMONTH((Tahmin!$C$4+6),0))))&lt;&gt;DATE(YEAR((Tahmin!$C$4+0)),MONTH((Tahmin!$C$4+0)),MIN(DAY(Kalemler!$D142),DAY(EOMONTH((Tahmin!$C$4+0),0)))),DATE(YEAR((Tahmin!$C$4+6)),MONTH((Tahmin!$C$4+6)),MIN(DAY(Kalemler!$D142),DAY(EOMONTH((Tahmin!$C$4+6),0))))&gt;=Kalemler!$D142)),1,0),IF(AND(Kalemler!$D142&gt;=(Tahmin!$C$4+0),Kalemler!$D142&lt;=(Tahmin!$C$4+6)),1,0))))</f>
        <v>0</v>
      </c>
      <c r="C142" s="0" t="n">
        <f aca="false">IF(OR(Kalemler!$A142="",Kalemler!$C142="",Kalemler!$D142=""),0,Kalemler!$C142*IF(Kalemler!$E142="Haftalık",IF(Kalemler!$D142&lt;=(Tahmin!$C$4+13),1,0),IF(Kalemler!$E142="Aylık",IF(OR(AND(DATE(YEAR((Tahmin!$C$4+7)),MONTH((Tahmin!$C$4+7)),MIN(DAY(Kalemler!$D142),DAY(EOMONTH((Tahmin!$C$4+7),0))))&gt;=(Tahmin!$C$4+7),DATE(YEAR((Tahmin!$C$4+7)),MONTH((Tahmin!$C$4+7)),MIN(DAY(Kalemler!$D142),DAY(EOMONTH((Tahmin!$C$4+7),0))))&lt;=(Tahmin!$C$4+13),DATE(YEAR((Tahmin!$C$4+7)),MONTH((Tahmin!$C$4+7)),MIN(DAY(Kalemler!$D142),DAY(EOMONTH((Tahmin!$C$4+7),0))))&gt;=Kalemler!$D142),AND(DATE(YEAR((Tahmin!$C$4+13)),MONTH((Tahmin!$C$4+13)),MIN(DAY(Kalemler!$D142),DAY(EOMONTH((Tahmin!$C$4+13),0))))&gt;=(Tahmin!$C$4+7),DATE(YEAR((Tahmin!$C$4+13)),MONTH((Tahmin!$C$4+13)),MIN(DAY(Kalemler!$D142),DAY(EOMONTH((Tahmin!$C$4+13),0))))&lt;=(Tahmin!$C$4+13),DATE(YEAR((Tahmin!$C$4+13)),MONTH((Tahmin!$C$4+13)),MIN(DAY(Kalemler!$D142),DAY(EOMONTH((Tahmin!$C$4+13),0))))&lt;&gt;DATE(YEAR((Tahmin!$C$4+7)),MONTH((Tahmin!$C$4+7)),MIN(DAY(Kalemler!$D142),DAY(EOMONTH((Tahmin!$C$4+7),0)))),DATE(YEAR((Tahmin!$C$4+13)),MONTH((Tahmin!$C$4+13)),MIN(DAY(Kalemler!$D142),DAY(EOMONTH((Tahmin!$C$4+13),0))))&gt;=Kalemler!$D142)),1,0),IF(AND(Kalemler!$D142&gt;=(Tahmin!$C$4+7),Kalemler!$D142&lt;=(Tahmin!$C$4+13)),1,0))))</f>
        <v>0</v>
      </c>
      <c r="D142" s="0" t="n">
        <f aca="false">IF(OR(Kalemler!$A142="",Kalemler!$C142="",Kalemler!$D142=""),0,Kalemler!$C142*IF(Kalemler!$E142="Haftalık",IF(Kalemler!$D142&lt;=(Tahmin!$C$4+20),1,0),IF(Kalemler!$E142="Aylık",IF(OR(AND(DATE(YEAR((Tahmin!$C$4+14)),MONTH((Tahmin!$C$4+14)),MIN(DAY(Kalemler!$D142),DAY(EOMONTH((Tahmin!$C$4+14),0))))&gt;=(Tahmin!$C$4+14),DATE(YEAR((Tahmin!$C$4+14)),MONTH((Tahmin!$C$4+14)),MIN(DAY(Kalemler!$D142),DAY(EOMONTH((Tahmin!$C$4+14),0))))&lt;=(Tahmin!$C$4+20),DATE(YEAR((Tahmin!$C$4+14)),MONTH((Tahmin!$C$4+14)),MIN(DAY(Kalemler!$D142),DAY(EOMONTH((Tahmin!$C$4+14),0))))&gt;=Kalemler!$D142),AND(DATE(YEAR((Tahmin!$C$4+20)),MONTH((Tahmin!$C$4+20)),MIN(DAY(Kalemler!$D142),DAY(EOMONTH((Tahmin!$C$4+20),0))))&gt;=(Tahmin!$C$4+14),DATE(YEAR((Tahmin!$C$4+20)),MONTH((Tahmin!$C$4+20)),MIN(DAY(Kalemler!$D142),DAY(EOMONTH((Tahmin!$C$4+20),0))))&lt;=(Tahmin!$C$4+20),DATE(YEAR((Tahmin!$C$4+20)),MONTH((Tahmin!$C$4+20)),MIN(DAY(Kalemler!$D142),DAY(EOMONTH((Tahmin!$C$4+20),0))))&lt;&gt;DATE(YEAR((Tahmin!$C$4+14)),MONTH((Tahmin!$C$4+14)),MIN(DAY(Kalemler!$D142),DAY(EOMONTH((Tahmin!$C$4+14),0)))),DATE(YEAR((Tahmin!$C$4+20)),MONTH((Tahmin!$C$4+20)),MIN(DAY(Kalemler!$D142),DAY(EOMONTH((Tahmin!$C$4+20),0))))&gt;=Kalemler!$D142)),1,0),IF(AND(Kalemler!$D142&gt;=(Tahmin!$C$4+14),Kalemler!$D142&lt;=(Tahmin!$C$4+20)),1,0))))</f>
        <v>0</v>
      </c>
      <c r="E142" s="0" t="n">
        <f aca="false">IF(OR(Kalemler!$A142="",Kalemler!$C142="",Kalemler!$D142=""),0,Kalemler!$C142*IF(Kalemler!$E142="Haftalık",IF(Kalemler!$D142&lt;=(Tahmin!$C$4+27),1,0),IF(Kalemler!$E142="Aylık",IF(OR(AND(DATE(YEAR((Tahmin!$C$4+21)),MONTH((Tahmin!$C$4+21)),MIN(DAY(Kalemler!$D142),DAY(EOMONTH((Tahmin!$C$4+21),0))))&gt;=(Tahmin!$C$4+21),DATE(YEAR((Tahmin!$C$4+21)),MONTH((Tahmin!$C$4+21)),MIN(DAY(Kalemler!$D142),DAY(EOMONTH((Tahmin!$C$4+21),0))))&lt;=(Tahmin!$C$4+27),DATE(YEAR((Tahmin!$C$4+21)),MONTH((Tahmin!$C$4+21)),MIN(DAY(Kalemler!$D142),DAY(EOMONTH((Tahmin!$C$4+21),0))))&gt;=Kalemler!$D142),AND(DATE(YEAR((Tahmin!$C$4+27)),MONTH((Tahmin!$C$4+27)),MIN(DAY(Kalemler!$D142),DAY(EOMONTH((Tahmin!$C$4+27),0))))&gt;=(Tahmin!$C$4+21),DATE(YEAR((Tahmin!$C$4+27)),MONTH((Tahmin!$C$4+27)),MIN(DAY(Kalemler!$D142),DAY(EOMONTH((Tahmin!$C$4+27),0))))&lt;=(Tahmin!$C$4+27),DATE(YEAR((Tahmin!$C$4+27)),MONTH((Tahmin!$C$4+27)),MIN(DAY(Kalemler!$D142),DAY(EOMONTH((Tahmin!$C$4+27),0))))&lt;&gt;DATE(YEAR((Tahmin!$C$4+21)),MONTH((Tahmin!$C$4+21)),MIN(DAY(Kalemler!$D142),DAY(EOMONTH((Tahmin!$C$4+21),0)))),DATE(YEAR((Tahmin!$C$4+27)),MONTH((Tahmin!$C$4+27)),MIN(DAY(Kalemler!$D142),DAY(EOMONTH((Tahmin!$C$4+27),0))))&gt;=Kalemler!$D142)),1,0),IF(AND(Kalemler!$D142&gt;=(Tahmin!$C$4+21),Kalemler!$D142&lt;=(Tahmin!$C$4+27)),1,0))))</f>
        <v>0</v>
      </c>
      <c r="F142" s="0" t="n">
        <f aca="false">IF(OR(Kalemler!$A142="",Kalemler!$C142="",Kalemler!$D142=""),0,Kalemler!$C142*IF(Kalemler!$E142="Haftalık",IF(Kalemler!$D142&lt;=(Tahmin!$C$4+34),1,0),IF(Kalemler!$E142="Aylık",IF(OR(AND(DATE(YEAR((Tahmin!$C$4+28)),MONTH((Tahmin!$C$4+28)),MIN(DAY(Kalemler!$D142),DAY(EOMONTH((Tahmin!$C$4+28),0))))&gt;=(Tahmin!$C$4+28),DATE(YEAR((Tahmin!$C$4+28)),MONTH((Tahmin!$C$4+28)),MIN(DAY(Kalemler!$D142),DAY(EOMONTH((Tahmin!$C$4+28),0))))&lt;=(Tahmin!$C$4+34),DATE(YEAR((Tahmin!$C$4+28)),MONTH((Tahmin!$C$4+28)),MIN(DAY(Kalemler!$D142),DAY(EOMONTH((Tahmin!$C$4+28),0))))&gt;=Kalemler!$D142),AND(DATE(YEAR((Tahmin!$C$4+34)),MONTH((Tahmin!$C$4+34)),MIN(DAY(Kalemler!$D142),DAY(EOMONTH((Tahmin!$C$4+34),0))))&gt;=(Tahmin!$C$4+28),DATE(YEAR((Tahmin!$C$4+34)),MONTH((Tahmin!$C$4+34)),MIN(DAY(Kalemler!$D142),DAY(EOMONTH((Tahmin!$C$4+34),0))))&lt;=(Tahmin!$C$4+34),DATE(YEAR((Tahmin!$C$4+34)),MONTH((Tahmin!$C$4+34)),MIN(DAY(Kalemler!$D142),DAY(EOMONTH((Tahmin!$C$4+34),0))))&lt;&gt;DATE(YEAR((Tahmin!$C$4+28)),MONTH((Tahmin!$C$4+28)),MIN(DAY(Kalemler!$D142),DAY(EOMONTH((Tahmin!$C$4+28),0)))),DATE(YEAR((Tahmin!$C$4+34)),MONTH((Tahmin!$C$4+34)),MIN(DAY(Kalemler!$D142),DAY(EOMONTH((Tahmin!$C$4+34),0))))&gt;=Kalemler!$D142)),1,0),IF(AND(Kalemler!$D142&gt;=(Tahmin!$C$4+28),Kalemler!$D142&lt;=(Tahmin!$C$4+34)),1,0))))</f>
        <v>0</v>
      </c>
      <c r="G142" s="0" t="n">
        <f aca="false">IF(OR(Kalemler!$A142="",Kalemler!$C142="",Kalemler!$D142=""),0,Kalemler!$C142*IF(Kalemler!$E142="Haftalık",IF(Kalemler!$D142&lt;=(Tahmin!$C$4+41),1,0),IF(Kalemler!$E142="Aylık",IF(OR(AND(DATE(YEAR((Tahmin!$C$4+35)),MONTH((Tahmin!$C$4+35)),MIN(DAY(Kalemler!$D142),DAY(EOMONTH((Tahmin!$C$4+35),0))))&gt;=(Tahmin!$C$4+35),DATE(YEAR((Tahmin!$C$4+35)),MONTH((Tahmin!$C$4+35)),MIN(DAY(Kalemler!$D142),DAY(EOMONTH((Tahmin!$C$4+35),0))))&lt;=(Tahmin!$C$4+41),DATE(YEAR((Tahmin!$C$4+35)),MONTH((Tahmin!$C$4+35)),MIN(DAY(Kalemler!$D142),DAY(EOMONTH((Tahmin!$C$4+35),0))))&gt;=Kalemler!$D142),AND(DATE(YEAR((Tahmin!$C$4+41)),MONTH((Tahmin!$C$4+41)),MIN(DAY(Kalemler!$D142),DAY(EOMONTH((Tahmin!$C$4+41),0))))&gt;=(Tahmin!$C$4+35),DATE(YEAR((Tahmin!$C$4+41)),MONTH((Tahmin!$C$4+41)),MIN(DAY(Kalemler!$D142),DAY(EOMONTH((Tahmin!$C$4+41),0))))&lt;=(Tahmin!$C$4+41),DATE(YEAR((Tahmin!$C$4+41)),MONTH((Tahmin!$C$4+41)),MIN(DAY(Kalemler!$D142),DAY(EOMONTH((Tahmin!$C$4+41),0))))&lt;&gt;DATE(YEAR((Tahmin!$C$4+35)),MONTH((Tahmin!$C$4+35)),MIN(DAY(Kalemler!$D142),DAY(EOMONTH((Tahmin!$C$4+35),0)))),DATE(YEAR((Tahmin!$C$4+41)),MONTH((Tahmin!$C$4+41)),MIN(DAY(Kalemler!$D142),DAY(EOMONTH((Tahmin!$C$4+41),0))))&gt;=Kalemler!$D142)),1,0),IF(AND(Kalemler!$D142&gt;=(Tahmin!$C$4+35),Kalemler!$D142&lt;=(Tahmin!$C$4+41)),1,0))))</f>
        <v>0</v>
      </c>
      <c r="H142" s="0" t="n">
        <f aca="false">IF(OR(Kalemler!$A142="",Kalemler!$C142="",Kalemler!$D142=""),0,Kalemler!$C142*IF(Kalemler!$E142="Haftalık",IF(Kalemler!$D142&lt;=(Tahmin!$C$4+48),1,0),IF(Kalemler!$E142="Aylık",IF(OR(AND(DATE(YEAR((Tahmin!$C$4+42)),MONTH((Tahmin!$C$4+42)),MIN(DAY(Kalemler!$D142),DAY(EOMONTH((Tahmin!$C$4+42),0))))&gt;=(Tahmin!$C$4+42),DATE(YEAR((Tahmin!$C$4+42)),MONTH((Tahmin!$C$4+42)),MIN(DAY(Kalemler!$D142),DAY(EOMONTH((Tahmin!$C$4+42),0))))&lt;=(Tahmin!$C$4+48),DATE(YEAR((Tahmin!$C$4+42)),MONTH((Tahmin!$C$4+42)),MIN(DAY(Kalemler!$D142),DAY(EOMONTH((Tahmin!$C$4+42),0))))&gt;=Kalemler!$D142),AND(DATE(YEAR((Tahmin!$C$4+48)),MONTH((Tahmin!$C$4+48)),MIN(DAY(Kalemler!$D142),DAY(EOMONTH((Tahmin!$C$4+48),0))))&gt;=(Tahmin!$C$4+42),DATE(YEAR((Tahmin!$C$4+48)),MONTH((Tahmin!$C$4+48)),MIN(DAY(Kalemler!$D142),DAY(EOMONTH((Tahmin!$C$4+48),0))))&lt;=(Tahmin!$C$4+48),DATE(YEAR((Tahmin!$C$4+48)),MONTH((Tahmin!$C$4+48)),MIN(DAY(Kalemler!$D142),DAY(EOMONTH((Tahmin!$C$4+48),0))))&lt;&gt;DATE(YEAR((Tahmin!$C$4+42)),MONTH((Tahmin!$C$4+42)),MIN(DAY(Kalemler!$D142),DAY(EOMONTH((Tahmin!$C$4+42),0)))),DATE(YEAR((Tahmin!$C$4+48)),MONTH((Tahmin!$C$4+48)),MIN(DAY(Kalemler!$D142),DAY(EOMONTH((Tahmin!$C$4+48),0))))&gt;=Kalemler!$D142)),1,0),IF(AND(Kalemler!$D142&gt;=(Tahmin!$C$4+42),Kalemler!$D142&lt;=(Tahmin!$C$4+48)),1,0))))</f>
        <v>0</v>
      </c>
      <c r="I142" s="0" t="n">
        <f aca="false">IF(OR(Kalemler!$A142="",Kalemler!$C142="",Kalemler!$D142=""),0,Kalemler!$C142*IF(Kalemler!$E142="Haftalık",IF(Kalemler!$D142&lt;=(Tahmin!$C$4+55),1,0),IF(Kalemler!$E142="Aylık",IF(OR(AND(DATE(YEAR((Tahmin!$C$4+49)),MONTH((Tahmin!$C$4+49)),MIN(DAY(Kalemler!$D142),DAY(EOMONTH((Tahmin!$C$4+49),0))))&gt;=(Tahmin!$C$4+49),DATE(YEAR((Tahmin!$C$4+49)),MONTH((Tahmin!$C$4+49)),MIN(DAY(Kalemler!$D142),DAY(EOMONTH((Tahmin!$C$4+49),0))))&lt;=(Tahmin!$C$4+55),DATE(YEAR((Tahmin!$C$4+49)),MONTH((Tahmin!$C$4+49)),MIN(DAY(Kalemler!$D142),DAY(EOMONTH((Tahmin!$C$4+49),0))))&gt;=Kalemler!$D142),AND(DATE(YEAR((Tahmin!$C$4+55)),MONTH((Tahmin!$C$4+55)),MIN(DAY(Kalemler!$D142),DAY(EOMONTH((Tahmin!$C$4+55),0))))&gt;=(Tahmin!$C$4+49),DATE(YEAR((Tahmin!$C$4+55)),MONTH((Tahmin!$C$4+55)),MIN(DAY(Kalemler!$D142),DAY(EOMONTH((Tahmin!$C$4+55),0))))&lt;=(Tahmin!$C$4+55),DATE(YEAR((Tahmin!$C$4+55)),MONTH((Tahmin!$C$4+55)),MIN(DAY(Kalemler!$D142),DAY(EOMONTH((Tahmin!$C$4+55),0))))&lt;&gt;DATE(YEAR((Tahmin!$C$4+49)),MONTH((Tahmin!$C$4+49)),MIN(DAY(Kalemler!$D142),DAY(EOMONTH((Tahmin!$C$4+49),0)))),DATE(YEAR((Tahmin!$C$4+55)),MONTH((Tahmin!$C$4+55)),MIN(DAY(Kalemler!$D142),DAY(EOMONTH((Tahmin!$C$4+55),0))))&gt;=Kalemler!$D142)),1,0),IF(AND(Kalemler!$D142&gt;=(Tahmin!$C$4+49),Kalemler!$D142&lt;=(Tahmin!$C$4+55)),1,0))))</f>
        <v>0</v>
      </c>
      <c r="J142" s="0" t="n">
        <f aca="false">IF(OR(Kalemler!$A142="",Kalemler!$C142="",Kalemler!$D142=""),0,Kalemler!$C142*IF(Kalemler!$E142="Haftalık",IF(Kalemler!$D142&lt;=(Tahmin!$C$4+62),1,0),IF(Kalemler!$E142="Aylık",IF(OR(AND(DATE(YEAR((Tahmin!$C$4+56)),MONTH((Tahmin!$C$4+56)),MIN(DAY(Kalemler!$D142),DAY(EOMONTH((Tahmin!$C$4+56),0))))&gt;=(Tahmin!$C$4+56),DATE(YEAR((Tahmin!$C$4+56)),MONTH((Tahmin!$C$4+56)),MIN(DAY(Kalemler!$D142),DAY(EOMONTH((Tahmin!$C$4+56),0))))&lt;=(Tahmin!$C$4+62),DATE(YEAR((Tahmin!$C$4+56)),MONTH((Tahmin!$C$4+56)),MIN(DAY(Kalemler!$D142),DAY(EOMONTH((Tahmin!$C$4+56),0))))&gt;=Kalemler!$D142),AND(DATE(YEAR((Tahmin!$C$4+62)),MONTH((Tahmin!$C$4+62)),MIN(DAY(Kalemler!$D142),DAY(EOMONTH((Tahmin!$C$4+62),0))))&gt;=(Tahmin!$C$4+56),DATE(YEAR((Tahmin!$C$4+62)),MONTH((Tahmin!$C$4+62)),MIN(DAY(Kalemler!$D142),DAY(EOMONTH((Tahmin!$C$4+62),0))))&lt;=(Tahmin!$C$4+62),DATE(YEAR((Tahmin!$C$4+62)),MONTH((Tahmin!$C$4+62)),MIN(DAY(Kalemler!$D142),DAY(EOMONTH((Tahmin!$C$4+62),0))))&lt;&gt;DATE(YEAR((Tahmin!$C$4+56)),MONTH((Tahmin!$C$4+56)),MIN(DAY(Kalemler!$D142),DAY(EOMONTH((Tahmin!$C$4+56),0)))),DATE(YEAR((Tahmin!$C$4+62)),MONTH((Tahmin!$C$4+62)),MIN(DAY(Kalemler!$D142),DAY(EOMONTH((Tahmin!$C$4+62),0))))&gt;=Kalemler!$D142)),1,0),IF(AND(Kalemler!$D142&gt;=(Tahmin!$C$4+56),Kalemler!$D142&lt;=(Tahmin!$C$4+62)),1,0))))</f>
        <v>0</v>
      </c>
      <c r="K142" s="0" t="n">
        <f aca="false">IF(OR(Kalemler!$A142="",Kalemler!$C142="",Kalemler!$D142=""),0,Kalemler!$C142*IF(Kalemler!$E142="Haftalık",IF(Kalemler!$D142&lt;=(Tahmin!$C$4+69),1,0),IF(Kalemler!$E142="Aylık",IF(OR(AND(DATE(YEAR((Tahmin!$C$4+63)),MONTH((Tahmin!$C$4+63)),MIN(DAY(Kalemler!$D142),DAY(EOMONTH((Tahmin!$C$4+63),0))))&gt;=(Tahmin!$C$4+63),DATE(YEAR((Tahmin!$C$4+63)),MONTH((Tahmin!$C$4+63)),MIN(DAY(Kalemler!$D142),DAY(EOMONTH((Tahmin!$C$4+63),0))))&lt;=(Tahmin!$C$4+69),DATE(YEAR((Tahmin!$C$4+63)),MONTH((Tahmin!$C$4+63)),MIN(DAY(Kalemler!$D142),DAY(EOMONTH((Tahmin!$C$4+63),0))))&gt;=Kalemler!$D142),AND(DATE(YEAR((Tahmin!$C$4+69)),MONTH((Tahmin!$C$4+69)),MIN(DAY(Kalemler!$D142),DAY(EOMONTH((Tahmin!$C$4+69),0))))&gt;=(Tahmin!$C$4+63),DATE(YEAR((Tahmin!$C$4+69)),MONTH((Tahmin!$C$4+69)),MIN(DAY(Kalemler!$D142),DAY(EOMONTH((Tahmin!$C$4+69),0))))&lt;=(Tahmin!$C$4+69),DATE(YEAR((Tahmin!$C$4+69)),MONTH((Tahmin!$C$4+69)),MIN(DAY(Kalemler!$D142),DAY(EOMONTH((Tahmin!$C$4+69),0))))&lt;&gt;DATE(YEAR((Tahmin!$C$4+63)),MONTH((Tahmin!$C$4+63)),MIN(DAY(Kalemler!$D142),DAY(EOMONTH((Tahmin!$C$4+63),0)))),DATE(YEAR((Tahmin!$C$4+69)),MONTH((Tahmin!$C$4+69)),MIN(DAY(Kalemler!$D142),DAY(EOMONTH((Tahmin!$C$4+69),0))))&gt;=Kalemler!$D142)),1,0),IF(AND(Kalemler!$D142&gt;=(Tahmin!$C$4+63),Kalemler!$D142&lt;=(Tahmin!$C$4+69)),1,0))))</f>
        <v>0</v>
      </c>
      <c r="L142" s="0" t="n">
        <f aca="false">IF(OR(Kalemler!$A142="",Kalemler!$C142="",Kalemler!$D142=""),0,Kalemler!$C142*IF(Kalemler!$E142="Haftalık",IF(Kalemler!$D142&lt;=(Tahmin!$C$4+76),1,0),IF(Kalemler!$E142="Aylık",IF(OR(AND(DATE(YEAR((Tahmin!$C$4+70)),MONTH((Tahmin!$C$4+70)),MIN(DAY(Kalemler!$D142),DAY(EOMONTH((Tahmin!$C$4+70),0))))&gt;=(Tahmin!$C$4+70),DATE(YEAR((Tahmin!$C$4+70)),MONTH((Tahmin!$C$4+70)),MIN(DAY(Kalemler!$D142),DAY(EOMONTH((Tahmin!$C$4+70),0))))&lt;=(Tahmin!$C$4+76),DATE(YEAR((Tahmin!$C$4+70)),MONTH((Tahmin!$C$4+70)),MIN(DAY(Kalemler!$D142),DAY(EOMONTH((Tahmin!$C$4+70),0))))&gt;=Kalemler!$D142),AND(DATE(YEAR((Tahmin!$C$4+76)),MONTH((Tahmin!$C$4+76)),MIN(DAY(Kalemler!$D142),DAY(EOMONTH((Tahmin!$C$4+76),0))))&gt;=(Tahmin!$C$4+70),DATE(YEAR((Tahmin!$C$4+76)),MONTH((Tahmin!$C$4+76)),MIN(DAY(Kalemler!$D142),DAY(EOMONTH((Tahmin!$C$4+76),0))))&lt;=(Tahmin!$C$4+76),DATE(YEAR((Tahmin!$C$4+76)),MONTH((Tahmin!$C$4+76)),MIN(DAY(Kalemler!$D142),DAY(EOMONTH((Tahmin!$C$4+76),0))))&lt;&gt;DATE(YEAR((Tahmin!$C$4+70)),MONTH((Tahmin!$C$4+70)),MIN(DAY(Kalemler!$D142),DAY(EOMONTH((Tahmin!$C$4+70),0)))),DATE(YEAR((Tahmin!$C$4+76)),MONTH((Tahmin!$C$4+76)),MIN(DAY(Kalemler!$D142),DAY(EOMONTH((Tahmin!$C$4+76),0))))&gt;=Kalemler!$D142)),1,0),IF(AND(Kalemler!$D142&gt;=(Tahmin!$C$4+70),Kalemler!$D142&lt;=(Tahmin!$C$4+76)),1,0))))</f>
        <v>0</v>
      </c>
      <c r="M142" s="0" t="n">
        <f aca="false">IF(OR(Kalemler!$A142="",Kalemler!$C142="",Kalemler!$D142=""),0,Kalemler!$C142*IF(Kalemler!$E142="Haftalık",IF(Kalemler!$D142&lt;=(Tahmin!$C$4+83),1,0),IF(Kalemler!$E142="Aylık",IF(OR(AND(DATE(YEAR((Tahmin!$C$4+77)),MONTH((Tahmin!$C$4+77)),MIN(DAY(Kalemler!$D142),DAY(EOMONTH((Tahmin!$C$4+77),0))))&gt;=(Tahmin!$C$4+77),DATE(YEAR((Tahmin!$C$4+77)),MONTH((Tahmin!$C$4+77)),MIN(DAY(Kalemler!$D142),DAY(EOMONTH((Tahmin!$C$4+77),0))))&lt;=(Tahmin!$C$4+83),DATE(YEAR((Tahmin!$C$4+77)),MONTH((Tahmin!$C$4+77)),MIN(DAY(Kalemler!$D142),DAY(EOMONTH((Tahmin!$C$4+77),0))))&gt;=Kalemler!$D142),AND(DATE(YEAR((Tahmin!$C$4+83)),MONTH((Tahmin!$C$4+83)),MIN(DAY(Kalemler!$D142),DAY(EOMONTH((Tahmin!$C$4+83),0))))&gt;=(Tahmin!$C$4+77),DATE(YEAR((Tahmin!$C$4+83)),MONTH((Tahmin!$C$4+83)),MIN(DAY(Kalemler!$D142),DAY(EOMONTH((Tahmin!$C$4+83),0))))&lt;=(Tahmin!$C$4+83),DATE(YEAR((Tahmin!$C$4+83)),MONTH((Tahmin!$C$4+83)),MIN(DAY(Kalemler!$D142),DAY(EOMONTH((Tahmin!$C$4+83),0))))&lt;&gt;DATE(YEAR((Tahmin!$C$4+77)),MONTH((Tahmin!$C$4+77)),MIN(DAY(Kalemler!$D142),DAY(EOMONTH((Tahmin!$C$4+77),0)))),DATE(YEAR((Tahmin!$C$4+83)),MONTH((Tahmin!$C$4+83)),MIN(DAY(Kalemler!$D142),DAY(EOMONTH((Tahmin!$C$4+83),0))))&gt;=Kalemler!$D142)),1,0),IF(AND(Kalemler!$D142&gt;=(Tahmin!$C$4+77),Kalemler!$D142&lt;=(Tahmin!$C$4+83)),1,0))))</f>
        <v>0</v>
      </c>
      <c r="N142" s="0" t="n">
        <f aca="false">IF(OR(Kalemler!$A142="",Kalemler!$C142="",Kalemler!$D142=""),0,Kalemler!$C142*IF(Kalemler!$E142="Haftalık",IF(Kalemler!$D142&lt;=(Tahmin!$C$4+90),1,0),IF(Kalemler!$E142="Aylık",IF(OR(AND(DATE(YEAR((Tahmin!$C$4+84)),MONTH((Tahmin!$C$4+84)),MIN(DAY(Kalemler!$D142),DAY(EOMONTH((Tahmin!$C$4+84),0))))&gt;=(Tahmin!$C$4+84),DATE(YEAR((Tahmin!$C$4+84)),MONTH((Tahmin!$C$4+84)),MIN(DAY(Kalemler!$D142),DAY(EOMONTH((Tahmin!$C$4+84),0))))&lt;=(Tahmin!$C$4+90),DATE(YEAR((Tahmin!$C$4+84)),MONTH((Tahmin!$C$4+84)),MIN(DAY(Kalemler!$D142),DAY(EOMONTH((Tahmin!$C$4+84),0))))&gt;=Kalemler!$D142),AND(DATE(YEAR((Tahmin!$C$4+90)),MONTH((Tahmin!$C$4+90)),MIN(DAY(Kalemler!$D142),DAY(EOMONTH((Tahmin!$C$4+90),0))))&gt;=(Tahmin!$C$4+84),DATE(YEAR((Tahmin!$C$4+90)),MONTH((Tahmin!$C$4+90)),MIN(DAY(Kalemler!$D142),DAY(EOMONTH((Tahmin!$C$4+90),0))))&lt;=(Tahmin!$C$4+90),DATE(YEAR((Tahmin!$C$4+90)),MONTH((Tahmin!$C$4+90)),MIN(DAY(Kalemler!$D142),DAY(EOMONTH((Tahmin!$C$4+90),0))))&lt;&gt;DATE(YEAR((Tahmin!$C$4+84)),MONTH((Tahmin!$C$4+84)),MIN(DAY(Kalemler!$D142),DAY(EOMONTH((Tahmin!$C$4+84),0)))),DATE(YEAR((Tahmin!$C$4+90)),MONTH((Tahmin!$C$4+90)),MIN(DAY(Kalemler!$D142),DAY(EOMONTH((Tahmin!$C$4+90),0))))&gt;=Kalemler!$D142)),1,0),IF(AND(Kalemler!$D142&gt;=(Tahmin!$C$4+84),Kalemler!$D142&lt;=(Tahmin!$C$4+90)),1,0))))</f>
        <v>0</v>
      </c>
    </row>
    <row r="143" customFormat="false" ht="15" hidden="false" customHeight="false" outlineLevel="0" collapsed="false">
      <c r="A143" s="0" t="str">
        <f aca="false">IF(Kalemler!A143="","",Kalemler!A143)</f>
        <v/>
      </c>
      <c r="B143" s="0" t="n">
        <f aca="false">IF(OR(Kalemler!$A143="",Kalemler!$C143="",Kalemler!$D143=""),0,Kalemler!$C143*IF(Kalemler!$E143="Haftalık",IF(Kalemler!$D143&lt;=(Tahmin!$C$4+6),1,0),IF(Kalemler!$E143="Aylık",IF(OR(AND(DATE(YEAR((Tahmin!$C$4+0)),MONTH((Tahmin!$C$4+0)),MIN(DAY(Kalemler!$D143),DAY(EOMONTH((Tahmin!$C$4+0),0))))&gt;=(Tahmin!$C$4+0),DATE(YEAR((Tahmin!$C$4+0)),MONTH((Tahmin!$C$4+0)),MIN(DAY(Kalemler!$D143),DAY(EOMONTH((Tahmin!$C$4+0),0))))&lt;=(Tahmin!$C$4+6),DATE(YEAR((Tahmin!$C$4+0)),MONTH((Tahmin!$C$4+0)),MIN(DAY(Kalemler!$D143),DAY(EOMONTH((Tahmin!$C$4+0),0))))&gt;=Kalemler!$D143),AND(DATE(YEAR((Tahmin!$C$4+6)),MONTH((Tahmin!$C$4+6)),MIN(DAY(Kalemler!$D143),DAY(EOMONTH((Tahmin!$C$4+6),0))))&gt;=(Tahmin!$C$4+0),DATE(YEAR((Tahmin!$C$4+6)),MONTH((Tahmin!$C$4+6)),MIN(DAY(Kalemler!$D143),DAY(EOMONTH((Tahmin!$C$4+6),0))))&lt;=(Tahmin!$C$4+6),DATE(YEAR((Tahmin!$C$4+6)),MONTH((Tahmin!$C$4+6)),MIN(DAY(Kalemler!$D143),DAY(EOMONTH((Tahmin!$C$4+6),0))))&lt;&gt;DATE(YEAR((Tahmin!$C$4+0)),MONTH((Tahmin!$C$4+0)),MIN(DAY(Kalemler!$D143),DAY(EOMONTH((Tahmin!$C$4+0),0)))),DATE(YEAR((Tahmin!$C$4+6)),MONTH((Tahmin!$C$4+6)),MIN(DAY(Kalemler!$D143),DAY(EOMONTH((Tahmin!$C$4+6),0))))&gt;=Kalemler!$D143)),1,0),IF(AND(Kalemler!$D143&gt;=(Tahmin!$C$4+0),Kalemler!$D143&lt;=(Tahmin!$C$4+6)),1,0))))</f>
        <v>0</v>
      </c>
      <c r="C143" s="0" t="n">
        <f aca="false">IF(OR(Kalemler!$A143="",Kalemler!$C143="",Kalemler!$D143=""),0,Kalemler!$C143*IF(Kalemler!$E143="Haftalık",IF(Kalemler!$D143&lt;=(Tahmin!$C$4+13),1,0),IF(Kalemler!$E143="Aylık",IF(OR(AND(DATE(YEAR((Tahmin!$C$4+7)),MONTH((Tahmin!$C$4+7)),MIN(DAY(Kalemler!$D143),DAY(EOMONTH((Tahmin!$C$4+7),0))))&gt;=(Tahmin!$C$4+7),DATE(YEAR((Tahmin!$C$4+7)),MONTH((Tahmin!$C$4+7)),MIN(DAY(Kalemler!$D143),DAY(EOMONTH((Tahmin!$C$4+7),0))))&lt;=(Tahmin!$C$4+13),DATE(YEAR((Tahmin!$C$4+7)),MONTH((Tahmin!$C$4+7)),MIN(DAY(Kalemler!$D143),DAY(EOMONTH((Tahmin!$C$4+7),0))))&gt;=Kalemler!$D143),AND(DATE(YEAR((Tahmin!$C$4+13)),MONTH((Tahmin!$C$4+13)),MIN(DAY(Kalemler!$D143),DAY(EOMONTH((Tahmin!$C$4+13),0))))&gt;=(Tahmin!$C$4+7),DATE(YEAR((Tahmin!$C$4+13)),MONTH((Tahmin!$C$4+13)),MIN(DAY(Kalemler!$D143),DAY(EOMONTH((Tahmin!$C$4+13),0))))&lt;=(Tahmin!$C$4+13),DATE(YEAR((Tahmin!$C$4+13)),MONTH((Tahmin!$C$4+13)),MIN(DAY(Kalemler!$D143),DAY(EOMONTH((Tahmin!$C$4+13),0))))&lt;&gt;DATE(YEAR((Tahmin!$C$4+7)),MONTH((Tahmin!$C$4+7)),MIN(DAY(Kalemler!$D143),DAY(EOMONTH((Tahmin!$C$4+7),0)))),DATE(YEAR((Tahmin!$C$4+13)),MONTH((Tahmin!$C$4+13)),MIN(DAY(Kalemler!$D143),DAY(EOMONTH((Tahmin!$C$4+13),0))))&gt;=Kalemler!$D143)),1,0),IF(AND(Kalemler!$D143&gt;=(Tahmin!$C$4+7),Kalemler!$D143&lt;=(Tahmin!$C$4+13)),1,0))))</f>
        <v>0</v>
      </c>
      <c r="D143" s="0" t="n">
        <f aca="false">IF(OR(Kalemler!$A143="",Kalemler!$C143="",Kalemler!$D143=""),0,Kalemler!$C143*IF(Kalemler!$E143="Haftalık",IF(Kalemler!$D143&lt;=(Tahmin!$C$4+20),1,0),IF(Kalemler!$E143="Aylık",IF(OR(AND(DATE(YEAR((Tahmin!$C$4+14)),MONTH((Tahmin!$C$4+14)),MIN(DAY(Kalemler!$D143),DAY(EOMONTH((Tahmin!$C$4+14),0))))&gt;=(Tahmin!$C$4+14),DATE(YEAR((Tahmin!$C$4+14)),MONTH((Tahmin!$C$4+14)),MIN(DAY(Kalemler!$D143),DAY(EOMONTH((Tahmin!$C$4+14),0))))&lt;=(Tahmin!$C$4+20),DATE(YEAR((Tahmin!$C$4+14)),MONTH((Tahmin!$C$4+14)),MIN(DAY(Kalemler!$D143),DAY(EOMONTH((Tahmin!$C$4+14),0))))&gt;=Kalemler!$D143),AND(DATE(YEAR((Tahmin!$C$4+20)),MONTH((Tahmin!$C$4+20)),MIN(DAY(Kalemler!$D143),DAY(EOMONTH((Tahmin!$C$4+20),0))))&gt;=(Tahmin!$C$4+14),DATE(YEAR((Tahmin!$C$4+20)),MONTH((Tahmin!$C$4+20)),MIN(DAY(Kalemler!$D143),DAY(EOMONTH((Tahmin!$C$4+20),0))))&lt;=(Tahmin!$C$4+20),DATE(YEAR((Tahmin!$C$4+20)),MONTH((Tahmin!$C$4+20)),MIN(DAY(Kalemler!$D143),DAY(EOMONTH((Tahmin!$C$4+20),0))))&lt;&gt;DATE(YEAR((Tahmin!$C$4+14)),MONTH((Tahmin!$C$4+14)),MIN(DAY(Kalemler!$D143),DAY(EOMONTH((Tahmin!$C$4+14),0)))),DATE(YEAR((Tahmin!$C$4+20)),MONTH((Tahmin!$C$4+20)),MIN(DAY(Kalemler!$D143),DAY(EOMONTH((Tahmin!$C$4+20),0))))&gt;=Kalemler!$D143)),1,0),IF(AND(Kalemler!$D143&gt;=(Tahmin!$C$4+14),Kalemler!$D143&lt;=(Tahmin!$C$4+20)),1,0))))</f>
        <v>0</v>
      </c>
      <c r="E143" s="0" t="n">
        <f aca="false">IF(OR(Kalemler!$A143="",Kalemler!$C143="",Kalemler!$D143=""),0,Kalemler!$C143*IF(Kalemler!$E143="Haftalık",IF(Kalemler!$D143&lt;=(Tahmin!$C$4+27),1,0),IF(Kalemler!$E143="Aylık",IF(OR(AND(DATE(YEAR((Tahmin!$C$4+21)),MONTH((Tahmin!$C$4+21)),MIN(DAY(Kalemler!$D143),DAY(EOMONTH((Tahmin!$C$4+21),0))))&gt;=(Tahmin!$C$4+21),DATE(YEAR((Tahmin!$C$4+21)),MONTH((Tahmin!$C$4+21)),MIN(DAY(Kalemler!$D143),DAY(EOMONTH((Tahmin!$C$4+21),0))))&lt;=(Tahmin!$C$4+27),DATE(YEAR((Tahmin!$C$4+21)),MONTH((Tahmin!$C$4+21)),MIN(DAY(Kalemler!$D143),DAY(EOMONTH((Tahmin!$C$4+21),0))))&gt;=Kalemler!$D143),AND(DATE(YEAR((Tahmin!$C$4+27)),MONTH((Tahmin!$C$4+27)),MIN(DAY(Kalemler!$D143),DAY(EOMONTH((Tahmin!$C$4+27),0))))&gt;=(Tahmin!$C$4+21),DATE(YEAR((Tahmin!$C$4+27)),MONTH((Tahmin!$C$4+27)),MIN(DAY(Kalemler!$D143),DAY(EOMONTH((Tahmin!$C$4+27),0))))&lt;=(Tahmin!$C$4+27),DATE(YEAR((Tahmin!$C$4+27)),MONTH((Tahmin!$C$4+27)),MIN(DAY(Kalemler!$D143),DAY(EOMONTH((Tahmin!$C$4+27),0))))&lt;&gt;DATE(YEAR((Tahmin!$C$4+21)),MONTH((Tahmin!$C$4+21)),MIN(DAY(Kalemler!$D143),DAY(EOMONTH((Tahmin!$C$4+21),0)))),DATE(YEAR((Tahmin!$C$4+27)),MONTH((Tahmin!$C$4+27)),MIN(DAY(Kalemler!$D143),DAY(EOMONTH((Tahmin!$C$4+27),0))))&gt;=Kalemler!$D143)),1,0),IF(AND(Kalemler!$D143&gt;=(Tahmin!$C$4+21),Kalemler!$D143&lt;=(Tahmin!$C$4+27)),1,0))))</f>
        <v>0</v>
      </c>
      <c r="F143" s="0" t="n">
        <f aca="false">IF(OR(Kalemler!$A143="",Kalemler!$C143="",Kalemler!$D143=""),0,Kalemler!$C143*IF(Kalemler!$E143="Haftalık",IF(Kalemler!$D143&lt;=(Tahmin!$C$4+34),1,0),IF(Kalemler!$E143="Aylık",IF(OR(AND(DATE(YEAR((Tahmin!$C$4+28)),MONTH((Tahmin!$C$4+28)),MIN(DAY(Kalemler!$D143),DAY(EOMONTH((Tahmin!$C$4+28),0))))&gt;=(Tahmin!$C$4+28),DATE(YEAR((Tahmin!$C$4+28)),MONTH((Tahmin!$C$4+28)),MIN(DAY(Kalemler!$D143),DAY(EOMONTH((Tahmin!$C$4+28),0))))&lt;=(Tahmin!$C$4+34),DATE(YEAR((Tahmin!$C$4+28)),MONTH((Tahmin!$C$4+28)),MIN(DAY(Kalemler!$D143),DAY(EOMONTH((Tahmin!$C$4+28),0))))&gt;=Kalemler!$D143),AND(DATE(YEAR((Tahmin!$C$4+34)),MONTH((Tahmin!$C$4+34)),MIN(DAY(Kalemler!$D143),DAY(EOMONTH((Tahmin!$C$4+34),0))))&gt;=(Tahmin!$C$4+28),DATE(YEAR((Tahmin!$C$4+34)),MONTH((Tahmin!$C$4+34)),MIN(DAY(Kalemler!$D143),DAY(EOMONTH((Tahmin!$C$4+34),0))))&lt;=(Tahmin!$C$4+34),DATE(YEAR((Tahmin!$C$4+34)),MONTH((Tahmin!$C$4+34)),MIN(DAY(Kalemler!$D143),DAY(EOMONTH((Tahmin!$C$4+34),0))))&lt;&gt;DATE(YEAR((Tahmin!$C$4+28)),MONTH((Tahmin!$C$4+28)),MIN(DAY(Kalemler!$D143),DAY(EOMONTH((Tahmin!$C$4+28),0)))),DATE(YEAR((Tahmin!$C$4+34)),MONTH((Tahmin!$C$4+34)),MIN(DAY(Kalemler!$D143),DAY(EOMONTH((Tahmin!$C$4+34),0))))&gt;=Kalemler!$D143)),1,0),IF(AND(Kalemler!$D143&gt;=(Tahmin!$C$4+28),Kalemler!$D143&lt;=(Tahmin!$C$4+34)),1,0))))</f>
        <v>0</v>
      </c>
      <c r="G143" s="0" t="n">
        <f aca="false">IF(OR(Kalemler!$A143="",Kalemler!$C143="",Kalemler!$D143=""),0,Kalemler!$C143*IF(Kalemler!$E143="Haftalık",IF(Kalemler!$D143&lt;=(Tahmin!$C$4+41),1,0),IF(Kalemler!$E143="Aylık",IF(OR(AND(DATE(YEAR((Tahmin!$C$4+35)),MONTH((Tahmin!$C$4+35)),MIN(DAY(Kalemler!$D143),DAY(EOMONTH((Tahmin!$C$4+35),0))))&gt;=(Tahmin!$C$4+35),DATE(YEAR((Tahmin!$C$4+35)),MONTH((Tahmin!$C$4+35)),MIN(DAY(Kalemler!$D143),DAY(EOMONTH((Tahmin!$C$4+35),0))))&lt;=(Tahmin!$C$4+41),DATE(YEAR((Tahmin!$C$4+35)),MONTH((Tahmin!$C$4+35)),MIN(DAY(Kalemler!$D143),DAY(EOMONTH((Tahmin!$C$4+35),0))))&gt;=Kalemler!$D143),AND(DATE(YEAR((Tahmin!$C$4+41)),MONTH((Tahmin!$C$4+41)),MIN(DAY(Kalemler!$D143),DAY(EOMONTH((Tahmin!$C$4+41),0))))&gt;=(Tahmin!$C$4+35),DATE(YEAR((Tahmin!$C$4+41)),MONTH((Tahmin!$C$4+41)),MIN(DAY(Kalemler!$D143),DAY(EOMONTH((Tahmin!$C$4+41),0))))&lt;=(Tahmin!$C$4+41),DATE(YEAR((Tahmin!$C$4+41)),MONTH((Tahmin!$C$4+41)),MIN(DAY(Kalemler!$D143),DAY(EOMONTH((Tahmin!$C$4+41),0))))&lt;&gt;DATE(YEAR((Tahmin!$C$4+35)),MONTH((Tahmin!$C$4+35)),MIN(DAY(Kalemler!$D143),DAY(EOMONTH((Tahmin!$C$4+35),0)))),DATE(YEAR((Tahmin!$C$4+41)),MONTH((Tahmin!$C$4+41)),MIN(DAY(Kalemler!$D143),DAY(EOMONTH((Tahmin!$C$4+41),0))))&gt;=Kalemler!$D143)),1,0),IF(AND(Kalemler!$D143&gt;=(Tahmin!$C$4+35),Kalemler!$D143&lt;=(Tahmin!$C$4+41)),1,0))))</f>
        <v>0</v>
      </c>
      <c r="H143" s="0" t="n">
        <f aca="false">IF(OR(Kalemler!$A143="",Kalemler!$C143="",Kalemler!$D143=""),0,Kalemler!$C143*IF(Kalemler!$E143="Haftalık",IF(Kalemler!$D143&lt;=(Tahmin!$C$4+48),1,0),IF(Kalemler!$E143="Aylık",IF(OR(AND(DATE(YEAR((Tahmin!$C$4+42)),MONTH((Tahmin!$C$4+42)),MIN(DAY(Kalemler!$D143),DAY(EOMONTH((Tahmin!$C$4+42),0))))&gt;=(Tahmin!$C$4+42),DATE(YEAR((Tahmin!$C$4+42)),MONTH((Tahmin!$C$4+42)),MIN(DAY(Kalemler!$D143),DAY(EOMONTH((Tahmin!$C$4+42),0))))&lt;=(Tahmin!$C$4+48),DATE(YEAR((Tahmin!$C$4+42)),MONTH((Tahmin!$C$4+42)),MIN(DAY(Kalemler!$D143),DAY(EOMONTH((Tahmin!$C$4+42),0))))&gt;=Kalemler!$D143),AND(DATE(YEAR((Tahmin!$C$4+48)),MONTH((Tahmin!$C$4+48)),MIN(DAY(Kalemler!$D143),DAY(EOMONTH((Tahmin!$C$4+48),0))))&gt;=(Tahmin!$C$4+42),DATE(YEAR((Tahmin!$C$4+48)),MONTH((Tahmin!$C$4+48)),MIN(DAY(Kalemler!$D143),DAY(EOMONTH((Tahmin!$C$4+48),0))))&lt;=(Tahmin!$C$4+48),DATE(YEAR((Tahmin!$C$4+48)),MONTH((Tahmin!$C$4+48)),MIN(DAY(Kalemler!$D143),DAY(EOMONTH((Tahmin!$C$4+48),0))))&lt;&gt;DATE(YEAR((Tahmin!$C$4+42)),MONTH((Tahmin!$C$4+42)),MIN(DAY(Kalemler!$D143),DAY(EOMONTH((Tahmin!$C$4+42),0)))),DATE(YEAR((Tahmin!$C$4+48)),MONTH((Tahmin!$C$4+48)),MIN(DAY(Kalemler!$D143),DAY(EOMONTH((Tahmin!$C$4+48),0))))&gt;=Kalemler!$D143)),1,0),IF(AND(Kalemler!$D143&gt;=(Tahmin!$C$4+42),Kalemler!$D143&lt;=(Tahmin!$C$4+48)),1,0))))</f>
        <v>0</v>
      </c>
      <c r="I143" s="0" t="n">
        <f aca="false">IF(OR(Kalemler!$A143="",Kalemler!$C143="",Kalemler!$D143=""),0,Kalemler!$C143*IF(Kalemler!$E143="Haftalık",IF(Kalemler!$D143&lt;=(Tahmin!$C$4+55),1,0),IF(Kalemler!$E143="Aylık",IF(OR(AND(DATE(YEAR((Tahmin!$C$4+49)),MONTH((Tahmin!$C$4+49)),MIN(DAY(Kalemler!$D143),DAY(EOMONTH((Tahmin!$C$4+49),0))))&gt;=(Tahmin!$C$4+49),DATE(YEAR((Tahmin!$C$4+49)),MONTH((Tahmin!$C$4+49)),MIN(DAY(Kalemler!$D143),DAY(EOMONTH((Tahmin!$C$4+49),0))))&lt;=(Tahmin!$C$4+55),DATE(YEAR((Tahmin!$C$4+49)),MONTH((Tahmin!$C$4+49)),MIN(DAY(Kalemler!$D143),DAY(EOMONTH((Tahmin!$C$4+49),0))))&gt;=Kalemler!$D143),AND(DATE(YEAR((Tahmin!$C$4+55)),MONTH((Tahmin!$C$4+55)),MIN(DAY(Kalemler!$D143),DAY(EOMONTH((Tahmin!$C$4+55),0))))&gt;=(Tahmin!$C$4+49),DATE(YEAR((Tahmin!$C$4+55)),MONTH((Tahmin!$C$4+55)),MIN(DAY(Kalemler!$D143),DAY(EOMONTH((Tahmin!$C$4+55),0))))&lt;=(Tahmin!$C$4+55),DATE(YEAR((Tahmin!$C$4+55)),MONTH((Tahmin!$C$4+55)),MIN(DAY(Kalemler!$D143),DAY(EOMONTH((Tahmin!$C$4+55),0))))&lt;&gt;DATE(YEAR((Tahmin!$C$4+49)),MONTH((Tahmin!$C$4+49)),MIN(DAY(Kalemler!$D143),DAY(EOMONTH((Tahmin!$C$4+49),0)))),DATE(YEAR((Tahmin!$C$4+55)),MONTH((Tahmin!$C$4+55)),MIN(DAY(Kalemler!$D143),DAY(EOMONTH((Tahmin!$C$4+55),0))))&gt;=Kalemler!$D143)),1,0),IF(AND(Kalemler!$D143&gt;=(Tahmin!$C$4+49),Kalemler!$D143&lt;=(Tahmin!$C$4+55)),1,0))))</f>
        <v>0</v>
      </c>
      <c r="J143" s="0" t="n">
        <f aca="false">IF(OR(Kalemler!$A143="",Kalemler!$C143="",Kalemler!$D143=""),0,Kalemler!$C143*IF(Kalemler!$E143="Haftalık",IF(Kalemler!$D143&lt;=(Tahmin!$C$4+62),1,0),IF(Kalemler!$E143="Aylık",IF(OR(AND(DATE(YEAR((Tahmin!$C$4+56)),MONTH((Tahmin!$C$4+56)),MIN(DAY(Kalemler!$D143),DAY(EOMONTH((Tahmin!$C$4+56),0))))&gt;=(Tahmin!$C$4+56),DATE(YEAR((Tahmin!$C$4+56)),MONTH((Tahmin!$C$4+56)),MIN(DAY(Kalemler!$D143),DAY(EOMONTH((Tahmin!$C$4+56),0))))&lt;=(Tahmin!$C$4+62),DATE(YEAR((Tahmin!$C$4+56)),MONTH((Tahmin!$C$4+56)),MIN(DAY(Kalemler!$D143),DAY(EOMONTH((Tahmin!$C$4+56),0))))&gt;=Kalemler!$D143),AND(DATE(YEAR((Tahmin!$C$4+62)),MONTH((Tahmin!$C$4+62)),MIN(DAY(Kalemler!$D143),DAY(EOMONTH((Tahmin!$C$4+62),0))))&gt;=(Tahmin!$C$4+56),DATE(YEAR((Tahmin!$C$4+62)),MONTH((Tahmin!$C$4+62)),MIN(DAY(Kalemler!$D143),DAY(EOMONTH((Tahmin!$C$4+62),0))))&lt;=(Tahmin!$C$4+62),DATE(YEAR((Tahmin!$C$4+62)),MONTH((Tahmin!$C$4+62)),MIN(DAY(Kalemler!$D143),DAY(EOMONTH((Tahmin!$C$4+62),0))))&lt;&gt;DATE(YEAR((Tahmin!$C$4+56)),MONTH((Tahmin!$C$4+56)),MIN(DAY(Kalemler!$D143),DAY(EOMONTH((Tahmin!$C$4+56),0)))),DATE(YEAR((Tahmin!$C$4+62)),MONTH((Tahmin!$C$4+62)),MIN(DAY(Kalemler!$D143),DAY(EOMONTH((Tahmin!$C$4+62),0))))&gt;=Kalemler!$D143)),1,0),IF(AND(Kalemler!$D143&gt;=(Tahmin!$C$4+56),Kalemler!$D143&lt;=(Tahmin!$C$4+62)),1,0))))</f>
        <v>0</v>
      </c>
      <c r="K143" s="0" t="n">
        <f aca="false">IF(OR(Kalemler!$A143="",Kalemler!$C143="",Kalemler!$D143=""),0,Kalemler!$C143*IF(Kalemler!$E143="Haftalık",IF(Kalemler!$D143&lt;=(Tahmin!$C$4+69),1,0),IF(Kalemler!$E143="Aylık",IF(OR(AND(DATE(YEAR((Tahmin!$C$4+63)),MONTH((Tahmin!$C$4+63)),MIN(DAY(Kalemler!$D143),DAY(EOMONTH((Tahmin!$C$4+63),0))))&gt;=(Tahmin!$C$4+63),DATE(YEAR((Tahmin!$C$4+63)),MONTH((Tahmin!$C$4+63)),MIN(DAY(Kalemler!$D143),DAY(EOMONTH((Tahmin!$C$4+63),0))))&lt;=(Tahmin!$C$4+69),DATE(YEAR((Tahmin!$C$4+63)),MONTH((Tahmin!$C$4+63)),MIN(DAY(Kalemler!$D143),DAY(EOMONTH((Tahmin!$C$4+63),0))))&gt;=Kalemler!$D143),AND(DATE(YEAR((Tahmin!$C$4+69)),MONTH((Tahmin!$C$4+69)),MIN(DAY(Kalemler!$D143),DAY(EOMONTH((Tahmin!$C$4+69),0))))&gt;=(Tahmin!$C$4+63),DATE(YEAR((Tahmin!$C$4+69)),MONTH((Tahmin!$C$4+69)),MIN(DAY(Kalemler!$D143),DAY(EOMONTH((Tahmin!$C$4+69),0))))&lt;=(Tahmin!$C$4+69),DATE(YEAR((Tahmin!$C$4+69)),MONTH((Tahmin!$C$4+69)),MIN(DAY(Kalemler!$D143),DAY(EOMONTH((Tahmin!$C$4+69),0))))&lt;&gt;DATE(YEAR((Tahmin!$C$4+63)),MONTH((Tahmin!$C$4+63)),MIN(DAY(Kalemler!$D143),DAY(EOMONTH((Tahmin!$C$4+63),0)))),DATE(YEAR((Tahmin!$C$4+69)),MONTH((Tahmin!$C$4+69)),MIN(DAY(Kalemler!$D143),DAY(EOMONTH((Tahmin!$C$4+69),0))))&gt;=Kalemler!$D143)),1,0),IF(AND(Kalemler!$D143&gt;=(Tahmin!$C$4+63),Kalemler!$D143&lt;=(Tahmin!$C$4+69)),1,0))))</f>
        <v>0</v>
      </c>
      <c r="L143" s="0" t="n">
        <f aca="false">IF(OR(Kalemler!$A143="",Kalemler!$C143="",Kalemler!$D143=""),0,Kalemler!$C143*IF(Kalemler!$E143="Haftalık",IF(Kalemler!$D143&lt;=(Tahmin!$C$4+76),1,0),IF(Kalemler!$E143="Aylık",IF(OR(AND(DATE(YEAR((Tahmin!$C$4+70)),MONTH((Tahmin!$C$4+70)),MIN(DAY(Kalemler!$D143),DAY(EOMONTH((Tahmin!$C$4+70),0))))&gt;=(Tahmin!$C$4+70),DATE(YEAR((Tahmin!$C$4+70)),MONTH((Tahmin!$C$4+70)),MIN(DAY(Kalemler!$D143),DAY(EOMONTH((Tahmin!$C$4+70),0))))&lt;=(Tahmin!$C$4+76),DATE(YEAR((Tahmin!$C$4+70)),MONTH((Tahmin!$C$4+70)),MIN(DAY(Kalemler!$D143),DAY(EOMONTH((Tahmin!$C$4+70),0))))&gt;=Kalemler!$D143),AND(DATE(YEAR((Tahmin!$C$4+76)),MONTH((Tahmin!$C$4+76)),MIN(DAY(Kalemler!$D143),DAY(EOMONTH((Tahmin!$C$4+76),0))))&gt;=(Tahmin!$C$4+70),DATE(YEAR((Tahmin!$C$4+76)),MONTH((Tahmin!$C$4+76)),MIN(DAY(Kalemler!$D143),DAY(EOMONTH((Tahmin!$C$4+76),0))))&lt;=(Tahmin!$C$4+76),DATE(YEAR((Tahmin!$C$4+76)),MONTH((Tahmin!$C$4+76)),MIN(DAY(Kalemler!$D143),DAY(EOMONTH((Tahmin!$C$4+76),0))))&lt;&gt;DATE(YEAR((Tahmin!$C$4+70)),MONTH((Tahmin!$C$4+70)),MIN(DAY(Kalemler!$D143),DAY(EOMONTH((Tahmin!$C$4+70),0)))),DATE(YEAR((Tahmin!$C$4+76)),MONTH((Tahmin!$C$4+76)),MIN(DAY(Kalemler!$D143),DAY(EOMONTH((Tahmin!$C$4+76),0))))&gt;=Kalemler!$D143)),1,0),IF(AND(Kalemler!$D143&gt;=(Tahmin!$C$4+70),Kalemler!$D143&lt;=(Tahmin!$C$4+76)),1,0))))</f>
        <v>0</v>
      </c>
      <c r="M143" s="0" t="n">
        <f aca="false">IF(OR(Kalemler!$A143="",Kalemler!$C143="",Kalemler!$D143=""),0,Kalemler!$C143*IF(Kalemler!$E143="Haftalık",IF(Kalemler!$D143&lt;=(Tahmin!$C$4+83),1,0),IF(Kalemler!$E143="Aylık",IF(OR(AND(DATE(YEAR((Tahmin!$C$4+77)),MONTH((Tahmin!$C$4+77)),MIN(DAY(Kalemler!$D143),DAY(EOMONTH((Tahmin!$C$4+77),0))))&gt;=(Tahmin!$C$4+77),DATE(YEAR((Tahmin!$C$4+77)),MONTH((Tahmin!$C$4+77)),MIN(DAY(Kalemler!$D143),DAY(EOMONTH((Tahmin!$C$4+77),0))))&lt;=(Tahmin!$C$4+83),DATE(YEAR((Tahmin!$C$4+77)),MONTH((Tahmin!$C$4+77)),MIN(DAY(Kalemler!$D143),DAY(EOMONTH((Tahmin!$C$4+77),0))))&gt;=Kalemler!$D143),AND(DATE(YEAR((Tahmin!$C$4+83)),MONTH((Tahmin!$C$4+83)),MIN(DAY(Kalemler!$D143),DAY(EOMONTH((Tahmin!$C$4+83),0))))&gt;=(Tahmin!$C$4+77),DATE(YEAR((Tahmin!$C$4+83)),MONTH((Tahmin!$C$4+83)),MIN(DAY(Kalemler!$D143),DAY(EOMONTH((Tahmin!$C$4+83),0))))&lt;=(Tahmin!$C$4+83),DATE(YEAR((Tahmin!$C$4+83)),MONTH((Tahmin!$C$4+83)),MIN(DAY(Kalemler!$D143),DAY(EOMONTH((Tahmin!$C$4+83),0))))&lt;&gt;DATE(YEAR((Tahmin!$C$4+77)),MONTH((Tahmin!$C$4+77)),MIN(DAY(Kalemler!$D143),DAY(EOMONTH((Tahmin!$C$4+77),0)))),DATE(YEAR((Tahmin!$C$4+83)),MONTH((Tahmin!$C$4+83)),MIN(DAY(Kalemler!$D143),DAY(EOMONTH((Tahmin!$C$4+83),0))))&gt;=Kalemler!$D143)),1,0),IF(AND(Kalemler!$D143&gt;=(Tahmin!$C$4+77),Kalemler!$D143&lt;=(Tahmin!$C$4+83)),1,0))))</f>
        <v>0</v>
      </c>
      <c r="N143" s="0" t="n">
        <f aca="false">IF(OR(Kalemler!$A143="",Kalemler!$C143="",Kalemler!$D143=""),0,Kalemler!$C143*IF(Kalemler!$E143="Haftalık",IF(Kalemler!$D143&lt;=(Tahmin!$C$4+90),1,0),IF(Kalemler!$E143="Aylık",IF(OR(AND(DATE(YEAR((Tahmin!$C$4+84)),MONTH((Tahmin!$C$4+84)),MIN(DAY(Kalemler!$D143),DAY(EOMONTH((Tahmin!$C$4+84),0))))&gt;=(Tahmin!$C$4+84),DATE(YEAR((Tahmin!$C$4+84)),MONTH((Tahmin!$C$4+84)),MIN(DAY(Kalemler!$D143),DAY(EOMONTH((Tahmin!$C$4+84),0))))&lt;=(Tahmin!$C$4+90),DATE(YEAR((Tahmin!$C$4+84)),MONTH((Tahmin!$C$4+84)),MIN(DAY(Kalemler!$D143),DAY(EOMONTH((Tahmin!$C$4+84),0))))&gt;=Kalemler!$D143),AND(DATE(YEAR((Tahmin!$C$4+90)),MONTH((Tahmin!$C$4+90)),MIN(DAY(Kalemler!$D143),DAY(EOMONTH((Tahmin!$C$4+90),0))))&gt;=(Tahmin!$C$4+84),DATE(YEAR((Tahmin!$C$4+90)),MONTH((Tahmin!$C$4+90)),MIN(DAY(Kalemler!$D143),DAY(EOMONTH((Tahmin!$C$4+90),0))))&lt;=(Tahmin!$C$4+90),DATE(YEAR((Tahmin!$C$4+90)),MONTH((Tahmin!$C$4+90)),MIN(DAY(Kalemler!$D143),DAY(EOMONTH((Tahmin!$C$4+90),0))))&lt;&gt;DATE(YEAR((Tahmin!$C$4+84)),MONTH((Tahmin!$C$4+84)),MIN(DAY(Kalemler!$D143),DAY(EOMONTH((Tahmin!$C$4+84),0)))),DATE(YEAR((Tahmin!$C$4+90)),MONTH((Tahmin!$C$4+90)),MIN(DAY(Kalemler!$D143),DAY(EOMONTH((Tahmin!$C$4+90),0))))&gt;=Kalemler!$D143)),1,0),IF(AND(Kalemler!$D143&gt;=(Tahmin!$C$4+84),Kalemler!$D143&lt;=(Tahmin!$C$4+90)),1,0))))</f>
        <v>0</v>
      </c>
    </row>
    <row r="144" customFormat="false" ht="15" hidden="false" customHeight="false" outlineLevel="0" collapsed="false">
      <c r="A144" s="0" t="str">
        <f aca="false">IF(Kalemler!A144="","",Kalemler!A144)</f>
        <v/>
      </c>
      <c r="B144" s="0" t="n">
        <f aca="false">IF(OR(Kalemler!$A144="",Kalemler!$C144="",Kalemler!$D144=""),0,Kalemler!$C144*IF(Kalemler!$E144="Haftalık",IF(Kalemler!$D144&lt;=(Tahmin!$C$4+6),1,0),IF(Kalemler!$E144="Aylık",IF(OR(AND(DATE(YEAR((Tahmin!$C$4+0)),MONTH((Tahmin!$C$4+0)),MIN(DAY(Kalemler!$D144),DAY(EOMONTH((Tahmin!$C$4+0),0))))&gt;=(Tahmin!$C$4+0),DATE(YEAR((Tahmin!$C$4+0)),MONTH((Tahmin!$C$4+0)),MIN(DAY(Kalemler!$D144),DAY(EOMONTH((Tahmin!$C$4+0),0))))&lt;=(Tahmin!$C$4+6),DATE(YEAR((Tahmin!$C$4+0)),MONTH((Tahmin!$C$4+0)),MIN(DAY(Kalemler!$D144),DAY(EOMONTH((Tahmin!$C$4+0),0))))&gt;=Kalemler!$D144),AND(DATE(YEAR((Tahmin!$C$4+6)),MONTH((Tahmin!$C$4+6)),MIN(DAY(Kalemler!$D144),DAY(EOMONTH((Tahmin!$C$4+6),0))))&gt;=(Tahmin!$C$4+0),DATE(YEAR((Tahmin!$C$4+6)),MONTH((Tahmin!$C$4+6)),MIN(DAY(Kalemler!$D144),DAY(EOMONTH((Tahmin!$C$4+6),0))))&lt;=(Tahmin!$C$4+6),DATE(YEAR((Tahmin!$C$4+6)),MONTH((Tahmin!$C$4+6)),MIN(DAY(Kalemler!$D144),DAY(EOMONTH((Tahmin!$C$4+6),0))))&lt;&gt;DATE(YEAR((Tahmin!$C$4+0)),MONTH((Tahmin!$C$4+0)),MIN(DAY(Kalemler!$D144),DAY(EOMONTH((Tahmin!$C$4+0),0)))),DATE(YEAR((Tahmin!$C$4+6)),MONTH((Tahmin!$C$4+6)),MIN(DAY(Kalemler!$D144),DAY(EOMONTH((Tahmin!$C$4+6),0))))&gt;=Kalemler!$D144)),1,0),IF(AND(Kalemler!$D144&gt;=(Tahmin!$C$4+0),Kalemler!$D144&lt;=(Tahmin!$C$4+6)),1,0))))</f>
        <v>0</v>
      </c>
      <c r="C144" s="0" t="n">
        <f aca="false">IF(OR(Kalemler!$A144="",Kalemler!$C144="",Kalemler!$D144=""),0,Kalemler!$C144*IF(Kalemler!$E144="Haftalık",IF(Kalemler!$D144&lt;=(Tahmin!$C$4+13),1,0),IF(Kalemler!$E144="Aylık",IF(OR(AND(DATE(YEAR((Tahmin!$C$4+7)),MONTH((Tahmin!$C$4+7)),MIN(DAY(Kalemler!$D144),DAY(EOMONTH((Tahmin!$C$4+7),0))))&gt;=(Tahmin!$C$4+7),DATE(YEAR((Tahmin!$C$4+7)),MONTH((Tahmin!$C$4+7)),MIN(DAY(Kalemler!$D144),DAY(EOMONTH((Tahmin!$C$4+7),0))))&lt;=(Tahmin!$C$4+13),DATE(YEAR((Tahmin!$C$4+7)),MONTH((Tahmin!$C$4+7)),MIN(DAY(Kalemler!$D144),DAY(EOMONTH((Tahmin!$C$4+7),0))))&gt;=Kalemler!$D144),AND(DATE(YEAR((Tahmin!$C$4+13)),MONTH((Tahmin!$C$4+13)),MIN(DAY(Kalemler!$D144),DAY(EOMONTH((Tahmin!$C$4+13),0))))&gt;=(Tahmin!$C$4+7),DATE(YEAR((Tahmin!$C$4+13)),MONTH((Tahmin!$C$4+13)),MIN(DAY(Kalemler!$D144),DAY(EOMONTH((Tahmin!$C$4+13),0))))&lt;=(Tahmin!$C$4+13),DATE(YEAR((Tahmin!$C$4+13)),MONTH((Tahmin!$C$4+13)),MIN(DAY(Kalemler!$D144),DAY(EOMONTH((Tahmin!$C$4+13),0))))&lt;&gt;DATE(YEAR((Tahmin!$C$4+7)),MONTH((Tahmin!$C$4+7)),MIN(DAY(Kalemler!$D144),DAY(EOMONTH((Tahmin!$C$4+7),0)))),DATE(YEAR((Tahmin!$C$4+13)),MONTH((Tahmin!$C$4+13)),MIN(DAY(Kalemler!$D144),DAY(EOMONTH((Tahmin!$C$4+13),0))))&gt;=Kalemler!$D144)),1,0),IF(AND(Kalemler!$D144&gt;=(Tahmin!$C$4+7),Kalemler!$D144&lt;=(Tahmin!$C$4+13)),1,0))))</f>
        <v>0</v>
      </c>
      <c r="D144" s="0" t="n">
        <f aca="false">IF(OR(Kalemler!$A144="",Kalemler!$C144="",Kalemler!$D144=""),0,Kalemler!$C144*IF(Kalemler!$E144="Haftalık",IF(Kalemler!$D144&lt;=(Tahmin!$C$4+20),1,0),IF(Kalemler!$E144="Aylık",IF(OR(AND(DATE(YEAR((Tahmin!$C$4+14)),MONTH((Tahmin!$C$4+14)),MIN(DAY(Kalemler!$D144),DAY(EOMONTH((Tahmin!$C$4+14),0))))&gt;=(Tahmin!$C$4+14),DATE(YEAR((Tahmin!$C$4+14)),MONTH((Tahmin!$C$4+14)),MIN(DAY(Kalemler!$D144),DAY(EOMONTH((Tahmin!$C$4+14),0))))&lt;=(Tahmin!$C$4+20),DATE(YEAR((Tahmin!$C$4+14)),MONTH((Tahmin!$C$4+14)),MIN(DAY(Kalemler!$D144),DAY(EOMONTH((Tahmin!$C$4+14),0))))&gt;=Kalemler!$D144),AND(DATE(YEAR((Tahmin!$C$4+20)),MONTH((Tahmin!$C$4+20)),MIN(DAY(Kalemler!$D144),DAY(EOMONTH((Tahmin!$C$4+20),0))))&gt;=(Tahmin!$C$4+14),DATE(YEAR((Tahmin!$C$4+20)),MONTH((Tahmin!$C$4+20)),MIN(DAY(Kalemler!$D144),DAY(EOMONTH((Tahmin!$C$4+20),0))))&lt;=(Tahmin!$C$4+20),DATE(YEAR((Tahmin!$C$4+20)),MONTH((Tahmin!$C$4+20)),MIN(DAY(Kalemler!$D144),DAY(EOMONTH((Tahmin!$C$4+20),0))))&lt;&gt;DATE(YEAR((Tahmin!$C$4+14)),MONTH((Tahmin!$C$4+14)),MIN(DAY(Kalemler!$D144),DAY(EOMONTH((Tahmin!$C$4+14),0)))),DATE(YEAR((Tahmin!$C$4+20)),MONTH((Tahmin!$C$4+20)),MIN(DAY(Kalemler!$D144),DAY(EOMONTH((Tahmin!$C$4+20),0))))&gt;=Kalemler!$D144)),1,0),IF(AND(Kalemler!$D144&gt;=(Tahmin!$C$4+14),Kalemler!$D144&lt;=(Tahmin!$C$4+20)),1,0))))</f>
        <v>0</v>
      </c>
      <c r="E144" s="0" t="n">
        <f aca="false">IF(OR(Kalemler!$A144="",Kalemler!$C144="",Kalemler!$D144=""),0,Kalemler!$C144*IF(Kalemler!$E144="Haftalık",IF(Kalemler!$D144&lt;=(Tahmin!$C$4+27),1,0),IF(Kalemler!$E144="Aylık",IF(OR(AND(DATE(YEAR((Tahmin!$C$4+21)),MONTH((Tahmin!$C$4+21)),MIN(DAY(Kalemler!$D144),DAY(EOMONTH((Tahmin!$C$4+21),0))))&gt;=(Tahmin!$C$4+21),DATE(YEAR((Tahmin!$C$4+21)),MONTH((Tahmin!$C$4+21)),MIN(DAY(Kalemler!$D144),DAY(EOMONTH((Tahmin!$C$4+21),0))))&lt;=(Tahmin!$C$4+27),DATE(YEAR((Tahmin!$C$4+21)),MONTH((Tahmin!$C$4+21)),MIN(DAY(Kalemler!$D144),DAY(EOMONTH((Tahmin!$C$4+21),0))))&gt;=Kalemler!$D144),AND(DATE(YEAR((Tahmin!$C$4+27)),MONTH((Tahmin!$C$4+27)),MIN(DAY(Kalemler!$D144),DAY(EOMONTH((Tahmin!$C$4+27),0))))&gt;=(Tahmin!$C$4+21),DATE(YEAR((Tahmin!$C$4+27)),MONTH((Tahmin!$C$4+27)),MIN(DAY(Kalemler!$D144),DAY(EOMONTH((Tahmin!$C$4+27),0))))&lt;=(Tahmin!$C$4+27),DATE(YEAR((Tahmin!$C$4+27)),MONTH((Tahmin!$C$4+27)),MIN(DAY(Kalemler!$D144),DAY(EOMONTH((Tahmin!$C$4+27),0))))&lt;&gt;DATE(YEAR((Tahmin!$C$4+21)),MONTH((Tahmin!$C$4+21)),MIN(DAY(Kalemler!$D144),DAY(EOMONTH((Tahmin!$C$4+21),0)))),DATE(YEAR((Tahmin!$C$4+27)),MONTH((Tahmin!$C$4+27)),MIN(DAY(Kalemler!$D144),DAY(EOMONTH((Tahmin!$C$4+27),0))))&gt;=Kalemler!$D144)),1,0),IF(AND(Kalemler!$D144&gt;=(Tahmin!$C$4+21),Kalemler!$D144&lt;=(Tahmin!$C$4+27)),1,0))))</f>
        <v>0</v>
      </c>
      <c r="F144" s="0" t="n">
        <f aca="false">IF(OR(Kalemler!$A144="",Kalemler!$C144="",Kalemler!$D144=""),0,Kalemler!$C144*IF(Kalemler!$E144="Haftalık",IF(Kalemler!$D144&lt;=(Tahmin!$C$4+34),1,0),IF(Kalemler!$E144="Aylık",IF(OR(AND(DATE(YEAR((Tahmin!$C$4+28)),MONTH((Tahmin!$C$4+28)),MIN(DAY(Kalemler!$D144),DAY(EOMONTH((Tahmin!$C$4+28),0))))&gt;=(Tahmin!$C$4+28),DATE(YEAR((Tahmin!$C$4+28)),MONTH((Tahmin!$C$4+28)),MIN(DAY(Kalemler!$D144),DAY(EOMONTH((Tahmin!$C$4+28),0))))&lt;=(Tahmin!$C$4+34),DATE(YEAR((Tahmin!$C$4+28)),MONTH((Tahmin!$C$4+28)),MIN(DAY(Kalemler!$D144),DAY(EOMONTH((Tahmin!$C$4+28),0))))&gt;=Kalemler!$D144),AND(DATE(YEAR((Tahmin!$C$4+34)),MONTH((Tahmin!$C$4+34)),MIN(DAY(Kalemler!$D144),DAY(EOMONTH((Tahmin!$C$4+34),0))))&gt;=(Tahmin!$C$4+28),DATE(YEAR((Tahmin!$C$4+34)),MONTH((Tahmin!$C$4+34)),MIN(DAY(Kalemler!$D144),DAY(EOMONTH((Tahmin!$C$4+34),0))))&lt;=(Tahmin!$C$4+34),DATE(YEAR((Tahmin!$C$4+34)),MONTH((Tahmin!$C$4+34)),MIN(DAY(Kalemler!$D144),DAY(EOMONTH((Tahmin!$C$4+34),0))))&lt;&gt;DATE(YEAR((Tahmin!$C$4+28)),MONTH((Tahmin!$C$4+28)),MIN(DAY(Kalemler!$D144),DAY(EOMONTH((Tahmin!$C$4+28),0)))),DATE(YEAR((Tahmin!$C$4+34)),MONTH((Tahmin!$C$4+34)),MIN(DAY(Kalemler!$D144),DAY(EOMONTH((Tahmin!$C$4+34),0))))&gt;=Kalemler!$D144)),1,0),IF(AND(Kalemler!$D144&gt;=(Tahmin!$C$4+28),Kalemler!$D144&lt;=(Tahmin!$C$4+34)),1,0))))</f>
        <v>0</v>
      </c>
      <c r="G144" s="0" t="n">
        <f aca="false">IF(OR(Kalemler!$A144="",Kalemler!$C144="",Kalemler!$D144=""),0,Kalemler!$C144*IF(Kalemler!$E144="Haftalık",IF(Kalemler!$D144&lt;=(Tahmin!$C$4+41),1,0),IF(Kalemler!$E144="Aylık",IF(OR(AND(DATE(YEAR((Tahmin!$C$4+35)),MONTH((Tahmin!$C$4+35)),MIN(DAY(Kalemler!$D144),DAY(EOMONTH((Tahmin!$C$4+35),0))))&gt;=(Tahmin!$C$4+35),DATE(YEAR((Tahmin!$C$4+35)),MONTH((Tahmin!$C$4+35)),MIN(DAY(Kalemler!$D144),DAY(EOMONTH((Tahmin!$C$4+35),0))))&lt;=(Tahmin!$C$4+41),DATE(YEAR((Tahmin!$C$4+35)),MONTH((Tahmin!$C$4+35)),MIN(DAY(Kalemler!$D144),DAY(EOMONTH((Tahmin!$C$4+35),0))))&gt;=Kalemler!$D144),AND(DATE(YEAR((Tahmin!$C$4+41)),MONTH((Tahmin!$C$4+41)),MIN(DAY(Kalemler!$D144),DAY(EOMONTH((Tahmin!$C$4+41),0))))&gt;=(Tahmin!$C$4+35),DATE(YEAR((Tahmin!$C$4+41)),MONTH((Tahmin!$C$4+41)),MIN(DAY(Kalemler!$D144),DAY(EOMONTH((Tahmin!$C$4+41),0))))&lt;=(Tahmin!$C$4+41),DATE(YEAR((Tahmin!$C$4+41)),MONTH((Tahmin!$C$4+41)),MIN(DAY(Kalemler!$D144),DAY(EOMONTH((Tahmin!$C$4+41),0))))&lt;&gt;DATE(YEAR((Tahmin!$C$4+35)),MONTH((Tahmin!$C$4+35)),MIN(DAY(Kalemler!$D144),DAY(EOMONTH((Tahmin!$C$4+35),0)))),DATE(YEAR((Tahmin!$C$4+41)),MONTH((Tahmin!$C$4+41)),MIN(DAY(Kalemler!$D144),DAY(EOMONTH((Tahmin!$C$4+41),0))))&gt;=Kalemler!$D144)),1,0),IF(AND(Kalemler!$D144&gt;=(Tahmin!$C$4+35),Kalemler!$D144&lt;=(Tahmin!$C$4+41)),1,0))))</f>
        <v>0</v>
      </c>
      <c r="H144" s="0" t="n">
        <f aca="false">IF(OR(Kalemler!$A144="",Kalemler!$C144="",Kalemler!$D144=""),0,Kalemler!$C144*IF(Kalemler!$E144="Haftalık",IF(Kalemler!$D144&lt;=(Tahmin!$C$4+48),1,0),IF(Kalemler!$E144="Aylık",IF(OR(AND(DATE(YEAR((Tahmin!$C$4+42)),MONTH((Tahmin!$C$4+42)),MIN(DAY(Kalemler!$D144),DAY(EOMONTH((Tahmin!$C$4+42),0))))&gt;=(Tahmin!$C$4+42),DATE(YEAR((Tahmin!$C$4+42)),MONTH((Tahmin!$C$4+42)),MIN(DAY(Kalemler!$D144),DAY(EOMONTH((Tahmin!$C$4+42),0))))&lt;=(Tahmin!$C$4+48),DATE(YEAR((Tahmin!$C$4+42)),MONTH((Tahmin!$C$4+42)),MIN(DAY(Kalemler!$D144),DAY(EOMONTH((Tahmin!$C$4+42),0))))&gt;=Kalemler!$D144),AND(DATE(YEAR((Tahmin!$C$4+48)),MONTH((Tahmin!$C$4+48)),MIN(DAY(Kalemler!$D144),DAY(EOMONTH((Tahmin!$C$4+48),0))))&gt;=(Tahmin!$C$4+42),DATE(YEAR((Tahmin!$C$4+48)),MONTH((Tahmin!$C$4+48)),MIN(DAY(Kalemler!$D144),DAY(EOMONTH((Tahmin!$C$4+48),0))))&lt;=(Tahmin!$C$4+48),DATE(YEAR((Tahmin!$C$4+48)),MONTH((Tahmin!$C$4+48)),MIN(DAY(Kalemler!$D144),DAY(EOMONTH((Tahmin!$C$4+48),0))))&lt;&gt;DATE(YEAR((Tahmin!$C$4+42)),MONTH((Tahmin!$C$4+42)),MIN(DAY(Kalemler!$D144),DAY(EOMONTH((Tahmin!$C$4+42),0)))),DATE(YEAR((Tahmin!$C$4+48)),MONTH((Tahmin!$C$4+48)),MIN(DAY(Kalemler!$D144),DAY(EOMONTH((Tahmin!$C$4+48),0))))&gt;=Kalemler!$D144)),1,0),IF(AND(Kalemler!$D144&gt;=(Tahmin!$C$4+42),Kalemler!$D144&lt;=(Tahmin!$C$4+48)),1,0))))</f>
        <v>0</v>
      </c>
      <c r="I144" s="0" t="n">
        <f aca="false">IF(OR(Kalemler!$A144="",Kalemler!$C144="",Kalemler!$D144=""),0,Kalemler!$C144*IF(Kalemler!$E144="Haftalık",IF(Kalemler!$D144&lt;=(Tahmin!$C$4+55),1,0),IF(Kalemler!$E144="Aylık",IF(OR(AND(DATE(YEAR((Tahmin!$C$4+49)),MONTH((Tahmin!$C$4+49)),MIN(DAY(Kalemler!$D144),DAY(EOMONTH((Tahmin!$C$4+49),0))))&gt;=(Tahmin!$C$4+49),DATE(YEAR((Tahmin!$C$4+49)),MONTH((Tahmin!$C$4+49)),MIN(DAY(Kalemler!$D144),DAY(EOMONTH((Tahmin!$C$4+49),0))))&lt;=(Tahmin!$C$4+55),DATE(YEAR((Tahmin!$C$4+49)),MONTH((Tahmin!$C$4+49)),MIN(DAY(Kalemler!$D144),DAY(EOMONTH((Tahmin!$C$4+49),0))))&gt;=Kalemler!$D144),AND(DATE(YEAR((Tahmin!$C$4+55)),MONTH((Tahmin!$C$4+55)),MIN(DAY(Kalemler!$D144),DAY(EOMONTH((Tahmin!$C$4+55),0))))&gt;=(Tahmin!$C$4+49),DATE(YEAR((Tahmin!$C$4+55)),MONTH((Tahmin!$C$4+55)),MIN(DAY(Kalemler!$D144),DAY(EOMONTH((Tahmin!$C$4+55),0))))&lt;=(Tahmin!$C$4+55),DATE(YEAR((Tahmin!$C$4+55)),MONTH((Tahmin!$C$4+55)),MIN(DAY(Kalemler!$D144),DAY(EOMONTH((Tahmin!$C$4+55),0))))&lt;&gt;DATE(YEAR((Tahmin!$C$4+49)),MONTH((Tahmin!$C$4+49)),MIN(DAY(Kalemler!$D144),DAY(EOMONTH((Tahmin!$C$4+49),0)))),DATE(YEAR((Tahmin!$C$4+55)),MONTH((Tahmin!$C$4+55)),MIN(DAY(Kalemler!$D144),DAY(EOMONTH((Tahmin!$C$4+55),0))))&gt;=Kalemler!$D144)),1,0),IF(AND(Kalemler!$D144&gt;=(Tahmin!$C$4+49),Kalemler!$D144&lt;=(Tahmin!$C$4+55)),1,0))))</f>
        <v>0</v>
      </c>
      <c r="J144" s="0" t="n">
        <f aca="false">IF(OR(Kalemler!$A144="",Kalemler!$C144="",Kalemler!$D144=""),0,Kalemler!$C144*IF(Kalemler!$E144="Haftalık",IF(Kalemler!$D144&lt;=(Tahmin!$C$4+62),1,0),IF(Kalemler!$E144="Aylık",IF(OR(AND(DATE(YEAR((Tahmin!$C$4+56)),MONTH((Tahmin!$C$4+56)),MIN(DAY(Kalemler!$D144),DAY(EOMONTH((Tahmin!$C$4+56),0))))&gt;=(Tahmin!$C$4+56),DATE(YEAR((Tahmin!$C$4+56)),MONTH((Tahmin!$C$4+56)),MIN(DAY(Kalemler!$D144),DAY(EOMONTH((Tahmin!$C$4+56),0))))&lt;=(Tahmin!$C$4+62),DATE(YEAR((Tahmin!$C$4+56)),MONTH((Tahmin!$C$4+56)),MIN(DAY(Kalemler!$D144),DAY(EOMONTH((Tahmin!$C$4+56),0))))&gt;=Kalemler!$D144),AND(DATE(YEAR((Tahmin!$C$4+62)),MONTH((Tahmin!$C$4+62)),MIN(DAY(Kalemler!$D144),DAY(EOMONTH((Tahmin!$C$4+62),0))))&gt;=(Tahmin!$C$4+56),DATE(YEAR((Tahmin!$C$4+62)),MONTH((Tahmin!$C$4+62)),MIN(DAY(Kalemler!$D144),DAY(EOMONTH((Tahmin!$C$4+62),0))))&lt;=(Tahmin!$C$4+62),DATE(YEAR((Tahmin!$C$4+62)),MONTH((Tahmin!$C$4+62)),MIN(DAY(Kalemler!$D144),DAY(EOMONTH((Tahmin!$C$4+62),0))))&lt;&gt;DATE(YEAR((Tahmin!$C$4+56)),MONTH((Tahmin!$C$4+56)),MIN(DAY(Kalemler!$D144),DAY(EOMONTH((Tahmin!$C$4+56),0)))),DATE(YEAR((Tahmin!$C$4+62)),MONTH((Tahmin!$C$4+62)),MIN(DAY(Kalemler!$D144),DAY(EOMONTH((Tahmin!$C$4+62),0))))&gt;=Kalemler!$D144)),1,0),IF(AND(Kalemler!$D144&gt;=(Tahmin!$C$4+56),Kalemler!$D144&lt;=(Tahmin!$C$4+62)),1,0))))</f>
        <v>0</v>
      </c>
      <c r="K144" s="0" t="n">
        <f aca="false">IF(OR(Kalemler!$A144="",Kalemler!$C144="",Kalemler!$D144=""),0,Kalemler!$C144*IF(Kalemler!$E144="Haftalık",IF(Kalemler!$D144&lt;=(Tahmin!$C$4+69),1,0),IF(Kalemler!$E144="Aylık",IF(OR(AND(DATE(YEAR((Tahmin!$C$4+63)),MONTH((Tahmin!$C$4+63)),MIN(DAY(Kalemler!$D144),DAY(EOMONTH((Tahmin!$C$4+63),0))))&gt;=(Tahmin!$C$4+63),DATE(YEAR((Tahmin!$C$4+63)),MONTH((Tahmin!$C$4+63)),MIN(DAY(Kalemler!$D144),DAY(EOMONTH((Tahmin!$C$4+63),0))))&lt;=(Tahmin!$C$4+69),DATE(YEAR((Tahmin!$C$4+63)),MONTH((Tahmin!$C$4+63)),MIN(DAY(Kalemler!$D144),DAY(EOMONTH((Tahmin!$C$4+63),0))))&gt;=Kalemler!$D144),AND(DATE(YEAR((Tahmin!$C$4+69)),MONTH((Tahmin!$C$4+69)),MIN(DAY(Kalemler!$D144),DAY(EOMONTH((Tahmin!$C$4+69),0))))&gt;=(Tahmin!$C$4+63),DATE(YEAR((Tahmin!$C$4+69)),MONTH((Tahmin!$C$4+69)),MIN(DAY(Kalemler!$D144),DAY(EOMONTH((Tahmin!$C$4+69),0))))&lt;=(Tahmin!$C$4+69),DATE(YEAR((Tahmin!$C$4+69)),MONTH((Tahmin!$C$4+69)),MIN(DAY(Kalemler!$D144),DAY(EOMONTH((Tahmin!$C$4+69),0))))&lt;&gt;DATE(YEAR((Tahmin!$C$4+63)),MONTH((Tahmin!$C$4+63)),MIN(DAY(Kalemler!$D144),DAY(EOMONTH((Tahmin!$C$4+63),0)))),DATE(YEAR((Tahmin!$C$4+69)),MONTH((Tahmin!$C$4+69)),MIN(DAY(Kalemler!$D144),DAY(EOMONTH((Tahmin!$C$4+69),0))))&gt;=Kalemler!$D144)),1,0),IF(AND(Kalemler!$D144&gt;=(Tahmin!$C$4+63),Kalemler!$D144&lt;=(Tahmin!$C$4+69)),1,0))))</f>
        <v>0</v>
      </c>
      <c r="L144" s="0" t="n">
        <f aca="false">IF(OR(Kalemler!$A144="",Kalemler!$C144="",Kalemler!$D144=""),0,Kalemler!$C144*IF(Kalemler!$E144="Haftalık",IF(Kalemler!$D144&lt;=(Tahmin!$C$4+76),1,0),IF(Kalemler!$E144="Aylık",IF(OR(AND(DATE(YEAR((Tahmin!$C$4+70)),MONTH((Tahmin!$C$4+70)),MIN(DAY(Kalemler!$D144),DAY(EOMONTH((Tahmin!$C$4+70),0))))&gt;=(Tahmin!$C$4+70),DATE(YEAR((Tahmin!$C$4+70)),MONTH((Tahmin!$C$4+70)),MIN(DAY(Kalemler!$D144),DAY(EOMONTH((Tahmin!$C$4+70),0))))&lt;=(Tahmin!$C$4+76),DATE(YEAR((Tahmin!$C$4+70)),MONTH((Tahmin!$C$4+70)),MIN(DAY(Kalemler!$D144),DAY(EOMONTH((Tahmin!$C$4+70),0))))&gt;=Kalemler!$D144),AND(DATE(YEAR((Tahmin!$C$4+76)),MONTH((Tahmin!$C$4+76)),MIN(DAY(Kalemler!$D144),DAY(EOMONTH((Tahmin!$C$4+76),0))))&gt;=(Tahmin!$C$4+70),DATE(YEAR((Tahmin!$C$4+76)),MONTH((Tahmin!$C$4+76)),MIN(DAY(Kalemler!$D144),DAY(EOMONTH((Tahmin!$C$4+76),0))))&lt;=(Tahmin!$C$4+76),DATE(YEAR((Tahmin!$C$4+76)),MONTH((Tahmin!$C$4+76)),MIN(DAY(Kalemler!$D144),DAY(EOMONTH((Tahmin!$C$4+76),0))))&lt;&gt;DATE(YEAR((Tahmin!$C$4+70)),MONTH((Tahmin!$C$4+70)),MIN(DAY(Kalemler!$D144),DAY(EOMONTH((Tahmin!$C$4+70),0)))),DATE(YEAR((Tahmin!$C$4+76)),MONTH((Tahmin!$C$4+76)),MIN(DAY(Kalemler!$D144),DAY(EOMONTH((Tahmin!$C$4+76),0))))&gt;=Kalemler!$D144)),1,0),IF(AND(Kalemler!$D144&gt;=(Tahmin!$C$4+70),Kalemler!$D144&lt;=(Tahmin!$C$4+76)),1,0))))</f>
        <v>0</v>
      </c>
      <c r="M144" s="0" t="n">
        <f aca="false">IF(OR(Kalemler!$A144="",Kalemler!$C144="",Kalemler!$D144=""),0,Kalemler!$C144*IF(Kalemler!$E144="Haftalık",IF(Kalemler!$D144&lt;=(Tahmin!$C$4+83),1,0),IF(Kalemler!$E144="Aylık",IF(OR(AND(DATE(YEAR((Tahmin!$C$4+77)),MONTH((Tahmin!$C$4+77)),MIN(DAY(Kalemler!$D144),DAY(EOMONTH((Tahmin!$C$4+77),0))))&gt;=(Tahmin!$C$4+77),DATE(YEAR((Tahmin!$C$4+77)),MONTH((Tahmin!$C$4+77)),MIN(DAY(Kalemler!$D144),DAY(EOMONTH((Tahmin!$C$4+77),0))))&lt;=(Tahmin!$C$4+83),DATE(YEAR((Tahmin!$C$4+77)),MONTH((Tahmin!$C$4+77)),MIN(DAY(Kalemler!$D144),DAY(EOMONTH((Tahmin!$C$4+77),0))))&gt;=Kalemler!$D144),AND(DATE(YEAR((Tahmin!$C$4+83)),MONTH((Tahmin!$C$4+83)),MIN(DAY(Kalemler!$D144),DAY(EOMONTH((Tahmin!$C$4+83),0))))&gt;=(Tahmin!$C$4+77),DATE(YEAR((Tahmin!$C$4+83)),MONTH((Tahmin!$C$4+83)),MIN(DAY(Kalemler!$D144),DAY(EOMONTH((Tahmin!$C$4+83),0))))&lt;=(Tahmin!$C$4+83),DATE(YEAR((Tahmin!$C$4+83)),MONTH((Tahmin!$C$4+83)),MIN(DAY(Kalemler!$D144),DAY(EOMONTH((Tahmin!$C$4+83),0))))&lt;&gt;DATE(YEAR((Tahmin!$C$4+77)),MONTH((Tahmin!$C$4+77)),MIN(DAY(Kalemler!$D144),DAY(EOMONTH((Tahmin!$C$4+77),0)))),DATE(YEAR((Tahmin!$C$4+83)),MONTH((Tahmin!$C$4+83)),MIN(DAY(Kalemler!$D144),DAY(EOMONTH((Tahmin!$C$4+83),0))))&gt;=Kalemler!$D144)),1,0),IF(AND(Kalemler!$D144&gt;=(Tahmin!$C$4+77),Kalemler!$D144&lt;=(Tahmin!$C$4+83)),1,0))))</f>
        <v>0</v>
      </c>
      <c r="N144" s="0" t="n">
        <f aca="false">IF(OR(Kalemler!$A144="",Kalemler!$C144="",Kalemler!$D144=""),0,Kalemler!$C144*IF(Kalemler!$E144="Haftalık",IF(Kalemler!$D144&lt;=(Tahmin!$C$4+90),1,0),IF(Kalemler!$E144="Aylık",IF(OR(AND(DATE(YEAR((Tahmin!$C$4+84)),MONTH((Tahmin!$C$4+84)),MIN(DAY(Kalemler!$D144),DAY(EOMONTH((Tahmin!$C$4+84),0))))&gt;=(Tahmin!$C$4+84),DATE(YEAR((Tahmin!$C$4+84)),MONTH((Tahmin!$C$4+84)),MIN(DAY(Kalemler!$D144),DAY(EOMONTH((Tahmin!$C$4+84),0))))&lt;=(Tahmin!$C$4+90),DATE(YEAR((Tahmin!$C$4+84)),MONTH((Tahmin!$C$4+84)),MIN(DAY(Kalemler!$D144),DAY(EOMONTH((Tahmin!$C$4+84),0))))&gt;=Kalemler!$D144),AND(DATE(YEAR((Tahmin!$C$4+90)),MONTH((Tahmin!$C$4+90)),MIN(DAY(Kalemler!$D144),DAY(EOMONTH((Tahmin!$C$4+90),0))))&gt;=(Tahmin!$C$4+84),DATE(YEAR((Tahmin!$C$4+90)),MONTH((Tahmin!$C$4+90)),MIN(DAY(Kalemler!$D144),DAY(EOMONTH((Tahmin!$C$4+90),0))))&lt;=(Tahmin!$C$4+90),DATE(YEAR((Tahmin!$C$4+90)),MONTH((Tahmin!$C$4+90)),MIN(DAY(Kalemler!$D144),DAY(EOMONTH((Tahmin!$C$4+90),0))))&lt;&gt;DATE(YEAR((Tahmin!$C$4+84)),MONTH((Tahmin!$C$4+84)),MIN(DAY(Kalemler!$D144),DAY(EOMONTH((Tahmin!$C$4+84),0)))),DATE(YEAR((Tahmin!$C$4+90)),MONTH((Tahmin!$C$4+90)),MIN(DAY(Kalemler!$D144),DAY(EOMONTH((Tahmin!$C$4+90),0))))&gt;=Kalemler!$D144)),1,0),IF(AND(Kalemler!$D144&gt;=(Tahmin!$C$4+84),Kalemler!$D144&lt;=(Tahmin!$C$4+90)),1,0))))</f>
        <v>0</v>
      </c>
    </row>
    <row r="145" customFormat="false" ht="15" hidden="false" customHeight="false" outlineLevel="0" collapsed="false">
      <c r="A145" s="0" t="str">
        <f aca="false">IF(Kalemler!A145="","",Kalemler!A145)</f>
        <v/>
      </c>
      <c r="B145" s="0" t="n">
        <f aca="false">IF(OR(Kalemler!$A145="",Kalemler!$C145="",Kalemler!$D145=""),0,Kalemler!$C145*IF(Kalemler!$E145="Haftalık",IF(Kalemler!$D145&lt;=(Tahmin!$C$4+6),1,0),IF(Kalemler!$E145="Aylık",IF(OR(AND(DATE(YEAR((Tahmin!$C$4+0)),MONTH((Tahmin!$C$4+0)),MIN(DAY(Kalemler!$D145),DAY(EOMONTH((Tahmin!$C$4+0),0))))&gt;=(Tahmin!$C$4+0),DATE(YEAR((Tahmin!$C$4+0)),MONTH((Tahmin!$C$4+0)),MIN(DAY(Kalemler!$D145),DAY(EOMONTH((Tahmin!$C$4+0),0))))&lt;=(Tahmin!$C$4+6),DATE(YEAR((Tahmin!$C$4+0)),MONTH((Tahmin!$C$4+0)),MIN(DAY(Kalemler!$D145),DAY(EOMONTH((Tahmin!$C$4+0),0))))&gt;=Kalemler!$D145),AND(DATE(YEAR((Tahmin!$C$4+6)),MONTH((Tahmin!$C$4+6)),MIN(DAY(Kalemler!$D145),DAY(EOMONTH((Tahmin!$C$4+6),0))))&gt;=(Tahmin!$C$4+0),DATE(YEAR((Tahmin!$C$4+6)),MONTH((Tahmin!$C$4+6)),MIN(DAY(Kalemler!$D145),DAY(EOMONTH((Tahmin!$C$4+6),0))))&lt;=(Tahmin!$C$4+6),DATE(YEAR((Tahmin!$C$4+6)),MONTH((Tahmin!$C$4+6)),MIN(DAY(Kalemler!$D145),DAY(EOMONTH((Tahmin!$C$4+6),0))))&lt;&gt;DATE(YEAR((Tahmin!$C$4+0)),MONTH((Tahmin!$C$4+0)),MIN(DAY(Kalemler!$D145),DAY(EOMONTH((Tahmin!$C$4+0),0)))),DATE(YEAR((Tahmin!$C$4+6)),MONTH((Tahmin!$C$4+6)),MIN(DAY(Kalemler!$D145),DAY(EOMONTH((Tahmin!$C$4+6),0))))&gt;=Kalemler!$D145)),1,0),IF(AND(Kalemler!$D145&gt;=(Tahmin!$C$4+0),Kalemler!$D145&lt;=(Tahmin!$C$4+6)),1,0))))</f>
        <v>0</v>
      </c>
      <c r="C145" s="0" t="n">
        <f aca="false">IF(OR(Kalemler!$A145="",Kalemler!$C145="",Kalemler!$D145=""),0,Kalemler!$C145*IF(Kalemler!$E145="Haftalık",IF(Kalemler!$D145&lt;=(Tahmin!$C$4+13),1,0),IF(Kalemler!$E145="Aylık",IF(OR(AND(DATE(YEAR((Tahmin!$C$4+7)),MONTH((Tahmin!$C$4+7)),MIN(DAY(Kalemler!$D145),DAY(EOMONTH((Tahmin!$C$4+7),0))))&gt;=(Tahmin!$C$4+7),DATE(YEAR((Tahmin!$C$4+7)),MONTH((Tahmin!$C$4+7)),MIN(DAY(Kalemler!$D145),DAY(EOMONTH((Tahmin!$C$4+7),0))))&lt;=(Tahmin!$C$4+13),DATE(YEAR((Tahmin!$C$4+7)),MONTH((Tahmin!$C$4+7)),MIN(DAY(Kalemler!$D145),DAY(EOMONTH((Tahmin!$C$4+7),0))))&gt;=Kalemler!$D145),AND(DATE(YEAR((Tahmin!$C$4+13)),MONTH((Tahmin!$C$4+13)),MIN(DAY(Kalemler!$D145),DAY(EOMONTH((Tahmin!$C$4+13),0))))&gt;=(Tahmin!$C$4+7),DATE(YEAR((Tahmin!$C$4+13)),MONTH((Tahmin!$C$4+13)),MIN(DAY(Kalemler!$D145),DAY(EOMONTH((Tahmin!$C$4+13),0))))&lt;=(Tahmin!$C$4+13),DATE(YEAR((Tahmin!$C$4+13)),MONTH((Tahmin!$C$4+13)),MIN(DAY(Kalemler!$D145),DAY(EOMONTH((Tahmin!$C$4+13),0))))&lt;&gt;DATE(YEAR((Tahmin!$C$4+7)),MONTH((Tahmin!$C$4+7)),MIN(DAY(Kalemler!$D145),DAY(EOMONTH((Tahmin!$C$4+7),0)))),DATE(YEAR((Tahmin!$C$4+13)),MONTH((Tahmin!$C$4+13)),MIN(DAY(Kalemler!$D145),DAY(EOMONTH((Tahmin!$C$4+13),0))))&gt;=Kalemler!$D145)),1,0),IF(AND(Kalemler!$D145&gt;=(Tahmin!$C$4+7),Kalemler!$D145&lt;=(Tahmin!$C$4+13)),1,0))))</f>
        <v>0</v>
      </c>
      <c r="D145" s="0" t="n">
        <f aca="false">IF(OR(Kalemler!$A145="",Kalemler!$C145="",Kalemler!$D145=""),0,Kalemler!$C145*IF(Kalemler!$E145="Haftalık",IF(Kalemler!$D145&lt;=(Tahmin!$C$4+20),1,0),IF(Kalemler!$E145="Aylık",IF(OR(AND(DATE(YEAR((Tahmin!$C$4+14)),MONTH((Tahmin!$C$4+14)),MIN(DAY(Kalemler!$D145),DAY(EOMONTH((Tahmin!$C$4+14),0))))&gt;=(Tahmin!$C$4+14),DATE(YEAR((Tahmin!$C$4+14)),MONTH((Tahmin!$C$4+14)),MIN(DAY(Kalemler!$D145),DAY(EOMONTH((Tahmin!$C$4+14),0))))&lt;=(Tahmin!$C$4+20),DATE(YEAR((Tahmin!$C$4+14)),MONTH((Tahmin!$C$4+14)),MIN(DAY(Kalemler!$D145),DAY(EOMONTH((Tahmin!$C$4+14),0))))&gt;=Kalemler!$D145),AND(DATE(YEAR((Tahmin!$C$4+20)),MONTH((Tahmin!$C$4+20)),MIN(DAY(Kalemler!$D145),DAY(EOMONTH((Tahmin!$C$4+20),0))))&gt;=(Tahmin!$C$4+14),DATE(YEAR((Tahmin!$C$4+20)),MONTH((Tahmin!$C$4+20)),MIN(DAY(Kalemler!$D145),DAY(EOMONTH((Tahmin!$C$4+20),0))))&lt;=(Tahmin!$C$4+20),DATE(YEAR((Tahmin!$C$4+20)),MONTH((Tahmin!$C$4+20)),MIN(DAY(Kalemler!$D145),DAY(EOMONTH((Tahmin!$C$4+20),0))))&lt;&gt;DATE(YEAR((Tahmin!$C$4+14)),MONTH((Tahmin!$C$4+14)),MIN(DAY(Kalemler!$D145),DAY(EOMONTH((Tahmin!$C$4+14),0)))),DATE(YEAR((Tahmin!$C$4+20)),MONTH((Tahmin!$C$4+20)),MIN(DAY(Kalemler!$D145),DAY(EOMONTH((Tahmin!$C$4+20),0))))&gt;=Kalemler!$D145)),1,0),IF(AND(Kalemler!$D145&gt;=(Tahmin!$C$4+14),Kalemler!$D145&lt;=(Tahmin!$C$4+20)),1,0))))</f>
        <v>0</v>
      </c>
      <c r="E145" s="0" t="n">
        <f aca="false">IF(OR(Kalemler!$A145="",Kalemler!$C145="",Kalemler!$D145=""),0,Kalemler!$C145*IF(Kalemler!$E145="Haftalık",IF(Kalemler!$D145&lt;=(Tahmin!$C$4+27),1,0),IF(Kalemler!$E145="Aylık",IF(OR(AND(DATE(YEAR((Tahmin!$C$4+21)),MONTH((Tahmin!$C$4+21)),MIN(DAY(Kalemler!$D145),DAY(EOMONTH((Tahmin!$C$4+21),0))))&gt;=(Tahmin!$C$4+21),DATE(YEAR((Tahmin!$C$4+21)),MONTH((Tahmin!$C$4+21)),MIN(DAY(Kalemler!$D145),DAY(EOMONTH((Tahmin!$C$4+21),0))))&lt;=(Tahmin!$C$4+27),DATE(YEAR((Tahmin!$C$4+21)),MONTH((Tahmin!$C$4+21)),MIN(DAY(Kalemler!$D145),DAY(EOMONTH((Tahmin!$C$4+21),0))))&gt;=Kalemler!$D145),AND(DATE(YEAR((Tahmin!$C$4+27)),MONTH((Tahmin!$C$4+27)),MIN(DAY(Kalemler!$D145),DAY(EOMONTH((Tahmin!$C$4+27),0))))&gt;=(Tahmin!$C$4+21),DATE(YEAR((Tahmin!$C$4+27)),MONTH((Tahmin!$C$4+27)),MIN(DAY(Kalemler!$D145),DAY(EOMONTH((Tahmin!$C$4+27),0))))&lt;=(Tahmin!$C$4+27),DATE(YEAR((Tahmin!$C$4+27)),MONTH((Tahmin!$C$4+27)),MIN(DAY(Kalemler!$D145),DAY(EOMONTH((Tahmin!$C$4+27),0))))&lt;&gt;DATE(YEAR((Tahmin!$C$4+21)),MONTH((Tahmin!$C$4+21)),MIN(DAY(Kalemler!$D145),DAY(EOMONTH((Tahmin!$C$4+21),0)))),DATE(YEAR((Tahmin!$C$4+27)),MONTH((Tahmin!$C$4+27)),MIN(DAY(Kalemler!$D145),DAY(EOMONTH((Tahmin!$C$4+27),0))))&gt;=Kalemler!$D145)),1,0),IF(AND(Kalemler!$D145&gt;=(Tahmin!$C$4+21),Kalemler!$D145&lt;=(Tahmin!$C$4+27)),1,0))))</f>
        <v>0</v>
      </c>
      <c r="F145" s="0" t="n">
        <f aca="false">IF(OR(Kalemler!$A145="",Kalemler!$C145="",Kalemler!$D145=""),0,Kalemler!$C145*IF(Kalemler!$E145="Haftalık",IF(Kalemler!$D145&lt;=(Tahmin!$C$4+34),1,0),IF(Kalemler!$E145="Aylık",IF(OR(AND(DATE(YEAR((Tahmin!$C$4+28)),MONTH((Tahmin!$C$4+28)),MIN(DAY(Kalemler!$D145),DAY(EOMONTH((Tahmin!$C$4+28),0))))&gt;=(Tahmin!$C$4+28),DATE(YEAR((Tahmin!$C$4+28)),MONTH((Tahmin!$C$4+28)),MIN(DAY(Kalemler!$D145),DAY(EOMONTH((Tahmin!$C$4+28),0))))&lt;=(Tahmin!$C$4+34),DATE(YEAR((Tahmin!$C$4+28)),MONTH((Tahmin!$C$4+28)),MIN(DAY(Kalemler!$D145),DAY(EOMONTH((Tahmin!$C$4+28),0))))&gt;=Kalemler!$D145),AND(DATE(YEAR((Tahmin!$C$4+34)),MONTH((Tahmin!$C$4+34)),MIN(DAY(Kalemler!$D145),DAY(EOMONTH((Tahmin!$C$4+34),0))))&gt;=(Tahmin!$C$4+28),DATE(YEAR((Tahmin!$C$4+34)),MONTH((Tahmin!$C$4+34)),MIN(DAY(Kalemler!$D145),DAY(EOMONTH((Tahmin!$C$4+34),0))))&lt;=(Tahmin!$C$4+34),DATE(YEAR((Tahmin!$C$4+34)),MONTH((Tahmin!$C$4+34)),MIN(DAY(Kalemler!$D145),DAY(EOMONTH((Tahmin!$C$4+34),0))))&lt;&gt;DATE(YEAR((Tahmin!$C$4+28)),MONTH((Tahmin!$C$4+28)),MIN(DAY(Kalemler!$D145),DAY(EOMONTH((Tahmin!$C$4+28),0)))),DATE(YEAR((Tahmin!$C$4+34)),MONTH((Tahmin!$C$4+34)),MIN(DAY(Kalemler!$D145),DAY(EOMONTH((Tahmin!$C$4+34),0))))&gt;=Kalemler!$D145)),1,0),IF(AND(Kalemler!$D145&gt;=(Tahmin!$C$4+28),Kalemler!$D145&lt;=(Tahmin!$C$4+34)),1,0))))</f>
        <v>0</v>
      </c>
      <c r="G145" s="0" t="n">
        <f aca="false">IF(OR(Kalemler!$A145="",Kalemler!$C145="",Kalemler!$D145=""),0,Kalemler!$C145*IF(Kalemler!$E145="Haftalık",IF(Kalemler!$D145&lt;=(Tahmin!$C$4+41),1,0),IF(Kalemler!$E145="Aylık",IF(OR(AND(DATE(YEAR((Tahmin!$C$4+35)),MONTH((Tahmin!$C$4+35)),MIN(DAY(Kalemler!$D145),DAY(EOMONTH((Tahmin!$C$4+35),0))))&gt;=(Tahmin!$C$4+35),DATE(YEAR((Tahmin!$C$4+35)),MONTH((Tahmin!$C$4+35)),MIN(DAY(Kalemler!$D145),DAY(EOMONTH((Tahmin!$C$4+35),0))))&lt;=(Tahmin!$C$4+41),DATE(YEAR((Tahmin!$C$4+35)),MONTH((Tahmin!$C$4+35)),MIN(DAY(Kalemler!$D145),DAY(EOMONTH((Tahmin!$C$4+35),0))))&gt;=Kalemler!$D145),AND(DATE(YEAR((Tahmin!$C$4+41)),MONTH((Tahmin!$C$4+41)),MIN(DAY(Kalemler!$D145),DAY(EOMONTH((Tahmin!$C$4+41),0))))&gt;=(Tahmin!$C$4+35),DATE(YEAR((Tahmin!$C$4+41)),MONTH((Tahmin!$C$4+41)),MIN(DAY(Kalemler!$D145),DAY(EOMONTH((Tahmin!$C$4+41),0))))&lt;=(Tahmin!$C$4+41),DATE(YEAR((Tahmin!$C$4+41)),MONTH((Tahmin!$C$4+41)),MIN(DAY(Kalemler!$D145),DAY(EOMONTH((Tahmin!$C$4+41),0))))&lt;&gt;DATE(YEAR((Tahmin!$C$4+35)),MONTH((Tahmin!$C$4+35)),MIN(DAY(Kalemler!$D145),DAY(EOMONTH((Tahmin!$C$4+35),0)))),DATE(YEAR((Tahmin!$C$4+41)),MONTH((Tahmin!$C$4+41)),MIN(DAY(Kalemler!$D145),DAY(EOMONTH((Tahmin!$C$4+41),0))))&gt;=Kalemler!$D145)),1,0),IF(AND(Kalemler!$D145&gt;=(Tahmin!$C$4+35),Kalemler!$D145&lt;=(Tahmin!$C$4+41)),1,0))))</f>
        <v>0</v>
      </c>
      <c r="H145" s="0" t="n">
        <f aca="false">IF(OR(Kalemler!$A145="",Kalemler!$C145="",Kalemler!$D145=""),0,Kalemler!$C145*IF(Kalemler!$E145="Haftalık",IF(Kalemler!$D145&lt;=(Tahmin!$C$4+48),1,0),IF(Kalemler!$E145="Aylık",IF(OR(AND(DATE(YEAR((Tahmin!$C$4+42)),MONTH((Tahmin!$C$4+42)),MIN(DAY(Kalemler!$D145),DAY(EOMONTH((Tahmin!$C$4+42),0))))&gt;=(Tahmin!$C$4+42),DATE(YEAR((Tahmin!$C$4+42)),MONTH((Tahmin!$C$4+42)),MIN(DAY(Kalemler!$D145),DAY(EOMONTH((Tahmin!$C$4+42),0))))&lt;=(Tahmin!$C$4+48),DATE(YEAR((Tahmin!$C$4+42)),MONTH((Tahmin!$C$4+42)),MIN(DAY(Kalemler!$D145),DAY(EOMONTH((Tahmin!$C$4+42),0))))&gt;=Kalemler!$D145),AND(DATE(YEAR((Tahmin!$C$4+48)),MONTH((Tahmin!$C$4+48)),MIN(DAY(Kalemler!$D145),DAY(EOMONTH((Tahmin!$C$4+48),0))))&gt;=(Tahmin!$C$4+42),DATE(YEAR((Tahmin!$C$4+48)),MONTH((Tahmin!$C$4+48)),MIN(DAY(Kalemler!$D145),DAY(EOMONTH((Tahmin!$C$4+48),0))))&lt;=(Tahmin!$C$4+48),DATE(YEAR((Tahmin!$C$4+48)),MONTH((Tahmin!$C$4+48)),MIN(DAY(Kalemler!$D145),DAY(EOMONTH((Tahmin!$C$4+48),0))))&lt;&gt;DATE(YEAR((Tahmin!$C$4+42)),MONTH((Tahmin!$C$4+42)),MIN(DAY(Kalemler!$D145),DAY(EOMONTH((Tahmin!$C$4+42),0)))),DATE(YEAR((Tahmin!$C$4+48)),MONTH((Tahmin!$C$4+48)),MIN(DAY(Kalemler!$D145),DAY(EOMONTH((Tahmin!$C$4+48),0))))&gt;=Kalemler!$D145)),1,0),IF(AND(Kalemler!$D145&gt;=(Tahmin!$C$4+42),Kalemler!$D145&lt;=(Tahmin!$C$4+48)),1,0))))</f>
        <v>0</v>
      </c>
      <c r="I145" s="0" t="n">
        <f aca="false">IF(OR(Kalemler!$A145="",Kalemler!$C145="",Kalemler!$D145=""),0,Kalemler!$C145*IF(Kalemler!$E145="Haftalık",IF(Kalemler!$D145&lt;=(Tahmin!$C$4+55),1,0),IF(Kalemler!$E145="Aylık",IF(OR(AND(DATE(YEAR((Tahmin!$C$4+49)),MONTH((Tahmin!$C$4+49)),MIN(DAY(Kalemler!$D145),DAY(EOMONTH((Tahmin!$C$4+49),0))))&gt;=(Tahmin!$C$4+49),DATE(YEAR((Tahmin!$C$4+49)),MONTH((Tahmin!$C$4+49)),MIN(DAY(Kalemler!$D145),DAY(EOMONTH((Tahmin!$C$4+49),0))))&lt;=(Tahmin!$C$4+55),DATE(YEAR((Tahmin!$C$4+49)),MONTH((Tahmin!$C$4+49)),MIN(DAY(Kalemler!$D145),DAY(EOMONTH((Tahmin!$C$4+49),0))))&gt;=Kalemler!$D145),AND(DATE(YEAR((Tahmin!$C$4+55)),MONTH((Tahmin!$C$4+55)),MIN(DAY(Kalemler!$D145),DAY(EOMONTH((Tahmin!$C$4+55),0))))&gt;=(Tahmin!$C$4+49),DATE(YEAR((Tahmin!$C$4+55)),MONTH((Tahmin!$C$4+55)),MIN(DAY(Kalemler!$D145),DAY(EOMONTH((Tahmin!$C$4+55),0))))&lt;=(Tahmin!$C$4+55),DATE(YEAR((Tahmin!$C$4+55)),MONTH((Tahmin!$C$4+55)),MIN(DAY(Kalemler!$D145),DAY(EOMONTH((Tahmin!$C$4+55),0))))&lt;&gt;DATE(YEAR((Tahmin!$C$4+49)),MONTH((Tahmin!$C$4+49)),MIN(DAY(Kalemler!$D145),DAY(EOMONTH((Tahmin!$C$4+49),0)))),DATE(YEAR((Tahmin!$C$4+55)),MONTH((Tahmin!$C$4+55)),MIN(DAY(Kalemler!$D145),DAY(EOMONTH((Tahmin!$C$4+55),0))))&gt;=Kalemler!$D145)),1,0),IF(AND(Kalemler!$D145&gt;=(Tahmin!$C$4+49),Kalemler!$D145&lt;=(Tahmin!$C$4+55)),1,0))))</f>
        <v>0</v>
      </c>
      <c r="J145" s="0" t="n">
        <f aca="false">IF(OR(Kalemler!$A145="",Kalemler!$C145="",Kalemler!$D145=""),0,Kalemler!$C145*IF(Kalemler!$E145="Haftalık",IF(Kalemler!$D145&lt;=(Tahmin!$C$4+62),1,0),IF(Kalemler!$E145="Aylık",IF(OR(AND(DATE(YEAR((Tahmin!$C$4+56)),MONTH((Tahmin!$C$4+56)),MIN(DAY(Kalemler!$D145),DAY(EOMONTH((Tahmin!$C$4+56),0))))&gt;=(Tahmin!$C$4+56),DATE(YEAR((Tahmin!$C$4+56)),MONTH((Tahmin!$C$4+56)),MIN(DAY(Kalemler!$D145),DAY(EOMONTH((Tahmin!$C$4+56),0))))&lt;=(Tahmin!$C$4+62),DATE(YEAR((Tahmin!$C$4+56)),MONTH((Tahmin!$C$4+56)),MIN(DAY(Kalemler!$D145),DAY(EOMONTH((Tahmin!$C$4+56),0))))&gt;=Kalemler!$D145),AND(DATE(YEAR((Tahmin!$C$4+62)),MONTH((Tahmin!$C$4+62)),MIN(DAY(Kalemler!$D145),DAY(EOMONTH((Tahmin!$C$4+62),0))))&gt;=(Tahmin!$C$4+56),DATE(YEAR((Tahmin!$C$4+62)),MONTH((Tahmin!$C$4+62)),MIN(DAY(Kalemler!$D145),DAY(EOMONTH((Tahmin!$C$4+62),0))))&lt;=(Tahmin!$C$4+62),DATE(YEAR((Tahmin!$C$4+62)),MONTH((Tahmin!$C$4+62)),MIN(DAY(Kalemler!$D145),DAY(EOMONTH((Tahmin!$C$4+62),0))))&lt;&gt;DATE(YEAR((Tahmin!$C$4+56)),MONTH((Tahmin!$C$4+56)),MIN(DAY(Kalemler!$D145),DAY(EOMONTH((Tahmin!$C$4+56),0)))),DATE(YEAR((Tahmin!$C$4+62)),MONTH((Tahmin!$C$4+62)),MIN(DAY(Kalemler!$D145),DAY(EOMONTH((Tahmin!$C$4+62),0))))&gt;=Kalemler!$D145)),1,0),IF(AND(Kalemler!$D145&gt;=(Tahmin!$C$4+56),Kalemler!$D145&lt;=(Tahmin!$C$4+62)),1,0))))</f>
        <v>0</v>
      </c>
      <c r="K145" s="0" t="n">
        <f aca="false">IF(OR(Kalemler!$A145="",Kalemler!$C145="",Kalemler!$D145=""),0,Kalemler!$C145*IF(Kalemler!$E145="Haftalık",IF(Kalemler!$D145&lt;=(Tahmin!$C$4+69),1,0),IF(Kalemler!$E145="Aylık",IF(OR(AND(DATE(YEAR((Tahmin!$C$4+63)),MONTH((Tahmin!$C$4+63)),MIN(DAY(Kalemler!$D145),DAY(EOMONTH((Tahmin!$C$4+63),0))))&gt;=(Tahmin!$C$4+63),DATE(YEAR((Tahmin!$C$4+63)),MONTH((Tahmin!$C$4+63)),MIN(DAY(Kalemler!$D145),DAY(EOMONTH((Tahmin!$C$4+63),0))))&lt;=(Tahmin!$C$4+69),DATE(YEAR((Tahmin!$C$4+63)),MONTH((Tahmin!$C$4+63)),MIN(DAY(Kalemler!$D145),DAY(EOMONTH((Tahmin!$C$4+63),0))))&gt;=Kalemler!$D145),AND(DATE(YEAR((Tahmin!$C$4+69)),MONTH((Tahmin!$C$4+69)),MIN(DAY(Kalemler!$D145),DAY(EOMONTH((Tahmin!$C$4+69),0))))&gt;=(Tahmin!$C$4+63),DATE(YEAR((Tahmin!$C$4+69)),MONTH((Tahmin!$C$4+69)),MIN(DAY(Kalemler!$D145),DAY(EOMONTH((Tahmin!$C$4+69),0))))&lt;=(Tahmin!$C$4+69),DATE(YEAR((Tahmin!$C$4+69)),MONTH((Tahmin!$C$4+69)),MIN(DAY(Kalemler!$D145),DAY(EOMONTH((Tahmin!$C$4+69),0))))&lt;&gt;DATE(YEAR((Tahmin!$C$4+63)),MONTH((Tahmin!$C$4+63)),MIN(DAY(Kalemler!$D145),DAY(EOMONTH((Tahmin!$C$4+63),0)))),DATE(YEAR((Tahmin!$C$4+69)),MONTH((Tahmin!$C$4+69)),MIN(DAY(Kalemler!$D145),DAY(EOMONTH((Tahmin!$C$4+69),0))))&gt;=Kalemler!$D145)),1,0),IF(AND(Kalemler!$D145&gt;=(Tahmin!$C$4+63),Kalemler!$D145&lt;=(Tahmin!$C$4+69)),1,0))))</f>
        <v>0</v>
      </c>
      <c r="L145" s="0" t="n">
        <f aca="false">IF(OR(Kalemler!$A145="",Kalemler!$C145="",Kalemler!$D145=""),0,Kalemler!$C145*IF(Kalemler!$E145="Haftalık",IF(Kalemler!$D145&lt;=(Tahmin!$C$4+76),1,0),IF(Kalemler!$E145="Aylık",IF(OR(AND(DATE(YEAR((Tahmin!$C$4+70)),MONTH((Tahmin!$C$4+70)),MIN(DAY(Kalemler!$D145),DAY(EOMONTH((Tahmin!$C$4+70),0))))&gt;=(Tahmin!$C$4+70),DATE(YEAR((Tahmin!$C$4+70)),MONTH((Tahmin!$C$4+70)),MIN(DAY(Kalemler!$D145),DAY(EOMONTH((Tahmin!$C$4+70),0))))&lt;=(Tahmin!$C$4+76),DATE(YEAR((Tahmin!$C$4+70)),MONTH((Tahmin!$C$4+70)),MIN(DAY(Kalemler!$D145),DAY(EOMONTH((Tahmin!$C$4+70),0))))&gt;=Kalemler!$D145),AND(DATE(YEAR((Tahmin!$C$4+76)),MONTH((Tahmin!$C$4+76)),MIN(DAY(Kalemler!$D145),DAY(EOMONTH((Tahmin!$C$4+76),0))))&gt;=(Tahmin!$C$4+70),DATE(YEAR((Tahmin!$C$4+76)),MONTH((Tahmin!$C$4+76)),MIN(DAY(Kalemler!$D145),DAY(EOMONTH((Tahmin!$C$4+76),0))))&lt;=(Tahmin!$C$4+76),DATE(YEAR((Tahmin!$C$4+76)),MONTH((Tahmin!$C$4+76)),MIN(DAY(Kalemler!$D145),DAY(EOMONTH((Tahmin!$C$4+76),0))))&lt;&gt;DATE(YEAR((Tahmin!$C$4+70)),MONTH((Tahmin!$C$4+70)),MIN(DAY(Kalemler!$D145),DAY(EOMONTH((Tahmin!$C$4+70),0)))),DATE(YEAR((Tahmin!$C$4+76)),MONTH((Tahmin!$C$4+76)),MIN(DAY(Kalemler!$D145),DAY(EOMONTH((Tahmin!$C$4+76),0))))&gt;=Kalemler!$D145)),1,0),IF(AND(Kalemler!$D145&gt;=(Tahmin!$C$4+70),Kalemler!$D145&lt;=(Tahmin!$C$4+76)),1,0))))</f>
        <v>0</v>
      </c>
      <c r="M145" s="0" t="n">
        <f aca="false">IF(OR(Kalemler!$A145="",Kalemler!$C145="",Kalemler!$D145=""),0,Kalemler!$C145*IF(Kalemler!$E145="Haftalık",IF(Kalemler!$D145&lt;=(Tahmin!$C$4+83),1,0),IF(Kalemler!$E145="Aylık",IF(OR(AND(DATE(YEAR((Tahmin!$C$4+77)),MONTH((Tahmin!$C$4+77)),MIN(DAY(Kalemler!$D145),DAY(EOMONTH((Tahmin!$C$4+77),0))))&gt;=(Tahmin!$C$4+77),DATE(YEAR((Tahmin!$C$4+77)),MONTH((Tahmin!$C$4+77)),MIN(DAY(Kalemler!$D145),DAY(EOMONTH((Tahmin!$C$4+77),0))))&lt;=(Tahmin!$C$4+83),DATE(YEAR((Tahmin!$C$4+77)),MONTH((Tahmin!$C$4+77)),MIN(DAY(Kalemler!$D145),DAY(EOMONTH((Tahmin!$C$4+77),0))))&gt;=Kalemler!$D145),AND(DATE(YEAR((Tahmin!$C$4+83)),MONTH((Tahmin!$C$4+83)),MIN(DAY(Kalemler!$D145),DAY(EOMONTH((Tahmin!$C$4+83),0))))&gt;=(Tahmin!$C$4+77),DATE(YEAR((Tahmin!$C$4+83)),MONTH((Tahmin!$C$4+83)),MIN(DAY(Kalemler!$D145),DAY(EOMONTH((Tahmin!$C$4+83),0))))&lt;=(Tahmin!$C$4+83),DATE(YEAR((Tahmin!$C$4+83)),MONTH((Tahmin!$C$4+83)),MIN(DAY(Kalemler!$D145),DAY(EOMONTH((Tahmin!$C$4+83),0))))&lt;&gt;DATE(YEAR((Tahmin!$C$4+77)),MONTH((Tahmin!$C$4+77)),MIN(DAY(Kalemler!$D145),DAY(EOMONTH((Tahmin!$C$4+77),0)))),DATE(YEAR((Tahmin!$C$4+83)),MONTH((Tahmin!$C$4+83)),MIN(DAY(Kalemler!$D145),DAY(EOMONTH((Tahmin!$C$4+83),0))))&gt;=Kalemler!$D145)),1,0),IF(AND(Kalemler!$D145&gt;=(Tahmin!$C$4+77),Kalemler!$D145&lt;=(Tahmin!$C$4+83)),1,0))))</f>
        <v>0</v>
      </c>
      <c r="N145" s="0" t="n">
        <f aca="false">IF(OR(Kalemler!$A145="",Kalemler!$C145="",Kalemler!$D145=""),0,Kalemler!$C145*IF(Kalemler!$E145="Haftalık",IF(Kalemler!$D145&lt;=(Tahmin!$C$4+90),1,0),IF(Kalemler!$E145="Aylık",IF(OR(AND(DATE(YEAR((Tahmin!$C$4+84)),MONTH((Tahmin!$C$4+84)),MIN(DAY(Kalemler!$D145),DAY(EOMONTH((Tahmin!$C$4+84),0))))&gt;=(Tahmin!$C$4+84),DATE(YEAR((Tahmin!$C$4+84)),MONTH((Tahmin!$C$4+84)),MIN(DAY(Kalemler!$D145),DAY(EOMONTH((Tahmin!$C$4+84),0))))&lt;=(Tahmin!$C$4+90),DATE(YEAR((Tahmin!$C$4+84)),MONTH((Tahmin!$C$4+84)),MIN(DAY(Kalemler!$D145),DAY(EOMONTH((Tahmin!$C$4+84),0))))&gt;=Kalemler!$D145),AND(DATE(YEAR((Tahmin!$C$4+90)),MONTH((Tahmin!$C$4+90)),MIN(DAY(Kalemler!$D145),DAY(EOMONTH((Tahmin!$C$4+90),0))))&gt;=(Tahmin!$C$4+84),DATE(YEAR((Tahmin!$C$4+90)),MONTH((Tahmin!$C$4+90)),MIN(DAY(Kalemler!$D145),DAY(EOMONTH((Tahmin!$C$4+90),0))))&lt;=(Tahmin!$C$4+90),DATE(YEAR((Tahmin!$C$4+90)),MONTH((Tahmin!$C$4+90)),MIN(DAY(Kalemler!$D145),DAY(EOMONTH((Tahmin!$C$4+90),0))))&lt;&gt;DATE(YEAR((Tahmin!$C$4+84)),MONTH((Tahmin!$C$4+84)),MIN(DAY(Kalemler!$D145),DAY(EOMONTH((Tahmin!$C$4+84),0)))),DATE(YEAR((Tahmin!$C$4+90)),MONTH((Tahmin!$C$4+90)),MIN(DAY(Kalemler!$D145),DAY(EOMONTH((Tahmin!$C$4+90),0))))&gt;=Kalemler!$D145)),1,0),IF(AND(Kalemler!$D145&gt;=(Tahmin!$C$4+84),Kalemler!$D145&lt;=(Tahmin!$C$4+90)),1,0))))</f>
        <v>0</v>
      </c>
    </row>
    <row r="146" customFormat="false" ht="15" hidden="false" customHeight="false" outlineLevel="0" collapsed="false">
      <c r="A146" s="0" t="str">
        <f aca="false">IF(Kalemler!A146="","",Kalemler!A146)</f>
        <v/>
      </c>
      <c r="B146" s="0" t="n">
        <f aca="false">IF(OR(Kalemler!$A146="",Kalemler!$C146="",Kalemler!$D146=""),0,Kalemler!$C146*IF(Kalemler!$E146="Haftalık",IF(Kalemler!$D146&lt;=(Tahmin!$C$4+6),1,0),IF(Kalemler!$E146="Aylık",IF(OR(AND(DATE(YEAR((Tahmin!$C$4+0)),MONTH((Tahmin!$C$4+0)),MIN(DAY(Kalemler!$D146),DAY(EOMONTH((Tahmin!$C$4+0),0))))&gt;=(Tahmin!$C$4+0),DATE(YEAR((Tahmin!$C$4+0)),MONTH((Tahmin!$C$4+0)),MIN(DAY(Kalemler!$D146),DAY(EOMONTH((Tahmin!$C$4+0),0))))&lt;=(Tahmin!$C$4+6),DATE(YEAR((Tahmin!$C$4+0)),MONTH((Tahmin!$C$4+0)),MIN(DAY(Kalemler!$D146),DAY(EOMONTH((Tahmin!$C$4+0),0))))&gt;=Kalemler!$D146),AND(DATE(YEAR((Tahmin!$C$4+6)),MONTH((Tahmin!$C$4+6)),MIN(DAY(Kalemler!$D146),DAY(EOMONTH((Tahmin!$C$4+6),0))))&gt;=(Tahmin!$C$4+0),DATE(YEAR((Tahmin!$C$4+6)),MONTH((Tahmin!$C$4+6)),MIN(DAY(Kalemler!$D146),DAY(EOMONTH((Tahmin!$C$4+6),0))))&lt;=(Tahmin!$C$4+6),DATE(YEAR((Tahmin!$C$4+6)),MONTH((Tahmin!$C$4+6)),MIN(DAY(Kalemler!$D146),DAY(EOMONTH((Tahmin!$C$4+6),0))))&lt;&gt;DATE(YEAR((Tahmin!$C$4+0)),MONTH((Tahmin!$C$4+0)),MIN(DAY(Kalemler!$D146),DAY(EOMONTH((Tahmin!$C$4+0),0)))),DATE(YEAR((Tahmin!$C$4+6)),MONTH((Tahmin!$C$4+6)),MIN(DAY(Kalemler!$D146),DAY(EOMONTH((Tahmin!$C$4+6),0))))&gt;=Kalemler!$D146)),1,0),IF(AND(Kalemler!$D146&gt;=(Tahmin!$C$4+0),Kalemler!$D146&lt;=(Tahmin!$C$4+6)),1,0))))</f>
        <v>0</v>
      </c>
      <c r="C146" s="0" t="n">
        <f aca="false">IF(OR(Kalemler!$A146="",Kalemler!$C146="",Kalemler!$D146=""),0,Kalemler!$C146*IF(Kalemler!$E146="Haftalık",IF(Kalemler!$D146&lt;=(Tahmin!$C$4+13),1,0),IF(Kalemler!$E146="Aylık",IF(OR(AND(DATE(YEAR((Tahmin!$C$4+7)),MONTH((Tahmin!$C$4+7)),MIN(DAY(Kalemler!$D146),DAY(EOMONTH((Tahmin!$C$4+7),0))))&gt;=(Tahmin!$C$4+7),DATE(YEAR((Tahmin!$C$4+7)),MONTH((Tahmin!$C$4+7)),MIN(DAY(Kalemler!$D146),DAY(EOMONTH((Tahmin!$C$4+7),0))))&lt;=(Tahmin!$C$4+13),DATE(YEAR((Tahmin!$C$4+7)),MONTH((Tahmin!$C$4+7)),MIN(DAY(Kalemler!$D146),DAY(EOMONTH((Tahmin!$C$4+7),0))))&gt;=Kalemler!$D146),AND(DATE(YEAR((Tahmin!$C$4+13)),MONTH((Tahmin!$C$4+13)),MIN(DAY(Kalemler!$D146),DAY(EOMONTH((Tahmin!$C$4+13),0))))&gt;=(Tahmin!$C$4+7),DATE(YEAR((Tahmin!$C$4+13)),MONTH((Tahmin!$C$4+13)),MIN(DAY(Kalemler!$D146),DAY(EOMONTH((Tahmin!$C$4+13),0))))&lt;=(Tahmin!$C$4+13),DATE(YEAR((Tahmin!$C$4+13)),MONTH((Tahmin!$C$4+13)),MIN(DAY(Kalemler!$D146),DAY(EOMONTH((Tahmin!$C$4+13),0))))&lt;&gt;DATE(YEAR((Tahmin!$C$4+7)),MONTH((Tahmin!$C$4+7)),MIN(DAY(Kalemler!$D146),DAY(EOMONTH((Tahmin!$C$4+7),0)))),DATE(YEAR((Tahmin!$C$4+13)),MONTH((Tahmin!$C$4+13)),MIN(DAY(Kalemler!$D146),DAY(EOMONTH((Tahmin!$C$4+13),0))))&gt;=Kalemler!$D146)),1,0),IF(AND(Kalemler!$D146&gt;=(Tahmin!$C$4+7),Kalemler!$D146&lt;=(Tahmin!$C$4+13)),1,0))))</f>
        <v>0</v>
      </c>
      <c r="D146" s="0" t="n">
        <f aca="false">IF(OR(Kalemler!$A146="",Kalemler!$C146="",Kalemler!$D146=""),0,Kalemler!$C146*IF(Kalemler!$E146="Haftalık",IF(Kalemler!$D146&lt;=(Tahmin!$C$4+20),1,0),IF(Kalemler!$E146="Aylık",IF(OR(AND(DATE(YEAR((Tahmin!$C$4+14)),MONTH((Tahmin!$C$4+14)),MIN(DAY(Kalemler!$D146),DAY(EOMONTH((Tahmin!$C$4+14),0))))&gt;=(Tahmin!$C$4+14),DATE(YEAR((Tahmin!$C$4+14)),MONTH((Tahmin!$C$4+14)),MIN(DAY(Kalemler!$D146),DAY(EOMONTH((Tahmin!$C$4+14),0))))&lt;=(Tahmin!$C$4+20),DATE(YEAR((Tahmin!$C$4+14)),MONTH((Tahmin!$C$4+14)),MIN(DAY(Kalemler!$D146),DAY(EOMONTH((Tahmin!$C$4+14),0))))&gt;=Kalemler!$D146),AND(DATE(YEAR((Tahmin!$C$4+20)),MONTH((Tahmin!$C$4+20)),MIN(DAY(Kalemler!$D146),DAY(EOMONTH((Tahmin!$C$4+20),0))))&gt;=(Tahmin!$C$4+14),DATE(YEAR((Tahmin!$C$4+20)),MONTH((Tahmin!$C$4+20)),MIN(DAY(Kalemler!$D146),DAY(EOMONTH((Tahmin!$C$4+20),0))))&lt;=(Tahmin!$C$4+20),DATE(YEAR((Tahmin!$C$4+20)),MONTH((Tahmin!$C$4+20)),MIN(DAY(Kalemler!$D146),DAY(EOMONTH((Tahmin!$C$4+20),0))))&lt;&gt;DATE(YEAR((Tahmin!$C$4+14)),MONTH((Tahmin!$C$4+14)),MIN(DAY(Kalemler!$D146),DAY(EOMONTH((Tahmin!$C$4+14),0)))),DATE(YEAR((Tahmin!$C$4+20)),MONTH((Tahmin!$C$4+20)),MIN(DAY(Kalemler!$D146),DAY(EOMONTH((Tahmin!$C$4+20),0))))&gt;=Kalemler!$D146)),1,0),IF(AND(Kalemler!$D146&gt;=(Tahmin!$C$4+14),Kalemler!$D146&lt;=(Tahmin!$C$4+20)),1,0))))</f>
        <v>0</v>
      </c>
      <c r="E146" s="0" t="n">
        <f aca="false">IF(OR(Kalemler!$A146="",Kalemler!$C146="",Kalemler!$D146=""),0,Kalemler!$C146*IF(Kalemler!$E146="Haftalık",IF(Kalemler!$D146&lt;=(Tahmin!$C$4+27),1,0),IF(Kalemler!$E146="Aylık",IF(OR(AND(DATE(YEAR((Tahmin!$C$4+21)),MONTH((Tahmin!$C$4+21)),MIN(DAY(Kalemler!$D146),DAY(EOMONTH((Tahmin!$C$4+21),0))))&gt;=(Tahmin!$C$4+21),DATE(YEAR((Tahmin!$C$4+21)),MONTH((Tahmin!$C$4+21)),MIN(DAY(Kalemler!$D146),DAY(EOMONTH((Tahmin!$C$4+21),0))))&lt;=(Tahmin!$C$4+27),DATE(YEAR((Tahmin!$C$4+21)),MONTH((Tahmin!$C$4+21)),MIN(DAY(Kalemler!$D146),DAY(EOMONTH((Tahmin!$C$4+21),0))))&gt;=Kalemler!$D146),AND(DATE(YEAR((Tahmin!$C$4+27)),MONTH((Tahmin!$C$4+27)),MIN(DAY(Kalemler!$D146),DAY(EOMONTH((Tahmin!$C$4+27),0))))&gt;=(Tahmin!$C$4+21),DATE(YEAR((Tahmin!$C$4+27)),MONTH((Tahmin!$C$4+27)),MIN(DAY(Kalemler!$D146),DAY(EOMONTH((Tahmin!$C$4+27),0))))&lt;=(Tahmin!$C$4+27),DATE(YEAR((Tahmin!$C$4+27)),MONTH((Tahmin!$C$4+27)),MIN(DAY(Kalemler!$D146),DAY(EOMONTH((Tahmin!$C$4+27),0))))&lt;&gt;DATE(YEAR((Tahmin!$C$4+21)),MONTH((Tahmin!$C$4+21)),MIN(DAY(Kalemler!$D146),DAY(EOMONTH((Tahmin!$C$4+21),0)))),DATE(YEAR((Tahmin!$C$4+27)),MONTH((Tahmin!$C$4+27)),MIN(DAY(Kalemler!$D146),DAY(EOMONTH((Tahmin!$C$4+27),0))))&gt;=Kalemler!$D146)),1,0),IF(AND(Kalemler!$D146&gt;=(Tahmin!$C$4+21),Kalemler!$D146&lt;=(Tahmin!$C$4+27)),1,0))))</f>
        <v>0</v>
      </c>
      <c r="F146" s="0" t="n">
        <f aca="false">IF(OR(Kalemler!$A146="",Kalemler!$C146="",Kalemler!$D146=""),0,Kalemler!$C146*IF(Kalemler!$E146="Haftalık",IF(Kalemler!$D146&lt;=(Tahmin!$C$4+34),1,0),IF(Kalemler!$E146="Aylık",IF(OR(AND(DATE(YEAR((Tahmin!$C$4+28)),MONTH((Tahmin!$C$4+28)),MIN(DAY(Kalemler!$D146),DAY(EOMONTH((Tahmin!$C$4+28),0))))&gt;=(Tahmin!$C$4+28),DATE(YEAR((Tahmin!$C$4+28)),MONTH((Tahmin!$C$4+28)),MIN(DAY(Kalemler!$D146),DAY(EOMONTH((Tahmin!$C$4+28),0))))&lt;=(Tahmin!$C$4+34),DATE(YEAR((Tahmin!$C$4+28)),MONTH((Tahmin!$C$4+28)),MIN(DAY(Kalemler!$D146),DAY(EOMONTH((Tahmin!$C$4+28),0))))&gt;=Kalemler!$D146),AND(DATE(YEAR((Tahmin!$C$4+34)),MONTH((Tahmin!$C$4+34)),MIN(DAY(Kalemler!$D146),DAY(EOMONTH((Tahmin!$C$4+34),0))))&gt;=(Tahmin!$C$4+28),DATE(YEAR((Tahmin!$C$4+34)),MONTH((Tahmin!$C$4+34)),MIN(DAY(Kalemler!$D146),DAY(EOMONTH((Tahmin!$C$4+34),0))))&lt;=(Tahmin!$C$4+34),DATE(YEAR((Tahmin!$C$4+34)),MONTH((Tahmin!$C$4+34)),MIN(DAY(Kalemler!$D146),DAY(EOMONTH((Tahmin!$C$4+34),0))))&lt;&gt;DATE(YEAR((Tahmin!$C$4+28)),MONTH((Tahmin!$C$4+28)),MIN(DAY(Kalemler!$D146),DAY(EOMONTH((Tahmin!$C$4+28),0)))),DATE(YEAR((Tahmin!$C$4+34)),MONTH((Tahmin!$C$4+34)),MIN(DAY(Kalemler!$D146),DAY(EOMONTH((Tahmin!$C$4+34),0))))&gt;=Kalemler!$D146)),1,0),IF(AND(Kalemler!$D146&gt;=(Tahmin!$C$4+28),Kalemler!$D146&lt;=(Tahmin!$C$4+34)),1,0))))</f>
        <v>0</v>
      </c>
      <c r="G146" s="0" t="n">
        <f aca="false">IF(OR(Kalemler!$A146="",Kalemler!$C146="",Kalemler!$D146=""),0,Kalemler!$C146*IF(Kalemler!$E146="Haftalık",IF(Kalemler!$D146&lt;=(Tahmin!$C$4+41),1,0),IF(Kalemler!$E146="Aylık",IF(OR(AND(DATE(YEAR((Tahmin!$C$4+35)),MONTH((Tahmin!$C$4+35)),MIN(DAY(Kalemler!$D146),DAY(EOMONTH((Tahmin!$C$4+35),0))))&gt;=(Tahmin!$C$4+35),DATE(YEAR((Tahmin!$C$4+35)),MONTH((Tahmin!$C$4+35)),MIN(DAY(Kalemler!$D146),DAY(EOMONTH((Tahmin!$C$4+35),0))))&lt;=(Tahmin!$C$4+41),DATE(YEAR((Tahmin!$C$4+35)),MONTH((Tahmin!$C$4+35)),MIN(DAY(Kalemler!$D146),DAY(EOMONTH((Tahmin!$C$4+35),0))))&gt;=Kalemler!$D146),AND(DATE(YEAR((Tahmin!$C$4+41)),MONTH((Tahmin!$C$4+41)),MIN(DAY(Kalemler!$D146),DAY(EOMONTH((Tahmin!$C$4+41),0))))&gt;=(Tahmin!$C$4+35),DATE(YEAR((Tahmin!$C$4+41)),MONTH((Tahmin!$C$4+41)),MIN(DAY(Kalemler!$D146),DAY(EOMONTH((Tahmin!$C$4+41),0))))&lt;=(Tahmin!$C$4+41),DATE(YEAR((Tahmin!$C$4+41)),MONTH((Tahmin!$C$4+41)),MIN(DAY(Kalemler!$D146),DAY(EOMONTH((Tahmin!$C$4+41),0))))&lt;&gt;DATE(YEAR((Tahmin!$C$4+35)),MONTH((Tahmin!$C$4+35)),MIN(DAY(Kalemler!$D146),DAY(EOMONTH((Tahmin!$C$4+35),0)))),DATE(YEAR((Tahmin!$C$4+41)),MONTH((Tahmin!$C$4+41)),MIN(DAY(Kalemler!$D146),DAY(EOMONTH((Tahmin!$C$4+41),0))))&gt;=Kalemler!$D146)),1,0),IF(AND(Kalemler!$D146&gt;=(Tahmin!$C$4+35),Kalemler!$D146&lt;=(Tahmin!$C$4+41)),1,0))))</f>
        <v>0</v>
      </c>
      <c r="H146" s="0" t="n">
        <f aca="false">IF(OR(Kalemler!$A146="",Kalemler!$C146="",Kalemler!$D146=""),0,Kalemler!$C146*IF(Kalemler!$E146="Haftalık",IF(Kalemler!$D146&lt;=(Tahmin!$C$4+48),1,0),IF(Kalemler!$E146="Aylık",IF(OR(AND(DATE(YEAR((Tahmin!$C$4+42)),MONTH((Tahmin!$C$4+42)),MIN(DAY(Kalemler!$D146),DAY(EOMONTH((Tahmin!$C$4+42),0))))&gt;=(Tahmin!$C$4+42),DATE(YEAR((Tahmin!$C$4+42)),MONTH((Tahmin!$C$4+42)),MIN(DAY(Kalemler!$D146),DAY(EOMONTH((Tahmin!$C$4+42),0))))&lt;=(Tahmin!$C$4+48),DATE(YEAR((Tahmin!$C$4+42)),MONTH((Tahmin!$C$4+42)),MIN(DAY(Kalemler!$D146),DAY(EOMONTH((Tahmin!$C$4+42),0))))&gt;=Kalemler!$D146),AND(DATE(YEAR((Tahmin!$C$4+48)),MONTH((Tahmin!$C$4+48)),MIN(DAY(Kalemler!$D146),DAY(EOMONTH((Tahmin!$C$4+48),0))))&gt;=(Tahmin!$C$4+42),DATE(YEAR((Tahmin!$C$4+48)),MONTH((Tahmin!$C$4+48)),MIN(DAY(Kalemler!$D146),DAY(EOMONTH((Tahmin!$C$4+48),0))))&lt;=(Tahmin!$C$4+48),DATE(YEAR((Tahmin!$C$4+48)),MONTH((Tahmin!$C$4+48)),MIN(DAY(Kalemler!$D146),DAY(EOMONTH((Tahmin!$C$4+48),0))))&lt;&gt;DATE(YEAR((Tahmin!$C$4+42)),MONTH((Tahmin!$C$4+42)),MIN(DAY(Kalemler!$D146),DAY(EOMONTH((Tahmin!$C$4+42),0)))),DATE(YEAR((Tahmin!$C$4+48)),MONTH((Tahmin!$C$4+48)),MIN(DAY(Kalemler!$D146),DAY(EOMONTH((Tahmin!$C$4+48),0))))&gt;=Kalemler!$D146)),1,0),IF(AND(Kalemler!$D146&gt;=(Tahmin!$C$4+42),Kalemler!$D146&lt;=(Tahmin!$C$4+48)),1,0))))</f>
        <v>0</v>
      </c>
      <c r="I146" s="0" t="n">
        <f aca="false">IF(OR(Kalemler!$A146="",Kalemler!$C146="",Kalemler!$D146=""),0,Kalemler!$C146*IF(Kalemler!$E146="Haftalık",IF(Kalemler!$D146&lt;=(Tahmin!$C$4+55),1,0),IF(Kalemler!$E146="Aylık",IF(OR(AND(DATE(YEAR((Tahmin!$C$4+49)),MONTH((Tahmin!$C$4+49)),MIN(DAY(Kalemler!$D146),DAY(EOMONTH((Tahmin!$C$4+49),0))))&gt;=(Tahmin!$C$4+49),DATE(YEAR((Tahmin!$C$4+49)),MONTH((Tahmin!$C$4+49)),MIN(DAY(Kalemler!$D146),DAY(EOMONTH((Tahmin!$C$4+49),0))))&lt;=(Tahmin!$C$4+55),DATE(YEAR((Tahmin!$C$4+49)),MONTH((Tahmin!$C$4+49)),MIN(DAY(Kalemler!$D146),DAY(EOMONTH((Tahmin!$C$4+49),0))))&gt;=Kalemler!$D146),AND(DATE(YEAR((Tahmin!$C$4+55)),MONTH((Tahmin!$C$4+55)),MIN(DAY(Kalemler!$D146),DAY(EOMONTH((Tahmin!$C$4+55),0))))&gt;=(Tahmin!$C$4+49),DATE(YEAR((Tahmin!$C$4+55)),MONTH((Tahmin!$C$4+55)),MIN(DAY(Kalemler!$D146),DAY(EOMONTH((Tahmin!$C$4+55),0))))&lt;=(Tahmin!$C$4+55),DATE(YEAR((Tahmin!$C$4+55)),MONTH((Tahmin!$C$4+55)),MIN(DAY(Kalemler!$D146),DAY(EOMONTH((Tahmin!$C$4+55),0))))&lt;&gt;DATE(YEAR((Tahmin!$C$4+49)),MONTH((Tahmin!$C$4+49)),MIN(DAY(Kalemler!$D146),DAY(EOMONTH((Tahmin!$C$4+49),0)))),DATE(YEAR((Tahmin!$C$4+55)),MONTH((Tahmin!$C$4+55)),MIN(DAY(Kalemler!$D146),DAY(EOMONTH((Tahmin!$C$4+55),0))))&gt;=Kalemler!$D146)),1,0),IF(AND(Kalemler!$D146&gt;=(Tahmin!$C$4+49),Kalemler!$D146&lt;=(Tahmin!$C$4+55)),1,0))))</f>
        <v>0</v>
      </c>
      <c r="J146" s="0" t="n">
        <f aca="false">IF(OR(Kalemler!$A146="",Kalemler!$C146="",Kalemler!$D146=""),0,Kalemler!$C146*IF(Kalemler!$E146="Haftalık",IF(Kalemler!$D146&lt;=(Tahmin!$C$4+62),1,0),IF(Kalemler!$E146="Aylık",IF(OR(AND(DATE(YEAR((Tahmin!$C$4+56)),MONTH((Tahmin!$C$4+56)),MIN(DAY(Kalemler!$D146),DAY(EOMONTH((Tahmin!$C$4+56),0))))&gt;=(Tahmin!$C$4+56),DATE(YEAR((Tahmin!$C$4+56)),MONTH((Tahmin!$C$4+56)),MIN(DAY(Kalemler!$D146),DAY(EOMONTH((Tahmin!$C$4+56),0))))&lt;=(Tahmin!$C$4+62),DATE(YEAR((Tahmin!$C$4+56)),MONTH((Tahmin!$C$4+56)),MIN(DAY(Kalemler!$D146),DAY(EOMONTH((Tahmin!$C$4+56),0))))&gt;=Kalemler!$D146),AND(DATE(YEAR((Tahmin!$C$4+62)),MONTH((Tahmin!$C$4+62)),MIN(DAY(Kalemler!$D146),DAY(EOMONTH((Tahmin!$C$4+62),0))))&gt;=(Tahmin!$C$4+56),DATE(YEAR((Tahmin!$C$4+62)),MONTH((Tahmin!$C$4+62)),MIN(DAY(Kalemler!$D146),DAY(EOMONTH((Tahmin!$C$4+62),0))))&lt;=(Tahmin!$C$4+62),DATE(YEAR((Tahmin!$C$4+62)),MONTH((Tahmin!$C$4+62)),MIN(DAY(Kalemler!$D146),DAY(EOMONTH((Tahmin!$C$4+62),0))))&lt;&gt;DATE(YEAR((Tahmin!$C$4+56)),MONTH((Tahmin!$C$4+56)),MIN(DAY(Kalemler!$D146),DAY(EOMONTH((Tahmin!$C$4+56),0)))),DATE(YEAR((Tahmin!$C$4+62)),MONTH((Tahmin!$C$4+62)),MIN(DAY(Kalemler!$D146),DAY(EOMONTH((Tahmin!$C$4+62),0))))&gt;=Kalemler!$D146)),1,0),IF(AND(Kalemler!$D146&gt;=(Tahmin!$C$4+56),Kalemler!$D146&lt;=(Tahmin!$C$4+62)),1,0))))</f>
        <v>0</v>
      </c>
      <c r="K146" s="0" t="n">
        <f aca="false">IF(OR(Kalemler!$A146="",Kalemler!$C146="",Kalemler!$D146=""),0,Kalemler!$C146*IF(Kalemler!$E146="Haftalık",IF(Kalemler!$D146&lt;=(Tahmin!$C$4+69),1,0),IF(Kalemler!$E146="Aylık",IF(OR(AND(DATE(YEAR((Tahmin!$C$4+63)),MONTH((Tahmin!$C$4+63)),MIN(DAY(Kalemler!$D146),DAY(EOMONTH((Tahmin!$C$4+63),0))))&gt;=(Tahmin!$C$4+63),DATE(YEAR((Tahmin!$C$4+63)),MONTH((Tahmin!$C$4+63)),MIN(DAY(Kalemler!$D146),DAY(EOMONTH((Tahmin!$C$4+63),0))))&lt;=(Tahmin!$C$4+69),DATE(YEAR((Tahmin!$C$4+63)),MONTH((Tahmin!$C$4+63)),MIN(DAY(Kalemler!$D146),DAY(EOMONTH((Tahmin!$C$4+63),0))))&gt;=Kalemler!$D146),AND(DATE(YEAR((Tahmin!$C$4+69)),MONTH((Tahmin!$C$4+69)),MIN(DAY(Kalemler!$D146),DAY(EOMONTH((Tahmin!$C$4+69),0))))&gt;=(Tahmin!$C$4+63),DATE(YEAR((Tahmin!$C$4+69)),MONTH((Tahmin!$C$4+69)),MIN(DAY(Kalemler!$D146),DAY(EOMONTH((Tahmin!$C$4+69),0))))&lt;=(Tahmin!$C$4+69),DATE(YEAR((Tahmin!$C$4+69)),MONTH((Tahmin!$C$4+69)),MIN(DAY(Kalemler!$D146),DAY(EOMONTH((Tahmin!$C$4+69),0))))&lt;&gt;DATE(YEAR((Tahmin!$C$4+63)),MONTH((Tahmin!$C$4+63)),MIN(DAY(Kalemler!$D146),DAY(EOMONTH((Tahmin!$C$4+63),0)))),DATE(YEAR((Tahmin!$C$4+69)),MONTH((Tahmin!$C$4+69)),MIN(DAY(Kalemler!$D146),DAY(EOMONTH((Tahmin!$C$4+69),0))))&gt;=Kalemler!$D146)),1,0),IF(AND(Kalemler!$D146&gt;=(Tahmin!$C$4+63),Kalemler!$D146&lt;=(Tahmin!$C$4+69)),1,0))))</f>
        <v>0</v>
      </c>
      <c r="L146" s="0" t="n">
        <f aca="false">IF(OR(Kalemler!$A146="",Kalemler!$C146="",Kalemler!$D146=""),0,Kalemler!$C146*IF(Kalemler!$E146="Haftalık",IF(Kalemler!$D146&lt;=(Tahmin!$C$4+76),1,0),IF(Kalemler!$E146="Aylık",IF(OR(AND(DATE(YEAR((Tahmin!$C$4+70)),MONTH((Tahmin!$C$4+70)),MIN(DAY(Kalemler!$D146),DAY(EOMONTH((Tahmin!$C$4+70),0))))&gt;=(Tahmin!$C$4+70),DATE(YEAR((Tahmin!$C$4+70)),MONTH((Tahmin!$C$4+70)),MIN(DAY(Kalemler!$D146),DAY(EOMONTH((Tahmin!$C$4+70),0))))&lt;=(Tahmin!$C$4+76),DATE(YEAR((Tahmin!$C$4+70)),MONTH((Tahmin!$C$4+70)),MIN(DAY(Kalemler!$D146),DAY(EOMONTH((Tahmin!$C$4+70),0))))&gt;=Kalemler!$D146),AND(DATE(YEAR((Tahmin!$C$4+76)),MONTH((Tahmin!$C$4+76)),MIN(DAY(Kalemler!$D146),DAY(EOMONTH((Tahmin!$C$4+76),0))))&gt;=(Tahmin!$C$4+70),DATE(YEAR((Tahmin!$C$4+76)),MONTH((Tahmin!$C$4+76)),MIN(DAY(Kalemler!$D146),DAY(EOMONTH((Tahmin!$C$4+76),0))))&lt;=(Tahmin!$C$4+76),DATE(YEAR((Tahmin!$C$4+76)),MONTH((Tahmin!$C$4+76)),MIN(DAY(Kalemler!$D146),DAY(EOMONTH((Tahmin!$C$4+76),0))))&lt;&gt;DATE(YEAR((Tahmin!$C$4+70)),MONTH((Tahmin!$C$4+70)),MIN(DAY(Kalemler!$D146),DAY(EOMONTH((Tahmin!$C$4+70),0)))),DATE(YEAR((Tahmin!$C$4+76)),MONTH((Tahmin!$C$4+76)),MIN(DAY(Kalemler!$D146),DAY(EOMONTH((Tahmin!$C$4+76),0))))&gt;=Kalemler!$D146)),1,0),IF(AND(Kalemler!$D146&gt;=(Tahmin!$C$4+70),Kalemler!$D146&lt;=(Tahmin!$C$4+76)),1,0))))</f>
        <v>0</v>
      </c>
      <c r="M146" s="0" t="n">
        <f aca="false">IF(OR(Kalemler!$A146="",Kalemler!$C146="",Kalemler!$D146=""),0,Kalemler!$C146*IF(Kalemler!$E146="Haftalık",IF(Kalemler!$D146&lt;=(Tahmin!$C$4+83),1,0),IF(Kalemler!$E146="Aylık",IF(OR(AND(DATE(YEAR((Tahmin!$C$4+77)),MONTH((Tahmin!$C$4+77)),MIN(DAY(Kalemler!$D146),DAY(EOMONTH((Tahmin!$C$4+77),0))))&gt;=(Tahmin!$C$4+77),DATE(YEAR((Tahmin!$C$4+77)),MONTH((Tahmin!$C$4+77)),MIN(DAY(Kalemler!$D146),DAY(EOMONTH((Tahmin!$C$4+77),0))))&lt;=(Tahmin!$C$4+83),DATE(YEAR((Tahmin!$C$4+77)),MONTH((Tahmin!$C$4+77)),MIN(DAY(Kalemler!$D146),DAY(EOMONTH((Tahmin!$C$4+77),0))))&gt;=Kalemler!$D146),AND(DATE(YEAR((Tahmin!$C$4+83)),MONTH((Tahmin!$C$4+83)),MIN(DAY(Kalemler!$D146),DAY(EOMONTH((Tahmin!$C$4+83),0))))&gt;=(Tahmin!$C$4+77),DATE(YEAR((Tahmin!$C$4+83)),MONTH((Tahmin!$C$4+83)),MIN(DAY(Kalemler!$D146),DAY(EOMONTH((Tahmin!$C$4+83),0))))&lt;=(Tahmin!$C$4+83),DATE(YEAR((Tahmin!$C$4+83)),MONTH((Tahmin!$C$4+83)),MIN(DAY(Kalemler!$D146),DAY(EOMONTH((Tahmin!$C$4+83),0))))&lt;&gt;DATE(YEAR((Tahmin!$C$4+77)),MONTH((Tahmin!$C$4+77)),MIN(DAY(Kalemler!$D146),DAY(EOMONTH((Tahmin!$C$4+77),0)))),DATE(YEAR((Tahmin!$C$4+83)),MONTH((Tahmin!$C$4+83)),MIN(DAY(Kalemler!$D146),DAY(EOMONTH((Tahmin!$C$4+83),0))))&gt;=Kalemler!$D146)),1,0),IF(AND(Kalemler!$D146&gt;=(Tahmin!$C$4+77),Kalemler!$D146&lt;=(Tahmin!$C$4+83)),1,0))))</f>
        <v>0</v>
      </c>
      <c r="N146" s="0" t="n">
        <f aca="false">IF(OR(Kalemler!$A146="",Kalemler!$C146="",Kalemler!$D146=""),0,Kalemler!$C146*IF(Kalemler!$E146="Haftalık",IF(Kalemler!$D146&lt;=(Tahmin!$C$4+90),1,0),IF(Kalemler!$E146="Aylık",IF(OR(AND(DATE(YEAR((Tahmin!$C$4+84)),MONTH((Tahmin!$C$4+84)),MIN(DAY(Kalemler!$D146),DAY(EOMONTH((Tahmin!$C$4+84),0))))&gt;=(Tahmin!$C$4+84),DATE(YEAR((Tahmin!$C$4+84)),MONTH((Tahmin!$C$4+84)),MIN(DAY(Kalemler!$D146),DAY(EOMONTH((Tahmin!$C$4+84),0))))&lt;=(Tahmin!$C$4+90),DATE(YEAR((Tahmin!$C$4+84)),MONTH((Tahmin!$C$4+84)),MIN(DAY(Kalemler!$D146),DAY(EOMONTH((Tahmin!$C$4+84),0))))&gt;=Kalemler!$D146),AND(DATE(YEAR((Tahmin!$C$4+90)),MONTH((Tahmin!$C$4+90)),MIN(DAY(Kalemler!$D146),DAY(EOMONTH((Tahmin!$C$4+90),0))))&gt;=(Tahmin!$C$4+84),DATE(YEAR((Tahmin!$C$4+90)),MONTH((Tahmin!$C$4+90)),MIN(DAY(Kalemler!$D146),DAY(EOMONTH((Tahmin!$C$4+90),0))))&lt;=(Tahmin!$C$4+90),DATE(YEAR((Tahmin!$C$4+90)),MONTH((Tahmin!$C$4+90)),MIN(DAY(Kalemler!$D146),DAY(EOMONTH((Tahmin!$C$4+90),0))))&lt;&gt;DATE(YEAR((Tahmin!$C$4+84)),MONTH((Tahmin!$C$4+84)),MIN(DAY(Kalemler!$D146),DAY(EOMONTH((Tahmin!$C$4+84),0)))),DATE(YEAR((Tahmin!$C$4+90)),MONTH((Tahmin!$C$4+90)),MIN(DAY(Kalemler!$D146),DAY(EOMONTH((Tahmin!$C$4+90),0))))&gt;=Kalemler!$D146)),1,0),IF(AND(Kalemler!$D146&gt;=(Tahmin!$C$4+84),Kalemler!$D146&lt;=(Tahmin!$C$4+90)),1,0))))</f>
        <v>0</v>
      </c>
    </row>
    <row r="147" customFormat="false" ht="15" hidden="false" customHeight="false" outlineLevel="0" collapsed="false">
      <c r="A147" s="0" t="str">
        <f aca="false">IF(Kalemler!A147="","",Kalemler!A147)</f>
        <v/>
      </c>
      <c r="B147" s="0" t="n">
        <f aca="false">IF(OR(Kalemler!$A147="",Kalemler!$C147="",Kalemler!$D147=""),0,Kalemler!$C147*IF(Kalemler!$E147="Haftalık",IF(Kalemler!$D147&lt;=(Tahmin!$C$4+6),1,0),IF(Kalemler!$E147="Aylık",IF(OR(AND(DATE(YEAR((Tahmin!$C$4+0)),MONTH((Tahmin!$C$4+0)),MIN(DAY(Kalemler!$D147),DAY(EOMONTH((Tahmin!$C$4+0),0))))&gt;=(Tahmin!$C$4+0),DATE(YEAR((Tahmin!$C$4+0)),MONTH((Tahmin!$C$4+0)),MIN(DAY(Kalemler!$D147),DAY(EOMONTH((Tahmin!$C$4+0),0))))&lt;=(Tahmin!$C$4+6),DATE(YEAR((Tahmin!$C$4+0)),MONTH((Tahmin!$C$4+0)),MIN(DAY(Kalemler!$D147),DAY(EOMONTH((Tahmin!$C$4+0),0))))&gt;=Kalemler!$D147),AND(DATE(YEAR((Tahmin!$C$4+6)),MONTH((Tahmin!$C$4+6)),MIN(DAY(Kalemler!$D147),DAY(EOMONTH((Tahmin!$C$4+6),0))))&gt;=(Tahmin!$C$4+0),DATE(YEAR((Tahmin!$C$4+6)),MONTH((Tahmin!$C$4+6)),MIN(DAY(Kalemler!$D147),DAY(EOMONTH((Tahmin!$C$4+6),0))))&lt;=(Tahmin!$C$4+6),DATE(YEAR((Tahmin!$C$4+6)),MONTH((Tahmin!$C$4+6)),MIN(DAY(Kalemler!$D147),DAY(EOMONTH((Tahmin!$C$4+6),0))))&lt;&gt;DATE(YEAR((Tahmin!$C$4+0)),MONTH((Tahmin!$C$4+0)),MIN(DAY(Kalemler!$D147),DAY(EOMONTH((Tahmin!$C$4+0),0)))),DATE(YEAR((Tahmin!$C$4+6)),MONTH((Tahmin!$C$4+6)),MIN(DAY(Kalemler!$D147),DAY(EOMONTH((Tahmin!$C$4+6),0))))&gt;=Kalemler!$D147)),1,0),IF(AND(Kalemler!$D147&gt;=(Tahmin!$C$4+0),Kalemler!$D147&lt;=(Tahmin!$C$4+6)),1,0))))</f>
        <v>0</v>
      </c>
      <c r="C147" s="0" t="n">
        <f aca="false">IF(OR(Kalemler!$A147="",Kalemler!$C147="",Kalemler!$D147=""),0,Kalemler!$C147*IF(Kalemler!$E147="Haftalık",IF(Kalemler!$D147&lt;=(Tahmin!$C$4+13),1,0),IF(Kalemler!$E147="Aylık",IF(OR(AND(DATE(YEAR((Tahmin!$C$4+7)),MONTH((Tahmin!$C$4+7)),MIN(DAY(Kalemler!$D147),DAY(EOMONTH((Tahmin!$C$4+7),0))))&gt;=(Tahmin!$C$4+7),DATE(YEAR((Tahmin!$C$4+7)),MONTH((Tahmin!$C$4+7)),MIN(DAY(Kalemler!$D147),DAY(EOMONTH((Tahmin!$C$4+7),0))))&lt;=(Tahmin!$C$4+13),DATE(YEAR((Tahmin!$C$4+7)),MONTH((Tahmin!$C$4+7)),MIN(DAY(Kalemler!$D147),DAY(EOMONTH((Tahmin!$C$4+7),0))))&gt;=Kalemler!$D147),AND(DATE(YEAR((Tahmin!$C$4+13)),MONTH((Tahmin!$C$4+13)),MIN(DAY(Kalemler!$D147),DAY(EOMONTH((Tahmin!$C$4+13),0))))&gt;=(Tahmin!$C$4+7),DATE(YEAR((Tahmin!$C$4+13)),MONTH((Tahmin!$C$4+13)),MIN(DAY(Kalemler!$D147),DAY(EOMONTH((Tahmin!$C$4+13),0))))&lt;=(Tahmin!$C$4+13),DATE(YEAR((Tahmin!$C$4+13)),MONTH((Tahmin!$C$4+13)),MIN(DAY(Kalemler!$D147),DAY(EOMONTH((Tahmin!$C$4+13),0))))&lt;&gt;DATE(YEAR((Tahmin!$C$4+7)),MONTH((Tahmin!$C$4+7)),MIN(DAY(Kalemler!$D147),DAY(EOMONTH((Tahmin!$C$4+7),0)))),DATE(YEAR((Tahmin!$C$4+13)),MONTH((Tahmin!$C$4+13)),MIN(DAY(Kalemler!$D147),DAY(EOMONTH((Tahmin!$C$4+13),0))))&gt;=Kalemler!$D147)),1,0),IF(AND(Kalemler!$D147&gt;=(Tahmin!$C$4+7),Kalemler!$D147&lt;=(Tahmin!$C$4+13)),1,0))))</f>
        <v>0</v>
      </c>
      <c r="D147" s="0" t="n">
        <f aca="false">IF(OR(Kalemler!$A147="",Kalemler!$C147="",Kalemler!$D147=""),0,Kalemler!$C147*IF(Kalemler!$E147="Haftalık",IF(Kalemler!$D147&lt;=(Tahmin!$C$4+20),1,0),IF(Kalemler!$E147="Aylık",IF(OR(AND(DATE(YEAR((Tahmin!$C$4+14)),MONTH((Tahmin!$C$4+14)),MIN(DAY(Kalemler!$D147),DAY(EOMONTH((Tahmin!$C$4+14),0))))&gt;=(Tahmin!$C$4+14),DATE(YEAR((Tahmin!$C$4+14)),MONTH((Tahmin!$C$4+14)),MIN(DAY(Kalemler!$D147),DAY(EOMONTH((Tahmin!$C$4+14),0))))&lt;=(Tahmin!$C$4+20),DATE(YEAR((Tahmin!$C$4+14)),MONTH((Tahmin!$C$4+14)),MIN(DAY(Kalemler!$D147),DAY(EOMONTH((Tahmin!$C$4+14),0))))&gt;=Kalemler!$D147),AND(DATE(YEAR((Tahmin!$C$4+20)),MONTH((Tahmin!$C$4+20)),MIN(DAY(Kalemler!$D147),DAY(EOMONTH((Tahmin!$C$4+20),0))))&gt;=(Tahmin!$C$4+14),DATE(YEAR((Tahmin!$C$4+20)),MONTH((Tahmin!$C$4+20)),MIN(DAY(Kalemler!$D147),DAY(EOMONTH((Tahmin!$C$4+20),0))))&lt;=(Tahmin!$C$4+20),DATE(YEAR((Tahmin!$C$4+20)),MONTH((Tahmin!$C$4+20)),MIN(DAY(Kalemler!$D147),DAY(EOMONTH((Tahmin!$C$4+20),0))))&lt;&gt;DATE(YEAR((Tahmin!$C$4+14)),MONTH((Tahmin!$C$4+14)),MIN(DAY(Kalemler!$D147),DAY(EOMONTH((Tahmin!$C$4+14),0)))),DATE(YEAR((Tahmin!$C$4+20)),MONTH((Tahmin!$C$4+20)),MIN(DAY(Kalemler!$D147),DAY(EOMONTH((Tahmin!$C$4+20),0))))&gt;=Kalemler!$D147)),1,0),IF(AND(Kalemler!$D147&gt;=(Tahmin!$C$4+14),Kalemler!$D147&lt;=(Tahmin!$C$4+20)),1,0))))</f>
        <v>0</v>
      </c>
      <c r="E147" s="0" t="n">
        <f aca="false">IF(OR(Kalemler!$A147="",Kalemler!$C147="",Kalemler!$D147=""),0,Kalemler!$C147*IF(Kalemler!$E147="Haftalık",IF(Kalemler!$D147&lt;=(Tahmin!$C$4+27),1,0),IF(Kalemler!$E147="Aylık",IF(OR(AND(DATE(YEAR((Tahmin!$C$4+21)),MONTH((Tahmin!$C$4+21)),MIN(DAY(Kalemler!$D147),DAY(EOMONTH((Tahmin!$C$4+21),0))))&gt;=(Tahmin!$C$4+21),DATE(YEAR((Tahmin!$C$4+21)),MONTH((Tahmin!$C$4+21)),MIN(DAY(Kalemler!$D147),DAY(EOMONTH((Tahmin!$C$4+21),0))))&lt;=(Tahmin!$C$4+27),DATE(YEAR((Tahmin!$C$4+21)),MONTH((Tahmin!$C$4+21)),MIN(DAY(Kalemler!$D147),DAY(EOMONTH((Tahmin!$C$4+21),0))))&gt;=Kalemler!$D147),AND(DATE(YEAR((Tahmin!$C$4+27)),MONTH((Tahmin!$C$4+27)),MIN(DAY(Kalemler!$D147),DAY(EOMONTH((Tahmin!$C$4+27),0))))&gt;=(Tahmin!$C$4+21),DATE(YEAR((Tahmin!$C$4+27)),MONTH((Tahmin!$C$4+27)),MIN(DAY(Kalemler!$D147),DAY(EOMONTH((Tahmin!$C$4+27),0))))&lt;=(Tahmin!$C$4+27),DATE(YEAR((Tahmin!$C$4+27)),MONTH((Tahmin!$C$4+27)),MIN(DAY(Kalemler!$D147),DAY(EOMONTH((Tahmin!$C$4+27),0))))&lt;&gt;DATE(YEAR((Tahmin!$C$4+21)),MONTH((Tahmin!$C$4+21)),MIN(DAY(Kalemler!$D147),DAY(EOMONTH((Tahmin!$C$4+21),0)))),DATE(YEAR((Tahmin!$C$4+27)),MONTH((Tahmin!$C$4+27)),MIN(DAY(Kalemler!$D147),DAY(EOMONTH((Tahmin!$C$4+27),0))))&gt;=Kalemler!$D147)),1,0),IF(AND(Kalemler!$D147&gt;=(Tahmin!$C$4+21),Kalemler!$D147&lt;=(Tahmin!$C$4+27)),1,0))))</f>
        <v>0</v>
      </c>
      <c r="F147" s="0" t="n">
        <f aca="false">IF(OR(Kalemler!$A147="",Kalemler!$C147="",Kalemler!$D147=""),0,Kalemler!$C147*IF(Kalemler!$E147="Haftalık",IF(Kalemler!$D147&lt;=(Tahmin!$C$4+34),1,0),IF(Kalemler!$E147="Aylık",IF(OR(AND(DATE(YEAR((Tahmin!$C$4+28)),MONTH((Tahmin!$C$4+28)),MIN(DAY(Kalemler!$D147),DAY(EOMONTH((Tahmin!$C$4+28),0))))&gt;=(Tahmin!$C$4+28),DATE(YEAR((Tahmin!$C$4+28)),MONTH((Tahmin!$C$4+28)),MIN(DAY(Kalemler!$D147),DAY(EOMONTH((Tahmin!$C$4+28),0))))&lt;=(Tahmin!$C$4+34),DATE(YEAR((Tahmin!$C$4+28)),MONTH((Tahmin!$C$4+28)),MIN(DAY(Kalemler!$D147),DAY(EOMONTH((Tahmin!$C$4+28),0))))&gt;=Kalemler!$D147),AND(DATE(YEAR((Tahmin!$C$4+34)),MONTH((Tahmin!$C$4+34)),MIN(DAY(Kalemler!$D147),DAY(EOMONTH((Tahmin!$C$4+34),0))))&gt;=(Tahmin!$C$4+28),DATE(YEAR((Tahmin!$C$4+34)),MONTH((Tahmin!$C$4+34)),MIN(DAY(Kalemler!$D147),DAY(EOMONTH((Tahmin!$C$4+34),0))))&lt;=(Tahmin!$C$4+34),DATE(YEAR((Tahmin!$C$4+34)),MONTH((Tahmin!$C$4+34)),MIN(DAY(Kalemler!$D147),DAY(EOMONTH((Tahmin!$C$4+34),0))))&lt;&gt;DATE(YEAR((Tahmin!$C$4+28)),MONTH((Tahmin!$C$4+28)),MIN(DAY(Kalemler!$D147),DAY(EOMONTH((Tahmin!$C$4+28),0)))),DATE(YEAR((Tahmin!$C$4+34)),MONTH((Tahmin!$C$4+34)),MIN(DAY(Kalemler!$D147),DAY(EOMONTH((Tahmin!$C$4+34),0))))&gt;=Kalemler!$D147)),1,0),IF(AND(Kalemler!$D147&gt;=(Tahmin!$C$4+28),Kalemler!$D147&lt;=(Tahmin!$C$4+34)),1,0))))</f>
        <v>0</v>
      </c>
      <c r="G147" s="0" t="n">
        <f aca="false">IF(OR(Kalemler!$A147="",Kalemler!$C147="",Kalemler!$D147=""),0,Kalemler!$C147*IF(Kalemler!$E147="Haftalık",IF(Kalemler!$D147&lt;=(Tahmin!$C$4+41),1,0),IF(Kalemler!$E147="Aylık",IF(OR(AND(DATE(YEAR((Tahmin!$C$4+35)),MONTH((Tahmin!$C$4+35)),MIN(DAY(Kalemler!$D147),DAY(EOMONTH((Tahmin!$C$4+35),0))))&gt;=(Tahmin!$C$4+35),DATE(YEAR((Tahmin!$C$4+35)),MONTH((Tahmin!$C$4+35)),MIN(DAY(Kalemler!$D147),DAY(EOMONTH((Tahmin!$C$4+35),0))))&lt;=(Tahmin!$C$4+41),DATE(YEAR((Tahmin!$C$4+35)),MONTH((Tahmin!$C$4+35)),MIN(DAY(Kalemler!$D147),DAY(EOMONTH((Tahmin!$C$4+35),0))))&gt;=Kalemler!$D147),AND(DATE(YEAR((Tahmin!$C$4+41)),MONTH((Tahmin!$C$4+41)),MIN(DAY(Kalemler!$D147),DAY(EOMONTH((Tahmin!$C$4+41),0))))&gt;=(Tahmin!$C$4+35),DATE(YEAR((Tahmin!$C$4+41)),MONTH((Tahmin!$C$4+41)),MIN(DAY(Kalemler!$D147),DAY(EOMONTH((Tahmin!$C$4+41),0))))&lt;=(Tahmin!$C$4+41),DATE(YEAR((Tahmin!$C$4+41)),MONTH((Tahmin!$C$4+41)),MIN(DAY(Kalemler!$D147),DAY(EOMONTH((Tahmin!$C$4+41),0))))&lt;&gt;DATE(YEAR((Tahmin!$C$4+35)),MONTH((Tahmin!$C$4+35)),MIN(DAY(Kalemler!$D147),DAY(EOMONTH((Tahmin!$C$4+35),0)))),DATE(YEAR((Tahmin!$C$4+41)),MONTH((Tahmin!$C$4+41)),MIN(DAY(Kalemler!$D147),DAY(EOMONTH((Tahmin!$C$4+41),0))))&gt;=Kalemler!$D147)),1,0),IF(AND(Kalemler!$D147&gt;=(Tahmin!$C$4+35),Kalemler!$D147&lt;=(Tahmin!$C$4+41)),1,0))))</f>
        <v>0</v>
      </c>
      <c r="H147" s="0" t="n">
        <f aca="false">IF(OR(Kalemler!$A147="",Kalemler!$C147="",Kalemler!$D147=""),0,Kalemler!$C147*IF(Kalemler!$E147="Haftalık",IF(Kalemler!$D147&lt;=(Tahmin!$C$4+48),1,0),IF(Kalemler!$E147="Aylık",IF(OR(AND(DATE(YEAR((Tahmin!$C$4+42)),MONTH((Tahmin!$C$4+42)),MIN(DAY(Kalemler!$D147),DAY(EOMONTH((Tahmin!$C$4+42),0))))&gt;=(Tahmin!$C$4+42),DATE(YEAR((Tahmin!$C$4+42)),MONTH((Tahmin!$C$4+42)),MIN(DAY(Kalemler!$D147),DAY(EOMONTH((Tahmin!$C$4+42),0))))&lt;=(Tahmin!$C$4+48),DATE(YEAR((Tahmin!$C$4+42)),MONTH((Tahmin!$C$4+42)),MIN(DAY(Kalemler!$D147),DAY(EOMONTH((Tahmin!$C$4+42),0))))&gt;=Kalemler!$D147),AND(DATE(YEAR((Tahmin!$C$4+48)),MONTH((Tahmin!$C$4+48)),MIN(DAY(Kalemler!$D147),DAY(EOMONTH((Tahmin!$C$4+48),0))))&gt;=(Tahmin!$C$4+42),DATE(YEAR((Tahmin!$C$4+48)),MONTH((Tahmin!$C$4+48)),MIN(DAY(Kalemler!$D147),DAY(EOMONTH((Tahmin!$C$4+48),0))))&lt;=(Tahmin!$C$4+48),DATE(YEAR((Tahmin!$C$4+48)),MONTH((Tahmin!$C$4+48)),MIN(DAY(Kalemler!$D147),DAY(EOMONTH((Tahmin!$C$4+48),0))))&lt;&gt;DATE(YEAR((Tahmin!$C$4+42)),MONTH((Tahmin!$C$4+42)),MIN(DAY(Kalemler!$D147),DAY(EOMONTH((Tahmin!$C$4+42),0)))),DATE(YEAR((Tahmin!$C$4+48)),MONTH((Tahmin!$C$4+48)),MIN(DAY(Kalemler!$D147),DAY(EOMONTH((Tahmin!$C$4+48),0))))&gt;=Kalemler!$D147)),1,0),IF(AND(Kalemler!$D147&gt;=(Tahmin!$C$4+42),Kalemler!$D147&lt;=(Tahmin!$C$4+48)),1,0))))</f>
        <v>0</v>
      </c>
      <c r="I147" s="0" t="n">
        <f aca="false">IF(OR(Kalemler!$A147="",Kalemler!$C147="",Kalemler!$D147=""),0,Kalemler!$C147*IF(Kalemler!$E147="Haftalık",IF(Kalemler!$D147&lt;=(Tahmin!$C$4+55),1,0),IF(Kalemler!$E147="Aylık",IF(OR(AND(DATE(YEAR((Tahmin!$C$4+49)),MONTH((Tahmin!$C$4+49)),MIN(DAY(Kalemler!$D147),DAY(EOMONTH((Tahmin!$C$4+49),0))))&gt;=(Tahmin!$C$4+49),DATE(YEAR((Tahmin!$C$4+49)),MONTH((Tahmin!$C$4+49)),MIN(DAY(Kalemler!$D147),DAY(EOMONTH((Tahmin!$C$4+49),0))))&lt;=(Tahmin!$C$4+55),DATE(YEAR((Tahmin!$C$4+49)),MONTH((Tahmin!$C$4+49)),MIN(DAY(Kalemler!$D147),DAY(EOMONTH((Tahmin!$C$4+49),0))))&gt;=Kalemler!$D147),AND(DATE(YEAR((Tahmin!$C$4+55)),MONTH((Tahmin!$C$4+55)),MIN(DAY(Kalemler!$D147),DAY(EOMONTH((Tahmin!$C$4+55),0))))&gt;=(Tahmin!$C$4+49),DATE(YEAR((Tahmin!$C$4+55)),MONTH((Tahmin!$C$4+55)),MIN(DAY(Kalemler!$D147),DAY(EOMONTH((Tahmin!$C$4+55),0))))&lt;=(Tahmin!$C$4+55),DATE(YEAR((Tahmin!$C$4+55)),MONTH((Tahmin!$C$4+55)),MIN(DAY(Kalemler!$D147),DAY(EOMONTH((Tahmin!$C$4+55),0))))&lt;&gt;DATE(YEAR((Tahmin!$C$4+49)),MONTH((Tahmin!$C$4+49)),MIN(DAY(Kalemler!$D147),DAY(EOMONTH((Tahmin!$C$4+49),0)))),DATE(YEAR((Tahmin!$C$4+55)),MONTH((Tahmin!$C$4+55)),MIN(DAY(Kalemler!$D147),DAY(EOMONTH((Tahmin!$C$4+55),0))))&gt;=Kalemler!$D147)),1,0),IF(AND(Kalemler!$D147&gt;=(Tahmin!$C$4+49),Kalemler!$D147&lt;=(Tahmin!$C$4+55)),1,0))))</f>
        <v>0</v>
      </c>
      <c r="J147" s="0" t="n">
        <f aca="false">IF(OR(Kalemler!$A147="",Kalemler!$C147="",Kalemler!$D147=""),0,Kalemler!$C147*IF(Kalemler!$E147="Haftalık",IF(Kalemler!$D147&lt;=(Tahmin!$C$4+62),1,0),IF(Kalemler!$E147="Aylık",IF(OR(AND(DATE(YEAR((Tahmin!$C$4+56)),MONTH((Tahmin!$C$4+56)),MIN(DAY(Kalemler!$D147),DAY(EOMONTH((Tahmin!$C$4+56),0))))&gt;=(Tahmin!$C$4+56),DATE(YEAR((Tahmin!$C$4+56)),MONTH((Tahmin!$C$4+56)),MIN(DAY(Kalemler!$D147),DAY(EOMONTH((Tahmin!$C$4+56),0))))&lt;=(Tahmin!$C$4+62),DATE(YEAR((Tahmin!$C$4+56)),MONTH((Tahmin!$C$4+56)),MIN(DAY(Kalemler!$D147),DAY(EOMONTH((Tahmin!$C$4+56),0))))&gt;=Kalemler!$D147),AND(DATE(YEAR((Tahmin!$C$4+62)),MONTH((Tahmin!$C$4+62)),MIN(DAY(Kalemler!$D147),DAY(EOMONTH((Tahmin!$C$4+62),0))))&gt;=(Tahmin!$C$4+56),DATE(YEAR((Tahmin!$C$4+62)),MONTH((Tahmin!$C$4+62)),MIN(DAY(Kalemler!$D147),DAY(EOMONTH((Tahmin!$C$4+62),0))))&lt;=(Tahmin!$C$4+62),DATE(YEAR((Tahmin!$C$4+62)),MONTH((Tahmin!$C$4+62)),MIN(DAY(Kalemler!$D147),DAY(EOMONTH((Tahmin!$C$4+62),0))))&lt;&gt;DATE(YEAR((Tahmin!$C$4+56)),MONTH((Tahmin!$C$4+56)),MIN(DAY(Kalemler!$D147),DAY(EOMONTH((Tahmin!$C$4+56),0)))),DATE(YEAR((Tahmin!$C$4+62)),MONTH((Tahmin!$C$4+62)),MIN(DAY(Kalemler!$D147),DAY(EOMONTH((Tahmin!$C$4+62),0))))&gt;=Kalemler!$D147)),1,0),IF(AND(Kalemler!$D147&gt;=(Tahmin!$C$4+56),Kalemler!$D147&lt;=(Tahmin!$C$4+62)),1,0))))</f>
        <v>0</v>
      </c>
      <c r="K147" s="0" t="n">
        <f aca="false">IF(OR(Kalemler!$A147="",Kalemler!$C147="",Kalemler!$D147=""),0,Kalemler!$C147*IF(Kalemler!$E147="Haftalık",IF(Kalemler!$D147&lt;=(Tahmin!$C$4+69),1,0),IF(Kalemler!$E147="Aylık",IF(OR(AND(DATE(YEAR((Tahmin!$C$4+63)),MONTH((Tahmin!$C$4+63)),MIN(DAY(Kalemler!$D147),DAY(EOMONTH((Tahmin!$C$4+63),0))))&gt;=(Tahmin!$C$4+63),DATE(YEAR((Tahmin!$C$4+63)),MONTH((Tahmin!$C$4+63)),MIN(DAY(Kalemler!$D147),DAY(EOMONTH((Tahmin!$C$4+63),0))))&lt;=(Tahmin!$C$4+69),DATE(YEAR((Tahmin!$C$4+63)),MONTH((Tahmin!$C$4+63)),MIN(DAY(Kalemler!$D147),DAY(EOMONTH((Tahmin!$C$4+63),0))))&gt;=Kalemler!$D147),AND(DATE(YEAR((Tahmin!$C$4+69)),MONTH((Tahmin!$C$4+69)),MIN(DAY(Kalemler!$D147),DAY(EOMONTH((Tahmin!$C$4+69),0))))&gt;=(Tahmin!$C$4+63),DATE(YEAR((Tahmin!$C$4+69)),MONTH((Tahmin!$C$4+69)),MIN(DAY(Kalemler!$D147),DAY(EOMONTH((Tahmin!$C$4+69),0))))&lt;=(Tahmin!$C$4+69),DATE(YEAR((Tahmin!$C$4+69)),MONTH((Tahmin!$C$4+69)),MIN(DAY(Kalemler!$D147),DAY(EOMONTH((Tahmin!$C$4+69),0))))&lt;&gt;DATE(YEAR((Tahmin!$C$4+63)),MONTH((Tahmin!$C$4+63)),MIN(DAY(Kalemler!$D147),DAY(EOMONTH((Tahmin!$C$4+63),0)))),DATE(YEAR((Tahmin!$C$4+69)),MONTH((Tahmin!$C$4+69)),MIN(DAY(Kalemler!$D147),DAY(EOMONTH((Tahmin!$C$4+69),0))))&gt;=Kalemler!$D147)),1,0),IF(AND(Kalemler!$D147&gt;=(Tahmin!$C$4+63),Kalemler!$D147&lt;=(Tahmin!$C$4+69)),1,0))))</f>
        <v>0</v>
      </c>
      <c r="L147" s="0" t="n">
        <f aca="false">IF(OR(Kalemler!$A147="",Kalemler!$C147="",Kalemler!$D147=""),0,Kalemler!$C147*IF(Kalemler!$E147="Haftalık",IF(Kalemler!$D147&lt;=(Tahmin!$C$4+76),1,0),IF(Kalemler!$E147="Aylık",IF(OR(AND(DATE(YEAR((Tahmin!$C$4+70)),MONTH((Tahmin!$C$4+70)),MIN(DAY(Kalemler!$D147),DAY(EOMONTH((Tahmin!$C$4+70),0))))&gt;=(Tahmin!$C$4+70),DATE(YEAR((Tahmin!$C$4+70)),MONTH((Tahmin!$C$4+70)),MIN(DAY(Kalemler!$D147),DAY(EOMONTH((Tahmin!$C$4+70),0))))&lt;=(Tahmin!$C$4+76),DATE(YEAR((Tahmin!$C$4+70)),MONTH((Tahmin!$C$4+70)),MIN(DAY(Kalemler!$D147),DAY(EOMONTH((Tahmin!$C$4+70),0))))&gt;=Kalemler!$D147),AND(DATE(YEAR((Tahmin!$C$4+76)),MONTH((Tahmin!$C$4+76)),MIN(DAY(Kalemler!$D147),DAY(EOMONTH((Tahmin!$C$4+76),0))))&gt;=(Tahmin!$C$4+70),DATE(YEAR((Tahmin!$C$4+76)),MONTH((Tahmin!$C$4+76)),MIN(DAY(Kalemler!$D147),DAY(EOMONTH((Tahmin!$C$4+76),0))))&lt;=(Tahmin!$C$4+76),DATE(YEAR((Tahmin!$C$4+76)),MONTH((Tahmin!$C$4+76)),MIN(DAY(Kalemler!$D147),DAY(EOMONTH((Tahmin!$C$4+76),0))))&lt;&gt;DATE(YEAR((Tahmin!$C$4+70)),MONTH((Tahmin!$C$4+70)),MIN(DAY(Kalemler!$D147),DAY(EOMONTH((Tahmin!$C$4+70),0)))),DATE(YEAR((Tahmin!$C$4+76)),MONTH((Tahmin!$C$4+76)),MIN(DAY(Kalemler!$D147),DAY(EOMONTH((Tahmin!$C$4+76),0))))&gt;=Kalemler!$D147)),1,0),IF(AND(Kalemler!$D147&gt;=(Tahmin!$C$4+70),Kalemler!$D147&lt;=(Tahmin!$C$4+76)),1,0))))</f>
        <v>0</v>
      </c>
      <c r="M147" s="0" t="n">
        <f aca="false">IF(OR(Kalemler!$A147="",Kalemler!$C147="",Kalemler!$D147=""),0,Kalemler!$C147*IF(Kalemler!$E147="Haftalık",IF(Kalemler!$D147&lt;=(Tahmin!$C$4+83),1,0),IF(Kalemler!$E147="Aylık",IF(OR(AND(DATE(YEAR((Tahmin!$C$4+77)),MONTH((Tahmin!$C$4+77)),MIN(DAY(Kalemler!$D147),DAY(EOMONTH((Tahmin!$C$4+77),0))))&gt;=(Tahmin!$C$4+77),DATE(YEAR((Tahmin!$C$4+77)),MONTH((Tahmin!$C$4+77)),MIN(DAY(Kalemler!$D147),DAY(EOMONTH((Tahmin!$C$4+77),0))))&lt;=(Tahmin!$C$4+83),DATE(YEAR((Tahmin!$C$4+77)),MONTH((Tahmin!$C$4+77)),MIN(DAY(Kalemler!$D147),DAY(EOMONTH((Tahmin!$C$4+77),0))))&gt;=Kalemler!$D147),AND(DATE(YEAR((Tahmin!$C$4+83)),MONTH((Tahmin!$C$4+83)),MIN(DAY(Kalemler!$D147),DAY(EOMONTH((Tahmin!$C$4+83),0))))&gt;=(Tahmin!$C$4+77),DATE(YEAR((Tahmin!$C$4+83)),MONTH((Tahmin!$C$4+83)),MIN(DAY(Kalemler!$D147),DAY(EOMONTH((Tahmin!$C$4+83),0))))&lt;=(Tahmin!$C$4+83),DATE(YEAR((Tahmin!$C$4+83)),MONTH((Tahmin!$C$4+83)),MIN(DAY(Kalemler!$D147),DAY(EOMONTH((Tahmin!$C$4+83),0))))&lt;&gt;DATE(YEAR((Tahmin!$C$4+77)),MONTH((Tahmin!$C$4+77)),MIN(DAY(Kalemler!$D147),DAY(EOMONTH((Tahmin!$C$4+77),0)))),DATE(YEAR((Tahmin!$C$4+83)),MONTH((Tahmin!$C$4+83)),MIN(DAY(Kalemler!$D147),DAY(EOMONTH((Tahmin!$C$4+83),0))))&gt;=Kalemler!$D147)),1,0),IF(AND(Kalemler!$D147&gt;=(Tahmin!$C$4+77),Kalemler!$D147&lt;=(Tahmin!$C$4+83)),1,0))))</f>
        <v>0</v>
      </c>
      <c r="N147" s="0" t="n">
        <f aca="false">IF(OR(Kalemler!$A147="",Kalemler!$C147="",Kalemler!$D147=""),0,Kalemler!$C147*IF(Kalemler!$E147="Haftalık",IF(Kalemler!$D147&lt;=(Tahmin!$C$4+90),1,0),IF(Kalemler!$E147="Aylık",IF(OR(AND(DATE(YEAR((Tahmin!$C$4+84)),MONTH((Tahmin!$C$4+84)),MIN(DAY(Kalemler!$D147),DAY(EOMONTH((Tahmin!$C$4+84),0))))&gt;=(Tahmin!$C$4+84),DATE(YEAR((Tahmin!$C$4+84)),MONTH((Tahmin!$C$4+84)),MIN(DAY(Kalemler!$D147),DAY(EOMONTH((Tahmin!$C$4+84),0))))&lt;=(Tahmin!$C$4+90),DATE(YEAR((Tahmin!$C$4+84)),MONTH((Tahmin!$C$4+84)),MIN(DAY(Kalemler!$D147),DAY(EOMONTH((Tahmin!$C$4+84),0))))&gt;=Kalemler!$D147),AND(DATE(YEAR((Tahmin!$C$4+90)),MONTH((Tahmin!$C$4+90)),MIN(DAY(Kalemler!$D147),DAY(EOMONTH((Tahmin!$C$4+90),0))))&gt;=(Tahmin!$C$4+84),DATE(YEAR((Tahmin!$C$4+90)),MONTH((Tahmin!$C$4+90)),MIN(DAY(Kalemler!$D147),DAY(EOMONTH((Tahmin!$C$4+90),0))))&lt;=(Tahmin!$C$4+90),DATE(YEAR((Tahmin!$C$4+90)),MONTH((Tahmin!$C$4+90)),MIN(DAY(Kalemler!$D147),DAY(EOMONTH((Tahmin!$C$4+90),0))))&lt;&gt;DATE(YEAR((Tahmin!$C$4+84)),MONTH((Tahmin!$C$4+84)),MIN(DAY(Kalemler!$D147),DAY(EOMONTH((Tahmin!$C$4+84),0)))),DATE(YEAR((Tahmin!$C$4+90)),MONTH((Tahmin!$C$4+90)),MIN(DAY(Kalemler!$D147),DAY(EOMONTH((Tahmin!$C$4+90),0))))&gt;=Kalemler!$D147)),1,0),IF(AND(Kalemler!$D147&gt;=(Tahmin!$C$4+84),Kalemler!$D147&lt;=(Tahmin!$C$4+90)),1,0))))</f>
        <v>0</v>
      </c>
    </row>
    <row r="148" customFormat="false" ht="15" hidden="false" customHeight="false" outlineLevel="0" collapsed="false">
      <c r="A148" s="0" t="str">
        <f aca="false">IF(Kalemler!A148="","",Kalemler!A148)</f>
        <v/>
      </c>
      <c r="B148" s="0" t="n">
        <f aca="false">IF(OR(Kalemler!$A148="",Kalemler!$C148="",Kalemler!$D148=""),0,Kalemler!$C148*IF(Kalemler!$E148="Haftalık",IF(Kalemler!$D148&lt;=(Tahmin!$C$4+6),1,0),IF(Kalemler!$E148="Aylık",IF(OR(AND(DATE(YEAR((Tahmin!$C$4+0)),MONTH((Tahmin!$C$4+0)),MIN(DAY(Kalemler!$D148),DAY(EOMONTH((Tahmin!$C$4+0),0))))&gt;=(Tahmin!$C$4+0),DATE(YEAR((Tahmin!$C$4+0)),MONTH((Tahmin!$C$4+0)),MIN(DAY(Kalemler!$D148),DAY(EOMONTH((Tahmin!$C$4+0),0))))&lt;=(Tahmin!$C$4+6),DATE(YEAR((Tahmin!$C$4+0)),MONTH((Tahmin!$C$4+0)),MIN(DAY(Kalemler!$D148),DAY(EOMONTH((Tahmin!$C$4+0),0))))&gt;=Kalemler!$D148),AND(DATE(YEAR((Tahmin!$C$4+6)),MONTH((Tahmin!$C$4+6)),MIN(DAY(Kalemler!$D148),DAY(EOMONTH((Tahmin!$C$4+6),0))))&gt;=(Tahmin!$C$4+0),DATE(YEAR((Tahmin!$C$4+6)),MONTH((Tahmin!$C$4+6)),MIN(DAY(Kalemler!$D148),DAY(EOMONTH((Tahmin!$C$4+6),0))))&lt;=(Tahmin!$C$4+6),DATE(YEAR((Tahmin!$C$4+6)),MONTH((Tahmin!$C$4+6)),MIN(DAY(Kalemler!$D148),DAY(EOMONTH((Tahmin!$C$4+6),0))))&lt;&gt;DATE(YEAR((Tahmin!$C$4+0)),MONTH((Tahmin!$C$4+0)),MIN(DAY(Kalemler!$D148),DAY(EOMONTH((Tahmin!$C$4+0),0)))),DATE(YEAR((Tahmin!$C$4+6)),MONTH((Tahmin!$C$4+6)),MIN(DAY(Kalemler!$D148),DAY(EOMONTH((Tahmin!$C$4+6),0))))&gt;=Kalemler!$D148)),1,0),IF(AND(Kalemler!$D148&gt;=(Tahmin!$C$4+0),Kalemler!$D148&lt;=(Tahmin!$C$4+6)),1,0))))</f>
        <v>0</v>
      </c>
      <c r="C148" s="0" t="n">
        <f aca="false">IF(OR(Kalemler!$A148="",Kalemler!$C148="",Kalemler!$D148=""),0,Kalemler!$C148*IF(Kalemler!$E148="Haftalık",IF(Kalemler!$D148&lt;=(Tahmin!$C$4+13),1,0),IF(Kalemler!$E148="Aylık",IF(OR(AND(DATE(YEAR((Tahmin!$C$4+7)),MONTH((Tahmin!$C$4+7)),MIN(DAY(Kalemler!$D148),DAY(EOMONTH((Tahmin!$C$4+7),0))))&gt;=(Tahmin!$C$4+7),DATE(YEAR((Tahmin!$C$4+7)),MONTH((Tahmin!$C$4+7)),MIN(DAY(Kalemler!$D148),DAY(EOMONTH((Tahmin!$C$4+7),0))))&lt;=(Tahmin!$C$4+13),DATE(YEAR((Tahmin!$C$4+7)),MONTH((Tahmin!$C$4+7)),MIN(DAY(Kalemler!$D148),DAY(EOMONTH((Tahmin!$C$4+7),0))))&gt;=Kalemler!$D148),AND(DATE(YEAR((Tahmin!$C$4+13)),MONTH((Tahmin!$C$4+13)),MIN(DAY(Kalemler!$D148),DAY(EOMONTH((Tahmin!$C$4+13),0))))&gt;=(Tahmin!$C$4+7),DATE(YEAR((Tahmin!$C$4+13)),MONTH((Tahmin!$C$4+13)),MIN(DAY(Kalemler!$D148),DAY(EOMONTH((Tahmin!$C$4+13),0))))&lt;=(Tahmin!$C$4+13),DATE(YEAR((Tahmin!$C$4+13)),MONTH((Tahmin!$C$4+13)),MIN(DAY(Kalemler!$D148),DAY(EOMONTH((Tahmin!$C$4+13),0))))&lt;&gt;DATE(YEAR((Tahmin!$C$4+7)),MONTH((Tahmin!$C$4+7)),MIN(DAY(Kalemler!$D148),DAY(EOMONTH((Tahmin!$C$4+7),0)))),DATE(YEAR((Tahmin!$C$4+13)),MONTH((Tahmin!$C$4+13)),MIN(DAY(Kalemler!$D148),DAY(EOMONTH((Tahmin!$C$4+13),0))))&gt;=Kalemler!$D148)),1,0),IF(AND(Kalemler!$D148&gt;=(Tahmin!$C$4+7),Kalemler!$D148&lt;=(Tahmin!$C$4+13)),1,0))))</f>
        <v>0</v>
      </c>
      <c r="D148" s="0" t="n">
        <f aca="false">IF(OR(Kalemler!$A148="",Kalemler!$C148="",Kalemler!$D148=""),0,Kalemler!$C148*IF(Kalemler!$E148="Haftalık",IF(Kalemler!$D148&lt;=(Tahmin!$C$4+20),1,0),IF(Kalemler!$E148="Aylık",IF(OR(AND(DATE(YEAR((Tahmin!$C$4+14)),MONTH((Tahmin!$C$4+14)),MIN(DAY(Kalemler!$D148),DAY(EOMONTH((Tahmin!$C$4+14),0))))&gt;=(Tahmin!$C$4+14),DATE(YEAR((Tahmin!$C$4+14)),MONTH((Tahmin!$C$4+14)),MIN(DAY(Kalemler!$D148),DAY(EOMONTH((Tahmin!$C$4+14),0))))&lt;=(Tahmin!$C$4+20),DATE(YEAR((Tahmin!$C$4+14)),MONTH((Tahmin!$C$4+14)),MIN(DAY(Kalemler!$D148),DAY(EOMONTH((Tahmin!$C$4+14),0))))&gt;=Kalemler!$D148),AND(DATE(YEAR((Tahmin!$C$4+20)),MONTH((Tahmin!$C$4+20)),MIN(DAY(Kalemler!$D148),DAY(EOMONTH((Tahmin!$C$4+20),0))))&gt;=(Tahmin!$C$4+14),DATE(YEAR((Tahmin!$C$4+20)),MONTH((Tahmin!$C$4+20)),MIN(DAY(Kalemler!$D148),DAY(EOMONTH((Tahmin!$C$4+20),0))))&lt;=(Tahmin!$C$4+20),DATE(YEAR((Tahmin!$C$4+20)),MONTH((Tahmin!$C$4+20)),MIN(DAY(Kalemler!$D148),DAY(EOMONTH((Tahmin!$C$4+20),0))))&lt;&gt;DATE(YEAR((Tahmin!$C$4+14)),MONTH((Tahmin!$C$4+14)),MIN(DAY(Kalemler!$D148),DAY(EOMONTH((Tahmin!$C$4+14),0)))),DATE(YEAR((Tahmin!$C$4+20)),MONTH((Tahmin!$C$4+20)),MIN(DAY(Kalemler!$D148),DAY(EOMONTH((Tahmin!$C$4+20),0))))&gt;=Kalemler!$D148)),1,0),IF(AND(Kalemler!$D148&gt;=(Tahmin!$C$4+14),Kalemler!$D148&lt;=(Tahmin!$C$4+20)),1,0))))</f>
        <v>0</v>
      </c>
      <c r="E148" s="0" t="n">
        <f aca="false">IF(OR(Kalemler!$A148="",Kalemler!$C148="",Kalemler!$D148=""),0,Kalemler!$C148*IF(Kalemler!$E148="Haftalık",IF(Kalemler!$D148&lt;=(Tahmin!$C$4+27),1,0),IF(Kalemler!$E148="Aylık",IF(OR(AND(DATE(YEAR((Tahmin!$C$4+21)),MONTH((Tahmin!$C$4+21)),MIN(DAY(Kalemler!$D148),DAY(EOMONTH((Tahmin!$C$4+21),0))))&gt;=(Tahmin!$C$4+21),DATE(YEAR((Tahmin!$C$4+21)),MONTH((Tahmin!$C$4+21)),MIN(DAY(Kalemler!$D148),DAY(EOMONTH((Tahmin!$C$4+21),0))))&lt;=(Tahmin!$C$4+27),DATE(YEAR((Tahmin!$C$4+21)),MONTH((Tahmin!$C$4+21)),MIN(DAY(Kalemler!$D148),DAY(EOMONTH((Tahmin!$C$4+21),0))))&gt;=Kalemler!$D148),AND(DATE(YEAR((Tahmin!$C$4+27)),MONTH((Tahmin!$C$4+27)),MIN(DAY(Kalemler!$D148),DAY(EOMONTH((Tahmin!$C$4+27),0))))&gt;=(Tahmin!$C$4+21),DATE(YEAR((Tahmin!$C$4+27)),MONTH((Tahmin!$C$4+27)),MIN(DAY(Kalemler!$D148),DAY(EOMONTH((Tahmin!$C$4+27),0))))&lt;=(Tahmin!$C$4+27),DATE(YEAR((Tahmin!$C$4+27)),MONTH((Tahmin!$C$4+27)),MIN(DAY(Kalemler!$D148),DAY(EOMONTH((Tahmin!$C$4+27),0))))&lt;&gt;DATE(YEAR((Tahmin!$C$4+21)),MONTH((Tahmin!$C$4+21)),MIN(DAY(Kalemler!$D148),DAY(EOMONTH((Tahmin!$C$4+21),0)))),DATE(YEAR((Tahmin!$C$4+27)),MONTH((Tahmin!$C$4+27)),MIN(DAY(Kalemler!$D148),DAY(EOMONTH((Tahmin!$C$4+27),0))))&gt;=Kalemler!$D148)),1,0),IF(AND(Kalemler!$D148&gt;=(Tahmin!$C$4+21),Kalemler!$D148&lt;=(Tahmin!$C$4+27)),1,0))))</f>
        <v>0</v>
      </c>
      <c r="F148" s="0" t="n">
        <f aca="false">IF(OR(Kalemler!$A148="",Kalemler!$C148="",Kalemler!$D148=""),0,Kalemler!$C148*IF(Kalemler!$E148="Haftalık",IF(Kalemler!$D148&lt;=(Tahmin!$C$4+34),1,0),IF(Kalemler!$E148="Aylık",IF(OR(AND(DATE(YEAR((Tahmin!$C$4+28)),MONTH((Tahmin!$C$4+28)),MIN(DAY(Kalemler!$D148),DAY(EOMONTH((Tahmin!$C$4+28),0))))&gt;=(Tahmin!$C$4+28),DATE(YEAR((Tahmin!$C$4+28)),MONTH((Tahmin!$C$4+28)),MIN(DAY(Kalemler!$D148),DAY(EOMONTH((Tahmin!$C$4+28),0))))&lt;=(Tahmin!$C$4+34),DATE(YEAR((Tahmin!$C$4+28)),MONTH((Tahmin!$C$4+28)),MIN(DAY(Kalemler!$D148),DAY(EOMONTH((Tahmin!$C$4+28),0))))&gt;=Kalemler!$D148),AND(DATE(YEAR((Tahmin!$C$4+34)),MONTH((Tahmin!$C$4+34)),MIN(DAY(Kalemler!$D148),DAY(EOMONTH((Tahmin!$C$4+34),0))))&gt;=(Tahmin!$C$4+28),DATE(YEAR((Tahmin!$C$4+34)),MONTH((Tahmin!$C$4+34)),MIN(DAY(Kalemler!$D148),DAY(EOMONTH((Tahmin!$C$4+34),0))))&lt;=(Tahmin!$C$4+34),DATE(YEAR((Tahmin!$C$4+34)),MONTH((Tahmin!$C$4+34)),MIN(DAY(Kalemler!$D148),DAY(EOMONTH((Tahmin!$C$4+34),0))))&lt;&gt;DATE(YEAR((Tahmin!$C$4+28)),MONTH((Tahmin!$C$4+28)),MIN(DAY(Kalemler!$D148),DAY(EOMONTH((Tahmin!$C$4+28),0)))),DATE(YEAR((Tahmin!$C$4+34)),MONTH((Tahmin!$C$4+34)),MIN(DAY(Kalemler!$D148),DAY(EOMONTH((Tahmin!$C$4+34),0))))&gt;=Kalemler!$D148)),1,0),IF(AND(Kalemler!$D148&gt;=(Tahmin!$C$4+28),Kalemler!$D148&lt;=(Tahmin!$C$4+34)),1,0))))</f>
        <v>0</v>
      </c>
      <c r="G148" s="0" t="n">
        <f aca="false">IF(OR(Kalemler!$A148="",Kalemler!$C148="",Kalemler!$D148=""),0,Kalemler!$C148*IF(Kalemler!$E148="Haftalık",IF(Kalemler!$D148&lt;=(Tahmin!$C$4+41),1,0),IF(Kalemler!$E148="Aylık",IF(OR(AND(DATE(YEAR((Tahmin!$C$4+35)),MONTH((Tahmin!$C$4+35)),MIN(DAY(Kalemler!$D148),DAY(EOMONTH((Tahmin!$C$4+35),0))))&gt;=(Tahmin!$C$4+35),DATE(YEAR((Tahmin!$C$4+35)),MONTH((Tahmin!$C$4+35)),MIN(DAY(Kalemler!$D148),DAY(EOMONTH((Tahmin!$C$4+35),0))))&lt;=(Tahmin!$C$4+41),DATE(YEAR((Tahmin!$C$4+35)),MONTH((Tahmin!$C$4+35)),MIN(DAY(Kalemler!$D148),DAY(EOMONTH((Tahmin!$C$4+35),0))))&gt;=Kalemler!$D148),AND(DATE(YEAR((Tahmin!$C$4+41)),MONTH((Tahmin!$C$4+41)),MIN(DAY(Kalemler!$D148),DAY(EOMONTH((Tahmin!$C$4+41),0))))&gt;=(Tahmin!$C$4+35),DATE(YEAR((Tahmin!$C$4+41)),MONTH((Tahmin!$C$4+41)),MIN(DAY(Kalemler!$D148),DAY(EOMONTH((Tahmin!$C$4+41),0))))&lt;=(Tahmin!$C$4+41),DATE(YEAR((Tahmin!$C$4+41)),MONTH((Tahmin!$C$4+41)),MIN(DAY(Kalemler!$D148),DAY(EOMONTH((Tahmin!$C$4+41),0))))&lt;&gt;DATE(YEAR((Tahmin!$C$4+35)),MONTH((Tahmin!$C$4+35)),MIN(DAY(Kalemler!$D148),DAY(EOMONTH((Tahmin!$C$4+35),0)))),DATE(YEAR((Tahmin!$C$4+41)),MONTH((Tahmin!$C$4+41)),MIN(DAY(Kalemler!$D148),DAY(EOMONTH((Tahmin!$C$4+41),0))))&gt;=Kalemler!$D148)),1,0),IF(AND(Kalemler!$D148&gt;=(Tahmin!$C$4+35),Kalemler!$D148&lt;=(Tahmin!$C$4+41)),1,0))))</f>
        <v>0</v>
      </c>
      <c r="H148" s="0" t="n">
        <f aca="false">IF(OR(Kalemler!$A148="",Kalemler!$C148="",Kalemler!$D148=""),0,Kalemler!$C148*IF(Kalemler!$E148="Haftalık",IF(Kalemler!$D148&lt;=(Tahmin!$C$4+48),1,0),IF(Kalemler!$E148="Aylık",IF(OR(AND(DATE(YEAR((Tahmin!$C$4+42)),MONTH((Tahmin!$C$4+42)),MIN(DAY(Kalemler!$D148),DAY(EOMONTH((Tahmin!$C$4+42),0))))&gt;=(Tahmin!$C$4+42),DATE(YEAR((Tahmin!$C$4+42)),MONTH((Tahmin!$C$4+42)),MIN(DAY(Kalemler!$D148),DAY(EOMONTH((Tahmin!$C$4+42),0))))&lt;=(Tahmin!$C$4+48),DATE(YEAR((Tahmin!$C$4+42)),MONTH((Tahmin!$C$4+42)),MIN(DAY(Kalemler!$D148),DAY(EOMONTH((Tahmin!$C$4+42),0))))&gt;=Kalemler!$D148),AND(DATE(YEAR((Tahmin!$C$4+48)),MONTH((Tahmin!$C$4+48)),MIN(DAY(Kalemler!$D148),DAY(EOMONTH((Tahmin!$C$4+48),0))))&gt;=(Tahmin!$C$4+42),DATE(YEAR((Tahmin!$C$4+48)),MONTH((Tahmin!$C$4+48)),MIN(DAY(Kalemler!$D148),DAY(EOMONTH((Tahmin!$C$4+48),0))))&lt;=(Tahmin!$C$4+48),DATE(YEAR((Tahmin!$C$4+48)),MONTH((Tahmin!$C$4+48)),MIN(DAY(Kalemler!$D148),DAY(EOMONTH((Tahmin!$C$4+48),0))))&lt;&gt;DATE(YEAR((Tahmin!$C$4+42)),MONTH((Tahmin!$C$4+42)),MIN(DAY(Kalemler!$D148),DAY(EOMONTH((Tahmin!$C$4+42),0)))),DATE(YEAR((Tahmin!$C$4+48)),MONTH((Tahmin!$C$4+48)),MIN(DAY(Kalemler!$D148),DAY(EOMONTH((Tahmin!$C$4+48),0))))&gt;=Kalemler!$D148)),1,0),IF(AND(Kalemler!$D148&gt;=(Tahmin!$C$4+42),Kalemler!$D148&lt;=(Tahmin!$C$4+48)),1,0))))</f>
        <v>0</v>
      </c>
      <c r="I148" s="0" t="n">
        <f aca="false">IF(OR(Kalemler!$A148="",Kalemler!$C148="",Kalemler!$D148=""),0,Kalemler!$C148*IF(Kalemler!$E148="Haftalık",IF(Kalemler!$D148&lt;=(Tahmin!$C$4+55),1,0),IF(Kalemler!$E148="Aylık",IF(OR(AND(DATE(YEAR((Tahmin!$C$4+49)),MONTH((Tahmin!$C$4+49)),MIN(DAY(Kalemler!$D148),DAY(EOMONTH((Tahmin!$C$4+49),0))))&gt;=(Tahmin!$C$4+49),DATE(YEAR((Tahmin!$C$4+49)),MONTH((Tahmin!$C$4+49)),MIN(DAY(Kalemler!$D148),DAY(EOMONTH((Tahmin!$C$4+49),0))))&lt;=(Tahmin!$C$4+55),DATE(YEAR((Tahmin!$C$4+49)),MONTH((Tahmin!$C$4+49)),MIN(DAY(Kalemler!$D148),DAY(EOMONTH((Tahmin!$C$4+49),0))))&gt;=Kalemler!$D148),AND(DATE(YEAR((Tahmin!$C$4+55)),MONTH((Tahmin!$C$4+55)),MIN(DAY(Kalemler!$D148),DAY(EOMONTH((Tahmin!$C$4+55),0))))&gt;=(Tahmin!$C$4+49),DATE(YEAR((Tahmin!$C$4+55)),MONTH((Tahmin!$C$4+55)),MIN(DAY(Kalemler!$D148),DAY(EOMONTH((Tahmin!$C$4+55),0))))&lt;=(Tahmin!$C$4+55),DATE(YEAR((Tahmin!$C$4+55)),MONTH((Tahmin!$C$4+55)),MIN(DAY(Kalemler!$D148),DAY(EOMONTH((Tahmin!$C$4+55),0))))&lt;&gt;DATE(YEAR((Tahmin!$C$4+49)),MONTH((Tahmin!$C$4+49)),MIN(DAY(Kalemler!$D148),DAY(EOMONTH((Tahmin!$C$4+49),0)))),DATE(YEAR((Tahmin!$C$4+55)),MONTH((Tahmin!$C$4+55)),MIN(DAY(Kalemler!$D148),DAY(EOMONTH((Tahmin!$C$4+55),0))))&gt;=Kalemler!$D148)),1,0),IF(AND(Kalemler!$D148&gt;=(Tahmin!$C$4+49),Kalemler!$D148&lt;=(Tahmin!$C$4+55)),1,0))))</f>
        <v>0</v>
      </c>
      <c r="J148" s="0" t="n">
        <f aca="false">IF(OR(Kalemler!$A148="",Kalemler!$C148="",Kalemler!$D148=""),0,Kalemler!$C148*IF(Kalemler!$E148="Haftalık",IF(Kalemler!$D148&lt;=(Tahmin!$C$4+62),1,0),IF(Kalemler!$E148="Aylık",IF(OR(AND(DATE(YEAR((Tahmin!$C$4+56)),MONTH((Tahmin!$C$4+56)),MIN(DAY(Kalemler!$D148),DAY(EOMONTH((Tahmin!$C$4+56),0))))&gt;=(Tahmin!$C$4+56),DATE(YEAR((Tahmin!$C$4+56)),MONTH((Tahmin!$C$4+56)),MIN(DAY(Kalemler!$D148),DAY(EOMONTH((Tahmin!$C$4+56),0))))&lt;=(Tahmin!$C$4+62),DATE(YEAR((Tahmin!$C$4+56)),MONTH((Tahmin!$C$4+56)),MIN(DAY(Kalemler!$D148),DAY(EOMONTH((Tahmin!$C$4+56),0))))&gt;=Kalemler!$D148),AND(DATE(YEAR((Tahmin!$C$4+62)),MONTH((Tahmin!$C$4+62)),MIN(DAY(Kalemler!$D148),DAY(EOMONTH((Tahmin!$C$4+62),0))))&gt;=(Tahmin!$C$4+56),DATE(YEAR((Tahmin!$C$4+62)),MONTH((Tahmin!$C$4+62)),MIN(DAY(Kalemler!$D148),DAY(EOMONTH((Tahmin!$C$4+62),0))))&lt;=(Tahmin!$C$4+62),DATE(YEAR((Tahmin!$C$4+62)),MONTH((Tahmin!$C$4+62)),MIN(DAY(Kalemler!$D148),DAY(EOMONTH((Tahmin!$C$4+62),0))))&lt;&gt;DATE(YEAR((Tahmin!$C$4+56)),MONTH((Tahmin!$C$4+56)),MIN(DAY(Kalemler!$D148),DAY(EOMONTH((Tahmin!$C$4+56),0)))),DATE(YEAR((Tahmin!$C$4+62)),MONTH((Tahmin!$C$4+62)),MIN(DAY(Kalemler!$D148),DAY(EOMONTH((Tahmin!$C$4+62),0))))&gt;=Kalemler!$D148)),1,0),IF(AND(Kalemler!$D148&gt;=(Tahmin!$C$4+56),Kalemler!$D148&lt;=(Tahmin!$C$4+62)),1,0))))</f>
        <v>0</v>
      </c>
      <c r="K148" s="0" t="n">
        <f aca="false">IF(OR(Kalemler!$A148="",Kalemler!$C148="",Kalemler!$D148=""),0,Kalemler!$C148*IF(Kalemler!$E148="Haftalık",IF(Kalemler!$D148&lt;=(Tahmin!$C$4+69),1,0),IF(Kalemler!$E148="Aylık",IF(OR(AND(DATE(YEAR((Tahmin!$C$4+63)),MONTH((Tahmin!$C$4+63)),MIN(DAY(Kalemler!$D148),DAY(EOMONTH((Tahmin!$C$4+63),0))))&gt;=(Tahmin!$C$4+63),DATE(YEAR((Tahmin!$C$4+63)),MONTH((Tahmin!$C$4+63)),MIN(DAY(Kalemler!$D148),DAY(EOMONTH((Tahmin!$C$4+63),0))))&lt;=(Tahmin!$C$4+69),DATE(YEAR((Tahmin!$C$4+63)),MONTH((Tahmin!$C$4+63)),MIN(DAY(Kalemler!$D148),DAY(EOMONTH((Tahmin!$C$4+63),0))))&gt;=Kalemler!$D148),AND(DATE(YEAR((Tahmin!$C$4+69)),MONTH((Tahmin!$C$4+69)),MIN(DAY(Kalemler!$D148),DAY(EOMONTH((Tahmin!$C$4+69),0))))&gt;=(Tahmin!$C$4+63),DATE(YEAR((Tahmin!$C$4+69)),MONTH((Tahmin!$C$4+69)),MIN(DAY(Kalemler!$D148),DAY(EOMONTH((Tahmin!$C$4+69),0))))&lt;=(Tahmin!$C$4+69),DATE(YEAR((Tahmin!$C$4+69)),MONTH((Tahmin!$C$4+69)),MIN(DAY(Kalemler!$D148),DAY(EOMONTH((Tahmin!$C$4+69),0))))&lt;&gt;DATE(YEAR((Tahmin!$C$4+63)),MONTH((Tahmin!$C$4+63)),MIN(DAY(Kalemler!$D148),DAY(EOMONTH((Tahmin!$C$4+63),0)))),DATE(YEAR((Tahmin!$C$4+69)),MONTH((Tahmin!$C$4+69)),MIN(DAY(Kalemler!$D148),DAY(EOMONTH((Tahmin!$C$4+69),0))))&gt;=Kalemler!$D148)),1,0),IF(AND(Kalemler!$D148&gt;=(Tahmin!$C$4+63),Kalemler!$D148&lt;=(Tahmin!$C$4+69)),1,0))))</f>
        <v>0</v>
      </c>
      <c r="L148" s="0" t="n">
        <f aca="false">IF(OR(Kalemler!$A148="",Kalemler!$C148="",Kalemler!$D148=""),0,Kalemler!$C148*IF(Kalemler!$E148="Haftalık",IF(Kalemler!$D148&lt;=(Tahmin!$C$4+76),1,0),IF(Kalemler!$E148="Aylık",IF(OR(AND(DATE(YEAR((Tahmin!$C$4+70)),MONTH((Tahmin!$C$4+70)),MIN(DAY(Kalemler!$D148),DAY(EOMONTH((Tahmin!$C$4+70),0))))&gt;=(Tahmin!$C$4+70),DATE(YEAR((Tahmin!$C$4+70)),MONTH((Tahmin!$C$4+70)),MIN(DAY(Kalemler!$D148),DAY(EOMONTH((Tahmin!$C$4+70),0))))&lt;=(Tahmin!$C$4+76),DATE(YEAR((Tahmin!$C$4+70)),MONTH((Tahmin!$C$4+70)),MIN(DAY(Kalemler!$D148),DAY(EOMONTH((Tahmin!$C$4+70),0))))&gt;=Kalemler!$D148),AND(DATE(YEAR((Tahmin!$C$4+76)),MONTH((Tahmin!$C$4+76)),MIN(DAY(Kalemler!$D148),DAY(EOMONTH((Tahmin!$C$4+76),0))))&gt;=(Tahmin!$C$4+70),DATE(YEAR((Tahmin!$C$4+76)),MONTH((Tahmin!$C$4+76)),MIN(DAY(Kalemler!$D148),DAY(EOMONTH((Tahmin!$C$4+76),0))))&lt;=(Tahmin!$C$4+76),DATE(YEAR((Tahmin!$C$4+76)),MONTH((Tahmin!$C$4+76)),MIN(DAY(Kalemler!$D148),DAY(EOMONTH((Tahmin!$C$4+76),0))))&lt;&gt;DATE(YEAR((Tahmin!$C$4+70)),MONTH((Tahmin!$C$4+70)),MIN(DAY(Kalemler!$D148),DAY(EOMONTH((Tahmin!$C$4+70),0)))),DATE(YEAR((Tahmin!$C$4+76)),MONTH((Tahmin!$C$4+76)),MIN(DAY(Kalemler!$D148),DAY(EOMONTH((Tahmin!$C$4+76),0))))&gt;=Kalemler!$D148)),1,0),IF(AND(Kalemler!$D148&gt;=(Tahmin!$C$4+70),Kalemler!$D148&lt;=(Tahmin!$C$4+76)),1,0))))</f>
        <v>0</v>
      </c>
      <c r="M148" s="0" t="n">
        <f aca="false">IF(OR(Kalemler!$A148="",Kalemler!$C148="",Kalemler!$D148=""),0,Kalemler!$C148*IF(Kalemler!$E148="Haftalık",IF(Kalemler!$D148&lt;=(Tahmin!$C$4+83),1,0),IF(Kalemler!$E148="Aylık",IF(OR(AND(DATE(YEAR((Tahmin!$C$4+77)),MONTH((Tahmin!$C$4+77)),MIN(DAY(Kalemler!$D148),DAY(EOMONTH((Tahmin!$C$4+77),0))))&gt;=(Tahmin!$C$4+77),DATE(YEAR((Tahmin!$C$4+77)),MONTH((Tahmin!$C$4+77)),MIN(DAY(Kalemler!$D148),DAY(EOMONTH((Tahmin!$C$4+77),0))))&lt;=(Tahmin!$C$4+83),DATE(YEAR((Tahmin!$C$4+77)),MONTH((Tahmin!$C$4+77)),MIN(DAY(Kalemler!$D148),DAY(EOMONTH((Tahmin!$C$4+77),0))))&gt;=Kalemler!$D148),AND(DATE(YEAR((Tahmin!$C$4+83)),MONTH((Tahmin!$C$4+83)),MIN(DAY(Kalemler!$D148),DAY(EOMONTH((Tahmin!$C$4+83),0))))&gt;=(Tahmin!$C$4+77),DATE(YEAR((Tahmin!$C$4+83)),MONTH((Tahmin!$C$4+83)),MIN(DAY(Kalemler!$D148),DAY(EOMONTH((Tahmin!$C$4+83),0))))&lt;=(Tahmin!$C$4+83),DATE(YEAR((Tahmin!$C$4+83)),MONTH((Tahmin!$C$4+83)),MIN(DAY(Kalemler!$D148),DAY(EOMONTH((Tahmin!$C$4+83),0))))&lt;&gt;DATE(YEAR((Tahmin!$C$4+77)),MONTH((Tahmin!$C$4+77)),MIN(DAY(Kalemler!$D148),DAY(EOMONTH((Tahmin!$C$4+77),0)))),DATE(YEAR((Tahmin!$C$4+83)),MONTH((Tahmin!$C$4+83)),MIN(DAY(Kalemler!$D148),DAY(EOMONTH((Tahmin!$C$4+83),0))))&gt;=Kalemler!$D148)),1,0),IF(AND(Kalemler!$D148&gt;=(Tahmin!$C$4+77),Kalemler!$D148&lt;=(Tahmin!$C$4+83)),1,0))))</f>
        <v>0</v>
      </c>
      <c r="N148" s="0" t="n">
        <f aca="false">IF(OR(Kalemler!$A148="",Kalemler!$C148="",Kalemler!$D148=""),0,Kalemler!$C148*IF(Kalemler!$E148="Haftalık",IF(Kalemler!$D148&lt;=(Tahmin!$C$4+90),1,0),IF(Kalemler!$E148="Aylık",IF(OR(AND(DATE(YEAR((Tahmin!$C$4+84)),MONTH((Tahmin!$C$4+84)),MIN(DAY(Kalemler!$D148),DAY(EOMONTH((Tahmin!$C$4+84),0))))&gt;=(Tahmin!$C$4+84),DATE(YEAR((Tahmin!$C$4+84)),MONTH((Tahmin!$C$4+84)),MIN(DAY(Kalemler!$D148),DAY(EOMONTH((Tahmin!$C$4+84),0))))&lt;=(Tahmin!$C$4+90),DATE(YEAR((Tahmin!$C$4+84)),MONTH((Tahmin!$C$4+84)),MIN(DAY(Kalemler!$D148),DAY(EOMONTH((Tahmin!$C$4+84),0))))&gt;=Kalemler!$D148),AND(DATE(YEAR((Tahmin!$C$4+90)),MONTH((Tahmin!$C$4+90)),MIN(DAY(Kalemler!$D148),DAY(EOMONTH((Tahmin!$C$4+90),0))))&gt;=(Tahmin!$C$4+84),DATE(YEAR((Tahmin!$C$4+90)),MONTH((Tahmin!$C$4+90)),MIN(DAY(Kalemler!$D148),DAY(EOMONTH((Tahmin!$C$4+90),0))))&lt;=(Tahmin!$C$4+90),DATE(YEAR((Tahmin!$C$4+90)),MONTH((Tahmin!$C$4+90)),MIN(DAY(Kalemler!$D148),DAY(EOMONTH((Tahmin!$C$4+90),0))))&lt;&gt;DATE(YEAR((Tahmin!$C$4+84)),MONTH((Tahmin!$C$4+84)),MIN(DAY(Kalemler!$D148),DAY(EOMONTH((Tahmin!$C$4+84),0)))),DATE(YEAR((Tahmin!$C$4+90)),MONTH((Tahmin!$C$4+90)),MIN(DAY(Kalemler!$D148),DAY(EOMONTH((Tahmin!$C$4+90),0))))&gt;=Kalemler!$D148)),1,0),IF(AND(Kalemler!$D148&gt;=(Tahmin!$C$4+84),Kalemler!$D148&lt;=(Tahmin!$C$4+90)),1,0))))</f>
        <v>0</v>
      </c>
    </row>
    <row r="149" customFormat="false" ht="15" hidden="false" customHeight="false" outlineLevel="0" collapsed="false">
      <c r="A149" s="0" t="str">
        <f aca="false">IF(Kalemler!A149="","",Kalemler!A149)</f>
        <v/>
      </c>
      <c r="B149" s="0" t="n">
        <f aca="false">IF(OR(Kalemler!$A149="",Kalemler!$C149="",Kalemler!$D149=""),0,Kalemler!$C149*IF(Kalemler!$E149="Haftalık",IF(Kalemler!$D149&lt;=(Tahmin!$C$4+6),1,0),IF(Kalemler!$E149="Aylık",IF(OR(AND(DATE(YEAR((Tahmin!$C$4+0)),MONTH((Tahmin!$C$4+0)),MIN(DAY(Kalemler!$D149),DAY(EOMONTH((Tahmin!$C$4+0),0))))&gt;=(Tahmin!$C$4+0),DATE(YEAR((Tahmin!$C$4+0)),MONTH((Tahmin!$C$4+0)),MIN(DAY(Kalemler!$D149),DAY(EOMONTH((Tahmin!$C$4+0),0))))&lt;=(Tahmin!$C$4+6),DATE(YEAR((Tahmin!$C$4+0)),MONTH((Tahmin!$C$4+0)),MIN(DAY(Kalemler!$D149),DAY(EOMONTH((Tahmin!$C$4+0),0))))&gt;=Kalemler!$D149),AND(DATE(YEAR((Tahmin!$C$4+6)),MONTH((Tahmin!$C$4+6)),MIN(DAY(Kalemler!$D149),DAY(EOMONTH((Tahmin!$C$4+6),0))))&gt;=(Tahmin!$C$4+0),DATE(YEAR((Tahmin!$C$4+6)),MONTH((Tahmin!$C$4+6)),MIN(DAY(Kalemler!$D149),DAY(EOMONTH((Tahmin!$C$4+6),0))))&lt;=(Tahmin!$C$4+6),DATE(YEAR((Tahmin!$C$4+6)),MONTH((Tahmin!$C$4+6)),MIN(DAY(Kalemler!$D149),DAY(EOMONTH((Tahmin!$C$4+6),0))))&lt;&gt;DATE(YEAR((Tahmin!$C$4+0)),MONTH((Tahmin!$C$4+0)),MIN(DAY(Kalemler!$D149),DAY(EOMONTH((Tahmin!$C$4+0),0)))),DATE(YEAR((Tahmin!$C$4+6)),MONTH((Tahmin!$C$4+6)),MIN(DAY(Kalemler!$D149),DAY(EOMONTH((Tahmin!$C$4+6),0))))&gt;=Kalemler!$D149)),1,0),IF(AND(Kalemler!$D149&gt;=(Tahmin!$C$4+0),Kalemler!$D149&lt;=(Tahmin!$C$4+6)),1,0))))</f>
        <v>0</v>
      </c>
      <c r="C149" s="0" t="n">
        <f aca="false">IF(OR(Kalemler!$A149="",Kalemler!$C149="",Kalemler!$D149=""),0,Kalemler!$C149*IF(Kalemler!$E149="Haftalık",IF(Kalemler!$D149&lt;=(Tahmin!$C$4+13),1,0),IF(Kalemler!$E149="Aylık",IF(OR(AND(DATE(YEAR((Tahmin!$C$4+7)),MONTH((Tahmin!$C$4+7)),MIN(DAY(Kalemler!$D149),DAY(EOMONTH((Tahmin!$C$4+7),0))))&gt;=(Tahmin!$C$4+7),DATE(YEAR((Tahmin!$C$4+7)),MONTH((Tahmin!$C$4+7)),MIN(DAY(Kalemler!$D149),DAY(EOMONTH((Tahmin!$C$4+7),0))))&lt;=(Tahmin!$C$4+13),DATE(YEAR((Tahmin!$C$4+7)),MONTH((Tahmin!$C$4+7)),MIN(DAY(Kalemler!$D149),DAY(EOMONTH((Tahmin!$C$4+7),0))))&gt;=Kalemler!$D149),AND(DATE(YEAR((Tahmin!$C$4+13)),MONTH((Tahmin!$C$4+13)),MIN(DAY(Kalemler!$D149),DAY(EOMONTH((Tahmin!$C$4+13),0))))&gt;=(Tahmin!$C$4+7),DATE(YEAR((Tahmin!$C$4+13)),MONTH((Tahmin!$C$4+13)),MIN(DAY(Kalemler!$D149),DAY(EOMONTH((Tahmin!$C$4+13),0))))&lt;=(Tahmin!$C$4+13),DATE(YEAR((Tahmin!$C$4+13)),MONTH((Tahmin!$C$4+13)),MIN(DAY(Kalemler!$D149),DAY(EOMONTH((Tahmin!$C$4+13),0))))&lt;&gt;DATE(YEAR((Tahmin!$C$4+7)),MONTH((Tahmin!$C$4+7)),MIN(DAY(Kalemler!$D149),DAY(EOMONTH((Tahmin!$C$4+7),0)))),DATE(YEAR((Tahmin!$C$4+13)),MONTH((Tahmin!$C$4+13)),MIN(DAY(Kalemler!$D149),DAY(EOMONTH((Tahmin!$C$4+13),0))))&gt;=Kalemler!$D149)),1,0),IF(AND(Kalemler!$D149&gt;=(Tahmin!$C$4+7),Kalemler!$D149&lt;=(Tahmin!$C$4+13)),1,0))))</f>
        <v>0</v>
      </c>
      <c r="D149" s="0" t="n">
        <f aca="false">IF(OR(Kalemler!$A149="",Kalemler!$C149="",Kalemler!$D149=""),0,Kalemler!$C149*IF(Kalemler!$E149="Haftalık",IF(Kalemler!$D149&lt;=(Tahmin!$C$4+20),1,0),IF(Kalemler!$E149="Aylık",IF(OR(AND(DATE(YEAR((Tahmin!$C$4+14)),MONTH((Tahmin!$C$4+14)),MIN(DAY(Kalemler!$D149),DAY(EOMONTH((Tahmin!$C$4+14),0))))&gt;=(Tahmin!$C$4+14),DATE(YEAR((Tahmin!$C$4+14)),MONTH((Tahmin!$C$4+14)),MIN(DAY(Kalemler!$D149),DAY(EOMONTH((Tahmin!$C$4+14),0))))&lt;=(Tahmin!$C$4+20),DATE(YEAR((Tahmin!$C$4+14)),MONTH((Tahmin!$C$4+14)),MIN(DAY(Kalemler!$D149),DAY(EOMONTH((Tahmin!$C$4+14),0))))&gt;=Kalemler!$D149),AND(DATE(YEAR((Tahmin!$C$4+20)),MONTH((Tahmin!$C$4+20)),MIN(DAY(Kalemler!$D149),DAY(EOMONTH((Tahmin!$C$4+20),0))))&gt;=(Tahmin!$C$4+14),DATE(YEAR((Tahmin!$C$4+20)),MONTH((Tahmin!$C$4+20)),MIN(DAY(Kalemler!$D149),DAY(EOMONTH((Tahmin!$C$4+20),0))))&lt;=(Tahmin!$C$4+20),DATE(YEAR((Tahmin!$C$4+20)),MONTH((Tahmin!$C$4+20)),MIN(DAY(Kalemler!$D149),DAY(EOMONTH((Tahmin!$C$4+20),0))))&lt;&gt;DATE(YEAR((Tahmin!$C$4+14)),MONTH((Tahmin!$C$4+14)),MIN(DAY(Kalemler!$D149),DAY(EOMONTH((Tahmin!$C$4+14),0)))),DATE(YEAR((Tahmin!$C$4+20)),MONTH((Tahmin!$C$4+20)),MIN(DAY(Kalemler!$D149),DAY(EOMONTH((Tahmin!$C$4+20),0))))&gt;=Kalemler!$D149)),1,0),IF(AND(Kalemler!$D149&gt;=(Tahmin!$C$4+14),Kalemler!$D149&lt;=(Tahmin!$C$4+20)),1,0))))</f>
        <v>0</v>
      </c>
      <c r="E149" s="0" t="n">
        <f aca="false">IF(OR(Kalemler!$A149="",Kalemler!$C149="",Kalemler!$D149=""),0,Kalemler!$C149*IF(Kalemler!$E149="Haftalık",IF(Kalemler!$D149&lt;=(Tahmin!$C$4+27),1,0),IF(Kalemler!$E149="Aylık",IF(OR(AND(DATE(YEAR((Tahmin!$C$4+21)),MONTH((Tahmin!$C$4+21)),MIN(DAY(Kalemler!$D149),DAY(EOMONTH((Tahmin!$C$4+21),0))))&gt;=(Tahmin!$C$4+21),DATE(YEAR((Tahmin!$C$4+21)),MONTH((Tahmin!$C$4+21)),MIN(DAY(Kalemler!$D149),DAY(EOMONTH((Tahmin!$C$4+21),0))))&lt;=(Tahmin!$C$4+27),DATE(YEAR((Tahmin!$C$4+21)),MONTH((Tahmin!$C$4+21)),MIN(DAY(Kalemler!$D149),DAY(EOMONTH((Tahmin!$C$4+21),0))))&gt;=Kalemler!$D149),AND(DATE(YEAR((Tahmin!$C$4+27)),MONTH((Tahmin!$C$4+27)),MIN(DAY(Kalemler!$D149),DAY(EOMONTH((Tahmin!$C$4+27),0))))&gt;=(Tahmin!$C$4+21),DATE(YEAR((Tahmin!$C$4+27)),MONTH((Tahmin!$C$4+27)),MIN(DAY(Kalemler!$D149),DAY(EOMONTH((Tahmin!$C$4+27),0))))&lt;=(Tahmin!$C$4+27),DATE(YEAR((Tahmin!$C$4+27)),MONTH((Tahmin!$C$4+27)),MIN(DAY(Kalemler!$D149),DAY(EOMONTH((Tahmin!$C$4+27),0))))&lt;&gt;DATE(YEAR((Tahmin!$C$4+21)),MONTH((Tahmin!$C$4+21)),MIN(DAY(Kalemler!$D149),DAY(EOMONTH((Tahmin!$C$4+21),0)))),DATE(YEAR((Tahmin!$C$4+27)),MONTH((Tahmin!$C$4+27)),MIN(DAY(Kalemler!$D149),DAY(EOMONTH((Tahmin!$C$4+27),0))))&gt;=Kalemler!$D149)),1,0),IF(AND(Kalemler!$D149&gt;=(Tahmin!$C$4+21),Kalemler!$D149&lt;=(Tahmin!$C$4+27)),1,0))))</f>
        <v>0</v>
      </c>
      <c r="F149" s="0" t="n">
        <f aca="false">IF(OR(Kalemler!$A149="",Kalemler!$C149="",Kalemler!$D149=""),0,Kalemler!$C149*IF(Kalemler!$E149="Haftalık",IF(Kalemler!$D149&lt;=(Tahmin!$C$4+34),1,0),IF(Kalemler!$E149="Aylık",IF(OR(AND(DATE(YEAR((Tahmin!$C$4+28)),MONTH((Tahmin!$C$4+28)),MIN(DAY(Kalemler!$D149),DAY(EOMONTH((Tahmin!$C$4+28),0))))&gt;=(Tahmin!$C$4+28),DATE(YEAR((Tahmin!$C$4+28)),MONTH((Tahmin!$C$4+28)),MIN(DAY(Kalemler!$D149),DAY(EOMONTH((Tahmin!$C$4+28),0))))&lt;=(Tahmin!$C$4+34),DATE(YEAR((Tahmin!$C$4+28)),MONTH((Tahmin!$C$4+28)),MIN(DAY(Kalemler!$D149),DAY(EOMONTH((Tahmin!$C$4+28),0))))&gt;=Kalemler!$D149),AND(DATE(YEAR((Tahmin!$C$4+34)),MONTH((Tahmin!$C$4+34)),MIN(DAY(Kalemler!$D149),DAY(EOMONTH((Tahmin!$C$4+34),0))))&gt;=(Tahmin!$C$4+28),DATE(YEAR((Tahmin!$C$4+34)),MONTH((Tahmin!$C$4+34)),MIN(DAY(Kalemler!$D149),DAY(EOMONTH((Tahmin!$C$4+34),0))))&lt;=(Tahmin!$C$4+34),DATE(YEAR((Tahmin!$C$4+34)),MONTH((Tahmin!$C$4+34)),MIN(DAY(Kalemler!$D149),DAY(EOMONTH((Tahmin!$C$4+34),0))))&lt;&gt;DATE(YEAR((Tahmin!$C$4+28)),MONTH((Tahmin!$C$4+28)),MIN(DAY(Kalemler!$D149),DAY(EOMONTH((Tahmin!$C$4+28),0)))),DATE(YEAR((Tahmin!$C$4+34)),MONTH((Tahmin!$C$4+34)),MIN(DAY(Kalemler!$D149),DAY(EOMONTH((Tahmin!$C$4+34),0))))&gt;=Kalemler!$D149)),1,0),IF(AND(Kalemler!$D149&gt;=(Tahmin!$C$4+28),Kalemler!$D149&lt;=(Tahmin!$C$4+34)),1,0))))</f>
        <v>0</v>
      </c>
      <c r="G149" s="0" t="n">
        <f aca="false">IF(OR(Kalemler!$A149="",Kalemler!$C149="",Kalemler!$D149=""),0,Kalemler!$C149*IF(Kalemler!$E149="Haftalık",IF(Kalemler!$D149&lt;=(Tahmin!$C$4+41),1,0),IF(Kalemler!$E149="Aylık",IF(OR(AND(DATE(YEAR((Tahmin!$C$4+35)),MONTH((Tahmin!$C$4+35)),MIN(DAY(Kalemler!$D149),DAY(EOMONTH((Tahmin!$C$4+35),0))))&gt;=(Tahmin!$C$4+35),DATE(YEAR((Tahmin!$C$4+35)),MONTH((Tahmin!$C$4+35)),MIN(DAY(Kalemler!$D149),DAY(EOMONTH((Tahmin!$C$4+35),0))))&lt;=(Tahmin!$C$4+41),DATE(YEAR((Tahmin!$C$4+35)),MONTH((Tahmin!$C$4+35)),MIN(DAY(Kalemler!$D149),DAY(EOMONTH((Tahmin!$C$4+35),0))))&gt;=Kalemler!$D149),AND(DATE(YEAR((Tahmin!$C$4+41)),MONTH((Tahmin!$C$4+41)),MIN(DAY(Kalemler!$D149),DAY(EOMONTH((Tahmin!$C$4+41),0))))&gt;=(Tahmin!$C$4+35),DATE(YEAR((Tahmin!$C$4+41)),MONTH((Tahmin!$C$4+41)),MIN(DAY(Kalemler!$D149),DAY(EOMONTH((Tahmin!$C$4+41),0))))&lt;=(Tahmin!$C$4+41),DATE(YEAR((Tahmin!$C$4+41)),MONTH((Tahmin!$C$4+41)),MIN(DAY(Kalemler!$D149),DAY(EOMONTH((Tahmin!$C$4+41),0))))&lt;&gt;DATE(YEAR((Tahmin!$C$4+35)),MONTH((Tahmin!$C$4+35)),MIN(DAY(Kalemler!$D149),DAY(EOMONTH((Tahmin!$C$4+35),0)))),DATE(YEAR((Tahmin!$C$4+41)),MONTH((Tahmin!$C$4+41)),MIN(DAY(Kalemler!$D149),DAY(EOMONTH((Tahmin!$C$4+41),0))))&gt;=Kalemler!$D149)),1,0),IF(AND(Kalemler!$D149&gt;=(Tahmin!$C$4+35),Kalemler!$D149&lt;=(Tahmin!$C$4+41)),1,0))))</f>
        <v>0</v>
      </c>
      <c r="H149" s="0" t="n">
        <f aca="false">IF(OR(Kalemler!$A149="",Kalemler!$C149="",Kalemler!$D149=""),0,Kalemler!$C149*IF(Kalemler!$E149="Haftalık",IF(Kalemler!$D149&lt;=(Tahmin!$C$4+48),1,0),IF(Kalemler!$E149="Aylık",IF(OR(AND(DATE(YEAR((Tahmin!$C$4+42)),MONTH((Tahmin!$C$4+42)),MIN(DAY(Kalemler!$D149),DAY(EOMONTH((Tahmin!$C$4+42),0))))&gt;=(Tahmin!$C$4+42),DATE(YEAR((Tahmin!$C$4+42)),MONTH((Tahmin!$C$4+42)),MIN(DAY(Kalemler!$D149),DAY(EOMONTH((Tahmin!$C$4+42),0))))&lt;=(Tahmin!$C$4+48),DATE(YEAR((Tahmin!$C$4+42)),MONTH((Tahmin!$C$4+42)),MIN(DAY(Kalemler!$D149),DAY(EOMONTH((Tahmin!$C$4+42),0))))&gt;=Kalemler!$D149),AND(DATE(YEAR((Tahmin!$C$4+48)),MONTH((Tahmin!$C$4+48)),MIN(DAY(Kalemler!$D149),DAY(EOMONTH((Tahmin!$C$4+48),0))))&gt;=(Tahmin!$C$4+42),DATE(YEAR((Tahmin!$C$4+48)),MONTH((Tahmin!$C$4+48)),MIN(DAY(Kalemler!$D149),DAY(EOMONTH((Tahmin!$C$4+48),0))))&lt;=(Tahmin!$C$4+48),DATE(YEAR((Tahmin!$C$4+48)),MONTH((Tahmin!$C$4+48)),MIN(DAY(Kalemler!$D149),DAY(EOMONTH((Tahmin!$C$4+48),0))))&lt;&gt;DATE(YEAR((Tahmin!$C$4+42)),MONTH((Tahmin!$C$4+42)),MIN(DAY(Kalemler!$D149),DAY(EOMONTH((Tahmin!$C$4+42),0)))),DATE(YEAR((Tahmin!$C$4+48)),MONTH((Tahmin!$C$4+48)),MIN(DAY(Kalemler!$D149),DAY(EOMONTH((Tahmin!$C$4+48),0))))&gt;=Kalemler!$D149)),1,0),IF(AND(Kalemler!$D149&gt;=(Tahmin!$C$4+42),Kalemler!$D149&lt;=(Tahmin!$C$4+48)),1,0))))</f>
        <v>0</v>
      </c>
      <c r="I149" s="0" t="n">
        <f aca="false">IF(OR(Kalemler!$A149="",Kalemler!$C149="",Kalemler!$D149=""),0,Kalemler!$C149*IF(Kalemler!$E149="Haftalık",IF(Kalemler!$D149&lt;=(Tahmin!$C$4+55),1,0),IF(Kalemler!$E149="Aylık",IF(OR(AND(DATE(YEAR((Tahmin!$C$4+49)),MONTH((Tahmin!$C$4+49)),MIN(DAY(Kalemler!$D149),DAY(EOMONTH((Tahmin!$C$4+49),0))))&gt;=(Tahmin!$C$4+49),DATE(YEAR((Tahmin!$C$4+49)),MONTH((Tahmin!$C$4+49)),MIN(DAY(Kalemler!$D149),DAY(EOMONTH((Tahmin!$C$4+49),0))))&lt;=(Tahmin!$C$4+55),DATE(YEAR((Tahmin!$C$4+49)),MONTH((Tahmin!$C$4+49)),MIN(DAY(Kalemler!$D149),DAY(EOMONTH((Tahmin!$C$4+49),0))))&gt;=Kalemler!$D149),AND(DATE(YEAR((Tahmin!$C$4+55)),MONTH((Tahmin!$C$4+55)),MIN(DAY(Kalemler!$D149),DAY(EOMONTH((Tahmin!$C$4+55),0))))&gt;=(Tahmin!$C$4+49),DATE(YEAR((Tahmin!$C$4+55)),MONTH((Tahmin!$C$4+55)),MIN(DAY(Kalemler!$D149),DAY(EOMONTH((Tahmin!$C$4+55),0))))&lt;=(Tahmin!$C$4+55),DATE(YEAR((Tahmin!$C$4+55)),MONTH((Tahmin!$C$4+55)),MIN(DAY(Kalemler!$D149),DAY(EOMONTH((Tahmin!$C$4+55),0))))&lt;&gt;DATE(YEAR((Tahmin!$C$4+49)),MONTH((Tahmin!$C$4+49)),MIN(DAY(Kalemler!$D149),DAY(EOMONTH((Tahmin!$C$4+49),0)))),DATE(YEAR((Tahmin!$C$4+55)),MONTH((Tahmin!$C$4+55)),MIN(DAY(Kalemler!$D149),DAY(EOMONTH((Tahmin!$C$4+55),0))))&gt;=Kalemler!$D149)),1,0),IF(AND(Kalemler!$D149&gt;=(Tahmin!$C$4+49),Kalemler!$D149&lt;=(Tahmin!$C$4+55)),1,0))))</f>
        <v>0</v>
      </c>
      <c r="J149" s="0" t="n">
        <f aca="false">IF(OR(Kalemler!$A149="",Kalemler!$C149="",Kalemler!$D149=""),0,Kalemler!$C149*IF(Kalemler!$E149="Haftalık",IF(Kalemler!$D149&lt;=(Tahmin!$C$4+62),1,0),IF(Kalemler!$E149="Aylık",IF(OR(AND(DATE(YEAR((Tahmin!$C$4+56)),MONTH((Tahmin!$C$4+56)),MIN(DAY(Kalemler!$D149),DAY(EOMONTH((Tahmin!$C$4+56),0))))&gt;=(Tahmin!$C$4+56),DATE(YEAR((Tahmin!$C$4+56)),MONTH((Tahmin!$C$4+56)),MIN(DAY(Kalemler!$D149),DAY(EOMONTH((Tahmin!$C$4+56),0))))&lt;=(Tahmin!$C$4+62),DATE(YEAR((Tahmin!$C$4+56)),MONTH((Tahmin!$C$4+56)),MIN(DAY(Kalemler!$D149),DAY(EOMONTH((Tahmin!$C$4+56),0))))&gt;=Kalemler!$D149),AND(DATE(YEAR((Tahmin!$C$4+62)),MONTH((Tahmin!$C$4+62)),MIN(DAY(Kalemler!$D149),DAY(EOMONTH((Tahmin!$C$4+62),0))))&gt;=(Tahmin!$C$4+56),DATE(YEAR((Tahmin!$C$4+62)),MONTH((Tahmin!$C$4+62)),MIN(DAY(Kalemler!$D149),DAY(EOMONTH((Tahmin!$C$4+62),0))))&lt;=(Tahmin!$C$4+62),DATE(YEAR((Tahmin!$C$4+62)),MONTH((Tahmin!$C$4+62)),MIN(DAY(Kalemler!$D149),DAY(EOMONTH((Tahmin!$C$4+62),0))))&lt;&gt;DATE(YEAR((Tahmin!$C$4+56)),MONTH((Tahmin!$C$4+56)),MIN(DAY(Kalemler!$D149),DAY(EOMONTH((Tahmin!$C$4+56),0)))),DATE(YEAR((Tahmin!$C$4+62)),MONTH((Tahmin!$C$4+62)),MIN(DAY(Kalemler!$D149),DAY(EOMONTH((Tahmin!$C$4+62),0))))&gt;=Kalemler!$D149)),1,0),IF(AND(Kalemler!$D149&gt;=(Tahmin!$C$4+56),Kalemler!$D149&lt;=(Tahmin!$C$4+62)),1,0))))</f>
        <v>0</v>
      </c>
      <c r="K149" s="0" t="n">
        <f aca="false">IF(OR(Kalemler!$A149="",Kalemler!$C149="",Kalemler!$D149=""),0,Kalemler!$C149*IF(Kalemler!$E149="Haftalık",IF(Kalemler!$D149&lt;=(Tahmin!$C$4+69),1,0),IF(Kalemler!$E149="Aylık",IF(OR(AND(DATE(YEAR((Tahmin!$C$4+63)),MONTH((Tahmin!$C$4+63)),MIN(DAY(Kalemler!$D149),DAY(EOMONTH((Tahmin!$C$4+63),0))))&gt;=(Tahmin!$C$4+63),DATE(YEAR((Tahmin!$C$4+63)),MONTH((Tahmin!$C$4+63)),MIN(DAY(Kalemler!$D149),DAY(EOMONTH((Tahmin!$C$4+63),0))))&lt;=(Tahmin!$C$4+69),DATE(YEAR((Tahmin!$C$4+63)),MONTH((Tahmin!$C$4+63)),MIN(DAY(Kalemler!$D149),DAY(EOMONTH((Tahmin!$C$4+63),0))))&gt;=Kalemler!$D149),AND(DATE(YEAR((Tahmin!$C$4+69)),MONTH((Tahmin!$C$4+69)),MIN(DAY(Kalemler!$D149),DAY(EOMONTH((Tahmin!$C$4+69),0))))&gt;=(Tahmin!$C$4+63),DATE(YEAR((Tahmin!$C$4+69)),MONTH((Tahmin!$C$4+69)),MIN(DAY(Kalemler!$D149),DAY(EOMONTH((Tahmin!$C$4+69),0))))&lt;=(Tahmin!$C$4+69),DATE(YEAR((Tahmin!$C$4+69)),MONTH((Tahmin!$C$4+69)),MIN(DAY(Kalemler!$D149),DAY(EOMONTH((Tahmin!$C$4+69),0))))&lt;&gt;DATE(YEAR((Tahmin!$C$4+63)),MONTH((Tahmin!$C$4+63)),MIN(DAY(Kalemler!$D149),DAY(EOMONTH((Tahmin!$C$4+63),0)))),DATE(YEAR((Tahmin!$C$4+69)),MONTH((Tahmin!$C$4+69)),MIN(DAY(Kalemler!$D149),DAY(EOMONTH((Tahmin!$C$4+69),0))))&gt;=Kalemler!$D149)),1,0),IF(AND(Kalemler!$D149&gt;=(Tahmin!$C$4+63),Kalemler!$D149&lt;=(Tahmin!$C$4+69)),1,0))))</f>
        <v>0</v>
      </c>
      <c r="L149" s="0" t="n">
        <f aca="false">IF(OR(Kalemler!$A149="",Kalemler!$C149="",Kalemler!$D149=""),0,Kalemler!$C149*IF(Kalemler!$E149="Haftalık",IF(Kalemler!$D149&lt;=(Tahmin!$C$4+76),1,0),IF(Kalemler!$E149="Aylık",IF(OR(AND(DATE(YEAR((Tahmin!$C$4+70)),MONTH((Tahmin!$C$4+70)),MIN(DAY(Kalemler!$D149),DAY(EOMONTH((Tahmin!$C$4+70),0))))&gt;=(Tahmin!$C$4+70),DATE(YEAR((Tahmin!$C$4+70)),MONTH((Tahmin!$C$4+70)),MIN(DAY(Kalemler!$D149),DAY(EOMONTH((Tahmin!$C$4+70),0))))&lt;=(Tahmin!$C$4+76),DATE(YEAR((Tahmin!$C$4+70)),MONTH((Tahmin!$C$4+70)),MIN(DAY(Kalemler!$D149),DAY(EOMONTH((Tahmin!$C$4+70),0))))&gt;=Kalemler!$D149),AND(DATE(YEAR((Tahmin!$C$4+76)),MONTH((Tahmin!$C$4+76)),MIN(DAY(Kalemler!$D149),DAY(EOMONTH((Tahmin!$C$4+76),0))))&gt;=(Tahmin!$C$4+70),DATE(YEAR((Tahmin!$C$4+76)),MONTH((Tahmin!$C$4+76)),MIN(DAY(Kalemler!$D149),DAY(EOMONTH((Tahmin!$C$4+76),0))))&lt;=(Tahmin!$C$4+76),DATE(YEAR((Tahmin!$C$4+76)),MONTH((Tahmin!$C$4+76)),MIN(DAY(Kalemler!$D149),DAY(EOMONTH((Tahmin!$C$4+76),0))))&lt;&gt;DATE(YEAR((Tahmin!$C$4+70)),MONTH((Tahmin!$C$4+70)),MIN(DAY(Kalemler!$D149),DAY(EOMONTH((Tahmin!$C$4+70),0)))),DATE(YEAR((Tahmin!$C$4+76)),MONTH((Tahmin!$C$4+76)),MIN(DAY(Kalemler!$D149),DAY(EOMONTH((Tahmin!$C$4+76),0))))&gt;=Kalemler!$D149)),1,0),IF(AND(Kalemler!$D149&gt;=(Tahmin!$C$4+70),Kalemler!$D149&lt;=(Tahmin!$C$4+76)),1,0))))</f>
        <v>0</v>
      </c>
      <c r="M149" s="0" t="n">
        <f aca="false">IF(OR(Kalemler!$A149="",Kalemler!$C149="",Kalemler!$D149=""),0,Kalemler!$C149*IF(Kalemler!$E149="Haftalık",IF(Kalemler!$D149&lt;=(Tahmin!$C$4+83),1,0),IF(Kalemler!$E149="Aylık",IF(OR(AND(DATE(YEAR((Tahmin!$C$4+77)),MONTH((Tahmin!$C$4+77)),MIN(DAY(Kalemler!$D149),DAY(EOMONTH((Tahmin!$C$4+77),0))))&gt;=(Tahmin!$C$4+77),DATE(YEAR((Tahmin!$C$4+77)),MONTH((Tahmin!$C$4+77)),MIN(DAY(Kalemler!$D149),DAY(EOMONTH((Tahmin!$C$4+77),0))))&lt;=(Tahmin!$C$4+83),DATE(YEAR((Tahmin!$C$4+77)),MONTH((Tahmin!$C$4+77)),MIN(DAY(Kalemler!$D149),DAY(EOMONTH((Tahmin!$C$4+77),0))))&gt;=Kalemler!$D149),AND(DATE(YEAR((Tahmin!$C$4+83)),MONTH((Tahmin!$C$4+83)),MIN(DAY(Kalemler!$D149),DAY(EOMONTH((Tahmin!$C$4+83),0))))&gt;=(Tahmin!$C$4+77),DATE(YEAR((Tahmin!$C$4+83)),MONTH((Tahmin!$C$4+83)),MIN(DAY(Kalemler!$D149),DAY(EOMONTH((Tahmin!$C$4+83),0))))&lt;=(Tahmin!$C$4+83),DATE(YEAR((Tahmin!$C$4+83)),MONTH((Tahmin!$C$4+83)),MIN(DAY(Kalemler!$D149),DAY(EOMONTH((Tahmin!$C$4+83),0))))&lt;&gt;DATE(YEAR((Tahmin!$C$4+77)),MONTH((Tahmin!$C$4+77)),MIN(DAY(Kalemler!$D149),DAY(EOMONTH((Tahmin!$C$4+77),0)))),DATE(YEAR((Tahmin!$C$4+83)),MONTH((Tahmin!$C$4+83)),MIN(DAY(Kalemler!$D149),DAY(EOMONTH((Tahmin!$C$4+83),0))))&gt;=Kalemler!$D149)),1,0),IF(AND(Kalemler!$D149&gt;=(Tahmin!$C$4+77),Kalemler!$D149&lt;=(Tahmin!$C$4+83)),1,0))))</f>
        <v>0</v>
      </c>
      <c r="N149" s="0" t="n">
        <f aca="false">IF(OR(Kalemler!$A149="",Kalemler!$C149="",Kalemler!$D149=""),0,Kalemler!$C149*IF(Kalemler!$E149="Haftalık",IF(Kalemler!$D149&lt;=(Tahmin!$C$4+90),1,0),IF(Kalemler!$E149="Aylık",IF(OR(AND(DATE(YEAR((Tahmin!$C$4+84)),MONTH((Tahmin!$C$4+84)),MIN(DAY(Kalemler!$D149),DAY(EOMONTH((Tahmin!$C$4+84),0))))&gt;=(Tahmin!$C$4+84),DATE(YEAR((Tahmin!$C$4+84)),MONTH((Tahmin!$C$4+84)),MIN(DAY(Kalemler!$D149),DAY(EOMONTH((Tahmin!$C$4+84),0))))&lt;=(Tahmin!$C$4+90),DATE(YEAR((Tahmin!$C$4+84)),MONTH((Tahmin!$C$4+84)),MIN(DAY(Kalemler!$D149),DAY(EOMONTH((Tahmin!$C$4+84),0))))&gt;=Kalemler!$D149),AND(DATE(YEAR((Tahmin!$C$4+90)),MONTH((Tahmin!$C$4+90)),MIN(DAY(Kalemler!$D149),DAY(EOMONTH((Tahmin!$C$4+90),0))))&gt;=(Tahmin!$C$4+84),DATE(YEAR((Tahmin!$C$4+90)),MONTH((Tahmin!$C$4+90)),MIN(DAY(Kalemler!$D149),DAY(EOMONTH((Tahmin!$C$4+90),0))))&lt;=(Tahmin!$C$4+90),DATE(YEAR((Tahmin!$C$4+90)),MONTH((Tahmin!$C$4+90)),MIN(DAY(Kalemler!$D149),DAY(EOMONTH((Tahmin!$C$4+90),0))))&lt;&gt;DATE(YEAR((Tahmin!$C$4+84)),MONTH((Tahmin!$C$4+84)),MIN(DAY(Kalemler!$D149),DAY(EOMONTH((Tahmin!$C$4+84),0)))),DATE(YEAR((Tahmin!$C$4+90)),MONTH((Tahmin!$C$4+90)),MIN(DAY(Kalemler!$D149),DAY(EOMONTH((Tahmin!$C$4+90),0))))&gt;=Kalemler!$D149)),1,0),IF(AND(Kalemler!$D149&gt;=(Tahmin!$C$4+84),Kalemler!$D149&lt;=(Tahmin!$C$4+90)),1,0))))</f>
        <v>0</v>
      </c>
    </row>
    <row r="150" customFormat="false" ht="15" hidden="false" customHeight="false" outlineLevel="0" collapsed="false">
      <c r="A150" s="0" t="str">
        <f aca="false">IF(Kalemler!A150="","",Kalemler!A150)</f>
        <v/>
      </c>
      <c r="B150" s="0" t="n">
        <f aca="false">IF(OR(Kalemler!$A150="",Kalemler!$C150="",Kalemler!$D150=""),0,Kalemler!$C150*IF(Kalemler!$E150="Haftalık",IF(Kalemler!$D150&lt;=(Tahmin!$C$4+6),1,0),IF(Kalemler!$E150="Aylık",IF(OR(AND(DATE(YEAR((Tahmin!$C$4+0)),MONTH((Tahmin!$C$4+0)),MIN(DAY(Kalemler!$D150),DAY(EOMONTH((Tahmin!$C$4+0),0))))&gt;=(Tahmin!$C$4+0),DATE(YEAR((Tahmin!$C$4+0)),MONTH((Tahmin!$C$4+0)),MIN(DAY(Kalemler!$D150),DAY(EOMONTH((Tahmin!$C$4+0),0))))&lt;=(Tahmin!$C$4+6),DATE(YEAR((Tahmin!$C$4+0)),MONTH((Tahmin!$C$4+0)),MIN(DAY(Kalemler!$D150),DAY(EOMONTH((Tahmin!$C$4+0),0))))&gt;=Kalemler!$D150),AND(DATE(YEAR((Tahmin!$C$4+6)),MONTH((Tahmin!$C$4+6)),MIN(DAY(Kalemler!$D150),DAY(EOMONTH((Tahmin!$C$4+6),0))))&gt;=(Tahmin!$C$4+0),DATE(YEAR((Tahmin!$C$4+6)),MONTH((Tahmin!$C$4+6)),MIN(DAY(Kalemler!$D150),DAY(EOMONTH((Tahmin!$C$4+6),0))))&lt;=(Tahmin!$C$4+6),DATE(YEAR((Tahmin!$C$4+6)),MONTH((Tahmin!$C$4+6)),MIN(DAY(Kalemler!$D150),DAY(EOMONTH((Tahmin!$C$4+6),0))))&lt;&gt;DATE(YEAR((Tahmin!$C$4+0)),MONTH((Tahmin!$C$4+0)),MIN(DAY(Kalemler!$D150),DAY(EOMONTH((Tahmin!$C$4+0),0)))),DATE(YEAR((Tahmin!$C$4+6)),MONTH((Tahmin!$C$4+6)),MIN(DAY(Kalemler!$D150),DAY(EOMONTH((Tahmin!$C$4+6),0))))&gt;=Kalemler!$D150)),1,0),IF(AND(Kalemler!$D150&gt;=(Tahmin!$C$4+0),Kalemler!$D150&lt;=(Tahmin!$C$4+6)),1,0))))</f>
        <v>0</v>
      </c>
      <c r="C150" s="0" t="n">
        <f aca="false">IF(OR(Kalemler!$A150="",Kalemler!$C150="",Kalemler!$D150=""),0,Kalemler!$C150*IF(Kalemler!$E150="Haftalık",IF(Kalemler!$D150&lt;=(Tahmin!$C$4+13),1,0),IF(Kalemler!$E150="Aylık",IF(OR(AND(DATE(YEAR((Tahmin!$C$4+7)),MONTH((Tahmin!$C$4+7)),MIN(DAY(Kalemler!$D150),DAY(EOMONTH((Tahmin!$C$4+7),0))))&gt;=(Tahmin!$C$4+7),DATE(YEAR((Tahmin!$C$4+7)),MONTH((Tahmin!$C$4+7)),MIN(DAY(Kalemler!$D150),DAY(EOMONTH((Tahmin!$C$4+7),0))))&lt;=(Tahmin!$C$4+13),DATE(YEAR((Tahmin!$C$4+7)),MONTH((Tahmin!$C$4+7)),MIN(DAY(Kalemler!$D150),DAY(EOMONTH((Tahmin!$C$4+7),0))))&gt;=Kalemler!$D150),AND(DATE(YEAR((Tahmin!$C$4+13)),MONTH((Tahmin!$C$4+13)),MIN(DAY(Kalemler!$D150),DAY(EOMONTH((Tahmin!$C$4+13),0))))&gt;=(Tahmin!$C$4+7),DATE(YEAR((Tahmin!$C$4+13)),MONTH((Tahmin!$C$4+13)),MIN(DAY(Kalemler!$D150),DAY(EOMONTH((Tahmin!$C$4+13),0))))&lt;=(Tahmin!$C$4+13),DATE(YEAR((Tahmin!$C$4+13)),MONTH((Tahmin!$C$4+13)),MIN(DAY(Kalemler!$D150),DAY(EOMONTH((Tahmin!$C$4+13),0))))&lt;&gt;DATE(YEAR((Tahmin!$C$4+7)),MONTH((Tahmin!$C$4+7)),MIN(DAY(Kalemler!$D150),DAY(EOMONTH((Tahmin!$C$4+7),0)))),DATE(YEAR((Tahmin!$C$4+13)),MONTH((Tahmin!$C$4+13)),MIN(DAY(Kalemler!$D150),DAY(EOMONTH((Tahmin!$C$4+13),0))))&gt;=Kalemler!$D150)),1,0),IF(AND(Kalemler!$D150&gt;=(Tahmin!$C$4+7),Kalemler!$D150&lt;=(Tahmin!$C$4+13)),1,0))))</f>
        <v>0</v>
      </c>
      <c r="D150" s="0" t="n">
        <f aca="false">IF(OR(Kalemler!$A150="",Kalemler!$C150="",Kalemler!$D150=""),0,Kalemler!$C150*IF(Kalemler!$E150="Haftalık",IF(Kalemler!$D150&lt;=(Tahmin!$C$4+20),1,0),IF(Kalemler!$E150="Aylık",IF(OR(AND(DATE(YEAR((Tahmin!$C$4+14)),MONTH((Tahmin!$C$4+14)),MIN(DAY(Kalemler!$D150),DAY(EOMONTH((Tahmin!$C$4+14),0))))&gt;=(Tahmin!$C$4+14),DATE(YEAR((Tahmin!$C$4+14)),MONTH((Tahmin!$C$4+14)),MIN(DAY(Kalemler!$D150),DAY(EOMONTH((Tahmin!$C$4+14),0))))&lt;=(Tahmin!$C$4+20),DATE(YEAR((Tahmin!$C$4+14)),MONTH((Tahmin!$C$4+14)),MIN(DAY(Kalemler!$D150),DAY(EOMONTH((Tahmin!$C$4+14),0))))&gt;=Kalemler!$D150),AND(DATE(YEAR((Tahmin!$C$4+20)),MONTH((Tahmin!$C$4+20)),MIN(DAY(Kalemler!$D150),DAY(EOMONTH((Tahmin!$C$4+20),0))))&gt;=(Tahmin!$C$4+14),DATE(YEAR((Tahmin!$C$4+20)),MONTH((Tahmin!$C$4+20)),MIN(DAY(Kalemler!$D150),DAY(EOMONTH((Tahmin!$C$4+20),0))))&lt;=(Tahmin!$C$4+20),DATE(YEAR((Tahmin!$C$4+20)),MONTH((Tahmin!$C$4+20)),MIN(DAY(Kalemler!$D150),DAY(EOMONTH((Tahmin!$C$4+20),0))))&lt;&gt;DATE(YEAR((Tahmin!$C$4+14)),MONTH((Tahmin!$C$4+14)),MIN(DAY(Kalemler!$D150),DAY(EOMONTH((Tahmin!$C$4+14),0)))),DATE(YEAR((Tahmin!$C$4+20)),MONTH((Tahmin!$C$4+20)),MIN(DAY(Kalemler!$D150),DAY(EOMONTH((Tahmin!$C$4+20),0))))&gt;=Kalemler!$D150)),1,0),IF(AND(Kalemler!$D150&gt;=(Tahmin!$C$4+14),Kalemler!$D150&lt;=(Tahmin!$C$4+20)),1,0))))</f>
        <v>0</v>
      </c>
      <c r="E150" s="0" t="n">
        <f aca="false">IF(OR(Kalemler!$A150="",Kalemler!$C150="",Kalemler!$D150=""),0,Kalemler!$C150*IF(Kalemler!$E150="Haftalık",IF(Kalemler!$D150&lt;=(Tahmin!$C$4+27),1,0),IF(Kalemler!$E150="Aylık",IF(OR(AND(DATE(YEAR((Tahmin!$C$4+21)),MONTH((Tahmin!$C$4+21)),MIN(DAY(Kalemler!$D150),DAY(EOMONTH((Tahmin!$C$4+21),0))))&gt;=(Tahmin!$C$4+21),DATE(YEAR((Tahmin!$C$4+21)),MONTH((Tahmin!$C$4+21)),MIN(DAY(Kalemler!$D150),DAY(EOMONTH((Tahmin!$C$4+21),0))))&lt;=(Tahmin!$C$4+27),DATE(YEAR((Tahmin!$C$4+21)),MONTH((Tahmin!$C$4+21)),MIN(DAY(Kalemler!$D150),DAY(EOMONTH((Tahmin!$C$4+21),0))))&gt;=Kalemler!$D150),AND(DATE(YEAR((Tahmin!$C$4+27)),MONTH((Tahmin!$C$4+27)),MIN(DAY(Kalemler!$D150),DAY(EOMONTH((Tahmin!$C$4+27),0))))&gt;=(Tahmin!$C$4+21),DATE(YEAR((Tahmin!$C$4+27)),MONTH((Tahmin!$C$4+27)),MIN(DAY(Kalemler!$D150),DAY(EOMONTH((Tahmin!$C$4+27),0))))&lt;=(Tahmin!$C$4+27),DATE(YEAR((Tahmin!$C$4+27)),MONTH((Tahmin!$C$4+27)),MIN(DAY(Kalemler!$D150),DAY(EOMONTH((Tahmin!$C$4+27),0))))&lt;&gt;DATE(YEAR((Tahmin!$C$4+21)),MONTH((Tahmin!$C$4+21)),MIN(DAY(Kalemler!$D150),DAY(EOMONTH((Tahmin!$C$4+21),0)))),DATE(YEAR((Tahmin!$C$4+27)),MONTH((Tahmin!$C$4+27)),MIN(DAY(Kalemler!$D150),DAY(EOMONTH((Tahmin!$C$4+27),0))))&gt;=Kalemler!$D150)),1,0),IF(AND(Kalemler!$D150&gt;=(Tahmin!$C$4+21),Kalemler!$D150&lt;=(Tahmin!$C$4+27)),1,0))))</f>
        <v>0</v>
      </c>
      <c r="F150" s="0" t="n">
        <f aca="false">IF(OR(Kalemler!$A150="",Kalemler!$C150="",Kalemler!$D150=""),0,Kalemler!$C150*IF(Kalemler!$E150="Haftalık",IF(Kalemler!$D150&lt;=(Tahmin!$C$4+34),1,0),IF(Kalemler!$E150="Aylık",IF(OR(AND(DATE(YEAR((Tahmin!$C$4+28)),MONTH((Tahmin!$C$4+28)),MIN(DAY(Kalemler!$D150),DAY(EOMONTH((Tahmin!$C$4+28),0))))&gt;=(Tahmin!$C$4+28),DATE(YEAR((Tahmin!$C$4+28)),MONTH((Tahmin!$C$4+28)),MIN(DAY(Kalemler!$D150),DAY(EOMONTH((Tahmin!$C$4+28),0))))&lt;=(Tahmin!$C$4+34),DATE(YEAR((Tahmin!$C$4+28)),MONTH((Tahmin!$C$4+28)),MIN(DAY(Kalemler!$D150),DAY(EOMONTH((Tahmin!$C$4+28),0))))&gt;=Kalemler!$D150),AND(DATE(YEAR((Tahmin!$C$4+34)),MONTH((Tahmin!$C$4+34)),MIN(DAY(Kalemler!$D150),DAY(EOMONTH((Tahmin!$C$4+34),0))))&gt;=(Tahmin!$C$4+28),DATE(YEAR((Tahmin!$C$4+34)),MONTH((Tahmin!$C$4+34)),MIN(DAY(Kalemler!$D150),DAY(EOMONTH((Tahmin!$C$4+34),0))))&lt;=(Tahmin!$C$4+34),DATE(YEAR((Tahmin!$C$4+34)),MONTH((Tahmin!$C$4+34)),MIN(DAY(Kalemler!$D150),DAY(EOMONTH((Tahmin!$C$4+34),0))))&lt;&gt;DATE(YEAR((Tahmin!$C$4+28)),MONTH((Tahmin!$C$4+28)),MIN(DAY(Kalemler!$D150),DAY(EOMONTH((Tahmin!$C$4+28),0)))),DATE(YEAR((Tahmin!$C$4+34)),MONTH((Tahmin!$C$4+34)),MIN(DAY(Kalemler!$D150),DAY(EOMONTH((Tahmin!$C$4+34),0))))&gt;=Kalemler!$D150)),1,0),IF(AND(Kalemler!$D150&gt;=(Tahmin!$C$4+28),Kalemler!$D150&lt;=(Tahmin!$C$4+34)),1,0))))</f>
        <v>0</v>
      </c>
      <c r="G150" s="0" t="n">
        <f aca="false">IF(OR(Kalemler!$A150="",Kalemler!$C150="",Kalemler!$D150=""),0,Kalemler!$C150*IF(Kalemler!$E150="Haftalık",IF(Kalemler!$D150&lt;=(Tahmin!$C$4+41),1,0),IF(Kalemler!$E150="Aylık",IF(OR(AND(DATE(YEAR((Tahmin!$C$4+35)),MONTH((Tahmin!$C$4+35)),MIN(DAY(Kalemler!$D150),DAY(EOMONTH((Tahmin!$C$4+35),0))))&gt;=(Tahmin!$C$4+35),DATE(YEAR((Tahmin!$C$4+35)),MONTH((Tahmin!$C$4+35)),MIN(DAY(Kalemler!$D150),DAY(EOMONTH((Tahmin!$C$4+35),0))))&lt;=(Tahmin!$C$4+41),DATE(YEAR((Tahmin!$C$4+35)),MONTH((Tahmin!$C$4+35)),MIN(DAY(Kalemler!$D150),DAY(EOMONTH((Tahmin!$C$4+35),0))))&gt;=Kalemler!$D150),AND(DATE(YEAR((Tahmin!$C$4+41)),MONTH((Tahmin!$C$4+41)),MIN(DAY(Kalemler!$D150),DAY(EOMONTH((Tahmin!$C$4+41),0))))&gt;=(Tahmin!$C$4+35),DATE(YEAR((Tahmin!$C$4+41)),MONTH((Tahmin!$C$4+41)),MIN(DAY(Kalemler!$D150),DAY(EOMONTH((Tahmin!$C$4+41),0))))&lt;=(Tahmin!$C$4+41),DATE(YEAR((Tahmin!$C$4+41)),MONTH((Tahmin!$C$4+41)),MIN(DAY(Kalemler!$D150),DAY(EOMONTH((Tahmin!$C$4+41),0))))&lt;&gt;DATE(YEAR((Tahmin!$C$4+35)),MONTH((Tahmin!$C$4+35)),MIN(DAY(Kalemler!$D150),DAY(EOMONTH((Tahmin!$C$4+35),0)))),DATE(YEAR((Tahmin!$C$4+41)),MONTH((Tahmin!$C$4+41)),MIN(DAY(Kalemler!$D150),DAY(EOMONTH((Tahmin!$C$4+41),0))))&gt;=Kalemler!$D150)),1,0),IF(AND(Kalemler!$D150&gt;=(Tahmin!$C$4+35),Kalemler!$D150&lt;=(Tahmin!$C$4+41)),1,0))))</f>
        <v>0</v>
      </c>
      <c r="H150" s="0" t="n">
        <f aca="false">IF(OR(Kalemler!$A150="",Kalemler!$C150="",Kalemler!$D150=""),0,Kalemler!$C150*IF(Kalemler!$E150="Haftalık",IF(Kalemler!$D150&lt;=(Tahmin!$C$4+48),1,0),IF(Kalemler!$E150="Aylık",IF(OR(AND(DATE(YEAR((Tahmin!$C$4+42)),MONTH((Tahmin!$C$4+42)),MIN(DAY(Kalemler!$D150),DAY(EOMONTH((Tahmin!$C$4+42),0))))&gt;=(Tahmin!$C$4+42),DATE(YEAR((Tahmin!$C$4+42)),MONTH((Tahmin!$C$4+42)),MIN(DAY(Kalemler!$D150),DAY(EOMONTH((Tahmin!$C$4+42),0))))&lt;=(Tahmin!$C$4+48),DATE(YEAR((Tahmin!$C$4+42)),MONTH((Tahmin!$C$4+42)),MIN(DAY(Kalemler!$D150),DAY(EOMONTH((Tahmin!$C$4+42),0))))&gt;=Kalemler!$D150),AND(DATE(YEAR((Tahmin!$C$4+48)),MONTH((Tahmin!$C$4+48)),MIN(DAY(Kalemler!$D150),DAY(EOMONTH((Tahmin!$C$4+48),0))))&gt;=(Tahmin!$C$4+42),DATE(YEAR((Tahmin!$C$4+48)),MONTH((Tahmin!$C$4+48)),MIN(DAY(Kalemler!$D150),DAY(EOMONTH((Tahmin!$C$4+48),0))))&lt;=(Tahmin!$C$4+48),DATE(YEAR((Tahmin!$C$4+48)),MONTH((Tahmin!$C$4+48)),MIN(DAY(Kalemler!$D150),DAY(EOMONTH((Tahmin!$C$4+48),0))))&lt;&gt;DATE(YEAR((Tahmin!$C$4+42)),MONTH((Tahmin!$C$4+42)),MIN(DAY(Kalemler!$D150),DAY(EOMONTH((Tahmin!$C$4+42),0)))),DATE(YEAR((Tahmin!$C$4+48)),MONTH((Tahmin!$C$4+48)),MIN(DAY(Kalemler!$D150),DAY(EOMONTH((Tahmin!$C$4+48),0))))&gt;=Kalemler!$D150)),1,0),IF(AND(Kalemler!$D150&gt;=(Tahmin!$C$4+42),Kalemler!$D150&lt;=(Tahmin!$C$4+48)),1,0))))</f>
        <v>0</v>
      </c>
      <c r="I150" s="0" t="n">
        <f aca="false">IF(OR(Kalemler!$A150="",Kalemler!$C150="",Kalemler!$D150=""),0,Kalemler!$C150*IF(Kalemler!$E150="Haftalık",IF(Kalemler!$D150&lt;=(Tahmin!$C$4+55),1,0),IF(Kalemler!$E150="Aylık",IF(OR(AND(DATE(YEAR((Tahmin!$C$4+49)),MONTH((Tahmin!$C$4+49)),MIN(DAY(Kalemler!$D150),DAY(EOMONTH((Tahmin!$C$4+49),0))))&gt;=(Tahmin!$C$4+49),DATE(YEAR((Tahmin!$C$4+49)),MONTH((Tahmin!$C$4+49)),MIN(DAY(Kalemler!$D150),DAY(EOMONTH((Tahmin!$C$4+49),0))))&lt;=(Tahmin!$C$4+55),DATE(YEAR((Tahmin!$C$4+49)),MONTH((Tahmin!$C$4+49)),MIN(DAY(Kalemler!$D150),DAY(EOMONTH((Tahmin!$C$4+49),0))))&gt;=Kalemler!$D150),AND(DATE(YEAR((Tahmin!$C$4+55)),MONTH((Tahmin!$C$4+55)),MIN(DAY(Kalemler!$D150),DAY(EOMONTH((Tahmin!$C$4+55),0))))&gt;=(Tahmin!$C$4+49),DATE(YEAR((Tahmin!$C$4+55)),MONTH((Tahmin!$C$4+55)),MIN(DAY(Kalemler!$D150),DAY(EOMONTH((Tahmin!$C$4+55),0))))&lt;=(Tahmin!$C$4+55),DATE(YEAR((Tahmin!$C$4+55)),MONTH((Tahmin!$C$4+55)),MIN(DAY(Kalemler!$D150),DAY(EOMONTH((Tahmin!$C$4+55),0))))&lt;&gt;DATE(YEAR((Tahmin!$C$4+49)),MONTH((Tahmin!$C$4+49)),MIN(DAY(Kalemler!$D150),DAY(EOMONTH((Tahmin!$C$4+49),0)))),DATE(YEAR((Tahmin!$C$4+55)),MONTH((Tahmin!$C$4+55)),MIN(DAY(Kalemler!$D150),DAY(EOMONTH((Tahmin!$C$4+55),0))))&gt;=Kalemler!$D150)),1,0),IF(AND(Kalemler!$D150&gt;=(Tahmin!$C$4+49),Kalemler!$D150&lt;=(Tahmin!$C$4+55)),1,0))))</f>
        <v>0</v>
      </c>
      <c r="J150" s="0" t="n">
        <f aca="false">IF(OR(Kalemler!$A150="",Kalemler!$C150="",Kalemler!$D150=""),0,Kalemler!$C150*IF(Kalemler!$E150="Haftalık",IF(Kalemler!$D150&lt;=(Tahmin!$C$4+62),1,0),IF(Kalemler!$E150="Aylık",IF(OR(AND(DATE(YEAR((Tahmin!$C$4+56)),MONTH((Tahmin!$C$4+56)),MIN(DAY(Kalemler!$D150),DAY(EOMONTH((Tahmin!$C$4+56),0))))&gt;=(Tahmin!$C$4+56),DATE(YEAR((Tahmin!$C$4+56)),MONTH((Tahmin!$C$4+56)),MIN(DAY(Kalemler!$D150),DAY(EOMONTH((Tahmin!$C$4+56),0))))&lt;=(Tahmin!$C$4+62),DATE(YEAR((Tahmin!$C$4+56)),MONTH((Tahmin!$C$4+56)),MIN(DAY(Kalemler!$D150),DAY(EOMONTH((Tahmin!$C$4+56),0))))&gt;=Kalemler!$D150),AND(DATE(YEAR((Tahmin!$C$4+62)),MONTH((Tahmin!$C$4+62)),MIN(DAY(Kalemler!$D150),DAY(EOMONTH((Tahmin!$C$4+62),0))))&gt;=(Tahmin!$C$4+56),DATE(YEAR((Tahmin!$C$4+62)),MONTH((Tahmin!$C$4+62)),MIN(DAY(Kalemler!$D150),DAY(EOMONTH((Tahmin!$C$4+62),0))))&lt;=(Tahmin!$C$4+62),DATE(YEAR((Tahmin!$C$4+62)),MONTH((Tahmin!$C$4+62)),MIN(DAY(Kalemler!$D150),DAY(EOMONTH((Tahmin!$C$4+62),0))))&lt;&gt;DATE(YEAR((Tahmin!$C$4+56)),MONTH((Tahmin!$C$4+56)),MIN(DAY(Kalemler!$D150),DAY(EOMONTH((Tahmin!$C$4+56),0)))),DATE(YEAR((Tahmin!$C$4+62)),MONTH((Tahmin!$C$4+62)),MIN(DAY(Kalemler!$D150),DAY(EOMONTH((Tahmin!$C$4+62),0))))&gt;=Kalemler!$D150)),1,0),IF(AND(Kalemler!$D150&gt;=(Tahmin!$C$4+56),Kalemler!$D150&lt;=(Tahmin!$C$4+62)),1,0))))</f>
        <v>0</v>
      </c>
      <c r="K150" s="0" t="n">
        <f aca="false">IF(OR(Kalemler!$A150="",Kalemler!$C150="",Kalemler!$D150=""),0,Kalemler!$C150*IF(Kalemler!$E150="Haftalık",IF(Kalemler!$D150&lt;=(Tahmin!$C$4+69),1,0),IF(Kalemler!$E150="Aylık",IF(OR(AND(DATE(YEAR((Tahmin!$C$4+63)),MONTH((Tahmin!$C$4+63)),MIN(DAY(Kalemler!$D150),DAY(EOMONTH((Tahmin!$C$4+63),0))))&gt;=(Tahmin!$C$4+63),DATE(YEAR((Tahmin!$C$4+63)),MONTH((Tahmin!$C$4+63)),MIN(DAY(Kalemler!$D150),DAY(EOMONTH((Tahmin!$C$4+63),0))))&lt;=(Tahmin!$C$4+69),DATE(YEAR((Tahmin!$C$4+63)),MONTH((Tahmin!$C$4+63)),MIN(DAY(Kalemler!$D150),DAY(EOMONTH((Tahmin!$C$4+63),0))))&gt;=Kalemler!$D150),AND(DATE(YEAR((Tahmin!$C$4+69)),MONTH((Tahmin!$C$4+69)),MIN(DAY(Kalemler!$D150),DAY(EOMONTH((Tahmin!$C$4+69),0))))&gt;=(Tahmin!$C$4+63),DATE(YEAR((Tahmin!$C$4+69)),MONTH((Tahmin!$C$4+69)),MIN(DAY(Kalemler!$D150),DAY(EOMONTH((Tahmin!$C$4+69),0))))&lt;=(Tahmin!$C$4+69),DATE(YEAR((Tahmin!$C$4+69)),MONTH((Tahmin!$C$4+69)),MIN(DAY(Kalemler!$D150),DAY(EOMONTH((Tahmin!$C$4+69),0))))&lt;&gt;DATE(YEAR((Tahmin!$C$4+63)),MONTH((Tahmin!$C$4+63)),MIN(DAY(Kalemler!$D150),DAY(EOMONTH((Tahmin!$C$4+63),0)))),DATE(YEAR((Tahmin!$C$4+69)),MONTH((Tahmin!$C$4+69)),MIN(DAY(Kalemler!$D150),DAY(EOMONTH((Tahmin!$C$4+69),0))))&gt;=Kalemler!$D150)),1,0),IF(AND(Kalemler!$D150&gt;=(Tahmin!$C$4+63),Kalemler!$D150&lt;=(Tahmin!$C$4+69)),1,0))))</f>
        <v>0</v>
      </c>
      <c r="L150" s="0" t="n">
        <f aca="false">IF(OR(Kalemler!$A150="",Kalemler!$C150="",Kalemler!$D150=""),0,Kalemler!$C150*IF(Kalemler!$E150="Haftalık",IF(Kalemler!$D150&lt;=(Tahmin!$C$4+76),1,0),IF(Kalemler!$E150="Aylık",IF(OR(AND(DATE(YEAR((Tahmin!$C$4+70)),MONTH((Tahmin!$C$4+70)),MIN(DAY(Kalemler!$D150),DAY(EOMONTH((Tahmin!$C$4+70),0))))&gt;=(Tahmin!$C$4+70),DATE(YEAR((Tahmin!$C$4+70)),MONTH((Tahmin!$C$4+70)),MIN(DAY(Kalemler!$D150),DAY(EOMONTH((Tahmin!$C$4+70),0))))&lt;=(Tahmin!$C$4+76),DATE(YEAR((Tahmin!$C$4+70)),MONTH((Tahmin!$C$4+70)),MIN(DAY(Kalemler!$D150),DAY(EOMONTH((Tahmin!$C$4+70),0))))&gt;=Kalemler!$D150),AND(DATE(YEAR((Tahmin!$C$4+76)),MONTH((Tahmin!$C$4+76)),MIN(DAY(Kalemler!$D150),DAY(EOMONTH((Tahmin!$C$4+76),0))))&gt;=(Tahmin!$C$4+70),DATE(YEAR((Tahmin!$C$4+76)),MONTH((Tahmin!$C$4+76)),MIN(DAY(Kalemler!$D150),DAY(EOMONTH((Tahmin!$C$4+76),0))))&lt;=(Tahmin!$C$4+76),DATE(YEAR((Tahmin!$C$4+76)),MONTH((Tahmin!$C$4+76)),MIN(DAY(Kalemler!$D150),DAY(EOMONTH((Tahmin!$C$4+76),0))))&lt;&gt;DATE(YEAR((Tahmin!$C$4+70)),MONTH((Tahmin!$C$4+70)),MIN(DAY(Kalemler!$D150),DAY(EOMONTH((Tahmin!$C$4+70),0)))),DATE(YEAR((Tahmin!$C$4+76)),MONTH((Tahmin!$C$4+76)),MIN(DAY(Kalemler!$D150),DAY(EOMONTH((Tahmin!$C$4+76),0))))&gt;=Kalemler!$D150)),1,0),IF(AND(Kalemler!$D150&gt;=(Tahmin!$C$4+70),Kalemler!$D150&lt;=(Tahmin!$C$4+76)),1,0))))</f>
        <v>0</v>
      </c>
      <c r="M150" s="0" t="n">
        <f aca="false">IF(OR(Kalemler!$A150="",Kalemler!$C150="",Kalemler!$D150=""),0,Kalemler!$C150*IF(Kalemler!$E150="Haftalık",IF(Kalemler!$D150&lt;=(Tahmin!$C$4+83),1,0),IF(Kalemler!$E150="Aylık",IF(OR(AND(DATE(YEAR((Tahmin!$C$4+77)),MONTH((Tahmin!$C$4+77)),MIN(DAY(Kalemler!$D150),DAY(EOMONTH((Tahmin!$C$4+77),0))))&gt;=(Tahmin!$C$4+77),DATE(YEAR((Tahmin!$C$4+77)),MONTH((Tahmin!$C$4+77)),MIN(DAY(Kalemler!$D150),DAY(EOMONTH((Tahmin!$C$4+77),0))))&lt;=(Tahmin!$C$4+83),DATE(YEAR((Tahmin!$C$4+77)),MONTH((Tahmin!$C$4+77)),MIN(DAY(Kalemler!$D150),DAY(EOMONTH((Tahmin!$C$4+77),0))))&gt;=Kalemler!$D150),AND(DATE(YEAR((Tahmin!$C$4+83)),MONTH((Tahmin!$C$4+83)),MIN(DAY(Kalemler!$D150),DAY(EOMONTH((Tahmin!$C$4+83),0))))&gt;=(Tahmin!$C$4+77),DATE(YEAR((Tahmin!$C$4+83)),MONTH((Tahmin!$C$4+83)),MIN(DAY(Kalemler!$D150),DAY(EOMONTH((Tahmin!$C$4+83),0))))&lt;=(Tahmin!$C$4+83),DATE(YEAR((Tahmin!$C$4+83)),MONTH((Tahmin!$C$4+83)),MIN(DAY(Kalemler!$D150),DAY(EOMONTH((Tahmin!$C$4+83),0))))&lt;&gt;DATE(YEAR((Tahmin!$C$4+77)),MONTH((Tahmin!$C$4+77)),MIN(DAY(Kalemler!$D150),DAY(EOMONTH((Tahmin!$C$4+77),0)))),DATE(YEAR((Tahmin!$C$4+83)),MONTH((Tahmin!$C$4+83)),MIN(DAY(Kalemler!$D150),DAY(EOMONTH((Tahmin!$C$4+83),0))))&gt;=Kalemler!$D150)),1,0),IF(AND(Kalemler!$D150&gt;=(Tahmin!$C$4+77),Kalemler!$D150&lt;=(Tahmin!$C$4+83)),1,0))))</f>
        <v>0</v>
      </c>
      <c r="N150" s="0" t="n">
        <f aca="false">IF(OR(Kalemler!$A150="",Kalemler!$C150="",Kalemler!$D150=""),0,Kalemler!$C150*IF(Kalemler!$E150="Haftalık",IF(Kalemler!$D150&lt;=(Tahmin!$C$4+90),1,0),IF(Kalemler!$E150="Aylık",IF(OR(AND(DATE(YEAR((Tahmin!$C$4+84)),MONTH((Tahmin!$C$4+84)),MIN(DAY(Kalemler!$D150),DAY(EOMONTH((Tahmin!$C$4+84),0))))&gt;=(Tahmin!$C$4+84),DATE(YEAR((Tahmin!$C$4+84)),MONTH((Tahmin!$C$4+84)),MIN(DAY(Kalemler!$D150),DAY(EOMONTH((Tahmin!$C$4+84),0))))&lt;=(Tahmin!$C$4+90),DATE(YEAR((Tahmin!$C$4+84)),MONTH((Tahmin!$C$4+84)),MIN(DAY(Kalemler!$D150),DAY(EOMONTH((Tahmin!$C$4+84),0))))&gt;=Kalemler!$D150),AND(DATE(YEAR((Tahmin!$C$4+90)),MONTH((Tahmin!$C$4+90)),MIN(DAY(Kalemler!$D150),DAY(EOMONTH((Tahmin!$C$4+90),0))))&gt;=(Tahmin!$C$4+84),DATE(YEAR((Tahmin!$C$4+90)),MONTH((Tahmin!$C$4+90)),MIN(DAY(Kalemler!$D150),DAY(EOMONTH((Tahmin!$C$4+90),0))))&lt;=(Tahmin!$C$4+90),DATE(YEAR((Tahmin!$C$4+90)),MONTH((Tahmin!$C$4+90)),MIN(DAY(Kalemler!$D150),DAY(EOMONTH((Tahmin!$C$4+90),0))))&lt;&gt;DATE(YEAR((Tahmin!$C$4+84)),MONTH((Tahmin!$C$4+84)),MIN(DAY(Kalemler!$D150),DAY(EOMONTH((Tahmin!$C$4+84),0)))),DATE(YEAR((Tahmin!$C$4+90)),MONTH((Tahmin!$C$4+90)),MIN(DAY(Kalemler!$D150),DAY(EOMONTH((Tahmin!$C$4+90),0))))&gt;=Kalemler!$D150)),1,0),IF(AND(Kalemler!$D150&gt;=(Tahmin!$C$4+84),Kalemler!$D150&lt;=(Tahmin!$C$4+90)),1,0))))</f>
        <v>0</v>
      </c>
    </row>
    <row r="151" customFormat="false" ht="15" hidden="false" customHeight="false" outlineLevel="0" collapsed="false">
      <c r="A151" s="0" t="str">
        <f aca="false">IF(Kalemler!A151="","",Kalemler!A151)</f>
        <v/>
      </c>
      <c r="B151" s="0" t="n">
        <f aca="false">IF(OR(Kalemler!$A151="",Kalemler!$C151="",Kalemler!$D151=""),0,Kalemler!$C151*IF(Kalemler!$E151="Haftalık",IF(Kalemler!$D151&lt;=(Tahmin!$C$4+6),1,0),IF(Kalemler!$E151="Aylık",IF(OR(AND(DATE(YEAR((Tahmin!$C$4+0)),MONTH((Tahmin!$C$4+0)),MIN(DAY(Kalemler!$D151),DAY(EOMONTH((Tahmin!$C$4+0),0))))&gt;=(Tahmin!$C$4+0),DATE(YEAR((Tahmin!$C$4+0)),MONTH((Tahmin!$C$4+0)),MIN(DAY(Kalemler!$D151),DAY(EOMONTH((Tahmin!$C$4+0),0))))&lt;=(Tahmin!$C$4+6),DATE(YEAR((Tahmin!$C$4+0)),MONTH((Tahmin!$C$4+0)),MIN(DAY(Kalemler!$D151),DAY(EOMONTH((Tahmin!$C$4+0),0))))&gt;=Kalemler!$D151),AND(DATE(YEAR((Tahmin!$C$4+6)),MONTH((Tahmin!$C$4+6)),MIN(DAY(Kalemler!$D151),DAY(EOMONTH((Tahmin!$C$4+6),0))))&gt;=(Tahmin!$C$4+0),DATE(YEAR((Tahmin!$C$4+6)),MONTH((Tahmin!$C$4+6)),MIN(DAY(Kalemler!$D151),DAY(EOMONTH((Tahmin!$C$4+6),0))))&lt;=(Tahmin!$C$4+6),DATE(YEAR((Tahmin!$C$4+6)),MONTH((Tahmin!$C$4+6)),MIN(DAY(Kalemler!$D151),DAY(EOMONTH((Tahmin!$C$4+6),0))))&lt;&gt;DATE(YEAR((Tahmin!$C$4+0)),MONTH((Tahmin!$C$4+0)),MIN(DAY(Kalemler!$D151),DAY(EOMONTH((Tahmin!$C$4+0),0)))),DATE(YEAR((Tahmin!$C$4+6)),MONTH((Tahmin!$C$4+6)),MIN(DAY(Kalemler!$D151),DAY(EOMONTH((Tahmin!$C$4+6),0))))&gt;=Kalemler!$D151)),1,0),IF(AND(Kalemler!$D151&gt;=(Tahmin!$C$4+0),Kalemler!$D151&lt;=(Tahmin!$C$4+6)),1,0))))</f>
        <v>0</v>
      </c>
      <c r="C151" s="0" t="n">
        <f aca="false">IF(OR(Kalemler!$A151="",Kalemler!$C151="",Kalemler!$D151=""),0,Kalemler!$C151*IF(Kalemler!$E151="Haftalık",IF(Kalemler!$D151&lt;=(Tahmin!$C$4+13),1,0),IF(Kalemler!$E151="Aylık",IF(OR(AND(DATE(YEAR((Tahmin!$C$4+7)),MONTH((Tahmin!$C$4+7)),MIN(DAY(Kalemler!$D151),DAY(EOMONTH((Tahmin!$C$4+7),0))))&gt;=(Tahmin!$C$4+7),DATE(YEAR((Tahmin!$C$4+7)),MONTH((Tahmin!$C$4+7)),MIN(DAY(Kalemler!$D151),DAY(EOMONTH((Tahmin!$C$4+7),0))))&lt;=(Tahmin!$C$4+13),DATE(YEAR((Tahmin!$C$4+7)),MONTH((Tahmin!$C$4+7)),MIN(DAY(Kalemler!$D151),DAY(EOMONTH((Tahmin!$C$4+7),0))))&gt;=Kalemler!$D151),AND(DATE(YEAR((Tahmin!$C$4+13)),MONTH((Tahmin!$C$4+13)),MIN(DAY(Kalemler!$D151),DAY(EOMONTH((Tahmin!$C$4+13),0))))&gt;=(Tahmin!$C$4+7),DATE(YEAR((Tahmin!$C$4+13)),MONTH((Tahmin!$C$4+13)),MIN(DAY(Kalemler!$D151),DAY(EOMONTH((Tahmin!$C$4+13),0))))&lt;=(Tahmin!$C$4+13),DATE(YEAR((Tahmin!$C$4+13)),MONTH((Tahmin!$C$4+13)),MIN(DAY(Kalemler!$D151),DAY(EOMONTH((Tahmin!$C$4+13),0))))&lt;&gt;DATE(YEAR((Tahmin!$C$4+7)),MONTH((Tahmin!$C$4+7)),MIN(DAY(Kalemler!$D151),DAY(EOMONTH((Tahmin!$C$4+7),0)))),DATE(YEAR((Tahmin!$C$4+13)),MONTH((Tahmin!$C$4+13)),MIN(DAY(Kalemler!$D151),DAY(EOMONTH((Tahmin!$C$4+13),0))))&gt;=Kalemler!$D151)),1,0),IF(AND(Kalemler!$D151&gt;=(Tahmin!$C$4+7),Kalemler!$D151&lt;=(Tahmin!$C$4+13)),1,0))))</f>
        <v>0</v>
      </c>
      <c r="D151" s="0" t="n">
        <f aca="false">IF(OR(Kalemler!$A151="",Kalemler!$C151="",Kalemler!$D151=""),0,Kalemler!$C151*IF(Kalemler!$E151="Haftalık",IF(Kalemler!$D151&lt;=(Tahmin!$C$4+20),1,0),IF(Kalemler!$E151="Aylık",IF(OR(AND(DATE(YEAR((Tahmin!$C$4+14)),MONTH((Tahmin!$C$4+14)),MIN(DAY(Kalemler!$D151),DAY(EOMONTH((Tahmin!$C$4+14),0))))&gt;=(Tahmin!$C$4+14),DATE(YEAR((Tahmin!$C$4+14)),MONTH((Tahmin!$C$4+14)),MIN(DAY(Kalemler!$D151),DAY(EOMONTH((Tahmin!$C$4+14),0))))&lt;=(Tahmin!$C$4+20),DATE(YEAR((Tahmin!$C$4+14)),MONTH((Tahmin!$C$4+14)),MIN(DAY(Kalemler!$D151),DAY(EOMONTH((Tahmin!$C$4+14),0))))&gt;=Kalemler!$D151),AND(DATE(YEAR((Tahmin!$C$4+20)),MONTH((Tahmin!$C$4+20)),MIN(DAY(Kalemler!$D151),DAY(EOMONTH((Tahmin!$C$4+20),0))))&gt;=(Tahmin!$C$4+14),DATE(YEAR((Tahmin!$C$4+20)),MONTH((Tahmin!$C$4+20)),MIN(DAY(Kalemler!$D151),DAY(EOMONTH((Tahmin!$C$4+20),0))))&lt;=(Tahmin!$C$4+20),DATE(YEAR((Tahmin!$C$4+20)),MONTH((Tahmin!$C$4+20)),MIN(DAY(Kalemler!$D151),DAY(EOMONTH((Tahmin!$C$4+20),0))))&lt;&gt;DATE(YEAR((Tahmin!$C$4+14)),MONTH((Tahmin!$C$4+14)),MIN(DAY(Kalemler!$D151),DAY(EOMONTH((Tahmin!$C$4+14),0)))),DATE(YEAR((Tahmin!$C$4+20)),MONTH((Tahmin!$C$4+20)),MIN(DAY(Kalemler!$D151),DAY(EOMONTH((Tahmin!$C$4+20),0))))&gt;=Kalemler!$D151)),1,0),IF(AND(Kalemler!$D151&gt;=(Tahmin!$C$4+14),Kalemler!$D151&lt;=(Tahmin!$C$4+20)),1,0))))</f>
        <v>0</v>
      </c>
      <c r="E151" s="0" t="n">
        <f aca="false">IF(OR(Kalemler!$A151="",Kalemler!$C151="",Kalemler!$D151=""),0,Kalemler!$C151*IF(Kalemler!$E151="Haftalık",IF(Kalemler!$D151&lt;=(Tahmin!$C$4+27),1,0),IF(Kalemler!$E151="Aylık",IF(OR(AND(DATE(YEAR((Tahmin!$C$4+21)),MONTH((Tahmin!$C$4+21)),MIN(DAY(Kalemler!$D151),DAY(EOMONTH((Tahmin!$C$4+21),0))))&gt;=(Tahmin!$C$4+21),DATE(YEAR((Tahmin!$C$4+21)),MONTH((Tahmin!$C$4+21)),MIN(DAY(Kalemler!$D151),DAY(EOMONTH((Tahmin!$C$4+21),0))))&lt;=(Tahmin!$C$4+27),DATE(YEAR((Tahmin!$C$4+21)),MONTH((Tahmin!$C$4+21)),MIN(DAY(Kalemler!$D151),DAY(EOMONTH((Tahmin!$C$4+21),0))))&gt;=Kalemler!$D151),AND(DATE(YEAR((Tahmin!$C$4+27)),MONTH((Tahmin!$C$4+27)),MIN(DAY(Kalemler!$D151),DAY(EOMONTH((Tahmin!$C$4+27),0))))&gt;=(Tahmin!$C$4+21),DATE(YEAR((Tahmin!$C$4+27)),MONTH((Tahmin!$C$4+27)),MIN(DAY(Kalemler!$D151),DAY(EOMONTH((Tahmin!$C$4+27),0))))&lt;=(Tahmin!$C$4+27),DATE(YEAR((Tahmin!$C$4+27)),MONTH((Tahmin!$C$4+27)),MIN(DAY(Kalemler!$D151),DAY(EOMONTH((Tahmin!$C$4+27),0))))&lt;&gt;DATE(YEAR((Tahmin!$C$4+21)),MONTH((Tahmin!$C$4+21)),MIN(DAY(Kalemler!$D151),DAY(EOMONTH((Tahmin!$C$4+21),0)))),DATE(YEAR((Tahmin!$C$4+27)),MONTH((Tahmin!$C$4+27)),MIN(DAY(Kalemler!$D151),DAY(EOMONTH((Tahmin!$C$4+27),0))))&gt;=Kalemler!$D151)),1,0),IF(AND(Kalemler!$D151&gt;=(Tahmin!$C$4+21),Kalemler!$D151&lt;=(Tahmin!$C$4+27)),1,0))))</f>
        <v>0</v>
      </c>
      <c r="F151" s="0" t="n">
        <f aca="false">IF(OR(Kalemler!$A151="",Kalemler!$C151="",Kalemler!$D151=""),0,Kalemler!$C151*IF(Kalemler!$E151="Haftalık",IF(Kalemler!$D151&lt;=(Tahmin!$C$4+34),1,0),IF(Kalemler!$E151="Aylık",IF(OR(AND(DATE(YEAR((Tahmin!$C$4+28)),MONTH((Tahmin!$C$4+28)),MIN(DAY(Kalemler!$D151),DAY(EOMONTH((Tahmin!$C$4+28),0))))&gt;=(Tahmin!$C$4+28),DATE(YEAR((Tahmin!$C$4+28)),MONTH((Tahmin!$C$4+28)),MIN(DAY(Kalemler!$D151),DAY(EOMONTH((Tahmin!$C$4+28),0))))&lt;=(Tahmin!$C$4+34),DATE(YEAR((Tahmin!$C$4+28)),MONTH((Tahmin!$C$4+28)),MIN(DAY(Kalemler!$D151),DAY(EOMONTH((Tahmin!$C$4+28),0))))&gt;=Kalemler!$D151),AND(DATE(YEAR((Tahmin!$C$4+34)),MONTH((Tahmin!$C$4+34)),MIN(DAY(Kalemler!$D151),DAY(EOMONTH((Tahmin!$C$4+34),0))))&gt;=(Tahmin!$C$4+28),DATE(YEAR((Tahmin!$C$4+34)),MONTH((Tahmin!$C$4+34)),MIN(DAY(Kalemler!$D151),DAY(EOMONTH((Tahmin!$C$4+34),0))))&lt;=(Tahmin!$C$4+34),DATE(YEAR((Tahmin!$C$4+34)),MONTH((Tahmin!$C$4+34)),MIN(DAY(Kalemler!$D151),DAY(EOMONTH((Tahmin!$C$4+34),0))))&lt;&gt;DATE(YEAR((Tahmin!$C$4+28)),MONTH((Tahmin!$C$4+28)),MIN(DAY(Kalemler!$D151),DAY(EOMONTH((Tahmin!$C$4+28),0)))),DATE(YEAR((Tahmin!$C$4+34)),MONTH((Tahmin!$C$4+34)),MIN(DAY(Kalemler!$D151),DAY(EOMONTH((Tahmin!$C$4+34),0))))&gt;=Kalemler!$D151)),1,0),IF(AND(Kalemler!$D151&gt;=(Tahmin!$C$4+28),Kalemler!$D151&lt;=(Tahmin!$C$4+34)),1,0))))</f>
        <v>0</v>
      </c>
      <c r="G151" s="0" t="n">
        <f aca="false">IF(OR(Kalemler!$A151="",Kalemler!$C151="",Kalemler!$D151=""),0,Kalemler!$C151*IF(Kalemler!$E151="Haftalık",IF(Kalemler!$D151&lt;=(Tahmin!$C$4+41),1,0),IF(Kalemler!$E151="Aylık",IF(OR(AND(DATE(YEAR((Tahmin!$C$4+35)),MONTH((Tahmin!$C$4+35)),MIN(DAY(Kalemler!$D151),DAY(EOMONTH((Tahmin!$C$4+35),0))))&gt;=(Tahmin!$C$4+35),DATE(YEAR((Tahmin!$C$4+35)),MONTH((Tahmin!$C$4+35)),MIN(DAY(Kalemler!$D151),DAY(EOMONTH((Tahmin!$C$4+35),0))))&lt;=(Tahmin!$C$4+41),DATE(YEAR((Tahmin!$C$4+35)),MONTH((Tahmin!$C$4+35)),MIN(DAY(Kalemler!$D151),DAY(EOMONTH((Tahmin!$C$4+35),0))))&gt;=Kalemler!$D151),AND(DATE(YEAR((Tahmin!$C$4+41)),MONTH((Tahmin!$C$4+41)),MIN(DAY(Kalemler!$D151),DAY(EOMONTH((Tahmin!$C$4+41),0))))&gt;=(Tahmin!$C$4+35),DATE(YEAR((Tahmin!$C$4+41)),MONTH((Tahmin!$C$4+41)),MIN(DAY(Kalemler!$D151),DAY(EOMONTH((Tahmin!$C$4+41),0))))&lt;=(Tahmin!$C$4+41),DATE(YEAR((Tahmin!$C$4+41)),MONTH((Tahmin!$C$4+41)),MIN(DAY(Kalemler!$D151),DAY(EOMONTH((Tahmin!$C$4+41),0))))&lt;&gt;DATE(YEAR((Tahmin!$C$4+35)),MONTH((Tahmin!$C$4+35)),MIN(DAY(Kalemler!$D151),DAY(EOMONTH((Tahmin!$C$4+35),0)))),DATE(YEAR((Tahmin!$C$4+41)),MONTH((Tahmin!$C$4+41)),MIN(DAY(Kalemler!$D151),DAY(EOMONTH((Tahmin!$C$4+41),0))))&gt;=Kalemler!$D151)),1,0),IF(AND(Kalemler!$D151&gt;=(Tahmin!$C$4+35),Kalemler!$D151&lt;=(Tahmin!$C$4+41)),1,0))))</f>
        <v>0</v>
      </c>
      <c r="H151" s="0" t="n">
        <f aca="false">IF(OR(Kalemler!$A151="",Kalemler!$C151="",Kalemler!$D151=""),0,Kalemler!$C151*IF(Kalemler!$E151="Haftalık",IF(Kalemler!$D151&lt;=(Tahmin!$C$4+48),1,0),IF(Kalemler!$E151="Aylık",IF(OR(AND(DATE(YEAR((Tahmin!$C$4+42)),MONTH((Tahmin!$C$4+42)),MIN(DAY(Kalemler!$D151),DAY(EOMONTH((Tahmin!$C$4+42),0))))&gt;=(Tahmin!$C$4+42),DATE(YEAR((Tahmin!$C$4+42)),MONTH((Tahmin!$C$4+42)),MIN(DAY(Kalemler!$D151),DAY(EOMONTH((Tahmin!$C$4+42),0))))&lt;=(Tahmin!$C$4+48),DATE(YEAR((Tahmin!$C$4+42)),MONTH((Tahmin!$C$4+42)),MIN(DAY(Kalemler!$D151),DAY(EOMONTH((Tahmin!$C$4+42),0))))&gt;=Kalemler!$D151),AND(DATE(YEAR((Tahmin!$C$4+48)),MONTH((Tahmin!$C$4+48)),MIN(DAY(Kalemler!$D151),DAY(EOMONTH((Tahmin!$C$4+48),0))))&gt;=(Tahmin!$C$4+42),DATE(YEAR((Tahmin!$C$4+48)),MONTH((Tahmin!$C$4+48)),MIN(DAY(Kalemler!$D151),DAY(EOMONTH((Tahmin!$C$4+48),0))))&lt;=(Tahmin!$C$4+48),DATE(YEAR((Tahmin!$C$4+48)),MONTH((Tahmin!$C$4+48)),MIN(DAY(Kalemler!$D151),DAY(EOMONTH((Tahmin!$C$4+48),0))))&lt;&gt;DATE(YEAR((Tahmin!$C$4+42)),MONTH((Tahmin!$C$4+42)),MIN(DAY(Kalemler!$D151),DAY(EOMONTH((Tahmin!$C$4+42),0)))),DATE(YEAR((Tahmin!$C$4+48)),MONTH((Tahmin!$C$4+48)),MIN(DAY(Kalemler!$D151),DAY(EOMONTH((Tahmin!$C$4+48),0))))&gt;=Kalemler!$D151)),1,0),IF(AND(Kalemler!$D151&gt;=(Tahmin!$C$4+42),Kalemler!$D151&lt;=(Tahmin!$C$4+48)),1,0))))</f>
        <v>0</v>
      </c>
      <c r="I151" s="0" t="n">
        <f aca="false">IF(OR(Kalemler!$A151="",Kalemler!$C151="",Kalemler!$D151=""),0,Kalemler!$C151*IF(Kalemler!$E151="Haftalık",IF(Kalemler!$D151&lt;=(Tahmin!$C$4+55),1,0),IF(Kalemler!$E151="Aylık",IF(OR(AND(DATE(YEAR((Tahmin!$C$4+49)),MONTH((Tahmin!$C$4+49)),MIN(DAY(Kalemler!$D151),DAY(EOMONTH((Tahmin!$C$4+49),0))))&gt;=(Tahmin!$C$4+49),DATE(YEAR((Tahmin!$C$4+49)),MONTH((Tahmin!$C$4+49)),MIN(DAY(Kalemler!$D151),DAY(EOMONTH((Tahmin!$C$4+49),0))))&lt;=(Tahmin!$C$4+55),DATE(YEAR((Tahmin!$C$4+49)),MONTH((Tahmin!$C$4+49)),MIN(DAY(Kalemler!$D151),DAY(EOMONTH((Tahmin!$C$4+49),0))))&gt;=Kalemler!$D151),AND(DATE(YEAR((Tahmin!$C$4+55)),MONTH((Tahmin!$C$4+55)),MIN(DAY(Kalemler!$D151),DAY(EOMONTH((Tahmin!$C$4+55),0))))&gt;=(Tahmin!$C$4+49),DATE(YEAR((Tahmin!$C$4+55)),MONTH((Tahmin!$C$4+55)),MIN(DAY(Kalemler!$D151),DAY(EOMONTH((Tahmin!$C$4+55),0))))&lt;=(Tahmin!$C$4+55),DATE(YEAR((Tahmin!$C$4+55)),MONTH((Tahmin!$C$4+55)),MIN(DAY(Kalemler!$D151),DAY(EOMONTH((Tahmin!$C$4+55),0))))&lt;&gt;DATE(YEAR((Tahmin!$C$4+49)),MONTH((Tahmin!$C$4+49)),MIN(DAY(Kalemler!$D151),DAY(EOMONTH((Tahmin!$C$4+49),0)))),DATE(YEAR((Tahmin!$C$4+55)),MONTH((Tahmin!$C$4+55)),MIN(DAY(Kalemler!$D151),DAY(EOMONTH((Tahmin!$C$4+55),0))))&gt;=Kalemler!$D151)),1,0),IF(AND(Kalemler!$D151&gt;=(Tahmin!$C$4+49),Kalemler!$D151&lt;=(Tahmin!$C$4+55)),1,0))))</f>
        <v>0</v>
      </c>
      <c r="J151" s="0" t="n">
        <f aca="false">IF(OR(Kalemler!$A151="",Kalemler!$C151="",Kalemler!$D151=""),0,Kalemler!$C151*IF(Kalemler!$E151="Haftalık",IF(Kalemler!$D151&lt;=(Tahmin!$C$4+62),1,0),IF(Kalemler!$E151="Aylık",IF(OR(AND(DATE(YEAR((Tahmin!$C$4+56)),MONTH((Tahmin!$C$4+56)),MIN(DAY(Kalemler!$D151),DAY(EOMONTH((Tahmin!$C$4+56),0))))&gt;=(Tahmin!$C$4+56),DATE(YEAR((Tahmin!$C$4+56)),MONTH((Tahmin!$C$4+56)),MIN(DAY(Kalemler!$D151),DAY(EOMONTH((Tahmin!$C$4+56),0))))&lt;=(Tahmin!$C$4+62),DATE(YEAR((Tahmin!$C$4+56)),MONTH((Tahmin!$C$4+56)),MIN(DAY(Kalemler!$D151),DAY(EOMONTH((Tahmin!$C$4+56),0))))&gt;=Kalemler!$D151),AND(DATE(YEAR((Tahmin!$C$4+62)),MONTH((Tahmin!$C$4+62)),MIN(DAY(Kalemler!$D151),DAY(EOMONTH((Tahmin!$C$4+62),0))))&gt;=(Tahmin!$C$4+56),DATE(YEAR((Tahmin!$C$4+62)),MONTH((Tahmin!$C$4+62)),MIN(DAY(Kalemler!$D151),DAY(EOMONTH((Tahmin!$C$4+62),0))))&lt;=(Tahmin!$C$4+62),DATE(YEAR((Tahmin!$C$4+62)),MONTH((Tahmin!$C$4+62)),MIN(DAY(Kalemler!$D151),DAY(EOMONTH((Tahmin!$C$4+62),0))))&lt;&gt;DATE(YEAR((Tahmin!$C$4+56)),MONTH((Tahmin!$C$4+56)),MIN(DAY(Kalemler!$D151),DAY(EOMONTH((Tahmin!$C$4+56),0)))),DATE(YEAR((Tahmin!$C$4+62)),MONTH((Tahmin!$C$4+62)),MIN(DAY(Kalemler!$D151),DAY(EOMONTH((Tahmin!$C$4+62),0))))&gt;=Kalemler!$D151)),1,0),IF(AND(Kalemler!$D151&gt;=(Tahmin!$C$4+56),Kalemler!$D151&lt;=(Tahmin!$C$4+62)),1,0))))</f>
        <v>0</v>
      </c>
      <c r="K151" s="0" t="n">
        <f aca="false">IF(OR(Kalemler!$A151="",Kalemler!$C151="",Kalemler!$D151=""),0,Kalemler!$C151*IF(Kalemler!$E151="Haftalık",IF(Kalemler!$D151&lt;=(Tahmin!$C$4+69),1,0),IF(Kalemler!$E151="Aylık",IF(OR(AND(DATE(YEAR((Tahmin!$C$4+63)),MONTH((Tahmin!$C$4+63)),MIN(DAY(Kalemler!$D151),DAY(EOMONTH((Tahmin!$C$4+63),0))))&gt;=(Tahmin!$C$4+63),DATE(YEAR((Tahmin!$C$4+63)),MONTH((Tahmin!$C$4+63)),MIN(DAY(Kalemler!$D151),DAY(EOMONTH((Tahmin!$C$4+63),0))))&lt;=(Tahmin!$C$4+69),DATE(YEAR((Tahmin!$C$4+63)),MONTH((Tahmin!$C$4+63)),MIN(DAY(Kalemler!$D151),DAY(EOMONTH((Tahmin!$C$4+63),0))))&gt;=Kalemler!$D151),AND(DATE(YEAR((Tahmin!$C$4+69)),MONTH((Tahmin!$C$4+69)),MIN(DAY(Kalemler!$D151),DAY(EOMONTH((Tahmin!$C$4+69),0))))&gt;=(Tahmin!$C$4+63),DATE(YEAR((Tahmin!$C$4+69)),MONTH((Tahmin!$C$4+69)),MIN(DAY(Kalemler!$D151),DAY(EOMONTH((Tahmin!$C$4+69),0))))&lt;=(Tahmin!$C$4+69),DATE(YEAR((Tahmin!$C$4+69)),MONTH((Tahmin!$C$4+69)),MIN(DAY(Kalemler!$D151),DAY(EOMONTH((Tahmin!$C$4+69),0))))&lt;&gt;DATE(YEAR((Tahmin!$C$4+63)),MONTH((Tahmin!$C$4+63)),MIN(DAY(Kalemler!$D151),DAY(EOMONTH((Tahmin!$C$4+63),0)))),DATE(YEAR((Tahmin!$C$4+69)),MONTH((Tahmin!$C$4+69)),MIN(DAY(Kalemler!$D151),DAY(EOMONTH((Tahmin!$C$4+69),0))))&gt;=Kalemler!$D151)),1,0),IF(AND(Kalemler!$D151&gt;=(Tahmin!$C$4+63),Kalemler!$D151&lt;=(Tahmin!$C$4+69)),1,0))))</f>
        <v>0</v>
      </c>
      <c r="L151" s="0" t="n">
        <f aca="false">IF(OR(Kalemler!$A151="",Kalemler!$C151="",Kalemler!$D151=""),0,Kalemler!$C151*IF(Kalemler!$E151="Haftalık",IF(Kalemler!$D151&lt;=(Tahmin!$C$4+76),1,0),IF(Kalemler!$E151="Aylık",IF(OR(AND(DATE(YEAR((Tahmin!$C$4+70)),MONTH((Tahmin!$C$4+70)),MIN(DAY(Kalemler!$D151),DAY(EOMONTH((Tahmin!$C$4+70),0))))&gt;=(Tahmin!$C$4+70),DATE(YEAR((Tahmin!$C$4+70)),MONTH((Tahmin!$C$4+70)),MIN(DAY(Kalemler!$D151),DAY(EOMONTH((Tahmin!$C$4+70),0))))&lt;=(Tahmin!$C$4+76),DATE(YEAR((Tahmin!$C$4+70)),MONTH((Tahmin!$C$4+70)),MIN(DAY(Kalemler!$D151),DAY(EOMONTH((Tahmin!$C$4+70),0))))&gt;=Kalemler!$D151),AND(DATE(YEAR((Tahmin!$C$4+76)),MONTH((Tahmin!$C$4+76)),MIN(DAY(Kalemler!$D151),DAY(EOMONTH((Tahmin!$C$4+76),0))))&gt;=(Tahmin!$C$4+70),DATE(YEAR((Tahmin!$C$4+76)),MONTH((Tahmin!$C$4+76)),MIN(DAY(Kalemler!$D151),DAY(EOMONTH((Tahmin!$C$4+76),0))))&lt;=(Tahmin!$C$4+76),DATE(YEAR((Tahmin!$C$4+76)),MONTH((Tahmin!$C$4+76)),MIN(DAY(Kalemler!$D151),DAY(EOMONTH((Tahmin!$C$4+76),0))))&lt;&gt;DATE(YEAR((Tahmin!$C$4+70)),MONTH((Tahmin!$C$4+70)),MIN(DAY(Kalemler!$D151),DAY(EOMONTH((Tahmin!$C$4+70),0)))),DATE(YEAR((Tahmin!$C$4+76)),MONTH((Tahmin!$C$4+76)),MIN(DAY(Kalemler!$D151),DAY(EOMONTH((Tahmin!$C$4+76),0))))&gt;=Kalemler!$D151)),1,0),IF(AND(Kalemler!$D151&gt;=(Tahmin!$C$4+70),Kalemler!$D151&lt;=(Tahmin!$C$4+76)),1,0))))</f>
        <v>0</v>
      </c>
      <c r="M151" s="0" t="n">
        <f aca="false">IF(OR(Kalemler!$A151="",Kalemler!$C151="",Kalemler!$D151=""),0,Kalemler!$C151*IF(Kalemler!$E151="Haftalık",IF(Kalemler!$D151&lt;=(Tahmin!$C$4+83),1,0),IF(Kalemler!$E151="Aylık",IF(OR(AND(DATE(YEAR((Tahmin!$C$4+77)),MONTH((Tahmin!$C$4+77)),MIN(DAY(Kalemler!$D151),DAY(EOMONTH((Tahmin!$C$4+77),0))))&gt;=(Tahmin!$C$4+77),DATE(YEAR((Tahmin!$C$4+77)),MONTH((Tahmin!$C$4+77)),MIN(DAY(Kalemler!$D151),DAY(EOMONTH((Tahmin!$C$4+77),0))))&lt;=(Tahmin!$C$4+83),DATE(YEAR((Tahmin!$C$4+77)),MONTH((Tahmin!$C$4+77)),MIN(DAY(Kalemler!$D151),DAY(EOMONTH((Tahmin!$C$4+77),0))))&gt;=Kalemler!$D151),AND(DATE(YEAR((Tahmin!$C$4+83)),MONTH((Tahmin!$C$4+83)),MIN(DAY(Kalemler!$D151),DAY(EOMONTH((Tahmin!$C$4+83),0))))&gt;=(Tahmin!$C$4+77),DATE(YEAR((Tahmin!$C$4+83)),MONTH((Tahmin!$C$4+83)),MIN(DAY(Kalemler!$D151),DAY(EOMONTH((Tahmin!$C$4+83),0))))&lt;=(Tahmin!$C$4+83),DATE(YEAR((Tahmin!$C$4+83)),MONTH((Tahmin!$C$4+83)),MIN(DAY(Kalemler!$D151),DAY(EOMONTH((Tahmin!$C$4+83),0))))&lt;&gt;DATE(YEAR((Tahmin!$C$4+77)),MONTH((Tahmin!$C$4+77)),MIN(DAY(Kalemler!$D151),DAY(EOMONTH((Tahmin!$C$4+77),0)))),DATE(YEAR((Tahmin!$C$4+83)),MONTH((Tahmin!$C$4+83)),MIN(DAY(Kalemler!$D151),DAY(EOMONTH((Tahmin!$C$4+83),0))))&gt;=Kalemler!$D151)),1,0),IF(AND(Kalemler!$D151&gt;=(Tahmin!$C$4+77),Kalemler!$D151&lt;=(Tahmin!$C$4+83)),1,0))))</f>
        <v>0</v>
      </c>
      <c r="N151" s="0" t="n">
        <f aca="false">IF(OR(Kalemler!$A151="",Kalemler!$C151="",Kalemler!$D151=""),0,Kalemler!$C151*IF(Kalemler!$E151="Haftalık",IF(Kalemler!$D151&lt;=(Tahmin!$C$4+90),1,0),IF(Kalemler!$E151="Aylık",IF(OR(AND(DATE(YEAR((Tahmin!$C$4+84)),MONTH((Tahmin!$C$4+84)),MIN(DAY(Kalemler!$D151),DAY(EOMONTH((Tahmin!$C$4+84),0))))&gt;=(Tahmin!$C$4+84),DATE(YEAR((Tahmin!$C$4+84)),MONTH((Tahmin!$C$4+84)),MIN(DAY(Kalemler!$D151),DAY(EOMONTH((Tahmin!$C$4+84),0))))&lt;=(Tahmin!$C$4+90),DATE(YEAR((Tahmin!$C$4+84)),MONTH((Tahmin!$C$4+84)),MIN(DAY(Kalemler!$D151),DAY(EOMONTH((Tahmin!$C$4+84),0))))&gt;=Kalemler!$D151),AND(DATE(YEAR((Tahmin!$C$4+90)),MONTH((Tahmin!$C$4+90)),MIN(DAY(Kalemler!$D151),DAY(EOMONTH((Tahmin!$C$4+90),0))))&gt;=(Tahmin!$C$4+84),DATE(YEAR((Tahmin!$C$4+90)),MONTH((Tahmin!$C$4+90)),MIN(DAY(Kalemler!$D151),DAY(EOMONTH((Tahmin!$C$4+90),0))))&lt;=(Tahmin!$C$4+90),DATE(YEAR((Tahmin!$C$4+90)),MONTH((Tahmin!$C$4+90)),MIN(DAY(Kalemler!$D151),DAY(EOMONTH((Tahmin!$C$4+90),0))))&lt;&gt;DATE(YEAR((Tahmin!$C$4+84)),MONTH((Tahmin!$C$4+84)),MIN(DAY(Kalemler!$D151),DAY(EOMONTH((Tahmin!$C$4+84),0)))),DATE(YEAR((Tahmin!$C$4+90)),MONTH((Tahmin!$C$4+90)),MIN(DAY(Kalemler!$D151),DAY(EOMONTH((Tahmin!$C$4+90),0))))&gt;=Kalemler!$D151)),1,0),IF(AND(Kalemler!$D151&gt;=(Tahmin!$C$4+84),Kalemler!$D151&lt;=(Tahmin!$C$4+90)),1,0))))</f>
        <v>0</v>
      </c>
    </row>
    <row r="152" customFormat="false" ht="15" hidden="false" customHeight="false" outlineLevel="0" collapsed="false">
      <c r="A152" s="0" t="str">
        <f aca="false">IF(Kalemler!A152="","",Kalemler!A152)</f>
        <v/>
      </c>
      <c r="B152" s="0" t="n">
        <f aca="false">IF(OR(Kalemler!$A152="",Kalemler!$C152="",Kalemler!$D152=""),0,Kalemler!$C152*IF(Kalemler!$E152="Haftalık",IF(Kalemler!$D152&lt;=(Tahmin!$C$4+6),1,0),IF(Kalemler!$E152="Aylık",IF(OR(AND(DATE(YEAR((Tahmin!$C$4+0)),MONTH((Tahmin!$C$4+0)),MIN(DAY(Kalemler!$D152),DAY(EOMONTH((Tahmin!$C$4+0),0))))&gt;=(Tahmin!$C$4+0),DATE(YEAR((Tahmin!$C$4+0)),MONTH((Tahmin!$C$4+0)),MIN(DAY(Kalemler!$D152),DAY(EOMONTH((Tahmin!$C$4+0),0))))&lt;=(Tahmin!$C$4+6),DATE(YEAR((Tahmin!$C$4+0)),MONTH((Tahmin!$C$4+0)),MIN(DAY(Kalemler!$D152),DAY(EOMONTH((Tahmin!$C$4+0),0))))&gt;=Kalemler!$D152),AND(DATE(YEAR((Tahmin!$C$4+6)),MONTH((Tahmin!$C$4+6)),MIN(DAY(Kalemler!$D152),DAY(EOMONTH((Tahmin!$C$4+6),0))))&gt;=(Tahmin!$C$4+0),DATE(YEAR((Tahmin!$C$4+6)),MONTH((Tahmin!$C$4+6)),MIN(DAY(Kalemler!$D152),DAY(EOMONTH((Tahmin!$C$4+6),0))))&lt;=(Tahmin!$C$4+6),DATE(YEAR((Tahmin!$C$4+6)),MONTH((Tahmin!$C$4+6)),MIN(DAY(Kalemler!$D152),DAY(EOMONTH((Tahmin!$C$4+6),0))))&lt;&gt;DATE(YEAR((Tahmin!$C$4+0)),MONTH((Tahmin!$C$4+0)),MIN(DAY(Kalemler!$D152),DAY(EOMONTH((Tahmin!$C$4+0),0)))),DATE(YEAR((Tahmin!$C$4+6)),MONTH((Tahmin!$C$4+6)),MIN(DAY(Kalemler!$D152),DAY(EOMONTH((Tahmin!$C$4+6),0))))&gt;=Kalemler!$D152)),1,0),IF(AND(Kalemler!$D152&gt;=(Tahmin!$C$4+0),Kalemler!$D152&lt;=(Tahmin!$C$4+6)),1,0))))</f>
        <v>0</v>
      </c>
      <c r="C152" s="0" t="n">
        <f aca="false">IF(OR(Kalemler!$A152="",Kalemler!$C152="",Kalemler!$D152=""),0,Kalemler!$C152*IF(Kalemler!$E152="Haftalık",IF(Kalemler!$D152&lt;=(Tahmin!$C$4+13),1,0),IF(Kalemler!$E152="Aylık",IF(OR(AND(DATE(YEAR((Tahmin!$C$4+7)),MONTH((Tahmin!$C$4+7)),MIN(DAY(Kalemler!$D152),DAY(EOMONTH((Tahmin!$C$4+7),0))))&gt;=(Tahmin!$C$4+7),DATE(YEAR((Tahmin!$C$4+7)),MONTH((Tahmin!$C$4+7)),MIN(DAY(Kalemler!$D152),DAY(EOMONTH((Tahmin!$C$4+7),0))))&lt;=(Tahmin!$C$4+13),DATE(YEAR((Tahmin!$C$4+7)),MONTH((Tahmin!$C$4+7)),MIN(DAY(Kalemler!$D152),DAY(EOMONTH((Tahmin!$C$4+7),0))))&gt;=Kalemler!$D152),AND(DATE(YEAR((Tahmin!$C$4+13)),MONTH((Tahmin!$C$4+13)),MIN(DAY(Kalemler!$D152),DAY(EOMONTH((Tahmin!$C$4+13),0))))&gt;=(Tahmin!$C$4+7),DATE(YEAR((Tahmin!$C$4+13)),MONTH((Tahmin!$C$4+13)),MIN(DAY(Kalemler!$D152),DAY(EOMONTH((Tahmin!$C$4+13),0))))&lt;=(Tahmin!$C$4+13),DATE(YEAR((Tahmin!$C$4+13)),MONTH((Tahmin!$C$4+13)),MIN(DAY(Kalemler!$D152),DAY(EOMONTH((Tahmin!$C$4+13),0))))&lt;&gt;DATE(YEAR((Tahmin!$C$4+7)),MONTH((Tahmin!$C$4+7)),MIN(DAY(Kalemler!$D152),DAY(EOMONTH((Tahmin!$C$4+7),0)))),DATE(YEAR((Tahmin!$C$4+13)),MONTH((Tahmin!$C$4+13)),MIN(DAY(Kalemler!$D152),DAY(EOMONTH((Tahmin!$C$4+13),0))))&gt;=Kalemler!$D152)),1,0),IF(AND(Kalemler!$D152&gt;=(Tahmin!$C$4+7),Kalemler!$D152&lt;=(Tahmin!$C$4+13)),1,0))))</f>
        <v>0</v>
      </c>
      <c r="D152" s="0" t="n">
        <f aca="false">IF(OR(Kalemler!$A152="",Kalemler!$C152="",Kalemler!$D152=""),0,Kalemler!$C152*IF(Kalemler!$E152="Haftalık",IF(Kalemler!$D152&lt;=(Tahmin!$C$4+20),1,0),IF(Kalemler!$E152="Aylık",IF(OR(AND(DATE(YEAR((Tahmin!$C$4+14)),MONTH((Tahmin!$C$4+14)),MIN(DAY(Kalemler!$D152),DAY(EOMONTH((Tahmin!$C$4+14),0))))&gt;=(Tahmin!$C$4+14),DATE(YEAR((Tahmin!$C$4+14)),MONTH((Tahmin!$C$4+14)),MIN(DAY(Kalemler!$D152),DAY(EOMONTH((Tahmin!$C$4+14),0))))&lt;=(Tahmin!$C$4+20),DATE(YEAR((Tahmin!$C$4+14)),MONTH((Tahmin!$C$4+14)),MIN(DAY(Kalemler!$D152),DAY(EOMONTH((Tahmin!$C$4+14),0))))&gt;=Kalemler!$D152),AND(DATE(YEAR((Tahmin!$C$4+20)),MONTH((Tahmin!$C$4+20)),MIN(DAY(Kalemler!$D152),DAY(EOMONTH((Tahmin!$C$4+20),0))))&gt;=(Tahmin!$C$4+14),DATE(YEAR((Tahmin!$C$4+20)),MONTH((Tahmin!$C$4+20)),MIN(DAY(Kalemler!$D152),DAY(EOMONTH((Tahmin!$C$4+20),0))))&lt;=(Tahmin!$C$4+20),DATE(YEAR((Tahmin!$C$4+20)),MONTH((Tahmin!$C$4+20)),MIN(DAY(Kalemler!$D152),DAY(EOMONTH((Tahmin!$C$4+20),0))))&lt;&gt;DATE(YEAR((Tahmin!$C$4+14)),MONTH((Tahmin!$C$4+14)),MIN(DAY(Kalemler!$D152),DAY(EOMONTH((Tahmin!$C$4+14),0)))),DATE(YEAR((Tahmin!$C$4+20)),MONTH((Tahmin!$C$4+20)),MIN(DAY(Kalemler!$D152),DAY(EOMONTH((Tahmin!$C$4+20),0))))&gt;=Kalemler!$D152)),1,0),IF(AND(Kalemler!$D152&gt;=(Tahmin!$C$4+14),Kalemler!$D152&lt;=(Tahmin!$C$4+20)),1,0))))</f>
        <v>0</v>
      </c>
      <c r="E152" s="0" t="n">
        <f aca="false">IF(OR(Kalemler!$A152="",Kalemler!$C152="",Kalemler!$D152=""),0,Kalemler!$C152*IF(Kalemler!$E152="Haftalık",IF(Kalemler!$D152&lt;=(Tahmin!$C$4+27),1,0),IF(Kalemler!$E152="Aylık",IF(OR(AND(DATE(YEAR((Tahmin!$C$4+21)),MONTH((Tahmin!$C$4+21)),MIN(DAY(Kalemler!$D152),DAY(EOMONTH((Tahmin!$C$4+21),0))))&gt;=(Tahmin!$C$4+21),DATE(YEAR((Tahmin!$C$4+21)),MONTH((Tahmin!$C$4+21)),MIN(DAY(Kalemler!$D152),DAY(EOMONTH((Tahmin!$C$4+21),0))))&lt;=(Tahmin!$C$4+27),DATE(YEAR((Tahmin!$C$4+21)),MONTH((Tahmin!$C$4+21)),MIN(DAY(Kalemler!$D152),DAY(EOMONTH((Tahmin!$C$4+21),0))))&gt;=Kalemler!$D152),AND(DATE(YEAR((Tahmin!$C$4+27)),MONTH((Tahmin!$C$4+27)),MIN(DAY(Kalemler!$D152),DAY(EOMONTH((Tahmin!$C$4+27),0))))&gt;=(Tahmin!$C$4+21),DATE(YEAR((Tahmin!$C$4+27)),MONTH((Tahmin!$C$4+27)),MIN(DAY(Kalemler!$D152),DAY(EOMONTH((Tahmin!$C$4+27),0))))&lt;=(Tahmin!$C$4+27),DATE(YEAR((Tahmin!$C$4+27)),MONTH((Tahmin!$C$4+27)),MIN(DAY(Kalemler!$D152),DAY(EOMONTH((Tahmin!$C$4+27),0))))&lt;&gt;DATE(YEAR((Tahmin!$C$4+21)),MONTH((Tahmin!$C$4+21)),MIN(DAY(Kalemler!$D152),DAY(EOMONTH((Tahmin!$C$4+21),0)))),DATE(YEAR((Tahmin!$C$4+27)),MONTH((Tahmin!$C$4+27)),MIN(DAY(Kalemler!$D152),DAY(EOMONTH((Tahmin!$C$4+27),0))))&gt;=Kalemler!$D152)),1,0),IF(AND(Kalemler!$D152&gt;=(Tahmin!$C$4+21),Kalemler!$D152&lt;=(Tahmin!$C$4+27)),1,0))))</f>
        <v>0</v>
      </c>
      <c r="F152" s="0" t="n">
        <f aca="false">IF(OR(Kalemler!$A152="",Kalemler!$C152="",Kalemler!$D152=""),0,Kalemler!$C152*IF(Kalemler!$E152="Haftalık",IF(Kalemler!$D152&lt;=(Tahmin!$C$4+34),1,0),IF(Kalemler!$E152="Aylık",IF(OR(AND(DATE(YEAR((Tahmin!$C$4+28)),MONTH((Tahmin!$C$4+28)),MIN(DAY(Kalemler!$D152),DAY(EOMONTH((Tahmin!$C$4+28),0))))&gt;=(Tahmin!$C$4+28),DATE(YEAR((Tahmin!$C$4+28)),MONTH((Tahmin!$C$4+28)),MIN(DAY(Kalemler!$D152),DAY(EOMONTH((Tahmin!$C$4+28),0))))&lt;=(Tahmin!$C$4+34),DATE(YEAR((Tahmin!$C$4+28)),MONTH((Tahmin!$C$4+28)),MIN(DAY(Kalemler!$D152),DAY(EOMONTH((Tahmin!$C$4+28),0))))&gt;=Kalemler!$D152),AND(DATE(YEAR((Tahmin!$C$4+34)),MONTH((Tahmin!$C$4+34)),MIN(DAY(Kalemler!$D152),DAY(EOMONTH((Tahmin!$C$4+34),0))))&gt;=(Tahmin!$C$4+28),DATE(YEAR((Tahmin!$C$4+34)),MONTH((Tahmin!$C$4+34)),MIN(DAY(Kalemler!$D152),DAY(EOMONTH((Tahmin!$C$4+34),0))))&lt;=(Tahmin!$C$4+34),DATE(YEAR((Tahmin!$C$4+34)),MONTH((Tahmin!$C$4+34)),MIN(DAY(Kalemler!$D152),DAY(EOMONTH((Tahmin!$C$4+34),0))))&lt;&gt;DATE(YEAR((Tahmin!$C$4+28)),MONTH((Tahmin!$C$4+28)),MIN(DAY(Kalemler!$D152),DAY(EOMONTH((Tahmin!$C$4+28),0)))),DATE(YEAR((Tahmin!$C$4+34)),MONTH((Tahmin!$C$4+34)),MIN(DAY(Kalemler!$D152),DAY(EOMONTH((Tahmin!$C$4+34),0))))&gt;=Kalemler!$D152)),1,0),IF(AND(Kalemler!$D152&gt;=(Tahmin!$C$4+28),Kalemler!$D152&lt;=(Tahmin!$C$4+34)),1,0))))</f>
        <v>0</v>
      </c>
      <c r="G152" s="0" t="n">
        <f aca="false">IF(OR(Kalemler!$A152="",Kalemler!$C152="",Kalemler!$D152=""),0,Kalemler!$C152*IF(Kalemler!$E152="Haftalık",IF(Kalemler!$D152&lt;=(Tahmin!$C$4+41),1,0),IF(Kalemler!$E152="Aylık",IF(OR(AND(DATE(YEAR((Tahmin!$C$4+35)),MONTH((Tahmin!$C$4+35)),MIN(DAY(Kalemler!$D152),DAY(EOMONTH((Tahmin!$C$4+35),0))))&gt;=(Tahmin!$C$4+35),DATE(YEAR((Tahmin!$C$4+35)),MONTH((Tahmin!$C$4+35)),MIN(DAY(Kalemler!$D152),DAY(EOMONTH((Tahmin!$C$4+35),0))))&lt;=(Tahmin!$C$4+41),DATE(YEAR((Tahmin!$C$4+35)),MONTH((Tahmin!$C$4+35)),MIN(DAY(Kalemler!$D152),DAY(EOMONTH((Tahmin!$C$4+35),0))))&gt;=Kalemler!$D152),AND(DATE(YEAR((Tahmin!$C$4+41)),MONTH((Tahmin!$C$4+41)),MIN(DAY(Kalemler!$D152),DAY(EOMONTH((Tahmin!$C$4+41),0))))&gt;=(Tahmin!$C$4+35),DATE(YEAR((Tahmin!$C$4+41)),MONTH((Tahmin!$C$4+41)),MIN(DAY(Kalemler!$D152),DAY(EOMONTH((Tahmin!$C$4+41),0))))&lt;=(Tahmin!$C$4+41),DATE(YEAR((Tahmin!$C$4+41)),MONTH((Tahmin!$C$4+41)),MIN(DAY(Kalemler!$D152),DAY(EOMONTH((Tahmin!$C$4+41),0))))&lt;&gt;DATE(YEAR((Tahmin!$C$4+35)),MONTH((Tahmin!$C$4+35)),MIN(DAY(Kalemler!$D152),DAY(EOMONTH((Tahmin!$C$4+35),0)))),DATE(YEAR((Tahmin!$C$4+41)),MONTH((Tahmin!$C$4+41)),MIN(DAY(Kalemler!$D152),DAY(EOMONTH((Tahmin!$C$4+41),0))))&gt;=Kalemler!$D152)),1,0),IF(AND(Kalemler!$D152&gt;=(Tahmin!$C$4+35),Kalemler!$D152&lt;=(Tahmin!$C$4+41)),1,0))))</f>
        <v>0</v>
      </c>
      <c r="H152" s="0" t="n">
        <f aca="false">IF(OR(Kalemler!$A152="",Kalemler!$C152="",Kalemler!$D152=""),0,Kalemler!$C152*IF(Kalemler!$E152="Haftalık",IF(Kalemler!$D152&lt;=(Tahmin!$C$4+48),1,0),IF(Kalemler!$E152="Aylık",IF(OR(AND(DATE(YEAR((Tahmin!$C$4+42)),MONTH((Tahmin!$C$4+42)),MIN(DAY(Kalemler!$D152),DAY(EOMONTH((Tahmin!$C$4+42),0))))&gt;=(Tahmin!$C$4+42),DATE(YEAR((Tahmin!$C$4+42)),MONTH((Tahmin!$C$4+42)),MIN(DAY(Kalemler!$D152),DAY(EOMONTH((Tahmin!$C$4+42),0))))&lt;=(Tahmin!$C$4+48),DATE(YEAR((Tahmin!$C$4+42)),MONTH((Tahmin!$C$4+42)),MIN(DAY(Kalemler!$D152),DAY(EOMONTH((Tahmin!$C$4+42),0))))&gt;=Kalemler!$D152),AND(DATE(YEAR((Tahmin!$C$4+48)),MONTH((Tahmin!$C$4+48)),MIN(DAY(Kalemler!$D152),DAY(EOMONTH((Tahmin!$C$4+48),0))))&gt;=(Tahmin!$C$4+42),DATE(YEAR((Tahmin!$C$4+48)),MONTH((Tahmin!$C$4+48)),MIN(DAY(Kalemler!$D152),DAY(EOMONTH((Tahmin!$C$4+48),0))))&lt;=(Tahmin!$C$4+48),DATE(YEAR((Tahmin!$C$4+48)),MONTH((Tahmin!$C$4+48)),MIN(DAY(Kalemler!$D152),DAY(EOMONTH((Tahmin!$C$4+48),0))))&lt;&gt;DATE(YEAR((Tahmin!$C$4+42)),MONTH((Tahmin!$C$4+42)),MIN(DAY(Kalemler!$D152),DAY(EOMONTH((Tahmin!$C$4+42),0)))),DATE(YEAR((Tahmin!$C$4+48)),MONTH((Tahmin!$C$4+48)),MIN(DAY(Kalemler!$D152),DAY(EOMONTH((Tahmin!$C$4+48),0))))&gt;=Kalemler!$D152)),1,0),IF(AND(Kalemler!$D152&gt;=(Tahmin!$C$4+42),Kalemler!$D152&lt;=(Tahmin!$C$4+48)),1,0))))</f>
        <v>0</v>
      </c>
      <c r="I152" s="0" t="n">
        <f aca="false">IF(OR(Kalemler!$A152="",Kalemler!$C152="",Kalemler!$D152=""),0,Kalemler!$C152*IF(Kalemler!$E152="Haftalık",IF(Kalemler!$D152&lt;=(Tahmin!$C$4+55),1,0),IF(Kalemler!$E152="Aylık",IF(OR(AND(DATE(YEAR((Tahmin!$C$4+49)),MONTH((Tahmin!$C$4+49)),MIN(DAY(Kalemler!$D152),DAY(EOMONTH((Tahmin!$C$4+49),0))))&gt;=(Tahmin!$C$4+49),DATE(YEAR((Tahmin!$C$4+49)),MONTH((Tahmin!$C$4+49)),MIN(DAY(Kalemler!$D152),DAY(EOMONTH((Tahmin!$C$4+49),0))))&lt;=(Tahmin!$C$4+55),DATE(YEAR((Tahmin!$C$4+49)),MONTH((Tahmin!$C$4+49)),MIN(DAY(Kalemler!$D152),DAY(EOMONTH((Tahmin!$C$4+49),0))))&gt;=Kalemler!$D152),AND(DATE(YEAR((Tahmin!$C$4+55)),MONTH((Tahmin!$C$4+55)),MIN(DAY(Kalemler!$D152),DAY(EOMONTH((Tahmin!$C$4+55),0))))&gt;=(Tahmin!$C$4+49),DATE(YEAR((Tahmin!$C$4+55)),MONTH((Tahmin!$C$4+55)),MIN(DAY(Kalemler!$D152),DAY(EOMONTH((Tahmin!$C$4+55),0))))&lt;=(Tahmin!$C$4+55),DATE(YEAR((Tahmin!$C$4+55)),MONTH((Tahmin!$C$4+55)),MIN(DAY(Kalemler!$D152),DAY(EOMONTH((Tahmin!$C$4+55),0))))&lt;&gt;DATE(YEAR((Tahmin!$C$4+49)),MONTH((Tahmin!$C$4+49)),MIN(DAY(Kalemler!$D152),DAY(EOMONTH((Tahmin!$C$4+49),0)))),DATE(YEAR((Tahmin!$C$4+55)),MONTH((Tahmin!$C$4+55)),MIN(DAY(Kalemler!$D152),DAY(EOMONTH((Tahmin!$C$4+55),0))))&gt;=Kalemler!$D152)),1,0),IF(AND(Kalemler!$D152&gt;=(Tahmin!$C$4+49),Kalemler!$D152&lt;=(Tahmin!$C$4+55)),1,0))))</f>
        <v>0</v>
      </c>
      <c r="J152" s="0" t="n">
        <f aca="false">IF(OR(Kalemler!$A152="",Kalemler!$C152="",Kalemler!$D152=""),0,Kalemler!$C152*IF(Kalemler!$E152="Haftalık",IF(Kalemler!$D152&lt;=(Tahmin!$C$4+62),1,0),IF(Kalemler!$E152="Aylık",IF(OR(AND(DATE(YEAR((Tahmin!$C$4+56)),MONTH((Tahmin!$C$4+56)),MIN(DAY(Kalemler!$D152),DAY(EOMONTH((Tahmin!$C$4+56),0))))&gt;=(Tahmin!$C$4+56),DATE(YEAR((Tahmin!$C$4+56)),MONTH((Tahmin!$C$4+56)),MIN(DAY(Kalemler!$D152),DAY(EOMONTH((Tahmin!$C$4+56),0))))&lt;=(Tahmin!$C$4+62),DATE(YEAR((Tahmin!$C$4+56)),MONTH((Tahmin!$C$4+56)),MIN(DAY(Kalemler!$D152),DAY(EOMONTH((Tahmin!$C$4+56),0))))&gt;=Kalemler!$D152),AND(DATE(YEAR((Tahmin!$C$4+62)),MONTH((Tahmin!$C$4+62)),MIN(DAY(Kalemler!$D152),DAY(EOMONTH((Tahmin!$C$4+62),0))))&gt;=(Tahmin!$C$4+56),DATE(YEAR((Tahmin!$C$4+62)),MONTH((Tahmin!$C$4+62)),MIN(DAY(Kalemler!$D152),DAY(EOMONTH((Tahmin!$C$4+62),0))))&lt;=(Tahmin!$C$4+62),DATE(YEAR((Tahmin!$C$4+62)),MONTH((Tahmin!$C$4+62)),MIN(DAY(Kalemler!$D152),DAY(EOMONTH((Tahmin!$C$4+62),0))))&lt;&gt;DATE(YEAR((Tahmin!$C$4+56)),MONTH((Tahmin!$C$4+56)),MIN(DAY(Kalemler!$D152),DAY(EOMONTH((Tahmin!$C$4+56),0)))),DATE(YEAR((Tahmin!$C$4+62)),MONTH((Tahmin!$C$4+62)),MIN(DAY(Kalemler!$D152),DAY(EOMONTH((Tahmin!$C$4+62),0))))&gt;=Kalemler!$D152)),1,0),IF(AND(Kalemler!$D152&gt;=(Tahmin!$C$4+56),Kalemler!$D152&lt;=(Tahmin!$C$4+62)),1,0))))</f>
        <v>0</v>
      </c>
      <c r="K152" s="0" t="n">
        <f aca="false">IF(OR(Kalemler!$A152="",Kalemler!$C152="",Kalemler!$D152=""),0,Kalemler!$C152*IF(Kalemler!$E152="Haftalık",IF(Kalemler!$D152&lt;=(Tahmin!$C$4+69),1,0),IF(Kalemler!$E152="Aylık",IF(OR(AND(DATE(YEAR((Tahmin!$C$4+63)),MONTH((Tahmin!$C$4+63)),MIN(DAY(Kalemler!$D152),DAY(EOMONTH((Tahmin!$C$4+63),0))))&gt;=(Tahmin!$C$4+63),DATE(YEAR((Tahmin!$C$4+63)),MONTH((Tahmin!$C$4+63)),MIN(DAY(Kalemler!$D152),DAY(EOMONTH((Tahmin!$C$4+63),0))))&lt;=(Tahmin!$C$4+69),DATE(YEAR((Tahmin!$C$4+63)),MONTH((Tahmin!$C$4+63)),MIN(DAY(Kalemler!$D152),DAY(EOMONTH((Tahmin!$C$4+63),0))))&gt;=Kalemler!$D152),AND(DATE(YEAR((Tahmin!$C$4+69)),MONTH((Tahmin!$C$4+69)),MIN(DAY(Kalemler!$D152),DAY(EOMONTH((Tahmin!$C$4+69),0))))&gt;=(Tahmin!$C$4+63),DATE(YEAR((Tahmin!$C$4+69)),MONTH((Tahmin!$C$4+69)),MIN(DAY(Kalemler!$D152),DAY(EOMONTH((Tahmin!$C$4+69),0))))&lt;=(Tahmin!$C$4+69),DATE(YEAR((Tahmin!$C$4+69)),MONTH((Tahmin!$C$4+69)),MIN(DAY(Kalemler!$D152),DAY(EOMONTH((Tahmin!$C$4+69),0))))&lt;&gt;DATE(YEAR((Tahmin!$C$4+63)),MONTH((Tahmin!$C$4+63)),MIN(DAY(Kalemler!$D152),DAY(EOMONTH((Tahmin!$C$4+63),0)))),DATE(YEAR((Tahmin!$C$4+69)),MONTH((Tahmin!$C$4+69)),MIN(DAY(Kalemler!$D152),DAY(EOMONTH((Tahmin!$C$4+69),0))))&gt;=Kalemler!$D152)),1,0),IF(AND(Kalemler!$D152&gt;=(Tahmin!$C$4+63),Kalemler!$D152&lt;=(Tahmin!$C$4+69)),1,0))))</f>
        <v>0</v>
      </c>
      <c r="L152" s="0" t="n">
        <f aca="false">IF(OR(Kalemler!$A152="",Kalemler!$C152="",Kalemler!$D152=""),0,Kalemler!$C152*IF(Kalemler!$E152="Haftalık",IF(Kalemler!$D152&lt;=(Tahmin!$C$4+76),1,0),IF(Kalemler!$E152="Aylık",IF(OR(AND(DATE(YEAR((Tahmin!$C$4+70)),MONTH((Tahmin!$C$4+70)),MIN(DAY(Kalemler!$D152),DAY(EOMONTH((Tahmin!$C$4+70),0))))&gt;=(Tahmin!$C$4+70),DATE(YEAR((Tahmin!$C$4+70)),MONTH((Tahmin!$C$4+70)),MIN(DAY(Kalemler!$D152),DAY(EOMONTH((Tahmin!$C$4+70),0))))&lt;=(Tahmin!$C$4+76),DATE(YEAR((Tahmin!$C$4+70)),MONTH((Tahmin!$C$4+70)),MIN(DAY(Kalemler!$D152),DAY(EOMONTH((Tahmin!$C$4+70),0))))&gt;=Kalemler!$D152),AND(DATE(YEAR((Tahmin!$C$4+76)),MONTH((Tahmin!$C$4+76)),MIN(DAY(Kalemler!$D152),DAY(EOMONTH((Tahmin!$C$4+76),0))))&gt;=(Tahmin!$C$4+70),DATE(YEAR((Tahmin!$C$4+76)),MONTH((Tahmin!$C$4+76)),MIN(DAY(Kalemler!$D152),DAY(EOMONTH((Tahmin!$C$4+76),0))))&lt;=(Tahmin!$C$4+76),DATE(YEAR((Tahmin!$C$4+76)),MONTH((Tahmin!$C$4+76)),MIN(DAY(Kalemler!$D152),DAY(EOMONTH((Tahmin!$C$4+76),0))))&lt;&gt;DATE(YEAR((Tahmin!$C$4+70)),MONTH((Tahmin!$C$4+70)),MIN(DAY(Kalemler!$D152),DAY(EOMONTH((Tahmin!$C$4+70),0)))),DATE(YEAR((Tahmin!$C$4+76)),MONTH((Tahmin!$C$4+76)),MIN(DAY(Kalemler!$D152),DAY(EOMONTH((Tahmin!$C$4+76),0))))&gt;=Kalemler!$D152)),1,0),IF(AND(Kalemler!$D152&gt;=(Tahmin!$C$4+70),Kalemler!$D152&lt;=(Tahmin!$C$4+76)),1,0))))</f>
        <v>0</v>
      </c>
      <c r="M152" s="0" t="n">
        <f aca="false">IF(OR(Kalemler!$A152="",Kalemler!$C152="",Kalemler!$D152=""),0,Kalemler!$C152*IF(Kalemler!$E152="Haftalık",IF(Kalemler!$D152&lt;=(Tahmin!$C$4+83),1,0),IF(Kalemler!$E152="Aylık",IF(OR(AND(DATE(YEAR((Tahmin!$C$4+77)),MONTH((Tahmin!$C$4+77)),MIN(DAY(Kalemler!$D152),DAY(EOMONTH((Tahmin!$C$4+77),0))))&gt;=(Tahmin!$C$4+77),DATE(YEAR((Tahmin!$C$4+77)),MONTH((Tahmin!$C$4+77)),MIN(DAY(Kalemler!$D152),DAY(EOMONTH((Tahmin!$C$4+77),0))))&lt;=(Tahmin!$C$4+83),DATE(YEAR((Tahmin!$C$4+77)),MONTH((Tahmin!$C$4+77)),MIN(DAY(Kalemler!$D152),DAY(EOMONTH((Tahmin!$C$4+77),0))))&gt;=Kalemler!$D152),AND(DATE(YEAR((Tahmin!$C$4+83)),MONTH((Tahmin!$C$4+83)),MIN(DAY(Kalemler!$D152),DAY(EOMONTH((Tahmin!$C$4+83),0))))&gt;=(Tahmin!$C$4+77),DATE(YEAR((Tahmin!$C$4+83)),MONTH((Tahmin!$C$4+83)),MIN(DAY(Kalemler!$D152),DAY(EOMONTH((Tahmin!$C$4+83),0))))&lt;=(Tahmin!$C$4+83),DATE(YEAR((Tahmin!$C$4+83)),MONTH((Tahmin!$C$4+83)),MIN(DAY(Kalemler!$D152),DAY(EOMONTH((Tahmin!$C$4+83),0))))&lt;&gt;DATE(YEAR((Tahmin!$C$4+77)),MONTH((Tahmin!$C$4+77)),MIN(DAY(Kalemler!$D152),DAY(EOMONTH((Tahmin!$C$4+77),0)))),DATE(YEAR((Tahmin!$C$4+83)),MONTH((Tahmin!$C$4+83)),MIN(DAY(Kalemler!$D152),DAY(EOMONTH((Tahmin!$C$4+83),0))))&gt;=Kalemler!$D152)),1,0),IF(AND(Kalemler!$D152&gt;=(Tahmin!$C$4+77),Kalemler!$D152&lt;=(Tahmin!$C$4+83)),1,0))))</f>
        <v>0</v>
      </c>
      <c r="N152" s="0" t="n">
        <f aca="false">IF(OR(Kalemler!$A152="",Kalemler!$C152="",Kalemler!$D152=""),0,Kalemler!$C152*IF(Kalemler!$E152="Haftalık",IF(Kalemler!$D152&lt;=(Tahmin!$C$4+90),1,0),IF(Kalemler!$E152="Aylık",IF(OR(AND(DATE(YEAR((Tahmin!$C$4+84)),MONTH((Tahmin!$C$4+84)),MIN(DAY(Kalemler!$D152),DAY(EOMONTH((Tahmin!$C$4+84),0))))&gt;=(Tahmin!$C$4+84),DATE(YEAR((Tahmin!$C$4+84)),MONTH((Tahmin!$C$4+84)),MIN(DAY(Kalemler!$D152),DAY(EOMONTH((Tahmin!$C$4+84),0))))&lt;=(Tahmin!$C$4+90),DATE(YEAR((Tahmin!$C$4+84)),MONTH((Tahmin!$C$4+84)),MIN(DAY(Kalemler!$D152),DAY(EOMONTH((Tahmin!$C$4+84),0))))&gt;=Kalemler!$D152),AND(DATE(YEAR((Tahmin!$C$4+90)),MONTH((Tahmin!$C$4+90)),MIN(DAY(Kalemler!$D152),DAY(EOMONTH((Tahmin!$C$4+90),0))))&gt;=(Tahmin!$C$4+84),DATE(YEAR((Tahmin!$C$4+90)),MONTH((Tahmin!$C$4+90)),MIN(DAY(Kalemler!$D152),DAY(EOMONTH((Tahmin!$C$4+90),0))))&lt;=(Tahmin!$C$4+90),DATE(YEAR((Tahmin!$C$4+90)),MONTH((Tahmin!$C$4+90)),MIN(DAY(Kalemler!$D152),DAY(EOMONTH((Tahmin!$C$4+90),0))))&lt;&gt;DATE(YEAR((Tahmin!$C$4+84)),MONTH((Tahmin!$C$4+84)),MIN(DAY(Kalemler!$D152),DAY(EOMONTH((Tahmin!$C$4+84),0)))),DATE(YEAR((Tahmin!$C$4+90)),MONTH((Tahmin!$C$4+90)),MIN(DAY(Kalemler!$D152),DAY(EOMONTH((Tahmin!$C$4+90),0))))&gt;=Kalemler!$D152)),1,0),IF(AND(Kalemler!$D152&gt;=(Tahmin!$C$4+84),Kalemler!$D152&lt;=(Tahmin!$C$4+90)),1,0))))</f>
        <v>0</v>
      </c>
    </row>
    <row r="153" customFormat="false" ht="15" hidden="false" customHeight="false" outlineLevel="0" collapsed="false">
      <c r="A153" s="0" t="str">
        <f aca="false">IF(Kalemler!A153="","",Kalemler!A153)</f>
        <v/>
      </c>
      <c r="B153" s="0" t="n">
        <f aca="false">IF(OR(Kalemler!$A153="",Kalemler!$C153="",Kalemler!$D153=""),0,Kalemler!$C153*IF(Kalemler!$E153="Haftalık",IF(Kalemler!$D153&lt;=(Tahmin!$C$4+6),1,0),IF(Kalemler!$E153="Aylık",IF(OR(AND(DATE(YEAR((Tahmin!$C$4+0)),MONTH((Tahmin!$C$4+0)),MIN(DAY(Kalemler!$D153),DAY(EOMONTH((Tahmin!$C$4+0),0))))&gt;=(Tahmin!$C$4+0),DATE(YEAR((Tahmin!$C$4+0)),MONTH((Tahmin!$C$4+0)),MIN(DAY(Kalemler!$D153),DAY(EOMONTH((Tahmin!$C$4+0),0))))&lt;=(Tahmin!$C$4+6),DATE(YEAR((Tahmin!$C$4+0)),MONTH((Tahmin!$C$4+0)),MIN(DAY(Kalemler!$D153),DAY(EOMONTH((Tahmin!$C$4+0),0))))&gt;=Kalemler!$D153),AND(DATE(YEAR((Tahmin!$C$4+6)),MONTH((Tahmin!$C$4+6)),MIN(DAY(Kalemler!$D153),DAY(EOMONTH((Tahmin!$C$4+6),0))))&gt;=(Tahmin!$C$4+0),DATE(YEAR((Tahmin!$C$4+6)),MONTH((Tahmin!$C$4+6)),MIN(DAY(Kalemler!$D153),DAY(EOMONTH((Tahmin!$C$4+6),0))))&lt;=(Tahmin!$C$4+6),DATE(YEAR((Tahmin!$C$4+6)),MONTH((Tahmin!$C$4+6)),MIN(DAY(Kalemler!$D153),DAY(EOMONTH((Tahmin!$C$4+6),0))))&lt;&gt;DATE(YEAR((Tahmin!$C$4+0)),MONTH((Tahmin!$C$4+0)),MIN(DAY(Kalemler!$D153),DAY(EOMONTH((Tahmin!$C$4+0),0)))),DATE(YEAR((Tahmin!$C$4+6)),MONTH((Tahmin!$C$4+6)),MIN(DAY(Kalemler!$D153),DAY(EOMONTH((Tahmin!$C$4+6),0))))&gt;=Kalemler!$D153)),1,0),IF(AND(Kalemler!$D153&gt;=(Tahmin!$C$4+0),Kalemler!$D153&lt;=(Tahmin!$C$4+6)),1,0))))</f>
        <v>0</v>
      </c>
      <c r="C153" s="0" t="n">
        <f aca="false">IF(OR(Kalemler!$A153="",Kalemler!$C153="",Kalemler!$D153=""),0,Kalemler!$C153*IF(Kalemler!$E153="Haftalık",IF(Kalemler!$D153&lt;=(Tahmin!$C$4+13),1,0),IF(Kalemler!$E153="Aylık",IF(OR(AND(DATE(YEAR((Tahmin!$C$4+7)),MONTH((Tahmin!$C$4+7)),MIN(DAY(Kalemler!$D153),DAY(EOMONTH((Tahmin!$C$4+7),0))))&gt;=(Tahmin!$C$4+7),DATE(YEAR((Tahmin!$C$4+7)),MONTH((Tahmin!$C$4+7)),MIN(DAY(Kalemler!$D153),DAY(EOMONTH((Tahmin!$C$4+7),0))))&lt;=(Tahmin!$C$4+13),DATE(YEAR((Tahmin!$C$4+7)),MONTH((Tahmin!$C$4+7)),MIN(DAY(Kalemler!$D153),DAY(EOMONTH((Tahmin!$C$4+7),0))))&gt;=Kalemler!$D153),AND(DATE(YEAR((Tahmin!$C$4+13)),MONTH((Tahmin!$C$4+13)),MIN(DAY(Kalemler!$D153),DAY(EOMONTH((Tahmin!$C$4+13),0))))&gt;=(Tahmin!$C$4+7),DATE(YEAR((Tahmin!$C$4+13)),MONTH((Tahmin!$C$4+13)),MIN(DAY(Kalemler!$D153),DAY(EOMONTH((Tahmin!$C$4+13),0))))&lt;=(Tahmin!$C$4+13),DATE(YEAR((Tahmin!$C$4+13)),MONTH((Tahmin!$C$4+13)),MIN(DAY(Kalemler!$D153),DAY(EOMONTH((Tahmin!$C$4+13),0))))&lt;&gt;DATE(YEAR((Tahmin!$C$4+7)),MONTH((Tahmin!$C$4+7)),MIN(DAY(Kalemler!$D153),DAY(EOMONTH((Tahmin!$C$4+7),0)))),DATE(YEAR((Tahmin!$C$4+13)),MONTH((Tahmin!$C$4+13)),MIN(DAY(Kalemler!$D153),DAY(EOMONTH((Tahmin!$C$4+13),0))))&gt;=Kalemler!$D153)),1,0),IF(AND(Kalemler!$D153&gt;=(Tahmin!$C$4+7),Kalemler!$D153&lt;=(Tahmin!$C$4+13)),1,0))))</f>
        <v>0</v>
      </c>
      <c r="D153" s="0" t="n">
        <f aca="false">IF(OR(Kalemler!$A153="",Kalemler!$C153="",Kalemler!$D153=""),0,Kalemler!$C153*IF(Kalemler!$E153="Haftalık",IF(Kalemler!$D153&lt;=(Tahmin!$C$4+20),1,0),IF(Kalemler!$E153="Aylık",IF(OR(AND(DATE(YEAR((Tahmin!$C$4+14)),MONTH((Tahmin!$C$4+14)),MIN(DAY(Kalemler!$D153),DAY(EOMONTH((Tahmin!$C$4+14),0))))&gt;=(Tahmin!$C$4+14),DATE(YEAR((Tahmin!$C$4+14)),MONTH((Tahmin!$C$4+14)),MIN(DAY(Kalemler!$D153),DAY(EOMONTH((Tahmin!$C$4+14),0))))&lt;=(Tahmin!$C$4+20),DATE(YEAR((Tahmin!$C$4+14)),MONTH((Tahmin!$C$4+14)),MIN(DAY(Kalemler!$D153),DAY(EOMONTH((Tahmin!$C$4+14),0))))&gt;=Kalemler!$D153),AND(DATE(YEAR((Tahmin!$C$4+20)),MONTH((Tahmin!$C$4+20)),MIN(DAY(Kalemler!$D153),DAY(EOMONTH((Tahmin!$C$4+20),0))))&gt;=(Tahmin!$C$4+14),DATE(YEAR((Tahmin!$C$4+20)),MONTH((Tahmin!$C$4+20)),MIN(DAY(Kalemler!$D153),DAY(EOMONTH((Tahmin!$C$4+20),0))))&lt;=(Tahmin!$C$4+20),DATE(YEAR((Tahmin!$C$4+20)),MONTH((Tahmin!$C$4+20)),MIN(DAY(Kalemler!$D153),DAY(EOMONTH((Tahmin!$C$4+20),0))))&lt;&gt;DATE(YEAR((Tahmin!$C$4+14)),MONTH((Tahmin!$C$4+14)),MIN(DAY(Kalemler!$D153),DAY(EOMONTH((Tahmin!$C$4+14),0)))),DATE(YEAR((Tahmin!$C$4+20)),MONTH((Tahmin!$C$4+20)),MIN(DAY(Kalemler!$D153),DAY(EOMONTH((Tahmin!$C$4+20),0))))&gt;=Kalemler!$D153)),1,0),IF(AND(Kalemler!$D153&gt;=(Tahmin!$C$4+14),Kalemler!$D153&lt;=(Tahmin!$C$4+20)),1,0))))</f>
        <v>0</v>
      </c>
      <c r="E153" s="0" t="n">
        <f aca="false">IF(OR(Kalemler!$A153="",Kalemler!$C153="",Kalemler!$D153=""),0,Kalemler!$C153*IF(Kalemler!$E153="Haftalık",IF(Kalemler!$D153&lt;=(Tahmin!$C$4+27),1,0),IF(Kalemler!$E153="Aylık",IF(OR(AND(DATE(YEAR((Tahmin!$C$4+21)),MONTH((Tahmin!$C$4+21)),MIN(DAY(Kalemler!$D153),DAY(EOMONTH((Tahmin!$C$4+21),0))))&gt;=(Tahmin!$C$4+21),DATE(YEAR((Tahmin!$C$4+21)),MONTH((Tahmin!$C$4+21)),MIN(DAY(Kalemler!$D153),DAY(EOMONTH((Tahmin!$C$4+21),0))))&lt;=(Tahmin!$C$4+27),DATE(YEAR((Tahmin!$C$4+21)),MONTH((Tahmin!$C$4+21)),MIN(DAY(Kalemler!$D153),DAY(EOMONTH((Tahmin!$C$4+21),0))))&gt;=Kalemler!$D153),AND(DATE(YEAR((Tahmin!$C$4+27)),MONTH((Tahmin!$C$4+27)),MIN(DAY(Kalemler!$D153),DAY(EOMONTH((Tahmin!$C$4+27),0))))&gt;=(Tahmin!$C$4+21),DATE(YEAR((Tahmin!$C$4+27)),MONTH((Tahmin!$C$4+27)),MIN(DAY(Kalemler!$D153),DAY(EOMONTH((Tahmin!$C$4+27),0))))&lt;=(Tahmin!$C$4+27),DATE(YEAR((Tahmin!$C$4+27)),MONTH((Tahmin!$C$4+27)),MIN(DAY(Kalemler!$D153),DAY(EOMONTH((Tahmin!$C$4+27),0))))&lt;&gt;DATE(YEAR((Tahmin!$C$4+21)),MONTH((Tahmin!$C$4+21)),MIN(DAY(Kalemler!$D153),DAY(EOMONTH((Tahmin!$C$4+21),0)))),DATE(YEAR((Tahmin!$C$4+27)),MONTH((Tahmin!$C$4+27)),MIN(DAY(Kalemler!$D153),DAY(EOMONTH((Tahmin!$C$4+27),0))))&gt;=Kalemler!$D153)),1,0),IF(AND(Kalemler!$D153&gt;=(Tahmin!$C$4+21),Kalemler!$D153&lt;=(Tahmin!$C$4+27)),1,0))))</f>
        <v>0</v>
      </c>
      <c r="F153" s="0" t="n">
        <f aca="false">IF(OR(Kalemler!$A153="",Kalemler!$C153="",Kalemler!$D153=""),0,Kalemler!$C153*IF(Kalemler!$E153="Haftalık",IF(Kalemler!$D153&lt;=(Tahmin!$C$4+34),1,0),IF(Kalemler!$E153="Aylık",IF(OR(AND(DATE(YEAR((Tahmin!$C$4+28)),MONTH((Tahmin!$C$4+28)),MIN(DAY(Kalemler!$D153),DAY(EOMONTH((Tahmin!$C$4+28),0))))&gt;=(Tahmin!$C$4+28),DATE(YEAR((Tahmin!$C$4+28)),MONTH((Tahmin!$C$4+28)),MIN(DAY(Kalemler!$D153),DAY(EOMONTH((Tahmin!$C$4+28),0))))&lt;=(Tahmin!$C$4+34),DATE(YEAR((Tahmin!$C$4+28)),MONTH((Tahmin!$C$4+28)),MIN(DAY(Kalemler!$D153),DAY(EOMONTH((Tahmin!$C$4+28),0))))&gt;=Kalemler!$D153),AND(DATE(YEAR((Tahmin!$C$4+34)),MONTH((Tahmin!$C$4+34)),MIN(DAY(Kalemler!$D153),DAY(EOMONTH((Tahmin!$C$4+34),0))))&gt;=(Tahmin!$C$4+28),DATE(YEAR((Tahmin!$C$4+34)),MONTH((Tahmin!$C$4+34)),MIN(DAY(Kalemler!$D153),DAY(EOMONTH((Tahmin!$C$4+34),0))))&lt;=(Tahmin!$C$4+34),DATE(YEAR((Tahmin!$C$4+34)),MONTH((Tahmin!$C$4+34)),MIN(DAY(Kalemler!$D153),DAY(EOMONTH((Tahmin!$C$4+34),0))))&lt;&gt;DATE(YEAR((Tahmin!$C$4+28)),MONTH((Tahmin!$C$4+28)),MIN(DAY(Kalemler!$D153),DAY(EOMONTH((Tahmin!$C$4+28),0)))),DATE(YEAR((Tahmin!$C$4+34)),MONTH((Tahmin!$C$4+34)),MIN(DAY(Kalemler!$D153),DAY(EOMONTH((Tahmin!$C$4+34),0))))&gt;=Kalemler!$D153)),1,0),IF(AND(Kalemler!$D153&gt;=(Tahmin!$C$4+28),Kalemler!$D153&lt;=(Tahmin!$C$4+34)),1,0))))</f>
        <v>0</v>
      </c>
      <c r="G153" s="0" t="n">
        <f aca="false">IF(OR(Kalemler!$A153="",Kalemler!$C153="",Kalemler!$D153=""),0,Kalemler!$C153*IF(Kalemler!$E153="Haftalık",IF(Kalemler!$D153&lt;=(Tahmin!$C$4+41),1,0),IF(Kalemler!$E153="Aylık",IF(OR(AND(DATE(YEAR((Tahmin!$C$4+35)),MONTH((Tahmin!$C$4+35)),MIN(DAY(Kalemler!$D153),DAY(EOMONTH((Tahmin!$C$4+35),0))))&gt;=(Tahmin!$C$4+35),DATE(YEAR((Tahmin!$C$4+35)),MONTH((Tahmin!$C$4+35)),MIN(DAY(Kalemler!$D153),DAY(EOMONTH((Tahmin!$C$4+35),0))))&lt;=(Tahmin!$C$4+41),DATE(YEAR((Tahmin!$C$4+35)),MONTH((Tahmin!$C$4+35)),MIN(DAY(Kalemler!$D153),DAY(EOMONTH((Tahmin!$C$4+35),0))))&gt;=Kalemler!$D153),AND(DATE(YEAR((Tahmin!$C$4+41)),MONTH((Tahmin!$C$4+41)),MIN(DAY(Kalemler!$D153),DAY(EOMONTH((Tahmin!$C$4+41),0))))&gt;=(Tahmin!$C$4+35),DATE(YEAR((Tahmin!$C$4+41)),MONTH((Tahmin!$C$4+41)),MIN(DAY(Kalemler!$D153),DAY(EOMONTH((Tahmin!$C$4+41),0))))&lt;=(Tahmin!$C$4+41),DATE(YEAR((Tahmin!$C$4+41)),MONTH((Tahmin!$C$4+41)),MIN(DAY(Kalemler!$D153),DAY(EOMONTH((Tahmin!$C$4+41),0))))&lt;&gt;DATE(YEAR((Tahmin!$C$4+35)),MONTH((Tahmin!$C$4+35)),MIN(DAY(Kalemler!$D153),DAY(EOMONTH((Tahmin!$C$4+35),0)))),DATE(YEAR((Tahmin!$C$4+41)),MONTH((Tahmin!$C$4+41)),MIN(DAY(Kalemler!$D153),DAY(EOMONTH((Tahmin!$C$4+41),0))))&gt;=Kalemler!$D153)),1,0),IF(AND(Kalemler!$D153&gt;=(Tahmin!$C$4+35),Kalemler!$D153&lt;=(Tahmin!$C$4+41)),1,0))))</f>
        <v>0</v>
      </c>
      <c r="H153" s="0" t="n">
        <f aca="false">IF(OR(Kalemler!$A153="",Kalemler!$C153="",Kalemler!$D153=""),0,Kalemler!$C153*IF(Kalemler!$E153="Haftalık",IF(Kalemler!$D153&lt;=(Tahmin!$C$4+48),1,0),IF(Kalemler!$E153="Aylık",IF(OR(AND(DATE(YEAR((Tahmin!$C$4+42)),MONTH((Tahmin!$C$4+42)),MIN(DAY(Kalemler!$D153),DAY(EOMONTH((Tahmin!$C$4+42),0))))&gt;=(Tahmin!$C$4+42),DATE(YEAR((Tahmin!$C$4+42)),MONTH((Tahmin!$C$4+42)),MIN(DAY(Kalemler!$D153),DAY(EOMONTH((Tahmin!$C$4+42),0))))&lt;=(Tahmin!$C$4+48),DATE(YEAR((Tahmin!$C$4+42)),MONTH((Tahmin!$C$4+42)),MIN(DAY(Kalemler!$D153),DAY(EOMONTH((Tahmin!$C$4+42),0))))&gt;=Kalemler!$D153),AND(DATE(YEAR((Tahmin!$C$4+48)),MONTH((Tahmin!$C$4+48)),MIN(DAY(Kalemler!$D153),DAY(EOMONTH((Tahmin!$C$4+48),0))))&gt;=(Tahmin!$C$4+42),DATE(YEAR((Tahmin!$C$4+48)),MONTH((Tahmin!$C$4+48)),MIN(DAY(Kalemler!$D153),DAY(EOMONTH((Tahmin!$C$4+48),0))))&lt;=(Tahmin!$C$4+48),DATE(YEAR((Tahmin!$C$4+48)),MONTH((Tahmin!$C$4+48)),MIN(DAY(Kalemler!$D153),DAY(EOMONTH((Tahmin!$C$4+48),0))))&lt;&gt;DATE(YEAR((Tahmin!$C$4+42)),MONTH((Tahmin!$C$4+42)),MIN(DAY(Kalemler!$D153),DAY(EOMONTH((Tahmin!$C$4+42),0)))),DATE(YEAR((Tahmin!$C$4+48)),MONTH((Tahmin!$C$4+48)),MIN(DAY(Kalemler!$D153),DAY(EOMONTH((Tahmin!$C$4+48),0))))&gt;=Kalemler!$D153)),1,0),IF(AND(Kalemler!$D153&gt;=(Tahmin!$C$4+42),Kalemler!$D153&lt;=(Tahmin!$C$4+48)),1,0))))</f>
        <v>0</v>
      </c>
      <c r="I153" s="0" t="n">
        <f aca="false">IF(OR(Kalemler!$A153="",Kalemler!$C153="",Kalemler!$D153=""),0,Kalemler!$C153*IF(Kalemler!$E153="Haftalık",IF(Kalemler!$D153&lt;=(Tahmin!$C$4+55),1,0),IF(Kalemler!$E153="Aylık",IF(OR(AND(DATE(YEAR((Tahmin!$C$4+49)),MONTH((Tahmin!$C$4+49)),MIN(DAY(Kalemler!$D153),DAY(EOMONTH((Tahmin!$C$4+49),0))))&gt;=(Tahmin!$C$4+49),DATE(YEAR((Tahmin!$C$4+49)),MONTH((Tahmin!$C$4+49)),MIN(DAY(Kalemler!$D153),DAY(EOMONTH((Tahmin!$C$4+49),0))))&lt;=(Tahmin!$C$4+55),DATE(YEAR((Tahmin!$C$4+49)),MONTH((Tahmin!$C$4+49)),MIN(DAY(Kalemler!$D153),DAY(EOMONTH((Tahmin!$C$4+49),0))))&gt;=Kalemler!$D153),AND(DATE(YEAR((Tahmin!$C$4+55)),MONTH((Tahmin!$C$4+55)),MIN(DAY(Kalemler!$D153),DAY(EOMONTH((Tahmin!$C$4+55),0))))&gt;=(Tahmin!$C$4+49),DATE(YEAR((Tahmin!$C$4+55)),MONTH((Tahmin!$C$4+55)),MIN(DAY(Kalemler!$D153),DAY(EOMONTH((Tahmin!$C$4+55),0))))&lt;=(Tahmin!$C$4+55),DATE(YEAR((Tahmin!$C$4+55)),MONTH((Tahmin!$C$4+55)),MIN(DAY(Kalemler!$D153),DAY(EOMONTH((Tahmin!$C$4+55),0))))&lt;&gt;DATE(YEAR((Tahmin!$C$4+49)),MONTH((Tahmin!$C$4+49)),MIN(DAY(Kalemler!$D153),DAY(EOMONTH((Tahmin!$C$4+49),0)))),DATE(YEAR((Tahmin!$C$4+55)),MONTH((Tahmin!$C$4+55)),MIN(DAY(Kalemler!$D153),DAY(EOMONTH((Tahmin!$C$4+55),0))))&gt;=Kalemler!$D153)),1,0),IF(AND(Kalemler!$D153&gt;=(Tahmin!$C$4+49),Kalemler!$D153&lt;=(Tahmin!$C$4+55)),1,0))))</f>
        <v>0</v>
      </c>
      <c r="J153" s="0" t="n">
        <f aca="false">IF(OR(Kalemler!$A153="",Kalemler!$C153="",Kalemler!$D153=""),0,Kalemler!$C153*IF(Kalemler!$E153="Haftalık",IF(Kalemler!$D153&lt;=(Tahmin!$C$4+62),1,0),IF(Kalemler!$E153="Aylık",IF(OR(AND(DATE(YEAR((Tahmin!$C$4+56)),MONTH((Tahmin!$C$4+56)),MIN(DAY(Kalemler!$D153),DAY(EOMONTH((Tahmin!$C$4+56),0))))&gt;=(Tahmin!$C$4+56),DATE(YEAR((Tahmin!$C$4+56)),MONTH((Tahmin!$C$4+56)),MIN(DAY(Kalemler!$D153),DAY(EOMONTH((Tahmin!$C$4+56),0))))&lt;=(Tahmin!$C$4+62),DATE(YEAR((Tahmin!$C$4+56)),MONTH((Tahmin!$C$4+56)),MIN(DAY(Kalemler!$D153),DAY(EOMONTH((Tahmin!$C$4+56),0))))&gt;=Kalemler!$D153),AND(DATE(YEAR((Tahmin!$C$4+62)),MONTH((Tahmin!$C$4+62)),MIN(DAY(Kalemler!$D153),DAY(EOMONTH((Tahmin!$C$4+62),0))))&gt;=(Tahmin!$C$4+56),DATE(YEAR((Tahmin!$C$4+62)),MONTH((Tahmin!$C$4+62)),MIN(DAY(Kalemler!$D153),DAY(EOMONTH((Tahmin!$C$4+62),0))))&lt;=(Tahmin!$C$4+62),DATE(YEAR((Tahmin!$C$4+62)),MONTH((Tahmin!$C$4+62)),MIN(DAY(Kalemler!$D153),DAY(EOMONTH((Tahmin!$C$4+62),0))))&lt;&gt;DATE(YEAR((Tahmin!$C$4+56)),MONTH((Tahmin!$C$4+56)),MIN(DAY(Kalemler!$D153),DAY(EOMONTH((Tahmin!$C$4+56),0)))),DATE(YEAR((Tahmin!$C$4+62)),MONTH((Tahmin!$C$4+62)),MIN(DAY(Kalemler!$D153),DAY(EOMONTH((Tahmin!$C$4+62),0))))&gt;=Kalemler!$D153)),1,0),IF(AND(Kalemler!$D153&gt;=(Tahmin!$C$4+56),Kalemler!$D153&lt;=(Tahmin!$C$4+62)),1,0))))</f>
        <v>0</v>
      </c>
      <c r="K153" s="0" t="n">
        <f aca="false">IF(OR(Kalemler!$A153="",Kalemler!$C153="",Kalemler!$D153=""),0,Kalemler!$C153*IF(Kalemler!$E153="Haftalık",IF(Kalemler!$D153&lt;=(Tahmin!$C$4+69),1,0),IF(Kalemler!$E153="Aylık",IF(OR(AND(DATE(YEAR((Tahmin!$C$4+63)),MONTH((Tahmin!$C$4+63)),MIN(DAY(Kalemler!$D153),DAY(EOMONTH((Tahmin!$C$4+63),0))))&gt;=(Tahmin!$C$4+63),DATE(YEAR((Tahmin!$C$4+63)),MONTH((Tahmin!$C$4+63)),MIN(DAY(Kalemler!$D153),DAY(EOMONTH((Tahmin!$C$4+63),0))))&lt;=(Tahmin!$C$4+69),DATE(YEAR((Tahmin!$C$4+63)),MONTH((Tahmin!$C$4+63)),MIN(DAY(Kalemler!$D153),DAY(EOMONTH((Tahmin!$C$4+63),0))))&gt;=Kalemler!$D153),AND(DATE(YEAR((Tahmin!$C$4+69)),MONTH((Tahmin!$C$4+69)),MIN(DAY(Kalemler!$D153),DAY(EOMONTH((Tahmin!$C$4+69),0))))&gt;=(Tahmin!$C$4+63),DATE(YEAR((Tahmin!$C$4+69)),MONTH((Tahmin!$C$4+69)),MIN(DAY(Kalemler!$D153),DAY(EOMONTH((Tahmin!$C$4+69),0))))&lt;=(Tahmin!$C$4+69),DATE(YEAR((Tahmin!$C$4+69)),MONTH((Tahmin!$C$4+69)),MIN(DAY(Kalemler!$D153),DAY(EOMONTH((Tahmin!$C$4+69),0))))&lt;&gt;DATE(YEAR((Tahmin!$C$4+63)),MONTH((Tahmin!$C$4+63)),MIN(DAY(Kalemler!$D153),DAY(EOMONTH((Tahmin!$C$4+63),0)))),DATE(YEAR((Tahmin!$C$4+69)),MONTH((Tahmin!$C$4+69)),MIN(DAY(Kalemler!$D153),DAY(EOMONTH((Tahmin!$C$4+69),0))))&gt;=Kalemler!$D153)),1,0),IF(AND(Kalemler!$D153&gt;=(Tahmin!$C$4+63),Kalemler!$D153&lt;=(Tahmin!$C$4+69)),1,0))))</f>
        <v>0</v>
      </c>
      <c r="L153" s="0" t="n">
        <f aca="false">IF(OR(Kalemler!$A153="",Kalemler!$C153="",Kalemler!$D153=""),0,Kalemler!$C153*IF(Kalemler!$E153="Haftalık",IF(Kalemler!$D153&lt;=(Tahmin!$C$4+76),1,0),IF(Kalemler!$E153="Aylık",IF(OR(AND(DATE(YEAR((Tahmin!$C$4+70)),MONTH((Tahmin!$C$4+70)),MIN(DAY(Kalemler!$D153),DAY(EOMONTH((Tahmin!$C$4+70),0))))&gt;=(Tahmin!$C$4+70),DATE(YEAR((Tahmin!$C$4+70)),MONTH((Tahmin!$C$4+70)),MIN(DAY(Kalemler!$D153),DAY(EOMONTH((Tahmin!$C$4+70),0))))&lt;=(Tahmin!$C$4+76),DATE(YEAR((Tahmin!$C$4+70)),MONTH((Tahmin!$C$4+70)),MIN(DAY(Kalemler!$D153),DAY(EOMONTH((Tahmin!$C$4+70),0))))&gt;=Kalemler!$D153),AND(DATE(YEAR((Tahmin!$C$4+76)),MONTH((Tahmin!$C$4+76)),MIN(DAY(Kalemler!$D153),DAY(EOMONTH((Tahmin!$C$4+76),0))))&gt;=(Tahmin!$C$4+70),DATE(YEAR((Tahmin!$C$4+76)),MONTH((Tahmin!$C$4+76)),MIN(DAY(Kalemler!$D153),DAY(EOMONTH((Tahmin!$C$4+76),0))))&lt;=(Tahmin!$C$4+76),DATE(YEAR((Tahmin!$C$4+76)),MONTH((Tahmin!$C$4+76)),MIN(DAY(Kalemler!$D153),DAY(EOMONTH((Tahmin!$C$4+76),0))))&lt;&gt;DATE(YEAR((Tahmin!$C$4+70)),MONTH((Tahmin!$C$4+70)),MIN(DAY(Kalemler!$D153),DAY(EOMONTH((Tahmin!$C$4+70),0)))),DATE(YEAR((Tahmin!$C$4+76)),MONTH((Tahmin!$C$4+76)),MIN(DAY(Kalemler!$D153),DAY(EOMONTH((Tahmin!$C$4+76),0))))&gt;=Kalemler!$D153)),1,0),IF(AND(Kalemler!$D153&gt;=(Tahmin!$C$4+70),Kalemler!$D153&lt;=(Tahmin!$C$4+76)),1,0))))</f>
        <v>0</v>
      </c>
      <c r="M153" s="0" t="n">
        <f aca="false">IF(OR(Kalemler!$A153="",Kalemler!$C153="",Kalemler!$D153=""),0,Kalemler!$C153*IF(Kalemler!$E153="Haftalık",IF(Kalemler!$D153&lt;=(Tahmin!$C$4+83),1,0),IF(Kalemler!$E153="Aylık",IF(OR(AND(DATE(YEAR((Tahmin!$C$4+77)),MONTH((Tahmin!$C$4+77)),MIN(DAY(Kalemler!$D153),DAY(EOMONTH((Tahmin!$C$4+77),0))))&gt;=(Tahmin!$C$4+77),DATE(YEAR((Tahmin!$C$4+77)),MONTH((Tahmin!$C$4+77)),MIN(DAY(Kalemler!$D153),DAY(EOMONTH((Tahmin!$C$4+77),0))))&lt;=(Tahmin!$C$4+83),DATE(YEAR((Tahmin!$C$4+77)),MONTH((Tahmin!$C$4+77)),MIN(DAY(Kalemler!$D153),DAY(EOMONTH((Tahmin!$C$4+77),0))))&gt;=Kalemler!$D153),AND(DATE(YEAR((Tahmin!$C$4+83)),MONTH((Tahmin!$C$4+83)),MIN(DAY(Kalemler!$D153),DAY(EOMONTH((Tahmin!$C$4+83),0))))&gt;=(Tahmin!$C$4+77),DATE(YEAR((Tahmin!$C$4+83)),MONTH((Tahmin!$C$4+83)),MIN(DAY(Kalemler!$D153),DAY(EOMONTH((Tahmin!$C$4+83),0))))&lt;=(Tahmin!$C$4+83),DATE(YEAR((Tahmin!$C$4+83)),MONTH((Tahmin!$C$4+83)),MIN(DAY(Kalemler!$D153),DAY(EOMONTH((Tahmin!$C$4+83),0))))&lt;&gt;DATE(YEAR((Tahmin!$C$4+77)),MONTH((Tahmin!$C$4+77)),MIN(DAY(Kalemler!$D153),DAY(EOMONTH((Tahmin!$C$4+77),0)))),DATE(YEAR((Tahmin!$C$4+83)),MONTH((Tahmin!$C$4+83)),MIN(DAY(Kalemler!$D153),DAY(EOMONTH((Tahmin!$C$4+83),0))))&gt;=Kalemler!$D153)),1,0),IF(AND(Kalemler!$D153&gt;=(Tahmin!$C$4+77),Kalemler!$D153&lt;=(Tahmin!$C$4+83)),1,0))))</f>
        <v>0</v>
      </c>
      <c r="N153" s="0" t="n">
        <f aca="false">IF(OR(Kalemler!$A153="",Kalemler!$C153="",Kalemler!$D153=""),0,Kalemler!$C153*IF(Kalemler!$E153="Haftalık",IF(Kalemler!$D153&lt;=(Tahmin!$C$4+90),1,0),IF(Kalemler!$E153="Aylık",IF(OR(AND(DATE(YEAR((Tahmin!$C$4+84)),MONTH((Tahmin!$C$4+84)),MIN(DAY(Kalemler!$D153),DAY(EOMONTH((Tahmin!$C$4+84),0))))&gt;=(Tahmin!$C$4+84),DATE(YEAR((Tahmin!$C$4+84)),MONTH((Tahmin!$C$4+84)),MIN(DAY(Kalemler!$D153),DAY(EOMONTH((Tahmin!$C$4+84),0))))&lt;=(Tahmin!$C$4+90),DATE(YEAR((Tahmin!$C$4+84)),MONTH((Tahmin!$C$4+84)),MIN(DAY(Kalemler!$D153),DAY(EOMONTH((Tahmin!$C$4+84),0))))&gt;=Kalemler!$D153),AND(DATE(YEAR((Tahmin!$C$4+90)),MONTH((Tahmin!$C$4+90)),MIN(DAY(Kalemler!$D153),DAY(EOMONTH((Tahmin!$C$4+90),0))))&gt;=(Tahmin!$C$4+84),DATE(YEAR((Tahmin!$C$4+90)),MONTH((Tahmin!$C$4+90)),MIN(DAY(Kalemler!$D153),DAY(EOMONTH((Tahmin!$C$4+90),0))))&lt;=(Tahmin!$C$4+90),DATE(YEAR((Tahmin!$C$4+90)),MONTH((Tahmin!$C$4+90)),MIN(DAY(Kalemler!$D153),DAY(EOMONTH((Tahmin!$C$4+90),0))))&lt;&gt;DATE(YEAR((Tahmin!$C$4+84)),MONTH((Tahmin!$C$4+84)),MIN(DAY(Kalemler!$D153),DAY(EOMONTH((Tahmin!$C$4+84),0)))),DATE(YEAR((Tahmin!$C$4+90)),MONTH((Tahmin!$C$4+90)),MIN(DAY(Kalemler!$D153),DAY(EOMONTH((Tahmin!$C$4+90),0))))&gt;=Kalemler!$D153)),1,0),IF(AND(Kalemler!$D153&gt;=(Tahmin!$C$4+84),Kalemler!$D153&lt;=(Tahmin!$C$4+90)),1,0))))</f>
        <v>0</v>
      </c>
    </row>
    <row r="154" customFormat="false" ht="15" hidden="false" customHeight="false" outlineLevel="0" collapsed="false">
      <c r="A154" s="0" t="str">
        <f aca="false">IF(Kalemler!A154="","",Kalemler!A154)</f>
        <v/>
      </c>
      <c r="B154" s="0" t="n">
        <f aca="false">IF(OR(Kalemler!$A154="",Kalemler!$C154="",Kalemler!$D154=""),0,Kalemler!$C154*IF(Kalemler!$E154="Haftalık",IF(Kalemler!$D154&lt;=(Tahmin!$C$4+6),1,0),IF(Kalemler!$E154="Aylık",IF(OR(AND(DATE(YEAR((Tahmin!$C$4+0)),MONTH((Tahmin!$C$4+0)),MIN(DAY(Kalemler!$D154),DAY(EOMONTH((Tahmin!$C$4+0),0))))&gt;=(Tahmin!$C$4+0),DATE(YEAR((Tahmin!$C$4+0)),MONTH((Tahmin!$C$4+0)),MIN(DAY(Kalemler!$D154),DAY(EOMONTH((Tahmin!$C$4+0),0))))&lt;=(Tahmin!$C$4+6),DATE(YEAR((Tahmin!$C$4+0)),MONTH((Tahmin!$C$4+0)),MIN(DAY(Kalemler!$D154),DAY(EOMONTH((Tahmin!$C$4+0),0))))&gt;=Kalemler!$D154),AND(DATE(YEAR((Tahmin!$C$4+6)),MONTH((Tahmin!$C$4+6)),MIN(DAY(Kalemler!$D154),DAY(EOMONTH((Tahmin!$C$4+6),0))))&gt;=(Tahmin!$C$4+0),DATE(YEAR((Tahmin!$C$4+6)),MONTH((Tahmin!$C$4+6)),MIN(DAY(Kalemler!$D154),DAY(EOMONTH((Tahmin!$C$4+6),0))))&lt;=(Tahmin!$C$4+6),DATE(YEAR((Tahmin!$C$4+6)),MONTH((Tahmin!$C$4+6)),MIN(DAY(Kalemler!$D154),DAY(EOMONTH((Tahmin!$C$4+6),0))))&lt;&gt;DATE(YEAR((Tahmin!$C$4+0)),MONTH((Tahmin!$C$4+0)),MIN(DAY(Kalemler!$D154),DAY(EOMONTH((Tahmin!$C$4+0),0)))),DATE(YEAR((Tahmin!$C$4+6)),MONTH((Tahmin!$C$4+6)),MIN(DAY(Kalemler!$D154),DAY(EOMONTH((Tahmin!$C$4+6),0))))&gt;=Kalemler!$D154)),1,0),IF(AND(Kalemler!$D154&gt;=(Tahmin!$C$4+0),Kalemler!$D154&lt;=(Tahmin!$C$4+6)),1,0))))</f>
        <v>0</v>
      </c>
      <c r="C154" s="0" t="n">
        <f aca="false">IF(OR(Kalemler!$A154="",Kalemler!$C154="",Kalemler!$D154=""),0,Kalemler!$C154*IF(Kalemler!$E154="Haftalık",IF(Kalemler!$D154&lt;=(Tahmin!$C$4+13),1,0),IF(Kalemler!$E154="Aylık",IF(OR(AND(DATE(YEAR((Tahmin!$C$4+7)),MONTH((Tahmin!$C$4+7)),MIN(DAY(Kalemler!$D154),DAY(EOMONTH((Tahmin!$C$4+7),0))))&gt;=(Tahmin!$C$4+7),DATE(YEAR((Tahmin!$C$4+7)),MONTH((Tahmin!$C$4+7)),MIN(DAY(Kalemler!$D154),DAY(EOMONTH((Tahmin!$C$4+7),0))))&lt;=(Tahmin!$C$4+13),DATE(YEAR((Tahmin!$C$4+7)),MONTH((Tahmin!$C$4+7)),MIN(DAY(Kalemler!$D154),DAY(EOMONTH((Tahmin!$C$4+7),0))))&gt;=Kalemler!$D154),AND(DATE(YEAR((Tahmin!$C$4+13)),MONTH((Tahmin!$C$4+13)),MIN(DAY(Kalemler!$D154),DAY(EOMONTH((Tahmin!$C$4+13),0))))&gt;=(Tahmin!$C$4+7),DATE(YEAR((Tahmin!$C$4+13)),MONTH((Tahmin!$C$4+13)),MIN(DAY(Kalemler!$D154),DAY(EOMONTH((Tahmin!$C$4+13),0))))&lt;=(Tahmin!$C$4+13),DATE(YEAR((Tahmin!$C$4+13)),MONTH((Tahmin!$C$4+13)),MIN(DAY(Kalemler!$D154),DAY(EOMONTH((Tahmin!$C$4+13),0))))&lt;&gt;DATE(YEAR((Tahmin!$C$4+7)),MONTH((Tahmin!$C$4+7)),MIN(DAY(Kalemler!$D154),DAY(EOMONTH((Tahmin!$C$4+7),0)))),DATE(YEAR((Tahmin!$C$4+13)),MONTH((Tahmin!$C$4+13)),MIN(DAY(Kalemler!$D154),DAY(EOMONTH((Tahmin!$C$4+13),0))))&gt;=Kalemler!$D154)),1,0),IF(AND(Kalemler!$D154&gt;=(Tahmin!$C$4+7),Kalemler!$D154&lt;=(Tahmin!$C$4+13)),1,0))))</f>
        <v>0</v>
      </c>
      <c r="D154" s="0" t="n">
        <f aca="false">IF(OR(Kalemler!$A154="",Kalemler!$C154="",Kalemler!$D154=""),0,Kalemler!$C154*IF(Kalemler!$E154="Haftalık",IF(Kalemler!$D154&lt;=(Tahmin!$C$4+20),1,0),IF(Kalemler!$E154="Aylık",IF(OR(AND(DATE(YEAR((Tahmin!$C$4+14)),MONTH((Tahmin!$C$4+14)),MIN(DAY(Kalemler!$D154),DAY(EOMONTH((Tahmin!$C$4+14),0))))&gt;=(Tahmin!$C$4+14),DATE(YEAR((Tahmin!$C$4+14)),MONTH((Tahmin!$C$4+14)),MIN(DAY(Kalemler!$D154),DAY(EOMONTH((Tahmin!$C$4+14),0))))&lt;=(Tahmin!$C$4+20),DATE(YEAR((Tahmin!$C$4+14)),MONTH((Tahmin!$C$4+14)),MIN(DAY(Kalemler!$D154),DAY(EOMONTH((Tahmin!$C$4+14),0))))&gt;=Kalemler!$D154),AND(DATE(YEAR((Tahmin!$C$4+20)),MONTH((Tahmin!$C$4+20)),MIN(DAY(Kalemler!$D154),DAY(EOMONTH((Tahmin!$C$4+20),0))))&gt;=(Tahmin!$C$4+14),DATE(YEAR((Tahmin!$C$4+20)),MONTH((Tahmin!$C$4+20)),MIN(DAY(Kalemler!$D154),DAY(EOMONTH((Tahmin!$C$4+20),0))))&lt;=(Tahmin!$C$4+20),DATE(YEAR((Tahmin!$C$4+20)),MONTH((Tahmin!$C$4+20)),MIN(DAY(Kalemler!$D154),DAY(EOMONTH((Tahmin!$C$4+20),0))))&lt;&gt;DATE(YEAR((Tahmin!$C$4+14)),MONTH((Tahmin!$C$4+14)),MIN(DAY(Kalemler!$D154),DAY(EOMONTH((Tahmin!$C$4+14),0)))),DATE(YEAR((Tahmin!$C$4+20)),MONTH((Tahmin!$C$4+20)),MIN(DAY(Kalemler!$D154),DAY(EOMONTH((Tahmin!$C$4+20),0))))&gt;=Kalemler!$D154)),1,0),IF(AND(Kalemler!$D154&gt;=(Tahmin!$C$4+14),Kalemler!$D154&lt;=(Tahmin!$C$4+20)),1,0))))</f>
        <v>0</v>
      </c>
      <c r="E154" s="0" t="n">
        <f aca="false">IF(OR(Kalemler!$A154="",Kalemler!$C154="",Kalemler!$D154=""),0,Kalemler!$C154*IF(Kalemler!$E154="Haftalık",IF(Kalemler!$D154&lt;=(Tahmin!$C$4+27),1,0),IF(Kalemler!$E154="Aylık",IF(OR(AND(DATE(YEAR((Tahmin!$C$4+21)),MONTH((Tahmin!$C$4+21)),MIN(DAY(Kalemler!$D154),DAY(EOMONTH((Tahmin!$C$4+21),0))))&gt;=(Tahmin!$C$4+21),DATE(YEAR((Tahmin!$C$4+21)),MONTH((Tahmin!$C$4+21)),MIN(DAY(Kalemler!$D154),DAY(EOMONTH((Tahmin!$C$4+21),0))))&lt;=(Tahmin!$C$4+27),DATE(YEAR((Tahmin!$C$4+21)),MONTH((Tahmin!$C$4+21)),MIN(DAY(Kalemler!$D154),DAY(EOMONTH((Tahmin!$C$4+21),0))))&gt;=Kalemler!$D154),AND(DATE(YEAR((Tahmin!$C$4+27)),MONTH((Tahmin!$C$4+27)),MIN(DAY(Kalemler!$D154),DAY(EOMONTH((Tahmin!$C$4+27),0))))&gt;=(Tahmin!$C$4+21),DATE(YEAR((Tahmin!$C$4+27)),MONTH((Tahmin!$C$4+27)),MIN(DAY(Kalemler!$D154),DAY(EOMONTH((Tahmin!$C$4+27),0))))&lt;=(Tahmin!$C$4+27),DATE(YEAR((Tahmin!$C$4+27)),MONTH((Tahmin!$C$4+27)),MIN(DAY(Kalemler!$D154),DAY(EOMONTH((Tahmin!$C$4+27),0))))&lt;&gt;DATE(YEAR((Tahmin!$C$4+21)),MONTH((Tahmin!$C$4+21)),MIN(DAY(Kalemler!$D154),DAY(EOMONTH((Tahmin!$C$4+21),0)))),DATE(YEAR((Tahmin!$C$4+27)),MONTH((Tahmin!$C$4+27)),MIN(DAY(Kalemler!$D154),DAY(EOMONTH((Tahmin!$C$4+27),0))))&gt;=Kalemler!$D154)),1,0),IF(AND(Kalemler!$D154&gt;=(Tahmin!$C$4+21),Kalemler!$D154&lt;=(Tahmin!$C$4+27)),1,0))))</f>
        <v>0</v>
      </c>
      <c r="F154" s="0" t="n">
        <f aca="false">IF(OR(Kalemler!$A154="",Kalemler!$C154="",Kalemler!$D154=""),0,Kalemler!$C154*IF(Kalemler!$E154="Haftalık",IF(Kalemler!$D154&lt;=(Tahmin!$C$4+34),1,0),IF(Kalemler!$E154="Aylık",IF(OR(AND(DATE(YEAR((Tahmin!$C$4+28)),MONTH((Tahmin!$C$4+28)),MIN(DAY(Kalemler!$D154),DAY(EOMONTH((Tahmin!$C$4+28),0))))&gt;=(Tahmin!$C$4+28),DATE(YEAR((Tahmin!$C$4+28)),MONTH((Tahmin!$C$4+28)),MIN(DAY(Kalemler!$D154),DAY(EOMONTH((Tahmin!$C$4+28),0))))&lt;=(Tahmin!$C$4+34),DATE(YEAR((Tahmin!$C$4+28)),MONTH((Tahmin!$C$4+28)),MIN(DAY(Kalemler!$D154),DAY(EOMONTH((Tahmin!$C$4+28),0))))&gt;=Kalemler!$D154),AND(DATE(YEAR((Tahmin!$C$4+34)),MONTH((Tahmin!$C$4+34)),MIN(DAY(Kalemler!$D154),DAY(EOMONTH((Tahmin!$C$4+34),0))))&gt;=(Tahmin!$C$4+28),DATE(YEAR((Tahmin!$C$4+34)),MONTH((Tahmin!$C$4+34)),MIN(DAY(Kalemler!$D154),DAY(EOMONTH((Tahmin!$C$4+34),0))))&lt;=(Tahmin!$C$4+34),DATE(YEAR((Tahmin!$C$4+34)),MONTH((Tahmin!$C$4+34)),MIN(DAY(Kalemler!$D154),DAY(EOMONTH((Tahmin!$C$4+34),0))))&lt;&gt;DATE(YEAR((Tahmin!$C$4+28)),MONTH((Tahmin!$C$4+28)),MIN(DAY(Kalemler!$D154),DAY(EOMONTH((Tahmin!$C$4+28),0)))),DATE(YEAR((Tahmin!$C$4+34)),MONTH((Tahmin!$C$4+34)),MIN(DAY(Kalemler!$D154),DAY(EOMONTH((Tahmin!$C$4+34),0))))&gt;=Kalemler!$D154)),1,0),IF(AND(Kalemler!$D154&gt;=(Tahmin!$C$4+28),Kalemler!$D154&lt;=(Tahmin!$C$4+34)),1,0))))</f>
        <v>0</v>
      </c>
      <c r="G154" s="0" t="n">
        <f aca="false">IF(OR(Kalemler!$A154="",Kalemler!$C154="",Kalemler!$D154=""),0,Kalemler!$C154*IF(Kalemler!$E154="Haftalık",IF(Kalemler!$D154&lt;=(Tahmin!$C$4+41),1,0),IF(Kalemler!$E154="Aylık",IF(OR(AND(DATE(YEAR((Tahmin!$C$4+35)),MONTH((Tahmin!$C$4+35)),MIN(DAY(Kalemler!$D154),DAY(EOMONTH((Tahmin!$C$4+35),0))))&gt;=(Tahmin!$C$4+35),DATE(YEAR((Tahmin!$C$4+35)),MONTH((Tahmin!$C$4+35)),MIN(DAY(Kalemler!$D154),DAY(EOMONTH((Tahmin!$C$4+35),0))))&lt;=(Tahmin!$C$4+41),DATE(YEAR((Tahmin!$C$4+35)),MONTH((Tahmin!$C$4+35)),MIN(DAY(Kalemler!$D154),DAY(EOMONTH((Tahmin!$C$4+35),0))))&gt;=Kalemler!$D154),AND(DATE(YEAR((Tahmin!$C$4+41)),MONTH((Tahmin!$C$4+41)),MIN(DAY(Kalemler!$D154),DAY(EOMONTH((Tahmin!$C$4+41),0))))&gt;=(Tahmin!$C$4+35),DATE(YEAR((Tahmin!$C$4+41)),MONTH((Tahmin!$C$4+41)),MIN(DAY(Kalemler!$D154),DAY(EOMONTH((Tahmin!$C$4+41),0))))&lt;=(Tahmin!$C$4+41),DATE(YEAR((Tahmin!$C$4+41)),MONTH((Tahmin!$C$4+41)),MIN(DAY(Kalemler!$D154),DAY(EOMONTH((Tahmin!$C$4+41),0))))&lt;&gt;DATE(YEAR((Tahmin!$C$4+35)),MONTH((Tahmin!$C$4+35)),MIN(DAY(Kalemler!$D154),DAY(EOMONTH((Tahmin!$C$4+35),0)))),DATE(YEAR((Tahmin!$C$4+41)),MONTH((Tahmin!$C$4+41)),MIN(DAY(Kalemler!$D154),DAY(EOMONTH((Tahmin!$C$4+41),0))))&gt;=Kalemler!$D154)),1,0),IF(AND(Kalemler!$D154&gt;=(Tahmin!$C$4+35),Kalemler!$D154&lt;=(Tahmin!$C$4+41)),1,0))))</f>
        <v>0</v>
      </c>
      <c r="H154" s="0" t="n">
        <f aca="false">IF(OR(Kalemler!$A154="",Kalemler!$C154="",Kalemler!$D154=""),0,Kalemler!$C154*IF(Kalemler!$E154="Haftalık",IF(Kalemler!$D154&lt;=(Tahmin!$C$4+48),1,0),IF(Kalemler!$E154="Aylık",IF(OR(AND(DATE(YEAR((Tahmin!$C$4+42)),MONTH((Tahmin!$C$4+42)),MIN(DAY(Kalemler!$D154),DAY(EOMONTH((Tahmin!$C$4+42),0))))&gt;=(Tahmin!$C$4+42),DATE(YEAR((Tahmin!$C$4+42)),MONTH((Tahmin!$C$4+42)),MIN(DAY(Kalemler!$D154),DAY(EOMONTH((Tahmin!$C$4+42),0))))&lt;=(Tahmin!$C$4+48),DATE(YEAR((Tahmin!$C$4+42)),MONTH((Tahmin!$C$4+42)),MIN(DAY(Kalemler!$D154),DAY(EOMONTH((Tahmin!$C$4+42),0))))&gt;=Kalemler!$D154),AND(DATE(YEAR((Tahmin!$C$4+48)),MONTH((Tahmin!$C$4+48)),MIN(DAY(Kalemler!$D154),DAY(EOMONTH((Tahmin!$C$4+48),0))))&gt;=(Tahmin!$C$4+42),DATE(YEAR((Tahmin!$C$4+48)),MONTH((Tahmin!$C$4+48)),MIN(DAY(Kalemler!$D154),DAY(EOMONTH((Tahmin!$C$4+48),0))))&lt;=(Tahmin!$C$4+48),DATE(YEAR((Tahmin!$C$4+48)),MONTH((Tahmin!$C$4+48)),MIN(DAY(Kalemler!$D154),DAY(EOMONTH((Tahmin!$C$4+48),0))))&lt;&gt;DATE(YEAR((Tahmin!$C$4+42)),MONTH((Tahmin!$C$4+42)),MIN(DAY(Kalemler!$D154),DAY(EOMONTH((Tahmin!$C$4+42),0)))),DATE(YEAR((Tahmin!$C$4+48)),MONTH((Tahmin!$C$4+48)),MIN(DAY(Kalemler!$D154),DAY(EOMONTH((Tahmin!$C$4+48),0))))&gt;=Kalemler!$D154)),1,0),IF(AND(Kalemler!$D154&gt;=(Tahmin!$C$4+42),Kalemler!$D154&lt;=(Tahmin!$C$4+48)),1,0))))</f>
        <v>0</v>
      </c>
      <c r="I154" s="0" t="n">
        <f aca="false">IF(OR(Kalemler!$A154="",Kalemler!$C154="",Kalemler!$D154=""),0,Kalemler!$C154*IF(Kalemler!$E154="Haftalık",IF(Kalemler!$D154&lt;=(Tahmin!$C$4+55),1,0),IF(Kalemler!$E154="Aylık",IF(OR(AND(DATE(YEAR((Tahmin!$C$4+49)),MONTH((Tahmin!$C$4+49)),MIN(DAY(Kalemler!$D154),DAY(EOMONTH((Tahmin!$C$4+49),0))))&gt;=(Tahmin!$C$4+49),DATE(YEAR((Tahmin!$C$4+49)),MONTH((Tahmin!$C$4+49)),MIN(DAY(Kalemler!$D154),DAY(EOMONTH((Tahmin!$C$4+49),0))))&lt;=(Tahmin!$C$4+55),DATE(YEAR((Tahmin!$C$4+49)),MONTH((Tahmin!$C$4+49)),MIN(DAY(Kalemler!$D154),DAY(EOMONTH((Tahmin!$C$4+49),0))))&gt;=Kalemler!$D154),AND(DATE(YEAR((Tahmin!$C$4+55)),MONTH((Tahmin!$C$4+55)),MIN(DAY(Kalemler!$D154),DAY(EOMONTH((Tahmin!$C$4+55),0))))&gt;=(Tahmin!$C$4+49),DATE(YEAR((Tahmin!$C$4+55)),MONTH((Tahmin!$C$4+55)),MIN(DAY(Kalemler!$D154),DAY(EOMONTH((Tahmin!$C$4+55),0))))&lt;=(Tahmin!$C$4+55),DATE(YEAR((Tahmin!$C$4+55)),MONTH((Tahmin!$C$4+55)),MIN(DAY(Kalemler!$D154),DAY(EOMONTH((Tahmin!$C$4+55),0))))&lt;&gt;DATE(YEAR((Tahmin!$C$4+49)),MONTH((Tahmin!$C$4+49)),MIN(DAY(Kalemler!$D154),DAY(EOMONTH((Tahmin!$C$4+49),0)))),DATE(YEAR((Tahmin!$C$4+55)),MONTH((Tahmin!$C$4+55)),MIN(DAY(Kalemler!$D154),DAY(EOMONTH((Tahmin!$C$4+55),0))))&gt;=Kalemler!$D154)),1,0),IF(AND(Kalemler!$D154&gt;=(Tahmin!$C$4+49),Kalemler!$D154&lt;=(Tahmin!$C$4+55)),1,0))))</f>
        <v>0</v>
      </c>
      <c r="J154" s="0" t="n">
        <f aca="false">IF(OR(Kalemler!$A154="",Kalemler!$C154="",Kalemler!$D154=""),0,Kalemler!$C154*IF(Kalemler!$E154="Haftalık",IF(Kalemler!$D154&lt;=(Tahmin!$C$4+62),1,0),IF(Kalemler!$E154="Aylık",IF(OR(AND(DATE(YEAR((Tahmin!$C$4+56)),MONTH((Tahmin!$C$4+56)),MIN(DAY(Kalemler!$D154),DAY(EOMONTH((Tahmin!$C$4+56),0))))&gt;=(Tahmin!$C$4+56),DATE(YEAR((Tahmin!$C$4+56)),MONTH((Tahmin!$C$4+56)),MIN(DAY(Kalemler!$D154),DAY(EOMONTH((Tahmin!$C$4+56),0))))&lt;=(Tahmin!$C$4+62),DATE(YEAR((Tahmin!$C$4+56)),MONTH((Tahmin!$C$4+56)),MIN(DAY(Kalemler!$D154),DAY(EOMONTH((Tahmin!$C$4+56),0))))&gt;=Kalemler!$D154),AND(DATE(YEAR((Tahmin!$C$4+62)),MONTH((Tahmin!$C$4+62)),MIN(DAY(Kalemler!$D154),DAY(EOMONTH((Tahmin!$C$4+62),0))))&gt;=(Tahmin!$C$4+56),DATE(YEAR((Tahmin!$C$4+62)),MONTH((Tahmin!$C$4+62)),MIN(DAY(Kalemler!$D154),DAY(EOMONTH((Tahmin!$C$4+62),0))))&lt;=(Tahmin!$C$4+62),DATE(YEAR((Tahmin!$C$4+62)),MONTH((Tahmin!$C$4+62)),MIN(DAY(Kalemler!$D154),DAY(EOMONTH((Tahmin!$C$4+62),0))))&lt;&gt;DATE(YEAR((Tahmin!$C$4+56)),MONTH((Tahmin!$C$4+56)),MIN(DAY(Kalemler!$D154),DAY(EOMONTH((Tahmin!$C$4+56),0)))),DATE(YEAR((Tahmin!$C$4+62)),MONTH((Tahmin!$C$4+62)),MIN(DAY(Kalemler!$D154),DAY(EOMONTH((Tahmin!$C$4+62),0))))&gt;=Kalemler!$D154)),1,0),IF(AND(Kalemler!$D154&gt;=(Tahmin!$C$4+56),Kalemler!$D154&lt;=(Tahmin!$C$4+62)),1,0))))</f>
        <v>0</v>
      </c>
      <c r="K154" s="0" t="n">
        <f aca="false">IF(OR(Kalemler!$A154="",Kalemler!$C154="",Kalemler!$D154=""),0,Kalemler!$C154*IF(Kalemler!$E154="Haftalık",IF(Kalemler!$D154&lt;=(Tahmin!$C$4+69),1,0),IF(Kalemler!$E154="Aylık",IF(OR(AND(DATE(YEAR((Tahmin!$C$4+63)),MONTH((Tahmin!$C$4+63)),MIN(DAY(Kalemler!$D154),DAY(EOMONTH((Tahmin!$C$4+63),0))))&gt;=(Tahmin!$C$4+63),DATE(YEAR((Tahmin!$C$4+63)),MONTH((Tahmin!$C$4+63)),MIN(DAY(Kalemler!$D154),DAY(EOMONTH((Tahmin!$C$4+63),0))))&lt;=(Tahmin!$C$4+69),DATE(YEAR((Tahmin!$C$4+63)),MONTH((Tahmin!$C$4+63)),MIN(DAY(Kalemler!$D154),DAY(EOMONTH((Tahmin!$C$4+63),0))))&gt;=Kalemler!$D154),AND(DATE(YEAR((Tahmin!$C$4+69)),MONTH((Tahmin!$C$4+69)),MIN(DAY(Kalemler!$D154),DAY(EOMONTH((Tahmin!$C$4+69),0))))&gt;=(Tahmin!$C$4+63),DATE(YEAR((Tahmin!$C$4+69)),MONTH((Tahmin!$C$4+69)),MIN(DAY(Kalemler!$D154),DAY(EOMONTH((Tahmin!$C$4+69),0))))&lt;=(Tahmin!$C$4+69),DATE(YEAR((Tahmin!$C$4+69)),MONTH((Tahmin!$C$4+69)),MIN(DAY(Kalemler!$D154),DAY(EOMONTH((Tahmin!$C$4+69),0))))&lt;&gt;DATE(YEAR((Tahmin!$C$4+63)),MONTH((Tahmin!$C$4+63)),MIN(DAY(Kalemler!$D154),DAY(EOMONTH((Tahmin!$C$4+63),0)))),DATE(YEAR((Tahmin!$C$4+69)),MONTH((Tahmin!$C$4+69)),MIN(DAY(Kalemler!$D154),DAY(EOMONTH((Tahmin!$C$4+69),0))))&gt;=Kalemler!$D154)),1,0),IF(AND(Kalemler!$D154&gt;=(Tahmin!$C$4+63),Kalemler!$D154&lt;=(Tahmin!$C$4+69)),1,0))))</f>
        <v>0</v>
      </c>
      <c r="L154" s="0" t="n">
        <f aca="false">IF(OR(Kalemler!$A154="",Kalemler!$C154="",Kalemler!$D154=""),0,Kalemler!$C154*IF(Kalemler!$E154="Haftalık",IF(Kalemler!$D154&lt;=(Tahmin!$C$4+76),1,0),IF(Kalemler!$E154="Aylık",IF(OR(AND(DATE(YEAR((Tahmin!$C$4+70)),MONTH((Tahmin!$C$4+70)),MIN(DAY(Kalemler!$D154),DAY(EOMONTH((Tahmin!$C$4+70),0))))&gt;=(Tahmin!$C$4+70),DATE(YEAR((Tahmin!$C$4+70)),MONTH((Tahmin!$C$4+70)),MIN(DAY(Kalemler!$D154),DAY(EOMONTH((Tahmin!$C$4+70),0))))&lt;=(Tahmin!$C$4+76),DATE(YEAR((Tahmin!$C$4+70)),MONTH((Tahmin!$C$4+70)),MIN(DAY(Kalemler!$D154),DAY(EOMONTH((Tahmin!$C$4+70),0))))&gt;=Kalemler!$D154),AND(DATE(YEAR((Tahmin!$C$4+76)),MONTH((Tahmin!$C$4+76)),MIN(DAY(Kalemler!$D154),DAY(EOMONTH((Tahmin!$C$4+76),0))))&gt;=(Tahmin!$C$4+70),DATE(YEAR((Tahmin!$C$4+76)),MONTH((Tahmin!$C$4+76)),MIN(DAY(Kalemler!$D154),DAY(EOMONTH((Tahmin!$C$4+76),0))))&lt;=(Tahmin!$C$4+76),DATE(YEAR((Tahmin!$C$4+76)),MONTH((Tahmin!$C$4+76)),MIN(DAY(Kalemler!$D154),DAY(EOMONTH((Tahmin!$C$4+76),0))))&lt;&gt;DATE(YEAR((Tahmin!$C$4+70)),MONTH((Tahmin!$C$4+70)),MIN(DAY(Kalemler!$D154),DAY(EOMONTH((Tahmin!$C$4+70),0)))),DATE(YEAR((Tahmin!$C$4+76)),MONTH((Tahmin!$C$4+76)),MIN(DAY(Kalemler!$D154),DAY(EOMONTH((Tahmin!$C$4+76),0))))&gt;=Kalemler!$D154)),1,0),IF(AND(Kalemler!$D154&gt;=(Tahmin!$C$4+70),Kalemler!$D154&lt;=(Tahmin!$C$4+76)),1,0))))</f>
        <v>0</v>
      </c>
      <c r="M154" s="0" t="n">
        <f aca="false">IF(OR(Kalemler!$A154="",Kalemler!$C154="",Kalemler!$D154=""),0,Kalemler!$C154*IF(Kalemler!$E154="Haftalık",IF(Kalemler!$D154&lt;=(Tahmin!$C$4+83),1,0),IF(Kalemler!$E154="Aylık",IF(OR(AND(DATE(YEAR((Tahmin!$C$4+77)),MONTH((Tahmin!$C$4+77)),MIN(DAY(Kalemler!$D154),DAY(EOMONTH((Tahmin!$C$4+77),0))))&gt;=(Tahmin!$C$4+77),DATE(YEAR((Tahmin!$C$4+77)),MONTH((Tahmin!$C$4+77)),MIN(DAY(Kalemler!$D154),DAY(EOMONTH((Tahmin!$C$4+77),0))))&lt;=(Tahmin!$C$4+83),DATE(YEAR((Tahmin!$C$4+77)),MONTH((Tahmin!$C$4+77)),MIN(DAY(Kalemler!$D154),DAY(EOMONTH((Tahmin!$C$4+77),0))))&gt;=Kalemler!$D154),AND(DATE(YEAR((Tahmin!$C$4+83)),MONTH((Tahmin!$C$4+83)),MIN(DAY(Kalemler!$D154),DAY(EOMONTH((Tahmin!$C$4+83),0))))&gt;=(Tahmin!$C$4+77),DATE(YEAR((Tahmin!$C$4+83)),MONTH((Tahmin!$C$4+83)),MIN(DAY(Kalemler!$D154),DAY(EOMONTH((Tahmin!$C$4+83),0))))&lt;=(Tahmin!$C$4+83),DATE(YEAR((Tahmin!$C$4+83)),MONTH((Tahmin!$C$4+83)),MIN(DAY(Kalemler!$D154),DAY(EOMONTH((Tahmin!$C$4+83),0))))&lt;&gt;DATE(YEAR((Tahmin!$C$4+77)),MONTH((Tahmin!$C$4+77)),MIN(DAY(Kalemler!$D154),DAY(EOMONTH((Tahmin!$C$4+77),0)))),DATE(YEAR((Tahmin!$C$4+83)),MONTH((Tahmin!$C$4+83)),MIN(DAY(Kalemler!$D154),DAY(EOMONTH((Tahmin!$C$4+83),0))))&gt;=Kalemler!$D154)),1,0),IF(AND(Kalemler!$D154&gt;=(Tahmin!$C$4+77),Kalemler!$D154&lt;=(Tahmin!$C$4+83)),1,0))))</f>
        <v>0</v>
      </c>
      <c r="N154" s="0" t="n">
        <f aca="false">IF(OR(Kalemler!$A154="",Kalemler!$C154="",Kalemler!$D154=""),0,Kalemler!$C154*IF(Kalemler!$E154="Haftalık",IF(Kalemler!$D154&lt;=(Tahmin!$C$4+90),1,0),IF(Kalemler!$E154="Aylık",IF(OR(AND(DATE(YEAR((Tahmin!$C$4+84)),MONTH((Tahmin!$C$4+84)),MIN(DAY(Kalemler!$D154),DAY(EOMONTH((Tahmin!$C$4+84),0))))&gt;=(Tahmin!$C$4+84),DATE(YEAR((Tahmin!$C$4+84)),MONTH((Tahmin!$C$4+84)),MIN(DAY(Kalemler!$D154),DAY(EOMONTH((Tahmin!$C$4+84),0))))&lt;=(Tahmin!$C$4+90),DATE(YEAR((Tahmin!$C$4+84)),MONTH((Tahmin!$C$4+84)),MIN(DAY(Kalemler!$D154),DAY(EOMONTH((Tahmin!$C$4+84),0))))&gt;=Kalemler!$D154),AND(DATE(YEAR((Tahmin!$C$4+90)),MONTH((Tahmin!$C$4+90)),MIN(DAY(Kalemler!$D154),DAY(EOMONTH((Tahmin!$C$4+90),0))))&gt;=(Tahmin!$C$4+84),DATE(YEAR((Tahmin!$C$4+90)),MONTH((Tahmin!$C$4+90)),MIN(DAY(Kalemler!$D154),DAY(EOMONTH((Tahmin!$C$4+90),0))))&lt;=(Tahmin!$C$4+90),DATE(YEAR((Tahmin!$C$4+90)),MONTH((Tahmin!$C$4+90)),MIN(DAY(Kalemler!$D154),DAY(EOMONTH((Tahmin!$C$4+90),0))))&lt;&gt;DATE(YEAR((Tahmin!$C$4+84)),MONTH((Tahmin!$C$4+84)),MIN(DAY(Kalemler!$D154),DAY(EOMONTH((Tahmin!$C$4+84),0)))),DATE(YEAR((Tahmin!$C$4+90)),MONTH((Tahmin!$C$4+90)),MIN(DAY(Kalemler!$D154),DAY(EOMONTH((Tahmin!$C$4+90),0))))&gt;=Kalemler!$D154)),1,0),IF(AND(Kalemler!$D154&gt;=(Tahmin!$C$4+84),Kalemler!$D154&lt;=(Tahmin!$C$4+90)),1,0))))</f>
        <v>0</v>
      </c>
    </row>
    <row r="155" customFormat="false" ht="15" hidden="false" customHeight="false" outlineLevel="0" collapsed="false">
      <c r="A155" s="0" t="str">
        <f aca="false">IF(Kalemler!A155="","",Kalemler!A155)</f>
        <v/>
      </c>
      <c r="B155" s="0" t="n">
        <f aca="false">IF(OR(Kalemler!$A155="",Kalemler!$C155="",Kalemler!$D155=""),0,Kalemler!$C155*IF(Kalemler!$E155="Haftalık",IF(Kalemler!$D155&lt;=(Tahmin!$C$4+6),1,0),IF(Kalemler!$E155="Aylık",IF(OR(AND(DATE(YEAR((Tahmin!$C$4+0)),MONTH((Tahmin!$C$4+0)),MIN(DAY(Kalemler!$D155),DAY(EOMONTH((Tahmin!$C$4+0),0))))&gt;=(Tahmin!$C$4+0),DATE(YEAR((Tahmin!$C$4+0)),MONTH((Tahmin!$C$4+0)),MIN(DAY(Kalemler!$D155),DAY(EOMONTH((Tahmin!$C$4+0),0))))&lt;=(Tahmin!$C$4+6),DATE(YEAR((Tahmin!$C$4+0)),MONTH((Tahmin!$C$4+0)),MIN(DAY(Kalemler!$D155),DAY(EOMONTH((Tahmin!$C$4+0),0))))&gt;=Kalemler!$D155),AND(DATE(YEAR((Tahmin!$C$4+6)),MONTH((Tahmin!$C$4+6)),MIN(DAY(Kalemler!$D155),DAY(EOMONTH((Tahmin!$C$4+6),0))))&gt;=(Tahmin!$C$4+0),DATE(YEAR((Tahmin!$C$4+6)),MONTH((Tahmin!$C$4+6)),MIN(DAY(Kalemler!$D155),DAY(EOMONTH((Tahmin!$C$4+6),0))))&lt;=(Tahmin!$C$4+6),DATE(YEAR((Tahmin!$C$4+6)),MONTH((Tahmin!$C$4+6)),MIN(DAY(Kalemler!$D155),DAY(EOMONTH((Tahmin!$C$4+6),0))))&lt;&gt;DATE(YEAR((Tahmin!$C$4+0)),MONTH((Tahmin!$C$4+0)),MIN(DAY(Kalemler!$D155),DAY(EOMONTH((Tahmin!$C$4+0),0)))),DATE(YEAR((Tahmin!$C$4+6)),MONTH((Tahmin!$C$4+6)),MIN(DAY(Kalemler!$D155),DAY(EOMONTH((Tahmin!$C$4+6),0))))&gt;=Kalemler!$D155)),1,0),IF(AND(Kalemler!$D155&gt;=(Tahmin!$C$4+0),Kalemler!$D155&lt;=(Tahmin!$C$4+6)),1,0))))</f>
        <v>0</v>
      </c>
      <c r="C155" s="0" t="n">
        <f aca="false">IF(OR(Kalemler!$A155="",Kalemler!$C155="",Kalemler!$D155=""),0,Kalemler!$C155*IF(Kalemler!$E155="Haftalık",IF(Kalemler!$D155&lt;=(Tahmin!$C$4+13),1,0),IF(Kalemler!$E155="Aylık",IF(OR(AND(DATE(YEAR((Tahmin!$C$4+7)),MONTH((Tahmin!$C$4+7)),MIN(DAY(Kalemler!$D155),DAY(EOMONTH((Tahmin!$C$4+7),0))))&gt;=(Tahmin!$C$4+7),DATE(YEAR((Tahmin!$C$4+7)),MONTH((Tahmin!$C$4+7)),MIN(DAY(Kalemler!$D155),DAY(EOMONTH((Tahmin!$C$4+7),0))))&lt;=(Tahmin!$C$4+13),DATE(YEAR((Tahmin!$C$4+7)),MONTH((Tahmin!$C$4+7)),MIN(DAY(Kalemler!$D155),DAY(EOMONTH((Tahmin!$C$4+7),0))))&gt;=Kalemler!$D155),AND(DATE(YEAR((Tahmin!$C$4+13)),MONTH((Tahmin!$C$4+13)),MIN(DAY(Kalemler!$D155),DAY(EOMONTH((Tahmin!$C$4+13),0))))&gt;=(Tahmin!$C$4+7),DATE(YEAR((Tahmin!$C$4+13)),MONTH((Tahmin!$C$4+13)),MIN(DAY(Kalemler!$D155),DAY(EOMONTH((Tahmin!$C$4+13),0))))&lt;=(Tahmin!$C$4+13),DATE(YEAR((Tahmin!$C$4+13)),MONTH((Tahmin!$C$4+13)),MIN(DAY(Kalemler!$D155),DAY(EOMONTH((Tahmin!$C$4+13),0))))&lt;&gt;DATE(YEAR((Tahmin!$C$4+7)),MONTH((Tahmin!$C$4+7)),MIN(DAY(Kalemler!$D155),DAY(EOMONTH((Tahmin!$C$4+7),0)))),DATE(YEAR((Tahmin!$C$4+13)),MONTH((Tahmin!$C$4+13)),MIN(DAY(Kalemler!$D155),DAY(EOMONTH((Tahmin!$C$4+13),0))))&gt;=Kalemler!$D155)),1,0),IF(AND(Kalemler!$D155&gt;=(Tahmin!$C$4+7),Kalemler!$D155&lt;=(Tahmin!$C$4+13)),1,0))))</f>
        <v>0</v>
      </c>
      <c r="D155" s="0" t="n">
        <f aca="false">IF(OR(Kalemler!$A155="",Kalemler!$C155="",Kalemler!$D155=""),0,Kalemler!$C155*IF(Kalemler!$E155="Haftalık",IF(Kalemler!$D155&lt;=(Tahmin!$C$4+20),1,0),IF(Kalemler!$E155="Aylık",IF(OR(AND(DATE(YEAR((Tahmin!$C$4+14)),MONTH((Tahmin!$C$4+14)),MIN(DAY(Kalemler!$D155),DAY(EOMONTH((Tahmin!$C$4+14),0))))&gt;=(Tahmin!$C$4+14),DATE(YEAR((Tahmin!$C$4+14)),MONTH((Tahmin!$C$4+14)),MIN(DAY(Kalemler!$D155),DAY(EOMONTH((Tahmin!$C$4+14),0))))&lt;=(Tahmin!$C$4+20),DATE(YEAR((Tahmin!$C$4+14)),MONTH((Tahmin!$C$4+14)),MIN(DAY(Kalemler!$D155),DAY(EOMONTH((Tahmin!$C$4+14),0))))&gt;=Kalemler!$D155),AND(DATE(YEAR((Tahmin!$C$4+20)),MONTH((Tahmin!$C$4+20)),MIN(DAY(Kalemler!$D155),DAY(EOMONTH((Tahmin!$C$4+20),0))))&gt;=(Tahmin!$C$4+14),DATE(YEAR((Tahmin!$C$4+20)),MONTH((Tahmin!$C$4+20)),MIN(DAY(Kalemler!$D155),DAY(EOMONTH((Tahmin!$C$4+20),0))))&lt;=(Tahmin!$C$4+20),DATE(YEAR((Tahmin!$C$4+20)),MONTH((Tahmin!$C$4+20)),MIN(DAY(Kalemler!$D155),DAY(EOMONTH((Tahmin!$C$4+20),0))))&lt;&gt;DATE(YEAR((Tahmin!$C$4+14)),MONTH((Tahmin!$C$4+14)),MIN(DAY(Kalemler!$D155),DAY(EOMONTH((Tahmin!$C$4+14),0)))),DATE(YEAR((Tahmin!$C$4+20)),MONTH((Tahmin!$C$4+20)),MIN(DAY(Kalemler!$D155),DAY(EOMONTH((Tahmin!$C$4+20),0))))&gt;=Kalemler!$D155)),1,0),IF(AND(Kalemler!$D155&gt;=(Tahmin!$C$4+14),Kalemler!$D155&lt;=(Tahmin!$C$4+20)),1,0))))</f>
        <v>0</v>
      </c>
      <c r="E155" s="0" t="n">
        <f aca="false">IF(OR(Kalemler!$A155="",Kalemler!$C155="",Kalemler!$D155=""),0,Kalemler!$C155*IF(Kalemler!$E155="Haftalık",IF(Kalemler!$D155&lt;=(Tahmin!$C$4+27),1,0),IF(Kalemler!$E155="Aylık",IF(OR(AND(DATE(YEAR((Tahmin!$C$4+21)),MONTH((Tahmin!$C$4+21)),MIN(DAY(Kalemler!$D155),DAY(EOMONTH((Tahmin!$C$4+21),0))))&gt;=(Tahmin!$C$4+21),DATE(YEAR((Tahmin!$C$4+21)),MONTH((Tahmin!$C$4+21)),MIN(DAY(Kalemler!$D155),DAY(EOMONTH((Tahmin!$C$4+21),0))))&lt;=(Tahmin!$C$4+27),DATE(YEAR((Tahmin!$C$4+21)),MONTH((Tahmin!$C$4+21)),MIN(DAY(Kalemler!$D155),DAY(EOMONTH((Tahmin!$C$4+21),0))))&gt;=Kalemler!$D155),AND(DATE(YEAR((Tahmin!$C$4+27)),MONTH((Tahmin!$C$4+27)),MIN(DAY(Kalemler!$D155),DAY(EOMONTH((Tahmin!$C$4+27),0))))&gt;=(Tahmin!$C$4+21),DATE(YEAR((Tahmin!$C$4+27)),MONTH((Tahmin!$C$4+27)),MIN(DAY(Kalemler!$D155),DAY(EOMONTH((Tahmin!$C$4+27),0))))&lt;=(Tahmin!$C$4+27),DATE(YEAR((Tahmin!$C$4+27)),MONTH((Tahmin!$C$4+27)),MIN(DAY(Kalemler!$D155),DAY(EOMONTH((Tahmin!$C$4+27),0))))&lt;&gt;DATE(YEAR((Tahmin!$C$4+21)),MONTH((Tahmin!$C$4+21)),MIN(DAY(Kalemler!$D155),DAY(EOMONTH((Tahmin!$C$4+21),0)))),DATE(YEAR((Tahmin!$C$4+27)),MONTH((Tahmin!$C$4+27)),MIN(DAY(Kalemler!$D155),DAY(EOMONTH((Tahmin!$C$4+27),0))))&gt;=Kalemler!$D155)),1,0),IF(AND(Kalemler!$D155&gt;=(Tahmin!$C$4+21),Kalemler!$D155&lt;=(Tahmin!$C$4+27)),1,0))))</f>
        <v>0</v>
      </c>
      <c r="F155" s="0" t="n">
        <f aca="false">IF(OR(Kalemler!$A155="",Kalemler!$C155="",Kalemler!$D155=""),0,Kalemler!$C155*IF(Kalemler!$E155="Haftalık",IF(Kalemler!$D155&lt;=(Tahmin!$C$4+34),1,0),IF(Kalemler!$E155="Aylık",IF(OR(AND(DATE(YEAR((Tahmin!$C$4+28)),MONTH((Tahmin!$C$4+28)),MIN(DAY(Kalemler!$D155),DAY(EOMONTH((Tahmin!$C$4+28),0))))&gt;=(Tahmin!$C$4+28),DATE(YEAR((Tahmin!$C$4+28)),MONTH((Tahmin!$C$4+28)),MIN(DAY(Kalemler!$D155),DAY(EOMONTH((Tahmin!$C$4+28),0))))&lt;=(Tahmin!$C$4+34),DATE(YEAR((Tahmin!$C$4+28)),MONTH((Tahmin!$C$4+28)),MIN(DAY(Kalemler!$D155),DAY(EOMONTH((Tahmin!$C$4+28),0))))&gt;=Kalemler!$D155),AND(DATE(YEAR((Tahmin!$C$4+34)),MONTH((Tahmin!$C$4+34)),MIN(DAY(Kalemler!$D155),DAY(EOMONTH((Tahmin!$C$4+34),0))))&gt;=(Tahmin!$C$4+28),DATE(YEAR((Tahmin!$C$4+34)),MONTH((Tahmin!$C$4+34)),MIN(DAY(Kalemler!$D155),DAY(EOMONTH((Tahmin!$C$4+34),0))))&lt;=(Tahmin!$C$4+34),DATE(YEAR((Tahmin!$C$4+34)),MONTH((Tahmin!$C$4+34)),MIN(DAY(Kalemler!$D155),DAY(EOMONTH((Tahmin!$C$4+34),0))))&lt;&gt;DATE(YEAR((Tahmin!$C$4+28)),MONTH((Tahmin!$C$4+28)),MIN(DAY(Kalemler!$D155),DAY(EOMONTH((Tahmin!$C$4+28),0)))),DATE(YEAR((Tahmin!$C$4+34)),MONTH((Tahmin!$C$4+34)),MIN(DAY(Kalemler!$D155),DAY(EOMONTH((Tahmin!$C$4+34),0))))&gt;=Kalemler!$D155)),1,0),IF(AND(Kalemler!$D155&gt;=(Tahmin!$C$4+28),Kalemler!$D155&lt;=(Tahmin!$C$4+34)),1,0))))</f>
        <v>0</v>
      </c>
      <c r="G155" s="0" t="n">
        <f aca="false">IF(OR(Kalemler!$A155="",Kalemler!$C155="",Kalemler!$D155=""),0,Kalemler!$C155*IF(Kalemler!$E155="Haftalık",IF(Kalemler!$D155&lt;=(Tahmin!$C$4+41),1,0),IF(Kalemler!$E155="Aylık",IF(OR(AND(DATE(YEAR((Tahmin!$C$4+35)),MONTH((Tahmin!$C$4+35)),MIN(DAY(Kalemler!$D155),DAY(EOMONTH((Tahmin!$C$4+35),0))))&gt;=(Tahmin!$C$4+35),DATE(YEAR((Tahmin!$C$4+35)),MONTH((Tahmin!$C$4+35)),MIN(DAY(Kalemler!$D155),DAY(EOMONTH((Tahmin!$C$4+35),0))))&lt;=(Tahmin!$C$4+41),DATE(YEAR((Tahmin!$C$4+35)),MONTH((Tahmin!$C$4+35)),MIN(DAY(Kalemler!$D155),DAY(EOMONTH((Tahmin!$C$4+35),0))))&gt;=Kalemler!$D155),AND(DATE(YEAR((Tahmin!$C$4+41)),MONTH((Tahmin!$C$4+41)),MIN(DAY(Kalemler!$D155),DAY(EOMONTH((Tahmin!$C$4+41),0))))&gt;=(Tahmin!$C$4+35),DATE(YEAR((Tahmin!$C$4+41)),MONTH((Tahmin!$C$4+41)),MIN(DAY(Kalemler!$D155),DAY(EOMONTH((Tahmin!$C$4+41),0))))&lt;=(Tahmin!$C$4+41),DATE(YEAR((Tahmin!$C$4+41)),MONTH((Tahmin!$C$4+41)),MIN(DAY(Kalemler!$D155),DAY(EOMONTH((Tahmin!$C$4+41),0))))&lt;&gt;DATE(YEAR((Tahmin!$C$4+35)),MONTH((Tahmin!$C$4+35)),MIN(DAY(Kalemler!$D155),DAY(EOMONTH((Tahmin!$C$4+35),0)))),DATE(YEAR((Tahmin!$C$4+41)),MONTH((Tahmin!$C$4+41)),MIN(DAY(Kalemler!$D155),DAY(EOMONTH((Tahmin!$C$4+41),0))))&gt;=Kalemler!$D155)),1,0),IF(AND(Kalemler!$D155&gt;=(Tahmin!$C$4+35),Kalemler!$D155&lt;=(Tahmin!$C$4+41)),1,0))))</f>
        <v>0</v>
      </c>
      <c r="H155" s="0" t="n">
        <f aca="false">IF(OR(Kalemler!$A155="",Kalemler!$C155="",Kalemler!$D155=""),0,Kalemler!$C155*IF(Kalemler!$E155="Haftalık",IF(Kalemler!$D155&lt;=(Tahmin!$C$4+48),1,0),IF(Kalemler!$E155="Aylık",IF(OR(AND(DATE(YEAR((Tahmin!$C$4+42)),MONTH((Tahmin!$C$4+42)),MIN(DAY(Kalemler!$D155),DAY(EOMONTH((Tahmin!$C$4+42),0))))&gt;=(Tahmin!$C$4+42),DATE(YEAR((Tahmin!$C$4+42)),MONTH((Tahmin!$C$4+42)),MIN(DAY(Kalemler!$D155),DAY(EOMONTH((Tahmin!$C$4+42),0))))&lt;=(Tahmin!$C$4+48),DATE(YEAR((Tahmin!$C$4+42)),MONTH((Tahmin!$C$4+42)),MIN(DAY(Kalemler!$D155),DAY(EOMONTH((Tahmin!$C$4+42),0))))&gt;=Kalemler!$D155),AND(DATE(YEAR((Tahmin!$C$4+48)),MONTH((Tahmin!$C$4+48)),MIN(DAY(Kalemler!$D155),DAY(EOMONTH((Tahmin!$C$4+48),0))))&gt;=(Tahmin!$C$4+42),DATE(YEAR((Tahmin!$C$4+48)),MONTH((Tahmin!$C$4+48)),MIN(DAY(Kalemler!$D155),DAY(EOMONTH((Tahmin!$C$4+48),0))))&lt;=(Tahmin!$C$4+48),DATE(YEAR((Tahmin!$C$4+48)),MONTH((Tahmin!$C$4+48)),MIN(DAY(Kalemler!$D155),DAY(EOMONTH((Tahmin!$C$4+48),0))))&lt;&gt;DATE(YEAR((Tahmin!$C$4+42)),MONTH((Tahmin!$C$4+42)),MIN(DAY(Kalemler!$D155),DAY(EOMONTH((Tahmin!$C$4+42),0)))),DATE(YEAR((Tahmin!$C$4+48)),MONTH((Tahmin!$C$4+48)),MIN(DAY(Kalemler!$D155),DAY(EOMONTH((Tahmin!$C$4+48),0))))&gt;=Kalemler!$D155)),1,0),IF(AND(Kalemler!$D155&gt;=(Tahmin!$C$4+42),Kalemler!$D155&lt;=(Tahmin!$C$4+48)),1,0))))</f>
        <v>0</v>
      </c>
      <c r="I155" s="0" t="n">
        <f aca="false">IF(OR(Kalemler!$A155="",Kalemler!$C155="",Kalemler!$D155=""),0,Kalemler!$C155*IF(Kalemler!$E155="Haftalık",IF(Kalemler!$D155&lt;=(Tahmin!$C$4+55),1,0),IF(Kalemler!$E155="Aylık",IF(OR(AND(DATE(YEAR((Tahmin!$C$4+49)),MONTH((Tahmin!$C$4+49)),MIN(DAY(Kalemler!$D155),DAY(EOMONTH((Tahmin!$C$4+49),0))))&gt;=(Tahmin!$C$4+49),DATE(YEAR((Tahmin!$C$4+49)),MONTH((Tahmin!$C$4+49)),MIN(DAY(Kalemler!$D155),DAY(EOMONTH((Tahmin!$C$4+49),0))))&lt;=(Tahmin!$C$4+55),DATE(YEAR((Tahmin!$C$4+49)),MONTH((Tahmin!$C$4+49)),MIN(DAY(Kalemler!$D155),DAY(EOMONTH((Tahmin!$C$4+49),0))))&gt;=Kalemler!$D155),AND(DATE(YEAR((Tahmin!$C$4+55)),MONTH((Tahmin!$C$4+55)),MIN(DAY(Kalemler!$D155),DAY(EOMONTH((Tahmin!$C$4+55),0))))&gt;=(Tahmin!$C$4+49),DATE(YEAR((Tahmin!$C$4+55)),MONTH((Tahmin!$C$4+55)),MIN(DAY(Kalemler!$D155),DAY(EOMONTH((Tahmin!$C$4+55),0))))&lt;=(Tahmin!$C$4+55),DATE(YEAR((Tahmin!$C$4+55)),MONTH((Tahmin!$C$4+55)),MIN(DAY(Kalemler!$D155),DAY(EOMONTH((Tahmin!$C$4+55),0))))&lt;&gt;DATE(YEAR((Tahmin!$C$4+49)),MONTH((Tahmin!$C$4+49)),MIN(DAY(Kalemler!$D155),DAY(EOMONTH((Tahmin!$C$4+49),0)))),DATE(YEAR((Tahmin!$C$4+55)),MONTH((Tahmin!$C$4+55)),MIN(DAY(Kalemler!$D155),DAY(EOMONTH((Tahmin!$C$4+55),0))))&gt;=Kalemler!$D155)),1,0),IF(AND(Kalemler!$D155&gt;=(Tahmin!$C$4+49),Kalemler!$D155&lt;=(Tahmin!$C$4+55)),1,0))))</f>
        <v>0</v>
      </c>
      <c r="J155" s="0" t="n">
        <f aca="false">IF(OR(Kalemler!$A155="",Kalemler!$C155="",Kalemler!$D155=""),0,Kalemler!$C155*IF(Kalemler!$E155="Haftalık",IF(Kalemler!$D155&lt;=(Tahmin!$C$4+62),1,0),IF(Kalemler!$E155="Aylık",IF(OR(AND(DATE(YEAR((Tahmin!$C$4+56)),MONTH((Tahmin!$C$4+56)),MIN(DAY(Kalemler!$D155),DAY(EOMONTH((Tahmin!$C$4+56),0))))&gt;=(Tahmin!$C$4+56),DATE(YEAR((Tahmin!$C$4+56)),MONTH((Tahmin!$C$4+56)),MIN(DAY(Kalemler!$D155),DAY(EOMONTH((Tahmin!$C$4+56),0))))&lt;=(Tahmin!$C$4+62),DATE(YEAR((Tahmin!$C$4+56)),MONTH((Tahmin!$C$4+56)),MIN(DAY(Kalemler!$D155),DAY(EOMONTH((Tahmin!$C$4+56),0))))&gt;=Kalemler!$D155),AND(DATE(YEAR((Tahmin!$C$4+62)),MONTH((Tahmin!$C$4+62)),MIN(DAY(Kalemler!$D155),DAY(EOMONTH((Tahmin!$C$4+62),0))))&gt;=(Tahmin!$C$4+56),DATE(YEAR((Tahmin!$C$4+62)),MONTH((Tahmin!$C$4+62)),MIN(DAY(Kalemler!$D155),DAY(EOMONTH((Tahmin!$C$4+62),0))))&lt;=(Tahmin!$C$4+62),DATE(YEAR((Tahmin!$C$4+62)),MONTH((Tahmin!$C$4+62)),MIN(DAY(Kalemler!$D155),DAY(EOMONTH((Tahmin!$C$4+62),0))))&lt;&gt;DATE(YEAR((Tahmin!$C$4+56)),MONTH((Tahmin!$C$4+56)),MIN(DAY(Kalemler!$D155),DAY(EOMONTH((Tahmin!$C$4+56),0)))),DATE(YEAR((Tahmin!$C$4+62)),MONTH((Tahmin!$C$4+62)),MIN(DAY(Kalemler!$D155),DAY(EOMONTH((Tahmin!$C$4+62),0))))&gt;=Kalemler!$D155)),1,0),IF(AND(Kalemler!$D155&gt;=(Tahmin!$C$4+56),Kalemler!$D155&lt;=(Tahmin!$C$4+62)),1,0))))</f>
        <v>0</v>
      </c>
      <c r="K155" s="0" t="n">
        <f aca="false">IF(OR(Kalemler!$A155="",Kalemler!$C155="",Kalemler!$D155=""),0,Kalemler!$C155*IF(Kalemler!$E155="Haftalık",IF(Kalemler!$D155&lt;=(Tahmin!$C$4+69),1,0),IF(Kalemler!$E155="Aylık",IF(OR(AND(DATE(YEAR((Tahmin!$C$4+63)),MONTH((Tahmin!$C$4+63)),MIN(DAY(Kalemler!$D155),DAY(EOMONTH((Tahmin!$C$4+63),0))))&gt;=(Tahmin!$C$4+63),DATE(YEAR((Tahmin!$C$4+63)),MONTH((Tahmin!$C$4+63)),MIN(DAY(Kalemler!$D155),DAY(EOMONTH((Tahmin!$C$4+63),0))))&lt;=(Tahmin!$C$4+69),DATE(YEAR((Tahmin!$C$4+63)),MONTH((Tahmin!$C$4+63)),MIN(DAY(Kalemler!$D155),DAY(EOMONTH((Tahmin!$C$4+63),0))))&gt;=Kalemler!$D155),AND(DATE(YEAR((Tahmin!$C$4+69)),MONTH((Tahmin!$C$4+69)),MIN(DAY(Kalemler!$D155),DAY(EOMONTH((Tahmin!$C$4+69),0))))&gt;=(Tahmin!$C$4+63),DATE(YEAR((Tahmin!$C$4+69)),MONTH((Tahmin!$C$4+69)),MIN(DAY(Kalemler!$D155),DAY(EOMONTH((Tahmin!$C$4+69),0))))&lt;=(Tahmin!$C$4+69),DATE(YEAR((Tahmin!$C$4+69)),MONTH((Tahmin!$C$4+69)),MIN(DAY(Kalemler!$D155),DAY(EOMONTH((Tahmin!$C$4+69),0))))&lt;&gt;DATE(YEAR((Tahmin!$C$4+63)),MONTH((Tahmin!$C$4+63)),MIN(DAY(Kalemler!$D155),DAY(EOMONTH((Tahmin!$C$4+63),0)))),DATE(YEAR((Tahmin!$C$4+69)),MONTH((Tahmin!$C$4+69)),MIN(DAY(Kalemler!$D155),DAY(EOMONTH((Tahmin!$C$4+69),0))))&gt;=Kalemler!$D155)),1,0),IF(AND(Kalemler!$D155&gt;=(Tahmin!$C$4+63),Kalemler!$D155&lt;=(Tahmin!$C$4+69)),1,0))))</f>
        <v>0</v>
      </c>
      <c r="L155" s="0" t="n">
        <f aca="false">IF(OR(Kalemler!$A155="",Kalemler!$C155="",Kalemler!$D155=""),0,Kalemler!$C155*IF(Kalemler!$E155="Haftalık",IF(Kalemler!$D155&lt;=(Tahmin!$C$4+76),1,0),IF(Kalemler!$E155="Aylık",IF(OR(AND(DATE(YEAR((Tahmin!$C$4+70)),MONTH((Tahmin!$C$4+70)),MIN(DAY(Kalemler!$D155),DAY(EOMONTH((Tahmin!$C$4+70),0))))&gt;=(Tahmin!$C$4+70),DATE(YEAR((Tahmin!$C$4+70)),MONTH((Tahmin!$C$4+70)),MIN(DAY(Kalemler!$D155),DAY(EOMONTH((Tahmin!$C$4+70),0))))&lt;=(Tahmin!$C$4+76),DATE(YEAR((Tahmin!$C$4+70)),MONTH((Tahmin!$C$4+70)),MIN(DAY(Kalemler!$D155),DAY(EOMONTH((Tahmin!$C$4+70),0))))&gt;=Kalemler!$D155),AND(DATE(YEAR((Tahmin!$C$4+76)),MONTH((Tahmin!$C$4+76)),MIN(DAY(Kalemler!$D155),DAY(EOMONTH((Tahmin!$C$4+76),0))))&gt;=(Tahmin!$C$4+70),DATE(YEAR((Tahmin!$C$4+76)),MONTH((Tahmin!$C$4+76)),MIN(DAY(Kalemler!$D155),DAY(EOMONTH((Tahmin!$C$4+76),0))))&lt;=(Tahmin!$C$4+76),DATE(YEAR((Tahmin!$C$4+76)),MONTH((Tahmin!$C$4+76)),MIN(DAY(Kalemler!$D155),DAY(EOMONTH((Tahmin!$C$4+76),0))))&lt;&gt;DATE(YEAR((Tahmin!$C$4+70)),MONTH((Tahmin!$C$4+70)),MIN(DAY(Kalemler!$D155),DAY(EOMONTH((Tahmin!$C$4+70),0)))),DATE(YEAR((Tahmin!$C$4+76)),MONTH((Tahmin!$C$4+76)),MIN(DAY(Kalemler!$D155),DAY(EOMONTH((Tahmin!$C$4+76),0))))&gt;=Kalemler!$D155)),1,0),IF(AND(Kalemler!$D155&gt;=(Tahmin!$C$4+70),Kalemler!$D155&lt;=(Tahmin!$C$4+76)),1,0))))</f>
        <v>0</v>
      </c>
      <c r="M155" s="0" t="n">
        <f aca="false">IF(OR(Kalemler!$A155="",Kalemler!$C155="",Kalemler!$D155=""),0,Kalemler!$C155*IF(Kalemler!$E155="Haftalık",IF(Kalemler!$D155&lt;=(Tahmin!$C$4+83),1,0),IF(Kalemler!$E155="Aylık",IF(OR(AND(DATE(YEAR((Tahmin!$C$4+77)),MONTH((Tahmin!$C$4+77)),MIN(DAY(Kalemler!$D155),DAY(EOMONTH((Tahmin!$C$4+77),0))))&gt;=(Tahmin!$C$4+77),DATE(YEAR((Tahmin!$C$4+77)),MONTH((Tahmin!$C$4+77)),MIN(DAY(Kalemler!$D155),DAY(EOMONTH((Tahmin!$C$4+77),0))))&lt;=(Tahmin!$C$4+83),DATE(YEAR((Tahmin!$C$4+77)),MONTH((Tahmin!$C$4+77)),MIN(DAY(Kalemler!$D155),DAY(EOMONTH((Tahmin!$C$4+77),0))))&gt;=Kalemler!$D155),AND(DATE(YEAR((Tahmin!$C$4+83)),MONTH((Tahmin!$C$4+83)),MIN(DAY(Kalemler!$D155),DAY(EOMONTH((Tahmin!$C$4+83),0))))&gt;=(Tahmin!$C$4+77),DATE(YEAR((Tahmin!$C$4+83)),MONTH((Tahmin!$C$4+83)),MIN(DAY(Kalemler!$D155),DAY(EOMONTH((Tahmin!$C$4+83),0))))&lt;=(Tahmin!$C$4+83),DATE(YEAR((Tahmin!$C$4+83)),MONTH((Tahmin!$C$4+83)),MIN(DAY(Kalemler!$D155),DAY(EOMONTH((Tahmin!$C$4+83),0))))&lt;&gt;DATE(YEAR((Tahmin!$C$4+77)),MONTH((Tahmin!$C$4+77)),MIN(DAY(Kalemler!$D155),DAY(EOMONTH((Tahmin!$C$4+77),0)))),DATE(YEAR((Tahmin!$C$4+83)),MONTH((Tahmin!$C$4+83)),MIN(DAY(Kalemler!$D155),DAY(EOMONTH((Tahmin!$C$4+83),0))))&gt;=Kalemler!$D155)),1,0),IF(AND(Kalemler!$D155&gt;=(Tahmin!$C$4+77),Kalemler!$D155&lt;=(Tahmin!$C$4+83)),1,0))))</f>
        <v>0</v>
      </c>
      <c r="N155" s="0" t="n">
        <f aca="false">IF(OR(Kalemler!$A155="",Kalemler!$C155="",Kalemler!$D155=""),0,Kalemler!$C155*IF(Kalemler!$E155="Haftalık",IF(Kalemler!$D155&lt;=(Tahmin!$C$4+90),1,0),IF(Kalemler!$E155="Aylık",IF(OR(AND(DATE(YEAR((Tahmin!$C$4+84)),MONTH((Tahmin!$C$4+84)),MIN(DAY(Kalemler!$D155),DAY(EOMONTH((Tahmin!$C$4+84),0))))&gt;=(Tahmin!$C$4+84),DATE(YEAR((Tahmin!$C$4+84)),MONTH((Tahmin!$C$4+84)),MIN(DAY(Kalemler!$D155),DAY(EOMONTH((Tahmin!$C$4+84),0))))&lt;=(Tahmin!$C$4+90),DATE(YEAR((Tahmin!$C$4+84)),MONTH((Tahmin!$C$4+84)),MIN(DAY(Kalemler!$D155),DAY(EOMONTH((Tahmin!$C$4+84),0))))&gt;=Kalemler!$D155),AND(DATE(YEAR((Tahmin!$C$4+90)),MONTH((Tahmin!$C$4+90)),MIN(DAY(Kalemler!$D155),DAY(EOMONTH((Tahmin!$C$4+90),0))))&gt;=(Tahmin!$C$4+84),DATE(YEAR((Tahmin!$C$4+90)),MONTH((Tahmin!$C$4+90)),MIN(DAY(Kalemler!$D155),DAY(EOMONTH((Tahmin!$C$4+90),0))))&lt;=(Tahmin!$C$4+90),DATE(YEAR((Tahmin!$C$4+90)),MONTH((Tahmin!$C$4+90)),MIN(DAY(Kalemler!$D155),DAY(EOMONTH((Tahmin!$C$4+90),0))))&lt;&gt;DATE(YEAR((Tahmin!$C$4+84)),MONTH((Tahmin!$C$4+84)),MIN(DAY(Kalemler!$D155),DAY(EOMONTH((Tahmin!$C$4+84),0)))),DATE(YEAR((Tahmin!$C$4+90)),MONTH((Tahmin!$C$4+90)),MIN(DAY(Kalemler!$D155),DAY(EOMONTH((Tahmin!$C$4+90),0))))&gt;=Kalemler!$D155)),1,0),IF(AND(Kalemler!$D155&gt;=(Tahmin!$C$4+84),Kalemler!$D155&lt;=(Tahmin!$C$4+90)),1,0))))</f>
        <v>0</v>
      </c>
    </row>
    <row r="156" customFormat="false" ht="15" hidden="false" customHeight="false" outlineLevel="0" collapsed="false">
      <c r="A156" s="0" t="str">
        <f aca="false">IF(Kalemler!A156="","",Kalemler!A156)</f>
        <v/>
      </c>
      <c r="B156" s="0" t="n">
        <f aca="false">IF(OR(Kalemler!$A156="",Kalemler!$C156="",Kalemler!$D156=""),0,Kalemler!$C156*IF(Kalemler!$E156="Haftalık",IF(Kalemler!$D156&lt;=(Tahmin!$C$4+6),1,0),IF(Kalemler!$E156="Aylık",IF(OR(AND(DATE(YEAR((Tahmin!$C$4+0)),MONTH((Tahmin!$C$4+0)),MIN(DAY(Kalemler!$D156),DAY(EOMONTH((Tahmin!$C$4+0),0))))&gt;=(Tahmin!$C$4+0),DATE(YEAR((Tahmin!$C$4+0)),MONTH((Tahmin!$C$4+0)),MIN(DAY(Kalemler!$D156),DAY(EOMONTH((Tahmin!$C$4+0),0))))&lt;=(Tahmin!$C$4+6),DATE(YEAR((Tahmin!$C$4+0)),MONTH((Tahmin!$C$4+0)),MIN(DAY(Kalemler!$D156),DAY(EOMONTH((Tahmin!$C$4+0),0))))&gt;=Kalemler!$D156),AND(DATE(YEAR((Tahmin!$C$4+6)),MONTH((Tahmin!$C$4+6)),MIN(DAY(Kalemler!$D156),DAY(EOMONTH((Tahmin!$C$4+6),0))))&gt;=(Tahmin!$C$4+0),DATE(YEAR((Tahmin!$C$4+6)),MONTH((Tahmin!$C$4+6)),MIN(DAY(Kalemler!$D156),DAY(EOMONTH((Tahmin!$C$4+6),0))))&lt;=(Tahmin!$C$4+6),DATE(YEAR((Tahmin!$C$4+6)),MONTH((Tahmin!$C$4+6)),MIN(DAY(Kalemler!$D156),DAY(EOMONTH((Tahmin!$C$4+6),0))))&lt;&gt;DATE(YEAR((Tahmin!$C$4+0)),MONTH((Tahmin!$C$4+0)),MIN(DAY(Kalemler!$D156),DAY(EOMONTH((Tahmin!$C$4+0),0)))),DATE(YEAR((Tahmin!$C$4+6)),MONTH((Tahmin!$C$4+6)),MIN(DAY(Kalemler!$D156),DAY(EOMONTH((Tahmin!$C$4+6),0))))&gt;=Kalemler!$D156)),1,0),IF(AND(Kalemler!$D156&gt;=(Tahmin!$C$4+0),Kalemler!$D156&lt;=(Tahmin!$C$4+6)),1,0))))</f>
        <v>0</v>
      </c>
      <c r="C156" s="0" t="n">
        <f aca="false">IF(OR(Kalemler!$A156="",Kalemler!$C156="",Kalemler!$D156=""),0,Kalemler!$C156*IF(Kalemler!$E156="Haftalık",IF(Kalemler!$D156&lt;=(Tahmin!$C$4+13),1,0),IF(Kalemler!$E156="Aylık",IF(OR(AND(DATE(YEAR((Tahmin!$C$4+7)),MONTH((Tahmin!$C$4+7)),MIN(DAY(Kalemler!$D156),DAY(EOMONTH((Tahmin!$C$4+7),0))))&gt;=(Tahmin!$C$4+7),DATE(YEAR((Tahmin!$C$4+7)),MONTH((Tahmin!$C$4+7)),MIN(DAY(Kalemler!$D156),DAY(EOMONTH((Tahmin!$C$4+7),0))))&lt;=(Tahmin!$C$4+13),DATE(YEAR((Tahmin!$C$4+7)),MONTH((Tahmin!$C$4+7)),MIN(DAY(Kalemler!$D156),DAY(EOMONTH((Tahmin!$C$4+7),0))))&gt;=Kalemler!$D156),AND(DATE(YEAR((Tahmin!$C$4+13)),MONTH((Tahmin!$C$4+13)),MIN(DAY(Kalemler!$D156),DAY(EOMONTH((Tahmin!$C$4+13),0))))&gt;=(Tahmin!$C$4+7),DATE(YEAR((Tahmin!$C$4+13)),MONTH((Tahmin!$C$4+13)),MIN(DAY(Kalemler!$D156),DAY(EOMONTH((Tahmin!$C$4+13),0))))&lt;=(Tahmin!$C$4+13),DATE(YEAR((Tahmin!$C$4+13)),MONTH((Tahmin!$C$4+13)),MIN(DAY(Kalemler!$D156),DAY(EOMONTH((Tahmin!$C$4+13),0))))&lt;&gt;DATE(YEAR((Tahmin!$C$4+7)),MONTH((Tahmin!$C$4+7)),MIN(DAY(Kalemler!$D156),DAY(EOMONTH((Tahmin!$C$4+7),0)))),DATE(YEAR((Tahmin!$C$4+13)),MONTH((Tahmin!$C$4+13)),MIN(DAY(Kalemler!$D156),DAY(EOMONTH((Tahmin!$C$4+13),0))))&gt;=Kalemler!$D156)),1,0),IF(AND(Kalemler!$D156&gt;=(Tahmin!$C$4+7),Kalemler!$D156&lt;=(Tahmin!$C$4+13)),1,0))))</f>
        <v>0</v>
      </c>
      <c r="D156" s="0" t="n">
        <f aca="false">IF(OR(Kalemler!$A156="",Kalemler!$C156="",Kalemler!$D156=""),0,Kalemler!$C156*IF(Kalemler!$E156="Haftalık",IF(Kalemler!$D156&lt;=(Tahmin!$C$4+20),1,0),IF(Kalemler!$E156="Aylık",IF(OR(AND(DATE(YEAR((Tahmin!$C$4+14)),MONTH((Tahmin!$C$4+14)),MIN(DAY(Kalemler!$D156),DAY(EOMONTH((Tahmin!$C$4+14),0))))&gt;=(Tahmin!$C$4+14),DATE(YEAR((Tahmin!$C$4+14)),MONTH((Tahmin!$C$4+14)),MIN(DAY(Kalemler!$D156),DAY(EOMONTH((Tahmin!$C$4+14),0))))&lt;=(Tahmin!$C$4+20),DATE(YEAR((Tahmin!$C$4+14)),MONTH((Tahmin!$C$4+14)),MIN(DAY(Kalemler!$D156),DAY(EOMONTH((Tahmin!$C$4+14),0))))&gt;=Kalemler!$D156),AND(DATE(YEAR((Tahmin!$C$4+20)),MONTH((Tahmin!$C$4+20)),MIN(DAY(Kalemler!$D156),DAY(EOMONTH((Tahmin!$C$4+20),0))))&gt;=(Tahmin!$C$4+14),DATE(YEAR((Tahmin!$C$4+20)),MONTH((Tahmin!$C$4+20)),MIN(DAY(Kalemler!$D156),DAY(EOMONTH((Tahmin!$C$4+20),0))))&lt;=(Tahmin!$C$4+20),DATE(YEAR((Tahmin!$C$4+20)),MONTH((Tahmin!$C$4+20)),MIN(DAY(Kalemler!$D156),DAY(EOMONTH((Tahmin!$C$4+20),0))))&lt;&gt;DATE(YEAR((Tahmin!$C$4+14)),MONTH((Tahmin!$C$4+14)),MIN(DAY(Kalemler!$D156),DAY(EOMONTH((Tahmin!$C$4+14),0)))),DATE(YEAR((Tahmin!$C$4+20)),MONTH((Tahmin!$C$4+20)),MIN(DAY(Kalemler!$D156),DAY(EOMONTH((Tahmin!$C$4+20),0))))&gt;=Kalemler!$D156)),1,0),IF(AND(Kalemler!$D156&gt;=(Tahmin!$C$4+14),Kalemler!$D156&lt;=(Tahmin!$C$4+20)),1,0))))</f>
        <v>0</v>
      </c>
      <c r="E156" s="0" t="n">
        <f aca="false">IF(OR(Kalemler!$A156="",Kalemler!$C156="",Kalemler!$D156=""),0,Kalemler!$C156*IF(Kalemler!$E156="Haftalık",IF(Kalemler!$D156&lt;=(Tahmin!$C$4+27),1,0),IF(Kalemler!$E156="Aylık",IF(OR(AND(DATE(YEAR((Tahmin!$C$4+21)),MONTH((Tahmin!$C$4+21)),MIN(DAY(Kalemler!$D156),DAY(EOMONTH((Tahmin!$C$4+21),0))))&gt;=(Tahmin!$C$4+21),DATE(YEAR((Tahmin!$C$4+21)),MONTH((Tahmin!$C$4+21)),MIN(DAY(Kalemler!$D156),DAY(EOMONTH((Tahmin!$C$4+21),0))))&lt;=(Tahmin!$C$4+27),DATE(YEAR((Tahmin!$C$4+21)),MONTH((Tahmin!$C$4+21)),MIN(DAY(Kalemler!$D156),DAY(EOMONTH((Tahmin!$C$4+21),0))))&gt;=Kalemler!$D156),AND(DATE(YEAR((Tahmin!$C$4+27)),MONTH((Tahmin!$C$4+27)),MIN(DAY(Kalemler!$D156),DAY(EOMONTH((Tahmin!$C$4+27),0))))&gt;=(Tahmin!$C$4+21),DATE(YEAR((Tahmin!$C$4+27)),MONTH((Tahmin!$C$4+27)),MIN(DAY(Kalemler!$D156),DAY(EOMONTH((Tahmin!$C$4+27),0))))&lt;=(Tahmin!$C$4+27),DATE(YEAR((Tahmin!$C$4+27)),MONTH((Tahmin!$C$4+27)),MIN(DAY(Kalemler!$D156),DAY(EOMONTH((Tahmin!$C$4+27),0))))&lt;&gt;DATE(YEAR((Tahmin!$C$4+21)),MONTH((Tahmin!$C$4+21)),MIN(DAY(Kalemler!$D156),DAY(EOMONTH((Tahmin!$C$4+21),0)))),DATE(YEAR((Tahmin!$C$4+27)),MONTH((Tahmin!$C$4+27)),MIN(DAY(Kalemler!$D156),DAY(EOMONTH((Tahmin!$C$4+27),0))))&gt;=Kalemler!$D156)),1,0),IF(AND(Kalemler!$D156&gt;=(Tahmin!$C$4+21),Kalemler!$D156&lt;=(Tahmin!$C$4+27)),1,0))))</f>
        <v>0</v>
      </c>
      <c r="F156" s="0" t="n">
        <f aca="false">IF(OR(Kalemler!$A156="",Kalemler!$C156="",Kalemler!$D156=""),0,Kalemler!$C156*IF(Kalemler!$E156="Haftalık",IF(Kalemler!$D156&lt;=(Tahmin!$C$4+34),1,0),IF(Kalemler!$E156="Aylık",IF(OR(AND(DATE(YEAR((Tahmin!$C$4+28)),MONTH((Tahmin!$C$4+28)),MIN(DAY(Kalemler!$D156),DAY(EOMONTH((Tahmin!$C$4+28),0))))&gt;=(Tahmin!$C$4+28),DATE(YEAR((Tahmin!$C$4+28)),MONTH((Tahmin!$C$4+28)),MIN(DAY(Kalemler!$D156),DAY(EOMONTH((Tahmin!$C$4+28),0))))&lt;=(Tahmin!$C$4+34),DATE(YEAR((Tahmin!$C$4+28)),MONTH((Tahmin!$C$4+28)),MIN(DAY(Kalemler!$D156),DAY(EOMONTH((Tahmin!$C$4+28),0))))&gt;=Kalemler!$D156),AND(DATE(YEAR((Tahmin!$C$4+34)),MONTH((Tahmin!$C$4+34)),MIN(DAY(Kalemler!$D156),DAY(EOMONTH((Tahmin!$C$4+34),0))))&gt;=(Tahmin!$C$4+28),DATE(YEAR((Tahmin!$C$4+34)),MONTH((Tahmin!$C$4+34)),MIN(DAY(Kalemler!$D156),DAY(EOMONTH((Tahmin!$C$4+34),0))))&lt;=(Tahmin!$C$4+34),DATE(YEAR((Tahmin!$C$4+34)),MONTH((Tahmin!$C$4+34)),MIN(DAY(Kalemler!$D156),DAY(EOMONTH((Tahmin!$C$4+34),0))))&lt;&gt;DATE(YEAR((Tahmin!$C$4+28)),MONTH((Tahmin!$C$4+28)),MIN(DAY(Kalemler!$D156),DAY(EOMONTH((Tahmin!$C$4+28),0)))),DATE(YEAR((Tahmin!$C$4+34)),MONTH((Tahmin!$C$4+34)),MIN(DAY(Kalemler!$D156),DAY(EOMONTH((Tahmin!$C$4+34),0))))&gt;=Kalemler!$D156)),1,0),IF(AND(Kalemler!$D156&gt;=(Tahmin!$C$4+28),Kalemler!$D156&lt;=(Tahmin!$C$4+34)),1,0))))</f>
        <v>0</v>
      </c>
      <c r="G156" s="0" t="n">
        <f aca="false">IF(OR(Kalemler!$A156="",Kalemler!$C156="",Kalemler!$D156=""),0,Kalemler!$C156*IF(Kalemler!$E156="Haftalık",IF(Kalemler!$D156&lt;=(Tahmin!$C$4+41),1,0),IF(Kalemler!$E156="Aylık",IF(OR(AND(DATE(YEAR((Tahmin!$C$4+35)),MONTH((Tahmin!$C$4+35)),MIN(DAY(Kalemler!$D156),DAY(EOMONTH((Tahmin!$C$4+35),0))))&gt;=(Tahmin!$C$4+35),DATE(YEAR((Tahmin!$C$4+35)),MONTH((Tahmin!$C$4+35)),MIN(DAY(Kalemler!$D156),DAY(EOMONTH((Tahmin!$C$4+35),0))))&lt;=(Tahmin!$C$4+41),DATE(YEAR((Tahmin!$C$4+35)),MONTH((Tahmin!$C$4+35)),MIN(DAY(Kalemler!$D156),DAY(EOMONTH((Tahmin!$C$4+35),0))))&gt;=Kalemler!$D156),AND(DATE(YEAR((Tahmin!$C$4+41)),MONTH((Tahmin!$C$4+41)),MIN(DAY(Kalemler!$D156),DAY(EOMONTH((Tahmin!$C$4+41),0))))&gt;=(Tahmin!$C$4+35),DATE(YEAR((Tahmin!$C$4+41)),MONTH((Tahmin!$C$4+41)),MIN(DAY(Kalemler!$D156),DAY(EOMONTH((Tahmin!$C$4+41),0))))&lt;=(Tahmin!$C$4+41),DATE(YEAR((Tahmin!$C$4+41)),MONTH((Tahmin!$C$4+41)),MIN(DAY(Kalemler!$D156),DAY(EOMONTH((Tahmin!$C$4+41),0))))&lt;&gt;DATE(YEAR((Tahmin!$C$4+35)),MONTH((Tahmin!$C$4+35)),MIN(DAY(Kalemler!$D156),DAY(EOMONTH((Tahmin!$C$4+35),0)))),DATE(YEAR((Tahmin!$C$4+41)),MONTH((Tahmin!$C$4+41)),MIN(DAY(Kalemler!$D156),DAY(EOMONTH((Tahmin!$C$4+41),0))))&gt;=Kalemler!$D156)),1,0),IF(AND(Kalemler!$D156&gt;=(Tahmin!$C$4+35),Kalemler!$D156&lt;=(Tahmin!$C$4+41)),1,0))))</f>
        <v>0</v>
      </c>
      <c r="H156" s="0" t="n">
        <f aca="false">IF(OR(Kalemler!$A156="",Kalemler!$C156="",Kalemler!$D156=""),0,Kalemler!$C156*IF(Kalemler!$E156="Haftalık",IF(Kalemler!$D156&lt;=(Tahmin!$C$4+48),1,0),IF(Kalemler!$E156="Aylık",IF(OR(AND(DATE(YEAR((Tahmin!$C$4+42)),MONTH((Tahmin!$C$4+42)),MIN(DAY(Kalemler!$D156),DAY(EOMONTH((Tahmin!$C$4+42),0))))&gt;=(Tahmin!$C$4+42),DATE(YEAR((Tahmin!$C$4+42)),MONTH((Tahmin!$C$4+42)),MIN(DAY(Kalemler!$D156),DAY(EOMONTH((Tahmin!$C$4+42),0))))&lt;=(Tahmin!$C$4+48),DATE(YEAR((Tahmin!$C$4+42)),MONTH((Tahmin!$C$4+42)),MIN(DAY(Kalemler!$D156),DAY(EOMONTH((Tahmin!$C$4+42),0))))&gt;=Kalemler!$D156),AND(DATE(YEAR((Tahmin!$C$4+48)),MONTH((Tahmin!$C$4+48)),MIN(DAY(Kalemler!$D156),DAY(EOMONTH((Tahmin!$C$4+48),0))))&gt;=(Tahmin!$C$4+42),DATE(YEAR((Tahmin!$C$4+48)),MONTH((Tahmin!$C$4+48)),MIN(DAY(Kalemler!$D156),DAY(EOMONTH((Tahmin!$C$4+48),0))))&lt;=(Tahmin!$C$4+48),DATE(YEAR((Tahmin!$C$4+48)),MONTH((Tahmin!$C$4+48)),MIN(DAY(Kalemler!$D156),DAY(EOMONTH((Tahmin!$C$4+48),0))))&lt;&gt;DATE(YEAR((Tahmin!$C$4+42)),MONTH((Tahmin!$C$4+42)),MIN(DAY(Kalemler!$D156),DAY(EOMONTH((Tahmin!$C$4+42),0)))),DATE(YEAR((Tahmin!$C$4+48)),MONTH((Tahmin!$C$4+48)),MIN(DAY(Kalemler!$D156),DAY(EOMONTH((Tahmin!$C$4+48),0))))&gt;=Kalemler!$D156)),1,0),IF(AND(Kalemler!$D156&gt;=(Tahmin!$C$4+42),Kalemler!$D156&lt;=(Tahmin!$C$4+48)),1,0))))</f>
        <v>0</v>
      </c>
      <c r="I156" s="0" t="n">
        <f aca="false">IF(OR(Kalemler!$A156="",Kalemler!$C156="",Kalemler!$D156=""),0,Kalemler!$C156*IF(Kalemler!$E156="Haftalık",IF(Kalemler!$D156&lt;=(Tahmin!$C$4+55),1,0),IF(Kalemler!$E156="Aylık",IF(OR(AND(DATE(YEAR((Tahmin!$C$4+49)),MONTH((Tahmin!$C$4+49)),MIN(DAY(Kalemler!$D156),DAY(EOMONTH((Tahmin!$C$4+49),0))))&gt;=(Tahmin!$C$4+49),DATE(YEAR((Tahmin!$C$4+49)),MONTH((Tahmin!$C$4+49)),MIN(DAY(Kalemler!$D156),DAY(EOMONTH((Tahmin!$C$4+49),0))))&lt;=(Tahmin!$C$4+55),DATE(YEAR((Tahmin!$C$4+49)),MONTH((Tahmin!$C$4+49)),MIN(DAY(Kalemler!$D156),DAY(EOMONTH((Tahmin!$C$4+49),0))))&gt;=Kalemler!$D156),AND(DATE(YEAR((Tahmin!$C$4+55)),MONTH((Tahmin!$C$4+55)),MIN(DAY(Kalemler!$D156),DAY(EOMONTH((Tahmin!$C$4+55),0))))&gt;=(Tahmin!$C$4+49),DATE(YEAR((Tahmin!$C$4+55)),MONTH((Tahmin!$C$4+55)),MIN(DAY(Kalemler!$D156),DAY(EOMONTH((Tahmin!$C$4+55),0))))&lt;=(Tahmin!$C$4+55),DATE(YEAR((Tahmin!$C$4+55)),MONTH((Tahmin!$C$4+55)),MIN(DAY(Kalemler!$D156),DAY(EOMONTH((Tahmin!$C$4+55),0))))&lt;&gt;DATE(YEAR((Tahmin!$C$4+49)),MONTH((Tahmin!$C$4+49)),MIN(DAY(Kalemler!$D156),DAY(EOMONTH((Tahmin!$C$4+49),0)))),DATE(YEAR((Tahmin!$C$4+55)),MONTH((Tahmin!$C$4+55)),MIN(DAY(Kalemler!$D156),DAY(EOMONTH((Tahmin!$C$4+55),0))))&gt;=Kalemler!$D156)),1,0),IF(AND(Kalemler!$D156&gt;=(Tahmin!$C$4+49),Kalemler!$D156&lt;=(Tahmin!$C$4+55)),1,0))))</f>
        <v>0</v>
      </c>
      <c r="J156" s="0" t="n">
        <f aca="false">IF(OR(Kalemler!$A156="",Kalemler!$C156="",Kalemler!$D156=""),0,Kalemler!$C156*IF(Kalemler!$E156="Haftalık",IF(Kalemler!$D156&lt;=(Tahmin!$C$4+62),1,0),IF(Kalemler!$E156="Aylık",IF(OR(AND(DATE(YEAR((Tahmin!$C$4+56)),MONTH((Tahmin!$C$4+56)),MIN(DAY(Kalemler!$D156),DAY(EOMONTH((Tahmin!$C$4+56),0))))&gt;=(Tahmin!$C$4+56),DATE(YEAR((Tahmin!$C$4+56)),MONTH((Tahmin!$C$4+56)),MIN(DAY(Kalemler!$D156),DAY(EOMONTH((Tahmin!$C$4+56),0))))&lt;=(Tahmin!$C$4+62),DATE(YEAR((Tahmin!$C$4+56)),MONTH((Tahmin!$C$4+56)),MIN(DAY(Kalemler!$D156),DAY(EOMONTH((Tahmin!$C$4+56),0))))&gt;=Kalemler!$D156),AND(DATE(YEAR((Tahmin!$C$4+62)),MONTH((Tahmin!$C$4+62)),MIN(DAY(Kalemler!$D156),DAY(EOMONTH((Tahmin!$C$4+62),0))))&gt;=(Tahmin!$C$4+56),DATE(YEAR((Tahmin!$C$4+62)),MONTH((Tahmin!$C$4+62)),MIN(DAY(Kalemler!$D156),DAY(EOMONTH((Tahmin!$C$4+62),0))))&lt;=(Tahmin!$C$4+62),DATE(YEAR((Tahmin!$C$4+62)),MONTH((Tahmin!$C$4+62)),MIN(DAY(Kalemler!$D156),DAY(EOMONTH((Tahmin!$C$4+62),0))))&lt;&gt;DATE(YEAR((Tahmin!$C$4+56)),MONTH((Tahmin!$C$4+56)),MIN(DAY(Kalemler!$D156),DAY(EOMONTH((Tahmin!$C$4+56),0)))),DATE(YEAR((Tahmin!$C$4+62)),MONTH((Tahmin!$C$4+62)),MIN(DAY(Kalemler!$D156),DAY(EOMONTH((Tahmin!$C$4+62),0))))&gt;=Kalemler!$D156)),1,0),IF(AND(Kalemler!$D156&gt;=(Tahmin!$C$4+56),Kalemler!$D156&lt;=(Tahmin!$C$4+62)),1,0))))</f>
        <v>0</v>
      </c>
      <c r="K156" s="0" t="n">
        <f aca="false">IF(OR(Kalemler!$A156="",Kalemler!$C156="",Kalemler!$D156=""),0,Kalemler!$C156*IF(Kalemler!$E156="Haftalık",IF(Kalemler!$D156&lt;=(Tahmin!$C$4+69),1,0),IF(Kalemler!$E156="Aylık",IF(OR(AND(DATE(YEAR((Tahmin!$C$4+63)),MONTH((Tahmin!$C$4+63)),MIN(DAY(Kalemler!$D156),DAY(EOMONTH((Tahmin!$C$4+63),0))))&gt;=(Tahmin!$C$4+63),DATE(YEAR((Tahmin!$C$4+63)),MONTH((Tahmin!$C$4+63)),MIN(DAY(Kalemler!$D156),DAY(EOMONTH((Tahmin!$C$4+63),0))))&lt;=(Tahmin!$C$4+69),DATE(YEAR((Tahmin!$C$4+63)),MONTH((Tahmin!$C$4+63)),MIN(DAY(Kalemler!$D156),DAY(EOMONTH((Tahmin!$C$4+63),0))))&gt;=Kalemler!$D156),AND(DATE(YEAR((Tahmin!$C$4+69)),MONTH((Tahmin!$C$4+69)),MIN(DAY(Kalemler!$D156),DAY(EOMONTH((Tahmin!$C$4+69),0))))&gt;=(Tahmin!$C$4+63),DATE(YEAR((Tahmin!$C$4+69)),MONTH((Tahmin!$C$4+69)),MIN(DAY(Kalemler!$D156),DAY(EOMONTH((Tahmin!$C$4+69),0))))&lt;=(Tahmin!$C$4+69),DATE(YEAR((Tahmin!$C$4+69)),MONTH((Tahmin!$C$4+69)),MIN(DAY(Kalemler!$D156),DAY(EOMONTH((Tahmin!$C$4+69),0))))&lt;&gt;DATE(YEAR((Tahmin!$C$4+63)),MONTH((Tahmin!$C$4+63)),MIN(DAY(Kalemler!$D156),DAY(EOMONTH((Tahmin!$C$4+63),0)))),DATE(YEAR((Tahmin!$C$4+69)),MONTH((Tahmin!$C$4+69)),MIN(DAY(Kalemler!$D156),DAY(EOMONTH((Tahmin!$C$4+69),0))))&gt;=Kalemler!$D156)),1,0),IF(AND(Kalemler!$D156&gt;=(Tahmin!$C$4+63),Kalemler!$D156&lt;=(Tahmin!$C$4+69)),1,0))))</f>
        <v>0</v>
      </c>
      <c r="L156" s="0" t="n">
        <f aca="false">IF(OR(Kalemler!$A156="",Kalemler!$C156="",Kalemler!$D156=""),0,Kalemler!$C156*IF(Kalemler!$E156="Haftalık",IF(Kalemler!$D156&lt;=(Tahmin!$C$4+76),1,0),IF(Kalemler!$E156="Aylık",IF(OR(AND(DATE(YEAR((Tahmin!$C$4+70)),MONTH((Tahmin!$C$4+70)),MIN(DAY(Kalemler!$D156),DAY(EOMONTH((Tahmin!$C$4+70),0))))&gt;=(Tahmin!$C$4+70),DATE(YEAR((Tahmin!$C$4+70)),MONTH((Tahmin!$C$4+70)),MIN(DAY(Kalemler!$D156),DAY(EOMONTH((Tahmin!$C$4+70),0))))&lt;=(Tahmin!$C$4+76),DATE(YEAR((Tahmin!$C$4+70)),MONTH((Tahmin!$C$4+70)),MIN(DAY(Kalemler!$D156),DAY(EOMONTH((Tahmin!$C$4+70),0))))&gt;=Kalemler!$D156),AND(DATE(YEAR((Tahmin!$C$4+76)),MONTH((Tahmin!$C$4+76)),MIN(DAY(Kalemler!$D156),DAY(EOMONTH((Tahmin!$C$4+76),0))))&gt;=(Tahmin!$C$4+70),DATE(YEAR((Tahmin!$C$4+76)),MONTH((Tahmin!$C$4+76)),MIN(DAY(Kalemler!$D156),DAY(EOMONTH((Tahmin!$C$4+76),0))))&lt;=(Tahmin!$C$4+76),DATE(YEAR((Tahmin!$C$4+76)),MONTH((Tahmin!$C$4+76)),MIN(DAY(Kalemler!$D156),DAY(EOMONTH((Tahmin!$C$4+76),0))))&lt;&gt;DATE(YEAR((Tahmin!$C$4+70)),MONTH((Tahmin!$C$4+70)),MIN(DAY(Kalemler!$D156),DAY(EOMONTH((Tahmin!$C$4+70),0)))),DATE(YEAR((Tahmin!$C$4+76)),MONTH((Tahmin!$C$4+76)),MIN(DAY(Kalemler!$D156),DAY(EOMONTH((Tahmin!$C$4+76),0))))&gt;=Kalemler!$D156)),1,0),IF(AND(Kalemler!$D156&gt;=(Tahmin!$C$4+70),Kalemler!$D156&lt;=(Tahmin!$C$4+76)),1,0))))</f>
        <v>0</v>
      </c>
      <c r="M156" s="0" t="n">
        <f aca="false">IF(OR(Kalemler!$A156="",Kalemler!$C156="",Kalemler!$D156=""),0,Kalemler!$C156*IF(Kalemler!$E156="Haftalık",IF(Kalemler!$D156&lt;=(Tahmin!$C$4+83),1,0),IF(Kalemler!$E156="Aylık",IF(OR(AND(DATE(YEAR((Tahmin!$C$4+77)),MONTH((Tahmin!$C$4+77)),MIN(DAY(Kalemler!$D156),DAY(EOMONTH((Tahmin!$C$4+77),0))))&gt;=(Tahmin!$C$4+77),DATE(YEAR((Tahmin!$C$4+77)),MONTH((Tahmin!$C$4+77)),MIN(DAY(Kalemler!$D156),DAY(EOMONTH((Tahmin!$C$4+77),0))))&lt;=(Tahmin!$C$4+83),DATE(YEAR((Tahmin!$C$4+77)),MONTH((Tahmin!$C$4+77)),MIN(DAY(Kalemler!$D156),DAY(EOMONTH((Tahmin!$C$4+77),0))))&gt;=Kalemler!$D156),AND(DATE(YEAR((Tahmin!$C$4+83)),MONTH((Tahmin!$C$4+83)),MIN(DAY(Kalemler!$D156),DAY(EOMONTH((Tahmin!$C$4+83),0))))&gt;=(Tahmin!$C$4+77),DATE(YEAR((Tahmin!$C$4+83)),MONTH((Tahmin!$C$4+83)),MIN(DAY(Kalemler!$D156),DAY(EOMONTH((Tahmin!$C$4+83),0))))&lt;=(Tahmin!$C$4+83),DATE(YEAR((Tahmin!$C$4+83)),MONTH((Tahmin!$C$4+83)),MIN(DAY(Kalemler!$D156),DAY(EOMONTH((Tahmin!$C$4+83),0))))&lt;&gt;DATE(YEAR((Tahmin!$C$4+77)),MONTH((Tahmin!$C$4+77)),MIN(DAY(Kalemler!$D156),DAY(EOMONTH((Tahmin!$C$4+77),0)))),DATE(YEAR((Tahmin!$C$4+83)),MONTH((Tahmin!$C$4+83)),MIN(DAY(Kalemler!$D156),DAY(EOMONTH((Tahmin!$C$4+83),0))))&gt;=Kalemler!$D156)),1,0),IF(AND(Kalemler!$D156&gt;=(Tahmin!$C$4+77),Kalemler!$D156&lt;=(Tahmin!$C$4+83)),1,0))))</f>
        <v>0</v>
      </c>
      <c r="N156" s="0" t="n">
        <f aca="false">IF(OR(Kalemler!$A156="",Kalemler!$C156="",Kalemler!$D156=""),0,Kalemler!$C156*IF(Kalemler!$E156="Haftalık",IF(Kalemler!$D156&lt;=(Tahmin!$C$4+90),1,0),IF(Kalemler!$E156="Aylık",IF(OR(AND(DATE(YEAR((Tahmin!$C$4+84)),MONTH((Tahmin!$C$4+84)),MIN(DAY(Kalemler!$D156),DAY(EOMONTH((Tahmin!$C$4+84),0))))&gt;=(Tahmin!$C$4+84),DATE(YEAR((Tahmin!$C$4+84)),MONTH((Tahmin!$C$4+84)),MIN(DAY(Kalemler!$D156),DAY(EOMONTH((Tahmin!$C$4+84),0))))&lt;=(Tahmin!$C$4+90),DATE(YEAR((Tahmin!$C$4+84)),MONTH((Tahmin!$C$4+84)),MIN(DAY(Kalemler!$D156),DAY(EOMONTH((Tahmin!$C$4+84),0))))&gt;=Kalemler!$D156),AND(DATE(YEAR((Tahmin!$C$4+90)),MONTH((Tahmin!$C$4+90)),MIN(DAY(Kalemler!$D156),DAY(EOMONTH((Tahmin!$C$4+90),0))))&gt;=(Tahmin!$C$4+84),DATE(YEAR((Tahmin!$C$4+90)),MONTH((Tahmin!$C$4+90)),MIN(DAY(Kalemler!$D156),DAY(EOMONTH((Tahmin!$C$4+90),0))))&lt;=(Tahmin!$C$4+90),DATE(YEAR((Tahmin!$C$4+90)),MONTH((Tahmin!$C$4+90)),MIN(DAY(Kalemler!$D156),DAY(EOMONTH((Tahmin!$C$4+90),0))))&lt;&gt;DATE(YEAR((Tahmin!$C$4+84)),MONTH((Tahmin!$C$4+84)),MIN(DAY(Kalemler!$D156),DAY(EOMONTH((Tahmin!$C$4+84),0)))),DATE(YEAR((Tahmin!$C$4+90)),MONTH((Tahmin!$C$4+90)),MIN(DAY(Kalemler!$D156),DAY(EOMONTH((Tahmin!$C$4+90),0))))&gt;=Kalemler!$D156)),1,0),IF(AND(Kalemler!$D156&gt;=(Tahmin!$C$4+84),Kalemler!$D156&lt;=(Tahmin!$C$4+90)),1,0))))</f>
        <v>0</v>
      </c>
    </row>
    <row r="157" customFormat="false" ht="15" hidden="false" customHeight="false" outlineLevel="0" collapsed="false">
      <c r="A157" s="0" t="str">
        <f aca="false">IF(Kalemler!A157="","",Kalemler!A157)</f>
        <v/>
      </c>
      <c r="B157" s="0" t="n">
        <f aca="false">IF(OR(Kalemler!$A157="",Kalemler!$C157="",Kalemler!$D157=""),0,Kalemler!$C157*IF(Kalemler!$E157="Haftalık",IF(Kalemler!$D157&lt;=(Tahmin!$C$4+6),1,0),IF(Kalemler!$E157="Aylık",IF(OR(AND(DATE(YEAR((Tahmin!$C$4+0)),MONTH((Tahmin!$C$4+0)),MIN(DAY(Kalemler!$D157),DAY(EOMONTH((Tahmin!$C$4+0),0))))&gt;=(Tahmin!$C$4+0),DATE(YEAR((Tahmin!$C$4+0)),MONTH((Tahmin!$C$4+0)),MIN(DAY(Kalemler!$D157),DAY(EOMONTH((Tahmin!$C$4+0),0))))&lt;=(Tahmin!$C$4+6),DATE(YEAR((Tahmin!$C$4+0)),MONTH((Tahmin!$C$4+0)),MIN(DAY(Kalemler!$D157),DAY(EOMONTH((Tahmin!$C$4+0),0))))&gt;=Kalemler!$D157),AND(DATE(YEAR((Tahmin!$C$4+6)),MONTH((Tahmin!$C$4+6)),MIN(DAY(Kalemler!$D157),DAY(EOMONTH((Tahmin!$C$4+6),0))))&gt;=(Tahmin!$C$4+0),DATE(YEAR((Tahmin!$C$4+6)),MONTH((Tahmin!$C$4+6)),MIN(DAY(Kalemler!$D157),DAY(EOMONTH((Tahmin!$C$4+6),0))))&lt;=(Tahmin!$C$4+6),DATE(YEAR((Tahmin!$C$4+6)),MONTH((Tahmin!$C$4+6)),MIN(DAY(Kalemler!$D157),DAY(EOMONTH((Tahmin!$C$4+6),0))))&lt;&gt;DATE(YEAR((Tahmin!$C$4+0)),MONTH((Tahmin!$C$4+0)),MIN(DAY(Kalemler!$D157),DAY(EOMONTH((Tahmin!$C$4+0),0)))),DATE(YEAR((Tahmin!$C$4+6)),MONTH((Tahmin!$C$4+6)),MIN(DAY(Kalemler!$D157),DAY(EOMONTH((Tahmin!$C$4+6),0))))&gt;=Kalemler!$D157)),1,0),IF(AND(Kalemler!$D157&gt;=(Tahmin!$C$4+0),Kalemler!$D157&lt;=(Tahmin!$C$4+6)),1,0))))</f>
        <v>0</v>
      </c>
      <c r="C157" s="0" t="n">
        <f aca="false">IF(OR(Kalemler!$A157="",Kalemler!$C157="",Kalemler!$D157=""),0,Kalemler!$C157*IF(Kalemler!$E157="Haftalık",IF(Kalemler!$D157&lt;=(Tahmin!$C$4+13),1,0),IF(Kalemler!$E157="Aylık",IF(OR(AND(DATE(YEAR((Tahmin!$C$4+7)),MONTH((Tahmin!$C$4+7)),MIN(DAY(Kalemler!$D157),DAY(EOMONTH((Tahmin!$C$4+7),0))))&gt;=(Tahmin!$C$4+7),DATE(YEAR((Tahmin!$C$4+7)),MONTH((Tahmin!$C$4+7)),MIN(DAY(Kalemler!$D157),DAY(EOMONTH((Tahmin!$C$4+7),0))))&lt;=(Tahmin!$C$4+13),DATE(YEAR((Tahmin!$C$4+7)),MONTH((Tahmin!$C$4+7)),MIN(DAY(Kalemler!$D157),DAY(EOMONTH((Tahmin!$C$4+7),0))))&gt;=Kalemler!$D157),AND(DATE(YEAR((Tahmin!$C$4+13)),MONTH((Tahmin!$C$4+13)),MIN(DAY(Kalemler!$D157),DAY(EOMONTH((Tahmin!$C$4+13),0))))&gt;=(Tahmin!$C$4+7),DATE(YEAR((Tahmin!$C$4+13)),MONTH((Tahmin!$C$4+13)),MIN(DAY(Kalemler!$D157),DAY(EOMONTH((Tahmin!$C$4+13),0))))&lt;=(Tahmin!$C$4+13),DATE(YEAR((Tahmin!$C$4+13)),MONTH((Tahmin!$C$4+13)),MIN(DAY(Kalemler!$D157),DAY(EOMONTH((Tahmin!$C$4+13),0))))&lt;&gt;DATE(YEAR((Tahmin!$C$4+7)),MONTH((Tahmin!$C$4+7)),MIN(DAY(Kalemler!$D157),DAY(EOMONTH((Tahmin!$C$4+7),0)))),DATE(YEAR((Tahmin!$C$4+13)),MONTH((Tahmin!$C$4+13)),MIN(DAY(Kalemler!$D157),DAY(EOMONTH((Tahmin!$C$4+13),0))))&gt;=Kalemler!$D157)),1,0),IF(AND(Kalemler!$D157&gt;=(Tahmin!$C$4+7),Kalemler!$D157&lt;=(Tahmin!$C$4+13)),1,0))))</f>
        <v>0</v>
      </c>
      <c r="D157" s="0" t="n">
        <f aca="false">IF(OR(Kalemler!$A157="",Kalemler!$C157="",Kalemler!$D157=""),0,Kalemler!$C157*IF(Kalemler!$E157="Haftalık",IF(Kalemler!$D157&lt;=(Tahmin!$C$4+20),1,0),IF(Kalemler!$E157="Aylık",IF(OR(AND(DATE(YEAR((Tahmin!$C$4+14)),MONTH((Tahmin!$C$4+14)),MIN(DAY(Kalemler!$D157),DAY(EOMONTH((Tahmin!$C$4+14),0))))&gt;=(Tahmin!$C$4+14),DATE(YEAR((Tahmin!$C$4+14)),MONTH((Tahmin!$C$4+14)),MIN(DAY(Kalemler!$D157),DAY(EOMONTH((Tahmin!$C$4+14),0))))&lt;=(Tahmin!$C$4+20),DATE(YEAR((Tahmin!$C$4+14)),MONTH((Tahmin!$C$4+14)),MIN(DAY(Kalemler!$D157),DAY(EOMONTH((Tahmin!$C$4+14),0))))&gt;=Kalemler!$D157),AND(DATE(YEAR((Tahmin!$C$4+20)),MONTH((Tahmin!$C$4+20)),MIN(DAY(Kalemler!$D157),DAY(EOMONTH((Tahmin!$C$4+20),0))))&gt;=(Tahmin!$C$4+14),DATE(YEAR((Tahmin!$C$4+20)),MONTH((Tahmin!$C$4+20)),MIN(DAY(Kalemler!$D157),DAY(EOMONTH((Tahmin!$C$4+20),0))))&lt;=(Tahmin!$C$4+20),DATE(YEAR((Tahmin!$C$4+20)),MONTH((Tahmin!$C$4+20)),MIN(DAY(Kalemler!$D157),DAY(EOMONTH((Tahmin!$C$4+20),0))))&lt;&gt;DATE(YEAR((Tahmin!$C$4+14)),MONTH((Tahmin!$C$4+14)),MIN(DAY(Kalemler!$D157),DAY(EOMONTH((Tahmin!$C$4+14),0)))),DATE(YEAR((Tahmin!$C$4+20)),MONTH((Tahmin!$C$4+20)),MIN(DAY(Kalemler!$D157),DAY(EOMONTH((Tahmin!$C$4+20),0))))&gt;=Kalemler!$D157)),1,0),IF(AND(Kalemler!$D157&gt;=(Tahmin!$C$4+14),Kalemler!$D157&lt;=(Tahmin!$C$4+20)),1,0))))</f>
        <v>0</v>
      </c>
      <c r="E157" s="0" t="n">
        <f aca="false">IF(OR(Kalemler!$A157="",Kalemler!$C157="",Kalemler!$D157=""),0,Kalemler!$C157*IF(Kalemler!$E157="Haftalık",IF(Kalemler!$D157&lt;=(Tahmin!$C$4+27),1,0),IF(Kalemler!$E157="Aylık",IF(OR(AND(DATE(YEAR((Tahmin!$C$4+21)),MONTH((Tahmin!$C$4+21)),MIN(DAY(Kalemler!$D157),DAY(EOMONTH((Tahmin!$C$4+21),0))))&gt;=(Tahmin!$C$4+21),DATE(YEAR((Tahmin!$C$4+21)),MONTH((Tahmin!$C$4+21)),MIN(DAY(Kalemler!$D157),DAY(EOMONTH((Tahmin!$C$4+21),0))))&lt;=(Tahmin!$C$4+27),DATE(YEAR((Tahmin!$C$4+21)),MONTH((Tahmin!$C$4+21)),MIN(DAY(Kalemler!$D157),DAY(EOMONTH((Tahmin!$C$4+21),0))))&gt;=Kalemler!$D157),AND(DATE(YEAR((Tahmin!$C$4+27)),MONTH((Tahmin!$C$4+27)),MIN(DAY(Kalemler!$D157),DAY(EOMONTH((Tahmin!$C$4+27),0))))&gt;=(Tahmin!$C$4+21),DATE(YEAR((Tahmin!$C$4+27)),MONTH((Tahmin!$C$4+27)),MIN(DAY(Kalemler!$D157),DAY(EOMONTH((Tahmin!$C$4+27),0))))&lt;=(Tahmin!$C$4+27),DATE(YEAR((Tahmin!$C$4+27)),MONTH((Tahmin!$C$4+27)),MIN(DAY(Kalemler!$D157),DAY(EOMONTH((Tahmin!$C$4+27),0))))&lt;&gt;DATE(YEAR((Tahmin!$C$4+21)),MONTH((Tahmin!$C$4+21)),MIN(DAY(Kalemler!$D157),DAY(EOMONTH((Tahmin!$C$4+21),0)))),DATE(YEAR((Tahmin!$C$4+27)),MONTH((Tahmin!$C$4+27)),MIN(DAY(Kalemler!$D157),DAY(EOMONTH((Tahmin!$C$4+27),0))))&gt;=Kalemler!$D157)),1,0),IF(AND(Kalemler!$D157&gt;=(Tahmin!$C$4+21),Kalemler!$D157&lt;=(Tahmin!$C$4+27)),1,0))))</f>
        <v>0</v>
      </c>
      <c r="F157" s="0" t="n">
        <f aca="false">IF(OR(Kalemler!$A157="",Kalemler!$C157="",Kalemler!$D157=""),0,Kalemler!$C157*IF(Kalemler!$E157="Haftalık",IF(Kalemler!$D157&lt;=(Tahmin!$C$4+34),1,0),IF(Kalemler!$E157="Aylık",IF(OR(AND(DATE(YEAR((Tahmin!$C$4+28)),MONTH((Tahmin!$C$4+28)),MIN(DAY(Kalemler!$D157),DAY(EOMONTH((Tahmin!$C$4+28),0))))&gt;=(Tahmin!$C$4+28),DATE(YEAR((Tahmin!$C$4+28)),MONTH((Tahmin!$C$4+28)),MIN(DAY(Kalemler!$D157),DAY(EOMONTH((Tahmin!$C$4+28),0))))&lt;=(Tahmin!$C$4+34),DATE(YEAR((Tahmin!$C$4+28)),MONTH((Tahmin!$C$4+28)),MIN(DAY(Kalemler!$D157),DAY(EOMONTH((Tahmin!$C$4+28),0))))&gt;=Kalemler!$D157),AND(DATE(YEAR((Tahmin!$C$4+34)),MONTH((Tahmin!$C$4+34)),MIN(DAY(Kalemler!$D157),DAY(EOMONTH((Tahmin!$C$4+34),0))))&gt;=(Tahmin!$C$4+28),DATE(YEAR((Tahmin!$C$4+34)),MONTH((Tahmin!$C$4+34)),MIN(DAY(Kalemler!$D157),DAY(EOMONTH((Tahmin!$C$4+34),0))))&lt;=(Tahmin!$C$4+34),DATE(YEAR((Tahmin!$C$4+34)),MONTH((Tahmin!$C$4+34)),MIN(DAY(Kalemler!$D157),DAY(EOMONTH((Tahmin!$C$4+34),0))))&lt;&gt;DATE(YEAR((Tahmin!$C$4+28)),MONTH((Tahmin!$C$4+28)),MIN(DAY(Kalemler!$D157),DAY(EOMONTH((Tahmin!$C$4+28),0)))),DATE(YEAR((Tahmin!$C$4+34)),MONTH((Tahmin!$C$4+34)),MIN(DAY(Kalemler!$D157),DAY(EOMONTH((Tahmin!$C$4+34),0))))&gt;=Kalemler!$D157)),1,0),IF(AND(Kalemler!$D157&gt;=(Tahmin!$C$4+28),Kalemler!$D157&lt;=(Tahmin!$C$4+34)),1,0))))</f>
        <v>0</v>
      </c>
      <c r="G157" s="0" t="n">
        <f aca="false">IF(OR(Kalemler!$A157="",Kalemler!$C157="",Kalemler!$D157=""),0,Kalemler!$C157*IF(Kalemler!$E157="Haftalık",IF(Kalemler!$D157&lt;=(Tahmin!$C$4+41),1,0),IF(Kalemler!$E157="Aylık",IF(OR(AND(DATE(YEAR((Tahmin!$C$4+35)),MONTH((Tahmin!$C$4+35)),MIN(DAY(Kalemler!$D157),DAY(EOMONTH((Tahmin!$C$4+35),0))))&gt;=(Tahmin!$C$4+35),DATE(YEAR((Tahmin!$C$4+35)),MONTH((Tahmin!$C$4+35)),MIN(DAY(Kalemler!$D157),DAY(EOMONTH((Tahmin!$C$4+35),0))))&lt;=(Tahmin!$C$4+41),DATE(YEAR((Tahmin!$C$4+35)),MONTH((Tahmin!$C$4+35)),MIN(DAY(Kalemler!$D157),DAY(EOMONTH((Tahmin!$C$4+35),0))))&gt;=Kalemler!$D157),AND(DATE(YEAR((Tahmin!$C$4+41)),MONTH((Tahmin!$C$4+41)),MIN(DAY(Kalemler!$D157),DAY(EOMONTH((Tahmin!$C$4+41),0))))&gt;=(Tahmin!$C$4+35),DATE(YEAR((Tahmin!$C$4+41)),MONTH((Tahmin!$C$4+41)),MIN(DAY(Kalemler!$D157),DAY(EOMONTH((Tahmin!$C$4+41),0))))&lt;=(Tahmin!$C$4+41),DATE(YEAR((Tahmin!$C$4+41)),MONTH((Tahmin!$C$4+41)),MIN(DAY(Kalemler!$D157),DAY(EOMONTH((Tahmin!$C$4+41),0))))&lt;&gt;DATE(YEAR((Tahmin!$C$4+35)),MONTH((Tahmin!$C$4+35)),MIN(DAY(Kalemler!$D157),DAY(EOMONTH((Tahmin!$C$4+35),0)))),DATE(YEAR((Tahmin!$C$4+41)),MONTH((Tahmin!$C$4+41)),MIN(DAY(Kalemler!$D157),DAY(EOMONTH((Tahmin!$C$4+41),0))))&gt;=Kalemler!$D157)),1,0),IF(AND(Kalemler!$D157&gt;=(Tahmin!$C$4+35),Kalemler!$D157&lt;=(Tahmin!$C$4+41)),1,0))))</f>
        <v>0</v>
      </c>
      <c r="H157" s="0" t="n">
        <f aca="false">IF(OR(Kalemler!$A157="",Kalemler!$C157="",Kalemler!$D157=""),0,Kalemler!$C157*IF(Kalemler!$E157="Haftalık",IF(Kalemler!$D157&lt;=(Tahmin!$C$4+48),1,0),IF(Kalemler!$E157="Aylık",IF(OR(AND(DATE(YEAR((Tahmin!$C$4+42)),MONTH((Tahmin!$C$4+42)),MIN(DAY(Kalemler!$D157),DAY(EOMONTH((Tahmin!$C$4+42),0))))&gt;=(Tahmin!$C$4+42),DATE(YEAR((Tahmin!$C$4+42)),MONTH((Tahmin!$C$4+42)),MIN(DAY(Kalemler!$D157),DAY(EOMONTH((Tahmin!$C$4+42),0))))&lt;=(Tahmin!$C$4+48),DATE(YEAR((Tahmin!$C$4+42)),MONTH((Tahmin!$C$4+42)),MIN(DAY(Kalemler!$D157),DAY(EOMONTH((Tahmin!$C$4+42),0))))&gt;=Kalemler!$D157),AND(DATE(YEAR((Tahmin!$C$4+48)),MONTH((Tahmin!$C$4+48)),MIN(DAY(Kalemler!$D157),DAY(EOMONTH((Tahmin!$C$4+48),0))))&gt;=(Tahmin!$C$4+42),DATE(YEAR((Tahmin!$C$4+48)),MONTH((Tahmin!$C$4+48)),MIN(DAY(Kalemler!$D157),DAY(EOMONTH((Tahmin!$C$4+48),0))))&lt;=(Tahmin!$C$4+48),DATE(YEAR((Tahmin!$C$4+48)),MONTH((Tahmin!$C$4+48)),MIN(DAY(Kalemler!$D157),DAY(EOMONTH((Tahmin!$C$4+48),0))))&lt;&gt;DATE(YEAR((Tahmin!$C$4+42)),MONTH((Tahmin!$C$4+42)),MIN(DAY(Kalemler!$D157),DAY(EOMONTH((Tahmin!$C$4+42),0)))),DATE(YEAR((Tahmin!$C$4+48)),MONTH((Tahmin!$C$4+48)),MIN(DAY(Kalemler!$D157),DAY(EOMONTH((Tahmin!$C$4+48),0))))&gt;=Kalemler!$D157)),1,0),IF(AND(Kalemler!$D157&gt;=(Tahmin!$C$4+42),Kalemler!$D157&lt;=(Tahmin!$C$4+48)),1,0))))</f>
        <v>0</v>
      </c>
      <c r="I157" s="0" t="n">
        <f aca="false">IF(OR(Kalemler!$A157="",Kalemler!$C157="",Kalemler!$D157=""),0,Kalemler!$C157*IF(Kalemler!$E157="Haftalık",IF(Kalemler!$D157&lt;=(Tahmin!$C$4+55),1,0),IF(Kalemler!$E157="Aylık",IF(OR(AND(DATE(YEAR((Tahmin!$C$4+49)),MONTH((Tahmin!$C$4+49)),MIN(DAY(Kalemler!$D157),DAY(EOMONTH((Tahmin!$C$4+49),0))))&gt;=(Tahmin!$C$4+49),DATE(YEAR((Tahmin!$C$4+49)),MONTH((Tahmin!$C$4+49)),MIN(DAY(Kalemler!$D157),DAY(EOMONTH((Tahmin!$C$4+49),0))))&lt;=(Tahmin!$C$4+55),DATE(YEAR((Tahmin!$C$4+49)),MONTH((Tahmin!$C$4+49)),MIN(DAY(Kalemler!$D157),DAY(EOMONTH((Tahmin!$C$4+49),0))))&gt;=Kalemler!$D157),AND(DATE(YEAR((Tahmin!$C$4+55)),MONTH((Tahmin!$C$4+55)),MIN(DAY(Kalemler!$D157),DAY(EOMONTH((Tahmin!$C$4+55),0))))&gt;=(Tahmin!$C$4+49),DATE(YEAR((Tahmin!$C$4+55)),MONTH((Tahmin!$C$4+55)),MIN(DAY(Kalemler!$D157),DAY(EOMONTH((Tahmin!$C$4+55),0))))&lt;=(Tahmin!$C$4+55),DATE(YEAR((Tahmin!$C$4+55)),MONTH((Tahmin!$C$4+55)),MIN(DAY(Kalemler!$D157),DAY(EOMONTH((Tahmin!$C$4+55),0))))&lt;&gt;DATE(YEAR((Tahmin!$C$4+49)),MONTH((Tahmin!$C$4+49)),MIN(DAY(Kalemler!$D157),DAY(EOMONTH((Tahmin!$C$4+49),0)))),DATE(YEAR((Tahmin!$C$4+55)),MONTH((Tahmin!$C$4+55)),MIN(DAY(Kalemler!$D157),DAY(EOMONTH((Tahmin!$C$4+55),0))))&gt;=Kalemler!$D157)),1,0),IF(AND(Kalemler!$D157&gt;=(Tahmin!$C$4+49),Kalemler!$D157&lt;=(Tahmin!$C$4+55)),1,0))))</f>
        <v>0</v>
      </c>
      <c r="J157" s="0" t="n">
        <f aca="false">IF(OR(Kalemler!$A157="",Kalemler!$C157="",Kalemler!$D157=""),0,Kalemler!$C157*IF(Kalemler!$E157="Haftalık",IF(Kalemler!$D157&lt;=(Tahmin!$C$4+62),1,0),IF(Kalemler!$E157="Aylık",IF(OR(AND(DATE(YEAR((Tahmin!$C$4+56)),MONTH((Tahmin!$C$4+56)),MIN(DAY(Kalemler!$D157),DAY(EOMONTH((Tahmin!$C$4+56),0))))&gt;=(Tahmin!$C$4+56),DATE(YEAR((Tahmin!$C$4+56)),MONTH((Tahmin!$C$4+56)),MIN(DAY(Kalemler!$D157),DAY(EOMONTH((Tahmin!$C$4+56),0))))&lt;=(Tahmin!$C$4+62),DATE(YEAR((Tahmin!$C$4+56)),MONTH((Tahmin!$C$4+56)),MIN(DAY(Kalemler!$D157),DAY(EOMONTH((Tahmin!$C$4+56),0))))&gt;=Kalemler!$D157),AND(DATE(YEAR((Tahmin!$C$4+62)),MONTH((Tahmin!$C$4+62)),MIN(DAY(Kalemler!$D157),DAY(EOMONTH((Tahmin!$C$4+62),0))))&gt;=(Tahmin!$C$4+56),DATE(YEAR((Tahmin!$C$4+62)),MONTH((Tahmin!$C$4+62)),MIN(DAY(Kalemler!$D157),DAY(EOMONTH((Tahmin!$C$4+62),0))))&lt;=(Tahmin!$C$4+62),DATE(YEAR((Tahmin!$C$4+62)),MONTH((Tahmin!$C$4+62)),MIN(DAY(Kalemler!$D157),DAY(EOMONTH((Tahmin!$C$4+62),0))))&lt;&gt;DATE(YEAR((Tahmin!$C$4+56)),MONTH((Tahmin!$C$4+56)),MIN(DAY(Kalemler!$D157),DAY(EOMONTH((Tahmin!$C$4+56),0)))),DATE(YEAR((Tahmin!$C$4+62)),MONTH((Tahmin!$C$4+62)),MIN(DAY(Kalemler!$D157),DAY(EOMONTH((Tahmin!$C$4+62),0))))&gt;=Kalemler!$D157)),1,0),IF(AND(Kalemler!$D157&gt;=(Tahmin!$C$4+56),Kalemler!$D157&lt;=(Tahmin!$C$4+62)),1,0))))</f>
        <v>0</v>
      </c>
      <c r="K157" s="0" t="n">
        <f aca="false">IF(OR(Kalemler!$A157="",Kalemler!$C157="",Kalemler!$D157=""),0,Kalemler!$C157*IF(Kalemler!$E157="Haftalık",IF(Kalemler!$D157&lt;=(Tahmin!$C$4+69),1,0),IF(Kalemler!$E157="Aylık",IF(OR(AND(DATE(YEAR((Tahmin!$C$4+63)),MONTH((Tahmin!$C$4+63)),MIN(DAY(Kalemler!$D157),DAY(EOMONTH((Tahmin!$C$4+63),0))))&gt;=(Tahmin!$C$4+63),DATE(YEAR((Tahmin!$C$4+63)),MONTH((Tahmin!$C$4+63)),MIN(DAY(Kalemler!$D157),DAY(EOMONTH((Tahmin!$C$4+63),0))))&lt;=(Tahmin!$C$4+69),DATE(YEAR((Tahmin!$C$4+63)),MONTH((Tahmin!$C$4+63)),MIN(DAY(Kalemler!$D157),DAY(EOMONTH((Tahmin!$C$4+63),0))))&gt;=Kalemler!$D157),AND(DATE(YEAR((Tahmin!$C$4+69)),MONTH((Tahmin!$C$4+69)),MIN(DAY(Kalemler!$D157),DAY(EOMONTH((Tahmin!$C$4+69),0))))&gt;=(Tahmin!$C$4+63),DATE(YEAR((Tahmin!$C$4+69)),MONTH((Tahmin!$C$4+69)),MIN(DAY(Kalemler!$D157),DAY(EOMONTH((Tahmin!$C$4+69),0))))&lt;=(Tahmin!$C$4+69),DATE(YEAR((Tahmin!$C$4+69)),MONTH((Tahmin!$C$4+69)),MIN(DAY(Kalemler!$D157),DAY(EOMONTH((Tahmin!$C$4+69),0))))&lt;&gt;DATE(YEAR((Tahmin!$C$4+63)),MONTH((Tahmin!$C$4+63)),MIN(DAY(Kalemler!$D157),DAY(EOMONTH((Tahmin!$C$4+63),0)))),DATE(YEAR((Tahmin!$C$4+69)),MONTH((Tahmin!$C$4+69)),MIN(DAY(Kalemler!$D157),DAY(EOMONTH((Tahmin!$C$4+69),0))))&gt;=Kalemler!$D157)),1,0),IF(AND(Kalemler!$D157&gt;=(Tahmin!$C$4+63),Kalemler!$D157&lt;=(Tahmin!$C$4+69)),1,0))))</f>
        <v>0</v>
      </c>
      <c r="L157" s="0" t="n">
        <f aca="false">IF(OR(Kalemler!$A157="",Kalemler!$C157="",Kalemler!$D157=""),0,Kalemler!$C157*IF(Kalemler!$E157="Haftalık",IF(Kalemler!$D157&lt;=(Tahmin!$C$4+76),1,0),IF(Kalemler!$E157="Aylık",IF(OR(AND(DATE(YEAR((Tahmin!$C$4+70)),MONTH((Tahmin!$C$4+70)),MIN(DAY(Kalemler!$D157),DAY(EOMONTH((Tahmin!$C$4+70),0))))&gt;=(Tahmin!$C$4+70),DATE(YEAR((Tahmin!$C$4+70)),MONTH((Tahmin!$C$4+70)),MIN(DAY(Kalemler!$D157),DAY(EOMONTH((Tahmin!$C$4+70),0))))&lt;=(Tahmin!$C$4+76),DATE(YEAR((Tahmin!$C$4+70)),MONTH((Tahmin!$C$4+70)),MIN(DAY(Kalemler!$D157),DAY(EOMONTH((Tahmin!$C$4+70),0))))&gt;=Kalemler!$D157),AND(DATE(YEAR((Tahmin!$C$4+76)),MONTH((Tahmin!$C$4+76)),MIN(DAY(Kalemler!$D157),DAY(EOMONTH((Tahmin!$C$4+76),0))))&gt;=(Tahmin!$C$4+70),DATE(YEAR((Tahmin!$C$4+76)),MONTH((Tahmin!$C$4+76)),MIN(DAY(Kalemler!$D157),DAY(EOMONTH((Tahmin!$C$4+76),0))))&lt;=(Tahmin!$C$4+76),DATE(YEAR((Tahmin!$C$4+76)),MONTH((Tahmin!$C$4+76)),MIN(DAY(Kalemler!$D157),DAY(EOMONTH((Tahmin!$C$4+76),0))))&lt;&gt;DATE(YEAR((Tahmin!$C$4+70)),MONTH((Tahmin!$C$4+70)),MIN(DAY(Kalemler!$D157),DAY(EOMONTH((Tahmin!$C$4+70),0)))),DATE(YEAR((Tahmin!$C$4+76)),MONTH((Tahmin!$C$4+76)),MIN(DAY(Kalemler!$D157),DAY(EOMONTH((Tahmin!$C$4+76),0))))&gt;=Kalemler!$D157)),1,0),IF(AND(Kalemler!$D157&gt;=(Tahmin!$C$4+70),Kalemler!$D157&lt;=(Tahmin!$C$4+76)),1,0))))</f>
        <v>0</v>
      </c>
      <c r="M157" s="0" t="n">
        <f aca="false">IF(OR(Kalemler!$A157="",Kalemler!$C157="",Kalemler!$D157=""),0,Kalemler!$C157*IF(Kalemler!$E157="Haftalık",IF(Kalemler!$D157&lt;=(Tahmin!$C$4+83),1,0),IF(Kalemler!$E157="Aylık",IF(OR(AND(DATE(YEAR((Tahmin!$C$4+77)),MONTH((Tahmin!$C$4+77)),MIN(DAY(Kalemler!$D157),DAY(EOMONTH((Tahmin!$C$4+77),0))))&gt;=(Tahmin!$C$4+77),DATE(YEAR((Tahmin!$C$4+77)),MONTH((Tahmin!$C$4+77)),MIN(DAY(Kalemler!$D157),DAY(EOMONTH((Tahmin!$C$4+77),0))))&lt;=(Tahmin!$C$4+83),DATE(YEAR((Tahmin!$C$4+77)),MONTH((Tahmin!$C$4+77)),MIN(DAY(Kalemler!$D157),DAY(EOMONTH((Tahmin!$C$4+77),0))))&gt;=Kalemler!$D157),AND(DATE(YEAR((Tahmin!$C$4+83)),MONTH((Tahmin!$C$4+83)),MIN(DAY(Kalemler!$D157),DAY(EOMONTH((Tahmin!$C$4+83),0))))&gt;=(Tahmin!$C$4+77),DATE(YEAR((Tahmin!$C$4+83)),MONTH((Tahmin!$C$4+83)),MIN(DAY(Kalemler!$D157),DAY(EOMONTH((Tahmin!$C$4+83),0))))&lt;=(Tahmin!$C$4+83),DATE(YEAR((Tahmin!$C$4+83)),MONTH((Tahmin!$C$4+83)),MIN(DAY(Kalemler!$D157),DAY(EOMONTH((Tahmin!$C$4+83),0))))&lt;&gt;DATE(YEAR((Tahmin!$C$4+77)),MONTH((Tahmin!$C$4+77)),MIN(DAY(Kalemler!$D157),DAY(EOMONTH((Tahmin!$C$4+77),0)))),DATE(YEAR((Tahmin!$C$4+83)),MONTH((Tahmin!$C$4+83)),MIN(DAY(Kalemler!$D157),DAY(EOMONTH((Tahmin!$C$4+83),0))))&gt;=Kalemler!$D157)),1,0),IF(AND(Kalemler!$D157&gt;=(Tahmin!$C$4+77),Kalemler!$D157&lt;=(Tahmin!$C$4+83)),1,0))))</f>
        <v>0</v>
      </c>
      <c r="N157" s="0" t="n">
        <f aca="false">IF(OR(Kalemler!$A157="",Kalemler!$C157="",Kalemler!$D157=""),0,Kalemler!$C157*IF(Kalemler!$E157="Haftalık",IF(Kalemler!$D157&lt;=(Tahmin!$C$4+90),1,0),IF(Kalemler!$E157="Aylık",IF(OR(AND(DATE(YEAR((Tahmin!$C$4+84)),MONTH((Tahmin!$C$4+84)),MIN(DAY(Kalemler!$D157),DAY(EOMONTH((Tahmin!$C$4+84),0))))&gt;=(Tahmin!$C$4+84),DATE(YEAR((Tahmin!$C$4+84)),MONTH((Tahmin!$C$4+84)),MIN(DAY(Kalemler!$D157),DAY(EOMONTH((Tahmin!$C$4+84),0))))&lt;=(Tahmin!$C$4+90),DATE(YEAR((Tahmin!$C$4+84)),MONTH((Tahmin!$C$4+84)),MIN(DAY(Kalemler!$D157),DAY(EOMONTH((Tahmin!$C$4+84),0))))&gt;=Kalemler!$D157),AND(DATE(YEAR((Tahmin!$C$4+90)),MONTH((Tahmin!$C$4+90)),MIN(DAY(Kalemler!$D157),DAY(EOMONTH((Tahmin!$C$4+90),0))))&gt;=(Tahmin!$C$4+84),DATE(YEAR((Tahmin!$C$4+90)),MONTH((Tahmin!$C$4+90)),MIN(DAY(Kalemler!$D157),DAY(EOMONTH((Tahmin!$C$4+90),0))))&lt;=(Tahmin!$C$4+90),DATE(YEAR((Tahmin!$C$4+90)),MONTH((Tahmin!$C$4+90)),MIN(DAY(Kalemler!$D157),DAY(EOMONTH((Tahmin!$C$4+90),0))))&lt;&gt;DATE(YEAR((Tahmin!$C$4+84)),MONTH((Tahmin!$C$4+84)),MIN(DAY(Kalemler!$D157),DAY(EOMONTH((Tahmin!$C$4+84),0)))),DATE(YEAR((Tahmin!$C$4+90)),MONTH((Tahmin!$C$4+90)),MIN(DAY(Kalemler!$D157),DAY(EOMONTH((Tahmin!$C$4+90),0))))&gt;=Kalemler!$D157)),1,0),IF(AND(Kalemler!$D157&gt;=(Tahmin!$C$4+84),Kalemler!$D157&lt;=(Tahmin!$C$4+90)),1,0))))</f>
        <v>0</v>
      </c>
    </row>
    <row r="158" customFormat="false" ht="15" hidden="false" customHeight="false" outlineLevel="0" collapsed="false">
      <c r="A158" s="0" t="str">
        <f aca="false">IF(Kalemler!A158="","",Kalemler!A158)</f>
        <v/>
      </c>
      <c r="B158" s="0" t="n">
        <f aca="false">IF(OR(Kalemler!$A158="",Kalemler!$C158="",Kalemler!$D158=""),0,Kalemler!$C158*IF(Kalemler!$E158="Haftalık",IF(Kalemler!$D158&lt;=(Tahmin!$C$4+6),1,0),IF(Kalemler!$E158="Aylık",IF(OR(AND(DATE(YEAR((Tahmin!$C$4+0)),MONTH((Tahmin!$C$4+0)),MIN(DAY(Kalemler!$D158),DAY(EOMONTH((Tahmin!$C$4+0),0))))&gt;=(Tahmin!$C$4+0),DATE(YEAR((Tahmin!$C$4+0)),MONTH((Tahmin!$C$4+0)),MIN(DAY(Kalemler!$D158),DAY(EOMONTH((Tahmin!$C$4+0),0))))&lt;=(Tahmin!$C$4+6),DATE(YEAR((Tahmin!$C$4+0)),MONTH((Tahmin!$C$4+0)),MIN(DAY(Kalemler!$D158),DAY(EOMONTH((Tahmin!$C$4+0),0))))&gt;=Kalemler!$D158),AND(DATE(YEAR((Tahmin!$C$4+6)),MONTH((Tahmin!$C$4+6)),MIN(DAY(Kalemler!$D158),DAY(EOMONTH((Tahmin!$C$4+6),0))))&gt;=(Tahmin!$C$4+0),DATE(YEAR((Tahmin!$C$4+6)),MONTH((Tahmin!$C$4+6)),MIN(DAY(Kalemler!$D158),DAY(EOMONTH((Tahmin!$C$4+6),0))))&lt;=(Tahmin!$C$4+6),DATE(YEAR((Tahmin!$C$4+6)),MONTH((Tahmin!$C$4+6)),MIN(DAY(Kalemler!$D158),DAY(EOMONTH((Tahmin!$C$4+6),0))))&lt;&gt;DATE(YEAR((Tahmin!$C$4+0)),MONTH((Tahmin!$C$4+0)),MIN(DAY(Kalemler!$D158),DAY(EOMONTH((Tahmin!$C$4+0),0)))),DATE(YEAR((Tahmin!$C$4+6)),MONTH((Tahmin!$C$4+6)),MIN(DAY(Kalemler!$D158),DAY(EOMONTH((Tahmin!$C$4+6),0))))&gt;=Kalemler!$D158)),1,0),IF(AND(Kalemler!$D158&gt;=(Tahmin!$C$4+0),Kalemler!$D158&lt;=(Tahmin!$C$4+6)),1,0))))</f>
        <v>0</v>
      </c>
      <c r="C158" s="0" t="n">
        <f aca="false">IF(OR(Kalemler!$A158="",Kalemler!$C158="",Kalemler!$D158=""),0,Kalemler!$C158*IF(Kalemler!$E158="Haftalık",IF(Kalemler!$D158&lt;=(Tahmin!$C$4+13),1,0),IF(Kalemler!$E158="Aylık",IF(OR(AND(DATE(YEAR((Tahmin!$C$4+7)),MONTH((Tahmin!$C$4+7)),MIN(DAY(Kalemler!$D158),DAY(EOMONTH((Tahmin!$C$4+7),0))))&gt;=(Tahmin!$C$4+7),DATE(YEAR((Tahmin!$C$4+7)),MONTH((Tahmin!$C$4+7)),MIN(DAY(Kalemler!$D158),DAY(EOMONTH((Tahmin!$C$4+7),0))))&lt;=(Tahmin!$C$4+13),DATE(YEAR((Tahmin!$C$4+7)),MONTH((Tahmin!$C$4+7)),MIN(DAY(Kalemler!$D158),DAY(EOMONTH((Tahmin!$C$4+7),0))))&gt;=Kalemler!$D158),AND(DATE(YEAR((Tahmin!$C$4+13)),MONTH((Tahmin!$C$4+13)),MIN(DAY(Kalemler!$D158),DAY(EOMONTH((Tahmin!$C$4+13),0))))&gt;=(Tahmin!$C$4+7),DATE(YEAR((Tahmin!$C$4+13)),MONTH((Tahmin!$C$4+13)),MIN(DAY(Kalemler!$D158),DAY(EOMONTH((Tahmin!$C$4+13),0))))&lt;=(Tahmin!$C$4+13),DATE(YEAR((Tahmin!$C$4+13)),MONTH((Tahmin!$C$4+13)),MIN(DAY(Kalemler!$D158),DAY(EOMONTH((Tahmin!$C$4+13),0))))&lt;&gt;DATE(YEAR((Tahmin!$C$4+7)),MONTH((Tahmin!$C$4+7)),MIN(DAY(Kalemler!$D158),DAY(EOMONTH((Tahmin!$C$4+7),0)))),DATE(YEAR((Tahmin!$C$4+13)),MONTH((Tahmin!$C$4+13)),MIN(DAY(Kalemler!$D158),DAY(EOMONTH((Tahmin!$C$4+13),0))))&gt;=Kalemler!$D158)),1,0),IF(AND(Kalemler!$D158&gt;=(Tahmin!$C$4+7),Kalemler!$D158&lt;=(Tahmin!$C$4+13)),1,0))))</f>
        <v>0</v>
      </c>
      <c r="D158" s="0" t="n">
        <f aca="false">IF(OR(Kalemler!$A158="",Kalemler!$C158="",Kalemler!$D158=""),0,Kalemler!$C158*IF(Kalemler!$E158="Haftalık",IF(Kalemler!$D158&lt;=(Tahmin!$C$4+20),1,0),IF(Kalemler!$E158="Aylık",IF(OR(AND(DATE(YEAR((Tahmin!$C$4+14)),MONTH((Tahmin!$C$4+14)),MIN(DAY(Kalemler!$D158),DAY(EOMONTH((Tahmin!$C$4+14),0))))&gt;=(Tahmin!$C$4+14),DATE(YEAR((Tahmin!$C$4+14)),MONTH((Tahmin!$C$4+14)),MIN(DAY(Kalemler!$D158),DAY(EOMONTH((Tahmin!$C$4+14),0))))&lt;=(Tahmin!$C$4+20),DATE(YEAR((Tahmin!$C$4+14)),MONTH((Tahmin!$C$4+14)),MIN(DAY(Kalemler!$D158),DAY(EOMONTH((Tahmin!$C$4+14),0))))&gt;=Kalemler!$D158),AND(DATE(YEAR((Tahmin!$C$4+20)),MONTH((Tahmin!$C$4+20)),MIN(DAY(Kalemler!$D158),DAY(EOMONTH((Tahmin!$C$4+20),0))))&gt;=(Tahmin!$C$4+14),DATE(YEAR((Tahmin!$C$4+20)),MONTH((Tahmin!$C$4+20)),MIN(DAY(Kalemler!$D158),DAY(EOMONTH((Tahmin!$C$4+20),0))))&lt;=(Tahmin!$C$4+20),DATE(YEAR((Tahmin!$C$4+20)),MONTH((Tahmin!$C$4+20)),MIN(DAY(Kalemler!$D158),DAY(EOMONTH((Tahmin!$C$4+20),0))))&lt;&gt;DATE(YEAR((Tahmin!$C$4+14)),MONTH((Tahmin!$C$4+14)),MIN(DAY(Kalemler!$D158),DAY(EOMONTH((Tahmin!$C$4+14),0)))),DATE(YEAR((Tahmin!$C$4+20)),MONTH((Tahmin!$C$4+20)),MIN(DAY(Kalemler!$D158),DAY(EOMONTH((Tahmin!$C$4+20),0))))&gt;=Kalemler!$D158)),1,0),IF(AND(Kalemler!$D158&gt;=(Tahmin!$C$4+14),Kalemler!$D158&lt;=(Tahmin!$C$4+20)),1,0))))</f>
        <v>0</v>
      </c>
      <c r="E158" s="0" t="n">
        <f aca="false">IF(OR(Kalemler!$A158="",Kalemler!$C158="",Kalemler!$D158=""),0,Kalemler!$C158*IF(Kalemler!$E158="Haftalık",IF(Kalemler!$D158&lt;=(Tahmin!$C$4+27),1,0),IF(Kalemler!$E158="Aylık",IF(OR(AND(DATE(YEAR((Tahmin!$C$4+21)),MONTH((Tahmin!$C$4+21)),MIN(DAY(Kalemler!$D158),DAY(EOMONTH((Tahmin!$C$4+21),0))))&gt;=(Tahmin!$C$4+21),DATE(YEAR((Tahmin!$C$4+21)),MONTH((Tahmin!$C$4+21)),MIN(DAY(Kalemler!$D158),DAY(EOMONTH((Tahmin!$C$4+21),0))))&lt;=(Tahmin!$C$4+27),DATE(YEAR((Tahmin!$C$4+21)),MONTH((Tahmin!$C$4+21)),MIN(DAY(Kalemler!$D158),DAY(EOMONTH((Tahmin!$C$4+21),0))))&gt;=Kalemler!$D158),AND(DATE(YEAR((Tahmin!$C$4+27)),MONTH((Tahmin!$C$4+27)),MIN(DAY(Kalemler!$D158),DAY(EOMONTH((Tahmin!$C$4+27),0))))&gt;=(Tahmin!$C$4+21),DATE(YEAR((Tahmin!$C$4+27)),MONTH((Tahmin!$C$4+27)),MIN(DAY(Kalemler!$D158),DAY(EOMONTH((Tahmin!$C$4+27),0))))&lt;=(Tahmin!$C$4+27),DATE(YEAR((Tahmin!$C$4+27)),MONTH((Tahmin!$C$4+27)),MIN(DAY(Kalemler!$D158),DAY(EOMONTH((Tahmin!$C$4+27),0))))&lt;&gt;DATE(YEAR((Tahmin!$C$4+21)),MONTH((Tahmin!$C$4+21)),MIN(DAY(Kalemler!$D158),DAY(EOMONTH((Tahmin!$C$4+21),0)))),DATE(YEAR((Tahmin!$C$4+27)),MONTH((Tahmin!$C$4+27)),MIN(DAY(Kalemler!$D158),DAY(EOMONTH((Tahmin!$C$4+27),0))))&gt;=Kalemler!$D158)),1,0),IF(AND(Kalemler!$D158&gt;=(Tahmin!$C$4+21),Kalemler!$D158&lt;=(Tahmin!$C$4+27)),1,0))))</f>
        <v>0</v>
      </c>
      <c r="F158" s="0" t="n">
        <f aca="false">IF(OR(Kalemler!$A158="",Kalemler!$C158="",Kalemler!$D158=""),0,Kalemler!$C158*IF(Kalemler!$E158="Haftalık",IF(Kalemler!$D158&lt;=(Tahmin!$C$4+34),1,0),IF(Kalemler!$E158="Aylık",IF(OR(AND(DATE(YEAR((Tahmin!$C$4+28)),MONTH((Tahmin!$C$4+28)),MIN(DAY(Kalemler!$D158),DAY(EOMONTH((Tahmin!$C$4+28),0))))&gt;=(Tahmin!$C$4+28),DATE(YEAR((Tahmin!$C$4+28)),MONTH((Tahmin!$C$4+28)),MIN(DAY(Kalemler!$D158),DAY(EOMONTH((Tahmin!$C$4+28),0))))&lt;=(Tahmin!$C$4+34),DATE(YEAR((Tahmin!$C$4+28)),MONTH((Tahmin!$C$4+28)),MIN(DAY(Kalemler!$D158),DAY(EOMONTH((Tahmin!$C$4+28),0))))&gt;=Kalemler!$D158),AND(DATE(YEAR((Tahmin!$C$4+34)),MONTH((Tahmin!$C$4+34)),MIN(DAY(Kalemler!$D158),DAY(EOMONTH((Tahmin!$C$4+34),0))))&gt;=(Tahmin!$C$4+28),DATE(YEAR((Tahmin!$C$4+34)),MONTH((Tahmin!$C$4+34)),MIN(DAY(Kalemler!$D158),DAY(EOMONTH((Tahmin!$C$4+34),0))))&lt;=(Tahmin!$C$4+34),DATE(YEAR((Tahmin!$C$4+34)),MONTH((Tahmin!$C$4+34)),MIN(DAY(Kalemler!$D158),DAY(EOMONTH((Tahmin!$C$4+34),0))))&lt;&gt;DATE(YEAR((Tahmin!$C$4+28)),MONTH((Tahmin!$C$4+28)),MIN(DAY(Kalemler!$D158),DAY(EOMONTH((Tahmin!$C$4+28),0)))),DATE(YEAR((Tahmin!$C$4+34)),MONTH((Tahmin!$C$4+34)),MIN(DAY(Kalemler!$D158),DAY(EOMONTH((Tahmin!$C$4+34),0))))&gt;=Kalemler!$D158)),1,0),IF(AND(Kalemler!$D158&gt;=(Tahmin!$C$4+28),Kalemler!$D158&lt;=(Tahmin!$C$4+34)),1,0))))</f>
        <v>0</v>
      </c>
      <c r="G158" s="0" t="n">
        <f aca="false">IF(OR(Kalemler!$A158="",Kalemler!$C158="",Kalemler!$D158=""),0,Kalemler!$C158*IF(Kalemler!$E158="Haftalık",IF(Kalemler!$D158&lt;=(Tahmin!$C$4+41),1,0),IF(Kalemler!$E158="Aylık",IF(OR(AND(DATE(YEAR((Tahmin!$C$4+35)),MONTH((Tahmin!$C$4+35)),MIN(DAY(Kalemler!$D158),DAY(EOMONTH((Tahmin!$C$4+35),0))))&gt;=(Tahmin!$C$4+35),DATE(YEAR((Tahmin!$C$4+35)),MONTH((Tahmin!$C$4+35)),MIN(DAY(Kalemler!$D158),DAY(EOMONTH((Tahmin!$C$4+35),0))))&lt;=(Tahmin!$C$4+41),DATE(YEAR((Tahmin!$C$4+35)),MONTH((Tahmin!$C$4+35)),MIN(DAY(Kalemler!$D158),DAY(EOMONTH((Tahmin!$C$4+35),0))))&gt;=Kalemler!$D158),AND(DATE(YEAR((Tahmin!$C$4+41)),MONTH((Tahmin!$C$4+41)),MIN(DAY(Kalemler!$D158),DAY(EOMONTH((Tahmin!$C$4+41),0))))&gt;=(Tahmin!$C$4+35),DATE(YEAR((Tahmin!$C$4+41)),MONTH((Tahmin!$C$4+41)),MIN(DAY(Kalemler!$D158),DAY(EOMONTH((Tahmin!$C$4+41),0))))&lt;=(Tahmin!$C$4+41),DATE(YEAR((Tahmin!$C$4+41)),MONTH((Tahmin!$C$4+41)),MIN(DAY(Kalemler!$D158),DAY(EOMONTH((Tahmin!$C$4+41),0))))&lt;&gt;DATE(YEAR((Tahmin!$C$4+35)),MONTH((Tahmin!$C$4+35)),MIN(DAY(Kalemler!$D158),DAY(EOMONTH((Tahmin!$C$4+35),0)))),DATE(YEAR((Tahmin!$C$4+41)),MONTH((Tahmin!$C$4+41)),MIN(DAY(Kalemler!$D158),DAY(EOMONTH((Tahmin!$C$4+41),0))))&gt;=Kalemler!$D158)),1,0),IF(AND(Kalemler!$D158&gt;=(Tahmin!$C$4+35),Kalemler!$D158&lt;=(Tahmin!$C$4+41)),1,0))))</f>
        <v>0</v>
      </c>
      <c r="H158" s="0" t="n">
        <f aca="false">IF(OR(Kalemler!$A158="",Kalemler!$C158="",Kalemler!$D158=""),0,Kalemler!$C158*IF(Kalemler!$E158="Haftalık",IF(Kalemler!$D158&lt;=(Tahmin!$C$4+48),1,0),IF(Kalemler!$E158="Aylık",IF(OR(AND(DATE(YEAR((Tahmin!$C$4+42)),MONTH((Tahmin!$C$4+42)),MIN(DAY(Kalemler!$D158),DAY(EOMONTH((Tahmin!$C$4+42),0))))&gt;=(Tahmin!$C$4+42),DATE(YEAR((Tahmin!$C$4+42)),MONTH((Tahmin!$C$4+42)),MIN(DAY(Kalemler!$D158),DAY(EOMONTH((Tahmin!$C$4+42),0))))&lt;=(Tahmin!$C$4+48),DATE(YEAR((Tahmin!$C$4+42)),MONTH((Tahmin!$C$4+42)),MIN(DAY(Kalemler!$D158),DAY(EOMONTH((Tahmin!$C$4+42),0))))&gt;=Kalemler!$D158),AND(DATE(YEAR((Tahmin!$C$4+48)),MONTH((Tahmin!$C$4+48)),MIN(DAY(Kalemler!$D158),DAY(EOMONTH((Tahmin!$C$4+48),0))))&gt;=(Tahmin!$C$4+42),DATE(YEAR((Tahmin!$C$4+48)),MONTH((Tahmin!$C$4+48)),MIN(DAY(Kalemler!$D158),DAY(EOMONTH((Tahmin!$C$4+48),0))))&lt;=(Tahmin!$C$4+48),DATE(YEAR((Tahmin!$C$4+48)),MONTH((Tahmin!$C$4+48)),MIN(DAY(Kalemler!$D158),DAY(EOMONTH((Tahmin!$C$4+48),0))))&lt;&gt;DATE(YEAR((Tahmin!$C$4+42)),MONTH((Tahmin!$C$4+42)),MIN(DAY(Kalemler!$D158),DAY(EOMONTH((Tahmin!$C$4+42),0)))),DATE(YEAR((Tahmin!$C$4+48)),MONTH((Tahmin!$C$4+48)),MIN(DAY(Kalemler!$D158),DAY(EOMONTH((Tahmin!$C$4+48),0))))&gt;=Kalemler!$D158)),1,0),IF(AND(Kalemler!$D158&gt;=(Tahmin!$C$4+42),Kalemler!$D158&lt;=(Tahmin!$C$4+48)),1,0))))</f>
        <v>0</v>
      </c>
      <c r="I158" s="0" t="n">
        <f aca="false">IF(OR(Kalemler!$A158="",Kalemler!$C158="",Kalemler!$D158=""),0,Kalemler!$C158*IF(Kalemler!$E158="Haftalık",IF(Kalemler!$D158&lt;=(Tahmin!$C$4+55),1,0),IF(Kalemler!$E158="Aylık",IF(OR(AND(DATE(YEAR((Tahmin!$C$4+49)),MONTH((Tahmin!$C$4+49)),MIN(DAY(Kalemler!$D158),DAY(EOMONTH((Tahmin!$C$4+49),0))))&gt;=(Tahmin!$C$4+49),DATE(YEAR((Tahmin!$C$4+49)),MONTH((Tahmin!$C$4+49)),MIN(DAY(Kalemler!$D158),DAY(EOMONTH((Tahmin!$C$4+49),0))))&lt;=(Tahmin!$C$4+55),DATE(YEAR((Tahmin!$C$4+49)),MONTH((Tahmin!$C$4+49)),MIN(DAY(Kalemler!$D158),DAY(EOMONTH((Tahmin!$C$4+49),0))))&gt;=Kalemler!$D158),AND(DATE(YEAR((Tahmin!$C$4+55)),MONTH((Tahmin!$C$4+55)),MIN(DAY(Kalemler!$D158),DAY(EOMONTH((Tahmin!$C$4+55),0))))&gt;=(Tahmin!$C$4+49),DATE(YEAR((Tahmin!$C$4+55)),MONTH((Tahmin!$C$4+55)),MIN(DAY(Kalemler!$D158),DAY(EOMONTH((Tahmin!$C$4+55),0))))&lt;=(Tahmin!$C$4+55),DATE(YEAR((Tahmin!$C$4+55)),MONTH((Tahmin!$C$4+55)),MIN(DAY(Kalemler!$D158),DAY(EOMONTH((Tahmin!$C$4+55),0))))&lt;&gt;DATE(YEAR((Tahmin!$C$4+49)),MONTH((Tahmin!$C$4+49)),MIN(DAY(Kalemler!$D158),DAY(EOMONTH((Tahmin!$C$4+49),0)))),DATE(YEAR((Tahmin!$C$4+55)),MONTH((Tahmin!$C$4+55)),MIN(DAY(Kalemler!$D158),DAY(EOMONTH((Tahmin!$C$4+55),0))))&gt;=Kalemler!$D158)),1,0),IF(AND(Kalemler!$D158&gt;=(Tahmin!$C$4+49),Kalemler!$D158&lt;=(Tahmin!$C$4+55)),1,0))))</f>
        <v>0</v>
      </c>
      <c r="J158" s="0" t="n">
        <f aca="false">IF(OR(Kalemler!$A158="",Kalemler!$C158="",Kalemler!$D158=""),0,Kalemler!$C158*IF(Kalemler!$E158="Haftalık",IF(Kalemler!$D158&lt;=(Tahmin!$C$4+62),1,0),IF(Kalemler!$E158="Aylık",IF(OR(AND(DATE(YEAR((Tahmin!$C$4+56)),MONTH((Tahmin!$C$4+56)),MIN(DAY(Kalemler!$D158),DAY(EOMONTH((Tahmin!$C$4+56),0))))&gt;=(Tahmin!$C$4+56),DATE(YEAR((Tahmin!$C$4+56)),MONTH((Tahmin!$C$4+56)),MIN(DAY(Kalemler!$D158),DAY(EOMONTH((Tahmin!$C$4+56),0))))&lt;=(Tahmin!$C$4+62),DATE(YEAR((Tahmin!$C$4+56)),MONTH((Tahmin!$C$4+56)),MIN(DAY(Kalemler!$D158),DAY(EOMONTH((Tahmin!$C$4+56),0))))&gt;=Kalemler!$D158),AND(DATE(YEAR((Tahmin!$C$4+62)),MONTH((Tahmin!$C$4+62)),MIN(DAY(Kalemler!$D158),DAY(EOMONTH((Tahmin!$C$4+62),0))))&gt;=(Tahmin!$C$4+56),DATE(YEAR((Tahmin!$C$4+62)),MONTH((Tahmin!$C$4+62)),MIN(DAY(Kalemler!$D158),DAY(EOMONTH((Tahmin!$C$4+62),0))))&lt;=(Tahmin!$C$4+62),DATE(YEAR((Tahmin!$C$4+62)),MONTH((Tahmin!$C$4+62)),MIN(DAY(Kalemler!$D158),DAY(EOMONTH((Tahmin!$C$4+62),0))))&lt;&gt;DATE(YEAR((Tahmin!$C$4+56)),MONTH((Tahmin!$C$4+56)),MIN(DAY(Kalemler!$D158),DAY(EOMONTH((Tahmin!$C$4+56),0)))),DATE(YEAR((Tahmin!$C$4+62)),MONTH((Tahmin!$C$4+62)),MIN(DAY(Kalemler!$D158),DAY(EOMONTH((Tahmin!$C$4+62),0))))&gt;=Kalemler!$D158)),1,0),IF(AND(Kalemler!$D158&gt;=(Tahmin!$C$4+56),Kalemler!$D158&lt;=(Tahmin!$C$4+62)),1,0))))</f>
        <v>0</v>
      </c>
      <c r="K158" s="0" t="n">
        <f aca="false">IF(OR(Kalemler!$A158="",Kalemler!$C158="",Kalemler!$D158=""),0,Kalemler!$C158*IF(Kalemler!$E158="Haftalık",IF(Kalemler!$D158&lt;=(Tahmin!$C$4+69),1,0),IF(Kalemler!$E158="Aylık",IF(OR(AND(DATE(YEAR((Tahmin!$C$4+63)),MONTH((Tahmin!$C$4+63)),MIN(DAY(Kalemler!$D158),DAY(EOMONTH((Tahmin!$C$4+63),0))))&gt;=(Tahmin!$C$4+63),DATE(YEAR((Tahmin!$C$4+63)),MONTH((Tahmin!$C$4+63)),MIN(DAY(Kalemler!$D158),DAY(EOMONTH((Tahmin!$C$4+63),0))))&lt;=(Tahmin!$C$4+69),DATE(YEAR((Tahmin!$C$4+63)),MONTH((Tahmin!$C$4+63)),MIN(DAY(Kalemler!$D158),DAY(EOMONTH((Tahmin!$C$4+63),0))))&gt;=Kalemler!$D158),AND(DATE(YEAR((Tahmin!$C$4+69)),MONTH((Tahmin!$C$4+69)),MIN(DAY(Kalemler!$D158),DAY(EOMONTH((Tahmin!$C$4+69),0))))&gt;=(Tahmin!$C$4+63),DATE(YEAR((Tahmin!$C$4+69)),MONTH((Tahmin!$C$4+69)),MIN(DAY(Kalemler!$D158),DAY(EOMONTH((Tahmin!$C$4+69),0))))&lt;=(Tahmin!$C$4+69),DATE(YEAR((Tahmin!$C$4+69)),MONTH((Tahmin!$C$4+69)),MIN(DAY(Kalemler!$D158),DAY(EOMONTH((Tahmin!$C$4+69),0))))&lt;&gt;DATE(YEAR((Tahmin!$C$4+63)),MONTH((Tahmin!$C$4+63)),MIN(DAY(Kalemler!$D158),DAY(EOMONTH((Tahmin!$C$4+63),0)))),DATE(YEAR((Tahmin!$C$4+69)),MONTH((Tahmin!$C$4+69)),MIN(DAY(Kalemler!$D158),DAY(EOMONTH((Tahmin!$C$4+69),0))))&gt;=Kalemler!$D158)),1,0),IF(AND(Kalemler!$D158&gt;=(Tahmin!$C$4+63),Kalemler!$D158&lt;=(Tahmin!$C$4+69)),1,0))))</f>
        <v>0</v>
      </c>
      <c r="L158" s="0" t="n">
        <f aca="false">IF(OR(Kalemler!$A158="",Kalemler!$C158="",Kalemler!$D158=""),0,Kalemler!$C158*IF(Kalemler!$E158="Haftalık",IF(Kalemler!$D158&lt;=(Tahmin!$C$4+76),1,0),IF(Kalemler!$E158="Aylık",IF(OR(AND(DATE(YEAR((Tahmin!$C$4+70)),MONTH((Tahmin!$C$4+70)),MIN(DAY(Kalemler!$D158),DAY(EOMONTH((Tahmin!$C$4+70),0))))&gt;=(Tahmin!$C$4+70),DATE(YEAR((Tahmin!$C$4+70)),MONTH((Tahmin!$C$4+70)),MIN(DAY(Kalemler!$D158),DAY(EOMONTH((Tahmin!$C$4+70),0))))&lt;=(Tahmin!$C$4+76),DATE(YEAR((Tahmin!$C$4+70)),MONTH((Tahmin!$C$4+70)),MIN(DAY(Kalemler!$D158),DAY(EOMONTH((Tahmin!$C$4+70),0))))&gt;=Kalemler!$D158),AND(DATE(YEAR((Tahmin!$C$4+76)),MONTH((Tahmin!$C$4+76)),MIN(DAY(Kalemler!$D158),DAY(EOMONTH((Tahmin!$C$4+76),0))))&gt;=(Tahmin!$C$4+70),DATE(YEAR((Tahmin!$C$4+76)),MONTH((Tahmin!$C$4+76)),MIN(DAY(Kalemler!$D158),DAY(EOMONTH((Tahmin!$C$4+76),0))))&lt;=(Tahmin!$C$4+76),DATE(YEAR((Tahmin!$C$4+76)),MONTH((Tahmin!$C$4+76)),MIN(DAY(Kalemler!$D158),DAY(EOMONTH((Tahmin!$C$4+76),0))))&lt;&gt;DATE(YEAR((Tahmin!$C$4+70)),MONTH((Tahmin!$C$4+70)),MIN(DAY(Kalemler!$D158),DAY(EOMONTH((Tahmin!$C$4+70),0)))),DATE(YEAR((Tahmin!$C$4+76)),MONTH((Tahmin!$C$4+76)),MIN(DAY(Kalemler!$D158),DAY(EOMONTH((Tahmin!$C$4+76),0))))&gt;=Kalemler!$D158)),1,0),IF(AND(Kalemler!$D158&gt;=(Tahmin!$C$4+70),Kalemler!$D158&lt;=(Tahmin!$C$4+76)),1,0))))</f>
        <v>0</v>
      </c>
      <c r="M158" s="0" t="n">
        <f aca="false">IF(OR(Kalemler!$A158="",Kalemler!$C158="",Kalemler!$D158=""),0,Kalemler!$C158*IF(Kalemler!$E158="Haftalık",IF(Kalemler!$D158&lt;=(Tahmin!$C$4+83),1,0),IF(Kalemler!$E158="Aylık",IF(OR(AND(DATE(YEAR((Tahmin!$C$4+77)),MONTH((Tahmin!$C$4+77)),MIN(DAY(Kalemler!$D158),DAY(EOMONTH((Tahmin!$C$4+77),0))))&gt;=(Tahmin!$C$4+77),DATE(YEAR((Tahmin!$C$4+77)),MONTH((Tahmin!$C$4+77)),MIN(DAY(Kalemler!$D158),DAY(EOMONTH((Tahmin!$C$4+77),0))))&lt;=(Tahmin!$C$4+83),DATE(YEAR((Tahmin!$C$4+77)),MONTH((Tahmin!$C$4+77)),MIN(DAY(Kalemler!$D158),DAY(EOMONTH((Tahmin!$C$4+77),0))))&gt;=Kalemler!$D158),AND(DATE(YEAR((Tahmin!$C$4+83)),MONTH((Tahmin!$C$4+83)),MIN(DAY(Kalemler!$D158),DAY(EOMONTH((Tahmin!$C$4+83),0))))&gt;=(Tahmin!$C$4+77),DATE(YEAR((Tahmin!$C$4+83)),MONTH((Tahmin!$C$4+83)),MIN(DAY(Kalemler!$D158),DAY(EOMONTH((Tahmin!$C$4+83),0))))&lt;=(Tahmin!$C$4+83),DATE(YEAR((Tahmin!$C$4+83)),MONTH((Tahmin!$C$4+83)),MIN(DAY(Kalemler!$D158),DAY(EOMONTH((Tahmin!$C$4+83),0))))&lt;&gt;DATE(YEAR((Tahmin!$C$4+77)),MONTH((Tahmin!$C$4+77)),MIN(DAY(Kalemler!$D158),DAY(EOMONTH((Tahmin!$C$4+77),0)))),DATE(YEAR((Tahmin!$C$4+83)),MONTH((Tahmin!$C$4+83)),MIN(DAY(Kalemler!$D158),DAY(EOMONTH((Tahmin!$C$4+83),0))))&gt;=Kalemler!$D158)),1,0),IF(AND(Kalemler!$D158&gt;=(Tahmin!$C$4+77),Kalemler!$D158&lt;=(Tahmin!$C$4+83)),1,0))))</f>
        <v>0</v>
      </c>
      <c r="N158" s="0" t="n">
        <f aca="false">IF(OR(Kalemler!$A158="",Kalemler!$C158="",Kalemler!$D158=""),0,Kalemler!$C158*IF(Kalemler!$E158="Haftalık",IF(Kalemler!$D158&lt;=(Tahmin!$C$4+90),1,0),IF(Kalemler!$E158="Aylık",IF(OR(AND(DATE(YEAR((Tahmin!$C$4+84)),MONTH((Tahmin!$C$4+84)),MIN(DAY(Kalemler!$D158),DAY(EOMONTH((Tahmin!$C$4+84),0))))&gt;=(Tahmin!$C$4+84),DATE(YEAR((Tahmin!$C$4+84)),MONTH((Tahmin!$C$4+84)),MIN(DAY(Kalemler!$D158),DAY(EOMONTH((Tahmin!$C$4+84),0))))&lt;=(Tahmin!$C$4+90),DATE(YEAR((Tahmin!$C$4+84)),MONTH((Tahmin!$C$4+84)),MIN(DAY(Kalemler!$D158),DAY(EOMONTH((Tahmin!$C$4+84),0))))&gt;=Kalemler!$D158),AND(DATE(YEAR((Tahmin!$C$4+90)),MONTH((Tahmin!$C$4+90)),MIN(DAY(Kalemler!$D158),DAY(EOMONTH((Tahmin!$C$4+90),0))))&gt;=(Tahmin!$C$4+84),DATE(YEAR((Tahmin!$C$4+90)),MONTH((Tahmin!$C$4+90)),MIN(DAY(Kalemler!$D158),DAY(EOMONTH((Tahmin!$C$4+90),0))))&lt;=(Tahmin!$C$4+90),DATE(YEAR((Tahmin!$C$4+90)),MONTH((Tahmin!$C$4+90)),MIN(DAY(Kalemler!$D158),DAY(EOMONTH((Tahmin!$C$4+90),0))))&lt;&gt;DATE(YEAR((Tahmin!$C$4+84)),MONTH((Tahmin!$C$4+84)),MIN(DAY(Kalemler!$D158),DAY(EOMONTH((Tahmin!$C$4+84),0)))),DATE(YEAR((Tahmin!$C$4+90)),MONTH((Tahmin!$C$4+90)),MIN(DAY(Kalemler!$D158),DAY(EOMONTH((Tahmin!$C$4+90),0))))&gt;=Kalemler!$D158)),1,0),IF(AND(Kalemler!$D158&gt;=(Tahmin!$C$4+84),Kalemler!$D158&lt;=(Tahmin!$C$4+90)),1,0))))</f>
        <v>0</v>
      </c>
    </row>
    <row r="159" customFormat="false" ht="15" hidden="false" customHeight="false" outlineLevel="0" collapsed="false">
      <c r="A159" s="0" t="str">
        <f aca="false">IF(Kalemler!A159="","",Kalemler!A159)</f>
        <v/>
      </c>
      <c r="B159" s="0" t="n">
        <f aca="false">IF(OR(Kalemler!$A159="",Kalemler!$C159="",Kalemler!$D159=""),0,Kalemler!$C159*IF(Kalemler!$E159="Haftalık",IF(Kalemler!$D159&lt;=(Tahmin!$C$4+6),1,0),IF(Kalemler!$E159="Aylık",IF(OR(AND(DATE(YEAR((Tahmin!$C$4+0)),MONTH((Tahmin!$C$4+0)),MIN(DAY(Kalemler!$D159),DAY(EOMONTH((Tahmin!$C$4+0),0))))&gt;=(Tahmin!$C$4+0),DATE(YEAR((Tahmin!$C$4+0)),MONTH((Tahmin!$C$4+0)),MIN(DAY(Kalemler!$D159),DAY(EOMONTH((Tahmin!$C$4+0),0))))&lt;=(Tahmin!$C$4+6),DATE(YEAR((Tahmin!$C$4+0)),MONTH((Tahmin!$C$4+0)),MIN(DAY(Kalemler!$D159),DAY(EOMONTH((Tahmin!$C$4+0),0))))&gt;=Kalemler!$D159),AND(DATE(YEAR((Tahmin!$C$4+6)),MONTH((Tahmin!$C$4+6)),MIN(DAY(Kalemler!$D159),DAY(EOMONTH((Tahmin!$C$4+6),0))))&gt;=(Tahmin!$C$4+0),DATE(YEAR((Tahmin!$C$4+6)),MONTH((Tahmin!$C$4+6)),MIN(DAY(Kalemler!$D159),DAY(EOMONTH((Tahmin!$C$4+6),0))))&lt;=(Tahmin!$C$4+6),DATE(YEAR((Tahmin!$C$4+6)),MONTH((Tahmin!$C$4+6)),MIN(DAY(Kalemler!$D159),DAY(EOMONTH((Tahmin!$C$4+6),0))))&lt;&gt;DATE(YEAR((Tahmin!$C$4+0)),MONTH((Tahmin!$C$4+0)),MIN(DAY(Kalemler!$D159),DAY(EOMONTH((Tahmin!$C$4+0),0)))),DATE(YEAR((Tahmin!$C$4+6)),MONTH((Tahmin!$C$4+6)),MIN(DAY(Kalemler!$D159),DAY(EOMONTH((Tahmin!$C$4+6),0))))&gt;=Kalemler!$D159)),1,0),IF(AND(Kalemler!$D159&gt;=(Tahmin!$C$4+0),Kalemler!$D159&lt;=(Tahmin!$C$4+6)),1,0))))</f>
        <v>0</v>
      </c>
      <c r="C159" s="0" t="n">
        <f aca="false">IF(OR(Kalemler!$A159="",Kalemler!$C159="",Kalemler!$D159=""),0,Kalemler!$C159*IF(Kalemler!$E159="Haftalık",IF(Kalemler!$D159&lt;=(Tahmin!$C$4+13),1,0),IF(Kalemler!$E159="Aylık",IF(OR(AND(DATE(YEAR((Tahmin!$C$4+7)),MONTH((Tahmin!$C$4+7)),MIN(DAY(Kalemler!$D159),DAY(EOMONTH((Tahmin!$C$4+7),0))))&gt;=(Tahmin!$C$4+7),DATE(YEAR((Tahmin!$C$4+7)),MONTH((Tahmin!$C$4+7)),MIN(DAY(Kalemler!$D159),DAY(EOMONTH((Tahmin!$C$4+7),0))))&lt;=(Tahmin!$C$4+13),DATE(YEAR((Tahmin!$C$4+7)),MONTH((Tahmin!$C$4+7)),MIN(DAY(Kalemler!$D159),DAY(EOMONTH((Tahmin!$C$4+7),0))))&gt;=Kalemler!$D159),AND(DATE(YEAR((Tahmin!$C$4+13)),MONTH((Tahmin!$C$4+13)),MIN(DAY(Kalemler!$D159),DAY(EOMONTH((Tahmin!$C$4+13),0))))&gt;=(Tahmin!$C$4+7),DATE(YEAR((Tahmin!$C$4+13)),MONTH((Tahmin!$C$4+13)),MIN(DAY(Kalemler!$D159),DAY(EOMONTH((Tahmin!$C$4+13),0))))&lt;=(Tahmin!$C$4+13),DATE(YEAR((Tahmin!$C$4+13)),MONTH((Tahmin!$C$4+13)),MIN(DAY(Kalemler!$D159),DAY(EOMONTH((Tahmin!$C$4+13),0))))&lt;&gt;DATE(YEAR((Tahmin!$C$4+7)),MONTH((Tahmin!$C$4+7)),MIN(DAY(Kalemler!$D159),DAY(EOMONTH((Tahmin!$C$4+7),0)))),DATE(YEAR((Tahmin!$C$4+13)),MONTH((Tahmin!$C$4+13)),MIN(DAY(Kalemler!$D159),DAY(EOMONTH((Tahmin!$C$4+13),0))))&gt;=Kalemler!$D159)),1,0),IF(AND(Kalemler!$D159&gt;=(Tahmin!$C$4+7),Kalemler!$D159&lt;=(Tahmin!$C$4+13)),1,0))))</f>
        <v>0</v>
      </c>
      <c r="D159" s="0" t="n">
        <f aca="false">IF(OR(Kalemler!$A159="",Kalemler!$C159="",Kalemler!$D159=""),0,Kalemler!$C159*IF(Kalemler!$E159="Haftalık",IF(Kalemler!$D159&lt;=(Tahmin!$C$4+20),1,0),IF(Kalemler!$E159="Aylık",IF(OR(AND(DATE(YEAR((Tahmin!$C$4+14)),MONTH((Tahmin!$C$4+14)),MIN(DAY(Kalemler!$D159),DAY(EOMONTH((Tahmin!$C$4+14),0))))&gt;=(Tahmin!$C$4+14),DATE(YEAR((Tahmin!$C$4+14)),MONTH((Tahmin!$C$4+14)),MIN(DAY(Kalemler!$D159),DAY(EOMONTH((Tahmin!$C$4+14),0))))&lt;=(Tahmin!$C$4+20),DATE(YEAR((Tahmin!$C$4+14)),MONTH((Tahmin!$C$4+14)),MIN(DAY(Kalemler!$D159),DAY(EOMONTH((Tahmin!$C$4+14),0))))&gt;=Kalemler!$D159),AND(DATE(YEAR((Tahmin!$C$4+20)),MONTH((Tahmin!$C$4+20)),MIN(DAY(Kalemler!$D159),DAY(EOMONTH((Tahmin!$C$4+20),0))))&gt;=(Tahmin!$C$4+14),DATE(YEAR((Tahmin!$C$4+20)),MONTH((Tahmin!$C$4+20)),MIN(DAY(Kalemler!$D159),DAY(EOMONTH((Tahmin!$C$4+20),0))))&lt;=(Tahmin!$C$4+20),DATE(YEAR((Tahmin!$C$4+20)),MONTH((Tahmin!$C$4+20)),MIN(DAY(Kalemler!$D159),DAY(EOMONTH((Tahmin!$C$4+20),0))))&lt;&gt;DATE(YEAR((Tahmin!$C$4+14)),MONTH((Tahmin!$C$4+14)),MIN(DAY(Kalemler!$D159),DAY(EOMONTH((Tahmin!$C$4+14),0)))),DATE(YEAR((Tahmin!$C$4+20)),MONTH((Tahmin!$C$4+20)),MIN(DAY(Kalemler!$D159),DAY(EOMONTH((Tahmin!$C$4+20),0))))&gt;=Kalemler!$D159)),1,0),IF(AND(Kalemler!$D159&gt;=(Tahmin!$C$4+14),Kalemler!$D159&lt;=(Tahmin!$C$4+20)),1,0))))</f>
        <v>0</v>
      </c>
      <c r="E159" s="0" t="n">
        <f aca="false">IF(OR(Kalemler!$A159="",Kalemler!$C159="",Kalemler!$D159=""),0,Kalemler!$C159*IF(Kalemler!$E159="Haftalık",IF(Kalemler!$D159&lt;=(Tahmin!$C$4+27),1,0),IF(Kalemler!$E159="Aylık",IF(OR(AND(DATE(YEAR((Tahmin!$C$4+21)),MONTH((Tahmin!$C$4+21)),MIN(DAY(Kalemler!$D159),DAY(EOMONTH((Tahmin!$C$4+21),0))))&gt;=(Tahmin!$C$4+21),DATE(YEAR((Tahmin!$C$4+21)),MONTH((Tahmin!$C$4+21)),MIN(DAY(Kalemler!$D159),DAY(EOMONTH((Tahmin!$C$4+21),0))))&lt;=(Tahmin!$C$4+27),DATE(YEAR((Tahmin!$C$4+21)),MONTH((Tahmin!$C$4+21)),MIN(DAY(Kalemler!$D159),DAY(EOMONTH((Tahmin!$C$4+21),0))))&gt;=Kalemler!$D159),AND(DATE(YEAR((Tahmin!$C$4+27)),MONTH((Tahmin!$C$4+27)),MIN(DAY(Kalemler!$D159),DAY(EOMONTH((Tahmin!$C$4+27),0))))&gt;=(Tahmin!$C$4+21),DATE(YEAR((Tahmin!$C$4+27)),MONTH((Tahmin!$C$4+27)),MIN(DAY(Kalemler!$D159),DAY(EOMONTH((Tahmin!$C$4+27),0))))&lt;=(Tahmin!$C$4+27),DATE(YEAR((Tahmin!$C$4+27)),MONTH((Tahmin!$C$4+27)),MIN(DAY(Kalemler!$D159),DAY(EOMONTH((Tahmin!$C$4+27),0))))&lt;&gt;DATE(YEAR((Tahmin!$C$4+21)),MONTH((Tahmin!$C$4+21)),MIN(DAY(Kalemler!$D159),DAY(EOMONTH((Tahmin!$C$4+21),0)))),DATE(YEAR((Tahmin!$C$4+27)),MONTH((Tahmin!$C$4+27)),MIN(DAY(Kalemler!$D159),DAY(EOMONTH((Tahmin!$C$4+27),0))))&gt;=Kalemler!$D159)),1,0),IF(AND(Kalemler!$D159&gt;=(Tahmin!$C$4+21),Kalemler!$D159&lt;=(Tahmin!$C$4+27)),1,0))))</f>
        <v>0</v>
      </c>
      <c r="F159" s="0" t="n">
        <f aca="false">IF(OR(Kalemler!$A159="",Kalemler!$C159="",Kalemler!$D159=""),0,Kalemler!$C159*IF(Kalemler!$E159="Haftalık",IF(Kalemler!$D159&lt;=(Tahmin!$C$4+34),1,0),IF(Kalemler!$E159="Aylık",IF(OR(AND(DATE(YEAR((Tahmin!$C$4+28)),MONTH((Tahmin!$C$4+28)),MIN(DAY(Kalemler!$D159),DAY(EOMONTH((Tahmin!$C$4+28),0))))&gt;=(Tahmin!$C$4+28),DATE(YEAR((Tahmin!$C$4+28)),MONTH((Tahmin!$C$4+28)),MIN(DAY(Kalemler!$D159),DAY(EOMONTH((Tahmin!$C$4+28),0))))&lt;=(Tahmin!$C$4+34),DATE(YEAR((Tahmin!$C$4+28)),MONTH((Tahmin!$C$4+28)),MIN(DAY(Kalemler!$D159),DAY(EOMONTH((Tahmin!$C$4+28),0))))&gt;=Kalemler!$D159),AND(DATE(YEAR((Tahmin!$C$4+34)),MONTH((Tahmin!$C$4+34)),MIN(DAY(Kalemler!$D159),DAY(EOMONTH((Tahmin!$C$4+34),0))))&gt;=(Tahmin!$C$4+28),DATE(YEAR((Tahmin!$C$4+34)),MONTH((Tahmin!$C$4+34)),MIN(DAY(Kalemler!$D159),DAY(EOMONTH((Tahmin!$C$4+34),0))))&lt;=(Tahmin!$C$4+34),DATE(YEAR((Tahmin!$C$4+34)),MONTH((Tahmin!$C$4+34)),MIN(DAY(Kalemler!$D159),DAY(EOMONTH((Tahmin!$C$4+34),0))))&lt;&gt;DATE(YEAR((Tahmin!$C$4+28)),MONTH((Tahmin!$C$4+28)),MIN(DAY(Kalemler!$D159),DAY(EOMONTH((Tahmin!$C$4+28),0)))),DATE(YEAR((Tahmin!$C$4+34)),MONTH((Tahmin!$C$4+34)),MIN(DAY(Kalemler!$D159),DAY(EOMONTH((Tahmin!$C$4+34),0))))&gt;=Kalemler!$D159)),1,0),IF(AND(Kalemler!$D159&gt;=(Tahmin!$C$4+28),Kalemler!$D159&lt;=(Tahmin!$C$4+34)),1,0))))</f>
        <v>0</v>
      </c>
      <c r="G159" s="0" t="n">
        <f aca="false">IF(OR(Kalemler!$A159="",Kalemler!$C159="",Kalemler!$D159=""),0,Kalemler!$C159*IF(Kalemler!$E159="Haftalık",IF(Kalemler!$D159&lt;=(Tahmin!$C$4+41),1,0),IF(Kalemler!$E159="Aylık",IF(OR(AND(DATE(YEAR((Tahmin!$C$4+35)),MONTH((Tahmin!$C$4+35)),MIN(DAY(Kalemler!$D159),DAY(EOMONTH((Tahmin!$C$4+35),0))))&gt;=(Tahmin!$C$4+35),DATE(YEAR((Tahmin!$C$4+35)),MONTH((Tahmin!$C$4+35)),MIN(DAY(Kalemler!$D159),DAY(EOMONTH((Tahmin!$C$4+35),0))))&lt;=(Tahmin!$C$4+41),DATE(YEAR((Tahmin!$C$4+35)),MONTH((Tahmin!$C$4+35)),MIN(DAY(Kalemler!$D159),DAY(EOMONTH((Tahmin!$C$4+35),0))))&gt;=Kalemler!$D159),AND(DATE(YEAR((Tahmin!$C$4+41)),MONTH((Tahmin!$C$4+41)),MIN(DAY(Kalemler!$D159),DAY(EOMONTH((Tahmin!$C$4+41),0))))&gt;=(Tahmin!$C$4+35),DATE(YEAR((Tahmin!$C$4+41)),MONTH((Tahmin!$C$4+41)),MIN(DAY(Kalemler!$D159),DAY(EOMONTH((Tahmin!$C$4+41),0))))&lt;=(Tahmin!$C$4+41),DATE(YEAR((Tahmin!$C$4+41)),MONTH((Tahmin!$C$4+41)),MIN(DAY(Kalemler!$D159),DAY(EOMONTH((Tahmin!$C$4+41),0))))&lt;&gt;DATE(YEAR((Tahmin!$C$4+35)),MONTH((Tahmin!$C$4+35)),MIN(DAY(Kalemler!$D159),DAY(EOMONTH((Tahmin!$C$4+35),0)))),DATE(YEAR((Tahmin!$C$4+41)),MONTH((Tahmin!$C$4+41)),MIN(DAY(Kalemler!$D159),DAY(EOMONTH((Tahmin!$C$4+41),0))))&gt;=Kalemler!$D159)),1,0),IF(AND(Kalemler!$D159&gt;=(Tahmin!$C$4+35),Kalemler!$D159&lt;=(Tahmin!$C$4+41)),1,0))))</f>
        <v>0</v>
      </c>
      <c r="H159" s="0" t="n">
        <f aca="false">IF(OR(Kalemler!$A159="",Kalemler!$C159="",Kalemler!$D159=""),0,Kalemler!$C159*IF(Kalemler!$E159="Haftalık",IF(Kalemler!$D159&lt;=(Tahmin!$C$4+48),1,0),IF(Kalemler!$E159="Aylık",IF(OR(AND(DATE(YEAR((Tahmin!$C$4+42)),MONTH((Tahmin!$C$4+42)),MIN(DAY(Kalemler!$D159),DAY(EOMONTH((Tahmin!$C$4+42),0))))&gt;=(Tahmin!$C$4+42),DATE(YEAR((Tahmin!$C$4+42)),MONTH((Tahmin!$C$4+42)),MIN(DAY(Kalemler!$D159),DAY(EOMONTH((Tahmin!$C$4+42),0))))&lt;=(Tahmin!$C$4+48),DATE(YEAR((Tahmin!$C$4+42)),MONTH((Tahmin!$C$4+42)),MIN(DAY(Kalemler!$D159),DAY(EOMONTH((Tahmin!$C$4+42),0))))&gt;=Kalemler!$D159),AND(DATE(YEAR((Tahmin!$C$4+48)),MONTH((Tahmin!$C$4+48)),MIN(DAY(Kalemler!$D159),DAY(EOMONTH((Tahmin!$C$4+48),0))))&gt;=(Tahmin!$C$4+42),DATE(YEAR((Tahmin!$C$4+48)),MONTH((Tahmin!$C$4+48)),MIN(DAY(Kalemler!$D159),DAY(EOMONTH((Tahmin!$C$4+48),0))))&lt;=(Tahmin!$C$4+48),DATE(YEAR((Tahmin!$C$4+48)),MONTH((Tahmin!$C$4+48)),MIN(DAY(Kalemler!$D159),DAY(EOMONTH((Tahmin!$C$4+48),0))))&lt;&gt;DATE(YEAR((Tahmin!$C$4+42)),MONTH((Tahmin!$C$4+42)),MIN(DAY(Kalemler!$D159),DAY(EOMONTH((Tahmin!$C$4+42),0)))),DATE(YEAR((Tahmin!$C$4+48)),MONTH((Tahmin!$C$4+48)),MIN(DAY(Kalemler!$D159),DAY(EOMONTH((Tahmin!$C$4+48),0))))&gt;=Kalemler!$D159)),1,0),IF(AND(Kalemler!$D159&gt;=(Tahmin!$C$4+42),Kalemler!$D159&lt;=(Tahmin!$C$4+48)),1,0))))</f>
        <v>0</v>
      </c>
      <c r="I159" s="0" t="n">
        <f aca="false">IF(OR(Kalemler!$A159="",Kalemler!$C159="",Kalemler!$D159=""),0,Kalemler!$C159*IF(Kalemler!$E159="Haftalık",IF(Kalemler!$D159&lt;=(Tahmin!$C$4+55),1,0),IF(Kalemler!$E159="Aylık",IF(OR(AND(DATE(YEAR((Tahmin!$C$4+49)),MONTH((Tahmin!$C$4+49)),MIN(DAY(Kalemler!$D159),DAY(EOMONTH((Tahmin!$C$4+49),0))))&gt;=(Tahmin!$C$4+49),DATE(YEAR((Tahmin!$C$4+49)),MONTH((Tahmin!$C$4+49)),MIN(DAY(Kalemler!$D159),DAY(EOMONTH((Tahmin!$C$4+49),0))))&lt;=(Tahmin!$C$4+55),DATE(YEAR((Tahmin!$C$4+49)),MONTH((Tahmin!$C$4+49)),MIN(DAY(Kalemler!$D159),DAY(EOMONTH((Tahmin!$C$4+49),0))))&gt;=Kalemler!$D159),AND(DATE(YEAR((Tahmin!$C$4+55)),MONTH((Tahmin!$C$4+55)),MIN(DAY(Kalemler!$D159),DAY(EOMONTH((Tahmin!$C$4+55),0))))&gt;=(Tahmin!$C$4+49),DATE(YEAR((Tahmin!$C$4+55)),MONTH((Tahmin!$C$4+55)),MIN(DAY(Kalemler!$D159),DAY(EOMONTH((Tahmin!$C$4+55),0))))&lt;=(Tahmin!$C$4+55),DATE(YEAR((Tahmin!$C$4+55)),MONTH((Tahmin!$C$4+55)),MIN(DAY(Kalemler!$D159),DAY(EOMONTH((Tahmin!$C$4+55),0))))&lt;&gt;DATE(YEAR((Tahmin!$C$4+49)),MONTH((Tahmin!$C$4+49)),MIN(DAY(Kalemler!$D159),DAY(EOMONTH((Tahmin!$C$4+49),0)))),DATE(YEAR((Tahmin!$C$4+55)),MONTH((Tahmin!$C$4+55)),MIN(DAY(Kalemler!$D159),DAY(EOMONTH((Tahmin!$C$4+55),0))))&gt;=Kalemler!$D159)),1,0),IF(AND(Kalemler!$D159&gt;=(Tahmin!$C$4+49),Kalemler!$D159&lt;=(Tahmin!$C$4+55)),1,0))))</f>
        <v>0</v>
      </c>
      <c r="J159" s="0" t="n">
        <f aca="false">IF(OR(Kalemler!$A159="",Kalemler!$C159="",Kalemler!$D159=""),0,Kalemler!$C159*IF(Kalemler!$E159="Haftalık",IF(Kalemler!$D159&lt;=(Tahmin!$C$4+62),1,0),IF(Kalemler!$E159="Aylık",IF(OR(AND(DATE(YEAR((Tahmin!$C$4+56)),MONTH((Tahmin!$C$4+56)),MIN(DAY(Kalemler!$D159),DAY(EOMONTH((Tahmin!$C$4+56),0))))&gt;=(Tahmin!$C$4+56),DATE(YEAR((Tahmin!$C$4+56)),MONTH((Tahmin!$C$4+56)),MIN(DAY(Kalemler!$D159),DAY(EOMONTH((Tahmin!$C$4+56),0))))&lt;=(Tahmin!$C$4+62),DATE(YEAR((Tahmin!$C$4+56)),MONTH((Tahmin!$C$4+56)),MIN(DAY(Kalemler!$D159),DAY(EOMONTH((Tahmin!$C$4+56),0))))&gt;=Kalemler!$D159),AND(DATE(YEAR((Tahmin!$C$4+62)),MONTH((Tahmin!$C$4+62)),MIN(DAY(Kalemler!$D159),DAY(EOMONTH((Tahmin!$C$4+62),0))))&gt;=(Tahmin!$C$4+56),DATE(YEAR((Tahmin!$C$4+62)),MONTH((Tahmin!$C$4+62)),MIN(DAY(Kalemler!$D159),DAY(EOMONTH((Tahmin!$C$4+62),0))))&lt;=(Tahmin!$C$4+62),DATE(YEAR((Tahmin!$C$4+62)),MONTH((Tahmin!$C$4+62)),MIN(DAY(Kalemler!$D159),DAY(EOMONTH((Tahmin!$C$4+62),0))))&lt;&gt;DATE(YEAR((Tahmin!$C$4+56)),MONTH((Tahmin!$C$4+56)),MIN(DAY(Kalemler!$D159),DAY(EOMONTH((Tahmin!$C$4+56),0)))),DATE(YEAR((Tahmin!$C$4+62)),MONTH((Tahmin!$C$4+62)),MIN(DAY(Kalemler!$D159),DAY(EOMONTH((Tahmin!$C$4+62),0))))&gt;=Kalemler!$D159)),1,0),IF(AND(Kalemler!$D159&gt;=(Tahmin!$C$4+56),Kalemler!$D159&lt;=(Tahmin!$C$4+62)),1,0))))</f>
        <v>0</v>
      </c>
      <c r="K159" s="0" t="n">
        <f aca="false">IF(OR(Kalemler!$A159="",Kalemler!$C159="",Kalemler!$D159=""),0,Kalemler!$C159*IF(Kalemler!$E159="Haftalık",IF(Kalemler!$D159&lt;=(Tahmin!$C$4+69),1,0),IF(Kalemler!$E159="Aylık",IF(OR(AND(DATE(YEAR((Tahmin!$C$4+63)),MONTH((Tahmin!$C$4+63)),MIN(DAY(Kalemler!$D159),DAY(EOMONTH((Tahmin!$C$4+63),0))))&gt;=(Tahmin!$C$4+63),DATE(YEAR((Tahmin!$C$4+63)),MONTH((Tahmin!$C$4+63)),MIN(DAY(Kalemler!$D159),DAY(EOMONTH((Tahmin!$C$4+63),0))))&lt;=(Tahmin!$C$4+69),DATE(YEAR((Tahmin!$C$4+63)),MONTH((Tahmin!$C$4+63)),MIN(DAY(Kalemler!$D159),DAY(EOMONTH((Tahmin!$C$4+63),0))))&gt;=Kalemler!$D159),AND(DATE(YEAR((Tahmin!$C$4+69)),MONTH((Tahmin!$C$4+69)),MIN(DAY(Kalemler!$D159),DAY(EOMONTH((Tahmin!$C$4+69),0))))&gt;=(Tahmin!$C$4+63),DATE(YEAR((Tahmin!$C$4+69)),MONTH((Tahmin!$C$4+69)),MIN(DAY(Kalemler!$D159),DAY(EOMONTH((Tahmin!$C$4+69),0))))&lt;=(Tahmin!$C$4+69),DATE(YEAR((Tahmin!$C$4+69)),MONTH((Tahmin!$C$4+69)),MIN(DAY(Kalemler!$D159),DAY(EOMONTH((Tahmin!$C$4+69),0))))&lt;&gt;DATE(YEAR((Tahmin!$C$4+63)),MONTH((Tahmin!$C$4+63)),MIN(DAY(Kalemler!$D159),DAY(EOMONTH((Tahmin!$C$4+63),0)))),DATE(YEAR((Tahmin!$C$4+69)),MONTH((Tahmin!$C$4+69)),MIN(DAY(Kalemler!$D159),DAY(EOMONTH((Tahmin!$C$4+69),0))))&gt;=Kalemler!$D159)),1,0),IF(AND(Kalemler!$D159&gt;=(Tahmin!$C$4+63),Kalemler!$D159&lt;=(Tahmin!$C$4+69)),1,0))))</f>
        <v>0</v>
      </c>
      <c r="L159" s="0" t="n">
        <f aca="false">IF(OR(Kalemler!$A159="",Kalemler!$C159="",Kalemler!$D159=""),0,Kalemler!$C159*IF(Kalemler!$E159="Haftalık",IF(Kalemler!$D159&lt;=(Tahmin!$C$4+76),1,0),IF(Kalemler!$E159="Aylık",IF(OR(AND(DATE(YEAR((Tahmin!$C$4+70)),MONTH((Tahmin!$C$4+70)),MIN(DAY(Kalemler!$D159),DAY(EOMONTH((Tahmin!$C$4+70),0))))&gt;=(Tahmin!$C$4+70),DATE(YEAR((Tahmin!$C$4+70)),MONTH((Tahmin!$C$4+70)),MIN(DAY(Kalemler!$D159),DAY(EOMONTH((Tahmin!$C$4+70),0))))&lt;=(Tahmin!$C$4+76),DATE(YEAR((Tahmin!$C$4+70)),MONTH((Tahmin!$C$4+70)),MIN(DAY(Kalemler!$D159),DAY(EOMONTH((Tahmin!$C$4+70),0))))&gt;=Kalemler!$D159),AND(DATE(YEAR((Tahmin!$C$4+76)),MONTH((Tahmin!$C$4+76)),MIN(DAY(Kalemler!$D159),DAY(EOMONTH((Tahmin!$C$4+76),0))))&gt;=(Tahmin!$C$4+70),DATE(YEAR((Tahmin!$C$4+76)),MONTH((Tahmin!$C$4+76)),MIN(DAY(Kalemler!$D159),DAY(EOMONTH((Tahmin!$C$4+76),0))))&lt;=(Tahmin!$C$4+76),DATE(YEAR((Tahmin!$C$4+76)),MONTH((Tahmin!$C$4+76)),MIN(DAY(Kalemler!$D159),DAY(EOMONTH((Tahmin!$C$4+76),0))))&lt;&gt;DATE(YEAR((Tahmin!$C$4+70)),MONTH((Tahmin!$C$4+70)),MIN(DAY(Kalemler!$D159),DAY(EOMONTH((Tahmin!$C$4+70),0)))),DATE(YEAR((Tahmin!$C$4+76)),MONTH((Tahmin!$C$4+76)),MIN(DAY(Kalemler!$D159),DAY(EOMONTH((Tahmin!$C$4+76),0))))&gt;=Kalemler!$D159)),1,0),IF(AND(Kalemler!$D159&gt;=(Tahmin!$C$4+70),Kalemler!$D159&lt;=(Tahmin!$C$4+76)),1,0))))</f>
        <v>0</v>
      </c>
      <c r="M159" s="0" t="n">
        <f aca="false">IF(OR(Kalemler!$A159="",Kalemler!$C159="",Kalemler!$D159=""),0,Kalemler!$C159*IF(Kalemler!$E159="Haftalık",IF(Kalemler!$D159&lt;=(Tahmin!$C$4+83),1,0),IF(Kalemler!$E159="Aylık",IF(OR(AND(DATE(YEAR((Tahmin!$C$4+77)),MONTH((Tahmin!$C$4+77)),MIN(DAY(Kalemler!$D159),DAY(EOMONTH((Tahmin!$C$4+77),0))))&gt;=(Tahmin!$C$4+77),DATE(YEAR((Tahmin!$C$4+77)),MONTH((Tahmin!$C$4+77)),MIN(DAY(Kalemler!$D159),DAY(EOMONTH((Tahmin!$C$4+77),0))))&lt;=(Tahmin!$C$4+83),DATE(YEAR((Tahmin!$C$4+77)),MONTH((Tahmin!$C$4+77)),MIN(DAY(Kalemler!$D159),DAY(EOMONTH((Tahmin!$C$4+77),0))))&gt;=Kalemler!$D159),AND(DATE(YEAR((Tahmin!$C$4+83)),MONTH((Tahmin!$C$4+83)),MIN(DAY(Kalemler!$D159),DAY(EOMONTH((Tahmin!$C$4+83),0))))&gt;=(Tahmin!$C$4+77),DATE(YEAR((Tahmin!$C$4+83)),MONTH((Tahmin!$C$4+83)),MIN(DAY(Kalemler!$D159),DAY(EOMONTH((Tahmin!$C$4+83),0))))&lt;=(Tahmin!$C$4+83),DATE(YEAR((Tahmin!$C$4+83)),MONTH((Tahmin!$C$4+83)),MIN(DAY(Kalemler!$D159),DAY(EOMONTH((Tahmin!$C$4+83),0))))&lt;&gt;DATE(YEAR((Tahmin!$C$4+77)),MONTH((Tahmin!$C$4+77)),MIN(DAY(Kalemler!$D159),DAY(EOMONTH((Tahmin!$C$4+77),0)))),DATE(YEAR((Tahmin!$C$4+83)),MONTH((Tahmin!$C$4+83)),MIN(DAY(Kalemler!$D159),DAY(EOMONTH((Tahmin!$C$4+83),0))))&gt;=Kalemler!$D159)),1,0),IF(AND(Kalemler!$D159&gt;=(Tahmin!$C$4+77),Kalemler!$D159&lt;=(Tahmin!$C$4+83)),1,0))))</f>
        <v>0</v>
      </c>
      <c r="N159" s="0" t="n">
        <f aca="false">IF(OR(Kalemler!$A159="",Kalemler!$C159="",Kalemler!$D159=""),0,Kalemler!$C159*IF(Kalemler!$E159="Haftalık",IF(Kalemler!$D159&lt;=(Tahmin!$C$4+90),1,0),IF(Kalemler!$E159="Aylık",IF(OR(AND(DATE(YEAR((Tahmin!$C$4+84)),MONTH((Tahmin!$C$4+84)),MIN(DAY(Kalemler!$D159),DAY(EOMONTH((Tahmin!$C$4+84),0))))&gt;=(Tahmin!$C$4+84),DATE(YEAR((Tahmin!$C$4+84)),MONTH((Tahmin!$C$4+84)),MIN(DAY(Kalemler!$D159),DAY(EOMONTH((Tahmin!$C$4+84),0))))&lt;=(Tahmin!$C$4+90),DATE(YEAR((Tahmin!$C$4+84)),MONTH((Tahmin!$C$4+84)),MIN(DAY(Kalemler!$D159),DAY(EOMONTH((Tahmin!$C$4+84),0))))&gt;=Kalemler!$D159),AND(DATE(YEAR((Tahmin!$C$4+90)),MONTH((Tahmin!$C$4+90)),MIN(DAY(Kalemler!$D159),DAY(EOMONTH((Tahmin!$C$4+90),0))))&gt;=(Tahmin!$C$4+84),DATE(YEAR((Tahmin!$C$4+90)),MONTH((Tahmin!$C$4+90)),MIN(DAY(Kalemler!$D159),DAY(EOMONTH((Tahmin!$C$4+90),0))))&lt;=(Tahmin!$C$4+90),DATE(YEAR((Tahmin!$C$4+90)),MONTH((Tahmin!$C$4+90)),MIN(DAY(Kalemler!$D159),DAY(EOMONTH((Tahmin!$C$4+90),0))))&lt;&gt;DATE(YEAR((Tahmin!$C$4+84)),MONTH((Tahmin!$C$4+84)),MIN(DAY(Kalemler!$D159),DAY(EOMONTH((Tahmin!$C$4+84),0)))),DATE(YEAR((Tahmin!$C$4+90)),MONTH((Tahmin!$C$4+90)),MIN(DAY(Kalemler!$D159),DAY(EOMONTH((Tahmin!$C$4+90),0))))&gt;=Kalemler!$D159)),1,0),IF(AND(Kalemler!$D159&gt;=(Tahmin!$C$4+84),Kalemler!$D159&lt;=(Tahmin!$C$4+90)),1,0))))</f>
        <v>0</v>
      </c>
    </row>
    <row r="160" customFormat="false" ht="15" hidden="false" customHeight="false" outlineLevel="0" collapsed="false">
      <c r="A160" s="0" t="str">
        <f aca="false">IF(Kalemler!A160="","",Kalemler!A160)</f>
        <v/>
      </c>
      <c r="B160" s="0" t="n">
        <f aca="false">IF(OR(Kalemler!$A160="",Kalemler!$C160="",Kalemler!$D160=""),0,Kalemler!$C160*IF(Kalemler!$E160="Haftalık",IF(Kalemler!$D160&lt;=(Tahmin!$C$4+6),1,0),IF(Kalemler!$E160="Aylık",IF(OR(AND(DATE(YEAR((Tahmin!$C$4+0)),MONTH((Tahmin!$C$4+0)),MIN(DAY(Kalemler!$D160),DAY(EOMONTH((Tahmin!$C$4+0),0))))&gt;=(Tahmin!$C$4+0),DATE(YEAR((Tahmin!$C$4+0)),MONTH((Tahmin!$C$4+0)),MIN(DAY(Kalemler!$D160),DAY(EOMONTH((Tahmin!$C$4+0),0))))&lt;=(Tahmin!$C$4+6),DATE(YEAR((Tahmin!$C$4+0)),MONTH((Tahmin!$C$4+0)),MIN(DAY(Kalemler!$D160),DAY(EOMONTH((Tahmin!$C$4+0),0))))&gt;=Kalemler!$D160),AND(DATE(YEAR((Tahmin!$C$4+6)),MONTH((Tahmin!$C$4+6)),MIN(DAY(Kalemler!$D160),DAY(EOMONTH((Tahmin!$C$4+6),0))))&gt;=(Tahmin!$C$4+0),DATE(YEAR((Tahmin!$C$4+6)),MONTH((Tahmin!$C$4+6)),MIN(DAY(Kalemler!$D160),DAY(EOMONTH((Tahmin!$C$4+6),0))))&lt;=(Tahmin!$C$4+6),DATE(YEAR((Tahmin!$C$4+6)),MONTH((Tahmin!$C$4+6)),MIN(DAY(Kalemler!$D160),DAY(EOMONTH((Tahmin!$C$4+6),0))))&lt;&gt;DATE(YEAR((Tahmin!$C$4+0)),MONTH((Tahmin!$C$4+0)),MIN(DAY(Kalemler!$D160),DAY(EOMONTH((Tahmin!$C$4+0),0)))),DATE(YEAR((Tahmin!$C$4+6)),MONTH((Tahmin!$C$4+6)),MIN(DAY(Kalemler!$D160),DAY(EOMONTH((Tahmin!$C$4+6),0))))&gt;=Kalemler!$D160)),1,0),IF(AND(Kalemler!$D160&gt;=(Tahmin!$C$4+0),Kalemler!$D160&lt;=(Tahmin!$C$4+6)),1,0))))</f>
        <v>0</v>
      </c>
      <c r="C160" s="0" t="n">
        <f aca="false">IF(OR(Kalemler!$A160="",Kalemler!$C160="",Kalemler!$D160=""),0,Kalemler!$C160*IF(Kalemler!$E160="Haftalık",IF(Kalemler!$D160&lt;=(Tahmin!$C$4+13),1,0),IF(Kalemler!$E160="Aylık",IF(OR(AND(DATE(YEAR((Tahmin!$C$4+7)),MONTH((Tahmin!$C$4+7)),MIN(DAY(Kalemler!$D160),DAY(EOMONTH((Tahmin!$C$4+7),0))))&gt;=(Tahmin!$C$4+7),DATE(YEAR((Tahmin!$C$4+7)),MONTH((Tahmin!$C$4+7)),MIN(DAY(Kalemler!$D160),DAY(EOMONTH((Tahmin!$C$4+7),0))))&lt;=(Tahmin!$C$4+13),DATE(YEAR((Tahmin!$C$4+7)),MONTH((Tahmin!$C$4+7)),MIN(DAY(Kalemler!$D160),DAY(EOMONTH((Tahmin!$C$4+7),0))))&gt;=Kalemler!$D160),AND(DATE(YEAR((Tahmin!$C$4+13)),MONTH((Tahmin!$C$4+13)),MIN(DAY(Kalemler!$D160),DAY(EOMONTH((Tahmin!$C$4+13),0))))&gt;=(Tahmin!$C$4+7),DATE(YEAR((Tahmin!$C$4+13)),MONTH((Tahmin!$C$4+13)),MIN(DAY(Kalemler!$D160),DAY(EOMONTH((Tahmin!$C$4+13),0))))&lt;=(Tahmin!$C$4+13),DATE(YEAR((Tahmin!$C$4+13)),MONTH((Tahmin!$C$4+13)),MIN(DAY(Kalemler!$D160),DAY(EOMONTH((Tahmin!$C$4+13),0))))&lt;&gt;DATE(YEAR((Tahmin!$C$4+7)),MONTH((Tahmin!$C$4+7)),MIN(DAY(Kalemler!$D160),DAY(EOMONTH((Tahmin!$C$4+7),0)))),DATE(YEAR((Tahmin!$C$4+13)),MONTH((Tahmin!$C$4+13)),MIN(DAY(Kalemler!$D160),DAY(EOMONTH((Tahmin!$C$4+13),0))))&gt;=Kalemler!$D160)),1,0),IF(AND(Kalemler!$D160&gt;=(Tahmin!$C$4+7),Kalemler!$D160&lt;=(Tahmin!$C$4+13)),1,0))))</f>
        <v>0</v>
      </c>
      <c r="D160" s="0" t="n">
        <f aca="false">IF(OR(Kalemler!$A160="",Kalemler!$C160="",Kalemler!$D160=""),0,Kalemler!$C160*IF(Kalemler!$E160="Haftalık",IF(Kalemler!$D160&lt;=(Tahmin!$C$4+20),1,0),IF(Kalemler!$E160="Aylık",IF(OR(AND(DATE(YEAR((Tahmin!$C$4+14)),MONTH((Tahmin!$C$4+14)),MIN(DAY(Kalemler!$D160),DAY(EOMONTH((Tahmin!$C$4+14),0))))&gt;=(Tahmin!$C$4+14),DATE(YEAR((Tahmin!$C$4+14)),MONTH((Tahmin!$C$4+14)),MIN(DAY(Kalemler!$D160),DAY(EOMONTH((Tahmin!$C$4+14),0))))&lt;=(Tahmin!$C$4+20),DATE(YEAR((Tahmin!$C$4+14)),MONTH((Tahmin!$C$4+14)),MIN(DAY(Kalemler!$D160),DAY(EOMONTH((Tahmin!$C$4+14),0))))&gt;=Kalemler!$D160),AND(DATE(YEAR((Tahmin!$C$4+20)),MONTH((Tahmin!$C$4+20)),MIN(DAY(Kalemler!$D160),DAY(EOMONTH((Tahmin!$C$4+20),0))))&gt;=(Tahmin!$C$4+14),DATE(YEAR((Tahmin!$C$4+20)),MONTH((Tahmin!$C$4+20)),MIN(DAY(Kalemler!$D160),DAY(EOMONTH((Tahmin!$C$4+20),0))))&lt;=(Tahmin!$C$4+20),DATE(YEAR((Tahmin!$C$4+20)),MONTH((Tahmin!$C$4+20)),MIN(DAY(Kalemler!$D160),DAY(EOMONTH((Tahmin!$C$4+20),0))))&lt;&gt;DATE(YEAR((Tahmin!$C$4+14)),MONTH((Tahmin!$C$4+14)),MIN(DAY(Kalemler!$D160),DAY(EOMONTH((Tahmin!$C$4+14),0)))),DATE(YEAR((Tahmin!$C$4+20)),MONTH((Tahmin!$C$4+20)),MIN(DAY(Kalemler!$D160),DAY(EOMONTH((Tahmin!$C$4+20),0))))&gt;=Kalemler!$D160)),1,0),IF(AND(Kalemler!$D160&gt;=(Tahmin!$C$4+14),Kalemler!$D160&lt;=(Tahmin!$C$4+20)),1,0))))</f>
        <v>0</v>
      </c>
      <c r="E160" s="0" t="n">
        <f aca="false">IF(OR(Kalemler!$A160="",Kalemler!$C160="",Kalemler!$D160=""),0,Kalemler!$C160*IF(Kalemler!$E160="Haftalık",IF(Kalemler!$D160&lt;=(Tahmin!$C$4+27),1,0),IF(Kalemler!$E160="Aylık",IF(OR(AND(DATE(YEAR((Tahmin!$C$4+21)),MONTH((Tahmin!$C$4+21)),MIN(DAY(Kalemler!$D160),DAY(EOMONTH((Tahmin!$C$4+21),0))))&gt;=(Tahmin!$C$4+21),DATE(YEAR((Tahmin!$C$4+21)),MONTH((Tahmin!$C$4+21)),MIN(DAY(Kalemler!$D160),DAY(EOMONTH((Tahmin!$C$4+21),0))))&lt;=(Tahmin!$C$4+27),DATE(YEAR((Tahmin!$C$4+21)),MONTH((Tahmin!$C$4+21)),MIN(DAY(Kalemler!$D160),DAY(EOMONTH((Tahmin!$C$4+21),0))))&gt;=Kalemler!$D160),AND(DATE(YEAR((Tahmin!$C$4+27)),MONTH((Tahmin!$C$4+27)),MIN(DAY(Kalemler!$D160),DAY(EOMONTH((Tahmin!$C$4+27),0))))&gt;=(Tahmin!$C$4+21),DATE(YEAR((Tahmin!$C$4+27)),MONTH((Tahmin!$C$4+27)),MIN(DAY(Kalemler!$D160),DAY(EOMONTH((Tahmin!$C$4+27),0))))&lt;=(Tahmin!$C$4+27),DATE(YEAR((Tahmin!$C$4+27)),MONTH((Tahmin!$C$4+27)),MIN(DAY(Kalemler!$D160),DAY(EOMONTH((Tahmin!$C$4+27),0))))&lt;&gt;DATE(YEAR((Tahmin!$C$4+21)),MONTH((Tahmin!$C$4+21)),MIN(DAY(Kalemler!$D160),DAY(EOMONTH((Tahmin!$C$4+21),0)))),DATE(YEAR((Tahmin!$C$4+27)),MONTH((Tahmin!$C$4+27)),MIN(DAY(Kalemler!$D160),DAY(EOMONTH((Tahmin!$C$4+27),0))))&gt;=Kalemler!$D160)),1,0),IF(AND(Kalemler!$D160&gt;=(Tahmin!$C$4+21),Kalemler!$D160&lt;=(Tahmin!$C$4+27)),1,0))))</f>
        <v>0</v>
      </c>
      <c r="F160" s="0" t="n">
        <f aca="false">IF(OR(Kalemler!$A160="",Kalemler!$C160="",Kalemler!$D160=""),0,Kalemler!$C160*IF(Kalemler!$E160="Haftalık",IF(Kalemler!$D160&lt;=(Tahmin!$C$4+34),1,0),IF(Kalemler!$E160="Aylık",IF(OR(AND(DATE(YEAR((Tahmin!$C$4+28)),MONTH((Tahmin!$C$4+28)),MIN(DAY(Kalemler!$D160),DAY(EOMONTH((Tahmin!$C$4+28),0))))&gt;=(Tahmin!$C$4+28),DATE(YEAR((Tahmin!$C$4+28)),MONTH((Tahmin!$C$4+28)),MIN(DAY(Kalemler!$D160),DAY(EOMONTH((Tahmin!$C$4+28),0))))&lt;=(Tahmin!$C$4+34),DATE(YEAR((Tahmin!$C$4+28)),MONTH((Tahmin!$C$4+28)),MIN(DAY(Kalemler!$D160),DAY(EOMONTH((Tahmin!$C$4+28),0))))&gt;=Kalemler!$D160),AND(DATE(YEAR((Tahmin!$C$4+34)),MONTH((Tahmin!$C$4+34)),MIN(DAY(Kalemler!$D160),DAY(EOMONTH((Tahmin!$C$4+34),0))))&gt;=(Tahmin!$C$4+28),DATE(YEAR((Tahmin!$C$4+34)),MONTH((Tahmin!$C$4+34)),MIN(DAY(Kalemler!$D160),DAY(EOMONTH((Tahmin!$C$4+34),0))))&lt;=(Tahmin!$C$4+34),DATE(YEAR((Tahmin!$C$4+34)),MONTH((Tahmin!$C$4+34)),MIN(DAY(Kalemler!$D160),DAY(EOMONTH((Tahmin!$C$4+34),0))))&lt;&gt;DATE(YEAR((Tahmin!$C$4+28)),MONTH((Tahmin!$C$4+28)),MIN(DAY(Kalemler!$D160),DAY(EOMONTH((Tahmin!$C$4+28),0)))),DATE(YEAR((Tahmin!$C$4+34)),MONTH((Tahmin!$C$4+34)),MIN(DAY(Kalemler!$D160),DAY(EOMONTH((Tahmin!$C$4+34),0))))&gt;=Kalemler!$D160)),1,0),IF(AND(Kalemler!$D160&gt;=(Tahmin!$C$4+28),Kalemler!$D160&lt;=(Tahmin!$C$4+34)),1,0))))</f>
        <v>0</v>
      </c>
      <c r="G160" s="0" t="n">
        <f aca="false">IF(OR(Kalemler!$A160="",Kalemler!$C160="",Kalemler!$D160=""),0,Kalemler!$C160*IF(Kalemler!$E160="Haftalık",IF(Kalemler!$D160&lt;=(Tahmin!$C$4+41),1,0),IF(Kalemler!$E160="Aylık",IF(OR(AND(DATE(YEAR((Tahmin!$C$4+35)),MONTH((Tahmin!$C$4+35)),MIN(DAY(Kalemler!$D160),DAY(EOMONTH((Tahmin!$C$4+35),0))))&gt;=(Tahmin!$C$4+35),DATE(YEAR((Tahmin!$C$4+35)),MONTH((Tahmin!$C$4+35)),MIN(DAY(Kalemler!$D160),DAY(EOMONTH((Tahmin!$C$4+35),0))))&lt;=(Tahmin!$C$4+41),DATE(YEAR((Tahmin!$C$4+35)),MONTH((Tahmin!$C$4+35)),MIN(DAY(Kalemler!$D160),DAY(EOMONTH((Tahmin!$C$4+35),0))))&gt;=Kalemler!$D160),AND(DATE(YEAR((Tahmin!$C$4+41)),MONTH((Tahmin!$C$4+41)),MIN(DAY(Kalemler!$D160),DAY(EOMONTH((Tahmin!$C$4+41),0))))&gt;=(Tahmin!$C$4+35),DATE(YEAR((Tahmin!$C$4+41)),MONTH((Tahmin!$C$4+41)),MIN(DAY(Kalemler!$D160),DAY(EOMONTH((Tahmin!$C$4+41),0))))&lt;=(Tahmin!$C$4+41),DATE(YEAR((Tahmin!$C$4+41)),MONTH((Tahmin!$C$4+41)),MIN(DAY(Kalemler!$D160),DAY(EOMONTH((Tahmin!$C$4+41),0))))&lt;&gt;DATE(YEAR((Tahmin!$C$4+35)),MONTH((Tahmin!$C$4+35)),MIN(DAY(Kalemler!$D160),DAY(EOMONTH((Tahmin!$C$4+35),0)))),DATE(YEAR((Tahmin!$C$4+41)),MONTH((Tahmin!$C$4+41)),MIN(DAY(Kalemler!$D160),DAY(EOMONTH((Tahmin!$C$4+41),0))))&gt;=Kalemler!$D160)),1,0),IF(AND(Kalemler!$D160&gt;=(Tahmin!$C$4+35),Kalemler!$D160&lt;=(Tahmin!$C$4+41)),1,0))))</f>
        <v>0</v>
      </c>
      <c r="H160" s="0" t="n">
        <f aca="false">IF(OR(Kalemler!$A160="",Kalemler!$C160="",Kalemler!$D160=""),0,Kalemler!$C160*IF(Kalemler!$E160="Haftalık",IF(Kalemler!$D160&lt;=(Tahmin!$C$4+48),1,0),IF(Kalemler!$E160="Aylık",IF(OR(AND(DATE(YEAR((Tahmin!$C$4+42)),MONTH((Tahmin!$C$4+42)),MIN(DAY(Kalemler!$D160),DAY(EOMONTH((Tahmin!$C$4+42),0))))&gt;=(Tahmin!$C$4+42),DATE(YEAR((Tahmin!$C$4+42)),MONTH((Tahmin!$C$4+42)),MIN(DAY(Kalemler!$D160),DAY(EOMONTH((Tahmin!$C$4+42),0))))&lt;=(Tahmin!$C$4+48),DATE(YEAR((Tahmin!$C$4+42)),MONTH((Tahmin!$C$4+42)),MIN(DAY(Kalemler!$D160),DAY(EOMONTH((Tahmin!$C$4+42),0))))&gt;=Kalemler!$D160),AND(DATE(YEAR((Tahmin!$C$4+48)),MONTH((Tahmin!$C$4+48)),MIN(DAY(Kalemler!$D160),DAY(EOMONTH((Tahmin!$C$4+48),0))))&gt;=(Tahmin!$C$4+42),DATE(YEAR((Tahmin!$C$4+48)),MONTH((Tahmin!$C$4+48)),MIN(DAY(Kalemler!$D160),DAY(EOMONTH((Tahmin!$C$4+48),0))))&lt;=(Tahmin!$C$4+48),DATE(YEAR((Tahmin!$C$4+48)),MONTH((Tahmin!$C$4+48)),MIN(DAY(Kalemler!$D160),DAY(EOMONTH((Tahmin!$C$4+48),0))))&lt;&gt;DATE(YEAR((Tahmin!$C$4+42)),MONTH((Tahmin!$C$4+42)),MIN(DAY(Kalemler!$D160),DAY(EOMONTH((Tahmin!$C$4+42),0)))),DATE(YEAR((Tahmin!$C$4+48)),MONTH((Tahmin!$C$4+48)),MIN(DAY(Kalemler!$D160),DAY(EOMONTH((Tahmin!$C$4+48),0))))&gt;=Kalemler!$D160)),1,0),IF(AND(Kalemler!$D160&gt;=(Tahmin!$C$4+42),Kalemler!$D160&lt;=(Tahmin!$C$4+48)),1,0))))</f>
        <v>0</v>
      </c>
      <c r="I160" s="0" t="n">
        <f aca="false">IF(OR(Kalemler!$A160="",Kalemler!$C160="",Kalemler!$D160=""),0,Kalemler!$C160*IF(Kalemler!$E160="Haftalık",IF(Kalemler!$D160&lt;=(Tahmin!$C$4+55),1,0),IF(Kalemler!$E160="Aylık",IF(OR(AND(DATE(YEAR((Tahmin!$C$4+49)),MONTH((Tahmin!$C$4+49)),MIN(DAY(Kalemler!$D160),DAY(EOMONTH((Tahmin!$C$4+49),0))))&gt;=(Tahmin!$C$4+49),DATE(YEAR((Tahmin!$C$4+49)),MONTH((Tahmin!$C$4+49)),MIN(DAY(Kalemler!$D160),DAY(EOMONTH((Tahmin!$C$4+49),0))))&lt;=(Tahmin!$C$4+55),DATE(YEAR((Tahmin!$C$4+49)),MONTH((Tahmin!$C$4+49)),MIN(DAY(Kalemler!$D160),DAY(EOMONTH((Tahmin!$C$4+49),0))))&gt;=Kalemler!$D160),AND(DATE(YEAR((Tahmin!$C$4+55)),MONTH((Tahmin!$C$4+55)),MIN(DAY(Kalemler!$D160),DAY(EOMONTH((Tahmin!$C$4+55),0))))&gt;=(Tahmin!$C$4+49),DATE(YEAR((Tahmin!$C$4+55)),MONTH((Tahmin!$C$4+55)),MIN(DAY(Kalemler!$D160),DAY(EOMONTH((Tahmin!$C$4+55),0))))&lt;=(Tahmin!$C$4+55),DATE(YEAR((Tahmin!$C$4+55)),MONTH((Tahmin!$C$4+55)),MIN(DAY(Kalemler!$D160),DAY(EOMONTH((Tahmin!$C$4+55),0))))&lt;&gt;DATE(YEAR((Tahmin!$C$4+49)),MONTH((Tahmin!$C$4+49)),MIN(DAY(Kalemler!$D160),DAY(EOMONTH((Tahmin!$C$4+49),0)))),DATE(YEAR((Tahmin!$C$4+55)),MONTH((Tahmin!$C$4+55)),MIN(DAY(Kalemler!$D160),DAY(EOMONTH((Tahmin!$C$4+55),0))))&gt;=Kalemler!$D160)),1,0),IF(AND(Kalemler!$D160&gt;=(Tahmin!$C$4+49),Kalemler!$D160&lt;=(Tahmin!$C$4+55)),1,0))))</f>
        <v>0</v>
      </c>
      <c r="J160" s="0" t="n">
        <f aca="false">IF(OR(Kalemler!$A160="",Kalemler!$C160="",Kalemler!$D160=""),0,Kalemler!$C160*IF(Kalemler!$E160="Haftalık",IF(Kalemler!$D160&lt;=(Tahmin!$C$4+62),1,0),IF(Kalemler!$E160="Aylık",IF(OR(AND(DATE(YEAR((Tahmin!$C$4+56)),MONTH((Tahmin!$C$4+56)),MIN(DAY(Kalemler!$D160),DAY(EOMONTH((Tahmin!$C$4+56),0))))&gt;=(Tahmin!$C$4+56),DATE(YEAR((Tahmin!$C$4+56)),MONTH((Tahmin!$C$4+56)),MIN(DAY(Kalemler!$D160),DAY(EOMONTH((Tahmin!$C$4+56),0))))&lt;=(Tahmin!$C$4+62),DATE(YEAR((Tahmin!$C$4+56)),MONTH((Tahmin!$C$4+56)),MIN(DAY(Kalemler!$D160),DAY(EOMONTH((Tahmin!$C$4+56),0))))&gt;=Kalemler!$D160),AND(DATE(YEAR((Tahmin!$C$4+62)),MONTH((Tahmin!$C$4+62)),MIN(DAY(Kalemler!$D160),DAY(EOMONTH((Tahmin!$C$4+62),0))))&gt;=(Tahmin!$C$4+56),DATE(YEAR((Tahmin!$C$4+62)),MONTH((Tahmin!$C$4+62)),MIN(DAY(Kalemler!$D160),DAY(EOMONTH((Tahmin!$C$4+62),0))))&lt;=(Tahmin!$C$4+62),DATE(YEAR((Tahmin!$C$4+62)),MONTH((Tahmin!$C$4+62)),MIN(DAY(Kalemler!$D160),DAY(EOMONTH((Tahmin!$C$4+62),0))))&lt;&gt;DATE(YEAR((Tahmin!$C$4+56)),MONTH((Tahmin!$C$4+56)),MIN(DAY(Kalemler!$D160),DAY(EOMONTH((Tahmin!$C$4+56),0)))),DATE(YEAR((Tahmin!$C$4+62)),MONTH((Tahmin!$C$4+62)),MIN(DAY(Kalemler!$D160),DAY(EOMONTH((Tahmin!$C$4+62),0))))&gt;=Kalemler!$D160)),1,0),IF(AND(Kalemler!$D160&gt;=(Tahmin!$C$4+56),Kalemler!$D160&lt;=(Tahmin!$C$4+62)),1,0))))</f>
        <v>0</v>
      </c>
      <c r="K160" s="0" t="n">
        <f aca="false">IF(OR(Kalemler!$A160="",Kalemler!$C160="",Kalemler!$D160=""),0,Kalemler!$C160*IF(Kalemler!$E160="Haftalık",IF(Kalemler!$D160&lt;=(Tahmin!$C$4+69),1,0),IF(Kalemler!$E160="Aylık",IF(OR(AND(DATE(YEAR((Tahmin!$C$4+63)),MONTH((Tahmin!$C$4+63)),MIN(DAY(Kalemler!$D160),DAY(EOMONTH((Tahmin!$C$4+63),0))))&gt;=(Tahmin!$C$4+63),DATE(YEAR((Tahmin!$C$4+63)),MONTH((Tahmin!$C$4+63)),MIN(DAY(Kalemler!$D160),DAY(EOMONTH((Tahmin!$C$4+63),0))))&lt;=(Tahmin!$C$4+69),DATE(YEAR((Tahmin!$C$4+63)),MONTH((Tahmin!$C$4+63)),MIN(DAY(Kalemler!$D160),DAY(EOMONTH((Tahmin!$C$4+63),0))))&gt;=Kalemler!$D160),AND(DATE(YEAR((Tahmin!$C$4+69)),MONTH((Tahmin!$C$4+69)),MIN(DAY(Kalemler!$D160),DAY(EOMONTH((Tahmin!$C$4+69),0))))&gt;=(Tahmin!$C$4+63),DATE(YEAR((Tahmin!$C$4+69)),MONTH((Tahmin!$C$4+69)),MIN(DAY(Kalemler!$D160),DAY(EOMONTH((Tahmin!$C$4+69),0))))&lt;=(Tahmin!$C$4+69),DATE(YEAR((Tahmin!$C$4+69)),MONTH((Tahmin!$C$4+69)),MIN(DAY(Kalemler!$D160),DAY(EOMONTH((Tahmin!$C$4+69),0))))&lt;&gt;DATE(YEAR((Tahmin!$C$4+63)),MONTH((Tahmin!$C$4+63)),MIN(DAY(Kalemler!$D160),DAY(EOMONTH((Tahmin!$C$4+63),0)))),DATE(YEAR((Tahmin!$C$4+69)),MONTH((Tahmin!$C$4+69)),MIN(DAY(Kalemler!$D160),DAY(EOMONTH((Tahmin!$C$4+69),0))))&gt;=Kalemler!$D160)),1,0),IF(AND(Kalemler!$D160&gt;=(Tahmin!$C$4+63),Kalemler!$D160&lt;=(Tahmin!$C$4+69)),1,0))))</f>
        <v>0</v>
      </c>
      <c r="L160" s="0" t="n">
        <f aca="false">IF(OR(Kalemler!$A160="",Kalemler!$C160="",Kalemler!$D160=""),0,Kalemler!$C160*IF(Kalemler!$E160="Haftalık",IF(Kalemler!$D160&lt;=(Tahmin!$C$4+76),1,0),IF(Kalemler!$E160="Aylık",IF(OR(AND(DATE(YEAR((Tahmin!$C$4+70)),MONTH((Tahmin!$C$4+70)),MIN(DAY(Kalemler!$D160),DAY(EOMONTH((Tahmin!$C$4+70),0))))&gt;=(Tahmin!$C$4+70),DATE(YEAR((Tahmin!$C$4+70)),MONTH((Tahmin!$C$4+70)),MIN(DAY(Kalemler!$D160),DAY(EOMONTH((Tahmin!$C$4+70),0))))&lt;=(Tahmin!$C$4+76),DATE(YEAR((Tahmin!$C$4+70)),MONTH((Tahmin!$C$4+70)),MIN(DAY(Kalemler!$D160),DAY(EOMONTH((Tahmin!$C$4+70),0))))&gt;=Kalemler!$D160),AND(DATE(YEAR((Tahmin!$C$4+76)),MONTH((Tahmin!$C$4+76)),MIN(DAY(Kalemler!$D160),DAY(EOMONTH((Tahmin!$C$4+76),0))))&gt;=(Tahmin!$C$4+70),DATE(YEAR((Tahmin!$C$4+76)),MONTH((Tahmin!$C$4+76)),MIN(DAY(Kalemler!$D160),DAY(EOMONTH((Tahmin!$C$4+76),0))))&lt;=(Tahmin!$C$4+76),DATE(YEAR((Tahmin!$C$4+76)),MONTH((Tahmin!$C$4+76)),MIN(DAY(Kalemler!$D160),DAY(EOMONTH((Tahmin!$C$4+76),0))))&lt;&gt;DATE(YEAR((Tahmin!$C$4+70)),MONTH((Tahmin!$C$4+70)),MIN(DAY(Kalemler!$D160),DAY(EOMONTH((Tahmin!$C$4+70),0)))),DATE(YEAR((Tahmin!$C$4+76)),MONTH((Tahmin!$C$4+76)),MIN(DAY(Kalemler!$D160),DAY(EOMONTH((Tahmin!$C$4+76),0))))&gt;=Kalemler!$D160)),1,0),IF(AND(Kalemler!$D160&gt;=(Tahmin!$C$4+70),Kalemler!$D160&lt;=(Tahmin!$C$4+76)),1,0))))</f>
        <v>0</v>
      </c>
      <c r="M160" s="0" t="n">
        <f aca="false">IF(OR(Kalemler!$A160="",Kalemler!$C160="",Kalemler!$D160=""),0,Kalemler!$C160*IF(Kalemler!$E160="Haftalık",IF(Kalemler!$D160&lt;=(Tahmin!$C$4+83),1,0),IF(Kalemler!$E160="Aylık",IF(OR(AND(DATE(YEAR((Tahmin!$C$4+77)),MONTH((Tahmin!$C$4+77)),MIN(DAY(Kalemler!$D160),DAY(EOMONTH((Tahmin!$C$4+77),0))))&gt;=(Tahmin!$C$4+77),DATE(YEAR((Tahmin!$C$4+77)),MONTH((Tahmin!$C$4+77)),MIN(DAY(Kalemler!$D160),DAY(EOMONTH((Tahmin!$C$4+77),0))))&lt;=(Tahmin!$C$4+83),DATE(YEAR((Tahmin!$C$4+77)),MONTH((Tahmin!$C$4+77)),MIN(DAY(Kalemler!$D160),DAY(EOMONTH((Tahmin!$C$4+77),0))))&gt;=Kalemler!$D160),AND(DATE(YEAR((Tahmin!$C$4+83)),MONTH((Tahmin!$C$4+83)),MIN(DAY(Kalemler!$D160),DAY(EOMONTH((Tahmin!$C$4+83),0))))&gt;=(Tahmin!$C$4+77),DATE(YEAR((Tahmin!$C$4+83)),MONTH((Tahmin!$C$4+83)),MIN(DAY(Kalemler!$D160),DAY(EOMONTH((Tahmin!$C$4+83),0))))&lt;=(Tahmin!$C$4+83),DATE(YEAR((Tahmin!$C$4+83)),MONTH((Tahmin!$C$4+83)),MIN(DAY(Kalemler!$D160),DAY(EOMONTH((Tahmin!$C$4+83),0))))&lt;&gt;DATE(YEAR((Tahmin!$C$4+77)),MONTH((Tahmin!$C$4+77)),MIN(DAY(Kalemler!$D160),DAY(EOMONTH((Tahmin!$C$4+77),0)))),DATE(YEAR((Tahmin!$C$4+83)),MONTH((Tahmin!$C$4+83)),MIN(DAY(Kalemler!$D160),DAY(EOMONTH((Tahmin!$C$4+83),0))))&gt;=Kalemler!$D160)),1,0),IF(AND(Kalemler!$D160&gt;=(Tahmin!$C$4+77),Kalemler!$D160&lt;=(Tahmin!$C$4+83)),1,0))))</f>
        <v>0</v>
      </c>
      <c r="N160" s="0" t="n">
        <f aca="false">IF(OR(Kalemler!$A160="",Kalemler!$C160="",Kalemler!$D160=""),0,Kalemler!$C160*IF(Kalemler!$E160="Haftalık",IF(Kalemler!$D160&lt;=(Tahmin!$C$4+90),1,0),IF(Kalemler!$E160="Aylık",IF(OR(AND(DATE(YEAR((Tahmin!$C$4+84)),MONTH((Tahmin!$C$4+84)),MIN(DAY(Kalemler!$D160),DAY(EOMONTH((Tahmin!$C$4+84),0))))&gt;=(Tahmin!$C$4+84),DATE(YEAR((Tahmin!$C$4+84)),MONTH((Tahmin!$C$4+84)),MIN(DAY(Kalemler!$D160),DAY(EOMONTH((Tahmin!$C$4+84),0))))&lt;=(Tahmin!$C$4+90),DATE(YEAR((Tahmin!$C$4+84)),MONTH((Tahmin!$C$4+84)),MIN(DAY(Kalemler!$D160),DAY(EOMONTH((Tahmin!$C$4+84),0))))&gt;=Kalemler!$D160),AND(DATE(YEAR((Tahmin!$C$4+90)),MONTH((Tahmin!$C$4+90)),MIN(DAY(Kalemler!$D160),DAY(EOMONTH((Tahmin!$C$4+90),0))))&gt;=(Tahmin!$C$4+84),DATE(YEAR((Tahmin!$C$4+90)),MONTH((Tahmin!$C$4+90)),MIN(DAY(Kalemler!$D160),DAY(EOMONTH((Tahmin!$C$4+90),0))))&lt;=(Tahmin!$C$4+90),DATE(YEAR((Tahmin!$C$4+90)),MONTH((Tahmin!$C$4+90)),MIN(DAY(Kalemler!$D160),DAY(EOMONTH((Tahmin!$C$4+90),0))))&lt;&gt;DATE(YEAR((Tahmin!$C$4+84)),MONTH((Tahmin!$C$4+84)),MIN(DAY(Kalemler!$D160),DAY(EOMONTH((Tahmin!$C$4+84),0)))),DATE(YEAR((Tahmin!$C$4+90)),MONTH((Tahmin!$C$4+90)),MIN(DAY(Kalemler!$D160),DAY(EOMONTH((Tahmin!$C$4+90),0))))&gt;=Kalemler!$D160)),1,0),IF(AND(Kalemler!$D160&gt;=(Tahmin!$C$4+84),Kalemler!$D160&lt;=(Tahmin!$C$4+90)),1,0))))</f>
        <v>0</v>
      </c>
    </row>
    <row r="161" customFormat="false" ht="15" hidden="false" customHeight="false" outlineLevel="0" collapsed="false">
      <c r="A161" s="0" t="str">
        <f aca="false">IF(Kalemler!A161="","",Kalemler!A161)</f>
        <v/>
      </c>
      <c r="B161" s="0" t="n">
        <f aca="false">IF(OR(Kalemler!$A161="",Kalemler!$C161="",Kalemler!$D161=""),0,Kalemler!$C161*IF(Kalemler!$E161="Haftalık",IF(Kalemler!$D161&lt;=(Tahmin!$C$4+6),1,0),IF(Kalemler!$E161="Aylık",IF(OR(AND(DATE(YEAR((Tahmin!$C$4+0)),MONTH((Tahmin!$C$4+0)),MIN(DAY(Kalemler!$D161),DAY(EOMONTH((Tahmin!$C$4+0),0))))&gt;=(Tahmin!$C$4+0),DATE(YEAR((Tahmin!$C$4+0)),MONTH((Tahmin!$C$4+0)),MIN(DAY(Kalemler!$D161),DAY(EOMONTH((Tahmin!$C$4+0),0))))&lt;=(Tahmin!$C$4+6),DATE(YEAR((Tahmin!$C$4+0)),MONTH((Tahmin!$C$4+0)),MIN(DAY(Kalemler!$D161),DAY(EOMONTH((Tahmin!$C$4+0),0))))&gt;=Kalemler!$D161),AND(DATE(YEAR((Tahmin!$C$4+6)),MONTH((Tahmin!$C$4+6)),MIN(DAY(Kalemler!$D161),DAY(EOMONTH((Tahmin!$C$4+6),0))))&gt;=(Tahmin!$C$4+0),DATE(YEAR((Tahmin!$C$4+6)),MONTH((Tahmin!$C$4+6)),MIN(DAY(Kalemler!$D161),DAY(EOMONTH((Tahmin!$C$4+6),0))))&lt;=(Tahmin!$C$4+6),DATE(YEAR((Tahmin!$C$4+6)),MONTH((Tahmin!$C$4+6)),MIN(DAY(Kalemler!$D161),DAY(EOMONTH((Tahmin!$C$4+6),0))))&lt;&gt;DATE(YEAR((Tahmin!$C$4+0)),MONTH((Tahmin!$C$4+0)),MIN(DAY(Kalemler!$D161),DAY(EOMONTH((Tahmin!$C$4+0),0)))),DATE(YEAR((Tahmin!$C$4+6)),MONTH((Tahmin!$C$4+6)),MIN(DAY(Kalemler!$D161),DAY(EOMONTH((Tahmin!$C$4+6),0))))&gt;=Kalemler!$D161)),1,0),IF(AND(Kalemler!$D161&gt;=(Tahmin!$C$4+0),Kalemler!$D161&lt;=(Tahmin!$C$4+6)),1,0))))</f>
        <v>0</v>
      </c>
      <c r="C161" s="0" t="n">
        <f aca="false">IF(OR(Kalemler!$A161="",Kalemler!$C161="",Kalemler!$D161=""),0,Kalemler!$C161*IF(Kalemler!$E161="Haftalık",IF(Kalemler!$D161&lt;=(Tahmin!$C$4+13),1,0),IF(Kalemler!$E161="Aylık",IF(OR(AND(DATE(YEAR((Tahmin!$C$4+7)),MONTH((Tahmin!$C$4+7)),MIN(DAY(Kalemler!$D161),DAY(EOMONTH((Tahmin!$C$4+7),0))))&gt;=(Tahmin!$C$4+7),DATE(YEAR((Tahmin!$C$4+7)),MONTH((Tahmin!$C$4+7)),MIN(DAY(Kalemler!$D161),DAY(EOMONTH((Tahmin!$C$4+7),0))))&lt;=(Tahmin!$C$4+13),DATE(YEAR((Tahmin!$C$4+7)),MONTH((Tahmin!$C$4+7)),MIN(DAY(Kalemler!$D161),DAY(EOMONTH((Tahmin!$C$4+7),0))))&gt;=Kalemler!$D161),AND(DATE(YEAR((Tahmin!$C$4+13)),MONTH((Tahmin!$C$4+13)),MIN(DAY(Kalemler!$D161),DAY(EOMONTH((Tahmin!$C$4+13),0))))&gt;=(Tahmin!$C$4+7),DATE(YEAR((Tahmin!$C$4+13)),MONTH((Tahmin!$C$4+13)),MIN(DAY(Kalemler!$D161),DAY(EOMONTH((Tahmin!$C$4+13),0))))&lt;=(Tahmin!$C$4+13),DATE(YEAR((Tahmin!$C$4+13)),MONTH((Tahmin!$C$4+13)),MIN(DAY(Kalemler!$D161),DAY(EOMONTH((Tahmin!$C$4+13),0))))&lt;&gt;DATE(YEAR((Tahmin!$C$4+7)),MONTH((Tahmin!$C$4+7)),MIN(DAY(Kalemler!$D161),DAY(EOMONTH((Tahmin!$C$4+7),0)))),DATE(YEAR((Tahmin!$C$4+13)),MONTH((Tahmin!$C$4+13)),MIN(DAY(Kalemler!$D161),DAY(EOMONTH((Tahmin!$C$4+13),0))))&gt;=Kalemler!$D161)),1,0),IF(AND(Kalemler!$D161&gt;=(Tahmin!$C$4+7),Kalemler!$D161&lt;=(Tahmin!$C$4+13)),1,0))))</f>
        <v>0</v>
      </c>
      <c r="D161" s="0" t="n">
        <f aca="false">IF(OR(Kalemler!$A161="",Kalemler!$C161="",Kalemler!$D161=""),0,Kalemler!$C161*IF(Kalemler!$E161="Haftalık",IF(Kalemler!$D161&lt;=(Tahmin!$C$4+20),1,0),IF(Kalemler!$E161="Aylık",IF(OR(AND(DATE(YEAR((Tahmin!$C$4+14)),MONTH((Tahmin!$C$4+14)),MIN(DAY(Kalemler!$D161),DAY(EOMONTH((Tahmin!$C$4+14),0))))&gt;=(Tahmin!$C$4+14),DATE(YEAR((Tahmin!$C$4+14)),MONTH((Tahmin!$C$4+14)),MIN(DAY(Kalemler!$D161),DAY(EOMONTH((Tahmin!$C$4+14),0))))&lt;=(Tahmin!$C$4+20),DATE(YEAR((Tahmin!$C$4+14)),MONTH((Tahmin!$C$4+14)),MIN(DAY(Kalemler!$D161),DAY(EOMONTH((Tahmin!$C$4+14),0))))&gt;=Kalemler!$D161),AND(DATE(YEAR((Tahmin!$C$4+20)),MONTH((Tahmin!$C$4+20)),MIN(DAY(Kalemler!$D161),DAY(EOMONTH((Tahmin!$C$4+20),0))))&gt;=(Tahmin!$C$4+14),DATE(YEAR((Tahmin!$C$4+20)),MONTH((Tahmin!$C$4+20)),MIN(DAY(Kalemler!$D161),DAY(EOMONTH((Tahmin!$C$4+20),0))))&lt;=(Tahmin!$C$4+20),DATE(YEAR((Tahmin!$C$4+20)),MONTH((Tahmin!$C$4+20)),MIN(DAY(Kalemler!$D161),DAY(EOMONTH((Tahmin!$C$4+20),0))))&lt;&gt;DATE(YEAR((Tahmin!$C$4+14)),MONTH((Tahmin!$C$4+14)),MIN(DAY(Kalemler!$D161),DAY(EOMONTH((Tahmin!$C$4+14),0)))),DATE(YEAR((Tahmin!$C$4+20)),MONTH((Tahmin!$C$4+20)),MIN(DAY(Kalemler!$D161),DAY(EOMONTH((Tahmin!$C$4+20),0))))&gt;=Kalemler!$D161)),1,0),IF(AND(Kalemler!$D161&gt;=(Tahmin!$C$4+14),Kalemler!$D161&lt;=(Tahmin!$C$4+20)),1,0))))</f>
        <v>0</v>
      </c>
      <c r="E161" s="0" t="n">
        <f aca="false">IF(OR(Kalemler!$A161="",Kalemler!$C161="",Kalemler!$D161=""),0,Kalemler!$C161*IF(Kalemler!$E161="Haftalık",IF(Kalemler!$D161&lt;=(Tahmin!$C$4+27),1,0),IF(Kalemler!$E161="Aylık",IF(OR(AND(DATE(YEAR((Tahmin!$C$4+21)),MONTH((Tahmin!$C$4+21)),MIN(DAY(Kalemler!$D161),DAY(EOMONTH((Tahmin!$C$4+21),0))))&gt;=(Tahmin!$C$4+21),DATE(YEAR((Tahmin!$C$4+21)),MONTH((Tahmin!$C$4+21)),MIN(DAY(Kalemler!$D161),DAY(EOMONTH((Tahmin!$C$4+21),0))))&lt;=(Tahmin!$C$4+27),DATE(YEAR((Tahmin!$C$4+21)),MONTH((Tahmin!$C$4+21)),MIN(DAY(Kalemler!$D161),DAY(EOMONTH((Tahmin!$C$4+21),0))))&gt;=Kalemler!$D161),AND(DATE(YEAR((Tahmin!$C$4+27)),MONTH((Tahmin!$C$4+27)),MIN(DAY(Kalemler!$D161),DAY(EOMONTH((Tahmin!$C$4+27),0))))&gt;=(Tahmin!$C$4+21),DATE(YEAR((Tahmin!$C$4+27)),MONTH((Tahmin!$C$4+27)),MIN(DAY(Kalemler!$D161),DAY(EOMONTH((Tahmin!$C$4+27),0))))&lt;=(Tahmin!$C$4+27),DATE(YEAR((Tahmin!$C$4+27)),MONTH((Tahmin!$C$4+27)),MIN(DAY(Kalemler!$D161),DAY(EOMONTH((Tahmin!$C$4+27),0))))&lt;&gt;DATE(YEAR((Tahmin!$C$4+21)),MONTH((Tahmin!$C$4+21)),MIN(DAY(Kalemler!$D161),DAY(EOMONTH((Tahmin!$C$4+21),0)))),DATE(YEAR((Tahmin!$C$4+27)),MONTH((Tahmin!$C$4+27)),MIN(DAY(Kalemler!$D161),DAY(EOMONTH((Tahmin!$C$4+27),0))))&gt;=Kalemler!$D161)),1,0),IF(AND(Kalemler!$D161&gt;=(Tahmin!$C$4+21),Kalemler!$D161&lt;=(Tahmin!$C$4+27)),1,0))))</f>
        <v>0</v>
      </c>
      <c r="F161" s="0" t="n">
        <f aca="false">IF(OR(Kalemler!$A161="",Kalemler!$C161="",Kalemler!$D161=""),0,Kalemler!$C161*IF(Kalemler!$E161="Haftalık",IF(Kalemler!$D161&lt;=(Tahmin!$C$4+34),1,0),IF(Kalemler!$E161="Aylık",IF(OR(AND(DATE(YEAR((Tahmin!$C$4+28)),MONTH((Tahmin!$C$4+28)),MIN(DAY(Kalemler!$D161),DAY(EOMONTH((Tahmin!$C$4+28),0))))&gt;=(Tahmin!$C$4+28),DATE(YEAR((Tahmin!$C$4+28)),MONTH((Tahmin!$C$4+28)),MIN(DAY(Kalemler!$D161),DAY(EOMONTH((Tahmin!$C$4+28),0))))&lt;=(Tahmin!$C$4+34),DATE(YEAR((Tahmin!$C$4+28)),MONTH((Tahmin!$C$4+28)),MIN(DAY(Kalemler!$D161),DAY(EOMONTH((Tahmin!$C$4+28),0))))&gt;=Kalemler!$D161),AND(DATE(YEAR((Tahmin!$C$4+34)),MONTH((Tahmin!$C$4+34)),MIN(DAY(Kalemler!$D161),DAY(EOMONTH((Tahmin!$C$4+34),0))))&gt;=(Tahmin!$C$4+28),DATE(YEAR((Tahmin!$C$4+34)),MONTH((Tahmin!$C$4+34)),MIN(DAY(Kalemler!$D161),DAY(EOMONTH((Tahmin!$C$4+34),0))))&lt;=(Tahmin!$C$4+34),DATE(YEAR((Tahmin!$C$4+34)),MONTH((Tahmin!$C$4+34)),MIN(DAY(Kalemler!$D161),DAY(EOMONTH((Tahmin!$C$4+34),0))))&lt;&gt;DATE(YEAR((Tahmin!$C$4+28)),MONTH((Tahmin!$C$4+28)),MIN(DAY(Kalemler!$D161),DAY(EOMONTH((Tahmin!$C$4+28),0)))),DATE(YEAR((Tahmin!$C$4+34)),MONTH((Tahmin!$C$4+34)),MIN(DAY(Kalemler!$D161),DAY(EOMONTH((Tahmin!$C$4+34),0))))&gt;=Kalemler!$D161)),1,0),IF(AND(Kalemler!$D161&gt;=(Tahmin!$C$4+28),Kalemler!$D161&lt;=(Tahmin!$C$4+34)),1,0))))</f>
        <v>0</v>
      </c>
      <c r="G161" s="0" t="n">
        <f aca="false">IF(OR(Kalemler!$A161="",Kalemler!$C161="",Kalemler!$D161=""),0,Kalemler!$C161*IF(Kalemler!$E161="Haftalık",IF(Kalemler!$D161&lt;=(Tahmin!$C$4+41),1,0),IF(Kalemler!$E161="Aylık",IF(OR(AND(DATE(YEAR((Tahmin!$C$4+35)),MONTH((Tahmin!$C$4+35)),MIN(DAY(Kalemler!$D161),DAY(EOMONTH((Tahmin!$C$4+35),0))))&gt;=(Tahmin!$C$4+35),DATE(YEAR((Tahmin!$C$4+35)),MONTH((Tahmin!$C$4+35)),MIN(DAY(Kalemler!$D161),DAY(EOMONTH((Tahmin!$C$4+35),0))))&lt;=(Tahmin!$C$4+41),DATE(YEAR((Tahmin!$C$4+35)),MONTH((Tahmin!$C$4+35)),MIN(DAY(Kalemler!$D161),DAY(EOMONTH((Tahmin!$C$4+35),0))))&gt;=Kalemler!$D161),AND(DATE(YEAR((Tahmin!$C$4+41)),MONTH((Tahmin!$C$4+41)),MIN(DAY(Kalemler!$D161),DAY(EOMONTH((Tahmin!$C$4+41),0))))&gt;=(Tahmin!$C$4+35),DATE(YEAR((Tahmin!$C$4+41)),MONTH((Tahmin!$C$4+41)),MIN(DAY(Kalemler!$D161),DAY(EOMONTH((Tahmin!$C$4+41),0))))&lt;=(Tahmin!$C$4+41),DATE(YEAR((Tahmin!$C$4+41)),MONTH((Tahmin!$C$4+41)),MIN(DAY(Kalemler!$D161),DAY(EOMONTH((Tahmin!$C$4+41),0))))&lt;&gt;DATE(YEAR((Tahmin!$C$4+35)),MONTH((Tahmin!$C$4+35)),MIN(DAY(Kalemler!$D161),DAY(EOMONTH((Tahmin!$C$4+35),0)))),DATE(YEAR((Tahmin!$C$4+41)),MONTH((Tahmin!$C$4+41)),MIN(DAY(Kalemler!$D161),DAY(EOMONTH((Tahmin!$C$4+41),0))))&gt;=Kalemler!$D161)),1,0),IF(AND(Kalemler!$D161&gt;=(Tahmin!$C$4+35),Kalemler!$D161&lt;=(Tahmin!$C$4+41)),1,0))))</f>
        <v>0</v>
      </c>
      <c r="H161" s="0" t="n">
        <f aca="false">IF(OR(Kalemler!$A161="",Kalemler!$C161="",Kalemler!$D161=""),0,Kalemler!$C161*IF(Kalemler!$E161="Haftalık",IF(Kalemler!$D161&lt;=(Tahmin!$C$4+48),1,0),IF(Kalemler!$E161="Aylık",IF(OR(AND(DATE(YEAR((Tahmin!$C$4+42)),MONTH((Tahmin!$C$4+42)),MIN(DAY(Kalemler!$D161),DAY(EOMONTH((Tahmin!$C$4+42),0))))&gt;=(Tahmin!$C$4+42),DATE(YEAR((Tahmin!$C$4+42)),MONTH((Tahmin!$C$4+42)),MIN(DAY(Kalemler!$D161),DAY(EOMONTH((Tahmin!$C$4+42),0))))&lt;=(Tahmin!$C$4+48),DATE(YEAR((Tahmin!$C$4+42)),MONTH((Tahmin!$C$4+42)),MIN(DAY(Kalemler!$D161),DAY(EOMONTH((Tahmin!$C$4+42),0))))&gt;=Kalemler!$D161),AND(DATE(YEAR((Tahmin!$C$4+48)),MONTH((Tahmin!$C$4+48)),MIN(DAY(Kalemler!$D161),DAY(EOMONTH((Tahmin!$C$4+48),0))))&gt;=(Tahmin!$C$4+42),DATE(YEAR((Tahmin!$C$4+48)),MONTH((Tahmin!$C$4+48)),MIN(DAY(Kalemler!$D161),DAY(EOMONTH((Tahmin!$C$4+48),0))))&lt;=(Tahmin!$C$4+48),DATE(YEAR((Tahmin!$C$4+48)),MONTH((Tahmin!$C$4+48)),MIN(DAY(Kalemler!$D161),DAY(EOMONTH((Tahmin!$C$4+48),0))))&lt;&gt;DATE(YEAR((Tahmin!$C$4+42)),MONTH((Tahmin!$C$4+42)),MIN(DAY(Kalemler!$D161),DAY(EOMONTH((Tahmin!$C$4+42),0)))),DATE(YEAR((Tahmin!$C$4+48)),MONTH((Tahmin!$C$4+48)),MIN(DAY(Kalemler!$D161),DAY(EOMONTH((Tahmin!$C$4+48),0))))&gt;=Kalemler!$D161)),1,0),IF(AND(Kalemler!$D161&gt;=(Tahmin!$C$4+42),Kalemler!$D161&lt;=(Tahmin!$C$4+48)),1,0))))</f>
        <v>0</v>
      </c>
      <c r="I161" s="0" t="n">
        <f aca="false">IF(OR(Kalemler!$A161="",Kalemler!$C161="",Kalemler!$D161=""),0,Kalemler!$C161*IF(Kalemler!$E161="Haftalık",IF(Kalemler!$D161&lt;=(Tahmin!$C$4+55),1,0),IF(Kalemler!$E161="Aylık",IF(OR(AND(DATE(YEAR((Tahmin!$C$4+49)),MONTH((Tahmin!$C$4+49)),MIN(DAY(Kalemler!$D161),DAY(EOMONTH((Tahmin!$C$4+49),0))))&gt;=(Tahmin!$C$4+49),DATE(YEAR((Tahmin!$C$4+49)),MONTH((Tahmin!$C$4+49)),MIN(DAY(Kalemler!$D161),DAY(EOMONTH((Tahmin!$C$4+49),0))))&lt;=(Tahmin!$C$4+55),DATE(YEAR((Tahmin!$C$4+49)),MONTH((Tahmin!$C$4+49)),MIN(DAY(Kalemler!$D161),DAY(EOMONTH((Tahmin!$C$4+49),0))))&gt;=Kalemler!$D161),AND(DATE(YEAR((Tahmin!$C$4+55)),MONTH((Tahmin!$C$4+55)),MIN(DAY(Kalemler!$D161),DAY(EOMONTH((Tahmin!$C$4+55),0))))&gt;=(Tahmin!$C$4+49),DATE(YEAR((Tahmin!$C$4+55)),MONTH((Tahmin!$C$4+55)),MIN(DAY(Kalemler!$D161),DAY(EOMONTH((Tahmin!$C$4+55),0))))&lt;=(Tahmin!$C$4+55),DATE(YEAR((Tahmin!$C$4+55)),MONTH((Tahmin!$C$4+55)),MIN(DAY(Kalemler!$D161),DAY(EOMONTH((Tahmin!$C$4+55),0))))&lt;&gt;DATE(YEAR((Tahmin!$C$4+49)),MONTH((Tahmin!$C$4+49)),MIN(DAY(Kalemler!$D161),DAY(EOMONTH((Tahmin!$C$4+49),0)))),DATE(YEAR((Tahmin!$C$4+55)),MONTH((Tahmin!$C$4+55)),MIN(DAY(Kalemler!$D161),DAY(EOMONTH((Tahmin!$C$4+55),0))))&gt;=Kalemler!$D161)),1,0),IF(AND(Kalemler!$D161&gt;=(Tahmin!$C$4+49),Kalemler!$D161&lt;=(Tahmin!$C$4+55)),1,0))))</f>
        <v>0</v>
      </c>
      <c r="J161" s="0" t="n">
        <f aca="false">IF(OR(Kalemler!$A161="",Kalemler!$C161="",Kalemler!$D161=""),0,Kalemler!$C161*IF(Kalemler!$E161="Haftalık",IF(Kalemler!$D161&lt;=(Tahmin!$C$4+62),1,0),IF(Kalemler!$E161="Aylık",IF(OR(AND(DATE(YEAR((Tahmin!$C$4+56)),MONTH((Tahmin!$C$4+56)),MIN(DAY(Kalemler!$D161),DAY(EOMONTH((Tahmin!$C$4+56),0))))&gt;=(Tahmin!$C$4+56),DATE(YEAR((Tahmin!$C$4+56)),MONTH((Tahmin!$C$4+56)),MIN(DAY(Kalemler!$D161),DAY(EOMONTH((Tahmin!$C$4+56),0))))&lt;=(Tahmin!$C$4+62),DATE(YEAR((Tahmin!$C$4+56)),MONTH((Tahmin!$C$4+56)),MIN(DAY(Kalemler!$D161),DAY(EOMONTH((Tahmin!$C$4+56),0))))&gt;=Kalemler!$D161),AND(DATE(YEAR((Tahmin!$C$4+62)),MONTH((Tahmin!$C$4+62)),MIN(DAY(Kalemler!$D161),DAY(EOMONTH((Tahmin!$C$4+62),0))))&gt;=(Tahmin!$C$4+56),DATE(YEAR((Tahmin!$C$4+62)),MONTH((Tahmin!$C$4+62)),MIN(DAY(Kalemler!$D161),DAY(EOMONTH((Tahmin!$C$4+62),0))))&lt;=(Tahmin!$C$4+62),DATE(YEAR((Tahmin!$C$4+62)),MONTH((Tahmin!$C$4+62)),MIN(DAY(Kalemler!$D161),DAY(EOMONTH((Tahmin!$C$4+62),0))))&lt;&gt;DATE(YEAR((Tahmin!$C$4+56)),MONTH((Tahmin!$C$4+56)),MIN(DAY(Kalemler!$D161),DAY(EOMONTH((Tahmin!$C$4+56),0)))),DATE(YEAR((Tahmin!$C$4+62)),MONTH((Tahmin!$C$4+62)),MIN(DAY(Kalemler!$D161),DAY(EOMONTH((Tahmin!$C$4+62),0))))&gt;=Kalemler!$D161)),1,0),IF(AND(Kalemler!$D161&gt;=(Tahmin!$C$4+56),Kalemler!$D161&lt;=(Tahmin!$C$4+62)),1,0))))</f>
        <v>0</v>
      </c>
      <c r="K161" s="0" t="n">
        <f aca="false">IF(OR(Kalemler!$A161="",Kalemler!$C161="",Kalemler!$D161=""),0,Kalemler!$C161*IF(Kalemler!$E161="Haftalık",IF(Kalemler!$D161&lt;=(Tahmin!$C$4+69),1,0),IF(Kalemler!$E161="Aylık",IF(OR(AND(DATE(YEAR((Tahmin!$C$4+63)),MONTH((Tahmin!$C$4+63)),MIN(DAY(Kalemler!$D161),DAY(EOMONTH((Tahmin!$C$4+63),0))))&gt;=(Tahmin!$C$4+63),DATE(YEAR((Tahmin!$C$4+63)),MONTH((Tahmin!$C$4+63)),MIN(DAY(Kalemler!$D161),DAY(EOMONTH((Tahmin!$C$4+63),0))))&lt;=(Tahmin!$C$4+69),DATE(YEAR((Tahmin!$C$4+63)),MONTH((Tahmin!$C$4+63)),MIN(DAY(Kalemler!$D161),DAY(EOMONTH((Tahmin!$C$4+63),0))))&gt;=Kalemler!$D161),AND(DATE(YEAR((Tahmin!$C$4+69)),MONTH((Tahmin!$C$4+69)),MIN(DAY(Kalemler!$D161),DAY(EOMONTH((Tahmin!$C$4+69),0))))&gt;=(Tahmin!$C$4+63),DATE(YEAR((Tahmin!$C$4+69)),MONTH((Tahmin!$C$4+69)),MIN(DAY(Kalemler!$D161),DAY(EOMONTH((Tahmin!$C$4+69),0))))&lt;=(Tahmin!$C$4+69),DATE(YEAR((Tahmin!$C$4+69)),MONTH((Tahmin!$C$4+69)),MIN(DAY(Kalemler!$D161),DAY(EOMONTH((Tahmin!$C$4+69),0))))&lt;&gt;DATE(YEAR((Tahmin!$C$4+63)),MONTH((Tahmin!$C$4+63)),MIN(DAY(Kalemler!$D161),DAY(EOMONTH((Tahmin!$C$4+63),0)))),DATE(YEAR((Tahmin!$C$4+69)),MONTH((Tahmin!$C$4+69)),MIN(DAY(Kalemler!$D161),DAY(EOMONTH((Tahmin!$C$4+69),0))))&gt;=Kalemler!$D161)),1,0),IF(AND(Kalemler!$D161&gt;=(Tahmin!$C$4+63),Kalemler!$D161&lt;=(Tahmin!$C$4+69)),1,0))))</f>
        <v>0</v>
      </c>
      <c r="L161" s="0" t="n">
        <f aca="false">IF(OR(Kalemler!$A161="",Kalemler!$C161="",Kalemler!$D161=""),0,Kalemler!$C161*IF(Kalemler!$E161="Haftalık",IF(Kalemler!$D161&lt;=(Tahmin!$C$4+76),1,0),IF(Kalemler!$E161="Aylık",IF(OR(AND(DATE(YEAR((Tahmin!$C$4+70)),MONTH((Tahmin!$C$4+70)),MIN(DAY(Kalemler!$D161),DAY(EOMONTH((Tahmin!$C$4+70),0))))&gt;=(Tahmin!$C$4+70),DATE(YEAR((Tahmin!$C$4+70)),MONTH((Tahmin!$C$4+70)),MIN(DAY(Kalemler!$D161),DAY(EOMONTH((Tahmin!$C$4+70),0))))&lt;=(Tahmin!$C$4+76),DATE(YEAR((Tahmin!$C$4+70)),MONTH((Tahmin!$C$4+70)),MIN(DAY(Kalemler!$D161),DAY(EOMONTH((Tahmin!$C$4+70),0))))&gt;=Kalemler!$D161),AND(DATE(YEAR((Tahmin!$C$4+76)),MONTH((Tahmin!$C$4+76)),MIN(DAY(Kalemler!$D161),DAY(EOMONTH((Tahmin!$C$4+76),0))))&gt;=(Tahmin!$C$4+70),DATE(YEAR((Tahmin!$C$4+76)),MONTH((Tahmin!$C$4+76)),MIN(DAY(Kalemler!$D161),DAY(EOMONTH((Tahmin!$C$4+76),0))))&lt;=(Tahmin!$C$4+76),DATE(YEAR((Tahmin!$C$4+76)),MONTH((Tahmin!$C$4+76)),MIN(DAY(Kalemler!$D161),DAY(EOMONTH((Tahmin!$C$4+76),0))))&lt;&gt;DATE(YEAR((Tahmin!$C$4+70)),MONTH((Tahmin!$C$4+70)),MIN(DAY(Kalemler!$D161),DAY(EOMONTH((Tahmin!$C$4+70),0)))),DATE(YEAR((Tahmin!$C$4+76)),MONTH((Tahmin!$C$4+76)),MIN(DAY(Kalemler!$D161),DAY(EOMONTH((Tahmin!$C$4+76),0))))&gt;=Kalemler!$D161)),1,0),IF(AND(Kalemler!$D161&gt;=(Tahmin!$C$4+70),Kalemler!$D161&lt;=(Tahmin!$C$4+76)),1,0))))</f>
        <v>0</v>
      </c>
      <c r="M161" s="0" t="n">
        <f aca="false">IF(OR(Kalemler!$A161="",Kalemler!$C161="",Kalemler!$D161=""),0,Kalemler!$C161*IF(Kalemler!$E161="Haftalık",IF(Kalemler!$D161&lt;=(Tahmin!$C$4+83),1,0),IF(Kalemler!$E161="Aylık",IF(OR(AND(DATE(YEAR((Tahmin!$C$4+77)),MONTH((Tahmin!$C$4+77)),MIN(DAY(Kalemler!$D161),DAY(EOMONTH((Tahmin!$C$4+77),0))))&gt;=(Tahmin!$C$4+77),DATE(YEAR((Tahmin!$C$4+77)),MONTH((Tahmin!$C$4+77)),MIN(DAY(Kalemler!$D161),DAY(EOMONTH((Tahmin!$C$4+77),0))))&lt;=(Tahmin!$C$4+83),DATE(YEAR((Tahmin!$C$4+77)),MONTH((Tahmin!$C$4+77)),MIN(DAY(Kalemler!$D161),DAY(EOMONTH((Tahmin!$C$4+77),0))))&gt;=Kalemler!$D161),AND(DATE(YEAR((Tahmin!$C$4+83)),MONTH((Tahmin!$C$4+83)),MIN(DAY(Kalemler!$D161),DAY(EOMONTH((Tahmin!$C$4+83),0))))&gt;=(Tahmin!$C$4+77),DATE(YEAR((Tahmin!$C$4+83)),MONTH((Tahmin!$C$4+83)),MIN(DAY(Kalemler!$D161),DAY(EOMONTH((Tahmin!$C$4+83),0))))&lt;=(Tahmin!$C$4+83),DATE(YEAR((Tahmin!$C$4+83)),MONTH((Tahmin!$C$4+83)),MIN(DAY(Kalemler!$D161),DAY(EOMONTH((Tahmin!$C$4+83),0))))&lt;&gt;DATE(YEAR((Tahmin!$C$4+77)),MONTH((Tahmin!$C$4+77)),MIN(DAY(Kalemler!$D161),DAY(EOMONTH((Tahmin!$C$4+77),0)))),DATE(YEAR((Tahmin!$C$4+83)),MONTH((Tahmin!$C$4+83)),MIN(DAY(Kalemler!$D161),DAY(EOMONTH((Tahmin!$C$4+83),0))))&gt;=Kalemler!$D161)),1,0),IF(AND(Kalemler!$D161&gt;=(Tahmin!$C$4+77),Kalemler!$D161&lt;=(Tahmin!$C$4+83)),1,0))))</f>
        <v>0</v>
      </c>
      <c r="N161" s="0" t="n">
        <f aca="false">IF(OR(Kalemler!$A161="",Kalemler!$C161="",Kalemler!$D161=""),0,Kalemler!$C161*IF(Kalemler!$E161="Haftalık",IF(Kalemler!$D161&lt;=(Tahmin!$C$4+90),1,0),IF(Kalemler!$E161="Aylık",IF(OR(AND(DATE(YEAR((Tahmin!$C$4+84)),MONTH((Tahmin!$C$4+84)),MIN(DAY(Kalemler!$D161),DAY(EOMONTH((Tahmin!$C$4+84),0))))&gt;=(Tahmin!$C$4+84),DATE(YEAR((Tahmin!$C$4+84)),MONTH((Tahmin!$C$4+84)),MIN(DAY(Kalemler!$D161),DAY(EOMONTH((Tahmin!$C$4+84),0))))&lt;=(Tahmin!$C$4+90),DATE(YEAR((Tahmin!$C$4+84)),MONTH((Tahmin!$C$4+84)),MIN(DAY(Kalemler!$D161),DAY(EOMONTH((Tahmin!$C$4+84),0))))&gt;=Kalemler!$D161),AND(DATE(YEAR((Tahmin!$C$4+90)),MONTH((Tahmin!$C$4+90)),MIN(DAY(Kalemler!$D161),DAY(EOMONTH((Tahmin!$C$4+90),0))))&gt;=(Tahmin!$C$4+84),DATE(YEAR((Tahmin!$C$4+90)),MONTH((Tahmin!$C$4+90)),MIN(DAY(Kalemler!$D161),DAY(EOMONTH((Tahmin!$C$4+90),0))))&lt;=(Tahmin!$C$4+90),DATE(YEAR((Tahmin!$C$4+90)),MONTH((Tahmin!$C$4+90)),MIN(DAY(Kalemler!$D161),DAY(EOMONTH((Tahmin!$C$4+90),0))))&lt;&gt;DATE(YEAR((Tahmin!$C$4+84)),MONTH((Tahmin!$C$4+84)),MIN(DAY(Kalemler!$D161),DAY(EOMONTH((Tahmin!$C$4+84),0)))),DATE(YEAR((Tahmin!$C$4+90)),MONTH((Tahmin!$C$4+90)),MIN(DAY(Kalemler!$D161),DAY(EOMONTH((Tahmin!$C$4+90),0))))&gt;=Kalemler!$D161)),1,0),IF(AND(Kalemler!$D161&gt;=(Tahmin!$C$4+84),Kalemler!$D161&lt;=(Tahmin!$C$4+90)),1,0))))</f>
        <v>0</v>
      </c>
    </row>
    <row r="162" customFormat="false" ht="15" hidden="false" customHeight="false" outlineLevel="0" collapsed="false">
      <c r="A162" s="0" t="str">
        <f aca="false">IF(Kalemler!A162="","",Kalemler!A162)</f>
        <v/>
      </c>
      <c r="B162" s="0" t="n">
        <f aca="false">IF(OR(Kalemler!$A162="",Kalemler!$C162="",Kalemler!$D162=""),0,Kalemler!$C162*IF(Kalemler!$E162="Haftalık",IF(Kalemler!$D162&lt;=(Tahmin!$C$4+6),1,0),IF(Kalemler!$E162="Aylık",IF(OR(AND(DATE(YEAR((Tahmin!$C$4+0)),MONTH((Tahmin!$C$4+0)),MIN(DAY(Kalemler!$D162),DAY(EOMONTH((Tahmin!$C$4+0),0))))&gt;=(Tahmin!$C$4+0),DATE(YEAR((Tahmin!$C$4+0)),MONTH((Tahmin!$C$4+0)),MIN(DAY(Kalemler!$D162),DAY(EOMONTH((Tahmin!$C$4+0),0))))&lt;=(Tahmin!$C$4+6),DATE(YEAR((Tahmin!$C$4+0)),MONTH((Tahmin!$C$4+0)),MIN(DAY(Kalemler!$D162),DAY(EOMONTH((Tahmin!$C$4+0),0))))&gt;=Kalemler!$D162),AND(DATE(YEAR((Tahmin!$C$4+6)),MONTH((Tahmin!$C$4+6)),MIN(DAY(Kalemler!$D162),DAY(EOMONTH((Tahmin!$C$4+6),0))))&gt;=(Tahmin!$C$4+0),DATE(YEAR((Tahmin!$C$4+6)),MONTH((Tahmin!$C$4+6)),MIN(DAY(Kalemler!$D162),DAY(EOMONTH((Tahmin!$C$4+6),0))))&lt;=(Tahmin!$C$4+6),DATE(YEAR((Tahmin!$C$4+6)),MONTH((Tahmin!$C$4+6)),MIN(DAY(Kalemler!$D162),DAY(EOMONTH((Tahmin!$C$4+6),0))))&lt;&gt;DATE(YEAR((Tahmin!$C$4+0)),MONTH((Tahmin!$C$4+0)),MIN(DAY(Kalemler!$D162),DAY(EOMONTH((Tahmin!$C$4+0),0)))),DATE(YEAR((Tahmin!$C$4+6)),MONTH((Tahmin!$C$4+6)),MIN(DAY(Kalemler!$D162),DAY(EOMONTH((Tahmin!$C$4+6),0))))&gt;=Kalemler!$D162)),1,0),IF(AND(Kalemler!$D162&gt;=(Tahmin!$C$4+0),Kalemler!$D162&lt;=(Tahmin!$C$4+6)),1,0))))</f>
        <v>0</v>
      </c>
      <c r="C162" s="0" t="n">
        <f aca="false">IF(OR(Kalemler!$A162="",Kalemler!$C162="",Kalemler!$D162=""),0,Kalemler!$C162*IF(Kalemler!$E162="Haftalık",IF(Kalemler!$D162&lt;=(Tahmin!$C$4+13),1,0),IF(Kalemler!$E162="Aylık",IF(OR(AND(DATE(YEAR((Tahmin!$C$4+7)),MONTH((Tahmin!$C$4+7)),MIN(DAY(Kalemler!$D162),DAY(EOMONTH((Tahmin!$C$4+7),0))))&gt;=(Tahmin!$C$4+7),DATE(YEAR((Tahmin!$C$4+7)),MONTH((Tahmin!$C$4+7)),MIN(DAY(Kalemler!$D162),DAY(EOMONTH((Tahmin!$C$4+7),0))))&lt;=(Tahmin!$C$4+13),DATE(YEAR((Tahmin!$C$4+7)),MONTH((Tahmin!$C$4+7)),MIN(DAY(Kalemler!$D162),DAY(EOMONTH((Tahmin!$C$4+7),0))))&gt;=Kalemler!$D162),AND(DATE(YEAR((Tahmin!$C$4+13)),MONTH((Tahmin!$C$4+13)),MIN(DAY(Kalemler!$D162),DAY(EOMONTH((Tahmin!$C$4+13),0))))&gt;=(Tahmin!$C$4+7),DATE(YEAR((Tahmin!$C$4+13)),MONTH((Tahmin!$C$4+13)),MIN(DAY(Kalemler!$D162),DAY(EOMONTH((Tahmin!$C$4+13),0))))&lt;=(Tahmin!$C$4+13),DATE(YEAR((Tahmin!$C$4+13)),MONTH((Tahmin!$C$4+13)),MIN(DAY(Kalemler!$D162),DAY(EOMONTH((Tahmin!$C$4+13),0))))&lt;&gt;DATE(YEAR((Tahmin!$C$4+7)),MONTH((Tahmin!$C$4+7)),MIN(DAY(Kalemler!$D162),DAY(EOMONTH((Tahmin!$C$4+7),0)))),DATE(YEAR((Tahmin!$C$4+13)),MONTH((Tahmin!$C$4+13)),MIN(DAY(Kalemler!$D162),DAY(EOMONTH((Tahmin!$C$4+13),0))))&gt;=Kalemler!$D162)),1,0),IF(AND(Kalemler!$D162&gt;=(Tahmin!$C$4+7),Kalemler!$D162&lt;=(Tahmin!$C$4+13)),1,0))))</f>
        <v>0</v>
      </c>
      <c r="D162" s="0" t="n">
        <f aca="false">IF(OR(Kalemler!$A162="",Kalemler!$C162="",Kalemler!$D162=""),0,Kalemler!$C162*IF(Kalemler!$E162="Haftalık",IF(Kalemler!$D162&lt;=(Tahmin!$C$4+20),1,0),IF(Kalemler!$E162="Aylık",IF(OR(AND(DATE(YEAR((Tahmin!$C$4+14)),MONTH((Tahmin!$C$4+14)),MIN(DAY(Kalemler!$D162),DAY(EOMONTH((Tahmin!$C$4+14),0))))&gt;=(Tahmin!$C$4+14),DATE(YEAR((Tahmin!$C$4+14)),MONTH((Tahmin!$C$4+14)),MIN(DAY(Kalemler!$D162),DAY(EOMONTH((Tahmin!$C$4+14),0))))&lt;=(Tahmin!$C$4+20),DATE(YEAR((Tahmin!$C$4+14)),MONTH((Tahmin!$C$4+14)),MIN(DAY(Kalemler!$D162),DAY(EOMONTH((Tahmin!$C$4+14),0))))&gt;=Kalemler!$D162),AND(DATE(YEAR((Tahmin!$C$4+20)),MONTH((Tahmin!$C$4+20)),MIN(DAY(Kalemler!$D162),DAY(EOMONTH((Tahmin!$C$4+20),0))))&gt;=(Tahmin!$C$4+14),DATE(YEAR((Tahmin!$C$4+20)),MONTH((Tahmin!$C$4+20)),MIN(DAY(Kalemler!$D162),DAY(EOMONTH((Tahmin!$C$4+20),0))))&lt;=(Tahmin!$C$4+20),DATE(YEAR((Tahmin!$C$4+20)),MONTH((Tahmin!$C$4+20)),MIN(DAY(Kalemler!$D162),DAY(EOMONTH((Tahmin!$C$4+20),0))))&lt;&gt;DATE(YEAR((Tahmin!$C$4+14)),MONTH((Tahmin!$C$4+14)),MIN(DAY(Kalemler!$D162),DAY(EOMONTH((Tahmin!$C$4+14),0)))),DATE(YEAR((Tahmin!$C$4+20)),MONTH((Tahmin!$C$4+20)),MIN(DAY(Kalemler!$D162),DAY(EOMONTH((Tahmin!$C$4+20),0))))&gt;=Kalemler!$D162)),1,0),IF(AND(Kalemler!$D162&gt;=(Tahmin!$C$4+14),Kalemler!$D162&lt;=(Tahmin!$C$4+20)),1,0))))</f>
        <v>0</v>
      </c>
      <c r="E162" s="0" t="n">
        <f aca="false">IF(OR(Kalemler!$A162="",Kalemler!$C162="",Kalemler!$D162=""),0,Kalemler!$C162*IF(Kalemler!$E162="Haftalık",IF(Kalemler!$D162&lt;=(Tahmin!$C$4+27),1,0),IF(Kalemler!$E162="Aylık",IF(OR(AND(DATE(YEAR((Tahmin!$C$4+21)),MONTH((Tahmin!$C$4+21)),MIN(DAY(Kalemler!$D162),DAY(EOMONTH((Tahmin!$C$4+21),0))))&gt;=(Tahmin!$C$4+21),DATE(YEAR((Tahmin!$C$4+21)),MONTH((Tahmin!$C$4+21)),MIN(DAY(Kalemler!$D162),DAY(EOMONTH((Tahmin!$C$4+21),0))))&lt;=(Tahmin!$C$4+27),DATE(YEAR((Tahmin!$C$4+21)),MONTH((Tahmin!$C$4+21)),MIN(DAY(Kalemler!$D162),DAY(EOMONTH((Tahmin!$C$4+21),0))))&gt;=Kalemler!$D162),AND(DATE(YEAR((Tahmin!$C$4+27)),MONTH((Tahmin!$C$4+27)),MIN(DAY(Kalemler!$D162),DAY(EOMONTH((Tahmin!$C$4+27),0))))&gt;=(Tahmin!$C$4+21),DATE(YEAR((Tahmin!$C$4+27)),MONTH((Tahmin!$C$4+27)),MIN(DAY(Kalemler!$D162),DAY(EOMONTH((Tahmin!$C$4+27),0))))&lt;=(Tahmin!$C$4+27),DATE(YEAR((Tahmin!$C$4+27)),MONTH((Tahmin!$C$4+27)),MIN(DAY(Kalemler!$D162),DAY(EOMONTH((Tahmin!$C$4+27),0))))&lt;&gt;DATE(YEAR((Tahmin!$C$4+21)),MONTH((Tahmin!$C$4+21)),MIN(DAY(Kalemler!$D162),DAY(EOMONTH((Tahmin!$C$4+21),0)))),DATE(YEAR((Tahmin!$C$4+27)),MONTH((Tahmin!$C$4+27)),MIN(DAY(Kalemler!$D162),DAY(EOMONTH((Tahmin!$C$4+27),0))))&gt;=Kalemler!$D162)),1,0),IF(AND(Kalemler!$D162&gt;=(Tahmin!$C$4+21),Kalemler!$D162&lt;=(Tahmin!$C$4+27)),1,0))))</f>
        <v>0</v>
      </c>
      <c r="F162" s="0" t="n">
        <f aca="false">IF(OR(Kalemler!$A162="",Kalemler!$C162="",Kalemler!$D162=""),0,Kalemler!$C162*IF(Kalemler!$E162="Haftalık",IF(Kalemler!$D162&lt;=(Tahmin!$C$4+34),1,0),IF(Kalemler!$E162="Aylık",IF(OR(AND(DATE(YEAR((Tahmin!$C$4+28)),MONTH((Tahmin!$C$4+28)),MIN(DAY(Kalemler!$D162),DAY(EOMONTH((Tahmin!$C$4+28),0))))&gt;=(Tahmin!$C$4+28),DATE(YEAR((Tahmin!$C$4+28)),MONTH((Tahmin!$C$4+28)),MIN(DAY(Kalemler!$D162),DAY(EOMONTH((Tahmin!$C$4+28),0))))&lt;=(Tahmin!$C$4+34),DATE(YEAR((Tahmin!$C$4+28)),MONTH((Tahmin!$C$4+28)),MIN(DAY(Kalemler!$D162),DAY(EOMONTH((Tahmin!$C$4+28),0))))&gt;=Kalemler!$D162),AND(DATE(YEAR((Tahmin!$C$4+34)),MONTH((Tahmin!$C$4+34)),MIN(DAY(Kalemler!$D162),DAY(EOMONTH((Tahmin!$C$4+34),0))))&gt;=(Tahmin!$C$4+28),DATE(YEAR((Tahmin!$C$4+34)),MONTH((Tahmin!$C$4+34)),MIN(DAY(Kalemler!$D162),DAY(EOMONTH((Tahmin!$C$4+34),0))))&lt;=(Tahmin!$C$4+34),DATE(YEAR((Tahmin!$C$4+34)),MONTH((Tahmin!$C$4+34)),MIN(DAY(Kalemler!$D162),DAY(EOMONTH((Tahmin!$C$4+34),0))))&lt;&gt;DATE(YEAR((Tahmin!$C$4+28)),MONTH((Tahmin!$C$4+28)),MIN(DAY(Kalemler!$D162),DAY(EOMONTH((Tahmin!$C$4+28),0)))),DATE(YEAR((Tahmin!$C$4+34)),MONTH((Tahmin!$C$4+34)),MIN(DAY(Kalemler!$D162),DAY(EOMONTH((Tahmin!$C$4+34),0))))&gt;=Kalemler!$D162)),1,0),IF(AND(Kalemler!$D162&gt;=(Tahmin!$C$4+28),Kalemler!$D162&lt;=(Tahmin!$C$4+34)),1,0))))</f>
        <v>0</v>
      </c>
      <c r="G162" s="0" t="n">
        <f aca="false">IF(OR(Kalemler!$A162="",Kalemler!$C162="",Kalemler!$D162=""),0,Kalemler!$C162*IF(Kalemler!$E162="Haftalık",IF(Kalemler!$D162&lt;=(Tahmin!$C$4+41),1,0),IF(Kalemler!$E162="Aylık",IF(OR(AND(DATE(YEAR((Tahmin!$C$4+35)),MONTH((Tahmin!$C$4+35)),MIN(DAY(Kalemler!$D162),DAY(EOMONTH((Tahmin!$C$4+35),0))))&gt;=(Tahmin!$C$4+35),DATE(YEAR((Tahmin!$C$4+35)),MONTH((Tahmin!$C$4+35)),MIN(DAY(Kalemler!$D162),DAY(EOMONTH((Tahmin!$C$4+35),0))))&lt;=(Tahmin!$C$4+41),DATE(YEAR((Tahmin!$C$4+35)),MONTH((Tahmin!$C$4+35)),MIN(DAY(Kalemler!$D162),DAY(EOMONTH((Tahmin!$C$4+35),0))))&gt;=Kalemler!$D162),AND(DATE(YEAR((Tahmin!$C$4+41)),MONTH((Tahmin!$C$4+41)),MIN(DAY(Kalemler!$D162),DAY(EOMONTH((Tahmin!$C$4+41),0))))&gt;=(Tahmin!$C$4+35),DATE(YEAR((Tahmin!$C$4+41)),MONTH((Tahmin!$C$4+41)),MIN(DAY(Kalemler!$D162),DAY(EOMONTH((Tahmin!$C$4+41),0))))&lt;=(Tahmin!$C$4+41),DATE(YEAR((Tahmin!$C$4+41)),MONTH((Tahmin!$C$4+41)),MIN(DAY(Kalemler!$D162),DAY(EOMONTH((Tahmin!$C$4+41),0))))&lt;&gt;DATE(YEAR((Tahmin!$C$4+35)),MONTH((Tahmin!$C$4+35)),MIN(DAY(Kalemler!$D162),DAY(EOMONTH((Tahmin!$C$4+35),0)))),DATE(YEAR((Tahmin!$C$4+41)),MONTH((Tahmin!$C$4+41)),MIN(DAY(Kalemler!$D162),DAY(EOMONTH((Tahmin!$C$4+41),0))))&gt;=Kalemler!$D162)),1,0),IF(AND(Kalemler!$D162&gt;=(Tahmin!$C$4+35),Kalemler!$D162&lt;=(Tahmin!$C$4+41)),1,0))))</f>
        <v>0</v>
      </c>
      <c r="H162" s="0" t="n">
        <f aca="false">IF(OR(Kalemler!$A162="",Kalemler!$C162="",Kalemler!$D162=""),0,Kalemler!$C162*IF(Kalemler!$E162="Haftalık",IF(Kalemler!$D162&lt;=(Tahmin!$C$4+48),1,0),IF(Kalemler!$E162="Aylık",IF(OR(AND(DATE(YEAR((Tahmin!$C$4+42)),MONTH((Tahmin!$C$4+42)),MIN(DAY(Kalemler!$D162),DAY(EOMONTH((Tahmin!$C$4+42),0))))&gt;=(Tahmin!$C$4+42),DATE(YEAR((Tahmin!$C$4+42)),MONTH((Tahmin!$C$4+42)),MIN(DAY(Kalemler!$D162),DAY(EOMONTH((Tahmin!$C$4+42),0))))&lt;=(Tahmin!$C$4+48),DATE(YEAR((Tahmin!$C$4+42)),MONTH((Tahmin!$C$4+42)),MIN(DAY(Kalemler!$D162),DAY(EOMONTH((Tahmin!$C$4+42),0))))&gt;=Kalemler!$D162),AND(DATE(YEAR((Tahmin!$C$4+48)),MONTH((Tahmin!$C$4+48)),MIN(DAY(Kalemler!$D162),DAY(EOMONTH((Tahmin!$C$4+48),0))))&gt;=(Tahmin!$C$4+42),DATE(YEAR((Tahmin!$C$4+48)),MONTH((Tahmin!$C$4+48)),MIN(DAY(Kalemler!$D162),DAY(EOMONTH((Tahmin!$C$4+48),0))))&lt;=(Tahmin!$C$4+48),DATE(YEAR((Tahmin!$C$4+48)),MONTH((Tahmin!$C$4+48)),MIN(DAY(Kalemler!$D162),DAY(EOMONTH((Tahmin!$C$4+48),0))))&lt;&gt;DATE(YEAR((Tahmin!$C$4+42)),MONTH((Tahmin!$C$4+42)),MIN(DAY(Kalemler!$D162),DAY(EOMONTH((Tahmin!$C$4+42),0)))),DATE(YEAR((Tahmin!$C$4+48)),MONTH((Tahmin!$C$4+48)),MIN(DAY(Kalemler!$D162),DAY(EOMONTH((Tahmin!$C$4+48),0))))&gt;=Kalemler!$D162)),1,0),IF(AND(Kalemler!$D162&gt;=(Tahmin!$C$4+42),Kalemler!$D162&lt;=(Tahmin!$C$4+48)),1,0))))</f>
        <v>0</v>
      </c>
      <c r="I162" s="0" t="n">
        <f aca="false">IF(OR(Kalemler!$A162="",Kalemler!$C162="",Kalemler!$D162=""),0,Kalemler!$C162*IF(Kalemler!$E162="Haftalık",IF(Kalemler!$D162&lt;=(Tahmin!$C$4+55),1,0),IF(Kalemler!$E162="Aylık",IF(OR(AND(DATE(YEAR((Tahmin!$C$4+49)),MONTH((Tahmin!$C$4+49)),MIN(DAY(Kalemler!$D162),DAY(EOMONTH((Tahmin!$C$4+49),0))))&gt;=(Tahmin!$C$4+49),DATE(YEAR((Tahmin!$C$4+49)),MONTH((Tahmin!$C$4+49)),MIN(DAY(Kalemler!$D162),DAY(EOMONTH((Tahmin!$C$4+49),0))))&lt;=(Tahmin!$C$4+55),DATE(YEAR((Tahmin!$C$4+49)),MONTH((Tahmin!$C$4+49)),MIN(DAY(Kalemler!$D162),DAY(EOMONTH((Tahmin!$C$4+49),0))))&gt;=Kalemler!$D162),AND(DATE(YEAR((Tahmin!$C$4+55)),MONTH((Tahmin!$C$4+55)),MIN(DAY(Kalemler!$D162),DAY(EOMONTH((Tahmin!$C$4+55),0))))&gt;=(Tahmin!$C$4+49),DATE(YEAR((Tahmin!$C$4+55)),MONTH((Tahmin!$C$4+55)),MIN(DAY(Kalemler!$D162),DAY(EOMONTH((Tahmin!$C$4+55),0))))&lt;=(Tahmin!$C$4+55),DATE(YEAR((Tahmin!$C$4+55)),MONTH((Tahmin!$C$4+55)),MIN(DAY(Kalemler!$D162),DAY(EOMONTH((Tahmin!$C$4+55),0))))&lt;&gt;DATE(YEAR((Tahmin!$C$4+49)),MONTH((Tahmin!$C$4+49)),MIN(DAY(Kalemler!$D162),DAY(EOMONTH((Tahmin!$C$4+49),0)))),DATE(YEAR((Tahmin!$C$4+55)),MONTH((Tahmin!$C$4+55)),MIN(DAY(Kalemler!$D162),DAY(EOMONTH((Tahmin!$C$4+55),0))))&gt;=Kalemler!$D162)),1,0),IF(AND(Kalemler!$D162&gt;=(Tahmin!$C$4+49),Kalemler!$D162&lt;=(Tahmin!$C$4+55)),1,0))))</f>
        <v>0</v>
      </c>
      <c r="J162" s="0" t="n">
        <f aca="false">IF(OR(Kalemler!$A162="",Kalemler!$C162="",Kalemler!$D162=""),0,Kalemler!$C162*IF(Kalemler!$E162="Haftalık",IF(Kalemler!$D162&lt;=(Tahmin!$C$4+62),1,0),IF(Kalemler!$E162="Aylık",IF(OR(AND(DATE(YEAR((Tahmin!$C$4+56)),MONTH((Tahmin!$C$4+56)),MIN(DAY(Kalemler!$D162),DAY(EOMONTH((Tahmin!$C$4+56),0))))&gt;=(Tahmin!$C$4+56),DATE(YEAR((Tahmin!$C$4+56)),MONTH((Tahmin!$C$4+56)),MIN(DAY(Kalemler!$D162),DAY(EOMONTH((Tahmin!$C$4+56),0))))&lt;=(Tahmin!$C$4+62),DATE(YEAR((Tahmin!$C$4+56)),MONTH((Tahmin!$C$4+56)),MIN(DAY(Kalemler!$D162),DAY(EOMONTH((Tahmin!$C$4+56),0))))&gt;=Kalemler!$D162),AND(DATE(YEAR((Tahmin!$C$4+62)),MONTH((Tahmin!$C$4+62)),MIN(DAY(Kalemler!$D162),DAY(EOMONTH((Tahmin!$C$4+62),0))))&gt;=(Tahmin!$C$4+56),DATE(YEAR((Tahmin!$C$4+62)),MONTH((Tahmin!$C$4+62)),MIN(DAY(Kalemler!$D162),DAY(EOMONTH((Tahmin!$C$4+62),0))))&lt;=(Tahmin!$C$4+62),DATE(YEAR((Tahmin!$C$4+62)),MONTH((Tahmin!$C$4+62)),MIN(DAY(Kalemler!$D162),DAY(EOMONTH((Tahmin!$C$4+62),0))))&lt;&gt;DATE(YEAR((Tahmin!$C$4+56)),MONTH((Tahmin!$C$4+56)),MIN(DAY(Kalemler!$D162),DAY(EOMONTH((Tahmin!$C$4+56),0)))),DATE(YEAR((Tahmin!$C$4+62)),MONTH((Tahmin!$C$4+62)),MIN(DAY(Kalemler!$D162),DAY(EOMONTH((Tahmin!$C$4+62),0))))&gt;=Kalemler!$D162)),1,0),IF(AND(Kalemler!$D162&gt;=(Tahmin!$C$4+56),Kalemler!$D162&lt;=(Tahmin!$C$4+62)),1,0))))</f>
        <v>0</v>
      </c>
      <c r="K162" s="0" t="n">
        <f aca="false">IF(OR(Kalemler!$A162="",Kalemler!$C162="",Kalemler!$D162=""),0,Kalemler!$C162*IF(Kalemler!$E162="Haftalık",IF(Kalemler!$D162&lt;=(Tahmin!$C$4+69),1,0),IF(Kalemler!$E162="Aylık",IF(OR(AND(DATE(YEAR((Tahmin!$C$4+63)),MONTH((Tahmin!$C$4+63)),MIN(DAY(Kalemler!$D162),DAY(EOMONTH((Tahmin!$C$4+63),0))))&gt;=(Tahmin!$C$4+63),DATE(YEAR((Tahmin!$C$4+63)),MONTH((Tahmin!$C$4+63)),MIN(DAY(Kalemler!$D162),DAY(EOMONTH((Tahmin!$C$4+63),0))))&lt;=(Tahmin!$C$4+69),DATE(YEAR((Tahmin!$C$4+63)),MONTH((Tahmin!$C$4+63)),MIN(DAY(Kalemler!$D162),DAY(EOMONTH((Tahmin!$C$4+63),0))))&gt;=Kalemler!$D162),AND(DATE(YEAR((Tahmin!$C$4+69)),MONTH((Tahmin!$C$4+69)),MIN(DAY(Kalemler!$D162),DAY(EOMONTH((Tahmin!$C$4+69),0))))&gt;=(Tahmin!$C$4+63),DATE(YEAR((Tahmin!$C$4+69)),MONTH((Tahmin!$C$4+69)),MIN(DAY(Kalemler!$D162),DAY(EOMONTH((Tahmin!$C$4+69),0))))&lt;=(Tahmin!$C$4+69),DATE(YEAR((Tahmin!$C$4+69)),MONTH((Tahmin!$C$4+69)),MIN(DAY(Kalemler!$D162),DAY(EOMONTH((Tahmin!$C$4+69),0))))&lt;&gt;DATE(YEAR((Tahmin!$C$4+63)),MONTH((Tahmin!$C$4+63)),MIN(DAY(Kalemler!$D162),DAY(EOMONTH((Tahmin!$C$4+63),0)))),DATE(YEAR((Tahmin!$C$4+69)),MONTH((Tahmin!$C$4+69)),MIN(DAY(Kalemler!$D162),DAY(EOMONTH((Tahmin!$C$4+69),0))))&gt;=Kalemler!$D162)),1,0),IF(AND(Kalemler!$D162&gt;=(Tahmin!$C$4+63),Kalemler!$D162&lt;=(Tahmin!$C$4+69)),1,0))))</f>
        <v>0</v>
      </c>
      <c r="L162" s="0" t="n">
        <f aca="false">IF(OR(Kalemler!$A162="",Kalemler!$C162="",Kalemler!$D162=""),0,Kalemler!$C162*IF(Kalemler!$E162="Haftalık",IF(Kalemler!$D162&lt;=(Tahmin!$C$4+76),1,0),IF(Kalemler!$E162="Aylık",IF(OR(AND(DATE(YEAR((Tahmin!$C$4+70)),MONTH((Tahmin!$C$4+70)),MIN(DAY(Kalemler!$D162),DAY(EOMONTH((Tahmin!$C$4+70),0))))&gt;=(Tahmin!$C$4+70),DATE(YEAR((Tahmin!$C$4+70)),MONTH((Tahmin!$C$4+70)),MIN(DAY(Kalemler!$D162),DAY(EOMONTH((Tahmin!$C$4+70),0))))&lt;=(Tahmin!$C$4+76),DATE(YEAR((Tahmin!$C$4+70)),MONTH((Tahmin!$C$4+70)),MIN(DAY(Kalemler!$D162),DAY(EOMONTH((Tahmin!$C$4+70),0))))&gt;=Kalemler!$D162),AND(DATE(YEAR((Tahmin!$C$4+76)),MONTH((Tahmin!$C$4+76)),MIN(DAY(Kalemler!$D162),DAY(EOMONTH((Tahmin!$C$4+76),0))))&gt;=(Tahmin!$C$4+70),DATE(YEAR((Tahmin!$C$4+76)),MONTH((Tahmin!$C$4+76)),MIN(DAY(Kalemler!$D162),DAY(EOMONTH((Tahmin!$C$4+76),0))))&lt;=(Tahmin!$C$4+76),DATE(YEAR((Tahmin!$C$4+76)),MONTH((Tahmin!$C$4+76)),MIN(DAY(Kalemler!$D162),DAY(EOMONTH((Tahmin!$C$4+76),0))))&lt;&gt;DATE(YEAR((Tahmin!$C$4+70)),MONTH((Tahmin!$C$4+70)),MIN(DAY(Kalemler!$D162),DAY(EOMONTH((Tahmin!$C$4+70),0)))),DATE(YEAR((Tahmin!$C$4+76)),MONTH((Tahmin!$C$4+76)),MIN(DAY(Kalemler!$D162),DAY(EOMONTH((Tahmin!$C$4+76),0))))&gt;=Kalemler!$D162)),1,0),IF(AND(Kalemler!$D162&gt;=(Tahmin!$C$4+70),Kalemler!$D162&lt;=(Tahmin!$C$4+76)),1,0))))</f>
        <v>0</v>
      </c>
      <c r="M162" s="0" t="n">
        <f aca="false">IF(OR(Kalemler!$A162="",Kalemler!$C162="",Kalemler!$D162=""),0,Kalemler!$C162*IF(Kalemler!$E162="Haftalık",IF(Kalemler!$D162&lt;=(Tahmin!$C$4+83),1,0),IF(Kalemler!$E162="Aylık",IF(OR(AND(DATE(YEAR((Tahmin!$C$4+77)),MONTH((Tahmin!$C$4+77)),MIN(DAY(Kalemler!$D162),DAY(EOMONTH((Tahmin!$C$4+77),0))))&gt;=(Tahmin!$C$4+77),DATE(YEAR((Tahmin!$C$4+77)),MONTH((Tahmin!$C$4+77)),MIN(DAY(Kalemler!$D162),DAY(EOMONTH((Tahmin!$C$4+77),0))))&lt;=(Tahmin!$C$4+83),DATE(YEAR((Tahmin!$C$4+77)),MONTH((Tahmin!$C$4+77)),MIN(DAY(Kalemler!$D162),DAY(EOMONTH((Tahmin!$C$4+77),0))))&gt;=Kalemler!$D162),AND(DATE(YEAR((Tahmin!$C$4+83)),MONTH((Tahmin!$C$4+83)),MIN(DAY(Kalemler!$D162),DAY(EOMONTH((Tahmin!$C$4+83),0))))&gt;=(Tahmin!$C$4+77),DATE(YEAR((Tahmin!$C$4+83)),MONTH((Tahmin!$C$4+83)),MIN(DAY(Kalemler!$D162),DAY(EOMONTH((Tahmin!$C$4+83),0))))&lt;=(Tahmin!$C$4+83),DATE(YEAR((Tahmin!$C$4+83)),MONTH((Tahmin!$C$4+83)),MIN(DAY(Kalemler!$D162),DAY(EOMONTH((Tahmin!$C$4+83),0))))&lt;&gt;DATE(YEAR((Tahmin!$C$4+77)),MONTH((Tahmin!$C$4+77)),MIN(DAY(Kalemler!$D162),DAY(EOMONTH((Tahmin!$C$4+77),0)))),DATE(YEAR((Tahmin!$C$4+83)),MONTH((Tahmin!$C$4+83)),MIN(DAY(Kalemler!$D162),DAY(EOMONTH((Tahmin!$C$4+83),0))))&gt;=Kalemler!$D162)),1,0),IF(AND(Kalemler!$D162&gt;=(Tahmin!$C$4+77),Kalemler!$D162&lt;=(Tahmin!$C$4+83)),1,0))))</f>
        <v>0</v>
      </c>
      <c r="N162" s="0" t="n">
        <f aca="false">IF(OR(Kalemler!$A162="",Kalemler!$C162="",Kalemler!$D162=""),0,Kalemler!$C162*IF(Kalemler!$E162="Haftalık",IF(Kalemler!$D162&lt;=(Tahmin!$C$4+90),1,0),IF(Kalemler!$E162="Aylık",IF(OR(AND(DATE(YEAR((Tahmin!$C$4+84)),MONTH((Tahmin!$C$4+84)),MIN(DAY(Kalemler!$D162),DAY(EOMONTH((Tahmin!$C$4+84),0))))&gt;=(Tahmin!$C$4+84),DATE(YEAR((Tahmin!$C$4+84)),MONTH((Tahmin!$C$4+84)),MIN(DAY(Kalemler!$D162),DAY(EOMONTH((Tahmin!$C$4+84),0))))&lt;=(Tahmin!$C$4+90),DATE(YEAR((Tahmin!$C$4+84)),MONTH((Tahmin!$C$4+84)),MIN(DAY(Kalemler!$D162),DAY(EOMONTH((Tahmin!$C$4+84),0))))&gt;=Kalemler!$D162),AND(DATE(YEAR((Tahmin!$C$4+90)),MONTH((Tahmin!$C$4+90)),MIN(DAY(Kalemler!$D162),DAY(EOMONTH((Tahmin!$C$4+90),0))))&gt;=(Tahmin!$C$4+84),DATE(YEAR((Tahmin!$C$4+90)),MONTH((Tahmin!$C$4+90)),MIN(DAY(Kalemler!$D162),DAY(EOMONTH((Tahmin!$C$4+90),0))))&lt;=(Tahmin!$C$4+90),DATE(YEAR((Tahmin!$C$4+90)),MONTH((Tahmin!$C$4+90)),MIN(DAY(Kalemler!$D162),DAY(EOMONTH((Tahmin!$C$4+90),0))))&lt;&gt;DATE(YEAR((Tahmin!$C$4+84)),MONTH((Tahmin!$C$4+84)),MIN(DAY(Kalemler!$D162),DAY(EOMONTH((Tahmin!$C$4+84),0)))),DATE(YEAR((Tahmin!$C$4+90)),MONTH((Tahmin!$C$4+90)),MIN(DAY(Kalemler!$D162),DAY(EOMONTH((Tahmin!$C$4+90),0))))&gt;=Kalemler!$D162)),1,0),IF(AND(Kalemler!$D162&gt;=(Tahmin!$C$4+84),Kalemler!$D162&lt;=(Tahmin!$C$4+90)),1,0))))</f>
        <v>0</v>
      </c>
    </row>
    <row r="163" customFormat="false" ht="15" hidden="false" customHeight="false" outlineLevel="0" collapsed="false">
      <c r="A163" s="0" t="str">
        <f aca="false">IF(Kalemler!A163="","",Kalemler!A163)</f>
        <v/>
      </c>
      <c r="B163" s="0" t="n">
        <f aca="false">IF(OR(Kalemler!$A163="",Kalemler!$C163="",Kalemler!$D163=""),0,Kalemler!$C163*IF(Kalemler!$E163="Haftalık",IF(Kalemler!$D163&lt;=(Tahmin!$C$4+6),1,0),IF(Kalemler!$E163="Aylık",IF(OR(AND(DATE(YEAR((Tahmin!$C$4+0)),MONTH((Tahmin!$C$4+0)),MIN(DAY(Kalemler!$D163),DAY(EOMONTH((Tahmin!$C$4+0),0))))&gt;=(Tahmin!$C$4+0),DATE(YEAR((Tahmin!$C$4+0)),MONTH((Tahmin!$C$4+0)),MIN(DAY(Kalemler!$D163),DAY(EOMONTH((Tahmin!$C$4+0),0))))&lt;=(Tahmin!$C$4+6),DATE(YEAR((Tahmin!$C$4+0)),MONTH((Tahmin!$C$4+0)),MIN(DAY(Kalemler!$D163),DAY(EOMONTH((Tahmin!$C$4+0),0))))&gt;=Kalemler!$D163),AND(DATE(YEAR((Tahmin!$C$4+6)),MONTH((Tahmin!$C$4+6)),MIN(DAY(Kalemler!$D163),DAY(EOMONTH((Tahmin!$C$4+6),0))))&gt;=(Tahmin!$C$4+0),DATE(YEAR((Tahmin!$C$4+6)),MONTH((Tahmin!$C$4+6)),MIN(DAY(Kalemler!$D163),DAY(EOMONTH((Tahmin!$C$4+6),0))))&lt;=(Tahmin!$C$4+6),DATE(YEAR((Tahmin!$C$4+6)),MONTH((Tahmin!$C$4+6)),MIN(DAY(Kalemler!$D163),DAY(EOMONTH((Tahmin!$C$4+6),0))))&lt;&gt;DATE(YEAR((Tahmin!$C$4+0)),MONTH((Tahmin!$C$4+0)),MIN(DAY(Kalemler!$D163),DAY(EOMONTH((Tahmin!$C$4+0),0)))),DATE(YEAR((Tahmin!$C$4+6)),MONTH((Tahmin!$C$4+6)),MIN(DAY(Kalemler!$D163),DAY(EOMONTH((Tahmin!$C$4+6),0))))&gt;=Kalemler!$D163)),1,0),IF(AND(Kalemler!$D163&gt;=(Tahmin!$C$4+0),Kalemler!$D163&lt;=(Tahmin!$C$4+6)),1,0))))</f>
        <v>0</v>
      </c>
      <c r="C163" s="0" t="n">
        <f aca="false">IF(OR(Kalemler!$A163="",Kalemler!$C163="",Kalemler!$D163=""),0,Kalemler!$C163*IF(Kalemler!$E163="Haftalık",IF(Kalemler!$D163&lt;=(Tahmin!$C$4+13),1,0),IF(Kalemler!$E163="Aylık",IF(OR(AND(DATE(YEAR((Tahmin!$C$4+7)),MONTH((Tahmin!$C$4+7)),MIN(DAY(Kalemler!$D163),DAY(EOMONTH((Tahmin!$C$4+7),0))))&gt;=(Tahmin!$C$4+7),DATE(YEAR((Tahmin!$C$4+7)),MONTH((Tahmin!$C$4+7)),MIN(DAY(Kalemler!$D163),DAY(EOMONTH((Tahmin!$C$4+7),0))))&lt;=(Tahmin!$C$4+13),DATE(YEAR((Tahmin!$C$4+7)),MONTH((Tahmin!$C$4+7)),MIN(DAY(Kalemler!$D163),DAY(EOMONTH((Tahmin!$C$4+7),0))))&gt;=Kalemler!$D163),AND(DATE(YEAR((Tahmin!$C$4+13)),MONTH((Tahmin!$C$4+13)),MIN(DAY(Kalemler!$D163),DAY(EOMONTH((Tahmin!$C$4+13),0))))&gt;=(Tahmin!$C$4+7),DATE(YEAR((Tahmin!$C$4+13)),MONTH((Tahmin!$C$4+13)),MIN(DAY(Kalemler!$D163),DAY(EOMONTH((Tahmin!$C$4+13),0))))&lt;=(Tahmin!$C$4+13),DATE(YEAR((Tahmin!$C$4+13)),MONTH((Tahmin!$C$4+13)),MIN(DAY(Kalemler!$D163),DAY(EOMONTH((Tahmin!$C$4+13),0))))&lt;&gt;DATE(YEAR((Tahmin!$C$4+7)),MONTH((Tahmin!$C$4+7)),MIN(DAY(Kalemler!$D163),DAY(EOMONTH((Tahmin!$C$4+7),0)))),DATE(YEAR((Tahmin!$C$4+13)),MONTH((Tahmin!$C$4+13)),MIN(DAY(Kalemler!$D163),DAY(EOMONTH((Tahmin!$C$4+13),0))))&gt;=Kalemler!$D163)),1,0),IF(AND(Kalemler!$D163&gt;=(Tahmin!$C$4+7),Kalemler!$D163&lt;=(Tahmin!$C$4+13)),1,0))))</f>
        <v>0</v>
      </c>
      <c r="D163" s="0" t="n">
        <f aca="false">IF(OR(Kalemler!$A163="",Kalemler!$C163="",Kalemler!$D163=""),0,Kalemler!$C163*IF(Kalemler!$E163="Haftalık",IF(Kalemler!$D163&lt;=(Tahmin!$C$4+20),1,0),IF(Kalemler!$E163="Aylık",IF(OR(AND(DATE(YEAR((Tahmin!$C$4+14)),MONTH((Tahmin!$C$4+14)),MIN(DAY(Kalemler!$D163),DAY(EOMONTH((Tahmin!$C$4+14),0))))&gt;=(Tahmin!$C$4+14),DATE(YEAR((Tahmin!$C$4+14)),MONTH((Tahmin!$C$4+14)),MIN(DAY(Kalemler!$D163),DAY(EOMONTH((Tahmin!$C$4+14),0))))&lt;=(Tahmin!$C$4+20),DATE(YEAR((Tahmin!$C$4+14)),MONTH((Tahmin!$C$4+14)),MIN(DAY(Kalemler!$D163),DAY(EOMONTH((Tahmin!$C$4+14),0))))&gt;=Kalemler!$D163),AND(DATE(YEAR((Tahmin!$C$4+20)),MONTH((Tahmin!$C$4+20)),MIN(DAY(Kalemler!$D163),DAY(EOMONTH((Tahmin!$C$4+20),0))))&gt;=(Tahmin!$C$4+14),DATE(YEAR((Tahmin!$C$4+20)),MONTH((Tahmin!$C$4+20)),MIN(DAY(Kalemler!$D163),DAY(EOMONTH((Tahmin!$C$4+20),0))))&lt;=(Tahmin!$C$4+20),DATE(YEAR((Tahmin!$C$4+20)),MONTH((Tahmin!$C$4+20)),MIN(DAY(Kalemler!$D163),DAY(EOMONTH((Tahmin!$C$4+20),0))))&lt;&gt;DATE(YEAR((Tahmin!$C$4+14)),MONTH((Tahmin!$C$4+14)),MIN(DAY(Kalemler!$D163),DAY(EOMONTH((Tahmin!$C$4+14),0)))),DATE(YEAR((Tahmin!$C$4+20)),MONTH((Tahmin!$C$4+20)),MIN(DAY(Kalemler!$D163),DAY(EOMONTH((Tahmin!$C$4+20),0))))&gt;=Kalemler!$D163)),1,0),IF(AND(Kalemler!$D163&gt;=(Tahmin!$C$4+14),Kalemler!$D163&lt;=(Tahmin!$C$4+20)),1,0))))</f>
        <v>0</v>
      </c>
      <c r="E163" s="0" t="n">
        <f aca="false">IF(OR(Kalemler!$A163="",Kalemler!$C163="",Kalemler!$D163=""),0,Kalemler!$C163*IF(Kalemler!$E163="Haftalık",IF(Kalemler!$D163&lt;=(Tahmin!$C$4+27),1,0),IF(Kalemler!$E163="Aylık",IF(OR(AND(DATE(YEAR((Tahmin!$C$4+21)),MONTH((Tahmin!$C$4+21)),MIN(DAY(Kalemler!$D163),DAY(EOMONTH((Tahmin!$C$4+21),0))))&gt;=(Tahmin!$C$4+21),DATE(YEAR((Tahmin!$C$4+21)),MONTH((Tahmin!$C$4+21)),MIN(DAY(Kalemler!$D163),DAY(EOMONTH((Tahmin!$C$4+21),0))))&lt;=(Tahmin!$C$4+27),DATE(YEAR((Tahmin!$C$4+21)),MONTH((Tahmin!$C$4+21)),MIN(DAY(Kalemler!$D163),DAY(EOMONTH((Tahmin!$C$4+21),0))))&gt;=Kalemler!$D163),AND(DATE(YEAR((Tahmin!$C$4+27)),MONTH((Tahmin!$C$4+27)),MIN(DAY(Kalemler!$D163),DAY(EOMONTH((Tahmin!$C$4+27),0))))&gt;=(Tahmin!$C$4+21),DATE(YEAR((Tahmin!$C$4+27)),MONTH((Tahmin!$C$4+27)),MIN(DAY(Kalemler!$D163),DAY(EOMONTH((Tahmin!$C$4+27),0))))&lt;=(Tahmin!$C$4+27),DATE(YEAR((Tahmin!$C$4+27)),MONTH((Tahmin!$C$4+27)),MIN(DAY(Kalemler!$D163),DAY(EOMONTH((Tahmin!$C$4+27),0))))&lt;&gt;DATE(YEAR((Tahmin!$C$4+21)),MONTH((Tahmin!$C$4+21)),MIN(DAY(Kalemler!$D163),DAY(EOMONTH((Tahmin!$C$4+21),0)))),DATE(YEAR((Tahmin!$C$4+27)),MONTH((Tahmin!$C$4+27)),MIN(DAY(Kalemler!$D163),DAY(EOMONTH((Tahmin!$C$4+27),0))))&gt;=Kalemler!$D163)),1,0),IF(AND(Kalemler!$D163&gt;=(Tahmin!$C$4+21),Kalemler!$D163&lt;=(Tahmin!$C$4+27)),1,0))))</f>
        <v>0</v>
      </c>
      <c r="F163" s="0" t="n">
        <f aca="false">IF(OR(Kalemler!$A163="",Kalemler!$C163="",Kalemler!$D163=""),0,Kalemler!$C163*IF(Kalemler!$E163="Haftalık",IF(Kalemler!$D163&lt;=(Tahmin!$C$4+34),1,0),IF(Kalemler!$E163="Aylık",IF(OR(AND(DATE(YEAR((Tahmin!$C$4+28)),MONTH((Tahmin!$C$4+28)),MIN(DAY(Kalemler!$D163),DAY(EOMONTH((Tahmin!$C$4+28),0))))&gt;=(Tahmin!$C$4+28),DATE(YEAR((Tahmin!$C$4+28)),MONTH((Tahmin!$C$4+28)),MIN(DAY(Kalemler!$D163),DAY(EOMONTH((Tahmin!$C$4+28),0))))&lt;=(Tahmin!$C$4+34),DATE(YEAR((Tahmin!$C$4+28)),MONTH((Tahmin!$C$4+28)),MIN(DAY(Kalemler!$D163),DAY(EOMONTH((Tahmin!$C$4+28),0))))&gt;=Kalemler!$D163),AND(DATE(YEAR((Tahmin!$C$4+34)),MONTH((Tahmin!$C$4+34)),MIN(DAY(Kalemler!$D163),DAY(EOMONTH((Tahmin!$C$4+34),0))))&gt;=(Tahmin!$C$4+28),DATE(YEAR((Tahmin!$C$4+34)),MONTH((Tahmin!$C$4+34)),MIN(DAY(Kalemler!$D163),DAY(EOMONTH((Tahmin!$C$4+34),0))))&lt;=(Tahmin!$C$4+34),DATE(YEAR((Tahmin!$C$4+34)),MONTH((Tahmin!$C$4+34)),MIN(DAY(Kalemler!$D163),DAY(EOMONTH((Tahmin!$C$4+34),0))))&lt;&gt;DATE(YEAR((Tahmin!$C$4+28)),MONTH((Tahmin!$C$4+28)),MIN(DAY(Kalemler!$D163),DAY(EOMONTH((Tahmin!$C$4+28),0)))),DATE(YEAR((Tahmin!$C$4+34)),MONTH((Tahmin!$C$4+34)),MIN(DAY(Kalemler!$D163),DAY(EOMONTH((Tahmin!$C$4+34),0))))&gt;=Kalemler!$D163)),1,0),IF(AND(Kalemler!$D163&gt;=(Tahmin!$C$4+28),Kalemler!$D163&lt;=(Tahmin!$C$4+34)),1,0))))</f>
        <v>0</v>
      </c>
      <c r="G163" s="0" t="n">
        <f aca="false">IF(OR(Kalemler!$A163="",Kalemler!$C163="",Kalemler!$D163=""),0,Kalemler!$C163*IF(Kalemler!$E163="Haftalık",IF(Kalemler!$D163&lt;=(Tahmin!$C$4+41),1,0),IF(Kalemler!$E163="Aylık",IF(OR(AND(DATE(YEAR((Tahmin!$C$4+35)),MONTH((Tahmin!$C$4+35)),MIN(DAY(Kalemler!$D163),DAY(EOMONTH((Tahmin!$C$4+35),0))))&gt;=(Tahmin!$C$4+35),DATE(YEAR((Tahmin!$C$4+35)),MONTH((Tahmin!$C$4+35)),MIN(DAY(Kalemler!$D163),DAY(EOMONTH((Tahmin!$C$4+35),0))))&lt;=(Tahmin!$C$4+41),DATE(YEAR((Tahmin!$C$4+35)),MONTH((Tahmin!$C$4+35)),MIN(DAY(Kalemler!$D163),DAY(EOMONTH((Tahmin!$C$4+35),0))))&gt;=Kalemler!$D163),AND(DATE(YEAR((Tahmin!$C$4+41)),MONTH((Tahmin!$C$4+41)),MIN(DAY(Kalemler!$D163),DAY(EOMONTH((Tahmin!$C$4+41),0))))&gt;=(Tahmin!$C$4+35),DATE(YEAR((Tahmin!$C$4+41)),MONTH((Tahmin!$C$4+41)),MIN(DAY(Kalemler!$D163),DAY(EOMONTH((Tahmin!$C$4+41),0))))&lt;=(Tahmin!$C$4+41),DATE(YEAR((Tahmin!$C$4+41)),MONTH((Tahmin!$C$4+41)),MIN(DAY(Kalemler!$D163),DAY(EOMONTH((Tahmin!$C$4+41),0))))&lt;&gt;DATE(YEAR((Tahmin!$C$4+35)),MONTH((Tahmin!$C$4+35)),MIN(DAY(Kalemler!$D163),DAY(EOMONTH((Tahmin!$C$4+35),0)))),DATE(YEAR((Tahmin!$C$4+41)),MONTH((Tahmin!$C$4+41)),MIN(DAY(Kalemler!$D163),DAY(EOMONTH((Tahmin!$C$4+41),0))))&gt;=Kalemler!$D163)),1,0),IF(AND(Kalemler!$D163&gt;=(Tahmin!$C$4+35),Kalemler!$D163&lt;=(Tahmin!$C$4+41)),1,0))))</f>
        <v>0</v>
      </c>
      <c r="H163" s="0" t="n">
        <f aca="false">IF(OR(Kalemler!$A163="",Kalemler!$C163="",Kalemler!$D163=""),0,Kalemler!$C163*IF(Kalemler!$E163="Haftalık",IF(Kalemler!$D163&lt;=(Tahmin!$C$4+48),1,0),IF(Kalemler!$E163="Aylık",IF(OR(AND(DATE(YEAR((Tahmin!$C$4+42)),MONTH((Tahmin!$C$4+42)),MIN(DAY(Kalemler!$D163),DAY(EOMONTH((Tahmin!$C$4+42),0))))&gt;=(Tahmin!$C$4+42),DATE(YEAR((Tahmin!$C$4+42)),MONTH((Tahmin!$C$4+42)),MIN(DAY(Kalemler!$D163),DAY(EOMONTH((Tahmin!$C$4+42),0))))&lt;=(Tahmin!$C$4+48),DATE(YEAR((Tahmin!$C$4+42)),MONTH((Tahmin!$C$4+42)),MIN(DAY(Kalemler!$D163),DAY(EOMONTH((Tahmin!$C$4+42),0))))&gt;=Kalemler!$D163),AND(DATE(YEAR((Tahmin!$C$4+48)),MONTH((Tahmin!$C$4+48)),MIN(DAY(Kalemler!$D163),DAY(EOMONTH((Tahmin!$C$4+48),0))))&gt;=(Tahmin!$C$4+42),DATE(YEAR((Tahmin!$C$4+48)),MONTH((Tahmin!$C$4+48)),MIN(DAY(Kalemler!$D163),DAY(EOMONTH((Tahmin!$C$4+48),0))))&lt;=(Tahmin!$C$4+48),DATE(YEAR((Tahmin!$C$4+48)),MONTH((Tahmin!$C$4+48)),MIN(DAY(Kalemler!$D163),DAY(EOMONTH((Tahmin!$C$4+48),0))))&lt;&gt;DATE(YEAR((Tahmin!$C$4+42)),MONTH((Tahmin!$C$4+42)),MIN(DAY(Kalemler!$D163),DAY(EOMONTH((Tahmin!$C$4+42),0)))),DATE(YEAR((Tahmin!$C$4+48)),MONTH((Tahmin!$C$4+48)),MIN(DAY(Kalemler!$D163),DAY(EOMONTH((Tahmin!$C$4+48),0))))&gt;=Kalemler!$D163)),1,0),IF(AND(Kalemler!$D163&gt;=(Tahmin!$C$4+42),Kalemler!$D163&lt;=(Tahmin!$C$4+48)),1,0))))</f>
        <v>0</v>
      </c>
      <c r="I163" s="0" t="n">
        <f aca="false">IF(OR(Kalemler!$A163="",Kalemler!$C163="",Kalemler!$D163=""),0,Kalemler!$C163*IF(Kalemler!$E163="Haftalık",IF(Kalemler!$D163&lt;=(Tahmin!$C$4+55),1,0),IF(Kalemler!$E163="Aylık",IF(OR(AND(DATE(YEAR((Tahmin!$C$4+49)),MONTH((Tahmin!$C$4+49)),MIN(DAY(Kalemler!$D163),DAY(EOMONTH((Tahmin!$C$4+49),0))))&gt;=(Tahmin!$C$4+49),DATE(YEAR((Tahmin!$C$4+49)),MONTH((Tahmin!$C$4+49)),MIN(DAY(Kalemler!$D163),DAY(EOMONTH((Tahmin!$C$4+49),0))))&lt;=(Tahmin!$C$4+55),DATE(YEAR((Tahmin!$C$4+49)),MONTH((Tahmin!$C$4+49)),MIN(DAY(Kalemler!$D163),DAY(EOMONTH((Tahmin!$C$4+49),0))))&gt;=Kalemler!$D163),AND(DATE(YEAR((Tahmin!$C$4+55)),MONTH((Tahmin!$C$4+55)),MIN(DAY(Kalemler!$D163),DAY(EOMONTH((Tahmin!$C$4+55),0))))&gt;=(Tahmin!$C$4+49),DATE(YEAR((Tahmin!$C$4+55)),MONTH((Tahmin!$C$4+55)),MIN(DAY(Kalemler!$D163),DAY(EOMONTH((Tahmin!$C$4+55),0))))&lt;=(Tahmin!$C$4+55),DATE(YEAR((Tahmin!$C$4+55)),MONTH((Tahmin!$C$4+55)),MIN(DAY(Kalemler!$D163),DAY(EOMONTH((Tahmin!$C$4+55),0))))&lt;&gt;DATE(YEAR((Tahmin!$C$4+49)),MONTH((Tahmin!$C$4+49)),MIN(DAY(Kalemler!$D163),DAY(EOMONTH((Tahmin!$C$4+49),0)))),DATE(YEAR((Tahmin!$C$4+55)),MONTH((Tahmin!$C$4+55)),MIN(DAY(Kalemler!$D163),DAY(EOMONTH((Tahmin!$C$4+55),0))))&gt;=Kalemler!$D163)),1,0),IF(AND(Kalemler!$D163&gt;=(Tahmin!$C$4+49),Kalemler!$D163&lt;=(Tahmin!$C$4+55)),1,0))))</f>
        <v>0</v>
      </c>
      <c r="J163" s="0" t="n">
        <f aca="false">IF(OR(Kalemler!$A163="",Kalemler!$C163="",Kalemler!$D163=""),0,Kalemler!$C163*IF(Kalemler!$E163="Haftalık",IF(Kalemler!$D163&lt;=(Tahmin!$C$4+62),1,0),IF(Kalemler!$E163="Aylık",IF(OR(AND(DATE(YEAR((Tahmin!$C$4+56)),MONTH((Tahmin!$C$4+56)),MIN(DAY(Kalemler!$D163),DAY(EOMONTH((Tahmin!$C$4+56),0))))&gt;=(Tahmin!$C$4+56),DATE(YEAR((Tahmin!$C$4+56)),MONTH((Tahmin!$C$4+56)),MIN(DAY(Kalemler!$D163),DAY(EOMONTH((Tahmin!$C$4+56),0))))&lt;=(Tahmin!$C$4+62),DATE(YEAR((Tahmin!$C$4+56)),MONTH((Tahmin!$C$4+56)),MIN(DAY(Kalemler!$D163),DAY(EOMONTH((Tahmin!$C$4+56),0))))&gt;=Kalemler!$D163),AND(DATE(YEAR((Tahmin!$C$4+62)),MONTH((Tahmin!$C$4+62)),MIN(DAY(Kalemler!$D163),DAY(EOMONTH((Tahmin!$C$4+62),0))))&gt;=(Tahmin!$C$4+56),DATE(YEAR((Tahmin!$C$4+62)),MONTH((Tahmin!$C$4+62)),MIN(DAY(Kalemler!$D163),DAY(EOMONTH((Tahmin!$C$4+62),0))))&lt;=(Tahmin!$C$4+62),DATE(YEAR((Tahmin!$C$4+62)),MONTH((Tahmin!$C$4+62)),MIN(DAY(Kalemler!$D163),DAY(EOMONTH((Tahmin!$C$4+62),0))))&lt;&gt;DATE(YEAR((Tahmin!$C$4+56)),MONTH((Tahmin!$C$4+56)),MIN(DAY(Kalemler!$D163),DAY(EOMONTH((Tahmin!$C$4+56),0)))),DATE(YEAR((Tahmin!$C$4+62)),MONTH((Tahmin!$C$4+62)),MIN(DAY(Kalemler!$D163),DAY(EOMONTH((Tahmin!$C$4+62),0))))&gt;=Kalemler!$D163)),1,0),IF(AND(Kalemler!$D163&gt;=(Tahmin!$C$4+56),Kalemler!$D163&lt;=(Tahmin!$C$4+62)),1,0))))</f>
        <v>0</v>
      </c>
      <c r="K163" s="0" t="n">
        <f aca="false">IF(OR(Kalemler!$A163="",Kalemler!$C163="",Kalemler!$D163=""),0,Kalemler!$C163*IF(Kalemler!$E163="Haftalık",IF(Kalemler!$D163&lt;=(Tahmin!$C$4+69),1,0),IF(Kalemler!$E163="Aylık",IF(OR(AND(DATE(YEAR((Tahmin!$C$4+63)),MONTH((Tahmin!$C$4+63)),MIN(DAY(Kalemler!$D163),DAY(EOMONTH((Tahmin!$C$4+63),0))))&gt;=(Tahmin!$C$4+63),DATE(YEAR((Tahmin!$C$4+63)),MONTH((Tahmin!$C$4+63)),MIN(DAY(Kalemler!$D163),DAY(EOMONTH((Tahmin!$C$4+63),0))))&lt;=(Tahmin!$C$4+69),DATE(YEAR((Tahmin!$C$4+63)),MONTH((Tahmin!$C$4+63)),MIN(DAY(Kalemler!$D163),DAY(EOMONTH((Tahmin!$C$4+63),0))))&gt;=Kalemler!$D163),AND(DATE(YEAR((Tahmin!$C$4+69)),MONTH((Tahmin!$C$4+69)),MIN(DAY(Kalemler!$D163),DAY(EOMONTH((Tahmin!$C$4+69),0))))&gt;=(Tahmin!$C$4+63),DATE(YEAR((Tahmin!$C$4+69)),MONTH((Tahmin!$C$4+69)),MIN(DAY(Kalemler!$D163),DAY(EOMONTH((Tahmin!$C$4+69),0))))&lt;=(Tahmin!$C$4+69),DATE(YEAR((Tahmin!$C$4+69)),MONTH((Tahmin!$C$4+69)),MIN(DAY(Kalemler!$D163),DAY(EOMONTH((Tahmin!$C$4+69),0))))&lt;&gt;DATE(YEAR((Tahmin!$C$4+63)),MONTH((Tahmin!$C$4+63)),MIN(DAY(Kalemler!$D163),DAY(EOMONTH((Tahmin!$C$4+63),0)))),DATE(YEAR((Tahmin!$C$4+69)),MONTH((Tahmin!$C$4+69)),MIN(DAY(Kalemler!$D163),DAY(EOMONTH((Tahmin!$C$4+69),0))))&gt;=Kalemler!$D163)),1,0),IF(AND(Kalemler!$D163&gt;=(Tahmin!$C$4+63),Kalemler!$D163&lt;=(Tahmin!$C$4+69)),1,0))))</f>
        <v>0</v>
      </c>
      <c r="L163" s="0" t="n">
        <f aca="false">IF(OR(Kalemler!$A163="",Kalemler!$C163="",Kalemler!$D163=""),0,Kalemler!$C163*IF(Kalemler!$E163="Haftalık",IF(Kalemler!$D163&lt;=(Tahmin!$C$4+76),1,0),IF(Kalemler!$E163="Aylık",IF(OR(AND(DATE(YEAR((Tahmin!$C$4+70)),MONTH((Tahmin!$C$4+70)),MIN(DAY(Kalemler!$D163),DAY(EOMONTH((Tahmin!$C$4+70),0))))&gt;=(Tahmin!$C$4+70),DATE(YEAR((Tahmin!$C$4+70)),MONTH((Tahmin!$C$4+70)),MIN(DAY(Kalemler!$D163),DAY(EOMONTH((Tahmin!$C$4+70),0))))&lt;=(Tahmin!$C$4+76),DATE(YEAR((Tahmin!$C$4+70)),MONTH((Tahmin!$C$4+70)),MIN(DAY(Kalemler!$D163),DAY(EOMONTH((Tahmin!$C$4+70),0))))&gt;=Kalemler!$D163),AND(DATE(YEAR((Tahmin!$C$4+76)),MONTH((Tahmin!$C$4+76)),MIN(DAY(Kalemler!$D163),DAY(EOMONTH((Tahmin!$C$4+76),0))))&gt;=(Tahmin!$C$4+70),DATE(YEAR((Tahmin!$C$4+76)),MONTH((Tahmin!$C$4+76)),MIN(DAY(Kalemler!$D163),DAY(EOMONTH((Tahmin!$C$4+76),0))))&lt;=(Tahmin!$C$4+76),DATE(YEAR((Tahmin!$C$4+76)),MONTH((Tahmin!$C$4+76)),MIN(DAY(Kalemler!$D163),DAY(EOMONTH((Tahmin!$C$4+76),0))))&lt;&gt;DATE(YEAR((Tahmin!$C$4+70)),MONTH((Tahmin!$C$4+70)),MIN(DAY(Kalemler!$D163),DAY(EOMONTH((Tahmin!$C$4+70),0)))),DATE(YEAR((Tahmin!$C$4+76)),MONTH((Tahmin!$C$4+76)),MIN(DAY(Kalemler!$D163),DAY(EOMONTH((Tahmin!$C$4+76),0))))&gt;=Kalemler!$D163)),1,0),IF(AND(Kalemler!$D163&gt;=(Tahmin!$C$4+70),Kalemler!$D163&lt;=(Tahmin!$C$4+76)),1,0))))</f>
        <v>0</v>
      </c>
      <c r="M163" s="0" t="n">
        <f aca="false">IF(OR(Kalemler!$A163="",Kalemler!$C163="",Kalemler!$D163=""),0,Kalemler!$C163*IF(Kalemler!$E163="Haftalık",IF(Kalemler!$D163&lt;=(Tahmin!$C$4+83),1,0),IF(Kalemler!$E163="Aylık",IF(OR(AND(DATE(YEAR((Tahmin!$C$4+77)),MONTH((Tahmin!$C$4+77)),MIN(DAY(Kalemler!$D163),DAY(EOMONTH((Tahmin!$C$4+77),0))))&gt;=(Tahmin!$C$4+77),DATE(YEAR((Tahmin!$C$4+77)),MONTH((Tahmin!$C$4+77)),MIN(DAY(Kalemler!$D163),DAY(EOMONTH((Tahmin!$C$4+77),0))))&lt;=(Tahmin!$C$4+83),DATE(YEAR((Tahmin!$C$4+77)),MONTH((Tahmin!$C$4+77)),MIN(DAY(Kalemler!$D163),DAY(EOMONTH((Tahmin!$C$4+77),0))))&gt;=Kalemler!$D163),AND(DATE(YEAR((Tahmin!$C$4+83)),MONTH((Tahmin!$C$4+83)),MIN(DAY(Kalemler!$D163),DAY(EOMONTH((Tahmin!$C$4+83),0))))&gt;=(Tahmin!$C$4+77),DATE(YEAR((Tahmin!$C$4+83)),MONTH((Tahmin!$C$4+83)),MIN(DAY(Kalemler!$D163),DAY(EOMONTH((Tahmin!$C$4+83),0))))&lt;=(Tahmin!$C$4+83),DATE(YEAR((Tahmin!$C$4+83)),MONTH((Tahmin!$C$4+83)),MIN(DAY(Kalemler!$D163),DAY(EOMONTH((Tahmin!$C$4+83),0))))&lt;&gt;DATE(YEAR((Tahmin!$C$4+77)),MONTH((Tahmin!$C$4+77)),MIN(DAY(Kalemler!$D163),DAY(EOMONTH((Tahmin!$C$4+77),0)))),DATE(YEAR((Tahmin!$C$4+83)),MONTH((Tahmin!$C$4+83)),MIN(DAY(Kalemler!$D163),DAY(EOMONTH((Tahmin!$C$4+83),0))))&gt;=Kalemler!$D163)),1,0),IF(AND(Kalemler!$D163&gt;=(Tahmin!$C$4+77),Kalemler!$D163&lt;=(Tahmin!$C$4+83)),1,0))))</f>
        <v>0</v>
      </c>
      <c r="N163" s="0" t="n">
        <f aca="false">IF(OR(Kalemler!$A163="",Kalemler!$C163="",Kalemler!$D163=""),0,Kalemler!$C163*IF(Kalemler!$E163="Haftalık",IF(Kalemler!$D163&lt;=(Tahmin!$C$4+90),1,0),IF(Kalemler!$E163="Aylık",IF(OR(AND(DATE(YEAR((Tahmin!$C$4+84)),MONTH((Tahmin!$C$4+84)),MIN(DAY(Kalemler!$D163),DAY(EOMONTH((Tahmin!$C$4+84),0))))&gt;=(Tahmin!$C$4+84),DATE(YEAR((Tahmin!$C$4+84)),MONTH((Tahmin!$C$4+84)),MIN(DAY(Kalemler!$D163),DAY(EOMONTH((Tahmin!$C$4+84),0))))&lt;=(Tahmin!$C$4+90),DATE(YEAR((Tahmin!$C$4+84)),MONTH((Tahmin!$C$4+84)),MIN(DAY(Kalemler!$D163),DAY(EOMONTH((Tahmin!$C$4+84),0))))&gt;=Kalemler!$D163),AND(DATE(YEAR((Tahmin!$C$4+90)),MONTH((Tahmin!$C$4+90)),MIN(DAY(Kalemler!$D163),DAY(EOMONTH((Tahmin!$C$4+90),0))))&gt;=(Tahmin!$C$4+84),DATE(YEAR((Tahmin!$C$4+90)),MONTH((Tahmin!$C$4+90)),MIN(DAY(Kalemler!$D163),DAY(EOMONTH((Tahmin!$C$4+90),0))))&lt;=(Tahmin!$C$4+90),DATE(YEAR((Tahmin!$C$4+90)),MONTH((Tahmin!$C$4+90)),MIN(DAY(Kalemler!$D163),DAY(EOMONTH((Tahmin!$C$4+90),0))))&lt;&gt;DATE(YEAR((Tahmin!$C$4+84)),MONTH((Tahmin!$C$4+84)),MIN(DAY(Kalemler!$D163),DAY(EOMONTH((Tahmin!$C$4+84),0)))),DATE(YEAR((Tahmin!$C$4+90)),MONTH((Tahmin!$C$4+90)),MIN(DAY(Kalemler!$D163),DAY(EOMONTH((Tahmin!$C$4+90),0))))&gt;=Kalemler!$D163)),1,0),IF(AND(Kalemler!$D163&gt;=(Tahmin!$C$4+84),Kalemler!$D163&lt;=(Tahmin!$C$4+90)),1,0))))</f>
        <v>0</v>
      </c>
    </row>
    <row r="164" customFormat="false" ht="15" hidden="false" customHeight="false" outlineLevel="0" collapsed="false">
      <c r="A164" s="0" t="str">
        <f aca="false">IF(Kalemler!A164="","",Kalemler!A164)</f>
        <v/>
      </c>
      <c r="B164" s="0" t="n">
        <f aca="false">IF(OR(Kalemler!$A164="",Kalemler!$C164="",Kalemler!$D164=""),0,Kalemler!$C164*IF(Kalemler!$E164="Haftalık",IF(Kalemler!$D164&lt;=(Tahmin!$C$4+6),1,0),IF(Kalemler!$E164="Aylık",IF(OR(AND(DATE(YEAR((Tahmin!$C$4+0)),MONTH((Tahmin!$C$4+0)),MIN(DAY(Kalemler!$D164),DAY(EOMONTH((Tahmin!$C$4+0),0))))&gt;=(Tahmin!$C$4+0),DATE(YEAR((Tahmin!$C$4+0)),MONTH((Tahmin!$C$4+0)),MIN(DAY(Kalemler!$D164),DAY(EOMONTH((Tahmin!$C$4+0),0))))&lt;=(Tahmin!$C$4+6),DATE(YEAR((Tahmin!$C$4+0)),MONTH((Tahmin!$C$4+0)),MIN(DAY(Kalemler!$D164),DAY(EOMONTH((Tahmin!$C$4+0),0))))&gt;=Kalemler!$D164),AND(DATE(YEAR((Tahmin!$C$4+6)),MONTH((Tahmin!$C$4+6)),MIN(DAY(Kalemler!$D164),DAY(EOMONTH((Tahmin!$C$4+6),0))))&gt;=(Tahmin!$C$4+0),DATE(YEAR((Tahmin!$C$4+6)),MONTH((Tahmin!$C$4+6)),MIN(DAY(Kalemler!$D164),DAY(EOMONTH((Tahmin!$C$4+6),0))))&lt;=(Tahmin!$C$4+6),DATE(YEAR((Tahmin!$C$4+6)),MONTH((Tahmin!$C$4+6)),MIN(DAY(Kalemler!$D164),DAY(EOMONTH((Tahmin!$C$4+6),0))))&lt;&gt;DATE(YEAR((Tahmin!$C$4+0)),MONTH((Tahmin!$C$4+0)),MIN(DAY(Kalemler!$D164),DAY(EOMONTH((Tahmin!$C$4+0),0)))),DATE(YEAR((Tahmin!$C$4+6)),MONTH((Tahmin!$C$4+6)),MIN(DAY(Kalemler!$D164),DAY(EOMONTH((Tahmin!$C$4+6),0))))&gt;=Kalemler!$D164)),1,0),IF(AND(Kalemler!$D164&gt;=(Tahmin!$C$4+0),Kalemler!$D164&lt;=(Tahmin!$C$4+6)),1,0))))</f>
        <v>0</v>
      </c>
      <c r="C164" s="0" t="n">
        <f aca="false">IF(OR(Kalemler!$A164="",Kalemler!$C164="",Kalemler!$D164=""),0,Kalemler!$C164*IF(Kalemler!$E164="Haftalık",IF(Kalemler!$D164&lt;=(Tahmin!$C$4+13),1,0),IF(Kalemler!$E164="Aylık",IF(OR(AND(DATE(YEAR((Tahmin!$C$4+7)),MONTH((Tahmin!$C$4+7)),MIN(DAY(Kalemler!$D164),DAY(EOMONTH((Tahmin!$C$4+7),0))))&gt;=(Tahmin!$C$4+7),DATE(YEAR((Tahmin!$C$4+7)),MONTH((Tahmin!$C$4+7)),MIN(DAY(Kalemler!$D164),DAY(EOMONTH((Tahmin!$C$4+7),0))))&lt;=(Tahmin!$C$4+13),DATE(YEAR((Tahmin!$C$4+7)),MONTH((Tahmin!$C$4+7)),MIN(DAY(Kalemler!$D164),DAY(EOMONTH((Tahmin!$C$4+7),0))))&gt;=Kalemler!$D164),AND(DATE(YEAR((Tahmin!$C$4+13)),MONTH((Tahmin!$C$4+13)),MIN(DAY(Kalemler!$D164),DAY(EOMONTH((Tahmin!$C$4+13),0))))&gt;=(Tahmin!$C$4+7),DATE(YEAR((Tahmin!$C$4+13)),MONTH((Tahmin!$C$4+13)),MIN(DAY(Kalemler!$D164),DAY(EOMONTH((Tahmin!$C$4+13),0))))&lt;=(Tahmin!$C$4+13),DATE(YEAR((Tahmin!$C$4+13)),MONTH((Tahmin!$C$4+13)),MIN(DAY(Kalemler!$D164),DAY(EOMONTH((Tahmin!$C$4+13),0))))&lt;&gt;DATE(YEAR((Tahmin!$C$4+7)),MONTH((Tahmin!$C$4+7)),MIN(DAY(Kalemler!$D164),DAY(EOMONTH((Tahmin!$C$4+7),0)))),DATE(YEAR((Tahmin!$C$4+13)),MONTH((Tahmin!$C$4+13)),MIN(DAY(Kalemler!$D164),DAY(EOMONTH((Tahmin!$C$4+13),0))))&gt;=Kalemler!$D164)),1,0),IF(AND(Kalemler!$D164&gt;=(Tahmin!$C$4+7),Kalemler!$D164&lt;=(Tahmin!$C$4+13)),1,0))))</f>
        <v>0</v>
      </c>
      <c r="D164" s="0" t="n">
        <f aca="false">IF(OR(Kalemler!$A164="",Kalemler!$C164="",Kalemler!$D164=""),0,Kalemler!$C164*IF(Kalemler!$E164="Haftalık",IF(Kalemler!$D164&lt;=(Tahmin!$C$4+20),1,0),IF(Kalemler!$E164="Aylık",IF(OR(AND(DATE(YEAR((Tahmin!$C$4+14)),MONTH((Tahmin!$C$4+14)),MIN(DAY(Kalemler!$D164),DAY(EOMONTH((Tahmin!$C$4+14),0))))&gt;=(Tahmin!$C$4+14),DATE(YEAR((Tahmin!$C$4+14)),MONTH((Tahmin!$C$4+14)),MIN(DAY(Kalemler!$D164),DAY(EOMONTH((Tahmin!$C$4+14),0))))&lt;=(Tahmin!$C$4+20),DATE(YEAR((Tahmin!$C$4+14)),MONTH((Tahmin!$C$4+14)),MIN(DAY(Kalemler!$D164),DAY(EOMONTH((Tahmin!$C$4+14),0))))&gt;=Kalemler!$D164),AND(DATE(YEAR((Tahmin!$C$4+20)),MONTH((Tahmin!$C$4+20)),MIN(DAY(Kalemler!$D164),DAY(EOMONTH((Tahmin!$C$4+20),0))))&gt;=(Tahmin!$C$4+14),DATE(YEAR((Tahmin!$C$4+20)),MONTH((Tahmin!$C$4+20)),MIN(DAY(Kalemler!$D164),DAY(EOMONTH((Tahmin!$C$4+20),0))))&lt;=(Tahmin!$C$4+20),DATE(YEAR((Tahmin!$C$4+20)),MONTH((Tahmin!$C$4+20)),MIN(DAY(Kalemler!$D164),DAY(EOMONTH((Tahmin!$C$4+20),0))))&lt;&gt;DATE(YEAR((Tahmin!$C$4+14)),MONTH((Tahmin!$C$4+14)),MIN(DAY(Kalemler!$D164),DAY(EOMONTH((Tahmin!$C$4+14),0)))),DATE(YEAR((Tahmin!$C$4+20)),MONTH((Tahmin!$C$4+20)),MIN(DAY(Kalemler!$D164),DAY(EOMONTH((Tahmin!$C$4+20),0))))&gt;=Kalemler!$D164)),1,0),IF(AND(Kalemler!$D164&gt;=(Tahmin!$C$4+14),Kalemler!$D164&lt;=(Tahmin!$C$4+20)),1,0))))</f>
        <v>0</v>
      </c>
      <c r="E164" s="0" t="n">
        <f aca="false">IF(OR(Kalemler!$A164="",Kalemler!$C164="",Kalemler!$D164=""),0,Kalemler!$C164*IF(Kalemler!$E164="Haftalık",IF(Kalemler!$D164&lt;=(Tahmin!$C$4+27),1,0),IF(Kalemler!$E164="Aylık",IF(OR(AND(DATE(YEAR((Tahmin!$C$4+21)),MONTH((Tahmin!$C$4+21)),MIN(DAY(Kalemler!$D164),DAY(EOMONTH((Tahmin!$C$4+21),0))))&gt;=(Tahmin!$C$4+21),DATE(YEAR((Tahmin!$C$4+21)),MONTH((Tahmin!$C$4+21)),MIN(DAY(Kalemler!$D164),DAY(EOMONTH((Tahmin!$C$4+21),0))))&lt;=(Tahmin!$C$4+27),DATE(YEAR((Tahmin!$C$4+21)),MONTH((Tahmin!$C$4+21)),MIN(DAY(Kalemler!$D164),DAY(EOMONTH((Tahmin!$C$4+21),0))))&gt;=Kalemler!$D164),AND(DATE(YEAR((Tahmin!$C$4+27)),MONTH((Tahmin!$C$4+27)),MIN(DAY(Kalemler!$D164),DAY(EOMONTH((Tahmin!$C$4+27),0))))&gt;=(Tahmin!$C$4+21),DATE(YEAR((Tahmin!$C$4+27)),MONTH((Tahmin!$C$4+27)),MIN(DAY(Kalemler!$D164),DAY(EOMONTH((Tahmin!$C$4+27),0))))&lt;=(Tahmin!$C$4+27),DATE(YEAR((Tahmin!$C$4+27)),MONTH((Tahmin!$C$4+27)),MIN(DAY(Kalemler!$D164),DAY(EOMONTH((Tahmin!$C$4+27),0))))&lt;&gt;DATE(YEAR((Tahmin!$C$4+21)),MONTH((Tahmin!$C$4+21)),MIN(DAY(Kalemler!$D164),DAY(EOMONTH((Tahmin!$C$4+21),0)))),DATE(YEAR((Tahmin!$C$4+27)),MONTH((Tahmin!$C$4+27)),MIN(DAY(Kalemler!$D164),DAY(EOMONTH((Tahmin!$C$4+27),0))))&gt;=Kalemler!$D164)),1,0),IF(AND(Kalemler!$D164&gt;=(Tahmin!$C$4+21),Kalemler!$D164&lt;=(Tahmin!$C$4+27)),1,0))))</f>
        <v>0</v>
      </c>
      <c r="F164" s="0" t="n">
        <f aca="false">IF(OR(Kalemler!$A164="",Kalemler!$C164="",Kalemler!$D164=""),0,Kalemler!$C164*IF(Kalemler!$E164="Haftalık",IF(Kalemler!$D164&lt;=(Tahmin!$C$4+34),1,0),IF(Kalemler!$E164="Aylık",IF(OR(AND(DATE(YEAR((Tahmin!$C$4+28)),MONTH((Tahmin!$C$4+28)),MIN(DAY(Kalemler!$D164),DAY(EOMONTH((Tahmin!$C$4+28),0))))&gt;=(Tahmin!$C$4+28),DATE(YEAR((Tahmin!$C$4+28)),MONTH((Tahmin!$C$4+28)),MIN(DAY(Kalemler!$D164),DAY(EOMONTH((Tahmin!$C$4+28),0))))&lt;=(Tahmin!$C$4+34),DATE(YEAR((Tahmin!$C$4+28)),MONTH((Tahmin!$C$4+28)),MIN(DAY(Kalemler!$D164),DAY(EOMONTH((Tahmin!$C$4+28),0))))&gt;=Kalemler!$D164),AND(DATE(YEAR((Tahmin!$C$4+34)),MONTH((Tahmin!$C$4+34)),MIN(DAY(Kalemler!$D164),DAY(EOMONTH((Tahmin!$C$4+34),0))))&gt;=(Tahmin!$C$4+28),DATE(YEAR((Tahmin!$C$4+34)),MONTH((Tahmin!$C$4+34)),MIN(DAY(Kalemler!$D164),DAY(EOMONTH((Tahmin!$C$4+34),0))))&lt;=(Tahmin!$C$4+34),DATE(YEAR((Tahmin!$C$4+34)),MONTH((Tahmin!$C$4+34)),MIN(DAY(Kalemler!$D164),DAY(EOMONTH((Tahmin!$C$4+34),0))))&lt;&gt;DATE(YEAR((Tahmin!$C$4+28)),MONTH((Tahmin!$C$4+28)),MIN(DAY(Kalemler!$D164),DAY(EOMONTH((Tahmin!$C$4+28),0)))),DATE(YEAR((Tahmin!$C$4+34)),MONTH((Tahmin!$C$4+34)),MIN(DAY(Kalemler!$D164),DAY(EOMONTH((Tahmin!$C$4+34),0))))&gt;=Kalemler!$D164)),1,0),IF(AND(Kalemler!$D164&gt;=(Tahmin!$C$4+28),Kalemler!$D164&lt;=(Tahmin!$C$4+34)),1,0))))</f>
        <v>0</v>
      </c>
      <c r="G164" s="0" t="n">
        <f aca="false">IF(OR(Kalemler!$A164="",Kalemler!$C164="",Kalemler!$D164=""),0,Kalemler!$C164*IF(Kalemler!$E164="Haftalık",IF(Kalemler!$D164&lt;=(Tahmin!$C$4+41),1,0),IF(Kalemler!$E164="Aylık",IF(OR(AND(DATE(YEAR((Tahmin!$C$4+35)),MONTH((Tahmin!$C$4+35)),MIN(DAY(Kalemler!$D164),DAY(EOMONTH((Tahmin!$C$4+35),0))))&gt;=(Tahmin!$C$4+35),DATE(YEAR((Tahmin!$C$4+35)),MONTH((Tahmin!$C$4+35)),MIN(DAY(Kalemler!$D164),DAY(EOMONTH((Tahmin!$C$4+35),0))))&lt;=(Tahmin!$C$4+41),DATE(YEAR((Tahmin!$C$4+35)),MONTH((Tahmin!$C$4+35)),MIN(DAY(Kalemler!$D164),DAY(EOMONTH((Tahmin!$C$4+35),0))))&gt;=Kalemler!$D164),AND(DATE(YEAR((Tahmin!$C$4+41)),MONTH((Tahmin!$C$4+41)),MIN(DAY(Kalemler!$D164),DAY(EOMONTH((Tahmin!$C$4+41),0))))&gt;=(Tahmin!$C$4+35),DATE(YEAR((Tahmin!$C$4+41)),MONTH((Tahmin!$C$4+41)),MIN(DAY(Kalemler!$D164),DAY(EOMONTH((Tahmin!$C$4+41),0))))&lt;=(Tahmin!$C$4+41),DATE(YEAR((Tahmin!$C$4+41)),MONTH((Tahmin!$C$4+41)),MIN(DAY(Kalemler!$D164),DAY(EOMONTH((Tahmin!$C$4+41),0))))&lt;&gt;DATE(YEAR((Tahmin!$C$4+35)),MONTH((Tahmin!$C$4+35)),MIN(DAY(Kalemler!$D164),DAY(EOMONTH((Tahmin!$C$4+35),0)))),DATE(YEAR((Tahmin!$C$4+41)),MONTH((Tahmin!$C$4+41)),MIN(DAY(Kalemler!$D164),DAY(EOMONTH((Tahmin!$C$4+41),0))))&gt;=Kalemler!$D164)),1,0),IF(AND(Kalemler!$D164&gt;=(Tahmin!$C$4+35),Kalemler!$D164&lt;=(Tahmin!$C$4+41)),1,0))))</f>
        <v>0</v>
      </c>
      <c r="H164" s="0" t="n">
        <f aca="false">IF(OR(Kalemler!$A164="",Kalemler!$C164="",Kalemler!$D164=""),0,Kalemler!$C164*IF(Kalemler!$E164="Haftalık",IF(Kalemler!$D164&lt;=(Tahmin!$C$4+48),1,0),IF(Kalemler!$E164="Aylık",IF(OR(AND(DATE(YEAR((Tahmin!$C$4+42)),MONTH((Tahmin!$C$4+42)),MIN(DAY(Kalemler!$D164),DAY(EOMONTH((Tahmin!$C$4+42),0))))&gt;=(Tahmin!$C$4+42),DATE(YEAR((Tahmin!$C$4+42)),MONTH((Tahmin!$C$4+42)),MIN(DAY(Kalemler!$D164),DAY(EOMONTH((Tahmin!$C$4+42),0))))&lt;=(Tahmin!$C$4+48),DATE(YEAR((Tahmin!$C$4+42)),MONTH((Tahmin!$C$4+42)),MIN(DAY(Kalemler!$D164),DAY(EOMONTH((Tahmin!$C$4+42),0))))&gt;=Kalemler!$D164),AND(DATE(YEAR((Tahmin!$C$4+48)),MONTH((Tahmin!$C$4+48)),MIN(DAY(Kalemler!$D164),DAY(EOMONTH((Tahmin!$C$4+48),0))))&gt;=(Tahmin!$C$4+42),DATE(YEAR((Tahmin!$C$4+48)),MONTH((Tahmin!$C$4+48)),MIN(DAY(Kalemler!$D164),DAY(EOMONTH((Tahmin!$C$4+48),0))))&lt;=(Tahmin!$C$4+48),DATE(YEAR((Tahmin!$C$4+48)),MONTH((Tahmin!$C$4+48)),MIN(DAY(Kalemler!$D164),DAY(EOMONTH((Tahmin!$C$4+48),0))))&lt;&gt;DATE(YEAR((Tahmin!$C$4+42)),MONTH((Tahmin!$C$4+42)),MIN(DAY(Kalemler!$D164),DAY(EOMONTH((Tahmin!$C$4+42),0)))),DATE(YEAR((Tahmin!$C$4+48)),MONTH((Tahmin!$C$4+48)),MIN(DAY(Kalemler!$D164),DAY(EOMONTH((Tahmin!$C$4+48),0))))&gt;=Kalemler!$D164)),1,0),IF(AND(Kalemler!$D164&gt;=(Tahmin!$C$4+42),Kalemler!$D164&lt;=(Tahmin!$C$4+48)),1,0))))</f>
        <v>0</v>
      </c>
      <c r="I164" s="0" t="n">
        <f aca="false">IF(OR(Kalemler!$A164="",Kalemler!$C164="",Kalemler!$D164=""),0,Kalemler!$C164*IF(Kalemler!$E164="Haftalık",IF(Kalemler!$D164&lt;=(Tahmin!$C$4+55),1,0),IF(Kalemler!$E164="Aylık",IF(OR(AND(DATE(YEAR((Tahmin!$C$4+49)),MONTH((Tahmin!$C$4+49)),MIN(DAY(Kalemler!$D164),DAY(EOMONTH((Tahmin!$C$4+49),0))))&gt;=(Tahmin!$C$4+49),DATE(YEAR((Tahmin!$C$4+49)),MONTH((Tahmin!$C$4+49)),MIN(DAY(Kalemler!$D164),DAY(EOMONTH((Tahmin!$C$4+49),0))))&lt;=(Tahmin!$C$4+55),DATE(YEAR((Tahmin!$C$4+49)),MONTH((Tahmin!$C$4+49)),MIN(DAY(Kalemler!$D164),DAY(EOMONTH((Tahmin!$C$4+49),0))))&gt;=Kalemler!$D164),AND(DATE(YEAR((Tahmin!$C$4+55)),MONTH((Tahmin!$C$4+55)),MIN(DAY(Kalemler!$D164),DAY(EOMONTH((Tahmin!$C$4+55),0))))&gt;=(Tahmin!$C$4+49),DATE(YEAR((Tahmin!$C$4+55)),MONTH((Tahmin!$C$4+55)),MIN(DAY(Kalemler!$D164),DAY(EOMONTH((Tahmin!$C$4+55),0))))&lt;=(Tahmin!$C$4+55),DATE(YEAR((Tahmin!$C$4+55)),MONTH((Tahmin!$C$4+55)),MIN(DAY(Kalemler!$D164),DAY(EOMONTH((Tahmin!$C$4+55),0))))&lt;&gt;DATE(YEAR((Tahmin!$C$4+49)),MONTH((Tahmin!$C$4+49)),MIN(DAY(Kalemler!$D164),DAY(EOMONTH((Tahmin!$C$4+49),0)))),DATE(YEAR((Tahmin!$C$4+55)),MONTH((Tahmin!$C$4+55)),MIN(DAY(Kalemler!$D164),DAY(EOMONTH((Tahmin!$C$4+55),0))))&gt;=Kalemler!$D164)),1,0),IF(AND(Kalemler!$D164&gt;=(Tahmin!$C$4+49),Kalemler!$D164&lt;=(Tahmin!$C$4+55)),1,0))))</f>
        <v>0</v>
      </c>
      <c r="J164" s="0" t="n">
        <f aca="false">IF(OR(Kalemler!$A164="",Kalemler!$C164="",Kalemler!$D164=""),0,Kalemler!$C164*IF(Kalemler!$E164="Haftalık",IF(Kalemler!$D164&lt;=(Tahmin!$C$4+62),1,0),IF(Kalemler!$E164="Aylık",IF(OR(AND(DATE(YEAR((Tahmin!$C$4+56)),MONTH((Tahmin!$C$4+56)),MIN(DAY(Kalemler!$D164),DAY(EOMONTH((Tahmin!$C$4+56),0))))&gt;=(Tahmin!$C$4+56),DATE(YEAR((Tahmin!$C$4+56)),MONTH((Tahmin!$C$4+56)),MIN(DAY(Kalemler!$D164),DAY(EOMONTH((Tahmin!$C$4+56),0))))&lt;=(Tahmin!$C$4+62),DATE(YEAR((Tahmin!$C$4+56)),MONTH((Tahmin!$C$4+56)),MIN(DAY(Kalemler!$D164),DAY(EOMONTH((Tahmin!$C$4+56),0))))&gt;=Kalemler!$D164),AND(DATE(YEAR((Tahmin!$C$4+62)),MONTH((Tahmin!$C$4+62)),MIN(DAY(Kalemler!$D164),DAY(EOMONTH((Tahmin!$C$4+62),0))))&gt;=(Tahmin!$C$4+56),DATE(YEAR((Tahmin!$C$4+62)),MONTH((Tahmin!$C$4+62)),MIN(DAY(Kalemler!$D164),DAY(EOMONTH((Tahmin!$C$4+62),0))))&lt;=(Tahmin!$C$4+62),DATE(YEAR((Tahmin!$C$4+62)),MONTH((Tahmin!$C$4+62)),MIN(DAY(Kalemler!$D164),DAY(EOMONTH((Tahmin!$C$4+62),0))))&lt;&gt;DATE(YEAR((Tahmin!$C$4+56)),MONTH((Tahmin!$C$4+56)),MIN(DAY(Kalemler!$D164),DAY(EOMONTH((Tahmin!$C$4+56),0)))),DATE(YEAR((Tahmin!$C$4+62)),MONTH((Tahmin!$C$4+62)),MIN(DAY(Kalemler!$D164),DAY(EOMONTH((Tahmin!$C$4+62),0))))&gt;=Kalemler!$D164)),1,0),IF(AND(Kalemler!$D164&gt;=(Tahmin!$C$4+56),Kalemler!$D164&lt;=(Tahmin!$C$4+62)),1,0))))</f>
        <v>0</v>
      </c>
      <c r="K164" s="0" t="n">
        <f aca="false">IF(OR(Kalemler!$A164="",Kalemler!$C164="",Kalemler!$D164=""),0,Kalemler!$C164*IF(Kalemler!$E164="Haftalık",IF(Kalemler!$D164&lt;=(Tahmin!$C$4+69),1,0),IF(Kalemler!$E164="Aylık",IF(OR(AND(DATE(YEAR((Tahmin!$C$4+63)),MONTH((Tahmin!$C$4+63)),MIN(DAY(Kalemler!$D164),DAY(EOMONTH((Tahmin!$C$4+63),0))))&gt;=(Tahmin!$C$4+63),DATE(YEAR((Tahmin!$C$4+63)),MONTH((Tahmin!$C$4+63)),MIN(DAY(Kalemler!$D164),DAY(EOMONTH((Tahmin!$C$4+63),0))))&lt;=(Tahmin!$C$4+69),DATE(YEAR((Tahmin!$C$4+63)),MONTH((Tahmin!$C$4+63)),MIN(DAY(Kalemler!$D164),DAY(EOMONTH((Tahmin!$C$4+63),0))))&gt;=Kalemler!$D164),AND(DATE(YEAR((Tahmin!$C$4+69)),MONTH((Tahmin!$C$4+69)),MIN(DAY(Kalemler!$D164),DAY(EOMONTH((Tahmin!$C$4+69),0))))&gt;=(Tahmin!$C$4+63),DATE(YEAR((Tahmin!$C$4+69)),MONTH((Tahmin!$C$4+69)),MIN(DAY(Kalemler!$D164),DAY(EOMONTH((Tahmin!$C$4+69),0))))&lt;=(Tahmin!$C$4+69),DATE(YEAR((Tahmin!$C$4+69)),MONTH((Tahmin!$C$4+69)),MIN(DAY(Kalemler!$D164),DAY(EOMONTH((Tahmin!$C$4+69),0))))&lt;&gt;DATE(YEAR((Tahmin!$C$4+63)),MONTH((Tahmin!$C$4+63)),MIN(DAY(Kalemler!$D164),DAY(EOMONTH((Tahmin!$C$4+63),0)))),DATE(YEAR((Tahmin!$C$4+69)),MONTH((Tahmin!$C$4+69)),MIN(DAY(Kalemler!$D164),DAY(EOMONTH((Tahmin!$C$4+69),0))))&gt;=Kalemler!$D164)),1,0),IF(AND(Kalemler!$D164&gt;=(Tahmin!$C$4+63),Kalemler!$D164&lt;=(Tahmin!$C$4+69)),1,0))))</f>
        <v>0</v>
      </c>
      <c r="L164" s="0" t="n">
        <f aca="false">IF(OR(Kalemler!$A164="",Kalemler!$C164="",Kalemler!$D164=""),0,Kalemler!$C164*IF(Kalemler!$E164="Haftalık",IF(Kalemler!$D164&lt;=(Tahmin!$C$4+76),1,0),IF(Kalemler!$E164="Aylık",IF(OR(AND(DATE(YEAR((Tahmin!$C$4+70)),MONTH((Tahmin!$C$4+70)),MIN(DAY(Kalemler!$D164),DAY(EOMONTH((Tahmin!$C$4+70),0))))&gt;=(Tahmin!$C$4+70),DATE(YEAR((Tahmin!$C$4+70)),MONTH((Tahmin!$C$4+70)),MIN(DAY(Kalemler!$D164),DAY(EOMONTH((Tahmin!$C$4+70),0))))&lt;=(Tahmin!$C$4+76),DATE(YEAR((Tahmin!$C$4+70)),MONTH((Tahmin!$C$4+70)),MIN(DAY(Kalemler!$D164),DAY(EOMONTH((Tahmin!$C$4+70),0))))&gt;=Kalemler!$D164),AND(DATE(YEAR((Tahmin!$C$4+76)),MONTH((Tahmin!$C$4+76)),MIN(DAY(Kalemler!$D164),DAY(EOMONTH((Tahmin!$C$4+76),0))))&gt;=(Tahmin!$C$4+70),DATE(YEAR((Tahmin!$C$4+76)),MONTH((Tahmin!$C$4+76)),MIN(DAY(Kalemler!$D164),DAY(EOMONTH((Tahmin!$C$4+76),0))))&lt;=(Tahmin!$C$4+76),DATE(YEAR((Tahmin!$C$4+76)),MONTH((Tahmin!$C$4+76)),MIN(DAY(Kalemler!$D164),DAY(EOMONTH((Tahmin!$C$4+76),0))))&lt;&gt;DATE(YEAR((Tahmin!$C$4+70)),MONTH((Tahmin!$C$4+70)),MIN(DAY(Kalemler!$D164),DAY(EOMONTH((Tahmin!$C$4+70),0)))),DATE(YEAR((Tahmin!$C$4+76)),MONTH((Tahmin!$C$4+76)),MIN(DAY(Kalemler!$D164),DAY(EOMONTH((Tahmin!$C$4+76),0))))&gt;=Kalemler!$D164)),1,0),IF(AND(Kalemler!$D164&gt;=(Tahmin!$C$4+70),Kalemler!$D164&lt;=(Tahmin!$C$4+76)),1,0))))</f>
        <v>0</v>
      </c>
      <c r="M164" s="0" t="n">
        <f aca="false">IF(OR(Kalemler!$A164="",Kalemler!$C164="",Kalemler!$D164=""),0,Kalemler!$C164*IF(Kalemler!$E164="Haftalık",IF(Kalemler!$D164&lt;=(Tahmin!$C$4+83),1,0),IF(Kalemler!$E164="Aylık",IF(OR(AND(DATE(YEAR((Tahmin!$C$4+77)),MONTH((Tahmin!$C$4+77)),MIN(DAY(Kalemler!$D164),DAY(EOMONTH((Tahmin!$C$4+77),0))))&gt;=(Tahmin!$C$4+77),DATE(YEAR((Tahmin!$C$4+77)),MONTH((Tahmin!$C$4+77)),MIN(DAY(Kalemler!$D164),DAY(EOMONTH((Tahmin!$C$4+77),0))))&lt;=(Tahmin!$C$4+83),DATE(YEAR((Tahmin!$C$4+77)),MONTH((Tahmin!$C$4+77)),MIN(DAY(Kalemler!$D164),DAY(EOMONTH((Tahmin!$C$4+77),0))))&gt;=Kalemler!$D164),AND(DATE(YEAR((Tahmin!$C$4+83)),MONTH((Tahmin!$C$4+83)),MIN(DAY(Kalemler!$D164),DAY(EOMONTH((Tahmin!$C$4+83),0))))&gt;=(Tahmin!$C$4+77),DATE(YEAR((Tahmin!$C$4+83)),MONTH((Tahmin!$C$4+83)),MIN(DAY(Kalemler!$D164),DAY(EOMONTH((Tahmin!$C$4+83),0))))&lt;=(Tahmin!$C$4+83),DATE(YEAR((Tahmin!$C$4+83)),MONTH((Tahmin!$C$4+83)),MIN(DAY(Kalemler!$D164),DAY(EOMONTH((Tahmin!$C$4+83),0))))&lt;&gt;DATE(YEAR((Tahmin!$C$4+77)),MONTH((Tahmin!$C$4+77)),MIN(DAY(Kalemler!$D164),DAY(EOMONTH((Tahmin!$C$4+77),0)))),DATE(YEAR((Tahmin!$C$4+83)),MONTH((Tahmin!$C$4+83)),MIN(DAY(Kalemler!$D164),DAY(EOMONTH((Tahmin!$C$4+83),0))))&gt;=Kalemler!$D164)),1,0),IF(AND(Kalemler!$D164&gt;=(Tahmin!$C$4+77),Kalemler!$D164&lt;=(Tahmin!$C$4+83)),1,0))))</f>
        <v>0</v>
      </c>
      <c r="N164" s="0" t="n">
        <f aca="false">IF(OR(Kalemler!$A164="",Kalemler!$C164="",Kalemler!$D164=""),0,Kalemler!$C164*IF(Kalemler!$E164="Haftalık",IF(Kalemler!$D164&lt;=(Tahmin!$C$4+90),1,0),IF(Kalemler!$E164="Aylık",IF(OR(AND(DATE(YEAR((Tahmin!$C$4+84)),MONTH((Tahmin!$C$4+84)),MIN(DAY(Kalemler!$D164),DAY(EOMONTH((Tahmin!$C$4+84),0))))&gt;=(Tahmin!$C$4+84),DATE(YEAR((Tahmin!$C$4+84)),MONTH((Tahmin!$C$4+84)),MIN(DAY(Kalemler!$D164),DAY(EOMONTH((Tahmin!$C$4+84),0))))&lt;=(Tahmin!$C$4+90),DATE(YEAR((Tahmin!$C$4+84)),MONTH((Tahmin!$C$4+84)),MIN(DAY(Kalemler!$D164),DAY(EOMONTH((Tahmin!$C$4+84),0))))&gt;=Kalemler!$D164),AND(DATE(YEAR((Tahmin!$C$4+90)),MONTH((Tahmin!$C$4+90)),MIN(DAY(Kalemler!$D164),DAY(EOMONTH((Tahmin!$C$4+90),0))))&gt;=(Tahmin!$C$4+84),DATE(YEAR((Tahmin!$C$4+90)),MONTH((Tahmin!$C$4+90)),MIN(DAY(Kalemler!$D164),DAY(EOMONTH((Tahmin!$C$4+90),0))))&lt;=(Tahmin!$C$4+90),DATE(YEAR((Tahmin!$C$4+90)),MONTH((Tahmin!$C$4+90)),MIN(DAY(Kalemler!$D164),DAY(EOMONTH((Tahmin!$C$4+90),0))))&lt;&gt;DATE(YEAR((Tahmin!$C$4+84)),MONTH((Tahmin!$C$4+84)),MIN(DAY(Kalemler!$D164),DAY(EOMONTH((Tahmin!$C$4+84),0)))),DATE(YEAR((Tahmin!$C$4+90)),MONTH((Tahmin!$C$4+90)),MIN(DAY(Kalemler!$D164),DAY(EOMONTH((Tahmin!$C$4+90),0))))&gt;=Kalemler!$D164)),1,0),IF(AND(Kalemler!$D164&gt;=(Tahmin!$C$4+84),Kalemler!$D164&lt;=(Tahmin!$C$4+90)),1,0))))</f>
        <v>0</v>
      </c>
    </row>
    <row r="165" customFormat="false" ht="15" hidden="false" customHeight="false" outlineLevel="0" collapsed="false">
      <c r="A165" s="0" t="str">
        <f aca="false">IF(Kalemler!A165="","",Kalemler!A165)</f>
        <v/>
      </c>
      <c r="B165" s="0" t="n">
        <f aca="false">IF(OR(Kalemler!$A165="",Kalemler!$C165="",Kalemler!$D165=""),0,Kalemler!$C165*IF(Kalemler!$E165="Haftalık",IF(Kalemler!$D165&lt;=(Tahmin!$C$4+6),1,0),IF(Kalemler!$E165="Aylık",IF(OR(AND(DATE(YEAR((Tahmin!$C$4+0)),MONTH((Tahmin!$C$4+0)),MIN(DAY(Kalemler!$D165),DAY(EOMONTH((Tahmin!$C$4+0),0))))&gt;=(Tahmin!$C$4+0),DATE(YEAR((Tahmin!$C$4+0)),MONTH((Tahmin!$C$4+0)),MIN(DAY(Kalemler!$D165),DAY(EOMONTH((Tahmin!$C$4+0),0))))&lt;=(Tahmin!$C$4+6),DATE(YEAR((Tahmin!$C$4+0)),MONTH((Tahmin!$C$4+0)),MIN(DAY(Kalemler!$D165),DAY(EOMONTH((Tahmin!$C$4+0),0))))&gt;=Kalemler!$D165),AND(DATE(YEAR((Tahmin!$C$4+6)),MONTH((Tahmin!$C$4+6)),MIN(DAY(Kalemler!$D165),DAY(EOMONTH((Tahmin!$C$4+6),0))))&gt;=(Tahmin!$C$4+0),DATE(YEAR((Tahmin!$C$4+6)),MONTH((Tahmin!$C$4+6)),MIN(DAY(Kalemler!$D165),DAY(EOMONTH((Tahmin!$C$4+6),0))))&lt;=(Tahmin!$C$4+6),DATE(YEAR((Tahmin!$C$4+6)),MONTH((Tahmin!$C$4+6)),MIN(DAY(Kalemler!$D165),DAY(EOMONTH((Tahmin!$C$4+6),0))))&lt;&gt;DATE(YEAR((Tahmin!$C$4+0)),MONTH((Tahmin!$C$4+0)),MIN(DAY(Kalemler!$D165),DAY(EOMONTH((Tahmin!$C$4+0),0)))),DATE(YEAR((Tahmin!$C$4+6)),MONTH((Tahmin!$C$4+6)),MIN(DAY(Kalemler!$D165),DAY(EOMONTH((Tahmin!$C$4+6),0))))&gt;=Kalemler!$D165)),1,0),IF(AND(Kalemler!$D165&gt;=(Tahmin!$C$4+0),Kalemler!$D165&lt;=(Tahmin!$C$4+6)),1,0))))</f>
        <v>0</v>
      </c>
      <c r="C165" s="0" t="n">
        <f aca="false">IF(OR(Kalemler!$A165="",Kalemler!$C165="",Kalemler!$D165=""),0,Kalemler!$C165*IF(Kalemler!$E165="Haftalık",IF(Kalemler!$D165&lt;=(Tahmin!$C$4+13),1,0),IF(Kalemler!$E165="Aylık",IF(OR(AND(DATE(YEAR((Tahmin!$C$4+7)),MONTH((Tahmin!$C$4+7)),MIN(DAY(Kalemler!$D165),DAY(EOMONTH((Tahmin!$C$4+7),0))))&gt;=(Tahmin!$C$4+7),DATE(YEAR((Tahmin!$C$4+7)),MONTH((Tahmin!$C$4+7)),MIN(DAY(Kalemler!$D165),DAY(EOMONTH((Tahmin!$C$4+7),0))))&lt;=(Tahmin!$C$4+13),DATE(YEAR((Tahmin!$C$4+7)),MONTH((Tahmin!$C$4+7)),MIN(DAY(Kalemler!$D165),DAY(EOMONTH((Tahmin!$C$4+7),0))))&gt;=Kalemler!$D165),AND(DATE(YEAR((Tahmin!$C$4+13)),MONTH((Tahmin!$C$4+13)),MIN(DAY(Kalemler!$D165),DAY(EOMONTH((Tahmin!$C$4+13),0))))&gt;=(Tahmin!$C$4+7),DATE(YEAR((Tahmin!$C$4+13)),MONTH((Tahmin!$C$4+13)),MIN(DAY(Kalemler!$D165),DAY(EOMONTH((Tahmin!$C$4+13),0))))&lt;=(Tahmin!$C$4+13),DATE(YEAR((Tahmin!$C$4+13)),MONTH((Tahmin!$C$4+13)),MIN(DAY(Kalemler!$D165),DAY(EOMONTH((Tahmin!$C$4+13),0))))&lt;&gt;DATE(YEAR((Tahmin!$C$4+7)),MONTH((Tahmin!$C$4+7)),MIN(DAY(Kalemler!$D165),DAY(EOMONTH((Tahmin!$C$4+7),0)))),DATE(YEAR((Tahmin!$C$4+13)),MONTH((Tahmin!$C$4+13)),MIN(DAY(Kalemler!$D165),DAY(EOMONTH((Tahmin!$C$4+13),0))))&gt;=Kalemler!$D165)),1,0),IF(AND(Kalemler!$D165&gt;=(Tahmin!$C$4+7),Kalemler!$D165&lt;=(Tahmin!$C$4+13)),1,0))))</f>
        <v>0</v>
      </c>
      <c r="D165" s="0" t="n">
        <f aca="false">IF(OR(Kalemler!$A165="",Kalemler!$C165="",Kalemler!$D165=""),0,Kalemler!$C165*IF(Kalemler!$E165="Haftalık",IF(Kalemler!$D165&lt;=(Tahmin!$C$4+20),1,0),IF(Kalemler!$E165="Aylık",IF(OR(AND(DATE(YEAR((Tahmin!$C$4+14)),MONTH((Tahmin!$C$4+14)),MIN(DAY(Kalemler!$D165),DAY(EOMONTH((Tahmin!$C$4+14),0))))&gt;=(Tahmin!$C$4+14),DATE(YEAR((Tahmin!$C$4+14)),MONTH((Tahmin!$C$4+14)),MIN(DAY(Kalemler!$D165),DAY(EOMONTH((Tahmin!$C$4+14),0))))&lt;=(Tahmin!$C$4+20),DATE(YEAR((Tahmin!$C$4+14)),MONTH((Tahmin!$C$4+14)),MIN(DAY(Kalemler!$D165),DAY(EOMONTH((Tahmin!$C$4+14),0))))&gt;=Kalemler!$D165),AND(DATE(YEAR((Tahmin!$C$4+20)),MONTH((Tahmin!$C$4+20)),MIN(DAY(Kalemler!$D165),DAY(EOMONTH((Tahmin!$C$4+20),0))))&gt;=(Tahmin!$C$4+14),DATE(YEAR((Tahmin!$C$4+20)),MONTH((Tahmin!$C$4+20)),MIN(DAY(Kalemler!$D165),DAY(EOMONTH((Tahmin!$C$4+20),0))))&lt;=(Tahmin!$C$4+20),DATE(YEAR((Tahmin!$C$4+20)),MONTH((Tahmin!$C$4+20)),MIN(DAY(Kalemler!$D165),DAY(EOMONTH((Tahmin!$C$4+20),0))))&lt;&gt;DATE(YEAR((Tahmin!$C$4+14)),MONTH((Tahmin!$C$4+14)),MIN(DAY(Kalemler!$D165),DAY(EOMONTH((Tahmin!$C$4+14),0)))),DATE(YEAR((Tahmin!$C$4+20)),MONTH((Tahmin!$C$4+20)),MIN(DAY(Kalemler!$D165),DAY(EOMONTH((Tahmin!$C$4+20),0))))&gt;=Kalemler!$D165)),1,0),IF(AND(Kalemler!$D165&gt;=(Tahmin!$C$4+14),Kalemler!$D165&lt;=(Tahmin!$C$4+20)),1,0))))</f>
        <v>0</v>
      </c>
      <c r="E165" s="0" t="n">
        <f aca="false">IF(OR(Kalemler!$A165="",Kalemler!$C165="",Kalemler!$D165=""),0,Kalemler!$C165*IF(Kalemler!$E165="Haftalık",IF(Kalemler!$D165&lt;=(Tahmin!$C$4+27),1,0),IF(Kalemler!$E165="Aylık",IF(OR(AND(DATE(YEAR((Tahmin!$C$4+21)),MONTH((Tahmin!$C$4+21)),MIN(DAY(Kalemler!$D165),DAY(EOMONTH((Tahmin!$C$4+21),0))))&gt;=(Tahmin!$C$4+21),DATE(YEAR((Tahmin!$C$4+21)),MONTH((Tahmin!$C$4+21)),MIN(DAY(Kalemler!$D165),DAY(EOMONTH((Tahmin!$C$4+21),0))))&lt;=(Tahmin!$C$4+27),DATE(YEAR((Tahmin!$C$4+21)),MONTH((Tahmin!$C$4+21)),MIN(DAY(Kalemler!$D165),DAY(EOMONTH((Tahmin!$C$4+21),0))))&gt;=Kalemler!$D165),AND(DATE(YEAR((Tahmin!$C$4+27)),MONTH((Tahmin!$C$4+27)),MIN(DAY(Kalemler!$D165),DAY(EOMONTH((Tahmin!$C$4+27),0))))&gt;=(Tahmin!$C$4+21),DATE(YEAR((Tahmin!$C$4+27)),MONTH((Tahmin!$C$4+27)),MIN(DAY(Kalemler!$D165),DAY(EOMONTH((Tahmin!$C$4+27),0))))&lt;=(Tahmin!$C$4+27),DATE(YEAR((Tahmin!$C$4+27)),MONTH((Tahmin!$C$4+27)),MIN(DAY(Kalemler!$D165),DAY(EOMONTH((Tahmin!$C$4+27),0))))&lt;&gt;DATE(YEAR((Tahmin!$C$4+21)),MONTH((Tahmin!$C$4+21)),MIN(DAY(Kalemler!$D165),DAY(EOMONTH((Tahmin!$C$4+21),0)))),DATE(YEAR((Tahmin!$C$4+27)),MONTH((Tahmin!$C$4+27)),MIN(DAY(Kalemler!$D165),DAY(EOMONTH((Tahmin!$C$4+27),0))))&gt;=Kalemler!$D165)),1,0),IF(AND(Kalemler!$D165&gt;=(Tahmin!$C$4+21),Kalemler!$D165&lt;=(Tahmin!$C$4+27)),1,0))))</f>
        <v>0</v>
      </c>
      <c r="F165" s="0" t="n">
        <f aca="false">IF(OR(Kalemler!$A165="",Kalemler!$C165="",Kalemler!$D165=""),0,Kalemler!$C165*IF(Kalemler!$E165="Haftalık",IF(Kalemler!$D165&lt;=(Tahmin!$C$4+34),1,0),IF(Kalemler!$E165="Aylık",IF(OR(AND(DATE(YEAR((Tahmin!$C$4+28)),MONTH((Tahmin!$C$4+28)),MIN(DAY(Kalemler!$D165),DAY(EOMONTH((Tahmin!$C$4+28),0))))&gt;=(Tahmin!$C$4+28),DATE(YEAR((Tahmin!$C$4+28)),MONTH((Tahmin!$C$4+28)),MIN(DAY(Kalemler!$D165),DAY(EOMONTH((Tahmin!$C$4+28),0))))&lt;=(Tahmin!$C$4+34),DATE(YEAR((Tahmin!$C$4+28)),MONTH((Tahmin!$C$4+28)),MIN(DAY(Kalemler!$D165),DAY(EOMONTH((Tahmin!$C$4+28),0))))&gt;=Kalemler!$D165),AND(DATE(YEAR((Tahmin!$C$4+34)),MONTH((Tahmin!$C$4+34)),MIN(DAY(Kalemler!$D165),DAY(EOMONTH((Tahmin!$C$4+34),0))))&gt;=(Tahmin!$C$4+28),DATE(YEAR((Tahmin!$C$4+34)),MONTH((Tahmin!$C$4+34)),MIN(DAY(Kalemler!$D165),DAY(EOMONTH((Tahmin!$C$4+34),0))))&lt;=(Tahmin!$C$4+34),DATE(YEAR((Tahmin!$C$4+34)),MONTH((Tahmin!$C$4+34)),MIN(DAY(Kalemler!$D165),DAY(EOMONTH((Tahmin!$C$4+34),0))))&lt;&gt;DATE(YEAR((Tahmin!$C$4+28)),MONTH((Tahmin!$C$4+28)),MIN(DAY(Kalemler!$D165),DAY(EOMONTH((Tahmin!$C$4+28),0)))),DATE(YEAR((Tahmin!$C$4+34)),MONTH((Tahmin!$C$4+34)),MIN(DAY(Kalemler!$D165),DAY(EOMONTH((Tahmin!$C$4+34),0))))&gt;=Kalemler!$D165)),1,0),IF(AND(Kalemler!$D165&gt;=(Tahmin!$C$4+28),Kalemler!$D165&lt;=(Tahmin!$C$4+34)),1,0))))</f>
        <v>0</v>
      </c>
      <c r="G165" s="0" t="n">
        <f aca="false">IF(OR(Kalemler!$A165="",Kalemler!$C165="",Kalemler!$D165=""),0,Kalemler!$C165*IF(Kalemler!$E165="Haftalık",IF(Kalemler!$D165&lt;=(Tahmin!$C$4+41),1,0),IF(Kalemler!$E165="Aylık",IF(OR(AND(DATE(YEAR((Tahmin!$C$4+35)),MONTH((Tahmin!$C$4+35)),MIN(DAY(Kalemler!$D165),DAY(EOMONTH((Tahmin!$C$4+35),0))))&gt;=(Tahmin!$C$4+35),DATE(YEAR((Tahmin!$C$4+35)),MONTH((Tahmin!$C$4+35)),MIN(DAY(Kalemler!$D165),DAY(EOMONTH((Tahmin!$C$4+35),0))))&lt;=(Tahmin!$C$4+41),DATE(YEAR((Tahmin!$C$4+35)),MONTH((Tahmin!$C$4+35)),MIN(DAY(Kalemler!$D165),DAY(EOMONTH((Tahmin!$C$4+35),0))))&gt;=Kalemler!$D165),AND(DATE(YEAR((Tahmin!$C$4+41)),MONTH((Tahmin!$C$4+41)),MIN(DAY(Kalemler!$D165),DAY(EOMONTH((Tahmin!$C$4+41),0))))&gt;=(Tahmin!$C$4+35),DATE(YEAR((Tahmin!$C$4+41)),MONTH((Tahmin!$C$4+41)),MIN(DAY(Kalemler!$D165),DAY(EOMONTH((Tahmin!$C$4+41),0))))&lt;=(Tahmin!$C$4+41),DATE(YEAR((Tahmin!$C$4+41)),MONTH((Tahmin!$C$4+41)),MIN(DAY(Kalemler!$D165),DAY(EOMONTH((Tahmin!$C$4+41),0))))&lt;&gt;DATE(YEAR((Tahmin!$C$4+35)),MONTH((Tahmin!$C$4+35)),MIN(DAY(Kalemler!$D165),DAY(EOMONTH((Tahmin!$C$4+35),0)))),DATE(YEAR((Tahmin!$C$4+41)),MONTH((Tahmin!$C$4+41)),MIN(DAY(Kalemler!$D165),DAY(EOMONTH((Tahmin!$C$4+41),0))))&gt;=Kalemler!$D165)),1,0),IF(AND(Kalemler!$D165&gt;=(Tahmin!$C$4+35),Kalemler!$D165&lt;=(Tahmin!$C$4+41)),1,0))))</f>
        <v>0</v>
      </c>
      <c r="H165" s="0" t="n">
        <f aca="false">IF(OR(Kalemler!$A165="",Kalemler!$C165="",Kalemler!$D165=""),0,Kalemler!$C165*IF(Kalemler!$E165="Haftalık",IF(Kalemler!$D165&lt;=(Tahmin!$C$4+48),1,0),IF(Kalemler!$E165="Aylık",IF(OR(AND(DATE(YEAR((Tahmin!$C$4+42)),MONTH((Tahmin!$C$4+42)),MIN(DAY(Kalemler!$D165),DAY(EOMONTH((Tahmin!$C$4+42),0))))&gt;=(Tahmin!$C$4+42),DATE(YEAR((Tahmin!$C$4+42)),MONTH((Tahmin!$C$4+42)),MIN(DAY(Kalemler!$D165),DAY(EOMONTH((Tahmin!$C$4+42),0))))&lt;=(Tahmin!$C$4+48),DATE(YEAR((Tahmin!$C$4+42)),MONTH((Tahmin!$C$4+42)),MIN(DAY(Kalemler!$D165),DAY(EOMONTH((Tahmin!$C$4+42),0))))&gt;=Kalemler!$D165),AND(DATE(YEAR((Tahmin!$C$4+48)),MONTH((Tahmin!$C$4+48)),MIN(DAY(Kalemler!$D165),DAY(EOMONTH((Tahmin!$C$4+48),0))))&gt;=(Tahmin!$C$4+42),DATE(YEAR((Tahmin!$C$4+48)),MONTH((Tahmin!$C$4+48)),MIN(DAY(Kalemler!$D165),DAY(EOMONTH((Tahmin!$C$4+48),0))))&lt;=(Tahmin!$C$4+48),DATE(YEAR((Tahmin!$C$4+48)),MONTH((Tahmin!$C$4+48)),MIN(DAY(Kalemler!$D165),DAY(EOMONTH((Tahmin!$C$4+48),0))))&lt;&gt;DATE(YEAR((Tahmin!$C$4+42)),MONTH((Tahmin!$C$4+42)),MIN(DAY(Kalemler!$D165),DAY(EOMONTH((Tahmin!$C$4+42),0)))),DATE(YEAR((Tahmin!$C$4+48)),MONTH((Tahmin!$C$4+48)),MIN(DAY(Kalemler!$D165),DAY(EOMONTH((Tahmin!$C$4+48),0))))&gt;=Kalemler!$D165)),1,0),IF(AND(Kalemler!$D165&gt;=(Tahmin!$C$4+42),Kalemler!$D165&lt;=(Tahmin!$C$4+48)),1,0))))</f>
        <v>0</v>
      </c>
      <c r="I165" s="0" t="n">
        <f aca="false">IF(OR(Kalemler!$A165="",Kalemler!$C165="",Kalemler!$D165=""),0,Kalemler!$C165*IF(Kalemler!$E165="Haftalık",IF(Kalemler!$D165&lt;=(Tahmin!$C$4+55),1,0),IF(Kalemler!$E165="Aylık",IF(OR(AND(DATE(YEAR((Tahmin!$C$4+49)),MONTH((Tahmin!$C$4+49)),MIN(DAY(Kalemler!$D165),DAY(EOMONTH((Tahmin!$C$4+49),0))))&gt;=(Tahmin!$C$4+49),DATE(YEAR((Tahmin!$C$4+49)),MONTH((Tahmin!$C$4+49)),MIN(DAY(Kalemler!$D165),DAY(EOMONTH((Tahmin!$C$4+49),0))))&lt;=(Tahmin!$C$4+55),DATE(YEAR((Tahmin!$C$4+49)),MONTH((Tahmin!$C$4+49)),MIN(DAY(Kalemler!$D165),DAY(EOMONTH((Tahmin!$C$4+49),0))))&gt;=Kalemler!$D165),AND(DATE(YEAR((Tahmin!$C$4+55)),MONTH((Tahmin!$C$4+55)),MIN(DAY(Kalemler!$D165),DAY(EOMONTH((Tahmin!$C$4+55),0))))&gt;=(Tahmin!$C$4+49),DATE(YEAR((Tahmin!$C$4+55)),MONTH((Tahmin!$C$4+55)),MIN(DAY(Kalemler!$D165),DAY(EOMONTH((Tahmin!$C$4+55),0))))&lt;=(Tahmin!$C$4+55),DATE(YEAR((Tahmin!$C$4+55)),MONTH((Tahmin!$C$4+55)),MIN(DAY(Kalemler!$D165),DAY(EOMONTH((Tahmin!$C$4+55),0))))&lt;&gt;DATE(YEAR((Tahmin!$C$4+49)),MONTH((Tahmin!$C$4+49)),MIN(DAY(Kalemler!$D165),DAY(EOMONTH((Tahmin!$C$4+49),0)))),DATE(YEAR((Tahmin!$C$4+55)),MONTH((Tahmin!$C$4+55)),MIN(DAY(Kalemler!$D165),DAY(EOMONTH((Tahmin!$C$4+55),0))))&gt;=Kalemler!$D165)),1,0),IF(AND(Kalemler!$D165&gt;=(Tahmin!$C$4+49),Kalemler!$D165&lt;=(Tahmin!$C$4+55)),1,0))))</f>
        <v>0</v>
      </c>
      <c r="J165" s="0" t="n">
        <f aca="false">IF(OR(Kalemler!$A165="",Kalemler!$C165="",Kalemler!$D165=""),0,Kalemler!$C165*IF(Kalemler!$E165="Haftalık",IF(Kalemler!$D165&lt;=(Tahmin!$C$4+62),1,0),IF(Kalemler!$E165="Aylık",IF(OR(AND(DATE(YEAR((Tahmin!$C$4+56)),MONTH((Tahmin!$C$4+56)),MIN(DAY(Kalemler!$D165),DAY(EOMONTH((Tahmin!$C$4+56),0))))&gt;=(Tahmin!$C$4+56),DATE(YEAR((Tahmin!$C$4+56)),MONTH((Tahmin!$C$4+56)),MIN(DAY(Kalemler!$D165),DAY(EOMONTH((Tahmin!$C$4+56),0))))&lt;=(Tahmin!$C$4+62),DATE(YEAR((Tahmin!$C$4+56)),MONTH((Tahmin!$C$4+56)),MIN(DAY(Kalemler!$D165),DAY(EOMONTH((Tahmin!$C$4+56),0))))&gt;=Kalemler!$D165),AND(DATE(YEAR((Tahmin!$C$4+62)),MONTH((Tahmin!$C$4+62)),MIN(DAY(Kalemler!$D165),DAY(EOMONTH((Tahmin!$C$4+62),0))))&gt;=(Tahmin!$C$4+56),DATE(YEAR((Tahmin!$C$4+62)),MONTH((Tahmin!$C$4+62)),MIN(DAY(Kalemler!$D165),DAY(EOMONTH((Tahmin!$C$4+62),0))))&lt;=(Tahmin!$C$4+62),DATE(YEAR((Tahmin!$C$4+62)),MONTH((Tahmin!$C$4+62)),MIN(DAY(Kalemler!$D165),DAY(EOMONTH((Tahmin!$C$4+62),0))))&lt;&gt;DATE(YEAR((Tahmin!$C$4+56)),MONTH((Tahmin!$C$4+56)),MIN(DAY(Kalemler!$D165),DAY(EOMONTH((Tahmin!$C$4+56),0)))),DATE(YEAR((Tahmin!$C$4+62)),MONTH((Tahmin!$C$4+62)),MIN(DAY(Kalemler!$D165),DAY(EOMONTH((Tahmin!$C$4+62),0))))&gt;=Kalemler!$D165)),1,0),IF(AND(Kalemler!$D165&gt;=(Tahmin!$C$4+56),Kalemler!$D165&lt;=(Tahmin!$C$4+62)),1,0))))</f>
        <v>0</v>
      </c>
      <c r="K165" s="0" t="n">
        <f aca="false">IF(OR(Kalemler!$A165="",Kalemler!$C165="",Kalemler!$D165=""),0,Kalemler!$C165*IF(Kalemler!$E165="Haftalık",IF(Kalemler!$D165&lt;=(Tahmin!$C$4+69),1,0),IF(Kalemler!$E165="Aylık",IF(OR(AND(DATE(YEAR((Tahmin!$C$4+63)),MONTH((Tahmin!$C$4+63)),MIN(DAY(Kalemler!$D165),DAY(EOMONTH((Tahmin!$C$4+63),0))))&gt;=(Tahmin!$C$4+63),DATE(YEAR((Tahmin!$C$4+63)),MONTH((Tahmin!$C$4+63)),MIN(DAY(Kalemler!$D165),DAY(EOMONTH((Tahmin!$C$4+63),0))))&lt;=(Tahmin!$C$4+69),DATE(YEAR((Tahmin!$C$4+63)),MONTH((Tahmin!$C$4+63)),MIN(DAY(Kalemler!$D165),DAY(EOMONTH((Tahmin!$C$4+63),0))))&gt;=Kalemler!$D165),AND(DATE(YEAR((Tahmin!$C$4+69)),MONTH((Tahmin!$C$4+69)),MIN(DAY(Kalemler!$D165),DAY(EOMONTH((Tahmin!$C$4+69),0))))&gt;=(Tahmin!$C$4+63),DATE(YEAR((Tahmin!$C$4+69)),MONTH((Tahmin!$C$4+69)),MIN(DAY(Kalemler!$D165),DAY(EOMONTH((Tahmin!$C$4+69),0))))&lt;=(Tahmin!$C$4+69),DATE(YEAR((Tahmin!$C$4+69)),MONTH((Tahmin!$C$4+69)),MIN(DAY(Kalemler!$D165),DAY(EOMONTH((Tahmin!$C$4+69),0))))&lt;&gt;DATE(YEAR((Tahmin!$C$4+63)),MONTH((Tahmin!$C$4+63)),MIN(DAY(Kalemler!$D165),DAY(EOMONTH((Tahmin!$C$4+63),0)))),DATE(YEAR((Tahmin!$C$4+69)),MONTH((Tahmin!$C$4+69)),MIN(DAY(Kalemler!$D165),DAY(EOMONTH((Tahmin!$C$4+69),0))))&gt;=Kalemler!$D165)),1,0),IF(AND(Kalemler!$D165&gt;=(Tahmin!$C$4+63),Kalemler!$D165&lt;=(Tahmin!$C$4+69)),1,0))))</f>
        <v>0</v>
      </c>
      <c r="L165" s="0" t="n">
        <f aca="false">IF(OR(Kalemler!$A165="",Kalemler!$C165="",Kalemler!$D165=""),0,Kalemler!$C165*IF(Kalemler!$E165="Haftalık",IF(Kalemler!$D165&lt;=(Tahmin!$C$4+76),1,0),IF(Kalemler!$E165="Aylık",IF(OR(AND(DATE(YEAR((Tahmin!$C$4+70)),MONTH((Tahmin!$C$4+70)),MIN(DAY(Kalemler!$D165),DAY(EOMONTH((Tahmin!$C$4+70),0))))&gt;=(Tahmin!$C$4+70),DATE(YEAR((Tahmin!$C$4+70)),MONTH((Tahmin!$C$4+70)),MIN(DAY(Kalemler!$D165),DAY(EOMONTH((Tahmin!$C$4+70),0))))&lt;=(Tahmin!$C$4+76),DATE(YEAR((Tahmin!$C$4+70)),MONTH((Tahmin!$C$4+70)),MIN(DAY(Kalemler!$D165),DAY(EOMONTH((Tahmin!$C$4+70),0))))&gt;=Kalemler!$D165),AND(DATE(YEAR((Tahmin!$C$4+76)),MONTH((Tahmin!$C$4+76)),MIN(DAY(Kalemler!$D165),DAY(EOMONTH((Tahmin!$C$4+76),0))))&gt;=(Tahmin!$C$4+70),DATE(YEAR((Tahmin!$C$4+76)),MONTH((Tahmin!$C$4+76)),MIN(DAY(Kalemler!$D165),DAY(EOMONTH((Tahmin!$C$4+76),0))))&lt;=(Tahmin!$C$4+76),DATE(YEAR((Tahmin!$C$4+76)),MONTH((Tahmin!$C$4+76)),MIN(DAY(Kalemler!$D165),DAY(EOMONTH((Tahmin!$C$4+76),0))))&lt;&gt;DATE(YEAR((Tahmin!$C$4+70)),MONTH((Tahmin!$C$4+70)),MIN(DAY(Kalemler!$D165),DAY(EOMONTH((Tahmin!$C$4+70),0)))),DATE(YEAR((Tahmin!$C$4+76)),MONTH((Tahmin!$C$4+76)),MIN(DAY(Kalemler!$D165),DAY(EOMONTH((Tahmin!$C$4+76),0))))&gt;=Kalemler!$D165)),1,0),IF(AND(Kalemler!$D165&gt;=(Tahmin!$C$4+70),Kalemler!$D165&lt;=(Tahmin!$C$4+76)),1,0))))</f>
        <v>0</v>
      </c>
      <c r="M165" s="0" t="n">
        <f aca="false">IF(OR(Kalemler!$A165="",Kalemler!$C165="",Kalemler!$D165=""),0,Kalemler!$C165*IF(Kalemler!$E165="Haftalık",IF(Kalemler!$D165&lt;=(Tahmin!$C$4+83),1,0),IF(Kalemler!$E165="Aylık",IF(OR(AND(DATE(YEAR((Tahmin!$C$4+77)),MONTH((Tahmin!$C$4+77)),MIN(DAY(Kalemler!$D165),DAY(EOMONTH((Tahmin!$C$4+77),0))))&gt;=(Tahmin!$C$4+77),DATE(YEAR((Tahmin!$C$4+77)),MONTH((Tahmin!$C$4+77)),MIN(DAY(Kalemler!$D165),DAY(EOMONTH((Tahmin!$C$4+77),0))))&lt;=(Tahmin!$C$4+83),DATE(YEAR((Tahmin!$C$4+77)),MONTH((Tahmin!$C$4+77)),MIN(DAY(Kalemler!$D165),DAY(EOMONTH((Tahmin!$C$4+77),0))))&gt;=Kalemler!$D165),AND(DATE(YEAR((Tahmin!$C$4+83)),MONTH((Tahmin!$C$4+83)),MIN(DAY(Kalemler!$D165),DAY(EOMONTH((Tahmin!$C$4+83),0))))&gt;=(Tahmin!$C$4+77),DATE(YEAR((Tahmin!$C$4+83)),MONTH((Tahmin!$C$4+83)),MIN(DAY(Kalemler!$D165),DAY(EOMONTH((Tahmin!$C$4+83),0))))&lt;=(Tahmin!$C$4+83),DATE(YEAR((Tahmin!$C$4+83)),MONTH((Tahmin!$C$4+83)),MIN(DAY(Kalemler!$D165),DAY(EOMONTH((Tahmin!$C$4+83),0))))&lt;&gt;DATE(YEAR((Tahmin!$C$4+77)),MONTH((Tahmin!$C$4+77)),MIN(DAY(Kalemler!$D165),DAY(EOMONTH((Tahmin!$C$4+77),0)))),DATE(YEAR((Tahmin!$C$4+83)),MONTH((Tahmin!$C$4+83)),MIN(DAY(Kalemler!$D165),DAY(EOMONTH((Tahmin!$C$4+83),0))))&gt;=Kalemler!$D165)),1,0),IF(AND(Kalemler!$D165&gt;=(Tahmin!$C$4+77),Kalemler!$D165&lt;=(Tahmin!$C$4+83)),1,0))))</f>
        <v>0</v>
      </c>
      <c r="N165" s="0" t="n">
        <f aca="false">IF(OR(Kalemler!$A165="",Kalemler!$C165="",Kalemler!$D165=""),0,Kalemler!$C165*IF(Kalemler!$E165="Haftalık",IF(Kalemler!$D165&lt;=(Tahmin!$C$4+90),1,0),IF(Kalemler!$E165="Aylık",IF(OR(AND(DATE(YEAR((Tahmin!$C$4+84)),MONTH((Tahmin!$C$4+84)),MIN(DAY(Kalemler!$D165),DAY(EOMONTH((Tahmin!$C$4+84),0))))&gt;=(Tahmin!$C$4+84),DATE(YEAR((Tahmin!$C$4+84)),MONTH((Tahmin!$C$4+84)),MIN(DAY(Kalemler!$D165),DAY(EOMONTH((Tahmin!$C$4+84),0))))&lt;=(Tahmin!$C$4+90),DATE(YEAR((Tahmin!$C$4+84)),MONTH((Tahmin!$C$4+84)),MIN(DAY(Kalemler!$D165),DAY(EOMONTH((Tahmin!$C$4+84),0))))&gt;=Kalemler!$D165),AND(DATE(YEAR((Tahmin!$C$4+90)),MONTH((Tahmin!$C$4+90)),MIN(DAY(Kalemler!$D165),DAY(EOMONTH((Tahmin!$C$4+90),0))))&gt;=(Tahmin!$C$4+84),DATE(YEAR((Tahmin!$C$4+90)),MONTH((Tahmin!$C$4+90)),MIN(DAY(Kalemler!$D165),DAY(EOMONTH((Tahmin!$C$4+90),0))))&lt;=(Tahmin!$C$4+90),DATE(YEAR((Tahmin!$C$4+90)),MONTH((Tahmin!$C$4+90)),MIN(DAY(Kalemler!$D165),DAY(EOMONTH((Tahmin!$C$4+90),0))))&lt;&gt;DATE(YEAR((Tahmin!$C$4+84)),MONTH((Tahmin!$C$4+84)),MIN(DAY(Kalemler!$D165),DAY(EOMONTH((Tahmin!$C$4+84),0)))),DATE(YEAR((Tahmin!$C$4+90)),MONTH((Tahmin!$C$4+90)),MIN(DAY(Kalemler!$D165),DAY(EOMONTH((Tahmin!$C$4+90),0))))&gt;=Kalemler!$D165)),1,0),IF(AND(Kalemler!$D165&gt;=(Tahmin!$C$4+84),Kalemler!$D165&lt;=(Tahmin!$C$4+90)),1,0))))</f>
        <v>0</v>
      </c>
    </row>
    <row r="166" customFormat="false" ht="15" hidden="false" customHeight="false" outlineLevel="0" collapsed="false">
      <c r="A166" s="0" t="str">
        <f aca="false">IF(Kalemler!A166="","",Kalemler!A166)</f>
        <v/>
      </c>
      <c r="B166" s="0" t="n">
        <f aca="false">IF(OR(Kalemler!$A166="",Kalemler!$C166="",Kalemler!$D166=""),0,Kalemler!$C166*IF(Kalemler!$E166="Haftalık",IF(Kalemler!$D166&lt;=(Tahmin!$C$4+6),1,0),IF(Kalemler!$E166="Aylık",IF(OR(AND(DATE(YEAR((Tahmin!$C$4+0)),MONTH((Tahmin!$C$4+0)),MIN(DAY(Kalemler!$D166),DAY(EOMONTH((Tahmin!$C$4+0),0))))&gt;=(Tahmin!$C$4+0),DATE(YEAR((Tahmin!$C$4+0)),MONTH((Tahmin!$C$4+0)),MIN(DAY(Kalemler!$D166),DAY(EOMONTH((Tahmin!$C$4+0),0))))&lt;=(Tahmin!$C$4+6),DATE(YEAR((Tahmin!$C$4+0)),MONTH((Tahmin!$C$4+0)),MIN(DAY(Kalemler!$D166),DAY(EOMONTH((Tahmin!$C$4+0),0))))&gt;=Kalemler!$D166),AND(DATE(YEAR((Tahmin!$C$4+6)),MONTH((Tahmin!$C$4+6)),MIN(DAY(Kalemler!$D166),DAY(EOMONTH((Tahmin!$C$4+6),0))))&gt;=(Tahmin!$C$4+0),DATE(YEAR((Tahmin!$C$4+6)),MONTH((Tahmin!$C$4+6)),MIN(DAY(Kalemler!$D166),DAY(EOMONTH((Tahmin!$C$4+6),0))))&lt;=(Tahmin!$C$4+6),DATE(YEAR((Tahmin!$C$4+6)),MONTH((Tahmin!$C$4+6)),MIN(DAY(Kalemler!$D166),DAY(EOMONTH((Tahmin!$C$4+6),0))))&lt;&gt;DATE(YEAR((Tahmin!$C$4+0)),MONTH((Tahmin!$C$4+0)),MIN(DAY(Kalemler!$D166),DAY(EOMONTH((Tahmin!$C$4+0),0)))),DATE(YEAR((Tahmin!$C$4+6)),MONTH((Tahmin!$C$4+6)),MIN(DAY(Kalemler!$D166),DAY(EOMONTH((Tahmin!$C$4+6),0))))&gt;=Kalemler!$D166)),1,0),IF(AND(Kalemler!$D166&gt;=(Tahmin!$C$4+0),Kalemler!$D166&lt;=(Tahmin!$C$4+6)),1,0))))</f>
        <v>0</v>
      </c>
      <c r="C166" s="0" t="n">
        <f aca="false">IF(OR(Kalemler!$A166="",Kalemler!$C166="",Kalemler!$D166=""),0,Kalemler!$C166*IF(Kalemler!$E166="Haftalık",IF(Kalemler!$D166&lt;=(Tahmin!$C$4+13),1,0),IF(Kalemler!$E166="Aylık",IF(OR(AND(DATE(YEAR((Tahmin!$C$4+7)),MONTH((Tahmin!$C$4+7)),MIN(DAY(Kalemler!$D166),DAY(EOMONTH((Tahmin!$C$4+7),0))))&gt;=(Tahmin!$C$4+7),DATE(YEAR((Tahmin!$C$4+7)),MONTH((Tahmin!$C$4+7)),MIN(DAY(Kalemler!$D166),DAY(EOMONTH((Tahmin!$C$4+7),0))))&lt;=(Tahmin!$C$4+13),DATE(YEAR((Tahmin!$C$4+7)),MONTH((Tahmin!$C$4+7)),MIN(DAY(Kalemler!$D166),DAY(EOMONTH((Tahmin!$C$4+7),0))))&gt;=Kalemler!$D166),AND(DATE(YEAR((Tahmin!$C$4+13)),MONTH((Tahmin!$C$4+13)),MIN(DAY(Kalemler!$D166),DAY(EOMONTH((Tahmin!$C$4+13),0))))&gt;=(Tahmin!$C$4+7),DATE(YEAR((Tahmin!$C$4+13)),MONTH((Tahmin!$C$4+13)),MIN(DAY(Kalemler!$D166),DAY(EOMONTH((Tahmin!$C$4+13),0))))&lt;=(Tahmin!$C$4+13),DATE(YEAR((Tahmin!$C$4+13)),MONTH((Tahmin!$C$4+13)),MIN(DAY(Kalemler!$D166),DAY(EOMONTH((Tahmin!$C$4+13),0))))&lt;&gt;DATE(YEAR((Tahmin!$C$4+7)),MONTH((Tahmin!$C$4+7)),MIN(DAY(Kalemler!$D166),DAY(EOMONTH((Tahmin!$C$4+7),0)))),DATE(YEAR((Tahmin!$C$4+13)),MONTH((Tahmin!$C$4+13)),MIN(DAY(Kalemler!$D166),DAY(EOMONTH((Tahmin!$C$4+13),0))))&gt;=Kalemler!$D166)),1,0),IF(AND(Kalemler!$D166&gt;=(Tahmin!$C$4+7),Kalemler!$D166&lt;=(Tahmin!$C$4+13)),1,0))))</f>
        <v>0</v>
      </c>
      <c r="D166" s="0" t="n">
        <f aca="false">IF(OR(Kalemler!$A166="",Kalemler!$C166="",Kalemler!$D166=""),0,Kalemler!$C166*IF(Kalemler!$E166="Haftalık",IF(Kalemler!$D166&lt;=(Tahmin!$C$4+20),1,0),IF(Kalemler!$E166="Aylık",IF(OR(AND(DATE(YEAR((Tahmin!$C$4+14)),MONTH((Tahmin!$C$4+14)),MIN(DAY(Kalemler!$D166),DAY(EOMONTH((Tahmin!$C$4+14),0))))&gt;=(Tahmin!$C$4+14),DATE(YEAR((Tahmin!$C$4+14)),MONTH((Tahmin!$C$4+14)),MIN(DAY(Kalemler!$D166),DAY(EOMONTH((Tahmin!$C$4+14),0))))&lt;=(Tahmin!$C$4+20),DATE(YEAR((Tahmin!$C$4+14)),MONTH((Tahmin!$C$4+14)),MIN(DAY(Kalemler!$D166),DAY(EOMONTH((Tahmin!$C$4+14),0))))&gt;=Kalemler!$D166),AND(DATE(YEAR((Tahmin!$C$4+20)),MONTH((Tahmin!$C$4+20)),MIN(DAY(Kalemler!$D166),DAY(EOMONTH((Tahmin!$C$4+20),0))))&gt;=(Tahmin!$C$4+14),DATE(YEAR((Tahmin!$C$4+20)),MONTH((Tahmin!$C$4+20)),MIN(DAY(Kalemler!$D166),DAY(EOMONTH((Tahmin!$C$4+20),0))))&lt;=(Tahmin!$C$4+20),DATE(YEAR((Tahmin!$C$4+20)),MONTH((Tahmin!$C$4+20)),MIN(DAY(Kalemler!$D166),DAY(EOMONTH((Tahmin!$C$4+20),0))))&lt;&gt;DATE(YEAR((Tahmin!$C$4+14)),MONTH((Tahmin!$C$4+14)),MIN(DAY(Kalemler!$D166),DAY(EOMONTH((Tahmin!$C$4+14),0)))),DATE(YEAR((Tahmin!$C$4+20)),MONTH((Tahmin!$C$4+20)),MIN(DAY(Kalemler!$D166),DAY(EOMONTH((Tahmin!$C$4+20),0))))&gt;=Kalemler!$D166)),1,0),IF(AND(Kalemler!$D166&gt;=(Tahmin!$C$4+14),Kalemler!$D166&lt;=(Tahmin!$C$4+20)),1,0))))</f>
        <v>0</v>
      </c>
      <c r="E166" s="0" t="n">
        <f aca="false">IF(OR(Kalemler!$A166="",Kalemler!$C166="",Kalemler!$D166=""),0,Kalemler!$C166*IF(Kalemler!$E166="Haftalık",IF(Kalemler!$D166&lt;=(Tahmin!$C$4+27),1,0),IF(Kalemler!$E166="Aylık",IF(OR(AND(DATE(YEAR((Tahmin!$C$4+21)),MONTH((Tahmin!$C$4+21)),MIN(DAY(Kalemler!$D166),DAY(EOMONTH((Tahmin!$C$4+21),0))))&gt;=(Tahmin!$C$4+21),DATE(YEAR((Tahmin!$C$4+21)),MONTH((Tahmin!$C$4+21)),MIN(DAY(Kalemler!$D166),DAY(EOMONTH((Tahmin!$C$4+21),0))))&lt;=(Tahmin!$C$4+27),DATE(YEAR((Tahmin!$C$4+21)),MONTH((Tahmin!$C$4+21)),MIN(DAY(Kalemler!$D166),DAY(EOMONTH((Tahmin!$C$4+21),0))))&gt;=Kalemler!$D166),AND(DATE(YEAR((Tahmin!$C$4+27)),MONTH((Tahmin!$C$4+27)),MIN(DAY(Kalemler!$D166),DAY(EOMONTH((Tahmin!$C$4+27),0))))&gt;=(Tahmin!$C$4+21),DATE(YEAR((Tahmin!$C$4+27)),MONTH((Tahmin!$C$4+27)),MIN(DAY(Kalemler!$D166),DAY(EOMONTH((Tahmin!$C$4+27),0))))&lt;=(Tahmin!$C$4+27),DATE(YEAR((Tahmin!$C$4+27)),MONTH((Tahmin!$C$4+27)),MIN(DAY(Kalemler!$D166),DAY(EOMONTH((Tahmin!$C$4+27),0))))&lt;&gt;DATE(YEAR((Tahmin!$C$4+21)),MONTH((Tahmin!$C$4+21)),MIN(DAY(Kalemler!$D166),DAY(EOMONTH((Tahmin!$C$4+21),0)))),DATE(YEAR((Tahmin!$C$4+27)),MONTH((Tahmin!$C$4+27)),MIN(DAY(Kalemler!$D166),DAY(EOMONTH((Tahmin!$C$4+27),0))))&gt;=Kalemler!$D166)),1,0),IF(AND(Kalemler!$D166&gt;=(Tahmin!$C$4+21),Kalemler!$D166&lt;=(Tahmin!$C$4+27)),1,0))))</f>
        <v>0</v>
      </c>
      <c r="F166" s="0" t="n">
        <f aca="false">IF(OR(Kalemler!$A166="",Kalemler!$C166="",Kalemler!$D166=""),0,Kalemler!$C166*IF(Kalemler!$E166="Haftalık",IF(Kalemler!$D166&lt;=(Tahmin!$C$4+34),1,0),IF(Kalemler!$E166="Aylık",IF(OR(AND(DATE(YEAR((Tahmin!$C$4+28)),MONTH((Tahmin!$C$4+28)),MIN(DAY(Kalemler!$D166),DAY(EOMONTH((Tahmin!$C$4+28),0))))&gt;=(Tahmin!$C$4+28),DATE(YEAR((Tahmin!$C$4+28)),MONTH((Tahmin!$C$4+28)),MIN(DAY(Kalemler!$D166),DAY(EOMONTH((Tahmin!$C$4+28),0))))&lt;=(Tahmin!$C$4+34),DATE(YEAR((Tahmin!$C$4+28)),MONTH((Tahmin!$C$4+28)),MIN(DAY(Kalemler!$D166),DAY(EOMONTH((Tahmin!$C$4+28),0))))&gt;=Kalemler!$D166),AND(DATE(YEAR((Tahmin!$C$4+34)),MONTH((Tahmin!$C$4+34)),MIN(DAY(Kalemler!$D166),DAY(EOMONTH((Tahmin!$C$4+34),0))))&gt;=(Tahmin!$C$4+28),DATE(YEAR((Tahmin!$C$4+34)),MONTH((Tahmin!$C$4+34)),MIN(DAY(Kalemler!$D166),DAY(EOMONTH((Tahmin!$C$4+34),0))))&lt;=(Tahmin!$C$4+34),DATE(YEAR((Tahmin!$C$4+34)),MONTH((Tahmin!$C$4+34)),MIN(DAY(Kalemler!$D166),DAY(EOMONTH((Tahmin!$C$4+34),0))))&lt;&gt;DATE(YEAR((Tahmin!$C$4+28)),MONTH((Tahmin!$C$4+28)),MIN(DAY(Kalemler!$D166),DAY(EOMONTH((Tahmin!$C$4+28),0)))),DATE(YEAR((Tahmin!$C$4+34)),MONTH((Tahmin!$C$4+34)),MIN(DAY(Kalemler!$D166),DAY(EOMONTH((Tahmin!$C$4+34),0))))&gt;=Kalemler!$D166)),1,0),IF(AND(Kalemler!$D166&gt;=(Tahmin!$C$4+28),Kalemler!$D166&lt;=(Tahmin!$C$4+34)),1,0))))</f>
        <v>0</v>
      </c>
      <c r="G166" s="0" t="n">
        <f aca="false">IF(OR(Kalemler!$A166="",Kalemler!$C166="",Kalemler!$D166=""),0,Kalemler!$C166*IF(Kalemler!$E166="Haftalık",IF(Kalemler!$D166&lt;=(Tahmin!$C$4+41),1,0),IF(Kalemler!$E166="Aylık",IF(OR(AND(DATE(YEAR((Tahmin!$C$4+35)),MONTH((Tahmin!$C$4+35)),MIN(DAY(Kalemler!$D166),DAY(EOMONTH((Tahmin!$C$4+35),0))))&gt;=(Tahmin!$C$4+35),DATE(YEAR((Tahmin!$C$4+35)),MONTH((Tahmin!$C$4+35)),MIN(DAY(Kalemler!$D166),DAY(EOMONTH((Tahmin!$C$4+35),0))))&lt;=(Tahmin!$C$4+41),DATE(YEAR((Tahmin!$C$4+35)),MONTH((Tahmin!$C$4+35)),MIN(DAY(Kalemler!$D166),DAY(EOMONTH((Tahmin!$C$4+35),0))))&gt;=Kalemler!$D166),AND(DATE(YEAR((Tahmin!$C$4+41)),MONTH((Tahmin!$C$4+41)),MIN(DAY(Kalemler!$D166),DAY(EOMONTH((Tahmin!$C$4+41),0))))&gt;=(Tahmin!$C$4+35),DATE(YEAR((Tahmin!$C$4+41)),MONTH((Tahmin!$C$4+41)),MIN(DAY(Kalemler!$D166),DAY(EOMONTH((Tahmin!$C$4+41),0))))&lt;=(Tahmin!$C$4+41),DATE(YEAR((Tahmin!$C$4+41)),MONTH((Tahmin!$C$4+41)),MIN(DAY(Kalemler!$D166),DAY(EOMONTH((Tahmin!$C$4+41),0))))&lt;&gt;DATE(YEAR((Tahmin!$C$4+35)),MONTH((Tahmin!$C$4+35)),MIN(DAY(Kalemler!$D166),DAY(EOMONTH((Tahmin!$C$4+35),0)))),DATE(YEAR((Tahmin!$C$4+41)),MONTH((Tahmin!$C$4+41)),MIN(DAY(Kalemler!$D166),DAY(EOMONTH((Tahmin!$C$4+41),0))))&gt;=Kalemler!$D166)),1,0),IF(AND(Kalemler!$D166&gt;=(Tahmin!$C$4+35),Kalemler!$D166&lt;=(Tahmin!$C$4+41)),1,0))))</f>
        <v>0</v>
      </c>
      <c r="H166" s="0" t="n">
        <f aca="false">IF(OR(Kalemler!$A166="",Kalemler!$C166="",Kalemler!$D166=""),0,Kalemler!$C166*IF(Kalemler!$E166="Haftalık",IF(Kalemler!$D166&lt;=(Tahmin!$C$4+48),1,0),IF(Kalemler!$E166="Aylık",IF(OR(AND(DATE(YEAR((Tahmin!$C$4+42)),MONTH((Tahmin!$C$4+42)),MIN(DAY(Kalemler!$D166),DAY(EOMONTH((Tahmin!$C$4+42),0))))&gt;=(Tahmin!$C$4+42),DATE(YEAR((Tahmin!$C$4+42)),MONTH((Tahmin!$C$4+42)),MIN(DAY(Kalemler!$D166),DAY(EOMONTH((Tahmin!$C$4+42),0))))&lt;=(Tahmin!$C$4+48),DATE(YEAR((Tahmin!$C$4+42)),MONTH((Tahmin!$C$4+42)),MIN(DAY(Kalemler!$D166),DAY(EOMONTH((Tahmin!$C$4+42),0))))&gt;=Kalemler!$D166),AND(DATE(YEAR((Tahmin!$C$4+48)),MONTH((Tahmin!$C$4+48)),MIN(DAY(Kalemler!$D166),DAY(EOMONTH((Tahmin!$C$4+48),0))))&gt;=(Tahmin!$C$4+42),DATE(YEAR((Tahmin!$C$4+48)),MONTH((Tahmin!$C$4+48)),MIN(DAY(Kalemler!$D166),DAY(EOMONTH((Tahmin!$C$4+48),0))))&lt;=(Tahmin!$C$4+48),DATE(YEAR((Tahmin!$C$4+48)),MONTH((Tahmin!$C$4+48)),MIN(DAY(Kalemler!$D166),DAY(EOMONTH((Tahmin!$C$4+48),0))))&lt;&gt;DATE(YEAR((Tahmin!$C$4+42)),MONTH((Tahmin!$C$4+42)),MIN(DAY(Kalemler!$D166),DAY(EOMONTH((Tahmin!$C$4+42),0)))),DATE(YEAR((Tahmin!$C$4+48)),MONTH((Tahmin!$C$4+48)),MIN(DAY(Kalemler!$D166),DAY(EOMONTH((Tahmin!$C$4+48),0))))&gt;=Kalemler!$D166)),1,0),IF(AND(Kalemler!$D166&gt;=(Tahmin!$C$4+42),Kalemler!$D166&lt;=(Tahmin!$C$4+48)),1,0))))</f>
        <v>0</v>
      </c>
      <c r="I166" s="0" t="n">
        <f aca="false">IF(OR(Kalemler!$A166="",Kalemler!$C166="",Kalemler!$D166=""),0,Kalemler!$C166*IF(Kalemler!$E166="Haftalık",IF(Kalemler!$D166&lt;=(Tahmin!$C$4+55),1,0),IF(Kalemler!$E166="Aylık",IF(OR(AND(DATE(YEAR((Tahmin!$C$4+49)),MONTH((Tahmin!$C$4+49)),MIN(DAY(Kalemler!$D166),DAY(EOMONTH((Tahmin!$C$4+49),0))))&gt;=(Tahmin!$C$4+49),DATE(YEAR((Tahmin!$C$4+49)),MONTH((Tahmin!$C$4+49)),MIN(DAY(Kalemler!$D166),DAY(EOMONTH((Tahmin!$C$4+49),0))))&lt;=(Tahmin!$C$4+55),DATE(YEAR((Tahmin!$C$4+49)),MONTH((Tahmin!$C$4+49)),MIN(DAY(Kalemler!$D166),DAY(EOMONTH((Tahmin!$C$4+49),0))))&gt;=Kalemler!$D166),AND(DATE(YEAR((Tahmin!$C$4+55)),MONTH((Tahmin!$C$4+55)),MIN(DAY(Kalemler!$D166),DAY(EOMONTH((Tahmin!$C$4+55),0))))&gt;=(Tahmin!$C$4+49),DATE(YEAR((Tahmin!$C$4+55)),MONTH((Tahmin!$C$4+55)),MIN(DAY(Kalemler!$D166),DAY(EOMONTH((Tahmin!$C$4+55),0))))&lt;=(Tahmin!$C$4+55),DATE(YEAR((Tahmin!$C$4+55)),MONTH((Tahmin!$C$4+55)),MIN(DAY(Kalemler!$D166),DAY(EOMONTH((Tahmin!$C$4+55),0))))&lt;&gt;DATE(YEAR((Tahmin!$C$4+49)),MONTH((Tahmin!$C$4+49)),MIN(DAY(Kalemler!$D166),DAY(EOMONTH((Tahmin!$C$4+49),0)))),DATE(YEAR((Tahmin!$C$4+55)),MONTH((Tahmin!$C$4+55)),MIN(DAY(Kalemler!$D166),DAY(EOMONTH((Tahmin!$C$4+55),0))))&gt;=Kalemler!$D166)),1,0),IF(AND(Kalemler!$D166&gt;=(Tahmin!$C$4+49),Kalemler!$D166&lt;=(Tahmin!$C$4+55)),1,0))))</f>
        <v>0</v>
      </c>
      <c r="J166" s="0" t="n">
        <f aca="false">IF(OR(Kalemler!$A166="",Kalemler!$C166="",Kalemler!$D166=""),0,Kalemler!$C166*IF(Kalemler!$E166="Haftalık",IF(Kalemler!$D166&lt;=(Tahmin!$C$4+62),1,0),IF(Kalemler!$E166="Aylık",IF(OR(AND(DATE(YEAR((Tahmin!$C$4+56)),MONTH((Tahmin!$C$4+56)),MIN(DAY(Kalemler!$D166),DAY(EOMONTH((Tahmin!$C$4+56),0))))&gt;=(Tahmin!$C$4+56),DATE(YEAR((Tahmin!$C$4+56)),MONTH((Tahmin!$C$4+56)),MIN(DAY(Kalemler!$D166),DAY(EOMONTH((Tahmin!$C$4+56),0))))&lt;=(Tahmin!$C$4+62),DATE(YEAR((Tahmin!$C$4+56)),MONTH((Tahmin!$C$4+56)),MIN(DAY(Kalemler!$D166),DAY(EOMONTH((Tahmin!$C$4+56),0))))&gt;=Kalemler!$D166),AND(DATE(YEAR((Tahmin!$C$4+62)),MONTH((Tahmin!$C$4+62)),MIN(DAY(Kalemler!$D166),DAY(EOMONTH((Tahmin!$C$4+62),0))))&gt;=(Tahmin!$C$4+56),DATE(YEAR((Tahmin!$C$4+62)),MONTH((Tahmin!$C$4+62)),MIN(DAY(Kalemler!$D166),DAY(EOMONTH((Tahmin!$C$4+62),0))))&lt;=(Tahmin!$C$4+62),DATE(YEAR((Tahmin!$C$4+62)),MONTH((Tahmin!$C$4+62)),MIN(DAY(Kalemler!$D166),DAY(EOMONTH((Tahmin!$C$4+62),0))))&lt;&gt;DATE(YEAR((Tahmin!$C$4+56)),MONTH((Tahmin!$C$4+56)),MIN(DAY(Kalemler!$D166),DAY(EOMONTH((Tahmin!$C$4+56),0)))),DATE(YEAR((Tahmin!$C$4+62)),MONTH((Tahmin!$C$4+62)),MIN(DAY(Kalemler!$D166),DAY(EOMONTH((Tahmin!$C$4+62),0))))&gt;=Kalemler!$D166)),1,0),IF(AND(Kalemler!$D166&gt;=(Tahmin!$C$4+56),Kalemler!$D166&lt;=(Tahmin!$C$4+62)),1,0))))</f>
        <v>0</v>
      </c>
      <c r="K166" s="0" t="n">
        <f aca="false">IF(OR(Kalemler!$A166="",Kalemler!$C166="",Kalemler!$D166=""),0,Kalemler!$C166*IF(Kalemler!$E166="Haftalık",IF(Kalemler!$D166&lt;=(Tahmin!$C$4+69),1,0),IF(Kalemler!$E166="Aylık",IF(OR(AND(DATE(YEAR((Tahmin!$C$4+63)),MONTH((Tahmin!$C$4+63)),MIN(DAY(Kalemler!$D166),DAY(EOMONTH((Tahmin!$C$4+63),0))))&gt;=(Tahmin!$C$4+63),DATE(YEAR((Tahmin!$C$4+63)),MONTH((Tahmin!$C$4+63)),MIN(DAY(Kalemler!$D166),DAY(EOMONTH((Tahmin!$C$4+63),0))))&lt;=(Tahmin!$C$4+69),DATE(YEAR((Tahmin!$C$4+63)),MONTH((Tahmin!$C$4+63)),MIN(DAY(Kalemler!$D166),DAY(EOMONTH((Tahmin!$C$4+63),0))))&gt;=Kalemler!$D166),AND(DATE(YEAR((Tahmin!$C$4+69)),MONTH((Tahmin!$C$4+69)),MIN(DAY(Kalemler!$D166),DAY(EOMONTH((Tahmin!$C$4+69),0))))&gt;=(Tahmin!$C$4+63),DATE(YEAR((Tahmin!$C$4+69)),MONTH((Tahmin!$C$4+69)),MIN(DAY(Kalemler!$D166),DAY(EOMONTH((Tahmin!$C$4+69),0))))&lt;=(Tahmin!$C$4+69),DATE(YEAR((Tahmin!$C$4+69)),MONTH((Tahmin!$C$4+69)),MIN(DAY(Kalemler!$D166),DAY(EOMONTH((Tahmin!$C$4+69),0))))&lt;&gt;DATE(YEAR((Tahmin!$C$4+63)),MONTH((Tahmin!$C$4+63)),MIN(DAY(Kalemler!$D166),DAY(EOMONTH((Tahmin!$C$4+63),0)))),DATE(YEAR((Tahmin!$C$4+69)),MONTH((Tahmin!$C$4+69)),MIN(DAY(Kalemler!$D166),DAY(EOMONTH((Tahmin!$C$4+69),0))))&gt;=Kalemler!$D166)),1,0),IF(AND(Kalemler!$D166&gt;=(Tahmin!$C$4+63),Kalemler!$D166&lt;=(Tahmin!$C$4+69)),1,0))))</f>
        <v>0</v>
      </c>
      <c r="L166" s="0" t="n">
        <f aca="false">IF(OR(Kalemler!$A166="",Kalemler!$C166="",Kalemler!$D166=""),0,Kalemler!$C166*IF(Kalemler!$E166="Haftalık",IF(Kalemler!$D166&lt;=(Tahmin!$C$4+76),1,0),IF(Kalemler!$E166="Aylık",IF(OR(AND(DATE(YEAR((Tahmin!$C$4+70)),MONTH((Tahmin!$C$4+70)),MIN(DAY(Kalemler!$D166),DAY(EOMONTH((Tahmin!$C$4+70),0))))&gt;=(Tahmin!$C$4+70),DATE(YEAR((Tahmin!$C$4+70)),MONTH((Tahmin!$C$4+70)),MIN(DAY(Kalemler!$D166),DAY(EOMONTH((Tahmin!$C$4+70),0))))&lt;=(Tahmin!$C$4+76),DATE(YEAR((Tahmin!$C$4+70)),MONTH((Tahmin!$C$4+70)),MIN(DAY(Kalemler!$D166),DAY(EOMONTH((Tahmin!$C$4+70),0))))&gt;=Kalemler!$D166),AND(DATE(YEAR((Tahmin!$C$4+76)),MONTH((Tahmin!$C$4+76)),MIN(DAY(Kalemler!$D166),DAY(EOMONTH((Tahmin!$C$4+76),0))))&gt;=(Tahmin!$C$4+70),DATE(YEAR((Tahmin!$C$4+76)),MONTH((Tahmin!$C$4+76)),MIN(DAY(Kalemler!$D166),DAY(EOMONTH((Tahmin!$C$4+76),0))))&lt;=(Tahmin!$C$4+76),DATE(YEAR((Tahmin!$C$4+76)),MONTH((Tahmin!$C$4+76)),MIN(DAY(Kalemler!$D166),DAY(EOMONTH((Tahmin!$C$4+76),0))))&lt;&gt;DATE(YEAR((Tahmin!$C$4+70)),MONTH((Tahmin!$C$4+70)),MIN(DAY(Kalemler!$D166),DAY(EOMONTH((Tahmin!$C$4+70),0)))),DATE(YEAR((Tahmin!$C$4+76)),MONTH((Tahmin!$C$4+76)),MIN(DAY(Kalemler!$D166),DAY(EOMONTH((Tahmin!$C$4+76),0))))&gt;=Kalemler!$D166)),1,0),IF(AND(Kalemler!$D166&gt;=(Tahmin!$C$4+70),Kalemler!$D166&lt;=(Tahmin!$C$4+76)),1,0))))</f>
        <v>0</v>
      </c>
      <c r="M166" s="0" t="n">
        <f aca="false">IF(OR(Kalemler!$A166="",Kalemler!$C166="",Kalemler!$D166=""),0,Kalemler!$C166*IF(Kalemler!$E166="Haftalık",IF(Kalemler!$D166&lt;=(Tahmin!$C$4+83),1,0),IF(Kalemler!$E166="Aylık",IF(OR(AND(DATE(YEAR((Tahmin!$C$4+77)),MONTH((Tahmin!$C$4+77)),MIN(DAY(Kalemler!$D166),DAY(EOMONTH((Tahmin!$C$4+77),0))))&gt;=(Tahmin!$C$4+77),DATE(YEAR((Tahmin!$C$4+77)),MONTH((Tahmin!$C$4+77)),MIN(DAY(Kalemler!$D166),DAY(EOMONTH((Tahmin!$C$4+77),0))))&lt;=(Tahmin!$C$4+83),DATE(YEAR((Tahmin!$C$4+77)),MONTH((Tahmin!$C$4+77)),MIN(DAY(Kalemler!$D166),DAY(EOMONTH((Tahmin!$C$4+77),0))))&gt;=Kalemler!$D166),AND(DATE(YEAR((Tahmin!$C$4+83)),MONTH((Tahmin!$C$4+83)),MIN(DAY(Kalemler!$D166),DAY(EOMONTH((Tahmin!$C$4+83),0))))&gt;=(Tahmin!$C$4+77),DATE(YEAR((Tahmin!$C$4+83)),MONTH((Tahmin!$C$4+83)),MIN(DAY(Kalemler!$D166),DAY(EOMONTH((Tahmin!$C$4+83),0))))&lt;=(Tahmin!$C$4+83),DATE(YEAR((Tahmin!$C$4+83)),MONTH((Tahmin!$C$4+83)),MIN(DAY(Kalemler!$D166),DAY(EOMONTH((Tahmin!$C$4+83),0))))&lt;&gt;DATE(YEAR((Tahmin!$C$4+77)),MONTH((Tahmin!$C$4+77)),MIN(DAY(Kalemler!$D166),DAY(EOMONTH((Tahmin!$C$4+77),0)))),DATE(YEAR((Tahmin!$C$4+83)),MONTH((Tahmin!$C$4+83)),MIN(DAY(Kalemler!$D166),DAY(EOMONTH((Tahmin!$C$4+83),0))))&gt;=Kalemler!$D166)),1,0),IF(AND(Kalemler!$D166&gt;=(Tahmin!$C$4+77),Kalemler!$D166&lt;=(Tahmin!$C$4+83)),1,0))))</f>
        <v>0</v>
      </c>
      <c r="N166" s="0" t="n">
        <f aca="false">IF(OR(Kalemler!$A166="",Kalemler!$C166="",Kalemler!$D166=""),0,Kalemler!$C166*IF(Kalemler!$E166="Haftalık",IF(Kalemler!$D166&lt;=(Tahmin!$C$4+90),1,0),IF(Kalemler!$E166="Aylık",IF(OR(AND(DATE(YEAR((Tahmin!$C$4+84)),MONTH((Tahmin!$C$4+84)),MIN(DAY(Kalemler!$D166),DAY(EOMONTH((Tahmin!$C$4+84),0))))&gt;=(Tahmin!$C$4+84),DATE(YEAR((Tahmin!$C$4+84)),MONTH((Tahmin!$C$4+84)),MIN(DAY(Kalemler!$D166),DAY(EOMONTH((Tahmin!$C$4+84),0))))&lt;=(Tahmin!$C$4+90),DATE(YEAR((Tahmin!$C$4+84)),MONTH((Tahmin!$C$4+84)),MIN(DAY(Kalemler!$D166),DAY(EOMONTH((Tahmin!$C$4+84),0))))&gt;=Kalemler!$D166),AND(DATE(YEAR((Tahmin!$C$4+90)),MONTH((Tahmin!$C$4+90)),MIN(DAY(Kalemler!$D166),DAY(EOMONTH((Tahmin!$C$4+90),0))))&gt;=(Tahmin!$C$4+84),DATE(YEAR((Tahmin!$C$4+90)),MONTH((Tahmin!$C$4+90)),MIN(DAY(Kalemler!$D166),DAY(EOMONTH((Tahmin!$C$4+90),0))))&lt;=(Tahmin!$C$4+90),DATE(YEAR((Tahmin!$C$4+90)),MONTH((Tahmin!$C$4+90)),MIN(DAY(Kalemler!$D166),DAY(EOMONTH((Tahmin!$C$4+90),0))))&lt;&gt;DATE(YEAR((Tahmin!$C$4+84)),MONTH((Tahmin!$C$4+84)),MIN(DAY(Kalemler!$D166),DAY(EOMONTH((Tahmin!$C$4+84),0)))),DATE(YEAR((Tahmin!$C$4+90)),MONTH((Tahmin!$C$4+90)),MIN(DAY(Kalemler!$D166),DAY(EOMONTH((Tahmin!$C$4+90),0))))&gt;=Kalemler!$D166)),1,0),IF(AND(Kalemler!$D166&gt;=(Tahmin!$C$4+84),Kalemler!$D166&lt;=(Tahmin!$C$4+90)),1,0))))</f>
        <v>0</v>
      </c>
    </row>
    <row r="167" customFormat="false" ht="15" hidden="false" customHeight="false" outlineLevel="0" collapsed="false">
      <c r="A167" s="0" t="str">
        <f aca="false">IF(Kalemler!A167="","",Kalemler!A167)</f>
        <v/>
      </c>
      <c r="B167" s="0" t="n">
        <f aca="false">IF(OR(Kalemler!$A167="",Kalemler!$C167="",Kalemler!$D167=""),0,Kalemler!$C167*IF(Kalemler!$E167="Haftalık",IF(Kalemler!$D167&lt;=(Tahmin!$C$4+6),1,0),IF(Kalemler!$E167="Aylık",IF(OR(AND(DATE(YEAR((Tahmin!$C$4+0)),MONTH((Tahmin!$C$4+0)),MIN(DAY(Kalemler!$D167),DAY(EOMONTH((Tahmin!$C$4+0),0))))&gt;=(Tahmin!$C$4+0),DATE(YEAR((Tahmin!$C$4+0)),MONTH((Tahmin!$C$4+0)),MIN(DAY(Kalemler!$D167),DAY(EOMONTH((Tahmin!$C$4+0),0))))&lt;=(Tahmin!$C$4+6),DATE(YEAR((Tahmin!$C$4+0)),MONTH((Tahmin!$C$4+0)),MIN(DAY(Kalemler!$D167),DAY(EOMONTH((Tahmin!$C$4+0),0))))&gt;=Kalemler!$D167),AND(DATE(YEAR((Tahmin!$C$4+6)),MONTH((Tahmin!$C$4+6)),MIN(DAY(Kalemler!$D167),DAY(EOMONTH((Tahmin!$C$4+6),0))))&gt;=(Tahmin!$C$4+0),DATE(YEAR((Tahmin!$C$4+6)),MONTH((Tahmin!$C$4+6)),MIN(DAY(Kalemler!$D167),DAY(EOMONTH((Tahmin!$C$4+6),0))))&lt;=(Tahmin!$C$4+6),DATE(YEAR((Tahmin!$C$4+6)),MONTH((Tahmin!$C$4+6)),MIN(DAY(Kalemler!$D167),DAY(EOMONTH((Tahmin!$C$4+6),0))))&lt;&gt;DATE(YEAR((Tahmin!$C$4+0)),MONTH((Tahmin!$C$4+0)),MIN(DAY(Kalemler!$D167),DAY(EOMONTH((Tahmin!$C$4+0),0)))),DATE(YEAR((Tahmin!$C$4+6)),MONTH((Tahmin!$C$4+6)),MIN(DAY(Kalemler!$D167),DAY(EOMONTH((Tahmin!$C$4+6),0))))&gt;=Kalemler!$D167)),1,0),IF(AND(Kalemler!$D167&gt;=(Tahmin!$C$4+0),Kalemler!$D167&lt;=(Tahmin!$C$4+6)),1,0))))</f>
        <v>0</v>
      </c>
      <c r="C167" s="0" t="n">
        <f aca="false">IF(OR(Kalemler!$A167="",Kalemler!$C167="",Kalemler!$D167=""),0,Kalemler!$C167*IF(Kalemler!$E167="Haftalık",IF(Kalemler!$D167&lt;=(Tahmin!$C$4+13),1,0),IF(Kalemler!$E167="Aylık",IF(OR(AND(DATE(YEAR((Tahmin!$C$4+7)),MONTH((Tahmin!$C$4+7)),MIN(DAY(Kalemler!$D167),DAY(EOMONTH((Tahmin!$C$4+7),0))))&gt;=(Tahmin!$C$4+7),DATE(YEAR((Tahmin!$C$4+7)),MONTH((Tahmin!$C$4+7)),MIN(DAY(Kalemler!$D167),DAY(EOMONTH((Tahmin!$C$4+7),0))))&lt;=(Tahmin!$C$4+13),DATE(YEAR((Tahmin!$C$4+7)),MONTH((Tahmin!$C$4+7)),MIN(DAY(Kalemler!$D167),DAY(EOMONTH((Tahmin!$C$4+7),0))))&gt;=Kalemler!$D167),AND(DATE(YEAR((Tahmin!$C$4+13)),MONTH((Tahmin!$C$4+13)),MIN(DAY(Kalemler!$D167),DAY(EOMONTH((Tahmin!$C$4+13),0))))&gt;=(Tahmin!$C$4+7),DATE(YEAR((Tahmin!$C$4+13)),MONTH((Tahmin!$C$4+13)),MIN(DAY(Kalemler!$D167),DAY(EOMONTH((Tahmin!$C$4+13),0))))&lt;=(Tahmin!$C$4+13),DATE(YEAR((Tahmin!$C$4+13)),MONTH((Tahmin!$C$4+13)),MIN(DAY(Kalemler!$D167),DAY(EOMONTH((Tahmin!$C$4+13),0))))&lt;&gt;DATE(YEAR((Tahmin!$C$4+7)),MONTH((Tahmin!$C$4+7)),MIN(DAY(Kalemler!$D167),DAY(EOMONTH((Tahmin!$C$4+7),0)))),DATE(YEAR((Tahmin!$C$4+13)),MONTH((Tahmin!$C$4+13)),MIN(DAY(Kalemler!$D167),DAY(EOMONTH((Tahmin!$C$4+13),0))))&gt;=Kalemler!$D167)),1,0),IF(AND(Kalemler!$D167&gt;=(Tahmin!$C$4+7),Kalemler!$D167&lt;=(Tahmin!$C$4+13)),1,0))))</f>
        <v>0</v>
      </c>
      <c r="D167" s="0" t="n">
        <f aca="false">IF(OR(Kalemler!$A167="",Kalemler!$C167="",Kalemler!$D167=""),0,Kalemler!$C167*IF(Kalemler!$E167="Haftalık",IF(Kalemler!$D167&lt;=(Tahmin!$C$4+20),1,0),IF(Kalemler!$E167="Aylık",IF(OR(AND(DATE(YEAR((Tahmin!$C$4+14)),MONTH((Tahmin!$C$4+14)),MIN(DAY(Kalemler!$D167),DAY(EOMONTH((Tahmin!$C$4+14),0))))&gt;=(Tahmin!$C$4+14),DATE(YEAR((Tahmin!$C$4+14)),MONTH((Tahmin!$C$4+14)),MIN(DAY(Kalemler!$D167),DAY(EOMONTH((Tahmin!$C$4+14),0))))&lt;=(Tahmin!$C$4+20),DATE(YEAR((Tahmin!$C$4+14)),MONTH((Tahmin!$C$4+14)),MIN(DAY(Kalemler!$D167),DAY(EOMONTH((Tahmin!$C$4+14),0))))&gt;=Kalemler!$D167),AND(DATE(YEAR((Tahmin!$C$4+20)),MONTH((Tahmin!$C$4+20)),MIN(DAY(Kalemler!$D167),DAY(EOMONTH((Tahmin!$C$4+20),0))))&gt;=(Tahmin!$C$4+14),DATE(YEAR((Tahmin!$C$4+20)),MONTH((Tahmin!$C$4+20)),MIN(DAY(Kalemler!$D167),DAY(EOMONTH((Tahmin!$C$4+20),0))))&lt;=(Tahmin!$C$4+20),DATE(YEAR((Tahmin!$C$4+20)),MONTH((Tahmin!$C$4+20)),MIN(DAY(Kalemler!$D167),DAY(EOMONTH((Tahmin!$C$4+20),0))))&lt;&gt;DATE(YEAR((Tahmin!$C$4+14)),MONTH((Tahmin!$C$4+14)),MIN(DAY(Kalemler!$D167),DAY(EOMONTH((Tahmin!$C$4+14),0)))),DATE(YEAR((Tahmin!$C$4+20)),MONTH((Tahmin!$C$4+20)),MIN(DAY(Kalemler!$D167),DAY(EOMONTH((Tahmin!$C$4+20),0))))&gt;=Kalemler!$D167)),1,0),IF(AND(Kalemler!$D167&gt;=(Tahmin!$C$4+14),Kalemler!$D167&lt;=(Tahmin!$C$4+20)),1,0))))</f>
        <v>0</v>
      </c>
      <c r="E167" s="0" t="n">
        <f aca="false">IF(OR(Kalemler!$A167="",Kalemler!$C167="",Kalemler!$D167=""),0,Kalemler!$C167*IF(Kalemler!$E167="Haftalık",IF(Kalemler!$D167&lt;=(Tahmin!$C$4+27),1,0),IF(Kalemler!$E167="Aylık",IF(OR(AND(DATE(YEAR((Tahmin!$C$4+21)),MONTH((Tahmin!$C$4+21)),MIN(DAY(Kalemler!$D167),DAY(EOMONTH((Tahmin!$C$4+21),0))))&gt;=(Tahmin!$C$4+21),DATE(YEAR((Tahmin!$C$4+21)),MONTH((Tahmin!$C$4+21)),MIN(DAY(Kalemler!$D167),DAY(EOMONTH((Tahmin!$C$4+21),0))))&lt;=(Tahmin!$C$4+27),DATE(YEAR((Tahmin!$C$4+21)),MONTH((Tahmin!$C$4+21)),MIN(DAY(Kalemler!$D167),DAY(EOMONTH((Tahmin!$C$4+21),0))))&gt;=Kalemler!$D167),AND(DATE(YEAR((Tahmin!$C$4+27)),MONTH((Tahmin!$C$4+27)),MIN(DAY(Kalemler!$D167),DAY(EOMONTH((Tahmin!$C$4+27),0))))&gt;=(Tahmin!$C$4+21),DATE(YEAR((Tahmin!$C$4+27)),MONTH((Tahmin!$C$4+27)),MIN(DAY(Kalemler!$D167),DAY(EOMONTH((Tahmin!$C$4+27),0))))&lt;=(Tahmin!$C$4+27),DATE(YEAR((Tahmin!$C$4+27)),MONTH((Tahmin!$C$4+27)),MIN(DAY(Kalemler!$D167),DAY(EOMONTH((Tahmin!$C$4+27),0))))&lt;&gt;DATE(YEAR((Tahmin!$C$4+21)),MONTH((Tahmin!$C$4+21)),MIN(DAY(Kalemler!$D167),DAY(EOMONTH((Tahmin!$C$4+21),0)))),DATE(YEAR((Tahmin!$C$4+27)),MONTH((Tahmin!$C$4+27)),MIN(DAY(Kalemler!$D167),DAY(EOMONTH((Tahmin!$C$4+27),0))))&gt;=Kalemler!$D167)),1,0),IF(AND(Kalemler!$D167&gt;=(Tahmin!$C$4+21),Kalemler!$D167&lt;=(Tahmin!$C$4+27)),1,0))))</f>
        <v>0</v>
      </c>
      <c r="F167" s="0" t="n">
        <f aca="false">IF(OR(Kalemler!$A167="",Kalemler!$C167="",Kalemler!$D167=""),0,Kalemler!$C167*IF(Kalemler!$E167="Haftalık",IF(Kalemler!$D167&lt;=(Tahmin!$C$4+34),1,0),IF(Kalemler!$E167="Aylık",IF(OR(AND(DATE(YEAR((Tahmin!$C$4+28)),MONTH((Tahmin!$C$4+28)),MIN(DAY(Kalemler!$D167),DAY(EOMONTH((Tahmin!$C$4+28),0))))&gt;=(Tahmin!$C$4+28),DATE(YEAR((Tahmin!$C$4+28)),MONTH((Tahmin!$C$4+28)),MIN(DAY(Kalemler!$D167),DAY(EOMONTH((Tahmin!$C$4+28),0))))&lt;=(Tahmin!$C$4+34),DATE(YEAR((Tahmin!$C$4+28)),MONTH((Tahmin!$C$4+28)),MIN(DAY(Kalemler!$D167),DAY(EOMONTH((Tahmin!$C$4+28),0))))&gt;=Kalemler!$D167),AND(DATE(YEAR((Tahmin!$C$4+34)),MONTH((Tahmin!$C$4+34)),MIN(DAY(Kalemler!$D167),DAY(EOMONTH((Tahmin!$C$4+34),0))))&gt;=(Tahmin!$C$4+28),DATE(YEAR((Tahmin!$C$4+34)),MONTH((Tahmin!$C$4+34)),MIN(DAY(Kalemler!$D167),DAY(EOMONTH((Tahmin!$C$4+34),0))))&lt;=(Tahmin!$C$4+34),DATE(YEAR((Tahmin!$C$4+34)),MONTH((Tahmin!$C$4+34)),MIN(DAY(Kalemler!$D167),DAY(EOMONTH((Tahmin!$C$4+34),0))))&lt;&gt;DATE(YEAR((Tahmin!$C$4+28)),MONTH((Tahmin!$C$4+28)),MIN(DAY(Kalemler!$D167),DAY(EOMONTH((Tahmin!$C$4+28),0)))),DATE(YEAR((Tahmin!$C$4+34)),MONTH((Tahmin!$C$4+34)),MIN(DAY(Kalemler!$D167),DAY(EOMONTH((Tahmin!$C$4+34),0))))&gt;=Kalemler!$D167)),1,0),IF(AND(Kalemler!$D167&gt;=(Tahmin!$C$4+28),Kalemler!$D167&lt;=(Tahmin!$C$4+34)),1,0))))</f>
        <v>0</v>
      </c>
      <c r="G167" s="0" t="n">
        <f aca="false">IF(OR(Kalemler!$A167="",Kalemler!$C167="",Kalemler!$D167=""),0,Kalemler!$C167*IF(Kalemler!$E167="Haftalık",IF(Kalemler!$D167&lt;=(Tahmin!$C$4+41),1,0),IF(Kalemler!$E167="Aylık",IF(OR(AND(DATE(YEAR((Tahmin!$C$4+35)),MONTH((Tahmin!$C$4+35)),MIN(DAY(Kalemler!$D167),DAY(EOMONTH((Tahmin!$C$4+35),0))))&gt;=(Tahmin!$C$4+35),DATE(YEAR((Tahmin!$C$4+35)),MONTH((Tahmin!$C$4+35)),MIN(DAY(Kalemler!$D167),DAY(EOMONTH((Tahmin!$C$4+35),0))))&lt;=(Tahmin!$C$4+41),DATE(YEAR((Tahmin!$C$4+35)),MONTH((Tahmin!$C$4+35)),MIN(DAY(Kalemler!$D167),DAY(EOMONTH((Tahmin!$C$4+35),0))))&gt;=Kalemler!$D167),AND(DATE(YEAR((Tahmin!$C$4+41)),MONTH((Tahmin!$C$4+41)),MIN(DAY(Kalemler!$D167),DAY(EOMONTH((Tahmin!$C$4+41),0))))&gt;=(Tahmin!$C$4+35),DATE(YEAR((Tahmin!$C$4+41)),MONTH((Tahmin!$C$4+41)),MIN(DAY(Kalemler!$D167),DAY(EOMONTH((Tahmin!$C$4+41),0))))&lt;=(Tahmin!$C$4+41),DATE(YEAR((Tahmin!$C$4+41)),MONTH((Tahmin!$C$4+41)),MIN(DAY(Kalemler!$D167),DAY(EOMONTH((Tahmin!$C$4+41),0))))&lt;&gt;DATE(YEAR((Tahmin!$C$4+35)),MONTH((Tahmin!$C$4+35)),MIN(DAY(Kalemler!$D167),DAY(EOMONTH((Tahmin!$C$4+35),0)))),DATE(YEAR((Tahmin!$C$4+41)),MONTH((Tahmin!$C$4+41)),MIN(DAY(Kalemler!$D167),DAY(EOMONTH((Tahmin!$C$4+41),0))))&gt;=Kalemler!$D167)),1,0),IF(AND(Kalemler!$D167&gt;=(Tahmin!$C$4+35),Kalemler!$D167&lt;=(Tahmin!$C$4+41)),1,0))))</f>
        <v>0</v>
      </c>
      <c r="H167" s="0" t="n">
        <f aca="false">IF(OR(Kalemler!$A167="",Kalemler!$C167="",Kalemler!$D167=""),0,Kalemler!$C167*IF(Kalemler!$E167="Haftalık",IF(Kalemler!$D167&lt;=(Tahmin!$C$4+48),1,0),IF(Kalemler!$E167="Aylık",IF(OR(AND(DATE(YEAR((Tahmin!$C$4+42)),MONTH((Tahmin!$C$4+42)),MIN(DAY(Kalemler!$D167),DAY(EOMONTH((Tahmin!$C$4+42),0))))&gt;=(Tahmin!$C$4+42),DATE(YEAR((Tahmin!$C$4+42)),MONTH((Tahmin!$C$4+42)),MIN(DAY(Kalemler!$D167),DAY(EOMONTH((Tahmin!$C$4+42),0))))&lt;=(Tahmin!$C$4+48),DATE(YEAR((Tahmin!$C$4+42)),MONTH((Tahmin!$C$4+42)),MIN(DAY(Kalemler!$D167),DAY(EOMONTH((Tahmin!$C$4+42),0))))&gt;=Kalemler!$D167),AND(DATE(YEAR((Tahmin!$C$4+48)),MONTH((Tahmin!$C$4+48)),MIN(DAY(Kalemler!$D167),DAY(EOMONTH((Tahmin!$C$4+48),0))))&gt;=(Tahmin!$C$4+42),DATE(YEAR((Tahmin!$C$4+48)),MONTH((Tahmin!$C$4+48)),MIN(DAY(Kalemler!$D167),DAY(EOMONTH((Tahmin!$C$4+48),0))))&lt;=(Tahmin!$C$4+48),DATE(YEAR((Tahmin!$C$4+48)),MONTH((Tahmin!$C$4+48)),MIN(DAY(Kalemler!$D167),DAY(EOMONTH((Tahmin!$C$4+48),0))))&lt;&gt;DATE(YEAR((Tahmin!$C$4+42)),MONTH((Tahmin!$C$4+42)),MIN(DAY(Kalemler!$D167),DAY(EOMONTH((Tahmin!$C$4+42),0)))),DATE(YEAR((Tahmin!$C$4+48)),MONTH((Tahmin!$C$4+48)),MIN(DAY(Kalemler!$D167),DAY(EOMONTH((Tahmin!$C$4+48),0))))&gt;=Kalemler!$D167)),1,0),IF(AND(Kalemler!$D167&gt;=(Tahmin!$C$4+42),Kalemler!$D167&lt;=(Tahmin!$C$4+48)),1,0))))</f>
        <v>0</v>
      </c>
      <c r="I167" s="0" t="n">
        <f aca="false">IF(OR(Kalemler!$A167="",Kalemler!$C167="",Kalemler!$D167=""),0,Kalemler!$C167*IF(Kalemler!$E167="Haftalık",IF(Kalemler!$D167&lt;=(Tahmin!$C$4+55),1,0),IF(Kalemler!$E167="Aylık",IF(OR(AND(DATE(YEAR((Tahmin!$C$4+49)),MONTH((Tahmin!$C$4+49)),MIN(DAY(Kalemler!$D167),DAY(EOMONTH((Tahmin!$C$4+49),0))))&gt;=(Tahmin!$C$4+49),DATE(YEAR((Tahmin!$C$4+49)),MONTH((Tahmin!$C$4+49)),MIN(DAY(Kalemler!$D167),DAY(EOMONTH((Tahmin!$C$4+49),0))))&lt;=(Tahmin!$C$4+55),DATE(YEAR((Tahmin!$C$4+49)),MONTH((Tahmin!$C$4+49)),MIN(DAY(Kalemler!$D167),DAY(EOMONTH((Tahmin!$C$4+49),0))))&gt;=Kalemler!$D167),AND(DATE(YEAR((Tahmin!$C$4+55)),MONTH((Tahmin!$C$4+55)),MIN(DAY(Kalemler!$D167),DAY(EOMONTH((Tahmin!$C$4+55),0))))&gt;=(Tahmin!$C$4+49),DATE(YEAR((Tahmin!$C$4+55)),MONTH((Tahmin!$C$4+55)),MIN(DAY(Kalemler!$D167),DAY(EOMONTH((Tahmin!$C$4+55),0))))&lt;=(Tahmin!$C$4+55),DATE(YEAR((Tahmin!$C$4+55)),MONTH((Tahmin!$C$4+55)),MIN(DAY(Kalemler!$D167),DAY(EOMONTH((Tahmin!$C$4+55),0))))&lt;&gt;DATE(YEAR((Tahmin!$C$4+49)),MONTH((Tahmin!$C$4+49)),MIN(DAY(Kalemler!$D167),DAY(EOMONTH((Tahmin!$C$4+49),0)))),DATE(YEAR((Tahmin!$C$4+55)),MONTH((Tahmin!$C$4+55)),MIN(DAY(Kalemler!$D167),DAY(EOMONTH((Tahmin!$C$4+55),0))))&gt;=Kalemler!$D167)),1,0),IF(AND(Kalemler!$D167&gt;=(Tahmin!$C$4+49),Kalemler!$D167&lt;=(Tahmin!$C$4+55)),1,0))))</f>
        <v>0</v>
      </c>
      <c r="J167" s="0" t="n">
        <f aca="false">IF(OR(Kalemler!$A167="",Kalemler!$C167="",Kalemler!$D167=""),0,Kalemler!$C167*IF(Kalemler!$E167="Haftalık",IF(Kalemler!$D167&lt;=(Tahmin!$C$4+62),1,0),IF(Kalemler!$E167="Aylık",IF(OR(AND(DATE(YEAR((Tahmin!$C$4+56)),MONTH((Tahmin!$C$4+56)),MIN(DAY(Kalemler!$D167),DAY(EOMONTH((Tahmin!$C$4+56),0))))&gt;=(Tahmin!$C$4+56),DATE(YEAR((Tahmin!$C$4+56)),MONTH((Tahmin!$C$4+56)),MIN(DAY(Kalemler!$D167),DAY(EOMONTH((Tahmin!$C$4+56),0))))&lt;=(Tahmin!$C$4+62),DATE(YEAR((Tahmin!$C$4+56)),MONTH((Tahmin!$C$4+56)),MIN(DAY(Kalemler!$D167),DAY(EOMONTH((Tahmin!$C$4+56),0))))&gt;=Kalemler!$D167),AND(DATE(YEAR((Tahmin!$C$4+62)),MONTH((Tahmin!$C$4+62)),MIN(DAY(Kalemler!$D167),DAY(EOMONTH((Tahmin!$C$4+62),0))))&gt;=(Tahmin!$C$4+56),DATE(YEAR((Tahmin!$C$4+62)),MONTH((Tahmin!$C$4+62)),MIN(DAY(Kalemler!$D167),DAY(EOMONTH((Tahmin!$C$4+62),0))))&lt;=(Tahmin!$C$4+62),DATE(YEAR((Tahmin!$C$4+62)),MONTH((Tahmin!$C$4+62)),MIN(DAY(Kalemler!$D167),DAY(EOMONTH((Tahmin!$C$4+62),0))))&lt;&gt;DATE(YEAR((Tahmin!$C$4+56)),MONTH((Tahmin!$C$4+56)),MIN(DAY(Kalemler!$D167),DAY(EOMONTH((Tahmin!$C$4+56),0)))),DATE(YEAR((Tahmin!$C$4+62)),MONTH((Tahmin!$C$4+62)),MIN(DAY(Kalemler!$D167),DAY(EOMONTH((Tahmin!$C$4+62),0))))&gt;=Kalemler!$D167)),1,0),IF(AND(Kalemler!$D167&gt;=(Tahmin!$C$4+56),Kalemler!$D167&lt;=(Tahmin!$C$4+62)),1,0))))</f>
        <v>0</v>
      </c>
      <c r="K167" s="0" t="n">
        <f aca="false">IF(OR(Kalemler!$A167="",Kalemler!$C167="",Kalemler!$D167=""),0,Kalemler!$C167*IF(Kalemler!$E167="Haftalık",IF(Kalemler!$D167&lt;=(Tahmin!$C$4+69),1,0),IF(Kalemler!$E167="Aylık",IF(OR(AND(DATE(YEAR((Tahmin!$C$4+63)),MONTH((Tahmin!$C$4+63)),MIN(DAY(Kalemler!$D167),DAY(EOMONTH((Tahmin!$C$4+63),0))))&gt;=(Tahmin!$C$4+63),DATE(YEAR((Tahmin!$C$4+63)),MONTH((Tahmin!$C$4+63)),MIN(DAY(Kalemler!$D167),DAY(EOMONTH((Tahmin!$C$4+63),0))))&lt;=(Tahmin!$C$4+69),DATE(YEAR((Tahmin!$C$4+63)),MONTH((Tahmin!$C$4+63)),MIN(DAY(Kalemler!$D167),DAY(EOMONTH((Tahmin!$C$4+63),0))))&gt;=Kalemler!$D167),AND(DATE(YEAR((Tahmin!$C$4+69)),MONTH((Tahmin!$C$4+69)),MIN(DAY(Kalemler!$D167),DAY(EOMONTH((Tahmin!$C$4+69),0))))&gt;=(Tahmin!$C$4+63),DATE(YEAR((Tahmin!$C$4+69)),MONTH((Tahmin!$C$4+69)),MIN(DAY(Kalemler!$D167),DAY(EOMONTH((Tahmin!$C$4+69),0))))&lt;=(Tahmin!$C$4+69),DATE(YEAR((Tahmin!$C$4+69)),MONTH((Tahmin!$C$4+69)),MIN(DAY(Kalemler!$D167),DAY(EOMONTH((Tahmin!$C$4+69),0))))&lt;&gt;DATE(YEAR((Tahmin!$C$4+63)),MONTH((Tahmin!$C$4+63)),MIN(DAY(Kalemler!$D167),DAY(EOMONTH((Tahmin!$C$4+63),0)))),DATE(YEAR((Tahmin!$C$4+69)),MONTH((Tahmin!$C$4+69)),MIN(DAY(Kalemler!$D167),DAY(EOMONTH((Tahmin!$C$4+69),0))))&gt;=Kalemler!$D167)),1,0),IF(AND(Kalemler!$D167&gt;=(Tahmin!$C$4+63),Kalemler!$D167&lt;=(Tahmin!$C$4+69)),1,0))))</f>
        <v>0</v>
      </c>
      <c r="L167" s="0" t="n">
        <f aca="false">IF(OR(Kalemler!$A167="",Kalemler!$C167="",Kalemler!$D167=""),0,Kalemler!$C167*IF(Kalemler!$E167="Haftalık",IF(Kalemler!$D167&lt;=(Tahmin!$C$4+76),1,0),IF(Kalemler!$E167="Aylık",IF(OR(AND(DATE(YEAR((Tahmin!$C$4+70)),MONTH((Tahmin!$C$4+70)),MIN(DAY(Kalemler!$D167),DAY(EOMONTH((Tahmin!$C$4+70),0))))&gt;=(Tahmin!$C$4+70),DATE(YEAR((Tahmin!$C$4+70)),MONTH((Tahmin!$C$4+70)),MIN(DAY(Kalemler!$D167),DAY(EOMONTH((Tahmin!$C$4+70),0))))&lt;=(Tahmin!$C$4+76),DATE(YEAR((Tahmin!$C$4+70)),MONTH((Tahmin!$C$4+70)),MIN(DAY(Kalemler!$D167),DAY(EOMONTH((Tahmin!$C$4+70),0))))&gt;=Kalemler!$D167),AND(DATE(YEAR((Tahmin!$C$4+76)),MONTH((Tahmin!$C$4+76)),MIN(DAY(Kalemler!$D167),DAY(EOMONTH((Tahmin!$C$4+76),0))))&gt;=(Tahmin!$C$4+70),DATE(YEAR((Tahmin!$C$4+76)),MONTH((Tahmin!$C$4+76)),MIN(DAY(Kalemler!$D167),DAY(EOMONTH((Tahmin!$C$4+76),0))))&lt;=(Tahmin!$C$4+76),DATE(YEAR((Tahmin!$C$4+76)),MONTH((Tahmin!$C$4+76)),MIN(DAY(Kalemler!$D167),DAY(EOMONTH((Tahmin!$C$4+76),0))))&lt;&gt;DATE(YEAR((Tahmin!$C$4+70)),MONTH((Tahmin!$C$4+70)),MIN(DAY(Kalemler!$D167),DAY(EOMONTH((Tahmin!$C$4+70),0)))),DATE(YEAR((Tahmin!$C$4+76)),MONTH((Tahmin!$C$4+76)),MIN(DAY(Kalemler!$D167),DAY(EOMONTH((Tahmin!$C$4+76),0))))&gt;=Kalemler!$D167)),1,0),IF(AND(Kalemler!$D167&gt;=(Tahmin!$C$4+70),Kalemler!$D167&lt;=(Tahmin!$C$4+76)),1,0))))</f>
        <v>0</v>
      </c>
      <c r="M167" s="0" t="n">
        <f aca="false">IF(OR(Kalemler!$A167="",Kalemler!$C167="",Kalemler!$D167=""),0,Kalemler!$C167*IF(Kalemler!$E167="Haftalık",IF(Kalemler!$D167&lt;=(Tahmin!$C$4+83),1,0),IF(Kalemler!$E167="Aylık",IF(OR(AND(DATE(YEAR((Tahmin!$C$4+77)),MONTH((Tahmin!$C$4+77)),MIN(DAY(Kalemler!$D167),DAY(EOMONTH((Tahmin!$C$4+77),0))))&gt;=(Tahmin!$C$4+77),DATE(YEAR((Tahmin!$C$4+77)),MONTH((Tahmin!$C$4+77)),MIN(DAY(Kalemler!$D167),DAY(EOMONTH((Tahmin!$C$4+77),0))))&lt;=(Tahmin!$C$4+83),DATE(YEAR((Tahmin!$C$4+77)),MONTH((Tahmin!$C$4+77)),MIN(DAY(Kalemler!$D167),DAY(EOMONTH((Tahmin!$C$4+77),0))))&gt;=Kalemler!$D167),AND(DATE(YEAR((Tahmin!$C$4+83)),MONTH((Tahmin!$C$4+83)),MIN(DAY(Kalemler!$D167),DAY(EOMONTH((Tahmin!$C$4+83),0))))&gt;=(Tahmin!$C$4+77),DATE(YEAR((Tahmin!$C$4+83)),MONTH((Tahmin!$C$4+83)),MIN(DAY(Kalemler!$D167),DAY(EOMONTH((Tahmin!$C$4+83),0))))&lt;=(Tahmin!$C$4+83),DATE(YEAR((Tahmin!$C$4+83)),MONTH((Tahmin!$C$4+83)),MIN(DAY(Kalemler!$D167),DAY(EOMONTH((Tahmin!$C$4+83),0))))&lt;&gt;DATE(YEAR((Tahmin!$C$4+77)),MONTH((Tahmin!$C$4+77)),MIN(DAY(Kalemler!$D167),DAY(EOMONTH((Tahmin!$C$4+77),0)))),DATE(YEAR((Tahmin!$C$4+83)),MONTH((Tahmin!$C$4+83)),MIN(DAY(Kalemler!$D167),DAY(EOMONTH((Tahmin!$C$4+83),0))))&gt;=Kalemler!$D167)),1,0),IF(AND(Kalemler!$D167&gt;=(Tahmin!$C$4+77),Kalemler!$D167&lt;=(Tahmin!$C$4+83)),1,0))))</f>
        <v>0</v>
      </c>
      <c r="N167" s="0" t="n">
        <f aca="false">IF(OR(Kalemler!$A167="",Kalemler!$C167="",Kalemler!$D167=""),0,Kalemler!$C167*IF(Kalemler!$E167="Haftalık",IF(Kalemler!$D167&lt;=(Tahmin!$C$4+90),1,0),IF(Kalemler!$E167="Aylık",IF(OR(AND(DATE(YEAR((Tahmin!$C$4+84)),MONTH((Tahmin!$C$4+84)),MIN(DAY(Kalemler!$D167),DAY(EOMONTH((Tahmin!$C$4+84),0))))&gt;=(Tahmin!$C$4+84),DATE(YEAR((Tahmin!$C$4+84)),MONTH((Tahmin!$C$4+84)),MIN(DAY(Kalemler!$D167),DAY(EOMONTH((Tahmin!$C$4+84),0))))&lt;=(Tahmin!$C$4+90),DATE(YEAR((Tahmin!$C$4+84)),MONTH((Tahmin!$C$4+84)),MIN(DAY(Kalemler!$D167),DAY(EOMONTH((Tahmin!$C$4+84),0))))&gt;=Kalemler!$D167),AND(DATE(YEAR((Tahmin!$C$4+90)),MONTH((Tahmin!$C$4+90)),MIN(DAY(Kalemler!$D167),DAY(EOMONTH((Tahmin!$C$4+90),0))))&gt;=(Tahmin!$C$4+84),DATE(YEAR((Tahmin!$C$4+90)),MONTH((Tahmin!$C$4+90)),MIN(DAY(Kalemler!$D167),DAY(EOMONTH((Tahmin!$C$4+90),0))))&lt;=(Tahmin!$C$4+90),DATE(YEAR((Tahmin!$C$4+90)),MONTH((Tahmin!$C$4+90)),MIN(DAY(Kalemler!$D167),DAY(EOMONTH((Tahmin!$C$4+90),0))))&lt;&gt;DATE(YEAR((Tahmin!$C$4+84)),MONTH((Tahmin!$C$4+84)),MIN(DAY(Kalemler!$D167),DAY(EOMONTH((Tahmin!$C$4+84),0)))),DATE(YEAR((Tahmin!$C$4+90)),MONTH((Tahmin!$C$4+90)),MIN(DAY(Kalemler!$D167),DAY(EOMONTH((Tahmin!$C$4+90),0))))&gt;=Kalemler!$D167)),1,0),IF(AND(Kalemler!$D167&gt;=(Tahmin!$C$4+84),Kalemler!$D167&lt;=(Tahmin!$C$4+90)),1,0))))</f>
        <v>0</v>
      </c>
    </row>
    <row r="168" customFormat="false" ht="15" hidden="false" customHeight="false" outlineLevel="0" collapsed="false">
      <c r="A168" s="0" t="str">
        <f aca="false">IF(Kalemler!A168="","",Kalemler!A168)</f>
        <v/>
      </c>
      <c r="B168" s="0" t="n">
        <f aca="false">IF(OR(Kalemler!$A168="",Kalemler!$C168="",Kalemler!$D168=""),0,Kalemler!$C168*IF(Kalemler!$E168="Haftalık",IF(Kalemler!$D168&lt;=(Tahmin!$C$4+6),1,0),IF(Kalemler!$E168="Aylık",IF(OR(AND(DATE(YEAR((Tahmin!$C$4+0)),MONTH((Tahmin!$C$4+0)),MIN(DAY(Kalemler!$D168),DAY(EOMONTH((Tahmin!$C$4+0),0))))&gt;=(Tahmin!$C$4+0),DATE(YEAR((Tahmin!$C$4+0)),MONTH((Tahmin!$C$4+0)),MIN(DAY(Kalemler!$D168),DAY(EOMONTH((Tahmin!$C$4+0),0))))&lt;=(Tahmin!$C$4+6),DATE(YEAR((Tahmin!$C$4+0)),MONTH((Tahmin!$C$4+0)),MIN(DAY(Kalemler!$D168),DAY(EOMONTH((Tahmin!$C$4+0),0))))&gt;=Kalemler!$D168),AND(DATE(YEAR((Tahmin!$C$4+6)),MONTH((Tahmin!$C$4+6)),MIN(DAY(Kalemler!$D168),DAY(EOMONTH((Tahmin!$C$4+6),0))))&gt;=(Tahmin!$C$4+0),DATE(YEAR((Tahmin!$C$4+6)),MONTH((Tahmin!$C$4+6)),MIN(DAY(Kalemler!$D168),DAY(EOMONTH((Tahmin!$C$4+6),0))))&lt;=(Tahmin!$C$4+6),DATE(YEAR((Tahmin!$C$4+6)),MONTH((Tahmin!$C$4+6)),MIN(DAY(Kalemler!$D168),DAY(EOMONTH((Tahmin!$C$4+6),0))))&lt;&gt;DATE(YEAR((Tahmin!$C$4+0)),MONTH((Tahmin!$C$4+0)),MIN(DAY(Kalemler!$D168),DAY(EOMONTH((Tahmin!$C$4+0),0)))),DATE(YEAR((Tahmin!$C$4+6)),MONTH((Tahmin!$C$4+6)),MIN(DAY(Kalemler!$D168),DAY(EOMONTH((Tahmin!$C$4+6),0))))&gt;=Kalemler!$D168)),1,0),IF(AND(Kalemler!$D168&gt;=(Tahmin!$C$4+0),Kalemler!$D168&lt;=(Tahmin!$C$4+6)),1,0))))</f>
        <v>0</v>
      </c>
      <c r="C168" s="0" t="n">
        <f aca="false">IF(OR(Kalemler!$A168="",Kalemler!$C168="",Kalemler!$D168=""),0,Kalemler!$C168*IF(Kalemler!$E168="Haftalık",IF(Kalemler!$D168&lt;=(Tahmin!$C$4+13),1,0),IF(Kalemler!$E168="Aylık",IF(OR(AND(DATE(YEAR((Tahmin!$C$4+7)),MONTH((Tahmin!$C$4+7)),MIN(DAY(Kalemler!$D168),DAY(EOMONTH((Tahmin!$C$4+7),0))))&gt;=(Tahmin!$C$4+7),DATE(YEAR((Tahmin!$C$4+7)),MONTH((Tahmin!$C$4+7)),MIN(DAY(Kalemler!$D168),DAY(EOMONTH((Tahmin!$C$4+7),0))))&lt;=(Tahmin!$C$4+13),DATE(YEAR((Tahmin!$C$4+7)),MONTH((Tahmin!$C$4+7)),MIN(DAY(Kalemler!$D168),DAY(EOMONTH((Tahmin!$C$4+7),0))))&gt;=Kalemler!$D168),AND(DATE(YEAR((Tahmin!$C$4+13)),MONTH((Tahmin!$C$4+13)),MIN(DAY(Kalemler!$D168),DAY(EOMONTH((Tahmin!$C$4+13),0))))&gt;=(Tahmin!$C$4+7),DATE(YEAR((Tahmin!$C$4+13)),MONTH((Tahmin!$C$4+13)),MIN(DAY(Kalemler!$D168),DAY(EOMONTH((Tahmin!$C$4+13),0))))&lt;=(Tahmin!$C$4+13),DATE(YEAR((Tahmin!$C$4+13)),MONTH((Tahmin!$C$4+13)),MIN(DAY(Kalemler!$D168),DAY(EOMONTH((Tahmin!$C$4+13),0))))&lt;&gt;DATE(YEAR((Tahmin!$C$4+7)),MONTH((Tahmin!$C$4+7)),MIN(DAY(Kalemler!$D168),DAY(EOMONTH((Tahmin!$C$4+7),0)))),DATE(YEAR((Tahmin!$C$4+13)),MONTH((Tahmin!$C$4+13)),MIN(DAY(Kalemler!$D168),DAY(EOMONTH((Tahmin!$C$4+13),0))))&gt;=Kalemler!$D168)),1,0),IF(AND(Kalemler!$D168&gt;=(Tahmin!$C$4+7),Kalemler!$D168&lt;=(Tahmin!$C$4+13)),1,0))))</f>
        <v>0</v>
      </c>
      <c r="D168" s="0" t="n">
        <f aca="false">IF(OR(Kalemler!$A168="",Kalemler!$C168="",Kalemler!$D168=""),0,Kalemler!$C168*IF(Kalemler!$E168="Haftalık",IF(Kalemler!$D168&lt;=(Tahmin!$C$4+20),1,0),IF(Kalemler!$E168="Aylık",IF(OR(AND(DATE(YEAR((Tahmin!$C$4+14)),MONTH((Tahmin!$C$4+14)),MIN(DAY(Kalemler!$D168),DAY(EOMONTH((Tahmin!$C$4+14),0))))&gt;=(Tahmin!$C$4+14),DATE(YEAR((Tahmin!$C$4+14)),MONTH((Tahmin!$C$4+14)),MIN(DAY(Kalemler!$D168),DAY(EOMONTH((Tahmin!$C$4+14),0))))&lt;=(Tahmin!$C$4+20),DATE(YEAR((Tahmin!$C$4+14)),MONTH((Tahmin!$C$4+14)),MIN(DAY(Kalemler!$D168),DAY(EOMONTH((Tahmin!$C$4+14),0))))&gt;=Kalemler!$D168),AND(DATE(YEAR((Tahmin!$C$4+20)),MONTH((Tahmin!$C$4+20)),MIN(DAY(Kalemler!$D168),DAY(EOMONTH((Tahmin!$C$4+20),0))))&gt;=(Tahmin!$C$4+14),DATE(YEAR((Tahmin!$C$4+20)),MONTH((Tahmin!$C$4+20)),MIN(DAY(Kalemler!$D168),DAY(EOMONTH((Tahmin!$C$4+20),0))))&lt;=(Tahmin!$C$4+20),DATE(YEAR((Tahmin!$C$4+20)),MONTH((Tahmin!$C$4+20)),MIN(DAY(Kalemler!$D168),DAY(EOMONTH((Tahmin!$C$4+20),0))))&lt;&gt;DATE(YEAR((Tahmin!$C$4+14)),MONTH((Tahmin!$C$4+14)),MIN(DAY(Kalemler!$D168),DAY(EOMONTH((Tahmin!$C$4+14),0)))),DATE(YEAR((Tahmin!$C$4+20)),MONTH((Tahmin!$C$4+20)),MIN(DAY(Kalemler!$D168),DAY(EOMONTH((Tahmin!$C$4+20),0))))&gt;=Kalemler!$D168)),1,0),IF(AND(Kalemler!$D168&gt;=(Tahmin!$C$4+14),Kalemler!$D168&lt;=(Tahmin!$C$4+20)),1,0))))</f>
        <v>0</v>
      </c>
      <c r="E168" s="0" t="n">
        <f aca="false">IF(OR(Kalemler!$A168="",Kalemler!$C168="",Kalemler!$D168=""),0,Kalemler!$C168*IF(Kalemler!$E168="Haftalık",IF(Kalemler!$D168&lt;=(Tahmin!$C$4+27),1,0),IF(Kalemler!$E168="Aylık",IF(OR(AND(DATE(YEAR((Tahmin!$C$4+21)),MONTH((Tahmin!$C$4+21)),MIN(DAY(Kalemler!$D168),DAY(EOMONTH((Tahmin!$C$4+21),0))))&gt;=(Tahmin!$C$4+21),DATE(YEAR((Tahmin!$C$4+21)),MONTH((Tahmin!$C$4+21)),MIN(DAY(Kalemler!$D168),DAY(EOMONTH((Tahmin!$C$4+21),0))))&lt;=(Tahmin!$C$4+27),DATE(YEAR((Tahmin!$C$4+21)),MONTH((Tahmin!$C$4+21)),MIN(DAY(Kalemler!$D168),DAY(EOMONTH((Tahmin!$C$4+21),0))))&gt;=Kalemler!$D168),AND(DATE(YEAR((Tahmin!$C$4+27)),MONTH((Tahmin!$C$4+27)),MIN(DAY(Kalemler!$D168),DAY(EOMONTH((Tahmin!$C$4+27),0))))&gt;=(Tahmin!$C$4+21),DATE(YEAR((Tahmin!$C$4+27)),MONTH((Tahmin!$C$4+27)),MIN(DAY(Kalemler!$D168),DAY(EOMONTH((Tahmin!$C$4+27),0))))&lt;=(Tahmin!$C$4+27),DATE(YEAR((Tahmin!$C$4+27)),MONTH((Tahmin!$C$4+27)),MIN(DAY(Kalemler!$D168),DAY(EOMONTH((Tahmin!$C$4+27),0))))&lt;&gt;DATE(YEAR((Tahmin!$C$4+21)),MONTH((Tahmin!$C$4+21)),MIN(DAY(Kalemler!$D168),DAY(EOMONTH((Tahmin!$C$4+21),0)))),DATE(YEAR((Tahmin!$C$4+27)),MONTH((Tahmin!$C$4+27)),MIN(DAY(Kalemler!$D168),DAY(EOMONTH((Tahmin!$C$4+27),0))))&gt;=Kalemler!$D168)),1,0),IF(AND(Kalemler!$D168&gt;=(Tahmin!$C$4+21),Kalemler!$D168&lt;=(Tahmin!$C$4+27)),1,0))))</f>
        <v>0</v>
      </c>
      <c r="F168" s="0" t="n">
        <f aca="false">IF(OR(Kalemler!$A168="",Kalemler!$C168="",Kalemler!$D168=""),0,Kalemler!$C168*IF(Kalemler!$E168="Haftalık",IF(Kalemler!$D168&lt;=(Tahmin!$C$4+34),1,0),IF(Kalemler!$E168="Aylık",IF(OR(AND(DATE(YEAR((Tahmin!$C$4+28)),MONTH((Tahmin!$C$4+28)),MIN(DAY(Kalemler!$D168),DAY(EOMONTH((Tahmin!$C$4+28),0))))&gt;=(Tahmin!$C$4+28),DATE(YEAR((Tahmin!$C$4+28)),MONTH((Tahmin!$C$4+28)),MIN(DAY(Kalemler!$D168),DAY(EOMONTH((Tahmin!$C$4+28),0))))&lt;=(Tahmin!$C$4+34),DATE(YEAR((Tahmin!$C$4+28)),MONTH((Tahmin!$C$4+28)),MIN(DAY(Kalemler!$D168),DAY(EOMONTH((Tahmin!$C$4+28),0))))&gt;=Kalemler!$D168),AND(DATE(YEAR((Tahmin!$C$4+34)),MONTH((Tahmin!$C$4+34)),MIN(DAY(Kalemler!$D168),DAY(EOMONTH((Tahmin!$C$4+34),0))))&gt;=(Tahmin!$C$4+28),DATE(YEAR((Tahmin!$C$4+34)),MONTH((Tahmin!$C$4+34)),MIN(DAY(Kalemler!$D168),DAY(EOMONTH((Tahmin!$C$4+34),0))))&lt;=(Tahmin!$C$4+34),DATE(YEAR((Tahmin!$C$4+34)),MONTH((Tahmin!$C$4+34)),MIN(DAY(Kalemler!$D168),DAY(EOMONTH((Tahmin!$C$4+34),0))))&lt;&gt;DATE(YEAR((Tahmin!$C$4+28)),MONTH((Tahmin!$C$4+28)),MIN(DAY(Kalemler!$D168),DAY(EOMONTH((Tahmin!$C$4+28),0)))),DATE(YEAR((Tahmin!$C$4+34)),MONTH((Tahmin!$C$4+34)),MIN(DAY(Kalemler!$D168),DAY(EOMONTH((Tahmin!$C$4+34),0))))&gt;=Kalemler!$D168)),1,0),IF(AND(Kalemler!$D168&gt;=(Tahmin!$C$4+28),Kalemler!$D168&lt;=(Tahmin!$C$4+34)),1,0))))</f>
        <v>0</v>
      </c>
      <c r="G168" s="0" t="n">
        <f aca="false">IF(OR(Kalemler!$A168="",Kalemler!$C168="",Kalemler!$D168=""),0,Kalemler!$C168*IF(Kalemler!$E168="Haftalık",IF(Kalemler!$D168&lt;=(Tahmin!$C$4+41),1,0),IF(Kalemler!$E168="Aylık",IF(OR(AND(DATE(YEAR((Tahmin!$C$4+35)),MONTH((Tahmin!$C$4+35)),MIN(DAY(Kalemler!$D168),DAY(EOMONTH((Tahmin!$C$4+35),0))))&gt;=(Tahmin!$C$4+35),DATE(YEAR((Tahmin!$C$4+35)),MONTH((Tahmin!$C$4+35)),MIN(DAY(Kalemler!$D168),DAY(EOMONTH((Tahmin!$C$4+35),0))))&lt;=(Tahmin!$C$4+41),DATE(YEAR((Tahmin!$C$4+35)),MONTH((Tahmin!$C$4+35)),MIN(DAY(Kalemler!$D168),DAY(EOMONTH((Tahmin!$C$4+35),0))))&gt;=Kalemler!$D168),AND(DATE(YEAR((Tahmin!$C$4+41)),MONTH((Tahmin!$C$4+41)),MIN(DAY(Kalemler!$D168),DAY(EOMONTH((Tahmin!$C$4+41),0))))&gt;=(Tahmin!$C$4+35),DATE(YEAR((Tahmin!$C$4+41)),MONTH((Tahmin!$C$4+41)),MIN(DAY(Kalemler!$D168),DAY(EOMONTH((Tahmin!$C$4+41),0))))&lt;=(Tahmin!$C$4+41),DATE(YEAR((Tahmin!$C$4+41)),MONTH((Tahmin!$C$4+41)),MIN(DAY(Kalemler!$D168),DAY(EOMONTH((Tahmin!$C$4+41),0))))&lt;&gt;DATE(YEAR((Tahmin!$C$4+35)),MONTH((Tahmin!$C$4+35)),MIN(DAY(Kalemler!$D168),DAY(EOMONTH((Tahmin!$C$4+35),0)))),DATE(YEAR((Tahmin!$C$4+41)),MONTH((Tahmin!$C$4+41)),MIN(DAY(Kalemler!$D168),DAY(EOMONTH((Tahmin!$C$4+41),0))))&gt;=Kalemler!$D168)),1,0),IF(AND(Kalemler!$D168&gt;=(Tahmin!$C$4+35),Kalemler!$D168&lt;=(Tahmin!$C$4+41)),1,0))))</f>
        <v>0</v>
      </c>
      <c r="H168" s="0" t="n">
        <f aca="false">IF(OR(Kalemler!$A168="",Kalemler!$C168="",Kalemler!$D168=""),0,Kalemler!$C168*IF(Kalemler!$E168="Haftalık",IF(Kalemler!$D168&lt;=(Tahmin!$C$4+48),1,0),IF(Kalemler!$E168="Aylık",IF(OR(AND(DATE(YEAR((Tahmin!$C$4+42)),MONTH((Tahmin!$C$4+42)),MIN(DAY(Kalemler!$D168),DAY(EOMONTH((Tahmin!$C$4+42),0))))&gt;=(Tahmin!$C$4+42),DATE(YEAR((Tahmin!$C$4+42)),MONTH((Tahmin!$C$4+42)),MIN(DAY(Kalemler!$D168),DAY(EOMONTH((Tahmin!$C$4+42),0))))&lt;=(Tahmin!$C$4+48),DATE(YEAR((Tahmin!$C$4+42)),MONTH((Tahmin!$C$4+42)),MIN(DAY(Kalemler!$D168),DAY(EOMONTH((Tahmin!$C$4+42),0))))&gt;=Kalemler!$D168),AND(DATE(YEAR((Tahmin!$C$4+48)),MONTH((Tahmin!$C$4+48)),MIN(DAY(Kalemler!$D168),DAY(EOMONTH((Tahmin!$C$4+48),0))))&gt;=(Tahmin!$C$4+42),DATE(YEAR((Tahmin!$C$4+48)),MONTH((Tahmin!$C$4+48)),MIN(DAY(Kalemler!$D168),DAY(EOMONTH((Tahmin!$C$4+48),0))))&lt;=(Tahmin!$C$4+48),DATE(YEAR((Tahmin!$C$4+48)),MONTH((Tahmin!$C$4+48)),MIN(DAY(Kalemler!$D168),DAY(EOMONTH((Tahmin!$C$4+48),0))))&lt;&gt;DATE(YEAR((Tahmin!$C$4+42)),MONTH((Tahmin!$C$4+42)),MIN(DAY(Kalemler!$D168),DAY(EOMONTH((Tahmin!$C$4+42),0)))),DATE(YEAR((Tahmin!$C$4+48)),MONTH((Tahmin!$C$4+48)),MIN(DAY(Kalemler!$D168),DAY(EOMONTH((Tahmin!$C$4+48),0))))&gt;=Kalemler!$D168)),1,0),IF(AND(Kalemler!$D168&gt;=(Tahmin!$C$4+42),Kalemler!$D168&lt;=(Tahmin!$C$4+48)),1,0))))</f>
        <v>0</v>
      </c>
      <c r="I168" s="0" t="n">
        <f aca="false">IF(OR(Kalemler!$A168="",Kalemler!$C168="",Kalemler!$D168=""),0,Kalemler!$C168*IF(Kalemler!$E168="Haftalık",IF(Kalemler!$D168&lt;=(Tahmin!$C$4+55),1,0),IF(Kalemler!$E168="Aylık",IF(OR(AND(DATE(YEAR((Tahmin!$C$4+49)),MONTH((Tahmin!$C$4+49)),MIN(DAY(Kalemler!$D168),DAY(EOMONTH((Tahmin!$C$4+49),0))))&gt;=(Tahmin!$C$4+49),DATE(YEAR((Tahmin!$C$4+49)),MONTH((Tahmin!$C$4+49)),MIN(DAY(Kalemler!$D168),DAY(EOMONTH((Tahmin!$C$4+49),0))))&lt;=(Tahmin!$C$4+55),DATE(YEAR((Tahmin!$C$4+49)),MONTH((Tahmin!$C$4+49)),MIN(DAY(Kalemler!$D168),DAY(EOMONTH((Tahmin!$C$4+49),0))))&gt;=Kalemler!$D168),AND(DATE(YEAR((Tahmin!$C$4+55)),MONTH((Tahmin!$C$4+55)),MIN(DAY(Kalemler!$D168),DAY(EOMONTH((Tahmin!$C$4+55),0))))&gt;=(Tahmin!$C$4+49),DATE(YEAR((Tahmin!$C$4+55)),MONTH((Tahmin!$C$4+55)),MIN(DAY(Kalemler!$D168),DAY(EOMONTH((Tahmin!$C$4+55),0))))&lt;=(Tahmin!$C$4+55),DATE(YEAR((Tahmin!$C$4+55)),MONTH((Tahmin!$C$4+55)),MIN(DAY(Kalemler!$D168),DAY(EOMONTH((Tahmin!$C$4+55),0))))&lt;&gt;DATE(YEAR((Tahmin!$C$4+49)),MONTH((Tahmin!$C$4+49)),MIN(DAY(Kalemler!$D168),DAY(EOMONTH((Tahmin!$C$4+49),0)))),DATE(YEAR((Tahmin!$C$4+55)),MONTH((Tahmin!$C$4+55)),MIN(DAY(Kalemler!$D168),DAY(EOMONTH((Tahmin!$C$4+55),0))))&gt;=Kalemler!$D168)),1,0),IF(AND(Kalemler!$D168&gt;=(Tahmin!$C$4+49),Kalemler!$D168&lt;=(Tahmin!$C$4+55)),1,0))))</f>
        <v>0</v>
      </c>
      <c r="J168" s="0" t="n">
        <f aca="false">IF(OR(Kalemler!$A168="",Kalemler!$C168="",Kalemler!$D168=""),0,Kalemler!$C168*IF(Kalemler!$E168="Haftalık",IF(Kalemler!$D168&lt;=(Tahmin!$C$4+62),1,0),IF(Kalemler!$E168="Aylık",IF(OR(AND(DATE(YEAR((Tahmin!$C$4+56)),MONTH((Tahmin!$C$4+56)),MIN(DAY(Kalemler!$D168),DAY(EOMONTH((Tahmin!$C$4+56),0))))&gt;=(Tahmin!$C$4+56),DATE(YEAR((Tahmin!$C$4+56)),MONTH((Tahmin!$C$4+56)),MIN(DAY(Kalemler!$D168),DAY(EOMONTH((Tahmin!$C$4+56),0))))&lt;=(Tahmin!$C$4+62),DATE(YEAR((Tahmin!$C$4+56)),MONTH((Tahmin!$C$4+56)),MIN(DAY(Kalemler!$D168),DAY(EOMONTH((Tahmin!$C$4+56),0))))&gt;=Kalemler!$D168),AND(DATE(YEAR((Tahmin!$C$4+62)),MONTH((Tahmin!$C$4+62)),MIN(DAY(Kalemler!$D168),DAY(EOMONTH((Tahmin!$C$4+62),0))))&gt;=(Tahmin!$C$4+56),DATE(YEAR((Tahmin!$C$4+62)),MONTH((Tahmin!$C$4+62)),MIN(DAY(Kalemler!$D168),DAY(EOMONTH((Tahmin!$C$4+62),0))))&lt;=(Tahmin!$C$4+62),DATE(YEAR((Tahmin!$C$4+62)),MONTH((Tahmin!$C$4+62)),MIN(DAY(Kalemler!$D168),DAY(EOMONTH((Tahmin!$C$4+62),0))))&lt;&gt;DATE(YEAR((Tahmin!$C$4+56)),MONTH((Tahmin!$C$4+56)),MIN(DAY(Kalemler!$D168),DAY(EOMONTH((Tahmin!$C$4+56),0)))),DATE(YEAR((Tahmin!$C$4+62)),MONTH((Tahmin!$C$4+62)),MIN(DAY(Kalemler!$D168),DAY(EOMONTH((Tahmin!$C$4+62),0))))&gt;=Kalemler!$D168)),1,0),IF(AND(Kalemler!$D168&gt;=(Tahmin!$C$4+56),Kalemler!$D168&lt;=(Tahmin!$C$4+62)),1,0))))</f>
        <v>0</v>
      </c>
      <c r="K168" s="0" t="n">
        <f aca="false">IF(OR(Kalemler!$A168="",Kalemler!$C168="",Kalemler!$D168=""),0,Kalemler!$C168*IF(Kalemler!$E168="Haftalık",IF(Kalemler!$D168&lt;=(Tahmin!$C$4+69),1,0),IF(Kalemler!$E168="Aylık",IF(OR(AND(DATE(YEAR((Tahmin!$C$4+63)),MONTH((Tahmin!$C$4+63)),MIN(DAY(Kalemler!$D168),DAY(EOMONTH((Tahmin!$C$4+63),0))))&gt;=(Tahmin!$C$4+63),DATE(YEAR((Tahmin!$C$4+63)),MONTH((Tahmin!$C$4+63)),MIN(DAY(Kalemler!$D168),DAY(EOMONTH((Tahmin!$C$4+63),0))))&lt;=(Tahmin!$C$4+69),DATE(YEAR((Tahmin!$C$4+63)),MONTH((Tahmin!$C$4+63)),MIN(DAY(Kalemler!$D168),DAY(EOMONTH((Tahmin!$C$4+63),0))))&gt;=Kalemler!$D168),AND(DATE(YEAR((Tahmin!$C$4+69)),MONTH((Tahmin!$C$4+69)),MIN(DAY(Kalemler!$D168),DAY(EOMONTH((Tahmin!$C$4+69),0))))&gt;=(Tahmin!$C$4+63),DATE(YEAR((Tahmin!$C$4+69)),MONTH((Tahmin!$C$4+69)),MIN(DAY(Kalemler!$D168),DAY(EOMONTH((Tahmin!$C$4+69),0))))&lt;=(Tahmin!$C$4+69),DATE(YEAR((Tahmin!$C$4+69)),MONTH((Tahmin!$C$4+69)),MIN(DAY(Kalemler!$D168),DAY(EOMONTH((Tahmin!$C$4+69),0))))&lt;&gt;DATE(YEAR((Tahmin!$C$4+63)),MONTH((Tahmin!$C$4+63)),MIN(DAY(Kalemler!$D168),DAY(EOMONTH((Tahmin!$C$4+63),0)))),DATE(YEAR((Tahmin!$C$4+69)),MONTH((Tahmin!$C$4+69)),MIN(DAY(Kalemler!$D168),DAY(EOMONTH((Tahmin!$C$4+69),0))))&gt;=Kalemler!$D168)),1,0),IF(AND(Kalemler!$D168&gt;=(Tahmin!$C$4+63),Kalemler!$D168&lt;=(Tahmin!$C$4+69)),1,0))))</f>
        <v>0</v>
      </c>
      <c r="L168" s="0" t="n">
        <f aca="false">IF(OR(Kalemler!$A168="",Kalemler!$C168="",Kalemler!$D168=""),0,Kalemler!$C168*IF(Kalemler!$E168="Haftalık",IF(Kalemler!$D168&lt;=(Tahmin!$C$4+76),1,0),IF(Kalemler!$E168="Aylık",IF(OR(AND(DATE(YEAR((Tahmin!$C$4+70)),MONTH((Tahmin!$C$4+70)),MIN(DAY(Kalemler!$D168),DAY(EOMONTH((Tahmin!$C$4+70),0))))&gt;=(Tahmin!$C$4+70),DATE(YEAR((Tahmin!$C$4+70)),MONTH((Tahmin!$C$4+70)),MIN(DAY(Kalemler!$D168),DAY(EOMONTH((Tahmin!$C$4+70),0))))&lt;=(Tahmin!$C$4+76),DATE(YEAR((Tahmin!$C$4+70)),MONTH((Tahmin!$C$4+70)),MIN(DAY(Kalemler!$D168),DAY(EOMONTH((Tahmin!$C$4+70),0))))&gt;=Kalemler!$D168),AND(DATE(YEAR((Tahmin!$C$4+76)),MONTH((Tahmin!$C$4+76)),MIN(DAY(Kalemler!$D168),DAY(EOMONTH((Tahmin!$C$4+76),0))))&gt;=(Tahmin!$C$4+70),DATE(YEAR((Tahmin!$C$4+76)),MONTH((Tahmin!$C$4+76)),MIN(DAY(Kalemler!$D168),DAY(EOMONTH((Tahmin!$C$4+76),0))))&lt;=(Tahmin!$C$4+76),DATE(YEAR((Tahmin!$C$4+76)),MONTH((Tahmin!$C$4+76)),MIN(DAY(Kalemler!$D168),DAY(EOMONTH((Tahmin!$C$4+76),0))))&lt;&gt;DATE(YEAR((Tahmin!$C$4+70)),MONTH((Tahmin!$C$4+70)),MIN(DAY(Kalemler!$D168),DAY(EOMONTH((Tahmin!$C$4+70),0)))),DATE(YEAR((Tahmin!$C$4+76)),MONTH((Tahmin!$C$4+76)),MIN(DAY(Kalemler!$D168),DAY(EOMONTH((Tahmin!$C$4+76),0))))&gt;=Kalemler!$D168)),1,0),IF(AND(Kalemler!$D168&gt;=(Tahmin!$C$4+70),Kalemler!$D168&lt;=(Tahmin!$C$4+76)),1,0))))</f>
        <v>0</v>
      </c>
      <c r="M168" s="0" t="n">
        <f aca="false">IF(OR(Kalemler!$A168="",Kalemler!$C168="",Kalemler!$D168=""),0,Kalemler!$C168*IF(Kalemler!$E168="Haftalık",IF(Kalemler!$D168&lt;=(Tahmin!$C$4+83),1,0),IF(Kalemler!$E168="Aylık",IF(OR(AND(DATE(YEAR((Tahmin!$C$4+77)),MONTH((Tahmin!$C$4+77)),MIN(DAY(Kalemler!$D168),DAY(EOMONTH((Tahmin!$C$4+77),0))))&gt;=(Tahmin!$C$4+77),DATE(YEAR((Tahmin!$C$4+77)),MONTH((Tahmin!$C$4+77)),MIN(DAY(Kalemler!$D168),DAY(EOMONTH((Tahmin!$C$4+77),0))))&lt;=(Tahmin!$C$4+83),DATE(YEAR((Tahmin!$C$4+77)),MONTH((Tahmin!$C$4+77)),MIN(DAY(Kalemler!$D168),DAY(EOMONTH((Tahmin!$C$4+77),0))))&gt;=Kalemler!$D168),AND(DATE(YEAR((Tahmin!$C$4+83)),MONTH((Tahmin!$C$4+83)),MIN(DAY(Kalemler!$D168),DAY(EOMONTH((Tahmin!$C$4+83),0))))&gt;=(Tahmin!$C$4+77),DATE(YEAR((Tahmin!$C$4+83)),MONTH((Tahmin!$C$4+83)),MIN(DAY(Kalemler!$D168),DAY(EOMONTH((Tahmin!$C$4+83),0))))&lt;=(Tahmin!$C$4+83),DATE(YEAR((Tahmin!$C$4+83)),MONTH((Tahmin!$C$4+83)),MIN(DAY(Kalemler!$D168),DAY(EOMONTH((Tahmin!$C$4+83),0))))&lt;&gt;DATE(YEAR((Tahmin!$C$4+77)),MONTH((Tahmin!$C$4+77)),MIN(DAY(Kalemler!$D168),DAY(EOMONTH((Tahmin!$C$4+77),0)))),DATE(YEAR((Tahmin!$C$4+83)),MONTH((Tahmin!$C$4+83)),MIN(DAY(Kalemler!$D168),DAY(EOMONTH((Tahmin!$C$4+83),0))))&gt;=Kalemler!$D168)),1,0),IF(AND(Kalemler!$D168&gt;=(Tahmin!$C$4+77),Kalemler!$D168&lt;=(Tahmin!$C$4+83)),1,0))))</f>
        <v>0</v>
      </c>
      <c r="N168" s="0" t="n">
        <f aca="false">IF(OR(Kalemler!$A168="",Kalemler!$C168="",Kalemler!$D168=""),0,Kalemler!$C168*IF(Kalemler!$E168="Haftalık",IF(Kalemler!$D168&lt;=(Tahmin!$C$4+90),1,0),IF(Kalemler!$E168="Aylık",IF(OR(AND(DATE(YEAR((Tahmin!$C$4+84)),MONTH((Tahmin!$C$4+84)),MIN(DAY(Kalemler!$D168),DAY(EOMONTH((Tahmin!$C$4+84),0))))&gt;=(Tahmin!$C$4+84),DATE(YEAR((Tahmin!$C$4+84)),MONTH((Tahmin!$C$4+84)),MIN(DAY(Kalemler!$D168),DAY(EOMONTH((Tahmin!$C$4+84),0))))&lt;=(Tahmin!$C$4+90),DATE(YEAR((Tahmin!$C$4+84)),MONTH((Tahmin!$C$4+84)),MIN(DAY(Kalemler!$D168),DAY(EOMONTH((Tahmin!$C$4+84),0))))&gt;=Kalemler!$D168),AND(DATE(YEAR((Tahmin!$C$4+90)),MONTH((Tahmin!$C$4+90)),MIN(DAY(Kalemler!$D168),DAY(EOMONTH((Tahmin!$C$4+90),0))))&gt;=(Tahmin!$C$4+84),DATE(YEAR((Tahmin!$C$4+90)),MONTH((Tahmin!$C$4+90)),MIN(DAY(Kalemler!$D168),DAY(EOMONTH((Tahmin!$C$4+90),0))))&lt;=(Tahmin!$C$4+90),DATE(YEAR((Tahmin!$C$4+90)),MONTH((Tahmin!$C$4+90)),MIN(DAY(Kalemler!$D168),DAY(EOMONTH((Tahmin!$C$4+90),0))))&lt;&gt;DATE(YEAR((Tahmin!$C$4+84)),MONTH((Tahmin!$C$4+84)),MIN(DAY(Kalemler!$D168),DAY(EOMONTH((Tahmin!$C$4+84),0)))),DATE(YEAR((Tahmin!$C$4+90)),MONTH((Tahmin!$C$4+90)),MIN(DAY(Kalemler!$D168),DAY(EOMONTH((Tahmin!$C$4+90),0))))&gt;=Kalemler!$D168)),1,0),IF(AND(Kalemler!$D168&gt;=(Tahmin!$C$4+84),Kalemler!$D168&lt;=(Tahmin!$C$4+90)),1,0))))</f>
        <v>0</v>
      </c>
    </row>
    <row r="169" customFormat="false" ht="15" hidden="false" customHeight="false" outlineLevel="0" collapsed="false">
      <c r="A169" s="0" t="str">
        <f aca="false">IF(Kalemler!A169="","",Kalemler!A169)</f>
        <v/>
      </c>
      <c r="B169" s="0" t="n">
        <f aca="false">IF(OR(Kalemler!$A169="",Kalemler!$C169="",Kalemler!$D169=""),0,Kalemler!$C169*IF(Kalemler!$E169="Haftalık",IF(Kalemler!$D169&lt;=(Tahmin!$C$4+6),1,0),IF(Kalemler!$E169="Aylık",IF(OR(AND(DATE(YEAR((Tahmin!$C$4+0)),MONTH((Tahmin!$C$4+0)),MIN(DAY(Kalemler!$D169),DAY(EOMONTH((Tahmin!$C$4+0),0))))&gt;=(Tahmin!$C$4+0),DATE(YEAR((Tahmin!$C$4+0)),MONTH((Tahmin!$C$4+0)),MIN(DAY(Kalemler!$D169),DAY(EOMONTH((Tahmin!$C$4+0),0))))&lt;=(Tahmin!$C$4+6),DATE(YEAR((Tahmin!$C$4+0)),MONTH((Tahmin!$C$4+0)),MIN(DAY(Kalemler!$D169),DAY(EOMONTH((Tahmin!$C$4+0),0))))&gt;=Kalemler!$D169),AND(DATE(YEAR((Tahmin!$C$4+6)),MONTH((Tahmin!$C$4+6)),MIN(DAY(Kalemler!$D169),DAY(EOMONTH((Tahmin!$C$4+6),0))))&gt;=(Tahmin!$C$4+0),DATE(YEAR((Tahmin!$C$4+6)),MONTH((Tahmin!$C$4+6)),MIN(DAY(Kalemler!$D169),DAY(EOMONTH((Tahmin!$C$4+6),0))))&lt;=(Tahmin!$C$4+6),DATE(YEAR((Tahmin!$C$4+6)),MONTH((Tahmin!$C$4+6)),MIN(DAY(Kalemler!$D169),DAY(EOMONTH((Tahmin!$C$4+6),0))))&lt;&gt;DATE(YEAR((Tahmin!$C$4+0)),MONTH((Tahmin!$C$4+0)),MIN(DAY(Kalemler!$D169),DAY(EOMONTH((Tahmin!$C$4+0),0)))),DATE(YEAR((Tahmin!$C$4+6)),MONTH((Tahmin!$C$4+6)),MIN(DAY(Kalemler!$D169),DAY(EOMONTH((Tahmin!$C$4+6),0))))&gt;=Kalemler!$D169)),1,0),IF(AND(Kalemler!$D169&gt;=(Tahmin!$C$4+0),Kalemler!$D169&lt;=(Tahmin!$C$4+6)),1,0))))</f>
        <v>0</v>
      </c>
      <c r="C169" s="0" t="n">
        <f aca="false">IF(OR(Kalemler!$A169="",Kalemler!$C169="",Kalemler!$D169=""),0,Kalemler!$C169*IF(Kalemler!$E169="Haftalık",IF(Kalemler!$D169&lt;=(Tahmin!$C$4+13),1,0),IF(Kalemler!$E169="Aylık",IF(OR(AND(DATE(YEAR((Tahmin!$C$4+7)),MONTH((Tahmin!$C$4+7)),MIN(DAY(Kalemler!$D169),DAY(EOMONTH((Tahmin!$C$4+7),0))))&gt;=(Tahmin!$C$4+7),DATE(YEAR((Tahmin!$C$4+7)),MONTH((Tahmin!$C$4+7)),MIN(DAY(Kalemler!$D169),DAY(EOMONTH((Tahmin!$C$4+7),0))))&lt;=(Tahmin!$C$4+13),DATE(YEAR((Tahmin!$C$4+7)),MONTH((Tahmin!$C$4+7)),MIN(DAY(Kalemler!$D169),DAY(EOMONTH((Tahmin!$C$4+7),0))))&gt;=Kalemler!$D169),AND(DATE(YEAR((Tahmin!$C$4+13)),MONTH((Tahmin!$C$4+13)),MIN(DAY(Kalemler!$D169),DAY(EOMONTH((Tahmin!$C$4+13),0))))&gt;=(Tahmin!$C$4+7),DATE(YEAR((Tahmin!$C$4+13)),MONTH((Tahmin!$C$4+13)),MIN(DAY(Kalemler!$D169),DAY(EOMONTH((Tahmin!$C$4+13),0))))&lt;=(Tahmin!$C$4+13),DATE(YEAR((Tahmin!$C$4+13)),MONTH((Tahmin!$C$4+13)),MIN(DAY(Kalemler!$D169),DAY(EOMONTH((Tahmin!$C$4+13),0))))&lt;&gt;DATE(YEAR((Tahmin!$C$4+7)),MONTH((Tahmin!$C$4+7)),MIN(DAY(Kalemler!$D169),DAY(EOMONTH((Tahmin!$C$4+7),0)))),DATE(YEAR((Tahmin!$C$4+13)),MONTH((Tahmin!$C$4+13)),MIN(DAY(Kalemler!$D169),DAY(EOMONTH((Tahmin!$C$4+13),0))))&gt;=Kalemler!$D169)),1,0),IF(AND(Kalemler!$D169&gt;=(Tahmin!$C$4+7),Kalemler!$D169&lt;=(Tahmin!$C$4+13)),1,0))))</f>
        <v>0</v>
      </c>
      <c r="D169" s="0" t="n">
        <f aca="false">IF(OR(Kalemler!$A169="",Kalemler!$C169="",Kalemler!$D169=""),0,Kalemler!$C169*IF(Kalemler!$E169="Haftalık",IF(Kalemler!$D169&lt;=(Tahmin!$C$4+20),1,0),IF(Kalemler!$E169="Aylık",IF(OR(AND(DATE(YEAR((Tahmin!$C$4+14)),MONTH((Tahmin!$C$4+14)),MIN(DAY(Kalemler!$D169),DAY(EOMONTH((Tahmin!$C$4+14),0))))&gt;=(Tahmin!$C$4+14),DATE(YEAR((Tahmin!$C$4+14)),MONTH((Tahmin!$C$4+14)),MIN(DAY(Kalemler!$D169),DAY(EOMONTH((Tahmin!$C$4+14),0))))&lt;=(Tahmin!$C$4+20),DATE(YEAR((Tahmin!$C$4+14)),MONTH((Tahmin!$C$4+14)),MIN(DAY(Kalemler!$D169),DAY(EOMONTH((Tahmin!$C$4+14),0))))&gt;=Kalemler!$D169),AND(DATE(YEAR((Tahmin!$C$4+20)),MONTH((Tahmin!$C$4+20)),MIN(DAY(Kalemler!$D169),DAY(EOMONTH((Tahmin!$C$4+20),0))))&gt;=(Tahmin!$C$4+14),DATE(YEAR((Tahmin!$C$4+20)),MONTH((Tahmin!$C$4+20)),MIN(DAY(Kalemler!$D169),DAY(EOMONTH((Tahmin!$C$4+20),0))))&lt;=(Tahmin!$C$4+20),DATE(YEAR((Tahmin!$C$4+20)),MONTH((Tahmin!$C$4+20)),MIN(DAY(Kalemler!$D169),DAY(EOMONTH((Tahmin!$C$4+20),0))))&lt;&gt;DATE(YEAR((Tahmin!$C$4+14)),MONTH((Tahmin!$C$4+14)),MIN(DAY(Kalemler!$D169),DAY(EOMONTH((Tahmin!$C$4+14),0)))),DATE(YEAR((Tahmin!$C$4+20)),MONTH((Tahmin!$C$4+20)),MIN(DAY(Kalemler!$D169),DAY(EOMONTH((Tahmin!$C$4+20),0))))&gt;=Kalemler!$D169)),1,0),IF(AND(Kalemler!$D169&gt;=(Tahmin!$C$4+14),Kalemler!$D169&lt;=(Tahmin!$C$4+20)),1,0))))</f>
        <v>0</v>
      </c>
      <c r="E169" s="0" t="n">
        <f aca="false">IF(OR(Kalemler!$A169="",Kalemler!$C169="",Kalemler!$D169=""),0,Kalemler!$C169*IF(Kalemler!$E169="Haftalık",IF(Kalemler!$D169&lt;=(Tahmin!$C$4+27),1,0),IF(Kalemler!$E169="Aylık",IF(OR(AND(DATE(YEAR((Tahmin!$C$4+21)),MONTH((Tahmin!$C$4+21)),MIN(DAY(Kalemler!$D169),DAY(EOMONTH((Tahmin!$C$4+21),0))))&gt;=(Tahmin!$C$4+21),DATE(YEAR((Tahmin!$C$4+21)),MONTH((Tahmin!$C$4+21)),MIN(DAY(Kalemler!$D169),DAY(EOMONTH((Tahmin!$C$4+21),0))))&lt;=(Tahmin!$C$4+27),DATE(YEAR((Tahmin!$C$4+21)),MONTH((Tahmin!$C$4+21)),MIN(DAY(Kalemler!$D169),DAY(EOMONTH((Tahmin!$C$4+21),0))))&gt;=Kalemler!$D169),AND(DATE(YEAR((Tahmin!$C$4+27)),MONTH((Tahmin!$C$4+27)),MIN(DAY(Kalemler!$D169),DAY(EOMONTH((Tahmin!$C$4+27),0))))&gt;=(Tahmin!$C$4+21),DATE(YEAR((Tahmin!$C$4+27)),MONTH((Tahmin!$C$4+27)),MIN(DAY(Kalemler!$D169),DAY(EOMONTH((Tahmin!$C$4+27),0))))&lt;=(Tahmin!$C$4+27),DATE(YEAR((Tahmin!$C$4+27)),MONTH((Tahmin!$C$4+27)),MIN(DAY(Kalemler!$D169),DAY(EOMONTH((Tahmin!$C$4+27),0))))&lt;&gt;DATE(YEAR((Tahmin!$C$4+21)),MONTH((Tahmin!$C$4+21)),MIN(DAY(Kalemler!$D169),DAY(EOMONTH((Tahmin!$C$4+21),0)))),DATE(YEAR((Tahmin!$C$4+27)),MONTH((Tahmin!$C$4+27)),MIN(DAY(Kalemler!$D169),DAY(EOMONTH((Tahmin!$C$4+27),0))))&gt;=Kalemler!$D169)),1,0),IF(AND(Kalemler!$D169&gt;=(Tahmin!$C$4+21),Kalemler!$D169&lt;=(Tahmin!$C$4+27)),1,0))))</f>
        <v>0</v>
      </c>
      <c r="F169" s="0" t="n">
        <f aca="false">IF(OR(Kalemler!$A169="",Kalemler!$C169="",Kalemler!$D169=""),0,Kalemler!$C169*IF(Kalemler!$E169="Haftalık",IF(Kalemler!$D169&lt;=(Tahmin!$C$4+34),1,0),IF(Kalemler!$E169="Aylık",IF(OR(AND(DATE(YEAR((Tahmin!$C$4+28)),MONTH((Tahmin!$C$4+28)),MIN(DAY(Kalemler!$D169),DAY(EOMONTH((Tahmin!$C$4+28),0))))&gt;=(Tahmin!$C$4+28),DATE(YEAR((Tahmin!$C$4+28)),MONTH((Tahmin!$C$4+28)),MIN(DAY(Kalemler!$D169),DAY(EOMONTH((Tahmin!$C$4+28),0))))&lt;=(Tahmin!$C$4+34),DATE(YEAR((Tahmin!$C$4+28)),MONTH((Tahmin!$C$4+28)),MIN(DAY(Kalemler!$D169),DAY(EOMONTH((Tahmin!$C$4+28),0))))&gt;=Kalemler!$D169),AND(DATE(YEAR((Tahmin!$C$4+34)),MONTH((Tahmin!$C$4+34)),MIN(DAY(Kalemler!$D169),DAY(EOMONTH((Tahmin!$C$4+34),0))))&gt;=(Tahmin!$C$4+28),DATE(YEAR((Tahmin!$C$4+34)),MONTH((Tahmin!$C$4+34)),MIN(DAY(Kalemler!$D169),DAY(EOMONTH((Tahmin!$C$4+34),0))))&lt;=(Tahmin!$C$4+34),DATE(YEAR((Tahmin!$C$4+34)),MONTH((Tahmin!$C$4+34)),MIN(DAY(Kalemler!$D169),DAY(EOMONTH((Tahmin!$C$4+34),0))))&lt;&gt;DATE(YEAR((Tahmin!$C$4+28)),MONTH((Tahmin!$C$4+28)),MIN(DAY(Kalemler!$D169),DAY(EOMONTH((Tahmin!$C$4+28),0)))),DATE(YEAR((Tahmin!$C$4+34)),MONTH((Tahmin!$C$4+34)),MIN(DAY(Kalemler!$D169),DAY(EOMONTH((Tahmin!$C$4+34),0))))&gt;=Kalemler!$D169)),1,0),IF(AND(Kalemler!$D169&gt;=(Tahmin!$C$4+28),Kalemler!$D169&lt;=(Tahmin!$C$4+34)),1,0))))</f>
        <v>0</v>
      </c>
      <c r="G169" s="0" t="n">
        <f aca="false">IF(OR(Kalemler!$A169="",Kalemler!$C169="",Kalemler!$D169=""),0,Kalemler!$C169*IF(Kalemler!$E169="Haftalık",IF(Kalemler!$D169&lt;=(Tahmin!$C$4+41),1,0),IF(Kalemler!$E169="Aylık",IF(OR(AND(DATE(YEAR((Tahmin!$C$4+35)),MONTH((Tahmin!$C$4+35)),MIN(DAY(Kalemler!$D169),DAY(EOMONTH((Tahmin!$C$4+35),0))))&gt;=(Tahmin!$C$4+35),DATE(YEAR((Tahmin!$C$4+35)),MONTH((Tahmin!$C$4+35)),MIN(DAY(Kalemler!$D169),DAY(EOMONTH((Tahmin!$C$4+35),0))))&lt;=(Tahmin!$C$4+41),DATE(YEAR((Tahmin!$C$4+35)),MONTH((Tahmin!$C$4+35)),MIN(DAY(Kalemler!$D169),DAY(EOMONTH((Tahmin!$C$4+35),0))))&gt;=Kalemler!$D169),AND(DATE(YEAR((Tahmin!$C$4+41)),MONTH((Tahmin!$C$4+41)),MIN(DAY(Kalemler!$D169),DAY(EOMONTH((Tahmin!$C$4+41),0))))&gt;=(Tahmin!$C$4+35),DATE(YEAR((Tahmin!$C$4+41)),MONTH((Tahmin!$C$4+41)),MIN(DAY(Kalemler!$D169),DAY(EOMONTH((Tahmin!$C$4+41),0))))&lt;=(Tahmin!$C$4+41),DATE(YEAR((Tahmin!$C$4+41)),MONTH((Tahmin!$C$4+41)),MIN(DAY(Kalemler!$D169),DAY(EOMONTH((Tahmin!$C$4+41),0))))&lt;&gt;DATE(YEAR((Tahmin!$C$4+35)),MONTH((Tahmin!$C$4+35)),MIN(DAY(Kalemler!$D169),DAY(EOMONTH((Tahmin!$C$4+35),0)))),DATE(YEAR((Tahmin!$C$4+41)),MONTH((Tahmin!$C$4+41)),MIN(DAY(Kalemler!$D169),DAY(EOMONTH((Tahmin!$C$4+41),0))))&gt;=Kalemler!$D169)),1,0),IF(AND(Kalemler!$D169&gt;=(Tahmin!$C$4+35),Kalemler!$D169&lt;=(Tahmin!$C$4+41)),1,0))))</f>
        <v>0</v>
      </c>
      <c r="H169" s="0" t="n">
        <f aca="false">IF(OR(Kalemler!$A169="",Kalemler!$C169="",Kalemler!$D169=""),0,Kalemler!$C169*IF(Kalemler!$E169="Haftalık",IF(Kalemler!$D169&lt;=(Tahmin!$C$4+48),1,0),IF(Kalemler!$E169="Aylık",IF(OR(AND(DATE(YEAR((Tahmin!$C$4+42)),MONTH((Tahmin!$C$4+42)),MIN(DAY(Kalemler!$D169),DAY(EOMONTH((Tahmin!$C$4+42),0))))&gt;=(Tahmin!$C$4+42),DATE(YEAR((Tahmin!$C$4+42)),MONTH((Tahmin!$C$4+42)),MIN(DAY(Kalemler!$D169),DAY(EOMONTH((Tahmin!$C$4+42),0))))&lt;=(Tahmin!$C$4+48),DATE(YEAR((Tahmin!$C$4+42)),MONTH((Tahmin!$C$4+42)),MIN(DAY(Kalemler!$D169),DAY(EOMONTH((Tahmin!$C$4+42),0))))&gt;=Kalemler!$D169),AND(DATE(YEAR((Tahmin!$C$4+48)),MONTH((Tahmin!$C$4+48)),MIN(DAY(Kalemler!$D169),DAY(EOMONTH((Tahmin!$C$4+48),0))))&gt;=(Tahmin!$C$4+42),DATE(YEAR((Tahmin!$C$4+48)),MONTH((Tahmin!$C$4+48)),MIN(DAY(Kalemler!$D169),DAY(EOMONTH((Tahmin!$C$4+48),0))))&lt;=(Tahmin!$C$4+48),DATE(YEAR((Tahmin!$C$4+48)),MONTH((Tahmin!$C$4+48)),MIN(DAY(Kalemler!$D169),DAY(EOMONTH((Tahmin!$C$4+48),0))))&lt;&gt;DATE(YEAR((Tahmin!$C$4+42)),MONTH((Tahmin!$C$4+42)),MIN(DAY(Kalemler!$D169),DAY(EOMONTH((Tahmin!$C$4+42),0)))),DATE(YEAR((Tahmin!$C$4+48)),MONTH((Tahmin!$C$4+48)),MIN(DAY(Kalemler!$D169),DAY(EOMONTH((Tahmin!$C$4+48),0))))&gt;=Kalemler!$D169)),1,0),IF(AND(Kalemler!$D169&gt;=(Tahmin!$C$4+42),Kalemler!$D169&lt;=(Tahmin!$C$4+48)),1,0))))</f>
        <v>0</v>
      </c>
      <c r="I169" s="0" t="n">
        <f aca="false">IF(OR(Kalemler!$A169="",Kalemler!$C169="",Kalemler!$D169=""),0,Kalemler!$C169*IF(Kalemler!$E169="Haftalık",IF(Kalemler!$D169&lt;=(Tahmin!$C$4+55),1,0),IF(Kalemler!$E169="Aylık",IF(OR(AND(DATE(YEAR((Tahmin!$C$4+49)),MONTH((Tahmin!$C$4+49)),MIN(DAY(Kalemler!$D169),DAY(EOMONTH((Tahmin!$C$4+49),0))))&gt;=(Tahmin!$C$4+49),DATE(YEAR((Tahmin!$C$4+49)),MONTH((Tahmin!$C$4+49)),MIN(DAY(Kalemler!$D169),DAY(EOMONTH((Tahmin!$C$4+49),0))))&lt;=(Tahmin!$C$4+55),DATE(YEAR((Tahmin!$C$4+49)),MONTH((Tahmin!$C$4+49)),MIN(DAY(Kalemler!$D169),DAY(EOMONTH((Tahmin!$C$4+49),0))))&gt;=Kalemler!$D169),AND(DATE(YEAR((Tahmin!$C$4+55)),MONTH((Tahmin!$C$4+55)),MIN(DAY(Kalemler!$D169),DAY(EOMONTH((Tahmin!$C$4+55),0))))&gt;=(Tahmin!$C$4+49),DATE(YEAR((Tahmin!$C$4+55)),MONTH((Tahmin!$C$4+55)),MIN(DAY(Kalemler!$D169),DAY(EOMONTH((Tahmin!$C$4+55),0))))&lt;=(Tahmin!$C$4+55),DATE(YEAR((Tahmin!$C$4+55)),MONTH((Tahmin!$C$4+55)),MIN(DAY(Kalemler!$D169),DAY(EOMONTH((Tahmin!$C$4+55),0))))&lt;&gt;DATE(YEAR((Tahmin!$C$4+49)),MONTH((Tahmin!$C$4+49)),MIN(DAY(Kalemler!$D169),DAY(EOMONTH((Tahmin!$C$4+49),0)))),DATE(YEAR((Tahmin!$C$4+55)),MONTH((Tahmin!$C$4+55)),MIN(DAY(Kalemler!$D169),DAY(EOMONTH((Tahmin!$C$4+55),0))))&gt;=Kalemler!$D169)),1,0),IF(AND(Kalemler!$D169&gt;=(Tahmin!$C$4+49),Kalemler!$D169&lt;=(Tahmin!$C$4+55)),1,0))))</f>
        <v>0</v>
      </c>
      <c r="J169" s="0" t="n">
        <f aca="false">IF(OR(Kalemler!$A169="",Kalemler!$C169="",Kalemler!$D169=""),0,Kalemler!$C169*IF(Kalemler!$E169="Haftalık",IF(Kalemler!$D169&lt;=(Tahmin!$C$4+62),1,0),IF(Kalemler!$E169="Aylık",IF(OR(AND(DATE(YEAR((Tahmin!$C$4+56)),MONTH((Tahmin!$C$4+56)),MIN(DAY(Kalemler!$D169),DAY(EOMONTH((Tahmin!$C$4+56),0))))&gt;=(Tahmin!$C$4+56),DATE(YEAR((Tahmin!$C$4+56)),MONTH((Tahmin!$C$4+56)),MIN(DAY(Kalemler!$D169),DAY(EOMONTH((Tahmin!$C$4+56),0))))&lt;=(Tahmin!$C$4+62),DATE(YEAR((Tahmin!$C$4+56)),MONTH((Tahmin!$C$4+56)),MIN(DAY(Kalemler!$D169),DAY(EOMONTH((Tahmin!$C$4+56),0))))&gt;=Kalemler!$D169),AND(DATE(YEAR((Tahmin!$C$4+62)),MONTH((Tahmin!$C$4+62)),MIN(DAY(Kalemler!$D169),DAY(EOMONTH((Tahmin!$C$4+62),0))))&gt;=(Tahmin!$C$4+56),DATE(YEAR((Tahmin!$C$4+62)),MONTH((Tahmin!$C$4+62)),MIN(DAY(Kalemler!$D169),DAY(EOMONTH((Tahmin!$C$4+62),0))))&lt;=(Tahmin!$C$4+62),DATE(YEAR((Tahmin!$C$4+62)),MONTH((Tahmin!$C$4+62)),MIN(DAY(Kalemler!$D169),DAY(EOMONTH((Tahmin!$C$4+62),0))))&lt;&gt;DATE(YEAR((Tahmin!$C$4+56)),MONTH((Tahmin!$C$4+56)),MIN(DAY(Kalemler!$D169),DAY(EOMONTH((Tahmin!$C$4+56),0)))),DATE(YEAR((Tahmin!$C$4+62)),MONTH((Tahmin!$C$4+62)),MIN(DAY(Kalemler!$D169),DAY(EOMONTH((Tahmin!$C$4+62),0))))&gt;=Kalemler!$D169)),1,0),IF(AND(Kalemler!$D169&gt;=(Tahmin!$C$4+56),Kalemler!$D169&lt;=(Tahmin!$C$4+62)),1,0))))</f>
        <v>0</v>
      </c>
      <c r="K169" s="0" t="n">
        <f aca="false">IF(OR(Kalemler!$A169="",Kalemler!$C169="",Kalemler!$D169=""),0,Kalemler!$C169*IF(Kalemler!$E169="Haftalık",IF(Kalemler!$D169&lt;=(Tahmin!$C$4+69),1,0),IF(Kalemler!$E169="Aylık",IF(OR(AND(DATE(YEAR((Tahmin!$C$4+63)),MONTH((Tahmin!$C$4+63)),MIN(DAY(Kalemler!$D169),DAY(EOMONTH((Tahmin!$C$4+63),0))))&gt;=(Tahmin!$C$4+63),DATE(YEAR((Tahmin!$C$4+63)),MONTH((Tahmin!$C$4+63)),MIN(DAY(Kalemler!$D169),DAY(EOMONTH((Tahmin!$C$4+63),0))))&lt;=(Tahmin!$C$4+69),DATE(YEAR((Tahmin!$C$4+63)),MONTH((Tahmin!$C$4+63)),MIN(DAY(Kalemler!$D169),DAY(EOMONTH((Tahmin!$C$4+63),0))))&gt;=Kalemler!$D169),AND(DATE(YEAR((Tahmin!$C$4+69)),MONTH((Tahmin!$C$4+69)),MIN(DAY(Kalemler!$D169),DAY(EOMONTH((Tahmin!$C$4+69),0))))&gt;=(Tahmin!$C$4+63),DATE(YEAR((Tahmin!$C$4+69)),MONTH((Tahmin!$C$4+69)),MIN(DAY(Kalemler!$D169),DAY(EOMONTH((Tahmin!$C$4+69),0))))&lt;=(Tahmin!$C$4+69),DATE(YEAR((Tahmin!$C$4+69)),MONTH((Tahmin!$C$4+69)),MIN(DAY(Kalemler!$D169),DAY(EOMONTH((Tahmin!$C$4+69),0))))&lt;&gt;DATE(YEAR((Tahmin!$C$4+63)),MONTH((Tahmin!$C$4+63)),MIN(DAY(Kalemler!$D169),DAY(EOMONTH((Tahmin!$C$4+63),0)))),DATE(YEAR((Tahmin!$C$4+69)),MONTH((Tahmin!$C$4+69)),MIN(DAY(Kalemler!$D169),DAY(EOMONTH((Tahmin!$C$4+69),0))))&gt;=Kalemler!$D169)),1,0),IF(AND(Kalemler!$D169&gt;=(Tahmin!$C$4+63),Kalemler!$D169&lt;=(Tahmin!$C$4+69)),1,0))))</f>
        <v>0</v>
      </c>
      <c r="L169" s="0" t="n">
        <f aca="false">IF(OR(Kalemler!$A169="",Kalemler!$C169="",Kalemler!$D169=""),0,Kalemler!$C169*IF(Kalemler!$E169="Haftalık",IF(Kalemler!$D169&lt;=(Tahmin!$C$4+76),1,0),IF(Kalemler!$E169="Aylık",IF(OR(AND(DATE(YEAR((Tahmin!$C$4+70)),MONTH((Tahmin!$C$4+70)),MIN(DAY(Kalemler!$D169),DAY(EOMONTH((Tahmin!$C$4+70),0))))&gt;=(Tahmin!$C$4+70),DATE(YEAR((Tahmin!$C$4+70)),MONTH((Tahmin!$C$4+70)),MIN(DAY(Kalemler!$D169),DAY(EOMONTH((Tahmin!$C$4+70),0))))&lt;=(Tahmin!$C$4+76),DATE(YEAR((Tahmin!$C$4+70)),MONTH((Tahmin!$C$4+70)),MIN(DAY(Kalemler!$D169),DAY(EOMONTH((Tahmin!$C$4+70),0))))&gt;=Kalemler!$D169),AND(DATE(YEAR((Tahmin!$C$4+76)),MONTH((Tahmin!$C$4+76)),MIN(DAY(Kalemler!$D169),DAY(EOMONTH((Tahmin!$C$4+76),0))))&gt;=(Tahmin!$C$4+70),DATE(YEAR((Tahmin!$C$4+76)),MONTH((Tahmin!$C$4+76)),MIN(DAY(Kalemler!$D169),DAY(EOMONTH((Tahmin!$C$4+76),0))))&lt;=(Tahmin!$C$4+76),DATE(YEAR((Tahmin!$C$4+76)),MONTH((Tahmin!$C$4+76)),MIN(DAY(Kalemler!$D169),DAY(EOMONTH((Tahmin!$C$4+76),0))))&lt;&gt;DATE(YEAR((Tahmin!$C$4+70)),MONTH((Tahmin!$C$4+70)),MIN(DAY(Kalemler!$D169),DAY(EOMONTH((Tahmin!$C$4+70),0)))),DATE(YEAR((Tahmin!$C$4+76)),MONTH((Tahmin!$C$4+76)),MIN(DAY(Kalemler!$D169),DAY(EOMONTH((Tahmin!$C$4+76),0))))&gt;=Kalemler!$D169)),1,0),IF(AND(Kalemler!$D169&gt;=(Tahmin!$C$4+70),Kalemler!$D169&lt;=(Tahmin!$C$4+76)),1,0))))</f>
        <v>0</v>
      </c>
      <c r="M169" s="0" t="n">
        <f aca="false">IF(OR(Kalemler!$A169="",Kalemler!$C169="",Kalemler!$D169=""),0,Kalemler!$C169*IF(Kalemler!$E169="Haftalık",IF(Kalemler!$D169&lt;=(Tahmin!$C$4+83),1,0),IF(Kalemler!$E169="Aylık",IF(OR(AND(DATE(YEAR((Tahmin!$C$4+77)),MONTH((Tahmin!$C$4+77)),MIN(DAY(Kalemler!$D169),DAY(EOMONTH((Tahmin!$C$4+77),0))))&gt;=(Tahmin!$C$4+77),DATE(YEAR((Tahmin!$C$4+77)),MONTH((Tahmin!$C$4+77)),MIN(DAY(Kalemler!$D169),DAY(EOMONTH((Tahmin!$C$4+77),0))))&lt;=(Tahmin!$C$4+83),DATE(YEAR((Tahmin!$C$4+77)),MONTH((Tahmin!$C$4+77)),MIN(DAY(Kalemler!$D169),DAY(EOMONTH((Tahmin!$C$4+77),0))))&gt;=Kalemler!$D169),AND(DATE(YEAR((Tahmin!$C$4+83)),MONTH((Tahmin!$C$4+83)),MIN(DAY(Kalemler!$D169),DAY(EOMONTH((Tahmin!$C$4+83),0))))&gt;=(Tahmin!$C$4+77),DATE(YEAR((Tahmin!$C$4+83)),MONTH((Tahmin!$C$4+83)),MIN(DAY(Kalemler!$D169),DAY(EOMONTH((Tahmin!$C$4+83),0))))&lt;=(Tahmin!$C$4+83),DATE(YEAR((Tahmin!$C$4+83)),MONTH((Tahmin!$C$4+83)),MIN(DAY(Kalemler!$D169),DAY(EOMONTH((Tahmin!$C$4+83),0))))&lt;&gt;DATE(YEAR((Tahmin!$C$4+77)),MONTH((Tahmin!$C$4+77)),MIN(DAY(Kalemler!$D169),DAY(EOMONTH((Tahmin!$C$4+77),0)))),DATE(YEAR((Tahmin!$C$4+83)),MONTH((Tahmin!$C$4+83)),MIN(DAY(Kalemler!$D169),DAY(EOMONTH((Tahmin!$C$4+83),0))))&gt;=Kalemler!$D169)),1,0),IF(AND(Kalemler!$D169&gt;=(Tahmin!$C$4+77),Kalemler!$D169&lt;=(Tahmin!$C$4+83)),1,0))))</f>
        <v>0</v>
      </c>
      <c r="N169" s="0" t="n">
        <f aca="false">IF(OR(Kalemler!$A169="",Kalemler!$C169="",Kalemler!$D169=""),0,Kalemler!$C169*IF(Kalemler!$E169="Haftalık",IF(Kalemler!$D169&lt;=(Tahmin!$C$4+90),1,0),IF(Kalemler!$E169="Aylık",IF(OR(AND(DATE(YEAR((Tahmin!$C$4+84)),MONTH((Tahmin!$C$4+84)),MIN(DAY(Kalemler!$D169),DAY(EOMONTH((Tahmin!$C$4+84),0))))&gt;=(Tahmin!$C$4+84),DATE(YEAR((Tahmin!$C$4+84)),MONTH((Tahmin!$C$4+84)),MIN(DAY(Kalemler!$D169),DAY(EOMONTH((Tahmin!$C$4+84),0))))&lt;=(Tahmin!$C$4+90),DATE(YEAR((Tahmin!$C$4+84)),MONTH((Tahmin!$C$4+84)),MIN(DAY(Kalemler!$D169),DAY(EOMONTH((Tahmin!$C$4+84),0))))&gt;=Kalemler!$D169),AND(DATE(YEAR((Tahmin!$C$4+90)),MONTH((Tahmin!$C$4+90)),MIN(DAY(Kalemler!$D169),DAY(EOMONTH((Tahmin!$C$4+90),0))))&gt;=(Tahmin!$C$4+84),DATE(YEAR((Tahmin!$C$4+90)),MONTH((Tahmin!$C$4+90)),MIN(DAY(Kalemler!$D169),DAY(EOMONTH((Tahmin!$C$4+90),0))))&lt;=(Tahmin!$C$4+90),DATE(YEAR((Tahmin!$C$4+90)),MONTH((Tahmin!$C$4+90)),MIN(DAY(Kalemler!$D169),DAY(EOMONTH((Tahmin!$C$4+90),0))))&lt;&gt;DATE(YEAR((Tahmin!$C$4+84)),MONTH((Tahmin!$C$4+84)),MIN(DAY(Kalemler!$D169),DAY(EOMONTH((Tahmin!$C$4+84),0)))),DATE(YEAR((Tahmin!$C$4+90)),MONTH((Tahmin!$C$4+90)),MIN(DAY(Kalemler!$D169),DAY(EOMONTH((Tahmin!$C$4+90),0))))&gt;=Kalemler!$D169)),1,0),IF(AND(Kalemler!$D169&gt;=(Tahmin!$C$4+84),Kalemler!$D169&lt;=(Tahmin!$C$4+90)),1,0))))</f>
        <v>0</v>
      </c>
    </row>
    <row r="170" customFormat="false" ht="15" hidden="false" customHeight="false" outlineLevel="0" collapsed="false">
      <c r="A170" s="0" t="str">
        <f aca="false">IF(Kalemler!A170="","",Kalemler!A170)</f>
        <v/>
      </c>
      <c r="B170" s="0" t="n">
        <f aca="false">IF(OR(Kalemler!$A170="",Kalemler!$C170="",Kalemler!$D170=""),0,Kalemler!$C170*IF(Kalemler!$E170="Haftalık",IF(Kalemler!$D170&lt;=(Tahmin!$C$4+6),1,0),IF(Kalemler!$E170="Aylık",IF(OR(AND(DATE(YEAR((Tahmin!$C$4+0)),MONTH((Tahmin!$C$4+0)),MIN(DAY(Kalemler!$D170),DAY(EOMONTH((Tahmin!$C$4+0),0))))&gt;=(Tahmin!$C$4+0),DATE(YEAR((Tahmin!$C$4+0)),MONTH((Tahmin!$C$4+0)),MIN(DAY(Kalemler!$D170),DAY(EOMONTH((Tahmin!$C$4+0),0))))&lt;=(Tahmin!$C$4+6),DATE(YEAR((Tahmin!$C$4+0)),MONTH((Tahmin!$C$4+0)),MIN(DAY(Kalemler!$D170),DAY(EOMONTH((Tahmin!$C$4+0),0))))&gt;=Kalemler!$D170),AND(DATE(YEAR((Tahmin!$C$4+6)),MONTH((Tahmin!$C$4+6)),MIN(DAY(Kalemler!$D170),DAY(EOMONTH((Tahmin!$C$4+6),0))))&gt;=(Tahmin!$C$4+0),DATE(YEAR((Tahmin!$C$4+6)),MONTH((Tahmin!$C$4+6)),MIN(DAY(Kalemler!$D170),DAY(EOMONTH((Tahmin!$C$4+6),0))))&lt;=(Tahmin!$C$4+6),DATE(YEAR((Tahmin!$C$4+6)),MONTH((Tahmin!$C$4+6)),MIN(DAY(Kalemler!$D170),DAY(EOMONTH((Tahmin!$C$4+6),0))))&lt;&gt;DATE(YEAR((Tahmin!$C$4+0)),MONTH((Tahmin!$C$4+0)),MIN(DAY(Kalemler!$D170),DAY(EOMONTH((Tahmin!$C$4+0),0)))),DATE(YEAR((Tahmin!$C$4+6)),MONTH((Tahmin!$C$4+6)),MIN(DAY(Kalemler!$D170),DAY(EOMONTH((Tahmin!$C$4+6),0))))&gt;=Kalemler!$D170)),1,0),IF(AND(Kalemler!$D170&gt;=(Tahmin!$C$4+0),Kalemler!$D170&lt;=(Tahmin!$C$4+6)),1,0))))</f>
        <v>0</v>
      </c>
      <c r="C170" s="0" t="n">
        <f aca="false">IF(OR(Kalemler!$A170="",Kalemler!$C170="",Kalemler!$D170=""),0,Kalemler!$C170*IF(Kalemler!$E170="Haftalık",IF(Kalemler!$D170&lt;=(Tahmin!$C$4+13),1,0),IF(Kalemler!$E170="Aylık",IF(OR(AND(DATE(YEAR((Tahmin!$C$4+7)),MONTH((Tahmin!$C$4+7)),MIN(DAY(Kalemler!$D170),DAY(EOMONTH((Tahmin!$C$4+7),0))))&gt;=(Tahmin!$C$4+7),DATE(YEAR((Tahmin!$C$4+7)),MONTH((Tahmin!$C$4+7)),MIN(DAY(Kalemler!$D170),DAY(EOMONTH((Tahmin!$C$4+7),0))))&lt;=(Tahmin!$C$4+13),DATE(YEAR((Tahmin!$C$4+7)),MONTH((Tahmin!$C$4+7)),MIN(DAY(Kalemler!$D170),DAY(EOMONTH((Tahmin!$C$4+7),0))))&gt;=Kalemler!$D170),AND(DATE(YEAR((Tahmin!$C$4+13)),MONTH((Tahmin!$C$4+13)),MIN(DAY(Kalemler!$D170),DAY(EOMONTH((Tahmin!$C$4+13),0))))&gt;=(Tahmin!$C$4+7),DATE(YEAR((Tahmin!$C$4+13)),MONTH((Tahmin!$C$4+13)),MIN(DAY(Kalemler!$D170),DAY(EOMONTH((Tahmin!$C$4+13),0))))&lt;=(Tahmin!$C$4+13),DATE(YEAR((Tahmin!$C$4+13)),MONTH((Tahmin!$C$4+13)),MIN(DAY(Kalemler!$D170),DAY(EOMONTH((Tahmin!$C$4+13),0))))&lt;&gt;DATE(YEAR((Tahmin!$C$4+7)),MONTH((Tahmin!$C$4+7)),MIN(DAY(Kalemler!$D170),DAY(EOMONTH((Tahmin!$C$4+7),0)))),DATE(YEAR((Tahmin!$C$4+13)),MONTH((Tahmin!$C$4+13)),MIN(DAY(Kalemler!$D170),DAY(EOMONTH((Tahmin!$C$4+13),0))))&gt;=Kalemler!$D170)),1,0),IF(AND(Kalemler!$D170&gt;=(Tahmin!$C$4+7),Kalemler!$D170&lt;=(Tahmin!$C$4+13)),1,0))))</f>
        <v>0</v>
      </c>
      <c r="D170" s="0" t="n">
        <f aca="false">IF(OR(Kalemler!$A170="",Kalemler!$C170="",Kalemler!$D170=""),0,Kalemler!$C170*IF(Kalemler!$E170="Haftalık",IF(Kalemler!$D170&lt;=(Tahmin!$C$4+20),1,0),IF(Kalemler!$E170="Aylık",IF(OR(AND(DATE(YEAR((Tahmin!$C$4+14)),MONTH((Tahmin!$C$4+14)),MIN(DAY(Kalemler!$D170),DAY(EOMONTH((Tahmin!$C$4+14),0))))&gt;=(Tahmin!$C$4+14),DATE(YEAR((Tahmin!$C$4+14)),MONTH((Tahmin!$C$4+14)),MIN(DAY(Kalemler!$D170),DAY(EOMONTH((Tahmin!$C$4+14),0))))&lt;=(Tahmin!$C$4+20),DATE(YEAR((Tahmin!$C$4+14)),MONTH((Tahmin!$C$4+14)),MIN(DAY(Kalemler!$D170),DAY(EOMONTH((Tahmin!$C$4+14),0))))&gt;=Kalemler!$D170),AND(DATE(YEAR((Tahmin!$C$4+20)),MONTH((Tahmin!$C$4+20)),MIN(DAY(Kalemler!$D170),DAY(EOMONTH((Tahmin!$C$4+20),0))))&gt;=(Tahmin!$C$4+14),DATE(YEAR((Tahmin!$C$4+20)),MONTH((Tahmin!$C$4+20)),MIN(DAY(Kalemler!$D170),DAY(EOMONTH((Tahmin!$C$4+20),0))))&lt;=(Tahmin!$C$4+20),DATE(YEAR((Tahmin!$C$4+20)),MONTH((Tahmin!$C$4+20)),MIN(DAY(Kalemler!$D170),DAY(EOMONTH((Tahmin!$C$4+20),0))))&lt;&gt;DATE(YEAR((Tahmin!$C$4+14)),MONTH((Tahmin!$C$4+14)),MIN(DAY(Kalemler!$D170),DAY(EOMONTH((Tahmin!$C$4+14),0)))),DATE(YEAR((Tahmin!$C$4+20)),MONTH((Tahmin!$C$4+20)),MIN(DAY(Kalemler!$D170),DAY(EOMONTH((Tahmin!$C$4+20),0))))&gt;=Kalemler!$D170)),1,0),IF(AND(Kalemler!$D170&gt;=(Tahmin!$C$4+14),Kalemler!$D170&lt;=(Tahmin!$C$4+20)),1,0))))</f>
        <v>0</v>
      </c>
      <c r="E170" s="0" t="n">
        <f aca="false">IF(OR(Kalemler!$A170="",Kalemler!$C170="",Kalemler!$D170=""),0,Kalemler!$C170*IF(Kalemler!$E170="Haftalık",IF(Kalemler!$D170&lt;=(Tahmin!$C$4+27),1,0),IF(Kalemler!$E170="Aylık",IF(OR(AND(DATE(YEAR((Tahmin!$C$4+21)),MONTH((Tahmin!$C$4+21)),MIN(DAY(Kalemler!$D170),DAY(EOMONTH((Tahmin!$C$4+21),0))))&gt;=(Tahmin!$C$4+21),DATE(YEAR((Tahmin!$C$4+21)),MONTH((Tahmin!$C$4+21)),MIN(DAY(Kalemler!$D170),DAY(EOMONTH((Tahmin!$C$4+21),0))))&lt;=(Tahmin!$C$4+27),DATE(YEAR((Tahmin!$C$4+21)),MONTH((Tahmin!$C$4+21)),MIN(DAY(Kalemler!$D170),DAY(EOMONTH((Tahmin!$C$4+21),0))))&gt;=Kalemler!$D170),AND(DATE(YEAR((Tahmin!$C$4+27)),MONTH((Tahmin!$C$4+27)),MIN(DAY(Kalemler!$D170),DAY(EOMONTH((Tahmin!$C$4+27),0))))&gt;=(Tahmin!$C$4+21),DATE(YEAR((Tahmin!$C$4+27)),MONTH((Tahmin!$C$4+27)),MIN(DAY(Kalemler!$D170),DAY(EOMONTH((Tahmin!$C$4+27),0))))&lt;=(Tahmin!$C$4+27),DATE(YEAR((Tahmin!$C$4+27)),MONTH((Tahmin!$C$4+27)),MIN(DAY(Kalemler!$D170),DAY(EOMONTH((Tahmin!$C$4+27),0))))&lt;&gt;DATE(YEAR((Tahmin!$C$4+21)),MONTH((Tahmin!$C$4+21)),MIN(DAY(Kalemler!$D170),DAY(EOMONTH((Tahmin!$C$4+21),0)))),DATE(YEAR((Tahmin!$C$4+27)),MONTH((Tahmin!$C$4+27)),MIN(DAY(Kalemler!$D170),DAY(EOMONTH((Tahmin!$C$4+27),0))))&gt;=Kalemler!$D170)),1,0),IF(AND(Kalemler!$D170&gt;=(Tahmin!$C$4+21),Kalemler!$D170&lt;=(Tahmin!$C$4+27)),1,0))))</f>
        <v>0</v>
      </c>
      <c r="F170" s="0" t="n">
        <f aca="false">IF(OR(Kalemler!$A170="",Kalemler!$C170="",Kalemler!$D170=""),0,Kalemler!$C170*IF(Kalemler!$E170="Haftalık",IF(Kalemler!$D170&lt;=(Tahmin!$C$4+34),1,0),IF(Kalemler!$E170="Aylık",IF(OR(AND(DATE(YEAR((Tahmin!$C$4+28)),MONTH((Tahmin!$C$4+28)),MIN(DAY(Kalemler!$D170),DAY(EOMONTH((Tahmin!$C$4+28),0))))&gt;=(Tahmin!$C$4+28),DATE(YEAR((Tahmin!$C$4+28)),MONTH((Tahmin!$C$4+28)),MIN(DAY(Kalemler!$D170),DAY(EOMONTH((Tahmin!$C$4+28),0))))&lt;=(Tahmin!$C$4+34),DATE(YEAR((Tahmin!$C$4+28)),MONTH((Tahmin!$C$4+28)),MIN(DAY(Kalemler!$D170),DAY(EOMONTH((Tahmin!$C$4+28),0))))&gt;=Kalemler!$D170),AND(DATE(YEAR((Tahmin!$C$4+34)),MONTH((Tahmin!$C$4+34)),MIN(DAY(Kalemler!$D170),DAY(EOMONTH((Tahmin!$C$4+34),0))))&gt;=(Tahmin!$C$4+28),DATE(YEAR((Tahmin!$C$4+34)),MONTH((Tahmin!$C$4+34)),MIN(DAY(Kalemler!$D170),DAY(EOMONTH((Tahmin!$C$4+34),0))))&lt;=(Tahmin!$C$4+34),DATE(YEAR((Tahmin!$C$4+34)),MONTH((Tahmin!$C$4+34)),MIN(DAY(Kalemler!$D170),DAY(EOMONTH((Tahmin!$C$4+34),0))))&lt;&gt;DATE(YEAR((Tahmin!$C$4+28)),MONTH((Tahmin!$C$4+28)),MIN(DAY(Kalemler!$D170),DAY(EOMONTH((Tahmin!$C$4+28),0)))),DATE(YEAR((Tahmin!$C$4+34)),MONTH((Tahmin!$C$4+34)),MIN(DAY(Kalemler!$D170),DAY(EOMONTH((Tahmin!$C$4+34),0))))&gt;=Kalemler!$D170)),1,0),IF(AND(Kalemler!$D170&gt;=(Tahmin!$C$4+28),Kalemler!$D170&lt;=(Tahmin!$C$4+34)),1,0))))</f>
        <v>0</v>
      </c>
      <c r="G170" s="0" t="n">
        <f aca="false">IF(OR(Kalemler!$A170="",Kalemler!$C170="",Kalemler!$D170=""),0,Kalemler!$C170*IF(Kalemler!$E170="Haftalık",IF(Kalemler!$D170&lt;=(Tahmin!$C$4+41),1,0),IF(Kalemler!$E170="Aylık",IF(OR(AND(DATE(YEAR((Tahmin!$C$4+35)),MONTH((Tahmin!$C$4+35)),MIN(DAY(Kalemler!$D170),DAY(EOMONTH((Tahmin!$C$4+35),0))))&gt;=(Tahmin!$C$4+35),DATE(YEAR((Tahmin!$C$4+35)),MONTH((Tahmin!$C$4+35)),MIN(DAY(Kalemler!$D170),DAY(EOMONTH((Tahmin!$C$4+35),0))))&lt;=(Tahmin!$C$4+41),DATE(YEAR((Tahmin!$C$4+35)),MONTH((Tahmin!$C$4+35)),MIN(DAY(Kalemler!$D170),DAY(EOMONTH((Tahmin!$C$4+35),0))))&gt;=Kalemler!$D170),AND(DATE(YEAR((Tahmin!$C$4+41)),MONTH((Tahmin!$C$4+41)),MIN(DAY(Kalemler!$D170),DAY(EOMONTH((Tahmin!$C$4+41),0))))&gt;=(Tahmin!$C$4+35),DATE(YEAR((Tahmin!$C$4+41)),MONTH((Tahmin!$C$4+41)),MIN(DAY(Kalemler!$D170),DAY(EOMONTH((Tahmin!$C$4+41),0))))&lt;=(Tahmin!$C$4+41),DATE(YEAR((Tahmin!$C$4+41)),MONTH((Tahmin!$C$4+41)),MIN(DAY(Kalemler!$D170),DAY(EOMONTH((Tahmin!$C$4+41),0))))&lt;&gt;DATE(YEAR((Tahmin!$C$4+35)),MONTH((Tahmin!$C$4+35)),MIN(DAY(Kalemler!$D170),DAY(EOMONTH((Tahmin!$C$4+35),0)))),DATE(YEAR((Tahmin!$C$4+41)),MONTH((Tahmin!$C$4+41)),MIN(DAY(Kalemler!$D170),DAY(EOMONTH((Tahmin!$C$4+41),0))))&gt;=Kalemler!$D170)),1,0),IF(AND(Kalemler!$D170&gt;=(Tahmin!$C$4+35),Kalemler!$D170&lt;=(Tahmin!$C$4+41)),1,0))))</f>
        <v>0</v>
      </c>
      <c r="H170" s="0" t="n">
        <f aca="false">IF(OR(Kalemler!$A170="",Kalemler!$C170="",Kalemler!$D170=""),0,Kalemler!$C170*IF(Kalemler!$E170="Haftalık",IF(Kalemler!$D170&lt;=(Tahmin!$C$4+48),1,0),IF(Kalemler!$E170="Aylık",IF(OR(AND(DATE(YEAR((Tahmin!$C$4+42)),MONTH((Tahmin!$C$4+42)),MIN(DAY(Kalemler!$D170),DAY(EOMONTH((Tahmin!$C$4+42),0))))&gt;=(Tahmin!$C$4+42),DATE(YEAR((Tahmin!$C$4+42)),MONTH((Tahmin!$C$4+42)),MIN(DAY(Kalemler!$D170),DAY(EOMONTH((Tahmin!$C$4+42),0))))&lt;=(Tahmin!$C$4+48),DATE(YEAR((Tahmin!$C$4+42)),MONTH((Tahmin!$C$4+42)),MIN(DAY(Kalemler!$D170),DAY(EOMONTH((Tahmin!$C$4+42),0))))&gt;=Kalemler!$D170),AND(DATE(YEAR((Tahmin!$C$4+48)),MONTH((Tahmin!$C$4+48)),MIN(DAY(Kalemler!$D170),DAY(EOMONTH((Tahmin!$C$4+48),0))))&gt;=(Tahmin!$C$4+42),DATE(YEAR((Tahmin!$C$4+48)),MONTH((Tahmin!$C$4+48)),MIN(DAY(Kalemler!$D170),DAY(EOMONTH((Tahmin!$C$4+48),0))))&lt;=(Tahmin!$C$4+48),DATE(YEAR((Tahmin!$C$4+48)),MONTH((Tahmin!$C$4+48)),MIN(DAY(Kalemler!$D170),DAY(EOMONTH((Tahmin!$C$4+48),0))))&lt;&gt;DATE(YEAR((Tahmin!$C$4+42)),MONTH((Tahmin!$C$4+42)),MIN(DAY(Kalemler!$D170),DAY(EOMONTH((Tahmin!$C$4+42),0)))),DATE(YEAR((Tahmin!$C$4+48)),MONTH((Tahmin!$C$4+48)),MIN(DAY(Kalemler!$D170),DAY(EOMONTH((Tahmin!$C$4+48),0))))&gt;=Kalemler!$D170)),1,0),IF(AND(Kalemler!$D170&gt;=(Tahmin!$C$4+42),Kalemler!$D170&lt;=(Tahmin!$C$4+48)),1,0))))</f>
        <v>0</v>
      </c>
      <c r="I170" s="0" t="n">
        <f aca="false">IF(OR(Kalemler!$A170="",Kalemler!$C170="",Kalemler!$D170=""),0,Kalemler!$C170*IF(Kalemler!$E170="Haftalık",IF(Kalemler!$D170&lt;=(Tahmin!$C$4+55),1,0),IF(Kalemler!$E170="Aylık",IF(OR(AND(DATE(YEAR((Tahmin!$C$4+49)),MONTH((Tahmin!$C$4+49)),MIN(DAY(Kalemler!$D170),DAY(EOMONTH((Tahmin!$C$4+49),0))))&gt;=(Tahmin!$C$4+49),DATE(YEAR((Tahmin!$C$4+49)),MONTH((Tahmin!$C$4+49)),MIN(DAY(Kalemler!$D170),DAY(EOMONTH((Tahmin!$C$4+49),0))))&lt;=(Tahmin!$C$4+55),DATE(YEAR((Tahmin!$C$4+49)),MONTH((Tahmin!$C$4+49)),MIN(DAY(Kalemler!$D170),DAY(EOMONTH((Tahmin!$C$4+49),0))))&gt;=Kalemler!$D170),AND(DATE(YEAR((Tahmin!$C$4+55)),MONTH((Tahmin!$C$4+55)),MIN(DAY(Kalemler!$D170),DAY(EOMONTH((Tahmin!$C$4+55),0))))&gt;=(Tahmin!$C$4+49),DATE(YEAR((Tahmin!$C$4+55)),MONTH((Tahmin!$C$4+55)),MIN(DAY(Kalemler!$D170),DAY(EOMONTH((Tahmin!$C$4+55),0))))&lt;=(Tahmin!$C$4+55),DATE(YEAR((Tahmin!$C$4+55)),MONTH((Tahmin!$C$4+55)),MIN(DAY(Kalemler!$D170),DAY(EOMONTH((Tahmin!$C$4+55),0))))&lt;&gt;DATE(YEAR((Tahmin!$C$4+49)),MONTH((Tahmin!$C$4+49)),MIN(DAY(Kalemler!$D170),DAY(EOMONTH((Tahmin!$C$4+49),0)))),DATE(YEAR((Tahmin!$C$4+55)),MONTH((Tahmin!$C$4+55)),MIN(DAY(Kalemler!$D170),DAY(EOMONTH((Tahmin!$C$4+55),0))))&gt;=Kalemler!$D170)),1,0),IF(AND(Kalemler!$D170&gt;=(Tahmin!$C$4+49),Kalemler!$D170&lt;=(Tahmin!$C$4+55)),1,0))))</f>
        <v>0</v>
      </c>
      <c r="J170" s="0" t="n">
        <f aca="false">IF(OR(Kalemler!$A170="",Kalemler!$C170="",Kalemler!$D170=""),0,Kalemler!$C170*IF(Kalemler!$E170="Haftalık",IF(Kalemler!$D170&lt;=(Tahmin!$C$4+62),1,0),IF(Kalemler!$E170="Aylık",IF(OR(AND(DATE(YEAR((Tahmin!$C$4+56)),MONTH((Tahmin!$C$4+56)),MIN(DAY(Kalemler!$D170),DAY(EOMONTH((Tahmin!$C$4+56),0))))&gt;=(Tahmin!$C$4+56),DATE(YEAR((Tahmin!$C$4+56)),MONTH((Tahmin!$C$4+56)),MIN(DAY(Kalemler!$D170),DAY(EOMONTH((Tahmin!$C$4+56),0))))&lt;=(Tahmin!$C$4+62),DATE(YEAR((Tahmin!$C$4+56)),MONTH((Tahmin!$C$4+56)),MIN(DAY(Kalemler!$D170),DAY(EOMONTH((Tahmin!$C$4+56),0))))&gt;=Kalemler!$D170),AND(DATE(YEAR((Tahmin!$C$4+62)),MONTH((Tahmin!$C$4+62)),MIN(DAY(Kalemler!$D170),DAY(EOMONTH((Tahmin!$C$4+62),0))))&gt;=(Tahmin!$C$4+56),DATE(YEAR((Tahmin!$C$4+62)),MONTH((Tahmin!$C$4+62)),MIN(DAY(Kalemler!$D170),DAY(EOMONTH((Tahmin!$C$4+62),0))))&lt;=(Tahmin!$C$4+62),DATE(YEAR((Tahmin!$C$4+62)),MONTH((Tahmin!$C$4+62)),MIN(DAY(Kalemler!$D170),DAY(EOMONTH((Tahmin!$C$4+62),0))))&lt;&gt;DATE(YEAR((Tahmin!$C$4+56)),MONTH((Tahmin!$C$4+56)),MIN(DAY(Kalemler!$D170),DAY(EOMONTH((Tahmin!$C$4+56),0)))),DATE(YEAR((Tahmin!$C$4+62)),MONTH((Tahmin!$C$4+62)),MIN(DAY(Kalemler!$D170),DAY(EOMONTH((Tahmin!$C$4+62),0))))&gt;=Kalemler!$D170)),1,0),IF(AND(Kalemler!$D170&gt;=(Tahmin!$C$4+56),Kalemler!$D170&lt;=(Tahmin!$C$4+62)),1,0))))</f>
        <v>0</v>
      </c>
      <c r="K170" s="0" t="n">
        <f aca="false">IF(OR(Kalemler!$A170="",Kalemler!$C170="",Kalemler!$D170=""),0,Kalemler!$C170*IF(Kalemler!$E170="Haftalık",IF(Kalemler!$D170&lt;=(Tahmin!$C$4+69),1,0),IF(Kalemler!$E170="Aylık",IF(OR(AND(DATE(YEAR((Tahmin!$C$4+63)),MONTH((Tahmin!$C$4+63)),MIN(DAY(Kalemler!$D170),DAY(EOMONTH((Tahmin!$C$4+63),0))))&gt;=(Tahmin!$C$4+63),DATE(YEAR((Tahmin!$C$4+63)),MONTH((Tahmin!$C$4+63)),MIN(DAY(Kalemler!$D170),DAY(EOMONTH((Tahmin!$C$4+63),0))))&lt;=(Tahmin!$C$4+69),DATE(YEAR((Tahmin!$C$4+63)),MONTH((Tahmin!$C$4+63)),MIN(DAY(Kalemler!$D170),DAY(EOMONTH((Tahmin!$C$4+63),0))))&gt;=Kalemler!$D170),AND(DATE(YEAR((Tahmin!$C$4+69)),MONTH((Tahmin!$C$4+69)),MIN(DAY(Kalemler!$D170),DAY(EOMONTH((Tahmin!$C$4+69),0))))&gt;=(Tahmin!$C$4+63),DATE(YEAR((Tahmin!$C$4+69)),MONTH((Tahmin!$C$4+69)),MIN(DAY(Kalemler!$D170),DAY(EOMONTH((Tahmin!$C$4+69),0))))&lt;=(Tahmin!$C$4+69),DATE(YEAR((Tahmin!$C$4+69)),MONTH((Tahmin!$C$4+69)),MIN(DAY(Kalemler!$D170),DAY(EOMONTH((Tahmin!$C$4+69),0))))&lt;&gt;DATE(YEAR((Tahmin!$C$4+63)),MONTH((Tahmin!$C$4+63)),MIN(DAY(Kalemler!$D170),DAY(EOMONTH((Tahmin!$C$4+63),0)))),DATE(YEAR((Tahmin!$C$4+69)),MONTH((Tahmin!$C$4+69)),MIN(DAY(Kalemler!$D170),DAY(EOMONTH((Tahmin!$C$4+69),0))))&gt;=Kalemler!$D170)),1,0),IF(AND(Kalemler!$D170&gt;=(Tahmin!$C$4+63),Kalemler!$D170&lt;=(Tahmin!$C$4+69)),1,0))))</f>
        <v>0</v>
      </c>
      <c r="L170" s="0" t="n">
        <f aca="false">IF(OR(Kalemler!$A170="",Kalemler!$C170="",Kalemler!$D170=""),0,Kalemler!$C170*IF(Kalemler!$E170="Haftalık",IF(Kalemler!$D170&lt;=(Tahmin!$C$4+76),1,0),IF(Kalemler!$E170="Aylık",IF(OR(AND(DATE(YEAR((Tahmin!$C$4+70)),MONTH((Tahmin!$C$4+70)),MIN(DAY(Kalemler!$D170),DAY(EOMONTH((Tahmin!$C$4+70),0))))&gt;=(Tahmin!$C$4+70),DATE(YEAR((Tahmin!$C$4+70)),MONTH((Tahmin!$C$4+70)),MIN(DAY(Kalemler!$D170),DAY(EOMONTH((Tahmin!$C$4+70),0))))&lt;=(Tahmin!$C$4+76),DATE(YEAR((Tahmin!$C$4+70)),MONTH((Tahmin!$C$4+70)),MIN(DAY(Kalemler!$D170),DAY(EOMONTH((Tahmin!$C$4+70),0))))&gt;=Kalemler!$D170),AND(DATE(YEAR((Tahmin!$C$4+76)),MONTH((Tahmin!$C$4+76)),MIN(DAY(Kalemler!$D170),DAY(EOMONTH((Tahmin!$C$4+76),0))))&gt;=(Tahmin!$C$4+70),DATE(YEAR((Tahmin!$C$4+76)),MONTH((Tahmin!$C$4+76)),MIN(DAY(Kalemler!$D170),DAY(EOMONTH((Tahmin!$C$4+76),0))))&lt;=(Tahmin!$C$4+76),DATE(YEAR((Tahmin!$C$4+76)),MONTH((Tahmin!$C$4+76)),MIN(DAY(Kalemler!$D170),DAY(EOMONTH((Tahmin!$C$4+76),0))))&lt;&gt;DATE(YEAR((Tahmin!$C$4+70)),MONTH((Tahmin!$C$4+70)),MIN(DAY(Kalemler!$D170),DAY(EOMONTH((Tahmin!$C$4+70),0)))),DATE(YEAR((Tahmin!$C$4+76)),MONTH((Tahmin!$C$4+76)),MIN(DAY(Kalemler!$D170),DAY(EOMONTH((Tahmin!$C$4+76),0))))&gt;=Kalemler!$D170)),1,0),IF(AND(Kalemler!$D170&gt;=(Tahmin!$C$4+70),Kalemler!$D170&lt;=(Tahmin!$C$4+76)),1,0))))</f>
        <v>0</v>
      </c>
      <c r="M170" s="0" t="n">
        <f aca="false">IF(OR(Kalemler!$A170="",Kalemler!$C170="",Kalemler!$D170=""),0,Kalemler!$C170*IF(Kalemler!$E170="Haftalık",IF(Kalemler!$D170&lt;=(Tahmin!$C$4+83),1,0),IF(Kalemler!$E170="Aylık",IF(OR(AND(DATE(YEAR((Tahmin!$C$4+77)),MONTH((Tahmin!$C$4+77)),MIN(DAY(Kalemler!$D170),DAY(EOMONTH((Tahmin!$C$4+77),0))))&gt;=(Tahmin!$C$4+77),DATE(YEAR((Tahmin!$C$4+77)),MONTH((Tahmin!$C$4+77)),MIN(DAY(Kalemler!$D170),DAY(EOMONTH((Tahmin!$C$4+77),0))))&lt;=(Tahmin!$C$4+83),DATE(YEAR((Tahmin!$C$4+77)),MONTH((Tahmin!$C$4+77)),MIN(DAY(Kalemler!$D170),DAY(EOMONTH((Tahmin!$C$4+77),0))))&gt;=Kalemler!$D170),AND(DATE(YEAR((Tahmin!$C$4+83)),MONTH((Tahmin!$C$4+83)),MIN(DAY(Kalemler!$D170),DAY(EOMONTH((Tahmin!$C$4+83),0))))&gt;=(Tahmin!$C$4+77),DATE(YEAR((Tahmin!$C$4+83)),MONTH((Tahmin!$C$4+83)),MIN(DAY(Kalemler!$D170),DAY(EOMONTH((Tahmin!$C$4+83),0))))&lt;=(Tahmin!$C$4+83),DATE(YEAR((Tahmin!$C$4+83)),MONTH((Tahmin!$C$4+83)),MIN(DAY(Kalemler!$D170),DAY(EOMONTH((Tahmin!$C$4+83),0))))&lt;&gt;DATE(YEAR((Tahmin!$C$4+77)),MONTH((Tahmin!$C$4+77)),MIN(DAY(Kalemler!$D170),DAY(EOMONTH((Tahmin!$C$4+77),0)))),DATE(YEAR((Tahmin!$C$4+83)),MONTH((Tahmin!$C$4+83)),MIN(DAY(Kalemler!$D170),DAY(EOMONTH((Tahmin!$C$4+83),0))))&gt;=Kalemler!$D170)),1,0),IF(AND(Kalemler!$D170&gt;=(Tahmin!$C$4+77),Kalemler!$D170&lt;=(Tahmin!$C$4+83)),1,0))))</f>
        <v>0</v>
      </c>
      <c r="N170" s="0" t="n">
        <f aca="false">IF(OR(Kalemler!$A170="",Kalemler!$C170="",Kalemler!$D170=""),0,Kalemler!$C170*IF(Kalemler!$E170="Haftalık",IF(Kalemler!$D170&lt;=(Tahmin!$C$4+90),1,0),IF(Kalemler!$E170="Aylık",IF(OR(AND(DATE(YEAR((Tahmin!$C$4+84)),MONTH((Tahmin!$C$4+84)),MIN(DAY(Kalemler!$D170),DAY(EOMONTH((Tahmin!$C$4+84),0))))&gt;=(Tahmin!$C$4+84),DATE(YEAR((Tahmin!$C$4+84)),MONTH((Tahmin!$C$4+84)),MIN(DAY(Kalemler!$D170),DAY(EOMONTH((Tahmin!$C$4+84),0))))&lt;=(Tahmin!$C$4+90),DATE(YEAR((Tahmin!$C$4+84)),MONTH((Tahmin!$C$4+84)),MIN(DAY(Kalemler!$D170),DAY(EOMONTH((Tahmin!$C$4+84),0))))&gt;=Kalemler!$D170),AND(DATE(YEAR((Tahmin!$C$4+90)),MONTH((Tahmin!$C$4+90)),MIN(DAY(Kalemler!$D170),DAY(EOMONTH((Tahmin!$C$4+90),0))))&gt;=(Tahmin!$C$4+84),DATE(YEAR((Tahmin!$C$4+90)),MONTH((Tahmin!$C$4+90)),MIN(DAY(Kalemler!$D170),DAY(EOMONTH((Tahmin!$C$4+90),0))))&lt;=(Tahmin!$C$4+90),DATE(YEAR((Tahmin!$C$4+90)),MONTH((Tahmin!$C$4+90)),MIN(DAY(Kalemler!$D170),DAY(EOMONTH((Tahmin!$C$4+90),0))))&lt;&gt;DATE(YEAR((Tahmin!$C$4+84)),MONTH((Tahmin!$C$4+84)),MIN(DAY(Kalemler!$D170),DAY(EOMONTH((Tahmin!$C$4+84),0)))),DATE(YEAR((Tahmin!$C$4+90)),MONTH((Tahmin!$C$4+90)),MIN(DAY(Kalemler!$D170),DAY(EOMONTH((Tahmin!$C$4+90),0))))&gt;=Kalemler!$D170)),1,0),IF(AND(Kalemler!$D170&gt;=(Tahmin!$C$4+84),Kalemler!$D170&lt;=(Tahmin!$C$4+90)),1,0))))</f>
        <v>0</v>
      </c>
    </row>
    <row r="171" customFormat="false" ht="15" hidden="false" customHeight="false" outlineLevel="0" collapsed="false">
      <c r="A171" s="0" t="str">
        <f aca="false">IF(Kalemler!A171="","",Kalemler!A171)</f>
        <v/>
      </c>
      <c r="B171" s="0" t="n">
        <f aca="false">IF(OR(Kalemler!$A171="",Kalemler!$C171="",Kalemler!$D171=""),0,Kalemler!$C171*IF(Kalemler!$E171="Haftalık",IF(Kalemler!$D171&lt;=(Tahmin!$C$4+6),1,0),IF(Kalemler!$E171="Aylık",IF(OR(AND(DATE(YEAR((Tahmin!$C$4+0)),MONTH((Tahmin!$C$4+0)),MIN(DAY(Kalemler!$D171),DAY(EOMONTH((Tahmin!$C$4+0),0))))&gt;=(Tahmin!$C$4+0),DATE(YEAR((Tahmin!$C$4+0)),MONTH((Tahmin!$C$4+0)),MIN(DAY(Kalemler!$D171),DAY(EOMONTH((Tahmin!$C$4+0),0))))&lt;=(Tahmin!$C$4+6),DATE(YEAR((Tahmin!$C$4+0)),MONTH((Tahmin!$C$4+0)),MIN(DAY(Kalemler!$D171),DAY(EOMONTH((Tahmin!$C$4+0),0))))&gt;=Kalemler!$D171),AND(DATE(YEAR((Tahmin!$C$4+6)),MONTH((Tahmin!$C$4+6)),MIN(DAY(Kalemler!$D171),DAY(EOMONTH((Tahmin!$C$4+6),0))))&gt;=(Tahmin!$C$4+0),DATE(YEAR((Tahmin!$C$4+6)),MONTH((Tahmin!$C$4+6)),MIN(DAY(Kalemler!$D171),DAY(EOMONTH((Tahmin!$C$4+6),0))))&lt;=(Tahmin!$C$4+6),DATE(YEAR((Tahmin!$C$4+6)),MONTH((Tahmin!$C$4+6)),MIN(DAY(Kalemler!$D171),DAY(EOMONTH((Tahmin!$C$4+6),0))))&lt;&gt;DATE(YEAR((Tahmin!$C$4+0)),MONTH((Tahmin!$C$4+0)),MIN(DAY(Kalemler!$D171),DAY(EOMONTH((Tahmin!$C$4+0),0)))),DATE(YEAR((Tahmin!$C$4+6)),MONTH((Tahmin!$C$4+6)),MIN(DAY(Kalemler!$D171),DAY(EOMONTH((Tahmin!$C$4+6),0))))&gt;=Kalemler!$D171)),1,0),IF(AND(Kalemler!$D171&gt;=(Tahmin!$C$4+0),Kalemler!$D171&lt;=(Tahmin!$C$4+6)),1,0))))</f>
        <v>0</v>
      </c>
      <c r="C171" s="0" t="n">
        <f aca="false">IF(OR(Kalemler!$A171="",Kalemler!$C171="",Kalemler!$D171=""),0,Kalemler!$C171*IF(Kalemler!$E171="Haftalık",IF(Kalemler!$D171&lt;=(Tahmin!$C$4+13),1,0),IF(Kalemler!$E171="Aylık",IF(OR(AND(DATE(YEAR((Tahmin!$C$4+7)),MONTH((Tahmin!$C$4+7)),MIN(DAY(Kalemler!$D171),DAY(EOMONTH((Tahmin!$C$4+7),0))))&gt;=(Tahmin!$C$4+7),DATE(YEAR((Tahmin!$C$4+7)),MONTH((Tahmin!$C$4+7)),MIN(DAY(Kalemler!$D171),DAY(EOMONTH((Tahmin!$C$4+7),0))))&lt;=(Tahmin!$C$4+13),DATE(YEAR((Tahmin!$C$4+7)),MONTH((Tahmin!$C$4+7)),MIN(DAY(Kalemler!$D171),DAY(EOMONTH((Tahmin!$C$4+7),0))))&gt;=Kalemler!$D171),AND(DATE(YEAR((Tahmin!$C$4+13)),MONTH((Tahmin!$C$4+13)),MIN(DAY(Kalemler!$D171),DAY(EOMONTH((Tahmin!$C$4+13),0))))&gt;=(Tahmin!$C$4+7),DATE(YEAR((Tahmin!$C$4+13)),MONTH((Tahmin!$C$4+13)),MIN(DAY(Kalemler!$D171),DAY(EOMONTH((Tahmin!$C$4+13),0))))&lt;=(Tahmin!$C$4+13),DATE(YEAR((Tahmin!$C$4+13)),MONTH((Tahmin!$C$4+13)),MIN(DAY(Kalemler!$D171),DAY(EOMONTH((Tahmin!$C$4+13),0))))&lt;&gt;DATE(YEAR((Tahmin!$C$4+7)),MONTH((Tahmin!$C$4+7)),MIN(DAY(Kalemler!$D171),DAY(EOMONTH((Tahmin!$C$4+7),0)))),DATE(YEAR((Tahmin!$C$4+13)),MONTH((Tahmin!$C$4+13)),MIN(DAY(Kalemler!$D171),DAY(EOMONTH((Tahmin!$C$4+13),0))))&gt;=Kalemler!$D171)),1,0),IF(AND(Kalemler!$D171&gt;=(Tahmin!$C$4+7),Kalemler!$D171&lt;=(Tahmin!$C$4+13)),1,0))))</f>
        <v>0</v>
      </c>
      <c r="D171" s="0" t="n">
        <f aca="false">IF(OR(Kalemler!$A171="",Kalemler!$C171="",Kalemler!$D171=""),0,Kalemler!$C171*IF(Kalemler!$E171="Haftalık",IF(Kalemler!$D171&lt;=(Tahmin!$C$4+20),1,0),IF(Kalemler!$E171="Aylık",IF(OR(AND(DATE(YEAR((Tahmin!$C$4+14)),MONTH((Tahmin!$C$4+14)),MIN(DAY(Kalemler!$D171),DAY(EOMONTH((Tahmin!$C$4+14),0))))&gt;=(Tahmin!$C$4+14),DATE(YEAR((Tahmin!$C$4+14)),MONTH((Tahmin!$C$4+14)),MIN(DAY(Kalemler!$D171),DAY(EOMONTH((Tahmin!$C$4+14),0))))&lt;=(Tahmin!$C$4+20),DATE(YEAR((Tahmin!$C$4+14)),MONTH((Tahmin!$C$4+14)),MIN(DAY(Kalemler!$D171),DAY(EOMONTH((Tahmin!$C$4+14),0))))&gt;=Kalemler!$D171),AND(DATE(YEAR((Tahmin!$C$4+20)),MONTH((Tahmin!$C$4+20)),MIN(DAY(Kalemler!$D171),DAY(EOMONTH((Tahmin!$C$4+20),0))))&gt;=(Tahmin!$C$4+14),DATE(YEAR((Tahmin!$C$4+20)),MONTH((Tahmin!$C$4+20)),MIN(DAY(Kalemler!$D171),DAY(EOMONTH((Tahmin!$C$4+20),0))))&lt;=(Tahmin!$C$4+20),DATE(YEAR((Tahmin!$C$4+20)),MONTH((Tahmin!$C$4+20)),MIN(DAY(Kalemler!$D171),DAY(EOMONTH((Tahmin!$C$4+20),0))))&lt;&gt;DATE(YEAR((Tahmin!$C$4+14)),MONTH((Tahmin!$C$4+14)),MIN(DAY(Kalemler!$D171),DAY(EOMONTH((Tahmin!$C$4+14),0)))),DATE(YEAR((Tahmin!$C$4+20)),MONTH((Tahmin!$C$4+20)),MIN(DAY(Kalemler!$D171),DAY(EOMONTH((Tahmin!$C$4+20),0))))&gt;=Kalemler!$D171)),1,0),IF(AND(Kalemler!$D171&gt;=(Tahmin!$C$4+14),Kalemler!$D171&lt;=(Tahmin!$C$4+20)),1,0))))</f>
        <v>0</v>
      </c>
      <c r="E171" s="0" t="n">
        <f aca="false">IF(OR(Kalemler!$A171="",Kalemler!$C171="",Kalemler!$D171=""),0,Kalemler!$C171*IF(Kalemler!$E171="Haftalık",IF(Kalemler!$D171&lt;=(Tahmin!$C$4+27),1,0),IF(Kalemler!$E171="Aylık",IF(OR(AND(DATE(YEAR((Tahmin!$C$4+21)),MONTH((Tahmin!$C$4+21)),MIN(DAY(Kalemler!$D171),DAY(EOMONTH((Tahmin!$C$4+21),0))))&gt;=(Tahmin!$C$4+21),DATE(YEAR((Tahmin!$C$4+21)),MONTH((Tahmin!$C$4+21)),MIN(DAY(Kalemler!$D171),DAY(EOMONTH((Tahmin!$C$4+21),0))))&lt;=(Tahmin!$C$4+27),DATE(YEAR((Tahmin!$C$4+21)),MONTH((Tahmin!$C$4+21)),MIN(DAY(Kalemler!$D171),DAY(EOMONTH((Tahmin!$C$4+21),0))))&gt;=Kalemler!$D171),AND(DATE(YEAR((Tahmin!$C$4+27)),MONTH((Tahmin!$C$4+27)),MIN(DAY(Kalemler!$D171),DAY(EOMONTH((Tahmin!$C$4+27),0))))&gt;=(Tahmin!$C$4+21),DATE(YEAR((Tahmin!$C$4+27)),MONTH((Tahmin!$C$4+27)),MIN(DAY(Kalemler!$D171),DAY(EOMONTH((Tahmin!$C$4+27),0))))&lt;=(Tahmin!$C$4+27),DATE(YEAR((Tahmin!$C$4+27)),MONTH((Tahmin!$C$4+27)),MIN(DAY(Kalemler!$D171),DAY(EOMONTH((Tahmin!$C$4+27),0))))&lt;&gt;DATE(YEAR((Tahmin!$C$4+21)),MONTH((Tahmin!$C$4+21)),MIN(DAY(Kalemler!$D171),DAY(EOMONTH((Tahmin!$C$4+21),0)))),DATE(YEAR((Tahmin!$C$4+27)),MONTH((Tahmin!$C$4+27)),MIN(DAY(Kalemler!$D171),DAY(EOMONTH((Tahmin!$C$4+27),0))))&gt;=Kalemler!$D171)),1,0),IF(AND(Kalemler!$D171&gt;=(Tahmin!$C$4+21),Kalemler!$D171&lt;=(Tahmin!$C$4+27)),1,0))))</f>
        <v>0</v>
      </c>
      <c r="F171" s="0" t="n">
        <f aca="false">IF(OR(Kalemler!$A171="",Kalemler!$C171="",Kalemler!$D171=""),0,Kalemler!$C171*IF(Kalemler!$E171="Haftalık",IF(Kalemler!$D171&lt;=(Tahmin!$C$4+34),1,0),IF(Kalemler!$E171="Aylık",IF(OR(AND(DATE(YEAR((Tahmin!$C$4+28)),MONTH((Tahmin!$C$4+28)),MIN(DAY(Kalemler!$D171),DAY(EOMONTH((Tahmin!$C$4+28),0))))&gt;=(Tahmin!$C$4+28),DATE(YEAR((Tahmin!$C$4+28)),MONTH((Tahmin!$C$4+28)),MIN(DAY(Kalemler!$D171),DAY(EOMONTH((Tahmin!$C$4+28),0))))&lt;=(Tahmin!$C$4+34),DATE(YEAR((Tahmin!$C$4+28)),MONTH((Tahmin!$C$4+28)),MIN(DAY(Kalemler!$D171),DAY(EOMONTH((Tahmin!$C$4+28),0))))&gt;=Kalemler!$D171),AND(DATE(YEAR((Tahmin!$C$4+34)),MONTH((Tahmin!$C$4+34)),MIN(DAY(Kalemler!$D171),DAY(EOMONTH((Tahmin!$C$4+34),0))))&gt;=(Tahmin!$C$4+28),DATE(YEAR((Tahmin!$C$4+34)),MONTH((Tahmin!$C$4+34)),MIN(DAY(Kalemler!$D171),DAY(EOMONTH((Tahmin!$C$4+34),0))))&lt;=(Tahmin!$C$4+34),DATE(YEAR((Tahmin!$C$4+34)),MONTH((Tahmin!$C$4+34)),MIN(DAY(Kalemler!$D171),DAY(EOMONTH((Tahmin!$C$4+34),0))))&lt;&gt;DATE(YEAR((Tahmin!$C$4+28)),MONTH((Tahmin!$C$4+28)),MIN(DAY(Kalemler!$D171),DAY(EOMONTH((Tahmin!$C$4+28),0)))),DATE(YEAR((Tahmin!$C$4+34)),MONTH((Tahmin!$C$4+34)),MIN(DAY(Kalemler!$D171),DAY(EOMONTH((Tahmin!$C$4+34),0))))&gt;=Kalemler!$D171)),1,0),IF(AND(Kalemler!$D171&gt;=(Tahmin!$C$4+28),Kalemler!$D171&lt;=(Tahmin!$C$4+34)),1,0))))</f>
        <v>0</v>
      </c>
      <c r="G171" s="0" t="n">
        <f aca="false">IF(OR(Kalemler!$A171="",Kalemler!$C171="",Kalemler!$D171=""),0,Kalemler!$C171*IF(Kalemler!$E171="Haftalık",IF(Kalemler!$D171&lt;=(Tahmin!$C$4+41),1,0),IF(Kalemler!$E171="Aylık",IF(OR(AND(DATE(YEAR((Tahmin!$C$4+35)),MONTH((Tahmin!$C$4+35)),MIN(DAY(Kalemler!$D171),DAY(EOMONTH((Tahmin!$C$4+35),0))))&gt;=(Tahmin!$C$4+35),DATE(YEAR((Tahmin!$C$4+35)),MONTH((Tahmin!$C$4+35)),MIN(DAY(Kalemler!$D171),DAY(EOMONTH((Tahmin!$C$4+35),0))))&lt;=(Tahmin!$C$4+41),DATE(YEAR((Tahmin!$C$4+35)),MONTH((Tahmin!$C$4+35)),MIN(DAY(Kalemler!$D171),DAY(EOMONTH((Tahmin!$C$4+35),0))))&gt;=Kalemler!$D171),AND(DATE(YEAR((Tahmin!$C$4+41)),MONTH((Tahmin!$C$4+41)),MIN(DAY(Kalemler!$D171),DAY(EOMONTH((Tahmin!$C$4+41),0))))&gt;=(Tahmin!$C$4+35),DATE(YEAR((Tahmin!$C$4+41)),MONTH((Tahmin!$C$4+41)),MIN(DAY(Kalemler!$D171),DAY(EOMONTH((Tahmin!$C$4+41),0))))&lt;=(Tahmin!$C$4+41),DATE(YEAR((Tahmin!$C$4+41)),MONTH((Tahmin!$C$4+41)),MIN(DAY(Kalemler!$D171),DAY(EOMONTH((Tahmin!$C$4+41),0))))&lt;&gt;DATE(YEAR((Tahmin!$C$4+35)),MONTH((Tahmin!$C$4+35)),MIN(DAY(Kalemler!$D171),DAY(EOMONTH((Tahmin!$C$4+35),0)))),DATE(YEAR((Tahmin!$C$4+41)),MONTH((Tahmin!$C$4+41)),MIN(DAY(Kalemler!$D171),DAY(EOMONTH((Tahmin!$C$4+41),0))))&gt;=Kalemler!$D171)),1,0),IF(AND(Kalemler!$D171&gt;=(Tahmin!$C$4+35),Kalemler!$D171&lt;=(Tahmin!$C$4+41)),1,0))))</f>
        <v>0</v>
      </c>
      <c r="H171" s="0" t="n">
        <f aca="false">IF(OR(Kalemler!$A171="",Kalemler!$C171="",Kalemler!$D171=""),0,Kalemler!$C171*IF(Kalemler!$E171="Haftalık",IF(Kalemler!$D171&lt;=(Tahmin!$C$4+48),1,0),IF(Kalemler!$E171="Aylık",IF(OR(AND(DATE(YEAR((Tahmin!$C$4+42)),MONTH((Tahmin!$C$4+42)),MIN(DAY(Kalemler!$D171),DAY(EOMONTH((Tahmin!$C$4+42),0))))&gt;=(Tahmin!$C$4+42),DATE(YEAR((Tahmin!$C$4+42)),MONTH((Tahmin!$C$4+42)),MIN(DAY(Kalemler!$D171),DAY(EOMONTH((Tahmin!$C$4+42),0))))&lt;=(Tahmin!$C$4+48),DATE(YEAR((Tahmin!$C$4+42)),MONTH((Tahmin!$C$4+42)),MIN(DAY(Kalemler!$D171),DAY(EOMONTH((Tahmin!$C$4+42),0))))&gt;=Kalemler!$D171),AND(DATE(YEAR((Tahmin!$C$4+48)),MONTH((Tahmin!$C$4+48)),MIN(DAY(Kalemler!$D171),DAY(EOMONTH((Tahmin!$C$4+48),0))))&gt;=(Tahmin!$C$4+42),DATE(YEAR((Tahmin!$C$4+48)),MONTH((Tahmin!$C$4+48)),MIN(DAY(Kalemler!$D171),DAY(EOMONTH((Tahmin!$C$4+48),0))))&lt;=(Tahmin!$C$4+48),DATE(YEAR((Tahmin!$C$4+48)),MONTH((Tahmin!$C$4+48)),MIN(DAY(Kalemler!$D171),DAY(EOMONTH((Tahmin!$C$4+48),0))))&lt;&gt;DATE(YEAR((Tahmin!$C$4+42)),MONTH((Tahmin!$C$4+42)),MIN(DAY(Kalemler!$D171),DAY(EOMONTH((Tahmin!$C$4+42),0)))),DATE(YEAR((Tahmin!$C$4+48)),MONTH((Tahmin!$C$4+48)),MIN(DAY(Kalemler!$D171),DAY(EOMONTH((Tahmin!$C$4+48),0))))&gt;=Kalemler!$D171)),1,0),IF(AND(Kalemler!$D171&gt;=(Tahmin!$C$4+42),Kalemler!$D171&lt;=(Tahmin!$C$4+48)),1,0))))</f>
        <v>0</v>
      </c>
      <c r="I171" s="0" t="n">
        <f aca="false">IF(OR(Kalemler!$A171="",Kalemler!$C171="",Kalemler!$D171=""),0,Kalemler!$C171*IF(Kalemler!$E171="Haftalık",IF(Kalemler!$D171&lt;=(Tahmin!$C$4+55),1,0),IF(Kalemler!$E171="Aylık",IF(OR(AND(DATE(YEAR((Tahmin!$C$4+49)),MONTH((Tahmin!$C$4+49)),MIN(DAY(Kalemler!$D171),DAY(EOMONTH((Tahmin!$C$4+49),0))))&gt;=(Tahmin!$C$4+49),DATE(YEAR((Tahmin!$C$4+49)),MONTH((Tahmin!$C$4+49)),MIN(DAY(Kalemler!$D171),DAY(EOMONTH((Tahmin!$C$4+49),0))))&lt;=(Tahmin!$C$4+55),DATE(YEAR((Tahmin!$C$4+49)),MONTH((Tahmin!$C$4+49)),MIN(DAY(Kalemler!$D171),DAY(EOMONTH((Tahmin!$C$4+49),0))))&gt;=Kalemler!$D171),AND(DATE(YEAR((Tahmin!$C$4+55)),MONTH((Tahmin!$C$4+55)),MIN(DAY(Kalemler!$D171),DAY(EOMONTH((Tahmin!$C$4+55),0))))&gt;=(Tahmin!$C$4+49),DATE(YEAR((Tahmin!$C$4+55)),MONTH((Tahmin!$C$4+55)),MIN(DAY(Kalemler!$D171),DAY(EOMONTH((Tahmin!$C$4+55),0))))&lt;=(Tahmin!$C$4+55),DATE(YEAR((Tahmin!$C$4+55)),MONTH((Tahmin!$C$4+55)),MIN(DAY(Kalemler!$D171),DAY(EOMONTH((Tahmin!$C$4+55),0))))&lt;&gt;DATE(YEAR((Tahmin!$C$4+49)),MONTH((Tahmin!$C$4+49)),MIN(DAY(Kalemler!$D171),DAY(EOMONTH((Tahmin!$C$4+49),0)))),DATE(YEAR((Tahmin!$C$4+55)),MONTH((Tahmin!$C$4+55)),MIN(DAY(Kalemler!$D171),DAY(EOMONTH((Tahmin!$C$4+55),0))))&gt;=Kalemler!$D171)),1,0),IF(AND(Kalemler!$D171&gt;=(Tahmin!$C$4+49),Kalemler!$D171&lt;=(Tahmin!$C$4+55)),1,0))))</f>
        <v>0</v>
      </c>
      <c r="J171" s="0" t="n">
        <f aca="false">IF(OR(Kalemler!$A171="",Kalemler!$C171="",Kalemler!$D171=""),0,Kalemler!$C171*IF(Kalemler!$E171="Haftalık",IF(Kalemler!$D171&lt;=(Tahmin!$C$4+62),1,0),IF(Kalemler!$E171="Aylık",IF(OR(AND(DATE(YEAR((Tahmin!$C$4+56)),MONTH((Tahmin!$C$4+56)),MIN(DAY(Kalemler!$D171),DAY(EOMONTH((Tahmin!$C$4+56),0))))&gt;=(Tahmin!$C$4+56),DATE(YEAR((Tahmin!$C$4+56)),MONTH((Tahmin!$C$4+56)),MIN(DAY(Kalemler!$D171),DAY(EOMONTH((Tahmin!$C$4+56),0))))&lt;=(Tahmin!$C$4+62),DATE(YEAR((Tahmin!$C$4+56)),MONTH((Tahmin!$C$4+56)),MIN(DAY(Kalemler!$D171),DAY(EOMONTH((Tahmin!$C$4+56),0))))&gt;=Kalemler!$D171),AND(DATE(YEAR((Tahmin!$C$4+62)),MONTH((Tahmin!$C$4+62)),MIN(DAY(Kalemler!$D171),DAY(EOMONTH((Tahmin!$C$4+62),0))))&gt;=(Tahmin!$C$4+56),DATE(YEAR((Tahmin!$C$4+62)),MONTH((Tahmin!$C$4+62)),MIN(DAY(Kalemler!$D171),DAY(EOMONTH((Tahmin!$C$4+62),0))))&lt;=(Tahmin!$C$4+62),DATE(YEAR((Tahmin!$C$4+62)),MONTH((Tahmin!$C$4+62)),MIN(DAY(Kalemler!$D171),DAY(EOMONTH((Tahmin!$C$4+62),0))))&lt;&gt;DATE(YEAR((Tahmin!$C$4+56)),MONTH((Tahmin!$C$4+56)),MIN(DAY(Kalemler!$D171),DAY(EOMONTH((Tahmin!$C$4+56),0)))),DATE(YEAR((Tahmin!$C$4+62)),MONTH((Tahmin!$C$4+62)),MIN(DAY(Kalemler!$D171),DAY(EOMONTH((Tahmin!$C$4+62),0))))&gt;=Kalemler!$D171)),1,0),IF(AND(Kalemler!$D171&gt;=(Tahmin!$C$4+56),Kalemler!$D171&lt;=(Tahmin!$C$4+62)),1,0))))</f>
        <v>0</v>
      </c>
      <c r="K171" s="0" t="n">
        <f aca="false">IF(OR(Kalemler!$A171="",Kalemler!$C171="",Kalemler!$D171=""),0,Kalemler!$C171*IF(Kalemler!$E171="Haftalık",IF(Kalemler!$D171&lt;=(Tahmin!$C$4+69),1,0),IF(Kalemler!$E171="Aylık",IF(OR(AND(DATE(YEAR((Tahmin!$C$4+63)),MONTH((Tahmin!$C$4+63)),MIN(DAY(Kalemler!$D171),DAY(EOMONTH((Tahmin!$C$4+63),0))))&gt;=(Tahmin!$C$4+63),DATE(YEAR((Tahmin!$C$4+63)),MONTH((Tahmin!$C$4+63)),MIN(DAY(Kalemler!$D171),DAY(EOMONTH((Tahmin!$C$4+63),0))))&lt;=(Tahmin!$C$4+69),DATE(YEAR((Tahmin!$C$4+63)),MONTH((Tahmin!$C$4+63)),MIN(DAY(Kalemler!$D171),DAY(EOMONTH((Tahmin!$C$4+63),0))))&gt;=Kalemler!$D171),AND(DATE(YEAR((Tahmin!$C$4+69)),MONTH((Tahmin!$C$4+69)),MIN(DAY(Kalemler!$D171),DAY(EOMONTH((Tahmin!$C$4+69),0))))&gt;=(Tahmin!$C$4+63),DATE(YEAR((Tahmin!$C$4+69)),MONTH((Tahmin!$C$4+69)),MIN(DAY(Kalemler!$D171),DAY(EOMONTH((Tahmin!$C$4+69),0))))&lt;=(Tahmin!$C$4+69),DATE(YEAR((Tahmin!$C$4+69)),MONTH((Tahmin!$C$4+69)),MIN(DAY(Kalemler!$D171),DAY(EOMONTH((Tahmin!$C$4+69),0))))&lt;&gt;DATE(YEAR((Tahmin!$C$4+63)),MONTH((Tahmin!$C$4+63)),MIN(DAY(Kalemler!$D171),DAY(EOMONTH((Tahmin!$C$4+63),0)))),DATE(YEAR((Tahmin!$C$4+69)),MONTH((Tahmin!$C$4+69)),MIN(DAY(Kalemler!$D171),DAY(EOMONTH((Tahmin!$C$4+69),0))))&gt;=Kalemler!$D171)),1,0),IF(AND(Kalemler!$D171&gt;=(Tahmin!$C$4+63),Kalemler!$D171&lt;=(Tahmin!$C$4+69)),1,0))))</f>
        <v>0</v>
      </c>
      <c r="L171" s="0" t="n">
        <f aca="false">IF(OR(Kalemler!$A171="",Kalemler!$C171="",Kalemler!$D171=""),0,Kalemler!$C171*IF(Kalemler!$E171="Haftalık",IF(Kalemler!$D171&lt;=(Tahmin!$C$4+76),1,0),IF(Kalemler!$E171="Aylık",IF(OR(AND(DATE(YEAR((Tahmin!$C$4+70)),MONTH((Tahmin!$C$4+70)),MIN(DAY(Kalemler!$D171),DAY(EOMONTH((Tahmin!$C$4+70),0))))&gt;=(Tahmin!$C$4+70),DATE(YEAR((Tahmin!$C$4+70)),MONTH((Tahmin!$C$4+70)),MIN(DAY(Kalemler!$D171),DAY(EOMONTH((Tahmin!$C$4+70),0))))&lt;=(Tahmin!$C$4+76),DATE(YEAR((Tahmin!$C$4+70)),MONTH((Tahmin!$C$4+70)),MIN(DAY(Kalemler!$D171),DAY(EOMONTH((Tahmin!$C$4+70),0))))&gt;=Kalemler!$D171),AND(DATE(YEAR((Tahmin!$C$4+76)),MONTH((Tahmin!$C$4+76)),MIN(DAY(Kalemler!$D171),DAY(EOMONTH((Tahmin!$C$4+76),0))))&gt;=(Tahmin!$C$4+70),DATE(YEAR((Tahmin!$C$4+76)),MONTH((Tahmin!$C$4+76)),MIN(DAY(Kalemler!$D171),DAY(EOMONTH((Tahmin!$C$4+76),0))))&lt;=(Tahmin!$C$4+76),DATE(YEAR((Tahmin!$C$4+76)),MONTH((Tahmin!$C$4+76)),MIN(DAY(Kalemler!$D171),DAY(EOMONTH((Tahmin!$C$4+76),0))))&lt;&gt;DATE(YEAR((Tahmin!$C$4+70)),MONTH((Tahmin!$C$4+70)),MIN(DAY(Kalemler!$D171),DAY(EOMONTH((Tahmin!$C$4+70),0)))),DATE(YEAR((Tahmin!$C$4+76)),MONTH((Tahmin!$C$4+76)),MIN(DAY(Kalemler!$D171),DAY(EOMONTH((Tahmin!$C$4+76),0))))&gt;=Kalemler!$D171)),1,0),IF(AND(Kalemler!$D171&gt;=(Tahmin!$C$4+70),Kalemler!$D171&lt;=(Tahmin!$C$4+76)),1,0))))</f>
        <v>0</v>
      </c>
      <c r="M171" s="0" t="n">
        <f aca="false">IF(OR(Kalemler!$A171="",Kalemler!$C171="",Kalemler!$D171=""),0,Kalemler!$C171*IF(Kalemler!$E171="Haftalık",IF(Kalemler!$D171&lt;=(Tahmin!$C$4+83),1,0),IF(Kalemler!$E171="Aylık",IF(OR(AND(DATE(YEAR((Tahmin!$C$4+77)),MONTH((Tahmin!$C$4+77)),MIN(DAY(Kalemler!$D171),DAY(EOMONTH((Tahmin!$C$4+77),0))))&gt;=(Tahmin!$C$4+77),DATE(YEAR((Tahmin!$C$4+77)),MONTH((Tahmin!$C$4+77)),MIN(DAY(Kalemler!$D171),DAY(EOMONTH((Tahmin!$C$4+77),0))))&lt;=(Tahmin!$C$4+83),DATE(YEAR((Tahmin!$C$4+77)),MONTH((Tahmin!$C$4+77)),MIN(DAY(Kalemler!$D171),DAY(EOMONTH((Tahmin!$C$4+77),0))))&gt;=Kalemler!$D171),AND(DATE(YEAR((Tahmin!$C$4+83)),MONTH((Tahmin!$C$4+83)),MIN(DAY(Kalemler!$D171),DAY(EOMONTH((Tahmin!$C$4+83),0))))&gt;=(Tahmin!$C$4+77),DATE(YEAR((Tahmin!$C$4+83)),MONTH((Tahmin!$C$4+83)),MIN(DAY(Kalemler!$D171),DAY(EOMONTH((Tahmin!$C$4+83),0))))&lt;=(Tahmin!$C$4+83),DATE(YEAR((Tahmin!$C$4+83)),MONTH((Tahmin!$C$4+83)),MIN(DAY(Kalemler!$D171),DAY(EOMONTH((Tahmin!$C$4+83),0))))&lt;&gt;DATE(YEAR((Tahmin!$C$4+77)),MONTH((Tahmin!$C$4+77)),MIN(DAY(Kalemler!$D171),DAY(EOMONTH((Tahmin!$C$4+77),0)))),DATE(YEAR((Tahmin!$C$4+83)),MONTH((Tahmin!$C$4+83)),MIN(DAY(Kalemler!$D171),DAY(EOMONTH((Tahmin!$C$4+83),0))))&gt;=Kalemler!$D171)),1,0),IF(AND(Kalemler!$D171&gt;=(Tahmin!$C$4+77),Kalemler!$D171&lt;=(Tahmin!$C$4+83)),1,0))))</f>
        <v>0</v>
      </c>
      <c r="N171" s="0" t="n">
        <f aca="false">IF(OR(Kalemler!$A171="",Kalemler!$C171="",Kalemler!$D171=""),0,Kalemler!$C171*IF(Kalemler!$E171="Haftalık",IF(Kalemler!$D171&lt;=(Tahmin!$C$4+90),1,0),IF(Kalemler!$E171="Aylık",IF(OR(AND(DATE(YEAR((Tahmin!$C$4+84)),MONTH((Tahmin!$C$4+84)),MIN(DAY(Kalemler!$D171),DAY(EOMONTH((Tahmin!$C$4+84),0))))&gt;=(Tahmin!$C$4+84),DATE(YEAR((Tahmin!$C$4+84)),MONTH((Tahmin!$C$4+84)),MIN(DAY(Kalemler!$D171),DAY(EOMONTH((Tahmin!$C$4+84),0))))&lt;=(Tahmin!$C$4+90),DATE(YEAR((Tahmin!$C$4+84)),MONTH((Tahmin!$C$4+84)),MIN(DAY(Kalemler!$D171),DAY(EOMONTH((Tahmin!$C$4+84),0))))&gt;=Kalemler!$D171),AND(DATE(YEAR((Tahmin!$C$4+90)),MONTH((Tahmin!$C$4+90)),MIN(DAY(Kalemler!$D171),DAY(EOMONTH((Tahmin!$C$4+90),0))))&gt;=(Tahmin!$C$4+84),DATE(YEAR((Tahmin!$C$4+90)),MONTH((Tahmin!$C$4+90)),MIN(DAY(Kalemler!$D171),DAY(EOMONTH((Tahmin!$C$4+90),0))))&lt;=(Tahmin!$C$4+90),DATE(YEAR((Tahmin!$C$4+90)),MONTH((Tahmin!$C$4+90)),MIN(DAY(Kalemler!$D171),DAY(EOMONTH((Tahmin!$C$4+90),0))))&lt;&gt;DATE(YEAR((Tahmin!$C$4+84)),MONTH((Tahmin!$C$4+84)),MIN(DAY(Kalemler!$D171),DAY(EOMONTH((Tahmin!$C$4+84),0)))),DATE(YEAR((Tahmin!$C$4+90)),MONTH((Tahmin!$C$4+90)),MIN(DAY(Kalemler!$D171),DAY(EOMONTH((Tahmin!$C$4+90),0))))&gt;=Kalemler!$D171)),1,0),IF(AND(Kalemler!$D171&gt;=(Tahmin!$C$4+84),Kalemler!$D171&lt;=(Tahmin!$C$4+90)),1,0))))</f>
        <v>0</v>
      </c>
    </row>
    <row r="172" customFormat="false" ht="15" hidden="false" customHeight="false" outlineLevel="0" collapsed="false">
      <c r="A172" s="0" t="str">
        <f aca="false">IF(Kalemler!A172="","",Kalemler!A172)</f>
        <v/>
      </c>
      <c r="B172" s="0" t="n">
        <f aca="false">IF(OR(Kalemler!$A172="",Kalemler!$C172="",Kalemler!$D172=""),0,Kalemler!$C172*IF(Kalemler!$E172="Haftalık",IF(Kalemler!$D172&lt;=(Tahmin!$C$4+6),1,0),IF(Kalemler!$E172="Aylık",IF(OR(AND(DATE(YEAR((Tahmin!$C$4+0)),MONTH((Tahmin!$C$4+0)),MIN(DAY(Kalemler!$D172),DAY(EOMONTH((Tahmin!$C$4+0),0))))&gt;=(Tahmin!$C$4+0),DATE(YEAR((Tahmin!$C$4+0)),MONTH((Tahmin!$C$4+0)),MIN(DAY(Kalemler!$D172),DAY(EOMONTH((Tahmin!$C$4+0),0))))&lt;=(Tahmin!$C$4+6),DATE(YEAR((Tahmin!$C$4+0)),MONTH((Tahmin!$C$4+0)),MIN(DAY(Kalemler!$D172),DAY(EOMONTH((Tahmin!$C$4+0),0))))&gt;=Kalemler!$D172),AND(DATE(YEAR((Tahmin!$C$4+6)),MONTH((Tahmin!$C$4+6)),MIN(DAY(Kalemler!$D172),DAY(EOMONTH((Tahmin!$C$4+6),0))))&gt;=(Tahmin!$C$4+0),DATE(YEAR((Tahmin!$C$4+6)),MONTH((Tahmin!$C$4+6)),MIN(DAY(Kalemler!$D172),DAY(EOMONTH((Tahmin!$C$4+6),0))))&lt;=(Tahmin!$C$4+6),DATE(YEAR((Tahmin!$C$4+6)),MONTH((Tahmin!$C$4+6)),MIN(DAY(Kalemler!$D172),DAY(EOMONTH((Tahmin!$C$4+6),0))))&lt;&gt;DATE(YEAR((Tahmin!$C$4+0)),MONTH((Tahmin!$C$4+0)),MIN(DAY(Kalemler!$D172),DAY(EOMONTH((Tahmin!$C$4+0),0)))),DATE(YEAR((Tahmin!$C$4+6)),MONTH((Tahmin!$C$4+6)),MIN(DAY(Kalemler!$D172),DAY(EOMONTH((Tahmin!$C$4+6),0))))&gt;=Kalemler!$D172)),1,0),IF(AND(Kalemler!$D172&gt;=(Tahmin!$C$4+0),Kalemler!$D172&lt;=(Tahmin!$C$4+6)),1,0))))</f>
        <v>0</v>
      </c>
      <c r="C172" s="0" t="n">
        <f aca="false">IF(OR(Kalemler!$A172="",Kalemler!$C172="",Kalemler!$D172=""),0,Kalemler!$C172*IF(Kalemler!$E172="Haftalık",IF(Kalemler!$D172&lt;=(Tahmin!$C$4+13),1,0),IF(Kalemler!$E172="Aylık",IF(OR(AND(DATE(YEAR((Tahmin!$C$4+7)),MONTH((Tahmin!$C$4+7)),MIN(DAY(Kalemler!$D172),DAY(EOMONTH((Tahmin!$C$4+7),0))))&gt;=(Tahmin!$C$4+7),DATE(YEAR((Tahmin!$C$4+7)),MONTH((Tahmin!$C$4+7)),MIN(DAY(Kalemler!$D172),DAY(EOMONTH((Tahmin!$C$4+7),0))))&lt;=(Tahmin!$C$4+13),DATE(YEAR((Tahmin!$C$4+7)),MONTH((Tahmin!$C$4+7)),MIN(DAY(Kalemler!$D172),DAY(EOMONTH((Tahmin!$C$4+7),0))))&gt;=Kalemler!$D172),AND(DATE(YEAR((Tahmin!$C$4+13)),MONTH((Tahmin!$C$4+13)),MIN(DAY(Kalemler!$D172),DAY(EOMONTH((Tahmin!$C$4+13),0))))&gt;=(Tahmin!$C$4+7),DATE(YEAR((Tahmin!$C$4+13)),MONTH((Tahmin!$C$4+13)),MIN(DAY(Kalemler!$D172),DAY(EOMONTH((Tahmin!$C$4+13),0))))&lt;=(Tahmin!$C$4+13),DATE(YEAR((Tahmin!$C$4+13)),MONTH((Tahmin!$C$4+13)),MIN(DAY(Kalemler!$D172),DAY(EOMONTH((Tahmin!$C$4+13),0))))&lt;&gt;DATE(YEAR((Tahmin!$C$4+7)),MONTH((Tahmin!$C$4+7)),MIN(DAY(Kalemler!$D172),DAY(EOMONTH((Tahmin!$C$4+7),0)))),DATE(YEAR((Tahmin!$C$4+13)),MONTH((Tahmin!$C$4+13)),MIN(DAY(Kalemler!$D172),DAY(EOMONTH((Tahmin!$C$4+13),0))))&gt;=Kalemler!$D172)),1,0),IF(AND(Kalemler!$D172&gt;=(Tahmin!$C$4+7),Kalemler!$D172&lt;=(Tahmin!$C$4+13)),1,0))))</f>
        <v>0</v>
      </c>
      <c r="D172" s="0" t="n">
        <f aca="false">IF(OR(Kalemler!$A172="",Kalemler!$C172="",Kalemler!$D172=""),0,Kalemler!$C172*IF(Kalemler!$E172="Haftalık",IF(Kalemler!$D172&lt;=(Tahmin!$C$4+20),1,0),IF(Kalemler!$E172="Aylık",IF(OR(AND(DATE(YEAR((Tahmin!$C$4+14)),MONTH((Tahmin!$C$4+14)),MIN(DAY(Kalemler!$D172),DAY(EOMONTH((Tahmin!$C$4+14),0))))&gt;=(Tahmin!$C$4+14),DATE(YEAR((Tahmin!$C$4+14)),MONTH((Tahmin!$C$4+14)),MIN(DAY(Kalemler!$D172),DAY(EOMONTH((Tahmin!$C$4+14),0))))&lt;=(Tahmin!$C$4+20),DATE(YEAR((Tahmin!$C$4+14)),MONTH((Tahmin!$C$4+14)),MIN(DAY(Kalemler!$D172),DAY(EOMONTH((Tahmin!$C$4+14),0))))&gt;=Kalemler!$D172),AND(DATE(YEAR((Tahmin!$C$4+20)),MONTH((Tahmin!$C$4+20)),MIN(DAY(Kalemler!$D172),DAY(EOMONTH((Tahmin!$C$4+20),0))))&gt;=(Tahmin!$C$4+14),DATE(YEAR((Tahmin!$C$4+20)),MONTH((Tahmin!$C$4+20)),MIN(DAY(Kalemler!$D172),DAY(EOMONTH((Tahmin!$C$4+20),0))))&lt;=(Tahmin!$C$4+20),DATE(YEAR((Tahmin!$C$4+20)),MONTH((Tahmin!$C$4+20)),MIN(DAY(Kalemler!$D172),DAY(EOMONTH((Tahmin!$C$4+20),0))))&lt;&gt;DATE(YEAR((Tahmin!$C$4+14)),MONTH((Tahmin!$C$4+14)),MIN(DAY(Kalemler!$D172),DAY(EOMONTH((Tahmin!$C$4+14),0)))),DATE(YEAR((Tahmin!$C$4+20)),MONTH((Tahmin!$C$4+20)),MIN(DAY(Kalemler!$D172),DAY(EOMONTH((Tahmin!$C$4+20),0))))&gt;=Kalemler!$D172)),1,0),IF(AND(Kalemler!$D172&gt;=(Tahmin!$C$4+14),Kalemler!$D172&lt;=(Tahmin!$C$4+20)),1,0))))</f>
        <v>0</v>
      </c>
      <c r="E172" s="0" t="n">
        <f aca="false">IF(OR(Kalemler!$A172="",Kalemler!$C172="",Kalemler!$D172=""),0,Kalemler!$C172*IF(Kalemler!$E172="Haftalık",IF(Kalemler!$D172&lt;=(Tahmin!$C$4+27),1,0),IF(Kalemler!$E172="Aylık",IF(OR(AND(DATE(YEAR((Tahmin!$C$4+21)),MONTH((Tahmin!$C$4+21)),MIN(DAY(Kalemler!$D172),DAY(EOMONTH((Tahmin!$C$4+21),0))))&gt;=(Tahmin!$C$4+21),DATE(YEAR((Tahmin!$C$4+21)),MONTH((Tahmin!$C$4+21)),MIN(DAY(Kalemler!$D172),DAY(EOMONTH((Tahmin!$C$4+21),0))))&lt;=(Tahmin!$C$4+27),DATE(YEAR((Tahmin!$C$4+21)),MONTH((Tahmin!$C$4+21)),MIN(DAY(Kalemler!$D172),DAY(EOMONTH((Tahmin!$C$4+21),0))))&gt;=Kalemler!$D172),AND(DATE(YEAR((Tahmin!$C$4+27)),MONTH((Tahmin!$C$4+27)),MIN(DAY(Kalemler!$D172),DAY(EOMONTH((Tahmin!$C$4+27),0))))&gt;=(Tahmin!$C$4+21),DATE(YEAR((Tahmin!$C$4+27)),MONTH((Tahmin!$C$4+27)),MIN(DAY(Kalemler!$D172),DAY(EOMONTH((Tahmin!$C$4+27),0))))&lt;=(Tahmin!$C$4+27),DATE(YEAR((Tahmin!$C$4+27)),MONTH((Tahmin!$C$4+27)),MIN(DAY(Kalemler!$D172),DAY(EOMONTH((Tahmin!$C$4+27),0))))&lt;&gt;DATE(YEAR((Tahmin!$C$4+21)),MONTH((Tahmin!$C$4+21)),MIN(DAY(Kalemler!$D172),DAY(EOMONTH((Tahmin!$C$4+21),0)))),DATE(YEAR((Tahmin!$C$4+27)),MONTH((Tahmin!$C$4+27)),MIN(DAY(Kalemler!$D172),DAY(EOMONTH((Tahmin!$C$4+27),0))))&gt;=Kalemler!$D172)),1,0),IF(AND(Kalemler!$D172&gt;=(Tahmin!$C$4+21),Kalemler!$D172&lt;=(Tahmin!$C$4+27)),1,0))))</f>
        <v>0</v>
      </c>
      <c r="F172" s="0" t="n">
        <f aca="false">IF(OR(Kalemler!$A172="",Kalemler!$C172="",Kalemler!$D172=""),0,Kalemler!$C172*IF(Kalemler!$E172="Haftalık",IF(Kalemler!$D172&lt;=(Tahmin!$C$4+34),1,0),IF(Kalemler!$E172="Aylık",IF(OR(AND(DATE(YEAR((Tahmin!$C$4+28)),MONTH((Tahmin!$C$4+28)),MIN(DAY(Kalemler!$D172),DAY(EOMONTH((Tahmin!$C$4+28),0))))&gt;=(Tahmin!$C$4+28),DATE(YEAR((Tahmin!$C$4+28)),MONTH((Tahmin!$C$4+28)),MIN(DAY(Kalemler!$D172),DAY(EOMONTH((Tahmin!$C$4+28),0))))&lt;=(Tahmin!$C$4+34),DATE(YEAR((Tahmin!$C$4+28)),MONTH((Tahmin!$C$4+28)),MIN(DAY(Kalemler!$D172),DAY(EOMONTH((Tahmin!$C$4+28),0))))&gt;=Kalemler!$D172),AND(DATE(YEAR((Tahmin!$C$4+34)),MONTH((Tahmin!$C$4+34)),MIN(DAY(Kalemler!$D172),DAY(EOMONTH((Tahmin!$C$4+34),0))))&gt;=(Tahmin!$C$4+28),DATE(YEAR((Tahmin!$C$4+34)),MONTH((Tahmin!$C$4+34)),MIN(DAY(Kalemler!$D172),DAY(EOMONTH((Tahmin!$C$4+34),0))))&lt;=(Tahmin!$C$4+34),DATE(YEAR((Tahmin!$C$4+34)),MONTH((Tahmin!$C$4+34)),MIN(DAY(Kalemler!$D172),DAY(EOMONTH((Tahmin!$C$4+34),0))))&lt;&gt;DATE(YEAR((Tahmin!$C$4+28)),MONTH((Tahmin!$C$4+28)),MIN(DAY(Kalemler!$D172),DAY(EOMONTH((Tahmin!$C$4+28),0)))),DATE(YEAR((Tahmin!$C$4+34)),MONTH((Tahmin!$C$4+34)),MIN(DAY(Kalemler!$D172),DAY(EOMONTH((Tahmin!$C$4+34),0))))&gt;=Kalemler!$D172)),1,0),IF(AND(Kalemler!$D172&gt;=(Tahmin!$C$4+28),Kalemler!$D172&lt;=(Tahmin!$C$4+34)),1,0))))</f>
        <v>0</v>
      </c>
      <c r="G172" s="0" t="n">
        <f aca="false">IF(OR(Kalemler!$A172="",Kalemler!$C172="",Kalemler!$D172=""),0,Kalemler!$C172*IF(Kalemler!$E172="Haftalık",IF(Kalemler!$D172&lt;=(Tahmin!$C$4+41),1,0),IF(Kalemler!$E172="Aylık",IF(OR(AND(DATE(YEAR((Tahmin!$C$4+35)),MONTH((Tahmin!$C$4+35)),MIN(DAY(Kalemler!$D172),DAY(EOMONTH((Tahmin!$C$4+35),0))))&gt;=(Tahmin!$C$4+35),DATE(YEAR((Tahmin!$C$4+35)),MONTH((Tahmin!$C$4+35)),MIN(DAY(Kalemler!$D172),DAY(EOMONTH((Tahmin!$C$4+35),0))))&lt;=(Tahmin!$C$4+41),DATE(YEAR((Tahmin!$C$4+35)),MONTH((Tahmin!$C$4+35)),MIN(DAY(Kalemler!$D172),DAY(EOMONTH((Tahmin!$C$4+35),0))))&gt;=Kalemler!$D172),AND(DATE(YEAR((Tahmin!$C$4+41)),MONTH((Tahmin!$C$4+41)),MIN(DAY(Kalemler!$D172),DAY(EOMONTH((Tahmin!$C$4+41),0))))&gt;=(Tahmin!$C$4+35),DATE(YEAR((Tahmin!$C$4+41)),MONTH((Tahmin!$C$4+41)),MIN(DAY(Kalemler!$D172),DAY(EOMONTH((Tahmin!$C$4+41),0))))&lt;=(Tahmin!$C$4+41),DATE(YEAR((Tahmin!$C$4+41)),MONTH((Tahmin!$C$4+41)),MIN(DAY(Kalemler!$D172),DAY(EOMONTH((Tahmin!$C$4+41),0))))&lt;&gt;DATE(YEAR((Tahmin!$C$4+35)),MONTH((Tahmin!$C$4+35)),MIN(DAY(Kalemler!$D172),DAY(EOMONTH((Tahmin!$C$4+35),0)))),DATE(YEAR((Tahmin!$C$4+41)),MONTH((Tahmin!$C$4+41)),MIN(DAY(Kalemler!$D172),DAY(EOMONTH((Tahmin!$C$4+41),0))))&gt;=Kalemler!$D172)),1,0),IF(AND(Kalemler!$D172&gt;=(Tahmin!$C$4+35),Kalemler!$D172&lt;=(Tahmin!$C$4+41)),1,0))))</f>
        <v>0</v>
      </c>
      <c r="H172" s="0" t="n">
        <f aca="false">IF(OR(Kalemler!$A172="",Kalemler!$C172="",Kalemler!$D172=""),0,Kalemler!$C172*IF(Kalemler!$E172="Haftalık",IF(Kalemler!$D172&lt;=(Tahmin!$C$4+48),1,0),IF(Kalemler!$E172="Aylık",IF(OR(AND(DATE(YEAR((Tahmin!$C$4+42)),MONTH((Tahmin!$C$4+42)),MIN(DAY(Kalemler!$D172),DAY(EOMONTH((Tahmin!$C$4+42),0))))&gt;=(Tahmin!$C$4+42),DATE(YEAR((Tahmin!$C$4+42)),MONTH((Tahmin!$C$4+42)),MIN(DAY(Kalemler!$D172),DAY(EOMONTH((Tahmin!$C$4+42),0))))&lt;=(Tahmin!$C$4+48),DATE(YEAR((Tahmin!$C$4+42)),MONTH((Tahmin!$C$4+42)),MIN(DAY(Kalemler!$D172),DAY(EOMONTH((Tahmin!$C$4+42),0))))&gt;=Kalemler!$D172),AND(DATE(YEAR((Tahmin!$C$4+48)),MONTH((Tahmin!$C$4+48)),MIN(DAY(Kalemler!$D172),DAY(EOMONTH((Tahmin!$C$4+48),0))))&gt;=(Tahmin!$C$4+42),DATE(YEAR((Tahmin!$C$4+48)),MONTH((Tahmin!$C$4+48)),MIN(DAY(Kalemler!$D172),DAY(EOMONTH((Tahmin!$C$4+48),0))))&lt;=(Tahmin!$C$4+48),DATE(YEAR((Tahmin!$C$4+48)),MONTH((Tahmin!$C$4+48)),MIN(DAY(Kalemler!$D172),DAY(EOMONTH((Tahmin!$C$4+48),0))))&lt;&gt;DATE(YEAR((Tahmin!$C$4+42)),MONTH((Tahmin!$C$4+42)),MIN(DAY(Kalemler!$D172),DAY(EOMONTH((Tahmin!$C$4+42),0)))),DATE(YEAR((Tahmin!$C$4+48)),MONTH((Tahmin!$C$4+48)),MIN(DAY(Kalemler!$D172),DAY(EOMONTH((Tahmin!$C$4+48),0))))&gt;=Kalemler!$D172)),1,0),IF(AND(Kalemler!$D172&gt;=(Tahmin!$C$4+42),Kalemler!$D172&lt;=(Tahmin!$C$4+48)),1,0))))</f>
        <v>0</v>
      </c>
      <c r="I172" s="0" t="n">
        <f aca="false">IF(OR(Kalemler!$A172="",Kalemler!$C172="",Kalemler!$D172=""),0,Kalemler!$C172*IF(Kalemler!$E172="Haftalık",IF(Kalemler!$D172&lt;=(Tahmin!$C$4+55),1,0),IF(Kalemler!$E172="Aylık",IF(OR(AND(DATE(YEAR((Tahmin!$C$4+49)),MONTH((Tahmin!$C$4+49)),MIN(DAY(Kalemler!$D172),DAY(EOMONTH((Tahmin!$C$4+49),0))))&gt;=(Tahmin!$C$4+49),DATE(YEAR((Tahmin!$C$4+49)),MONTH((Tahmin!$C$4+49)),MIN(DAY(Kalemler!$D172),DAY(EOMONTH((Tahmin!$C$4+49),0))))&lt;=(Tahmin!$C$4+55),DATE(YEAR((Tahmin!$C$4+49)),MONTH((Tahmin!$C$4+49)),MIN(DAY(Kalemler!$D172),DAY(EOMONTH((Tahmin!$C$4+49),0))))&gt;=Kalemler!$D172),AND(DATE(YEAR((Tahmin!$C$4+55)),MONTH((Tahmin!$C$4+55)),MIN(DAY(Kalemler!$D172),DAY(EOMONTH((Tahmin!$C$4+55),0))))&gt;=(Tahmin!$C$4+49),DATE(YEAR((Tahmin!$C$4+55)),MONTH((Tahmin!$C$4+55)),MIN(DAY(Kalemler!$D172),DAY(EOMONTH((Tahmin!$C$4+55),0))))&lt;=(Tahmin!$C$4+55),DATE(YEAR((Tahmin!$C$4+55)),MONTH((Tahmin!$C$4+55)),MIN(DAY(Kalemler!$D172),DAY(EOMONTH((Tahmin!$C$4+55),0))))&lt;&gt;DATE(YEAR((Tahmin!$C$4+49)),MONTH((Tahmin!$C$4+49)),MIN(DAY(Kalemler!$D172),DAY(EOMONTH((Tahmin!$C$4+49),0)))),DATE(YEAR((Tahmin!$C$4+55)),MONTH((Tahmin!$C$4+55)),MIN(DAY(Kalemler!$D172),DAY(EOMONTH((Tahmin!$C$4+55),0))))&gt;=Kalemler!$D172)),1,0),IF(AND(Kalemler!$D172&gt;=(Tahmin!$C$4+49),Kalemler!$D172&lt;=(Tahmin!$C$4+55)),1,0))))</f>
        <v>0</v>
      </c>
      <c r="J172" s="0" t="n">
        <f aca="false">IF(OR(Kalemler!$A172="",Kalemler!$C172="",Kalemler!$D172=""),0,Kalemler!$C172*IF(Kalemler!$E172="Haftalık",IF(Kalemler!$D172&lt;=(Tahmin!$C$4+62),1,0),IF(Kalemler!$E172="Aylık",IF(OR(AND(DATE(YEAR((Tahmin!$C$4+56)),MONTH((Tahmin!$C$4+56)),MIN(DAY(Kalemler!$D172),DAY(EOMONTH((Tahmin!$C$4+56),0))))&gt;=(Tahmin!$C$4+56),DATE(YEAR((Tahmin!$C$4+56)),MONTH((Tahmin!$C$4+56)),MIN(DAY(Kalemler!$D172),DAY(EOMONTH((Tahmin!$C$4+56),0))))&lt;=(Tahmin!$C$4+62),DATE(YEAR((Tahmin!$C$4+56)),MONTH((Tahmin!$C$4+56)),MIN(DAY(Kalemler!$D172),DAY(EOMONTH((Tahmin!$C$4+56),0))))&gt;=Kalemler!$D172),AND(DATE(YEAR((Tahmin!$C$4+62)),MONTH((Tahmin!$C$4+62)),MIN(DAY(Kalemler!$D172),DAY(EOMONTH((Tahmin!$C$4+62),0))))&gt;=(Tahmin!$C$4+56),DATE(YEAR((Tahmin!$C$4+62)),MONTH((Tahmin!$C$4+62)),MIN(DAY(Kalemler!$D172),DAY(EOMONTH((Tahmin!$C$4+62),0))))&lt;=(Tahmin!$C$4+62),DATE(YEAR((Tahmin!$C$4+62)),MONTH((Tahmin!$C$4+62)),MIN(DAY(Kalemler!$D172),DAY(EOMONTH((Tahmin!$C$4+62),0))))&lt;&gt;DATE(YEAR((Tahmin!$C$4+56)),MONTH((Tahmin!$C$4+56)),MIN(DAY(Kalemler!$D172),DAY(EOMONTH((Tahmin!$C$4+56),0)))),DATE(YEAR((Tahmin!$C$4+62)),MONTH((Tahmin!$C$4+62)),MIN(DAY(Kalemler!$D172),DAY(EOMONTH((Tahmin!$C$4+62),0))))&gt;=Kalemler!$D172)),1,0),IF(AND(Kalemler!$D172&gt;=(Tahmin!$C$4+56),Kalemler!$D172&lt;=(Tahmin!$C$4+62)),1,0))))</f>
        <v>0</v>
      </c>
      <c r="K172" s="0" t="n">
        <f aca="false">IF(OR(Kalemler!$A172="",Kalemler!$C172="",Kalemler!$D172=""),0,Kalemler!$C172*IF(Kalemler!$E172="Haftalık",IF(Kalemler!$D172&lt;=(Tahmin!$C$4+69),1,0),IF(Kalemler!$E172="Aylık",IF(OR(AND(DATE(YEAR((Tahmin!$C$4+63)),MONTH((Tahmin!$C$4+63)),MIN(DAY(Kalemler!$D172),DAY(EOMONTH((Tahmin!$C$4+63),0))))&gt;=(Tahmin!$C$4+63),DATE(YEAR((Tahmin!$C$4+63)),MONTH((Tahmin!$C$4+63)),MIN(DAY(Kalemler!$D172),DAY(EOMONTH((Tahmin!$C$4+63),0))))&lt;=(Tahmin!$C$4+69),DATE(YEAR((Tahmin!$C$4+63)),MONTH((Tahmin!$C$4+63)),MIN(DAY(Kalemler!$D172),DAY(EOMONTH((Tahmin!$C$4+63),0))))&gt;=Kalemler!$D172),AND(DATE(YEAR((Tahmin!$C$4+69)),MONTH((Tahmin!$C$4+69)),MIN(DAY(Kalemler!$D172),DAY(EOMONTH((Tahmin!$C$4+69),0))))&gt;=(Tahmin!$C$4+63),DATE(YEAR((Tahmin!$C$4+69)),MONTH((Tahmin!$C$4+69)),MIN(DAY(Kalemler!$D172),DAY(EOMONTH((Tahmin!$C$4+69),0))))&lt;=(Tahmin!$C$4+69),DATE(YEAR((Tahmin!$C$4+69)),MONTH((Tahmin!$C$4+69)),MIN(DAY(Kalemler!$D172),DAY(EOMONTH((Tahmin!$C$4+69),0))))&lt;&gt;DATE(YEAR((Tahmin!$C$4+63)),MONTH((Tahmin!$C$4+63)),MIN(DAY(Kalemler!$D172),DAY(EOMONTH((Tahmin!$C$4+63),0)))),DATE(YEAR((Tahmin!$C$4+69)),MONTH((Tahmin!$C$4+69)),MIN(DAY(Kalemler!$D172),DAY(EOMONTH((Tahmin!$C$4+69),0))))&gt;=Kalemler!$D172)),1,0),IF(AND(Kalemler!$D172&gt;=(Tahmin!$C$4+63),Kalemler!$D172&lt;=(Tahmin!$C$4+69)),1,0))))</f>
        <v>0</v>
      </c>
      <c r="L172" s="0" t="n">
        <f aca="false">IF(OR(Kalemler!$A172="",Kalemler!$C172="",Kalemler!$D172=""),0,Kalemler!$C172*IF(Kalemler!$E172="Haftalık",IF(Kalemler!$D172&lt;=(Tahmin!$C$4+76),1,0),IF(Kalemler!$E172="Aylık",IF(OR(AND(DATE(YEAR((Tahmin!$C$4+70)),MONTH((Tahmin!$C$4+70)),MIN(DAY(Kalemler!$D172),DAY(EOMONTH((Tahmin!$C$4+70),0))))&gt;=(Tahmin!$C$4+70),DATE(YEAR((Tahmin!$C$4+70)),MONTH((Tahmin!$C$4+70)),MIN(DAY(Kalemler!$D172),DAY(EOMONTH((Tahmin!$C$4+70),0))))&lt;=(Tahmin!$C$4+76),DATE(YEAR((Tahmin!$C$4+70)),MONTH((Tahmin!$C$4+70)),MIN(DAY(Kalemler!$D172),DAY(EOMONTH((Tahmin!$C$4+70),0))))&gt;=Kalemler!$D172),AND(DATE(YEAR((Tahmin!$C$4+76)),MONTH((Tahmin!$C$4+76)),MIN(DAY(Kalemler!$D172),DAY(EOMONTH((Tahmin!$C$4+76),0))))&gt;=(Tahmin!$C$4+70),DATE(YEAR((Tahmin!$C$4+76)),MONTH((Tahmin!$C$4+76)),MIN(DAY(Kalemler!$D172),DAY(EOMONTH((Tahmin!$C$4+76),0))))&lt;=(Tahmin!$C$4+76),DATE(YEAR((Tahmin!$C$4+76)),MONTH((Tahmin!$C$4+76)),MIN(DAY(Kalemler!$D172),DAY(EOMONTH((Tahmin!$C$4+76),0))))&lt;&gt;DATE(YEAR((Tahmin!$C$4+70)),MONTH((Tahmin!$C$4+70)),MIN(DAY(Kalemler!$D172),DAY(EOMONTH((Tahmin!$C$4+70),0)))),DATE(YEAR((Tahmin!$C$4+76)),MONTH((Tahmin!$C$4+76)),MIN(DAY(Kalemler!$D172),DAY(EOMONTH((Tahmin!$C$4+76),0))))&gt;=Kalemler!$D172)),1,0),IF(AND(Kalemler!$D172&gt;=(Tahmin!$C$4+70),Kalemler!$D172&lt;=(Tahmin!$C$4+76)),1,0))))</f>
        <v>0</v>
      </c>
      <c r="M172" s="0" t="n">
        <f aca="false">IF(OR(Kalemler!$A172="",Kalemler!$C172="",Kalemler!$D172=""),0,Kalemler!$C172*IF(Kalemler!$E172="Haftalık",IF(Kalemler!$D172&lt;=(Tahmin!$C$4+83),1,0),IF(Kalemler!$E172="Aylık",IF(OR(AND(DATE(YEAR((Tahmin!$C$4+77)),MONTH((Tahmin!$C$4+77)),MIN(DAY(Kalemler!$D172),DAY(EOMONTH((Tahmin!$C$4+77),0))))&gt;=(Tahmin!$C$4+77),DATE(YEAR((Tahmin!$C$4+77)),MONTH((Tahmin!$C$4+77)),MIN(DAY(Kalemler!$D172),DAY(EOMONTH((Tahmin!$C$4+77),0))))&lt;=(Tahmin!$C$4+83),DATE(YEAR((Tahmin!$C$4+77)),MONTH((Tahmin!$C$4+77)),MIN(DAY(Kalemler!$D172),DAY(EOMONTH((Tahmin!$C$4+77),0))))&gt;=Kalemler!$D172),AND(DATE(YEAR((Tahmin!$C$4+83)),MONTH((Tahmin!$C$4+83)),MIN(DAY(Kalemler!$D172),DAY(EOMONTH((Tahmin!$C$4+83),0))))&gt;=(Tahmin!$C$4+77),DATE(YEAR((Tahmin!$C$4+83)),MONTH((Tahmin!$C$4+83)),MIN(DAY(Kalemler!$D172),DAY(EOMONTH((Tahmin!$C$4+83),0))))&lt;=(Tahmin!$C$4+83),DATE(YEAR((Tahmin!$C$4+83)),MONTH((Tahmin!$C$4+83)),MIN(DAY(Kalemler!$D172),DAY(EOMONTH((Tahmin!$C$4+83),0))))&lt;&gt;DATE(YEAR((Tahmin!$C$4+77)),MONTH((Tahmin!$C$4+77)),MIN(DAY(Kalemler!$D172),DAY(EOMONTH((Tahmin!$C$4+77),0)))),DATE(YEAR((Tahmin!$C$4+83)),MONTH((Tahmin!$C$4+83)),MIN(DAY(Kalemler!$D172),DAY(EOMONTH((Tahmin!$C$4+83),0))))&gt;=Kalemler!$D172)),1,0),IF(AND(Kalemler!$D172&gt;=(Tahmin!$C$4+77),Kalemler!$D172&lt;=(Tahmin!$C$4+83)),1,0))))</f>
        <v>0</v>
      </c>
      <c r="N172" s="0" t="n">
        <f aca="false">IF(OR(Kalemler!$A172="",Kalemler!$C172="",Kalemler!$D172=""),0,Kalemler!$C172*IF(Kalemler!$E172="Haftalık",IF(Kalemler!$D172&lt;=(Tahmin!$C$4+90),1,0),IF(Kalemler!$E172="Aylık",IF(OR(AND(DATE(YEAR((Tahmin!$C$4+84)),MONTH((Tahmin!$C$4+84)),MIN(DAY(Kalemler!$D172),DAY(EOMONTH((Tahmin!$C$4+84),0))))&gt;=(Tahmin!$C$4+84),DATE(YEAR((Tahmin!$C$4+84)),MONTH((Tahmin!$C$4+84)),MIN(DAY(Kalemler!$D172),DAY(EOMONTH((Tahmin!$C$4+84),0))))&lt;=(Tahmin!$C$4+90),DATE(YEAR((Tahmin!$C$4+84)),MONTH((Tahmin!$C$4+84)),MIN(DAY(Kalemler!$D172),DAY(EOMONTH((Tahmin!$C$4+84),0))))&gt;=Kalemler!$D172),AND(DATE(YEAR((Tahmin!$C$4+90)),MONTH((Tahmin!$C$4+90)),MIN(DAY(Kalemler!$D172),DAY(EOMONTH((Tahmin!$C$4+90),0))))&gt;=(Tahmin!$C$4+84),DATE(YEAR((Tahmin!$C$4+90)),MONTH((Tahmin!$C$4+90)),MIN(DAY(Kalemler!$D172),DAY(EOMONTH((Tahmin!$C$4+90),0))))&lt;=(Tahmin!$C$4+90),DATE(YEAR((Tahmin!$C$4+90)),MONTH((Tahmin!$C$4+90)),MIN(DAY(Kalemler!$D172),DAY(EOMONTH((Tahmin!$C$4+90),0))))&lt;&gt;DATE(YEAR((Tahmin!$C$4+84)),MONTH((Tahmin!$C$4+84)),MIN(DAY(Kalemler!$D172),DAY(EOMONTH((Tahmin!$C$4+84),0)))),DATE(YEAR((Tahmin!$C$4+90)),MONTH((Tahmin!$C$4+90)),MIN(DAY(Kalemler!$D172),DAY(EOMONTH((Tahmin!$C$4+90),0))))&gt;=Kalemler!$D172)),1,0),IF(AND(Kalemler!$D172&gt;=(Tahmin!$C$4+84),Kalemler!$D172&lt;=(Tahmin!$C$4+90)),1,0))))</f>
        <v>0</v>
      </c>
    </row>
    <row r="173" customFormat="false" ht="15" hidden="false" customHeight="false" outlineLevel="0" collapsed="false">
      <c r="A173" s="0" t="str">
        <f aca="false">IF(Kalemler!A173="","",Kalemler!A173)</f>
        <v/>
      </c>
      <c r="B173" s="0" t="n">
        <f aca="false">IF(OR(Kalemler!$A173="",Kalemler!$C173="",Kalemler!$D173=""),0,Kalemler!$C173*IF(Kalemler!$E173="Haftalık",IF(Kalemler!$D173&lt;=(Tahmin!$C$4+6),1,0),IF(Kalemler!$E173="Aylık",IF(OR(AND(DATE(YEAR((Tahmin!$C$4+0)),MONTH((Tahmin!$C$4+0)),MIN(DAY(Kalemler!$D173),DAY(EOMONTH((Tahmin!$C$4+0),0))))&gt;=(Tahmin!$C$4+0),DATE(YEAR((Tahmin!$C$4+0)),MONTH((Tahmin!$C$4+0)),MIN(DAY(Kalemler!$D173),DAY(EOMONTH((Tahmin!$C$4+0),0))))&lt;=(Tahmin!$C$4+6),DATE(YEAR((Tahmin!$C$4+0)),MONTH((Tahmin!$C$4+0)),MIN(DAY(Kalemler!$D173),DAY(EOMONTH((Tahmin!$C$4+0),0))))&gt;=Kalemler!$D173),AND(DATE(YEAR((Tahmin!$C$4+6)),MONTH((Tahmin!$C$4+6)),MIN(DAY(Kalemler!$D173),DAY(EOMONTH((Tahmin!$C$4+6),0))))&gt;=(Tahmin!$C$4+0),DATE(YEAR((Tahmin!$C$4+6)),MONTH((Tahmin!$C$4+6)),MIN(DAY(Kalemler!$D173),DAY(EOMONTH((Tahmin!$C$4+6),0))))&lt;=(Tahmin!$C$4+6),DATE(YEAR((Tahmin!$C$4+6)),MONTH((Tahmin!$C$4+6)),MIN(DAY(Kalemler!$D173),DAY(EOMONTH((Tahmin!$C$4+6),0))))&lt;&gt;DATE(YEAR((Tahmin!$C$4+0)),MONTH((Tahmin!$C$4+0)),MIN(DAY(Kalemler!$D173),DAY(EOMONTH((Tahmin!$C$4+0),0)))),DATE(YEAR((Tahmin!$C$4+6)),MONTH((Tahmin!$C$4+6)),MIN(DAY(Kalemler!$D173),DAY(EOMONTH((Tahmin!$C$4+6),0))))&gt;=Kalemler!$D173)),1,0),IF(AND(Kalemler!$D173&gt;=(Tahmin!$C$4+0),Kalemler!$D173&lt;=(Tahmin!$C$4+6)),1,0))))</f>
        <v>0</v>
      </c>
      <c r="C173" s="0" t="n">
        <f aca="false">IF(OR(Kalemler!$A173="",Kalemler!$C173="",Kalemler!$D173=""),0,Kalemler!$C173*IF(Kalemler!$E173="Haftalık",IF(Kalemler!$D173&lt;=(Tahmin!$C$4+13),1,0),IF(Kalemler!$E173="Aylık",IF(OR(AND(DATE(YEAR((Tahmin!$C$4+7)),MONTH((Tahmin!$C$4+7)),MIN(DAY(Kalemler!$D173),DAY(EOMONTH((Tahmin!$C$4+7),0))))&gt;=(Tahmin!$C$4+7),DATE(YEAR((Tahmin!$C$4+7)),MONTH((Tahmin!$C$4+7)),MIN(DAY(Kalemler!$D173),DAY(EOMONTH((Tahmin!$C$4+7),0))))&lt;=(Tahmin!$C$4+13),DATE(YEAR((Tahmin!$C$4+7)),MONTH((Tahmin!$C$4+7)),MIN(DAY(Kalemler!$D173),DAY(EOMONTH((Tahmin!$C$4+7),0))))&gt;=Kalemler!$D173),AND(DATE(YEAR((Tahmin!$C$4+13)),MONTH((Tahmin!$C$4+13)),MIN(DAY(Kalemler!$D173),DAY(EOMONTH((Tahmin!$C$4+13),0))))&gt;=(Tahmin!$C$4+7),DATE(YEAR((Tahmin!$C$4+13)),MONTH((Tahmin!$C$4+13)),MIN(DAY(Kalemler!$D173),DAY(EOMONTH((Tahmin!$C$4+13),0))))&lt;=(Tahmin!$C$4+13),DATE(YEAR((Tahmin!$C$4+13)),MONTH((Tahmin!$C$4+13)),MIN(DAY(Kalemler!$D173),DAY(EOMONTH((Tahmin!$C$4+13),0))))&lt;&gt;DATE(YEAR((Tahmin!$C$4+7)),MONTH((Tahmin!$C$4+7)),MIN(DAY(Kalemler!$D173),DAY(EOMONTH((Tahmin!$C$4+7),0)))),DATE(YEAR((Tahmin!$C$4+13)),MONTH((Tahmin!$C$4+13)),MIN(DAY(Kalemler!$D173),DAY(EOMONTH((Tahmin!$C$4+13),0))))&gt;=Kalemler!$D173)),1,0),IF(AND(Kalemler!$D173&gt;=(Tahmin!$C$4+7),Kalemler!$D173&lt;=(Tahmin!$C$4+13)),1,0))))</f>
        <v>0</v>
      </c>
      <c r="D173" s="0" t="n">
        <f aca="false">IF(OR(Kalemler!$A173="",Kalemler!$C173="",Kalemler!$D173=""),0,Kalemler!$C173*IF(Kalemler!$E173="Haftalık",IF(Kalemler!$D173&lt;=(Tahmin!$C$4+20),1,0),IF(Kalemler!$E173="Aylık",IF(OR(AND(DATE(YEAR((Tahmin!$C$4+14)),MONTH((Tahmin!$C$4+14)),MIN(DAY(Kalemler!$D173),DAY(EOMONTH((Tahmin!$C$4+14),0))))&gt;=(Tahmin!$C$4+14),DATE(YEAR((Tahmin!$C$4+14)),MONTH((Tahmin!$C$4+14)),MIN(DAY(Kalemler!$D173),DAY(EOMONTH((Tahmin!$C$4+14),0))))&lt;=(Tahmin!$C$4+20),DATE(YEAR((Tahmin!$C$4+14)),MONTH((Tahmin!$C$4+14)),MIN(DAY(Kalemler!$D173),DAY(EOMONTH((Tahmin!$C$4+14),0))))&gt;=Kalemler!$D173),AND(DATE(YEAR((Tahmin!$C$4+20)),MONTH((Tahmin!$C$4+20)),MIN(DAY(Kalemler!$D173),DAY(EOMONTH((Tahmin!$C$4+20),0))))&gt;=(Tahmin!$C$4+14),DATE(YEAR((Tahmin!$C$4+20)),MONTH((Tahmin!$C$4+20)),MIN(DAY(Kalemler!$D173),DAY(EOMONTH((Tahmin!$C$4+20),0))))&lt;=(Tahmin!$C$4+20),DATE(YEAR((Tahmin!$C$4+20)),MONTH((Tahmin!$C$4+20)),MIN(DAY(Kalemler!$D173),DAY(EOMONTH((Tahmin!$C$4+20),0))))&lt;&gt;DATE(YEAR((Tahmin!$C$4+14)),MONTH((Tahmin!$C$4+14)),MIN(DAY(Kalemler!$D173),DAY(EOMONTH((Tahmin!$C$4+14),0)))),DATE(YEAR((Tahmin!$C$4+20)),MONTH((Tahmin!$C$4+20)),MIN(DAY(Kalemler!$D173),DAY(EOMONTH((Tahmin!$C$4+20),0))))&gt;=Kalemler!$D173)),1,0),IF(AND(Kalemler!$D173&gt;=(Tahmin!$C$4+14),Kalemler!$D173&lt;=(Tahmin!$C$4+20)),1,0))))</f>
        <v>0</v>
      </c>
      <c r="E173" s="0" t="n">
        <f aca="false">IF(OR(Kalemler!$A173="",Kalemler!$C173="",Kalemler!$D173=""),0,Kalemler!$C173*IF(Kalemler!$E173="Haftalık",IF(Kalemler!$D173&lt;=(Tahmin!$C$4+27),1,0),IF(Kalemler!$E173="Aylık",IF(OR(AND(DATE(YEAR((Tahmin!$C$4+21)),MONTH((Tahmin!$C$4+21)),MIN(DAY(Kalemler!$D173),DAY(EOMONTH((Tahmin!$C$4+21),0))))&gt;=(Tahmin!$C$4+21),DATE(YEAR((Tahmin!$C$4+21)),MONTH((Tahmin!$C$4+21)),MIN(DAY(Kalemler!$D173),DAY(EOMONTH((Tahmin!$C$4+21),0))))&lt;=(Tahmin!$C$4+27),DATE(YEAR((Tahmin!$C$4+21)),MONTH((Tahmin!$C$4+21)),MIN(DAY(Kalemler!$D173),DAY(EOMONTH((Tahmin!$C$4+21),0))))&gt;=Kalemler!$D173),AND(DATE(YEAR((Tahmin!$C$4+27)),MONTH((Tahmin!$C$4+27)),MIN(DAY(Kalemler!$D173),DAY(EOMONTH((Tahmin!$C$4+27),0))))&gt;=(Tahmin!$C$4+21),DATE(YEAR((Tahmin!$C$4+27)),MONTH((Tahmin!$C$4+27)),MIN(DAY(Kalemler!$D173),DAY(EOMONTH((Tahmin!$C$4+27),0))))&lt;=(Tahmin!$C$4+27),DATE(YEAR((Tahmin!$C$4+27)),MONTH((Tahmin!$C$4+27)),MIN(DAY(Kalemler!$D173),DAY(EOMONTH((Tahmin!$C$4+27),0))))&lt;&gt;DATE(YEAR((Tahmin!$C$4+21)),MONTH((Tahmin!$C$4+21)),MIN(DAY(Kalemler!$D173),DAY(EOMONTH((Tahmin!$C$4+21),0)))),DATE(YEAR((Tahmin!$C$4+27)),MONTH((Tahmin!$C$4+27)),MIN(DAY(Kalemler!$D173),DAY(EOMONTH((Tahmin!$C$4+27),0))))&gt;=Kalemler!$D173)),1,0),IF(AND(Kalemler!$D173&gt;=(Tahmin!$C$4+21),Kalemler!$D173&lt;=(Tahmin!$C$4+27)),1,0))))</f>
        <v>0</v>
      </c>
      <c r="F173" s="0" t="n">
        <f aca="false">IF(OR(Kalemler!$A173="",Kalemler!$C173="",Kalemler!$D173=""),0,Kalemler!$C173*IF(Kalemler!$E173="Haftalık",IF(Kalemler!$D173&lt;=(Tahmin!$C$4+34),1,0),IF(Kalemler!$E173="Aylık",IF(OR(AND(DATE(YEAR((Tahmin!$C$4+28)),MONTH((Tahmin!$C$4+28)),MIN(DAY(Kalemler!$D173),DAY(EOMONTH((Tahmin!$C$4+28),0))))&gt;=(Tahmin!$C$4+28),DATE(YEAR((Tahmin!$C$4+28)),MONTH((Tahmin!$C$4+28)),MIN(DAY(Kalemler!$D173),DAY(EOMONTH((Tahmin!$C$4+28),0))))&lt;=(Tahmin!$C$4+34),DATE(YEAR((Tahmin!$C$4+28)),MONTH((Tahmin!$C$4+28)),MIN(DAY(Kalemler!$D173),DAY(EOMONTH((Tahmin!$C$4+28),0))))&gt;=Kalemler!$D173),AND(DATE(YEAR((Tahmin!$C$4+34)),MONTH((Tahmin!$C$4+34)),MIN(DAY(Kalemler!$D173),DAY(EOMONTH((Tahmin!$C$4+34),0))))&gt;=(Tahmin!$C$4+28),DATE(YEAR((Tahmin!$C$4+34)),MONTH((Tahmin!$C$4+34)),MIN(DAY(Kalemler!$D173),DAY(EOMONTH((Tahmin!$C$4+34),0))))&lt;=(Tahmin!$C$4+34),DATE(YEAR((Tahmin!$C$4+34)),MONTH((Tahmin!$C$4+34)),MIN(DAY(Kalemler!$D173),DAY(EOMONTH((Tahmin!$C$4+34),0))))&lt;&gt;DATE(YEAR((Tahmin!$C$4+28)),MONTH((Tahmin!$C$4+28)),MIN(DAY(Kalemler!$D173),DAY(EOMONTH((Tahmin!$C$4+28),0)))),DATE(YEAR((Tahmin!$C$4+34)),MONTH((Tahmin!$C$4+34)),MIN(DAY(Kalemler!$D173),DAY(EOMONTH((Tahmin!$C$4+34),0))))&gt;=Kalemler!$D173)),1,0),IF(AND(Kalemler!$D173&gt;=(Tahmin!$C$4+28),Kalemler!$D173&lt;=(Tahmin!$C$4+34)),1,0))))</f>
        <v>0</v>
      </c>
      <c r="G173" s="0" t="n">
        <f aca="false">IF(OR(Kalemler!$A173="",Kalemler!$C173="",Kalemler!$D173=""),0,Kalemler!$C173*IF(Kalemler!$E173="Haftalık",IF(Kalemler!$D173&lt;=(Tahmin!$C$4+41),1,0),IF(Kalemler!$E173="Aylık",IF(OR(AND(DATE(YEAR((Tahmin!$C$4+35)),MONTH((Tahmin!$C$4+35)),MIN(DAY(Kalemler!$D173),DAY(EOMONTH((Tahmin!$C$4+35),0))))&gt;=(Tahmin!$C$4+35),DATE(YEAR((Tahmin!$C$4+35)),MONTH((Tahmin!$C$4+35)),MIN(DAY(Kalemler!$D173),DAY(EOMONTH((Tahmin!$C$4+35),0))))&lt;=(Tahmin!$C$4+41),DATE(YEAR((Tahmin!$C$4+35)),MONTH((Tahmin!$C$4+35)),MIN(DAY(Kalemler!$D173),DAY(EOMONTH((Tahmin!$C$4+35),0))))&gt;=Kalemler!$D173),AND(DATE(YEAR((Tahmin!$C$4+41)),MONTH((Tahmin!$C$4+41)),MIN(DAY(Kalemler!$D173),DAY(EOMONTH((Tahmin!$C$4+41),0))))&gt;=(Tahmin!$C$4+35),DATE(YEAR((Tahmin!$C$4+41)),MONTH((Tahmin!$C$4+41)),MIN(DAY(Kalemler!$D173),DAY(EOMONTH((Tahmin!$C$4+41),0))))&lt;=(Tahmin!$C$4+41),DATE(YEAR((Tahmin!$C$4+41)),MONTH((Tahmin!$C$4+41)),MIN(DAY(Kalemler!$D173),DAY(EOMONTH((Tahmin!$C$4+41),0))))&lt;&gt;DATE(YEAR((Tahmin!$C$4+35)),MONTH((Tahmin!$C$4+35)),MIN(DAY(Kalemler!$D173),DAY(EOMONTH((Tahmin!$C$4+35),0)))),DATE(YEAR((Tahmin!$C$4+41)),MONTH((Tahmin!$C$4+41)),MIN(DAY(Kalemler!$D173),DAY(EOMONTH((Tahmin!$C$4+41),0))))&gt;=Kalemler!$D173)),1,0),IF(AND(Kalemler!$D173&gt;=(Tahmin!$C$4+35),Kalemler!$D173&lt;=(Tahmin!$C$4+41)),1,0))))</f>
        <v>0</v>
      </c>
      <c r="H173" s="0" t="n">
        <f aca="false">IF(OR(Kalemler!$A173="",Kalemler!$C173="",Kalemler!$D173=""),0,Kalemler!$C173*IF(Kalemler!$E173="Haftalık",IF(Kalemler!$D173&lt;=(Tahmin!$C$4+48),1,0),IF(Kalemler!$E173="Aylık",IF(OR(AND(DATE(YEAR((Tahmin!$C$4+42)),MONTH((Tahmin!$C$4+42)),MIN(DAY(Kalemler!$D173),DAY(EOMONTH((Tahmin!$C$4+42),0))))&gt;=(Tahmin!$C$4+42),DATE(YEAR((Tahmin!$C$4+42)),MONTH((Tahmin!$C$4+42)),MIN(DAY(Kalemler!$D173),DAY(EOMONTH((Tahmin!$C$4+42),0))))&lt;=(Tahmin!$C$4+48),DATE(YEAR((Tahmin!$C$4+42)),MONTH((Tahmin!$C$4+42)),MIN(DAY(Kalemler!$D173),DAY(EOMONTH((Tahmin!$C$4+42),0))))&gt;=Kalemler!$D173),AND(DATE(YEAR((Tahmin!$C$4+48)),MONTH((Tahmin!$C$4+48)),MIN(DAY(Kalemler!$D173),DAY(EOMONTH((Tahmin!$C$4+48),0))))&gt;=(Tahmin!$C$4+42),DATE(YEAR((Tahmin!$C$4+48)),MONTH((Tahmin!$C$4+48)),MIN(DAY(Kalemler!$D173),DAY(EOMONTH((Tahmin!$C$4+48),0))))&lt;=(Tahmin!$C$4+48),DATE(YEAR((Tahmin!$C$4+48)),MONTH((Tahmin!$C$4+48)),MIN(DAY(Kalemler!$D173),DAY(EOMONTH((Tahmin!$C$4+48),0))))&lt;&gt;DATE(YEAR((Tahmin!$C$4+42)),MONTH((Tahmin!$C$4+42)),MIN(DAY(Kalemler!$D173),DAY(EOMONTH((Tahmin!$C$4+42),0)))),DATE(YEAR((Tahmin!$C$4+48)),MONTH((Tahmin!$C$4+48)),MIN(DAY(Kalemler!$D173),DAY(EOMONTH((Tahmin!$C$4+48),0))))&gt;=Kalemler!$D173)),1,0),IF(AND(Kalemler!$D173&gt;=(Tahmin!$C$4+42),Kalemler!$D173&lt;=(Tahmin!$C$4+48)),1,0))))</f>
        <v>0</v>
      </c>
      <c r="I173" s="0" t="n">
        <f aca="false">IF(OR(Kalemler!$A173="",Kalemler!$C173="",Kalemler!$D173=""),0,Kalemler!$C173*IF(Kalemler!$E173="Haftalık",IF(Kalemler!$D173&lt;=(Tahmin!$C$4+55),1,0),IF(Kalemler!$E173="Aylık",IF(OR(AND(DATE(YEAR((Tahmin!$C$4+49)),MONTH((Tahmin!$C$4+49)),MIN(DAY(Kalemler!$D173),DAY(EOMONTH((Tahmin!$C$4+49),0))))&gt;=(Tahmin!$C$4+49),DATE(YEAR((Tahmin!$C$4+49)),MONTH((Tahmin!$C$4+49)),MIN(DAY(Kalemler!$D173),DAY(EOMONTH((Tahmin!$C$4+49),0))))&lt;=(Tahmin!$C$4+55),DATE(YEAR((Tahmin!$C$4+49)),MONTH((Tahmin!$C$4+49)),MIN(DAY(Kalemler!$D173),DAY(EOMONTH((Tahmin!$C$4+49),0))))&gt;=Kalemler!$D173),AND(DATE(YEAR((Tahmin!$C$4+55)),MONTH((Tahmin!$C$4+55)),MIN(DAY(Kalemler!$D173),DAY(EOMONTH((Tahmin!$C$4+55),0))))&gt;=(Tahmin!$C$4+49),DATE(YEAR((Tahmin!$C$4+55)),MONTH((Tahmin!$C$4+55)),MIN(DAY(Kalemler!$D173),DAY(EOMONTH((Tahmin!$C$4+55),0))))&lt;=(Tahmin!$C$4+55),DATE(YEAR((Tahmin!$C$4+55)),MONTH((Tahmin!$C$4+55)),MIN(DAY(Kalemler!$D173),DAY(EOMONTH((Tahmin!$C$4+55),0))))&lt;&gt;DATE(YEAR((Tahmin!$C$4+49)),MONTH((Tahmin!$C$4+49)),MIN(DAY(Kalemler!$D173),DAY(EOMONTH((Tahmin!$C$4+49),0)))),DATE(YEAR((Tahmin!$C$4+55)),MONTH((Tahmin!$C$4+55)),MIN(DAY(Kalemler!$D173),DAY(EOMONTH((Tahmin!$C$4+55),0))))&gt;=Kalemler!$D173)),1,0),IF(AND(Kalemler!$D173&gt;=(Tahmin!$C$4+49),Kalemler!$D173&lt;=(Tahmin!$C$4+55)),1,0))))</f>
        <v>0</v>
      </c>
      <c r="J173" s="0" t="n">
        <f aca="false">IF(OR(Kalemler!$A173="",Kalemler!$C173="",Kalemler!$D173=""),0,Kalemler!$C173*IF(Kalemler!$E173="Haftalık",IF(Kalemler!$D173&lt;=(Tahmin!$C$4+62),1,0),IF(Kalemler!$E173="Aylık",IF(OR(AND(DATE(YEAR((Tahmin!$C$4+56)),MONTH((Tahmin!$C$4+56)),MIN(DAY(Kalemler!$D173),DAY(EOMONTH((Tahmin!$C$4+56),0))))&gt;=(Tahmin!$C$4+56),DATE(YEAR((Tahmin!$C$4+56)),MONTH((Tahmin!$C$4+56)),MIN(DAY(Kalemler!$D173),DAY(EOMONTH((Tahmin!$C$4+56),0))))&lt;=(Tahmin!$C$4+62),DATE(YEAR((Tahmin!$C$4+56)),MONTH((Tahmin!$C$4+56)),MIN(DAY(Kalemler!$D173),DAY(EOMONTH((Tahmin!$C$4+56),0))))&gt;=Kalemler!$D173),AND(DATE(YEAR((Tahmin!$C$4+62)),MONTH((Tahmin!$C$4+62)),MIN(DAY(Kalemler!$D173),DAY(EOMONTH((Tahmin!$C$4+62),0))))&gt;=(Tahmin!$C$4+56),DATE(YEAR((Tahmin!$C$4+62)),MONTH((Tahmin!$C$4+62)),MIN(DAY(Kalemler!$D173),DAY(EOMONTH((Tahmin!$C$4+62),0))))&lt;=(Tahmin!$C$4+62),DATE(YEAR((Tahmin!$C$4+62)),MONTH((Tahmin!$C$4+62)),MIN(DAY(Kalemler!$D173),DAY(EOMONTH((Tahmin!$C$4+62),0))))&lt;&gt;DATE(YEAR((Tahmin!$C$4+56)),MONTH((Tahmin!$C$4+56)),MIN(DAY(Kalemler!$D173),DAY(EOMONTH((Tahmin!$C$4+56),0)))),DATE(YEAR((Tahmin!$C$4+62)),MONTH((Tahmin!$C$4+62)),MIN(DAY(Kalemler!$D173),DAY(EOMONTH((Tahmin!$C$4+62),0))))&gt;=Kalemler!$D173)),1,0),IF(AND(Kalemler!$D173&gt;=(Tahmin!$C$4+56),Kalemler!$D173&lt;=(Tahmin!$C$4+62)),1,0))))</f>
        <v>0</v>
      </c>
      <c r="K173" s="0" t="n">
        <f aca="false">IF(OR(Kalemler!$A173="",Kalemler!$C173="",Kalemler!$D173=""),0,Kalemler!$C173*IF(Kalemler!$E173="Haftalık",IF(Kalemler!$D173&lt;=(Tahmin!$C$4+69),1,0),IF(Kalemler!$E173="Aylık",IF(OR(AND(DATE(YEAR((Tahmin!$C$4+63)),MONTH((Tahmin!$C$4+63)),MIN(DAY(Kalemler!$D173),DAY(EOMONTH((Tahmin!$C$4+63),0))))&gt;=(Tahmin!$C$4+63),DATE(YEAR((Tahmin!$C$4+63)),MONTH((Tahmin!$C$4+63)),MIN(DAY(Kalemler!$D173),DAY(EOMONTH((Tahmin!$C$4+63),0))))&lt;=(Tahmin!$C$4+69),DATE(YEAR((Tahmin!$C$4+63)),MONTH((Tahmin!$C$4+63)),MIN(DAY(Kalemler!$D173),DAY(EOMONTH((Tahmin!$C$4+63),0))))&gt;=Kalemler!$D173),AND(DATE(YEAR((Tahmin!$C$4+69)),MONTH((Tahmin!$C$4+69)),MIN(DAY(Kalemler!$D173),DAY(EOMONTH((Tahmin!$C$4+69),0))))&gt;=(Tahmin!$C$4+63),DATE(YEAR((Tahmin!$C$4+69)),MONTH((Tahmin!$C$4+69)),MIN(DAY(Kalemler!$D173),DAY(EOMONTH((Tahmin!$C$4+69),0))))&lt;=(Tahmin!$C$4+69),DATE(YEAR((Tahmin!$C$4+69)),MONTH((Tahmin!$C$4+69)),MIN(DAY(Kalemler!$D173),DAY(EOMONTH((Tahmin!$C$4+69),0))))&lt;&gt;DATE(YEAR((Tahmin!$C$4+63)),MONTH((Tahmin!$C$4+63)),MIN(DAY(Kalemler!$D173),DAY(EOMONTH((Tahmin!$C$4+63),0)))),DATE(YEAR((Tahmin!$C$4+69)),MONTH((Tahmin!$C$4+69)),MIN(DAY(Kalemler!$D173),DAY(EOMONTH((Tahmin!$C$4+69),0))))&gt;=Kalemler!$D173)),1,0),IF(AND(Kalemler!$D173&gt;=(Tahmin!$C$4+63),Kalemler!$D173&lt;=(Tahmin!$C$4+69)),1,0))))</f>
        <v>0</v>
      </c>
      <c r="L173" s="0" t="n">
        <f aca="false">IF(OR(Kalemler!$A173="",Kalemler!$C173="",Kalemler!$D173=""),0,Kalemler!$C173*IF(Kalemler!$E173="Haftalık",IF(Kalemler!$D173&lt;=(Tahmin!$C$4+76),1,0),IF(Kalemler!$E173="Aylık",IF(OR(AND(DATE(YEAR((Tahmin!$C$4+70)),MONTH((Tahmin!$C$4+70)),MIN(DAY(Kalemler!$D173),DAY(EOMONTH((Tahmin!$C$4+70),0))))&gt;=(Tahmin!$C$4+70),DATE(YEAR((Tahmin!$C$4+70)),MONTH((Tahmin!$C$4+70)),MIN(DAY(Kalemler!$D173),DAY(EOMONTH((Tahmin!$C$4+70),0))))&lt;=(Tahmin!$C$4+76),DATE(YEAR((Tahmin!$C$4+70)),MONTH((Tahmin!$C$4+70)),MIN(DAY(Kalemler!$D173),DAY(EOMONTH((Tahmin!$C$4+70),0))))&gt;=Kalemler!$D173),AND(DATE(YEAR((Tahmin!$C$4+76)),MONTH((Tahmin!$C$4+76)),MIN(DAY(Kalemler!$D173),DAY(EOMONTH((Tahmin!$C$4+76),0))))&gt;=(Tahmin!$C$4+70),DATE(YEAR((Tahmin!$C$4+76)),MONTH((Tahmin!$C$4+76)),MIN(DAY(Kalemler!$D173),DAY(EOMONTH((Tahmin!$C$4+76),0))))&lt;=(Tahmin!$C$4+76),DATE(YEAR((Tahmin!$C$4+76)),MONTH((Tahmin!$C$4+76)),MIN(DAY(Kalemler!$D173),DAY(EOMONTH((Tahmin!$C$4+76),0))))&lt;&gt;DATE(YEAR((Tahmin!$C$4+70)),MONTH((Tahmin!$C$4+70)),MIN(DAY(Kalemler!$D173),DAY(EOMONTH((Tahmin!$C$4+70),0)))),DATE(YEAR((Tahmin!$C$4+76)),MONTH((Tahmin!$C$4+76)),MIN(DAY(Kalemler!$D173),DAY(EOMONTH((Tahmin!$C$4+76),0))))&gt;=Kalemler!$D173)),1,0),IF(AND(Kalemler!$D173&gt;=(Tahmin!$C$4+70),Kalemler!$D173&lt;=(Tahmin!$C$4+76)),1,0))))</f>
        <v>0</v>
      </c>
      <c r="M173" s="0" t="n">
        <f aca="false">IF(OR(Kalemler!$A173="",Kalemler!$C173="",Kalemler!$D173=""),0,Kalemler!$C173*IF(Kalemler!$E173="Haftalık",IF(Kalemler!$D173&lt;=(Tahmin!$C$4+83),1,0),IF(Kalemler!$E173="Aylık",IF(OR(AND(DATE(YEAR((Tahmin!$C$4+77)),MONTH((Tahmin!$C$4+77)),MIN(DAY(Kalemler!$D173),DAY(EOMONTH((Tahmin!$C$4+77),0))))&gt;=(Tahmin!$C$4+77),DATE(YEAR((Tahmin!$C$4+77)),MONTH((Tahmin!$C$4+77)),MIN(DAY(Kalemler!$D173),DAY(EOMONTH((Tahmin!$C$4+77),0))))&lt;=(Tahmin!$C$4+83),DATE(YEAR((Tahmin!$C$4+77)),MONTH((Tahmin!$C$4+77)),MIN(DAY(Kalemler!$D173),DAY(EOMONTH((Tahmin!$C$4+77),0))))&gt;=Kalemler!$D173),AND(DATE(YEAR((Tahmin!$C$4+83)),MONTH((Tahmin!$C$4+83)),MIN(DAY(Kalemler!$D173),DAY(EOMONTH((Tahmin!$C$4+83),0))))&gt;=(Tahmin!$C$4+77),DATE(YEAR((Tahmin!$C$4+83)),MONTH((Tahmin!$C$4+83)),MIN(DAY(Kalemler!$D173),DAY(EOMONTH((Tahmin!$C$4+83),0))))&lt;=(Tahmin!$C$4+83),DATE(YEAR((Tahmin!$C$4+83)),MONTH((Tahmin!$C$4+83)),MIN(DAY(Kalemler!$D173),DAY(EOMONTH((Tahmin!$C$4+83),0))))&lt;&gt;DATE(YEAR((Tahmin!$C$4+77)),MONTH((Tahmin!$C$4+77)),MIN(DAY(Kalemler!$D173),DAY(EOMONTH((Tahmin!$C$4+77),0)))),DATE(YEAR((Tahmin!$C$4+83)),MONTH((Tahmin!$C$4+83)),MIN(DAY(Kalemler!$D173),DAY(EOMONTH((Tahmin!$C$4+83),0))))&gt;=Kalemler!$D173)),1,0),IF(AND(Kalemler!$D173&gt;=(Tahmin!$C$4+77),Kalemler!$D173&lt;=(Tahmin!$C$4+83)),1,0))))</f>
        <v>0</v>
      </c>
      <c r="N173" s="0" t="n">
        <f aca="false">IF(OR(Kalemler!$A173="",Kalemler!$C173="",Kalemler!$D173=""),0,Kalemler!$C173*IF(Kalemler!$E173="Haftalık",IF(Kalemler!$D173&lt;=(Tahmin!$C$4+90),1,0),IF(Kalemler!$E173="Aylık",IF(OR(AND(DATE(YEAR((Tahmin!$C$4+84)),MONTH((Tahmin!$C$4+84)),MIN(DAY(Kalemler!$D173),DAY(EOMONTH((Tahmin!$C$4+84),0))))&gt;=(Tahmin!$C$4+84),DATE(YEAR((Tahmin!$C$4+84)),MONTH((Tahmin!$C$4+84)),MIN(DAY(Kalemler!$D173),DAY(EOMONTH((Tahmin!$C$4+84),0))))&lt;=(Tahmin!$C$4+90),DATE(YEAR((Tahmin!$C$4+84)),MONTH((Tahmin!$C$4+84)),MIN(DAY(Kalemler!$D173),DAY(EOMONTH((Tahmin!$C$4+84),0))))&gt;=Kalemler!$D173),AND(DATE(YEAR((Tahmin!$C$4+90)),MONTH((Tahmin!$C$4+90)),MIN(DAY(Kalemler!$D173),DAY(EOMONTH((Tahmin!$C$4+90),0))))&gt;=(Tahmin!$C$4+84),DATE(YEAR((Tahmin!$C$4+90)),MONTH((Tahmin!$C$4+90)),MIN(DAY(Kalemler!$D173),DAY(EOMONTH((Tahmin!$C$4+90),0))))&lt;=(Tahmin!$C$4+90),DATE(YEAR((Tahmin!$C$4+90)),MONTH((Tahmin!$C$4+90)),MIN(DAY(Kalemler!$D173),DAY(EOMONTH((Tahmin!$C$4+90),0))))&lt;&gt;DATE(YEAR((Tahmin!$C$4+84)),MONTH((Tahmin!$C$4+84)),MIN(DAY(Kalemler!$D173),DAY(EOMONTH((Tahmin!$C$4+84),0)))),DATE(YEAR((Tahmin!$C$4+90)),MONTH((Tahmin!$C$4+90)),MIN(DAY(Kalemler!$D173),DAY(EOMONTH((Tahmin!$C$4+90),0))))&gt;=Kalemler!$D173)),1,0),IF(AND(Kalemler!$D173&gt;=(Tahmin!$C$4+84),Kalemler!$D173&lt;=(Tahmin!$C$4+90)),1,0))))</f>
        <v>0</v>
      </c>
    </row>
    <row r="174" customFormat="false" ht="15" hidden="false" customHeight="false" outlineLevel="0" collapsed="false">
      <c r="A174" s="0" t="str">
        <f aca="false">IF(Kalemler!A174="","",Kalemler!A174)</f>
        <v/>
      </c>
      <c r="B174" s="0" t="n">
        <f aca="false">IF(OR(Kalemler!$A174="",Kalemler!$C174="",Kalemler!$D174=""),0,Kalemler!$C174*IF(Kalemler!$E174="Haftalık",IF(Kalemler!$D174&lt;=(Tahmin!$C$4+6),1,0),IF(Kalemler!$E174="Aylık",IF(OR(AND(DATE(YEAR((Tahmin!$C$4+0)),MONTH((Tahmin!$C$4+0)),MIN(DAY(Kalemler!$D174),DAY(EOMONTH((Tahmin!$C$4+0),0))))&gt;=(Tahmin!$C$4+0),DATE(YEAR((Tahmin!$C$4+0)),MONTH((Tahmin!$C$4+0)),MIN(DAY(Kalemler!$D174),DAY(EOMONTH((Tahmin!$C$4+0),0))))&lt;=(Tahmin!$C$4+6),DATE(YEAR((Tahmin!$C$4+0)),MONTH((Tahmin!$C$4+0)),MIN(DAY(Kalemler!$D174),DAY(EOMONTH((Tahmin!$C$4+0),0))))&gt;=Kalemler!$D174),AND(DATE(YEAR((Tahmin!$C$4+6)),MONTH((Tahmin!$C$4+6)),MIN(DAY(Kalemler!$D174),DAY(EOMONTH((Tahmin!$C$4+6),0))))&gt;=(Tahmin!$C$4+0),DATE(YEAR((Tahmin!$C$4+6)),MONTH((Tahmin!$C$4+6)),MIN(DAY(Kalemler!$D174),DAY(EOMONTH((Tahmin!$C$4+6),0))))&lt;=(Tahmin!$C$4+6),DATE(YEAR((Tahmin!$C$4+6)),MONTH((Tahmin!$C$4+6)),MIN(DAY(Kalemler!$D174),DAY(EOMONTH((Tahmin!$C$4+6),0))))&lt;&gt;DATE(YEAR((Tahmin!$C$4+0)),MONTH((Tahmin!$C$4+0)),MIN(DAY(Kalemler!$D174),DAY(EOMONTH((Tahmin!$C$4+0),0)))),DATE(YEAR((Tahmin!$C$4+6)),MONTH((Tahmin!$C$4+6)),MIN(DAY(Kalemler!$D174),DAY(EOMONTH((Tahmin!$C$4+6),0))))&gt;=Kalemler!$D174)),1,0),IF(AND(Kalemler!$D174&gt;=(Tahmin!$C$4+0),Kalemler!$D174&lt;=(Tahmin!$C$4+6)),1,0))))</f>
        <v>0</v>
      </c>
      <c r="C174" s="0" t="n">
        <f aca="false">IF(OR(Kalemler!$A174="",Kalemler!$C174="",Kalemler!$D174=""),0,Kalemler!$C174*IF(Kalemler!$E174="Haftalık",IF(Kalemler!$D174&lt;=(Tahmin!$C$4+13),1,0),IF(Kalemler!$E174="Aylık",IF(OR(AND(DATE(YEAR((Tahmin!$C$4+7)),MONTH((Tahmin!$C$4+7)),MIN(DAY(Kalemler!$D174),DAY(EOMONTH((Tahmin!$C$4+7),0))))&gt;=(Tahmin!$C$4+7),DATE(YEAR((Tahmin!$C$4+7)),MONTH((Tahmin!$C$4+7)),MIN(DAY(Kalemler!$D174),DAY(EOMONTH((Tahmin!$C$4+7),0))))&lt;=(Tahmin!$C$4+13),DATE(YEAR((Tahmin!$C$4+7)),MONTH((Tahmin!$C$4+7)),MIN(DAY(Kalemler!$D174),DAY(EOMONTH((Tahmin!$C$4+7),0))))&gt;=Kalemler!$D174),AND(DATE(YEAR((Tahmin!$C$4+13)),MONTH((Tahmin!$C$4+13)),MIN(DAY(Kalemler!$D174),DAY(EOMONTH((Tahmin!$C$4+13),0))))&gt;=(Tahmin!$C$4+7),DATE(YEAR((Tahmin!$C$4+13)),MONTH((Tahmin!$C$4+13)),MIN(DAY(Kalemler!$D174),DAY(EOMONTH((Tahmin!$C$4+13),0))))&lt;=(Tahmin!$C$4+13),DATE(YEAR((Tahmin!$C$4+13)),MONTH((Tahmin!$C$4+13)),MIN(DAY(Kalemler!$D174),DAY(EOMONTH((Tahmin!$C$4+13),0))))&lt;&gt;DATE(YEAR((Tahmin!$C$4+7)),MONTH((Tahmin!$C$4+7)),MIN(DAY(Kalemler!$D174),DAY(EOMONTH((Tahmin!$C$4+7),0)))),DATE(YEAR((Tahmin!$C$4+13)),MONTH((Tahmin!$C$4+13)),MIN(DAY(Kalemler!$D174),DAY(EOMONTH((Tahmin!$C$4+13),0))))&gt;=Kalemler!$D174)),1,0),IF(AND(Kalemler!$D174&gt;=(Tahmin!$C$4+7),Kalemler!$D174&lt;=(Tahmin!$C$4+13)),1,0))))</f>
        <v>0</v>
      </c>
      <c r="D174" s="0" t="n">
        <f aca="false">IF(OR(Kalemler!$A174="",Kalemler!$C174="",Kalemler!$D174=""),0,Kalemler!$C174*IF(Kalemler!$E174="Haftalık",IF(Kalemler!$D174&lt;=(Tahmin!$C$4+20),1,0),IF(Kalemler!$E174="Aylık",IF(OR(AND(DATE(YEAR((Tahmin!$C$4+14)),MONTH((Tahmin!$C$4+14)),MIN(DAY(Kalemler!$D174),DAY(EOMONTH((Tahmin!$C$4+14),0))))&gt;=(Tahmin!$C$4+14),DATE(YEAR((Tahmin!$C$4+14)),MONTH((Tahmin!$C$4+14)),MIN(DAY(Kalemler!$D174),DAY(EOMONTH((Tahmin!$C$4+14),0))))&lt;=(Tahmin!$C$4+20),DATE(YEAR((Tahmin!$C$4+14)),MONTH((Tahmin!$C$4+14)),MIN(DAY(Kalemler!$D174),DAY(EOMONTH((Tahmin!$C$4+14),0))))&gt;=Kalemler!$D174),AND(DATE(YEAR((Tahmin!$C$4+20)),MONTH((Tahmin!$C$4+20)),MIN(DAY(Kalemler!$D174),DAY(EOMONTH((Tahmin!$C$4+20),0))))&gt;=(Tahmin!$C$4+14),DATE(YEAR((Tahmin!$C$4+20)),MONTH((Tahmin!$C$4+20)),MIN(DAY(Kalemler!$D174),DAY(EOMONTH((Tahmin!$C$4+20),0))))&lt;=(Tahmin!$C$4+20),DATE(YEAR((Tahmin!$C$4+20)),MONTH((Tahmin!$C$4+20)),MIN(DAY(Kalemler!$D174),DAY(EOMONTH((Tahmin!$C$4+20),0))))&lt;&gt;DATE(YEAR((Tahmin!$C$4+14)),MONTH((Tahmin!$C$4+14)),MIN(DAY(Kalemler!$D174),DAY(EOMONTH((Tahmin!$C$4+14),0)))),DATE(YEAR((Tahmin!$C$4+20)),MONTH((Tahmin!$C$4+20)),MIN(DAY(Kalemler!$D174),DAY(EOMONTH((Tahmin!$C$4+20),0))))&gt;=Kalemler!$D174)),1,0),IF(AND(Kalemler!$D174&gt;=(Tahmin!$C$4+14),Kalemler!$D174&lt;=(Tahmin!$C$4+20)),1,0))))</f>
        <v>0</v>
      </c>
      <c r="E174" s="0" t="n">
        <f aca="false">IF(OR(Kalemler!$A174="",Kalemler!$C174="",Kalemler!$D174=""),0,Kalemler!$C174*IF(Kalemler!$E174="Haftalık",IF(Kalemler!$D174&lt;=(Tahmin!$C$4+27),1,0),IF(Kalemler!$E174="Aylık",IF(OR(AND(DATE(YEAR((Tahmin!$C$4+21)),MONTH((Tahmin!$C$4+21)),MIN(DAY(Kalemler!$D174),DAY(EOMONTH((Tahmin!$C$4+21),0))))&gt;=(Tahmin!$C$4+21),DATE(YEAR((Tahmin!$C$4+21)),MONTH((Tahmin!$C$4+21)),MIN(DAY(Kalemler!$D174),DAY(EOMONTH((Tahmin!$C$4+21),0))))&lt;=(Tahmin!$C$4+27),DATE(YEAR((Tahmin!$C$4+21)),MONTH((Tahmin!$C$4+21)),MIN(DAY(Kalemler!$D174),DAY(EOMONTH((Tahmin!$C$4+21),0))))&gt;=Kalemler!$D174),AND(DATE(YEAR((Tahmin!$C$4+27)),MONTH((Tahmin!$C$4+27)),MIN(DAY(Kalemler!$D174),DAY(EOMONTH((Tahmin!$C$4+27),0))))&gt;=(Tahmin!$C$4+21),DATE(YEAR((Tahmin!$C$4+27)),MONTH((Tahmin!$C$4+27)),MIN(DAY(Kalemler!$D174),DAY(EOMONTH((Tahmin!$C$4+27),0))))&lt;=(Tahmin!$C$4+27),DATE(YEAR((Tahmin!$C$4+27)),MONTH((Tahmin!$C$4+27)),MIN(DAY(Kalemler!$D174),DAY(EOMONTH((Tahmin!$C$4+27),0))))&lt;&gt;DATE(YEAR((Tahmin!$C$4+21)),MONTH((Tahmin!$C$4+21)),MIN(DAY(Kalemler!$D174),DAY(EOMONTH((Tahmin!$C$4+21),0)))),DATE(YEAR((Tahmin!$C$4+27)),MONTH((Tahmin!$C$4+27)),MIN(DAY(Kalemler!$D174),DAY(EOMONTH((Tahmin!$C$4+27),0))))&gt;=Kalemler!$D174)),1,0),IF(AND(Kalemler!$D174&gt;=(Tahmin!$C$4+21),Kalemler!$D174&lt;=(Tahmin!$C$4+27)),1,0))))</f>
        <v>0</v>
      </c>
      <c r="F174" s="0" t="n">
        <f aca="false">IF(OR(Kalemler!$A174="",Kalemler!$C174="",Kalemler!$D174=""),0,Kalemler!$C174*IF(Kalemler!$E174="Haftalık",IF(Kalemler!$D174&lt;=(Tahmin!$C$4+34),1,0),IF(Kalemler!$E174="Aylık",IF(OR(AND(DATE(YEAR((Tahmin!$C$4+28)),MONTH((Tahmin!$C$4+28)),MIN(DAY(Kalemler!$D174),DAY(EOMONTH((Tahmin!$C$4+28),0))))&gt;=(Tahmin!$C$4+28),DATE(YEAR((Tahmin!$C$4+28)),MONTH((Tahmin!$C$4+28)),MIN(DAY(Kalemler!$D174),DAY(EOMONTH((Tahmin!$C$4+28),0))))&lt;=(Tahmin!$C$4+34),DATE(YEAR((Tahmin!$C$4+28)),MONTH((Tahmin!$C$4+28)),MIN(DAY(Kalemler!$D174),DAY(EOMONTH((Tahmin!$C$4+28),0))))&gt;=Kalemler!$D174),AND(DATE(YEAR((Tahmin!$C$4+34)),MONTH((Tahmin!$C$4+34)),MIN(DAY(Kalemler!$D174),DAY(EOMONTH((Tahmin!$C$4+34),0))))&gt;=(Tahmin!$C$4+28),DATE(YEAR((Tahmin!$C$4+34)),MONTH((Tahmin!$C$4+34)),MIN(DAY(Kalemler!$D174),DAY(EOMONTH((Tahmin!$C$4+34),0))))&lt;=(Tahmin!$C$4+34),DATE(YEAR((Tahmin!$C$4+34)),MONTH((Tahmin!$C$4+34)),MIN(DAY(Kalemler!$D174),DAY(EOMONTH((Tahmin!$C$4+34),0))))&lt;&gt;DATE(YEAR((Tahmin!$C$4+28)),MONTH((Tahmin!$C$4+28)),MIN(DAY(Kalemler!$D174),DAY(EOMONTH((Tahmin!$C$4+28),0)))),DATE(YEAR((Tahmin!$C$4+34)),MONTH((Tahmin!$C$4+34)),MIN(DAY(Kalemler!$D174),DAY(EOMONTH((Tahmin!$C$4+34),0))))&gt;=Kalemler!$D174)),1,0),IF(AND(Kalemler!$D174&gt;=(Tahmin!$C$4+28),Kalemler!$D174&lt;=(Tahmin!$C$4+34)),1,0))))</f>
        <v>0</v>
      </c>
      <c r="G174" s="0" t="n">
        <f aca="false">IF(OR(Kalemler!$A174="",Kalemler!$C174="",Kalemler!$D174=""),0,Kalemler!$C174*IF(Kalemler!$E174="Haftalık",IF(Kalemler!$D174&lt;=(Tahmin!$C$4+41),1,0),IF(Kalemler!$E174="Aylık",IF(OR(AND(DATE(YEAR((Tahmin!$C$4+35)),MONTH((Tahmin!$C$4+35)),MIN(DAY(Kalemler!$D174),DAY(EOMONTH((Tahmin!$C$4+35),0))))&gt;=(Tahmin!$C$4+35),DATE(YEAR((Tahmin!$C$4+35)),MONTH((Tahmin!$C$4+35)),MIN(DAY(Kalemler!$D174),DAY(EOMONTH((Tahmin!$C$4+35),0))))&lt;=(Tahmin!$C$4+41),DATE(YEAR((Tahmin!$C$4+35)),MONTH((Tahmin!$C$4+35)),MIN(DAY(Kalemler!$D174),DAY(EOMONTH((Tahmin!$C$4+35),0))))&gt;=Kalemler!$D174),AND(DATE(YEAR((Tahmin!$C$4+41)),MONTH((Tahmin!$C$4+41)),MIN(DAY(Kalemler!$D174),DAY(EOMONTH((Tahmin!$C$4+41),0))))&gt;=(Tahmin!$C$4+35),DATE(YEAR((Tahmin!$C$4+41)),MONTH((Tahmin!$C$4+41)),MIN(DAY(Kalemler!$D174),DAY(EOMONTH((Tahmin!$C$4+41),0))))&lt;=(Tahmin!$C$4+41),DATE(YEAR((Tahmin!$C$4+41)),MONTH((Tahmin!$C$4+41)),MIN(DAY(Kalemler!$D174),DAY(EOMONTH((Tahmin!$C$4+41),0))))&lt;&gt;DATE(YEAR((Tahmin!$C$4+35)),MONTH((Tahmin!$C$4+35)),MIN(DAY(Kalemler!$D174),DAY(EOMONTH((Tahmin!$C$4+35),0)))),DATE(YEAR((Tahmin!$C$4+41)),MONTH((Tahmin!$C$4+41)),MIN(DAY(Kalemler!$D174),DAY(EOMONTH((Tahmin!$C$4+41),0))))&gt;=Kalemler!$D174)),1,0),IF(AND(Kalemler!$D174&gt;=(Tahmin!$C$4+35),Kalemler!$D174&lt;=(Tahmin!$C$4+41)),1,0))))</f>
        <v>0</v>
      </c>
      <c r="H174" s="0" t="n">
        <f aca="false">IF(OR(Kalemler!$A174="",Kalemler!$C174="",Kalemler!$D174=""),0,Kalemler!$C174*IF(Kalemler!$E174="Haftalık",IF(Kalemler!$D174&lt;=(Tahmin!$C$4+48),1,0),IF(Kalemler!$E174="Aylık",IF(OR(AND(DATE(YEAR((Tahmin!$C$4+42)),MONTH((Tahmin!$C$4+42)),MIN(DAY(Kalemler!$D174),DAY(EOMONTH((Tahmin!$C$4+42),0))))&gt;=(Tahmin!$C$4+42),DATE(YEAR((Tahmin!$C$4+42)),MONTH((Tahmin!$C$4+42)),MIN(DAY(Kalemler!$D174),DAY(EOMONTH((Tahmin!$C$4+42),0))))&lt;=(Tahmin!$C$4+48),DATE(YEAR((Tahmin!$C$4+42)),MONTH((Tahmin!$C$4+42)),MIN(DAY(Kalemler!$D174),DAY(EOMONTH((Tahmin!$C$4+42),0))))&gt;=Kalemler!$D174),AND(DATE(YEAR((Tahmin!$C$4+48)),MONTH((Tahmin!$C$4+48)),MIN(DAY(Kalemler!$D174),DAY(EOMONTH((Tahmin!$C$4+48),0))))&gt;=(Tahmin!$C$4+42),DATE(YEAR((Tahmin!$C$4+48)),MONTH((Tahmin!$C$4+48)),MIN(DAY(Kalemler!$D174),DAY(EOMONTH((Tahmin!$C$4+48),0))))&lt;=(Tahmin!$C$4+48),DATE(YEAR((Tahmin!$C$4+48)),MONTH((Tahmin!$C$4+48)),MIN(DAY(Kalemler!$D174),DAY(EOMONTH((Tahmin!$C$4+48),0))))&lt;&gt;DATE(YEAR((Tahmin!$C$4+42)),MONTH((Tahmin!$C$4+42)),MIN(DAY(Kalemler!$D174),DAY(EOMONTH((Tahmin!$C$4+42),0)))),DATE(YEAR((Tahmin!$C$4+48)),MONTH((Tahmin!$C$4+48)),MIN(DAY(Kalemler!$D174),DAY(EOMONTH((Tahmin!$C$4+48),0))))&gt;=Kalemler!$D174)),1,0),IF(AND(Kalemler!$D174&gt;=(Tahmin!$C$4+42),Kalemler!$D174&lt;=(Tahmin!$C$4+48)),1,0))))</f>
        <v>0</v>
      </c>
      <c r="I174" s="0" t="n">
        <f aca="false">IF(OR(Kalemler!$A174="",Kalemler!$C174="",Kalemler!$D174=""),0,Kalemler!$C174*IF(Kalemler!$E174="Haftalık",IF(Kalemler!$D174&lt;=(Tahmin!$C$4+55),1,0),IF(Kalemler!$E174="Aylık",IF(OR(AND(DATE(YEAR((Tahmin!$C$4+49)),MONTH((Tahmin!$C$4+49)),MIN(DAY(Kalemler!$D174),DAY(EOMONTH((Tahmin!$C$4+49),0))))&gt;=(Tahmin!$C$4+49),DATE(YEAR((Tahmin!$C$4+49)),MONTH((Tahmin!$C$4+49)),MIN(DAY(Kalemler!$D174),DAY(EOMONTH((Tahmin!$C$4+49),0))))&lt;=(Tahmin!$C$4+55),DATE(YEAR((Tahmin!$C$4+49)),MONTH((Tahmin!$C$4+49)),MIN(DAY(Kalemler!$D174),DAY(EOMONTH((Tahmin!$C$4+49),0))))&gt;=Kalemler!$D174),AND(DATE(YEAR((Tahmin!$C$4+55)),MONTH((Tahmin!$C$4+55)),MIN(DAY(Kalemler!$D174),DAY(EOMONTH((Tahmin!$C$4+55),0))))&gt;=(Tahmin!$C$4+49),DATE(YEAR((Tahmin!$C$4+55)),MONTH((Tahmin!$C$4+55)),MIN(DAY(Kalemler!$D174),DAY(EOMONTH((Tahmin!$C$4+55),0))))&lt;=(Tahmin!$C$4+55),DATE(YEAR((Tahmin!$C$4+55)),MONTH((Tahmin!$C$4+55)),MIN(DAY(Kalemler!$D174),DAY(EOMONTH((Tahmin!$C$4+55),0))))&lt;&gt;DATE(YEAR((Tahmin!$C$4+49)),MONTH((Tahmin!$C$4+49)),MIN(DAY(Kalemler!$D174),DAY(EOMONTH((Tahmin!$C$4+49),0)))),DATE(YEAR((Tahmin!$C$4+55)),MONTH((Tahmin!$C$4+55)),MIN(DAY(Kalemler!$D174),DAY(EOMONTH((Tahmin!$C$4+55),0))))&gt;=Kalemler!$D174)),1,0),IF(AND(Kalemler!$D174&gt;=(Tahmin!$C$4+49),Kalemler!$D174&lt;=(Tahmin!$C$4+55)),1,0))))</f>
        <v>0</v>
      </c>
      <c r="J174" s="0" t="n">
        <f aca="false">IF(OR(Kalemler!$A174="",Kalemler!$C174="",Kalemler!$D174=""),0,Kalemler!$C174*IF(Kalemler!$E174="Haftalık",IF(Kalemler!$D174&lt;=(Tahmin!$C$4+62),1,0),IF(Kalemler!$E174="Aylık",IF(OR(AND(DATE(YEAR((Tahmin!$C$4+56)),MONTH((Tahmin!$C$4+56)),MIN(DAY(Kalemler!$D174),DAY(EOMONTH((Tahmin!$C$4+56),0))))&gt;=(Tahmin!$C$4+56),DATE(YEAR((Tahmin!$C$4+56)),MONTH((Tahmin!$C$4+56)),MIN(DAY(Kalemler!$D174),DAY(EOMONTH((Tahmin!$C$4+56),0))))&lt;=(Tahmin!$C$4+62),DATE(YEAR((Tahmin!$C$4+56)),MONTH((Tahmin!$C$4+56)),MIN(DAY(Kalemler!$D174),DAY(EOMONTH((Tahmin!$C$4+56),0))))&gt;=Kalemler!$D174),AND(DATE(YEAR((Tahmin!$C$4+62)),MONTH((Tahmin!$C$4+62)),MIN(DAY(Kalemler!$D174),DAY(EOMONTH((Tahmin!$C$4+62),0))))&gt;=(Tahmin!$C$4+56),DATE(YEAR((Tahmin!$C$4+62)),MONTH((Tahmin!$C$4+62)),MIN(DAY(Kalemler!$D174),DAY(EOMONTH((Tahmin!$C$4+62),0))))&lt;=(Tahmin!$C$4+62),DATE(YEAR((Tahmin!$C$4+62)),MONTH((Tahmin!$C$4+62)),MIN(DAY(Kalemler!$D174),DAY(EOMONTH((Tahmin!$C$4+62),0))))&lt;&gt;DATE(YEAR((Tahmin!$C$4+56)),MONTH((Tahmin!$C$4+56)),MIN(DAY(Kalemler!$D174),DAY(EOMONTH((Tahmin!$C$4+56),0)))),DATE(YEAR((Tahmin!$C$4+62)),MONTH((Tahmin!$C$4+62)),MIN(DAY(Kalemler!$D174),DAY(EOMONTH((Tahmin!$C$4+62),0))))&gt;=Kalemler!$D174)),1,0),IF(AND(Kalemler!$D174&gt;=(Tahmin!$C$4+56),Kalemler!$D174&lt;=(Tahmin!$C$4+62)),1,0))))</f>
        <v>0</v>
      </c>
      <c r="K174" s="0" t="n">
        <f aca="false">IF(OR(Kalemler!$A174="",Kalemler!$C174="",Kalemler!$D174=""),0,Kalemler!$C174*IF(Kalemler!$E174="Haftalık",IF(Kalemler!$D174&lt;=(Tahmin!$C$4+69),1,0),IF(Kalemler!$E174="Aylık",IF(OR(AND(DATE(YEAR((Tahmin!$C$4+63)),MONTH((Tahmin!$C$4+63)),MIN(DAY(Kalemler!$D174),DAY(EOMONTH((Tahmin!$C$4+63),0))))&gt;=(Tahmin!$C$4+63),DATE(YEAR((Tahmin!$C$4+63)),MONTH((Tahmin!$C$4+63)),MIN(DAY(Kalemler!$D174),DAY(EOMONTH((Tahmin!$C$4+63),0))))&lt;=(Tahmin!$C$4+69),DATE(YEAR((Tahmin!$C$4+63)),MONTH((Tahmin!$C$4+63)),MIN(DAY(Kalemler!$D174),DAY(EOMONTH((Tahmin!$C$4+63),0))))&gt;=Kalemler!$D174),AND(DATE(YEAR((Tahmin!$C$4+69)),MONTH((Tahmin!$C$4+69)),MIN(DAY(Kalemler!$D174),DAY(EOMONTH((Tahmin!$C$4+69),0))))&gt;=(Tahmin!$C$4+63),DATE(YEAR((Tahmin!$C$4+69)),MONTH((Tahmin!$C$4+69)),MIN(DAY(Kalemler!$D174),DAY(EOMONTH((Tahmin!$C$4+69),0))))&lt;=(Tahmin!$C$4+69),DATE(YEAR((Tahmin!$C$4+69)),MONTH((Tahmin!$C$4+69)),MIN(DAY(Kalemler!$D174),DAY(EOMONTH((Tahmin!$C$4+69),0))))&lt;&gt;DATE(YEAR((Tahmin!$C$4+63)),MONTH((Tahmin!$C$4+63)),MIN(DAY(Kalemler!$D174),DAY(EOMONTH((Tahmin!$C$4+63),0)))),DATE(YEAR((Tahmin!$C$4+69)),MONTH((Tahmin!$C$4+69)),MIN(DAY(Kalemler!$D174),DAY(EOMONTH((Tahmin!$C$4+69),0))))&gt;=Kalemler!$D174)),1,0),IF(AND(Kalemler!$D174&gt;=(Tahmin!$C$4+63),Kalemler!$D174&lt;=(Tahmin!$C$4+69)),1,0))))</f>
        <v>0</v>
      </c>
      <c r="L174" s="0" t="n">
        <f aca="false">IF(OR(Kalemler!$A174="",Kalemler!$C174="",Kalemler!$D174=""),0,Kalemler!$C174*IF(Kalemler!$E174="Haftalık",IF(Kalemler!$D174&lt;=(Tahmin!$C$4+76),1,0),IF(Kalemler!$E174="Aylık",IF(OR(AND(DATE(YEAR((Tahmin!$C$4+70)),MONTH((Tahmin!$C$4+70)),MIN(DAY(Kalemler!$D174),DAY(EOMONTH((Tahmin!$C$4+70),0))))&gt;=(Tahmin!$C$4+70),DATE(YEAR((Tahmin!$C$4+70)),MONTH((Tahmin!$C$4+70)),MIN(DAY(Kalemler!$D174),DAY(EOMONTH((Tahmin!$C$4+70),0))))&lt;=(Tahmin!$C$4+76),DATE(YEAR((Tahmin!$C$4+70)),MONTH((Tahmin!$C$4+70)),MIN(DAY(Kalemler!$D174),DAY(EOMONTH((Tahmin!$C$4+70),0))))&gt;=Kalemler!$D174),AND(DATE(YEAR((Tahmin!$C$4+76)),MONTH((Tahmin!$C$4+76)),MIN(DAY(Kalemler!$D174),DAY(EOMONTH((Tahmin!$C$4+76),0))))&gt;=(Tahmin!$C$4+70),DATE(YEAR((Tahmin!$C$4+76)),MONTH((Tahmin!$C$4+76)),MIN(DAY(Kalemler!$D174),DAY(EOMONTH((Tahmin!$C$4+76),0))))&lt;=(Tahmin!$C$4+76),DATE(YEAR((Tahmin!$C$4+76)),MONTH((Tahmin!$C$4+76)),MIN(DAY(Kalemler!$D174),DAY(EOMONTH((Tahmin!$C$4+76),0))))&lt;&gt;DATE(YEAR((Tahmin!$C$4+70)),MONTH((Tahmin!$C$4+70)),MIN(DAY(Kalemler!$D174),DAY(EOMONTH((Tahmin!$C$4+70),0)))),DATE(YEAR((Tahmin!$C$4+76)),MONTH((Tahmin!$C$4+76)),MIN(DAY(Kalemler!$D174),DAY(EOMONTH((Tahmin!$C$4+76),0))))&gt;=Kalemler!$D174)),1,0),IF(AND(Kalemler!$D174&gt;=(Tahmin!$C$4+70),Kalemler!$D174&lt;=(Tahmin!$C$4+76)),1,0))))</f>
        <v>0</v>
      </c>
      <c r="M174" s="0" t="n">
        <f aca="false">IF(OR(Kalemler!$A174="",Kalemler!$C174="",Kalemler!$D174=""),0,Kalemler!$C174*IF(Kalemler!$E174="Haftalık",IF(Kalemler!$D174&lt;=(Tahmin!$C$4+83),1,0),IF(Kalemler!$E174="Aylık",IF(OR(AND(DATE(YEAR((Tahmin!$C$4+77)),MONTH((Tahmin!$C$4+77)),MIN(DAY(Kalemler!$D174),DAY(EOMONTH((Tahmin!$C$4+77),0))))&gt;=(Tahmin!$C$4+77),DATE(YEAR((Tahmin!$C$4+77)),MONTH((Tahmin!$C$4+77)),MIN(DAY(Kalemler!$D174),DAY(EOMONTH((Tahmin!$C$4+77),0))))&lt;=(Tahmin!$C$4+83),DATE(YEAR((Tahmin!$C$4+77)),MONTH((Tahmin!$C$4+77)),MIN(DAY(Kalemler!$D174),DAY(EOMONTH((Tahmin!$C$4+77),0))))&gt;=Kalemler!$D174),AND(DATE(YEAR((Tahmin!$C$4+83)),MONTH((Tahmin!$C$4+83)),MIN(DAY(Kalemler!$D174),DAY(EOMONTH((Tahmin!$C$4+83),0))))&gt;=(Tahmin!$C$4+77),DATE(YEAR((Tahmin!$C$4+83)),MONTH((Tahmin!$C$4+83)),MIN(DAY(Kalemler!$D174),DAY(EOMONTH((Tahmin!$C$4+83),0))))&lt;=(Tahmin!$C$4+83),DATE(YEAR((Tahmin!$C$4+83)),MONTH((Tahmin!$C$4+83)),MIN(DAY(Kalemler!$D174),DAY(EOMONTH((Tahmin!$C$4+83),0))))&lt;&gt;DATE(YEAR((Tahmin!$C$4+77)),MONTH((Tahmin!$C$4+77)),MIN(DAY(Kalemler!$D174),DAY(EOMONTH((Tahmin!$C$4+77),0)))),DATE(YEAR((Tahmin!$C$4+83)),MONTH((Tahmin!$C$4+83)),MIN(DAY(Kalemler!$D174),DAY(EOMONTH((Tahmin!$C$4+83),0))))&gt;=Kalemler!$D174)),1,0),IF(AND(Kalemler!$D174&gt;=(Tahmin!$C$4+77),Kalemler!$D174&lt;=(Tahmin!$C$4+83)),1,0))))</f>
        <v>0</v>
      </c>
      <c r="N174" s="0" t="n">
        <f aca="false">IF(OR(Kalemler!$A174="",Kalemler!$C174="",Kalemler!$D174=""),0,Kalemler!$C174*IF(Kalemler!$E174="Haftalık",IF(Kalemler!$D174&lt;=(Tahmin!$C$4+90),1,0),IF(Kalemler!$E174="Aylık",IF(OR(AND(DATE(YEAR((Tahmin!$C$4+84)),MONTH((Tahmin!$C$4+84)),MIN(DAY(Kalemler!$D174),DAY(EOMONTH((Tahmin!$C$4+84),0))))&gt;=(Tahmin!$C$4+84),DATE(YEAR((Tahmin!$C$4+84)),MONTH((Tahmin!$C$4+84)),MIN(DAY(Kalemler!$D174),DAY(EOMONTH((Tahmin!$C$4+84),0))))&lt;=(Tahmin!$C$4+90),DATE(YEAR((Tahmin!$C$4+84)),MONTH((Tahmin!$C$4+84)),MIN(DAY(Kalemler!$D174),DAY(EOMONTH((Tahmin!$C$4+84),0))))&gt;=Kalemler!$D174),AND(DATE(YEAR((Tahmin!$C$4+90)),MONTH((Tahmin!$C$4+90)),MIN(DAY(Kalemler!$D174),DAY(EOMONTH((Tahmin!$C$4+90),0))))&gt;=(Tahmin!$C$4+84),DATE(YEAR((Tahmin!$C$4+90)),MONTH((Tahmin!$C$4+90)),MIN(DAY(Kalemler!$D174),DAY(EOMONTH((Tahmin!$C$4+90),0))))&lt;=(Tahmin!$C$4+90),DATE(YEAR((Tahmin!$C$4+90)),MONTH((Tahmin!$C$4+90)),MIN(DAY(Kalemler!$D174),DAY(EOMONTH((Tahmin!$C$4+90),0))))&lt;&gt;DATE(YEAR((Tahmin!$C$4+84)),MONTH((Tahmin!$C$4+84)),MIN(DAY(Kalemler!$D174),DAY(EOMONTH((Tahmin!$C$4+84),0)))),DATE(YEAR((Tahmin!$C$4+90)),MONTH((Tahmin!$C$4+90)),MIN(DAY(Kalemler!$D174),DAY(EOMONTH((Tahmin!$C$4+90),0))))&gt;=Kalemler!$D174)),1,0),IF(AND(Kalemler!$D174&gt;=(Tahmin!$C$4+84),Kalemler!$D174&lt;=(Tahmin!$C$4+90)),1,0))))</f>
        <v>0</v>
      </c>
    </row>
    <row r="175" customFormat="false" ht="15" hidden="false" customHeight="false" outlineLevel="0" collapsed="false">
      <c r="A175" s="0" t="str">
        <f aca="false">IF(Kalemler!A175="","",Kalemler!A175)</f>
        <v/>
      </c>
      <c r="B175" s="0" t="n">
        <f aca="false">IF(OR(Kalemler!$A175="",Kalemler!$C175="",Kalemler!$D175=""),0,Kalemler!$C175*IF(Kalemler!$E175="Haftalık",IF(Kalemler!$D175&lt;=(Tahmin!$C$4+6),1,0),IF(Kalemler!$E175="Aylık",IF(OR(AND(DATE(YEAR((Tahmin!$C$4+0)),MONTH((Tahmin!$C$4+0)),MIN(DAY(Kalemler!$D175),DAY(EOMONTH((Tahmin!$C$4+0),0))))&gt;=(Tahmin!$C$4+0),DATE(YEAR((Tahmin!$C$4+0)),MONTH((Tahmin!$C$4+0)),MIN(DAY(Kalemler!$D175),DAY(EOMONTH((Tahmin!$C$4+0),0))))&lt;=(Tahmin!$C$4+6),DATE(YEAR((Tahmin!$C$4+0)),MONTH((Tahmin!$C$4+0)),MIN(DAY(Kalemler!$D175),DAY(EOMONTH((Tahmin!$C$4+0),0))))&gt;=Kalemler!$D175),AND(DATE(YEAR((Tahmin!$C$4+6)),MONTH((Tahmin!$C$4+6)),MIN(DAY(Kalemler!$D175),DAY(EOMONTH((Tahmin!$C$4+6),0))))&gt;=(Tahmin!$C$4+0),DATE(YEAR((Tahmin!$C$4+6)),MONTH((Tahmin!$C$4+6)),MIN(DAY(Kalemler!$D175),DAY(EOMONTH((Tahmin!$C$4+6),0))))&lt;=(Tahmin!$C$4+6),DATE(YEAR((Tahmin!$C$4+6)),MONTH((Tahmin!$C$4+6)),MIN(DAY(Kalemler!$D175),DAY(EOMONTH((Tahmin!$C$4+6),0))))&lt;&gt;DATE(YEAR((Tahmin!$C$4+0)),MONTH((Tahmin!$C$4+0)),MIN(DAY(Kalemler!$D175),DAY(EOMONTH((Tahmin!$C$4+0),0)))),DATE(YEAR((Tahmin!$C$4+6)),MONTH((Tahmin!$C$4+6)),MIN(DAY(Kalemler!$D175),DAY(EOMONTH((Tahmin!$C$4+6),0))))&gt;=Kalemler!$D175)),1,0),IF(AND(Kalemler!$D175&gt;=(Tahmin!$C$4+0),Kalemler!$D175&lt;=(Tahmin!$C$4+6)),1,0))))</f>
        <v>0</v>
      </c>
      <c r="C175" s="0" t="n">
        <f aca="false">IF(OR(Kalemler!$A175="",Kalemler!$C175="",Kalemler!$D175=""),0,Kalemler!$C175*IF(Kalemler!$E175="Haftalık",IF(Kalemler!$D175&lt;=(Tahmin!$C$4+13),1,0),IF(Kalemler!$E175="Aylık",IF(OR(AND(DATE(YEAR((Tahmin!$C$4+7)),MONTH((Tahmin!$C$4+7)),MIN(DAY(Kalemler!$D175),DAY(EOMONTH((Tahmin!$C$4+7),0))))&gt;=(Tahmin!$C$4+7),DATE(YEAR((Tahmin!$C$4+7)),MONTH((Tahmin!$C$4+7)),MIN(DAY(Kalemler!$D175),DAY(EOMONTH((Tahmin!$C$4+7),0))))&lt;=(Tahmin!$C$4+13),DATE(YEAR((Tahmin!$C$4+7)),MONTH((Tahmin!$C$4+7)),MIN(DAY(Kalemler!$D175),DAY(EOMONTH((Tahmin!$C$4+7),0))))&gt;=Kalemler!$D175),AND(DATE(YEAR((Tahmin!$C$4+13)),MONTH((Tahmin!$C$4+13)),MIN(DAY(Kalemler!$D175),DAY(EOMONTH((Tahmin!$C$4+13),0))))&gt;=(Tahmin!$C$4+7),DATE(YEAR((Tahmin!$C$4+13)),MONTH((Tahmin!$C$4+13)),MIN(DAY(Kalemler!$D175),DAY(EOMONTH((Tahmin!$C$4+13),0))))&lt;=(Tahmin!$C$4+13),DATE(YEAR((Tahmin!$C$4+13)),MONTH((Tahmin!$C$4+13)),MIN(DAY(Kalemler!$D175),DAY(EOMONTH((Tahmin!$C$4+13),0))))&lt;&gt;DATE(YEAR((Tahmin!$C$4+7)),MONTH((Tahmin!$C$4+7)),MIN(DAY(Kalemler!$D175),DAY(EOMONTH((Tahmin!$C$4+7),0)))),DATE(YEAR((Tahmin!$C$4+13)),MONTH((Tahmin!$C$4+13)),MIN(DAY(Kalemler!$D175),DAY(EOMONTH((Tahmin!$C$4+13),0))))&gt;=Kalemler!$D175)),1,0),IF(AND(Kalemler!$D175&gt;=(Tahmin!$C$4+7),Kalemler!$D175&lt;=(Tahmin!$C$4+13)),1,0))))</f>
        <v>0</v>
      </c>
      <c r="D175" s="0" t="n">
        <f aca="false">IF(OR(Kalemler!$A175="",Kalemler!$C175="",Kalemler!$D175=""),0,Kalemler!$C175*IF(Kalemler!$E175="Haftalık",IF(Kalemler!$D175&lt;=(Tahmin!$C$4+20),1,0),IF(Kalemler!$E175="Aylık",IF(OR(AND(DATE(YEAR((Tahmin!$C$4+14)),MONTH((Tahmin!$C$4+14)),MIN(DAY(Kalemler!$D175),DAY(EOMONTH((Tahmin!$C$4+14),0))))&gt;=(Tahmin!$C$4+14),DATE(YEAR((Tahmin!$C$4+14)),MONTH((Tahmin!$C$4+14)),MIN(DAY(Kalemler!$D175),DAY(EOMONTH((Tahmin!$C$4+14),0))))&lt;=(Tahmin!$C$4+20),DATE(YEAR((Tahmin!$C$4+14)),MONTH((Tahmin!$C$4+14)),MIN(DAY(Kalemler!$D175),DAY(EOMONTH((Tahmin!$C$4+14),0))))&gt;=Kalemler!$D175),AND(DATE(YEAR((Tahmin!$C$4+20)),MONTH((Tahmin!$C$4+20)),MIN(DAY(Kalemler!$D175),DAY(EOMONTH((Tahmin!$C$4+20),0))))&gt;=(Tahmin!$C$4+14),DATE(YEAR((Tahmin!$C$4+20)),MONTH((Tahmin!$C$4+20)),MIN(DAY(Kalemler!$D175),DAY(EOMONTH((Tahmin!$C$4+20),0))))&lt;=(Tahmin!$C$4+20),DATE(YEAR((Tahmin!$C$4+20)),MONTH((Tahmin!$C$4+20)),MIN(DAY(Kalemler!$D175),DAY(EOMONTH((Tahmin!$C$4+20),0))))&lt;&gt;DATE(YEAR((Tahmin!$C$4+14)),MONTH((Tahmin!$C$4+14)),MIN(DAY(Kalemler!$D175),DAY(EOMONTH((Tahmin!$C$4+14),0)))),DATE(YEAR((Tahmin!$C$4+20)),MONTH((Tahmin!$C$4+20)),MIN(DAY(Kalemler!$D175),DAY(EOMONTH((Tahmin!$C$4+20),0))))&gt;=Kalemler!$D175)),1,0),IF(AND(Kalemler!$D175&gt;=(Tahmin!$C$4+14),Kalemler!$D175&lt;=(Tahmin!$C$4+20)),1,0))))</f>
        <v>0</v>
      </c>
      <c r="E175" s="0" t="n">
        <f aca="false">IF(OR(Kalemler!$A175="",Kalemler!$C175="",Kalemler!$D175=""),0,Kalemler!$C175*IF(Kalemler!$E175="Haftalık",IF(Kalemler!$D175&lt;=(Tahmin!$C$4+27),1,0),IF(Kalemler!$E175="Aylık",IF(OR(AND(DATE(YEAR((Tahmin!$C$4+21)),MONTH((Tahmin!$C$4+21)),MIN(DAY(Kalemler!$D175),DAY(EOMONTH((Tahmin!$C$4+21),0))))&gt;=(Tahmin!$C$4+21),DATE(YEAR((Tahmin!$C$4+21)),MONTH((Tahmin!$C$4+21)),MIN(DAY(Kalemler!$D175),DAY(EOMONTH((Tahmin!$C$4+21),0))))&lt;=(Tahmin!$C$4+27),DATE(YEAR((Tahmin!$C$4+21)),MONTH((Tahmin!$C$4+21)),MIN(DAY(Kalemler!$D175),DAY(EOMONTH((Tahmin!$C$4+21),0))))&gt;=Kalemler!$D175),AND(DATE(YEAR((Tahmin!$C$4+27)),MONTH((Tahmin!$C$4+27)),MIN(DAY(Kalemler!$D175),DAY(EOMONTH((Tahmin!$C$4+27),0))))&gt;=(Tahmin!$C$4+21),DATE(YEAR((Tahmin!$C$4+27)),MONTH((Tahmin!$C$4+27)),MIN(DAY(Kalemler!$D175),DAY(EOMONTH((Tahmin!$C$4+27),0))))&lt;=(Tahmin!$C$4+27),DATE(YEAR((Tahmin!$C$4+27)),MONTH((Tahmin!$C$4+27)),MIN(DAY(Kalemler!$D175),DAY(EOMONTH((Tahmin!$C$4+27),0))))&lt;&gt;DATE(YEAR((Tahmin!$C$4+21)),MONTH((Tahmin!$C$4+21)),MIN(DAY(Kalemler!$D175),DAY(EOMONTH((Tahmin!$C$4+21),0)))),DATE(YEAR((Tahmin!$C$4+27)),MONTH((Tahmin!$C$4+27)),MIN(DAY(Kalemler!$D175),DAY(EOMONTH((Tahmin!$C$4+27),0))))&gt;=Kalemler!$D175)),1,0),IF(AND(Kalemler!$D175&gt;=(Tahmin!$C$4+21),Kalemler!$D175&lt;=(Tahmin!$C$4+27)),1,0))))</f>
        <v>0</v>
      </c>
      <c r="F175" s="0" t="n">
        <f aca="false">IF(OR(Kalemler!$A175="",Kalemler!$C175="",Kalemler!$D175=""),0,Kalemler!$C175*IF(Kalemler!$E175="Haftalık",IF(Kalemler!$D175&lt;=(Tahmin!$C$4+34),1,0),IF(Kalemler!$E175="Aylık",IF(OR(AND(DATE(YEAR((Tahmin!$C$4+28)),MONTH((Tahmin!$C$4+28)),MIN(DAY(Kalemler!$D175),DAY(EOMONTH((Tahmin!$C$4+28),0))))&gt;=(Tahmin!$C$4+28),DATE(YEAR((Tahmin!$C$4+28)),MONTH((Tahmin!$C$4+28)),MIN(DAY(Kalemler!$D175),DAY(EOMONTH((Tahmin!$C$4+28),0))))&lt;=(Tahmin!$C$4+34),DATE(YEAR((Tahmin!$C$4+28)),MONTH((Tahmin!$C$4+28)),MIN(DAY(Kalemler!$D175),DAY(EOMONTH((Tahmin!$C$4+28),0))))&gt;=Kalemler!$D175),AND(DATE(YEAR((Tahmin!$C$4+34)),MONTH((Tahmin!$C$4+34)),MIN(DAY(Kalemler!$D175),DAY(EOMONTH((Tahmin!$C$4+34),0))))&gt;=(Tahmin!$C$4+28),DATE(YEAR((Tahmin!$C$4+34)),MONTH((Tahmin!$C$4+34)),MIN(DAY(Kalemler!$D175),DAY(EOMONTH((Tahmin!$C$4+34),0))))&lt;=(Tahmin!$C$4+34),DATE(YEAR((Tahmin!$C$4+34)),MONTH((Tahmin!$C$4+34)),MIN(DAY(Kalemler!$D175),DAY(EOMONTH((Tahmin!$C$4+34),0))))&lt;&gt;DATE(YEAR((Tahmin!$C$4+28)),MONTH((Tahmin!$C$4+28)),MIN(DAY(Kalemler!$D175),DAY(EOMONTH((Tahmin!$C$4+28),0)))),DATE(YEAR((Tahmin!$C$4+34)),MONTH((Tahmin!$C$4+34)),MIN(DAY(Kalemler!$D175),DAY(EOMONTH((Tahmin!$C$4+34),0))))&gt;=Kalemler!$D175)),1,0),IF(AND(Kalemler!$D175&gt;=(Tahmin!$C$4+28),Kalemler!$D175&lt;=(Tahmin!$C$4+34)),1,0))))</f>
        <v>0</v>
      </c>
      <c r="G175" s="0" t="n">
        <f aca="false">IF(OR(Kalemler!$A175="",Kalemler!$C175="",Kalemler!$D175=""),0,Kalemler!$C175*IF(Kalemler!$E175="Haftalık",IF(Kalemler!$D175&lt;=(Tahmin!$C$4+41),1,0),IF(Kalemler!$E175="Aylık",IF(OR(AND(DATE(YEAR((Tahmin!$C$4+35)),MONTH((Tahmin!$C$4+35)),MIN(DAY(Kalemler!$D175),DAY(EOMONTH((Tahmin!$C$4+35),0))))&gt;=(Tahmin!$C$4+35),DATE(YEAR((Tahmin!$C$4+35)),MONTH((Tahmin!$C$4+35)),MIN(DAY(Kalemler!$D175),DAY(EOMONTH((Tahmin!$C$4+35),0))))&lt;=(Tahmin!$C$4+41),DATE(YEAR((Tahmin!$C$4+35)),MONTH((Tahmin!$C$4+35)),MIN(DAY(Kalemler!$D175),DAY(EOMONTH((Tahmin!$C$4+35),0))))&gt;=Kalemler!$D175),AND(DATE(YEAR((Tahmin!$C$4+41)),MONTH((Tahmin!$C$4+41)),MIN(DAY(Kalemler!$D175),DAY(EOMONTH((Tahmin!$C$4+41),0))))&gt;=(Tahmin!$C$4+35),DATE(YEAR((Tahmin!$C$4+41)),MONTH((Tahmin!$C$4+41)),MIN(DAY(Kalemler!$D175),DAY(EOMONTH((Tahmin!$C$4+41),0))))&lt;=(Tahmin!$C$4+41),DATE(YEAR((Tahmin!$C$4+41)),MONTH((Tahmin!$C$4+41)),MIN(DAY(Kalemler!$D175),DAY(EOMONTH((Tahmin!$C$4+41),0))))&lt;&gt;DATE(YEAR((Tahmin!$C$4+35)),MONTH((Tahmin!$C$4+35)),MIN(DAY(Kalemler!$D175),DAY(EOMONTH((Tahmin!$C$4+35),0)))),DATE(YEAR((Tahmin!$C$4+41)),MONTH((Tahmin!$C$4+41)),MIN(DAY(Kalemler!$D175),DAY(EOMONTH((Tahmin!$C$4+41),0))))&gt;=Kalemler!$D175)),1,0),IF(AND(Kalemler!$D175&gt;=(Tahmin!$C$4+35),Kalemler!$D175&lt;=(Tahmin!$C$4+41)),1,0))))</f>
        <v>0</v>
      </c>
      <c r="H175" s="0" t="n">
        <f aca="false">IF(OR(Kalemler!$A175="",Kalemler!$C175="",Kalemler!$D175=""),0,Kalemler!$C175*IF(Kalemler!$E175="Haftalık",IF(Kalemler!$D175&lt;=(Tahmin!$C$4+48),1,0),IF(Kalemler!$E175="Aylık",IF(OR(AND(DATE(YEAR((Tahmin!$C$4+42)),MONTH((Tahmin!$C$4+42)),MIN(DAY(Kalemler!$D175),DAY(EOMONTH((Tahmin!$C$4+42),0))))&gt;=(Tahmin!$C$4+42),DATE(YEAR((Tahmin!$C$4+42)),MONTH((Tahmin!$C$4+42)),MIN(DAY(Kalemler!$D175),DAY(EOMONTH((Tahmin!$C$4+42),0))))&lt;=(Tahmin!$C$4+48),DATE(YEAR((Tahmin!$C$4+42)),MONTH((Tahmin!$C$4+42)),MIN(DAY(Kalemler!$D175),DAY(EOMONTH((Tahmin!$C$4+42),0))))&gt;=Kalemler!$D175),AND(DATE(YEAR((Tahmin!$C$4+48)),MONTH((Tahmin!$C$4+48)),MIN(DAY(Kalemler!$D175),DAY(EOMONTH((Tahmin!$C$4+48),0))))&gt;=(Tahmin!$C$4+42),DATE(YEAR((Tahmin!$C$4+48)),MONTH((Tahmin!$C$4+48)),MIN(DAY(Kalemler!$D175),DAY(EOMONTH((Tahmin!$C$4+48),0))))&lt;=(Tahmin!$C$4+48),DATE(YEAR((Tahmin!$C$4+48)),MONTH((Tahmin!$C$4+48)),MIN(DAY(Kalemler!$D175),DAY(EOMONTH((Tahmin!$C$4+48),0))))&lt;&gt;DATE(YEAR((Tahmin!$C$4+42)),MONTH((Tahmin!$C$4+42)),MIN(DAY(Kalemler!$D175),DAY(EOMONTH((Tahmin!$C$4+42),0)))),DATE(YEAR((Tahmin!$C$4+48)),MONTH((Tahmin!$C$4+48)),MIN(DAY(Kalemler!$D175),DAY(EOMONTH((Tahmin!$C$4+48),0))))&gt;=Kalemler!$D175)),1,0),IF(AND(Kalemler!$D175&gt;=(Tahmin!$C$4+42),Kalemler!$D175&lt;=(Tahmin!$C$4+48)),1,0))))</f>
        <v>0</v>
      </c>
      <c r="I175" s="0" t="n">
        <f aca="false">IF(OR(Kalemler!$A175="",Kalemler!$C175="",Kalemler!$D175=""),0,Kalemler!$C175*IF(Kalemler!$E175="Haftalık",IF(Kalemler!$D175&lt;=(Tahmin!$C$4+55),1,0),IF(Kalemler!$E175="Aylık",IF(OR(AND(DATE(YEAR((Tahmin!$C$4+49)),MONTH((Tahmin!$C$4+49)),MIN(DAY(Kalemler!$D175),DAY(EOMONTH((Tahmin!$C$4+49),0))))&gt;=(Tahmin!$C$4+49),DATE(YEAR((Tahmin!$C$4+49)),MONTH((Tahmin!$C$4+49)),MIN(DAY(Kalemler!$D175),DAY(EOMONTH((Tahmin!$C$4+49),0))))&lt;=(Tahmin!$C$4+55),DATE(YEAR((Tahmin!$C$4+49)),MONTH((Tahmin!$C$4+49)),MIN(DAY(Kalemler!$D175),DAY(EOMONTH((Tahmin!$C$4+49),0))))&gt;=Kalemler!$D175),AND(DATE(YEAR((Tahmin!$C$4+55)),MONTH((Tahmin!$C$4+55)),MIN(DAY(Kalemler!$D175),DAY(EOMONTH((Tahmin!$C$4+55),0))))&gt;=(Tahmin!$C$4+49),DATE(YEAR((Tahmin!$C$4+55)),MONTH((Tahmin!$C$4+55)),MIN(DAY(Kalemler!$D175),DAY(EOMONTH((Tahmin!$C$4+55),0))))&lt;=(Tahmin!$C$4+55),DATE(YEAR((Tahmin!$C$4+55)),MONTH((Tahmin!$C$4+55)),MIN(DAY(Kalemler!$D175),DAY(EOMONTH((Tahmin!$C$4+55),0))))&lt;&gt;DATE(YEAR((Tahmin!$C$4+49)),MONTH((Tahmin!$C$4+49)),MIN(DAY(Kalemler!$D175),DAY(EOMONTH((Tahmin!$C$4+49),0)))),DATE(YEAR((Tahmin!$C$4+55)),MONTH((Tahmin!$C$4+55)),MIN(DAY(Kalemler!$D175),DAY(EOMONTH((Tahmin!$C$4+55),0))))&gt;=Kalemler!$D175)),1,0),IF(AND(Kalemler!$D175&gt;=(Tahmin!$C$4+49),Kalemler!$D175&lt;=(Tahmin!$C$4+55)),1,0))))</f>
        <v>0</v>
      </c>
      <c r="J175" s="0" t="n">
        <f aca="false">IF(OR(Kalemler!$A175="",Kalemler!$C175="",Kalemler!$D175=""),0,Kalemler!$C175*IF(Kalemler!$E175="Haftalık",IF(Kalemler!$D175&lt;=(Tahmin!$C$4+62),1,0),IF(Kalemler!$E175="Aylık",IF(OR(AND(DATE(YEAR((Tahmin!$C$4+56)),MONTH((Tahmin!$C$4+56)),MIN(DAY(Kalemler!$D175),DAY(EOMONTH((Tahmin!$C$4+56),0))))&gt;=(Tahmin!$C$4+56),DATE(YEAR((Tahmin!$C$4+56)),MONTH((Tahmin!$C$4+56)),MIN(DAY(Kalemler!$D175),DAY(EOMONTH((Tahmin!$C$4+56),0))))&lt;=(Tahmin!$C$4+62),DATE(YEAR((Tahmin!$C$4+56)),MONTH((Tahmin!$C$4+56)),MIN(DAY(Kalemler!$D175),DAY(EOMONTH((Tahmin!$C$4+56),0))))&gt;=Kalemler!$D175),AND(DATE(YEAR((Tahmin!$C$4+62)),MONTH((Tahmin!$C$4+62)),MIN(DAY(Kalemler!$D175),DAY(EOMONTH((Tahmin!$C$4+62),0))))&gt;=(Tahmin!$C$4+56),DATE(YEAR((Tahmin!$C$4+62)),MONTH((Tahmin!$C$4+62)),MIN(DAY(Kalemler!$D175),DAY(EOMONTH((Tahmin!$C$4+62),0))))&lt;=(Tahmin!$C$4+62),DATE(YEAR((Tahmin!$C$4+62)),MONTH((Tahmin!$C$4+62)),MIN(DAY(Kalemler!$D175),DAY(EOMONTH((Tahmin!$C$4+62),0))))&lt;&gt;DATE(YEAR((Tahmin!$C$4+56)),MONTH((Tahmin!$C$4+56)),MIN(DAY(Kalemler!$D175),DAY(EOMONTH((Tahmin!$C$4+56),0)))),DATE(YEAR((Tahmin!$C$4+62)),MONTH((Tahmin!$C$4+62)),MIN(DAY(Kalemler!$D175),DAY(EOMONTH((Tahmin!$C$4+62),0))))&gt;=Kalemler!$D175)),1,0),IF(AND(Kalemler!$D175&gt;=(Tahmin!$C$4+56),Kalemler!$D175&lt;=(Tahmin!$C$4+62)),1,0))))</f>
        <v>0</v>
      </c>
      <c r="K175" s="0" t="n">
        <f aca="false">IF(OR(Kalemler!$A175="",Kalemler!$C175="",Kalemler!$D175=""),0,Kalemler!$C175*IF(Kalemler!$E175="Haftalık",IF(Kalemler!$D175&lt;=(Tahmin!$C$4+69),1,0),IF(Kalemler!$E175="Aylık",IF(OR(AND(DATE(YEAR((Tahmin!$C$4+63)),MONTH((Tahmin!$C$4+63)),MIN(DAY(Kalemler!$D175),DAY(EOMONTH((Tahmin!$C$4+63),0))))&gt;=(Tahmin!$C$4+63),DATE(YEAR((Tahmin!$C$4+63)),MONTH((Tahmin!$C$4+63)),MIN(DAY(Kalemler!$D175),DAY(EOMONTH((Tahmin!$C$4+63),0))))&lt;=(Tahmin!$C$4+69),DATE(YEAR((Tahmin!$C$4+63)),MONTH((Tahmin!$C$4+63)),MIN(DAY(Kalemler!$D175),DAY(EOMONTH((Tahmin!$C$4+63),0))))&gt;=Kalemler!$D175),AND(DATE(YEAR((Tahmin!$C$4+69)),MONTH((Tahmin!$C$4+69)),MIN(DAY(Kalemler!$D175),DAY(EOMONTH((Tahmin!$C$4+69),0))))&gt;=(Tahmin!$C$4+63),DATE(YEAR((Tahmin!$C$4+69)),MONTH((Tahmin!$C$4+69)),MIN(DAY(Kalemler!$D175),DAY(EOMONTH((Tahmin!$C$4+69),0))))&lt;=(Tahmin!$C$4+69),DATE(YEAR((Tahmin!$C$4+69)),MONTH((Tahmin!$C$4+69)),MIN(DAY(Kalemler!$D175),DAY(EOMONTH((Tahmin!$C$4+69),0))))&lt;&gt;DATE(YEAR((Tahmin!$C$4+63)),MONTH((Tahmin!$C$4+63)),MIN(DAY(Kalemler!$D175),DAY(EOMONTH((Tahmin!$C$4+63),0)))),DATE(YEAR((Tahmin!$C$4+69)),MONTH((Tahmin!$C$4+69)),MIN(DAY(Kalemler!$D175),DAY(EOMONTH((Tahmin!$C$4+69),0))))&gt;=Kalemler!$D175)),1,0),IF(AND(Kalemler!$D175&gt;=(Tahmin!$C$4+63),Kalemler!$D175&lt;=(Tahmin!$C$4+69)),1,0))))</f>
        <v>0</v>
      </c>
      <c r="L175" s="0" t="n">
        <f aca="false">IF(OR(Kalemler!$A175="",Kalemler!$C175="",Kalemler!$D175=""),0,Kalemler!$C175*IF(Kalemler!$E175="Haftalık",IF(Kalemler!$D175&lt;=(Tahmin!$C$4+76),1,0),IF(Kalemler!$E175="Aylık",IF(OR(AND(DATE(YEAR((Tahmin!$C$4+70)),MONTH((Tahmin!$C$4+70)),MIN(DAY(Kalemler!$D175),DAY(EOMONTH((Tahmin!$C$4+70),0))))&gt;=(Tahmin!$C$4+70),DATE(YEAR((Tahmin!$C$4+70)),MONTH((Tahmin!$C$4+70)),MIN(DAY(Kalemler!$D175),DAY(EOMONTH((Tahmin!$C$4+70),0))))&lt;=(Tahmin!$C$4+76),DATE(YEAR((Tahmin!$C$4+70)),MONTH((Tahmin!$C$4+70)),MIN(DAY(Kalemler!$D175),DAY(EOMONTH((Tahmin!$C$4+70),0))))&gt;=Kalemler!$D175),AND(DATE(YEAR((Tahmin!$C$4+76)),MONTH((Tahmin!$C$4+76)),MIN(DAY(Kalemler!$D175),DAY(EOMONTH((Tahmin!$C$4+76),0))))&gt;=(Tahmin!$C$4+70),DATE(YEAR((Tahmin!$C$4+76)),MONTH((Tahmin!$C$4+76)),MIN(DAY(Kalemler!$D175),DAY(EOMONTH((Tahmin!$C$4+76),0))))&lt;=(Tahmin!$C$4+76),DATE(YEAR((Tahmin!$C$4+76)),MONTH((Tahmin!$C$4+76)),MIN(DAY(Kalemler!$D175),DAY(EOMONTH((Tahmin!$C$4+76),0))))&lt;&gt;DATE(YEAR((Tahmin!$C$4+70)),MONTH((Tahmin!$C$4+70)),MIN(DAY(Kalemler!$D175),DAY(EOMONTH((Tahmin!$C$4+70),0)))),DATE(YEAR((Tahmin!$C$4+76)),MONTH((Tahmin!$C$4+76)),MIN(DAY(Kalemler!$D175),DAY(EOMONTH((Tahmin!$C$4+76),0))))&gt;=Kalemler!$D175)),1,0),IF(AND(Kalemler!$D175&gt;=(Tahmin!$C$4+70),Kalemler!$D175&lt;=(Tahmin!$C$4+76)),1,0))))</f>
        <v>0</v>
      </c>
      <c r="M175" s="0" t="n">
        <f aca="false">IF(OR(Kalemler!$A175="",Kalemler!$C175="",Kalemler!$D175=""),0,Kalemler!$C175*IF(Kalemler!$E175="Haftalık",IF(Kalemler!$D175&lt;=(Tahmin!$C$4+83),1,0),IF(Kalemler!$E175="Aylık",IF(OR(AND(DATE(YEAR((Tahmin!$C$4+77)),MONTH((Tahmin!$C$4+77)),MIN(DAY(Kalemler!$D175),DAY(EOMONTH((Tahmin!$C$4+77),0))))&gt;=(Tahmin!$C$4+77),DATE(YEAR((Tahmin!$C$4+77)),MONTH((Tahmin!$C$4+77)),MIN(DAY(Kalemler!$D175),DAY(EOMONTH((Tahmin!$C$4+77),0))))&lt;=(Tahmin!$C$4+83),DATE(YEAR((Tahmin!$C$4+77)),MONTH((Tahmin!$C$4+77)),MIN(DAY(Kalemler!$D175),DAY(EOMONTH((Tahmin!$C$4+77),0))))&gt;=Kalemler!$D175),AND(DATE(YEAR((Tahmin!$C$4+83)),MONTH((Tahmin!$C$4+83)),MIN(DAY(Kalemler!$D175),DAY(EOMONTH((Tahmin!$C$4+83),0))))&gt;=(Tahmin!$C$4+77),DATE(YEAR((Tahmin!$C$4+83)),MONTH((Tahmin!$C$4+83)),MIN(DAY(Kalemler!$D175),DAY(EOMONTH((Tahmin!$C$4+83),0))))&lt;=(Tahmin!$C$4+83),DATE(YEAR((Tahmin!$C$4+83)),MONTH((Tahmin!$C$4+83)),MIN(DAY(Kalemler!$D175),DAY(EOMONTH((Tahmin!$C$4+83),0))))&lt;&gt;DATE(YEAR((Tahmin!$C$4+77)),MONTH((Tahmin!$C$4+77)),MIN(DAY(Kalemler!$D175),DAY(EOMONTH((Tahmin!$C$4+77),0)))),DATE(YEAR((Tahmin!$C$4+83)),MONTH((Tahmin!$C$4+83)),MIN(DAY(Kalemler!$D175),DAY(EOMONTH((Tahmin!$C$4+83),0))))&gt;=Kalemler!$D175)),1,0),IF(AND(Kalemler!$D175&gt;=(Tahmin!$C$4+77),Kalemler!$D175&lt;=(Tahmin!$C$4+83)),1,0))))</f>
        <v>0</v>
      </c>
      <c r="N175" s="0" t="n">
        <f aca="false">IF(OR(Kalemler!$A175="",Kalemler!$C175="",Kalemler!$D175=""),0,Kalemler!$C175*IF(Kalemler!$E175="Haftalık",IF(Kalemler!$D175&lt;=(Tahmin!$C$4+90),1,0),IF(Kalemler!$E175="Aylık",IF(OR(AND(DATE(YEAR((Tahmin!$C$4+84)),MONTH((Tahmin!$C$4+84)),MIN(DAY(Kalemler!$D175),DAY(EOMONTH((Tahmin!$C$4+84),0))))&gt;=(Tahmin!$C$4+84),DATE(YEAR((Tahmin!$C$4+84)),MONTH((Tahmin!$C$4+84)),MIN(DAY(Kalemler!$D175),DAY(EOMONTH((Tahmin!$C$4+84),0))))&lt;=(Tahmin!$C$4+90),DATE(YEAR((Tahmin!$C$4+84)),MONTH((Tahmin!$C$4+84)),MIN(DAY(Kalemler!$D175),DAY(EOMONTH((Tahmin!$C$4+84),0))))&gt;=Kalemler!$D175),AND(DATE(YEAR((Tahmin!$C$4+90)),MONTH((Tahmin!$C$4+90)),MIN(DAY(Kalemler!$D175),DAY(EOMONTH((Tahmin!$C$4+90),0))))&gt;=(Tahmin!$C$4+84),DATE(YEAR((Tahmin!$C$4+90)),MONTH((Tahmin!$C$4+90)),MIN(DAY(Kalemler!$D175),DAY(EOMONTH((Tahmin!$C$4+90),0))))&lt;=(Tahmin!$C$4+90),DATE(YEAR((Tahmin!$C$4+90)),MONTH((Tahmin!$C$4+90)),MIN(DAY(Kalemler!$D175),DAY(EOMONTH((Tahmin!$C$4+90),0))))&lt;&gt;DATE(YEAR((Tahmin!$C$4+84)),MONTH((Tahmin!$C$4+84)),MIN(DAY(Kalemler!$D175),DAY(EOMONTH((Tahmin!$C$4+84),0)))),DATE(YEAR((Tahmin!$C$4+90)),MONTH((Tahmin!$C$4+90)),MIN(DAY(Kalemler!$D175),DAY(EOMONTH((Tahmin!$C$4+90),0))))&gt;=Kalemler!$D175)),1,0),IF(AND(Kalemler!$D175&gt;=(Tahmin!$C$4+84),Kalemler!$D175&lt;=(Tahmin!$C$4+90)),1,0))))</f>
        <v>0</v>
      </c>
    </row>
    <row r="176" customFormat="false" ht="15" hidden="false" customHeight="false" outlineLevel="0" collapsed="false">
      <c r="A176" s="0" t="str">
        <f aca="false">IF(Kalemler!A176="","",Kalemler!A176)</f>
        <v/>
      </c>
      <c r="B176" s="0" t="n">
        <f aca="false">IF(OR(Kalemler!$A176="",Kalemler!$C176="",Kalemler!$D176=""),0,Kalemler!$C176*IF(Kalemler!$E176="Haftalık",IF(Kalemler!$D176&lt;=(Tahmin!$C$4+6),1,0),IF(Kalemler!$E176="Aylık",IF(OR(AND(DATE(YEAR((Tahmin!$C$4+0)),MONTH((Tahmin!$C$4+0)),MIN(DAY(Kalemler!$D176),DAY(EOMONTH((Tahmin!$C$4+0),0))))&gt;=(Tahmin!$C$4+0),DATE(YEAR((Tahmin!$C$4+0)),MONTH((Tahmin!$C$4+0)),MIN(DAY(Kalemler!$D176),DAY(EOMONTH((Tahmin!$C$4+0),0))))&lt;=(Tahmin!$C$4+6),DATE(YEAR((Tahmin!$C$4+0)),MONTH((Tahmin!$C$4+0)),MIN(DAY(Kalemler!$D176),DAY(EOMONTH((Tahmin!$C$4+0),0))))&gt;=Kalemler!$D176),AND(DATE(YEAR((Tahmin!$C$4+6)),MONTH((Tahmin!$C$4+6)),MIN(DAY(Kalemler!$D176),DAY(EOMONTH((Tahmin!$C$4+6),0))))&gt;=(Tahmin!$C$4+0),DATE(YEAR((Tahmin!$C$4+6)),MONTH((Tahmin!$C$4+6)),MIN(DAY(Kalemler!$D176),DAY(EOMONTH((Tahmin!$C$4+6),0))))&lt;=(Tahmin!$C$4+6),DATE(YEAR((Tahmin!$C$4+6)),MONTH((Tahmin!$C$4+6)),MIN(DAY(Kalemler!$D176),DAY(EOMONTH((Tahmin!$C$4+6),0))))&lt;&gt;DATE(YEAR((Tahmin!$C$4+0)),MONTH((Tahmin!$C$4+0)),MIN(DAY(Kalemler!$D176),DAY(EOMONTH((Tahmin!$C$4+0),0)))),DATE(YEAR((Tahmin!$C$4+6)),MONTH((Tahmin!$C$4+6)),MIN(DAY(Kalemler!$D176),DAY(EOMONTH((Tahmin!$C$4+6),0))))&gt;=Kalemler!$D176)),1,0),IF(AND(Kalemler!$D176&gt;=(Tahmin!$C$4+0),Kalemler!$D176&lt;=(Tahmin!$C$4+6)),1,0))))</f>
        <v>0</v>
      </c>
      <c r="C176" s="0" t="n">
        <f aca="false">IF(OR(Kalemler!$A176="",Kalemler!$C176="",Kalemler!$D176=""),0,Kalemler!$C176*IF(Kalemler!$E176="Haftalık",IF(Kalemler!$D176&lt;=(Tahmin!$C$4+13),1,0),IF(Kalemler!$E176="Aylık",IF(OR(AND(DATE(YEAR((Tahmin!$C$4+7)),MONTH((Tahmin!$C$4+7)),MIN(DAY(Kalemler!$D176),DAY(EOMONTH((Tahmin!$C$4+7),0))))&gt;=(Tahmin!$C$4+7),DATE(YEAR((Tahmin!$C$4+7)),MONTH((Tahmin!$C$4+7)),MIN(DAY(Kalemler!$D176),DAY(EOMONTH((Tahmin!$C$4+7),0))))&lt;=(Tahmin!$C$4+13),DATE(YEAR((Tahmin!$C$4+7)),MONTH((Tahmin!$C$4+7)),MIN(DAY(Kalemler!$D176),DAY(EOMONTH((Tahmin!$C$4+7),0))))&gt;=Kalemler!$D176),AND(DATE(YEAR((Tahmin!$C$4+13)),MONTH((Tahmin!$C$4+13)),MIN(DAY(Kalemler!$D176),DAY(EOMONTH((Tahmin!$C$4+13),0))))&gt;=(Tahmin!$C$4+7),DATE(YEAR((Tahmin!$C$4+13)),MONTH((Tahmin!$C$4+13)),MIN(DAY(Kalemler!$D176),DAY(EOMONTH((Tahmin!$C$4+13),0))))&lt;=(Tahmin!$C$4+13),DATE(YEAR((Tahmin!$C$4+13)),MONTH((Tahmin!$C$4+13)),MIN(DAY(Kalemler!$D176),DAY(EOMONTH((Tahmin!$C$4+13),0))))&lt;&gt;DATE(YEAR((Tahmin!$C$4+7)),MONTH((Tahmin!$C$4+7)),MIN(DAY(Kalemler!$D176),DAY(EOMONTH((Tahmin!$C$4+7),0)))),DATE(YEAR((Tahmin!$C$4+13)),MONTH((Tahmin!$C$4+13)),MIN(DAY(Kalemler!$D176),DAY(EOMONTH((Tahmin!$C$4+13),0))))&gt;=Kalemler!$D176)),1,0),IF(AND(Kalemler!$D176&gt;=(Tahmin!$C$4+7),Kalemler!$D176&lt;=(Tahmin!$C$4+13)),1,0))))</f>
        <v>0</v>
      </c>
      <c r="D176" s="0" t="n">
        <f aca="false">IF(OR(Kalemler!$A176="",Kalemler!$C176="",Kalemler!$D176=""),0,Kalemler!$C176*IF(Kalemler!$E176="Haftalık",IF(Kalemler!$D176&lt;=(Tahmin!$C$4+20),1,0),IF(Kalemler!$E176="Aylık",IF(OR(AND(DATE(YEAR((Tahmin!$C$4+14)),MONTH((Tahmin!$C$4+14)),MIN(DAY(Kalemler!$D176),DAY(EOMONTH((Tahmin!$C$4+14),0))))&gt;=(Tahmin!$C$4+14),DATE(YEAR((Tahmin!$C$4+14)),MONTH((Tahmin!$C$4+14)),MIN(DAY(Kalemler!$D176),DAY(EOMONTH((Tahmin!$C$4+14),0))))&lt;=(Tahmin!$C$4+20),DATE(YEAR((Tahmin!$C$4+14)),MONTH((Tahmin!$C$4+14)),MIN(DAY(Kalemler!$D176),DAY(EOMONTH((Tahmin!$C$4+14),0))))&gt;=Kalemler!$D176),AND(DATE(YEAR((Tahmin!$C$4+20)),MONTH((Tahmin!$C$4+20)),MIN(DAY(Kalemler!$D176),DAY(EOMONTH((Tahmin!$C$4+20),0))))&gt;=(Tahmin!$C$4+14),DATE(YEAR((Tahmin!$C$4+20)),MONTH((Tahmin!$C$4+20)),MIN(DAY(Kalemler!$D176),DAY(EOMONTH((Tahmin!$C$4+20),0))))&lt;=(Tahmin!$C$4+20),DATE(YEAR((Tahmin!$C$4+20)),MONTH((Tahmin!$C$4+20)),MIN(DAY(Kalemler!$D176),DAY(EOMONTH((Tahmin!$C$4+20),0))))&lt;&gt;DATE(YEAR((Tahmin!$C$4+14)),MONTH((Tahmin!$C$4+14)),MIN(DAY(Kalemler!$D176),DAY(EOMONTH((Tahmin!$C$4+14),0)))),DATE(YEAR((Tahmin!$C$4+20)),MONTH((Tahmin!$C$4+20)),MIN(DAY(Kalemler!$D176),DAY(EOMONTH((Tahmin!$C$4+20),0))))&gt;=Kalemler!$D176)),1,0),IF(AND(Kalemler!$D176&gt;=(Tahmin!$C$4+14),Kalemler!$D176&lt;=(Tahmin!$C$4+20)),1,0))))</f>
        <v>0</v>
      </c>
      <c r="E176" s="0" t="n">
        <f aca="false">IF(OR(Kalemler!$A176="",Kalemler!$C176="",Kalemler!$D176=""),0,Kalemler!$C176*IF(Kalemler!$E176="Haftalık",IF(Kalemler!$D176&lt;=(Tahmin!$C$4+27),1,0),IF(Kalemler!$E176="Aylık",IF(OR(AND(DATE(YEAR((Tahmin!$C$4+21)),MONTH((Tahmin!$C$4+21)),MIN(DAY(Kalemler!$D176),DAY(EOMONTH((Tahmin!$C$4+21),0))))&gt;=(Tahmin!$C$4+21),DATE(YEAR((Tahmin!$C$4+21)),MONTH((Tahmin!$C$4+21)),MIN(DAY(Kalemler!$D176),DAY(EOMONTH((Tahmin!$C$4+21),0))))&lt;=(Tahmin!$C$4+27),DATE(YEAR((Tahmin!$C$4+21)),MONTH((Tahmin!$C$4+21)),MIN(DAY(Kalemler!$D176),DAY(EOMONTH((Tahmin!$C$4+21),0))))&gt;=Kalemler!$D176),AND(DATE(YEAR((Tahmin!$C$4+27)),MONTH((Tahmin!$C$4+27)),MIN(DAY(Kalemler!$D176),DAY(EOMONTH((Tahmin!$C$4+27),0))))&gt;=(Tahmin!$C$4+21),DATE(YEAR((Tahmin!$C$4+27)),MONTH((Tahmin!$C$4+27)),MIN(DAY(Kalemler!$D176),DAY(EOMONTH((Tahmin!$C$4+27),0))))&lt;=(Tahmin!$C$4+27),DATE(YEAR((Tahmin!$C$4+27)),MONTH((Tahmin!$C$4+27)),MIN(DAY(Kalemler!$D176),DAY(EOMONTH((Tahmin!$C$4+27),0))))&lt;&gt;DATE(YEAR((Tahmin!$C$4+21)),MONTH((Tahmin!$C$4+21)),MIN(DAY(Kalemler!$D176),DAY(EOMONTH((Tahmin!$C$4+21),0)))),DATE(YEAR((Tahmin!$C$4+27)),MONTH((Tahmin!$C$4+27)),MIN(DAY(Kalemler!$D176),DAY(EOMONTH((Tahmin!$C$4+27),0))))&gt;=Kalemler!$D176)),1,0),IF(AND(Kalemler!$D176&gt;=(Tahmin!$C$4+21),Kalemler!$D176&lt;=(Tahmin!$C$4+27)),1,0))))</f>
        <v>0</v>
      </c>
      <c r="F176" s="0" t="n">
        <f aca="false">IF(OR(Kalemler!$A176="",Kalemler!$C176="",Kalemler!$D176=""),0,Kalemler!$C176*IF(Kalemler!$E176="Haftalık",IF(Kalemler!$D176&lt;=(Tahmin!$C$4+34),1,0),IF(Kalemler!$E176="Aylık",IF(OR(AND(DATE(YEAR((Tahmin!$C$4+28)),MONTH((Tahmin!$C$4+28)),MIN(DAY(Kalemler!$D176),DAY(EOMONTH((Tahmin!$C$4+28),0))))&gt;=(Tahmin!$C$4+28),DATE(YEAR((Tahmin!$C$4+28)),MONTH((Tahmin!$C$4+28)),MIN(DAY(Kalemler!$D176),DAY(EOMONTH((Tahmin!$C$4+28),0))))&lt;=(Tahmin!$C$4+34),DATE(YEAR((Tahmin!$C$4+28)),MONTH((Tahmin!$C$4+28)),MIN(DAY(Kalemler!$D176),DAY(EOMONTH((Tahmin!$C$4+28),0))))&gt;=Kalemler!$D176),AND(DATE(YEAR((Tahmin!$C$4+34)),MONTH((Tahmin!$C$4+34)),MIN(DAY(Kalemler!$D176),DAY(EOMONTH((Tahmin!$C$4+34),0))))&gt;=(Tahmin!$C$4+28),DATE(YEAR((Tahmin!$C$4+34)),MONTH((Tahmin!$C$4+34)),MIN(DAY(Kalemler!$D176),DAY(EOMONTH((Tahmin!$C$4+34),0))))&lt;=(Tahmin!$C$4+34),DATE(YEAR((Tahmin!$C$4+34)),MONTH((Tahmin!$C$4+34)),MIN(DAY(Kalemler!$D176),DAY(EOMONTH((Tahmin!$C$4+34),0))))&lt;&gt;DATE(YEAR((Tahmin!$C$4+28)),MONTH((Tahmin!$C$4+28)),MIN(DAY(Kalemler!$D176),DAY(EOMONTH((Tahmin!$C$4+28),0)))),DATE(YEAR((Tahmin!$C$4+34)),MONTH((Tahmin!$C$4+34)),MIN(DAY(Kalemler!$D176),DAY(EOMONTH((Tahmin!$C$4+34),0))))&gt;=Kalemler!$D176)),1,0),IF(AND(Kalemler!$D176&gt;=(Tahmin!$C$4+28),Kalemler!$D176&lt;=(Tahmin!$C$4+34)),1,0))))</f>
        <v>0</v>
      </c>
      <c r="G176" s="0" t="n">
        <f aca="false">IF(OR(Kalemler!$A176="",Kalemler!$C176="",Kalemler!$D176=""),0,Kalemler!$C176*IF(Kalemler!$E176="Haftalık",IF(Kalemler!$D176&lt;=(Tahmin!$C$4+41),1,0),IF(Kalemler!$E176="Aylık",IF(OR(AND(DATE(YEAR((Tahmin!$C$4+35)),MONTH((Tahmin!$C$4+35)),MIN(DAY(Kalemler!$D176),DAY(EOMONTH((Tahmin!$C$4+35),0))))&gt;=(Tahmin!$C$4+35),DATE(YEAR((Tahmin!$C$4+35)),MONTH((Tahmin!$C$4+35)),MIN(DAY(Kalemler!$D176),DAY(EOMONTH((Tahmin!$C$4+35),0))))&lt;=(Tahmin!$C$4+41),DATE(YEAR((Tahmin!$C$4+35)),MONTH((Tahmin!$C$4+35)),MIN(DAY(Kalemler!$D176),DAY(EOMONTH((Tahmin!$C$4+35),0))))&gt;=Kalemler!$D176),AND(DATE(YEAR((Tahmin!$C$4+41)),MONTH((Tahmin!$C$4+41)),MIN(DAY(Kalemler!$D176),DAY(EOMONTH((Tahmin!$C$4+41),0))))&gt;=(Tahmin!$C$4+35),DATE(YEAR((Tahmin!$C$4+41)),MONTH((Tahmin!$C$4+41)),MIN(DAY(Kalemler!$D176),DAY(EOMONTH((Tahmin!$C$4+41),0))))&lt;=(Tahmin!$C$4+41),DATE(YEAR((Tahmin!$C$4+41)),MONTH((Tahmin!$C$4+41)),MIN(DAY(Kalemler!$D176),DAY(EOMONTH((Tahmin!$C$4+41),0))))&lt;&gt;DATE(YEAR((Tahmin!$C$4+35)),MONTH((Tahmin!$C$4+35)),MIN(DAY(Kalemler!$D176),DAY(EOMONTH((Tahmin!$C$4+35),0)))),DATE(YEAR((Tahmin!$C$4+41)),MONTH((Tahmin!$C$4+41)),MIN(DAY(Kalemler!$D176),DAY(EOMONTH((Tahmin!$C$4+41),0))))&gt;=Kalemler!$D176)),1,0),IF(AND(Kalemler!$D176&gt;=(Tahmin!$C$4+35),Kalemler!$D176&lt;=(Tahmin!$C$4+41)),1,0))))</f>
        <v>0</v>
      </c>
      <c r="H176" s="0" t="n">
        <f aca="false">IF(OR(Kalemler!$A176="",Kalemler!$C176="",Kalemler!$D176=""),0,Kalemler!$C176*IF(Kalemler!$E176="Haftalık",IF(Kalemler!$D176&lt;=(Tahmin!$C$4+48),1,0),IF(Kalemler!$E176="Aylık",IF(OR(AND(DATE(YEAR((Tahmin!$C$4+42)),MONTH((Tahmin!$C$4+42)),MIN(DAY(Kalemler!$D176),DAY(EOMONTH((Tahmin!$C$4+42),0))))&gt;=(Tahmin!$C$4+42),DATE(YEAR((Tahmin!$C$4+42)),MONTH((Tahmin!$C$4+42)),MIN(DAY(Kalemler!$D176),DAY(EOMONTH((Tahmin!$C$4+42),0))))&lt;=(Tahmin!$C$4+48),DATE(YEAR((Tahmin!$C$4+42)),MONTH((Tahmin!$C$4+42)),MIN(DAY(Kalemler!$D176),DAY(EOMONTH((Tahmin!$C$4+42),0))))&gt;=Kalemler!$D176),AND(DATE(YEAR((Tahmin!$C$4+48)),MONTH((Tahmin!$C$4+48)),MIN(DAY(Kalemler!$D176),DAY(EOMONTH((Tahmin!$C$4+48),0))))&gt;=(Tahmin!$C$4+42),DATE(YEAR((Tahmin!$C$4+48)),MONTH((Tahmin!$C$4+48)),MIN(DAY(Kalemler!$D176),DAY(EOMONTH((Tahmin!$C$4+48),0))))&lt;=(Tahmin!$C$4+48),DATE(YEAR((Tahmin!$C$4+48)),MONTH((Tahmin!$C$4+48)),MIN(DAY(Kalemler!$D176),DAY(EOMONTH((Tahmin!$C$4+48),0))))&lt;&gt;DATE(YEAR((Tahmin!$C$4+42)),MONTH((Tahmin!$C$4+42)),MIN(DAY(Kalemler!$D176),DAY(EOMONTH((Tahmin!$C$4+42),0)))),DATE(YEAR((Tahmin!$C$4+48)),MONTH((Tahmin!$C$4+48)),MIN(DAY(Kalemler!$D176),DAY(EOMONTH((Tahmin!$C$4+48),0))))&gt;=Kalemler!$D176)),1,0),IF(AND(Kalemler!$D176&gt;=(Tahmin!$C$4+42),Kalemler!$D176&lt;=(Tahmin!$C$4+48)),1,0))))</f>
        <v>0</v>
      </c>
      <c r="I176" s="0" t="n">
        <f aca="false">IF(OR(Kalemler!$A176="",Kalemler!$C176="",Kalemler!$D176=""),0,Kalemler!$C176*IF(Kalemler!$E176="Haftalık",IF(Kalemler!$D176&lt;=(Tahmin!$C$4+55),1,0),IF(Kalemler!$E176="Aylık",IF(OR(AND(DATE(YEAR((Tahmin!$C$4+49)),MONTH((Tahmin!$C$4+49)),MIN(DAY(Kalemler!$D176),DAY(EOMONTH((Tahmin!$C$4+49),0))))&gt;=(Tahmin!$C$4+49),DATE(YEAR((Tahmin!$C$4+49)),MONTH((Tahmin!$C$4+49)),MIN(DAY(Kalemler!$D176),DAY(EOMONTH((Tahmin!$C$4+49),0))))&lt;=(Tahmin!$C$4+55),DATE(YEAR((Tahmin!$C$4+49)),MONTH((Tahmin!$C$4+49)),MIN(DAY(Kalemler!$D176),DAY(EOMONTH((Tahmin!$C$4+49),0))))&gt;=Kalemler!$D176),AND(DATE(YEAR((Tahmin!$C$4+55)),MONTH((Tahmin!$C$4+55)),MIN(DAY(Kalemler!$D176),DAY(EOMONTH((Tahmin!$C$4+55),0))))&gt;=(Tahmin!$C$4+49),DATE(YEAR((Tahmin!$C$4+55)),MONTH((Tahmin!$C$4+55)),MIN(DAY(Kalemler!$D176),DAY(EOMONTH((Tahmin!$C$4+55),0))))&lt;=(Tahmin!$C$4+55),DATE(YEAR((Tahmin!$C$4+55)),MONTH((Tahmin!$C$4+55)),MIN(DAY(Kalemler!$D176),DAY(EOMONTH((Tahmin!$C$4+55),0))))&lt;&gt;DATE(YEAR((Tahmin!$C$4+49)),MONTH((Tahmin!$C$4+49)),MIN(DAY(Kalemler!$D176),DAY(EOMONTH((Tahmin!$C$4+49),0)))),DATE(YEAR((Tahmin!$C$4+55)),MONTH((Tahmin!$C$4+55)),MIN(DAY(Kalemler!$D176),DAY(EOMONTH((Tahmin!$C$4+55),0))))&gt;=Kalemler!$D176)),1,0),IF(AND(Kalemler!$D176&gt;=(Tahmin!$C$4+49),Kalemler!$D176&lt;=(Tahmin!$C$4+55)),1,0))))</f>
        <v>0</v>
      </c>
      <c r="J176" s="0" t="n">
        <f aca="false">IF(OR(Kalemler!$A176="",Kalemler!$C176="",Kalemler!$D176=""),0,Kalemler!$C176*IF(Kalemler!$E176="Haftalık",IF(Kalemler!$D176&lt;=(Tahmin!$C$4+62),1,0),IF(Kalemler!$E176="Aylık",IF(OR(AND(DATE(YEAR((Tahmin!$C$4+56)),MONTH((Tahmin!$C$4+56)),MIN(DAY(Kalemler!$D176),DAY(EOMONTH((Tahmin!$C$4+56),0))))&gt;=(Tahmin!$C$4+56),DATE(YEAR((Tahmin!$C$4+56)),MONTH((Tahmin!$C$4+56)),MIN(DAY(Kalemler!$D176),DAY(EOMONTH((Tahmin!$C$4+56),0))))&lt;=(Tahmin!$C$4+62),DATE(YEAR((Tahmin!$C$4+56)),MONTH((Tahmin!$C$4+56)),MIN(DAY(Kalemler!$D176),DAY(EOMONTH((Tahmin!$C$4+56),0))))&gt;=Kalemler!$D176),AND(DATE(YEAR((Tahmin!$C$4+62)),MONTH((Tahmin!$C$4+62)),MIN(DAY(Kalemler!$D176),DAY(EOMONTH((Tahmin!$C$4+62),0))))&gt;=(Tahmin!$C$4+56),DATE(YEAR((Tahmin!$C$4+62)),MONTH((Tahmin!$C$4+62)),MIN(DAY(Kalemler!$D176),DAY(EOMONTH((Tahmin!$C$4+62),0))))&lt;=(Tahmin!$C$4+62),DATE(YEAR((Tahmin!$C$4+62)),MONTH((Tahmin!$C$4+62)),MIN(DAY(Kalemler!$D176),DAY(EOMONTH((Tahmin!$C$4+62),0))))&lt;&gt;DATE(YEAR((Tahmin!$C$4+56)),MONTH((Tahmin!$C$4+56)),MIN(DAY(Kalemler!$D176),DAY(EOMONTH((Tahmin!$C$4+56),0)))),DATE(YEAR((Tahmin!$C$4+62)),MONTH((Tahmin!$C$4+62)),MIN(DAY(Kalemler!$D176),DAY(EOMONTH((Tahmin!$C$4+62),0))))&gt;=Kalemler!$D176)),1,0),IF(AND(Kalemler!$D176&gt;=(Tahmin!$C$4+56),Kalemler!$D176&lt;=(Tahmin!$C$4+62)),1,0))))</f>
        <v>0</v>
      </c>
      <c r="K176" s="0" t="n">
        <f aca="false">IF(OR(Kalemler!$A176="",Kalemler!$C176="",Kalemler!$D176=""),0,Kalemler!$C176*IF(Kalemler!$E176="Haftalık",IF(Kalemler!$D176&lt;=(Tahmin!$C$4+69),1,0),IF(Kalemler!$E176="Aylık",IF(OR(AND(DATE(YEAR((Tahmin!$C$4+63)),MONTH((Tahmin!$C$4+63)),MIN(DAY(Kalemler!$D176),DAY(EOMONTH((Tahmin!$C$4+63),0))))&gt;=(Tahmin!$C$4+63),DATE(YEAR((Tahmin!$C$4+63)),MONTH((Tahmin!$C$4+63)),MIN(DAY(Kalemler!$D176),DAY(EOMONTH((Tahmin!$C$4+63),0))))&lt;=(Tahmin!$C$4+69),DATE(YEAR((Tahmin!$C$4+63)),MONTH((Tahmin!$C$4+63)),MIN(DAY(Kalemler!$D176),DAY(EOMONTH((Tahmin!$C$4+63),0))))&gt;=Kalemler!$D176),AND(DATE(YEAR((Tahmin!$C$4+69)),MONTH((Tahmin!$C$4+69)),MIN(DAY(Kalemler!$D176),DAY(EOMONTH((Tahmin!$C$4+69),0))))&gt;=(Tahmin!$C$4+63),DATE(YEAR((Tahmin!$C$4+69)),MONTH((Tahmin!$C$4+69)),MIN(DAY(Kalemler!$D176),DAY(EOMONTH((Tahmin!$C$4+69),0))))&lt;=(Tahmin!$C$4+69),DATE(YEAR((Tahmin!$C$4+69)),MONTH((Tahmin!$C$4+69)),MIN(DAY(Kalemler!$D176),DAY(EOMONTH((Tahmin!$C$4+69),0))))&lt;&gt;DATE(YEAR((Tahmin!$C$4+63)),MONTH((Tahmin!$C$4+63)),MIN(DAY(Kalemler!$D176),DAY(EOMONTH((Tahmin!$C$4+63),0)))),DATE(YEAR((Tahmin!$C$4+69)),MONTH((Tahmin!$C$4+69)),MIN(DAY(Kalemler!$D176),DAY(EOMONTH((Tahmin!$C$4+69),0))))&gt;=Kalemler!$D176)),1,0),IF(AND(Kalemler!$D176&gt;=(Tahmin!$C$4+63),Kalemler!$D176&lt;=(Tahmin!$C$4+69)),1,0))))</f>
        <v>0</v>
      </c>
      <c r="L176" s="0" t="n">
        <f aca="false">IF(OR(Kalemler!$A176="",Kalemler!$C176="",Kalemler!$D176=""),0,Kalemler!$C176*IF(Kalemler!$E176="Haftalık",IF(Kalemler!$D176&lt;=(Tahmin!$C$4+76),1,0),IF(Kalemler!$E176="Aylık",IF(OR(AND(DATE(YEAR((Tahmin!$C$4+70)),MONTH((Tahmin!$C$4+70)),MIN(DAY(Kalemler!$D176),DAY(EOMONTH((Tahmin!$C$4+70),0))))&gt;=(Tahmin!$C$4+70),DATE(YEAR((Tahmin!$C$4+70)),MONTH((Tahmin!$C$4+70)),MIN(DAY(Kalemler!$D176),DAY(EOMONTH((Tahmin!$C$4+70),0))))&lt;=(Tahmin!$C$4+76),DATE(YEAR((Tahmin!$C$4+70)),MONTH((Tahmin!$C$4+70)),MIN(DAY(Kalemler!$D176),DAY(EOMONTH((Tahmin!$C$4+70),0))))&gt;=Kalemler!$D176),AND(DATE(YEAR((Tahmin!$C$4+76)),MONTH((Tahmin!$C$4+76)),MIN(DAY(Kalemler!$D176),DAY(EOMONTH((Tahmin!$C$4+76),0))))&gt;=(Tahmin!$C$4+70),DATE(YEAR((Tahmin!$C$4+76)),MONTH((Tahmin!$C$4+76)),MIN(DAY(Kalemler!$D176),DAY(EOMONTH((Tahmin!$C$4+76),0))))&lt;=(Tahmin!$C$4+76),DATE(YEAR((Tahmin!$C$4+76)),MONTH((Tahmin!$C$4+76)),MIN(DAY(Kalemler!$D176),DAY(EOMONTH((Tahmin!$C$4+76),0))))&lt;&gt;DATE(YEAR((Tahmin!$C$4+70)),MONTH((Tahmin!$C$4+70)),MIN(DAY(Kalemler!$D176),DAY(EOMONTH((Tahmin!$C$4+70),0)))),DATE(YEAR((Tahmin!$C$4+76)),MONTH((Tahmin!$C$4+76)),MIN(DAY(Kalemler!$D176),DAY(EOMONTH((Tahmin!$C$4+76),0))))&gt;=Kalemler!$D176)),1,0),IF(AND(Kalemler!$D176&gt;=(Tahmin!$C$4+70),Kalemler!$D176&lt;=(Tahmin!$C$4+76)),1,0))))</f>
        <v>0</v>
      </c>
      <c r="M176" s="0" t="n">
        <f aca="false">IF(OR(Kalemler!$A176="",Kalemler!$C176="",Kalemler!$D176=""),0,Kalemler!$C176*IF(Kalemler!$E176="Haftalık",IF(Kalemler!$D176&lt;=(Tahmin!$C$4+83),1,0),IF(Kalemler!$E176="Aylık",IF(OR(AND(DATE(YEAR((Tahmin!$C$4+77)),MONTH((Tahmin!$C$4+77)),MIN(DAY(Kalemler!$D176),DAY(EOMONTH((Tahmin!$C$4+77),0))))&gt;=(Tahmin!$C$4+77),DATE(YEAR((Tahmin!$C$4+77)),MONTH((Tahmin!$C$4+77)),MIN(DAY(Kalemler!$D176),DAY(EOMONTH((Tahmin!$C$4+77),0))))&lt;=(Tahmin!$C$4+83),DATE(YEAR((Tahmin!$C$4+77)),MONTH((Tahmin!$C$4+77)),MIN(DAY(Kalemler!$D176),DAY(EOMONTH((Tahmin!$C$4+77),0))))&gt;=Kalemler!$D176),AND(DATE(YEAR((Tahmin!$C$4+83)),MONTH((Tahmin!$C$4+83)),MIN(DAY(Kalemler!$D176),DAY(EOMONTH((Tahmin!$C$4+83),0))))&gt;=(Tahmin!$C$4+77),DATE(YEAR((Tahmin!$C$4+83)),MONTH((Tahmin!$C$4+83)),MIN(DAY(Kalemler!$D176),DAY(EOMONTH((Tahmin!$C$4+83),0))))&lt;=(Tahmin!$C$4+83),DATE(YEAR((Tahmin!$C$4+83)),MONTH((Tahmin!$C$4+83)),MIN(DAY(Kalemler!$D176),DAY(EOMONTH((Tahmin!$C$4+83),0))))&lt;&gt;DATE(YEAR((Tahmin!$C$4+77)),MONTH((Tahmin!$C$4+77)),MIN(DAY(Kalemler!$D176),DAY(EOMONTH((Tahmin!$C$4+77),0)))),DATE(YEAR((Tahmin!$C$4+83)),MONTH((Tahmin!$C$4+83)),MIN(DAY(Kalemler!$D176),DAY(EOMONTH((Tahmin!$C$4+83),0))))&gt;=Kalemler!$D176)),1,0),IF(AND(Kalemler!$D176&gt;=(Tahmin!$C$4+77),Kalemler!$D176&lt;=(Tahmin!$C$4+83)),1,0))))</f>
        <v>0</v>
      </c>
      <c r="N176" s="0" t="n">
        <f aca="false">IF(OR(Kalemler!$A176="",Kalemler!$C176="",Kalemler!$D176=""),0,Kalemler!$C176*IF(Kalemler!$E176="Haftalık",IF(Kalemler!$D176&lt;=(Tahmin!$C$4+90),1,0),IF(Kalemler!$E176="Aylık",IF(OR(AND(DATE(YEAR((Tahmin!$C$4+84)),MONTH((Tahmin!$C$4+84)),MIN(DAY(Kalemler!$D176),DAY(EOMONTH((Tahmin!$C$4+84),0))))&gt;=(Tahmin!$C$4+84),DATE(YEAR((Tahmin!$C$4+84)),MONTH((Tahmin!$C$4+84)),MIN(DAY(Kalemler!$D176),DAY(EOMONTH((Tahmin!$C$4+84),0))))&lt;=(Tahmin!$C$4+90),DATE(YEAR((Tahmin!$C$4+84)),MONTH((Tahmin!$C$4+84)),MIN(DAY(Kalemler!$D176),DAY(EOMONTH((Tahmin!$C$4+84),0))))&gt;=Kalemler!$D176),AND(DATE(YEAR((Tahmin!$C$4+90)),MONTH((Tahmin!$C$4+90)),MIN(DAY(Kalemler!$D176),DAY(EOMONTH((Tahmin!$C$4+90),0))))&gt;=(Tahmin!$C$4+84),DATE(YEAR((Tahmin!$C$4+90)),MONTH((Tahmin!$C$4+90)),MIN(DAY(Kalemler!$D176),DAY(EOMONTH((Tahmin!$C$4+90),0))))&lt;=(Tahmin!$C$4+90),DATE(YEAR((Tahmin!$C$4+90)),MONTH((Tahmin!$C$4+90)),MIN(DAY(Kalemler!$D176),DAY(EOMONTH((Tahmin!$C$4+90),0))))&lt;&gt;DATE(YEAR((Tahmin!$C$4+84)),MONTH((Tahmin!$C$4+84)),MIN(DAY(Kalemler!$D176),DAY(EOMONTH((Tahmin!$C$4+84),0)))),DATE(YEAR((Tahmin!$C$4+90)),MONTH((Tahmin!$C$4+90)),MIN(DAY(Kalemler!$D176),DAY(EOMONTH((Tahmin!$C$4+90),0))))&gt;=Kalemler!$D176)),1,0),IF(AND(Kalemler!$D176&gt;=(Tahmin!$C$4+84),Kalemler!$D176&lt;=(Tahmin!$C$4+90)),1,0))))</f>
        <v>0</v>
      </c>
    </row>
    <row r="177" customFormat="false" ht="15" hidden="false" customHeight="false" outlineLevel="0" collapsed="false">
      <c r="A177" s="0" t="str">
        <f aca="false">IF(Kalemler!A177="","",Kalemler!A177)</f>
        <v/>
      </c>
      <c r="B177" s="0" t="n">
        <f aca="false">IF(OR(Kalemler!$A177="",Kalemler!$C177="",Kalemler!$D177=""),0,Kalemler!$C177*IF(Kalemler!$E177="Haftalık",IF(Kalemler!$D177&lt;=(Tahmin!$C$4+6),1,0),IF(Kalemler!$E177="Aylık",IF(OR(AND(DATE(YEAR((Tahmin!$C$4+0)),MONTH((Tahmin!$C$4+0)),MIN(DAY(Kalemler!$D177),DAY(EOMONTH((Tahmin!$C$4+0),0))))&gt;=(Tahmin!$C$4+0),DATE(YEAR((Tahmin!$C$4+0)),MONTH((Tahmin!$C$4+0)),MIN(DAY(Kalemler!$D177),DAY(EOMONTH((Tahmin!$C$4+0),0))))&lt;=(Tahmin!$C$4+6),DATE(YEAR((Tahmin!$C$4+0)),MONTH((Tahmin!$C$4+0)),MIN(DAY(Kalemler!$D177),DAY(EOMONTH((Tahmin!$C$4+0),0))))&gt;=Kalemler!$D177),AND(DATE(YEAR((Tahmin!$C$4+6)),MONTH((Tahmin!$C$4+6)),MIN(DAY(Kalemler!$D177),DAY(EOMONTH((Tahmin!$C$4+6),0))))&gt;=(Tahmin!$C$4+0),DATE(YEAR((Tahmin!$C$4+6)),MONTH((Tahmin!$C$4+6)),MIN(DAY(Kalemler!$D177),DAY(EOMONTH((Tahmin!$C$4+6),0))))&lt;=(Tahmin!$C$4+6),DATE(YEAR((Tahmin!$C$4+6)),MONTH((Tahmin!$C$4+6)),MIN(DAY(Kalemler!$D177),DAY(EOMONTH((Tahmin!$C$4+6),0))))&lt;&gt;DATE(YEAR((Tahmin!$C$4+0)),MONTH((Tahmin!$C$4+0)),MIN(DAY(Kalemler!$D177),DAY(EOMONTH((Tahmin!$C$4+0),0)))),DATE(YEAR((Tahmin!$C$4+6)),MONTH((Tahmin!$C$4+6)),MIN(DAY(Kalemler!$D177),DAY(EOMONTH((Tahmin!$C$4+6),0))))&gt;=Kalemler!$D177)),1,0),IF(AND(Kalemler!$D177&gt;=(Tahmin!$C$4+0),Kalemler!$D177&lt;=(Tahmin!$C$4+6)),1,0))))</f>
        <v>0</v>
      </c>
      <c r="C177" s="0" t="n">
        <f aca="false">IF(OR(Kalemler!$A177="",Kalemler!$C177="",Kalemler!$D177=""),0,Kalemler!$C177*IF(Kalemler!$E177="Haftalık",IF(Kalemler!$D177&lt;=(Tahmin!$C$4+13),1,0),IF(Kalemler!$E177="Aylık",IF(OR(AND(DATE(YEAR((Tahmin!$C$4+7)),MONTH((Tahmin!$C$4+7)),MIN(DAY(Kalemler!$D177),DAY(EOMONTH((Tahmin!$C$4+7),0))))&gt;=(Tahmin!$C$4+7),DATE(YEAR((Tahmin!$C$4+7)),MONTH((Tahmin!$C$4+7)),MIN(DAY(Kalemler!$D177),DAY(EOMONTH((Tahmin!$C$4+7),0))))&lt;=(Tahmin!$C$4+13),DATE(YEAR((Tahmin!$C$4+7)),MONTH((Tahmin!$C$4+7)),MIN(DAY(Kalemler!$D177),DAY(EOMONTH((Tahmin!$C$4+7),0))))&gt;=Kalemler!$D177),AND(DATE(YEAR((Tahmin!$C$4+13)),MONTH((Tahmin!$C$4+13)),MIN(DAY(Kalemler!$D177),DAY(EOMONTH((Tahmin!$C$4+13),0))))&gt;=(Tahmin!$C$4+7),DATE(YEAR((Tahmin!$C$4+13)),MONTH((Tahmin!$C$4+13)),MIN(DAY(Kalemler!$D177),DAY(EOMONTH((Tahmin!$C$4+13),0))))&lt;=(Tahmin!$C$4+13),DATE(YEAR((Tahmin!$C$4+13)),MONTH((Tahmin!$C$4+13)),MIN(DAY(Kalemler!$D177),DAY(EOMONTH((Tahmin!$C$4+13),0))))&lt;&gt;DATE(YEAR((Tahmin!$C$4+7)),MONTH((Tahmin!$C$4+7)),MIN(DAY(Kalemler!$D177),DAY(EOMONTH((Tahmin!$C$4+7),0)))),DATE(YEAR((Tahmin!$C$4+13)),MONTH((Tahmin!$C$4+13)),MIN(DAY(Kalemler!$D177),DAY(EOMONTH((Tahmin!$C$4+13),0))))&gt;=Kalemler!$D177)),1,0),IF(AND(Kalemler!$D177&gt;=(Tahmin!$C$4+7),Kalemler!$D177&lt;=(Tahmin!$C$4+13)),1,0))))</f>
        <v>0</v>
      </c>
      <c r="D177" s="0" t="n">
        <f aca="false">IF(OR(Kalemler!$A177="",Kalemler!$C177="",Kalemler!$D177=""),0,Kalemler!$C177*IF(Kalemler!$E177="Haftalık",IF(Kalemler!$D177&lt;=(Tahmin!$C$4+20),1,0),IF(Kalemler!$E177="Aylık",IF(OR(AND(DATE(YEAR((Tahmin!$C$4+14)),MONTH((Tahmin!$C$4+14)),MIN(DAY(Kalemler!$D177),DAY(EOMONTH((Tahmin!$C$4+14),0))))&gt;=(Tahmin!$C$4+14),DATE(YEAR((Tahmin!$C$4+14)),MONTH((Tahmin!$C$4+14)),MIN(DAY(Kalemler!$D177),DAY(EOMONTH((Tahmin!$C$4+14),0))))&lt;=(Tahmin!$C$4+20),DATE(YEAR((Tahmin!$C$4+14)),MONTH((Tahmin!$C$4+14)),MIN(DAY(Kalemler!$D177),DAY(EOMONTH((Tahmin!$C$4+14),0))))&gt;=Kalemler!$D177),AND(DATE(YEAR((Tahmin!$C$4+20)),MONTH((Tahmin!$C$4+20)),MIN(DAY(Kalemler!$D177),DAY(EOMONTH((Tahmin!$C$4+20),0))))&gt;=(Tahmin!$C$4+14),DATE(YEAR((Tahmin!$C$4+20)),MONTH((Tahmin!$C$4+20)),MIN(DAY(Kalemler!$D177),DAY(EOMONTH((Tahmin!$C$4+20),0))))&lt;=(Tahmin!$C$4+20),DATE(YEAR((Tahmin!$C$4+20)),MONTH((Tahmin!$C$4+20)),MIN(DAY(Kalemler!$D177),DAY(EOMONTH((Tahmin!$C$4+20),0))))&lt;&gt;DATE(YEAR((Tahmin!$C$4+14)),MONTH((Tahmin!$C$4+14)),MIN(DAY(Kalemler!$D177),DAY(EOMONTH((Tahmin!$C$4+14),0)))),DATE(YEAR((Tahmin!$C$4+20)),MONTH((Tahmin!$C$4+20)),MIN(DAY(Kalemler!$D177),DAY(EOMONTH((Tahmin!$C$4+20),0))))&gt;=Kalemler!$D177)),1,0),IF(AND(Kalemler!$D177&gt;=(Tahmin!$C$4+14),Kalemler!$D177&lt;=(Tahmin!$C$4+20)),1,0))))</f>
        <v>0</v>
      </c>
      <c r="E177" s="0" t="n">
        <f aca="false">IF(OR(Kalemler!$A177="",Kalemler!$C177="",Kalemler!$D177=""),0,Kalemler!$C177*IF(Kalemler!$E177="Haftalık",IF(Kalemler!$D177&lt;=(Tahmin!$C$4+27),1,0),IF(Kalemler!$E177="Aylık",IF(OR(AND(DATE(YEAR((Tahmin!$C$4+21)),MONTH((Tahmin!$C$4+21)),MIN(DAY(Kalemler!$D177),DAY(EOMONTH((Tahmin!$C$4+21),0))))&gt;=(Tahmin!$C$4+21),DATE(YEAR((Tahmin!$C$4+21)),MONTH((Tahmin!$C$4+21)),MIN(DAY(Kalemler!$D177),DAY(EOMONTH((Tahmin!$C$4+21),0))))&lt;=(Tahmin!$C$4+27),DATE(YEAR((Tahmin!$C$4+21)),MONTH((Tahmin!$C$4+21)),MIN(DAY(Kalemler!$D177),DAY(EOMONTH((Tahmin!$C$4+21),0))))&gt;=Kalemler!$D177),AND(DATE(YEAR((Tahmin!$C$4+27)),MONTH((Tahmin!$C$4+27)),MIN(DAY(Kalemler!$D177),DAY(EOMONTH((Tahmin!$C$4+27),0))))&gt;=(Tahmin!$C$4+21),DATE(YEAR((Tahmin!$C$4+27)),MONTH((Tahmin!$C$4+27)),MIN(DAY(Kalemler!$D177),DAY(EOMONTH((Tahmin!$C$4+27),0))))&lt;=(Tahmin!$C$4+27),DATE(YEAR((Tahmin!$C$4+27)),MONTH((Tahmin!$C$4+27)),MIN(DAY(Kalemler!$D177),DAY(EOMONTH((Tahmin!$C$4+27),0))))&lt;&gt;DATE(YEAR((Tahmin!$C$4+21)),MONTH((Tahmin!$C$4+21)),MIN(DAY(Kalemler!$D177),DAY(EOMONTH((Tahmin!$C$4+21),0)))),DATE(YEAR((Tahmin!$C$4+27)),MONTH((Tahmin!$C$4+27)),MIN(DAY(Kalemler!$D177),DAY(EOMONTH((Tahmin!$C$4+27),0))))&gt;=Kalemler!$D177)),1,0),IF(AND(Kalemler!$D177&gt;=(Tahmin!$C$4+21),Kalemler!$D177&lt;=(Tahmin!$C$4+27)),1,0))))</f>
        <v>0</v>
      </c>
      <c r="F177" s="0" t="n">
        <f aca="false">IF(OR(Kalemler!$A177="",Kalemler!$C177="",Kalemler!$D177=""),0,Kalemler!$C177*IF(Kalemler!$E177="Haftalık",IF(Kalemler!$D177&lt;=(Tahmin!$C$4+34),1,0),IF(Kalemler!$E177="Aylık",IF(OR(AND(DATE(YEAR((Tahmin!$C$4+28)),MONTH((Tahmin!$C$4+28)),MIN(DAY(Kalemler!$D177),DAY(EOMONTH((Tahmin!$C$4+28),0))))&gt;=(Tahmin!$C$4+28),DATE(YEAR((Tahmin!$C$4+28)),MONTH((Tahmin!$C$4+28)),MIN(DAY(Kalemler!$D177),DAY(EOMONTH((Tahmin!$C$4+28),0))))&lt;=(Tahmin!$C$4+34),DATE(YEAR((Tahmin!$C$4+28)),MONTH((Tahmin!$C$4+28)),MIN(DAY(Kalemler!$D177),DAY(EOMONTH((Tahmin!$C$4+28),0))))&gt;=Kalemler!$D177),AND(DATE(YEAR((Tahmin!$C$4+34)),MONTH((Tahmin!$C$4+34)),MIN(DAY(Kalemler!$D177),DAY(EOMONTH((Tahmin!$C$4+34),0))))&gt;=(Tahmin!$C$4+28),DATE(YEAR((Tahmin!$C$4+34)),MONTH((Tahmin!$C$4+34)),MIN(DAY(Kalemler!$D177),DAY(EOMONTH((Tahmin!$C$4+34),0))))&lt;=(Tahmin!$C$4+34),DATE(YEAR((Tahmin!$C$4+34)),MONTH((Tahmin!$C$4+34)),MIN(DAY(Kalemler!$D177),DAY(EOMONTH((Tahmin!$C$4+34),0))))&lt;&gt;DATE(YEAR((Tahmin!$C$4+28)),MONTH((Tahmin!$C$4+28)),MIN(DAY(Kalemler!$D177),DAY(EOMONTH((Tahmin!$C$4+28),0)))),DATE(YEAR((Tahmin!$C$4+34)),MONTH((Tahmin!$C$4+34)),MIN(DAY(Kalemler!$D177),DAY(EOMONTH((Tahmin!$C$4+34),0))))&gt;=Kalemler!$D177)),1,0),IF(AND(Kalemler!$D177&gt;=(Tahmin!$C$4+28),Kalemler!$D177&lt;=(Tahmin!$C$4+34)),1,0))))</f>
        <v>0</v>
      </c>
      <c r="G177" s="0" t="n">
        <f aca="false">IF(OR(Kalemler!$A177="",Kalemler!$C177="",Kalemler!$D177=""),0,Kalemler!$C177*IF(Kalemler!$E177="Haftalık",IF(Kalemler!$D177&lt;=(Tahmin!$C$4+41),1,0),IF(Kalemler!$E177="Aylık",IF(OR(AND(DATE(YEAR((Tahmin!$C$4+35)),MONTH((Tahmin!$C$4+35)),MIN(DAY(Kalemler!$D177),DAY(EOMONTH((Tahmin!$C$4+35),0))))&gt;=(Tahmin!$C$4+35),DATE(YEAR((Tahmin!$C$4+35)),MONTH((Tahmin!$C$4+35)),MIN(DAY(Kalemler!$D177),DAY(EOMONTH((Tahmin!$C$4+35),0))))&lt;=(Tahmin!$C$4+41),DATE(YEAR((Tahmin!$C$4+35)),MONTH((Tahmin!$C$4+35)),MIN(DAY(Kalemler!$D177),DAY(EOMONTH((Tahmin!$C$4+35),0))))&gt;=Kalemler!$D177),AND(DATE(YEAR((Tahmin!$C$4+41)),MONTH((Tahmin!$C$4+41)),MIN(DAY(Kalemler!$D177),DAY(EOMONTH((Tahmin!$C$4+41),0))))&gt;=(Tahmin!$C$4+35),DATE(YEAR((Tahmin!$C$4+41)),MONTH((Tahmin!$C$4+41)),MIN(DAY(Kalemler!$D177),DAY(EOMONTH((Tahmin!$C$4+41),0))))&lt;=(Tahmin!$C$4+41),DATE(YEAR((Tahmin!$C$4+41)),MONTH((Tahmin!$C$4+41)),MIN(DAY(Kalemler!$D177),DAY(EOMONTH((Tahmin!$C$4+41),0))))&lt;&gt;DATE(YEAR((Tahmin!$C$4+35)),MONTH((Tahmin!$C$4+35)),MIN(DAY(Kalemler!$D177),DAY(EOMONTH((Tahmin!$C$4+35),0)))),DATE(YEAR((Tahmin!$C$4+41)),MONTH((Tahmin!$C$4+41)),MIN(DAY(Kalemler!$D177),DAY(EOMONTH((Tahmin!$C$4+41),0))))&gt;=Kalemler!$D177)),1,0),IF(AND(Kalemler!$D177&gt;=(Tahmin!$C$4+35),Kalemler!$D177&lt;=(Tahmin!$C$4+41)),1,0))))</f>
        <v>0</v>
      </c>
      <c r="H177" s="0" t="n">
        <f aca="false">IF(OR(Kalemler!$A177="",Kalemler!$C177="",Kalemler!$D177=""),0,Kalemler!$C177*IF(Kalemler!$E177="Haftalık",IF(Kalemler!$D177&lt;=(Tahmin!$C$4+48),1,0),IF(Kalemler!$E177="Aylık",IF(OR(AND(DATE(YEAR((Tahmin!$C$4+42)),MONTH((Tahmin!$C$4+42)),MIN(DAY(Kalemler!$D177),DAY(EOMONTH((Tahmin!$C$4+42),0))))&gt;=(Tahmin!$C$4+42),DATE(YEAR((Tahmin!$C$4+42)),MONTH((Tahmin!$C$4+42)),MIN(DAY(Kalemler!$D177),DAY(EOMONTH((Tahmin!$C$4+42),0))))&lt;=(Tahmin!$C$4+48),DATE(YEAR((Tahmin!$C$4+42)),MONTH((Tahmin!$C$4+42)),MIN(DAY(Kalemler!$D177),DAY(EOMONTH((Tahmin!$C$4+42),0))))&gt;=Kalemler!$D177),AND(DATE(YEAR((Tahmin!$C$4+48)),MONTH((Tahmin!$C$4+48)),MIN(DAY(Kalemler!$D177),DAY(EOMONTH((Tahmin!$C$4+48),0))))&gt;=(Tahmin!$C$4+42),DATE(YEAR((Tahmin!$C$4+48)),MONTH((Tahmin!$C$4+48)),MIN(DAY(Kalemler!$D177),DAY(EOMONTH((Tahmin!$C$4+48),0))))&lt;=(Tahmin!$C$4+48),DATE(YEAR((Tahmin!$C$4+48)),MONTH((Tahmin!$C$4+48)),MIN(DAY(Kalemler!$D177),DAY(EOMONTH((Tahmin!$C$4+48),0))))&lt;&gt;DATE(YEAR((Tahmin!$C$4+42)),MONTH((Tahmin!$C$4+42)),MIN(DAY(Kalemler!$D177),DAY(EOMONTH((Tahmin!$C$4+42),0)))),DATE(YEAR((Tahmin!$C$4+48)),MONTH((Tahmin!$C$4+48)),MIN(DAY(Kalemler!$D177),DAY(EOMONTH((Tahmin!$C$4+48),0))))&gt;=Kalemler!$D177)),1,0),IF(AND(Kalemler!$D177&gt;=(Tahmin!$C$4+42),Kalemler!$D177&lt;=(Tahmin!$C$4+48)),1,0))))</f>
        <v>0</v>
      </c>
      <c r="I177" s="0" t="n">
        <f aca="false">IF(OR(Kalemler!$A177="",Kalemler!$C177="",Kalemler!$D177=""),0,Kalemler!$C177*IF(Kalemler!$E177="Haftalık",IF(Kalemler!$D177&lt;=(Tahmin!$C$4+55),1,0),IF(Kalemler!$E177="Aylık",IF(OR(AND(DATE(YEAR((Tahmin!$C$4+49)),MONTH((Tahmin!$C$4+49)),MIN(DAY(Kalemler!$D177),DAY(EOMONTH((Tahmin!$C$4+49),0))))&gt;=(Tahmin!$C$4+49),DATE(YEAR((Tahmin!$C$4+49)),MONTH((Tahmin!$C$4+49)),MIN(DAY(Kalemler!$D177),DAY(EOMONTH((Tahmin!$C$4+49),0))))&lt;=(Tahmin!$C$4+55),DATE(YEAR((Tahmin!$C$4+49)),MONTH((Tahmin!$C$4+49)),MIN(DAY(Kalemler!$D177),DAY(EOMONTH((Tahmin!$C$4+49),0))))&gt;=Kalemler!$D177),AND(DATE(YEAR((Tahmin!$C$4+55)),MONTH((Tahmin!$C$4+55)),MIN(DAY(Kalemler!$D177),DAY(EOMONTH((Tahmin!$C$4+55),0))))&gt;=(Tahmin!$C$4+49),DATE(YEAR((Tahmin!$C$4+55)),MONTH((Tahmin!$C$4+55)),MIN(DAY(Kalemler!$D177),DAY(EOMONTH((Tahmin!$C$4+55),0))))&lt;=(Tahmin!$C$4+55),DATE(YEAR((Tahmin!$C$4+55)),MONTH((Tahmin!$C$4+55)),MIN(DAY(Kalemler!$D177),DAY(EOMONTH((Tahmin!$C$4+55),0))))&lt;&gt;DATE(YEAR((Tahmin!$C$4+49)),MONTH((Tahmin!$C$4+49)),MIN(DAY(Kalemler!$D177),DAY(EOMONTH((Tahmin!$C$4+49),0)))),DATE(YEAR((Tahmin!$C$4+55)),MONTH((Tahmin!$C$4+55)),MIN(DAY(Kalemler!$D177),DAY(EOMONTH((Tahmin!$C$4+55),0))))&gt;=Kalemler!$D177)),1,0),IF(AND(Kalemler!$D177&gt;=(Tahmin!$C$4+49),Kalemler!$D177&lt;=(Tahmin!$C$4+55)),1,0))))</f>
        <v>0</v>
      </c>
      <c r="J177" s="0" t="n">
        <f aca="false">IF(OR(Kalemler!$A177="",Kalemler!$C177="",Kalemler!$D177=""),0,Kalemler!$C177*IF(Kalemler!$E177="Haftalık",IF(Kalemler!$D177&lt;=(Tahmin!$C$4+62),1,0),IF(Kalemler!$E177="Aylık",IF(OR(AND(DATE(YEAR((Tahmin!$C$4+56)),MONTH((Tahmin!$C$4+56)),MIN(DAY(Kalemler!$D177),DAY(EOMONTH((Tahmin!$C$4+56),0))))&gt;=(Tahmin!$C$4+56),DATE(YEAR((Tahmin!$C$4+56)),MONTH((Tahmin!$C$4+56)),MIN(DAY(Kalemler!$D177),DAY(EOMONTH((Tahmin!$C$4+56),0))))&lt;=(Tahmin!$C$4+62),DATE(YEAR((Tahmin!$C$4+56)),MONTH((Tahmin!$C$4+56)),MIN(DAY(Kalemler!$D177),DAY(EOMONTH((Tahmin!$C$4+56),0))))&gt;=Kalemler!$D177),AND(DATE(YEAR((Tahmin!$C$4+62)),MONTH((Tahmin!$C$4+62)),MIN(DAY(Kalemler!$D177),DAY(EOMONTH((Tahmin!$C$4+62),0))))&gt;=(Tahmin!$C$4+56),DATE(YEAR((Tahmin!$C$4+62)),MONTH((Tahmin!$C$4+62)),MIN(DAY(Kalemler!$D177),DAY(EOMONTH((Tahmin!$C$4+62),0))))&lt;=(Tahmin!$C$4+62),DATE(YEAR((Tahmin!$C$4+62)),MONTH((Tahmin!$C$4+62)),MIN(DAY(Kalemler!$D177),DAY(EOMONTH((Tahmin!$C$4+62),0))))&lt;&gt;DATE(YEAR((Tahmin!$C$4+56)),MONTH((Tahmin!$C$4+56)),MIN(DAY(Kalemler!$D177),DAY(EOMONTH((Tahmin!$C$4+56),0)))),DATE(YEAR((Tahmin!$C$4+62)),MONTH((Tahmin!$C$4+62)),MIN(DAY(Kalemler!$D177),DAY(EOMONTH((Tahmin!$C$4+62),0))))&gt;=Kalemler!$D177)),1,0),IF(AND(Kalemler!$D177&gt;=(Tahmin!$C$4+56),Kalemler!$D177&lt;=(Tahmin!$C$4+62)),1,0))))</f>
        <v>0</v>
      </c>
      <c r="K177" s="0" t="n">
        <f aca="false">IF(OR(Kalemler!$A177="",Kalemler!$C177="",Kalemler!$D177=""),0,Kalemler!$C177*IF(Kalemler!$E177="Haftalık",IF(Kalemler!$D177&lt;=(Tahmin!$C$4+69),1,0),IF(Kalemler!$E177="Aylık",IF(OR(AND(DATE(YEAR((Tahmin!$C$4+63)),MONTH((Tahmin!$C$4+63)),MIN(DAY(Kalemler!$D177),DAY(EOMONTH((Tahmin!$C$4+63),0))))&gt;=(Tahmin!$C$4+63),DATE(YEAR((Tahmin!$C$4+63)),MONTH((Tahmin!$C$4+63)),MIN(DAY(Kalemler!$D177),DAY(EOMONTH((Tahmin!$C$4+63),0))))&lt;=(Tahmin!$C$4+69),DATE(YEAR((Tahmin!$C$4+63)),MONTH((Tahmin!$C$4+63)),MIN(DAY(Kalemler!$D177),DAY(EOMONTH((Tahmin!$C$4+63),0))))&gt;=Kalemler!$D177),AND(DATE(YEAR((Tahmin!$C$4+69)),MONTH((Tahmin!$C$4+69)),MIN(DAY(Kalemler!$D177),DAY(EOMONTH((Tahmin!$C$4+69),0))))&gt;=(Tahmin!$C$4+63),DATE(YEAR((Tahmin!$C$4+69)),MONTH((Tahmin!$C$4+69)),MIN(DAY(Kalemler!$D177),DAY(EOMONTH((Tahmin!$C$4+69),0))))&lt;=(Tahmin!$C$4+69),DATE(YEAR((Tahmin!$C$4+69)),MONTH((Tahmin!$C$4+69)),MIN(DAY(Kalemler!$D177),DAY(EOMONTH((Tahmin!$C$4+69),0))))&lt;&gt;DATE(YEAR((Tahmin!$C$4+63)),MONTH((Tahmin!$C$4+63)),MIN(DAY(Kalemler!$D177),DAY(EOMONTH((Tahmin!$C$4+63),0)))),DATE(YEAR((Tahmin!$C$4+69)),MONTH((Tahmin!$C$4+69)),MIN(DAY(Kalemler!$D177),DAY(EOMONTH((Tahmin!$C$4+69),0))))&gt;=Kalemler!$D177)),1,0),IF(AND(Kalemler!$D177&gt;=(Tahmin!$C$4+63),Kalemler!$D177&lt;=(Tahmin!$C$4+69)),1,0))))</f>
        <v>0</v>
      </c>
      <c r="L177" s="0" t="n">
        <f aca="false">IF(OR(Kalemler!$A177="",Kalemler!$C177="",Kalemler!$D177=""),0,Kalemler!$C177*IF(Kalemler!$E177="Haftalık",IF(Kalemler!$D177&lt;=(Tahmin!$C$4+76),1,0),IF(Kalemler!$E177="Aylık",IF(OR(AND(DATE(YEAR((Tahmin!$C$4+70)),MONTH((Tahmin!$C$4+70)),MIN(DAY(Kalemler!$D177),DAY(EOMONTH((Tahmin!$C$4+70),0))))&gt;=(Tahmin!$C$4+70),DATE(YEAR((Tahmin!$C$4+70)),MONTH((Tahmin!$C$4+70)),MIN(DAY(Kalemler!$D177),DAY(EOMONTH((Tahmin!$C$4+70),0))))&lt;=(Tahmin!$C$4+76),DATE(YEAR((Tahmin!$C$4+70)),MONTH((Tahmin!$C$4+70)),MIN(DAY(Kalemler!$D177),DAY(EOMONTH((Tahmin!$C$4+70),0))))&gt;=Kalemler!$D177),AND(DATE(YEAR((Tahmin!$C$4+76)),MONTH((Tahmin!$C$4+76)),MIN(DAY(Kalemler!$D177),DAY(EOMONTH((Tahmin!$C$4+76),0))))&gt;=(Tahmin!$C$4+70),DATE(YEAR((Tahmin!$C$4+76)),MONTH((Tahmin!$C$4+76)),MIN(DAY(Kalemler!$D177),DAY(EOMONTH((Tahmin!$C$4+76),0))))&lt;=(Tahmin!$C$4+76),DATE(YEAR((Tahmin!$C$4+76)),MONTH((Tahmin!$C$4+76)),MIN(DAY(Kalemler!$D177),DAY(EOMONTH((Tahmin!$C$4+76),0))))&lt;&gt;DATE(YEAR((Tahmin!$C$4+70)),MONTH((Tahmin!$C$4+70)),MIN(DAY(Kalemler!$D177),DAY(EOMONTH((Tahmin!$C$4+70),0)))),DATE(YEAR((Tahmin!$C$4+76)),MONTH((Tahmin!$C$4+76)),MIN(DAY(Kalemler!$D177),DAY(EOMONTH((Tahmin!$C$4+76),0))))&gt;=Kalemler!$D177)),1,0),IF(AND(Kalemler!$D177&gt;=(Tahmin!$C$4+70),Kalemler!$D177&lt;=(Tahmin!$C$4+76)),1,0))))</f>
        <v>0</v>
      </c>
      <c r="M177" s="0" t="n">
        <f aca="false">IF(OR(Kalemler!$A177="",Kalemler!$C177="",Kalemler!$D177=""),0,Kalemler!$C177*IF(Kalemler!$E177="Haftalık",IF(Kalemler!$D177&lt;=(Tahmin!$C$4+83),1,0),IF(Kalemler!$E177="Aylık",IF(OR(AND(DATE(YEAR((Tahmin!$C$4+77)),MONTH((Tahmin!$C$4+77)),MIN(DAY(Kalemler!$D177),DAY(EOMONTH((Tahmin!$C$4+77),0))))&gt;=(Tahmin!$C$4+77),DATE(YEAR((Tahmin!$C$4+77)),MONTH((Tahmin!$C$4+77)),MIN(DAY(Kalemler!$D177),DAY(EOMONTH((Tahmin!$C$4+77),0))))&lt;=(Tahmin!$C$4+83),DATE(YEAR((Tahmin!$C$4+77)),MONTH((Tahmin!$C$4+77)),MIN(DAY(Kalemler!$D177),DAY(EOMONTH((Tahmin!$C$4+77),0))))&gt;=Kalemler!$D177),AND(DATE(YEAR((Tahmin!$C$4+83)),MONTH((Tahmin!$C$4+83)),MIN(DAY(Kalemler!$D177),DAY(EOMONTH((Tahmin!$C$4+83),0))))&gt;=(Tahmin!$C$4+77),DATE(YEAR((Tahmin!$C$4+83)),MONTH((Tahmin!$C$4+83)),MIN(DAY(Kalemler!$D177),DAY(EOMONTH((Tahmin!$C$4+83),0))))&lt;=(Tahmin!$C$4+83),DATE(YEAR((Tahmin!$C$4+83)),MONTH((Tahmin!$C$4+83)),MIN(DAY(Kalemler!$D177),DAY(EOMONTH((Tahmin!$C$4+83),0))))&lt;&gt;DATE(YEAR((Tahmin!$C$4+77)),MONTH((Tahmin!$C$4+77)),MIN(DAY(Kalemler!$D177),DAY(EOMONTH((Tahmin!$C$4+77),0)))),DATE(YEAR((Tahmin!$C$4+83)),MONTH((Tahmin!$C$4+83)),MIN(DAY(Kalemler!$D177),DAY(EOMONTH((Tahmin!$C$4+83),0))))&gt;=Kalemler!$D177)),1,0),IF(AND(Kalemler!$D177&gt;=(Tahmin!$C$4+77),Kalemler!$D177&lt;=(Tahmin!$C$4+83)),1,0))))</f>
        <v>0</v>
      </c>
      <c r="N177" s="0" t="n">
        <f aca="false">IF(OR(Kalemler!$A177="",Kalemler!$C177="",Kalemler!$D177=""),0,Kalemler!$C177*IF(Kalemler!$E177="Haftalık",IF(Kalemler!$D177&lt;=(Tahmin!$C$4+90),1,0),IF(Kalemler!$E177="Aylık",IF(OR(AND(DATE(YEAR((Tahmin!$C$4+84)),MONTH((Tahmin!$C$4+84)),MIN(DAY(Kalemler!$D177),DAY(EOMONTH((Tahmin!$C$4+84),0))))&gt;=(Tahmin!$C$4+84),DATE(YEAR((Tahmin!$C$4+84)),MONTH((Tahmin!$C$4+84)),MIN(DAY(Kalemler!$D177),DAY(EOMONTH((Tahmin!$C$4+84),0))))&lt;=(Tahmin!$C$4+90),DATE(YEAR((Tahmin!$C$4+84)),MONTH((Tahmin!$C$4+84)),MIN(DAY(Kalemler!$D177),DAY(EOMONTH((Tahmin!$C$4+84),0))))&gt;=Kalemler!$D177),AND(DATE(YEAR((Tahmin!$C$4+90)),MONTH((Tahmin!$C$4+90)),MIN(DAY(Kalemler!$D177),DAY(EOMONTH((Tahmin!$C$4+90),0))))&gt;=(Tahmin!$C$4+84),DATE(YEAR((Tahmin!$C$4+90)),MONTH((Tahmin!$C$4+90)),MIN(DAY(Kalemler!$D177),DAY(EOMONTH((Tahmin!$C$4+90),0))))&lt;=(Tahmin!$C$4+90),DATE(YEAR((Tahmin!$C$4+90)),MONTH((Tahmin!$C$4+90)),MIN(DAY(Kalemler!$D177),DAY(EOMONTH((Tahmin!$C$4+90),0))))&lt;&gt;DATE(YEAR((Tahmin!$C$4+84)),MONTH((Tahmin!$C$4+84)),MIN(DAY(Kalemler!$D177),DAY(EOMONTH((Tahmin!$C$4+84),0)))),DATE(YEAR((Tahmin!$C$4+90)),MONTH((Tahmin!$C$4+90)),MIN(DAY(Kalemler!$D177),DAY(EOMONTH((Tahmin!$C$4+90),0))))&gt;=Kalemler!$D177)),1,0),IF(AND(Kalemler!$D177&gt;=(Tahmin!$C$4+84),Kalemler!$D177&lt;=(Tahmin!$C$4+90)),1,0))))</f>
        <v>0</v>
      </c>
    </row>
    <row r="178" customFormat="false" ht="15" hidden="false" customHeight="false" outlineLevel="0" collapsed="false">
      <c r="A178" s="0" t="str">
        <f aca="false">IF(Kalemler!A178="","",Kalemler!A178)</f>
        <v/>
      </c>
      <c r="B178" s="0" t="n">
        <f aca="false">IF(OR(Kalemler!$A178="",Kalemler!$C178="",Kalemler!$D178=""),0,Kalemler!$C178*IF(Kalemler!$E178="Haftalık",IF(Kalemler!$D178&lt;=(Tahmin!$C$4+6),1,0),IF(Kalemler!$E178="Aylık",IF(OR(AND(DATE(YEAR((Tahmin!$C$4+0)),MONTH((Tahmin!$C$4+0)),MIN(DAY(Kalemler!$D178),DAY(EOMONTH((Tahmin!$C$4+0),0))))&gt;=(Tahmin!$C$4+0),DATE(YEAR((Tahmin!$C$4+0)),MONTH((Tahmin!$C$4+0)),MIN(DAY(Kalemler!$D178),DAY(EOMONTH((Tahmin!$C$4+0),0))))&lt;=(Tahmin!$C$4+6),DATE(YEAR((Tahmin!$C$4+0)),MONTH((Tahmin!$C$4+0)),MIN(DAY(Kalemler!$D178),DAY(EOMONTH((Tahmin!$C$4+0),0))))&gt;=Kalemler!$D178),AND(DATE(YEAR((Tahmin!$C$4+6)),MONTH((Tahmin!$C$4+6)),MIN(DAY(Kalemler!$D178),DAY(EOMONTH((Tahmin!$C$4+6),0))))&gt;=(Tahmin!$C$4+0),DATE(YEAR((Tahmin!$C$4+6)),MONTH((Tahmin!$C$4+6)),MIN(DAY(Kalemler!$D178),DAY(EOMONTH((Tahmin!$C$4+6),0))))&lt;=(Tahmin!$C$4+6),DATE(YEAR((Tahmin!$C$4+6)),MONTH((Tahmin!$C$4+6)),MIN(DAY(Kalemler!$D178),DAY(EOMONTH((Tahmin!$C$4+6),0))))&lt;&gt;DATE(YEAR((Tahmin!$C$4+0)),MONTH((Tahmin!$C$4+0)),MIN(DAY(Kalemler!$D178),DAY(EOMONTH((Tahmin!$C$4+0),0)))),DATE(YEAR((Tahmin!$C$4+6)),MONTH((Tahmin!$C$4+6)),MIN(DAY(Kalemler!$D178),DAY(EOMONTH((Tahmin!$C$4+6),0))))&gt;=Kalemler!$D178)),1,0),IF(AND(Kalemler!$D178&gt;=(Tahmin!$C$4+0),Kalemler!$D178&lt;=(Tahmin!$C$4+6)),1,0))))</f>
        <v>0</v>
      </c>
      <c r="C178" s="0" t="n">
        <f aca="false">IF(OR(Kalemler!$A178="",Kalemler!$C178="",Kalemler!$D178=""),0,Kalemler!$C178*IF(Kalemler!$E178="Haftalık",IF(Kalemler!$D178&lt;=(Tahmin!$C$4+13),1,0),IF(Kalemler!$E178="Aylık",IF(OR(AND(DATE(YEAR((Tahmin!$C$4+7)),MONTH((Tahmin!$C$4+7)),MIN(DAY(Kalemler!$D178),DAY(EOMONTH((Tahmin!$C$4+7),0))))&gt;=(Tahmin!$C$4+7),DATE(YEAR((Tahmin!$C$4+7)),MONTH((Tahmin!$C$4+7)),MIN(DAY(Kalemler!$D178),DAY(EOMONTH((Tahmin!$C$4+7),0))))&lt;=(Tahmin!$C$4+13),DATE(YEAR((Tahmin!$C$4+7)),MONTH((Tahmin!$C$4+7)),MIN(DAY(Kalemler!$D178),DAY(EOMONTH((Tahmin!$C$4+7),0))))&gt;=Kalemler!$D178),AND(DATE(YEAR((Tahmin!$C$4+13)),MONTH((Tahmin!$C$4+13)),MIN(DAY(Kalemler!$D178),DAY(EOMONTH((Tahmin!$C$4+13),0))))&gt;=(Tahmin!$C$4+7),DATE(YEAR((Tahmin!$C$4+13)),MONTH((Tahmin!$C$4+13)),MIN(DAY(Kalemler!$D178),DAY(EOMONTH((Tahmin!$C$4+13),0))))&lt;=(Tahmin!$C$4+13),DATE(YEAR((Tahmin!$C$4+13)),MONTH((Tahmin!$C$4+13)),MIN(DAY(Kalemler!$D178),DAY(EOMONTH((Tahmin!$C$4+13),0))))&lt;&gt;DATE(YEAR((Tahmin!$C$4+7)),MONTH((Tahmin!$C$4+7)),MIN(DAY(Kalemler!$D178),DAY(EOMONTH((Tahmin!$C$4+7),0)))),DATE(YEAR((Tahmin!$C$4+13)),MONTH((Tahmin!$C$4+13)),MIN(DAY(Kalemler!$D178),DAY(EOMONTH((Tahmin!$C$4+13),0))))&gt;=Kalemler!$D178)),1,0),IF(AND(Kalemler!$D178&gt;=(Tahmin!$C$4+7),Kalemler!$D178&lt;=(Tahmin!$C$4+13)),1,0))))</f>
        <v>0</v>
      </c>
      <c r="D178" s="0" t="n">
        <f aca="false">IF(OR(Kalemler!$A178="",Kalemler!$C178="",Kalemler!$D178=""),0,Kalemler!$C178*IF(Kalemler!$E178="Haftalık",IF(Kalemler!$D178&lt;=(Tahmin!$C$4+20),1,0),IF(Kalemler!$E178="Aylık",IF(OR(AND(DATE(YEAR((Tahmin!$C$4+14)),MONTH((Tahmin!$C$4+14)),MIN(DAY(Kalemler!$D178),DAY(EOMONTH((Tahmin!$C$4+14),0))))&gt;=(Tahmin!$C$4+14),DATE(YEAR((Tahmin!$C$4+14)),MONTH((Tahmin!$C$4+14)),MIN(DAY(Kalemler!$D178),DAY(EOMONTH((Tahmin!$C$4+14),0))))&lt;=(Tahmin!$C$4+20),DATE(YEAR((Tahmin!$C$4+14)),MONTH((Tahmin!$C$4+14)),MIN(DAY(Kalemler!$D178),DAY(EOMONTH((Tahmin!$C$4+14),0))))&gt;=Kalemler!$D178),AND(DATE(YEAR((Tahmin!$C$4+20)),MONTH((Tahmin!$C$4+20)),MIN(DAY(Kalemler!$D178),DAY(EOMONTH((Tahmin!$C$4+20),0))))&gt;=(Tahmin!$C$4+14),DATE(YEAR((Tahmin!$C$4+20)),MONTH((Tahmin!$C$4+20)),MIN(DAY(Kalemler!$D178),DAY(EOMONTH((Tahmin!$C$4+20),0))))&lt;=(Tahmin!$C$4+20),DATE(YEAR((Tahmin!$C$4+20)),MONTH((Tahmin!$C$4+20)),MIN(DAY(Kalemler!$D178),DAY(EOMONTH((Tahmin!$C$4+20),0))))&lt;&gt;DATE(YEAR((Tahmin!$C$4+14)),MONTH((Tahmin!$C$4+14)),MIN(DAY(Kalemler!$D178),DAY(EOMONTH((Tahmin!$C$4+14),0)))),DATE(YEAR((Tahmin!$C$4+20)),MONTH((Tahmin!$C$4+20)),MIN(DAY(Kalemler!$D178),DAY(EOMONTH((Tahmin!$C$4+20),0))))&gt;=Kalemler!$D178)),1,0),IF(AND(Kalemler!$D178&gt;=(Tahmin!$C$4+14),Kalemler!$D178&lt;=(Tahmin!$C$4+20)),1,0))))</f>
        <v>0</v>
      </c>
      <c r="E178" s="0" t="n">
        <f aca="false">IF(OR(Kalemler!$A178="",Kalemler!$C178="",Kalemler!$D178=""),0,Kalemler!$C178*IF(Kalemler!$E178="Haftalık",IF(Kalemler!$D178&lt;=(Tahmin!$C$4+27),1,0),IF(Kalemler!$E178="Aylık",IF(OR(AND(DATE(YEAR((Tahmin!$C$4+21)),MONTH((Tahmin!$C$4+21)),MIN(DAY(Kalemler!$D178),DAY(EOMONTH((Tahmin!$C$4+21),0))))&gt;=(Tahmin!$C$4+21),DATE(YEAR((Tahmin!$C$4+21)),MONTH((Tahmin!$C$4+21)),MIN(DAY(Kalemler!$D178),DAY(EOMONTH((Tahmin!$C$4+21),0))))&lt;=(Tahmin!$C$4+27),DATE(YEAR((Tahmin!$C$4+21)),MONTH((Tahmin!$C$4+21)),MIN(DAY(Kalemler!$D178),DAY(EOMONTH((Tahmin!$C$4+21),0))))&gt;=Kalemler!$D178),AND(DATE(YEAR((Tahmin!$C$4+27)),MONTH((Tahmin!$C$4+27)),MIN(DAY(Kalemler!$D178),DAY(EOMONTH((Tahmin!$C$4+27),0))))&gt;=(Tahmin!$C$4+21),DATE(YEAR((Tahmin!$C$4+27)),MONTH((Tahmin!$C$4+27)),MIN(DAY(Kalemler!$D178),DAY(EOMONTH((Tahmin!$C$4+27),0))))&lt;=(Tahmin!$C$4+27),DATE(YEAR((Tahmin!$C$4+27)),MONTH((Tahmin!$C$4+27)),MIN(DAY(Kalemler!$D178),DAY(EOMONTH((Tahmin!$C$4+27),0))))&lt;&gt;DATE(YEAR((Tahmin!$C$4+21)),MONTH((Tahmin!$C$4+21)),MIN(DAY(Kalemler!$D178),DAY(EOMONTH((Tahmin!$C$4+21),0)))),DATE(YEAR((Tahmin!$C$4+27)),MONTH((Tahmin!$C$4+27)),MIN(DAY(Kalemler!$D178),DAY(EOMONTH((Tahmin!$C$4+27),0))))&gt;=Kalemler!$D178)),1,0),IF(AND(Kalemler!$D178&gt;=(Tahmin!$C$4+21),Kalemler!$D178&lt;=(Tahmin!$C$4+27)),1,0))))</f>
        <v>0</v>
      </c>
      <c r="F178" s="0" t="n">
        <f aca="false">IF(OR(Kalemler!$A178="",Kalemler!$C178="",Kalemler!$D178=""),0,Kalemler!$C178*IF(Kalemler!$E178="Haftalık",IF(Kalemler!$D178&lt;=(Tahmin!$C$4+34),1,0),IF(Kalemler!$E178="Aylık",IF(OR(AND(DATE(YEAR((Tahmin!$C$4+28)),MONTH((Tahmin!$C$4+28)),MIN(DAY(Kalemler!$D178),DAY(EOMONTH((Tahmin!$C$4+28),0))))&gt;=(Tahmin!$C$4+28),DATE(YEAR((Tahmin!$C$4+28)),MONTH((Tahmin!$C$4+28)),MIN(DAY(Kalemler!$D178),DAY(EOMONTH((Tahmin!$C$4+28),0))))&lt;=(Tahmin!$C$4+34),DATE(YEAR((Tahmin!$C$4+28)),MONTH((Tahmin!$C$4+28)),MIN(DAY(Kalemler!$D178),DAY(EOMONTH((Tahmin!$C$4+28),0))))&gt;=Kalemler!$D178),AND(DATE(YEAR((Tahmin!$C$4+34)),MONTH((Tahmin!$C$4+34)),MIN(DAY(Kalemler!$D178),DAY(EOMONTH((Tahmin!$C$4+34),0))))&gt;=(Tahmin!$C$4+28),DATE(YEAR((Tahmin!$C$4+34)),MONTH((Tahmin!$C$4+34)),MIN(DAY(Kalemler!$D178),DAY(EOMONTH((Tahmin!$C$4+34),0))))&lt;=(Tahmin!$C$4+34),DATE(YEAR((Tahmin!$C$4+34)),MONTH((Tahmin!$C$4+34)),MIN(DAY(Kalemler!$D178),DAY(EOMONTH((Tahmin!$C$4+34),0))))&lt;&gt;DATE(YEAR((Tahmin!$C$4+28)),MONTH((Tahmin!$C$4+28)),MIN(DAY(Kalemler!$D178),DAY(EOMONTH((Tahmin!$C$4+28),0)))),DATE(YEAR((Tahmin!$C$4+34)),MONTH((Tahmin!$C$4+34)),MIN(DAY(Kalemler!$D178),DAY(EOMONTH((Tahmin!$C$4+34),0))))&gt;=Kalemler!$D178)),1,0),IF(AND(Kalemler!$D178&gt;=(Tahmin!$C$4+28),Kalemler!$D178&lt;=(Tahmin!$C$4+34)),1,0))))</f>
        <v>0</v>
      </c>
      <c r="G178" s="0" t="n">
        <f aca="false">IF(OR(Kalemler!$A178="",Kalemler!$C178="",Kalemler!$D178=""),0,Kalemler!$C178*IF(Kalemler!$E178="Haftalık",IF(Kalemler!$D178&lt;=(Tahmin!$C$4+41),1,0),IF(Kalemler!$E178="Aylık",IF(OR(AND(DATE(YEAR((Tahmin!$C$4+35)),MONTH((Tahmin!$C$4+35)),MIN(DAY(Kalemler!$D178),DAY(EOMONTH((Tahmin!$C$4+35),0))))&gt;=(Tahmin!$C$4+35),DATE(YEAR((Tahmin!$C$4+35)),MONTH((Tahmin!$C$4+35)),MIN(DAY(Kalemler!$D178),DAY(EOMONTH((Tahmin!$C$4+35),0))))&lt;=(Tahmin!$C$4+41),DATE(YEAR((Tahmin!$C$4+35)),MONTH((Tahmin!$C$4+35)),MIN(DAY(Kalemler!$D178),DAY(EOMONTH((Tahmin!$C$4+35),0))))&gt;=Kalemler!$D178),AND(DATE(YEAR((Tahmin!$C$4+41)),MONTH((Tahmin!$C$4+41)),MIN(DAY(Kalemler!$D178),DAY(EOMONTH((Tahmin!$C$4+41),0))))&gt;=(Tahmin!$C$4+35),DATE(YEAR((Tahmin!$C$4+41)),MONTH((Tahmin!$C$4+41)),MIN(DAY(Kalemler!$D178),DAY(EOMONTH((Tahmin!$C$4+41),0))))&lt;=(Tahmin!$C$4+41),DATE(YEAR((Tahmin!$C$4+41)),MONTH((Tahmin!$C$4+41)),MIN(DAY(Kalemler!$D178),DAY(EOMONTH((Tahmin!$C$4+41),0))))&lt;&gt;DATE(YEAR((Tahmin!$C$4+35)),MONTH((Tahmin!$C$4+35)),MIN(DAY(Kalemler!$D178),DAY(EOMONTH((Tahmin!$C$4+35),0)))),DATE(YEAR((Tahmin!$C$4+41)),MONTH((Tahmin!$C$4+41)),MIN(DAY(Kalemler!$D178),DAY(EOMONTH((Tahmin!$C$4+41),0))))&gt;=Kalemler!$D178)),1,0),IF(AND(Kalemler!$D178&gt;=(Tahmin!$C$4+35),Kalemler!$D178&lt;=(Tahmin!$C$4+41)),1,0))))</f>
        <v>0</v>
      </c>
      <c r="H178" s="0" t="n">
        <f aca="false">IF(OR(Kalemler!$A178="",Kalemler!$C178="",Kalemler!$D178=""),0,Kalemler!$C178*IF(Kalemler!$E178="Haftalık",IF(Kalemler!$D178&lt;=(Tahmin!$C$4+48),1,0),IF(Kalemler!$E178="Aylık",IF(OR(AND(DATE(YEAR((Tahmin!$C$4+42)),MONTH((Tahmin!$C$4+42)),MIN(DAY(Kalemler!$D178),DAY(EOMONTH((Tahmin!$C$4+42),0))))&gt;=(Tahmin!$C$4+42),DATE(YEAR((Tahmin!$C$4+42)),MONTH((Tahmin!$C$4+42)),MIN(DAY(Kalemler!$D178),DAY(EOMONTH((Tahmin!$C$4+42),0))))&lt;=(Tahmin!$C$4+48),DATE(YEAR((Tahmin!$C$4+42)),MONTH((Tahmin!$C$4+42)),MIN(DAY(Kalemler!$D178),DAY(EOMONTH((Tahmin!$C$4+42),0))))&gt;=Kalemler!$D178),AND(DATE(YEAR((Tahmin!$C$4+48)),MONTH((Tahmin!$C$4+48)),MIN(DAY(Kalemler!$D178),DAY(EOMONTH((Tahmin!$C$4+48),0))))&gt;=(Tahmin!$C$4+42),DATE(YEAR((Tahmin!$C$4+48)),MONTH((Tahmin!$C$4+48)),MIN(DAY(Kalemler!$D178),DAY(EOMONTH((Tahmin!$C$4+48),0))))&lt;=(Tahmin!$C$4+48),DATE(YEAR((Tahmin!$C$4+48)),MONTH((Tahmin!$C$4+48)),MIN(DAY(Kalemler!$D178),DAY(EOMONTH((Tahmin!$C$4+48),0))))&lt;&gt;DATE(YEAR((Tahmin!$C$4+42)),MONTH((Tahmin!$C$4+42)),MIN(DAY(Kalemler!$D178),DAY(EOMONTH((Tahmin!$C$4+42),0)))),DATE(YEAR((Tahmin!$C$4+48)),MONTH((Tahmin!$C$4+48)),MIN(DAY(Kalemler!$D178),DAY(EOMONTH((Tahmin!$C$4+48),0))))&gt;=Kalemler!$D178)),1,0),IF(AND(Kalemler!$D178&gt;=(Tahmin!$C$4+42),Kalemler!$D178&lt;=(Tahmin!$C$4+48)),1,0))))</f>
        <v>0</v>
      </c>
      <c r="I178" s="0" t="n">
        <f aca="false">IF(OR(Kalemler!$A178="",Kalemler!$C178="",Kalemler!$D178=""),0,Kalemler!$C178*IF(Kalemler!$E178="Haftalık",IF(Kalemler!$D178&lt;=(Tahmin!$C$4+55),1,0),IF(Kalemler!$E178="Aylık",IF(OR(AND(DATE(YEAR((Tahmin!$C$4+49)),MONTH((Tahmin!$C$4+49)),MIN(DAY(Kalemler!$D178),DAY(EOMONTH((Tahmin!$C$4+49),0))))&gt;=(Tahmin!$C$4+49),DATE(YEAR((Tahmin!$C$4+49)),MONTH((Tahmin!$C$4+49)),MIN(DAY(Kalemler!$D178),DAY(EOMONTH((Tahmin!$C$4+49),0))))&lt;=(Tahmin!$C$4+55),DATE(YEAR((Tahmin!$C$4+49)),MONTH((Tahmin!$C$4+49)),MIN(DAY(Kalemler!$D178),DAY(EOMONTH((Tahmin!$C$4+49),0))))&gt;=Kalemler!$D178),AND(DATE(YEAR((Tahmin!$C$4+55)),MONTH((Tahmin!$C$4+55)),MIN(DAY(Kalemler!$D178),DAY(EOMONTH((Tahmin!$C$4+55),0))))&gt;=(Tahmin!$C$4+49),DATE(YEAR((Tahmin!$C$4+55)),MONTH((Tahmin!$C$4+55)),MIN(DAY(Kalemler!$D178),DAY(EOMONTH((Tahmin!$C$4+55),0))))&lt;=(Tahmin!$C$4+55),DATE(YEAR((Tahmin!$C$4+55)),MONTH((Tahmin!$C$4+55)),MIN(DAY(Kalemler!$D178),DAY(EOMONTH((Tahmin!$C$4+55),0))))&lt;&gt;DATE(YEAR((Tahmin!$C$4+49)),MONTH((Tahmin!$C$4+49)),MIN(DAY(Kalemler!$D178),DAY(EOMONTH((Tahmin!$C$4+49),0)))),DATE(YEAR((Tahmin!$C$4+55)),MONTH((Tahmin!$C$4+55)),MIN(DAY(Kalemler!$D178),DAY(EOMONTH((Tahmin!$C$4+55),0))))&gt;=Kalemler!$D178)),1,0),IF(AND(Kalemler!$D178&gt;=(Tahmin!$C$4+49),Kalemler!$D178&lt;=(Tahmin!$C$4+55)),1,0))))</f>
        <v>0</v>
      </c>
      <c r="J178" s="0" t="n">
        <f aca="false">IF(OR(Kalemler!$A178="",Kalemler!$C178="",Kalemler!$D178=""),0,Kalemler!$C178*IF(Kalemler!$E178="Haftalık",IF(Kalemler!$D178&lt;=(Tahmin!$C$4+62),1,0),IF(Kalemler!$E178="Aylık",IF(OR(AND(DATE(YEAR((Tahmin!$C$4+56)),MONTH((Tahmin!$C$4+56)),MIN(DAY(Kalemler!$D178),DAY(EOMONTH((Tahmin!$C$4+56),0))))&gt;=(Tahmin!$C$4+56),DATE(YEAR((Tahmin!$C$4+56)),MONTH((Tahmin!$C$4+56)),MIN(DAY(Kalemler!$D178),DAY(EOMONTH((Tahmin!$C$4+56),0))))&lt;=(Tahmin!$C$4+62),DATE(YEAR((Tahmin!$C$4+56)),MONTH((Tahmin!$C$4+56)),MIN(DAY(Kalemler!$D178),DAY(EOMONTH((Tahmin!$C$4+56),0))))&gt;=Kalemler!$D178),AND(DATE(YEAR((Tahmin!$C$4+62)),MONTH((Tahmin!$C$4+62)),MIN(DAY(Kalemler!$D178),DAY(EOMONTH((Tahmin!$C$4+62),0))))&gt;=(Tahmin!$C$4+56),DATE(YEAR((Tahmin!$C$4+62)),MONTH((Tahmin!$C$4+62)),MIN(DAY(Kalemler!$D178),DAY(EOMONTH((Tahmin!$C$4+62),0))))&lt;=(Tahmin!$C$4+62),DATE(YEAR((Tahmin!$C$4+62)),MONTH((Tahmin!$C$4+62)),MIN(DAY(Kalemler!$D178),DAY(EOMONTH((Tahmin!$C$4+62),0))))&lt;&gt;DATE(YEAR((Tahmin!$C$4+56)),MONTH((Tahmin!$C$4+56)),MIN(DAY(Kalemler!$D178),DAY(EOMONTH((Tahmin!$C$4+56),0)))),DATE(YEAR((Tahmin!$C$4+62)),MONTH((Tahmin!$C$4+62)),MIN(DAY(Kalemler!$D178),DAY(EOMONTH((Tahmin!$C$4+62),0))))&gt;=Kalemler!$D178)),1,0),IF(AND(Kalemler!$D178&gt;=(Tahmin!$C$4+56),Kalemler!$D178&lt;=(Tahmin!$C$4+62)),1,0))))</f>
        <v>0</v>
      </c>
      <c r="K178" s="0" t="n">
        <f aca="false">IF(OR(Kalemler!$A178="",Kalemler!$C178="",Kalemler!$D178=""),0,Kalemler!$C178*IF(Kalemler!$E178="Haftalık",IF(Kalemler!$D178&lt;=(Tahmin!$C$4+69),1,0),IF(Kalemler!$E178="Aylık",IF(OR(AND(DATE(YEAR((Tahmin!$C$4+63)),MONTH((Tahmin!$C$4+63)),MIN(DAY(Kalemler!$D178),DAY(EOMONTH((Tahmin!$C$4+63),0))))&gt;=(Tahmin!$C$4+63),DATE(YEAR((Tahmin!$C$4+63)),MONTH((Tahmin!$C$4+63)),MIN(DAY(Kalemler!$D178),DAY(EOMONTH((Tahmin!$C$4+63),0))))&lt;=(Tahmin!$C$4+69),DATE(YEAR((Tahmin!$C$4+63)),MONTH((Tahmin!$C$4+63)),MIN(DAY(Kalemler!$D178),DAY(EOMONTH((Tahmin!$C$4+63),0))))&gt;=Kalemler!$D178),AND(DATE(YEAR((Tahmin!$C$4+69)),MONTH((Tahmin!$C$4+69)),MIN(DAY(Kalemler!$D178),DAY(EOMONTH((Tahmin!$C$4+69),0))))&gt;=(Tahmin!$C$4+63),DATE(YEAR((Tahmin!$C$4+69)),MONTH((Tahmin!$C$4+69)),MIN(DAY(Kalemler!$D178),DAY(EOMONTH((Tahmin!$C$4+69),0))))&lt;=(Tahmin!$C$4+69),DATE(YEAR((Tahmin!$C$4+69)),MONTH((Tahmin!$C$4+69)),MIN(DAY(Kalemler!$D178),DAY(EOMONTH((Tahmin!$C$4+69),0))))&lt;&gt;DATE(YEAR((Tahmin!$C$4+63)),MONTH((Tahmin!$C$4+63)),MIN(DAY(Kalemler!$D178),DAY(EOMONTH((Tahmin!$C$4+63),0)))),DATE(YEAR((Tahmin!$C$4+69)),MONTH((Tahmin!$C$4+69)),MIN(DAY(Kalemler!$D178),DAY(EOMONTH((Tahmin!$C$4+69),0))))&gt;=Kalemler!$D178)),1,0),IF(AND(Kalemler!$D178&gt;=(Tahmin!$C$4+63),Kalemler!$D178&lt;=(Tahmin!$C$4+69)),1,0))))</f>
        <v>0</v>
      </c>
      <c r="L178" s="0" t="n">
        <f aca="false">IF(OR(Kalemler!$A178="",Kalemler!$C178="",Kalemler!$D178=""),0,Kalemler!$C178*IF(Kalemler!$E178="Haftalık",IF(Kalemler!$D178&lt;=(Tahmin!$C$4+76),1,0),IF(Kalemler!$E178="Aylık",IF(OR(AND(DATE(YEAR((Tahmin!$C$4+70)),MONTH((Tahmin!$C$4+70)),MIN(DAY(Kalemler!$D178),DAY(EOMONTH((Tahmin!$C$4+70),0))))&gt;=(Tahmin!$C$4+70),DATE(YEAR((Tahmin!$C$4+70)),MONTH((Tahmin!$C$4+70)),MIN(DAY(Kalemler!$D178),DAY(EOMONTH((Tahmin!$C$4+70),0))))&lt;=(Tahmin!$C$4+76),DATE(YEAR((Tahmin!$C$4+70)),MONTH((Tahmin!$C$4+70)),MIN(DAY(Kalemler!$D178),DAY(EOMONTH((Tahmin!$C$4+70),0))))&gt;=Kalemler!$D178),AND(DATE(YEAR((Tahmin!$C$4+76)),MONTH((Tahmin!$C$4+76)),MIN(DAY(Kalemler!$D178),DAY(EOMONTH((Tahmin!$C$4+76),0))))&gt;=(Tahmin!$C$4+70),DATE(YEAR((Tahmin!$C$4+76)),MONTH((Tahmin!$C$4+76)),MIN(DAY(Kalemler!$D178),DAY(EOMONTH((Tahmin!$C$4+76),0))))&lt;=(Tahmin!$C$4+76),DATE(YEAR((Tahmin!$C$4+76)),MONTH((Tahmin!$C$4+76)),MIN(DAY(Kalemler!$D178),DAY(EOMONTH((Tahmin!$C$4+76),0))))&lt;&gt;DATE(YEAR((Tahmin!$C$4+70)),MONTH((Tahmin!$C$4+70)),MIN(DAY(Kalemler!$D178),DAY(EOMONTH((Tahmin!$C$4+70),0)))),DATE(YEAR((Tahmin!$C$4+76)),MONTH((Tahmin!$C$4+76)),MIN(DAY(Kalemler!$D178),DAY(EOMONTH((Tahmin!$C$4+76),0))))&gt;=Kalemler!$D178)),1,0),IF(AND(Kalemler!$D178&gt;=(Tahmin!$C$4+70),Kalemler!$D178&lt;=(Tahmin!$C$4+76)),1,0))))</f>
        <v>0</v>
      </c>
      <c r="M178" s="0" t="n">
        <f aca="false">IF(OR(Kalemler!$A178="",Kalemler!$C178="",Kalemler!$D178=""),0,Kalemler!$C178*IF(Kalemler!$E178="Haftalık",IF(Kalemler!$D178&lt;=(Tahmin!$C$4+83),1,0),IF(Kalemler!$E178="Aylık",IF(OR(AND(DATE(YEAR((Tahmin!$C$4+77)),MONTH((Tahmin!$C$4+77)),MIN(DAY(Kalemler!$D178),DAY(EOMONTH((Tahmin!$C$4+77),0))))&gt;=(Tahmin!$C$4+77),DATE(YEAR((Tahmin!$C$4+77)),MONTH((Tahmin!$C$4+77)),MIN(DAY(Kalemler!$D178),DAY(EOMONTH((Tahmin!$C$4+77),0))))&lt;=(Tahmin!$C$4+83),DATE(YEAR((Tahmin!$C$4+77)),MONTH((Tahmin!$C$4+77)),MIN(DAY(Kalemler!$D178),DAY(EOMONTH((Tahmin!$C$4+77),0))))&gt;=Kalemler!$D178),AND(DATE(YEAR((Tahmin!$C$4+83)),MONTH((Tahmin!$C$4+83)),MIN(DAY(Kalemler!$D178),DAY(EOMONTH((Tahmin!$C$4+83),0))))&gt;=(Tahmin!$C$4+77),DATE(YEAR((Tahmin!$C$4+83)),MONTH((Tahmin!$C$4+83)),MIN(DAY(Kalemler!$D178),DAY(EOMONTH((Tahmin!$C$4+83),0))))&lt;=(Tahmin!$C$4+83),DATE(YEAR((Tahmin!$C$4+83)),MONTH((Tahmin!$C$4+83)),MIN(DAY(Kalemler!$D178),DAY(EOMONTH((Tahmin!$C$4+83),0))))&lt;&gt;DATE(YEAR((Tahmin!$C$4+77)),MONTH((Tahmin!$C$4+77)),MIN(DAY(Kalemler!$D178),DAY(EOMONTH((Tahmin!$C$4+77),0)))),DATE(YEAR((Tahmin!$C$4+83)),MONTH((Tahmin!$C$4+83)),MIN(DAY(Kalemler!$D178),DAY(EOMONTH((Tahmin!$C$4+83),0))))&gt;=Kalemler!$D178)),1,0),IF(AND(Kalemler!$D178&gt;=(Tahmin!$C$4+77),Kalemler!$D178&lt;=(Tahmin!$C$4+83)),1,0))))</f>
        <v>0</v>
      </c>
      <c r="N178" s="0" t="n">
        <f aca="false">IF(OR(Kalemler!$A178="",Kalemler!$C178="",Kalemler!$D178=""),0,Kalemler!$C178*IF(Kalemler!$E178="Haftalık",IF(Kalemler!$D178&lt;=(Tahmin!$C$4+90),1,0),IF(Kalemler!$E178="Aylık",IF(OR(AND(DATE(YEAR((Tahmin!$C$4+84)),MONTH((Tahmin!$C$4+84)),MIN(DAY(Kalemler!$D178),DAY(EOMONTH((Tahmin!$C$4+84),0))))&gt;=(Tahmin!$C$4+84),DATE(YEAR((Tahmin!$C$4+84)),MONTH((Tahmin!$C$4+84)),MIN(DAY(Kalemler!$D178),DAY(EOMONTH((Tahmin!$C$4+84),0))))&lt;=(Tahmin!$C$4+90),DATE(YEAR((Tahmin!$C$4+84)),MONTH((Tahmin!$C$4+84)),MIN(DAY(Kalemler!$D178),DAY(EOMONTH((Tahmin!$C$4+84),0))))&gt;=Kalemler!$D178),AND(DATE(YEAR((Tahmin!$C$4+90)),MONTH((Tahmin!$C$4+90)),MIN(DAY(Kalemler!$D178),DAY(EOMONTH((Tahmin!$C$4+90),0))))&gt;=(Tahmin!$C$4+84),DATE(YEAR((Tahmin!$C$4+90)),MONTH((Tahmin!$C$4+90)),MIN(DAY(Kalemler!$D178),DAY(EOMONTH((Tahmin!$C$4+90),0))))&lt;=(Tahmin!$C$4+90),DATE(YEAR((Tahmin!$C$4+90)),MONTH((Tahmin!$C$4+90)),MIN(DAY(Kalemler!$D178),DAY(EOMONTH((Tahmin!$C$4+90),0))))&lt;&gt;DATE(YEAR((Tahmin!$C$4+84)),MONTH((Tahmin!$C$4+84)),MIN(DAY(Kalemler!$D178),DAY(EOMONTH((Tahmin!$C$4+84),0)))),DATE(YEAR((Tahmin!$C$4+90)),MONTH((Tahmin!$C$4+90)),MIN(DAY(Kalemler!$D178),DAY(EOMONTH((Tahmin!$C$4+90),0))))&gt;=Kalemler!$D178)),1,0),IF(AND(Kalemler!$D178&gt;=(Tahmin!$C$4+84),Kalemler!$D178&lt;=(Tahmin!$C$4+90)),1,0))))</f>
        <v>0</v>
      </c>
    </row>
    <row r="179" customFormat="false" ht="15" hidden="false" customHeight="false" outlineLevel="0" collapsed="false">
      <c r="A179" s="0" t="str">
        <f aca="false">IF(Kalemler!A179="","",Kalemler!A179)</f>
        <v/>
      </c>
      <c r="B179" s="0" t="n">
        <f aca="false">IF(OR(Kalemler!$A179="",Kalemler!$C179="",Kalemler!$D179=""),0,Kalemler!$C179*IF(Kalemler!$E179="Haftalık",IF(Kalemler!$D179&lt;=(Tahmin!$C$4+6),1,0),IF(Kalemler!$E179="Aylık",IF(OR(AND(DATE(YEAR((Tahmin!$C$4+0)),MONTH((Tahmin!$C$4+0)),MIN(DAY(Kalemler!$D179),DAY(EOMONTH((Tahmin!$C$4+0),0))))&gt;=(Tahmin!$C$4+0),DATE(YEAR((Tahmin!$C$4+0)),MONTH((Tahmin!$C$4+0)),MIN(DAY(Kalemler!$D179),DAY(EOMONTH((Tahmin!$C$4+0),0))))&lt;=(Tahmin!$C$4+6),DATE(YEAR((Tahmin!$C$4+0)),MONTH((Tahmin!$C$4+0)),MIN(DAY(Kalemler!$D179),DAY(EOMONTH((Tahmin!$C$4+0),0))))&gt;=Kalemler!$D179),AND(DATE(YEAR((Tahmin!$C$4+6)),MONTH((Tahmin!$C$4+6)),MIN(DAY(Kalemler!$D179),DAY(EOMONTH((Tahmin!$C$4+6),0))))&gt;=(Tahmin!$C$4+0),DATE(YEAR((Tahmin!$C$4+6)),MONTH((Tahmin!$C$4+6)),MIN(DAY(Kalemler!$D179),DAY(EOMONTH((Tahmin!$C$4+6),0))))&lt;=(Tahmin!$C$4+6),DATE(YEAR((Tahmin!$C$4+6)),MONTH((Tahmin!$C$4+6)),MIN(DAY(Kalemler!$D179),DAY(EOMONTH((Tahmin!$C$4+6),0))))&lt;&gt;DATE(YEAR((Tahmin!$C$4+0)),MONTH((Tahmin!$C$4+0)),MIN(DAY(Kalemler!$D179),DAY(EOMONTH((Tahmin!$C$4+0),0)))),DATE(YEAR((Tahmin!$C$4+6)),MONTH((Tahmin!$C$4+6)),MIN(DAY(Kalemler!$D179),DAY(EOMONTH((Tahmin!$C$4+6),0))))&gt;=Kalemler!$D179)),1,0),IF(AND(Kalemler!$D179&gt;=(Tahmin!$C$4+0),Kalemler!$D179&lt;=(Tahmin!$C$4+6)),1,0))))</f>
        <v>0</v>
      </c>
      <c r="C179" s="0" t="n">
        <f aca="false">IF(OR(Kalemler!$A179="",Kalemler!$C179="",Kalemler!$D179=""),0,Kalemler!$C179*IF(Kalemler!$E179="Haftalık",IF(Kalemler!$D179&lt;=(Tahmin!$C$4+13),1,0),IF(Kalemler!$E179="Aylık",IF(OR(AND(DATE(YEAR((Tahmin!$C$4+7)),MONTH((Tahmin!$C$4+7)),MIN(DAY(Kalemler!$D179),DAY(EOMONTH((Tahmin!$C$4+7),0))))&gt;=(Tahmin!$C$4+7),DATE(YEAR((Tahmin!$C$4+7)),MONTH((Tahmin!$C$4+7)),MIN(DAY(Kalemler!$D179),DAY(EOMONTH((Tahmin!$C$4+7),0))))&lt;=(Tahmin!$C$4+13),DATE(YEAR((Tahmin!$C$4+7)),MONTH((Tahmin!$C$4+7)),MIN(DAY(Kalemler!$D179),DAY(EOMONTH((Tahmin!$C$4+7),0))))&gt;=Kalemler!$D179),AND(DATE(YEAR((Tahmin!$C$4+13)),MONTH((Tahmin!$C$4+13)),MIN(DAY(Kalemler!$D179),DAY(EOMONTH((Tahmin!$C$4+13),0))))&gt;=(Tahmin!$C$4+7),DATE(YEAR((Tahmin!$C$4+13)),MONTH((Tahmin!$C$4+13)),MIN(DAY(Kalemler!$D179),DAY(EOMONTH((Tahmin!$C$4+13),0))))&lt;=(Tahmin!$C$4+13),DATE(YEAR((Tahmin!$C$4+13)),MONTH((Tahmin!$C$4+13)),MIN(DAY(Kalemler!$D179),DAY(EOMONTH((Tahmin!$C$4+13),0))))&lt;&gt;DATE(YEAR((Tahmin!$C$4+7)),MONTH((Tahmin!$C$4+7)),MIN(DAY(Kalemler!$D179),DAY(EOMONTH((Tahmin!$C$4+7),0)))),DATE(YEAR((Tahmin!$C$4+13)),MONTH((Tahmin!$C$4+13)),MIN(DAY(Kalemler!$D179),DAY(EOMONTH((Tahmin!$C$4+13),0))))&gt;=Kalemler!$D179)),1,0),IF(AND(Kalemler!$D179&gt;=(Tahmin!$C$4+7),Kalemler!$D179&lt;=(Tahmin!$C$4+13)),1,0))))</f>
        <v>0</v>
      </c>
      <c r="D179" s="0" t="n">
        <f aca="false">IF(OR(Kalemler!$A179="",Kalemler!$C179="",Kalemler!$D179=""),0,Kalemler!$C179*IF(Kalemler!$E179="Haftalık",IF(Kalemler!$D179&lt;=(Tahmin!$C$4+20),1,0),IF(Kalemler!$E179="Aylık",IF(OR(AND(DATE(YEAR((Tahmin!$C$4+14)),MONTH((Tahmin!$C$4+14)),MIN(DAY(Kalemler!$D179),DAY(EOMONTH((Tahmin!$C$4+14),0))))&gt;=(Tahmin!$C$4+14),DATE(YEAR((Tahmin!$C$4+14)),MONTH((Tahmin!$C$4+14)),MIN(DAY(Kalemler!$D179),DAY(EOMONTH((Tahmin!$C$4+14),0))))&lt;=(Tahmin!$C$4+20),DATE(YEAR((Tahmin!$C$4+14)),MONTH((Tahmin!$C$4+14)),MIN(DAY(Kalemler!$D179),DAY(EOMONTH((Tahmin!$C$4+14),0))))&gt;=Kalemler!$D179),AND(DATE(YEAR((Tahmin!$C$4+20)),MONTH((Tahmin!$C$4+20)),MIN(DAY(Kalemler!$D179),DAY(EOMONTH((Tahmin!$C$4+20),0))))&gt;=(Tahmin!$C$4+14),DATE(YEAR((Tahmin!$C$4+20)),MONTH((Tahmin!$C$4+20)),MIN(DAY(Kalemler!$D179),DAY(EOMONTH((Tahmin!$C$4+20),0))))&lt;=(Tahmin!$C$4+20),DATE(YEAR((Tahmin!$C$4+20)),MONTH((Tahmin!$C$4+20)),MIN(DAY(Kalemler!$D179),DAY(EOMONTH((Tahmin!$C$4+20),0))))&lt;&gt;DATE(YEAR((Tahmin!$C$4+14)),MONTH((Tahmin!$C$4+14)),MIN(DAY(Kalemler!$D179),DAY(EOMONTH((Tahmin!$C$4+14),0)))),DATE(YEAR((Tahmin!$C$4+20)),MONTH((Tahmin!$C$4+20)),MIN(DAY(Kalemler!$D179),DAY(EOMONTH((Tahmin!$C$4+20),0))))&gt;=Kalemler!$D179)),1,0),IF(AND(Kalemler!$D179&gt;=(Tahmin!$C$4+14),Kalemler!$D179&lt;=(Tahmin!$C$4+20)),1,0))))</f>
        <v>0</v>
      </c>
      <c r="E179" s="0" t="n">
        <f aca="false">IF(OR(Kalemler!$A179="",Kalemler!$C179="",Kalemler!$D179=""),0,Kalemler!$C179*IF(Kalemler!$E179="Haftalık",IF(Kalemler!$D179&lt;=(Tahmin!$C$4+27),1,0),IF(Kalemler!$E179="Aylık",IF(OR(AND(DATE(YEAR((Tahmin!$C$4+21)),MONTH((Tahmin!$C$4+21)),MIN(DAY(Kalemler!$D179),DAY(EOMONTH((Tahmin!$C$4+21),0))))&gt;=(Tahmin!$C$4+21),DATE(YEAR((Tahmin!$C$4+21)),MONTH((Tahmin!$C$4+21)),MIN(DAY(Kalemler!$D179),DAY(EOMONTH((Tahmin!$C$4+21),0))))&lt;=(Tahmin!$C$4+27),DATE(YEAR((Tahmin!$C$4+21)),MONTH((Tahmin!$C$4+21)),MIN(DAY(Kalemler!$D179),DAY(EOMONTH((Tahmin!$C$4+21),0))))&gt;=Kalemler!$D179),AND(DATE(YEAR((Tahmin!$C$4+27)),MONTH((Tahmin!$C$4+27)),MIN(DAY(Kalemler!$D179),DAY(EOMONTH((Tahmin!$C$4+27),0))))&gt;=(Tahmin!$C$4+21),DATE(YEAR((Tahmin!$C$4+27)),MONTH((Tahmin!$C$4+27)),MIN(DAY(Kalemler!$D179),DAY(EOMONTH((Tahmin!$C$4+27),0))))&lt;=(Tahmin!$C$4+27),DATE(YEAR((Tahmin!$C$4+27)),MONTH((Tahmin!$C$4+27)),MIN(DAY(Kalemler!$D179),DAY(EOMONTH((Tahmin!$C$4+27),0))))&lt;&gt;DATE(YEAR((Tahmin!$C$4+21)),MONTH((Tahmin!$C$4+21)),MIN(DAY(Kalemler!$D179),DAY(EOMONTH((Tahmin!$C$4+21),0)))),DATE(YEAR((Tahmin!$C$4+27)),MONTH((Tahmin!$C$4+27)),MIN(DAY(Kalemler!$D179),DAY(EOMONTH((Tahmin!$C$4+27),0))))&gt;=Kalemler!$D179)),1,0),IF(AND(Kalemler!$D179&gt;=(Tahmin!$C$4+21),Kalemler!$D179&lt;=(Tahmin!$C$4+27)),1,0))))</f>
        <v>0</v>
      </c>
      <c r="F179" s="0" t="n">
        <f aca="false">IF(OR(Kalemler!$A179="",Kalemler!$C179="",Kalemler!$D179=""),0,Kalemler!$C179*IF(Kalemler!$E179="Haftalık",IF(Kalemler!$D179&lt;=(Tahmin!$C$4+34),1,0),IF(Kalemler!$E179="Aylık",IF(OR(AND(DATE(YEAR((Tahmin!$C$4+28)),MONTH((Tahmin!$C$4+28)),MIN(DAY(Kalemler!$D179),DAY(EOMONTH((Tahmin!$C$4+28),0))))&gt;=(Tahmin!$C$4+28),DATE(YEAR((Tahmin!$C$4+28)),MONTH((Tahmin!$C$4+28)),MIN(DAY(Kalemler!$D179),DAY(EOMONTH((Tahmin!$C$4+28),0))))&lt;=(Tahmin!$C$4+34),DATE(YEAR((Tahmin!$C$4+28)),MONTH((Tahmin!$C$4+28)),MIN(DAY(Kalemler!$D179),DAY(EOMONTH((Tahmin!$C$4+28),0))))&gt;=Kalemler!$D179),AND(DATE(YEAR((Tahmin!$C$4+34)),MONTH((Tahmin!$C$4+34)),MIN(DAY(Kalemler!$D179),DAY(EOMONTH((Tahmin!$C$4+34),0))))&gt;=(Tahmin!$C$4+28),DATE(YEAR((Tahmin!$C$4+34)),MONTH((Tahmin!$C$4+34)),MIN(DAY(Kalemler!$D179),DAY(EOMONTH((Tahmin!$C$4+34),0))))&lt;=(Tahmin!$C$4+34),DATE(YEAR((Tahmin!$C$4+34)),MONTH((Tahmin!$C$4+34)),MIN(DAY(Kalemler!$D179),DAY(EOMONTH((Tahmin!$C$4+34),0))))&lt;&gt;DATE(YEAR((Tahmin!$C$4+28)),MONTH((Tahmin!$C$4+28)),MIN(DAY(Kalemler!$D179),DAY(EOMONTH((Tahmin!$C$4+28),0)))),DATE(YEAR((Tahmin!$C$4+34)),MONTH((Tahmin!$C$4+34)),MIN(DAY(Kalemler!$D179),DAY(EOMONTH((Tahmin!$C$4+34),0))))&gt;=Kalemler!$D179)),1,0),IF(AND(Kalemler!$D179&gt;=(Tahmin!$C$4+28),Kalemler!$D179&lt;=(Tahmin!$C$4+34)),1,0))))</f>
        <v>0</v>
      </c>
      <c r="G179" s="0" t="n">
        <f aca="false">IF(OR(Kalemler!$A179="",Kalemler!$C179="",Kalemler!$D179=""),0,Kalemler!$C179*IF(Kalemler!$E179="Haftalık",IF(Kalemler!$D179&lt;=(Tahmin!$C$4+41),1,0),IF(Kalemler!$E179="Aylık",IF(OR(AND(DATE(YEAR((Tahmin!$C$4+35)),MONTH((Tahmin!$C$4+35)),MIN(DAY(Kalemler!$D179),DAY(EOMONTH((Tahmin!$C$4+35),0))))&gt;=(Tahmin!$C$4+35),DATE(YEAR((Tahmin!$C$4+35)),MONTH((Tahmin!$C$4+35)),MIN(DAY(Kalemler!$D179),DAY(EOMONTH((Tahmin!$C$4+35),0))))&lt;=(Tahmin!$C$4+41),DATE(YEAR((Tahmin!$C$4+35)),MONTH((Tahmin!$C$4+35)),MIN(DAY(Kalemler!$D179),DAY(EOMONTH((Tahmin!$C$4+35),0))))&gt;=Kalemler!$D179),AND(DATE(YEAR((Tahmin!$C$4+41)),MONTH((Tahmin!$C$4+41)),MIN(DAY(Kalemler!$D179),DAY(EOMONTH((Tahmin!$C$4+41),0))))&gt;=(Tahmin!$C$4+35),DATE(YEAR((Tahmin!$C$4+41)),MONTH((Tahmin!$C$4+41)),MIN(DAY(Kalemler!$D179),DAY(EOMONTH((Tahmin!$C$4+41),0))))&lt;=(Tahmin!$C$4+41),DATE(YEAR((Tahmin!$C$4+41)),MONTH((Tahmin!$C$4+41)),MIN(DAY(Kalemler!$D179),DAY(EOMONTH((Tahmin!$C$4+41),0))))&lt;&gt;DATE(YEAR((Tahmin!$C$4+35)),MONTH((Tahmin!$C$4+35)),MIN(DAY(Kalemler!$D179),DAY(EOMONTH((Tahmin!$C$4+35),0)))),DATE(YEAR((Tahmin!$C$4+41)),MONTH((Tahmin!$C$4+41)),MIN(DAY(Kalemler!$D179),DAY(EOMONTH((Tahmin!$C$4+41),0))))&gt;=Kalemler!$D179)),1,0),IF(AND(Kalemler!$D179&gt;=(Tahmin!$C$4+35),Kalemler!$D179&lt;=(Tahmin!$C$4+41)),1,0))))</f>
        <v>0</v>
      </c>
      <c r="H179" s="0" t="n">
        <f aca="false">IF(OR(Kalemler!$A179="",Kalemler!$C179="",Kalemler!$D179=""),0,Kalemler!$C179*IF(Kalemler!$E179="Haftalık",IF(Kalemler!$D179&lt;=(Tahmin!$C$4+48),1,0),IF(Kalemler!$E179="Aylık",IF(OR(AND(DATE(YEAR((Tahmin!$C$4+42)),MONTH((Tahmin!$C$4+42)),MIN(DAY(Kalemler!$D179),DAY(EOMONTH((Tahmin!$C$4+42),0))))&gt;=(Tahmin!$C$4+42),DATE(YEAR((Tahmin!$C$4+42)),MONTH((Tahmin!$C$4+42)),MIN(DAY(Kalemler!$D179),DAY(EOMONTH((Tahmin!$C$4+42),0))))&lt;=(Tahmin!$C$4+48),DATE(YEAR((Tahmin!$C$4+42)),MONTH((Tahmin!$C$4+42)),MIN(DAY(Kalemler!$D179),DAY(EOMONTH((Tahmin!$C$4+42),0))))&gt;=Kalemler!$D179),AND(DATE(YEAR((Tahmin!$C$4+48)),MONTH((Tahmin!$C$4+48)),MIN(DAY(Kalemler!$D179),DAY(EOMONTH((Tahmin!$C$4+48),0))))&gt;=(Tahmin!$C$4+42),DATE(YEAR((Tahmin!$C$4+48)),MONTH((Tahmin!$C$4+48)),MIN(DAY(Kalemler!$D179),DAY(EOMONTH((Tahmin!$C$4+48),0))))&lt;=(Tahmin!$C$4+48),DATE(YEAR((Tahmin!$C$4+48)),MONTH((Tahmin!$C$4+48)),MIN(DAY(Kalemler!$D179),DAY(EOMONTH((Tahmin!$C$4+48),0))))&lt;&gt;DATE(YEAR((Tahmin!$C$4+42)),MONTH((Tahmin!$C$4+42)),MIN(DAY(Kalemler!$D179),DAY(EOMONTH((Tahmin!$C$4+42),0)))),DATE(YEAR((Tahmin!$C$4+48)),MONTH((Tahmin!$C$4+48)),MIN(DAY(Kalemler!$D179),DAY(EOMONTH((Tahmin!$C$4+48),0))))&gt;=Kalemler!$D179)),1,0),IF(AND(Kalemler!$D179&gt;=(Tahmin!$C$4+42),Kalemler!$D179&lt;=(Tahmin!$C$4+48)),1,0))))</f>
        <v>0</v>
      </c>
      <c r="I179" s="0" t="n">
        <f aca="false">IF(OR(Kalemler!$A179="",Kalemler!$C179="",Kalemler!$D179=""),0,Kalemler!$C179*IF(Kalemler!$E179="Haftalık",IF(Kalemler!$D179&lt;=(Tahmin!$C$4+55),1,0),IF(Kalemler!$E179="Aylık",IF(OR(AND(DATE(YEAR((Tahmin!$C$4+49)),MONTH((Tahmin!$C$4+49)),MIN(DAY(Kalemler!$D179),DAY(EOMONTH((Tahmin!$C$4+49),0))))&gt;=(Tahmin!$C$4+49),DATE(YEAR((Tahmin!$C$4+49)),MONTH((Tahmin!$C$4+49)),MIN(DAY(Kalemler!$D179),DAY(EOMONTH((Tahmin!$C$4+49),0))))&lt;=(Tahmin!$C$4+55),DATE(YEAR((Tahmin!$C$4+49)),MONTH((Tahmin!$C$4+49)),MIN(DAY(Kalemler!$D179),DAY(EOMONTH((Tahmin!$C$4+49),0))))&gt;=Kalemler!$D179),AND(DATE(YEAR((Tahmin!$C$4+55)),MONTH((Tahmin!$C$4+55)),MIN(DAY(Kalemler!$D179),DAY(EOMONTH((Tahmin!$C$4+55),0))))&gt;=(Tahmin!$C$4+49),DATE(YEAR((Tahmin!$C$4+55)),MONTH((Tahmin!$C$4+55)),MIN(DAY(Kalemler!$D179),DAY(EOMONTH((Tahmin!$C$4+55),0))))&lt;=(Tahmin!$C$4+55),DATE(YEAR((Tahmin!$C$4+55)),MONTH((Tahmin!$C$4+55)),MIN(DAY(Kalemler!$D179),DAY(EOMONTH((Tahmin!$C$4+55),0))))&lt;&gt;DATE(YEAR((Tahmin!$C$4+49)),MONTH((Tahmin!$C$4+49)),MIN(DAY(Kalemler!$D179),DAY(EOMONTH((Tahmin!$C$4+49),0)))),DATE(YEAR((Tahmin!$C$4+55)),MONTH((Tahmin!$C$4+55)),MIN(DAY(Kalemler!$D179),DAY(EOMONTH((Tahmin!$C$4+55),0))))&gt;=Kalemler!$D179)),1,0),IF(AND(Kalemler!$D179&gt;=(Tahmin!$C$4+49),Kalemler!$D179&lt;=(Tahmin!$C$4+55)),1,0))))</f>
        <v>0</v>
      </c>
      <c r="J179" s="0" t="n">
        <f aca="false">IF(OR(Kalemler!$A179="",Kalemler!$C179="",Kalemler!$D179=""),0,Kalemler!$C179*IF(Kalemler!$E179="Haftalık",IF(Kalemler!$D179&lt;=(Tahmin!$C$4+62),1,0),IF(Kalemler!$E179="Aylık",IF(OR(AND(DATE(YEAR((Tahmin!$C$4+56)),MONTH((Tahmin!$C$4+56)),MIN(DAY(Kalemler!$D179),DAY(EOMONTH((Tahmin!$C$4+56),0))))&gt;=(Tahmin!$C$4+56),DATE(YEAR((Tahmin!$C$4+56)),MONTH((Tahmin!$C$4+56)),MIN(DAY(Kalemler!$D179),DAY(EOMONTH((Tahmin!$C$4+56),0))))&lt;=(Tahmin!$C$4+62),DATE(YEAR((Tahmin!$C$4+56)),MONTH((Tahmin!$C$4+56)),MIN(DAY(Kalemler!$D179),DAY(EOMONTH((Tahmin!$C$4+56),0))))&gt;=Kalemler!$D179),AND(DATE(YEAR((Tahmin!$C$4+62)),MONTH((Tahmin!$C$4+62)),MIN(DAY(Kalemler!$D179),DAY(EOMONTH((Tahmin!$C$4+62),0))))&gt;=(Tahmin!$C$4+56),DATE(YEAR((Tahmin!$C$4+62)),MONTH((Tahmin!$C$4+62)),MIN(DAY(Kalemler!$D179),DAY(EOMONTH((Tahmin!$C$4+62),0))))&lt;=(Tahmin!$C$4+62),DATE(YEAR((Tahmin!$C$4+62)),MONTH((Tahmin!$C$4+62)),MIN(DAY(Kalemler!$D179),DAY(EOMONTH((Tahmin!$C$4+62),0))))&lt;&gt;DATE(YEAR((Tahmin!$C$4+56)),MONTH((Tahmin!$C$4+56)),MIN(DAY(Kalemler!$D179),DAY(EOMONTH((Tahmin!$C$4+56),0)))),DATE(YEAR((Tahmin!$C$4+62)),MONTH((Tahmin!$C$4+62)),MIN(DAY(Kalemler!$D179),DAY(EOMONTH((Tahmin!$C$4+62),0))))&gt;=Kalemler!$D179)),1,0),IF(AND(Kalemler!$D179&gt;=(Tahmin!$C$4+56),Kalemler!$D179&lt;=(Tahmin!$C$4+62)),1,0))))</f>
        <v>0</v>
      </c>
      <c r="K179" s="0" t="n">
        <f aca="false">IF(OR(Kalemler!$A179="",Kalemler!$C179="",Kalemler!$D179=""),0,Kalemler!$C179*IF(Kalemler!$E179="Haftalık",IF(Kalemler!$D179&lt;=(Tahmin!$C$4+69),1,0),IF(Kalemler!$E179="Aylık",IF(OR(AND(DATE(YEAR((Tahmin!$C$4+63)),MONTH((Tahmin!$C$4+63)),MIN(DAY(Kalemler!$D179),DAY(EOMONTH((Tahmin!$C$4+63),0))))&gt;=(Tahmin!$C$4+63),DATE(YEAR((Tahmin!$C$4+63)),MONTH((Tahmin!$C$4+63)),MIN(DAY(Kalemler!$D179),DAY(EOMONTH((Tahmin!$C$4+63),0))))&lt;=(Tahmin!$C$4+69),DATE(YEAR((Tahmin!$C$4+63)),MONTH((Tahmin!$C$4+63)),MIN(DAY(Kalemler!$D179),DAY(EOMONTH((Tahmin!$C$4+63),0))))&gt;=Kalemler!$D179),AND(DATE(YEAR((Tahmin!$C$4+69)),MONTH((Tahmin!$C$4+69)),MIN(DAY(Kalemler!$D179),DAY(EOMONTH((Tahmin!$C$4+69),0))))&gt;=(Tahmin!$C$4+63),DATE(YEAR((Tahmin!$C$4+69)),MONTH((Tahmin!$C$4+69)),MIN(DAY(Kalemler!$D179),DAY(EOMONTH((Tahmin!$C$4+69),0))))&lt;=(Tahmin!$C$4+69),DATE(YEAR((Tahmin!$C$4+69)),MONTH((Tahmin!$C$4+69)),MIN(DAY(Kalemler!$D179),DAY(EOMONTH((Tahmin!$C$4+69),0))))&lt;&gt;DATE(YEAR((Tahmin!$C$4+63)),MONTH((Tahmin!$C$4+63)),MIN(DAY(Kalemler!$D179),DAY(EOMONTH((Tahmin!$C$4+63),0)))),DATE(YEAR((Tahmin!$C$4+69)),MONTH((Tahmin!$C$4+69)),MIN(DAY(Kalemler!$D179),DAY(EOMONTH((Tahmin!$C$4+69),0))))&gt;=Kalemler!$D179)),1,0),IF(AND(Kalemler!$D179&gt;=(Tahmin!$C$4+63),Kalemler!$D179&lt;=(Tahmin!$C$4+69)),1,0))))</f>
        <v>0</v>
      </c>
      <c r="L179" s="0" t="n">
        <f aca="false">IF(OR(Kalemler!$A179="",Kalemler!$C179="",Kalemler!$D179=""),0,Kalemler!$C179*IF(Kalemler!$E179="Haftalık",IF(Kalemler!$D179&lt;=(Tahmin!$C$4+76),1,0),IF(Kalemler!$E179="Aylık",IF(OR(AND(DATE(YEAR((Tahmin!$C$4+70)),MONTH((Tahmin!$C$4+70)),MIN(DAY(Kalemler!$D179),DAY(EOMONTH((Tahmin!$C$4+70),0))))&gt;=(Tahmin!$C$4+70),DATE(YEAR((Tahmin!$C$4+70)),MONTH((Tahmin!$C$4+70)),MIN(DAY(Kalemler!$D179),DAY(EOMONTH((Tahmin!$C$4+70),0))))&lt;=(Tahmin!$C$4+76),DATE(YEAR((Tahmin!$C$4+70)),MONTH((Tahmin!$C$4+70)),MIN(DAY(Kalemler!$D179),DAY(EOMONTH((Tahmin!$C$4+70),0))))&gt;=Kalemler!$D179),AND(DATE(YEAR((Tahmin!$C$4+76)),MONTH((Tahmin!$C$4+76)),MIN(DAY(Kalemler!$D179),DAY(EOMONTH((Tahmin!$C$4+76),0))))&gt;=(Tahmin!$C$4+70),DATE(YEAR((Tahmin!$C$4+76)),MONTH((Tahmin!$C$4+76)),MIN(DAY(Kalemler!$D179),DAY(EOMONTH((Tahmin!$C$4+76),0))))&lt;=(Tahmin!$C$4+76),DATE(YEAR((Tahmin!$C$4+76)),MONTH((Tahmin!$C$4+76)),MIN(DAY(Kalemler!$D179),DAY(EOMONTH((Tahmin!$C$4+76),0))))&lt;&gt;DATE(YEAR((Tahmin!$C$4+70)),MONTH((Tahmin!$C$4+70)),MIN(DAY(Kalemler!$D179),DAY(EOMONTH((Tahmin!$C$4+70),0)))),DATE(YEAR((Tahmin!$C$4+76)),MONTH((Tahmin!$C$4+76)),MIN(DAY(Kalemler!$D179),DAY(EOMONTH((Tahmin!$C$4+76),0))))&gt;=Kalemler!$D179)),1,0),IF(AND(Kalemler!$D179&gt;=(Tahmin!$C$4+70),Kalemler!$D179&lt;=(Tahmin!$C$4+76)),1,0))))</f>
        <v>0</v>
      </c>
      <c r="M179" s="0" t="n">
        <f aca="false">IF(OR(Kalemler!$A179="",Kalemler!$C179="",Kalemler!$D179=""),0,Kalemler!$C179*IF(Kalemler!$E179="Haftalık",IF(Kalemler!$D179&lt;=(Tahmin!$C$4+83),1,0),IF(Kalemler!$E179="Aylık",IF(OR(AND(DATE(YEAR((Tahmin!$C$4+77)),MONTH((Tahmin!$C$4+77)),MIN(DAY(Kalemler!$D179),DAY(EOMONTH((Tahmin!$C$4+77),0))))&gt;=(Tahmin!$C$4+77),DATE(YEAR((Tahmin!$C$4+77)),MONTH((Tahmin!$C$4+77)),MIN(DAY(Kalemler!$D179),DAY(EOMONTH((Tahmin!$C$4+77),0))))&lt;=(Tahmin!$C$4+83),DATE(YEAR((Tahmin!$C$4+77)),MONTH((Tahmin!$C$4+77)),MIN(DAY(Kalemler!$D179),DAY(EOMONTH((Tahmin!$C$4+77),0))))&gt;=Kalemler!$D179),AND(DATE(YEAR((Tahmin!$C$4+83)),MONTH((Tahmin!$C$4+83)),MIN(DAY(Kalemler!$D179),DAY(EOMONTH((Tahmin!$C$4+83),0))))&gt;=(Tahmin!$C$4+77),DATE(YEAR((Tahmin!$C$4+83)),MONTH((Tahmin!$C$4+83)),MIN(DAY(Kalemler!$D179),DAY(EOMONTH((Tahmin!$C$4+83),0))))&lt;=(Tahmin!$C$4+83),DATE(YEAR((Tahmin!$C$4+83)),MONTH((Tahmin!$C$4+83)),MIN(DAY(Kalemler!$D179),DAY(EOMONTH((Tahmin!$C$4+83),0))))&lt;&gt;DATE(YEAR((Tahmin!$C$4+77)),MONTH((Tahmin!$C$4+77)),MIN(DAY(Kalemler!$D179),DAY(EOMONTH((Tahmin!$C$4+77),0)))),DATE(YEAR((Tahmin!$C$4+83)),MONTH((Tahmin!$C$4+83)),MIN(DAY(Kalemler!$D179),DAY(EOMONTH((Tahmin!$C$4+83),0))))&gt;=Kalemler!$D179)),1,0),IF(AND(Kalemler!$D179&gt;=(Tahmin!$C$4+77),Kalemler!$D179&lt;=(Tahmin!$C$4+83)),1,0))))</f>
        <v>0</v>
      </c>
      <c r="N179" s="0" t="n">
        <f aca="false">IF(OR(Kalemler!$A179="",Kalemler!$C179="",Kalemler!$D179=""),0,Kalemler!$C179*IF(Kalemler!$E179="Haftalık",IF(Kalemler!$D179&lt;=(Tahmin!$C$4+90),1,0),IF(Kalemler!$E179="Aylık",IF(OR(AND(DATE(YEAR((Tahmin!$C$4+84)),MONTH((Tahmin!$C$4+84)),MIN(DAY(Kalemler!$D179),DAY(EOMONTH((Tahmin!$C$4+84),0))))&gt;=(Tahmin!$C$4+84),DATE(YEAR((Tahmin!$C$4+84)),MONTH((Tahmin!$C$4+84)),MIN(DAY(Kalemler!$D179),DAY(EOMONTH((Tahmin!$C$4+84),0))))&lt;=(Tahmin!$C$4+90),DATE(YEAR((Tahmin!$C$4+84)),MONTH((Tahmin!$C$4+84)),MIN(DAY(Kalemler!$D179),DAY(EOMONTH((Tahmin!$C$4+84),0))))&gt;=Kalemler!$D179),AND(DATE(YEAR((Tahmin!$C$4+90)),MONTH((Tahmin!$C$4+90)),MIN(DAY(Kalemler!$D179),DAY(EOMONTH((Tahmin!$C$4+90),0))))&gt;=(Tahmin!$C$4+84),DATE(YEAR((Tahmin!$C$4+90)),MONTH((Tahmin!$C$4+90)),MIN(DAY(Kalemler!$D179),DAY(EOMONTH((Tahmin!$C$4+90),0))))&lt;=(Tahmin!$C$4+90),DATE(YEAR((Tahmin!$C$4+90)),MONTH((Tahmin!$C$4+90)),MIN(DAY(Kalemler!$D179),DAY(EOMONTH((Tahmin!$C$4+90),0))))&lt;&gt;DATE(YEAR((Tahmin!$C$4+84)),MONTH((Tahmin!$C$4+84)),MIN(DAY(Kalemler!$D179),DAY(EOMONTH((Tahmin!$C$4+84),0)))),DATE(YEAR((Tahmin!$C$4+90)),MONTH((Tahmin!$C$4+90)),MIN(DAY(Kalemler!$D179),DAY(EOMONTH((Tahmin!$C$4+90),0))))&gt;=Kalemler!$D179)),1,0),IF(AND(Kalemler!$D179&gt;=(Tahmin!$C$4+84),Kalemler!$D179&lt;=(Tahmin!$C$4+90)),1,0))))</f>
        <v>0</v>
      </c>
    </row>
    <row r="180" customFormat="false" ht="15" hidden="false" customHeight="false" outlineLevel="0" collapsed="false">
      <c r="A180" s="0" t="str">
        <f aca="false">IF(Kalemler!A180="","",Kalemler!A180)</f>
        <v/>
      </c>
      <c r="B180" s="0" t="n">
        <f aca="false">IF(OR(Kalemler!$A180="",Kalemler!$C180="",Kalemler!$D180=""),0,Kalemler!$C180*IF(Kalemler!$E180="Haftalık",IF(Kalemler!$D180&lt;=(Tahmin!$C$4+6),1,0),IF(Kalemler!$E180="Aylık",IF(OR(AND(DATE(YEAR((Tahmin!$C$4+0)),MONTH((Tahmin!$C$4+0)),MIN(DAY(Kalemler!$D180),DAY(EOMONTH((Tahmin!$C$4+0),0))))&gt;=(Tahmin!$C$4+0),DATE(YEAR((Tahmin!$C$4+0)),MONTH((Tahmin!$C$4+0)),MIN(DAY(Kalemler!$D180),DAY(EOMONTH((Tahmin!$C$4+0),0))))&lt;=(Tahmin!$C$4+6),DATE(YEAR((Tahmin!$C$4+0)),MONTH((Tahmin!$C$4+0)),MIN(DAY(Kalemler!$D180),DAY(EOMONTH((Tahmin!$C$4+0),0))))&gt;=Kalemler!$D180),AND(DATE(YEAR((Tahmin!$C$4+6)),MONTH((Tahmin!$C$4+6)),MIN(DAY(Kalemler!$D180),DAY(EOMONTH((Tahmin!$C$4+6),0))))&gt;=(Tahmin!$C$4+0),DATE(YEAR((Tahmin!$C$4+6)),MONTH((Tahmin!$C$4+6)),MIN(DAY(Kalemler!$D180),DAY(EOMONTH((Tahmin!$C$4+6),0))))&lt;=(Tahmin!$C$4+6),DATE(YEAR((Tahmin!$C$4+6)),MONTH((Tahmin!$C$4+6)),MIN(DAY(Kalemler!$D180),DAY(EOMONTH((Tahmin!$C$4+6),0))))&lt;&gt;DATE(YEAR((Tahmin!$C$4+0)),MONTH((Tahmin!$C$4+0)),MIN(DAY(Kalemler!$D180),DAY(EOMONTH((Tahmin!$C$4+0),0)))),DATE(YEAR((Tahmin!$C$4+6)),MONTH((Tahmin!$C$4+6)),MIN(DAY(Kalemler!$D180),DAY(EOMONTH((Tahmin!$C$4+6),0))))&gt;=Kalemler!$D180)),1,0),IF(AND(Kalemler!$D180&gt;=(Tahmin!$C$4+0),Kalemler!$D180&lt;=(Tahmin!$C$4+6)),1,0))))</f>
        <v>0</v>
      </c>
      <c r="C180" s="0" t="n">
        <f aca="false">IF(OR(Kalemler!$A180="",Kalemler!$C180="",Kalemler!$D180=""),0,Kalemler!$C180*IF(Kalemler!$E180="Haftalık",IF(Kalemler!$D180&lt;=(Tahmin!$C$4+13),1,0),IF(Kalemler!$E180="Aylık",IF(OR(AND(DATE(YEAR((Tahmin!$C$4+7)),MONTH((Tahmin!$C$4+7)),MIN(DAY(Kalemler!$D180),DAY(EOMONTH((Tahmin!$C$4+7),0))))&gt;=(Tahmin!$C$4+7),DATE(YEAR((Tahmin!$C$4+7)),MONTH((Tahmin!$C$4+7)),MIN(DAY(Kalemler!$D180),DAY(EOMONTH((Tahmin!$C$4+7),0))))&lt;=(Tahmin!$C$4+13),DATE(YEAR((Tahmin!$C$4+7)),MONTH((Tahmin!$C$4+7)),MIN(DAY(Kalemler!$D180),DAY(EOMONTH((Tahmin!$C$4+7),0))))&gt;=Kalemler!$D180),AND(DATE(YEAR((Tahmin!$C$4+13)),MONTH((Tahmin!$C$4+13)),MIN(DAY(Kalemler!$D180),DAY(EOMONTH((Tahmin!$C$4+13),0))))&gt;=(Tahmin!$C$4+7),DATE(YEAR((Tahmin!$C$4+13)),MONTH((Tahmin!$C$4+13)),MIN(DAY(Kalemler!$D180),DAY(EOMONTH((Tahmin!$C$4+13),0))))&lt;=(Tahmin!$C$4+13),DATE(YEAR((Tahmin!$C$4+13)),MONTH((Tahmin!$C$4+13)),MIN(DAY(Kalemler!$D180),DAY(EOMONTH((Tahmin!$C$4+13),0))))&lt;&gt;DATE(YEAR((Tahmin!$C$4+7)),MONTH((Tahmin!$C$4+7)),MIN(DAY(Kalemler!$D180),DAY(EOMONTH((Tahmin!$C$4+7),0)))),DATE(YEAR((Tahmin!$C$4+13)),MONTH((Tahmin!$C$4+13)),MIN(DAY(Kalemler!$D180),DAY(EOMONTH((Tahmin!$C$4+13),0))))&gt;=Kalemler!$D180)),1,0),IF(AND(Kalemler!$D180&gt;=(Tahmin!$C$4+7),Kalemler!$D180&lt;=(Tahmin!$C$4+13)),1,0))))</f>
        <v>0</v>
      </c>
      <c r="D180" s="0" t="n">
        <f aca="false">IF(OR(Kalemler!$A180="",Kalemler!$C180="",Kalemler!$D180=""),0,Kalemler!$C180*IF(Kalemler!$E180="Haftalık",IF(Kalemler!$D180&lt;=(Tahmin!$C$4+20),1,0),IF(Kalemler!$E180="Aylık",IF(OR(AND(DATE(YEAR((Tahmin!$C$4+14)),MONTH((Tahmin!$C$4+14)),MIN(DAY(Kalemler!$D180),DAY(EOMONTH((Tahmin!$C$4+14),0))))&gt;=(Tahmin!$C$4+14),DATE(YEAR((Tahmin!$C$4+14)),MONTH((Tahmin!$C$4+14)),MIN(DAY(Kalemler!$D180),DAY(EOMONTH((Tahmin!$C$4+14),0))))&lt;=(Tahmin!$C$4+20),DATE(YEAR((Tahmin!$C$4+14)),MONTH((Tahmin!$C$4+14)),MIN(DAY(Kalemler!$D180),DAY(EOMONTH((Tahmin!$C$4+14),0))))&gt;=Kalemler!$D180),AND(DATE(YEAR((Tahmin!$C$4+20)),MONTH((Tahmin!$C$4+20)),MIN(DAY(Kalemler!$D180),DAY(EOMONTH((Tahmin!$C$4+20),0))))&gt;=(Tahmin!$C$4+14),DATE(YEAR((Tahmin!$C$4+20)),MONTH((Tahmin!$C$4+20)),MIN(DAY(Kalemler!$D180),DAY(EOMONTH((Tahmin!$C$4+20),0))))&lt;=(Tahmin!$C$4+20),DATE(YEAR((Tahmin!$C$4+20)),MONTH((Tahmin!$C$4+20)),MIN(DAY(Kalemler!$D180),DAY(EOMONTH((Tahmin!$C$4+20),0))))&lt;&gt;DATE(YEAR((Tahmin!$C$4+14)),MONTH((Tahmin!$C$4+14)),MIN(DAY(Kalemler!$D180),DAY(EOMONTH((Tahmin!$C$4+14),0)))),DATE(YEAR((Tahmin!$C$4+20)),MONTH((Tahmin!$C$4+20)),MIN(DAY(Kalemler!$D180),DAY(EOMONTH((Tahmin!$C$4+20),0))))&gt;=Kalemler!$D180)),1,0),IF(AND(Kalemler!$D180&gt;=(Tahmin!$C$4+14),Kalemler!$D180&lt;=(Tahmin!$C$4+20)),1,0))))</f>
        <v>0</v>
      </c>
      <c r="E180" s="0" t="n">
        <f aca="false">IF(OR(Kalemler!$A180="",Kalemler!$C180="",Kalemler!$D180=""),0,Kalemler!$C180*IF(Kalemler!$E180="Haftalık",IF(Kalemler!$D180&lt;=(Tahmin!$C$4+27),1,0),IF(Kalemler!$E180="Aylık",IF(OR(AND(DATE(YEAR((Tahmin!$C$4+21)),MONTH((Tahmin!$C$4+21)),MIN(DAY(Kalemler!$D180),DAY(EOMONTH((Tahmin!$C$4+21),0))))&gt;=(Tahmin!$C$4+21),DATE(YEAR((Tahmin!$C$4+21)),MONTH((Tahmin!$C$4+21)),MIN(DAY(Kalemler!$D180),DAY(EOMONTH((Tahmin!$C$4+21),0))))&lt;=(Tahmin!$C$4+27),DATE(YEAR((Tahmin!$C$4+21)),MONTH((Tahmin!$C$4+21)),MIN(DAY(Kalemler!$D180),DAY(EOMONTH((Tahmin!$C$4+21),0))))&gt;=Kalemler!$D180),AND(DATE(YEAR((Tahmin!$C$4+27)),MONTH((Tahmin!$C$4+27)),MIN(DAY(Kalemler!$D180),DAY(EOMONTH((Tahmin!$C$4+27),0))))&gt;=(Tahmin!$C$4+21),DATE(YEAR((Tahmin!$C$4+27)),MONTH((Tahmin!$C$4+27)),MIN(DAY(Kalemler!$D180),DAY(EOMONTH((Tahmin!$C$4+27),0))))&lt;=(Tahmin!$C$4+27),DATE(YEAR((Tahmin!$C$4+27)),MONTH((Tahmin!$C$4+27)),MIN(DAY(Kalemler!$D180),DAY(EOMONTH((Tahmin!$C$4+27),0))))&lt;&gt;DATE(YEAR((Tahmin!$C$4+21)),MONTH((Tahmin!$C$4+21)),MIN(DAY(Kalemler!$D180),DAY(EOMONTH((Tahmin!$C$4+21),0)))),DATE(YEAR((Tahmin!$C$4+27)),MONTH((Tahmin!$C$4+27)),MIN(DAY(Kalemler!$D180),DAY(EOMONTH((Tahmin!$C$4+27),0))))&gt;=Kalemler!$D180)),1,0),IF(AND(Kalemler!$D180&gt;=(Tahmin!$C$4+21),Kalemler!$D180&lt;=(Tahmin!$C$4+27)),1,0))))</f>
        <v>0</v>
      </c>
      <c r="F180" s="0" t="n">
        <f aca="false">IF(OR(Kalemler!$A180="",Kalemler!$C180="",Kalemler!$D180=""),0,Kalemler!$C180*IF(Kalemler!$E180="Haftalık",IF(Kalemler!$D180&lt;=(Tahmin!$C$4+34),1,0),IF(Kalemler!$E180="Aylık",IF(OR(AND(DATE(YEAR((Tahmin!$C$4+28)),MONTH((Tahmin!$C$4+28)),MIN(DAY(Kalemler!$D180),DAY(EOMONTH((Tahmin!$C$4+28),0))))&gt;=(Tahmin!$C$4+28),DATE(YEAR((Tahmin!$C$4+28)),MONTH((Tahmin!$C$4+28)),MIN(DAY(Kalemler!$D180),DAY(EOMONTH((Tahmin!$C$4+28),0))))&lt;=(Tahmin!$C$4+34),DATE(YEAR((Tahmin!$C$4+28)),MONTH((Tahmin!$C$4+28)),MIN(DAY(Kalemler!$D180),DAY(EOMONTH((Tahmin!$C$4+28),0))))&gt;=Kalemler!$D180),AND(DATE(YEAR((Tahmin!$C$4+34)),MONTH((Tahmin!$C$4+34)),MIN(DAY(Kalemler!$D180),DAY(EOMONTH((Tahmin!$C$4+34),0))))&gt;=(Tahmin!$C$4+28),DATE(YEAR((Tahmin!$C$4+34)),MONTH((Tahmin!$C$4+34)),MIN(DAY(Kalemler!$D180),DAY(EOMONTH((Tahmin!$C$4+34),0))))&lt;=(Tahmin!$C$4+34),DATE(YEAR((Tahmin!$C$4+34)),MONTH((Tahmin!$C$4+34)),MIN(DAY(Kalemler!$D180),DAY(EOMONTH((Tahmin!$C$4+34),0))))&lt;&gt;DATE(YEAR((Tahmin!$C$4+28)),MONTH((Tahmin!$C$4+28)),MIN(DAY(Kalemler!$D180),DAY(EOMONTH((Tahmin!$C$4+28),0)))),DATE(YEAR((Tahmin!$C$4+34)),MONTH((Tahmin!$C$4+34)),MIN(DAY(Kalemler!$D180),DAY(EOMONTH((Tahmin!$C$4+34),0))))&gt;=Kalemler!$D180)),1,0),IF(AND(Kalemler!$D180&gt;=(Tahmin!$C$4+28),Kalemler!$D180&lt;=(Tahmin!$C$4+34)),1,0))))</f>
        <v>0</v>
      </c>
      <c r="G180" s="0" t="n">
        <f aca="false">IF(OR(Kalemler!$A180="",Kalemler!$C180="",Kalemler!$D180=""),0,Kalemler!$C180*IF(Kalemler!$E180="Haftalık",IF(Kalemler!$D180&lt;=(Tahmin!$C$4+41),1,0),IF(Kalemler!$E180="Aylık",IF(OR(AND(DATE(YEAR((Tahmin!$C$4+35)),MONTH((Tahmin!$C$4+35)),MIN(DAY(Kalemler!$D180),DAY(EOMONTH((Tahmin!$C$4+35),0))))&gt;=(Tahmin!$C$4+35),DATE(YEAR((Tahmin!$C$4+35)),MONTH((Tahmin!$C$4+35)),MIN(DAY(Kalemler!$D180),DAY(EOMONTH((Tahmin!$C$4+35),0))))&lt;=(Tahmin!$C$4+41),DATE(YEAR((Tahmin!$C$4+35)),MONTH((Tahmin!$C$4+35)),MIN(DAY(Kalemler!$D180),DAY(EOMONTH((Tahmin!$C$4+35),0))))&gt;=Kalemler!$D180),AND(DATE(YEAR((Tahmin!$C$4+41)),MONTH((Tahmin!$C$4+41)),MIN(DAY(Kalemler!$D180),DAY(EOMONTH((Tahmin!$C$4+41),0))))&gt;=(Tahmin!$C$4+35),DATE(YEAR((Tahmin!$C$4+41)),MONTH((Tahmin!$C$4+41)),MIN(DAY(Kalemler!$D180),DAY(EOMONTH((Tahmin!$C$4+41),0))))&lt;=(Tahmin!$C$4+41),DATE(YEAR((Tahmin!$C$4+41)),MONTH((Tahmin!$C$4+41)),MIN(DAY(Kalemler!$D180),DAY(EOMONTH((Tahmin!$C$4+41),0))))&lt;&gt;DATE(YEAR((Tahmin!$C$4+35)),MONTH((Tahmin!$C$4+35)),MIN(DAY(Kalemler!$D180),DAY(EOMONTH((Tahmin!$C$4+35),0)))),DATE(YEAR((Tahmin!$C$4+41)),MONTH((Tahmin!$C$4+41)),MIN(DAY(Kalemler!$D180),DAY(EOMONTH((Tahmin!$C$4+41),0))))&gt;=Kalemler!$D180)),1,0),IF(AND(Kalemler!$D180&gt;=(Tahmin!$C$4+35),Kalemler!$D180&lt;=(Tahmin!$C$4+41)),1,0))))</f>
        <v>0</v>
      </c>
      <c r="H180" s="0" t="n">
        <f aca="false">IF(OR(Kalemler!$A180="",Kalemler!$C180="",Kalemler!$D180=""),0,Kalemler!$C180*IF(Kalemler!$E180="Haftalık",IF(Kalemler!$D180&lt;=(Tahmin!$C$4+48),1,0),IF(Kalemler!$E180="Aylık",IF(OR(AND(DATE(YEAR((Tahmin!$C$4+42)),MONTH((Tahmin!$C$4+42)),MIN(DAY(Kalemler!$D180),DAY(EOMONTH((Tahmin!$C$4+42),0))))&gt;=(Tahmin!$C$4+42),DATE(YEAR((Tahmin!$C$4+42)),MONTH((Tahmin!$C$4+42)),MIN(DAY(Kalemler!$D180),DAY(EOMONTH((Tahmin!$C$4+42),0))))&lt;=(Tahmin!$C$4+48),DATE(YEAR((Tahmin!$C$4+42)),MONTH((Tahmin!$C$4+42)),MIN(DAY(Kalemler!$D180),DAY(EOMONTH((Tahmin!$C$4+42),0))))&gt;=Kalemler!$D180),AND(DATE(YEAR((Tahmin!$C$4+48)),MONTH((Tahmin!$C$4+48)),MIN(DAY(Kalemler!$D180),DAY(EOMONTH((Tahmin!$C$4+48),0))))&gt;=(Tahmin!$C$4+42),DATE(YEAR((Tahmin!$C$4+48)),MONTH((Tahmin!$C$4+48)),MIN(DAY(Kalemler!$D180),DAY(EOMONTH((Tahmin!$C$4+48),0))))&lt;=(Tahmin!$C$4+48),DATE(YEAR((Tahmin!$C$4+48)),MONTH((Tahmin!$C$4+48)),MIN(DAY(Kalemler!$D180),DAY(EOMONTH((Tahmin!$C$4+48),0))))&lt;&gt;DATE(YEAR((Tahmin!$C$4+42)),MONTH((Tahmin!$C$4+42)),MIN(DAY(Kalemler!$D180),DAY(EOMONTH((Tahmin!$C$4+42),0)))),DATE(YEAR((Tahmin!$C$4+48)),MONTH((Tahmin!$C$4+48)),MIN(DAY(Kalemler!$D180),DAY(EOMONTH((Tahmin!$C$4+48),0))))&gt;=Kalemler!$D180)),1,0),IF(AND(Kalemler!$D180&gt;=(Tahmin!$C$4+42),Kalemler!$D180&lt;=(Tahmin!$C$4+48)),1,0))))</f>
        <v>0</v>
      </c>
      <c r="I180" s="0" t="n">
        <f aca="false">IF(OR(Kalemler!$A180="",Kalemler!$C180="",Kalemler!$D180=""),0,Kalemler!$C180*IF(Kalemler!$E180="Haftalık",IF(Kalemler!$D180&lt;=(Tahmin!$C$4+55),1,0),IF(Kalemler!$E180="Aylık",IF(OR(AND(DATE(YEAR((Tahmin!$C$4+49)),MONTH((Tahmin!$C$4+49)),MIN(DAY(Kalemler!$D180),DAY(EOMONTH((Tahmin!$C$4+49),0))))&gt;=(Tahmin!$C$4+49),DATE(YEAR((Tahmin!$C$4+49)),MONTH((Tahmin!$C$4+49)),MIN(DAY(Kalemler!$D180),DAY(EOMONTH((Tahmin!$C$4+49),0))))&lt;=(Tahmin!$C$4+55),DATE(YEAR((Tahmin!$C$4+49)),MONTH((Tahmin!$C$4+49)),MIN(DAY(Kalemler!$D180),DAY(EOMONTH((Tahmin!$C$4+49),0))))&gt;=Kalemler!$D180),AND(DATE(YEAR((Tahmin!$C$4+55)),MONTH((Tahmin!$C$4+55)),MIN(DAY(Kalemler!$D180),DAY(EOMONTH((Tahmin!$C$4+55),0))))&gt;=(Tahmin!$C$4+49),DATE(YEAR((Tahmin!$C$4+55)),MONTH((Tahmin!$C$4+55)),MIN(DAY(Kalemler!$D180),DAY(EOMONTH((Tahmin!$C$4+55),0))))&lt;=(Tahmin!$C$4+55),DATE(YEAR((Tahmin!$C$4+55)),MONTH((Tahmin!$C$4+55)),MIN(DAY(Kalemler!$D180),DAY(EOMONTH((Tahmin!$C$4+55),0))))&lt;&gt;DATE(YEAR((Tahmin!$C$4+49)),MONTH((Tahmin!$C$4+49)),MIN(DAY(Kalemler!$D180),DAY(EOMONTH((Tahmin!$C$4+49),0)))),DATE(YEAR((Tahmin!$C$4+55)),MONTH((Tahmin!$C$4+55)),MIN(DAY(Kalemler!$D180),DAY(EOMONTH((Tahmin!$C$4+55),0))))&gt;=Kalemler!$D180)),1,0),IF(AND(Kalemler!$D180&gt;=(Tahmin!$C$4+49),Kalemler!$D180&lt;=(Tahmin!$C$4+55)),1,0))))</f>
        <v>0</v>
      </c>
      <c r="J180" s="0" t="n">
        <f aca="false">IF(OR(Kalemler!$A180="",Kalemler!$C180="",Kalemler!$D180=""),0,Kalemler!$C180*IF(Kalemler!$E180="Haftalık",IF(Kalemler!$D180&lt;=(Tahmin!$C$4+62),1,0),IF(Kalemler!$E180="Aylık",IF(OR(AND(DATE(YEAR((Tahmin!$C$4+56)),MONTH((Tahmin!$C$4+56)),MIN(DAY(Kalemler!$D180),DAY(EOMONTH((Tahmin!$C$4+56),0))))&gt;=(Tahmin!$C$4+56),DATE(YEAR((Tahmin!$C$4+56)),MONTH((Tahmin!$C$4+56)),MIN(DAY(Kalemler!$D180),DAY(EOMONTH((Tahmin!$C$4+56),0))))&lt;=(Tahmin!$C$4+62),DATE(YEAR((Tahmin!$C$4+56)),MONTH((Tahmin!$C$4+56)),MIN(DAY(Kalemler!$D180),DAY(EOMONTH((Tahmin!$C$4+56),0))))&gt;=Kalemler!$D180),AND(DATE(YEAR((Tahmin!$C$4+62)),MONTH((Tahmin!$C$4+62)),MIN(DAY(Kalemler!$D180),DAY(EOMONTH((Tahmin!$C$4+62),0))))&gt;=(Tahmin!$C$4+56),DATE(YEAR((Tahmin!$C$4+62)),MONTH((Tahmin!$C$4+62)),MIN(DAY(Kalemler!$D180),DAY(EOMONTH((Tahmin!$C$4+62),0))))&lt;=(Tahmin!$C$4+62),DATE(YEAR((Tahmin!$C$4+62)),MONTH((Tahmin!$C$4+62)),MIN(DAY(Kalemler!$D180),DAY(EOMONTH((Tahmin!$C$4+62),0))))&lt;&gt;DATE(YEAR((Tahmin!$C$4+56)),MONTH((Tahmin!$C$4+56)),MIN(DAY(Kalemler!$D180),DAY(EOMONTH((Tahmin!$C$4+56),0)))),DATE(YEAR((Tahmin!$C$4+62)),MONTH((Tahmin!$C$4+62)),MIN(DAY(Kalemler!$D180),DAY(EOMONTH((Tahmin!$C$4+62),0))))&gt;=Kalemler!$D180)),1,0),IF(AND(Kalemler!$D180&gt;=(Tahmin!$C$4+56),Kalemler!$D180&lt;=(Tahmin!$C$4+62)),1,0))))</f>
        <v>0</v>
      </c>
      <c r="K180" s="0" t="n">
        <f aca="false">IF(OR(Kalemler!$A180="",Kalemler!$C180="",Kalemler!$D180=""),0,Kalemler!$C180*IF(Kalemler!$E180="Haftalık",IF(Kalemler!$D180&lt;=(Tahmin!$C$4+69),1,0),IF(Kalemler!$E180="Aylık",IF(OR(AND(DATE(YEAR((Tahmin!$C$4+63)),MONTH((Tahmin!$C$4+63)),MIN(DAY(Kalemler!$D180),DAY(EOMONTH((Tahmin!$C$4+63),0))))&gt;=(Tahmin!$C$4+63),DATE(YEAR((Tahmin!$C$4+63)),MONTH((Tahmin!$C$4+63)),MIN(DAY(Kalemler!$D180),DAY(EOMONTH((Tahmin!$C$4+63),0))))&lt;=(Tahmin!$C$4+69),DATE(YEAR((Tahmin!$C$4+63)),MONTH((Tahmin!$C$4+63)),MIN(DAY(Kalemler!$D180),DAY(EOMONTH((Tahmin!$C$4+63),0))))&gt;=Kalemler!$D180),AND(DATE(YEAR((Tahmin!$C$4+69)),MONTH((Tahmin!$C$4+69)),MIN(DAY(Kalemler!$D180),DAY(EOMONTH((Tahmin!$C$4+69),0))))&gt;=(Tahmin!$C$4+63),DATE(YEAR((Tahmin!$C$4+69)),MONTH((Tahmin!$C$4+69)),MIN(DAY(Kalemler!$D180),DAY(EOMONTH((Tahmin!$C$4+69),0))))&lt;=(Tahmin!$C$4+69),DATE(YEAR((Tahmin!$C$4+69)),MONTH((Tahmin!$C$4+69)),MIN(DAY(Kalemler!$D180),DAY(EOMONTH((Tahmin!$C$4+69),0))))&lt;&gt;DATE(YEAR((Tahmin!$C$4+63)),MONTH((Tahmin!$C$4+63)),MIN(DAY(Kalemler!$D180),DAY(EOMONTH((Tahmin!$C$4+63),0)))),DATE(YEAR((Tahmin!$C$4+69)),MONTH((Tahmin!$C$4+69)),MIN(DAY(Kalemler!$D180),DAY(EOMONTH((Tahmin!$C$4+69),0))))&gt;=Kalemler!$D180)),1,0),IF(AND(Kalemler!$D180&gt;=(Tahmin!$C$4+63),Kalemler!$D180&lt;=(Tahmin!$C$4+69)),1,0))))</f>
        <v>0</v>
      </c>
      <c r="L180" s="0" t="n">
        <f aca="false">IF(OR(Kalemler!$A180="",Kalemler!$C180="",Kalemler!$D180=""),0,Kalemler!$C180*IF(Kalemler!$E180="Haftalık",IF(Kalemler!$D180&lt;=(Tahmin!$C$4+76),1,0),IF(Kalemler!$E180="Aylık",IF(OR(AND(DATE(YEAR((Tahmin!$C$4+70)),MONTH((Tahmin!$C$4+70)),MIN(DAY(Kalemler!$D180),DAY(EOMONTH((Tahmin!$C$4+70),0))))&gt;=(Tahmin!$C$4+70),DATE(YEAR((Tahmin!$C$4+70)),MONTH((Tahmin!$C$4+70)),MIN(DAY(Kalemler!$D180),DAY(EOMONTH((Tahmin!$C$4+70),0))))&lt;=(Tahmin!$C$4+76),DATE(YEAR((Tahmin!$C$4+70)),MONTH((Tahmin!$C$4+70)),MIN(DAY(Kalemler!$D180),DAY(EOMONTH((Tahmin!$C$4+70),0))))&gt;=Kalemler!$D180),AND(DATE(YEAR((Tahmin!$C$4+76)),MONTH((Tahmin!$C$4+76)),MIN(DAY(Kalemler!$D180),DAY(EOMONTH((Tahmin!$C$4+76),0))))&gt;=(Tahmin!$C$4+70),DATE(YEAR((Tahmin!$C$4+76)),MONTH((Tahmin!$C$4+76)),MIN(DAY(Kalemler!$D180),DAY(EOMONTH((Tahmin!$C$4+76),0))))&lt;=(Tahmin!$C$4+76),DATE(YEAR((Tahmin!$C$4+76)),MONTH((Tahmin!$C$4+76)),MIN(DAY(Kalemler!$D180),DAY(EOMONTH((Tahmin!$C$4+76),0))))&lt;&gt;DATE(YEAR((Tahmin!$C$4+70)),MONTH((Tahmin!$C$4+70)),MIN(DAY(Kalemler!$D180),DAY(EOMONTH((Tahmin!$C$4+70),0)))),DATE(YEAR((Tahmin!$C$4+76)),MONTH((Tahmin!$C$4+76)),MIN(DAY(Kalemler!$D180),DAY(EOMONTH((Tahmin!$C$4+76),0))))&gt;=Kalemler!$D180)),1,0),IF(AND(Kalemler!$D180&gt;=(Tahmin!$C$4+70),Kalemler!$D180&lt;=(Tahmin!$C$4+76)),1,0))))</f>
        <v>0</v>
      </c>
      <c r="M180" s="0" t="n">
        <f aca="false">IF(OR(Kalemler!$A180="",Kalemler!$C180="",Kalemler!$D180=""),0,Kalemler!$C180*IF(Kalemler!$E180="Haftalık",IF(Kalemler!$D180&lt;=(Tahmin!$C$4+83),1,0),IF(Kalemler!$E180="Aylık",IF(OR(AND(DATE(YEAR((Tahmin!$C$4+77)),MONTH((Tahmin!$C$4+77)),MIN(DAY(Kalemler!$D180),DAY(EOMONTH((Tahmin!$C$4+77),0))))&gt;=(Tahmin!$C$4+77),DATE(YEAR((Tahmin!$C$4+77)),MONTH((Tahmin!$C$4+77)),MIN(DAY(Kalemler!$D180),DAY(EOMONTH((Tahmin!$C$4+77),0))))&lt;=(Tahmin!$C$4+83),DATE(YEAR((Tahmin!$C$4+77)),MONTH((Tahmin!$C$4+77)),MIN(DAY(Kalemler!$D180),DAY(EOMONTH((Tahmin!$C$4+77),0))))&gt;=Kalemler!$D180),AND(DATE(YEAR((Tahmin!$C$4+83)),MONTH((Tahmin!$C$4+83)),MIN(DAY(Kalemler!$D180),DAY(EOMONTH((Tahmin!$C$4+83),0))))&gt;=(Tahmin!$C$4+77),DATE(YEAR((Tahmin!$C$4+83)),MONTH((Tahmin!$C$4+83)),MIN(DAY(Kalemler!$D180),DAY(EOMONTH((Tahmin!$C$4+83),0))))&lt;=(Tahmin!$C$4+83),DATE(YEAR((Tahmin!$C$4+83)),MONTH((Tahmin!$C$4+83)),MIN(DAY(Kalemler!$D180),DAY(EOMONTH((Tahmin!$C$4+83),0))))&lt;&gt;DATE(YEAR((Tahmin!$C$4+77)),MONTH((Tahmin!$C$4+77)),MIN(DAY(Kalemler!$D180),DAY(EOMONTH((Tahmin!$C$4+77),0)))),DATE(YEAR((Tahmin!$C$4+83)),MONTH((Tahmin!$C$4+83)),MIN(DAY(Kalemler!$D180),DAY(EOMONTH((Tahmin!$C$4+83),0))))&gt;=Kalemler!$D180)),1,0),IF(AND(Kalemler!$D180&gt;=(Tahmin!$C$4+77),Kalemler!$D180&lt;=(Tahmin!$C$4+83)),1,0))))</f>
        <v>0</v>
      </c>
      <c r="N180" s="0" t="n">
        <f aca="false">IF(OR(Kalemler!$A180="",Kalemler!$C180="",Kalemler!$D180=""),0,Kalemler!$C180*IF(Kalemler!$E180="Haftalık",IF(Kalemler!$D180&lt;=(Tahmin!$C$4+90),1,0),IF(Kalemler!$E180="Aylık",IF(OR(AND(DATE(YEAR((Tahmin!$C$4+84)),MONTH((Tahmin!$C$4+84)),MIN(DAY(Kalemler!$D180),DAY(EOMONTH((Tahmin!$C$4+84),0))))&gt;=(Tahmin!$C$4+84),DATE(YEAR((Tahmin!$C$4+84)),MONTH((Tahmin!$C$4+84)),MIN(DAY(Kalemler!$D180),DAY(EOMONTH((Tahmin!$C$4+84),0))))&lt;=(Tahmin!$C$4+90),DATE(YEAR((Tahmin!$C$4+84)),MONTH((Tahmin!$C$4+84)),MIN(DAY(Kalemler!$D180),DAY(EOMONTH((Tahmin!$C$4+84),0))))&gt;=Kalemler!$D180),AND(DATE(YEAR((Tahmin!$C$4+90)),MONTH((Tahmin!$C$4+90)),MIN(DAY(Kalemler!$D180),DAY(EOMONTH((Tahmin!$C$4+90),0))))&gt;=(Tahmin!$C$4+84),DATE(YEAR((Tahmin!$C$4+90)),MONTH((Tahmin!$C$4+90)),MIN(DAY(Kalemler!$D180),DAY(EOMONTH((Tahmin!$C$4+90),0))))&lt;=(Tahmin!$C$4+90),DATE(YEAR((Tahmin!$C$4+90)),MONTH((Tahmin!$C$4+90)),MIN(DAY(Kalemler!$D180),DAY(EOMONTH((Tahmin!$C$4+90),0))))&lt;&gt;DATE(YEAR((Tahmin!$C$4+84)),MONTH((Tahmin!$C$4+84)),MIN(DAY(Kalemler!$D180),DAY(EOMONTH((Tahmin!$C$4+84),0)))),DATE(YEAR((Tahmin!$C$4+90)),MONTH((Tahmin!$C$4+90)),MIN(DAY(Kalemler!$D180),DAY(EOMONTH((Tahmin!$C$4+90),0))))&gt;=Kalemler!$D180)),1,0),IF(AND(Kalemler!$D180&gt;=(Tahmin!$C$4+84),Kalemler!$D180&lt;=(Tahmin!$C$4+90)),1,0))))</f>
        <v>0</v>
      </c>
    </row>
    <row r="181" customFormat="false" ht="15" hidden="false" customHeight="false" outlineLevel="0" collapsed="false">
      <c r="A181" s="0" t="str">
        <f aca="false">IF(Kalemler!A181="","",Kalemler!A181)</f>
        <v/>
      </c>
      <c r="B181" s="0" t="n">
        <f aca="false">IF(OR(Kalemler!$A181="",Kalemler!$C181="",Kalemler!$D181=""),0,Kalemler!$C181*IF(Kalemler!$E181="Haftalık",IF(Kalemler!$D181&lt;=(Tahmin!$C$4+6),1,0),IF(Kalemler!$E181="Aylık",IF(OR(AND(DATE(YEAR((Tahmin!$C$4+0)),MONTH((Tahmin!$C$4+0)),MIN(DAY(Kalemler!$D181),DAY(EOMONTH((Tahmin!$C$4+0),0))))&gt;=(Tahmin!$C$4+0),DATE(YEAR((Tahmin!$C$4+0)),MONTH((Tahmin!$C$4+0)),MIN(DAY(Kalemler!$D181),DAY(EOMONTH((Tahmin!$C$4+0),0))))&lt;=(Tahmin!$C$4+6),DATE(YEAR((Tahmin!$C$4+0)),MONTH((Tahmin!$C$4+0)),MIN(DAY(Kalemler!$D181),DAY(EOMONTH((Tahmin!$C$4+0),0))))&gt;=Kalemler!$D181),AND(DATE(YEAR((Tahmin!$C$4+6)),MONTH((Tahmin!$C$4+6)),MIN(DAY(Kalemler!$D181),DAY(EOMONTH((Tahmin!$C$4+6),0))))&gt;=(Tahmin!$C$4+0),DATE(YEAR((Tahmin!$C$4+6)),MONTH((Tahmin!$C$4+6)),MIN(DAY(Kalemler!$D181),DAY(EOMONTH((Tahmin!$C$4+6),0))))&lt;=(Tahmin!$C$4+6),DATE(YEAR((Tahmin!$C$4+6)),MONTH((Tahmin!$C$4+6)),MIN(DAY(Kalemler!$D181),DAY(EOMONTH((Tahmin!$C$4+6),0))))&lt;&gt;DATE(YEAR((Tahmin!$C$4+0)),MONTH((Tahmin!$C$4+0)),MIN(DAY(Kalemler!$D181),DAY(EOMONTH((Tahmin!$C$4+0),0)))),DATE(YEAR((Tahmin!$C$4+6)),MONTH((Tahmin!$C$4+6)),MIN(DAY(Kalemler!$D181),DAY(EOMONTH((Tahmin!$C$4+6),0))))&gt;=Kalemler!$D181)),1,0),IF(AND(Kalemler!$D181&gt;=(Tahmin!$C$4+0),Kalemler!$D181&lt;=(Tahmin!$C$4+6)),1,0))))</f>
        <v>0</v>
      </c>
      <c r="C181" s="0" t="n">
        <f aca="false">IF(OR(Kalemler!$A181="",Kalemler!$C181="",Kalemler!$D181=""),0,Kalemler!$C181*IF(Kalemler!$E181="Haftalık",IF(Kalemler!$D181&lt;=(Tahmin!$C$4+13),1,0),IF(Kalemler!$E181="Aylık",IF(OR(AND(DATE(YEAR((Tahmin!$C$4+7)),MONTH((Tahmin!$C$4+7)),MIN(DAY(Kalemler!$D181),DAY(EOMONTH((Tahmin!$C$4+7),0))))&gt;=(Tahmin!$C$4+7),DATE(YEAR((Tahmin!$C$4+7)),MONTH((Tahmin!$C$4+7)),MIN(DAY(Kalemler!$D181),DAY(EOMONTH((Tahmin!$C$4+7),0))))&lt;=(Tahmin!$C$4+13),DATE(YEAR((Tahmin!$C$4+7)),MONTH((Tahmin!$C$4+7)),MIN(DAY(Kalemler!$D181),DAY(EOMONTH((Tahmin!$C$4+7),0))))&gt;=Kalemler!$D181),AND(DATE(YEAR((Tahmin!$C$4+13)),MONTH((Tahmin!$C$4+13)),MIN(DAY(Kalemler!$D181),DAY(EOMONTH((Tahmin!$C$4+13),0))))&gt;=(Tahmin!$C$4+7),DATE(YEAR((Tahmin!$C$4+13)),MONTH((Tahmin!$C$4+13)),MIN(DAY(Kalemler!$D181),DAY(EOMONTH((Tahmin!$C$4+13),0))))&lt;=(Tahmin!$C$4+13),DATE(YEAR((Tahmin!$C$4+13)),MONTH((Tahmin!$C$4+13)),MIN(DAY(Kalemler!$D181),DAY(EOMONTH((Tahmin!$C$4+13),0))))&lt;&gt;DATE(YEAR((Tahmin!$C$4+7)),MONTH((Tahmin!$C$4+7)),MIN(DAY(Kalemler!$D181),DAY(EOMONTH((Tahmin!$C$4+7),0)))),DATE(YEAR((Tahmin!$C$4+13)),MONTH((Tahmin!$C$4+13)),MIN(DAY(Kalemler!$D181),DAY(EOMONTH((Tahmin!$C$4+13),0))))&gt;=Kalemler!$D181)),1,0),IF(AND(Kalemler!$D181&gt;=(Tahmin!$C$4+7),Kalemler!$D181&lt;=(Tahmin!$C$4+13)),1,0))))</f>
        <v>0</v>
      </c>
      <c r="D181" s="0" t="n">
        <f aca="false">IF(OR(Kalemler!$A181="",Kalemler!$C181="",Kalemler!$D181=""),0,Kalemler!$C181*IF(Kalemler!$E181="Haftalık",IF(Kalemler!$D181&lt;=(Tahmin!$C$4+20),1,0),IF(Kalemler!$E181="Aylık",IF(OR(AND(DATE(YEAR((Tahmin!$C$4+14)),MONTH((Tahmin!$C$4+14)),MIN(DAY(Kalemler!$D181),DAY(EOMONTH((Tahmin!$C$4+14),0))))&gt;=(Tahmin!$C$4+14),DATE(YEAR((Tahmin!$C$4+14)),MONTH((Tahmin!$C$4+14)),MIN(DAY(Kalemler!$D181),DAY(EOMONTH((Tahmin!$C$4+14),0))))&lt;=(Tahmin!$C$4+20),DATE(YEAR((Tahmin!$C$4+14)),MONTH((Tahmin!$C$4+14)),MIN(DAY(Kalemler!$D181),DAY(EOMONTH((Tahmin!$C$4+14),0))))&gt;=Kalemler!$D181),AND(DATE(YEAR((Tahmin!$C$4+20)),MONTH((Tahmin!$C$4+20)),MIN(DAY(Kalemler!$D181),DAY(EOMONTH((Tahmin!$C$4+20),0))))&gt;=(Tahmin!$C$4+14),DATE(YEAR((Tahmin!$C$4+20)),MONTH((Tahmin!$C$4+20)),MIN(DAY(Kalemler!$D181),DAY(EOMONTH((Tahmin!$C$4+20),0))))&lt;=(Tahmin!$C$4+20),DATE(YEAR((Tahmin!$C$4+20)),MONTH((Tahmin!$C$4+20)),MIN(DAY(Kalemler!$D181),DAY(EOMONTH((Tahmin!$C$4+20),0))))&lt;&gt;DATE(YEAR((Tahmin!$C$4+14)),MONTH((Tahmin!$C$4+14)),MIN(DAY(Kalemler!$D181),DAY(EOMONTH((Tahmin!$C$4+14),0)))),DATE(YEAR((Tahmin!$C$4+20)),MONTH((Tahmin!$C$4+20)),MIN(DAY(Kalemler!$D181),DAY(EOMONTH((Tahmin!$C$4+20),0))))&gt;=Kalemler!$D181)),1,0),IF(AND(Kalemler!$D181&gt;=(Tahmin!$C$4+14),Kalemler!$D181&lt;=(Tahmin!$C$4+20)),1,0))))</f>
        <v>0</v>
      </c>
      <c r="E181" s="0" t="n">
        <f aca="false">IF(OR(Kalemler!$A181="",Kalemler!$C181="",Kalemler!$D181=""),0,Kalemler!$C181*IF(Kalemler!$E181="Haftalık",IF(Kalemler!$D181&lt;=(Tahmin!$C$4+27),1,0),IF(Kalemler!$E181="Aylık",IF(OR(AND(DATE(YEAR((Tahmin!$C$4+21)),MONTH((Tahmin!$C$4+21)),MIN(DAY(Kalemler!$D181),DAY(EOMONTH((Tahmin!$C$4+21),0))))&gt;=(Tahmin!$C$4+21),DATE(YEAR((Tahmin!$C$4+21)),MONTH((Tahmin!$C$4+21)),MIN(DAY(Kalemler!$D181),DAY(EOMONTH((Tahmin!$C$4+21),0))))&lt;=(Tahmin!$C$4+27),DATE(YEAR((Tahmin!$C$4+21)),MONTH((Tahmin!$C$4+21)),MIN(DAY(Kalemler!$D181),DAY(EOMONTH((Tahmin!$C$4+21),0))))&gt;=Kalemler!$D181),AND(DATE(YEAR((Tahmin!$C$4+27)),MONTH((Tahmin!$C$4+27)),MIN(DAY(Kalemler!$D181),DAY(EOMONTH((Tahmin!$C$4+27),0))))&gt;=(Tahmin!$C$4+21),DATE(YEAR((Tahmin!$C$4+27)),MONTH((Tahmin!$C$4+27)),MIN(DAY(Kalemler!$D181),DAY(EOMONTH((Tahmin!$C$4+27),0))))&lt;=(Tahmin!$C$4+27),DATE(YEAR((Tahmin!$C$4+27)),MONTH((Tahmin!$C$4+27)),MIN(DAY(Kalemler!$D181),DAY(EOMONTH((Tahmin!$C$4+27),0))))&lt;&gt;DATE(YEAR((Tahmin!$C$4+21)),MONTH((Tahmin!$C$4+21)),MIN(DAY(Kalemler!$D181),DAY(EOMONTH((Tahmin!$C$4+21),0)))),DATE(YEAR((Tahmin!$C$4+27)),MONTH((Tahmin!$C$4+27)),MIN(DAY(Kalemler!$D181),DAY(EOMONTH((Tahmin!$C$4+27),0))))&gt;=Kalemler!$D181)),1,0),IF(AND(Kalemler!$D181&gt;=(Tahmin!$C$4+21),Kalemler!$D181&lt;=(Tahmin!$C$4+27)),1,0))))</f>
        <v>0</v>
      </c>
      <c r="F181" s="0" t="n">
        <f aca="false">IF(OR(Kalemler!$A181="",Kalemler!$C181="",Kalemler!$D181=""),0,Kalemler!$C181*IF(Kalemler!$E181="Haftalık",IF(Kalemler!$D181&lt;=(Tahmin!$C$4+34),1,0),IF(Kalemler!$E181="Aylık",IF(OR(AND(DATE(YEAR((Tahmin!$C$4+28)),MONTH((Tahmin!$C$4+28)),MIN(DAY(Kalemler!$D181),DAY(EOMONTH((Tahmin!$C$4+28),0))))&gt;=(Tahmin!$C$4+28),DATE(YEAR((Tahmin!$C$4+28)),MONTH((Tahmin!$C$4+28)),MIN(DAY(Kalemler!$D181),DAY(EOMONTH((Tahmin!$C$4+28),0))))&lt;=(Tahmin!$C$4+34),DATE(YEAR((Tahmin!$C$4+28)),MONTH((Tahmin!$C$4+28)),MIN(DAY(Kalemler!$D181),DAY(EOMONTH((Tahmin!$C$4+28),0))))&gt;=Kalemler!$D181),AND(DATE(YEAR((Tahmin!$C$4+34)),MONTH((Tahmin!$C$4+34)),MIN(DAY(Kalemler!$D181),DAY(EOMONTH((Tahmin!$C$4+34),0))))&gt;=(Tahmin!$C$4+28),DATE(YEAR((Tahmin!$C$4+34)),MONTH((Tahmin!$C$4+34)),MIN(DAY(Kalemler!$D181),DAY(EOMONTH((Tahmin!$C$4+34),0))))&lt;=(Tahmin!$C$4+34),DATE(YEAR((Tahmin!$C$4+34)),MONTH((Tahmin!$C$4+34)),MIN(DAY(Kalemler!$D181),DAY(EOMONTH((Tahmin!$C$4+34),0))))&lt;&gt;DATE(YEAR((Tahmin!$C$4+28)),MONTH((Tahmin!$C$4+28)),MIN(DAY(Kalemler!$D181),DAY(EOMONTH((Tahmin!$C$4+28),0)))),DATE(YEAR((Tahmin!$C$4+34)),MONTH((Tahmin!$C$4+34)),MIN(DAY(Kalemler!$D181),DAY(EOMONTH((Tahmin!$C$4+34),0))))&gt;=Kalemler!$D181)),1,0),IF(AND(Kalemler!$D181&gt;=(Tahmin!$C$4+28),Kalemler!$D181&lt;=(Tahmin!$C$4+34)),1,0))))</f>
        <v>0</v>
      </c>
      <c r="G181" s="0" t="n">
        <f aca="false">IF(OR(Kalemler!$A181="",Kalemler!$C181="",Kalemler!$D181=""),0,Kalemler!$C181*IF(Kalemler!$E181="Haftalık",IF(Kalemler!$D181&lt;=(Tahmin!$C$4+41),1,0),IF(Kalemler!$E181="Aylık",IF(OR(AND(DATE(YEAR((Tahmin!$C$4+35)),MONTH((Tahmin!$C$4+35)),MIN(DAY(Kalemler!$D181),DAY(EOMONTH((Tahmin!$C$4+35),0))))&gt;=(Tahmin!$C$4+35),DATE(YEAR((Tahmin!$C$4+35)),MONTH((Tahmin!$C$4+35)),MIN(DAY(Kalemler!$D181),DAY(EOMONTH((Tahmin!$C$4+35),0))))&lt;=(Tahmin!$C$4+41),DATE(YEAR((Tahmin!$C$4+35)),MONTH((Tahmin!$C$4+35)),MIN(DAY(Kalemler!$D181),DAY(EOMONTH((Tahmin!$C$4+35),0))))&gt;=Kalemler!$D181),AND(DATE(YEAR((Tahmin!$C$4+41)),MONTH((Tahmin!$C$4+41)),MIN(DAY(Kalemler!$D181),DAY(EOMONTH((Tahmin!$C$4+41),0))))&gt;=(Tahmin!$C$4+35),DATE(YEAR((Tahmin!$C$4+41)),MONTH((Tahmin!$C$4+41)),MIN(DAY(Kalemler!$D181),DAY(EOMONTH((Tahmin!$C$4+41),0))))&lt;=(Tahmin!$C$4+41),DATE(YEAR((Tahmin!$C$4+41)),MONTH((Tahmin!$C$4+41)),MIN(DAY(Kalemler!$D181),DAY(EOMONTH((Tahmin!$C$4+41),0))))&lt;&gt;DATE(YEAR((Tahmin!$C$4+35)),MONTH((Tahmin!$C$4+35)),MIN(DAY(Kalemler!$D181),DAY(EOMONTH((Tahmin!$C$4+35),0)))),DATE(YEAR((Tahmin!$C$4+41)),MONTH((Tahmin!$C$4+41)),MIN(DAY(Kalemler!$D181),DAY(EOMONTH((Tahmin!$C$4+41),0))))&gt;=Kalemler!$D181)),1,0),IF(AND(Kalemler!$D181&gt;=(Tahmin!$C$4+35),Kalemler!$D181&lt;=(Tahmin!$C$4+41)),1,0))))</f>
        <v>0</v>
      </c>
      <c r="H181" s="0" t="n">
        <f aca="false">IF(OR(Kalemler!$A181="",Kalemler!$C181="",Kalemler!$D181=""),0,Kalemler!$C181*IF(Kalemler!$E181="Haftalık",IF(Kalemler!$D181&lt;=(Tahmin!$C$4+48),1,0),IF(Kalemler!$E181="Aylık",IF(OR(AND(DATE(YEAR((Tahmin!$C$4+42)),MONTH((Tahmin!$C$4+42)),MIN(DAY(Kalemler!$D181),DAY(EOMONTH((Tahmin!$C$4+42),0))))&gt;=(Tahmin!$C$4+42),DATE(YEAR((Tahmin!$C$4+42)),MONTH((Tahmin!$C$4+42)),MIN(DAY(Kalemler!$D181),DAY(EOMONTH((Tahmin!$C$4+42),0))))&lt;=(Tahmin!$C$4+48),DATE(YEAR((Tahmin!$C$4+42)),MONTH((Tahmin!$C$4+42)),MIN(DAY(Kalemler!$D181),DAY(EOMONTH((Tahmin!$C$4+42),0))))&gt;=Kalemler!$D181),AND(DATE(YEAR((Tahmin!$C$4+48)),MONTH((Tahmin!$C$4+48)),MIN(DAY(Kalemler!$D181),DAY(EOMONTH((Tahmin!$C$4+48),0))))&gt;=(Tahmin!$C$4+42),DATE(YEAR((Tahmin!$C$4+48)),MONTH((Tahmin!$C$4+48)),MIN(DAY(Kalemler!$D181),DAY(EOMONTH((Tahmin!$C$4+48),0))))&lt;=(Tahmin!$C$4+48),DATE(YEAR((Tahmin!$C$4+48)),MONTH((Tahmin!$C$4+48)),MIN(DAY(Kalemler!$D181),DAY(EOMONTH((Tahmin!$C$4+48),0))))&lt;&gt;DATE(YEAR((Tahmin!$C$4+42)),MONTH((Tahmin!$C$4+42)),MIN(DAY(Kalemler!$D181),DAY(EOMONTH((Tahmin!$C$4+42),0)))),DATE(YEAR((Tahmin!$C$4+48)),MONTH((Tahmin!$C$4+48)),MIN(DAY(Kalemler!$D181),DAY(EOMONTH((Tahmin!$C$4+48),0))))&gt;=Kalemler!$D181)),1,0),IF(AND(Kalemler!$D181&gt;=(Tahmin!$C$4+42),Kalemler!$D181&lt;=(Tahmin!$C$4+48)),1,0))))</f>
        <v>0</v>
      </c>
      <c r="I181" s="0" t="n">
        <f aca="false">IF(OR(Kalemler!$A181="",Kalemler!$C181="",Kalemler!$D181=""),0,Kalemler!$C181*IF(Kalemler!$E181="Haftalık",IF(Kalemler!$D181&lt;=(Tahmin!$C$4+55),1,0),IF(Kalemler!$E181="Aylık",IF(OR(AND(DATE(YEAR((Tahmin!$C$4+49)),MONTH((Tahmin!$C$4+49)),MIN(DAY(Kalemler!$D181),DAY(EOMONTH((Tahmin!$C$4+49),0))))&gt;=(Tahmin!$C$4+49),DATE(YEAR((Tahmin!$C$4+49)),MONTH((Tahmin!$C$4+49)),MIN(DAY(Kalemler!$D181),DAY(EOMONTH((Tahmin!$C$4+49),0))))&lt;=(Tahmin!$C$4+55),DATE(YEAR((Tahmin!$C$4+49)),MONTH((Tahmin!$C$4+49)),MIN(DAY(Kalemler!$D181),DAY(EOMONTH((Tahmin!$C$4+49),0))))&gt;=Kalemler!$D181),AND(DATE(YEAR((Tahmin!$C$4+55)),MONTH((Tahmin!$C$4+55)),MIN(DAY(Kalemler!$D181),DAY(EOMONTH((Tahmin!$C$4+55),0))))&gt;=(Tahmin!$C$4+49),DATE(YEAR((Tahmin!$C$4+55)),MONTH((Tahmin!$C$4+55)),MIN(DAY(Kalemler!$D181),DAY(EOMONTH((Tahmin!$C$4+55),0))))&lt;=(Tahmin!$C$4+55),DATE(YEAR((Tahmin!$C$4+55)),MONTH((Tahmin!$C$4+55)),MIN(DAY(Kalemler!$D181),DAY(EOMONTH((Tahmin!$C$4+55),0))))&lt;&gt;DATE(YEAR((Tahmin!$C$4+49)),MONTH((Tahmin!$C$4+49)),MIN(DAY(Kalemler!$D181),DAY(EOMONTH((Tahmin!$C$4+49),0)))),DATE(YEAR((Tahmin!$C$4+55)),MONTH((Tahmin!$C$4+55)),MIN(DAY(Kalemler!$D181),DAY(EOMONTH((Tahmin!$C$4+55),0))))&gt;=Kalemler!$D181)),1,0),IF(AND(Kalemler!$D181&gt;=(Tahmin!$C$4+49),Kalemler!$D181&lt;=(Tahmin!$C$4+55)),1,0))))</f>
        <v>0</v>
      </c>
      <c r="J181" s="0" t="n">
        <f aca="false">IF(OR(Kalemler!$A181="",Kalemler!$C181="",Kalemler!$D181=""),0,Kalemler!$C181*IF(Kalemler!$E181="Haftalık",IF(Kalemler!$D181&lt;=(Tahmin!$C$4+62),1,0),IF(Kalemler!$E181="Aylık",IF(OR(AND(DATE(YEAR((Tahmin!$C$4+56)),MONTH((Tahmin!$C$4+56)),MIN(DAY(Kalemler!$D181),DAY(EOMONTH((Tahmin!$C$4+56),0))))&gt;=(Tahmin!$C$4+56),DATE(YEAR((Tahmin!$C$4+56)),MONTH((Tahmin!$C$4+56)),MIN(DAY(Kalemler!$D181),DAY(EOMONTH((Tahmin!$C$4+56),0))))&lt;=(Tahmin!$C$4+62),DATE(YEAR((Tahmin!$C$4+56)),MONTH((Tahmin!$C$4+56)),MIN(DAY(Kalemler!$D181),DAY(EOMONTH((Tahmin!$C$4+56),0))))&gt;=Kalemler!$D181),AND(DATE(YEAR((Tahmin!$C$4+62)),MONTH((Tahmin!$C$4+62)),MIN(DAY(Kalemler!$D181),DAY(EOMONTH((Tahmin!$C$4+62),0))))&gt;=(Tahmin!$C$4+56),DATE(YEAR((Tahmin!$C$4+62)),MONTH((Tahmin!$C$4+62)),MIN(DAY(Kalemler!$D181),DAY(EOMONTH((Tahmin!$C$4+62),0))))&lt;=(Tahmin!$C$4+62),DATE(YEAR((Tahmin!$C$4+62)),MONTH((Tahmin!$C$4+62)),MIN(DAY(Kalemler!$D181),DAY(EOMONTH((Tahmin!$C$4+62),0))))&lt;&gt;DATE(YEAR((Tahmin!$C$4+56)),MONTH((Tahmin!$C$4+56)),MIN(DAY(Kalemler!$D181),DAY(EOMONTH((Tahmin!$C$4+56),0)))),DATE(YEAR((Tahmin!$C$4+62)),MONTH((Tahmin!$C$4+62)),MIN(DAY(Kalemler!$D181),DAY(EOMONTH((Tahmin!$C$4+62),0))))&gt;=Kalemler!$D181)),1,0),IF(AND(Kalemler!$D181&gt;=(Tahmin!$C$4+56),Kalemler!$D181&lt;=(Tahmin!$C$4+62)),1,0))))</f>
        <v>0</v>
      </c>
      <c r="K181" s="0" t="n">
        <f aca="false">IF(OR(Kalemler!$A181="",Kalemler!$C181="",Kalemler!$D181=""),0,Kalemler!$C181*IF(Kalemler!$E181="Haftalık",IF(Kalemler!$D181&lt;=(Tahmin!$C$4+69),1,0),IF(Kalemler!$E181="Aylık",IF(OR(AND(DATE(YEAR((Tahmin!$C$4+63)),MONTH((Tahmin!$C$4+63)),MIN(DAY(Kalemler!$D181),DAY(EOMONTH((Tahmin!$C$4+63),0))))&gt;=(Tahmin!$C$4+63),DATE(YEAR((Tahmin!$C$4+63)),MONTH((Tahmin!$C$4+63)),MIN(DAY(Kalemler!$D181),DAY(EOMONTH((Tahmin!$C$4+63),0))))&lt;=(Tahmin!$C$4+69),DATE(YEAR((Tahmin!$C$4+63)),MONTH((Tahmin!$C$4+63)),MIN(DAY(Kalemler!$D181),DAY(EOMONTH((Tahmin!$C$4+63),0))))&gt;=Kalemler!$D181),AND(DATE(YEAR((Tahmin!$C$4+69)),MONTH((Tahmin!$C$4+69)),MIN(DAY(Kalemler!$D181),DAY(EOMONTH((Tahmin!$C$4+69),0))))&gt;=(Tahmin!$C$4+63),DATE(YEAR((Tahmin!$C$4+69)),MONTH((Tahmin!$C$4+69)),MIN(DAY(Kalemler!$D181),DAY(EOMONTH((Tahmin!$C$4+69),0))))&lt;=(Tahmin!$C$4+69),DATE(YEAR((Tahmin!$C$4+69)),MONTH((Tahmin!$C$4+69)),MIN(DAY(Kalemler!$D181),DAY(EOMONTH((Tahmin!$C$4+69),0))))&lt;&gt;DATE(YEAR((Tahmin!$C$4+63)),MONTH((Tahmin!$C$4+63)),MIN(DAY(Kalemler!$D181),DAY(EOMONTH((Tahmin!$C$4+63),0)))),DATE(YEAR((Tahmin!$C$4+69)),MONTH((Tahmin!$C$4+69)),MIN(DAY(Kalemler!$D181),DAY(EOMONTH((Tahmin!$C$4+69),0))))&gt;=Kalemler!$D181)),1,0),IF(AND(Kalemler!$D181&gt;=(Tahmin!$C$4+63),Kalemler!$D181&lt;=(Tahmin!$C$4+69)),1,0))))</f>
        <v>0</v>
      </c>
      <c r="L181" s="0" t="n">
        <f aca="false">IF(OR(Kalemler!$A181="",Kalemler!$C181="",Kalemler!$D181=""),0,Kalemler!$C181*IF(Kalemler!$E181="Haftalık",IF(Kalemler!$D181&lt;=(Tahmin!$C$4+76),1,0),IF(Kalemler!$E181="Aylık",IF(OR(AND(DATE(YEAR((Tahmin!$C$4+70)),MONTH((Tahmin!$C$4+70)),MIN(DAY(Kalemler!$D181),DAY(EOMONTH((Tahmin!$C$4+70),0))))&gt;=(Tahmin!$C$4+70),DATE(YEAR((Tahmin!$C$4+70)),MONTH((Tahmin!$C$4+70)),MIN(DAY(Kalemler!$D181),DAY(EOMONTH((Tahmin!$C$4+70),0))))&lt;=(Tahmin!$C$4+76),DATE(YEAR((Tahmin!$C$4+70)),MONTH((Tahmin!$C$4+70)),MIN(DAY(Kalemler!$D181),DAY(EOMONTH((Tahmin!$C$4+70),0))))&gt;=Kalemler!$D181),AND(DATE(YEAR((Tahmin!$C$4+76)),MONTH((Tahmin!$C$4+76)),MIN(DAY(Kalemler!$D181),DAY(EOMONTH((Tahmin!$C$4+76),0))))&gt;=(Tahmin!$C$4+70),DATE(YEAR((Tahmin!$C$4+76)),MONTH((Tahmin!$C$4+76)),MIN(DAY(Kalemler!$D181),DAY(EOMONTH((Tahmin!$C$4+76),0))))&lt;=(Tahmin!$C$4+76),DATE(YEAR((Tahmin!$C$4+76)),MONTH((Tahmin!$C$4+76)),MIN(DAY(Kalemler!$D181),DAY(EOMONTH((Tahmin!$C$4+76),0))))&lt;&gt;DATE(YEAR((Tahmin!$C$4+70)),MONTH((Tahmin!$C$4+70)),MIN(DAY(Kalemler!$D181),DAY(EOMONTH((Tahmin!$C$4+70),0)))),DATE(YEAR((Tahmin!$C$4+76)),MONTH((Tahmin!$C$4+76)),MIN(DAY(Kalemler!$D181),DAY(EOMONTH((Tahmin!$C$4+76),0))))&gt;=Kalemler!$D181)),1,0),IF(AND(Kalemler!$D181&gt;=(Tahmin!$C$4+70),Kalemler!$D181&lt;=(Tahmin!$C$4+76)),1,0))))</f>
        <v>0</v>
      </c>
      <c r="M181" s="0" t="n">
        <f aca="false">IF(OR(Kalemler!$A181="",Kalemler!$C181="",Kalemler!$D181=""),0,Kalemler!$C181*IF(Kalemler!$E181="Haftalık",IF(Kalemler!$D181&lt;=(Tahmin!$C$4+83),1,0),IF(Kalemler!$E181="Aylık",IF(OR(AND(DATE(YEAR((Tahmin!$C$4+77)),MONTH((Tahmin!$C$4+77)),MIN(DAY(Kalemler!$D181),DAY(EOMONTH((Tahmin!$C$4+77),0))))&gt;=(Tahmin!$C$4+77),DATE(YEAR((Tahmin!$C$4+77)),MONTH((Tahmin!$C$4+77)),MIN(DAY(Kalemler!$D181),DAY(EOMONTH((Tahmin!$C$4+77),0))))&lt;=(Tahmin!$C$4+83),DATE(YEAR((Tahmin!$C$4+77)),MONTH((Tahmin!$C$4+77)),MIN(DAY(Kalemler!$D181),DAY(EOMONTH((Tahmin!$C$4+77),0))))&gt;=Kalemler!$D181),AND(DATE(YEAR((Tahmin!$C$4+83)),MONTH((Tahmin!$C$4+83)),MIN(DAY(Kalemler!$D181),DAY(EOMONTH((Tahmin!$C$4+83),0))))&gt;=(Tahmin!$C$4+77),DATE(YEAR((Tahmin!$C$4+83)),MONTH((Tahmin!$C$4+83)),MIN(DAY(Kalemler!$D181),DAY(EOMONTH((Tahmin!$C$4+83),0))))&lt;=(Tahmin!$C$4+83),DATE(YEAR((Tahmin!$C$4+83)),MONTH((Tahmin!$C$4+83)),MIN(DAY(Kalemler!$D181),DAY(EOMONTH((Tahmin!$C$4+83),0))))&lt;&gt;DATE(YEAR((Tahmin!$C$4+77)),MONTH((Tahmin!$C$4+77)),MIN(DAY(Kalemler!$D181),DAY(EOMONTH((Tahmin!$C$4+77),0)))),DATE(YEAR((Tahmin!$C$4+83)),MONTH((Tahmin!$C$4+83)),MIN(DAY(Kalemler!$D181),DAY(EOMONTH((Tahmin!$C$4+83),0))))&gt;=Kalemler!$D181)),1,0),IF(AND(Kalemler!$D181&gt;=(Tahmin!$C$4+77),Kalemler!$D181&lt;=(Tahmin!$C$4+83)),1,0))))</f>
        <v>0</v>
      </c>
      <c r="N181" s="0" t="n">
        <f aca="false">IF(OR(Kalemler!$A181="",Kalemler!$C181="",Kalemler!$D181=""),0,Kalemler!$C181*IF(Kalemler!$E181="Haftalık",IF(Kalemler!$D181&lt;=(Tahmin!$C$4+90),1,0),IF(Kalemler!$E181="Aylık",IF(OR(AND(DATE(YEAR((Tahmin!$C$4+84)),MONTH((Tahmin!$C$4+84)),MIN(DAY(Kalemler!$D181),DAY(EOMONTH((Tahmin!$C$4+84),0))))&gt;=(Tahmin!$C$4+84),DATE(YEAR((Tahmin!$C$4+84)),MONTH((Tahmin!$C$4+84)),MIN(DAY(Kalemler!$D181),DAY(EOMONTH((Tahmin!$C$4+84),0))))&lt;=(Tahmin!$C$4+90),DATE(YEAR((Tahmin!$C$4+84)),MONTH((Tahmin!$C$4+84)),MIN(DAY(Kalemler!$D181),DAY(EOMONTH((Tahmin!$C$4+84),0))))&gt;=Kalemler!$D181),AND(DATE(YEAR((Tahmin!$C$4+90)),MONTH((Tahmin!$C$4+90)),MIN(DAY(Kalemler!$D181),DAY(EOMONTH((Tahmin!$C$4+90),0))))&gt;=(Tahmin!$C$4+84),DATE(YEAR((Tahmin!$C$4+90)),MONTH((Tahmin!$C$4+90)),MIN(DAY(Kalemler!$D181),DAY(EOMONTH((Tahmin!$C$4+90),0))))&lt;=(Tahmin!$C$4+90),DATE(YEAR((Tahmin!$C$4+90)),MONTH((Tahmin!$C$4+90)),MIN(DAY(Kalemler!$D181),DAY(EOMONTH((Tahmin!$C$4+90),0))))&lt;&gt;DATE(YEAR((Tahmin!$C$4+84)),MONTH((Tahmin!$C$4+84)),MIN(DAY(Kalemler!$D181),DAY(EOMONTH((Tahmin!$C$4+84),0)))),DATE(YEAR((Tahmin!$C$4+90)),MONTH((Tahmin!$C$4+90)),MIN(DAY(Kalemler!$D181),DAY(EOMONTH((Tahmin!$C$4+90),0))))&gt;=Kalemler!$D181)),1,0),IF(AND(Kalemler!$D181&gt;=(Tahmin!$C$4+84),Kalemler!$D181&lt;=(Tahmin!$C$4+90)),1,0))))</f>
        <v>0</v>
      </c>
    </row>
    <row r="182" customFormat="false" ht="15" hidden="false" customHeight="false" outlineLevel="0" collapsed="false">
      <c r="A182" s="0" t="str">
        <f aca="false">IF(Kalemler!A182="","",Kalemler!A182)</f>
        <v/>
      </c>
      <c r="B182" s="0" t="n">
        <f aca="false">IF(OR(Kalemler!$A182="",Kalemler!$C182="",Kalemler!$D182=""),0,Kalemler!$C182*IF(Kalemler!$E182="Haftalık",IF(Kalemler!$D182&lt;=(Tahmin!$C$4+6),1,0),IF(Kalemler!$E182="Aylık",IF(OR(AND(DATE(YEAR((Tahmin!$C$4+0)),MONTH((Tahmin!$C$4+0)),MIN(DAY(Kalemler!$D182),DAY(EOMONTH((Tahmin!$C$4+0),0))))&gt;=(Tahmin!$C$4+0),DATE(YEAR((Tahmin!$C$4+0)),MONTH((Tahmin!$C$4+0)),MIN(DAY(Kalemler!$D182),DAY(EOMONTH((Tahmin!$C$4+0),0))))&lt;=(Tahmin!$C$4+6),DATE(YEAR((Tahmin!$C$4+0)),MONTH((Tahmin!$C$4+0)),MIN(DAY(Kalemler!$D182),DAY(EOMONTH((Tahmin!$C$4+0),0))))&gt;=Kalemler!$D182),AND(DATE(YEAR((Tahmin!$C$4+6)),MONTH((Tahmin!$C$4+6)),MIN(DAY(Kalemler!$D182),DAY(EOMONTH((Tahmin!$C$4+6),0))))&gt;=(Tahmin!$C$4+0),DATE(YEAR((Tahmin!$C$4+6)),MONTH((Tahmin!$C$4+6)),MIN(DAY(Kalemler!$D182),DAY(EOMONTH((Tahmin!$C$4+6),0))))&lt;=(Tahmin!$C$4+6),DATE(YEAR((Tahmin!$C$4+6)),MONTH((Tahmin!$C$4+6)),MIN(DAY(Kalemler!$D182),DAY(EOMONTH((Tahmin!$C$4+6),0))))&lt;&gt;DATE(YEAR((Tahmin!$C$4+0)),MONTH((Tahmin!$C$4+0)),MIN(DAY(Kalemler!$D182),DAY(EOMONTH((Tahmin!$C$4+0),0)))),DATE(YEAR((Tahmin!$C$4+6)),MONTH((Tahmin!$C$4+6)),MIN(DAY(Kalemler!$D182),DAY(EOMONTH((Tahmin!$C$4+6),0))))&gt;=Kalemler!$D182)),1,0),IF(AND(Kalemler!$D182&gt;=(Tahmin!$C$4+0),Kalemler!$D182&lt;=(Tahmin!$C$4+6)),1,0))))</f>
        <v>0</v>
      </c>
      <c r="C182" s="0" t="n">
        <f aca="false">IF(OR(Kalemler!$A182="",Kalemler!$C182="",Kalemler!$D182=""),0,Kalemler!$C182*IF(Kalemler!$E182="Haftalık",IF(Kalemler!$D182&lt;=(Tahmin!$C$4+13),1,0),IF(Kalemler!$E182="Aylık",IF(OR(AND(DATE(YEAR((Tahmin!$C$4+7)),MONTH((Tahmin!$C$4+7)),MIN(DAY(Kalemler!$D182),DAY(EOMONTH((Tahmin!$C$4+7),0))))&gt;=(Tahmin!$C$4+7),DATE(YEAR((Tahmin!$C$4+7)),MONTH((Tahmin!$C$4+7)),MIN(DAY(Kalemler!$D182),DAY(EOMONTH((Tahmin!$C$4+7),0))))&lt;=(Tahmin!$C$4+13),DATE(YEAR((Tahmin!$C$4+7)),MONTH((Tahmin!$C$4+7)),MIN(DAY(Kalemler!$D182),DAY(EOMONTH((Tahmin!$C$4+7),0))))&gt;=Kalemler!$D182),AND(DATE(YEAR((Tahmin!$C$4+13)),MONTH((Tahmin!$C$4+13)),MIN(DAY(Kalemler!$D182),DAY(EOMONTH((Tahmin!$C$4+13),0))))&gt;=(Tahmin!$C$4+7),DATE(YEAR((Tahmin!$C$4+13)),MONTH((Tahmin!$C$4+13)),MIN(DAY(Kalemler!$D182),DAY(EOMONTH((Tahmin!$C$4+13),0))))&lt;=(Tahmin!$C$4+13),DATE(YEAR((Tahmin!$C$4+13)),MONTH((Tahmin!$C$4+13)),MIN(DAY(Kalemler!$D182),DAY(EOMONTH((Tahmin!$C$4+13),0))))&lt;&gt;DATE(YEAR((Tahmin!$C$4+7)),MONTH((Tahmin!$C$4+7)),MIN(DAY(Kalemler!$D182),DAY(EOMONTH((Tahmin!$C$4+7),0)))),DATE(YEAR((Tahmin!$C$4+13)),MONTH((Tahmin!$C$4+13)),MIN(DAY(Kalemler!$D182),DAY(EOMONTH((Tahmin!$C$4+13),0))))&gt;=Kalemler!$D182)),1,0),IF(AND(Kalemler!$D182&gt;=(Tahmin!$C$4+7),Kalemler!$D182&lt;=(Tahmin!$C$4+13)),1,0))))</f>
        <v>0</v>
      </c>
      <c r="D182" s="0" t="n">
        <f aca="false">IF(OR(Kalemler!$A182="",Kalemler!$C182="",Kalemler!$D182=""),0,Kalemler!$C182*IF(Kalemler!$E182="Haftalık",IF(Kalemler!$D182&lt;=(Tahmin!$C$4+20),1,0),IF(Kalemler!$E182="Aylık",IF(OR(AND(DATE(YEAR((Tahmin!$C$4+14)),MONTH((Tahmin!$C$4+14)),MIN(DAY(Kalemler!$D182),DAY(EOMONTH((Tahmin!$C$4+14),0))))&gt;=(Tahmin!$C$4+14),DATE(YEAR((Tahmin!$C$4+14)),MONTH((Tahmin!$C$4+14)),MIN(DAY(Kalemler!$D182),DAY(EOMONTH((Tahmin!$C$4+14),0))))&lt;=(Tahmin!$C$4+20),DATE(YEAR((Tahmin!$C$4+14)),MONTH((Tahmin!$C$4+14)),MIN(DAY(Kalemler!$D182),DAY(EOMONTH((Tahmin!$C$4+14),0))))&gt;=Kalemler!$D182),AND(DATE(YEAR((Tahmin!$C$4+20)),MONTH((Tahmin!$C$4+20)),MIN(DAY(Kalemler!$D182),DAY(EOMONTH((Tahmin!$C$4+20),0))))&gt;=(Tahmin!$C$4+14),DATE(YEAR((Tahmin!$C$4+20)),MONTH((Tahmin!$C$4+20)),MIN(DAY(Kalemler!$D182),DAY(EOMONTH((Tahmin!$C$4+20),0))))&lt;=(Tahmin!$C$4+20),DATE(YEAR((Tahmin!$C$4+20)),MONTH((Tahmin!$C$4+20)),MIN(DAY(Kalemler!$D182),DAY(EOMONTH((Tahmin!$C$4+20),0))))&lt;&gt;DATE(YEAR((Tahmin!$C$4+14)),MONTH((Tahmin!$C$4+14)),MIN(DAY(Kalemler!$D182),DAY(EOMONTH((Tahmin!$C$4+14),0)))),DATE(YEAR((Tahmin!$C$4+20)),MONTH((Tahmin!$C$4+20)),MIN(DAY(Kalemler!$D182),DAY(EOMONTH((Tahmin!$C$4+20),0))))&gt;=Kalemler!$D182)),1,0),IF(AND(Kalemler!$D182&gt;=(Tahmin!$C$4+14),Kalemler!$D182&lt;=(Tahmin!$C$4+20)),1,0))))</f>
        <v>0</v>
      </c>
      <c r="E182" s="0" t="n">
        <f aca="false">IF(OR(Kalemler!$A182="",Kalemler!$C182="",Kalemler!$D182=""),0,Kalemler!$C182*IF(Kalemler!$E182="Haftalık",IF(Kalemler!$D182&lt;=(Tahmin!$C$4+27),1,0),IF(Kalemler!$E182="Aylık",IF(OR(AND(DATE(YEAR((Tahmin!$C$4+21)),MONTH((Tahmin!$C$4+21)),MIN(DAY(Kalemler!$D182),DAY(EOMONTH((Tahmin!$C$4+21),0))))&gt;=(Tahmin!$C$4+21),DATE(YEAR((Tahmin!$C$4+21)),MONTH((Tahmin!$C$4+21)),MIN(DAY(Kalemler!$D182),DAY(EOMONTH((Tahmin!$C$4+21),0))))&lt;=(Tahmin!$C$4+27),DATE(YEAR((Tahmin!$C$4+21)),MONTH((Tahmin!$C$4+21)),MIN(DAY(Kalemler!$D182),DAY(EOMONTH((Tahmin!$C$4+21),0))))&gt;=Kalemler!$D182),AND(DATE(YEAR((Tahmin!$C$4+27)),MONTH((Tahmin!$C$4+27)),MIN(DAY(Kalemler!$D182),DAY(EOMONTH((Tahmin!$C$4+27),0))))&gt;=(Tahmin!$C$4+21),DATE(YEAR((Tahmin!$C$4+27)),MONTH((Tahmin!$C$4+27)),MIN(DAY(Kalemler!$D182),DAY(EOMONTH((Tahmin!$C$4+27),0))))&lt;=(Tahmin!$C$4+27),DATE(YEAR((Tahmin!$C$4+27)),MONTH((Tahmin!$C$4+27)),MIN(DAY(Kalemler!$D182),DAY(EOMONTH((Tahmin!$C$4+27),0))))&lt;&gt;DATE(YEAR((Tahmin!$C$4+21)),MONTH((Tahmin!$C$4+21)),MIN(DAY(Kalemler!$D182),DAY(EOMONTH((Tahmin!$C$4+21),0)))),DATE(YEAR((Tahmin!$C$4+27)),MONTH((Tahmin!$C$4+27)),MIN(DAY(Kalemler!$D182),DAY(EOMONTH((Tahmin!$C$4+27),0))))&gt;=Kalemler!$D182)),1,0),IF(AND(Kalemler!$D182&gt;=(Tahmin!$C$4+21),Kalemler!$D182&lt;=(Tahmin!$C$4+27)),1,0))))</f>
        <v>0</v>
      </c>
      <c r="F182" s="0" t="n">
        <f aca="false">IF(OR(Kalemler!$A182="",Kalemler!$C182="",Kalemler!$D182=""),0,Kalemler!$C182*IF(Kalemler!$E182="Haftalık",IF(Kalemler!$D182&lt;=(Tahmin!$C$4+34),1,0),IF(Kalemler!$E182="Aylık",IF(OR(AND(DATE(YEAR((Tahmin!$C$4+28)),MONTH((Tahmin!$C$4+28)),MIN(DAY(Kalemler!$D182),DAY(EOMONTH((Tahmin!$C$4+28),0))))&gt;=(Tahmin!$C$4+28),DATE(YEAR((Tahmin!$C$4+28)),MONTH((Tahmin!$C$4+28)),MIN(DAY(Kalemler!$D182),DAY(EOMONTH((Tahmin!$C$4+28),0))))&lt;=(Tahmin!$C$4+34),DATE(YEAR((Tahmin!$C$4+28)),MONTH((Tahmin!$C$4+28)),MIN(DAY(Kalemler!$D182),DAY(EOMONTH((Tahmin!$C$4+28),0))))&gt;=Kalemler!$D182),AND(DATE(YEAR((Tahmin!$C$4+34)),MONTH((Tahmin!$C$4+34)),MIN(DAY(Kalemler!$D182),DAY(EOMONTH((Tahmin!$C$4+34),0))))&gt;=(Tahmin!$C$4+28),DATE(YEAR((Tahmin!$C$4+34)),MONTH((Tahmin!$C$4+34)),MIN(DAY(Kalemler!$D182),DAY(EOMONTH((Tahmin!$C$4+34),0))))&lt;=(Tahmin!$C$4+34),DATE(YEAR((Tahmin!$C$4+34)),MONTH((Tahmin!$C$4+34)),MIN(DAY(Kalemler!$D182),DAY(EOMONTH((Tahmin!$C$4+34),0))))&lt;&gt;DATE(YEAR((Tahmin!$C$4+28)),MONTH((Tahmin!$C$4+28)),MIN(DAY(Kalemler!$D182),DAY(EOMONTH((Tahmin!$C$4+28),0)))),DATE(YEAR((Tahmin!$C$4+34)),MONTH((Tahmin!$C$4+34)),MIN(DAY(Kalemler!$D182),DAY(EOMONTH((Tahmin!$C$4+34),0))))&gt;=Kalemler!$D182)),1,0),IF(AND(Kalemler!$D182&gt;=(Tahmin!$C$4+28),Kalemler!$D182&lt;=(Tahmin!$C$4+34)),1,0))))</f>
        <v>0</v>
      </c>
      <c r="G182" s="0" t="n">
        <f aca="false">IF(OR(Kalemler!$A182="",Kalemler!$C182="",Kalemler!$D182=""),0,Kalemler!$C182*IF(Kalemler!$E182="Haftalık",IF(Kalemler!$D182&lt;=(Tahmin!$C$4+41),1,0),IF(Kalemler!$E182="Aylık",IF(OR(AND(DATE(YEAR((Tahmin!$C$4+35)),MONTH((Tahmin!$C$4+35)),MIN(DAY(Kalemler!$D182),DAY(EOMONTH((Tahmin!$C$4+35),0))))&gt;=(Tahmin!$C$4+35),DATE(YEAR((Tahmin!$C$4+35)),MONTH((Tahmin!$C$4+35)),MIN(DAY(Kalemler!$D182),DAY(EOMONTH((Tahmin!$C$4+35),0))))&lt;=(Tahmin!$C$4+41),DATE(YEAR((Tahmin!$C$4+35)),MONTH((Tahmin!$C$4+35)),MIN(DAY(Kalemler!$D182),DAY(EOMONTH((Tahmin!$C$4+35),0))))&gt;=Kalemler!$D182),AND(DATE(YEAR((Tahmin!$C$4+41)),MONTH((Tahmin!$C$4+41)),MIN(DAY(Kalemler!$D182),DAY(EOMONTH((Tahmin!$C$4+41),0))))&gt;=(Tahmin!$C$4+35),DATE(YEAR((Tahmin!$C$4+41)),MONTH((Tahmin!$C$4+41)),MIN(DAY(Kalemler!$D182),DAY(EOMONTH((Tahmin!$C$4+41),0))))&lt;=(Tahmin!$C$4+41),DATE(YEAR((Tahmin!$C$4+41)),MONTH((Tahmin!$C$4+41)),MIN(DAY(Kalemler!$D182),DAY(EOMONTH((Tahmin!$C$4+41),0))))&lt;&gt;DATE(YEAR((Tahmin!$C$4+35)),MONTH((Tahmin!$C$4+35)),MIN(DAY(Kalemler!$D182),DAY(EOMONTH((Tahmin!$C$4+35),0)))),DATE(YEAR((Tahmin!$C$4+41)),MONTH((Tahmin!$C$4+41)),MIN(DAY(Kalemler!$D182),DAY(EOMONTH((Tahmin!$C$4+41),0))))&gt;=Kalemler!$D182)),1,0),IF(AND(Kalemler!$D182&gt;=(Tahmin!$C$4+35),Kalemler!$D182&lt;=(Tahmin!$C$4+41)),1,0))))</f>
        <v>0</v>
      </c>
      <c r="H182" s="0" t="n">
        <f aca="false">IF(OR(Kalemler!$A182="",Kalemler!$C182="",Kalemler!$D182=""),0,Kalemler!$C182*IF(Kalemler!$E182="Haftalık",IF(Kalemler!$D182&lt;=(Tahmin!$C$4+48),1,0),IF(Kalemler!$E182="Aylık",IF(OR(AND(DATE(YEAR((Tahmin!$C$4+42)),MONTH((Tahmin!$C$4+42)),MIN(DAY(Kalemler!$D182),DAY(EOMONTH((Tahmin!$C$4+42),0))))&gt;=(Tahmin!$C$4+42),DATE(YEAR((Tahmin!$C$4+42)),MONTH((Tahmin!$C$4+42)),MIN(DAY(Kalemler!$D182),DAY(EOMONTH((Tahmin!$C$4+42),0))))&lt;=(Tahmin!$C$4+48),DATE(YEAR((Tahmin!$C$4+42)),MONTH((Tahmin!$C$4+42)),MIN(DAY(Kalemler!$D182),DAY(EOMONTH((Tahmin!$C$4+42),0))))&gt;=Kalemler!$D182),AND(DATE(YEAR((Tahmin!$C$4+48)),MONTH((Tahmin!$C$4+48)),MIN(DAY(Kalemler!$D182),DAY(EOMONTH((Tahmin!$C$4+48),0))))&gt;=(Tahmin!$C$4+42),DATE(YEAR((Tahmin!$C$4+48)),MONTH((Tahmin!$C$4+48)),MIN(DAY(Kalemler!$D182),DAY(EOMONTH((Tahmin!$C$4+48),0))))&lt;=(Tahmin!$C$4+48),DATE(YEAR((Tahmin!$C$4+48)),MONTH((Tahmin!$C$4+48)),MIN(DAY(Kalemler!$D182),DAY(EOMONTH((Tahmin!$C$4+48),0))))&lt;&gt;DATE(YEAR((Tahmin!$C$4+42)),MONTH((Tahmin!$C$4+42)),MIN(DAY(Kalemler!$D182),DAY(EOMONTH((Tahmin!$C$4+42),0)))),DATE(YEAR((Tahmin!$C$4+48)),MONTH((Tahmin!$C$4+48)),MIN(DAY(Kalemler!$D182),DAY(EOMONTH((Tahmin!$C$4+48),0))))&gt;=Kalemler!$D182)),1,0),IF(AND(Kalemler!$D182&gt;=(Tahmin!$C$4+42),Kalemler!$D182&lt;=(Tahmin!$C$4+48)),1,0))))</f>
        <v>0</v>
      </c>
      <c r="I182" s="0" t="n">
        <f aca="false">IF(OR(Kalemler!$A182="",Kalemler!$C182="",Kalemler!$D182=""),0,Kalemler!$C182*IF(Kalemler!$E182="Haftalık",IF(Kalemler!$D182&lt;=(Tahmin!$C$4+55),1,0),IF(Kalemler!$E182="Aylık",IF(OR(AND(DATE(YEAR((Tahmin!$C$4+49)),MONTH((Tahmin!$C$4+49)),MIN(DAY(Kalemler!$D182),DAY(EOMONTH((Tahmin!$C$4+49),0))))&gt;=(Tahmin!$C$4+49),DATE(YEAR((Tahmin!$C$4+49)),MONTH((Tahmin!$C$4+49)),MIN(DAY(Kalemler!$D182),DAY(EOMONTH((Tahmin!$C$4+49),0))))&lt;=(Tahmin!$C$4+55),DATE(YEAR((Tahmin!$C$4+49)),MONTH((Tahmin!$C$4+49)),MIN(DAY(Kalemler!$D182),DAY(EOMONTH((Tahmin!$C$4+49),0))))&gt;=Kalemler!$D182),AND(DATE(YEAR((Tahmin!$C$4+55)),MONTH((Tahmin!$C$4+55)),MIN(DAY(Kalemler!$D182),DAY(EOMONTH((Tahmin!$C$4+55),0))))&gt;=(Tahmin!$C$4+49),DATE(YEAR((Tahmin!$C$4+55)),MONTH((Tahmin!$C$4+55)),MIN(DAY(Kalemler!$D182),DAY(EOMONTH((Tahmin!$C$4+55),0))))&lt;=(Tahmin!$C$4+55),DATE(YEAR((Tahmin!$C$4+55)),MONTH((Tahmin!$C$4+55)),MIN(DAY(Kalemler!$D182),DAY(EOMONTH((Tahmin!$C$4+55),0))))&lt;&gt;DATE(YEAR((Tahmin!$C$4+49)),MONTH((Tahmin!$C$4+49)),MIN(DAY(Kalemler!$D182),DAY(EOMONTH((Tahmin!$C$4+49),0)))),DATE(YEAR((Tahmin!$C$4+55)),MONTH((Tahmin!$C$4+55)),MIN(DAY(Kalemler!$D182),DAY(EOMONTH((Tahmin!$C$4+55),0))))&gt;=Kalemler!$D182)),1,0),IF(AND(Kalemler!$D182&gt;=(Tahmin!$C$4+49),Kalemler!$D182&lt;=(Tahmin!$C$4+55)),1,0))))</f>
        <v>0</v>
      </c>
      <c r="J182" s="0" t="n">
        <f aca="false">IF(OR(Kalemler!$A182="",Kalemler!$C182="",Kalemler!$D182=""),0,Kalemler!$C182*IF(Kalemler!$E182="Haftalık",IF(Kalemler!$D182&lt;=(Tahmin!$C$4+62),1,0),IF(Kalemler!$E182="Aylık",IF(OR(AND(DATE(YEAR((Tahmin!$C$4+56)),MONTH((Tahmin!$C$4+56)),MIN(DAY(Kalemler!$D182),DAY(EOMONTH((Tahmin!$C$4+56),0))))&gt;=(Tahmin!$C$4+56),DATE(YEAR((Tahmin!$C$4+56)),MONTH((Tahmin!$C$4+56)),MIN(DAY(Kalemler!$D182),DAY(EOMONTH((Tahmin!$C$4+56),0))))&lt;=(Tahmin!$C$4+62),DATE(YEAR((Tahmin!$C$4+56)),MONTH((Tahmin!$C$4+56)),MIN(DAY(Kalemler!$D182),DAY(EOMONTH((Tahmin!$C$4+56),0))))&gt;=Kalemler!$D182),AND(DATE(YEAR((Tahmin!$C$4+62)),MONTH((Tahmin!$C$4+62)),MIN(DAY(Kalemler!$D182),DAY(EOMONTH((Tahmin!$C$4+62),0))))&gt;=(Tahmin!$C$4+56),DATE(YEAR((Tahmin!$C$4+62)),MONTH((Tahmin!$C$4+62)),MIN(DAY(Kalemler!$D182),DAY(EOMONTH((Tahmin!$C$4+62),0))))&lt;=(Tahmin!$C$4+62),DATE(YEAR((Tahmin!$C$4+62)),MONTH((Tahmin!$C$4+62)),MIN(DAY(Kalemler!$D182),DAY(EOMONTH((Tahmin!$C$4+62),0))))&lt;&gt;DATE(YEAR((Tahmin!$C$4+56)),MONTH((Tahmin!$C$4+56)),MIN(DAY(Kalemler!$D182),DAY(EOMONTH((Tahmin!$C$4+56),0)))),DATE(YEAR((Tahmin!$C$4+62)),MONTH((Tahmin!$C$4+62)),MIN(DAY(Kalemler!$D182),DAY(EOMONTH((Tahmin!$C$4+62),0))))&gt;=Kalemler!$D182)),1,0),IF(AND(Kalemler!$D182&gt;=(Tahmin!$C$4+56),Kalemler!$D182&lt;=(Tahmin!$C$4+62)),1,0))))</f>
        <v>0</v>
      </c>
      <c r="K182" s="0" t="n">
        <f aca="false">IF(OR(Kalemler!$A182="",Kalemler!$C182="",Kalemler!$D182=""),0,Kalemler!$C182*IF(Kalemler!$E182="Haftalık",IF(Kalemler!$D182&lt;=(Tahmin!$C$4+69),1,0),IF(Kalemler!$E182="Aylık",IF(OR(AND(DATE(YEAR((Tahmin!$C$4+63)),MONTH((Tahmin!$C$4+63)),MIN(DAY(Kalemler!$D182),DAY(EOMONTH((Tahmin!$C$4+63),0))))&gt;=(Tahmin!$C$4+63),DATE(YEAR((Tahmin!$C$4+63)),MONTH((Tahmin!$C$4+63)),MIN(DAY(Kalemler!$D182),DAY(EOMONTH((Tahmin!$C$4+63),0))))&lt;=(Tahmin!$C$4+69),DATE(YEAR((Tahmin!$C$4+63)),MONTH((Tahmin!$C$4+63)),MIN(DAY(Kalemler!$D182),DAY(EOMONTH((Tahmin!$C$4+63),0))))&gt;=Kalemler!$D182),AND(DATE(YEAR((Tahmin!$C$4+69)),MONTH((Tahmin!$C$4+69)),MIN(DAY(Kalemler!$D182),DAY(EOMONTH((Tahmin!$C$4+69),0))))&gt;=(Tahmin!$C$4+63),DATE(YEAR((Tahmin!$C$4+69)),MONTH((Tahmin!$C$4+69)),MIN(DAY(Kalemler!$D182),DAY(EOMONTH((Tahmin!$C$4+69),0))))&lt;=(Tahmin!$C$4+69),DATE(YEAR((Tahmin!$C$4+69)),MONTH((Tahmin!$C$4+69)),MIN(DAY(Kalemler!$D182),DAY(EOMONTH((Tahmin!$C$4+69),0))))&lt;&gt;DATE(YEAR((Tahmin!$C$4+63)),MONTH((Tahmin!$C$4+63)),MIN(DAY(Kalemler!$D182),DAY(EOMONTH((Tahmin!$C$4+63),0)))),DATE(YEAR((Tahmin!$C$4+69)),MONTH((Tahmin!$C$4+69)),MIN(DAY(Kalemler!$D182),DAY(EOMONTH((Tahmin!$C$4+69),0))))&gt;=Kalemler!$D182)),1,0),IF(AND(Kalemler!$D182&gt;=(Tahmin!$C$4+63),Kalemler!$D182&lt;=(Tahmin!$C$4+69)),1,0))))</f>
        <v>0</v>
      </c>
      <c r="L182" s="0" t="n">
        <f aca="false">IF(OR(Kalemler!$A182="",Kalemler!$C182="",Kalemler!$D182=""),0,Kalemler!$C182*IF(Kalemler!$E182="Haftalık",IF(Kalemler!$D182&lt;=(Tahmin!$C$4+76),1,0),IF(Kalemler!$E182="Aylık",IF(OR(AND(DATE(YEAR((Tahmin!$C$4+70)),MONTH((Tahmin!$C$4+70)),MIN(DAY(Kalemler!$D182),DAY(EOMONTH((Tahmin!$C$4+70),0))))&gt;=(Tahmin!$C$4+70),DATE(YEAR((Tahmin!$C$4+70)),MONTH((Tahmin!$C$4+70)),MIN(DAY(Kalemler!$D182),DAY(EOMONTH((Tahmin!$C$4+70),0))))&lt;=(Tahmin!$C$4+76),DATE(YEAR((Tahmin!$C$4+70)),MONTH((Tahmin!$C$4+70)),MIN(DAY(Kalemler!$D182),DAY(EOMONTH((Tahmin!$C$4+70),0))))&gt;=Kalemler!$D182),AND(DATE(YEAR((Tahmin!$C$4+76)),MONTH((Tahmin!$C$4+76)),MIN(DAY(Kalemler!$D182),DAY(EOMONTH((Tahmin!$C$4+76),0))))&gt;=(Tahmin!$C$4+70),DATE(YEAR((Tahmin!$C$4+76)),MONTH((Tahmin!$C$4+76)),MIN(DAY(Kalemler!$D182),DAY(EOMONTH((Tahmin!$C$4+76),0))))&lt;=(Tahmin!$C$4+76),DATE(YEAR((Tahmin!$C$4+76)),MONTH((Tahmin!$C$4+76)),MIN(DAY(Kalemler!$D182),DAY(EOMONTH((Tahmin!$C$4+76),0))))&lt;&gt;DATE(YEAR((Tahmin!$C$4+70)),MONTH((Tahmin!$C$4+70)),MIN(DAY(Kalemler!$D182),DAY(EOMONTH((Tahmin!$C$4+70),0)))),DATE(YEAR((Tahmin!$C$4+76)),MONTH((Tahmin!$C$4+76)),MIN(DAY(Kalemler!$D182),DAY(EOMONTH((Tahmin!$C$4+76),0))))&gt;=Kalemler!$D182)),1,0),IF(AND(Kalemler!$D182&gt;=(Tahmin!$C$4+70),Kalemler!$D182&lt;=(Tahmin!$C$4+76)),1,0))))</f>
        <v>0</v>
      </c>
      <c r="M182" s="0" t="n">
        <f aca="false">IF(OR(Kalemler!$A182="",Kalemler!$C182="",Kalemler!$D182=""),0,Kalemler!$C182*IF(Kalemler!$E182="Haftalık",IF(Kalemler!$D182&lt;=(Tahmin!$C$4+83),1,0),IF(Kalemler!$E182="Aylık",IF(OR(AND(DATE(YEAR((Tahmin!$C$4+77)),MONTH((Tahmin!$C$4+77)),MIN(DAY(Kalemler!$D182),DAY(EOMONTH((Tahmin!$C$4+77),0))))&gt;=(Tahmin!$C$4+77),DATE(YEAR((Tahmin!$C$4+77)),MONTH((Tahmin!$C$4+77)),MIN(DAY(Kalemler!$D182),DAY(EOMONTH((Tahmin!$C$4+77),0))))&lt;=(Tahmin!$C$4+83),DATE(YEAR((Tahmin!$C$4+77)),MONTH((Tahmin!$C$4+77)),MIN(DAY(Kalemler!$D182),DAY(EOMONTH((Tahmin!$C$4+77),0))))&gt;=Kalemler!$D182),AND(DATE(YEAR((Tahmin!$C$4+83)),MONTH((Tahmin!$C$4+83)),MIN(DAY(Kalemler!$D182),DAY(EOMONTH((Tahmin!$C$4+83),0))))&gt;=(Tahmin!$C$4+77),DATE(YEAR((Tahmin!$C$4+83)),MONTH((Tahmin!$C$4+83)),MIN(DAY(Kalemler!$D182),DAY(EOMONTH((Tahmin!$C$4+83),0))))&lt;=(Tahmin!$C$4+83),DATE(YEAR((Tahmin!$C$4+83)),MONTH((Tahmin!$C$4+83)),MIN(DAY(Kalemler!$D182),DAY(EOMONTH((Tahmin!$C$4+83),0))))&lt;&gt;DATE(YEAR((Tahmin!$C$4+77)),MONTH((Tahmin!$C$4+77)),MIN(DAY(Kalemler!$D182),DAY(EOMONTH((Tahmin!$C$4+77),0)))),DATE(YEAR((Tahmin!$C$4+83)),MONTH((Tahmin!$C$4+83)),MIN(DAY(Kalemler!$D182),DAY(EOMONTH((Tahmin!$C$4+83),0))))&gt;=Kalemler!$D182)),1,0),IF(AND(Kalemler!$D182&gt;=(Tahmin!$C$4+77),Kalemler!$D182&lt;=(Tahmin!$C$4+83)),1,0))))</f>
        <v>0</v>
      </c>
      <c r="N182" s="0" t="n">
        <f aca="false">IF(OR(Kalemler!$A182="",Kalemler!$C182="",Kalemler!$D182=""),0,Kalemler!$C182*IF(Kalemler!$E182="Haftalık",IF(Kalemler!$D182&lt;=(Tahmin!$C$4+90),1,0),IF(Kalemler!$E182="Aylık",IF(OR(AND(DATE(YEAR((Tahmin!$C$4+84)),MONTH((Tahmin!$C$4+84)),MIN(DAY(Kalemler!$D182),DAY(EOMONTH((Tahmin!$C$4+84),0))))&gt;=(Tahmin!$C$4+84),DATE(YEAR((Tahmin!$C$4+84)),MONTH((Tahmin!$C$4+84)),MIN(DAY(Kalemler!$D182),DAY(EOMONTH((Tahmin!$C$4+84),0))))&lt;=(Tahmin!$C$4+90),DATE(YEAR((Tahmin!$C$4+84)),MONTH((Tahmin!$C$4+84)),MIN(DAY(Kalemler!$D182),DAY(EOMONTH((Tahmin!$C$4+84),0))))&gt;=Kalemler!$D182),AND(DATE(YEAR((Tahmin!$C$4+90)),MONTH((Tahmin!$C$4+90)),MIN(DAY(Kalemler!$D182),DAY(EOMONTH((Tahmin!$C$4+90),0))))&gt;=(Tahmin!$C$4+84),DATE(YEAR((Tahmin!$C$4+90)),MONTH((Tahmin!$C$4+90)),MIN(DAY(Kalemler!$D182),DAY(EOMONTH((Tahmin!$C$4+90),0))))&lt;=(Tahmin!$C$4+90),DATE(YEAR((Tahmin!$C$4+90)),MONTH((Tahmin!$C$4+90)),MIN(DAY(Kalemler!$D182),DAY(EOMONTH((Tahmin!$C$4+90),0))))&lt;&gt;DATE(YEAR((Tahmin!$C$4+84)),MONTH((Tahmin!$C$4+84)),MIN(DAY(Kalemler!$D182),DAY(EOMONTH((Tahmin!$C$4+84),0)))),DATE(YEAR((Tahmin!$C$4+90)),MONTH((Tahmin!$C$4+90)),MIN(DAY(Kalemler!$D182),DAY(EOMONTH((Tahmin!$C$4+90),0))))&gt;=Kalemler!$D182)),1,0),IF(AND(Kalemler!$D182&gt;=(Tahmin!$C$4+84),Kalemler!$D182&lt;=(Tahmin!$C$4+90)),1,0))))</f>
        <v>0</v>
      </c>
    </row>
    <row r="183" customFormat="false" ht="15" hidden="false" customHeight="false" outlineLevel="0" collapsed="false">
      <c r="A183" s="0" t="str">
        <f aca="false">IF(Kalemler!A183="","",Kalemler!A183)</f>
        <v/>
      </c>
      <c r="B183" s="0" t="n">
        <f aca="false">IF(OR(Kalemler!$A183="",Kalemler!$C183="",Kalemler!$D183=""),0,Kalemler!$C183*IF(Kalemler!$E183="Haftalık",IF(Kalemler!$D183&lt;=(Tahmin!$C$4+6),1,0),IF(Kalemler!$E183="Aylık",IF(OR(AND(DATE(YEAR((Tahmin!$C$4+0)),MONTH((Tahmin!$C$4+0)),MIN(DAY(Kalemler!$D183),DAY(EOMONTH((Tahmin!$C$4+0),0))))&gt;=(Tahmin!$C$4+0),DATE(YEAR((Tahmin!$C$4+0)),MONTH((Tahmin!$C$4+0)),MIN(DAY(Kalemler!$D183),DAY(EOMONTH((Tahmin!$C$4+0),0))))&lt;=(Tahmin!$C$4+6),DATE(YEAR((Tahmin!$C$4+0)),MONTH((Tahmin!$C$4+0)),MIN(DAY(Kalemler!$D183),DAY(EOMONTH((Tahmin!$C$4+0),0))))&gt;=Kalemler!$D183),AND(DATE(YEAR((Tahmin!$C$4+6)),MONTH((Tahmin!$C$4+6)),MIN(DAY(Kalemler!$D183),DAY(EOMONTH((Tahmin!$C$4+6),0))))&gt;=(Tahmin!$C$4+0),DATE(YEAR((Tahmin!$C$4+6)),MONTH((Tahmin!$C$4+6)),MIN(DAY(Kalemler!$D183),DAY(EOMONTH((Tahmin!$C$4+6),0))))&lt;=(Tahmin!$C$4+6),DATE(YEAR((Tahmin!$C$4+6)),MONTH((Tahmin!$C$4+6)),MIN(DAY(Kalemler!$D183),DAY(EOMONTH((Tahmin!$C$4+6),0))))&lt;&gt;DATE(YEAR((Tahmin!$C$4+0)),MONTH((Tahmin!$C$4+0)),MIN(DAY(Kalemler!$D183),DAY(EOMONTH((Tahmin!$C$4+0),0)))),DATE(YEAR((Tahmin!$C$4+6)),MONTH((Tahmin!$C$4+6)),MIN(DAY(Kalemler!$D183),DAY(EOMONTH((Tahmin!$C$4+6),0))))&gt;=Kalemler!$D183)),1,0),IF(AND(Kalemler!$D183&gt;=(Tahmin!$C$4+0),Kalemler!$D183&lt;=(Tahmin!$C$4+6)),1,0))))</f>
        <v>0</v>
      </c>
      <c r="C183" s="0" t="n">
        <f aca="false">IF(OR(Kalemler!$A183="",Kalemler!$C183="",Kalemler!$D183=""),0,Kalemler!$C183*IF(Kalemler!$E183="Haftalık",IF(Kalemler!$D183&lt;=(Tahmin!$C$4+13),1,0),IF(Kalemler!$E183="Aylık",IF(OR(AND(DATE(YEAR((Tahmin!$C$4+7)),MONTH((Tahmin!$C$4+7)),MIN(DAY(Kalemler!$D183),DAY(EOMONTH((Tahmin!$C$4+7),0))))&gt;=(Tahmin!$C$4+7),DATE(YEAR((Tahmin!$C$4+7)),MONTH((Tahmin!$C$4+7)),MIN(DAY(Kalemler!$D183),DAY(EOMONTH((Tahmin!$C$4+7),0))))&lt;=(Tahmin!$C$4+13),DATE(YEAR((Tahmin!$C$4+7)),MONTH((Tahmin!$C$4+7)),MIN(DAY(Kalemler!$D183),DAY(EOMONTH((Tahmin!$C$4+7),0))))&gt;=Kalemler!$D183),AND(DATE(YEAR((Tahmin!$C$4+13)),MONTH((Tahmin!$C$4+13)),MIN(DAY(Kalemler!$D183),DAY(EOMONTH((Tahmin!$C$4+13),0))))&gt;=(Tahmin!$C$4+7),DATE(YEAR((Tahmin!$C$4+13)),MONTH((Tahmin!$C$4+13)),MIN(DAY(Kalemler!$D183),DAY(EOMONTH((Tahmin!$C$4+13),0))))&lt;=(Tahmin!$C$4+13),DATE(YEAR((Tahmin!$C$4+13)),MONTH((Tahmin!$C$4+13)),MIN(DAY(Kalemler!$D183),DAY(EOMONTH((Tahmin!$C$4+13),0))))&lt;&gt;DATE(YEAR((Tahmin!$C$4+7)),MONTH((Tahmin!$C$4+7)),MIN(DAY(Kalemler!$D183),DAY(EOMONTH((Tahmin!$C$4+7),0)))),DATE(YEAR((Tahmin!$C$4+13)),MONTH((Tahmin!$C$4+13)),MIN(DAY(Kalemler!$D183),DAY(EOMONTH((Tahmin!$C$4+13),0))))&gt;=Kalemler!$D183)),1,0),IF(AND(Kalemler!$D183&gt;=(Tahmin!$C$4+7),Kalemler!$D183&lt;=(Tahmin!$C$4+13)),1,0))))</f>
        <v>0</v>
      </c>
      <c r="D183" s="0" t="n">
        <f aca="false">IF(OR(Kalemler!$A183="",Kalemler!$C183="",Kalemler!$D183=""),0,Kalemler!$C183*IF(Kalemler!$E183="Haftalık",IF(Kalemler!$D183&lt;=(Tahmin!$C$4+20),1,0),IF(Kalemler!$E183="Aylık",IF(OR(AND(DATE(YEAR((Tahmin!$C$4+14)),MONTH((Tahmin!$C$4+14)),MIN(DAY(Kalemler!$D183),DAY(EOMONTH((Tahmin!$C$4+14),0))))&gt;=(Tahmin!$C$4+14),DATE(YEAR((Tahmin!$C$4+14)),MONTH((Tahmin!$C$4+14)),MIN(DAY(Kalemler!$D183),DAY(EOMONTH((Tahmin!$C$4+14),0))))&lt;=(Tahmin!$C$4+20),DATE(YEAR((Tahmin!$C$4+14)),MONTH((Tahmin!$C$4+14)),MIN(DAY(Kalemler!$D183),DAY(EOMONTH((Tahmin!$C$4+14),0))))&gt;=Kalemler!$D183),AND(DATE(YEAR((Tahmin!$C$4+20)),MONTH((Tahmin!$C$4+20)),MIN(DAY(Kalemler!$D183),DAY(EOMONTH((Tahmin!$C$4+20),0))))&gt;=(Tahmin!$C$4+14),DATE(YEAR((Tahmin!$C$4+20)),MONTH((Tahmin!$C$4+20)),MIN(DAY(Kalemler!$D183),DAY(EOMONTH((Tahmin!$C$4+20),0))))&lt;=(Tahmin!$C$4+20),DATE(YEAR((Tahmin!$C$4+20)),MONTH((Tahmin!$C$4+20)),MIN(DAY(Kalemler!$D183),DAY(EOMONTH((Tahmin!$C$4+20),0))))&lt;&gt;DATE(YEAR((Tahmin!$C$4+14)),MONTH((Tahmin!$C$4+14)),MIN(DAY(Kalemler!$D183),DAY(EOMONTH((Tahmin!$C$4+14),0)))),DATE(YEAR((Tahmin!$C$4+20)),MONTH((Tahmin!$C$4+20)),MIN(DAY(Kalemler!$D183),DAY(EOMONTH((Tahmin!$C$4+20),0))))&gt;=Kalemler!$D183)),1,0),IF(AND(Kalemler!$D183&gt;=(Tahmin!$C$4+14),Kalemler!$D183&lt;=(Tahmin!$C$4+20)),1,0))))</f>
        <v>0</v>
      </c>
      <c r="E183" s="0" t="n">
        <f aca="false">IF(OR(Kalemler!$A183="",Kalemler!$C183="",Kalemler!$D183=""),0,Kalemler!$C183*IF(Kalemler!$E183="Haftalık",IF(Kalemler!$D183&lt;=(Tahmin!$C$4+27),1,0),IF(Kalemler!$E183="Aylık",IF(OR(AND(DATE(YEAR((Tahmin!$C$4+21)),MONTH((Tahmin!$C$4+21)),MIN(DAY(Kalemler!$D183),DAY(EOMONTH((Tahmin!$C$4+21),0))))&gt;=(Tahmin!$C$4+21),DATE(YEAR((Tahmin!$C$4+21)),MONTH((Tahmin!$C$4+21)),MIN(DAY(Kalemler!$D183),DAY(EOMONTH((Tahmin!$C$4+21),0))))&lt;=(Tahmin!$C$4+27),DATE(YEAR((Tahmin!$C$4+21)),MONTH((Tahmin!$C$4+21)),MIN(DAY(Kalemler!$D183),DAY(EOMONTH((Tahmin!$C$4+21),0))))&gt;=Kalemler!$D183),AND(DATE(YEAR((Tahmin!$C$4+27)),MONTH((Tahmin!$C$4+27)),MIN(DAY(Kalemler!$D183),DAY(EOMONTH((Tahmin!$C$4+27),0))))&gt;=(Tahmin!$C$4+21),DATE(YEAR((Tahmin!$C$4+27)),MONTH((Tahmin!$C$4+27)),MIN(DAY(Kalemler!$D183),DAY(EOMONTH((Tahmin!$C$4+27),0))))&lt;=(Tahmin!$C$4+27),DATE(YEAR((Tahmin!$C$4+27)),MONTH((Tahmin!$C$4+27)),MIN(DAY(Kalemler!$D183),DAY(EOMONTH((Tahmin!$C$4+27),0))))&lt;&gt;DATE(YEAR((Tahmin!$C$4+21)),MONTH((Tahmin!$C$4+21)),MIN(DAY(Kalemler!$D183),DAY(EOMONTH((Tahmin!$C$4+21),0)))),DATE(YEAR((Tahmin!$C$4+27)),MONTH((Tahmin!$C$4+27)),MIN(DAY(Kalemler!$D183),DAY(EOMONTH((Tahmin!$C$4+27),0))))&gt;=Kalemler!$D183)),1,0),IF(AND(Kalemler!$D183&gt;=(Tahmin!$C$4+21),Kalemler!$D183&lt;=(Tahmin!$C$4+27)),1,0))))</f>
        <v>0</v>
      </c>
      <c r="F183" s="0" t="n">
        <f aca="false">IF(OR(Kalemler!$A183="",Kalemler!$C183="",Kalemler!$D183=""),0,Kalemler!$C183*IF(Kalemler!$E183="Haftalık",IF(Kalemler!$D183&lt;=(Tahmin!$C$4+34),1,0),IF(Kalemler!$E183="Aylık",IF(OR(AND(DATE(YEAR((Tahmin!$C$4+28)),MONTH((Tahmin!$C$4+28)),MIN(DAY(Kalemler!$D183),DAY(EOMONTH((Tahmin!$C$4+28),0))))&gt;=(Tahmin!$C$4+28),DATE(YEAR((Tahmin!$C$4+28)),MONTH((Tahmin!$C$4+28)),MIN(DAY(Kalemler!$D183),DAY(EOMONTH((Tahmin!$C$4+28),0))))&lt;=(Tahmin!$C$4+34),DATE(YEAR((Tahmin!$C$4+28)),MONTH((Tahmin!$C$4+28)),MIN(DAY(Kalemler!$D183),DAY(EOMONTH((Tahmin!$C$4+28),0))))&gt;=Kalemler!$D183),AND(DATE(YEAR((Tahmin!$C$4+34)),MONTH((Tahmin!$C$4+34)),MIN(DAY(Kalemler!$D183),DAY(EOMONTH((Tahmin!$C$4+34),0))))&gt;=(Tahmin!$C$4+28),DATE(YEAR((Tahmin!$C$4+34)),MONTH((Tahmin!$C$4+34)),MIN(DAY(Kalemler!$D183),DAY(EOMONTH((Tahmin!$C$4+34),0))))&lt;=(Tahmin!$C$4+34),DATE(YEAR((Tahmin!$C$4+34)),MONTH((Tahmin!$C$4+34)),MIN(DAY(Kalemler!$D183),DAY(EOMONTH((Tahmin!$C$4+34),0))))&lt;&gt;DATE(YEAR((Tahmin!$C$4+28)),MONTH((Tahmin!$C$4+28)),MIN(DAY(Kalemler!$D183),DAY(EOMONTH((Tahmin!$C$4+28),0)))),DATE(YEAR((Tahmin!$C$4+34)),MONTH((Tahmin!$C$4+34)),MIN(DAY(Kalemler!$D183),DAY(EOMONTH((Tahmin!$C$4+34),0))))&gt;=Kalemler!$D183)),1,0),IF(AND(Kalemler!$D183&gt;=(Tahmin!$C$4+28),Kalemler!$D183&lt;=(Tahmin!$C$4+34)),1,0))))</f>
        <v>0</v>
      </c>
      <c r="G183" s="0" t="n">
        <f aca="false">IF(OR(Kalemler!$A183="",Kalemler!$C183="",Kalemler!$D183=""),0,Kalemler!$C183*IF(Kalemler!$E183="Haftalık",IF(Kalemler!$D183&lt;=(Tahmin!$C$4+41),1,0),IF(Kalemler!$E183="Aylık",IF(OR(AND(DATE(YEAR((Tahmin!$C$4+35)),MONTH((Tahmin!$C$4+35)),MIN(DAY(Kalemler!$D183),DAY(EOMONTH((Tahmin!$C$4+35),0))))&gt;=(Tahmin!$C$4+35),DATE(YEAR((Tahmin!$C$4+35)),MONTH((Tahmin!$C$4+35)),MIN(DAY(Kalemler!$D183),DAY(EOMONTH((Tahmin!$C$4+35),0))))&lt;=(Tahmin!$C$4+41),DATE(YEAR((Tahmin!$C$4+35)),MONTH((Tahmin!$C$4+35)),MIN(DAY(Kalemler!$D183),DAY(EOMONTH((Tahmin!$C$4+35),0))))&gt;=Kalemler!$D183),AND(DATE(YEAR((Tahmin!$C$4+41)),MONTH((Tahmin!$C$4+41)),MIN(DAY(Kalemler!$D183),DAY(EOMONTH((Tahmin!$C$4+41),0))))&gt;=(Tahmin!$C$4+35),DATE(YEAR((Tahmin!$C$4+41)),MONTH((Tahmin!$C$4+41)),MIN(DAY(Kalemler!$D183),DAY(EOMONTH((Tahmin!$C$4+41),0))))&lt;=(Tahmin!$C$4+41),DATE(YEAR((Tahmin!$C$4+41)),MONTH((Tahmin!$C$4+41)),MIN(DAY(Kalemler!$D183),DAY(EOMONTH((Tahmin!$C$4+41),0))))&lt;&gt;DATE(YEAR((Tahmin!$C$4+35)),MONTH((Tahmin!$C$4+35)),MIN(DAY(Kalemler!$D183),DAY(EOMONTH((Tahmin!$C$4+35),0)))),DATE(YEAR((Tahmin!$C$4+41)),MONTH((Tahmin!$C$4+41)),MIN(DAY(Kalemler!$D183),DAY(EOMONTH((Tahmin!$C$4+41),0))))&gt;=Kalemler!$D183)),1,0),IF(AND(Kalemler!$D183&gt;=(Tahmin!$C$4+35),Kalemler!$D183&lt;=(Tahmin!$C$4+41)),1,0))))</f>
        <v>0</v>
      </c>
      <c r="H183" s="0" t="n">
        <f aca="false">IF(OR(Kalemler!$A183="",Kalemler!$C183="",Kalemler!$D183=""),0,Kalemler!$C183*IF(Kalemler!$E183="Haftalık",IF(Kalemler!$D183&lt;=(Tahmin!$C$4+48),1,0),IF(Kalemler!$E183="Aylık",IF(OR(AND(DATE(YEAR((Tahmin!$C$4+42)),MONTH((Tahmin!$C$4+42)),MIN(DAY(Kalemler!$D183),DAY(EOMONTH((Tahmin!$C$4+42),0))))&gt;=(Tahmin!$C$4+42),DATE(YEAR((Tahmin!$C$4+42)),MONTH((Tahmin!$C$4+42)),MIN(DAY(Kalemler!$D183),DAY(EOMONTH((Tahmin!$C$4+42),0))))&lt;=(Tahmin!$C$4+48),DATE(YEAR((Tahmin!$C$4+42)),MONTH((Tahmin!$C$4+42)),MIN(DAY(Kalemler!$D183),DAY(EOMONTH((Tahmin!$C$4+42),0))))&gt;=Kalemler!$D183),AND(DATE(YEAR((Tahmin!$C$4+48)),MONTH((Tahmin!$C$4+48)),MIN(DAY(Kalemler!$D183),DAY(EOMONTH((Tahmin!$C$4+48),0))))&gt;=(Tahmin!$C$4+42),DATE(YEAR((Tahmin!$C$4+48)),MONTH((Tahmin!$C$4+48)),MIN(DAY(Kalemler!$D183),DAY(EOMONTH((Tahmin!$C$4+48),0))))&lt;=(Tahmin!$C$4+48),DATE(YEAR((Tahmin!$C$4+48)),MONTH((Tahmin!$C$4+48)),MIN(DAY(Kalemler!$D183),DAY(EOMONTH((Tahmin!$C$4+48),0))))&lt;&gt;DATE(YEAR((Tahmin!$C$4+42)),MONTH((Tahmin!$C$4+42)),MIN(DAY(Kalemler!$D183),DAY(EOMONTH((Tahmin!$C$4+42),0)))),DATE(YEAR((Tahmin!$C$4+48)),MONTH((Tahmin!$C$4+48)),MIN(DAY(Kalemler!$D183),DAY(EOMONTH((Tahmin!$C$4+48),0))))&gt;=Kalemler!$D183)),1,0),IF(AND(Kalemler!$D183&gt;=(Tahmin!$C$4+42),Kalemler!$D183&lt;=(Tahmin!$C$4+48)),1,0))))</f>
        <v>0</v>
      </c>
      <c r="I183" s="0" t="n">
        <f aca="false">IF(OR(Kalemler!$A183="",Kalemler!$C183="",Kalemler!$D183=""),0,Kalemler!$C183*IF(Kalemler!$E183="Haftalık",IF(Kalemler!$D183&lt;=(Tahmin!$C$4+55),1,0),IF(Kalemler!$E183="Aylık",IF(OR(AND(DATE(YEAR((Tahmin!$C$4+49)),MONTH((Tahmin!$C$4+49)),MIN(DAY(Kalemler!$D183),DAY(EOMONTH((Tahmin!$C$4+49),0))))&gt;=(Tahmin!$C$4+49),DATE(YEAR((Tahmin!$C$4+49)),MONTH((Tahmin!$C$4+49)),MIN(DAY(Kalemler!$D183),DAY(EOMONTH((Tahmin!$C$4+49),0))))&lt;=(Tahmin!$C$4+55),DATE(YEAR((Tahmin!$C$4+49)),MONTH((Tahmin!$C$4+49)),MIN(DAY(Kalemler!$D183),DAY(EOMONTH((Tahmin!$C$4+49),0))))&gt;=Kalemler!$D183),AND(DATE(YEAR((Tahmin!$C$4+55)),MONTH((Tahmin!$C$4+55)),MIN(DAY(Kalemler!$D183),DAY(EOMONTH((Tahmin!$C$4+55),0))))&gt;=(Tahmin!$C$4+49),DATE(YEAR((Tahmin!$C$4+55)),MONTH((Tahmin!$C$4+55)),MIN(DAY(Kalemler!$D183),DAY(EOMONTH((Tahmin!$C$4+55),0))))&lt;=(Tahmin!$C$4+55),DATE(YEAR((Tahmin!$C$4+55)),MONTH((Tahmin!$C$4+55)),MIN(DAY(Kalemler!$D183),DAY(EOMONTH((Tahmin!$C$4+55),0))))&lt;&gt;DATE(YEAR((Tahmin!$C$4+49)),MONTH((Tahmin!$C$4+49)),MIN(DAY(Kalemler!$D183),DAY(EOMONTH((Tahmin!$C$4+49),0)))),DATE(YEAR((Tahmin!$C$4+55)),MONTH((Tahmin!$C$4+55)),MIN(DAY(Kalemler!$D183),DAY(EOMONTH((Tahmin!$C$4+55),0))))&gt;=Kalemler!$D183)),1,0),IF(AND(Kalemler!$D183&gt;=(Tahmin!$C$4+49),Kalemler!$D183&lt;=(Tahmin!$C$4+55)),1,0))))</f>
        <v>0</v>
      </c>
      <c r="J183" s="0" t="n">
        <f aca="false">IF(OR(Kalemler!$A183="",Kalemler!$C183="",Kalemler!$D183=""),0,Kalemler!$C183*IF(Kalemler!$E183="Haftalık",IF(Kalemler!$D183&lt;=(Tahmin!$C$4+62),1,0),IF(Kalemler!$E183="Aylık",IF(OR(AND(DATE(YEAR((Tahmin!$C$4+56)),MONTH((Tahmin!$C$4+56)),MIN(DAY(Kalemler!$D183),DAY(EOMONTH((Tahmin!$C$4+56),0))))&gt;=(Tahmin!$C$4+56),DATE(YEAR((Tahmin!$C$4+56)),MONTH((Tahmin!$C$4+56)),MIN(DAY(Kalemler!$D183),DAY(EOMONTH((Tahmin!$C$4+56),0))))&lt;=(Tahmin!$C$4+62),DATE(YEAR((Tahmin!$C$4+56)),MONTH((Tahmin!$C$4+56)),MIN(DAY(Kalemler!$D183),DAY(EOMONTH((Tahmin!$C$4+56),0))))&gt;=Kalemler!$D183),AND(DATE(YEAR((Tahmin!$C$4+62)),MONTH((Tahmin!$C$4+62)),MIN(DAY(Kalemler!$D183),DAY(EOMONTH((Tahmin!$C$4+62),0))))&gt;=(Tahmin!$C$4+56),DATE(YEAR((Tahmin!$C$4+62)),MONTH((Tahmin!$C$4+62)),MIN(DAY(Kalemler!$D183),DAY(EOMONTH((Tahmin!$C$4+62),0))))&lt;=(Tahmin!$C$4+62),DATE(YEAR((Tahmin!$C$4+62)),MONTH((Tahmin!$C$4+62)),MIN(DAY(Kalemler!$D183),DAY(EOMONTH((Tahmin!$C$4+62),0))))&lt;&gt;DATE(YEAR((Tahmin!$C$4+56)),MONTH((Tahmin!$C$4+56)),MIN(DAY(Kalemler!$D183),DAY(EOMONTH((Tahmin!$C$4+56),0)))),DATE(YEAR((Tahmin!$C$4+62)),MONTH((Tahmin!$C$4+62)),MIN(DAY(Kalemler!$D183),DAY(EOMONTH((Tahmin!$C$4+62),0))))&gt;=Kalemler!$D183)),1,0),IF(AND(Kalemler!$D183&gt;=(Tahmin!$C$4+56),Kalemler!$D183&lt;=(Tahmin!$C$4+62)),1,0))))</f>
        <v>0</v>
      </c>
      <c r="K183" s="0" t="n">
        <f aca="false">IF(OR(Kalemler!$A183="",Kalemler!$C183="",Kalemler!$D183=""),0,Kalemler!$C183*IF(Kalemler!$E183="Haftalık",IF(Kalemler!$D183&lt;=(Tahmin!$C$4+69),1,0),IF(Kalemler!$E183="Aylık",IF(OR(AND(DATE(YEAR((Tahmin!$C$4+63)),MONTH((Tahmin!$C$4+63)),MIN(DAY(Kalemler!$D183),DAY(EOMONTH((Tahmin!$C$4+63),0))))&gt;=(Tahmin!$C$4+63),DATE(YEAR((Tahmin!$C$4+63)),MONTH((Tahmin!$C$4+63)),MIN(DAY(Kalemler!$D183),DAY(EOMONTH((Tahmin!$C$4+63),0))))&lt;=(Tahmin!$C$4+69),DATE(YEAR((Tahmin!$C$4+63)),MONTH((Tahmin!$C$4+63)),MIN(DAY(Kalemler!$D183),DAY(EOMONTH((Tahmin!$C$4+63),0))))&gt;=Kalemler!$D183),AND(DATE(YEAR((Tahmin!$C$4+69)),MONTH((Tahmin!$C$4+69)),MIN(DAY(Kalemler!$D183),DAY(EOMONTH((Tahmin!$C$4+69),0))))&gt;=(Tahmin!$C$4+63),DATE(YEAR((Tahmin!$C$4+69)),MONTH((Tahmin!$C$4+69)),MIN(DAY(Kalemler!$D183),DAY(EOMONTH((Tahmin!$C$4+69),0))))&lt;=(Tahmin!$C$4+69),DATE(YEAR((Tahmin!$C$4+69)),MONTH((Tahmin!$C$4+69)),MIN(DAY(Kalemler!$D183),DAY(EOMONTH((Tahmin!$C$4+69),0))))&lt;&gt;DATE(YEAR((Tahmin!$C$4+63)),MONTH((Tahmin!$C$4+63)),MIN(DAY(Kalemler!$D183),DAY(EOMONTH((Tahmin!$C$4+63),0)))),DATE(YEAR((Tahmin!$C$4+69)),MONTH((Tahmin!$C$4+69)),MIN(DAY(Kalemler!$D183),DAY(EOMONTH((Tahmin!$C$4+69),0))))&gt;=Kalemler!$D183)),1,0),IF(AND(Kalemler!$D183&gt;=(Tahmin!$C$4+63),Kalemler!$D183&lt;=(Tahmin!$C$4+69)),1,0))))</f>
        <v>0</v>
      </c>
      <c r="L183" s="0" t="n">
        <f aca="false">IF(OR(Kalemler!$A183="",Kalemler!$C183="",Kalemler!$D183=""),0,Kalemler!$C183*IF(Kalemler!$E183="Haftalık",IF(Kalemler!$D183&lt;=(Tahmin!$C$4+76),1,0),IF(Kalemler!$E183="Aylık",IF(OR(AND(DATE(YEAR((Tahmin!$C$4+70)),MONTH((Tahmin!$C$4+70)),MIN(DAY(Kalemler!$D183),DAY(EOMONTH((Tahmin!$C$4+70),0))))&gt;=(Tahmin!$C$4+70),DATE(YEAR((Tahmin!$C$4+70)),MONTH((Tahmin!$C$4+70)),MIN(DAY(Kalemler!$D183),DAY(EOMONTH((Tahmin!$C$4+70),0))))&lt;=(Tahmin!$C$4+76),DATE(YEAR((Tahmin!$C$4+70)),MONTH((Tahmin!$C$4+70)),MIN(DAY(Kalemler!$D183),DAY(EOMONTH((Tahmin!$C$4+70),0))))&gt;=Kalemler!$D183),AND(DATE(YEAR((Tahmin!$C$4+76)),MONTH((Tahmin!$C$4+76)),MIN(DAY(Kalemler!$D183),DAY(EOMONTH((Tahmin!$C$4+76),0))))&gt;=(Tahmin!$C$4+70),DATE(YEAR((Tahmin!$C$4+76)),MONTH((Tahmin!$C$4+76)),MIN(DAY(Kalemler!$D183),DAY(EOMONTH((Tahmin!$C$4+76),0))))&lt;=(Tahmin!$C$4+76),DATE(YEAR((Tahmin!$C$4+76)),MONTH((Tahmin!$C$4+76)),MIN(DAY(Kalemler!$D183),DAY(EOMONTH((Tahmin!$C$4+76),0))))&lt;&gt;DATE(YEAR((Tahmin!$C$4+70)),MONTH((Tahmin!$C$4+70)),MIN(DAY(Kalemler!$D183),DAY(EOMONTH((Tahmin!$C$4+70),0)))),DATE(YEAR((Tahmin!$C$4+76)),MONTH((Tahmin!$C$4+76)),MIN(DAY(Kalemler!$D183),DAY(EOMONTH((Tahmin!$C$4+76),0))))&gt;=Kalemler!$D183)),1,0),IF(AND(Kalemler!$D183&gt;=(Tahmin!$C$4+70),Kalemler!$D183&lt;=(Tahmin!$C$4+76)),1,0))))</f>
        <v>0</v>
      </c>
      <c r="M183" s="0" t="n">
        <f aca="false">IF(OR(Kalemler!$A183="",Kalemler!$C183="",Kalemler!$D183=""),0,Kalemler!$C183*IF(Kalemler!$E183="Haftalık",IF(Kalemler!$D183&lt;=(Tahmin!$C$4+83),1,0),IF(Kalemler!$E183="Aylık",IF(OR(AND(DATE(YEAR((Tahmin!$C$4+77)),MONTH((Tahmin!$C$4+77)),MIN(DAY(Kalemler!$D183),DAY(EOMONTH((Tahmin!$C$4+77),0))))&gt;=(Tahmin!$C$4+77),DATE(YEAR((Tahmin!$C$4+77)),MONTH((Tahmin!$C$4+77)),MIN(DAY(Kalemler!$D183),DAY(EOMONTH((Tahmin!$C$4+77),0))))&lt;=(Tahmin!$C$4+83),DATE(YEAR((Tahmin!$C$4+77)),MONTH((Tahmin!$C$4+77)),MIN(DAY(Kalemler!$D183),DAY(EOMONTH((Tahmin!$C$4+77),0))))&gt;=Kalemler!$D183),AND(DATE(YEAR((Tahmin!$C$4+83)),MONTH((Tahmin!$C$4+83)),MIN(DAY(Kalemler!$D183),DAY(EOMONTH((Tahmin!$C$4+83),0))))&gt;=(Tahmin!$C$4+77),DATE(YEAR((Tahmin!$C$4+83)),MONTH((Tahmin!$C$4+83)),MIN(DAY(Kalemler!$D183),DAY(EOMONTH((Tahmin!$C$4+83),0))))&lt;=(Tahmin!$C$4+83),DATE(YEAR((Tahmin!$C$4+83)),MONTH((Tahmin!$C$4+83)),MIN(DAY(Kalemler!$D183),DAY(EOMONTH((Tahmin!$C$4+83),0))))&lt;&gt;DATE(YEAR((Tahmin!$C$4+77)),MONTH((Tahmin!$C$4+77)),MIN(DAY(Kalemler!$D183),DAY(EOMONTH((Tahmin!$C$4+77),0)))),DATE(YEAR((Tahmin!$C$4+83)),MONTH((Tahmin!$C$4+83)),MIN(DAY(Kalemler!$D183),DAY(EOMONTH((Tahmin!$C$4+83),0))))&gt;=Kalemler!$D183)),1,0),IF(AND(Kalemler!$D183&gt;=(Tahmin!$C$4+77),Kalemler!$D183&lt;=(Tahmin!$C$4+83)),1,0))))</f>
        <v>0</v>
      </c>
      <c r="N183" s="0" t="n">
        <f aca="false">IF(OR(Kalemler!$A183="",Kalemler!$C183="",Kalemler!$D183=""),0,Kalemler!$C183*IF(Kalemler!$E183="Haftalık",IF(Kalemler!$D183&lt;=(Tahmin!$C$4+90),1,0),IF(Kalemler!$E183="Aylık",IF(OR(AND(DATE(YEAR((Tahmin!$C$4+84)),MONTH((Tahmin!$C$4+84)),MIN(DAY(Kalemler!$D183),DAY(EOMONTH((Tahmin!$C$4+84),0))))&gt;=(Tahmin!$C$4+84),DATE(YEAR((Tahmin!$C$4+84)),MONTH((Tahmin!$C$4+84)),MIN(DAY(Kalemler!$D183),DAY(EOMONTH((Tahmin!$C$4+84),0))))&lt;=(Tahmin!$C$4+90),DATE(YEAR((Tahmin!$C$4+84)),MONTH((Tahmin!$C$4+84)),MIN(DAY(Kalemler!$D183),DAY(EOMONTH((Tahmin!$C$4+84),0))))&gt;=Kalemler!$D183),AND(DATE(YEAR((Tahmin!$C$4+90)),MONTH((Tahmin!$C$4+90)),MIN(DAY(Kalemler!$D183),DAY(EOMONTH((Tahmin!$C$4+90),0))))&gt;=(Tahmin!$C$4+84),DATE(YEAR((Tahmin!$C$4+90)),MONTH((Tahmin!$C$4+90)),MIN(DAY(Kalemler!$D183),DAY(EOMONTH((Tahmin!$C$4+90),0))))&lt;=(Tahmin!$C$4+90),DATE(YEAR((Tahmin!$C$4+90)),MONTH((Tahmin!$C$4+90)),MIN(DAY(Kalemler!$D183),DAY(EOMONTH((Tahmin!$C$4+90),0))))&lt;&gt;DATE(YEAR((Tahmin!$C$4+84)),MONTH((Tahmin!$C$4+84)),MIN(DAY(Kalemler!$D183),DAY(EOMONTH((Tahmin!$C$4+84),0)))),DATE(YEAR((Tahmin!$C$4+90)),MONTH((Tahmin!$C$4+90)),MIN(DAY(Kalemler!$D183),DAY(EOMONTH((Tahmin!$C$4+90),0))))&gt;=Kalemler!$D183)),1,0),IF(AND(Kalemler!$D183&gt;=(Tahmin!$C$4+84),Kalemler!$D183&lt;=(Tahmin!$C$4+90)),1,0))))</f>
        <v>0</v>
      </c>
    </row>
    <row r="184" customFormat="false" ht="15" hidden="false" customHeight="false" outlineLevel="0" collapsed="false">
      <c r="A184" s="0" t="str">
        <f aca="false">IF(Kalemler!A184="","",Kalemler!A184)</f>
        <v/>
      </c>
      <c r="B184" s="0" t="n">
        <f aca="false">IF(OR(Kalemler!$A184="",Kalemler!$C184="",Kalemler!$D184=""),0,Kalemler!$C184*IF(Kalemler!$E184="Haftalık",IF(Kalemler!$D184&lt;=(Tahmin!$C$4+6),1,0),IF(Kalemler!$E184="Aylık",IF(OR(AND(DATE(YEAR((Tahmin!$C$4+0)),MONTH((Tahmin!$C$4+0)),MIN(DAY(Kalemler!$D184),DAY(EOMONTH((Tahmin!$C$4+0),0))))&gt;=(Tahmin!$C$4+0),DATE(YEAR((Tahmin!$C$4+0)),MONTH((Tahmin!$C$4+0)),MIN(DAY(Kalemler!$D184),DAY(EOMONTH((Tahmin!$C$4+0),0))))&lt;=(Tahmin!$C$4+6),DATE(YEAR((Tahmin!$C$4+0)),MONTH((Tahmin!$C$4+0)),MIN(DAY(Kalemler!$D184),DAY(EOMONTH((Tahmin!$C$4+0),0))))&gt;=Kalemler!$D184),AND(DATE(YEAR((Tahmin!$C$4+6)),MONTH((Tahmin!$C$4+6)),MIN(DAY(Kalemler!$D184),DAY(EOMONTH((Tahmin!$C$4+6),0))))&gt;=(Tahmin!$C$4+0),DATE(YEAR((Tahmin!$C$4+6)),MONTH((Tahmin!$C$4+6)),MIN(DAY(Kalemler!$D184),DAY(EOMONTH((Tahmin!$C$4+6),0))))&lt;=(Tahmin!$C$4+6),DATE(YEAR((Tahmin!$C$4+6)),MONTH((Tahmin!$C$4+6)),MIN(DAY(Kalemler!$D184),DAY(EOMONTH((Tahmin!$C$4+6),0))))&lt;&gt;DATE(YEAR((Tahmin!$C$4+0)),MONTH((Tahmin!$C$4+0)),MIN(DAY(Kalemler!$D184),DAY(EOMONTH((Tahmin!$C$4+0),0)))),DATE(YEAR((Tahmin!$C$4+6)),MONTH((Tahmin!$C$4+6)),MIN(DAY(Kalemler!$D184),DAY(EOMONTH((Tahmin!$C$4+6),0))))&gt;=Kalemler!$D184)),1,0),IF(AND(Kalemler!$D184&gt;=(Tahmin!$C$4+0),Kalemler!$D184&lt;=(Tahmin!$C$4+6)),1,0))))</f>
        <v>0</v>
      </c>
      <c r="C184" s="0" t="n">
        <f aca="false">IF(OR(Kalemler!$A184="",Kalemler!$C184="",Kalemler!$D184=""),0,Kalemler!$C184*IF(Kalemler!$E184="Haftalık",IF(Kalemler!$D184&lt;=(Tahmin!$C$4+13),1,0),IF(Kalemler!$E184="Aylık",IF(OR(AND(DATE(YEAR((Tahmin!$C$4+7)),MONTH((Tahmin!$C$4+7)),MIN(DAY(Kalemler!$D184),DAY(EOMONTH((Tahmin!$C$4+7),0))))&gt;=(Tahmin!$C$4+7),DATE(YEAR((Tahmin!$C$4+7)),MONTH((Tahmin!$C$4+7)),MIN(DAY(Kalemler!$D184),DAY(EOMONTH((Tahmin!$C$4+7),0))))&lt;=(Tahmin!$C$4+13),DATE(YEAR((Tahmin!$C$4+7)),MONTH((Tahmin!$C$4+7)),MIN(DAY(Kalemler!$D184),DAY(EOMONTH((Tahmin!$C$4+7),0))))&gt;=Kalemler!$D184),AND(DATE(YEAR((Tahmin!$C$4+13)),MONTH((Tahmin!$C$4+13)),MIN(DAY(Kalemler!$D184),DAY(EOMONTH((Tahmin!$C$4+13),0))))&gt;=(Tahmin!$C$4+7),DATE(YEAR((Tahmin!$C$4+13)),MONTH((Tahmin!$C$4+13)),MIN(DAY(Kalemler!$D184),DAY(EOMONTH((Tahmin!$C$4+13),0))))&lt;=(Tahmin!$C$4+13),DATE(YEAR((Tahmin!$C$4+13)),MONTH((Tahmin!$C$4+13)),MIN(DAY(Kalemler!$D184),DAY(EOMONTH((Tahmin!$C$4+13),0))))&lt;&gt;DATE(YEAR((Tahmin!$C$4+7)),MONTH((Tahmin!$C$4+7)),MIN(DAY(Kalemler!$D184),DAY(EOMONTH((Tahmin!$C$4+7),0)))),DATE(YEAR((Tahmin!$C$4+13)),MONTH((Tahmin!$C$4+13)),MIN(DAY(Kalemler!$D184),DAY(EOMONTH((Tahmin!$C$4+13),0))))&gt;=Kalemler!$D184)),1,0),IF(AND(Kalemler!$D184&gt;=(Tahmin!$C$4+7),Kalemler!$D184&lt;=(Tahmin!$C$4+13)),1,0))))</f>
        <v>0</v>
      </c>
      <c r="D184" s="0" t="n">
        <f aca="false">IF(OR(Kalemler!$A184="",Kalemler!$C184="",Kalemler!$D184=""),0,Kalemler!$C184*IF(Kalemler!$E184="Haftalık",IF(Kalemler!$D184&lt;=(Tahmin!$C$4+20),1,0),IF(Kalemler!$E184="Aylık",IF(OR(AND(DATE(YEAR((Tahmin!$C$4+14)),MONTH((Tahmin!$C$4+14)),MIN(DAY(Kalemler!$D184),DAY(EOMONTH((Tahmin!$C$4+14),0))))&gt;=(Tahmin!$C$4+14),DATE(YEAR((Tahmin!$C$4+14)),MONTH((Tahmin!$C$4+14)),MIN(DAY(Kalemler!$D184),DAY(EOMONTH((Tahmin!$C$4+14),0))))&lt;=(Tahmin!$C$4+20),DATE(YEAR((Tahmin!$C$4+14)),MONTH((Tahmin!$C$4+14)),MIN(DAY(Kalemler!$D184),DAY(EOMONTH((Tahmin!$C$4+14),0))))&gt;=Kalemler!$D184),AND(DATE(YEAR((Tahmin!$C$4+20)),MONTH((Tahmin!$C$4+20)),MIN(DAY(Kalemler!$D184),DAY(EOMONTH((Tahmin!$C$4+20),0))))&gt;=(Tahmin!$C$4+14),DATE(YEAR((Tahmin!$C$4+20)),MONTH((Tahmin!$C$4+20)),MIN(DAY(Kalemler!$D184),DAY(EOMONTH((Tahmin!$C$4+20),0))))&lt;=(Tahmin!$C$4+20),DATE(YEAR((Tahmin!$C$4+20)),MONTH((Tahmin!$C$4+20)),MIN(DAY(Kalemler!$D184),DAY(EOMONTH((Tahmin!$C$4+20),0))))&lt;&gt;DATE(YEAR((Tahmin!$C$4+14)),MONTH((Tahmin!$C$4+14)),MIN(DAY(Kalemler!$D184),DAY(EOMONTH((Tahmin!$C$4+14),0)))),DATE(YEAR((Tahmin!$C$4+20)),MONTH((Tahmin!$C$4+20)),MIN(DAY(Kalemler!$D184),DAY(EOMONTH((Tahmin!$C$4+20),0))))&gt;=Kalemler!$D184)),1,0),IF(AND(Kalemler!$D184&gt;=(Tahmin!$C$4+14),Kalemler!$D184&lt;=(Tahmin!$C$4+20)),1,0))))</f>
        <v>0</v>
      </c>
      <c r="E184" s="0" t="n">
        <f aca="false">IF(OR(Kalemler!$A184="",Kalemler!$C184="",Kalemler!$D184=""),0,Kalemler!$C184*IF(Kalemler!$E184="Haftalık",IF(Kalemler!$D184&lt;=(Tahmin!$C$4+27),1,0),IF(Kalemler!$E184="Aylık",IF(OR(AND(DATE(YEAR((Tahmin!$C$4+21)),MONTH((Tahmin!$C$4+21)),MIN(DAY(Kalemler!$D184),DAY(EOMONTH((Tahmin!$C$4+21),0))))&gt;=(Tahmin!$C$4+21),DATE(YEAR((Tahmin!$C$4+21)),MONTH((Tahmin!$C$4+21)),MIN(DAY(Kalemler!$D184),DAY(EOMONTH((Tahmin!$C$4+21),0))))&lt;=(Tahmin!$C$4+27),DATE(YEAR((Tahmin!$C$4+21)),MONTH((Tahmin!$C$4+21)),MIN(DAY(Kalemler!$D184),DAY(EOMONTH((Tahmin!$C$4+21),0))))&gt;=Kalemler!$D184),AND(DATE(YEAR((Tahmin!$C$4+27)),MONTH((Tahmin!$C$4+27)),MIN(DAY(Kalemler!$D184),DAY(EOMONTH((Tahmin!$C$4+27),0))))&gt;=(Tahmin!$C$4+21),DATE(YEAR((Tahmin!$C$4+27)),MONTH((Tahmin!$C$4+27)),MIN(DAY(Kalemler!$D184),DAY(EOMONTH((Tahmin!$C$4+27),0))))&lt;=(Tahmin!$C$4+27),DATE(YEAR((Tahmin!$C$4+27)),MONTH((Tahmin!$C$4+27)),MIN(DAY(Kalemler!$D184),DAY(EOMONTH((Tahmin!$C$4+27),0))))&lt;&gt;DATE(YEAR((Tahmin!$C$4+21)),MONTH((Tahmin!$C$4+21)),MIN(DAY(Kalemler!$D184),DAY(EOMONTH((Tahmin!$C$4+21),0)))),DATE(YEAR((Tahmin!$C$4+27)),MONTH((Tahmin!$C$4+27)),MIN(DAY(Kalemler!$D184),DAY(EOMONTH((Tahmin!$C$4+27),0))))&gt;=Kalemler!$D184)),1,0),IF(AND(Kalemler!$D184&gt;=(Tahmin!$C$4+21),Kalemler!$D184&lt;=(Tahmin!$C$4+27)),1,0))))</f>
        <v>0</v>
      </c>
      <c r="F184" s="0" t="n">
        <f aca="false">IF(OR(Kalemler!$A184="",Kalemler!$C184="",Kalemler!$D184=""),0,Kalemler!$C184*IF(Kalemler!$E184="Haftalık",IF(Kalemler!$D184&lt;=(Tahmin!$C$4+34),1,0),IF(Kalemler!$E184="Aylık",IF(OR(AND(DATE(YEAR((Tahmin!$C$4+28)),MONTH((Tahmin!$C$4+28)),MIN(DAY(Kalemler!$D184),DAY(EOMONTH((Tahmin!$C$4+28),0))))&gt;=(Tahmin!$C$4+28),DATE(YEAR((Tahmin!$C$4+28)),MONTH((Tahmin!$C$4+28)),MIN(DAY(Kalemler!$D184),DAY(EOMONTH((Tahmin!$C$4+28),0))))&lt;=(Tahmin!$C$4+34),DATE(YEAR((Tahmin!$C$4+28)),MONTH((Tahmin!$C$4+28)),MIN(DAY(Kalemler!$D184),DAY(EOMONTH((Tahmin!$C$4+28),0))))&gt;=Kalemler!$D184),AND(DATE(YEAR((Tahmin!$C$4+34)),MONTH((Tahmin!$C$4+34)),MIN(DAY(Kalemler!$D184),DAY(EOMONTH((Tahmin!$C$4+34),0))))&gt;=(Tahmin!$C$4+28),DATE(YEAR((Tahmin!$C$4+34)),MONTH((Tahmin!$C$4+34)),MIN(DAY(Kalemler!$D184),DAY(EOMONTH((Tahmin!$C$4+34),0))))&lt;=(Tahmin!$C$4+34),DATE(YEAR((Tahmin!$C$4+34)),MONTH((Tahmin!$C$4+34)),MIN(DAY(Kalemler!$D184),DAY(EOMONTH((Tahmin!$C$4+34),0))))&lt;&gt;DATE(YEAR((Tahmin!$C$4+28)),MONTH((Tahmin!$C$4+28)),MIN(DAY(Kalemler!$D184),DAY(EOMONTH((Tahmin!$C$4+28),0)))),DATE(YEAR((Tahmin!$C$4+34)),MONTH((Tahmin!$C$4+34)),MIN(DAY(Kalemler!$D184),DAY(EOMONTH((Tahmin!$C$4+34),0))))&gt;=Kalemler!$D184)),1,0),IF(AND(Kalemler!$D184&gt;=(Tahmin!$C$4+28),Kalemler!$D184&lt;=(Tahmin!$C$4+34)),1,0))))</f>
        <v>0</v>
      </c>
      <c r="G184" s="0" t="n">
        <f aca="false">IF(OR(Kalemler!$A184="",Kalemler!$C184="",Kalemler!$D184=""),0,Kalemler!$C184*IF(Kalemler!$E184="Haftalık",IF(Kalemler!$D184&lt;=(Tahmin!$C$4+41),1,0),IF(Kalemler!$E184="Aylık",IF(OR(AND(DATE(YEAR((Tahmin!$C$4+35)),MONTH((Tahmin!$C$4+35)),MIN(DAY(Kalemler!$D184),DAY(EOMONTH((Tahmin!$C$4+35),0))))&gt;=(Tahmin!$C$4+35),DATE(YEAR((Tahmin!$C$4+35)),MONTH((Tahmin!$C$4+35)),MIN(DAY(Kalemler!$D184),DAY(EOMONTH((Tahmin!$C$4+35),0))))&lt;=(Tahmin!$C$4+41),DATE(YEAR((Tahmin!$C$4+35)),MONTH((Tahmin!$C$4+35)),MIN(DAY(Kalemler!$D184),DAY(EOMONTH((Tahmin!$C$4+35),0))))&gt;=Kalemler!$D184),AND(DATE(YEAR((Tahmin!$C$4+41)),MONTH((Tahmin!$C$4+41)),MIN(DAY(Kalemler!$D184),DAY(EOMONTH((Tahmin!$C$4+41),0))))&gt;=(Tahmin!$C$4+35),DATE(YEAR((Tahmin!$C$4+41)),MONTH((Tahmin!$C$4+41)),MIN(DAY(Kalemler!$D184),DAY(EOMONTH((Tahmin!$C$4+41),0))))&lt;=(Tahmin!$C$4+41),DATE(YEAR((Tahmin!$C$4+41)),MONTH((Tahmin!$C$4+41)),MIN(DAY(Kalemler!$D184),DAY(EOMONTH((Tahmin!$C$4+41),0))))&lt;&gt;DATE(YEAR((Tahmin!$C$4+35)),MONTH((Tahmin!$C$4+35)),MIN(DAY(Kalemler!$D184),DAY(EOMONTH((Tahmin!$C$4+35),0)))),DATE(YEAR((Tahmin!$C$4+41)),MONTH((Tahmin!$C$4+41)),MIN(DAY(Kalemler!$D184),DAY(EOMONTH((Tahmin!$C$4+41),0))))&gt;=Kalemler!$D184)),1,0),IF(AND(Kalemler!$D184&gt;=(Tahmin!$C$4+35),Kalemler!$D184&lt;=(Tahmin!$C$4+41)),1,0))))</f>
        <v>0</v>
      </c>
      <c r="H184" s="0" t="n">
        <f aca="false">IF(OR(Kalemler!$A184="",Kalemler!$C184="",Kalemler!$D184=""),0,Kalemler!$C184*IF(Kalemler!$E184="Haftalık",IF(Kalemler!$D184&lt;=(Tahmin!$C$4+48),1,0),IF(Kalemler!$E184="Aylık",IF(OR(AND(DATE(YEAR((Tahmin!$C$4+42)),MONTH((Tahmin!$C$4+42)),MIN(DAY(Kalemler!$D184),DAY(EOMONTH((Tahmin!$C$4+42),0))))&gt;=(Tahmin!$C$4+42),DATE(YEAR((Tahmin!$C$4+42)),MONTH((Tahmin!$C$4+42)),MIN(DAY(Kalemler!$D184),DAY(EOMONTH((Tahmin!$C$4+42),0))))&lt;=(Tahmin!$C$4+48),DATE(YEAR((Tahmin!$C$4+42)),MONTH((Tahmin!$C$4+42)),MIN(DAY(Kalemler!$D184),DAY(EOMONTH((Tahmin!$C$4+42),0))))&gt;=Kalemler!$D184),AND(DATE(YEAR((Tahmin!$C$4+48)),MONTH((Tahmin!$C$4+48)),MIN(DAY(Kalemler!$D184),DAY(EOMONTH((Tahmin!$C$4+48),0))))&gt;=(Tahmin!$C$4+42),DATE(YEAR((Tahmin!$C$4+48)),MONTH((Tahmin!$C$4+48)),MIN(DAY(Kalemler!$D184),DAY(EOMONTH((Tahmin!$C$4+48),0))))&lt;=(Tahmin!$C$4+48),DATE(YEAR((Tahmin!$C$4+48)),MONTH((Tahmin!$C$4+48)),MIN(DAY(Kalemler!$D184),DAY(EOMONTH((Tahmin!$C$4+48),0))))&lt;&gt;DATE(YEAR((Tahmin!$C$4+42)),MONTH((Tahmin!$C$4+42)),MIN(DAY(Kalemler!$D184),DAY(EOMONTH((Tahmin!$C$4+42),0)))),DATE(YEAR((Tahmin!$C$4+48)),MONTH((Tahmin!$C$4+48)),MIN(DAY(Kalemler!$D184),DAY(EOMONTH((Tahmin!$C$4+48),0))))&gt;=Kalemler!$D184)),1,0),IF(AND(Kalemler!$D184&gt;=(Tahmin!$C$4+42),Kalemler!$D184&lt;=(Tahmin!$C$4+48)),1,0))))</f>
        <v>0</v>
      </c>
      <c r="I184" s="0" t="n">
        <f aca="false">IF(OR(Kalemler!$A184="",Kalemler!$C184="",Kalemler!$D184=""),0,Kalemler!$C184*IF(Kalemler!$E184="Haftalık",IF(Kalemler!$D184&lt;=(Tahmin!$C$4+55),1,0),IF(Kalemler!$E184="Aylık",IF(OR(AND(DATE(YEAR((Tahmin!$C$4+49)),MONTH((Tahmin!$C$4+49)),MIN(DAY(Kalemler!$D184),DAY(EOMONTH((Tahmin!$C$4+49),0))))&gt;=(Tahmin!$C$4+49),DATE(YEAR((Tahmin!$C$4+49)),MONTH((Tahmin!$C$4+49)),MIN(DAY(Kalemler!$D184),DAY(EOMONTH((Tahmin!$C$4+49),0))))&lt;=(Tahmin!$C$4+55),DATE(YEAR((Tahmin!$C$4+49)),MONTH((Tahmin!$C$4+49)),MIN(DAY(Kalemler!$D184),DAY(EOMONTH((Tahmin!$C$4+49),0))))&gt;=Kalemler!$D184),AND(DATE(YEAR((Tahmin!$C$4+55)),MONTH((Tahmin!$C$4+55)),MIN(DAY(Kalemler!$D184),DAY(EOMONTH((Tahmin!$C$4+55),0))))&gt;=(Tahmin!$C$4+49),DATE(YEAR((Tahmin!$C$4+55)),MONTH((Tahmin!$C$4+55)),MIN(DAY(Kalemler!$D184),DAY(EOMONTH((Tahmin!$C$4+55),0))))&lt;=(Tahmin!$C$4+55),DATE(YEAR((Tahmin!$C$4+55)),MONTH((Tahmin!$C$4+55)),MIN(DAY(Kalemler!$D184),DAY(EOMONTH((Tahmin!$C$4+55),0))))&lt;&gt;DATE(YEAR((Tahmin!$C$4+49)),MONTH((Tahmin!$C$4+49)),MIN(DAY(Kalemler!$D184),DAY(EOMONTH((Tahmin!$C$4+49),0)))),DATE(YEAR((Tahmin!$C$4+55)),MONTH((Tahmin!$C$4+55)),MIN(DAY(Kalemler!$D184),DAY(EOMONTH((Tahmin!$C$4+55),0))))&gt;=Kalemler!$D184)),1,0),IF(AND(Kalemler!$D184&gt;=(Tahmin!$C$4+49),Kalemler!$D184&lt;=(Tahmin!$C$4+55)),1,0))))</f>
        <v>0</v>
      </c>
      <c r="J184" s="0" t="n">
        <f aca="false">IF(OR(Kalemler!$A184="",Kalemler!$C184="",Kalemler!$D184=""),0,Kalemler!$C184*IF(Kalemler!$E184="Haftalık",IF(Kalemler!$D184&lt;=(Tahmin!$C$4+62),1,0),IF(Kalemler!$E184="Aylık",IF(OR(AND(DATE(YEAR((Tahmin!$C$4+56)),MONTH((Tahmin!$C$4+56)),MIN(DAY(Kalemler!$D184),DAY(EOMONTH((Tahmin!$C$4+56),0))))&gt;=(Tahmin!$C$4+56),DATE(YEAR((Tahmin!$C$4+56)),MONTH((Tahmin!$C$4+56)),MIN(DAY(Kalemler!$D184),DAY(EOMONTH((Tahmin!$C$4+56),0))))&lt;=(Tahmin!$C$4+62),DATE(YEAR((Tahmin!$C$4+56)),MONTH((Tahmin!$C$4+56)),MIN(DAY(Kalemler!$D184),DAY(EOMONTH((Tahmin!$C$4+56),0))))&gt;=Kalemler!$D184),AND(DATE(YEAR((Tahmin!$C$4+62)),MONTH((Tahmin!$C$4+62)),MIN(DAY(Kalemler!$D184),DAY(EOMONTH((Tahmin!$C$4+62),0))))&gt;=(Tahmin!$C$4+56),DATE(YEAR((Tahmin!$C$4+62)),MONTH((Tahmin!$C$4+62)),MIN(DAY(Kalemler!$D184),DAY(EOMONTH((Tahmin!$C$4+62),0))))&lt;=(Tahmin!$C$4+62),DATE(YEAR((Tahmin!$C$4+62)),MONTH((Tahmin!$C$4+62)),MIN(DAY(Kalemler!$D184),DAY(EOMONTH((Tahmin!$C$4+62),0))))&lt;&gt;DATE(YEAR((Tahmin!$C$4+56)),MONTH((Tahmin!$C$4+56)),MIN(DAY(Kalemler!$D184),DAY(EOMONTH((Tahmin!$C$4+56),0)))),DATE(YEAR((Tahmin!$C$4+62)),MONTH((Tahmin!$C$4+62)),MIN(DAY(Kalemler!$D184),DAY(EOMONTH((Tahmin!$C$4+62),0))))&gt;=Kalemler!$D184)),1,0),IF(AND(Kalemler!$D184&gt;=(Tahmin!$C$4+56),Kalemler!$D184&lt;=(Tahmin!$C$4+62)),1,0))))</f>
        <v>0</v>
      </c>
      <c r="K184" s="0" t="n">
        <f aca="false">IF(OR(Kalemler!$A184="",Kalemler!$C184="",Kalemler!$D184=""),0,Kalemler!$C184*IF(Kalemler!$E184="Haftalık",IF(Kalemler!$D184&lt;=(Tahmin!$C$4+69),1,0),IF(Kalemler!$E184="Aylık",IF(OR(AND(DATE(YEAR((Tahmin!$C$4+63)),MONTH((Tahmin!$C$4+63)),MIN(DAY(Kalemler!$D184),DAY(EOMONTH((Tahmin!$C$4+63),0))))&gt;=(Tahmin!$C$4+63),DATE(YEAR((Tahmin!$C$4+63)),MONTH((Tahmin!$C$4+63)),MIN(DAY(Kalemler!$D184),DAY(EOMONTH((Tahmin!$C$4+63),0))))&lt;=(Tahmin!$C$4+69),DATE(YEAR((Tahmin!$C$4+63)),MONTH((Tahmin!$C$4+63)),MIN(DAY(Kalemler!$D184),DAY(EOMONTH((Tahmin!$C$4+63),0))))&gt;=Kalemler!$D184),AND(DATE(YEAR((Tahmin!$C$4+69)),MONTH((Tahmin!$C$4+69)),MIN(DAY(Kalemler!$D184),DAY(EOMONTH((Tahmin!$C$4+69),0))))&gt;=(Tahmin!$C$4+63),DATE(YEAR((Tahmin!$C$4+69)),MONTH((Tahmin!$C$4+69)),MIN(DAY(Kalemler!$D184),DAY(EOMONTH((Tahmin!$C$4+69),0))))&lt;=(Tahmin!$C$4+69),DATE(YEAR((Tahmin!$C$4+69)),MONTH((Tahmin!$C$4+69)),MIN(DAY(Kalemler!$D184),DAY(EOMONTH((Tahmin!$C$4+69),0))))&lt;&gt;DATE(YEAR((Tahmin!$C$4+63)),MONTH((Tahmin!$C$4+63)),MIN(DAY(Kalemler!$D184),DAY(EOMONTH((Tahmin!$C$4+63),0)))),DATE(YEAR((Tahmin!$C$4+69)),MONTH((Tahmin!$C$4+69)),MIN(DAY(Kalemler!$D184),DAY(EOMONTH((Tahmin!$C$4+69),0))))&gt;=Kalemler!$D184)),1,0),IF(AND(Kalemler!$D184&gt;=(Tahmin!$C$4+63),Kalemler!$D184&lt;=(Tahmin!$C$4+69)),1,0))))</f>
        <v>0</v>
      </c>
      <c r="L184" s="0" t="n">
        <f aca="false">IF(OR(Kalemler!$A184="",Kalemler!$C184="",Kalemler!$D184=""),0,Kalemler!$C184*IF(Kalemler!$E184="Haftalık",IF(Kalemler!$D184&lt;=(Tahmin!$C$4+76),1,0),IF(Kalemler!$E184="Aylık",IF(OR(AND(DATE(YEAR((Tahmin!$C$4+70)),MONTH((Tahmin!$C$4+70)),MIN(DAY(Kalemler!$D184),DAY(EOMONTH((Tahmin!$C$4+70),0))))&gt;=(Tahmin!$C$4+70),DATE(YEAR((Tahmin!$C$4+70)),MONTH((Tahmin!$C$4+70)),MIN(DAY(Kalemler!$D184),DAY(EOMONTH((Tahmin!$C$4+70),0))))&lt;=(Tahmin!$C$4+76),DATE(YEAR((Tahmin!$C$4+70)),MONTH((Tahmin!$C$4+70)),MIN(DAY(Kalemler!$D184),DAY(EOMONTH((Tahmin!$C$4+70),0))))&gt;=Kalemler!$D184),AND(DATE(YEAR((Tahmin!$C$4+76)),MONTH((Tahmin!$C$4+76)),MIN(DAY(Kalemler!$D184),DAY(EOMONTH((Tahmin!$C$4+76),0))))&gt;=(Tahmin!$C$4+70),DATE(YEAR((Tahmin!$C$4+76)),MONTH((Tahmin!$C$4+76)),MIN(DAY(Kalemler!$D184),DAY(EOMONTH((Tahmin!$C$4+76),0))))&lt;=(Tahmin!$C$4+76),DATE(YEAR((Tahmin!$C$4+76)),MONTH((Tahmin!$C$4+76)),MIN(DAY(Kalemler!$D184),DAY(EOMONTH((Tahmin!$C$4+76),0))))&lt;&gt;DATE(YEAR((Tahmin!$C$4+70)),MONTH((Tahmin!$C$4+70)),MIN(DAY(Kalemler!$D184),DAY(EOMONTH((Tahmin!$C$4+70),0)))),DATE(YEAR((Tahmin!$C$4+76)),MONTH((Tahmin!$C$4+76)),MIN(DAY(Kalemler!$D184),DAY(EOMONTH((Tahmin!$C$4+76),0))))&gt;=Kalemler!$D184)),1,0),IF(AND(Kalemler!$D184&gt;=(Tahmin!$C$4+70),Kalemler!$D184&lt;=(Tahmin!$C$4+76)),1,0))))</f>
        <v>0</v>
      </c>
      <c r="M184" s="0" t="n">
        <f aca="false">IF(OR(Kalemler!$A184="",Kalemler!$C184="",Kalemler!$D184=""),0,Kalemler!$C184*IF(Kalemler!$E184="Haftalık",IF(Kalemler!$D184&lt;=(Tahmin!$C$4+83),1,0),IF(Kalemler!$E184="Aylık",IF(OR(AND(DATE(YEAR((Tahmin!$C$4+77)),MONTH((Tahmin!$C$4+77)),MIN(DAY(Kalemler!$D184),DAY(EOMONTH((Tahmin!$C$4+77),0))))&gt;=(Tahmin!$C$4+77),DATE(YEAR((Tahmin!$C$4+77)),MONTH((Tahmin!$C$4+77)),MIN(DAY(Kalemler!$D184),DAY(EOMONTH((Tahmin!$C$4+77),0))))&lt;=(Tahmin!$C$4+83),DATE(YEAR((Tahmin!$C$4+77)),MONTH((Tahmin!$C$4+77)),MIN(DAY(Kalemler!$D184),DAY(EOMONTH((Tahmin!$C$4+77),0))))&gt;=Kalemler!$D184),AND(DATE(YEAR((Tahmin!$C$4+83)),MONTH((Tahmin!$C$4+83)),MIN(DAY(Kalemler!$D184),DAY(EOMONTH((Tahmin!$C$4+83),0))))&gt;=(Tahmin!$C$4+77),DATE(YEAR((Tahmin!$C$4+83)),MONTH((Tahmin!$C$4+83)),MIN(DAY(Kalemler!$D184),DAY(EOMONTH((Tahmin!$C$4+83),0))))&lt;=(Tahmin!$C$4+83),DATE(YEAR((Tahmin!$C$4+83)),MONTH((Tahmin!$C$4+83)),MIN(DAY(Kalemler!$D184),DAY(EOMONTH((Tahmin!$C$4+83),0))))&lt;&gt;DATE(YEAR((Tahmin!$C$4+77)),MONTH((Tahmin!$C$4+77)),MIN(DAY(Kalemler!$D184),DAY(EOMONTH((Tahmin!$C$4+77),0)))),DATE(YEAR((Tahmin!$C$4+83)),MONTH((Tahmin!$C$4+83)),MIN(DAY(Kalemler!$D184),DAY(EOMONTH((Tahmin!$C$4+83),0))))&gt;=Kalemler!$D184)),1,0),IF(AND(Kalemler!$D184&gt;=(Tahmin!$C$4+77),Kalemler!$D184&lt;=(Tahmin!$C$4+83)),1,0))))</f>
        <v>0</v>
      </c>
      <c r="N184" s="0" t="n">
        <f aca="false">IF(OR(Kalemler!$A184="",Kalemler!$C184="",Kalemler!$D184=""),0,Kalemler!$C184*IF(Kalemler!$E184="Haftalık",IF(Kalemler!$D184&lt;=(Tahmin!$C$4+90),1,0),IF(Kalemler!$E184="Aylık",IF(OR(AND(DATE(YEAR((Tahmin!$C$4+84)),MONTH((Tahmin!$C$4+84)),MIN(DAY(Kalemler!$D184),DAY(EOMONTH((Tahmin!$C$4+84),0))))&gt;=(Tahmin!$C$4+84),DATE(YEAR((Tahmin!$C$4+84)),MONTH((Tahmin!$C$4+84)),MIN(DAY(Kalemler!$D184),DAY(EOMONTH((Tahmin!$C$4+84),0))))&lt;=(Tahmin!$C$4+90),DATE(YEAR((Tahmin!$C$4+84)),MONTH((Tahmin!$C$4+84)),MIN(DAY(Kalemler!$D184),DAY(EOMONTH((Tahmin!$C$4+84),0))))&gt;=Kalemler!$D184),AND(DATE(YEAR((Tahmin!$C$4+90)),MONTH((Tahmin!$C$4+90)),MIN(DAY(Kalemler!$D184),DAY(EOMONTH((Tahmin!$C$4+90),0))))&gt;=(Tahmin!$C$4+84),DATE(YEAR((Tahmin!$C$4+90)),MONTH((Tahmin!$C$4+90)),MIN(DAY(Kalemler!$D184),DAY(EOMONTH((Tahmin!$C$4+90),0))))&lt;=(Tahmin!$C$4+90),DATE(YEAR((Tahmin!$C$4+90)),MONTH((Tahmin!$C$4+90)),MIN(DAY(Kalemler!$D184),DAY(EOMONTH((Tahmin!$C$4+90),0))))&lt;&gt;DATE(YEAR((Tahmin!$C$4+84)),MONTH((Tahmin!$C$4+84)),MIN(DAY(Kalemler!$D184),DAY(EOMONTH((Tahmin!$C$4+84),0)))),DATE(YEAR((Tahmin!$C$4+90)),MONTH((Tahmin!$C$4+90)),MIN(DAY(Kalemler!$D184),DAY(EOMONTH((Tahmin!$C$4+90),0))))&gt;=Kalemler!$D184)),1,0),IF(AND(Kalemler!$D184&gt;=(Tahmin!$C$4+84),Kalemler!$D184&lt;=(Tahmin!$C$4+90)),1,0))))</f>
        <v>0</v>
      </c>
    </row>
    <row r="185" customFormat="false" ht="15" hidden="false" customHeight="false" outlineLevel="0" collapsed="false">
      <c r="A185" s="0" t="str">
        <f aca="false">IF(Kalemler!A185="","",Kalemler!A185)</f>
        <v/>
      </c>
      <c r="B185" s="0" t="n">
        <f aca="false">IF(OR(Kalemler!$A185="",Kalemler!$C185="",Kalemler!$D185=""),0,Kalemler!$C185*IF(Kalemler!$E185="Haftalık",IF(Kalemler!$D185&lt;=(Tahmin!$C$4+6),1,0),IF(Kalemler!$E185="Aylık",IF(OR(AND(DATE(YEAR((Tahmin!$C$4+0)),MONTH((Tahmin!$C$4+0)),MIN(DAY(Kalemler!$D185),DAY(EOMONTH((Tahmin!$C$4+0),0))))&gt;=(Tahmin!$C$4+0),DATE(YEAR((Tahmin!$C$4+0)),MONTH((Tahmin!$C$4+0)),MIN(DAY(Kalemler!$D185),DAY(EOMONTH((Tahmin!$C$4+0),0))))&lt;=(Tahmin!$C$4+6),DATE(YEAR((Tahmin!$C$4+0)),MONTH((Tahmin!$C$4+0)),MIN(DAY(Kalemler!$D185),DAY(EOMONTH((Tahmin!$C$4+0),0))))&gt;=Kalemler!$D185),AND(DATE(YEAR((Tahmin!$C$4+6)),MONTH((Tahmin!$C$4+6)),MIN(DAY(Kalemler!$D185),DAY(EOMONTH((Tahmin!$C$4+6),0))))&gt;=(Tahmin!$C$4+0),DATE(YEAR((Tahmin!$C$4+6)),MONTH((Tahmin!$C$4+6)),MIN(DAY(Kalemler!$D185),DAY(EOMONTH((Tahmin!$C$4+6),0))))&lt;=(Tahmin!$C$4+6),DATE(YEAR((Tahmin!$C$4+6)),MONTH((Tahmin!$C$4+6)),MIN(DAY(Kalemler!$D185),DAY(EOMONTH((Tahmin!$C$4+6),0))))&lt;&gt;DATE(YEAR((Tahmin!$C$4+0)),MONTH((Tahmin!$C$4+0)),MIN(DAY(Kalemler!$D185),DAY(EOMONTH((Tahmin!$C$4+0),0)))),DATE(YEAR((Tahmin!$C$4+6)),MONTH((Tahmin!$C$4+6)),MIN(DAY(Kalemler!$D185),DAY(EOMONTH((Tahmin!$C$4+6),0))))&gt;=Kalemler!$D185)),1,0),IF(AND(Kalemler!$D185&gt;=(Tahmin!$C$4+0),Kalemler!$D185&lt;=(Tahmin!$C$4+6)),1,0))))</f>
        <v>0</v>
      </c>
      <c r="C185" s="0" t="n">
        <f aca="false">IF(OR(Kalemler!$A185="",Kalemler!$C185="",Kalemler!$D185=""),0,Kalemler!$C185*IF(Kalemler!$E185="Haftalık",IF(Kalemler!$D185&lt;=(Tahmin!$C$4+13),1,0),IF(Kalemler!$E185="Aylık",IF(OR(AND(DATE(YEAR((Tahmin!$C$4+7)),MONTH((Tahmin!$C$4+7)),MIN(DAY(Kalemler!$D185),DAY(EOMONTH((Tahmin!$C$4+7),0))))&gt;=(Tahmin!$C$4+7),DATE(YEAR((Tahmin!$C$4+7)),MONTH((Tahmin!$C$4+7)),MIN(DAY(Kalemler!$D185),DAY(EOMONTH((Tahmin!$C$4+7),0))))&lt;=(Tahmin!$C$4+13),DATE(YEAR((Tahmin!$C$4+7)),MONTH((Tahmin!$C$4+7)),MIN(DAY(Kalemler!$D185),DAY(EOMONTH((Tahmin!$C$4+7),0))))&gt;=Kalemler!$D185),AND(DATE(YEAR((Tahmin!$C$4+13)),MONTH((Tahmin!$C$4+13)),MIN(DAY(Kalemler!$D185),DAY(EOMONTH((Tahmin!$C$4+13),0))))&gt;=(Tahmin!$C$4+7),DATE(YEAR((Tahmin!$C$4+13)),MONTH((Tahmin!$C$4+13)),MIN(DAY(Kalemler!$D185),DAY(EOMONTH((Tahmin!$C$4+13),0))))&lt;=(Tahmin!$C$4+13),DATE(YEAR((Tahmin!$C$4+13)),MONTH((Tahmin!$C$4+13)),MIN(DAY(Kalemler!$D185),DAY(EOMONTH((Tahmin!$C$4+13),0))))&lt;&gt;DATE(YEAR((Tahmin!$C$4+7)),MONTH((Tahmin!$C$4+7)),MIN(DAY(Kalemler!$D185),DAY(EOMONTH((Tahmin!$C$4+7),0)))),DATE(YEAR((Tahmin!$C$4+13)),MONTH((Tahmin!$C$4+13)),MIN(DAY(Kalemler!$D185),DAY(EOMONTH((Tahmin!$C$4+13),0))))&gt;=Kalemler!$D185)),1,0),IF(AND(Kalemler!$D185&gt;=(Tahmin!$C$4+7),Kalemler!$D185&lt;=(Tahmin!$C$4+13)),1,0))))</f>
        <v>0</v>
      </c>
      <c r="D185" s="0" t="n">
        <f aca="false">IF(OR(Kalemler!$A185="",Kalemler!$C185="",Kalemler!$D185=""),0,Kalemler!$C185*IF(Kalemler!$E185="Haftalık",IF(Kalemler!$D185&lt;=(Tahmin!$C$4+20),1,0),IF(Kalemler!$E185="Aylık",IF(OR(AND(DATE(YEAR((Tahmin!$C$4+14)),MONTH((Tahmin!$C$4+14)),MIN(DAY(Kalemler!$D185),DAY(EOMONTH((Tahmin!$C$4+14),0))))&gt;=(Tahmin!$C$4+14),DATE(YEAR((Tahmin!$C$4+14)),MONTH((Tahmin!$C$4+14)),MIN(DAY(Kalemler!$D185),DAY(EOMONTH((Tahmin!$C$4+14),0))))&lt;=(Tahmin!$C$4+20),DATE(YEAR((Tahmin!$C$4+14)),MONTH((Tahmin!$C$4+14)),MIN(DAY(Kalemler!$D185),DAY(EOMONTH((Tahmin!$C$4+14),0))))&gt;=Kalemler!$D185),AND(DATE(YEAR((Tahmin!$C$4+20)),MONTH((Tahmin!$C$4+20)),MIN(DAY(Kalemler!$D185),DAY(EOMONTH((Tahmin!$C$4+20),0))))&gt;=(Tahmin!$C$4+14),DATE(YEAR((Tahmin!$C$4+20)),MONTH((Tahmin!$C$4+20)),MIN(DAY(Kalemler!$D185),DAY(EOMONTH((Tahmin!$C$4+20),0))))&lt;=(Tahmin!$C$4+20),DATE(YEAR((Tahmin!$C$4+20)),MONTH((Tahmin!$C$4+20)),MIN(DAY(Kalemler!$D185),DAY(EOMONTH((Tahmin!$C$4+20),0))))&lt;&gt;DATE(YEAR((Tahmin!$C$4+14)),MONTH((Tahmin!$C$4+14)),MIN(DAY(Kalemler!$D185),DAY(EOMONTH((Tahmin!$C$4+14),0)))),DATE(YEAR((Tahmin!$C$4+20)),MONTH((Tahmin!$C$4+20)),MIN(DAY(Kalemler!$D185),DAY(EOMONTH((Tahmin!$C$4+20),0))))&gt;=Kalemler!$D185)),1,0),IF(AND(Kalemler!$D185&gt;=(Tahmin!$C$4+14),Kalemler!$D185&lt;=(Tahmin!$C$4+20)),1,0))))</f>
        <v>0</v>
      </c>
      <c r="E185" s="0" t="n">
        <f aca="false">IF(OR(Kalemler!$A185="",Kalemler!$C185="",Kalemler!$D185=""),0,Kalemler!$C185*IF(Kalemler!$E185="Haftalık",IF(Kalemler!$D185&lt;=(Tahmin!$C$4+27),1,0),IF(Kalemler!$E185="Aylık",IF(OR(AND(DATE(YEAR((Tahmin!$C$4+21)),MONTH((Tahmin!$C$4+21)),MIN(DAY(Kalemler!$D185),DAY(EOMONTH((Tahmin!$C$4+21),0))))&gt;=(Tahmin!$C$4+21),DATE(YEAR((Tahmin!$C$4+21)),MONTH((Tahmin!$C$4+21)),MIN(DAY(Kalemler!$D185),DAY(EOMONTH((Tahmin!$C$4+21),0))))&lt;=(Tahmin!$C$4+27),DATE(YEAR((Tahmin!$C$4+21)),MONTH((Tahmin!$C$4+21)),MIN(DAY(Kalemler!$D185),DAY(EOMONTH((Tahmin!$C$4+21),0))))&gt;=Kalemler!$D185),AND(DATE(YEAR((Tahmin!$C$4+27)),MONTH((Tahmin!$C$4+27)),MIN(DAY(Kalemler!$D185),DAY(EOMONTH((Tahmin!$C$4+27),0))))&gt;=(Tahmin!$C$4+21),DATE(YEAR((Tahmin!$C$4+27)),MONTH((Tahmin!$C$4+27)),MIN(DAY(Kalemler!$D185),DAY(EOMONTH((Tahmin!$C$4+27),0))))&lt;=(Tahmin!$C$4+27),DATE(YEAR((Tahmin!$C$4+27)),MONTH((Tahmin!$C$4+27)),MIN(DAY(Kalemler!$D185),DAY(EOMONTH((Tahmin!$C$4+27),0))))&lt;&gt;DATE(YEAR((Tahmin!$C$4+21)),MONTH((Tahmin!$C$4+21)),MIN(DAY(Kalemler!$D185),DAY(EOMONTH((Tahmin!$C$4+21),0)))),DATE(YEAR((Tahmin!$C$4+27)),MONTH((Tahmin!$C$4+27)),MIN(DAY(Kalemler!$D185),DAY(EOMONTH((Tahmin!$C$4+27),0))))&gt;=Kalemler!$D185)),1,0),IF(AND(Kalemler!$D185&gt;=(Tahmin!$C$4+21),Kalemler!$D185&lt;=(Tahmin!$C$4+27)),1,0))))</f>
        <v>0</v>
      </c>
      <c r="F185" s="0" t="n">
        <f aca="false">IF(OR(Kalemler!$A185="",Kalemler!$C185="",Kalemler!$D185=""),0,Kalemler!$C185*IF(Kalemler!$E185="Haftalık",IF(Kalemler!$D185&lt;=(Tahmin!$C$4+34),1,0),IF(Kalemler!$E185="Aylık",IF(OR(AND(DATE(YEAR((Tahmin!$C$4+28)),MONTH((Tahmin!$C$4+28)),MIN(DAY(Kalemler!$D185),DAY(EOMONTH((Tahmin!$C$4+28),0))))&gt;=(Tahmin!$C$4+28),DATE(YEAR((Tahmin!$C$4+28)),MONTH((Tahmin!$C$4+28)),MIN(DAY(Kalemler!$D185),DAY(EOMONTH((Tahmin!$C$4+28),0))))&lt;=(Tahmin!$C$4+34),DATE(YEAR((Tahmin!$C$4+28)),MONTH((Tahmin!$C$4+28)),MIN(DAY(Kalemler!$D185),DAY(EOMONTH((Tahmin!$C$4+28),0))))&gt;=Kalemler!$D185),AND(DATE(YEAR((Tahmin!$C$4+34)),MONTH((Tahmin!$C$4+34)),MIN(DAY(Kalemler!$D185),DAY(EOMONTH((Tahmin!$C$4+34),0))))&gt;=(Tahmin!$C$4+28),DATE(YEAR((Tahmin!$C$4+34)),MONTH((Tahmin!$C$4+34)),MIN(DAY(Kalemler!$D185),DAY(EOMONTH((Tahmin!$C$4+34),0))))&lt;=(Tahmin!$C$4+34),DATE(YEAR((Tahmin!$C$4+34)),MONTH((Tahmin!$C$4+34)),MIN(DAY(Kalemler!$D185),DAY(EOMONTH((Tahmin!$C$4+34),0))))&lt;&gt;DATE(YEAR((Tahmin!$C$4+28)),MONTH((Tahmin!$C$4+28)),MIN(DAY(Kalemler!$D185),DAY(EOMONTH((Tahmin!$C$4+28),0)))),DATE(YEAR((Tahmin!$C$4+34)),MONTH((Tahmin!$C$4+34)),MIN(DAY(Kalemler!$D185),DAY(EOMONTH((Tahmin!$C$4+34),0))))&gt;=Kalemler!$D185)),1,0),IF(AND(Kalemler!$D185&gt;=(Tahmin!$C$4+28),Kalemler!$D185&lt;=(Tahmin!$C$4+34)),1,0))))</f>
        <v>0</v>
      </c>
      <c r="G185" s="0" t="n">
        <f aca="false">IF(OR(Kalemler!$A185="",Kalemler!$C185="",Kalemler!$D185=""),0,Kalemler!$C185*IF(Kalemler!$E185="Haftalık",IF(Kalemler!$D185&lt;=(Tahmin!$C$4+41),1,0),IF(Kalemler!$E185="Aylık",IF(OR(AND(DATE(YEAR((Tahmin!$C$4+35)),MONTH((Tahmin!$C$4+35)),MIN(DAY(Kalemler!$D185),DAY(EOMONTH((Tahmin!$C$4+35),0))))&gt;=(Tahmin!$C$4+35),DATE(YEAR((Tahmin!$C$4+35)),MONTH((Tahmin!$C$4+35)),MIN(DAY(Kalemler!$D185),DAY(EOMONTH((Tahmin!$C$4+35),0))))&lt;=(Tahmin!$C$4+41),DATE(YEAR((Tahmin!$C$4+35)),MONTH((Tahmin!$C$4+35)),MIN(DAY(Kalemler!$D185),DAY(EOMONTH((Tahmin!$C$4+35),0))))&gt;=Kalemler!$D185),AND(DATE(YEAR((Tahmin!$C$4+41)),MONTH((Tahmin!$C$4+41)),MIN(DAY(Kalemler!$D185),DAY(EOMONTH((Tahmin!$C$4+41),0))))&gt;=(Tahmin!$C$4+35),DATE(YEAR((Tahmin!$C$4+41)),MONTH((Tahmin!$C$4+41)),MIN(DAY(Kalemler!$D185),DAY(EOMONTH((Tahmin!$C$4+41),0))))&lt;=(Tahmin!$C$4+41),DATE(YEAR((Tahmin!$C$4+41)),MONTH((Tahmin!$C$4+41)),MIN(DAY(Kalemler!$D185),DAY(EOMONTH((Tahmin!$C$4+41),0))))&lt;&gt;DATE(YEAR((Tahmin!$C$4+35)),MONTH((Tahmin!$C$4+35)),MIN(DAY(Kalemler!$D185),DAY(EOMONTH((Tahmin!$C$4+35),0)))),DATE(YEAR((Tahmin!$C$4+41)),MONTH((Tahmin!$C$4+41)),MIN(DAY(Kalemler!$D185),DAY(EOMONTH((Tahmin!$C$4+41),0))))&gt;=Kalemler!$D185)),1,0),IF(AND(Kalemler!$D185&gt;=(Tahmin!$C$4+35),Kalemler!$D185&lt;=(Tahmin!$C$4+41)),1,0))))</f>
        <v>0</v>
      </c>
      <c r="H185" s="0" t="n">
        <f aca="false">IF(OR(Kalemler!$A185="",Kalemler!$C185="",Kalemler!$D185=""),0,Kalemler!$C185*IF(Kalemler!$E185="Haftalık",IF(Kalemler!$D185&lt;=(Tahmin!$C$4+48),1,0),IF(Kalemler!$E185="Aylık",IF(OR(AND(DATE(YEAR((Tahmin!$C$4+42)),MONTH((Tahmin!$C$4+42)),MIN(DAY(Kalemler!$D185),DAY(EOMONTH((Tahmin!$C$4+42),0))))&gt;=(Tahmin!$C$4+42),DATE(YEAR((Tahmin!$C$4+42)),MONTH((Tahmin!$C$4+42)),MIN(DAY(Kalemler!$D185),DAY(EOMONTH((Tahmin!$C$4+42),0))))&lt;=(Tahmin!$C$4+48),DATE(YEAR((Tahmin!$C$4+42)),MONTH((Tahmin!$C$4+42)),MIN(DAY(Kalemler!$D185),DAY(EOMONTH((Tahmin!$C$4+42),0))))&gt;=Kalemler!$D185),AND(DATE(YEAR((Tahmin!$C$4+48)),MONTH((Tahmin!$C$4+48)),MIN(DAY(Kalemler!$D185),DAY(EOMONTH((Tahmin!$C$4+48),0))))&gt;=(Tahmin!$C$4+42),DATE(YEAR((Tahmin!$C$4+48)),MONTH((Tahmin!$C$4+48)),MIN(DAY(Kalemler!$D185),DAY(EOMONTH((Tahmin!$C$4+48),0))))&lt;=(Tahmin!$C$4+48),DATE(YEAR((Tahmin!$C$4+48)),MONTH((Tahmin!$C$4+48)),MIN(DAY(Kalemler!$D185),DAY(EOMONTH((Tahmin!$C$4+48),0))))&lt;&gt;DATE(YEAR((Tahmin!$C$4+42)),MONTH((Tahmin!$C$4+42)),MIN(DAY(Kalemler!$D185),DAY(EOMONTH((Tahmin!$C$4+42),0)))),DATE(YEAR((Tahmin!$C$4+48)),MONTH((Tahmin!$C$4+48)),MIN(DAY(Kalemler!$D185),DAY(EOMONTH((Tahmin!$C$4+48),0))))&gt;=Kalemler!$D185)),1,0),IF(AND(Kalemler!$D185&gt;=(Tahmin!$C$4+42),Kalemler!$D185&lt;=(Tahmin!$C$4+48)),1,0))))</f>
        <v>0</v>
      </c>
      <c r="I185" s="0" t="n">
        <f aca="false">IF(OR(Kalemler!$A185="",Kalemler!$C185="",Kalemler!$D185=""),0,Kalemler!$C185*IF(Kalemler!$E185="Haftalık",IF(Kalemler!$D185&lt;=(Tahmin!$C$4+55),1,0),IF(Kalemler!$E185="Aylık",IF(OR(AND(DATE(YEAR((Tahmin!$C$4+49)),MONTH((Tahmin!$C$4+49)),MIN(DAY(Kalemler!$D185),DAY(EOMONTH((Tahmin!$C$4+49),0))))&gt;=(Tahmin!$C$4+49),DATE(YEAR((Tahmin!$C$4+49)),MONTH((Tahmin!$C$4+49)),MIN(DAY(Kalemler!$D185),DAY(EOMONTH((Tahmin!$C$4+49),0))))&lt;=(Tahmin!$C$4+55),DATE(YEAR((Tahmin!$C$4+49)),MONTH((Tahmin!$C$4+49)),MIN(DAY(Kalemler!$D185),DAY(EOMONTH((Tahmin!$C$4+49),0))))&gt;=Kalemler!$D185),AND(DATE(YEAR((Tahmin!$C$4+55)),MONTH((Tahmin!$C$4+55)),MIN(DAY(Kalemler!$D185),DAY(EOMONTH((Tahmin!$C$4+55),0))))&gt;=(Tahmin!$C$4+49),DATE(YEAR((Tahmin!$C$4+55)),MONTH((Tahmin!$C$4+55)),MIN(DAY(Kalemler!$D185),DAY(EOMONTH((Tahmin!$C$4+55),0))))&lt;=(Tahmin!$C$4+55),DATE(YEAR((Tahmin!$C$4+55)),MONTH((Tahmin!$C$4+55)),MIN(DAY(Kalemler!$D185),DAY(EOMONTH((Tahmin!$C$4+55),0))))&lt;&gt;DATE(YEAR((Tahmin!$C$4+49)),MONTH((Tahmin!$C$4+49)),MIN(DAY(Kalemler!$D185),DAY(EOMONTH((Tahmin!$C$4+49),0)))),DATE(YEAR((Tahmin!$C$4+55)),MONTH((Tahmin!$C$4+55)),MIN(DAY(Kalemler!$D185),DAY(EOMONTH((Tahmin!$C$4+55),0))))&gt;=Kalemler!$D185)),1,0),IF(AND(Kalemler!$D185&gt;=(Tahmin!$C$4+49),Kalemler!$D185&lt;=(Tahmin!$C$4+55)),1,0))))</f>
        <v>0</v>
      </c>
      <c r="J185" s="0" t="n">
        <f aca="false">IF(OR(Kalemler!$A185="",Kalemler!$C185="",Kalemler!$D185=""),0,Kalemler!$C185*IF(Kalemler!$E185="Haftalık",IF(Kalemler!$D185&lt;=(Tahmin!$C$4+62),1,0),IF(Kalemler!$E185="Aylık",IF(OR(AND(DATE(YEAR((Tahmin!$C$4+56)),MONTH((Tahmin!$C$4+56)),MIN(DAY(Kalemler!$D185),DAY(EOMONTH((Tahmin!$C$4+56),0))))&gt;=(Tahmin!$C$4+56),DATE(YEAR((Tahmin!$C$4+56)),MONTH((Tahmin!$C$4+56)),MIN(DAY(Kalemler!$D185),DAY(EOMONTH((Tahmin!$C$4+56),0))))&lt;=(Tahmin!$C$4+62),DATE(YEAR((Tahmin!$C$4+56)),MONTH((Tahmin!$C$4+56)),MIN(DAY(Kalemler!$D185),DAY(EOMONTH((Tahmin!$C$4+56),0))))&gt;=Kalemler!$D185),AND(DATE(YEAR((Tahmin!$C$4+62)),MONTH((Tahmin!$C$4+62)),MIN(DAY(Kalemler!$D185),DAY(EOMONTH((Tahmin!$C$4+62),0))))&gt;=(Tahmin!$C$4+56),DATE(YEAR((Tahmin!$C$4+62)),MONTH((Tahmin!$C$4+62)),MIN(DAY(Kalemler!$D185),DAY(EOMONTH((Tahmin!$C$4+62),0))))&lt;=(Tahmin!$C$4+62),DATE(YEAR((Tahmin!$C$4+62)),MONTH((Tahmin!$C$4+62)),MIN(DAY(Kalemler!$D185),DAY(EOMONTH((Tahmin!$C$4+62),0))))&lt;&gt;DATE(YEAR((Tahmin!$C$4+56)),MONTH((Tahmin!$C$4+56)),MIN(DAY(Kalemler!$D185),DAY(EOMONTH((Tahmin!$C$4+56),0)))),DATE(YEAR((Tahmin!$C$4+62)),MONTH((Tahmin!$C$4+62)),MIN(DAY(Kalemler!$D185),DAY(EOMONTH((Tahmin!$C$4+62),0))))&gt;=Kalemler!$D185)),1,0),IF(AND(Kalemler!$D185&gt;=(Tahmin!$C$4+56),Kalemler!$D185&lt;=(Tahmin!$C$4+62)),1,0))))</f>
        <v>0</v>
      </c>
      <c r="K185" s="0" t="n">
        <f aca="false">IF(OR(Kalemler!$A185="",Kalemler!$C185="",Kalemler!$D185=""),0,Kalemler!$C185*IF(Kalemler!$E185="Haftalık",IF(Kalemler!$D185&lt;=(Tahmin!$C$4+69),1,0),IF(Kalemler!$E185="Aylık",IF(OR(AND(DATE(YEAR((Tahmin!$C$4+63)),MONTH((Tahmin!$C$4+63)),MIN(DAY(Kalemler!$D185),DAY(EOMONTH((Tahmin!$C$4+63),0))))&gt;=(Tahmin!$C$4+63),DATE(YEAR((Tahmin!$C$4+63)),MONTH((Tahmin!$C$4+63)),MIN(DAY(Kalemler!$D185),DAY(EOMONTH((Tahmin!$C$4+63),0))))&lt;=(Tahmin!$C$4+69),DATE(YEAR((Tahmin!$C$4+63)),MONTH((Tahmin!$C$4+63)),MIN(DAY(Kalemler!$D185),DAY(EOMONTH((Tahmin!$C$4+63),0))))&gt;=Kalemler!$D185),AND(DATE(YEAR((Tahmin!$C$4+69)),MONTH((Tahmin!$C$4+69)),MIN(DAY(Kalemler!$D185),DAY(EOMONTH((Tahmin!$C$4+69),0))))&gt;=(Tahmin!$C$4+63),DATE(YEAR((Tahmin!$C$4+69)),MONTH((Tahmin!$C$4+69)),MIN(DAY(Kalemler!$D185),DAY(EOMONTH((Tahmin!$C$4+69),0))))&lt;=(Tahmin!$C$4+69),DATE(YEAR((Tahmin!$C$4+69)),MONTH((Tahmin!$C$4+69)),MIN(DAY(Kalemler!$D185),DAY(EOMONTH((Tahmin!$C$4+69),0))))&lt;&gt;DATE(YEAR((Tahmin!$C$4+63)),MONTH((Tahmin!$C$4+63)),MIN(DAY(Kalemler!$D185),DAY(EOMONTH((Tahmin!$C$4+63),0)))),DATE(YEAR((Tahmin!$C$4+69)),MONTH((Tahmin!$C$4+69)),MIN(DAY(Kalemler!$D185),DAY(EOMONTH((Tahmin!$C$4+69),0))))&gt;=Kalemler!$D185)),1,0),IF(AND(Kalemler!$D185&gt;=(Tahmin!$C$4+63),Kalemler!$D185&lt;=(Tahmin!$C$4+69)),1,0))))</f>
        <v>0</v>
      </c>
      <c r="L185" s="0" t="n">
        <f aca="false">IF(OR(Kalemler!$A185="",Kalemler!$C185="",Kalemler!$D185=""),0,Kalemler!$C185*IF(Kalemler!$E185="Haftalık",IF(Kalemler!$D185&lt;=(Tahmin!$C$4+76),1,0),IF(Kalemler!$E185="Aylık",IF(OR(AND(DATE(YEAR((Tahmin!$C$4+70)),MONTH((Tahmin!$C$4+70)),MIN(DAY(Kalemler!$D185),DAY(EOMONTH((Tahmin!$C$4+70),0))))&gt;=(Tahmin!$C$4+70),DATE(YEAR((Tahmin!$C$4+70)),MONTH((Tahmin!$C$4+70)),MIN(DAY(Kalemler!$D185),DAY(EOMONTH((Tahmin!$C$4+70),0))))&lt;=(Tahmin!$C$4+76),DATE(YEAR((Tahmin!$C$4+70)),MONTH((Tahmin!$C$4+70)),MIN(DAY(Kalemler!$D185),DAY(EOMONTH((Tahmin!$C$4+70),0))))&gt;=Kalemler!$D185),AND(DATE(YEAR((Tahmin!$C$4+76)),MONTH((Tahmin!$C$4+76)),MIN(DAY(Kalemler!$D185),DAY(EOMONTH((Tahmin!$C$4+76),0))))&gt;=(Tahmin!$C$4+70),DATE(YEAR((Tahmin!$C$4+76)),MONTH((Tahmin!$C$4+76)),MIN(DAY(Kalemler!$D185),DAY(EOMONTH((Tahmin!$C$4+76),0))))&lt;=(Tahmin!$C$4+76),DATE(YEAR((Tahmin!$C$4+76)),MONTH((Tahmin!$C$4+76)),MIN(DAY(Kalemler!$D185),DAY(EOMONTH((Tahmin!$C$4+76),0))))&lt;&gt;DATE(YEAR((Tahmin!$C$4+70)),MONTH((Tahmin!$C$4+70)),MIN(DAY(Kalemler!$D185),DAY(EOMONTH((Tahmin!$C$4+70),0)))),DATE(YEAR((Tahmin!$C$4+76)),MONTH((Tahmin!$C$4+76)),MIN(DAY(Kalemler!$D185),DAY(EOMONTH((Tahmin!$C$4+76),0))))&gt;=Kalemler!$D185)),1,0),IF(AND(Kalemler!$D185&gt;=(Tahmin!$C$4+70),Kalemler!$D185&lt;=(Tahmin!$C$4+76)),1,0))))</f>
        <v>0</v>
      </c>
      <c r="M185" s="0" t="n">
        <f aca="false">IF(OR(Kalemler!$A185="",Kalemler!$C185="",Kalemler!$D185=""),0,Kalemler!$C185*IF(Kalemler!$E185="Haftalık",IF(Kalemler!$D185&lt;=(Tahmin!$C$4+83),1,0),IF(Kalemler!$E185="Aylık",IF(OR(AND(DATE(YEAR((Tahmin!$C$4+77)),MONTH((Tahmin!$C$4+77)),MIN(DAY(Kalemler!$D185),DAY(EOMONTH((Tahmin!$C$4+77),0))))&gt;=(Tahmin!$C$4+77),DATE(YEAR((Tahmin!$C$4+77)),MONTH((Tahmin!$C$4+77)),MIN(DAY(Kalemler!$D185),DAY(EOMONTH((Tahmin!$C$4+77),0))))&lt;=(Tahmin!$C$4+83),DATE(YEAR((Tahmin!$C$4+77)),MONTH((Tahmin!$C$4+77)),MIN(DAY(Kalemler!$D185),DAY(EOMONTH((Tahmin!$C$4+77),0))))&gt;=Kalemler!$D185),AND(DATE(YEAR((Tahmin!$C$4+83)),MONTH((Tahmin!$C$4+83)),MIN(DAY(Kalemler!$D185),DAY(EOMONTH((Tahmin!$C$4+83),0))))&gt;=(Tahmin!$C$4+77),DATE(YEAR((Tahmin!$C$4+83)),MONTH((Tahmin!$C$4+83)),MIN(DAY(Kalemler!$D185),DAY(EOMONTH((Tahmin!$C$4+83),0))))&lt;=(Tahmin!$C$4+83),DATE(YEAR((Tahmin!$C$4+83)),MONTH((Tahmin!$C$4+83)),MIN(DAY(Kalemler!$D185),DAY(EOMONTH((Tahmin!$C$4+83),0))))&lt;&gt;DATE(YEAR((Tahmin!$C$4+77)),MONTH((Tahmin!$C$4+77)),MIN(DAY(Kalemler!$D185),DAY(EOMONTH((Tahmin!$C$4+77),0)))),DATE(YEAR((Tahmin!$C$4+83)),MONTH((Tahmin!$C$4+83)),MIN(DAY(Kalemler!$D185),DAY(EOMONTH((Tahmin!$C$4+83),0))))&gt;=Kalemler!$D185)),1,0),IF(AND(Kalemler!$D185&gt;=(Tahmin!$C$4+77),Kalemler!$D185&lt;=(Tahmin!$C$4+83)),1,0))))</f>
        <v>0</v>
      </c>
      <c r="N185" s="0" t="n">
        <f aca="false">IF(OR(Kalemler!$A185="",Kalemler!$C185="",Kalemler!$D185=""),0,Kalemler!$C185*IF(Kalemler!$E185="Haftalık",IF(Kalemler!$D185&lt;=(Tahmin!$C$4+90),1,0),IF(Kalemler!$E185="Aylık",IF(OR(AND(DATE(YEAR((Tahmin!$C$4+84)),MONTH((Tahmin!$C$4+84)),MIN(DAY(Kalemler!$D185),DAY(EOMONTH((Tahmin!$C$4+84),0))))&gt;=(Tahmin!$C$4+84),DATE(YEAR((Tahmin!$C$4+84)),MONTH((Tahmin!$C$4+84)),MIN(DAY(Kalemler!$D185),DAY(EOMONTH((Tahmin!$C$4+84),0))))&lt;=(Tahmin!$C$4+90),DATE(YEAR((Tahmin!$C$4+84)),MONTH((Tahmin!$C$4+84)),MIN(DAY(Kalemler!$D185),DAY(EOMONTH((Tahmin!$C$4+84),0))))&gt;=Kalemler!$D185),AND(DATE(YEAR((Tahmin!$C$4+90)),MONTH((Tahmin!$C$4+90)),MIN(DAY(Kalemler!$D185),DAY(EOMONTH((Tahmin!$C$4+90),0))))&gt;=(Tahmin!$C$4+84),DATE(YEAR((Tahmin!$C$4+90)),MONTH((Tahmin!$C$4+90)),MIN(DAY(Kalemler!$D185),DAY(EOMONTH((Tahmin!$C$4+90),0))))&lt;=(Tahmin!$C$4+90),DATE(YEAR((Tahmin!$C$4+90)),MONTH((Tahmin!$C$4+90)),MIN(DAY(Kalemler!$D185),DAY(EOMONTH((Tahmin!$C$4+90),0))))&lt;&gt;DATE(YEAR((Tahmin!$C$4+84)),MONTH((Tahmin!$C$4+84)),MIN(DAY(Kalemler!$D185),DAY(EOMONTH((Tahmin!$C$4+84),0)))),DATE(YEAR((Tahmin!$C$4+90)),MONTH((Tahmin!$C$4+90)),MIN(DAY(Kalemler!$D185),DAY(EOMONTH((Tahmin!$C$4+90),0))))&gt;=Kalemler!$D185)),1,0),IF(AND(Kalemler!$D185&gt;=(Tahmin!$C$4+84),Kalemler!$D185&lt;=(Tahmin!$C$4+90)),1,0))))</f>
        <v>0</v>
      </c>
    </row>
    <row r="186" customFormat="false" ht="15" hidden="false" customHeight="false" outlineLevel="0" collapsed="false">
      <c r="A186" s="0" t="str">
        <f aca="false">IF(Kalemler!A186="","",Kalemler!A186)</f>
        <v/>
      </c>
      <c r="B186" s="0" t="n">
        <f aca="false">IF(OR(Kalemler!$A186="",Kalemler!$C186="",Kalemler!$D186=""),0,Kalemler!$C186*IF(Kalemler!$E186="Haftalık",IF(Kalemler!$D186&lt;=(Tahmin!$C$4+6),1,0),IF(Kalemler!$E186="Aylık",IF(OR(AND(DATE(YEAR((Tahmin!$C$4+0)),MONTH((Tahmin!$C$4+0)),MIN(DAY(Kalemler!$D186),DAY(EOMONTH((Tahmin!$C$4+0),0))))&gt;=(Tahmin!$C$4+0),DATE(YEAR((Tahmin!$C$4+0)),MONTH((Tahmin!$C$4+0)),MIN(DAY(Kalemler!$D186),DAY(EOMONTH((Tahmin!$C$4+0),0))))&lt;=(Tahmin!$C$4+6),DATE(YEAR((Tahmin!$C$4+0)),MONTH((Tahmin!$C$4+0)),MIN(DAY(Kalemler!$D186),DAY(EOMONTH((Tahmin!$C$4+0),0))))&gt;=Kalemler!$D186),AND(DATE(YEAR((Tahmin!$C$4+6)),MONTH((Tahmin!$C$4+6)),MIN(DAY(Kalemler!$D186),DAY(EOMONTH((Tahmin!$C$4+6),0))))&gt;=(Tahmin!$C$4+0),DATE(YEAR((Tahmin!$C$4+6)),MONTH((Tahmin!$C$4+6)),MIN(DAY(Kalemler!$D186),DAY(EOMONTH((Tahmin!$C$4+6),0))))&lt;=(Tahmin!$C$4+6),DATE(YEAR((Tahmin!$C$4+6)),MONTH((Tahmin!$C$4+6)),MIN(DAY(Kalemler!$D186),DAY(EOMONTH((Tahmin!$C$4+6),0))))&lt;&gt;DATE(YEAR((Tahmin!$C$4+0)),MONTH((Tahmin!$C$4+0)),MIN(DAY(Kalemler!$D186),DAY(EOMONTH((Tahmin!$C$4+0),0)))),DATE(YEAR((Tahmin!$C$4+6)),MONTH((Tahmin!$C$4+6)),MIN(DAY(Kalemler!$D186),DAY(EOMONTH((Tahmin!$C$4+6),0))))&gt;=Kalemler!$D186)),1,0),IF(AND(Kalemler!$D186&gt;=(Tahmin!$C$4+0),Kalemler!$D186&lt;=(Tahmin!$C$4+6)),1,0))))</f>
        <v>0</v>
      </c>
      <c r="C186" s="0" t="n">
        <f aca="false">IF(OR(Kalemler!$A186="",Kalemler!$C186="",Kalemler!$D186=""),0,Kalemler!$C186*IF(Kalemler!$E186="Haftalık",IF(Kalemler!$D186&lt;=(Tahmin!$C$4+13),1,0),IF(Kalemler!$E186="Aylık",IF(OR(AND(DATE(YEAR((Tahmin!$C$4+7)),MONTH((Tahmin!$C$4+7)),MIN(DAY(Kalemler!$D186),DAY(EOMONTH((Tahmin!$C$4+7),0))))&gt;=(Tahmin!$C$4+7),DATE(YEAR((Tahmin!$C$4+7)),MONTH((Tahmin!$C$4+7)),MIN(DAY(Kalemler!$D186),DAY(EOMONTH((Tahmin!$C$4+7),0))))&lt;=(Tahmin!$C$4+13),DATE(YEAR((Tahmin!$C$4+7)),MONTH((Tahmin!$C$4+7)),MIN(DAY(Kalemler!$D186),DAY(EOMONTH((Tahmin!$C$4+7),0))))&gt;=Kalemler!$D186),AND(DATE(YEAR((Tahmin!$C$4+13)),MONTH((Tahmin!$C$4+13)),MIN(DAY(Kalemler!$D186),DAY(EOMONTH((Tahmin!$C$4+13),0))))&gt;=(Tahmin!$C$4+7),DATE(YEAR((Tahmin!$C$4+13)),MONTH((Tahmin!$C$4+13)),MIN(DAY(Kalemler!$D186),DAY(EOMONTH((Tahmin!$C$4+13),0))))&lt;=(Tahmin!$C$4+13),DATE(YEAR((Tahmin!$C$4+13)),MONTH((Tahmin!$C$4+13)),MIN(DAY(Kalemler!$D186),DAY(EOMONTH((Tahmin!$C$4+13),0))))&lt;&gt;DATE(YEAR((Tahmin!$C$4+7)),MONTH((Tahmin!$C$4+7)),MIN(DAY(Kalemler!$D186),DAY(EOMONTH((Tahmin!$C$4+7),0)))),DATE(YEAR((Tahmin!$C$4+13)),MONTH((Tahmin!$C$4+13)),MIN(DAY(Kalemler!$D186),DAY(EOMONTH((Tahmin!$C$4+13),0))))&gt;=Kalemler!$D186)),1,0),IF(AND(Kalemler!$D186&gt;=(Tahmin!$C$4+7),Kalemler!$D186&lt;=(Tahmin!$C$4+13)),1,0))))</f>
        <v>0</v>
      </c>
      <c r="D186" s="0" t="n">
        <f aca="false">IF(OR(Kalemler!$A186="",Kalemler!$C186="",Kalemler!$D186=""),0,Kalemler!$C186*IF(Kalemler!$E186="Haftalık",IF(Kalemler!$D186&lt;=(Tahmin!$C$4+20),1,0),IF(Kalemler!$E186="Aylık",IF(OR(AND(DATE(YEAR((Tahmin!$C$4+14)),MONTH((Tahmin!$C$4+14)),MIN(DAY(Kalemler!$D186),DAY(EOMONTH((Tahmin!$C$4+14),0))))&gt;=(Tahmin!$C$4+14),DATE(YEAR((Tahmin!$C$4+14)),MONTH((Tahmin!$C$4+14)),MIN(DAY(Kalemler!$D186),DAY(EOMONTH((Tahmin!$C$4+14),0))))&lt;=(Tahmin!$C$4+20),DATE(YEAR((Tahmin!$C$4+14)),MONTH((Tahmin!$C$4+14)),MIN(DAY(Kalemler!$D186),DAY(EOMONTH((Tahmin!$C$4+14),0))))&gt;=Kalemler!$D186),AND(DATE(YEAR((Tahmin!$C$4+20)),MONTH((Tahmin!$C$4+20)),MIN(DAY(Kalemler!$D186),DAY(EOMONTH((Tahmin!$C$4+20),0))))&gt;=(Tahmin!$C$4+14),DATE(YEAR((Tahmin!$C$4+20)),MONTH((Tahmin!$C$4+20)),MIN(DAY(Kalemler!$D186),DAY(EOMONTH((Tahmin!$C$4+20),0))))&lt;=(Tahmin!$C$4+20),DATE(YEAR((Tahmin!$C$4+20)),MONTH((Tahmin!$C$4+20)),MIN(DAY(Kalemler!$D186),DAY(EOMONTH((Tahmin!$C$4+20),0))))&lt;&gt;DATE(YEAR((Tahmin!$C$4+14)),MONTH((Tahmin!$C$4+14)),MIN(DAY(Kalemler!$D186),DAY(EOMONTH((Tahmin!$C$4+14),0)))),DATE(YEAR((Tahmin!$C$4+20)),MONTH((Tahmin!$C$4+20)),MIN(DAY(Kalemler!$D186),DAY(EOMONTH((Tahmin!$C$4+20),0))))&gt;=Kalemler!$D186)),1,0),IF(AND(Kalemler!$D186&gt;=(Tahmin!$C$4+14),Kalemler!$D186&lt;=(Tahmin!$C$4+20)),1,0))))</f>
        <v>0</v>
      </c>
      <c r="E186" s="0" t="n">
        <f aca="false">IF(OR(Kalemler!$A186="",Kalemler!$C186="",Kalemler!$D186=""),0,Kalemler!$C186*IF(Kalemler!$E186="Haftalık",IF(Kalemler!$D186&lt;=(Tahmin!$C$4+27),1,0),IF(Kalemler!$E186="Aylık",IF(OR(AND(DATE(YEAR((Tahmin!$C$4+21)),MONTH((Tahmin!$C$4+21)),MIN(DAY(Kalemler!$D186),DAY(EOMONTH((Tahmin!$C$4+21),0))))&gt;=(Tahmin!$C$4+21),DATE(YEAR((Tahmin!$C$4+21)),MONTH((Tahmin!$C$4+21)),MIN(DAY(Kalemler!$D186),DAY(EOMONTH((Tahmin!$C$4+21),0))))&lt;=(Tahmin!$C$4+27),DATE(YEAR((Tahmin!$C$4+21)),MONTH((Tahmin!$C$4+21)),MIN(DAY(Kalemler!$D186),DAY(EOMONTH((Tahmin!$C$4+21),0))))&gt;=Kalemler!$D186),AND(DATE(YEAR((Tahmin!$C$4+27)),MONTH((Tahmin!$C$4+27)),MIN(DAY(Kalemler!$D186),DAY(EOMONTH((Tahmin!$C$4+27),0))))&gt;=(Tahmin!$C$4+21),DATE(YEAR((Tahmin!$C$4+27)),MONTH((Tahmin!$C$4+27)),MIN(DAY(Kalemler!$D186),DAY(EOMONTH((Tahmin!$C$4+27),0))))&lt;=(Tahmin!$C$4+27),DATE(YEAR((Tahmin!$C$4+27)),MONTH((Tahmin!$C$4+27)),MIN(DAY(Kalemler!$D186),DAY(EOMONTH((Tahmin!$C$4+27),0))))&lt;&gt;DATE(YEAR((Tahmin!$C$4+21)),MONTH((Tahmin!$C$4+21)),MIN(DAY(Kalemler!$D186),DAY(EOMONTH((Tahmin!$C$4+21),0)))),DATE(YEAR((Tahmin!$C$4+27)),MONTH((Tahmin!$C$4+27)),MIN(DAY(Kalemler!$D186),DAY(EOMONTH((Tahmin!$C$4+27),0))))&gt;=Kalemler!$D186)),1,0),IF(AND(Kalemler!$D186&gt;=(Tahmin!$C$4+21),Kalemler!$D186&lt;=(Tahmin!$C$4+27)),1,0))))</f>
        <v>0</v>
      </c>
      <c r="F186" s="0" t="n">
        <f aca="false">IF(OR(Kalemler!$A186="",Kalemler!$C186="",Kalemler!$D186=""),0,Kalemler!$C186*IF(Kalemler!$E186="Haftalık",IF(Kalemler!$D186&lt;=(Tahmin!$C$4+34),1,0),IF(Kalemler!$E186="Aylık",IF(OR(AND(DATE(YEAR((Tahmin!$C$4+28)),MONTH((Tahmin!$C$4+28)),MIN(DAY(Kalemler!$D186),DAY(EOMONTH((Tahmin!$C$4+28),0))))&gt;=(Tahmin!$C$4+28),DATE(YEAR((Tahmin!$C$4+28)),MONTH((Tahmin!$C$4+28)),MIN(DAY(Kalemler!$D186),DAY(EOMONTH((Tahmin!$C$4+28),0))))&lt;=(Tahmin!$C$4+34),DATE(YEAR((Tahmin!$C$4+28)),MONTH((Tahmin!$C$4+28)),MIN(DAY(Kalemler!$D186),DAY(EOMONTH((Tahmin!$C$4+28),0))))&gt;=Kalemler!$D186),AND(DATE(YEAR((Tahmin!$C$4+34)),MONTH((Tahmin!$C$4+34)),MIN(DAY(Kalemler!$D186),DAY(EOMONTH((Tahmin!$C$4+34),0))))&gt;=(Tahmin!$C$4+28),DATE(YEAR((Tahmin!$C$4+34)),MONTH((Tahmin!$C$4+34)),MIN(DAY(Kalemler!$D186),DAY(EOMONTH((Tahmin!$C$4+34),0))))&lt;=(Tahmin!$C$4+34),DATE(YEAR((Tahmin!$C$4+34)),MONTH((Tahmin!$C$4+34)),MIN(DAY(Kalemler!$D186),DAY(EOMONTH((Tahmin!$C$4+34),0))))&lt;&gt;DATE(YEAR((Tahmin!$C$4+28)),MONTH((Tahmin!$C$4+28)),MIN(DAY(Kalemler!$D186),DAY(EOMONTH((Tahmin!$C$4+28),0)))),DATE(YEAR((Tahmin!$C$4+34)),MONTH((Tahmin!$C$4+34)),MIN(DAY(Kalemler!$D186),DAY(EOMONTH((Tahmin!$C$4+34),0))))&gt;=Kalemler!$D186)),1,0),IF(AND(Kalemler!$D186&gt;=(Tahmin!$C$4+28),Kalemler!$D186&lt;=(Tahmin!$C$4+34)),1,0))))</f>
        <v>0</v>
      </c>
      <c r="G186" s="0" t="n">
        <f aca="false">IF(OR(Kalemler!$A186="",Kalemler!$C186="",Kalemler!$D186=""),0,Kalemler!$C186*IF(Kalemler!$E186="Haftalık",IF(Kalemler!$D186&lt;=(Tahmin!$C$4+41),1,0),IF(Kalemler!$E186="Aylık",IF(OR(AND(DATE(YEAR((Tahmin!$C$4+35)),MONTH((Tahmin!$C$4+35)),MIN(DAY(Kalemler!$D186),DAY(EOMONTH((Tahmin!$C$4+35),0))))&gt;=(Tahmin!$C$4+35),DATE(YEAR((Tahmin!$C$4+35)),MONTH((Tahmin!$C$4+35)),MIN(DAY(Kalemler!$D186),DAY(EOMONTH((Tahmin!$C$4+35),0))))&lt;=(Tahmin!$C$4+41),DATE(YEAR((Tahmin!$C$4+35)),MONTH((Tahmin!$C$4+35)),MIN(DAY(Kalemler!$D186),DAY(EOMONTH((Tahmin!$C$4+35),0))))&gt;=Kalemler!$D186),AND(DATE(YEAR((Tahmin!$C$4+41)),MONTH((Tahmin!$C$4+41)),MIN(DAY(Kalemler!$D186),DAY(EOMONTH((Tahmin!$C$4+41),0))))&gt;=(Tahmin!$C$4+35),DATE(YEAR((Tahmin!$C$4+41)),MONTH((Tahmin!$C$4+41)),MIN(DAY(Kalemler!$D186),DAY(EOMONTH((Tahmin!$C$4+41),0))))&lt;=(Tahmin!$C$4+41),DATE(YEAR((Tahmin!$C$4+41)),MONTH((Tahmin!$C$4+41)),MIN(DAY(Kalemler!$D186),DAY(EOMONTH((Tahmin!$C$4+41),0))))&lt;&gt;DATE(YEAR((Tahmin!$C$4+35)),MONTH((Tahmin!$C$4+35)),MIN(DAY(Kalemler!$D186),DAY(EOMONTH((Tahmin!$C$4+35),0)))),DATE(YEAR((Tahmin!$C$4+41)),MONTH((Tahmin!$C$4+41)),MIN(DAY(Kalemler!$D186),DAY(EOMONTH((Tahmin!$C$4+41),0))))&gt;=Kalemler!$D186)),1,0),IF(AND(Kalemler!$D186&gt;=(Tahmin!$C$4+35),Kalemler!$D186&lt;=(Tahmin!$C$4+41)),1,0))))</f>
        <v>0</v>
      </c>
      <c r="H186" s="0" t="n">
        <f aca="false">IF(OR(Kalemler!$A186="",Kalemler!$C186="",Kalemler!$D186=""),0,Kalemler!$C186*IF(Kalemler!$E186="Haftalık",IF(Kalemler!$D186&lt;=(Tahmin!$C$4+48),1,0),IF(Kalemler!$E186="Aylık",IF(OR(AND(DATE(YEAR((Tahmin!$C$4+42)),MONTH((Tahmin!$C$4+42)),MIN(DAY(Kalemler!$D186),DAY(EOMONTH((Tahmin!$C$4+42),0))))&gt;=(Tahmin!$C$4+42),DATE(YEAR((Tahmin!$C$4+42)),MONTH((Tahmin!$C$4+42)),MIN(DAY(Kalemler!$D186),DAY(EOMONTH((Tahmin!$C$4+42),0))))&lt;=(Tahmin!$C$4+48),DATE(YEAR((Tahmin!$C$4+42)),MONTH((Tahmin!$C$4+42)),MIN(DAY(Kalemler!$D186),DAY(EOMONTH((Tahmin!$C$4+42),0))))&gt;=Kalemler!$D186),AND(DATE(YEAR((Tahmin!$C$4+48)),MONTH((Tahmin!$C$4+48)),MIN(DAY(Kalemler!$D186),DAY(EOMONTH((Tahmin!$C$4+48),0))))&gt;=(Tahmin!$C$4+42),DATE(YEAR((Tahmin!$C$4+48)),MONTH((Tahmin!$C$4+48)),MIN(DAY(Kalemler!$D186),DAY(EOMONTH((Tahmin!$C$4+48),0))))&lt;=(Tahmin!$C$4+48),DATE(YEAR((Tahmin!$C$4+48)),MONTH((Tahmin!$C$4+48)),MIN(DAY(Kalemler!$D186),DAY(EOMONTH((Tahmin!$C$4+48),0))))&lt;&gt;DATE(YEAR((Tahmin!$C$4+42)),MONTH((Tahmin!$C$4+42)),MIN(DAY(Kalemler!$D186),DAY(EOMONTH((Tahmin!$C$4+42),0)))),DATE(YEAR((Tahmin!$C$4+48)),MONTH((Tahmin!$C$4+48)),MIN(DAY(Kalemler!$D186),DAY(EOMONTH((Tahmin!$C$4+48),0))))&gt;=Kalemler!$D186)),1,0),IF(AND(Kalemler!$D186&gt;=(Tahmin!$C$4+42),Kalemler!$D186&lt;=(Tahmin!$C$4+48)),1,0))))</f>
        <v>0</v>
      </c>
      <c r="I186" s="0" t="n">
        <f aca="false">IF(OR(Kalemler!$A186="",Kalemler!$C186="",Kalemler!$D186=""),0,Kalemler!$C186*IF(Kalemler!$E186="Haftalık",IF(Kalemler!$D186&lt;=(Tahmin!$C$4+55),1,0),IF(Kalemler!$E186="Aylık",IF(OR(AND(DATE(YEAR((Tahmin!$C$4+49)),MONTH((Tahmin!$C$4+49)),MIN(DAY(Kalemler!$D186),DAY(EOMONTH((Tahmin!$C$4+49),0))))&gt;=(Tahmin!$C$4+49),DATE(YEAR((Tahmin!$C$4+49)),MONTH((Tahmin!$C$4+49)),MIN(DAY(Kalemler!$D186),DAY(EOMONTH((Tahmin!$C$4+49),0))))&lt;=(Tahmin!$C$4+55),DATE(YEAR((Tahmin!$C$4+49)),MONTH((Tahmin!$C$4+49)),MIN(DAY(Kalemler!$D186),DAY(EOMONTH((Tahmin!$C$4+49),0))))&gt;=Kalemler!$D186),AND(DATE(YEAR((Tahmin!$C$4+55)),MONTH((Tahmin!$C$4+55)),MIN(DAY(Kalemler!$D186),DAY(EOMONTH((Tahmin!$C$4+55),0))))&gt;=(Tahmin!$C$4+49),DATE(YEAR((Tahmin!$C$4+55)),MONTH((Tahmin!$C$4+55)),MIN(DAY(Kalemler!$D186),DAY(EOMONTH((Tahmin!$C$4+55),0))))&lt;=(Tahmin!$C$4+55),DATE(YEAR((Tahmin!$C$4+55)),MONTH((Tahmin!$C$4+55)),MIN(DAY(Kalemler!$D186),DAY(EOMONTH((Tahmin!$C$4+55),0))))&lt;&gt;DATE(YEAR((Tahmin!$C$4+49)),MONTH((Tahmin!$C$4+49)),MIN(DAY(Kalemler!$D186),DAY(EOMONTH((Tahmin!$C$4+49),0)))),DATE(YEAR((Tahmin!$C$4+55)),MONTH((Tahmin!$C$4+55)),MIN(DAY(Kalemler!$D186),DAY(EOMONTH((Tahmin!$C$4+55),0))))&gt;=Kalemler!$D186)),1,0),IF(AND(Kalemler!$D186&gt;=(Tahmin!$C$4+49),Kalemler!$D186&lt;=(Tahmin!$C$4+55)),1,0))))</f>
        <v>0</v>
      </c>
      <c r="J186" s="0" t="n">
        <f aca="false">IF(OR(Kalemler!$A186="",Kalemler!$C186="",Kalemler!$D186=""),0,Kalemler!$C186*IF(Kalemler!$E186="Haftalık",IF(Kalemler!$D186&lt;=(Tahmin!$C$4+62),1,0),IF(Kalemler!$E186="Aylık",IF(OR(AND(DATE(YEAR((Tahmin!$C$4+56)),MONTH((Tahmin!$C$4+56)),MIN(DAY(Kalemler!$D186),DAY(EOMONTH((Tahmin!$C$4+56),0))))&gt;=(Tahmin!$C$4+56),DATE(YEAR((Tahmin!$C$4+56)),MONTH((Tahmin!$C$4+56)),MIN(DAY(Kalemler!$D186),DAY(EOMONTH((Tahmin!$C$4+56),0))))&lt;=(Tahmin!$C$4+62),DATE(YEAR((Tahmin!$C$4+56)),MONTH((Tahmin!$C$4+56)),MIN(DAY(Kalemler!$D186),DAY(EOMONTH((Tahmin!$C$4+56),0))))&gt;=Kalemler!$D186),AND(DATE(YEAR((Tahmin!$C$4+62)),MONTH((Tahmin!$C$4+62)),MIN(DAY(Kalemler!$D186),DAY(EOMONTH((Tahmin!$C$4+62),0))))&gt;=(Tahmin!$C$4+56),DATE(YEAR((Tahmin!$C$4+62)),MONTH((Tahmin!$C$4+62)),MIN(DAY(Kalemler!$D186),DAY(EOMONTH((Tahmin!$C$4+62),0))))&lt;=(Tahmin!$C$4+62),DATE(YEAR((Tahmin!$C$4+62)),MONTH((Tahmin!$C$4+62)),MIN(DAY(Kalemler!$D186),DAY(EOMONTH((Tahmin!$C$4+62),0))))&lt;&gt;DATE(YEAR((Tahmin!$C$4+56)),MONTH((Tahmin!$C$4+56)),MIN(DAY(Kalemler!$D186),DAY(EOMONTH((Tahmin!$C$4+56),0)))),DATE(YEAR((Tahmin!$C$4+62)),MONTH((Tahmin!$C$4+62)),MIN(DAY(Kalemler!$D186),DAY(EOMONTH((Tahmin!$C$4+62),0))))&gt;=Kalemler!$D186)),1,0),IF(AND(Kalemler!$D186&gt;=(Tahmin!$C$4+56),Kalemler!$D186&lt;=(Tahmin!$C$4+62)),1,0))))</f>
        <v>0</v>
      </c>
      <c r="K186" s="0" t="n">
        <f aca="false">IF(OR(Kalemler!$A186="",Kalemler!$C186="",Kalemler!$D186=""),0,Kalemler!$C186*IF(Kalemler!$E186="Haftalık",IF(Kalemler!$D186&lt;=(Tahmin!$C$4+69),1,0),IF(Kalemler!$E186="Aylık",IF(OR(AND(DATE(YEAR((Tahmin!$C$4+63)),MONTH((Tahmin!$C$4+63)),MIN(DAY(Kalemler!$D186),DAY(EOMONTH((Tahmin!$C$4+63),0))))&gt;=(Tahmin!$C$4+63),DATE(YEAR((Tahmin!$C$4+63)),MONTH((Tahmin!$C$4+63)),MIN(DAY(Kalemler!$D186),DAY(EOMONTH((Tahmin!$C$4+63),0))))&lt;=(Tahmin!$C$4+69),DATE(YEAR((Tahmin!$C$4+63)),MONTH((Tahmin!$C$4+63)),MIN(DAY(Kalemler!$D186),DAY(EOMONTH((Tahmin!$C$4+63),0))))&gt;=Kalemler!$D186),AND(DATE(YEAR((Tahmin!$C$4+69)),MONTH((Tahmin!$C$4+69)),MIN(DAY(Kalemler!$D186),DAY(EOMONTH((Tahmin!$C$4+69),0))))&gt;=(Tahmin!$C$4+63),DATE(YEAR((Tahmin!$C$4+69)),MONTH((Tahmin!$C$4+69)),MIN(DAY(Kalemler!$D186),DAY(EOMONTH((Tahmin!$C$4+69),0))))&lt;=(Tahmin!$C$4+69),DATE(YEAR((Tahmin!$C$4+69)),MONTH((Tahmin!$C$4+69)),MIN(DAY(Kalemler!$D186),DAY(EOMONTH((Tahmin!$C$4+69),0))))&lt;&gt;DATE(YEAR((Tahmin!$C$4+63)),MONTH((Tahmin!$C$4+63)),MIN(DAY(Kalemler!$D186),DAY(EOMONTH((Tahmin!$C$4+63),0)))),DATE(YEAR((Tahmin!$C$4+69)),MONTH((Tahmin!$C$4+69)),MIN(DAY(Kalemler!$D186),DAY(EOMONTH((Tahmin!$C$4+69),0))))&gt;=Kalemler!$D186)),1,0),IF(AND(Kalemler!$D186&gt;=(Tahmin!$C$4+63),Kalemler!$D186&lt;=(Tahmin!$C$4+69)),1,0))))</f>
        <v>0</v>
      </c>
      <c r="L186" s="0" t="n">
        <f aca="false">IF(OR(Kalemler!$A186="",Kalemler!$C186="",Kalemler!$D186=""),0,Kalemler!$C186*IF(Kalemler!$E186="Haftalık",IF(Kalemler!$D186&lt;=(Tahmin!$C$4+76),1,0),IF(Kalemler!$E186="Aylık",IF(OR(AND(DATE(YEAR((Tahmin!$C$4+70)),MONTH((Tahmin!$C$4+70)),MIN(DAY(Kalemler!$D186),DAY(EOMONTH((Tahmin!$C$4+70),0))))&gt;=(Tahmin!$C$4+70),DATE(YEAR((Tahmin!$C$4+70)),MONTH((Tahmin!$C$4+70)),MIN(DAY(Kalemler!$D186),DAY(EOMONTH((Tahmin!$C$4+70),0))))&lt;=(Tahmin!$C$4+76),DATE(YEAR((Tahmin!$C$4+70)),MONTH((Tahmin!$C$4+70)),MIN(DAY(Kalemler!$D186),DAY(EOMONTH((Tahmin!$C$4+70),0))))&gt;=Kalemler!$D186),AND(DATE(YEAR((Tahmin!$C$4+76)),MONTH((Tahmin!$C$4+76)),MIN(DAY(Kalemler!$D186),DAY(EOMONTH((Tahmin!$C$4+76),0))))&gt;=(Tahmin!$C$4+70),DATE(YEAR((Tahmin!$C$4+76)),MONTH((Tahmin!$C$4+76)),MIN(DAY(Kalemler!$D186),DAY(EOMONTH((Tahmin!$C$4+76),0))))&lt;=(Tahmin!$C$4+76),DATE(YEAR((Tahmin!$C$4+76)),MONTH((Tahmin!$C$4+76)),MIN(DAY(Kalemler!$D186),DAY(EOMONTH((Tahmin!$C$4+76),0))))&lt;&gt;DATE(YEAR((Tahmin!$C$4+70)),MONTH((Tahmin!$C$4+70)),MIN(DAY(Kalemler!$D186),DAY(EOMONTH((Tahmin!$C$4+70),0)))),DATE(YEAR((Tahmin!$C$4+76)),MONTH((Tahmin!$C$4+76)),MIN(DAY(Kalemler!$D186),DAY(EOMONTH((Tahmin!$C$4+76),0))))&gt;=Kalemler!$D186)),1,0),IF(AND(Kalemler!$D186&gt;=(Tahmin!$C$4+70),Kalemler!$D186&lt;=(Tahmin!$C$4+76)),1,0))))</f>
        <v>0</v>
      </c>
      <c r="M186" s="0" t="n">
        <f aca="false">IF(OR(Kalemler!$A186="",Kalemler!$C186="",Kalemler!$D186=""),0,Kalemler!$C186*IF(Kalemler!$E186="Haftalık",IF(Kalemler!$D186&lt;=(Tahmin!$C$4+83),1,0),IF(Kalemler!$E186="Aylık",IF(OR(AND(DATE(YEAR((Tahmin!$C$4+77)),MONTH((Tahmin!$C$4+77)),MIN(DAY(Kalemler!$D186),DAY(EOMONTH((Tahmin!$C$4+77),0))))&gt;=(Tahmin!$C$4+77),DATE(YEAR((Tahmin!$C$4+77)),MONTH((Tahmin!$C$4+77)),MIN(DAY(Kalemler!$D186),DAY(EOMONTH((Tahmin!$C$4+77),0))))&lt;=(Tahmin!$C$4+83),DATE(YEAR((Tahmin!$C$4+77)),MONTH((Tahmin!$C$4+77)),MIN(DAY(Kalemler!$D186),DAY(EOMONTH((Tahmin!$C$4+77),0))))&gt;=Kalemler!$D186),AND(DATE(YEAR((Tahmin!$C$4+83)),MONTH((Tahmin!$C$4+83)),MIN(DAY(Kalemler!$D186),DAY(EOMONTH((Tahmin!$C$4+83),0))))&gt;=(Tahmin!$C$4+77),DATE(YEAR((Tahmin!$C$4+83)),MONTH((Tahmin!$C$4+83)),MIN(DAY(Kalemler!$D186),DAY(EOMONTH((Tahmin!$C$4+83),0))))&lt;=(Tahmin!$C$4+83),DATE(YEAR((Tahmin!$C$4+83)),MONTH((Tahmin!$C$4+83)),MIN(DAY(Kalemler!$D186),DAY(EOMONTH((Tahmin!$C$4+83),0))))&lt;&gt;DATE(YEAR((Tahmin!$C$4+77)),MONTH((Tahmin!$C$4+77)),MIN(DAY(Kalemler!$D186),DAY(EOMONTH((Tahmin!$C$4+77),0)))),DATE(YEAR((Tahmin!$C$4+83)),MONTH((Tahmin!$C$4+83)),MIN(DAY(Kalemler!$D186),DAY(EOMONTH((Tahmin!$C$4+83),0))))&gt;=Kalemler!$D186)),1,0),IF(AND(Kalemler!$D186&gt;=(Tahmin!$C$4+77),Kalemler!$D186&lt;=(Tahmin!$C$4+83)),1,0))))</f>
        <v>0</v>
      </c>
      <c r="N186" s="0" t="n">
        <f aca="false">IF(OR(Kalemler!$A186="",Kalemler!$C186="",Kalemler!$D186=""),0,Kalemler!$C186*IF(Kalemler!$E186="Haftalık",IF(Kalemler!$D186&lt;=(Tahmin!$C$4+90),1,0),IF(Kalemler!$E186="Aylık",IF(OR(AND(DATE(YEAR((Tahmin!$C$4+84)),MONTH((Tahmin!$C$4+84)),MIN(DAY(Kalemler!$D186),DAY(EOMONTH((Tahmin!$C$4+84),0))))&gt;=(Tahmin!$C$4+84),DATE(YEAR((Tahmin!$C$4+84)),MONTH((Tahmin!$C$4+84)),MIN(DAY(Kalemler!$D186),DAY(EOMONTH((Tahmin!$C$4+84),0))))&lt;=(Tahmin!$C$4+90),DATE(YEAR((Tahmin!$C$4+84)),MONTH((Tahmin!$C$4+84)),MIN(DAY(Kalemler!$D186),DAY(EOMONTH((Tahmin!$C$4+84),0))))&gt;=Kalemler!$D186),AND(DATE(YEAR((Tahmin!$C$4+90)),MONTH((Tahmin!$C$4+90)),MIN(DAY(Kalemler!$D186),DAY(EOMONTH((Tahmin!$C$4+90),0))))&gt;=(Tahmin!$C$4+84),DATE(YEAR((Tahmin!$C$4+90)),MONTH((Tahmin!$C$4+90)),MIN(DAY(Kalemler!$D186),DAY(EOMONTH((Tahmin!$C$4+90),0))))&lt;=(Tahmin!$C$4+90),DATE(YEAR((Tahmin!$C$4+90)),MONTH((Tahmin!$C$4+90)),MIN(DAY(Kalemler!$D186),DAY(EOMONTH((Tahmin!$C$4+90),0))))&lt;&gt;DATE(YEAR((Tahmin!$C$4+84)),MONTH((Tahmin!$C$4+84)),MIN(DAY(Kalemler!$D186),DAY(EOMONTH((Tahmin!$C$4+84),0)))),DATE(YEAR((Tahmin!$C$4+90)),MONTH((Tahmin!$C$4+90)),MIN(DAY(Kalemler!$D186),DAY(EOMONTH((Tahmin!$C$4+90),0))))&gt;=Kalemler!$D186)),1,0),IF(AND(Kalemler!$D186&gt;=(Tahmin!$C$4+84),Kalemler!$D186&lt;=(Tahmin!$C$4+90)),1,0))))</f>
        <v>0</v>
      </c>
    </row>
    <row r="187" customFormat="false" ht="15" hidden="false" customHeight="false" outlineLevel="0" collapsed="false">
      <c r="A187" s="0" t="str">
        <f aca="false">IF(Kalemler!A187="","",Kalemler!A187)</f>
        <v/>
      </c>
      <c r="B187" s="0" t="n">
        <f aca="false">IF(OR(Kalemler!$A187="",Kalemler!$C187="",Kalemler!$D187=""),0,Kalemler!$C187*IF(Kalemler!$E187="Haftalık",IF(Kalemler!$D187&lt;=(Tahmin!$C$4+6),1,0),IF(Kalemler!$E187="Aylık",IF(OR(AND(DATE(YEAR((Tahmin!$C$4+0)),MONTH((Tahmin!$C$4+0)),MIN(DAY(Kalemler!$D187),DAY(EOMONTH((Tahmin!$C$4+0),0))))&gt;=(Tahmin!$C$4+0),DATE(YEAR((Tahmin!$C$4+0)),MONTH((Tahmin!$C$4+0)),MIN(DAY(Kalemler!$D187),DAY(EOMONTH((Tahmin!$C$4+0),0))))&lt;=(Tahmin!$C$4+6),DATE(YEAR((Tahmin!$C$4+0)),MONTH((Tahmin!$C$4+0)),MIN(DAY(Kalemler!$D187),DAY(EOMONTH((Tahmin!$C$4+0),0))))&gt;=Kalemler!$D187),AND(DATE(YEAR((Tahmin!$C$4+6)),MONTH((Tahmin!$C$4+6)),MIN(DAY(Kalemler!$D187),DAY(EOMONTH((Tahmin!$C$4+6),0))))&gt;=(Tahmin!$C$4+0),DATE(YEAR((Tahmin!$C$4+6)),MONTH((Tahmin!$C$4+6)),MIN(DAY(Kalemler!$D187),DAY(EOMONTH((Tahmin!$C$4+6),0))))&lt;=(Tahmin!$C$4+6),DATE(YEAR((Tahmin!$C$4+6)),MONTH((Tahmin!$C$4+6)),MIN(DAY(Kalemler!$D187),DAY(EOMONTH((Tahmin!$C$4+6),0))))&lt;&gt;DATE(YEAR((Tahmin!$C$4+0)),MONTH((Tahmin!$C$4+0)),MIN(DAY(Kalemler!$D187),DAY(EOMONTH((Tahmin!$C$4+0),0)))),DATE(YEAR((Tahmin!$C$4+6)),MONTH((Tahmin!$C$4+6)),MIN(DAY(Kalemler!$D187),DAY(EOMONTH((Tahmin!$C$4+6),0))))&gt;=Kalemler!$D187)),1,0),IF(AND(Kalemler!$D187&gt;=(Tahmin!$C$4+0),Kalemler!$D187&lt;=(Tahmin!$C$4+6)),1,0))))</f>
        <v>0</v>
      </c>
      <c r="C187" s="0" t="n">
        <f aca="false">IF(OR(Kalemler!$A187="",Kalemler!$C187="",Kalemler!$D187=""),0,Kalemler!$C187*IF(Kalemler!$E187="Haftalık",IF(Kalemler!$D187&lt;=(Tahmin!$C$4+13),1,0),IF(Kalemler!$E187="Aylık",IF(OR(AND(DATE(YEAR((Tahmin!$C$4+7)),MONTH((Tahmin!$C$4+7)),MIN(DAY(Kalemler!$D187),DAY(EOMONTH((Tahmin!$C$4+7),0))))&gt;=(Tahmin!$C$4+7),DATE(YEAR((Tahmin!$C$4+7)),MONTH((Tahmin!$C$4+7)),MIN(DAY(Kalemler!$D187),DAY(EOMONTH((Tahmin!$C$4+7),0))))&lt;=(Tahmin!$C$4+13),DATE(YEAR((Tahmin!$C$4+7)),MONTH((Tahmin!$C$4+7)),MIN(DAY(Kalemler!$D187),DAY(EOMONTH((Tahmin!$C$4+7),0))))&gt;=Kalemler!$D187),AND(DATE(YEAR((Tahmin!$C$4+13)),MONTH((Tahmin!$C$4+13)),MIN(DAY(Kalemler!$D187),DAY(EOMONTH((Tahmin!$C$4+13),0))))&gt;=(Tahmin!$C$4+7),DATE(YEAR((Tahmin!$C$4+13)),MONTH((Tahmin!$C$4+13)),MIN(DAY(Kalemler!$D187),DAY(EOMONTH((Tahmin!$C$4+13),0))))&lt;=(Tahmin!$C$4+13),DATE(YEAR((Tahmin!$C$4+13)),MONTH((Tahmin!$C$4+13)),MIN(DAY(Kalemler!$D187),DAY(EOMONTH((Tahmin!$C$4+13),0))))&lt;&gt;DATE(YEAR((Tahmin!$C$4+7)),MONTH((Tahmin!$C$4+7)),MIN(DAY(Kalemler!$D187),DAY(EOMONTH((Tahmin!$C$4+7),0)))),DATE(YEAR((Tahmin!$C$4+13)),MONTH((Tahmin!$C$4+13)),MIN(DAY(Kalemler!$D187),DAY(EOMONTH((Tahmin!$C$4+13),0))))&gt;=Kalemler!$D187)),1,0),IF(AND(Kalemler!$D187&gt;=(Tahmin!$C$4+7),Kalemler!$D187&lt;=(Tahmin!$C$4+13)),1,0))))</f>
        <v>0</v>
      </c>
      <c r="D187" s="0" t="n">
        <f aca="false">IF(OR(Kalemler!$A187="",Kalemler!$C187="",Kalemler!$D187=""),0,Kalemler!$C187*IF(Kalemler!$E187="Haftalık",IF(Kalemler!$D187&lt;=(Tahmin!$C$4+20),1,0),IF(Kalemler!$E187="Aylık",IF(OR(AND(DATE(YEAR((Tahmin!$C$4+14)),MONTH((Tahmin!$C$4+14)),MIN(DAY(Kalemler!$D187),DAY(EOMONTH((Tahmin!$C$4+14),0))))&gt;=(Tahmin!$C$4+14),DATE(YEAR((Tahmin!$C$4+14)),MONTH((Tahmin!$C$4+14)),MIN(DAY(Kalemler!$D187),DAY(EOMONTH((Tahmin!$C$4+14),0))))&lt;=(Tahmin!$C$4+20),DATE(YEAR((Tahmin!$C$4+14)),MONTH((Tahmin!$C$4+14)),MIN(DAY(Kalemler!$D187),DAY(EOMONTH((Tahmin!$C$4+14),0))))&gt;=Kalemler!$D187),AND(DATE(YEAR((Tahmin!$C$4+20)),MONTH((Tahmin!$C$4+20)),MIN(DAY(Kalemler!$D187),DAY(EOMONTH((Tahmin!$C$4+20),0))))&gt;=(Tahmin!$C$4+14),DATE(YEAR((Tahmin!$C$4+20)),MONTH((Tahmin!$C$4+20)),MIN(DAY(Kalemler!$D187),DAY(EOMONTH((Tahmin!$C$4+20),0))))&lt;=(Tahmin!$C$4+20),DATE(YEAR((Tahmin!$C$4+20)),MONTH((Tahmin!$C$4+20)),MIN(DAY(Kalemler!$D187),DAY(EOMONTH((Tahmin!$C$4+20),0))))&lt;&gt;DATE(YEAR((Tahmin!$C$4+14)),MONTH((Tahmin!$C$4+14)),MIN(DAY(Kalemler!$D187),DAY(EOMONTH((Tahmin!$C$4+14),0)))),DATE(YEAR((Tahmin!$C$4+20)),MONTH((Tahmin!$C$4+20)),MIN(DAY(Kalemler!$D187),DAY(EOMONTH((Tahmin!$C$4+20),0))))&gt;=Kalemler!$D187)),1,0),IF(AND(Kalemler!$D187&gt;=(Tahmin!$C$4+14),Kalemler!$D187&lt;=(Tahmin!$C$4+20)),1,0))))</f>
        <v>0</v>
      </c>
      <c r="E187" s="0" t="n">
        <f aca="false">IF(OR(Kalemler!$A187="",Kalemler!$C187="",Kalemler!$D187=""),0,Kalemler!$C187*IF(Kalemler!$E187="Haftalık",IF(Kalemler!$D187&lt;=(Tahmin!$C$4+27),1,0),IF(Kalemler!$E187="Aylık",IF(OR(AND(DATE(YEAR((Tahmin!$C$4+21)),MONTH((Tahmin!$C$4+21)),MIN(DAY(Kalemler!$D187),DAY(EOMONTH((Tahmin!$C$4+21),0))))&gt;=(Tahmin!$C$4+21),DATE(YEAR((Tahmin!$C$4+21)),MONTH((Tahmin!$C$4+21)),MIN(DAY(Kalemler!$D187),DAY(EOMONTH((Tahmin!$C$4+21),0))))&lt;=(Tahmin!$C$4+27),DATE(YEAR((Tahmin!$C$4+21)),MONTH((Tahmin!$C$4+21)),MIN(DAY(Kalemler!$D187),DAY(EOMONTH((Tahmin!$C$4+21),0))))&gt;=Kalemler!$D187),AND(DATE(YEAR((Tahmin!$C$4+27)),MONTH((Tahmin!$C$4+27)),MIN(DAY(Kalemler!$D187),DAY(EOMONTH((Tahmin!$C$4+27),0))))&gt;=(Tahmin!$C$4+21),DATE(YEAR((Tahmin!$C$4+27)),MONTH((Tahmin!$C$4+27)),MIN(DAY(Kalemler!$D187),DAY(EOMONTH((Tahmin!$C$4+27),0))))&lt;=(Tahmin!$C$4+27),DATE(YEAR((Tahmin!$C$4+27)),MONTH((Tahmin!$C$4+27)),MIN(DAY(Kalemler!$D187),DAY(EOMONTH((Tahmin!$C$4+27),0))))&lt;&gt;DATE(YEAR((Tahmin!$C$4+21)),MONTH((Tahmin!$C$4+21)),MIN(DAY(Kalemler!$D187),DAY(EOMONTH((Tahmin!$C$4+21),0)))),DATE(YEAR((Tahmin!$C$4+27)),MONTH((Tahmin!$C$4+27)),MIN(DAY(Kalemler!$D187),DAY(EOMONTH((Tahmin!$C$4+27),0))))&gt;=Kalemler!$D187)),1,0),IF(AND(Kalemler!$D187&gt;=(Tahmin!$C$4+21),Kalemler!$D187&lt;=(Tahmin!$C$4+27)),1,0))))</f>
        <v>0</v>
      </c>
      <c r="F187" s="0" t="n">
        <f aca="false">IF(OR(Kalemler!$A187="",Kalemler!$C187="",Kalemler!$D187=""),0,Kalemler!$C187*IF(Kalemler!$E187="Haftalık",IF(Kalemler!$D187&lt;=(Tahmin!$C$4+34),1,0),IF(Kalemler!$E187="Aylık",IF(OR(AND(DATE(YEAR((Tahmin!$C$4+28)),MONTH((Tahmin!$C$4+28)),MIN(DAY(Kalemler!$D187),DAY(EOMONTH((Tahmin!$C$4+28),0))))&gt;=(Tahmin!$C$4+28),DATE(YEAR((Tahmin!$C$4+28)),MONTH((Tahmin!$C$4+28)),MIN(DAY(Kalemler!$D187),DAY(EOMONTH((Tahmin!$C$4+28),0))))&lt;=(Tahmin!$C$4+34),DATE(YEAR((Tahmin!$C$4+28)),MONTH((Tahmin!$C$4+28)),MIN(DAY(Kalemler!$D187),DAY(EOMONTH((Tahmin!$C$4+28),0))))&gt;=Kalemler!$D187),AND(DATE(YEAR((Tahmin!$C$4+34)),MONTH((Tahmin!$C$4+34)),MIN(DAY(Kalemler!$D187),DAY(EOMONTH((Tahmin!$C$4+34),0))))&gt;=(Tahmin!$C$4+28),DATE(YEAR((Tahmin!$C$4+34)),MONTH((Tahmin!$C$4+34)),MIN(DAY(Kalemler!$D187),DAY(EOMONTH((Tahmin!$C$4+34),0))))&lt;=(Tahmin!$C$4+34),DATE(YEAR((Tahmin!$C$4+34)),MONTH((Tahmin!$C$4+34)),MIN(DAY(Kalemler!$D187),DAY(EOMONTH((Tahmin!$C$4+34),0))))&lt;&gt;DATE(YEAR((Tahmin!$C$4+28)),MONTH((Tahmin!$C$4+28)),MIN(DAY(Kalemler!$D187),DAY(EOMONTH((Tahmin!$C$4+28),0)))),DATE(YEAR((Tahmin!$C$4+34)),MONTH((Tahmin!$C$4+34)),MIN(DAY(Kalemler!$D187),DAY(EOMONTH((Tahmin!$C$4+34),0))))&gt;=Kalemler!$D187)),1,0),IF(AND(Kalemler!$D187&gt;=(Tahmin!$C$4+28),Kalemler!$D187&lt;=(Tahmin!$C$4+34)),1,0))))</f>
        <v>0</v>
      </c>
      <c r="G187" s="0" t="n">
        <f aca="false">IF(OR(Kalemler!$A187="",Kalemler!$C187="",Kalemler!$D187=""),0,Kalemler!$C187*IF(Kalemler!$E187="Haftalık",IF(Kalemler!$D187&lt;=(Tahmin!$C$4+41),1,0),IF(Kalemler!$E187="Aylık",IF(OR(AND(DATE(YEAR((Tahmin!$C$4+35)),MONTH((Tahmin!$C$4+35)),MIN(DAY(Kalemler!$D187),DAY(EOMONTH((Tahmin!$C$4+35),0))))&gt;=(Tahmin!$C$4+35),DATE(YEAR((Tahmin!$C$4+35)),MONTH((Tahmin!$C$4+35)),MIN(DAY(Kalemler!$D187),DAY(EOMONTH((Tahmin!$C$4+35),0))))&lt;=(Tahmin!$C$4+41),DATE(YEAR((Tahmin!$C$4+35)),MONTH((Tahmin!$C$4+35)),MIN(DAY(Kalemler!$D187),DAY(EOMONTH((Tahmin!$C$4+35),0))))&gt;=Kalemler!$D187),AND(DATE(YEAR((Tahmin!$C$4+41)),MONTH((Tahmin!$C$4+41)),MIN(DAY(Kalemler!$D187),DAY(EOMONTH((Tahmin!$C$4+41),0))))&gt;=(Tahmin!$C$4+35),DATE(YEAR((Tahmin!$C$4+41)),MONTH((Tahmin!$C$4+41)),MIN(DAY(Kalemler!$D187),DAY(EOMONTH((Tahmin!$C$4+41),0))))&lt;=(Tahmin!$C$4+41),DATE(YEAR((Tahmin!$C$4+41)),MONTH((Tahmin!$C$4+41)),MIN(DAY(Kalemler!$D187),DAY(EOMONTH((Tahmin!$C$4+41),0))))&lt;&gt;DATE(YEAR((Tahmin!$C$4+35)),MONTH((Tahmin!$C$4+35)),MIN(DAY(Kalemler!$D187),DAY(EOMONTH((Tahmin!$C$4+35),0)))),DATE(YEAR((Tahmin!$C$4+41)),MONTH((Tahmin!$C$4+41)),MIN(DAY(Kalemler!$D187),DAY(EOMONTH((Tahmin!$C$4+41),0))))&gt;=Kalemler!$D187)),1,0),IF(AND(Kalemler!$D187&gt;=(Tahmin!$C$4+35),Kalemler!$D187&lt;=(Tahmin!$C$4+41)),1,0))))</f>
        <v>0</v>
      </c>
      <c r="H187" s="0" t="n">
        <f aca="false">IF(OR(Kalemler!$A187="",Kalemler!$C187="",Kalemler!$D187=""),0,Kalemler!$C187*IF(Kalemler!$E187="Haftalık",IF(Kalemler!$D187&lt;=(Tahmin!$C$4+48),1,0),IF(Kalemler!$E187="Aylık",IF(OR(AND(DATE(YEAR((Tahmin!$C$4+42)),MONTH((Tahmin!$C$4+42)),MIN(DAY(Kalemler!$D187),DAY(EOMONTH((Tahmin!$C$4+42),0))))&gt;=(Tahmin!$C$4+42),DATE(YEAR((Tahmin!$C$4+42)),MONTH((Tahmin!$C$4+42)),MIN(DAY(Kalemler!$D187),DAY(EOMONTH((Tahmin!$C$4+42),0))))&lt;=(Tahmin!$C$4+48),DATE(YEAR((Tahmin!$C$4+42)),MONTH((Tahmin!$C$4+42)),MIN(DAY(Kalemler!$D187),DAY(EOMONTH((Tahmin!$C$4+42),0))))&gt;=Kalemler!$D187),AND(DATE(YEAR((Tahmin!$C$4+48)),MONTH((Tahmin!$C$4+48)),MIN(DAY(Kalemler!$D187),DAY(EOMONTH((Tahmin!$C$4+48),0))))&gt;=(Tahmin!$C$4+42),DATE(YEAR((Tahmin!$C$4+48)),MONTH((Tahmin!$C$4+48)),MIN(DAY(Kalemler!$D187),DAY(EOMONTH((Tahmin!$C$4+48),0))))&lt;=(Tahmin!$C$4+48),DATE(YEAR((Tahmin!$C$4+48)),MONTH((Tahmin!$C$4+48)),MIN(DAY(Kalemler!$D187),DAY(EOMONTH((Tahmin!$C$4+48),0))))&lt;&gt;DATE(YEAR((Tahmin!$C$4+42)),MONTH((Tahmin!$C$4+42)),MIN(DAY(Kalemler!$D187),DAY(EOMONTH((Tahmin!$C$4+42),0)))),DATE(YEAR((Tahmin!$C$4+48)),MONTH((Tahmin!$C$4+48)),MIN(DAY(Kalemler!$D187),DAY(EOMONTH((Tahmin!$C$4+48),0))))&gt;=Kalemler!$D187)),1,0),IF(AND(Kalemler!$D187&gt;=(Tahmin!$C$4+42),Kalemler!$D187&lt;=(Tahmin!$C$4+48)),1,0))))</f>
        <v>0</v>
      </c>
      <c r="I187" s="0" t="n">
        <f aca="false">IF(OR(Kalemler!$A187="",Kalemler!$C187="",Kalemler!$D187=""),0,Kalemler!$C187*IF(Kalemler!$E187="Haftalık",IF(Kalemler!$D187&lt;=(Tahmin!$C$4+55),1,0),IF(Kalemler!$E187="Aylık",IF(OR(AND(DATE(YEAR((Tahmin!$C$4+49)),MONTH((Tahmin!$C$4+49)),MIN(DAY(Kalemler!$D187),DAY(EOMONTH((Tahmin!$C$4+49),0))))&gt;=(Tahmin!$C$4+49),DATE(YEAR((Tahmin!$C$4+49)),MONTH((Tahmin!$C$4+49)),MIN(DAY(Kalemler!$D187),DAY(EOMONTH((Tahmin!$C$4+49),0))))&lt;=(Tahmin!$C$4+55),DATE(YEAR((Tahmin!$C$4+49)),MONTH((Tahmin!$C$4+49)),MIN(DAY(Kalemler!$D187),DAY(EOMONTH((Tahmin!$C$4+49),0))))&gt;=Kalemler!$D187),AND(DATE(YEAR((Tahmin!$C$4+55)),MONTH((Tahmin!$C$4+55)),MIN(DAY(Kalemler!$D187),DAY(EOMONTH((Tahmin!$C$4+55),0))))&gt;=(Tahmin!$C$4+49),DATE(YEAR((Tahmin!$C$4+55)),MONTH((Tahmin!$C$4+55)),MIN(DAY(Kalemler!$D187),DAY(EOMONTH((Tahmin!$C$4+55),0))))&lt;=(Tahmin!$C$4+55),DATE(YEAR((Tahmin!$C$4+55)),MONTH((Tahmin!$C$4+55)),MIN(DAY(Kalemler!$D187),DAY(EOMONTH((Tahmin!$C$4+55),0))))&lt;&gt;DATE(YEAR((Tahmin!$C$4+49)),MONTH((Tahmin!$C$4+49)),MIN(DAY(Kalemler!$D187),DAY(EOMONTH((Tahmin!$C$4+49),0)))),DATE(YEAR((Tahmin!$C$4+55)),MONTH((Tahmin!$C$4+55)),MIN(DAY(Kalemler!$D187),DAY(EOMONTH((Tahmin!$C$4+55),0))))&gt;=Kalemler!$D187)),1,0),IF(AND(Kalemler!$D187&gt;=(Tahmin!$C$4+49),Kalemler!$D187&lt;=(Tahmin!$C$4+55)),1,0))))</f>
        <v>0</v>
      </c>
      <c r="J187" s="0" t="n">
        <f aca="false">IF(OR(Kalemler!$A187="",Kalemler!$C187="",Kalemler!$D187=""),0,Kalemler!$C187*IF(Kalemler!$E187="Haftalık",IF(Kalemler!$D187&lt;=(Tahmin!$C$4+62),1,0),IF(Kalemler!$E187="Aylık",IF(OR(AND(DATE(YEAR((Tahmin!$C$4+56)),MONTH((Tahmin!$C$4+56)),MIN(DAY(Kalemler!$D187),DAY(EOMONTH((Tahmin!$C$4+56),0))))&gt;=(Tahmin!$C$4+56),DATE(YEAR((Tahmin!$C$4+56)),MONTH((Tahmin!$C$4+56)),MIN(DAY(Kalemler!$D187),DAY(EOMONTH((Tahmin!$C$4+56),0))))&lt;=(Tahmin!$C$4+62),DATE(YEAR((Tahmin!$C$4+56)),MONTH((Tahmin!$C$4+56)),MIN(DAY(Kalemler!$D187),DAY(EOMONTH((Tahmin!$C$4+56),0))))&gt;=Kalemler!$D187),AND(DATE(YEAR((Tahmin!$C$4+62)),MONTH((Tahmin!$C$4+62)),MIN(DAY(Kalemler!$D187),DAY(EOMONTH((Tahmin!$C$4+62),0))))&gt;=(Tahmin!$C$4+56),DATE(YEAR((Tahmin!$C$4+62)),MONTH((Tahmin!$C$4+62)),MIN(DAY(Kalemler!$D187),DAY(EOMONTH((Tahmin!$C$4+62),0))))&lt;=(Tahmin!$C$4+62),DATE(YEAR((Tahmin!$C$4+62)),MONTH((Tahmin!$C$4+62)),MIN(DAY(Kalemler!$D187),DAY(EOMONTH((Tahmin!$C$4+62),0))))&lt;&gt;DATE(YEAR((Tahmin!$C$4+56)),MONTH((Tahmin!$C$4+56)),MIN(DAY(Kalemler!$D187),DAY(EOMONTH((Tahmin!$C$4+56),0)))),DATE(YEAR((Tahmin!$C$4+62)),MONTH((Tahmin!$C$4+62)),MIN(DAY(Kalemler!$D187),DAY(EOMONTH((Tahmin!$C$4+62),0))))&gt;=Kalemler!$D187)),1,0),IF(AND(Kalemler!$D187&gt;=(Tahmin!$C$4+56),Kalemler!$D187&lt;=(Tahmin!$C$4+62)),1,0))))</f>
        <v>0</v>
      </c>
      <c r="K187" s="0" t="n">
        <f aca="false">IF(OR(Kalemler!$A187="",Kalemler!$C187="",Kalemler!$D187=""),0,Kalemler!$C187*IF(Kalemler!$E187="Haftalık",IF(Kalemler!$D187&lt;=(Tahmin!$C$4+69),1,0),IF(Kalemler!$E187="Aylık",IF(OR(AND(DATE(YEAR((Tahmin!$C$4+63)),MONTH((Tahmin!$C$4+63)),MIN(DAY(Kalemler!$D187),DAY(EOMONTH((Tahmin!$C$4+63),0))))&gt;=(Tahmin!$C$4+63),DATE(YEAR((Tahmin!$C$4+63)),MONTH((Tahmin!$C$4+63)),MIN(DAY(Kalemler!$D187),DAY(EOMONTH((Tahmin!$C$4+63),0))))&lt;=(Tahmin!$C$4+69),DATE(YEAR((Tahmin!$C$4+63)),MONTH((Tahmin!$C$4+63)),MIN(DAY(Kalemler!$D187),DAY(EOMONTH((Tahmin!$C$4+63),0))))&gt;=Kalemler!$D187),AND(DATE(YEAR((Tahmin!$C$4+69)),MONTH((Tahmin!$C$4+69)),MIN(DAY(Kalemler!$D187),DAY(EOMONTH((Tahmin!$C$4+69),0))))&gt;=(Tahmin!$C$4+63),DATE(YEAR((Tahmin!$C$4+69)),MONTH((Tahmin!$C$4+69)),MIN(DAY(Kalemler!$D187),DAY(EOMONTH((Tahmin!$C$4+69),0))))&lt;=(Tahmin!$C$4+69),DATE(YEAR((Tahmin!$C$4+69)),MONTH((Tahmin!$C$4+69)),MIN(DAY(Kalemler!$D187),DAY(EOMONTH((Tahmin!$C$4+69),0))))&lt;&gt;DATE(YEAR((Tahmin!$C$4+63)),MONTH((Tahmin!$C$4+63)),MIN(DAY(Kalemler!$D187),DAY(EOMONTH((Tahmin!$C$4+63),0)))),DATE(YEAR((Tahmin!$C$4+69)),MONTH((Tahmin!$C$4+69)),MIN(DAY(Kalemler!$D187),DAY(EOMONTH((Tahmin!$C$4+69),0))))&gt;=Kalemler!$D187)),1,0),IF(AND(Kalemler!$D187&gt;=(Tahmin!$C$4+63),Kalemler!$D187&lt;=(Tahmin!$C$4+69)),1,0))))</f>
        <v>0</v>
      </c>
      <c r="L187" s="0" t="n">
        <f aca="false">IF(OR(Kalemler!$A187="",Kalemler!$C187="",Kalemler!$D187=""),0,Kalemler!$C187*IF(Kalemler!$E187="Haftalık",IF(Kalemler!$D187&lt;=(Tahmin!$C$4+76),1,0),IF(Kalemler!$E187="Aylık",IF(OR(AND(DATE(YEAR((Tahmin!$C$4+70)),MONTH((Tahmin!$C$4+70)),MIN(DAY(Kalemler!$D187),DAY(EOMONTH((Tahmin!$C$4+70),0))))&gt;=(Tahmin!$C$4+70),DATE(YEAR((Tahmin!$C$4+70)),MONTH((Tahmin!$C$4+70)),MIN(DAY(Kalemler!$D187),DAY(EOMONTH((Tahmin!$C$4+70),0))))&lt;=(Tahmin!$C$4+76),DATE(YEAR((Tahmin!$C$4+70)),MONTH((Tahmin!$C$4+70)),MIN(DAY(Kalemler!$D187),DAY(EOMONTH((Tahmin!$C$4+70),0))))&gt;=Kalemler!$D187),AND(DATE(YEAR((Tahmin!$C$4+76)),MONTH((Tahmin!$C$4+76)),MIN(DAY(Kalemler!$D187),DAY(EOMONTH((Tahmin!$C$4+76),0))))&gt;=(Tahmin!$C$4+70),DATE(YEAR((Tahmin!$C$4+76)),MONTH((Tahmin!$C$4+76)),MIN(DAY(Kalemler!$D187),DAY(EOMONTH((Tahmin!$C$4+76),0))))&lt;=(Tahmin!$C$4+76),DATE(YEAR((Tahmin!$C$4+76)),MONTH((Tahmin!$C$4+76)),MIN(DAY(Kalemler!$D187),DAY(EOMONTH((Tahmin!$C$4+76),0))))&lt;&gt;DATE(YEAR((Tahmin!$C$4+70)),MONTH((Tahmin!$C$4+70)),MIN(DAY(Kalemler!$D187),DAY(EOMONTH((Tahmin!$C$4+70),0)))),DATE(YEAR((Tahmin!$C$4+76)),MONTH((Tahmin!$C$4+76)),MIN(DAY(Kalemler!$D187),DAY(EOMONTH((Tahmin!$C$4+76),0))))&gt;=Kalemler!$D187)),1,0),IF(AND(Kalemler!$D187&gt;=(Tahmin!$C$4+70),Kalemler!$D187&lt;=(Tahmin!$C$4+76)),1,0))))</f>
        <v>0</v>
      </c>
      <c r="M187" s="0" t="n">
        <f aca="false">IF(OR(Kalemler!$A187="",Kalemler!$C187="",Kalemler!$D187=""),0,Kalemler!$C187*IF(Kalemler!$E187="Haftalık",IF(Kalemler!$D187&lt;=(Tahmin!$C$4+83),1,0),IF(Kalemler!$E187="Aylık",IF(OR(AND(DATE(YEAR((Tahmin!$C$4+77)),MONTH((Tahmin!$C$4+77)),MIN(DAY(Kalemler!$D187),DAY(EOMONTH((Tahmin!$C$4+77),0))))&gt;=(Tahmin!$C$4+77),DATE(YEAR((Tahmin!$C$4+77)),MONTH((Tahmin!$C$4+77)),MIN(DAY(Kalemler!$D187),DAY(EOMONTH((Tahmin!$C$4+77),0))))&lt;=(Tahmin!$C$4+83),DATE(YEAR((Tahmin!$C$4+77)),MONTH((Tahmin!$C$4+77)),MIN(DAY(Kalemler!$D187),DAY(EOMONTH((Tahmin!$C$4+77),0))))&gt;=Kalemler!$D187),AND(DATE(YEAR((Tahmin!$C$4+83)),MONTH((Tahmin!$C$4+83)),MIN(DAY(Kalemler!$D187),DAY(EOMONTH((Tahmin!$C$4+83),0))))&gt;=(Tahmin!$C$4+77),DATE(YEAR((Tahmin!$C$4+83)),MONTH((Tahmin!$C$4+83)),MIN(DAY(Kalemler!$D187),DAY(EOMONTH((Tahmin!$C$4+83),0))))&lt;=(Tahmin!$C$4+83),DATE(YEAR((Tahmin!$C$4+83)),MONTH((Tahmin!$C$4+83)),MIN(DAY(Kalemler!$D187),DAY(EOMONTH((Tahmin!$C$4+83),0))))&lt;&gt;DATE(YEAR((Tahmin!$C$4+77)),MONTH((Tahmin!$C$4+77)),MIN(DAY(Kalemler!$D187),DAY(EOMONTH((Tahmin!$C$4+77),0)))),DATE(YEAR((Tahmin!$C$4+83)),MONTH((Tahmin!$C$4+83)),MIN(DAY(Kalemler!$D187),DAY(EOMONTH((Tahmin!$C$4+83),0))))&gt;=Kalemler!$D187)),1,0),IF(AND(Kalemler!$D187&gt;=(Tahmin!$C$4+77),Kalemler!$D187&lt;=(Tahmin!$C$4+83)),1,0))))</f>
        <v>0</v>
      </c>
      <c r="N187" s="0" t="n">
        <f aca="false">IF(OR(Kalemler!$A187="",Kalemler!$C187="",Kalemler!$D187=""),0,Kalemler!$C187*IF(Kalemler!$E187="Haftalık",IF(Kalemler!$D187&lt;=(Tahmin!$C$4+90),1,0),IF(Kalemler!$E187="Aylık",IF(OR(AND(DATE(YEAR((Tahmin!$C$4+84)),MONTH((Tahmin!$C$4+84)),MIN(DAY(Kalemler!$D187),DAY(EOMONTH((Tahmin!$C$4+84),0))))&gt;=(Tahmin!$C$4+84),DATE(YEAR((Tahmin!$C$4+84)),MONTH((Tahmin!$C$4+84)),MIN(DAY(Kalemler!$D187),DAY(EOMONTH((Tahmin!$C$4+84),0))))&lt;=(Tahmin!$C$4+90),DATE(YEAR((Tahmin!$C$4+84)),MONTH((Tahmin!$C$4+84)),MIN(DAY(Kalemler!$D187),DAY(EOMONTH((Tahmin!$C$4+84),0))))&gt;=Kalemler!$D187),AND(DATE(YEAR((Tahmin!$C$4+90)),MONTH((Tahmin!$C$4+90)),MIN(DAY(Kalemler!$D187),DAY(EOMONTH((Tahmin!$C$4+90),0))))&gt;=(Tahmin!$C$4+84),DATE(YEAR((Tahmin!$C$4+90)),MONTH((Tahmin!$C$4+90)),MIN(DAY(Kalemler!$D187),DAY(EOMONTH((Tahmin!$C$4+90),0))))&lt;=(Tahmin!$C$4+90),DATE(YEAR((Tahmin!$C$4+90)),MONTH((Tahmin!$C$4+90)),MIN(DAY(Kalemler!$D187),DAY(EOMONTH((Tahmin!$C$4+90),0))))&lt;&gt;DATE(YEAR((Tahmin!$C$4+84)),MONTH((Tahmin!$C$4+84)),MIN(DAY(Kalemler!$D187),DAY(EOMONTH((Tahmin!$C$4+84),0)))),DATE(YEAR((Tahmin!$C$4+90)),MONTH((Tahmin!$C$4+90)),MIN(DAY(Kalemler!$D187),DAY(EOMONTH((Tahmin!$C$4+90),0))))&gt;=Kalemler!$D187)),1,0),IF(AND(Kalemler!$D187&gt;=(Tahmin!$C$4+84),Kalemler!$D187&lt;=(Tahmin!$C$4+90)),1,0))))</f>
        <v>0</v>
      </c>
    </row>
    <row r="188" customFormat="false" ht="15" hidden="false" customHeight="false" outlineLevel="0" collapsed="false">
      <c r="A188" s="0" t="str">
        <f aca="false">IF(Kalemler!A188="","",Kalemler!A188)</f>
        <v/>
      </c>
      <c r="B188" s="0" t="n">
        <f aca="false">IF(OR(Kalemler!$A188="",Kalemler!$C188="",Kalemler!$D188=""),0,Kalemler!$C188*IF(Kalemler!$E188="Haftalık",IF(Kalemler!$D188&lt;=(Tahmin!$C$4+6),1,0),IF(Kalemler!$E188="Aylık",IF(OR(AND(DATE(YEAR((Tahmin!$C$4+0)),MONTH((Tahmin!$C$4+0)),MIN(DAY(Kalemler!$D188),DAY(EOMONTH((Tahmin!$C$4+0),0))))&gt;=(Tahmin!$C$4+0),DATE(YEAR((Tahmin!$C$4+0)),MONTH((Tahmin!$C$4+0)),MIN(DAY(Kalemler!$D188),DAY(EOMONTH((Tahmin!$C$4+0),0))))&lt;=(Tahmin!$C$4+6),DATE(YEAR((Tahmin!$C$4+0)),MONTH((Tahmin!$C$4+0)),MIN(DAY(Kalemler!$D188),DAY(EOMONTH((Tahmin!$C$4+0),0))))&gt;=Kalemler!$D188),AND(DATE(YEAR((Tahmin!$C$4+6)),MONTH((Tahmin!$C$4+6)),MIN(DAY(Kalemler!$D188),DAY(EOMONTH((Tahmin!$C$4+6),0))))&gt;=(Tahmin!$C$4+0),DATE(YEAR((Tahmin!$C$4+6)),MONTH((Tahmin!$C$4+6)),MIN(DAY(Kalemler!$D188),DAY(EOMONTH((Tahmin!$C$4+6),0))))&lt;=(Tahmin!$C$4+6),DATE(YEAR((Tahmin!$C$4+6)),MONTH((Tahmin!$C$4+6)),MIN(DAY(Kalemler!$D188),DAY(EOMONTH((Tahmin!$C$4+6),0))))&lt;&gt;DATE(YEAR((Tahmin!$C$4+0)),MONTH((Tahmin!$C$4+0)),MIN(DAY(Kalemler!$D188),DAY(EOMONTH((Tahmin!$C$4+0),0)))),DATE(YEAR((Tahmin!$C$4+6)),MONTH((Tahmin!$C$4+6)),MIN(DAY(Kalemler!$D188),DAY(EOMONTH((Tahmin!$C$4+6),0))))&gt;=Kalemler!$D188)),1,0),IF(AND(Kalemler!$D188&gt;=(Tahmin!$C$4+0),Kalemler!$D188&lt;=(Tahmin!$C$4+6)),1,0))))</f>
        <v>0</v>
      </c>
      <c r="C188" s="0" t="n">
        <f aca="false">IF(OR(Kalemler!$A188="",Kalemler!$C188="",Kalemler!$D188=""),0,Kalemler!$C188*IF(Kalemler!$E188="Haftalık",IF(Kalemler!$D188&lt;=(Tahmin!$C$4+13),1,0),IF(Kalemler!$E188="Aylık",IF(OR(AND(DATE(YEAR((Tahmin!$C$4+7)),MONTH((Tahmin!$C$4+7)),MIN(DAY(Kalemler!$D188),DAY(EOMONTH((Tahmin!$C$4+7),0))))&gt;=(Tahmin!$C$4+7),DATE(YEAR((Tahmin!$C$4+7)),MONTH((Tahmin!$C$4+7)),MIN(DAY(Kalemler!$D188),DAY(EOMONTH((Tahmin!$C$4+7),0))))&lt;=(Tahmin!$C$4+13),DATE(YEAR((Tahmin!$C$4+7)),MONTH((Tahmin!$C$4+7)),MIN(DAY(Kalemler!$D188),DAY(EOMONTH((Tahmin!$C$4+7),0))))&gt;=Kalemler!$D188),AND(DATE(YEAR((Tahmin!$C$4+13)),MONTH((Tahmin!$C$4+13)),MIN(DAY(Kalemler!$D188),DAY(EOMONTH((Tahmin!$C$4+13),0))))&gt;=(Tahmin!$C$4+7),DATE(YEAR((Tahmin!$C$4+13)),MONTH((Tahmin!$C$4+13)),MIN(DAY(Kalemler!$D188),DAY(EOMONTH((Tahmin!$C$4+13),0))))&lt;=(Tahmin!$C$4+13),DATE(YEAR((Tahmin!$C$4+13)),MONTH((Tahmin!$C$4+13)),MIN(DAY(Kalemler!$D188),DAY(EOMONTH((Tahmin!$C$4+13),0))))&lt;&gt;DATE(YEAR((Tahmin!$C$4+7)),MONTH((Tahmin!$C$4+7)),MIN(DAY(Kalemler!$D188),DAY(EOMONTH((Tahmin!$C$4+7),0)))),DATE(YEAR((Tahmin!$C$4+13)),MONTH((Tahmin!$C$4+13)),MIN(DAY(Kalemler!$D188),DAY(EOMONTH((Tahmin!$C$4+13),0))))&gt;=Kalemler!$D188)),1,0),IF(AND(Kalemler!$D188&gt;=(Tahmin!$C$4+7),Kalemler!$D188&lt;=(Tahmin!$C$4+13)),1,0))))</f>
        <v>0</v>
      </c>
      <c r="D188" s="0" t="n">
        <f aca="false">IF(OR(Kalemler!$A188="",Kalemler!$C188="",Kalemler!$D188=""),0,Kalemler!$C188*IF(Kalemler!$E188="Haftalık",IF(Kalemler!$D188&lt;=(Tahmin!$C$4+20),1,0),IF(Kalemler!$E188="Aylık",IF(OR(AND(DATE(YEAR((Tahmin!$C$4+14)),MONTH((Tahmin!$C$4+14)),MIN(DAY(Kalemler!$D188),DAY(EOMONTH((Tahmin!$C$4+14),0))))&gt;=(Tahmin!$C$4+14),DATE(YEAR((Tahmin!$C$4+14)),MONTH((Tahmin!$C$4+14)),MIN(DAY(Kalemler!$D188),DAY(EOMONTH((Tahmin!$C$4+14),0))))&lt;=(Tahmin!$C$4+20),DATE(YEAR((Tahmin!$C$4+14)),MONTH((Tahmin!$C$4+14)),MIN(DAY(Kalemler!$D188),DAY(EOMONTH((Tahmin!$C$4+14),0))))&gt;=Kalemler!$D188),AND(DATE(YEAR((Tahmin!$C$4+20)),MONTH((Tahmin!$C$4+20)),MIN(DAY(Kalemler!$D188),DAY(EOMONTH((Tahmin!$C$4+20),0))))&gt;=(Tahmin!$C$4+14),DATE(YEAR((Tahmin!$C$4+20)),MONTH((Tahmin!$C$4+20)),MIN(DAY(Kalemler!$D188),DAY(EOMONTH((Tahmin!$C$4+20),0))))&lt;=(Tahmin!$C$4+20),DATE(YEAR((Tahmin!$C$4+20)),MONTH((Tahmin!$C$4+20)),MIN(DAY(Kalemler!$D188),DAY(EOMONTH((Tahmin!$C$4+20),0))))&lt;&gt;DATE(YEAR((Tahmin!$C$4+14)),MONTH((Tahmin!$C$4+14)),MIN(DAY(Kalemler!$D188),DAY(EOMONTH((Tahmin!$C$4+14),0)))),DATE(YEAR((Tahmin!$C$4+20)),MONTH((Tahmin!$C$4+20)),MIN(DAY(Kalemler!$D188),DAY(EOMONTH((Tahmin!$C$4+20),0))))&gt;=Kalemler!$D188)),1,0),IF(AND(Kalemler!$D188&gt;=(Tahmin!$C$4+14),Kalemler!$D188&lt;=(Tahmin!$C$4+20)),1,0))))</f>
        <v>0</v>
      </c>
      <c r="E188" s="0" t="n">
        <f aca="false">IF(OR(Kalemler!$A188="",Kalemler!$C188="",Kalemler!$D188=""),0,Kalemler!$C188*IF(Kalemler!$E188="Haftalık",IF(Kalemler!$D188&lt;=(Tahmin!$C$4+27),1,0),IF(Kalemler!$E188="Aylık",IF(OR(AND(DATE(YEAR((Tahmin!$C$4+21)),MONTH((Tahmin!$C$4+21)),MIN(DAY(Kalemler!$D188),DAY(EOMONTH((Tahmin!$C$4+21),0))))&gt;=(Tahmin!$C$4+21),DATE(YEAR((Tahmin!$C$4+21)),MONTH((Tahmin!$C$4+21)),MIN(DAY(Kalemler!$D188),DAY(EOMONTH((Tahmin!$C$4+21),0))))&lt;=(Tahmin!$C$4+27),DATE(YEAR((Tahmin!$C$4+21)),MONTH((Tahmin!$C$4+21)),MIN(DAY(Kalemler!$D188),DAY(EOMONTH((Tahmin!$C$4+21),0))))&gt;=Kalemler!$D188),AND(DATE(YEAR((Tahmin!$C$4+27)),MONTH((Tahmin!$C$4+27)),MIN(DAY(Kalemler!$D188),DAY(EOMONTH((Tahmin!$C$4+27),0))))&gt;=(Tahmin!$C$4+21),DATE(YEAR((Tahmin!$C$4+27)),MONTH((Tahmin!$C$4+27)),MIN(DAY(Kalemler!$D188),DAY(EOMONTH((Tahmin!$C$4+27),0))))&lt;=(Tahmin!$C$4+27),DATE(YEAR((Tahmin!$C$4+27)),MONTH((Tahmin!$C$4+27)),MIN(DAY(Kalemler!$D188),DAY(EOMONTH((Tahmin!$C$4+27),0))))&lt;&gt;DATE(YEAR((Tahmin!$C$4+21)),MONTH((Tahmin!$C$4+21)),MIN(DAY(Kalemler!$D188),DAY(EOMONTH((Tahmin!$C$4+21),0)))),DATE(YEAR((Tahmin!$C$4+27)),MONTH((Tahmin!$C$4+27)),MIN(DAY(Kalemler!$D188),DAY(EOMONTH((Tahmin!$C$4+27),0))))&gt;=Kalemler!$D188)),1,0),IF(AND(Kalemler!$D188&gt;=(Tahmin!$C$4+21),Kalemler!$D188&lt;=(Tahmin!$C$4+27)),1,0))))</f>
        <v>0</v>
      </c>
      <c r="F188" s="0" t="n">
        <f aca="false">IF(OR(Kalemler!$A188="",Kalemler!$C188="",Kalemler!$D188=""),0,Kalemler!$C188*IF(Kalemler!$E188="Haftalık",IF(Kalemler!$D188&lt;=(Tahmin!$C$4+34),1,0),IF(Kalemler!$E188="Aylık",IF(OR(AND(DATE(YEAR((Tahmin!$C$4+28)),MONTH((Tahmin!$C$4+28)),MIN(DAY(Kalemler!$D188),DAY(EOMONTH((Tahmin!$C$4+28),0))))&gt;=(Tahmin!$C$4+28),DATE(YEAR((Tahmin!$C$4+28)),MONTH((Tahmin!$C$4+28)),MIN(DAY(Kalemler!$D188),DAY(EOMONTH((Tahmin!$C$4+28),0))))&lt;=(Tahmin!$C$4+34),DATE(YEAR((Tahmin!$C$4+28)),MONTH((Tahmin!$C$4+28)),MIN(DAY(Kalemler!$D188),DAY(EOMONTH((Tahmin!$C$4+28),0))))&gt;=Kalemler!$D188),AND(DATE(YEAR((Tahmin!$C$4+34)),MONTH((Tahmin!$C$4+34)),MIN(DAY(Kalemler!$D188),DAY(EOMONTH((Tahmin!$C$4+34),0))))&gt;=(Tahmin!$C$4+28),DATE(YEAR((Tahmin!$C$4+34)),MONTH((Tahmin!$C$4+34)),MIN(DAY(Kalemler!$D188),DAY(EOMONTH((Tahmin!$C$4+34),0))))&lt;=(Tahmin!$C$4+34),DATE(YEAR((Tahmin!$C$4+34)),MONTH((Tahmin!$C$4+34)),MIN(DAY(Kalemler!$D188),DAY(EOMONTH((Tahmin!$C$4+34),0))))&lt;&gt;DATE(YEAR((Tahmin!$C$4+28)),MONTH((Tahmin!$C$4+28)),MIN(DAY(Kalemler!$D188),DAY(EOMONTH((Tahmin!$C$4+28),0)))),DATE(YEAR((Tahmin!$C$4+34)),MONTH((Tahmin!$C$4+34)),MIN(DAY(Kalemler!$D188),DAY(EOMONTH((Tahmin!$C$4+34),0))))&gt;=Kalemler!$D188)),1,0),IF(AND(Kalemler!$D188&gt;=(Tahmin!$C$4+28),Kalemler!$D188&lt;=(Tahmin!$C$4+34)),1,0))))</f>
        <v>0</v>
      </c>
      <c r="G188" s="0" t="n">
        <f aca="false">IF(OR(Kalemler!$A188="",Kalemler!$C188="",Kalemler!$D188=""),0,Kalemler!$C188*IF(Kalemler!$E188="Haftalık",IF(Kalemler!$D188&lt;=(Tahmin!$C$4+41),1,0),IF(Kalemler!$E188="Aylık",IF(OR(AND(DATE(YEAR((Tahmin!$C$4+35)),MONTH((Tahmin!$C$4+35)),MIN(DAY(Kalemler!$D188),DAY(EOMONTH((Tahmin!$C$4+35),0))))&gt;=(Tahmin!$C$4+35),DATE(YEAR((Tahmin!$C$4+35)),MONTH((Tahmin!$C$4+35)),MIN(DAY(Kalemler!$D188),DAY(EOMONTH((Tahmin!$C$4+35),0))))&lt;=(Tahmin!$C$4+41),DATE(YEAR((Tahmin!$C$4+35)),MONTH((Tahmin!$C$4+35)),MIN(DAY(Kalemler!$D188),DAY(EOMONTH((Tahmin!$C$4+35),0))))&gt;=Kalemler!$D188),AND(DATE(YEAR((Tahmin!$C$4+41)),MONTH((Tahmin!$C$4+41)),MIN(DAY(Kalemler!$D188),DAY(EOMONTH((Tahmin!$C$4+41),0))))&gt;=(Tahmin!$C$4+35),DATE(YEAR((Tahmin!$C$4+41)),MONTH((Tahmin!$C$4+41)),MIN(DAY(Kalemler!$D188),DAY(EOMONTH((Tahmin!$C$4+41),0))))&lt;=(Tahmin!$C$4+41),DATE(YEAR((Tahmin!$C$4+41)),MONTH((Tahmin!$C$4+41)),MIN(DAY(Kalemler!$D188),DAY(EOMONTH((Tahmin!$C$4+41),0))))&lt;&gt;DATE(YEAR((Tahmin!$C$4+35)),MONTH((Tahmin!$C$4+35)),MIN(DAY(Kalemler!$D188),DAY(EOMONTH((Tahmin!$C$4+35),0)))),DATE(YEAR((Tahmin!$C$4+41)),MONTH((Tahmin!$C$4+41)),MIN(DAY(Kalemler!$D188),DAY(EOMONTH((Tahmin!$C$4+41),0))))&gt;=Kalemler!$D188)),1,0),IF(AND(Kalemler!$D188&gt;=(Tahmin!$C$4+35),Kalemler!$D188&lt;=(Tahmin!$C$4+41)),1,0))))</f>
        <v>0</v>
      </c>
      <c r="H188" s="0" t="n">
        <f aca="false">IF(OR(Kalemler!$A188="",Kalemler!$C188="",Kalemler!$D188=""),0,Kalemler!$C188*IF(Kalemler!$E188="Haftalık",IF(Kalemler!$D188&lt;=(Tahmin!$C$4+48),1,0),IF(Kalemler!$E188="Aylık",IF(OR(AND(DATE(YEAR((Tahmin!$C$4+42)),MONTH((Tahmin!$C$4+42)),MIN(DAY(Kalemler!$D188),DAY(EOMONTH((Tahmin!$C$4+42),0))))&gt;=(Tahmin!$C$4+42),DATE(YEAR((Tahmin!$C$4+42)),MONTH((Tahmin!$C$4+42)),MIN(DAY(Kalemler!$D188),DAY(EOMONTH((Tahmin!$C$4+42),0))))&lt;=(Tahmin!$C$4+48),DATE(YEAR((Tahmin!$C$4+42)),MONTH((Tahmin!$C$4+42)),MIN(DAY(Kalemler!$D188),DAY(EOMONTH((Tahmin!$C$4+42),0))))&gt;=Kalemler!$D188),AND(DATE(YEAR((Tahmin!$C$4+48)),MONTH((Tahmin!$C$4+48)),MIN(DAY(Kalemler!$D188),DAY(EOMONTH((Tahmin!$C$4+48),0))))&gt;=(Tahmin!$C$4+42),DATE(YEAR((Tahmin!$C$4+48)),MONTH((Tahmin!$C$4+48)),MIN(DAY(Kalemler!$D188),DAY(EOMONTH((Tahmin!$C$4+48),0))))&lt;=(Tahmin!$C$4+48),DATE(YEAR((Tahmin!$C$4+48)),MONTH((Tahmin!$C$4+48)),MIN(DAY(Kalemler!$D188),DAY(EOMONTH((Tahmin!$C$4+48),0))))&lt;&gt;DATE(YEAR((Tahmin!$C$4+42)),MONTH((Tahmin!$C$4+42)),MIN(DAY(Kalemler!$D188),DAY(EOMONTH((Tahmin!$C$4+42),0)))),DATE(YEAR((Tahmin!$C$4+48)),MONTH((Tahmin!$C$4+48)),MIN(DAY(Kalemler!$D188),DAY(EOMONTH((Tahmin!$C$4+48),0))))&gt;=Kalemler!$D188)),1,0),IF(AND(Kalemler!$D188&gt;=(Tahmin!$C$4+42),Kalemler!$D188&lt;=(Tahmin!$C$4+48)),1,0))))</f>
        <v>0</v>
      </c>
      <c r="I188" s="0" t="n">
        <f aca="false">IF(OR(Kalemler!$A188="",Kalemler!$C188="",Kalemler!$D188=""),0,Kalemler!$C188*IF(Kalemler!$E188="Haftalık",IF(Kalemler!$D188&lt;=(Tahmin!$C$4+55),1,0),IF(Kalemler!$E188="Aylık",IF(OR(AND(DATE(YEAR((Tahmin!$C$4+49)),MONTH((Tahmin!$C$4+49)),MIN(DAY(Kalemler!$D188),DAY(EOMONTH((Tahmin!$C$4+49),0))))&gt;=(Tahmin!$C$4+49),DATE(YEAR((Tahmin!$C$4+49)),MONTH((Tahmin!$C$4+49)),MIN(DAY(Kalemler!$D188),DAY(EOMONTH((Tahmin!$C$4+49),0))))&lt;=(Tahmin!$C$4+55),DATE(YEAR((Tahmin!$C$4+49)),MONTH((Tahmin!$C$4+49)),MIN(DAY(Kalemler!$D188),DAY(EOMONTH((Tahmin!$C$4+49),0))))&gt;=Kalemler!$D188),AND(DATE(YEAR((Tahmin!$C$4+55)),MONTH((Tahmin!$C$4+55)),MIN(DAY(Kalemler!$D188),DAY(EOMONTH((Tahmin!$C$4+55),0))))&gt;=(Tahmin!$C$4+49),DATE(YEAR((Tahmin!$C$4+55)),MONTH((Tahmin!$C$4+55)),MIN(DAY(Kalemler!$D188),DAY(EOMONTH((Tahmin!$C$4+55),0))))&lt;=(Tahmin!$C$4+55),DATE(YEAR((Tahmin!$C$4+55)),MONTH((Tahmin!$C$4+55)),MIN(DAY(Kalemler!$D188),DAY(EOMONTH((Tahmin!$C$4+55),0))))&lt;&gt;DATE(YEAR((Tahmin!$C$4+49)),MONTH((Tahmin!$C$4+49)),MIN(DAY(Kalemler!$D188),DAY(EOMONTH((Tahmin!$C$4+49),0)))),DATE(YEAR((Tahmin!$C$4+55)),MONTH((Tahmin!$C$4+55)),MIN(DAY(Kalemler!$D188),DAY(EOMONTH((Tahmin!$C$4+55),0))))&gt;=Kalemler!$D188)),1,0),IF(AND(Kalemler!$D188&gt;=(Tahmin!$C$4+49),Kalemler!$D188&lt;=(Tahmin!$C$4+55)),1,0))))</f>
        <v>0</v>
      </c>
      <c r="J188" s="0" t="n">
        <f aca="false">IF(OR(Kalemler!$A188="",Kalemler!$C188="",Kalemler!$D188=""),0,Kalemler!$C188*IF(Kalemler!$E188="Haftalık",IF(Kalemler!$D188&lt;=(Tahmin!$C$4+62),1,0),IF(Kalemler!$E188="Aylık",IF(OR(AND(DATE(YEAR((Tahmin!$C$4+56)),MONTH((Tahmin!$C$4+56)),MIN(DAY(Kalemler!$D188),DAY(EOMONTH((Tahmin!$C$4+56),0))))&gt;=(Tahmin!$C$4+56),DATE(YEAR((Tahmin!$C$4+56)),MONTH((Tahmin!$C$4+56)),MIN(DAY(Kalemler!$D188),DAY(EOMONTH((Tahmin!$C$4+56),0))))&lt;=(Tahmin!$C$4+62),DATE(YEAR((Tahmin!$C$4+56)),MONTH((Tahmin!$C$4+56)),MIN(DAY(Kalemler!$D188),DAY(EOMONTH((Tahmin!$C$4+56),0))))&gt;=Kalemler!$D188),AND(DATE(YEAR((Tahmin!$C$4+62)),MONTH((Tahmin!$C$4+62)),MIN(DAY(Kalemler!$D188),DAY(EOMONTH((Tahmin!$C$4+62),0))))&gt;=(Tahmin!$C$4+56),DATE(YEAR((Tahmin!$C$4+62)),MONTH((Tahmin!$C$4+62)),MIN(DAY(Kalemler!$D188),DAY(EOMONTH((Tahmin!$C$4+62),0))))&lt;=(Tahmin!$C$4+62),DATE(YEAR((Tahmin!$C$4+62)),MONTH((Tahmin!$C$4+62)),MIN(DAY(Kalemler!$D188),DAY(EOMONTH((Tahmin!$C$4+62),0))))&lt;&gt;DATE(YEAR((Tahmin!$C$4+56)),MONTH((Tahmin!$C$4+56)),MIN(DAY(Kalemler!$D188),DAY(EOMONTH((Tahmin!$C$4+56),0)))),DATE(YEAR((Tahmin!$C$4+62)),MONTH((Tahmin!$C$4+62)),MIN(DAY(Kalemler!$D188),DAY(EOMONTH((Tahmin!$C$4+62),0))))&gt;=Kalemler!$D188)),1,0),IF(AND(Kalemler!$D188&gt;=(Tahmin!$C$4+56),Kalemler!$D188&lt;=(Tahmin!$C$4+62)),1,0))))</f>
        <v>0</v>
      </c>
      <c r="K188" s="0" t="n">
        <f aca="false">IF(OR(Kalemler!$A188="",Kalemler!$C188="",Kalemler!$D188=""),0,Kalemler!$C188*IF(Kalemler!$E188="Haftalık",IF(Kalemler!$D188&lt;=(Tahmin!$C$4+69),1,0),IF(Kalemler!$E188="Aylık",IF(OR(AND(DATE(YEAR((Tahmin!$C$4+63)),MONTH((Tahmin!$C$4+63)),MIN(DAY(Kalemler!$D188),DAY(EOMONTH((Tahmin!$C$4+63),0))))&gt;=(Tahmin!$C$4+63),DATE(YEAR((Tahmin!$C$4+63)),MONTH((Tahmin!$C$4+63)),MIN(DAY(Kalemler!$D188),DAY(EOMONTH((Tahmin!$C$4+63),0))))&lt;=(Tahmin!$C$4+69),DATE(YEAR((Tahmin!$C$4+63)),MONTH((Tahmin!$C$4+63)),MIN(DAY(Kalemler!$D188),DAY(EOMONTH((Tahmin!$C$4+63),0))))&gt;=Kalemler!$D188),AND(DATE(YEAR((Tahmin!$C$4+69)),MONTH((Tahmin!$C$4+69)),MIN(DAY(Kalemler!$D188),DAY(EOMONTH((Tahmin!$C$4+69),0))))&gt;=(Tahmin!$C$4+63),DATE(YEAR((Tahmin!$C$4+69)),MONTH((Tahmin!$C$4+69)),MIN(DAY(Kalemler!$D188),DAY(EOMONTH((Tahmin!$C$4+69),0))))&lt;=(Tahmin!$C$4+69),DATE(YEAR((Tahmin!$C$4+69)),MONTH((Tahmin!$C$4+69)),MIN(DAY(Kalemler!$D188),DAY(EOMONTH((Tahmin!$C$4+69),0))))&lt;&gt;DATE(YEAR((Tahmin!$C$4+63)),MONTH((Tahmin!$C$4+63)),MIN(DAY(Kalemler!$D188),DAY(EOMONTH((Tahmin!$C$4+63),0)))),DATE(YEAR((Tahmin!$C$4+69)),MONTH((Tahmin!$C$4+69)),MIN(DAY(Kalemler!$D188),DAY(EOMONTH((Tahmin!$C$4+69),0))))&gt;=Kalemler!$D188)),1,0),IF(AND(Kalemler!$D188&gt;=(Tahmin!$C$4+63),Kalemler!$D188&lt;=(Tahmin!$C$4+69)),1,0))))</f>
        <v>0</v>
      </c>
      <c r="L188" s="0" t="n">
        <f aca="false">IF(OR(Kalemler!$A188="",Kalemler!$C188="",Kalemler!$D188=""),0,Kalemler!$C188*IF(Kalemler!$E188="Haftalık",IF(Kalemler!$D188&lt;=(Tahmin!$C$4+76),1,0),IF(Kalemler!$E188="Aylık",IF(OR(AND(DATE(YEAR((Tahmin!$C$4+70)),MONTH((Tahmin!$C$4+70)),MIN(DAY(Kalemler!$D188),DAY(EOMONTH((Tahmin!$C$4+70),0))))&gt;=(Tahmin!$C$4+70),DATE(YEAR((Tahmin!$C$4+70)),MONTH((Tahmin!$C$4+70)),MIN(DAY(Kalemler!$D188),DAY(EOMONTH((Tahmin!$C$4+70),0))))&lt;=(Tahmin!$C$4+76),DATE(YEAR((Tahmin!$C$4+70)),MONTH((Tahmin!$C$4+70)),MIN(DAY(Kalemler!$D188),DAY(EOMONTH((Tahmin!$C$4+70),0))))&gt;=Kalemler!$D188),AND(DATE(YEAR((Tahmin!$C$4+76)),MONTH((Tahmin!$C$4+76)),MIN(DAY(Kalemler!$D188),DAY(EOMONTH((Tahmin!$C$4+76),0))))&gt;=(Tahmin!$C$4+70),DATE(YEAR((Tahmin!$C$4+76)),MONTH((Tahmin!$C$4+76)),MIN(DAY(Kalemler!$D188),DAY(EOMONTH((Tahmin!$C$4+76),0))))&lt;=(Tahmin!$C$4+76),DATE(YEAR((Tahmin!$C$4+76)),MONTH((Tahmin!$C$4+76)),MIN(DAY(Kalemler!$D188),DAY(EOMONTH((Tahmin!$C$4+76),0))))&lt;&gt;DATE(YEAR((Tahmin!$C$4+70)),MONTH((Tahmin!$C$4+70)),MIN(DAY(Kalemler!$D188),DAY(EOMONTH((Tahmin!$C$4+70),0)))),DATE(YEAR((Tahmin!$C$4+76)),MONTH((Tahmin!$C$4+76)),MIN(DAY(Kalemler!$D188),DAY(EOMONTH((Tahmin!$C$4+76),0))))&gt;=Kalemler!$D188)),1,0),IF(AND(Kalemler!$D188&gt;=(Tahmin!$C$4+70),Kalemler!$D188&lt;=(Tahmin!$C$4+76)),1,0))))</f>
        <v>0</v>
      </c>
      <c r="M188" s="0" t="n">
        <f aca="false">IF(OR(Kalemler!$A188="",Kalemler!$C188="",Kalemler!$D188=""),0,Kalemler!$C188*IF(Kalemler!$E188="Haftalık",IF(Kalemler!$D188&lt;=(Tahmin!$C$4+83),1,0),IF(Kalemler!$E188="Aylık",IF(OR(AND(DATE(YEAR((Tahmin!$C$4+77)),MONTH((Tahmin!$C$4+77)),MIN(DAY(Kalemler!$D188),DAY(EOMONTH((Tahmin!$C$4+77),0))))&gt;=(Tahmin!$C$4+77),DATE(YEAR((Tahmin!$C$4+77)),MONTH((Tahmin!$C$4+77)),MIN(DAY(Kalemler!$D188),DAY(EOMONTH((Tahmin!$C$4+77),0))))&lt;=(Tahmin!$C$4+83),DATE(YEAR((Tahmin!$C$4+77)),MONTH((Tahmin!$C$4+77)),MIN(DAY(Kalemler!$D188),DAY(EOMONTH((Tahmin!$C$4+77),0))))&gt;=Kalemler!$D188),AND(DATE(YEAR((Tahmin!$C$4+83)),MONTH((Tahmin!$C$4+83)),MIN(DAY(Kalemler!$D188),DAY(EOMONTH((Tahmin!$C$4+83),0))))&gt;=(Tahmin!$C$4+77),DATE(YEAR((Tahmin!$C$4+83)),MONTH((Tahmin!$C$4+83)),MIN(DAY(Kalemler!$D188),DAY(EOMONTH((Tahmin!$C$4+83),0))))&lt;=(Tahmin!$C$4+83),DATE(YEAR((Tahmin!$C$4+83)),MONTH((Tahmin!$C$4+83)),MIN(DAY(Kalemler!$D188),DAY(EOMONTH((Tahmin!$C$4+83),0))))&lt;&gt;DATE(YEAR((Tahmin!$C$4+77)),MONTH((Tahmin!$C$4+77)),MIN(DAY(Kalemler!$D188),DAY(EOMONTH((Tahmin!$C$4+77),0)))),DATE(YEAR((Tahmin!$C$4+83)),MONTH((Tahmin!$C$4+83)),MIN(DAY(Kalemler!$D188),DAY(EOMONTH((Tahmin!$C$4+83),0))))&gt;=Kalemler!$D188)),1,0),IF(AND(Kalemler!$D188&gt;=(Tahmin!$C$4+77),Kalemler!$D188&lt;=(Tahmin!$C$4+83)),1,0))))</f>
        <v>0</v>
      </c>
      <c r="N188" s="0" t="n">
        <f aca="false">IF(OR(Kalemler!$A188="",Kalemler!$C188="",Kalemler!$D188=""),0,Kalemler!$C188*IF(Kalemler!$E188="Haftalık",IF(Kalemler!$D188&lt;=(Tahmin!$C$4+90),1,0),IF(Kalemler!$E188="Aylık",IF(OR(AND(DATE(YEAR((Tahmin!$C$4+84)),MONTH((Tahmin!$C$4+84)),MIN(DAY(Kalemler!$D188),DAY(EOMONTH((Tahmin!$C$4+84),0))))&gt;=(Tahmin!$C$4+84),DATE(YEAR((Tahmin!$C$4+84)),MONTH((Tahmin!$C$4+84)),MIN(DAY(Kalemler!$D188),DAY(EOMONTH((Tahmin!$C$4+84),0))))&lt;=(Tahmin!$C$4+90),DATE(YEAR((Tahmin!$C$4+84)),MONTH((Tahmin!$C$4+84)),MIN(DAY(Kalemler!$D188),DAY(EOMONTH((Tahmin!$C$4+84),0))))&gt;=Kalemler!$D188),AND(DATE(YEAR((Tahmin!$C$4+90)),MONTH((Tahmin!$C$4+90)),MIN(DAY(Kalemler!$D188),DAY(EOMONTH((Tahmin!$C$4+90),0))))&gt;=(Tahmin!$C$4+84),DATE(YEAR((Tahmin!$C$4+90)),MONTH((Tahmin!$C$4+90)),MIN(DAY(Kalemler!$D188),DAY(EOMONTH((Tahmin!$C$4+90),0))))&lt;=(Tahmin!$C$4+90),DATE(YEAR((Tahmin!$C$4+90)),MONTH((Tahmin!$C$4+90)),MIN(DAY(Kalemler!$D188),DAY(EOMONTH((Tahmin!$C$4+90),0))))&lt;&gt;DATE(YEAR((Tahmin!$C$4+84)),MONTH((Tahmin!$C$4+84)),MIN(DAY(Kalemler!$D188),DAY(EOMONTH((Tahmin!$C$4+84),0)))),DATE(YEAR((Tahmin!$C$4+90)),MONTH((Tahmin!$C$4+90)),MIN(DAY(Kalemler!$D188),DAY(EOMONTH((Tahmin!$C$4+90),0))))&gt;=Kalemler!$D188)),1,0),IF(AND(Kalemler!$D188&gt;=(Tahmin!$C$4+84),Kalemler!$D188&lt;=(Tahmin!$C$4+90)),1,0))))</f>
        <v>0</v>
      </c>
    </row>
    <row r="189" customFormat="false" ht="15" hidden="false" customHeight="false" outlineLevel="0" collapsed="false">
      <c r="A189" s="0" t="str">
        <f aca="false">IF(Kalemler!A189="","",Kalemler!A189)</f>
        <v/>
      </c>
      <c r="B189" s="0" t="n">
        <f aca="false">IF(OR(Kalemler!$A189="",Kalemler!$C189="",Kalemler!$D189=""),0,Kalemler!$C189*IF(Kalemler!$E189="Haftalık",IF(Kalemler!$D189&lt;=(Tahmin!$C$4+6),1,0),IF(Kalemler!$E189="Aylık",IF(OR(AND(DATE(YEAR((Tahmin!$C$4+0)),MONTH((Tahmin!$C$4+0)),MIN(DAY(Kalemler!$D189),DAY(EOMONTH((Tahmin!$C$4+0),0))))&gt;=(Tahmin!$C$4+0),DATE(YEAR((Tahmin!$C$4+0)),MONTH((Tahmin!$C$4+0)),MIN(DAY(Kalemler!$D189),DAY(EOMONTH((Tahmin!$C$4+0),0))))&lt;=(Tahmin!$C$4+6),DATE(YEAR((Tahmin!$C$4+0)),MONTH((Tahmin!$C$4+0)),MIN(DAY(Kalemler!$D189),DAY(EOMONTH((Tahmin!$C$4+0),0))))&gt;=Kalemler!$D189),AND(DATE(YEAR((Tahmin!$C$4+6)),MONTH((Tahmin!$C$4+6)),MIN(DAY(Kalemler!$D189),DAY(EOMONTH((Tahmin!$C$4+6),0))))&gt;=(Tahmin!$C$4+0),DATE(YEAR((Tahmin!$C$4+6)),MONTH((Tahmin!$C$4+6)),MIN(DAY(Kalemler!$D189),DAY(EOMONTH((Tahmin!$C$4+6),0))))&lt;=(Tahmin!$C$4+6),DATE(YEAR((Tahmin!$C$4+6)),MONTH((Tahmin!$C$4+6)),MIN(DAY(Kalemler!$D189),DAY(EOMONTH((Tahmin!$C$4+6),0))))&lt;&gt;DATE(YEAR((Tahmin!$C$4+0)),MONTH((Tahmin!$C$4+0)),MIN(DAY(Kalemler!$D189),DAY(EOMONTH((Tahmin!$C$4+0),0)))),DATE(YEAR((Tahmin!$C$4+6)),MONTH((Tahmin!$C$4+6)),MIN(DAY(Kalemler!$D189),DAY(EOMONTH((Tahmin!$C$4+6),0))))&gt;=Kalemler!$D189)),1,0),IF(AND(Kalemler!$D189&gt;=(Tahmin!$C$4+0),Kalemler!$D189&lt;=(Tahmin!$C$4+6)),1,0))))</f>
        <v>0</v>
      </c>
      <c r="C189" s="0" t="n">
        <f aca="false">IF(OR(Kalemler!$A189="",Kalemler!$C189="",Kalemler!$D189=""),0,Kalemler!$C189*IF(Kalemler!$E189="Haftalık",IF(Kalemler!$D189&lt;=(Tahmin!$C$4+13),1,0),IF(Kalemler!$E189="Aylık",IF(OR(AND(DATE(YEAR((Tahmin!$C$4+7)),MONTH((Tahmin!$C$4+7)),MIN(DAY(Kalemler!$D189),DAY(EOMONTH((Tahmin!$C$4+7),0))))&gt;=(Tahmin!$C$4+7),DATE(YEAR((Tahmin!$C$4+7)),MONTH((Tahmin!$C$4+7)),MIN(DAY(Kalemler!$D189),DAY(EOMONTH((Tahmin!$C$4+7),0))))&lt;=(Tahmin!$C$4+13),DATE(YEAR((Tahmin!$C$4+7)),MONTH((Tahmin!$C$4+7)),MIN(DAY(Kalemler!$D189),DAY(EOMONTH((Tahmin!$C$4+7),0))))&gt;=Kalemler!$D189),AND(DATE(YEAR((Tahmin!$C$4+13)),MONTH((Tahmin!$C$4+13)),MIN(DAY(Kalemler!$D189),DAY(EOMONTH((Tahmin!$C$4+13),0))))&gt;=(Tahmin!$C$4+7),DATE(YEAR((Tahmin!$C$4+13)),MONTH((Tahmin!$C$4+13)),MIN(DAY(Kalemler!$D189),DAY(EOMONTH((Tahmin!$C$4+13),0))))&lt;=(Tahmin!$C$4+13),DATE(YEAR((Tahmin!$C$4+13)),MONTH((Tahmin!$C$4+13)),MIN(DAY(Kalemler!$D189),DAY(EOMONTH((Tahmin!$C$4+13),0))))&lt;&gt;DATE(YEAR((Tahmin!$C$4+7)),MONTH((Tahmin!$C$4+7)),MIN(DAY(Kalemler!$D189),DAY(EOMONTH((Tahmin!$C$4+7),0)))),DATE(YEAR((Tahmin!$C$4+13)),MONTH((Tahmin!$C$4+13)),MIN(DAY(Kalemler!$D189),DAY(EOMONTH((Tahmin!$C$4+13),0))))&gt;=Kalemler!$D189)),1,0),IF(AND(Kalemler!$D189&gt;=(Tahmin!$C$4+7),Kalemler!$D189&lt;=(Tahmin!$C$4+13)),1,0))))</f>
        <v>0</v>
      </c>
      <c r="D189" s="0" t="n">
        <f aca="false">IF(OR(Kalemler!$A189="",Kalemler!$C189="",Kalemler!$D189=""),0,Kalemler!$C189*IF(Kalemler!$E189="Haftalık",IF(Kalemler!$D189&lt;=(Tahmin!$C$4+20),1,0),IF(Kalemler!$E189="Aylık",IF(OR(AND(DATE(YEAR((Tahmin!$C$4+14)),MONTH((Tahmin!$C$4+14)),MIN(DAY(Kalemler!$D189),DAY(EOMONTH((Tahmin!$C$4+14),0))))&gt;=(Tahmin!$C$4+14),DATE(YEAR((Tahmin!$C$4+14)),MONTH((Tahmin!$C$4+14)),MIN(DAY(Kalemler!$D189),DAY(EOMONTH((Tahmin!$C$4+14),0))))&lt;=(Tahmin!$C$4+20),DATE(YEAR((Tahmin!$C$4+14)),MONTH((Tahmin!$C$4+14)),MIN(DAY(Kalemler!$D189),DAY(EOMONTH((Tahmin!$C$4+14),0))))&gt;=Kalemler!$D189),AND(DATE(YEAR((Tahmin!$C$4+20)),MONTH((Tahmin!$C$4+20)),MIN(DAY(Kalemler!$D189),DAY(EOMONTH((Tahmin!$C$4+20),0))))&gt;=(Tahmin!$C$4+14),DATE(YEAR((Tahmin!$C$4+20)),MONTH((Tahmin!$C$4+20)),MIN(DAY(Kalemler!$D189),DAY(EOMONTH((Tahmin!$C$4+20),0))))&lt;=(Tahmin!$C$4+20),DATE(YEAR((Tahmin!$C$4+20)),MONTH((Tahmin!$C$4+20)),MIN(DAY(Kalemler!$D189),DAY(EOMONTH((Tahmin!$C$4+20),0))))&lt;&gt;DATE(YEAR((Tahmin!$C$4+14)),MONTH((Tahmin!$C$4+14)),MIN(DAY(Kalemler!$D189),DAY(EOMONTH((Tahmin!$C$4+14),0)))),DATE(YEAR((Tahmin!$C$4+20)),MONTH((Tahmin!$C$4+20)),MIN(DAY(Kalemler!$D189),DAY(EOMONTH((Tahmin!$C$4+20),0))))&gt;=Kalemler!$D189)),1,0),IF(AND(Kalemler!$D189&gt;=(Tahmin!$C$4+14),Kalemler!$D189&lt;=(Tahmin!$C$4+20)),1,0))))</f>
        <v>0</v>
      </c>
      <c r="E189" s="0" t="n">
        <f aca="false">IF(OR(Kalemler!$A189="",Kalemler!$C189="",Kalemler!$D189=""),0,Kalemler!$C189*IF(Kalemler!$E189="Haftalık",IF(Kalemler!$D189&lt;=(Tahmin!$C$4+27),1,0),IF(Kalemler!$E189="Aylık",IF(OR(AND(DATE(YEAR((Tahmin!$C$4+21)),MONTH((Tahmin!$C$4+21)),MIN(DAY(Kalemler!$D189),DAY(EOMONTH((Tahmin!$C$4+21),0))))&gt;=(Tahmin!$C$4+21),DATE(YEAR((Tahmin!$C$4+21)),MONTH((Tahmin!$C$4+21)),MIN(DAY(Kalemler!$D189),DAY(EOMONTH((Tahmin!$C$4+21),0))))&lt;=(Tahmin!$C$4+27),DATE(YEAR((Tahmin!$C$4+21)),MONTH((Tahmin!$C$4+21)),MIN(DAY(Kalemler!$D189),DAY(EOMONTH((Tahmin!$C$4+21),0))))&gt;=Kalemler!$D189),AND(DATE(YEAR((Tahmin!$C$4+27)),MONTH((Tahmin!$C$4+27)),MIN(DAY(Kalemler!$D189),DAY(EOMONTH((Tahmin!$C$4+27),0))))&gt;=(Tahmin!$C$4+21),DATE(YEAR((Tahmin!$C$4+27)),MONTH((Tahmin!$C$4+27)),MIN(DAY(Kalemler!$D189),DAY(EOMONTH((Tahmin!$C$4+27),0))))&lt;=(Tahmin!$C$4+27),DATE(YEAR((Tahmin!$C$4+27)),MONTH((Tahmin!$C$4+27)),MIN(DAY(Kalemler!$D189),DAY(EOMONTH((Tahmin!$C$4+27),0))))&lt;&gt;DATE(YEAR((Tahmin!$C$4+21)),MONTH((Tahmin!$C$4+21)),MIN(DAY(Kalemler!$D189),DAY(EOMONTH((Tahmin!$C$4+21),0)))),DATE(YEAR((Tahmin!$C$4+27)),MONTH((Tahmin!$C$4+27)),MIN(DAY(Kalemler!$D189),DAY(EOMONTH((Tahmin!$C$4+27),0))))&gt;=Kalemler!$D189)),1,0),IF(AND(Kalemler!$D189&gt;=(Tahmin!$C$4+21),Kalemler!$D189&lt;=(Tahmin!$C$4+27)),1,0))))</f>
        <v>0</v>
      </c>
      <c r="F189" s="0" t="n">
        <f aca="false">IF(OR(Kalemler!$A189="",Kalemler!$C189="",Kalemler!$D189=""),0,Kalemler!$C189*IF(Kalemler!$E189="Haftalık",IF(Kalemler!$D189&lt;=(Tahmin!$C$4+34),1,0),IF(Kalemler!$E189="Aylık",IF(OR(AND(DATE(YEAR((Tahmin!$C$4+28)),MONTH((Tahmin!$C$4+28)),MIN(DAY(Kalemler!$D189),DAY(EOMONTH((Tahmin!$C$4+28),0))))&gt;=(Tahmin!$C$4+28),DATE(YEAR((Tahmin!$C$4+28)),MONTH((Tahmin!$C$4+28)),MIN(DAY(Kalemler!$D189),DAY(EOMONTH((Tahmin!$C$4+28),0))))&lt;=(Tahmin!$C$4+34),DATE(YEAR((Tahmin!$C$4+28)),MONTH((Tahmin!$C$4+28)),MIN(DAY(Kalemler!$D189),DAY(EOMONTH((Tahmin!$C$4+28),0))))&gt;=Kalemler!$D189),AND(DATE(YEAR((Tahmin!$C$4+34)),MONTH((Tahmin!$C$4+34)),MIN(DAY(Kalemler!$D189),DAY(EOMONTH((Tahmin!$C$4+34),0))))&gt;=(Tahmin!$C$4+28),DATE(YEAR((Tahmin!$C$4+34)),MONTH((Tahmin!$C$4+34)),MIN(DAY(Kalemler!$D189),DAY(EOMONTH((Tahmin!$C$4+34),0))))&lt;=(Tahmin!$C$4+34),DATE(YEAR((Tahmin!$C$4+34)),MONTH((Tahmin!$C$4+34)),MIN(DAY(Kalemler!$D189),DAY(EOMONTH((Tahmin!$C$4+34),0))))&lt;&gt;DATE(YEAR((Tahmin!$C$4+28)),MONTH((Tahmin!$C$4+28)),MIN(DAY(Kalemler!$D189),DAY(EOMONTH((Tahmin!$C$4+28),0)))),DATE(YEAR((Tahmin!$C$4+34)),MONTH((Tahmin!$C$4+34)),MIN(DAY(Kalemler!$D189),DAY(EOMONTH((Tahmin!$C$4+34),0))))&gt;=Kalemler!$D189)),1,0),IF(AND(Kalemler!$D189&gt;=(Tahmin!$C$4+28),Kalemler!$D189&lt;=(Tahmin!$C$4+34)),1,0))))</f>
        <v>0</v>
      </c>
      <c r="G189" s="0" t="n">
        <f aca="false">IF(OR(Kalemler!$A189="",Kalemler!$C189="",Kalemler!$D189=""),0,Kalemler!$C189*IF(Kalemler!$E189="Haftalık",IF(Kalemler!$D189&lt;=(Tahmin!$C$4+41),1,0),IF(Kalemler!$E189="Aylık",IF(OR(AND(DATE(YEAR((Tahmin!$C$4+35)),MONTH((Tahmin!$C$4+35)),MIN(DAY(Kalemler!$D189),DAY(EOMONTH((Tahmin!$C$4+35),0))))&gt;=(Tahmin!$C$4+35),DATE(YEAR((Tahmin!$C$4+35)),MONTH((Tahmin!$C$4+35)),MIN(DAY(Kalemler!$D189),DAY(EOMONTH((Tahmin!$C$4+35),0))))&lt;=(Tahmin!$C$4+41),DATE(YEAR((Tahmin!$C$4+35)),MONTH((Tahmin!$C$4+35)),MIN(DAY(Kalemler!$D189),DAY(EOMONTH((Tahmin!$C$4+35),0))))&gt;=Kalemler!$D189),AND(DATE(YEAR((Tahmin!$C$4+41)),MONTH((Tahmin!$C$4+41)),MIN(DAY(Kalemler!$D189),DAY(EOMONTH((Tahmin!$C$4+41),0))))&gt;=(Tahmin!$C$4+35),DATE(YEAR((Tahmin!$C$4+41)),MONTH((Tahmin!$C$4+41)),MIN(DAY(Kalemler!$D189),DAY(EOMONTH((Tahmin!$C$4+41),0))))&lt;=(Tahmin!$C$4+41),DATE(YEAR((Tahmin!$C$4+41)),MONTH((Tahmin!$C$4+41)),MIN(DAY(Kalemler!$D189),DAY(EOMONTH((Tahmin!$C$4+41),0))))&lt;&gt;DATE(YEAR((Tahmin!$C$4+35)),MONTH((Tahmin!$C$4+35)),MIN(DAY(Kalemler!$D189),DAY(EOMONTH((Tahmin!$C$4+35),0)))),DATE(YEAR((Tahmin!$C$4+41)),MONTH((Tahmin!$C$4+41)),MIN(DAY(Kalemler!$D189),DAY(EOMONTH((Tahmin!$C$4+41),0))))&gt;=Kalemler!$D189)),1,0),IF(AND(Kalemler!$D189&gt;=(Tahmin!$C$4+35),Kalemler!$D189&lt;=(Tahmin!$C$4+41)),1,0))))</f>
        <v>0</v>
      </c>
      <c r="H189" s="0" t="n">
        <f aca="false">IF(OR(Kalemler!$A189="",Kalemler!$C189="",Kalemler!$D189=""),0,Kalemler!$C189*IF(Kalemler!$E189="Haftalık",IF(Kalemler!$D189&lt;=(Tahmin!$C$4+48),1,0),IF(Kalemler!$E189="Aylık",IF(OR(AND(DATE(YEAR((Tahmin!$C$4+42)),MONTH((Tahmin!$C$4+42)),MIN(DAY(Kalemler!$D189),DAY(EOMONTH((Tahmin!$C$4+42),0))))&gt;=(Tahmin!$C$4+42),DATE(YEAR((Tahmin!$C$4+42)),MONTH((Tahmin!$C$4+42)),MIN(DAY(Kalemler!$D189),DAY(EOMONTH((Tahmin!$C$4+42),0))))&lt;=(Tahmin!$C$4+48),DATE(YEAR((Tahmin!$C$4+42)),MONTH((Tahmin!$C$4+42)),MIN(DAY(Kalemler!$D189),DAY(EOMONTH((Tahmin!$C$4+42),0))))&gt;=Kalemler!$D189),AND(DATE(YEAR((Tahmin!$C$4+48)),MONTH((Tahmin!$C$4+48)),MIN(DAY(Kalemler!$D189),DAY(EOMONTH((Tahmin!$C$4+48),0))))&gt;=(Tahmin!$C$4+42),DATE(YEAR((Tahmin!$C$4+48)),MONTH((Tahmin!$C$4+48)),MIN(DAY(Kalemler!$D189),DAY(EOMONTH((Tahmin!$C$4+48),0))))&lt;=(Tahmin!$C$4+48),DATE(YEAR((Tahmin!$C$4+48)),MONTH((Tahmin!$C$4+48)),MIN(DAY(Kalemler!$D189),DAY(EOMONTH((Tahmin!$C$4+48),0))))&lt;&gt;DATE(YEAR((Tahmin!$C$4+42)),MONTH((Tahmin!$C$4+42)),MIN(DAY(Kalemler!$D189),DAY(EOMONTH((Tahmin!$C$4+42),0)))),DATE(YEAR((Tahmin!$C$4+48)),MONTH((Tahmin!$C$4+48)),MIN(DAY(Kalemler!$D189),DAY(EOMONTH((Tahmin!$C$4+48),0))))&gt;=Kalemler!$D189)),1,0),IF(AND(Kalemler!$D189&gt;=(Tahmin!$C$4+42),Kalemler!$D189&lt;=(Tahmin!$C$4+48)),1,0))))</f>
        <v>0</v>
      </c>
      <c r="I189" s="0" t="n">
        <f aca="false">IF(OR(Kalemler!$A189="",Kalemler!$C189="",Kalemler!$D189=""),0,Kalemler!$C189*IF(Kalemler!$E189="Haftalık",IF(Kalemler!$D189&lt;=(Tahmin!$C$4+55),1,0),IF(Kalemler!$E189="Aylık",IF(OR(AND(DATE(YEAR((Tahmin!$C$4+49)),MONTH((Tahmin!$C$4+49)),MIN(DAY(Kalemler!$D189),DAY(EOMONTH((Tahmin!$C$4+49),0))))&gt;=(Tahmin!$C$4+49),DATE(YEAR((Tahmin!$C$4+49)),MONTH((Tahmin!$C$4+49)),MIN(DAY(Kalemler!$D189),DAY(EOMONTH((Tahmin!$C$4+49),0))))&lt;=(Tahmin!$C$4+55),DATE(YEAR((Tahmin!$C$4+49)),MONTH((Tahmin!$C$4+49)),MIN(DAY(Kalemler!$D189),DAY(EOMONTH((Tahmin!$C$4+49),0))))&gt;=Kalemler!$D189),AND(DATE(YEAR((Tahmin!$C$4+55)),MONTH((Tahmin!$C$4+55)),MIN(DAY(Kalemler!$D189),DAY(EOMONTH((Tahmin!$C$4+55),0))))&gt;=(Tahmin!$C$4+49),DATE(YEAR((Tahmin!$C$4+55)),MONTH((Tahmin!$C$4+55)),MIN(DAY(Kalemler!$D189),DAY(EOMONTH((Tahmin!$C$4+55),0))))&lt;=(Tahmin!$C$4+55),DATE(YEAR((Tahmin!$C$4+55)),MONTH((Tahmin!$C$4+55)),MIN(DAY(Kalemler!$D189),DAY(EOMONTH((Tahmin!$C$4+55),0))))&lt;&gt;DATE(YEAR((Tahmin!$C$4+49)),MONTH((Tahmin!$C$4+49)),MIN(DAY(Kalemler!$D189),DAY(EOMONTH((Tahmin!$C$4+49),0)))),DATE(YEAR((Tahmin!$C$4+55)),MONTH((Tahmin!$C$4+55)),MIN(DAY(Kalemler!$D189),DAY(EOMONTH((Tahmin!$C$4+55),0))))&gt;=Kalemler!$D189)),1,0),IF(AND(Kalemler!$D189&gt;=(Tahmin!$C$4+49),Kalemler!$D189&lt;=(Tahmin!$C$4+55)),1,0))))</f>
        <v>0</v>
      </c>
      <c r="J189" s="0" t="n">
        <f aca="false">IF(OR(Kalemler!$A189="",Kalemler!$C189="",Kalemler!$D189=""),0,Kalemler!$C189*IF(Kalemler!$E189="Haftalık",IF(Kalemler!$D189&lt;=(Tahmin!$C$4+62),1,0),IF(Kalemler!$E189="Aylık",IF(OR(AND(DATE(YEAR((Tahmin!$C$4+56)),MONTH((Tahmin!$C$4+56)),MIN(DAY(Kalemler!$D189),DAY(EOMONTH((Tahmin!$C$4+56),0))))&gt;=(Tahmin!$C$4+56),DATE(YEAR((Tahmin!$C$4+56)),MONTH((Tahmin!$C$4+56)),MIN(DAY(Kalemler!$D189),DAY(EOMONTH((Tahmin!$C$4+56),0))))&lt;=(Tahmin!$C$4+62),DATE(YEAR((Tahmin!$C$4+56)),MONTH((Tahmin!$C$4+56)),MIN(DAY(Kalemler!$D189),DAY(EOMONTH((Tahmin!$C$4+56),0))))&gt;=Kalemler!$D189),AND(DATE(YEAR((Tahmin!$C$4+62)),MONTH((Tahmin!$C$4+62)),MIN(DAY(Kalemler!$D189),DAY(EOMONTH((Tahmin!$C$4+62),0))))&gt;=(Tahmin!$C$4+56),DATE(YEAR((Tahmin!$C$4+62)),MONTH((Tahmin!$C$4+62)),MIN(DAY(Kalemler!$D189),DAY(EOMONTH((Tahmin!$C$4+62),0))))&lt;=(Tahmin!$C$4+62),DATE(YEAR((Tahmin!$C$4+62)),MONTH((Tahmin!$C$4+62)),MIN(DAY(Kalemler!$D189),DAY(EOMONTH((Tahmin!$C$4+62),0))))&lt;&gt;DATE(YEAR((Tahmin!$C$4+56)),MONTH((Tahmin!$C$4+56)),MIN(DAY(Kalemler!$D189),DAY(EOMONTH((Tahmin!$C$4+56),0)))),DATE(YEAR((Tahmin!$C$4+62)),MONTH((Tahmin!$C$4+62)),MIN(DAY(Kalemler!$D189),DAY(EOMONTH((Tahmin!$C$4+62),0))))&gt;=Kalemler!$D189)),1,0),IF(AND(Kalemler!$D189&gt;=(Tahmin!$C$4+56),Kalemler!$D189&lt;=(Tahmin!$C$4+62)),1,0))))</f>
        <v>0</v>
      </c>
      <c r="K189" s="0" t="n">
        <f aca="false">IF(OR(Kalemler!$A189="",Kalemler!$C189="",Kalemler!$D189=""),0,Kalemler!$C189*IF(Kalemler!$E189="Haftalık",IF(Kalemler!$D189&lt;=(Tahmin!$C$4+69),1,0),IF(Kalemler!$E189="Aylık",IF(OR(AND(DATE(YEAR((Tahmin!$C$4+63)),MONTH((Tahmin!$C$4+63)),MIN(DAY(Kalemler!$D189),DAY(EOMONTH((Tahmin!$C$4+63),0))))&gt;=(Tahmin!$C$4+63),DATE(YEAR((Tahmin!$C$4+63)),MONTH((Tahmin!$C$4+63)),MIN(DAY(Kalemler!$D189),DAY(EOMONTH((Tahmin!$C$4+63),0))))&lt;=(Tahmin!$C$4+69),DATE(YEAR((Tahmin!$C$4+63)),MONTH((Tahmin!$C$4+63)),MIN(DAY(Kalemler!$D189),DAY(EOMONTH((Tahmin!$C$4+63),0))))&gt;=Kalemler!$D189),AND(DATE(YEAR((Tahmin!$C$4+69)),MONTH((Tahmin!$C$4+69)),MIN(DAY(Kalemler!$D189),DAY(EOMONTH((Tahmin!$C$4+69),0))))&gt;=(Tahmin!$C$4+63),DATE(YEAR((Tahmin!$C$4+69)),MONTH((Tahmin!$C$4+69)),MIN(DAY(Kalemler!$D189),DAY(EOMONTH((Tahmin!$C$4+69),0))))&lt;=(Tahmin!$C$4+69),DATE(YEAR((Tahmin!$C$4+69)),MONTH((Tahmin!$C$4+69)),MIN(DAY(Kalemler!$D189),DAY(EOMONTH((Tahmin!$C$4+69),0))))&lt;&gt;DATE(YEAR((Tahmin!$C$4+63)),MONTH((Tahmin!$C$4+63)),MIN(DAY(Kalemler!$D189),DAY(EOMONTH((Tahmin!$C$4+63),0)))),DATE(YEAR((Tahmin!$C$4+69)),MONTH((Tahmin!$C$4+69)),MIN(DAY(Kalemler!$D189),DAY(EOMONTH((Tahmin!$C$4+69),0))))&gt;=Kalemler!$D189)),1,0),IF(AND(Kalemler!$D189&gt;=(Tahmin!$C$4+63),Kalemler!$D189&lt;=(Tahmin!$C$4+69)),1,0))))</f>
        <v>0</v>
      </c>
      <c r="L189" s="0" t="n">
        <f aca="false">IF(OR(Kalemler!$A189="",Kalemler!$C189="",Kalemler!$D189=""),0,Kalemler!$C189*IF(Kalemler!$E189="Haftalık",IF(Kalemler!$D189&lt;=(Tahmin!$C$4+76),1,0),IF(Kalemler!$E189="Aylık",IF(OR(AND(DATE(YEAR((Tahmin!$C$4+70)),MONTH((Tahmin!$C$4+70)),MIN(DAY(Kalemler!$D189),DAY(EOMONTH((Tahmin!$C$4+70),0))))&gt;=(Tahmin!$C$4+70),DATE(YEAR((Tahmin!$C$4+70)),MONTH((Tahmin!$C$4+70)),MIN(DAY(Kalemler!$D189),DAY(EOMONTH((Tahmin!$C$4+70),0))))&lt;=(Tahmin!$C$4+76),DATE(YEAR((Tahmin!$C$4+70)),MONTH((Tahmin!$C$4+70)),MIN(DAY(Kalemler!$D189),DAY(EOMONTH((Tahmin!$C$4+70),0))))&gt;=Kalemler!$D189),AND(DATE(YEAR((Tahmin!$C$4+76)),MONTH((Tahmin!$C$4+76)),MIN(DAY(Kalemler!$D189),DAY(EOMONTH((Tahmin!$C$4+76),0))))&gt;=(Tahmin!$C$4+70),DATE(YEAR((Tahmin!$C$4+76)),MONTH((Tahmin!$C$4+76)),MIN(DAY(Kalemler!$D189),DAY(EOMONTH((Tahmin!$C$4+76),0))))&lt;=(Tahmin!$C$4+76),DATE(YEAR((Tahmin!$C$4+76)),MONTH((Tahmin!$C$4+76)),MIN(DAY(Kalemler!$D189),DAY(EOMONTH((Tahmin!$C$4+76),0))))&lt;&gt;DATE(YEAR((Tahmin!$C$4+70)),MONTH((Tahmin!$C$4+70)),MIN(DAY(Kalemler!$D189),DAY(EOMONTH((Tahmin!$C$4+70),0)))),DATE(YEAR((Tahmin!$C$4+76)),MONTH((Tahmin!$C$4+76)),MIN(DAY(Kalemler!$D189),DAY(EOMONTH((Tahmin!$C$4+76),0))))&gt;=Kalemler!$D189)),1,0),IF(AND(Kalemler!$D189&gt;=(Tahmin!$C$4+70),Kalemler!$D189&lt;=(Tahmin!$C$4+76)),1,0))))</f>
        <v>0</v>
      </c>
      <c r="M189" s="0" t="n">
        <f aca="false">IF(OR(Kalemler!$A189="",Kalemler!$C189="",Kalemler!$D189=""),0,Kalemler!$C189*IF(Kalemler!$E189="Haftalık",IF(Kalemler!$D189&lt;=(Tahmin!$C$4+83),1,0),IF(Kalemler!$E189="Aylık",IF(OR(AND(DATE(YEAR((Tahmin!$C$4+77)),MONTH((Tahmin!$C$4+77)),MIN(DAY(Kalemler!$D189),DAY(EOMONTH((Tahmin!$C$4+77),0))))&gt;=(Tahmin!$C$4+77),DATE(YEAR((Tahmin!$C$4+77)),MONTH((Tahmin!$C$4+77)),MIN(DAY(Kalemler!$D189),DAY(EOMONTH((Tahmin!$C$4+77),0))))&lt;=(Tahmin!$C$4+83),DATE(YEAR((Tahmin!$C$4+77)),MONTH((Tahmin!$C$4+77)),MIN(DAY(Kalemler!$D189),DAY(EOMONTH((Tahmin!$C$4+77),0))))&gt;=Kalemler!$D189),AND(DATE(YEAR((Tahmin!$C$4+83)),MONTH((Tahmin!$C$4+83)),MIN(DAY(Kalemler!$D189),DAY(EOMONTH((Tahmin!$C$4+83),0))))&gt;=(Tahmin!$C$4+77),DATE(YEAR((Tahmin!$C$4+83)),MONTH((Tahmin!$C$4+83)),MIN(DAY(Kalemler!$D189),DAY(EOMONTH((Tahmin!$C$4+83),0))))&lt;=(Tahmin!$C$4+83),DATE(YEAR((Tahmin!$C$4+83)),MONTH((Tahmin!$C$4+83)),MIN(DAY(Kalemler!$D189),DAY(EOMONTH((Tahmin!$C$4+83),0))))&lt;&gt;DATE(YEAR((Tahmin!$C$4+77)),MONTH((Tahmin!$C$4+77)),MIN(DAY(Kalemler!$D189),DAY(EOMONTH((Tahmin!$C$4+77),0)))),DATE(YEAR((Tahmin!$C$4+83)),MONTH((Tahmin!$C$4+83)),MIN(DAY(Kalemler!$D189),DAY(EOMONTH((Tahmin!$C$4+83),0))))&gt;=Kalemler!$D189)),1,0),IF(AND(Kalemler!$D189&gt;=(Tahmin!$C$4+77),Kalemler!$D189&lt;=(Tahmin!$C$4+83)),1,0))))</f>
        <v>0</v>
      </c>
      <c r="N189" s="0" t="n">
        <f aca="false">IF(OR(Kalemler!$A189="",Kalemler!$C189="",Kalemler!$D189=""),0,Kalemler!$C189*IF(Kalemler!$E189="Haftalık",IF(Kalemler!$D189&lt;=(Tahmin!$C$4+90),1,0),IF(Kalemler!$E189="Aylık",IF(OR(AND(DATE(YEAR((Tahmin!$C$4+84)),MONTH((Tahmin!$C$4+84)),MIN(DAY(Kalemler!$D189),DAY(EOMONTH((Tahmin!$C$4+84),0))))&gt;=(Tahmin!$C$4+84),DATE(YEAR((Tahmin!$C$4+84)),MONTH((Tahmin!$C$4+84)),MIN(DAY(Kalemler!$D189),DAY(EOMONTH((Tahmin!$C$4+84),0))))&lt;=(Tahmin!$C$4+90),DATE(YEAR((Tahmin!$C$4+84)),MONTH((Tahmin!$C$4+84)),MIN(DAY(Kalemler!$D189),DAY(EOMONTH((Tahmin!$C$4+84),0))))&gt;=Kalemler!$D189),AND(DATE(YEAR((Tahmin!$C$4+90)),MONTH((Tahmin!$C$4+90)),MIN(DAY(Kalemler!$D189),DAY(EOMONTH((Tahmin!$C$4+90),0))))&gt;=(Tahmin!$C$4+84),DATE(YEAR((Tahmin!$C$4+90)),MONTH((Tahmin!$C$4+90)),MIN(DAY(Kalemler!$D189),DAY(EOMONTH((Tahmin!$C$4+90),0))))&lt;=(Tahmin!$C$4+90),DATE(YEAR((Tahmin!$C$4+90)),MONTH((Tahmin!$C$4+90)),MIN(DAY(Kalemler!$D189),DAY(EOMONTH((Tahmin!$C$4+90),0))))&lt;&gt;DATE(YEAR((Tahmin!$C$4+84)),MONTH((Tahmin!$C$4+84)),MIN(DAY(Kalemler!$D189),DAY(EOMONTH((Tahmin!$C$4+84),0)))),DATE(YEAR((Tahmin!$C$4+90)),MONTH((Tahmin!$C$4+90)),MIN(DAY(Kalemler!$D189),DAY(EOMONTH((Tahmin!$C$4+90),0))))&gt;=Kalemler!$D189)),1,0),IF(AND(Kalemler!$D189&gt;=(Tahmin!$C$4+84),Kalemler!$D189&lt;=(Tahmin!$C$4+90)),1,0))))</f>
        <v>0</v>
      </c>
    </row>
    <row r="190" customFormat="false" ht="15" hidden="false" customHeight="false" outlineLevel="0" collapsed="false">
      <c r="A190" s="0" t="str">
        <f aca="false">IF(Kalemler!A190="","",Kalemler!A190)</f>
        <v/>
      </c>
      <c r="B190" s="0" t="n">
        <f aca="false">IF(OR(Kalemler!$A190="",Kalemler!$C190="",Kalemler!$D190=""),0,Kalemler!$C190*IF(Kalemler!$E190="Haftalık",IF(Kalemler!$D190&lt;=(Tahmin!$C$4+6),1,0),IF(Kalemler!$E190="Aylık",IF(OR(AND(DATE(YEAR((Tahmin!$C$4+0)),MONTH((Tahmin!$C$4+0)),MIN(DAY(Kalemler!$D190),DAY(EOMONTH((Tahmin!$C$4+0),0))))&gt;=(Tahmin!$C$4+0),DATE(YEAR((Tahmin!$C$4+0)),MONTH((Tahmin!$C$4+0)),MIN(DAY(Kalemler!$D190),DAY(EOMONTH((Tahmin!$C$4+0),0))))&lt;=(Tahmin!$C$4+6),DATE(YEAR((Tahmin!$C$4+0)),MONTH((Tahmin!$C$4+0)),MIN(DAY(Kalemler!$D190),DAY(EOMONTH((Tahmin!$C$4+0),0))))&gt;=Kalemler!$D190),AND(DATE(YEAR((Tahmin!$C$4+6)),MONTH((Tahmin!$C$4+6)),MIN(DAY(Kalemler!$D190),DAY(EOMONTH((Tahmin!$C$4+6),0))))&gt;=(Tahmin!$C$4+0),DATE(YEAR((Tahmin!$C$4+6)),MONTH((Tahmin!$C$4+6)),MIN(DAY(Kalemler!$D190),DAY(EOMONTH((Tahmin!$C$4+6),0))))&lt;=(Tahmin!$C$4+6),DATE(YEAR((Tahmin!$C$4+6)),MONTH((Tahmin!$C$4+6)),MIN(DAY(Kalemler!$D190),DAY(EOMONTH((Tahmin!$C$4+6),0))))&lt;&gt;DATE(YEAR((Tahmin!$C$4+0)),MONTH((Tahmin!$C$4+0)),MIN(DAY(Kalemler!$D190),DAY(EOMONTH((Tahmin!$C$4+0),0)))),DATE(YEAR((Tahmin!$C$4+6)),MONTH((Tahmin!$C$4+6)),MIN(DAY(Kalemler!$D190),DAY(EOMONTH((Tahmin!$C$4+6),0))))&gt;=Kalemler!$D190)),1,0),IF(AND(Kalemler!$D190&gt;=(Tahmin!$C$4+0),Kalemler!$D190&lt;=(Tahmin!$C$4+6)),1,0))))</f>
        <v>0</v>
      </c>
      <c r="C190" s="0" t="n">
        <f aca="false">IF(OR(Kalemler!$A190="",Kalemler!$C190="",Kalemler!$D190=""),0,Kalemler!$C190*IF(Kalemler!$E190="Haftalık",IF(Kalemler!$D190&lt;=(Tahmin!$C$4+13),1,0),IF(Kalemler!$E190="Aylık",IF(OR(AND(DATE(YEAR((Tahmin!$C$4+7)),MONTH((Tahmin!$C$4+7)),MIN(DAY(Kalemler!$D190),DAY(EOMONTH((Tahmin!$C$4+7),0))))&gt;=(Tahmin!$C$4+7),DATE(YEAR((Tahmin!$C$4+7)),MONTH((Tahmin!$C$4+7)),MIN(DAY(Kalemler!$D190),DAY(EOMONTH((Tahmin!$C$4+7),0))))&lt;=(Tahmin!$C$4+13),DATE(YEAR((Tahmin!$C$4+7)),MONTH((Tahmin!$C$4+7)),MIN(DAY(Kalemler!$D190),DAY(EOMONTH((Tahmin!$C$4+7),0))))&gt;=Kalemler!$D190),AND(DATE(YEAR((Tahmin!$C$4+13)),MONTH((Tahmin!$C$4+13)),MIN(DAY(Kalemler!$D190),DAY(EOMONTH((Tahmin!$C$4+13),0))))&gt;=(Tahmin!$C$4+7),DATE(YEAR((Tahmin!$C$4+13)),MONTH((Tahmin!$C$4+13)),MIN(DAY(Kalemler!$D190),DAY(EOMONTH((Tahmin!$C$4+13),0))))&lt;=(Tahmin!$C$4+13),DATE(YEAR((Tahmin!$C$4+13)),MONTH((Tahmin!$C$4+13)),MIN(DAY(Kalemler!$D190),DAY(EOMONTH((Tahmin!$C$4+13),0))))&lt;&gt;DATE(YEAR((Tahmin!$C$4+7)),MONTH((Tahmin!$C$4+7)),MIN(DAY(Kalemler!$D190),DAY(EOMONTH((Tahmin!$C$4+7),0)))),DATE(YEAR((Tahmin!$C$4+13)),MONTH((Tahmin!$C$4+13)),MIN(DAY(Kalemler!$D190),DAY(EOMONTH((Tahmin!$C$4+13),0))))&gt;=Kalemler!$D190)),1,0),IF(AND(Kalemler!$D190&gt;=(Tahmin!$C$4+7),Kalemler!$D190&lt;=(Tahmin!$C$4+13)),1,0))))</f>
        <v>0</v>
      </c>
      <c r="D190" s="0" t="n">
        <f aca="false">IF(OR(Kalemler!$A190="",Kalemler!$C190="",Kalemler!$D190=""),0,Kalemler!$C190*IF(Kalemler!$E190="Haftalık",IF(Kalemler!$D190&lt;=(Tahmin!$C$4+20),1,0),IF(Kalemler!$E190="Aylık",IF(OR(AND(DATE(YEAR((Tahmin!$C$4+14)),MONTH((Tahmin!$C$4+14)),MIN(DAY(Kalemler!$D190),DAY(EOMONTH((Tahmin!$C$4+14),0))))&gt;=(Tahmin!$C$4+14),DATE(YEAR((Tahmin!$C$4+14)),MONTH((Tahmin!$C$4+14)),MIN(DAY(Kalemler!$D190),DAY(EOMONTH((Tahmin!$C$4+14),0))))&lt;=(Tahmin!$C$4+20),DATE(YEAR((Tahmin!$C$4+14)),MONTH((Tahmin!$C$4+14)),MIN(DAY(Kalemler!$D190),DAY(EOMONTH((Tahmin!$C$4+14),0))))&gt;=Kalemler!$D190),AND(DATE(YEAR((Tahmin!$C$4+20)),MONTH((Tahmin!$C$4+20)),MIN(DAY(Kalemler!$D190),DAY(EOMONTH((Tahmin!$C$4+20),0))))&gt;=(Tahmin!$C$4+14),DATE(YEAR((Tahmin!$C$4+20)),MONTH((Tahmin!$C$4+20)),MIN(DAY(Kalemler!$D190),DAY(EOMONTH((Tahmin!$C$4+20),0))))&lt;=(Tahmin!$C$4+20),DATE(YEAR((Tahmin!$C$4+20)),MONTH((Tahmin!$C$4+20)),MIN(DAY(Kalemler!$D190),DAY(EOMONTH((Tahmin!$C$4+20),0))))&lt;&gt;DATE(YEAR((Tahmin!$C$4+14)),MONTH((Tahmin!$C$4+14)),MIN(DAY(Kalemler!$D190),DAY(EOMONTH((Tahmin!$C$4+14),0)))),DATE(YEAR((Tahmin!$C$4+20)),MONTH((Tahmin!$C$4+20)),MIN(DAY(Kalemler!$D190),DAY(EOMONTH((Tahmin!$C$4+20),0))))&gt;=Kalemler!$D190)),1,0),IF(AND(Kalemler!$D190&gt;=(Tahmin!$C$4+14),Kalemler!$D190&lt;=(Tahmin!$C$4+20)),1,0))))</f>
        <v>0</v>
      </c>
      <c r="E190" s="0" t="n">
        <f aca="false">IF(OR(Kalemler!$A190="",Kalemler!$C190="",Kalemler!$D190=""),0,Kalemler!$C190*IF(Kalemler!$E190="Haftalık",IF(Kalemler!$D190&lt;=(Tahmin!$C$4+27),1,0),IF(Kalemler!$E190="Aylık",IF(OR(AND(DATE(YEAR((Tahmin!$C$4+21)),MONTH((Tahmin!$C$4+21)),MIN(DAY(Kalemler!$D190),DAY(EOMONTH((Tahmin!$C$4+21),0))))&gt;=(Tahmin!$C$4+21),DATE(YEAR((Tahmin!$C$4+21)),MONTH((Tahmin!$C$4+21)),MIN(DAY(Kalemler!$D190),DAY(EOMONTH((Tahmin!$C$4+21),0))))&lt;=(Tahmin!$C$4+27),DATE(YEAR((Tahmin!$C$4+21)),MONTH((Tahmin!$C$4+21)),MIN(DAY(Kalemler!$D190),DAY(EOMONTH((Tahmin!$C$4+21),0))))&gt;=Kalemler!$D190),AND(DATE(YEAR((Tahmin!$C$4+27)),MONTH((Tahmin!$C$4+27)),MIN(DAY(Kalemler!$D190),DAY(EOMONTH((Tahmin!$C$4+27),0))))&gt;=(Tahmin!$C$4+21),DATE(YEAR((Tahmin!$C$4+27)),MONTH((Tahmin!$C$4+27)),MIN(DAY(Kalemler!$D190),DAY(EOMONTH((Tahmin!$C$4+27),0))))&lt;=(Tahmin!$C$4+27),DATE(YEAR((Tahmin!$C$4+27)),MONTH((Tahmin!$C$4+27)),MIN(DAY(Kalemler!$D190),DAY(EOMONTH((Tahmin!$C$4+27),0))))&lt;&gt;DATE(YEAR((Tahmin!$C$4+21)),MONTH((Tahmin!$C$4+21)),MIN(DAY(Kalemler!$D190),DAY(EOMONTH((Tahmin!$C$4+21),0)))),DATE(YEAR((Tahmin!$C$4+27)),MONTH((Tahmin!$C$4+27)),MIN(DAY(Kalemler!$D190),DAY(EOMONTH((Tahmin!$C$4+27),0))))&gt;=Kalemler!$D190)),1,0),IF(AND(Kalemler!$D190&gt;=(Tahmin!$C$4+21),Kalemler!$D190&lt;=(Tahmin!$C$4+27)),1,0))))</f>
        <v>0</v>
      </c>
      <c r="F190" s="0" t="n">
        <f aca="false">IF(OR(Kalemler!$A190="",Kalemler!$C190="",Kalemler!$D190=""),0,Kalemler!$C190*IF(Kalemler!$E190="Haftalık",IF(Kalemler!$D190&lt;=(Tahmin!$C$4+34),1,0),IF(Kalemler!$E190="Aylık",IF(OR(AND(DATE(YEAR((Tahmin!$C$4+28)),MONTH((Tahmin!$C$4+28)),MIN(DAY(Kalemler!$D190),DAY(EOMONTH((Tahmin!$C$4+28),0))))&gt;=(Tahmin!$C$4+28),DATE(YEAR((Tahmin!$C$4+28)),MONTH((Tahmin!$C$4+28)),MIN(DAY(Kalemler!$D190),DAY(EOMONTH((Tahmin!$C$4+28),0))))&lt;=(Tahmin!$C$4+34),DATE(YEAR((Tahmin!$C$4+28)),MONTH((Tahmin!$C$4+28)),MIN(DAY(Kalemler!$D190),DAY(EOMONTH((Tahmin!$C$4+28),0))))&gt;=Kalemler!$D190),AND(DATE(YEAR((Tahmin!$C$4+34)),MONTH((Tahmin!$C$4+34)),MIN(DAY(Kalemler!$D190),DAY(EOMONTH((Tahmin!$C$4+34),0))))&gt;=(Tahmin!$C$4+28),DATE(YEAR((Tahmin!$C$4+34)),MONTH((Tahmin!$C$4+34)),MIN(DAY(Kalemler!$D190),DAY(EOMONTH((Tahmin!$C$4+34),0))))&lt;=(Tahmin!$C$4+34),DATE(YEAR((Tahmin!$C$4+34)),MONTH((Tahmin!$C$4+34)),MIN(DAY(Kalemler!$D190),DAY(EOMONTH((Tahmin!$C$4+34),0))))&lt;&gt;DATE(YEAR((Tahmin!$C$4+28)),MONTH((Tahmin!$C$4+28)),MIN(DAY(Kalemler!$D190),DAY(EOMONTH((Tahmin!$C$4+28),0)))),DATE(YEAR((Tahmin!$C$4+34)),MONTH((Tahmin!$C$4+34)),MIN(DAY(Kalemler!$D190),DAY(EOMONTH((Tahmin!$C$4+34),0))))&gt;=Kalemler!$D190)),1,0),IF(AND(Kalemler!$D190&gt;=(Tahmin!$C$4+28),Kalemler!$D190&lt;=(Tahmin!$C$4+34)),1,0))))</f>
        <v>0</v>
      </c>
      <c r="G190" s="0" t="n">
        <f aca="false">IF(OR(Kalemler!$A190="",Kalemler!$C190="",Kalemler!$D190=""),0,Kalemler!$C190*IF(Kalemler!$E190="Haftalık",IF(Kalemler!$D190&lt;=(Tahmin!$C$4+41),1,0),IF(Kalemler!$E190="Aylık",IF(OR(AND(DATE(YEAR((Tahmin!$C$4+35)),MONTH((Tahmin!$C$4+35)),MIN(DAY(Kalemler!$D190),DAY(EOMONTH((Tahmin!$C$4+35),0))))&gt;=(Tahmin!$C$4+35),DATE(YEAR((Tahmin!$C$4+35)),MONTH((Tahmin!$C$4+35)),MIN(DAY(Kalemler!$D190),DAY(EOMONTH((Tahmin!$C$4+35),0))))&lt;=(Tahmin!$C$4+41),DATE(YEAR((Tahmin!$C$4+35)),MONTH((Tahmin!$C$4+35)),MIN(DAY(Kalemler!$D190),DAY(EOMONTH((Tahmin!$C$4+35),0))))&gt;=Kalemler!$D190),AND(DATE(YEAR((Tahmin!$C$4+41)),MONTH((Tahmin!$C$4+41)),MIN(DAY(Kalemler!$D190),DAY(EOMONTH((Tahmin!$C$4+41),0))))&gt;=(Tahmin!$C$4+35),DATE(YEAR((Tahmin!$C$4+41)),MONTH((Tahmin!$C$4+41)),MIN(DAY(Kalemler!$D190),DAY(EOMONTH((Tahmin!$C$4+41),0))))&lt;=(Tahmin!$C$4+41),DATE(YEAR((Tahmin!$C$4+41)),MONTH((Tahmin!$C$4+41)),MIN(DAY(Kalemler!$D190),DAY(EOMONTH((Tahmin!$C$4+41),0))))&lt;&gt;DATE(YEAR((Tahmin!$C$4+35)),MONTH((Tahmin!$C$4+35)),MIN(DAY(Kalemler!$D190),DAY(EOMONTH((Tahmin!$C$4+35),0)))),DATE(YEAR((Tahmin!$C$4+41)),MONTH((Tahmin!$C$4+41)),MIN(DAY(Kalemler!$D190),DAY(EOMONTH((Tahmin!$C$4+41),0))))&gt;=Kalemler!$D190)),1,0),IF(AND(Kalemler!$D190&gt;=(Tahmin!$C$4+35),Kalemler!$D190&lt;=(Tahmin!$C$4+41)),1,0))))</f>
        <v>0</v>
      </c>
      <c r="H190" s="0" t="n">
        <f aca="false">IF(OR(Kalemler!$A190="",Kalemler!$C190="",Kalemler!$D190=""),0,Kalemler!$C190*IF(Kalemler!$E190="Haftalık",IF(Kalemler!$D190&lt;=(Tahmin!$C$4+48),1,0),IF(Kalemler!$E190="Aylık",IF(OR(AND(DATE(YEAR((Tahmin!$C$4+42)),MONTH((Tahmin!$C$4+42)),MIN(DAY(Kalemler!$D190),DAY(EOMONTH((Tahmin!$C$4+42),0))))&gt;=(Tahmin!$C$4+42),DATE(YEAR((Tahmin!$C$4+42)),MONTH((Tahmin!$C$4+42)),MIN(DAY(Kalemler!$D190),DAY(EOMONTH((Tahmin!$C$4+42),0))))&lt;=(Tahmin!$C$4+48),DATE(YEAR((Tahmin!$C$4+42)),MONTH((Tahmin!$C$4+42)),MIN(DAY(Kalemler!$D190),DAY(EOMONTH((Tahmin!$C$4+42),0))))&gt;=Kalemler!$D190),AND(DATE(YEAR((Tahmin!$C$4+48)),MONTH((Tahmin!$C$4+48)),MIN(DAY(Kalemler!$D190),DAY(EOMONTH((Tahmin!$C$4+48),0))))&gt;=(Tahmin!$C$4+42),DATE(YEAR((Tahmin!$C$4+48)),MONTH((Tahmin!$C$4+48)),MIN(DAY(Kalemler!$D190),DAY(EOMONTH((Tahmin!$C$4+48),0))))&lt;=(Tahmin!$C$4+48),DATE(YEAR((Tahmin!$C$4+48)),MONTH((Tahmin!$C$4+48)),MIN(DAY(Kalemler!$D190),DAY(EOMONTH((Tahmin!$C$4+48),0))))&lt;&gt;DATE(YEAR((Tahmin!$C$4+42)),MONTH((Tahmin!$C$4+42)),MIN(DAY(Kalemler!$D190),DAY(EOMONTH((Tahmin!$C$4+42),0)))),DATE(YEAR((Tahmin!$C$4+48)),MONTH((Tahmin!$C$4+48)),MIN(DAY(Kalemler!$D190),DAY(EOMONTH((Tahmin!$C$4+48),0))))&gt;=Kalemler!$D190)),1,0),IF(AND(Kalemler!$D190&gt;=(Tahmin!$C$4+42),Kalemler!$D190&lt;=(Tahmin!$C$4+48)),1,0))))</f>
        <v>0</v>
      </c>
      <c r="I190" s="0" t="n">
        <f aca="false">IF(OR(Kalemler!$A190="",Kalemler!$C190="",Kalemler!$D190=""),0,Kalemler!$C190*IF(Kalemler!$E190="Haftalık",IF(Kalemler!$D190&lt;=(Tahmin!$C$4+55),1,0),IF(Kalemler!$E190="Aylık",IF(OR(AND(DATE(YEAR((Tahmin!$C$4+49)),MONTH((Tahmin!$C$4+49)),MIN(DAY(Kalemler!$D190),DAY(EOMONTH((Tahmin!$C$4+49),0))))&gt;=(Tahmin!$C$4+49),DATE(YEAR((Tahmin!$C$4+49)),MONTH((Tahmin!$C$4+49)),MIN(DAY(Kalemler!$D190),DAY(EOMONTH((Tahmin!$C$4+49),0))))&lt;=(Tahmin!$C$4+55),DATE(YEAR((Tahmin!$C$4+49)),MONTH((Tahmin!$C$4+49)),MIN(DAY(Kalemler!$D190),DAY(EOMONTH((Tahmin!$C$4+49),0))))&gt;=Kalemler!$D190),AND(DATE(YEAR((Tahmin!$C$4+55)),MONTH((Tahmin!$C$4+55)),MIN(DAY(Kalemler!$D190),DAY(EOMONTH((Tahmin!$C$4+55),0))))&gt;=(Tahmin!$C$4+49),DATE(YEAR((Tahmin!$C$4+55)),MONTH((Tahmin!$C$4+55)),MIN(DAY(Kalemler!$D190),DAY(EOMONTH((Tahmin!$C$4+55),0))))&lt;=(Tahmin!$C$4+55),DATE(YEAR((Tahmin!$C$4+55)),MONTH((Tahmin!$C$4+55)),MIN(DAY(Kalemler!$D190),DAY(EOMONTH((Tahmin!$C$4+55),0))))&lt;&gt;DATE(YEAR((Tahmin!$C$4+49)),MONTH((Tahmin!$C$4+49)),MIN(DAY(Kalemler!$D190),DAY(EOMONTH((Tahmin!$C$4+49),0)))),DATE(YEAR((Tahmin!$C$4+55)),MONTH((Tahmin!$C$4+55)),MIN(DAY(Kalemler!$D190),DAY(EOMONTH((Tahmin!$C$4+55),0))))&gt;=Kalemler!$D190)),1,0),IF(AND(Kalemler!$D190&gt;=(Tahmin!$C$4+49),Kalemler!$D190&lt;=(Tahmin!$C$4+55)),1,0))))</f>
        <v>0</v>
      </c>
      <c r="J190" s="0" t="n">
        <f aca="false">IF(OR(Kalemler!$A190="",Kalemler!$C190="",Kalemler!$D190=""),0,Kalemler!$C190*IF(Kalemler!$E190="Haftalık",IF(Kalemler!$D190&lt;=(Tahmin!$C$4+62),1,0),IF(Kalemler!$E190="Aylık",IF(OR(AND(DATE(YEAR((Tahmin!$C$4+56)),MONTH((Tahmin!$C$4+56)),MIN(DAY(Kalemler!$D190),DAY(EOMONTH((Tahmin!$C$4+56),0))))&gt;=(Tahmin!$C$4+56),DATE(YEAR((Tahmin!$C$4+56)),MONTH((Tahmin!$C$4+56)),MIN(DAY(Kalemler!$D190),DAY(EOMONTH((Tahmin!$C$4+56),0))))&lt;=(Tahmin!$C$4+62),DATE(YEAR((Tahmin!$C$4+56)),MONTH((Tahmin!$C$4+56)),MIN(DAY(Kalemler!$D190),DAY(EOMONTH((Tahmin!$C$4+56),0))))&gt;=Kalemler!$D190),AND(DATE(YEAR((Tahmin!$C$4+62)),MONTH((Tahmin!$C$4+62)),MIN(DAY(Kalemler!$D190),DAY(EOMONTH((Tahmin!$C$4+62),0))))&gt;=(Tahmin!$C$4+56),DATE(YEAR((Tahmin!$C$4+62)),MONTH((Tahmin!$C$4+62)),MIN(DAY(Kalemler!$D190),DAY(EOMONTH((Tahmin!$C$4+62),0))))&lt;=(Tahmin!$C$4+62),DATE(YEAR((Tahmin!$C$4+62)),MONTH((Tahmin!$C$4+62)),MIN(DAY(Kalemler!$D190),DAY(EOMONTH((Tahmin!$C$4+62),0))))&lt;&gt;DATE(YEAR((Tahmin!$C$4+56)),MONTH((Tahmin!$C$4+56)),MIN(DAY(Kalemler!$D190),DAY(EOMONTH((Tahmin!$C$4+56),0)))),DATE(YEAR((Tahmin!$C$4+62)),MONTH((Tahmin!$C$4+62)),MIN(DAY(Kalemler!$D190),DAY(EOMONTH((Tahmin!$C$4+62),0))))&gt;=Kalemler!$D190)),1,0),IF(AND(Kalemler!$D190&gt;=(Tahmin!$C$4+56),Kalemler!$D190&lt;=(Tahmin!$C$4+62)),1,0))))</f>
        <v>0</v>
      </c>
      <c r="K190" s="0" t="n">
        <f aca="false">IF(OR(Kalemler!$A190="",Kalemler!$C190="",Kalemler!$D190=""),0,Kalemler!$C190*IF(Kalemler!$E190="Haftalık",IF(Kalemler!$D190&lt;=(Tahmin!$C$4+69),1,0),IF(Kalemler!$E190="Aylık",IF(OR(AND(DATE(YEAR((Tahmin!$C$4+63)),MONTH((Tahmin!$C$4+63)),MIN(DAY(Kalemler!$D190),DAY(EOMONTH((Tahmin!$C$4+63),0))))&gt;=(Tahmin!$C$4+63),DATE(YEAR((Tahmin!$C$4+63)),MONTH((Tahmin!$C$4+63)),MIN(DAY(Kalemler!$D190),DAY(EOMONTH((Tahmin!$C$4+63),0))))&lt;=(Tahmin!$C$4+69),DATE(YEAR((Tahmin!$C$4+63)),MONTH((Tahmin!$C$4+63)),MIN(DAY(Kalemler!$D190),DAY(EOMONTH((Tahmin!$C$4+63),0))))&gt;=Kalemler!$D190),AND(DATE(YEAR((Tahmin!$C$4+69)),MONTH((Tahmin!$C$4+69)),MIN(DAY(Kalemler!$D190),DAY(EOMONTH((Tahmin!$C$4+69),0))))&gt;=(Tahmin!$C$4+63),DATE(YEAR((Tahmin!$C$4+69)),MONTH((Tahmin!$C$4+69)),MIN(DAY(Kalemler!$D190),DAY(EOMONTH((Tahmin!$C$4+69),0))))&lt;=(Tahmin!$C$4+69),DATE(YEAR((Tahmin!$C$4+69)),MONTH((Tahmin!$C$4+69)),MIN(DAY(Kalemler!$D190),DAY(EOMONTH((Tahmin!$C$4+69),0))))&lt;&gt;DATE(YEAR((Tahmin!$C$4+63)),MONTH((Tahmin!$C$4+63)),MIN(DAY(Kalemler!$D190),DAY(EOMONTH((Tahmin!$C$4+63),0)))),DATE(YEAR((Tahmin!$C$4+69)),MONTH((Tahmin!$C$4+69)),MIN(DAY(Kalemler!$D190),DAY(EOMONTH((Tahmin!$C$4+69),0))))&gt;=Kalemler!$D190)),1,0),IF(AND(Kalemler!$D190&gt;=(Tahmin!$C$4+63),Kalemler!$D190&lt;=(Tahmin!$C$4+69)),1,0))))</f>
        <v>0</v>
      </c>
      <c r="L190" s="0" t="n">
        <f aca="false">IF(OR(Kalemler!$A190="",Kalemler!$C190="",Kalemler!$D190=""),0,Kalemler!$C190*IF(Kalemler!$E190="Haftalık",IF(Kalemler!$D190&lt;=(Tahmin!$C$4+76),1,0),IF(Kalemler!$E190="Aylık",IF(OR(AND(DATE(YEAR((Tahmin!$C$4+70)),MONTH((Tahmin!$C$4+70)),MIN(DAY(Kalemler!$D190),DAY(EOMONTH((Tahmin!$C$4+70),0))))&gt;=(Tahmin!$C$4+70),DATE(YEAR((Tahmin!$C$4+70)),MONTH((Tahmin!$C$4+70)),MIN(DAY(Kalemler!$D190),DAY(EOMONTH((Tahmin!$C$4+70),0))))&lt;=(Tahmin!$C$4+76),DATE(YEAR((Tahmin!$C$4+70)),MONTH((Tahmin!$C$4+70)),MIN(DAY(Kalemler!$D190),DAY(EOMONTH((Tahmin!$C$4+70),0))))&gt;=Kalemler!$D190),AND(DATE(YEAR((Tahmin!$C$4+76)),MONTH((Tahmin!$C$4+76)),MIN(DAY(Kalemler!$D190),DAY(EOMONTH((Tahmin!$C$4+76),0))))&gt;=(Tahmin!$C$4+70),DATE(YEAR((Tahmin!$C$4+76)),MONTH((Tahmin!$C$4+76)),MIN(DAY(Kalemler!$D190),DAY(EOMONTH((Tahmin!$C$4+76),0))))&lt;=(Tahmin!$C$4+76),DATE(YEAR((Tahmin!$C$4+76)),MONTH((Tahmin!$C$4+76)),MIN(DAY(Kalemler!$D190),DAY(EOMONTH((Tahmin!$C$4+76),0))))&lt;&gt;DATE(YEAR((Tahmin!$C$4+70)),MONTH((Tahmin!$C$4+70)),MIN(DAY(Kalemler!$D190),DAY(EOMONTH((Tahmin!$C$4+70),0)))),DATE(YEAR((Tahmin!$C$4+76)),MONTH((Tahmin!$C$4+76)),MIN(DAY(Kalemler!$D190),DAY(EOMONTH((Tahmin!$C$4+76),0))))&gt;=Kalemler!$D190)),1,0),IF(AND(Kalemler!$D190&gt;=(Tahmin!$C$4+70),Kalemler!$D190&lt;=(Tahmin!$C$4+76)),1,0))))</f>
        <v>0</v>
      </c>
      <c r="M190" s="0" t="n">
        <f aca="false">IF(OR(Kalemler!$A190="",Kalemler!$C190="",Kalemler!$D190=""),0,Kalemler!$C190*IF(Kalemler!$E190="Haftalık",IF(Kalemler!$D190&lt;=(Tahmin!$C$4+83),1,0),IF(Kalemler!$E190="Aylık",IF(OR(AND(DATE(YEAR((Tahmin!$C$4+77)),MONTH((Tahmin!$C$4+77)),MIN(DAY(Kalemler!$D190),DAY(EOMONTH((Tahmin!$C$4+77),0))))&gt;=(Tahmin!$C$4+77),DATE(YEAR((Tahmin!$C$4+77)),MONTH((Tahmin!$C$4+77)),MIN(DAY(Kalemler!$D190),DAY(EOMONTH((Tahmin!$C$4+77),0))))&lt;=(Tahmin!$C$4+83),DATE(YEAR((Tahmin!$C$4+77)),MONTH((Tahmin!$C$4+77)),MIN(DAY(Kalemler!$D190),DAY(EOMONTH((Tahmin!$C$4+77),0))))&gt;=Kalemler!$D190),AND(DATE(YEAR((Tahmin!$C$4+83)),MONTH((Tahmin!$C$4+83)),MIN(DAY(Kalemler!$D190),DAY(EOMONTH((Tahmin!$C$4+83),0))))&gt;=(Tahmin!$C$4+77),DATE(YEAR((Tahmin!$C$4+83)),MONTH((Tahmin!$C$4+83)),MIN(DAY(Kalemler!$D190),DAY(EOMONTH((Tahmin!$C$4+83),0))))&lt;=(Tahmin!$C$4+83),DATE(YEAR((Tahmin!$C$4+83)),MONTH((Tahmin!$C$4+83)),MIN(DAY(Kalemler!$D190),DAY(EOMONTH((Tahmin!$C$4+83),0))))&lt;&gt;DATE(YEAR((Tahmin!$C$4+77)),MONTH((Tahmin!$C$4+77)),MIN(DAY(Kalemler!$D190),DAY(EOMONTH((Tahmin!$C$4+77),0)))),DATE(YEAR((Tahmin!$C$4+83)),MONTH((Tahmin!$C$4+83)),MIN(DAY(Kalemler!$D190),DAY(EOMONTH((Tahmin!$C$4+83),0))))&gt;=Kalemler!$D190)),1,0),IF(AND(Kalemler!$D190&gt;=(Tahmin!$C$4+77),Kalemler!$D190&lt;=(Tahmin!$C$4+83)),1,0))))</f>
        <v>0</v>
      </c>
      <c r="N190" s="0" t="n">
        <f aca="false">IF(OR(Kalemler!$A190="",Kalemler!$C190="",Kalemler!$D190=""),0,Kalemler!$C190*IF(Kalemler!$E190="Haftalık",IF(Kalemler!$D190&lt;=(Tahmin!$C$4+90),1,0),IF(Kalemler!$E190="Aylık",IF(OR(AND(DATE(YEAR((Tahmin!$C$4+84)),MONTH((Tahmin!$C$4+84)),MIN(DAY(Kalemler!$D190),DAY(EOMONTH((Tahmin!$C$4+84),0))))&gt;=(Tahmin!$C$4+84),DATE(YEAR((Tahmin!$C$4+84)),MONTH((Tahmin!$C$4+84)),MIN(DAY(Kalemler!$D190),DAY(EOMONTH((Tahmin!$C$4+84),0))))&lt;=(Tahmin!$C$4+90),DATE(YEAR((Tahmin!$C$4+84)),MONTH((Tahmin!$C$4+84)),MIN(DAY(Kalemler!$D190),DAY(EOMONTH((Tahmin!$C$4+84),0))))&gt;=Kalemler!$D190),AND(DATE(YEAR((Tahmin!$C$4+90)),MONTH((Tahmin!$C$4+90)),MIN(DAY(Kalemler!$D190),DAY(EOMONTH((Tahmin!$C$4+90),0))))&gt;=(Tahmin!$C$4+84),DATE(YEAR((Tahmin!$C$4+90)),MONTH((Tahmin!$C$4+90)),MIN(DAY(Kalemler!$D190),DAY(EOMONTH((Tahmin!$C$4+90),0))))&lt;=(Tahmin!$C$4+90),DATE(YEAR((Tahmin!$C$4+90)),MONTH((Tahmin!$C$4+90)),MIN(DAY(Kalemler!$D190),DAY(EOMONTH((Tahmin!$C$4+90),0))))&lt;&gt;DATE(YEAR((Tahmin!$C$4+84)),MONTH((Tahmin!$C$4+84)),MIN(DAY(Kalemler!$D190),DAY(EOMONTH((Tahmin!$C$4+84),0)))),DATE(YEAR((Tahmin!$C$4+90)),MONTH((Tahmin!$C$4+90)),MIN(DAY(Kalemler!$D190),DAY(EOMONTH((Tahmin!$C$4+90),0))))&gt;=Kalemler!$D190)),1,0),IF(AND(Kalemler!$D190&gt;=(Tahmin!$C$4+84),Kalemler!$D190&lt;=(Tahmin!$C$4+90)),1,0))))</f>
        <v>0</v>
      </c>
    </row>
    <row r="191" customFormat="false" ht="15" hidden="false" customHeight="false" outlineLevel="0" collapsed="false">
      <c r="A191" s="0" t="str">
        <f aca="false">IF(Kalemler!A191="","",Kalemler!A191)</f>
        <v/>
      </c>
      <c r="B191" s="0" t="n">
        <f aca="false">IF(OR(Kalemler!$A191="",Kalemler!$C191="",Kalemler!$D191=""),0,Kalemler!$C191*IF(Kalemler!$E191="Haftalık",IF(Kalemler!$D191&lt;=(Tahmin!$C$4+6),1,0),IF(Kalemler!$E191="Aylık",IF(OR(AND(DATE(YEAR((Tahmin!$C$4+0)),MONTH((Tahmin!$C$4+0)),MIN(DAY(Kalemler!$D191),DAY(EOMONTH((Tahmin!$C$4+0),0))))&gt;=(Tahmin!$C$4+0),DATE(YEAR((Tahmin!$C$4+0)),MONTH((Tahmin!$C$4+0)),MIN(DAY(Kalemler!$D191),DAY(EOMONTH((Tahmin!$C$4+0),0))))&lt;=(Tahmin!$C$4+6),DATE(YEAR((Tahmin!$C$4+0)),MONTH((Tahmin!$C$4+0)),MIN(DAY(Kalemler!$D191),DAY(EOMONTH((Tahmin!$C$4+0),0))))&gt;=Kalemler!$D191),AND(DATE(YEAR((Tahmin!$C$4+6)),MONTH((Tahmin!$C$4+6)),MIN(DAY(Kalemler!$D191),DAY(EOMONTH((Tahmin!$C$4+6),0))))&gt;=(Tahmin!$C$4+0),DATE(YEAR((Tahmin!$C$4+6)),MONTH((Tahmin!$C$4+6)),MIN(DAY(Kalemler!$D191),DAY(EOMONTH((Tahmin!$C$4+6),0))))&lt;=(Tahmin!$C$4+6),DATE(YEAR((Tahmin!$C$4+6)),MONTH((Tahmin!$C$4+6)),MIN(DAY(Kalemler!$D191),DAY(EOMONTH((Tahmin!$C$4+6),0))))&lt;&gt;DATE(YEAR((Tahmin!$C$4+0)),MONTH((Tahmin!$C$4+0)),MIN(DAY(Kalemler!$D191),DAY(EOMONTH((Tahmin!$C$4+0),0)))),DATE(YEAR((Tahmin!$C$4+6)),MONTH((Tahmin!$C$4+6)),MIN(DAY(Kalemler!$D191),DAY(EOMONTH((Tahmin!$C$4+6),0))))&gt;=Kalemler!$D191)),1,0),IF(AND(Kalemler!$D191&gt;=(Tahmin!$C$4+0),Kalemler!$D191&lt;=(Tahmin!$C$4+6)),1,0))))</f>
        <v>0</v>
      </c>
      <c r="C191" s="0" t="n">
        <f aca="false">IF(OR(Kalemler!$A191="",Kalemler!$C191="",Kalemler!$D191=""),0,Kalemler!$C191*IF(Kalemler!$E191="Haftalık",IF(Kalemler!$D191&lt;=(Tahmin!$C$4+13),1,0),IF(Kalemler!$E191="Aylık",IF(OR(AND(DATE(YEAR((Tahmin!$C$4+7)),MONTH((Tahmin!$C$4+7)),MIN(DAY(Kalemler!$D191),DAY(EOMONTH((Tahmin!$C$4+7),0))))&gt;=(Tahmin!$C$4+7),DATE(YEAR((Tahmin!$C$4+7)),MONTH((Tahmin!$C$4+7)),MIN(DAY(Kalemler!$D191),DAY(EOMONTH((Tahmin!$C$4+7),0))))&lt;=(Tahmin!$C$4+13),DATE(YEAR((Tahmin!$C$4+7)),MONTH((Tahmin!$C$4+7)),MIN(DAY(Kalemler!$D191),DAY(EOMONTH((Tahmin!$C$4+7),0))))&gt;=Kalemler!$D191),AND(DATE(YEAR((Tahmin!$C$4+13)),MONTH((Tahmin!$C$4+13)),MIN(DAY(Kalemler!$D191),DAY(EOMONTH((Tahmin!$C$4+13),0))))&gt;=(Tahmin!$C$4+7),DATE(YEAR((Tahmin!$C$4+13)),MONTH((Tahmin!$C$4+13)),MIN(DAY(Kalemler!$D191),DAY(EOMONTH((Tahmin!$C$4+13),0))))&lt;=(Tahmin!$C$4+13),DATE(YEAR((Tahmin!$C$4+13)),MONTH((Tahmin!$C$4+13)),MIN(DAY(Kalemler!$D191),DAY(EOMONTH((Tahmin!$C$4+13),0))))&lt;&gt;DATE(YEAR((Tahmin!$C$4+7)),MONTH((Tahmin!$C$4+7)),MIN(DAY(Kalemler!$D191),DAY(EOMONTH((Tahmin!$C$4+7),0)))),DATE(YEAR((Tahmin!$C$4+13)),MONTH((Tahmin!$C$4+13)),MIN(DAY(Kalemler!$D191),DAY(EOMONTH((Tahmin!$C$4+13),0))))&gt;=Kalemler!$D191)),1,0),IF(AND(Kalemler!$D191&gt;=(Tahmin!$C$4+7),Kalemler!$D191&lt;=(Tahmin!$C$4+13)),1,0))))</f>
        <v>0</v>
      </c>
      <c r="D191" s="0" t="n">
        <f aca="false">IF(OR(Kalemler!$A191="",Kalemler!$C191="",Kalemler!$D191=""),0,Kalemler!$C191*IF(Kalemler!$E191="Haftalık",IF(Kalemler!$D191&lt;=(Tahmin!$C$4+20),1,0),IF(Kalemler!$E191="Aylık",IF(OR(AND(DATE(YEAR((Tahmin!$C$4+14)),MONTH((Tahmin!$C$4+14)),MIN(DAY(Kalemler!$D191),DAY(EOMONTH((Tahmin!$C$4+14),0))))&gt;=(Tahmin!$C$4+14),DATE(YEAR((Tahmin!$C$4+14)),MONTH((Tahmin!$C$4+14)),MIN(DAY(Kalemler!$D191),DAY(EOMONTH((Tahmin!$C$4+14),0))))&lt;=(Tahmin!$C$4+20),DATE(YEAR((Tahmin!$C$4+14)),MONTH((Tahmin!$C$4+14)),MIN(DAY(Kalemler!$D191),DAY(EOMONTH((Tahmin!$C$4+14),0))))&gt;=Kalemler!$D191),AND(DATE(YEAR((Tahmin!$C$4+20)),MONTH((Tahmin!$C$4+20)),MIN(DAY(Kalemler!$D191),DAY(EOMONTH((Tahmin!$C$4+20),0))))&gt;=(Tahmin!$C$4+14),DATE(YEAR((Tahmin!$C$4+20)),MONTH((Tahmin!$C$4+20)),MIN(DAY(Kalemler!$D191),DAY(EOMONTH((Tahmin!$C$4+20),0))))&lt;=(Tahmin!$C$4+20),DATE(YEAR((Tahmin!$C$4+20)),MONTH((Tahmin!$C$4+20)),MIN(DAY(Kalemler!$D191),DAY(EOMONTH((Tahmin!$C$4+20),0))))&lt;&gt;DATE(YEAR((Tahmin!$C$4+14)),MONTH((Tahmin!$C$4+14)),MIN(DAY(Kalemler!$D191),DAY(EOMONTH((Tahmin!$C$4+14),0)))),DATE(YEAR((Tahmin!$C$4+20)),MONTH((Tahmin!$C$4+20)),MIN(DAY(Kalemler!$D191),DAY(EOMONTH((Tahmin!$C$4+20),0))))&gt;=Kalemler!$D191)),1,0),IF(AND(Kalemler!$D191&gt;=(Tahmin!$C$4+14),Kalemler!$D191&lt;=(Tahmin!$C$4+20)),1,0))))</f>
        <v>0</v>
      </c>
      <c r="E191" s="0" t="n">
        <f aca="false">IF(OR(Kalemler!$A191="",Kalemler!$C191="",Kalemler!$D191=""),0,Kalemler!$C191*IF(Kalemler!$E191="Haftalık",IF(Kalemler!$D191&lt;=(Tahmin!$C$4+27),1,0),IF(Kalemler!$E191="Aylık",IF(OR(AND(DATE(YEAR((Tahmin!$C$4+21)),MONTH((Tahmin!$C$4+21)),MIN(DAY(Kalemler!$D191),DAY(EOMONTH((Tahmin!$C$4+21),0))))&gt;=(Tahmin!$C$4+21),DATE(YEAR((Tahmin!$C$4+21)),MONTH((Tahmin!$C$4+21)),MIN(DAY(Kalemler!$D191),DAY(EOMONTH((Tahmin!$C$4+21),0))))&lt;=(Tahmin!$C$4+27),DATE(YEAR((Tahmin!$C$4+21)),MONTH((Tahmin!$C$4+21)),MIN(DAY(Kalemler!$D191),DAY(EOMONTH((Tahmin!$C$4+21),0))))&gt;=Kalemler!$D191),AND(DATE(YEAR((Tahmin!$C$4+27)),MONTH((Tahmin!$C$4+27)),MIN(DAY(Kalemler!$D191),DAY(EOMONTH((Tahmin!$C$4+27),0))))&gt;=(Tahmin!$C$4+21),DATE(YEAR((Tahmin!$C$4+27)),MONTH((Tahmin!$C$4+27)),MIN(DAY(Kalemler!$D191),DAY(EOMONTH((Tahmin!$C$4+27),0))))&lt;=(Tahmin!$C$4+27),DATE(YEAR((Tahmin!$C$4+27)),MONTH((Tahmin!$C$4+27)),MIN(DAY(Kalemler!$D191),DAY(EOMONTH((Tahmin!$C$4+27),0))))&lt;&gt;DATE(YEAR((Tahmin!$C$4+21)),MONTH((Tahmin!$C$4+21)),MIN(DAY(Kalemler!$D191),DAY(EOMONTH((Tahmin!$C$4+21),0)))),DATE(YEAR((Tahmin!$C$4+27)),MONTH((Tahmin!$C$4+27)),MIN(DAY(Kalemler!$D191),DAY(EOMONTH((Tahmin!$C$4+27),0))))&gt;=Kalemler!$D191)),1,0),IF(AND(Kalemler!$D191&gt;=(Tahmin!$C$4+21),Kalemler!$D191&lt;=(Tahmin!$C$4+27)),1,0))))</f>
        <v>0</v>
      </c>
      <c r="F191" s="0" t="n">
        <f aca="false">IF(OR(Kalemler!$A191="",Kalemler!$C191="",Kalemler!$D191=""),0,Kalemler!$C191*IF(Kalemler!$E191="Haftalık",IF(Kalemler!$D191&lt;=(Tahmin!$C$4+34),1,0),IF(Kalemler!$E191="Aylık",IF(OR(AND(DATE(YEAR((Tahmin!$C$4+28)),MONTH((Tahmin!$C$4+28)),MIN(DAY(Kalemler!$D191),DAY(EOMONTH((Tahmin!$C$4+28),0))))&gt;=(Tahmin!$C$4+28),DATE(YEAR((Tahmin!$C$4+28)),MONTH((Tahmin!$C$4+28)),MIN(DAY(Kalemler!$D191),DAY(EOMONTH((Tahmin!$C$4+28),0))))&lt;=(Tahmin!$C$4+34),DATE(YEAR((Tahmin!$C$4+28)),MONTH((Tahmin!$C$4+28)),MIN(DAY(Kalemler!$D191),DAY(EOMONTH((Tahmin!$C$4+28),0))))&gt;=Kalemler!$D191),AND(DATE(YEAR((Tahmin!$C$4+34)),MONTH((Tahmin!$C$4+34)),MIN(DAY(Kalemler!$D191),DAY(EOMONTH((Tahmin!$C$4+34),0))))&gt;=(Tahmin!$C$4+28),DATE(YEAR((Tahmin!$C$4+34)),MONTH((Tahmin!$C$4+34)),MIN(DAY(Kalemler!$D191),DAY(EOMONTH((Tahmin!$C$4+34),0))))&lt;=(Tahmin!$C$4+34),DATE(YEAR((Tahmin!$C$4+34)),MONTH((Tahmin!$C$4+34)),MIN(DAY(Kalemler!$D191),DAY(EOMONTH((Tahmin!$C$4+34),0))))&lt;&gt;DATE(YEAR((Tahmin!$C$4+28)),MONTH((Tahmin!$C$4+28)),MIN(DAY(Kalemler!$D191),DAY(EOMONTH((Tahmin!$C$4+28),0)))),DATE(YEAR((Tahmin!$C$4+34)),MONTH((Tahmin!$C$4+34)),MIN(DAY(Kalemler!$D191),DAY(EOMONTH((Tahmin!$C$4+34),0))))&gt;=Kalemler!$D191)),1,0),IF(AND(Kalemler!$D191&gt;=(Tahmin!$C$4+28),Kalemler!$D191&lt;=(Tahmin!$C$4+34)),1,0))))</f>
        <v>0</v>
      </c>
      <c r="G191" s="0" t="n">
        <f aca="false">IF(OR(Kalemler!$A191="",Kalemler!$C191="",Kalemler!$D191=""),0,Kalemler!$C191*IF(Kalemler!$E191="Haftalık",IF(Kalemler!$D191&lt;=(Tahmin!$C$4+41),1,0),IF(Kalemler!$E191="Aylık",IF(OR(AND(DATE(YEAR((Tahmin!$C$4+35)),MONTH((Tahmin!$C$4+35)),MIN(DAY(Kalemler!$D191),DAY(EOMONTH((Tahmin!$C$4+35),0))))&gt;=(Tahmin!$C$4+35),DATE(YEAR((Tahmin!$C$4+35)),MONTH((Tahmin!$C$4+35)),MIN(DAY(Kalemler!$D191),DAY(EOMONTH((Tahmin!$C$4+35),0))))&lt;=(Tahmin!$C$4+41),DATE(YEAR((Tahmin!$C$4+35)),MONTH((Tahmin!$C$4+35)),MIN(DAY(Kalemler!$D191),DAY(EOMONTH((Tahmin!$C$4+35),0))))&gt;=Kalemler!$D191),AND(DATE(YEAR((Tahmin!$C$4+41)),MONTH((Tahmin!$C$4+41)),MIN(DAY(Kalemler!$D191),DAY(EOMONTH((Tahmin!$C$4+41),0))))&gt;=(Tahmin!$C$4+35),DATE(YEAR((Tahmin!$C$4+41)),MONTH((Tahmin!$C$4+41)),MIN(DAY(Kalemler!$D191),DAY(EOMONTH((Tahmin!$C$4+41),0))))&lt;=(Tahmin!$C$4+41),DATE(YEAR((Tahmin!$C$4+41)),MONTH((Tahmin!$C$4+41)),MIN(DAY(Kalemler!$D191),DAY(EOMONTH((Tahmin!$C$4+41),0))))&lt;&gt;DATE(YEAR((Tahmin!$C$4+35)),MONTH((Tahmin!$C$4+35)),MIN(DAY(Kalemler!$D191),DAY(EOMONTH((Tahmin!$C$4+35),0)))),DATE(YEAR((Tahmin!$C$4+41)),MONTH((Tahmin!$C$4+41)),MIN(DAY(Kalemler!$D191),DAY(EOMONTH((Tahmin!$C$4+41),0))))&gt;=Kalemler!$D191)),1,0),IF(AND(Kalemler!$D191&gt;=(Tahmin!$C$4+35),Kalemler!$D191&lt;=(Tahmin!$C$4+41)),1,0))))</f>
        <v>0</v>
      </c>
      <c r="H191" s="0" t="n">
        <f aca="false">IF(OR(Kalemler!$A191="",Kalemler!$C191="",Kalemler!$D191=""),0,Kalemler!$C191*IF(Kalemler!$E191="Haftalık",IF(Kalemler!$D191&lt;=(Tahmin!$C$4+48),1,0),IF(Kalemler!$E191="Aylık",IF(OR(AND(DATE(YEAR((Tahmin!$C$4+42)),MONTH((Tahmin!$C$4+42)),MIN(DAY(Kalemler!$D191),DAY(EOMONTH((Tahmin!$C$4+42),0))))&gt;=(Tahmin!$C$4+42),DATE(YEAR((Tahmin!$C$4+42)),MONTH((Tahmin!$C$4+42)),MIN(DAY(Kalemler!$D191),DAY(EOMONTH((Tahmin!$C$4+42),0))))&lt;=(Tahmin!$C$4+48),DATE(YEAR((Tahmin!$C$4+42)),MONTH((Tahmin!$C$4+42)),MIN(DAY(Kalemler!$D191),DAY(EOMONTH((Tahmin!$C$4+42),0))))&gt;=Kalemler!$D191),AND(DATE(YEAR((Tahmin!$C$4+48)),MONTH((Tahmin!$C$4+48)),MIN(DAY(Kalemler!$D191),DAY(EOMONTH((Tahmin!$C$4+48),0))))&gt;=(Tahmin!$C$4+42),DATE(YEAR((Tahmin!$C$4+48)),MONTH((Tahmin!$C$4+48)),MIN(DAY(Kalemler!$D191),DAY(EOMONTH((Tahmin!$C$4+48),0))))&lt;=(Tahmin!$C$4+48),DATE(YEAR((Tahmin!$C$4+48)),MONTH((Tahmin!$C$4+48)),MIN(DAY(Kalemler!$D191),DAY(EOMONTH((Tahmin!$C$4+48),0))))&lt;&gt;DATE(YEAR((Tahmin!$C$4+42)),MONTH((Tahmin!$C$4+42)),MIN(DAY(Kalemler!$D191),DAY(EOMONTH((Tahmin!$C$4+42),0)))),DATE(YEAR((Tahmin!$C$4+48)),MONTH((Tahmin!$C$4+48)),MIN(DAY(Kalemler!$D191),DAY(EOMONTH((Tahmin!$C$4+48),0))))&gt;=Kalemler!$D191)),1,0),IF(AND(Kalemler!$D191&gt;=(Tahmin!$C$4+42),Kalemler!$D191&lt;=(Tahmin!$C$4+48)),1,0))))</f>
        <v>0</v>
      </c>
      <c r="I191" s="0" t="n">
        <f aca="false">IF(OR(Kalemler!$A191="",Kalemler!$C191="",Kalemler!$D191=""),0,Kalemler!$C191*IF(Kalemler!$E191="Haftalık",IF(Kalemler!$D191&lt;=(Tahmin!$C$4+55),1,0),IF(Kalemler!$E191="Aylık",IF(OR(AND(DATE(YEAR((Tahmin!$C$4+49)),MONTH((Tahmin!$C$4+49)),MIN(DAY(Kalemler!$D191),DAY(EOMONTH((Tahmin!$C$4+49),0))))&gt;=(Tahmin!$C$4+49),DATE(YEAR((Tahmin!$C$4+49)),MONTH((Tahmin!$C$4+49)),MIN(DAY(Kalemler!$D191),DAY(EOMONTH((Tahmin!$C$4+49),0))))&lt;=(Tahmin!$C$4+55),DATE(YEAR((Tahmin!$C$4+49)),MONTH((Tahmin!$C$4+49)),MIN(DAY(Kalemler!$D191),DAY(EOMONTH((Tahmin!$C$4+49),0))))&gt;=Kalemler!$D191),AND(DATE(YEAR((Tahmin!$C$4+55)),MONTH((Tahmin!$C$4+55)),MIN(DAY(Kalemler!$D191),DAY(EOMONTH((Tahmin!$C$4+55),0))))&gt;=(Tahmin!$C$4+49),DATE(YEAR((Tahmin!$C$4+55)),MONTH((Tahmin!$C$4+55)),MIN(DAY(Kalemler!$D191),DAY(EOMONTH((Tahmin!$C$4+55),0))))&lt;=(Tahmin!$C$4+55),DATE(YEAR((Tahmin!$C$4+55)),MONTH((Tahmin!$C$4+55)),MIN(DAY(Kalemler!$D191),DAY(EOMONTH((Tahmin!$C$4+55),0))))&lt;&gt;DATE(YEAR((Tahmin!$C$4+49)),MONTH((Tahmin!$C$4+49)),MIN(DAY(Kalemler!$D191),DAY(EOMONTH((Tahmin!$C$4+49),0)))),DATE(YEAR((Tahmin!$C$4+55)),MONTH((Tahmin!$C$4+55)),MIN(DAY(Kalemler!$D191),DAY(EOMONTH((Tahmin!$C$4+55),0))))&gt;=Kalemler!$D191)),1,0),IF(AND(Kalemler!$D191&gt;=(Tahmin!$C$4+49),Kalemler!$D191&lt;=(Tahmin!$C$4+55)),1,0))))</f>
        <v>0</v>
      </c>
      <c r="J191" s="0" t="n">
        <f aca="false">IF(OR(Kalemler!$A191="",Kalemler!$C191="",Kalemler!$D191=""),0,Kalemler!$C191*IF(Kalemler!$E191="Haftalık",IF(Kalemler!$D191&lt;=(Tahmin!$C$4+62),1,0),IF(Kalemler!$E191="Aylık",IF(OR(AND(DATE(YEAR((Tahmin!$C$4+56)),MONTH((Tahmin!$C$4+56)),MIN(DAY(Kalemler!$D191),DAY(EOMONTH((Tahmin!$C$4+56),0))))&gt;=(Tahmin!$C$4+56),DATE(YEAR((Tahmin!$C$4+56)),MONTH((Tahmin!$C$4+56)),MIN(DAY(Kalemler!$D191),DAY(EOMONTH((Tahmin!$C$4+56),0))))&lt;=(Tahmin!$C$4+62),DATE(YEAR((Tahmin!$C$4+56)),MONTH((Tahmin!$C$4+56)),MIN(DAY(Kalemler!$D191),DAY(EOMONTH((Tahmin!$C$4+56),0))))&gt;=Kalemler!$D191),AND(DATE(YEAR((Tahmin!$C$4+62)),MONTH((Tahmin!$C$4+62)),MIN(DAY(Kalemler!$D191),DAY(EOMONTH((Tahmin!$C$4+62),0))))&gt;=(Tahmin!$C$4+56),DATE(YEAR((Tahmin!$C$4+62)),MONTH((Tahmin!$C$4+62)),MIN(DAY(Kalemler!$D191),DAY(EOMONTH((Tahmin!$C$4+62),0))))&lt;=(Tahmin!$C$4+62),DATE(YEAR((Tahmin!$C$4+62)),MONTH((Tahmin!$C$4+62)),MIN(DAY(Kalemler!$D191),DAY(EOMONTH((Tahmin!$C$4+62),0))))&lt;&gt;DATE(YEAR((Tahmin!$C$4+56)),MONTH((Tahmin!$C$4+56)),MIN(DAY(Kalemler!$D191),DAY(EOMONTH((Tahmin!$C$4+56),0)))),DATE(YEAR((Tahmin!$C$4+62)),MONTH((Tahmin!$C$4+62)),MIN(DAY(Kalemler!$D191),DAY(EOMONTH((Tahmin!$C$4+62),0))))&gt;=Kalemler!$D191)),1,0),IF(AND(Kalemler!$D191&gt;=(Tahmin!$C$4+56),Kalemler!$D191&lt;=(Tahmin!$C$4+62)),1,0))))</f>
        <v>0</v>
      </c>
      <c r="K191" s="0" t="n">
        <f aca="false">IF(OR(Kalemler!$A191="",Kalemler!$C191="",Kalemler!$D191=""),0,Kalemler!$C191*IF(Kalemler!$E191="Haftalık",IF(Kalemler!$D191&lt;=(Tahmin!$C$4+69),1,0),IF(Kalemler!$E191="Aylık",IF(OR(AND(DATE(YEAR((Tahmin!$C$4+63)),MONTH((Tahmin!$C$4+63)),MIN(DAY(Kalemler!$D191),DAY(EOMONTH((Tahmin!$C$4+63),0))))&gt;=(Tahmin!$C$4+63),DATE(YEAR((Tahmin!$C$4+63)),MONTH((Tahmin!$C$4+63)),MIN(DAY(Kalemler!$D191),DAY(EOMONTH((Tahmin!$C$4+63),0))))&lt;=(Tahmin!$C$4+69),DATE(YEAR((Tahmin!$C$4+63)),MONTH((Tahmin!$C$4+63)),MIN(DAY(Kalemler!$D191),DAY(EOMONTH((Tahmin!$C$4+63),0))))&gt;=Kalemler!$D191),AND(DATE(YEAR((Tahmin!$C$4+69)),MONTH((Tahmin!$C$4+69)),MIN(DAY(Kalemler!$D191),DAY(EOMONTH((Tahmin!$C$4+69),0))))&gt;=(Tahmin!$C$4+63),DATE(YEAR((Tahmin!$C$4+69)),MONTH((Tahmin!$C$4+69)),MIN(DAY(Kalemler!$D191),DAY(EOMONTH((Tahmin!$C$4+69),0))))&lt;=(Tahmin!$C$4+69),DATE(YEAR((Tahmin!$C$4+69)),MONTH((Tahmin!$C$4+69)),MIN(DAY(Kalemler!$D191),DAY(EOMONTH((Tahmin!$C$4+69),0))))&lt;&gt;DATE(YEAR((Tahmin!$C$4+63)),MONTH((Tahmin!$C$4+63)),MIN(DAY(Kalemler!$D191),DAY(EOMONTH((Tahmin!$C$4+63),0)))),DATE(YEAR((Tahmin!$C$4+69)),MONTH((Tahmin!$C$4+69)),MIN(DAY(Kalemler!$D191),DAY(EOMONTH((Tahmin!$C$4+69),0))))&gt;=Kalemler!$D191)),1,0),IF(AND(Kalemler!$D191&gt;=(Tahmin!$C$4+63),Kalemler!$D191&lt;=(Tahmin!$C$4+69)),1,0))))</f>
        <v>0</v>
      </c>
      <c r="L191" s="0" t="n">
        <f aca="false">IF(OR(Kalemler!$A191="",Kalemler!$C191="",Kalemler!$D191=""),0,Kalemler!$C191*IF(Kalemler!$E191="Haftalık",IF(Kalemler!$D191&lt;=(Tahmin!$C$4+76),1,0),IF(Kalemler!$E191="Aylık",IF(OR(AND(DATE(YEAR((Tahmin!$C$4+70)),MONTH((Tahmin!$C$4+70)),MIN(DAY(Kalemler!$D191),DAY(EOMONTH((Tahmin!$C$4+70),0))))&gt;=(Tahmin!$C$4+70),DATE(YEAR((Tahmin!$C$4+70)),MONTH((Tahmin!$C$4+70)),MIN(DAY(Kalemler!$D191),DAY(EOMONTH((Tahmin!$C$4+70),0))))&lt;=(Tahmin!$C$4+76),DATE(YEAR((Tahmin!$C$4+70)),MONTH((Tahmin!$C$4+70)),MIN(DAY(Kalemler!$D191),DAY(EOMONTH((Tahmin!$C$4+70),0))))&gt;=Kalemler!$D191),AND(DATE(YEAR((Tahmin!$C$4+76)),MONTH((Tahmin!$C$4+76)),MIN(DAY(Kalemler!$D191),DAY(EOMONTH((Tahmin!$C$4+76),0))))&gt;=(Tahmin!$C$4+70),DATE(YEAR((Tahmin!$C$4+76)),MONTH((Tahmin!$C$4+76)),MIN(DAY(Kalemler!$D191),DAY(EOMONTH((Tahmin!$C$4+76),0))))&lt;=(Tahmin!$C$4+76),DATE(YEAR((Tahmin!$C$4+76)),MONTH((Tahmin!$C$4+76)),MIN(DAY(Kalemler!$D191),DAY(EOMONTH((Tahmin!$C$4+76),0))))&lt;&gt;DATE(YEAR((Tahmin!$C$4+70)),MONTH((Tahmin!$C$4+70)),MIN(DAY(Kalemler!$D191),DAY(EOMONTH((Tahmin!$C$4+70),0)))),DATE(YEAR((Tahmin!$C$4+76)),MONTH((Tahmin!$C$4+76)),MIN(DAY(Kalemler!$D191),DAY(EOMONTH((Tahmin!$C$4+76),0))))&gt;=Kalemler!$D191)),1,0),IF(AND(Kalemler!$D191&gt;=(Tahmin!$C$4+70),Kalemler!$D191&lt;=(Tahmin!$C$4+76)),1,0))))</f>
        <v>0</v>
      </c>
      <c r="M191" s="0" t="n">
        <f aca="false">IF(OR(Kalemler!$A191="",Kalemler!$C191="",Kalemler!$D191=""),0,Kalemler!$C191*IF(Kalemler!$E191="Haftalık",IF(Kalemler!$D191&lt;=(Tahmin!$C$4+83),1,0),IF(Kalemler!$E191="Aylık",IF(OR(AND(DATE(YEAR((Tahmin!$C$4+77)),MONTH((Tahmin!$C$4+77)),MIN(DAY(Kalemler!$D191),DAY(EOMONTH((Tahmin!$C$4+77),0))))&gt;=(Tahmin!$C$4+77),DATE(YEAR((Tahmin!$C$4+77)),MONTH((Tahmin!$C$4+77)),MIN(DAY(Kalemler!$D191),DAY(EOMONTH((Tahmin!$C$4+77),0))))&lt;=(Tahmin!$C$4+83),DATE(YEAR((Tahmin!$C$4+77)),MONTH((Tahmin!$C$4+77)),MIN(DAY(Kalemler!$D191),DAY(EOMONTH((Tahmin!$C$4+77),0))))&gt;=Kalemler!$D191),AND(DATE(YEAR((Tahmin!$C$4+83)),MONTH((Tahmin!$C$4+83)),MIN(DAY(Kalemler!$D191),DAY(EOMONTH((Tahmin!$C$4+83),0))))&gt;=(Tahmin!$C$4+77),DATE(YEAR((Tahmin!$C$4+83)),MONTH((Tahmin!$C$4+83)),MIN(DAY(Kalemler!$D191),DAY(EOMONTH((Tahmin!$C$4+83),0))))&lt;=(Tahmin!$C$4+83),DATE(YEAR((Tahmin!$C$4+83)),MONTH((Tahmin!$C$4+83)),MIN(DAY(Kalemler!$D191),DAY(EOMONTH((Tahmin!$C$4+83),0))))&lt;&gt;DATE(YEAR((Tahmin!$C$4+77)),MONTH((Tahmin!$C$4+77)),MIN(DAY(Kalemler!$D191),DAY(EOMONTH((Tahmin!$C$4+77),0)))),DATE(YEAR((Tahmin!$C$4+83)),MONTH((Tahmin!$C$4+83)),MIN(DAY(Kalemler!$D191),DAY(EOMONTH((Tahmin!$C$4+83),0))))&gt;=Kalemler!$D191)),1,0),IF(AND(Kalemler!$D191&gt;=(Tahmin!$C$4+77),Kalemler!$D191&lt;=(Tahmin!$C$4+83)),1,0))))</f>
        <v>0</v>
      </c>
      <c r="N191" s="0" t="n">
        <f aca="false">IF(OR(Kalemler!$A191="",Kalemler!$C191="",Kalemler!$D191=""),0,Kalemler!$C191*IF(Kalemler!$E191="Haftalık",IF(Kalemler!$D191&lt;=(Tahmin!$C$4+90),1,0),IF(Kalemler!$E191="Aylık",IF(OR(AND(DATE(YEAR((Tahmin!$C$4+84)),MONTH((Tahmin!$C$4+84)),MIN(DAY(Kalemler!$D191),DAY(EOMONTH((Tahmin!$C$4+84),0))))&gt;=(Tahmin!$C$4+84),DATE(YEAR((Tahmin!$C$4+84)),MONTH((Tahmin!$C$4+84)),MIN(DAY(Kalemler!$D191),DAY(EOMONTH((Tahmin!$C$4+84),0))))&lt;=(Tahmin!$C$4+90),DATE(YEAR((Tahmin!$C$4+84)),MONTH((Tahmin!$C$4+84)),MIN(DAY(Kalemler!$D191),DAY(EOMONTH((Tahmin!$C$4+84),0))))&gt;=Kalemler!$D191),AND(DATE(YEAR((Tahmin!$C$4+90)),MONTH((Tahmin!$C$4+90)),MIN(DAY(Kalemler!$D191),DAY(EOMONTH((Tahmin!$C$4+90),0))))&gt;=(Tahmin!$C$4+84),DATE(YEAR((Tahmin!$C$4+90)),MONTH((Tahmin!$C$4+90)),MIN(DAY(Kalemler!$D191),DAY(EOMONTH((Tahmin!$C$4+90),0))))&lt;=(Tahmin!$C$4+90),DATE(YEAR((Tahmin!$C$4+90)),MONTH((Tahmin!$C$4+90)),MIN(DAY(Kalemler!$D191),DAY(EOMONTH((Tahmin!$C$4+90),0))))&lt;&gt;DATE(YEAR((Tahmin!$C$4+84)),MONTH((Tahmin!$C$4+84)),MIN(DAY(Kalemler!$D191),DAY(EOMONTH((Tahmin!$C$4+84),0)))),DATE(YEAR((Tahmin!$C$4+90)),MONTH((Tahmin!$C$4+90)),MIN(DAY(Kalemler!$D191),DAY(EOMONTH((Tahmin!$C$4+90),0))))&gt;=Kalemler!$D191)),1,0),IF(AND(Kalemler!$D191&gt;=(Tahmin!$C$4+84),Kalemler!$D191&lt;=(Tahmin!$C$4+90)),1,0))))</f>
        <v>0</v>
      </c>
    </row>
    <row r="192" customFormat="false" ht="15" hidden="false" customHeight="false" outlineLevel="0" collapsed="false">
      <c r="A192" s="0" t="str">
        <f aca="false">IF(Kalemler!A192="","",Kalemler!A192)</f>
        <v/>
      </c>
      <c r="B192" s="0" t="n">
        <f aca="false">IF(OR(Kalemler!$A192="",Kalemler!$C192="",Kalemler!$D192=""),0,Kalemler!$C192*IF(Kalemler!$E192="Haftalık",IF(Kalemler!$D192&lt;=(Tahmin!$C$4+6),1,0),IF(Kalemler!$E192="Aylık",IF(OR(AND(DATE(YEAR((Tahmin!$C$4+0)),MONTH((Tahmin!$C$4+0)),MIN(DAY(Kalemler!$D192),DAY(EOMONTH((Tahmin!$C$4+0),0))))&gt;=(Tahmin!$C$4+0),DATE(YEAR((Tahmin!$C$4+0)),MONTH((Tahmin!$C$4+0)),MIN(DAY(Kalemler!$D192),DAY(EOMONTH((Tahmin!$C$4+0),0))))&lt;=(Tahmin!$C$4+6),DATE(YEAR((Tahmin!$C$4+0)),MONTH((Tahmin!$C$4+0)),MIN(DAY(Kalemler!$D192),DAY(EOMONTH((Tahmin!$C$4+0),0))))&gt;=Kalemler!$D192),AND(DATE(YEAR((Tahmin!$C$4+6)),MONTH((Tahmin!$C$4+6)),MIN(DAY(Kalemler!$D192),DAY(EOMONTH((Tahmin!$C$4+6),0))))&gt;=(Tahmin!$C$4+0),DATE(YEAR((Tahmin!$C$4+6)),MONTH((Tahmin!$C$4+6)),MIN(DAY(Kalemler!$D192),DAY(EOMONTH((Tahmin!$C$4+6),0))))&lt;=(Tahmin!$C$4+6),DATE(YEAR((Tahmin!$C$4+6)),MONTH((Tahmin!$C$4+6)),MIN(DAY(Kalemler!$D192),DAY(EOMONTH((Tahmin!$C$4+6),0))))&lt;&gt;DATE(YEAR((Tahmin!$C$4+0)),MONTH((Tahmin!$C$4+0)),MIN(DAY(Kalemler!$D192),DAY(EOMONTH((Tahmin!$C$4+0),0)))),DATE(YEAR((Tahmin!$C$4+6)),MONTH((Tahmin!$C$4+6)),MIN(DAY(Kalemler!$D192),DAY(EOMONTH((Tahmin!$C$4+6),0))))&gt;=Kalemler!$D192)),1,0),IF(AND(Kalemler!$D192&gt;=(Tahmin!$C$4+0),Kalemler!$D192&lt;=(Tahmin!$C$4+6)),1,0))))</f>
        <v>0</v>
      </c>
      <c r="C192" s="0" t="n">
        <f aca="false">IF(OR(Kalemler!$A192="",Kalemler!$C192="",Kalemler!$D192=""),0,Kalemler!$C192*IF(Kalemler!$E192="Haftalık",IF(Kalemler!$D192&lt;=(Tahmin!$C$4+13),1,0),IF(Kalemler!$E192="Aylık",IF(OR(AND(DATE(YEAR((Tahmin!$C$4+7)),MONTH((Tahmin!$C$4+7)),MIN(DAY(Kalemler!$D192),DAY(EOMONTH((Tahmin!$C$4+7),0))))&gt;=(Tahmin!$C$4+7),DATE(YEAR((Tahmin!$C$4+7)),MONTH((Tahmin!$C$4+7)),MIN(DAY(Kalemler!$D192),DAY(EOMONTH((Tahmin!$C$4+7),0))))&lt;=(Tahmin!$C$4+13),DATE(YEAR((Tahmin!$C$4+7)),MONTH((Tahmin!$C$4+7)),MIN(DAY(Kalemler!$D192),DAY(EOMONTH((Tahmin!$C$4+7),0))))&gt;=Kalemler!$D192),AND(DATE(YEAR((Tahmin!$C$4+13)),MONTH((Tahmin!$C$4+13)),MIN(DAY(Kalemler!$D192),DAY(EOMONTH((Tahmin!$C$4+13),0))))&gt;=(Tahmin!$C$4+7),DATE(YEAR((Tahmin!$C$4+13)),MONTH((Tahmin!$C$4+13)),MIN(DAY(Kalemler!$D192),DAY(EOMONTH((Tahmin!$C$4+13),0))))&lt;=(Tahmin!$C$4+13),DATE(YEAR((Tahmin!$C$4+13)),MONTH((Tahmin!$C$4+13)),MIN(DAY(Kalemler!$D192),DAY(EOMONTH((Tahmin!$C$4+13),0))))&lt;&gt;DATE(YEAR((Tahmin!$C$4+7)),MONTH((Tahmin!$C$4+7)),MIN(DAY(Kalemler!$D192),DAY(EOMONTH((Tahmin!$C$4+7),0)))),DATE(YEAR((Tahmin!$C$4+13)),MONTH((Tahmin!$C$4+13)),MIN(DAY(Kalemler!$D192),DAY(EOMONTH((Tahmin!$C$4+13),0))))&gt;=Kalemler!$D192)),1,0),IF(AND(Kalemler!$D192&gt;=(Tahmin!$C$4+7),Kalemler!$D192&lt;=(Tahmin!$C$4+13)),1,0))))</f>
        <v>0</v>
      </c>
      <c r="D192" s="0" t="n">
        <f aca="false">IF(OR(Kalemler!$A192="",Kalemler!$C192="",Kalemler!$D192=""),0,Kalemler!$C192*IF(Kalemler!$E192="Haftalık",IF(Kalemler!$D192&lt;=(Tahmin!$C$4+20),1,0),IF(Kalemler!$E192="Aylık",IF(OR(AND(DATE(YEAR((Tahmin!$C$4+14)),MONTH((Tahmin!$C$4+14)),MIN(DAY(Kalemler!$D192),DAY(EOMONTH((Tahmin!$C$4+14),0))))&gt;=(Tahmin!$C$4+14),DATE(YEAR((Tahmin!$C$4+14)),MONTH((Tahmin!$C$4+14)),MIN(DAY(Kalemler!$D192),DAY(EOMONTH((Tahmin!$C$4+14),0))))&lt;=(Tahmin!$C$4+20),DATE(YEAR((Tahmin!$C$4+14)),MONTH((Tahmin!$C$4+14)),MIN(DAY(Kalemler!$D192),DAY(EOMONTH((Tahmin!$C$4+14),0))))&gt;=Kalemler!$D192),AND(DATE(YEAR((Tahmin!$C$4+20)),MONTH((Tahmin!$C$4+20)),MIN(DAY(Kalemler!$D192),DAY(EOMONTH((Tahmin!$C$4+20),0))))&gt;=(Tahmin!$C$4+14),DATE(YEAR((Tahmin!$C$4+20)),MONTH((Tahmin!$C$4+20)),MIN(DAY(Kalemler!$D192),DAY(EOMONTH((Tahmin!$C$4+20),0))))&lt;=(Tahmin!$C$4+20),DATE(YEAR((Tahmin!$C$4+20)),MONTH((Tahmin!$C$4+20)),MIN(DAY(Kalemler!$D192),DAY(EOMONTH((Tahmin!$C$4+20),0))))&lt;&gt;DATE(YEAR((Tahmin!$C$4+14)),MONTH((Tahmin!$C$4+14)),MIN(DAY(Kalemler!$D192),DAY(EOMONTH((Tahmin!$C$4+14),0)))),DATE(YEAR((Tahmin!$C$4+20)),MONTH((Tahmin!$C$4+20)),MIN(DAY(Kalemler!$D192),DAY(EOMONTH((Tahmin!$C$4+20),0))))&gt;=Kalemler!$D192)),1,0),IF(AND(Kalemler!$D192&gt;=(Tahmin!$C$4+14),Kalemler!$D192&lt;=(Tahmin!$C$4+20)),1,0))))</f>
        <v>0</v>
      </c>
      <c r="E192" s="0" t="n">
        <f aca="false">IF(OR(Kalemler!$A192="",Kalemler!$C192="",Kalemler!$D192=""),0,Kalemler!$C192*IF(Kalemler!$E192="Haftalık",IF(Kalemler!$D192&lt;=(Tahmin!$C$4+27),1,0),IF(Kalemler!$E192="Aylık",IF(OR(AND(DATE(YEAR((Tahmin!$C$4+21)),MONTH((Tahmin!$C$4+21)),MIN(DAY(Kalemler!$D192),DAY(EOMONTH((Tahmin!$C$4+21),0))))&gt;=(Tahmin!$C$4+21),DATE(YEAR((Tahmin!$C$4+21)),MONTH((Tahmin!$C$4+21)),MIN(DAY(Kalemler!$D192),DAY(EOMONTH((Tahmin!$C$4+21),0))))&lt;=(Tahmin!$C$4+27),DATE(YEAR((Tahmin!$C$4+21)),MONTH((Tahmin!$C$4+21)),MIN(DAY(Kalemler!$D192),DAY(EOMONTH((Tahmin!$C$4+21),0))))&gt;=Kalemler!$D192),AND(DATE(YEAR((Tahmin!$C$4+27)),MONTH((Tahmin!$C$4+27)),MIN(DAY(Kalemler!$D192),DAY(EOMONTH((Tahmin!$C$4+27),0))))&gt;=(Tahmin!$C$4+21),DATE(YEAR((Tahmin!$C$4+27)),MONTH((Tahmin!$C$4+27)),MIN(DAY(Kalemler!$D192),DAY(EOMONTH((Tahmin!$C$4+27),0))))&lt;=(Tahmin!$C$4+27),DATE(YEAR((Tahmin!$C$4+27)),MONTH((Tahmin!$C$4+27)),MIN(DAY(Kalemler!$D192),DAY(EOMONTH((Tahmin!$C$4+27),0))))&lt;&gt;DATE(YEAR((Tahmin!$C$4+21)),MONTH((Tahmin!$C$4+21)),MIN(DAY(Kalemler!$D192),DAY(EOMONTH((Tahmin!$C$4+21),0)))),DATE(YEAR((Tahmin!$C$4+27)),MONTH((Tahmin!$C$4+27)),MIN(DAY(Kalemler!$D192),DAY(EOMONTH((Tahmin!$C$4+27),0))))&gt;=Kalemler!$D192)),1,0),IF(AND(Kalemler!$D192&gt;=(Tahmin!$C$4+21),Kalemler!$D192&lt;=(Tahmin!$C$4+27)),1,0))))</f>
        <v>0</v>
      </c>
      <c r="F192" s="0" t="n">
        <f aca="false">IF(OR(Kalemler!$A192="",Kalemler!$C192="",Kalemler!$D192=""),0,Kalemler!$C192*IF(Kalemler!$E192="Haftalık",IF(Kalemler!$D192&lt;=(Tahmin!$C$4+34),1,0),IF(Kalemler!$E192="Aylık",IF(OR(AND(DATE(YEAR((Tahmin!$C$4+28)),MONTH((Tahmin!$C$4+28)),MIN(DAY(Kalemler!$D192),DAY(EOMONTH((Tahmin!$C$4+28),0))))&gt;=(Tahmin!$C$4+28),DATE(YEAR((Tahmin!$C$4+28)),MONTH((Tahmin!$C$4+28)),MIN(DAY(Kalemler!$D192),DAY(EOMONTH((Tahmin!$C$4+28),0))))&lt;=(Tahmin!$C$4+34),DATE(YEAR((Tahmin!$C$4+28)),MONTH((Tahmin!$C$4+28)),MIN(DAY(Kalemler!$D192),DAY(EOMONTH((Tahmin!$C$4+28),0))))&gt;=Kalemler!$D192),AND(DATE(YEAR((Tahmin!$C$4+34)),MONTH((Tahmin!$C$4+34)),MIN(DAY(Kalemler!$D192),DAY(EOMONTH((Tahmin!$C$4+34),0))))&gt;=(Tahmin!$C$4+28),DATE(YEAR((Tahmin!$C$4+34)),MONTH((Tahmin!$C$4+34)),MIN(DAY(Kalemler!$D192),DAY(EOMONTH((Tahmin!$C$4+34),0))))&lt;=(Tahmin!$C$4+34),DATE(YEAR((Tahmin!$C$4+34)),MONTH((Tahmin!$C$4+34)),MIN(DAY(Kalemler!$D192),DAY(EOMONTH((Tahmin!$C$4+34),0))))&lt;&gt;DATE(YEAR((Tahmin!$C$4+28)),MONTH((Tahmin!$C$4+28)),MIN(DAY(Kalemler!$D192),DAY(EOMONTH((Tahmin!$C$4+28),0)))),DATE(YEAR((Tahmin!$C$4+34)),MONTH((Tahmin!$C$4+34)),MIN(DAY(Kalemler!$D192),DAY(EOMONTH((Tahmin!$C$4+34),0))))&gt;=Kalemler!$D192)),1,0),IF(AND(Kalemler!$D192&gt;=(Tahmin!$C$4+28),Kalemler!$D192&lt;=(Tahmin!$C$4+34)),1,0))))</f>
        <v>0</v>
      </c>
      <c r="G192" s="0" t="n">
        <f aca="false">IF(OR(Kalemler!$A192="",Kalemler!$C192="",Kalemler!$D192=""),0,Kalemler!$C192*IF(Kalemler!$E192="Haftalık",IF(Kalemler!$D192&lt;=(Tahmin!$C$4+41),1,0),IF(Kalemler!$E192="Aylık",IF(OR(AND(DATE(YEAR((Tahmin!$C$4+35)),MONTH((Tahmin!$C$4+35)),MIN(DAY(Kalemler!$D192),DAY(EOMONTH((Tahmin!$C$4+35),0))))&gt;=(Tahmin!$C$4+35),DATE(YEAR((Tahmin!$C$4+35)),MONTH((Tahmin!$C$4+35)),MIN(DAY(Kalemler!$D192),DAY(EOMONTH((Tahmin!$C$4+35),0))))&lt;=(Tahmin!$C$4+41),DATE(YEAR((Tahmin!$C$4+35)),MONTH((Tahmin!$C$4+35)),MIN(DAY(Kalemler!$D192),DAY(EOMONTH((Tahmin!$C$4+35),0))))&gt;=Kalemler!$D192),AND(DATE(YEAR((Tahmin!$C$4+41)),MONTH((Tahmin!$C$4+41)),MIN(DAY(Kalemler!$D192),DAY(EOMONTH((Tahmin!$C$4+41),0))))&gt;=(Tahmin!$C$4+35),DATE(YEAR((Tahmin!$C$4+41)),MONTH((Tahmin!$C$4+41)),MIN(DAY(Kalemler!$D192),DAY(EOMONTH((Tahmin!$C$4+41),0))))&lt;=(Tahmin!$C$4+41),DATE(YEAR((Tahmin!$C$4+41)),MONTH((Tahmin!$C$4+41)),MIN(DAY(Kalemler!$D192),DAY(EOMONTH((Tahmin!$C$4+41),0))))&lt;&gt;DATE(YEAR((Tahmin!$C$4+35)),MONTH((Tahmin!$C$4+35)),MIN(DAY(Kalemler!$D192),DAY(EOMONTH((Tahmin!$C$4+35),0)))),DATE(YEAR((Tahmin!$C$4+41)),MONTH((Tahmin!$C$4+41)),MIN(DAY(Kalemler!$D192),DAY(EOMONTH((Tahmin!$C$4+41),0))))&gt;=Kalemler!$D192)),1,0),IF(AND(Kalemler!$D192&gt;=(Tahmin!$C$4+35),Kalemler!$D192&lt;=(Tahmin!$C$4+41)),1,0))))</f>
        <v>0</v>
      </c>
      <c r="H192" s="0" t="n">
        <f aca="false">IF(OR(Kalemler!$A192="",Kalemler!$C192="",Kalemler!$D192=""),0,Kalemler!$C192*IF(Kalemler!$E192="Haftalık",IF(Kalemler!$D192&lt;=(Tahmin!$C$4+48),1,0),IF(Kalemler!$E192="Aylık",IF(OR(AND(DATE(YEAR((Tahmin!$C$4+42)),MONTH((Tahmin!$C$4+42)),MIN(DAY(Kalemler!$D192),DAY(EOMONTH((Tahmin!$C$4+42),0))))&gt;=(Tahmin!$C$4+42),DATE(YEAR((Tahmin!$C$4+42)),MONTH((Tahmin!$C$4+42)),MIN(DAY(Kalemler!$D192),DAY(EOMONTH((Tahmin!$C$4+42),0))))&lt;=(Tahmin!$C$4+48),DATE(YEAR((Tahmin!$C$4+42)),MONTH((Tahmin!$C$4+42)),MIN(DAY(Kalemler!$D192),DAY(EOMONTH((Tahmin!$C$4+42),0))))&gt;=Kalemler!$D192),AND(DATE(YEAR((Tahmin!$C$4+48)),MONTH((Tahmin!$C$4+48)),MIN(DAY(Kalemler!$D192),DAY(EOMONTH((Tahmin!$C$4+48),0))))&gt;=(Tahmin!$C$4+42),DATE(YEAR((Tahmin!$C$4+48)),MONTH((Tahmin!$C$4+48)),MIN(DAY(Kalemler!$D192),DAY(EOMONTH((Tahmin!$C$4+48),0))))&lt;=(Tahmin!$C$4+48),DATE(YEAR((Tahmin!$C$4+48)),MONTH((Tahmin!$C$4+48)),MIN(DAY(Kalemler!$D192),DAY(EOMONTH((Tahmin!$C$4+48),0))))&lt;&gt;DATE(YEAR((Tahmin!$C$4+42)),MONTH((Tahmin!$C$4+42)),MIN(DAY(Kalemler!$D192),DAY(EOMONTH((Tahmin!$C$4+42),0)))),DATE(YEAR((Tahmin!$C$4+48)),MONTH((Tahmin!$C$4+48)),MIN(DAY(Kalemler!$D192),DAY(EOMONTH((Tahmin!$C$4+48),0))))&gt;=Kalemler!$D192)),1,0),IF(AND(Kalemler!$D192&gt;=(Tahmin!$C$4+42),Kalemler!$D192&lt;=(Tahmin!$C$4+48)),1,0))))</f>
        <v>0</v>
      </c>
      <c r="I192" s="0" t="n">
        <f aca="false">IF(OR(Kalemler!$A192="",Kalemler!$C192="",Kalemler!$D192=""),0,Kalemler!$C192*IF(Kalemler!$E192="Haftalık",IF(Kalemler!$D192&lt;=(Tahmin!$C$4+55),1,0),IF(Kalemler!$E192="Aylık",IF(OR(AND(DATE(YEAR((Tahmin!$C$4+49)),MONTH((Tahmin!$C$4+49)),MIN(DAY(Kalemler!$D192),DAY(EOMONTH((Tahmin!$C$4+49),0))))&gt;=(Tahmin!$C$4+49),DATE(YEAR((Tahmin!$C$4+49)),MONTH((Tahmin!$C$4+49)),MIN(DAY(Kalemler!$D192),DAY(EOMONTH((Tahmin!$C$4+49),0))))&lt;=(Tahmin!$C$4+55),DATE(YEAR((Tahmin!$C$4+49)),MONTH((Tahmin!$C$4+49)),MIN(DAY(Kalemler!$D192),DAY(EOMONTH((Tahmin!$C$4+49),0))))&gt;=Kalemler!$D192),AND(DATE(YEAR((Tahmin!$C$4+55)),MONTH((Tahmin!$C$4+55)),MIN(DAY(Kalemler!$D192),DAY(EOMONTH((Tahmin!$C$4+55),0))))&gt;=(Tahmin!$C$4+49),DATE(YEAR((Tahmin!$C$4+55)),MONTH((Tahmin!$C$4+55)),MIN(DAY(Kalemler!$D192),DAY(EOMONTH((Tahmin!$C$4+55),0))))&lt;=(Tahmin!$C$4+55),DATE(YEAR((Tahmin!$C$4+55)),MONTH((Tahmin!$C$4+55)),MIN(DAY(Kalemler!$D192),DAY(EOMONTH((Tahmin!$C$4+55),0))))&lt;&gt;DATE(YEAR((Tahmin!$C$4+49)),MONTH((Tahmin!$C$4+49)),MIN(DAY(Kalemler!$D192),DAY(EOMONTH((Tahmin!$C$4+49),0)))),DATE(YEAR((Tahmin!$C$4+55)),MONTH((Tahmin!$C$4+55)),MIN(DAY(Kalemler!$D192),DAY(EOMONTH((Tahmin!$C$4+55),0))))&gt;=Kalemler!$D192)),1,0),IF(AND(Kalemler!$D192&gt;=(Tahmin!$C$4+49),Kalemler!$D192&lt;=(Tahmin!$C$4+55)),1,0))))</f>
        <v>0</v>
      </c>
      <c r="J192" s="0" t="n">
        <f aca="false">IF(OR(Kalemler!$A192="",Kalemler!$C192="",Kalemler!$D192=""),0,Kalemler!$C192*IF(Kalemler!$E192="Haftalık",IF(Kalemler!$D192&lt;=(Tahmin!$C$4+62),1,0),IF(Kalemler!$E192="Aylık",IF(OR(AND(DATE(YEAR((Tahmin!$C$4+56)),MONTH((Tahmin!$C$4+56)),MIN(DAY(Kalemler!$D192),DAY(EOMONTH((Tahmin!$C$4+56),0))))&gt;=(Tahmin!$C$4+56),DATE(YEAR((Tahmin!$C$4+56)),MONTH((Tahmin!$C$4+56)),MIN(DAY(Kalemler!$D192),DAY(EOMONTH((Tahmin!$C$4+56),0))))&lt;=(Tahmin!$C$4+62),DATE(YEAR((Tahmin!$C$4+56)),MONTH((Tahmin!$C$4+56)),MIN(DAY(Kalemler!$D192),DAY(EOMONTH((Tahmin!$C$4+56),0))))&gt;=Kalemler!$D192),AND(DATE(YEAR((Tahmin!$C$4+62)),MONTH((Tahmin!$C$4+62)),MIN(DAY(Kalemler!$D192),DAY(EOMONTH((Tahmin!$C$4+62),0))))&gt;=(Tahmin!$C$4+56),DATE(YEAR((Tahmin!$C$4+62)),MONTH((Tahmin!$C$4+62)),MIN(DAY(Kalemler!$D192),DAY(EOMONTH((Tahmin!$C$4+62),0))))&lt;=(Tahmin!$C$4+62),DATE(YEAR((Tahmin!$C$4+62)),MONTH((Tahmin!$C$4+62)),MIN(DAY(Kalemler!$D192),DAY(EOMONTH((Tahmin!$C$4+62),0))))&lt;&gt;DATE(YEAR((Tahmin!$C$4+56)),MONTH((Tahmin!$C$4+56)),MIN(DAY(Kalemler!$D192),DAY(EOMONTH((Tahmin!$C$4+56),0)))),DATE(YEAR((Tahmin!$C$4+62)),MONTH((Tahmin!$C$4+62)),MIN(DAY(Kalemler!$D192),DAY(EOMONTH((Tahmin!$C$4+62),0))))&gt;=Kalemler!$D192)),1,0),IF(AND(Kalemler!$D192&gt;=(Tahmin!$C$4+56),Kalemler!$D192&lt;=(Tahmin!$C$4+62)),1,0))))</f>
        <v>0</v>
      </c>
      <c r="K192" s="0" t="n">
        <f aca="false">IF(OR(Kalemler!$A192="",Kalemler!$C192="",Kalemler!$D192=""),0,Kalemler!$C192*IF(Kalemler!$E192="Haftalık",IF(Kalemler!$D192&lt;=(Tahmin!$C$4+69),1,0),IF(Kalemler!$E192="Aylık",IF(OR(AND(DATE(YEAR((Tahmin!$C$4+63)),MONTH((Tahmin!$C$4+63)),MIN(DAY(Kalemler!$D192),DAY(EOMONTH((Tahmin!$C$4+63),0))))&gt;=(Tahmin!$C$4+63),DATE(YEAR((Tahmin!$C$4+63)),MONTH((Tahmin!$C$4+63)),MIN(DAY(Kalemler!$D192),DAY(EOMONTH((Tahmin!$C$4+63),0))))&lt;=(Tahmin!$C$4+69),DATE(YEAR((Tahmin!$C$4+63)),MONTH((Tahmin!$C$4+63)),MIN(DAY(Kalemler!$D192),DAY(EOMONTH((Tahmin!$C$4+63),0))))&gt;=Kalemler!$D192),AND(DATE(YEAR((Tahmin!$C$4+69)),MONTH((Tahmin!$C$4+69)),MIN(DAY(Kalemler!$D192),DAY(EOMONTH((Tahmin!$C$4+69),0))))&gt;=(Tahmin!$C$4+63),DATE(YEAR((Tahmin!$C$4+69)),MONTH((Tahmin!$C$4+69)),MIN(DAY(Kalemler!$D192),DAY(EOMONTH((Tahmin!$C$4+69),0))))&lt;=(Tahmin!$C$4+69),DATE(YEAR((Tahmin!$C$4+69)),MONTH((Tahmin!$C$4+69)),MIN(DAY(Kalemler!$D192),DAY(EOMONTH((Tahmin!$C$4+69),0))))&lt;&gt;DATE(YEAR((Tahmin!$C$4+63)),MONTH((Tahmin!$C$4+63)),MIN(DAY(Kalemler!$D192),DAY(EOMONTH((Tahmin!$C$4+63),0)))),DATE(YEAR((Tahmin!$C$4+69)),MONTH((Tahmin!$C$4+69)),MIN(DAY(Kalemler!$D192),DAY(EOMONTH((Tahmin!$C$4+69),0))))&gt;=Kalemler!$D192)),1,0),IF(AND(Kalemler!$D192&gt;=(Tahmin!$C$4+63),Kalemler!$D192&lt;=(Tahmin!$C$4+69)),1,0))))</f>
        <v>0</v>
      </c>
      <c r="L192" s="0" t="n">
        <f aca="false">IF(OR(Kalemler!$A192="",Kalemler!$C192="",Kalemler!$D192=""),0,Kalemler!$C192*IF(Kalemler!$E192="Haftalık",IF(Kalemler!$D192&lt;=(Tahmin!$C$4+76),1,0),IF(Kalemler!$E192="Aylık",IF(OR(AND(DATE(YEAR((Tahmin!$C$4+70)),MONTH((Tahmin!$C$4+70)),MIN(DAY(Kalemler!$D192),DAY(EOMONTH((Tahmin!$C$4+70),0))))&gt;=(Tahmin!$C$4+70),DATE(YEAR((Tahmin!$C$4+70)),MONTH((Tahmin!$C$4+70)),MIN(DAY(Kalemler!$D192),DAY(EOMONTH((Tahmin!$C$4+70),0))))&lt;=(Tahmin!$C$4+76),DATE(YEAR((Tahmin!$C$4+70)),MONTH((Tahmin!$C$4+70)),MIN(DAY(Kalemler!$D192),DAY(EOMONTH((Tahmin!$C$4+70),0))))&gt;=Kalemler!$D192),AND(DATE(YEAR((Tahmin!$C$4+76)),MONTH((Tahmin!$C$4+76)),MIN(DAY(Kalemler!$D192),DAY(EOMONTH((Tahmin!$C$4+76),0))))&gt;=(Tahmin!$C$4+70),DATE(YEAR((Tahmin!$C$4+76)),MONTH((Tahmin!$C$4+76)),MIN(DAY(Kalemler!$D192),DAY(EOMONTH((Tahmin!$C$4+76),0))))&lt;=(Tahmin!$C$4+76),DATE(YEAR((Tahmin!$C$4+76)),MONTH((Tahmin!$C$4+76)),MIN(DAY(Kalemler!$D192),DAY(EOMONTH((Tahmin!$C$4+76),0))))&lt;&gt;DATE(YEAR((Tahmin!$C$4+70)),MONTH((Tahmin!$C$4+70)),MIN(DAY(Kalemler!$D192),DAY(EOMONTH((Tahmin!$C$4+70),0)))),DATE(YEAR((Tahmin!$C$4+76)),MONTH((Tahmin!$C$4+76)),MIN(DAY(Kalemler!$D192),DAY(EOMONTH((Tahmin!$C$4+76),0))))&gt;=Kalemler!$D192)),1,0),IF(AND(Kalemler!$D192&gt;=(Tahmin!$C$4+70),Kalemler!$D192&lt;=(Tahmin!$C$4+76)),1,0))))</f>
        <v>0</v>
      </c>
      <c r="M192" s="0" t="n">
        <f aca="false">IF(OR(Kalemler!$A192="",Kalemler!$C192="",Kalemler!$D192=""),0,Kalemler!$C192*IF(Kalemler!$E192="Haftalık",IF(Kalemler!$D192&lt;=(Tahmin!$C$4+83),1,0),IF(Kalemler!$E192="Aylık",IF(OR(AND(DATE(YEAR((Tahmin!$C$4+77)),MONTH((Tahmin!$C$4+77)),MIN(DAY(Kalemler!$D192),DAY(EOMONTH((Tahmin!$C$4+77),0))))&gt;=(Tahmin!$C$4+77),DATE(YEAR((Tahmin!$C$4+77)),MONTH((Tahmin!$C$4+77)),MIN(DAY(Kalemler!$D192),DAY(EOMONTH((Tahmin!$C$4+77),0))))&lt;=(Tahmin!$C$4+83),DATE(YEAR((Tahmin!$C$4+77)),MONTH((Tahmin!$C$4+77)),MIN(DAY(Kalemler!$D192),DAY(EOMONTH((Tahmin!$C$4+77),0))))&gt;=Kalemler!$D192),AND(DATE(YEAR((Tahmin!$C$4+83)),MONTH((Tahmin!$C$4+83)),MIN(DAY(Kalemler!$D192),DAY(EOMONTH((Tahmin!$C$4+83),0))))&gt;=(Tahmin!$C$4+77),DATE(YEAR((Tahmin!$C$4+83)),MONTH((Tahmin!$C$4+83)),MIN(DAY(Kalemler!$D192),DAY(EOMONTH((Tahmin!$C$4+83),0))))&lt;=(Tahmin!$C$4+83),DATE(YEAR((Tahmin!$C$4+83)),MONTH((Tahmin!$C$4+83)),MIN(DAY(Kalemler!$D192),DAY(EOMONTH((Tahmin!$C$4+83),0))))&lt;&gt;DATE(YEAR((Tahmin!$C$4+77)),MONTH((Tahmin!$C$4+77)),MIN(DAY(Kalemler!$D192),DAY(EOMONTH((Tahmin!$C$4+77),0)))),DATE(YEAR((Tahmin!$C$4+83)),MONTH((Tahmin!$C$4+83)),MIN(DAY(Kalemler!$D192),DAY(EOMONTH((Tahmin!$C$4+83),0))))&gt;=Kalemler!$D192)),1,0),IF(AND(Kalemler!$D192&gt;=(Tahmin!$C$4+77),Kalemler!$D192&lt;=(Tahmin!$C$4+83)),1,0))))</f>
        <v>0</v>
      </c>
      <c r="N192" s="0" t="n">
        <f aca="false">IF(OR(Kalemler!$A192="",Kalemler!$C192="",Kalemler!$D192=""),0,Kalemler!$C192*IF(Kalemler!$E192="Haftalık",IF(Kalemler!$D192&lt;=(Tahmin!$C$4+90),1,0),IF(Kalemler!$E192="Aylık",IF(OR(AND(DATE(YEAR((Tahmin!$C$4+84)),MONTH((Tahmin!$C$4+84)),MIN(DAY(Kalemler!$D192),DAY(EOMONTH((Tahmin!$C$4+84),0))))&gt;=(Tahmin!$C$4+84),DATE(YEAR((Tahmin!$C$4+84)),MONTH((Tahmin!$C$4+84)),MIN(DAY(Kalemler!$D192),DAY(EOMONTH((Tahmin!$C$4+84),0))))&lt;=(Tahmin!$C$4+90),DATE(YEAR((Tahmin!$C$4+84)),MONTH((Tahmin!$C$4+84)),MIN(DAY(Kalemler!$D192),DAY(EOMONTH((Tahmin!$C$4+84),0))))&gt;=Kalemler!$D192),AND(DATE(YEAR((Tahmin!$C$4+90)),MONTH((Tahmin!$C$4+90)),MIN(DAY(Kalemler!$D192),DAY(EOMONTH((Tahmin!$C$4+90),0))))&gt;=(Tahmin!$C$4+84),DATE(YEAR((Tahmin!$C$4+90)),MONTH((Tahmin!$C$4+90)),MIN(DAY(Kalemler!$D192),DAY(EOMONTH((Tahmin!$C$4+90),0))))&lt;=(Tahmin!$C$4+90),DATE(YEAR((Tahmin!$C$4+90)),MONTH((Tahmin!$C$4+90)),MIN(DAY(Kalemler!$D192),DAY(EOMONTH((Tahmin!$C$4+90),0))))&lt;&gt;DATE(YEAR((Tahmin!$C$4+84)),MONTH((Tahmin!$C$4+84)),MIN(DAY(Kalemler!$D192),DAY(EOMONTH((Tahmin!$C$4+84),0)))),DATE(YEAR((Tahmin!$C$4+90)),MONTH((Tahmin!$C$4+90)),MIN(DAY(Kalemler!$D192),DAY(EOMONTH((Tahmin!$C$4+90),0))))&gt;=Kalemler!$D192)),1,0),IF(AND(Kalemler!$D192&gt;=(Tahmin!$C$4+84),Kalemler!$D192&lt;=(Tahmin!$C$4+90)),1,0))))</f>
        <v>0</v>
      </c>
    </row>
    <row r="193" customFormat="false" ht="15" hidden="false" customHeight="false" outlineLevel="0" collapsed="false">
      <c r="A193" s="0" t="str">
        <f aca="false">IF(Kalemler!A193="","",Kalemler!A193)</f>
        <v/>
      </c>
      <c r="B193" s="0" t="n">
        <f aca="false">IF(OR(Kalemler!$A193="",Kalemler!$C193="",Kalemler!$D193=""),0,Kalemler!$C193*IF(Kalemler!$E193="Haftalık",IF(Kalemler!$D193&lt;=(Tahmin!$C$4+6),1,0),IF(Kalemler!$E193="Aylık",IF(OR(AND(DATE(YEAR((Tahmin!$C$4+0)),MONTH((Tahmin!$C$4+0)),MIN(DAY(Kalemler!$D193),DAY(EOMONTH((Tahmin!$C$4+0),0))))&gt;=(Tahmin!$C$4+0),DATE(YEAR((Tahmin!$C$4+0)),MONTH((Tahmin!$C$4+0)),MIN(DAY(Kalemler!$D193),DAY(EOMONTH((Tahmin!$C$4+0),0))))&lt;=(Tahmin!$C$4+6),DATE(YEAR((Tahmin!$C$4+0)),MONTH((Tahmin!$C$4+0)),MIN(DAY(Kalemler!$D193),DAY(EOMONTH((Tahmin!$C$4+0),0))))&gt;=Kalemler!$D193),AND(DATE(YEAR((Tahmin!$C$4+6)),MONTH((Tahmin!$C$4+6)),MIN(DAY(Kalemler!$D193),DAY(EOMONTH((Tahmin!$C$4+6),0))))&gt;=(Tahmin!$C$4+0),DATE(YEAR((Tahmin!$C$4+6)),MONTH((Tahmin!$C$4+6)),MIN(DAY(Kalemler!$D193),DAY(EOMONTH((Tahmin!$C$4+6),0))))&lt;=(Tahmin!$C$4+6),DATE(YEAR((Tahmin!$C$4+6)),MONTH((Tahmin!$C$4+6)),MIN(DAY(Kalemler!$D193),DAY(EOMONTH((Tahmin!$C$4+6),0))))&lt;&gt;DATE(YEAR((Tahmin!$C$4+0)),MONTH((Tahmin!$C$4+0)),MIN(DAY(Kalemler!$D193),DAY(EOMONTH((Tahmin!$C$4+0),0)))),DATE(YEAR((Tahmin!$C$4+6)),MONTH((Tahmin!$C$4+6)),MIN(DAY(Kalemler!$D193),DAY(EOMONTH((Tahmin!$C$4+6),0))))&gt;=Kalemler!$D193)),1,0),IF(AND(Kalemler!$D193&gt;=(Tahmin!$C$4+0),Kalemler!$D193&lt;=(Tahmin!$C$4+6)),1,0))))</f>
        <v>0</v>
      </c>
      <c r="C193" s="0" t="n">
        <f aca="false">IF(OR(Kalemler!$A193="",Kalemler!$C193="",Kalemler!$D193=""),0,Kalemler!$C193*IF(Kalemler!$E193="Haftalık",IF(Kalemler!$D193&lt;=(Tahmin!$C$4+13),1,0),IF(Kalemler!$E193="Aylık",IF(OR(AND(DATE(YEAR((Tahmin!$C$4+7)),MONTH((Tahmin!$C$4+7)),MIN(DAY(Kalemler!$D193),DAY(EOMONTH((Tahmin!$C$4+7),0))))&gt;=(Tahmin!$C$4+7),DATE(YEAR((Tahmin!$C$4+7)),MONTH((Tahmin!$C$4+7)),MIN(DAY(Kalemler!$D193),DAY(EOMONTH((Tahmin!$C$4+7),0))))&lt;=(Tahmin!$C$4+13),DATE(YEAR((Tahmin!$C$4+7)),MONTH((Tahmin!$C$4+7)),MIN(DAY(Kalemler!$D193),DAY(EOMONTH((Tahmin!$C$4+7),0))))&gt;=Kalemler!$D193),AND(DATE(YEAR((Tahmin!$C$4+13)),MONTH((Tahmin!$C$4+13)),MIN(DAY(Kalemler!$D193),DAY(EOMONTH((Tahmin!$C$4+13),0))))&gt;=(Tahmin!$C$4+7),DATE(YEAR((Tahmin!$C$4+13)),MONTH((Tahmin!$C$4+13)),MIN(DAY(Kalemler!$D193),DAY(EOMONTH((Tahmin!$C$4+13),0))))&lt;=(Tahmin!$C$4+13),DATE(YEAR((Tahmin!$C$4+13)),MONTH((Tahmin!$C$4+13)),MIN(DAY(Kalemler!$D193),DAY(EOMONTH((Tahmin!$C$4+13),0))))&lt;&gt;DATE(YEAR((Tahmin!$C$4+7)),MONTH((Tahmin!$C$4+7)),MIN(DAY(Kalemler!$D193),DAY(EOMONTH((Tahmin!$C$4+7),0)))),DATE(YEAR((Tahmin!$C$4+13)),MONTH((Tahmin!$C$4+13)),MIN(DAY(Kalemler!$D193),DAY(EOMONTH((Tahmin!$C$4+13),0))))&gt;=Kalemler!$D193)),1,0),IF(AND(Kalemler!$D193&gt;=(Tahmin!$C$4+7),Kalemler!$D193&lt;=(Tahmin!$C$4+13)),1,0))))</f>
        <v>0</v>
      </c>
      <c r="D193" s="0" t="n">
        <f aca="false">IF(OR(Kalemler!$A193="",Kalemler!$C193="",Kalemler!$D193=""),0,Kalemler!$C193*IF(Kalemler!$E193="Haftalık",IF(Kalemler!$D193&lt;=(Tahmin!$C$4+20),1,0),IF(Kalemler!$E193="Aylık",IF(OR(AND(DATE(YEAR((Tahmin!$C$4+14)),MONTH((Tahmin!$C$4+14)),MIN(DAY(Kalemler!$D193),DAY(EOMONTH((Tahmin!$C$4+14),0))))&gt;=(Tahmin!$C$4+14),DATE(YEAR((Tahmin!$C$4+14)),MONTH((Tahmin!$C$4+14)),MIN(DAY(Kalemler!$D193),DAY(EOMONTH((Tahmin!$C$4+14),0))))&lt;=(Tahmin!$C$4+20),DATE(YEAR((Tahmin!$C$4+14)),MONTH((Tahmin!$C$4+14)),MIN(DAY(Kalemler!$D193),DAY(EOMONTH((Tahmin!$C$4+14),0))))&gt;=Kalemler!$D193),AND(DATE(YEAR((Tahmin!$C$4+20)),MONTH((Tahmin!$C$4+20)),MIN(DAY(Kalemler!$D193),DAY(EOMONTH((Tahmin!$C$4+20),0))))&gt;=(Tahmin!$C$4+14),DATE(YEAR((Tahmin!$C$4+20)),MONTH((Tahmin!$C$4+20)),MIN(DAY(Kalemler!$D193),DAY(EOMONTH((Tahmin!$C$4+20),0))))&lt;=(Tahmin!$C$4+20),DATE(YEAR((Tahmin!$C$4+20)),MONTH((Tahmin!$C$4+20)),MIN(DAY(Kalemler!$D193),DAY(EOMONTH((Tahmin!$C$4+20),0))))&lt;&gt;DATE(YEAR((Tahmin!$C$4+14)),MONTH((Tahmin!$C$4+14)),MIN(DAY(Kalemler!$D193),DAY(EOMONTH((Tahmin!$C$4+14),0)))),DATE(YEAR((Tahmin!$C$4+20)),MONTH((Tahmin!$C$4+20)),MIN(DAY(Kalemler!$D193),DAY(EOMONTH((Tahmin!$C$4+20),0))))&gt;=Kalemler!$D193)),1,0),IF(AND(Kalemler!$D193&gt;=(Tahmin!$C$4+14),Kalemler!$D193&lt;=(Tahmin!$C$4+20)),1,0))))</f>
        <v>0</v>
      </c>
      <c r="E193" s="0" t="n">
        <f aca="false">IF(OR(Kalemler!$A193="",Kalemler!$C193="",Kalemler!$D193=""),0,Kalemler!$C193*IF(Kalemler!$E193="Haftalık",IF(Kalemler!$D193&lt;=(Tahmin!$C$4+27),1,0),IF(Kalemler!$E193="Aylık",IF(OR(AND(DATE(YEAR((Tahmin!$C$4+21)),MONTH((Tahmin!$C$4+21)),MIN(DAY(Kalemler!$D193),DAY(EOMONTH((Tahmin!$C$4+21),0))))&gt;=(Tahmin!$C$4+21),DATE(YEAR((Tahmin!$C$4+21)),MONTH((Tahmin!$C$4+21)),MIN(DAY(Kalemler!$D193),DAY(EOMONTH((Tahmin!$C$4+21),0))))&lt;=(Tahmin!$C$4+27),DATE(YEAR((Tahmin!$C$4+21)),MONTH((Tahmin!$C$4+21)),MIN(DAY(Kalemler!$D193),DAY(EOMONTH((Tahmin!$C$4+21),0))))&gt;=Kalemler!$D193),AND(DATE(YEAR((Tahmin!$C$4+27)),MONTH((Tahmin!$C$4+27)),MIN(DAY(Kalemler!$D193),DAY(EOMONTH((Tahmin!$C$4+27),0))))&gt;=(Tahmin!$C$4+21),DATE(YEAR((Tahmin!$C$4+27)),MONTH((Tahmin!$C$4+27)),MIN(DAY(Kalemler!$D193),DAY(EOMONTH((Tahmin!$C$4+27),0))))&lt;=(Tahmin!$C$4+27),DATE(YEAR((Tahmin!$C$4+27)),MONTH((Tahmin!$C$4+27)),MIN(DAY(Kalemler!$D193),DAY(EOMONTH((Tahmin!$C$4+27),0))))&lt;&gt;DATE(YEAR((Tahmin!$C$4+21)),MONTH((Tahmin!$C$4+21)),MIN(DAY(Kalemler!$D193),DAY(EOMONTH((Tahmin!$C$4+21),0)))),DATE(YEAR((Tahmin!$C$4+27)),MONTH((Tahmin!$C$4+27)),MIN(DAY(Kalemler!$D193),DAY(EOMONTH((Tahmin!$C$4+27),0))))&gt;=Kalemler!$D193)),1,0),IF(AND(Kalemler!$D193&gt;=(Tahmin!$C$4+21),Kalemler!$D193&lt;=(Tahmin!$C$4+27)),1,0))))</f>
        <v>0</v>
      </c>
      <c r="F193" s="0" t="n">
        <f aca="false">IF(OR(Kalemler!$A193="",Kalemler!$C193="",Kalemler!$D193=""),0,Kalemler!$C193*IF(Kalemler!$E193="Haftalık",IF(Kalemler!$D193&lt;=(Tahmin!$C$4+34),1,0),IF(Kalemler!$E193="Aylık",IF(OR(AND(DATE(YEAR((Tahmin!$C$4+28)),MONTH((Tahmin!$C$4+28)),MIN(DAY(Kalemler!$D193),DAY(EOMONTH((Tahmin!$C$4+28),0))))&gt;=(Tahmin!$C$4+28),DATE(YEAR((Tahmin!$C$4+28)),MONTH((Tahmin!$C$4+28)),MIN(DAY(Kalemler!$D193),DAY(EOMONTH((Tahmin!$C$4+28),0))))&lt;=(Tahmin!$C$4+34),DATE(YEAR((Tahmin!$C$4+28)),MONTH((Tahmin!$C$4+28)),MIN(DAY(Kalemler!$D193),DAY(EOMONTH((Tahmin!$C$4+28),0))))&gt;=Kalemler!$D193),AND(DATE(YEAR((Tahmin!$C$4+34)),MONTH((Tahmin!$C$4+34)),MIN(DAY(Kalemler!$D193),DAY(EOMONTH((Tahmin!$C$4+34),0))))&gt;=(Tahmin!$C$4+28),DATE(YEAR((Tahmin!$C$4+34)),MONTH((Tahmin!$C$4+34)),MIN(DAY(Kalemler!$D193),DAY(EOMONTH((Tahmin!$C$4+34),0))))&lt;=(Tahmin!$C$4+34),DATE(YEAR((Tahmin!$C$4+34)),MONTH((Tahmin!$C$4+34)),MIN(DAY(Kalemler!$D193),DAY(EOMONTH((Tahmin!$C$4+34),0))))&lt;&gt;DATE(YEAR((Tahmin!$C$4+28)),MONTH((Tahmin!$C$4+28)),MIN(DAY(Kalemler!$D193),DAY(EOMONTH((Tahmin!$C$4+28),0)))),DATE(YEAR((Tahmin!$C$4+34)),MONTH((Tahmin!$C$4+34)),MIN(DAY(Kalemler!$D193),DAY(EOMONTH((Tahmin!$C$4+34),0))))&gt;=Kalemler!$D193)),1,0),IF(AND(Kalemler!$D193&gt;=(Tahmin!$C$4+28),Kalemler!$D193&lt;=(Tahmin!$C$4+34)),1,0))))</f>
        <v>0</v>
      </c>
      <c r="G193" s="0" t="n">
        <f aca="false">IF(OR(Kalemler!$A193="",Kalemler!$C193="",Kalemler!$D193=""),0,Kalemler!$C193*IF(Kalemler!$E193="Haftalık",IF(Kalemler!$D193&lt;=(Tahmin!$C$4+41),1,0),IF(Kalemler!$E193="Aylık",IF(OR(AND(DATE(YEAR((Tahmin!$C$4+35)),MONTH((Tahmin!$C$4+35)),MIN(DAY(Kalemler!$D193),DAY(EOMONTH((Tahmin!$C$4+35),0))))&gt;=(Tahmin!$C$4+35),DATE(YEAR((Tahmin!$C$4+35)),MONTH((Tahmin!$C$4+35)),MIN(DAY(Kalemler!$D193),DAY(EOMONTH((Tahmin!$C$4+35),0))))&lt;=(Tahmin!$C$4+41),DATE(YEAR((Tahmin!$C$4+35)),MONTH((Tahmin!$C$4+35)),MIN(DAY(Kalemler!$D193),DAY(EOMONTH((Tahmin!$C$4+35),0))))&gt;=Kalemler!$D193),AND(DATE(YEAR((Tahmin!$C$4+41)),MONTH((Tahmin!$C$4+41)),MIN(DAY(Kalemler!$D193),DAY(EOMONTH((Tahmin!$C$4+41),0))))&gt;=(Tahmin!$C$4+35),DATE(YEAR((Tahmin!$C$4+41)),MONTH((Tahmin!$C$4+41)),MIN(DAY(Kalemler!$D193),DAY(EOMONTH((Tahmin!$C$4+41),0))))&lt;=(Tahmin!$C$4+41),DATE(YEAR((Tahmin!$C$4+41)),MONTH((Tahmin!$C$4+41)),MIN(DAY(Kalemler!$D193),DAY(EOMONTH((Tahmin!$C$4+41),0))))&lt;&gt;DATE(YEAR((Tahmin!$C$4+35)),MONTH((Tahmin!$C$4+35)),MIN(DAY(Kalemler!$D193),DAY(EOMONTH((Tahmin!$C$4+35),0)))),DATE(YEAR((Tahmin!$C$4+41)),MONTH((Tahmin!$C$4+41)),MIN(DAY(Kalemler!$D193),DAY(EOMONTH((Tahmin!$C$4+41),0))))&gt;=Kalemler!$D193)),1,0),IF(AND(Kalemler!$D193&gt;=(Tahmin!$C$4+35),Kalemler!$D193&lt;=(Tahmin!$C$4+41)),1,0))))</f>
        <v>0</v>
      </c>
      <c r="H193" s="0" t="n">
        <f aca="false">IF(OR(Kalemler!$A193="",Kalemler!$C193="",Kalemler!$D193=""),0,Kalemler!$C193*IF(Kalemler!$E193="Haftalık",IF(Kalemler!$D193&lt;=(Tahmin!$C$4+48),1,0),IF(Kalemler!$E193="Aylık",IF(OR(AND(DATE(YEAR((Tahmin!$C$4+42)),MONTH((Tahmin!$C$4+42)),MIN(DAY(Kalemler!$D193),DAY(EOMONTH((Tahmin!$C$4+42),0))))&gt;=(Tahmin!$C$4+42),DATE(YEAR((Tahmin!$C$4+42)),MONTH((Tahmin!$C$4+42)),MIN(DAY(Kalemler!$D193),DAY(EOMONTH((Tahmin!$C$4+42),0))))&lt;=(Tahmin!$C$4+48),DATE(YEAR((Tahmin!$C$4+42)),MONTH((Tahmin!$C$4+42)),MIN(DAY(Kalemler!$D193),DAY(EOMONTH((Tahmin!$C$4+42),0))))&gt;=Kalemler!$D193),AND(DATE(YEAR((Tahmin!$C$4+48)),MONTH((Tahmin!$C$4+48)),MIN(DAY(Kalemler!$D193),DAY(EOMONTH((Tahmin!$C$4+48),0))))&gt;=(Tahmin!$C$4+42),DATE(YEAR((Tahmin!$C$4+48)),MONTH((Tahmin!$C$4+48)),MIN(DAY(Kalemler!$D193),DAY(EOMONTH((Tahmin!$C$4+48),0))))&lt;=(Tahmin!$C$4+48),DATE(YEAR((Tahmin!$C$4+48)),MONTH((Tahmin!$C$4+48)),MIN(DAY(Kalemler!$D193),DAY(EOMONTH((Tahmin!$C$4+48),0))))&lt;&gt;DATE(YEAR((Tahmin!$C$4+42)),MONTH((Tahmin!$C$4+42)),MIN(DAY(Kalemler!$D193),DAY(EOMONTH((Tahmin!$C$4+42),0)))),DATE(YEAR((Tahmin!$C$4+48)),MONTH((Tahmin!$C$4+48)),MIN(DAY(Kalemler!$D193),DAY(EOMONTH((Tahmin!$C$4+48),0))))&gt;=Kalemler!$D193)),1,0),IF(AND(Kalemler!$D193&gt;=(Tahmin!$C$4+42),Kalemler!$D193&lt;=(Tahmin!$C$4+48)),1,0))))</f>
        <v>0</v>
      </c>
      <c r="I193" s="0" t="n">
        <f aca="false">IF(OR(Kalemler!$A193="",Kalemler!$C193="",Kalemler!$D193=""),0,Kalemler!$C193*IF(Kalemler!$E193="Haftalık",IF(Kalemler!$D193&lt;=(Tahmin!$C$4+55),1,0),IF(Kalemler!$E193="Aylık",IF(OR(AND(DATE(YEAR((Tahmin!$C$4+49)),MONTH((Tahmin!$C$4+49)),MIN(DAY(Kalemler!$D193),DAY(EOMONTH((Tahmin!$C$4+49),0))))&gt;=(Tahmin!$C$4+49),DATE(YEAR((Tahmin!$C$4+49)),MONTH((Tahmin!$C$4+49)),MIN(DAY(Kalemler!$D193),DAY(EOMONTH((Tahmin!$C$4+49),0))))&lt;=(Tahmin!$C$4+55),DATE(YEAR((Tahmin!$C$4+49)),MONTH((Tahmin!$C$4+49)),MIN(DAY(Kalemler!$D193),DAY(EOMONTH((Tahmin!$C$4+49),0))))&gt;=Kalemler!$D193),AND(DATE(YEAR((Tahmin!$C$4+55)),MONTH((Tahmin!$C$4+55)),MIN(DAY(Kalemler!$D193),DAY(EOMONTH((Tahmin!$C$4+55),0))))&gt;=(Tahmin!$C$4+49),DATE(YEAR((Tahmin!$C$4+55)),MONTH((Tahmin!$C$4+55)),MIN(DAY(Kalemler!$D193),DAY(EOMONTH((Tahmin!$C$4+55),0))))&lt;=(Tahmin!$C$4+55),DATE(YEAR((Tahmin!$C$4+55)),MONTH((Tahmin!$C$4+55)),MIN(DAY(Kalemler!$D193),DAY(EOMONTH((Tahmin!$C$4+55),0))))&lt;&gt;DATE(YEAR((Tahmin!$C$4+49)),MONTH((Tahmin!$C$4+49)),MIN(DAY(Kalemler!$D193),DAY(EOMONTH((Tahmin!$C$4+49),0)))),DATE(YEAR((Tahmin!$C$4+55)),MONTH((Tahmin!$C$4+55)),MIN(DAY(Kalemler!$D193),DAY(EOMONTH((Tahmin!$C$4+55),0))))&gt;=Kalemler!$D193)),1,0),IF(AND(Kalemler!$D193&gt;=(Tahmin!$C$4+49),Kalemler!$D193&lt;=(Tahmin!$C$4+55)),1,0))))</f>
        <v>0</v>
      </c>
      <c r="J193" s="0" t="n">
        <f aca="false">IF(OR(Kalemler!$A193="",Kalemler!$C193="",Kalemler!$D193=""),0,Kalemler!$C193*IF(Kalemler!$E193="Haftalık",IF(Kalemler!$D193&lt;=(Tahmin!$C$4+62),1,0),IF(Kalemler!$E193="Aylık",IF(OR(AND(DATE(YEAR((Tahmin!$C$4+56)),MONTH((Tahmin!$C$4+56)),MIN(DAY(Kalemler!$D193),DAY(EOMONTH((Tahmin!$C$4+56),0))))&gt;=(Tahmin!$C$4+56),DATE(YEAR((Tahmin!$C$4+56)),MONTH((Tahmin!$C$4+56)),MIN(DAY(Kalemler!$D193),DAY(EOMONTH((Tahmin!$C$4+56),0))))&lt;=(Tahmin!$C$4+62),DATE(YEAR((Tahmin!$C$4+56)),MONTH((Tahmin!$C$4+56)),MIN(DAY(Kalemler!$D193),DAY(EOMONTH((Tahmin!$C$4+56),0))))&gt;=Kalemler!$D193),AND(DATE(YEAR((Tahmin!$C$4+62)),MONTH((Tahmin!$C$4+62)),MIN(DAY(Kalemler!$D193),DAY(EOMONTH((Tahmin!$C$4+62),0))))&gt;=(Tahmin!$C$4+56),DATE(YEAR((Tahmin!$C$4+62)),MONTH((Tahmin!$C$4+62)),MIN(DAY(Kalemler!$D193),DAY(EOMONTH((Tahmin!$C$4+62),0))))&lt;=(Tahmin!$C$4+62),DATE(YEAR((Tahmin!$C$4+62)),MONTH((Tahmin!$C$4+62)),MIN(DAY(Kalemler!$D193),DAY(EOMONTH((Tahmin!$C$4+62),0))))&lt;&gt;DATE(YEAR((Tahmin!$C$4+56)),MONTH((Tahmin!$C$4+56)),MIN(DAY(Kalemler!$D193),DAY(EOMONTH((Tahmin!$C$4+56),0)))),DATE(YEAR((Tahmin!$C$4+62)),MONTH((Tahmin!$C$4+62)),MIN(DAY(Kalemler!$D193),DAY(EOMONTH((Tahmin!$C$4+62),0))))&gt;=Kalemler!$D193)),1,0),IF(AND(Kalemler!$D193&gt;=(Tahmin!$C$4+56),Kalemler!$D193&lt;=(Tahmin!$C$4+62)),1,0))))</f>
        <v>0</v>
      </c>
      <c r="K193" s="0" t="n">
        <f aca="false">IF(OR(Kalemler!$A193="",Kalemler!$C193="",Kalemler!$D193=""),0,Kalemler!$C193*IF(Kalemler!$E193="Haftalık",IF(Kalemler!$D193&lt;=(Tahmin!$C$4+69),1,0),IF(Kalemler!$E193="Aylık",IF(OR(AND(DATE(YEAR((Tahmin!$C$4+63)),MONTH((Tahmin!$C$4+63)),MIN(DAY(Kalemler!$D193),DAY(EOMONTH((Tahmin!$C$4+63),0))))&gt;=(Tahmin!$C$4+63),DATE(YEAR((Tahmin!$C$4+63)),MONTH((Tahmin!$C$4+63)),MIN(DAY(Kalemler!$D193),DAY(EOMONTH((Tahmin!$C$4+63),0))))&lt;=(Tahmin!$C$4+69),DATE(YEAR((Tahmin!$C$4+63)),MONTH((Tahmin!$C$4+63)),MIN(DAY(Kalemler!$D193),DAY(EOMONTH((Tahmin!$C$4+63),0))))&gt;=Kalemler!$D193),AND(DATE(YEAR((Tahmin!$C$4+69)),MONTH((Tahmin!$C$4+69)),MIN(DAY(Kalemler!$D193),DAY(EOMONTH((Tahmin!$C$4+69),0))))&gt;=(Tahmin!$C$4+63),DATE(YEAR((Tahmin!$C$4+69)),MONTH((Tahmin!$C$4+69)),MIN(DAY(Kalemler!$D193),DAY(EOMONTH((Tahmin!$C$4+69),0))))&lt;=(Tahmin!$C$4+69),DATE(YEAR((Tahmin!$C$4+69)),MONTH((Tahmin!$C$4+69)),MIN(DAY(Kalemler!$D193),DAY(EOMONTH((Tahmin!$C$4+69),0))))&lt;&gt;DATE(YEAR((Tahmin!$C$4+63)),MONTH((Tahmin!$C$4+63)),MIN(DAY(Kalemler!$D193),DAY(EOMONTH((Tahmin!$C$4+63),0)))),DATE(YEAR((Tahmin!$C$4+69)),MONTH((Tahmin!$C$4+69)),MIN(DAY(Kalemler!$D193),DAY(EOMONTH((Tahmin!$C$4+69),0))))&gt;=Kalemler!$D193)),1,0),IF(AND(Kalemler!$D193&gt;=(Tahmin!$C$4+63),Kalemler!$D193&lt;=(Tahmin!$C$4+69)),1,0))))</f>
        <v>0</v>
      </c>
      <c r="L193" s="0" t="n">
        <f aca="false">IF(OR(Kalemler!$A193="",Kalemler!$C193="",Kalemler!$D193=""),0,Kalemler!$C193*IF(Kalemler!$E193="Haftalık",IF(Kalemler!$D193&lt;=(Tahmin!$C$4+76),1,0),IF(Kalemler!$E193="Aylık",IF(OR(AND(DATE(YEAR((Tahmin!$C$4+70)),MONTH((Tahmin!$C$4+70)),MIN(DAY(Kalemler!$D193),DAY(EOMONTH((Tahmin!$C$4+70),0))))&gt;=(Tahmin!$C$4+70),DATE(YEAR((Tahmin!$C$4+70)),MONTH((Tahmin!$C$4+70)),MIN(DAY(Kalemler!$D193),DAY(EOMONTH((Tahmin!$C$4+70),0))))&lt;=(Tahmin!$C$4+76),DATE(YEAR((Tahmin!$C$4+70)),MONTH((Tahmin!$C$4+70)),MIN(DAY(Kalemler!$D193),DAY(EOMONTH((Tahmin!$C$4+70),0))))&gt;=Kalemler!$D193),AND(DATE(YEAR((Tahmin!$C$4+76)),MONTH((Tahmin!$C$4+76)),MIN(DAY(Kalemler!$D193),DAY(EOMONTH((Tahmin!$C$4+76),0))))&gt;=(Tahmin!$C$4+70),DATE(YEAR((Tahmin!$C$4+76)),MONTH((Tahmin!$C$4+76)),MIN(DAY(Kalemler!$D193),DAY(EOMONTH((Tahmin!$C$4+76),0))))&lt;=(Tahmin!$C$4+76),DATE(YEAR((Tahmin!$C$4+76)),MONTH((Tahmin!$C$4+76)),MIN(DAY(Kalemler!$D193),DAY(EOMONTH((Tahmin!$C$4+76),0))))&lt;&gt;DATE(YEAR((Tahmin!$C$4+70)),MONTH((Tahmin!$C$4+70)),MIN(DAY(Kalemler!$D193),DAY(EOMONTH((Tahmin!$C$4+70),0)))),DATE(YEAR((Tahmin!$C$4+76)),MONTH((Tahmin!$C$4+76)),MIN(DAY(Kalemler!$D193),DAY(EOMONTH((Tahmin!$C$4+76),0))))&gt;=Kalemler!$D193)),1,0),IF(AND(Kalemler!$D193&gt;=(Tahmin!$C$4+70),Kalemler!$D193&lt;=(Tahmin!$C$4+76)),1,0))))</f>
        <v>0</v>
      </c>
      <c r="M193" s="0" t="n">
        <f aca="false">IF(OR(Kalemler!$A193="",Kalemler!$C193="",Kalemler!$D193=""),0,Kalemler!$C193*IF(Kalemler!$E193="Haftalık",IF(Kalemler!$D193&lt;=(Tahmin!$C$4+83),1,0),IF(Kalemler!$E193="Aylık",IF(OR(AND(DATE(YEAR((Tahmin!$C$4+77)),MONTH((Tahmin!$C$4+77)),MIN(DAY(Kalemler!$D193),DAY(EOMONTH((Tahmin!$C$4+77),0))))&gt;=(Tahmin!$C$4+77),DATE(YEAR((Tahmin!$C$4+77)),MONTH((Tahmin!$C$4+77)),MIN(DAY(Kalemler!$D193),DAY(EOMONTH((Tahmin!$C$4+77),0))))&lt;=(Tahmin!$C$4+83),DATE(YEAR((Tahmin!$C$4+77)),MONTH((Tahmin!$C$4+77)),MIN(DAY(Kalemler!$D193),DAY(EOMONTH((Tahmin!$C$4+77),0))))&gt;=Kalemler!$D193),AND(DATE(YEAR((Tahmin!$C$4+83)),MONTH((Tahmin!$C$4+83)),MIN(DAY(Kalemler!$D193),DAY(EOMONTH((Tahmin!$C$4+83),0))))&gt;=(Tahmin!$C$4+77),DATE(YEAR((Tahmin!$C$4+83)),MONTH((Tahmin!$C$4+83)),MIN(DAY(Kalemler!$D193),DAY(EOMONTH((Tahmin!$C$4+83),0))))&lt;=(Tahmin!$C$4+83),DATE(YEAR((Tahmin!$C$4+83)),MONTH((Tahmin!$C$4+83)),MIN(DAY(Kalemler!$D193),DAY(EOMONTH((Tahmin!$C$4+83),0))))&lt;&gt;DATE(YEAR((Tahmin!$C$4+77)),MONTH((Tahmin!$C$4+77)),MIN(DAY(Kalemler!$D193),DAY(EOMONTH((Tahmin!$C$4+77),0)))),DATE(YEAR((Tahmin!$C$4+83)),MONTH((Tahmin!$C$4+83)),MIN(DAY(Kalemler!$D193),DAY(EOMONTH((Tahmin!$C$4+83),0))))&gt;=Kalemler!$D193)),1,0),IF(AND(Kalemler!$D193&gt;=(Tahmin!$C$4+77),Kalemler!$D193&lt;=(Tahmin!$C$4+83)),1,0))))</f>
        <v>0</v>
      </c>
      <c r="N193" s="0" t="n">
        <f aca="false">IF(OR(Kalemler!$A193="",Kalemler!$C193="",Kalemler!$D193=""),0,Kalemler!$C193*IF(Kalemler!$E193="Haftalık",IF(Kalemler!$D193&lt;=(Tahmin!$C$4+90),1,0),IF(Kalemler!$E193="Aylık",IF(OR(AND(DATE(YEAR((Tahmin!$C$4+84)),MONTH((Tahmin!$C$4+84)),MIN(DAY(Kalemler!$D193),DAY(EOMONTH((Tahmin!$C$4+84),0))))&gt;=(Tahmin!$C$4+84),DATE(YEAR((Tahmin!$C$4+84)),MONTH((Tahmin!$C$4+84)),MIN(DAY(Kalemler!$D193),DAY(EOMONTH((Tahmin!$C$4+84),0))))&lt;=(Tahmin!$C$4+90),DATE(YEAR((Tahmin!$C$4+84)),MONTH((Tahmin!$C$4+84)),MIN(DAY(Kalemler!$D193),DAY(EOMONTH((Tahmin!$C$4+84),0))))&gt;=Kalemler!$D193),AND(DATE(YEAR((Tahmin!$C$4+90)),MONTH((Tahmin!$C$4+90)),MIN(DAY(Kalemler!$D193),DAY(EOMONTH((Tahmin!$C$4+90),0))))&gt;=(Tahmin!$C$4+84),DATE(YEAR((Tahmin!$C$4+90)),MONTH((Tahmin!$C$4+90)),MIN(DAY(Kalemler!$D193),DAY(EOMONTH((Tahmin!$C$4+90),0))))&lt;=(Tahmin!$C$4+90),DATE(YEAR((Tahmin!$C$4+90)),MONTH((Tahmin!$C$4+90)),MIN(DAY(Kalemler!$D193),DAY(EOMONTH((Tahmin!$C$4+90),0))))&lt;&gt;DATE(YEAR((Tahmin!$C$4+84)),MONTH((Tahmin!$C$4+84)),MIN(DAY(Kalemler!$D193),DAY(EOMONTH((Tahmin!$C$4+84),0)))),DATE(YEAR((Tahmin!$C$4+90)),MONTH((Tahmin!$C$4+90)),MIN(DAY(Kalemler!$D193),DAY(EOMONTH((Tahmin!$C$4+90),0))))&gt;=Kalemler!$D193)),1,0),IF(AND(Kalemler!$D193&gt;=(Tahmin!$C$4+84),Kalemler!$D193&lt;=(Tahmin!$C$4+90)),1,0))))</f>
        <v>0</v>
      </c>
    </row>
    <row r="194" customFormat="false" ht="15" hidden="false" customHeight="false" outlineLevel="0" collapsed="false">
      <c r="A194" s="0" t="str">
        <f aca="false">IF(Kalemler!A194="","",Kalemler!A194)</f>
        <v/>
      </c>
      <c r="B194" s="0" t="n">
        <f aca="false">IF(OR(Kalemler!$A194="",Kalemler!$C194="",Kalemler!$D194=""),0,Kalemler!$C194*IF(Kalemler!$E194="Haftalık",IF(Kalemler!$D194&lt;=(Tahmin!$C$4+6),1,0),IF(Kalemler!$E194="Aylık",IF(OR(AND(DATE(YEAR((Tahmin!$C$4+0)),MONTH((Tahmin!$C$4+0)),MIN(DAY(Kalemler!$D194),DAY(EOMONTH((Tahmin!$C$4+0),0))))&gt;=(Tahmin!$C$4+0),DATE(YEAR((Tahmin!$C$4+0)),MONTH((Tahmin!$C$4+0)),MIN(DAY(Kalemler!$D194),DAY(EOMONTH((Tahmin!$C$4+0),0))))&lt;=(Tahmin!$C$4+6),DATE(YEAR((Tahmin!$C$4+0)),MONTH((Tahmin!$C$4+0)),MIN(DAY(Kalemler!$D194),DAY(EOMONTH((Tahmin!$C$4+0),0))))&gt;=Kalemler!$D194),AND(DATE(YEAR((Tahmin!$C$4+6)),MONTH((Tahmin!$C$4+6)),MIN(DAY(Kalemler!$D194),DAY(EOMONTH((Tahmin!$C$4+6),0))))&gt;=(Tahmin!$C$4+0),DATE(YEAR((Tahmin!$C$4+6)),MONTH((Tahmin!$C$4+6)),MIN(DAY(Kalemler!$D194),DAY(EOMONTH((Tahmin!$C$4+6),0))))&lt;=(Tahmin!$C$4+6),DATE(YEAR((Tahmin!$C$4+6)),MONTH((Tahmin!$C$4+6)),MIN(DAY(Kalemler!$D194),DAY(EOMONTH((Tahmin!$C$4+6),0))))&lt;&gt;DATE(YEAR((Tahmin!$C$4+0)),MONTH((Tahmin!$C$4+0)),MIN(DAY(Kalemler!$D194),DAY(EOMONTH((Tahmin!$C$4+0),0)))),DATE(YEAR((Tahmin!$C$4+6)),MONTH((Tahmin!$C$4+6)),MIN(DAY(Kalemler!$D194),DAY(EOMONTH((Tahmin!$C$4+6),0))))&gt;=Kalemler!$D194)),1,0),IF(AND(Kalemler!$D194&gt;=(Tahmin!$C$4+0),Kalemler!$D194&lt;=(Tahmin!$C$4+6)),1,0))))</f>
        <v>0</v>
      </c>
      <c r="C194" s="0" t="n">
        <f aca="false">IF(OR(Kalemler!$A194="",Kalemler!$C194="",Kalemler!$D194=""),0,Kalemler!$C194*IF(Kalemler!$E194="Haftalık",IF(Kalemler!$D194&lt;=(Tahmin!$C$4+13),1,0),IF(Kalemler!$E194="Aylık",IF(OR(AND(DATE(YEAR((Tahmin!$C$4+7)),MONTH((Tahmin!$C$4+7)),MIN(DAY(Kalemler!$D194),DAY(EOMONTH((Tahmin!$C$4+7),0))))&gt;=(Tahmin!$C$4+7),DATE(YEAR((Tahmin!$C$4+7)),MONTH((Tahmin!$C$4+7)),MIN(DAY(Kalemler!$D194),DAY(EOMONTH((Tahmin!$C$4+7),0))))&lt;=(Tahmin!$C$4+13),DATE(YEAR((Tahmin!$C$4+7)),MONTH((Tahmin!$C$4+7)),MIN(DAY(Kalemler!$D194),DAY(EOMONTH((Tahmin!$C$4+7),0))))&gt;=Kalemler!$D194),AND(DATE(YEAR((Tahmin!$C$4+13)),MONTH((Tahmin!$C$4+13)),MIN(DAY(Kalemler!$D194),DAY(EOMONTH((Tahmin!$C$4+13),0))))&gt;=(Tahmin!$C$4+7),DATE(YEAR((Tahmin!$C$4+13)),MONTH((Tahmin!$C$4+13)),MIN(DAY(Kalemler!$D194),DAY(EOMONTH((Tahmin!$C$4+13),0))))&lt;=(Tahmin!$C$4+13),DATE(YEAR((Tahmin!$C$4+13)),MONTH((Tahmin!$C$4+13)),MIN(DAY(Kalemler!$D194),DAY(EOMONTH((Tahmin!$C$4+13),0))))&lt;&gt;DATE(YEAR((Tahmin!$C$4+7)),MONTH((Tahmin!$C$4+7)),MIN(DAY(Kalemler!$D194),DAY(EOMONTH((Tahmin!$C$4+7),0)))),DATE(YEAR((Tahmin!$C$4+13)),MONTH((Tahmin!$C$4+13)),MIN(DAY(Kalemler!$D194),DAY(EOMONTH((Tahmin!$C$4+13),0))))&gt;=Kalemler!$D194)),1,0),IF(AND(Kalemler!$D194&gt;=(Tahmin!$C$4+7),Kalemler!$D194&lt;=(Tahmin!$C$4+13)),1,0))))</f>
        <v>0</v>
      </c>
      <c r="D194" s="0" t="n">
        <f aca="false">IF(OR(Kalemler!$A194="",Kalemler!$C194="",Kalemler!$D194=""),0,Kalemler!$C194*IF(Kalemler!$E194="Haftalık",IF(Kalemler!$D194&lt;=(Tahmin!$C$4+20),1,0),IF(Kalemler!$E194="Aylık",IF(OR(AND(DATE(YEAR((Tahmin!$C$4+14)),MONTH((Tahmin!$C$4+14)),MIN(DAY(Kalemler!$D194),DAY(EOMONTH((Tahmin!$C$4+14),0))))&gt;=(Tahmin!$C$4+14),DATE(YEAR((Tahmin!$C$4+14)),MONTH((Tahmin!$C$4+14)),MIN(DAY(Kalemler!$D194),DAY(EOMONTH((Tahmin!$C$4+14),0))))&lt;=(Tahmin!$C$4+20),DATE(YEAR((Tahmin!$C$4+14)),MONTH((Tahmin!$C$4+14)),MIN(DAY(Kalemler!$D194),DAY(EOMONTH((Tahmin!$C$4+14),0))))&gt;=Kalemler!$D194),AND(DATE(YEAR((Tahmin!$C$4+20)),MONTH((Tahmin!$C$4+20)),MIN(DAY(Kalemler!$D194),DAY(EOMONTH((Tahmin!$C$4+20),0))))&gt;=(Tahmin!$C$4+14),DATE(YEAR((Tahmin!$C$4+20)),MONTH((Tahmin!$C$4+20)),MIN(DAY(Kalemler!$D194),DAY(EOMONTH((Tahmin!$C$4+20),0))))&lt;=(Tahmin!$C$4+20),DATE(YEAR((Tahmin!$C$4+20)),MONTH((Tahmin!$C$4+20)),MIN(DAY(Kalemler!$D194),DAY(EOMONTH((Tahmin!$C$4+20),0))))&lt;&gt;DATE(YEAR((Tahmin!$C$4+14)),MONTH((Tahmin!$C$4+14)),MIN(DAY(Kalemler!$D194),DAY(EOMONTH((Tahmin!$C$4+14),0)))),DATE(YEAR((Tahmin!$C$4+20)),MONTH((Tahmin!$C$4+20)),MIN(DAY(Kalemler!$D194),DAY(EOMONTH((Tahmin!$C$4+20),0))))&gt;=Kalemler!$D194)),1,0),IF(AND(Kalemler!$D194&gt;=(Tahmin!$C$4+14),Kalemler!$D194&lt;=(Tahmin!$C$4+20)),1,0))))</f>
        <v>0</v>
      </c>
      <c r="E194" s="0" t="n">
        <f aca="false">IF(OR(Kalemler!$A194="",Kalemler!$C194="",Kalemler!$D194=""),0,Kalemler!$C194*IF(Kalemler!$E194="Haftalık",IF(Kalemler!$D194&lt;=(Tahmin!$C$4+27),1,0),IF(Kalemler!$E194="Aylık",IF(OR(AND(DATE(YEAR((Tahmin!$C$4+21)),MONTH((Tahmin!$C$4+21)),MIN(DAY(Kalemler!$D194),DAY(EOMONTH((Tahmin!$C$4+21),0))))&gt;=(Tahmin!$C$4+21),DATE(YEAR((Tahmin!$C$4+21)),MONTH((Tahmin!$C$4+21)),MIN(DAY(Kalemler!$D194),DAY(EOMONTH((Tahmin!$C$4+21),0))))&lt;=(Tahmin!$C$4+27),DATE(YEAR((Tahmin!$C$4+21)),MONTH((Tahmin!$C$4+21)),MIN(DAY(Kalemler!$D194),DAY(EOMONTH((Tahmin!$C$4+21),0))))&gt;=Kalemler!$D194),AND(DATE(YEAR((Tahmin!$C$4+27)),MONTH((Tahmin!$C$4+27)),MIN(DAY(Kalemler!$D194),DAY(EOMONTH((Tahmin!$C$4+27),0))))&gt;=(Tahmin!$C$4+21),DATE(YEAR((Tahmin!$C$4+27)),MONTH((Tahmin!$C$4+27)),MIN(DAY(Kalemler!$D194),DAY(EOMONTH((Tahmin!$C$4+27),0))))&lt;=(Tahmin!$C$4+27),DATE(YEAR((Tahmin!$C$4+27)),MONTH((Tahmin!$C$4+27)),MIN(DAY(Kalemler!$D194),DAY(EOMONTH((Tahmin!$C$4+27),0))))&lt;&gt;DATE(YEAR((Tahmin!$C$4+21)),MONTH((Tahmin!$C$4+21)),MIN(DAY(Kalemler!$D194),DAY(EOMONTH((Tahmin!$C$4+21),0)))),DATE(YEAR((Tahmin!$C$4+27)),MONTH((Tahmin!$C$4+27)),MIN(DAY(Kalemler!$D194),DAY(EOMONTH((Tahmin!$C$4+27),0))))&gt;=Kalemler!$D194)),1,0),IF(AND(Kalemler!$D194&gt;=(Tahmin!$C$4+21),Kalemler!$D194&lt;=(Tahmin!$C$4+27)),1,0))))</f>
        <v>0</v>
      </c>
      <c r="F194" s="0" t="n">
        <f aca="false">IF(OR(Kalemler!$A194="",Kalemler!$C194="",Kalemler!$D194=""),0,Kalemler!$C194*IF(Kalemler!$E194="Haftalık",IF(Kalemler!$D194&lt;=(Tahmin!$C$4+34),1,0),IF(Kalemler!$E194="Aylık",IF(OR(AND(DATE(YEAR((Tahmin!$C$4+28)),MONTH((Tahmin!$C$4+28)),MIN(DAY(Kalemler!$D194),DAY(EOMONTH((Tahmin!$C$4+28),0))))&gt;=(Tahmin!$C$4+28),DATE(YEAR((Tahmin!$C$4+28)),MONTH((Tahmin!$C$4+28)),MIN(DAY(Kalemler!$D194),DAY(EOMONTH((Tahmin!$C$4+28),0))))&lt;=(Tahmin!$C$4+34),DATE(YEAR((Tahmin!$C$4+28)),MONTH((Tahmin!$C$4+28)),MIN(DAY(Kalemler!$D194),DAY(EOMONTH((Tahmin!$C$4+28),0))))&gt;=Kalemler!$D194),AND(DATE(YEAR((Tahmin!$C$4+34)),MONTH((Tahmin!$C$4+34)),MIN(DAY(Kalemler!$D194),DAY(EOMONTH((Tahmin!$C$4+34),0))))&gt;=(Tahmin!$C$4+28),DATE(YEAR((Tahmin!$C$4+34)),MONTH((Tahmin!$C$4+34)),MIN(DAY(Kalemler!$D194),DAY(EOMONTH((Tahmin!$C$4+34),0))))&lt;=(Tahmin!$C$4+34),DATE(YEAR((Tahmin!$C$4+34)),MONTH((Tahmin!$C$4+34)),MIN(DAY(Kalemler!$D194),DAY(EOMONTH((Tahmin!$C$4+34),0))))&lt;&gt;DATE(YEAR((Tahmin!$C$4+28)),MONTH((Tahmin!$C$4+28)),MIN(DAY(Kalemler!$D194),DAY(EOMONTH((Tahmin!$C$4+28),0)))),DATE(YEAR((Tahmin!$C$4+34)),MONTH((Tahmin!$C$4+34)),MIN(DAY(Kalemler!$D194),DAY(EOMONTH((Tahmin!$C$4+34),0))))&gt;=Kalemler!$D194)),1,0),IF(AND(Kalemler!$D194&gt;=(Tahmin!$C$4+28),Kalemler!$D194&lt;=(Tahmin!$C$4+34)),1,0))))</f>
        <v>0</v>
      </c>
      <c r="G194" s="0" t="n">
        <f aca="false">IF(OR(Kalemler!$A194="",Kalemler!$C194="",Kalemler!$D194=""),0,Kalemler!$C194*IF(Kalemler!$E194="Haftalık",IF(Kalemler!$D194&lt;=(Tahmin!$C$4+41),1,0),IF(Kalemler!$E194="Aylık",IF(OR(AND(DATE(YEAR((Tahmin!$C$4+35)),MONTH((Tahmin!$C$4+35)),MIN(DAY(Kalemler!$D194),DAY(EOMONTH((Tahmin!$C$4+35),0))))&gt;=(Tahmin!$C$4+35),DATE(YEAR((Tahmin!$C$4+35)),MONTH((Tahmin!$C$4+35)),MIN(DAY(Kalemler!$D194),DAY(EOMONTH((Tahmin!$C$4+35),0))))&lt;=(Tahmin!$C$4+41),DATE(YEAR((Tahmin!$C$4+35)),MONTH((Tahmin!$C$4+35)),MIN(DAY(Kalemler!$D194),DAY(EOMONTH((Tahmin!$C$4+35),0))))&gt;=Kalemler!$D194),AND(DATE(YEAR((Tahmin!$C$4+41)),MONTH((Tahmin!$C$4+41)),MIN(DAY(Kalemler!$D194),DAY(EOMONTH((Tahmin!$C$4+41),0))))&gt;=(Tahmin!$C$4+35),DATE(YEAR((Tahmin!$C$4+41)),MONTH((Tahmin!$C$4+41)),MIN(DAY(Kalemler!$D194),DAY(EOMONTH((Tahmin!$C$4+41),0))))&lt;=(Tahmin!$C$4+41),DATE(YEAR((Tahmin!$C$4+41)),MONTH((Tahmin!$C$4+41)),MIN(DAY(Kalemler!$D194),DAY(EOMONTH((Tahmin!$C$4+41),0))))&lt;&gt;DATE(YEAR((Tahmin!$C$4+35)),MONTH((Tahmin!$C$4+35)),MIN(DAY(Kalemler!$D194),DAY(EOMONTH((Tahmin!$C$4+35),0)))),DATE(YEAR((Tahmin!$C$4+41)),MONTH((Tahmin!$C$4+41)),MIN(DAY(Kalemler!$D194),DAY(EOMONTH((Tahmin!$C$4+41),0))))&gt;=Kalemler!$D194)),1,0),IF(AND(Kalemler!$D194&gt;=(Tahmin!$C$4+35),Kalemler!$D194&lt;=(Tahmin!$C$4+41)),1,0))))</f>
        <v>0</v>
      </c>
      <c r="H194" s="0" t="n">
        <f aca="false">IF(OR(Kalemler!$A194="",Kalemler!$C194="",Kalemler!$D194=""),0,Kalemler!$C194*IF(Kalemler!$E194="Haftalık",IF(Kalemler!$D194&lt;=(Tahmin!$C$4+48),1,0),IF(Kalemler!$E194="Aylık",IF(OR(AND(DATE(YEAR((Tahmin!$C$4+42)),MONTH((Tahmin!$C$4+42)),MIN(DAY(Kalemler!$D194),DAY(EOMONTH((Tahmin!$C$4+42),0))))&gt;=(Tahmin!$C$4+42),DATE(YEAR((Tahmin!$C$4+42)),MONTH((Tahmin!$C$4+42)),MIN(DAY(Kalemler!$D194),DAY(EOMONTH((Tahmin!$C$4+42),0))))&lt;=(Tahmin!$C$4+48),DATE(YEAR((Tahmin!$C$4+42)),MONTH((Tahmin!$C$4+42)),MIN(DAY(Kalemler!$D194),DAY(EOMONTH((Tahmin!$C$4+42),0))))&gt;=Kalemler!$D194),AND(DATE(YEAR((Tahmin!$C$4+48)),MONTH((Tahmin!$C$4+48)),MIN(DAY(Kalemler!$D194),DAY(EOMONTH((Tahmin!$C$4+48),0))))&gt;=(Tahmin!$C$4+42),DATE(YEAR((Tahmin!$C$4+48)),MONTH((Tahmin!$C$4+48)),MIN(DAY(Kalemler!$D194),DAY(EOMONTH((Tahmin!$C$4+48),0))))&lt;=(Tahmin!$C$4+48),DATE(YEAR((Tahmin!$C$4+48)),MONTH((Tahmin!$C$4+48)),MIN(DAY(Kalemler!$D194),DAY(EOMONTH((Tahmin!$C$4+48),0))))&lt;&gt;DATE(YEAR((Tahmin!$C$4+42)),MONTH((Tahmin!$C$4+42)),MIN(DAY(Kalemler!$D194),DAY(EOMONTH((Tahmin!$C$4+42),0)))),DATE(YEAR((Tahmin!$C$4+48)),MONTH((Tahmin!$C$4+48)),MIN(DAY(Kalemler!$D194),DAY(EOMONTH((Tahmin!$C$4+48),0))))&gt;=Kalemler!$D194)),1,0),IF(AND(Kalemler!$D194&gt;=(Tahmin!$C$4+42),Kalemler!$D194&lt;=(Tahmin!$C$4+48)),1,0))))</f>
        <v>0</v>
      </c>
      <c r="I194" s="0" t="n">
        <f aca="false">IF(OR(Kalemler!$A194="",Kalemler!$C194="",Kalemler!$D194=""),0,Kalemler!$C194*IF(Kalemler!$E194="Haftalık",IF(Kalemler!$D194&lt;=(Tahmin!$C$4+55),1,0),IF(Kalemler!$E194="Aylık",IF(OR(AND(DATE(YEAR((Tahmin!$C$4+49)),MONTH((Tahmin!$C$4+49)),MIN(DAY(Kalemler!$D194),DAY(EOMONTH((Tahmin!$C$4+49),0))))&gt;=(Tahmin!$C$4+49),DATE(YEAR((Tahmin!$C$4+49)),MONTH((Tahmin!$C$4+49)),MIN(DAY(Kalemler!$D194),DAY(EOMONTH((Tahmin!$C$4+49),0))))&lt;=(Tahmin!$C$4+55),DATE(YEAR((Tahmin!$C$4+49)),MONTH((Tahmin!$C$4+49)),MIN(DAY(Kalemler!$D194),DAY(EOMONTH((Tahmin!$C$4+49),0))))&gt;=Kalemler!$D194),AND(DATE(YEAR((Tahmin!$C$4+55)),MONTH((Tahmin!$C$4+55)),MIN(DAY(Kalemler!$D194),DAY(EOMONTH((Tahmin!$C$4+55),0))))&gt;=(Tahmin!$C$4+49),DATE(YEAR((Tahmin!$C$4+55)),MONTH((Tahmin!$C$4+55)),MIN(DAY(Kalemler!$D194),DAY(EOMONTH((Tahmin!$C$4+55),0))))&lt;=(Tahmin!$C$4+55),DATE(YEAR((Tahmin!$C$4+55)),MONTH((Tahmin!$C$4+55)),MIN(DAY(Kalemler!$D194),DAY(EOMONTH((Tahmin!$C$4+55),0))))&lt;&gt;DATE(YEAR((Tahmin!$C$4+49)),MONTH((Tahmin!$C$4+49)),MIN(DAY(Kalemler!$D194),DAY(EOMONTH((Tahmin!$C$4+49),0)))),DATE(YEAR((Tahmin!$C$4+55)),MONTH((Tahmin!$C$4+55)),MIN(DAY(Kalemler!$D194),DAY(EOMONTH((Tahmin!$C$4+55),0))))&gt;=Kalemler!$D194)),1,0),IF(AND(Kalemler!$D194&gt;=(Tahmin!$C$4+49),Kalemler!$D194&lt;=(Tahmin!$C$4+55)),1,0))))</f>
        <v>0</v>
      </c>
      <c r="J194" s="0" t="n">
        <f aca="false">IF(OR(Kalemler!$A194="",Kalemler!$C194="",Kalemler!$D194=""),0,Kalemler!$C194*IF(Kalemler!$E194="Haftalık",IF(Kalemler!$D194&lt;=(Tahmin!$C$4+62),1,0),IF(Kalemler!$E194="Aylık",IF(OR(AND(DATE(YEAR((Tahmin!$C$4+56)),MONTH((Tahmin!$C$4+56)),MIN(DAY(Kalemler!$D194),DAY(EOMONTH((Tahmin!$C$4+56),0))))&gt;=(Tahmin!$C$4+56),DATE(YEAR((Tahmin!$C$4+56)),MONTH((Tahmin!$C$4+56)),MIN(DAY(Kalemler!$D194),DAY(EOMONTH((Tahmin!$C$4+56),0))))&lt;=(Tahmin!$C$4+62),DATE(YEAR((Tahmin!$C$4+56)),MONTH((Tahmin!$C$4+56)),MIN(DAY(Kalemler!$D194),DAY(EOMONTH((Tahmin!$C$4+56),0))))&gt;=Kalemler!$D194),AND(DATE(YEAR((Tahmin!$C$4+62)),MONTH((Tahmin!$C$4+62)),MIN(DAY(Kalemler!$D194),DAY(EOMONTH((Tahmin!$C$4+62),0))))&gt;=(Tahmin!$C$4+56),DATE(YEAR((Tahmin!$C$4+62)),MONTH((Tahmin!$C$4+62)),MIN(DAY(Kalemler!$D194),DAY(EOMONTH((Tahmin!$C$4+62),0))))&lt;=(Tahmin!$C$4+62),DATE(YEAR((Tahmin!$C$4+62)),MONTH((Tahmin!$C$4+62)),MIN(DAY(Kalemler!$D194),DAY(EOMONTH((Tahmin!$C$4+62),0))))&lt;&gt;DATE(YEAR((Tahmin!$C$4+56)),MONTH((Tahmin!$C$4+56)),MIN(DAY(Kalemler!$D194),DAY(EOMONTH((Tahmin!$C$4+56),0)))),DATE(YEAR((Tahmin!$C$4+62)),MONTH((Tahmin!$C$4+62)),MIN(DAY(Kalemler!$D194),DAY(EOMONTH((Tahmin!$C$4+62),0))))&gt;=Kalemler!$D194)),1,0),IF(AND(Kalemler!$D194&gt;=(Tahmin!$C$4+56),Kalemler!$D194&lt;=(Tahmin!$C$4+62)),1,0))))</f>
        <v>0</v>
      </c>
      <c r="K194" s="0" t="n">
        <f aca="false">IF(OR(Kalemler!$A194="",Kalemler!$C194="",Kalemler!$D194=""),0,Kalemler!$C194*IF(Kalemler!$E194="Haftalık",IF(Kalemler!$D194&lt;=(Tahmin!$C$4+69),1,0),IF(Kalemler!$E194="Aylık",IF(OR(AND(DATE(YEAR((Tahmin!$C$4+63)),MONTH((Tahmin!$C$4+63)),MIN(DAY(Kalemler!$D194),DAY(EOMONTH((Tahmin!$C$4+63),0))))&gt;=(Tahmin!$C$4+63),DATE(YEAR((Tahmin!$C$4+63)),MONTH((Tahmin!$C$4+63)),MIN(DAY(Kalemler!$D194),DAY(EOMONTH((Tahmin!$C$4+63),0))))&lt;=(Tahmin!$C$4+69),DATE(YEAR((Tahmin!$C$4+63)),MONTH((Tahmin!$C$4+63)),MIN(DAY(Kalemler!$D194),DAY(EOMONTH((Tahmin!$C$4+63),0))))&gt;=Kalemler!$D194),AND(DATE(YEAR((Tahmin!$C$4+69)),MONTH((Tahmin!$C$4+69)),MIN(DAY(Kalemler!$D194),DAY(EOMONTH((Tahmin!$C$4+69),0))))&gt;=(Tahmin!$C$4+63),DATE(YEAR((Tahmin!$C$4+69)),MONTH((Tahmin!$C$4+69)),MIN(DAY(Kalemler!$D194),DAY(EOMONTH((Tahmin!$C$4+69),0))))&lt;=(Tahmin!$C$4+69),DATE(YEAR((Tahmin!$C$4+69)),MONTH((Tahmin!$C$4+69)),MIN(DAY(Kalemler!$D194),DAY(EOMONTH((Tahmin!$C$4+69),0))))&lt;&gt;DATE(YEAR((Tahmin!$C$4+63)),MONTH((Tahmin!$C$4+63)),MIN(DAY(Kalemler!$D194),DAY(EOMONTH((Tahmin!$C$4+63),0)))),DATE(YEAR((Tahmin!$C$4+69)),MONTH((Tahmin!$C$4+69)),MIN(DAY(Kalemler!$D194),DAY(EOMONTH((Tahmin!$C$4+69),0))))&gt;=Kalemler!$D194)),1,0),IF(AND(Kalemler!$D194&gt;=(Tahmin!$C$4+63),Kalemler!$D194&lt;=(Tahmin!$C$4+69)),1,0))))</f>
        <v>0</v>
      </c>
      <c r="L194" s="0" t="n">
        <f aca="false">IF(OR(Kalemler!$A194="",Kalemler!$C194="",Kalemler!$D194=""),0,Kalemler!$C194*IF(Kalemler!$E194="Haftalık",IF(Kalemler!$D194&lt;=(Tahmin!$C$4+76),1,0),IF(Kalemler!$E194="Aylık",IF(OR(AND(DATE(YEAR((Tahmin!$C$4+70)),MONTH((Tahmin!$C$4+70)),MIN(DAY(Kalemler!$D194),DAY(EOMONTH((Tahmin!$C$4+70),0))))&gt;=(Tahmin!$C$4+70),DATE(YEAR((Tahmin!$C$4+70)),MONTH((Tahmin!$C$4+70)),MIN(DAY(Kalemler!$D194),DAY(EOMONTH((Tahmin!$C$4+70),0))))&lt;=(Tahmin!$C$4+76),DATE(YEAR((Tahmin!$C$4+70)),MONTH((Tahmin!$C$4+70)),MIN(DAY(Kalemler!$D194),DAY(EOMONTH((Tahmin!$C$4+70),0))))&gt;=Kalemler!$D194),AND(DATE(YEAR((Tahmin!$C$4+76)),MONTH((Tahmin!$C$4+76)),MIN(DAY(Kalemler!$D194),DAY(EOMONTH((Tahmin!$C$4+76),0))))&gt;=(Tahmin!$C$4+70),DATE(YEAR((Tahmin!$C$4+76)),MONTH((Tahmin!$C$4+76)),MIN(DAY(Kalemler!$D194),DAY(EOMONTH((Tahmin!$C$4+76),0))))&lt;=(Tahmin!$C$4+76),DATE(YEAR((Tahmin!$C$4+76)),MONTH((Tahmin!$C$4+76)),MIN(DAY(Kalemler!$D194),DAY(EOMONTH((Tahmin!$C$4+76),0))))&lt;&gt;DATE(YEAR((Tahmin!$C$4+70)),MONTH((Tahmin!$C$4+70)),MIN(DAY(Kalemler!$D194),DAY(EOMONTH((Tahmin!$C$4+70),0)))),DATE(YEAR((Tahmin!$C$4+76)),MONTH((Tahmin!$C$4+76)),MIN(DAY(Kalemler!$D194),DAY(EOMONTH((Tahmin!$C$4+76),0))))&gt;=Kalemler!$D194)),1,0),IF(AND(Kalemler!$D194&gt;=(Tahmin!$C$4+70),Kalemler!$D194&lt;=(Tahmin!$C$4+76)),1,0))))</f>
        <v>0</v>
      </c>
      <c r="M194" s="0" t="n">
        <f aca="false">IF(OR(Kalemler!$A194="",Kalemler!$C194="",Kalemler!$D194=""),0,Kalemler!$C194*IF(Kalemler!$E194="Haftalık",IF(Kalemler!$D194&lt;=(Tahmin!$C$4+83),1,0),IF(Kalemler!$E194="Aylık",IF(OR(AND(DATE(YEAR((Tahmin!$C$4+77)),MONTH((Tahmin!$C$4+77)),MIN(DAY(Kalemler!$D194),DAY(EOMONTH((Tahmin!$C$4+77),0))))&gt;=(Tahmin!$C$4+77),DATE(YEAR((Tahmin!$C$4+77)),MONTH((Tahmin!$C$4+77)),MIN(DAY(Kalemler!$D194),DAY(EOMONTH((Tahmin!$C$4+77),0))))&lt;=(Tahmin!$C$4+83),DATE(YEAR((Tahmin!$C$4+77)),MONTH((Tahmin!$C$4+77)),MIN(DAY(Kalemler!$D194),DAY(EOMONTH((Tahmin!$C$4+77),0))))&gt;=Kalemler!$D194),AND(DATE(YEAR((Tahmin!$C$4+83)),MONTH((Tahmin!$C$4+83)),MIN(DAY(Kalemler!$D194),DAY(EOMONTH((Tahmin!$C$4+83),0))))&gt;=(Tahmin!$C$4+77),DATE(YEAR((Tahmin!$C$4+83)),MONTH((Tahmin!$C$4+83)),MIN(DAY(Kalemler!$D194),DAY(EOMONTH((Tahmin!$C$4+83),0))))&lt;=(Tahmin!$C$4+83),DATE(YEAR((Tahmin!$C$4+83)),MONTH((Tahmin!$C$4+83)),MIN(DAY(Kalemler!$D194),DAY(EOMONTH((Tahmin!$C$4+83),0))))&lt;&gt;DATE(YEAR((Tahmin!$C$4+77)),MONTH((Tahmin!$C$4+77)),MIN(DAY(Kalemler!$D194),DAY(EOMONTH((Tahmin!$C$4+77),0)))),DATE(YEAR((Tahmin!$C$4+83)),MONTH((Tahmin!$C$4+83)),MIN(DAY(Kalemler!$D194),DAY(EOMONTH((Tahmin!$C$4+83),0))))&gt;=Kalemler!$D194)),1,0),IF(AND(Kalemler!$D194&gt;=(Tahmin!$C$4+77),Kalemler!$D194&lt;=(Tahmin!$C$4+83)),1,0))))</f>
        <v>0</v>
      </c>
      <c r="N194" s="0" t="n">
        <f aca="false">IF(OR(Kalemler!$A194="",Kalemler!$C194="",Kalemler!$D194=""),0,Kalemler!$C194*IF(Kalemler!$E194="Haftalık",IF(Kalemler!$D194&lt;=(Tahmin!$C$4+90),1,0),IF(Kalemler!$E194="Aylık",IF(OR(AND(DATE(YEAR((Tahmin!$C$4+84)),MONTH((Tahmin!$C$4+84)),MIN(DAY(Kalemler!$D194),DAY(EOMONTH((Tahmin!$C$4+84),0))))&gt;=(Tahmin!$C$4+84),DATE(YEAR((Tahmin!$C$4+84)),MONTH((Tahmin!$C$4+84)),MIN(DAY(Kalemler!$D194),DAY(EOMONTH((Tahmin!$C$4+84),0))))&lt;=(Tahmin!$C$4+90),DATE(YEAR((Tahmin!$C$4+84)),MONTH((Tahmin!$C$4+84)),MIN(DAY(Kalemler!$D194),DAY(EOMONTH((Tahmin!$C$4+84),0))))&gt;=Kalemler!$D194),AND(DATE(YEAR((Tahmin!$C$4+90)),MONTH((Tahmin!$C$4+90)),MIN(DAY(Kalemler!$D194),DAY(EOMONTH((Tahmin!$C$4+90),0))))&gt;=(Tahmin!$C$4+84),DATE(YEAR((Tahmin!$C$4+90)),MONTH((Tahmin!$C$4+90)),MIN(DAY(Kalemler!$D194),DAY(EOMONTH((Tahmin!$C$4+90),0))))&lt;=(Tahmin!$C$4+90),DATE(YEAR((Tahmin!$C$4+90)),MONTH((Tahmin!$C$4+90)),MIN(DAY(Kalemler!$D194),DAY(EOMONTH((Tahmin!$C$4+90),0))))&lt;&gt;DATE(YEAR((Tahmin!$C$4+84)),MONTH((Tahmin!$C$4+84)),MIN(DAY(Kalemler!$D194),DAY(EOMONTH((Tahmin!$C$4+84),0)))),DATE(YEAR((Tahmin!$C$4+90)),MONTH((Tahmin!$C$4+90)),MIN(DAY(Kalemler!$D194),DAY(EOMONTH((Tahmin!$C$4+90),0))))&gt;=Kalemler!$D194)),1,0),IF(AND(Kalemler!$D194&gt;=(Tahmin!$C$4+84),Kalemler!$D194&lt;=(Tahmin!$C$4+90)),1,0))))</f>
        <v>0</v>
      </c>
    </row>
    <row r="195" customFormat="false" ht="15" hidden="false" customHeight="false" outlineLevel="0" collapsed="false">
      <c r="A195" s="0" t="str">
        <f aca="false">IF(Kalemler!A195="","",Kalemler!A195)</f>
        <v/>
      </c>
      <c r="B195" s="0" t="n">
        <f aca="false">IF(OR(Kalemler!$A195="",Kalemler!$C195="",Kalemler!$D195=""),0,Kalemler!$C195*IF(Kalemler!$E195="Haftalık",IF(Kalemler!$D195&lt;=(Tahmin!$C$4+6),1,0),IF(Kalemler!$E195="Aylık",IF(OR(AND(DATE(YEAR((Tahmin!$C$4+0)),MONTH((Tahmin!$C$4+0)),MIN(DAY(Kalemler!$D195),DAY(EOMONTH((Tahmin!$C$4+0),0))))&gt;=(Tahmin!$C$4+0),DATE(YEAR((Tahmin!$C$4+0)),MONTH((Tahmin!$C$4+0)),MIN(DAY(Kalemler!$D195),DAY(EOMONTH((Tahmin!$C$4+0),0))))&lt;=(Tahmin!$C$4+6),DATE(YEAR((Tahmin!$C$4+0)),MONTH((Tahmin!$C$4+0)),MIN(DAY(Kalemler!$D195),DAY(EOMONTH((Tahmin!$C$4+0),0))))&gt;=Kalemler!$D195),AND(DATE(YEAR((Tahmin!$C$4+6)),MONTH((Tahmin!$C$4+6)),MIN(DAY(Kalemler!$D195),DAY(EOMONTH((Tahmin!$C$4+6),0))))&gt;=(Tahmin!$C$4+0),DATE(YEAR((Tahmin!$C$4+6)),MONTH((Tahmin!$C$4+6)),MIN(DAY(Kalemler!$D195),DAY(EOMONTH((Tahmin!$C$4+6),0))))&lt;=(Tahmin!$C$4+6),DATE(YEAR((Tahmin!$C$4+6)),MONTH((Tahmin!$C$4+6)),MIN(DAY(Kalemler!$D195),DAY(EOMONTH((Tahmin!$C$4+6),0))))&lt;&gt;DATE(YEAR((Tahmin!$C$4+0)),MONTH((Tahmin!$C$4+0)),MIN(DAY(Kalemler!$D195),DAY(EOMONTH((Tahmin!$C$4+0),0)))),DATE(YEAR((Tahmin!$C$4+6)),MONTH((Tahmin!$C$4+6)),MIN(DAY(Kalemler!$D195),DAY(EOMONTH((Tahmin!$C$4+6),0))))&gt;=Kalemler!$D195)),1,0),IF(AND(Kalemler!$D195&gt;=(Tahmin!$C$4+0),Kalemler!$D195&lt;=(Tahmin!$C$4+6)),1,0))))</f>
        <v>0</v>
      </c>
      <c r="C195" s="0" t="n">
        <f aca="false">IF(OR(Kalemler!$A195="",Kalemler!$C195="",Kalemler!$D195=""),0,Kalemler!$C195*IF(Kalemler!$E195="Haftalık",IF(Kalemler!$D195&lt;=(Tahmin!$C$4+13),1,0),IF(Kalemler!$E195="Aylık",IF(OR(AND(DATE(YEAR((Tahmin!$C$4+7)),MONTH((Tahmin!$C$4+7)),MIN(DAY(Kalemler!$D195),DAY(EOMONTH((Tahmin!$C$4+7),0))))&gt;=(Tahmin!$C$4+7),DATE(YEAR((Tahmin!$C$4+7)),MONTH((Tahmin!$C$4+7)),MIN(DAY(Kalemler!$D195),DAY(EOMONTH((Tahmin!$C$4+7),0))))&lt;=(Tahmin!$C$4+13),DATE(YEAR((Tahmin!$C$4+7)),MONTH((Tahmin!$C$4+7)),MIN(DAY(Kalemler!$D195),DAY(EOMONTH((Tahmin!$C$4+7),0))))&gt;=Kalemler!$D195),AND(DATE(YEAR((Tahmin!$C$4+13)),MONTH((Tahmin!$C$4+13)),MIN(DAY(Kalemler!$D195),DAY(EOMONTH((Tahmin!$C$4+13),0))))&gt;=(Tahmin!$C$4+7),DATE(YEAR((Tahmin!$C$4+13)),MONTH((Tahmin!$C$4+13)),MIN(DAY(Kalemler!$D195),DAY(EOMONTH((Tahmin!$C$4+13),0))))&lt;=(Tahmin!$C$4+13),DATE(YEAR((Tahmin!$C$4+13)),MONTH((Tahmin!$C$4+13)),MIN(DAY(Kalemler!$D195),DAY(EOMONTH((Tahmin!$C$4+13),0))))&lt;&gt;DATE(YEAR((Tahmin!$C$4+7)),MONTH((Tahmin!$C$4+7)),MIN(DAY(Kalemler!$D195),DAY(EOMONTH((Tahmin!$C$4+7),0)))),DATE(YEAR((Tahmin!$C$4+13)),MONTH((Tahmin!$C$4+13)),MIN(DAY(Kalemler!$D195),DAY(EOMONTH((Tahmin!$C$4+13),0))))&gt;=Kalemler!$D195)),1,0),IF(AND(Kalemler!$D195&gt;=(Tahmin!$C$4+7),Kalemler!$D195&lt;=(Tahmin!$C$4+13)),1,0))))</f>
        <v>0</v>
      </c>
      <c r="D195" s="0" t="n">
        <f aca="false">IF(OR(Kalemler!$A195="",Kalemler!$C195="",Kalemler!$D195=""),0,Kalemler!$C195*IF(Kalemler!$E195="Haftalık",IF(Kalemler!$D195&lt;=(Tahmin!$C$4+20),1,0),IF(Kalemler!$E195="Aylık",IF(OR(AND(DATE(YEAR((Tahmin!$C$4+14)),MONTH((Tahmin!$C$4+14)),MIN(DAY(Kalemler!$D195),DAY(EOMONTH((Tahmin!$C$4+14),0))))&gt;=(Tahmin!$C$4+14),DATE(YEAR((Tahmin!$C$4+14)),MONTH((Tahmin!$C$4+14)),MIN(DAY(Kalemler!$D195),DAY(EOMONTH((Tahmin!$C$4+14),0))))&lt;=(Tahmin!$C$4+20),DATE(YEAR((Tahmin!$C$4+14)),MONTH((Tahmin!$C$4+14)),MIN(DAY(Kalemler!$D195),DAY(EOMONTH((Tahmin!$C$4+14),0))))&gt;=Kalemler!$D195),AND(DATE(YEAR((Tahmin!$C$4+20)),MONTH((Tahmin!$C$4+20)),MIN(DAY(Kalemler!$D195),DAY(EOMONTH((Tahmin!$C$4+20),0))))&gt;=(Tahmin!$C$4+14),DATE(YEAR((Tahmin!$C$4+20)),MONTH((Tahmin!$C$4+20)),MIN(DAY(Kalemler!$D195),DAY(EOMONTH((Tahmin!$C$4+20),0))))&lt;=(Tahmin!$C$4+20),DATE(YEAR((Tahmin!$C$4+20)),MONTH((Tahmin!$C$4+20)),MIN(DAY(Kalemler!$D195),DAY(EOMONTH((Tahmin!$C$4+20),0))))&lt;&gt;DATE(YEAR((Tahmin!$C$4+14)),MONTH((Tahmin!$C$4+14)),MIN(DAY(Kalemler!$D195),DAY(EOMONTH((Tahmin!$C$4+14),0)))),DATE(YEAR((Tahmin!$C$4+20)),MONTH((Tahmin!$C$4+20)),MIN(DAY(Kalemler!$D195),DAY(EOMONTH((Tahmin!$C$4+20),0))))&gt;=Kalemler!$D195)),1,0),IF(AND(Kalemler!$D195&gt;=(Tahmin!$C$4+14),Kalemler!$D195&lt;=(Tahmin!$C$4+20)),1,0))))</f>
        <v>0</v>
      </c>
      <c r="E195" s="0" t="n">
        <f aca="false">IF(OR(Kalemler!$A195="",Kalemler!$C195="",Kalemler!$D195=""),0,Kalemler!$C195*IF(Kalemler!$E195="Haftalık",IF(Kalemler!$D195&lt;=(Tahmin!$C$4+27),1,0),IF(Kalemler!$E195="Aylık",IF(OR(AND(DATE(YEAR((Tahmin!$C$4+21)),MONTH((Tahmin!$C$4+21)),MIN(DAY(Kalemler!$D195),DAY(EOMONTH((Tahmin!$C$4+21),0))))&gt;=(Tahmin!$C$4+21),DATE(YEAR((Tahmin!$C$4+21)),MONTH((Tahmin!$C$4+21)),MIN(DAY(Kalemler!$D195),DAY(EOMONTH((Tahmin!$C$4+21),0))))&lt;=(Tahmin!$C$4+27),DATE(YEAR((Tahmin!$C$4+21)),MONTH((Tahmin!$C$4+21)),MIN(DAY(Kalemler!$D195),DAY(EOMONTH((Tahmin!$C$4+21),0))))&gt;=Kalemler!$D195),AND(DATE(YEAR((Tahmin!$C$4+27)),MONTH((Tahmin!$C$4+27)),MIN(DAY(Kalemler!$D195),DAY(EOMONTH((Tahmin!$C$4+27),0))))&gt;=(Tahmin!$C$4+21),DATE(YEAR((Tahmin!$C$4+27)),MONTH((Tahmin!$C$4+27)),MIN(DAY(Kalemler!$D195),DAY(EOMONTH((Tahmin!$C$4+27),0))))&lt;=(Tahmin!$C$4+27),DATE(YEAR((Tahmin!$C$4+27)),MONTH((Tahmin!$C$4+27)),MIN(DAY(Kalemler!$D195),DAY(EOMONTH((Tahmin!$C$4+27),0))))&lt;&gt;DATE(YEAR((Tahmin!$C$4+21)),MONTH((Tahmin!$C$4+21)),MIN(DAY(Kalemler!$D195),DAY(EOMONTH((Tahmin!$C$4+21),0)))),DATE(YEAR((Tahmin!$C$4+27)),MONTH((Tahmin!$C$4+27)),MIN(DAY(Kalemler!$D195),DAY(EOMONTH((Tahmin!$C$4+27),0))))&gt;=Kalemler!$D195)),1,0),IF(AND(Kalemler!$D195&gt;=(Tahmin!$C$4+21),Kalemler!$D195&lt;=(Tahmin!$C$4+27)),1,0))))</f>
        <v>0</v>
      </c>
      <c r="F195" s="0" t="n">
        <f aca="false">IF(OR(Kalemler!$A195="",Kalemler!$C195="",Kalemler!$D195=""),0,Kalemler!$C195*IF(Kalemler!$E195="Haftalık",IF(Kalemler!$D195&lt;=(Tahmin!$C$4+34),1,0),IF(Kalemler!$E195="Aylık",IF(OR(AND(DATE(YEAR((Tahmin!$C$4+28)),MONTH((Tahmin!$C$4+28)),MIN(DAY(Kalemler!$D195),DAY(EOMONTH((Tahmin!$C$4+28),0))))&gt;=(Tahmin!$C$4+28),DATE(YEAR((Tahmin!$C$4+28)),MONTH((Tahmin!$C$4+28)),MIN(DAY(Kalemler!$D195),DAY(EOMONTH((Tahmin!$C$4+28),0))))&lt;=(Tahmin!$C$4+34),DATE(YEAR((Tahmin!$C$4+28)),MONTH((Tahmin!$C$4+28)),MIN(DAY(Kalemler!$D195),DAY(EOMONTH((Tahmin!$C$4+28),0))))&gt;=Kalemler!$D195),AND(DATE(YEAR((Tahmin!$C$4+34)),MONTH((Tahmin!$C$4+34)),MIN(DAY(Kalemler!$D195),DAY(EOMONTH((Tahmin!$C$4+34),0))))&gt;=(Tahmin!$C$4+28),DATE(YEAR((Tahmin!$C$4+34)),MONTH((Tahmin!$C$4+34)),MIN(DAY(Kalemler!$D195),DAY(EOMONTH((Tahmin!$C$4+34),0))))&lt;=(Tahmin!$C$4+34),DATE(YEAR((Tahmin!$C$4+34)),MONTH((Tahmin!$C$4+34)),MIN(DAY(Kalemler!$D195),DAY(EOMONTH((Tahmin!$C$4+34),0))))&lt;&gt;DATE(YEAR((Tahmin!$C$4+28)),MONTH((Tahmin!$C$4+28)),MIN(DAY(Kalemler!$D195),DAY(EOMONTH((Tahmin!$C$4+28),0)))),DATE(YEAR((Tahmin!$C$4+34)),MONTH((Tahmin!$C$4+34)),MIN(DAY(Kalemler!$D195),DAY(EOMONTH((Tahmin!$C$4+34),0))))&gt;=Kalemler!$D195)),1,0),IF(AND(Kalemler!$D195&gt;=(Tahmin!$C$4+28),Kalemler!$D195&lt;=(Tahmin!$C$4+34)),1,0))))</f>
        <v>0</v>
      </c>
      <c r="G195" s="0" t="n">
        <f aca="false">IF(OR(Kalemler!$A195="",Kalemler!$C195="",Kalemler!$D195=""),0,Kalemler!$C195*IF(Kalemler!$E195="Haftalık",IF(Kalemler!$D195&lt;=(Tahmin!$C$4+41),1,0),IF(Kalemler!$E195="Aylık",IF(OR(AND(DATE(YEAR((Tahmin!$C$4+35)),MONTH((Tahmin!$C$4+35)),MIN(DAY(Kalemler!$D195),DAY(EOMONTH((Tahmin!$C$4+35),0))))&gt;=(Tahmin!$C$4+35),DATE(YEAR((Tahmin!$C$4+35)),MONTH((Tahmin!$C$4+35)),MIN(DAY(Kalemler!$D195),DAY(EOMONTH((Tahmin!$C$4+35),0))))&lt;=(Tahmin!$C$4+41),DATE(YEAR((Tahmin!$C$4+35)),MONTH((Tahmin!$C$4+35)),MIN(DAY(Kalemler!$D195),DAY(EOMONTH((Tahmin!$C$4+35),0))))&gt;=Kalemler!$D195),AND(DATE(YEAR((Tahmin!$C$4+41)),MONTH((Tahmin!$C$4+41)),MIN(DAY(Kalemler!$D195),DAY(EOMONTH((Tahmin!$C$4+41),0))))&gt;=(Tahmin!$C$4+35),DATE(YEAR((Tahmin!$C$4+41)),MONTH((Tahmin!$C$4+41)),MIN(DAY(Kalemler!$D195),DAY(EOMONTH((Tahmin!$C$4+41),0))))&lt;=(Tahmin!$C$4+41),DATE(YEAR((Tahmin!$C$4+41)),MONTH((Tahmin!$C$4+41)),MIN(DAY(Kalemler!$D195),DAY(EOMONTH((Tahmin!$C$4+41),0))))&lt;&gt;DATE(YEAR((Tahmin!$C$4+35)),MONTH((Tahmin!$C$4+35)),MIN(DAY(Kalemler!$D195),DAY(EOMONTH((Tahmin!$C$4+35),0)))),DATE(YEAR((Tahmin!$C$4+41)),MONTH((Tahmin!$C$4+41)),MIN(DAY(Kalemler!$D195),DAY(EOMONTH((Tahmin!$C$4+41),0))))&gt;=Kalemler!$D195)),1,0),IF(AND(Kalemler!$D195&gt;=(Tahmin!$C$4+35),Kalemler!$D195&lt;=(Tahmin!$C$4+41)),1,0))))</f>
        <v>0</v>
      </c>
      <c r="H195" s="0" t="n">
        <f aca="false">IF(OR(Kalemler!$A195="",Kalemler!$C195="",Kalemler!$D195=""),0,Kalemler!$C195*IF(Kalemler!$E195="Haftalık",IF(Kalemler!$D195&lt;=(Tahmin!$C$4+48),1,0),IF(Kalemler!$E195="Aylık",IF(OR(AND(DATE(YEAR((Tahmin!$C$4+42)),MONTH((Tahmin!$C$4+42)),MIN(DAY(Kalemler!$D195),DAY(EOMONTH((Tahmin!$C$4+42),0))))&gt;=(Tahmin!$C$4+42),DATE(YEAR((Tahmin!$C$4+42)),MONTH((Tahmin!$C$4+42)),MIN(DAY(Kalemler!$D195),DAY(EOMONTH((Tahmin!$C$4+42),0))))&lt;=(Tahmin!$C$4+48),DATE(YEAR((Tahmin!$C$4+42)),MONTH((Tahmin!$C$4+42)),MIN(DAY(Kalemler!$D195),DAY(EOMONTH((Tahmin!$C$4+42),0))))&gt;=Kalemler!$D195),AND(DATE(YEAR((Tahmin!$C$4+48)),MONTH((Tahmin!$C$4+48)),MIN(DAY(Kalemler!$D195),DAY(EOMONTH((Tahmin!$C$4+48),0))))&gt;=(Tahmin!$C$4+42),DATE(YEAR((Tahmin!$C$4+48)),MONTH((Tahmin!$C$4+48)),MIN(DAY(Kalemler!$D195),DAY(EOMONTH((Tahmin!$C$4+48),0))))&lt;=(Tahmin!$C$4+48),DATE(YEAR((Tahmin!$C$4+48)),MONTH((Tahmin!$C$4+48)),MIN(DAY(Kalemler!$D195),DAY(EOMONTH((Tahmin!$C$4+48),0))))&lt;&gt;DATE(YEAR((Tahmin!$C$4+42)),MONTH((Tahmin!$C$4+42)),MIN(DAY(Kalemler!$D195),DAY(EOMONTH((Tahmin!$C$4+42),0)))),DATE(YEAR((Tahmin!$C$4+48)),MONTH((Tahmin!$C$4+48)),MIN(DAY(Kalemler!$D195),DAY(EOMONTH((Tahmin!$C$4+48),0))))&gt;=Kalemler!$D195)),1,0),IF(AND(Kalemler!$D195&gt;=(Tahmin!$C$4+42),Kalemler!$D195&lt;=(Tahmin!$C$4+48)),1,0))))</f>
        <v>0</v>
      </c>
      <c r="I195" s="0" t="n">
        <f aca="false">IF(OR(Kalemler!$A195="",Kalemler!$C195="",Kalemler!$D195=""),0,Kalemler!$C195*IF(Kalemler!$E195="Haftalık",IF(Kalemler!$D195&lt;=(Tahmin!$C$4+55),1,0),IF(Kalemler!$E195="Aylık",IF(OR(AND(DATE(YEAR((Tahmin!$C$4+49)),MONTH((Tahmin!$C$4+49)),MIN(DAY(Kalemler!$D195),DAY(EOMONTH((Tahmin!$C$4+49),0))))&gt;=(Tahmin!$C$4+49),DATE(YEAR((Tahmin!$C$4+49)),MONTH((Tahmin!$C$4+49)),MIN(DAY(Kalemler!$D195),DAY(EOMONTH((Tahmin!$C$4+49),0))))&lt;=(Tahmin!$C$4+55),DATE(YEAR((Tahmin!$C$4+49)),MONTH((Tahmin!$C$4+49)),MIN(DAY(Kalemler!$D195),DAY(EOMONTH((Tahmin!$C$4+49),0))))&gt;=Kalemler!$D195),AND(DATE(YEAR((Tahmin!$C$4+55)),MONTH((Tahmin!$C$4+55)),MIN(DAY(Kalemler!$D195),DAY(EOMONTH((Tahmin!$C$4+55),0))))&gt;=(Tahmin!$C$4+49),DATE(YEAR((Tahmin!$C$4+55)),MONTH((Tahmin!$C$4+55)),MIN(DAY(Kalemler!$D195),DAY(EOMONTH((Tahmin!$C$4+55),0))))&lt;=(Tahmin!$C$4+55),DATE(YEAR((Tahmin!$C$4+55)),MONTH((Tahmin!$C$4+55)),MIN(DAY(Kalemler!$D195),DAY(EOMONTH((Tahmin!$C$4+55),0))))&lt;&gt;DATE(YEAR((Tahmin!$C$4+49)),MONTH((Tahmin!$C$4+49)),MIN(DAY(Kalemler!$D195),DAY(EOMONTH((Tahmin!$C$4+49),0)))),DATE(YEAR((Tahmin!$C$4+55)),MONTH((Tahmin!$C$4+55)),MIN(DAY(Kalemler!$D195),DAY(EOMONTH((Tahmin!$C$4+55),0))))&gt;=Kalemler!$D195)),1,0),IF(AND(Kalemler!$D195&gt;=(Tahmin!$C$4+49),Kalemler!$D195&lt;=(Tahmin!$C$4+55)),1,0))))</f>
        <v>0</v>
      </c>
      <c r="J195" s="0" t="n">
        <f aca="false">IF(OR(Kalemler!$A195="",Kalemler!$C195="",Kalemler!$D195=""),0,Kalemler!$C195*IF(Kalemler!$E195="Haftalık",IF(Kalemler!$D195&lt;=(Tahmin!$C$4+62),1,0),IF(Kalemler!$E195="Aylık",IF(OR(AND(DATE(YEAR((Tahmin!$C$4+56)),MONTH((Tahmin!$C$4+56)),MIN(DAY(Kalemler!$D195),DAY(EOMONTH((Tahmin!$C$4+56),0))))&gt;=(Tahmin!$C$4+56),DATE(YEAR((Tahmin!$C$4+56)),MONTH((Tahmin!$C$4+56)),MIN(DAY(Kalemler!$D195),DAY(EOMONTH((Tahmin!$C$4+56),0))))&lt;=(Tahmin!$C$4+62),DATE(YEAR((Tahmin!$C$4+56)),MONTH((Tahmin!$C$4+56)),MIN(DAY(Kalemler!$D195),DAY(EOMONTH((Tahmin!$C$4+56),0))))&gt;=Kalemler!$D195),AND(DATE(YEAR((Tahmin!$C$4+62)),MONTH((Tahmin!$C$4+62)),MIN(DAY(Kalemler!$D195),DAY(EOMONTH((Tahmin!$C$4+62),0))))&gt;=(Tahmin!$C$4+56),DATE(YEAR((Tahmin!$C$4+62)),MONTH((Tahmin!$C$4+62)),MIN(DAY(Kalemler!$D195),DAY(EOMONTH((Tahmin!$C$4+62),0))))&lt;=(Tahmin!$C$4+62),DATE(YEAR((Tahmin!$C$4+62)),MONTH((Tahmin!$C$4+62)),MIN(DAY(Kalemler!$D195),DAY(EOMONTH((Tahmin!$C$4+62),0))))&lt;&gt;DATE(YEAR((Tahmin!$C$4+56)),MONTH((Tahmin!$C$4+56)),MIN(DAY(Kalemler!$D195),DAY(EOMONTH((Tahmin!$C$4+56),0)))),DATE(YEAR((Tahmin!$C$4+62)),MONTH((Tahmin!$C$4+62)),MIN(DAY(Kalemler!$D195),DAY(EOMONTH((Tahmin!$C$4+62),0))))&gt;=Kalemler!$D195)),1,0),IF(AND(Kalemler!$D195&gt;=(Tahmin!$C$4+56),Kalemler!$D195&lt;=(Tahmin!$C$4+62)),1,0))))</f>
        <v>0</v>
      </c>
      <c r="K195" s="0" t="n">
        <f aca="false">IF(OR(Kalemler!$A195="",Kalemler!$C195="",Kalemler!$D195=""),0,Kalemler!$C195*IF(Kalemler!$E195="Haftalık",IF(Kalemler!$D195&lt;=(Tahmin!$C$4+69),1,0),IF(Kalemler!$E195="Aylık",IF(OR(AND(DATE(YEAR((Tahmin!$C$4+63)),MONTH((Tahmin!$C$4+63)),MIN(DAY(Kalemler!$D195),DAY(EOMONTH((Tahmin!$C$4+63),0))))&gt;=(Tahmin!$C$4+63),DATE(YEAR((Tahmin!$C$4+63)),MONTH((Tahmin!$C$4+63)),MIN(DAY(Kalemler!$D195),DAY(EOMONTH((Tahmin!$C$4+63),0))))&lt;=(Tahmin!$C$4+69),DATE(YEAR((Tahmin!$C$4+63)),MONTH((Tahmin!$C$4+63)),MIN(DAY(Kalemler!$D195),DAY(EOMONTH((Tahmin!$C$4+63),0))))&gt;=Kalemler!$D195),AND(DATE(YEAR((Tahmin!$C$4+69)),MONTH((Tahmin!$C$4+69)),MIN(DAY(Kalemler!$D195),DAY(EOMONTH((Tahmin!$C$4+69),0))))&gt;=(Tahmin!$C$4+63),DATE(YEAR((Tahmin!$C$4+69)),MONTH((Tahmin!$C$4+69)),MIN(DAY(Kalemler!$D195),DAY(EOMONTH((Tahmin!$C$4+69),0))))&lt;=(Tahmin!$C$4+69),DATE(YEAR((Tahmin!$C$4+69)),MONTH((Tahmin!$C$4+69)),MIN(DAY(Kalemler!$D195),DAY(EOMONTH((Tahmin!$C$4+69),0))))&lt;&gt;DATE(YEAR((Tahmin!$C$4+63)),MONTH((Tahmin!$C$4+63)),MIN(DAY(Kalemler!$D195),DAY(EOMONTH((Tahmin!$C$4+63),0)))),DATE(YEAR((Tahmin!$C$4+69)),MONTH((Tahmin!$C$4+69)),MIN(DAY(Kalemler!$D195),DAY(EOMONTH((Tahmin!$C$4+69),0))))&gt;=Kalemler!$D195)),1,0),IF(AND(Kalemler!$D195&gt;=(Tahmin!$C$4+63),Kalemler!$D195&lt;=(Tahmin!$C$4+69)),1,0))))</f>
        <v>0</v>
      </c>
      <c r="L195" s="0" t="n">
        <f aca="false">IF(OR(Kalemler!$A195="",Kalemler!$C195="",Kalemler!$D195=""),0,Kalemler!$C195*IF(Kalemler!$E195="Haftalık",IF(Kalemler!$D195&lt;=(Tahmin!$C$4+76),1,0),IF(Kalemler!$E195="Aylık",IF(OR(AND(DATE(YEAR((Tahmin!$C$4+70)),MONTH((Tahmin!$C$4+70)),MIN(DAY(Kalemler!$D195),DAY(EOMONTH((Tahmin!$C$4+70),0))))&gt;=(Tahmin!$C$4+70),DATE(YEAR((Tahmin!$C$4+70)),MONTH((Tahmin!$C$4+70)),MIN(DAY(Kalemler!$D195),DAY(EOMONTH((Tahmin!$C$4+70),0))))&lt;=(Tahmin!$C$4+76),DATE(YEAR((Tahmin!$C$4+70)),MONTH((Tahmin!$C$4+70)),MIN(DAY(Kalemler!$D195),DAY(EOMONTH((Tahmin!$C$4+70),0))))&gt;=Kalemler!$D195),AND(DATE(YEAR((Tahmin!$C$4+76)),MONTH((Tahmin!$C$4+76)),MIN(DAY(Kalemler!$D195),DAY(EOMONTH((Tahmin!$C$4+76),0))))&gt;=(Tahmin!$C$4+70),DATE(YEAR((Tahmin!$C$4+76)),MONTH((Tahmin!$C$4+76)),MIN(DAY(Kalemler!$D195),DAY(EOMONTH((Tahmin!$C$4+76),0))))&lt;=(Tahmin!$C$4+76),DATE(YEAR((Tahmin!$C$4+76)),MONTH((Tahmin!$C$4+76)),MIN(DAY(Kalemler!$D195),DAY(EOMONTH((Tahmin!$C$4+76),0))))&lt;&gt;DATE(YEAR((Tahmin!$C$4+70)),MONTH((Tahmin!$C$4+70)),MIN(DAY(Kalemler!$D195),DAY(EOMONTH((Tahmin!$C$4+70),0)))),DATE(YEAR((Tahmin!$C$4+76)),MONTH((Tahmin!$C$4+76)),MIN(DAY(Kalemler!$D195),DAY(EOMONTH((Tahmin!$C$4+76),0))))&gt;=Kalemler!$D195)),1,0),IF(AND(Kalemler!$D195&gt;=(Tahmin!$C$4+70),Kalemler!$D195&lt;=(Tahmin!$C$4+76)),1,0))))</f>
        <v>0</v>
      </c>
      <c r="M195" s="0" t="n">
        <f aca="false">IF(OR(Kalemler!$A195="",Kalemler!$C195="",Kalemler!$D195=""),0,Kalemler!$C195*IF(Kalemler!$E195="Haftalık",IF(Kalemler!$D195&lt;=(Tahmin!$C$4+83),1,0),IF(Kalemler!$E195="Aylık",IF(OR(AND(DATE(YEAR((Tahmin!$C$4+77)),MONTH((Tahmin!$C$4+77)),MIN(DAY(Kalemler!$D195),DAY(EOMONTH((Tahmin!$C$4+77),0))))&gt;=(Tahmin!$C$4+77),DATE(YEAR((Tahmin!$C$4+77)),MONTH((Tahmin!$C$4+77)),MIN(DAY(Kalemler!$D195),DAY(EOMONTH((Tahmin!$C$4+77),0))))&lt;=(Tahmin!$C$4+83),DATE(YEAR((Tahmin!$C$4+77)),MONTH((Tahmin!$C$4+77)),MIN(DAY(Kalemler!$D195),DAY(EOMONTH((Tahmin!$C$4+77),0))))&gt;=Kalemler!$D195),AND(DATE(YEAR((Tahmin!$C$4+83)),MONTH((Tahmin!$C$4+83)),MIN(DAY(Kalemler!$D195),DAY(EOMONTH((Tahmin!$C$4+83),0))))&gt;=(Tahmin!$C$4+77),DATE(YEAR((Tahmin!$C$4+83)),MONTH((Tahmin!$C$4+83)),MIN(DAY(Kalemler!$D195),DAY(EOMONTH((Tahmin!$C$4+83),0))))&lt;=(Tahmin!$C$4+83),DATE(YEAR((Tahmin!$C$4+83)),MONTH((Tahmin!$C$4+83)),MIN(DAY(Kalemler!$D195),DAY(EOMONTH((Tahmin!$C$4+83),0))))&lt;&gt;DATE(YEAR((Tahmin!$C$4+77)),MONTH((Tahmin!$C$4+77)),MIN(DAY(Kalemler!$D195),DAY(EOMONTH((Tahmin!$C$4+77),0)))),DATE(YEAR((Tahmin!$C$4+83)),MONTH((Tahmin!$C$4+83)),MIN(DAY(Kalemler!$D195),DAY(EOMONTH((Tahmin!$C$4+83),0))))&gt;=Kalemler!$D195)),1,0),IF(AND(Kalemler!$D195&gt;=(Tahmin!$C$4+77),Kalemler!$D195&lt;=(Tahmin!$C$4+83)),1,0))))</f>
        <v>0</v>
      </c>
      <c r="N195" s="0" t="n">
        <f aca="false">IF(OR(Kalemler!$A195="",Kalemler!$C195="",Kalemler!$D195=""),0,Kalemler!$C195*IF(Kalemler!$E195="Haftalık",IF(Kalemler!$D195&lt;=(Tahmin!$C$4+90),1,0),IF(Kalemler!$E195="Aylık",IF(OR(AND(DATE(YEAR((Tahmin!$C$4+84)),MONTH((Tahmin!$C$4+84)),MIN(DAY(Kalemler!$D195),DAY(EOMONTH((Tahmin!$C$4+84),0))))&gt;=(Tahmin!$C$4+84),DATE(YEAR((Tahmin!$C$4+84)),MONTH((Tahmin!$C$4+84)),MIN(DAY(Kalemler!$D195),DAY(EOMONTH((Tahmin!$C$4+84),0))))&lt;=(Tahmin!$C$4+90),DATE(YEAR((Tahmin!$C$4+84)),MONTH((Tahmin!$C$4+84)),MIN(DAY(Kalemler!$D195),DAY(EOMONTH((Tahmin!$C$4+84),0))))&gt;=Kalemler!$D195),AND(DATE(YEAR((Tahmin!$C$4+90)),MONTH((Tahmin!$C$4+90)),MIN(DAY(Kalemler!$D195),DAY(EOMONTH((Tahmin!$C$4+90),0))))&gt;=(Tahmin!$C$4+84),DATE(YEAR((Tahmin!$C$4+90)),MONTH((Tahmin!$C$4+90)),MIN(DAY(Kalemler!$D195),DAY(EOMONTH((Tahmin!$C$4+90),0))))&lt;=(Tahmin!$C$4+90),DATE(YEAR((Tahmin!$C$4+90)),MONTH((Tahmin!$C$4+90)),MIN(DAY(Kalemler!$D195),DAY(EOMONTH((Tahmin!$C$4+90),0))))&lt;&gt;DATE(YEAR((Tahmin!$C$4+84)),MONTH((Tahmin!$C$4+84)),MIN(DAY(Kalemler!$D195),DAY(EOMONTH((Tahmin!$C$4+84),0)))),DATE(YEAR((Tahmin!$C$4+90)),MONTH((Tahmin!$C$4+90)),MIN(DAY(Kalemler!$D195),DAY(EOMONTH((Tahmin!$C$4+90),0))))&gt;=Kalemler!$D195)),1,0),IF(AND(Kalemler!$D195&gt;=(Tahmin!$C$4+84),Kalemler!$D195&lt;=(Tahmin!$C$4+90)),1,0))))</f>
        <v>0</v>
      </c>
    </row>
    <row r="196" customFormat="false" ht="15" hidden="false" customHeight="false" outlineLevel="0" collapsed="false">
      <c r="A196" s="0" t="str">
        <f aca="false">IF(Kalemler!A196="","",Kalemler!A196)</f>
        <v/>
      </c>
      <c r="B196" s="0" t="n">
        <f aca="false">IF(OR(Kalemler!$A196="",Kalemler!$C196="",Kalemler!$D196=""),0,Kalemler!$C196*IF(Kalemler!$E196="Haftalık",IF(Kalemler!$D196&lt;=(Tahmin!$C$4+6),1,0),IF(Kalemler!$E196="Aylık",IF(OR(AND(DATE(YEAR((Tahmin!$C$4+0)),MONTH((Tahmin!$C$4+0)),MIN(DAY(Kalemler!$D196),DAY(EOMONTH((Tahmin!$C$4+0),0))))&gt;=(Tahmin!$C$4+0),DATE(YEAR((Tahmin!$C$4+0)),MONTH((Tahmin!$C$4+0)),MIN(DAY(Kalemler!$D196),DAY(EOMONTH((Tahmin!$C$4+0),0))))&lt;=(Tahmin!$C$4+6),DATE(YEAR((Tahmin!$C$4+0)),MONTH((Tahmin!$C$4+0)),MIN(DAY(Kalemler!$D196),DAY(EOMONTH((Tahmin!$C$4+0),0))))&gt;=Kalemler!$D196),AND(DATE(YEAR((Tahmin!$C$4+6)),MONTH((Tahmin!$C$4+6)),MIN(DAY(Kalemler!$D196),DAY(EOMONTH((Tahmin!$C$4+6),0))))&gt;=(Tahmin!$C$4+0),DATE(YEAR((Tahmin!$C$4+6)),MONTH((Tahmin!$C$4+6)),MIN(DAY(Kalemler!$D196),DAY(EOMONTH((Tahmin!$C$4+6),0))))&lt;=(Tahmin!$C$4+6),DATE(YEAR((Tahmin!$C$4+6)),MONTH((Tahmin!$C$4+6)),MIN(DAY(Kalemler!$D196),DAY(EOMONTH((Tahmin!$C$4+6),0))))&lt;&gt;DATE(YEAR((Tahmin!$C$4+0)),MONTH((Tahmin!$C$4+0)),MIN(DAY(Kalemler!$D196),DAY(EOMONTH((Tahmin!$C$4+0),0)))),DATE(YEAR((Tahmin!$C$4+6)),MONTH((Tahmin!$C$4+6)),MIN(DAY(Kalemler!$D196),DAY(EOMONTH((Tahmin!$C$4+6),0))))&gt;=Kalemler!$D196)),1,0),IF(AND(Kalemler!$D196&gt;=(Tahmin!$C$4+0),Kalemler!$D196&lt;=(Tahmin!$C$4+6)),1,0))))</f>
        <v>0</v>
      </c>
      <c r="C196" s="0" t="n">
        <f aca="false">IF(OR(Kalemler!$A196="",Kalemler!$C196="",Kalemler!$D196=""),0,Kalemler!$C196*IF(Kalemler!$E196="Haftalık",IF(Kalemler!$D196&lt;=(Tahmin!$C$4+13),1,0),IF(Kalemler!$E196="Aylık",IF(OR(AND(DATE(YEAR((Tahmin!$C$4+7)),MONTH((Tahmin!$C$4+7)),MIN(DAY(Kalemler!$D196),DAY(EOMONTH((Tahmin!$C$4+7),0))))&gt;=(Tahmin!$C$4+7),DATE(YEAR((Tahmin!$C$4+7)),MONTH((Tahmin!$C$4+7)),MIN(DAY(Kalemler!$D196),DAY(EOMONTH((Tahmin!$C$4+7),0))))&lt;=(Tahmin!$C$4+13),DATE(YEAR((Tahmin!$C$4+7)),MONTH((Tahmin!$C$4+7)),MIN(DAY(Kalemler!$D196),DAY(EOMONTH((Tahmin!$C$4+7),0))))&gt;=Kalemler!$D196),AND(DATE(YEAR((Tahmin!$C$4+13)),MONTH((Tahmin!$C$4+13)),MIN(DAY(Kalemler!$D196),DAY(EOMONTH((Tahmin!$C$4+13),0))))&gt;=(Tahmin!$C$4+7),DATE(YEAR((Tahmin!$C$4+13)),MONTH((Tahmin!$C$4+13)),MIN(DAY(Kalemler!$D196),DAY(EOMONTH((Tahmin!$C$4+13),0))))&lt;=(Tahmin!$C$4+13),DATE(YEAR((Tahmin!$C$4+13)),MONTH((Tahmin!$C$4+13)),MIN(DAY(Kalemler!$D196),DAY(EOMONTH((Tahmin!$C$4+13),0))))&lt;&gt;DATE(YEAR((Tahmin!$C$4+7)),MONTH((Tahmin!$C$4+7)),MIN(DAY(Kalemler!$D196),DAY(EOMONTH((Tahmin!$C$4+7),0)))),DATE(YEAR((Tahmin!$C$4+13)),MONTH((Tahmin!$C$4+13)),MIN(DAY(Kalemler!$D196),DAY(EOMONTH((Tahmin!$C$4+13),0))))&gt;=Kalemler!$D196)),1,0),IF(AND(Kalemler!$D196&gt;=(Tahmin!$C$4+7),Kalemler!$D196&lt;=(Tahmin!$C$4+13)),1,0))))</f>
        <v>0</v>
      </c>
      <c r="D196" s="0" t="n">
        <f aca="false">IF(OR(Kalemler!$A196="",Kalemler!$C196="",Kalemler!$D196=""),0,Kalemler!$C196*IF(Kalemler!$E196="Haftalık",IF(Kalemler!$D196&lt;=(Tahmin!$C$4+20),1,0),IF(Kalemler!$E196="Aylık",IF(OR(AND(DATE(YEAR((Tahmin!$C$4+14)),MONTH((Tahmin!$C$4+14)),MIN(DAY(Kalemler!$D196),DAY(EOMONTH((Tahmin!$C$4+14),0))))&gt;=(Tahmin!$C$4+14),DATE(YEAR((Tahmin!$C$4+14)),MONTH((Tahmin!$C$4+14)),MIN(DAY(Kalemler!$D196),DAY(EOMONTH((Tahmin!$C$4+14),0))))&lt;=(Tahmin!$C$4+20),DATE(YEAR((Tahmin!$C$4+14)),MONTH((Tahmin!$C$4+14)),MIN(DAY(Kalemler!$D196),DAY(EOMONTH((Tahmin!$C$4+14),0))))&gt;=Kalemler!$D196),AND(DATE(YEAR((Tahmin!$C$4+20)),MONTH((Tahmin!$C$4+20)),MIN(DAY(Kalemler!$D196),DAY(EOMONTH((Tahmin!$C$4+20),0))))&gt;=(Tahmin!$C$4+14),DATE(YEAR((Tahmin!$C$4+20)),MONTH((Tahmin!$C$4+20)),MIN(DAY(Kalemler!$D196),DAY(EOMONTH((Tahmin!$C$4+20),0))))&lt;=(Tahmin!$C$4+20),DATE(YEAR((Tahmin!$C$4+20)),MONTH((Tahmin!$C$4+20)),MIN(DAY(Kalemler!$D196),DAY(EOMONTH((Tahmin!$C$4+20),0))))&lt;&gt;DATE(YEAR((Tahmin!$C$4+14)),MONTH((Tahmin!$C$4+14)),MIN(DAY(Kalemler!$D196),DAY(EOMONTH((Tahmin!$C$4+14),0)))),DATE(YEAR((Tahmin!$C$4+20)),MONTH((Tahmin!$C$4+20)),MIN(DAY(Kalemler!$D196),DAY(EOMONTH((Tahmin!$C$4+20),0))))&gt;=Kalemler!$D196)),1,0),IF(AND(Kalemler!$D196&gt;=(Tahmin!$C$4+14),Kalemler!$D196&lt;=(Tahmin!$C$4+20)),1,0))))</f>
        <v>0</v>
      </c>
      <c r="E196" s="0" t="n">
        <f aca="false">IF(OR(Kalemler!$A196="",Kalemler!$C196="",Kalemler!$D196=""),0,Kalemler!$C196*IF(Kalemler!$E196="Haftalık",IF(Kalemler!$D196&lt;=(Tahmin!$C$4+27),1,0),IF(Kalemler!$E196="Aylık",IF(OR(AND(DATE(YEAR((Tahmin!$C$4+21)),MONTH((Tahmin!$C$4+21)),MIN(DAY(Kalemler!$D196),DAY(EOMONTH((Tahmin!$C$4+21),0))))&gt;=(Tahmin!$C$4+21),DATE(YEAR((Tahmin!$C$4+21)),MONTH((Tahmin!$C$4+21)),MIN(DAY(Kalemler!$D196),DAY(EOMONTH((Tahmin!$C$4+21),0))))&lt;=(Tahmin!$C$4+27),DATE(YEAR((Tahmin!$C$4+21)),MONTH((Tahmin!$C$4+21)),MIN(DAY(Kalemler!$D196),DAY(EOMONTH((Tahmin!$C$4+21),0))))&gt;=Kalemler!$D196),AND(DATE(YEAR((Tahmin!$C$4+27)),MONTH((Tahmin!$C$4+27)),MIN(DAY(Kalemler!$D196),DAY(EOMONTH((Tahmin!$C$4+27),0))))&gt;=(Tahmin!$C$4+21),DATE(YEAR((Tahmin!$C$4+27)),MONTH((Tahmin!$C$4+27)),MIN(DAY(Kalemler!$D196),DAY(EOMONTH((Tahmin!$C$4+27),0))))&lt;=(Tahmin!$C$4+27),DATE(YEAR((Tahmin!$C$4+27)),MONTH((Tahmin!$C$4+27)),MIN(DAY(Kalemler!$D196),DAY(EOMONTH((Tahmin!$C$4+27),0))))&lt;&gt;DATE(YEAR((Tahmin!$C$4+21)),MONTH((Tahmin!$C$4+21)),MIN(DAY(Kalemler!$D196),DAY(EOMONTH((Tahmin!$C$4+21),0)))),DATE(YEAR((Tahmin!$C$4+27)),MONTH((Tahmin!$C$4+27)),MIN(DAY(Kalemler!$D196),DAY(EOMONTH((Tahmin!$C$4+27),0))))&gt;=Kalemler!$D196)),1,0),IF(AND(Kalemler!$D196&gt;=(Tahmin!$C$4+21),Kalemler!$D196&lt;=(Tahmin!$C$4+27)),1,0))))</f>
        <v>0</v>
      </c>
      <c r="F196" s="0" t="n">
        <f aca="false">IF(OR(Kalemler!$A196="",Kalemler!$C196="",Kalemler!$D196=""),0,Kalemler!$C196*IF(Kalemler!$E196="Haftalık",IF(Kalemler!$D196&lt;=(Tahmin!$C$4+34),1,0),IF(Kalemler!$E196="Aylık",IF(OR(AND(DATE(YEAR((Tahmin!$C$4+28)),MONTH((Tahmin!$C$4+28)),MIN(DAY(Kalemler!$D196),DAY(EOMONTH((Tahmin!$C$4+28),0))))&gt;=(Tahmin!$C$4+28),DATE(YEAR((Tahmin!$C$4+28)),MONTH((Tahmin!$C$4+28)),MIN(DAY(Kalemler!$D196),DAY(EOMONTH((Tahmin!$C$4+28),0))))&lt;=(Tahmin!$C$4+34),DATE(YEAR((Tahmin!$C$4+28)),MONTH((Tahmin!$C$4+28)),MIN(DAY(Kalemler!$D196),DAY(EOMONTH((Tahmin!$C$4+28),0))))&gt;=Kalemler!$D196),AND(DATE(YEAR((Tahmin!$C$4+34)),MONTH((Tahmin!$C$4+34)),MIN(DAY(Kalemler!$D196),DAY(EOMONTH((Tahmin!$C$4+34),0))))&gt;=(Tahmin!$C$4+28),DATE(YEAR((Tahmin!$C$4+34)),MONTH((Tahmin!$C$4+34)),MIN(DAY(Kalemler!$D196),DAY(EOMONTH((Tahmin!$C$4+34),0))))&lt;=(Tahmin!$C$4+34),DATE(YEAR((Tahmin!$C$4+34)),MONTH((Tahmin!$C$4+34)),MIN(DAY(Kalemler!$D196),DAY(EOMONTH((Tahmin!$C$4+34),0))))&lt;&gt;DATE(YEAR((Tahmin!$C$4+28)),MONTH((Tahmin!$C$4+28)),MIN(DAY(Kalemler!$D196),DAY(EOMONTH((Tahmin!$C$4+28),0)))),DATE(YEAR((Tahmin!$C$4+34)),MONTH((Tahmin!$C$4+34)),MIN(DAY(Kalemler!$D196),DAY(EOMONTH((Tahmin!$C$4+34),0))))&gt;=Kalemler!$D196)),1,0),IF(AND(Kalemler!$D196&gt;=(Tahmin!$C$4+28),Kalemler!$D196&lt;=(Tahmin!$C$4+34)),1,0))))</f>
        <v>0</v>
      </c>
      <c r="G196" s="0" t="n">
        <f aca="false">IF(OR(Kalemler!$A196="",Kalemler!$C196="",Kalemler!$D196=""),0,Kalemler!$C196*IF(Kalemler!$E196="Haftalık",IF(Kalemler!$D196&lt;=(Tahmin!$C$4+41),1,0),IF(Kalemler!$E196="Aylık",IF(OR(AND(DATE(YEAR((Tahmin!$C$4+35)),MONTH((Tahmin!$C$4+35)),MIN(DAY(Kalemler!$D196),DAY(EOMONTH((Tahmin!$C$4+35),0))))&gt;=(Tahmin!$C$4+35),DATE(YEAR((Tahmin!$C$4+35)),MONTH((Tahmin!$C$4+35)),MIN(DAY(Kalemler!$D196),DAY(EOMONTH((Tahmin!$C$4+35),0))))&lt;=(Tahmin!$C$4+41),DATE(YEAR((Tahmin!$C$4+35)),MONTH((Tahmin!$C$4+35)),MIN(DAY(Kalemler!$D196),DAY(EOMONTH((Tahmin!$C$4+35),0))))&gt;=Kalemler!$D196),AND(DATE(YEAR((Tahmin!$C$4+41)),MONTH((Tahmin!$C$4+41)),MIN(DAY(Kalemler!$D196),DAY(EOMONTH((Tahmin!$C$4+41),0))))&gt;=(Tahmin!$C$4+35),DATE(YEAR((Tahmin!$C$4+41)),MONTH((Tahmin!$C$4+41)),MIN(DAY(Kalemler!$D196),DAY(EOMONTH((Tahmin!$C$4+41),0))))&lt;=(Tahmin!$C$4+41),DATE(YEAR((Tahmin!$C$4+41)),MONTH((Tahmin!$C$4+41)),MIN(DAY(Kalemler!$D196),DAY(EOMONTH((Tahmin!$C$4+41),0))))&lt;&gt;DATE(YEAR((Tahmin!$C$4+35)),MONTH((Tahmin!$C$4+35)),MIN(DAY(Kalemler!$D196),DAY(EOMONTH((Tahmin!$C$4+35),0)))),DATE(YEAR((Tahmin!$C$4+41)),MONTH((Tahmin!$C$4+41)),MIN(DAY(Kalemler!$D196),DAY(EOMONTH((Tahmin!$C$4+41),0))))&gt;=Kalemler!$D196)),1,0),IF(AND(Kalemler!$D196&gt;=(Tahmin!$C$4+35),Kalemler!$D196&lt;=(Tahmin!$C$4+41)),1,0))))</f>
        <v>0</v>
      </c>
      <c r="H196" s="0" t="n">
        <f aca="false">IF(OR(Kalemler!$A196="",Kalemler!$C196="",Kalemler!$D196=""),0,Kalemler!$C196*IF(Kalemler!$E196="Haftalık",IF(Kalemler!$D196&lt;=(Tahmin!$C$4+48),1,0),IF(Kalemler!$E196="Aylık",IF(OR(AND(DATE(YEAR((Tahmin!$C$4+42)),MONTH((Tahmin!$C$4+42)),MIN(DAY(Kalemler!$D196),DAY(EOMONTH((Tahmin!$C$4+42),0))))&gt;=(Tahmin!$C$4+42),DATE(YEAR((Tahmin!$C$4+42)),MONTH((Tahmin!$C$4+42)),MIN(DAY(Kalemler!$D196),DAY(EOMONTH((Tahmin!$C$4+42),0))))&lt;=(Tahmin!$C$4+48),DATE(YEAR((Tahmin!$C$4+42)),MONTH((Tahmin!$C$4+42)),MIN(DAY(Kalemler!$D196),DAY(EOMONTH((Tahmin!$C$4+42),0))))&gt;=Kalemler!$D196),AND(DATE(YEAR((Tahmin!$C$4+48)),MONTH((Tahmin!$C$4+48)),MIN(DAY(Kalemler!$D196),DAY(EOMONTH((Tahmin!$C$4+48),0))))&gt;=(Tahmin!$C$4+42),DATE(YEAR((Tahmin!$C$4+48)),MONTH((Tahmin!$C$4+48)),MIN(DAY(Kalemler!$D196),DAY(EOMONTH((Tahmin!$C$4+48),0))))&lt;=(Tahmin!$C$4+48),DATE(YEAR((Tahmin!$C$4+48)),MONTH((Tahmin!$C$4+48)),MIN(DAY(Kalemler!$D196),DAY(EOMONTH((Tahmin!$C$4+48),0))))&lt;&gt;DATE(YEAR((Tahmin!$C$4+42)),MONTH((Tahmin!$C$4+42)),MIN(DAY(Kalemler!$D196),DAY(EOMONTH((Tahmin!$C$4+42),0)))),DATE(YEAR((Tahmin!$C$4+48)),MONTH((Tahmin!$C$4+48)),MIN(DAY(Kalemler!$D196),DAY(EOMONTH((Tahmin!$C$4+48),0))))&gt;=Kalemler!$D196)),1,0),IF(AND(Kalemler!$D196&gt;=(Tahmin!$C$4+42),Kalemler!$D196&lt;=(Tahmin!$C$4+48)),1,0))))</f>
        <v>0</v>
      </c>
      <c r="I196" s="0" t="n">
        <f aca="false">IF(OR(Kalemler!$A196="",Kalemler!$C196="",Kalemler!$D196=""),0,Kalemler!$C196*IF(Kalemler!$E196="Haftalık",IF(Kalemler!$D196&lt;=(Tahmin!$C$4+55),1,0),IF(Kalemler!$E196="Aylık",IF(OR(AND(DATE(YEAR((Tahmin!$C$4+49)),MONTH((Tahmin!$C$4+49)),MIN(DAY(Kalemler!$D196),DAY(EOMONTH((Tahmin!$C$4+49),0))))&gt;=(Tahmin!$C$4+49),DATE(YEAR((Tahmin!$C$4+49)),MONTH((Tahmin!$C$4+49)),MIN(DAY(Kalemler!$D196),DAY(EOMONTH((Tahmin!$C$4+49),0))))&lt;=(Tahmin!$C$4+55),DATE(YEAR((Tahmin!$C$4+49)),MONTH((Tahmin!$C$4+49)),MIN(DAY(Kalemler!$D196),DAY(EOMONTH((Tahmin!$C$4+49),0))))&gt;=Kalemler!$D196),AND(DATE(YEAR((Tahmin!$C$4+55)),MONTH((Tahmin!$C$4+55)),MIN(DAY(Kalemler!$D196),DAY(EOMONTH((Tahmin!$C$4+55),0))))&gt;=(Tahmin!$C$4+49),DATE(YEAR((Tahmin!$C$4+55)),MONTH((Tahmin!$C$4+55)),MIN(DAY(Kalemler!$D196),DAY(EOMONTH((Tahmin!$C$4+55),0))))&lt;=(Tahmin!$C$4+55),DATE(YEAR((Tahmin!$C$4+55)),MONTH((Tahmin!$C$4+55)),MIN(DAY(Kalemler!$D196),DAY(EOMONTH((Tahmin!$C$4+55),0))))&lt;&gt;DATE(YEAR((Tahmin!$C$4+49)),MONTH((Tahmin!$C$4+49)),MIN(DAY(Kalemler!$D196),DAY(EOMONTH((Tahmin!$C$4+49),0)))),DATE(YEAR((Tahmin!$C$4+55)),MONTH((Tahmin!$C$4+55)),MIN(DAY(Kalemler!$D196),DAY(EOMONTH((Tahmin!$C$4+55),0))))&gt;=Kalemler!$D196)),1,0),IF(AND(Kalemler!$D196&gt;=(Tahmin!$C$4+49),Kalemler!$D196&lt;=(Tahmin!$C$4+55)),1,0))))</f>
        <v>0</v>
      </c>
      <c r="J196" s="0" t="n">
        <f aca="false">IF(OR(Kalemler!$A196="",Kalemler!$C196="",Kalemler!$D196=""),0,Kalemler!$C196*IF(Kalemler!$E196="Haftalık",IF(Kalemler!$D196&lt;=(Tahmin!$C$4+62),1,0),IF(Kalemler!$E196="Aylık",IF(OR(AND(DATE(YEAR((Tahmin!$C$4+56)),MONTH((Tahmin!$C$4+56)),MIN(DAY(Kalemler!$D196),DAY(EOMONTH((Tahmin!$C$4+56),0))))&gt;=(Tahmin!$C$4+56),DATE(YEAR((Tahmin!$C$4+56)),MONTH((Tahmin!$C$4+56)),MIN(DAY(Kalemler!$D196),DAY(EOMONTH((Tahmin!$C$4+56),0))))&lt;=(Tahmin!$C$4+62),DATE(YEAR((Tahmin!$C$4+56)),MONTH((Tahmin!$C$4+56)),MIN(DAY(Kalemler!$D196),DAY(EOMONTH((Tahmin!$C$4+56),0))))&gt;=Kalemler!$D196),AND(DATE(YEAR((Tahmin!$C$4+62)),MONTH((Tahmin!$C$4+62)),MIN(DAY(Kalemler!$D196),DAY(EOMONTH((Tahmin!$C$4+62),0))))&gt;=(Tahmin!$C$4+56),DATE(YEAR((Tahmin!$C$4+62)),MONTH((Tahmin!$C$4+62)),MIN(DAY(Kalemler!$D196),DAY(EOMONTH((Tahmin!$C$4+62),0))))&lt;=(Tahmin!$C$4+62),DATE(YEAR((Tahmin!$C$4+62)),MONTH((Tahmin!$C$4+62)),MIN(DAY(Kalemler!$D196),DAY(EOMONTH((Tahmin!$C$4+62),0))))&lt;&gt;DATE(YEAR((Tahmin!$C$4+56)),MONTH((Tahmin!$C$4+56)),MIN(DAY(Kalemler!$D196),DAY(EOMONTH((Tahmin!$C$4+56),0)))),DATE(YEAR((Tahmin!$C$4+62)),MONTH((Tahmin!$C$4+62)),MIN(DAY(Kalemler!$D196),DAY(EOMONTH((Tahmin!$C$4+62),0))))&gt;=Kalemler!$D196)),1,0),IF(AND(Kalemler!$D196&gt;=(Tahmin!$C$4+56),Kalemler!$D196&lt;=(Tahmin!$C$4+62)),1,0))))</f>
        <v>0</v>
      </c>
      <c r="K196" s="0" t="n">
        <f aca="false">IF(OR(Kalemler!$A196="",Kalemler!$C196="",Kalemler!$D196=""),0,Kalemler!$C196*IF(Kalemler!$E196="Haftalık",IF(Kalemler!$D196&lt;=(Tahmin!$C$4+69),1,0),IF(Kalemler!$E196="Aylık",IF(OR(AND(DATE(YEAR((Tahmin!$C$4+63)),MONTH((Tahmin!$C$4+63)),MIN(DAY(Kalemler!$D196),DAY(EOMONTH((Tahmin!$C$4+63),0))))&gt;=(Tahmin!$C$4+63),DATE(YEAR((Tahmin!$C$4+63)),MONTH((Tahmin!$C$4+63)),MIN(DAY(Kalemler!$D196),DAY(EOMONTH((Tahmin!$C$4+63),0))))&lt;=(Tahmin!$C$4+69),DATE(YEAR((Tahmin!$C$4+63)),MONTH((Tahmin!$C$4+63)),MIN(DAY(Kalemler!$D196),DAY(EOMONTH((Tahmin!$C$4+63),0))))&gt;=Kalemler!$D196),AND(DATE(YEAR((Tahmin!$C$4+69)),MONTH((Tahmin!$C$4+69)),MIN(DAY(Kalemler!$D196),DAY(EOMONTH((Tahmin!$C$4+69),0))))&gt;=(Tahmin!$C$4+63),DATE(YEAR((Tahmin!$C$4+69)),MONTH((Tahmin!$C$4+69)),MIN(DAY(Kalemler!$D196),DAY(EOMONTH((Tahmin!$C$4+69),0))))&lt;=(Tahmin!$C$4+69),DATE(YEAR((Tahmin!$C$4+69)),MONTH((Tahmin!$C$4+69)),MIN(DAY(Kalemler!$D196),DAY(EOMONTH((Tahmin!$C$4+69),0))))&lt;&gt;DATE(YEAR((Tahmin!$C$4+63)),MONTH((Tahmin!$C$4+63)),MIN(DAY(Kalemler!$D196),DAY(EOMONTH((Tahmin!$C$4+63),0)))),DATE(YEAR((Tahmin!$C$4+69)),MONTH((Tahmin!$C$4+69)),MIN(DAY(Kalemler!$D196),DAY(EOMONTH((Tahmin!$C$4+69),0))))&gt;=Kalemler!$D196)),1,0),IF(AND(Kalemler!$D196&gt;=(Tahmin!$C$4+63),Kalemler!$D196&lt;=(Tahmin!$C$4+69)),1,0))))</f>
        <v>0</v>
      </c>
      <c r="L196" s="0" t="n">
        <f aca="false">IF(OR(Kalemler!$A196="",Kalemler!$C196="",Kalemler!$D196=""),0,Kalemler!$C196*IF(Kalemler!$E196="Haftalık",IF(Kalemler!$D196&lt;=(Tahmin!$C$4+76),1,0),IF(Kalemler!$E196="Aylık",IF(OR(AND(DATE(YEAR((Tahmin!$C$4+70)),MONTH((Tahmin!$C$4+70)),MIN(DAY(Kalemler!$D196),DAY(EOMONTH((Tahmin!$C$4+70),0))))&gt;=(Tahmin!$C$4+70),DATE(YEAR((Tahmin!$C$4+70)),MONTH((Tahmin!$C$4+70)),MIN(DAY(Kalemler!$D196),DAY(EOMONTH((Tahmin!$C$4+70),0))))&lt;=(Tahmin!$C$4+76),DATE(YEAR((Tahmin!$C$4+70)),MONTH((Tahmin!$C$4+70)),MIN(DAY(Kalemler!$D196),DAY(EOMONTH((Tahmin!$C$4+70),0))))&gt;=Kalemler!$D196),AND(DATE(YEAR((Tahmin!$C$4+76)),MONTH((Tahmin!$C$4+76)),MIN(DAY(Kalemler!$D196),DAY(EOMONTH((Tahmin!$C$4+76),0))))&gt;=(Tahmin!$C$4+70),DATE(YEAR((Tahmin!$C$4+76)),MONTH((Tahmin!$C$4+76)),MIN(DAY(Kalemler!$D196),DAY(EOMONTH((Tahmin!$C$4+76),0))))&lt;=(Tahmin!$C$4+76),DATE(YEAR((Tahmin!$C$4+76)),MONTH((Tahmin!$C$4+76)),MIN(DAY(Kalemler!$D196),DAY(EOMONTH((Tahmin!$C$4+76),0))))&lt;&gt;DATE(YEAR((Tahmin!$C$4+70)),MONTH((Tahmin!$C$4+70)),MIN(DAY(Kalemler!$D196),DAY(EOMONTH((Tahmin!$C$4+70),0)))),DATE(YEAR((Tahmin!$C$4+76)),MONTH((Tahmin!$C$4+76)),MIN(DAY(Kalemler!$D196),DAY(EOMONTH((Tahmin!$C$4+76),0))))&gt;=Kalemler!$D196)),1,0),IF(AND(Kalemler!$D196&gt;=(Tahmin!$C$4+70),Kalemler!$D196&lt;=(Tahmin!$C$4+76)),1,0))))</f>
        <v>0</v>
      </c>
      <c r="M196" s="0" t="n">
        <f aca="false">IF(OR(Kalemler!$A196="",Kalemler!$C196="",Kalemler!$D196=""),0,Kalemler!$C196*IF(Kalemler!$E196="Haftalık",IF(Kalemler!$D196&lt;=(Tahmin!$C$4+83),1,0),IF(Kalemler!$E196="Aylık",IF(OR(AND(DATE(YEAR((Tahmin!$C$4+77)),MONTH((Tahmin!$C$4+77)),MIN(DAY(Kalemler!$D196),DAY(EOMONTH((Tahmin!$C$4+77),0))))&gt;=(Tahmin!$C$4+77),DATE(YEAR((Tahmin!$C$4+77)),MONTH((Tahmin!$C$4+77)),MIN(DAY(Kalemler!$D196),DAY(EOMONTH((Tahmin!$C$4+77),0))))&lt;=(Tahmin!$C$4+83),DATE(YEAR((Tahmin!$C$4+77)),MONTH((Tahmin!$C$4+77)),MIN(DAY(Kalemler!$D196),DAY(EOMONTH((Tahmin!$C$4+77),0))))&gt;=Kalemler!$D196),AND(DATE(YEAR((Tahmin!$C$4+83)),MONTH((Tahmin!$C$4+83)),MIN(DAY(Kalemler!$D196),DAY(EOMONTH((Tahmin!$C$4+83),0))))&gt;=(Tahmin!$C$4+77),DATE(YEAR((Tahmin!$C$4+83)),MONTH((Tahmin!$C$4+83)),MIN(DAY(Kalemler!$D196),DAY(EOMONTH((Tahmin!$C$4+83),0))))&lt;=(Tahmin!$C$4+83),DATE(YEAR((Tahmin!$C$4+83)),MONTH((Tahmin!$C$4+83)),MIN(DAY(Kalemler!$D196),DAY(EOMONTH((Tahmin!$C$4+83),0))))&lt;&gt;DATE(YEAR((Tahmin!$C$4+77)),MONTH((Tahmin!$C$4+77)),MIN(DAY(Kalemler!$D196),DAY(EOMONTH((Tahmin!$C$4+77),0)))),DATE(YEAR((Tahmin!$C$4+83)),MONTH((Tahmin!$C$4+83)),MIN(DAY(Kalemler!$D196),DAY(EOMONTH((Tahmin!$C$4+83),0))))&gt;=Kalemler!$D196)),1,0),IF(AND(Kalemler!$D196&gt;=(Tahmin!$C$4+77),Kalemler!$D196&lt;=(Tahmin!$C$4+83)),1,0))))</f>
        <v>0</v>
      </c>
      <c r="N196" s="0" t="n">
        <f aca="false">IF(OR(Kalemler!$A196="",Kalemler!$C196="",Kalemler!$D196=""),0,Kalemler!$C196*IF(Kalemler!$E196="Haftalık",IF(Kalemler!$D196&lt;=(Tahmin!$C$4+90),1,0),IF(Kalemler!$E196="Aylık",IF(OR(AND(DATE(YEAR((Tahmin!$C$4+84)),MONTH((Tahmin!$C$4+84)),MIN(DAY(Kalemler!$D196),DAY(EOMONTH((Tahmin!$C$4+84),0))))&gt;=(Tahmin!$C$4+84),DATE(YEAR((Tahmin!$C$4+84)),MONTH((Tahmin!$C$4+84)),MIN(DAY(Kalemler!$D196),DAY(EOMONTH((Tahmin!$C$4+84),0))))&lt;=(Tahmin!$C$4+90),DATE(YEAR((Tahmin!$C$4+84)),MONTH((Tahmin!$C$4+84)),MIN(DAY(Kalemler!$D196),DAY(EOMONTH((Tahmin!$C$4+84),0))))&gt;=Kalemler!$D196),AND(DATE(YEAR((Tahmin!$C$4+90)),MONTH((Tahmin!$C$4+90)),MIN(DAY(Kalemler!$D196),DAY(EOMONTH((Tahmin!$C$4+90),0))))&gt;=(Tahmin!$C$4+84),DATE(YEAR((Tahmin!$C$4+90)),MONTH((Tahmin!$C$4+90)),MIN(DAY(Kalemler!$D196),DAY(EOMONTH((Tahmin!$C$4+90),0))))&lt;=(Tahmin!$C$4+90),DATE(YEAR((Tahmin!$C$4+90)),MONTH((Tahmin!$C$4+90)),MIN(DAY(Kalemler!$D196),DAY(EOMONTH((Tahmin!$C$4+90),0))))&lt;&gt;DATE(YEAR((Tahmin!$C$4+84)),MONTH((Tahmin!$C$4+84)),MIN(DAY(Kalemler!$D196),DAY(EOMONTH((Tahmin!$C$4+84),0)))),DATE(YEAR((Tahmin!$C$4+90)),MONTH((Tahmin!$C$4+90)),MIN(DAY(Kalemler!$D196),DAY(EOMONTH((Tahmin!$C$4+90),0))))&gt;=Kalemler!$D196)),1,0),IF(AND(Kalemler!$D196&gt;=(Tahmin!$C$4+84),Kalemler!$D196&lt;=(Tahmin!$C$4+90)),1,0))))</f>
        <v>0</v>
      </c>
    </row>
    <row r="197" customFormat="false" ht="15" hidden="false" customHeight="false" outlineLevel="0" collapsed="false">
      <c r="A197" s="0" t="str">
        <f aca="false">IF(Kalemler!A197="","",Kalemler!A197)</f>
        <v/>
      </c>
      <c r="B197" s="0" t="n">
        <f aca="false">IF(OR(Kalemler!$A197="",Kalemler!$C197="",Kalemler!$D197=""),0,Kalemler!$C197*IF(Kalemler!$E197="Haftalık",IF(Kalemler!$D197&lt;=(Tahmin!$C$4+6),1,0),IF(Kalemler!$E197="Aylık",IF(OR(AND(DATE(YEAR((Tahmin!$C$4+0)),MONTH((Tahmin!$C$4+0)),MIN(DAY(Kalemler!$D197),DAY(EOMONTH((Tahmin!$C$4+0),0))))&gt;=(Tahmin!$C$4+0),DATE(YEAR((Tahmin!$C$4+0)),MONTH((Tahmin!$C$4+0)),MIN(DAY(Kalemler!$D197),DAY(EOMONTH((Tahmin!$C$4+0),0))))&lt;=(Tahmin!$C$4+6),DATE(YEAR((Tahmin!$C$4+0)),MONTH((Tahmin!$C$4+0)),MIN(DAY(Kalemler!$D197),DAY(EOMONTH((Tahmin!$C$4+0),0))))&gt;=Kalemler!$D197),AND(DATE(YEAR((Tahmin!$C$4+6)),MONTH((Tahmin!$C$4+6)),MIN(DAY(Kalemler!$D197),DAY(EOMONTH((Tahmin!$C$4+6),0))))&gt;=(Tahmin!$C$4+0),DATE(YEAR((Tahmin!$C$4+6)),MONTH((Tahmin!$C$4+6)),MIN(DAY(Kalemler!$D197),DAY(EOMONTH((Tahmin!$C$4+6),0))))&lt;=(Tahmin!$C$4+6),DATE(YEAR((Tahmin!$C$4+6)),MONTH((Tahmin!$C$4+6)),MIN(DAY(Kalemler!$D197),DAY(EOMONTH((Tahmin!$C$4+6),0))))&lt;&gt;DATE(YEAR((Tahmin!$C$4+0)),MONTH((Tahmin!$C$4+0)),MIN(DAY(Kalemler!$D197),DAY(EOMONTH((Tahmin!$C$4+0),0)))),DATE(YEAR((Tahmin!$C$4+6)),MONTH((Tahmin!$C$4+6)),MIN(DAY(Kalemler!$D197),DAY(EOMONTH((Tahmin!$C$4+6),0))))&gt;=Kalemler!$D197)),1,0),IF(AND(Kalemler!$D197&gt;=(Tahmin!$C$4+0),Kalemler!$D197&lt;=(Tahmin!$C$4+6)),1,0))))</f>
        <v>0</v>
      </c>
      <c r="C197" s="0" t="n">
        <f aca="false">IF(OR(Kalemler!$A197="",Kalemler!$C197="",Kalemler!$D197=""),0,Kalemler!$C197*IF(Kalemler!$E197="Haftalık",IF(Kalemler!$D197&lt;=(Tahmin!$C$4+13),1,0),IF(Kalemler!$E197="Aylık",IF(OR(AND(DATE(YEAR((Tahmin!$C$4+7)),MONTH((Tahmin!$C$4+7)),MIN(DAY(Kalemler!$D197),DAY(EOMONTH((Tahmin!$C$4+7),0))))&gt;=(Tahmin!$C$4+7),DATE(YEAR((Tahmin!$C$4+7)),MONTH((Tahmin!$C$4+7)),MIN(DAY(Kalemler!$D197),DAY(EOMONTH((Tahmin!$C$4+7),0))))&lt;=(Tahmin!$C$4+13),DATE(YEAR((Tahmin!$C$4+7)),MONTH((Tahmin!$C$4+7)),MIN(DAY(Kalemler!$D197),DAY(EOMONTH((Tahmin!$C$4+7),0))))&gt;=Kalemler!$D197),AND(DATE(YEAR((Tahmin!$C$4+13)),MONTH((Tahmin!$C$4+13)),MIN(DAY(Kalemler!$D197),DAY(EOMONTH((Tahmin!$C$4+13),0))))&gt;=(Tahmin!$C$4+7),DATE(YEAR((Tahmin!$C$4+13)),MONTH((Tahmin!$C$4+13)),MIN(DAY(Kalemler!$D197),DAY(EOMONTH((Tahmin!$C$4+13),0))))&lt;=(Tahmin!$C$4+13),DATE(YEAR((Tahmin!$C$4+13)),MONTH((Tahmin!$C$4+13)),MIN(DAY(Kalemler!$D197),DAY(EOMONTH((Tahmin!$C$4+13),0))))&lt;&gt;DATE(YEAR((Tahmin!$C$4+7)),MONTH((Tahmin!$C$4+7)),MIN(DAY(Kalemler!$D197),DAY(EOMONTH((Tahmin!$C$4+7),0)))),DATE(YEAR((Tahmin!$C$4+13)),MONTH((Tahmin!$C$4+13)),MIN(DAY(Kalemler!$D197),DAY(EOMONTH((Tahmin!$C$4+13),0))))&gt;=Kalemler!$D197)),1,0),IF(AND(Kalemler!$D197&gt;=(Tahmin!$C$4+7),Kalemler!$D197&lt;=(Tahmin!$C$4+13)),1,0))))</f>
        <v>0</v>
      </c>
      <c r="D197" s="0" t="n">
        <f aca="false">IF(OR(Kalemler!$A197="",Kalemler!$C197="",Kalemler!$D197=""),0,Kalemler!$C197*IF(Kalemler!$E197="Haftalık",IF(Kalemler!$D197&lt;=(Tahmin!$C$4+20),1,0),IF(Kalemler!$E197="Aylık",IF(OR(AND(DATE(YEAR((Tahmin!$C$4+14)),MONTH((Tahmin!$C$4+14)),MIN(DAY(Kalemler!$D197),DAY(EOMONTH((Tahmin!$C$4+14),0))))&gt;=(Tahmin!$C$4+14),DATE(YEAR((Tahmin!$C$4+14)),MONTH((Tahmin!$C$4+14)),MIN(DAY(Kalemler!$D197),DAY(EOMONTH((Tahmin!$C$4+14),0))))&lt;=(Tahmin!$C$4+20),DATE(YEAR((Tahmin!$C$4+14)),MONTH((Tahmin!$C$4+14)),MIN(DAY(Kalemler!$D197),DAY(EOMONTH((Tahmin!$C$4+14),0))))&gt;=Kalemler!$D197),AND(DATE(YEAR((Tahmin!$C$4+20)),MONTH((Tahmin!$C$4+20)),MIN(DAY(Kalemler!$D197),DAY(EOMONTH((Tahmin!$C$4+20),0))))&gt;=(Tahmin!$C$4+14),DATE(YEAR((Tahmin!$C$4+20)),MONTH((Tahmin!$C$4+20)),MIN(DAY(Kalemler!$D197),DAY(EOMONTH((Tahmin!$C$4+20),0))))&lt;=(Tahmin!$C$4+20),DATE(YEAR((Tahmin!$C$4+20)),MONTH((Tahmin!$C$4+20)),MIN(DAY(Kalemler!$D197),DAY(EOMONTH((Tahmin!$C$4+20),0))))&lt;&gt;DATE(YEAR((Tahmin!$C$4+14)),MONTH((Tahmin!$C$4+14)),MIN(DAY(Kalemler!$D197),DAY(EOMONTH((Tahmin!$C$4+14),0)))),DATE(YEAR((Tahmin!$C$4+20)),MONTH((Tahmin!$C$4+20)),MIN(DAY(Kalemler!$D197),DAY(EOMONTH((Tahmin!$C$4+20),0))))&gt;=Kalemler!$D197)),1,0),IF(AND(Kalemler!$D197&gt;=(Tahmin!$C$4+14),Kalemler!$D197&lt;=(Tahmin!$C$4+20)),1,0))))</f>
        <v>0</v>
      </c>
      <c r="E197" s="0" t="n">
        <f aca="false">IF(OR(Kalemler!$A197="",Kalemler!$C197="",Kalemler!$D197=""),0,Kalemler!$C197*IF(Kalemler!$E197="Haftalık",IF(Kalemler!$D197&lt;=(Tahmin!$C$4+27),1,0),IF(Kalemler!$E197="Aylık",IF(OR(AND(DATE(YEAR((Tahmin!$C$4+21)),MONTH((Tahmin!$C$4+21)),MIN(DAY(Kalemler!$D197),DAY(EOMONTH((Tahmin!$C$4+21),0))))&gt;=(Tahmin!$C$4+21),DATE(YEAR((Tahmin!$C$4+21)),MONTH((Tahmin!$C$4+21)),MIN(DAY(Kalemler!$D197),DAY(EOMONTH((Tahmin!$C$4+21),0))))&lt;=(Tahmin!$C$4+27),DATE(YEAR((Tahmin!$C$4+21)),MONTH((Tahmin!$C$4+21)),MIN(DAY(Kalemler!$D197),DAY(EOMONTH((Tahmin!$C$4+21),0))))&gt;=Kalemler!$D197),AND(DATE(YEAR((Tahmin!$C$4+27)),MONTH((Tahmin!$C$4+27)),MIN(DAY(Kalemler!$D197),DAY(EOMONTH((Tahmin!$C$4+27),0))))&gt;=(Tahmin!$C$4+21),DATE(YEAR((Tahmin!$C$4+27)),MONTH((Tahmin!$C$4+27)),MIN(DAY(Kalemler!$D197),DAY(EOMONTH((Tahmin!$C$4+27),0))))&lt;=(Tahmin!$C$4+27),DATE(YEAR((Tahmin!$C$4+27)),MONTH((Tahmin!$C$4+27)),MIN(DAY(Kalemler!$D197),DAY(EOMONTH((Tahmin!$C$4+27),0))))&lt;&gt;DATE(YEAR((Tahmin!$C$4+21)),MONTH((Tahmin!$C$4+21)),MIN(DAY(Kalemler!$D197),DAY(EOMONTH((Tahmin!$C$4+21),0)))),DATE(YEAR((Tahmin!$C$4+27)),MONTH((Tahmin!$C$4+27)),MIN(DAY(Kalemler!$D197),DAY(EOMONTH((Tahmin!$C$4+27),0))))&gt;=Kalemler!$D197)),1,0),IF(AND(Kalemler!$D197&gt;=(Tahmin!$C$4+21),Kalemler!$D197&lt;=(Tahmin!$C$4+27)),1,0))))</f>
        <v>0</v>
      </c>
      <c r="F197" s="0" t="n">
        <f aca="false">IF(OR(Kalemler!$A197="",Kalemler!$C197="",Kalemler!$D197=""),0,Kalemler!$C197*IF(Kalemler!$E197="Haftalık",IF(Kalemler!$D197&lt;=(Tahmin!$C$4+34),1,0),IF(Kalemler!$E197="Aylık",IF(OR(AND(DATE(YEAR((Tahmin!$C$4+28)),MONTH((Tahmin!$C$4+28)),MIN(DAY(Kalemler!$D197),DAY(EOMONTH((Tahmin!$C$4+28),0))))&gt;=(Tahmin!$C$4+28),DATE(YEAR((Tahmin!$C$4+28)),MONTH((Tahmin!$C$4+28)),MIN(DAY(Kalemler!$D197),DAY(EOMONTH((Tahmin!$C$4+28),0))))&lt;=(Tahmin!$C$4+34),DATE(YEAR((Tahmin!$C$4+28)),MONTH((Tahmin!$C$4+28)),MIN(DAY(Kalemler!$D197),DAY(EOMONTH((Tahmin!$C$4+28),0))))&gt;=Kalemler!$D197),AND(DATE(YEAR((Tahmin!$C$4+34)),MONTH((Tahmin!$C$4+34)),MIN(DAY(Kalemler!$D197),DAY(EOMONTH((Tahmin!$C$4+34),0))))&gt;=(Tahmin!$C$4+28),DATE(YEAR((Tahmin!$C$4+34)),MONTH((Tahmin!$C$4+34)),MIN(DAY(Kalemler!$D197),DAY(EOMONTH((Tahmin!$C$4+34),0))))&lt;=(Tahmin!$C$4+34),DATE(YEAR((Tahmin!$C$4+34)),MONTH((Tahmin!$C$4+34)),MIN(DAY(Kalemler!$D197),DAY(EOMONTH((Tahmin!$C$4+34),0))))&lt;&gt;DATE(YEAR((Tahmin!$C$4+28)),MONTH((Tahmin!$C$4+28)),MIN(DAY(Kalemler!$D197),DAY(EOMONTH((Tahmin!$C$4+28),0)))),DATE(YEAR((Tahmin!$C$4+34)),MONTH((Tahmin!$C$4+34)),MIN(DAY(Kalemler!$D197),DAY(EOMONTH((Tahmin!$C$4+34),0))))&gt;=Kalemler!$D197)),1,0),IF(AND(Kalemler!$D197&gt;=(Tahmin!$C$4+28),Kalemler!$D197&lt;=(Tahmin!$C$4+34)),1,0))))</f>
        <v>0</v>
      </c>
      <c r="G197" s="0" t="n">
        <f aca="false">IF(OR(Kalemler!$A197="",Kalemler!$C197="",Kalemler!$D197=""),0,Kalemler!$C197*IF(Kalemler!$E197="Haftalık",IF(Kalemler!$D197&lt;=(Tahmin!$C$4+41),1,0),IF(Kalemler!$E197="Aylık",IF(OR(AND(DATE(YEAR((Tahmin!$C$4+35)),MONTH((Tahmin!$C$4+35)),MIN(DAY(Kalemler!$D197),DAY(EOMONTH((Tahmin!$C$4+35),0))))&gt;=(Tahmin!$C$4+35),DATE(YEAR((Tahmin!$C$4+35)),MONTH((Tahmin!$C$4+35)),MIN(DAY(Kalemler!$D197),DAY(EOMONTH((Tahmin!$C$4+35),0))))&lt;=(Tahmin!$C$4+41),DATE(YEAR((Tahmin!$C$4+35)),MONTH((Tahmin!$C$4+35)),MIN(DAY(Kalemler!$D197),DAY(EOMONTH((Tahmin!$C$4+35),0))))&gt;=Kalemler!$D197),AND(DATE(YEAR((Tahmin!$C$4+41)),MONTH((Tahmin!$C$4+41)),MIN(DAY(Kalemler!$D197),DAY(EOMONTH((Tahmin!$C$4+41),0))))&gt;=(Tahmin!$C$4+35),DATE(YEAR((Tahmin!$C$4+41)),MONTH((Tahmin!$C$4+41)),MIN(DAY(Kalemler!$D197),DAY(EOMONTH((Tahmin!$C$4+41),0))))&lt;=(Tahmin!$C$4+41),DATE(YEAR((Tahmin!$C$4+41)),MONTH((Tahmin!$C$4+41)),MIN(DAY(Kalemler!$D197),DAY(EOMONTH((Tahmin!$C$4+41),0))))&lt;&gt;DATE(YEAR((Tahmin!$C$4+35)),MONTH((Tahmin!$C$4+35)),MIN(DAY(Kalemler!$D197),DAY(EOMONTH((Tahmin!$C$4+35),0)))),DATE(YEAR((Tahmin!$C$4+41)),MONTH((Tahmin!$C$4+41)),MIN(DAY(Kalemler!$D197),DAY(EOMONTH((Tahmin!$C$4+41),0))))&gt;=Kalemler!$D197)),1,0),IF(AND(Kalemler!$D197&gt;=(Tahmin!$C$4+35),Kalemler!$D197&lt;=(Tahmin!$C$4+41)),1,0))))</f>
        <v>0</v>
      </c>
      <c r="H197" s="0" t="n">
        <f aca="false">IF(OR(Kalemler!$A197="",Kalemler!$C197="",Kalemler!$D197=""),0,Kalemler!$C197*IF(Kalemler!$E197="Haftalık",IF(Kalemler!$D197&lt;=(Tahmin!$C$4+48),1,0),IF(Kalemler!$E197="Aylık",IF(OR(AND(DATE(YEAR((Tahmin!$C$4+42)),MONTH((Tahmin!$C$4+42)),MIN(DAY(Kalemler!$D197),DAY(EOMONTH((Tahmin!$C$4+42),0))))&gt;=(Tahmin!$C$4+42),DATE(YEAR((Tahmin!$C$4+42)),MONTH((Tahmin!$C$4+42)),MIN(DAY(Kalemler!$D197),DAY(EOMONTH((Tahmin!$C$4+42),0))))&lt;=(Tahmin!$C$4+48),DATE(YEAR((Tahmin!$C$4+42)),MONTH((Tahmin!$C$4+42)),MIN(DAY(Kalemler!$D197),DAY(EOMONTH((Tahmin!$C$4+42),0))))&gt;=Kalemler!$D197),AND(DATE(YEAR((Tahmin!$C$4+48)),MONTH((Tahmin!$C$4+48)),MIN(DAY(Kalemler!$D197),DAY(EOMONTH((Tahmin!$C$4+48),0))))&gt;=(Tahmin!$C$4+42),DATE(YEAR((Tahmin!$C$4+48)),MONTH((Tahmin!$C$4+48)),MIN(DAY(Kalemler!$D197),DAY(EOMONTH((Tahmin!$C$4+48),0))))&lt;=(Tahmin!$C$4+48),DATE(YEAR((Tahmin!$C$4+48)),MONTH((Tahmin!$C$4+48)),MIN(DAY(Kalemler!$D197),DAY(EOMONTH((Tahmin!$C$4+48),0))))&lt;&gt;DATE(YEAR((Tahmin!$C$4+42)),MONTH((Tahmin!$C$4+42)),MIN(DAY(Kalemler!$D197),DAY(EOMONTH((Tahmin!$C$4+42),0)))),DATE(YEAR((Tahmin!$C$4+48)),MONTH((Tahmin!$C$4+48)),MIN(DAY(Kalemler!$D197),DAY(EOMONTH((Tahmin!$C$4+48),0))))&gt;=Kalemler!$D197)),1,0),IF(AND(Kalemler!$D197&gt;=(Tahmin!$C$4+42),Kalemler!$D197&lt;=(Tahmin!$C$4+48)),1,0))))</f>
        <v>0</v>
      </c>
      <c r="I197" s="0" t="n">
        <f aca="false">IF(OR(Kalemler!$A197="",Kalemler!$C197="",Kalemler!$D197=""),0,Kalemler!$C197*IF(Kalemler!$E197="Haftalık",IF(Kalemler!$D197&lt;=(Tahmin!$C$4+55),1,0),IF(Kalemler!$E197="Aylık",IF(OR(AND(DATE(YEAR((Tahmin!$C$4+49)),MONTH((Tahmin!$C$4+49)),MIN(DAY(Kalemler!$D197),DAY(EOMONTH((Tahmin!$C$4+49),0))))&gt;=(Tahmin!$C$4+49),DATE(YEAR((Tahmin!$C$4+49)),MONTH((Tahmin!$C$4+49)),MIN(DAY(Kalemler!$D197),DAY(EOMONTH((Tahmin!$C$4+49),0))))&lt;=(Tahmin!$C$4+55),DATE(YEAR((Tahmin!$C$4+49)),MONTH((Tahmin!$C$4+49)),MIN(DAY(Kalemler!$D197),DAY(EOMONTH((Tahmin!$C$4+49),0))))&gt;=Kalemler!$D197),AND(DATE(YEAR((Tahmin!$C$4+55)),MONTH((Tahmin!$C$4+55)),MIN(DAY(Kalemler!$D197),DAY(EOMONTH((Tahmin!$C$4+55),0))))&gt;=(Tahmin!$C$4+49),DATE(YEAR((Tahmin!$C$4+55)),MONTH((Tahmin!$C$4+55)),MIN(DAY(Kalemler!$D197),DAY(EOMONTH((Tahmin!$C$4+55),0))))&lt;=(Tahmin!$C$4+55),DATE(YEAR((Tahmin!$C$4+55)),MONTH((Tahmin!$C$4+55)),MIN(DAY(Kalemler!$D197),DAY(EOMONTH((Tahmin!$C$4+55),0))))&lt;&gt;DATE(YEAR((Tahmin!$C$4+49)),MONTH((Tahmin!$C$4+49)),MIN(DAY(Kalemler!$D197),DAY(EOMONTH((Tahmin!$C$4+49),0)))),DATE(YEAR((Tahmin!$C$4+55)),MONTH((Tahmin!$C$4+55)),MIN(DAY(Kalemler!$D197),DAY(EOMONTH((Tahmin!$C$4+55),0))))&gt;=Kalemler!$D197)),1,0),IF(AND(Kalemler!$D197&gt;=(Tahmin!$C$4+49),Kalemler!$D197&lt;=(Tahmin!$C$4+55)),1,0))))</f>
        <v>0</v>
      </c>
      <c r="J197" s="0" t="n">
        <f aca="false">IF(OR(Kalemler!$A197="",Kalemler!$C197="",Kalemler!$D197=""),0,Kalemler!$C197*IF(Kalemler!$E197="Haftalık",IF(Kalemler!$D197&lt;=(Tahmin!$C$4+62),1,0),IF(Kalemler!$E197="Aylık",IF(OR(AND(DATE(YEAR((Tahmin!$C$4+56)),MONTH((Tahmin!$C$4+56)),MIN(DAY(Kalemler!$D197),DAY(EOMONTH((Tahmin!$C$4+56),0))))&gt;=(Tahmin!$C$4+56),DATE(YEAR((Tahmin!$C$4+56)),MONTH((Tahmin!$C$4+56)),MIN(DAY(Kalemler!$D197),DAY(EOMONTH((Tahmin!$C$4+56),0))))&lt;=(Tahmin!$C$4+62),DATE(YEAR((Tahmin!$C$4+56)),MONTH((Tahmin!$C$4+56)),MIN(DAY(Kalemler!$D197),DAY(EOMONTH((Tahmin!$C$4+56),0))))&gt;=Kalemler!$D197),AND(DATE(YEAR((Tahmin!$C$4+62)),MONTH((Tahmin!$C$4+62)),MIN(DAY(Kalemler!$D197),DAY(EOMONTH((Tahmin!$C$4+62),0))))&gt;=(Tahmin!$C$4+56),DATE(YEAR((Tahmin!$C$4+62)),MONTH((Tahmin!$C$4+62)),MIN(DAY(Kalemler!$D197),DAY(EOMONTH((Tahmin!$C$4+62),0))))&lt;=(Tahmin!$C$4+62),DATE(YEAR((Tahmin!$C$4+62)),MONTH((Tahmin!$C$4+62)),MIN(DAY(Kalemler!$D197),DAY(EOMONTH((Tahmin!$C$4+62),0))))&lt;&gt;DATE(YEAR((Tahmin!$C$4+56)),MONTH((Tahmin!$C$4+56)),MIN(DAY(Kalemler!$D197),DAY(EOMONTH((Tahmin!$C$4+56),0)))),DATE(YEAR((Tahmin!$C$4+62)),MONTH((Tahmin!$C$4+62)),MIN(DAY(Kalemler!$D197),DAY(EOMONTH((Tahmin!$C$4+62),0))))&gt;=Kalemler!$D197)),1,0),IF(AND(Kalemler!$D197&gt;=(Tahmin!$C$4+56),Kalemler!$D197&lt;=(Tahmin!$C$4+62)),1,0))))</f>
        <v>0</v>
      </c>
      <c r="K197" s="0" t="n">
        <f aca="false">IF(OR(Kalemler!$A197="",Kalemler!$C197="",Kalemler!$D197=""),0,Kalemler!$C197*IF(Kalemler!$E197="Haftalık",IF(Kalemler!$D197&lt;=(Tahmin!$C$4+69),1,0),IF(Kalemler!$E197="Aylık",IF(OR(AND(DATE(YEAR((Tahmin!$C$4+63)),MONTH((Tahmin!$C$4+63)),MIN(DAY(Kalemler!$D197),DAY(EOMONTH((Tahmin!$C$4+63),0))))&gt;=(Tahmin!$C$4+63),DATE(YEAR((Tahmin!$C$4+63)),MONTH((Tahmin!$C$4+63)),MIN(DAY(Kalemler!$D197),DAY(EOMONTH((Tahmin!$C$4+63),0))))&lt;=(Tahmin!$C$4+69),DATE(YEAR((Tahmin!$C$4+63)),MONTH((Tahmin!$C$4+63)),MIN(DAY(Kalemler!$D197),DAY(EOMONTH((Tahmin!$C$4+63),0))))&gt;=Kalemler!$D197),AND(DATE(YEAR((Tahmin!$C$4+69)),MONTH((Tahmin!$C$4+69)),MIN(DAY(Kalemler!$D197),DAY(EOMONTH((Tahmin!$C$4+69),0))))&gt;=(Tahmin!$C$4+63),DATE(YEAR((Tahmin!$C$4+69)),MONTH((Tahmin!$C$4+69)),MIN(DAY(Kalemler!$D197),DAY(EOMONTH((Tahmin!$C$4+69),0))))&lt;=(Tahmin!$C$4+69),DATE(YEAR((Tahmin!$C$4+69)),MONTH((Tahmin!$C$4+69)),MIN(DAY(Kalemler!$D197),DAY(EOMONTH((Tahmin!$C$4+69),0))))&lt;&gt;DATE(YEAR((Tahmin!$C$4+63)),MONTH((Tahmin!$C$4+63)),MIN(DAY(Kalemler!$D197),DAY(EOMONTH((Tahmin!$C$4+63),0)))),DATE(YEAR((Tahmin!$C$4+69)),MONTH((Tahmin!$C$4+69)),MIN(DAY(Kalemler!$D197),DAY(EOMONTH((Tahmin!$C$4+69),0))))&gt;=Kalemler!$D197)),1,0),IF(AND(Kalemler!$D197&gt;=(Tahmin!$C$4+63),Kalemler!$D197&lt;=(Tahmin!$C$4+69)),1,0))))</f>
        <v>0</v>
      </c>
      <c r="L197" s="0" t="n">
        <f aca="false">IF(OR(Kalemler!$A197="",Kalemler!$C197="",Kalemler!$D197=""),0,Kalemler!$C197*IF(Kalemler!$E197="Haftalık",IF(Kalemler!$D197&lt;=(Tahmin!$C$4+76),1,0),IF(Kalemler!$E197="Aylık",IF(OR(AND(DATE(YEAR((Tahmin!$C$4+70)),MONTH((Tahmin!$C$4+70)),MIN(DAY(Kalemler!$D197),DAY(EOMONTH((Tahmin!$C$4+70),0))))&gt;=(Tahmin!$C$4+70),DATE(YEAR((Tahmin!$C$4+70)),MONTH((Tahmin!$C$4+70)),MIN(DAY(Kalemler!$D197),DAY(EOMONTH((Tahmin!$C$4+70),0))))&lt;=(Tahmin!$C$4+76),DATE(YEAR((Tahmin!$C$4+70)),MONTH((Tahmin!$C$4+70)),MIN(DAY(Kalemler!$D197),DAY(EOMONTH((Tahmin!$C$4+70),0))))&gt;=Kalemler!$D197),AND(DATE(YEAR((Tahmin!$C$4+76)),MONTH((Tahmin!$C$4+76)),MIN(DAY(Kalemler!$D197),DAY(EOMONTH((Tahmin!$C$4+76),0))))&gt;=(Tahmin!$C$4+70),DATE(YEAR((Tahmin!$C$4+76)),MONTH((Tahmin!$C$4+76)),MIN(DAY(Kalemler!$D197),DAY(EOMONTH((Tahmin!$C$4+76),0))))&lt;=(Tahmin!$C$4+76),DATE(YEAR((Tahmin!$C$4+76)),MONTH((Tahmin!$C$4+76)),MIN(DAY(Kalemler!$D197),DAY(EOMONTH((Tahmin!$C$4+76),0))))&lt;&gt;DATE(YEAR((Tahmin!$C$4+70)),MONTH((Tahmin!$C$4+70)),MIN(DAY(Kalemler!$D197),DAY(EOMONTH((Tahmin!$C$4+70),0)))),DATE(YEAR((Tahmin!$C$4+76)),MONTH((Tahmin!$C$4+76)),MIN(DAY(Kalemler!$D197),DAY(EOMONTH((Tahmin!$C$4+76),0))))&gt;=Kalemler!$D197)),1,0),IF(AND(Kalemler!$D197&gt;=(Tahmin!$C$4+70),Kalemler!$D197&lt;=(Tahmin!$C$4+76)),1,0))))</f>
        <v>0</v>
      </c>
      <c r="M197" s="0" t="n">
        <f aca="false">IF(OR(Kalemler!$A197="",Kalemler!$C197="",Kalemler!$D197=""),0,Kalemler!$C197*IF(Kalemler!$E197="Haftalık",IF(Kalemler!$D197&lt;=(Tahmin!$C$4+83),1,0),IF(Kalemler!$E197="Aylık",IF(OR(AND(DATE(YEAR((Tahmin!$C$4+77)),MONTH((Tahmin!$C$4+77)),MIN(DAY(Kalemler!$D197),DAY(EOMONTH((Tahmin!$C$4+77),0))))&gt;=(Tahmin!$C$4+77),DATE(YEAR((Tahmin!$C$4+77)),MONTH((Tahmin!$C$4+77)),MIN(DAY(Kalemler!$D197),DAY(EOMONTH((Tahmin!$C$4+77),0))))&lt;=(Tahmin!$C$4+83),DATE(YEAR((Tahmin!$C$4+77)),MONTH((Tahmin!$C$4+77)),MIN(DAY(Kalemler!$D197),DAY(EOMONTH((Tahmin!$C$4+77),0))))&gt;=Kalemler!$D197),AND(DATE(YEAR((Tahmin!$C$4+83)),MONTH((Tahmin!$C$4+83)),MIN(DAY(Kalemler!$D197),DAY(EOMONTH((Tahmin!$C$4+83),0))))&gt;=(Tahmin!$C$4+77),DATE(YEAR((Tahmin!$C$4+83)),MONTH((Tahmin!$C$4+83)),MIN(DAY(Kalemler!$D197),DAY(EOMONTH((Tahmin!$C$4+83),0))))&lt;=(Tahmin!$C$4+83),DATE(YEAR((Tahmin!$C$4+83)),MONTH((Tahmin!$C$4+83)),MIN(DAY(Kalemler!$D197),DAY(EOMONTH((Tahmin!$C$4+83),0))))&lt;&gt;DATE(YEAR((Tahmin!$C$4+77)),MONTH((Tahmin!$C$4+77)),MIN(DAY(Kalemler!$D197),DAY(EOMONTH((Tahmin!$C$4+77),0)))),DATE(YEAR((Tahmin!$C$4+83)),MONTH((Tahmin!$C$4+83)),MIN(DAY(Kalemler!$D197),DAY(EOMONTH((Tahmin!$C$4+83),0))))&gt;=Kalemler!$D197)),1,0),IF(AND(Kalemler!$D197&gt;=(Tahmin!$C$4+77),Kalemler!$D197&lt;=(Tahmin!$C$4+83)),1,0))))</f>
        <v>0</v>
      </c>
      <c r="N197" s="0" t="n">
        <f aca="false">IF(OR(Kalemler!$A197="",Kalemler!$C197="",Kalemler!$D197=""),0,Kalemler!$C197*IF(Kalemler!$E197="Haftalık",IF(Kalemler!$D197&lt;=(Tahmin!$C$4+90),1,0),IF(Kalemler!$E197="Aylık",IF(OR(AND(DATE(YEAR((Tahmin!$C$4+84)),MONTH((Tahmin!$C$4+84)),MIN(DAY(Kalemler!$D197),DAY(EOMONTH((Tahmin!$C$4+84),0))))&gt;=(Tahmin!$C$4+84),DATE(YEAR((Tahmin!$C$4+84)),MONTH((Tahmin!$C$4+84)),MIN(DAY(Kalemler!$D197),DAY(EOMONTH((Tahmin!$C$4+84),0))))&lt;=(Tahmin!$C$4+90),DATE(YEAR((Tahmin!$C$4+84)),MONTH((Tahmin!$C$4+84)),MIN(DAY(Kalemler!$D197),DAY(EOMONTH((Tahmin!$C$4+84),0))))&gt;=Kalemler!$D197),AND(DATE(YEAR((Tahmin!$C$4+90)),MONTH((Tahmin!$C$4+90)),MIN(DAY(Kalemler!$D197),DAY(EOMONTH((Tahmin!$C$4+90),0))))&gt;=(Tahmin!$C$4+84),DATE(YEAR((Tahmin!$C$4+90)),MONTH((Tahmin!$C$4+90)),MIN(DAY(Kalemler!$D197),DAY(EOMONTH((Tahmin!$C$4+90),0))))&lt;=(Tahmin!$C$4+90),DATE(YEAR((Tahmin!$C$4+90)),MONTH((Tahmin!$C$4+90)),MIN(DAY(Kalemler!$D197),DAY(EOMONTH((Tahmin!$C$4+90),0))))&lt;&gt;DATE(YEAR((Tahmin!$C$4+84)),MONTH((Tahmin!$C$4+84)),MIN(DAY(Kalemler!$D197),DAY(EOMONTH((Tahmin!$C$4+84),0)))),DATE(YEAR((Tahmin!$C$4+90)),MONTH((Tahmin!$C$4+90)),MIN(DAY(Kalemler!$D197),DAY(EOMONTH((Tahmin!$C$4+90),0))))&gt;=Kalemler!$D197)),1,0),IF(AND(Kalemler!$D197&gt;=(Tahmin!$C$4+84),Kalemler!$D197&lt;=(Tahmin!$C$4+90)),1,0))))</f>
        <v>0</v>
      </c>
    </row>
    <row r="198" customFormat="false" ht="15" hidden="false" customHeight="false" outlineLevel="0" collapsed="false">
      <c r="A198" s="0" t="str">
        <f aca="false">IF(Kalemler!A198="","",Kalemler!A198)</f>
        <v/>
      </c>
      <c r="B198" s="0" t="n">
        <f aca="false">IF(OR(Kalemler!$A198="",Kalemler!$C198="",Kalemler!$D198=""),0,Kalemler!$C198*IF(Kalemler!$E198="Haftalık",IF(Kalemler!$D198&lt;=(Tahmin!$C$4+6),1,0),IF(Kalemler!$E198="Aylık",IF(OR(AND(DATE(YEAR((Tahmin!$C$4+0)),MONTH((Tahmin!$C$4+0)),MIN(DAY(Kalemler!$D198),DAY(EOMONTH((Tahmin!$C$4+0),0))))&gt;=(Tahmin!$C$4+0),DATE(YEAR((Tahmin!$C$4+0)),MONTH((Tahmin!$C$4+0)),MIN(DAY(Kalemler!$D198),DAY(EOMONTH((Tahmin!$C$4+0),0))))&lt;=(Tahmin!$C$4+6),DATE(YEAR((Tahmin!$C$4+0)),MONTH((Tahmin!$C$4+0)),MIN(DAY(Kalemler!$D198),DAY(EOMONTH((Tahmin!$C$4+0),0))))&gt;=Kalemler!$D198),AND(DATE(YEAR((Tahmin!$C$4+6)),MONTH((Tahmin!$C$4+6)),MIN(DAY(Kalemler!$D198),DAY(EOMONTH((Tahmin!$C$4+6),0))))&gt;=(Tahmin!$C$4+0),DATE(YEAR((Tahmin!$C$4+6)),MONTH((Tahmin!$C$4+6)),MIN(DAY(Kalemler!$D198),DAY(EOMONTH((Tahmin!$C$4+6),0))))&lt;=(Tahmin!$C$4+6),DATE(YEAR((Tahmin!$C$4+6)),MONTH((Tahmin!$C$4+6)),MIN(DAY(Kalemler!$D198),DAY(EOMONTH((Tahmin!$C$4+6),0))))&lt;&gt;DATE(YEAR((Tahmin!$C$4+0)),MONTH((Tahmin!$C$4+0)),MIN(DAY(Kalemler!$D198),DAY(EOMONTH((Tahmin!$C$4+0),0)))),DATE(YEAR((Tahmin!$C$4+6)),MONTH((Tahmin!$C$4+6)),MIN(DAY(Kalemler!$D198),DAY(EOMONTH((Tahmin!$C$4+6),0))))&gt;=Kalemler!$D198)),1,0),IF(AND(Kalemler!$D198&gt;=(Tahmin!$C$4+0),Kalemler!$D198&lt;=(Tahmin!$C$4+6)),1,0))))</f>
        <v>0</v>
      </c>
      <c r="C198" s="0" t="n">
        <f aca="false">IF(OR(Kalemler!$A198="",Kalemler!$C198="",Kalemler!$D198=""),0,Kalemler!$C198*IF(Kalemler!$E198="Haftalık",IF(Kalemler!$D198&lt;=(Tahmin!$C$4+13),1,0),IF(Kalemler!$E198="Aylık",IF(OR(AND(DATE(YEAR((Tahmin!$C$4+7)),MONTH((Tahmin!$C$4+7)),MIN(DAY(Kalemler!$D198),DAY(EOMONTH((Tahmin!$C$4+7),0))))&gt;=(Tahmin!$C$4+7),DATE(YEAR((Tahmin!$C$4+7)),MONTH((Tahmin!$C$4+7)),MIN(DAY(Kalemler!$D198),DAY(EOMONTH((Tahmin!$C$4+7),0))))&lt;=(Tahmin!$C$4+13),DATE(YEAR((Tahmin!$C$4+7)),MONTH((Tahmin!$C$4+7)),MIN(DAY(Kalemler!$D198),DAY(EOMONTH((Tahmin!$C$4+7),0))))&gt;=Kalemler!$D198),AND(DATE(YEAR((Tahmin!$C$4+13)),MONTH((Tahmin!$C$4+13)),MIN(DAY(Kalemler!$D198),DAY(EOMONTH((Tahmin!$C$4+13),0))))&gt;=(Tahmin!$C$4+7),DATE(YEAR((Tahmin!$C$4+13)),MONTH((Tahmin!$C$4+13)),MIN(DAY(Kalemler!$D198),DAY(EOMONTH((Tahmin!$C$4+13),0))))&lt;=(Tahmin!$C$4+13),DATE(YEAR((Tahmin!$C$4+13)),MONTH((Tahmin!$C$4+13)),MIN(DAY(Kalemler!$D198),DAY(EOMONTH((Tahmin!$C$4+13),0))))&lt;&gt;DATE(YEAR((Tahmin!$C$4+7)),MONTH((Tahmin!$C$4+7)),MIN(DAY(Kalemler!$D198),DAY(EOMONTH((Tahmin!$C$4+7),0)))),DATE(YEAR((Tahmin!$C$4+13)),MONTH((Tahmin!$C$4+13)),MIN(DAY(Kalemler!$D198),DAY(EOMONTH((Tahmin!$C$4+13),0))))&gt;=Kalemler!$D198)),1,0),IF(AND(Kalemler!$D198&gt;=(Tahmin!$C$4+7),Kalemler!$D198&lt;=(Tahmin!$C$4+13)),1,0))))</f>
        <v>0</v>
      </c>
      <c r="D198" s="0" t="n">
        <f aca="false">IF(OR(Kalemler!$A198="",Kalemler!$C198="",Kalemler!$D198=""),0,Kalemler!$C198*IF(Kalemler!$E198="Haftalık",IF(Kalemler!$D198&lt;=(Tahmin!$C$4+20),1,0),IF(Kalemler!$E198="Aylık",IF(OR(AND(DATE(YEAR((Tahmin!$C$4+14)),MONTH((Tahmin!$C$4+14)),MIN(DAY(Kalemler!$D198),DAY(EOMONTH((Tahmin!$C$4+14),0))))&gt;=(Tahmin!$C$4+14),DATE(YEAR((Tahmin!$C$4+14)),MONTH((Tahmin!$C$4+14)),MIN(DAY(Kalemler!$D198),DAY(EOMONTH((Tahmin!$C$4+14),0))))&lt;=(Tahmin!$C$4+20),DATE(YEAR((Tahmin!$C$4+14)),MONTH((Tahmin!$C$4+14)),MIN(DAY(Kalemler!$D198),DAY(EOMONTH((Tahmin!$C$4+14),0))))&gt;=Kalemler!$D198),AND(DATE(YEAR((Tahmin!$C$4+20)),MONTH((Tahmin!$C$4+20)),MIN(DAY(Kalemler!$D198),DAY(EOMONTH((Tahmin!$C$4+20),0))))&gt;=(Tahmin!$C$4+14),DATE(YEAR((Tahmin!$C$4+20)),MONTH((Tahmin!$C$4+20)),MIN(DAY(Kalemler!$D198),DAY(EOMONTH((Tahmin!$C$4+20),0))))&lt;=(Tahmin!$C$4+20),DATE(YEAR((Tahmin!$C$4+20)),MONTH((Tahmin!$C$4+20)),MIN(DAY(Kalemler!$D198),DAY(EOMONTH((Tahmin!$C$4+20),0))))&lt;&gt;DATE(YEAR((Tahmin!$C$4+14)),MONTH((Tahmin!$C$4+14)),MIN(DAY(Kalemler!$D198),DAY(EOMONTH((Tahmin!$C$4+14),0)))),DATE(YEAR((Tahmin!$C$4+20)),MONTH((Tahmin!$C$4+20)),MIN(DAY(Kalemler!$D198),DAY(EOMONTH((Tahmin!$C$4+20),0))))&gt;=Kalemler!$D198)),1,0),IF(AND(Kalemler!$D198&gt;=(Tahmin!$C$4+14),Kalemler!$D198&lt;=(Tahmin!$C$4+20)),1,0))))</f>
        <v>0</v>
      </c>
      <c r="E198" s="0" t="n">
        <f aca="false">IF(OR(Kalemler!$A198="",Kalemler!$C198="",Kalemler!$D198=""),0,Kalemler!$C198*IF(Kalemler!$E198="Haftalık",IF(Kalemler!$D198&lt;=(Tahmin!$C$4+27),1,0),IF(Kalemler!$E198="Aylık",IF(OR(AND(DATE(YEAR((Tahmin!$C$4+21)),MONTH((Tahmin!$C$4+21)),MIN(DAY(Kalemler!$D198),DAY(EOMONTH((Tahmin!$C$4+21),0))))&gt;=(Tahmin!$C$4+21),DATE(YEAR((Tahmin!$C$4+21)),MONTH((Tahmin!$C$4+21)),MIN(DAY(Kalemler!$D198),DAY(EOMONTH((Tahmin!$C$4+21),0))))&lt;=(Tahmin!$C$4+27),DATE(YEAR((Tahmin!$C$4+21)),MONTH((Tahmin!$C$4+21)),MIN(DAY(Kalemler!$D198),DAY(EOMONTH((Tahmin!$C$4+21),0))))&gt;=Kalemler!$D198),AND(DATE(YEAR((Tahmin!$C$4+27)),MONTH((Tahmin!$C$4+27)),MIN(DAY(Kalemler!$D198),DAY(EOMONTH((Tahmin!$C$4+27),0))))&gt;=(Tahmin!$C$4+21),DATE(YEAR((Tahmin!$C$4+27)),MONTH((Tahmin!$C$4+27)),MIN(DAY(Kalemler!$D198),DAY(EOMONTH((Tahmin!$C$4+27),0))))&lt;=(Tahmin!$C$4+27),DATE(YEAR((Tahmin!$C$4+27)),MONTH((Tahmin!$C$4+27)),MIN(DAY(Kalemler!$D198),DAY(EOMONTH((Tahmin!$C$4+27),0))))&lt;&gt;DATE(YEAR((Tahmin!$C$4+21)),MONTH((Tahmin!$C$4+21)),MIN(DAY(Kalemler!$D198),DAY(EOMONTH((Tahmin!$C$4+21),0)))),DATE(YEAR((Tahmin!$C$4+27)),MONTH((Tahmin!$C$4+27)),MIN(DAY(Kalemler!$D198),DAY(EOMONTH((Tahmin!$C$4+27),0))))&gt;=Kalemler!$D198)),1,0),IF(AND(Kalemler!$D198&gt;=(Tahmin!$C$4+21),Kalemler!$D198&lt;=(Tahmin!$C$4+27)),1,0))))</f>
        <v>0</v>
      </c>
      <c r="F198" s="0" t="n">
        <f aca="false">IF(OR(Kalemler!$A198="",Kalemler!$C198="",Kalemler!$D198=""),0,Kalemler!$C198*IF(Kalemler!$E198="Haftalık",IF(Kalemler!$D198&lt;=(Tahmin!$C$4+34),1,0),IF(Kalemler!$E198="Aylık",IF(OR(AND(DATE(YEAR((Tahmin!$C$4+28)),MONTH((Tahmin!$C$4+28)),MIN(DAY(Kalemler!$D198),DAY(EOMONTH((Tahmin!$C$4+28),0))))&gt;=(Tahmin!$C$4+28),DATE(YEAR((Tahmin!$C$4+28)),MONTH((Tahmin!$C$4+28)),MIN(DAY(Kalemler!$D198),DAY(EOMONTH((Tahmin!$C$4+28),0))))&lt;=(Tahmin!$C$4+34),DATE(YEAR((Tahmin!$C$4+28)),MONTH((Tahmin!$C$4+28)),MIN(DAY(Kalemler!$D198),DAY(EOMONTH((Tahmin!$C$4+28),0))))&gt;=Kalemler!$D198),AND(DATE(YEAR((Tahmin!$C$4+34)),MONTH((Tahmin!$C$4+34)),MIN(DAY(Kalemler!$D198),DAY(EOMONTH((Tahmin!$C$4+34),0))))&gt;=(Tahmin!$C$4+28),DATE(YEAR((Tahmin!$C$4+34)),MONTH((Tahmin!$C$4+34)),MIN(DAY(Kalemler!$D198),DAY(EOMONTH((Tahmin!$C$4+34),0))))&lt;=(Tahmin!$C$4+34),DATE(YEAR((Tahmin!$C$4+34)),MONTH((Tahmin!$C$4+34)),MIN(DAY(Kalemler!$D198),DAY(EOMONTH((Tahmin!$C$4+34),0))))&lt;&gt;DATE(YEAR((Tahmin!$C$4+28)),MONTH((Tahmin!$C$4+28)),MIN(DAY(Kalemler!$D198),DAY(EOMONTH((Tahmin!$C$4+28),0)))),DATE(YEAR((Tahmin!$C$4+34)),MONTH((Tahmin!$C$4+34)),MIN(DAY(Kalemler!$D198),DAY(EOMONTH((Tahmin!$C$4+34),0))))&gt;=Kalemler!$D198)),1,0),IF(AND(Kalemler!$D198&gt;=(Tahmin!$C$4+28),Kalemler!$D198&lt;=(Tahmin!$C$4+34)),1,0))))</f>
        <v>0</v>
      </c>
      <c r="G198" s="0" t="n">
        <f aca="false">IF(OR(Kalemler!$A198="",Kalemler!$C198="",Kalemler!$D198=""),0,Kalemler!$C198*IF(Kalemler!$E198="Haftalık",IF(Kalemler!$D198&lt;=(Tahmin!$C$4+41),1,0),IF(Kalemler!$E198="Aylık",IF(OR(AND(DATE(YEAR((Tahmin!$C$4+35)),MONTH((Tahmin!$C$4+35)),MIN(DAY(Kalemler!$D198),DAY(EOMONTH((Tahmin!$C$4+35),0))))&gt;=(Tahmin!$C$4+35),DATE(YEAR((Tahmin!$C$4+35)),MONTH((Tahmin!$C$4+35)),MIN(DAY(Kalemler!$D198),DAY(EOMONTH((Tahmin!$C$4+35),0))))&lt;=(Tahmin!$C$4+41),DATE(YEAR((Tahmin!$C$4+35)),MONTH((Tahmin!$C$4+35)),MIN(DAY(Kalemler!$D198),DAY(EOMONTH((Tahmin!$C$4+35),0))))&gt;=Kalemler!$D198),AND(DATE(YEAR((Tahmin!$C$4+41)),MONTH((Tahmin!$C$4+41)),MIN(DAY(Kalemler!$D198),DAY(EOMONTH((Tahmin!$C$4+41),0))))&gt;=(Tahmin!$C$4+35),DATE(YEAR((Tahmin!$C$4+41)),MONTH((Tahmin!$C$4+41)),MIN(DAY(Kalemler!$D198),DAY(EOMONTH((Tahmin!$C$4+41),0))))&lt;=(Tahmin!$C$4+41),DATE(YEAR((Tahmin!$C$4+41)),MONTH((Tahmin!$C$4+41)),MIN(DAY(Kalemler!$D198),DAY(EOMONTH((Tahmin!$C$4+41),0))))&lt;&gt;DATE(YEAR((Tahmin!$C$4+35)),MONTH((Tahmin!$C$4+35)),MIN(DAY(Kalemler!$D198),DAY(EOMONTH((Tahmin!$C$4+35),0)))),DATE(YEAR((Tahmin!$C$4+41)),MONTH((Tahmin!$C$4+41)),MIN(DAY(Kalemler!$D198),DAY(EOMONTH((Tahmin!$C$4+41),0))))&gt;=Kalemler!$D198)),1,0),IF(AND(Kalemler!$D198&gt;=(Tahmin!$C$4+35),Kalemler!$D198&lt;=(Tahmin!$C$4+41)),1,0))))</f>
        <v>0</v>
      </c>
      <c r="H198" s="0" t="n">
        <f aca="false">IF(OR(Kalemler!$A198="",Kalemler!$C198="",Kalemler!$D198=""),0,Kalemler!$C198*IF(Kalemler!$E198="Haftalık",IF(Kalemler!$D198&lt;=(Tahmin!$C$4+48),1,0),IF(Kalemler!$E198="Aylık",IF(OR(AND(DATE(YEAR((Tahmin!$C$4+42)),MONTH((Tahmin!$C$4+42)),MIN(DAY(Kalemler!$D198),DAY(EOMONTH((Tahmin!$C$4+42),0))))&gt;=(Tahmin!$C$4+42),DATE(YEAR((Tahmin!$C$4+42)),MONTH((Tahmin!$C$4+42)),MIN(DAY(Kalemler!$D198),DAY(EOMONTH((Tahmin!$C$4+42),0))))&lt;=(Tahmin!$C$4+48),DATE(YEAR((Tahmin!$C$4+42)),MONTH((Tahmin!$C$4+42)),MIN(DAY(Kalemler!$D198),DAY(EOMONTH((Tahmin!$C$4+42),0))))&gt;=Kalemler!$D198),AND(DATE(YEAR((Tahmin!$C$4+48)),MONTH((Tahmin!$C$4+48)),MIN(DAY(Kalemler!$D198),DAY(EOMONTH((Tahmin!$C$4+48),0))))&gt;=(Tahmin!$C$4+42),DATE(YEAR((Tahmin!$C$4+48)),MONTH((Tahmin!$C$4+48)),MIN(DAY(Kalemler!$D198),DAY(EOMONTH((Tahmin!$C$4+48),0))))&lt;=(Tahmin!$C$4+48),DATE(YEAR((Tahmin!$C$4+48)),MONTH((Tahmin!$C$4+48)),MIN(DAY(Kalemler!$D198),DAY(EOMONTH((Tahmin!$C$4+48),0))))&lt;&gt;DATE(YEAR((Tahmin!$C$4+42)),MONTH((Tahmin!$C$4+42)),MIN(DAY(Kalemler!$D198),DAY(EOMONTH((Tahmin!$C$4+42),0)))),DATE(YEAR((Tahmin!$C$4+48)),MONTH((Tahmin!$C$4+48)),MIN(DAY(Kalemler!$D198),DAY(EOMONTH((Tahmin!$C$4+48),0))))&gt;=Kalemler!$D198)),1,0),IF(AND(Kalemler!$D198&gt;=(Tahmin!$C$4+42),Kalemler!$D198&lt;=(Tahmin!$C$4+48)),1,0))))</f>
        <v>0</v>
      </c>
      <c r="I198" s="0" t="n">
        <f aca="false">IF(OR(Kalemler!$A198="",Kalemler!$C198="",Kalemler!$D198=""),0,Kalemler!$C198*IF(Kalemler!$E198="Haftalık",IF(Kalemler!$D198&lt;=(Tahmin!$C$4+55),1,0),IF(Kalemler!$E198="Aylık",IF(OR(AND(DATE(YEAR((Tahmin!$C$4+49)),MONTH((Tahmin!$C$4+49)),MIN(DAY(Kalemler!$D198),DAY(EOMONTH((Tahmin!$C$4+49),0))))&gt;=(Tahmin!$C$4+49),DATE(YEAR((Tahmin!$C$4+49)),MONTH((Tahmin!$C$4+49)),MIN(DAY(Kalemler!$D198),DAY(EOMONTH((Tahmin!$C$4+49),0))))&lt;=(Tahmin!$C$4+55),DATE(YEAR((Tahmin!$C$4+49)),MONTH((Tahmin!$C$4+49)),MIN(DAY(Kalemler!$D198),DAY(EOMONTH((Tahmin!$C$4+49),0))))&gt;=Kalemler!$D198),AND(DATE(YEAR((Tahmin!$C$4+55)),MONTH((Tahmin!$C$4+55)),MIN(DAY(Kalemler!$D198),DAY(EOMONTH((Tahmin!$C$4+55),0))))&gt;=(Tahmin!$C$4+49),DATE(YEAR((Tahmin!$C$4+55)),MONTH((Tahmin!$C$4+55)),MIN(DAY(Kalemler!$D198),DAY(EOMONTH((Tahmin!$C$4+55),0))))&lt;=(Tahmin!$C$4+55),DATE(YEAR((Tahmin!$C$4+55)),MONTH((Tahmin!$C$4+55)),MIN(DAY(Kalemler!$D198),DAY(EOMONTH((Tahmin!$C$4+55),0))))&lt;&gt;DATE(YEAR((Tahmin!$C$4+49)),MONTH((Tahmin!$C$4+49)),MIN(DAY(Kalemler!$D198),DAY(EOMONTH((Tahmin!$C$4+49),0)))),DATE(YEAR((Tahmin!$C$4+55)),MONTH((Tahmin!$C$4+55)),MIN(DAY(Kalemler!$D198),DAY(EOMONTH((Tahmin!$C$4+55),0))))&gt;=Kalemler!$D198)),1,0),IF(AND(Kalemler!$D198&gt;=(Tahmin!$C$4+49),Kalemler!$D198&lt;=(Tahmin!$C$4+55)),1,0))))</f>
        <v>0</v>
      </c>
      <c r="J198" s="0" t="n">
        <f aca="false">IF(OR(Kalemler!$A198="",Kalemler!$C198="",Kalemler!$D198=""),0,Kalemler!$C198*IF(Kalemler!$E198="Haftalık",IF(Kalemler!$D198&lt;=(Tahmin!$C$4+62),1,0),IF(Kalemler!$E198="Aylık",IF(OR(AND(DATE(YEAR((Tahmin!$C$4+56)),MONTH((Tahmin!$C$4+56)),MIN(DAY(Kalemler!$D198),DAY(EOMONTH((Tahmin!$C$4+56),0))))&gt;=(Tahmin!$C$4+56),DATE(YEAR((Tahmin!$C$4+56)),MONTH((Tahmin!$C$4+56)),MIN(DAY(Kalemler!$D198),DAY(EOMONTH((Tahmin!$C$4+56),0))))&lt;=(Tahmin!$C$4+62),DATE(YEAR((Tahmin!$C$4+56)),MONTH((Tahmin!$C$4+56)),MIN(DAY(Kalemler!$D198),DAY(EOMONTH((Tahmin!$C$4+56),0))))&gt;=Kalemler!$D198),AND(DATE(YEAR((Tahmin!$C$4+62)),MONTH((Tahmin!$C$4+62)),MIN(DAY(Kalemler!$D198),DAY(EOMONTH((Tahmin!$C$4+62),0))))&gt;=(Tahmin!$C$4+56),DATE(YEAR((Tahmin!$C$4+62)),MONTH((Tahmin!$C$4+62)),MIN(DAY(Kalemler!$D198),DAY(EOMONTH((Tahmin!$C$4+62),0))))&lt;=(Tahmin!$C$4+62),DATE(YEAR((Tahmin!$C$4+62)),MONTH((Tahmin!$C$4+62)),MIN(DAY(Kalemler!$D198),DAY(EOMONTH((Tahmin!$C$4+62),0))))&lt;&gt;DATE(YEAR((Tahmin!$C$4+56)),MONTH((Tahmin!$C$4+56)),MIN(DAY(Kalemler!$D198),DAY(EOMONTH((Tahmin!$C$4+56),0)))),DATE(YEAR((Tahmin!$C$4+62)),MONTH((Tahmin!$C$4+62)),MIN(DAY(Kalemler!$D198),DAY(EOMONTH((Tahmin!$C$4+62),0))))&gt;=Kalemler!$D198)),1,0),IF(AND(Kalemler!$D198&gt;=(Tahmin!$C$4+56),Kalemler!$D198&lt;=(Tahmin!$C$4+62)),1,0))))</f>
        <v>0</v>
      </c>
      <c r="K198" s="0" t="n">
        <f aca="false">IF(OR(Kalemler!$A198="",Kalemler!$C198="",Kalemler!$D198=""),0,Kalemler!$C198*IF(Kalemler!$E198="Haftalık",IF(Kalemler!$D198&lt;=(Tahmin!$C$4+69),1,0),IF(Kalemler!$E198="Aylık",IF(OR(AND(DATE(YEAR((Tahmin!$C$4+63)),MONTH((Tahmin!$C$4+63)),MIN(DAY(Kalemler!$D198),DAY(EOMONTH((Tahmin!$C$4+63),0))))&gt;=(Tahmin!$C$4+63),DATE(YEAR((Tahmin!$C$4+63)),MONTH((Tahmin!$C$4+63)),MIN(DAY(Kalemler!$D198),DAY(EOMONTH((Tahmin!$C$4+63),0))))&lt;=(Tahmin!$C$4+69),DATE(YEAR((Tahmin!$C$4+63)),MONTH((Tahmin!$C$4+63)),MIN(DAY(Kalemler!$D198),DAY(EOMONTH((Tahmin!$C$4+63),0))))&gt;=Kalemler!$D198),AND(DATE(YEAR((Tahmin!$C$4+69)),MONTH((Tahmin!$C$4+69)),MIN(DAY(Kalemler!$D198),DAY(EOMONTH((Tahmin!$C$4+69),0))))&gt;=(Tahmin!$C$4+63),DATE(YEAR((Tahmin!$C$4+69)),MONTH((Tahmin!$C$4+69)),MIN(DAY(Kalemler!$D198),DAY(EOMONTH((Tahmin!$C$4+69),0))))&lt;=(Tahmin!$C$4+69),DATE(YEAR((Tahmin!$C$4+69)),MONTH((Tahmin!$C$4+69)),MIN(DAY(Kalemler!$D198),DAY(EOMONTH((Tahmin!$C$4+69),0))))&lt;&gt;DATE(YEAR((Tahmin!$C$4+63)),MONTH((Tahmin!$C$4+63)),MIN(DAY(Kalemler!$D198),DAY(EOMONTH((Tahmin!$C$4+63),0)))),DATE(YEAR((Tahmin!$C$4+69)),MONTH((Tahmin!$C$4+69)),MIN(DAY(Kalemler!$D198),DAY(EOMONTH((Tahmin!$C$4+69),0))))&gt;=Kalemler!$D198)),1,0),IF(AND(Kalemler!$D198&gt;=(Tahmin!$C$4+63),Kalemler!$D198&lt;=(Tahmin!$C$4+69)),1,0))))</f>
        <v>0</v>
      </c>
      <c r="L198" s="0" t="n">
        <f aca="false">IF(OR(Kalemler!$A198="",Kalemler!$C198="",Kalemler!$D198=""),0,Kalemler!$C198*IF(Kalemler!$E198="Haftalık",IF(Kalemler!$D198&lt;=(Tahmin!$C$4+76),1,0),IF(Kalemler!$E198="Aylık",IF(OR(AND(DATE(YEAR((Tahmin!$C$4+70)),MONTH((Tahmin!$C$4+70)),MIN(DAY(Kalemler!$D198),DAY(EOMONTH((Tahmin!$C$4+70),0))))&gt;=(Tahmin!$C$4+70),DATE(YEAR((Tahmin!$C$4+70)),MONTH((Tahmin!$C$4+70)),MIN(DAY(Kalemler!$D198),DAY(EOMONTH((Tahmin!$C$4+70),0))))&lt;=(Tahmin!$C$4+76),DATE(YEAR((Tahmin!$C$4+70)),MONTH((Tahmin!$C$4+70)),MIN(DAY(Kalemler!$D198),DAY(EOMONTH((Tahmin!$C$4+70),0))))&gt;=Kalemler!$D198),AND(DATE(YEAR((Tahmin!$C$4+76)),MONTH((Tahmin!$C$4+76)),MIN(DAY(Kalemler!$D198),DAY(EOMONTH((Tahmin!$C$4+76),0))))&gt;=(Tahmin!$C$4+70),DATE(YEAR((Tahmin!$C$4+76)),MONTH((Tahmin!$C$4+76)),MIN(DAY(Kalemler!$D198),DAY(EOMONTH((Tahmin!$C$4+76),0))))&lt;=(Tahmin!$C$4+76),DATE(YEAR((Tahmin!$C$4+76)),MONTH((Tahmin!$C$4+76)),MIN(DAY(Kalemler!$D198),DAY(EOMONTH((Tahmin!$C$4+76),0))))&lt;&gt;DATE(YEAR((Tahmin!$C$4+70)),MONTH((Tahmin!$C$4+70)),MIN(DAY(Kalemler!$D198),DAY(EOMONTH((Tahmin!$C$4+70),0)))),DATE(YEAR((Tahmin!$C$4+76)),MONTH((Tahmin!$C$4+76)),MIN(DAY(Kalemler!$D198),DAY(EOMONTH((Tahmin!$C$4+76),0))))&gt;=Kalemler!$D198)),1,0),IF(AND(Kalemler!$D198&gt;=(Tahmin!$C$4+70),Kalemler!$D198&lt;=(Tahmin!$C$4+76)),1,0))))</f>
        <v>0</v>
      </c>
      <c r="M198" s="0" t="n">
        <f aca="false">IF(OR(Kalemler!$A198="",Kalemler!$C198="",Kalemler!$D198=""),0,Kalemler!$C198*IF(Kalemler!$E198="Haftalık",IF(Kalemler!$D198&lt;=(Tahmin!$C$4+83),1,0),IF(Kalemler!$E198="Aylık",IF(OR(AND(DATE(YEAR((Tahmin!$C$4+77)),MONTH((Tahmin!$C$4+77)),MIN(DAY(Kalemler!$D198),DAY(EOMONTH((Tahmin!$C$4+77),0))))&gt;=(Tahmin!$C$4+77),DATE(YEAR((Tahmin!$C$4+77)),MONTH((Tahmin!$C$4+77)),MIN(DAY(Kalemler!$D198),DAY(EOMONTH((Tahmin!$C$4+77),0))))&lt;=(Tahmin!$C$4+83),DATE(YEAR((Tahmin!$C$4+77)),MONTH((Tahmin!$C$4+77)),MIN(DAY(Kalemler!$D198),DAY(EOMONTH((Tahmin!$C$4+77),0))))&gt;=Kalemler!$D198),AND(DATE(YEAR((Tahmin!$C$4+83)),MONTH((Tahmin!$C$4+83)),MIN(DAY(Kalemler!$D198),DAY(EOMONTH((Tahmin!$C$4+83),0))))&gt;=(Tahmin!$C$4+77),DATE(YEAR((Tahmin!$C$4+83)),MONTH((Tahmin!$C$4+83)),MIN(DAY(Kalemler!$D198),DAY(EOMONTH((Tahmin!$C$4+83),0))))&lt;=(Tahmin!$C$4+83),DATE(YEAR((Tahmin!$C$4+83)),MONTH((Tahmin!$C$4+83)),MIN(DAY(Kalemler!$D198),DAY(EOMONTH((Tahmin!$C$4+83),0))))&lt;&gt;DATE(YEAR((Tahmin!$C$4+77)),MONTH((Tahmin!$C$4+77)),MIN(DAY(Kalemler!$D198),DAY(EOMONTH((Tahmin!$C$4+77),0)))),DATE(YEAR((Tahmin!$C$4+83)),MONTH((Tahmin!$C$4+83)),MIN(DAY(Kalemler!$D198),DAY(EOMONTH((Tahmin!$C$4+83),0))))&gt;=Kalemler!$D198)),1,0),IF(AND(Kalemler!$D198&gt;=(Tahmin!$C$4+77),Kalemler!$D198&lt;=(Tahmin!$C$4+83)),1,0))))</f>
        <v>0</v>
      </c>
      <c r="N198" s="0" t="n">
        <f aca="false">IF(OR(Kalemler!$A198="",Kalemler!$C198="",Kalemler!$D198=""),0,Kalemler!$C198*IF(Kalemler!$E198="Haftalık",IF(Kalemler!$D198&lt;=(Tahmin!$C$4+90),1,0),IF(Kalemler!$E198="Aylık",IF(OR(AND(DATE(YEAR((Tahmin!$C$4+84)),MONTH((Tahmin!$C$4+84)),MIN(DAY(Kalemler!$D198),DAY(EOMONTH((Tahmin!$C$4+84),0))))&gt;=(Tahmin!$C$4+84),DATE(YEAR((Tahmin!$C$4+84)),MONTH((Tahmin!$C$4+84)),MIN(DAY(Kalemler!$D198),DAY(EOMONTH((Tahmin!$C$4+84),0))))&lt;=(Tahmin!$C$4+90),DATE(YEAR((Tahmin!$C$4+84)),MONTH((Tahmin!$C$4+84)),MIN(DAY(Kalemler!$D198),DAY(EOMONTH((Tahmin!$C$4+84),0))))&gt;=Kalemler!$D198),AND(DATE(YEAR((Tahmin!$C$4+90)),MONTH((Tahmin!$C$4+90)),MIN(DAY(Kalemler!$D198),DAY(EOMONTH((Tahmin!$C$4+90),0))))&gt;=(Tahmin!$C$4+84),DATE(YEAR((Tahmin!$C$4+90)),MONTH((Tahmin!$C$4+90)),MIN(DAY(Kalemler!$D198),DAY(EOMONTH((Tahmin!$C$4+90),0))))&lt;=(Tahmin!$C$4+90),DATE(YEAR((Tahmin!$C$4+90)),MONTH((Tahmin!$C$4+90)),MIN(DAY(Kalemler!$D198),DAY(EOMONTH((Tahmin!$C$4+90),0))))&lt;&gt;DATE(YEAR((Tahmin!$C$4+84)),MONTH((Tahmin!$C$4+84)),MIN(DAY(Kalemler!$D198),DAY(EOMONTH((Tahmin!$C$4+84),0)))),DATE(YEAR((Tahmin!$C$4+90)),MONTH((Tahmin!$C$4+90)),MIN(DAY(Kalemler!$D198),DAY(EOMONTH((Tahmin!$C$4+90),0))))&gt;=Kalemler!$D198)),1,0),IF(AND(Kalemler!$D198&gt;=(Tahmin!$C$4+84),Kalemler!$D198&lt;=(Tahmin!$C$4+90)),1,0))))</f>
        <v>0</v>
      </c>
    </row>
    <row r="199" customFormat="false" ht="15" hidden="false" customHeight="false" outlineLevel="0" collapsed="false">
      <c r="A199" s="0" t="str">
        <f aca="false">IF(Kalemler!A199="","",Kalemler!A199)</f>
        <v/>
      </c>
      <c r="B199" s="0" t="n">
        <f aca="false">IF(OR(Kalemler!$A199="",Kalemler!$C199="",Kalemler!$D199=""),0,Kalemler!$C199*IF(Kalemler!$E199="Haftalık",IF(Kalemler!$D199&lt;=(Tahmin!$C$4+6),1,0),IF(Kalemler!$E199="Aylık",IF(OR(AND(DATE(YEAR((Tahmin!$C$4+0)),MONTH((Tahmin!$C$4+0)),MIN(DAY(Kalemler!$D199),DAY(EOMONTH((Tahmin!$C$4+0),0))))&gt;=(Tahmin!$C$4+0),DATE(YEAR((Tahmin!$C$4+0)),MONTH((Tahmin!$C$4+0)),MIN(DAY(Kalemler!$D199),DAY(EOMONTH((Tahmin!$C$4+0),0))))&lt;=(Tahmin!$C$4+6),DATE(YEAR((Tahmin!$C$4+0)),MONTH((Tahmin!$C$4+0)),MIN(DAY(Kalemler!$D199),DAY(EOMONTH((Tahmin!$C$4+0),0))))&gt;=Kalemler!$D199),AND(DATE(YEAR((Tahmin!$C$4+6)),MONTH((Tahmin!$C$4+6)),MIN(DAY(Kalemler!$D199),DAY(EOMONTH((Tahmin!$C$4+6),0))))&gt;=(Tahmin!$C$4+0),DATE(YEAR((Tahmin!$C$4+6)),MONTH((Tahmin!$C$4+6)),MIN(DAY(Kalemler!$D199),DAY(EOMONTH((Tahmin!$C$4+6),0))))&lt;=(Tahmin!$C$4+6),DATE(YEAR((Tahmin!$C$4+6)),MONTH((Tahmin!$C$4+6)),MIN(DAY(Kalemler!$D199),DAY(EOMONTH((Tahmin!$C$4+6),0))))&lt;&gt;DATE(YEAR((Tahmin!$C$4+0)),MONTH((Tahmin!$C$4+0)),MIN(DAY(Kalemler!$D199),DAY(EOMONTH((Tahmin!$C$4+0),0)))),DATE(YEAR((Tahmin!$C$4+6)),MONTH((Tahmin!$C$4+6)),MIN(DAY(Kalemler!$D199),DAY(EOMONTH((Tahmin!$C$4+6),0))))&gt;=Kalemler!$D199)),1,0),IF(AND(Kalemler!$D199&gt;=(Tahmin!$C$4+0),Kalemler!$D199&lt;=(Tahmin!$C$4+6)),1,0))))</f>
        <v>0</v>
      </c>
      <c r="C199" s="0" t="n">
        <f aca="false">IF(OR(Kalemler!$A199="",Kalemler!$C199="",Kalemler!$D199=""),0,Kalemler!$C199*IF(Kalemler!$E199="Haftalık",IF(Kalemler!$D199&lt;=(Tahmin!$C$4+13),1,0),IF(Kalemler!$E199="Aylık",IF(OR(AND(DATE(YEAR((Tahmin!$C$4+7)),MONTH((Tahmin!$C$4+7)),MIN(DAY(Kalemler!$D199),DAY(EOMONTH((Tahmin!$C$4+7),0))))&gt;=(Tahmin!$C$4+7),DATE(YEAR((Tahmin!$C$4+7)),MONTH((Tahmin!$C$4+7)),MIN(DAY(Kalemler!$D199),DAY(EOMONTH((Tahmin!$C$4+7),0))))&lt;=(Tahmin!$C$4+13),DATE(YEAR((Tahmin!$C$4+7)),MONTH((Tahmin!$C$4+7)),MIN(DAY(Kalemler!$D199),DAY(EOMONTH((Tahmin!$C$4+7),0))))&gt;=Kalemler!$D199),AND(DATE(YEAR((Tahmin!$C$4+13)),MONTH((Tahmin!$C$4+13)),MIN(DAY(Kalemler!$D199),DAY(EOMONTH((Tahmin!$C$4+13),0))))&gt;=(Tahmin!$C$4+7),DATE(YEAR((Tahmin!$C$4+13)),MONTH((Tahmin!$C$4+13)),MIN(DAY(Kalemler!$D199),DAY(EOMONTH((Tahmin!$C$4+13),0))))&lt;=(Tahmin!$C$4+13),DATE(YEAR((Tahmin!$C$4+13)),MONTH((Tahmin!$C$4+13)),MIN(DAY(Kalemler!$D199),DAY(EOMONTH((Tahmin!$C$4+13),0))))&lt;&gt;DATE(YEAR((Tahmin!$C$4+7)),MONTH((Tahmin!$C$4+7)),MIN(DAY(Kalemler!$D199),DAY(EOMONTH((Tahmin!$C$4+7),0)))),DATE(YEAR((Tahmin!$C$4+13)),MONTH((Tahmin!$C$4+13)),MIN(DAY(Kalemler!$D199),DAY(EOMONTH((Tahmin!$C$4+13),0))))&gt;=Kalemler!$D199)),1,0),IF(AND(Kalemler!$D199&gt;=(Tahmin!$C$4+7),Kalemler!$D199&lt;=(Tahmin!$C$4+13)),1,0))))</f>
        <v>0</v>
      </c>
      <c r="D199" s="0" t="n">
        <f aca="false">IF(OR(Kalemler!$A199="",Kalemler!$C199="",Kalemler!$D199=""),0,Kalemler!$C199*IF(Kalemler!$E199="Haftalık",IF(Kalemler!$D199&lt;=(Tahmin!$C$4+20),1,0),IF(Kalemler!$E199="Aylık",IF(OR(AND(DATE(YEAR((Tahmin!$C$4+14)),MONTH((Tahmin!$C$4+14)),MIN(DAY(Kalemler!$D199),DAY(EOMONTH((Tahmin!$C$4+14),0))))&gt;=(Tahmin!$C$4+14),DATE(YEAR((Tahmin!$C$4+14)),MONTH((Tahmin!$C$4+14)),MIN(DAY(Kalemler!$D199),DAY(EOMONTH((Tahmin!$C$4+14),0))))&lt;=(Tahmin!$C$4+20),DATE(YEAR((Tahmin!$C$4+14)),MONTH((Tahmin!$C$4+14)),MIN(DAY(Kalemler!$D199),DAY(EOMONTH((Tahmin!$C$4+14),0))))&gt;=Kalemler!$D199),AND(DATE(YEAR((Tahmin!$C$4+20)),MONTH((Tahmin!$C$4+20)),MIN(DAY(Kalemler!$D199),DAY(EOMONTH((Tahmin!$C$4+20),0))))&gt;=(Tahmin!$C$4+14),DATE(YEAR((Tahmin!$C$4+20)),MONTH((Tahmin!$C$4+20)),MIN(DAY(Kalemler!$D199),DAY(EOMONTH((Tahmin!$C$4+20),0))))&lt;=(Tahmin!$C$4+20),DATE(YEAR((Tahmin!$C$4+20)),MONTH((Tahmin!$C$4+20)),MIN(DAY(Kalemler!$D199),DAY(EOMONTH((Tahmin!$C$4+20),0))))&lt;&gt;DATE(YEAR((Tahmin!$C$4+14)),MONTH((Tahmin!$C$4+14)),MIN(DAY(Kalemler!$D199),DAY(EOMONTH((Tahmin!$C$4+14),0)))),DATE(YEAR((Tahmin!$C$4+20)),MONTH((Tahmin!$C$4+20)),MIN(DAY(Kalemler!$D199),DAY(EOMONTH((Tahmin!$C$4+20),0))))&gt;=Kalemler!$D199)),1,0),IF(AND(Kalemler!$D199&gt;=(Tahmin!$C$4+14),Kalemler!$D199&lt;=(Tahmin!$C$4+20)),1,0))))</f>
        <v>0</v>
      </c>
      <c r="E199" s="0" t="n">
        <f aca="false">IF(OR(Kalemler!$A199="",Kalemler!$C199="",Kalemler!$D199=""),0,Kalemler!$C199*IF(Kalemler!$E199="Haftalık",IF(Kalemler!$D199&lt;=(Tahmin!$C$4+27),1,0),IF(Kalemler!$E199="Aylık",IF(OR(AND(DATE(YEAR((Tahmin!$C$4+21)),MONTH((Tahmin!$C$4+21)),MIN(DAY(Kalemler!$D199),DAY(EOMONTH((Tahmin!$C$4+21),0))))&gt;=(Tahmin!$C$4+21),DATE(YEAR((Tahmin!$C$4+21)),MONTH((Tahmin!$C$4+21)),MIN(DAY(Kalemler!$D199),DAY(EOMONTH((Tahmin!$C$4+21),0))))&lt;=(Tahmin!$C$4+27),DATE(YEAR((Tahmin!$C$4+21)),MONTH((Tahmin!$C$4+21)),MIN(DAY(Kalemler!$D199),DAY(EOMONTH((Tahmin!$C$4+21),0))))&gt;=Kalemler!$D199),AND(DATE(YEAR((Tahmin!$C$4+27)),MONTH((Tahmin!$C$4+27)),MIN(DAY(Kalemler!$D199),DAY(EOMONTH((Tahmin!$C$4+27),0))))&gt;=(Tahmin!$C$4+21),DATE(YEAR((Tahmin!$C$4+27)),MONTH((Tahmin!$C$4+27)),MIN(DAY(Kalemler!$D199),DAY(EOMONTH((Tahmin!$C$4+27),0))))&lt;=(Tahmin!$C$4+27),DATE(YEAR((Tahmin!$C$4+27)),MONTH((Tahmin!$C$4+27)),MIN(DAY(Kalemler!$D199),DAY(EOMONTH((Tahmin!$C$4+27),0))))&lt;&gt;DATE(YEAR((Tahmin!$C$4+21)),MONTH((Tahmin!$C$4+21)),MIN(DAY(Kalemler!$D199),DAY(EOMONTH((Tahmin!$C$4+21),0)))),DATE(YEAR((Tahmin!$C$4+27)),MONTH((Tahmin!$C$4+27)),MIN(DAY(Kalemler!$D199),DAY(EOMONTH((Tahmin!$C$4+27),0))))&gt;=Kalemler!$D199)),1,0),IF(AND(Kalemler!$D199&gt;=(Tahmin!$C$4+21),Kalemler!$D199&lt;=(Tahmin!$C$4+27)),1,0))))</f>
        <v>0</v>
      </c>
      <c r="F199" s="0" t="n">
        <f aca="false">IF(OR(Kalemler!$A199="",Kalemler!$C199="",Kalemler!$D199=""),0,Kalemler!$C199*IF(Kalemler!$E199="Haftalık",IF(Kalemler!$D199&lt;=(Tahmin!$C$4+34),1,0),IF(Kalemler!$E199="Aylık",IF(OR(AND(DATE(YEAR((Tahmin!$C$4+28)),MONTH((Tahmin!$C$4+28)),MIN(DAY(Kalemler!$D199),DAY(EOMONTH((Tahmin!$C$4+28),0))))&gt;=(Tahmin!$C$4+28),DATE(YEAR((Tahmin!$C$4+28)),MONTH((Tahmin!$C$4+28)),MIN(DAY(Kalemler!$D199),DAY(EOMONTH((Tahmin!$C$4+28),0))))&lt;=(Tahmin!$C$4+34),DATE(YEAR((Tahmin!$C$4+28)),MONTH((Tahmin!$C$4+28)),MIN(DAY(Kalemler!$D199),DAY(EOMONTH((Tahmin!$C$4+28),0))))&gt;=Kalemler!$D199),AND(DATE(YEAR((Tahmin!$C$4+34)),MONTH((Tahmin!$C$4+34)),MIN(DAY(Kalemler!$D199),DAY(EOMONTH((Tahmin!$C$4+34),0))))&gt;=(Tahmin!$C$4+28),DATE(YEAR((Tahmin!$C$4+34)),MONTH((Tahmin!$C$4+34)),MIN(DAY(Kalemler!$D199),DAY(EOMONTH((Tahmin!$C$4+34),0))))&lt;=(Tahmin!$C$4+34),DATE(YEAR((Tahmin!$C$4+34)),MONTH((Tahmin!$C$4+34)),MIN(DAY(Kalemler!$D199),DAY(EOMONTH((Tahmin!$C$4+34),0))))&lt;&gt;DATE(YEAR((Tahmin!$C$4+28)),MONTH((Tahmin!$C$4+28)),MIN(DAY(Kalemler!$D199),DAY(EOMONTH((Tahmin!$C$4+28),0)))),DATE(YEAR((Tahmin!$C$4+34)),MONTH((Tahmin!$C$4+34)),MIN(DAY(Kalemler!$D199),DAY(EOMONTH((Tahmin!$C$4+34),0))))&gt;=Kalemler!$D199)),1,0),IF(AND(Kalemler!$D199&gt;=(Tahmin!$C$4+28),Kalemler!$D199&lt;=(Tahmin!$C$4+34)),1,0))))</f>
        <v>0</v>
      </c>
      <c r="G199" s="0" t="n">
        <f aca="false">IF(OR(Kalemler!$A199="",Kalemler!$C199="",Kalemler!$D199=""),0,Kalemler!$C199*IF(Kalemler!$E199="Haftalık",IF(Kalemler!$D199&lt;=(Tahmin!$C$4+41),1,0),IF(Kalemler!$E199="Aylık",IF(OR(AND(DATE(YEAR((Tahmin!$C$4+35)),MONTH((Tahmin!$C$4+35)),MIN(DAY(Kalemler!$D199),DAY(EOMONTH((Tahmin!$C$4+35),0))))&gt;=(Tahmin!$C$4+35),DATE(YEAR((Tahmin!$C$4+35)),MONTH((Tahmin!$C$4+35)),MIN(DAY(Kalemler!$D199),DAY(EOMONTH((Tahmin!$C$4+35),0))))&lt;=(Tahmin!$C$4+41),DATE(YEAR((Tahmin!$C$4+35)),MONTH((Tahmin!$C$4+35)),MIN(DAY(Kalemler!$D199),DAY(EOMONTH((Tahmin!$C$4+35),0))))&gt;=Kalemler!$D199),AND(DATE(YEAR((Tahmin!$C$4+41)),MONTH((Tahmin!$C$4+41)),MIN(DAY(Kalemler!$D199),DAY(EOMONTH((Tahmin!$C$4+41),0))))&gt;=(Tahmin!$C$4+35),DATE(YEAR((Tahmin!$C$4+41)),MONTH((Tahmin!$C$4+41)),MIN(DAY(Kalemler!$D199),DAY(EOMONTH((Tahmin!$C$4+41),0))))&lt;=(Tahmin!$C$4+41),DATE(YEAR((Tahmin!$C$4+41)),MONTH((Tahmin!$C$4+41)),MIN(DAY(Kalemler!$D199),DAY(EOMONTH((Tahmin!$C$4+41),0))))&lt;&gt;DATE(YEAR((Tahmin!$C$4+35)),MONTH((Tahmin!$C$4+35)),MIN(DAY(Kalemler!$D199),DAY(EOMONTH((Tahmin!$C$4+35),0)))),DATE(YEAR((Tahmin!$C$4+41)),MONTH((Tahmin!$C$4+41)),MIN(DAY(Kalemler!$D199),DAY(EOMONTH((Tahmin!$C$4+41),0))))&gt;=Kalemler!$D199)),1,0),IF(AND(Kalemler!$D199&gt;=(Tahmin!$C$4+35),Kalemler!$D199&lt;=(Tahmin!$C$4+41)),1,0))))</f>
        <v>0</v>
      </c>
      <c r="H199" s="0" t="n">
        <f aca="false">IF(OR(Kalemler!$A199="",Kalemler!$C199="",Kalemler!$D199=""),0,Kalemler!$C199*IF(Kalemler!$E199="Haftalık",IF(Kalemler!$D199&lt;=(Tahmin!$C$4+48),1,0),IF(Kalemler!$E199="Aylık",IF(OR(AND(DATE(YEAR((Tahmin!$C$4+42)),MONTH((Tahmin!$C$4+42)),MIN(DAY(Kalemler!$D199),DAY(EOMONTH((Tahmin!$C$4+42),0))))&gt;=(Tahmin!$C$4+42),DATE(YEAR((Tahmin!$C$4+42)),MONTH((Tahmin!$C$4+42)),MIN(DAY(Kalemler!$D199),DAY(EOMONTH((Tahmin!$C$4+42),0))))&lt;=(Tahmin!$C$4+48),DATE(YEAR((Tahmin!$C$4+42)),MONTH((Tahmin!$C$4+42)),MIN(DAY(Kalemler!$D199),DAY(EOMONTH((Tahmin!$C$4+42),0))))&gt;=Kalemler!$D199),AND(DATE(YEAR((Tahmin!$C$4+48)),MONTH((Tahmin!$C$4+48)),MIN(DAY(Kalemler!$D199),DAY(EOMONTH((Tahmin!$C$4+48),0))))&gt;=(Tahmin!$C$4+42),DATE(YEAR((Tahmin!$C$4+48)),MONTH((Tahmin!$C$4+48)),MIN(DAY(Kalemler!$D199),DAY(EOMONTH((Tahmin!$C$4+48),0))))&lt;=(Tahmin!$C$4+48),DATE(YEAR((Tahmin!$C$4+48)),MONTH((Tahmin!$C$4+48)),MIN(DAY(Kalemler!$D199),DAY(EOMONTH((Tahmin!$C$4+48),0))))&lt;&gt;DATE(YEAR((Tahmin!$C$4+42)),MONTH((Tahmin!$C$4+42)),MIN(DAY(Kalemler!$D199),DAY(EOMONTH((Tahmin!$C$4+42),0)))),DATE(YEAR((Tahmin!$C$4+48)),MONTH((Tahmin!$C$4+48)),MIN(DAY(Kalemler!$D199),DAY(EOMONTH((Tahmin!$C$4+48),0))))&gt;=Kalemler!$D199)),1,0),IF(AND(Kalemler!$D199&gt;=(Tahmin!$C$4+42),Kalemler!$D199&lt;=(Tahmin!$C$4+48)),1,0))))</f>
        <v>0</v>
      </c>
      <c r="I199" s="0" t="n">
        <f aca="false">IF(OR(Kalemler!$A199="",Kalemler!$C199="",Kalemler!$D199=""),0,Kalemler!$C199*IF(Kalemler!$E199="Haftalık",IF(Kalemler!$D199&lt;=(Tahmin!$C$4+55),1,0),IF(Kalemler!$E199="Aylık",IF(OR(AND(DATE(YEAR((Tahmin!$C$4+49)),MONTH((Tahmin!$C$4+49)),MIN(DAY(Kalemler!$D199),DAY(EOMONTH((Tahmin!$C$4+49),0))))&gt;=(Tahmin!$C$4+49),DATE(YEAR((Tahmin!$C$4+49)),MONTH((Tahmin!$C$4+49)),MIN(DAY(Kalemler!$D199),DAY(EOMONTH((Tahmin!$C$4+49),0))))&lt;=(Tahmin!$C$4+55),DATE(YEAR((Tahmin!$C$4+49)),MONTH((Tahmin!$C$4+49)),MIN(DAY(Kalemler!$D199),DAY(EOMONTH((Tahmin!$C$4+49),0))))&gt;=Kalemler!$D199),AND(DATE(YEAR((Tahmin!$C$4+55)),MONTH((Tahmin!$C$4+55)),MIN(DAY(Kalemler!$D199),DAY(EOMONTH((Tahmin!$C$4+55),0))))&gt;=(Tahmin!$C$4+49),DATE(YEAR((Tahmin!$C$4+55)),MONTH((Tahmin!$C$4+55)),MIN(DAY(Kalemler!$D199),DAY(EOMONTH((Tahmin!$C$4+55),0))))&lt;=(Tahmin!$C$4+55),DATE(YEAR((Tahmin!$C$4+55)),MONTH((Tahmin!$C$4+55)),MIN(DAY(Kalemler!$D199),DAY(EOMONTH((Tahmin!$C$4+55),0))))&lt;&gt;DATE(YEAR((Tahmin!$C$4+49)),MONTH((Tahmin!$C$4+49)),MIN(DAY(Kalemler!$D199),DAY(EOMONTH((Tahmin!$C$4+49),0)))),DATE(YEAR((Tahmin!$C$4+55)),MONTH((Tahmin!$C$4+55)),MIN(DAY(Kalemler!$D199),DAY(EOMONTH((Tahmin!$C$4+55),0))))&gt;=Kalemler!$D199)),1,0),IF(AND(Kalemler!$D199&gt;=(Tahmin!$C$4+49),Kalemler!$D199&lt;=(Tahmin!$C$4+55)),1,0))))</f>
        <v>0</v>
      </c>
      <c r="J199" s="0" t="n">
        <f aca="false">IF(OR(Kalemler!$A199="",Kalemler!$C199="",Kalemler!$D199=""),0,Kalemler!$C199*IF(Kalemler!$E199="Haftalık",IF(Kalemler!$D199&lt;=(Tahmin!$C$4+62),1,0),IF(Kalemler!$E199="Aylık",IF(OR(AND(DATE(YEAR((Tahmin!$C$4+56)),MONTH((Tahmin!$C$4+56)),MIN(DAY(Kalemler!$D199),DAY(EOMONTH((Tahmin!$C$4+56),0))))&gt;=(Tahmin!$C$4+56),DATE(YEAR((Tahmin!$C$4+56)),MONTH((Tahmin!$C$4+56)),MIN(DAY(Kalemler!$D199),DAY(EOMONTH((Tahmin!$C$4+56),0))))&lt;=(Tahmin!$C$4+62),DATE(YEAR((Tahmin!$C$4+56)),MONTH((Tahmin!$C$4+56)),MIN(DAY(Kalemler!$D199),DAY(EOMONTH((Tahmin!$C$4+56),0))))&gt;=Kalemler!$D199),AND(DATE(YEAR((Tahmin!$C$4+62)),MONTH((Tahmin!$C$4+62)),MIN(DAY(Kalemler!$D199),DAY(EOMONTH((Tahmin!$C$4+62),0))))&gt;=(Tahmin!$C$4+56),DATE(YEAR((Tahmin!$C$4+62)),MONTH((Tahmin!$C$4+62)),MIN(DAY(Kalemler!$D199),DAY(EOMONTH((Tahmin!$C$4+62),0))))&lt;=(Tahmin!$C$4+62),DATE(YEAR((Tahmin!$C$4+62)),MONTH((Tahmin!$C$4+62)),MIN(DAY(Kalemler!$D199),DAY(EOMONTH((Tahmin!$C$4+62),0))))&lt;&gt;DATE(YEAR((Tahmin!$C$4+56)),MONTH((Tahmin!$C$4+56)),MIN(DAY(Kalemler!$D199),DAY(EOMONTH((Tahmin!$C$4+56),0)))),DATE(YEAR((Tahmin!$C$4+62)),MONTH((Tahmin!$C$4+62)),MIN(DAY(Kalemler!$D199),DAY(EOMONTH((Tahmin!$C$4+62),0))))&gt;=Kalemler!$D199)),1,0),IF(AND(Kalemler!$D199&gt;=(Tahmin!$C$4+56),Kalemler!$D199&lt;=(Tahmin!$C$4+62)),1,0))))</f>
        <v>0</v>
      </c>
      <c r="K199" s="0" t="n">
        <f aca="false">IF(OR(Kalemler!$A199="",Kalemler!$C199="",Kalemler!$D199=""),0,Kalemler!$C199*IF(Kalemler!$E199="Haftalık",IF(Kalemler!$D199&lt;=(Tahmin!$C$4+69),1,0),IF(Kalemler!$E199="Aylık",IF(OR(AND(DATE(YEAR((Tahmin!$C$4+63)),MONTH((Tahmin!$C$4+63)),MIN(DAY(Kalemler!$D199),DAY(EOMONTH((Tahmin!$C$4+63),0))))&gt;=(Tahmin!$C$4+63),DATE(YEAR((Tahmin!$C$4+63)),MONTH((Tahmin!$C$4+63)),MIN(DAY(Kalemler!$D199),DAY(EOMONTH((Tahmin!$C$4+63),0))))&lt;=(Tahmin!$C$4+69),DATE(YEAR((Tahmin!$C$4+63)),MONTH((Tahmin!$C$4+63)),MIN(DAY(Kalemler!$D199),DAY(EOMONTH((Tahmin!$C$4+63),0))))&gt;=Kalemler!$D199),AND(DATE(YEAR((Tahmin!$C$4+69)),MONTH((Tahmin!$C$4+69)),MIN(DAY(Kalemler!$D199),DAY(EOMONTH((Tahmin!$C$4+69),0))))&gt;=(Tahmin!$C$4+63),DATE(YEAR((Tahmin!$C$4+69)),MONTH((Tahmin!$C$4+69)),MIN(DAY(Kalemler!$D199),DAY(EOMONTH((Tahmin!$C$4+69),0))))&lt;=(Tahmin!$C$4+69),DATE(YEAR((Tahmin!$C$4+69)),MONTH((Tahmin!$C$4+69)),MIN(DAY(Kalemler!$D199),DAY(EOMONTH((Tahmin!$C$4+69),0))))&lt;&gt;DATE(YEAR((Tahmin!$C$4+63)),MONTH((Tahmin!$C$4+63)),MIN(DAY(Kalemler!$D199),DAY(EOMONTH((Tahmin!$C$4+63),0)))),DATE(YEAR((Tahmin!$C$4+69)),MONTH((Tahmin!$C$4+69)),MIN(DAY(Kalemler!$D199),DAY(EOMONTH((Tahmin!$C$4+69),0))))&gt;=Kalemler!$D199)),1,0),IF(AND(Kalemler!$D199&gt;=(Tahmin!$C$4+63),Kalemler!$D199&lt;=(Tahmin!$C$4+69)),1,0))))</f>
        <v>0</v>
      </c>
      <c r="L199" s="0" t="n">
        <f aca="false">IF(OR(Kalemler!$A199="",Kalemler!$C199="",Kalemler!$D199=""),0,Kalemler!$C199*IF(Kalemler!$E199="Haftalık",IF(Kalemler!$D199&lt;=(Tahmin!$C$4+76),1,0),IF(Kalemler!$E199="Aylık",IF(OR(AND(DATE(YEAR((Tahmin!$C$4+70)),MONTH((Tahmin!$C$4+70)),MIN(DAY(Kalemler!$D199),DAY(EOMONTH((Tahmin!$C$4+70),0))))&gt;=(Tahmin!$C$4+70),DATE(YEAR((Tahmin!$C$4+70)),MONTH((Tahmin!$C$4+70)),MIN(DAY(Kalemler!$D199),DAY(EOMONTH((Tahmin!$C$4+70),0))))&lt;=(Tahmin!$C$4+76),DATE(YEAR((Tahmin!$C$4+70)),MONTH((Tahmin!$C$4+70)),MIN(DAY(Kalemler!$D199),DAY(EOMONTH((Tahmin!$C$4+70),0))))&gt;=Kalemler!$D199),AND(DATE(YEAR((Tahmin!$C$4+76)),MONTH((Tahmin!$C$4+76)),MIN(DAY(Kalemler!$D199),DAY(EOMONTH((Tahmin!$C$4+76),0))))&gt;=(Tahmin!$C$4+70),DATE(YEAR((Tahmin!$C$4+76)),MONTH((Tahmin!$C$4+76)),MIN(DAY(Kalemler!$D199),DAY(EOMONTH((Tahmin!$C$4+76),0))))&lt;=(Tahmin!$C$4+76),DATE(YEAR((Tahmin!$C$4+76)),MONTH((Tahmin!$C$4+76)),MIN(DAY(Kalemler!$D199),DAY(EOMONTH((Tahmin!$C$4+76),0))))&lt;&gt;DATE(YEAR((Tahmin!$C$4+70)),MONTH((Tahmin!$C$4+70)),MIN(DAY(Kalemler!$D199),DAY(EOMONTH((Tahmin!$C$4+70),0)))),DATE(YEAR((Tahmin!$C$4+76)),MONTH((Tahmin!$C$4+76)),MIN(DAY(Kalemler!$D199),DAY(EOMONTH((Tahmin!$C$4+76),0))))&gt;=Kalemler!$D199)),1,0),IF(AND(Kalemler!$D199&gt;=(Tahmin!$C$4+70),Kalemler!$D199&lt;=(Tahmin!$C$4+76)),1,0))))</f>
        <v>0</v>
      </c>
      <c r="M199" s="0" t="n">
        <f aca="false">IF(OR(Kalemler!$A199="",Kalemler!$C199="",Kalemler!$D199=""),0,Kalemler!$C199*IF(Kalemler!$E199="Haftalık",IF(Kalemler!$D199&lt;=(Tahmin!$C$4+83),1,0),IF(Kalemler!$E199="Aylık",IF(OR(AND(DATE(YEAR((Tahmin!$C$4+77)),MONTH((Tahmin!$C$4+77)),MIN(DAY(Kalemler!$D199),DAY(EOMONTH((Tahmin!$C$4+77),0))))&gt;=(Tahmin!$C$4+77),DATE(YEAR((Tahmin!$C$4+77)),MONTH((Tahmin!$C$4+77)),MIN(DAY(Kalemler!$D199),DAY(EOMONTH((Tahmin!$C$4+77),0))))&lt;=(Tahmin!$C$4+83),DATE(YEAR((Tahmin!$C$4+77)),MONTH((Tahmin!$C$4+77)),MIN(DAY(Kalemler!$D199),DAY(EOMONTH((Tahmin!$C$4+77),0))))&gt;=Kalemler!$D199),AND(DATE(YEAR((Tahmin!$C$4+83)),MONTH((Tahmin!$C$4+83)),MIN(DAY(Kalemler!$D199),DAY(EOMONTH((Tahmin!$C$4+83),0))))&gt;=(Tahmin!$C$4+77),DATE(YEAR((Tahmin!$C$4+83)),MONTH((Tahmin!$C$4+83)),MIN(DAY(Kalemler!$D199),DAY(EOMONTH((Tahmin!$C$4+83),0))))&lt;=(Tahmin!$C$4+83),DATE(YEAR((Tahmin!$C$4+83)),MONTH((Tahmin!$C$4+83)),MIN(DAY(Kalemler!$D199),DAY(EOMONTH((Tahmin!$C$4+83),0))))&lt;&gt;DATE(YEAR((Tahmin!$C$4+77)),MONTH((Tahmin!$C$4+77)),MIN(DAY(Kalemler!$D199),DAY(EOMONTH((Tahmin!$C$4+77),0)))),DATE(YEAR((Tahmin!$C$4+83)),MONTH((Tahmin!$C$4+83)),MIN(DAY(Kalemler!$D199),DAY(EOMONTH((Tahmin!$C$4+83),0))))&gt;=Kalemler!$D199)),1,0),IF(AND(Kalemler!$D199&gt;=(Tahmin!$C$4+77),Kalemler!$D199&lt;=(Tahmin!$C$4+83)),1,0))))</f>
        <v>0</v>
      </c>
      <c r="N199" s="0" t="n">
        <f aca="false">IF(OR(Kalemler!$A199="",Kalemler!$C199="",Kalemler!$D199=""),0,Kalemler!$C199*IF(Kalemler!$E199="Haftalık",IF(Kalemler!$D199&lt;=(Tahmin!$C$4+90),1,0),IF(Kalemler!$E199="Aylık",IF(OR(AND(DATE(YEAR((Tahmin!$C$4+84)),MONTH((Tahmin!$C$4+84)),MIN(DAY(Kalemler!$D199),DAY(EOMONTH((Tahmin!$C$4+84),0))))&gt;=(Tahmin!$C$4+84),DATE(YEAR((Tahmin!$C$4+84)),MONTH((Tahmin!$C$4+84)),MIN(DAY(Kalemler!$D199),DAY(EOMONTH((Tahmin!$C$4+84),0))))&lt;=(Tahmin!$C$4+90),DATE(YEAR((Tahmin!$C$4+84)),MONTH((Tahmin!$C$4+84)),MIN(DAY(Kalemler!$D199),DAY(EOMONTH((Tahmin!$C$4+84),0))))&gt;=Kalemler!$D199),AND(DATE(YEAR((Tahmin!$C$4+90)),MONTH((Tahmin!$C$4+90)),MIN(DAY(Kalemler!$D199),DAY(EOMONTH((Tahmin!$C$4+90),0))))&gt;=(Tahmin!$C$4+84),DATE(YEAR((Tahmin!$C$4+90)),MONTH((Tahmin!$C$4+90)),MIN(DAY(Kalemler!$D199),DAY(EOMONTH((Tahmin!$C$4+90),0))))&lt;=(Tahmin!$C$4+90),DATE(YEAR((Tahmin!$C$4+90)),MONTH((Tahmin!$C$4+90)),MIN(DAY(Kalemler!$D199),DAY(EOMONTH((Tahmin!$C$4+90),0))))&lt;&gt;DATE(YEAR((Tahmin!$C$4+84)),MONTH((Tahmin!$C$4+84)),MIN(DAY(Kalemler!$D199),DAY(EOMONTH((Tahmin!$C$4+84),0)))),DATE(YEAR((Tahmin!$C$4+90)),MONTH((Tahmin!$C$4+90)),MIN(DAY(Kalemler!$D199),DAY(EOMONTH((Tahmin!$C$4+90),0))))&gt;=Kalemler!$D199)),1,0),IF(AND(Kalemler!$D199&gt;=(Tahmin!$C$4+84),Kalemler!$D199&lt;=(Tahmin!$C$4+90)),1,0))))</f>
        <v>0</v>
      </c>
    </row>
    <row r="200" customFormat="false" ht="15" hidden="false" customHeight="false" outlineLevel="0" collapsed="false">
      <c r="A200" s="0" t="str">
        <f aca="false">IF(Kalemler!A200="","",Kalemler!A200)</f>
        <v/>
      </c>
      <c r="B200" s="0" t="n">
        <f aca="false">IF(OR(Kalemler!$A200="",Kalemler!$C200="",Kalemler!$D200=""),0,Kalemler!$C200*IF(Kalemler!$E200="Haftalık",IF(Kalemler!$D200&lt;=(Tahmin!$C$4+6),1,0),IF(Kalemler!$E200="Aylık",IF(OR(AND(DATE(YEAR((Tahmin!$C$4+0)),MONTH((Tahmin!$C$4+0)),MIN(DAY(Kalemler!$D200),DAY(EOMONTH((Tahmin!$C$4+0),0))))&gt;=(Tahmin!$C$4+0),DATE(YEAR((Tahmin!$C$4+0)),MONTH((Tahmin!$C$4+0)),MIN(DAY(Kalemler!$D200),DAY(EOMONTH((Tahmin!$C$4+0),0))))&lt;=(Tahmin!$C$4+6),DATE(YEAR((Tahmin!$C$4+0)),MONTH((Tahmin!$C$4+0)),MIN(DAY(Kalemler!$D200),DAY(EOMONTH((Tahmin!$C$4+0),0))))&gt;=Kalemler!$D200),AND(DATE(YEAR((Tahmin!$C$4+6)),MONTH((Tahmin!$C$4+6)),MIN(DAY(Kalemler!$D200),DAY(EOMONTH((Tahmin!$C$4+6),0))))&gt;=(Tahmin!$C$4+0),DATE(YEAR((Tahmin!$C$4+6)),MONTH((Tahmin!$C$4+6)),MIN(DAY(Kalemler!$D200),DAY(EOMONTH((Tahmin!$C$4+6),0))))&lt;=(Tahmin!$C$4+6),DATE(YEAR((Tahmin!$C$4+6)),MONTH((Tahmin!$C$4+6)),MIN(DAY(Kalemler!$D200),DAY(EOMONTH((Tahmin!$C$4+6),0))))&lt;&gt;DATE(YEAR((Tahmin!$C$4+0)),MONTH((Tahmin!$C$4+0)),MIN(DAY(Kalemler!$D200),DAY(EOMONTH((Tahmin!$C$4+0),0)))),DATE(YEAR((Tahmin!$C$4+6)),MONTH((Tahmin!$C$4+6)),MIN(DAY(Kalemler!$D200),DAY(EOMONTH((Tahmin!$C$4+6),0))))&gt;=Kalemler!$D200)),1,0),IF(AND(Kalemler!$D200&gt;=(Tahmin!$C$4+0),Kalemler!$D200&lt;=(Tahmin!$C$4+6)),1,0))))</f>
        <v>0</v>
      </c>
      <c r="C200" s="0" t="n">
        <f aca="false">IF(OR(Kalemler!$A200="",Kalemler!$C200="",Kalemler!$D200=""),0,Kalemler!$C200*IF(Kalemler!$E200="Haftalık",IF(Kalemler!$D200&lt;=(Tahmin!$C$4+13),1,0),IF(Kalemler!$E200="Aylık",IF(OR(AND(DATE(YEAR((Tahmin!$C$4+7)),MONTH((Tahmin!$C$4+7)),MIN(DAY(Kalemler!$D200),DAY(EOMONTH((Tahmin!$C$4+7),0))))&gt;=(Tahmin!$C$4+7),DATE(YEAR((Tahmin!$C$4+7)),MONTH((Tahmin!$C$4+7)),MIN(DAY(Kalemler!$D200),DAY(EOMONTH((Tahmin!$C$4+7),0))))&lt;=(Tahmin!$C$4+13),DATE(YEAR((Tahmin!$C$4+7)),MONTH((Tahmin!$C$4+7)),MIN(DAY(Kalemler!$D200),DAY(EOMONTH((Tahmin!$C$4+7),0))))&gt;=Kalemler!$D200),AND(DATE(YEAR((Tahmin!$C$4+13)),MONTH((Tahmin!$C$4+13)),MIN(DAY(Kalemler!$D200),DAY(EOMONTH((Tahmin!$C$4+13),0))))&gt;=(Tahmin!$C$4+7),DATE(YEAR((Tahmin!$C$4+13)),MONTH((Tahmin!$C$4+13)),MIN(DAY(Kalemler!$D200),DAY(EOMONTH((Tahmin!$C$4+13),0))))&lt;=(Tahmin!$C$4+13),DATE(YEAR((Tahmin!$C$4+13)),MONTH((Tahmin!$C$4+13)),MIN(DAY(Kalemler!$D200),DAY(EOMONTH((Tahmin!$C$4+13),0))))&lt;&gt;DATE(YEAR((Tahmin!$C$4+7)),MONTH((Tahmin!$C$4+7)),MIN(DAY(Kalemler!$D200),DAY(EOMONTH((Tahmin!$C$4+7),0)))),DATE(YEAR((Tahmin!$C$4+13)),MONTH((Tahmin!$C$4+13)),MIN(DAY(Kalemler!$D200),DAY(EOMONTH((Tahmin!$C$4+13),0))))&gt;=Kalemler!$D200)),1,0),IF(AND(Kalemler!$D200&gt;=(Tahmin!$C$4+7),Kalemler!$D200&lt;=(Tahmin!$C$4+13)),1,0))))</f>
        <v>0</v>
      </c>
      <c r="D200" s="0" t="n">
        <f aca="false">IF(OR(Kalemler!$A200="",Kalemler!$C200="",Kalemler!$D200=""),0,Kalemler!$C200*IF(Kalemler!$E200="Haftalık",IF(Kalemler!$D200&lt;=(Tahmin!$C$4+20),1,0),IF(Kalemler!$E200="Aylık",IF(OR(AND(DATE(YEAR((Tahmin!$C$4+14)),MONTH((Tahmin!$C$4+14)),MIN(DAY(Kalemler!$D200),DAY(EOMONTH((Tahmin!$C$4+14),0))))&gt;=(Tahmin!$C$4+14),DATE(YEAR((Tahmin!$C$4+14)),MONTH((Tahmin!$C$4+14)),MIN(DAY(Kalemler!$D200),DAY(EOMONTH((Tahmin!$C$4+14),0))))&lt;=(Tahmin!$C$4+20),DATE(YEAR((Tahmin!$C$4+14)),MONTH((Tahmin!$C$4+14)),MIN(DAY(Kalemler!$D200),DAY(EOMONTH((Tahmin!$C$4+14),0))))&gt;=Kalemler!$D200),AND(DATE(YEAR((Tahmin!$C$4+20)),MONTH((Tahmin!$C$4+20)),MIN(DAY(Kalemler!$D200),DAY(EOMONTH((Tahmin!$C$4+20),0))))&gt;=(Tahmin!$C$4+14),DATE(YEAR((Tahmin!$C$4+20)),MONTH((Tahmin!$C$4+20)),MIN(DAY(Kalemler!$D200),DAY(EOMONTH((Tahmin!$C$4+20),0))))&lt;=(Tahmin!$C$4+20),DATE(YEAR((Tahmin!$C$4+20)),MONTH((Tahmin!$C$4+20)),MIN(DAY(Kalemler!$D200),DAY(EOMONTH((Tahmin!$C$4+20),0))))&lt;&gt;DATE(YEAR((Tahmin!$C$4+14)),MONTH((Tahmin!$C$4+14)),MIN(DAY(Kalemler!$D200),DAY(EOMONTH((Tahmin!$C$4+14),0)))),DATE(YEAR((Tahmin!$C$4+20)),MONTH((Tahmin!$C$4+20)),MIN(DAY(Kalemler!$D200),DAY(EOMONTH((Tahmin!$C$4+20),0))))&gt;=Kalemler!$D200)),1,0),IF(AND(Kalemler!$D200&gt;=(Tahmin!$C$4+14),Kalemler!$D200&lt;=(Tahmin!$C$4+20)),1,0))))</f>
        <v>0</v>
      </c>
      <c r="E200" s="0" t="n">
        <f aca="false">IF(OR(Kalemler!$A200="",Kalemler!$C200="",Kalemler!$D200=""),0,Kalemler!$C200*IF(Kalemler!$E200="Haftalık",IF(Kalemler!$D200&lt;=(Tahmin!$C$4+27),1,0),IF(Kalemler!$E200="Aylık",IF(OR(AND(DATE(YEAR((Tahmin!$C$4+21)),MONTH((Tahmin!$C$4+21)),MIN(DAY(Kalemler!$D200),DAY(EOMONTH((Tahmin!$C$4+21),0))))&gt;=(Tahmin!$C$4+21),DATE(YEAR((Tahmin!$C$4+21)),MONTH((Tahmin!$C$4+21)),MIN(DAY(Kalemler!$D200),DAY(EOMONTH((Tahmin!$C$4+21),0))))&lt;=(Tahmin!$C$4+27),DATE(YEAR((Tahmin!$C$4+21)),MONTH((Tahmin!$C$4+21)),MIN(DAY(Kalemler!$D200),DAY(EOMONTH((Tahmin!$C$4+21),0))))&gt;=Kalemler!$D200),AND(DATE(YEAR((Tahmin!$C$4+27)),MONTH((Tahmin!$C$4+27)),MIN(DAY(Kalemler!$D200),DAY(EOMONTH((Tahmin!$C$4+27),0))))&gt;=(Tahmin!$C$4+21),DATE(YEAR((Tahmin!$C$4+27)),MONTH((Tahmin!$C$4+27)),MIN(DAY(Kalemler!$D200),DAY(EOMONTH((Tahmin!$C$4+27),0))))&lt;=(Tahmin!$C$4+27),DATE(YEAR((Tahmin!$C$4+27)),MONTH((Tahmin!$C$4+27)),MIN(DAY(Kalemler!$D200),DAY(EOMONTH((Tahmin!$C$4+27),0))))&lt;&gt;DATE(YEAR((Tahmin!$C$4+21)),MONTH((Tahmin!$C$4+21)),MIN(DAY(Kalemler!$D200),DAY(EOMONTH((Tahmin!$C$4+21),0)))),DATE(YEAR((Tahmin!$C$4+27)),MONTH((Tahmin!$C$4+27)),MIN(DAY(Kalemler!$D200),DAY(EOMONTH((Tahmin!$C$4+27),0))))&gt;=Kalemler!$D200)),1,0),IF(AND(Kalemler!$D200&gt;=(Tahmin!$C$4+21),Kalemler!$D200&lt;=(Tahmin!$C$4+27)),1,0))))</f>
        <v>0</v>
      </c>
      <c r="F200" s="0" t="n">
        <f aca="false">IF(OR(Kalemler!$A200="",Kalemler!$C200="",Kalemler!$D200=""),0,Kalemler!$C200*IF(Kalemler!$E200="Haftalık",IF(Kalemler!$D200&lt;=(Tahmin!$C$4+34),1,0),IF(Kalemler!$E200="Aylık",IF(OR(AND(DATE(YEAR((Tahmin!$C$4+28)),MONTH((Tahmin!$C$4+28)),MIN(DAY(Kalemler!$D200),DAY(EOMONTH((Tahmin!$C$4+28),0))))&gt;=(Tahmin!$C$4+28),DATE(YEAR((Tahmin!$C$4+28)),MONTH((Tahmin!$C$4+28)),MIN(DAY(Kalemler!$D200),DAY(EOMONTH((Tahmin!$C$4+28),0))))&lt;=(Tahmin!$C$4+34),DATE(YEAR((Tahmin!$C$4+28)),MONTH((Tahmin!$C$4+28)),MIN(DAY(Kalemler!$D200),DAY(EOMONTH((Tahmin!$C$4+28),0))))&gt;=Kalemler!$D200),AND(DATE(YEAR((Tahmin!$C$4+34)),MONTH((Tahmin!$C$4+34)),MIN(DAY(Kalemler!$D200),DAY(EOMONTH((Tahmin!$C$4+34),0))))&gt;=(Tahmin!$C$4+28),DATE(YEAR((Tahmin!$C$4+34)),MONTH((Tahmin!$C$4+34)),MIN(DAY(Kalemler!$D200),DAY(EOMONTH((Tahmin!$C$4+34),0))))&lt;=(Tahmin!$C$4+34),DATE(YEAR((Tahmin!$C$4+34)),MONTH((Tahmin!$C$4+34)),MIN(DAY(Kalemler!$D200),DAY(EOMONTH((Tahmin!$C$4+34),0))))&lt;&gt;DATE(YEAR((Tahmin!$C$4+28)),MONTH((Tahmin!$C$4+28)),MIN(DAY(Kalemler!$D200),DAY(EOMONTH((Tahmin!$C$4+28),0)))),DATE(YEAR((Tahmin!$C$4+34)),MONTH((Tahmin!$C$4+34)),MIN(DAY(Kalemler!$D200),DAY(EOMONTH((Tahmin!$C$4+34),0))))&gt;=Kalemler!$D200)),1,0),IF(AND(Kalemler!$D200&gt;=(Tahmin!$C$4+28),Kalemler!$D200&lt;=(Tahmin!$C$4+34)),1,0))))</f>
        <v>0</v>
      </c>
      <c r="G200" s="0" t="n">
        <f aca="false">IF(OR(Kalemler!$A200="",Kalemler!$C200="",Kalemler!$D200=""),0,Kalemler!$C200*IF(Kalemler!$E200="Haftalık",IF(Kalemler!$D200&lt;=(Tahmin!$C$4+41),1,0),IF(Kalemler!$E200="Aylık",IF(OR(AND(DATE(YEAR((Tahmin!$C$4+35)),MONTH((Tahmin!$C$4+35)),MIN(DAY(Kalemler!$D200),DAY(EOMONTH((Tahmin!$C$4+35),0))))&gt;=(Tahmin!$C$4+35),DATE(YEAR((Tahmin!$C$4+35)),MONTH((Tahmin!$C$4+35)),MIN(DAY(Kalemler!$D200),DAY(EOMONTH((Tahmin!$C$4+35),0))))&lt;=(Tahmin!$C$4+41),DATE(YEAR((Tahmin!$C$4+35)),MONTH((Tahmin!$C$4+35)),MIN(DAY(Kalemler!$D200),DAY(EOMONTH((Tahmin!$C$4+35),0))))&gt;=Kalemler!$D200),AND(DATE(YEAR((Tahmin!$C$4+41)),MONTH((Tahmin!$C$4+41)),MIN(DAY(Kalemler!$D200),DAY(EOMONTH((Tahmin!$C$4+41),0))))&gt;=(Tahmin!$C$4+35),DATE(YEAR((Tahmin!$C$4+41)),MONTH((Tahmin!$C$4+41)),MIN(DAY(Kalemler!$D200),DAY(EOMONTH((Tahmin!$C$4+41),0))))&lt;=(Tahmin!$C$4+41),DATE(YEAR((Tahmin!$C$4+41)),MONTH((Tahmin!$C$4+41)),MIN(DAY(Kalemler!$D200),DAY(EOMONTH((Tahmin!$C$4+41),0))))&lt;&gt;DATE(YEAR((Tahmin!$C$4+35)),MONTH((Tahmin!$C$4+35)),MIN(DAY(Kalemler!$D200),DAY(EOMONTH((Tahmin!$C$4+35),0)))),DATE(YEAR((Tahmin!$C$4+41)),MONTH((Tahmin!$C$4+41)),MIN(DAY(Kalemler!$D200),DAY(EOMONTH((Tahmin!$C$4+41),0))))&gt;=Kalemler!$D200)),1,0),IF(AND(Kalemler!$D200&gt;=(Tahmin!$C$4+35),Kalemler!$D200&lt;=(Tahmin!$C$4+41)),1,0))))</f>
        <v>0</v>
      </c>
      <c r="H200" s="0" t="n">
        <f aca="false">IF(OR(Kalemler!$A200="",Kalemler!$C200="",Kalemler!$D200=""),0,Kalemler!$C200*IF(Kalemler!$E200="Haftalık",IF(Kalemler!$D200&lt;=(Tahmin!$C$4+48),1,0),IF(Kalemler!$E200="Aylık",IF(OR(AND(DATE(YEAR((Tahmin!$C$4+42)),MONTH((Tahmin!$C$4+42)),MIN(DAY(Kalemler!$D200),DAY(EOMONTH((Tahmin!$C$4+42),0))))&gt;=(Tahmin!$C$4+42),DATE(YEAR((Tahmin!$C$4+42)),MONTH((Tahmin!$C$4+42)),MIN(DAY(Kalemler!$D200),DAY(EOMONTH((Tahmin!$C$4+42),0))))&lt;=(Tahmin!$C$4+48),DATE(YEAR((Tahmin!$C$4+42)),MONTH((Tahmin!$C$4+42)),MIN(DAY(Kalemler!$D200),DAY(EOMONTH((Tahmin!$C$4+42),0))))&gt;=Kalemler!$D200),AND(DATE(YEAR((Tahmin!$C$4+48)),MONTH((Tahmin!$C$4+48)),MIN(DAY(Kalemler!$D200),DAY(EOMONTH((Tahmin!$C$4+48),0))))&gt;=(Tahmin!$C$4+42),DATE(YEAR((Tahmin!$C$4+48)),MONTH((Tahmin!$C$4+48)),MIN(DAY(Kalemler!$D200),DAY(EOMONTH((Tahmin!$C$4+48),0))))&lt;=(Tahmin!$C$4+48),DATE(YEAR((Tahmin!$C$4+48)),MONTH((Tahmin!$C$4+48)),MIN(DAY(Kalemler!$D200),DAY(EOMONTH((Tahmin!$C$4+48),0))))&lt;&gt;DATE(YEAR((Tahmin!$C$4+42)),MONTH((Tahmin!$C$4+42)),MIN(DAY(Kalemler!$D200),DAY(EOMONTH((Tahmin!$C$4+42),0)))),DATE(YEAR((Tahmin!$C$4+48)),MONTH((Tahmin!$C$4+48)),MIN(DAY(Kalemler!$D200),DAY(EOMONTH((Tahmin!$C$4+48),0))))&gt;=Kalemler!$D200)),1,0),IF(AND(Kalemler!$D200&gt;=(Tahmin!$C$4+42),Kalemler!$D200&lt;=(Tahmin!$C$4+48)),1,0))))</f>
        <v>0</v>
      </c>
      <c r="I200" s="0" t="n">
        <f aca="false">IF(OR(Kalemler!$A200="",Kalemler!$C200="",Kalemler!$D200=""),0,Kalemler!$C200*IF(Kalemler!$E200="Haftalık",IF(Kalemler!$D200&lt;=(Tahmin!$C$4+55),1,0),IF(Kalemler!$E200="Aylık",IF(OR(AND(DATE(YEAR((Tahmin!$C$4+49)),MONTH((Tahmin!$C$4+49)),MIN(DAY(Kalemler!$D200),DAY(EOMONTH((Tahmin!$C$4+49),0))))&gt;=(Tahmin!$C$4+49),DATE(YEAR((Tahmin!$C$4+49)),MONTH((Tahmin!$C$4+49)),MIN(DAY(Kalemler!$D200),DAY(EOMONTH((Tahmin!$C$4+49),0))))&lt;=(Tahmin!$C$4+55),DATE(YEAR((Tahmin!$C$4+49)),MONTH((Tahmin!$C$4+49)),MIN(DAY(Kalemler!$D200),DAY(EOMONTH((Tahmin!$C$4+49),0))))&gt;=Kalemler!$D200),AND(DATE(YEAR((Tahmin!$C$4+55)),MONTH((Tahmin!$C$4+55)),MIN(DAY(Kalemler!$D200),DAY(EOMONTH((Tahmin!$C$4+55),0))))&gt;=(Tahmin!$C$4+49),DATE(YEAR((Tahmin!$C$4+55)),MONTH((Tahmin!$C$4+55)),MIN(DAY(Kalemler!$D200),DAY(EOMONTH((Tahmin!$C$4+55),0))))&lt;=(Tahmin!$C$4+55),DATE(YEAR((Tahmin!$C$4+55)),MONTH((Tahmin!$C$4+55)),MIN(DAY(Kalemler!$D200),DAY(EOMONTH((Tahmin!$C$4+55),0))))&lt;&gt;DATE(YEAR((Tahmin!$C$4+49)),MONTH((Tahmin!$C$4+49)),MIN(DAY(Kalemler!$D200),DAY(EOMONTH((Tahmin!$C$4+49),0)))),DATE(YEAR((Tahmin!$C$4+55)),MONTH((Tahmin!$C$4+55)),MIN(DAY(Kalemler!$D200),DAY(EOMONTH((Tahmin!$C$4+55),0))))&gt;=Kalemler!$D200)),1,0),IF(AND(Kalemler!$D200&gt;=(Tahmin!$C$4+49),Kalemler!$D200&lt;=(Tahmin!$C$4+55)),1,0))))</f>
        <v>0</v>
      </c>
      <c r="J200" s="0" t="n">
        <f aca="false">IF(OR(Kalemler!$A200="",Kalemler!$C200="",Kalemler!$D200=""),0,Kalemler!$C200*IF(Kalemler!$E200="Haftalık",IF(Kalemler!$D200&lt;=(Tahmin!$C$4+62),1,0),IF(Kalemler!$E200="Aylık",IF(OR(AND(DATE(YEAR((Tahmin!$C$4+56)),MONTH((Tahmin!$C$4+56)),MIN(DAY(Kalemler!$D200),DAY(EOMONTH((Tahmin!$C$4+56),0))))&gt;=(Tahmin!$C$4+56),DATE(YEAR((Tahmin!$C$4+56)),MONTH((Tahmin!$C$4+56)),MIN(DAY(Kalemler!$D200),DAY(EOMONTH((Tahmin!$C$4+56),0))))&lt;=(Tahmin!$C$4+62),DATE(YEAR((Tahmin!$C$4+56)),MONTH((Tahmin!$C$4+56)),MIN(DAY(Kalemler!$D200),DAY(EOMONTH((Tahmin!$C$4+56),0))))&gt;=Kalemler!$D200),AND(DATE(YEAR((Tahmin!$C$4+62)),MONTH((Tahmin!$C$4+62)),MIN(DAY(Kalemler!$D200),DAY(EOMONTH((Tahmin!$C$4+62),0))))&gt;=(Tahmin!$C$4+56),DATE(YEAR((Tahmin!$C$4+62)),MONTH((Tahmin!$C$4+62)),MIN(DAY(Kalemler!$D200),DAY(EOMONTH((Tahmin!$C$4+62),0))))&lt;=(Tahmin!$C$4+62),DATE(YEAR((Tahmin!$C$4+62)),MONTH((Tahmin!$C$4+62)),MIN(DAY(Kalemler!$D200),DAY(EOMONTH((Tahmin!$C$4+62),0))))&lt;&gt;DATE(YEAR((Tahmin!$C$4+56)),MONTH((Tahmin!$C$4+56)),MIN(DAY(Kalemler!$D200),DAY(EOMONTH((Tahmin!$C$4+56),0)))),DATE(YEAR((Tahmin!$C$4+62)),MONTH((Tahmin!$C$4+62)),MIN(DAY(Kalemler!$D200),DAY(EOMONTH((Tahmin!$C$4+62),0))))&gt;=Kalemler!$D200)),1,0),IF(AND(Kalemler!$D200&gt;=(Tahmin!$C$4+56),Kalemler!$D200&lt;=(Tahmin!$C$4+62)),1,0))))</f>
        <v>0</v>
      </c>
      <c r="K200" s="0" t="n">
        <f aca="false">IF(OR(Kalemler!$A200="",Kalemler!$C200="",Kalemler!$D200=""),0,Kalemler!$C200*IF(Kalemler!$E200="Haftalık",IF(Kalemler!$D200&lt;=(Tahmin!$C$4+69),1,0),IF(Kalemler!$E200="Aylık",IF(OR(AND(DATE(YEAR((Tahmin!$C$4+63)),MONTH((Tahmin!$C$4+63)),MIN(DAY(Kalemler!$D200),DAY(EOMONTH((Tahmin!$C$4+63),0))))&gt;=(Tahmin!$C$4+63),DATE(YEAR((Tahmin!$C$4+63)),MONTH((Tahmin!$C$4+63)),MIN(DAY(Kalemler!$D200),DAY(EOMONTH((Tahmin!$C$4+63),0))))&lt;=(Tahmin!$C$4+69),DATE(YEAR((Tahmin!$C$4+63)),MONTH((Tahmin!$C$4+63)),MIN(DAY(Kalemler!$D200),DAY(EOMONTH((Tahmin!$C$4+63),0))))&gt;=Kalemler!$D200),AND(DATE(YEAR((Tahmin!$C$4+69)),MONTH((Tahmin!$C$4+69)),MIN(DAY(Kalemler!$D200),DAY(EOMONTH((Tahmin!$C$4+69),0))))&gt;=(Tahmin!$C$4+63),DATE(YEAR((Tahmin!$C$4+69)),MONTH((Tahmin!$C$4+69)),MIN(DAY(Kalemler!$D200),DAY(EOMONTH((Tahmin!$C$4+69),0))))&lt;=(Tahmin!$C$4+69),DATE(YEAR((Tahmin!$C$4+69)),MONTH((Tahmin!$C$4+69)),MIN(DAY(Kalemler!$D200),DAY(EOMONTH((Tahmin!$C$4+69),0))))&lt;&gt;DATE(YEAR((Tahmin!$C$4+63)),MONTH((Tahmin!$C$4+63)),MIN(DAY(Kalemler!$D200),DAY(EOMONTH((Tahmin!$C$4+63),0)))),DATE(YEAR((Tahmin!$C$4+69)),MONTH((Tahmin!$C$4+69)),MIN(DAY(Kalemler!$D200),DAY(EOMONTH((Tahmin!$C$4+69),0))))&gt;=Kalemler!$D200)),1,0),IF(AND(Kalemler!$D200&gt;=(Tahmin!$C$4+63),Kalemler!$D200&lt;=(Tahmin!$C$4+69)),1,0))))</f>
        <v>0</v>
      </c>
      <c r="L200" s="0" t="n">
        <f aca="false">IF(OR(Kalemler!$A200="",Kalemler!$C200="",Kalemler!$D200=""),0,Kalemler!$C200*IF(Kalemler!$E200="Haftalık",IF(Kalemler!$D200&lt;=(Tahmin!$C$4+76),1,0),IF(Kalemler!$E200="Aylık",IF(OR(AND(DATE(YEAR((Tahmin!$C$4+70)),MONTH((Tahmin!$C$4+70)),MIN(DAY(Kalemler!$D200),DAY(EOMONTH((Tahmin!$C$4+70),0))))&gt;=(Tahmin!$C$4+70),DATE(YEAR((Tahmin!$C$4+70)),MONTH((Tahmin!$C$4+70)),MIN(DAY(Kalemler!$D200),DAY(EOMONTH((Tahmin!$C$4+70),0))))&lt;=(Tahmin!$C$4+76),DATE(YEAR((Tahmin!$C$4+70)),MONTH((Tahmin!$C$4+70)),MIN(DAY(Kalemler!$D200),DAY(EOMONTH((Tahmin!$C$4+70),0))))&gt;=Kalemler!$D200),AND(DATE(YEAR((Tahmin!$C$4+76)),MONTH((Tahmin!$C$4+76)),MIN(DAY(Kalemler!$D200),DAY(EOMONTH((Tahmin!$C$4+76),0))))&gt;=(Tahmin!$C$4+70),DATE(YEAR((Tahmin!$C$4+76)),MONTH((Tahmin!$C$4+76)),MIN(DAY(Kalemler!$D200),DAY(EOMONTH((Tahmin!$C$4+76),0))))&lt;=(Tahmin!$C$4+76),DATE(YEAR((Tahmin!$C$4+76)),MONTH((Tahmin!$C$4+76)),MIN(DAY(Kalemler!$D200),DAY(EOMONTH((Tahmin!$C$4+76),0))))&lt;&gt;DATE(YEAR((Tahmin!$C$4+70)),MONTH((Tahmin!$C$4+70)),MIN(DAY(Kalemler!$D200),DAY(EOMONTH((Tahmin!$C$4+70),0)))),DATE(YEAR((Tahmin!$C$4+76)),MONTH((Tahmin!$C$4+76)),MIN(DAY(Kalemler!$D200),DAY(EOMONTH((Tahmin!$C$4+76),0))))&gt;=Kalemler!$D200)),1,0),IF(AND(Kalemler!$D200&gt;=(Tahmin!$C$4+70),Kalemler!$D200&lt;=(Tahmin!$C$4+76)),1,0))))</f>
        <v>0</v>
      </c>
      <c r="M200" s="0" t="n">
        <f aca="false">IF(OR(Kalemler!$A200="",Kalemler!$C200="",Kalemler!$D200=""),0,Kalemler!$C200*IF(Kalemler!$E200="Haftalık",IF(Kalemler!$D200&lt;=(Tahmin!$C$4+83),1,0),IF(Kalemler!$E200="Aylık",IF(OR(AND(DATE(YEAR((Tahmin!$C$4+77)),MONTH((Tahmin!$C$4+77)),MIN(DAY(Kalemler!$D200),DAY(EOMONTH((Tahmin!$C$4+77),0))))&gt;=(Tahmin!$C$4+77),DATE(YEAR((Tahmin!$C$4+77)),MONTH((Tahmin!$C$4+77)),MIN(DAY(Kalemler!$D200),DAY(EOMONTH((Tahmin!$C$4+77),0))))&lt;=(Tahmin!$C$4+83),DATE(YEAR((Tahmin!$C$4+77)),MONTH((Tahmin!$C$4+77)),MIN(DAY(Kalemler!$D200),DAY(EOMONTH((Tahmin!$C$4+77),0))))&gt;=Kalemler!$D200),AND(DATE(YEAR((Tahmin!$C$4+83)),MONTH((Tahmin!$C$4+83)),MIN(DAY(Kalemler!$D200),DAY(EOMONTH((Tahmin!$C$4+83),0))))&gt;=(Tahmin!$C$4+77),DATE(YEAR((Tahmin!$C$4+83)),MONTH((Tahmin!$C$4+83)),MIN(DAY(Kalemler!$D200),DAY(EOMONTH((Tahmin!$C$4+83),0))))&lt;=(Tahmin!$C$4+83),DATE(YEAR((Tahmin!$C$4+83)),MONTH((Tahmin!$C$4+83)),MIN(DAY(Kalemler!$D200),DAY(EOMONTH((Tahmin!$C$4+83),0))))&lt;&gt;DATE(YEAR((Tahmin!$C$4+77)),MONTH((Tahmin!$C$4+77)),MIN(DAY(Kalemler!$D200),DAY(EOMONTH((Tahmin!$C$4+77),0)))),DATE(YEAR((Tahmin!$C$4+83)),MONTH((Tahmin!$C$4+83)),MIN(DAY(Kalemler!$D200),DAY(EOMONTH((Tahmin!$C$4+83),0))))&gt;=Kalemler!$D200)),1,0),IF(AND(Kalemler!$D200&gt;=(Tahmin!$C$4+77),Kalemler!$D200&lt;=(Tahmin!$C$4+83)),1,0))))</f>
        <v>0</v>
      </c>
      <c r="N200" s="0" t="n">
        <f aca="false">IF(OR(Kalemler!$A200="",Kalemler!$C200="",Kalemler!$D200=""),0,Kalemler!$C200*IF(Kalemler!$E200="Haftalık",IF(Kalemler!$D200&lt;=(Tahmin!$C$4+90),1,0),IF(Kalemler!$E200="Aylık",IF(OR(AND(DATE(YEAR((Tahmin!$C$4+84)),MONTH((Tahmin!$C$4+84)),MIN(DAY(Kalemler!$D200),DAY(EOMONTH((Tahmin!$C$4+84),0))))&gt;=(Tahmin!$C$4+84),DATE(YEAR((Tahmin!$C$4+84)),MONTH((Tahmin!$C$4+84)),MIN(DAY(Kalemler!$D200),DAY(EOMONTH((Tahmin!$C$4+84),0))))&lt;=(Tahmin!$C$4+90),DATE(YEAR((Tahmin!$C$4+84)),MONTH((Tahmin!$C$4+84)),MIN(DAY(Kalemler!$D200),DAY(EOMONTH((Tahmin!$C$4+84),0))))&gt;=Kalemler!$D200),AND(DATE(YEAR((Tahmin!$C$4+90)),MONTH((Tahmin!$C$4+90)),MIN(DAY(Kalemler!$D200),DAY(EOMONTH((Tahmin!$C$4+90),0))))&gt;=(Tahmin!$C$4+84),DATE(YEAR((Tahmin!$C$4+90)),MONTH((Tahmin!$C$4+90)),MIN(DAY(Kalemler!$D200),DAY(EOMONTH((Tahmin!$C$4+90),0))))&lt;=(Tahmin!$C$4+90),DATE(YEAR((Tahmin!$C$4+90)),MONTH((Tahmin!$C$4+90)),MIN(DAY(Kalemler!$D200),DAY(EOMONTH((Tahmin!$C$4+90),0))))&lt;&gt;DATE(YEAR((Tahmin!$C$4+84)),MONTH((Tahmin!$C$4+84)),MIN(DAY(Kalemler!$D200),DAY(EOMONTH((Tahmin!$C$4+84),0)))),DATE(YEAR((Tahmin!$C$4+90)),MONTH((Tahmin!$C$4+90)),MIN(DAY(Kalemler!$D200),DAY(EOMONTH((Tahmin!$C$4+90),0))))&gt;=Kalemler!$D200)),1,0),IF(AND(Kalemler!$D200&gt;=(Tahmin!$C$4+84),Kalemler!$D200&lt;=(Tahmin!$C$4+90)),1,0))))</f>
        <v>0</v>
      </c>
    </row>
    <row r="201" customFormat="false" ht="15" hidden="false" customHeight="false" outlineLevel="0" collapsed="false">
      <c r="A201" s="0" t="str">
        <f aca="false">IF(Kalemler!A201="","",Kalemler!A201)</f>
        <v/>
      </c>
      <c r="B201" s="0" t="n">
        <f aca="false">IF(OR(Kalemler!$A201="",Kalemler!$C201="",Kalemler!$D201=""),0,Kalemler!$C201*IF(Kalemler!$E201="Haftalık",IF(Kalemler!$D201&lt;=(Tahmin!$C$4+6),1,0),IF(Kalemler!$E201="Aylık",IF(OR(AND(DATE(YEAR((Tahmin!$C$4+0)),MONTH((Tahmin!$C$4+0)),MIN(DAY(Kalemler!$D201),DAY(EOMONTH((Tahmin!$C$4+0),0))))&gt;=(Tahmin!$C$4+0),DATE(YEAR((Tahmin!$C$4+0)),MONTH((Tahmin!$C$4+0)),MIN(DAY(Kalemler!$D201),DAY(EOMONTH((Tahmin!$C$4+0),0))))&lt;=(Tahmin!$C$4+6),DATE(YEAR((Tahmin!$C$4+0)),MONTH((Tahmin!$C$4+0)),MIN(DAY(Kalemler!$D201),DAY(EOMONTH((Tahmin!$C$4+0),0))))&gt;=Kalemler!$D201),AND(DATE(YEAR((Tahmin!$C$4+6)),MONTH((Tahmin!$C$4+6)),MIN(DAY(Kalemler!$D201),DAY(EOMONTH((Tahmin!$C$4+6),0))))&gt;=(Tahmin!$C$4+0),DATE(YEAR((Tahmin!$C$4+6)),MONTH((Tahmin!$C$4+6)),MIN(DAY(Kalemler!$D201),DAY(EOMONTH((Tahmin!$C$4+6),0))))&lt;=(Tahmin!$C$4+6),DATE(YEAR((Tahmin!$C$4+6)),MONTH((Tahmin!$C$4+6)),MIN(DAY(Kalemler!$D201),DAY(EOMONTH((Tahmin!$C$4+6),0))))&lt;&gt;DATE(YEAR((Tahmin!$C$4+0)),MONTH((Tahmin!$C$4+0)),MIN(DAY(Kalemler!$D201),DAY(EOMONTH((Tahmin!$C$4+0),0)))),DATE(YEAR((Tahmin!$C$4+6)),MONTH((Tahmin!$C$4+6)),MIN(DAY(Kalemler!$D201),DAY(EOMONTH((Tahmin!$C$4+6),0))))&gt;=Kalemler!$D201)),1,0),IF(AND(Kalemler!$D201&gt;=(Tahmin!$C$4+0),Kalemler!$D201&lt;=(Tahmin!$C$4+6)),1,0))))</f>
        <v>0</v>
      </c>
      <c r="C201" s="0" t="n">
        <f aca="false">IF(OR(Kalemler!$A201="",Kalemler!$C201="",Kalemler!$D201=""),0,Kalemler!$C201*IF(Kalemler!$E201="Haftalık",IF(Kalemler!$D201&lt;=(Tahmin!$C$4+13),1,0),IF(Kalemler!$E201="Aylık",IF(OR(AND(DATE(YEAR((Tahmin!$C$4+7)),MONTH((Tahmin!$C$4+7)),MIN(DAY(Kalemler!$D201),DAY(EOMONTH((Tahmin!$C$4+7),0))))&gt;=(Tahmin!$C$4+7),DATE(YEAR((Tahmin!$C$4+7)),MONTH((Tahmin!$C$4+7)),MIN(DAY(Kalemler!$D201),DAY(EOMONTH((Tahmin!$C$4+7),0))))&lt;=(Tahmin!$C$4+13),DATE(YEAR((Tahmin!$C$4+7)),MONTH((Tahmin!$C$4+7)),MIN(DAY(Kalemler!$D201),DAY(EOMONTH((Tahmin!$C$4+7),0))))&gt;=Kalemler!$D201),AND(DATE(YEAR((Tahmin!$C$4+13)),MONTH((Tahmin!$C$4+13)),MIN(DAY(Kalemler!$D201),DAY(EOMONTH((Tahmin!$C$4+13),0))))&gt;=(Tahmin!$C$4+7),DATE(YEAR((Tahmin!$C$4+13)),MONTH((Tahmin!$C$4+13)),MIN(DAY(Kalemler!$D201),DAY(EOMONTH((Tahmin!$C$4+13),0))))&lt;=(Tahmin!$C$4+13),DATE(YEAR((Tahmin!$C$4+13)),MONTH((Tahmin!$C$4+13)),MIN(DAY(Kalemler!$D201),DAY(EOMONTH((Tahmin!$C$4+13),0))))&lt;&gt;DATE(YEAR((Tahmin!$C$4+7)),MONTH((Tahmin!$C$4+7)),MIN(DAY(Kalemler!$D201),DAY(EOMONTH((Tahmin!$C$4+7),0)))),DATE(YEAR((Tahmin!$C$4+13)),MONTH((Tahmin!$C$4+13)),MIN(DAY(Kalemler!$D201),DAY(EOMONTH((Tahmin!$C$4+13),0))))&gt;=Kalemler!$D201)),1,0),IF(AND(Kalemler!$D201&gt;=(Tahmin!$C$4+7),Kalemler!$D201&lt;=(Tahmin!$C$4+13)),1,0))))</f>
        <v>0</v>
      </c>
      <c r="D201" s="0" t="n">
        <f aca="false">IF(OR(Kalemler!$A201="",Kalemler!$C201="",Kalemler!$D201=""),0,Kalemler!$C201*IF(Kalemler!$E201="Haftalık",IF(Kalemler!$D201&lt;=(Tahmin!$C$4+20),1,0),IF(Kalemler!$E201="Aylık",IF(OR(AND(DATE(YEAR((Tahmin!$C$4+14)),MONTH((Tahmin!$C$4+14)),MIN(DAY(Kalemler!$D201),DAY(EOMONTH((Tahmin!$C$4+14),0))))&gt;=(Tahmin!$C$4+14),DATE(YEAR((Tahmin!$C$4+14)),MONTH((Tahmin!$C$4+14)),MIN(DAY(Kalemler!$D201),DAY(EOMONTH((Tahmin!$C$4+14),0))))&lt;=(Tahmin!$C$4+20),DATE(YEAR((Tahmin!$C$4+14)),MONTH((Tahmin!$C$4+14)),MIN(DAY(Kalemler!$D201),DAY(EOMONTH((Tahmin!$C$4+14),0))))&gt;=Kalemler!$D201),AND(DATE(YEAR((Tahmin!$C$4+20)),MONTH((Tahmin!$C$4+20)),MIN(DAY(Kalemler!$D201),DAY(EOMONTH((Tahmin!$C$4+20),0))))&gt;=(Tahmin!$C$4+14),DATE(YEAR((Tahmin!$C$4+20)),MONTH((Tahmin!$C$4+20)),MIN(DAY(Kalemler!$D201),DAY(EOMONTH((Tahmin!$C$4+20),0))))&lt;=(Tahmin!$C$4+20),DATE(YEAR((Tahmin!$C$4+20)),MONTH((Tahmin!$C$4+20)),MIN(DAY(Kalemler!$D201),DAY(EOMONTH((Tahmin!$C$4+20),0))))&lt;&gt;DATE(YEAR((Tahmin!$C$4+14)),MONTH((Tahmin!$C$4+14)),MIN(DAY(Kalemler!$D201),DAY(EOMONTH((Tahmin!$C$4+14),0)))),DATE(YEAR((Tahmin!$C$4+20)),MONTH((Tahmin!$C$4+20)),MIN(DAY(Kalemler!$D201),DAY(EOMONTH((Tahmin!$C$4+20),0))))&gt;=Kalemler!$D201)),1,0),IF(AND(Kalemler!$D201&gt;=(Tahmin!$C$4+14),Kalemler!$D201&lt;=(Tahmin!$C$4+20)),1,0))))</f>
        <v>0</v>
      </c>
      <c r="E201" s="0" t="n">
        <f aca="false">IF(OR(Kalemler!$A201="",Kalemler!$C201="",Kalemler!$D201=""),0,Kalemler!$C201*IF(Kalemler!$E201="Haftalık",IF(Kalemler!$D201&lt;=(Tahmin!$C$4+27),1,0),IF(Kalemler!$E201="Aylık",IF(OR(AND(DATE(YEAR((Tahmin!$C$4+21)),MONTH((Tahmin!$C$4+21)),MIN(DAY(Kalemler!$D201),DAY(EOMONTH((Tahmin!$C$4+21),0))))&gt;=(Tahmin!$C$4+21),DATE(YEAR((Tahmin!$C$4+21)),MONTH((Tahmin!$C$4+21)),MIN(DAY(Kalemler!$D201),DAY(EOMONTH((Tahmin!$C$4+21),0))))&lt;=(Tahmin!$C$4+27),DATE(YEAR((Tahmin!$C$4+21)),MONTH((Tahmin!$C$4+21)),MIN(DAY(Kalemler!$D201),DAY(EOMONTH((Tahmin!$C$4+21),0))))&gt;=Kalemler!$D201),AND(DATE(YEAR((Tahmin!$C$4+27)),MONTH((Tahmin!$C$4+27)),MIN(DAY(Kalemler!$D201),DAY(EOMONTH((Tahmin!$C$4+27),0))))&gt;=(Tahmin!$C$4+21),DATE(YEAR((Tahmin!$C$4+27)),MONTH((Tahmin!$C$4+27)),MIN(DAY(Kalemler!$D201),DAY(EOMONTH((Tahmin!$C$4+27),0))))&lt;=(Tahmin!$C$4+27),DATE(YEAR((Tahmin!$C$4+27)),MONTH((Tahmin!$C$4+27)),MIN(DAY(Kalemler!$D201),DAY(EOMONTH((Tahmin!$C$4+27),0))))&lt;&gt;DATE(YEAR((Tahmin!$C$4+21)),MONTH((Tahmin!$C$4+21)),MIN(DAY(Kalemler!$D201),DAY(EOMONTH((Tahmin!$C$4+21),0)))),DATE(YEAR((Tahmin!$C$4+27)),MONTH((Tahmin!$C$4+27)),MIN(DAY(Kalemler!$D201),DAY(EOMONTH((Tahmin!$C$4+27),0))))&gt;=Kalemler!$D201)),1,0),IF(AND(Kalemler!$D201&gt;=(Tahmin!$C$4+21),Kalemler!$D201&lt;=(Tahmin!$C$4+27)),1,0))))</f>
        <v>0</v>
      </c>
      <c r="F201" s="0" t="n">
        <f aca="false">IF(OR(Kalemler!$A201="",Kalemler!$C201="",Kalemler!$D201=""),0,Kalemler!$C201*IF(Kalemler!$E201="Haftalık",IF(Kalemler!$D201&lt;=(Tahmin!$C$4+34),1,0),IF(Kalemler!$E201="Aylık",IF(OR(AND(DATE(YEAR((Tahmin!$C$4+28)),MONTH((Tahmin!$C$4+28)),MIN(DAY(Kalemler!$D201),DAY(EOMONTH((Tahmin!$C$4+28),0))))&gt;=(Tahmin!$C$4+28),DATE(YEAR((Tahmin!$C$4+28)),MONTH((Tahmin!$C$4+28)),MIN(DAY(Kalemler!$D201),DAY(EOMONTH((Tahmin!$C$4+28),0))))&lt;=(Tahmin!$C$4+34),DATE(YEAR((Tahmin!$C$4+28)),MONTH((Tahmin!$C$4+28)),MIN(DAY(Kalemler!$D201),DAY(EOMONTH((Tahmin!$C$4+28),0))))&gt;=Kalemler!$D201),AND(DATE(YEAR((Tahmin!$C$4+34)),MONTH((Tahmin!$C$4+34)),MIN(DAY(Kalemler!$D201),DAY(EOMONTH((Tahmin!$C$4+34),0))))&gt;=(Tahmin!$C$4+28),DATE(YEAR((Tahmin!$C$4+34)),MONTH((Tahmin!$C$4+34)),MIN(DAY(Kalemler!$D201),DAY(EOMONTH((Tahmin!$C$4+34),0))))&lt;=(Tahmin!$C$4+34),DATE(YEAR((Tahmin!$C$4+34)),MONTH((Tahmin!$C$4+34)),MIN(DAY(Kalemler!$D201),DAY(EOMONTH((Tahmin!$C$4+34),0))))&lt;&gt;DATE(YEAR((Tahmin!$C$4+28)),MONTH((Tahmin!$C$4+28)),MIN(DAY(Kalemler!$D201),DAY(EOMONTH((Tahmin!$C$4+28),0)))),DATE(YEAR((Tahmin!$C$4+34)),MONTH((Tahmin!$C$4+34)),MIN(DAY(Kalemler!$D201),DAY(EOMONTH((Tahmin!$C$4+34),0))))&gt;=Kalemler!$D201)),1,0),IF(AND(Kalemler!$D201&gt;=(Tahmin!$C$4+28),Kalemler!$D201&lt;=(Tahmin!$C$4+34)),1,0))))</f>
        <v>0</v>
      </c>
      <c r="G201" s="0" t="n">
        <f aca="false">IF(OR(Kalemler!$A201="",Kalemler!$C201="",Kalemler!$D201=""),0,Kalemler!$C201*IF(Kalemler!$E201="Haftalık",IF(Kalemler!$D201&lt;=(Tahmin!$C$4+41),1,0),IF(Kalemler!$E201="Aylık",IF(OR(AND(DATE(YEAR((Tahmin!$C$4+35)),MONTH((Tahmin!$C$4+35)),MIN(DAY(Kalemler!$D201),DAY(EOMONTH((Tahmin!$C$4+35),0))))&gt;=(Tahmin!$C$4+35),DATE(YEAR((Tahmin!$C$4+35)),MONTH((Tahmin!$C$4+35)),MIN(DAY(Kalemler!$D201),DAY(EOMONTH((Tahmin!$C$4+35),0))))&lt;=(Tahmin!$C$4+41),DATE(YEAR((Tahmin!$C$4+35)),MONTH((Tahmin!$C$4+35)),MIN(DAY(Kalemler!$D201),DAY(EOMONTH((Tahmin!$C$4+35),0))))&gt;=Kalemler!$D201),AND(DATE(YEAR((Tahmin!$C$4+41)),MONTH((Tahmin!$C$4+41)),MIN(DAY(Kalemler!$D201),DAY(EOMONTH((Tahmin!$C$4+41),0))))&gt;=(Tahmin!$C$4+35),DATE(YEAR((Tahmin!$C$4+41)),MONTH((Tahmin!$C$4+41)),MIN(DAY(Kalemler!$D201),DAY(EOMONTH((Tahmin!$C$4+41),0))))&lt;=(Tahmin!$C$4+41),DATE(YEAR((Tahmin!$C$4+41)),MONTH((Tahmin!$C$4+41)),MIN(DAY(Kalemler!$D201),DAY(EOMONTH((Tahmin!$C$4+41),0))))&lt;&gt;DATE(YEAR((Tahmin!$C$4+35)),MONTH((Tahmin!$C$4+35)),MIN(DAY(Kalemler!$D201),DAY(EOMONTH((Tahmin!$C$4+35),0)))),DATE(YEAR((Tahmin!$C$4+41)),MONTH((Tahmin!$C$4+41)),MIN(DAY(Kalemler!$D201),DAY(EOMONTH((Tahmin!$C$4+41),0))))&gt;=Kalemler!$D201)),1,0),IF(AND(Kalemler!$D201&gt;=(Tahmin!$C$4+35),Kalemler!$D201&lt;=(Tahmin!$C$4+41)),1,0))))</f>
        <v>0</v>
      </c>
      <c r="H201" s="0" t="n">
        <f aca="false">IF(OR(Kalemler!$A201="",Kalemler!$C201="",Kalemler!$D201=""),0,Kalemler!$C201*IF(Kalemler!$E201="Haftalık",IF(Kalemler!$D201&lt;=(Tahmin!$C$4+48),1,0),IF(Kalemler!$E201="Aylık",IF(OR(AND(DATE(YEAR((Tahmin!$C$4+42)),MONTH((Tahmin!$C$4+42)),MIN(DAY(Kalemler!$D201),DAY(EOMONTH((Tahmin!$C$4+42),0))))&gt;=(Tahmin!$C$4+42),DATE(YEAR((Tahmin!$C$4+42)),MONTH((Tahmin!$C$4+42)),MIN(DAY(Kalemler!$D201),DAY(EOMONTH((Tahmin!$C$4+42),0))))&lt;=(Tahmin!$C$4+48),DATE(YEAR((Tahmin!$C$4+42)),MONTH((Tahmin!$C$4+42)),MIN(DAY(Kalemler!$D201),DAY(EOMONTH((Tahmin!$C$4+42),0))))&gt;=Kalemler!$D201),AND(DATE(YEAR((Tahmin!$C$4+48)),MONTH((Tahmin!$C$4+48)),MIN(DAY(Kalemler!$D201),DAY(EOMONTH((Tahmin!$C$4+48),0))))&gt;=(Tahmin!$C$4+42),DATE(YEAR((Tahmin!$C$4+48)),MONTH((Tahmin!$C$4+48)),MIN(DAY(Kalemler!$D201),DAY(EOMONTH((Tahmin!$C$4+48),0))))&lt;=(Tahmin!$C$4+48),DATE(YEAR((Tahmin!$C$4+48)),MONTH((Tahmin!$C$4+48)),MIN(DAY(Kalemler!$D201),DAY(EOMONTH((Tahmin!$C$4+48),0))))&lt;&gt;DATE(YEAR((Tahmin!$C$4+42)),MONTH((Tahmin!$C$4+42)),MIN(DAY(Kalemler!$D201),DAY(EOMONTH((Tahmin!$C$4+42),0)))),DATE(YEAR((Tahmin!$C$4+48)),MONTH((Tahmin!$C$4+48)),MIN(DAY(Kalemler!$D201),DAY(EOMONTH((Tahmin!$C$4+48),0))))&gt;=Kalemler!$D201)),1,0),IF(AND(Kalemler!$D201&gt;=(Tahmin!$C$4+42),Kalemler!$D201&lt;=(Tahmin!$C$4+48)),1,0))))</f>
        <v>0</v>
      </c>
      <c r="I201" s="0" t="n">
        <f aca="false">IF(OR(Kalemler!$A201="",Kalemler!$C201="",Kalemler!$D201=""),0,Kalemler!$C201*IF(Kalemler!$E201="Haftalık",IF(Kalemler!$D201&lt;=(Tahmin!$C$4+55),1,0),IF(Kalemler!$E201="Aylık",IF(OR(AND(DATE(YEAR((Tahmin!$C$4+49)),MONTH((Tahmin!$C$4+49)),MIN(DAY(Kalemler!$D201),DAY(EOMONTH((Tahmin!$C$4+49),0))))&gt;=(Tahmin!$C$4+49),DATE(YEAR((Tahmin!$C$4+49)),MONTH((Tahmin!$C$4+49)),MIN(DAY(Kalemler!$D201),DAY(EOMONTH((Tahmin!$C$4+49),0))))&lt;=(Tahmin!$C$4+55),DATE(YEAR((Tahmin!$C$4+49)),MONTH((Tahmin!$C$4+49)),MIN(DAY(Kalemler!$D201),DAY(EOMONTH((Tahmin!$C$4+49),0))))&gt;=Kalemler!$D201),AND(DATE(YEAR((Tahmin!$C$4+55)),MONTH((Tahmin!$C$4+55)),MIN(DAY(Kalemler!$D201),DAY(EOMONTH((Tahmin!$C$4+55),0))))&gt;=(Tahmin!$C$4+49),DATE(YEAR((Tahmin!$C$4+55)),MONTH((Tahmin!$C$4+55)),MIN(DAY(Kalemler!$D201),DAY(EOMONTH((Tahmin!$C$4+55),0))))&lt;=(Tahmin!$C$4+55),DATE(YEAR((Tahmin!$C$4+55)),MONTH((Tahmin!$C$4+55)),MIN(DAY(Kalemler!$D201),DAY(EOMONTH((Tahmin!$C$4+55),0))))&lt;&gt;DATE(YEAR((Tahmin!$C$4+49)),MONTH((Tahmin!$C$4+49)),MIN(DAY(Kalemler!$D201),DAY(EOMONTH((Tahmin!$C$4+49),0)))),DATE(YEAR((Tahmin!$C$4+55)),MONTH((Tahmin!$C$4+55)),MIN(DAY(Kalemler!$D201),DAY(EOMONTH((Tahmin!$C$4+55),0))))&gt;=Kalemler!$D201)),1,0),IF(AND(Kalemler!$D201&gt;=(Tahmin!$C$4+49),Kalemler!$D201&lt;=(Tahmin!$C$4+55)),1,0))))</f>
        <v>0</v>
      </c>
      <c r="J201" s="0" t="n">
        <f aca="false">IF(OR(Kalemler!$A201="",Kalemler!$C201="",Kalemler!$D201=""),0,Kalemler!$C201*IF(Kalemler!$E201="Haftalık",IF(Kalemler!$D201&lt;=(Tahmin!$C$4+62),1,0),IF(Kalemler!$E201="Aylık",IF(OR(AND(DATE(YEAR((Tahmin!$C$4+56)),MONTH((Tahmin!$C$4+56)),MIN(DAY(Kalemler!$D201),DAY(EOMONTH((Tahmin!$C$4+56),0))))&gt;=(Tahmin!$C$4+56),DATE(YEAR((Tahmin!$C$4+56)),MONTH((Tahmin!$C$4+56)),MIN(DAY(Kalemler!$D201),DAY(EOMONTH((Tahmin!$C$4+56),0))))&lt;=(Tahmin!$C$4+62),DATE(YEAR((Tahmin!$C$4+56)),MONTH((Tahmin!$C$4+56)),MIN(DAY(Kalemler!$D201),DAY(EOMONTH((Tahmin!$C$4+56),0))))&gt;=Kalemler!$D201),AND(DATE(YEAR((Tahmin!$C$4+62)),MONTH((Tahmin!$C$4+62)),MIN(DAY(Kalemler!$D201),DAY(EOMONTH((Tahmin!$C$4+62),0))))&gt;=(Tahmin!$C$4+56),DATE(YEAR((Tahmin!$C$4+62)),MONTH((Tahmin!$C$4+62)),MIN(DAY(Kalemler!$D201),DAY(EOMONTH((Tahmin!$C$4+62),0))))&lt;=(Tahmin!$C$4+62),DATE(YEAR((Tahmin!$C$4+62)),MONTH((Tahmin!$C$4+62)),MIN(DAY(Kalemler!$D201),DAY(EOMONTH((Tahmin!$C$4+62),0))))&lt;&gt;DATE(YEAR((Tahmin!$C$4+56)),MONTH((Tahmin!$C$4+56)),MIN(DAY(Kalemler!$D201),DAY(EOMONTH((Tahmin!$C$4+56),0)))),DATE(YEAR((Tahmin!$C$4+62)),MONTH((Tahmin!$C$4+62)),MIN(DAY(Kalemler!$D201),DAY(EOMONTH((Tahmin!$C$4+62),0))))&gt;=Kalemler!$D201)),1,0),IF(AND(Kalemler!$D201&gt;=(Tahmin!$C$4+56),Kalemler!$D201&lt;=(Tahmin!$C$4+62)),1,0))))</f>
        <v>0</v>
      </c>
      <c r="K201" s="0" t="n">
        <f aca="false">IF(OR(Kalemler!$A201="",Kalemler!$C201="",Kalemler!$D201=""),0,Kalemler!$C201*IF(Kalemler!$E201="Haftalık",IF(Kalemler!$D201&lt;=(Tahmin!$C$4+69),1,0),IF(Kalemler!$E201="Aylık",IF(OR(AND(DATE(YEAR((Tahmin!$C$4+63)),MONTH((Tahmin!$C$4+63)),MIN(DAY(Kalemler!$D201),DAY(EOMONTH((Tahmin!$C$4+63),0))))&gt;=(Tahmin!$C$4+63),DATE(YEAR((Tahmin!$C$4+63)),MONTH((Tahmin!$C$4+63)),MIN(DAY(Kalemler!$D201),DAY(EOMONTH((Tahmin!$C$4+63),0))))&lt;=(Tahmin!$C$4+69),DATE(YEAR((Tahmin!$C$4+63)),MONTH((Tahmin!$C$4+63)),MIN(DAY(Kalemler!$D201),DAY(EOMONTH((Tahmin!$C$4+63),0))))&gt;=Kalemler!$D201),AND(DATE(YEAR((Tahmin!$C$4+69)),MONTH((Tahmin!$C$4+69)),MIN(DAY(Kalemler!$D201),DAY(EOMONTH((Tahmin!$C$4+69),0))))&gt;=(Tahmin!$C$4+63),DATE(YEAR((Tahmin!$C$4+69)),MONTH((Tahmin!$C$4+69)),MIN(DAY(Kalemler!$D201),DAY(EOMONTH((Tahmin!$C$4+69),0))))&lt;=(Tahmin!$C$4+69),DATE(YEAR((Tahmin!$C$4+69)),MONTH((Tahmin!$C$4+69)),MIN(DAY(Kalemler!$D201),DAY(EOMONTH((Tahmin!$C$4+69),0))))&lt;&gt;DATE(YEAR((Tahmin!$C$4+63)),MONTH((Tahmin!$C$4+63)),MIN(DAY(Kalemler!$D201),DAY(EOMONTH((Tahmin!$C$4+63),0)))),DATE(YEAR((Tahmin!$C$4+69)),MONTH((Tahmin!$C$4+69)),MIN(DAY(Kalemler!$D201),DAY(EOMONTH((Tahmin!$C$4+69),0))))&gt;=Kalemler!$D201)),1,0),IF(AND(Kalemler!$D201&gt;=(Tahmin!$C$4+63),Kalemler!$D201&lt;=(Tahmin!$C$4+69)),1,0))))</f>
        <v>0</v>
      </c>
      <c r="L201" s="0" t="n">
        <f aca="false">IF(OR(Kalemler!$A201="",Kalemler!$C201="",Kalemler!$D201=""),0,Kalemler!$C201*IF(Kalemler!$E201="Haftalık",IF(Kalemler!$D201&lt;=(Tahmin!$C$4+76),1,0),IF(Kalemler!$E201="Aylık",IF(OR(AND(DATE(YEAR((Tahmin!$C$4+70)),MONTH((Tahmin!$C$4+70)),MIN(DAY(Kalemler!$D201),DAY(EOMONTH((Tahmin!$C$4+70),0))))&gt;=(Tahmin!$C$4+70),DATE(YEAR((Tahmin!$C$4+70)),MONTH((Tahmin!$C$4+70)),MIN(DAY(Kalemler!$D201),DAY(EOMONTH((Tahmin!$C$4+70),0))))&lt;=(Tahmin!$C$4+76),DATE(YEAR((Tahmin!$C$4+70)),MONTH((Tahmin!$C$4+70)),MIN(DAY(Kalemler!$D201),DAY(EOMONTH((Tahmin!$C$4+70),0))))&gt;=Kalemler!$D201),AND(DATE(YEAR((Tahmin!$C$4+76)),MONTH((Tahmin!$C$4+76)),MIN(DAY(Kalemler!$D201),DAY(EOMONTH((Tahmin!$C$4+76),0))))&gt;=(Tahmin!$C$4+70),DATE(YEAR((Tahmin!$C$4+76)),MONTH((Tahmin!$C$4+76)),MIN(DAY(Kalemler!$D201),DAY(EOMONTH((Tahmin!$C$4+76),0))))&lt;=(Tahmin!$C$4+76),DATE(YEAR((Tahmin!$C$4+76)),MONTH((Tahmin!$C$4+76)),MIN(DAY(Kalemler!$D201),DAY(EOMONTH((Tahmin!$C$4+76),0))))&lt;&gt;DATE(YEAR((Tahmin!$C$4+70)),MONTH((Tahmin!$C$4+70)),MIN(DAY(Kalemler!$D201),DAY(EOMONTH((Tahmin!$C$4+70),0)))),DATE(YEAR((Tahmin!$C$4+76)),MONTH((Tahmin!$C$4+76)),MIN(DAY(Kalemler!$D201),DAY(EOMONTH((Tahmin!$C$4+76),0))))&gt;=Kalemler!$D201)),1,0),IF(AND(Kalemler!$D201&gt;=(Tahmin!$C$4+70),Kalemler!$D201&lt;=(Tahmin!$C$4+76)),1,0))))</f>
        <v>0</v>
      </c>
      <c r="M201" s="0" t="n">
        <f aca="false">IF(OR(Kalemler!$A201="",Kalemler!$C201="",Kalemler!$D201=""),0,Kalemler!$C201*IF(Kalemler!$E201="Haftalık",IF(Kalemler!$D201&lt;=(Tahmin!$C$4+83),1,0),IF(Kalemler!$E201="Aylık",IF(OR(AND(DATE(YEAR((Tahmin!$C$4+77)),MONTH((Tahmin!$C$4+77)),MIN(DAY(Kalemler!$D201),DAY(EOMONTH((Tahmin!$C$4+77),0))))&gt;=(Tahmin!$C$4+77),DATE(YEAR((Tahmin!$C$4+77)),MONTH((Tahmin!$C$4+77)),MIN(DAY(Kalemler!$D201),DAY(EOMONTH((Tahmin!$C$4+77),0))))&lt;=(Tahmin!$C$4+83),DATE(YEAR((Tahmin!$C$4+77)),MONTH((Tahmin!$C$4+77)),MIN(DAY(Kalemler!$D201),DAY(EOMONTH((Tahmin!$C$4+77),0))))&gt;=Kalemler!$D201),AND(DATE(YEAR((Tahmin!$C$4+83)),MONTH((Tahmin!$C$4+83)),MIN(DAY(Kalemler!$D201),DAY(EOMONTH((Tahmin!$C$4+83),0))))&gt;=(Tahmin!$C$4+77),DATE(YEAR((Tahmin!$C$4+83)),MONTH((Tahmin!$C$4+83)),MIN(DAY(Kalemler!$D201),DAY(EOMONTH((Tahmin!$C$4+83),0))))&lt;=(Tahmin!$C$4+83),DATE(YEAR((Tahmin!$C$4+83)),MONTH((Tahmin!$C$4+83)),MIN(DAY(Kalemler!$D201),DAY(EOMONTH((Tahmin!$C$4+83),0))))&lt;&gt;DATE(YEAR((Tahmin!$C$4+77)),MONTH((Tahmin!$C$4+77)),MIN(DAY(Kalemler!$D201),DAY(EOMONTH((Tahmin!$C$4+77),0)))),DATE(YEAR((Tahmin!$C$4+83)),MONTH((Tahmin!$C$4+83)),MIN(DAY(Kalemler!$D201),DAY(EOMONTH((Tahmin!$C$4+83),0))))&gt;=Kalemler!$D201)),1,0),IF(AND(Kalemler!$D201&gt;=(Tahmin!$C$4+77),Kalemler!$D201&lt;=(Tahmin!$C$4+83)),1,0))))</f>
        <v>0</v>
      </c>
      <c r="N201" s="0" t="n">
        <f aca="false">IF(OR(Kalemler!$A201="",Kalemler!$C201="",Kalemler!$D201=""),0,Kalemler!$C201*IF(Kalemler!$E201="Haftalık",IF(Kalemler!$D201&lt;=(Tahmin!$C$4+90),1,0),IF(Kalemler!$E201="Aylık",IF(OR(AND(DATE(YEAR((Tahmin!$C$4+84)),MONTH((Tahmin!$C$4+84)),MIN(DAY(Kalemler!$D201),DAY(EOMONTH((Tahmin!$C$4+84),0))))&gt;=(Tahmin!$C$4+84),DATE(YEAR((Tahmin!$C$4+84)),MONTH((Tahmin!$C$4+84)),MIN(DAY(Kalemler!$D201),DAY(EOMONTH((Tahmin!$C$4+84),0))))&lt;=(Tahmin!$C$4+90),DATE(YEAR((Tahmin!$C$4+84)),MONTH((Tahmin!$C$4+84)),MIN(DAY(Kalemler!$D201),DAY(EOMONTH((Tahmin!$C$4+84),0))))&gt;=Kalemler!$D201),AND(DATE(YEAR((Tahmin!$C$4+90)),MONTH((Tahmin!$C$4+90)),MIN(DAY(Kalemler!$D201),DAY(EOMONTH((Tahmin!$C$4+90),0))))&gt;=(Tahmin!$C$4+84),DATE(YEAR((Tahmin!$C$4+90)),MONTH((Tahmin!$C$4+90)),MIN(DAY(Kalemler!$D201),DAY(EOMONTH((Tahmin!$C$4+90),0))))&lt;=(Tahmin!$C$4+90),DATE(YEAR((Tahmin!$C$4+90)),MONTH((Tahmin!$C$4+90)),MIN(DAY(Kalemler!$D201),DAY(EOMONTH((Tahmin!$C$4+90),0))))&lt;&gt;DATE(YEAR((Tahmin!$C$4+84)),MONTH((Tahmin!$C$4+84)),MIN(DAY(Kalemler!$D201),DAY(EOMONTH((Tahmin!$C$4+84),0)))),DATE(YEAR((Tahmin!$C$4+90)),MONTH((Tahmin!$C$4+90)),MIN(DAY(Kalemler!$D201),DAY(EOMONTH((Tahmin!$C$4+90),0))))&gt;=Kalemler!$D201)),1,0),IF(AND(Kalemler!$D201&gt;=(Tahmin!$C$4+84),Kalemler!$D201&lt;=(Tahmin!$C$4+90)),1,0))))</f>
        <v>0</v>
      </c>
    </row>
    <row r="202" customFormat="false" ht="15" hidden="false" customHeight="false" outlineLevel="0" collapsed="false">
      <c r="A202" s="0" t="str">
        <f aca="false">IF(Kalemler!A202="","",Kalemler!A202)</f>
        <v/>
      </c>
      <c r="B202" s="0" t="n">
        <f aca="false">IF(OR(Kalemler!$A202="",Kalemler!$C202="",Kalemler!$D202=""),0,Kalemler!$C202*IF(Kalemler!$E202="Haftalık",IF(Kalemler!$D202&lt;=(Tahmin!$C$4+6),1,0),IF(Kalemler!$E202="Aylık",IF(OR(AND(DATE(YEAR((Tahmin!$C$4+0)),MONTH((Tahmin!$C$4+0)),MIN(DAY(Kalemler!$D202),DAY(EOMONTH((Tahmin!$C$4+0),0))))&gt;=(Tahmin!$C$4+0),DATE(YEAR((Tahmin!$C$4+0)),MONTH((Tahmin!$C$4+0)),MIN(DAY(Kalemler!$D202),DAY(EOMONTH((Tahmin!$C$4+0),0))))&lt;=(Tahmin!$C$4+6),DATE(YEAR((Tahmin!$C$4+0)),MONTH((Tahmin!$C$4+0)),MIN(DAY(Kalemler!$D202),DAY(EOMONTH((Tahmin!$C$4+0),0))))&gt;=Kalemler!$D202),AND(DATE(YEAR((Tahmin!$C$4+6)),MONTH((Tahmin!$C$4+6)),MIN(DAY(Kalemler!$D202),DAY(EOMONTH((Tahmin!$C$4+6),0))))&gt;=(Tahmin!$C$4+0),DATE(YEAR((Tahmin!$C$4+6)),MONTH((Tahmin!$C$4+6)),MIN(DAY(Kalemler!$D202),DAY(EOMONTH((Tahmin!$C$4+6),0))))&lt;=(Tahmin!$C$4+6),DATE(YEAR((Tahmin!$C$4+6)),MONTH((Tahmin!$C$4+6)),MIN(DAY(Kalemler!$D202),DAY(EOMONTH((Tahmin!$C$4+6),0))))&lt;&gt;DATE(YEAR((Tahmin!$C$4+0)),MONTH((Tahmin!$C$4+0)),MIN(DAY(Kalemler!$D202),DAY(EOMONTH((Tahmin!$C$4+0),0)))),DATE(YEAR((Tahmin!$C$4+6)),MONTH((Tahmin!$C$4+6)),MIN(DAY(Kalemler!$D202),DAY(EOMONTH((Tahmin!$C$4+6),0))))&gt;=Kalemler!$D202)),1,0),IF(AND(Kalemler!$D202&gt;=(Tahmin!$C$4+0),Kalemler!$D202&lt;=(Tahmin!$C$4+6)),1,0))))</f>
        <v>0</v>
      </c>
      <c r="C202" s="0" t="n">
        <f aca="false">IF(OR(Kalemler!$A202="",Kalemler!$C202="",Kalemler!$D202=""),0,Kalemler!$C202*IF(Kalemler!$E202="Haftalık",IF(Kalemler!$D202&lt;=(Tahmin!$C$4+13),1,0),IF(Kalemler!$E202="Aylık",IF(OR(AND(DATE(YEAR((Tahmin!$C$4+7)),MONTH((Tahmin!$C$4+7)),MIN(DAY(Kalemler!$D202),DAY(EOMONTH((Tahmin!$C$4+7),0))))&gt;=(Tahmin!$C$4+7),DATE(YEAR((Tahmin!$C$4+7)),MONTH((Tahmin!$C$4+7)),MIN(DAY(Kalemler!$D202),DAY(EOMONTH((Tahmin!$C$4+7),0))))&lt;=(Tahmin!$C$4+13),DATE(YEAR((Tahmin!$C$4+7)),MONTH((Tahmin!$C$4+7)),MIN(DAY(Kalemler!$D202),DAY(EOMONTH((Tahmin!$C$4+7),0))))&gt;=Kalemler!$D202),AND(DATE(YEAR((Tahmin!$C$4+13)),MONTH((Tahmin!$C$4+13)),MIN(DAY(Kalemler!$D202),DAY(EOMONTH((Tahmin!$C$4+13),0))))&gt;=(Tahmin!$C$4+7),DATE(YEAR((Tahmin!$C$4+13)),MONTH((Tahmin!$C$4+13)),MIN(DAY(Kalemler!$D202),DAY(EOMONTH((Tahmin!$C$4+13),0))))&lt;=(Tahmin!$C$4+13),DATE(YEAR((Tahmin!$C$4+13)),MONTH((Tahmin!$C$4+13)),MIN(DAY(Kalemler!$D202),DAY(EOMONTH((Tahmin!$C$4+13),0))))&lt;&gt;DATE(YEAR((Tahmin!$C$4+7)),MONTH((Tahmin!$C$4+7)),MIN(DAY(Kalemler!$D202),DAY(EOMONTH((Tahmin!$C$4+7),0)))),DATE(YEAR((Tahmin!$C$4+13)),MONTH((Tahmin!$C$4+13)),MIN(DAY(Kalemler!$D202),DAY(EOMONTH((Tahmin!$C$4+13),0))))&gt;=Kalemler!$D202)),1,0),IF(AND(Kalemler!$D202&gt;=(Tahmin!$C$4+7),Kalemler!$D202&lt;=(Tahmin!$C$4+13)),1,0))))</f>
        <v>0</v>
      </c>
      <c r="D202" s="0" t="n">
        <f aca="false">IF(OR(Kalemler!$A202="",Kalemler!$C202="",Kalemler!$D202=""),0,Kalemler!$C202*IF(Kalemler!$E202="Haftalık",IF(Kalemler!$D202&lt;=(Tahmin!$C$4+20),1,0),IF(Kalemler!$E202="Aylık",IF(OR(AND(DATE(YEAR((Tahmin!$C$4+14)),MONTH((Tahmin!$C$4+14)),MIN(DAY(Kalemler!$D202),DAY(EOMONTH((Tahmin!$C$4+14),0))))&gt;=(Tahmin!$C$4+14),DATE(YEAR((Tahmin!$C$4+14)),MONTH((Tahmin!$C$4+14)),MIN(DAY(Kalemler!$D202),DAY(EOMONTH((Tahmin!$C$4+14),0))))&lt;=(Tahmin!$C$4+20),DATE(YEAR((Tahmin!$C$4+14)),MONTH((Tahmin!$C$4+14)),MIN(DAY(Kalemler!$D202),DAY(EOMONTH((Tahmin!$C$4+14),0))))&gt;=Kalemler!$D202),AND(DATE(YEAR((Tahmin!$C$4+20)),MONTH((Tahmin!$C$4+20)),MIN(DAY(Kalemler!$D202),DAY(EOMONTH((Tahmin!$C$4+20),0))))&gt;=(Tahmin!$C$4+14),DATE(YEAR((Tahmin!$C$4+20)),MONTH((Tahmin!$C$4+20)),MIN(DAY(Kalemler!$D202),DAY(EOMONTH((Tahmin!$C$4+20),0))))&lt;=(Tahmin!$C$4+20),DATE(YEAR((Tahmin!$C$4+20)),MONTH((Tahmin!$C$4+20)),MIN(DAY(Kalemler!$D202),DAY(EOMONTH((Tahmin!$C$4+20),0))))&lt;&gt;DATE(YEAR((Tahmin!$C$4+14)),MONTH((Tahmin!$C$4+14)),MIN(DAY(Kalemler!$D202),DAY(EOMONTH((Tahmin!$C$4+14),0)))),DATE(YEAR((Tahmin!$C$4+20)),MONTH((Tahmin!$C$4+20)),MIN(DAY(Kalemler!$D202),DAY(EOMONTH((Tahmin!$C$4+20),0))))&gt;=Kalemler!$D202)),1,0),IF(AND(Kalemler!$D202&gt;=(Tahmin!$C$4+14),Kalemler!$D202&lt;=(Tahmin!$C$4+20)),1,0))))</f>
        <v>0</v>
      </c>
      <c r="E202" s="0" t="n">
        <f aca="false">IF(OR(Kalemler!$A202="",Kalemler!$C202="",Kalemler!$D202=""),0,Kalemler!$C202*IF(Kalemler!$E202="Haftalık",IF(Kalemler!$D202&lt;=(Tahmin!$C$4+27),1,0),IF(Kalemler!$E202="Aylık",IF(OR(AND(DATE(YEAR((Tahmin!$C$4+21)),MONTH((Tahmin!$C$4+21)),MIN(DAY(Kalemler!$D202),DAY(EOMONTH((Tahmin!$C$4+21),0))))&gt;=(Tahmin!$C$4+21),DATE(YEAR((Tahmin!$C$4+21)),MONTH((Tahmin!$C$4+21)),MIN(DAY(Kalemler!$D202),DAY(EOMONTH((Tahmin!$C$4+21),0))))&lt;=(Tahmin!$C$4+27),DATE(YEAR((Tahmin!$C$4+21)),MONTH((Tahmin!$C$4+21)),MIN(DAY(Kalemler!$D202),DAY(EOMONTH((Tahmin!$C$4+21),0))))&gt;=Kalemler!$D202),AND(DATE(YEAR((Tahmin!$C$4+27)),MONTH((Tahmin!$C$4+27)),MIN(DAY(Kalemler!$D202),DAY(EOMONTH((Tahmin!$C$4+27),0))))&gt;=(Tahmin!$C$4+21),DATE(YEAR((Tahmin!$C$4+27)),MONTH((Tahmin!$C$4+27)),MIN(DAY(Kalemler!$D202),DAY(EOMONTH((Tahmin!$C$4+27),0))))&lt;=(Tahmin!$C$4+27),DATE(YEAR((Tahmin!$C$4+27)),MONTH((Tahmin!$C$4+27)),MIN(DAY(Kalemler!$D202),DAY(EOMONTH((Tahmin!$C$4+27),0))))&lt;&gt;DATE(YEAR((Tahmin!$C$4+21)),MONTH((Tahmin!$C$4+21)),MIN(DAY(Kalemler!$D202),DAY(EOMONTH((Tahmin!$C$4+21),0)))),DATE(YEAR((Tahmin!$C$4+27)),MONTH((Tahmin!$C$4+27)),MIN(DAY(Kalemler!$D202),DAY(EOMONTH((Tahmin!$C$4+27),0))))&gt;=Kalemler!$D202)),1,0),IF(AND(Kalemler!$D202&gt;=(Tahmin!$C$4+21),Kalemler!$D202&lt;=(Tahmin!$C$4+27)),1,0))))</f>
        <v>0</v>
      </c>
      <c r="F202" s="0" t="n">
        <f aca="false">IF(OR(Kalemler!$A202="",Kalemler!$C202="",Kalemler!$D202=""),0,Kalemler!$C202*IF(Kalemler!$E202="Haftalık",IF(Kalemler!$D202&lt;=(Tahmin!$C$4+34),1,0),IF(Kalemler!$E202="Aylık",IF(OR(AND(DATE(YEAR((Tahmin!$C$4+28)),MONTH((Tahmin!$C$4+28)),MIN(DAY(Kalemler!$D202),DAY(EOMONTH((Tahmin!$C$4+28),0))))&gt;=(Tahmin!$C$4+28),DATE(YEAR((Tahmin!$C$4+28)),MONTH((Tahmin!$C$4+28)),MIN(DAY(Kalemler!$D202),DAY(EOMONTH((Tahmin!$C$4+28),0))))&lt;=(Tahmin!$C$4+34),DATE(YEAR((Tahmin!$C$4+28)),MONTH((Tahmin!$C$4+28)),MIN(DAY(Kalemler!$D202),DAY(EOMONTH((Tahmin!$C$4+28),0))))&gt;=Kalemler!$D202),AND(DATE(YEAR((Tahmin!$C$4+34)),MONTH((Tahmin!$C$4+34)),MIN(DAY(Kalemler!$D202),DAY(EOMONTH((Tahmin!$C$4+34),0))))&gt;=(Tahmin!$C$4+28),DATE(YEAR((Tahmin!$C$4+34)),MONTH((Tahmin!$C$4+34)),MIN(DAY(Kalemler!$D202),DAY(EOMONTH((Tahmin!$C$4+34),0))))&lt;=(Tahmin!$C$4+34),DATE(YEAR((Tahmin!$C$4+34)),MONTH((Tahmin!$C$4+34)),MIN(DAY(Kalemler!$D202),DAY(EOMONTH((Tahmin!$C$4+34),0))))&lt;&gt;DATE(YEAR((Tahmin!$C$4+28)),MONTH((Tahmin!$C$4+28)),MIN(DAY(Kalemler!$D202),DAY(EOMONTH((Tahmin!$C$4+28),0)))),DATE(YEAR((Tahmin!$C$4+34)),MONTH((Tahmin!$C$4+34)),MIN(DAY(Kalemler!$D202),DAY(EOMONTH((Tahmin!$C$4+34),0))))&gt;=Kalemler!$D202)),1,0),IF(AND(Kalemler!$D202&gt;=(Tahmin!$C$4+28),Kalemler!$D202&lt;=(Tahmin!$C$4+34)),1,0))))</f>
        <v>0</v>
      </c>
      <c r="G202" s="0" t="n">
        <f aca="false">IF(OR(Kalemler!$A202="",Kalemler!$C202="",Kalemler!$D202=""),0,Kalemler!$C202*IF(Kalemler!$E202="Haftalık",IF(Kalemler!$D202&lt;=(Tahmin!$C$4+41),1,0),IF(Kalemler!$E202="Aylık",IF(OR(AND(DATE(YEAR((Tahmin!$C$4+35)),MONTH((Tahmin!$C$4+35)),MIN(DAY(Kalemler!$D202),DAY(EOMONTH((Tahmin!$C$4+35),0))))&gt;=(Tahmin!$C$4+35),DATE(YEAR((Tahmin!$C$4+35)),MONTH((Tahmin!$C$4+35)),MIN(DAY(Kalemler!$D202),DAY(EOMONTH((Tahmin!$C$4+35),0))))&lt;=(Tahmin!$C$4+41),DATE(YEAR((Tahmin!$C$4+35)),MONTH((Tahmin!$C$4+35)),MIN(DAY(Kalemler!$D202),DAY(EOMONTH((Tahmin!$C$4+35),0))))&gt;=Kalemler!$D202),AND(DATE(YEAR((Tahmin!$C$4+41)),MONTH((Tahmin!$C$4+41)),MIN(DAY(Kalemler!$D202),DAY(EOMONTH((Tahmin!$C$4+41),0))))&gt;=(Tahmin!$C$4+35),DATE(YEAR((Tahmin!$C$4+41)),MONTH((Tahmin!$C$4+41)),MIN(DAY(Kalemler!$D202),DAY(EOMONTH((Tahmin!$C$4+41),0))))&lt;=(Tahmin!$C$4+41),DATE(YEAR((Tahmin!$C$4+41)),MONTH((Tahmin!$C$4+41)),MIN(DAY(Kalemler!$D202),DAY(EOMONTH((Tahmin!$C$4+41),0))))&lt;&gt;DATE(YEAR((Tahmin!$C$4+35)),MONTH((Tahmin!$C$4+35)),MIN(DAY(Kalemler!$D202),DAY(EOMONTH((Tahmin!$C$4+35),0)))),DATE(YEAR((Tahmin!$C$4+41)),MONTH((Tahmin!$C$4+41)),MIN(DAY(Kalemler!$D202),DAY(EOMONTH((Tahmin!$C$4+41),0))))&gt;=Kalemler!$D202)),1,0),IF(AND(Kalemler!$D202&gt;=(Tahmin!$C$4+35),Kalemler!$D202&lt;=(Tahmin!$C$4+41)),1,0))))</f>
        <v>0</v>
      </c>
      <c r="H202" s="0" t="n">
        <f aca="false">IF(OR(Kalemler!$A202="",Kalemler!$C202="",Kalemler!$D202=""),0,Kalemler!$C202*IF(Kalemler!$E202="Haftalık",IF(Kalemler!$D202&lt;=(Tahmin!$C$4+48),1,0),IF(Kalemler!$E202="Aylık",IF(OR(AND(DATE(YEAR((Tahmin!$C$4+42)),MONTH((Tahmin!$C$4+42)),MIN(DAY(Kalemler!$D202),DAY(EOMONTH((Tahmin!$C$4+42),0))))&gt;=(Tahmin!$C$4+42),DATE(YEAR((Tahmin!$C$4+42)),MONTH((Tahmin!$C$4+42)),MIN(DAY(Kalemler!$D202),DAY(EOMONTH((Tahmin!$C$4+42),0))))&lt;=(Tahmin!$C$4+48),DATE(YEAR((Tahmin!$C$4+42)),MONTH((Tahmin!$C$4+42)),MIN(DAY(Kalemler!$D202),DAY(EOMONTH((Tahmin!$C$4+42),0))))&gt;=Kalemler!$D202),AND(DATE(YEAR((Tahmin!$C$4+48)),MONTH((Tahmin!$C$4+48)),MIN(DAY(Kalemler!$D202),DAY(EOMONTH((Tahmin!$C$4+48),0))))&gt;=(Tahmin!$C$4+42),DATE(YEAR((Tahmin!$C$4+48)),MONTH((Tahmin!$C$4+48)),MIN(DAY(Kalemler!$D202),DAY(EOMONTH((Tahmin!$C$4+48),0))))&lt;=(Tahmin!$C$4+48),DATE(YEAR((Tahmin!$C$4+48)),MONTH((Tahmin!$C$4+48)),MIN(DAY(Kalemler!$D202),DAY(EOMONTH((Tahmin!$C$4+48),0))))&lt;&gt;DATE(YEAR((Tahmin!$C$4+42)),MONTH((Tahmin!$C$4+42)),MIN(DAY(Kalemler!$D202),DAY(EOMONTH((Tahmin!$C$4+42),0)))),DATE(YEAR((Tahmin!$C$4+48)),MONTH((Tahmin!$C$4+48)),MIN(DAY(Kalemler!$D202),DAY(EOMONTH((Tahmin!$C$4+48),0))))&gt;=Kalemler!$D202)),1,0),IF(AND(Kalemler!$D202&gt;=(Tahmin!$C$4+42),Kalemler!$D202&lt;=(Tahmin!$C$4+48)),1,0))))</f>
        <v>0</v>
      </c>
      <c r="I202" s="0" t="n">
        <f aca="false">IF(OR(Kalemler!$A202="",Kalemler!$C202="",Kalemler!$D202=""),0,Kalemler!$C202*IF(Kalemler!$E202="Haftalık",IF(Kalemler!$D202&lt;=(Tahmin!$C$4+55),1,0),IF(Kalemler!$E202="Aylık",IF(OR(AND(DATE(YEAR((Tahmin!$C$4+49)),MONTH((Tahmin!$C$4+49)),MIN(DAY(Kalemler!$D202),DAY(EOMONTH((Tahmin!$C$4+49),0))))&gt;=(Tahmin!$C$4+49),DATE(YEAR((Tahmin!$C$4+49)),MONTH((Tahmin!$C$4+49)),MIN(DAY(Kalemler!$D202),DAY(EOMONTH((Tahmin!$C$4+49),0))))&lt;=(Tahmin!$C$4+55),DATE(YEAR((Tahmin!$C$4+49)),MONTH((Tahmin!$C$4+49)),MIN(DAY(Kalemler!$D202),DAY(EOMONTH((Tahmin!$C$4+49),0))))&gt;=Kalemler!$D202),AND(DATE(YEAR((Tahmin!$C$4+55)),MONTH((Tahmin!$C$4+55)),MIN(DAY(Kalemler!$D202),DAY(EOMONTH((Tahmin!$C$4+55),0))))&gt;=(Tahmin!$C$4+49),DATE(YEAR((Tahmin!$C$4+55)),MONTH((Tahmin!$C$4+55)),MIN(DAY(Kalemler!$D202),DAY(EOMONTH((Tahmin!$C$4+55),0))))&lt;=(Tahmin!$C$4+55),DATE(YEAR((Tahmin!$C$4+55)),MONTH((Tahmin!$C$4+55)),MIN(DAY(Kalemler!$D202),DAY(EOMONTH((Tahmin!$C$4+55),0))))&lt;&gt;DATE(YEAR((Tahmin!$C$4+49)),MONTH((Tahmin!$C$4+49)),MIN(DAY(Kalemler!$D202),DAY(EOMONTH((Tahmin!$C$4+49),0)))),DATE(YEAR((Tahmin!$C$4+55)),MONTH((Tahmin!$C$4+55)),MIN(DAY(Kalemler!$D202),DAY(EOMONTH((Tahmin!$C$4+55),0))))&gt;=Kalemler!$D202)),1,0),IF(AND(Kalemler!$D202&gt;=(Tahmin!$C$4+49),Kalemler!$D202&lt;=(Tahmin!$C$4+55)),1,0))))</f>
        <v>0</v>
      </c>
      <c r="J202" s="0" t="n">
        <f aca="false">IF(OR(Kalemler!$A202="",Kalemler!$C202="",Kalemler!$D202=""),0,Kalemler!$C202*IF(Kalemler!$E202="Haftalık",IF(Kalemler!$D202&lt;=(Tahmin!$C$4+62),1,0),IF(Kalemler!$E202="Aylık",IF(OR(AND(DATE(YEAR((Tahmin!$C$4+56)),MONTH((Tahmin!$C$4+56)),MIN(DAY(Kalemler!$D202),DAY(EOMONTH((Tahmin!$C$4+56),0))))&gt;=(Tahmin!$C$4+56),DATE(YEAR((Tahmin!$C$4+56)),MONTH((Tahmin!$C$4+56)),MIN(DAY(Kalemler!$D202),DAY(EOMONTH((Tahmin!$C$4+56),0))))&lt;=(Tahmin!$C$4+62),DATE(YEAR((Tahmin!$C$4+56)),MONTH((Tahmin!$C$4+56)),MIN(DAY(Kalemler!$D202),DAY(EOMONTH((Tahmin!$C$4+56),0))))&gt;=Kalemler!$D202),AND(DATE(YEAR((Tahmin!$C$4+62)),MONTH((Tahmin!$C$4+62)),MIN(DAY(Kalemler!$D202),DAY(EOMONTH((Tahmin!$C$4+62),0))))&gt;=(Tahmin!$C$4+56),DATE(YEAR((Tahmin!$C$4+62)),MONTH((Tahmin!$C$4+62)),MIN(DAY(Kalemler!$D202),DAY(EOMONTH((Tahmin!$C$4+62),0))))&lt;=(Tahmin!$C$4+62),DATE(YEAR((Tahmin!$C$4+62)),MONTH((Tahmin!$C$4+62)),MIN(DAY(Kalemler!$D202),DAY(EOMONTH((Tahmin!$C$4+62),0))))&lt;&gt;DATE(YEAR((Tahmin!$C$4+56)),MONTH((Tahmin!$C$4+56)),MIN(DAY(Kalemler!$D202),DAY(EOMONTH((Tahmin!$C$4+56),0)))),DATE(YEAR((Tahmin!$C$4+62)),MONTH((Tahmin!$C$4+62)),MIN(DAY(Kalemler!$D202),DAY(EOMONTH((Tahmin!$C$4+62),0))))&gt;=Kalemler!$D202)),1,0),IF(AND(Kalemler!$D202&gt;=(Tahmin!$C$4+56),Kalemler!$D202&lt;=(Tahmin!$C$4+62)),1,0))))</f>
        <v>0</v>
      </c>
      <c r="K202" s="0" t="n">
        <f aca="false">IF(OR(Kalemler!$A202="",Kalemler!$C202="",Kalemler!$D202=""),0,Kalemler!$C202*IF(Kalemler!$E202="Haftalık",IF(Kalemler!$D202&lt;=(Tahmin!$C$4+69),1,0),IF(Kalemler!$E202="Aylık",IF(OR(AND(DATE(YEAR((Tahmin!$C$4+63)),MONTH((Tahmin!$C$4+63)),MIN(DAY(Kalemler!$D202),DAY(EOMONTH((Tahmin!$C$4+63),0))))&gt;=(Tahmin!$C$4+63),DATE(YEAR((Tahmin!$C$4+63)),MONTH((Tahmin!$C$4+63)),MIN(DAY(Kalemler!$D202),DAY(EOMONTH((Tahmin!$C$4+63),0))))&lt;=(Tahmin!$C$4+69),DATE(YEAR((Tahmin!$C$4+63)),MONTH((Tahmin!$C$4+63)),MIN(DAY(Kalemler!$D202),DAY(EOMONTH((Tahmin!$C$4+63),0))))&gt;=Kalemler!$D202),AND(DATE(YEAR((Tahmin!$C$4+69)),MONTH((Tahmin!$C$4+69)),MIN(DAY(Kalemler!$D202),DAY(EOMONTH((Tahmin!$C$4+69),0))))&gt;=(Tahmin!$C$4+63),DATE(YEAR((Tahmin!$C$4+69)),MONTH((Tahmin!$C$4+69)),MIN(DAY(Kalemler!$D202),DAY(EOMONTH((Tahmin!$C$4+69),0))))&lt;=(Tahmin!$C$4+69),DATE(YEAR((Tahmin!$C$4+69)),MONTH((Tahmin!$C$4+69)),MIN(DAY(Kalemler!$D202),DAY(EOMONTH((Tahmin!$C$4+69),0))))&lt;&gt;DATE(YEAR((Tahmin!$C$4+63)),MONTH((Tahmin!$C$4+63)),MIN(DAY(Kalemler!$D202),DAY(EOMONTH((Tahmin!$C$4+63),0)))),DATE(YEAR((Tahmin!$C$4+69)),MONTH((Tahmin!$C$4+69)),MIN(DAY(Kalemler!$D202),DAY(EOMONTH((Tahmin!$C$4+69),0))))&gt;=Kalemler!$D202)),1,0),IF(AND(Kalemler!$D202&gt;=(Tahmin!$C$4+63),Kalemler!$D202&lt;=(Tahmin!$C$4+69)),1,0))))</f>
        <v>0</v>
      </c>
      <c r="L202" s="0" t="n">
        <f aca="false">IF(OR(Kalemler!$A202="",Kalemler!$C202="",Kalemler!$D202=""),0,Kalemler!$C202*IF(Kalemler!$E202="Haftalık",IF(Kalemler!$D202&lt;=(Tahmin!$C$4+76),1,0),IF(Kalemler!$E202="Aylık",IF(OR(AND(DATE(YEAR((Tahmin!$C$4+70)),MONTH((Tahmin!$C$4+70)),MIN(DAY(Kalemler!$D202),DAY(EOMONTH((Tahmin!$C$4+70),0))))&gt;=(Tahmin!$C$4+70),DATE(YEAR((Tahmin!$C$4+70)),MONTH((Tahmin!$C$4+70)),MIN(DAY(Kalemler!$D202),DAY(EOMONTH((Tahmin!$C$4+70),0))))&lt;=(Tahmin!$C$4+76),DATE(YEAR((Tahmin!$C$4+70)),MONTH((Tahmin!$C$4+70)),MIN(DAY(Kalemler!$D202),DAY(EOMONTH((Tahmin!$C$4+70),0))))&gt;=Kalemler!$D202),AND(DATE(YEAR((Tahmin!$C$4+76)),MONTH((Tahmin!$C$4+76)),MIN(DAY(Kalemler!$D202),DAY(EOMONTH((Tahmin!$C$4+76),0))))&gt;=(Tahmin!$C$4+70),DATE(YEAR((Tahmin!$C$4+76)),MONTH((Tahmin!$C$4+76)),MIN(DAY(Kalemler!$D202),DAY(EOMONTH((Tahmin!$C$4+76),0))))&lt;=(Tahmin!$C$4+76),DATE(YEAR((Tahmin!$C$4+76)),MONTH((Tahmin!$C$4+76)),MIN(DAY(Kalemler!$D202),DAY(EOMONTH((Tahmin!$C$4+76),0))))&lt;&gt;DATE(YEAR((Tahmin!$C$4+70)),MONTH((Tahmin!$C$4+70)),MIN(DAY(Kalemler!$D202),DAY(EOMONTH((Tahmin!$C$4+70),0)))),DATE(YEAR((Tahmin!$C$4+76)),MONTH((Tahmin!$C$4+76)),MIN(DAY(Kalemler!$D202),DAY(EOMONTH((Tahmin!$C$4+76),0))))&gt;=Kalemler!$D202)),1,0),IF(AND(Kalemler!$D202&gt;=(Tahmin!$C$4+70),Kalemler!$D202&lt;=(Tahmin!$C$4+76)),1,0))))</f>
        <v>0</v>
      </c>
      <c r="M202" s="0" t="n">
        <f aca="false">IF(OR(Kalemler!$A202="",Kalemler!$C202="",Kalemler!$D202=""),0,Kalemler!$C202*IF(Kalemler!$E202="Haftalık",IF(Kalemler!$D202&lt;=(Tahmin!$C$4+83),1,0),IF(Kalemler!$E202="Aylık",IF(OR(AND(DATE(YEAR((Tahmin!$C$4+77)),MONTH((Tahmin!$C$4+77)),MIN(DAY(Kalemler!$D202),DAY(EOMONTH((Tahmin!$C$4+77),0))))&gt;=(Tahmin!$C$4+77),DATE(YEAR((Tahmin!$C$4+77)),MONTH((Tahmin!$C$4+77)),MIN(DAY(Kalemler!$D202),DAY(EOMONTH((Tahmin!$C$4+77),0))))&lt;=(Tahmin!$C$4+83),DATE(YEAR((Tahmin!$C$4+77)),MONTH((Tahmin!$C$4+77)),MIN(DAY(Kalemler!$D202),DAY(EOMONTH((Tahmin!$C$4+77),0))))&gt;=Kalemler!$D202),AND(DATE(YEAR((Tahmin!$C$4+83)),MONTH((Tahmin!$C$4+83)),MIN(DAY(Kalemler!$D202),DAY(EOMONTH((Tahmin!$C$4+83),0))))&gt;=(Tahmin!$C$4+77),DATE(YEAR((Tahmin!$C$4+83)),MONTH((Tahmin!$C$4+83)),MIN(DAY(Kalemler!$D202),DAY(EOMONTH((Tahmin!$C$4+83),0))))&lt;=(Tahmin!$C$4+83),DATE(YEAR((Tahmin!$C$4+83)),MONTH((Tahmin!$C$4+83)),MIN(DAY(Kalemler!$D202),DAY(EOMONTH((Tahmin!$C$4+83),0))))&lt;&gt;DATE(YEAR((Tahmin!$C$4+77)),MONTH((Tahmin!$C$4+77)),MIN(DAY(Kalemler!$D202),DAY(EOMONTH((Tahmin!$C$4+77),0)))),DATE(YEAR((Tahmin!$C$4+83)),MONTH((Tahmin!$C$4+83)),MIN(DAY(Kalemler!$D202),DAY(EOMONTH((Tahmin!$C$4+83),0))))&gt;=Kalemler!$D202)),1,0),IF(AND(Kalemler!$D202&gt;=(Tahmin!$C$4+77),Kalemler!$D202&lt;=(Tahmin!$C$4+83)),1,0))))</f>
        <v>0</v>
      </c>
      <c r="N202" s="0" t="n">
        <f aca="false">IF(OR(Kalemler!$A202="",Kalemler!$C202="",Kalemler!$D202=""),0,Kalemler!$C202*IF(Kalemler!$E202="Haftalık",IF(Kalemler!$D202&lt;=(Tahmin!$C$4+90),1,0),IF(Kalemler!$E202="Aylık",IF(OR(AND(DATE(YEAR((Tahmin!$C$4+84)),MONTH((Tahmin!$C$4+84)),MIN(DAY(Kalemler!$D202),DAY(EOMONTH((Tahmin!$C$4+84),0))))&gt;=(Tahmin!$C$4+84),DATE(YEAR((Tahmin!$C$4+84)),MONTH((Tahmin!$C$4+84)),MIN(DAY(Kalemler!$D202),DAY(EOMONTH((Tahmin!$C$4+84),0))))&lt;=(Tahmin!$C$4+90),DATE(YEAR((Tahmin!$C$4+84)),MONTH((Tahmin!$C$4+84)),MIN(DAY(Kalemler!$D202),DAY(EOMONTH((Tahmin!$C$4+84),0))))&gt;=Kalemler!$D202),AND(DATE(YEAR((Tahmin!$C$4+90)),MONTH((Tahmin!$C$4+90)),MIN(DAY(Kalemler!$D202),DAY(EOMONTH((Tahmin!$C$4+90),0))))&gt;=(Tahmin!$C$4+84),DATE(YEAR((Tahmin!$C$4+90)),MONTH((Tahmin!$C$4+90)),MIN(DAY(Kalemler!$D202),DAY(EOMONTH((Tahmin!$C$4+90),0))))&lt;=(Tahmin!$C$4+90),DATE(YEAR((Tahmin!$C$4+90)),MONTH((Tahmin!$C$4+90)),MIN(DAY(Kalemler!$D202),DAY(EOMONTH((Tahmin!$C$4+90),0))))&lt;&gt;DATE(YEAR((Tahmin!$C$4+84)),MONTH((Tahmin!$C$4+84)),MIN(DAY(Kalemler!$D202),DAY(EOMONTH((Tahmin!$C$4+84),0)))),DATE(YEAR((Tahmin!$C$4+90)),MONTH((Tahmin!$C$4+90)),MIN(DAY(Kalemler!$D202),DAY(EOMONTH((Tahmin!$C$4+90),0))))&gt;=Kalemler!$D202)),1,0),IF(AND(Kalemler!$D202&gt;=(Tahmin!$C$4+84),Kalemler!$D202&lt;=(Tahmin!$C$4+90)),1,0))))</f>
        <v>0</v>
      </c>
    </row>
    <row r="203" customFormat="false" ht="15" hidden="false" customHeight="false" outlineLevel="0" collapsed="false">
      <c r="A203" s="0" t="str">
        <f aca="false">IF(Kalemler!A203="","",Kalemler!A203)</f>
        <v/>
      </c>
      <c r="B203" s="0" t="n">
        <f aca="false">IF(OR(Kalemler!$A203="",Kalemler!$C203="",Kalemler!$D203=""),0,Kalemler!$C203*IF(Kalemler!$E203="Haftalık",IF(Kalemler!$D203&lt;=(Tahmin!$C$4+6),1,0),IF(Kalemler!$E203="Aylık",IF(OR(AND(DATE(YEAR((Tahmin!$C$4+0)),MONTH((Tahmin!$C$4+0)),MIN(DAY(Kalemler!$D203),DAY(EOMONTH((Tahmin!$C$4+0),0))))&gt;=(Tahmin!$C$4+0),DATE(YEAR((Tahmin!$C$4+0)),MONTH((Tahmin!$C$4+0)),MIN(DAY(Kalemler!$D203),DAY(EOMONTH((Tahmin!$C$4+0),0))))&lt;=(Tahmin!$C$4+6),DATE(YEAR((Tahmin!$C$4+0)),MONTH((Tahmin!$C$4+0)),MIN(DAY(Kalemler!$D203),DAY(EOMONTH((Tahmin!$C$4+0),0))))&gt;=Kalemler!$D203),AND(DATE(YEAR((Tahmin!$C$4+6)),MONTH((Tahmin!$C$4+6)),MIN(DAY(Kalemler!$D203),DAY(EOMONTH((Tahmin!$C$4+6),0))))&gt;=(Tahmin!$C$4+0),DATE(YEAR((Tahmin!$C$4+6)),MONTH((Tahmin!$C$4+6)),MIN(DAY(Kalemler!$D203),DAY(EOMONTH((Tahmin!$C$4+6),0))))&lt;=(Tahmin!$C$4+6),DATE(YEAR((Tahmin!$C$4+6)),MONTH((Tahmin!$C$4+6)),MIN(DAY(Kalemler!$D203),DAY(EOMONTH((Tahmin!$C$4+6),0))))&lt;&gt;DATE(YEAR((Tahmin!$C$4+0)),MONTH((Tahmin!$C$4+0)),MIN(DAY(Kalemler!$D203),DAY(EOMONTH((Tahmin!$C$4+0),0)))),DATE(YEAR((Tahmin!$C$4+6)),MONTH((Tahmin!$C$4+6)),MIN(DAY(Kalemler!$D203),DAY(EOMONTH((Tahmin!$C$4+6),0))))&gt;=Kalemler!$D203)),1,0),IF(AND(Kalemler!$D203&gt;=(Tahmin!$C$4+0),Kalemler!$D203&lt;=(Tahmin!$C$4+6)),1,0))))</f>
        <v>0</v>
      </c>
      <c r="C203" s="0" t="n">
        <f aca="false">IF(OR(Kalemler!$A203="",Kalemler!$C203="",Kalemler!$D203=""),0,Kalemler!$C203*IF(Kalemler!$E203="Haftalık",IF(Kalemler!$D203&lt;=(Tahmin!$C$4+13),1,0),IF(Kalemler!$E203="Aylık",IF(OR(AND(DATE(YEAR((Tahmin!$C$4+7)),MONTH((Tahmin!$C$4+7)),MIN(DAY(Kalemler!$D203),DAY(EOMONTH((Tahmin!$C$4+7),0))))&gt;=(Tahmin!$C$4+7),DATE(YEAR((Tahmin!$C$4+7)),MONTH((Tahmin!$C$4+7)),MIN(DAY(Kalemler!$D203),DAY(EOMONTH((Tahmin!$C$4+7),0))))&lt;=(Tahmin!$C$4+13),DATE(YEAR((Tahmin!$C$4+7)),MONTH((Tahmin!$C$4+7)),MIN(DAY(Kalemler!$D203),DAY(EOMONTH((Tahmin!$C$4+7),0))))&gt;=Kalemler!$D203),AND(DATE(YEAR((Tahmin!$C$4+13)),MONTH((Tahmin!$C$4+13)),MIN(DAY(Kalemler!$D203),DAY(EOMONTH((Tahmin!$C$4+13),0))))&gt;=(Tahmin!$C$4+7),DATE(YEAR((Tahmin!$C$4+13)),MONTH((Tahmin!$C$4+13)),MIN(DAY(Kalemler!$D203),DAY(EOMONTH((Tahmin!$C$4+13),0))))&lt;=(Tahmin!$C$4+13),DATE(YEAR((Tahmin!$C$4+13)),MONTH((Tahmin!$C$4+13)),MIN(DAY(Kalemler!$D203),DAY(EOMONTH((Tahmin!$C$4+13),0))))&lt;&gt;DATE(YEAR((Tahmin!$C$4+7)),MONTH((Tahmin!$C$4+7)),MIN(DAY(Kalemler!$D203),DAY(EOMONTH((Tahmin!$C$4+7),0)))),DATE(YEAR((Tahmin!$C$4+13)),MONTH((Tahmin!$C$4+13)),MIN(DAY(Kalemler!$D203),DAY(EOMONTH((Tahmin!$C$4+13),0))))&gt;=Kalemler!$D203)),1,0),IF(AND(Kalemler!$D203&gt;=(Tahmin!$C$4+7),Kalemler!$D203&lt;=(Tahmin!$C$4+13)),1,0))))</f>
        <v>0</v>
      </c>
      <c r="D203" s="0" t="n">
        <f aca="false">IF(OR(Kalemler!$A203="",Kalemler!$C203="",Kalemler!$D203=""),0,Kalemler!$C203*IF(Kalemler!$E203="Haftalık",IF(Kalemler!$D203&lt;=(Tahmin!$C$4+20),1,0),IF(Kalemler!$E203="Aylık",IF(OR(AND(DATE(YEAR((Tahmin!$C$4+14)),MONTH((Tahmin!$C$4+14)),MIN(DAY(Kalemler!$D203),DAY(EOMONTH((Tahmin!$C$4+14),0))))&gt;=(Tahmin!$C$4+14),DATE(YEAR((Tahmin!$C$4+14)),MONTH((Tahmin!$C$4+14)),MIN(DAY(Kalemler!$D203),DAY(EOMONTH((Tahmin!$C$4+14),0))))&lt;=(Tahmin!$C$4+20),DATE(YEAR((Tahmin!$C$4+14)),MONTH((Tahmin!$C$4+14)),MIN(DAY(Kalemler!$D203),DAY(EOMONTH((Tahmin!$C$4+14),0))))&gt;=Kalemler!$D203),AND(DATE(YEAR((Tahmin!$C$4+20)),MONTH((Tahmin!$C$4+20)),MIN(DAY(Kalemler!$D203),DAY(EOMONTH((Tahmin!$C$4+20),0))))&gt;=(Tahmin!$C$4+14),DATE(YEAR((Tahmin!$C$4+20)),MONTH((Tahmin!$C$4+20)),MIN(DAY(Kalemler!$D203),DAY(EOMONTH((Tahmin!$C$4+20),0))))&lt;=(Tahmin!$C$4+20),DATE(YEAR((Tahmin!$C$4+20)),MONTH((Tahmin!$C$4+20)),MIN(DAY(Kalemler!$D203),DAY(EOMONTH((Tahmin!$C$4+20),0))))&lt;&gt;DATE(YEAR((Tahmin!$C$4+14)),MONTH((Tahmin!$C$4+14)),MIN(DAY(Kalemler!$D203),DAY(EOMONTH((Tahmin!$C$4+14),0)))),DATE(YEAR((Tahmin!$C$4+20)),MONTH((Tahmin!$C$4+20)),MIN(DAY(Kalemler!$D203),DAY(EOMONTH((Tahmin!$C$4+20),0))))&gt;=Kalemler!$D203)),1,0),IF(AND(Kalemler!$D203&gt;=(Tahmin!$C$4+14),Kalemler!$D203&lt;=(Tahmin!$C$4+20)),1,0))))</f>
        <v>0</v>
      </c>
      <c r="E203" s="0" t="n">
        <f aca="false">IF(OR(Kalemler!$A203="",Kalemler!$C203="",Kalemler!$D203=""),0,Kalemler!$C203*IF(Kalemler!$E203="Haftalık",IF(Kalemler!$D203&lt;=(Tahmin!$C$4+27),1,0),IF(Kalemler!$E203="Aylık",IF(OR(AND(DATE(YEAR((Tahmin!$C$4+21)),MONTH((Tahmin!$C$4+21)),MIN(DAY(Kalemler!$D203),DAY(EOMONTH((Tahmin!$C$4+21),0))))&gt;=(Tahmin!$C$4+21),DATE(YEAR((Tahmin!$C$4+21)),MONTH((Tahmin!$C$4+21)),MIN(DAY(Kalemler!$D203),DAY(EOMONTH((Tahmin!$C$4+21),0))))&lt;=(Tahmin!$C$4+27),DATE(YEAR((Tahmin!$C$4+21)),MONTH((Tahmin!$C$4+21)),MIN(DAY(Kalemler!$D203),DAY(EOMONTH((Tahmin!$C$4+21),0))))&gt;=Kalemler!$D203),AND(DATE(YEAR((Tahmin!$C$4+27)),MONTH((Tahmin!$C$4+27)),MIN(DAY(Kalemler!$D203),DAY(EOMONTH((Tahmin!$C$4+27),0))))&gt;=(Tahmin!$C$4+21),DATE(YEAR((Tahmin!$C$4+27)),MONTH((Tahmin!$C$4+27)),MIN(DAY(Kalemler!$D203),DAY(EOMONTH((Tahmin!$C$4+27),0))))&lt;=(Tahmin!$C$4+27),DATE(YEAR((Tahmin!$C$4+27)),MONTH((Tahmin!$C$4+27)),MIN(DAY(Kalemler!$D203),DAY(EOMONTH((Tahmin!$C$4+27),0))))&lt;&gt;DATE(YEAR((Tahmin!$C$4+21)),MONTH((Tahmin!$C$4+21)),MIN(DAY(Kalemler!$D203),DAY(EOMONTH((Tahmin!$C$4+21),0)))),DATE(YEAR((Tahmin!$C$4+27)),MONTH((Tahmin!$C$4+27)),MIN(DAY(Kalemler!$D203),DAY(EOMONTH((Tahmin!$C$4+27),0))))&gt;=Kalemler!$D203)),1,0),IF(AND(Kalemler!$D203&gt;=(Tahmin!$C$4+21),Kalemler!$D203&lt;=(Tahmin!$C$4+27)),1,0))))</f>
        <v>0</v>
      </c>
      <c r="F203" s="0" t="n">
        <f aca="false">IF(OR(Kalemler!$A203="",Kalemler!$C203="",Kalemler!$D203=""),0,Kalemler!$C203*IF(Kalemler!$E203="Haftalık",IF(Kalemler!$D203&lt;=(Tahmin!$C$4+34),1,0),IF(Kalemler!$E203="Aylık",IF(OR(AND(DATE(YEAR((Tahmin!$C$4+28)),MONTH((Tahmin!$C$4+28)),MIN(DAY(Kalemler!$D203),DAY(EOMONTH((Tahmin!$C$4+28),0))))&gt;=(Tahmin!$C$4+28),DATE(YEAR((Tahmin!$C$4+28)),MONTH((Tahmin!$C$4+28)),MIN(DAY(Kalemler!$D203),DAY(EOMONTH((Tahmin!$C$4+28),0))))&lt;=(Tahmin!$C$4+34),DATE(YEAR((Tahmin!$C$4+28)),MONTH((Tahmin!$C$4+28)),MIN(DAY(Kalemler!$D203),DAY(EOMONTH((Tahmin!$C$4+28),0))))&gt;=Kalemler!$D203),AND(DATE(YEAR((Tahmin!$C$4+34)),MONTH((Tahmin!$C$4+34)),MIN(DAY(Kalemler!$D203),DAY(EOMONTH((Tahmin!$C$4+34),0))))&gt;=(Tahmin!$C$4+28),DATE(YEAR((Tahmin!$C$4+34)),MONTH((Tahmin!$C$4+34)),MIN(DAY(Kalemler!$D203),DAY(EOMONTH((Tahmin!$C$4+34),0))))&lt;=(Tahmin!$C$4+34),DATE(YEAR((Tahmin!$C$4+34)),MONTH((Tahmin!$C$4+34)),MIN(DAY(Kalemler!$D203),DAY(EOMONTH((Tahmin!$C$4+34),0))))&lt;&gt;DATE(YEAR((Tahmin!$C$4+28)),MONTH((Tahmin!$C$4+28)),MIN(DAY(Kalemler!$D203),DAY(EOMONTH((Tahmin!$C$4+28),0)))),DATE(YEAR((Tahmin!$C$4+34)),MONTH((Tahmin!$C$4+34)),MIN(DAY(Kalemler!$D203),DAY(EOMONTH((Tahmin!$C$4+34),0))))&gt;=Kalemler!$D203)),1,0),IF(AND(Kalemler!$D203&gt;=(Tahmin!$C$4+28),Kalemler!$D203&lt;=(Tahmin!$C$4+34)),1,0))))</f>
        <v>0</v>
      </c>
      <c r="G203" s="0" t="n">
        <f aca="false">IF(OR(Kalemler!$A203="",Kalemler!$C203="",Kalemler!$D203=""),0,Kalemler!$C203*IF(Kalemler!$E203="Haftalık",IF(Kalemler!$D203&lt;=(Tahmin!$C$4+41),1,0),IF(Kalemler!$E203="Aylık",IF(OR(AND(DATE(YEAR((Tahmin!$C$4+35)),MONTH((Tahmin!$C$4+35)),MIN(DAY(Kalemler!$D203),DAY(EOMONTH((Tahmin!$C$4+35),0))))&gt;=(Tahmin!$C$4+35),DATE(YEAR((Tahmin!$C$4+35)),MONTH((Tahmin!$C$4+35)),MIN(DAY(Kalemler!$D203),DAY(EOMONTH((Tahmin!$C$4+35),0))))&lt;=(Tahmin!$C$4+41),DATE(YEAR((Tahmin!$C$4+35)),MONTH((Tahmin!$C$4+35)),MIN(DAY(Kalemler!$D203),DAY(EOMONTH((Tahmin!$C$4+35),0))))&gt;=Kalemler!$D203),AND(DATE(YEAR((Tahmin!$C$4+41)),MONTH((Tahmin!$C$4+41)),MIN(DAY(Kalemler!$D203),DAY(EOMONTH((Tahmin!$C$4+41),0))))&gt;=(Tahmin!$C$4+35),DATE(YEAR((Tahmin!$C$4+41)),MONTH((Tahmin!$C$4+41)),MIN(DAY(Kalemler!$D203),DAY(EOMONTH((Tahmin!$C$4+41),0))))&lt;=(Tahmin!$C$4+41),DATE(YEAR((Tahmin!$C$4+41)),MONTH((Tahmin!$C$4+41)),MIN(DAY(Kalemler!$D203),DAY(EOMONTH((Tahmin!$C$4+41),0))))&lt;&gt;DATE(YEAR((Tahmin!$C$4+35)),MONTH((Tahmin!$C$4+35)),MIN(DAY(Kalemler!$D203),DAY(EOMONTH((Tahmin!$C$4+35),0)))),DATE(YEAR((Tahmin!$C$4+41)),MONTH((Tahmin!$C$4+41)),MIN(DAY(Kalemler!$D203),DAY(EOMONTH((Tahmin!$C$4+41),0))))&gt;=Kalemler!$D203)),1,0),IF(AND(Kalemler!$D203&gt;=(Tahmin!$C$4+35),Kalemler!$D203&lt;=(Tahmin!$C$4+41)),1,0))))</f>
        <v>0</v>
      </c>
      <c r="H203" s="0" t="n">
        <f aca="false">IF(OR(Kalemler!$A203="",Kalemler!$C203="",Kalemler!$D203=""),0,Kalemler!$C203*IF(Kalemler!$E203="Haftalık",IF(Kalemler!$D203&lt;=(Tahmin!$C$4+48),1,0),IF(Kalemler!$E203="Aylık",IF(OR(AND(DATE(YEAR((Tahmin!$C$4+42)),MONTH((Tahmin!$C$4+42)),MIN(DAY(Kalemler!$D203),DAY(EOMONTH((Tahmin!$C$4+42),0))))&gt;=(Tahmin!$C$4+42),DATE(YEAR((Tahmin!$C$4+42)),MONTH((Tahmin!$C$4+42)),MIN(DAY(Kalemler!$D203),DAY(EOMONTH((Tahmin!$C$4+42),0))))&lt;=(Tahmin!$C$4+48),DATE(YEAR((Tahmin!$C$4+42)),MONTH((Tahmin!$C$4+42)),MIN(DAY(Kalemler!$D203),DAY(EOMONTH((Tahmin!$C$4+42),0))))&gt;=Kalemler!$D203),AND(DATE(YEAR((Tahmin!$C$4+48)),MONTH((Tahmin!$C$4+48)),MIN(DAY(Kalemler!$D203),DAY(EOMONTH((Tahmin!$C$4+48),0))))&gt;=(Tahmin!$C$4+42),DATE(YEAR((Tahmin!$C$4+48)),MONTH((Tahmin!$C$4+48)),MIN(DAY(Kalemler!$D203),DAY(EOMONTH((Tahmin!$C$4+48),0))))&lt;=(Tahmin!$C$4+48),DATE(YEAR((Tahmin!$C$4+48)),MONTH((Tahmin!$C$4+48)),MIN(DAY(Kalemler!$D203),DAY(EOMONTH((Tahmin!$C$4+48),0))))&lt;&gt;DATE(YEAR((Tahmin!$C$4+42)),MONTH((Tahmin!$C$4+42)),MIN(DAY(Kalemler!$D203),DAY(EOMONTH((Tahmin!$C$4+42),0)))),DATE(YEAR((Tahmin!$C$4+48)),MONTH((Tahmin!$C$4+48)),MIN(DAY(Kalemler!$D203),DAY(EOMONTH((Tahmin!$C$4+48),0))))&gt;=Kalemler!$D203)),1,0),IF(AND(Kalemler!$D203&gt;=(Tahmin!$C$4+42),Kalemler!$D203&lt;=(Tahmin!$C$4+48)),1,0))))</f>
        <v>0</v>
      </c>
      <c r="I203" s="0" t="n">
        <f aca="false">IF(OR(Kalemler!$A203="",Kalemler!$C203="",Kalemler!$D203=""),0,Kalemler!$C203*IF(Kalemler!$E203="Haftalık",IF(Kalemler!$D203&lt;=(Tahmin!$C$4+55),1,0),IF(Kalemler!$E203="Aylık",IF(OR(AND(DATE(YEAR((Tahmin!$C$4+49)),MONTH((Tahmin!$C$4+49)),MIN(DAY(Kalemler!$D203),DAY(EOMONTH((Tahmin!$C$4+49),0))))&gt;=(Tahmin!$C$4+49),DATE(YEAR((Tahmin!$C$4+49)),MONTH((Tahmin!$C$4+49)),MIN(DAY(Kalemler!$D203),DAY(EOMONTH((Tahmin!$C$4+49),0))))&lt;=(Tahmin!$C$4+55),DATE(YEAR((Tahmin!$C$4+49)),MONTH((Tahmin!$C$4+49)),MIN(DAY(Kalemler!$D203),DAY(EOMONTH((Tahmin!$C$4+49),0))))&gt;=Kalemler!$D203),AND(DATE(YEAR((Tahmin!$C$4+55)),MONTH((Tahmin!$C$4+55)),MIN(DAY(Kalemler!$D203),DAY(EOMONTH((Tahmin!$C$4+55),0))))&gt;=(Tahmin!$C$4+49),DATE(YEAR((Tahmin!$C$4+55)),MONTH((Tahmin!$C$4+55)),MIN(DAY(Kalemler!$D203),DAY(EOMONTH((Tahmin!$C$4+55),0))))&lt;=(Tahmin!$C$4+55),DATE(YEAR((Tahmin!$C$4+55)),MONTH((Tahmin!$C$4+55)),MIN(DAY(Kalemler!$D203),DAY(EOMONTH((Tahmin!$C$4+55),0))))&lt;&gt;DATE(YEAR((Tahmin!$C$4+49)),MONTH((Tahmin!$C$4+49)),MIN(DAY(Kalemler!$D203),DAY(EOMONTH((Tahmin!$C$4+49),0)))),DATE(YEAR((Tahmin!$C$4+55)),MONTH((Tahmin!$C$4+55)),MIN(DAY(Kalemler!$D203),DAY(EOMONTH((Tahmin!$C$4+55),0))))&gt;=Kalemler!$D203)),1,0),IF(AND(Kalemler!$D203&gt;=(Tahmin!$C$4+49),Kalemler!$D203&lt;=(Tahmin!$C$4+55)),1,0))))</f>
        <v>0</v>
      </c>
      <c r="J203" s="0" t="n">
        <f aca="false">IF(OR(Kalemler!$A203="",Kalemler!$C203="",Kalemler!$D203=""),0,Kalemler!$C203*IF(Kalemler!$E203="Haftalık",IF(Kalemler!$D203&lt;=(Tahmin!$C$4+62),1,0),IF(Kalemler!$E203="Aylık",IF(OR(AND(DATE(YEAR((Tahmin!$C$4+56)),MONTH((Tahmin!$C$4+56)),MIN(DAY(Kalemler!$D203),DAY(EOMONTH((Tahmin!$C$4+56),0))))&gt;=(Tahmin!$C$4+56),DATE(YEAR((Tahmin!$C$4+56)),MONTH((Tahmin!$C$4+56)),MIN(DAY(Kalemler!$D203),DAY(EOMONTH((Tahmin!$C$4+56),0))))&lt;=(Tahmin!$C$4+62),DATE(YEAR((Tahmin!$C$4+56)),MONTH((Tahmin!$C$4+56)),MIN(DAY(Kalemler!$D203),DAY(EOMONTH((Tahmin!$C$4+56),0))))&gt;=Kalemler!$D203),AND(DATE(YEAR((Tahmin!$C$4+62)),MONTH((Tahmin!$C$4+62)),MIN(DAY(Kalemler!$D203),DAY(EOMONTH((Tahmin!$C$4+62),0))))&gt;=(Tahmin!$C$4+56),DATE(YEAR((Tahmin!$C$4+62)),MONTH((Tahmin!$C$4+62)),MIN(DAY(Kalemler!$D203),DAY(EOMONTH((Tahmin!$C$4+62),0))))&lt;=(Tahmin!$C$4+62),DATE(YEAR((Tahmin!$C$4+62)),MONTH((Tahmin!$C$4+62)),MIN(DAY(Kalemler!$D203),DAY(EOMONTH((Tahmin!$C$4+62),0))))&lt;&gt;DATE(YEAR((Tahmin!$C$4+56)),MONTH((Tahmin!$C$4+56)),MIN(DAY(Kalemler!$D203),DAY(EOMONTH((Tahmin!$C$4+56),0)))),DATE(YEAR((Tahmin!$C$4+62)),MONTH((Tahmin!$C$4+62)),MIN(DAY(Kalemler!$D203),DAY(EOMONTH((Tahmin!$C$4+62),0))))&gt;=Kalemler!$D203)),1,0),IF(AND(Kalemler!$D203&gt;=(Tahmin!$C$4+56),Kalemler!$D203&lt;=(Tahmin!$C$4+62)),1,0))))</f>
        <v>0</v>
      </c>
      <c r="K203" s="0" t="n">
        <f aca="false">IF(OR(Kalemler!$A203="",Kalemler!$C203="",Kalemler!$D203=""),0,Kalemler!$C203*IF(Kalemler!$E203="Haftalık",IF(Kalemler!$D203&lt;=(Tahmin!$C$4+69),1,0),IF(Kalemler!$E203="Aylık",IF(OR(AND(DATE(YEAR((Tahmin!$C$4+63)),MONTH((Tahmin!$C$4+63)),MIN(DAY(Kalemler!$D203),DAY(EOMONTH((Tahmin!$C$4+63),0))))&gt;=(Tahmin!$C$4+63),DATE(YEAR((Tahmin!$C$4+63)),MONTH((Tahmin!$C$4+63)),MIN(DAY(Kalemler!$D203),DAY(EOMONTH((Tahmin!$C$4+63),0))))&lt;=(Tahmin!$C$4+69),DATE(YEAR((Tahmin!$C$4+63)),MONTH((Tahmin!$C$4+63)),MIN(DAY(Kalemler!$D203),DAY(EOMONTH((Tahmin!$C$4+63),0))))&gt;=Kalemler!$D203),AND(DATE(YEAR((Tahmin!$C$4+69)),MONTH((Tahmin!$C$4+69)),MIN(DAY(Kalemler!$D203),DAY(EOMONTH((Tahmin!$C$4+69),0))))&gt;=(Tahmin!$C$4+63),DATE(YEAR((Tahmin!$C$4+69)),MONTH((Tahmin!$C$4+69)),MIN(DAY(Kalemler!$D203),DAY(EOMONTH((Tahmin!$C$4+69),0))))&lt;=(Tahmin!$C$4+69),DATE(YEAR((Tahmin!$C$4+69)),MONTH((Tahmin!$C$4+69)),MIN(DAY(Kalemler!$D203),DAY(EOMONTH((Tahmin!$C$4+69),0))))&lt;&gt;DATE(YEAR((Tahmin!$C$4+63)),MONTH((Tahmin!$C$4+63)),MIN(DAY(Kalemler!$D203),DAY(EOMONTH((Tahmin!$C$4+63),0)))),DATE(YEAR((Tahmin!$C$4+69)),MONTH((Tahmin!$C$4+69)),MIN(DAY(Kalemler!$D203),DAY(EOMONTH((Tahmin!$C$4+69),0))))&gt;=Kalemler!$D203)),1,0),IF(AND(Kalemler!$D203&gt;=(Tahmin!$C$4+63),Kalemler!$D203&lt;=(Tahmin!$C$4+69)),1,0))))</f>
        <v>0</v>
      </c>
      <c r="L203" s="0" t="n">
        <f aca="false">IF(OR(Kalemler!$A203="",Kalemler!$C203="",Kalemler!$D203=""),0,Kalemler!$C203*IF(Kalemler!$E203="Haftalık",IF(Kalemler!$D203&lt;=(Tahmin!$C$4+76),1,0),IF(Kalemler!$E203="Aylık",IF(OR(AND(DATE(YEAR((Tahmin!$C$4+70)),MONTH((Tahmin!$C$4+70)),MIN(DAY(Kalemler!$D203),DAY(EOMONTH((Tahmin!$C$4+70),0))))&gt;=(Tahmin!$C$4+70),DATE(YEAR((Tahmin!$C$4+70)),MONTH((Tahmin!$C$4+70)),MIN(DAY(Kalemler!$D203),DAY(EOMONTH((Tahmin!$C$4+70),0))))&lt;=(Tahmin!$C$4+76),DATE(YEAR((Tahmin!$C$4+70)),MONTH((Tahmin!$C$4+70)),MIN(DAY(Kalemler!$D203),DAY(EOMONTH((Tahmin!$C$4+70),0))))&gt;=Kalemler!$D203),AND(DATE(YEAR((Tahmin!$C$4+76)),MONTH((Tahmin!$C$4+76)),MIN(DAY(Kalemler!$D203),DAY(EOMONTH((Tahmin!$C$4+76),0))))&gt;=(Tahmin!$C$4+70),DATE(YEAR((Tahmin!$C$4+76)),MONTH((Tahmin!$C$4+76)),MIN(DAY(Kalemler!$D203),DAY(EOMONTH((Tahmin!$C$4+76),0))))&lt;=(Tahmin!$C$4+76),DATE(YEAR((Tahmin!$C$4+76)),MONTH((Tahmin!$C$4+76)),MIN(DAY(Kalemler!$D203),DAY(EOMONTH((Tahmin!$C$4+76),0))))&lt;&gt;DATE(YEAR((Tahmin!$C$4+70)),MONTH((Tahmin!$C$4+70)),MIN(DAY(Kalemler!$D203),DAY(EOMONTH((Tahmin!$C$4+70),0)))),DATE(YEAR((Tahmin!$C$4+76)),MONTH((Tahmin!$C$4+76)),MIN(DAY(Kalemler!$D203),DAY(EOMONTH((Tahmin!$C$4+76),0))))&gt;=Kalemler!$D203)),1,0),IF(AND(Kalemler!$D203&gt;=(Tahmin!$C$4+70),Kalemler!$D203&lt;=(Tahmin!$C$4+76)),1,0))))</f>
        <v>0</v>
      </c>
      <c r="M203" s="0" t="n">
        <f aca="false">IF(OR(Kalemler!$A203="",Kalemler!$C203="",Kalemler!$D203=""),0,Kalemler!$C203*IF(Kalemler!$E203="Haftalık",IF(Kalemler!$D203&lt;=(Tahmin!$C$4+83),1,0),IF(Kalemler!$E203="Aylık",IF(OR(AND(DATE(YEAR((Tahmin!$C$4+77)),MONTH((Tahmin!$C$4+77)),MIN(DAY(Kalemler!$D203),DAY(EOMONTH((Tahmin!$C$4+77),0))))&gt;=(Tahmin!$C$4+77),DATE(YEAR((Tahmin!$C$4+77)),MONTH((Tahmin!$C$4+77)),MIN(DAY(Kalemler!$D203),DAY(EOMONTH((Tahmin!$C$4+77),0))))&lt;=(Tahmin!$C$4+83),DATE(YEAR((Tahmin!$C$4+77)),MONTH((Tahmin!$C$4+77)),MIN(DAY(Kalemler!$D203),DAY(EOMONTH((Tahmin!$C$4+77),0))))&gt;=Kalemler!$D203),AND(DATE(YEAR((Tahmin!$C$4+83)),MONTH((Tahmin!$C$4+83)),MIN(DAY(Kalemler!$D203),DAY(EOMONTH((Tahmin!$C$4+83),0))))&gt;=(Tahmin!$C$4+77),DATE(YEAR((Tahmin!$C$4+83)),MONTH((Tahmin!$C$4+83)),MIN(DAY(Kalemler!$D203),DAY(EOMONTH((Tahmin!$C$4+83),0))))&lt;=(Tahmin!$C$4+83),DATE(YEAR((Tahmin!$C$4+83)),MONTH((Tahmin!$C$4+83)),MIN(DAY(Kalemler!$D203),DAY(EOMONTH((Tahmin!$C$4+83),0))))&lt;&gt;DATE(YEAR((Tahmin!$C$4+77)),MONTH((Tahmin!$C$4+77)),MIN(DAY(Kalemler!$D203),DAY(EOMONTH((Tahmin!$C$4+77),0)))),DATE(YEAR((Tahmin!$C$4+83)),MONTH((Tahmin!$C$4+83)),MIN(DAY(Kalemler!$D203),DAY(EOMONTH((Tahmin!$C$4+83),0))))&gt;=Kalemler!$D203)),1,0),IF(AND(Kalemler!$D203&gt;=(Tahmin!$C$4+77),Kalemler!$D203&lt;=(Tahmin!$C$4+83)),1,0))))</f>
        <v>0</v>
      </c>
      <c r="N203" s="0" t="n">
        <f aca="false">IF(OR(Kalemler!$A203="",Kalemler!$C203="",Kalemler!$D203=""),0,Kalemler!$C203*IF(Kalemler!$E203="Haftalık",IF(Kalemler!$D203&lt;=(Tahmin!$C$4+90),1,0),IF(Kalemler!$E203="Aylık",IF(OR(AND(DATE(YEAR((Tahmin!$C$4+84)),MONTH((Tahmin!$C$4+84)),MIN(DAY(Kalemler!$D203),DAY(EOMONTH((Tahmin!$C$4+84),0))))&gt;=(Tahmin!$C$4+84),DATE(YEAR((Tahmin!$C$4+84)),MONTH((Tahmin!$C$4+84)),MIN(DAY(Kalemler!$D203),DAY(EOMONTH((Tahmin!$C$4+84),0))))&lt;=(Tahmin!$C$4+90),DATE(YEAR((Tahmin!$C$4+84)),MONTH((Tahmin!$C$4+84)),MIN(DAY(Kalemler!$D203),DAY(EOMONTH((Tahmin!$C$4+84),0))))&gt;=Kalemler!$D203),AND(DATE(YEAR((Tahmin!$C$4+90)),MONTH((Tahmin!$C$4+90)),MIN(DAY(Kalemler!$D203),DAY(EOMONTH((Tahmin!$C$4+90),0))))&gt;=(Tahmin!$C$4+84),DATE(YEAR((Tahmin!$C$4+90)),MONTH((Tahmin!$C$4+90)),MIN(DAY(Kalemler!$D203),DAY(EOMONTH((Tahmin!$C$4+90),0))))&lt;=(Tahmin!$C$4+90),DATE(YEAR((Tahmin!$C$4+90)),MONTH((Tahmin!$C$4+90)),MIN(DAY(Kalemler!$D203),DAY(EOMONTH((Tahmin!$C$4+90),0))))&lt;&gt;DATE(YEAR((Tahmin!$C$4+84)),MONTH((Tahmin!$C$4+84)),MIN(DAY(Kalemler!$D203),DAY(EOMONTH((Tahmin!$C$4+84),0)))),DATE(YEAR((Tahmin!$C$4+90)),MONTH((Tahmin!$C$4+90)),MIN(DAY(Kalemler!$D203),DAY(EOMONTH((Tahmin!$C$4+90),0))))&gt;=Kalemler!$D203)),1,0),IF(AND(Kalemler!$D203&gt;=(Tahmin!$C$4+84),Kalemler!$D203&lt;=(Tahmin!$C$4+90)),1,0))))</f>
        <v>0</v>
      </c>
    </row>
    <row r="204" customFormat="false" ht="15" hidden="false" customHeight="false" outlineLevel="0" collapsed="false">
      <c r="A204" s="0" t="str">
        <f aca="false">IF(Kalemler!A204="","",Kalemler!A204)</f>
        <v/>
      </c>
      <c r="B204" s="0" t="n">
        <f aca="false">IF(OR(Kalemler!$A204="",Kalemler!$C204="",Kalemler!$D204=""),0,Kalemler!$C204*IF(Kalemler!$E204="Haftalık",IF(Kalemler!$D204&lt;=(Tahmin!$C$4+6),1,0),IF(Kalemler!$E204="Aylık",IF(OR(AND(DATE(YEAR((Tahmin!$C$4+0)),MONTH((Tahmin!$C$4+0)),MIN(DAY(Kalemler!$D204),DAY(EOMONTH((Tahmin!$C$4+0),0))))&gt;=(Tahmin!$C$4+0),DATE(YEAR((Tahmin!$C$4+0)),MONTH((Tahmin!$C$4+0)),MIN(DAY(Kalemler!$D204),DAY(EOMONTH((Tahmin!$C$4+0),0))))&lt;=(Tahmin!$C$4+6),DATE(YEAR((Tahmin!$C$4+0)),MONTH((Tahmin!$C$4+0)),MIN(DAY(Kalemler!$D204),DAY(EOMONTH((Tahmin!$C$4+0),0))))&gt;=Kalemler!$D204),AND(DATE(YEAR((Tahmin!$C$4+6)),MONTH((Tahmin!$C$4+6)),MIN(DAY(Kalemler!$D204),DAY(EOMONTH((Tahmin!$C$4+6),0))))&gt;=(Tahmin!$C$4+0),DATE(YEAR((Tahmin!$C$4+6)),MONTH((Tahmin!$C$4+6)),MIN(DAY(Kalemler!$D204),DAY(EOMONTH((Tahmin!$C$4+6),0))))&lt;=(Tahmin!$C$4+6),DATE(YEAR((Tahmin!$C$4+6)),MONTH((Tahmin!$C$4+6)),MIN(DAY(Kalemler!$D204),DAY(EOMONTH((Tahmin!$C$4+6),0))))&lt;&gt;DATE(YEAR((Tahmin!$C$4+0)),MONTH((Tahmin!$C$4+0)),MIN(DAY(Kalemler!$D204),DAY(EOMONTH((Tahmin!$C$4+0),0)))),DATE(YEAR((Tahmin!$C$4+6)),MONTH((Tahmin!$C$4+6)),MIN(DAY(Kalemler!$D204),DAY(EOMONTH((Tahmin!$C$4+6),0))))&gt;=Kalemler!$D204)),1,0),IF(AND(Kalemler!$D204&gt;=(Tahmin!$C$4+0),Kalemler!$D204&lt;=(Tahmin!$C$4+6)),1,0))))</f>
        <v>0</v>
      </c>
      <c r="C204" s="0" t="n">
        <f aca="false">IF(OR(Kalemler!$A204="",Kalemler!$C204="",Kalemler!$D204=""),0,Kalemler!$C204*IF(Kalemler!$E204="Haftalık",IF(Kalemler!$D204&lt;=(Tahmin!$C$4+13),1,0),IF(Kalemler!$E204="Aylık",IF(OR(AND(DATE(YEAR((Tahmin!$C$4+7)),MONTH((Tahmin!$C$4+7)),MIN(DAY(Kalemler!$D204),DAY(EOMONTH((Tahmin!$C$4+7),0))))&gt;=(Tahmin!$C$4+7),DATE(YEAR((Tahmin!$C$4+7)),MONTH((Tahmin!$C$4+7)),MIN(DAY(Kalemler!$D204),DAY(EOMONTH((Tahmin!$C$4+7),0))))&lt;=(Tahmin!$C$4+13),DATE(YEAR((Tahmin!$C$4+7)),MONTH((Tahmin!$C$4+7)),MIN(DAY(Kalemler!$D204),DAY(EOMONTH((Tahmin!$C$4+7),0))))&gt;=Kalemler!$D204),AND(DATE(YEAR((Tahmin!$C$4+13)),MONTH((Tahmin!$C$4+13)),MIN(DAY(Kalemler!$D204),DAY(EOMONTH((Tahmin!$C$4+13),0))))&gt;=(Tahmin!$C$4+7),DATE(YEAR((Tahmin!$C$4+13)),MONTH((Tahmin!$C$4+13)),MIN(DAY(Kalemler!$D204),DAY(EOMONTH((Tahmin!$C$4+13),0))))&lt;=(Tahmin!$C$4+13),DATE(YEAR((Tahmin!$C$4+13)),MONTH((Tahmin!$C$4+13)),MIN(DAY(Kalemler!$D204),DAY(EOMONTH((Tahmin!$C$4+13),0))))&lt;&gt;DATE(YEAR((Tahmin!$C$4+7)),MONTH((Tahmin!$C$4+7)),MIN(DAY(Kalemler!$D204),DAY(EOMONTH((Tahmin!$C$4+7),0)))),DATE(YEAR((Tahmin!$C$4+13)),MONTH((Tahmin!$C$4+13)),MIN(DAY(Kalemler!$D204),DAY(EOMONTH((Tahmin!$C$4+13),0))))&gt;=Kalemler!$D204)),1,0),IF(AND(Kalemler!$D204&gt;=(Tahmin!$C$4+7),Kalemler!$D204&lt;=(Tahmin!$C$4+13)),1,0))))</f>
        <v>0</v>
      </c>
      <c r="D204" s="0" t="n">
        <f aca="false">IF(OR(Kalemler!$A204="",Kalemler!$C204="",Kalemler!$D204=""),0,Kalemler!$C204*IF(Kalemler!$E204="Haftalık",IF(Kalemler!$D204&lt;=(Tahmin!$C$4+20),1,0),IF(Kalemler!$E204="Aylık",IF(OR(AND(DATE(YEAR((Tahmin!$C$4+14)),MONTH((Tahmin!$C$4+14)),MIN(DAY(Kalemler!$D204),DAY(EOMONTH((Tahmin!$C$4+14),0))))&gt;=(Tahmin!$C$4+14),DATE(YEAR((Tahmin!$C$4+14)),MONTH((Tahmin!$C$4+14)),MIN(DAY(Kalemler!$D204),DAY(EOMONTH((Tahmin!$C$4+14),0))))&lt;=(Tahmin!$C$4+20),DATE(YEAR((Tahmin!$C$4+14)),MONTH((Tahmin!$C$4+14)),MIN(DAY(Kalemler!$D204),DAY(EOMONTH((Tahmin!$C$4+14),0))))&gt;=Kalemler!$D204),AND(DATE(YEAR((Tahmin!$C$4+20)),MONTH((Tahmin!$C$4+20)),MIN(DAY(Kalemler!$D204),DAY(EOMONTH((Tahmin!$C$4+20),0))))&gt;=(Tahmin!$C$4+14),DATE(YEAR((Tahmin!$C$4+20)),MONTH((Tahmin!$C$4+20)),MIN(DAY(Kalemler!$D204),DAY(EOMONTH((Tahmin!$C$4+20),0))))&lt;=(Tahmin!$C$4+20),DATE(YEAR((Tahmin!$C$4+20)),MONTH((Tahmin!$C$4+20)),MIN(DAY(Kalemler!$D204),DAY(EOMONTH((Tahmin!$C$4+20),0))))&lt;&gt;DATE(YEAR((Tahmin!$C$4+14)),MONTH((Tahmin!$C$4+14)),MIN(DAY(Kalemler!$D204),DAY(EOMONTH((Tahmin!$C$4+14),0)))),DATE(YEAR((Tahmin!$C$4+20)),MONTH((Tahmin!$C$4+20)),MIN(DAY(Kalemler!$D204),DAY(EOMONTH((Tahmin!$C$4+20),0))))&gt;=Kalemler!$D204)),1,0),IF(AND(Kalemler!$D204&gt;=(Tahmin!$C$4+14),Kalemler!$D204&lt;=(Tahmin!$C$4+20)),1,0))))</f>
        <v>0</v>
      </c>
      <c r="E204" s="0" t="n">
        <f aca="false">IF(OR(Kalemler!$A204="",Kalemler!$C204="",Kalemler!$D204=""),0,Kalemler!$C204*IF(Kalemler!$E204="Haftalık",IF(Kalemler!$D204&lt;=(Tahmin!$C$4+27),1,0),IF(Kalemler!$E204="Aylık",IF(OR(AND(DATE(YEAR((Tahmin!$C$4+21)),MONTH((Tahmin!$C$4+21)),MIN(DAY(Kalemler!$D204),DAY(EOMONTH((Tahmin!$C$4+21),0))))&gt;=(Tahmin!$C$4+21),DATE(YEAR((Tahmin!$C$4+21)),MONTH((Tahmin!$C$4+21)),MIN(DAY(Kalemler!$D204),DAY(EOMONTH((Tahmin!$C$4+21),0))))&lt;=(Tahmin!$C$4+27),DATE(YEAR((Tahmin!$C$4+21)),MONTH((Tahmin!$C$4+21)),MIN(DAY(Kalemler!$D204),DAY(EOMONTH((Tahmin!$C$4+21),0))))&gt;=Kalemler!$D204),AND(DATE(YEAR((Tahmin!$C$4+27)),MONTH((Tahmin!$C$4+27)),MIN(DAY(Kalemler!$D204),DAY(EOMONTH((Tahmin!$C$4+27),0))))&gt;=(Tahmin!$C$4+21),DATE(YEAR((Tahmin!$C$4+27)),MONTH((Tahmin!$C$4+27)),MIN(DAY(Kalemler!$D204),DAY(EOMONTH((Tahmin!$C$4+27),0))))&lt;=(Tahmin!$C$4+27),DATE(YEAR((Tahmin!$C$4+27)),MONTH((Tahmin!$C$4+27)),MIN(DAY(Kalemler!$D204),DAY(EOMONTH((Tahmin!$C$4+27),0))))&lt;&gt;DATE(YEAR((Tahmin!$C$4+21)),MONTH((Tahmin!$C$4+21)),MIN(DAY(Kalemler!$D204),DAY(EOMONTH((Tahmin!$C$4+21),0)))),DATE(YEAR((Tahmin!$C$4+27)),MONTH((Tahmin!$C$4+27)),MIN(DAY(Kalemler!$D204),DAY(EOMONTH((Tahmin!$C$4+27),0))))&gt;=Kalemler!$D204)),1,0),IF(AND(Kalemler!$D204&gt;=(Tahmin!$C$4+21),Kalemler!$D204&lt;=(Tahmin!$C$4+27)),1,0))))</f>
        <v>0</v>
      </c>
      <c r="F204" s="0" t="n">
        <f aca="false">IF(OR(Kalemler!$A204="",Kalemler!$C204="",Kalemler!$D204=""),0,Kalemler!$C204*IF(Kalemler!$E204="Haftalık",IF(Kalemler!$D204&lt;=(Tahmin!$C$4+34),1,0),IF(Kalemler!$E204="Aylık",IF(OR(AND(DATE(YEAR((Tahmin!$C$4+28)),MONTH((Tahmin!$C$4+28)),MIN(DAY(Kalemler!$D204),DAY(EOMONTH((Tahmin!$C$4+28),0))))&gt;=(Tahmin!$C$4+28),DATE(YEAR((Tahmin!$C$4+28)),MONTH((Tahmin!$C$4+28)),MIN(DAY(Kalemler!$D204),DAY(EOMONTH((Tahmin!$C$4+28),0))))&lt;=(Tahmin!$C$4+34),DATE(YEAR((Tahmin!$C$4+28)),MONTH((Tahmin!$C$4+28)),MIN(DAY(Kalemler!$D204),DAY(EOMONTH((Tahmin!$C$4+28),0))))&gt;=Kalemler!$D204),AND(DATE(YEAR((Tahmin!$C$4+34)),MONTH((Tahmin!$C$4+34)),MIN(DAY(Kalemler!$D204),DAY(EOMONTH((Tahmin!$C$4+34),0))))&gt;=(Tahmin!$C$4+28),DATE(YEAR((Tahmin!$C$4+34)),MONTH((Tahmin!$C$4+34)),MIN(DAY(Kalemler!$D204),DAY(EOMONTH((Tahmin!$C$4+34),0))))&lt;=(Tahmin!$C$4+34),DATE(YEAR((Tahmin!$C$4+34)),MONTH((Tahmin!$C$4+34)),MIN(DAY(Kalemler!$D204),DAY(EOMONTH((Tahmin!$C$4+34),0))))&lt;&gt;DATE(YEAR((Tahmin!$C$4+28)),MONTH((Tahmin!$C$4+28)),MIN(DAY(Kalemler!$D204),DAY(EOMONTH((Tahmin!$C$4+28),0)))),DATE(YEAR((Tahmin!$C$4+34)),MONTH((Tahmin!$C$4+34)),MIN(DAY(Kalemler!$D204),DAY(EOMONTH((Tahmin!$C$4+34),0))))&gt;=Kalemler!$D204)),1,0),IF(AND(Kalemler!$D204&gt;=(Tahmin!$C$4+28),Kalemler!$D204&lt;=(Tahmin!$C$4+34)),1,0))))</f>
        <v>0</v>
      </c>
      <c r="G204" s="0" t="n">
        <f aca="false">IF(OR(Kalemler!$A204="",Kalemler!$C204="",Kalemler!$D204=""),0,Kalemler!$C204*IF(Kalemler!$E204="Haftalık",IF(Kalemler!$D204&lt;=(Tahmin!$C$4+41),1,0),IF(Kalemler!$E204="Aylık",IF(OR(AND(DATE(YEAR((Tahmin!$C$4+35)),MONTH((Tahmin!$C$4+35)),MIN(DAY(Kalemler!$D204),DAY(EOMONTH((Tahmin!$C$4+35),0))))&gt;=(Tahmin!$C$4+35),DATE(YEAR((Tahmin!$C$4+35)),MONTH((Tahmin!$C$4+35)),MIN(DAY(Kalemler!$D204),DAY(EOMONTH((Tahmin!$C$4+35),0))))&lt;=(Tahmin!$C$4+41),DATE(YEAR((Tahmin!$C$4+35)),MONTH((Tahmin!$C$4+35)),MIN(DAY(Kalemler!$D204),DAY(EOMONTH((Tahmin!$C$4+35),0))))&gt;=Kalemler!$D204),AND(DATE(YEAR((Tahmin!$C$4+41)),MONTH((Tahmin!$C$4+41)),MIN(DAY(Kalemler!$D204),DAY(EOMONTH((Tahmin!$C$4+41),0))))&gt;=(Tahmin!$C$4+35),DATE(YEAR((Tahmin!$C$4+41)),MONTH((Tahmin!$C$4+41)),MIN(DAY(Kalemler!$D204),DAY(EOMONTH((Tahmin!$C$4+41),0))))&lt;=(Tahmin!$C$4+41),DATE(YEAR((Tahmin!$C$4+41)),MONTH((Tahmin!$C$4+41)),MIN(DAY(Kalemler!$D204),DAY(EOMONTH((Tahmin!$C$4+41),0))))&lt;&gt;DATE(YEAR((Tahmin!$C$4+35)),MONTH((Tahmin!$C$4+35)),MIN(DAY(Kalemler!$D204),DAY(EOMONTH((Tahmin!$C$4+35),0)))),DATE(YEAR((Tahmin!$C$4+41)),MONTH((Tahmin!$C$4+41)),MIN(DAY(Kalemler!$D204),DAY(EOMONTH((Tahmin!$C$4+41),0))))&gt;=Kalemler!$D204)),1,0),IF(AND(Kalemler!$D204&gt;=(Tahmin!$C$4+35),Kalemler!$D204&lt;=(Tahmin!$C$4+41)),1,0))))</f>
        <v>0</v>
      </c>
      <c r="H204" s="0" t="n">
        <f aca="false">IF(OR(Kalemler!$A204="",Kalemler!$C204="",Kalemler!$D204=""),0,Kalemler!$C204*IF(Kalemler!$E204="Haftalık",IF(Kalemler!$D204&lt;=(Tahmin!$C$4+48),1,0),IF(Kalemler!$E204="Aylık",IF(OR(AND(DATE(YEAR((Tahmin!$C$4+42)),MONTH((Tahmin!$C$4+42)),MIN(DAY(Kalemler!$D204),DAY(EOMONTH((Tahmin!$C$4+42),0))))&gt;=(Tahmin!$C$4+42),DATE(YEAR((Tahmin!$C$4+42)),MONTH((Tahmin!$C$4+42)),MIN(DAY(Kalemler!$D204),DAY(EOMONTH((Tahmin!$C$4+42),0))))&lt;=(Tahmin!$C$4+48),DATE(YEAR((Tahmin!$C$4+42)),MONTH((Tahmin!$C$4+42)),MIN(DAY(Kalemler!$D204),DAY(EOMONTH((Tahmin!$C$4+42),0))))&gt;=Kalemler!$D204),AND(DATE(YEAR((Tahmin!$C$4+48)),MONTH((Tahmin!$C$4+48)),MIN(DAY(Kalemler!$D204),DAY(EOMONTH((Tahmin!$C$4+48),0))))&gt;=(Tahmin!$C$4+42),DATE(YEAR((Tahmin!$C$4+48)),MONTH((Tahmin!$C$4+48)),MIN(DAY(Kalemler!$D204),DAY(EOMONTH((Tahmin!$C$4+48),0))))&lt;=(Tahmin!$C$4+48),DATE(YEAR((Tahmin!$C$4+48)),MONTH((Tahmin!$C$4+48)),MIN(DAY(Kalemler!$D204),DAY(EOMONTH((Tahmin!$C$4+48),0))))&lt;&gt;DATE(YEAR((Tahmin!$C$4+42)),MONTH((Tahmin!$C$4+42)),MIN(DAY(Kalemler!$D204),DAY(EOMONTH((Tahmin!$C$4+42),0)))),DATE(YEAR((Tahmin!$C$4+48)),MONTH((Tahmin!$C$4+48)),MIN(DAY(Kalemler!$D204),DAY(EOMONTH((Tahmin!$C$4+48),0))))&gt;=Kalemler!$D204)),1,0),IF(AND(Kalemler!$D204&gt;=(Tahmin!$C$4+42),Kalemler!$D204&lt;=(Tahmin!$C$4+48)),1,0))))</f>
        <v>0</v>
      </c>
      <c r="I204" s="0" t="n">
        <f aca="false">IF(OR(Kalemler!$A204="",Kalemler!$C204="",Kalemler!$D204=""),0,Kalemler!$C204*IF(Kalemler!$E204="Haftalık",IF(Kalemler!$D204&lt;=(Tahmin!$C$4+55),1,0),IF(Kalemler!$E204="Aylık",IF(OR(AND(DATE(YEAR((Tahmin!$C$4+49)),MONTH((Tahmin!$C$4+49)),MIN(DAY(Kalemler!$D204),DAY(EOMONTH((Tahmin!$C$4+49),0))))&gt;=(Tahmin!$C$4+49),DATE(YEAR((Tahmin!$C$4+49)),MONTH((Tahmin!$C$4+49)),MIN(DAY(Kalemler!$D204),DAY(EOMONTH((Tahmin!$C$4+49),0))))&lt;=(Tahmin!$C$4+55),DATE(YEAR((Tahmin!$C$4+49)),MONTH((Tahmin!$C$4+49)),MIN(DAY(Kalemler!$D204),DAY(EOMONTH((Tahmin!$C$4+49),0))))&gt;=Kalemler!$D204),AND(DATE(YEAR((Tahmin!$C$4+55)),MONTH((Tahmin!$C$4+55)),MIN(DAY(Kalemler!$D204),DAY(EOMONTH((Tahmin!$C$4+55),0))))&gt;=(Tahmin!$C$4+49),DATE(YEAR((Tahmin!$C$4+55)),MONTH((Tahmin!$C$4+55)),MIN(DAY(Kalemler!$D204),DAY(EOMONTH((Tahmin!$C$4+55),0))))&lt;=(Tahmin!$C$4+55),DATE(YEAR((Tahmin!$C$4+55)),MONTH((Tahmin!$C$4+55)),MIN(DAY(Kalemler!$D204),DAY(EOMONTH((Tahmin!$C$4+55),0))))&lt;&gt;DATE(YEAR((Tahmin!$C$4+49)),MONTH((Tahmin!$C$4+49)),MIN(DAY(Kalemler!$D204),DAY(EOMONTH((Tahmin!$C$4+49),0)))),DATE(YEAR((Tahmin!$C$4+55)),MONTH((Tahmin!$C$4+55)),MIN(DAY(Kalemler!$D204),DAY(EOMONTH((Tahmin!$C$4+55),0))))&gt;=Kalemler!$D204)),1,0),IF(AND(Kalemler!$D204&gt;=(Tahmin!$C$4+49),Kalemler!$D204&lt;=(Tahmin!$C$4+55)),1,0))))</f>
        <v>0</v>
      </c>
      <c r="J204" s="0" t="n">
        <f aca="false">IF(OR(Kalemler!$A204="",Kalemler!$C204="",Kalemler!$D204=""),0,Kalemler!$C204*IF(Kalemler!$E204="Haftalık",IF(Kalemler!$D204&lt;=(Tahmin!$C$4+62),1,0),IF(Kalemler!$E204="Aylık",IF(OR(AND(DATE(YEAR((Tahmin!$C$4+56)),MONTH((Tahmin!$C$4+56)),MIN(DAY(Kalemler!$D204),DAY(EOMONTH((Tahmin!$C$4+56),0))))&gt;=(Tahmin!$C$4+56),DATE(YEAR((Tahmin!$C$4+56)),MONTH((Tahmin!$C$4+56)),MIN(DAY(Kalemler!$D204),DAY(EOMONTH((Tahmin!$C$4+56),0))))&lt;=(Tahmin!$C$4+62),DATE(YEAR((Tahmin!$C$4+56)),MONTH((Tahmin!$C$4+56)),MIN(DAY(Kalemler!$D204),DAY(EOMONTH((Tahmin!$C$4+56),0))))&gt;=Kalemler!$D204),AND(DATE(YEAR((Tahmin!$C$4+62)),MONTH((Tahmin!$C$4+62)),MIN(DAY(Kalemler!$D204),DAY(EOMONTH((Tahmin!$C$4+62),0))))&gt;=(Tahmin!$C$4+56),DATE(YEAR((Tahmin!$C$4+62)),MONTH((Tahmin!$C$4+62)),MIN(DAY(Kalemler!$D204),DAY(EOMONTH((Tahmin!$C$4+62),0))))&lt;=(Tahmin!$C$4+62),DATE(YEAR((Tahmin!$C$4+62)),MONTH((Tahmin!$C$4+62)),MIN(DAY(Kalemler!$D204),DAY(EOMONTH((Tahmin!$C$4+62),0))))&lt;&gt;DATE(YEAR((Tahmin!$C$4+56)),MONTH((Tahmin!$C$4+56)),MIN(DAY(Kalemler!$D204),DAY(EOMONTH((Tahmin!$C$4+56),0)))),DATE(YEAR((Tahmin!$C$4+62)),MONTH((Tahmin!$C$4+62)),MIN(DAY(Kalemler!$D204),DAY(EOMONTH((Tahmin!$C$4+62),0))))&gt;=Kalemler!$D204)),1,0),IF(AND(Kalemler!$D204&gt;=(Tahmin!$C$4+56),Kalemler!$D204&lt;=(Tahmin!$C$4+62)),1,0))))</f>
        <v>0</v>
      </c>
      <c r="K204" s="0" t="n">
        <f aca="false">IF(OR(Kalemler!$A204="",Kalemler!$C204="",Kalemler!$D204=""),0,Kalemler!$C204*IF(Kalemler!$E204="Haftalık",IF(Kalemler!$D204&lt;=(Tahmin!$C$4+69),1,0),IF(Kalemler!$E204="Aylık",IF(OR(AND(DATE(YEAR((Tahmin!$C$4+63)),MONTH((Tahmin!$C$4+63)),MIN(DAY(Kalemler!$D204),DAY(EOMONTH((Tahmin!$C$4+63),0))))&gt;=(Tahmin!$C$4+63),DATE(YEAR((Tahmin!$C$4+63)),MONTH((Tahmin!$C$4+63)),MIN(DAY(Kalemler!$D204),DAY(EOMONTH((Tahmin!$C$4+63),0))))&lt;=(Tahmin!$C$4+69),DATE(YEAR((Tahmin!$C$4+63)),MONTH((Tahmin!$C$4+63)),MIN(DAY(Kalemler!$D204),DAY(EOMONTH((Tahmin!$C$4+63),0))))&gt;=Kalemler!$D204),AND(DATE(YEAR((Tahmin!$C$4+69)),MONTH((Tahmin!$C$4+69)),MIN(DAY(Kalemler!$D204),DAY(EOMONTH((Tahmin!$C$4+69),0))))&gt;=(Tahmin!$C$4+63),DATE(YEAR((Tahmin!$C$4+69)),MONTH((Tahmin!$C$4+69)),MIN(DAY(Kalemler!$D204),DAY(EOMONTH((Tahmin!$C$4+69),0))))&lt;=(Tahmin!$C$4+69),DATE(YEAR((Tahmin!$C$4+69)),MONTH((Tahmin!$C$4+69)),MIN(DAY(Kalemler!$D204),DAY(EOMONTH((Tahmin!$C$4+69),0))))&lt;&gt;DATE(YEAR((Tahmin!$C$4+63)),MONTH((Tahmin!$C$4+63)),MIN(DAY(Kalemler!$D204),DAY(EOMONTH((Tahmin!$C$4+63),0)))),DATE(YEAR((Tahmin!$C$4+69)),MONTH((Tahmin!$C$4+69)),MIN(DAY(Kalemler!$D204),DAY(EOMONTH((Tahmin!$C$4+69),0))))&gt;=Kalemler!$D204)),1,0),IF(AND(Kalemler!$D204&gt;=(Tahmin!$C$4+63),Kalemler!$D204&lt;=(Tahmin!$C$4+69)),1,0))))</f>
        <v>0</v>
      </c>
      <c r="L204" s="0" t="n">
        <f aca="false">IF(OR(Kalemler!$A204="",Kalemler!$C204="",Kalemler!$D204=""),0,Kalemler!$C204*IF(Kalemler!$E204="Haftalık",IF(Kalemler!$D204&lt;=(Tahmin!$C$4+76),1,0),IF(Kalemler!$E204="Aylık",IF(OR(AND(DATE(YEAR((Tahmin!$C$4+70)),MONTH((Tahmin!$C$4+70)),MIN(DAY(Kalemler!$D204),DAY(EOMONTH((Tahmin!$C$4+70),0))))&gt;=(Tahmin!$C$4+70),DATE(YEAR((Tahmin!$C$4+70)),MONTH((Tahmin!$C$4+70)),MIN(DAY(Kalemler!$D204),DAY(EOMONTH((Tahmin!$C$4+70),0))))&lt;=(Tahmin!$C$4+76),DATE(YEAR((Tahmin!$C$4+70)),MONTH((Tahmin!$C$4+70)),MIN(DAY(Kalemler!$D204),DAY(EOMONTH((Tahmin!$C$4+70),0))))&gt;=Kalemler!$D204),AND(DATE(YEAR((Tahmin!$C$4+76)),MONTH((Tahmin!$C$4+76)),MIN(DAY(Kalemler!$D204),DAY(EOMONTH((Tahmin!$C$4+76),0))))&gt;=(Tahmin!$C$4+70),DATE(YEAR((Tahmin!$C$4+76)),MONTH((Tahmin!$C$4+76)),MIN(DAY(Kalemler!$D204),DAY(EOMONTH((Tahmin!$C$4+76),0))))&lt;=(Tahmin!$C$4+76),DATE(YEAR((Tahmin!$C$4+76)),MONTH((Tahmin!$C$4+76)),MIN(DAY(Kalemler!$D204),DAY(EOMONTH((Tahmin!$C$4+76),0))))&lt;&gt;DATE(YEAR((Tahmin!$C$4+70)),MONTH((Tahmin!$C$4+70)),MIN(DAY(Kalemler!$D204),DAY(EOMONTH((Tahmin!$C$4+70),0)))),DATE(YEAR((Tahmin!$C$4+76)),MONTH((Tahmin!$C$4+76)),MIN(DAY(Kalemler!$D204),DAY(EOMONTH((Tahmin!$C$4+76),0))))&gt;=Kalemler!$D204)),1,0),IF(AND(Kalemler!$D204&gt;=(Tahmin!$C$4+70),Kalemler!$D204&lt;=(Tahmin!$C$4+76)),1,0))))</f>
        <v>0</v>
      </c>
      <c r="M204" s="0" t="n">
        <f aca="false">IF(OR(Kalemler!$A204="",Kalemler!$C204="",Kalemler!$D204=""),0,Kalemler!$C204*IF(Kalemler!$E204="Haftalık",IF(Kalemler!$D204&lt;=(Tahmin!$C$4+83),1,0),IF(Kalemler!$E204="Aylık",IF(OR(AND(DATE(YEAR((Tahmin!$C$4+77)),MONTH((Tahmin!$C$4+77)),MIN(DAY(Kalemler!$D204),DAY(EOMONTH((Tahmin!$C$4+77),0))))&gt;=(Tahmin!$C$4+77),DATE(YEAR((Tahmin!$C$4+77)),MONTH((Tahmin!$C$4+77)),MIN(DAY(Kalemler!$D204),DAY(EOMONTH((Tahmin!$C$4+77),0))))&lt;=(Tahmin!$C$4+83),DATE(YEAR((Tahmin!$C$4+77)),MONTH((Tahmin!$C$4+77)),MIN(DAY(Kalemler!$D204),DAY(EOMONTH((Tahmin!$C$4+77),0))))&gt;=Kalemler!$D204),AND(DATE(YEAR((Tahmin!$C$4+83)),MONTH((Tahmin!$C$4+83)),MIN(DAY(Kalemler!$D204),DAY(EOMONTH((Tahmin!$C$4+83),0))))&gt;=(Tahmin!$C$4+77),DATE(YEAR((Tahmin!$C$4+83)),MONTH((Tahmin!$C$4+83)),MIN(DAY(Kalemler!$D204),DAY(EOMONTH((Tahmin!$C$4+83),0))))&lt;=(Tahmin!$C$4+83),DATE(YEAR((Tahmin!$C$4+83)),MONTH((Tahmin!$C$4+83)),MIN(DAY(Kalemler!$D204),DAY(EOMONTH((Tahmin!$C$4+83),0))))&lt;&gt;DATE(YEAR((Tahmin!$C$4+77)),MONTH((Tahmin!$C$4+77)),MIN(DAY(Kalemler!$D204),DAY(EOMONTH((Tahmin!$C$4+77),0)))),DATE(YEAR((Tahmin!$C$4+83)),MONTH((Tahmin!$C$4+83)),MIN(DAY(Kalemler!$D204),DAY(EOMONTH((Tahmin!$C$4+83),0))))&gt;=Kalemler!$D204)),1,0),IF(AND(Kalemler!$D204&gt;=(Tahmin!$C$4+77),Kalemler!$D204&lt;=(Tahmin!$C$4+83)),1,0))))</f>
        <v>0</v>
      </c>
      <c r="N204" s="0" t="n">
        <f aca="false">IF(OR(Kalemler!$A204="",Kalemler!$C204="",Kalemler!$D204=""),0,Kalemler!$C204*IF(Kalemler!$E204="Haftalık",IF(Kalemler!$D204&lt;=(Tahmin!$C$4+90),1,0),IF(Kalemler!$E204="Aylık",IF(OR(AND(DATE(YEAR((Tahmin!$C$4+84)),MONTH((Tahmin!$C$4+84)),MIN(DAY(Kalemler!$D204),DAY(EOMONTH((Tahmin!$C$4+84),0))))&gt;=(Tahmin!$C$4+84),DATE(YEAR((Tahmin!$C$4+84)),MONTH((Tahmin!$C$4+84)),MIN(DAY(Kalemler!$D204),DAY(EOMONTH((Tahmin!$C$4+84),0))))&lt;=(Tahmin!$C$4+90),DATE(YEAR((Tahmin!$C$4+84)),MONTH((Tahmin!$C$4+84)),MIN(DAY(Kalemler!$D204),DAY(EOMONTH((Tahmin!$C$4+84),0))))&gt;=Kalemler!$D204),AND(DATE(YEAR((Tahmin!$C$4+90)),MONTH((Tahmin!$C$4+90)),MIN(DAY(Kalemler!$D204),DAY(EOMONTH((Tahmin!$C$4+90),0))))&gt;=(Tahmin!$C$4+84),DATE(YEAR((Tahmin!$C$4+90)),MONTH((Tahmin!$C$4+90)),MIN(DAY(Kalemler!$D204),DAY(EOMONTH((Tahmin!$C$4+90),0))))&lt;=(Tahmin!$C$4+90),DATE(YEAR((Tahmin!$C$4+90)),MONTH((Tahmin!$C$4+90)),MIN(DAY(Kalemler!$D204),DAY(EOMONTH((Tahmin!$C$4+90),0))))&lt;&gt;DATE(YEAR((Tahmin!$C$4+84)),MONTH((Tahmin!$C$4+84)),MIN(DAY(Kalemler!$D204),DAY(EOMONTH((Tahmin!$C$4+84),0)))),DATE(YEAR((Tahmin!$C$4+90)),MONTH((Tahmin!$C$4+90)),MIN(DAY(Kalemler!$D204),DAY(EOMONTH((Tahmin!$C$4+90),0))))&gt;=Kalemler!$D204)),1,0),IF(AND(Kalemler!$D204&gt;=(Tahmin!$C$4+84),Kalemler!$D204&lt;=(Tahmin!$C$4+90)),1,0))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19.7" hidden="false" customHeight="false" outlineLevel="0" collapsed="false">
      <c r="B1" s="8" t="s">
        <v>66</v>
      </c>
    </row>
    <row r="2" customFormat="false" ht="30" hidden="false" customHeight="true" outlineLevel="0" collapsed="false">
      <c r="B2" s="29" t="s">
        <v>67</v>
      </c>
      <c r="C2" s="29"/>
    </row>
    <row r="3" customFormat="false" ht="31.5" hidden="false" customHeight="true" outlineLevel="0" collapsed="false">
      <c r="B3" s="30" t="s">
        <v>68</v>
      </c>
      <c r="C3" s="30"/>
    </row>
    <row r="5" customFormat="false" ht="15" hidden="false" customHeight="false" outlineLevel="0" collapsed="false">
      <c r="B5" s="31" t="s">
        <v>69</v>
      </c>
      <c r="C5" s="31" t="s">
        <v>70</v>
      </c>
    </row>
    <row r="6" customFormat="false" ht="31.5" hidden="false" customHeight="true" outlineLevel="0" collapsed="false">
      <c r="B6" s="32" t="s">
        <v>71</v>
      </c>
      <c r="C6" s="33" t="s">
        <v>72</v>
      </c>
    </row>
    <row r="7" customFormat="false" ht="31.5" hidden="false" customHeight="true" outlineLevel="0" collapsed="false">
      <c r="B7" s="34" t="s">
        <v>73</v>
      </c>
      <c r="C7" s="35" t="s">
        <v>74</v>
      </c>
    </row>
    <row r="8" customFormat="false" ht="31.5" hidden="false" customHeight="true" outlineLevel="0" collapsed="false">
      <c r="B8" s="32" t="s">
        <v>75</v>
      </c>
      <c r="C8" s="33" t="s">
        <v>76</v>
      </c>
    </row>
    <row r="9" customFormat="false" ht="31.5" hidden="false" customHeight="true" outlineLevel="0" collapsed="false">
      <c r="B9" s="34" t="s">
        <v>77</v>
      </c>
      <c r="C9" s="35" t="s">
        <v>78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2026-10-04T22:00:08Z</dcterms:created>
  <dc:creator>openpyxl</dc:creator>
  <dc:description/>
  <dc:language>en-US</dc:language>
  <cp:lastModifiedBy/>
  <dcterms:modified xsi:type="dcterms:W3CDTF">2026-10-04T22:00:10Z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