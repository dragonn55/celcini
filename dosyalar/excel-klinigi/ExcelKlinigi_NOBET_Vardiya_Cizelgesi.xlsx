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Çizelge" sheetId="2" state="visible" r:id="rId4"/>
    <sheet name="Vardiyalar" sheetId="3" state="visible" r:id="rId5"/>
    <sheet name="AI Komutları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<sst xmlns="http://schemas.openxmlformats.org/spreadsheetml/2006/main" count="89" uniqueCount="64">
  <si>
    <t xml:space="preserve">EXCEL KLİNİĞİ</t>
  </si>
  <si>
    <t xml:space="preserve">NÖBET  |  Haftalık vardiya çizelgesi</t>
  </si>
  <si>
    <t xml:space="preserve">Kim hangi gün hangi vardiyada, haftada kaç saat çalışıyor, hangi gün kaç kişi var.</t>
  </si>
  <si>
    <t xml:space="preserve">NASIL KULLANILIR</t>
  </si>
  <si>
    <t xml:space="preserve">1. Vardiyalar</t>
  </si>
  <si>
    <t xml:space="preserve">Vardiya kodlarını ve sürelerini yaz. İzin için süresi 0 olan bir kod kullan.</t>
  </si>
  <si>
    <t xml:space="preserve">2. Çizelge</t>
  </si>
  <si>
    <t xml:space="preserve">Haftanın pazartesi tarihini, personeli ve her günün vardiya kodunu gir.</t>
  </si>
  <si>
    <t xml:space="preserve">3. Kontrol</t>
  </si>
  <si>
    <t xml:space="preserve">Haftalık saat, en fazla saati aşanlar ve gün gün çalışan sayısı hesaplanır.</t>
  </si>
  <si>
    <t xml:space="preserve">BİLMEN GEREKENLER</t>
  </si>
  <si>
    <t xml:space="preserve">Tek hafta</t>
  </si>
  <si>
    <t xml:space="preserve">Bir sayfa bir haftayı tutar. Yeni hafta için sayfayı kopyala ya da kodları silip yeniden doldur.</t>
  </si>
  <si>
    <t xml:space="preserve">Yasal süre</t>
  </si>
  <si>
    <t xml:space="preserve">En fazla saat senin girdiğin sınırdır; yasal çalışma ve dinlenme sürelerine uygunluğu dosya denetlemez.</t>
  </si>
  <si>
    <t xml:space="preserve">Kapasite</t>
  </si>
  <si>
    <t xml:space="preserve">30 personel, 10 vardiya kodu, bir hafta.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</si>
  <si>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</si>
  <si>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</si>
  <si>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</si>
  <si>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</si>
  <si>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</si>
  <si>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Haftalık Çizelge</t>
  </si>
  <si>
    <t xml:space="preserve">Haftanın pazartesi tarihini yaz, her kişi için günlerin vardiya kodunu seç.</t>
  </si>
  <si>
    <t xml:space="preserve">Haftanın pazartesisi</t>
  </si>
  <si>
    <t xml:space="preserve">Personel</t>
  </si>
  <si>
    <t xml:space="preserve">En fazla saat</t>
  </si>
  <si>
    <t xml:space="preserve">Haftalık saat</t>
  </si>
  <si>
    <t xml:space="preserve">Uyarı</t>
  </si>
  <si>
    <t xml:space="preserve">Personel Alfa</t>
  </si>
  <si>
    <t xml:space="preserve">S</t>
  </si>
  <si>
    <t xml:space="preserve">İ</t>
  </si>
  <si>
    <t xml:space="preserve">Personel Beta</t>
  </si>
  <si>
    <t xml:space="preserve">A</t>
  </si>
  <si>
    <t xml:space="preserve">Personel Gama</t>
  </si>
  <si>
    <t xml:space="preserve">T</t>
  </si>
  <si>
    <t xml:space="preserve">Personel Delta</t>
  </si>
  <si>
    <t xml:space="preserve">Gün gün kaç kişi çalışıyor</t>
  </si>
  <si>
    <t xml:space="preserve">Vardiya</t>
  </si>
  <si>
    <t xml:space="preserve">ÇALIŞAN TOPLAMI</t>
  </si>
  <si>
    <t xml:space="preserve">Vardiyalar</t>
  </si>
  <si>
    <t xml:space="preserve">Vardiya kodlarını ve kaç saat sürdüğünü yaz. Çizelgede bu kodları kullanırsın.</t>
  </si>
  <si>
    <t xml:space="preserve">Kod</t>
  </si>
  <si>
    <t xml:space="preserve">Açıklama</t>
  </si>
  <si>
    <t xml:space="preserve">Saat</t>
  </si>
  <si>
    <t xml:space="preserve">Sabah 08:00-16:00</t>
  </si>
  <si>
    <t xml:space="preserve">Akşam 16:00-24:00</t>
  </si>
  <si>
    <t xml:space="preserve">G</t>
  </si>
  <si>
    <t xml:space="preserve">Gece 24:00-08:00</t>
  </si>
  <si>
    <t xml:space="preserve">Tam gün 10:00-22:00</t>
  </si>
  <si>
    <t xml:space="preserve">İzinli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</si>
  <si>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</si>
  <si>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</si>
  <si>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Personel adlarını takma adla değiştir. Yapay zekanın verdiği rakamları dosyadaki özet sayfasıyla karşılaştır.</t>
  </si>
  <si>
    <t xml:space="preserve">Ne için</t>
  </si>
  <si>
    <t xml:space="preserve">Komut (kopyala, yapıştır)</t>
  </si>
  <si>
    <t xml:space="preserve">Dengeleme</t>
  </si>
  <si>
    <t xml:space="preserve">[Çizelge sayfası] Saatleri kişiler arasında daha dengeli dağıtmak için hangi vardiyaları değiştirebilirim?</t>
  </si>
  <si>
    <t xml:space="preserve">Boşluk</t>
  </si>
  <si>
    <t xml:space="preserve">[Çizelge sayfası] Hangi gün ve vardiyada kişi sayısı en düşük? Öneri ver.</t>
  </si>
  <si>
    <t xml:space="preserve">Duyuru</t>
  </si>
  <si>
    <t xml:space="preserve">Haftalık vardiya çizelgesini ekibe duyuran kısa bir mesaj yaz.</t>
  </si>
  <si>
    <t xml:space="preserve">İzin talebi</t>
  </si>
  <si>
    <t xml:space="preserve">[kişi] [gün] izin istiyor. Çizelgeyi en az değişiklikle yeniden düzenle.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</si>
</sst>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\.yyyy"/>
    <numFmt numFmtId="166" formatCode="#,##0;[RED]\-#,##0;\-"/>
    <numFmt numFmtId="167" formatCode="0.0"/>
    <numFmt numFmtId="168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3F4F6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B42318"/>
      </font>
      <fill>
        <patternFill>
          <bgColor rgb="FFFDE2E0"/>
        </patternFill>
      </fill>
    </dxf>
    <dxf>
      <font>
        <name val="Arial"/>
        <charset val="1"/>
        <family val="0"/>
        <b val="1"/>
        <color rgb="FF667085"/>
      </font>
      <fill>
        <patternFill>
          <bgColor rgb="FFF3F4F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0C0C0"/>
      <rgbColor rgb="FF808080"/>
      <rgbColor rgb="FF9999FF"/>
      <rgbColor rgb="FF993366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DE2E0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003366"/>
      <rgbColor rgb="FF3B8A5E"/>
      <rgbColor rgb="FF003300"/>
      <rgbColor rgb="FF333300"/>
      <rgbColor rgb="FFB42318"/>
      <rgbColor rgb="FF993366"/>
      <rgbColor rgb="FF475467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18" hidden="false" customHeight="true" outlineLevel="0" collapsed="false">
      <c r="B7" s="5" t="s">
        <v>4</v>
      </c>
      <c r="C7" s="6" t="s">
        <v>5</v>
      </c>
    </row>
    <row r="8" customFormat="false" ht="18" hidden="false" customHeight="true" outlineLevel="0" collapsed="false">
      <c r="B8" s="5" t="s">
        <v>6</v>
      </c>
      <c r="C8" s="6" t="s">
        <v>7</v>
      </c>
    </row>
    <row r="9" customFormat="false" ht="18" hidden="false" customHeight="true" outlineLevel="0" collapsed="false">
      <c r="B9" s="5" t="s">
        <v>8</v>
      </c>
      <c r="C9" s="6" t="s">
        <v>9</v>
      </c>
    </row>
    <row r="11" customFormat="false" ht="19.5" hidden="false" customHeight="true" outlineLevel="0" collapsed="false">
      <c r="B11" s="4" t="s">
        <v>10</v>
      </c>
      <c r="C11" s="4"/>
    </row>
    <row r="12" customFormat="false" ht="30" hidden="false" customHeight="true" outlineLevel="0" collapsed="false">
      <c r="B12" s="5" t="s">
        <v>11</v>
      </c>
      <c r="C12" s="6" t="s">
        <v>12</v>
      </c>
    </row>
    <row r="13" customFormat="false" ht="30" hidden="false" customHeight="true" outlineLevel="0" collapsed="false">
      <c r="B13" s="5" t="s">
        <v>13</v>
      </c>
      <c r="C13" s="6" t="s">
        <v>14</v>
      </c>
    </row>
    <row r="14" customFormat="false" ht="18" hidden="false" customHeight="true" outlineLevel="0" collapsed="false">
      <c r="B14" s="5" t="s">
        <v>15</v>
      </c>
      <c r="C14" s="6" t="s">
        <v>16</v>
      </c>
    </row>
    <row r="16" customFormat="false" ht="19.5" hidden="false" customHeight="true" outlineLevel="0" collapsed="false">
      <c r="B16" s="4" t="s">
        <v>17</v>
      </c>
      <c r="C16" s="4"/>
    </row>
    <row r="17" customFormat="false" ht="18" hidden="false" customHeight="true" outlineLevel="0" collapsed="false">
      <c r="B17" s="7" t="s">
        <v>18</v>
      </c>
      <c r="C17" s="6" t="s">
        <v>19</v>
      </c>
    </row>
    <row r="18" customFormat="false" ht="18" hidden="false" customHeight="true" outlineLevel="0" collapsed="false">
      <c r="B18" s="5" t="s">
        <v>20</v>
      </c>
      <c r="C18" s="6" t="s">
        <v>21</v>
      </c>
    </row>
  </sheetData>
  <mergeCells count="6">
    <mergeCell ref="B2:C2"/>
    <mergeCell ref="B3:C3"/>
    <mergeCell ref="B4:C4"/>
    <mergeCell ref="B6:C6"/>
    <mergeCell ref="B11:C11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L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10" min="4" style="0" width="11"/>
    <col collapsed="false" customWidth="true" hidden="false" outlineLevel="0" max="11" min="11" style="0" width="12"/>
    <col collapsed="false" customWidth="true" hidden="false" outlineLevel="0" max="12" min="12" style="0" width="18"/>
  </cols>
  <sheetData>
    <row r="1" customFormat="false" ht="19.7" hidden="false" customHeight="false" outlineLevel="0" collapsed="false">
      <c r="A1" s="8" t="s">
        <v>22</v>
      </c>
    </row>
    <row r="2" customFormat="false" ht="15" hidden="false" customHeight="false" outlineLevel="0" collapsed="false">
      <c r="A2" s="9" t="s">
        <v>23</v>
      </c>
    </row>
    <row r="3" customFormat="false" ht="15" hidden="false" customHeight="false" outlineLevel="0" collapsed="false">
      <c r="B3" s="10" t="s">
        <v>24</v>
      </c>
      <c r="C3" s="11" t="n">
        <v>46300</v>
      </c>
    </row>
    <row r="5" customFormat="false" ht="33.75" hidden="false" customHeight="true" outlineLevel="0" collapsed="false">
      <c r="B5" s="12" t="s">
        <v>25</v>
      </c>
      <c r="C5" s="12" t="s">
        <v>26</v>
      </c>
      <c r="D5" s="13" t="str">
        <f aca="false">"Pzt "&amp;RIGHT("0"&amp;DAY($C$3+0),2)&amp;"."&amp;RIGHT("0"&amp;MONTH($C$3+0),2)</f>
        <v>Pzt 05.10</v>
      </c>
      <c r="E5" s="13" t="str">
        <f aca="false">"Sal "&amp;RIGHT("0"&amp;DAY($C$3+1),2)&amp;"."&amp;RIGHT("0"&amp;MONTH($C$3+1),2)</f>
        <v>Sal 06.10</v>
      </c>
      <c r="F5" s="13" t="str">
        <f aca="false">"Çar "&amp;RIGHT("0"&amp;DAY($C$3+2),2)&amp;"."&amp;RIGHT("0"&amp;MONTH($C$3+2),2)</f>
        <v>Çar 07.10</v>
      </c>
      <c r="G5" s="13" t="str">
        <f aca="false">"Per "&amp;RIGHT("0"&amp;DAY($C$3+3),2)&amp;"."&amp;RIGHT("0"&amp;MONTH($C$3+3),2)</f>
        <v>Per 08.10</v>
      </c>
      <c r="H5" s="13" t="str">
        <f aca="false">"Cum "&amp;RIGHT("0"&amp;DAY($C$3+4),2)&amp;"."&amp;RIGHT("0"&amp;MONTH($C$3+4),2)</f>
        <v>Cum 09.10</v>
      </c>
      <c r="I5" s="13" t="str">
        <f aca="false">"Cmt "&amp;RIGHT("0"&amp;DAY($C$3+5),2)&amp;"."&amp;RIGHT("0"&amp;MONTH($C$3+5),2)</f>
        <v>Cmt 10.10</v>
      </c>
      <c r="J5" s="13" t="str">
        <f aca="false">"Paz "&amp;RIGHT("0"&amp;DAY($C$3+6),2)&amp;"."&amp;RIGHT("0"&amp;MONTH($C$3+6),2)</f>
        <v>Paz 11.10</v>
      </c>
      <c r="K5" s="13" t="s">
        <v>27</v>
      </c>
      <c r="L5" s="13" t="s">
        <v>28</v>
      </c>
    </row>
    <row r="6" customFormat="false" ht="15" hidden="false" customHeight="false" outlineLevel="0" collapsed="false">
      <c r="B6" s="14" t="s">
        <v>29</v>
      </c>
      <c r="C6" s="15" t="n">
        <v>45</v>
      </c>
      <c r="D6" s="16" t="s">
        <v>30</v>
      </c>
      <c r="E6" s="16" t="s">
        <v>30</v>
      </c>
      <c r="F6" s="16" t="s">
        <v>30</v>
      </c>
      <c r="G6" s="16" t="s">
        <v>30</v>
      </c>
      <c r="H6" s="16" t="s">
        <v>30</v>
      </c>
      <c r="I6" s="16" t="s">
        <v>31</v>
      </c>
      <c r="J6" s="16" t="s">
        <v>31</v>
      </c>
      <c r="K6" s="17" t="n">
        <f aca="false">IF(B6="","",SUMPRODUCT(COUNTIF(D6:J6,Vardiyalar!$A$5:$A$14)*Vardiyalar!$C$5:$C$14))</f>
        <v>40</v>
      </c>
      <c r="L6" s="18" t="str">
        <f aca="false">IF(OR(B6="",C6=""),"",IF(K6&gt;C6,"En fazla saati aşıyor",""))</f>
        <v/>
      </c>
    </row>
    <row r="7" customFormat="false" ht="15" hidden="false" customHeight="false" outlineLevel="0" collapsed="false">
      <c r="B7" s="14" t="s">
        <v>32</v>
      </c>
      <c r="C7" s="15" t="n">
        <v>45</v>
      </c>
      <c r="D7" s="16" t="s">
        <v>33</v>
      </c>
      <c r="E7" s="16" t="s">
        <v>33</v>
      </c>
      <c r="F7" s="16" t="s">
        <v>33</v>
      </c>
      <c r="G7" s="16" t="s">
        <v>33</v>
      </c>
      <c r="H7" s="16" t="s">
        <v>33</v>
      </c>
      <c r="I7" s="16" t="s">
        <v>33</v>
      </c>
      <c r="J7" s="16" t="s">
        <v>31</v>
      </c>
      <c r="K7" s="17" t="n">
        <f aca="false">IF(B7="","",SUMPRODUCT(COUNTIF(D7:J7,Vardiyalar!$A$5:$A$14)*Vardiyalar!$C$5:$C$14))</f>
        <v>48</v>
      </c>
      <c r="L7" s="18" t="str">
        <f aca="false">IF(OR(B7="",C7=""),"",IF(K7&gt;C7,"En fazla saati aşıyor",""))</f>
        <v>En fazla saati aşıyor</v>
      </c>
    </row>
    <row r="8" customFormat="false" ht="15" hidden="false" customHeight="false" outlineLevel="0" collapsed="false">
      <c r="B8" s="14" t="s">
        <v>34</v>
      </c>
      <c r="C8" s="15" t="n">
        <v>45</v>
      </c>
      <c r="D8" s="16" t="s">
        <v>31</v>
      </c>
      <c r="E8" s="16" t="s">
        <v>35</v>
      </c>
      <c r="F8" s="16" t="s">
        <v>35</v>
      </c>
      <c r="G8" s="16" t="s">
        <v>35</v>
      </c>
      <c r="H8" s="16" t="s">
        <v>35</v>
      </c>
      <c r="I8" s="16" t="s">
        <v>30</v>
      </c>
      <c r="J8" s="16"/>
      <c r="K8" s="17" t="n">
        <f aca="false">IF(B8="","",SUMPRODUCT(COUNTIF(D8:J8,Vardiyalar!$A$5:$A$14)*Vardiyalar!$C$5:$C$14))</f>
        <v>56</v>
      </c>
      <c r="L8" s="18" t="str">
        <f aca="false">IF(OR(B8="",C8=""),"",IF(K8&gt;C8,"En fazla saati aşıyor",""))</f>
        <v>En fazla saati aşıyor</v>
      </c>
    </row>
    <row r="9" customFormat="false" ht="15" hidden="false" customHeight="false" outlineLevel="0" collapsed="false">
      <c r="B9" s="14" t="s">
        <v>36</v>
      </c>
      <c r="C9" s="15" t="n">
        <v>30</v>
      </c>
      <c r="D9" s="16" t="s">
        <v>30</v>
      </c>
      <c r="E9" s="16"/>
      <c r="F9" s="16" t="s">
        <v>30</v>
      </c>
      <c r="G9" s="16"/>
      <c r="H9" s="16" t="s">
        <v>33</v>
      </c>
      <c r="I9" s="16" t="s">
        <v>35</v>
      </c>
      <c r="J9" s="16" t="s">
        <v>35</v>
      </c>
      <c r="K9" s="17" t="n">
        <f aca="false">IF(B9="","",SUMPRODUCT(COUNTIF(D9:J9,Vardiyalar!$A$5:$A$14)*Vardiyalar!$C$5:$C$14))</f>
        <v>48</v>
      </c>
      <c r="L9" s="18" t="str">
        <f aca="false">IF(OR(B9="",C9=""),"",IF(K9&gt;C9,"En fazla saati aşıyor",""))</f>
        <v>En fazla saati aşıyor</v>
      </c>
    </row>
    <row r="10" customFormat="false" ht="15" hidden="false" customHeight="false" outlineLevel="0" collapsed="false">
      <c r="B10" s="14"/>
      <c r="C10" s="15"/>
      <c r="D10" s="16"/>
      <c r="E10" s="16"/>
      <c r="F10" s="16"/>
      <c r="G10" s="16"/>
      <c r="H10" s="16"/>
      <c r="I10" s="16"/>
      <c r="J10" s="16"/>
      <c r="K10" s="17" t="str">
        <f aca="false">IF(B10="","",SUMPRODUCT(COUNTIF(D10:J10,Vardiyalar!$A$5:$A$14)*Vardiyalar!$C$5:$C$14))</f>
        <v/>
      </c>
      <c r="L10" s="18" t="str">
        <f aca="false">IF(OR(B10="",C10=""),"",IF(K10&gt;C10,"En fazla saati aşıyor",""))</f>
        <v/>
      </c>
    </row>
    <row r="11" customFormat="false" ht="15" hidden="false" customHeight="false" outlineLevel="0" collapsed="false">
      <c r="B11" s="14"/>
      <c r="C11" s="15"/>
      <c r="D11" s="16"/>
      <c r="E11" s="16"/>
      <c r="F11" s="16"/>
      <c r="G11" s="16"/>
      <c r="H11" s="16"/>
      <c r="I11" s="16"/>
      <c r="J11" s="16"/>
      <c r="K11" s="17" t="str">
        <f aca="false">IF(B11="","",SUMPRODUCT(COUNTIF(D11:J11,Vardiyalar!$A$5:$A$14)*Vardiyalar!$C$5:$C$14))</f>
        <v/>
      </c>
      <c r="L11" s="18" t="str">
        <f aca="false">IF(OR(B11="",C11=""),"",IF(K11&gt;C11,"En fazla saati aşıyor",""))</f>
        <v/>
      </c>
    </row>
    <row r="12" customFormat="false" ht="15" hidden="false" customHeight="false" outlineLevel="0" collapsed="false">
      <c r="B12" s="14"/>
      <c r="C12" s="15"/>
      <c r="D12" s="16"/>
      <c r="E12" s="16"/>
      <c r="F12" s="16"/>
      <c r="G12" s="16"/>
      <c r="H12" s="16"/>
      <c r="I12" s="16"/>
      <c r="J12" s="16"/>
      <c r="K12" s="17" t="str">
        <f aca="false">IF(B12="","",SUMPRODUCT(COUNTIF(D12:J12,Vardiyalar!$A$5:$A$14)*Vardiyalar!$C$5:$C$14))</f>
        <v/>
      </c>
      <c r="L12" s="18" t="str">
        <f aca="false">IF(OR(B12="",C12=""),"",IF(K12&gt;C12,"En fazla saati aşıyor",""))</f>
        <v/>
      </c>
    </row>
    <row r="13" customFormat="false" ht="15" hidden="false" customHeight="false" outlineLevel="0" collapsed="false">
      <c r="B13" s="14"/>
      <c r="C13" s="15"/>
      <c r="D13" s="16"/>
      <c r="E13" s="16"/>
      <c r="F13" s="16"/>
      <c r="G13" s="16"/>
      <c r="H13" s="16"/>
      <c r="I13" s="16"/>
      <c r="J13" s="16"/>
      <c r="K13" s="17" t="str">
        <f aca="false">IF(B13="","",SUMPRODUCT(COUNTIF(D13:J13,Vardiyalar!$A$5:$A$14)*Vardiyalar!$C$5:$C$14))</f>
        <v/>
      </c>
      <c r="L13" s="18" t="str">
        <f aca="false">IF(OR(B13="",C13=""),"",IF(K13&gt;C13,"En fazla saati aşıyor",""))</f>
        <v/>
      </c>
    </row>
    <row r="14" customFormat="false" ht="15" hidden="false" customHeight="false" outlineLevel="0" collapsed="false">
      <c r="B14" s="14"/>
      <c r="C14" s="15"/>
      <c r="D14" s="16"/>
      <c r="E14" s="16"/>
      <c r="F14" s="16"/>
      <c r="G14" s="16"/>
      <c r="H14" s="16"/>
      <c r="I14" s="16"/>
      <c r="J14" s="16"/>
      <c r="K14" s="17" t="str">
        <f aca="false">IF(B14="","",SUMPRODUCT(COUNTIF(D14:J14,Vardiyalar!$A$5:$A$14)*Vardiyalar!$C$5:$C$14))</f>
        <v/>
      </c>
      <c r="L14" s="18" t="str">
        <f aca="false">IF(OR(B14="",C14=""),"",IF(K14&gt;C14,"En fazla saati aşıyor",""))</f>
        <v/>
      </c>
    </row>
    <row r="15" customFormat="false" ht="15" hidden="false" customHeight="false" outlineLevel="0" collapsed="false">
      <c r="B15" s="14"/>
      <c r="C15" s="15"/>
      <c r="D15" s="16"/>
      <c r="E15" s="16"/>
      <c r="F15" s="16"/>
      <c r="G15" s="16"/>
      <c r="H15" s="16"/>
      <c r="I15" s="16"/>
      <c r="J15" s="16"/>
      <c r="K15" s="17" t="str">
        <f aca="false">IF(B15="","",SUMPRODUCT(COUNTIF(D15:J15,Vardiyalar!$A$5:$A$14)*Vardiyalar!$C$5:$C$14))</f>
        <v/>
      </c>
      <c r="L15" s="18" t="str">
        <f aca="false">IF(OR(B15="",C15=""),"",IF(K15&gt;C15,"En fazla saati aşıyor",""))</f>
        <v/>
      </c>
    </row>
    <row r="16" customFormat="false" ht="15" hidden="false" customHeight="false" outlineLevel="0" collapsed="false">
      <c r="B16" s="14"/>
      <c r="C16" s="15"/>
      <c r="D16" s="16"/>
      <c r="E16" s="16"/>
      <c r="F16" s="16"/>
      <c r="G16" s="16"/>
      <c r="H16" s="16"/>
      <c r="I16" s="16"/>
      <c r="J16" s="16"/>
      <c r="K16" s="17" t="str">
        <f aca="false">IF(B16="","",SUMPRODUCT(COUNTIF(D16:J16,Vardiyalar!$A$5:$A$14)*Vardiyalar!$C$5:$C$14))</f>
        <v/>
      </c>
      <c r="L16" s="18" t="str">
        <f aca="false">IF(OR(B16="",C16=""),"",IF(K16&gt;C16,"En fazla saati aşıyor",""))</f>
        <v/>
      </c>
    </row>
    <row r="17" customFormat="false" ht="15" hidden="false" customHeight="false" outlineLevel="0" collapsed="false">
      <c r="B17" s="14"/>
      <c r="C17" s="15"/>
      <c r="D17" s="16"/>
      <c r="E17" s="16"/>
      <c r="F17" s="16"/>
      <c r="G17" s="16"/>
      <c r="H17" s="16"/>
      <c r="I17" s="16"/>
      <c r="J17" s="16"/>
      <c r="K17" s="17" t="str">
        <f aca="false">IF(B17="","",SUMPRODUCT(COUNTIF(D17:J17,Vardiyalar!$A$5:$A$14)*Vardiyalar!$C$5:$C$14))</f>
        <v/>
      </c>
      <c r="L17" s="18" t="str">
        <f aca="false">IF(OR(B17="",C17=""),"",IF(K17&gt;C17,"En fazla saati aşıyor",""))</f>
        <v/>
      </c>
    </row>
    <row r="18" customFormat="false" ht="15" hidden="false" customHeight="false" outlineLevel="0" collapsed="false">
      <c r="B18" s="14"/>
      <c r="C18" s="15"/>
      <c r="D18" s="16"/>
      <c r="E18" s="16"/>
      <c r="F18" s="16"/>
      <c r="G18" s="16"/>
      <c r="H18" s="16"/>
      <c r="I18" s="16"/>
      <c r="J18" s="16"/>
      <c r="K18" s="17" t="str">
        <f aca="false">IF(B18="","",SUMPRODUCT(COUNTIF(D18:J18,Vardiyalar!$A$5:$A$14)*Vardiyalar!$C$5:$C$14))</f>
        <v/>
      </c>
      <c r="L18" s="18" t="str">
        <f aca="false">IF(OR(B18="",C18=""),"",IF(K18&gt;C18,"En fazla saati aşıyor",""))</f>
        <v/>
      </c>
    </row>
    <row r="19" customFormat="false" ht="15" hidden="false" customHeight="false" outlineLevel="0" collapsed="false">
      <c r="B19" s="14"/>
      <c r="C19" s="15"/>
      <c r="D19" s="16"/>
      <c r="E19" s="16"/>
      <c r="F19" s="16"/>
      <c r="G19" s="16"/>
      <c r="H19" s="16"/>
      <c r="I19" s="16"/>
      <c r="J19" s="16"/>
      <c r="K19" s="17" t="str">
        <f aca="false">IF(B19="","",SUMPRODUCT(COUNTIF(D19:J19,Vardiyalar!$A$5:$A$14)*Vardiyalar!$C$5:$C$14))</f>
        <v/>
      </c>
      <c r="L19" s="18" t="str">
        <f aca="false">IF(OR(B19="",C19=""),"",IF(K19&gt;C19,"En fazla saati aşıyor",""))</f>
        <v/>
      </c>
    </row>
    <row r="20" customFormat="false" ht="15" hidden="false" customHeight="false" outlineLevel="0" collapsed="false">
      <c r="B20" s="14"/>
      <c r="C20" s="15"/>
      <c r="D20" s="16"/>
      <c r="E20" s="16"/>
      <c r="F20" s="16"/>
      <c r="G20" s="16"/>
      <c r="H20" s="16"/>
      <c r="I20" s="16"/>
      <c r="J20" s="16"/>
      <c r="K20" s="17" t="str">
        <f aca="false">IF(B20="","",SUMPRODUCT(COUNTIF(D20:J20,Vardiyalar!$A$5:$A$14)*Vardiyalar!$C$5:$C$14))</f>
        <v/>
      </c>
      <c r="L20" s="18" t="str">
        <f aca="false">IF(OR(B20="",C20=""),"",IF(K20&gt;C20,"En fazla saati aşıyor",""))</f>
        <v/>
      </c>
    </row>
    <row r="21" customFormat="false" ht="15" hidden="false" customHeight="false" outlineLevel="0" collapsed="false">
      <c r="B21" s="14"/>
      <c r="C21" s="15"/>
      <c r="D21" s="16"/>
      <c r="E21" s="16"/>
      <c r="F21" s="16"/>
      <c r="G21" s="16"/>
      <c r="H21" s="16"/>
      <c r="I21" s="16"/>
      <c r="J21" s="16"/>
      <c r="K21" s="17" t="str">
        <f aca="false">IF(B21="","",SUMPRODUCT(COUNTIF(D21:J21,Vardiyalar!$A$5:$A$14)*Vardiyalar!$C$5:$C$14))</f>
        <v/>
      </c>
      <c r="L21" s="18" t="str">
        <f aca="false">IF(OR(B21="",C21=""),"",IF(K21&gt;C21,"En fazla saati aşıyor",""))</f>
        <v/>
      </c>
    </row>
    <row r="22" customFormat="false" ht="15" hidden="false" customHeight="false" outlineLevel="0" collapsed="false">
      <c r="B22" s="14"/>
      <c r="C22" s="15"/>
      <c r="D22" s="16"/>
      <c r="E22" s="16"/>
      <c r="F22" s="16"/>
      <c r="G22" s="16"/>
      <c r="H22" s="16"/>
      <c r="I22" s="16"/>
      <c r="J22" s="16"/>
      <c r="K22" s="17" t="str">
        <f aca="false">IF(B22="","",SUMPRODUCT(COUNTIF(D22:J22,Vardiyalar!$A$5:$A$14)*Vardiyalar!$C$5:$C$14))</f>
        <v/>
      </c>
      <c r="L22" s="18" t="str">
        <f aca="false">IF(OR(B22="",C22=""),"",IF(K22&gt;C22,"En fazla saati aşıyor",""))</f>
        <v/>
      </c>
    </row>
    <row r="23" customFormat="false" ht="15" hidden="false" customHeight="false" outlineLevel="0" collapsed="false">
      <c r="B23" s="14"/>
      <c r="C23" s="15"/>
      <c r="D23" s="16"/>
      <c r="E23" s="16"/>
      <c r="F23" s="16"/>
      <c r="G23" s="16"/>
      <c r="H23" s="16"/>
      <c r="I23" s="16"/>
      <c r="J23" s="16"/>
      <c r="K23" s="17" t="str">
        <f aca="false">IF(B23="","",SUMPRODUCT(COUNTIF(D23:J23,Vardiyalar!$A$5:$A$14)*Vardiyalar!$C$5:$C$14))</f>
        <v/>
      </c>
      <c r="L23" s="18" t="str">
        <f aca="false">IF(OR(B23="",C23=""),"",IF(K23&gt;C23,"En fazla saati aşıyor",""))</f>
        <v/>
      </c>
    </row>
    <row r="24" customFormat="false" ht="15" hidden="false" customHeight="false" outlineLevel="0" collapsed="false">
      <c r="B24" s="14"/>
      <c r="C24" s="15"/>
      <c r="D24" s="16"/>
      <c r="E24" s="16"/>
      <c r="F24" s="16"/>
      <c r="G24" s="16"/>
      <c r="H24" s="16"/>
      <c r="I24" s="16"/>
      <c r="J24" s="16"/>
      <c r="K24" s="17" t="str">
        <f aca="false">IF(B24="","",SUMPRODUCT(COUNTIF(D24:J24,Vardiyalar!$A$5:$A$14)*Vardiyalar!$C$5:$C$14))</f>
        <v/>
      </c>
      <c r="L24" s="18" t="str">
        <f aca="false">IF(OR(B24="",C24=""),"",IF(K24&gt;C24,"En fazla saati aşıyor",""))</f>
        <v/>
      </c>
    </row>
    <row r="25" customFormat="false" ht="15" hidden="false" customHeight="false" outlineLevel="0" collapsed="false">
      <c r="B25" s="14"/>
      <c r="C25" s="15"/>
      <c r="D25" s="16"/>
      <c r="E25" s="16"/>
      <c r="F25" s="16"/>
      <c r="G25" s="16"/>
      <c r="H25" s="16"/>
      <c r="I25" s="16"/>
      <c r="J25" s="16"/>
      <c r="K25" s="17" t="str">
        <f aca="false">IF(B25="","",SUMPRODUCT(COUNTIF(D25:J25,Vardiyalar!$A$5:$A$14)*Vardiyalar!$C$5:$C$14))</f>
        <v/>
      </c>
      <c r="L25" s="18" t="str">
        <f aca="false">IF(OR(B25="",C25=""),"",IF(K25&gt;C25,"En fazla saati aşıyor",""))</f>
        <v/>
      </c>
    </row>
    <row r="26" customFormat="false" ht="15" hidden="false" customHeight="false" outlineLevel="0" collapsed="false">
      <c r="B26" s="14"/>
      <c r="C26" s="15"/>
      <c r="D26" s="16"/>
      <c r="E26" s="16"/>
      <c r="F26" s="16"/>
      <c r="G26" s="16"/>
      <c r="H26" s="16"/>
      <c r="I26" s="16"/>
      <c r="J26" s="16"/>
      <c r="K26" s="17" t="str">
        <f aca="false">IF(B26="","",SUMPRODUCT(COUNTIF(D26:J26,Vardiyalar!$A$5:$A$14)*Vardiyalar!$C$5:$C$14))</f>
        <v/>
      </c>
      <c r="L26" s="18" t="str">
        <f aca="false">IF(OR(B26="",C26=""),"",IF(K26&gt;C26,"En fazla saati aşıyor",""))</f>
        <v/>
      </c>
    </row>
    <row r="27" customFormat="false" ht="15" hidden="false" customHeight="false" outlineLevel="0" collapsed="false">
      <c r="B27" s="14"/>
      <c r="C27" s="15"/>
      <c r="D27" s="16"/>
      <c r="E27" s="16"/>
      <c r="F27" s="16"/>
      <c r="G27" s="16"/>
      <c r="H27" s="16"/>
      <c r="I27" s="16"/>
      <c r="J27" s="16"/>
      <c r="K27" s="17" t="str">
        <f aca="false">IF(B27="","",SUMPRODUCT(COUNTIF(D27:J27,Vardiyalar!$A$5:$A$14)*Vardiyalar!$C$5:$C$14))</f>
        <v/>
      </c>
      <c r="L27" s="18" t="str">
        <f aca="false">IF(OR(B27="",C27=""),"",IF(K27&gt;C27,"En fazla saati aşıyor",""))</f>
        <v/>
      </c>
    </row>
    <row r="28" customFormat="false" ht="15" hidden="false" customHeight="false" outlineLevel="0" collapsed="false">
      <c r="B28" s="14"/>
      <c r="C28" s="15"/>
      <c r="D28" s="16"/>
      <c r="E28" s="16"/>
      <c r="F28" s="16"/>
      <c r="G28" s="16"/>
      <c r="H28" s="16"/>
      <c r="I28" s="16"/>
      <c r="J28" s="16"/>
      <c r="K28" s="17" t="str">
        <f aca="false">IF(B28="","",SUMPRODUCT(COUNTIF(D28:J28,Vardiyalar!$A$5:$A$14)*Vardiyalar!$C$5:$C$14))</f>
        <v/>
      </c>
      <c r="L28" s="18" t="str">
        <f aca="false">IF(OR(B28="",C28=""),"",IF(K28&gt;C28,"En fazla saati aşıyor",""))</f>
        <v/>
      </c>
    </row>
    <row r="29" customFormat="false" ht="15" hidden="false" customHeight="false" outlineLevel="0" collapsed="false">
      <c r="B29" s="14"/>
      <c r="C29" s="15"/>
      <c r="D29" s="16"/>
      <c r="E29" s="16"/>
      <c r="F29" s="16"/>
      <c r="G29" s="16"/>
      <c r="H29" s="16"/>
      <c r="I29" s="16"/>
      <c r="J29" s="16"/>
      <c r="K29" s="17" t="str">
        <f aca="false">IF(B29="","",SUMPRODUCT(COUNTIF(D29:J29,Vardiyalar!$A$5:$A$14)*Vardiyalar!$C$5:$C$14))</f>
        <v/>
      </c>
      <c r="L29" s="18" t="str">
        <f aca="false">IF(OR(B29="",C29=""),"",IF(K29&gt;C29,"En fazla saati aşıyor",""))</f>
        <v/>
      </c>
    </row>
    <row r="30" customFormat="false" ht="15" hidden="false" customHeight="false" outlineLevel="0" collapsed="false">
      <c r="B30" s="14"/>
      <c r="C30" s="15"/>
      <c r="D30" s="16"/>
      <c r="E30" s="16"/>
      <c r="F30" s="16"/>
      <c r="G30" s="16"/>
      <c r="H30" s="16"/>
      <c r="I30" s="16"/>
      <c r="J30" s="16"/>
      <c r="K30" s="17" t="str">
        <f aca="false">IF(B30="","",SUMPRODUCT(COUNTIF(D30:J30,Vardiyalar!$A$5:$A$14)*Vardiyalar!$C$5:$C$14))</f>
        <v/>
      </c>
      <c r="L30" s="18" t="str">
        <f aca="false">IF(OR(B30="",C30=""),"",IF(K30&gt;C30,"En fazla saati aşıyor",""))</f>
        <v/>
      </c>
    </row>
    <row r="31" customFormat="false" ht="15" hidden="false" customHeight="false" outlineLevel="0" collapsed="false">
      <c r="B31" s="14"/>
      <c r="C31" s="15"/>
      <c r="D31" s="16"/>
      <c r="E31" s="16"/>
      <c r="F31" s="16"/>
      <c r="G31" s="16"/>
      <c r="H31" s="16"/>
      <c r="I31" s="16"/>
      <c r="J31" s="16"/>
      <c r="K31" s="17" t="str">
        <f aca="false">IF(B31="","",SUMPRODUCT(COUNTIF(D31:J31,Vardiyalar!$A$5:$A$14)*Vardiyalar!$C$5:$C$14))</f>
        <v/>
      </c>
      <c r="L31" s="18" t="str">
        <f aca="false">IF(OR(B31="",C31=""),"",IF(K31&gt;C31,"En fazla saati aşıyor",""))</f>
        <v/>
      </c>
    </row>
    <row r="32" customFormat="false" ht="15" hidden="false" customHeight="false" outlineLevel="0" collapsed="false">
      <c r="B32" s="14"/>
      <c r="C32" s="15"/>
      <c r="D32" s="16"/>
      <c r="E32" s="16"/>
      <c r="F32" s="16"/>
      <c r="G32" s="16"/>
      <c r="H32" s="16"/>
      <c r="I32" s="16"/>
      <c r="J32" s="16"/>
      <c r="K32" s="17" t="str">
        <f aca="false">IF(B32="","",SUMPRODUCT(COUNTIF(D32:J32,Vardiyalar!$A$5:$A$14)*Vardiyalar!$C$5:$C$14))</f>
        <v/>
      </c>
      <c r="L32" s="18" t="str">
        <f aca="false">IF(OR(B32="",C32=""),"",IF(K32&gt;C32,"En fazla saati aşıyor",""))</f>
        <v/>
      </c>
    </row>
    <row r="33" customFormat="false" ht="15" hidden="false" customHeight="false" outlineLevel="0" collapsed="false">
      <c r="B33" s="14"/>
      <c r="C33" s="15"/>
      <c r="D33" s="16"/>
      <c r="E33" s="16"/>
      <c r="F33" s="16"/>
      <c r="G33" s="16"/>
      <c r="H33" s="16"/>
      <c r="I33" s="16"/>
      <c r="J33" s="16"/>
      <c r="K33" s="17" t="str">
        <f aca="false">IF(B33="","",SUMPRODUCT(COUNTIF(D33:J33,Vardiyalar!$A$5:$A$14)*Vardiyalar!$C$5:$C$14))</f>
        <v/>
      </c>
      <c r="L33" s="18" t="str">
        <f aca="false">IF(OR(B33="",C33=""),"",IF(K33&gt;C33,"En fazla saati aşıyor",""))</f>
        <v/>
      </c>
    </row>
    <row r="34" customFormat="false" ht="15" hidden="false" customHeight="false" outlineLevel="0" collapsed="false">
      <c r="B34" s="14"/>
      <c r="C34" s="15"/>
      <c r="D34" s="16"/>
      <c r="E34" s="16"/>
      <c r="F34" s="16"/>
      <c r="G34" s="16"/>
      <c r="H34" s="16"/>
      <c r="I34" s="16"/>
      <c r="J34" s="16"/>
      <c r="K34" s="17" t="str">
        <f aca="false">IF(B34="","",SUMPRODUCT(COUNTIF(D34:J34,Vardiyalar!$A$5:$A$14)*Vardiyalar!$C$5:$C$14))</f>
        <v/>
      </c>
      <c r="L34" s="18" t="str">
        <f aca="false">IF(OR(B34="",C34=""),"",IF(K34&gt;C34,"En fazla saati aşıyor",""))</f>
        <v/>
      </c>
    </row>
    <row r="35" customFormat="false" ht="15" hidden="false" customHeight="false" outlineLevel="0" collapsed="false">
      <c r="B35" s="14"/>
      <c r="C35" s="15"/>
      <c r="D35" s="16"/>
      <c r="E35" s="16"/>
      <c r="F35" s="16"/>
      <c r="G35" s="16"/>
      <c r="H35" s="16"/>
      <c r="I35" s="16"/>
      <c r="J35" s="16"/>
      <c r="K35" s="17" t="str">
        <f aca="false">IF(B35="","",SUMPRODUCT(COUNTIF(D35:J35,Vardiyalar!$A$5:$A$14)*Vardiyalar!$C$5:$C$14))</f>
        <v/>
      </c>
      <c r="L35" s="18" t="str">
        <f aca="false">IF(OR(B35="",C35=""),"",IF(K35&gt;C35,"En fazla saati aşıyor",""))</f>
        <v/>
      </c>
    </row>
    <row r="37" customFormat="false" ht="15" hidden="false" customHeight="false" outlineLevel="0" collapsed="false">
      <c r="B37" s="19" t="s">
        <v>37</v>
      </c>
    </row>
    <row r="38" customFormat="false" ht="21.75" hidden="false" customHeight="true" outlineLevel="0" collapsed="false">
      <c r="B38" s="13" t="s">
        <v>38</v>
      </c>
      <c r="C38" s="13"/>
      <c r="D38" s="13" t="str">
        <f aca="false">D5</f>
        <v>Pzt 05.10</v>
      </c>
      <c r="E38" s="13" t="str">
        <f aca="false">E5</f>
        <v>Sal 06.10</v>
      </c>
      <c r="F38" s="13" t="str">
        <f aca="false">F5</f>
        <v>Çar 07.10</v>
      </c>
      <c r="G38" s="13" t="str">
        <f aca="false">G5</f>
        <v>Per 08.10</v>
      </c>
      <c r="H38" s="13" t="str">
        <f aca="false">H5</f>
        <v>Cum 09.10</v>
      </c>
      <c r="I38" s="13" t="str">
        <f aca="false">I5</f>
        <v>Cmt 10.10</v>
      </c>
      <c r="J38" s="13" t="str">
        <f aca="false">J5</f>
        <v>Paz 11.10</v>
      </c>
    </row>
    <row r="39" customFormat="false" ht="15" hidden="false" customHeight="false" outlineLevel="0" collapsed="false">
      <c r="B39" s="20" t="str">
        <f aca="false">IF(Vardiyalar!A5="","",Vardiyalar!A5&amp;" "&amp;Vardiyalar!B5)</f>
        <v>S Sabah 08:00-16:00</v>
      </c>
      <c r="C39" s="18"/>
      <c r="D39" s="18" t="n">
        <f aca="false">IF(Vardiyalar!$A5="","",COUNTIF(D$6:D$35,Vardiyalar!$A5))</f>
        <v>2</v>
      </c>
      <c r="E39" s="18" t="n">
        <f aca="false">IF(Vardiyalar!$A5="","",COUNTIF(E$6:E$35,Vardiyalar!$A5))</f>
        <v>1</v>
      </c>
      <c r="F39" s="18" t="n">
        <f aca="false">IF(Vardiyalar!$A5="","",COUNTIF(F$6:F$35,Vardiyalar!$A5))</f>
        <v>2</v>
      </c>
      <c r="G39" s="18" t="n">
        <f aca="false">IF(Vardiyalar!$A5="","",COUNTIF(G$6:G$35,Vardiyalar!$A5))</f>
        <v>1</v>
      </c>
      <c r="H39" s="18" t="n">
        <f aca="false">IF(Vardiyalar!$A5="","",COUNTIF(H$6:H$35,Vardiyalar!$A5))</f>
        <v>1</v>
      </c>
      <c r="I39" s="18" t="n">
        <f aca="false">IF(Vardiyalar!$A5="","",COUNTIF(I$6:I$35,Vardiyalar!$A5))</f>
        <v>1</v>
      </c>
      <c r="J39" s="18" t="n">
        <f aca="false">IF(Vardiyalar!$A5="","",COUNTIF(J$6:J$35,Vardiyalar!$A5))</f>
        <v>0</v>
      </c>
    </row>
    <row r="40" customFormat="false" ht="15" hidden="false" customHeight="false" outlineLevel="0" collapsed="false">
      <c r="B40" s="21" t="str">
        <f aca="false">IF(Vardiyalar!A6="","",Vardiyalar!A6&amp;" "&amp;Vardiyalar!B6)</f>
        <v>A Akşam 16:00-24:00</v>
      </c>
      <c r="C40" s="22"/>
      <c r="D40" s="22" t="n">
        <f aca="false">IF(Vardiyalar!$A6="","",COUNTIF(D$6:D$35,Vardiyalar!$A6))</f>
        <v>1</v>
      </c>
      <c r="E40" s="22" t="n">
        <f aca="false">IF(Vardiyalar!$A6="","",COUNTIF(E$6:E$35,Vardiyalar!$A6))</f>
        <v>1</v>
      </c>
      <c r="F40" s="22" t="n">
        <f aca="false">IF(Vardiyalar!$A6="","",COUNTIF(F$6:F$35,Vardiyalar!$A6))</f>
        <v>1</v>
      </c>
      <c r="G40" s="22" t="n">
        <f aca="false">IF(Vardiyalar!$A6="","",COUNTIF(G$6:G$35,Vardiyalar!$A6))</f>
        <v>1</v>
      </c>
      <c r="H40" s="22" t="n">
        <f aca="false">IF(Vardiyalar!$A6="","",COUNTIF(H$6:H$35,Vardiyalar!$A6))</f>
        <v>2</v>
      </c>
      <c r="I40" s="22" t="n">
        <f aca="false">IF(Vardiyalar!$A6="","",COUNTIF(I$6:I$35,Vardiyalar!$A6))</f>
        <v>1</v>
      </c>
      <c r="J40" s="22" t="n">
        <f aca="false">IF(Vardiyalar!$A6="","",COUNTIF(J$6:J$35,Vardiyalar!$A6))</f>
        <v>0</v>
      </c>
    </row>
    <row r="41" customFormat="false" ht="15" hidden="false" customHeight="false" outlineLevel="0" collapsed="false">
      <c r="B41" s="20" t="str">
        <f aca="false">IF(Vardiyalar!A7="","",Vardiyalar!A7&amp;" "&amp;Vardiyalar!B7)</f>
        <v>G Gece 24:00-08:00</v>
      </c>
      <c r="C41" s="18"/>
      <c r="D41" s="18" t="n">
        <f aca="false">IF(Vardiyalar!$A7="","",COUNTIF(D$6:D$35,Vardiyalar!$A7))</f>
        <v>0</v>
      </c>
      <c r="E41" s="18" t="n">
        <f aca="false">IF(Vardiyalar!$A7="","",COUNTIF(E$6:E$35,Vardiyalar!$A7))</f>
        <v>0</v>
      </c>
      <c r="F41" s="18" t="n">
        <f aca="false">IF(Vardiyalar!$A7="","",COUNTIF(F$6:F$35,Vardiyalar!$A7))</f>
        <v>0</v>
      </c>
      <c r="G41" s="18" t="n">
        <f aca="false">IF(Vardiyalar!$A7="","",COUNTIF(G$6:G$35,Vardiyalar!$A7))</f>
        <v>0</v>
      </c>
      <c r="H41" s="18" t="n">
        <f aca="false">IF(Vardiyalar!$A7="","",COUNTIF(H$6:H$35,Vardiyalar!$A7))</f>
        <v>0</v>
      </c>
      <c r="I41" s="18" t="n">
        <f aca="false">IF(Vardiyalar!$A7="","",COUNTIF(I$6:I$35,Vardiyalar!$A7))</f>
        <v>0</v>
      </c>
      <c r="J41" s="18" t="n">
        <f aca="false">IF(Vardiyalar!$A7="","",COUNTIF(J$6:J$35,Vardiyalar!$A7))</f>
        <v>0</v>
      </c>
    </row>
    <row r="42" customFormat="false" ht="15" hidden="false" customHeight="false" outlineLevel="0" collapsed="false">
      <c r="B42" s="21" t="str">
        <f aca="false">IF(Vardiyalar!A8="","",Vardiyalar!A8&amp;" "&amp;Vardiyalar!B8)</f>
        <v>T Tam gün 10:00-22:00</v>
      </c>
      <c r="C42" s="22"/>
      <c r="D42" s="22" t="n">
        <f aca="false">IF(Vardiyalar!$A8="","",COUNTIF(D$6:D$35,Vardiyalar!$A8))</f>
        <v>0</v>
      </c>
      <c r="E42" s="22" t="n">
        <f aca="false">IF(Vardiyalar!$A8="","",COUNTIF(E$6:E$35,Vardiyalar!$A8))</f>
        <v>1</v>
      </c>
      <c r="F42" s="22" t="n">
        <f aca="false">IF(Vardiyalar!$A8="","",COUNTIF(F$6:F$35,Vardiyalar!$A8))</f>
        <v>1</v>
      </c>
      <c r="G42" s="22" t="n">
        <f aca="false">IF(Vardiyalar!$A8="","",COUNTIF(G$6:G$35,Vardiyalar!$A8))</f>
        <v>1</v>
      </c>
      <c r="H42" s="22" t="n">
        <f aca="false">IF(Vardiyalar!$A8="","",COUNTIF(H$6:H$35,Vardiyalar!$A8))</f>
        <v>1</v>
      </c>
      <c r="I42" s="22" t="n">
        <f aca="false">IF(Vardiyalar!$A8="","",COUNTIF(I$6:I$35,Vardiyalar!$A8))</f>
        <v>1</v>
      </c>
      <c r="J42" s="22" t="n">
        <f aca="false">IF(Vardiyalar!$A8="","",COUNTIF(J$6:J$35,Vardiyalar!$A8))</f>
        <v>1</v>
      </c>
    </row>
    <row r="43" customFormat="false" ht="15" hidden="false" customHeight="false" outlineLevel="0" collapsed="false">
      <c r="B43" s="20" t="str">
        <f aca="false">IF(Vardiyalar!A9="","",Vardiyalar!A9&amp;" "&amp;Vardiyalar!B9)</f>
        <v>İ İzinli</v>
      </c>
      <c r="C43" s="18"/>
      <c r="D43" s="18" t="n">
        <f aca="false">IF(Vardiyalar!$A9="","",COUNTIF(D$6:D$35,Vardiyalar!$A9))</f>
        <v>1</v>
      </c>
      <c r="E43" s="18" t="n">
        <f aca="false">IF(Vardiyalar!$A9="","",COUNTIF(E$6:E$35,Vardiyalar!$A9))</f>
        <v>0</v>
      </c>
      <c r="F43" s="18" t="n">
        <f aca="false">IF(Vardiyalar!$A9="","",COUNTIF(F$6:F$35,Vardiyalar!$A9))</f>
        <v>0</v>
      </c>
      <c r="G43" s="18" t="n">
        <f aca="false">IF(Vardiyalar!$A9="","",COUNTIF(G$6:G$35,Vardiyalar!$A9))</f>
        <v>0</v>
      </c>
      <c r="H43" s="18" t="n">
        <f aca="false">IF(Vardiyalar!$A9="","",COUNTIF(H$6:H$35,Vardiyalar!$A9))</f>
        <v>0</v>
      </c>
      <c r="I43" s="18" t="n">
        <f aca="false">IF(Vardiyalar!$A9="","",COUNTIF(I$6:I$35,Vardiyalar!$A9))</f>
        <v>1</v>
      </c>
      <c r="J43" s="18" t="n">
        <f aca="false">IF(Vardiyalar!$A9="","",COUNTIF(J$6:J$35,Vardiyalar!$A9))</f>
        <v>2</v>
      </c>
    </row>
    <row r="44" customFormat="false" ht="15" hidden="false" customHeight="false" outlineLevel="0" collapsed="false">
      <c r="B44" s="21" t="str">
        <f aca="false">IF(Vardiyalar!A10="","",Vardiyalar!A10&amp;" "&amp;Vardiyalar!B10)</f>
        <v/>
      </c>
      <c r="C44" s="22"/>
      <c r="D44" s="22" t="str">
        <f aca="false">IF(Vardiyalar!$A10="","",COUNTIF(D$6:D$35,Vardiyalar!$A10))</f>
        <v/>
      </c>
      <c r="E44" s="22" t="str">
        <f aca="false">IF(Vardiyalar!$A10="","",COUNTIF(E$6:E$35,Vardiyalar!$A10))</f>
        <v/>
      </c>
      <c r="F44" s="22" t="str">
        <f aca="false">IF(Vardiyalar!$A10="","",COUNTIF(F$6:F$35,Vardiyalar!$A10))</f>
        <v/>
      </c>
      <c r="G44" s="22" t="str">
        <f aca="false">IF(Vardiyalar!$A10="","",COUNTIF(G$6:G$35,Vardiyalar!$A10))</f>
        <v/>
      </c>
      <c r="H44" s="22" t="str">
        <f aca="false">IF(Vardiyalar!$A10="","",COUNTIF(H$6:H$35,Vardiyalar!$A10))</f>
        <v/>
      </c>
      <c r="I44" s="22" t="str">
        <f aca="false">IF(Vardiyalar!$A10="","",COUNTIF(I$6:I$35,Vardiyalar!$A10))</f>
        <v/>
      </c>
      <c r="J44" s="22" t="str">
        <f aca="false">IF(Vardiyalar!$A10="","",COUNTIF(J$6:J$35,Vardiyalar!$A10))</f>
        <v/>
      </c>
    </row>
    <row r="45" customFormat="false" ht="15" hidden="false" customHeight="false" outlineLevel="0" collapsed="false">
      <c r="B45" s="20" t="str">
        <f aca="false">IF(Vardiyalar!A11="","",Vardiyalar!A11&amp;" "&amp;Vardiyalar!B11)</f>
        <v/>
      </c>
      <c r="C45" s="18"/>
      <c r="D45" s="18" t="str">
        <f aca="false">IF(Vardiyalar!$A11="","",COUNTIF(D$6:D$35,Vardiyalar!$A11))</f>
        <v/>
      </c>
      <c r="E45" s="18" t="str">
        <f aca="false">IF(Vardiyalar!$A11="","",COUNTIF(E$6:E$35,Vardiyalar!$A11))</f>
        <v/>
      </c>
      <c r="F45" s="18" t="str">
        <f aca="false">IF(Vardiyalar!$A11="","",COUNTIF(F$6:F$35,Vardiyalar!$A11))</f>
        <v/>
      </c>
      <c r="G45" s="18" t="str">
        <f aca="false">IF(Vardiyalar!$A11="","",COUNTIF(G$6:G$35,Vardiyalar!$A11))</f>
        <v/>
      </c>
      <c r="H45" s="18" t="str">
        <f aca="false">IF(Vardiyalar!$A11="","",COUNTIF(H$6:H$35,Vardiyalar!$A11))</f>
        <v/>
      </c>
      <c r="I45" s="18" t="str">
        <f aca="false">IF(Vardiyalar!$A11="","",COUNTIF(I$6:I$35,Vardiyalar!$A11))</f>
        <v/>
      </c>
      <c r="J45" s="18" t="str">
        <f aca="false">IF(Vardiyalar!$A11="","",COUNTIF(J$6:J$35,Vardiyalar!$A11))</f>
        <v/>
      </c>
    </row>
    <row r="46" customFormat="false" ht="15" hidden="false" customHeight="false" outlineLevel="0" collapsed="false">
      <c r="B46" s="21" t="str">
        <f aca="false">IF(Vardiyalar!A12="","",Vardiyalar!A12&amp;" "&amp;Vardiyalar!B12)</f>
        <v/>
      </c>
      <c r="C46" s="22"/>
      <c r="D46" s="22" t="str">
        <f aca="false">IF(Vardiyalar!$A12="","",COUNTIF(D$6:D$35,Vardiyalar!$A12))</f>
        <v/>
      </c>
      <c r="E46" s="22" t="str">
        <f aca="false">IF(Vardiyalar!$A12="","",COUNTIF(E$6:E$35,Vardiyalar!$A12))</f>
        <v/>
      </c>
      <c r="F46" s="22" t="str">
        <f aca="false">IF(Vardiyalar!$A12="","",COUNTIF(F$6:F$35,Vardiyalar!$A12))</f>
        <v/>
      </c>
      <c r="G46" s="22" t="str">
        <f aca="false">IF(Vardiyalar!$A12="","",COUNTIF(G$6:G$35,Vardiyalar!$A12))</f>
        <v/>
      </c>
      <c r="H46" s="22" t="str">
        <f aca="false">IF(Vardiyalar!$A12="","",COUNTIF(H$6:H$35,Vardiyalar!$A12))</f>
        <v/>
      </c>
      <c r="I46" s="22" t="str">
        <f aca="false">IF(Vardiyalar!$A12="","",COUNTIF(I$6:I$35,Vardiyalar!$A12))</f>
        <v/>
      </c>
      <c r="J46" s="22" t="str">
        <f aca="false">IF(Vardiyalar!$A12="","",COUNTIF(J$6:J$35,Vardiyalar!$A12))</f>
        <v/>
      </c>
    </row>
    <row r="47" customFormat="false" ht="15" hidden="false" customHeight="false" outlineLevel="0" collapsed="false">
      <c r="B47" s="20" t="str">
        <f aca="false">IF(Vardiyalar!A13="","",Vardiyalar!A13&amp;" "&amp;Vardiyalar!B13)</f>
        <v/>
      </c>
      <c r="C47" s="18"/>
      <c r="D47" s="18" t="str">
        <f aca="false">IF(Vardiyalar!$A13="","",COUNTIF(D$6:D$35,Vardiyalar!$A13))</f>
        <v/>
      </c>
      <c r="E47" s="18" t="str">
        <f aca="false">IF(Vardiyalar!$A13="","",COUNTIF(E$6:E$35,Vardiyalar!$A13))</f>
        <v/>
      </c>
      <c r="F47" s="18" t="str">
        <f aca="false">IF(Vardiyalar!$A13="","",COUNTIF(F$6:F$35,Vardiyalar!$A13))</f>
        <v/>
      </c>
      <c r="G47" s="18" t="str">
        <f aca="false">IF(Vardiyalar!$A13="","",COUNTIF(G$6:G$35,Vardiyalar!$A13))</f>
        <v/>
      </c>
      <c r="H47" s="18" t="str">
        <f aca="false">IF(Vardiyalar!$A13="","",COUNTIF(H$6:H$35,Vardiyalar!$A13))</f>
        <v/>
      </c>
      <c r="I47" s="18" t="str">
        <f aca="false">IF(Vardiyalar!$A13="","",COUNTIF(I$6:I$35,Vardiyalar!$A13))</f>
        <v/>
      </c>
      <c r="J47" s="18" t="str">
        <f aca="false">IF(Vardiyalar!$A13="","",COUNTIF(J$6:J$35,Vardiyalar!$A13))</f>
        <v/>
      </c>
    </row>
    <row r="48" customFormat="false" ht="15" hidden="false" customHeight="false" outlineLevel="0" collapsed="false">
      <c r="B48" s="21" t="str">
        <f aca="false">IF(Vardiyalar!A14="","",Vardiyalar!A14&amp;" "&amp;Vardiyalar!B14)</f>
        <v/>
      </c>
      <c r="C48" s="22"/>
      <c r="D48" s="22" t="str">
        <f aca="false">IF(Vardiyalar!$A14="","",COUNTIF(D$6:D$35,Vardiyalar!$A14))</f>
        <v/>
      </c>
      <c r="E48" s="22" t="str">
        <f aca="false">IF(Vardiyalar!$A14="","",COUNTIF(E$6:E$35,Vardiyalar!$A14))</f>
        <v/>
      </c>
      <c r="F48" s="22" t="str">
        <f aca="false">IF(Vardiyalar!$A14="","",COUNTIF(F$6:F$35,Vardiyalar!$A14))</f>
        <v/>
      </c>
      <c r="G48" s="22" t="str">
        <f aca="false">IF(Vardiyalar!$A14="","",COUNTIF(G$6:G$35,Vardiyalar!$A14))</f>
        <v/>
      </c>
      <c r="H48" s="22" t="str">
        <f aca="false">IF(Vardiyalar!$A14="","",COUNTIF(H$6:H$35,Vardiyalar!$A14))</f>
        <v/>
      </c>
      <c r="I48" s="22" t="str">
        <f aca="false">IF(Vardiyalar!$A14="","",COUNTIF(I$6:I$35,Vardiyalar!$A14))</f>
        <v/>
      </c>
      <c r="J48" s="22" t="str">
        <f aca="false">IF(Vardiyalar!$A14="","",COUNTIF(J$6:J$35,Vardiyalar!$A14))</f>
        <v/>
      </c>
    </row>
    <row r="49" customFormat="false" ht="15" hidden="false" customHeight="false" outlineLevel="0" collapsed="false">
      <c r="B49" s="23" t="s">
        <v>39</v>
      </c>
      <c r="C49" s="18"/>
      <c r="D49" s="24" t="n">
        <f aca="false">SUMPRODUCT(COUNTIF(D$6:D$35,Vardiyalar!$A$5:$A$14)*(Vardiyalar!$C$5:$C$14&gt;0))</f>
        <v>3</v>
      </c>
      <c r="E49" s="24" t="n">
        <f aca="false">SUMPRODUCT(COUNTIF(E$6:E$35,Vardiyalar!$A$5:$A$14)*(Vardiyalar!$C$5:$C$14&gt;0))</f>
        <v>3</v>
      </c>
      <c r="F49" s="24" t="n">
        <f aca="false">SUMPRODUCT(COUNTIF(F$6:F$35,Vardiyalar!$A$5:$A$14)*(Vardiyalar!$C$5:$C$14&gt;0))</f>
        <v>4</v>
      </c>
      <c r="G49" s="24" t="n">
        <f aca="false">SUMPRODUCT(COUNTIF(G$6:G$35,Vardiyalar!$A$5:$A$14)*(Vardiyalar!$C$5:$C$14&gt;0))</f>
        <v>3</v>
      </c>
      <c r="H49" s="24" t="n">
        <f aca="false">SUMPRODUCT(COUNTIF(H$6:H$35,Vardiyalar!$A$5:$A$14)*(Vardiyalar!$C$5:$C$14&gt;0))</f>
        <v>4</v>
      </c>
      <c r="I49" s="24" t="n">
        <f aca="false">SUMPRODUCT(COUNTIF(I$6:I$35,Vardiyalar!$A$5:$A$14)*(Vardiyalar!$C$5:$C$14&gt;0))</f>
        <v>3</v>
      </c>
      <c r="J49" s="24" t="n">
        <f aca="false">SUMPRODUCT(COUNTIF(J$6:J$35,Vardiyalar!$A$5:$A$14)*(Vardiyalar!$C$5:$C$14&gt;0))</f>
        <v>1</v>
      </c>
    </row>
  </sheetData>
  <conditionalFormatting sqref="L6:L35">
    <cfRule type="cellIs" priority="2" operator="equal" aboveAverage="0" equalAverage="0" bottom="0" percent="0" rank="0" text="" dxfId="0">
      <formula>"En fazla saati aşıyor"</formula>
    </cfRule>
  </conditionalFormatting>
  <conditionalFormatting sqref="D6:J35">
    <cfRule type="cellIs" priority="3" operator="equal" aboveAverage="0" equalAverage="0" bottom="0" percent="0" rank="0" text="" dxfId="1">
      <formula>"İ"</formula>
    </cfRule>
  </conditionalFormatting>
  <dataValidations count="2">
    <dataValidation allowBlank="true" error="Listeden seç." errorStyle="stop" errorTitle="Kontrol" operator="between" showDropDown="false" showErrorMessage="true" showInputMessage="false" sqref="D6:J35" type="list">
      <formula1>Vardiyalar!$A$5:$A$14</formula1>
      <formula2>0</formula2>
    </dataValidation>
    <dataValidation allowBlank="true" error="Sıfır ya da daha büyük bir sayı gir." errorStyle="stop" errorTitle="Kontrol" operator="greaterThanOrEqual" showDropDown="false" showErrorMessage="true" showInputMessage="false" sqref="C6:C3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0"/>
  </cols>
  <sheetData>
    <row r="1" customFormat="false" ht="19.7" hidden="false" customHeight="false" outlineLevel="0" collapsed="false">
      <c r="A1" s="8" t="s">
        <v>40</v>
      </c>
    </row>
    <row r="2" customFormat="false" ht="15" hidden="false" customHeight="false" outlineLevel="0" collapsed="false">
      <c r="A2" s="9" t="s">
        <v>41</v>
      </c>
    </row>
    <row r="4" customFormat="false" ht="27.75" hidden="false" customHeight="true" outlineLevel="0" collapsed="false">
      <c r="A4" s="12" t="s">
        <v>42</v>
      </c>
      <c r="B4" s="12" t="s">
        <v>43</v>
      </c>
      <c r="C4" s="12" t="s">
        <v>44</v>
      </c>
    </row>
    <row r="5" customFormat="false" ht="15" hidden="false" customHeight="false" outlineLevel="0" collapsed="false">
      <c r="A5" s="16" t="s">
        <v>30</v>
      </c>
      <c r="B5" s="14" t="s">
        <v>45</v>
      </c>
      <c r="C5" s="25" t="n">
        <v>8</v>
      </c>
    </row>
    <row r="6" customFormat="false" ht="15" hidden="false" customHeight="false" outlineLevel="0" collapsed="false">
      <c r="A6" s="16" t="s">
        <v>33</v>
      </c>
      <c r="B6" s="14" t="s">
        <v>46</v>
      </c>
      <c r="C6" s="25" t="n">
        <v>8</v>
      </c>
    </row>
    <row r="7" customFormat="false" ht="15" hidden="false" customHeight="false" outlineLevel="0" collapsed="false">
      <c r="A7" s="16" t="s">
        <v>47</v>
      </c>
      <c r="B7" s="14" t="s">
        <v>48</v>
      </c>
      <c r="C7" s="25" t="n">
        <v>8</v>
      </c>
    </row>
    <row r="8" customFormat="false" ht="15" hidden="false" customHeight="false" outlineLevel="0" collapsed="false">
      <c r="A8" s="16" t="s">
        <v>35</v>
      </c>
      <c r="B8" s="14" t="s">
        <v>49</v>
      </c>
      <c r="C8" s="25" t="n">
        <v>12</v>
      </c>
    </row>
    <row r="9" customFormat="false" ht="15" hidden="false" customHeight="false" outlineLevel="0" collapsed="false">
      <c r="A9" s="16" t="s">
        <v>31</v>
      </c>
      <c r="B9" s="14" t="s">
        <v>50</v>
      </c>
      <c r="C9" s="25" t="n">
        <v>0</v>
      </c>
    </row>
    <row r="10" customFormat="false" ht="15" hidden="false" customHeight="false" outlineLevel="0" collapsed="false">
      <c r="A10" s="16"/>
      <c r="B10" s="14"/>
      <c r="C10" s="25"/>
    </row>
    <row r="11" customFormat="false" ht="15" hidden="false" customHeight="false" outlineLevel="0" collapsed="false">
      <c r="A11" s="16"/>
      <c r="B11" s="14"/>
      <c r="C11" s="25"/>
    </row>
    <row r="12" customFormat="false" ht="15" hidden="false" customHeight="false" outlineLevel="0" collapsed="false">
      <c r="A12" s="16"/>
      <c r="B12" s="14"/>
      <c r="C12" s="25"/>
    </row>
    <row r="13" customFormat="false" ht="15" hidden="false" customHeight="false" outlineLevel="0" collapsed="false">
      <c r="A13" s="16"/>
      <c r="B13" s="14"/>
      <c r="C13" s="25"/>
    </row>
    <row r="14" customFormat="false" ht="15" hidden="false" customHeight="false" outlineLevel="0" collapsed="false">
      <c r="A14" s="16"/>
      <c r="B14" s="14"/>
      <c r="C14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51</v>
      </c>
    </row>
    <row r="2" customFormat="false" ht="30" hidden="false" customHeight="true" outlineLevel="0" collapsed="false">
      <c r="B2" s="26" t="s">
        <v>52</v>
      </c>
      <c r="C2" s="26"/>
    </row>
    <row r="3" customFormat="false" ht="31.5" hidden="false" customHeight="true" outlineLevel="0" collapsed="false">
      <c r="B3" s="27" t="s">
        <v>53</v>
      </c>
      <c r="C3" s="27"/>
    </row>
    <row r="5" customFormat="false" ht="15" hidden="false" customHeight="false" outlineLevel="0" collapsed="false">
      <c r="B5" s="28" t="s">
        <v>54</v>
      </c>
      <c r="C5" s="28" t="s">
        <v>55</v>
      </c>
    </row>
    <row r="6" customFormat="false" ht="31.5" hidden="false" customHeight="true" outlineLevel="0" collapsed="false">
      <c r="B6" s="29" t="s">
        <v>56</v>
      </c>
      <c r="C6" s="30" t="s">
        <v>57</v>
      </c>
    </row>
    <row r="7" customFormat="false" ht="31.5" hidden="false" customHeight="true" outlineLevel="0" collapsed="false">
      <c r="B7" s="31" t="s">
        <v>58</v>
      </c>
      <c r="C7" s="32" t="s">
        <v>59</v>
      </c>
    </row>
    <row r="8" customFormat="false" ht="31.5" hidden="false" customHeight="true" outlineLevel="0" collapsed="false">
      <c r="B8" s="29" t="s">
        <v>60</v>
      </c>
      <c r="C8" s="30" t="s">
        <v>61</v>
      </c>
    </row>
    <row r="9" customFormat="false" ht="31.5" hidden="false" customHeight="true" outlineLevel="0" collapsed="false">
      <c r="B9" s="31" t="s">
        <v>62</v>
      </c>
      <c r="C9" s="32" t="s">
        <v>63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2026-10-04T22:00:13Z</dcterms:created>
  <dc:creator>openpyxl</dc:creator>
  <dc:description/>
  <dc:language>en-US</dc:language>
  <cp:lastModifiedBy/>
  <dcterms:modified xsi:type="dcterms:W3CDTF">2026-10-04T22:00:13Z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