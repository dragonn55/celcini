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şla" sheetId="1" state="visible" r:id="rId3"/>
    <sheet name="İzinler" sheetId="2" state="visible" r:id="rId4"/>
    <sheet name="Mesai" sheetId="3" state="visible" r:id="rId5"/>
    <sheet name="Ay" sheetId="4" state="visible" r:id="rId6"/>
    <sheet name="Özet" sheetId="5" state="visible" r:id="rId7"/>
    <sheet name="Personel" sheetId="6" state="visible" r:id="rId8"/>
    <sheet name="Ayarlar" sheetId="7" state="visible" r:id="rId9"/>
    <sheet name="AI Komutları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<sst xmlns="http://schemas.openxmlformats.org/spreadsheetml/2006/main" count="143" uniqueCount="121">
  <si>
    <t xml:space="preserve">EXCEL KLİNİĞİ</t>
  </si>
  <si>
    <t xml:space="preserve">VİZİTE  |  Personel izin ve mesai takibi</t>
  </si>
  <si>
    <t xml:space="preserve">Kim ne zaman izinli, kimin kaç gün izni kaldı, kim ne kadar mesai yaptı.</t>
  </si>
  <si>
    <t xml:space="preserve">NASIL KULLANILIR</t>
  </si>
  <si>
    <t xml:space="preserve">1. Ayarlar</t>
  </si>
  <si>
    <t xml:space="preserve">Yılı yaz. Ramazan ve Kurban Bayramı günlerini resmî tatil listesine ekle.</t>
  </si>
  <si>
    <t xml:space="preserve">2. Personel</t>
  </si>
  <si>
    <t xml:space="preserve">Çalışanları, işe giriş tarihini ve o yılki yıllık izin hakkını yaz.</t>
  </si>
  <si>
    <t xml:space="preserve">3. İzinler</t>
  </si>
  <si>
    <t xml:space="preserve">Her izni ya da raporu başlangıç ve bitiş tarihiyle gir. Gün sayısı kendiliğinden hesaplanır.</t>
  </si>
  <si>
    <t xml:space="preserve">4. Mesai</t>
  </si>
  <si>
    <t xml:space="preserve">Fazla çalışmayı kişi, tarih ve saat olarak yaz.</t>
  </si>
  <si>
    <t xml:space="preserve">5. Ay ve Özet</t>
  </si>
  <si>
    <t xml:space="preserve">Ay çizelgesinde kimin hangi gün izinli olduğunu, Özet'te toplamları gör.</t>
  </si>
  <si>
    <t xml:space="preserve">BİLMEN GEREKENLER</t>
  </si>
  <si>
    <t xml:space="preserve">Yıllık izin günü</t>
  </si>
  <si>
    <t xml:space="preserve">Başlangıç ve bitiş arasındaki günlerden pazarlar ve listedeki resmî tatiller düşülür. Ayarlar'da cumartesiyi de düşecek şekilde değiştirebilirsin. Rapor ve diğer izinler takvim günü olarak sayılır.</t>
  </si>
  <si>
    <t xml:space="preserve">İzin hakkı</t>
  </si>
  <si>
    <t xml:space="preserve">Yıllık izin hakkını sen yazarsın; dosya kıdeme göre hak hesaplamaz ve önceki yıldan devreden izni kendiliğinden eklemez.</t>
  </si>
  <si>
    <t xml:space="preserve">Yıl geçişi</t>
  </si>
  <si>
    <t xml:space="preserve">Bir izin iki yıla yayılıyorsa başladığı yıla yazılır; iki ayrı satır olarak girmen daha doğru olur.</t>
  </si>
  <si>
    <t xml:space="preserve">Resmî belge değil</t>
  </si>
  <si>
    <t xml:space="preserve">Bordro ve puantaj programı yerine geçmez; kendi takibin içindir.</t>
  </si>
  <si>
    <t xml:space="preserve">Kapasite</t>
  </si>
  <si>
    <t xml:space="preserve">50 personel, 500 izin kaydı, 500 mesai kaydı.</t>
  </si>
  <si>
    <t xml:space="preserve">RENKLER</t>
  </si>
  <si>
    <t xml:space="preserve">Sarı hücre</t>
  </si>
  <si>
    <t xml:space="preserve">Senin dolduracağın hücre. İçindeki örnekleri silip kendi bilgini yaz.</t>
  </si>
  <si>
    <t xml:space="preserve">Beyaz hücre, açık başlık</t>
  </si>
  <si>
    <t xml:space="preserve">Formül. Değiştirme, kendiliğinden hesaplanır.</t>
  </si>
  <si>
    <t xml:space="preserve">İzinler</t>
  </si>
  <si>
    <t xml:space="preserve">Her izin ya da rapor bir satır. Gün sayısı kendiliğinden hesaplanır.</t>
  </si>
  <si>
    <t xml:space="preserve">Personel</t>
  </si>
  <si>
    <t xml:space="preserve">Tür</t>
  </si>
  <si>
    <t xml:space="preserve">Başlangıç</t>
  </si>
  <si>
    <t xml:space="preserve">Bitiş (dahil)</t>
  </si>
  <si>
    <t xml:space="preserve">Not</t>
  </si>
  <si>
    <t xml:space="preserve">Gün</t>
  </si>
  <si>
    <t xml:space="preserve">Kontrol</t>
  </si>
  <si>
    <t xml:space="preserve">Personel Alfa</t>
  </si>
  <si>
    <t xml:space="preserve">Yıllık izin</t>
  </si>
  <si>
    <t xml:space="preserve">Personel Beta</t>
  </si>
  <si>
    <t xml:space="preserve">Personel Gama</t>
  </si>
  <si>
    <t xml:space="preserve">Rapor</t>
  </si>
  <si>
    <t xml:space="preserve">Ücretsiz izin</t>
  </si>
  <si>
    <t xml:space="preserve">Mazeret izni</t>
  </si>
  <si>
    <t xml:space="preserve">Mesai</t>
  </si>
  <si>
    <t xml:space="preserve">Tarih</t>
  </si>
  <si>
    <t xml:space="preserve">Saat</t>
  </si>
  <si>
    <t xml:space="preserve">Açıklama</t>
  </si>
  <si>
    <t xml:space="preserve">Örnek</t>
  </si>
  <si>
    <t xml:space="preserve">Ay Çizelgesi</t>
  </si>
  <si>
    <t xml:space="preserve">Ayı yaz. İ yıllık izin, R rapor, Ü ücretsiz izin, M mazeret izni. Gri sütunlar pazar günleridir.</t>
  </si>
  <si>
    <t xml:space="preserve">Ay (1-12)</t>
  </si>
  <si>
    <t xml:space="preserve">İzinli gün</t>
  </si>
  <si>
    <t xml:space="preserve">Özet</t>
  </si>
  <si>
    <t xml:space="preserve">Bu sayfaya yazma. Yılı Ayarlar sayfasından değiştir.</t>
  </si>
  <si>
    <t xml:space="preserve">Bugün izinde</t>
  </si>
  <si>
    <t xml:space="preserve">Kullanılan yıllık izin (gün)</t>
  </si>
  <si>
    <t xml:space="preserve">Kalan yıllık izin (gün)</t>
  </si>
  <si>
    <t xml:space="preserve">Mesai (saat)</t>
  </si>
  <si>
    <t xml:space="preserve">Aylara göre izin ve mesai</t>
  </si>
  <si>
    <t xml:space="preserve">Ay</t>
  </si>
  <si>
    <t xml:space="preserve">Yıllık izin (gün)</t>
  </si>
  <si>
    <t xml:space="preserve">Rapor (gün)</t>
  </si>
  <si>
    <t xml:space="preserve">Ocak</t>
  </si>
  <si>
    <t xml:space="preserve">Şubat</t>
  </si>
  <si>
    <t xml:space="preserve">Mart</t>
  </si>
  <si>
    <t xml:space="preserve">Nisan</t>
  </si>
  <si>
    <t xml:space="preserve">Mayıs</t>
  </si>
  <si>
    <t xml:space="preserve">Haziran</t>
  </si>
  <si>
    <t xml:space="preserve">Temmuz</t>
  </si>
  <si>
    <t xml:space="preserve">Ağustos</t>
  </si>
  <si>
    <t xml:space="preserve">Eylül</t>
  </si>
  <si>
    <t xml:space="preserve">Ekim</t>
  </si>
  <si>
    <t xml:space="preserve">Kasım</t>
  </si>
  <si>
    <t xml:space="preserve">Aralık</t>
  </si>
  <si>
    <t xml:space="preserve">İzinler, başladığı aya yazılır.</t>
  </si>
  <si>
    <t xml:space="preserve">Sarı sütunları doldur. Kullanılan ve kalan izin, rapor ve mesai kendiliğinden hesaplanır.</t>
  </si>
  <si>
    <t xml:space="preserve">Ad</t>
  </si>
  <si>
    <t xml:space="preserve">Görev</t>
  </si>
  <si>
    <t xml:space="preserve">İşe giriş</t>
  </si>
  <si>
    <t xml:space="preserve">Yıllık izin hakkı (gün)</t>
  </si>
  <si>
    <t xml:space="preserve">Kullanılan yıllık izin</t>
  </si>
  <si>
    <t xml:space="preserve">Kalan izin</t>
  </si>
  <si>
    <t xml:space="preserve">Ücretsiz izin (gün)</t>
  </si>
  <si>
    <t xml:space="preserve">Kıdem (yıl)</t>
  </si>
  <si>
    <t xml:space="preserve">Usta</t>
  </si>
  <si>
    <t xml:space="preserve">Kasiyer</t>
  </si>
  <si>
    <t xml:space="preserve">Depo görevlisi</t>
  </si>
  <si>
    <t xml:space="preserve">Ayarlar</t>
  </si>
  <si>
    <t xml:space="preserve">Yılı ve izin sayma kuralını belirle.</t>
  </si>
  <si>
    <t xml:space="preserve">Yıl</t>
  </si>
  <si>
    <t xml:space="preserve">Resmî tatil</t>
  </si>
  <si>
    <t xml:space="preserve">Yıllık izinde cumartesi iş günü sayılsın mı? (1 = evet, 0 = hayır)</t>
  </si>
  <si>
    <t xml:space="preserve">Yılbaşı</t>
  </si>
  <si>
    <t xml:space="preserve">Ulusal Egemenlik ve Çocuk Bayramı</t>
  </si>
  <si>
    <t xml:space="preserve">Varsayılan 1'dir: yıllık izin hesabında pazar ve resmî tatiller izinden sayılmaz, cumartesi sayılır. Bu genel uygulamadır; kendi iş yerindeki kuralı ve sözleşmeni esas al.</t>
  </si>
  <si>
    <t xml:space="preserve">Emek ve Dayanışma Günü</t>
  </si>
  <si>
    <t xml:space="preserve">Gençlik ve Spor Bayramı</t>
  </si>
  <si>
    <t xml:space="preserve">Demokrasi ve Millî Birlik Günü</t>
  </si>
  <si>
    <t xml:space="preserve">Zafer Bayramı</t>
  </si>
  <si>
    <t xml:space="preserve">Cumhuriyet Bayramı</t>
  </si>
  <si>
    <t xml:space="preserve">Ramazan ve Kurban Bayramı günleri her yıl değişir; boş satırlara kendin ekle.</t>
  </si>
  <si>
    <t xml:space="preserve">Yapay Zeka Komutları</t>
  </si>
  <si>
    <t xml:space="preserve">İlgili sayfada başlık satırıyla birlikte kayıtlarını seç, kopyala, kullandığın yapay zeka asistanına yapıştır ve altına komutu ekle.</t>
  </si>
  <si>
    <t xml:space="preserve">Dikkat: Çalışan adlarını Personel Alfa, Personel Beta gibi takma adlarla değiştir; rapor nedenlerini paylaşma. Yapay zekanın verdiği rakamları dosyadaki özet sayfasıyla karşılaştır.</t>
  </si>
  <si>
    <t xml:space="preserve">Ne için</t>
  </si>
  <si>
    <t xml:space="preserve">Komut (kopyala, yapıştır)</t>
  </si>
  <si>
    <t xml:space="preserve">İzin çakışması</t>
  </si>
  <si>
    <t xml:space="preserve">[İzinler sayfası] Aynı görevdeki kişilerin aynı günlerde izinli olduğu durumları bul ve hangi günlerde eksik kalacağımı söyle.</t>
  </si>
  <si>
    <t xml:space="preserve">İzin planı</t>
  </si>
  <si>
    <t xml:space="preserve">[Personel sayfası] Kalan izni en çok olan kişileri listele. Yıl sonuna kadar izinleri eritmek için kişi başı aylık bir plan öner.</t>
  </si>
  <si>
    <t xml:space="preserve">Mesai yükü</t>
  </si>
  <si>
    <t xml:space="preserve">[Mesai sayfası] Kişi ve ay bazında mesai saatlerini topla. Yük kimde birikmiş, dengelemek için ne yapabilirim?</t>
  </si>
  <si>
    <t xml:space="preserve">Rapor örüntüsü</t>
  </si>
  <si>
    <t xml:space="preserve">[İzinler sayfası] Rapor kayıtlarının haftanın günlerine ve aylara dağılımını çıkar. Yorum yapmadan yalnızca dağılımı ver.</t>
  </si>
  <si>
    <t xml:space="preserve">Duyuru metni</t>
  </si>
  <si>
    <t xml:space="preserve">Yıllık izin taleplerinin en geç iki hafta önce bildirilmesini isteyen kısa ve kibar bir duyuru yaz.</t>
  </si>
  <si>
    <t xml:space="preserve">Yoğun dönem</t>
  </si>
  <si>
    <t xml:space="preserve">[Özet sayfasındaki aylık tablo] İzinlerin en çok yığıldığı ayları bul ve o aylar için vardiya önerisi ver.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</si>
</sst>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d\.mm\.yyyy"/>
    <numFmt numFmtId="166" formatCode="#,##0;[RED]\-#,##0;\-"/>
    <numFmt numFmtId="167" formatCode="0.0"/>
    <numFmt numFmtId="168" formatCode="0"/>
    <numFmt numFmtId="169" formatCode="d"/>
    <numFmt numFmtId="170" formatCode="General"/>
    <numFmt numFmtId="171" formatCode="#,##0.0"/>
    <numFmt numFmtId="172" formatCode="#,##0.0;\-#,##0.0;\-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20"/>
      <color rgb="FF1F6F43"/>
      <name val="Arial"/>
      <family val="0"/>
      <charset val="1"/>
    </font>
    <font>
      <sz val="10"/>
      <color rgb="FF475467"/>
      <name val="Arial"/>
      <family val="0"/>
      <charset val="1"/>
    </font>
    <font>
      <b val="true"/>
      <sz val="10"/>
      <color rgb="FF1F6F43"/>
      <name val="Arial"/>
      <family val="0"/>
      <charset val="1"/>
    </font>
    <font>
      <b val="true"/>
      <sz val="10"/>
      <color rgb="FF1B1F23"/>
      <name val="Arial"/>
      <family val="0"/>
      <charset val="1"/>
    </font>
    <font>
      <sz val="10"/>
      <color rgb="FF1B1F23"/>
      <name val="Arial"/>
      <family val="0"/>
      <charset val="1"/>
    </font>
    <font>
      <b val="true"/>
      <sz val="16"/>
      <color rgb="FF1F6F43"/>
      <name val="Arial"/>
      <family val="0"/>
      <charset val="1"/>
    </font>
    <font>
      <i val="true"/>
      <sz val="9"/>
      <color rgb="FF47546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1F23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8"/>
      <color rgb="FF1B1F2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1B1F23"/>
      <name val="Arial"/>
      <family val="0"/>
      <charset val="1"/>
    </font>
    <font>
      <b val="true"/>
      <sz val="12"/>
      <color rgb="FFB42318"/>
      <name val="Arial"/>
      <family val="0"/>
      <charset val="1"/>
    </font>
    <font>
      <b val="true"/>
      <sz val="11"/>
      <color rgb="FF1F6F43"/>
      <name val="Arial"/>
      <family val="0"/>
      <charset val="1"/>
    </font>
    <font>
      <b val="true"/>
      <sz val="10"/>
      <color rgb="FFB4231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6F43"/>
        <bgColor rgb="FF3B8A5E"/>
      </patternFill>
    </fill>
    <fill>
      <patternFill patternType="solid">
        <fgColor rgb="FFE8F5EE"/>
        <bgColor rgb="FFF3F4F6"/>
      </patternFill>
    </fill>
    <fill>
      <patternFill patternType="solid">
        <fgColor rgb="FFFFF9DB"/>
        <bgColor rgb="FFFEF0C7"/>
      </patternFill>
    </fill>
    <fill>
      <patternFill patternType="solid">
        <fgColor rgb="FF3B8A5E"/>
        <bgColor rgb="FF1F6F43"/>
      </patternFill>
    </fill>
    <fill>
      <patternFill patternType="solid">
        <fgColor rgb="FFFFFFFF"/>
        <bgColor rgb="FFF3F4F6"/>
      </patternFill>
    </fill>
    <fill>
      <patternFill patternType="solid">
        <fgColor rgb="FFF3F4F6"/>
        <bgColor rgb="FFE8F5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0"/>
        <b val="1"/>
        <color rgb="FFB42318"/>
      </font>
      <fill>
        <patternFill>
          <bgColor rgb="FFFDE2E0"/>
        </patternFill>
      </fill>
    </dxf>
    <dxf>
      <font>
        <name val="Arial"/>
        <charset val="1"/>
        <family val="0"/>
        <b val="1"/>
        <color rgb="FF1F6F43"/>
      </font>
      <fill>
        <patternFill>
          <bgColor rgb="FFE8F5EE"/>
        </patternFill>
      </fill>
    </dxf>
    <dxf>
      <font>
        <name val="Arial"/>
        <charset val="1"/>
        <family val="0"/>
        <b val="1"/>
        <color rgb="FF93370D"/>
      </font>
      <fill>
        <patternFill>
          <bgColor rgb="FFFEF0C7"/>
        </patternFill>
      </fill>
    </dxf>
    <dxf>
      <font>
        <name val="Arial"/>
        <charset val="1"/>
        <family val="0"/>
        <b val="1"/>
        <color rgb="FF1D4ED8"/>
      </font>
      <fill>
        <patternFill>
          <bgColor rgb="FFDBEAFE"/>
        </patternFill>
      </fill>
    </dxf>
    <dxf>
      <fill>
        <patternFill>
          <bgColor rgb="FFE5E7E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43"/>
      <rgbColor rgb="FFF3F4F6"/>
      <rgbColor rgb="FF808080"/>
      <rgbColor rgb="FF9999FF"/>
      <rgbColor rgb="FFB42318"/>
      <rgbColor rgb="FFFFF9DB"/>
      <rgbColor rgb="FFE8F5EE"/>
      <rgbColor rgb="FF660066"/>
      <rgbColor rgb="FFFF8080"/>
      <rgbColor rgb="FF1D4ED8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E5E7EB"/>
      <rgbColor rgb="FFFEF0C7"/>
      <rgbColor rgb="FF99CCFF"/>
      <rgbColor rgb="FFFF99CC"/>
      <rgbColor rgb="FFCC99FF"/>
      <rgbColor rgb="FFFDE2E0"/>
      <rgbColor rgb="FF3366FF"/>
      <rgbColor rgb="FF33CCCC"/>
      <rgbColor rgb="FF99CC00"/>
      <rgbColor rgb="FFFFCC00"/>
      <rgbColor rgb="FFFF9900"/>
      <rgbColor rgb="FFFF6600"/>
      <rgbColor rgb="FF475467"/>
      <rgbColor rgb="FF969696"/>
      <rgbColor rgb="FF003366"/>
      <rgbColor rgb="FF3B8A5E"/>
      <rgbColor rgb="FF003300"/>
      <rgbColor rgb="FF333300"/>
      <rgbColor rgb="FF93370D"/>
      <rgbColor rgb="FF993366"/>
      <rgbColor rgb="FF333399"/>
      <rgbColor rgb="FF1B1F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2:C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88"/>
  </cols>
  <sheetData>
    <row r="2" customFormat="false" ht="24" hidden="false" customHeight="true" outlineLevel="0" collapsed="false">
      <c r="B2" s="1" t="s">
        <v>0</v>
      </c>
      <c r="C2" s="1"/>
    </row>
    <row r="3" customFormat="false" ht="36" hidden="false" customHeight="true" outlineLevel="0" collapsed="false">
      <c r="B3" s="2" t="s">
        <v>1</v>
      </c>
      <c r="C3" s="2"/>
    </row>
    <row r="4" customFormat="false" ht="15" hidden="false" customHeight="false" outlineLevel="0" collapsed="false">
      <c r="B4" s="3" t="s">
        <v>2</v>
      </c>
      <c r="C4" s="3"/>
    </row>
    <row r="6" customFormat="false" ht="19.5" hidden="false" customHeight="true" outlineLevel="0" collapsed="false">
      <c r="B6" s="4" t="s">
        <v>3</v>
      </c>
      <c r="C6" s="4"/>
    </row>
    <row r="7" customFormat="false" ht="18" hidden="false" customHeight="true" outlineLevel="0" collapsed="false">
      <c r="B7" s="5" t="s">
        <v>4</v>
      </c>
      <c r="C7" s="6" t="s">
        <v>5</v>
      </c>
    </row>
    <row r="8" customFormat="false" ht="18" hidden="false" customHeight="true" outlineLevel="0" collapsed="false">
      <c r="B8" s="5" t="s">
        <v>6</v>
      </c>
      <c r="C8" s="6" t="s">
        <v>7</v>
      </c>
    </row>
    <row r="9" customFormat="false" ht="18" hidden="false" customHeight="true" outlineLevel="0" collapsed="false">
      <c r="B9" s="5" t="s">
        <v>8</v>
      </c>
      <c r="C9" s="6" t="s">
        <v>9</v>
      </c>
    </row>
    <row r="10" customFormat="false" ht="18" hidden="false" customHeight="true" outlineLevel="0" collapsed="false">
      <c r="B10" s="5" t="s">
        <v>10</v>
      </c>
      <c r="C10" s="6" t="s">
        <v>11</v>
      </c>
    </row>
    <row r="11" customFormat="false" ht="18" hidden="false" customHeight="true" outlineLevel="0" collapsed="false">
      <c r="B11" s="5" t="s">
        <v>12</v>
      </c>
      <c r="C11" s="6" t="s">
        <v>13</v>
      </c>
    </row>
    <row r="13" customFormat="false" ht="19.5" hidden="false" customHeight="true" outlineLevel="0" collapsed="false">
      <c r="B13" s="4" t="s">
        <v>14</v>
      </c>
      <c r="C13" s="4"/>
    </row>
    <row r="14" customFormat="false" ht="43.5" hidden="false" customHeight="true" outlineLevel="0" collapsed="false">
      <c r="B14" s="5" t="s">
        <v>15</v>
      </c>
      <c r="C14" s="6" t="s">
        <v>16</v>
      </c>
    </row>
    <row r="15" customFormat="false" ht="30" hidden="false" customHeight="true" outlineLevel="0" collapsed="false">
      <c r="B15" s="5" t="s">
        <v>17</v>
      </c>
      <c r="C15" s="6" t="s">
        <v>18</v>
      </c>
    </row>
    <row r="16" customFormat="false" ht="30" hidden="false" customHeight="true" outlineLevel="0" collapsed="false">
      <c r="B16" s="5" t="s">
        <v>19</v>
      </c>
      <c r="C16" s="6" t="s">
        <v>20</v>
      </c>
    </row>
    <row r="17" customFormat="false" ht="18" hidden="false" customHeight="true" outlineLevel="0" collapsed="false">
      <c r="B17" s="5" t="s">
        <v>21</v>
      </c>
      <c r="C17" s="6" t="s">
        <v>22</v>
      </c>
    </row>
    <row r="18" customFormat="false" ht="18" hidden="false" customHeight="true" outlineLevel="0" collapsed="false">
      <c r="B18" s="5" t="s">
        <v>23</v>
      </c>
      <c r="C18" s="6" t="s">
        <v>24</v>
      </c>
    </row>
    <row r="20" customFormat="false" ht="19.5" hidden="false" customHeight="true" outlineLevel="0" collapsed="false">
      <c r="B20" s="4" t="s">
        <v>25</v>
      </c>
      <c r="C20" s="4"/>
    </row>
    <row r="21" customFormat="false" ht="18" hidden="false" customHeight="true" outlineLevel="0" collapsed="false">
      <c r="B21" s="7" t="s">
        <v>26</v>
      </c>
      <c r="C21" s="6" t="s">
        <v>27</v>
      </c>
    </row>
    <row r="22" customFormat="false" ht="18" hidden="false" customHeight="true" outlineLevel="0" collapsed="false">
      <c r="B22" s="5" t="s">
        <v>28</v>
      </c>
      <c r="C22" s="6" t="s">
        <v>29</v>
      </c>
    </row>
  </sheetData>
  <mergeCells count="6">
    <mergeCell ref="B2:C2"/>
    <mergeCell ref="B3:C3"/>
    <mergeCell ref="B4:C4"/>
    <mergeCell ref="B6:C6"/>
    <mergeCell ref="B13:C13"/>
    <mergeCell ref="B20:C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G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4" min="3" style="0" width="13"/>
    <col collapsed="false" customWidth="true" hidden="false" outlineLevel="0" max="5" min="5" style="0" width="30"/>
    <col collapsed="false" customWidth="true" hidden="false" outlineLevel="0" max="6" min="6" style="0" width="9"/>
    <col collapsed="false" customWidth="true" hidden="false" outlineLevel="0" max="7" min="7" style="0" width="22"/>
  </cols>
  <sheetData>
    <row r="1" customFormat="false" ht="19.7" hidden="false" customHeight="false" outlineLevel="0" collapsed="false">
      <c r="A1" s="8" t="s">
        <v>30</v>
      </c>
    </row>
    <row r="2" customFormat="false" ht="15" hidden="false" customHeight="false" outlineLevel="0" collapsed="false">
      <c r="A2" s="9" t="s">
        <v>31</v>
      </c>
    </row>
    <row r="4" customFormat="false" ht="27.75" hidden="false" customHeight="true" outlineLevel="0" collapsed="false">
      <c r="A4" s="10" t="s">
        <v>32</v>
      </c>
      <c r="B4" s="10" t="s">
        <v>33</v>
      </c>
      <c r="C4" s="10" t="s">
        <v>34</v>
      </c>
      <c r="D4" s="10" t="s">
        <v>35</v>
      </c>
      <c r="E4" s="10" t="s">
        <v>36</v>
      </c>
      <c r="F4" s="11" t="s">
        <v>37</v>
      </c>
      <c r="G4" s="11" t="s">
        <v>38</v>
      </c>
    </row>
    <row r="5" customFormat="false" ht="15" hidden="false" customHeight="false" outlineLevel="0" collapsed="false">
      <c r="A5" s="12" t="s">
        <v>39</v>
      </c>
      <c r="B5" s="13" t="s">
        <v>40</v>
      </c>
      <c r="C5" s="14" t="n">
        <v>46216</v>
      </c>
      <c r="D5" s="14" t="n">
        <v>46228</v>
      </c>
      <c r="E5" s="12"/>
      <c r="F5" s="15" t="n">
        <f aca="false">IF(OR(C5="",D5="",D5&lt;C5),"",IF(B5="Yıllık izin",D5-C5+1-INT((WEEKDAY(C5-1)+D5-C5)/7)-IF(Ayarlar!$C$5=1,0,INT((WEEKDAY(C5-7)+D5-C5)/7))-SUMPRODUCT((Ayarlar!$E$5:$E$24&gt;=C5)*(Ayarlar!$E$5:$E$24&lt;=D5)*(WEEKDAY(Ayarlar!$E$5:$E$24,2)&lt;IF(Ayarlar!$C$5=1,7,6))),D5-C5+1))</f>
        <v>11</v>
      </c>
      <c r="G5" s="16" t="str">
        <f aca="false">IF(A5="","",IF(OR(B5="",C5="",D5=""),"Eksik bilgi",IF(D5&lt;C5,"Bitiş başlangıçtan önce","OK")))</f>
        <v>OK</v>
      </c>
    </row>
    <row r="6" customFormat="false" ht="15" hidden="false" customHeight="false" outlineLevel="0" collapsed="false">
      <c r="A6" s="12" t="s">
        <v>41</v>
      </c>
      <c r="B6" s="13" t="s">
        <v>40</v>
      </c>
      <c r="C6" s="14" t="n">
        <v>46258</v>
      </c>
      <c r="D6" s="14" t="n">
        <v>46267</v>
      </c>
      <c r="E6" s="12"/>
      <c r="F6" s="15" t="n">
        <f aca="false">IF(OR(C6="",D6="",D6&lt;C6),"",IF(B6="Yıllık izin",D6-C6+1-INT((WEEKDAY(C6-1)+D6-C6)/7)-IF(Ayarlar!$C$5=1,0,INT((WEEKDAY(C6-7)+D6-C6)/7))-SUMPRODUCT((Ayarlar!$E$5:$E$24&gt;=C6)*(Ayarlar!$E$5:$E$24&lt;=D6)*(WEEKDAY(Ayarlar!$E$5:$E$24,2)&lt;IF(Ayarlar!$C$5=1,7,6))),D6-C6+1))</f>
        <v>9</v>
      </c>
      <c r="G6" s="16" t="str">
        <f aca="false">IF(A6="","",IF(OR(B6="",C6="",D6=""),"Eksik bilgi",IF(D6&lt;C6,"Bitiş başlangıçtan önce","OK")))</f>
        <v>OK</v>
      </c>
    </row>
    <row r="7" customFormat="false" ht="15" hidden="false" customHeight="false" outlineLevel="0" collapsed="false">
      <c r="A7" s="12" t="s">
        <v>42</v>
      </c>
      <c r="B7" s="13" t="s">
        <v>43</v>
      </c>
      <c r="C7" s="14" t="n">
        <v>46279</v>
      </c>
      <c r="D7" s="14" t="n">
        <v>46281</v>
      </c>
      <c r="E7" s="12"/>
      <c r="F7" s="15" t="n">
        <f aca="false">IF(OR(C7="",D7="",D7&lt;C7),"",IF(B7="Yıllık izin",D7-C7+1-INT((WEEKDAY(C7-1)+D7-C7)/7)-IF(Ayarlar!$C$5=1,0,INT((WEEKDAY(C7-7)+D7-C7)/7))-SUMPRODUCT((Ayarlar!$E$5:$E$24&gt;=C7)*(Ayarlar!$E$5:$E$24&lt;=D7)*(WEEKDAY(Ayarlar!$E$5:$E$24,2)&lt;IF(Ayarlar!$C$5=1,7,6))),D7-C7+1))</f>
        <v>3</v>
      </c>
      <c r="G7" s="16" t="str">
        <f aca="false">IF(A7="","",IF(OR(B7="",C7="",D7=""),"Eksik bilgi",IF(D7&lt;C7,"Bitiş başlangıçtan önce","OK")))</f>
        <v>OK</v>
      </c>
    </row>
    <row r="8" customFormat="false" ht="15" hidden="false" customHeight="false" outlineLevel="0" collapsed="false">
      <c r="A8" s="12" t="s">
        <v>39</v>
      </c>
      <c r="B8" s="13" t="s">
        <v>40</v>
      </c>
      <c r="C8" s="14" t="n">
        <v>46321</v>
      </c>
      <c r="D8" s="14" t="n">
        <v>46326</v>
      </c>
      <c r="E8" s="12"/>
      <c r="F8" s="15" t="n">
        <f aca="false">IF(OR(C8="",D8="",D8&lt;C8),"",IF(B8="Yıllık izin",D8-C8+1-INT((WEEKDAY(C8-1)+D8-C8)/7)-IF(Ayarlar!$C$5=1,0,INT((WEEKDAY(C8-7)+D8-C8)/7))-SUMPRODUCT((Ayarlar!$E$5:$E$24&gt;=C8)*(Ayarlar!$E$5:$E$24&lt;=D8)*(WEEKDAY(Ayarlar!$E$5:$E$24,2)&lt;IF(Ayarlar!$C$5=1,7,6))),D8-C8+1))</f>
        <v>5</v>
      </c>
      <c r="G8" s="16" t="str">
        <f aca="false">IF(A8="","",IF(OR(B8="",C8="",D8=""),"Eksik bilgi",IF(D8&lt;C8,"Bitiş başlangıçtan önce","OK")))</f>
        <v>OK</v>
      </c>
    </row>
    <row r="9" customFormat="false" ht="15" hidden="false" customHeight="false" outlineLevel="0" collapsed="false">
      <c r="A9" s="12" t="s">
        <v>41</v>
      </c>
      <c r="B9" s="13" t="s">
        <v>44</v>
      </c>
      <c r="C9" s="14" t="n">
        <v>46300</v>
      </c>
      <c r="D9" s="14" t="n">
        <v>46301</v>
      </c>
      <c r="E9" s="12"/>
      <c r="F9" s="15" t="n">
        <f aca="false">IF(OR(C9="",D9="",D9&lt;C9),"",IF(B9="Yıllık izin",D9-C9+1-INT((WEEKDAY(C9-1)+D9-C9)/7)-IF(Ayarlar!$C$5=1,0,INT((WEEKDAY(C9-7)+D9-C9)/7))-SUMPRODUCT((Ayarlar!$E$5:$E$24&gt;=C9)*(Ayarlar!$E$5:$E$24&lt;=D9)*(WEEKDAY(Ayarlar!$E$5:$E$24,2)&lt;IF(Ayarlar!$C$5=1,7,6))),D9-C9+1))</f>
        <v>2</v>
      </c>
      <c r="G9" s="16" t="str">
        <f aca="false">IF(A9="","",IF(OR(B9="",C9="",D9=""),"Eksik bilgi",IF(D9&lt;C9,"Bitiş başlangıçtan önce","OK")))</f>
        <v>OK</v>
      </c>
    </row>
    <row r="10" customFormat="false" ht="15" hidden="false" customHeight="false" outlineLevel="0" collapsed="false">
      <c r="A10" s="12" t="s">
        <v>42</v>
      </c>
      <c r="B10" s="13" t="s">
        <v>45</v>
      </c>
      <c r="C10" s="14" t="n">
        <v>46299</v>
      </c>
      <c r="D10" s="14" t="n">
        <v>46299</v>
      </c>
      <c r="E10" s="12"/>
      <c r="F10" s="15" t="n">
        <f aca="false">IF(OR(C10="",D10="",D10&lt;C10),"",IF(B10="Yıllık izin",D10-C10+1-INT((WEEKDAY(C10-1)+D10-C10)/7)-IF(Ayarlar!$C$5=1,0,INT((WEEKDAY(C10-7)+D10-C10)/7))-SUMPRODUCT((Ayarlar!$E$5:$E$24&gt;=C10)*(Ayarlar!$E$5:$E$24&lt;=D10)*(WEEKDAY(Ayarlar!$E$5:$E$24,2)&lt;IF(Ayarlar!$C$5=1,7,6))),D10-C10+1))</f>
        <v>1</v>
      </c>
      <c r="G10" s="16" t="str">
        <f aca="false">IF(A10="","",IF(OR(B10="",C10="",D10=""),"Eksik bilgi",IF(D10&lt;C10,"Bitiş başlangıçtan önce","OK")))</f>
        <v>OK</v>
      </c>
    </row>
    <row r="11" customFormat="false" ht="15" hidden="false" customHeight="false" outlineLevel="0" collapsed="false">
      <c r="A11" s="12"/>
      <c r="B11" s="13"/>
      <c r="C11" s="14"/>
      <c r="D11" s="14"/>
      <c r="E11" s="12"/>
      <c r="F11" s="15" t="str">
        <f aca="false">IF(OR(C11="",D11="",D11&lt;C11),"",IF(B11="Yıllık izin",D11-C11+1-INT((WEEKDAY(C11-1)+D11-C11)/7)-IF(Ayarlar!$C$5=1,0,INT((WEEKDAY(C11-7)+D11-C11)/7))-SUMPRODUCT((Ayarlar!$E$5:$E$24&gt;=C11)*(Ayarlar!$E$5:$E$24&lt;=D11)*(WEEKDAY(Ayarlar!$E$5:$E$24,2)&lt;IF(Ayarlar!$C$5=1,7,6))),D11-C11+1))</f>
        <v/>
      </c>
      <c r="G11" s="16" t="str">
        <f aca="false">IF(A11="","",IF(OR(B11="",C11="",D11=""),"Eksik bilgi",IF(D11&lt;C11,"Bitiş başlangıçtan önce","OK")))</f>
        <v/>
      </c>
    </row>
    <row r="12" customFormat="false" ht="15" hidden="false" customHeight="false" outlineLevel="0" collapsed="false">
      <c r="A12" s="12"/>
      <c r="B12" s="13"/>
      <c r="C12" s="14"/>
      <c r="D12" s="14"/>
      <c r="E12" s="12"/>
      <c r="F12" s="15" t="str">
        <f aca="false">IF(OR(C12="",D12="",D12&lt;C12),"",IF(B12="Yıllık izin",D12-C12+1-INT((WEEKDAY(C12-1)+D12-C12)/7)-IF(Ayarlar!$C$5=1,0,INT((WEEKDAY(C12-7)+D12-C12)/7))-SUMPRODUCT((Ayarlar!$E$5:$E$24&gt;=C12)*(Ayarlar!$E$5:$E$24&lt;=D12)*(WEEKDAY(Ayarlar!$E$5:$E$24,2)&lt;IF(Ayarlar!$C$5=1,7,6))),D12-C12+1))</f>
        <v/>
      </c>
      <c r="G12" s="16" t="str">
        <f aca="false">IF(A12="","",IF(OR(B12="",C12="",D12=""),"Eksik bilgi",IF(D12&lt;C12,"Bitiş başlangıçtan önce","OK")))</f>
        <v/>
      </c>
    </row>
    <row r="13" customFormat="false" ht="15" hidden="false" customHeight="false" outlineLevel="0" collapsed="false">
      <c r="A13" s="12"/>
      <c r="B13" s="13"/>
      <c r="C13" s="14"/>
      <c r="D13" s="14"/>
      <c r="E13" s="12"/>
      <c r="F13" s="15" t="str">
        <f aca="false">IF(OR(C13="",D13="",D13&lt;C13),"",IF(B13="Yıllık izin",D13-C13+1-INT((WEEKDAY(C13-1)+D13-C13)/7)-IF(Ayarlar!$C$5=1,0,INT((WEEKDAY(C13-7)+D13-C13)/7))-SUMPRODUCT((Ayarlar!$E$5:$E$24&gt;=C13)*(Ayarlar!$E$5:$E$24&lt;=D13)*(WEEKDAY(Ayarlar!$E$5:$E$24,2)&lt;IF(Ayarlar!$C$5=1,7,6))),D13-C13+1))</f>
        <v/>
      </c>
      <c r="G13" s="16" t="str">
        <f aca="false">IF(A13="","",IF(OR(B13="",C13="",D13=""),"Eksik bilgi",IF(D13&lt;C13,"Bitiş başlangıçtan önce","OK")))</f>
        <v/>
      </c>
    </row>
    <row r="14" customFormat="false" ht="15" hidden="false" customHeight="false" outlineLevel="0" collapsed="false">
      <c r="A14" s="12"/>
      <c r="B14" s="13"/>
      <c r="C14" s="14"/>
      <c r="D14" s="14"/>
      <c r="E14" s="12"/>
      <c r="F14" s="15" t="str">
        <f aca="false">IF(OR(C14="",D14="",D14&lt;C14),"",IF(B14="Yıllık izin",D14-C14+1-INT((WEEKDAY(C14-1)+D14-C14)/7)-IF(Ayarlar!$C$5=1,0,INT((WEEKDAY(C14-7)+D14-C14)/7))-SUMPRODUCT((Ayarlar!$E$5:$E$24&gt;=C14)*(Ayarlar!$E$5:$E$24&lt;=D14)*(WEEKDAY(Ayarlar!$E$5:$E$24,2)&lt;IF(Ayarlar!$C$5=1,7,6))),D14-C14+1))</f>
        <v/>
      </c>
      <c r="G14" s="16" t="str">
        <f aca="false">IF(A14="","",IF(OR(B14="",C14="",D14=""),"Eksik bilgi",IF(D14&lt;C14,"Bitiş başlangıçtan önce","OK")))</f>
        <v/>
      </c>
    </row>
    <row r="15" customFormat="false" ht="15" hidden="false" customHeight="false" outlineLevel="0" collapsed="false">
      <c r="A15" s="12"/>
      <c r="B15" s="13"/>
      <c r="C15" s="14"/>
      <c r="D15" s="14"/>
      <c r="E15" s="12"/>
      <c r="F15" s="15" t="str">
        <f aca="false">IF(OR(C15="",D15="",D15&lt;C15),"",IF(B15="Yıllık izin",D15-C15+1-INT((WEEKDAY(C15-1)+D15-C15)/7)-IF(Ayarlar!$C$5=1,0,INT((WEEKDAY(C15-7)+D15-C15)/7))-SUMPRODUCT((Ayarlar!$E$5:$E$24&gt;=C15)*(Ayarlar!$E$5:$E$24&lt;=D15)*(WEEKDAY(Ayarlar!$E$5:$E$24,2)&lt;IF(Ayarlar!$C$5=1,7,6))),D15-C15+1))</f>
        <v/>
      </c>
      <c r="G15" s="16" t="str">
        <f aca="false">IF(A15="","",IF(OR(B15="",C15="",D15=""),"Eksik bilgi",IF(D15&lt;C15,"Bitiş başlangıçtan önce","OK")))</f>
        <v/>
      </c>
    </row>
    <row r="16" customFormat="false" ht="15" hidden="false" customHeight="false" outlineLevel="0" collapsed="false">
      <c r="A16" s="12"/>
      <c r="B16" s="13"/>
      <c r="C16" s="14"/>
      <c r="D16" s="14"/>
      <c r="E16" s="12"/>
      <c r="F16" s="15" t="str">
        <f aca="false">IF(OR(C16="",D16="",D16&lt;C16),"",IF(B16="Yıllık izin",D16-C16+1-INT((WEEKDAY(C16-1)+D16-C16)/7)-IF(Ayarlar!$C$5=1,0,INT((WEEKDAY(C16-7)+D16-C16)/7))-SUMPRODUCT((Ayarlar!$E$5:$E$24&gt;=C16)*(Ayarlar!$E$5:$E$24&lt;=D16)*(WEEKDAY(Ayarlar!$E$5:$E$24,2)&lt;IF(Ayarlar!$C$5=1,7,6))),D16-C16+1))</f>
        <v/>
      </c>
      <c r="G16" s="16" t="str">
        <f aca="false">IF(A16="","",IF(OR(B16="",C16="",D16=""),"Eksik bilgi",IF(D16&lt;C16,"Bitiş başlangıçtan önce","OK")))</f>
        <v/>
      </c>
    </row>
    <row r="17" customFormat="false" ht="15" hidden="false" customHeight="false" outlineLevel="0" collapsed="false">
      <c r="A17" s="12"/>
      <c r="B17" s="13"/>
      <c r="C17" s="14"/>
      <c r="D17" s="14"/>
      <c r="E17" s="12"/>
      <c r="F17" s="15" t="str">
        <f aca="false">IF(OR(C17="",D17="",D17&lt;C17),"",IF(B17="Yıllık izin",D17-C17+1-INT((WEEKDAY(C17-1)+D17-C17)/7)-IF(Ayarlar!$C$5=1,0,INT((WEEKDAY(C17-7)+D17-C17)/7))-SUMPRODUCT((Ayarlar!$E$5:$E$24&gt;=C17)*(Ayarlar!$E$5:$E$24&lt;=D17)*(WEEKDAY(Ayarlar!$E$5:$E$24,2)&lt;IF(Ayarlar!$C$5=1,7,6))),D17-C17+1))</f>
        <v/>
      </c>
      <c r="G17" s="16" t="str">
        <f aca="false">IF(A17="","",IF(OR(B17="",C17="",D17=""),"Eksik bilgi",IF(D17&lt;C17,"Bitiş başlangıçtan önce","OK")))</f>
        <v/>
      </c>
    </row>
    <row r="18" customFormat="false" ht="15" hidden="false" customHeight="false" outlineLevel="0" collapsed="false">
      <c r="A18" s="12"/>
      <c r="B18" s="13"/>
      <c r="C18" s="14"/>
      <c r="D18" s="14"/>
      <c r="E18" s="12"/>
      <c r="F18" s="15" t="str">
        <f aca="false">IF(OR(C18="",D18="",D18&lt;C18),"",IF(B18="Yıllık izin",D18-C18+1-INT((WEEKDAY(C18-1)+D18-C18)/7)-IF(Ayarlar!$C$5=1,0,INT((WEEKDAY(C18-7)+D18-C18)/7))-SUMPRODUCT((Ayarlar!$E$5:$E$24&gt;=C18)*(Ayarlar!$E$5:$E$24&lt;=D18)*(WEEKDAY(Ayarlar!$E$5:$E$24,2)&lt;IF(Ayarlar!$C$5=1,7,6))),D18-C18+1))</f>
        <v/>
      </c>
      <c r="G18" s="16" t="str">
        <f aca="false">IF(A18="","",IF(OR(B18="",C18="",D18=""),"Eksik bilgi",IF(D18&lt;C18,"Bitiş başlangıçtan önce","OK")))</f>
        <v/>
      </c>
    </row>
    <row r="19" customFormat="false" ht="15" hidden="false" customHeight="false" outlineLevel="0" collapsed="false">
      <c r="A19" s="12"/>
      <c r="B19" s="13"/>
      <c r="C19" s="14"/>
      <c r="D19" s="14"/>
      <c r="E19" s="12"/>
      <c r="F19" s="15" t="str">
        <f aca="false">IF(OR(C19="",D19="",D19&lt;C19),"",IF(B19="Yıllık izin",D19-C19+1-INT((WEEKDAY(C19-1)+D19-C19)/7)-IF(Ayarlar!$C$5=1,0,INT((WEEKDAY(C19-7)+D19-C19)/7))-SUMPRODUCT((Ayarlar!$E$5:$E$24&gt;=C19)*(Ayarlar!$E$5:$E$24&lt;=D19)*(WEEKDAY(Ayarlar!$E$5:$E$24,2)&lt;IF(Ayarlar!$C$5=1,7,6))),D19-C19+1))</f>
        <v/>
      </c>
      <c r="G19" s="16" t="str">
        <f aca="false">IF(A19="","",IF(OR(B19="",C19="",D19=""),"Eksik bilgi",IF(D19&lt;C19,"Bitiş başlangıçtan önce","OK")))</f>
        <v/>
      </c>
    </row>
    <row r="20" customFormat="false" ht="15" hidden="false" customHeight="false" outlineLevel="0" collapsed="false">
      <c r="A20" s="12"/>
      <c r="B20" s="13"/>
      <c r="C20" s="14"/>
      <c r="D20" s="14"/>
      <c r="E20" s="12"/>
      <c r="F20" s="15" t="str">
        <f aca="false">IF(OR(C20="",D20="",D20&lt;C20),"",IF(B20="Yıllık izin",D20-C20+1-INT((WEEKDAY(C20-1)+D20-C20)/7)-IF(Ayarlar!$C$5=1,0,INT((WEEKDAY(C20-7)+D20-C20)/7))-SUMPRODUCT((Ayarlar!$E$5:$E$24&gt;=C20)*(Ayarlar!$E$5:$E$24&lt;=D20)*(WEEKDAY(Ayarlar!$E$5:$E$24,2)&lt;IF(Ayarlar!$C$5=1,7,6))),D20-C20+1))</f>
        <v/>
      </c>
      <c r="G20" s="16" t="str">
        <f aca="false">IF(A20="","",IF(OR(B20="",C20="",D20=""),"Eksik bilgi",IF(D20&lt;C20,"Bitiş başlangıçtan önce","OK")))</f>
        <v/>
      </c>
    </row>
    <row r="21" customFormat="false" ht="15" hidden="false" customHeight="false" outlineLevel="0" collapsed="false">
      <c r="A21" s="12"/>
      <c r="B21" s="13"/>
      <c r="C21" s="14"/>
      <c r="D21" s="14"/>
      <c r="E21" s="12"/>
      <c r="F21" s="15" t="str">
        <f aca="false">IF(OR(C21="",D21="",D21&lt;C21),"",IF(B21="Yıllık izin",D21-C21+1-INT((WEEKDAY(C21-1)+D21-C21)/7)-IF(Ayarlar!$C$5=1,0,INT((WEEKDAY(C21-7)+D21-C21)/7))-SUMPRODUCT((Ayarlar!$E$5:$E$24&gt;=C21)*(Ayarlar!$E$5:$E$24&lt;=D21)*(WEEKDAY(Ayarlar!$E$5:$E$24,2)&lt;IF(Ayarlar!$C$5=1,7,6))),D21-C21+1))</f>
        <v/>
      </c>
      <c r="G21" s="16" t="str">
        <f aca="false">IF(A21="","",IF(OR(B21="",C21="",D21=""),"Eksik bilgi",IF(D21&lt;C21,"Bitiş başlangıçtan önce","OK")))</f>
        <v/>
      </c>
    </row>
    <row r="22" customFormat="false" ht="15" hidden="false" customHeight="false" outlineLevel="0" collapsed="false">
      <c r="A22" s="12"/>
      <c r="B22" s="13"/>
      <c r="C22" s="14"/>
      <c r="D22" s="14"/>
      <c r="E22" s="12"/>
      <c r="F22" s="15" t="str">
        <f aca="false">IF(OR(C22="",D22="",D22&lt;C22),"",IF(B22="Yıllık izin",D22-C22+1-INT((WEEKDAY(C22-1)+D22-C22)/7)-IF(Ayarlar!$C$5=1,0,INT((WEEKDAY(C22-7)+D22-C22)/7))-SUMPRODUCT((Ayarlar!$E$5:$E$24&gt;=C22)*(Ayarlar!$E$5:$E$24&lt;=D22)*(WEEKDAY(Ayarlar!$E$5:$E$24,2)&lt;IF(Ayarlar!$C$5=1,7,6))),D22-C22+1))</f>
        <v/>
      </c>
      <c r="G22" s="16" t="str">
        <f aca="false">IF(A22="","",IF(OR(B22="",C22="",D22=""),"Eksik bilgi",IF(D22&lt;C22,"Bitiş başlangıçtan önce","OK")))</f>
        <v/>
      </c>
    </row>
    <row r="23" customFormat="false" ht="15" hidden="false" customHeight="false" outlineLevel="0" collapsed="false">
      <c r="A23" s="12"/>
      <c r="B23" s="13"/>
      <c r="C23" s="14"/>
      <c r="D23" s="14"/>
      <c r="E23" s="12"/>
      <c r="F23" s="15" t="str">
        <f aca="false">IF(OR(C23="",D23="",D23&lt;C23),"",IF(B23="Yıllık izin",D23-C23+1-INT((WEEKDAY(C23-1)+D23-C23)/7)-IF(Ayarlar!$C$5=1,0,INT((WEEKDAY(C23-7)+D23-C23)/7))-SUMPRODUCT((Ayarlar!$E$5:$E$24&gt;=C23)*(Ayarlar!$E$5:$E$24&lt;=D23)*(WEEKDAY(Ayarlar!$E$5:$E$24,2)&lt;IF(Ayarlar!$C$5=1,7,6))),D23-C23+1))</f>
        <v/>
      </c>
      <c r="G23" s="16" t="str">
        <f aca="false">IF(A23="","",IF(OR(B23="",C23="",D23=""),"Eksik bilgi",IF(D23&lt;C23,"Bitiş başlangıçtan önce","OK")))</f>
        <v/>
      </c>
    </row>
    <row r="24" customFormat="false" ht="15" hidden="false" customHeight="false" outlineLevel="0" collapsed="false">
      <c r="A24" s="12"/>
      <c r="B24" s="13"/>
      <c r="C24" s="14"/>
      <c r="D24" s="14"/>
      <c r="E24" s="12"/>
      <c r="F24" s="15" t="str">
        <f aca="false">IF(OR(C24="",D24="",D24&lt;C24),"",IF(B24="Yıllık izin",D24-C24+1-INT((WEEKDAY(C24-1)+D24-C24)/7)-IF(Ayarlar!$C$5=1,0,INT((WEEKDAY(C24-7)+D24-C24)/7))-SUMPRODUCT((Ayarlar!$E$5:$E$24&gt;=C24)*(Ayarlar!$E$5:$E$24&lt;=D24)*(WEEKDAY(Ayarlar!$E$5:$E$24,2)&lt;IF(Ayarlar!$C$5=1,7,6))),D24-C24+1))</f>
        <v/>
      </c>
      <c r="G24" s="16" t="str">
        <f aca="false">IF(A24="","",IF(OR(B24="",C24="",D24=""),"Eksik bilgi",IF(D24&lt;C24,"Bitiş başlangıçtan önce","OK")))</f>
        <v/>
      </c>
    </row>
    <row r="25" customFormat="false" ht="15" hidden="false" customHeight="false" outlineLevel="0" collapsed="false">
      <c r="A25" s="12"/>
      <c r="B25" s="13"/>
      <c r="C25" s="14"/>
      <c r="D25" s="14"/>
      <c r="E25" s="12"/>
      <c r="F25" s="15" t="str">
        <f aca="false">IF(OR(C25="",D25="",D25&lt;C25),"",IF(B25="Yıllık izin",D25-C25+1-INT((WEEKDAY(C25-1)+D25-C25)/7)-IF(Ayarlar!$C$5=1,0,INT((WEEKDAY(C25-7)+D25-C25)/7))-SUMPRODUCT((Ayarlar!$E$5:$E$24&gt;=C25)*(Ayarlar!$E$5:$E$24&lt;=D25)*(WEEKDAY(Ayarlar!$E$5:$E$24,2)&lt;IF(Ayarlar!$C$5=1,7,6))),D25-C25+1))</f>
        <v/>
      </c>
      <c r="G25" s="16" t="str">
        <f aca="false">IF(A25="","",IF(OR(B25="",C25="",D25=""),"Eksik bilgi",IF(D25&lt;C25,"Bitiş başlangıçtan önce","OK")))</f>
        <v/>
      </c>
    </row>
    <row r="26" customFormat="false" ht="15" hidden="false" customHeight="false" outlineLevel="0" collapsed="false">
      <c r="A26" s="12"/>
      <c r="B26" s="13"/>
      <c r="C26" s="14"/>
      <c r="D26" s="14"/>
      <c r="E26" s="12"/>
      <c r="F26" s="15" t="str">
        <f aca="false">IF(OR(C26="",D26="",D26&lt;C26),"",IF(B26="Yıllık izin",D26-C26+1-INT((WEEKDAY(C26-1)+D26-C26)/7)-IF(Ayarlar!$C$5=1,0,INT((WEEKDAY(C26-7)+D26-C26)/7))-SUMPRODUCT((Ayarlar!$E$5:$E$24&gt;=C26)*(Ayarlar!$E$5:$E$24&lt;=D26)*(WEEKDAY(Ayarlar!$E$5:$E$24,2)&lt;IF(Ayarlar!$C$5=1,7,6))),D26-C26+1))</f>
        <v/>
      </c>
      <c r="G26" s="16" t="str">
        <f aca="false">IF(A26="","",IF(OR(B26="",C26="",D26=""),"Eksik bilgi",IF(D26&lt;C26,"Bitiş başlangıçtan önce","OK")))</f>
        <v/>
      </c>
    </row>
    <row r="27" customFormat="false" ht="15" hidden="false" customHeight="false" outlineLevel="0" collapsed="false">
      <c r="A27" s="12"/>
      <c r="B27" s="13"/>
      <c r="C27" s="14"/>
      <c r="D27" s="14"/>
      <c r="E27" s="12"/>
      <c r="F27" s="15" t="str">
        <f aca="false">IF(OR(C27="",D27="",D27&lt;C27),"",IF(B27="Yıllık izin",D27-C27+1-INT((WEEKDAY(C27-1)+D27-C27)/7)-IF(Ayarlar!$C$5=1,0,INT((WEEKDAY(C27-7)+D27-C27)/7))-SUMPRODUCT((Ayarlar!$E$5:$E$24&gt;=C27)*(Ayarlar!$E$5:$E$24&lt;=D27)*(WEEKDAY(Ayarlar!$E$5:$E$24,2)&lt;IF(Ayarlar!$C$5=1,7,6))),D27-C27+1))</f>
        <v/>
      </c>
      <c r="G27" s="16" t="str">
        <f aca="false">IF(A27="","",IF(OR(B27="",C27="",D27=""),"Eksik bilgi",IF(D27&lt;C27,"Bitiş başlangıçtan önce","OK")))</f>
        <v/>
      </c>
    </row>
    <row r="28" customFormat="false" ht="15" hidden="false" customHeight="false" outlineLevel="0" collapsed="false">
      <c r="A28" s="12"/>
      <c r="B28" s="13"/>
      <c r="C28" s="14"/>
      <c r="D28" s="14"/>
      <c r="E28" s="12"/>
      <c r="F28" s="15" t="str">
        <f aca="false">IF(OR(C28="",D28="",D28&lt;C28),"",IF(B28="Yıllık izin",D28-C28+1-INT((WEEKDAY(C28-1)+D28-C28)/7)-IF(Ayarlar!$C$5=1,0,INT((WEEKDAY(C28-7)+D28-C28)/7))-SUMPRODUCT((Ayarlar!$E$5:$E$24&gt;=C28)*(Ayarlar!$E$5:$E$24&lt;=D28)*(WEEKDAY(Ayarlar!$E$5:$E$24,2)&lt;IF(Ayarlar!$C$5=1,7,6))),D28-C28+1))</f>
        <v/>
      </c>
      <c r="G28" s="16" t="str">
        <f aca="false">IF(A28="","",IF(OR(B28="",C28="",D28=""),"Eksik bilgi",IF(D28&lt;C28,"Bitiş başlangıçtan önce","OK")))</f>
        <v/>
      </c>
    </row>
    <row r="29" customFormat="false" ht="15" hidden="false" customHeight="false" outlineLevel="0" collapsed="false">
      <c r="A29" s="12"/>
      <c r="B29" s="13"/>
      <c r="C29" s="14"/>
      <c r="D29" s="14"/>
      <c r="E29" s="12"/>
      <c r="F29" s="15" t="str">
        <f aca="false">IF(OR(C29="",D29="",D29&lt;C29),"",IF(B29="Yıllık izin",D29-C29+1-INT((WEEKDAY(C29-1)+D29-C29)/7)-IF(Ayarlar!$C$5=1,0,INT((WEEKDAY(C29-7)+D29-C29)/7))-SUMPRODUCT((Ayarlar!$E$5:$E$24&gt;=C29)*(Ayarlar!$E$5:$E$24&lt;=D29)*(WEEKDAY(Ayarlar!$E$5:$E$24,2)&lt;IF(Ayarlar!$C$5=1,7,6))),D29-C29+1))</f>
        <v/>
      </c>
      <c r="G29" s="16" t="str">
        <f aca="false">IF(A29="","",IF(OR(B29="",C29="",D29=""),"Eksik bilgi",IF(D29&lt;C29,"Bitiş başlangıçtan önce","OK")))</f>
        <v/>
      </c>
    </row>
    <row r="30" customFormat="false" ht="15" hidden="false" customHeight="false" outlineLevel="0" collapsed="false">
      <c r="A30" s="12"/>
      <c r="B30" s="13"/>
      <c r="C30" s="14"/>
      <c r="D30" s="14"/>
      <c r="E30" s="12"/>
      <c r="F30" s="15" t="str">
        <f aca="false">IF(OR(C30="",D30="",D30&lt;C30),"",IF(B30="Yıllık izin",D30-C30+1-INT((WEEKDAY(C30-1)+D30-C30)/7)-IF(Ayarlar!$C$5=1,0,INT((WEEKDAY(C30-7)+D30-C30)/7))-SUMPRODUCT((Ayarlar!$E$5:$E$24&gt;=C30)*(Ayarlar!$E$5:$E$24&lt;=D30)*(WEEKDAY(Ayarlar!$E$5:$E$24,2)&lt;IF(Ayarlar!$C$5=1,7,6))),D30-C30+1))</f>
        <v/>
      </c>
      <c r="G30" s="16" t="str">
        <f aca="false">IF(A30="","",IF(OR(B30="",C30="",D30=""),"Eksik bilgi",IF(D30&lt;C30,"Bitiş başlangıçtan önce","OK")))</f>
        <v/>
      </c>
    </row>
    <row r="31" customFormat="false" ht="15" hidden="false" customHeight="false" outlineLevel="0" collapsed="false">
      <c r="A31" s="12"/>
      <c r="B31" s="13"/>
      <c r="C31" s="14"/>
      <c r="D31" s="14"/>
      <c r="E31" s="12"/>
      <c r="F31" s="15" t="str">
        <f aca="false">IF(OR(C31="",D31="",D31&lt;C31),"",IF(B31="Yıllık izin",D31-C31+1-INT((WEEKDAY(C31-1)+D31-C31)/7)-IF(Ayarlar!$C$5=1,0,INT((WEEKDAY(C31-7)+D31-C31)/7))-SUMPRODUCT((Ayarlar!$E$5:$E$24&gt;=C31)*(Ayarlar!$E$5:$E$24&lt;=D31)*(WEEKDAY(Ayarlar!$E$5:$E$24,2)&lt;IF(Ayarlar!$C$5=1,7,6))),D31-C31+1))</f>
        <v/>
      </c>
      <c r="G31" s="16" t="str">
        <f aca="false">IF(A31="","",IF(OR(B31="",C31="",D31=""),"Eksik bilgi",IF(D31&lt;C31,"Bitiş başlangıçtan önce","OK")))</f>
        <v/>
      </c>
    </row>
    <row r="32" customFormat="false" ht="15" hidden="false" customHeight="false" outlineLevel="0" collapsed="false">
      <c r="A32" s="12"/>
      <c r="B32" s="13"/>
      <c r="C32" s="14"/>
      <c r="D32" s="14"/>
      <c r="E32" s="12"/>
      <c r="F32" s="15" t="str">
        <f aca="false">IF(OR(C32="",D32="",D32&lt;C32),"",IF(B32="Yıllık izin",D32-C32+1-INT((WEEKDAY(C32-1)+D32-C32)/7)-IF(Ayarlar!$C$5=1,0,INT((WEEKDAY(C32-7)+D32-C32)/7))-SUMPRODUCT((Ayarlar!$E$5:$E$24&gt;=C32)*(Ayarlar!$E$5:$E$24&lt;=D32)*(WEEKDAY(Ayarlar!$E$5:$E$24,2)&lt;IF(Ayarlar!$C$5=1,7,6))),D32-C32+1))</f>
        <v/>
      </c>
      <c r="G32" s="16" t="str">
        <f aca="false">IF(A32="","",IF(OR(B32="",C32="",D32=""),"Eksik bilgi",IF(D32&lt;C32,"Bitiş başlangıçtan önce","OK")))</f>
        <v/>
      </c>
    </row>
    <row r="33" customFormat="false" ht="15" hidden="false" customHeight="false" outlineLevel="0" collapsed="false">
      <c r="A33" s="12"/>
      <c r="B33" s="13"/>
      <c r="C33" s="14"/>
      <c r="D33" s="14"/>
      <c r="E33" s="12"/>
      <c r="F33" s="15" t="str">
        <f aca="false">IF(OR(C33="",D33="",D33&lt;C33),"",IF(B33="Yıllık izin",D33-C33+1-INT((WEEKDAY(C33-1)+D33-C33)/7)-IF(Ayarlar!$C$5=1,0,INT((WEEKDAY(C33-7)+D33-C33)/7))-SUMPRODUCT((Ayarlar!$E$5:$E$24&gt;=C33)*(Ayarlar!$E$5:$E$24&lt;=D33)*(WEEKDAY(Ayarlar!$E$5:$E$24,2)&lt;IF(Ayarlar!$C$5=1,7,6))),D33-C33+1))</f>
        <v/>
      </c>
      <c r="G33" s="16" t="str">
        <f aca="false">IF(A33="","",IF(OR(B33="",C33="",D33=""),"Eksik bilgi",IF(D33&lt;C33,"Bitiş başlangıçtan önce","OK")))</f>
        <v/>
      </c>
    </row>
    <row r="34" customFormat="false" ht="15" hidden="false" customHeight="false" outlineLevel="0" collapsed="false">
      <c r="A34" s="12"/>
      <c r="B34" s="13"/>
      <c r="C34" s="14"/>
      <c r="D34" s="14"/>
      <c r="E34" s="12"/>
      <c r="F34" s="15" t="str">
        <f aca="false">IF(OR(C34="",D34="",D34&lt;C34),"",IF(B34="Yıllık izin",D34-C34+1-INT((WEEKDAY(C34-1)+D34-C34)/7)-IF(Ayarlar!$C$5=1,0,INT((WEEKDAY(C34-7)+D34-C34)/7))-SUMPRODUCT((Ayarlar!$E$5:$E$24&gt;=C34)*(Ayarlar!$E$5:$E$24&lt;=D34)*(WEEKDAY(Ayarlar!$E$5:$E$24,2)&lt;IF(Ayarlar!$C$5=1,7,6))),D34-C34+1))</f>
        <v/>
      </c>
      <c r="G34" s="16" t="str">
        <f aca="false">IF(A34="","",IF(OR(B34="",C34="",D34=""),"Eksik bilgi",IF(D34&lt;C34,"Bitiş başlangıçtan önce","OK")))</f>
        <v/>
      </c>
    </row>
    <row r="35" customFormat="false" ht="15" hidden="false" customHeight="false" outlineLevel="0" collapsed="false">
      <c r="A35" s="12"/>
      <c r="B35" s="13"/>
      <c r="C35" s="14"/>
      <c r="D35" s="14"/>
      <c r="E35" s="12"/>
      <c r="F35" s="15" t="str">
        <f aca="false">IF(OR(C35="",D35="",D35&lt;C35),"",IF(B35="Yıllık izin",D35-C35+1-INT((WEEKDAY(C35-1)+D35-C35)/7)-IF(Ayarlar!$C$5=1,0,INT((WEEKDAY(C35-7)+D35-C35)/7))-SUMPRODUCT((Ayarlar!$E$5:$E$24&gt;=C35)*(Ayarlar!$E$5:$E$24&lt;=D35)*(WEEKDAY(Ayarlar!$E$5:$E$24,2)&lt;IF(Ayarlar!$C$5=1,7,6))),D35-C35+1))</f>
        <v/>
      </c>
      <c r="G35" s="16" t="str">
        <f aca="false">IF(A35="","",IF(OR(B35="",C35="",D35=""),"Eksik bilgi",IF(D35&lt;C35,"Bitiş başlangıçtan önce","OK")))</f>
        <v/>
      </c>
    </row>
    <row r="36" customFormat="false" ht="15" hidden="false" customHeight="false" outlineLevel="0" collapsed="false">
      <c r="A36" s="12"/>
      <c r="B36" s="13"/>
      <c r="C36" s="14"/>
      <c r="D36" s="14"/>
      <c r="E36" s="12"/>
      <c r="F36" s="15" t="str">
        <f aca="false">IF(OR(C36="",D36="",D36&lt;C36),"",IF(B36="Yıllık izin",D36-C36+1-INT((WEEKDAY(C36-1)+D36-C36)/7)-IF(Ayarlar!$C$5=1,0,INT((WEEKDAY(C36-7)+D36-C36)/7))-SUMPRODUCT((Ayarlar!$E$5:$E$24&gt;=C36)*(Ayarlar!$E$5:$E$24&lt;=D36)*(WEEKDAY(Ayarlar!$E$5:$E$24,2)&lt;IF(Ayarlar!$C$5=1,7,6))),D36-C36+1))</f>
        <v/>
      </c>
      <c r="G36" s="16" t="str">
        <f aca="false">IF(A36="","",IF(OR(B36="",C36="",D36=""),"Eksik bilgi",IF(D36&lt;C36,"Bitiş başlangıçtan önce","OK")))</f>
        <v/>
      </c>
    </row>
    <row r="37" customFormat="false" ht="15" hidden="false" customHeight="false" outlineLevel="0" collapsed="false">
      <c r="A37" s="12"/>
      <c r="B37" s="13"/>
      <c r="C37" s="14"/>
      <c r="D37" s="14"/>
      <c r="E37" s="12"/>
      <c r="F37" s="15" t="str">
        <f aca="false">IF(OR(C37="",D37="",D37&lt;C37),"",IF(B37="Yıllık izin",D37-C37+1-INT((WEEKDAY(C37-1)+D37-C37)/7)-IF(Ayarlar!$C$5=1,0,INT((WEEKDAY(C37-7)+D37-C37)/7))-SUMPRODUCT((Ayarlar!$E$5:$E$24&gt;=C37)*(Ayarlar!$E$5:$E$24&lt;=D37)*(WEEKDAY(Ayarlar!$E$5:$E$24,2)&lt;IF(Ayarlar!$C$5=1,7,6))),D37-C37+1))</f>
        <v/>
      </c>
      <c r="G37" s="16" t="str">
        <f aca="false">IF(A37="","",IF(OR(B37="",C37="",D37=""),"Eksik bilgi",IF(D37&lt;C37,"Bitiş başlangıçtan önce","OK")))</f>
        <v/>
      </c>
    </row>
    <row r="38" customFormat="false" ht="15" hidden="false" customHeight="false" outlineLevel="0" collapsed="false">
      <c r="A38" s="12"/>
      <c r="B38" s="13"/>
      <c r="C38" s="14"/>
      <c r="D38" s="14"/>
      <c r="E38" s="12"/>
      <c r="F38" s="15" t="str">
        <f aca="false">IF(OR(C38="",D38="",D38&lt;C38),"",IF(B38="Yıllık izin",D38-C38+1-INT((WEEKDAY(C38-1)+D38-C38)/7)-IF(Ayarlar!$C$5=1,0,INT((WEEKDAY(C38-7)+D38-C38)/7))-SUMPRODUCT((Ayarlar!$E$5:$E$24&gt;=C38)*(Ayarlar!$E$5:$E$24&lt;=D38)*(WEEKDAY(Ayarlar!$E$5:$E$24,2)&lt;IF(Ayarlar!$C$5=1,7,6))),D38-C38+1))</f>
        <v/>
      </c>
      <c r="G38" s="16" t="str">
        <f aca="false">IF(A38="","",IF(OR(B38="",C38="",D38=""),"Eksik bilgi",IF(D38&lt;C38,"Bitiş başlangıçtan önce","OK")))</f>
        <v/>
      </c>
    </row>
    <row r="39" customFormat="false" ht="15" hidden="false" customHeight="false" outlineLevel="0" collapsed="false">
      <c r="A39" s="12"/>
      <c r="B39" s="13"/>
      <c r="C39" s="14"/>
      <c r="D39" s="14"/>
      <c r="E39" s="12"/>
      <c r="F39" s="15" t="str">
        <f aca="false">IF(OR(C39="",D39="",D39&lt;C39),"",IF(B39="Yıllık izin",D39-C39+1-INT((WEEKDAY(C39-1)+D39-C39)/7)-IF(Ayarlar!$C$5=1,0,INT((WEEKDAY(C39-7)+D39-C39)/7))-SUMPRODUCT((Ayarlar!$E$5:$E$24&gt;=C39)*(Ayarlar!$E$5:$E$24&lt;=D39)*(WEEKDAY(Ayarlar!$E$5:$E$24,2)&lt;IF(Ayarlar!$C$5=1,7,6))),D39-C39+1))</f>
        <v/>
      </c>
      <c r="G39" s="16" t="str">
        <f aca="false">IF(A39="","",IF(OR(B39="",C39="",D39=""),"Eksik bilgi",IF(D39&lt;C39,"Bitiş başlangıçtan önce","OK")))</f>
        <v/>
      </c>
    </row>
    <row r="40" customFormat="false" ht="15" hidden="false" customHeight="false" outlineLevel="0" collapsed="false">
      <c r="A40" s="12"/>
      <c r="B40" s="13"/>
      <c r="C40" s="14"/>
      <c r="D40" s="14"/>
      <c r="E40" s="12"/>
      <c r="F40" s="15" t="str">
        <f aca="false">IF(OR(C40="",D40="",D40&lt;C40),"",IF(B40="Yıllık izin",D40-C40+1-INT((WEEKDAY(C40-1)+D40-C40)/7)-IF(Ayarlar!$C$5=1,0,INT((WEEKDAY(C40-7)+D40-C40)/7))-SUMPRODUCT((Ayarlar!$E$5:$E$24&gt;=C40)*(Ayarlar!$E$5:$E$24&lt;=D40)*(WEEKDAY(Ayarlar!$E$5:$E$24,2)&lt;IF(Ayarlar!$C$5=1,7,6))),D40-C40+1))</f>
        <v/>
      </c>
      <c r="G40" s="16" t="str">
        <f aca="false">IF(A40="","",IF(OR(B40="",C40="",D40=""),"Eksik bilgi",IF(D40&lt;C40,"Bitiş başlangıçtan önce","OK")))</f>
        <v/>
      </c>
    </row>
    <row r="41" customFormat="false" ht="15" hidden="false" customHeight="false" outlineLevel="0" collapsed="false">
      <c r="A41" s="12"/>
      <c r="B41" s="13"/>
      <c r="C41" s="14"/>
      <c r="D41" s="14"/>
      <c r="E41" s="12"/>
      <c r="F41" s="15" t="str">
        <f aca="false">IF(OR(C41="",D41="",D41&lt;C41),"",IF(B41="Yıllık izin",D41-C41+1-INT((WEEKDAY(C41-1)+D41-C41)/7)-IF(Ayarlar!$C$5=1,0,INT((WEEKDAY(C41-7)+D41-C41)/7))-SUMPRODUCT((Ayarlar!$E$5:$E$24&gt;=C41)*(Ayarlar!$E$5:$E$24&lt;=D41)*(WEEKDAY(Ayarlar!$E$5:$E$24,2)&lt;IF(Ayarlar!$C$5=1,7,6))),D41-C41+1))</f>
        <v/>
      </c>
      <c r="G41" s="16" t="str">
        <f aca="false">IF(A41="","",IF(OR(B41="",C41="",D41=""),"Eksik bilgi",IF(D41&lt;C41,"Bitiş başlangıçtan önce","OK")))</f>
        <v/>
      </c>
    </row>
    <row r="42" customFormat="false" ht="15" hidden="false" customHeight="false" outlineLevel="0" collapsed="false">
      <c r="A42" s="12"/>
      <c r="B42" s="13"/>
      <c r="C42" s="14"/>
      <c r="D42" s="14"/>
      <c r="E42" s="12"/>
      <c r="F42" s="15" t="str">
        <f aca="false">IF(OR(C42="",D42="",D42&lt;C42),"",IF(B42="Yıllık izin",D42-C42+1-INT((WEEKDAY(C42-1)+D42-C42)/7)-IF(Ayarlar!$C$5=1,0,INT((WEEKDAY(C42-7)+D42-C42)/7))-SUMPRODUCT((Ayarlar!$E$5:$E$24&gt;=C42)*(Ayarlar!$E$5:$E$24&lt;=D42)*(WEEKDAY(Ayarlar!$E$5:$E$24,2)&lt;IF(Ayarlar!$C$5=1,7,6))),D42-C42+1))</f>
        <v/>
      </c>
      <c r="G42" s="16" t="str">
        <f aca="false">IF(A42="","",IF(OR(B42="",C42="",D42=""),"Eksik bilgi",IF(D42&lt;C42,"Bitiş başlangıçtan önce","OK")))</f>
        <v/>
      </c>
    </row>
    <row r="43" customFormat="false" ht="15" hidden="false" customHeight="false" outlineLevel="0" collapsed="false">
      <c r="A43" s="12"/>
      <c r="B43" s="13"/>
      <c r="C43" s="14"/>
      <c r="D43" s="14"/>
      <c r="E43" s="12"/>
      <c r="F43" s="15" t="str">
        <f aca="false">IF(OR(C43="",D43="",D43&lt;C43),"",IF(B43="Yıllık izin",D43-C43+1-INT((WEEKDAY(C43-1)+D43-C43)/7)-IF(Ayarlar!$C$5=1,0,INT((WEEKDAY(C43-7)+D43-C43)/7))-SUMPRODUCT((Ayarlar!$E$5:$E$24&gt;=C43)*(Ayarlar!$E$5:$E$24&lt;=D43)*(WEEKDAY(Ayarlar!$E$5:$E$24,2)&lt;IF(Ayarlar!$C$5=1,7,6))),D43-C43+1))</f>
        <v/>
      </c>
      <c r="G43" s="16" t="str">
        <f aca="false">IF(A43="","",IF(OR(B43="",C43="",D43=""),"Eksik bilgi",IF(D43&lt;C43,"Bitiş başlangıçtan önce","OK")))</f>
        <v/>
      </c>
    </row>
    <row r="44" customFormat="false" ht="15" hidden="false" customHeight="false" outlineLevel="0" collapsed="false">
      <c r="A44" s="12"/>
      <c r="B44" s="13"/>
      <c r="C44" s="14"/>
      <c r="D44" s="14"/>
      <c r="E44" s="12"/>
      <c r="F44" s="15" t="str">
        <f aca="false">IF(OR(C44="",D44="",D44&lt;C44),"",IF(B44="Yıllık izin",D44-C44+1-INT((WEEKDAY(C44-1)+D44-C44)/7)-IF(Ayarlar!$C$5=1,0,INT((WEEKDAY(C44-7)+D44-C44)/7))-SUMPRODUCT((Ayarlar!$E$5:$E$24&gt;=C44)*(Ayarlar!$E$5:$E$24&lt;=D44)*(WEEKDAY(Ayarlar!$E$5:$E$24,2)&lt;IF(Ayarlar!$C$5=1,7,6))),D44-C44+1))</f>
        <v/>
      </c>
      <c r="G44" s="16" t="str">
        <f aca="false">IF(A44="","",IF(OR(B44="",C44="",D44=""),"Eksik bilgi",IF(D44&lt;C44,"Bitiş başlangıçtan önce","OK")))</f>
        <v/>
      </c>
    </row>
    <row r="45" customFormat="false" ht="15" hidden="false" customHeight="false" outlineLevel="0" collapsed="false">
      <c r="A45" s="12"/>
      <c r="B45" s="13"/>
      <c r="C45" s="14"/>
      <c r="D45" s="14"/>
      <c r="E45" s="12"/>
      <c r="F45" s="15" t="str">
        <f aca="false">IF(OR(C45="",D45="",D45&lt;C45),"",IF(B45="Yıllık izin",D45-C45+1-INT((WEEKDAY(C45-1)+D45-C45)/7)-IF(Ayarlar!$C$5=1,0,INT((WEEKDAY(C45-7)+D45-C45)/7))-SUMPRODUCT((Ayarlar!$E$5:$E$24&gt;=C45)*(Ayarlar!$E$5:$E$24&lt;=D45)*(WEEKDAY(Ayarlar!$E$5:$E$24,2)&lt;IF(Ayarlar!$C$5=1,7,6))),D45-C45+1))</f>
        <v/>
      </c>
      <c r="G45" s="16" t="str">
        <f aca="false">IF(A45="","",IF(OR(B45="",C45="",D45=""),"Eksik bilgi",IF(D45&lt;C45,"Bitiş başlangıçtan önce","OK")))</f>
        <v/>
      </c>
    </row>
    <row r="46" customFormat="false" ht="15" hidden="false" customHeight="false" outlineLevel="0" collapsed="false">
      <c r="A46" s="12"/>
      <c r="B46" s="13"/>
      <c r="C46" s="14"/>
      <c r="D46" s="14"/>
      <c r="E46" s="12"/>
      <c r="F46" s="15" t="str">
        <f aca="false">IF(OR(C46="",D46="",D46&lt;C46),"",IF(B46="Yıllık izin",D46-C46+1-INT((WEEKDAY(C46-1)+D46-C46)/7)-IF(Ayarlar!$C$5=1,0,INT((WEEKDAY(C46-7)+D46-C46)/7))-SUMPRODUCT((Ayarlar!$E$5:$E$24&gt;=C46)*(Ayarlar!$E$5:$E$24&lt;=D46)*(WEEKDAY(Ayarlar!$E$5:$E$24,2)&lt;IF(Ayarlar!$C$5=1,7,6))),D46-C46+1))</f>
        <v/>
      </c>
      <c r="G46" s="16" t="str">
        <f aca="false">IF(A46="","",IF(OR(B46="",C46="",D46=""),"Eksik bilgi",IF(D46&lt;C46,"Bitiş başlangıçtan önce","OK")))</f>
        <v/>
      </c>
    </row>
    <row r="47" customFormat="false" ht="15" hidden="false" customHeight="false" outlineLevel="0" collapsed="false">
      <c r="A47" s="12"/>
      <c r="B47" s="13"/>
      <c r="C47" s="14"/>
      <c r="D47" s="14"/>
      <c r="E47" s="12"/>
      <c r="F47" s="15" t="str">
        <f aca="false">IF(OR(C47="",D47="",D47&lt;C47),"",IF(B47="Yıllık izin",D47-C47+1-INT((WEEKDAY(C47-1)+D47-C47)/7)-IF(Ayarlar!$C$5=1,0,INT((WEEKDAY(C47-7)+D47-C47)/7))-SUMPRODUCT((Ayarlar!$E$5:$E$24&gt;=C47)*(Ayarlar!$E$5:$E$24&lt;=D47)*(WEEKDAY(Ayarlar!$E$5:$E$24,2)&lt;IF(Ayarlar!$C$5=1,7,6))),D47-C47+1))</f>
        <v/>
      </c>
      <c r="G47" s="16" t="str">
        <f aca="false">IF(A47="","",IF(OR(B47="",C47="",D47=""),"Eksik bilgi",IF(D47&lt;C47,"Bitiş başlangıçtan önce","OK")))</f>
        <v/>
      </c>
    </row>
    <row r="48" customFormat="false" ht="15" hidden="false" customHeight="false" outlineLevel="0" collapsed="false">
      <c r="A48" s="12"/>
      <c r="B48" s="13"/>
      <c r="C48" s="14"/>
      <c r="D48" s="14"/>
      <c r="E48" s="12"/>
      <c r="F48" s="15" t="str">
        <f aca="false">IF(OR(C48="",D48="",D48&lt;C48),"",IF(B48="Yıllık izin",D48-C48+1-INT((WEEKDAY(C48-1)+D48-C48)/7)-IF(Ayarlar!$C$5=1,0,INT((WEEKDAY(C48-7)+D48-C48)/7))-SUMPRODUCT((Ayarlar!$E$5:$E$24&gt;=C48)*(Ayarlar!$E$5:$E$24&lt;=D48)*(WEEKDAY(Ayarlar!$E$5:$E$24,2)&lt;IF(Ayarlar!$C$5=1,7,6))),D48-C48+1))</f>
        <v/>
      </c>
      <c r="G48" s="16" t="str">
        <f aca="false">IF(A48="","",IF(OR(B48="",C48="",D48=""),"Eksik bilgi",IF(D48&lt;C48,"Bitiş başlangıçtan önce","OK")))</f>
        <v/>
      </c>
    </row>
    <row r="49" customFormat="false" ht="15" hidden="false" customHeight="false" outlineLevel="0" collapsed="false">
      <c r="A49" s="12"/>
      <c r="B49" s="13"/>
      <c r="C49" s="14"/>
      <c r="D49" s="14"/>
      <c r="E49" s="12"/>
      <c r="F49" s="15" t="str">
        <f aca="false">IF(OR(C49="",D49="",D49&lt;C49),"",IF(B49="Yıllık izin",D49-C49+1-INT((WEEKDAY(C49-1)+D49-C49)/7)-IF(Ayarlar!$C$5=1,0,INT((WEEKDAY(C49-7)+D49-C49)/7))-SUMPRODUCT((Ayarlar!$E$5:$E$24&gt;=C49)*(Ayarlar!$E$5:$E$24&lt;=D49)*(WEEKDAY(Ayarlar!$E$5:$E$24,2)&lt;IF(Ayarlar!$C$5=1,7,6))),D49-C49+1))</f>
        <v/>
      </c>
      <c r="G49" s="16" t="str">
        <f aca="false">IF(A49="","",IF(OR(B49="",C49="",D49=""),"Eksik bilgi",IF(D49&lt;C49,"Bitiş başlangıçtan önce","OK")))</f>
        <v/>
      </c>
    </row>
    <row r="50" customFormat="false" ht="15" hidden="false" customHeight="false" outlineLevel="0" collapsed="false">
      <c r="A50" s="12"/>
      <c r="B50" s="13"/>
      <c r="C50" s="14"/>
      <c r="D50" s="14"/>
      <c r="E50" s="12"/>
      <c r="F50" s="15" t="str">
        <f aca="false">IF(OR(C50="",D50="",D50&lt;C50),"",IF(B50="Yıllık izin",D50-C50+1-INT((WEEKDAY(C50-1)+D50-C50)/7)-IF(Ayarlar!$C$5=1,0,INT((WEEKDAY(C50-7)+D50-C50)/7))-SUMPRODUCT((Ayarlar!$E$5:$E$24&gt;=C50)*(Ayarlar!$E$5:$E$24&lt;=D50)*(WEEKDAY(Ayarlar!$E$5:$E$24,2)&lt;IF(Ayarlar!$C$5=1,7,6))),D50-C50+1))</f>
        <v/>
      </c>
      <c r="G50" s="16" t="str">
        <f aca="false">IF(A50="","",IF(OR(B50="",C50="",D50=""),"Eksik bilgi",IF(D50&lt;C50,"Bitiş başlangıçtan önce","OK")))</f>
        <v/>
      </c>
    </row>
    <row r="51" customFormat="false" ht="15" hidden="false" customHeight="false" outlineLevel="0" collapsed="false">
      <c r="A51" s="12"/>
      <c r="B51" s="13"/>
      <c r="C51" s="14"/>
      <c r="D51" s="14"/>
      <c r="E51" s="12"/>
      <c r="F51" s="15" t="str">
        <f aca="false">IF(OR(C51="",D51="",D51&lt;C51),"",IF(B51="Yıllık izin",D51-C51+1-INT((WEEKDAY(C51-1)+D51-C51)/7)-IF(Ayarlar!$C$5=1,0,INT((WEEKDAY(C51-7)+D51-C51)/7))-SUMPRODUCT((Ayarlar!$E$5:$E$24&gt;=C51)*(Ayarlar!$E$5:$E$24&lt;=D51)*(WEEKDAY(Ayarlar!$E$5:$E$24,2)&lt;IF(Ayarlar!$C$5=1,7,6))),D51-C51+1))</f>
        <v/>
      </c>
      <c r="G51" s="16" t="str">
        <f aca="false">IF(A51="","",IF(OR(B51="",C51="",D51=""),"Eksik bilgi",IF(D51&lt;C51,"Bitiş başlangıçtan önce","OK")))</f>
        <v/>
      </c>
    </row>
    <row r="52" customFormat="false" ht="15" hidden="false" customHeight="false" outlineLevel="0" collapsed="false">
      <c r="A52" s="12"/>
      <c r="B52" s="13"/>
      <c r="C52" s="14"/>
      <c r="D52" s="14"/>
      <c r="E52" s="12"/>
      <c r="F52" s="15" t="str">
        <f aca="false">IF(OR(C52="",D52="",D52&lt;C52),"",IF(B52="Yıllık izin",D52-C52+1-INT((WEEKDAY(C52-1)+D52-C52)/7)-IF(Ayarlar!$C$5=1,0,INT((WEEKDAY(C52-7)+D52-C52)/7))-SUMPRODUCT((Ayarlar!$E$5:$E$24&gt;=C52)*(Ayarlar!$E$5:$E$24&lt;=D52)*(WEEKDAY(Ayarlar!$E$5:$E$24,2)&lt;IF(Ayarlar!$C$5=1,7,6))),D52-C52+1))</f>
        <v/>
      </c>
      <c r="G52" s="16" t="str">
        <f aca="false">IF(A52="","",IF(OR(B52="",C52="",D52=""),"Eksik bilgi",IF(D52&lt;C52,"Bitiş başlangıçtan önce","OK")))</f>
        <v/>
      </c>
    </row>
    <row r="53" customFormat="false" ht="15" hidden="false" customHeight="false" outlineLevel="0" collapsed="false">
      <c r="A53" s="12"/>
      <c r="B53" s="13"/>
      <c r="C53" s="14"/>
      <c r="D53" s="14"/>
      <c r="E53" s="12"/>
      <c r="F53" s="15" t="str">
        <f aca="false">IF(OR(C53="",D53="",D53&lt;C53),"",IF(B53="Yıllık izin",D53-C53+1-INT((WEEKDAY(C53-1)+D53-C53)/7)-IF(Ayarlar!$C$5=1,0,INT((WEEKDAY(C53-7)+D53-C53)/7))-SUMPRODUCT((Ayarlar!$E$5:$E$24&gt;=C53)*(Ayarlar!$E$5:$E$24&lt;=D53)*(WEEKDAY(Ayarlar!$E$5:$E$24,2)&lt;IF(Ayarlar!$C$5=1,7,6))),D53-C53+1))</f>
        <v/>
      </c>
      <c r="G53" s="16" t="str">
        <f aca="false">IF(A53="","",IF(OR(B53="",C53="",D53=""),"Eksik bilgi",IF(D53&lt;C53,"Bitiş başlangıçtan önce","OK")))</f>
        <v/>
      </c>
    </row>
    <row r="54" customFormat="false" ht="15" hidden="false" customHeight="false" outlineLevel="0" collapsed="false">
      <c r="A54" s="12"/>
      <c r="B54" s="13"/>
      <c r="C54" s="14"/>
      <c r="D54" s="14"/>
      <c r="E54" s="12"/>
      <c r="F54" s="15" t="str">
        <f aca="false">IF(OR(C54="",D54="",D54&lt;C54),"",IF(B54="Yıllık izin",D54-C54+1-INT((WEEKDAY(C54-1)+D54-C54)/7)-IF(Ayarlar!$C$5=1,0,INT((WEEKDAY(C54-7)+D54-C54)/7))-SUMPRODUCT((Ayarlar!$E$5:$E$24&gt;=C54)*(Ayarlar!$E$5:$E$24&lt;=D54)*(WEEKDAY(Ayarlar!$E$5:$E$24,2)&lt;IF(Ayarlar!$C$5=1,7,6))),D54-C54+1))</f>
        <v/>
      </c>
      <c r="G54" s="16" t="str">
        <f aca="false">IF(A54="","",IF(OR(B54="",C54="",D54=""),"Eksik bilgi",IF(D54&lt;C54,"Bitiş başlangıçtan önce","OK")))</f>
        <v/>
      </c>
    </row>
    <row r="55" customFormat="false" ht="15" hidden="false" customHeight="false" outlineLevel="0" collapsed="false">
      <c r="A55" s="12"/>
      <c r="B55" s="13"/>
      <c r="C55" s="14"/>
      <c r="D55" s="14"/>
      <c r="E55" s="12"/>
      <c r="F55" s="15" t="str">
        <f aca="false">IF(OR(C55="",D55="",D55&lt;C55),"",IF(B55="Yıllık izin",D55-C55+1-INT((WEEKDAY(C55-1)+D55-C55)/7)-IF(Ayarlar!$C$5=1,0,INT((WEEKDAY(C55-7)+D55-C55)/7))-SUMPRODUCT((Ayarlar!$E$5:$E$24&gt;=C55)*(Ayarlar!$E$5:$E$24&lt;=D55)*(WEEKDAY(Ayarlar!$E$5:$E$24,2)&lt;IF(Ayarlar!$C$5=1,7,6))),D55-C55+1))</f>
        <v/>
      </c>
      <c r="G55" s="16" t="str">
        <f aca="false">IF(A55="","",IF(OR(B55="",C55="",D55=""),"Eksik bilgi",IF(D55&lt;C55,"Bitiş başlangıçtan önce","OK")))</f>
        <v/>
      </c>
    </row>
    <row r="56" customFormat="false" ht="15" hidden="false" customHeight="false" outlineLevel="0" collapsed="false">
      <c r="A56" s="12"/>
      <c r="B56" s="13"/>
      <c r="C56" s="14"/>
      <c r="D56" s="14"/>
      <c r="E56" s="12"/>
      <c r="F56" s="15" t="str">
        <f aca="false">IF(OR(C56="",D56="",D56&lt;C56),"",IF(B56="Yıllık izin",D56-C56+1-INT((WEEKDAY(C56-1)+D56-C56)/7)-IF(Ayarlar!$C$5=1,0,INT((WEEKDAY(C56-7)+D56-C56)/7))-SUMPRODUCT((Ayarlar!$E$5:$E$24&gt;=C56)*(Ayarlar!$E$5:$E$24&lt;=D56)*(WEEKDAY(Ayarlar!$E$5:$E$24,2)&lt;IF(Ayarlar!$C$5=1,7,6))),D56-C56+1))</f>
        <v/>
      </c>
      <c r="G56" s="16" t="str">
        <f aca="false">IF(A56="","",IF(OR(B56="",C56="",D56=""),"Eksik bilgi",IF(D56&lt;C56,"Bitiş başlangıçtan önce","OK")))</f>
        <v/>
      </c>
    </row>
    <row r="57" customFormat="false" ht="15" hidden="false" customHeight="false" outlineLevel="0" collapsed="false">
      <c r="A57" s="12"/>
      <c r="B57" s="13"/>
      <c r="C57" s="14"/>
      <c r="D57" s="14"/>
      <c r="E57" s="12"/>
      <c r="F57" s="15" t="str">
        <f aca="false">IF(OR(C57="",D57="",D57&lt;C57),"",IF(B57="Yıllık izin",D57-C57+1-INT((WEEKDAY(C57-1)+D57-C57)/7)-IF(Ayarlar!$C$5=1,0,INT((WEEKDAY(C57-7)+D57-C57)/7))-SUMPRODUCT((Ayarlar!$E$5:$E$24&gt;=C57)*(Ayarlar!$E$5:$E$24&lt;=D57)*(WEEKDAY(Ayarlar!$E$5:$E$24,2)&lt;IF(Ayarlar!$C$5=1,7,6))),D57-C57+1))</f>
        <v/>
      </c>
      <c r="G57" s="16" t="str">
        <f aca="false">IF(A57="","",IF(OR(B57="",C57="",D57=""),"Eksik bilgi",IF(D57&lt;C57,"Bitiş başlangıçtan önce","OK")))</f>
        <v/>
      </c>
    </row>
    <row r="58" customFormat="false" ht="15" hidden="false" customHeight="false" outlineLevel="0" collapsed="false">
      <c r="A58" s="12"/>
      <c r="B58" s="13"/>
      <c r="C58" s="14"/>
      <c r="D58" s="14"/>
      <c r="E58" s="12"/>
      <c r="F58" s="15" t="str">
        <f aca="false">IF(OR(C58="",D58="",D58&lt;C58),"",IF(B58="Yıllık izin",D58-C58+1-INT((WEEKDAY(C58-1)+D58-C58)/7)-IF(Ayarlar!$C$5=1,0,INT((WEEKDAY(C58-7)+D58-C58)/7))-SUMPRODUCT((Ayarlar!$E$5:$E$24&gt;=C58)*(Ayarlar!$E$5:$E$24&lt;=D58)*(WEEKDAY(Ayarlar!$E$5:$E$24,2)&lt;IF(Ayarlar!$C$5=1,7,6))),D58-C58+1))</f>
        <v/>
      </c>
      <c r="G58" s="16" t="str">
        <f aca="false">IF(A58="","",IF(OR(B58="",C58="",D58=""),"Eksik bilgi",IF(D58&lt;C58,"Bitiş başlangıçtan önce","OK")))</f>
        <v/>
      </c>
    </row>
    <row r="59" customFormat="false" ht="15" hidden="false" customHeight="false" outlineLevel="0" collapsed="false">
      <c r="A59" s="12"/>
      <c r="B59" s="13"/>
      <c r="C59" s="14"/>
      <c r="D59" s="14"/>
      <c r="E59" s="12"/>
      <c r="F59" s="15" t="str">
        <f aca="false">IF(OR(C59="",D59="",D59&lt;C59),"",IF(B59="Yıllık izin",D59-C59+1-INT((WEEKDAY(C59-1)+D59-C59)/7)-IF(Ayarlar!$C$5=1,0,INT((WEEKDAY(C59-7)+D59-C59)/7))-SUMPRODUCT((Ayarlar!$E$5:$E$24&gt;=C59)*(Ayarlar!$E$5:$E$24&lt;=D59)*(WEEKDAY(Ayarlar!$E$5:$E$24,2)&lt;IF(Ayarlar!$C$5=1,7,6))),D59-C59+1))</f>
        <v/>
      </c>
      <c r="G59" s="16" t="str">
        <f aca="false">IF(A59="","",IF(OR(B59="",C59="",D59=""),"Eksik bilgi",IF(D59&lt;C59,"Bitiş başlangıçtan önce","OK")))</f>
        <v/>
      </c>
    </row>
    <row r="60" customFormat="false" ht="15" hidden="false" customHeight="false" outlineLevel="0" collapsed="false">
      <c r="A60" s="12"/>
      <c r="B60" s="13"/>
      <c r="C60" s="14"/>
      <c r="D60" s="14"/>
      <c r="E60" s="12"/>
      <c r="F60" s="15" t="str">
        <f aca="false">IF(OR(C60="",D60="",D60&lt;C60),"",IF(B60="Yıllık izin",D60-C60+1-INT((WEEKDAY(C60-1)+D60-C60)/7)-IF(Ayarlar!$C$5=1,0,INT((WEEKDAY(C60-7)+D60-C60)/7))-SUMPRODUCT((Ayarlar!$E$5:$E$24&gt;=C60)*(Ayarlar!$E$5:$E$24&lt;=D60)*(WEEKDAY(Ayarlar!$E$5:$E$24,2)&lt;IF(Ayarlar!$C$5=1,7,6))),D60-C60+1))</f>
        <v/>
      </c>
      <c r="G60" s="16" t="str">
        <f aca="false">IF(A60="","",IF(OR(B60="",C60="",D60=""),"Eksik bilgi",IF(D60&lt;C60,"Bitiş başlangıçtan önce","OK")))</f>
        <v/>
      </c>
    </row>
    <row r="61" customFormat="false" ht="15" hidden="false" customHeight="false" outlineLevel="0" collapsed="false">
      <c r="A61" s="12"/>
      <c r="B61" s="13"/>
      <c r="C61" s="14"/>
      <c r="D61" s="14"/>
      <c r="E61" s="12"/>
      <c r="F61" s="15" t="str">
        <f aca="false">IF(OR(C61="",D61="",D61&lt;C61),"",IF(B61="Yıllık izin",D61-C61+1-INT((WEEKDAY(C61-1)+D61-C61)/7)-IF(Ayarlar!$C$5=1,0,INT((WEEKDAY(C61-7)+D61-C61)/7))-SUMPRODUCT((Ayarlar!$E$5:$E$24&gt;=C61)*(Ayarlar!$E$5:$E$24&lt;=D61)*(WEEKDAY(Ayarlar!$E$5:$E$24,2)&lt;IF(Ayarlar!$C$5=1,7,6))),D61-C61+1))</f>
        <v/>
      </c>
      <c r="G61" s="16" t="str">
        <f aca="false">IF(A61="","",IF(OR(B61="",C61="",D61=""),"Eksik bilgi",IF(D61&lt;C61,"Bitiş başlangıçtan önce","OK")))</f>
        <v/>
      </c>
    </row>
    <row r="62" customFormat="false" ht="15" hidden="false" customHeight="false" outlineLevel="0" collapsed="false">
      <c r="A62" s="12"/>
      <c r="B62" s="13"/>
      <c r="C62" s="14"/>
      <c r="D62" s="14"/>
      <c r="E62" s="12"/>
      <c r="F62" s="15" t="str">
        <f aca="false">IF(OR(C62="",D62="",D62&lt;C62),"",IF(B62="Yıllık izin",D62-C62+1-INT((WEEKDAY(C62-1)+D62-C62)/7)-IF(Ayarlar!$C$5=1,0,INT((WEEKDAY(C62-7)+D62-C62)/7))-SUMPRODUCT((Ayarlar!$E$5:$E$24&gt;=C62)*(Ayarlar!$E$5:$E$24&lt;=D62)*(WEEKDAY(Ayarlar!$E$5:$E$24,2)&lt;IF(Ayarlar!$C$5=1,7,6))),D62-C62+1))</f>
        <v/>
      </c>
      <c r="G62" s="16" t="str">
        <f aca="false">IF(A62="","",IF(OR(B62="",C62="",D62=""),"Eksik bilgi",IF(D62&lt;C62,"Bitiş başlangıçtan önce","OK")))</f>
        <v/>
      </c>
    </row>
    <row r="63" customFormat="false" ht="15" hidden="false" customHeight="false" outlineLevel="0" collapsed="false">
      <c r="A63" s="12"/>
      <c r="B63" s="13"/>
      <c r="C63" s="14"/>
      <c r="D63" s="14"/>
      <c r="E63" s="12"/>
      <c r="F63" s="15" t="str">
        <f aca="false">IF(OR(C63="",D63="",D63&lt;C63),"",IF(B63="Yıllık izin",D63-C63+1-INT((WEEKDAY(C63-1)+D63-C63)/7)-IF(Ayarlar!$C$5=1,0,INT((WEEKDAY(C63-7)+D63-C63)/7))-SUMPRODUCT((Ayarlar!$E$5:$E$24&gt;=C63)*(Ayarlar!$E$5:$E$24&lt;=D63)*(WEEKDAY(Ayarlar!$E$5:$E$24,2)&lt;IF(Ayarlar!$C$5=1,7,6))),D63-C63+1))</f>
        <v/>
      </c>
      <c r="G63" s="16" t="str">
        <f aca="false">IF(A63="","",IF(OR(B63="",C63="",D63=""),"Eksik bilgi",IF(D63&lt;C63,"Bitiş başlangıçtan önce","OK")))</f>
        <v/>
      </c>
    </row>
    <row r="64" customFormat="false" ht="15" hidden="false" customHeight="false" outlineLevel="0" collapsed="false">
      <c r="A64" s="12"/>
      <c r="B64" s="13"/>
      <c r="C64" s="14"/>
      <c r="D64" s="14"/>
      <c r="E64" s="12"/>
      <c r="F64" s="15" t="str">
        <f aca="false">IF(OR(C64="",D64="",D64&lt;C64),"",IF(B64="Yıllık izin",D64-C64+1-INT((WEEKDAY(C64-1)+D64-C64)/7)-IF(Ayarlar!$C$5=1,0,INT((WEEKDAY(C64-7)+D64-C64)/7))-SUMPRODUCT((Ayarlar!$E$5:$E$24&gt;=C64)*(Ayarlar!$E$5:$E$24&lt;=D64)*(WEEKDAY(Ayarlar!$E$5:$E$24,2)&lt;IF(Ayarlar!$C$5=1,7,6))),D64-C64+1))</f>
        <v/>
      </c>
      <c r="G64" s="16" t="str">
        <f aca="false">IF(A64="","",IF(OR(B64="",C64="",D64=""),"Eksik bilgi",IF(D64&lt;C64,"Bitiş başlangıçtan önce","OK")))</f>
        <v/>
      </c>
    </row>
    <row r="65" customFormat="false" ht="15" hidden="false" customHeight="false" outlineLevel="0" collapsed="false">
      <c r="A65" s="12"/>
      <c r="B65" s="13"/>
      <c r="C65" s="14"/>
      <c r="D65" s="14"/>
      <c r="E65" s="12"/>
      <c r="F65" s="15" t="str">
        <f aca="false">IF(OR(C65="",D65="",D65&lt;C65),"",IF(B65="Yıllık izin",D65-C65+1-INT((WEEKDAY(C65-1)+D65-C65)/7)-IF(Ayarlar!$C$5=1,0,INT((WEEKDAY(C65-7)+D65-C65)/7))-SUMPRODUCT((Ayarlar!$E$5:$E$24&gt;=C65)*(Ayarlar!$E$5:$E$24&lt;=D65)*(WEEKDAY(Ayarlar!$E$5:$E$24,2)&lt;IF(Ayarlar!$C$5=1,7,6))),D65-C65+1))</f>
        <v/>
      </c>
      <c r="G65" s="16" t="str">
        <f aca="false">IF(A65="","",IF(OR(B65="",C65="",D65=""),"Eksik bilgi",IF(D65&lt;C65,"Bitiş başlangıçtan önce","OK")))</f>
        <v/>
      </c>
    </row>
    <row r="66" customFormat="false" ht="15" hidden="false" customHeight="false" outlineLevel="0" collapsed="false">
      <c r="A66" s="12"/>
      <c r="B66" s="13"/>
      <c r="C66" s="14"/>
      <c r="D66" s="14"/>
      <c r="E66" s="12"/>
      <c r="F66" s="15" t="str">
        <f aca="false">IF(OR(C66="",D66="",D66&lt;C66),"",IF(B66="Yıllık izin",D66-C66+1-INT((WEEKDAY(C66-1)+D66-C66)/7)-IF(Ayarlar!$C$5=1,0,INT((WEEKDAY(C66-7)+D66-C66)/7))-SUMPRODUCT((Ayarlar!$E$5:$E$24&gt;=C66)*(Ayarlar!$E$5:$E$24&lt;=D66)*(WEEKDAY(Ayarlar!$E$5:$E$24,2)&lt;IF(Ayarlar!$C$5=1,7,6))),D66-C66+1))</f>
        <v/>
      </c>
      <c r="G66" s="16" t="str">
        <f aca="false">IF(A66="","",IF(OR(B66="",C66="",D66=""),"Eksik bilgi",IF(D66&lt;C66,"Bitiş başlangıçtan önce","OK")))</f>
        <v/>
      </c>
    </row>
    <row r="67" customFormat="false" ht="15" hidden="false" customHeight="false" outlineLevel="0" collapsed="false">
      <c r="A67" s="12"/>
      <c r="B67" s="13"/>
      <c r="C67" s="14"/>
      <c r="D67" s="14"/>
      <c r="E67" s="12"/>
      <c r="F67" s="15" t="str">
        <f aca="false">IF(OR(C67="",D67="",D67&lt;C67),"",IF(B67="Yıllık izin",D67-C67+1-INT((WEEKDAY(C67-1)+D67-C67)/7)-IF(Ayarlar!$C$5=1,0,INT((WEEKDAY(C67-7)+D67-C67)/7))-SUMPRODUCT((Ayarlar!$E$5:$E$24&gt;=C67)*(Ayarlar!$E$5:$E$24&lt;=D67)*(WEEKDAY(Ayarlar!$E$5:$E$24,2)&lt;IF(Ayarlar!$C$5=1,7,6))),D67-C67+1))</f>
        <v/>
      </c>
      <c r="G67" s="16" t="str">
        <f aca="false">IF(A67="","",IF(OR(B67="",C67="",D67=""),"Eksik bilgi",IF(D67&lt;C67,"Bitiş başlangıçtan önce","OK")))</f>
        <v/>
      </c>
    </row>
    <row r="68" customFormat="false" ht="15" hidden="false" customHeight="false" outlineLevel="0" collapsed="false">
      <c r="A68" s="12"/>
      <c r="B68" s="13"/>
      <c r="C68" s="14"/>
      <c r="D68" s="14"/>
      <c r="E68" s="12"/>
      <c r="F68" s="15" t="str">
        <f aca="false">IF(OR(C68="",D68="",D68&lt;C68),"",IF(B68="Yıllık izin",D68-C68+1-INT((WEEKDAY(C68-1)+D68-C68)/7)-IF(Ayarlar!$C$5=1,0,INT((WEEKDAY(C68-7)+D68-C68)/7))-SUMPRODUCT((Ayarlar!$E$5:$E$24&gt;=C68)*(Ayarlar!$E$5:$E$24&lt;=D68)*(WEEKDAY(Ayarlar!$E$5:$E$24,2)&lt;IF(Ayarlar!$C$5=1,7,6))),D68-C68+1))</f>
        <v/>
      </c>
      <c r="G68" s="16" t="str">
        <f aca="false">IF(A68="","",IF(OR(B68="",C68="",D68=""),"Eksik bilgi",IF(D68&lt;C68,"Bitiş başlangıçtan önce","OK")))</f>
        <v/>
      </c>
    </row>
    <row r="69" customFormat="false" ht="15" hidden="false" customHeight="false" outlineLevel="0" collapsed="false">
      <c r="A69" s="12"/>
      <c r="B69" s="13"/>
      <c r="C69" s="14"/>
      <c r="D69" s="14"/>
      <c r="E69" s="12"/>
      <c r="F69" s="15" t="str">
        <f aca="false">IF(OR(C69="",D69="",D69&lt;C69),"",IF(B69="Yıllık izin",D69-C69+1-INT((WEEKDAY(C69-1)+D69-C69)/7)-IF(Ayarlar!$C$5=1,0,INT((WEEKDAY(C69-7)+D69-C69)/7))-SUMPRODUCT((Ayarlar!$E$5:$E$24&gt;=C69)*(Ayarlar!$E$5:$E$24&lt;=D69)*(WEEKDAY(Ayarlar!$E$5:$E$24,2)&lt;IF(Ayarlar!$C$5=1,7,6))),D69-C69+1))</f>
        <v/>
      </c>
      <c r="G69" s="16" t="str">
        <f aca="false">IF(A69="","",IF(OR(B69="",C69="",D69=""),"Eksik bilgi",IF(D69&lt;C69,"Bitiş başlangıçtan önce","OK")))</f>
        <v/>
      </c>
    </row>
    <row r="70" customFormat="false" ht="15" hidden="false" customHeight="false" outlineLevel="0" collapsed="false">
      <c r="A70" s="12"/>
      <c r="B70" s="13"/>
      <c r="C70" s="14"/>
      <c r="D70" s="14"/>
      <c r="E70" s="12"/>
      <c r="F70" s="15" t="str">
        <f aca="false">IF(OR(C70="",D70="",D70&lt;C70),"",IF(B70="Yıllık izin",D70-C70+1-INT((WEEKDAY(C70-1)+D70-C70)/7)-IF(Ayarlar!$C$5=1,0,INT((WEEKDAY(C70-7)+D70-C70)/7))-SUMPRODUCT((Ayarlar!$E$5:$E$24&gt;=C70)*(Ayarlar!$E$5:$E$24&lt;=D70)*(WEEKDAY(Ayarlar!$E$5:$E$24,2)&lt;IF(Ayarlar!$C$5=1,7,6))),D70-C70+1))</f>
        <v/>
      </c>
      <c r="G70" s="16" t="str">
        <f aca="false">IF(A70="","",IF(OR(B70="",C70="",D70=""),"Eksik bilgi",IF(D70&lt;C70,"Bitiş başlangıçtan önce","OK")))</f>
        <v/>
      </c>
    </row>
    <row r="71" customFormat="false" ht="15" hidden="false" customHeight="false" outlineLevel="0" collapsed="false">
      <c r="A71" s="12"/>
      <c r="B71" s="13"/>
      <c r="C71" s="14"/>
      <c r="D71" s="14"/>
      <c r="E71" s="12"/>
      <c r="F71" s="15" t="str">
        <f aca="false">IF(OR(C71="",D71="",D71&lt;C71),"",IF(B71="Yıllık izin",D71-C71+1-INT((WEEKDAY(C71-1)+D71-C71)/7)-IF(Ayarlar!$C$5=1,0,INT((WEEKDAY(C71-7)+D71-C71)/7))-SUMPRODUCT((Ayarlar!$E$5:$E$24&gt;=C71)*(Ayarlar!$E$5:$E$24&lt;=D71)*(WEEKDAY(Ayarlar!$E$5:$E$24,2)&lt;IF(Ayarlar!$C$5=1,7,6))),D71-C71+1))</f>
        <v/>
      </c>
      <c r="G71" s="16" t="str">
        <f aca="false">IF(A71="","",IF(OR(B71="",C71="",D71=""),"Eksik bilgi",IF(D71&lt;C71,"Bitiş başlangıçtan önce","OK")))</f>
        <v/>
      </c>
    </row>
    <row r="72" customFormat="false" ht="15" hidden="false" customHeight="false" outlineLevel="0" collapsed="false">
      <c r="A72" s="12"/>
      <c r="B72" s="13"/>
      <c r="C72" s="14"/>
      <c r="D72" s="14"/>
      <c r="E72" s="12"/>
      <c r="F72" s="15" t="str">
        <f aca="false">IF(OR(C72="",D72="",D72&lt;C72),"",IF(B72="Yıllık izin",D72-C72+1-INT((WEEKDAY(C72-1)+D72-C72)/7)-IF(Ayarlar!$C$5=1,0,INT((WEEKDAY(C72-7)+D72-C72)/7))-SUMPRODUCT((Ayarlar!$E$5:$E$24&gt;=C72)*(Ayarlar!$E$5:$E$24&lt;=D72)*(WEEKDAY(Ayarlar!$E$5:$E$24,2)&lt;IF(Ayarlar!$C$5=1,7,6))),D72-C72+1))</f>
        <v/>
      </c>
      <c r="G72" s="16" t="str">
        <f aca="false">IF(A72="","",IF(OR(B72="",C72="",D72=""),"Eksik bilgi",IF(D72&lt;C72,"Bitiş başlangıçtan önce","OK")))</f>
        <v/>
      </c>
    </row>
    <row r="73" customFormat="false" ht="15" hidden="false" customHeight="false" outlineLevel="0" collapsed="false">
      <c r="A73" s="12"/>
      <c r="B73" s="13"/>
      <c r="C73" s="14"/>
      <c r="D73" s="14"/>
      <c r="E73" s="12"/>
      <c r="F73" s="15" t="str">
        <f aca="false">IF(OR(C73="",D73="",D73&lt;C73),"",IF(B73="Yıllık izin",D73-C73+1-INT((WEEKDAY(C73-1)+D73-C73)/7)-IF(Ayarlar!$C$5=1,0,INT((WEEKDAY(C73-7)+D73-C73)/7))-SUMPRODUCT((Ayarlar!$E$5:$E$24&gt;=C73)*(Ayarlar!$E$5:$E$24&lt;=D73)*(WEEKDAY(Ayarlar!$E$5:$E$24,2)&lt;IF(Ayarlar!$C$5=1,7,6))),D73-C73+1))</f>
        <v/>
      </c>
      <c r="G73" s="16" t="str">
        <f aca="false">IF(A73="","",IF(OR(B73="",C73="",D73=""),"Eksik bilgi",IF(D73&lt;C73,"Bitiş başlangıçtan önce","OK")))</f>
        <v/>
      </c>
    </row>
    <row r="74" customFormat="false" ht="15" hidden="false" customHeight="false" outlineLevel="0" collapsed="false">
      <c r="A74" s="12"/>
      <c r="B74" s="13"/>
      <c r="C74" s="14"/>
      <c r="D74" s="14"/>
      <c r="E74" s="12"/>
      <c r="F74" s="15" t="str">
        <f aca="false">IF(OR(C74="",D74="",D74&lt;C74),"",IF(B74="Yıllık izin",D74-C74+1-INT((WEEKDAY(C74-1)+D74-C74)/7)-IF(Ayarlar!$C$5=1,0,INT((WEEKDAY(C74-7)+D74-C74)/7))-SUMPRODUCT((Ayarlar!$E$5:$E$24&gt;=C74)*(Ayarlar!$E$5:$E$24&lt;=D74)*(WEEKDAY(Ayarlar!$E$5:$E$24,2)&lt;IF(Ayarlar!$C$5=1,7,6))),D74-C74+1))</f>
        <v/>
      </c>
      <c r="G74" s="16" t="str">
        <f aca="false">IF(A74="","",IF(OR(B74="",C74="",D74=""),"Eksik bilgi",IF(D74&lt;C74,"Bitiş başlangıçtan önce","OK")))</f>
        <v/>
      </c>
    </row>
    <row r="75" customFormat="false" ht="15" hidden="false" customHeight="false" outlineLevel="0" collapsed="false">
      <c r="A75" s="12"/>
      <c r="B75" s="13"/>
      <c r="C75" s="14"/>
      <c r="D75" s="14"/>
      <c r="E75" s="12"/>
      <c r="F75" s="15" t="str">
        <f aca="false">IF(OR(C75="",D75="",D75&lt;C75),"",IF(B75="Yıllık izin",D75-C75+1-INT((WEEKDAY(C75-1)+D75-C75)/7)-IF(Ayarlar!$C$5=1,0,INT((WEEKDAY(C75-7)+D75-C75)/7))-SUMPRODUCT((Ayarlar!$E$5:$E$24&gt;=C75)*(Ayarlar!$E$5:$E$24&lt;=D75)*(WEEKDAY(Ayarlar!$E$5:$E$24,2)&lt;IF(Ayarlar!$C$5=1,7,6))),D75-C75+1))</f>
        <v/>
      </c>
      <c r="G75" s="16" t="str">
        <f aca="false">IF(A75="","",IF(OR(B75="",C75="",D75=""),"Eksik bilgi",IF(D75&lt;C75,"Bitiş başlangıçtan önce","OK")))</f>
        <v/>
      </c>
    </row>
    <row r="76" customFormat="false" ht="15" hidden="false" customHeight="false" outlineLevel="0" collapsed="false">
      <c r="A76" s="12"/>
      <c r="B76" s="13"/>
      <c r="C76" s="14"/>
      <c r="D76" s="14"/>
      <c r="E76" s="12"/>
      <c r="F76" s="15" t="str">
        <f aca="false">IF(OR(C76="",D76="",D76&lt;C76),"",IF(B76="Yıllık izin",D76-C76+1-INT((WEEKDAY(C76-1)+D76-C76)/7)-IF(Ayarlar!$C$5=1,0,INT((WEEKDAY(C76-7)+D76-C76)/7))-SUMPRODUCT((Ayarlar!$E$5:$E$24&gt;=C76)*(Ayarlar!$E$5:$E$24&lt;=D76)*(WEEKDAY(Ayarlar!$E$5:$E$24,2)&lt;IF(Ayarlar!$C$5=1,7,6))),D76-C76+1))</f>
        <v/>
      </c>
      <c r="G76" s="16" t="str">
        <f aca="false">IF(A76="","",IF(OR(B76="",C76="",D76=""),"Eksik bilgi",IF(D76&lt;C76,"Bitiş başlangıçtan önce","OK")))</f>
        <v/>
      </c>
    </row>
    <row r="77" customFormat="false" ht="15" hidden="false" customHeight="false" outlineLevel="0" collapsed="false">
      <c r="A77" s="12"/>
      <c r="B77" s="13"/>
      <c r="C77" s="14"/>
      <c r="D77" s="14"/>
      <c r="E77" s="12"/>
      <c r="F77" s="15" t="str">
        <f aca="false">IF(OR(C77="",D77="",D77&lt;C77),"",IF(B77="Yıllık izin",D77-C77+1-INT((WEEKDAY(C77-1)+D77-C77)/7)-IF(Ayarlar!$C$5=1,0,INT((WEEKDAY(C77-7)+D77-C77)/7))-SUMPRODUCT((Ayarlar!$E$5:$E$24&gt;=C77)*(Ayarlar!$E$5:$E$24&lt;=D77)*(WEEKDAY(Ayarlar!$E$5:$E$24,2)&lt;IF(Ayarlar!$C$5=1,7,6))),D77-C77+1))</f>
        <v/>
      </c>
      <c r="G77" s="16" t="str">
        <f aca="false">IF(A77="","",IF(OR(B77="",C77="",D77=""),"Eksik bilgi",IF(D77&lt;C77,"Bitiş başlangıçtan önce","OK")))</f>
        <v/>
      </c>
    </row>
    <row r="78" customFormat="false" ht="15" hidden="false" customHeight="false" outlineLevel="0" collapsed="false">
      <c r="A78" s="12"/>
      <c r="B78" s="13"/>
      <c r="C78" s="14"/>
      <c r="D78" s="14"/>
      <c r="E78" s="12"/>
      <c r="F78" s="15" t="str">
        <f aca="false">IF(OR(C78="",D78="",D78&lt;C78),"",IF(B78="Yıllık izin",D78-C78+1-INT((WEEKDAY(C78-1)+D78-C78)/7)-IF(Ayarlar!$C$5=1,0,INT((WEEKDAY(C78-7)+D78-C78)/7))-SUMPRODUCT((Ayarlar!$E$5:$E$24&gt;=C78)*(Ayarlar!$E$5:$E$24&lt;=D78)*(WEEKDAY(Ayarlar!$E$5:$E$24,2)&lt;IF(Ayarlar!$C$5=1,7,6))),D78-C78+1))</f>
        <v/>
      </c>
      <c r="G78" s="16" t="str">
        <f aca="false">IF(A78="","",IF(OR(B78="",C78="",D78=""),"Eksik bilgi",IF(D78&lt;C78,"Bitiş başlangıçtan önce","OK")))</f>
        <v/>
      </c>
    </row>
    <row r="79" customFormat="false" ht="15" hidden="false" customHeight="false" outlineLevel="0" collapsed="false">
      <c r="A79" s="12"/>
      <c r="B79" s="13"/>
      <c r="C79" s="14"/>
      <c r="D79" s="14"/>
      <c r="E79" s="12"/>
      <c r="F79" s="15" t="str">
        <f aca="false">IF(OR(C79="",D79="",D79&lt;C79),"",IF(B79="Yıllık izin",D79-C79+1-INT((WEEKDAY(C79-1)+D79-C79)/7)-IF(Ayarlar!$C$5=1,0,INT((WEEKDAY(C79-7)+D79-C79)/7))-SUMPRODUCT((Ayarlar!$E$5:$E$24&gt;=C79)*(Ayarlar!$E$5:$E$24&lt;=D79)*(WEEKDAY(Ayarlar!$E$5:$E$24,2)&lt;IF(Ayarlar!$C$5=1,7,6))),D79-C79+1))</f>
        <v/>
      </c>
      <c r="G79" s="16" t="str">
        <f aca="false">IF(A79="","",IF(OR(B79="",C79="",D79=""),"Eksik bilgi",IF(D79&lt;C79,"Bitiş başlangıçtan önce","OK")))</f>
        <v/>
      </c>
    </row>
    <row r="80" customFormat="false" ht="15" hidden="false" customHeight="false" outlineLevel="0" collapsed="false">
      <c r="A80" s="12"/>
      <c r="B80" s="13"/>
      <c r="C80" s="14"/>
      <c r="D80" s="14"/>
      <c r="E80" s="12"/>
      <c r="F80" s="15" t="str">
        <f aca="false">IF(OR(C80="",D80="",D80&lt;C80),"",IF(B80="Yıllık izin",D80-C80+1-INT((WEEKDAY(C80-1)+D80-C80)/7)-IF(Ayarlar!$C$5=1,0,INT((WEEKDAY(C80-7)+D80-C80)/7))-SUMPRODUCT((Ayarlar!$E$5:$E$24&gt;=C80)*(Ayarlar!$E$5:$E$24&lt;=D80)*(WEEKDAY(Ayarlar!$E$5:$E$24,2)&lt;IF(Ayarlar!$C$5=1,7,6))),D80-C80+1))</f>
        <v/>
      </c>
      <c r="G80" s="16" t="str">
        <f aca="false">IF(A80="","",IF(OR(B80="",C80="",D80=""),"Eksik bilgi",IF(D80&lt;C80,"Bitiş başlangıçtan önce","OK")))</f>
        <v/>
      </c>
    </row>
    <row r="81" customFormat="false" ht="15" hidden="false" customHeight="false" outlineLevel="0" collapsed="false">
      <c r="A81" s="12"/>
      <c r="B81" s="13"/>
      <c r="C81" s="14"/>
      <c r="D81" s="14"/>
      <c r="E81" s="12"/>
      <c r="F81" s="15" t="str">
        <f aca="false">IF(OR(C81="",D81="",D81&lt;C81),"",IF(B81="Yıllık izin",D81-C81+1-INT((WEEKDAY(C81-1)+D81-C81)/7)-IF(Ayarlar!$C$5=1,0,INT((WEEKDAY(C81-7)+D81-C81)/7))-SUMPRODUCT((Ayarlar!$E$5:$E$24&gt;=C81)*(Ayarlar!$E$5:$E$24&lt;=D81)*(WEEKDAY(Ayarlar!$E$5:$E$24,2)&lt;IF(Ayarlar!$C$5=1,7,6))),D81-C81+1))</f>
        <v/>
      </c>
      <c r="G81" s="16" t="str">
        <f aca="false">IF(A81="","",IF(OR(B81="",C81="",D81=""),"Eksik bilgi",IF(D81&lt;C81,"Bitiş başlangıçtan önce","OK")))</f>
        <v/>
      </c>
    </row>
    <row r="82" customFormat="false" ht="15" hidden="false" customHeight="false" outlineLevel="0" collapsed="false">
      <c r="A82" s="12"/>
      <c r="B82" s="13"/>
      <c r="C82" s="14"/>
      <c r="D82" s="14"/>
      <c r="E82" s="12"/>
      <c r="F82" s="15" t="str">
        <f aca="false">IF(OR(C82="",D82="",D82&lt;C82),"",IF(B82="Yıllık izin",D82-C82+1-INT((WEEKDAY(C82-1)+D82-C82)/7)-IF(Ayarlar!$C$5=1,0,INT((WEEKDAY(C82-7)+D82-C82)/7))-SUMPRODUCT((Ayarlar!$E$5:$E$24&gt;=C82)*(Ayarlar!$E$5:$E$24&lt;=D82)*(WEEKDAY(Ayarlar!$E$5:$E$24,2)&lt;IF(Ayarlar!$C$5=1,7,6))),D82-C82+1))</f>
        <v/>
      </c>
      <c r="G82" s="16" t="str">
        <f aca="false">IF(A82="","",IF(OR(B82="",C82="",D82=""),"Eksik bilgi",IF(D82&lt;C82,"Bitiş başlangıçtan önce","OK")))</f>
        <v/>
      </c>
    </row>
    <row r="83" customFormat="false" ht="15" hidden="false" customHeight="false" outlineLevel="0" collapsed="false">
      <c r="A83" s="12"/>
      <c r="B83" s="13"/>
      <c r="C83" s="14"/>
      <c r="D83" s="14"/>
      <c r="E83" s="12"/>
      <c r="F83" s="15" t="str">
        <f aca="false">IF(OR(C83="",D83="",D83&lt;C83),"",IF(B83="Yıllık izin",D83-C83+1-INT((WEEKDAY(C83-1)+D83-C83)/7)-IF(Ayarlar!$C$5=1,0,INT((WEEKDAY(C83-7)+D83-C83)/7))-SUMPRODUCT((Ayarlar!$E$5:$E$24&gt;=C83)*(Ayarlar!$E$5:$E$24&lt;=D83)*(WEEKDAY(Ayarlar!$E$5:$E$24,2)&lt;IF(Ayarlar!$C$5=1,7,6))),D83-C83+1))</f>
        <v/>
      </c>
      <c r="G83" s="16" t="str">
        <f aca="false">IF(A83="","",IF(OR(B83="",C83="",D83=""),"Eksik bilgi",IF(D83&lt;C83,"Bitiş başlangıçtan önce","OK")))</f>
        <v/>
      </c>
    </row>
    <row r="84" customFormat="false" ht="15" hidden="false" customHeight="false" outlineLevel="0" collapsed="false">
      <c r="A84" s="12"/>
      <c r="B84" s="13"/>
      <c r="C84" s="14"/>
      <c r="D84" s="14"/>
      <c r="E84" s="12"/>
      <c r="F84" s="15" t="str">
        <f aca="false">IF(OR(C84="",D84="",D84&lt;C84),"",IF(B84="Yıllık izin",D84-C84+1-INT((WEEKDAY(C84-1)+D84-C84)/7)-IF(Ayarlar!$C$5=1,0,INT((WEEKDAY(C84-7)+D84-C84)/7))-SUMPRODUCT((Ayarlar!$E$5:$E$24&gt;=C84)*(Ayarlar!$E$5:$E$24&lt;=D84)*(WEEKDAY(Ayarlar!$E$5:$E$24,2)&lt;IF(Ayarlar!$C$5=1,7,6))),D84-C84+1))</f>
        <v/>
      </c>
      <c r="G84" s="16" t="str">
        <f aca="false">IF(A84="","",IF(OR(B84="",C84="",D84=""),"Eksik bilgi",IF(D84&lt;C84,"Bitiş başlangıçtan önce","OK")))</f>
        <v/>
      </c>
    </row>
    <row r="85" customFormat="false" ht="15" hidden="false" customHeight="false" outlineLevel="0" collapsed="false">
      <c r="A85" s="12"/>
      <c r="B85" s="13"/>
      <c r="C85" s="14"/>
      <c r="D85" s="14"/>
      <c r="E85" s="12"/>
      <c r="F85" s="15" t="str">
        <f aca="false">IF(OR(C85="",D85="",D85&lt;C85),"",IF(B85="Yıllık izin",D85-C85+1-INT((WEEKDAY(C85-1)+D85-C85)/7)-IF(Ayarlar!$C$5=1,0,INT((WEEKDAY(C85-7)+D85-C85)/7))-SUMPRODUCT((Ayarlar!$E$5:$E$24&gt;=C85)*(Ayarlar!$E$5:$E$24&lt;=D85)*(WEEKDAY(Ayarlar!$E$5:$E$24,2)&lt;IF(Ayarlar!$C$5=1,7,6))),D85-C85+1))</f>
        <v/>
      </c>
      <c r="G85" s="16" t="str">
        <f aca="false">IF(A85="","",IF(OR(B85="",C85="",D85=""),"Eksik bilgi",IF(D85&lt;C85,"Bitiş başlangıçtan önce","OK")))</f>
        <v/>
      </c>
    </row>
    <row r="86" customFormat="false" ht="15" hidden="false" customHeight="false" outlineLevel="0" collapsed="false">
      <c r="A86" s="12"/>
      <c r="B86" s="13"/>
      <c r="C86" s="14"/>
      <c r="D86" s="14"/>
      <c r="E86" s="12"/>
      <c r="F86" s="15" t="str">
        <f aca="false">IF(OR(C86="",D86="",D86&lt;C86),"",IF(B86="Yıllık izin",D86-C86+1-INT((WEEKDAY(C86-1)+D86-C86)/7)-IF(Ayarlar!$C$5=1,0,INT((WEEKDAY(C86-7)+D86-C86)/7))-SUMPRODUCT((Ayarlar!$E$5:$E$24&gt;=C86)*(Ayarlar!$E$5:$E$24&lt;=D86)*(WEEKDAY(Ayarlar!$E$5:$E$24,2)&lt;IF(Ayarlar!$C$5=1,7,6))),D86-C86+1))</f>
        <v/>
      </c>
      <c r="G86" s="16" t="str">
        <f aca="false">IF(A86="","",IF(OR(B86="",C86="",D86=""),"Eksik bilgi",IF(D86&lt;C86,"Bitiş başlangıçtan önce","OK")))</f>
        <v/>
      </c>
    </row>
    <row r="87" customFormat="false" ht="15" hidden="false" customHeight="false" outlineLevel="0" collapsed="false">
      <c r="A87" s="12"/>
      <c r="B87" s="13"/>
      <c r="C87" s="14"/>
      <c r="D87" s="14"/>
      <c r="E87" s="12"/>
      <c r="F87" s="15" t="str">
        <f aca="false">IF(OR(C87="",D87="",D87&lt;C87),"",IF(B87="Yıllık izin",D87-C87+1-INT((WEEKDAY(C87-1)+D87-C87)/7)-IF(Ayarlar!$C$5=1,0,INT((WEEKDAY(C87-7)+D87-C87)/7))-SUMPRODUCT((Ayarlar!$E$5:$E$24&gt;=C87)*(Ayarlar!$E$5:$E$24&lt;=D87)*(WEEKDAY(Ayarlar!$E$5:$E$24,2)&lt;IF(Ayarlar!$C$5=1,7,6))),D87-C87+1))</f>
        <v/>
      </c>
      <c r="G87" s="16" t="str">
        <f aca="false">IF(A87="","",IF(OR(B87="",C87="",D87=""),"Eksik bilgi",IF(D87&lt;C87,"Bitiş başlangıçtan önce","OK")))</f>
        <v/>
      </c>
    </row>
    <row r="88" customFormat="false" ht="15" hidden="false" customHeight="false" outlineLevel="0" collapsed="false">
      <c r="A88" s="12"/>
      <c r="B88" s="13"/>
      <c r="C88" s="14"/>
      <c r="D88" s="14"/>
      <c r="E88" s="12"/>
      <c r="F88" s="15" t="str">
        <f aca="false">IF(OR(C88="",D88="",D88&lt;C88),"",IF(B88="Yıllık izin",D88-C88+1-INT((WEEKDAY(C88-1)+D88-C88)/7)-IF(Ayarlar!$C$5=1,0,INT((WEEKDAY(C88-7)+D88-C88)/7))-SUMPRODUCT((Ayarlar!$E$5:$E$24&gt;=C88)*(Ayarlar!$E$5:$E$24&lt;=D88)*(WEEKDAY(Ayarlar!$E$5:$E$24,2)&lt;IF(Ayarlar!$C$5=1,7,6))),D88-C88+1))</f>
        <v/>
      </c>
      <c r="G88" s="16" t="str">
        <f aca="false">IF(A88="","",IF(OR(B88="",C88="",D88=""),"Eksik bilgi",IF(D88&lt;C88,"Bitiş başlangıçtan önce","OK")))</f>
        <v/>
      </c>
    </row>
    <row r="89" customFormat="false" ht="15" hidden="false" customHeight="false" outlineLevel="0" collapsed="false">
      <c r="A89" s="12"/>
      <c r="B89" s="13"/>
      <c r="C89" s="14"/>
      <c r="D89" s="14"/>
      <c r="E89" s="12"/>
      <c r="F89" s="15" t="str">
        <f aca="false">IF(OR(C89="",D89="",D89&lt;C89),"",IF(B89="Yıllık izin",D89-C89+1-INT((WEEKDAY(C89-1)+D89-C89)/7)-IF(Ayarlar!$C$5=1,0,INT((WEEKDAY(C89-7)+D89-C89)/7))-SUMPRODUCT((Ayarlar!$E$5:$E$24&gt;=C89)*(Ayarlar!$E$5:$E$24&lt;=D89)*(WEEKDAY(Ayarlar!$E$5:$E$24,2)&lt;IF(Ayarlar!$C$5=1,7,6))),D89-C89+1))</f>
        <v/>
      </c>
      <c r="G89" s="16" t="str">
        <f aca="false">IF(A89="","",IF(OR(B89="",C89="",D89=""),"Eksik bilgi",IF(D89&lt;C89,"Bitiş başlangıçtan önce","OK")))</f>
        <v/>
      </c>
    </row>
    <row r="90" customFormat="false" ht="15" hidden="false" customHeight="false" outlineLevel="0" collapsed="false">
      <c r="A90" s="12"/>
      <c r="B90" s="13"/>
      <c r="C90" s="14"/>
      <c r="D90" s="14"/>
      <c r="E90" s="12"/>
      <c r="F90" s="15" t="str">
        <f aca="false">IF(OR(C90="",D90="",D90&lt;C90),"",IF(B90="Yıllık izin",D90-C90+1-INT((WEEKDAY(C90-1)+D90-C90)/7)-IF(Ayarlar!$C$5=1,0,INT((WEEKDAY(C90-7)+D90-C90)/7))-SUMPRODUCT((Ayarlar!$E$5:$E$24&gt;=C90)*(Ayarlar!$E$5:$E$24&lt;=D90)*(WEEKDAY(Ayarlar!$E$5:$E$24,2)&lt;IF(Ayarlar!$C$5=1,7,6))),D90-C90+1))</f>
        <v/>
      </c>
      <c r="G90" s="16" t="str">
        <f aca="false">IF(A90="","",IF(OR(B90="",C90="",D90=""),"Eksik bilgi",IF(D90&lt;C90,"Bitiş başlangıçtan önce","OK")))</f>
        <v/>
      </c>
    </row>
    <row r="91" customFormat="false" ht="15" hidden="false" customHeight="false" outlineLevel="0" collapsed="false">
      <c r="A91" s="12"/>
      <c r="B91" s="13"/>
      <c r="C91" s="14"/>
      <c r="D91" s="14"/>
      <c r="E91" s="12"/>
      <c r="F91" s="15" t="str">
        <f aca="false">IF(OR(C91="",D91="",D91&lt;C91),"",IF(B91="Yıllık izin",D91-C91+1-INT((WEEKDAY(C91-1)+D91-C91)/7)-IF(Ayarlar!$C$5=1,0,INT((WEEKDAY(C91-7)+D91-C91)/7))-SUMPRODUCT((Ayarlar!$E$5:$E$24&gt;=C91)*(Ayarlar!$E$5:$E$24&lt;=D91)*(WEEKDAY(Ayarlar!$E$5:$E$24,2)&lt;IF(Ayarlar!$C$5=1,7,6))),D91-C91+1))</f>
        <v/>
      </c>
      <c r="G91" s="16" t="str">
        <f aca="false">IF(A91="","",IF(OR(B91="",C91="",D91=""),"Eksik bilgi",IF(D91&lt;C91,"Bitiş başlangıçtan önce","OK")))</f>
        <v/>
      </c>
    </row>
    <row r="92" customFormat="false" ht="15" hidden="false" customHeight="false" outlineLevel="0" collapsed="false">
      <c r="A92" s="12"/>
      <c r="B92" s="13"/>
      <c r="C92" s="14"/>
      <c r="D92" s="14"/>
      <c r="E92" s="12"/>
      <c r="F92" s="15" t="str">
        <f aca="false">IF(OR(C92="",D92="",D92&lt;C92),"",IF(B92="Yıllık izin",D92-C92+1-INT((WEEKDAY(C92-1)+D92-C92)/7)-IF(Ayarlar!$C$5=1,0,INT((WEEKDAY(C92-7)+D92-C92)/7))-SUMPRODUCT((Ayarlar!$E$5:$E$24&gt;=C92)*(Ayarlar!$E$5:$E$24&lt;=D92)*(WEEKDAY(Ayarlar!$E$5:$E$24,2)&lt;IF(Ayarlar!$C$5=1,7,6))),D92-C92+1))</f>
        <v/>
      </c>
      <c r="G92" s="16" t="str">
        <f aca="false">IF(A92="","",IF(OR(B92="",C92="",D92=""),"Eksik bilgi",IF(D92&lt;C92,"Bitiş başlangıçtan önce","OK")))</f>
        <v/>
      </c>
    </row>
    <row r="93" customFormat="false" ht="15" hidden="false" customHeight="false" outlineLevel="0" collapsed="false">
      <c r="A93" s="12"/>
      <c r="B93" s="13"/>
      <c r="C93" s="14"/>
      <c r="D93" s="14"/>
      <c r="E93" s="12"/>
      <c r="F93" s="15" t="str">
        <f aca="false">IF(OR(C93="",D93="",D93&lt;C93),"",IF(B93="Yıllık izin",D93-C93+1-INT((WEEKDAY(C93-1)+D93-C93)/7)-IF(Ayarlar!$C$5=1,0,INT((WEEKDAY(C93-7)+D93-C93)/7))-SUMPRODUCT((Ayarlar!$E$5:$E$24&gt;=C93)*(Ayarlar!$E$5:$E$24&lt;=D93)*(WEEKDAY(Ayarlar!$E$5:$E$24,2)&lt;IF(Ayarlar!$C$5=1,7,6))),D93-C93+1))</f>
        <v/>
      </c>
      <c r="G93" s="16" t="str">
        <f aca="false">IF(A93="","",IF(OR(B93="",C93="",D93=""),"Eksik bilgi",IF(D93&lt;C93,"Bitiş başlangıçtan önce","OK")))</f>
        <v/>
      </c>
    </row>
    <row r="94" customFormat="false" ht="15" hidden="false" customHeight="false" outlineLevel="0" collapsed="false">
      <c r="A94" s="12"/>
      <c r="B94" s="13"/>
      <c r="C94" s="14"/>
      <c r="D94" s="14"/>
      <c r="E94" s="12"/>
      <c r="F94" s="15" t="str">
        <f aca="false">IF(OR(C94="",D94="",D94&lt;C94),"",IF(B94="Yıllık izin",D94-C94+1-INT((WEEKDAY(C94-1)+D94-C94)/7)-IF(Ayarlar!$C$5=1,0,INT((WEEKDAY(C94-7)+D94-C94)/7))-SUMPRODUCT((Ayarlar!$E$5:$E$24&gt;=C94)*(Ayarlar!$E$5:$E$24&lt;=D94)*(WEEKDAY(Ayarlar!$E$5:$E$24,2)&lt;IF(Ayarlar!$C$5=1,7,6))),D94-C94+1))</f>
        <v/>
      </c>
      <c r="G94" s="16" t="str">
        <f aca="false">IF(A94="","",IF(OR(B94="",C94="",D94=""),"Eksik bilgi",IF(D94&lt;C94,"Bitiş başlangıçtan önce","OK")))</f>
        <v/>
      </c>
    </row>
    <row r="95" customFormat="false" ht="15" hidden="false" customHeight="false" outlineLevel="0" collapsed="false">
      <c r="A95" s="12"/>
      <c r="B95" s="13"/>
      <c r="C95" s="14"/>
      <c r="D95" s="14"/>
      <c r="E95" s="12"/>
      <c r="F95" s="15" t="str">
        <f aca="false">IF(OR(C95="",D95="",D95&lt;C95),"",IF(B95="Yıllık izin",D95-C95+1-INT((WEEKDAY(C95-1)+D95-C95)/7)-IF(Ayarlar!$C$5=1,0,INT((WEEKDAY(C95-7)+D95-C95)/7))-SUMPRODUCT((Ayarlar!$E$5:$E$24&gt;=C95)*(Ayarlar!$E$5:$E$24&lt;=D95)*(WEEKDAY(Ayarlar!$E$5:$E$24,2)&lt;IF(Ayarlar!$C$5=1,7,6))),D95-C95+1))</f>
        <v/>
      </c>
      <c r="G95" s="16" t="str">
        <f aca="false">IF(A95="","",IF(OR(B95="",C95="",D95=""),"Eksik bilgi",IF(D95&lt;C95,"Bitiş başlangıçtan önce","OK")))</f>
        <v/>
      </c>
    </row>
    <row r="96" customFormat="false" ht="15" hidden="false" customHeight="false" outlineLevel="0" collapsed="false">
      <c r="A96" s="12"/>
      <c r="B96" s="13"/>
      <c r="C96" s="14"/>
      <c r="D96" s="14"/>
      <c r="E96" s="12"/>
      <c r="F96" s="15" t="str">
        <f aca="false">IF(OR(C96="",D96="",D96&lt;C96),"",IF(B96="Yıllık izin",D96-C96+1-INT((WEEKDAY(C96-1)+D96-C96)/7)-IF(Ayarlar!$C$5=1,0,INT((WEEKDAY(C96-7)+D96-C96)/7))-SUMPRODUCT((Ayarlar!$E$5:$E$24&gt;=C96)*(Ayarlar!$E$5:$E$24&lt;=D96)*(WEEKDAY(Ayarlar!$E$5:$E$24,2)&lt;IF(Ayarlar!$C$5=1,7,6))),D96-C96+1))</f>
        <v/>
      </c>
      <c r="G96" s="16" t="str">
        <f aca="false">IF(A96="","",IF(OR(B96="",C96="",D96=""),"Eksik bilgi",IF(D96&lt;C96,"Bitiş başlangıçtan önce","OK")))</f>
        <v/>
      </c>
    </row>
    <row r="97" customFormat="false" ht="15" hidden="false" customHeight="false" outlineLevel="0" collapsed="false">
      <c r="A97" s="12"/>
      <c r="B97" s="13"/>
      <c r="C97" s="14"/>
      <c r="D97" s="14"/>
      <c r="E97" s="12"/>
      <c r="F97" s="15" t="str">
        <f aca="false">IF(OR(C97="",D97="",D97&lt;C97),"",IF(B97="Yıllık izin",D97-C97+1-INT((WEEKDAY(C97-1)+D97-C97)/7)-IF(Ayarlar!$C$5=1,0,INT((WEEKDAY(C97-7)+D97-C97)/7))-SUMPRODUCT((Ayarlar!$E$5:$E$24&gt;=C97)*(Ayarlar!$E$5:$E$24&lt;=D97)*(WEEKDAY(Ayarlar!$E$5:$E$24,2)&lt;IF(Ayarlar!$C$5=1,7,6))),D97-C97+1))</f>
        <v/>
      </c>
      <c r="G97" s="16" t="str">
        <f aca="false">IF(A97="","",IF(OR(B97="",C97="",D97=""),"Eksik bilgi",IF(D97&lt;C97,"Bitiş başlangıçtan önce","OK")))</f>
        <v/>
      </c>
    </row>
    <row r="98" customFormat="false" ht="15" hidden="false" customHeight="false" outlineLevel="0" collapsed="false">
      <c r="A98" s="12"/>
      <c r="B98" s="13"/>
      <c r="C98" s="14"/>
      <c r="D98" s="14"/>
      <c r="E98" s="12"/>
      <c r="F98" s="15" t="str">
        <f aca="false">IF(OR(C98="",D98="",D98&lt;C98),"",IF(B98="Yıllık izin",D98-C98+1-INT((WEEKDAY(C98-1)+D98-C98)/7)-IF(Ayarlar!$C$5=1,0,INT((WEEKDAY(C98-7)+D98-C98)/7))-SUMPRODUCT((Ayarlar!$E$5:$E$24&gt;=C98)*(Ayarlar!$E$5:$E$24&lt;=D98)*(WEEKDAY(Ayarlar!$E$5:$E$24,2)&lt;IF(Ayarlar!$C$5=1,7,6))),D98-C98+1))</f>
        <v/>
      </c>
      <c r="G98" s="16" t="str">
        <f aca="false">IF(A98="","",IF(OR(B98="",C98="",D98=""),"Eksik bilgi",IF(D98&lt;C98,"Bitiş başlangıçtan önce","OK")))</f>
        <v/>
      </c>
    </row>
    <row r="99" customFormat="false" ht="15" hidden="false" customHeight="false" outlineLevel="0" collapsed="false">
      <c r="A99" s="12"/>
      <c r="B99" s="13"/>
      <c r="C99" s="14"/>
      <c r="D99" s="14"/>
      <c r="E99" s="12"/>
      <c r="F99" s="15" t="str">
        <f aca="false">IF(OR(C99="",D99="",D99&lt;C99),"",IF(B99="Yıllık izin",D99-C99+1-INT((WEEKDAY(C99-1)+D99-C99)/7)-IF(Ayarlar!$C$5=1,0,INT((WEEKDAY(C99-7)+D99-C99)/7))-SUMPRODUCT((Ayarlar!$E$5:$E$24&gt;=C99)*(Ayarlar!$E$5:$E$24&lt;=D99)*(WEEKDAY(Ayarlar!$E$5:$E$24,2)&lt;IF(Ayarlar!$C$5=1,7,6))),D99-C99+1))</f>
        <v/>
      </c>
      <c r="G99" s="16" t="str">
        <f aca="false">IF(A99="","",IF(OR(B99="",C99="",D99=""),"Eksik bilgi",IF(D99&lt;C99,"Bitiş başlangıçtan önce","OK")))</f>
        <v/>
      </c>
    </row>
    <row r="100" customFormat="false" ht="15" hidden="false" customHeight="false" outlineLevel="0" collapsed="false">
      <c r="A100" s="12"/>
      <c r="B100" s="13"/>
      <c r="C100" s="14"/>
      <c r="D100" s="14"/>
      <c r="E100" s="12"/>
      <c r="F100" s="15" t="str">
        <f aca="false">IF(OR(C100="",D100="",D100&lt;C100),"",IF(B100="Yıllık izin",D100-C100+1-INT((WEEKDAY(C100-1)+D100-C100)/7)-IF(Ayarlar!$C$5=1,0,INT((WEEKDAY(C100-7)+D100-C100)/7))-SUMPRODUCT((Ayarlar!$E$5:$E$24&gt;=C100)*(Ayarlar!$E$5:$E$24&lt;=D100)*(WEEKDAY(Ayarlar!$E$5:$E$24,2)&lt;IF(Ayarlar!$C$5=1,7,6))),D100-C100+1))</f>
        <v/>
      </c>
      <c r="G100" s="16" t="str">
        <f aca="false">IF(A100="","",IF(OR(B100="",C100="",D100=""),"Eksik bilgi",IF(D100&lt;C100,"Bitiş başlangıçtan önce","OK")))</f>
        <v/>
      </c>
    </row>
    <row r="101" customFormat="false" ht="15" hidden="false" customHeight="false" outlineLevel="0" collapsed="false">
      <c r="A101" s="12"/>
      <c r="B101" s="13"/>
      <c r="C101" s="14"/>
      <c r="D101" s="14"/>
      <c r="E101" s="12"/>
      <c r="F101" s="15" t="str">
        <f aca="false">IF(OR(C101="",D101="",D101&lt;C101),"",IF(B101="Yıllık izin",D101-C101+1-INT((WEEKDAY(C101-1)+D101-C101)/7)-IF(Ayarlar!$C$5=1,0,INT((WEEKDAY(C101-7)+D101-C101)/7))-SUMPRODUCT((Ayarlar!$E$5:$E$24&gt;=C101)*(Ayarlar!$E$5:$E$24&lt;=D101)*(WEEKDAY(Ayarlar!$E$5:$E$24,2)&lt;IF(Ayarlar!$C$5=1,7,6))),D101-C101+1))</f>
        <v/>
      </c>
      <c r="G101" s="16" t="str">
        <f aca="false">IF(A101="","",IF(OR(B101="",C101="",D101=""),"Eksik bilgi",IF(D101&lt;C101,"Bitiş başlangıçtan önce","OK")))</f>
        <v/>
      </c>
    </row>
    <row r="102" customFormat="false" ht="15" hidden="false" customHeight="false" outlineLevel="0" collapsed="false">
      <c r="A102" s="12"/>
      <c r="B102" s="13"/>
      <c r="C102" s="14"/>
      <c r="D102" s="14"/>
      <c r="E102" s="12"/>
      <c r="F102" s="15" t="str">
        <f aca="false">IF(OR(C102="",D102="",D102&lt;C102),"",IF(B102="Yıllık izin",D102-C102+1-INT((WEEKDAY(C102-1)+D102-C102)/7)-IF(Ayarlar!$C$5=1,0,INT((WEEKDAY(C102-7)+D102-C102)/7))-SUMPRODUCT((Ayarlar!$E$5:$E$24&gt;=C102)*(Ayarlar!$E$5:$E$24&lt;=D102)*(WEEKDAY(Ayarlar!$E$5:$E$24,2)&lt;IF(Ayarlar!$C$5=1,7,6))),D102-C102+1))</f>
        <v/>
      </c>
      <c r="G102" s="16" t="str">
        <f aca="false">IF(A102="","",IF(OR(B102="",C102="",D102=""),"Eksik bilgi",IF(D102&lt;C102,"Bitiş başlangıçtan önce","OK")))</f>
        <v/>
      </c>
    </row>
    <row r="103" customFormat="false" ht="15" hidden="false" customHeight="false" outlineLevel="0" collapsed="false">
      <c r="A103" s="12"/>
      <c r="B103" s="13"/>
      <c r="C103" s="14"/>
      <c r="D103" s="14"/>
      <c r="E103" s="12"/>
      <c r="F103" s="15" t="str">
        <f aca="false">IF(OR(C103="",D103="",D103&lt;C103),"",IF(B103="Yıllık izin",D103-C103+1-INT((WEEKDAY(C103-1)+D103-C103)/7)-IF(Ayarlar!$C$5=1,0,INT((WEEKDAY(C103-7)+D103-C103)/7))-SUMPRODUCT((Ayarlar!$E$5:$E$24&gt;=C103)*(Ayarlar!$E$5:$E$24&lt;=D103)*(WEEKDAY(Ayarlar!$E$5:$E$24,2)&lt;IF(Ayarlar!$C$5=1,7,6))),D103-C103+1))</f>
        <v/>
      </c>
      <c r="G103" s="16" t="str">
        <f aca="false">IF(A103="","",IF(OR(B103="",C103="",D103=""),"Eksik bilgi",IF(D103&lt;C103,"Bitiş başlangıçtan önce","OK")))</f>
        <v/>
      </c>
    </row>
    <row r="104" customFormat="false" ht="15" hidden="false" customHeight="false" outlineLevel="0" collapsed="false">
      <c r="A104" s="12"/>
      <c r="B104" s="13"/>
      <c r="C104" s="14"/>
      <c r="D104" s="14"/>
      <c r="E104" s="12"/>
      <c r="F104" s="15" t="str">
        <f aca="false">IF(OR(C104="",D104="",D104&lt;C104),"",IF(B104="Yıllık izin",D104-C104+1-INT((WEEKDAY(C104-1)+D104-C104)/7)-IF(Ayarlar!$C$5=1,0,INT((WEEKDAY(C104-7)+D104-C104)/7))-SUMPRODUCT((Ayarlar!$E$5:$E$24&gt;=C104)*(Ayarlar!$E$5:$E$24&lt;=D104)*(WEEKDAY(Ayarlar!$E$5:$E$24,2)&lt;IF(Ayarlar!$C$5=1,7,6))),D104-C104+1))</f>
        <v/>
      </c>
      <c r="G104" s="16" t="str">
        <f aca="false">IF(A104="","",IF(OR(B104="",C104="",D104=""),"Eksik bilgi",IF(D104&lt;C104,"Bitiş başlangıçtan önce","OK")))</f>
        <v/>
      </c>
    </row>
    <row r="105" customFormat="false" ht="15" hidden="false" customHeight="false" outlineLevel="0" collapsed="false">
      <c r="A105" s="12"/>
      <c r="B105" s="13"/>
      <c r="C105" s="14"/>
      <c r="D105" s="14"/>
      <c r="E105" s="12"/>
      <c r="F105" s="15" t="str">
        <f aca="false">IF(OR(C105="",D105="",D105&lt;C105),"",IF(B105="Yıllık izin",D105-C105+1-INT((WEEKDAY(C105-1)+D105-C105)/7)-IF(Ayarlar!$C$5=1,0,INT((WEEKDAY(C105-7)+D105-C105)/7))-SUMPRODUCT((Ayarlar!$E$5:$E$24&gt;=C105)*(Ayarlar!$E$5:$E$24&lt;=D105)*(WEEKDAY(Ayarlar!$E$5:$E$24,2)&lt;IF(Ayarlar!$C$5=1,7,6))),D105-C105+1))</f>
        <v/>
      </c>
      <c r="G105" s="16" t="str">
        <f aca="false">IF(A105="","",IF(OR(B105="",C105="",D105=""),"Eksik bilgi",IF(D105&lt;C105,"Bitiş başlangıçtan önce","OK")))</f>
        <v/>
      </c>
    </row>
    <row r="106" customFormat="false" ht="15" hidden="false" customHeight="false" outlineLevel="0" collapsed="false">
      <c r="A106" s="12"/>
      <c r="B106" s="13"/>
      <c r="C106" s="14"/>
      <c r="D106" s="14"/>
      <c r="E106" s="12"/>
      <c r="F106" s="15" t="str">
        <f aca="false">IF(OR(C106="",D106="",D106&lt;C106),"",IF(B106="Yıllık izin",D106-C106+1-INT((WEEKDAY(C106-1)+D106-C106)/7)-IF(Ayarlar!$C$5=1,0,INT((WEEKDAY(C106-7)+D106-C106)/7))-SUMPRODUCT((Ayarlar!$E$5:$E$24&gt;=C106)*(Ayarlar!$E$5:$E$24&lt;=D106)*(WEEKDAY(Ayarlar!$E$5:$E$24,2)&lt;IF(Ayarlar!$C$5=1,7,6))),D106-C106+1))</f>
        <v/>
      </c>
      <c r="G106" s="16" t="str">
        <f aca="false">IF(A106="","",IF(OR(B106="",C106="",D106=""),"Eksik bilgi",IF(D106&lt;C106,"Bitiş başlangıçtan önce","OK")))</f>
        <v/>
      </c>
    </row>
    <row r="107" customFormat="false" ht="15" hidden="false" customHeight="false" outlineLevel="0" collapsed="false">
      <c r="A107" s="12"/>
      <c r="B107" s="13"/>
      <c r="C107" s="14"/>
      <c r="D107" s="14"/>
      <c r="E107" s="12"/>
      <c r="F107" s="15" t="str">
        <f aca="false">IF(OR(C107="",D107="",D107&lt;C107),"",IF(B107="Yıllık izin",D107-C107+1-INT((WEEKDAY(C107-1)+D107-C107)/7)-IF(Ayarlar!$C$5=1,0,INT((WEEKDAY(C107-7)+D107-C107)/7))-SUMPRODUCT((Ayarlar!$E$5:$E$24&gt;=C107)*(Ayarlar!$E$5:$E$24&lt;=D107)*(WEEKDAY(Ayarlar!$E$5:$E$24,2)&lt;IF(Ayarlar!$C$5=1,7,6))),D107-C107+1))</f>
        <v/>
      </c>
      <c r="G107" s="16" t="str">
        <f aca="false">IF(A107="","",IF(OR(B107="",C107="",D107=""),"Eksik bilgi",IF(D107&lt;C107,"Bitiş başlangıçtan önce","OK")))</f>
        <v/>
      </c>
    </row>
    <row r="108" customFormat="false" ht="15" hidden="false" customHeight="false" outlineLevel="0" collapsed="false">
      <c r="A108" s="12"/>
      <c r="B108" s="13"/>
      <c r="C108" s="14"/>
      <c r="D108" s="14"/>
      <c r="E108" s="12"/>
      <c r="F108" s="15" t="str">
        <f aca="false">IF(OR(C108="",D108="",D108&lt;C108),"",IF(B108="Yıllık izin",D108-C108+1-INT((WEEKDAY(C108-1)+D108-C108)/7)-IF(Ayarlar!$C$5=1,0,INT((WEEKDAY(C108-7)+D108-C108)/7))-SUMPRODUCT((Ayarlar!$E$5:$E$24&gt;=C108)*(Ayarlar!$E$5:$E$24&lt;=D108)*(WEEKDAY(Ayarlar!$E$5:$E$24,2)&lt;IF(Ayarlar!$C$5=1,7,6))),D108-C108+1))</f>
        <v/>
      </c>
      <c r="G108" s="16" t="str">
        <f aca="false">IF(A108="","",IF(OR(B108="",C108="",D108=""),"Eksik bilgi",IF(D108&lt;C108,"Bitiş başlangıçtan önce","OK")))</f>
        <v/>
      </c>
    </row>
    <row r="109" customFormat="false" ht="15" hidden="false" customHeight="false" outlineLevel="0" collapsed="false">
      <c r="A109" s="12"/>
      <c r="B109" s="13"/>
      <c r="C109" s="14"/>
      <c r="D109" s="14"/>
      <c r="E109" s="12"/>
      <c r="F109" s="15" t="str">
        <f aca="false">IF(OR(C109="",D109="",D109&lt;C109),"",IF(B109="Yıllık izin",D109-C109+1-INT((WEEKDAY(C109-1)+D109-C109)/7)-IF(Ayarlar!$C$5=1,0,INT((WEEKDAY(C109-7)+D109-C109)/7))-SUMPRODUCT((Ayarlar!$E$5:$E$24&gt;=C109)*(Ayarlar!$E$5:$E$24&lt;=D109)*(WEEKDAY(Ayarlar!$E$5:$E$24,2)&lt;IF(Ayarlar!$C$5=1,7,6))),D109-C109+1))</f>
        <v/>
      </c>
      <c r="G109" s="16" t="str">
        <f aca="false">IF(A109="","",IF(OR(B109="",C109="",D109=""),"Eksik bilgi",IF(D109&lt;C109,"Bitiş başlangıçtan önce","OK")))</f>
        <v/>
      </c>
    </row>
    <row r="110" customFormat="false" ht="15" hidden="false" customHeight="false" outlineLevel="0" collapsed="false">
      <c r="A110" s="12"/>
      <c r="B110" s="13"/>
      <c r="C110" s="14"/>
      <c r="D110" s="14"/>
      <c r="E110" s="12"/>
      <c r="F110" s="15" t="str">
        <f aca="false">IF(OR(C110="",D110="",D110&lt;C110),"",IF(B110="Yıllık izin",D110-C110+1-INT((WEEKDAY(C110-1)+D110-C110)/7)-IF(Ayarlar!$C$5=1,0,INT((WEEKDAY(C110-7)+D110-C110)/7))-SUMPRODUCT((Ayarlar!$E$5:$E$24&gt;=C110)*(Ayarlar!$E$5:$E$24&lt;=D110)*(WEEKDAY(Ayarlar!$E$5:$E$24,2)&lt;IF(Ayarlar!$C$5=1,7,6))),D110-C110+1))</f>
        <v/>
      </c>
      <c r="G110" s="16" t="str">
        <f aca="false">IF(A110="","",IF(OR(B110="",C110="",D110=""),"Eksik bilgi",IF(D110&lt;C110,"Bitiş başlangıçtan önce","OK")))</f>
        <v/>
      </c>
    </row>
    <row r="111" customFormat="false" ht="15" hidden="false" customHeight="false" outlineLevel="0" collapsed="false">
      <c r="A111" s="12"/>
      <c r="B111" s="13"/>
      <c r="C111" s="14"/>
      <c r="D111" s="14"/>
      <c r="E111" s="12"/>
      <c r="F111" s="15" t="str">
        <f aca="false">IF(OR(C111="",D111="",D111&lt;C111),"",IF(B111="Yıllık izin",D111-C111+1-INT((WEEKDAY(C111-1)+D111-C111)/7)-IF(Ayarlar!$C$5=1,0,INT((WEEKDAY(C111-7)+D111-C111)/7))-SUMPRODUCT((Ayarlar!$E$5:$E$24&gt;=C111)*(Ayarlar!$E$5:$E$24&lt;=D111)*(WEEKDAY(Ayarlar!$E$5:$E$24,2)&lt;IF(Ayarlar!$C$5=1,7,6))),D111-C111+1))</f>
        <v/>
      </c>
      <c r="G111" s="16" t="str">
        <f aca="false">IF(A111="","",IF(OR(B111="",C111="",D111=""),"Eksik bilgi",IF(D111&lt;C111,"Bitiş başlangıçtan önce","OK")))</f>
        <v/>
      </c>
    </row>
    <row r="112" customFormat="false" ht="15" hidden="false" customHeight="false" outlineLevel="0" collapsed="false">
      <c r="A112" s="12"/>
      <c r="B112" s="13"/>
      <c r="C112" s="14"/>
      <c r="D112" s="14"/>
      <c r="E112" s="12"/>
      <c r="F112" s="15" t="str">
        <f aca="false">IF(OR(C112="",D112="",D112&lt;C112),"",IF(B112="Yıllık izin",D112-C112+1-INT((WEEKDAY(C112-1)+D112-C112)/7)-IF(Ayarlar!$C$5=1,0,INT((WEEKDAY(C112-7)+D112-C112)/7))-SUMPRODUCT((Ayarlar!$E$5:$E$24&gt;=C112)*(Ayarlar!$E$5:$E$24&lt;=D112)*(WEEKDAY(Ayarlar!$E$5:$E$24,2)&lt;IF(Ayarlar!$C$5=1,7,6))),D112-C112+1))</f>
        <v/>
      </c>
      <c r="G112" s="16" t="str">
        <f aca="false">IF(A112="","",IF(OR(B112="",C112="",D112=""),"Eksik bilgi",IF(D112&lt;C112,"Bitiş başlangıçtan önce","OK")))</f>
        <v/>
      </c>
    </row>
    <row r="113" customFormat="false" ht="15" hidden="false" customHeight="false" outlineLevel="0" collapsed="false">
      <c r="A113" s="12"/>
      <c r="B113" s="13"/>
      <c r="C113" s="14"/>
      <c r="D113" s="14"/>
      <c r="E113" s="12"/>
      <c r="F113" s="15" t="str">
        <f aca="false">IF(OR(C113="",D113="",D113&lt;C113),"",IF(B113="Yıllık izin",D113-C113+1-INT((WEEKDAY(C113-1)+D113-C113)/7)-IF(Ayarlar!$C$5=1,0,INT((WEEKDAY(C113-7)+D113-C113)/7))-SUMPRODUCT((Ayarlar!$E$5:$E$24&gt;=C113)*(Ayarlar!$E$5:$E$24&lt;=D113)*(WEEKDAY(Ayarlar!$E$5:$E$24,2)&lt;IF(Ayarlar!$C$5=1,7,6))),D113-C113+1))</f>
        <v/>
      </c>
      <c r="G113" s="16" t="str">
        <f aca="false">IF(A113="","",IF(OR(B113="",C113="",D113=""),"Eksik bilgi",IF(D113&lt;C113,"Bitiş başlangıçtan önce","OK")))</f>
        <v/>
      </c>
    </row>
    <row r="114" customFormat="false" ht="15" hidden="false" customHeight="false" outlineLevel="0" collapsed="false">
      <c r="A114" s="12"/>
      <c r="B114" s="13"/>
      <c r="C114" s="14"/>
      <c r="D114" s="14"/>
      <c r="E114" s="12"/>
      <c r="F114" s="15" t="str">
        <f aca="false">IF(OR(C114="",D114="",D114&lt;C114),"",IF(B114="Yıllık izin",D114-C114+1-INT((WEEKDAY(C114-1)+D114-C114)/7)-IF(Ayarlar!$C$5=1,0,INT((WEEKDAY(C114-7)+D114-C114)/7))-SUMPRODUCT((Ayarlar!$E$5:$E$24&gt;=C114)*(Ayarlar!$E$5:$E$24&lt;=D114)*(WEEKDAY(Ayarlar!$E$5:$E$24,2)&lt;IF(Ayarlar!$C$5=1,7,6))),D114-C114+1))</f>
        <v/>
      </c>
      <c r="G114" s="16" t="str">
        <f aca="false">IF(A114="","",IF(OR(B114="",C114="",D114=""),"Eksik bilgi",IF(D114&lt;C114,"Bitiş başlangıçtan önce","OK")))</f>
        <v/>
      </c>
    </row>
    <row r="115" customFormat="false" ht="15" hidden="false" customHeight="false" outlineLevel="0" collapsed="false">
      <c r="A115" s="12"/>
      <c r="B115" s="13"/>
      <c r="C115" s="14"/>
      <c r="D115" s="14"/>
      <c r="E115" s="12"/>
      <c r="F115" s="15" t="str">
        <f aca="false">IF(OR(C115="",D115="",D115&lt;C115),"",IF(B115="Yıllık izin",D115-C115+1-INT((WEEKDAY(C115-1)+D115-C115)/7)-IF(Ayarlar!$C$5=1,0,INT((WEEKDAY(C115-7)+D115-C115)/7))-SUMPRODUCT((Ayarlar!$E$5:$E$24&gt;=C115)*(Ayarlar!$E$5:$E$24&lt;=D115)*(WEEKDAY(Ayarlar!$E$5:$E$24,2)&lt;IF(Ayarlar!$C$5=1,7,6))),D115-C115+1))</f>
        <v/>
      </c>
      <c r="G115" s="16" t="str">
        <f aca="false">IF(A115="","",IF(OR(B115="",C115="",D115=""),"Eksik bilgi",IF(D115&lt;C115,"Bitiş başlangıçtan önce","OK")))</f>
        <v/>
      </c>
    </row>
    <row r="116" customFormat="false" ht="15" hidden="false" customHeight="false" outlineLevel="0" collapsed="false">
      <c r="A116" s="12"/>
      <c r="B116" s="13"/>
      <c r="C116" s="14"/>
      <c r="D116" s="14"/>
      <c r="E116" s="12"/>
      <c r="F116" s="15" t="str">
        <f aca="false">IF(OR(C116="",D116="",D116&lt;C116),"",IF(B116="Yıllık izin",D116-C116+1-INT((WEEKDAY(C116-1)+D116-C116)/7)-IF(Ayarlar!$C$5=1,0,INT((WEEKDAY(C116-7)+D116-C116)/7))-SUMPRODUCT((Ayarlar!$E$5:$E$24&gt;=C116)*(Ayarlar!$E$5:$E$24&lt;=D116)*(WEEKDAY(Ayarlar!$E$5:$E$24,2)&lt;IF(Ayarlar!$C$5=1,7,6))),D116-C116+1))</f>
        <v/>
      </c>
      <c r="G116" s="16" t="str">
        <f aca="false">IF(A116="","",IF(OR(B116="",C116="",D116=""),"Eksik bilgi",IF(D116&lt;C116,"Bitiş başlangıçtan önce","OK")))</f>
        <v/>
      </c>
    </row>
    <row r="117" customFormat="false" ht="15" hidden="false" customHeight="false" outlineLevel="0" collapsed="false">
      <c r="A117" s="12"/>
      <c r="B117" s="13"/>
      <c r="C117" s="14"/>
      <c r="D117" s="14"/>
      <c r="E117" s="12"/>
      <c r="F117" s="15" t="str">
        <f aca="false">IF(OR(C117="",D117="",D117&lt;C117),"",IF(B117="Yıllık izin",D117-C117+1-INT((WEEKDAY(C117-1)+D117-C117)/7)-IF(Ayarlar!$C$5=1,0,INT((WEEKDAY(C117-7)+D117-C117)/7))-SUMPRODUCT((Ayarlar!$E$5:$E$24&gt;=C117)*(Ayarlar!$E$5:$E$24&lt;=D117)*(WEEKDAY(Ayarlar!$E$5:$E$24,2)&lt;IF(Ayarlar!$C$5=1,7,6))),D117-C117+1))</f>
        <v/>
      </c>
      <c r="G117" s="16" t="str">
        <f aca="false">IF(A117="","",IF(OR(B117="",C117="",D117=""),"Eksik bilgi",IF(D117&lt;C117,"Bitiş başlangıçtan önce","OK")))</f>
        <v/>
      </c>
    </row>
    <row r="118" customFormat="false" ht="15" hidden="false" customHeight="false" outlineLevel="0" collapsed="false">
      <c r="A118" s="12"/>
      <c r="B118" s="13"/>
      <c r="C118" s="14"/>
      <c r="D118" s="14"/>
      <c r="E118" s="12"/>
      <c r="F118" s="15" t="str">
        <f aca="false">IF(OR(C118="",D118="",D118&lt;C118),"",IF(B118="Yıllık izin",D118-C118+1-INT((WEEKDAY(C118-1)+D118-C118)/7)-IF(Ayarlar!$C$5=1,0,INT((WEEKDAY(C118-7)+D118-C118)/7))-SUMPRODUCT((Ayarlar!$E$5:$E$24&gt;=C118)*(Ayarlar!$E$5:$E$24&lt;=D118)*(WEEKDAY(Ayarlar!$E$5:$E$24,2)&lt;IF(Ayarlar!$C$5=1,7,6))),D118-C118+1))</f>
        <v/>
      </c>
      <c r="G118" s="16" t="str">
        <f aca="false">IF(A118="","",IF(OR(B118="",C118="",D118=""),"Eksik bilgi",IF(D118&lt;C118,"Bitiş başlangıçtan önce","OK")))</f>
        <v/>
      </c>
    </row>
    <row r="119" customFormat="false" ht="15" hidden="false" customHeight="false" outlineLevel="0" collapsed="false">
      <c r="A119" s="12"/>
      <c r="B119" s="13"/>
      <c r="C119" s="14"/>
      <c r="D119" s="14"/>
      <c r="E119" s="12"/>
      <c r="F119" s="15" t="str">
        <f aca="false">IF(OR(C119="",D119="",D119&lt;C119),"",IF(B119="Yıllık izin",D119-C119+1-INT((WEEKDAY(C119-1)+D119-C119)/7)-IF(Ayarlar!$C$5=1,0,INT((WEEKDAY(C119-7)+D119-C119)/7))-SUMPRODUCT((Ayarlar!$E$5:$E$24&gt;=C119)*(Ayarlar!$E$5:$E$24&lt;=D119)*(WEEKDAY(Ayarlar!$E$5:$E$24,2)&lt;IF(Ayarlar!$C$5=1,7,6))),D119-C119+1))</f>
        <v/>
      </c>
      <c r="G119" s="16" t="str">
        <f aca="false">IF(A119="","",IF(OR(B119="",C119="",D119=""),"Eksik bilgi",IF(D119&lt;C119,"Bitiş başlangıçtan önce","OK")))</f>
        <v/>
      </c>
    </row>
    <row r="120" customFormat="false" ht="15" hidden="false" customHeight="false" outlineLevel="0" collapsed="false">
      <c r="A120" s="12"/>
      <c r="B120" s="13"/>
      <c r="C120" s="14"/>
      <c r="D120" s="14"/>
      <c r="E120" s="12"/>
      <c r="F120" s="15" t="str">
        <f aca="false">IF(OR(C120="",D120="",D120&lt;C120),"",IF(B120="Yıllık izin",D120-C120+1-INT((WEEKDAY(C120-1)+D120-C120)/7)-IF(Ayarlar!$C$5=1,0,INT((WEEKDAY(C120-7)+D120-C120)/7))-SUMPRODUCT((Ayarlar!$E$5:$E$24&gt;=C120)*(Ayarlar!$E$5:$E$24&lt;=D120)*(WEEKDAY(Ayarlar!$E$5:$E$24,2)&lt;IF(Ayarlar!$C$5=1,7,6))),D120-C120+1))</f>
        <v/>
      </c>
      <c r="G120" s="16" t="str">
        <f aca="false">IF(A120="","",IF(OR(B120="",C120="",D120=""),"Eksik bilgi",IF(D120&lt;C120,"Bitiş başlangıçtan önce","OK")))</f>
        <v/>
      </c>
    </row>
    <row r="121" customFormat="false" ht="15" hidden="false" customHeight="false" outlineLevel="0" collapsed="false">
      <c r="A121" s="12"/>
      <c r="B121" s="13"/>
      <c r="C121" s="14"/>
      <c r="D121" s="14"/>
      <c r="E121" s="12"/>
      <c r="F121" s="15" t="str">
        <f aca="false">IF(OR(C121="",D121="",D121&lt;C121),"",IF(B121="Yıllık izin",D121-C121+1-INT((WEEKDAY(C121-1)+D121-C121)/7)-IF(Ayarlar!$C$5=1,0,INT((WEEKDAY(C121-7)+D121-C121)/7))-SUMPRODUCT((Ayarlar!$E$5:$E$24&gt;=C121)*(Ayarlar!$E$5:$E$24&lt;=D121)*(WEEKDAY(Ayarlar!$E$5:$E$24,2)&lt;IF(Ayarlar!$C$5=1,7,6))),D121-C121+1))</f>
        <v/>
      </c>
      <c r="G121" s="16" t="str">
        <f aca="false">IF(A121="","",IF(OR(B121="",C121="",D121=""),"Eksik bilgi",IF(D121&lt;C121,"Bitiş başlangıçtan önce","OK")))</f>
        <v/>
      </c>
    </row>
    <row r="122" customFormat="false" ht="15" hidden="false" customHeight="false" outlineLevel="0" collapsed="false">
      <c r="A122" s="12"/>
      <c r="B122" s="13"/>
      <c r="C122" s="14"/>
      <c r="D122" s="14"/>
      <c r="E122" s="12"/>
      <c r="F122" s="15" t="str">
        <f aca="false">IF(OR(C122="",D122="",D122&lt;C122),"",IF(B122="Yıllık izin",D122-C122+1-INT((WEEKDAY(C122-1)+D122-C122)/7)-IF(Ayarlar!$C$5=1,0,INT((WEEKDAY(C122-7)+D122-C122)/7))-SUMPRODUCT((Ayarlar!$E$5:$E$24&gt;=C122)*(Ayarlar!$E$5:$E$24&lt;=D122)*(WEEKDAY(Ayarlar!$E$5:$E$24,2)&lt;IF(Ayarlar!$C$5=1,7,6))),D122-C122+1))</f>
        <v/>
      </c>
      <c r="G122" s="16" t="str">
        <f aca="false">IF(A122="","",IF(OR(B122="",C122="",D122=""),"Eksik bilgi",IF(D122&lt;C122,"Bitiş başlangıçtan önce","OK")))</f>
        <v/>
      </c>
    </row>
    <row r="123" customFormat="false" ht="15" hidden="false" customHeight="false" outlineLevel="0" collapsed="false">
      <c r="A123" s="12"/>
      <c r="B123" s="13"/>
      <c r="C123" s="14"/>
      <c r="D123" s="14"/>
      <c r="E123" s="12"/>
      <c r="F123" s="15" t="str">
        <f aca="false">IF(OR(C123="",D123="",D123&lt;C123),"",IF(B123="Yıllık izin",D123-C123+1-INT((WEEKDAY(C123-1)+D123-C123)/7)-IF(Ayarlar!$C$5=1,0,INT((WEEKDAY(C123-7)+D123-C123)/7))-SUMPRODUCT((Ayarlar!$E$5:$E$24&gt;=C123)*(Ayarlar!$E$5:$E$24&lt;=D123)*(WEEKDAY(Ayarlar!$E$5:$E$24,2)&lt;IF(Ayarlar!$C$5=1,7,6))),D123-C123+1))</f>
        <v/>
      </c>
      <c r="G123" s="16" t="str">
        <f aca="false">IF(A123="","",IF(OR(B123="",C123="",D123=""),"Eksik bilgi",IF(D123&lt;C123,"Bitiş başlangıçtan önce","OK")))</f>
        <v/>
      </c>
    </row>
    <row r="124" customFormat="false" ht="15" hidden="false" customHeight="false" outlineLevel="0" collapsed="false">
      <c r="A124" s="12"/>
      <c r="B124" s="13"/>
      <c r="C124" s="14"/>
      <c r="D124" s="14"/>
      <c r="E124" s="12"/>
      <c r="F124" s="15" t="str">
        <f aca="false">IF(OR(C124="",D124="",D124&lt;C124),"",IF(B124="Yıllık izin",D124-C124+1-INT((WEEKDAY(C124-1)+D124-C124)/7)-IF(Ayarlar!$C$5=1,0,INT((WEEKDAY(C124-7)+D124-C124)/7))-SUMPRODUCT((Ayarlar!$E$5:$E$24&gt;=C124)*(Ayarlar!$E$5:$E$24&lt;=D124)*(WEEKDAY(Ayarlar!$E$5:$E$24,2)&lt;IF(Ayarlar!$C$5=1,7,6))),D124-C124+1))</f>
        <v/>
      </c>
      <c r="G124" s="16" t="str">
        <f aca="false">IF(A124="","",IF(OR(B124="",C124="",D124=""),"Eksik bilgi",IF(D124&lt;C124,"Bitiş başlangıçtan önce","OK")))</f>
        <v/>
      </c>
    </row>
    <row r="125" customFormat="false" ht="15" hidden="false" customHeight="false" outlineLevel="0" collapsed="false">
      <c r="A125" s="12"/>
      <c r="B125" s="13"/>
      <c r="C125" s="14"/>
      <c r="D125" s="14"/>
      <c r="E125" s="12"/>
      <c r="F125" s="15" t="str">
        <f aca="false">IF(OR(C125="",D125="",D125&lt;C125),"",IF(B125="Yıllık izin",D125-C125+1-INT((WEEKDAY(C125-1)+D125-C125)/7)-IF(Ayarlar!$C$5=1,0,INT((WEEKDAY(C125-7)+D125-C125)/7))-SUMPRODUCT((Ayarlar!$E$5:$E$24&gt;=C125)*(Ayarlar!$E$5:$E$24&lt;=D125)*(WEEKDAY(Ayarlar!$E$5:$E$24,2)&lt;IF(Ayarlar!$C$5=1,7,6))),D125-C125+1))</f>
        <v/>
      </c>
      <c r="G125" s="16" t="str">
        <f aca="false">IF(A125="","",IF(OR(B125="",C125="",D125=""),"Eksik bilgi",IF(D125&lt;C125,"Bitiş başlangıçtan önce","OK")))</f>
        <v/>
      </c>
    </row>
    <row r="126" customFormat="false" ht="15" hidden="false" customHeight="false" outlineLevel="0" collapsed="false">
      <c r="A126" s="12"/>
      <c r="B126" s="13"/>
      <c r="C126" s="14"/>
      <c r="D126" s="14"/>
      <c r="E126" s="12"/>
      <c r="F126" s="15" t="str">
        <f aca="false">IF(OR(C126="",D126="",D126&lt;C126),"",IF(B126="Yıllık izin",D126-C126+1-INT((WEEKDAY(C126-1)+D126-C126)/7)-IF(Ayarlar!$C$5=1,0,INT((WEEKDAY(C126-7)+D126-C126)/7))-SUMPRODUCT((Ayarlar!$E$5:$E$24&gt;=C126)*(Ayarlar!$E$5:$E$24&lt;=D126)*(WEEKDAY(Ayarlar!$E$5:$E$24,2)&lt;IF(Ayarlar!$C$5=1,7,6))),D126-C126+1))</f>
        <v/>
      </c>
      <c r="G126" s="16" t="str">
        <f aca="false">IF(A126="","",IF(OR(B126="",C126="",D126=""),"Eksik bilgi",IF(D126&lt;C126,"Bitiş başlangıçtan önce","OK")))</f>
        <v/>
      </c>
    </row>
    <row r="127" customFormat="false" ht="15" hidden="false" customHeight="false" outlineLevel="0" collapsed="false">
      <c r="A127" s="12"/>
      <c r="B127" s="13"/>
      <c r="C127" s="14"/>
      <c r="D127" s="14"/>
      <c r="E127" s="12"/>
      <c r="F127" s="15" t="str">
        <f aca="false">IF(OR(C127="",D127="",D127&lt;C127),"",IF(B127="Yıllık izin",D127-C127+1-INT((WEEKDAY(C127-1)+D127-C127)/7)-IF(Ayarlar!$C$5=1,0,INT((WEEKDAY(C127-7)+D127-C127)/7))-SUMPRODUCT((Ayarlar!$E$5:$E$24&gt;=C127)*(Ayarlar!$E$5:$E$24&lt;=D127)*(WEEKDAY(Ayarlar!$E$5:$E$24,2)&lt;IF(Ayarlar!$C$5=1,7,6))),D127-C127+1))</f>
        <v/>
      </c>
      <c r="G127" s="16" t="str">
        <f aca="false">IF(A127="","",IF(OR(B127="",C127="",D127=""),"Eksik bilgi",IF(D127&lt;C127,"Bitiş başlangıçtan önce","OK")))</f>
        <v/>
      </c>
    </row>
    <row r="128" customFormat="false" ht="15" hidden="false" customHeight="false" outlineLevel="0" collapsed="false">
      <c r="A128" s="12"/>
      <c r="B128" s="13"/>
      <c r="C128" s="14"/>
      <c r="D128" s="14"/>
      <c r="E128" s="12"/>
      <c r="F128" s="15" t="str">
        <f aca="false">IF(OR(C128="",D128="",D128&lt;C128),"",IF(B128="Yıllık izin",D128-C128+1-INT((WEEKDAY(C128-1)+D128-C128)/7)-IF(Ayarlar!$C$5=1,0,INT((WEEKDAY(C128-7)+D128-C128)/7))-SUMPRODUCT((Ayarlar!$E$5:$E$24&gt;=C128)*(Ayarlar!$E$5:$E$24&lt;=D128)*(WEEKDAY(Ayarlar!$E$5:$E$24,2)&lt;IF(Ayarlar!$C$5=1,7,6))),D128-C128+1))</f>
        <v/>
      </c>
      <c r="G128" s="16" t="str">
        <f aca="false">IF(A128="","",IF(OR(B128="",C128="",D128=""),"Eksik bilgi",IF(D128&lt;C128,"Bitiş başlangıçtan önce","OK")))</f>
        <v/>
      </c>
    </row>
    <row r="129" customFormat="false" ht="15" hidden="false" customHeight="false" outlineLevel="0" collapsed="false">
      <c r="A129" s="12"/>
      <c r="B129" s="13"/>
      <c r="C129" s="14"/>
      <c r="D129" s="14"/>
      <c r="E129" s="12"/>
      <c r="F129" s="15" t="str">
        <f aca="false">IF(OR(C129="",D129="",D129&lt;C129),"",IF(B129="Yıllık izin",D129-C129+1-INT((WEEKDAY(C129-1)+D129-C129)/7)-IF(Ayarlar!$C$5=1,0,INT((WEEKDAY(C129-7)+D129-C129)/7))-SUMPRODUCT((Ayarlar!$E$5:$E$24&gt;=C129)*(Ayarlar!$E$5:$E$24&lt;=D129)*(WEEKDAY(Ayarlar!$E$5:$E$24,2)&lt;IF(Ayarlar!$C$5=1,7,6))),D129-C129+1))</f>
        <v/>
      </c>
      <c r="G129" s="16" t="str">
        <f aca="false">IF(A129="","",IF(OR(B129="",C129="",D129=""),"Eksik bilgi",IF(D129&lt;C129,"Bitiş başlangıçtan önce","OK")))</f>
        <v/>
      </c>
    </row>
    <row r="130" customFormat="false" ht="15" hidden="false" customHeight="false" outlineLevel="0" collapsed="false">
      <c r="A130" s="12"/>
      <c r="B130" s="13"/>
      <c r="C130" s="14"/>
      <c r="D130" s="14"/>
      <c r="E130" s="12"/>
      <c r="F130" s="15" t="str">
        <f aca="false">IF(OR(C130="",D130="",D130&lt;C130),"",IF(B130="Yıllık izin",D130-C130+1-INT((WEEKDAY(C130-1)+D130-C130)/7)-IF(Ayarlar!$C$5=1,0,INT((WEEKDAY(C130-7)+D130-C130)/7))-SUMPRODUCT((Ayarlar!$E$5:$E$24&gt;=C130)*(Ayarlar!$E$5:$E$24&lt;=D130)*(WEEKDAY(Ayarlar!$E$5:$E$24,2)&lt;IF(Ayarlar!$C$5=1,7,6))),D130-C130+1))</f>
        <v/>
      </c>
      <c r="G130" s="16" t="str">
        <f aca="false">IF(A130="","",IF(OR(B130="",C130="",D130=""),"Eksik bilgi",IF(D130&lt;C130,"Bitiş başlangıçtan önce","OK")))</f>
        <v/>
      </c>
    </row>
    <row r="131" customFormat="false" ht="15" hidden="false" customHeight="false" outlineLevel="0" collapsed="false">
      <c r="A131" s="12"/>
      <c r="B131" s="13"/>
      <c r="C131" s="14"/>
      <c r="D131" s="14"/>
      <c r="E131" s="12"/>
      <c r="F131" s="15" t="str">
        <f aca="false">IF(OR(C131="",D131="",D131&lt;C131),"",IF(B131="Yıllık izin",D131-C131+1-INT((WEEKDAY(C131-1)+D131-C131)/7)-IF(Ayarlar!$C$5=1,0,INT((WEEKDAY(C131-7)+D131-C131)/7))-SUMPRODUCT((Ayarlar!$E$5:$E$24&gt;=C131)*(Ayarlar!$E$5:$E$24&lt;=D131)*(WEEKDAY(Ayarlar!$E$5:$E$24,2)&lt;IF(Ayarlar!$C$5=1,7,6))),D131-C131+1))</f>
        <v/>
      </c>
      <c r="G131" s="16" t="str">
        <f aca="false">IF(A131="","",IF(OR(B131="",C131="",D131=""),"Eksik bilgi",IF(D131&lt;C131,"Bitiş başlangıçtan önce","OK")))</f>
        <v/>
      </c>
    </row>
    <row r="132" customFormat="false" ht="15" hidden="false" customHeight="false" outlineLevel="0" collapsed="false">
      <c r="A132" s="12"/>
      <c r="B132" s="13"/>
      <c r="C132" s="14"/>
      <c r="D132" s="14"/>
      <c r="E132" s="12"/>
      <c r="F132" s="15" t="str">
        <f aca="false">IF(OR(C132="",D132="",D132&lt;C132),"",IF(B132="Yıllık izin",D132-C132+1-INT((WEEKDAY(C132-1)+D132-C132)/7)-IF(Ayarlar!$C$5=1,0,INT((WEEKDAY(C132-7)+D132-C132)/7))-SUMPRODUCT((Ayarlar!$E$5:$E$24&gt;=C132)*(Ayarlar!$E$5:$E$24&lt;=D132)*(WEEKDAY(Ayarlar!$E$5:$E$24,2)&lt;IF(Ayarlar!$C$5=1,7,6))),D132-C132+1))</f>
        <v/>
      </c>
      <c r="G132" s="16" t="str">
        <f aca="false">IF(A132="","",IF(OR(B132="",C132="",D132=""),"Eksik bilgi",IF(D132&lt;C132,"Bitiş başlangıçtan önce","OK")))</f>
        <v/>
      </c>
    </row>
    <row r="133" customFormat="false" ht="15" hidden="false" customHeight="false" outlineLevel="0" collapsed="false">
      <c r="A133" s="12"/>
      <c r="B133" s="13"/>
      <c r="C133" s="14"/>
      <c r="D133" s="14"/>
      <c r="E133" s="12"/>
      <c r="F133" s="15" t="str">
        <f aca="false">IF(OR(C133="",D133="",D133&lt;C133),"",IF(B133="Yıllık izin",D133-C133+1-INT((WEEKDAY(C133-1)+D133-C133)/7)-IF(Ayarlar!$C$5=1,0,INT((WEEKDAY(C133-7)+D133-C133)/7))-SUMPRODUCT((Ayarlar!$E$5:$E$24&gt;=C133)*(Ayarlar!$E$5:$E$24&lt;=D133)*(WEEKDAY(Ayarlar!$E$5:$E$24,2)&lt;IF(Ayarlar!$C$5=1,7,6))),D133-C133+1))</f>
        <v/>
      </c>
      <c r="G133" s="16" t="str">
        <f aca="false">IF(A133="","",IF(OR(B133="",C133="",D133=""),"Eksik bilgi",IF(D133&lt;C133,"Bitiş başlangıçtan önce","OK")))</f>
        <v/>
      </c>
    </row>
    <row r="134" customFormat="false" ht="15" hidden="false" customHeight="false" outlineLevel="0" collapsed="false">
      <c r="A134" s="12"/>
      <c r="B134" s="13"/>
      <c r="C134" s="14"/>
      <c r="D134" s="14"/>
      <c r="E134" s="12"/>
      <c r="F134" s="15" t="str">
        <f aca="false">IF(OR(C134="",D134="",D134&lt;C134),"",IF(B134="Yıllık izin",D134-C134+1-INT((WEEKDAY(C134-1)+D134-C134)/7)-IF(Ayarlar!$C$5=1,0,INT((WEEKDAY(C134-7)+D134-C134)/7))-SUMPRODUCT((Ayarlar!$E$5:$E$24&gt;=C134)*(Ayarlar!$E$5:$E$24&lt;=D134)*(WEEKDAY(Ayarlar!$E$5:$E$24,2)&lt;IF(Ayarlar!$C$5=1,7,6))),D134-C134+1))</f>
        <v/>
      </c>
      <c r="G134" s="16" t="str">
        <f aca="false">IF(A134="","",IF(OR(B134="",C134="",D134=""),"Eksik bilgi",IF(D134&lt;C134,"Bitiş başlangıçtan önce","OK")))</f>
        <v/>
      </c>
    </row>
    <row r="135" customFormat="false" ht="15" hidden="false" customHeight="false" outlineLevel="0" collapsed="false">
      <c r="A135" s="12"/>
      <c r="B135" s="13"/>
      <c r="C135" s="14"/>
      <c r="D135" s="14"/>
      <c r="E135" s="12"/>
      <c r="F135" s="15" t="str">
        <f aca="false">IF(OR(C135="",D135="",D135&lt;C135),"",IF(B135="Yıllık izin",D135-C135+1-INT((WEEKDAY(C135-1)+D135-C135)/7)-IF(Ayarlar!$C$5=1,0,INT((WEEKDAY(C135-7)+D135-C135)/7))-SUMPRODUCT((Ayarlar!$E$5:$E$24&gt;=C135)*(Ayarlar!$E$5:$E$24&lt;=D135)*(WEEKDAY(Ayarlar!$E$5:$E$24,2)&lt;IF(Ayarlar!$C$5=1,7,6))),D135-C135+1))</f>
        <v/>
      </c>
      <c r="G135" s="16" t="str">
        <f aca="false">IF(A135="","",IF(OR(B135="",C135="",D135=""),"Eksik bilgi",IF(D135&lt;C135,"Bitiş başlangıçtan önce","OK")))</f>
        <v/>
      </c>
    </row>
    <row r="136" customFormat="false" ht="15" hidden="false" customHeight="false" outlineLevel="0" collapsed="false">
      <c r="A136" s="12"/>
      <c r="B136" s="13"/>
      <c r="C136" s="14"/>
      <c r="D136" s="14"/>
      <c r="E136" s="12"/>
      <c r="F136" s="15" t="str">
        <f aca="false">IF(OR(C136="",D136="",D136&lt;C136),"",IF(B136="Yıllık izin",D136-C136+1-INT((WEEKDAY(C136-1)+D136-C136)/7)-IF(Ayarlar!$C$5=1,0,INT((WEEKDAY(C136-7)+D136-C136)/7))-SUMPRODUCT((Ayarlar!$E$5:$E$24&gt;=C136)*(Ayarlar!$E$5:$E$24&lt;=D136)*(WEEKDAY(Ayarlar!$E$5:$E$24,2)&lt;IF(Ayarlar!$C$5=1,7,6))),D136-C136+1))</f>
        <v/>
      </c>
      <c r="G136" s="16" t="str">
        <f aca="false">IF(A136="","",IF(OR(B136="",C136="",D136=""),"Eksik bilgi",IF(D136&lt;C136,"Bitiş başlangıçtan önce","OK")))</f>
        <v/>
      </c>
    </row>
    <row r="137" customFormat="false" ht="15" hidden="false" customHeight="false" outlineLevel="0" collapsed="false">
      <c r="A137" s="12"/>
      <c r="B137" s="13"/>
      <c r="C137" s="14"/>
      <c r="D137" s="14"/>
      <c r="E137" s="12"/>
      <c r="F137" s="15" t="str">
        <f aca="false">IF(OR(C137="",D137="",D137&lt;C137),"",IF(B137="Yıllık izin",D137-C137+1-INT((WEEKDAY(C137-1)+D137-C137)/7)-IF(Ayarlar!$C$5=1,0,INT((WEEKDAY(C137-7)+D137-C137)/7))-SUMPRODUCT((Ayarlar!$E$5:$E$24&gt;=C137)*(Ayarlar!$E$5:$E$24&lt;=D137)*(WEEKDAY(Ayarlar!$E$5:$E$24,2)&lt;IF(Ayarlar!$C$5=1,7,6))),D137-C137+1))</f>
        <v/>
      </c>
      <c r="G137" s="16" t="str">
        <f aca="false">IF(A137="","",IF(OR(B137="",C137="",D137=""),"Eksik bilgi",IF(D137&lt;C137,"Bitiş başlangıçtan önce","OK")))</f>
        <v/>
      </c>
    </row>
    <row r="138" customFormat="false" ht="15" hidden="false" customHeight="false" outlineLevel="0" collapsed="false">
      <c r="A138" s="12"/>
      <c r="B138" s="13"/>
      <c r="C138" s="14"/>
      <c r="D138" s="14"/>
      <c r="E138" s="12"/>
      <c r="F138" s="15" t="str">
        <f aca="false">IF(OR(C138="",D138="",D138&lt;C138),"",IF(B138="Yıllık izin",D138-C138+1-INT((WEEKDAY(C138-1)+D138-C138)/7)-IF(Ayarlar!$C$5=1,0,INT((WEEKDAY(C138-7)+D138-C138)/7))-SUMPRODUCT((Ayarlar!$E$5:$E$24&gt;=C138)*(Ayarlar!$E$5:$E$24&lt;=D138)*(WEEKDAY(Ayarlar!$E$5:$E$24,2)&lt;IF(Ayarlar!$C$5=1,7,6))),D138-C138+1))</f>
        <v/>
      </c>
      <c r="G138" s="16" t="str">
        <f aca="false">IF(A138="","",IF(OR(B138="",C138="",D138=""),"Eksik bilgi",IF(D138&lt;C138,"Bitiş başlangıçtan önce","OK")))</f>
        <v/>
      </c>
    </row>
    <row r="139" customFormat="false" ht="15" hidden="false" customHeight="false" outlineLevel="0" collapsed="false">
      <c r="A139" s="12"/>
      <c r="B139" s="13"/>
      <c r="C139" s="14"/>
      <c r="D139" s="14"/>
      <c r="E139" s="12"/>
      <c r="F139" s="15" t="str">
        <f aca="false">IF(OR(C139="",D139="",D139&lt;C139),"",IF(B139="Yıllık izin",D139-C139+1-INT((WEEKDAY(C139-1)+D139-C139)/7)-IF(Ayarlar!$C$5=1,0,INT((WEEKDAY(C139-7)+D139-C139)/7))-SUMPRODUCT((Ayarlar!$E$5:$E$24&gt;=C139)*(Ayarlar!$E$5:$E$24&lt;=D139)*(WEEKDAY(Ayarlar!$E$5:$E$24,2)&lt;IF(Ayarlar!$C$5=1,7,6))),D139-C139+1))</f>
        <v/>
      </c>
      <c r="G139" s="16" t="str">
        <f aca="false">IF(A139="","",IF(OR(B139="",C139="",D139=""),"Eksik bilgi",IF(D139&lt;C139,"Bitiş başlangıçtan önce","OK")))</f>
        <v/>
      </c>
    </row>
    <row r="140" customFormat="false" ht="15" hidden="false" customHeight="false" outlineLevel="0" collapsed="false">
      <c r="A140" s="12"/>
      <c r="B140" s="13"/>
      <c r="C140" s="14"/>
      <c r="D140" s="14"/>
      <c r="E140" s="12"/>
      <c r="F140" s="15" t="str">
        <f aca="false">IF(OR(C140="",D140="",D140&lt;C140),"",IF(B140="Yıllık izin",D140-C140+1-INT((WEEKDAY(C140-1)+D140-C140)/7)-IF(Ayarlar!$C$5=1,0,INT((WEEKDAY(C140-7)+D140-C140)/7))-SUMPRODUCT((Ayarlar!$E$5:$E$24&gt;=C140)*(Ayarlar!$E$5:$E$24&lt;=D140)*(WEEKDAY(Ayarlar!$E$5:$E$24,2)&lt;IF(Ayarlar!$C$5=1,7,6))),D140-C140+1))</f>
        <v/>
      </c>
      <c r="G140" s="16" t="str">
        <f aca="false">IF(A140="","",IF(OR(B140="",C140="",D140=""),"Eksik bilgi",IF(D140&lt;C140,"Bitiş başlangıçtan önce","OK")))</f>
        <v/>
      </c>
    </row>
    <row r="141" customFormat="false" ht="15" hidden="false" customHeight="false" outlineLevel="0" collapsed="false">
      <c r="A141" s="12"/>
      <c r="B141" s="13"/>
      <c r="C141" s="14"/>
      <c r="D141" s="14"/>
      <c r="E141" s="12"/>
      <c r="F141" s="15" t="str">
        <f aca="false">IF(OR(C141="",D141="",D141&lt;C141),"",IF(B141="Yıllık izin",D141-C141+1-INT((WEEKDAY(C141-1)+D141-C141)/7)-IF(Ayarlar!$C$5=1,0,INT((WEEKDAY(C141-7)+D141-C141)/7))-SUMPRODUCT((Ayarlar!$E$5:$E$24&gt;=C141)*(Ayarlar!$E$5:$E$24&lt;=D141)*(WEEKDAY(Ayarlar!$E$5:$E$24,2)&lt;IF(Ayarlar!$C$5=1,7,6))),D141-C141+1))</f>
        <v/>
      </c>
      <c r="G141" s="16" t="str">
        <f aca="false">IF(A141="","",IF(OR(B141="",C141="",D141=""),"Eksik bilgi",IF(D141&lt;C141,"Bitiş başlangıçtan önce","OK")))</f>
        <v/>
      </c>
    </row>
    <row r="142" customFormat="false" ht="15" hidden="false" customHeight="false" outlineLevel="0" collapsed="false">
      <c r="A142" s="12"/>
      <c r="B142" s="13"/>
      <c r="C142" s="14"/>
      <c r="D142" s="14"/>
      <c r="E142" s="12"/>
      <c r="F142" s="15" t="str">
        <f aca="false">IF(OR(C142="",D142="",D142&lt;C142),"",IF(B142="Yıllık izin",D142-C142+1-INT((WEEKDAY(C142-1)+D142-C142)/7)-IF(Ayarlar!$C$5=1,0,INT((WEEKDAY(C142-7)+D142-C142)/7))-SUMPRODUCT((Ayarlar!$E$5:$E$24&gt;=C142)*(Ayarlar!$E$5:$E$24&lt;=D142)*(WEEKDAY(Ayarlar!$E$5:$E$24,2)&lt;IF(Ayarlar!$C$5=1,7,6))),D142-C142+1))</f>
        <v/>
      </c>
      <c r="G142" s="16" t="str">
        <f aca="false">IF(A142="","",IF(OR(B142="",C142="",D142=""),"Eksik bilgi",IF(D142&lt;C142,"Bitiş başlangıçtan önce","OK")))</f>
        <v/>
      </c>
    </row>
    <row r="143" customFormat="false" ht="15" hidden="false" customHeight="false" outlineLevel="0" collapsed="false">
      <c r="A143" s="12"/>
      <c r="B143" s="13"/>
      <c r="C143" s="14"/>
      <c r="D143" s="14"/>
      <c r="E143" s="12"/>
      <c r="F143" s="15" t="str">
        <f aca="false">IF(OR(C143="",D143="",D143&lt;C143),"",IF(B143="Yıllık izin",D143-C143+1-INT((WEEKDAY(C143-1)+D143-C143)/7)-IF(Ayarlar!$C$5=1,0,INT((WEEKDAY(C143-7)+D143-C143)/7))-SUMPRODUCT((Ayarlar!$E$5:$E$24&gt;=C143)*(Ayarlar!$E$5:$E$24&lt;=D143)*(WEEKDAY(Ayarlar!$E$5:$E$24,2)&lt;IF(Ayarlar!$C$5=1,7,6))),D143-C143+1))</f>
        <v/>
      </c>
      <c r="G143" s="16" t="str">
        <f aca="false">IF(A143="","",IF(OR(B143="",C143="",D143=""),"Eksik bilgi",IF(D143&lt;C143,"Bitiş başlangıçtan önce","OK")))</f>
        <v/>
      </c>
    </row>
    <row r="144" customFormat="false" ht="15" hidden="false" customHeight="false" outlineLevel="0" collapsed="false">
      <c r="A144" s="12"/>
      <c r="B144" s="13"/>
      <c r="C144" s="14"/>
      <c r="D144" s="14"/>
      <c r="E144" s="12"/>
      <c r="F144" s="15" t="str">
        <f aca="false">IF(OR(C144="",D144="",D144&lt;C144),"",IF(B144="Yıllık izin",D144-C144+1-INT((WEEKDAY(C144-1)+D144-C144)/7)-IF(Ayarlar!$C$5=1,0,INT((WEEKDAY(C144-7)+D144-C144)/7))-SUMPRODUCT((Ayarlar!$E$5:$E$24&gt;=C144)*(Ayarlar!$E$5:$E$24&lt;=D144)*(WEEKDAY(Ayarlar!$E$5:$E$24,2)&lt;IF(Ayarlar!$C$5=1,7,6))),D144-C144+1))</f>
        <v/>
      </c>
      <c r="G144" s="16" t="str">
        <f aca="false">IF(A144="","",IF(OR(B144="",C144="",D144=""),"Eksik bilgi",IF(D144&lt;C144,"Bitiş başlangıçtan önce","OK")))</f>
        <v/>
      </c>
    </row>
    <row r="145" customFormat="false" ht="15" hidden="false" customHeight="false" outlineLevel="0" collapsed="false">
      <c r="A145" s="12"/>
      <c r="B145" s="13"/>
      <c r="C145" s="14"/>
      <c r="D145" s="14"/>
      <c r="E145" s="12"/>
      <c r="F145" s="15" t="str">
        <f aca="false">IF(OR(C145="",D145="",D145&lt;C145),"",IF(B145="Yıllık izin",D145-C145+1-INT((WEEKDAY(C145-1)+D145-C145)/7)-IF(Ayarlar!$C$5=1,0,INT((WEEKDAY(C145-7)+D145-C145)/7))-SUMPRODUCT((Ayarlar!$E$5:$E$24&gt;=C145)*(Ayarlar!$E$5:$E$24&lt;=D145)*(WEEKDAY(Ayarlar!$E$5:$E$24,2)&lt;IF(Ayarlar!$C$5=1,7,6))),D145-C145+1))</f>
        <v/>
      </c>
      <c r="G145" s="16" t="str">
        <f aca="false">IF(A145="","",IF(OR(B145="",C145="",D145=""),"Eksik bilgi",IF(D145&lt;C145,"Bitiş başlangıçtan önce","OK")))</f>
        <v/>
      </c>
    </row>
    <row r="146" customFormat="false" ht="15" hidden="false" customHeight="false" outlineLevel="0" collapsed="false">
      <c r="A146" s="12"/>
      <c r="B146" s="13"/>
      <c r="C146" s="14"/>
      <c r="D146" s="14"/>
      <c r="E146" s="12"/>
      <c r="F146" s="15" t="str">
        <f aca="false">IF(OR(C146="",D146="",D146&lt;C146),"",IF(B146="Yıllık izin",D146-C146+1-INT((WEEKDAY(C146-1)+D146-C146)/7)-IF(Ayarlar!$C$5=1,0,INT((WEEKDAY(C146-7)+D146-C146)/7))-SUMPRODUCT((Ayarlar!$E$5:$E$24&gt;=C146)*(Ayarlar!$E$5:$E$24&lt;=D146)*(WEEKDAY(Ayarlar!$E$5:$E$24,2)&lt;IF(Ayarlar!$C$5=1,7,6))),D146-C146+1))</f>
        <v/>
      </c>
      <c r="G146" s="16" t="str">
        <f aca="false">IF(A146="","",IF(OR(B146="",C146="",D146=""),"Eksik bilgi",IF(D146&lt;C146,"Bitiş başlangıçtan önce","OK")))</f>
        <v/>
      </c>
    </row>
    <row r="147" customFormat="false" ht="15" hidden="false" customHeight="false" outlineLevel="0" collapsed="false">
      <c r="A147" s="12"/>
      <c r="B147" s="13"/>
      <c r="C147" s="14"/>
      <c r="D147" s="14"/>
      <c r="E147" s="12"/>
      <c r="F147" s="15" t="str">
        <f aca="false">IF(OR(C147="",D147="",D147&lt;C147),"",IF(B147="Yıllık izin",D147-C147+1-INT((WEEKDAY(C147-1)+D147-C147)/7)-IF(Ayarlar!$C$5=1,0,INT((WEEKDAY(C147-7)+D147-C147)/7))-SUMPRODUCT((Ayarlar!$E$5:$E$24&gt;=C147)*(Ayarlar!$E$5:$E$24&lt;=D147)*(WEEKDAY(Ayarlar!$E$5:$E$24,2)&lt;IF(Ayarlar!$C$5=1,7,6))),D147-C147+1))</f>
        <v/>
      </c>
      <c r="G147" s="16" t="str">
        <f aca="false">IF(A147="","",IF(OR(B147="",C147="",D147=""),"Eksik bilgi",IF(D147&lt;C147,"Bitiş başlangıçtan önce","OK")))</f>
        <v/>
      </c>
    </row>
    <row r="148" customFormat="false" ht="15" hidden="false" customHeight="false" outlineLevel="0" collapsed="false">
      <c r="A148" s="12"/>
      <c r="B148" s="13"/>
      <c r="C148" s="14"/>
      <c r="D148" s="14"/>
      <c r="E148" s="12"/>
      <c r="F148" s="15" t="str">
        <f aca="false">IF(OR(C148="",D148="",D148&lt;C148),"",IF(B148="Yıllık izin",D148-C148+1-INT((WEEKDAY(C148-1)+D148-C148)/7)-IF(Ayarlar!$C$5=1,0,INT((WEEKDAY(C148-7)+D148-C148)/7))-SUMPRODUCT((Ayarlar!$E$5:$E$24&gt;=C148)*(Ayarlar!$E$5:$E$24&lt;=D148)*(WEEKDAY(Ayarlar!$E$5:$E$24,2)&lt;IF(Ayarlar!$C$5=1,7,6))),D148-C148+1))</f>
        <v/>
      </c>
      <c r="G148" s="16" t="str">
        <f aca="false">IF(A148="","",IF(OR(B148="",C148="",D148=""),"Eksik bilgi",IF(D148&lt;C148,"Bitiş başlangıçtan önce","OK")))</f>
        <v/>
      </c>
    </row>
    <row r="149" customFormat="false" ht="15" hidden="false" customHeight="false" outlineLevel="0" collapsed="false">
      <c r="A149" s="12"/>
      <c r="B149" s="13"/>
      <c r="C149" s="14"/>
      <c r="D149" s="14"/>
      <c r="E149" s="12"/>
      <c r="F149" s="15" t="str">
        <f aca="false">IF(OR(C149="",D149="",D149&lt;C149),"",IF(B149="Yıllık izin",D149-C149+1-INT((WEEKDAY(C149-1)+D149-C149)/7)-IF(Ayarlar!$C$5=1,0,INT((WEEKDAY(C149-7)+D149-C149)/7))-SUMPRODUCT((Ayarlar!$E$5:$E$24&gt;=C149)*(Ayarlar!$E$5:$E$24&lt;=D149)*(WEEKDAY(Ayarlar!$E$5:$E$24,2)&lt;IF(Ayarlar!$C$5=1,7,6))),D149-C149+1))</f>
        <v/>
      </c>
      <c r="G149" s="16" t="str">
        <f aca="false">IF(A149="","",IF(OR(B149="",C149="",D149=""),"Eksik bilgi",IF(D149&lt;C149,"Bitiş başlangıçtan önce","OK")))</f>
        <v/>
      </c>
    </row>
    <row r="150" customFormat="false" ht="15" hidden="false" customHeight="false" outlineLevel="0" collapsed="false">
      <c r="A150" s="12"/>
      <c r="B150" s="13"/>
      <c r="C150" s="14"/>
      <c r="D150" s="14"/>
      <c r="E150" s="12"/>
      <c r="F150" s="15" t="str">
        <f aca="false">IF(OR(C150="",D150="",D150&lt;C150),"",IF(B150="Yıllık izin",D150-C150+1-INT((WEEKDAY(C150-1)+D150-C150)/7)-IF(Ayarlar!$C$5=1,0,INT((WEEKDAY(C150-7)+D150-C150)/7))-SUMPRODUCT((Ayarlar!$E$5:$E$24&gt;=C150)*(Ayarlar!$E$5:$E$24&lt;=D150)*(WEEKDAY(Ayarlar!$E$5:$E$24,2)&lt;IF(Ayarlar!$C$5=1,7,6))),D150-C150+1))</f>
        <v/>
      </c>
      <c r="G150" s="16" t="str">
        <f aca="false">IF(A150="","",IF(OR(B150="",C150="",D150=""),"Eksik bilgi",IF(D150&lt;C150,"Bitiş başlangıçtan önce","OK")))</f>
        <v/>
      </c>
    </row>
    <row r="151" customFormat="false" ht="15" hidden="false" customHeight="false" outlineLevel="0" collapsed="false">
      <c r="A151" s="12"/>
      <c r="B151" s="13"/>
      <c r="C151" s="14"/>
      <c r="D151" s="14"/>
      <c r="E151" s="12"/>
      <c r="F151" s="15" t="str">
        <f aca="false">IF(OR(C151="",D151="",D151&lt;C151),"",IF(B151="Yıllık izin",D151-C151+1-INT((WEEKDAY(C151-1)+D151-C151)/7)-IF(Ayarlar!$C$5=1,0,INT((WEEKDAY(C151-7)+D151-C151)/7))-SUMPRODUCT((Ayarlar!$E$5:$E$24&gt;=C151)*(Ayarlar!$E$5:$E$24&lt;=D151)*(WEEKDAY(Ayarlar!$E$5:$E$24,2)&lt;IF(Ayarlar!$C$5=1,7,6))),D151-C151+1))</f>
        <v/>
      </c>
      <c r="G151" s="16" t="str">
        <f aca="false">IF(A151="","",IF(OR(B151="",C151="",D151=""),"Eksik bilgi",IF(D151&lt;C151,"Bitiş başlangıçtan önce","OK")))</f>
        <v/>
      </c>
    </row>
    <row r="152" customFormat="false" ht="15" hidden="false" customHeight="false" outlineLevel="0" collapsed="false">
      <c r="A152" s="12"/>
      <c r="B152" s="13"/>
      <c r="C152" s="14"/>
      <c r="D152" s="14"/>
      <c r="E152" s="12"/>
      <c r="F152" s="15" t="str">
        <f aca="false">IF(OR(C152="",D152="",D152&lt;C152),"",IF(B152="Yıllık izin",D152-C152+1-INT((WEEKDAY(C152-1)+D152-C152)/7)-IF(Ayarlar!$C$5=1,0,INT((WEEKDAY(C152-7)+D152-C152)/7))-SUMPRODUCT((Ayarlar!$E$5:$E$24&gt;=C152)*(Ayarlar!$E$5:$E$24&lt;=D152)*(WEEKDAY(Ayarlar!$E$5:$E$24,2)&lt;IF(Ayarlar!$C$5=1,7,6))),D152-C152+1))</f>
        <v/>
      </c>
      <c r="G152" s="16" t="str">
        <f aca="false">IF(A152="","",IF(OR(B152="",C152="",D152=""),"Eksik bilgi",IF(D152&lt;C152,"Bitiş başlangıçtan önce","OK")))</f>
        <v/>
      </c>
    </row>
    <row r="153" customFormat="false" ht="15" hidden="false" customHeight="false" outlineLevel="0" collapsed="false">
      <c r="A153" s="12"/>
      <c r="B153" s="13"/>
      <c r="C153" s="14"/>
      <c r="D153" s="14"/>
      <c r="E153" s="12"/>
      <c r="F153" s="15" t="str">
        <f aca="false">IF(OR(C153="",D153="",D153&lt;C153),"",IF(B153="Yıllık izin",D153-C153+1-INT((WEEKDAY(C153-1)+D153-C153)/7)-IF(Ayarlar!$C$5=1,0,INT((WEEKDAY(C153-7)+D153-C153)/7))-SUMPRODUCT((Ayarlar!$E$5:$E$24&gt;=C153)*(Ayarlar!$E$5:$E$24&lt;=D153)*(WEEKDAY(Ayarlar!$E$5:$E$24,2)&lt;IF(Ayarlar!$C$5=1,7,6))),D153-C153+1))</f>
        <v/>
      </c>
      <c r="G153" s="16" t="str">
        <f aca="false">IF(A153="","",IF(OR(B153="",C153="",D153=""),"Eksik bilgi",IF(D153&lt;C153,"Bitiş başlangıçtan önce","OK")))</f>
        <v/>
      </c>
    </row>
    <row r="154" customFormat="false" ht="15" hidden="false" customHeight="false" outlineLevel="0" collapsed="false">
      <c r="A154" s="12"/>
      <c r="B154" s="13"/>
      <c r="C154" s="14"/>
      <c r="D154" s="14"/>
      <c r="E154" s="12"/>
      <c r="F154" s="15" t="str">
        <f aca="false">IF(OR(C154="",D154="",D154&lt;C154),"",IF(B154="Yıllık izin",D154-C154+1-INT((WEEKDAY(C154-1)+D154-C154)/7)-IF(Ayarlar!$C$5=1,0,INT((WEEKDAY(C154-7)+D154-C154)/7))-SUMPRODUCT((Ayarlar!$E$5:$E$24&gt;=C154)*(Ayarlar!$E$5:$E$24&lt;=D154)*(WEEKDAY(Ayarlar!$E$5:$E$24,2)&lt;IF(Ayarlar!$C$5=1,7,6))),D154-C154+1))</f>
        <v/>
      </c>
      <c r="G154" s="16" t="str">
        <f aca="false">IF(A154="","",IF(OR(B154="",C154="",D154=""),"Eksik bilgi",IF(D154&lt;C154,"Bitiş başlangıçtan önce","OK")))</f>
        <v/>
      </c>
    </row>
    <row r="155" customFormat="false" ht="15" hidden="false" customHeight="false" outlineLevel="0" collapsed="false">
      <c r="A155" s="12"/>
      <c r="B155" s="13"/>
      <c r="C155" s="14"/>
      <c r="D155" s="14"/>
      <c r="E155" s="12"/>
      <c r="F155" s="15" t="str">
        <f aca="false">IF(OR(C155="",D155="",D155&lt;C155),"",IF(B155="Yıllık izin",D155-C155+1-INT((WEEKDAY(C155-1)+D155-C155)/7)-IF(Ayarlar!$C$5=1,0,INT((WEEKDAY(C155-7)+D155-C155)/7))-SUMPRODUCT((Ayarlar!$E$5:$E$24&gt;=C155)*(Ayarlar!$E$5:$E$24&lt;=D155)*(WEEKDAY(Ayarlar!$E$5:$E$24,2)&lt;IF(Ayarlar!$C$5=1,7,6))),D155-C155+1))</f>
        <v/>
      </c>
      <c r="G155" s="16" t="str">
        <f aca="false">IF(A155="","",IF(OR(B155="",C155="",D155=""),"Eksik bilgi",IF(D155&lt;C155,"Bitiş başlangıçtan önce","OK")))</f>
        <v/>
      </c>
    </row>
    <row r="156" customFormat="false" ht="15" hidden="false" customHeight="false" outlineLevel="0" collapsed="false">
      <c r="A156" s="12"/>
      <c r="B156" s="13"/>
      <c r="C156" s="14"/>
      <c r="D156" s="14"/>
      <c r="E156" s="12"/>
      <c r="F156" s="15" t="str">
        <f aca="false">IF(OR(C156="",D156="",D156&lt;C156),"",IF(B156="Yıllık izin",D156-C156+1-INT((WEEKDAY(C156-1)+D156-C156)/7)-IF(Ayarlar!$C$5=1,0,INT((WEEKDAY(C156-7)+D156-C156)/7))-SUMPRODUCT((Ayarlar!$E$5:$E$24&gt;=C156)*(Ayarlar!$E$5:$E$24&lt;=D156)*(WEEKDAY(Ayarlar!$E$5:$E$24,2)&lt;IF(Ayarlar!$C$5=1,7,6))),D156-C156+1))</f>
        <v/>
      </c>
      <c r="G156" s="16" t="str">
        <f aca="false">IF(A156="","",IF(OR(B156="",C156="",D156=""),"Eksik bilgi",IF(D156&lt;C156,"Bitiş başlangıçtan önce","OK")))</f>
        <v/>
      </c>
    </row>
    <row r="157" customFormat="false" ht="15" hidden="false" customHeight="false" outlineLevel="0" collapsed="false">
      <c r="A157" s="12"/>
      <c r="B157" s="13"/>
      <c r="C157" s="14"/>
      <c r="D157" s="14"/>
      <c r="E157" s="12"/>
      <c r="F157" s="15" t="str">
        <f aca="false">IF(OR(C157="",D157="",D157&lt;C157),"",IF(B157="Yıllık izin",D157-C157+1-INT((WEEKDAY(C157-1)+D157-C157)/7)-IF(Ayarlar!$C$5=1,0,INT((WEEKDAY(C157-7)+D157-C157)/7))-SUMPRODUCT((Ayarlar!$E$5:$E$24&gt;=C157)*(Ayarlar!$E$5:$E$24&lt;=D157)*(WEEKDAY(Ayarlar!$E$5:$E$24,2)&lt;IF(Ayarlar!$C$5=1,7,6))),D157-C157+1))</f>
        <v/>
      </c>
      <c r="G157" s="16" t="str">
        <f aca="false">IF(A157="","",IF(OR(B157="",C157="",D157=""),"Eksik bilgi",IF(D157&lt;C157,"Bitiş başlangıçtan önce","OK")))</f>
        <v/>
      </c>
    </row>
    <row r="158" customFormat="false" ht="15" hidden="false" customHeight="false" outlineLevel="0" collapsed="false">
      <c r="A158" s="12"/>
      <c r="B158" s="13"/>
      <c r="C158" s="14"/>
      <c r="D158" s="14"/>
      <c r="E158" s="12"/>
      <c r="F158" s="15" t="str">
        <f aca="false">IF(OR(C158="",D158="",D158&lt;C158),"",IF(B158="Yıllık izin",D158-C158+1-INT((WEEKDAY(C158-1)+D158-C158)/7)-IF(Ayarlar!$C$5=1,0,INT((WEEKDAY(C158-7)+D158-C158)/7))-SUMPRODUCT((Ayarlar!$E$5:$E$24&gt;=C158)*(Ayarlar!$E$5:$E$24&lt;=D158)*(WEEKDAY(Ayarlar!$E$5:$E$24,2)&lt;IF(Ayarlar!$C$5=1,7,6))),D158-C158+1))</f>
        <v/>
      </c>
      <c r="G158" s="16" t="str">
        <f aca="false">IF(A158="","",IF(OR(B158="",C158="",D158=""),"Eksik bilgi",IF(D158&lt;C158,"Bitiş başlangıçtan önce","OK")))</f>
        <v/>
      </c>
    </row>
    <row r="159" customFormat="false" ht="15" hidden="false" customHeight="false" outlineLevel="0" collapsed="false">
      <c r="A159" s="12"/>
      <c r="B159" s="13"/>
      <c r="C159" s="14"/>
      <c r="D159" s="14"/>
      <c r="E159" s="12"/>
      <c r="F159" s="15" t="str">
        <f aca="false">IF(OR(C159="",D159="",D159&lt;C159),"",IF(B159="Yıllık izin",D159-C159+1-INT((WEEKDAY(C159-1)+D159-C159)/7)-IF(Ayarlar!$C$5=1,0,INT((WEEKDAY(C159-7)+D159-C159)/7))-SUMPRODUCT((Ayarlar!$E$5:$E$24&gt;=C159)*(Ayarlar!$E$5:$E$24&lt;=D159)*(WEEKDAY(Ayarlar!$E$5:$E$24,2)&lt;IF(Ayarlar!$C$5=1,7,6))),D159-C159+1))</f>
        <v/>
      </c>
      <c r="G159" s="16" t="str">
        <f aca="false">IF(A159="","",IF(OR(B159="",C159="",D159=""),"Eksik bilgi",IF(D159&lt;C159,"Bitiş başlangıçtan önce","OK")))</f>
        <v/>
      </c>
    </row>
    <row r="160" customFormat="false" ht="15" hidden="false" customHeight="false" outlineLevel="0" collapsed="false">
      <c r="A160" s="12"/>
      <c r="B160" s="13"/>
      <c r="C160" s="14"/>
      <c r="D160" s="14"/>
      <c r="E160" s="12"/>
      <c r="F160" s="15" t="str">
        <f aca="false">IF(OR(C160="",D160="",D160&lt;C160),"",IF(B160="Yıllık izin",D160-C160+1-INT((WEEKDAY(C160-1)+D160-C160)/7)-IF(Ayarlar!$C$5=1,0,INT((WEEKDAY(C160-7)+D160-C160)/7))-SUMPRODUCT((Ayarlar!$E$5:$E$24&gt;=C160)*(Ayarlar!$E$5:$E$24&lt;=D160)*(WEEKDAY(Ayarlar!$E$5:$E$24,2)&lt;IF(Ayarlar!$C$5=1,7,6))),D160-C160+1))</f>
        <v/>
      </c>
      <c r="G160" s="16" t="str">
        <f aca="false">IF(A160="","",IF(OR(B160="",C160="",D160=""),"Eksik bilgi",IF(D160&lt;C160,"Bitiş başlangıçtan önce","OK")))</f>
        <v/>
      </c>
    </row>
    <row r="161" customFormat="false" ht="15" hidden="false" customHeight="false" outlineLevel="0" collapsed="false">
      <c r="A161" s="12"/>
      <c r="B161" s="13"/>
      <c r="C161" s="14"/>
      <c r="D161" s="14"/>
      <c r="E161" s="12"/>
      <c r="F161" s="15" t="str">
        <f aca="false">IF(OR(C161="",D161="",D161&lt;C161),"",IF(B161="Yıllık izin",D161-C161+1-INT((WEEKDAY(C161-1)+D161-C161)/7)-IF(Ayarlar!$C$5=1,0,INT((WEEKDAY(C161-7)+D161-C161)/7))-SUMPRODUCT((Ayarlar!$E$5:$E$24&gt;=C161)*(Ayarlar!$E$5:$E$24&lt;=D161)*(WEEKDAY(Ayarlar!$E$5:$E$24,2)&lt;IF(Ayarlar!$C$5=1,7,6))),D161-C161+1))</f>
        <v/>
      </c>
      <c r="G161" s="16" t="str">
        <f aca="false">IF(A161="","",IF(OR(B161="",C161="",D161=""),"Eksik bilgi",IF(D161&lt;C161,"Bitiş başlangıçtan önce","OK")))</f>
        <v/>
      </c>
    </row>
    <row r="162" customFormat="false" ht="15" hidden="false" customHeight="false" outlineLevel="0" collapsed="false">
      <c r="A162" s="12"/>
      <c r="B162" s="13"/>
      <c r="C162" s="14"/>
      <c r="D162" s="14"/>
      <c r="E162" s="12"/>
      <c r="F162" s="15" t="str">
        <f aca="false">IF(OR(C162="",D162="",D162&lt;C162),"",IF(B162="Yıllık izin",D162-C162+1-INT((WEEKDAY(C162-1)+D162-C162)/7)-IF(Ayarlar!$C$5=1,0,INT((WEEKDAY(C162-7)+D162-C162)/7))-SUMPRODUCT((Ayarlar!$E$5:$E$24&gt;=C162)*(Ayarlar!$E$5:$E$24&lt;=D162)*(WEEKDAY(Ayarlar!$E$5:$E$24,2)&lt;IF(Ayarlar!$C$5=1,7,6))),D162-C162+1))</f>
        <v/>
      </c>
      <c r="G162" s="16" t="str">
        <f aca="false">IF(A162="","",IF(OR(B162="",C162="",D162=""),"Eksik bilgi",IF(D162&lt;C162,"Bitiş başlangıçtan önce","OK")))</f>
        <v/>
      </c>
    </row>
    <row r="163" customFormat="false" ht="15" hidden="false" customHeight="false" outlineLevel="0" collapsed="false">
      <c r="A163" s="12"/>
      <c r="B163" s="13"/>
      <c r="C163" s="14"/>
      <c r="D163" s="14"/>
      <c r="E163" s="12"/>
      <c r="F163" s="15" t="str">
        <f aca="false">IF(OR(C163="",D163="",D163&lt;C163),"",IF(B163="Yıllık izin",D163-C163+1-INT((WEEKDAY(C163-1)+D163-C163)/7)-IF(Ayarlar!$C$5=1,0,INT((WEEKDAY(C163-7)+D163-C163)/7))-SUMPRODUCT((Ayarlar!$E$5:$E$24&gt;=C163)*(Ayarlar!$E$5:$E$24&lt;=D163)*(WEEKDAY(Ayarlar!$E$5:$E$24,2)&lt;IF(Ayarlar!$C$5=1,7,6))),D163-C163+1))</f>
        <v/>
      </c>
      <c r="G163" s="16" t="str">
        <f aca="false">IF(A163="","",IF(OR(B163="",C163="",D163=""),"Eksik bilgi",IF(D163&lt;C163,"Bitiş başlangıçtan önce","OK")))</f>
        <v/>
      </c>
    </row>
    <row r="164" customFormat="false" ht="15" hidden="false" customHeight="false" outlineLevel="0" collapsed="false">
      <c r="A164" s="12"/>
      <c r="B164" s="13"/>
      <c r="C164" s="14"/>
      <c r="D164" s="14"/>
      <c r="E164" s="12"/>
      <c r="F164" s="15" t="str">
        <f aca="false">IF(OR(C164="",D164="",D164&lt;C164),"",IF(B164="Yıllık izin",D164-C164+1-INT((WEEKDAY(C164-1)+D164-C164)/7)-IF(Ayarlar!$C$5=1,0,INT((WEEKDAY(C164-7)+D164-C164)/7))-SUMPRODUCT((Ayarlar!$E$5:$E$24&gt;=C164)*(Ayarlar!$E$5:$E$24&lt;=D164)*(WEEKDAY(Ayarlar!$E$5:$E$24,2)&lt;IF(Ayarlar!$C$5=1,7,6))),D164-C164+1))</f>
        <v/>
      </c>
      <c r="G164" s="16" t="str">
        <f aca="false">IF(A164="","",IF(OR(B164="",C164="",D164=""),"Eksik bilgi",IF(D164&lt;C164,"Bitiş başlangıçtan önce","OK")))</f>
        <v/>
      </c>
    </row>
    <row r="165" customFormat="false" ht="15" hidden="false" customHeight="false" outlineLevel="0" collapsed="false">
      <c r="A165" s="12"/>
      <c r="B165" s="13"/>
      <c r="C165" s="14"/>
      <c r="D165" s="14"/>
      <c r="E165" s="12"/>
      <c r="F165" s="15" t="str">
        <f aca="false">IF(OR(C165="",D165="",D165&lt;C165),"",IF(B165="Yıllık izin",D165-C165+1-INT((WEEKDAY(C165-1)+D165-C165)/7)-IF(Ayarlar!$C$5=1,0,INT((WEEKDAY(C165-7)+D165-C165)/7))-SUMPRODUCT((Ayarlar!$E$5:$E$24&gt;=C165)*(Ayarlar!$E$5:$E$24&lt;=D165)*(WEEKDAY(Ayarlar!$E$5:$E$24,2)&lt;IF(Ayarlar!$C$5=1,7,6))),D165-C165+1))</f>
        <v/>
      </c>
      <c r="G165" s="16" t="str">
        <f aca="false">IF(A165="","",IF(OR(B165="",C165="",D165=""),"Eksik bilgi",IF(D165&lt;C165,"Bitiş başlangıçtan önce","OK")))</f>
        <v/>
      </c>
    </row>
    <row r="166" customFormat="false" ht="15" hidden="false" customHeight="false" outlineLevel="0" collapsed="false">
      <c r="A166" s="12"/>
      <c r="B166" s="13"/>
      <c r="C166" s="14"/>
      <c r="D166" s="14"/>
      <c r="E166" s="12"/>
      <c r="F166" s="15" t="str">
        <f aca="false">IF(OR(C166="",D166="",D166&lt;C166),"",IF(B166="Yıllık izin",D166-C166+1-INT((WEEKDAY(C166-1)+D166-C166)/7)-IF(Ayarlar!$C$5=1,0,INT((WEEKDAY(C166-7)+D166-C166)/7))-SUMPRODUCT((Ayarlar!$E$5:$E$24&gt;=C166)*(Ayarlar!$E$5:$E$24&lt;=D166)*(WEEKDAY(Ayarlar!$E$5:$E$24,2)&lt;IF(Ayarlar!$C$5=1,7,6))),D166-C166+1))</f>
        <v/>
      </c>
      <c r="G166" s="16" t="str">
        <f aca="false">IF(A166="","",IF(OR(B166="",C166="",D166=""),"Eksik bilgi",IF(D166&lt;C166,"Bitiş başlangıçtan önce","OK")))</f>
        <v/>
      </c>
    </row>
    <row r="167" customFormat="false" ht="15" hidden="false" customHeight="false" outlineLevel="0" collapsed="false">
      <c r="A167" s="12"/>
      <c r="B167" s="13"/>
      <c r="C167" s="14"/>
      <c r="D167" s="14"/>
      <c r="E167" s="12"/>
      <c r="F167" s="15" t="str">
        <f aca="false">IF(OR(C167="",D167="",D167&lt;C167),"",IF(B167="Yıllık izin",D167-C167+1-INT((WEEKDAY(C167-1)+D167-C167)/7)-IF(Ayarlar!$C$5=1,0,INT((WEEKDAY(C167-7)+D167-C167)/7))-SUMPRODUCT((Ayarlar!$E$5:$E$24&gt;=C167)*(Ayarlar!$E$5:$E$24&lt;=D167)*(WEEKDAY(Ayarlar!$E$5:$E$24,2)&lt;IF(Ayarlar!$C$5=1,7,6))),D167-C167+1))</f>
        <v/>
      </c>
      <c r="G167" s="16" t="str">
        <f aca="false">IF(A167="","",IF(OR(B167="",C167="",D167=""),"Eksik bilgi",IF(D167&lt;C167,"Bitiş başlangıçtan önce","OK")))</f>
        <v/>
      </c>
    </row>
    <row r="168" customFormat="false" ht="15" hidden="false" customHeight="false" outlineLevel="0" collapsed="false">
      <c r="A168" s="12"/>
      <c r="B168" s="13"/>
      <c r="C168" s="14"/>
      <c r="D168" s="14"/>
      <c r="E168" s="12"/>
      <c r="F168" s="15" t="str">
        <f aca="false">IF(OR(C168="",D168="",D168&lt;C168),"",IF(B168="Yıllık izin",D168-C168+1-INT((WEEKDAY(C168-1)+D168-C168)/7)-IF(Ayarlar!$C$5=1,0,INT((WEEKDAY(C168-7)+D168-C168)/7))-SUMPRODUCT((Ayarlar!$E$5:$E$24&gt;=C168)*(Ayarlar!$E$5:$E$24&lt;=D168)*(WEEKDAY(Ayarlar!$E$5:$E$24,2)&lt;IF(Ayarlar!$C$5=1,7,6))),D168-C168+1))</f>
        <v/>
      </c>
      <c r="G168" s="16" t="str">
        <f aca="false">IF(A168="","",IF(OR(B168="",C168="",D168=""),"Eksik bilgi",IF(D168&lt;C168,"Bitiş başlangıçtan önce","OK")))</f>
        <v/>
      </c>
    </row>
    <row r="169" customFormat="false" ht="15" hidden="false" customHeight="false" outlineLevel="0" collapsed="false">
      <c r="A169" s="12"/>
      <c r="B169" s="13"/>
      <c r="C169" s="14"/>
      <c r="D169" s="14"/>
      <c r="E169" s="12"/>
      <c r="F169" s="15" t="str">
        <f aca="false">IF(OR(C169="",D169="",D169&lt;C169),"",IF(B169="Yıllık izin",D169-C169+1-INT((WEEKDAY(C169-1)+D169-C169)/7)-IF(Ayarlar!$C$5=1,0,INT((WEEKDAY(C169-7)+D169-C169)/7))-SUMPRODUCT((Ayarlar!$E$5:$E$24&gt;=C169)*(Ayarlar!$E$5:$E$24&lt;=D169)*(WEEKDAY(Ayarlar!$E$5:$E$24,2)&lt;IF(Ayarlar!$C$5=1,7,6))),D169-C169+1))</f>
        <v/>
      </c>
      <c r="G169" s="16" t="str">
        <f aca="false">IF(A169="","",IF(OR(B169="",C169="",D169=""),"Eksik bilgi",IF(D169&lt;C169,"Bitiş başlangıçtan önce","OK")))</f>
        <v/>
      </c>
    </row>
    <row r="170" customFormat="false" ht="15" hidden="false" customHeight="false" outlineLevel="0" collapsed="false">
      <c r="A170" s="12"/>
      <c r="B170" s="13"/>
      <c r="C170" s="14"/>
      <c r="D170" s="14"/>
      <c r="E170" s="12"/>
      <c r="F170" s="15" t="str">
        <f aca="false">IF(OR(C170="",D170="",D170&lt;C170),"",IF(B170="Yıllık izin",D170-C170+1-INT((WEEKDAY(C170-1)+D170-C170)/7)-IF(Ayarlar!$C$5=1,0,INT((WEEKDAY(C170-7)+D170-C170)/7))-SUMPRODUCT((Ayarlar!$E$5:$E$24&gt;=C170)*(Ayarlar!$E$5:$E$24&lt;=D170)*(WEEKDAY(Ayarlar!$E$5:$E$24,2)&lt;IF(Ayarlar!$C$5=1,7,6))),D170-C170+1))</f>
        <v/>
      </c>
      <c r="G170" s="16" t="str">
        <f aca="false">IF(A170="","",IF(OR(B170="",C170="",D170=""),"Eksik bilgi",IF(D170&lt;C170,"Bitiş başlangıçtan önce","OK")))</f>
        <v/>
      </c>
    </row>
    <row r="171" customFormat="false" ht="15" hidden="false" customHeight="false" outlineLevel="0" collapsed="false">
      <c r="A171" s="12"/>
      <c r="B171" s="13"/>
      <c r="C171" s="14"/>
      <c r="D171" s="14"/>
      <c r="E171" s="12"/>
      <c r="F171" s="15" t="str">
        <f aca="false">IF(OR(C171="",D171="",D171&lt;C171),"",IF(B171="Yıllık izin",D171-C171+1-INT((WEEKDAY(C171-1)+D171-C171)/7)-IF(Ayarlar!$C$5=1,0,INT((WEEKDAY(C171-7)+D171-C171)/7))-SUMPRODUCT((Ayarlar!$E$5:$E$24&gt;=C171)*(Ayarlar!$E$5:$E$24&lt;=D171)*(WEEKDAY(Ayarlar!$E$5:$E$24,2)&lt;IF(Ayarlar!$C$5=1,7,6))),D171-C171+1))</f>
        <v/>
      </c>
      <c r="G171" s="16" t="str">
        <f aca="false">IF(A171="","",IF(OR(B171="",C171="",D171=""),"Eksik bilgi",IF(D171&lt;C171,"Bitiş başlangıçtan önce","OK")))</f>
        <v/>
      </c>
    </row>
    <row r="172" customFormat="false" ht="15" hidden="false" customHeight="false" outlineLevel="0" collapsed="false">
      <c r="A172" s="12"/>
      <c r="B172" s="13"/>
      <c r="C172" s="14"/>
      <c r="D172" s="14"/>
      <c r="E172" s="12"/>
      <c r="F172" s="15" t="str">
        <f aca="false">IF(OR(C172="",D172="",D172&lt;C172),"",IF(B172="Yıllık izin",D172-C172+1-INT((WEEKDAY(C172-1)+D172-C172)/7)-IF(Ayarlar!$C$5=1,0,INT((WEEKDAY(C172-7)+D172-C172)/7))-SUMPRODUCT((Ayarlar!$E$5:$E$24&gt;=C172)*(Ayarlar!$E$5:$E$24&lt;=D172)*(WEEKDAY(Ayarlar!$E$5:$E$24,2)&lt;IF(Ayarlar!$C$5=1,7,6))),D172-C172+1))</f>
        <v/>
      </c>
      <c r="G172" s="16" t="str">
        <f aca="false">IF(A172="","",IF(OR(B172="",C172="",D172=""),"Eksik bilgi",IF(D172&lt;C172,"Bitiş başlangıçtan önce","OK")))</f>
        <v/>
      </c>
    </row>
    <row r="173" customFormat="false" ht="15" hidden="false" customHeight="false" outlineLevel="0" collapsed="false">
      <c r="A173" s="12"/>
      <c r="B173" s="13"/>
      <c r="C173" s="14"/>
      <c r="D173" s="14"/>
      <c r="E173" s="12"/>
      <c r="F173" s="15" t="str">
        <f aca="false">IF(OR(C173="",D173="",D173&lt;C173),"",IF(B173="Yıllık izin",D173-C173+1-INT((WEEKDAY(C173-1)+D173-C173)/7)-IF(Ayarlar!$C$5=1,0,INT((WEEKDAY(C173-7)+D173-C173)/7))-SUMPRODUCT((Ayarlar!$E$5:$E$24&gt;=C173)*(Ayarlar!$E$5:$E$24&lt;=D173)*(WEEKDAY(Ayarlar!$E$5:$E$24,2)&lt;IF(Ayarlar!$C$5=1,7,6))),D173-C173+1))</f>
        <v/>
      </c>
      <c r="G173" s="16" t="str">
        <f aca="false">IF(A173="","",IF(OR(B173="",C173="",D173=""),"Eksik bilgi",IF(D173&lt;C173,"Bitiş başlangıçtan önce","OK")))</f>
        <v/>
      </c>
    </row>
    <row r="174" customFormat="false" ht="15" hidden="false" customHeight="false" outlineLevel="0" collapsed="false">
      <c r="A174" s="12"/>
      <c r="B174" s="13"/>
      <c r="C174" s="14"/>
      <c r="D174" s="14"/>
      <c r="E174" s="12"/>
      <c r="F174" s="15" t="str">
        <f aca="false">IF(OR(C174="",D174="",D174&lt;C174),"",IF(B174="Yıllık izin",D174-C174+1-INT((WEEKDAY(C174-1)+D174-C174)/7)-IF(Ayarlar!$C$5=1,0,INT((WEEKDAY(C174-7)+D174-C174)/7))-SUMPRODUCT((Ayarlar!$E$5:$E$24&gt;=C174)*(Ayarlar!$E$5:$E$24&lt;=D174)*(WEEKDAY(Ayarlar!$E$5:$E$24,2)&lt;IF(Ayarlar!$C$5=1,7,6))),D174-C174+1))</f>
        <v/>
      </c>
      <c r="G174" s="16" t="str">
        <f aca="false">IF(A174="","",IF(OR(B174="",C174="",D174=""),"Eksik bilgi",IF(D174&lt;C174,"Bitiş başlangıçtan önce","OK")))</f>
        <v/>
      </c>
    </row>
    <row r="175" customFormat="false" ht="15" hidden="false" customHeight="false" outlineLevel="0" collapsed="false">
      <c r="A175" s="12"/>
      <c r="B175" s="13"/>
      <c r="C175" s="14"/>
      <c r="D175" s="14"/>
      <c r="E175" s="12"/>
      <c r="F175" s="15" t="str">
        <f aca="false">IF(OR(C175="",D175="",D175&lt;C175),"",IF(B175="Yıllık izin",D175-C175+1-INT((WEEKDAY(C175-1)+D175-C175)/7)-IF(Ayarlar!$C$5=1,0,INT((WEEKDAY(C175-7)+D175-C175)/7))-SUMPRODUCT((Ayarlar!$E$5:$E$24&gt;=C175)*(Ayarlar!$E$5:$E$24&lt;=D175)*(WEEKDAY(Ayarlar!$E$5:$E$24,2)&lt;IF(Ayarlar!$C$5=1,7,6))),D175-C175+1))</f>
        <v/>
      </c>
      <c r="G175" s="16" t="str">
        <f aca="false">IF(A175="","",IF(OR(B175="",C175="",D175=""),"Eksik bilgi",IF(D175&lt;C175,"Bitiş başlangıçtan önce","OK")))</f>
        <v/>
      </c>
    </row>
    <row r="176" customFormat="false" ht="15" hidden="false" customHeight="false" outlineLevel="0" collapsed="false">
      <c r="A176" s="12"/>
      <c r="B176" s="13"/>
      <c r="C176" s="14"/>
      <c r="D176" s="14"/>
      <c r="E176" s="12"/>
      <c r="F176" s="15" t="str">
        <f aca="false">IF(OR(C176="",D176="",D176&lt;C176),"",IF(B176="Yıllık izin",D176-C176+1-INT((WEEKDAY(C176-1)+D176-C176)/7)-IF(Ayarlar!$C$5=1,0,INT((WEEKDAY(C176-7)+D176-C176)/7))-SUMPRODUCT((Ayarlar!$E$5:$E$24&gt;=C176)*(Ayarlar!$E$5:$E$24&lt;=D176)*(WEEKDAY(Ayarlar!$E$5:$E$24,2)&lt;IF(Ayarlar!$C$5=1,7,6))),D176-C176+1))</f>
        <v/>
      </c>
      <c r="G176" s="16" t="str">
        <f aca="false">IF(A176="","",IF(OR(B176="",C176="",D176=""),"Eksik bilgi",IF(D176&lt;C176,"Bitiş başlangıçtan önce","OK")))</f>
        <v/>
      </c>
    </row>
    <row r="177" customFormat="false" ht="15" hidden="false" customHeight="false" outlineLevel="0" collapsed="false">
      <c r="A177" s="12"/>
      <c r="B177" s="13"/>
      <c r="C177" s="14"/>
      <c r="D177" s="14"/>
      <c r="E177" s="12"/>
      <c r="F177" s="15" t="str">
        <f aca="false">IF(OR(C177="",D177="",D177&lt;C177),"",IF(B177="Yıllık izin",D177-C177+1-INT((WEEKDAY(C177-1)+D177-C177)/7)-IF(Ayarlar!$C$5=1,0,INT((WEEKDAY(C177-7)+D177-C177)/7))-SUMPRODUCT((Ayarlar!$E$5:$E$24&gt;=C177)*(Ayarlar!$E$5:$E$24&lt;=D177)*(WEEKDAY(Ayarlar!$E$5:$E$24,2)&lt;IF(Ayarlar!$C$5=1,7,6))),D177-C177+1))</f>
        <v/>
      </c>
      <c r="G177" s="16" t="str">
        <f aca="false">IF(A177="","",IF(OR(B177="",C177="",D177=""),"Eksik bilgi",IF(D177&lt;C177,"Bitiş başlangıçtan önce","OK")))</f>
        <v/>
      </c>
    </row>
    <row r="178" customFormat="false" ht="15" hidden="false" customHeight="false" outlineLevel="0" collapsed="false">
      <c r="A178" s="12"/>
      <c r="B178" s="13"/>
      <c r="C178" s="14"/>
      <c r="D178" s="14"/>
      <c r="E178" s="12"/>
      <c r="F178" s="15" t="str">
        <f aca="false">IF(OR(C178="",D178="",D178&lt;C178),"",IF(B178="Yıllık izin",D178-C178+1-INT((WEEKDAY(C178-1)+D178-C178)/7)-IF(Ayarlar!$C$5=1,0,INT((WEEKDAY(C178-7)+D178-C178)/7))-SUMPRODUCT((Ayarlar!$E$5:$E$24&gt;=C178)*(Ayarlar!$E$5:$E$24&lt;=D178)*(WEEKDAY(Ayarlar!$E$5:$E$24,2)&lt;IF(Ayarlar!$C$5=1,7,6))),D178-C178+1))</f>
        <v/>
      </c>
      <c r="G178" s="16" t="str">
        <f aca="false">IF(A178="","",IF(OR(B178="",C178="",D178=""),"Eksik bilgi",IF(D178&lt;C178,"Bitiş başlangıçtan önce","OK")))</f>
        <v/>
      </c>
    </row>
    <row r="179" customFormat="false" ht="15" hidden="false" customHeight="false" outlineLevel="0" collapsed="false">
      <c r="A179" s="12"/>
      <c r="B179" s="13"/>
      <c r="C179" s="14"/>
      <c r="D179" s="14"/>
      <c r="E179" s="12"/>
      <c r="F179" s="15" t="str">
        <f aca="false">IF(OR(C179="",D179="",D179&lt;C179),"",IF(B179="Yıllık izin",D179-C179+1-INT((WEEKDAY(C179-1)+D179-C179)/7)-IF(Ayarlar!$C$5=1,0,INT((WEEKDAY(C179-7)+D179-C179)/7))-SUMPRODUCT((Ayarlar!$E$5:$E$24&gt;=C179)*(Ayarlar!$E$5:$E$24&lt;=D179)*(WEEKDAY(Ayarlar!$E$5:$E$24,2)&lt;IF(Ayarlar!$C$5=1,7,6))),D179-C179+1))</f>
        <v/>
      </c>
      <c r="G179" s="16" t="str">
        <f aca="false">IF(A179="","",IF(OR(B179="",C179="",D179=""),"Eksik bilgi",IF(D179&lt;C179,"Bitiş başlangıçtan önce","OK")))</f>
        <v/>
      </c>
    </row>
    <row r="180" customFormat="false" ht="15" hidden="false" customHeight="false" outlineLevel="0" collapsed="false">
      <c r="A180" s="12"/>
      <c r="B180" s="13"/>
      <c r="C180" s="14"/>
      <c r="D180" s="14"/>
      <c r="E180" s="12"/>
      <c r="F180" s="15" t="str">
        <f aca="false">IF(OR(C180="",D180="",D180&lt;C180),"",IF(B180="Yıllık izin",D180-C180+1-INT((WEEKDAY(C180-1)+D180-C180)/7)-IF(Ayarlar!$C$5=1,0,INT((WEEKDAY(C180-7)+D180-C180)/7))-SUMPRODUCT((Ayarlar!$E$5:$E$24&gt;=C180)*(Ayarlar!$E$5:$E$24&lt;=D180)*(WEEKDAY(Ayarlar!$E$5:$E$24,2)&lt;IF(Ayarlar!$C$5=1,7,6))),D180-C180+1))</f>
        <v/>
      </c>
      <c r="G180" s="16" t="str">
        <f aca="false">IF(A180="","",IF(OR(B180="",C180="",D180=""),"Eksik bilgi",IF(D180&lt;C180,"Bitiş başlangıçtan önce","OK")))</f>
        <v/>
      </c>
    </row>
    <row r="181" customFormat="false" ht="15" hidden="false" customHeight="false" outlineLevel="0" collapsed="false">
      <c r="A181" s="12"/>
      <c r="B181" s="13"/>
      <c r="C181" s="14"/>
      <c r="D181" s="14"/>
      <c r="E181" s="12"/>
      <c r="F181" s="15" t="str">
        <f aca="false">IF(OR(C181="",D181="",D181&lt;C181),"",IF(B181="Yıllık izin",D181-C181+1-INT((WEEKDAY(C181-1)+D181-C181)/7)-IF(Ayarlar!$C$5=1,0,INT((WEEKDAY(C181-7)+D181-C181)/7))-SUMPRODUCT((Ayarlar!$E$5:$E$24&gt;=C181)*(Ayarlar!$E$5:$E$24&lt;=D181)*(WEEKDAY(Ayarlar!$E$5:$E$24,2)&lt;IF(Ayarlar!$C$5=1,7,6))),D181-C181+1))</f>
        <v/>
      </c>
      <c r="G181" s="16" t="str">
        <f aca="false">IF(A181="","",IF(OR(B181="",C181="",D181=""),"Eksik bilgi",IF(D181&lt;C181,"Bitiş başlangıçtan önce","OK")))</f>
        <v/>
      </c>
    </row>
    <row r="182" customFormat="false" ht="15" hidden="false" customHeight="false" outlineLevel="0" collapsed="false">
      <c r="A182" s="12"/>
      <c r="B182" s="13"/>
      <c r="C182" s="14"/>
      <c r="D182" s="14"/>
      <c r="E182" s="12"/>
      <c r="F182" s="15" t="str">
        <f aca="false">IF(OR(C182="",D182="",D182&lt;C182),"",IF(B182="Yıllık izin",D182-C182+1-INT((WEEKDAY(C182-1)+D182-C182)/7)-IF(Ayarlar!$C$5=1,0,INT((WEEKDAY(C182-7)+D182-C182)/7))-SUMPRODUCT((Ayarlar!$E$5:$E$24&gt;=C182)*(Ayarlar!$E$5:$E$24&lt;=D182)*(WEEKDAY(Ayarlar!$E$5:$E$24,2)&lt;IF(Ayarlar!$C$5=1,7,6))),D182-C182+1))</f>
        <v/>
      </c>
      <c r="G182" s="16" t="str">
        <f aca="false">IF(A182="","",IF(OR(B182="",C182="",D182=""),"Eksik bilgi",IF(D182&lt;C182,"Bitiş başlangıçtan önce","OK")))</f>
        <v/>
      </c>
    </row>
    <row r="183" customFormat="false" ht="15" hidden="false" customHeight="false" outlineLevel="0" collapsed="false">
      <c r="A183" s="12"/>
      <c r="B183" s="13"/>
      <c r="C183" s="14"/>
      <c r="D183" s="14"/>
      <c r="E183" s="12"/>
      <c r="F183" s="15" t="str">
        <f aca="false">IF(OR(C183="",D183="",D183&lt;C183),"",IF(B183="Yıllık izin",D183-C183+1-INT((WEEKDAY(C183-1)+D183-C183)/7)-IF(Ayarlar!$C$5=1,0,INT((WEEKDAY(C183-7)+D183-C183)/7))-SUMPRODUCT((Ayarlar!$E$5:$E$24&gt;=C183)*(Ayarlar!$E$5:$E$24&lt;=D183)*(WEEKDAY(Ayarlar!$E$5:$E$24,2)&lt;IF(Ayarlar!$C$5=1,7,6))),D183-C183+1))</f>
        <v/>
      </c>
      <c r="G183" s="16" t="str">
        <f aca="false">IF(A183="","",IF(OR(B183="",C183="",D183=""),"Eksik bilgi",IF(D183&lt;C183,"Bitiş başlangıçtan önce","OK")))</f>
        <v/>
      </c>
    </row>
    <row r="184" customFormat="false" ht="15" hidden="false" customHeight="false" outlineLevel="0" collapsed="false">
      <c r="A184" s="12"/>
      <c r="B184" s="13"/>
      <c r="C184" s="14"/>
      <c r="D184" s="14"/>
      <c r="E184" s="12"/>
      <c r="F184" s="15" t="str">
        <f aca="false">IF(OR(C184="",D184="",D184&lt;C184),"",IF(B184="Yıllık izin",D184-C184+1-INT((WEEKDAY(C184-1)+D184-C184)/7)-IF(Ayarlar!$C$5=1,0,INT((WEEKDAY(C184-7)+D184-C184)/7))-SUMPRODUCT((Ayarlar!$E$5:$E$24&gt;=C184)*(Ayarlar!$E$5:$E$24&lt;=D184)*(WEEKDAY(Ayarlar!$E$5:$E$24,2)&lt;IF(Ayarlar!$C$5=1,7,6))),D184-C184+1))</f>
        <v/>
      </c>
      <c r="G184" s="16" t="str">
        <f aca="false">IF(A184="","",IF(OR(B184="",C184="",D184=""),"Eksik bilgi",IF(D184&lt;C184,"Bitiş başlangıçtan önce","OK")))</f>
        <v/>
      </c>
    </row>
    <row r="185" customFormat="false" ht="15" hidden="false" customHeight="false" outlineLevel="0" collapsed="false">
      <c r="A185" s="12"/>
      <c r="B185" s="13"/>
      <c r="C185" s="14"/>
      <c r="D185" s="14"/>
      <c r="E185" s="12"/>
      <c r="F185" s="15" t="str">
        <f aca="false">IF(OR(C185="",D185="",D185&lt;C185),"",IF(B185="Yıllık izin",D185-C185+1-INT((WEEKDAY(C185-1)+D185-C185)/7)-IF(Ayarlar!$C$5=1,0,INT((WEEKDAY(C185-7)+D185-C185)/7))-SUMPRODUCT((Ayarlar!$E$5:$E$24&gt;=C185)*(Ayarlar!$E$5:$E$24&lt;=D185)*(WEEKDAY(Ayarlar!$E$5:$E$24,2)&lt;IF(Ayarlar!$C$5=1,7,6))),D185-C185+1))</f>
        <v/>
      </c>
      <c r="G185" s="16" t="str">
        <f aca="false">IF(A185="","",IF(OR(B185="",C185="",D185=""),"Eksik bilgi",IF(D185&lt;C185,"Bitiş başlangıçtan önce","OK")))</f>
        <v/>
      </c>
    </row>
    <row r="186" customFormat="false" ht="15" hidden="false" customHeight="false" outlineLevel="0" collapsed="false">
      <c r="A186" s="12"/>
      <c r="B186" s="13"/>
      <c r="C186" s="14"/>
      <c r="D186" s="14"/>
      <c r="E186" s="12"/>
      <c r="F186" s="15" t="str">
        <f aca="false">IF(OR(C186="",D186="",D186&lt;C186),"",IF(B186="Yıllık izin",D186-C186+1-INT((WEEKDAY(C186-1)+D186-C186)/7)-IF(Ayarlar!$C$5=1,0,INT((WEEKDAY(C186-7)+D186-C186)/7))-SUMPRODUCT((Ayarlar!$E$5:$E$24&gt;=C186)*(Ayarlar!$E$5:$E$24&lt;=D186)*(WEEKDAY(Ayarlar!$E$5:$E$24,2)&lt;IF(Ayarlar!$C$5=1,7,6))),D186-C186+1))</f>
        <v/>
      </c>
      <c r="G186" s="16" t="str">
        <f aca="false">IF(A186="","",IF(OR(B186="",C186="",D186=""),"Eksik bilgi",IF(D186&lt;C186,"Bitiş başlangıçtan önce","OK")))</f>
        <v/>
      </c>
    </row>
    <row r="187" customFormat="false" ht="15" hidden="false" customHeight="false" outlineLevel="0" collapsed="false">
      <c r="A187" s="12"/>
      <c r="B187" s="13"/>
      <c r="C187" s="14"/>
      <c r="D187" s="14"/>
      <c r="E187" s="12"/>
      <c r="F187" s="15" t="str">
        <f aca="false">IF(OR(C187="",D187="",D187&lt;C187),"",IF(B187="Yıllık izin",D187-C187+1-INT((WEEKDAY(C187-1)+D187-C187)/7)-IF(Ayarlar!$C$5=1,0,INT((WEEKDAY(C187-7)+D187-C187)/7))-SUMPRODUCT((Ayarlar!$E$5:$E$24&gt;=C187)*(Ayarlar!$E$5:$E$24&lt;=D187)*(WEEKDAY(Ayarlar!$E$5:$E$24,2)&lt;IF(Ayarlar!$C$5=1,7,6))),D187-C187+1))</f>
        <v/>
      </c>
      <c r="G187" s="16" t="str">
        <f aca="false">IF(A187="","",IF(OR(B187="",C187="",D187=""),"Eksik bilgi",IF(D187&lt;C187,"Bitiş başlangıçtan önce","OK")))</f>
        <v/>
      </c>
    </row>
    <row r="188" customFormat="false" ht="15" hidden="false" customHeight="false" outlineLevel="0" collapsed="false">
      <c r="A188" s="12"/>
      <c r="B188" s="13"/>
      <c r="C188" s="14"/>
      <c r="D188" s="14"/>
      <c r="E188" s="12"/>
      <c r="F188" s="15" t="str">
        <f aca="false">IF(OR(C188="",D188="",D188&lt;C188),"",IF(B188="Yıllık izin",D188-C188+1-INT((WEEKDAY(C188-1)+D188-C188)/7)-IF(Ayarlar!$C$5=1,0,INT((WEEKDAY(C188-7)+D188-C188)/7))-SUMPRODUCT((Ayarlar!$E$5:$E$24&gt;=C188)*(Ayarlar!$E$5:$E$24&lt;=D188)*(WEEKDAY(Ayarlar!$E$5:$E$24,2)&lt;IF(Ayarlar!$C$5=1,7,6))),D188-C188+1))</f>
        <v/>
      </c>
      <c r="G188" s="16" t="str">
        <f aca="false">IF(A188="","",IF(OR(B188="",C188="",D188=""),"Eksik bilgi",IF(D188&lt;C188,"Bitiş başlangıçtan önce","OK")))</f>
        <v/>
      </c>
    </row>
    <row r="189" customFormat="false" ht="15" hidden="false" customHeight="false" outlineLevel="0" collapsed="false">
      <c r="A189" s="12"/>
      <c r="B189" s="13"/>
      <c r="C189" s="14"/>
      <c r="D189" s="14"/>
      <c r="E189" s="12"/>
      <c r="F189" s="15" t="str">
        <f aca="false">IF(OR(C189="",D189="",D189&lt;C189),"",IF(B189="Yıllık izin",D189-C189+1-INT((WEEKDAY(C189-1)+D189-C189)/7)-IF(Ayarlar!$C$5=1,0,INT((WEEKDAY(C189-7)+D189-C189)/7))-SUMPRODUCT((Ayarlar!$E$5:$E$24&gt;=C189)*(Ayarlar!$E$5:$E$24&lt;=D189)*(WEEKDAY(Ayarlar!$E$5:$E$24,2)&lt;IF(Ayarlar!$C$5=1,7,6))),D189-C189+1))</f>
        <v/>
      </c>
      <c r="G189" s="16" t="str">
        <f aca="false">IF(A189="","",IF(OR(B189="",C189="",D189=""),"Eksik bilgi",IF(D189&lt;C189,"Bitiş başlangıçtan önce","OK")))</f>
        <v/>
      </c>
    </row>
    <row r="190" customFormat="false" ht="15" hidden="false" customHeight="false" outlineLevel="0" collapsed="false">
      <c r="A190" s="12"/>
      <c r="B190" s="13"/>
      <c r="C190" s="14"/>
      <c r="D190" s="14"/>
      <c r="E190" s="12"/>
      <c r="F190" s="15" t="str">
        <f aca="false">IF(OR(C190="",D190="",D190&lt;C190),"",IF(B190="Yıllık izin",D190-C190+1-INT((WEEKDAY(C190-1)+D190-C190)/7)-IF(Ayarlar!$C$5=1,0,INT((WEEKDAY(C190-7)+D190-C190)/7))-SUMPRODUCT((Ayarlar!$E$5:$E$24&gt;=C190)*(Ayarlar!$E$5:$E$24&lt;=D190)*(WEEKDAY(Ayarlar!$E$5:$E$24,2)&lt;IF(Ayarlar!$C$5=1,7,6))),D190-C190+1))</f>
        <v/>
      </c>
      <c r="G190" s="16" t="str">
        <f aca="false">IF(A190="","",IF(OR(B190="",C190="",D190=""),"Eksik bilgi",IF(D190&lt;C190,"Bitiş başlangıçtan önce","OK")))</f>
        <v/>
      </c>
    </row>
    <row r="191" customFormat="false" ht="15" hidden="false" customHeight="false" outlineLevel="0" collapsed="false">
      <c r="A191" s="12"/>
      <c r="B191" s="13"/>
      <c r="C191" s="14"/>
      <c r="D191" s="14"/>
      <c r="E191" s="12"/>
      <c r="F191" s="15" t="str">
        <f aca="false">IF(OR(C191="",D191="",D191&lt;C191),"",IF(B191="Yıllık izin",D191-C191+1-INT((WEEKDAY(C191-1)+D191-C191)/7)-IF(Ayarlar!$C$5=1,0,INT((WEEKDAY(C191-7)+D191-C191)/7))-SUMPRODUCT((Ayarlar!$E$5:$E$24&gt;=C191)*(Ayarlar!$E$5:$E$24&lt;=D191)*(WEEKDAY(Ayarlar!$E$5:$E$24,2)&lt;IF(Ayarlar!$C$5=1,7,6))),D191-C191+1))</f>
        <v/>
      </c>
      <c r="G191" s="16" t="str">
        <f aca="false">IF(A191="","",IF(OR(B191="",C191="",D191=""),"Eksik bilgi",IF(D191&lt;C191,"Bitiş başlangıçtan önce","OK")))</f>
        <v/>
      </c>
    </row>
    <row r="192" customFormat="false" ht="15" hidden="false" customHeight="false" outlineLevel="0" collapsed="false">
      <c r="A192" s="12"/>
      <c r="B192" s="13"/>
      <c r="C192" s="14"/>
      <c r="D192" s="14"/>
      <c r="E192" s="12"/>
      <c r="F192" s="15" t="str">
        <f aca="false">IF(OR(C192="",D192="",D192&lt;C192),"",IF(B192="Yıllık izin",D192-C192+1-INT((WEEKDAY(C192-1)+D192-C192)/7)-IF(Ayarlar!$C$5=1,0,INT((WEEKDAY(C192-7)+D192-C192)/7))-SUMPRODUCT((Ayarlar!$E$5:$E$24&gt;=C192)*(Ayarlar!$E$5:$E$24&lt;=D192)*(WEEKDAY(Ayarlar!$E$5:$E$24,2)&lt;IF(Ayarlar!$C$5=1,7,6))),D192-C192+1))</f>
        <v/>
      </c>
      <c r="G192" s="16" t="str">
        <f aca="false">IF(A192="","",IF(OR(B192="",C192="",D192=""),"Eksik bilgi",IF(D192&lt;C192,"Bitiş başlangıçtan önce","OK")))</f>
        <v/>
      </c>
    </row>
    <row r="193" customFormat="false" ht="15" hidden="false" customHeight="false" outlineLevel="0" collapsed="false">
      <c r="A193" s="12"/>
      <c r="B193" s="13"/>
      <c r="C193" s="14"/>
      <c r="D193" s="14"/>
      <c r="E193" s="12"/>
      <c r="F193" s="15" t="str">
        <f aca="false">IF(OR(C193="",D193="",D193&lt;C193),"",IF(B193="Yıllık izin",D193-C193+1-INT((WEEKDAY(C193-1)+D193-C193)/7)-IF(Ayarlar!$C$5=1,0,INT((WEEKDAY(C193-7)+D193-C193)/7))-SUMPRODUCT((Ayarlar!$E$5:$E$24&gt;=C193)*(Ayarlar!$E$5:$E$24&lt;=D193)*(WEEKDAY(Ayarlar!$E$5:$E$24,2)&lt;IF(Ayarlar!$C$5=1,7,6))),D193-C193+1))</f>
        <v/>
      </c>
      <c r="G193" s="16" t="str">
        <f aca="false">IF(A193="","",IF(OR(B193="",C193="",D193=""),"Eksik bilgi",IF(D193&lt;C193,"Bitiş başlangıçtan önce","OK")))</f>
        <v/>
      </c>
    </row>
    <row r="194" customFormat="false" ht="15" hidden="false" customHeight="false" outlineLevel="0" collapsed="false">
      <c r="A194" s="12"/>
      <c r="B194" s="13"/>
      <c r="C194" s="14"/>
      <c r="D194" s="14"/>
      <c r="E194" s="12"/>
      <c r="F194" s="15" t="str">
        <f aca="false">IF(OR(C194="",D194="",D194&lt;C194),"",IF(B194="Yıllık izin",D194-C194+1-INT((WEEKDAY(C194-1)+D194-C194)/7)-IF(Ayarlar!$C$5=1,0,INT((WEEKDAY(C194-7)+D194-C194)/7))-SUMPRODUCT((Ayarlar!$E$5:$E$24&gt;=C194)*(Ayarlar!$E$5:$E$24&lt;=D194)*(WEEKDAY(Ayarlar!$E$5:$E$24,2)&lt;IF(Ayarlar!$C$5=1,7,6))),D194-C194+1))</f>
        <v/>
      </c>
      <c r="G194" s="16" t="str">
        <f aca="false">IF(A194="","",IF(OR(B194="",C194="",D194=""),"Eksik bilgi",IF(D194&lt;C194,"Bitiş başlangıçtan önce","OK")))</f>
        <v/>
      </c>
    </row>
    <row r="195" customFormat="false" ht="15" hidden="false" customHeight="false" outlineLevel="0" collapsed="false">
      <c r="A195" s="12"/>
      <c r="B195" s="13"/>
      <c r="C195" s="14"/>
      <c r="D195" s="14"/>
      <c r="E195" s="12"/>
      <c r="F195" s="15" t="str">
        <f aca="false">IF(OR(C195="",D195="",D195&lt;C195),"",IF(B195="Yıllık izin",D195-C195+1-INT((WEEKDAY(C195-1)+D195-C195)/7)-IF(Ayarlar!$C$5=1,0,INT((WEEKDAY(C195-7)+D195-C195)/7))-SUMPRODUCT((Ayarlar!$E$5:$E$24&gt;=C195)*(Ayarlar!$E$5:$E$24&lt;=D195)*(WEEKDAY(Ayarlar!$E$5:$E$24,2)&lt;IF(Ayarlar!$C$5=1,7,6))),D195-C195+1))</f>
        <v/>
      </c>
      <c r="G195" s="16" t="str">
        <f aca="false">IF(A195="","",IF(OR(B195="",C195="",D195=""),"Eksik bilgi",IF(D195&lt;C195,"Bitiş başlangıçtan önce","OK")))</f>
        <v/>
      </c>
    </row>
    <row r="196" customFormat="false" ht="15" hidden="false" customHeight="false" outlineLevel="0" collapsed="false">
      <c r="A196" s="12"/>
      <c r="B196" s="13"/>
      <c r="C196" s="14"/>
      <c r="D196" s="14"/>
      <c r="E196" s="12"/>
      <c r="F196" s="15" t="str">
        <f aca="false">IF(OR(C196="",D196="",D196&lt;C196),"",IF(B196="Yıllık izin",D196-C196+1-INT((WEEKDAY(C196-1)+D196-C196)/7)-IF(Ayarlar!$C$5=1,0,INT((WEEKDAY(C196-7)+D196-C196)/7))-SUMPRODUCT((Ayarlar!$E$5:$E$24&gt;=C196)*(Ayarlar!$E$5:$E$24&lt;=D196)*(WEEKDAY(Ayarlar!$E$5:$E$24,2)&lt;IF(Ayarlar!$C$5=1,7,6))),D196-C196+1))</f>
        <v/>
      </c>
      <c r="G196" s="16" t="str">
        <f aca="false">IF(A196="","",IF(OR(B196="",C196="",D196=""),"Eksik bilgi",IF(D196&lt;C196,"Bitiş başlangıçtan önce","OK")))</f>
        <v/>
      </c>
    </row>
    <row r="197" customFormat="false" ht="15" hidden="false" customHeight="false" outlineLevel="0" collapsed="false">
      <c r="A197" s="12"/>
      <c r="B197" s="13"/>
      <c r="C197" s="14"/>
      <c r="D197" s="14"/>
      <c r="E197" s="12"/>
      <c r="F197" s="15" t="str">
        <f aca="false">IF(OR(C197="",D197="",D197&lt;C197),"",IF(B197="Yıllık izin",D197-C197+1-INT((WEEKDAY(C197-1)+D197-C197)/7)-IF(Ayarlar!$C$5=1,0,INT((WEEKDAY(C197-7)+D197-C197)/7))-SUMPRODUCT((Ayarlar!$E$5:$E$24&gt;=C197)*(Ayarlar!$E$5:$E$24&lt;=D197)*(WEEKDAY(Ayarlar!$E$5:$E$24,2)&lt;IF(Ayarlar!$C$5=1,7,6))),D197-C197+1))</f>
        <v/>
      </c>
      <c r="G197" s="16" t="str">
        <f aca="false">IF(A197="","",IF(OR(B197="",C197="",D197=""),"Eksik bilgi",IF(D197&lt;C197,"Bitiş başlangıçtan önce","OK")))</f>
        <v/>
      </c>
    </row>
    <row r="198" customFormat="false" ht="15" hidden="false" customHeight="false" outlineLevel="0" collapsed="false">
      <c r="A198" s="12"/>
      <c r="B198" s="13"/>
      <c r="C198" s="14"/>
      <c r="D198" s="14"/>
      <c r="E198" s="12"/>
      <c r="F198" s="15" t="str">
        <f aca="false">IF(OR(C198="",D198="",D198&lt;C198),"",IF(B198="Yıllık izin",D198-C198+1-INT((WEEKDAY(C198-1)+D198-C198)/7)-IF(Ayarlar!$C$5=1,0,INT((WEEKDAY(C198-7)+D198-C198)/7))-SUMPRODUCT((Ayarlar!$E$5:$E$24&gt;=C198)*(Ayarlar!$E$5:$E$24&lt;=D198)*(WEEKDAY(Ayarlar!$E$5:$E$24,2)&lt;IF(Ayarlar!$C$5=1,7,6))),D198-C198+1))</f>
        <v/>
      </c>
      <c r="G198" s="16" t="str">
        <f aca="false">IF(A198="","",IF(OR(B198="",C198="",D198=""),"Eksik bilgi",IF(D198&lt;C198,"Bitiş başlangıçtan önce","OK")))</f>
        <v/>
      </c>
    </row>
    <row r="199" customFormat="false" ht="15" hidden="false" customHeight="false" outlineLevel="0" collapsed="false">
      <c r="A199" s="12"/>
      <c r="B199" s="13"/>
      <c r="C199" s="14"/>
      <c r="D199" s="14"/>
      <c r="E199" s="12"/>
      <c r="F199" s="15" t="str">
        <f aca="false">IF(OR(C199="",D199="",D199&lt;C199),"",IF(B199="Yıllık izin",D199-C199+1-INT((WEEKDAY(C199-1)+D199-C199)/7)-IF(Ayarlar!$C$5=1,0,INT((WEEKDAY(C199-7)+D199-C199)/7))-SUMPRODUCT((Ayarlar!$E$5:$E$24&gt;=C199)*(Ayarlar!$E$5:$E$24&lt;=D199)*(WEEKDAY(Ayarlar!$E$5:$E$24,2)&lt;IF(Ayarlar!$C$5=1,7,6))),D199-C199+1))</f>
        <v/>
      </c>
      <c r="G199" s="16" t="str">
        <f aca="false">IF(A199="","",IF(OR(B199="",C199="",D199=""),"Eksik bilgi",IF(D199&lt;C199,"Bitiş başlangıçtan önce","OK")))</f>
        <v/>
      </c>
    </row>
    <row r="200" customFormat="false" ht="15" hidden="false" customHeight="false" outlineLevel="0" collapsed="false">
      <c r="A200" s="12"/>
      <c r="B200" s="13"/>
      <c r="C200" s="14"/>
      <c r="D200" s="14"/>
      <c r="E200" s="12"/>
      <c r="F200" s="15" t="str">
        <f aca="false">IF(OR(C200="",D200="",D200&lt;C200),"",IF(B200="Yıllık izin",D200-C200+1-INT((WEEKDAY(C200-1)+D200-C200)/7)-IF(Ayarlar!$C$5=1,0,INT((WEEKDAY(C200-7)+D200-C200)/7))-SUMPRODUCT((Ayarlar!$E$5:$E$24&gt;=C200)*(Ayarlar!$E$5:$E$24&lt;=D200)*(WEEKDAY(Ayarlar!$E$5:$E$24,2)&lt;IF(Ayarlar!$C$5=1,7,6))),D200-C200+1))</f>
        <v/>
      </c>
      <c r="G200" s="16" t="str">
        <f aca="false">IF(A200="","",IF(OR(B200="",C200="",D200=""),"Eksik bilgi",IF(D200&lt;C200,"Bitiş başlangıçtan önce","OK")))</f>
        <v/>
      </c>
    </row>
    <row r="201" customFormat="false" ht="15" hidden="false" customHeight="false" outlineLevel="0" collapsed="false">
      <c r="A201" s="12"/>
      <c r="B201" s="13"/>
      <c r="C201" s="14"/>
      <c r="D201" s="14"/>
      <c r="E201" s="12"/>
      <c r="F201" s="15" t="str">
        <f aca="false">IF(OR(C201="",D201="",D201&lt;C201),"",IF(B201="Yıllık izin",D201-C201+1-INT((WEEKDAY(C201-1)+D201-C201)/7)-IF(Ayarlar!$C$5=1,0,INT((WEEKDAY(C201-7)+D201-C201)/7))-SUMPRODUCT((Ayarlar!$E$5:$E$24&gt;=C201)*(Ayarlar!$E$5:$E$24&lt;=D201)*(WEEKDAY(Ayarlar!$E$5:$E$24,2)&lt;IF(Ayarlar!$C$5=1,7,6))),D201-C201+1))</f>
        <v/>
      </c>
      <c r="G201" s="16" t="str">
        <f aca="false">IF(A201="","",IF(OR(B201="",C201="",D201=""),"Eksik bilgi",IF(D201&lt;C201,"Bitiş başlangıçtan önce","OK")))</f>
        <v/>
      </c>
    </row>
    <row r="202" customFormat="false" ht="15" hidden="false" customHeight="false" outlineLevel="0" collapsed="false">
      <c r="A202" s="12"/>
      <c r="B202" s="13"/>
      <c r="C202" s="14"/>
      <c r="D202" s="14"/>
      <c r="E202" s="12"/>
      <c r="F202" s="15" t="str">
        <f aca="false">IF(OR(C202="",D202="",D202&lt;C202),"",IF(B202="Yıllık izin",D202-C202+1-INT((WEEKDAY(C202-1)+D202-C202)/7)-IF(Ayarlar!$C$5=1,0,INT((WEEKDAY(C202-7)+D202-C202)/7))-SUMPRODUCT((Ayarlar!$E$5:$E$24&gt;=C202)*(Ayarlar!$E$5:$E$24&lt;=D202)*(WEEKDAY(Ayarlar!$E$5:$E$24,2)&lt;IF(Ayarlar!$C$5=1,7,6))),D202-C202+1))</f>
        <v/>
      </c>
      <c r="G202" s="16" t="str">
        <f aca="false">IF(A202="","",IF(OR(B202="",C202="",D202=""),"Eksik bilgi",IF(D202&lt;C202,"Bitiş başlangıçtan önce","OK")))</f>
        <v/>
      </c>
    </row>
    <row r="203" customFormat="false" ht="15" hidden="false" customHeight="false" outlineLevel="0" collapsed="false">
      <c r="A203" s="12"/>
      <c r="B203" s="13"/>
      <c r="C203" s="14"/>
      <c r="D203" s="14"/>
      <c r="E203" s="12"/>
      <c r="F203" s="15" t="str">
        <f aca="false">IF(OR(C203="",D203="",D203&lt;C203),"",IF(B203="Yıllık izin",D203-C203+1-INT((WEEKDAY(C203-1)+D203-C203)/7)-IF(Ayarlar!$C$5=1,0,INT((WEEKDAY(C203-7)+D203-C203)/7))-SUMPRODUCT((Ayarlar!$E$5:$E$24&gt;=C203)*(Ayarlar!$E$5:$E$24&lt;=D203)*(WEEKDAY(Ayarlar!$E$5:$E$24,2)&lt;IF(Ayarlar!$C$5=1,7,6))),D203-C203+1))</f>
        <v/>
      </c>
      <c r="G203" s="16" t="str">
        <f aca="false">IF(A203="","",IF(OR(B203="",C203="",D203=""),"Eksik bilgi",IF(D203&lt;C203,"Bitiş başlangıçtan önce","OK")))</f>
        <v/>
      </c>
    </row>
    <row r="204" customFormat="false" ht="15" hidden="false" customHeight="false" outlineLevel="0" collapsed="false">
      <c r="A204" s="12"/>
      <c r="B204" s="13"/>
      <c r="C204" s="14"/>
      <c r="D204" s="14"/>
      <c r="E204" s="12"/>
      <c r="F204" s="15" t="str">
        <f aca="false">IF(OR(C204="",D204="",D204&lt;C204),"",IF(B204="Yıllık izin",D204-C204+1-INT((WEEKDAY(C204-1)+D204-C204)/7)-IF(Ayarlar!$C$5=1,0,INT((WEEKDAY(C204-7)+D204-C204)/7))-SUMPRODUCT((Ayarlar!$E$5:$E$24&gt;=C204)*(Ayarlar!$E$5:$E$24&lt;=D204)*(WEEKDAY(Ayarlar!$E$5:$E$24,2)&lt;IF(Ayarlar!$C$5=1,7,6))),D204-C204+1))</f>
        <v/>
      </c>
      <c r="G204" s="16" t="str">
        <f aca="false">IF(A204="","",IF(OR(B204="",C204="",D204=""),"Eksik bilgi",IF(D204&lt;C204,"Bitiş başlangıçtan önce","OK")))</f>
        <v/>
      </c>
    </row>
    <row r="205" customFormat="false" ht="15" hidden="false" customHeight="false" outlineLevel="0" collapsed="false">
      <c r="A205" s="12"/>
      <c r="B205" s="13"/>
      <c r="C205" s="14"/>
      <c r="D205" s="14"/>
      <c r="E205" s="12"/>
      <c r="F205" s="15" t="str">
        <f aca="false">IF(OR(C205="",D205="",D205&lt;C205),"",IF(B205="Yıllık izin",D205-C205+1-INT((WEEKDAY(C205-1)+D205-C205)/7)-IF(Ayarlar!$C$5=1,0,INT((WEEKDAY(C205-7)+D205-C205)/7))-SUMPRODUCT((Ayarlar!$E$5:$E$24&gt;=C205)*(Ayarlar!$E$5:$E$24&lt;=D205)*(WEEKDAY(Ayarlar!$E$5:$E$24,2)&lt;IF(Ayarlar!$C$5=1,7,6))),D205-C205+1))</f>
        <v/>
      </c>
      <c r="G205" s="16" t="str">
        <f aca="false">IF(A205="","",IF(OR(B205="",C205="",D205=""),"Eksik bilgi",IF(D205&lt;C205,"Bitiş başlangıçtan önce","OK")))</f>
        <v/>
      </c>
    </row>
    <row r="206" customFormat="false" ht="15" hidden="false" customHeight="false" outlineLevel="0" collapsed="false">
      <c r="A206" s="12"/>
      <c r="B206" s="13"/>
      <c r="C206" s="14"/>
      <c r="D206" s="14"/>
      <c r="E206" s="12"/>
      <c r="F206" s="15" t="str">
        <f aca="false">IF(OR(C206="",D206="",D206&lt;C206),"",IF(B206="Yıllık izin",D206-C206+1-INT((WEEKDAY(C206-1)+D206-C206)/7)-IF(Ayarlar!$C$5=1,0,INT((WEEKDAY(C206-7)+D206-C206)/7))-SUMPRODUCT((Ayarlar!$E$5:$E$24&gt;=C206)*(Ayarlar!$E$5:$E$24&lt;=D206)*(WEEKDAY(Ayarlar!$E$5:$E$24,2)&lt;IF(Ayarlar!$C$5=1,7,6))),D206-C206+1))</f>
        <v/>
      </c>
      <c r="G206" s="16" t="str">
        <f aca="false">IF(A206="","",IF(OR(B206="",C206="",D206=""),"Eksik bilgi",IF(D206&lt;C206,"Bitiş başlangıçtan önce","OK")))</f>
        <v/>
      </c>
    </row>
    <row r="207" customFormat="false" ht="15" hidden="false" customHeight="false" outlineLevel="0" collapsed="false">
      <c r="A207" s="12"/>
      <c r="B207" s="13"/>
      <c r="C207" s="14"/>
      <c r="D207" s="14"/>
      <c r="E207" s="12"/>
      <c r="F207" s="15" t="str">
        <f aca="false">IF(OR(C207="",D207="",D207&lt;C207),"",IF(B207="Yıllık izin",D207-C207+1-INT((WEEKDAY(C207-1)+D207-C207)/7)-IF(Ayarlar!$C$5=1,0,INT((WEEKDAY(C207-7)+D207-C207)/7))-SUMPRODUCT((Ayarlar!$E$5:$E$24&gt;=C207)*(Ayarlar!$E$5:$E$24&lt;=D207)*(WEEKDAY(Ayarlar!$E$5:$E$24,2)&lt;IF(Ayarlar!$C$5=1,7,6))),D207-C207+1))</f>
        <v/>
      </c>
      <c r="G207" s="16" t="str">
        <f aca="false">IF(A207="","",IF(OR(B207="",C207="",D207=""),"Eksik bilgi",IF(D207&lt;C207,"Bitiş başlangıçtan önce","OK")))</f>
        <v/>
      </c>
    </row>
    <row r="208" customFormat="false" ht="15" hidden="false" customHeight="false" outlineLevel="0" collapsed="false">
      <c r="A208" s="12"/>
      <c r="B208" s="13"/>
      <c r="C208" s="14"/>
      <c r="D208" s="14"/>
      <c r="E208" s="12"/>
      <c r="F208" s="15" t="str">
        <f aca="false">IF(OR(C208="",D208="",D208&lt;C208),"",IF(B208="Yıllık izin",D208-C208+1-INT((WEEKDAY(C208-1)+D208-C208)/7)-IF(Ayarlar!$C$5=1,0,INT((WEEKDAY(C208-7)+D208-C208)/7))-SUMPRODUCT((Ayarlar!$E$5:$E$24&gt;=C208)*(Ayarlar!$E$5:$E$24&lt;=D208)*(WEEKDAY(Ayarlar!$E$5:$E$24,2)&lt;IF(Ayarlar!$C$5=1,7,6))),D208-C208+1))</f>
        <v/>
      </c>
      <c r="G208" s="16" t="str">
        <f aca="false">IF(A208="","",IF(OR(B208="",C208="",D208=""),"Eksik bilgi",IF(D208&lt;C208,"Bitiş başlangıçtan önce","OK")))</f>
        <v/>
      </c>
    </row>
    <row r="209" customFormat="false" ht="15" hidden="false" customHeight="false" outlineLevel="0" collapsed="false">
      <c r="A209" s="12"/>
      <c r="B209" s="13"/>
      <c r="C209" s="14"/>
      <c r="D209" s="14"/>
      <c r="E209" s="12"/>
      <c r="F209" s="15" t="str">
        <f aca="false">IF(OR(C209="",D209="",D209&lt;C209),"",IF(B209="Yıllık izin",D209-C209+1-INT((WEEKDAY(C209-1)+D209-C209)/7)-IF(Ayarlar!$C$5=1,0,INT((WEEKDAY(C209-7)+D209-C209)/7))-SUMPRODUCT((Ayarlar!$E$5:$E$24&gt;=C209)*(Ayarlar!$E$5:$E$24&lt;=D209)*(WEEKDAY(Ayarlar!$E$5:$E$24,2)&lt;IF(Ayarlar!$C$5=1,7,6))),D209-C209+1))</f>
        <v/>
      </c>
      <c r="G209" s="16" t="str">
        <f aca="false">IF(A209="","",IF(OR(B209="",C209="",D209=""),"Eksik bilgi",IF(D209&lt;C209,"Bitiş başlangıçtan önce","OK")))</f>
        <v/>
      </c>
    </row>
    <row r="210" customFormat="false" ht="15" hidden="false" customHeight="false" outlineLevel="0" collapsed="false">
      <c r="A210" s="12"/>
      <c r="B210" s="13"/>
      <c r="C210" s="14"/>
      <c r="D210" s="14"/>
      <c r="E210" s="12"/>
      <c r="F210" s="15" t="str">
        <f aca="false">IF(OR(C210="",D210="",D210&lt;C210),"",IF(B210="Yıllık izin",D210-C210+1-INT((WEEKDAY(C210-1)+D210-C210)/7)-IF(Ayarlar!$C$5=1,0,INT((WEEKDAY(C210-7)+D210-C210)/7))-SUMPRODUCT((Ayarlar!$E$5:$E$24&gt;=C210)*(Ayarlar!$E$5:$E$24&lt;=D210)*(WEEKDAY(Ayarlar!$E$5:$E$24,2)&lt;IF(Ayarlar!$C$5=1,7,6))),D210-C210+1))</f>
        <v/>
      </c>
      <c r="G210" s="16" t="str">
        <f aca="false">IF(A210="","",IF(OR(B210="",C210="",D210=""),"Eksik bilgi",IF(D210&lt;C210,"Bitiş başlangıçtan önce","OK")))</f>
        <v/>
      </c>
    </row>
    <row r="211" customFormat="false" ht="15" hidden="false" customHeight="false" outlineLevel="0" collapsed="false">
      <c r="A211" s="12"/>
      <c r="B211" s="13"/>
      <c r="C211" s="14"/>
      <c r="D211" s="14"/>
      <c r="E211" s="12"/>
      <c r="F211" s="15" t="str">
        <f aca="false">IF(OR(C211="",D211="",D211&lt;C211),"",IF(B211="Yıllık izin",D211-C211+1-INT((WEEKDAY(C211-1)+D211-C211)/7)-IF(Ayarlar!$C$5=1,0,INT((WEEKDAY(C211-7)+D211-C211)/7))-SUMPRODUCT((Ayarlar!$E$5:$E$24&gt;=C211)*(Ayarlar!$E$5:$E$24&lt;=D211)*(WEEKDAY(Ayarlar!$E$5:$E$24,2)&lt;IF(Ayarlar!$C$5=1,7,6))),D211-C211+1))</f>
        <v/>
      </c>
      <c r="G211" s="16" t="str">
        <f aca="false">IF(A211="","",IF(OR(B211="",C211="",D211=""),"Eksik bilgi",IF(D211&lt;C211,"Bitiş başlangıçtan önce","OK")))</f>
        <v/>
      </c>
    </row>
    <row r="212" customFormat="false" ht="15" hidden="false" customHeight="false" outlineLevel="0" collapsed="false">
      <c r="A212" s="12"/>
      <c r="B212" s="13"/>
      <c r="C212" s="14"/>
      <c r="D212" s="14"/>
      <c r="E212" s="12"/>
      <c r="F212" s="15" t="str">
        <f aca="false">IF(OR(C212="",D212="",D212&lt;C212),"",IF(B212="Yıllık izin",D212-C212+1-INT((WEEKDAY(C212-1)+D212-C212)/7)-IF(Ayarlar!$C$5=1,0,INT((WEEKDAY(C212-7)+D212-C212)/7))-SUMPRODUCT((Ayarlar!$E$5:$E$24&gt;=C212)*(Ayarlar!$E$5:$E$24&lt;=D212)*(WEEKDAY(Ayarlar!$E$5:$E$24,2)&lt;IF(Ayarlar!$C$5=1,7,6))),D212-C212+1))</f>
        <v/>
      </c>
      <c r="G212" s="16" t="str">
        <f aca="false">IF(A212="","",IF(OR(B212="",C212="",D212=""),"Eksik bilgi",IF(D212&lt;C212,"Bitiş başlangıçtan önce","OK")))</f>
        <v/>
      </c>
    </row>
    <row r="213" customFormat="false" ht="15" hidden="false" customHeight="false" outlineLevel="0" collapsed="false">
      <c r="A213" s="12"/>
      <c r="B213" s="13"/>
      <c r="C213" s="14"/>
      <c r="D213" s="14"/>
      <c r="E213" s="12"/>
      <c r="F213" s="15" t="str">
        <f aca="false">IF(OR(C213="",D213="",D213&lt;C213),"",IF(B213="Yıllık izin",D213-C213+1-INT((WEEKDAY(C213-1)+D213-C213)/7)-IF(Ayarlar!$C$5=1,0,INT((WEEKDAY(C213-7)+D213-C213)/7))-SUMPRODUCT((Ayarlar!$E$5:$E$24&gt;=C213)*(Ayarlar!$E$5:$E$24&lt;=D213)*(WEEKDAY(Ayarlar!$E$5:$E$24,2)&lt;IF(Ayarlar!$C$5=1,7,6))),D213-C213+1))</f>
        <v/>
      </c>
      <c r="G213" s="16" t="str">
        <f aca="false">IF(A213="","",IF(OR(B213="",C213="",D213=""),"Eksik bilgi",IF(D213&lt;C213,"Bitiş başlangıçtan önce","OK")))</f>
        <v/>
      </c>
    </row>
    <row r="214" customFormat="false" ht="15" hidden="false" customHeight="false" outlineLevel="0" collapsed="false">
      <c r="A214" s="12"/>
      <c r="B214" s="13"/>
      <c r="C214" s="14"/>
      <c r="D214" s="14"/>
      <c r="E214" s="12"/>
      <c r="F214" s="15" t="str">
        <f aca="false">IF(OR(C214="",D214="",D214&lt;C214),"",IF(B214="Yıllık izin",D214-C214+1-INT((WEEKDAY(C214-1)+D214-C214)/7)-IF(Ayarlar!$C$5=1,0,INT((WEEKDAY(C214-7)+D214-C214)/7))-SUMPRODUCT((Ayarlar!$E$5:$E$24&gt;=C214)*(Ayarlar!$E$5:$E$24&lt;=D214)*(WEEKDAY(Ayarlar!$E$5:$E$24,2)&lt;IF(Ayarlar!$C$5=1,7,6))),D214-C214+1))</f>
        <v/>
      </c>
      <c r="G214" s="16" t="str">
        <f aca="false">IF(A214="","",IF(OR(B214="",C214="",D214=""),"Eksik bilgi",IF(D214&lt;C214,"Bitiş başlangıçtan önce","OK")))</f>
        <v/>
      </c>
    </row>
    <row r="215" customFormat="false" ht="15" hidden="false" customHeight="false" outlineLevel="0" collapsed="false">
      <c r="A215" s="12"/>
      <c r="B215" s="13"/>
      <c r="C215" s="14"/>
      <c r="D215" s="14"/>
      <c r="E215" s="12"/>
      <c r="F215" s="15" t="str">
        <f aca="false">IF(OR(C215="",D215="",D215&lt;C215),"",IF(B215="Yıllık izin",D215-C215+1-INT((WEEKDAY(C215-1)+D215-C215)/7)-IF(Ayarlar!$C$5=1,0,INT((WEEKDAY(C215-7)+D215-C215)/7))-SUMPRODUCT((Ayarlar!$E$5:$E$24&gt;=C215)*(Ayarlar!$E$5:$E$24&lt;=D215)*(WEEKDAY(Ayarlar!$E$5:$E$24,2)&lt;IF(Ayarlar!$C$5=1,7,6))),D215-C215+1))</f>
        <v/>
      </c>
      <c r="G215" s="16" t="str">
        <f aca="false">IF(A215="","",IF(OR(B215="",C215="",D215=""),"Eksik bilgi",IF(D215&lt;C215,"Bitiş başlangıçtan önce","OK")))</f>
        <v/>
      </c>
    </row>
    <row r="216" customFormat="false" ht="15" hidden="false" customHeight="false" outlineLevel="0" collapsed="false">
      <c r="A216" s="12"/>
      <c r="B216" s="13"/>
      <c r="C216" s="14"/>
      <c r="D216" s="14"/>
      <c r="E216" s="12"/>
      <c r="F216" s="15" t="str">
        <f aca="false">IF(OR(C216="",D216="",D216&lt;C216),"",IF(B216="Yıllık izin",D216-C216+1-INT((WEEKDAY(C216-1)+D216-C216)/7)-IF(Ayarlar!$C$5=1,0,INT((WEEKDAY(C216-7)+D216-C216)/7))-SUMPRODUCT((Ayarlar!$E$5:$E$24&gt;=C216)*(Ayarlar!$E$5:$E$24&lt;=D216)*(WEEKDAY(Ayarlar!$E$5:$E$24,2)&lt;IF(Ayarlar!$C$5=1,7,6))),D216-C216+1))</f>
        <v/>
      </c>
      <c r="G216" s="16" t="str">
        <f aca="false">IF(A216="","",IF(OR(B216="",C216="",D216=""),"Eksik bilgi",IF(D216&lt;C216,"Bitiş başlangıçtan önce","OK")))</f>
        <v/>
      </c>
    </row>
    <row r="217" customFormat="false" ht="15" hidden="false" customHeight="false" outlineLevel="0" collapsed="false">
      <c r="A217" s="12"/>
      <c r="B217" s="13"/>
      <c r="C217" s="14"/>
      <c r="D217" s="14"/>
      <c r="E217" s="12"/>
      <c r="F217" s="15" t="str">
        <f aca="false">IF(OR(C217="",D217="",D217&lt;C217),"",IF(B217="Yıllık izin",D217-C217+1-INT((WEEKDAY(C217-1)+D217-C217)/7)-IF(Ayarlar!$C$5=1,0,INT((WEEKDAY(C217-7)+D217-C217)/7))-SUMPRODUCT((Ayarlar!$E$5:$E$24&gt;=C217)*(Ayarlar!$E$5:$E$24&lt;=D217)*(WEEKDAY(Ayarlar!$E$5:$E$24,2)&lt;IF(Ayarlar!$C$5=1,7,6))),D217-C217+1))</f>
        <v/>
      </c>
      <c r="G217" s="16" t="str">
        <f aca="false">IF(A217="","",IF(OR(B217="",C217="",D217=""),"Eksik bilgi",IF(D217&lt;C217,"Bitiş başlangıçtan önce","OK")))</f>
        <v/>
      </c>
    </row>
    <row r="218" customFormat="false" ht="15" hidden="false" customHeight="false" outlineLevel="0" collapsed="false">
      <c r="A218" s="12"/>
      <c r="B218" s="13"/>
      <c r="C218" s="14"/>
      <c r="D218" s="14"/>
      <c r="E218" s="12"/>
      <c r="F218" s="15" t="str">
        <f aca="false">IF(OR(C218="",D218="",D218&lt;C218),"",IF(B218="Yıllık izin",D218-C218+1-INT((WEEKDAY(C218-1)+D218-C218)/7)-IF(Ayarlar!$C$5=1,0,INT((WEEKDAY(C218-7)+D218-C218)/7))-SUMPRODUCT((Ayarlar!$E$5:$E$24&gt;=C218)*(Ayarlar!$E$5:$E$24&lt;=D218)*(WEEKDAY(Ayarlar!$E$5:$E$24,2)&lt;IF(Ayarlar!$C$5=1,7,6))),D218-C218+1))</f>
        <v/>
      </c>
      <c r="G218" s="16" t="str">
        <f aca="false">IF(A218="","",IF(OR(B218="",C218="",D218=""),"Eksik bilgi",IF(D218&lt;C218,"Bitiş başlangıçtan önce","OK")))</f>
        <v/>
      </c>
    </row>
    <row r="219" customFormat="false" ht="15" hidden="false" customHeight="false" outlineLevel="0" collapsed="false">
      <c r="A219" s="12"/>
      <c r="B219" s="13"/>
      <c r="C219" s="14"/>
      <c r="D219" s="14"/>
      <c r="E219" s="12"/>
      <c r="F219" s="15" t="str">
        <f aca="false">IF(OR(C219="",D219="",D219&lt;C219),"",IF(B219="Yıllık izin",D219-C219+1-INT((WEEKDAY(C219-1)+D219-C219)/7)-IF(Ayarlar!$C$5=1,0,INT((WEEKDAY(C219-7)+D219-C219)/7))-SUMPRODUCT((Ayarlar!$E$5:$E$24&gt;=C219)*(Ayarlar!$E$5:$E$24&lt;=D219)*(WEEKDAY(Ayarlar!$E$5:$E$24,2)&lt;IF(Ayarlar!$C$5=1,7,6))),D219-C219+1))</f>
        <v/>
      </c>
      <c r="G219" s="16" t="str">
        <f aca="false">IF(A219="","",IF(OR(B219="",C219="",D219=""),"Eksik bilgi",IF(D219&lt;C219,"Bitiş başlangıçtan önce","OK")))</f>
        <v/>
      </c>
    </row>
    <row r="220" customFormat="false" ht="15" hidden="false" customHeight="false" outlineLevel="0" collapsed="false">
      <c r="A220" s="12"/>
      <c r="B220" s="13"/>
      <c r="C220" s="14"/>
      <c r="D220" s="14"/>
      <c r="E220" s="12"/>
      <c r="F220" s="15" t="str">
        <f aca="false">IF(OR(C220="",D220="",D220&lt;C220),"",IF(B220="Yıllık izin",D220-C220+1-INT((WEEKDAY(C220-1)+D220-C220)/7)-IF(Ayarlar!$C$5=1,0,INT((WEEKDAY(C220-7)+D220-C220)/7))-SUMPRODUCT((Ayarlar!$E$5:$E$24&gt;=C220)*(Ayarlar!$E$5:$E$24&lt;=D220)*(WEEKDAY(Ayarlar!$E$5:$E$24,2)&lt;IF(Ayarlar!$C$5=1,7,6))),D220-C220+1))</f>
        <v/>
      </c>
      <c r="G220" s="16" t="str">
        <f aca="false">IF(A220="","",IF(OR(B220="",C220="",D220=""),"Eksik bilgi",IF(D220&lt;C220,"Bitiş başlangıçtan önce","OK")))</f>
        <v/>
      </c>
    </row>
    <row r="221" customFormat="false" ht="15" hidden="false" customHeight="false" outlineLevel="0" collapsed="false">
      <c r="A221" s="12"/>
      <c r="B221" s="13"/>
      <c r="C221" s="14"/>
      <c r="D221" s="14"/>
      <c r="E221" s="12"/>
      <c r="F221" s="15" t="str">
        <f aca="false">IF(OR(C221="",D221="",D221&lt;C221),"",IF(B221="Yıllık izin",D221-C221+1-INT((WEEKDAY(C221-1)+D221-C221)/7)-IF(Ayarlar!$C$5=1,0,INT((WEEKDAY(C221-7)+D221-C221)/7))-SUMPRODUCT((Ayarlar!$E$5:$E$24&gt;=C221)*(Ayarlar!$E$5:$E$24&lt;=D221)*(WEEKDAY(Ayarlar!$E$5:$E$24,2)&lt;IF(Ayarlar!$C$5=1,7,6))),D221-C221+1))</f>
        <v/>
      </c>
      <c r="G221" s="16" t="str">
        <f aca="false">IF(A221="","",IF(OR(B221="",C221="",D221=""),"Eksik bilgi",IF(D221&lt;C221,"Bitiş başlangıçtan önce","OK")))</f>
        <v/>
      </c>
    </row>
    <row r="222" customFormat="false" ht="15" hidden="false" customHeight="false" outlineLevel="0" collapsed="false">
      <c r="A222" s="12"/>
      <c r="B222" s="13"/>
      <c r="C222" s="14"/>
      <c r="D222" s="14"/>
      <c r="E222" s="12"/>
      <c r="F222" s="15" t="str">
        <f aca="false">IF(OR(C222="",D222="",D222&lt;C222),"",IF(B222="Yıllık izin",D222-C222+1-INT((WEEKDAY(C222-1)+D222-C222)/7)-IF(Ayarlar!$C$5=1,0,INT((WEEKDAY(C222-7)+D222-C222)/7))-SUMPRODUCT((Ayarlar!$E$5:$E$24&gt;=C222)*(Ayarlar!$E$5:$E$24&lt;=D222)*(WEEKDAY(Ayarlar!$E$5:$E$24,2)&lt;IF(Ayarlar!$C$5=1,7,6))),D222-C222+1))</f>
        <v/>
      </c>
      <c r="G222" s="16" t="str">
        <f aca="false">IF(A222="","",IF(OR(B222="",C222="",D222=""),"Eksik bilgi",IF(D222&lt;C222,"Bitiş başlangıçtan önce","OK")))</f>
        <v/>
      </c>
    </row>
    <row r="223" customFormat="false" ht="15" hidden="false" customHeight="false" outlineLevel="0" collapsed="false">
      <c r="A223" s="12"/>
      <c r="B223" s="13"/>
      <c r="C223" s="14"/>
      <c r="D223" s="14"/>
      <c r="E223" s="12"/>
      <c r="F223" s="15" t="str">
        <f aca="false">IF(OR(C223="",D223="",D223&lt;C223),"",IF(B223="Yıllık izin",D223-C223+1-INT((WEEKDAY(C223-1)+D223-C223)/7)-IF(Ayarlar!$C$5=1,0,INT((WEEKDAY(C223-7)+D223-C223)/7))-SUMPRODUCT((Ayarlar!$E$5:$E$24&gt;=C223)*(Ayarlar!$E$5:$E$24&lt;=D223)*(WEEKDAY(Ayarlar!$E$5:$E$24,2)&lt;IF(Ayarlar!$C$5=1,7,6))),D223-C223+1))</f>
        <v/>
      </c>
      <c r="G223" s="16" t="str">
        <f aca="false">IF(A223="","",IF(OR(B223="",C223="",D223=""),"Eksik bilgi",IF(D223&lt;C223,"Bitiş başlangıçtan önce","OK")))</f>
        <v/>
      </c>
    </row>
    <row r="224" customFormat="false" ht="15" hidden="false" customHeight="false" outlineLevel="0" collapsed="false">
      <c r="A224" s="12"/>
      <c r="B224" s="13"/>
      <c r="C224" s="14"/>
      <c r="D224" s="14"/>
      <c r="E224" s="12"/>
      <c r="F224" s="15" t="str">
        <f aca="false">IF(OR(C224="",D224="",D224&lt;C224),"",IF(B224="Yıllık izin",D224-C224+1-INT((WEEKDAY(C224-1)+D224-C224)/7)-IF(Ayarlar!$C$5=1,0,INT((WEEKDAY(C224-7)+D224-C224)/7))-SUMPRODUCT((Ayarlar!$E$5:$E$24&gt;=C224)*(Ayarlar!$E$5:$E$24&lt;=D224)*(WEEKDAY(Ayarlar!$E$5:$E$24,2)&lt;IF(Ayarlar!$C$5=1,7,6))),D224-C224+1))</f>
        <v/>
      </c>
      <c r="G224" s="16" t="str">
        <f aca="false">IF(A224="","",IF(OR(B224="",C224="",D224=""),"Eksik bilgi",IF(D224&lt;C224,"Bitiş başlangıçtan önce","OK")))</f>
        <v/>
      </c>
    </row>
    <row r="225" customFormat="false" ht="15" hidden="false" customHeight="false" outlineLevel="0" collapsed="false">
      <c r="A225" s="12"/>
      <c r="B225" s="13"/>
      <c r="C225" s="14"/>
      <c r="D225" s="14"/>
      <c r="E225" s="12"/>
      <c r="F225" s="15" t="str">
        <f aca="false">IF(OR(C225="",D225="",D225&lt;C225),"",IF(B225="Yıllık izin",D225-C225+1-INT((WEEKDAY(C225-1)+D225-C225)/7)-IF(Ayarlar!$C$5=1,0,INT((WEEKDAY(C225-7)+D225-C225)/7))-SUMPRODUCT((Ayarlar!$E$5:$E$24&gt;=C225)*(Ayarlar!$E$5:$E$24&lt;=D225)*(WEEKDAY(Ayarlar!$E$5:$E$24,2)&lt;IF(Ayarlar!$C$5=1,7,6))),D225-C225+1))</f>
        <v/>
      </c>
      <c r="G225" s="16" t="str">
        <f aca="false">IF(A225="","",IF(OR(B225="",C225="",D225=""),"Eksik bilgi",IF(D225&lt;C225,"Bitiş başlangıçtan önce","OK")))</f>
        <v/>
      </c>
    </row>
    <row r="226" customFormat="false" ht="15" hidden="false" customHeight="false" outlineLevel="0" collapsed="false">
      <c r="A226" s="12"/>
      <c r="B226" s="13"/>
      <c r="C226" s="14"/>
      <c r="D226" s="14"/>
      <c r="E226" s="12"/>
      <c r="F226" s="15" t="str">
        <f aca="false">IF(OR(C226="",D226="",D226&lt;C226),"",IF(B226="Yıllık izin",D226-C226+1-INT((WEEKDAY(C226-1)+D226-C226)/7)-IF(Ayarlar!$C$5=1,0,INT((WEEKDAY(C226-7)+D226-C226)/7))-SUMPRODUCT((Ayarlar!$E$5:$E$24&gt;=C226)*(Ayarlar!$E$5:$E$24&lt;=D226)*(WEEKDAY(Ayarlar!$E$5:$E$24,2)&lt;IF(Ayarlar!$C$5=1,7,6))),D226-C226+1))</f>
        <v/>
      </c>
      <c r="G226" s="16" t="str">
        <f aca="false">IF(A226="","",IF(OR(B226="",C226="",D226=""),"Eksik bilgi",IF(D226&lt;C226,"Bitiş başlangıçtan önce","OK")))</f>
        <v/>
      </c>
    </row>
    <row r="227" customFormat="false" ht="15" hidden="false" customHeight="false" outlineLevel="0" collapsed="false">
      <c r="A227" s="12"/>
      <c r="B227" s="13"/>
      <c r="C227" s="14"/>
      <c r="D227" s="14"/>
      <c r="E227" s="12"/>
      <c r="F227" s="15" t="str">
        <f aca="false">IF(OR(C227="",D227="",D227&lt;C227),"",IF(B227="Yıllık izin",D227-C227+1-INT((WEEKDAY(C227-1)+D227-C227)/7)-IF(Ayarlar!$C$5=1,0,INT((WEEKDAY(C227-7)+D227-C227)/7))-SUMPRODUCT((Ayarlar!$E$5:$E$24&gt;=C227)*(Ayarlar!$E$5:$E$24&lt;=D227)*(WEEKDAY(Ayarlar!$E$5:$E$24,2)&lt;IF(Ayarlar!$C$5=1,7,6))),D227-C227+1))</f>
        <v/>
      </c>
      <c r="G227" s="16" t="str">
        <f aca="false">IF(A227="","",IF(OR(B227="",C227="",D227=""),"Eksik bilgi",IF(D227&lt;C227,"Bitiş başlangıçtan önce","OK")))</f>
        <v/>
      </c>
    </row>
    <row r="228" customFormat="false" ht="15" hidden="false" customHeight="false" outlineLevel="0" collapsed="false">
      <c r="A228" s="12"/>
      <c r="B228" s="13"/>
      <c r="C228" s="14"/>
      <c r="D228" s="14"/>
      <c r="E228" s="12"/>
      <c r="F228" s="15" t="str">
        <f aca="false">IF(OR(C228="",D228="",D228&lt;C228),"",IF(B228="Yıllık izin",D228-C228+1-INT((WEEKDAY(C228-1)+D228-C228)/7)-IF(Ayarlar!$C$5=1,0,INT((WEEKDAY(C228-7)+D228-C228)/7))-SUMPRODUCT((Ayarlar!$E$5:$E$24&gt;=C228)*(Ayarlar!$E$5:$E$24&lt;=D228)*(WEEKDAY(Ayarlar!$E$5:$E$24,2)&lt;IF(Ayarlar!$C$5=1,7,6))),D228-C228+1))</f>
        <v/>
      </c>
      <c r="G228" s="16" t="str">
        <f aca="false">IF(A228="","",IF(OR(B228="",C228="",D228=""),"Eksik bilgi",IF(D228&lt;C228,"Bitiş başlangıçtan önce","OK")))</f>
        <v/>
      </c>
    </row>
    <row r="229" customFormat="false" ht="15" hidden="false" customHeight="false" outlineLevel="0" collapsed="false">
      <c r="A229" s="12"/>
      <c r="B229" s="13"/>
      <c r="C229" s="14"/>
      <c r="D229" s="14"/>
      <c r="E229" s="12"/>
      <c r="F229" s="15" t="str">
        <f aca="false">IF(OR(C229="",D229="",D229&lt;C229),"",IF(B229="Yıllık izin",D229-C229+1-INT((WEEKDAY(C229-1)+D229-C229)/7)-IF(Ayarlar!$C$5=1,0,INT((WEEKDAY(C229-7)+D229-C229)/7))-SUMPRODUCT((Ayarlar!$E$5:$E$24&gt;=C229)*(Ayarlar!$E$5:$E$24&lt;=D229)*(WEEKDAY(Ayarlar!$E$5:$E$24,2)&lt;IF(Ayarlar!$C$5=1,7,6))),D229-C229+1))</f>
        <v/>
      </c>
      <c r="G229" s="16" t="str">
        <f aca="false">IF(A229="","",IF(OR(B229="",C229="",D229=""),"Eksik bilgi",IF(D229&lt;C229,"Bitiş başlangıçtan önce","OK")))</f>
        <v/>
      </c>
    </row>
    <row r="230" customFormat="false" ht="15" hidden="false" customHeight="false" outlineLevel="0" collapsed="false">
      <c r="A230" s="12"/>
      <c r="B230" s="13"/>
      <c r="C230" s="14"/>
      <c r="D230" s="14"/>
      <c r="E230" s="12"/>
      <c r="F230" s="15" t="str">
        <f aca="false">IF(OR(C230="",D230="",D230&lt;C230),"",IF(B230="Yıllık izin",D230-C230+1-INT((WEEKDAY(C230-1)+D230-C230)/7)-IF(Ayarlar!$C$5=1,0,INT((WEEKDAY(C230-7)+D230-C230)/7))-SUMPRODUCT((Ayarlar!$E$5:$E$24&gt;=C230)*(Ayarlar!$E$5:$E$24&lt;=D230)*(WEEKDAY(Ayarlar!$E$5:$E$24,2)&lt;IF(Ayarlar!$C$5=1,7,6))),D230-C230+1))</f>
        <v/>
      </c>
      <c r="G230" s="16" t="str">
        <f aca="false">IF(A230="","",IF(OR(B230="",C230="",D230=""),"Eksik bilgi",IF(D230&lt;C230,"Bitiş başlangıçtan önce","OK")))</f>
        <v/>
      </c>
    </row>
    <row r="231" customFormat="false" ht="15" hidden="false" customHeight="false" outlineLevel="0" collapsed="false">
      <c r="A231" s="12"/>
      <c r="B231" s="13"/>
      <c r="C231" s="14"/>
      <c r="D231" s="14"/>
      <c r="E231" s="12"/>
      <c r="F231" s="15" t="str">
        <f aca="false">IF(OR(C231="",D231="",D231&lt;C231),"",IF(B231="Yıllık izin",D231-C231+1-INT((WEEKDAY(C231-1)+D231-C231)/7)-IF(Ayarlar!$C$5=1,0,INT((WEEKDAY(C231-7)+D231-C231)/7))-SUMPRODUCT((Ayarlar!$E$5:$E$24&gt;=C231)*(Ayarlar!$E$5:$E$24&lt;=D231)*(WEEKDAY(Ayarlar!$E$5:$E$24,2)&lt;IF(Ayarlar!$C$5=1,7,6))),D231-C231+1))</f>
        <v/>
      </c>
      <c r="G231" s="16" t="str">
        <f aca="false">IF(A231="","",IF(OR(B231="",C231="",D231=""),"Eksik bilgi",IF(D231&lt;C231,"Bitiş başlangıçtan önce","OK")))</f>
        <v/>
      </c>
    </row>
    <row r="232" customFormat="false" ht="15" hidden="false" customHeight="false" outlineLevel="0" collapsed="false">
      <c r="A232" s="12"/>
      <c r="B232" s="13"/>
      <c r="C232" s="14"/>
      <c r="D232" s="14"/>
      <c r="E232" s="12"/>
      <c r="F232" s="15" t="str">
        <f aca="false">IF(OR(C232="",D232="",D232&lt;C232),"",IF(B232="Yıllık izin",D232-C232+1-INT((WEEKDAY(C232-1)+D232-C232)/7)-IF(Ayarlar!$C$5=1,0,INT((WEEKDAY(C232-7)+D232-C232)/7))-SUMPRODUCT((Ayarlar!$E$5:$E$24&gt;=C232)*(Ayarlar!$E$5:$E$24&lt;=D232)*(WEEKDAY(Ayarlar!$E$5:$E$24,2)&lt;IF(Ayarlar!$C$5=1,7,6))),D232-C232+1))</f>
        <v/>
      </c>
      <c r="G232" s="16" t="str">
        <f aca="false">IF(A232="","",IF(OR(B232="",C232="",D232=""),"Eksik bilgi",IF(D232&lt;C232,"Bitiş başlangıçtan önce","OK")))</f>
        <v/>
      </c>
    </row>
    <row r="233" customFormat="false" ht="15" hidden="false" customHeight="false" outlineLevel="0" collapsed="false">
      <c r="A233" s="12"/>
      <c r="B233" s="13"/>
      <c r="C233" s="14"/>
      <c r="D233" s="14"/>
      <c r="E233" s="12"/>
      <c r="F233" s="15" t="str">
        <f aca="false">IF(OR(C233="",D233="",D233&lt;C233),"",IF(B233="Yıllık izin",D233-C233+1-INT((WEEKDAY(C233-1)+D233-C233)/7)-IF(Ayarlar!$C$5=1,0,INT((WEEKDAY(C233-7)+D233-C233)/7))-SUMPRODUCT((Ayarlar!$E$5:$E$24&gt;=C233)*(Ayarlar!$E$5:$E$24&lt;=D233)*(WEEKDAY(Ayarlar!$E$5:$E$24,2)&lt;IF(Ayarlar!$C$5=1,7,6))),D233-C233+1))</f>
        <v/>
      </c>
      <c r="G233" s="16" t="str">
        <f aca="false">IF(A233="","",IF(OR(B233="",C233="",D233=""),"Eksik bilgi",IF(D233&lt;C233,"Bitiş başlangıçtan önce","OK")))</f>
        <v/>
      </c>
    </row>
    <row r="234" customFormat="false" ht="15" hidden="false" customHeight="false" outlineLevel="0" collapsed="false">
      <c r="A234" s="12"/>
      <c r="B234" s="13"/>
      <c r="C234" s="14"/>
      <c r="D234" s="14"/>
      <c r="E234" s="12"/>
      <c r="F234" s="15" t="str">
        <f aca="false">IF(OR(C234="",D234="",D234&lt;C234),"",IF(B234="Yıllık izin",D234-C234+1-INT((WEEKDAY(C234-1)+D234-C234)/7)-IF(Ayarlar!$C$5=1,0,INT((WEEKDAY(C234-7)+D234-C234)/7))-SUMPRODUCT((Ayarlar!$E$5:$E$24&gt;=C234)*(Ayarlar!$E$5:$E$24&lt;=D234)*(WEEKDAY(Ayarlar!$E$5:$E$24,2)&lt;IF(Ayarlar!$C$5=1,7,6))),D234-C234+1))</f>
        <v/>
      </c>
      <c r="G234" s="16" t="str">
        <f aca="false">IF(A234="","",IF(OR(B234="",C234="",D234=""),"Eksik bilgi",IF(D234&lt;C234,"Bitiş başlangıçtan önce","OK")))</f>
        <v/>
      </c>
    </row>
    <row r="235" customFormat="false" ht="15" hidden="false" customHeight="false" outlineLevel="0" collapsed="false">
      <c r="A235" s="12"/>
      <c r="B235" s="13"/>
      <c r="C235" s="14"/>
      <c r="D235" s="14"/>
      <c r="E235" s="12"/>
      <c r="F235" s="15" t="str">
        <f aca="false">IF(OR(C235="",D235="",D235&lt;C235),"",IF(B235="Yıllık izin",D235-C235+1-INT((WEEKDAY(C235-1)+D235-C235)/7)-IF(Ayarlar!$C$5=1,0,INT((WEEKDAY(C235-7)+D235-C235)/7))-SUMPRODUCT((Ayarlar!$E$5:$E$24&gt;=C235)*(Ayarlar!$E$5:$E$24&lt;=D235)*(WEEKDAY(Ayarlar!$E$5:$E$24,2)&lt;IF(Ayarlar!$C$5=1,7,6))),D235-C235+1))</f>
        <v/>
      </c>
      <c r="G235" s="16" t="str">
        <f aca="false">IF(A235="","",IF(OR(B235="",C235="",D235=""),"Eksik bilgi",IF(D235&lt;C235,"Bitiş başlangıçtan önce","OK")))</f>
        <v/>
      </c>
    </row>
    <row r="236" customFormat="false" ht="15" hidden="false" customHeight="false" outlineLevel="0" collapsed="false">
      <c r="A236" s="12"/>
      <c r="B236" s="13"/>
      <c r="C236" s="14"/>
      <c r="D236" s="14"/>
      <c r="E236" s="12"/>
      <c r="F236" s="15" t="str">
        <f aca="false">IF(OR(C236="",D236="",D236&lt;C236),"",IF(B236="Yıllık izin",D236-C236+1-INT((WEEKDAY(C236-1)+D236-C236)/7)-IF(Ayarlar!$C$5=1,0,INT((WEEKDAY(C236-7)+D236-C236)/7))-SUMPRODUCT((Ayarlar!$E$5:$E$24&gt;=C236)*(Ayarlar!$E$5:$E$24&lt;=D236)*(WEEKDAY(Ayarlar!$E$5:$E$24,2)&lt;IF(Ayarlar!$C$5=1,7,6))),D236-C236+1))</f>
        <v/>
      </c>
      <c r="G236" s="16" t="str">
        <f aca="false">IF(A236="","",IF(OR(B236="",C236="",D236=""),"Eksik bilgi",IF(D236&lt;C236,"Bitiş başlangıçtan önce","OK")))</f>
        <v/>
      </c>
    </row>
    <row r="237" customFormat="false" ht="15" hidden="false" customHeight="false" outlineLevel="0" collapsed="false">
      <c r="A237" s="12"/>
      <c r="B237" s="13"/>
      <c r="C237" s="14"/>
      <c r="D237" s="14"/>
      <c r="E237" s="12"/>
      <c r="F237" s="15" t="str">
        <f aca="false">IF(OR(C237="",D237="",D237&lt;C237),"",IF(B237="Yıllık izin",D237-C237+1-INT((WEEKDAY(C237-1)+D237-C237)/7)-IF(Ayarlar!$C$5=1,0,INT((WEEKDAY(C237-7)+D237-C237)/7))-SUMPRODUCT((Ayarlar!$E$5:$E$24&gt;=C237)*(Ayarlar!$E$5:$E$24&lt;=D237)*(WEEKDAY(Ayarlar!$E$5:$E$24,2)&lt;IF(Ayarlar!$C$5=1,7,6))),D237-C237+1))</f>
        <v/>
      </c>
      <c r="G237" s="16" t="str">
        <f aca="false">IF(A237="","",IF(OR(B237="",C237="",D237=""),"Eksik bilgi",IF(D237&lt;C237,"Bitiş başlangıçtan önce","OK")))</f>
        <v/>
      </c>
    </row>
    <row r="238" customFormat="false" ht="15" hidden="false" customHeight="false" outlineLevel="0" collapsed="false">
      <c r="A238" s="12"/>
      <c r="B238" s="13"/>
      <c r="C238" s="14"/>
      <c r="D238" s="14"/>
      <c r="E238" s="12"/>
      <c r="F238" s="15" t="str">
        <f aca="false">IF(OR(C238="",D238="",D238&lt;C238),"",IF(B238="Yıllık izin",D238-C238+1-INT((WEEKDAY(C238-1)+D238-C238)/7)-IF(Ayarlar!$C$5=1,0,INT((WEEKDAY(C238-7)+D238-C238)/7))-SUMPRODUCT((Ayarlar!$E$5:$E$24&gt;=C238)*(Ayarlar!$E$5:$E$24&lt;=D238)*(WEEKDAY(Ayarlar!$E$5:$E$24,2)&lt;IF(Ayarlar!$C$5=1,7,6))),D238-C238+1))</f>
        <v/>
      </c>
      <c r="G238" s="16" t="str">
        <f aca="false">IF(A238="","",IF(OR(B238="",C238="",D238=""),"Eksik bilgi",IF(D238&lt;C238,"Bitiş başlangıçtan önce","OK")))</f>
        <v/>
      </c>
    </row>
    <row r="239" customFormat="false" ht="15" hidden="false" customHeight="false" outlineLevel="0" collapsed="false">
      <c r="A239" s="12"/>
      <c r="B239" s="13"/>
      <c r="C239" s="14"/>
      <c r="D239" s="14"/>
      <c r="E239" s="12"/>
      <c r="F239" s="15" t="str">
        <f aca="false">IF(OR(C239="",D239="",D239&lt;C239),"",IF(B239="Yıllık izin",D239-C239+1-INT((WEEKDAY(C239-1)+D239-C239)/7)-IF(Ayarlar!$C$5=1,0,INT((WEEKDAY(C239-7)+D239-C239)/7))-SUMPRODUCT((Ayarlar!$E$5:$E$24&gt;=C239)*(Ayarlar!$E$5:$E$24&lt;=D239)*(WEEKDAY(Ayarlar!$E$5:$E$24,2)&lt;IF(Ayarlar!$C$5=1,7,6))),D239-C239+1))</f>
        <v/>
      </c>
      <c r="G239" s="16" t="str">
        <f aca="false">IF(A239="","",IF(OR(B239="",C239="",D239=""),"Eksik bilgi",IF(D239&lt;C239,"Bitiş başlangıçtan önce","OK")))</f>
        <v/>
      </c>
    </row>
    <row r="240" customFormat="false" ht="15" hidden="false" customHeight="false" outlineLevel="0" collapsed="false">
      <c r="A240" s="12"/>
      <c r="B240" s="13"/>
      <c r="C240" s="14"/>
      <c r="D240" s="14"/>
      <c r="E240" s="12"/>
      <c r="F240" s="15" t="str">
        <f aca="false">IF(OR(C240="",D240="",D240&lt;C240),"",IF(B240="Yıllık izin",D240-C240+1-INT((WEEKDAY(C240-1)+D240-C240)/7)-IF(Ayarlar!$C$5=1,0,INT((WEEKDAY(C240-7)+D240-C240)/7))-SUMPRODUCT((Ayarlar!$E$5:$E$24&gt;=C240)*(Ayarlar!$E$5:$E$24&lt;=D240)*(WEEKDAY(Ayarlar!$E$5:$E$24,2)&lt;IF(Ayarlar!$C$5=1,7,6))),D240-C240+1))</f>
        <v/>
      </c>
      <c r="G240" s="16" t="str">
        <f aca="false">IF(A240="","",IF(OR(B240="",C240="",D240=""),"Eksik bilgi",IF(D240&lt;C240,"Bitiş başlangıçtan önce","OK")))</f>
        <v/>
      </c>
    </row>
    <row r="241" customFormat="false" ht="15" hidden="false" customHeight="false" outlineLevel="0" collapsed="false">
      <c r="A241" s="12"/>
      <c r="B241" s="13"/>
      <c r="C241" s="14"/>
      <c r="D241" s="14"/>
      <c r="E241" s="12"/>
      <c r="F241" s="15" t="str">
        <f aca="false">IF(OR(C241="",D241="",D241&lt;C241),"",IF(B241="Yıllık izin",D241-C241+1-INT((WEEKDAY(C241-1)+D241-C241)/7)-IF(Ayarlar!$C$5=1,0,INT((WEEKDAY(C241-7)+D241-C241)/7))-SUMPRODUCT((Ayarlar!$E$5:$E$24&gt;=C241)*(Ayarlar!$E$5:$E$24&lt;=D241)*(WEEKDAY(Ayarlar!$E$5:$E$24,2)&lt;IF(Ayarlar!$C$5=1,7,6))),D241-C241+1))</f>
        <v/>
      </c>
      <c r="G241" s="16" t="str">
        <f aca="false">IF(A241="","",IF(OR(B241="",C241="",D241=""),"Eksik bilgi",IF(D241&lt;C241,"Bitiş başlangıçtan önce","OK")))</f>
        <v/>
      </c>
    </row>
    <row r="242" customFormat="false" ht="15" hidden="false" customHeight="false" outlineLevel="0" collapsed="false">
      <c r="A242" s="12"/>
      <c r="B242" s="13"/>
      <c r="C242" s="14"/>
      <c r="D242" s="14"/>
      <c r="E242" s="12"/>
      <c r="F242" s="15" t="str">
        <f aca="false">IF(OR(C242="",D242="",D242&lt;C242),"",IF(B242="Yıllık izin",D242-C242+1-INT((WEEKDAY(C242-1)+D242-C242)/7)-IF(Ayarlar!$C$5=1,0,INT((WEEKDAY(C242-7)+D242-C242)/7))-SUMPRODUCT((Ayarlar!$E$5:$E$24&gt;=C242)*(Ayarlar!$E$5:$E$24&lt;=D242)*(WEEKDAY(Ayarlar!$E$5:$E$24,2)&lt;IF(Ayarlar!$C$5=1,7,6))),D242-C242+1))</f>
        <v/>
      </c>
      <c r="G242" s="16" t="str">
        <f aca="false">IF(A242="","",IF(OR(B242="",C242="",D242=""),"Eksik bilgi",IF(D242&lt;C242,"Bitiş başlangıçtan önce","OK")))</f>
        <v/>
      </c>
    </row>
    <row r="243" customFormat="false" ht="15" hidden="false" customHeight="false" outlineLevel="0" collapsed="false">
      <c r="A243" s="12"/>
      <c r="B243" s="13"/>
      <c r="C243" s="14"/>
      <c r="D243" s="14"/>
      <c r="E243" s="12"/>
      <c r="F243" s="15" t="str">
        <f aca="false">IF(OR(C243="",D243="",D243&lt;C243),"",IF(B243="Yıllık izin",D243-C243+1-INT((WEEKDAY(C243-1)+D243-C243)/7)-IF(Ayarlar!$C$5=1,0,INT((WEEKDAY(C243-7)+D243-C243)/7))-SUMPRODUCT((Ayarlar!$E$5:$E$24&gt;=C243)*(Ayarlar!$E$5:$E$24&lt;=D243)*(WEEKDAY(Ayarlar!$E$5:$E$24,2)&lt;IF(Ayarlar!$C$5=1,7,6))),D243-C243+1))</f>
        <v/>
      </c>
      <c r="G243" s="16" t="str">
        <f aca="false">IF(A243="","",IF(OR(B243="",C243="",D243=""),"Eksik bilgi",IF(D243&lt;C243,"Bitiş başlangıçtan önce","OK")))</f>
        <v/>
      </c>
    </row>
    <row r="244" customFormat="false" ht="15" hidden="false" customHeight="false" outlineLevel="0" collapsed="false">
      <c r="A244" s="12"/>
      <c r="B244" s="13"/>
      <c r="C244" s="14"/>
      <c r="D244" s="14"/>
      <c r="E244" s="12"/>
      <c r="F244" s="15" t="str">
        <f aca="false">IF(OR(C244="",D244="",D244&lt;C244),"",IF(B244="Yıllık izin",D244-C244+1-INT((WEEKDAY(C244-1)+D244-C244)/7)-IF(Ayarlar!$C$5=1,0,INT((WEEKDAY(C244-7)+D244-C244)/7))-SUMPRODUCT((Ayarlar!$E$5:$E$24&gt;=C244)*(Ayarlar!$E$5:$E$24&lt;=D244)*(WEEKDAY(Ayarlar!$E$5:$E$24,2)&lt;IF(Ayarlar!$C$5=1,7,6))),D244-C244+1))</f>
        <v/>
      </c>
      <c r="G244" s="16" t="str">
        <f aca="false">IF(A244="","",IF(OR(B244="",C244="",D244=""),"Eksik bilgi",IF(D244&lt;C244,"Bitiş başlangıçtan önce","OK")))</f>
        <v/>
      </c>
    </row>
    <row r="245" customFormat="false" ht="15" hidden="false" customHeight="false" outlineLevel="0" collapsed="false">
      <c r="A245" s="12"/>
      <c r="B245" s="13"/>
      <c r="C245" s="14"/>
      <c r="D245" s="14"/>
      <c r="E245" s="12"/>
      <c r="F245" s="15" t="str">
        <f aca="false">IF(OR(C245="",D245="",D245&lt;C245),"",IF(B245="Yıllık izin",D245-C245+1-INT((WEEKDAY(C245-1)+D245-C245)/7)-IF(Ayarlar!$C$5=1,0,INT((WEEKDAY(C245-7)+D245-C245)/7))-SUMPRODUCT((Ayarlar!$E$5:$E$24&gt;=C245)*(Ayarlar!$E$5:$E$24&lt;=D245)*(WEEKDAY(Ayarlar!$E$5:$E$24,2)&lt;IF(Ayarlar!$C$5=1,7,6))),D245-C245+1))</f>
        <v/>
      </c>
      <c r="G245" s="16" t="str">
        <f aca="false">IF(A245="","",IF(OR(B245="",C245="",D245=""),"Eksik bilgi",IF(D245&lt;C245,"Bitiş başlangıçtan önce","OK")))</f>
        <v/>
      </c>
    </row>
    <row r="246" customFormat="false" ht="15" hidden="false" customHeight="false" outlineLevel="0" collapsed="false">
      <c r="A246" s="12"/>
      <c r="B246" s="13"/>
      <c r="C246" s="14"/>
      <c r="D246" s="14"/>
      <c r="E246" s="12"/>
      <c r="F246" s="15" t="str">
        <f aca="false">IF(OR(C246="",D246="",D246&lt;C246),"",IF(B246="Yıllık izin",D246-C246+1-INT((WEEKDAY(C246-1)+D246-C246)/7)-IF(Ayarlar!$C$5=1,0,INT((WEEKDAY(C246-7)+D246-C246)/7))-SUMPRODUCT((Ayarlar!$E$5:$E$24&gt;=C246)*(Ayarlar!$E$5:$E$24&lt;=D246)*(WEEKDAY(Ayarlar!$E$5:$E$24,2)&lt;IF(Ayarlar!$C$5=1,7,6))),D246-C246+1))</f>
        <v/>
      </c>
      <c r="G246" s="16" t="str">
        <f aca="false">IF(A246="","",IF(OR(B246="",C246="",D246=""),"Eksik bilgi",IF(D246&lt;C246,"Bitiş başlangıçtan önce","OK")))</f>
        <v/>
      </c>
    </row>
    <row r="247" customFormat="false" ht="15" hidden="false" customHeight="false" outlineLevel="0" collapsed="false">
      <c r="A247" s="12"/>
      <c r="B247" s="13"/>
      <c r="C247" s="14"/>
      <c r="D247" s="14"/>
      <c r="E247" s="12"/>
      <c r="F247" s="15" t="str">
        <f aca="false">IF(OR(C247="",D247="",D247&lt;C247),"",IF(B247="Yıllık izin",D247-C247+1-INT((WEEKDAY(C247-1)+D247-C247)/7)-IF(Ayarlar!$C$5=1,0,INT((WEEKDAY(C247-7)+D247-C247)/7))-SUMPRODUCT((Ayarlar!$E$5:$E$24&gt;=C247)*(Ayarlar!$E$5:$E$24&lt;=D247)*(WEEKDAY(Ayarlar!$E$5:$E$24,2)&lt;IF(Ayarlar!$C$5=1,7,6))),D247-C247+1))</f>
        <v/>
      </c>
      <c r="G247" s="16" t="str">
        <f aca="false">IF(A247="","",IF(OR(B247="",C247="",D247=""),"Eksik bilgi",IF(D247&lt;C247,"Bitiş başlangıçtan önce","OK")))</f>
        <v/>
      </c>
    </row>
    <row r="248" customFormat="false" ht="15" hidden="false" customHeight="false" outlineLevel="0" collapsed="false">
      <c r="A248" s="12"/>
      <c r="B248" s="13"/>
      <c r="C248" s="14"/>
      <c r="D248" s="14"/>
      <c r="E248" s="12"/>
      <c r="F248" s="15" t="str">
        <f aca="false">IF(OR(C248="",D248="",D248&lt;C248),"",IF(B248="Yıllık izin",D248-C248+1-INT((WEEKDAY(C248-1)+D248-C248)/7)-IF(Ayarlar!$C$5=1,0,INT((WEEKDAY(C248-7)+D248-C248)/7))-SUMPRODUCT((Ayarlar!$E$5:$E$24&gt;=C248)*(Ayarlar!$E$5:$E$24&lt;=D248)*(WEEKDAY(Ayarlar!$E$5:$E$24,2)&lt;IF(Ayarlar!$C$5=1,7,6))),D248-C248+1))</f>
        <v/>
      </c>
      <c r="G248" s="16" t="str">
        <f aca="false">IF(A248="","",IF(OR(B248="",C248="",D248=""),"Eksik bilgi",IF(D248&lt;C248,"Bitiş başlangıçtan önce","OK")))</f>
        <v/>
      </c>
    </row>
    <row r="249" customFormat="false" ht="15" hidden="false" customHeight="false" outlineLevel="0" collapsed="false">
      <c r="A249" s="12"/>
      <c r="B249" s="13"/>
      <c r="C249" s="14"/>
      <c r="D249" s="14"/>
      <c r="E249" s="12"/>
      <c r="F249" s="15" t="str">
        <f aca="false">IF(OR(C249="",D249="",D249&lt;C249),"",IF(B249="Yıllık izin",D249-C249+1-INT((WEEKDAY(C249-1)+D249-C249)/7)-IF(Ayarlar!$C$5=1,0,INT((WEEKDAY(C249-7)+D249-C249)/7))-SUMPRODUCT((Ayarlar!$E$5:$E$24&gt;=C249)*(Ayarlar!$E$5:$E$24&lt;=D249)*(WEEKDAY(Ayarlar!$E$5:$E$24,2)&lt;IF(Ayarlar!$C$5=1,7,6))),D249-C249+1))</f>
        <v/>
      </c>
      <c r="G249" s="16" t="str">
        <f aca="false">IF(A249="","",IF(OR(B249="",C249="",D249=""),"Eksik bilgi",IF(D249&lt;C249,"Bitiş başlangıçtan önce","OK")))</f>
        <v/>
      </c>
    </row>
    <row r="250" customFormat="false" ht="15" hidden="false" customHeight="false" outlineLevel="0" collapsed="false">
      <c r="A250" s="12"/>
      <c r="B250" s="13"/>
      <c r="C250" s="14"/>
      <c r="D250" s="14"/>
      <c r="E250" s="12"/>
      <c r="F250" s="15" t="str">
        <f aca="false">IF(OR(C250="",D250="",D250&lt;C250),"",IF(B250="Yıllık izin",D250-C250+1-INT((WEEKDAY(C250-1)+D250-C250)/7)-IF(Ayarlar!$C$5=1,0,INT((WEEKDAY(C250-7)+D250-C250)/7))-SUMPRODUCT((Ayarlar!$E$5:$E$24&gt;=C250)*(Ayarlar!$E$5:$E$24&lt;=D250)*(WEEKDAY(Ayarlar!$E$5:$E$24,2)&lt;IF(Ayarlar!$C$5=1,7,6))),D250-C250+1))</f>
        <v/>
      </c>
      <c r="G250" s="16" t="str">
        <f aca="false">IF(A250="","",IF(OR(B250="",C250="",D250=""),"Eksik bilgi",IF(D250&lt;C250,"Bitiş başlangıçtan önce","OK")))</f>
        <v/>
      </c>
    </row>
    <row r="251" customFormat="false" ht="15" hidden="false" customHeight="false" outlineLevel="0" collapsed="false">
      <c r="A251" s="12"/>
      <c r="B251" s="13"/>
      <c r="C251" s="14"/>
      <c r="D251" s="14"/>
      <c r="E251" s="12"/>
      <c r="F251" s="15" t="str">
        <f aca="false">IF(OR(C251="",D251="",D251&lt;C251),"",IF(B251="Yıllık izin",D251-C251+1-INT((WEEKDAY(C251-1)+D251-C251)/7)-IF(Ayarlar!$C$5=1,0,INT((WEEKDAY(C251-7)+D251-C251)/7))-SUMPRODUCT((Ayarlar!$E$5:$E$24&gt;=C251)*(Ayarlar!$E$5:$E$24&lt;=D251)*(WEEKDAY(Ayarlar!$E$5:$E$24,2)&lt;IF(Ayarlar!$C$5=1,7,6))),D251-C251+1))</f>
        <v/>
      </c>
      <c r="G251" s="16" t="str">
        <f aca="false">IF(A251="","",IF(OR(B251="",C251="",D251=""),"Eksik bilgi",IF(D251&lt;C251,"Bitiş başlangıçtan önce","OK")))</f>
        <v/>
      </c>
    </row>
    <row r="252" customFormat="false" ht="15" hidden="false" customHeight="false" outlineLevel="0" collapsed="false">
      <c r="A252" s="12"/>
      <c r="B252" s="13"/>
      <c r="C252" s="14"/>
      <c r="D252" s="14"/>
      <c r="E252" s="12"/>
      <c r="F252" s="15" t="str">
        <f aca="false">IF(OR(C252="",D252="",D252&lt;C252),"",IF(B252="Yıllık izin",D252-C252+1-INT((WEEKDAY(C252-1)+D252-C252)/7)-IF(Ayarlar!$C$5=1,0,INT((WEEKDAY(C252-7)+D252-C252)/7))-SUMPRODUCT((Ayarlar!$E$5:$E$24&gt;=C252)*(Ayarlar!$E$5:$E$24&lt;=D252)*(WEEKDAY(Ayarlar!$E$5:$E$24,2)&lt;IF(Ayarlar!$C$5=1,7,6))),D252-C252+1))</f>
        <v/>
      </c>
      <c r="G252" s="16" t="str">
        <f aca="false">IF(A252="","",IF(OR(B252="",C252="",D252=""),"Eksik bilgi",IF(D252&lt;C252,"Bitiş başlangıçtan önce","OK")))</f>
        <v/>
      </c>
    </row>
    <row r="253" customFormat="false" ht="15" hidden="false" customHeight="false" outlineLevel="0" collapsed="false">
      <c r="A253" s="12"/>
      <c r="B253" s="13"/>
      <c r="C253" s="14"/>
      <c r="D253" s="14"/>
      <c r="E253" s="12"/>
      <c r="F253" s="15" t="str">
        <f aca="false">IF(OR(C253="",D253="",D253&lt;C253),"",IF(B253="Yıllık izin",D253-C253+1-INT((WEEKDAY(C253-1)+D253-C253)/7)-IF(Ayarlar!$C$5=1,0,INT((WEEKDAY(C253-7)+D253-C253)/7))-SUMPRODUCT((Ayarlar!$E$5:$E$24&gt;=C253)*(Ayarlar!$E$5:$E$24&lt;=D253)*(WEEKDAY(Ayarlar!$E$5:$E$24,2)&lt;IF(Ayarlar!$C$5=1,7,6))),D253-C253+1))</f>
        <v/>
      </c>
      <c r="G253" s="16" t="str">
        <f aca="false">IF(A253="","",IF(OR(B253="",C253="",D253=""),"Eksik bilgi",IF(D253&lt;C253,"Bitiş başlangıçtan önce","OK")))</f>
        <v/>
      </c>
    </row>
    <row r="254" customFormat="false" ht="15" hidden="false" customHeight="false" outlineLevel="0" collapsed="false">
      <c r="A254" s="12"/>
      <c r="B254" s="13"/>
      <c r="C254" s="14"/>
      <c r="D254" s="14"/>
      <c r="E254" s="12"/>
      <c r="F254" s="15" t="str">
        <f aca="false">IF(OR(C254="",D254="",D254&lt;C254),"",IF(B254="Yıllık izin",D254-C254+1-INT((WEEKDAY(C254-1)+D254-C254)/7)-IF(Ayarlar!$C$5=1,0,INT((WEEKDAY(C254-7)+D254-C254)/7))-SUMPRODUCT((Ayarlar!$E$5:$E$24&gt;=C254)*(Ayarlar!$E$5:$E$24&lt;=D254)*(WEEKDAY(Ayarlar!$E$5:$E$24,2)&lt;IF(Ayarlar!$C$5=1,7,6))),D254-C254+1))</f>
        <v/>
      </c>
      <c r="G254" s="16" t="str">
        <f aca="false">IF(A254="","",IF(OR(B254="",C254="",D254=""),"Eksik bilgi",IF(D254&lt;C254,"Bitiş başlangıçtan önce","OK")))</f>
        <v/>
      </c>
    </row>
    <row r="255" customFormat="false" ht="15" hidden="false" customHeight="false" outlineLevel="0" collapsed="false">
      <c r="A255" s="12"/>
      <c r="B255" s="13"/>
      <c r="C255" s="14"/>
      <c r="D255" s="14"/>
      <c r="E255" s="12"/>
      <c r="F255" s="15" t="str">
        <f aca="false">IF(OR(C255="",D255="",D255&lt;C255),"",IF(B255="Yıllık izin",D255-C255+1-INT((WEEKDAY(C255-1)+D255-C255)/7)-IF(Ayarlar!$C$5=1,0,INT((WEEKDAY(C255-7)+D255-C255)/7))-SUMPRODUCT((Ayarlar!$E$5:$E$24&gt;=C255)*(Ayarlar!$E$5:$E$24&lt;=D255)*(WEEKDAY(Ayarlar!$E$5:$E$24,2)&lt;IF(Ayarlar!$C$5=1,7,6))),D255-C255+1))</f>
        <v/>
      </c>
      <c r="G255" s="16" t="str">
        <f aca="false">IF(A255="","",IF(OR(B255="",C255="",D255=""),"Eksik bilgi",IF(D255&lt;C255,"Bitiş başlangıçtan önce","OK")))</f>
        <v/>
      </c>
    </row>
    <row r="256" customFormat="false" ht="15" hidden="false" customHeight="false" outlineLevel="0" collapsed="false">
      <c r="A256" s="12"/>
      <c r="B256" s="13"/>
      <c r="C256" s="14"/>
      <c r="D256" s="14"/>
      <c r="E256" s="12"/>
      <c r="F256" s="15" t="str">
        <f aca="false">IF(OR(C256="",D256="",D256&lt;C256),"",IF(B256="Yıllık izin",D256-C256+1-INT((WEEKDAY(C256-1)+D256-C256)/7)-IF(Ayarlar!$C$5=1,0,INT((WEEKDAY(C256-7)+D256-C256)/7))-SUMPRODUCT((Ayarlar!$E$5:$E$24&gt;=C256)*(Ayarlar!$E$5:$E$24&lt;=D256)*(WEEKDAY(Ayarlar!$E$5:$E$24,2)&lt;IF(Ayarlar!$C$5=1,7,6))),D256-C256+1))</f>
        <v/>
      </c>
      <c r="G256" s="16" t="str">
        <f aca="false">IF(A256="","",IF(OR(B256="",C256="",D256=""),"Eksik bilgi",IF(D256&lt;C256,"Bitiş başlangıçtan önce","OK")))</f>
        <v/>
      </c>
    </row>
    <row r="257" customFormat="false" ht="15" hidden="false" customHeight="false" outlineLevel="0" collapsed="false">
      <c r="A257" s="12"/>
      <c r="B257" s="13"/>
      <c r="C257" s="14"/>
      <c r="D257" s="14"/>
      <c r="E257" s="12"/>
      <c r="F257" s="15" t="str">
        <f aca="false">IF(OR(C257="",D257="",D257&lt;C257),"",IF(B257="Yıllık izin",D257-C257+1-INT((WEEKDAY(C257-1)+D257-C257)/7)-IF(Ayarlar!$C$5=1,0,INT((WEEKDAY(C257-7)+D257-C257)/7))-SUMPRODUCT((Ayarlar!$E$5:$E$24&gt;=C257)*(Ayarlar!$E$5:$E$24&lt;=D257)*(WEEKDAY(Ayarlar!$E$5:$E$24,2)&lt;IF(Ayarlar!$C$5=1,7,6))),D257-C257+1))</f>
        <v/>
      </c>
      <c r="G257" s="16" t="str">
        <f aca="false">IF(A257="","",IF(OR(B257="",C257="",D257=""),"Eksik bilgi",IF(D257&lt;C257,"Bitiş başlangıçtan önce","OK")))</f>
        <v/>
      </c>
    </row>
    <row r="258" customFormat="false" ht="15" hidden="false" customHeight="false" outlineLevel="0" collapsed="false">
      <c r="A258" s="12"/>
      <c r="B258" s="13"/>
      <c r="C258" s="14"/>
      <c r="D258" s="14"/>
      <c r="E258" s="12"/>
      <c r="F258" s="15" t="str">
        <f aca="false">IF(OR(C258="",D258="",D258&lt;C258),"",IF(B258="Yıllık izin",D258-C258+1-INT((WEEKDAY(C258-1)+D258-C258)/7)-IF(Ayarlar!$C$5=1,0,INT((WEEKDAY(C258-7)+D258-C258)/7))-SUMPRODUCT((Ayarlar!$E$5:$E$24&gt;=C258)*(Ayarlar!$E$5:$E$24&lt;=D258)*(WEEKDAY(Ayarlar!$E$5:$E$24,2)&lt;IF(Ayarlar!$C$5=1,7,6))),D258-C258+1))</f>
        <v/>
      </c>
      <c r="G258" s="16" t="str">
        <f aca="false">IF(A258="","",IF(OR(B258="",C258="",D258=""),"Eksik bilgi",IF(D258&lt;C258,"Bitiş başlangıçtan önce","OK")))</f>
        <v/>
      </c>
    </row>
    <row r="259" customFormat="false" ht="15" hidden="false" customHeight="false" outlineLevel="0" collapsed="false">
      <c r="A259" s="12"/>
      <c r="B259" s="13"/>
      <c r="C259" s="14"/>
      <c r="D259" s="14"/>
      <c r="E259" s="12"/>
      <c r="F259" s="15" t="str">
        <f aca="false">IF(OR(C259="",D259="",D259&lt;C259),"",IF(B259="Yıllık izin",D259-C259+1-INT((WEEKDAY(C259-1)+D259-C259)/7)-IF(Ayarlar!$C$5=1,0,INT((WEEKDAY(C259-7)+D259-C259)/7))-SUMPRODUCT((Ayarlar!$E$5:$E$24&gt;=C259)*(Ayarlar!$E$5:$E$24&lt;=D259)*(WEEKDAY(Ayarlar!$E$5:$E$24,2)&lt;IF(Ayarlar!$C$5=1,7,6))),D259-C259+1))</f>
        <v/>
      </c>
      <c r="G259" s="16" t="str">
        <f aca="false">IF(A259="","",IF(OR(B259="",C259="",D259=""),"Eksik bilgi",IF(D259&lt;C259,"Bitiş başlangıçtan önce","OK")))</f>
        <v/>
      </c>
    </row>
    <row r="260" customFormat="false" ht="15" hidden="false" customHeight="false" outlineLevel="0" collapsed="false">
      <c r="A260" s="12"/>
      <c r="B260" s="13"/>
      <c r="C260" s="14"/>
      <c r="D260" s="14"/>
      <c r="E260" s="12"/>
      <c r="F260" s="15" t="str">
        <f aca="false">IF(OR(C260="",D260="",D260&lt;C260),"",IF(B260="Yıllık izin",D260-C260+1-INT((WEEKDAY(C260-1)+D260-C260)/7)-IF(Ayarlar!$C$5=1,0,INT((WEEKDAY(C260-7)+D260-C260)/7))-SUMPRODUCT((Ayarlar!$E$5:$E$24&gt;=C260)*(Ayarlar!$E$5:$E$24&lt;=D260)*(WEEKDAY(Ayarlar!$E$5:$E$24,2)&lt;IF(Ayarlar!$C$5=1,7,6))),D260-C260+1))</f>
        <v/>
      </c>
      <c r="G260" s="16" t="str">
        <f aca="false">IF(A260="","",IF(OR(B260="",C260="",D260=""),"Eksik bilgi",IF(D260&lt;C260,"Bitiş başlangıçtan önce","OK")))</f>
        <v/>
      </c>
    </row>
    <row r="261" customFormat="false" ht="15" hidden="false" customHeight="false" outlineLevel="0" collapsed="false">
      <c r="A261" s="12"/>
      <c r="B261" s="13"/>
      <c r="C261" s="14"/>
      <c r="D261" s="14"/>
      <c r="E261" s="12"/>
      <c r="F261" s="15" t="str">
        <f aca="false">IF(OR(C261="",D261="",D261&lt;C261),"",IF(B261="Yıllık izin",D261-C261+1-INT((WEEKDAY(C261-1)+D261-C261)/7)-IF(Ayarlar!$C$5=1,0,INT((WEEKDAY(C261-7)+D261-C261)/7))-SUMPRODUCT((Ayarlar!$E$5:$E$24&gt;=C261)*(Ayarlar!$E$5:$E$24&lt;=D261)*(WEEKDAY(Ayarlar!$E$5:$E$24,2)&lt;IF(Ayarlar!$C$5=1,7,6))),D261-C261+1))</f>
        <v/>
      </c>
      <c r="G261" s="16" t="str">
        <f aca="false">IF(A261="","",IF(OR(B261="",C261="",D261=""),"Eksik bilgi",IF(D261&lt;C261,"Bitiş başlangıçtan önce","OK")))</f>
        <v/>
      </c>
    </row>
    <row r="262" customFormat="false" ht="15" hidden="false" customHeight="false" outlineLevel="0" collapsed="false">
      <c r="A262" s="12"/>
      <c r="B262" s="13"/>
      <c r="C262" s="14"/>
      <c r="D262" s="14"/>
      <c r="E262" s="12"/>
      <c r="F262" s="15" t="str">
        <f aca="false">IF(OR(C262="",D262="",D262&lt;C262),"",IF(B262="Yıllık izin",D262-C262+1-INT((WEEKDAY(C262-1)+D262-C262)/7)-IF(Ayarlar!$C$5=1,0,INT((WEEKDAY(C262-7)+D262-C262)/7))-SUMPRODUCT((Ayarlar!$E$5:$E$24&gt;=C262)*(Ayarlar!$E$5:$E$24&lt;=D262)*(WEEKDAY(Ayarlar!$E$5:$E$24,2)&lt;IF(Ayarlar!$C$5=1,7,6))),D262-C262+1))</f>
        <v/>
      </c>
      <c r="G262" s="16" t="str">
        <f aca="false">IF(A262="","",IF(OR(B262="",C262="",D262=""),"Eksik bilgi",IF(D262&lt;C262,"Bitiş başlangıçtan önce","OK")))</f>
        <v/>
      </c>
    </row>
    <row r="263" customFormat="false" ht="15" hidden="false" customHeight="false" outlineLevel="0" collapsed="false">
      <c r="A263" s="12"/>
      <c r="B263" s="13"/>
      <c r="C263" s="14"/>
      <c r="D263" s="14"/>
      <c r="E263" s="12"/>
      <c r="F263" s="15" t="str">
        <f aca="false">IF(OR(C263="",D263="",D263&lt;C263),"",IF(B263="Yıllık izin",D263-C263+1-INT((WEEKDAY(C263-1)+D263-C263)/7)-IF(Ayarlar!$C$5=1,0,INT((WEEKDAY(C263-7)+D263-C263)/7))-SUMPRODUCT((Ayarlar!$E$5:$E$24&gt;=C263)*(Ayarlar!$E$5:$E$24&lt;=D263)*(WEEKDAY(Ayarlar!$E$5:$E$24,2)&lt;IF(Ayarlar!$C$5=1,7,6))),D263-C263+1))</f>
        <v/>
      </c>
      <c r="G263" s="16" t="str">
        <f aca="false">IF(A263="","",IF(OR(B263="",C263="",D263=""),"Eksik bilgi",IF(D263&lt;C263,"Bitiş başlangıçtan önce","OK")))</f>
        <v/>
      </c>
    </row>
    <row r="264" customFormat="false" ht="15" hidden="false" customHeight="false" outlineLevel="0" collapsed="false">
      <c r="A264" s="12"/>
      <c r="B264" s="13"/>
      <c r="C264" s="14"/>
      <c r="D264" s="14"/>
      <c r="E264" s="12"/>
      <c r="F264" s="15" t="str">
        <f aca="false">IF(OR(C264="",D264="",D264&lt;C264),"",IF(B264="Yıllık izin",D264-C264+1-INT((WEEKDAY(C264-1)+D264-C264)/7)-IF(Ayarlar!$C$5=1,0,INT((WEEKDAY(C264-7)+D264-C264)/7))-SUMPRODUCT((Ayarlar!$E$5:$E$24&gt;=C264)*(Ayarlar!$E$5:$E$24&lt;=D264)*(WEEKDAY(Ayarlar!$E$5:$E$24,2)&lt;IF(Ayarlar!$C$5=1,7,6))),D264-C264+1))</f>
        <v/>
      </c>
      <c r="G264" s="16" t="str">
        <f aca="false">IF(A264="","",IF(OR(B264="",C264="",D264=""),"Eksik bilgi",IF(D264&lt;C264,"Bitiş başlangıçtan önce","OK")))</f>
        <v/>
      </c>
    </row>
    <row r="265" customFormat="false" ht="15" hidden="false" customHeight="false" outlineLevel="0" collapsed="false">
      <c r="A265" s="12"/>
      <c r="B265" s="13"/>
      <c r="C265" s="14"/>
      <c r="D265" s="14"/>
      <c r="E265" s="12"/>
      <c r="F265" s="15" t="str">
        <f aca="false">IF(OR(C265="",D265="",D265&lt;C265),"",IF(B265="Yıllık izin",D265-C265+1-INT((WEEKDAY(C265-1)+D265-C265)/7)-IF(Ayarlar!$C$5=1,0,INT((WEEKDAY(C265-7)+D265-C265)/7))-SUMPRODUCT((Ayarlar!$E$5:$E$24&gt;=C265)*(Ayarlar!$E$5:$E$24&lt;=D265)*(WEEKDAY(Ayarlar!$E$5:$E$24,2)&lt;IF(Ayarlar!$C$5=1,7,6))),D265-C265+1))</f>
        <v/>
      </c>
      <c r="G265" s="16" t="str">
        <f aca="false">IF(A265="","",IF(OR(B265="",C265="",D265=""),"Eksik bilgi",IF(D265&lt;C265,"Bitiş başlangıçtan önce","OK")))</f>
        <v/>
      </c>
    </row>
    <row r="266" customFormat="false" ht="15" hidden="false" customHeight="false" outlineLevel="0" collapsed="false">
      <c r="A266" s="12"/>
      <c r="B266" s="13"/>
      <c r="C266" s="14"/>
      <c r="D266" s="14"/>
      <c r="E266" s="12"/>
      <c r="F266" s="15" t="str">
        <f aca="false">IF(OR(C266="",D266="",D266&lt;C266),"",IF(B266="Yıllık izin",D266-C266+1-INT((WEEKDAY(C266-1)+D266-C266)/7)-IF(Ayarlar!$C$5=1,0,INT((WEEKDAY(C266-7)+D266-C266)/7))-SUMPRODUCT((Ayarlar!$E$5:$E$24&gt;=C266)*(Ayarlar!$E$5:$E$24&lt;=D266)*(WEEKDAY(Ayarlar!$E$5:$E$24,2)&lt;IF(Ayarlar!$C$5=1,7,6))),D266-C266+1))</f>
        <v/>
      </c>
      <c r="G266" s="16" t="str">
        <f aca="false">IF(A266="","",IF(OR(B266="",C266="",D266=""),"Eksik bilgi",IF(D266&lt;C266,"Bitiş başlangıçtan önce","OK")))</f>
        <v/>
      </c>
    </row>
    <row r="267" customFormat="false" ht="15" hidden="false" customHeight="false" outlineLevel="0" collapsed="false">
      <c r="A267" s="12"/>
      <c r="B267" s="13"/>
      <c r="C267" s="14"/>
      <c r="D267" s="14"/>
      <c r="E267" s="12"/>
      <c r="F267" s="15" t="str">
        <f aca="false">IF(OR(C267="",D267="",D267&lt;C267),"",IF(B267="Yıllık izin",D267-C267+1-INT((WEEKDAY(C267-1)+D267-C267)/7)-IF(Ayarlar!$C$5=1,0,INT((WEEKDAY(C267-7)+D267-C267)/7))-SUMPRODUCT((Ayarlar!$E$5:$E$24&gt;=C267)*(Ayarlar!$E$5:$E$24&lt;=D267)*(WEEKDAY(Ayarlar!$E$5:$E$24,2)&lt;IF(Ayarlar!$C$5=1,7,6))),D267-C267+1))</f>
        <v/>
      </c>
      <c r="G267" s="16" t="str">
        <f aca="false">IF(A267="","",IF(OR(B267="",C267="",D267=""),"Eksik bilgi",IF(D267&lt;C267,"Bitiş başlangıçtan önce","OK")))</f>
        <v/>
      </c>
    </row>
    <row r="268" customFormat="false" ht="15" hidden="false" customHeight="false" outlineLevel="0" collapsed="false">
      <c r="A268" s="12"/>
      <c r="B268" s="13"/>
      <c r="C268" s="14"/>
      <c r="D268" s="14"/>
      <c r="E268" s="12"/>
      <c r="F268" s="15" t="str">
        <f aca="false">IF(OR(C268="",D268="",D268&lt;C268),"",IF(B268="Yıllık izin",D268-C268+1-INT((WEEKDAY(C268-1)+D268-C268)/7)-IF(Ayarlar!$C$5=1,0,INT((WEEKDAY(C268-7)+D268-C268)/7))-SUMPRODUCT((Ayarlar!$E$5:$E$24&gt;=C268)*(Ayarlar!$E$5:$E$24&lt;=D268)*(WEEKDAY(Ayarlar!$E$5:$E$24,2)&lt;IF(Ayarlar!$C$5=1,7,6))),D268-C268+1))</f>
        <v/>
      </c>
      <c r="G268" s="16" t="str">
        <f aca="false">IF(A268="","",IF(OR(B268="",C268="",D268=""),"Eksik bilgi",IF(D268&lt;C268,"Bitiş başlangıçtan önce","OK")))</f>
        <v/>
      </c>
    </row>
    <row r="269" customFormat="false" ht="15" hidden="false" customHeight="false" outlineLevel="0" collapsed="false">
      <c r="A269" s="12"/>
      <c r="B269" s="13"/>
      <c r="C269" s="14"/>
      <c r="D269" s="14"/>
      <c r="E269" s="12"/>
      <c r="F269" s="15" t="str">
        <f aca="false">IF(OR(C269="",D269="",D269&lt;C269),"",IF(B269="Yıllık izin",D269-C269+1-INT((WEEKDAY(C269-1)+D269-C269)/7)-IF(Ayarlar!$C$5=1,0,INT((WEEKDAY(C269-7)+D269-C269)/7))-SUMPRODUCT((Ayarlar!$E$5:$E$24&gt;=C269)*(Ayarlar!$E$5:$E$24&lt;=D269)*(WEEKDAY(Ayarlar!$E$5:$E$24,2)&lt;IF(Ayarlar!$C$5=1,7,6))),D269-C269+1))</f>
        <v/>
      </c>
      <c r="G269" s="16" t="str">
        <f aca="false">IF(A269="","",IF(OR(B269="",C269="",D269=""),"Eksik bilgi",IF(D269&lt;C269,"Bitiş başlangıçtan önce","OK")))</f>
        <v/>
      </c>
    </row>
    <row r="270" customFormat="false" ht="15" hidden="false" customHeight="false" outlineLevel="0" collapsed="false">
      <c r="A270" s="12"/>
      <c r="B270" s="13"/>
      <c r="C270" s="14"/>
      <c r="D270" s="14"/>
      <c r="E270" s="12"/>
      <c r="F270" s="15" t="str">
        <f aca="false">IF(OR(C270="",D270="",D270&lt;C270),"",IF(B270="Yıllık izin",D270-C270+1-INT((WEEKDAY(C270-1)+D270-C270)/7)-IF(Ayarlar!$C$5=1,0,INT((WEEKDAY(C270-7)+D270-C270)/7))-SUMPRODUCT((Ayarlar!$E$5:$E$24&gt;=C270)*(Ayarlar!$E$5:$E$24&lt;=D270)*(WEEKDAY(Ayarlar!$E$5:$E$24,2)&lt;IF(Ayarlar!$C$5=1,7,6))),D270-C270+1))</f>
        <v/>
      </c>
      <c r="G270" s="16" t="str">
        <f aca="false">IF(A270="","",IF(OR(B270="",C270="",D270=""),"Eksik bilgi",IF(D270&lt;C270,"Bitiş başlangıçtan önce","OK")))</f>
        <v/>
      </c>
    </row>
    <row r="271" customFormat="false" ht="15" hidden="false" customHeight="false" outlineLevel="0" collapsed="false">
      <c r="A271" s="12"/>
      <c r="B271" s="13"/>
      <c r="C271" s="14"/>
      <c r="D271" s="14"/>
      <c r="E271" s="12"/>
      <c r="F271" s="15" t="str">
        <f aca="false">IF(OR(C271="",D271="",D271&lt;C271),"",IF(B271="Yıllık izin",D271-C271+1-INT((WEEKDAY(C271-1)+D271-C271)/7)-IF(Ayarlar!$C$5=1,0,INT((WEEKDAY(C271-7)+D271-C271)/7))-SUMPRODUCT((Ayarlar!$E$5:$E$24&gt;=C271)*(Ayarlar!$E$5:$E$24&lt;=D271)*(WEEKDAY(Ayarlar!$E$5:$E$24,2)&lt;IF(Ayarlar!$C$5=1,7,6))),D271-C271+1))</f>
        <v/>
      </c>
      <c r="G271" s="16" t="str">
        <f aca="false">IF(A271="","",IF(OR(B271="",C271="",D271=""),"Eksik bilgi",IF(D271&lt;C271,"Bitiş başlangıçtan önce","OK")))</f>
        <v/>
      </c>
    </row>
    <row r="272" customFormat="false" ht="15" hidden="false" customHeight="false" outlineLevel="0" collapsed="false">
      <c r="A272" s="12"/>
      <c r="B272" s="13"/>
      <c r="C272" s="14"/>
      <c r="D272" s="14"/>
      <c r="E272" s="12"/>
      <c r="F272" s="15" t="str">
        <f aca="false">IF(OR(C272="",D272="",D272&lt;C272),"",IF(B272="Yıllık izin",D272-C272+1-INT((WEEKDAY(C272-1)+D272-C272)/7)-IF(Ayarlar!$C$5=1,0,INT((WEEKDAY(C272-7)+D272-C272)/7))-SUMPRODUCT((Ayarlar!$E$5:$E$24&gt;=C272)*(Ayarlar!$E$5:$E$24&lt;=D272)*(WEEKDAY(Ayarlar!$E$5:$E$24,2)&lt;IF(Ayarlar!$C$5=1,7,6))),D272-C272+1))</f>
        <v/>
      </c>
      <c r="G272" s="16" t="str">
        <f aca="false">IF(A272="","",IF(OR(B272="",C272="",D272=""),"Eksik bilgi",IF(D272&lt;C272,"Bitiş başlangıçtan önce","OK")))</f>
        <v/>
      </c>
    </row>
    <row r="273" customFormat="false" ht="15" hidden="false" customHeight="false" outlineLevel="0" collapsed="false">
      <c r="A273" s="12"/>
      <c r="B273" s="13"/>
      <c r="C273" s="14"/>
      <c r="D273" s="14"/>
      <c r="E273" s="12"/>
      <c r="F273" s="15" t="str">
        <f aca="false">IF(OR(C273="",D273="",D273&lt;C273),"",IF(B273="Yıllık izin",D273-C273+1-INT((WEEKDAY(C273-1)+D273-C273)/7)-IF(Ayarlar!$C$5=1,0,INT((WEEKDAY(C273-7)+D273-C273)/7))-SUMPRODUCT((Ayarlar!$E$5:$E$24&gt;=C273)*(Ayarlar!$E$5:$E$24&lt;=D273)*(WEEKDAY(Ayarlar!$E$5:$E$24,2)&lt;IF(Ayarlar!$C$5=1,7,6))),D273-C273+1))</f>
        <v/>
      </c>
      <c r="G273" s="16" t="str">
        <f aca="false">IF(A273="","",IF(OR(B273="",C273="",D273=""),"Eksik bilgi",IF(D273&lt;C273,"Bitiş başlangıçtan önce","OK")))</f>
        <v/>
      </c>
    </row>
    <row r="274" customFormat="false" ht="15" hidden="false" customHeight="false" outlineLevel="0" collapsed="false">
      <c r="A274" s="12"/>
      <c r="B274" s="13"/>
      <c r="C274" s="14"/>
      <c r="D274" s="14"/>
      <c r="E274" s="12"/>
      <c r="F274" s="15" t="str">
        <f aca="false">IF(OR(C274="",D274="",D274&lt;C274),"",IF(B274="Yıllık izin",D274-C274+1-INT((WEEKDAY(C274-1)+D274-C274)/7)-IF(Ayarlar!$C$5=1,0,INT((WEEKDAY(C274-7)+D274-C274)/7))-SUMPRODUCT((Ayarlar!$E$5:$E$24&gt;=C274)*(Ayarlar!$E$5:$E$24&lt;=D274)*(WEEKDAY(Ayarlar!$E$5:$E$24,2)&lt;IF(Ayarlar!$C$5=1,7,6))),D274-C274+1))</f>
        <v/>
      </c>
      <c r="G274" s="16" t="str">
        <f aca="false">IF(A274="","",IF(OR(B274="",C274="",D274=""),"Eksik bilgi",IF(D274&lt;C274,"Bitiş başlangıçtan önce","OK")))</f>
        <v/>
      </c>
    </row>
    <row r="275" customFormat="false" ht="15" hidden="false" customHeight="false" outlineLevel="0" collapsed="false">
      <c r="A275" s="12"/>
      <c r="B275" s="13"/>
      <c r="C275" s="14"/>
      <c r="D275" s="14"/>
      <c r="E275" s="12"/>
      <c r="F275" s="15" t="str">
        <f aca="false">IF(OR(C275="",D275="",D275&lt;C275),"",IF(B275="Yıllık izin",D275-C275+1-INT((WEEKDAY(C275-1)+D275-C275)/7)-IF(Ayarlar!$C$5=1,0,INT((WEEKDAY(C275-7)+D275-C275)/7))-SUMPRODUCT((Ayarlar!$E$5:$E$24&gt;=C275)*(Ayarlar!$E$5:$E$24&lt;=D275)*(WEEKDAY(Ayarlar!$E$5:$E$24,2)&lt;IF(Ayarlar!$C$5=1,7,6))),D275-C275+1))</f>
        <v/>
      </c>
      <c r="G275" s="16" t="str">
        <f aca="false">IF(A275="","",IF(OR(B275="",C275="",D275=""),"Eksik bilgi",IF(D275&lt;C275,"Bitiş başlangıçtan önce","OK")))</f>
        <v/>
      </c>
    </row>
    <row r="276" customFormat="false" ht="15" hidden="false" customHeight="false" outlineLevel="0" collapsed="false">
      <c r="A276" s="12"/>
      <c r="B276" s="13"/>
      <c r="C276" s="14"/>
      <c r="D276" s="14"/>
      <c r="E276" s="12"/>
      <c r="F276" s="15" t="str">
        <f aca="false">IF(OR(C276="",D276="",D276&lt;C276),"",IF(B276="Yıllık izin",D276-C276+1-INT((WEEKDAY(C276-1)+D276-C276)/7)-IF(Ayarlar!$C$5=1,0,INT((WEEKDAY(C276-7)+D276-C276)/7))-SUMPRODUCT((Ayarlar!$E$5:$E$24&gt;=C276)*(Ayarlar!$E$5:$E$24&lt;=D276)*(WEEKDAY(Ayarlar!$E$5:$E$24,2)&lt;IF(Ayarlar!$C$5=1,7,6))),D276-C276+1))</f>
        <v/>
      </c>
      <c r="G276" s="16" t="str">
        <f aca="false">IF(A276="","",IF(OR(B276="",C276="",D276=""),"Eksik bilgi",IF(D276&lt;C276,"Bitiş başlangıçtan önce","OK")))</f>
        <v/>
      </c>
    </row>
    <row r="277" customFormat="false" ht="15" hidden="false" customHeight="false" outlineLevel="0" collapsed="false">
      <c r="A277" s="12"/>
      <c r="B277" s="13"/>
      <c r="C277" s="14"/>
      <c r="D277" s="14"/>
      <c r="E277" s="12"/>
      <c r="F277" s="15" t="str">
        <f aca="false">IF(OR(C277="",D277="",D277&lt;C277),"",IF(B277="Yıllık izin",D277-C277+1-INT((WEEKDAY(C277-1)+D277-C277)/7)-IF(Ayarlar!$C$5=1,0,INT((WEEKDAY(C277-7)+D277-C277)/7))-SUMPRODUCT((Ayarlar!$E$5:$E$24&gt;=C277)*(Ayarlar!$E$5:$E$24&lt;=D277)*(WEEKDAY(Ayarlar!$E$5:$E$24,2)&lt;IF(Ayarlar!$C$5=1,7,6))),D277-C277+1))</f>
        <v/>
      </c>
      <c r="G277" s="16" t="str">
        <f aca="false">IF(A277="","",IF(OR(B277="",C277="",D277=""),"Eksik bilgi",IF(D277&lt;C277,"Bitiş başlangıçtan önce","OK")))</f>
        <v/>
      </c>
    </row>
    <row r="278" customFormat="false" ht="15" hidden="false" customHeight="false" outlineLevel="0" collapsed="false">
      <c r="A278" s="12"/>
      <c r="B278" s="13"/>
      <c r="C278" s="14"/>
      <c r="D278" s="14"/>
      <c r="E278" s="12"/>
      <c r="F278" s="15" t="str">
        <f aca="false">IF(OR(C278="",D278="",D278&lt;C278),"",IF(B278="Yıllık izin",D278-C278+1-INT((WEEKDAY(C278-1)+D278-C278)/7)-IF(Ayarlar!$C$5=1,0,INT((WEEKDAY(C278-7)+D278-C278)/7))-SUMPRODUCT((Ayarlar!$E$5:$E$24&gt;=C278)*(Ayarlar!$E$5:$E$24&lt;=D278)*(WEEKDAY(Ayarlar!$E$5:$E$24,2)&lt;IF(Ayarlar!$C$5=1,7,6))),D278-C278+1))</f>
        <v/>
      </c>
      <c r="G278" s="16" t="str">
        <f aca="false">IF(A278="","",IF(OR(B278="",C278="",D278=""),"Eksik bilgi",IF(D278&lt;C278,"Bitiş başlangıçtan önce","OK")))</f>
        <v/>
      </c>
    </row>
    <row r="279" customFormat="false" ht="15" hidden="false" customHeight="false" outlineLevel="0" collapsed="false">
      <c r="A279" s="12"/>
      <c r="B279" s="13"/>
      <c r="C279" s="14"/>
      <c r="D279" s="14"/>
      <c r="E279" s="12"/>
      <c r="F279" s="15" t="str">
        <f aca="false">IF(OR(C279="",D279="",D279&lt;C279),"",IF(B279="Yıllık izin",D279-C279+1-INT((WEEKDAY(C279-1)+D279-C279)/7)-IF(Ayarlar!$C$5=1,0,INT((WEEKDAY(C279-7)+D279-C279)/7))-SUMPRODUCT((Ayarlar!$E$5:$E$24&gt;=C279)*(Ayarlar!$E$5:$E$24&lt;=D279)*(WEEKDAY(Ayarlar!$E$5:$E$24,2)&lt;IF(Ayarlar!$C$5=1,7,6))),D279-C279+1))</f>
        <v/>
      </c>
      <c r="G279" s="16" t="str">
        <f aca="false">IF(A279="","",IF(OR(B279="",C279="",D279=""),"Eksik bilgi",IF(D279&lt;C279,"Bitiş başlangıçtan önce","OK")))</f>
        <v/>
      </c>
    </row>
    <row r="280" customFormat="false" ht="15" hidden="false" customHeight="false" outlineLevel="0" collapsed="false">
      <c r="A280" s="12"/>
      <c r="B280" s="13"/>
      <c r="C280" s="14"/>
      <c r="D280" s="14"/>
      <c r="E280" s="12"/>
      <c r="F280" s="15" t="str">
        <f aca="false">IF(OR(C280="",D280="",D280&lt;C280),"",IF(B280="Yıllık izin",D280-C280+1-INT((WEEKDAY(C280-1)+D280-C280)/7)-IF(Ayarlar!$C$5=1,0,INT((WEEKDAY(C280-7)+D280-C280)/7))-SUMPRODUCT((Ayarlar!$E$5:$E$24&gt;=C280)*(Ayarlar!$E$5:$E$24&lt;=D280)*(WEEKDAY(Ayarlar!$E$5:$E$24,2)&lt;IF(Ayarlar!$C$5=1,7,6))),D280-C280+1))</f>
        <v/>
      </c>
      <c r="G280" s="16" t="str">
        <f aca="false">IF(A280="","",IF(OR(B280="",C280="",D280=""),"Eksik bilgi",IF(D280&lt;C280,"Bitiş başlangıçtan önce","OK")))</f>
        <v/>
      </c>
    </row>
    <row r="281" customFormat="false" ht="15" hidden="false" customHeight="false" outlineLevel="0" collapsed="false">
      <c r="A281" s="12"/>
      <c r="B281" s="13"/>
      <c r="C281" s="14"/>
      <c r="D281" s="14"/>
      <c r="E281" s="12"/>
      <c r="F281" s="15" t="str">
        <f aca="false">IF(OR(C281="",D281="",D281&lt;C281),"",IF(B281="Yıllık izin",D281-C281+1-INT((WEEKDAY(C281-1)+D281-C281)/7)-IF(Ayarlar!$C$5=1,0,INT((WEEKDAY(C281-7)+D281-C281)/7))-SUMPRODUCT((Ayarlar!$E$5:$E$24&gt;=C281)*(Ayarlar!$E$5:$E$24&lt;=D281)*(WEEKDAY(Ayarlar!$E$5:$E$24,2)&lt;IF(Ayarlar!$C$5=1,7,6))),D281-C281+1))</f>
        <v/>
      </c>
      <c r="G281" s="16" t="str">
        <f aca="false">IF(A281="","",IF(OR(B281="",C281="",D281=""),"Eksik bilgi",IF(D281&lt;C281,"Bitiş başlangıçtan önce","OK")))</f>
        <v/>
      </c>
    </row>
    <row r="282" customFormat="false" ht="15" hidden="false" customHeight="false" outlineLevel="0" collapsed="false">
      <c r="A282" s="12"/>
      <c r="B282" s="13"/>
      <c r="C282" s="14"/>
      <c r="D282" s="14"/>
      <c r="E282" s="12"/>
      <c r="F282" s="15" t="str">
        <f aca="false">IF(OR(C282="",D282="",D282&lt;C282),"",IF(B282="Yıllık izin",D282-C282+1-INT((WEEKDAY(C282-1)+D282-C282)/7)-IF(Ayarlar!$C$5=1,0,INT((WEEKDAY(C282-7)+D282-C282)/7))-SUMPRODUCT((Ayarlar!$E$5:$E$24&gt;=C282)*(Ayarlar!$E$5:$E$24&lt;=D282)*(WEEKDAY(Ayarlar!$E$5:$E$24,2)&lt;IF(Ayarlar!$C$5=1,7,6))),D282-C282+1))</f>
        <v/>
      </c>
      <c r="G282" s="16" t="str">
        <f aca="false">IF(A282="","",IF(OR(B282="",C282="",D282=""),"Eksik bilgi",IF(D282&lt;C282,"Bitiş başlangıçtan önce","OK")))</f>
        <v/>
      </c>
    </row>
    <row r="283" customFormat="false" ht="15" hidden="false" customHeight="false" outlineLevel="0" collapsed="false">
      <c r="A283" s="12"/>
      <c r="B283" s="13"/>
      <c r="C283" s="14"/>
      <c r="D283" s="14"/>
      <c r="E283" s="12"/>
      <c r="F283" s="15" t="str">
        <f aca="false">IF(OR(C283="",D283="",D283&lt;C283),"",IF(B283="Yıllık izin",D283-C283+1-INT((WEEKDAY(C283-1)+D283-C283)/7)-IF(Ayarlar!$C$5=1,0,INT((WEEKDAY(C283-7)+D283-C283)/7))-SUMPRODUCT((Ayarlar!$E$5:$E$24&gt;=C283)*(Ayarlar!$E$5:$E$24&lt;=D283)*(WEEKDAY(Ayarlar!$E$5:$E$24,2)&lt;IF(Ayarlar!$C$5=1,7,6))),D283-C283+1))</f>
        <v/>
      </c>
      <c r="G283" s="16" t="str">
        <f aca="false">IF(A283="","",IF(OR(B283="",C283="",D283=""),"Eksik bilgi",IF(D283&lt;C283,"Bitiş başlangıçtan önce","OK")))</f>
        <v/>
      </c>
    </row>
    <row r="284" customFormat="false" ht="15" hidden="false" customHeight="false" outlineLevel="0" collapsed="false">
      <c r="A284" s="12"/>
      <c r="B284" s="13"/>
      <c r="C284" s="14"/>
      <c r="D284" s="14"/>
      <c r="E284" s="12"/>
      <c r="F284" s="15" t="str">
        <f aca="false">IF(OR(C284="",D284="",D284&lt;C284),"",IF(B284="Yıllık izin",D284-C284+1-INT((WEEKDAY(C284-1)+D284-C284)/7)-IF(Ayarlar!$C$5=1,0,INT((WEEKDAY(C284-7)+D284-C284)/7))-SUMPRODUCT((Ayarlar!$E$5:$E$24&gt;=C284)*(Ayarlar!$E$5:$E$24&lt;=D284)*(WEEKDAY(Ayarlar!$E$5:$E$24,2)&lt;IF(Ayarlar!$C$5=1,7,6))),D284-C284+1))</f>
        <v/>
      </c>
      <c r="G284" s="16" t="str">
        <f aca="false">IF(A284="","",IF(OR(B284="",C284="",D284=""),"Eksik bilgi",IF(D284&lt;C284,"Bitiş başlangıçtan önce","OK")))</f>
        <v/>
      </c>
    </row>
    <row r="285" customFormat="false" ht="15" hidden="false" customHeight="false" outlineLevel="0" collapsed="false">
      <c r="A285" s="12"/>
      <c r="B285" s="13"/>
      <c r="C285" s="14"/>
      <c r="D285" s="14"/>
      <c r="E285" s="12"/>
      <c r="F285" s="15" t="str">
        <f aca="false">IF(OR(C285="",D285="",D285&lt;C285),"",IF(B285="Yıllık izin",D285-C285+1-INT((WEEKDAY(C285-1)+D285-C285)/7)-IF(Ayarlar!$C$5=1,0,INT((WEEKDAY(C285-7)+D285-C285)/7))-SUMPRODUCT((Ayarlar!$E$5:$E$24&gt;=C285)*(Ayarlar!$E$5:$E$24&lt;=D285)*(WEEKDAY(Ayarlar!$E$5:$E$24,2)&lt;IF(Ayarlar!$C$5=1,7,6))),D285-C285+1))</f>
        <v/>
      </c>
      <c r="G285" s="16" t="str">
        <f aca="false">IF(A285="","",IF(OR(B285="",C285="",D285=""),"Eksik bilgi",IF(D285&lt;C285,"Bitiş başlangıçtan önce","OK")))</f>
        <v/>
      </c>
    </row>
    <row r="286" customFormat="false" ht="15" hidden="false" customHeight="false" outlineLevel="0" collapsed="false">
      <c r="A286" s="12"/>
      <c r="B286" s="13"/>
      <c r="C286" s="14"/>
      <c r="D286" s="14"/>
      <c r="E286" s="12"/>
      <c r="F286" s="15" t="str">
        <f aca="false">IF(OR(C286="",D286="",D286&lt;C286),"",IF(B286="Yıllık izin",D286-C286+1-INT((WEEKDAY(C286-1)+D286-C286)/7)-IF(Ayarlar!$C$5=1,0,INT((WEEKDAY(C286-7)+D286-C286)/7))-SUMPRODUCT((Ayarlar!$E$5:$E$24&gt;=C286)*(Ayarlar!$E$5:$E$24&lt;=D286)*(WEEKDAY(Ayarlar!$E$5:$E$24,2)&lt;IF(Ayarlar!$C$5=1,7,6))),D286-C286+1))</f>
        <v/>
      </c>
      <c r="G286" s="16" t="str">
        <f aca="false">IF(A286="","",IF(OR(B286="",C286="",D286=""),"Eksik bilgi",IF(D286&lt;C286,"Bitiş başlangıçtan önce","OK")))</f>
        <v/>
      </c>
    </row>
    <row r="287" customFormat="false" ht="15" hidden="false" customHeight="false" outlineLevel="0" collapsed="false">
      <c r="A287" s="12"/>
      <c r="B287" s="13"/>
      <c r="C287" s="14"/>
      <c r="D287" s="14"/>
      <c r="E287" s="12"/>
      <c r="F287" s="15" t="str">
        <f aca="false">IF(OR(C287="",D287="",D287&lt;C287),"",IF(B287="Yıllık izin",D287-C287+1-INT((WEEKDAY(C287-1)+D287-C287)/7)-IF(Ayarlar!$C$5=1,0,INT((WEEKDAY(C287-7)+D287-C287)/7))-SUMPRODUCT((Ayarlar!$E$5:$E$24&gt;=C287)*(Ayarlar!$E$5:$E$24&lt;=D287)*(WEEKDAY(Ayarlar!$E$5:$E$24,2)&lt;IF(Ayarlar!$C$5=1,7,6))),D287-C287+1))</f>
        <v/>
      </c>
      <c r="G287" s="16" t="str">
        <f aca="false">IF(A287="","",IF(OR(B287="",C287="",D287=""),"Eksik bilgi",IF(D287&lt;C287,"Bitiş başlangıçtan önce","OK")))</f>
        <v/>
      </c>
    </row>
    <row r="288" customFormat="false" ht="15" hidden="false" customHeight="false" outlineLevel="0" collapsed="false">
      <c r="A288" s="12"/>
      <c r="B288" s="13"/>
      <c r="C288" s="14"/>
      <c r="D288" s="14"/>
      <c r="E288" s="12"/>
      <c r="F288" s="15" t="str">
        <f aca="false">IF(OR(C288="",D288="",D288&lt;C288),"",IF(B288="Yıllık izin",D288-C288+1-INT((WEEKDAY(C288-1)+D288-C288)/7)-IF(Ayarlar!$C$5=1,0,INT((WEEKDAY(C288-7)+D288-C288)/7))-SUMPRODUCT((Ayarlar!$E$5:$E$24&gt;=C288)*(Ayarlar!$E$5:$E$24&lt;=D288)*(WEEKDAY(Ayarlar!$E$5:$E$24,2)&lt;IF(Ayarlar!$C$5=1,7,6))),D288-C288+1))</f>
        <v/>
      </c>
      <c r="G288" s="16" t="str">
        <f aca="false">IF(A288="","",IF(OR(B288="",C288="",D288=""),"Eksik bilgi",IF(D288&lt;C288,"Bitiş başlangıçtan önce","OK")))</f>
        <v/>
      </c>
    </row>
    <row r="289" customFormat="false" ht="15" hidden="false" customHeight="false" outlineLevel="0" collapsed="false">
      <c r="A289" s="12"/>
      <c r="B289" s="13"/>
      <c r="C289" s="14"/>
      <c r="D289" s="14"/>
      <c r="E289" s="12"/>
      <c r="F289" s="15" t="str">
        <f aca="false">IF(OR(C289="",D289="",D289&lt;C289),"",IF(B289="Yıllık izin",D289-C289+1-INT((WEEKDAY(C289-1)+D289-C289)/7)-IF(Ayarlar!$C$5=1,0,INT((WEEKDAY(C289-7)+D289-C289)/7))-SUMPRODUCT((Ayarlar!$E$5:$E$24&gt;=C289)*(Ayarlar!$E$5:$E$24&lt;=D289)*(WEEKDAY(Ayarlar!$E$5:$E$24,2)&lt;IF(Ayarlar!$C$5=1,7,6))),D289-C289+1))</f>
        <v/>
      </c>
      <c r="G289" s="16" t="str">
        <f aca="false">IF(A289="","",IF(OR(B289="",C289="",D289=""),"Eksik bilgi",IF(D289&lt;C289,"Bitiş başlangıçtan önce","OK")))</f>
        <v/>
      </c>
    </row>
    <row r="290" customFormat="false" ht="15" hidden="false" customHeight="false" outlineLevel="0" collapsed="false">
      <c r="A290" s="12"/>
      <c r="B290" s="13"/>
      <c r="C290" s="14"/>
      <c r="D290" s="14"/>
      <c r="E290" s="12"/>
      <c r="F290" s="15" t="str">
        <f aca="false">IF(OR(C290="",D290="",D290&lt;C290),"",IF(B290="Yıllık izin",D290-C290+1-INT((WEEKDAY(C290-1)+D290-C290)/7)-IF(Ayarlar!$C$5=1,0,INT((WEEKDAY(C290-7)+D290-C290)/7))-SUMPRODUCT((Ayarlar!$E$5:$E$24&gt;=C290)*(Ayarlar!$E$5:$E$24&lt;=D290)*(WEEKDAY(Ayarlar!$E$5:$E$24,2)&lt;IF(Ayarlar!$C$5=1,7,6))),D290-C290+1))</f>
        <v/>
      </c>
      <c r="G290" s="16" t="str">
        <f aca="false">IF(A290="","",IF(OR(B290="",C290="",D290=""),"Eksik bilgi",IF(D290&lt;C290,"Bitiş başlangıçtan önce","OK")))</f>
        <v/>
      </c>
    </row>
    <row r="291" customFormat="false" ht="15" hidden="false" customHeight="false" outlineLevel="0" collapsed="false">
      <c r="A291" s="12"/>
      <c r="B291" s="13"/>
      <c r="C291" s="14"/>
      <c r="D291" s="14"/>
      <c r="E291" s="12"/>
      <c r="F291" s="15" t="str">
        <f aca="false">IF(OR(C291="",D291="",D291&lt;C291),"",IF(B291="Yıllık izin",D291-C291+1-INT((WEEKDAY(C291-1)+D291-C291)/7)-IF(Ayarlar!$C$5=1,0,INT((WEEKDAY(C291-7)+D291-C291)/7))-SUMPRODUCT((Ayarlar!$E$5:$E$24&gt;=C291)*(Ayarlar!$E$5:$E$24&lt;=D291)*(WEEKDAY(Ayarlar!$E$5:$E$24,2)&lt;IF(Ayarlar!$C$5=1,7,6))),D291-C291+1))</f>
        <v/>
      </c>
      <c r="G291" s="16" t="str">
        <f aca="false">IF(A291="","",IF(OR(B291="",C291="",D291=""),"Eksik bilgi",IF(D291&lt;C291,"Bitiş başlangıçtan önce","OK")))</f>
        <v/>
      </c>
    </row>
    <row r="292" customFormat="false" ht="15" hidden="false" customHeight="false" outlineLevel="0" collapsed="false">
      <c r="A292" s="12"/>
      <c r="B292" s="13"/>
      <c r="C292" s="14"/>
      <c r="D292" s="14"/>
      <c r="E292" s="12"/>
      <c r="F292" s="15" t="str">
        <f aca="false">IF(OR(C292="",D292="",D292&lt;C292),"",IF(B292="Yıllık izin",D292-C292+1-INT((WEEKDAY(C292-1)+D292-C292)/7)-IF(Ayarlar!$C$5=1,0,INT((WEEKDAY(C292-7)+D292-C292)/7))-SUMPRODUCT((Ayarlar!$E$5:$E$24&gt;=C292)*(Ayarlar!$E$5:$E$24&lt;=D292)*(WEEKDAY(Ayarlar!$E$5:$E$24,2)&lt;IF(Ayarlar!$C$5=1,7,6))),D292-C292+1))</f>
        <v/>
      </c>
      <c r="G292" s="16" t="str">
        <f aca="false">IF(A292="","",IF(OR(B292="",C292="",D292=""),"Eksik bilgi",IF(D292&lt;C292,"Bitiş başlangıçtan önce","OK")))</f>
        <v/>
      </c>
    </row>
    <row r="293" customFormat="false" ht="15" hidden="false" customHeight="false" outlineLevel="0" collapsed="false">
      <c r="A293" s="12"/>
      <c r="B293" s="13"/>
      <c r="C293" s="14"/>
      <c r="D293" s="14"/>
      <c r="E293" s="12"/>
      <c r="F293" s="15" t="str">
        <f aca="false">IF(OR(C293="",D293="",D293&lt;C293),"",IF(B293="Yıllık izin",D293-C293+1-INT((WEEKDAY(C293-1)+D293-C293)/7)-IF(Ayarlar!$C$5=1,0,INT((WEEKDAY(C293-7)+D293-C293)/7))-SUMPRODUCT((Ayarlar!$E$5:$E$24&gt;=C293)*(Ayarlar!$E$5:$E$24&lt;=D293)*(WEEKDAY(Ayarlar!$E$5:$E$24,2)&lt;IF(Ayarlar!$C$5=1,7,6))),D293-C293+1))</f>
        <v/>
      </c>
      <c r="G293" s="16" t="str">
        <f aca="false">IF(A293="","",IF(OR(B293="",C293="",D293=""),"Eksik bilgi",IF(D293&lt;C293,"Bitiş başlangıçtan önce","OK")))</f>
        <v/>
      </c>
    </row>
    <row r="294" customFormat="false" ht="15" hidden="false" customHeight="false" outlineLevel="0" collapsed="false">
      <c r="A294" s="12"/>
      <c r="B294" s="13"/>
      <c r="C294" s="14"/>
      <c r="D294" s="14"/>
      <c r="E294" s="12"/>
      <c r="F294" s="15" t="str">
        <f aca="false">IF(OR(C294="",D294="",D294&lt;C294),"",IF(B294="Yıllık izin",D294-C294+1-INT((WEEKDAY(C294-1)+D294-C294)/7)-IF(Ayarlar!$C$5=1,0,INT((WEEKDAY(C294-7)+D294-C294)/7))-SUMPRODUCT((Ayarlar!$E$5:$E$24&gt;=C294)*(Ayarlar!$E$5:$E$24&lt;=D294)*(WEEKDAY(Ayarlar!$E$5:$E$24,2)&lt;IF(Ayarlar!$C$5=1,7,6))),D294-C294+1))</f>
        <v/>
      </c>
      <c r="G294" s="16" t="str">
        <f aca="false">IF(A294="","",IF(OR(B294="",C294="",D294=""),"Eksik bilgi",IF(D294&lt;C294,"Bitiş başlangıçtan önce","OK")))</f>
        <v/>
      </c>
    </row>
    <row r="295" customFormat="false" ht="15" hidden="false" customHeight="false" outlineLevel="0" collapsed="false">
      <c r="A295" s="12"/>
      <c r="B295" s="13"/>
      <c r="C295" s="14"/>
      <c r="D295" s="14"/>
      <c r="E295" s="12"/>
      <c r="F295" s="15" t="str">
        <f aca="false">IF(OR(C295="",D295="",D295&lt;C295),"",IF(B295="Yıllık izin",D295-C295+1-INT((WEEKDAY(C295-1)+D295-C295)/7)-IF(Ayarlar!$C$5=1,0,INT((WEEKDAY(C295-7)+D295-C295)/7))-SUMPRODUCT((Ayarlar!$E$5:$E$24&gt;=C295)*(Ayarlar!$E$5:$E$24&lt;=D295)*(WEEKDAY(Ayarlar!$E$5:$E$24,2)&lt;IF(Ayarlar!$C$5=1,7,6))),D295-C295+1))</f>
        <v/>
      </c>
      <c r="G295" s="16" t="str">
        <f aca="false">IF(A295="","",IF(OR(B295="",C295="",D295=""),"Eksik bilgi",IF(D295&lt;C295,"Bitiş başlangıçtan önce","OK")))</f>
        <v/>
      </c>
    </row>
    <row r="296" customFormat="false" ht="15" hidden="false" customHeight="false" outlineLevel="0" collapsed="false">
      <c r="A296" s="12"/>
      <c r="B296" s="13"/>
      <c r="C296" s="14"/>
      <c r="D296" s="14"/>
      <c r="E296" s="12"/>
      <c r="F296" s="15" t="str">
        <f aca="false">IF(OR(C296="",D296="",D296&lt;C296),"",IF(B296="Yıllık izin",D296-C296+1-INT((WEEKDAY(C296-1)+D296-C296)/7)-IF(Ayarlar!$C$5=1,0,INT((WEEKDAY(C296-7)+D296-C296)/7))-SUMPRODUCT((Ayarlar!$E$5:$E$24&gt;=C296)*(Ayarlar!$E$5:$E$24&lt;=D296)*(WEEKDAY(Ayarlar!$E$5:$E$24,2)&lt;IF(Ayarlar!$C$5=1,7,6))),D296-C296+1))</f>
        <v/>
      </c>
      <c r="G296" s="16" t="str">
        <f aca="false">IF(A296="","",IF(OR(B296="",C296="",D296=""),"Eksik bilgi",IF(D296&lt;C296,"Bitiş başlangıçtan önce","OK")))</f>
        <v/>
      </c>
    </row>
    <row r="297" customFormat="false" ht="15" hidden="false" customHeight="false" outlineLevel="0" collapsed="false">
      <c r="A297" s="12"/>
      <c r="B297" s="13"/>
      <c r="C297" s="14"/>
      <c r="D297" s="14"/>
      <c r="E297" s="12"/>
      <c r="F297" s="15" t="str">
        <f aca="false">IF(OR(C297="",D297="",D297&lt;C297),"",IF(B297="Yıllık izin",D297-C297+1-INT((WEEKDAY(C297-1)+D297-C297)/7)-IF(Ayarlar!$C$5=1,0,INT((WEEKDAY(C297-7)+D297-C297)/7))-SUMPRODUCT((Ayarlar!$E$5:$E$24&gt;=C297)*(Ayarlar!$E$5:$E$24&lt;=D297)*(WEEKDAY(Ayarlar!$E$5:$E$24,2)&lt;IF(Ayarlar!$C$5=1,7,6))),D297-C297+1))</f>
        <v/>
      </c>
      <c r="G297" s="16" t="str">
        <f aca="false">IF(A297="","",IF(OR(B297="",C297="",D297=""),"Eksik bilgi",IF(D297&lt;C297,"Bitiş başlangıçtan önce","OK")))</f>
        <v/>
      </c>
    </row>
    <row r="298" customFormat="false" ht="15" hidden="false" customHeight="false" outlineLevel="0" collapsed="false">
      <c r="A298" s="12"/>
      <c r="B298" s="13"/>
      <c r="C298" s="14"/>
      <c r="D298" s="14"/>
      <c r="E298" s="12"/>
      <c r="F298" s="15" t="str">
        <f aca="false">IF(OR(C298="",D298="",D298&lt;C298),"",IF(B298="Yıllık izin",D298-C298+1-INT((WEEKDAY(C298-1)+D298-C298)/7)-IF(Ayarlar!$C$5=1,0,INT((WEEKDAY(C298-7)+D298-C298)/7))-SUMPRODUCT((Ayarlar!$E$5:$E$24&gt;=C298)*(Ayarlar!$E$5:$E$24&lt;=D298)*(WEEKDAY(Ayarlar!$E$5:$E$24,2)&lt;IF(Ayarlar!$C$5=1,7,6))),D298-C298+1))</f>
        <v/>
      </c>
      <c r="G298" s="16" t="str">
        <f aca="false">IF(A298="","",IF(OR(B298="",C298="",D298=""),"Eksik bilgi",IF(D298&lt;C298,"Bitiş başlangıçtan önce","OK")))</f>
        <v/>
      </c>
    </row>
    <row r="299" customFormat="false" ht="15" hidden="false" customHeight="false" outlineLevel="0" collapsed="false">
      <c r="A299" s="12"/>
      <c r="B299" s="13"/>
      <c r="C299" s="14"/>
      <c r="D299" s="14"/>
      <c r="E299" s="12"/>
      <c r="F299" s="15" t="str">
        <f aca="false">IF(OR(C299="",D299="",D299&lt;C299),"",IF(B299="Yıllık izin",D299-C299+1-INT((WEEKDAY(C299-1)+D299-C299)/7)-IF(Ayarlar!$C$5=1,0,INT((WEEKDAY(C299-7)+D299-C299)/7))-SUMPRODUCT((Ayarlar!$E$5:$E$24&gt;=C299)*(Ayarlar!$E$5:$E$24&lt;=D299)*(WEEKDAY(Ayarlar!$E$5:$E$24,2)&lt;IF(Ayarlar!$C$5=1,7,6))),D299-C299+1))</f>
        <v/>
      </c>
      <c r="G299" s="16" t="str">
        <f aca="false">IF(A299="","",IF(OR(B299="",C299="",D299=""),"Eksik bilgi",IF(D299&lt;C299,"Bitiş başlangıçtan önce","OK")))</f>
        <v/>
      </c>
    </row>
    <row r="300" customFormat="false" ht="15" hidden="false" customHeight="false" outlineLevel="0" collapsed="false">
      <c r="A300" s="12"/>
      <c r="B300" s="13"/>
      <c r="C300" s="14"/>
      <c r="D300" s="14"/>
      <c r="E300" s="12"/>
      <c r="F300" s="15" t="str">
        <f aca="false">IF(OR(C300="",D300="",D300&lt;C300),"",IF(B300="Yıllık izin",D300-C300+1-INT((WEEKDAY(C300-1)+D300-C300)/7)-IF(Ayarlar!$C$5=1,0,INT((WEEKDAY(C300-7)+D300-C300)/7))-SUMPRODUCT((Ayarlar!$E$5:$E$24&gt;=C300)*(Ayarlar!$E$5:$E$24&lt;=D300)*(WEEKDAY(Ayarlar!$E$5:$E$24,2)&lt;IF(Ayarlar!$C$5=1,7,6))),D300-C300+1))</f>
        <v/>
      </c>
      <c r="G300" s="16" t="str">
        <f aca="false">IF(A300="","",IF(OR(B300="",C300="",D300=""),"Eksik bilgi",IF(D300&lt;C300,"Bitiş başlangıçtan önce","OK")))</f>
        <v/>
      </c>
    </row>
    <row r="301" customFormat="false" ht="15" hidden="false" customHeight="false" outlineLevel="0" collapsed="false">
      <c r="A301" s="12"/>
      <c r="B301" s="13"/>
      <c r="C301" s="14"/>
      <c r="D301" s="14"/>
      <c r="E301" s="12"/>
      <c r="F301" s="15" t="str">
        <f aca="false">IF(OR(C301="",D301="",D301&lt;C301),"",IF(B301="Yıllık izin",D301-C301+1-INT((WEEKDAY(C301-1)+D301-C301)/7)-IF(Ayarlar!$C$5=1,0,INT((WEEKDAY(C301-7)+D301-C301)/7))-SUMPRODUCT((Ayarlar!$E$5:$E$24&gt;=C301)*(Ayarlar!$E$5:$E$24&lt;=D301)*(WEEKDAY(Ayarlar!$E$5:$E$24,2)&lt;IF(Ayarlar!$C$5=1,7,6))),D301-C301+1))</f>
        <v/>
      </c>
      <c r="G301" s="16" t="str">
        <f aca="false">IF(A301="","",IF(OR(B301="",C301="",D301=""),"Eksik bilgi",IF(D301&lt;C301,"Bitiş başlangıçtan önce","OK")))</f>
        <v/>
      </c>
    </row>
    <row r="302" customFormat="false" ht="15" hidden="false" customHeight="false" outlineLevel="0" collapsed="false">
      <c r="A302" s="12"/>
      <c r="B302" s="13"/>
      <c r="C302" s="14"/>
      <c r="D302" s="14"/>
      <c r="E302" s="12"/>
      <c r="F302" s="15" t="str">
        <f aca="false">IF(OR(C302="",D302="",D302&lt;C302),"",IF(B302="Yıllık izin",D302-C302+1-INT((WEEKDAY(C302-1)+D302-C302)/7)-IF(Ayarlar!$C$5=1,0,INT((WEEKDAY(C302-7)+D302-C302)/7))-SUMPRODUCT((Ayarlar!$E$5:$E$24&gt;=C302)*(Ayarlar!$E$5:$E$24&lt;=D302)*(WEEKDAY(Ayarlar!$E$5:$E$24,2)&lt;IF(Ayarlar!$C$5=1,7,6))),D302-C302+1))</f>
        <v/>
      </c>
      <c r="G302" s="16" t="str">
        <f aca="false">IF(A302="","",IF(OR(B302="",C302="",D302=""),"Eksik bilgi",IF(D302&lt;C302,"Bitiş başlangıçtan önce","OK")))</f>
        <v/>
      </c>
    </row>
    <row r="303" customFormat="false" ht="15" hidden="false" customHeight="false" outlineLevel="0" collapsed="false">
      <c r="A303" s="12"/>
      <c r="B303" s="13"/>
      <c r="C303" s="14"/>
      <c r="D303" s="14"/>
      <c r="E303" s="12"/>
      <c r="F303" s="15" t="str">
        <f aca="false">IF(OR(C303="",D303="",D303&lt;C303),"",IF(B303="Yıllık izin",D303-C303+1-INT((WEEKDAY(C303-1)+D303-C303)/7)-IF(Ayarlar!$C$5=1,0,INT((WEEKDAY(C303-7)+D303-C303)/7))-SUMPRODUCT((Ayarlar!$E$5:$E$24&gt;=C303)*(Ayarlar!$E$5:$E$24&lt;=D303)*(WEEKDAY(Ayarlar!$E$5:$E$24,2)&lt;IF(Ayarlar!$C$5=1,7,6))),D303-C303+1))</f>
        <v/>
      </c>
      <c r="G303" s="16" t="str">
        <f aca="false">IF(A303="","",IF(OR(B303="",C303="",D303=""),"Eksik bilgi",IF(D303&lt;C303,"Bitiş başlangıçtan önce","OK")))</f>
        <v/>
      </c>
    </row>
    <row r="304" customFormat="false" ht="15" hidden="false" customHeight="false" outlineLevel="0" collapsed="false">
      <c r="A304" s="12"/>
      <c r="B304" s="13"/>
      <c r="C304" s="14"/>
      <c r="D304" s="14"/>
      <c r="E304" s="12"/>
      <c r="F304" s="15" t="str">
        <f aca="false">IF(OR(C304="",D304="",D304&lt;C304),"",IF(B304="Yıllık izin",D304-C304+1-INT((WEEKDAY(C304-1)+D304-C304)/7)-IF(Ayarlar!$C$5=1,0,INT((WEEKDAY(C304-7)+D304-C304)/7))-SUMPRODUCT((Ayarlar!$E$5:$E$24&gt;=C304)*(Ayarlar!$E$5:$E$24&lt;=D304)*(WEEKDAY(Ayarlar!$E$5:$E$24,2)&lt;IF(Ayarlar!$C$5=1,7,6))),D304-C304+1))</f>
        <v/>
      </c>
      <c r="G304" s="16" t="str">
        <f aca="false">IF(A304="","",IF(OR(B304="",C304="",D304=""),"Eksik bilgi",IF(D304&lt;C304,"Bitiş başlangıçtan önce","OK")))</f>
        <v/>
      </c>
    </row>
    <row r="305" customFormat="false" ht="15" hidden="false" customHeight="false" outlineLevel="0" collapsed="false">
      <c r="A305" s="12"/>
      <c r="B305" s="13"/>
      <c r="C305" s="14"/>
      <c r="D305" s="14"/>
      <c r="E305" s="12"/>
      <c r="F305" s="15" t="str">
        <f aca="false">IF(OR(C305="",D305="",D305&lt;C305),"",IF(B305="Yıllık izin",D305-C305+1-INT((WEEKDAY(C305-1)+D305-C305)/7)-IF(Ayarlar!$C$5=1,0,INT((WEEKDAY(C305-7)+D305-C305)/7))-SUMPRODUCT((Ayarlar!$E$5:$E$24&gt;=C305)*(Ayarlar!$E$5:$E$24&lt;=D305)*(WEEKDAY(Ayarlar!$E$5:$E$24,2)&lt;IF(Ayarlar!$C$5=1,7,6))),D305-C305+1))</f>
        <v/>
      </c>
      <c r="G305" s="16" t="str">
        <f aca="false">IF(A305="","",IF(OR(B305="",C305="",D305=""),"Eksik bilgi",IF(D305&lt;C305,"Bitiş başlangıçtan önce","OK")))</f>
        <v/>
      </c>
    </row>
    <row r="306" customFormat="false" ht="15" hidden="false" customHeight="false" outlineLevel="0" collapsed="false">
      <c r="A306" s="12"/>
      <c r="B306" s="13"/>
      <c r="C306" s="14"/>
      <c r="D306" s="14"/>
      <c r="E306" s="12"/>
      <c r="F306" s="15" t="str">
        <f aca="false">IF(OR(C306="",D306="",D306&lt;C306),"",IF(B306="Yıllık izin",D306-C306+1-INT((WEEKDAY(C306-1)+D306-C306)/7)-IF(Ayarlar!$C$5=1,0,INT((WEEKDAY(C306-7)+D306-C306)/7))-SUMPRODUCT((Ayarlar!$E$5:$E$24&gt;=C306)*(Ayarlar!$E$5:$E$24&lt;=D306)*(WEEKDAY(Ayarlar!$E$5:$E$24,2)&lt;IF(Ayarlar!$C$5=1,7,6))),D306-C306+1))</f>
        <v/>
      </c>
      <c r="G306" s="16" t="str">
        <f aca="false">IF(A306="","",IF(OR(B306="",C306="",D306=""),"Eksik bilgi",IF(D306&lt;C306,"Bitiş başlangıçtan önce","OK")))</f>
        <v/>
      </c>
    </row>
    <row r="307" customFormat="false" ht="15" hidden="false" customHeight="false" outlineLevel="0" collapsed="false">
      <c r="A307" s="12"/>
      <c r="B307" s="13"/>
      <c r="C307" s="14"/>
      <c r="D307" s="14"/>
      <c r="E307" s="12"/>
      <c r="F307" s="15" t="str">
        <f aca="false">IF(OR(C307="",D307="",D307&lt;C307),"",IF(B307="Yıllık izin",D307-C307+1-INT((WEEKDAY(C307-1)+D307-C307)/7)-IF(Ayarlar!$C$5=1,0,INT((WEEKDAY(C307-7)+D307-C307)/7))-SUMPRODUCT((Ayarlar!$E$5:$E$24&gt;=C307)*(Ayarlar!$E$5:$E$24&lt;=D307)*(WEEKDAY(Ayarlar!$E$5:$E$24,2)&lt;IF(Ayarlar!$C$5=1,7,6))),D307-C307+1))</f>
        <v/>
      </c>
      <c r="G307" s="16" t="str">
        <f aca="false">IF(A307="","",IF(OR(B307="",C307="",D307=""),"Eksik bilgi",IF(D307&lt;C307,"Bitiş başlangıçtan önce","OK")))</f>
        <v/>
      </c>
    </row>
    <row r="308" customFormat="false" ht="15" hidden="false" customHeight="false" outlineLevel="0" collapsed="false">
      <c r="A308" s="12"/>
      <c r="B308" s="13"/>
      <c r="C308" s="14"/>
      <c r="D308" s="14"/>
      <c r="E308" s="12"/>
      <c r="F308" s="15" t="str">
        <f aca="false">IF(OR(C308="",D308="",D308&lt;C308),"",IF(B308="Yıllık izin",D308-C308+1-INT((WEEKDAY(C308-1)+D308-C308)/7)-IF(Ayarlar!$C$5=1,0,INT((WEEKDAY(C308-7)+D308-C308)/7))-SUMPRODUCT((Ayarlar!$E$5:$E$24&gt;=C308)*(Ayarlar!$E$5:$E$24&lt;=D308)*(WEEKDAY(Ayarlar!$E$5:$E$24,2)&lt;IF(Ayarlar!$C$5=1,7,6))),D308-C308+1))</f>
        <v/>
      </c>
      <c r="G308" s="16" t="str">
        <f aca="false">IF(A308="","",IF(OR(B308="",C308="",D308=""),"Eksik bilgi",IF(D308&lt;C308,"Bitiş başlangıçtan önce","OK")))</f>
        <v/>
      </c>
    </row>
    <row r="309" customFormat="false" ht="15" hidden="false" customHeight="false" outlineLevel="0" collapsed="false">
      <c r="A309" s="12"/>
      <c r="B309" s="13"/>
      <c r="C309" s="14"/>
      <c r="D309" s="14"/>
      <c r="E309" s="12"/>
      <c r="F309" s="15" t="str">
        <f aca="false">IF(OR(C309="",D309="",D309&lt;C309),"",IF(B309="Yıllık izin",D309-C309+1-INT((WEEKDAY(C309-1)+D309-C309)/7)-IF(Ayarlar!$C$5=1,0,INT((WEEKDAY(C309-7)+D309-C309)/7))-SUMPRODUCT((Ayarlar!$E$5:$E$24&gt;=C309)*(Ayarlar!$E$5:$E$24&lt;=D309)*(WEEKDAY(Ayarlar!$E$5:$E$24,2)&lt;IF(Ayarlar!$C$5=1,7,6))),D309-C309+1))</f>
        <v/>
      </c>
      <c r="G309" s="16" t="str">
        <f aca="false">IF(A309="","",IF(OR(B309="",C309="",D309=""),"Eksik bilgi",IF(D309&lt;C309,"Bitiş başlangıçtan önce","OK")))</f>
        <v/>
      </c>
    </row>
    <row r="310" customFormat="false" ht="15" hidden="false" customHeight="false" outlineLevel="0" collapsed="false">
      <c r="A310" s="12"/>
      <c r="B310" s="13"/>
      <c r="C310" s="14"/>
      <c r="D310" s="14"/>
      <c r="E310" s="12"/>
      <c r="F310" s="15" t="str">
        <f aca="false">IF(OR(C310="",D310="",D310&lt;C310),"",IF(B310="Yıllık izin",D310-C310+1-INT((WEEKDAY(C310-1)+D310-C310)/7)-IF(Ayarlar!$C$5=1,0,INT((WEEKDAY(C310-7)+D310-C310)/7))-SUMPRODUCT((Ayarlar!$E$5:$E$24&gt;=C310)*(Ayarlar!$E$5:$E$24&lt;=D310)*(WEEKDAY(Ayarlar!$E$5:$E$24,2)&lt;IF(Ayarlar!$C$5=1,7,6))),D310-C310+1))</f>
        <v/>
      </c>
      <c r="G310" s="16" t="str">
        <f aca="false">IF(A310="","",IF(OR(B310="",C310="",D310=""),"Eksik bilgi",IF(D310&lt;C310,"Bitiş başlangıçtan önce","OK")))</f>
        <v/>
      </c>
    </row>
    <row r="311" customFormat="false" ht="15" hidden="false" customHeight="false" outlineLevel="0" collapsed="false">
      <c r="A311" s="12"/>
      <c r="B311" s="13"/>
      <c r="C311" s="14"/>
      <c r="D311" s="14"/>
      <c r="E311" s="12"/>
      <c r="F311" s="15" t="str">
        <f aca="false">IF(OR(C311="",D311="",D311&lt;C311),"",IF(B311="Yıllık izin",D311-C311+1-INT((WEEKDAY(C311-1)+D311-C311)/7)-IF(Ayarlar!$C$5=1,0,INT((WEEKDAY(C311-7)+D311-C311)/7))-SUMPRODUCT((Ayarlar!$E$5:$E$24&gt;=C311)*(Ayarlar!$E$5:$E$24&lt;=D311)*(WEEKDAY(Ayarlar!$E$5:$E$24,2)&lt;IF(Ayarlar!$C$5=1,7,6))),D311-C311+1))</f>
        <v/>
      </c>
      <c r="G311" s="16" t="str">
        <f aca="false">IF(A311="","",IF(OR(B311="",C311="",D311=""),"Eksik bilgi",IF(D311&lt;C311,"Bitiş başlangıçtan önce","OK")))</f>
        <v/>
      </c>
    </row>
    <row r="312" customFormat="false" ht="15" hidden="false" customHeight="false" outlineLevel="0" collapsed="false">
      <c r="A312" s="12"/>
      <c r="B312" s="13"/>
      <c r="C312" s="14"/>
      <c r="D312" s="14"/>
      <c r="E312" s="12"/>
      <c r="F312" s="15" t="str">
        <f aca="false">IF(OR(C312="",D312="",D312&lt;C312),"",IF(B312="Yıllık izin",D312-C312+1-INT((WEEKDAY(C312-1)+D312-C312)/7)-IF(Ayarlar!$C$5=1,0,INT((WEEKDAY(C312-7)+D312-C312)/7))-SUMPRODUCT((Ayarlar!$E$5:$E$24&gt;=C312)*(Ayarlar!$E$5:$E$24&lt;=D312)*(WEEKDAY(Ayarlar!$E$5:$E$24,2)&lt;IF(Ayarlar!$C$5=1,7,6))),D312-C312+1))</f>
        <v/>
      </c>
      <c r="G312" s="16" t="str">
        <f aca="false">IF(A312="","",IF(OR(B312="",C312="",D312=""),"Eksik bilgi",IF(D312&lt;C312,"Bitiş başlangıçtan önce","OK")))</f>
        <v/>
      </c>
    </row>
    <row r="313" customFormat="false" ht="15" hidden="false" customHeight="false" outlineLevel="0" collapsed="false">
      <c r="A313" s="12"/>
      <c r="B313" s="13"/>
      <c r="C313" s="14"/>
      <c r="D313" s="14"/>
      <c r="E313" s="12"/>
      <c r="F313" s="15" t="str">
        <f aca="false">IF(OR(C313="",D313="",D313&lt;C313),"",IF(B313="Yıllık izin",D313-C313+1-INT((WEEKDAY(C313-1)+D313-C313)/7)-IF(Ayarlar!$C$5=1,0,INT((WEEKDAY(C313-7)+D313-C313)/7))-SUMPRODUCT((Ayarlar!$E$5:$E$24&gt;=C313)*(Ayarlar!$E$5:$E$24&lt;=D313)*(WEEKDAY(Ayarlar!$E$5:$E$24,2)&lt;IF(Ayarlar!$C$5=1,7,6))),D313-C313+1))</f>
        <v/>
      </c>
      <c r="G313" s="16" t="str">
        <f aca="false">IF(A313="","",IF(OR(B313="",C313="",D313=""),"Eksik bilgi",IF(D313&lt;C313,"Bitiş başlangıçtan önce","OK")))</f>
        <v/>
      </c>
    </row>
    <row r="314" customFormat="false" ht="15" hidden="false" customHeight="false" outlineLevel="0" collapsed="false">
      <c r="A314" s="12"/>
      <c r="B314" s="13"/>
      <c r="C314" s="14"/>
      <c r="D314" s="14"/>
      <c r="E314" s="12"/>
      <c r="F314" s="15" t="str">
        <f aca="false">IF(OR(C314="",D314="",D314&lt;C314),"",IF(B314="Yıllık izin",D314-C314+1-INT((WEEKDAY(C314-1)+D314-C314)/7)-IF(Ayarlar!$C$5=1,0,INT((WEEKDAY(C314-7)+D314-C314)/7))-SUMPRODUCT((Ayarlar!$E$5:$E$24&gt;=C314)*(Ayarlar!$E$5:$E$24&lt;=D314)*(WEEKDAY(Ayarlar!$E$5:$E$24,2)&lt;IF(Ayarlar!$C$5=1,7,6))),D314-C314+1))</f>
        <v/>
      </c>
      <c r="G314" s="16" t="str">
        <f aca="false">IF(A314="","",IF(OR(B314="",C314="",D314=""),"Eksik bilgi",IF(D314&lt;C314,"Bitiş başlangıçtan önce","OK")))</f>
        <v/>
      </c>
    </row>
    <row r="315" customFormat="false" ht="15" hidden="false" customHeight="false" outlineLevel="0" collapsed="false">
      <c r="A315" s="12"/>
      <c r="B315" s="13"/>
      <c r="C315" s="14"/>
      <c r="D315" s="14"/>
      <c r="E315" s="12"/>
      <c r="F315" s="15" t="str">
        <f aca="false">IF(OR(C315="",D315="",D315&lt;C315),"",IF(B315="Yıllık izin",D315-C315+1-INT((WEEKDAY(C315-1)+D315-C315)/7)-IF(Ayarlar!$C$5=1,0,INT((WEEKDAY(C315-7)+D315-C315)/7))-SUMPRODUCT((Ayarlar!$E$5:$E$24&gt;=C315)*(Ayarlar!$E$5:$E$24&lt;=D315)*(WEEKDAY(Ayarlar!$E$5:$E$24,2)&lt;IF(Ayarlar!$C$5=1,7,6))),D315-C315+1))</f>
        <v/>
      </c>
      <c r="G315" s="16" t="str">
        <f aca="false">IF(A315="","",IF(OR(B315="",C315="",D315=""),"Eksik bilgi",IF(D315&lt;C315,"Bitiş başlangıçtan önce","OK")))</f>
        <v/>
      </c>
    </row>
    <row r="316" customFormat="false" ht="15" hidden="false" customHeight="false" outlineLevel="0" collapsed="false">
      <c r="A316" s="12"/>
      <c r="B316" s="13"/>
      <c r="C316" s="14"/>
      <c r="D316" s="14"/>
      <c r="E316" s="12"/>
      <c r="F316" s="15" t="str">
        <f aca="false">IF(OR(C316="",D316="",D316&lt;C316),"",IF(B316="Yıllık izin",D316-C316+1-INT((WEEKDAY(C316-1)+D316-C316)/7)-IF(Ayarlar!$C$5=1,0,INT((WEEKDAY(C316-7)+D316-C316)/7))-SUMPRODUCT((Ayarlar!$E$5:$E$24&gt;=C316)*(Ayarlar!$E$5:$E$24&lt;=D316)*(WEEKDAY(Ayarlar!$E$5:$E$24,2)&lt;IF(Ayarlar!$C$5=1,7,6))),D316-C316+1))</f>
        <v/>
      </c>
      <c r="G316" s="16" t="str">
        <f aca="false">IF(A316="","",IF(OR(B316="",C316="",D316=""),"Eksik bilgi",IF(D316&lt;C316,"Bitiş başlangıçtan önce","OK")))</f>
        <v/>
      </c>
    </row>
    <row r="317" customFormat="false" ht="15" hidden="false" customHeight="false" outlineLevel="0" collapsed="false">
      <c r="A317" s="12"/>
      <c r="B317" s="13"/>
      <c r="C317" s="14"/>
      <c r="D317" s="14"/>
      <c r="E317" s="12"/>
      <c r="F317" s="15" t="str">
        <f aca="false">IF(OR(C317="",D317="",D317&lt;C317),"",IF(B317="Yıllık izin",D317-C317+1-INT((WEEKDAY(C317-1)+D317-C317)/7)-IF(Ayarlar!$C$5=1,0,INT((WEEKDAY(C317-7)+D317-C317)/7))-SUMPRODUCT((Ayarlar!$E$5:$E$24&gt;=C317)*(Ayarlar!$E$5:$E$24&lt;=D317)*(WEEKDAY(Ayarlar!$E$5:$E$24,2)&lt;IF(Ayarlar!$C$5=1,7,6))),D317-C317+1))</f>
        <v/>
      </c>
      <c r="G317" s="16" t="str">
        <f aca="false">IF(A317="","",IF(OR(B317="",C317="",D317=""),"Eksik bilgi",IF(D317&lt;C317,"Bitiş başlangıçtan önce","OK")))</f>
        <v/>
      </c>
    </row>
    <row r="318" customFormat="false" ht="15" hidden="false" customHeight="false" outlineLevel="0" collapsed="false">
      <c r="A318" s="12"/>
      <c r="B318" s="13"/>
      <c r="C318" s="14"/>
      <c r="D318" s="14"/>
      <c r="E318" s="12"/>
      <c r="F318" s="15" t="str">
        <f aca="false">IF(OR(C318="",D318="",D318&lt;C318),"",IF(B318="Yıllık izin",D318-C318+1-INT((WEEKDAY(C318-1)+D318-C318)/7)-IF(Ayarlar!$C$5=1,0,INT((WEEKDAY(C318-7)+D318-C318)/7))-SUMPRODUCT((Ayarlar!$E$5:$E$24&gt;=C318)*(Ayarlar!$E$5:$E$24&lt;=D318)*(WEEKDAY(Ayarlar!$E$5:$E$24,2)&lt;IF(Ayarlar!$C$5=1,7,6))),D318-C318+1))</f>
        <v/>
      </c>
      <c r="G318" s="16" t="str">
        <f aca="false">IF(A318="","",IF(OR(B318="",C318="",D318=""),"Eksik bilgi",IF(D318&lt;C318,"Bitiş başlangıçtan önce","OK")))</f>
        <v/>
      </c>
    </row>
    <row r="319" customFormat="false" ht="15" hidden="false" customHeight="false" outlineLevel="0" collapsed="false">
      <c r="A319" s="12"/>
      <c r="B319" s="13"/>
      <c r="C319" s="14"/>
      <c r="D319" s="14"/>
      <c r="E319" s="12"/>
      <c r="F319" s="15" t="str">
        <f aca="false">IF(OR(C319="",D319="",D319&lt;C319),"",IF(B319="Yıllık izin",D319-C319+1-INT((WEEKDAY(C319-1)+D319-C319)/7)-IF(Ayarlar!$C$5=1,0,INT((WEEKDAY(C319-7)+D319-C319)/7))-SUMPRODUCT((Ayarlar!$E$5:$E$24&gt;=C319)*(Ayarlar!$E$5:$E$24&lt;=D319)*(WEEKDAY(Ayarlar!$E$5:$E$24,2)&lt;IF(Ayarlar!$C$5=1,7,6))),D319-C319+1))</f>
        <v/>
      </c>
      <c r="G319" s="16" t="str">
        <f aca="false">IF(A319="","",IF(OR(B319="",C319="",D319=""),"Eksik bilgi",IF(D319&lt;C319,"Bitiş başlangıçtan önce","OK")))</f>
        <v/>
      </c>
    </row>
    <row r="320" customFormat="false" ht="15" hidden="false" customHeight="false" outlineLevel="0" collapsed="false">
      <c r="A320" s="12"/>
      <c r="B320" s="13"/>
      <c r="C320" s="14"/>
      <c r="D320" s="14"/>
      <c r="E320" s="12"/>
      <c r="F320" s="15" t="str">
        <f aca="false">IF(OR(C320="",D320="",D320&lt;C320),"",IF(B320="Yıllık izin",D320-C320+1-INT((WEEKDAY(C320-1)+D320-C320)/7)-IF(Ayarlar!$C$5=1,0,INT((WEEKDAY(C320-7)+D320-C320)/7))-SUMPRODUCT((Ayarlar!$E$5:$E$24&gt;=C320)*(Ayarlar!$E$5:$E$24&lt;=D320)*(WEEKDAY(Ayarlar!$E$5:$E$24,2)&lt;IF(Ayarlar!$C$5=1,7,6))),D320-C320+1))</f>
        <v/>
      </c>
      <c r="G320" s="16" t="str">
        <f aca="false">IF(A320="","",IF(OR(B320="",C320="",D320=""),"Eksik bilgi",IF(D320&lt;C320,"Bitiş başlangıçtan önce","OK")))</f>
        <v/>
      </c>
    </row>
    <row r="321" customFormat="false" ht="15" hidden="false" customHeight="false" outlineLevel="0" collapsed="false">
      <c r="A321" s="12"/>
      <c r="B321" s="13"/>
      <c r="C321" s="14"/>
      <c r="D321" s="14"/>
      <c r="E321" s="12"/>
      <c r="F321" s="15" t="str">
        <f aca="false">IF(OR(C321="",D321="",D321&lt;C321),"",IF(B321="Yıllık izin",D321-C321+1-INT((WEEKDAY(C321-1)+D321-C321)/7)-IF(Ayarlar!$C$5=1,0,INT((WEEKDAY(C321-7)+D321-C321)/7))-SUMPRODUCT((Ayarlar!$E$5:$E$24&gt;=C321)*(Ayarlar!$E$5:$E$24&lt;=D321)*(WEEKDAY(Ayarlar!$E$5:$E$24,2)&lt;IF(Ayarlar!$C$5=1,7,6))),D321-C321+1))</f>
        <v/>
      </c>
      <c r="G321" s="16" t="str">
        <f aca="false">IF(A321="","",IF(OR(B321="",C321="",D321=""),"Eksik bilgi",IF(D321&lt;C321,"Bitiş başlangıçtan önce","OK")))</f>
        <v/>
      </c>
    </row>
    <row r="322" customFormat="false" ht="15" hidden="false" customHeight="false" outlineLevel="0" collapsed="false">
      <c r="A322" s="12"/>
      <c r="B322" s="13"/>
      <c r="C322" s="14"/>
      <c r="D322" s="14"/>
      <c r="E322" s="12"/>
      <c r="F322" s="15" t="str">
        <f aca="false">IF(OR(C322="",D322="",D322&lt;C322),"",IF(B322="Yıllık izin",D322-C322+1-INT((WEEKDAY(C322-1)+D322-C322)/7)-IF(Ayarlar!$C$5=1,0,INT((WEEKDAY(C322-7)+D322-C322)/7))-SUMPRODUCT((Ayarlar!$E$5:$E$24&gt;=C322)*(Ayarlar!$E$5:$E$24&lt;=D322)*(WEEKDAY(Ayarlar!$E$5:$E$24,2)&lt;IF(Ayarlar!$C$5=1,7,6))),D322-C322+1))</f>
        <v/>
      </c>
      <c r="G322" s="16" t="str">
        <f aca="false">IF(A322="","",IF(OR(B322="",C322="",D322=""),"Eksik bilgi",IF(D322&lt;C322,"Bitiş başlangıçtan önce","OK")))</f>
        <v/>
      </c>
    </row>
    <row r="323" customFormat="false" ht="15" hidden="false" customHeight="false" outlineLevel="0" collapsed="false">
      <c r="A323" s="12"/>
      <c r="B323" s="13"/>
      <c r="C323" s="14"/>
      <c r="D323" s="14"/>
      <c r="E323" s="12"/>
      <c r="F323" s="15" t="str">
        <f aca="false">IF(OR(C323="",D323="",D323&lt;C323),"",IF(B323="Yıllık izin",D323-C323+1-INT((WEEKDAY(C323-1)+D323-C323)/7)-IF(Ayarlar!$C$5=1,0,INT((WEEKDAY(C323-7)+D323-C323)/7))-SUMPRODUCT((Ayarlar!$E$5:$E$24&gt;=C323)*(Ayarlar!$E$5:$E$24&lt;=D323)*(WEEKDAY(Ayarlar!$E$5:$E$24,2)&lt;IF(Ayarlar!$C$5=1,7,6))),D323-C323+1))</f>
        <v/>
      </c>
      <c r="G323" s="16" t="str">
        <f aca="false">IF(A323="","",IF(OR(B323="",C323="",D323=""),"Eksik bilgi",IF(D323&lt;C323,"Bitiş başlangıçtan önce","OK")))</f>
        <v/>
      </c>
    </row>
    <row r="324" customFormat="false" ht="15" hidden="false" customHeight="false" outlineLevel="0" collapsed="false">
      <c r="A324" s="12"/>
      <c r="B324" s="13"/>
      <c r="C324" s="14"/>
      <c r="D324" s="14"/>
      <c r="E324" s="12"/>
      <c r="F324" s="15" t="str">
        <f aca="false">IF(OR(C324="",D324="",D324&lt;C324),"",IF(B324="Yıllık izin",D324-C324+1-INT((WEEKDAY(C324-1)+D324-C324)/7)-IF(Ayarlar!$C$5=1,0,INT((WEEKDAY(C324-7)+D324-C324)/7))-SUMPRODUCT((Ayarlar!$E$5:$E$24&gt;=C324)*(Ayarlar!$E$5:$E$24&lt;=D324)*(WEEKDAY(Ayarlar!$E$5:$E$24,2)&lt;IF(Ayarlar!$C$5=1,7,6))),D324-C324+1))</f>
        <v/>
      </c>
      <c r="G324" s="16" t="str">
        <f aca="false">IF(A324="","",IF(OR(B324="",C324="",D324=""),"Eksik bilgi",IF(D324&lt;C324,"Bitiş başlangıçtan önce","OK")))</f>
        <v/>
      </c>
    </row>
    <row r="325" customFormat="false" ht="15" hidden="false" customHeight="false" outlineLevel="0" collapsed="false">
      <c r="A325" s="12"/>
      <c r="B325" s="13"/>
      <c r="C325" s="14"/>
      <c r="D325" s="14"/>
      <c r="E325" s="12"/>
      <c r="F325" s="15" t="str">
        <f aca="false">IF(OR(C325="",D325="",D325&lt;C325),"",IF(B325="Yıllık izin",D325-C325+1-INT((WEEKDAY(C325-1)+D325-C325)/7)-IF(Ayarlar!$C$5=1,0,INT((WEEKDAY(C325-7)+D325-C325)/7))-SUMPRODUCT((Ayarlar!$E$5:$E$24&gt;=C325)*(Ayarlar!$E$5:$E$24&lt;=D325)*(WEEKDAY(Ayarlar!$E$5:$E$24,2)&lt;IF(Ayarlar!$C$5=1,7,6))),D325-C325+1))</f>
        <v/>
      </c>
      <c r="G325" s="16" t="str">
        <f aca="false">IF(A325="","",IF(OR(B325="",C325="",D325=""),"Eksik bilgi",IF(D325&lt;C325,"Bitiş başlangıçtan önce","OK")))</f>
        <v/>
      </c>
    </row>
    <row r="326" customFormat="false" ht="15" hidden="false" customHeight="false" outlineLevel="0" collapsed="false">
      <c r="A326" s="12"/>
      <c r="B326" s="13"/>
      <c r="C326" s="14"/>
      <c r="D326" s="14"/>
      <c r="E326" s="12"/>
      <c r="F326" s="15" t="str">
        <f aca="false">IF(OR(C326="",D326="",D326&lt;C326),"",IF(B326="Yıllık izin",D326-C326+1-INT((WEEKDAY(C326-1)+D326-C326)/7)-IF(Ayarlar!$C$5=1,0,INT((WEEKDAY(C326-7)+D326-C326)/7))-SUMPRODUCT((Ayarlar!$E$5:$E$24&gt;=C326)*(Ayarlar!$E$5:$E$24&lt;=D326)*(WEEKDAY(Ayarlar!$E$5:$E$24,2)&lt;IF(Ayarlar!$C$5=1,7,6))),D326-C326+1))</f>
        <v/>
      </c>
      <c r="G326" s="16" t="str">
        <f aca="false">IF(A326="","",IF(OR(B326="",C326="",D326=""),"Eksik bilgi",IF(D326&lt;C326,"Bitiş başlangıçtan önce","OK")))</f>
        <v/>
      </c>
    </row>
    <row r="327" customFormat="false" ht="15" hidden="false" customHeight="false" outlineLevel="0" collapsed="false">
      <c r="A327" s="12"/>
      <c r="B327" s="13"/>
      <c r="C327" s="14"/>
      <c r="D327" s="14"/>
      <c r="E327" s="12"/>
      <c r="F327" s="15" t="str">
        <f aca="false">IF(OR(C327="",D327="",D327&lt;C327),"",IF(B327="Yıllık izin",D327-C327+1-INT((WEEKDAY(C327-1)+D327-C327)/7)-IF(Ayarlar!$C$5=1,0,INT((WEEKDAY(C327-7)+D327-C327)/7))-SUMPRODUCT((Ayarlar!$E$5:$E$24&gt;=C327)*(Ayarlar!$E$5:$E$24&lt;=D327)*(WEEKDAY(Ayarlar!$E$5:$E$24,2)&lt;IF(Ayarlar!$C$5=1,7,6))),D327-C327+1))</f>
        <v/>
      </c>
      <c r="G327" s="16" t="str">
        <f aca="false">IF(A327="","",IF(OR(B327="",C327="",D327=""),"Eksik bilgi",IF(D327&lt;C327,"Bitiş başlangıçtan önce","OK")))</f>
        <v/>
      </c>
    </row>
    <row r="328" customFormat="false" ht="15" hidden="false" customHeight="false" outlineLevel="0" collapsed="false">
      <c r="A328" s="12"/>
      <c r="B328" s="13"/>
      <c r="C328" s="14"/>
      <c r="D328" s="14"/>
      <c r="E328" s="12"/>
      <c r="F328" s="15" t="str">
        <f aca="false">IF(OR(C328="",D328="",D328&lt;C328),"",IF(B328="Yıllık izin",D328-C328+1-INT((WEEKDAY(C328-1)+D328-C328)/7)-IF(Ayarlar!$C$5=1,0,INT((WEEKDAY(C328-7)+D328-C328)/7))-SUMPRODUCT((Ayarlar!$E$5:$E$24&gt;=C328)*(Ayarlar!$E$5:$E$24&lt;=D328)*(WEEKDAY(Ayarlar!$E$5:$E$24,2)&lt;IF(Ayarlar!$C$5=1,7,6))),D328-C328+1))</f>
        <v/>
      </c>
      <c r="G328" s="16" t="str">
        <f aca="false">IF(A328="","",IF(OR(B328="",C328="",D328=""),"Eksik bilgi",IF(D328&lt;C328,"Bitiş başlangıçtan önce","OK")))</f>
        <v/>
      </c>
    </row>
    <row r="329" customFormat="false" ht="15" hidden="false" customHeight="false" outlineLevel="0" collapsed="false">
      <c r="A329" s="12"/>
      <c r="B329" s="13"/>
      <c r="C329" s="14"/>
      <c r="D329" s="14"/>
      <c r="E329" s="12"/>
      <c r="F329" s="15" t="str">
        <f aca="false">IF(OR(C329="",D329="",D329&lt;C329),"",IF(B329="Yıllık izin",D329-C329+1-INT((WEEKDAY(C329-1)+D329-C329)/7)-IF(Ayarlar!$C$5=1,0,INT((WEEKDAY(C329-7)+D329-C329)/7))-SUMPRODUCT((Ayarlar!$E$5:$E$24&gt;=C329)*(Ayarlar!$E$5:$E$24&lt;=D329)*(WEEKDAY(Ayarlar!$E$5:$E$24,2)&lt;IF(Ayarlar!$C$5=1,7,6))),D329-C329+1))</f>
        <v/>
      </c>
      <c r="G329" s="16" t="str">
        <f aca="false">IF(A329="","",IF(OR(B329="",C329="",D329=""),"Eksik bilgi",IF(D329&lt;C329,"Bitiş başlangıçtan önce","OK")))</f>
        <v/>
      </c>
    </row>
    <row r="330" customFormat="false" ht="15" hidden="false" customHeight="false" outlineLevel="0" collapsed="false">
      <c r="A330" s="12"/>
      <c r="B330" s="13"/>
      <c r="C330" s="14"/>
      <c r="D330" s="14"/>
      <c r="E330" s="12"/>
      <c r="F330" s="15" t="str">
        <f aca="false">IF(OR(C330="",D330="",D330&lt;C330),"",IF(B330="Yıllık izin",D330-C330+1-INT((WEEKDAY(C330-1)+D330-C330)/7)-IF(Ayarlar!$C$5=1,0,INT((WEEKDAY(C330-7)+D330-C330)/7))-SUMPRODUCT((Ayarlar!$E$5:$E$24&gt;=C330)*(Ayarlar!$E$5:$E$24&lt;=D330)*(WEEKDAY(Ayarlar!$E$5:$E$24,2)&lt;IF(Ayarlar!$C$5=1,7,6))),D330-C330+1))</f>
        <v/>
      </c>
      <c r="G330" s="16" t="str">
        <f aca="false">IF(A330="","",IF(OR(B330="",C330="",D330=""),"Eksik bilgi",IF(D330&lt;C330,"Bitiş başlangıçtan önce","OK")))</f>
        <v/>
      </c>
    </row>
    <row r="331" customFormat="false" ht="15" hidden="false" customHeight="false" outlineLevel="0" collapsed="false">
      <c r="A331" s="12"/>
      <c r="B331" s="13"/>
      <c r="C331" s="14"/>
      <c r="D331" s="14"/>
      <c r="E331" s="12"/>
      <c r="F331" s="15" t="str">
        <f aca="false">IF(OR(C331="",D331="",D331&lt;C331),"",IF(B331="Yıllık izin",D331-C331+1-INT((WEEKDAY(C331-1)+D331-C331)/7)-IF(Ayarlar!$C$5=1,0,INT((WEEKDAY(C331-7)+D331-C331)/7))-SUMPRODUCT((Ayarlar!$E$5:$E$24&gt;=C331)*(Ayarlar!$E$5:$E$24&lt;=D331)*(WEEKDAY(Ayarlar!$E$5:$E$24,2)&lt;IF(Ayarlar!$C$5=1,7,6))),D331-C331+1))</f>
        <v/>
      </c>
      <c r="G331" s="16" t="str">
        <f aca="false">IF(A331="","",IF(OR(B331="",C331="",D331=""),"Eksik bilgi",IF(D331&lt;C331,"Bitiş başlangıçtan önce","OK")))</f>
        <v/>
      </c>
    </row>
    <row r="332" customFormat="false" ht="15" hidden="false" customHeight="false" outlineLevel="0" collapsed="false">
      <c r="A332" s="12"/>
      <c r="B332" s="13"/>
      <c r="C332" s="14"/>
      <c r="D332" s="14"/>
      <c r="E332" s="12"/>
      <c r="F332" s="15" t="str">
        <f aca="false">IF(OR(C332="",D332="",D332&lt;C332),"",IF(B332="Yıllık izin",D332-C332+1-INT((WEEKDAY(C332-1)+D332-C332)/7)-IF(Ayarlar!$C$5=1,0,INT((WEEKDAY(C332-7)+D332-C332)/7))-SUMPRODUCT((Ayarlar!$E$5:$E$24&gt;=C332)*(Ayarlar!$E$5:$E$24&lt;=D332)*(WEEKDAY(Ayarlar!$E$5:$E$24,2)&lt;IF(Ayarlar!$C$5=1,7,6))),D332-C332+1))</f>
        <v/>
      </c>
      <c r="G332" s="16" t="str">
        <f aca="false">IF(A332="","",IF(OR(B332="",C332="",D332=""),"Eksik bilgi",IF(D332&lt;C332,"Bitiş başlangıçtan önce","OK")))</f>
        <v/>
      </c>
    </row>
    <row r="333" customFormat="false" ht="15" hidden="false" customHeight="false" outlineLevel="0" collapsed="false">
      <c r="A333" s="12"/>
      <c r="B333" s="13"/>
      <c r="C333" s="14"/>
      <c r="D333" s="14"/>
      <c r="E333" s="12"/>
      <c r="F333" s="15" t="str">
        <f aca="false">IF(OR(C333="",D333="",D333&lt;C333),"",IF(B333="Yıllık izin",D333-C333+1-INT((WEEKDAY(C333-1)+D333-C333)/7)-IF(Ayarlar!$C$5=1,0,INT((WEEKDAY(C333-7)+D333-C333)/7))-SUMPRODUCT((Ayarlar!$E$5:$E$24&gt;=C333)*(Ayarlar!$E$5:$E$24&lt;=D333)*(WEEKDAY(Ayarlar!$E$5:$E$24,2)&lt;IF(Ayarlar!$C$5=1,7,6))),D333-C333+1))</f>
        <v/>
      </c>
      <c r="G333" s="16" t="str">
        <f aca="false">IF(A333="","",IF(OR(B333="",C333="",D333=""),"Eksik bilgi",IF(D333&lt;C333,"Bitiş başlangıçtan önce","OK")))</f>
        <v/>
      </c>
    </row>
    <row r="334" customFormat="false" ht="15" hidden="false" customHeight="false" outlineLevel="0" collapsed="false">
      <c r="A334" s="12"/>
      <c r="B334" s="13"/>
      <c r="C334" s="14"/>
      <c r="D334" s="14"/>
      <c r="E334" s="12"/>
      <c r="F334" s="15" t="str">
        <f aca="false">IF(OR(C334="",D334="",D334&lt;C334),"",IF(B334="Yıllık izin",D334-C334+1-INT((WEEKDAY(C334-1)+D334-C334)/7)-IF(Ayarlar!$C$5=1,0,INT((WEEKDAY(C334-7)+D334-C334)/7))-SUMPRODUCT((Ayarlar!$E$5:$E$24&gt;=C334)*(Ayarlar!$E$5:$E$24&lt;=D334)*(WEEKDAY(Ayarlar!$E$5:$E$24,2)&lt;IF(Ayarlar!$C$5=1,7,6))),D334-C334+1))</f>
        <v/>
      </c>
      <c r="G334" s="16" t="str">
        <f aca="false">IF(A334="","",IF(OR(B334="",C334="",D334=""),"Eksik bilgi",IF(D334&lt;C334,"Bitiş başlangıçtan önce","OK")))</f>
        <v/>
      </c>
    </row>
    <row r="335" customFormat="false" ht="15" hidden="false" customHeight="false" outlineLevel="0" collapsed="false">
      <c r="A335" s="12"/>
      <c r="B335" s="13"/>
      <c r="C335" s="14"/>
      <c r="D335" s="14"/>
      <c r="E335" s="12"/>
      <c r="F335" s="15" t="str">
        <f aca="false">IF(OR(C335="",D335="",D335&lt;C335),"",IF(B335="Yıllık izin",D335-C335+1-INT((WEEKDAY(C335-1)+D335-C335)/7)-IF(Ayarlar!$C$5=1,0,INT((WEEKDAY(C335-7)+D335-C335)/7))-SUMPRODUCT((Ayarlar!$E$5:$E$24&gt;=C335)*(Ayarlar!$E$5:$E$24&lt;=D335)*(WEEKDAY(Ayarlar!$E$5:$E$24,2)&lt;IF(Ayarlar!$C$5=1,7,6))),D335-C335+1))</f>
        <v/>
      </c>
      <c r="G335" s="16" t="str">
        <f aca="false">IF(A335="","",IF(OR(B335="",C335="",D335=""),"Eksik bilgi",IF(D335&lt;C335,"Bitiş başlangıçtan önce","OK")))</f>
        <v/>
      </c>
    </row>
    <row r="336" customFormat="false" ht="15" hidden="false" customHeight="false" outlineLevel="0" collapsed="false">
      <c r="A336" s="12"/>
      <c r="B336" s="13"/>
      <c r="C336" s="14"/>
      <c r="D336" s="14"/>
      <c r="E336" s="12"/>
      <c r="F336" s="15" t="str">
        <f aca="false">IF(OR(C336="",D336="",D336&lt;C336),"",IF(B336="Yıllık izin",D336-C336+1-INT((WEEKDAY(C336-1)+D336-C336)/7)-IF(Ayarlar!$C$5=1,0,INT((WEEKDAY(C336-7)+D336-C336)/7))-SUMPRODUCT((Ayarlar!$E$5:$E$24&gt;=C336)*(Ayarlar!$E$5:$E$24&lt;=D336)*(WEEKDAY(Ayarlar!$E$5:$E$24,2)&lt;IF(Ayarlar!$C$5=1,7,6))),D336-C336+1))</f>
        <v/>
      </c>
      <c r="G336" s="16" t="str">
        <f aca="false">IF(A336="","",IF(OR(B336="",C336="",D336=""),"Eksik bilgi",IF(D336&lt;C336,"Bitiş başlangıçtan önce","OK")))</f>
        <v/>
      </c>
    </row>
    <row r="337" customFormat="false" ht="15" hidden="false" customHeight="false" outlineLevel="0" collapsed="false">
      <c r="A337" s="12"/>
      <c r="B337" s="13"/>
      <c r="C337" s="14"/>
      <c r="D337" s="14"/>
      <c r="E337" s="12"/>
      <c r="F337" s="15" t="str">
        <f aca="false">IF(OR(C337="",D337="",D337&lt;C337),"",IF(B337="Yıllık izin",D337-C337+1-INT((WEEKDAY(C337-1)+D337-C337)/7)-IF(Ayarlar!$C$5=1,0,INT((WEEKDAY(C337-7)+D337-C337)/7))-SUMPRODUCT((Ayarlar!$E$5:$E$24&gt;=C337)*(Ayarlar!$E$5:$E$24&lt;=D337)*(WEEKDAY(Ayarlar!$E$5:$E$24,2)&lt;IF(Ayarlar!$C$5=1,7,6))),D337-C337+1))</f>
        <v/>
      </c>
      <c r="G337" s="16" t="str">
        <f aca="false">IF(A337="","",IF(OR(B337="",C337="",D337=""),"Eksik bilgi",IF(D337&lt;C337,"Bitiş başlangıçtan önce","OK")))</f>
        <v/>
      </c>
    </row>
    <row r="338" customFormat="false" ht="15" hidden="false" customHeight="false" outlineLevel="0" collapsed="false">
      <c r="A338" s="12"/>
      <c r="B338" s="13"/>
      <c r="C338" s="14"/>
      <c r="D338" s="14"/>
      <c r="E338" s="12"/>
      <c r="F338" s="15" t="str">
        <f aca="false">IF(OR(C338="",D338="",D338&lt;C338),"",IF(B338="Yıllık izin",D338-C338+1-INT((WEEKDAY(C338-1)+D338-C338)/7)-IF(Ayarlar!$C$5=1,0,INT((WEEKDAY(C338-7)+D338-C338)/7))-SUMPRODUCT((Ayarlar!$E$5:$E$24&gt;=C338)*(Ayarlar!$E$5:$E$24&lt;=D338)*(WEEKDAY(Ayarlar!$E$5:$E$24,2)&lt;IF(Ayarlar!$C$5=1,7,6))),D338-C338+1))</f>
        <v/>
      </c>
      <c r="G338" s="16" t="str">
        <f aca="false">IF(A338="","",IF(OR(B338="",C338="",D338=""),"Eksik bilgi",IF(D338&lt;C338,"Bitiş başlangıçtan önce","OK")))</f>
        <v/>
      </c>
    </row>
    <row r="339" customFormat="false" ht="15" hidden="false" customHeight="false" outlineLevel="0" collapsed="false">
      <c r="A339" s="12"/>
      <c r="B339" s="13"/>
      <c r="C339" s="14"/>
      <c r="D339" s="14"/>
      <c r="E339" s="12"/>
      <c r="F339" s="15" t="str">
        <f aca="false">IF(OR(C339="",D339="",D339&lt;C339),"",IF(B339="Yıllık izin",D339-C339+1-INT((WEEKDAY(C339-1)+D339-C339)/7)-IF(Ayarlar!$C$5=1,0,INT((WEEKDAY(C339-7)+D339-C339)/7))-SUMPRODUCT((Ayarlar!$E$5:$E$24&gt;=C339)*(Ayarlar!$E$5:$E$24&lt;=D339)*(WEEKDAY(Ayarlar!$E$5:$E$24,2)&lt;IF(Ayarlar!$C$5=1,7,6))),D339-C339+1))</f>
        <v/>
      </c>
      <c r="G339" s="16" t="str">
        <f aca="false">IF(A339="","",IF(OR(B339="",C339="",D339=""),"Eksik bilgi",IF(D339&lt;C339,"Bitiş başlangıçtan önce","OK")))</f>
        <v/>
      </c>
    </row>
    <row r="340" customFormat="false" ht="15" hidden="false" customHeight="false" outlineLevel="0" collapsed="false">
      <c r="A340" s="12"/>
      <c r="B340" s="13"/>
      <c r="C340" s="14"/>
      <c r="D340" s="14"/>
      <c r="E340" s="12"/>
      <c r="F340" s="15" t="str">
        <f aca="false">IF(OR(C340="",D340="",D340&lt;C340),"",IF(B340="Yıllık izin",D340-C340+1-INT((WEEKDAY(C340-1)+D340-C340)/7)-IF(Ayarlar!$C$5=1,0,INT((WEEKDAY(C340-7)+D340-C340)/7))-SUMPRODUCT((Ayarlar!$E$5:$E$24&gt;=C340)*(Ayarlar!$E$5:$E$24&lt;=D340)*(WEEKDAY(Ayarlar!$E$5:$E$24,2)&lt;IF(Ayarlar!$C$5=1,7,6))),D340-C340+1))</f>
        <v/>
      </c>
      <c r="G340" s="16" t="str">
        <f aca="false">IF(A340="","",IF(OR(B340="",C340="",D340=""),"Eksik bilgi",IF(D340&lt;C340,"Bitiş başlangıçtan önce","OK")))</f>
        <v/>
      </c>
    </row>
    <row r="341" customFormat="false" ht="15" hidden="false" customHeight="false" outlineLevel="0" collapsed="false">
      <c r="A341" s="12"/>
      <c r="B341" s="13"/>
      <c r="C341" s="14"/>
      <c r="D341" s="14"/>
      <c r="E341" s="12"/>
      <c r="F341" s="15" t="str">
        <f aca="false">IF(OR(C341="",D341="",D341&lt;C341),"",IF(B341="Yıllık izin",D341-C341+1-INT((WEEKDAY(C341-1)+D341-C341)/7)-IF(Ayarlar!$C$5=1,0,INT((WEEKDAY(C341-7)+D341-C341)/7))-SUMPRODUCT((Ayarlar!$E$5:$E$24&gt;=C341)*(Ayarlar!$E$5:$E$24&lt;=D341)*(WEEKDAY(Ayarlar!$E$5:$E$24,2)&lt;IF(Ayarlar!$C$5=1,7,6))),D341-C341+1))</f>
        <v/>
      </c>
      <c r="G341" s="16" t="str">
        <f aca="false">IF(A341="","",IF(OR(B341="",C341="",D341=""),"Eksik bilgi",IF(D341&lt;C341,"Bitiş başlangıçtan önce","OK")))</f>
        <v/>
      </c>
    </row>
    <row r="342" customFormat="false" ht="15" hidden="false" customHeight="false" outlineLevel="0" collapsed="false">
      <c r="A342" s="12"/>
      <c r="B342" s="13"/>
      <c r="C342" s="14"/>
      <c r="D342" s="14"/>
      <c r="E342" s="12"/>
      <c r="F342" s="15" t="str">
        <f aca="false">IF(OR(C342="",D342="",D342&lt;C342),"",IF(B342="Yıllık izin",D342-C342+1-INT((WEEKDAY(C342-1)+D342-C342)/7)-IF(Ayarlar!$C$5=1,0,INT((WEEKDAY(C342-7)+D342-C342)/7))-SUMPRODUCT((Ayarlar!$E$5:$E$24&gt;=C342)*(Ayarlar!$E$5:$E$24&lt;=D342)*(WEEKDAY(Ayarlar!$E$5:$E$24,2)&lt;IF(Ayarlar!$C$5=1,7,6))),D342-C342+1))</f>
        <v/>
      </c>
      <c r="G342" s="16" t="str">
        <f aca="false">IF(A342="","",IF(OR(B342="",C342="",D342=""),"Eksik bilgi",IF(D342&lt;C342,"Bitiş başlangıçtan önce","OK")))</f>
        <v/>
      </c>
    </row>
    <row r="343" customFormat="false" ht="15" hidden="false" customHeight="false" outlineLevel="0" collapsed="false">
      <c r="A343" s="12"/>
      <c r="B343" s="13"/>
      <c r="C343" s="14"/>
      <c r="D343" s="14"/>
      <c r="E343" s="12"/>
      <c r="F343" s="15" t="str">
        <f aca="false">IF(OR(C343="",D343="",D343&lt;C343),"",IF(B343="Yıllık izin",D343-C343+1-INT((WEEKDAY(C343-1)+D343-C343)/7)-IF(Ayarlar!$C$5=1,0,INT((WEEKDAY(C343-7)+D343-C343)/7))-SUMPRODUCT((Ayarlar!$E$5:$E$24&gt;=C343)*(Ayarlar!$E$5:$E$24&lt;=D343)*(WEEKDAY(Ayarlar!$E$5:$E$24,2)&lt;IF(Ayarlar!$C$5=1,7,6))),D343-C343+1))</f>
        <v/>
      </c>
      <c r="G343" s="16" t="str">
        <f aca="false">IF(A343="","",IF(OR(B343="",C343="",D343=""),"Eksik bilgi",IF(D343&lt;C343,"Bitiş başlangıçtan önce","OK")))</f>
        <v/>
      </c>
    </row>
    <row r="344" customFormat="false" ht="15" hidden="false" customHeight="false" outlineLevel="0" collapsed="false">
      <c r="A344" s="12"/>
      <c r="B344" s="13"/>
      <c r="C344" s="14"/>
      <c r="D344" s="14"/>
      <c r="E344" s="12"/>
      <c r="F344" s="15" t="str">
        <f aca="false">IF(OR(C344="",D344="",D344&lt;C344),"",IF(B344="Yıllık izin",D344-C344+1-INT((WEEKDAY(C344-1)+D344-C344)/7)-IF(Ayarlar!$C$5=1,0,INT((WEEKDAY(C344-7)+D344-C344)/7))-SUMPRODUCT((Ayarlar!$E$5:$E$24&gt;=C344)*(Ayarlar!$E$5:$E$24&lt;=D344)*(WEEKDAY(Ayarlar!$E$5:$E$24,2)&lt;IF(Ayarlar!$C$5=1,7,6))),D344-C344+1))</f>
        <v/>
      </c>
      <c r="G344" s="16" t="str">
        <f aca="false">IF(A344="","",IF(OR(B344="",C344="",D344=""),"Eksik bilgi",IF(D344&lt;C344,"Bitiş başlangıçtan önce","OK")))</f>
        <v/>
      </c>
    </row>
    <row r="345" customFormat="false" ht="15" hidden="false" customHeight="false" outlineLevel="0" collapsed="false">
      <c r="A345" s="12"/>
      <c r="B345" s="13"/>
      <c r="C345" s="14"/>
      <c r="D345" s="14"/>
      <c r="E345" s="12"/>
      <c r="F345" s="15" t="str">
        <f aca="false">IF(OR(C345="",D345="",D345&lt;C345),"",IF(B345="Yıllık izin",D345-C345+1-INT((WEEKDAY(C345-1)+D345-C345)/7)-IF(Ayarlar!$C$5=1,0,INT((WEEKDAY(C345-7)+D345-C345)/7))-SUMPRODUCT((Ayarlar!$E$5:$E$24&gt;=C345)*(Ayarlar!$E$5:$E$24&lt;=D345)*(WEEKDAY(Ayarlar!$E$5:$E$24,2)&lt;IF(Ayarlar!$C$5=1,7,6))),D345-C345+1))</f>
        <v/>
      </c>
      <c r="G345" s="16" t="str">
        <f aca="false">IF(A345="","",IF(OR(B345="",C345="",D345=""),"Eksik bilgi",IF(D345&lt;C345,"Bitiş başlangıçtan önce","OK")))</f>
        <v/>
      </c>
    </row>
    <row r="346" customFormat="false" ht="15" hidden="false" customHeight="false" outlineLevel="0" collapsed="false">
      <c r="A346" s="12"/>
      <c r="B346" s="13"/>
      <c r="C346" s="14"/>
      <c r="D346" s="14"/>
      <c r="E346" s="12"/>
      <c r="F346" s="15" t="str">
        <f aca="false">IF(OR(C346="",D346="",D346&lt;C346),"",IF(B346="Yıllık izin",D346-C346+1-INT((WEEKDAY(C346-1)+D346-C346)/7)-IF(Ayarlar!$C$5=1,0,INT((WEEKDAY(C346-7)+D346-C346)/7))-SUMPRODUCT((Ayarlar!$E$5:$E$24&gt;=C346)*(Ayarlar!$E$5:$E$24&lt;=D346)*(WEEKDAY(Ayarlar!$E$5:$E$24,2)&lt;IF(Ayarlar!$C$5=1,7,6))),D346-C346+1))</f>
        <v/>
      </c>
      <c r="G346" s="16" t="str">
        <f aca="false">IF(A346="","",IF(OR(B346="",C346="",D346=""),"Eksik bilgi",IF(D346&lt;C346,"Bitiş başlangıçtan önce","OK")))</f>
        <v/>
      </c>
    </row>
    <row r="347" customFormat="false" ht="15" hidden="false" customHeight="false" outlineLevel="0" collapsed="false">
      <c r="A347" s="12"/>
      <c r="B347" s="13"/>
      <c r="C347" s="14"/>
      <c r="D347" s="14"/>
      <c r="E347" s="12"/>
      <c r="F347" s="15" t="str">
        <f aca="false">IF(OR(C347="",D347="",D347&lt;C347),"",IF(B347="Yıllık izin",D347-C347+1-INT((WEEKDAY(C347-1)+D347-C347)/7)-IF(Ayarlar!$C$5=1,0,INT((WEEKDAY(C347-7)+D347-C347)/7))-SUMPRODUCT((Ayarlar!$E$5:$E$24&gt;=C347)*(Ayarlar!$E$5:$E$24&lt;=D347)*(WEEKDAY(Ayarlar!$E$5:$E$24,2)&lt;IF(Ayarlar!$C$5=1,7,6))),D347-C347+1))</f>
        <v/>
      </c>
      <c r="G347" s="16" t="str">
        <f aca="false">IF(A347="","",IF(OR(B347="",C347="",D347=""),"Eksik bilgi",IF(D347&lt;C347,"Bitiş başlangıçtan önce","OK")))</f>
        <v/>
      </c>
    </row>
    <row r="348" customFormat="false" ht="15" hidden="false" customHeight="false" outlineLevel="0" collapsed="false">
      <c r="A348" s="12"/>
      <c r="B348" s="13"/>
      <c r="C348" s="14"/>
      <c r="D348" s="14"/>
      <c r="E348" s="12"/>
      <c r="F348" s="15" t="str">
        <f aca="false">IF(OR(C348="",D348="",D348&lt;C348),"",IF(B348="Yıllık izin",D348-C348+1-INT((WEEKDAY(C348-1)+D348-C348)/7)-IF(Ayarlar!$C$5=1,0,INT((WEEKDAY(C348-7)+D348-C348)/7))-SUMPRODUCT((Ayarlar!$E$5:$E$24&gt;=C348)*(Ayarlar!$E$5:$E$24&lt;=D348)*(WEEKDAY(Ayarlar!$E$5:$E$24,2)&lt;IF(Ayarlar!$C$5=1,7,6))),D348-C348+1))</f>
        <v/>
      </c>
      <c r="G348" s="16" t="str">
        <f aca="false">IF(A348="","",IF(OR(B348="",C348="",D348=""),"Eksik bilgi",IF(D348&lt;C348,"Bitiş başlangıçtan önce","OK")))</f>
        <v/>
      </c>
    </row>
    <row r="349" customFormat="false" ht="15" hidden="false" customHeight="false" outlineLevel="0" collapsed="false">
      <c r="A349" s="12"/>
      <c r="B349" s="13"/>
      <c r="C349" s="14"/>
      <c r="D349" s="14"/>
      <c r="E349" s="12"/>
      <c r="F349" s="15" t="str">
        <f aca="false">IF(OR(C349="",D349="",D349&lt;C349),"",IF(B349="Yıllık izin",D349-C349+1-INT((WEEKDAY(C349-1)+D349-C349)/7)-IF(Ayarlar!$C$5=1,0,INT((WEEKDAY(C349-7)+D349-C349)/7))-SUMPRODUCT((Ayarlar!$E$5:$E$24&gt;=C349)*(Ayarlar!$E$5:$E$24&lt;=D349)*(WEEKDAY(Ayarlar!$E$5:$E$24,2)&lt;IF(Ayarlar!$C$5=1,7,6))),D349-C349+1))</f>
        <v/>
      </c>
      <c r="G349" s="16" t="str">
        <f aca="false">IF(A349="","",IF(OR(B349="",C349="",D349=""),"Eksik bilgi",IF(D349&lt;C349,"Bitiş başlangıçtan önce","OK")))</f>
        <v/>
      </c>
    </row>
    <row r="350" customFormat="false" ht="15" hidden="false" customHeight="false" outlineLevel="0" collapsed="false">
      <c r="A350" s="12"/>
      <c r="B350" s="13"/>
      <c r="C350" s="14"/>
      <c r="D350" s="14"/>
      <c r="E350" s="12"/>
      <c r="F350" s="15" t="str">
        <f aca="false">IF(OR(C350="",D350="",D350&lt;C350),"",IF(B350="Yıllık izin",D350-C350+1-INT((WEEKDAY(C350-1)+D350-C350)/7)-IF(Ayarlar!$C$5=1,0,INT((WEEKDAY(C350-7)+D350-C350)/7))-SUMPRODUCT((Ayarlar!$E$5:$E$24&gt;=C350)*(Ayarlar!$E$5:$E$24&lt;=D350)*(WEEKDAY(Ayarlar!$E$5:$E$24,2)&lt;IF(Ayarlar!$C$5=1,7,6))),D350-C350+1))</f>
        <v/>
      </c>
      <c r="G350" s="16" t="str">
        <f aca="false">IF(A350="","",IF(OR(B350="",C350="",D350=""),"Eksik bilgi",IF(D350&lt;C350,"Bitiş başlangıçtan önce","OK")))</f>
        <v/>
      </c>
    </row>
    <row r="351" customFormat="false" ht="15" hidden="false" customHeight="false" outlineLevel="0" collapsed="false">
      <c r="A351" s="12"/>
      <c r="B351" s="13"/>
      <c r="C351" s="14"/>
      <c r="D351" s="14"/>
      <c r="E351" s="12"/>
      <c r="F351" s="15" t="str">
        <f aca="false">IF(OR(C351="",D351="",D351&lt;C351),"",IF(B351="Yıllık izin",D351-C351+1-INT((WEEKDAY(C351-1)+D351-C351)/7)-IF(Ayarlar!$C$5=1,0,INT((WEEKDAY(C351-7)+D351-C351)/7))-SUMPRODUCT((Ayarlar!$E$5:$E$24&gt;=C351)*(Ayarlar!$E$5:$E$24&lt;=D351)*(WEEKDAY(Ayarlar!$E$5:$E$24,2)&lt;IF(Ayarlar!$C$5=1,7,6))),D351-C351+1))</f>
        <v/>
      </c>
      <c r="G351" s="16" t="str">
        <f aca="false">IF(A351="","",IF(OR(B351="",C351="",D351=""),"Eksik bilgi",IF(D351&lt;C351,"Bitiş başlangıçtan önce","OK")))</f>
        <v/>
      </c>
    </row>
    <row r="352" customFormat="false" ht="15" hidden="false" customHeight="false" outlineLevel="0" collapsed="false">
      <c r="A352" s="12"/>
      <c r="B352" s="13"/>
      <c r="C352" s="14"/>
      <c r="D352" s="14"/>
      <c r="E352" s="12"/>
      <c r="F352" s="15" t="str">
        <f aca="false">IF(OR(C352="",D352="",D352&lt;C352),"",IF(B352="Yıllık izin",D352-C352+1-INT((WEEKDAY(C352-1)+D352-C352)/7)-IF(Ayarlar!$C$5=1,0,INT((WEEKDAY(C352-7)+D352-C352)/7))-SUMPRODUCT((Ayarlar!$E$5:$E$24&gt;=C352)*(Ayarlar!$E$5:$E$24&lt;=D352)*(WEEKDAY(Ayarlar!$E$5:$E$24,2)&lt;IF(Ayarlar!$C$5=1,7,6))),D352-C352+1))</f>
        <v/>
      </c>
      <c r="G352" s="16" t="str">
        <f aca="false">IF(A352="","",IF(OR(B352="",C352="",D352=""),"Eksik bilgi",IF(D352&lt;C352,"Bitiş başlangıçtan önce","OK")))</f>
        <v/>
      </c>
    </row>
    <row r="353" customFormat="false" ht="15" hidden="false" customHeight="false" outlineLevel="0" collapsed="false">
      <c r="A353" s="12"/>
      <c r="B353" s="13"/>
      <c r="C353" s="14"/>
      <c r="D353" s="14"/>
      <c r="E353" s="12"/>
      <c r="F353" s="15" t="str">
        <f aca="false">IF(OR(C353="",D353="",D353&lt;C353),"",IF(B353="Yıllık izin",D353-C353+1-INT((WEEKDAY(C353-1)+D353-C353)/7)-IF(Ayarlar!$C$5=1,0,INT((WEEKDAY(C353-7)+D353-C353)/7))-SUMPRODUCT((Ayarlar!$E$5:$E$24&gt;=C353)*(Ayarlar!$E$5:$E$24&lt;=D353)*(WEEKDAY(Ayarlar!$E$5:$E$24,2)&lt;IF(Ayarlar!$C$5=1,7,6))),D353-C353+1))</f>
        <v/>
      </c>
      <c r="G353" s="16" t="str">
        <f aca="false">IF(A353="","",IF(OR(B353="",C353="",D353=""),"Eksik bilgi",IF(D353&lt;C353,"Bitiş başlangıçtan önce","OK")))</f>
        <v/>
      </c>
    </row>
    <row r="354" customFormat="false" ht="15" hidden="false" customHeight="false" outlineLevel="0" collapsed="false">
      <c r="A354" s="12"/>
      <c r="B354" s="13"/>
      <c r="C354" s="14"/>
      <c r="D354" s="14"/>
      <c r="E354" s="12"/>
      <c r="F354" s="15" t="str">
        <f aca="false">IF(OR(C354="",D354="",D354&lt;C354),"",IF(B354="Yıllık izin",D354-C354+1-INT((WEEKDAY(C354-1)+D354-C354)/7)-IF(Ayarlar!$C$5=1,0,INT((WEEKDAY(C354-7)+D354-C354)/7))-SUMPRODUCT((Ayarlar!$E$5:$E$24&gt;=C354)*(Ayarlar!$E$5:$E$24&lt;=D354)*(WEEKDAY(Ayarlar!$E$5:$E$24,2)&lt;IF(Ayarlar!$C$5=1,7,6))),D354-C354+1))</f>
        <v/>
      </c>
      <c r="G354" s="16" t="str">
        <f aca="false">IF(A354="","",IF(OR(B354="",C354="",D354=""),"Eksik bilgi",IF(D354&lt;C354,"Bitiş başlangıçtan önce","OK")))</f>
        <v/>
      </c>
    </row>
    <row r="355" customFormat="false" ht="15" hidden="false" customHeight="false" outlineLevel="0" collapsed="false">
      <c r="A355" s="12"/>
      <c r="B355" s="13"/>
      <c r="C355" s="14"/>
      <c r="D355" s="14"/>
      <c r="E355" s="12"/>
      <c r="F355" s="15" t="str">
        <f aca="false">IF(OR(C355="",D355="",D355&lt;C355),"",IF(B355="Yıllık izin",D355-C355+1-INT((WEEKDAY(C355-1)+D355-C355)/7)-IF(Ayarlar!$C$5=1,0,INT((WEEKDAY(C355-7)+D355-C355)/7))-SUMPRODUCT((Ayarlar!$E$5:$E$24&gt;=C355)*(Ayarlar!$E$5:$E$24&lt;=D355)*(WEEKDAY(Ayarlar!$E$5:$E$24,2)&lt;IF(Ayarlar!$C$5=1,7,6))),D355-C355+1))</f>
        <v/>
      </c>
      <c r="G355" s="16" t="str">
        <f aca="false">IF(A355="","",IF(OR(B355="",C355="",D355=""),"Eksik bilgi",IF(D355&lt;C355,"Bitiş başlangıçtan önce","OK")))</f>
        <v/>
      </c>
    </row>
    <row r="356" customFormat="false" ht="15" hidden="false" customHeight="false" outlineLevel="0" collapsed="false">
      <c r="A356" s="12"/>
      <c r="B356" s="13"/>
      <c r="C356" s="14"/>
      <c r="D356" s="14"/>
      <c r="E356" s="12"/>
      <c r="F356" s="15" t="str">
        <f aca="false">IF(OR(C356="",D356="",D356&lt;C356),"",IF(B356="Yıllık izin",D356-C356+1-INT((WEEKDAY(C356-1)+D356-C356)/7)-IF(Ayarlar!$C$5=1,0,INT((WEEKDAY(C356-7)+D356-C356)/7))-SUMPRODUCT((Ayarlar!$E$5:$E$24&gt;=C356)*(Ayarlar!$E$5:$E$24&lt;=D356)*(WEEKDAY(Ayarlar!$E$5:$E$24,2)&lt;IF(Ayarlar!$C$5=1,7,6))),D356-C356+1))</f>
        <v/>
      </c>
      <c r="G356" s="16" t="str">
        <f aca="false">IF(A356="","",IF(OR(B356="",C356="",D356=""),"Eksik bilgi",IF(D356&lt;C356,"Bitiş başlangıçtan önce","OK")))</f>
        <v/>
      </c>
    </row>
    <row r="357" customFormat="false" ht="15" hidden="false" customHeight="false" outlineLevel="0" collapsed="false">
      <c r="A357" s="12"/>
      <c r="B357" s="13"/>
      <c r="C357" s="14"/>
      <c r="D357" s="14"/>
      <c r="E357" s="12"/>
      <c r="F357" s="15" t="str">
        <f aca="false">IF(OR(C357="",D357="",D357&lt;C357),"",IF(B357="Yıllık izin",D357-C357+1-INT((WEEKDAY(C357-1)+D357-C357)/7)-IF(Ayarlar!$C$5=1,0,INT((WEEKDAY(C357-7)+D357-C357)/7))-SUMPRODUCT((Ayarlar!$E$5:$E$24&gt;=C357)*(Ayarlar!$E$5:$E$24&lt;=D357)*(WEEKDAY(Ayarlar!$E$5:$E$24,2)&lt;IF(Ayarlar!$C$5=1,7,6))),D357-C357+1))</f>
        <v/>
      </c>
      <c r="G357" s="16" t="str">
        <f aca="false">IF(A357="","",IF(OR(B357="",C357="",D357=""),"Eksik bilgi",IF(D357&lt;C357,"Bitiş başlangıçtan önce","OK")))</f>
        <v/>
      </c>
    </row>
    <row r="358" customFormat="false" ht="15" hidden="false" customHeight="false" outlineLevel="0" collapsed="false">
      <c r="A358" s="12"/>
      <c r="B358" s="13"/>
      <c r="C358" s="14"/>
      <c r="D358" s="14"/>
      <c r="E358" s="12"/>
      <c r="F358" s="15" t="str">
        <f aca="false">IF(OR(C358="",D358="",D358&lt;C358),"",IF(B358="Yıllık izin",D358-C358+1-INT((WEEKDAY(C358-1)+D358-C358)/7)-IF(Ayarlar!$C$5=1,0,INT((WEEKDAY(C358-7)+D358-C358)/7))-SUMPRODUCT((Ayarlar!$E$5:$E$24&gt;=C358)*(Ayarlar!$E$5:$E$24&lt;=D358)*(WEEKDAY(Ayarlar!$E$5:$E$24,2)&lt;IF(Ayarlar!$C$5=1,7,6))),D358-C358+1))</f>
        <v/>
      </c>
      <c r="G358" s="16" t="str">
        <f aca="false">IF(A358="","",IF(OR(B358="",C358="",D358=""),"Eksik bilgi",IF(D358&lt;C358,"Bitiş başlangıçtan önce","OK")))</f>
        <v/>
      </c>
    </row>
    <row r="359" customFormat="false" ht="15" hidden="false" customHeight="false" outlineLevel="0" collapsed="false">
      <c r="A359" s="12"/>
      <c r="B359" s="13"/>
      <c r="C359" s="14"/>
      <c r="D359" s="14"/>
      <c r="E359" s="12"/>
      <c r="F359" s="15" t="str">
        <f aca="false">IF(OR(C359="",D359="",D359&lt;C359),"",IF(B359="Yıllık izin",D359-C359+1-INT((WEEKDAY(C359-1)+D359-C359)/7)-IF(Ayarlar!$C$5=1,0,INT((WEEKDAY(C359-7)+D359-C359)/7))-SUMPRODUCT((Ayarlar!$E$5:$E$24&gt;=C359)*(Ayarlar!$E$5:$E$24&lt;=D359)*(WEEKDAY(Ayarlar!$E$5:$E$24,2)&lt;IF(Ayarlar!$C$5=1,7,6))),D359-C359+1))</f>
        <v/>
      </c>
      <c r="G359" s="16" t="str">
        <f aca="false">IF(A359="","",IF(OR(B359="",C359="",D359=""),"Eksik bilgi",IF(D359&lt;C359,"Bitiş başlangıçtan önce","OK")))</f>
        <v/>
      </c>
    </row>
    <row r="360" customFormat="false" ht="15" hidden="false" customHeight="false" outlineLevel="0" collapsed="false">
      <c r="A360" s="12"/>
      <c r="B360" s="13"/>
      <c r="C360" s="14"/>
      <c r="D360" s="14"/>
      <c r="E360" s="12"/>
      <c r="F360" s="15" t="str">
        <f aca="false">IF(OR(C360="",D360="",D360&lt;C360),"",IF(B360="Yıllık izin",D360-C360+1-INT((WEEKDAY(C360-1)+D360-C360)/7)-IF(Ayarlar!$C$5=1,0,INT((WEEKDAY(C360-7)+D360-C360)/7))-SUMPRODUCT((Ayarlar!$E$5:$E$24&gt;=C360)*(Ayarlar!$E$5:$E$24&lt;=D360)*(WEEKDAY(Ayarlar!$E$5:$E$24,2)&lt;IF(Ayarlar!$C$5=1,7,6))),D360-C360+1))</f>
        <v/>
      </c>
      <c r="G360" s="16" t="str">
        <f aca="false">IF(A360="","",IF(OR(B360="",C360="",D360=""),"Eksik bilgi",IF(D360&lt;C360,"Bitiş başlangıçtan önce","OK")))</f>
        <v/>
      </c>
    </row>
    <row r="361" customFormat="false" ht="15" hidden="false" customHeight="false" outlineLevel="0" collapsed="false">
      <c r="A361" s="12"/>
      <c r="B361" s="13"/>
      <c r="C361" s="14"/>
      <c r="D361" s="14"/>
      <c r="E361" s="12"/>
      <c r="F361" s="15" t="str">
        <f aca="false">IF(OR(C361="",D361="",D361&lt;C361),"",IF(B361="Yıllık izin",D361-C361+1-INT((WEEKDAY(C361-1)+D361-C361)/7)-IF(Ayarlar!$C$5=1,0,INT((WEEKDAY(C361-7)+D361-C361)/7))-SUMPRODUCT((Ayarlar!$E$5:$E$24&gt;=C361)*(Ayarlar!$E$5:$E$24&lt;=D361)*(WEEKDAY(Ayarlar!$E$5:$E$24,2)&lt;IF(Ayarlar!$C$5=1,7,6))),D361-C361+1))</f>
        <v/>
      </c>
      <c r="G361" s="16" t="str">
        <f aca="false">IF(A361="","",IF(OR(B361="",C361="",D361=""),"Eksik bilgi",IF(D361&lt;C361,"Bitiş başlangıçtan önce","OK")))</f>
        <v/>
      </c>
    </row>
    <row r="362" customFormat="false" ht="15" hidden="false" customHeight="false" outlineLevel="0" collapsed="false">
      <c r="A362" s="12"/>
      <c r="B362" s="13"/>
      <c r="C362" s="14"/>
      <c r="D362" s="14"/>
      <c r="E362" s="12"/>
      <c r="F362" s="15" t="str">
        <f aca="false">IF(OR(C362="",D362="",D362&lt;C362),"",IF(B362="Yıllık izin",D362-C362+1-INT((WEEKDAY(C362-1)+D362-C362)/7)-IF(Ayarlar!$C$5=1,0,INT((WEEKDAY(C362-7)+D362-C362)/7))-SUMPRODUCT((Ayarlar!$E$5:$E$24&gt;=C362)*(Ayarlar!$E$5:$E$24&lt;=D362)*(WEEKDAY(Ayarlar!$E$5:$E$24,2)&lt;IF(Ayarlar!$C$5=1,7,6))),D362-C362+1))</f>
        <v/>
      </c>
      <c r="G362" s="16" t="str">
        <f aca="false">IF(A362="","",IF(OR(B362="",C362="",D362=""),"Eksik bilgi",IF(D362&lt;C362,"Bitiş başlangıçtan önce","OK")))</f>
        <v/>
      </c>
    </row>
    <row r="363" customFormat="false" ht="15" hidden="false" customHeight="false" outlineLevel="0" collapsed="false">
      <c r="A363" s="12"/>
      <c r="B363" s="13"/>
      <c r="C363" s="14"/>
      <c r="D363" s="14"/>
      <c r="E363" s="12"/>
      <c r="F363" s="15" t="str">
        <f aca="false">IF(OR(C363="",D363="",D363&lt;C363),"",IF(B363="Yıllık izin",D363-C363+1-INT((WEEKDAY(C363-1)+D363-C363)/7)-IF(Ayarlar!$C$5=1,0,INT((WEEKDAY(C363-7)+D363-C363)/7))-SUMPRODUCT((Ayarlar!$E$5:$E$24&gt;=C363)*(Ayarlar!$E$5:$E$24&lt;=D363)*(WEEKDAY(Ayarlar!$E$5:$E$24,2)&lt;IF(Ayarlar!$C$5=1,7,6))),D363-C363+1))</f>
        <v/>
      </c>
      <c r="G363" s="16" t="str">
        <f aca="false">IF(A363="","",IF(OR(B363="",C363="",D363=""),"Eksik bilgi",IF(D363&lt;C363,"Bitiş başlangıçtan önce","OK")))</f>
        <v/>
      </c>
    </row>
    <row r="364" customFormat="false" ht="15" hidden="false" customHeight="false" outlineLevel="0" collapsed="false">
      <c r="A364" s="12"/>
      <c r="B364" s="13"/>
      <c r="C364" s="14"/>
      <c r="D364" s="14"/>
      <c r="E364" s="12"/>
      <c r="F364" s="15" t="str">
        <f aca="false">IF(OR(C364="",D364="",D364&lt;C364),"",IF(B364="Yıllık izin",D364-C364+1-INT((WEEKDAY(C364-1)+D364-C364)/7)-IF(Ayarlar!$C$5=1,0,INT((WEEKDAY(C364-7)+D364-C364)/7))-SUMPRODUCT((Ayarlar!$E$5:$E$24&gt;=C364)*(Ayarlar!$E$5:$E$24&lt;=D364)*(WEEKDAY(Ayarlar!$E$5:$E$24,2)&lt;IF(Ayarlar!$C$5=1,7,6))),D364-C364+1))</f>
        <v/>
      </c>
      <c r="G364" s="16" t="str">
        <f aca="false">IF(A364="","",IF(OR(B364="",C364="",D364=""),"Eksik bilgi",IF(D364&lt;C364,"Bitiş başlangıçtan önce","OK")))</f>
        <v/>
      </c>
    </row>
    <row r="365" customFormat="false" ht="15" hidden="false" customHeight="false" outlineLevel="0" collapsed="false">
      <c r="A365" s="12"/>
      <c r="B365" s="13"/>
      <c r="C365" s="14"/>
      <c r="D365" s="14"/>
      <c r="E365" s="12"/>
      <c r="F365" s="15" t="str">
        <f aca="false">IF(OR(C365="",D365="",D365&lt;C365),"",IF(B365="Yıllık izin",D365-C365+1-INT((WEEKDAY(C365-1)+D365-C365)/7)-IF(Ayarlar!$C$5=1,0,INT((WEEKDAY(C365-7)+D365-C365)/7))-SUMPRODUCT((Ayarlar!$E$5:$E$24&gt;=C365)*(Ayarlar!$E$5:$E$24&lt;=D365)*(WEEKDAY(Ayarlar!$E$5:$E$24,2)&lt;IF(Ayarlar!$C$5=1,7,6))),D365-C365+1))</f>
        <v/>
      </c>
      <c r="G365" s="16" t="str">
        <f aca="false">IF(A365="","",IF(OR(B365="",C365="",D365=""),"Eksik bilgi",IF(D365&lt;C365,"Bitiş başlangıçtan önce","OK")))</f>
        <v/>
      </c>
    </row>
    <row r="366" customFormat="false" ht="15" hidden="false" customHeight="false" outlineLevel="0" collapsed="false">
      <c r="A366" s="12"/>
      <c r="B366" s="13"/>
      <c r="C366" s="14"/>
      <c r="D366" s="14"/>
      <c r="E366" s="12"/>
      <c r="F366" s="15" t="str">
        <f aca="false">IF(OR(C366="",D366="",D366&lt;C366),"",IF(B366="Yıllık izin",D366-C366+1-INT((WEEKDAY(C366-1)+D366-C366)/7)-IF(Ayarlar!$C$5=1,0,INT((WEEKDAY(C366-7)+D366-C366)/7))-SUMPRODUCT((Ayarlar!$E$5:$E$24&gt;=C366)*(Ayarlar!$E$5:$E$24&lt;=D366)*(WEEKDAY(Ayarlar!$E$5:$E$24,2)&lt;IF(Ayarlar!$C$5=1,7,6))),D366-C366+1))</f>
        <v/>
      </c>
      <c r="G366" s="16" t="str">
        <f aca="false">IF(A366="","",IF(OR(B366="",C366="",D366=""),"Eksik bilgi",IF(D366&lt;C366,"Bitiş başlangıçtan önce","OK")))</f>
        <v/>
      </c>
    </row>
    <row r="367" customFormat="false" ht="15" hidden="false" customHeight="false" outlineLevel="0" collapsed="false">
      <c r="A367" s="12"/>
      <c r="B367" s="13"/>
      <c r="C367" s="14"/>
      <c r="D367" s="14"/>
      <c r="E367" s="12"/>
      <c r="F367" s="15" t="str">
        <f aca="false">IF(OR(C367="",D367="",D367&lt;C367),"",IF(B367="Yıllık izin",D367-C367+1-INT((WEEKDAY(C367-1)+D367-C367)/7)-IF(Ayarlar!$C$5=1,0,INT((WEEKDAY(C367-7)+D367-C367)/7))-SUMPRODUCT((Ayarlar!$E$5:$E$24&gt;=C367)*(Ayarlar!$E$5:$E$24&lt;=D367)*(WEEKDAY(Ayarlar!$E$5:$E$24,2)&lt;IF(Ayarlar!$C$5=1,7,6))),D367-C367+1))</f>
        <v/>
      </c>
      <c r="G367" s="16" t="str">
        <f aca="false">IF(A367="","",IF(OR(B367="",C367="",D367=""),"Eksik bilgi",IF(D367&lt;C367,"Bitiş başlangıçtan önce","OK")))</f>
        <v/>
      </c>
    </row>
    <row r="368" customFormat="false" ht="15" hidden="false" customHeight="false" outlineLevel="0" collapsed="false">
      <c r="A368" s="12"/>
      <c r="B368" s="13"/>
      <c r="C368" s="14"/>
      <c r="D368" s="14"/>
      <c r="E368" s="12"/>
      <c r="F368" s="15" t="str">
        <f aca="false">IF(OR(C368="",D368="",D368&lt;C368),"",IF(B368="Yıllık izin",D368-C368+1-INT((WEEKDAY(C368-1)+D368-C368)/7)-IF(Ayarlar!$C$5=1,0,INT((WEEKDAY(C368-7)+D368-C368)/7))-SUMPRODUCT((Ayarlar!$E$5:$E$24&gt;=C368)*(Ayarlar!$E$5:$E$24&lt;=D368)*(WEEKDAY(Ayarlar!$E$5:$E$24,2)&lt;IF(Ayarlar!$C$5=1,7,6))),D368-C368+1))</f>
        <v/>
      </c>
      <c r="G368" s="16" t="str">
        <f aca="false">IF(A368="","",IF(OR(B368="",C368="",D368=""),"Eksik bilgi",IF(D368&lt;C368,"Bitiş başlangıçtan önce","OK")))</f>
        <v/>
      </c>
    </row>
    <row r="369" customFormat="false" ht="15" hidden="false" customHeight="false" outlineLevel="0" collapsed="false">
      <c r="A369" s="12"/>
      <c r="B369" s="13"/>
      <c r="C369" s="14"/>
      <c r="D369" s="14"/>
      <c r="E369" s="12"/>
      <c r="F369" s="15" t="str">
        <f aca="false">IF(OR(C369="",D369="",D369&lt;C369),"",IF(B369="Yıllık izin",D369-C369+1-INT((WEEKDAY(C369-1)+D369-C369)/7)-IF(Ayarlar!$C$5=1,0,INT((WEEKDAY(C369-7)+D369-C369)/7))-SUMPRODUCT((Ayarlar!$E$5:$E$24&gt;=C369)*(Ayarlar!$E$5:$E$24&lt;=D369)*(WEEKDAY(Ayarlar!$E$5:$E$24,2)&lt;IF(Ayarlar!$C$5=1,7,6))),D369-C369+1))</f>
        <v/>
      </c>
      <c r="G369" s="16" t="str">
        <f aca="false">IF(A369="","",IF(OR(B369="",C369="",D369=""),"Eksik bilgi",IF(D369&lt;C369,"Bitiş başlangıçtan önce","OK")))</f>
        <v/>
      </c>
    </row>
    <row r="370" customFormat="false" ht="15" hidden="false" customHeight="false" outlineLevel="0" collapsed="false">
      <c r="A370" s="12"/>
      <c r="B370" s="13"/>
      <c r="C370" s="14"/>
      <c r="D370" s="14"/>
      <c r="E370" s="12"/>
      <c r="F370" s="15" t="str">
        <f aca="false">IF(OR(C370="",D370="",D370&lt;C370),"",IF(B370="Yıllık izin",D370-C370+1-INT((WEEKDAY(C370-1)+D370-C370)/7)-IF(Ayarlar!$C$5=1,0,INT((WEEKDAY(C370-7)+D370-C370)/7))-SUMPRODUCT((Ayarlar!$E$5:$E$24&gt;=C370)*(Ayarlar!$E$5:$E$24&lt;=D370)*(WEEKDAY(Ayarlar!$E$5:$E$24,2)&lt;IF(Ayarlar!$C$5=1,7,6))),D370-C370+1))</f>
        <v/>
      </c>
      <c r="G370" s="16" t="str">
        <f aca="false">IF(A370="","",IF(OR(B370="",C370="",D370=""),"Eksik bilgi",IF(D370&lt;C370,"Bitiş başlangıçtan önce","OK")))</f>
        <v/>
      </c>
    </row>
    <row r="371" customFormat="false" ht="15" hidden="false" customHeight="false" outlineLevel="0" collapsed="false">
      <c r="A371" s="12"/>
      <c r="B371" s="13"/>
      <c r="C371" s="14"/>
      <c r="D371" s="14"/>
      <c r="E371" s="12"/>
      <c r="F371" s="15" t="str">
        <f aca="false">IF(OR(C371="",D371="",D371&lt;C371),"",IF(B371="Yıllık izin",D371-C371+1-INT((WEEKDAY(C371-1)+D371-C371)/7)-IF(Ayarlar!$C$5=1,0,INT((WEEKDAY(C371-7)+D371-C371)/7))-SUMPRODUCT((Ayarlar!$E$5:$E$24&gt;=C371)*(Ayarlar!$E$5:$E$24&lt;=D371)*(WEEKDAY(Ayarlar!$E$5:$E$24,2)&lt;IF(Ayarlar!$C$5=1,7,6))),D371-C371+1))</f>
        <v/>
      </c>
      <c r="G371" s="16" t="str">
        <f aca="false">IF(A371="","",IF(OR(B371="",C371="",D371=""),"Eksik bilgi",IF(D371&lt;C371,"Bitiş başlangıçtan önce","OK")))</f>
        <v/>
      </c>
    </row>
    <row r="372" customFormat="false" ht="15" hidden="false" customHeight="false" outlineLevel="0" collapsed="false">
      <c r="A372" s="12"/>
      <c r="B372" s="13"/>
      <c r="C372" s="14"/>
      <c r="D372" s="14"/>
      <c r="E372" s="12"/>
      <c r="F372" s="15" t="str">
        <f aca="false">IF(OR(C372="",D372="",D372&lt;C372),"",IF(B372="Yıllık izin",D372-C372+1-INT((WEEKDAY(C372-1)+D372-C372)/7)-IF(Ayarlar!$C$5=1,0,INT((WEEKDAY(C372-7)+D372-C372)/7))-SUMPRODUCT((Ayarlar!$E$5:$E$24&gt;=C372)*(Ayarlar!$E$5:$E$24&lt;=D372)*(WEEKDAY(Ayarlar!$E$5:$E$24,2)&lt;IF(Ayarlar!$C$5=1,7,6))),D372-C372+1))</f>
        <v/>
      </c>
      <c r="G372" s="16" t="str">
        <f aca="false">IF(A372="","",IF(OR(B372="",C372="",D372=""),"Eksik bilgi",IF(D372&lt;C372,"Bitiş başlangıçtan önce","OK")))</f>
        <v/>
      </c>
    </row>
    <row r="373" customFormat="false" ht="15" hidden="false" customHeight="false" outlineLevel="0" collapsed="false">
      <c r="A373" s="12"/>
      <c r="B373" s="13"/>
      <c r="C373" s="14"/>
      <c r="D373" s="14"/>
      <c r="E373" s="12"/>
      <c r="F373" s="15" t="str">
        <f aca="false">IF(OR(C373="",D373="",D373&lt;C373),"",IF(B373="Yıllık izin",D373-C373+1-INT((WEEKDAY(C373-1)+D373-C373)/7)-IF(Ayarlar!$C$5=1,0,INT((WEEKDAY(C373-7)+D373-C373)/7))-SUMPRODUCT((Ayarlar!$E$5:$E$24&gt;=C373)*(Ayarlar!$E$5:$E$24&lt;=D373)*(WEEKDAY(Ayarlar!$E$5:$E$24,2)&lt;IF(Ayarlar!$C$5=1,7,6))),D373-C373+1))</f>
        <v/>
      </c>
      <c r="G373" s="16" t="str">
        <f aca="false">IF(A373="","",IF(OR(B373="",C373="",D373=""),"Eksik bilgi",IF(D373&lt;C373,"Bitiş başlangıçtan önce","OK")))</f>
        <v/>
      </c>
    </row>
    <row r="374" customFormat="false" ht="15" hidden="false" customHeight="false" outlineLevel="0" collapsed="false">
      <c r="A374" s="12"/>
      <c r="B374" s="13"/>
      <c r="C374" s="14"/>
      <c r="D374" s="14"/>
      <c r="E374" s="12"/>
      <c r="F374" s="15" t="str">
        <f aca="false">IF(OR(C374="",D374="",D374&lt;C374),"",IF(B374="Yıllık izin",D374-C374+1-INT((WEEKDAY(C374-1)+D374-C374)/7)-IF(Ayarlar!$C$5=1,0,INT((WEEKDAY(C374-7)+D374-C374)/7))-SUMPRODUCT((Ayarlar!$E$5:$E$24&gt;=C374)*(Ayarlar!$E$5:$E$24&lt;=D374)*(WEEKDAY(Ayarlar!$E$5:$E$24,2)&lt;IF(Ayarlar!$C$5=1,7,6))),D374-C374+1))</f>
        <v/>
      </c>
      <c r="G374" s="16" t="str">
        <f aca="false">IF(A374="","",IF(OR(B374="",C374="",D374=""),"Eksik bilgi",IF(D374&lt;C374,"Bitiş başlangıçtan önce","OK")))</f>
        <v/>
      </c>
    </row>
    <row r="375" customFormat="false" ht="15" hidden="false" customHeight="false" outlineLevel="0" collapsed="false">
      <c r="A375" s="12"/>
      <c r="B375" s="13"/>
      <c r="C375" s="14"/>
      <c r="D375" s="14"/>
      <c r="E375" s="12"/>
      <c r="F375" s="15" t="str">
        <f aca="false">IF(OR(C375="",D375="",D375&lt;C375),"",IF(B375="Yıllık izin",D375-C375+1-INT((WEEKDAY(C375-1)+D375-C375)/7)-IF(Ayarlar!$C$5=1,0,INT((WEEKDAY(C375-7)+D375-C375)/7))-SUMPRODUCT((Ayarlar!$E$5:$E$24&gt;=C375)*(Ayarlar!$E$5:$E$24&lt;=D375)*(WEEKDAY(Ayarlar!$E$5:$E$24,2)&lt;IF(Ayarlar!$C$5=1,7,6))),D375-C375+1))</f>
        <v/>
      </c>
      <c r="G375" s="16" t="str">
        <f aca="false">IF(A375="","",IF(OR(B375="",C375="",D375=""),"Eksik bilgi",IF(D375&lt;C375,"Bitiş başlangıçtan önce","OK")))</f>
        <v/>
      </c>
    </row>
    <row r="376" customFormat="false" ht="15" hidden="false" customHeight="false" outlineLevel="0" collapsed="false">
      <c r="A376" s="12"/>
      <c r="B376" s="13"/>
      <c r="C376" s="14"/>
      <c r="D376" s="14"/>
      <c r="E376" s="12"/>
      <c r="F376" s="15" t="str">
        <f aca="false">IF(OR(C376="",D376="",D376&lt;C376),"",IF(B376="Yıllık izin",D376-C376+1-INT((WEEKDAY(C376-1)+D376-C376)/7)-IF(Ayarlar!$C$5=1,0,INT((WEEKDAY(C376-7)+D376-C376)/7))-SUMPRODUCT((Ayarlar!$E$5:$E$24&gt;=C376)*(Ayarlar!$E$5:$E$24&lt;=D376)*(WEEKDAY(Ayarlar!$E$5:$E$24,2)&lt;IF(Ayarlar!$C$5=1,7,6))),D376-C376+1))</f>
        <v/>
      </c>
      <c r="G376" s="16" t="str">
        <f aca="false">IF(A376="","",IF(OR(B376="",C376="",D376=""),"Eksik bilgi",IF(D376&lt;C376,"Bitiş başlangıçtan önce","OK")))</f>
        <v/>
      </c>
    </row>
    <row r="377" customFormat="false" ht="15" hidden="false" customHeight="false" outlineLevel="0" collapsed="false">
      <c r="A377" s="12"/>
      <c r="B377" s="13"/>
      <c r="C377" s="14"/>
      <c r="D377" s="14"/>
      <c r="E377" s="12"/>
      <c r="F377" s="15" t="str">
        <f aca="false">IF(OR(C377="",D377="",D377&lt;C377),"",IF(B377="Yıllık izin",D377-C377+1-INT((WEEKDAY(C377-1)+D377-C377)/7)-IF(Ayarlar!$C$5=1,0,INT((WEEKDAY(C377-7)+D377-C377)/7))-SUMPRODUCT((Ayarlar!$E$5:$E$24&gt;=C377)*(Ayarlar!$E$5:$E$24&lt;=D377)*(WEEKDAY(Ayarlar!$E$5:$E$24,2)&lt;IF(Ayarlar!$C$5=1,7,6))),D377-C377+1))</f>
        <v/>
      </c>
      <c r="G377" s="16" t="str">
        <f aca="false">IF(A377="","",IF(OR(B377="",C377="",D377=""),"Eksik bilgi",IF(D377&lt;C377,"Bitiş başlangıçtan önce","OK")))</f>
        <v/>
      </c>
    </row>
    <row r="378" customFormat="false" ht="15" hidden="false" customHeight="false" outlineLevel="0" collapsed="false">
      <c r="A378" s="12"/>
      <c r="B378" s="13"/>
      <c r="C378" s="14"/>
      <c r="D378" s="14"/>
      <c r="E378" s="12"/>
      <c r="F378" s="15" t="str">
        <f aca="false">IF(OR(C378="",D378="",D378&lt;C378),"",IF(B378="Yıllık izin",D378-C378+1-INT((WEEKDAY(C378-1)+D378-C378)/7)-IF(Ayarlar!$C$5=1,0,INT((WEEKDAY(C378-7)+D378-C378)/7))-SUMPRODUCT((Ayarlar!$E$5:$E$24&gt;=C378)*(Ayarlar!$E$5:$E$24&lt;=D378)*(WEEKDAY(Ayarlar!$E$5:$E$24,2)&lt;IF(Ayarlar!$C$5=1,7,6))),D378-C378+1))</f>
        <v/>
      </c>
      <c r="G378" s="16" t="str">
        <f aca="false">IF(A378="","",IF(OR(B378="",C378="",D378=""),"Eksik bilgi",IF(D378&lt;C378,"Bitiş başlangıçtan önce","OK")))</f>
        <v/>
      </c>
    </row>
    <row r="379" customFormat="false" ht="15" hidden="false" customHeight="false" outlineLevel="0" collapsed="false">
      <c r="A379" s="12"/>
      <c r="B379" s="13"/>
      <c r="C379" s="14"/>
      <c r="D379" s="14"/>
      <c r="E379" s="12"/>
      <c r="F379" s="15" t="str">
        <f aca="false">IF(OR(C379="",D379="",D379&lt;C379),"",IF(B379="Yıllık izin",D379-C379+1-INT((WEEKDAY(C379-1)+D379-C379)/7)-IF(Ayarlar!$C$5=1,0,INT((WEEKDAY(C379-7)+D379-C379)/7))-SUMPRODUCT((Ayarlar!$E$5:$E$24&gt;=C379)*(Ayarlar!$E$5:$E$24&lt;=D379)*(WEEKDAY(Ayarlar!$E$5:$E$24,2)&lt;IF(Ayarlar!$C$5=1,7,6))),D379-C379+1))</f>
        <v/>
      </c>
      <c r="G379" s="16" t="str">
        <f aca="false">IF(A379="","",IF(OR(B379="",C379="",D379=""),"Eksik bilgi",IF(D379&lt;C379,"Bitiş başlangıçtan önce","OK")))</f>
        <v/>
      </c>
    </row>
    <row r="380" customFormat="false" ht="15" hidden="false" customHeight="false" outlineLevel="0" collapsed="false">
      <c r="A380" s="12"/>
      <c r="B380" s="13"/>
      <c r="C380" s="14"/>
      <c r="D380" s="14"/>
      <c r="E380" s="12"/>
      <c r="F380" s="15" t="str">
        <f aca="false">IF(OR(C380="",D380="",D380&lt;C380),"",IF(B380="Yıllık izin",D380-C380+1-INT((WEEKDAY(C380-1)+D380-C380)/7)-IF(Ayarlar!$C$5=1,0,INT((WEEKDAY(C380-7)+D380-C380)/7))-SUMPRODUCT((Ayarlar!$E$5:$E$24&gt;=C380)*(Ayarlar!$E$5:$E$24&lt;=D380)*(WEEKDAY(Ayarlar!$E$5:$E$24,2)&lt;IF(Ayarlar!$C$5=1,7,6))),D380-C380+1))</f>
        <v/>
      </c>
      <c r="G380" s="16" t="str">
        <f aca="false">IF(A380="","",IF(OR(B380="",C380="",D380=""),"Eksik bilgi",IF(D380&lt;C380,"Bitiş başlangıçtan önce","OK")))</f>
        <v/>
      </c>
    </row>
    <row r="381" customFormat="false" ht="15" hidden="false" customHeight="false" outlineLevel="0" collapsed="false">
      <c r="A381" s="12"/>
      <c r="B381" s="13"/>
      <c r="C381" s="14"/>
      <c r="D381" s="14"/>
      <c r="E381" s="12"/>
      <c r="F381" s="15" t="str">
        <f aca="false">IF(OR(C381="",D381="",D381&lt;C381),"",IF(B381="Yıllık izin",D381-C381+1-INT((WEEKDAY(C381-1)+D381-C381)/7)-IF(Ayarlar!$C$5=1,0,INT((WEEKDAY(C381-7)+D381-C381)/7))-SUMPRODUCT((Ayarlar!$E$5:$E$24&gt;=C381)*(Ayarlar!$E$5:$E$24&lt;=D381)*(WEEKDAY(Ayarlar!$E$5:$E$24,2)&lt;IF(Ayarlar!$C$5=1,7,6))),D381-C381+1))</f>
        <v/>
      </c>
      <c r="G381" s="16" t="str">
        <f aca="false">IF(A381="","",IF(OR(B381="",C381="",D381=""),"Eksik bilgi",IF(D381&lt;C381,"Bitiş başlangıçtan önce","OK")))</f>
        <v/>
      </c>
    </row>
    <row r="382" customFormat="false" ht="15" hidden="false" customHeight="false" outlineLevel="0" collapsed="false">
      <c r="A382" s="12"/>
      <c r="B382" s="13"/>
      <c r="C382" s="14"/>
      <c r="D382" s="14"/>
      <c r="E382" s="12"/>
      <c r="F382" s="15" t="str">
        <f aca="false">IF(OR(C382="",D382="",D382&lt;C382),"",IF(B382="Yıllık izin",D382-C382+1-INT((WEEKDAY(C382-1)+D382-C382)/7)-IF(Ayarlar!$C$5=1,0,INT((WEEKDAY(C382-7)+D382-C382)/7))-SUMPRODUCT((Ayarlar!$E$5:$E$24&gt;=C382)*(Ayarlar!$E$5:$E$24&lt;=D382)*(WEEKDAY(Ayarlar!$E$5:$E$24,2)&lt;IF(Ayarlar!$C$5=1,7,6))),D382-C382+1))</f>
        <v/>
      </c>
      <c r="G382" s="16" t="str">
        <f aca="false">IF(A382="","",IF(OR(B382="",C382="",D382=""),"Eksik bilgi",IF(D382&lt;C382,"Bitiş başlangıçtan önce","OK")))</f>
        <v/>
      </c>
    </row>
    <row r="383" customFormat="false" ht="15" hidden="false" customHeight="false" outlineLevel="0" collapsed="false">
      <c r="A383" s="12"/>
      <c r="B383" s="13"/>
      <c r="C383" s="14"/>
      <c r="D383" s="14"/>
      <c r="E383" s="12"/>
      <c r="F383" s="15" t="str">
        <f aca="false">IF(OR(C383="",D383="",D383&lt;C383),"",IF(B383="Yıllık izin",D383-C383+1-INT((WEEKDAY(C383-1)+D383-C383)/7)-IF(Ayarlar!$C$5=1,0,INT((WEEKDAY(C383-7)+D383-C383)/7))-SUMPRODUCT((Ayarlar!$E$5:$E$24&gt;=C383)*(Ayarlar!$E$5:$E$24&lt;=D383)*(WEEKDAY(Ayarlar!$E$5:$E$24,2)&lt;IF(Ayarlar!$C$5=1,7,6))),D383-C383+1))</f>
        <v/>
      </c>
      <c r="G383" s="16" t="str">
        <f aca="false">IF(A383="","",IF(OR(B383="",C383="",D383=""),"Eksik bilgi",IF(D383&lt;C383,"Bitiş başlangıçtan önce","OK")))</f>
        <v/>
      </c>
    </row>
    <row r="384" customFormat="false" ht="15" hidden="false" customHeight="false" outlineLevel="0" collapsed="false">
      <c r="A384" s="12"/>
      <c r="B384" s="13"/>
      <c r="C384" s="14"/>
      <c r="D384" s="14"/>
      <c r="E384" s="12"/>
      <c r="F384" s="15" t="str">
        <f aca="false">IF(OR(C384="",D384="",D384&lt;C384),"",IF(B384="Yıllık izin",D384-C384+1-INT((WEEKDAY(C384-1)+D384-C384)/7)-IF(Ayarlar!$C$5=1,0,INT((WEEKDAY(C384-7)+D384-C384)/7))-SUMPRODUCT((Ayarlar!$E$5:$E$24&gt;=C384)*(Ayarlar!$E$5:$E$24&lt;=D384)*(WEEKDAY(Ayarlar!$E$5:$E$24,2)&lt;IF(Ayarlar!$C$5=1,7,6))),D384-C384+1))</f>
        <v/>
      </c>
      <c r="G384" s="16" t="str">
        <f aca="false">IF(A384="","",IF(OR(B384="",C384="",D384=""),"Eksik bilgi",IF(D384&lt;C384,"Bitiş başlangıçtan önce","OK")))</f>
        <v/>
      </c>
    </row>
    <row r="385" customFormat="false" ht="15" hidden="false" customHeight="false" outlineLevel="0" collapsed="false">
      <c r="A385" s="12"/>
      <c r="B385" s="13"/>
      <c r="C385" s="14"/>
      <c r="D385" s="14"/>
      <c r="E385" s="12"/>
      <c r="F385" s="15" t="str">
        <f aca="false">IF(OR(C385="",D385="",D385&lt;C385),"",IF(B385="Yıllık izin",D385-C385+1-INT((WEEKDAY(C385-1)+D385-C385)/7)-IF(Ayarlar!$C$5=1,0,INT((WEEKDAY(C385-7)+D385-C385)/7))-SUMPRODUCT((Ayarlar!$E$5:$E$24&gt;=C385)*(Ayarlar!$E$5:$E$24&lt;=D385)*(WEEKDAY(Ayarlar!$E$5:$E$24,2)&lt;IF(Ayarlar!$C$5=1,7,6))),D385-C385+1))</f>
        <v/>
      </c>
      <c r="G385" s="16" t="str">
        <f aca="false">IF(A385="","",IF(OR(B385="",C385="",D385=""),"Eksik bilgi",IF(D385&lt;C385,"Bitiş başlangıçtan önce","OK")))</f>
        <v/>
      </c>
    </row>
    <row r="386" customFormat="false" ht="15" hidden="false" customHeight="false" outlineLevel="0" collapsed="false">
      <c r="A386" s="12"/>
      <c r="B386" s="13"/>
      <c r="C386" s="14"/>
      <c r="D386" s="14"/>
      <c r="E386" s="12"/>
      <c r="F386" s="15" t="str">
        <f aca="false">IF(OR(C386="",D386="",D386&lt;C386),"",IF(B386="Yıllık izin",D386-C386+1-INT((WEEKDAY(C386-1)+D386-C386)/7)-IF(Ayarlar!$C$5=1,0,INT((WEEKDAY(C386-7)+D386-C386)/7))-SUMPRODUCT((Ayarlar!$E$5:$E$24&gt;=C386)*(Ayarlar!$E$5:$E$24&lt;=D386)*(WEEKDAY(Ayarlar!$E$5:$E$24,2)&lt;IF(Ayarlar!$C$5=1,7,6))),D386-C386+1))</f>
        <v/>
      </c>
      <c r="G386" s="16" t="str">
        <f aca="false">IF(A386="","",IF(OR(B386="",C386="",D386=""),"Eksik bilgi",IF(D386&lt;C386,"Bitiş başlangıçtan önce","OK")))</f>
        <v/>
      </c>
    </row>
    <row r="387" customFormat="false" ht="15" hidden="false" customHeight="false" outlineLevel="0" collapsed="false">
      <c r="A387" s="12"/>
      <c r="B387" s="13"/>
      <c r="C387" s="14"/>
      <c r="D387" s="14"/>
      <c r="E387" s="12"/>
      <c r="F387" s="15" t="str">
        <f aca="false">IF(OR(C387="",D387="",D387&lt;C387),"",IF(B387="Yıllık izin",D387-C387+1-INT((WEEKDAY(C387-1)+D387-C387)/7)-IF(Ayarlar!$C$5=1,0,INT((WEEKDAY(C387-7)+D387-C387)/7))-SUMPRODUCT((Ayarlar!$E$5:$E$24&gt;=C387)*(Ayarlar!$E$5:$E$24&lt;=D387)*(WEEKDAY(Ayarlar!$E$5:$E$24,2)&lt;IF(Ayarlar!$C$5=1,7,6))),D387-C387+1))</f>
        <v/>
      </c>
      <c r="G387" s="16" t="str">
        <f aca="false">IF(A387="","",IF(OR(B387="",C387="",D387=""),"Eksik bilgi",IF(D387&lt;C387,"Bitiş başlangıçtan önce","OK")))</f>
        <v/>
      </c>
    </row>
    <row r="388" customFormat="false" ht="15" hidden="false" customHeight="false" outlineLevel="0" collapsed="false">
      <c r="A388" s="12"/>
      <c r="B388" s="13"/>
      <c r="C388" s="14"/>
      <c r="D388" s="14"/>
      <c r="E388" s="12"/>
      <c r="F388" s="15" t="str">
        <f aca="false">IF(OR(C388="",D388="",D388&lt;C388),"",IF(B388="Yıllık izin",D388-C388+1-INT((WEEKDAY(C388-1)+D388-C388)/7)-IF(Ayarlar!$C$5=1,0,INT((WEEKDAY(C388-7)+D388-C388)/7))-SUMPRODUCT((Ayarlar!$E$5:$E$24&gt;=C388)*(Ayarlar!$E$5:$E$24&lt;=D388)*(WEEKDAY(Ayarlar!$E$5:$E$24,2)&lt;IF(Ayarlar!$C$5=1,7,6))),D388-C388+1))</f>
        <v/>
      </c>
      <c r="G388" s="16" t="str">
        <f aca="false">IF(A388="","",IF(OR(B388="",C388="",D388=""),"Eksik bilgi",IF(D388&lt;C388,"Bitiş başlangıçtan önce","OK")))</f>
        <v/>
      </c>
    </row>
    <row r="389" customFormat="false" ht="15" hidden="false" customHeight="false" outlineLevel="0" collapsed="false">
      <c r="A389" s="12"/>
      <c r="B389" s="13"/>
      <c r="C389" s="14"/>
      <c r="D389" s="14"/>
      <c r="E389" s="12"/>
      <c r="F389" s="15" t="str">
        <f aca="false">IF(OR(C389="",D389="",D389&lt;C389),"",IF(B389="Yıllık izin",D389-C389+1-INT((WEEKDAY(C389-1)+D389-C389)/7)-IF(Ayarlar!$C$5=1,0,INT((WEEKDAY(C389-7)+D389-C389)/7))-SUMPRODUCT((Ayarlar!$E$5:$E$24&gt;=C389)*(Ayarlar!$E$5:$E$24&lt;=D389)*(WEEKDAY(Ayarlar!$E$5:$E$24,2)&lt;IF(Ayarlar!$C$5=1,7,6))),D389-C389+1))</f>
        <v/>
      </c>
      <c r="G389" s="16" t="str">
        <f aca="false">IF(A389="","",IF(OR(B389="",C389="",D389=""),"Eksik bilgi",IF(D389&lt;C389,"Bitiş başlangıçtan önce","OK")))</f>
        <v/>
      </c>
    </row>
    <row r="390" customFormat="false" ht="15" hidden="false" customHeight="false" outlineLevel="0" collapsed="false">
      <c r="A390" s="12"/>
      <c r="B390" s="13"/>
      <c r="C390" s="14"/>
      <c r="D390" s="14"/>
      <c r="E390" s="12"/>
      <c r="F390" s="15" t="str">
        <f aca="false">IF(OR(C390="",D390="",D390&lt;C390),"",IF(B390="Yıllık izin",D390-C390+1-INT((WEEKDAY(C390-1)+D390-C390)/7)-IF(Ayarlar!$C$5=1,0,INT((WEEKDAY(C390-7)+D390-C390)/7))-SUMPRODUCT((Ayarlar!$E$5:$E$24&gt;=C390)*(Ayarlar!$E$5:$E$24&lt;=D390)*(WEEKDAY(Ayarlar!$E$5:$E$24,2)&lt;IF(Ayarlar!$C$5=1,7,6))),D390-C390+1))</f>
        <v/>
      </c>
      <c r="G390" s="16" t="str">
        <f aca="false">IF(A390="","",IF(OR(B390="",C390="",D390=""),"Eksik bilgi",IF(D390&lt;C390,"Bitiş başlangıçtan önce","OK")))</f>
        <v/>
      </c>
    </row>
    <row r="391" customFormat="false" ht="15" hidden="false" customHeight="false" outlineLevel="0" collapsed="false">
      <c r="A391" s="12"/>
      <c r="B391" s="13"/>
      <c r="C391" s="14"/>
      <c r="D391" s="14"/>
      <c r="E391" s="12"/>
      <c r="F391" s="15" t="str">
        <f aca="false">IF(OR(C391="",D391="",D391&lt;C391),"",IF(B391="Yıllık izin",D391-C391+1-INT((WEEKDAY(C391-1)+D391-C391)/7)-IF(Ayarlar!$C$5=1,0,INT((WEEKDAY(C391-7)+D391-C391)/7))-SUMPRODUCT((Ayarlar!$E$5:$E$24&gt;=C391)*(Ayarlar!$E$5:$E$24&lt;=D391)*(WEEKDAY(Ayarlar!$E$5:$E$24,2)&lt;IF(Ayarlar!$C$5=1,7,6))),D391-C391+1))</f>
        <v/>
      </c>
      <c r="G391" s="16" t="str">
        <f aca="false">IF(A391="","",IF(OR(B391="",C391="",D391=""),"Eksik bilgi",IF(D391&lt;C391,"Bitiş başlangıçtan önce","OK")))</f>
        <v/>
      </c>
    </row>
    <row r="392" customFormat="false" ht="15" hidden="false" customHeight="false" outlineLevel="0" collapsed="false">
      <c r="A392" s="12"/>
      <c r="B392" s="13"/>
      <c r="C392" s="14"/>
      <c r="D392" s="14"/>
      <c r="E392" s="12"/>
      <c r="F392" s="15" t="str">
        <f aca="false">IF(OR(C392="",D392="",D392&lt;C392),"",IF(B392="Yıllık izin",D392-C392+1-INT((WEEKDAY(C392-1)+D392-C392)/7)-IF(Ayarlar!$C$5=1,0,INT((WEEKDAY(C392-7)+D392-C392)/7))-SUMPRODUCT((Ayarlar!$E$5:$E$24&gt;=C392)*(Ayarlar!$E$5:$E$24&lt;=D392)*(WEEKDAY(Ayarlar!$E$5:$E$24,2)&lt;IF(Ayarlar!$C$5=1,7,6))),D392-C392+1))</f>
        <v/>
      </c>
      <c r="G392" s="16" t="str">
        <f aca="false">IF(A392="","",IF(OR(B392="",C392="",D392=""),"Eksik bilgi",IF(D392&lt;C392,"Bitiş başlangıçtan önce","OK")))</f>
        <v/>
      </c>
    </row>
    <row r="393" customFormat="false" ht="15" hidden="false" customHeight="false" outlineLevel="0" collapsed="false">
      <c r="A393" s="12"/>
      <c r="B393" s="13"/>
      <c r="C393" s="14"/>
      <c r="D393" s="14"/>
      <c r="E393" s="12"/>
      <c r="F393" s="15" t="str">
        <f aca="false">IF(OR(C393="",D393="",D393&lt;C393),"",IF(B393="Yıllık izin",D393-C393+1-INT((WEEKDAY(C393-1)+D393-C393)/7)-IF(Ayarlar!$C$5=1,0,INT((WEEKDAY(C393-7)+D393-C393)/7))-SUMPRODUCT((Ayarlar!$E$5:$E$24&gt;=C393)*(Ayarlar!$E$5:$E$24&lt;=D393)*(WEEKDAY(Ayarlar!$E$5:$E$24,2)&lt;IF(Ayarlar!$C$5=1,7,6))),D393-C393+1))</f>
        <v/>
      </c>
      <c r="G393" s="16" t="str">
        <f aca="false">IF(A393="","",IF(OR(B393="",C393="",D393=""),"Eksik bilgi",IF(D393&lt;C393,"Bitiş başlangıçtan önce","OK")))</f>
        <v/>
      </c>
    </row>
    <row r="394" customFormat="false" ht="15" hidden="false" customHeight="false" outlineLevel="0" collapsed="false">
      <c r="A394" s="12"/>
      <c r="B394" s="13"/>
      <c r="C394" s="14"/>
      <c r="D394" s="14"/>
      <c r="E394" s="12"/>
      <c r="F394" s="15" t="str">
        <f aca="false">IF(OR(C394="",D394="",D394&lt;C394),"",IF(B394="Yıllık izin",D394-C394+1-INT((WEEKDAY(C394-1)+D394-C394)/7)-IF(Ayarlar!$C$5=1,0,INT((WEEKDAY(C394-7)+D394-C394)/7))-SUMPRODUCT((Ayarlar!$E$5:$E$24&gt;=C394)*(Ayarlar!$E$5:$E$24&lt;=D394)*(WEEKDAY(Ayarlar!$E$5:$E$24,2)&lt;IF(Ayarlar!$C$5=1,7,6))),D394-C394+1))</f>
        <v/>
      </c>
      <c r="G394" s="16" t="str">
        <f aca="false">IF(A394="","",IF(OR(B394="",C394="",D394=""),"Eksik bilgi",IF(D394&lt;C394,"Bitiş başlangıçtan önce","OK")))</f>
        <v/>
      </c>
    </row>
    <row r="395" customFormat="false" ht="15" hidden="false" customHeight="false" outlineLevel="0" collapsed="false">
      <c r="A395" s="12"/>
      <c r="B395" s="13"/>
      <c r="C395" s="14"/>
      <c r="D395" s="14"/>
      <c r="E395" s="12"/>
      <c r="F395" s="15" t="str">
        <f aca="false">IF(OR(C395="",D395="",D395&lt;C395),"",IF(B395="Yıllık izin",D395-C395+1-INT((WEEKDAY(C395-1)+D395-C395)/7)-IF(Ayarlar!$C$5=1,0,INT((WEEKDAY(C395-7)+D395-C395)/7))-SUMPRODUCT((Ayarlar!$E$5:$E$24&gt;=C395)*(Ayarlar!$E$5:$E$24&lt;=D395)*(WEEKDAY(Ayarlar!$E$5:$E$24,2)&lt;IF(Ayarlar!$C$5=1,7,6))),D395-C395+1))</f>
        <v/>
      </c>
      <c r="G395" s="16" t="str">
        <f aca="false">IF(A395="","",IF(OR(B395="",C395="",D395=""),"Eksik bilgi",IF(D395&lt;C395,"Bitiş başlangıçtan önce","OK")))</f>
        <v/>
      </c>
    </row>
    <row r="396" customFormat="false" ht="15" hidden="false" customHeight="false" outlineLevel="0" collapsed="false">
      <c r="A396" s="12"/>
      <c r="B396" s="13"/>
      <c r="C396" s="14"/>
      <c r="D396" s="14"/>
      <c r="E396" s="12"/>
      <c r="F396" s="15" t="str">
        <f aca="false">IF(OR(C396="",D396="",D396&lt;C396),"",IF(B396="Yıllık izin",D396-C396+1-INT((WEEKDAY(C396-1)+D396-C396)/7)-IF(Ayarlar!$C$5=1,0,INT((WEEKDAY(C396-7)+D396-C396)/7))-SUMPRODUCT((Ayarlar!$E$5:$E$24&gt;=C396)*(Ayarlar!$E$5:$E$24&lt;=D396)*(WEEKDAY(Ayarlar!$E$5:$E$24,2)&lt;IF(Ayarlar!$C$5=1,7,6))),D396-C396+1))</f>
        <v/>
      </c>
      <c r="G396" s="16" t="str">
        <f aca="false">IF(A396="","",IF(OR(B396="",C396="",D396=""),"Eksik bilgi",IF(D396&lt;C396,"Bitiş başlangıçtan önce","OK")))</f>
        <v/>
      </c>
    </row>
    <row r="397" customFormat="false" ht="15" hidden="false" customHeight="false" outlineLevel="0" collapsed="false">
      <c r="A397" s="12"/>
      <c r="B397" s="13"/>
      <c r="C397" s="14"/>
      <c r="D397" s="14"/>
      <c r="E397" s="12"/>
      <c r="F397" s="15" t="str">
        <f aca="false">IF(OR(C397="",D397="",D397&lt;C397),"",IF(B397="Yıllık izin",D397-C397+1-INT((WEEKDAY(C397-1)+D397-C397)/7)-IF(Ayarlar!$C$5=1,0,INT((WEEKDAY(C397-7)+D397-C397)/7))-SUMPRODUCT((Ayarlar!$E$5:$E$24&gt;=C397)*(Ayarlar!$E$5:$E$24&lt;=D397)*(WEEKDAY(Ayarlar!$E$5:$E$24,2)&lt;IF(Ayarlar!$C$5=1,7,6))),D397-C397+1))</f>
        <v/>
      </c>
      <c r="G397" s="16" t="str">
        <f aca="false">IF(A397="","",IF(OR(B397="",C397="",D397=""),"Eksik bilgi",IF(D397&lt;C397,"Bitiş başlangıçtan önce","OK")))</f>
        <v/>
      </c>
    </row>
    <row r="398" customFormat="false" ht="15" hidden="false" customHeight="false" outlineLevel="0" collapsed="false">
      <c r="A398" s="12"/>
      <c r="B398" s="13"/>
      <c r="C398" s="14"/>
      <c r="D398" s="14"/>
      <c r="E398" s="12"/>
      <c r="F398" s="15" t="str">
        <f aca="false">IF(OR(C398="",D398="",D398&lt;C398),"",IF(B398="Yıllık izin",D398-C398+1-INT((WEEKDAY(C398-1)+D398-C398)/7)-IF(Ayarlar!$C$5=1,0,INT((WEEKDAY(C398-7)+D398-C398)/7))-SUMPRODUCT((Ayarlar!$E$5:$E$24&gt;=C398)*(Ayarlar!$E$5:$E$24&lt;=D398)*(WEEKDAY(Ayarlar!$E$5:$E$24,2)&lt;IF(Ayarlar!$C$5=1,7,6))),D398-C398+1))</f>
        <v/>
      </c>
      <c r="G398" s="16" t="str">
        <f aca="false">IF(A398="","",IF(OR(B398="",C398="",D398=""),"Eksik bilgi",IF(D398&lt;C398,"Bitiş başlangıçtan önce","OK")))</f>
        <v/>
      </c>
    </row>
    <row r="399" customFormat="false" ht="15" hidden="false" customHeight="false" outlineLevel="0" collapsed="false">
      <c r="A399" s="12"/>
      <c r="B399" s="13"/>
      <c r="C399" s="14"/>
      <c r="D399" s="14"/>
      <c r="E399" s="12"/>
      <c r="F399" s="15" t="str">
        <f aca="false">IF(OR(C399="",D399="",D399&lt;C399),"",IF(B399="Yıllık izin",D399-C399+1-INT((WEEKDAY(C399-1)+D399-C399)/7)-IF(Ayarlar!$C$5=1,0,INT((WEEKDAY(C399-7)+D399-C399)/7))-SUMPRODUCT((Ayarlar!$E$5:$E$24&gt;=C399)*(Ayarlar!$E$5:$E$24&lt;=D399)*(WEEKDAY(Ayarlar!$E$5:$E$24,2)&lt;IF(Ayarlar!$C$5=1,7,6))),D399-C399+1))</f>
        <v/>
      </c>
      <c r="G399" s="16" t="str">
        <f aca="false">IF(A399="","",IF(OR(B399="",C399="",D399=""),"Eksik bilgi",IF(D399&lt;C399,"Bitiş başlangıçtan önce","OK")))</f>
        <v/>
      </c>
    </row>
    <row r="400" customFormat="false" ht="15" hidden="false" customHeight="false" outlineLevel="0" collapsed="false">
      <c r="A400" s="12"/>
      <c r="B400" s="13"/>
      <c r="C400" s="14"/>
      <c r="D400" s="14"/>
      <c r="E400" s="12"/>
      <c r="F400" s="15" t="str">
        <f aca="false">IF(OR(C400="",D400="",D400&lt;C400),"",IF(B400="Yıllık izin",D400-C400+1-INT((WEEKDAY(C400-1)+D400-C400)/7)-IF(Ayarlar!$C$5=1,0,INT((WEEKDAY(C400-7)+D400-C400)/7))-SUMPRODUCT((Ayarlar!$E$5:$E$24&gt;=C400)*(Ayarlar!$E$5:$E$24&lt;=D400)*(WEEKDAY(Ayarlar!$E$5:$E$24,2)&lt;IF(Ayarlar!$C$5=1,7,6))),D400-C400+1))</f>
        <v/>
      </c>
      <c r="G400" s="16" t="str">
        <f aca="false">IF(A400="","",IF(OR(B400="",C400="",D400=""),"Eksik bilgi",IF(D400&lt;C400,"Bitiş başlangıçtan önce","OK")))</f>
        <v/>
      </c>
    </row>
    <row r="401" customFormat="false" ht="15" hidden="false" customHeight="false" outlineLevel="0" collapsed="false">
      <c r="A401" s="12"/>
      <c r="B401" s="13"/>
      <c r="C401" s="14"/>
      <c r="D401" s="14"/>
      <c r="E401" s="12"/>
      <c r="F401" s="15" t="str">
        <f aca="false">IF(OR(C401="",D401="",D401&lt;C401),"",IF(B401="Yıllık izin",D401-C401+1-INT((WEEKDAY(C401-1)+D401-C401)/7)-IF(Ayarlar!$C$5=1,0,INT((WEEKDAY(C401-7)+D401-C401)/7))-SUMPRODUCT((Ayarlar!$E$5:$E$24&gt;=C401)*(Ayarlar!$E$5:$E$24&lt;=D401)*(WEEKDAY(Ayarlar!$E$5:$E$24,2)&lt;IF(Ayarlar!$C$5=1,7,6))),D401-C401+1))</f>
        <v/>
      </c>
      <c r="G401" s="16" t="str">
        <f aca="false">IF(A401="","",IF(OR(B401="",C401="",D401=""),"Eksik bilgi",IF(D401&lt;C401,"Bitiş başlangıçtan önce","OK")))</f>
        <v/>
      </c>
    </row>
    <row r="402" customFormat="false" ht="15" hidden="false" customHeight="false" outlineLevel="0" collapsed="false">
      <c r="A402" s="12"/>
      <c r="B402" s="13"/>
      <c r="C402" s="14"/>
      <c r="D402" s="14"/>
      <c r="E402" s="12"/>
      <c r="F402" s="15" t="str">
        <f aca="false">IF(OR(C402="",D402="",D402&lt;C402),"",IF(B402="Yıllık izin",D402-C402+1-INT((WEEKDAY(C402-1)+D402-C402)/7)-IF(Ayarlar!$C$5=1,0,INT((WEEKDAY(C402-7)+D402-C402)/7))-SUMPRODUCT((Ayarlar!$E$5:$E$24&gt;=C402)*(Ayarlar!$E$5:$E$24&lt;=D402)*(WEEKDAY(Ayarlar!$E$5:$E$24,2)&lt;IF(Ayarlar!$C$5=1,7,6))),D402-C402+1))</f>
        <v/>
      </c>
      <c r="G402" s="16" t="str">
        <f aca="false">IF(A402="","",IF(OR(B402="",C402="",D402=""),"Eksik bilgi",IF(D402&lt;C402,"Bitiş başlangıçtan önce","OK")))</f>
        <v/>
      </c>
    </row>
    <row r="403" customFormat="false" ht="15" hidden="false" customHeight="false" outlineLevel="0" collapsed="false">
      <c r="A403" s="12"/>
      <c r="B403" s="13"/>
      <c r="C403" s="14"/>
      <c r="D403" s="14"/>
      <c r="E403" s="12"/>
      <c r="F403" s="15" t="str">
        <f aca="false">IF(OR(C403="",D403="",D403&lt;C403),"",IF(B403="Yıllık izin",D403-C403+1-INT((WEEKDAY(C403-1)+D403-C403)/7)-IF(Ayarlar!$C$5=1,0,INT((WEEKDAY(C403-7)+D403-C403)/7))-SUMPRODUCT((Ayarlar!$E$5:$E$24&gt;=C403)*(Ayarlar!$E$5:$E$24&lt;=D403)*(WEEKDAY(Ayarlar!$E$5:$E$24,2)&lt;IF(Ayarlar!$C$5=1,7,6))),D403-C403+1))</f>
        <v/>
      </c>
      <c r="G403" s="16" t="str">
        <f aca="false">IF(A403="","",IF(OR(B403="",C403="",D403=""),"Eksik bilgi",IF(D403&lt;C403,"Bitiş başlangıçtan önce","OK")))</f>
        <v/>
      </c>
    </row>
    <row r="404" customFormat="false" ht="15" hidden="false" customHeight="false" outlineLevel="0" collapsed="false">
      <c r="A404" s="12"/>
      <c r="B404" s="13"/>
      <c r="C404" s="14"/>
      <c r="D404" s="14"/>
      <c r="E404" s="12"/>
      <c r="F404" s="15" t="str">
        <f aca="false">IF(OR(C404="",D404="",D404&lt;C404),"",IF(B404="Yıllık izin",D404-C404+1-INT((WEEKDAY(C404-1)+D404-C404)/7)-IF(Ayarlar!$C$5=1,0,INT((WEEKDAY(C404-7)+D404-C404)/7))-SUMPRODUCT((Ayarlar!$E$5:$E$24&gt;=C404)*(Ayarlar!$E$5:$E$24&lt;=D404)*(WEEKDAY(Ayarlar!$E$5:$E$24,2)&lt;IF(Ayarlar!$C$5=1,7,6))),D404-C404+1))</f>
        <v/>
      </c>
      <c r="G404" s="16" t="str">
        <f aca="false">IF(A404="","",IF(OR(B404="",C404="",D404=""),"Eksik bilgi",IF(D404&lt;C404,"Bitiş başlangıçtan önce","OK")))</f>
        <v/>
      </c>
    </row>
    <row r="405" customFormat="false" ht="15" hidden="false" customHeight="false" outlineLevel="0" collapsed="false">
      <c r="A405" s="12"/>
      <c r="B405" s="13"/>
      <c r="C405" s="14"/>
      <c r="D405" s="14"/>
      <c r="E405" s="12"/>
      <c r="F405" s="15" t="str">
        <f aca="false">IF(OR(C405="",D405="",D405&lt;C405),"",IF(B405="Yıllık izin",D405-C405+1-INT((WEEKDAY(C405-1)+D405-C405)/7)-IF(Ayarlar!$C$5=1,0,INT((WEEKDAY(C405-7)+D405-C405)/7))-SUMPRODUCT((Ayarlar!$E$5:$E$24&gt;=C405)*(Ayarlar!$E$5:$E$24&lt;=D405)*(WEEKDAY(Ayarlar!$E$5:$E$24,2)&lt;IF(Ayarlar!$C$5=1,7,6))),D405-C405+1))</f>
        <v/>
      </c>
      <c r="G405" s="16" t="str">
        <f aca="false">IF(A405="","",IF(OR(B405="",C405="",D405=""),"Eksik bilgi",IF(D405&lt;C405,"Bitiş başlangıçtan önce","OK")))</f>
        <v/>
      </c>
    </row>
    <row r="406" customFormat="false" ht="15" hidden="false" customHeight="false" outlineLevel="0" collapsed="false">
      <c r="A406" s="12"/>
      <c r="B406" s="13"/>
      <c r="C406" s="14"/>
      <c r="D406" s="14"/>
      <c r="E406" s="12"/>
      <c r="F406" s="15" t="str">
        <f aca="false">IF(OR(C406="",D406="",D406&lt;C406),"",IF(B406="Yıllık izin",D406-C406+1-INT((WEEKDAY(C406-1)+D406-C406)/7)-IF(Ayarlar!$C$5=1,0,INT((WEEKDAY(C406-7)+D406-C406)/7))-SUMPRODUCT((Ayarlar!$E$5:$E$24&gt;=C406)*(Ayarlar!$E$5:$E$24&lt;=D406)*(WEEKDAY(Ayarlar!$E$5:$E$24,2)&lt;IF(Ayarlar!$C$5=1,7,6))),D406-C406+1))</f>
        <v/>
      </c>
      <c r="G406" s="16" t="str">
        <f aca="false">IF(A406="","",IF(OR(B406="",C406="",D406=""),"Eksik bilgi",IF(D406&lt;C406,"Bitiş başlangıçtan önce","OK")))</f>
        <v/>
      </c>
    </row>
    <row r="407" customFormat="false" ht="15" hidden="false" customHeight="false" outlineLevel="0" collapsed="false">
      <c r="A407" s="12"/>
      <c r="B407" s="13"/>
      <c r="C407" s="14"/>
      <c r="D407" s="14"/>
      <c r="E407" s="12"/>
      <c r="F407" s="15" t="str">
        <f aca="false">IF(OR(C407="",D407="",D407&lt;C407),"",IF(B407="Yıllık izin",D407-C407+1-INT((WEEKDAY(C407-1)+D407-C407)/7)-IF(Ayarlar!$C$5=1,0,INT((WEEKDAY(C407-7)+D407-C407)/7))-SUMPRODUCT((Ayarlar!$E$5:$E$24&gt;=C407)*(Ayarlar!$E$5:$E$24&lt;=D407)*(WEEKDAY(Ayarlar!$E$5:$E$24,2)&lt;IF(Ayarlar!$C$5=1,7,6))),D407-C407+1))</f>
        <v/>
      </c>
      <c r="G407" s="16" t="str">
        <f aca="false">IF(A407="","",IF(OR(B407="",C407="",D407=""),"Eksik bilgi",IF(D407&lt;C407,"Bitiş başlangıçtan önce","OK")))</f>
        <v/>
      </c>
    </row>
    <row r="408" customFormat="false" ht="15" hidden="false" customHeight="false" outlineLevel="0" collapsed="false">
      <c r="A408" s="12"/>
      <c r="B408" s="13"/>
      <c r="C408" s="14"/>
      <c r="D408" s="14"/>
      <c r="E408" s="12"/>
      <c r="F408" s="15" t="str">
        <f aca="false">IF(OR(C408="",D408="",D408&lt;C408),"",IF(B408="Yıllık izin",D408-C408+1-INT((WEEKDAY(C408-1)+D408-C408)/7)-IF(Ayarlar!$C$5=1,0,INT((WEEKDAY(C408-7)+D408-C408)/7))-SUMPRODUCT((Ayarlar!$E$5:$E$24&gt;=C408)*(Ayarlar!$E$5:$E$24&lt;=D408)*(WEEKDAY(Ayarlar!$E$5:$E$24,2)&lt;IF(Ayarlar!$C$5=1,7,6))),D408-C408+1))</f>
        <v/>
      </c>
      <c r="G408" s="16" t="str">
        <f aca="false">IF(A408="","",IF(OR(B408="",C408="",D408=""),"Eksik bilgi",IF(D408&lt;C408,"Bitiş başlangıçtan önce","OK")))</f>
        <v/>
      </c>
    </row>
    <row r="409" customFormat="false" ht="15" hidden="false" customHeight="false" outlineLevel="0" collapsed="false">
      <c r="A409" s="12"/>
      <c r="B409" s="13"/>
      <c r="C409" s="14"/>
      <c r="D409" s="14"/>
      <c r="E409" s="12"/>
      <c r="F409" s="15" t="str">
        <f aca="false">IF(OR(C409="",D409="",D409&lt;C409),"",IF(B409="Yıllık izin",D409-C409+1-INT((WEEKDAY(C409-1)+D409-C409)/7)-IF(Ayarlar!$C$5=1,0,INT((WEEKDAY(C409-7)+D409-C409)/7))-SUMPRODUCT((Ayarlar!$E$5:$E$24&gt;=C409)*(Ayarlar!$E$5:$E$24&lt;=D409)*(WEEKDAY(Ayarlar!$E$5:$E$24,2)&lt;IF(Ayarlar!$C$5=1,7,6))),D409-C409+1))</f>
        <v/>
      </c>
      <c r="G409" s="16" t="str">
        <f aca="false">IF(A409="","",IF(OR(B409="",C409="",D409=""),"Eksik bilgi",IF(D409&lt;C409,"Bitiş başlangıçtan önce","OK")))</f>
        <v/>
      </c>
    </row>
    <row r="410" customFormat="false" ht="15" hidden="false" customHeight="false" outlineLevel="0" collapsed="false">
      <c r="A410" s="12"/>
      <c r="B410" s="13"/>
      <c r="C410" s="14"/>
      <c r="D410" s="14"/>
      <c r="E410" s="12"/>
      <c r="F410" s="15" t="str">
        <f aca="false">IF(OR(C410="",D410="",D410&lt;C410),"",IF(B410="Yıllık izin",D410-C410+1-INT((WEEKDAY(C410-1)+D410-C410)/7)-IF(Ayarlar!$C$5=1,0,INT((WEEKDAY(C410-7)+D410-C410)/7))-SUMPRODUCT((Ayarlar!$E$5:$E$24&gt;=C410)*(Ayarlar!$E$5:$E$24&lt;=D410)*(WEEKDAY(Ayarlar!$E$5:$E$24,2)&lt;IF(Ayarlar!$C$5=1,7,6))),D410-C410+1))</f>
        <v/>
      </c>
      <c r="G410" s="16" t="str">
        <f aca="false">IF(A410="","",IF(OR(B410="",C410="",D410=""),"Eksik bilgi",IF(D410&lt;C410,"Bitiş başlangıçtan önce","OK")))</f>
        <v/>
      </c>
    </row>
    <row r="411" customFormat="false" ht="15" hidden="false" customHeight="false" outlineLevel="0" collapsed="false">
      <c r="A411" s="12"/>
      <c r="B411" s="13"/>
      <c r="C411" s="14"/>
      <c r="D411" s="14"/>
      <c r="E411" s="12"/>
      <c r="F411" s="15" t="str">
        <f aca="false">IF(OR(C411="",D411="",D411&lt;C411),"",IF(B411="Yıllık izin",D411-C411+1-INT((WEEKDAY(C411-1)+D411-C411)/7)-IF(Ayarlar!$C$5=1,0,INT((WEEKDAY(C411-7)+D411-C411)/7))-SUMPRODUCT((Ayarlar!$E$5:$E$24&gt;=C411)*(Ayarlar!$E$5:$E$24&lt;=D411)*(WEEKDAY(Ayarlar!$E$5:$E$24,2)&lt;IF(Ayarlar!$C$5=1,7,6))),D411-C411+1))</f>
        <v/>
      </c>
      <c r="G411" s="16" t="str">
        <f aca="false">IF(A411="","",IF(OR(B411="",C411="",D411=""),"Eksik bilgi",IF(D411&lt;C411,"Bitiş başlangıçtan önce","OK")))</f>
        <v/>
      </c>
    </row>
    <row r="412" customFormat="false" ht="15" hidden="false" customHeight="false" outlineLevel="0" collapsed="false">
      <c r="A412" s="12"/>
      <c r="B412" s="13"/>
      <c r="C412" s="14"/>
      <c r="D412" s="14"/>
      <c r="E412" s="12"/>
      <c r="F412" s="15" t="str">
        <f aca="false">IF(OR(C412="",D412="",D412&lt;C412),"",IF(B412="Yıllık izin",D412-C412+1-INT((WEEKDAY(C412-1)+D412-C412)/7)-IF(Ayarlar!$C$5=1,0,INT((WEEKDAY(C412-7)+D412-C412)/7))-SUMPRODUCT((Ayarlar!$E$5:$E$24&gt;=C412)*(Ayarlar!$E$5:$E$24&lt;=D412)*(WEEKDAY(Ayarlar!$E$5:$E$24,2)&lt;IF(Ayarlar!$C$5=1,7,6))),D412-C412+1))</f>
        <v/>
      </c>
      <c r="G412" s="16" t="str">
        <f aca="false">IF(A412="","",IF(OR(B412="",C412="",D412=""),"Eksik bilgi",IF(D412&lt;C412,"Bitiş başlangıçtan önce","OK")))</f>
        <v/>
      </c>
    </row>
    <row r="413" customFormat="false" ht="15" hidden="false" customHeight="false" outlineLevel="0" collapsed="false">
      <c r="A413" s="12"/>
      <c r="B413" s="13"/>
      <c r="C413" s="14"/>
      <c r="D413" s="14"/>
      <c r="E413" s="12"/>
      <c r="F413" s="15" t="str">
        <f aca="false">IF(OR(C413="",D413="",D413&lt;C413),"",IF(B413="Yıllık izin",D413-C413+1-INT((WEEKDAY(C413-1)+D413-C413)/7)-IF(Ayarlar!$C$5=1,0,INT((WEEKDAY(C413-7)+D413-C413)/7))-SUMPRODUCT((Ayarlar!$E$5:$E$24&gt;=C413)*(Ayarlar!$E$5:$E$24&lt;=D413)*(WEEKDAY(Ayarlar!$E$5:$E$24,2)&lt;IF(Ayarlar!$C$5=1,7,6))),D413-C413+1))</f>
        <v/>
      </c>
      <c r="G413" s="16" t="str">
        <f aca="false">IF(A413="","",IF(OR(B413="",C413="",D413=""),"Eksik bilgi",IF(D413&lt;C413,"Bitiş başlangıçtan önce","OK")))</f>
        <v/>
      </c>
    </row>
    <row r="414" customFormat="false" ht="15" hidden="false" customHeight="false" outlineLevel="0" collapsed="false">
      <c r="A414" s="12"/>
      <c r="B414" s="13"/>
      <c r="C414" s="14"/>
      <c r="D414" s="14"/>
      <c r="E414" s="12"/>
      <c r="F414" s="15" t="str">
        <f aca="false">IF(OR(C414="",D414="",D414&lt;C414),"",IF(B414="Yıllık izin",D414-C414+1-INT((WEEKDAY(C414-1)+D414-C414)/7)-IF(Ayarlar!$C$5=1,0,INT((WEEKDAY(C414-7)+D414-C414)/7))-SUMPRODUCT((Ayarlar!$E$5:$E$24&gt;=C414)*(Ayarlar!$E$5:$E$24&lt;=D414)*(WEEKDAY(Ayarlar!$E$5:$E$24,2)&lt;IF(Ayarlar!$C$5=1,7,6))),D414-C414+1))</f>
        <v/>
      </c>
      <c r="G414" s="16" t="str">
        <f aca="false">IF(A414="","",IF(OR(B414="",C414="",D414=""),"Eksik bilgi",IF(D414&lt;C414,"Bitiş başlangıçtan önce","OK")))</f>
        <v/>
      </c>
    </row>
    <row r="415" customFormat="false" ht="15" hidden="false" customHeight="false" outlineLevel="0" collapsed="false">
      <c r="A415" s="12"/>
      <c r="B415" s="13"/>
      <c r="C415" s="14"/>
      <c r="D415" s="14"/>
      <c r="E415" s="12"/>
      <c r="F415" s="15" t="str">
        <f aca="false">IF(OR(C415="",D415="",D415&lt;C415),"",IF(B415="Yıllık izin",D415-C415+1-INT((WEEKDAY(C415-1)+D415-C415)/7)-IF(Ayarlar!$C$5=1,0,INT((WEEKDAY(C415-7)+D415-C415)/7))-SUMPRODUCT((Ayarlar!$E$5:$E$24&gt;=C415)*(Ayarlar!$E$5:$E$24&lt;=D415)*(WEEKDAY(Ayarlar!$E$5:$E$24,2)&lt;IF(Ayarlar!$C$5=1,7,6))),D415-C415+1))</f>
        <v/>
      </c>
      <c r="G415" s="16" t="str">
        <f aca="false">IF(A415="","",IF(OR(B415="",C415="",D415=""),"Eksik bilgi",IF(D415&lt;C415,"Bitiş başlangıçtan önce","OK")))</f>
        <v/>
      </c>
    </row>
    <row r="416" customFormat="false" ht="15" hidden="false" customHeight="false" outlineLevel="0" collapsed="false">
      <c r="A416" s="12"/>
      <c r="B416" s="13"/>
      <c r="C416" s="14"/>
      <c r="D416" s="14"/>
      <c r="E416" s="12"/>
      <c r="F416" s="15" t="str">
        <f aca="false">IF(OR(C416="",D416="",D416&lt;C416),"",IF(B416="Yıllık izin",D416-C416+1-INT((WEEKDAY(C416-1)+D416-C416)/7)-IF(Ayarlar!$C$5=1,0,INT((WEEKDAY(C416-7)+D416-C416)/7))-SUMPRODUCT((Ayarlar!$E$5:$E$24&gt;=C416)*(Ayarlar!$E$5:$E$24&lt;=D416)*(WEEKDAY(Ayarlar!$E$5:$E$24,2)&lt;IF(Ayarlar!$C$5=1,7,6))),D416-C416+1))</f>
        <v/>
      </c>
      <c r="G416" s="16" t="str">
        <f aca="false">IF(A416="","",IF(OR(B416="",C416="",D416=""),"Eksik bilgi",IF(D416&lt;C416,"Bitiş başlangıçtan önce","OK")))</f>
        <v/>
      </c>
    </row>
    <row r="417" customFormat="false" ht="15" hidden="false" customHeight="false" outlineLevel="0" collapsed="false">
      <c r="A417" s="12"/>
      <c r="B417" s="13"/>
      <c r="C417" s="14"/>
      <c r="D417" s="14"/>
      <c r="E417" s="12"/>
      <c r="F417" s="15" t="str">
        <f aca="false">IF(OR(C417="",D417="",D417&lt;C417),"",IF(B417="Yıllık izin",D417-C417+1-INT((WEEKDAY(C417-1)+D417-C417)/7)-IF(Ayarlar!$C$5=1,0,INT((WEEKDAY(C417-7)+D417-C417)/7))-SUMPRODUCT((Ayarlar!$E$5:$E$24&gt;=C417)*(Ayarlar!$E$5:$E$24&lt;=D417)*(WEEKDAY(Ayarlar!$E$5:$E$24,2)&lt;IF(Ayarlar!$C$5=1,7,6))),D417-C417+1))</f>
        <v/>
      </c>
      <c r="G417" s="16" t="str">
        <f aca="false">IF(A417="","",IF(OR(B417="",C417="",D417=""),"Eksik bilgi",IF(D417&lt;C417,"Bitiş başlangıçtan önce","OK")))</f>
        <v/>
      </c>
    </row>
    <row r="418" customFormat="false" ht="15" hidden="false" customHeight="false" outlineLevel="0" collapsed="false">
      <c r="A418" s="12"/>
      <c r="B418" s="13"/>
      <c r="C418" s="14"/>
      <c r="D418" s="14"/>
      <c r="E418" s="12"/>
      <c r="F418" s="15" t="str">
        <f aca="false">IF(OR(C418="",D418="",D418&lt;C418),"",IF(B418="Yıllık izin",D418-C418+1-INT((WEEKDAY(C418-1)+D418-C418)/7)-IF(Ayarlar!$C$5=1,0,INT((WEEKDAY(C418-7)+D418-C418)/7))-SUMPRODUCT((Ayarlar!$E$5:$E$24&gt;=C418)*(Ayarlar!$E$5:$E$24&lt;=D418)*(WEEKDAY(Ayarlar!$E$5:$E$24,2)&lt;IF(Ayarlar!$C$5=1,7,6))),D418-C418+1))</f>
        <v/>
      </c>
      <c r="G418" s="16" t="str">
        <f aca="false">IF(A418="","",IF(OR(B418="",C418="",D418=""),"Eksik bilgi",IF(D418&lt;C418,"Bitiş başlangıçtan önce","OK")))</f>
        <v/>
      </c>
    </row>
    <row r="419" customFormat="false" ht="15" hidden="false" customHeight="false" outlineLevel="0" collapsed="false">
      <c r="A419" s="12"/>
      <c r="B419" s="13"/>
      <c r="C419" s="14"/>
      <c r="D419" s="14"/>
      <c r="E419" s="12"/>
      <c r="F419" s="15" t="str">
        <f aca="false">IF(OR(C419="",D419="",D419&lt;C419),"",IF(B419="Yıllık izin",D419-C419+1-INT((WEEKDAY(C419-1)+D419-C419)/7)-IF(Ayarlar!$C$5=1,0,INT((WEEKDAY(C419-7)+D419-C419)/7))-SUMPRODUCT((Ayarlar!$E$5:$E$24&gt;=C419)*(Ayarlar!$E$5:$E$24&lt;=D419)*(WEEKDAY(Ayarlar!$E$5:$E$24,2)&lt;IF(Ayarlar!$C$5=1,7,6))),D419-C419+1))</f>
        <v/>
      </c>
      <c r="G419" s="16" t="str">
        <f aca="false">IF(A419="","",IF(OR(B419="",C419="",D419=""),"Eksik bilgi",IF(D419&lt;C419,"Bitiş başlangıçtan önce","OK")))</f>
        <v/>
      </c>
    </row>
    <row r="420" customFormat="false" ht="15" hidden="false" customHeight="false" outlineLevel="0" collapsed="false">
      <c r="A420" s="12"/>
      <c r="B420" s="13"/>
      <c r="C420" s="14"/>
      <c r="D420" s="14"/>
      <c r="E420" s="12"/>
      <c r="F420" s="15" t="str">
        <f aca="false">IF(OR(C420="",D420="",D420&lt;C420),"",IF(B420="Yıllık izin",D420-C420+1-INT((WEEKDAY(C420-1)+D420-C420)/7)-IF(Ayarlar!$C$5=1,0,INT((WEEKDAY(C420-7)+D420-C420)/7))-SUMPRODUCT((Ayarlar!$E$5:$E$24&gt;=C420)*(Ayarlar!$E$5:$E$24&lt;=D420)*(WEEKDAY(Ayarlar!$E$5:$E$24,2)&lt;IF(Ayarlar!$C$5=1,7,6))),D420-C420+1))</f>
        <v/>
      </c>
      <c r="G420" s="16" t="str">
        <f aca="false">IF(A420="","",IF(OR(B420="",C420="",D420=""),"Eksik bilgi",IF(D420&lt;C420,"Bitiş başlangıçtan önce","OK")))</f>
        <v/>
      </c>
    </row>
    <row r="421" customFormat="false" ht="15" hidden="false" customHeight="false" outlineLevel="0" collapsed="false">
      <c r="A421" s="12"/>
      <c r="B421" s="13"/>
      <c r="C421" s="14"/>
      <c r="D421" s="14"/>
      <c r="E421" s="12"/>
      <c r="F421" s="15" t="str">
        <f aca="false">IF(OR(C421="",D421="",D421&lt;C421),"",IF(B421="Yıllık izin",D421-C421+1-INT((WEEKDAY(C421-1)+D421-C421)/7)-IF(Ayarlar!$C$5=1,0,INT((WEEKDAY(C421-7)+D421-C421)/7))-SUMPRODUCT((Ayarlar!$E$5:$E$24&gt;=C421)*(Ayarlar!$E$5:$E$24&lt;=D421)*(WEEKDAY(Ayarlar!$E$5:$E$24,2)&lt;IF(Ayarlar!$C$5=1,7,6))),D421-C421+1))</f>
        <v/>
      </c>
      <c r="G421" s="16" t="str">
        <f aca="false">IF(A421="","",IF(OR(B421="",C421="",D421=""),"Eksik bilgi",IF(D421&lt;C421,"Bitiş başlangıçtan önce","OK")))</f>
        <v/>
      </c>
    </row>
    <row r="422" customFormat="false" ht="15" hidden="false" customHeight="false" outlineLevel="0" collapsed="false">
      <c r="A422" s="12"/>
      <c r="B422" s="13"/>
      <c r="C422" s="14"/>
      <c r="D422" s="14"/>
      <c r="E422" s="12"/>
      <c r="F422" s="15" t="str">
        <f aca="false">IF(OR(C422="",D422="",D422&lt;C422),"",IF(B422="Yıllık izin",D422-C422+1-INT((WEEKDAY(C422-1)+D422-C422)/7)-IF(Ayarlar!$C$5=1,0,INT((WEEKDAY(C422-7)+D422-C422)/7))-SUMPRODUCT((Ayarlar!$E$5:$E$24&gt;=C422)*(Ayarlar!$E$5:$E$24&lt;=D422)*(WEEKDAY(Ayarlar!$E$5:$E$24,2)&lt;IF(Ayarlar!$C$5=1,7,6))),D422-C422+1))</f>
        <v/>
      </c>
      <c r="G422" s="16" t="str">
        <f aca="false">IF(A422="","",IF(OR(B422="",C422="",D422=""),"Eksik bilgi",IF(D422&lt;C422,"Bitiş başlangıçtan önce","OK")))</f>
        <v/>
      </c>
    </row>
    <row r="423" customFormat="false" ht="15" hidden="false" customHeight="false" outlineLevel="0" collapsed="false">
      <c r="A423" s="12"/>
      <c r="B423" s="13"/>
      <c r="C423" s="14"/>
      <c r="D423" s="14"/>
      <c r="E423" s="12"/>
      <c r="F423" s="15" t="str">
        <f aca="false">IF(OR(C423="",D423="",D423&lt;C423),"",IF(B423="Yıllık izin",D423-C423+1-INT((WEEKDAY(C423-1)+D423-C423)/7)-IF(Ayarlar!$C$5=1,0,INT((WEEKDAY(C423-7)+D423-C423)/7))-SUMPRODUCT((Ayarlar!$E$5:$E$24&gt;=C423)*(Ayarlar!$E$5:$E$24&lt;=D423)*(WEEKDAY(Ayarlar!$E$5:$E$24,2)&lt;IF(Ayarlar!$C$5=1,7,6))),D423-C423+1))</f>
        <v/>
      </c>
      <c r="G423" s="16" t="str">
        <f aca="false">IF(A423="","",IF(OR(B423="",C423="",D423=""),"Eksik bilgi",IF(D423&lt;C423,"Bitiş başlangıçtan önce","OK")))</f>
        <v/>
      </c>
    </row>
    <row r="424" customFormat="false" ht="15" hidden="false" customHeight="false" outlineLevel="0" collapsed="false">
      <c r="A424" s="12"/>
      <c r="B424" s="13"/>
      <c r="C424" s="14"/>
      <c r="D424" s="14"/>
      <c r="E424" s="12"/>
      <c r="F424" s="15" t="str">
        <f aca="false">IF(OR(C424="",D424="",D424&lt;C424),"",IF(B424="Yıllık izin",D424-C424+1-INT((WEEKDAY(C424-1)+D424-C424)/7)-IF(Ayarlar!$C$5=1,0,INT((WEEKDAY(C424-7)+D424-C424)/7))-SUMPRODUCT((Ayarlar!$E$5:$E$24&gt;=C424)*(Ayarlar!$E$5:$E$24&lt;=D424)*(WEEKDAY(Ayarlar!$E$5:$E$24,2)&lt;IF(Ayarlar!$C$5=1,7,6))),D424-C424+1))</f>
        <v/>
      </c>
      <c r="G424" s="16" t="str">
        <f aca="false">IF(A424="","",IF(OR(B424="",C424="",D424=""),"Eksik bilgi",IF(D424&lt;C424,"Bitiş başlangıçtan önce","OK")))</f>
        <v/>
      </c>
    </row>
    <row r="425" customFormat="false" ht="15" hidden="false" customHeight="false" outlineLevel="0" collapsed="false">
      <c r="A425" s="12"/>
      <c r="B425" s="13"/>
      <c r="C425" s="14"/>
      <c r="D425" s="14"/>
      <c r="E425" s="12"/>
      <c r="F425" s="15" t="str">
        <f aca="false">IF(OR(C425="",D425="",D425&lt;C425),"",IF(B425="Yıllık izin",D425-C425+1-INT((WEEKDAY(C425-1)+D425-C425)/7)-IF(Ayarlar!$C$5=1,0,INT((WEEKDAY(C425-7)+D425-C425)/7))-SUMPRODUCT((Ayarlar!$E$5:$E$24&gt;=C425)*(Ayarlar!$E$5:$E$24&lt;=D425)*(WEEKDAY(Ayarlar!$E$5:$E$24,2)&lt;IF(Ayarlar!$C$5=1,7,6))),D425-C425+1))</f>
        <v/>
      </c>
      <c r="G425" s="16" t="str">
        <f aca="false">IF(A425="","",IF(OR(B425="",C425="",D425=""),"Eksik bilgi",IF(D425&lt;C425,"Bitiş başlangıçtan önce","OK")))</f>
        <v/>
      </c>
    </row>
    <row r="426" customFormat="false" ht="15" hidden="false" customHeight="false" outlineLevel="0" collapsed="false">
      <c r="A426" s="12"/>
      <c r="B426" s="13"/>
      <c r="C426" s="14"/>
      <c r="D426" s="14"/>
      <c r="E426" s="12"/>
      <c r="F426" s="15" t="str">
        <f aca="false">IF(OR(C426="",D426="",D426&lt;C426),"",IF(B426="Yıllık izin",D426-C426+1-INT((WEEKDAY(C426-1)+D426-C426)/7)-IF(Ayarlar!$C$5=1,0,INT((WEEKDAY(C426-7)+D426-C426)/7))-SUMPRODUCT((Ayarlar!$E$5:$E$24&gt;=C426)*(Ayarlar!$E$5:$E$24&lt;=D426)*(WEEKDAY(Ayarlar!$E$5:$E$24,2)&lt;IF(Ayarlar!$C$5=1,7,6))),D426-C426+1))</f>
        <v/>
      </c>
      <c r="G426" s="16" t="str">
        <f aca="false">IF(A426="","",IF(OR(B426="",C426="",D426=""),"Eksik bilgi",IF(D426&lt;C426,"Bitiş başlangıçtan önce","OK")))</f>
        <v/>
      </c>
    </row>
    <row r="427" customFormat="false" ht="15" hidden="false" customHeight="false" outlineLevel="0" collapsed="false">
      <c r="A427" s="12"/>
      <c r="B427" s="13"/>
      <c r="C427" s="14"/>
      <c r="D427" s="14"/>
      <c r="E427" s="12"/>
      <c r="F427" s="15" t="str">
        <f aca="false">IF(OR(C427="",D427="",D427&lt;C427),"",IF(B427="Yıllık izin",D427-C427+1-INT((WEEKDAY(C427-1)+D427-C427)/7)-IF(Ayarlar!$C$5=1,0,INT((WEEKDAY(C427-7)+D427-C427)/7))-SUMPRODUCT((Ayarlar!$E$5:$E$24&gt;=C427)*(Ayarlar!$E$5:$E$24&lt;=D427)*(WEEKDAY(Ayarlar!$E$5:$E$24,2)&lt;IF(Ayarlar!$C$5=1,7,6))),D427-C427+1))</f>
        <v/>
      </c>
      <c r="G427" s="16" t="str">
        <f aca="false">IF(A427="","",IF(OR(B427="",C427="",D427=""),"Eksik bilgi",IF(D427&lt;C427,"Bitiş başlangıçtan önce","OK")))</f>
        <v/>
      </c>
    </row>
    <row r="428" customFormat="false" ht="15" hidden="false" customHeight="false" outlineLevel="0" collapsed="false">
      <c r="A428" s="12"/>
      <c r="B428" s="13"/>
      <c r="C428" s="14"/>
      <c r="D428" s="14"/>
      <c r="E428" s="12"/>
      <c r="F428" s="15" t="str">
        <f aca="false">IF(OR(C428="",D428="",D428&lt;C428),"",IF(B428="Yıllık izin",D428-C428+1-INT((WEEKDAY(C428-1)+D428-C428)/7)-IF(Ayarlar!$C$5=1,0,INT((WEEKDAY(C428-7)+D428-C428)/7))-SUMPRODUCT((Ayarlar!$E$5:$E$24&gt;=C428)*(Ayarlar!$E$5:$E$24&lt;=D428)*(WEEKDAY(Ayarlar!$E$5:$E$24,2)&lt;IF(Ayarlar!$C$5=1,7,6))),D428-C428+1))</f>
        <v/>
      </c>
      <c r="G428" s="16" t="str">
        <f aca="false">IF(A428="","",IF(OR(B428="",C428="",D428=""),"Eksik bilgi",IF(D428&lt;C428,"Bitiş başlangıçtan önce","OK")))</f>
        <v/>
      </c>
    </row>
    <row r="429" customFormat="false" ht="15" hidden="false" customHeight="false" outlineLevel="0" collapsed="false">
      <c r="A429" s="12"/>
      <c r="B429" s="13"/>
      <c r="C429" s="14"/>
      <c r="D429" s="14"/>
      <c r="E429" s="12"/>
      <c r="F429" s="15" t="str">
        <f aca="false">IF(OR(C429="",D429="",D429&lt;C429),"",IF(B429="Yıllık izin",D429-C429+1-INT((WEEKDAY(C429-1)+D429-C429)/7)-IF(Ayarlar!$C$5=1,0,INT((WEEKDAY(C429-7)+D429-C429)/7))-SUMPRODUCT((Ayarlar!$E$5:$E$24&gt;=C429)*(Ayarlar!$E$5:$E$24&lt;=D429)*(WEEKDAY(Ayarlar!$E$5:$E$24,2)&lt;IF(Ayarlar!$C$5=1,7,6))),D429-C429+1))</f>
        <v/>
      </c>
      <c r="G429" s="16" t="str">
        <f aca="false">IF(A429="","",IF(OR(B429="",C429="",D429=""),"Eksik bilgi",IF(D429&lt;C429,"Bitiş başlangıçtan önce","OK")))</f>
        <v/>
      </c>
    </row>
    <row r="430" customFormat="false" ht="15" hidden="false" customHeight="false" outlineLevel="0" collapsed="false">
      <c r="A430" s="12"/>
      <c r="B430" s="13"/>
      <c r="C430" s="14"/>
      <c r="D430" s="14"/>
      <c r="E430" s="12"/>
      <c r="F430" s="15" t="str">
        <f aca="false">IF(OR(C430="",D430="",D430&lt;C430),"",IF(B430="Yıllık izin",D430-C430+1-INT((WEEKDAY(C430-1)+D430-C430)/7)-IF(Ayarlar!$C$5=1,0,INT((WEEKDAY(C430-7)+D430-C430)/7))-SUMPRODUCT((Ayarlar!$E$5:$E$24&gt;=C430)*(Ayarlar!$E$5:$E$24&lt;=D430)*(WEEKDAY(Ayarlar!$E$5:$E$24,2)&lt;IF(Ayarlar!$C$5=1,7,6))),D430-C430+1))</f>
        <v/>
      </c>
      <c r="G430" s="16" t="str">
        <f aca="false">IF(A430="","",IF(OR(B430="",C430="",D430=""),"Eksik bilgi",IF(D430&lt;C430,"Bitiş başlangıçtan önce","OK")))</f>
        <v/>
      </c>
    </row>
    <row r="431" customFormat="false" ht="15" hidden="false" customHeight="false" outlineLevel="0" collapsed="false">
      <c r="A431" s="12"/>
      <c r="B431" s="13"/>
      <c r="C431" s="14"/>
      <c r="D431" s="14"/>
      <c r="E431" s="12"/>
      <c r="F431" s="15" t="str">
        <f aca="false">IF(OR(C431="",D431="",D431&lt;C431),"",IF(B431="Yıllık izin",D431-C431+1-INT((WEEKDAY(C431-1)+D431-C431)/7)-IF(Ayarlar!$C$5=1,0,INT((WEEKDAY(C431-7)+D431-C431)/7))-SUMPRODUCT((Ayarlar!$E$5:$E$24&gt;=C431)*(Ayarlar!$E$5:$E$24&lt;=D431)*(WEEKDAY(Ayarlar!$E$5:$E$24,2)&lt;IF(Ayarlar!$C$5=1,7,6))),D431-C431+1))</f>
        <v/>
      </c>
      <c r="G431" s="16" t="str">
        <f aca="false">IF(A431="","",IF(OR(B431="",C431="",D431=""),"Eksik bilgi",IF(D431&lt;C431,"Bitiş başlangıçtan önce","OK")))</f>
        <v/>
      </c>
    </row>
    <row r="432" customFormat="false" ht="15" hidden="false" customHeight="false" outlineLevel="0" collapsed="false">
      <c r="A432" s="12"/>
      <c r="B432" s="13"/>
      <c r="C432" s="14"/>
      <c r="D432" s="14"/>
      <c r="E432" s="12"/>
      <c r="F432" s="15" t="str">
        <f aca="false">IF(OR(C432="",D432="",D432&lt;C432),"",IF(B432="Yıllık izin",D432-C432+1-INT((WEEKDAY(C432-1)+D432-C432)/7)-IF(Ayarlar!$C$5=1,0,INT((WEEKDAY(C432-7)+D432-C432)/7))-SUMPRODUCT((Ayarlar!$E$5:$E$24&gt;=C432)*(Ayarlar!$E$5:$E$24&lt;=D432)*(WEEKDAY(Ayarlar!$E$5:$E$24,2)&lt;IF(Ayarlar!$C$5=1,7,6))),D432-C432+1))</f>
        <v/>
      </c>
      <c r="G432" s="16" t="str">
        <f aca="false">IF(A432="","",IF(OR(B432="",C432="",D432=""),"Eksik bilgi",IF(D432&lt;C432,"Bitiş başlangıçtan önce","OK")))</f>
        <v/>
      </c>
    </row>
    <row r="433" customFormat="false" ht="15" hidden="false" customHeight="false" outlineLevel="0" collapsed="false">
      <c r="A433" s="12"/>
      <c r="B433" s="13"/>
      <c r="C433" s="14"/>
      <c r="D433" s="14"/>
      <c r="E433" s="12"/>
      <c r="F433" s="15" t="str">
        <f aca="false">IF(OR(C433="",D433="",D433&lt;C433),"",IF(B433="Yıllık izin",D433-C433+1-INT((WEEKDAY(C433-1)+D433-C433)/7)-IF(Ayarlar!$C$5=1,0,INT((WEEKDAY(C433-7)+D433-C433)/7))-SUMPRODUCT((Ayarlar!$E$5:$E$24&gt;=C433)*(Ayarlar!$E$5:$E$24&lt;=D433)*(WEEKDAY(Ayarlar!$E$5:$E$24,2)&lt;IF(Ayarlar!$C$5=1,7,6))),D433-C433+1))</f>
        <v/>
      </c>
      <c r="G433" s="16" t="str">
        <f aca="false">IF(A433="","",IF(OR(B433="",C433="",D433=""),"Eksik bilgi",IF(D433&lt;C433,"Bitiş başlangıçtan önce","OK")))</f>
        <v/>
      </c>
    </row>
    <row r="434" customFormat="false" ht="15" hidden="false" customHeight="false" outlineLevel="0" collapsed="false">
      <c r="A434" s="12"/>
      <c r="B434" s="13"/>
      <c r="C434" s="14"/>
      <c r="D434" s="14"/>
      <c r="E434" s="12"/>
      <c r="F434" s="15" t="str">
        <f aca="false">IF(OR(C434="",D434="",D434&lt;C434),"",IF(B434="Yıllık izin",D434-C434+1-INT((WEEKDAY(C434-1)+D434-C434)/7)-IF(Ayarlar!$C$5=1,0,INT((WEEKDAY(C434-7)+D434-C434)/7))-SUMPRODUCT((Ayarlar!$E$5:$E$24&gt;=C434)*(Ayarlar!$E$5:$E$24&lt;=D434)*(WEEKDAY(Ayarlar!$E$5:$E$24,2)&lt;IF(Ayarlar!$C$5=1,7,6))),D434-C434+1))</f>
        <v/>
      </c>
      <c r="G434" s="16" t="str">
        <f aca="false">IF(A434="","",IF(OR(B434="",C434="",D434=""),"Eksik bilgi",IF(D434&lt;C434,"Bitiş başlangıçtan önce","OK")))</f>
        <v/>
      </c>
    </row>
    <row r="435" customFormat="false" ht="15" hidden="false" customHeight="false" outlineLevel="0" collapsed="false">
      <c r="A435" s="12"/>
      <c r="B435" s="13"/>
      <c r="C435" s="14"/>
      <c r="D435" s="14"/>
      <c r="E435" s="12"/>
      <c r="F435" s="15" t="str">
        <f aca="false">IF(OR(C435="",D435="",D435&lt;C435),"",IF(B435="Yıllık izin",D435-C435+1-INT((WEEKDAY(C435-1)+D435-C435)/7)-IF(Ayarlar!$C$5=1,0,INT((WEEKDAY(C435-7)+D435-C435)/7))-SUMPRODUCT((Ayarlar!$E$5:$E$24&gt;=C435)*(Ayarlar!$E$5:$E$24&lt;=D435)*(WEEKDAY(Ayarlar!$E$5:$E$24,2)&lt;IF(Ayarlar!$C$5=1,7,6))),D435-C435+1))</f>
        <v/>
      </c>
      <c r="G435" s="16" t="str">
        <f aca="false">IF(A435="","",IF(OR(B435="",C435="",D435=""),"Eksik bilgi",IF(D435&lt;C435,"Bitiş başlangıçtan önce","OK")))</f>
        <v/>
      </c>
    </row>
    <row r="436" customFormat="false" ht="15" hidden="false" customHeight="false" outlineLevel="0" collapsed="false">
      <c r="A436" s="12"/>
      <c r="B436" s="13"/>
      <c r="C436" s="14"/>
      <c r="D436" s="14"/>
      <c r="E436" s="12"/>
      <c r="F436" s="15" t="str">
        <f aca="false">IF(OR(C436="",D436="",D436&lt;C436),"",IF(B436="Yıllık izin",D436-C436+1-INT((WEEKDAY(C436-1)+D436-C436)/7)-IF(Ayarlar!$C$5=1,0,INT((WEEKDAY(C436-7)+D436-C436)/7))-SUMPRODUCT((Ayarlar!$E$5:$E$24&gt;=C436)*(Ayarlar!$E$5:$E$24&lt;=D436)*(WEEKDAY(Ayarlar!$E$5:$E$24,2)&lt;IF(Ayarlar!$C$5=1,7,6))),D436-C436+1))</f>
        <v/>
      </c>
      <c r="G436" s="16" t="str">
        <f aca="false">IF(A436="","",IF(OR(B436="",C436="",D436=""),"Eksik bilgi",IF(D436&lt;C436,"Bitiş başlangıçtan önce","OK")))</f>
        <v/>
      </c>
    </row>
    <row r="437" customFormat="false" ht="15" hidden="false" customHeight="false" outlineLevel="0" collapsed="false">
      <c r="A437" s="12"/>
      <c r="B437" s="13"/>
      <c r="C437" s="14"/>
      <c r="D437" s="14"/>
      <c r="E437" s="12"/>
      <c r="F437" s="15" t="str">
        <f aca="false">IF(OR(C437="",D437="",D437&lt;C437),"",IF(B437="Yıllık izin",D437-C437+1-INT((WEEKDAY(C437-1)+D437-C437)/7)-IF(Ayarlar!$C$5=1,0,INT((WEEKDAY(C437-7)+D437-C437)/7))-SUMPRODUCT((Ayarlar!$E$5:$E$24&gt;=C437)*(Ayarlar!$E$5:$E$24&lt;=D437)*(WEEKDAY(Ayarlar!$E$5:$E$24,2)&lt;IF(Ayarlar!$C$5=1,7,6))),D437-C437+1))</f>
        <v/>
      </c>
      <c r="G437" s="16" t="str">
        <f aca="false">IF(A437="","",IF(OR(B437="",C437="",D437=""),"Eksik bilgi",IF(D437&lt;C437,"Bitiş başlangıçtan önce","OK")))</f>
        <v/>
      </c>
    </row>
    <row r="438" customFormat="false" ht="15" hidden="false" customHeight="false" outlineLevel="0" collapsed="false">
      <c r="A438" s="12"/>
      <c r="B438" s="13"/>
      <c r="C438" s="14"/>
      <c r="D438" s="14"/>
      <c r="E438" s="12"/>
      <c r="F438" s="15" t="str">
        <f aca="false">IF(OR(C438="",D438="",D438&lt;C438),"",IF(B438="Yıllık izin",D438-C438+1-INT((WEEKDAY(C438-1)+D438-C438)/7)-IF(Ayarlar!$C$5=1,0,INT((WEEKDAY(C438-7)+D438-C438)/7))-SUMPRODUCT((Ayarlar!$E$5:$E$24&gt;=C438)*(Ayarlar!$E$5:$E$24&lt;=D438)*(WEEKDAY(Ayarlar!$E$5:$E$24,2)&lt;IF(Ayarlar!$C$5=1,7,6))),D438-C438+1))</f>
        <v/>
      </c>
      <c r="G438" s="16" t="str">
        <f aca="false">IF(A438="","",IF(OR(B438="",C438="",D438=""),"Eksik bilgi",IF(D438&lt;C438,"Bitiş başlangıçtan önce","OK")))</f>
        <v/>
      </c>
    </row>
    <row r="439" customFormat="false" ht="15" hidden="false" customHeight="false" outlineLevel="0" collapsed="false">
      <c r="A439" s="12"/>
      <c r="B439" s="13"/>
      <c r="C439" s="14"/>
      <c r="D439" s="14"/>
      <c r="E439" s="12"/>
      <c r="F439" s="15" t="str">
        <f aca="false">IF(OR(C439="",D439="",D439&lt;C439),"",IF(B439="Yıllık izin",D439-C439+1-INT((WEEKDAY(C439-1)+D439-C439)/7)-IF(Ayarlar!$C$5=1,0,INT((WEEKDAY(C439-7)+D439-C439)/7))-SUMPRODUCT((Ayarlar!$E$5:$E$24&gt;=C439)*(Ayarlar!$E$5:$E$24&lt;=D439)*(WEEKDAY(Ayarlar!$E$5:$E$24,2)&lt;IF(Ayarlar!$C$5=1,7,6))),D439-C439+1))</f>
        <v/>
      </c>
      <c r="G439" s="16" t="str">
        <f aca="false">IF(A439="","",IF(OR(B439="",C439="",D439=""),"Eksik bilgi",IF(D439&lt;C439,"Bitiş başlangıçtan önce","OK")))</f>
        <v/>
      </c>
    </row>
    <row r="440" customFormat="false" ht="15" hidden="false" customHeight="false" outlineLevel="0" collapsed="false">
      <c r="A440" s="12"/>
      <c r="B440" s="13"/>
      <c r="C440" s="14"/>
      <c r="D440" s="14"/>
      <c r="E440" s="12"/>
      <c r="F440" s="15" t="str">
        <f aca="false">IF(OR(C440="",D440="",D440&lt;C440),"",IF(B440="Yıllık izin",D440-C440+1-INT((WEEKDAY(C440-1)+D440-C440)/7)-IF(Ayarlar!$C$5=1,0,INT((WEEKDAY(C440-7)+D440-C440)/7))-SUMPRODUCT((Ayarlar!$E$5:$E$24&gt;=C440)*(Ayarlar!$E$5:$E$24&lt;=D440)*(WEEKDAY(Ayarlar!$E$5:$E$24,2)&lt;IF(Ayarlar!$C$5=1,7,6))),D440-C440+1))</f>
        <v/>
      </c>
      <c r="G440" s="16" t="str">
        <f aca="false">IF(A440="","",IF(OR(B440="",C440="",D440=""),"Eksik bilgi",IF(D440&lt;C440,"Bitiş başlangıçtan önce","OK")))</f>
        <v/>
      </c>
    </row>
    <row r="441" customFormat="false" ht="15" hidden="false" customHeight="false" outlineLevel="0" collapsed="false">
      <c r="A441" s="12"/>
      <c r="B441" s="13"/>
      <c r="C441" s="14"/>
      <c r="D441" s="14"/>
      <c r="E441" s="12"/>
      <c r="F441" s="15" t="str">
        <f aca="false">IF(OR(C441="",D441="",D441&lt;C441),"",IF(B441="Yıllık izin",D441-C441+1-INT((WEEKDAY(C441-1)+D441-C441)/7)-IF(Ayarlar!$C$5=1,0,INT((WEEKDAY(C441-7)+D441-C441)/7))-SUMPRODUCT((Ayarlar!$E$5:$E$24&gt;=C441)*(Ayarlar!$E$5:$E$24&lt;=D441)*(WEEKDAY(Ayarlar!$E$5:$E$24,2)&lt;IF(Ayarlar!$C$5=1,7,6))),D441-C441+1))</f>
        <v/>
      </c>
      <c r="G441" s="16" t="str">
        <f aca="false">IF(A441="","",IF(OR(B441="",C441="",D441=""),"Eksik bilgi",IF(D441&lt;C441,"Bitiş başlangıçtan önce","OK")))</f>
        <v/>
      </c>
    </row>
    <row r="442" customFormat="false" ht="15" hidden="false" customHeight="false" outlineLevel="0" collapsed="false">
      <c r="A442" s="12"/>
      <c r="B442" s="13"/>
      <c r="C442" s="14"/>
      <c r="D442" s="14"/>
      <c r="E442" s="12"/>
      <c r="F442" s="15" t="str">
        <f aca="false">IF(OR(C442="",D442="",D442&lt;C442),"",IF(B442="Yıllık izin",D442-C442+1-INT((WEEKDAY(C442-1)+D442-C442)/7)-IF(Ayarlar!$C$5=1,0,INT((WEEKDAY(C442-7)+D442-C442)/7))-SUMPRODUCT((Ayarlar!$E$5:$E$24&gt;=C442)*(Ayarlar!$E$5:$E$24&lt;=D442)*(WEEKDAY(Ayarlar!$E$5:$E$24,2)&lt;IF(Ayarlar!$C$5=1,7,6))),D442-C442+1))</f>
        <v/>
      </c>
      <c r="G442" s="16" t="str">
        <f aca="false">IF(A442="","",IF(OR(B442="",C442="",D442=""),"Eksik bilgi",IF(D442&lt;C442,"Bitiş başlangıçtan önce","OK")))</f>
        <v/>
      </c>
    </row>
    <row r="443" customFormat="false" ht="15" hidden="false" customHeight="false" outlineLevel="0" collapsed="false">
      <c r="A443" s="12"/>
      <c r="B443" s="13"/>
      <c r="C443" s="14"/>
      <c r="D443" s="14"/>
      <c r="E443" s="12"/>
      <c r="F443" s="15" t="str">
        <f aca="false">IF(OR(C443="",D443="",D443&lt;C443),"",IF(B443="Yıllık izin",D443-C443+1-INT((WEEKDAY(C443-1)+D443-C443)/7)-IF(Ayarlar!$C$5=1,0,INT((WEEKDAY(C443-7)+D443-C443)/7))-SUMPRODUCT((Ayarlar!$E$5:$E$24&gt;=C443)*(Ayarlar!$E$5:$E$24&lt;=D443)*(WEEKDAY(Ayarlar!$E$5:$E$24,2)&lt;IF(Ayarlar!$C$5=1,7,6))),D443-C443+1))</f>
        <v/>
      </c>
      <c r="G443" s="16" t="str">
        <f aca="false">IF(A443="","",IF(OR(B443="",C443="",D443=""),"Eksik bilgi",IF(D443&lt;C443,"Bitiş başlangıçtan önce","OK")))</f>
        <v/>
      </c>
    </row>
    <row r="444" customFormat="false" ht="15" hidden="false" customHeight="false" outlineLevel="0" collapsed="false">
      <c r="A444" s="12"/>
      <c r="B444" s="13"/>
      <c r="C444" s="14"/>
      <c r="D444" s="14"/>
      <c r="E444" s="12"/>
      <c r="F444" s="15" t="str">
        <f aca="false">IF(OR(C444="",D444="",D444&lt;C444),"",IF(B444="Yıllık izin",D444-C444+1-INT((WEEKDAY(C444-1)+D444-C444)/7)-IF(Ayarlar!$C$5=1,0,INT((WEEKDAY(C444-7)+D444-C444)/7))-SUMPRODUCT((Ayarlar!$E$5:$E$24&gt;=C444)*(Ayarlar!$E$5:$E$24&lt;=D444)*(WEEKDAY(Ayarlar!$E$5:$E$24,2)&lt;IF(Ayarlar!$C$5=1,7,6))),D444-C444+1))</f>
        <v/>
      </c>
      <c r="G444" s="16" t="str">
        <f aca="false">IF(A444="","",IF(OR(B444="",C444="",D444=""),"Eksik bilgi",IF(D444&lt;C444,"Bitiş başlangıçtan önce","OK")))</f>
        <v/>
      </c>
    </row>
    <row r="445" customFormat="false" ht="15" hidden="false" customHeight="false" outlineLevel="0" collapsed="false">
      <c r="A445" s="12"/>
      <c r="B445" s="13"/>
      <c r="C445" s="14"/>
      <c r="D445" s="14"/>
      <c r="E445" s="12"/>
      <c r="F445" s="15" t="str">
        <f aca="false">IF(OR(C445="",D445="",D445&lt;C445),"",IF(B445="Yıllık izin",D445-C445+1-INT((WEEKDAY(C445-1)+D445-C445)/7)-IF(Ayarlar!$C$5=1,0,INT((WEEKDAY(C445-7)+D445-C445)/7))-SUMPRODUCT((Ayarlar!$E$5:$E$24&gt;=C445)*(Ayarlar!$E$5:$E$24&lt;=D445)*(WEEKDAY(Ayarlar!$E$5:$E$24,2)&lt;IF(Ayarlar!$C$5=1,7,6))),D445-C445+1))</f>
        <v/>
      </c>
      <c r="G445" s="16" t="str">
        <f aca="false">IF(A445="","",IF(OR(B445="",C445="",D445=""),"Eksik bilgi",IF(D445&lt;C445,"Bitiş başlangıçtan önce","OK")))</f>
        <v/>
      </c>
    </row>
    <row r="446" customFormat="false" ht="15" hidden="false" customHeight="false" outlineLevel="0" collapsed="false">
      <c r="A446" s="12"/>
      <c r="B446" s="13"/>
      <c r="C446" s="14"/>
      <c r="D446" s="14"/>
      <c r="E446" s="12"/>
      <c r="F446" s="15" t="str">
        <f aca="false">IF(OR(C446="",D446="",D446&lt;C446),"",IF(B446="Yıllık izin",D446-C446+1-INT((WEEKDAY(C446-1)+D446-C446)/7)-IF(Ayarlar!$C$5=1,0,INT((WEEKDAY(C446-7)+D446-C446)/7))-SUMPRODUCT((Ayarlar!$E$5:$E$24&gt;=C446)*(Ayarlar!$E$5:$E$24&lt;=D446)*(WEEKDAY(Ayarlar!$E$5:$E$24,2)&lt;IF(Ayarlar!$C$5=1,7,6))),D446-C446+1))</f>
        <v/>
      </c>
      <c r="G446" s="16" t="str">
        <f aca="false">IF(A446="","",IF(OR(B446="",C446="",D446=""),"Eksik bilgi",IF(D446&lt;C446,"Bitiş başlangıçtan önce","OK")))</f>
        <v/>
      </c>
    </row>
    <row r="447" customFormat="false" ht="15" hidden="false" customHeight="false" outlineLevel="0" collapsed="false">
      <c r="A447" s="12"/>
      <c r="B447" s="13"/>
      <c r="C447" s="14"/>
      <c r="D447" s="14"/>
      <c r="E447" s="12"/>
      <c r="F447" s="15" t="str">
        <f aca="false">IF(OR(C447="",D447="",D447&lt;C447),"",IF(B447="Yıllık izin",D447-C447+1-INT((WEEKDAY(C447-1)+D447-C447)/7)-IF(Ayarlar!$C$5=1,0,INT((WEEKDAY(C447-7)+D447-C447)/7))-SUMPRODUCT((Ayarlar!$E$5:$E$24&gt;=C447)*(Ayarlar!$E$5:$E$24&lt;=D447)*(WEEKDAY(Ayarlar!$E$5:$E$24,2)&lt;IF(Ayarlar!$C$5=1,7,6))),D447-C447+1))</f>
        <v/>
      </c>
      <c r="G447" s="16" t="str">
        <f aca="false">IF(A447="","",IF(OR(B447="",C447="",D447=""),"Eksik bilgi",IF(D447&lt;C447,"Bitiş başlangıçtan önce","OK")))</f>
        <v/>
      </c>
    </row>
    <row r="448" customFormat="false" ht="15" hidden="false" customHeight="false" outlineLevel="0" collapsed="false">
      <c r="A448" s="12"/>
      <c r="B448" s="13"/>
      <c r="C448" s="14"/>
      <c r="D448" s="14"/>
      <c r="E448" s="12"/>
      <c r="F448" s="15" t="str">
        <f aca="false">IF(OR(C448="",D448="",D448&lt;C448),"",IF(B448="Yıllık izin",D448-C448+1-INT((WEEKDAY(C448-1)+D448-C448)/7)-IF(Ayarlar!$C$5=1,0,INT((WEEKDAY(C448-7)+D448-C448)/7))-SUMPRODUCT((Ayarlar!$E$5:$E$24&gt;=C448)*(Ayarlar!$E$5:$E$24&lt;=D448)*(WEEKDAY(Ayarlar!$E$5:$E$24,2)&lt;IF(Ayarlar!$C$5=1,7,6))),D448-C448+1))</f>
        <v/>
      </c>
      <c r="G448" s="16" t="str">
        <f aca="false">IF(A448="","",IF(OR(B448="",C448="",D448=""),"Eksik bilgi",IF(D448&lt;C448,"Bitiş başlangıçtan önce","OK")))</f>
        <v/>
      </c>
    </row>
    <row r="449" customFormat="false" ht="15" hidden="false" customHeight="false" outlineLevel="0" collapsed="false">
      <c r="A449" s="12"/>
      <c r="B449" s="13"/>
      <c r="C449" s="14"/>
      <c r="D449" s="14"/>
      <c r="E449" s="12"/>
      <c r="F449" s="15" t="str">
        <f aca="false">IF(OR(C449="",D449="",D449&lt;C449),"",IF(B449="Yıllık izin",D449-C449+1-INT((WEEKDAY(C449-1)+D449-C449)/7)-IF(Ayarlar!$C$5=1,0,INT((WEEKDAY(C449-7)+D449-C449)/7))-SUMPRODUCT((Ayarlar!$E$5:$E$24&gt;=C449)*(Ayarlar!$E$5:$E$24&lt;=D449)*(WEEKDAY(Ayarlar!$E$5:$E$24,2)&lt;IF(Ayarlar!$C$5=1,7,6))),D449-C449+1))</f>
        <v/>
      </c>
      <c r="G449" s="16" t="str">
        <f aca="false">IF(A449="","",IF(OR(B449="",C449="",D449=""),"Eksik bilgi",IF(D449&lt;C449,"Bitiş başlangıçtan önce","OK")))</f>
        <v/>
      </c>
    </row>
    <row r="450" customFormat="false" ht="15" hidden="false" customHeight="false" outlineLevel="0" collapsed="false">
      <c r="A450" s="12"/>
      <c r="B450" s="13"/>
      <c r="C450" s="14"/>
      <c r="D450" s="14"/>
      <c r="E450" s="12"/>
      <c r="F450" s="15" t="str">
        <f aca="false">IF(OR(C450="",D450="",D450&lt;C450),"",IF(B450="Yıllık izin",D450-C450+1-INT((WEEKDAY(C450-1)+D450-C450)/7)-IF(Ayarlar!$C$5=1,0,INT((WEEKDAY(C450-7)+D450-C450)/7))-SUMPRODUCT((Ayarlar!$E$5:$E$24&gt;=C450)*(Ayarlar!$E$5:$E$24&lt;=D450)*(WEEKDAY(Ayarlar!$E$5:$E$24,2)&lt;IF(Ayarlar!$C$5=1,7,6))),D450-C450+1))</f>
        <v/>
      </c>
      <c r="G450" s="16" t="str">
        <f aca="false">IF(A450="","",IF(OR(B450="",C450="",D450=""),"Eksik bilgi",IF(D450&lt;C450,"Bitiş başlangıçtan önce","OK")))</f>
        <v/>
      </c>
    </row>
    <row r="451" customFormat="false" ht="15" hidden="false" customHeight="false" outlineLevel="0" collapsed="false">
      <c r="A451" s="12"/>
      <c r="B451" s="13"/>
      <c r="C451" s="14"/>
      <c r="D451" s="14"/>
      <c r="E451" s="12"/>
      <c r="F451" s="15" t="str">
        <f aca="false">IF(OR(C451="",D451="",D451&lt;C451),"",IF(B451="Yıllık izin",D451-C451+1-INT((WEEKDAY(C451-1)+D451-C451)/7)-IF(Ayarlar!$C$5=1,0,INT((WEEKDAY(C451-7)+D451-C451)/7))-SUMPRODUCT((Ayarlar!$E$5:$E$24&gt;=C451)*(Ayarlar!$E$5:$E$24&lt;=D451)*(WEEKDAY(Ayarlar!$E$5:$E$24,2)&lt;IF(Ayarlar!$C$5=1,7,6))),D451-C451+1))</f>
        <v/>
      </c>
      <c r="G451" s="16" t="str">
        <f aca="false">IF(A451="","",IF(OR(B451="",C451="",D451=""),"Eksik bilgi",IF(D451&lt;C451,"Bitiş başlangıçtan önce","OK")))</f>
        <v/>
      </c>
    </row>
    <row r="452" customFormat="false" ht="15" hidden="false" customHeight="false" outlineLevel="0" collapsed="false">
      <c r="A452" s="12"/>
      <c r="B452" s="13"/>
      <c r="C452" s="14"/>
      <c r="D452" s="14"/>
      <c r="E452" s="12"/>
      <c r="F452" s="15" t="str">
        <f aca="false">IF(OR(C452="",D452="",D452&lt;C452),"",IF(B452="Yıllık izin",D452-C452+1-INT((WEEKDAY(C452-1)+D452-C452)/7)-IF(Ayarlar!$C$5=1,0,INT((WEEKDAY(C452-7)+D452-C452)/7))-SUMPRODUCT((Ayarlar!$E$5:$E$24&gt;=C452)*(Ayarlar!$E$5:$E$24&lt;=D452)*(WEEKDAY(Ayarlar!$E$5:$E$24,2)&lt;IF(Ayarlar!$C$5=1,7,6))),D452-C452+1))</f>
        <v/>
      </c>
      <c r="G452" s="16" t="str">
        <f aca="false">IF(A452="","",IF(OR(B452="",C452="",D452=""),"Eksik bilgi",IF(D452&lt;C452,"Bitiş başlangıçtan önce","OK")))</f>
        <v/>
      </c>
    </row>
    <row r="453" customFormat="false" ht="15" hidden="false" customHeight="false" outlineLevel="0" collapsed="false">
      <c r="A453" s="12"/>
      <c r="B453" s="13"/>
      <c r="C453" s="14"/>
      <c r="D453" s="14"/>
      <c r="E453" s="12"/>
      <c r="F453" s="15" t="str">
        <f aca="false">IF(OR(C453="",D453="",D453&lt;C453),"",IF(B453="Yıllık izin",D453-C453+1-INT((WEEKDAY(C453-1)+D453-C453)/7)-IF(Ayarlar!$C$5=1,0,INT((WEEKDAY(C453-7)+D453-C453)/7))-SUMPRODUCT((Ayarlar!$E$5:$E$24&gt;=C453)*(Ayarlar!$E$5:$E$24&lt;=D453)*(WEEKDAY(Ayarlar!$E$5:$E$24,2)&lt;IF(Ayarlar!$C$5=1,7,6))),D453-C453+1))</f>
        <v/>
      </c>
      <c r="G453" s="16" t="str">
        <f aca="false">IF(A453="","",IF(OR(B453="",C453="",D453=""),"Eksik bilgi",IF(D453&lt;C453,"Bitiş başlangıçtan önce","OK")))</f>
        <v/>
      </c>
    </row>
    <row r="454" customFormat="false" ht="15" hidden="false" customHeight="false" outlineLevel="0" collapsed="false">
      <c r="A454" s="12"/>
      <c r="B454" s="13"/>
      <c r="C454" s="14"/>
      <c r="D454" s="14"/>
      <c r="E454" s="12"/>
      <c r="F454" s="15" t="str">
        <f aca="false">IF(OR(C454="",D454="",D454&lt;C454),"",IF(B454="Yıllık izin",D454-C454+1-INT((WEEKDAY(C454-1)+D454-C454)/7)-IF(Ayarlar!$C$5=1,0,INT((WEEKDAY(C454-7)+D454-C454)/7))-SUMPRODUCT((Ayarlar!$E$5:$E$24&gt;=C454)*(Ayarlar!$E$5:$E$24&lt;=D454)*(WEEKDAY(Ayarlar!$E$5:$E$24,2)&lt;IF(Ayarlar!$C$5=1,7,6))),D454-C454+1))</f>
        <v/>
      </c>
      <c r="G454" s="16" t="str">
        <f aca="false">IF(A454="","",IF(OR(B454="",C454="",D454=""),"Eksik bilgi",IF(D454&lt;C454,"Bitiş başlangıçtan önce","OK")))</f>
        <v/>
      </c>
    </row>
    <row r="455" customFormat="false" ht="15" hidden="false" customHeight="false" outlineLevel="0" collapsed="false">
      <c r="A455" s="12"/>
      <c r="B455" s="13"/>
      <c r="C455" s="14"/>
      <c r="D455" s="14"/>
      <c r="E455" s="12"/>
      <c r="F455" s="15" t="str">
        <f aca="false">IF(OR(C455="",D455="",D455&lt;C455),"",IF(B455="Yıllık izin",D455-C455+1-INT((WEEKDAY(C455-1)+D455-C455)/7)-IF(Ayarlar!$C$5=1,0,INT((WEEKDAY(C455-7)+D455-C455)/7))-SUMPRODUCT((Ayarlar!$E$5:$E$24&gt;=C455)*(Ayarlar!$E$5:$E$24&lt;=D455)*(WEEKDAY(Ayarlar!$E$5:$E$24,2)&lt;IF(Ayarlar!$C$5=1,7,6))),D455-C455+1))</f>
        <v/>
      </c>
      <c r="G455" s="16" t="str">
        <f aca="false">IF(A455="","",IF(OR(B455="",C455="",D455=""),"Eksik bilgi",IF(D455&lt;C455,"Bitiş başlangıçtan önce","OK")))</f>
        <v/>
      </c>
    </row>
    <row r="456" customFormat="false" ht="15" hidden="false" customHeight="false" outlineLevel="0" collapsed="false">
      <c r="A456" s="12"/>
      <c r="B456" s="13"/>
      <c r="C456" s="14"/>
      <c r="D456" s="14"/>
      <c r="E456" s="12"/>
      <c r="F456" s="15" t="str">
        <f aca="false">IF(OR(C456="",D456="",D456&lt;C456),"",IF(B456="Yıllık izin",D456-C456+1-INT((WEEKDAY(C456-1)+D456-C456)/7)-IF(Ayarlar!$C$5=1,0,INT((WEEKDAY(C456-7)+D456-C456)/7))-SUMPRODUCT((Ayarlar!$E$5:$E$24&gt;=C456)*(Ayarlar!$E$5:$E$24&lt;=D456)*(WEEKDAY(Ayarlar!$E$5:$E$24,2)&lt;IF(Ayarlar!$C$5=1,7,6))),D456-C456+1))</f>
        <v/>
      </c>
      <c r="G456" s="16" t="str">
        <f aca="false">IF(A456="","",IF(OR(B456="",C456="",D456=""),"Eksik bilgi",IF(D456&lt;C456,"Bitiş başlangıçtan önce","OK")))</f>
        <v/>
      </c>
    </row>
    <row r="457" customFormat="false" ht="15" hidden="false" customHeight="false" outlineLevel="0" collapsed="false">
      <c r="A457" s="12"/>
      <c r="B457" s="13"/>
      <c r="C457" s="14"/>
      <c r="D457" s="14"/>
      <c r="E457" s="12"/>
      <c r="F457" s="15" t="str">
        <f aca="false">IF(OR(C457="",D457="",D457&lt;C457),"",IF(B457="Yıllık izin",D457-C457+1-INT((WEEKDAY(C457-1)+D457-C457)/7)-IF(Ayarlar!$C$5=1,0,INT((WEEKDAY(C457-7)+D457-C457)/7))-SUMPRODUCT((Ayarlar!$E$5:$E$24&gt;=C457)*(Ayarlar!$E$5:$E$24&lt;=D457)*(WEEKDAY(Ayarlar!$E$5:$E$24,2)&lt;IF(Ayarlar!$C$5=1,7,6))),D457-C457+1))</f>
        <v/>
      </c>
      <c r="G457" s="16" t="str">
        <f aca="false">IF(A457="","",IF(OR(B457="",C457="",D457=""),"Eksik bilgi",IF(D457&lt;C457,"Bitiş başlangıçtan önce","OK")))</f>
        <v/>
      </c>
    </row>
    <row r="458" customFormat="false" ht="15" hidden="false" customHeight="false" outlineLevel="0" collapsed="false">
      <c r="A458" s="12"/>
      <c r="B458" s="13"/>
      <c r="C458" s="14"/>
      <c r="D458" s="14"/>
      <c r="E458" s="12"/>
      <c r="F458" s="15" t="str">
        <f aca="false">IF(OR(C458="",D458="",D458&lt;C458),"",IF(B458="Yıllık izin",D458-C458+1-INT((WEEKDAY(C458-1)+D458-C458)/7)-IF(Ayarlar!$C$5=1,0,INT((WEEKDAY(C458-7)+D458-C458)/7))-SUMPRODUCT((Ayarlar!$E$5:$E$24&gt;=C458)*(Ayarlar!$E$5:$E$24&lt;=D458)*(WEEKDAY(Ayarlar!$E$5:$E$24,2)&lt;IF(Ayarlar!$C$5=1,7,6))),D458-C458+1))</f>
        <v/>
      </c>
      <c r="G458" s="16" t="str">
        <f aca="false">IF(A458="","",IF(OR(B458="",C458="",D458=""),"Eksik bilgi",IF(D458&lt;C458,"Bitiş başlangıçtan önce","OK")))</f>
        <v/>
      </c>
    </row>
    <row r="459" customFormat="false" ht="15" hidden="false" customHeight="false" outlineLevel="0" collapsed="false">
      <c r="A459" s="12"/>
      <c r="B459" s="13"/>
      <c r="C459" s="14"/>
      <c r="D459" s="14"/>
      <c r="E459" s="12"/>
      <c r="F459" s="15" t="str">
        <f aca="false">IF(OR(C459="",D459="",D459&lt;C459),"",IF(B459="Yıllık izin",D459-C459+1-INT((WEEKDAY(C459-1)+D459-C459)/7)-IF(Ayarlar!$C$5=1,0,INT((WEEKDAY(C459-7)+D459-C459)/7))-SUMPRODUCT((Ayarlar!$E$5:$E$24&gt;=C459)*(Ayarlar!$E$5:$E$24&lt;=D459)*(WEEKDAY(Ayarlar!$E$5:$E$24,2)&lt;IF(Ayarlar!$C$5=1,7,6))),D459-C459+1))</f>
        <v/>
      </c>
      <c r="G459" s="16" t="str">
        <f aca="false">IF(A459="","",IF(OR(B459="",C459="",D459=""),"Eksik bilgi",IF(D459&lt;C459,"Bitiş başlangıçtan önce","OK")))</f>
        <v/>
      </c>
    </row>
    <row r="460" customFormat="false" ht="15" hidden="false" customHeight="false" outlineLevel="0" collapsed="false">
      <c r="A460" s="12"/>
      <c r="B460" s="13"/>
      <c r="C460" s="14"/>
      <c r="D460" s="14"/>
      <c r="E460" s="12"/>
      <c r="F460" s="15" t="str">
        <f aca="false">IF(OR(C460="",D460="",D460&lt;C460),"",IF(B460="Yıllık izin",D460-C460+1-INT((WEEKDAY(C460-1)+D460-C460)/7)-IF(Ayarlar!$C$5=1,0,INT((WEEKDAY(C460-7)+D460-C460)/7))-SUMPRODUCT((Ayarlar!$E$5:$E$24&gt;=C460)*(Ayarlar!$E$5:$E$24&lt;=D460)*(WEEKDAY(Ayarlar!$E$5:$E$24,2)&lt;IF(Ayarlar!$C$5=1,7,6))),D460-C460+1))</f>
        <v/>
      </c>
      <c r="G460" s="16" t="str">
        <f aca="false">IF(A460="","",IF(OR(B460="",C460="",D460=""),"Eksik bilgi",IF(D460&lt;C460,"Bitiş başlangıçtan önce","OK")))</f>
        <v/>
      </c>
    </row>
    <row r="461" customFormat="false" ht="15" hidden="false" customHeight="false" outlineLevel="0" collapsed="false">
      <c r="A461" s="12"/>
      <c r="B461" s="13"/>
      <c r="C461" s="14"/>
      <c r="D461" s="14"/>
      <c r="E461" s="12"/>
      <c r="F461" s="15" t="str">
        <f aca="false">IF(OR(C461="",D461="",D461&lt;C461),"",IF(B461="Yıllık izin",D461-C461+1-INT((WEEKDAY(C461-1)+D461-C461)/7)-IF(Ayarlar!$C$5=1,0,INT((WEEKDAY(C461-7)+D461-C461)/7))-SUMPRODUCT((Ayarlar!$E$5:$E$24&gt;=C461)*(Ayarlar!$E$5:$E$24&lt;=D461)*(WEEKDAY(Ayarlar!$E$5:$E$24,2)&lt;IF(Ayarlar!$C$5=1,7,6))),D461-C461+1))</f>
        <v/>
      </c>
      <c r="G461" s="16" t="str">
        <f aca="false">IF(A461="","",IF(OR(B461="",C461="",D461=""),"Eksik bilgi",IF(D461&lt;C461,"Bitiş başlangıçtan önce","OK")))</f>
        <v/>
      </c>
    </row>
    <row r="462" customFormat="false" ht="15" hidden="false" customHeight="false" outlineLevel="0" collapsed="false">
      <c r="A462" s="12"/>
      <c r="B462" s="13"/>
      <c r="C462" s="14"/>
      <c r="D462" s="14"/>
      <c r="E462" s="12"/>
      <c r="F462" s="15" t="str">
        <f aca="false">IF(OR(C462="",D462="",D462&lt;C462),"",IF(B462="Yıllık izin",D462-C462+1-INT((WEEKDAY(C462-1)+D462-C462)/7)-IF(Ayarlar!$C$5=1,0,INT((WEEKDAY(C462-7)+D462-C462)/7))-SUMPRODUCT((Ayarlar!$E$5:$E$24&gt;=C462)*(Ayarlar!$E$5:$E$24&lt;=D462)*(WEEKDAY(Ayarlar!$E$5:$E$24,2)&lt;IF(Ayarlar!$C$5=1,7,6))),D462-C462+1))</f>
        <v/>
      </c>
      <c r="G462" s="16" t="str">
        <f aca="false">IF(A462="","",IF(OR(B462="",C462="",D462=""),"Eksik bilgi",IF(D462&lt;C462,"Bitiş başlangıçtan önce","OK")))</f>
        <v/>
      </c>
    </row>
    <row r="463" customFormat="false" ht="15" hidden="false" customHeight="false" outlineLevel="0" collapsed="false">
      <c r="A463" s="12"/>
      <c r="B463" s="13"/>
      <c r="C463" s="14"/>
      <c r="D463" s="14"/>
      <c r="E463" s="12"/>
      <c r="F463" s="15" t="str">
        <f aca="false">IF(OR(C463="",D463="",D463&lt;C463),"",IF(B463="Yıllık izin",D463-C463+1-INT((WEEKDAY(C463-1)+D463-C463)/7)-IF(Ayarlar!$C$5=1,0,INT((WEEKDAY(C463-7)+D463-C463)/7))-SUMPRODUCT((Ayarlar!$E$5:$E$24&gt;=C463)*(Ayarlar!$E$5:$E$24&lt;=D463)*(WEEKDAY(Ayarlar!$E$5:$E$24,2)&lt;IF(Ayarlar!$C$5=1,7,6))),D463-C463+1))</f>
        <v/>
      </c>
      <c r="G463" s="16" t="str">
        <f aca="false">IF(A463="","",IF(OR(B463="",C463="",D463=""),"Eksik bilgi",IF(D463&lt;C463,"Bitiş başlangıçtan önce","OK")))</f>
        <v/>
      </c>
    </row>
    <row r="464" customFormat="false" ht="15" hidden="false" customHeight="false" outlineLevel="0" collapsed="false">
      <c r="A464" s="12"/>
      <c r="B464" s="13"/>
      <c r="C464" s="14"/>
      <c r="D464" s="14"/>
      <c r="E464" s="12"/>
      <c r="F464" s="15" t="str">
        <f aca="false">IF(OR(C464="",D464="",D464&lt;C464),"",IF(B464="Yıllık izin",D464-C464+1-INT((WEEKDAY(C464-1)+D464-C464)/7)-IF(Ayarlar!$C$5=1,0,INT((WEEKDAY(C464-7)+D464-C464)/7))-SUMPRODUCT((Ayarlar!$E$5:$E$24&gt;=C464)*(Ayarlar!$E$5:$E$24&lt;=D464)*(WEEKDAY(Ayarlar!$E$5:$E$24,2)&lt;IF(Ayarlar!$C$5=1,7,6))),D464-C464+1))</f>
        <v/>
      </c>
      <c r="G464" s="16" t="str">
        <f aca="false">IF(A464="","",IF(OR(B464="",C464="",D464=""),"Eksik bilgi",IF(D464&lt;C464,"Bitiş başlangıçtan önce","OK")))</f>
        <v/>
      </c>
    </row>
    <row r="465" customFormat="false" ht="15" hidden="false" customHeight="false" outlineLevel="0" collapsed="false">
      <c r="A465" s="12"/>
      <c r="B465" s="13"/>
      <c r="C465" s="14"/>
      <c r="D465" s="14"/>
      <c r="E465" s="12"/>
      <c r="F465" s="15" t="str">
        <f aca="false">IF(OR(C465="",D465="",D465&lt;C465),"",IF(B465="Yıllık izin",D465-C465+1-INT((WEEKDAY(C465-1)+D465-C465)/7)-IF(Ayarlar!$C$5=1,0,INT((WEEKDAY(C465-7)+D465-C465)/7))-SUMPRODUCT((Ayarlar!$E$5:$E$24&gt;=C465)*(Ayarlar!$E$5:$E$24&lt;=D465)*(WEEKDAY(Ayarlar!$E$5:$E$24,2)&lt;IF(Ayarlar!$C$5=1,7,6))),D465-C465+1))</f>
        <v/>
      </c>
      <c r="G465" s="16" t="str">
        <f aca="false">IF(A465="","",IF(OR(B465="",C465="",D465=""),"Eksik bilgi",IF(D465&lt;C465,"Bitiş başlangıçtan önce","OK")))</f>
        <v/>
      </c>
    </row>
    <row r="466" customFormat="false" ht="15" hidden="false" customHeight="false" outlineLevel="0" collapsed="false">
      <c r="A466" s="12"/>
      <c r="B466" s="13"/>
      <c r="C466" s="14"/>
      <c r="D466" s="14"/>
      <c r="E466" s="12"/>
      <c r="F466" s="15" t="str">
        <f aca="false">IF(OR(C466="",D466="",D466&lt;C466),"",IF(B466="Yıllık izin",D466-C466+1-INT((WEEKDAY(C466-1)+D466-C466)/7)-IF(Ayarlar!$C$5=1,0,INT((WEEKDAY(C466-7)+D466-C466)/7))-SUMPRODUCT((Ayarlar!$E$5:$E$24&gt;=C466)*(Ayarlar!$E$5:$E$24&lt;=D466)*(WEEKDAY(Ayarlar!$E$5:$E$24,2)&lt;IF(Ayarlar!$C$5=1,7,6))),D466-C466+1))</f>
        <v/>
      </c>
      <c r="G466" s="16" t="str">
        <f aca="false">IF(A466="","",IF(OR(B466="",C466="",D466=""),"Eksik bilgi",IF(D466&lt;C466,"Bitiş başlangıçtan önce","OK")))</f>
        <v/>
      </c>
    </row>
    <row r="467" customFormat="false" ht="15" hidden="false" customHeight="false" outlineLevel="0" collapsed="false">
      <c r="A467" s="12"/>
      <c r="B467" s="13"/>
      <c r="C467" s="14"/>
      <c r="D467" s="14"/>
      <c r="E467" s="12"/>
      <c r="F467" s="15" t="str">
        <f aca="false">IF(OR(C467="",D467="",D467&lt;C467),"",IF(B467="Yıllık izin",D467-C467+1-INT((WEEKDAY(C467-1)+D467-C467)/7)-IF(Ayarlar!$C$5=1,0,INT((WEEKDAY(C467-7)+D467-C467)/7))-SUMPRODUCT((Ayarlar!$E$5:$E$24&gt;=C467)*(Ayarlar!$E$5:$E$24&lt;=D467)*(WEEKDAY(Ayarlar!$E$5:$E$24,2)&lt;IF(Ayarlar!$C$5=1,7,6))),D467-C467+1))</f>
        <v/>
      </c>
      <c r="G467" s="16" t="str">
        <f aca="false">IF(A467="","",IF(OR(B467="",C467="",D467=""),"Eksik bilgi",IF(D467&lt;C467,"Bitiş başlangıçtan önce","OK")))</f>
        <v/>
      </c>
    </row>
    <row r="468" customFormat="false" ht="15" hidden="false" customHeight="false" outlineLevel="0" collapsed="false">
      <c r="A468" s="12"/>
      <c r="B468" s="13"/>
      <c r="C468" s="14"/>
      <c r="D468" s="14"/>
      <c r="E468" s="12"/>
      <c r="F468" s="15" t="str">
        <f aca="false">IF(OR(C468="",D468="",D468&lt;C468),"",IF(B468="Yıllık izin",D468-C468+1-INT((WEEKDAY(C468-1)+D468-C468)/7)-IF(Ayarlar!$C$5=1,0,INT((WEEKDAY(C468-7)+D468-C468)/7))-SUMPRODUCT((Ayarlar!$E$5:$E$24&gt;=C468)*(Ayarlar!$E$5:$E$24&lt;=D468)*(WEEKDAY(Ayarlar!$E$5:$E$24,2)&lt;IF(Ayarlar!$C$5=1,7,6))),D468-C468+1))</f>
        <v/>
      </c>
      <c r="G468" s="16" t="str">
        <f aca="false">IF(A468="","",IF(OR(B468="",C468="",D468=""),"Eksik bilgi",IF(D468&lt;C468,"Bitiş başlangıçtan önce","OK")))</f>
        <v/>
      </c>
    </row>
    <row r="469" customFormat="false" ht="15" hidden="false" customHeight="false" outlineLevel="0" collapsed="false">
      <c r="A469" s="12"/>
      <c r="B469" s="13"/>
      <c r="C469" s="14"/>
      <c r="D469" s="14"/>
      <c r="E469" s="12"/>
      <c r="F469" s="15" t="str">
        <f aca="false">IF(OR(C469="",D469="",D469&lt;C469),"",IF(B469="Yıllık izin",D469-C469+1-INT((WEEKDAY(C469-1)+D469-C469)/7)-IF(Ayarlar!$C$5=1,0,INT((WEEKDAY(C469-7)+D469-C469)/7))-SUMPRODUCT((Ayarlar!$E$5:$E$24&gt;=C469)*(Ayarlar!$E$5:$E$24&lt;=D469)*(WEEKDAY(Ayarlar!$E$5:$E$24,2)&lt;IF(Ayarlar!$C$5=1,7,6))),D469-C469+1))</f>
        <v/>
      </c>
      <c r="G469" s="16" t="str">
        <f aca="false">IF(A469="","",IF(OR(B469="",C469="",D469=""),"Eksik bilgi",IF(D469&lt;C469,"Bitiş başlangıçtan önce","OK")))</f>
        <v/>
      </c>
    </row>
    <row r="470" customFormat="false" ht="15" hidden="false" customHeight="false" outlineLevel="0" collapsed="false">
      <c r="A470" s="12"/>
      <c r="B470" s="13"/>
      <c r="C470" s="14"/>
      <c r="D470" s="14"/>
      <c r="E470" s="12"/>
      <c r="F470" s="15" t="str">
        <f aca="false">IF(OR(C470="",D470="",D470&lt;C470),"",IF(B470="Yıllık izin",D470-C470+1-INT((WEEKDAY(C470-1)+D470-C470)/7)-IF(Ayarlar!$C$5=1,0,INT((WEEKDAY(C470-7)+D470-C470)/7))-SUMPRODUCT((Ayarlar!$E$5:$E$24&gt;=C470)*(Ayarlar!$E$5:$E$24&lt;=D470)*(WEEKDAY(Ayarlar!$E$5:$E$24,2)&lt;IF(Ayarlar!$C$5=1,7,6))),D470-C470+1))</f>
        <v/>
      </c>
      <c r="G470" s="16" t="str">
        <f aca="false">IF(A470="","",IF(OR(B470="",C470="",D470=""),"Eksik bilgi",IF(D470&lt;C470,"Bitiş başlangıçtan önce","OK")))</f>
        <v/>
      </c>
    </row>
    <row r="471" customFormat="false" ht="15" hidden="false" customHeight="false" outlineLevel="0" collapsed="false">
      <c r="A471" s="12"/>
      <c r="B471" s="13"/>
      <c r="C471" s="14"/>
      <c r="D471" s="14"/>
      <c r="E471" s="12"/>
      <c r="F471" s="15" t="str">
        <f aca="false">IF(OR(C471="",D471="",D471&lt;C471),"",IF(B471="Yıllık izin",D471-C471+1-INT((WEEKDAY(C471-1)+D471-C471)/7)-IF(Ayarlar!$C$5=1,0,INT((WEEKDAY(C471-7)+D471-C471)/7))-SUMPRODUCT((Ayarlar!$E$5:$E$24&gt;=C471)*(Ayarlar!$E$5:$E$24&lt;=D471)*(WEEKDAY(Ayarlar!$E$5:$E$24,2)&lt;IF(Ayarlar!$C$5=1,7,6))),D471-C471+1))</f>
        <v/>
      </c>
      <c r="G471" s="16" t="str">
        <f aca="false">IF(A471="","",IF(OR(B471="",C471="",D471=""),"Eksik bilgi",IF(D471&lt;C471,"Bitiş başlangıçtan önce","OK")))</f>
        <v/>
      </c>
    </row>
    <row r="472" customFormat="false" ht="15" hidden="false" customHeight="false" outlineLevel="0" collapsed="false">
      <c r="A472" s="12"/>
      <c r="B472" s="13"/>
      <c r="C472" s="14"/>
      <c r="D472" s="14"/>
      <c r="E472" s="12"/>
      <c r="F472" s="15" t="str">
        <f aca="false">IF(OR(C472="",D472="",D472&lt;C472),"",IF(B472="Yıllık izin",D472-C472+1-INT((WEEKDAY(C472-1)+D472-C472)/7)-IF(Ayarlar!$C$5=1,0,INT((WEEKDAY(C472-7)+D472-C472)/7))-SUMPRODUCT((Ayarlar!$E$5:$E$24&gt;=C472)*(Ayarlar!$E$5:$E$24&lt;=D472)*(WEEKDAY(Ayarlar!$E$5:$E$24,2)&lt;IF(Ayarlar!$C$5=1,7,6))),D472-C472+1))</f>
        <v/>
      </c>
      <c r="G472" s="16" t="str">
        <f aca="false">IF(A472="","",IF(OR(B472="",C472="",D472=""),"Eksik bilgi",IF(D472&lt;C472,"Bitiş başlangıçtan önce","OK")))</f>
        <v/>
      </c>
    </row>
    <row r="473" customFormat="false" ht="15" hidden="false" customHeight="false" outlineLevel="0" collapsed="false">
      <c r="A473" s="12"/>
      <c r="B473" s="13"/>
      <c r="C473" s="14"/>
      <c r="D473" s="14"/>
      <c r="E473" s="12"/>
      <c r="F473" s="15" t="str">
        <f aca="false">IF(OR(C473="",D473="",D473&lt;C473),"",IF(B473="Yıllık izin",D473-C473+1-INT((WEEKDAY(C473-1)+D473-C473)/7)-IF(Ayarlar!$C$5=1,0,INT((WEEKDAY(C473-7)+D473-C473)/7))-SUMPRODUCT((Ayarlar!$E$5:$E$24&gt;=C473)*(Ayarlar!$E$5:$E$24&lt;=D473)*(WEEKDAY(Ayarlar!$E$5:$E$24,2)&lt;IF(Ayarlar!$C$5=1,7,6))),D473-C473+1))</f>
        <v/>
      </c>
      <c r="G473" s="16" t="str">
        <f aca="false">IF(A473="","",IF(OR(B473="",C473="",D473=""),"Eksik bilgi",IF(D473&lt;C473,"Bitiş başlangıçtan önce","OK")))</f>
        <v/>
      </c>
    </row>
    <row r="474" customFormat="false" ht="15" hidden="false" customHeight="false" outlineLevel="0" collapsed="false">
      <c r="A474" s="12"/>
      <c r="B474" s="13"/>
      <c r="C474" s="14"/>
      <c r="D474" s="14"/>
      <c r="E474" s="12"/>
      <c r="F474" s="15" t="str">
        <f aca="false">IF(OR(C474="",D474="",D474&lt;C474),"",IF(B474="Yıllık izin",D474-C474+1-INT((WEEKDAY(C474-1)+D474-C474)/7)-IF(Ayarlar!$C$5=1,0,INT((WEEKDAY(C474-7)+D474-C474)/7))-SUMPRODUCT((Ayarlar!$E$5:$E$24&gt;=C474)*(Ayarlar!$E$5:$E$24&lt;=D474)*(WEEKDAY(Ayarlar!$E$5:$E$24,2)&lt;IF(Ayarlar!$C$5=1,7,6))),D474-C474+1))</f>
        <v/>
      </c>
      <c r="G474" s="16" t="str">
        <f aca="false">IF(A474="","",IF(OR(B474="",C474="",D474=""),"Eksik bilgi",IF(D474&lt;C474,"Bitiş başlangıçtan önce","OK")))</f>
        <v/>
      </c>
    </row>
    <row r="475" customFormat="false" ht="15" hidden="false" customHeight="false" outlineLevel="0" collapsed="false">
      <c r="A475" s="12"/>
      <c r="B475" s="13"/>
      <c r="C475" s="14"/>
      <c r="D475" s="14"/>
      <c r="E475" s="12"/>
      <c r="F475" s="15" t="str">
        <f aca="false">IF(OR(C475="",D475="",D475&lt;C475),"",IF(B475="Yıllık izin",D475-C475+1-INT((WEEKDAY(C475-1)+D475-C475)/7)-IF(Ayarlar!$C$5=1,0,INT((WEEKDAY(C475-7)+D475-C475)/7))-SUMPRODUCT((Ayarlar!$E$5:$E$24&gt;=C475)*(Ayarlar!$E$5:$E$24&lt;=D475)*(WEEKDAY(Ayarlar!$E$5:$E$24,2)&lt;IF(Ayarlar!$C$5=1,7,6))),D475-C475+1))</f>
        <v/>
      </c>
      <c r="G475" s="16" t="str">
        <f aca="false">IF(A475="","",IF(OR(B475="",C475="",D475=""),"Eksik bilgi",IF(D475&lt;C475,"Bitiş başlangıçtan önce","OK")))</f>
        <v/>
      </c>
    </row>
    <row r="476" customFormat="false" ht="15" hidden="false" customHeight="false" outlineLevel="0" collapsed="false">
      <c r="A476" s="12"/>
      <c r="B476" s="13"/>
      <c r="C476" s="14"/>
      <c r="D476" s="14"/>
      <c r="E476" s="12"/>
      <c r="F476" s="15" t="str">
        <f aca="false">IF(OR(C476="",D476="",D476&lt;C476),"",IF(B476="Yıllık izin",D476-C476+1-INT((WEEKDAY(C476-1)+D476-C476)/7)-IF(Ayarlar!$C$5=1,0,INT((WEEKDAY(C476-7)+D476-C476)/7))-SUMPRODUCT((Ayarlar!$E$5:$E$24&gt;=C476)*(Ayarlar!$E$5:$E$24&lt;=D476)*(WEEKDAY(Ayarlar!$E$5:$E$24,2)&lt;IF(Ayarlar!$C$5=1,7,6))),D476-C476+1))</f>
        <v/>
      </c>
      <c r="G476" s="16" t="str">
        <f aca="false">IF(A476="","",IF(OR(B476="",C476="",D476=""),"Eksik bilgi",IF(D476&lt;C476,"Bitiş başlangıçtan önce","OK")))</f>
        <v/>
      </c>
    </row>
    <row r="477" customFormat="false" ht="15" hidden="false" customHeight="false" outlineLevel="0" collapsed="false">
      <c r="A477" s="12"/>
      <c r="B477" s="13"/>
      <c r="C477" s="14"/>
      <c r="D477" s="14"/>
      <c r="E477" s="12"/>
      <c r="F477" s="15" t="str">
        <f aca="false">IF(OR(C477="",D477="",D477&lt;C477),"",IF(B477="Yıllık izin",D477-C477+1-INT((WEEKDAY(C477-1)+D477-C477)/7)-IF(Ayarlar!$C$5=1,0,INT((WEEKDAY(C477-7)+D477-C477)/7))-SUMPRODUCT((Ayarlar!$E$5:$E$24&gt;=C477)*(Ayarlar!$E$5:$E$24&lt;=D477)*(WEEKDAY(Ayarlar!$E$5:$E$24,2)&lt;IF(Ayarlar!$C$5=1,7,6))),D477-C477+1))</f>
        <v/>
      </c>
      <c r="G477" s="16" t="str">
        <f aca="false">IF(A477="","",IF(OR(B477="",C477="",D477=""),"Eksik bilgi",IF(D477&lt;C477,"Bitiş başlangıçtan önce","OK")))</f>
        <v/>
      </c>
    </row>
    <row r="478" customFormat="false" ht="15" hidden="false" customHeight="false" outlineLevel="0" collapsed="false">
      <c r="A478" s="12"/>
      <c r="B478" s="13"/>
      <c r="C478" s="14"/>
      <c r="D478" s="14"/>
      <c r="E478" s="12"/>
      <c r="F478" s="15" t="str">
        <f aca="false">IF(OR(C478="",D478="",D478&lt;C478),"",IF(B478="Yıllık izin",D478-C478+1-INT((WEEKDAY(C478-1)+D478-C478)/7)-IF(Ayarlar!$C$5=1,0,INT((WEEKDAY(C478-7)+D478-C478)/7))-SUMPRODUCT((Ayarlar!$E$5:$E$24&gt;=C478)*(Ayarlar!$E$5:$E$24&lt;=D478)*(WEEKDAY(Ayarlar!$E$5:$E$24,2)&lt;IF(Ayarlar!$C$5=1,7,6))),D478-C478+1))</f>
        <v/>
      </c>
      <c r="G478" s="16" t="str">
        <f aca="false">IF(A478="","",IF(OR(B478="",C478="",D478=""),"Eksik bilgi",IF(D478&lt;C478,"Bitiş başlangıçtan önce","OK")))</f>
        <v/>
      </c>
    </row>
    <row r="479" customFormat="false" ht="15" hidden="false" customHeight="false" outlineLevel="0" collapsed="false">
      <c r="A479" s="12"/>
      <c r="B479" s="13"/>
      <c r="C479" s="14"/>
      <c r="D479" s="14"/>
      <c r="E479" s="12"/>
      <c r="F479" s="15" t="str">
        <f aca="false">IF(OR(C479="",D479="",D479&lt;C479),"",IF(B479="Yıllık izin",D479-C479+1-INT((WEEKDAY(C479-1)+D479-C479)/7)-IF(Ayarlar!$C$5=1,0,INT((WEEKDAY(C479-7)+D479-C479)/7))-SUMPRODUCT((Ayarlar!$E$5:$E$24&gt;=C479)*(Ayarlar!$E$5:$E$24&lt;=D479)*(WEEKDAY(Ayarlar!$E$5:$E$24,2)&lt;IF(Ayarlar!$C$5=1,7,6))),D479-C479+1))</f>
        <v/>
      </c>
      <c r="G479" s="16" t="str">
        <f aca="false">IF(A479="","",IF(OR(B479="",C479="",D479=""),"Eksik bilgi",IF(D479&lt;C479,"Bitiş başlangıçtan önce","OK")))</f>
        <v/>
      </c>
    </row>
    <row r="480" customFormat="false" ht="15" hidden="false" customHeight="false" outlineLevel="0" collapsed="false">
      <c r="A480" s="12"/>
      <c r="B480" s="13"/>
      <c r="C480" s="14"/>
      <c r="D480" s="14"/>
      <c r="E480" s="12"/>
      <c r="F480" s="15" t="str">
        <f aca="false">IF(OR(C480="",D480="",D480&lt;C480),"",IF(B480="Yıllık izin",D480-C480+1-INT((WEEKDAY(C480-1)+D480-C480)/7)-IF(Ayarlar!$C$5=1,0,INT((WEEKDAY(C480-7)+D480-C480)/7))-SUMPRODUCT((Ayarlar!$E$5:$E$24&gt;=C480)*(Ayarlar!$E$5:$E$24&lt;=D480)*(WEEKDAY(Ayarlar!$E$5:$E$24,2)&lt;IF(Ayarlar!$C$5=1,7,6))),D480-C480+1))</f>
        <v/>
      </c>
      <c r="G480" s="16" t="str">
        <f aca="false">IF(A480="","",IF(OR(B480="",C480="",D480=""),"Eksik bilgi",IF(D480&lt;C480,"Bitiş başlangıçtan önce","OK")))</f>
        <v/>
      </c>
    </row>
    <row r="481" customFormat="false" ht="15" hidden="false" customHeight="false" outlineLevel="0" collapsed="false">
      <c r="A481" s="12"/>
      <c r="B481" s="13"/>
      <c r="C481" s="14"/>
      <c r="D481" s="14"/>
      <c r="E481" s="12"/>
      <c r="F481" s="15" t="str">
        <f aca="false">IF(OR(C481="",D481="",D481&lt;C481),"",IF(B481="Yıllık izin",D481-C481+1-INT((WEEKDAY(C481-1)+D481-C481)/7)-IF(Ayarlar!$C$5=1,0,INT((WEEKDAY(C481-7)+D481-C481)/7))-SUMPRODUCT((Ayarlar!$E$5:$E$24&gt;=C481)*(Ayarlar!$E$5:$E$24&lt;=D481)*(WEEKDAY(Ayarlar!$E$5:$E$24,2)&lt;IF(Ayarlar!$C$5=1,7,6))),D481-C481+1))</f>
        <v/>
      </c>
      <c r="G481" s="16" t="str">
        <f aca="false">IF(A481="","",IF(OR(B481="",C481="",D481=""),"Eksik bilgi",IF(D481&lt;C481,"Bitiş başlangıçtan önce","OK")))</f>
        <v/>
      </c>
    </row>
    <row r="482" customFormat="false" ht="15" hidden="false" customHeight="false" outlineLevel="0" collapsed="false">
      <c r="A482" s="12"/>
      <c r="B482" s="13"/>
      <c r="C482" s="14"/>
      <c r="D482" s="14"/>
      <c r="E482" s="12"/>
      <c r="F482" s="15" t="str">
        <f aca="false">IF(OR(C482="",D482="",D482&lt;C482),"",IF(B482="Yıllık izin",D482-C482+1-INT((WEEKDAY(C482-1)+D482-C482)/7)-IF(Ayarlar!$C$5=1,0,INT((WEEKDAY(C482-7)+D482-C482)/7))-SUMPRODUCT((Ayarlar!$E$5:$E$24&gt;=C482)*(Ayarlar!$E$5:$E$24&lt;=D482)*(WEEKDAY(Ayarlar!$E$5:$E$24,2)&lt;IF(Ayarlar!$C$5=1,7,6))),D482-C482+1))</f>
        <v/>
      </c>
      <c r="G482" s="16" t="str">
        <f aca="false">IF(A482="","",IF(OR(B482="",C482="",D482=""),"Eksik bilgi",IF(D482&lt;C482,"Bitiş başlangıçtan önce","OK")))</f>
        <v/>
      </c>
    </row>
    <row r="483" customFormat="false" ht="15" hidden="false" customHeight="false" outlineLevel="0" collapsed="false">
      <c r="A483" s="12"/>
      <c r="B483" s="13"/>
      <c r="C483" s="14"/>
      <c r="D483" s="14"/>
      <c r="E483" s="12"/>
      <c r="F483" s="15" t="str">
        <f aca="false">IF(OR(C483="",D483="",D483&lt;C483),"",IF(B483="Yıllık izin",D483-C483+1-INT((WEEKDAY(C483-1)+D483-C483)/7)-IF(Ayarlar!$C$5=1,0,INT((WEEKDAY(C483-7)+D483-C483)/7))-SUMPRODUCT((Ayarlar!$E$5:$E$24&gt;=C483)*(Ayarlar!$E$5:$E$24&lt;=D483)*(WEEKDAY(Ayarlar!$E$5:$E$24,2)&lt;IF(Ayarlar!$C$5=1,7,6))),D483-C483+1))</f>
        <v/>
      </c>
      <c r="G483" s="16" t="str">
        <f aca="false">IF(A483="","",IF(OR(B483="",C483="",D483=""),"Eksik bilgi",IF(D483&lt;C483,"Bitiş başlangıçtan önce","OK")))</f>
        <v/>
      </c>
    </row>
    <row r="484" customFormat="false" ht="15" hidden="false" customHeight="false" outlineLevel="0" collapsed="false">
      <c r="A484" s="12"/>
      <c r="B484" s="13"/>
      <c r="C484" s="14"/>
      <c r="D484" s="14"/>
      <c r="E484" s="12"/>
      <c r="F484" s="15" t="str">
        <f aca="false">IF(OR(C484="",D484="",D484&lt;C484),"",IF(B484="Yıllık izin",D484-C484+1-INT((WEEKDAY(C484-1)+D484-C484)/7)-IF(Ayarlar!$C$5=1,0,INT((WEEKDAY(C484-7)+D484-C484)/7))-SUMPRODUCT((Ayarlar!$E$5:$E$24&gt;=C484)*(Ayarlar!$E$5:$E$24&lt;=D484)*(WEEKDAY(Ayarlar!$E$5:$E$24,2)&lt;IF(Ayarlar!$C$5=1,7,6))),D484-C484+1))</f>
        <v/>
      </c>
      <c r="G484" s="16" t="str">
        <f aca="false">IF(A484="","",IF(OR(B484="",C484="",D484=""),"Eksik bilgi",IF(D484&lt;C484,"Bitiş başlangıçtan önce","OK")))</f>
        <v/>
      </c>
    </row>
    <row r="485" customFormat="false" ht="15" hidden="false" customHeight="false" outlineLevel="0" collapsed="false">
      <c r="A485" s="12"/>
      <c r="B485" s="13"/>
      <c r="C485" s="14"/>
      <c r="D485" s="14"/>
      <c r="E485" s="12"/>
      <c r="F485" s="15" t="str">
        <f aca="false">IF(OR(C485="",D485="",D485&lt;C485),"",IF(B485="Yıllık izin",D485-C485+1-INT((WEEKDAY(C485-1)+D485-C485)/7)-IF(Ayarlar!$C$5=1,0,INT((WEEKDAY(C485-7)+D485-C485)/7))-SUMPRODUCT((Ayarlar!$E$5:$E$24&gt;=C485)*(Ayarlar!$E$5:$E$24&lt;=D485)*(WEEKDAY(Ayarlar!$E$5:$E$24,2)&lt;IF(Ayarlar!$C$5=1,7,6))),D485-C485+1))</f>
        <v/>
      </c>
      <c r="G485" s="16" t="str">
        <f aca="false">IF(A485="","",IF(OR(B485="",C485="",D485=""),"Eksik bilgi",IF(D485&lt;C485,"Bitiş başlangıçtan önce","OK")))</f>
        <v/>
      </c>
    </row>
    <row r="486" customFormat="false" ht="15" hidden="false" customHeight="false" outlineLevel="0" collapsed="false">
      <c r="A486" s="12"/>
      <c r="B486" s="13"/>
      <c r="C486" s="14"/>
      <c r="D486" s="14"/>
      <c r="E486" s="12"/>
      <c r="F486" s="15" t="str">
        <f aca="false">IF(OR(C486="",D486="",D486&lt;C486),"",IF(B486="Yıllık izin",D486-C486+1-INT((WEEKDAY(C486-1)+D486-C486)/7)-IF(Ayarlar!$C$5=1,0,INT((WEEKDAY(C486-7)+D486-C486)/7))-SUMPRODUCT((Ayarlar!$E$5:$E$24&gt;=C486)*(Ayarlar!$E$5:$E$24&lt;=D486)*(WEEKDAY(Ayarlar!$E$5:$E$24,2)&lt;IF(Ayarlar!$C$5=1,7,6))),D486-C486+1))</f>
        <v/>
      </c>
      <c r="G486" s="16" t="str">
        <f aca="false">IF(A486="","",IF(OR(B486="",C486="",D486=""),"Eksik bilgi",IF(D486&lt;C486,"Bitiş başlangıçtan önce","OK")))</f>
        <v/>
      </c>
    </row>
    <row r="487" customFormat="false" ht="15" hidden="false" customHeight="false" outlineLevel="0" collapsed="false">
      <c r="A487" s="12"/>
      <c r="B487" s="13"/>
      <c r="C487" s="14"/>
      <c r="D487" s="14"/>
      <c r="E487" s="12"/>
      <c r="F487" s="15" t="str">
        <f aca="false">IF(OR(C487="",D487="",D487&lt;C487),"",IF(B487="Yıllık izin",D487-C487+1-INT((WEEKDAY(C487-1)+D487-C487)/7)-IF(Ayarlar!$C$5=1,0,INT((WEEKDAY(C487-7)+D487-C487)/7))-SUMPRODUCT((Ayarlar!$E$5:$E$24&gt;=C487)*(Ayarlar!$E$5:$E$24&lt;=D487)*(WEEKDAY(Ayarlar!$E$5:$E$24,2)&lt;IF(Ayarlar!$C$5=1,7,6))),D487-C487+1))</f>
        <v/>
      </c>
      <c r="G487" s="16" t="str">
        <f aca="false">IF(A487="","",IF(OR(B487="",C487="",D487=""),"Eksik bilgi",IF(D487&lt;C487,"Bitiş başlangıçtan önce","OK")))</f>
        <v/>
      </c>
    </row>
    <row r="488" customFormat="false" ht="15" hidden="false" customHeight="false" outlineLevel="0" collapsed="false">
      <c r="A488" s="12"/>
      <c r="B488" s="13"/>
      <c r="C488" s="14"/>
      <c r="D488" s="14"/>
      <c r="E488" s="12"/>
      <c r="F488" s="15" t="str">
        <f aca="false">IF(OR(C488="",D488="",D488&lt;C488),"",IF(B488="Yıllık izin",D488-C488+1-INT((WEEKDAY(C488-1)+D488-C488)/7)-IF(Ayarlar!$C$5=1,0,INT((WEEKDAY(C488-7)+D488-C488)/7))-SUMPRODUCT((Ayarlar!$E$5:$E$24&gt;=C488)*(Ayarlar!$E$5:$E$24&lt;=D488)*(WEEKDAY(Ayarlar!$E$5:$E$24,2)&lt;IF(Ayarlar!$C$5=1,7,6))),D488-C488+1))</f>
        <v/>
      </c>
      <c r="G488" s="16" t="str">
        <f aca="false">IF(A488="","",IF(OR(B488="",C488="",D488=""),"Eksik bilgi",IF(D488&lt;C488,"Bitiş başlangıçtan önce","OK")))</f>
        <v/>
      </c>
    </row>
    <row r="489" customFormat="false" ht="15" hidden="false" customHeight="false" outlineLevel="0" collapsed="false">
      <c r="A489" s="12"/>
      <c r="B489" s="13"/>
      <c r="C489" s="14"/>
      <c r="D489" s="14"/>
      <c r="E489" s="12"/>
      <c r="F489" s="15" t="str">
        <f aca="false">IF(OR(C489="",D489="",D489&lt;C489),"",IF(B489="Yıllık izin",D489-C489+1-INT((WEEKDAY(C489-1)+D489-C489)/7)-IF(Ayarlar!$C$5=1,0,INT((WEEKDAY(C489-7)+D489-C489)/7))-SUMPRODUCT((Ayarlar!$E$5:$E$24&gt;=C489)*(Ayarlar!$E$5:$E$24&lt;=D489)*(WEEKDAY(Ayarlar!$E$5:$E$24,2)&lt;IF(Ayarlar!$C$5=1,7,6))),D489-C489+1))</f>
        <v/>
      </c>
      <c r="G489" s="16" t="str">
        <f aca="false">IF(A489="","",IF(OR(B489="",C489="",D489=""),"Eksik bilgi",IF(D489&lt;C489,"Bitiş başlangıçtan önce","OK")))</f>
        <v/>
      </c>
    </row>
    <row r="490" customFormat="false" ht="15" hidden="false" customHeight="false" outlineLevel="0" collapsed="false">
      <c r="A490" s="12"/>
      <c r="B490" s="13"/>
      <c r="C490" s="14"/>
      <c r="D490" s="14"/>
      <c r="E490" s="12"/>
      <c r="F490" s="15" t="str">
        <f aca="false">IF(OR(C490="",D490="",D490&lt;C490),"",IF(B490="Yıllık izin",D490-C490+1-INT((WEEKDAY(C490-1)+D490-C490)/7)-IF(Ayarlar!$C$5=1,0,INT((WEEKDAY(C490-7)+D490-C490)/7))-SUMPRODUCT((Ayarlar!$E$5:$E$24&gt;=C490)*(Ayarlar!$E$5:$E$24&lt;=D490)*(WEEKDAY(Ayarlar!$E$5:$E$24,2)&lt;IF(Ayarlar!$C$5=1,7,6))),D490-C490+1))</f>
        <v/>
      </c>
      <c r="G490" s="16" t="str">
        <f aca="false">IF(A490="","",IF(OR(B490="",C490="",D490=""),"Eksik bilgi",IF(D490&lt;C490,"Bitiş başlangıçtan önce","OK")))</f>
        <v/>
      </c>
    </row>
    <row r="491" customFormat="false" ht="15" hidden="false" customHeight="false" outlineLevel="0" collapsed="false">
      <c r="A491" s="12"/>
      <c r="B491" s="13"/>
      <c r="C491" s="14"/>
      <c r="D491" s="14"/>
      <c r="E491" s="12"/>
      <c r="F491" s="15" t="str">
        <f aca="false">IF(OR(C491="",D491="",D491&lt;C491),"",IF(B491="Yıllık izin",D491-C491+1-INT((WEEKDAY(C491-1)+D491-C491)/7)-IF(Ayarlar!$C$5=1,0,INT((WEEKDAY(C491-7)+D491-C491)/7))-SUMPRODUCT((Ayarlar!$E$5:$E$24&gt;=C491)*(Ayarlar!$E$5:$E$24&lt;=D491)*(WEEKDAY(Ayarlar!$E$5:$E$24,2)&lt;IF(Ayarlar!$C$5=1,7,6))),D491-C491+1))</f>
        <v/>
      </c>
      <c r="G491" s="16" t="str">
        <f aca="false">IF(A491="","",IF(OR(B491="",C491="",D491=""),"Eksik bilgi",IF(D491&lt;C491,"Bitiş başlangıçtan önce","OK")))</f>
        <v/>
      </c>
    </row>
    <row r="492" customFormat="false" ht="15" hidden="false" customHeight="false" outlineLevel="0" collapsed="false">
      <c r="A492" s="12"/>
      <c r="B492" s="13"/>
      <c r="C492" s="14"/>
      <c r="D492" s="14"/>
      <c r="E492" s="12"/>
      <c r="F492" s="15" t="str">
        <f aca="false">IF(OR(C492="",D492="",D492&lt;C492),"",IF(B492="Yıllık izin",D492-C492+1-INT((WEEKDAY(C492-1)+D492-C492)/7)-IF(Ayarlar!$C$5=1,0,INT((WEEKDAY(C492-7)+D492-C492)/7))-SUMPRODUCT((Ayarlar!$E$5:$E$24&gt;=C492)*(Ayarlar!$E$5:$E$24&lt;=D492)*(WEEKDAY(Ayarlar!$E$5:$E$24,2)&lt;IF(Ayarlar!$C$5=1,7,6))),D492-C492+1))</f>
        <v/>
      </c>
      <c r="G492" s="16" t="str">
        <f aca="false">IF(A492="","",IF(OR(B492="",C492="",D492=""),"Eksik bilgi",IF(D492&lt;C492,"Bitiş başlangıçtan önce","OK")))</f>
        <v/>
      </c>
    </row>
    <row r="493" customFormat="false" ht="15" hidden="false" customHeight="false" outlineLevel="0" collapsed="false">
      <c r="A493" s="12"/>
      <c r="B493" s="13"/>
      <c r="C493" s="14"/>
      <c r="D493" s="14"/>
      <c r="E493" s="12"/>
      <c r="F493" s="15" t="str">
        <f aca="false">IF(OR(C493="",D493="",D493&lt;C493),"",IF(B493="Yıllık izin",D493-C493+1-INT((WEEKDAY(C493-1)+D493-C493)/7)-IF(Ayarlar!$C$5=1,0,INT((WEEKDAY(C493-7)+D493-C493)/7))-SUMPRODUCT((Ayarlar!$E$5:$E$24&gt;=C493)*(Ayarlar!$E$5:$E$24&lt;=D493)*(WEEKDAY(Ayarlar!$E$5:$E$24,2)&lt;IF(Ayarlar!$C$5=1,7,6))),D493-C493+1))</f>
        <v/>
      </c>
      <c r="G493" s="16" t="str">
        <f aca="false">IF(A493="","",IF(OR(B493="",C493="",D493=""),"Eksik bilgi",IF(D493&lt;C493,"Bitiş başlangıçtan önce","OK")))</f>
        <v/>
      </c>
    </row>
    <row r="494" customFormat="false" ht="15" hidden="false" customHeight="false" outlineLevel="0" collapsed="false">
      <c r="A494" s="12"/>
      <c r="B494" s="13"/>
      <c r="C494" s="14"/>
      <c r="D494" s="14"/>
      <c r="E494" s="12"/>
      <c r="F494" s="15" t="str">
        <f aca="false">IF(OR(C494="",D494="",D494&lt;C494),"",IF(B494="Yıllık izin",D494-C494+1-INT((WEEKDAY(C494-1)+D494-C494)/7)-IF(Ayarlar!$C$5=1,0,INT((WEEKDAY(C494-7)+D494-C494)/7))-SUMPRODUCT((Ayarlar!$E$5:$E$24&gt;=C494)*(Ayarlar!$E$5:$E$24&lt;=D494)*(WEEKDAY(Ayarlar!$E$5:$E$24,2)&lt;IF(Ayarlar!$C$5=1,7,6))),D494-C494+1))</f>
        <v/>
      </c>
      <c r="G494" s="16" t="str">
        <f aca="false">IF(A494="","",IF(OR(B494="",C494="",D494=""),"Eksik bilgi",IF(D494&lt;C494,"Bitiş başlangıçtan önce","OK")))</f>
        <v/>
      </c>
    </row>
    <row r="495" customFormat="false" ht="15" hidden="false" customHeight="false" outlineLevel="0" collapsed="false">
      <c r="A495" s="12"/>
      <c r="B495" s="13"/>
      <c r="C495" s="14"/>
      <c r="D495" s="14"/>
      <c r="E495" s="12"/>
      <c r="F495" s="15" t="str">
        <f aca="false">IF(OR(C495="",D495="",D495&lt;C495),"",IF(B495="Yıllık izin",D495-C495+1-INT((WEEKDAY(C495-1)+D495-C495)/7)-IF(Ayarlar!$C$5=1,0,INT((WEEKDAY(C495-7)+D495-C495)/7))-SUMPRODUCT((Ayarlar!$E$5:$E$24&gt;=C495)*(Ayarlar!$E$5:$E$24&lt;=D495)*(WEEKDAY(Ayarlar!$E$5:$E$24,2)&lt;IF(Ayarlar!$C$5=1,7,6))),D495-C495+1))</f>
        <v/>
      </c>
      <c r="G495" s="16" t="str">
        <f aca="false">IF(A495="","",IF(OR(B495="",C495="",D495=""),"Eksik bilgi",IF(D495&lt;C495,"Bitiş başlangıçtan önce","OK")))</f>
        <v/>
      </c>
    </row>
    <row r="496" customFormat="false" ht="15" hidden="false" customHeight="false" outlineLevel="0" collapsed="false">
      <c r="A496" s="12"/>
      <c r="B496" s="13"/>
      <c r="C496" s="14"/>
      <c r="D496" s="14"/>
      <c r="E496" s="12"/>
      <c r="F496" s="15" t="str">
        <f aca="false">IF(OR(C496="",D496="",D496&lt;C496),"",IF(B496="Yıllık izin",D496-C496+1-INT((WEEKDAY(C496-1)+D496-C496)/7)-IF(Ayarlar!$C$5=1,0,INT((WEEKDAY(C496-7)+D496-C496)/7))-SUMPRODUCT((Ayarlar!$E$5:$E$24&gt;=C496)*(Ayarlar!$E$5:$E$24&lt;=D496)*(WEEKDAY(Ayarlar!$E$5:$E$24,2)&lt;IF(Ayarlar!$C$5=1,7,6))),D496-C496+1))</f>
        <v/>
      </c>
      <c r="G496" s="16" t="str">
        <f aca="false">IF(A496="","",IF(OR(B496="",C496="",D496=""),"Eksik bilgi",IF(D496&lt;C496,"Bitiş başlangıçtan önce","OK")))</f>
        <v/>
      </c>
    </row>
    <row r="497" customFormat="false" ht="15" hidden="false" customHeight="false" outlineLevel="0" collapsed="false">
      <c r="A497" s="12"/>
      <c r="B497" s="13"/>
      <c r="C497" s="14"/>
      <c r="D497" s="14"/>
      <c r="E497" s="12"/>
      <c r="F497" s="15" t="str">
        <f aca="false">IF(OR(C497="",D497="",D497&lt;C497),"",IF(B497="Yıllık izin",D497-C497+1-INT((WEEKDAY(C497-1)+D497-C497)/7)-IF(Ayarlar!$C$5=1,0,INT((WEEKDAY(C497-7)+D497-C497)/7))-SUMPRODUCT((Ayarlar!$E$5:$E$24&gt;=C497)*(Ayarlar!$E$5:$E$24&lt;=D497)*(WEEKDAY(Ayarlar!$E$5:$E$24,2)&lt;IF(Ayarlar!$C$5=1,7,6))),D497-C497+1))</f>
        <v/>
      </c>
      <c r="G497" s="16" t="str">
        <f aca="false">IF(A497="","",IF(OR(B497="",C497="",D497=""),"Eksik bilgi",IF(D497&lt;C497,"Bitiş başlangıçtan önce","OK")))</f>
        <v/>
      </c>
    </row>
    <row r="498" customFormat="false" ht="15" hidden="false" customHeight="false" outlineLevel="0" collapsed="false">
      <c r="A498" s="12"/>
      <c r="B498" s="13"/>
      <c r="C498" s="14"/>
      <c r="D498" s="14"/>
      <c r="E498" s="12"/>
      <c r="F498" s="15" t="str">
        <f aca="false">IF(OR(C498="",D498="",D498&lt;C498),"",IF(B498="Yıllık izin",D498-C498+1-INT((WEEKDAY(C498-1)+D498-C498)/7)-IF(Ayarlar!$C$5=1,0,INT((WEEKDAY(C498-7)+D498-C498)/7))-SUMPRODUCT((Ayarlar!$E$5:$E$24&gt;=C498)*(Ayarlar!$E$5:$E$24&lt;=D498)*(WEEKDAY(Ayarlar!$E$5:$E$24,2)&lt;IF(Ayarlar!$C$5=1,7,6))),D498-C498+1))</f>
        <v/>
      </c>
      <c r="G498" s="16" t="str">
        <f aca="false">IF(A498="","",IF(OR(B498="",C498="",D498=""),"Eksik bilgi",IF(D498&lt;C498,"Bitiş başlangıçtan önce","OK")))</f>
        <v/>
      </c>
    </row>
    <row r="499" customFormat="false" ht="15" hidden="false" customHeight="false" outlineLevel="0" collapsed="false">
      <c r="A499" s="12"/>
      <c r="B499" s="13"/>
      <c r="C499" s="14"/>
      <c r="D499" s="14"/>
      <c r="E499" s="12"/>
      <c r="F499" s="15" t="str">
        <f aca="false">IF(OR(C499="",D499="",D499&lt;C499),"",IF(B499="Yıllık izin",D499-C499+1-INT((WEEKDAY(C499-1)+D499-C499)/7)-IF(Ayarlar!$C$5=1,0,INT((WEEKDAY(C499-7)+D499-C499)/7))-SUMPRODUCT((Ayarlar!$E$5:$E$24&gt;=C499)*(Ayarlar!$E$5:$E$24&lt;=D499)*(WEEKDAY(Ayarlar!$E$5:$E$24,2)&lt;IF(Ayarlar!$C$5=1,7,6))),D499-C499+1))</f>
        <v/>
      </c>
      <c r="G499" s="16" t="str">
        <f aca="false">IF(A499="","",IF(OR(B499="",C499="",D499=""),"Eksik bilgi",IF(D499&lt;C499,"Bitiş başlangıçtan önce","OK")))</f>
        <v/>
      </c>
    </row>
    <row r="500" customFormat="false" ht="15" hidden="false" customHeight="false" outlineLevel="0" collapsed="false">
      <c r="A500" s="12"/>
      <c r="B500" s="13"/>
      <c r="C500" s="14"/>
      <c r="D500" s="14"/>
      <c r="E500" s="12"/>
      <c r="F500" s="15" t="str">
        <f aca="false">IF(OR(C500="",D500="",D500&lt;C500),"",IF(B500="Yıllık izin",D500-C500+1-INT((WEEKDAY(C500-1)+D500-C500)/7)-IF(Ayarlar!$C$5=1,0,INT((WEEKDAY(C500-7)+D500-C500)/7))-SUMPRODUCT((Ayarlar!$E$5:$E$24&gt;=C500)*(Ayarlar!$E$5:$E$24&lt;=D500)*(WEEKDAY(Ayarlar!$E$5:$E$24,2)&lt;IF(Ayarlar!$C$5=1,7,6))),D500-C500+1))</f>
        <v/>
      </c>
      <c r="G500" s="16" t="str">
        <f aca="false">IF(A500="","",IF(OR(B500="",C500="",D500=""),"Eksik bilgi",IF(D500&lt;C500,"Bitiş başlangıçtan önce","OK")))</f>
        <v/>
      </c>
    </row>
    <row r="501" customFormat="false" ht="15" hidden="false" customHeight="false" outlineLevel="0" collapsed="false">
      <c r="A501" s="12"/>
      <c r="B501" s="13"/>
      <c r="C501" s="14"/>
      <c r="D501" s="14"/>
      <c r="E501" s="12"/>
      <c r="F501" s="15" t="str">
        <f aca="false">IF(OR(C501="",D501="",D501&lt;C501),"",IF(B501="Yıllık izin",D501-C501+1-INT((WEEKDAY(C501-1)+D501-C501)/7)-IF(Ayarlar!$C$5=1,0,INT((WEEKDAY(C501-7)+D501-C501)/7))-SUMPRODUCT((Ayarlar!$E$5:$E$24&gt;=C501)*(Ayarlar!$E$5:$E$24&lt;=D501)*(WEEKDAY(Ayarlar!$E$5:$E$24,2)&lt;IF(Ayarlar!$C$5=1,7,6))),D501-C501+1))</f>
        <v/>
      </c>
      <c r="G501" s="16" t="str">
        <f aca="false">IF(A501="","",IF(OR(B501="",C501="",D501=""),"Eksik bilgi",IF(D501&lt;C501,"Bitiş başlangıçtan önce","OK")))</f>
        <v/>
      </c>
    </row>
    <row r="502" customFormat="false" ht="15" hidden="false" customHeight="false" outlineLevel="0" collapsed="false">
      <c r="A502" s="12"/>
      <c r="B502" s="13"/>
      <c r="C502" s="14"/>
      <c r="D502" s="14"/>
      <c r="E502" s="12"/>
      <c r="F502" s="15" t="str">
        <f aca="false">IF(OR(C502="",D502="",D502&lt;C502),"",IF(B502="Yıllık izin",D502-C502+1-INT((WEEKDAY(C502-1)+D502-C502)/7)-IF(Ayarlar!$C$5=1,0,INT((WEEKDAY(C502-7)+D502-C502)/7))-SUMPRODUCT((Ayarlar!$E$5:$E$24&gt;=C502)*(Ayarlar!$E$5:$E$24&lt;=D502)*(WEEKDAY(Ayarlar!$E$5:$E$24,2)&lt;IF(Ayarlar!$C$5=1,7,6))),D502-C502+1))</f>
        <v/>
      </c>
      <c r="G502" s="16" t="str">
        <f aca="false">IF(A502="","",IF(OR(B502="",C502="",D502=""),"Eksik bilgi",IF(D502&lt;C502,"Bitiş başlangıçtan önce","OK")))</f>
        <v/>
      </c>
    </row>
    <row r="503" customFormat="false" ht="15" hidden="false" customHeight="false" outlineLevel="0" collapsed="false">
      <c r="A503" s="12"/>
      <c r="B503" s="13"/>
      <c r="C503" s="14"/>
      <c r="D503" s="14"/>
      <c r="E503" s="12"/>
      <c r="F503" s="15" t="str">
        <f aca="false">IF(OR(C503="",D503="",D503&lt;C503),"",IF(B503="Yıllık izin",D503-C503+1-INT((WEEKDAY(C503-1)+D503-C503)/7)-IF(Ayarlar!$C$5=1,0,INT((WEEKDAY(C503-7)+D503-C503)/7))-SUMPRODUCT((Ayarlar!$E$5:$E$24&gt;=C503)*(Ayarlar!$E$5:$E$24&lt;=D503)*(WEEKDAY(Ayarlar!$E$5:$E$24,2)&lt;IF(Ayarlar!$C$5=1,7,6))),D503-C503+1))</f>
        <v/>
      </c>
      <c r="G503" s="16" t="str">
        <f aca="false">IF(A503="","",IF(OR(B503="",C503="",D503=""),"Eksik bilgi",IF(D503&lt;C503,"Bitiş başlangıçtan önce","OK")))</f>
        <v/>
      </c>
    </row>
    <row r="504" customFormat="false" ht="15" hidden="false" customHeight="false" outlineLevel="0" collapsed="false">
      <c r="A504" s="12"/>
      <c r="B504" s="13"/>
      <c r="C504" s="14"/>
      <c r="D504" s="14"/>
      <c r="E504" s="12"/>
      <c r="F504" s="15" t="str">
        <f aca="false">IF(OR(C504="",D504="",D504&lt;C504),"",IF(B504="Yıllık izin",D504-C504+1-INT((WEEKDAY(C504-1)+D504-C504)/7)-IF(Ayarlar!$C$5=1,0,INT((WEEKDAY(C504-7)+D504-C504)/7))-SUMPRODUCT((Ayarlar!$E$5:$E$24&gt;=C504)*(Ayarlar!$E$5:$E$24&lt;=D504)*(WEEKDAY(Ayarlar!$E$5:$E$24,2)&lt;IF(Ayarlar!$C$5=1,7,6))),D504-C504+1))</f>
        <v/>
      </c>
      <c r="G504" s="16" t="str">
        <f aca="false">IF(A504="","",IF(OR(B504="",C504="",D504=""),"Eksik bilgi",IF(D504&lt;C504,"Bitiş başlangıçtan önce","OK")))</f>
        <v/>
      </c>
    </row>
  </sheetData>
  <conditionalFormatting sqref="G5:G504">
    <cfRule type="expression" priority="2" aboveAverage="0" equalAverage="0" bottom="0" percent="0" rank="0" text="" dxfId="0">
      <formula>AND(G5&lt;&gt;"",G5&lt;&gt;"OK")</formula>
    </cfRule>
  </conditionalFormatting>
  <dataValidations count="3">
    <dataValidation allowBlank="true" error="Listeden seç." errorStyle="stop" errorTitle="Kontrol" operator="between" showDropDown="false" showErrorMessage="true" showInputMessage="false" sqref="A5:A504" type="list">
      <formula1>Personel!$A$5:$A$54</formula1>
      <formula2>0</formula2>
    </dataValidation>
    <dataValidation allowBlank="true" error="Listeden seç." errorStyle="stop" errorTitle="Kontrol" operator="between" showDropDown="false" showErrorMessage="true" showInputMessage="false" sqref="B5:B504" type="list">
      <formula1>"Yıllık izin,Rapor,Ücretsiz izin,Mazeret izni"</formula1>
      <formula2>0</formula2>
    </dataValidation>
    <dataValidation allowBlank="true" error="Geçerli bir tarih gir (örnek: 05.10.2026)." errorStyle="stop" errorTitle="Kontrol" operator="greaterThan" showDropDown="false" showErrorMessage="true" showInputMessage="false" sqref="C5:D504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D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34"/>
  </cols>
  <sheetData>
    <row r="1" customFormat="false" ht="19.7" hidden="false" customHeight="false" outlineLevel="0" collapsed="false">
      <c r="A1" s="8" t="s">
        <v>46</v>
      </c>
    </row>
    <row r="2" customFormat="false" ht="15" hidden="false" customHeight="false" outlineLevel="0" collapsed="false">
      <c r="A2" s="9" t="s">
        <v>11</v>
      </c>
    </row>
    <row r="4" customFormat="false" ht="27.75" hidden="false" customHeight="true" outlineLevel="0" collapsed="false">
      <c r="A4" s="10" t="s">
        <v>32</v>
      </c>
      <c r="B4" s="10" t="s">
        <v>47</v>
      </c>
      <c r="C4" s="10" t="s">
        <v>48</v>
      </c>
      <c r="D4" s="10" t="s">
        <v>49</v>
      </c>
    </row>
    <row r="5" customFormat="false" ht="15" hidden="false" customHeight="false" outlineLevel="0" collapsed="false">
      <c r="A5" s="12" t="s">
        <v>39</v>
      </c>
      <c r="B5" s="14" t="n">
        <v>46277</v>
      </c>
      <c r="C5" s="17" t="n">
        <v>3</v>
      </c>
      <c r="D5" s="12" t="s">
        <v>50</v>
      </c>
    </row>
    <row r="6" customFormat="false" ht="15" hidden="false" customHeight="false" outlineLevel="0" collapsed="false">
      <c r="A6" s="12" t="s">
        <v>42</v>
      </c>
      <c r="B6" s="14" t="n">
        <v>46284</v>
      </c>
      <c r="C6" s="17" t="n">
        <v>4.5</v>
      </c>
      <c r="D6" s="12" t="s">
        <v>50</v>
      </c>
    </row>
    <row r="7" customFormat="false" ht="15" hidden="false" customHeight="false" outlineLevel="0" collapsed="false">
      <c r="A7" s="12" t="s">
        <v>39</v>
      </c>
      <c r="B7" s="14" t="n">
        <v>46298</v>
      </c>
      <c r="C7" s="17" t="n">
        <v>2</v>
      </c>
      <c r="D7" s="12" t="s">
        <v>50</v>
      </c>
    </row>
    <row r="8" customFormat="false" ht="15" hidden="false" customHeight="false" outlineLevel="0" collapsed="false">
      <c r="A8" s="12"/>
      <c r="B8" s="14"/>
      <c r="C8" s="17"/>
      <c r="D8" s="12"/>
    </row>
    <row r="9" customFormat="false" ht="15" hidden="false" customHeight="false" outlineLevel="0" collapsed="false">
      <c r="A9" s="12"/>
      <c r="B9" s="14"/>
      <c r="C9" s="17"/>
      <c r="D9" s="12"/>
    </row>
    <row r="10" customFormat="false" ht="15" hidden="false" customHeight="false" outlineLevel="0" collapsed="false">
      <c r="A10" s="12"/>
      <c r="B10" s="14"/>
      <c r="C10" s="17"/>
      <c r="D10" s="12"/>
    </row>
    <row r="11" customFormat="false" ht="15" hidden="false" customHeight="false" outlineLevel="0" collapsed="false">
      <c r="A11" s="12"/>
      <c r="B11" s="14"/>
      <c r="C11" s="17"/>
      <c r="D11" s="12"/>
    </row>
    <row r="12" customFormat="false" ht="15" hidden="false" customHeight="false" outlineLevel="0" collapsed="false">
      <c r="A12" s="12"/>
      <c r="B12" s="14"/>
      <c r="C12" s="17"/>
      <c r="D12" s="12"/>
    </row>
    <row r="13" customFormat="false" ht="15" hidden="false" customHeight="false" outlineLevel="0" collapsed="false">
      <c r="A13" s="12"/>
      <c r="B13" s="14"/>
      <c r="C13" s="17"/>
      <c r="D13" s="12"/>
    </row>
    <row r="14" customFormat="false" ht="15" hidden="false" customHeight="false" outlineLevel="0" collapsed="false">
      <c r="A14" s="12"/>
      <c r="B14" s="14"/>
      <c r="C14" s="17"/>
      <c r="D14" s="12"/>
    </row>
    <row r="15" customFormat="false" ht="15" hidden="false" customHeight="false" outlineLevel="0" collapsed="false">
      <c r="A15" s="12"/>
      <c r="B15" s="14"/>
      <c r="C15" s="17"/>
      <c r="D15" s="12"/>
    </row>
    <row r="16" customFormat="false" ht="15" hidden="false" customHeight="false" outlineLevel="0" collapsed="false">
      <c r="A16" s="12"/>
      <c r="B16" s="14"/>
      <c r="C16" s="17"/>
      <c r="D16" s="12"/>
    </row>
    <row r="17" customFormat="false" ht="15" hidden="false" customHeight="false" outlineLevel="0" collapsed="false">
      <c r="A17" s="12"/>
      <c r="B17" s="14"/>
      <c r="C17" s="17"/>
      <c r="D17" s="12"/>
    </row>
    <row r="18" customFormat="false" ht="15" hidden="false" customHeight="false" outlineLevel="0" collapsed="false">
      <c r="A18" s="12"/>
      <c r="B18" s="14"/>
      <c r="C18" s="17"/>
      <c r="D18" s="12"/>
    </row>
    <row r="19" customFormat="false" ht="15" hidden="false" customHeight="false" outlineLevel="0" collapsed="false">
      <c r="A19" s="12"/>
      <c r="B19" s="14"/>
      <c r="C19" s="17"/>
      <c r="D19" s="12"/>
    </row>
    <row r="20" customFormat="false" ht="15" hidden="false" customHeight="false" outlineLevel="0" collapsed="false">
      <c r="A20" s="12"/>
      <c r="B20" s="14"/>
      <c r="C20" s="17"/>
      <c r="D20" s="12"/>
    </row>
    <row r="21" customFormat="false" ht="15" hidden="false" customHeight="false" outlineLevel="0" collapsed="false">
      <c r="A21" s="12"/>
      <c r="B21" s="14"/>
      <c r="C21" s="17"/>
      <c r="D21" s="12"/>
    </row>
    <row r="22" customFormat="false" ht="15" hidden="false" customHeight="false" outlineLevel="0" collapsed="false">
      <c r="A22" s="12"/>
      <c r="B22" s="14"/>
      <c r="C22" s="17"/>
      <c r="D22" s="12"/>
    </row>
    <row r="23" customFormat="false" ht="15" hidden="false" customHeight="false" outlineLevel="0" collapsed="false">
      <c r="A23" s="12"/>
      <c r="B23" s="14"/>
      <c r="C23" s="17"/>
      <c r="D23" s="12"/>
    </row>
    <row r="24" customFormat="false" ht="15" hidden="false" customHeight="false" outlineLevel="0" collapsed="false">
      <c r="A24" s="12"/>
      <c r="B24" s="14"/>
      <c r="C24" s="17"/>
      <c r="D24" s="12"/>
    </row>
    <row r="25" customFormat="false" ht="15" hidden="false" customHeight="false" outlineLevel="0" collapsed="false">
      <c r="A25" s="12"/>
      <c r="B25" s="14"/>
      <c r="C25" s="17"/>
      <c r="D25" s="12"/>
    </row>
    <row r="26" customFormat="false" ht="15" hidden="false" customHeight="false" outlineLevel="0" collapsed="false">
      <c r="A26" s="12"/>
      <c r="B26" s="14"/>
      <c r="C26" s="17"/>
      <c r="D26" s="12"/>
    </row>
    <row r="27" customFormat="false" ht="15" hidden="false" customHeight="false" outlineLevel="0" collapsed="false">
      <c r="A27" s="12"/>
      <c r="B27" s="14"/>
      <c r="C27" s="17"/>
      <c r="D27" s="12"/>
    </row>
    <row r="28" customFormat="false" ht="15" hidden="false" customHeight="false" outlineLevel="0" collapsed="false">
      <c r="A28" s="12"/>
      <c r="B28" s="14"/>
      <c r="C28" s="17"/>
      <c r="D28" s="12"/>
    </row>
    <row r="29" customFormat="false" ht="15" hidden="false" customHeight="false" outlineLevel="0" collapsed="false">
      <c r="A29" s="12"/>
      <c r="B29" s="14"/>
      <c r="C29" s="17"/>
      <c r="D29" s="12"/>
    </row>
    <row r="30" customFormat="false" ht="15" hidden="false" customHeight="false" outlineLevel="0" collapsed="false">
      <c r="A30" s="12"/>
      <c r="B30" s="14"/>
      <c r="C30" s="17"/>
      <c r="D30" s="12"/>
    </row>
    <row r="31" customFormat="false" ht="15" hidden="false" customHeight="false" outlineLevel="0" collapsed="false">
      <c r="A31" s="12"/>
      <c r="B31" s="14"/>
      <c r="C31" s="17"/>
      <c r="D31" s="12"/>
    </row>
    <row r="32" customFormat="false" ht="15" hidden="false" customHeight="false" outlineLevel="0" collapsed="false">
      <c r="A32" s="12"/>
      <c r="B32" s="14"/>
      <c r="C32" s="17"/>
      <c r="D32" s="12"/>
    </row>
    <row r="33" customFormat="false" ht="15" hidden="false" customHeight="false" outlineLevel="0" collapsed="false">
      <c r="A33" s="12"/>
      <c r="B33" s="14"/>
      <c r="C33" s="17"/>
      <c r="D33" s="12"/>
    </row>
    <row r="34" customFormat="false" ht="15" hidden="false" customHeight="false" outlineLevel="0" collapsed="false">
      <c r="A34" s="12"/>
      <c r="B34" s="14"/>
      <c r="C34" s="17"/>
      <c r="D34" s="12"/>
    </row>
    <row r="35" customFormat="false" ht="15" hidden="false" customHeight="false" outlineLevel="0" collapsed="false">
      <c r="A35" s="12"/>
      <c r="B35" s="14"/>
      <c r="C35" s="17"/>
      <c r="D35" s="12"/>
    </row>
    <row r="36" customFormat="false" ht="15" hidden="false" customHeight="false" outlineLevel="0" collapsed="false">
      <c r="A36" s="12"/>
      <c r="B36" s="14"/>
      <c r="C36" s="17"/>
      <c r="D36" s="12"/>
    </row>
    <row r="37" customFormat="false" ht="15" hidden="false" customHeight="false" outlineLevel="0" collapsed="false">
      <c r="A37" s="12"/>
      <c r="B37" s="14"/>
      <c r="C37" s="17"/>
      <c r="D37" s="12"/>
    </row>
    <row r="38" customFormat="false" ht="15" hidden="false" customHeight="false" outlineLevel="0" collapsed="false">
      <c r="A38" s="12"/>
      <c r="B38" s="14"/>
      <c r="C38" s="17"/>
      <c r="D38" s="12"/>
    </row>
    <row r="39" customFormat="false" ht="15" hidden="false" customHeight="false" outlineLevel="0" collapsed="false">
      <c r="A39" s="12"/>
      <c r="B39" s="14"/>
      <c r="C39" s="17"/>
      <c r="D39" s="12"/>
    </row>
    <row r="40" customFormat="false" ht="15" hidden="false" customHeight="false" outlineLevel="0" collapsed="false">
      <c r="A40" s="12"/>
      <c r="B40" s="14"/>
      <c r="C40" s="17"/>
      <c r="D40" s="12"/>
    </row>
    <row r="41" customFormat="false" ht="15" hidden="false" customHeight="false" outlineLevel="0" collapsed="false">
      <c r="A41" s="12"/>
      <c r="B41" s="14"/>
      <c r="C41" s="17"/>
      <c r="D41" s="12"/>
    </row>
    <row r="42" customFormat="false" ht="15" hidden="false" customHeight="false" outlineLevel="0" collapsed="false">
      <c r="A42" s="12"/>
      <c r="B42" s="14"/>
      <c r="C42" s="17"/>
      <c r="D42" s="12"/>
    </row>
    <row r="43" customFormat="false" ht="15" hidden="false" customHeight="false" outlineLevel="0" collapsed="false">
      <c r="A43" s="12"/>
      <c r="B43" s="14"/>
      <c r="C43" s="17"/>
      <c r="D43" s="12"/>
    </row>
    <row r="44" customFormat="false" ht="15" hidden="false" customHeight="false" outlineLevel="0" collapsed="false">
      <c r="A44" s="12"/>
      <c r="B44" s="14"/>
      <c r="C44" s="17"/>
      <c r="D44" s="12"/>
    </row>
    <row r="45" customFormat="false" ht="15" hidden="false" customHeight="false" outlineLevel="0" collapsed="false">
      <c r="A45" s="12"/>
      <c r="B45" s="14"/>
      <c r="C45" s="17"/>
      <c r="D45" s="12"/>
    </row>
    <row r="46" customFormat="false" ht="15" hidden="false" customHeight="false" outlineLevel="0" collapsed="false">
      <c r="A46" s="12"/>
      <c r="B46" s="14"/>
      <c r="C46" s="17"/>
      <c r="D46" s="12"/>
    </row>
    <row r="47" customFormat="false" ht="15" hidden="false" customHeight="false" outlineLevel="0" collapsed="false">
      <c r="A47" s="12"/>
      <c r="B47" s="14"/>
      <c r="C47" s="17"/>
      <c r="D47" s="12"/>
    </row>
    <row r="48" customFormat="false" ht="15" hidden="false" customHeight="false" outlineLevel="0" collapsed="false">
      <c r="A48" s="12"/>
      <c r="B48" s="14"/>
      <c r="C48" s="17"/>
      <c r="D48" s="12"/>
    </row>
    <row r="49" customFormat="false" ht="15" hidden="false" customHeight="false" outlineLevel="0" collapsed="false">
      <c r="A49" s="12"/>
      <c r="B49" s="14"/>
      <c r="C49" s="17"/>
      <c r="D49" s="12"/>
    </row>
    <row r="50" customFormat="false" ht="15" hidden="false" customHeight="false" outlineLevel="0" collapsed="false">
      <c r="A50" s="12"/>
      <c r="B50" s="14"/>
      <c r="C50" s="17"/>
      <c r="D50" s="12"/>
    </row>
    <row r="51" customFormat="false" ht="15" hidden="false" customHeight="false" outlineLevel="0" collapsed="false">
      <c r="A51" s="12"/>
      <c r="B51" s="14"/>
      <c r="C51" s="17"/>
      <c r="D51" s="12"/>
    </row>
    <row r="52" customFormat="false" ht="15" hidden="false" customHeight="false" outlineLevel="0" collapsed="false">
      <c r="A52" s="12"/>
      <c r="B52" s="14"/>
      <c r="C52" s="17"/>
      <c r="D52" s="12"/>
    </row>
    <row r="53" customFormat="false" ht="15" hidden="false" customHeight="false" outlineLevel="0" collapsed="false">
      <c r="A53" s="12"/>
      <c r="B53" s="14"/>
      <c r="C53" s="17"/>
      <c r="D53" s="12"/>
    </row>
    <row r="54" customFormat="false" ht="15" hidden="false" customHeight="false" outlineLevel="0" collapsed="false">
      <c r="A54" s="12"/>
      <c r="B54" s="14"/>
      <c r="C54" s="17"/>
      <c r="D54" s="12"/>
    </row>
    <row r="55" customFormat="false" ht="15" hidden="false" customHeight="false" outlineLevel="0" collapsed="false">
      <c r="A55" s="12"/>
      <c r="B55" s="14"/>
      <c r="C55" s="17"/>
      <c r="D55" s="12"/>
    </row>
    <row r="56" customFormat="false" ht="15" hidden="false" customHeight="false" outlineLevel="0" collapsed="false">
      <c r="A56" s="12"/>
      <c r="B56" s="14"/>
      <c r="C56" s="17"/>
      <c r="D56" s="12"/>
    </row>
    <row r="57" customFormat="false" ht="15" hidden="false" customHeight="false" outlineLevel="0" collapsed="false">
      <c r="A57" s="12"/>
      <c r="B57" s="14"/>
      <c r="C57" s="17"/>
      <c r="D57" s="12"/>
    </row>
    <row r="58" customFormat="false" ht="15" hidden="false" customHeight="false" outlineLevel="0" collapsed="false">
      <c r="A58" s="12"/>
      <c r="B58" s="14"/>
      <c r="C58" s="17"/>
      <c r="D58" s="12"/>
    </row>
    <row r="59" customFormat="false" ht="15" hidden="false" customHeight="false" outlineLevel="0" collapsed="false">
      <c r="A59" s="12"/>
      <c r="B59" s="14"/>
      <c r="C59" s="17"/>
      <c r="D59" s="12"/>
    </row>
    <row r="60" customFormat="false" ht="15" hidden="false" customHeight="false" outlineLevel="0" collapsed="false">
      <c r="A60" s="12"/>
      <c r="B60" s="14"/>
      <c r="C60" s="17"/>
      <c r="D60" s="12"/>
    </row>
    <row r="61" customFormat="false" ht="15" hidden="false" customHeight="false" outlineLevel="0" collapsed="false">
      <c r="A61" s="12"/>
      <c r="B61" s="14"/>
      <c r="C61" s="17"/>
      <c r="D61" s="12"/>
    </row>
    <row r="62" customFormat="false" ht="15" hidden="false" customHeight="false" outlineLevel="0" collapsed="false">
      <c r="A62" s="12"/>
      <c r="B62" s="14"/>
      <c r="C62" s="17"/>
      <c r="D62" s="12"/>
    </row>
    <row r="63" customFormat="false" ht="15" hidden="false" customHeight="false" outlineLevel="0" collapsed="false">
      <c r="A63" s="12"/>
      <c r="B63" s="14"/>
      <c r="C63" s="17"/>
      <c r="D63" s="12"/>
    </row>
    <row r="64" customFormat="false" ht="15" hidden="false" customHeight="false" outlineLevel="0" collapsed="false">
      <c r="A64" s="12"/>
      <c r="B64" s="14"/>
      <c r="C64" s="17"/>
      <c r="D64" s="12"/>
    </row>
    <row r="65" customFormat="false" ht="15" hidden="false" customHeight="false" outlineLevel="0" collapsed="false">
      <c r="A65" s="12"/>
      <c r="B65" s="14"/>
      <c r="C65" s="17"/>
      <c r="D65" s="12"/>
    </row>
    <row r="66" customFormat="false" ht="15" hidden="false" customHeight="false" outlineLevel="0" collapsed="false">
      <c r="A66" s="12"/>
      <c r="B66" s="14"/>
      <c r="C66" s="17"/>
      <c r="D66" s="12"/>
    </row>
    <row r="67" customFormat="false" ht="15" hidden="false" customHeight="false" outlineLevel="0" collapsed="false">
      <c r="A67" s="12"/>
      <c r="B67" s="14"/>
      <c r="C67" s="17"/>
      <c r="D67" s="12"/>
    </row>
    <row r="68" customFormat="false" ht="15" hidden="false" customHeight="false" outlineLevel="0" collapsed="false">
      <c r="A68" s="12"/>
      <c r="B68" s="14"/>
      <c r="C68" s="17"/>
      <c r="D68" s="12"/>
    </row>
    <row r="69" customFormat="false" ht="15" hidden="false" customHeight="false" outlineLevel="0" collapsed="false">
      <c r="A69" s="12"/>
      <c r="B69" s="14"/>
      <c r="C69" s="17"/>
      <c r="D69" s="12"/>
    </row>
    <row r="70" customFormat="false" ht="15" hidden="false" customHeight="false" outlineLevel="0" collapsed="false">
      <c r="A70" s="12"/>
      <c r="B70" s="14"/>
      <c r="C70" s="17"/>
      <c r="D70" s="12"/>
    </row>
    <row r="71" customFormat="false" ht="15" hidden="false" customHeight="false" outlineLevel="0" collapsed="false">
      <c r="A71" s="12"/>
      <c r="B71" s="14"/>
      <c r="C71" s="17"/>
      <c r="D71" s="12"/>
    </row>
    <row r="72" customFormat="false" ht="15" hidden="false" customHeight="false" outlineLevel="0" collapsed="false">
      <c r="A72" s="12"/>
      <c r="B72" s="14"/>
      <c r="C72" s="17"/>
      <c r="D72" s="12"/>
    </row>
    <row r="73" customFormat="false" ht="15" hidden="false" customHeight="false" outlineLevel="0" collapsed="false">
      <c r="A73" s="12"/>
      <c r="B73" s="14"/>
      <c r="C73" s="17"/>
      <c r="D73" s="12"/>
    </row>
    <row r="74" customFormat="false" ht="15" hidden="false" customHeight="false" outlineLevel="0" collapsed="false">
      <c r="A74" s="12"/>
      <c r="B74" s="14"/>
      <c r="C74" s="17"/>
      <c r="D74" s="12"/>
    </row>
    <row r="75" customFormat="false" ht="15" hidden="false" customHeight="false" outlineLevel="0" collapsed="false">
      <c r="A75" s="12"/>
      <c r="B75" s="14"/>
      <c r="C75" s="17"/>
      <c r="D75" s="12"/>
    </row>
    <row r="76" customFormat="false" ht="15" hidden="false" customHeight="false" outlineLevel="0" collapsed="false">
      <c r="A76" s="12"/>
      <c r="B76" s="14"/>
      <c r="C76" s="17"/>
      <c r="D76" s="12"/>
    </row>
    <row r="77" customFormat="false" ht="15" hidden="false" customHeight="false" outlineLevel="0" collapsed="false">
      <c r="A77" s="12"/>
      <c r="B77" s="14"/>
      <c r="C77" s="17"/>
      <c r="D77" s="12"/>
    </row>
    <row r="78" customFormat="false" ht="15" hidden="false" customHeight="false" outlineLevel="0" collapsed="false">
      <c r="A78" s="12"/>
      <c r="B78" s="14"/>
      <c r="C78" s="17"/>
      <c r="D78" s="12"/>
    </row>
    <row r="79" customFormat="false" ht="15" hidden="false" customHeight="false" outlineLevel="0" collapsed="false">
      <c r="A79" s="12"/>
      <c r="B79" s="14"/>
      <c r="C79" s="17"/>
      <c r="D79" s="12"/>
    </row>
    <row r="80" customFormat="false" ht="15" hidden="false" customHeight="false" outlineLevel="0" collapsed="false">
      <c r="A80" s="12"/>
      <c r="B80" s="14"/>
      <c r="C80" s="17"/>
      <c r="D80" s="12"/>
    </row>
    <row r="81" customFormat="false" ht="15" hidden="false" customHeight="false" outlineLevel="0" collapsed="false">
      <c r="A81" s="12"/>
      <c r="B81" s="14"/>
      <c r="C81" s="17"/>
      <c r="D81" s="12"/>
    </row>
    <row r="82" customFormat="false" ht="15" hidden="false" customHeight="false" outlineLevel="0" collapsed="false">
      <c r="A82" s="12"/>
      <c r="B82" s="14"/>
      <c r="C82" s="17"/>
      <c r="D82" s="12"/>
    </row>
    <row r="83" customFormat="false" ht="15" hidden="false" customHeight="false" outlineLevel="0" collapsed="false">
      <c r="A83" s="12"/>
      <c r="B83" s="14"/>
      <c r="C83" s="17"/>
      <c r="D83" s="12"/>
    </row>
    <row r="84" customFormat="false" ht="15" hidden="false" customHeight="false" outlineLevel="0" collapsed="false">
      <c r="A84" s="12"/>
      <c r="B84" s="14"/>
      <c r="C84" s="17"/>
      <c r="D84" s="12"/>
    </row>
    <row r="85" customFormat="false" ht="15" hidden="false" customHeight="false" outlineLevel="0" collapsed="false">
      <c r="A85" s="12"/>
      <c r="B85" s="14"/>
      <c r="C85" s="17"/>
      <c r="D85" s="12"/>
    </row>
    <row r="86" customFormat="false" ht="15" hidden="false" customHeight="false" outlineLevel="0" collapsed="false">
      <c r="A86" s="12"/>
      <c r="B86" s="14"/>
      <c r="C86" s="17"/>
      <c r="D86" s="12"/>
    </row>
    <row r="87" customFormat="false" ht="15" hidden="false" customHeight="false" outlineLevel="0" collapsed="false">
      <c r="A87" s="12"/>
      <c r="B87" s="14"/>
      <c r="C87" s="17"/>
      <c r="D87" s="12"/>
    </row>
    <row r="88" customFormat="false" ht="15" hidden="false" customHeight="false" outlineLevel="0" collapsed="false">
      <c r="A88" s="12"/>
      <c r="B88" s="14"/>
      <c r="C88" s="17"/>
      <c r="D88" s="12"/>
    </row>
    <row r="89" customFormat="false" ht="15" hidden="false" customHeight="false" outlineLevel="0" collapsed="false">
      <c r="A89" s="12"/>
      <c r="B89" s="14"/>
      <c r="C89" s="17"/>
      <c r="D89" s="12"/>
    </row>
    <row r="90" customFormat="false" ht="15" hidden="false" customHeight="false" outlineLevel="0" collapsed="false">
      <c r="A90" s="12"/>
      <c r="B90" s="14"/>
      <c r="C90" s="17"/>
      <c r="D90" s="12"/>
    </row>
    <row r="91" customFormat="false" ht="15" hidden="false" customHeight="false" outlineLevel="0" collapsed="false">
      <c r="A91" s="12"/>
      <c r="B91" s="14"/>
      <c r="C91" s="17"/>
      <c r="D91" s="12"/>
    </row>
    <row r="92" customFormat="false" ht="15" hidden="false" customHeight="false" outlineLevel="0" collapsed="false">
      <c r="A92" s="12"/>
      <c r="B92" s="14"/>
      <c r="C92" s="17"/>
      <c r="D92" s="12"/>
    </row>
    <row r="93" customFormat="false" ht="15" hidden="false" customHeight="false" outlineLevel="0" collapsed="false">
      <c r="A93" s="12"/>
      <c r="B93" s="14"/>
      <c r="C93" s="17"/>
      <c r="D93" s="12"/>
    </row>
    <row r="94" customFormat="false" ht="15" hidden="false" customHeight="false" outlineLevel="0" collapsed="false">
      <c r="A94" s="12"/>
      <c r="B94" s="14"/>
      <c r="C94" s="17"/>
      <c r="D94" s="12"/>
    </row>
    <row r="95" customFormat="false" ht="15" hidden="false" customHeight="false" outlineLevel="0" collapsed="false">
      <c r="A95" s="12"/>
      <c r="B95" s="14"/>
      <c r="C95" s="17"/>
      <c r="D95" s="12"/>
    </row>
    <row r="96" customFormat="false" ht="15" hidden="false" customHeight="false" outlineLevel="0" collapsed="false">
      <c r="A96" s="12"/>
      <c r="B96" s="14"/>
      <c r="C96" s="17"/>
      <c r="D96" s="12"/>
    </row>
    <row r="97" customFormat="false" ht="15" hidden="false" customHeight="false" outlineLevel="0" collapsed="false">
      <c r="A97" s="12"/>
      <c r="B97" s="14"/>
      <c r="C97" s="17"/>
      <c r="D97" s="12"/>
    </row>
    <row r="98" customFormat="false" ht="15" hidden="false" customHeight="false" outlineLevel="0" collapsed="false">
      <c r="A98" s="12"/>
      <c r="B98" s="14"/>
      <c r="C98" s="17"/>
      <c r="D98" s="12"/>
    </row>
    <row r="99" customFormat="false" ht="15" hidden="false" customHeight="false" outlineLevel="0" collapsed="false">
      <c r="A99" s="12"/>
      <c r="B99" s="14"/>
      <c r="C99" s="17"/>
      <c r="D99" s="12"/>
    </row>
    <row r="100" customFormat="false" ht="15" hidden="false" customHeight="false" outlineLevel="0" collapsed="false">
      <c r="A100" s="12"/>
      <c r="B100" s="14"/>
      <c r="C100" s="17"/>
      <c r="D100" s="12"/>
    </row>
    <row r="101" customFormat="false" ht="15" hidden="false" customHeight="false" outlineLevel="0" collapsed="false">
      <c r="A101" s="12"/>
      <c r="B101" s="14"/>
      <c r="C101" s="17"/>
      <c r="D101" s="12"/>
    </row>
    <row r="102" customFormat="false" ht="15" hidden="false" customHeight="false" outlineLevel="0" collapsed="false">
      <c r="A102" s="12"/>
      <c r="B102" s="14"/>
      <c r="C102" s="17"/>
      <c r="D102" s="12"/>
    </row>
    <row r="103" customFormat="false" ht="15" hidden="false" customHeight="false" outlineLevel="0" collapsed="false">
      <c r="A103" s="12"/>
      <c r="B103" s="14"/>
      <c r="C103" s="17"/>
      <c r="D103" s="12"/>
    </row>
    <row r="104" customFormat="false" ht="15" hidden="false" customHeight="false" outlineLevel="0" collapsed="false">
      <c r="A104" s="12"/>
      <c r="B104" s="14"/>
      <c r="C104" s="17"/>
      <c r="D104" s="12"/>
    </row>
    <row r="105" customFormat="false" ht="15" hidden="false" customHeight="false" outlineLevel="0" collapsed="false">
      <c r="A105" s="12"/>
      <c r="B105" s="14"/>
      <c r="C105" s="17"/>
      <c r="D105" s="12"/>
    </row>
    <row r="106" customFormat="false" ht="15" hidden="false" customHeight="false" outlineLevel="0" collapsed="false">
      <c r="A106" s="12"/>
      <c r="B106" s="14"/>
      <c r="C106" s="17"/>
      <c r="D106" s="12"/>
    </row>
    <row r="107" customFormat="false" ht="15" hidden="false" customHeight="false" outlineLevel="0" collapsed="false">
      <c r="A107" s="12"/>
      <c r="B107" s="14"/>
      <c r="C107" s="17"/>
      <c r="D107" s="12"/>
    </row>
    <row r="108" customFormat="false" ht="15" hidden="false" customHeight="false" outlineLevel="0" collapsed="false">
      <c r="A108" s="12"/>
      <c r="B108" s="14"/>
      <c r="C108" s="17"/>
      <c r="D108" s="12"/>
    </row>
    <row r="109" customFormat="false" ht="15" hidden="false" customHeight="false" outlineLevel="0" collapsed="false">
      <c r="A109" s="12"/>
      <c r="B109" s="14"/>
      <c r="C109" s="17"/>
      <c r="D109" s="12"/>
    </row>
    <row r="110" customFormat="false" ht="15" hidden="false" customHeight="false" outlineLevel="0" collapsed="false">
      <c r="A110" s="12"/>
      <c r="B110" s="14"/>
      <c r="C110" s="17"/>
      <c r="D110" s="12"/>
    </row>
    <row r="111" customFormat="false" ht="15" hidden="false" customHeight="false" outlineLevel="0" collapsed="false">
      <c r="A111" s="12"/>
      <c r="B111" s="14"/>
      <c r="C111" s="17"/>
      <c r="D111" s="12"/>
    </row>
    <row r="112" customFormat="false" ht="15" hidden="false" customHeight="false" outlineLevel="0" collapsed="false">
      <c r="A112" s="12"/>
      <c r="B112" s="14"/>
      <c r="C112" s="17"/>
      <c r="D112" s="12"/>
    </row>
    <row r="113" customFormat="false" ht="15" hidden="false" customHeight="false" outlineLevel="0" collapsed="false">
      <c r="A113" s="12"/>
      <c r="B113" s="14"/>
      <c r="C113" s="17"/>
      <c r="D113" s="12"/>
    </row>
    <row r="114" customFormat="false" ht="15" hidden="false" customHeight="false" outlineLevel="0" collapsed="false">
      <c r="A114" s="12"/>
      <c r="B114" s="14"/>
      <c r="C114" s="17"/>
      <c r="D114" s="12"/>
    </row>
    <row r="115" customFormat="false" ht="15" hidden="false" customHeight="false" outlineLevel="0" collapsed="false">
      <c r="A115" s="12"/>
      <c r="B115" s="14"/>
      <c r="C115" s="17"/>
      <c r="D115" s="12"/>
    </row>
    <row r="116" customFormat="false" ht="15" hidden="false" customHeight="false" outlineLevel="0" collapsed="false">
      <c r="A116" s="12"/>
      <c r="B116" s="14"/>
      <c r="C116" s="17"/>
      <c r="D116" s="12"/>
    </row>
    <row r="117" customFormat="false" ht="15" hidden="false" customHeight="false" outlineLevel="0" collapsed="false">
      <c r="A117" s="12"/>
      <c r="B117" s="14"/>
      <c r="C117" s="17"/>
      <c r="D117" s="12"/>
    </row>
    <row r="118" customFormat="false" ht="15" hidden="false" customHeight="false" outlineLevel="0" collapsed="false">
      <c r="A118" s="12"/>
      <c r="B118" s="14"/>
      <c r="C118" s="17"/>
      <c r="D118" s="12"/>
    </row>
    <row r="119" customFormat="false" ht="15" hidden="false" customHeight="false" outlineLevel="0" collapsed="false">
      <c r="A119" s="12"/>
      <c r="B119" s="14"/>
      <c r="C119" s="17"/>
      <c r="D119" s="12"/>
    </row>
    <row r="120" customFormat="false" ht="15" hidden="false" customHeight="false" outlineLevel="0" collapsed="false">
      <c r="A120" s="12"/>
      <c r="B120" s="14"/>
      <c r="C120" s="17"/>
      <c r="D120" s="12"/>
    </row>
    <row r="121" customFormat="false" ht="15" hidden="false" customHeight="false" outlineLevel="0" collapsed="false">
      <c r="A121" s="12"/>
      <c r="B121" s="14"/>
      <c r="C121" s="17"/>
      <c r="D121" s="12"/>
    </row>
    <row r="122" customFormat="false" ht="15" hidden="false" customHeight="false" outlineLevel="0" collapsed="false">
      <c r="A122" s="12"/>
      <c r="B122" s="14"/>
      <c r="C122" s="17"/>
      <c r="D122" s="12"/>
    </row>
    <row r="123" customFormat="false" ht="15" hidden="false" customHeight="false" outlineLevel="0" collapsed="false">
      <c r="A123" s="12"/>
      <c r="B123" s="14"/>
      <c r="C123" s="17"/>
      <c r="D123" s="12"/>
    </row>
    <row r="124" customFormat="false" ht="15" hidden="false" customHeight="false" outlineLevel="0" collapsed="false">
      <c r="A124" s="12"/>
      <c r="B124" s="14"/>
      <c r="C124" s="17"/>
      <c r="D124" s="12"/>
    </row>
    <row r="125" customFormat="false" ht="15" hidden="false" customHeight="false" outlineLevel="0" collapsed="false">
      <c r="A125" s="12"/>
      <c r="B125" s="14"/>
      <c r="C125" s="17"/>
      <c r="D125" s="12"/>
    </row>
    <row r="126" customFormat="false" ht="15" hidden="false" customHeight="false" outlineLevel="0" collapsed="false">
      <c r="A126" s="12"/>
      <c r="B126" s="14"/>
      <c r="C126" s="17"/>
      <c r="D126" s="12"/>
    </row>
    <row r="127" customFormat="false" ht="15" hidden="false" customHeight="false" outlineLevel="0" collapsed="false">
      <c r="A127" s="12"/>
      <c r="B127" s="14"/>
      <c r="C127" s="17"/>
      <c r="D127" s="12"/>
    </row>
    <row r="128" customFormat="false" ht="15" hidden="false" customHeight="false" outlineLevel="0" collapsed="false">
      <c r="A128" s="12"/>
      <c r="B128" s="14"/>
      <c r="C128" s="17"/>
      <c r="D128" s="12"/>
    </row>
    <row r="129" customFormat="false" ht="15" hidden="false" customHeight="false" outlineLevel="0" collapsed="false">
      <c r="A129" s="12"/>
      <c r="B129" s="14"/>
      <c r="C129" s="17"/>
      <c r="D129" s="12"/>
    </row>
    <row r="130" customFormat="false" ht="15" hidden="false" customHeight="false" outlineLevel="0" collapsed="false">
      <c r="A130" s="12"/>
      <c r="B130" s="14"/>
      <c r="C130" s="17"/>
      <c r="D130" s="12"/>
    </row>
    <row r="131" customFormat="false" ht="15" hidden="false" customHeight="false" outlineLevel="0" collapsed="false">
      <c r="A131" s="12"/>
      <c r="B131" s="14"/>
      <c r="C131" s="17"/>
      <c r="D131" s="12"/>
    </row>
    <row r="132" customFormat="false" ht="15" hidden="false" customHeight="false" outlineLevel="0" collapsed="false">
      <c r="A132" s="12"/>
      <c r="B132" s="14"/>
      <c r="C132" s="17"/>
      <c r="D132" s="12"/>
    </row>
    <row r="133" customFormat="false" ht="15" hidden="false" customHeight="false" outlineLevel="0" collapsed="false">
      <c r="A133" s="12"/>
      <c r="B133" s="14"/>
      <c r="C133" s="17"/>
      <c r="D133" s="12"/>
    </row>
    <row r="134" customFormat="false" ht="15" hidden="false" customHeight="false" outlineLevel="0" collapsed="false">
      <c r="A134" s="12"/>
      <c r="B134" s="14"/>
      <c r="C134" s="17"/>
      <c r="D134" s="12"/>
    </row>
    <row r="135" customFormat="false" ht="15" hidden="false" customHeight="false" outlineLevel="0" collapsed="false">
      <c r="A135" s="12"/>
      <c r="B135" s="14"/>
      <c r="C135" s="17"/>
      <c r="D135" s="12"/>
    </row>
    <row r="136" customFormat="false" ht="15" hidden="false" customHeight="false" outlineLevel="0" collapsed="false">
      <c r="A136" s="12"/>
      <c r="B136" s="14"/>
      <c r="C136" s="17"/>
      <c r="D136" s="12"/>
    </row>
    <row r="137" customFormat="false" ht="15" hidden="false" customHeight="false" outlineLevel="0" collapsed="false">
      <c r="A137" s="12"/>
      <c r="B137" s="14"/>
      <c r="C137" s="17"/>
      <c r="D137" s="12"/>
    </row>
    <row r="138" customFormat="false" ht="15" hidden="false" customHeight="false" outlineLevel="0" collapsed="false">
      <c r="A138" s="12"/>
      <c r="B138" s="14"/>
      <c r="C138" s="17"/>
      <c r="D138" s="12"/>
    </row>
    <row r="139" customFormat="false" ht="15" hidden="false" customHeight="false" outlineLevel="0" collapsed="false">
      <c r="A139" s="12"/>
      <c r="B139" s="14"/>
      <c r="C139" s="17"/>
      <c r="D139" s="12"/>
    </row>
    <row r="140" customFormat="false" ht="15" hidden="false" customHeight="false" outlineLevel="0" collapsed="false">
      <c r="A140" s="12"/>
      <c r="B140" s="14"/>
      <c r="C140" s="17"/>
      <c r="D140" s="12"/>
    </row>
    <row r="141" customFormat="false" ht="15" hidden="false" customHeight="false" outlineLevel="0" collapsed="false">
      <c r="A141" s="12"/>
      <c r="B141" s="14"/>
      <c r="C141" s="17"/>
      <c r="D141" s="12"/>
    </row>
    <row r="142" customFormat="false" ht="15" hidden="false" customHeight="false" outlineLevel="0" collapsed="false">
      <c r="A142" s="12"/>
      <c r="B142" s="14"/>
      <c r="C142" s="17"/>
      <c r="D142" s="12"/>
    </row>
    <row r="143" customFormat="false" ht="15" hidden="false" customHeight="false" outlineLevel="0" collapsed="false">
      <c r="A143" s="12"/>
      <c r="B143" s="14"/>
      <c r="C143" s="17"/>
      <c r="D143" s="12"/>
    </row>
    <row r="144" customFormat="false" ht="15" hidden="false" customHeight="false" outlineLevel="0" collapsed="false">
      <c r="A144" s="12"/>
      <c r="B144" s="14"/>
      <c r="C144" s="17"/>
      <c r="D144" s="12"/>
    </row>
    <row r="145" customFormat="false" ht="15" hidden="false" customHeight="false" outlineLevel="0" collapsed="false">
      <c r="A145" s="12"/>
      <c r="B145" s="14"/>
      <c r="C145" s="17"/>
      <c r="D145" s="12"/>
    </row>
    <row r="146" customFormat="false" ht="15" hidden="false" customHeight="false" outlineLevel="0" collapsed="false">
      <c r="A146" s="12"/>
      <c r="B146" s="14"/>
      <c r="C146" s="17"/>
      <c r="D146" s="12"/>
    </row>
    <row r="147" customFormat="false" ht="15" hidden="false" customHeight="false" outlineLevel="0" collapsed="false">
      <c r="A147" s="12"/>
      <c r="B147" s="14"/>
      <c r="C147" s="17"/>
      <c r="D147" s="12"/>
    </row>
    <row r="148" customFormat="false" ht="15" hidden="false" customHeight="false" outlineLevel="0" collapsed="false">
      <c r="A148" s="12"/>
      <c r="B148" s="14"/>
      <c r="C148" s="17"/>
      <c r="D148" s="12"/>
    </row>
    <row r="149" customFormat="false" ht="15" hidden="false" customHeight="false" outlineLevel="0" collapsed="false">
      <c r="A149" s="12"/>
      <c r="B149" s="14"/>
      <c r="C149" s="17"/>
      <c r="D149" s="12"/>
    </row>
    <row r="150" customFormat="false" ht="15" hidden="false" customHeight="false" outlineLevel="0" collapsed="false">
      <c r="A150" s="12"/>
      <c r="B150" s="14"/>
      <c r="C150" s="17"/>
      <c r="D150" s="12"/>
    </row>
    <row r="151" customFormat="false" ht="15" hidden="false" customHeight="false" outlineLevel="0" collapsed="false">
      <c r="A151" s="12"/>
      <c r="B151" s="14"/>
      <c r="C151" s="17"/>
      <c r="D151" s="12"/>
    </row>
    <row r="152" customFormat="false" ht="15" hidden="false" customHeight="false" outlineLevel="0" collapsed="false">
      <c r="A152" s="12"/>
      <c r="B152" s="14"/>
      <c r="C152" s="17"/>
      <c r="D152" s="12"/>
    </row>
    <row r="153" customFormat="false" ht="15" hidden="false" customHeight="false" outlineLevel="0" collapsed="false">
      <c r="A153" s="12"/>
      <c r="B153" s="14"/>
      <c r="C153" s="17"/>
      <c r="D153" s="12"/>
    </row>
    <row r="154" customFormat="false" ht="15" hidden="false" customHeight="false" outlineLevel="0" collapsed="false">
      <c r="A154" s="12"/>
      <c r="B154" s="14"/>
      <c r="C154" s="17"/>
      <c r="D154" s="12"/>
    </row>
    <row r="155" customFormat="false" ht="15" hidden="false" customHeight="false" outlineLevel="0" collapsed="false">
      <c r="A155" s="12"/>
      <c r="B155" s="14"/>
      <c r="C155" s="17"/>
      <c r="D155" s="12"/>
    </row>
    <row r="156" customFormat="false" ht="15" hidden="false" customHeight="false" outlineLevel="0" collapsed="false">
      <c r="A156" s="12"/>
      <c r="B156" s="14"/>
      <c r="C156" s="17"/>
      <c r="D156" s="12"/>
    </row>
    <row r="157" customFormat="false" ht="15" hidden="false" customHeight="false" outlineLevel="0" collapsed="false">
      <c r="A157" s="12"/>
      <c r="B157" s="14"/>
      <c r="C157" s="17"/>
      <c r="D157" s="12"/>
    </row>
    <row r="158" customFormat="false" ht="15" hidden="false" customHeight="false" outlineLevel="0" collapsed="false">
      <c r="A158" s="12"/>
      <c r="B158" s="14"/>
      <c r="C158" s="17"/>
      <c r="D158" s="12"/>
    </row>
    <row r="159" customFormat="false" ht="15" hidden="false" customHeight="false" outlineLevel="0" collapsed="false">
      <c r="A159" s="12"/>
      <c r="B159" s="14"/>
      <c r="C159" s="17"/>
      <c r="D159" s="12"/>
    </row>
    <row r="160" customFormat="false" ht="15" hidden="false" customHeight="false" outlineLevel="0" collapsed="false">
      <c r="A160" s="12"/>
      <c r="B160" s="14"/>
      <c r="C160" s="17"/>
      <c r="D160" s="12"/>
    </row>
    <row r="161" customFormat="false" ht="15" hidden="false" customHeight="false" outlineLevel="0" collapsed="false">
      <c r="A161" s="12"/>
      <c r="B161" s="14"/>
      <c r="C161" s="17"/>
      <c r="D161" s="12"/>
    </row>
    <row r="162" customFormat="false" ht="15" hidden="false" customHeight="false" outlineLevel="0" collapsed="false">
      <c r="A162" s="12"/>
      <c r="B162" s="14"/>
      <c r="C162" s="17"/>
      <c r="D162" s="12"/>
    </row>
    <row r="163" customFormat="false" ht="15" hidden="false" customHeight="false" outlineLevel="0" collapsed="false">
      <c r="A163" s="12"/>
      <c r="B163" s="14"/>
      <c r="C163" s="17"/>
      <c r="D163" s="12"/>
    </row>
    <row r="164" customFormat="false" ht="15" hidden="false" customHeight="false" outlineLevel="0" collapsed="false">
      <c r="A164" s="12"/>
      <c r="B164" s="14"/>
      <c r="C164" s="17"/>
      <c r="D164" s="12"/>
    </row>
    <row r="165" customFormat="false" ht="15" hidden="false" customHeight="false" outlineLevel="0" collapsed="false">
      <c r="A165" s="12"/>
      <c r="B165" s="14"/>
      <c r="C165" s="17"/>
      <c r="D165" s="12"/>
    </row>
    <row r="166" customFormat="false" ht="15" hidden="false" customHeight="false" outlineLevel="0" collapsed="false">
      <c r="A166" s="12"/>
      <c r="B166" s="14"/>
      <c r="C166" s="17"/>
      <c r="D166" s="12"/>
    </row>
    <row r="167" customFormat="false" ht="15" hidden="false" customHeight="false" outlineLevel="0" collapsed="false">
      <c r="A167" s="12"/>
      <c r="B167" s="14"/>
      <c r="C167" s="17"/>
      <c r="D167" s="12"/>
    </row>
    <row r="168" customFormat="false" ht="15" hidden="false" customHeight="false" outlineLevel="0" collapsed="false">
      <c r="A168" s="12"/>
      <c r="B168" s="14"/>
      <c r="C168" s="17"/>
      <c r="D168" s="12"/>
    </row>
    <row r="169" customFormat="false" ht="15" hidden="false" customHeight="false" outlineLevel="0" collapsed="false">
      <c r="A169" s="12"/>
      <c r="B169" s="14"/>
      <c r="C169" s="17"/>
      <c r="D169" s="12"/>
    </row>
    <row r="170" customFormat="false" ht="15" hidden="false" customHeight="false" outlineLevel="0" collapsed="false">
      <c r="A170" s="12"/>
      <c r="B170" s="14"/>
      <c r="C170" s="17"/>
      <c r="D170" s="12"/>
    </row>
    <row r="171" customFormat="false" ht="15" hidden="false" customHeight="false" outlineLevel="0" collapsed="false">
      <c r="A171" s="12"/>
      <c r="B171" s="14"/>
      <c r="C171" s="17"/>
      <c r="D171" s="12"/>
    </row>
    <row r="172" customFormat="false" ht="15" hidden="false" customHeight="false" outlineLevel="0" collapsed="false">
      <c r="A172" s="12"/>
      <c r="B172" s="14"/>
      <c r="C172" s="17"/>
      <c r="D172" s="12"/>
    </row>
    <row r="173" customFormat="false" ht="15" hidden="false" customHeight="false" outlineLevel="0" collapsed="false">
      <c r="A173" s="12"/>
      <c r="B173" s="14"/>
      <c r="C173" s="17"/>
      <c r="D173" s="12"/>
    </row>
    <row r="174" customFormat="false" ht="15" hidden="false" customHeight="false" outlineLevel="0" collapsed="false">
      <c r="A174" s="12"/>
      <c r="B174" s="14"/>
      <c r="C174" s="17"/>
      <c r="D174" s="12"/>
    </row>
    <row r="175" customFormat="false" ht="15" hidden="false" customHeight="false" outlineLevel="0" collapsed="false">
      <c r="A175" s="12"/>
      <c r="B175" s="14"/>
      <c r="C175" s="17"/>
      <c r="D175" s="12"/>
    </row>
    <row r="176" customFormat="false" ht="15" hidden="false" customHeight="false" outlineLevel="0" collapsed="false">
      <c r="A176" s="12"/>
      <c r="B176" s="14"/>
      <c r="C176" s="17"/>
      <c r="D176" s="12"/>
    </row>
    <row r="177" customFormat="false" ht="15" hidden="false" customHeight="false" outlineLevel="0" collapsed="false">
      <c r="A177" s="12"/>
      <c r="B177" s="14"/>
      <c r="C177" s="17"/>
      <c r="D177" s="12"/>
    </row>
    <row r="178" customFormat="false" ht="15" hidden="false" customHeight="false" outlineLevel="0" collapsed="false">
      <c r="A178" s="12"/>
      <c r="B178" s="14"/>
      <c r="C178" s="17"/>
      <c r="D178" s="12"/>
    </row>
    <row r="179" customFormat="false" ht="15" hidden="false" customHeight="false" outlineLevel="0" collapsed="false">
      <c r="A179" s="12"/>
      <c r="B179" s="14"/>
      <c r="C179" s="17"/>
      <c r="D179" s="12"/>
    </row>
    <row r="180" customFormat="false" ht="15" hidden="false" customHeight="false" outlineLevel="0" collapsed="false">
      <c r="A180" s="12"/>
      <c r="B180" s="14"/>
      <c r="C180" s="17"/>
      <c r="D180" s="12"/>
    </row>
    <row r="181" customFormat="false" ht="15" hidden="false" customHeight="false" outlineLevel="0" collapsed="false">
      <c r="A181" s="12"/>
      <c r="B181" s="14"/>
      <c r="C181" s="17"/>
      <c r="D181" s="12"/>
    </row>
    <row r="182" customFormat="false" ht="15" hidden="false" customHeight="false" outlineLevel="0" collapsed="false">
      <c r="A182" s="12"/>
      <c r="B182" s="14"/>
      <c r="C182" s="17"/>
      <c r="D182" s="12"/>
    </row>
    <row r="183" customFormat="false" ht="15" hidden="false" customHeight="false" outlineLevel="0" collapsed="false">
      <c r="A183" s="12"/>
      <c r="B183" s="14"/>
      <c r="C183" s="17"/>
      <c r="D183" s="12"/>
    </row>
    <row r="184" customFormat="false" ht="15" hidden="false" customHeight="false" outlineLevel="0" collapsed="false">
      <c r="A184" s="12"/>
      <c r="B184" s="14"/>
      <c r="C184" s="17"/>
      <c r="D184" s="12"/>
    </row>
    <row r="185" customFormat="false" ht="15" hidden="false" customHeight="false" outlineLevel="0" collapsed="false">
      <c r="A185" s="12"/>
      <c r="B185" s="14"/>
      <c r="C185" s="17"/>
      <c r="D185" s="12"/>
    </row>
    <row r="186" customFormat="false" ht="15" hidden="false" customHeight="false" outlineLevel="0" collapsed="false">
      <c r="A186" s="12"/>
      <c r="B186" s="14"/>
      <c r="C186" s="17"/>
      <c r="D186" s="12"/>
    </row>
    <row r="187" customFormat="false" ht="15" hidden="false" customHeight="false" outlineLevel="0" collapsed="false">
      <c r="A187" s="12"/>
      <c r="B187" s="14"/>
      <c r="C187" s="17"/>
      <c r="D187" s="12"/>
    </row>
    <row r="188" customFormat="false" ht="15" hidden="false" customHeight="false" outlineLevel="0" collapsed="false">
      <c r="A188" s="12"/>
      <c r="B188" s="14"/>
      <c r="C188" s="17"/>
      <c r="D188" s="12"/>
    </row>
    <row r="189" customFormat="false" ht="15" hidden="false" customHeight="false" outlineLevel="0" collapsed="false">
      <c r="A189" s="12"/>
      <c r="B189" s="14"/>
      <c r="C189" s="17"/>
      <c r="D189" s="12"/>
    </row>
    <row r="190" customFormat="false" ht="15" hidden="false" customHeight="false" outlineLevel="0" collapsed="false">
      <c r="A190" s="12"/>
      <c r="B190" s="14"/>
      <c r="C190" s="17"/>
      <c r="D190" s="12"/>
    </row>
    <row r="191" customFormat="false" ht="15" hidden="false" customHeight="false" outlineLevel="0" collapsed="false">
      <c r="A191" s="12"/>
      <c r="B191" s="14"/>
      <c r="C191" s="17"/>
      <c r="D191" s="12"/>
    </row>
    <row r="192" customFormat="false" ht="15" hidden="false" customHeight="false" outlineLevel="0" collapsed="false">
      <c r="A192" s="12"/>
      <c r="B192" s="14"/>
      <c r="C192" s="17"/>
      <c r="D192" s="12"/>
    </row>
    <row r="193" customFormat="false" ht="15" hidden="false" customHeight="false" outlineLevel="0" collapsed="false">
      <c r="A193" s="12"/>
      <c r="B193" s="14"/>
      <c r="C193" s="17"/>
      <c r="D193" s="12"/>
    </row>
    <row r="194" customFormat="false" ht="15" hidden="false" customHeight="false" outlineLevel="0" collapsed="false">
      <c r="A194" s="12"/>
      <c r="B194" s="14"/>
      <c r="C194" s="17"/>
      <c r="D194" s="12"/>
    </row>
    <row r="195" customFormat="false" ht="15" hidden="false" customHeight="false" outlineLevel="0" collapsed="false">
      <c r="A195" s="12"/>
      <c r="B195" s="14"/>
      <c r="C195" s="17"/>
      <c r="D195" s="12"/>
    </row>
    <row r="196" customFormat="false" ht="15" hidden="false" customHeight="false" outlineLevel="0" collapsed="false">
      <c r="A196" s="12"/>
      <c r="B196" s="14"/>
      <c r="C196" s="17"/>
      <c r="D196" s="12"/>
    </row>
    <row r="197" customFormat="false" ht="15" hidden="false" customHeight="false" outlineLevel="0" collapsed="false">
      <c r="A197" s="12"/>
      <c r="B197" s="14"/>
      <c r="C197" s="17"/>
      <c r="D197" s="12"/>
    </row>
    <row r="198" customFormat="false" ht="15" hidden="false" customHeight="false" outlineLevel="0" collapsed="false">
      <c r="A198" s="12"/>
      <c r="B198" s="14"/>
      <c r="C198" s="17"/>
      <c r="D198" s="12"/>
    </row>
    <row r="199" customFormat="false" ht="15" hidden="false" customHeight="false" outlineLevel="0" collapsed="false">
      <c r="A199" s="12"/>
      <c r="B199" s="14"/>
      <c r="C199" s="17"/>
      <c r="D199" s="12"/>
    </row>
    <row r="200" customFormat="false" ht="15" hidden="false" customHeight="false" outlineLevel="0" collapsed="false">
      <c r="A200" s="12"/>
      <c r="B200" s="14"/>
      <c r="C200" s="17"/>
      <c r="D200" s="12"/>
    </row>
    <row r="201" customFormat="false" ht="15" hidden="false" customHeight="false" outlineLevel="0" collapsed="false">
      <c r="A201" s="12"/>
      <c r="B201" s="14"/>
      <c r="C201" s="17"/>
      <c r="D201" s="12"/>
    </row>
    <row r="202" customFormat="false" ht="15" hidden="false" customHeight="false" outlineLevel="0" collapsed="false">
      <c r="A202" s="12"/>
      <c r="B202" s="14"/>
      <c r="C202" s="17"/>
      <c r="D202" s="12"/>
    </row>
    <row r="203" customFormat="false" ht="15" hidden="false" customHeight="false" outlineLevel="0" collapsed="false">
      <c r="A203" s="12"/>
      <c r="B203" s="14"/>
      <c r="C203" s="17"/>
      <c r="D203" s="12"/>
    </row>
    <row r="204" customFormat="false" ht="15" hidden="false" customHeight="false" outlineLevel="0" collapsed="false">
      <c r="A204" s="12"/>
      <c r="B204" s="14"/>
      <c r="C204" s="17"/>
      <c r="D204" s="12"/>
    </row>
    <row r="205" customFormat="false" ht="15" hidden="false" customHeight="false" outlineLevel="0" collapsed="false">
      <c r="A205" s="12"/>
      <c r="B205" s="14"/>
      <c r="C205" s="17"/>
      <c r="D205" s="12"/>
    </row>
    <row r="206" customFormat="false" ht="15" hidden="false" customHeight="false" outlineLevel="0" collapsed="false">
      <c r="A206" s="12"/>
      <c r="B206" s="14"/>
      <c r="C206" s="17"/>
      <c r="D206" s="12"/>
    </row>
    <row r="207" customFormat="false" ht="15" hidden="false" customHeight="false" outlineLevel="0" collapsed="false">
      <c r="A207" s="12"/>
      <c r="B207" s="14"/>
      <c r="C207" s="17"/>
      <c r="D207" s="12"/>
    </row>
    <row r="208" customFormat="false" ht="15" hidden="false" customHeight="false" outlineLevel="0" collapsed="false">
      <c r="A208" s="12"/>
      <c r="B208" s="14"/>
      <c r="C208" s="17"/>
      <c r="D208" s="12"/>
    </row>
    <row r="209" customFormat="false" ht="15" hidden="false" customHeight="false" outlineLevel="0" collapsed="false">
      <c r="A209" s="12"/>
      <c r="B209" s="14"/>
      <c r="C209" s="17"/>
      <c r="D209" s="12"/>
    </row>
    <row r="210" customFormat="false" ht="15" hidden="false" customHeight="false" outlineLevel="0" collapsed="false">
      <c r="A210" s="12"/>
      <c r="B210" s="14"/>
      <c r="C210" s="17"/>
      <c r="D210" s="12"/>
    </row>
    <row r="211" customFormat="false" ht="15" hidden="false" customHeight="false" outlineLevel="0" collapsed="false">
      <c r="A211" s="12"/>
      <c r="B211" s="14"/>
      <c r="C211" s="17"/>
      <c r="D211" s="12"/>
    </row>
    <row r="212" customFormat="false" ht="15" hidden="false" customHeight="false" outlineLevel="0" collapsed="false">
      <c r="A212" s="12"/>
      <c r="B212" s="14"/>
      <c r="C212" s="17"/>
      <c r="D212" s="12"/>
    </row>
    <row r="213" customFormat="false" ht="15" hidden="false" customHeight="false" outlineLevel="0" collapsed="false">
      <c r="A213" s="12"/>
      <c r="B213" s="14"/>
      <c r="C213" s="17"/>
      <c r="D213" s="12"/>
    </row>
    <row r="214" customFormat="false" ht="15" hidden="false" customHeight="false" outlineLevel="0" collapsed="false">
      <c r="A214" s="12"/>
      <c r="B214" s="14"/>
      <c r="C214" s="17"/>
      <c r="D214" s="12"/>
    </row>
    <row r="215" customFormat="false" ht="15" hidden="false" customHeight="false" outlineLevel="0" collapsed="false">
      <c r="A215" s="12"/>
      <c r="B215" s="14"/>
      <c r="C215" s="17"/>
      <c r="D215" s="12"/>
    </row>
    <row r="216" customFormat="false" ht="15" hidden="false" customHeight="false" outlineLevel="0" collapsed="false">
      <c r="A216" s="12"/>
      <c r="B216" s="14"/>
      <c r="C216" s="17"/>
      <c r="D216" s="12"/>
    </row>
    <row r="217" customFormat="false" ht="15" hidden="false" customHeight="false" outlineLevel="0" collapsed="false">
      <c r="A217" s="12"/>
      <c r="B217" s="14"/>
      <c r="C217" s="17"/>
      <c r="D217" s="12"/>
    </row>
    <row r="218" customFormat="false" ht="15" hidden="false" customHeight="false" outlineLevel="0" collapsed="false">
      <c r="A218" s="12"/>
      <c r="B218" s="14"/>
      <c r="C218" s="17"/>
      <c r="D218" s="12"/>
    </row>
    <row r="219" customFormat="false" ht="15" hidden="false" customHeight="false" outlineLevel="0" collapsed="false">
      <c r="A219" s="12"/>
      <c r="B219" s="14"/>
      <c r="C219" s="17"/>
      <c r="D219" s="12"/>
    </row>
    <row r="220" customFormat="false" ht="15" hidden="false" customHeight="false" outlineLevel="0" collapsed="false">
      <c r="A220" s="12"/>
      <c r="B220" s="14"/>
      <c r="C220" s="17"/>
      <c r="D220" s="12"/>
    </row>
    <row r="221" customFormat="false" ht="15" hidden="false" customHeight="false" outlineLevel="0" collapsed="false">
      <c r="A221" s="12"/>
      <c r="B221" s="14"/>
      <c r="C221" s="17"/>
      <c r="D221" s="12"/>
    </row>
    <row r="222" customFormat="false" ht="15" hidden="false" customHeight="false" outlineLevel="0" collapsed="false">
      <c r="A222" s="12"/>
      <c r="B222" s="14"/>
      <c r="C222" s="17"/>
      <c r="D222" s="12"/>
    </row>
    <row r="223" customFormat="false" ht="15" hidden="false" customHeight="false" outlineLevel="0" collapsed="false">
      <c r="A223" s="12"/>
      <c r="B223" s="14"/>
      <c r="C223" s="17"/>
      <c r="D223" s="12"/>
    </row>
    <row r="224" customFormat="false" ht="15" hidden="false" customHeight="false" outlineLevel="0" collapsed="false">
      <c r="A224" s="12"/>
      <c r="B224" s="14"/>
      <c r="C224" s="17"/>
      <c r="D224" s="12"/>
    </row>
    <row r="225" customFormat="false" ht="15" hidden="false" customHeight="false" outlineLevel="0" collapsed="false">
      <c r="A225" s="12"/>
      <c r="B225" s="14"/>
      <c r="C225" s="17"/>
      <c r="D225" s="12"/>
    </row>
    <row r="226" customFormat="false" ht="15" hidden="false" customHeight="false" outlineLevel="0" collapsed="false">
      <c r="A226" s="12"/>
      <c r="B226" s="14"/>
      <c r="C226" s="17"/>
      <c r="D226" s="12"/>
    </row>
    <row r="227" customFormat="false" ht="15" hidden="false" customHeight="false" outlineLevel="0" collapsed="false">
      <c r="A227" s="12"/>
      <c r="B227" s="14"/>
      <c r="C227" s="17"/>
      <c r="D227" s="12"/>
    </row>
    <row r="228" customFormat="false" ht="15" hidden="false" customHeight="false" outlineLevel="0" collapsed="false">
      <c r="A228" s="12"/>
      <c r="B228" s="14"/>
      <c r="C228" s="17"/>
      <c r="D228" s="12"/>
    </row>
    <row r="229" customFormat="false" ht="15" hidden="false" customHeight="false" outlineLevel="0" collapsed="false">
      <c r="A229" s="12"/>
      <c r="B229" s="14"/>
      <c r="C229" s="17"/>
      <c r="D229" s="12"/>
    </row>
    <row r="230" customFormat="false" ht="15" hidden="false" customHeight="false" outlineLevel="0" collapsed="false">
      <c r="A230" s="12"/>
      <c r="B230" s="14"/>
      <c r="C230" s="17"/>
      <c r="D230" s="12"/>
    </row>
    <row r="231" customFormat="false" ht="15" hidden="false" customHeight="false" outlineLevel="0" collapsed="false">
      <c r="A231" s="12"/>
      <c r="B231" s="14"/>
      <c r="C231" s="17"/>
      <c r="D231" s="12"/>
    </row>
    <row r="232" customFormat="false" ht="15" hidden="false" customHeight="false" outlineLevel="0" collapsed="false">
      <c r="A232" s="12"/>
      <c r="B232" s="14"/>
      <c r="C232" s="17"/>
      <c r="D232" s="12"/>
    </row>
    <row r="233" customFormat="false" ht="15" hidden="false" customHeight="false" outlineLevel="0" collapsed="false">
      <c r="A233" s="12"/>
      <c r="B233" s="14"/>
      <c r="C233" s="17"/>
      <c r="D233" s="12"/>
    </row>
    <row r="234" customFormat="false" ht="15" hidden="false" customHeight="false" outlineLevel="0" collapsed="false">
      <c r="A234" s="12"/>
      <c r="B234" s="14"/>
      <c r="C234" s="17"/>
      <c r="D234" s="12"/>
    </row>
    <row r="235" customFormat="false" ht="15" hidden="false" customHeight="false" outlineLevel="0" collapsed="false">
      <c r="A235" s="12"/>
      <c r="B235" s="14"/>
      <c r="C235" s="17"/>
      <c r="D235" s="12"/>
    </row>
    <row r="236" customFormat="false" ht="15" hidden="false" customHeight="false" outlineLevel="0" collapsed="false">
      <c r="A236" s="12"/>
      <c r="B236" s="14"/>
      <c r="C236" s="17"/>
      <c r="D236" s="12"/>
    </row>
    <row r="237" customFormat="false" ht="15" hidden="false" customHeight="false" outlineLevel="0" collapsed="false">
      <c r="A237" s="12"/>
      <c r="B237" s="14"/>
      <c r="C237" s="17"/>
      <c r="D237" s="12"/>
    </row>
    <row r="238" customFormat="false" ht="15" hidden="false" customHeight="false" outlineLevel="0" collapsed="false">
      <c r="A238" s="12"/>
      <c r="B238" s="14"/>
      <c r="C238" s="17"/>
      <c r="D238" s="12"/>
    </row>
    <row r="239" customFormat="false" ht="15" hidden="false" customHeight="false" outlineLevel="0" collapsed="false">
      <c r="A239" s="12"/>
      <c r="B239" s="14"/>
      <c r="C239" s="17"/>
      <c r="D239" s="12"/>
    </row>
    <row r="240" customFormat="false" ht="15" hidden="false" customHeight="false" outlineLevel="0" collapsed="false">
      <c r="A240" s="12"/>
      <c r="B240" s="14"/>
      <c r="C240" s="17"/>
      <c r="D240" s="12"/>
    </row>
    <row r="241" customFormat="false" ht="15" hidden="false" customHeight="false" outlineLevel="0" collapsed="false">
      <c r="A241" s="12"/>
      <c r="B241" s="14"/>
      <c r="C241" s="17"/>
      <c r="D241" s="12"/>
    </row>
    <row r="242" customFormat="false" ht="15" hidden="false" customHeight="false" outlineLevel="0" collapsed="false">
      <c r="A242" s="12"/>
      <c r="B242" s="14"/>
      <c r="C242" s="17"/>
      <c r="D242" s="12"/>
    </row>
    <row r="243" customFormat="false" ht="15" hidden="false" customHeight="false" outlineLevel="0" collapsed="false">
      <c r="A243" s="12"/>
      <c r="B243" s="14"/>
      <c r="C243" s="17"/>
      <c r="D243" s="12"/>
    </row>
    <row r="244" customFormat="false" ht="15" hidden="false" customHeight="false" outlineLevel="0" collapsed="false">
      <c r="A244" s="12"/>
      <c r="B244" s="14"/>
      <c r="C244" s="17"/>
      <c r="D244" s="12"/>
    </row>
    <row r="245" customFormat="false" ht="15" hidden="false" customHeight="false" outlineLevel="0" collapsed="false">
      <c r="A245" s="12"/>
      <c r="B245" s="14"/>
      <c r="C245" s="17"/>
      <c r="D245" s="12"/>
    </row>
    <row r="246" customFormat="false" ht="15" hidden="false" customHeight="false" outlineLevel="0" collapsed="false">
      <c r="A246" s="12"/>
      <c r="B246" s="14"/>
      <c r="C246" s="17"/>
      <c r="D246" s="12"/>
    </row>
    <row r="247" customFormat="false" ht="15" hidden="false" customHeight="false" outlineLevel="0" collapsed="false">
      <c r="A247" s="12"/>
      <c r="B247" s="14"/>
      <c r="C247" s="17"/>
      <c r="D247" s="12"/>
    </row>
    <row r="248" customFormat="false" ht="15" hidden="false" customHeight="false" outlineLevel="0" collapsed="false">
      <c r="A248" s="12"/>
      <c r="B248" s="14"/>
      <c r="C248" s="17"/>
      <c r="D248" s="12"/>
    </row>
    <row r="249" customFormat="false" ht="15" hidden="false" customHeight="false" outlineLevel="0" collapsed="false">
      <c r="A249" s="12"/>
      <c r="B249" s="14"/>
      <c r="C249" s="17"/>
      <c r="D249" s="12"/>
    </row>
    <row r="250" customFormat="false" ht="15" hidden="false" customHeight="false" outlineLevel="0" collapsed="false">
      <c r="A250" s="12"/>
      <c r="B250" s="14"/>
      <c r="C250" s="17"/>
      <c r="D250" s="12"/>
    </row>
    <row r="251" customFormat="false" ht="15" hidden="false" customHeight="false" outlineLevel="0" collapsed="false">
      <c r="A251" s="12"/>
      <c r="B251" s="14"/>
      <c r="C251" s="17"/>
      <c r="D251" s="12"/>
    </row>
    <row r="252" customFormat="false" ht="15" hidden="false" customHeight="false" outlineLevel="0" collapsed="false">
      <c r="A252" s="12"/>
      <c r="B252" s="14"/>
      <c r="C252" s="17"/>
      <c r="D252" s="12"/>
    </row>
    <row r="253" customFormat="false" ht="15" hidden="false" customHeight="false" outlineLevel="0" collapsed="false">
      <c r="A253" s="12"/>
      <c r="B253" s="14"/>
      <c r="C253" s="17"/>
      <c r="D253" s="12"/>
    </row>
    <row r="254" customFormat="false" ht="15" hidden="false" customHeight="false" outlineLevel="0" collapsed="false">
      <c r="A254" s="12"/>
      <c r="B254" s="14"/>
      <c r="C254" s="17"/>
      <c r="D254" s="12"/>
    </row>
    <row r="255" customFormat="false" ht="15" hidden="false" customHeight="false" outlineLevel="0" collapsed="false">
      <c r="A255" s="12"/>
      <c r="B255" s="14"/>
      <c r="C255" s="17"/>
      <c r="D255" s="12"/>
    </row>
    <row r="256" customFormat="false" ht="15" hidden="false" customHeight="false" outlineLevel="0" collapsed="false">
      <c r="A256" s="12"/>
      <c r="B256" s="14"/>
      <c r="C256" s="17"/>
      <c r="D256" s="12"/>
    </row>
    <row r="257" customFormat="false" ht="15" hidden="false" customHeight="false" outlineLevel="0" collapsed="false">
      <c r="A257" s="12"/>
      <c r="B257" s="14"/>
      <c r="C257" s="17"/>
      <c r="D257" s="12"/>
    </row>
    <row r="258" customFormat="false" ht="15" hidden="false" customHeight="false" outlineLevel="0" collapsed="false">
      <c r="A258" s="12"/>
      <c r="B258" s="14"/>
      <c r="C258" s="17"/>
      <c r="D258" s="12"/>
    </row>
    <row r="259" customFormat="false" ht="15" hidden="false" customHeight="false" outlineLevel="0" collapsed="false">
      <c r="A259" s="12"/>
      <c r="B259" s="14"/>
      <c r="C259" s="17"/>
      <c r="D259" s="12"/>
    </row>
    <row r="260" customFormat="false" ht="15" hidden="false" customHeight="false" outlineLevel="0" collapsed="false">
      <c r="A260" s="12"/>
      <c r="B260" s="14"/>
      <c r="C260" s="17"/>
      <c r="D260" s="12"/>
    </row>
    <row r="261" customFormat="false" ht="15" hidden="false" customHeight="false" outlineLevel="0" collapsed="false">
      <c r="A261" s="12"/>
      <c r="B261" s="14"/>
      <c r="C261" s="17"/>
      <c r="D261" s="12"/>
    </row>
    <row r="262" customFormat="false" ht="15" hidden="false" customHeight="false" outlineLevel="0" collapsed="false">
      <c r="A262" s="12"/>
      <c r="B262" s="14"/>
      <c r="C262" s="17"/>
      <c r="D262" s="12"/>
    </row>
    <row r="263" customFormat="false" ht="15" hidden="false" customHeight="false" outlineLevel="0" collapsed="false">
      <c r="A263" s="12"/>
      <c r="B263" s="14"/>
      <c r="C263" s="17"/>
      <c r="D263" s="12"/>
    </row>
    <row r="264" customFormat="false" ht="15" hidden="false" customHeight="false" outlineLevel="0" collapsed="false">
      <c r="A264" s="12"/>
      <c r="B264" s="14"/>
      <c r="C264" s="17"/>
      <c r="D264" s="12"/>
    </row>
    <row r="265" customFormat="false" ht="15" hidden="false" customHeight="false" outlineLevel="0" collapsed="false">
      <c r="A265" s="12"/>
      <c r="B265" s="14"/>
      <c r="C265" s="17"/>
      <c r="D265" s="12"/>
    </row>
    <row r="266" customFormat="false" ht="15" hidden="false" customHeight="false" outlineLevel="0" collapsed="false">
      <c r="A266" s="12"/>
      <c r="B266" s="14"/>
      <c r="C266" s="17"/>
      <c r="D266" s="12"/>
    </row>
    <row r="267" customFormat="false" ht="15" hidden="false" customHeight="false" outlineLevel="0" collapsed="false">
      <c r="A267" s="12"/>
      <c r="B267" s="14"/>
      <c r="C267" s="17"/>
      <c r="D267" s="12"/>
    </row>
    <row r="268" customFormat="false" ht="15" hidden="false" customHeight="false" outlineLevel="0" collapsed="false">
      <c r="A268" s="12"/>
      <c r="B268" s="14"/>
      <c r="C268" s="17"/>
      <c r="D268" s="12"/>
    </row>
    <row r="269" customFormat="false" ht="15" hidden="false" customHeight="false" outlineLevel="0" collapsed="false">
      <c r="A269" s="12"/>
      <c r="B269" s="14"/>
      <c r="C269" s="17"/>
      <c r="D269" s="12"/>
    </row>
    <row r="270" customFormat="false" ht="15" hidden="false" customHeight="false" outlineLevel="0" collapsed="false">
      <c r="A270" s="12"/>
      <c r="B270" s="14"/>
      <c r="C270" s="17"/>
      <c r="D270" s="12"/>
    </row>
    <row r="271" customFormat="false" ht="15" hidden="false" customHeight="false" outlineLevel="0" collapsed="false">
      <c r="A271" s="12"/>
      <c r="B271" s="14"/>
      <c r="C271" s="17"/>
      <c r="D271" s="12"/>
    </row>
    <row r="272" customFormat="false" ht="15" hidden="false" customHeight="false" outlineLevel="0" collapsed="false">
      <c r="A272" s="12"/>
      <c r="B272" s="14"/>
      <c r="C272" s="17"/>
      <c r="D272" s="12"/>
    </row>
    <row r="273" customFormat="false" ht="15" hidden="false" customHeight="false" outlineLevel="0" collapsed="false">
      <c r="A273" s="12"/>
      <c r="B273" s="14"/>
      <c r="C273" s="17"/>
      <c r="D273" s="12"/>
    </row>
    <row r="274" customFormat="false" ht="15" hidden="false" customHeight="false" outlineLevel="0" collapsed="false">
      <c r="A274" s="12"/>
      <c r="B274" s="14"/>
      <c r="C274" s="17"/>
      <c r="D274" s="12"/>
    </row>
    <row r="275" customFormat="false" ht="15" hidden="false" customHeight="false" outlineLevel="0" collapsed="false">
      <c r="A275" s="12"/>
      <c r="B275" s="14"/>
      <c r="C275" s="17"/>
      <c r="D275" s="12"/>
    </row>
    <row r="276" customFormat="false" ht="15" hidden="false" customHeight="false" outlineLevel="0" collapsed="false">
      <c r="A276" s="12"/>
      <c r="B276" s="14"/>
      <c r="C276" s="17"/>
      <c r="D276" s="12"/>
    </row>
    <row r="277" customFormat="false" ht="15" hidden="false" customHeight="false" outlineLevel="0" collapsed="false">
      <c r="A277" s="12"/>
      <c r="B277" s="14"/>
      <c r="C277" s="17"/>
      <c r="D277" s="12"/>
    </row>
    <row r="278" customFormat="false" ht="15" hidden="false" customHeight="false" outlineLevel="0" collapsed="false">
      <c r="A278" s="12"/>
      <c r="B278" s="14"/>
      <c r="C278" s="17"/>
      <c r="D278" s="12"/>
    </row>
    <row r="279" customFormat="false" ht="15" hidden="false" customHeight="false" outlineLevel="0" collapsed="false">
      <c r="A279" s="12"/>
      <c r="B279" s="14"/>
      <c r="C279" s="17"/>
      <c r="D279" s="12"/>
    </row>
    <row r="280" customFormat="false" ht="15" hidden="false" customHeight="false" outlineLevel="0" collapsed="false">
      <c r="A280" s="12"/>
      <c r="B280" s="14"/>
      <c r="C280" s="17"/>
      <c r="D280" s="12"/>
    </row>
    <row r="281" customFormat="false" ht="15" hidden="false" customHeight="false" outlineLevel="0" collapsed="false">
      <c r="A281" s="12"/>
      <c r="B281" s="14"/>
      <c r="C281" s="17"/>
      <c r="D281" s="12"/>
    </row>
    <row r="282" customFormat="false" ht="15" hidden="false" customHeight="false" outlineLevel="0" collapsed="false">
      <c r="A282" s="12"/>
      <c r="B282" s="14"/>
      <c r="C282" s="17"/>
      <c r="D282" s="12"/>
    </row>
    <row r="283" customFormat="false" ht="15" hidden="false" customHeight="false" outlineLevel="0" collapsed="false">
      <c r="A283" s="12"/>
      <c r="B283" s="14"/>
      <c r="C283" s="17"/>
      <c r="D283" s="12"/>
    </row>
    <row r="284" customFormat="false" ht="15" hidden="false" customHeight="false" outlineLevel="0" collapsed="false">
      <c r="A284" s="12"/>
      <c r="B284" s="14"/>
      <c r="C284" s="17"/>
      <c r="D284" s="12"/>
    </row>
    <row r="285" customFormat="false" ht="15" hidden="false" customHeight="false" outlineLevel="0" collapsed="false">
      <c r="A285" s="12"/>
      <c r="B285" s="14"/>
      <c r="C285" s="17"/>
      <c r="D285" s="12"/>
    </row>
    <row r="286" customFormat="false" ht="15" hidden="false" customHeight="false" outlineLevel="0" collapsed="false">
      <c r="A286" s="12"/>
      <c r="B286" s="14"/>
      <c r="C286" s="17"/>
      <c r="D286" s="12"/>
    </row>
    <row r="287" customFormat="false" ht="15" hidden="false" customHeight="false" outlineLevel="0" collapsed="false">
      <c r="A287" s="12"/>
      <c r="B287" s="14"/>
      <c r="C287" s="17"/>
      <c r="D287" s="12"/>
    </row>
    <row r="288" customFormat="false" ht="15" hidden="false" customHeight="false" outlineLevel="0" collapsed="false">
      <c r="A288" s="12"/>
      <c r="B288" s="14"/>
      <c r="C288" s="17"/>
      <c r="D288" s="12"/>
    </row>
    <row r="289" customFormat="false" ht="15" hidden="false" customHeight="false" outlineLevel="0" collapsed="false">
      <c r="A289" s="12"/>
      <c r="B289" s="14"/>
      <c r="C289" s="17"/>
      <c r="D289" s="12"/>
    </row>
    <row r="290" customFormat="false" ht="15" hidden="false" customHeight="false" outlineLevel="0" collapsed="false">
      <c r="A290" s="12"/>
      <c r="B290" s="14"/>
      <c r="C290" s="17"/>
      <c r="D290" s="12"/>
    </row>
    <row r="291" customFormat="false" ht="15" hidden="false" customHeight="false" outlineLevel="0" collapsed="false">
      <c r="A291" s="12"/>
      <c r="B291" s="14"/>
      <c r="C291" s="17"/>
      <c r="D291" s="12"/>
    </row>
    <row r="292" customFormat="false" ht="15" hidden="false" customHeight="false" outlineLevel="0" collapsed="false">
      <c r="A292" s="12"/>
      <c r="B292" s="14"/>
      <c r="C292" s="17"/>
      <c r="D292" s="12"/>
    </row>
    <row r="293" customFormat="false" ht="15" hidden="false" customHeight="false" outlineLevel="0" collapsed="false">
      <c r="A293" s="12"/>
      <c r="B293" s="14"/>
      <c r="C293" s="17"/>
      <c r="D293" s="12"/>
    </row>
    <row r="294" customFormat="false" ht="15" hidden="false" customHeight="false" outlineLevel="0" collapsed="false">
      <c r="A294" s="12"/>
      <c r="B294" s="14"/>
      <c r="C294" s="17"/>
      <c r="D294" s="12"/>
    </row>
    <row r="295" customFormat="false" ht="15" hidden="false" customHeight="false" outlineLevel="0" collapsed="false">
      <c r="A295" s="12"/>
      <c r="B295" s="14"/>
      <c r="C295" s="17"/>
      <c r="D295" s="12"/>
    </row>
    <row r="296" customFormat="false" ht="15" hidden="false" customHeight="false" outlineLevel="0" collapsed="false">
      <c r="A296" s="12"/>
      <c r="B296" s="14"/>
      <c r="C296" s="17"/>
      <c r="D296" s="12"/>
    </row>
    <row r="297" customFormat="false" ht="15" hidden="false" customHeight="false" outlineLevel="0" collapsed="false">
      <c r="A297" s="12"/>
      <c r="B297" s="14"/>
      <c r="C297" s="17"/>
      <c r="D297" s="12"/>
    </row>
    <row r="298" customFormat="false" ht="15" hidden="false" customHeight="false" outlineLevel="0" collapsed="false">
      <c r="A298" s="12"/>
      <c r="B298" s="14"/>
      <c r="C298" s="17"/>
      <c r="D298" s="12"/>
    </row>
    <row r="299" customFormat="false" ht="15" hidden="false" customHeight="false" outlineLevel="0" collapsed="false">
      <c r="A299" s="12"/>
      <c r="B299" s="14"/>
      <c r="C299" s="17"/>
      <c r="D299" s="12"/>
    </row>
    <row r="300" customFormat="false" ht="15" hidden="false" customHeight="false" outlineLevel="0" collapsed="false">
      <c r="A300" s="12"/>
      <c r="B300" s="14"/>
      <c r="C300" s="17"/>
      <c r="D300" s="12"/>
    </row>
    <row r="301" customFormat="false" ht="15" hidden="false" customHeight="false" outlineLevel="0" collapsed="false">
      <c r="A301" s="12"/>
      <c r="B301" s="14"/>
      <c r="C301" s="17"/>
      <c r="D301" s="12"/>
    </row>
    <row r="302" customFormat="false" ht="15" hidden="false" customHeight="false" outlineLevel="0" collapsed="false">
      <c r="A302" s="12"/>
      <c r="B302" s="14"/>
      <c r="C302" s="17"/>
      <c r="D302" s="12"/>
    </row>
    <row r="303" customFormat="false" ht="15" hidden="false" customHeight="false" outlineLevel="0" collapsed="false">
      <c r="A303" s="12"/>
      <c r="B303" s="14"/>
      <c r="C303" s="17"/>
      <c r="D303" s="12"/>
    </row>
    <row r="304" customFormat="false" ht="15" hidden="false" customHeight="false" outlineLevel="0" collapsed="false">
      <c r="A304" s="12"/>
      <c r="B304" s="14"/>
      <c r="C304" s="17"/>
      <c r="D304" s="12"/>
    </row>
    <row r="305" customFormat="false" ht="15" hidden="false" customHeight="false" outlineLevel="0" collapsed="false">
      <c r="A305" s="12"/>
      <c r="B305" s="14"/>
      <c r="C305" s="17"/>
      <c r="D305" s="12"/>
    </row>
    <row r="306" customFormat="false" ht="15" hidden="false" customHeight="false" outlineLevel="0" collapsed="false">
      <c r="A306" s="12"/>
      <c r="B306" s="14"/>
      <c r="C306" s="17"/>
      <c r="D306" s="12"/>
    </row>
    <row r="307" customFormat="false" ht="15" hidden="false" customHeight="false" outlineLevel="0" collapsed="false">
      <c r="A307" s="12"/>
      <c r="B307" s="14"/>
      <c r="C307" s="17"/>
      <c r="D307" s="12"/>
    </row>
    <row r="308" customFormat="false" ht="15" hidden="false" customHeight="false" outlineLevel="0" collapsed="false">
      <c r="A308" s="12"/>
      <c r="B308" s="14"/>
      <c r="C308" s="17"/>
      <c r="D308" s="12"/>
    </row>
    <row r="309" customFormat="false" ht="15" hidden="false" customHeight="false" outlineLevel="0" collapsed="false">
      <c r="A309" s="12"/>
      <c r="B309" s="14"/>
      <c r="C309" s="17"/>
      <c r="D309" s="12"/>
    </row>
    <row r="310" customFormat="false" ht="15" hidden="false" customHeight="false" outlineLevel="0" collapsed="false">
      <c r="A310" s="12"/>
      <c r="B310" s="14"/>
      <c r="C310" s="17"/>
      <c r="D310" s="12"/>
    </row>
    <row r="311" customFormat="false" ht="15" hidden="false" customHeight="false" outlineLevel="0" collapsed="false">
      <c r="A311" s="12"/>
      <c r="B311" s="14"/>
      <c r="C311" s="17"/>
      <c r="D311" s="12"/>
    </row>
    <row r="312" customFormat="false" ht="15" hidden="false" customHeight="false" outlineLevel="0" collapsed="false">
      <c r="A312" s="12"/>
      <c r="B312" s="14"/>
      <c r="C312" s="17"/>
      <c r="D312" s="12"/>
    </row>
    <row r="313" customFormat="false" ht="15" hidden="false" customHeight="false" outlineLevel="0" collapsed="false">
      <c r="A313" s="12"/>
      <c r="B313" s="14"/>
      <c r="C313" s="17"/>
      <c r="D313" s="12"/>
    </row>
    <row r="314" customFormat="false" ht="15" hidden="false" customHeight="false" outlineLevel="0" collapsed="false">
      <c r="A314" s="12"/>
      <c r="B314" s="14"/>
      <c r="C314" s="17"/>
      <c r="D314" s="12"/>
    </row>
    <row r="315" customFormat="false" ht="15" hidden="false" customHeight="false" outlineLevel="0" collapsed="false">
      <c r="A315" s="12"/>
      <c r="B315" s="14"/>
      <c r="C315" s="17"/>
      <c r="D315" s="12"/>
    </row>
    <row r="316" customFormat="false" ht="15" hidden="false" customHeight="false" outlineLevel="0" collapsed="false">
      <c r="A316" s="12"/>
      <c r="B316" s="14"/>
      <c r="C316" s="17"/>
      <c r="D316" s="12"/>
    </row>
    <row r="317" customFormat="false" ht="15" hidden="false" customHeight="false" outlineLevel="0" collapsed="false">
      <c r="A317" s="12"/>
      <c r="B317" s="14"/>
      <c r="C317" s="17"/>
      <c r="D317" s="12"/>
    </row>
    <row r="318" customFormat="false" ht="15" hidden="false" customHeight="false" outlineLevel="0" collapsed="false">
      <c r="A318" s="12"/>
      <c r="B318" s="14"/>
      <c r="C318" s="17"/>
      <c r="D318" s="12"/>
    </row>
    <row r="319" customFormat="false" ht="15" hidden="false" customHeight="false" outlineLevel="0" collapsed="false">
      <c r="A319" s="12"/>
      <c r="B319" s="14"/>
      <c r="C319" s="17"/>
      <c r="D319" s="12"/>
    </row>
    <row r="320" customFormat="false" ht="15" hidden="false" customHeight="false" outlineLevel="0" collapsed="false">
      <c r="A320" s="12"/>
      <c r="B320" s="14"/>
      <c r="C320" s="17"/>
      <c r="D320" s="12"/>
    </row>
    <row r="321" customFormat="false" ht="15" hidden="false" customHeight="false" outlineLevel="0" collapsed="false">
      <c r="A321" s="12"/>
      <c r="B321" s="14"/>
      <c r="C321" s="17"/>
      <c r="D321" s="12"/>
    </row>
    <row r="322" customFormat="false" ht="15" hidden="false" customHeight="false" outlineLevel="0" collapsed="false">
      <c r="A322" s="12"/>
      <c r="B322" s="14"/>
      <c r="C322" s="17"/>
      <c r="D322" s="12"/>
    </row>
    <row r="323" customFormat="false" ht="15" hidden="false" customHeight="false" outlineLevel="0" collapsed="false">
      <c r="A323" s="12"/>
      <c r="B323" s="14"/>
      <c r="C323" s="17"/>
      <c r="D323" s="12"/>
    </row>
    <row r="324" customFormat="false" ht="15" hidden="false" customHeight="false" outlineLevel="0" collapsed="false">
      <c r="A324" s="12"/>
      <c r="B324" s="14"/>
      <c r="C324" s="17"/>
      <c r="D324" s="12"/>
    </row>
    <row r="325" customFormat="false" ht="15" hidden="false" customHeight="false" outlineLevel="0" collapsed="false">
      <c r="A325" s="12"/>
      <c r="B325" s="14"/>
      <c r="C325" s="17"/>
      <c r="D325" s="12"/>
    </row>
    <row r="326" customFormat="false" ht="15" hidden="false" customHeight="false" outlineLevel="0" collapsed="false">
      <c r="A326" s="12"/>
      <c r="B326" s="14"/>
      <c r="C326" s="17"/>
      <c r="D326" s="12"/>
    </row>
    <row r="327" customFormat="false" ht="15" hidden="false" customHeight="false" outlineLevel="0" collapsed="false">
      <c r="A327" s="12"/>
      <c r="B327" s="14"/>
      <c r="C327" s="17"/>
      <c r="D327" s="12"/>
    </row>
    <row r="328" customFormat="false" ht="15" hidden="false" customHeight="false" outlineLevel="0" collapsed="false">
      <c r="A328" s="12"/>
      <c r="B328" s="14"/>
      <c r="C328" s="17"/>
      <c r="D328" s="12"/>
    </row>
    <row r="329" customFormat="false" ht="15" hidden="false" customHeight="false" outlineLevel="0" collapsed="false">
      <c r="A329" s="12"/>
      <c r="B329" s="14"/>
      <c r="C329" s="17"/>
      <c r="D329" s="12"/>
    </row>
    <row r="330" customFormat="false" ht="15" hidden="false" customHeight="false" outlineLevel="0" collapsed="false">
      <c r="A330" s="12"/>
      <c r="B330" s="14"/>
      <c r="C330" s="17"/>
      <c r="D330" s="12"/>
    </row>
    <row r="331" customFormat="false" ht="15" hidden="false" customHeight="false" outlineLevel="0" collapsed="false">
      <c r="A331" s="12"/>
      <c r="B331" s="14"/>
      <c r="C331" s="17"/>
      <c r="D331" s="12"/>
    </row>
    <row r="332" customFormat="false" ht="15" hidden="false" customHeight="false" outlineLevel="0" collapsed="false">
      <c r="A332" s="12"/>
      <c r="B332" s="14"/>
      <c r="C332" s="17"/>
      <c r="D332" s="12"/>
    </row>
    <row r="333" customFormat="false" ht="15" hidden="false" customHeight="false" outlineLevel="0" collapsed="false">
      <c r="A333" s="12"/>
      <c r="B333" s="14"/>
      <c r="C333" s="17"/>
      <c r="D333" s="12"/>
    </row>
    <row r="334" customFormat="false" ht="15" hidden="false" customHeight="false" outlineLevel="0" collapsed="false">
      <c r="A334" s="12"/>
      <c r="B334" s="14"/>
      <c r="C334" s="17"/>
      <c r="D334" s="12"/>
    </row>
    <row r="335" customFormat="false" ht="15" hidden="false" customHeight="false" outlineLevel="0" collapsed="false">
      <c r="A335" s="12"/>
      <c r="B335" s="14"/>
      <c r="C335" s="17"/>
      <c r="D335" s="12"/>
    </row>
    <row r="336" customFormat="false" ht="15" hidden="false" customHeight="false" outlineLevel="0" collapsed="false">
      <c r="A336" s="12"/>
      <c r="B336" s="14"/>
      <c r="C336" s="17"/>
      <c r="D336" s="12"/>
    </row>
    <row r="337" customFormat="false" ht="15" hidden="false" customHeight="false" outlineLevel="0" collapsed="false">
      <c r="A337" s="12"/>
      <c r="B337" s="14"/>
      <c r="C337" s="17"/>
      <c r="D337" s="12"/>
    </row>
    <row r="338" customFormat="false" ht="15" hidden="false" customHeight="false" outlineLevel="0" collapsed="false">
      <c r="A338" s="12"/>
      <c r="B338" s="14"/>
      <c r="C338" s="17"/>
      <c r="D338" s="12"/>
    </row>
    <row r="339" customFormat="false" ht="15" hidden="false" customHeight="false" outlineLevel="0" collapsed="false">
      <c r="A339" s="12"/>
      <c r="B339" s="14"/>
      <c r="C339" s="17"/>
      <c r="D339" s="12"/>
    </row>
    <row r="340" customFormat="false" ht="15" hidden="false" customHeight="false" outlineLevel="0" collapsed="false">
      <c r="A340" s="12"/>
      <c r="B340" s="14"/>
      <c r="C340" s="17"/>
      <c r="D340" s="12"/>
    </row>
    <row r="341" customFormat="false" ht="15" hidden="false" customHeight="false" outlineLevel="0" collapsed="false">
      <c r="A341" s="12"/>
      <c r="B341" s="14"/>
      <c r="C341" s="17"/>
      <c r="D341" s="12"/>
    </row>
    <row r="342" customFormat="false" ht="15" hidden="false" customHeight="false" outlineLevel="0" collapsed="false">
      <c r="A342" s="12"/>
      <c r="B342" s="14"/>
      <c r="C342" s="17"/>
      <c r="D342" s="12"/>
    </row>
    <row r="343" customFormat="false" ht="15" hidden="false" customHeight="false" outlineLevel="0" collapsed="false">
      <c r="A343" s="12"/>
      <c r="B343" s="14"/>
      <c r="C343" s="17"/>
      <c r="D343" s="12"/>
    </row>
    <row r="344" customFormat="false" ht="15" hidden="false" customHeight="false" outlineLevel="0" collapsed="false">
      <c r="A344" s="12"/>
      <c r="B344" s="14"/>
      <c r="C344" s="17"/>
      <c r="D344" s="12"/>
    </row>
    <row r="345" customFormat="false" ht="15" hidden="false" customHeight="false" outlineLevel="0" collapsed="false">
      <c r="A345" s="12"/>
      <c r="B345" s="14"/>
      <c r="C345" s="17"/>
      <c r="D345" s="12"/>
    </row>
    <row r="346" customFormat="false" ht="15" hidden="false" customHeight="false" outlineLevel="0" collapsed="false">
      <c r="A346" s="12"/>
      <c r="B346" s="14"/>
      <c r="C346" s="17"/>
      <c r="D346" s="12"/>
    </row>
    <row r="347" customFormat="false" ht="15" hidden="false" customHeight="false" outlineLevel="0" collapsed="false">
      <c r="A347" s="12"/>
      <c r="B347" s="14"/>
      <c r="C347" s="17"/>
      <c r="D347" s="12"/>
    </row>
    <row r="348" customFormat="false" ht="15" hidden="false" customHeight="false" outlineLevel="0" collapsed="false">
      <c r="A348" s="12"/>
      <c r="B348" s="14"/>
      <c r="C348" s="17"/>
      <c r="D348" s="12"/>
    </row>
    <row r="349" customFormat="false" ht="15" hidden="false" customHeight="false" outlineLevel="0" collapsed="false">
      <c r="A349" s="12"/>
      <c r="B349" s="14"/>
      <c r="C349" s="17"/>
      <c r="D349" s="12"/>
    </row>
    <row r="350" customFormat="false" ht="15" hidden="false" customHeight="false" outlineLevel="0" collapsed="false">
      <c r="A350" s="12"/>
      <c r="B350" s="14"/>
      <c r="C350" s="17"/>
      <c r="D350" s="12"/>
    </row>
    <row r="351" customFormat="false" ht="15" hidden="false" customHeight="false" outlineLevel="0" collapsed="false">
      <c r="A351" s="12"/>
      <c r="B351" s="14"/>
      <c r="C351" s="17"/>
      <c r="D351" s="12"/>
    </row>
    <row r="352" customFormat="false" ht="15" hidden="false" customHeight="false" outlineLevel="0" collapsed="false">
      <c r="A352" s="12"/>
      <c r="B352" s="14"/>
      <c r="C352" s="17"/>
      <c r="D352" s="12"/>
    </row>
    <row r="353" customFormat="false" ht="15" hidden="false" customHeight="false" outlineLevel="0" collapsed="false">
      <c r="A353" s="12"/>
      <c r="B353" s="14"/>
      <c r="C353" s="17"/>
      <c r="D353" s="12"/>
    </row>
    <row r="354" customFormat="false" ht="15" hidden="false" customHeight="false" outlineLevel="0" collapsed="false">
      <c r="A354" s="12"/>
      <c r="B354" s="14"/>
      <c r="C354" s="17"/>
      <c r="D354" s="12"/>
    </row>
    <row r="355" customFormat="false" ht="15" hidden="false" customHeight="false" outlineLevel="0" collapsed="false">
      <c r="A355" s="12"/>
      <c r="B355" s="14"/>
      <c r="C355" s="17"/>
      <c r="D355" s="12"/>
    </row>
    <row r="356" customFormat="false" ht="15" hidden="false" customHeight="false" outlineLevel="0" collapsed="false">
      <c r="A356" s="12"/>
      <c r="B356" s="14"/>
      <c r="C356" s="17"/>
      <c r="D356" s="12"/>
    </row>
    <row r="357" customFormat="false" ht="15" hidden="false" customHeight="false" outlineLevel="0" collapsed="false">
      <c r="A357" s="12"/>
      <c r="B357" s="14"/>
      <c r="C357" s="17"/>
      <c r="D357" s="12"/>
    </row>
    <row r="358" customFormat="false" ht="15" hidden="false" customHeight="false" outlineLevel="0" collapsed="false">
      <c r="A358" s="12"/>
      <c r="B358" s="14"/>
      <c r="C358" s="17"/>
      <c r="D358" s="12"/>
    </row>
    <row r="359" customFormat="false" ht="15" hidden="false" customHeight="false" outlineLevel="0" collapsed="false">
      <c r="A359" s="12"/>
      <c r="B359" s="14"/>
      <c r="C359" s="17"/>
      <c r="D359" s="12"/>
    </row>
    <row r="360" customFormat="false" ht="15" hidden="false" customHeight="false" outlineLevel="0" collapsed="false">
      <c r="A360" s="12"/>
      <c r="B360" s="14"/>
      <c r="C360" s="17"/>
      <c r="D360" s="12"/>
    </row>
    <row r="361" customFormat="false" ht="15" hidden="false" customHeight="false" outlineLevel="0" collapsed="false">
      <c r="A361" s="12"/>
      <c r="B361" s="14"/>
      <c r="C361" s="17"/>
      <c r="D361" s="12"/>
    </row>
    <row r="362" customFormat="false" ht="15" hidden="false" customHeight="false" outlineLevel="0" collapsed="false">
      <c r="A362" s="12"/>
      <c r="B362" s="14"/>
      <c r="C362" s="17"/>
      <c r="D362" s="12"/>
    </row>
    <row r="363" customFormat="false" ht="15" hidden="false" customHeight="false" outlineLevel="0" collapsed="false">
      <c r="A363" s="12"/>
      <c r="B363" s="14"/>
      <c r="C363" s="17"/>
      <c r="D363" s="12"/>
    </row>
    <row r="364" customFormat="false" ht="15" hidden="false" customHeight="false" outlineLevel="0" collapsed="false">
      <c r="A364" s="12"/>
      <c r="B364" s="14"/>
      <c r="C364" s="17"/>
      <c r="D364" s="12"/>
    </row>
    <row r="365" customFormat="false" ht="15" hidden="false" customHeight="false" outlineLevel="0" collapsed="false">
      <c r="A365" s="12"/>
      <c r="B365" s="14"/>
      <c r="C365" s="17"/>
      <c r="D365" s="12"/>
    </row>
    <row r="366" customFormat="false" ht="15" hidden="false" customHeight="false" outlineLevel="0" collapsed="false">
      <c r="A366" s="12"/>
      <c r="B366" s="14"/>
      <c r="C366" s="17"/>
      <c r="D366" s="12"/>
    </row>
    <row r="367" customFormat="false" ht="15" hidden="false" customHeight="false" outlineLevel="0" collapsed="false">
      <c r="A367" s="12"/>
      <c r="B367" s="14"/>
      <c r="C367" s="17"/>
      <c r="D367" s="12"/>
    </row>
    <row r="368" customFormat="false" ht="15" hidden="false" customHeight="false" outlineLevel="0" collapsed="false">
      <c r="A368" s="12"/>
      <c r="B368" s="14"/>
      <c r="C368" s="17"/>
      <c r="D368" s="12"/>
    </row>
    <row r="369" customFormat="false" ht="15" hidden="false" customHeight="false" outlineLevel="0" collapsed="false">
      <c r="A369" s="12"/>
      <c r="B369" s="14"/>
      <c r="C369" s="17"/>
      <c r="D369" s="12"/>
    </row>
    <row r="370" customFormat="false" ht="15" hidden="false" customHeight="false" outlineLevel="0" collapsed="false">
      <c r="A370" s="12"/>
      <c r="B370" s="14"/>
      <c r="C370" s="17"/>
      <c r="D370" s="12"/>
    </row>
    <row r="371" customFormat="false" ht="15" hidden="false" customHeight="false" outlineLevel="0" collapsed="false">
      <c r="A371" s="12"/>
      <c r="B371" s="14"/>
      <c r="C371" s="17"/>
      <c r="D371" s="12"/>
    </row>
    <row r="372" customFormat="false" ht="15" hidden="false" customHeight="false" outlineLevel="0" collapsed="false">
      <c r="A372" s="12"/>
      <c r="B372" s="14"/>
      <c r="C372" s="17"/>
      <c r="D372" s="12"/>
    </row>
    <row r="373" customFormat="false" ht="15" hidden="false" customHeight="false" outlineLevel="0" collapsed="false">
      <c r="A373" s="12"/>
      <c r="B373" s="14"/>
      <c r="C373" s="17"/>
      <c r="D373" s="12"/>
    </row>
    <row r="374" customFormat="false" ht="15" hidden="false" customHeight="false" outlineLevel="0" collapsed="false">
      <c r="A374" s="12"/>
      <c r="B374" s="14"/>
      <c r="C374" s="17"/>
      <c r="D374" s="12"/>
    </row>
    <row r="375" customFormat="false" ht="15" hidden="false" customHeight="false" outlineLevel="0" collapsed="false">
      <c r="A375" s="12"/>
      <c r="B375" s="14"/>
      <c r="C375" s="17"/>
      <c r="D375" s="12"/>
    </row>
    <row r="376" customFormat="false" ht="15" hidden="false" customHeight="false" outlineLevel="0" collapsed="false">
      <c r="A376" s="12"/>
      <c r="B376" s="14"/>
      <c r="C376" s="17"/>
      <c r="D376" s="12"/>
    </row>
    <row r="377" customFormat="false" ht="15" hidden="false" customHeight="false" outlineLevel="0" collapsed="false">
      <c r="A377" s="12"/>
      <c r="B377" s="14"/>
      <c r="C377" s="17"/>
      <c r="D377" s="12"/>
    </row>
    <row r="378" customFormat="false" ht="15" hidden="false" customHeight="false" outlineLevel="0" collapsed="false">
      <c r="A378" s="12"/>
      <c r="B378" s="14"/>
      <c r="C378" s="17"/>
      <c r="D378" s="12"/>
    </row>
    <row r="379" customFormat="false" ht="15" hidden="false" customHeight="false" outlineLevel="0" collapsed="false">
      <c r="A379" s="12"/>
      <c r="B379" s="14"/>
      <c r="C379" s="17"/>
      <c r="D379" s="12"/>
    </row>
    <row r="380" customFormat="false" ht="15" hidden="false" customHeight="false" outlineLevel="0" collapsed="false">
      <c r="A380" s="12"/>
      <c r="B380" s="14"/>
      <c r="C380" s="17"/>
      <c r="D380" s="12"/>
    </row>
    <row r="381" customFormat="false" ht="15" hidden="false" customHeight="false" outlineLevel="0" collapsed="false">
      <c r="A381" s="12"/>
      <c r="B381" s="14"/>
      <c r="C381" s="17"/>
      <c r="D381" s="12"/>
    </row>
    <row r="382" customFormat="false" ht="15" hidden="false" customHeight="false" outlineLevel="0" collapsed="false">
      <c r="A382" s="12"/>
      <c r="B382" s="14"/>
      <c r="C382" s="17"/>
      <c r="D382" s="12"/>
    </row>
    <row r="383" customFormat="false" ht="15" hidden="false" customHeight="false" outlineLevel="0" collapsed="false">
      <c r="A383" s="12"/>
      <c r="B383" s="14"/>
      <c r="C383" s="17"/>
      <c r="D383" s="12"/>
    </row>
    <row r="384" customFormat="false" ht="15" hidden="false" customHeight="false" outlineLevel="0" collapsed="false">
      <c r="A384" s="12"/>
      <c r="B384" s="14"/>
      <c r="C384" s="17"/>
      <c r="D384" s="12"/>
    </row>
    <row r="385" customFormat="false" ht="15" hidden="false" customHeight="false" outlineLevel="0" collapsed="false">
      <c r="A385" s="12"/>
      <c r="B385" s="14"/>
      <c r="C385" s="17"/>
      <c r="D385" s="12"/>
    </row>
    <row r="386" customFormat="false" ht="15" hidden="false" customHeight="false" outlineLevel="0" collapsed="false">
      <c r="A386" s="12"/>
      <c r="B386" s="14"/>
      <c r="C386" s="17"/>
      <c r="D386" s="12"/>
    </row>
    <row r="387" customFormat="false" ht="15" hidden="false" customHeight="false" outlineLevel="0" collapsed="false">
      <c r="A387" s="12"/>
      <c r="B387" s="14"/>
      <c r="C387" s="17"/>
      <c r="D387" s="12"/>
    </row>
    <row r="388" customFormat="false" ht="15" hidden="false" customHeight="false" outlineLevel="0" collapsed="false">
      <c r="A388" s="12"/>
      <c r="B388" s="14"/>
      <c r="C388" s="17"/>
      <c r="D388" s="12"/>
    </row>
    <row r="389" customFormat="false" ht="15" hidden="false" customHeight="false" outlineLevel="0" collapsed="false">
      <c r="A389" s="12"/>
      <c r="B389" s="14"/>
      <c r="C389" s="17"/>
      <c r="D389" s="12"/>
    </row>
    <row r="390" customFormat="false" ht="15" hidden="false" customHeight="false" outlineLevel="0" collapsed="false">
      <c r="A390" s="12"/>
      <c r="B390" s="14"/>
      <c r="C390" s="17"/>
      <c r="D390" s="12"/>
    </row>
    <row r="391" customFormat="false" ht="15" hidden="false" customHeight="false" outlineLevel="0" collapsed="false">
      <c r="A391" s="12"/>
      <c r="B391" s="14"/>
      <c r="C391" s="17"/>
      <c r="D391" s="12"/>
    </row>
    <row r="392" customFormat="false" ht="15" hidden="false" customHeight="false" outlineLevel="0" collapsed="false">
      <c r="A392" s="12"/>
      <c r="B392" s="14"/>
      <c r="C392" s="17"/>
      <c r="D392" s="12"/>
    </row>
    <row r="393" customFormat="false" ht="15" hidden="false" customHeight="false" outlineLevel="0" collapsed="false">
      <c r="A393" s="12"/>
      <c r="B393" s="14"/>
      <c r="C393" s="17"/>
      <c r="D393" s="12"/>
    </row>
    <row r="394" customFormat="false" ht="15" hidden="false" customHeight="false" outlineLevel="0" collapsed="false">
      <c r="A394" s="12"/>
      <c r="B394" s="14"/>
      <c r="C394" s="17"/>
      <c r="D394" s="12"/>
    </row>
    <row r="395" customFormat="false" ht="15" hidden="false" customHeight="false" outlineLevel="0" collapsed="false">
      <c r="A395" s="12"/>
      <c r="B395" s="14"/>
      <c r="C395" s="17"/>
      <c r="D395" s="12"/>
    </row>
    <row r="396" customFormat="false" ht="15" hidden="false" customHeight="false" outlineLevel="0" collapsed="false">
      <c r="A396" s="12"/>
      <c r="B396" s="14"/>
      <c r="C396" s="17"/>
      <c r="D396" s="12"/>
    </row>
    <row r="397" customFormat="false" ht="15" hidden="false" customHeight="false" outlineLevel="0" collapsed="false">
      <c r="A397" s="12"/>
      <c r="B397" s="14"/>
      <c r="C397" s="17"/>
      <c r="D397" s="12"/>
    </row>
    <row r="398" customFormat="false" ht="15" hidden="false" customHeight="false" outlineLevel="0" collapsed="false">
      <c r="A398" s="12"/>
      <c r="B398" s="14"/>
      <c r="C398" s="17"/>
      <c r="D398" s="12"/>
    </row>
    <row r="399" customFormat="false" ht="15" hidden="false" customHeight="false" outlineLevel="0" collapsed="false">
      <c r="A399" s="12"/>
      <c r="B399" s="14"/>
      <c r="C399" s="17"/>
      <c r="D399" s="12"/>
    </row>
    <row r="400" customFormat="false" ht="15" hidden="false" customHeight="false" outlineLevel="0" collapsed="false">
      <c r="A400" s="12"/>
      <c r="B400" s="14"/>
      <c r="C400" s="17"/>
      <c r="D400" s="12"/>
    </row>
    <row r="401" customFormat="false" ht="15" hidden="false" customHeight="false" outlineLevel="0" collapsed="false">
      <c r="A401" s="12"/>
      <c r="B401" s="14"/>
      <c r="C401" s="17"/>
      <c r="D401" s="12"/>
    </row>
    <row r="402" customFormat="false" ht="15" hidden="false" customHeight="false" outlineLevel="0" collapsed="false">
      <c r="A402" s="12"/>
      <c r="B402" s="14"/>
      <c r="C402" s="17"/>
      <c r="D402" s="12"/>
    </row>
    <row r="403" customFormat="false" ht="15" hidden="false" customHeight="false" outlineLevel="0" collapsed="false">
      <c r="A403" s="12"/>
      <c r="B403" s="14"/>
      <c r="C403" s="17"/>
      <c r="D403" s="12"/>
    </row>
    <row r="404" customFormat="false" ht="15" hidden="false" customHeight="false" outlineLevel="0" collapsed="false">
      <c r="A404" s="12"/>
      <c r="B404" s="14"/>
      <c r="C404" s="17"/>
      <c r="D404" s="12"/>
    </row>
    <row r="405" customFormat="false" ht="15" hidden="false" customHeight="false" outlineLevel="0" collapsed="false">
      <c r="A405" s="12"/>
      <c r="B405" s="14"/>
      <c r="C405" s="17"/>
      <c r="D405" s="12"/>
    </row>
    <row r="406" customFormat="false" ht="15" hidden="false" customHeight="false" outlineLevel="0" collapsed="false">
      <c r="A406" s="12"/>
      <c r="B406" s="14"/>
      <c r="C406" s="17"/>
      <c r="D406" s="12"/>
    </row>
    <row r="407" customFormat="false" ht="15" hidden="false" customHeight="false" outlineLevel="0" collapsed="false">
      <c r="A407" s="12"/>
      <c r="B407" s="14"/>
      <c r="C407" s="17"/>
      <c r="D407" s="12"/>
    </row>
    <row r="408" customFormat="false" ht="15" hidden="false" customHeight="false" outlineLevel="0" collapsed="false">
      <c r="A408" s="12"/>
      <c r="B408" s="14"/>
      <c r="C408" s="17"/>
      <c r="D408" s="12"/>
    </row>
    <row r="409" customFormat="false" ht="15" hidden="false" customHeight="false" outlineLevel="0" collapsed="false">
      <c r="A409" s="12"/>
      <c r="B409" s="14"/>
      <c r="C409" s="17"/>
      <c r="D409" s="12"/>
    </row>
    <row r="410" customFormat="false" ht="15" hidden="false" customHeight="false" outlineLevel="0" collapsed="false">
      <c r="A410" s="12"/>
      <c r="B410" s="14"/>
      <c r="C410" s="17"/>
      <c r="D410" s="12"/>
    </row>
    <row r="411" customFormat="false" ht="15" hidden="false" customHeight="false" outlineLevel="0" collapsed="false">
      <c r="A411" s="12"/>
      <c r="B411" s="14"/>
      <c r="C411" s="17"/>
      <c r="D411" s="12"/>
    </row>
    <row r="412" customFormat="false" ht="15" hidden="false" customHeight="false" outlineLevel="0" collapsed="false">
      <c r="A412" s="12"/>
      <c r="B412" s="14"/>
      <c r="C412" s="17"/>
      <c r="D412" s="12"/>
    </row>
    <row r="413" customFormat="false" ht="15" hidden="false" customHeight="false" outlineLevel="0" collapsed="false">
      <c r="A413" s="12"/>
      <c r="B413" s="14"/>
      <c r="C413" s="17"/>
      <c r="D413" s="12"/>
    </row>
    <row r="414" customFormat="false" ht="15" hidden="false" customHeight="false" outlineLevel="0" collapsed="false">
      <c r="A414" s="12"/>
      <c r="B414" s="14"/>
      <c r="C414" s="17"/>
      <c r="D414" s="12"/>
    </row>
    <row r="415" customFormat="false" ht="15" hidden="false" customHeight="false" outlineLevel="0" collapsed="false">
      <c r="A415" s="12"/>
      <c r="B415" s="14"/>
      <c r="C415" s="17"/>
      <c r="D415" s="12"/>
    </row>
    <row r="416" customFormat="false" ht="15" hidden="false" customHeight="false" outlineLevel="0" collapsed="false">
      <c r="A416" s="12"/>
      <c r="B416" s="14"/>
      <c r="C416" s="17"/>
      <c r="D416" s="12"/>
    </row>
    <row r="417" customFormat="false" ht="15" hidden="false" customHeight="false" outlineLevel="0" collapsed="false">
      <c r="A417" s="12"/>
      <c r="B417" s="14"/>
      <c r="C417" s="17"/>
      <c r="D417" s="12"/>
    </row>
    <row r="418" customFormat="false" ht="15" hidden="false" customHeight="false" outlineLevel="0" collapsed="false">
      <c r="A418" s="12"/>
      <c r="B418" s="14"/>
      <c r="C418" s="17"/>
      <c r="D418" s="12"/>
    </row>
    <row r="419" customFormat="false" ht="15" hidden="false" customHeight="false" outlineLevel="0" collapsed="false">
      <c r="A419" s="12"/>
      <c r="B419" s="14"/>
      <c r="C419" s="17"/>
      <c r="D419" s="12"/>
    </row>
    <row r="420" customFormat="false" ht="15" hidden="false" customHeight="false" outlineLevel="0" collapsed="false">
      <c r="A420" s="12"/>
      <c r="B420" s="14"/>
      <c r="C420" s="17"/>
      <c r="D420" s="12"/>
    </row>
    <row r="421" customFormat="false" ht="15" hidden="false" customHeight="false" outlineLevel="0" collapsed="false">
      <c r="A421" s="12"/>
      <c r="B421" s="14"/>
      <c r="C421" s="17"/>
      <c r="D421" s="12"/>
    </row>
    <row r="422" customFormat="false" ht="15" hidden="false" customHeight="false" outlineLevel="0" collapsed="false">
      <c r="A422" s="12"/>
      <c r="B422" s="14"/>
      <c r="C422" s="17"/>
      <c r="D422" s="12"/>
    </row>
    <row r="423" customFormat="false" ht="15" hidden="false" customHeight="false" outlineLevel="0" collapsed="false">
      <c r="A423" s="12"/>
      <c r="B423" s="14"/>
      <c r="C423" s="17"/>
      <c r="D423" s="12"/>
    </row>
    <row r="424" customFormat="false" ht="15" hidden="false" customHeight="false" outlineLevel="0" collapsed="false">
      <c r="A424" s="12"/>
      <c r="B424" s="14"/>
      <c r="C424" s="17"/>
      <c r="D424" s="12"/>
    </row>
    <row r="425" customFormat="false" ht="15" hidden="false" customHeight="false" outlineLevel="0" collapsed="false">
      <c r="A425" s="12"/>
      <c r="B425" s="14"/>
      <c r="C425" s="17"/>
      <c r="D425" s="12"/>
    </row>
    <row r="426" customFormat="false" ht="15" hidden="false" customHeight="false" outlineLevel="0" collapsed="false">
      <c r="A426" s="12"/>
      <c r="B426" s="14"/>
      <c r="C426" s="17"/>
      <c r="D426" s="12"/>
    </row>
    <row r="427" customFormat="false" ht="15" hidden="false" customHeight="false" outlineLevel="0" collapsed="false">
      <c r="A427" s="12"/>
      <c r="B427" s="14"/>
      <c r="C427" s="17"/>
      <c r="D427" s="12"/>
    </row>
    <row r="428" customFormat="false" ht="15" hidden="false" customHeight="false" outlineLevel="0" collapsed="false">
      <c r="A428" s="12"/>
      <c r="B428" s="14"/>
      <c r="C428" s="17"/>
      <c r="D428" s="12"/>
    </row>
    <row r="429" customFormat="false" ht="15" hidden="false" customHeight="false" outlineLevel="0" collapsed="false">
      <c r="A429" s="12"/>
      <c r="B429" s="14"/>
      <c r="C429" s="17"/>
      <c r="D429" s="12"/>
    </row>
    <row r="430" customFormat="false" ht="15" hidden="false" customHeight="false" outlineLevel="0" collapsed="false">
      <c r="A430" s="12"/>
      <c r="B430" s="14"/>
      <c r="C430" s="17"/>
      <c r="D430" s="12"/>
    </row>
    <row r="431" customFormat="false" ht="15" hidden="false" customHeight="false" outlineLevel="0" collapsed="false">
      <c r="A431" s="12"/>
      <c r="B431" s="14"/>
      <c r="C431" s="17"/>
      <c r="D431" s="12"/>
    </row>
    <row r="432" customFormat="false" ht="15" hidden="false" customHeight="false" outlineLevel="0" collapsed="false">
      <c r="A432" s="12"/>
      <c r="B432" s="14"/>
      <c r="C432" s="17"/>
      <c r="D432" s="12"/>
    </row>
    <row r="433" customFormat="false" ht="15" hidden="false" customHeight="false" outlineLevel="0" collapsed="false">
      <c r="A433" s="12"/>
      <c r="B433" s="14"/>
      <c r="C433" s="17"/>
      <c r="D433" s="12"/>
    </row>
    <row r="434" customFormat="false" ht="15" hidden="false" customHeight="false" outlineLevel="0" collapsed="false">
      <c r="A434" s="12"/>
      <c r="B434" s="14"/>
      <c r="C434" s="17"/>
      <c r="D434" s="12"/>
    </row>
    <row r="435" customFormat="false" ht="15" hidden="false" customHeight="false" outlineLevel="0" collapsed="false">
      <c r="A435" s="12"/>
      <c r="B435" s="14"/>
      <c r="C435" s="17"/>
      <c r="D435" s="12"/>
    </row>
    <row r="436" customFormat="false" ht="15" hidden="false" customHeight="false" outlineLevel="0" collapsed="false">
      <c r="A436" s="12"/>
      <c r="B436" s="14"/>
      <c r="C436" s="17"/>
      <c r="D436" s="12"/>
    </row>
    <row r="437" customFormat="false" ht="15" hidden="false" customHeight="false" outlineLevel="0" collapsed="false">
      <c r="A437" s="12"/>
      <c r="B437" s="14"/>
      <c r="C437" s="17"/>
      <c r="D437" s="12"/>
    </row>
    <row r="438" customFormat="false" ht="15" hidden="false" customHeight="false" outlineLevel="0" collapsed="false">
      <c r="A438" s="12"/>
      <c r="B438" s="14"/>
      <c r="C438" s="17"/>
      <c r="D438" s="12"/>
    </row>
    <row r="439" customFormat="false" ht="15" hidden="false" customHeight="false" outlineLevel="0" collapsed="false">
      <c r="A439" s="12"/>
      <c r="B439" s="14"/>
      <c r="C439" s="17"/>
      <c r="D439" s="12"/>
    </row>
    <row r="440" customFormat="false" ht="15" hidden="false" customHeight="false" outlineLevel="0" collapsed="false">
      <c r="A440" s="12"/>
      <c r="B440" s="14"/>
      <c r="C440" s="17"/>
      <c r="D440" s="12"/>
    </row>
    <row r="441" customFormat="false" ht="15" hidden="false" customHeight="false" outlineLevel="0" collapsed="false">
      <c r="A441" s="12"/>
      <c r="B441" s="14"/>
      <c r="C441" s="17"/>
      <c r="D441" s="12"/>
    </row>
    <row r="442" customFormat="false" ht="15" hidden="false" customHeight="false" outlineLevel="0" collapsed="false">
      <c r="A442" s="12"/>
      <c r="B442" s="14"/>
      <c r="C442" s="17"/>
      <c r="D442" s="12"/>
    </row>
    <row r="443" customFormat="false" ht="15" hidden="false" customHeight="false" outlineLevel="0" collapsed="false">
      <c r="A443" s="12"/>
      <c r="B443" s="14"/>
      <c r="C443" s="17"/>
      <c r="D443" s="12"/>
    </row>
    <row r="444" customFormat="false" ht="15" hidden="false" customHeight="false" outlineLevel="0" collapsed="false">
      <c r="A444" s="12"/>
      <c r="B444" s="14"/>
      <c r="C444" s="17"/>
      <c r="D444" s="12"/>
    </row>
    <row r="445" customFormat="false" ht="15" hidden="false" customHeight="false" outlineLevel="0" collapsed="false">
      <c r="A445" s="12"/>
      <c r="B445" s="14"/>
      <c r="C445" s="17"/>
      <c r="D445" s="12"/>
    </row>
    <row r="446" customFormat="false" ht="15" hidden="false" customHeight="false" outlineLevel="0" collapsed="false">
      <c r="A446" s="12"/>
      <c r="B446" s="14"/>
      <c r="C446" s="17"/>
      <c r="D446" s="12"/>
    </row>
    <row r="447" customFormat="false" ht="15" hidden="false" customHeight="false" outlineLevel="0" collapsed="false">
      <c r="A447" s="12"/>
      <c r="B447" s="14"/>
      <c r="C447" s="17"/>
      <c r="D447" s="12"/>
    </row>
    <row r="448" customFormat="false" ht="15" hidden="false" customHeight="false" outlineLevel="0" collapsed="false">
      <c r="A448" s="12"/>
      <c r="B448" s="14"/>
      <c r="C448" s="17"/>
      <c r="D448" s="12"/>
    </row>
    <row r="449" customFormat="false" ht="15" hidden="false" customHeight="false" outlineLevel="0" collapsed="false">
      <c r="A449" s="12"/>
      <c r="B449" s="14"/>
      <c r="C449" s="17"/>
      <c r="D449" s="12"/>
    </row>
    <row r="450" customFormat="false" ht="15" hidden="false" customHeight="false" outlineLevel="0" collapsed="false">
      <c r="A450" s="12"/>
      <c r="B450" s="14"/>
      <c r="C450" s="17"/>
      <c r="D450" s="12"/>
    </row>
    <row r="451" customFormat="false" ht="15" hidden="false" customHeight="false" outlineLevel="0" collapsed="false">
      <c r="A451" s="12"/>
      <c r="B451" s="14"/>
      <c r="C451" s="17"/>
      <c r="D451" s="12"/>
    </row>
    <row r="452" customFormat="false" ht="15" hidden="false" customHeight="false" outlineLevel="0" collapsed="false">
      <c r="A452" s="12"/>
      <c r="B452" s="14"/>
      <c r="C452" s="17"/>
      <c r="D452" s="12"/>
    </row>
    <row r="453" customFormat="false" ht="15" hidden="false" customHeight="false" outlineLevel="0" collapsed="false">
      <c r="A453" s="12"/>
      <c r="B453" s="14"/>
      <c r="C453" s="17"/>
      <c r="D453" s="12"/>
    </row>
    <row r="454" customFormat="false" ht="15" hidden="false" customHeight="false" outlineLevel="0" collapsed="false">
      <c r="A454" s="12"/>
      <c r="B454" s="14"/>
      <c r="C454" s="17"/>
      <c r="D454" s="12"/>
    </row>
    <row r="455" customFormat="false" ht="15" hidden="false" customHeight="false" outlineLevel="0" collapsed="false">
      <c r="A455" s="12"/>
      <c r="B455" s="14"/>
      <c r="C455" s="17"/>
      <c r="D455" s="12"/>
    </row>
    <row r="456" customFormat="false" ht="15" hidden="false" customHeight="false" outlineLevel="0" collapsed="false">
      <c r="A456" s="12"/>
      <c r="B456" s="14"/>
      <c r="C456" s="17"/>
      <c r="D456" s="12"/>
    </row>
    <row r="457" customFormat="false" ht="15" hidden="false" customHeight="false" outlineLevel="0" collapsed="false">
      <c r="A457" s="12"/>
      <c r="B457" s="14"/>
      <c r="C457" s="17"/>
      <c r="D457" s="12"/>
    </row>
    <row r="458" customFormat="false" ht="15" hidden="false" customHeight="false" outlineLevel="0" collapsed="false">
      <c r="A458" s="12"/>
      <c r="B458" s="14"/>
      <c r="C458" s="17"/>
      <c r="D458" s="12"/>
    </row>
    <row r="459" customFormat="false" ht="15" hidden="false" customHeight="false" outlineLevel="0" collapsed="false">
      <c r="A459" s="12"/>
      <c r="B459" s="14"/>
      <c r="C459" s="17"/>
      <c r="D459" s="12"/>
    </row>
    <row r="460" customFormat="false" ht="15" hidden="false" customHeight="false" outlineLevel="0" collapsed="false">
      <c r="A460" s="12"/>
      <c r="B460" s="14"/>
      <c r="C460" s="17"/>
      <c r="D460" s="12"/>
    </row>
    <row r="461" customFormat="false" ht="15" hidden="false" customHeight="false" outlineLevel="0" collapsed="false">
      <c r="A461" s="12"/>
      <c r="B461" s="14"/>
      <c r="C461" s="17"/>
      <c r="D461" s="12"/>
    </row>
    <row r="462" customFormat="false" ht="15" hidden="false" customHeight="false" outlineLevel="0" collapsed="false">
      <c r="A462" s="12"/>
      <c r="B462" s="14"/>
      <c r="C462" s="17"/>
      <c r="D462" s="12"/>
    </row>
    <row r="463" customFormat="false" ht="15" hidden="false" customHeight="false" outlineLevel="0" collapsed="false">
      <c r="A463" s="12"/>
      <c r="B463" s="14"/>
      <c r="C463" s="17"/>
      <c r="D463" s="12"/>
    </row>
    <row r="464" customFormat="false" ht="15" hidden="false" customHeight="false" outlineLevel="0" collapsed="false">
      <c r="A464" s="12"/>
      <c r="B464" s="14"/>
      <c r="C464" s="17"/>
      <c r="D464" s="12"/>
    </row>
    <row r="465" customFormat="false" ht="15" hidden="false" customHeight="false" outlineLevel="0" collapsed="false">
      <c r="A465" s="12"/>
      <c r="B465" s="14"/>
      <c r="C465" s="17"/>
      <c r="D465" s="12"/>
    </row>
    <row r="466" customFormat="false" ht="15" hidden="false" customHeight="false" outlineLevel="0" collapsed="false">
      <c r="A466" s="12"/>
      <c r="B466" s="14"/>
      <c r="C466" s="17"/>
      <c r="D466" s="12"/>
    </row>
    <row r="467" customFormat="false" ht="15" hidden="false" customHeight="false" outlineLevel="0" collapsed="false">
      <c r="A467" s="12"/>
      <c r="B467" s="14"/>
      <c r="C467" s="17"/>
      <c r="D467" s="12"/>
    </row>
    <row r="468" customFormat="false" ht="15" hidden="false" customHeight="false" outlineLevel="0" collapsed="false">
      <c r="A468" s="12"/>
      <c r="B468" s="14"/>
      <c r="C468" s="17"/>
      <c r="D468" s="12"/>
    </row>
    <row r="469" customFormat="false" ht="15" hidden="false" customHeight="false" outlineLevel="0" collapsed="false">
      <c r="A469" s="12"/>
      <c r="B469" s="14"/>
      <c r="C469" s="17"/>
      <c r="D469" s="12"/>
    </row>
    <row r="470" customFormat="false" ht="15" hidden="false" customHeight="false" outlineLevel="0" collapsed="false">
      <c r="A470" s="12"/>
      <c r="B470" s="14"/>
      <c r="C470" s="17"/>
      <c r="D470" s="12"/>
    </row>
    <row r="471" customFormat="false" ht="15" hidden="false" customHeight="false" outlineLevel="0" collapsed="false">
      <c r="A471" s="12"/>
      <c r="B471" s="14"/>
      <c r="C471" s="17"/>
      <c r="D471" s="12"/>
    </row>
    <row r="472" customFormat="false" ht="15" hidden="false" customHeight="false" outlineLevel="0" collapsed="false">
      <c r="A472" s="12"/>
      <c r="B472" s="14"/>
      <c r="C472" s="17"/>
      <c r="D472" s="12"/>
    </row>
    <row r="473" customFormat="false" ht="15" hidden="false" customHeight="false" outlineLevel="0" collapsed="false">
      <c r="A473" s="12"/>
      <c r="B473" s="14"/>
      <c r="C473" s="17"/>
      <c r="D473" s="12"/>
    </row>
    <row r="474" customFormat="false" ht="15" hidden="false" customHeight="false" outlineLevel="0" collapsed="false">
      <c r="A474" s="12"/>
      <c r="B474" s="14"/>
      <c r="C474" s="17"/>
      <c r="D474" s="12"/>
    </row>
    <row r="475" customFormat="false" ht="15" hidden="false" customHeight="false" outlineLevel="0" collapsed="false">
      <c r="A475" s="12"/>
      <c r="B475" s="14"/>
      <c r="C475" s="17"/>
      <c r="D475" s="12"/>
    </row>
    <row r="476" customFormat="false" ht="15" hidden="false" customHeight="false" outlineLevel="0" collapsed="false">
      <c r="A476" s="12"/>
      <c r="B476" s="14"/>
      <c r="C476" s="17"/>
      <c r="D476" s="12"/>
    </row>
    <row r="477" customFormat="false" ht="15" hidden="false" customHeight="false" outlineLevel="0" collapsed="false">
      <c r="A477" s="12"/>
      <c r="B477" s="14"/>
      <c r="C477" s="17"/>
      <c r="D477" s="12"/>
    </row>
    <row r="478" customFormat="false" ht="15" hidden="false" customHeight="false" outlineLevel="0" collapsed="false">
      <c r="A478" s="12"/>
      <c r="B478" s="14"/>
      <c r="C478" s="17"/>
      <c r="D478" s="12"/>
    </row>
    <row r="479" customFormat="false" ht="15" hidden="false" customHeight="false" outlineLevel="0" collapsed="false">
      <c r="A479" s="12"/>
      <c r="B479" s="14"/>
      <c r="C479" s="17"/>
      <c r="D479" s="12"/>
    </row>
    <row r="480" customFormat="false" ht="15" hidden="false" customHeight="false" outlineLevel="0" collapsed="false">
      <c r="A480" s="12"/>
      <c r="B480" s="14"/>
      <c r="C480" s="17"/>
      <c r="D480" s="12"/>
    </row>
    <row r="481" customFormat="false" ht="15" hidden="false" customHeight="false" outlineLevel="0" collapsed="false">
      <c r="A481" s="12"/>
      <c r="B481" s="14"/>
      <c r="C481" s="17"/>
      <c r="D481" s="12"/>
    </row>
    <row r="482" customFormat="false" ht="15" hidden="false" customHeight="false" outlineLevel="0" collapsed="false">
      <c r="A482" s="12"/>
      <c r="B482" s="14"/>
      <c r="C482" s="17"/>
      <c r="D482" s="12"/>
    </row>
    <row r="483" customFormat="false" ht="15" hidden="false" customHeight="false" outlineLevel="0" collapsed="false">
      <c r="A483" s="12"/>
      <c r="B483" s="14"/>
      <c r="C483" s="17"/>
      <c r="D483" s="12"/>
    </row>
    <row r="484" customFormat="false" ht="15" hidden="false" customHeight="false" outlineLevel="0" collapsed="false">
      <c r="A484" s="12"/>
      <c r="B484" s="14"/>
      <c r="C484" s="17"/>
      <c r="D484" s="12"/>
    </row>
    <row r="485" customFormat="false" ht="15" hidden="false" customHeight="false" outlineLevel="0" collapsed="false">
      <c r="A485" s="12"/>
      <c r="B485" s="14"/>
      <c r="C485" s="17"/>
      <c r="D485" s="12"/>
    </row>
    <row r="486" customFormat="false" ht="15" hidden="false" customHeight="false" outlineLevel="0" collapsed="false">
      <c r="A486" s="12"/>
      <c r="B486" s="14"/>
      <c r="C486" s="17"/>
      <c r="D486" s="12"/>
    </row>
    <row r="487" customFormat="false" ht="15" hidden="false" customHeight="false" outlineLevel="0" collapsed="false">
      <c r="A487" s="12"/>
      <c r="B487" s="14"/>
      <c r="C487" s="17"/>
      <c r="D487" s="12"/>
    </row>
    <row r="488" customFormat="false" ht="15" hidden="false" customHeight="false" outlineLevel="0" collapsed="false">
      <c r="A488" s="12"/>
      <c r="B488" s="14"/>
      <c r="C488" s="17"/>
      <c r="D488" s="12"/>
    </row>
    <row r="489" customFormat="false" ht="15" hidden="false" customHeight="false" outlineLevel="0" collapsed="false">
      <c r="A489" s="12"/>
      <c r="B489" s="14"/>
      <c r="C489" s="17"/>
      <c r="D489" s="12"/>
    </row>
    <row r="490" customFormat="false" ht="15" hidden="false" customHeight="false" outlineLevel="0" collapsed="false">
      <c r="A490" s="12"/>
      <c r="B490" s="14"/>
      <c r="C490" s="17"/>
      <c r="D490" s="12"/>
    </row>
    <row r="491" customFormat="false" ht="15" hidden="false" customHeight="false" outlineLevel="0" collapsed="false">
      <c r="A491" s="12"/>
      <c r="B491" s="14"/>
      <c r="C491" s="17"/>
      <c r="D491" s="12"/>
    </row>
    <row r="492" customFormat="false" ht="15" hidden="false" customHeight="false" outlineLevel="0" collapsed="false">
      <c r="A492" s="12"/>
      <c r="B492" s="14"/>
      <c r="C492" s="17"/>
      <c r="D492" s="12"/>
    </row>
    <row r="493" customFormat="false" ht="15" hidden="false" customHeight="false" outlineLevel="0" collapsed="false">
      <c r="A493" s="12"/>
      <c r="B493" s="14"/>
      <c r="C493" s="17"/>
      <c r="D493" s="12"/>
    </row>
    <row r="494" customFormat="false" ht="15" hidden="false" customHeight="false" outlineLevel="0" collapsed="false">
      <c r="A494" s="12"/>
      <c r="B494" s="14"/>
      <c r="C494" s="17"/>
      <c r="D494" s="12"/>
    </row>
    <row r="495" customFormat="false" ht="15" hidden="false" customHeight="false" outlineLevel="0" collapsed="false">
      <c r="A495" s="12"/>
      <c r="B495" s="14"/>
      <c r="C495" s="17"/>
      <c r="D495" s="12"/>
    </row>
    <row r="496" customFormat="false" ht="15" hidden="false" customHeight="false" outlineLevel="0" collapsed="false">
      <c r="A496" s="12"/>
      <c r="B496" s="14"/>
      <c r="C496" s="17"/>
      <c r="D496" s="12"/>
    </row>
    <row r="497" customFormat="false" ht="15" hidden="false" customHeight="false" outlineLevel="0" collapsed="false">
      <c r="A497" s="12"/>
      <c r="B497" s="14"/>
      <c r="C497" s="17"/>
      <c r="D497" s="12"/>
    </row>
    <row r="498" customFormat="false" ht="15" hidden="false" customHeight="false" outlineLevel="0" collapsed="false">
      <c r="A498" s="12"/>
      <c r="B498" s="14"/>
      <c r="C498" s="17"/>
      <c r="D498" s="12"/>
    </row>
    <row r="499" customFormat="false" ht="15" hidden="false" customHeight="false" outlineLevel="0" collapsed="false">
      <c r="A499" s="12"/>
      <c r="B499" s="14"/>
      <c r="C499" s="17"/>
      <c r="D499" s="12"/>
    </row>
    <row r="500" customFormat="false" ht="15" hidden="false" customHeight="false" outlineLevel="0" collapsed="false">
      <c r="A500" s="12"/>
      <c r="B500" s="14"/>
      <c r="C500" s="17"/>
      <c r="D500" s="12"/>
    </row>
    <row r="501" customFormat="false" ht="15" hidden="false" customHeight="false" outlineLevel="0" collapsed="false">
      <c r="A501" s="12"/>
      <c r="B501" s="14"/>
      <c r="C501" s="17"/>
      <c r="D501" s="12"/>
    </row>
    <row r="502" customFormat="false" ht="15" hidden="false" customHeight="false" outlineLevel="0" collapsed="false">
      <c r="A502" s="12"/>
      <c r="B502" s="14"/>
      <c r="C502" s="17"/>
      <c r="D502" s="12"/>
    </row>
    <row r="503" customFormat="false" ht="15" hidden="false" customHeight="false" outlineLevel="0" collapsed="false">
      <c r="A503" s="12"/>
      <c r="B503" s="14"/>
      <c r="C503" s="17"/>
      <c r="D503" s="12"/>
    </row>
    <row r="504" customFormat="false" ht="15" hidden="false" customHeight="false" outlineLevel="0" collapsed="false">
      <c r="A504" s="12"/>
      <c r="B504" s="14"/>
      <c r="C504" s="17"/>
      <c r="D504" s="12"/>
    </row>
  </sheetData>
  <dataValidations count="3">
    <dataValidation allowBlank="true" error="Geçerli bir tarih gir (örnek: 05.10.2026)." errorStyle="stop" errorTitle="Kontrol" operator="greaterThan" showDropDown="false" showErrorMessage="true" showInputMessage="false" sqref="B5:B504" type="date">
      <formula1>36526</formula1>
      <formula2>0</formula2>
    </dataValidation>
    <dataValidation allowBlank="true" error="Listeden seç." errorStyle="stop" errorTitle="Kontrol" operator="between" showDropDown="false" showErrorMessage="true" showInputMessage="false" sqref="A5:A504" type="list">
      <formula1>Personel!$A$5:$A$54</formula1>
      <formula2>0</formula2>
    </dataValidation>
    <dataValidation allowBlank="true" error="Sıfırdan büyük bir sayı gir." errorStyle="stop" errorTitle="Kontrol" operator="greaterThan" showDropDown="false" showErrorMessage="true" showInputMessage="false" sqref="C5:C504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AH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3" min="3" style="0" width="4.2"/>
    <col collapsed="false" customWidth="true" hidden="false" outlineLevel="0" max="34" min="34" style="0" width="9"/>
  </cols>
  <sheetData>
    <row r="1" customFormat="false" ht="19.7" hidden="false" customHeight="false" outlineLevel="0" collapsed="false">
      <c r="A1" s="8" t="s">
        <v>51</v>
      </c>
    </row>
    <row r="2" customFormat="false" ht="15" hidden="false" customHeight="false" outlineLevel="0" collapsed="false">
      <c r="A2" s="9" t="s">
        <v>52</v>
      </c>
    </row>
    <row r="3" customFormat="false" ht="15" hidden="false" customHeight="false" outlineLevel="0" collapsed="false">
      <c r="B3" s="0" t="s">
        <v>53</v>
      </c>
      <c r="C3" s="18" t="n">
        <v>10</v>
      </c>
      <c r="D3" s="18"/>
    </row>
    <row r="5" customFormat="false" ht="19.5" hidden="false" customHeight="true" outlineLevel="0" collapsed="false">
      <c r="B5" s="10" t="s">
        <v>32</v>
      </c>
      <c r="C5" s="19" t="n">
        <f aca="false">IF(DAY(DATE(Ayarlar!$C$4,$C$3,1))=1,DATE(Ayarlar!$C$4,$C$3,1),"")</f>
        <v>46296</v>
      </c>
      <c r="D5" s="19" t="n">
        <f aca="false">IF(DAY(DATE(Ayarlar!$C$4,$C$3,2))=2,DATE(Ayarlar!$C$4,$C$3,2),"")</f>
        <v>46297</v>
      </c>
      <c r="E5" s="19" t="n">
        <f aca="false">IF(DAY(DATE(Ayarlar!$C$4,$C$3,3))=3,DATE(Ayarlar!$C$4,$C$3,3),"")</f>
        <v>46298</v>
      </c>
      <c r="F5" s="19" t="n">
        <f aca="false">IF(DAY(DATE(Ayarlar!$C$4,$C$3,4))=4,DATE(Ayarlar!$C$4,$C$3,4),"")</f>
        <v>46299</v>
      </c>
      <c r="G5" s="19" t="n">
        <f aca="false">IF(DAY(DATE(Ayarlar!$C$4,$C$3,5))=5,DATE(Ayarlar!$C$4,$C$3,5),"")</f>
        <v>46300</v>
      </c>
      <c r="H5" s="19" t="n">
        <f aca="false">IF(DAY(DATE(Ayarlar!$C$4,$C$3,6))=6,DATE(Ayarlar!$C$4,$C$3,6),"")</f>
        <v>46301</v>
      </c>
      <c r="I5" s="19" t="n">
        <f aca="false">IF(DAY(DATE(Ayarlar!$C$4,$C$3,7))=7,DATE(Ayarlar!$C$4,$C$3,7),"")</f>
        <v>46302</v>
      </c>
      <c r="J5" s="19" t="n">
        <f aca="false">IF(DAY(DATE(Ayarlar!$C$4,$C$3,8))=8,DATE(Ayarlar!$C$4,$C$3,8),"")</f>
        <v>46303</v>
      </c>
      <c r="K5" s="19" t="n">
        <f aca="false">IF(DAY(DATE(Ayarlar!$C$4,$C$3,9))=9,DATE(Ayarlar!$C$4,$C$3,9),"")</f>
        <v>46304</v>
      </c>
      <c r="L5" s="19" t="n">
        <f aca="false">IF(DAY(DATE(Ayarlar!$C$4,$C$3,10))=10,DATE(Ayarlar!$C$4,$C$3,10),"")</f>
        <v>46305</v>
      </c>
      <c r="M5" s="19" t="n">
        <f aca="false">IF(DAY(DATE(Ayarlar!$C$4,$C$3,11))=11,DATE(Ayarlar!$C$4,$C$3,11),"")</f>
        <v>46306</v>
      </c>
      <c r="N5" s="19" t="n">
        <f aca="false">IF(DAY(DATE(Ayarlar!$C$4,$C$3,12))=12,DATE(Ayarlar!$C$4,$C$3,12),"")</f>
        <v>46307</v>
      </c>
      <c r="O5" s="19" t="n">
        <f aca="false">IF(DAY(DATE(Ayarlar!$C$4,$C$3,13))=13,DATE(Ayarlar!$C$4,$C$3,13),"")</f>
        <v>46308</v>
      </c>
      <c r="P5" s="19" t="n">
        <f aca="false">IF(DAY(DATE(Ayarlar!$C$4,$C$3,14))=14,DATE(Ayarlar!$C$4,$C$3,14),"")</f>
        <v>46309</v>
      </c>
      <c r="Q5" s="19" t="n">
        <f aca="false">IF(DAY(DATE(Ayarlar!$C$4,$C$3,15))=15,DATE(Ayarlar!$C$4,$C$3,15),"")</f>
        <v>46310</v>
      </c>
      <c r="R5" s="19" t="n">
        <f aca="false">IF(DAY(DATE(Ayarlar!$C$4,$C$3,16))=16,DATE(Ayarlar!$C$4,$C$3,16),"")</f>
        <v>46311</v>
      </c>
      <c r="S5" s="19" t="n">
        <f aca="false">IF(DAY(DATE(Ayarlar!$C$4,$C$3,17))=17,DATE(Ayarlar!$C$4,$C$3,17),"")</f>
        <v>46312</v>
      </c>
      <c r="T5" s="19" t="n">
        <f aca="false">IF(DAY(DATE(Ayarlar!$C$4,$C$3,18))=18,DATE(Ayarlar!$C$4,$C$3,18),"")</f>
        <v>46313</v>
      </c>
      <c r="U5" s="19" t="n">
        <f aca="false">IF(DAY(DATE(Ayarlar!$C$4,$C$3,19))=19,DATE(Ayarlar!$C$4,$C$3,19),"")</f>
        <v>46314</v>
      </c>
      <c r="V5" s="19" t="n">
        <f aca="false">IF(DAY(DATE(Ayarlar!$C$4,$C$3,20))=20,DATE(Ayarlar!$C$4,$C$3,20),"")</f>
        <v>46315</v>
      </c>
      <c r="W5" s="19" t="n">
        <f aca="false">IF(DAY(DATE(Ayarlar!$C$4,$C$3,21))=21,DATE(Ayarlar!$C$4,$C$3,21),"")</f>
        <v>46316</v>
      </c>
      <c r="X5" s="19" t="n">
        <f aca="false">IF(DAY(DATE(Ayarlar!$C$4,$C$3,22))=22,DATE(Ayarlar!$C$4,$C$3,22),"")</f>
        <v>46317</v>
      </c>
      <c r="Y5" s="19" t="n">
        <f aca="false">IF(DAY(DATE(Ayarlar!$C$4,$C$3,23))=23,DATE(Ayarlar!$C$4,$C$3,23),"")</f>
        <v>46318</v>
      </c>
      <c r="Z5" s="19" t="n">
        <f aca="false">IF(DAY(DATE(Ayarlar!$C$4,$C$3,24))=24,DATE(Ayarlar!$C$4,$C$3,24),"")</f>
        <v>46319</v>
      </c>
      <c r="AA5" s="19" t="n">
        <f aca="false">IF(DAY(DATE(Ayarlar!$C$4,$C$3,25))=25,DATE(Ayarlar!$C$4,$C$3,25),"")</f>
        <v>46320</v>
      </c>
      <c r="AB5" s="19" t="n">
        <f aca="false">IF(DAY(DATE(Ayarlar!$C$4,$C$3,26))=26,DATE(Ayarlar!$C$4,$C$3,26),"")</f>
        <v>46321</v>
      </c>
      <c r="AC5" s="19" t="n">
        <f aca="false">IF(DAY(DATE(Ayarlar!$C$4,$C$3,27))=27,DATE(Ayarlar!$C$4,$C$3,27),"")</f>
        <v>46322</v>
      </c>
      <c r="AD5" s="19" t="n">
        <f aca="false">IF(DAY(DATE(Ayarlar!$C$4,$C$3,28))=28,DATE(Ayarlar!$C$4,$C$3,28),"")</f>
        <v>46323</v>
      </c>
      <c r="AE5" s="19" t="n">
        <f aca="false">IF(DAY(DATE(Ayarlar!$C$4,$C$3,29))=29,DATE(Ayarlar!$C$4,$C$3,29),"")</f>
        <v>46324</v>
      </c>
      <c r="AF5" s="19" t="n">
        <f aca="false">IF(DAY(DATE(Ayarlar!$C$4,$C$3,30))=30,DATE(Ayarlar!$C$4,$C$3,30),"")</f>
        <v>46325</v>
      </c>
      <c r="AG5" s="19" t="n">
        <f aca="false">IF(DAY(DATE(Ayarlar!$C$4,$C$3,31))=31,DATE(Ayarlar!$C$4,$C$3,31),"")</f>
        <v>46326</v>
      </c>
      <c r="AH5" s="10" t="s">
        <v>54</v>
      </c>
    </row>
    <row r="6" customFormat="false" ht="15" hidden="false" customHeight="false" outlineLevel="0" collapsed="false">
      <c r="B6" s="16" t="str">
        <f aca="false">IF(Personel!A5="","",Personel!A5)</f>
        <v>Personel Alfa</v>
      </c>
      <c r="C6" s="20" t="str">
        <f aca="false">IF(OR($B6="",C$5=""),"",IF(SUMPRODUCT(MAX((İzinler!$A$5:$A$504=$B6)*(İzinler!$C$5:$C$504&lt;=C$5)*(İzinler!$D$5:$D$504&gt;=C$5)*ROW(İzinler!$A$5:$A$504)))=0,"",LEFT(SUBSTITUTE(SUBSTITUTE(INDEX(İzinler!$B$1:$B$504,SUMPRODUCT(MAX((İzinler!$A$5:$A$504=$B6)*(İzinler!$C$5:$C$504&lt;=C$5)*(İzinler!$D$5:$D$504&gt;=C$5)*ROW(İzinler!$A$5:$A$504)))),"Yıllık izin","İ"),"Ücretsiz izin","Ü"),1)))</f>
        <v/>
      </c>
      <c r="D6" s="20" t="str">
        <f aca="false">IF(OR($B6="",D$5=""),"",IF(SUMPRODUCT(MAX((İzinler!$A$5:$A$504=$B6)*(İzinler!$C$5:$C$504&lt;=D$5)*(İzinler!$D$5:$D$504&gt;=D$5)*ROW(İzinler!$A$5:$A$504)))=0,"",LEFT(SUBSTITUTE(SUBSTITUTE(INDEX(İzinler!$B$1:$B$504,SUMPRODUCT(MAX((İzinler!$A$5:$A$504=$B6)*(İzinler!$C$5:$C$504&lt;=D$5)*(İzinler!$D$5:$D$504&gt;=D$5)*ROW(İzinler!$A$5:$A$504)))),"Yıllık izin","İ"),"Ücretsiz izin","Ü"),1)))</f>
        <v/>
      </c>
      <c r="E6" s="20" t="str">
        <f aca="false">IF(OR($B6="",E$5=""),"",IF(SUMPRODUCT(MAX((İzinler!$A$5:$A$504=$B6)*(İzinler!$C$5:$C$504&lt;=E$5)*(İzinler!$D$5:$D$504&gt;=E$5)*ROW(İzinler!$A$5:$A$504)))=0,"",LEFT(SUBSTITUTE(SUBSTITUTE(INDEX(İzinler!$B$1:$B$504,SUMPRODUCT(MAX((İzinler!$A$5:$A$504=$B6)*(İzinler!$C$5:$C$504&lt;=E$5)*(İzinler!$D$5:$D$504&gt;=E$5)*ROW(İzinler!$A$5:$A$504)))),"Yıllık izin","İ"),"Ücretsiz izin","Ü"),1)))</f>
        <v/>
      </c>
      <c r="F6" s="20" t="str">
        <f aca="false">IF(OR($B6="",F$5=""),"",IF(SUMPRODUCT(MAX((İzinler!$A$5:$A$504=$B6)*(İzinler!$C$5:$C$504&lt;=F$5)*(İzinler!$D$5:$D$504&gt;=F$5)*ROW(İzinler!$A$5:$A$504)))=0,"",LEFT(SUBSTITUTE(SUBSTITUTE(INDEX(İzinler!$B$1:$B$504,SUMPRODUCT(MAX((İzinler!$A$5:$A$504=$B6)*(İzinler!$C$5:$C$504&lt;=F$5)*(İzinler!$D$5:$D$504&gt;=F$5)*ROW(İzinler!$A$5:$A$504)))),"Yıllık izin","İ"),"Ücretsiz izin","Ü"),1)))</f>
        <v/>
      </c>
      <c r="G6" s="20" t="str">
        <f aca="false">IF(OR($B6="",G$5=""),"",IF(SUMPRODUCT(MAX((İzinler!$A$5:$A$504=$B6)*(İzinler!$C$5:$C$504&lt;=G$5)*(İzinler!$D$5:$D$504&gt;=G$5)*ROW(İzinler!$A$5:$A$504)))=0,"",LEFT(SUBSTITUTE(SUBSTITUTE(INDEX(İzinler!$B$1:$B$504,SUMPRODUCT(MAX((İzinler!$A$5:$A$504=$B6)*(İzinler!$C$5:$C$504&lt;=G$5)*(İzinler!$D$5:$D$504&gt;=G$5)*ROW(İzinler!$A$5:$A$504)))),"Yıllık izin","İ"),"Ücretsiz izin","Ü"),1)))</f>
        <v/>
      </c>
      <c r="H6" s="20" t="str">
        <f aca="false">IF(OR($B6="",H$5=""),"",IF(SUMPRODUCT(MAX((İzinler!$A$5:$A$504=$B6)*(İzinler!$C$5:$C$504&lt;=H$5)*(İzinler!$D$5:$D$504&gt;=H$5)*ROW(İzinler!$A$5:$A$504)))=0,"",LEFT(SUBSTITUTE(SUBSTITUTE(INDEX(İzinler!$B$1:$B$504,SUMPRODUCT(MAX((İzinler!$A$5:$A$504=$B6)*(İzinler!$C$5:$C$504&lt;=H$5)*(İzinler!$D$5:$D$504&gt;=H$5)*ROW(İzinler!$A$5:$A$504)))),"Yıllık izin","İ"),"Ücretsiz izin","Ü"),1)))</f>
        <v/>
      </c>
      <c r="I6" s="20" t="str">
        <f aca="false">IF(OR($B6="",I$5=""),"",IF(SUMPRODUCT(MAX((İzinler!$A$5:$A$504=$B6)*(İzinler!$C$5:$C$504&lt;=I$5)*(İzinler!$D$5:$D$504&gt;=I$5)*ROW(İzinler!$A$5:$A$504)))=0,"",LEFT(SUBSTITUTE(SUBSTITUTE(INDEX(İzinler!$B$1:$B$504,SUMPRODUCT(MAX((İzinler!$A$5:$A$504=$B6)*(İzinler!$C$5:$C$504&lt;=I$5)*(İzinler!$D$5:$D$504&gt;=I$5)*ROW(İzinler!$A$5:$A$504)))),"Yıllık izin","İ"),"Ücretsiz izin","Ü"),1)))</f>
        <v/>
      </c>
      <c r="J6" s="20" t="str">
        <f aca="false">IF(OR($B6="",J$5=""),"",IF(SUMPRODUCT(MAX((İzinler!$A$5:$A$504=$B6)*(İzinler!$C$5:$C$504&lt;=J$5)*(İzinler!$D$5:$D$504&gt;=J$5)*ROW(İzinler!$A$5:$A$504)))=0,"",LEFT(SUBSTITUTE(SUBSTITUTE(INDEX(İzinler!$B$1:$B$504,SUMPRODUCT(MAX((İzinler!$A$5:$A$504=$B6)*(İzinler!$C$5:$C$504&lt;=J$5)*(İzinler!$D$5:$D$504&gt;=J$5)*ROW(İzinler!$A$5:$A$504)))),"Yıllık izin","İ"),"Ücretsiz izin","Ü"),1)))</f>
        <v/>
      </c>
      <c r="K6" s="20" t="str">
        <f aca="false">IF(OR($B6="",K$5=""),"",IF(SUMPRODUCT(MAX((İzinler!$A$5:$A$504=$B6)*(İzinler!$C$5:$C$504&lt;=K$5)*(İzinler!$D$5:$D$504&gt;=K$5)*ROW(İzinler!$A$5:$A$504)))=0,"",LEFT(SUBSTITUTE(SUBSTITUTE(INDEX(İzinler!$B$1:$B$504,SUMPRODUCT(MAX((İzinler!$A$5:$A$504=$B6)*(İzinler!$C$5:$C$504&lt;=K$5)*(İzinler!$D$5:$D$504&gt;=K$5)*ROW(İzinler!$A$5:$A$504)))),"Yıllık izin","İ"),"Ücretsiz izin","Ü"),1)))</f>
        <v/>
      </c>
      <c r="L6" s="20" t="str">
        <f aca="false">IF(OR($B6="",L$5=""),"",IF(SUMPRODUCT(MAX((İzinler!$A$5:$A$504=$B6)*(İzinler!$C$5:$C$504&lt;=L$5)*(İzinler!$D$5:$D$504&gt;=L$5)*ROW(İzinler!$A$5:$A$504)))=0,"",LEFT(SUBSTITUTE(SUBSTITUTE(INDEX(İzinler!$B$1:$B$504,SUMPRODUCT(MAX((İzinler!$A$5:$A$504=$B6)*(İzinler!$C$5:$C$504&lt;=L$5)*(İzinler!$D$5:$D$504&gt;=L$5)*ROW(İzinler!$A$5:$A$504)))),"Yıllık izin","İ"),"Ücretsiz izin","Ü"),1)))</f>
        <v/>
      </c>
      <c r="M6" s="20" t="str">
        <f aca="false">IF(OR($B6="",M$5=""),"",IF(SUMPRODUCT(MAX((İzinler!$A$5:$A$504=$B6)*(İzinler!$C$5:$C$504&lt;=M$5)*(İzinler!$D$5:$D$504&gt;=M$5)*ROW(İzinler!$A$5:$A$504)))=0,"",LEFT(SUBSTITUTE(SUBSTITUTE(INDEX(İzinler!$B$1:$B$504,SUMPRODUCT(MAX((İzinler!$A$5:$A$504=$B6)*(İzinler!$C$5:$C$504&lt;=M$5)*(İzinler!$D$5:$D$504&gt;=M$5)*ROW(İzinler!$A$5:$A$504)))),"Yıllık izin","İ"),"Ücretsiz izin","Ü"),1)))</f>
        <v/>
      </c>
      <c r="N6" s="20" t="str">
        <f aca="false">IF(OR($B6="",N$5=""),"",IF(SUMPRODUCT(MAX((İzinler!$A$5:$A$504=$B6)*(İzinler!$C$5:$C$504&lt;=N$5)*(İzinler!$D$5:$D$504&gt;=N$5)*ROW(İzinler!$A$5:$A$504)))=0,"",LEFT(SUBSTITUTE(SUBSTITUTE(INDEX(İzinler!$B$1:$B$504,SUMPRODUCT(MAX((İzinler!$A$5:$A$504=$B6)*(İzinler!$C$5:$C$504&lt;=N$5)*(İzinler!$D$5:$D$504&gt;=N$5)*ROW(İzinler!$A$5:$A$504)))),"Yıllık izin","İ"),"Ücretsiz izin","Ü"),1)))</f>
        <v/>
      </c>
      <c r="O6" s="20" t="str">
        <f aca="false">IF(OR($B6="",O$5=""),"",IF(SUMPRODUCT(MAX((İzinler!$A$5:$A$504=$B6)*(İzinler!$C$5:$C$504&lt;=O$5)*(İzinler!$D$5:$D$504&gt;=O$5)*ROW(İzinler!$A$5:$A$504)))=0,"",LEFT(SUBSTITUTE(SUBSTITUTE(INDEX(İzinler!$B$1:$B$504,SUMPRODUCT(MAX((İzinler!$A$5:$A$504=$B6)*(İzinler!$C$5:$C$504&lt;=O$5)*(İzinler!$D$5:$D$504&gt;=O$5)*ROW(İzinler!$A$5:$A$504)))),"Yıllık izin","İ"),"Ücretsiz izin","Ü"),1)))</f>
        <v/>
      </c>
      <c r="P6" s="20" t="str">
        <f aca="false">IF(OR($B6="",P$5=""),"",IF(SUMPRODUCT(MAX((İzinler!$A$5:$A$504=$B6)*(İzinler!$C$5:$C$504&lt;=P$5)*(İzinler!$D$5:$D$504&gt;=P$5)*ROW(İzinler!$A$5:$A$504)))=0,"",LEFT(SUBSTITUTE(SUBSTITUTE(INDEX(İzinler!$B$1:$B$504,SUMPRODUCT(MAX((İzinler!$A$5:$A$504=$B6)*(İzinler!$C$5:$C$504&lt;=P$5)*(İzinler!$D$5:$D$504&gt;=P$5)*ROW(İzinler!$A$5:$A$504)))),"Yıllık izin","İ"),"Ücretsiz izin","Ü"),1)))</f>
        <v/>
      </c>
      <c r="Q6" s="20" t="str">
        <f aca="false">IF(OR($B6="",Q$5=""),"",IF(SUMPRODUCT(MAX((İzinler!$A$5:$A$504=$B6)*(İzinler!$C$5:$C$504&lt;=Q$5)*(İzinler!$D$5:$D$504&gt;=Q$5)*ROW(İzinler!$A$5:$A$504)))=0,"",LEFT(SUBSTITUTE(SUBSTITUTE(INDEX(İzinler!$B$1:$B$504,SUMPRODUCT(MAX((İzinler!$A$5:$A$504=$B6)*(İzinler!$C$5:$C$504&lt;=Q$5)*(İzinler!$D$5:$D$504&gt;=Q$5)*ROW(İzinler!$A$5:$A$504)))),"Yıllık izin","İ"),"Ücretsiz izin","Ü"),1)))</f>
        <v/>
      </c>
      <c r="R6" s="20" t="str">
        <f aca="false">IF(OR($B6="",R$5=""),"",IF(SUMPRODUCT(MAX((İzinler!$A$5:$A$504=$B6)*(İzinler!$C$5:$C$504&lt;=R$5)*(İzinler!$D$5:$D$504&gt;=R$5)*ROW(İzinler!$A$5:$A$504)))=0,"",LEFT(SUBSTITUTE(SUBSTITUTE(INDEX(İzinler!$B$1:$B$504,SUMPRODUCT(MAX((İzinler!$A$5:$A$504=$B6)*(İzinler!$C$5:$C$504&lt;=R$5)*(İzinler!$D$5:$D$504&gt;=R$5)*ROW(İzinler!$A$5:$A$504)))),"Yıllık izin","İ"),"Ücretsiz izin","Ü"),1)))</f>
        <v/>
      </c>
      <c r="S6" s="20" t="str">
        <f aca="false">IF(OR($B6="",S$5=""),"",IF(SUMPRODUCT(MAX((İzinler!$A$5:$A$504=$B6)*(İzinler!$C$5:$C$504&lt;=S$5)*(İzinler!$D$5:$D$504&gt;=S$5)*ROW(İzinler!$A$5:$A$504)))=0,"",LEFT(SUBSTITUTE(SUBSTITUTE(INDEX(İzinler!$B$1:$B$504,SUMPRODUCT(MAX((İzinler!$A$5:$A$504=$B6)*(İzinler!$C$5:$C$504&lt;=S$5)*(İzinler!$D$5:$D$504&gt;=S$5)*ROW(İzinler!$A$5:$A$504)))),"Yıllık izin","İ"),"Ücretsiz izin","Ü"),1)))</f>
        <v/>
      </c>
      <c r="T6" s="20" t="str">
        <f aca="false">IF(OR($B6="",T$5=""),"",IF(SUMPRODUCT(MAX((İzinler!$A$5:$A$504=$B6)*(İzinler!$C$5:$C$504&lt;=T$5)*(İzinler!$D$5:$D$504&gt;=T$5)*ROW(İzinler!$A$5:$A$504)))=0,"",LEFT(SUBSTITUTE(SUBSTITUTE(INDEX(İzinler!$B$1:$B$504,SUMPRODUCT(MAX((İzinler!$A$5:$A$504=$B6)*(İzinler!$C$5:$C$504&lt;=T$5)*(İzinler!$D$5:$D$504&gt;=T$5)*ROW(İzinler!$A$5:$A$504)))),"Yıllık izin","İ"),"Ücretsiz izin","Ü"),1)))</f>
        <v/>
      </c>
      <c r="U6" s="20" t="str">
        <f aca="false">IF(OR($B6="",U$5=""),"",IF(SUMPRODUCT(MAX((İzinler!$A$5:$A$504=$B6)*(İzinler!$C$5:$C$504&lt;=U$5)*(İzinler!$D$5:$D$504&gt;=U$5)*ROW(İzinler!$A$5:$A$504)))=0,"",LEFT(SUBSTITUTE(SUBSTITUTE(INDEX(İzinler!$B$1:$B$504,SUMPRODUCT(MAX((İzinler!$A$5:$A$504=$B6)*(İzinler!$C$5:$C$504&lt;=U$5)*(İzinler!$D$5:$D$504&gt;=U$5)*ROW(İzinler!$A$5:$A$504)))),"Yıllık izin","İ"),"Ücretsiz izin","Ü"),1)))</f>
        <v/>
      </c>
      <c r="V6" s="20" t="str">
        <f aca="false">IF(OR($B6="",V$5=""),"",IF(SUMPRODUCT(MAX((İzinler!$A$5:$A$504=$B6)*(İzinler!$C$5:$C$504&lt;=V$5)*(İzinler!$D$5:$D$504&gt;=V$5)*ROW(İzinler!$A$5:$A$504)))=0,"",LEFT(SUBSTITUTE(SUBSTITUTE(INDEX(İzinler!$B$1:$B$504,SUMPRODUCT(MAX((İzinler!$A$5:$A$504=$B6)*(İzinler!$C$5:$C$504&lt;=V$5)*(İzinler!$D$5:$D$504&gt;=V$5)*ROW(İzinler!$A$5:$A$504)))),"Yıllık izin","İ"),"Ücretsiz izin","Ü"),1)))</f>
        <v/>
      </c>
      <c r="W6" s="20" t="str">
        <f aca="false">IF(OR($B6="",W$5=""),"",IF(SUMPRODUCT(MAX((İzinler!$A$5:$A$504=$B6)*(İzinler!$C$5:$C$504&lt;=W$5)*(İzinler!$D$5:$D$504&gt;=W$5)*ROW(İzinler!$A$5:$A$504)))=0,"",LEFT(SUBSTITUTE(SUBSTITUTE(INDEX(İzinler!$B$1:$B$504,SUMPRODUCT(MAX((İzinler!$A$5:$A$504=$B6)*(İzinler!$C$5:$C$504&lt;=W$5)*(İzinler!$D$5:$D$504&gt;=W$5)*ROW(İzinler!$A$5:$A$504)))),"Yıllık izin","İ"),"Ücretsiz izin","Ü"),1)))</f>
        <v/>
      </c>
      <c r="X6" s="20" t="str">
        <f aca="false">IF(OR($B6="",X$5=""),"",IF(SUMPRODUCT(MAX((İzinler!$A$5:$A$504=$B6)*(İzinler!$C$5:$C$504&lt;=X$5)*(İzinler!$D$5:$D$504&gt;=X$5)*ROW(İzinler!$A$5:$A$504)))=0,"",LEFT(SUBSTITUTE(SUBSTITUTE(INDEX(İzinler!$B$1:$B$504,SUMPRODUCT(MAX((İzinler!$A$5:$A$504=$B6)*(İzinler!$C$5:$C$504&lt;=X$5)*(İzinler!$D$5:$D$504&gt;=X$5)*ROW(İzinler!$A$5:$A$504)))),"Yıllık izin","İ"),"Ücretsiz izin","Ü"),1)))</f>
        <v/>
      </c>
      <c r="Y6" s="20" t="str">
        <f aca="false">IF(OR($B6="",Y$5=""),"",IF(SUMPRODUCT(MAX((İzinler!$A$5:$A$504=$B6)*(İzinler!$C$5:$C$504&lt;=Y$5)*(İzinler!$D$5:$D$504&gt;=Y$5)*ROW(İzinler!$A$5:$A$504)))=0,"",LEFT(SUBSTITUTE(SUBSTITUTE(INDEX(İzinler!$B$1:$B$504,SUMPRODUCT(MAX((İzinler!$A$5:$A$504=$B6)*(İzinler!$C$5:$C$504&lt;=Y$5)*(İzinler!$D$5:$D$504&gt;=Y$5)*ROW(İzinler!$A$5:$A$504)))),"Yıllık izin","İ"),"Ücretsiz izin","Ü"),1)))</f>
        <v/>
      </c>
      <c r="Z6" s="20" t="str">
        <f aca="false">IF(OR($B6="",Z$5=""),"",IF(SUMPRODUCT(MAX((İzinler!$A$5:$A$504=$B6)*(İzinler!$C$5:$C$504&lt;=Z$5)*(İzinler!$D$5:$D$504&gt;=Z$5)*ROW(İzinler!$A$5:$A$504)))=0,"",LEFT(SUBSTITUTE(SUBSTITUTE(INDEX(İzinler!$B$1:$B$504,SUMPRODUCT(MAX((İzinler!$A$5:$A$504=$B6)*(İzinler!$C$5:$C$504&lt;=Z$5)*(İzinler!$D$5:$D$504&gt;=Z$5)*ROW(İzinler!$A$5:$A$504)))),"Yıllık izin","İ"),"Ücretsiz izin","Ü"),1)))</f>
        <v/>
      </c>
      <c r="AA6" s="20" t="str">
        <f aca="false">IF(OR($B6="",AA$5=""),"",IF(SUMPRODUCT(MAX((İzinler!$A$5:$A$504=$B6)*(İzinler!$C$5:$C$504&lt;=AA$5)*(İzinler!$D$5:$D$504&gt;=AA$5)*ROW(İzinler!$A$5:$A$504)))=0,"",LEFT(SUBSTITUTE(SUBSTITUTE(INDEX(İzinler!$B$1:$B$504,SUMPRODUCT(MAX((İzinler!$A$5:$A$504=$B6)*(İzinler!$C$5:$C$504&lt;=AA$5)*(İzinler!$D$5:$D$504&gt;=AA$5)*ROW(İzinler!$A$5:$A$504)))),"Yıllık izin","İ"),"Ücretsiz izin","Ü"),1)))</f>
        <v/>
      </c>
      <c r="AB6" s="20" t="str">
        <f aca="false">IF(OR($B6="",AB$5=""),"",IF(SUMPRODUCT(MAX((İzinler!$A$5:$A$504=$B6)*(İzinler!$C$5:$C$504&lt;=AB$5)*(İzinler!$D$5:$D$504&gt;=AB$5)*ROW(İzinler!$A$5:$A$504)))=0,"",LEFT(SUBSTITUTE(SUBSTITUTE(INDEX(İzinler!$B$1:$B$504,SUMPRODUCT(MAX((İzinler!$A$5:$A$504=$B6)*(İzinler!$C$5:$C$504&lt;=AB$5)*(İzinler!$D$5:$D$504&gt;=AB$5)*ROW(İzinler!$A$5:$A$504)))),"Yıllık izin","İ"),"Ücretsiz izin","Ü"),1)))</f>
        <v>İ</v>
      </c>
      <c r="AC6" s="20" t="str">
        <f aca="false">IF(OR($B6="",AC$5=""),"",IF(SUMPRODUCT(MAX((İzinler!$A$5:$A$504=$B6)*(İzinler!$C$5:$C$504&lt;=AC$5)*(İzinler!$D$5:$D$504&gt;=AC$5)*ROW(İzinler!$A$5:$A$504)))=0,"",LEFT(SUBSTITUTE(SUBSTITUTE(INDEX(İzinler!$B$1:$B$504,SUMPRODUCT(MAX((İzinler!$A$5:$A$504=$B6)*(İzinler!$C$5:$C$504&lt;=AC$5)*(İzinler!$D$5:$D$504&gt;=AC$5)*ROW(İzinler!$A$5:$A$504)))),"Yıllık izin","İ"),"Ücretsiz izin","Ü"),1)))</f>
        <v>İ</v>
      </c>
      <c r="AD6" s="20" t="str">
        <f aca="false">IF(OR($B6="",AD$5=""),"",IF(SUMPRODUCT(MAX((İzinler!$A$5:$A$504=$B6)*(İzinler!$C$5:$C$504&lt;=AD$5)*(İzinler!$D$5:$D$504&gt;=AD$5)*ROW(İzinler!$A$5:$A$504)))=0,"",LEFT(SUBSTITUTE(SUBSTITUTE(INDEX(İzinler!$B$1:$B$504,SUMPRODUCT(MAX((İzinler!$A$5:$A$504=$B6)*(İzinler!$C$5:$C$504&lt;=AD$5)*(İzinler!$D$5:$D$504&gt;=AD$5)*ROW(İzinler!$A$5:$A$504)))),"Yıllık izin","İ"),"Ücretsiz izin","Ü"),1)))</f>
        <v>İ</v>
      </c>
      <c r="AE6" s="20" t="str">
        <f aca="false">IF(OR($B6="",AE$5=""),"",IF(SUMPRODUCT(MAX((İzinler!$A$5:$A$504=$B6)*(İzinler!$C$5:$C$504&lt;=AE$5)*(İzinler!$D$5:$D$504&gt;=AE$5)*ROW(İzinler!$A$5:$A$504)))=0,"",LEFT(SUBSTITUTE(SUBSTITUTE(INDEX(İzinler!$B$1:$B$504,SUMPRODUCT(MAX((İzinler!$A$5:$A$504=$B6)*(İzinler!$C$5:$C$504&lt;=AE$5)*(İzinler!$D$5:$D$504&gt;=AE$5)*ROW(İzinler!$A$5:$A$504)))),"Yıllık izin","İ"),"Ücretsiz izin","Ü"),1)))</f>
        <v>İ</v>
      </c>
      <c r="AF6" s="20" t="str">
        <f aca="false">IF(OR($B6="",AF$5=""),"",IF(SUMPRODUCT(MAX((İzinler!$A$5:$A$504=$B6)*(İzinler!$C$5:$C$504&lt;=AF$5)*(İzinler!$D$5:$D$504&gt;=AF$5)*ROW(İzinler!$A$5:$A$504)))=0,"",LEFT(SUBSTITUTE(SUBSTITUTE(INDEX(İzinler!$B$1:$B$504,SUMPRODUCT(MAX((İzinler!$A$5:$A$504=$B6)*(İzinler!$C$5:$C$504&lt;=AF$5)*(İzinler!$D$5:$D$504&gt;=AF$5)*ROW(İzinler!$A$5:$A$504)))),"Yıllık izin","İ"),"Ücretsiz izin","Ü"),1)))</f>
        <v>İ</v>
      </c>
      <c r="AG6" s="20" t="str">
        <f aca="false">IF(OR($B6="",AG$5=""),"",IF(SUMPRODUCT(MAX((İzinler!$A$5:$A$504=$B6)*(İzinler!$C$5:$C$504&lt;=AG$5)*(İzinler!$D$5:$D$504&gt;=AG$5)*ROW(İzinler!$A$5:$A$504)))=0,"",LEFT(SUBSTITUTE(SUBSTITUTE(INDEX(İzinler!$B$1:$B$504,SUMPRODUCT(MAX((İzinler!$A$5:$A$504=$B6)*(İzinler!$C$5:$C$504&lt;=AG$5)*(İzinler!$D$5:$D$504&gt;=AG$5)*ROW(İzinler!$A$5:$A$504)))),"Yıllık izin","İ"),"Ücretsiz izin","Ü"),1)))</f>
        <v>İ</v>
      </c>
      <c r="AH6" s="21" t="n">
        <f aca="false">IF(B6="","",COUNTIF(C6:AG6,"?"))</f>
        <v>6</v>
      </c>
    </row>
    <row r="7" customFormat="false" ht="15" hidden="false" customHeight="false" outlineLevel="0" collapsed="false">
      <c r="B7" s="16" t="str">
        <f aca="false">IF(Personel!A6="","",Personel!A6)</f>
        <v>Personel Beta</v>
      </c>
      <c r="C7" s="20" t="str">
        <f aca="false">IF(OR($B7="",C$5=""),"",IF(SUMPRODUCT(MAX((İzinler!$A$5:$A$504=$B7)*(İzinler!$C$5:$C$504&lt;=C$5)*(İzinler!$D$5:$D$504&gt;=C$5)*ROW(İzinler!$A$5:$A$504)))=0,"",LEFT(SUBSTITUTE(SUBSTITUTE(INDEX(İzinler!$B$1:$B$504,SUMPRODUCT(MAX((İzinler!$A$5:$A$504=$B7)*(İzinler!$C$5:$C$504&lt;=C$5)*(İzinler!$D$5:$D$504&gt;=C$5)*ROW(İzinler!$A$5:$A$504)))),"Yıllık izin","İ"),"Ücretsiz izin","Ü"),1)))</f>
        <v/>
      </c>
      <c r="D7" s="20" t="str">
        <f aca="false">IF(OR($B7="",D$5=""),"",IF(SUMPRODUCT(MAX((İzinler!$A$5:$A$504=$B7)*(İzinler!$C$5:$C$504&lt;=D$5)*(İzinler!$D$5:$D$504&gt;=D$5)*ROW(İzinler!$A$5:$A$504)))=0,"",LEFT(SUBSTITUTE(SUBSTITUTE(INDEX(İzinler!$B$1:$B$504,SUMPRODUCT(MAX((İzinler!$A$5:$A$504=$B7)*(İzinler!$C$5:$C$504&lt;=D$5)*(İzinler!$D$5:$D$504&gt;=D$5)*ROW(İzinler!$A$5:$A$504)))),"Yıllık izin","İ"),"Ücretsiz izin","Ü"),1)))</f>
        <v/>
      </c>
      <c r="E7" s="20" t="str">
        <f aca="false">IF(OR($B7="",E$5=""),"",IF(SUMPRODUCT(MAX((İzinler!$A$5:$A$504=$B7)*(İzinler!$C$5:$C$504&lt;=E$5)*(İzinler!$D$5:$D$504&gt;=E$5)*ROW(İzinler!$A$5:$A$504)))=0,"",LEFT(SUBSTITUTE(SUBSTITUTE(INDEX(İzinler!$B$1:$B$504,SUMPRODUCT(MAX((İzinler!$A$5:$A$504=$B7)*(İzinler!$C$5:$C$504&lt;=E$5)*(İzinler!$D$5:$D$504&gt;=E$5)*ROW(İzinler!$A$5:$A$504)))),"Yıllık izin","İ"),"Ücretsiz izin","Ü"),1)))</f>
        <v/>
      </c>
      <c r="F7" s="20" t="str">
        <f aca="false">IF(OR($B7="",F$5=""),"",IF(SUMPRODUCT(MAX((İzinler!$A$5:$A$504=$B7)*(İzinler!$C$5:$C$504&lt;=F$5)*(İzinler!$D$5:$D$504&gt;=F$5)*ROW(İzinler!$A$5:$A$504)))=0,"",LEFT(SUBSTITUTE(SUBSTITUTE(INDEX(İzinler!$B$1:$B$504,SUMPRODUCT(MAX((İzinler!$A$5:$A$504=$B7)*(İzinler!$C$5:$C$504&lt;=F$5)*(İzinler!$D$5:$D$504&gt;=F$5)*ROW(İzinler!$A$5:$A$504)))),"Yıllık izin","İ"),"Ücretsiz izin","Ü"),1)))</f>
        <v/>
      </c>
      <c r="G7" s="20" t="str">
        <f aca="false">IF(OR($B7="",G$5=""),"",IF(SUMPRODUCT(MAX((İzinler!$A$5:$A$504=$B7)*(İzinler!$C$5:$C$504&lt;=G$5)*(İzinler!$D$5:$D$504&gt;=G$5)*ROW(İzinler!$A$5:$A$504)))=0,"",LEFT(SUBSTITUTE(SUBSTITUTE(INDEX(İzinler!$B$1:$B$504,SUMPRODUCT(MAX((İzinler!$A$5:$A$504=$B7)*(İzinler!$C$5:$C$504&lt;=G$5)*(İzinler!$D$5:$D$504&gt;=G$5)*ROW(İzinler!$A$5:$A$504)))),"Yıllık izin","İ"),"Ücretsiz izin","Ü"),1)))</f>
        <v>Ü</v>
      </c>
      <c r="H7" s="20" t="str">
        <f aca="false">IF(OR($B7="",H$5=""),"",IF(SUMPRODUCT(MAX((İzinler!$A$5:$A$504=$B7)*(İzinler!$C$5:$C$504&lt;=H$5)*(İzinler!$D$5:$D$504&gt;=H$5)*ROW(İzinler!$A$5:$A$504)))=0,"",LEFT(SUBSTITUTE(SUBSTITUTE(INDEX(İzinler!$B$1:$B$504,SUMPRODUCT(MAX((İzinler!$A$5:$A$504=$B7)*(İzinler!$C$5:$C$504&lt;=H$5)*(İzinler!$D$5:$D$504&gt;=H$5)*ROW(İzinler!$A$5:$A$504)))),"Yıllık izin","İ"),"Ücretsiz izin","Ü"),1)))</f>
        <v>Ü</v>
      </c>
      <c r="I7" s="20" t="str">
        <f aca="false">IF(OR($B7="",I$5=""),"",IF(SUMPRODUCT(MAX((İzinler!$A$5:$A$504=$B7)*(İzinler!$C$5:$C$504&lt;=I$5)*(İzinler!$D$5:$D$504&gt;=I$5)*ROW(İzinler!$A$5:$A$504)))=0,"",LEFT(SUBSTITUTE(SUBSTITUTE(INDEX(İzinler!$B$1:$B$504,SUMPRODUCT(MAX((İzinler!$A$5:$A$504=$B7)*(İzinler!$C$5:$C$504&lt;=I$5)*(İzinler!$D$5:$D$504&gt;=I$5)*ROW(İzinler!$A$5:$A$504)))),"Yıllık izin","İ"),"Ücretsiz izin","Ü"),1)))</f>
        <v/>
      </c>
      <c r="J7" s="20" t="str">
        <f aca="false">IF(OR($B7="",J$5=""),"",IF(SUMPRODUCT(MAX((İzinler!$A$5:$A$504=$B7)*(İzinler!$C$5:$C$504&lt;=J$5)*(İzinler!$D$5:$D$504&gt;=J$5)*ROW(İzinler!$A$5:$A$504)))=0,"",LEFT(SUBSTITUTE(SUBSTITUTE(INDEX(İzinler!$B$1:$B$504,SUMPRODUCT(MAX((İzinler!$A$5:$A$504=$B7)*(İzinler!$C$5:$C$504&lt;=J$5)*(İzinler!$D$5:$D$504&gt;=J$5)*ROW(İzinler!$A$5:$A$504)))),"Yıllık izin","İ"),"Ücretsiz izin","Ü"),1)))</f>
        <v/>
      </c>
      <c r="K7" s="20" t="str">
        <f aca="false">IF(OR($B7="",K$5=""),"",IF(SUMPRODUCT(MAX((İzinler!$A$5:$A$504=$B7)*(İzinler!$C$5:$C$504&lt;=K$5)*(İzinler!$D$5:$D$504&gt;=K$5)*ROW(İzinler!$A$5:$A$504)))=0,"",LEFT(SUBSTITUTE(SUBSTITUTE(INDEX(İzinler!$B$1:$B$504,SUMPRODUCT(MAX((İzinler!$A$5:$A$504=$B7)*(İzinler!$C$5:$C$504&lt;=K$5)*(İzinler!$D$5:$D$504&gt;=K$5)*ROW(İzinler!$A$5:$A$504)))),"Yıllık izin","İ"),"Ücretsiz izin","Ü"),1)))</f>
        <v/>
      </c>
      <c r="L7" s="20" t="str">
        <f aca="false">IF(OR($B7="",L$5=""),"",IF(SUMPRODUCT(MAX((İzinler!$A$5:$A$504=$B7)*(İzinler!$C$5:$C$504&lt;=L$5)*(İzinler!$D$5:$D$504&gt;=L$5)*ROW(İzinler!$A$5:$A$504)))=0,"",LEFT(SUBSTITUTE(SUBSTITUTE(INDEX(İzinler!$B$1:$B$504,SUMPRODUCT(MAX((İzinler!$A$5:$A$504=$B7)*(İzinler!$C$5:$C$504&lt;=L$5)*(İzinler!$D$5:$D$504&gt;=L$5)*ROW(İzinler!$A$5:$A$504)))),"Yıllık izin","İ"),"Ücretsiz izin","Ü"),1)))</f>
        <v/>
      </c>
      <c r="M7" s="20" t="str">
        <f aca="false">IF(OR($B7="",M$5=""),"",IF(SUMPRODUCT(MAX((İzinler!$A$5:$A$504=$B7)*(İzinler!$C$5:$C$504&lt;=M$5)*(İzinler!$D$5:$D$504&gt;=M$5)*ROW(İzinler!$A$5:$A$504)))=0,"",LEFT(SUBSTITUTE(SUBSTITUTE(INDEX(İzinler!$B$1:$B$504,SUMPRODUCT(MAX((İzinler!$A$5:$A$504=$B7)*(İzinler!$C$5:$C$504&lt;=M$5)*(İzinler!$D$5:$D$504&gt;=M$5)*ROW(İzinler!$A$5:$A$504)))),"Yıllık izin","İ"),"Ücretsiz izin","Ü"),1)))</f>
        <v/>
      </c>
      <c r="N7" s="20" t="str">
        <f aca="false">IF(OR($B7="",N$5=""),"",IF(SUMPRODUCT(MAX((İzinler!$A$5:$A$504=$B7)*(İzinler!$C$5:$C$504&lt;=N$5)*(İzinler!$D$5:$D$504&gt;=N$5)*ROW(İzinler!$A$5:$A$504)))=0,"",LEFT(SUBSTITUTE(SUBSTITUTE(INDEX(İzinler!$B$1:$B$504,SUMPRODUCT(MAX((İzinler!$A$5:$A$504=$B7)*(İzinler!$C$5:$C$504&lt;=N$5)*(İzinler!$D$5:$D$504&gt;=N$5)*ROW(İzinler!$A$5:$A$504)))),"Yıllık izin","İ"),"Ücretsiz izin","Ü"),1)))</f>
        <v/>
      </c>
      <c r="O7" s="20" t="str">
        <f aca="false">IF(OR($B7="",O$5=""),"",IF(SUMPRODUCT(MAX((İzinler!$A$5:$A$504=$B7)*(İzinler!$C$5:$C$504&lt;=O$5)*(İzinler!$D$5:$D$504&gt;=O$5)*ROW(İzinler!$A$5:$A$504)))=0,"",LEFT(SUBSTITUTE(SUBSTITUTE(INDEX(İzinler!$B$1:$B$504,SUMPRODUCT(MAX((İzinler!$A$5:$A$504=$B7)*(İzinler!$C$5:$C$504&lt;=O$5)*(İzinler!$D$5:$D$504&gt;=O$5)*ROW(İzinler!$A$5:$A$504)))),"Yıllık izin","İ"),"Ücretsiz izin","Ü"),1)))</f>
        <v/>
      </c>
      <c r="P7" s="20" t="str">
        <f aca="false">IF(OR($B7="",P$5=""),"",IF(SUMPRODUCT(MAX((İzinler!$A$5:$A$504=$B7)*(İzinler!$C$5:$C$504&lt;=P$5)*(İzinler!$D$5:$D$504&gt;=P$5)*ROW(İzinler!$A$5:$A$504)))=0,"",LEFT(SUBSTITUTE(SUBSTITUTE(INDEX(İzinler!$B$1:$B$504,SUMPRODUCT(MAX((İzinler!$A$5:$A$504=$B7)*(İzinler!$C$5:$C$504&lt;=P$5)*(İzinler!$D$5:$D$504&gt;=P$5)*ROW(İzinler!$A$5:$A$504)))),"Yıllık izin","İ"),"Ücretsiz izin","Ü"),1)))</f>
        <v/>
      </c>
      <c r="Q7" s="20" t="str">
        <f aca="false">IF(OR($B7="",Q$5=""),"",IF(SUMPRODUCT(MAX((İzinler!$A$5:$A$504=$B7)*(İzinler!$C$5:$C$504&lt;=Q$5)*(İzinler!$D$5:$D$504&gt;=Q$5)*ROW(İzinler!$A$5:$A$504)))=0,"",LEFT(SUBSTITUTE(SUBSTITUTE(INDEX(İzinler!$B$1:$B$504,SUMPRODUCT(MAX((İzinler!$A$5:$A$504=$B7)*(İzinler!$C$5:$C$504&lt;=Q$5)*(İzinler!$D$5:$D$504&gt;=Q$5)*ROW(İzinler!$A$5:$A$504)))),"Yıllık izin","İ"),"Ücretsiz izin","Ü"),1)))</f>
        <v/>
      </c>
      <c r="R7" s="20" t="str">
        <f aca="false">IF(OR($B7="",R$5=""),"",IF(SUMPRODUCT(MAX((İzinler!$A$5:$A$504=$B7)*(İzinler!$C$5:$C$504&lt;=R$5)*(İzinler!$D$5:$D$504&gt;=R$5)*ROW(İzinler!$A$5:$A$504)))=0,"",LEFT(SUBSTITUTE(SUBSTITUTE(INDEX(İzinler!$B$1:$B$504,SUMPRODUCT(MAX((İzinler!$A$5:$A$504=$B7)*(İzinler!$C$5:$C$504&lt;=R$5)*(İzinler!$D$5:$D$504&gt;=R$5)*ROW(İzinler!$A$5:$A$504)))),"Yıllık izin","İ"),"Ücretsiz izin","Ü"),1)))</f>
        <v/>
      </c>
      <c r="S7" s="20" t="str">
        <f aca="false">IF(OR($B7="",S$5=""),"",IF(SUMPRODUCT(MAX((İzinler!$A$5:$A$504=$B7)*(İzinler!$C$5:$C$504&lt;=S$5)*(İzinler!$D$5:$D$504&gt;=S$5)*ROW(İzinler!$A$5:$A$504)))=0,"",LEFT(SUBSTITUTE(SUBSTITUTE(INDEX(İzinler!$B$1:$B$504,SUMPRODUCT(MAX((İzinler!$A$5:$A$504=$B7)*(İzinler!$C$5:$C$504&lt;=S$5)*(İzinler!$D$5:$D$504&gt;=S$5)*ROW(İzinler!$A$5:$A$504)))),"Yıllık izin","İ"),"Ücretsiz izin","Ü"),1)))</f>
        <v/>
      </c>
      <c r="T7" s="20" t="str">
        <f aca="false">IF(OR($B7="",T$5=""),"",IF(SUMPRODUCT(MAX((İzinler!$A$5:$A$504=$B7)*(İzinler!$C$5:$C$504&lt;=T$5)*(İzinler!$D$5:$D$504&gt;=T$5)*ROW(İzinler!$A$5:$A$504)))=0,"",LEFT(SUBSTITUTE(SUBSTITUTE(INDEX(İzinler!$B$1:$B$504,SUMPRODUCT(MAX((İzinler!$A$5:$A$504=$B7)*(İzinler!$C$5:$C$504&lt;=T$5)*(İzinler!$D$5:$D$504&gt;=T$5)*ROW(İzinler!$A$5:$A$504)))),"Yıllık izin","İ"),"Ücretsiz izin","Ü"),1)))</f>
        <v/>
      </c>
      <c r="U7" s="20" t="str">
        <f aca="false">IF(OR($B7="",U$5=""),"",IF(SUMPRODUCT(MAX((İzinler!$A$5:$A$504=$B7)*(İzinler!$C$5:$C$504&lt;=U$5)*(İzinler!$D$5:$D$504&gt;=U$5)*ROW(İzinler!$A$5:$A$504)))=0,"",LEFT(SUBSTITUTE(SUBSTITUTE(INDEX(İzinler!$B$1:$B$504,SUMPRODUCT(MAX((İzinler!$A$5:$A$504=$B7)*(İzinler!$C$5:$C$504&lt;=U$5)*(İzinler!$D$5:$D$504&gt;=U$5)*ROW(İzinler!$A$5:$A$504)))),"Yıllık izin","İ"),"Ücretsiz izin","Ü"),1)))</f>
        <v/>
      </c>
      <c r="V7" s="20" t="str">
        <f aca="false">IF(OR($B7="",V$5=""),"",IF(SUMPRODUCT(MAX((İzinler!$A$5:$A$504=$B7)*(İzinler!$C$5:$C$504&lt;=V$5)*(İzinler!$D$5:$D$504&gt;=V$5)*ROW(İzinler!$A$5:$A$504)))=0,"",LEFT(SUBSTITUTE(SUBSTITUTE(INDEX(İzinler!$B$1:$B$504,SUMPRODUCT(MAX((İzinler!$A$5:$A$504=$B7)*(İzinler!$C$5:$C$504&lt;=V$5)*(İzinler!$D$5:$D$504&gt;=V$5)*ROW(İzinler!$A$5:$A$504)))),"Yıllık izin","İ"),"Ücretsiz izin","Ü"),1)))</f>
        <v/>
      </c>
      <c r="W7" s="20" t="str">
        <f aca="false">IF(OR($B7="",W$5=""),"",IF(SUMPRODUCT(MAX((İzinler!$A$5:$A$504=$B7)*(İzinler!$C$5:$C$504&lt;=W$5)*(İzinler!$D$5:$D$504&gt;=W$5)*ROW(İzinler!$A$5:$A$504)))=0,"",LEFT(SUBSTITUTE(SUBSTITUTE(INDEX(İzinler!$B$1:$B$504,SUMPRODUCT(MAX((İzinler!$A$5:$A$504=$B7)*(İzinler!$C$5:$C$504&lt;=W$5)*(İzinler!$D$5:$D$504&gt;=W$5)*ROW(İzinler!$A$5:$A$504)))),"Yıllık izin","İ"),"Ücretsiz izin","Ü"),1)))</f>
        <v/>
      </c>
      <c r="X7" s="20" t="str">
        <f aca="false">IF(OR($B7="",X$5=""),"",IF(SUMPRODUCT(MAX((İzinler!$A$5:$A$504=$B7)*(İzinler!$C$5:$C$504&lt;=X$5)*(İzinler!$D$5:$D$504&gt;=X$5)*ROW(İzinler!$A$5:$A$504)))=0,"",LEFT(SUBSTITUTE(SUBSTITUTE(INDEX(İzinler!$B$1:$B$504,SUMPRODUCT(MAX((İzinler!$A$5:$A$504=$B7)*(İzinler!$C$5:$C$504&lt;=X$5)*(İzinler!$D$5:$D$504&gt;=X$5)*ROW(İzinler!$A$5:$A$504)))),"Yıllık izin","İ"),"Ücretsiz izin","Ü"),1)))</f>
        <v/>
      </c>
      <c r="Y7" s="20" t="str">
        <f aca="false">IF(OR($B7="",Y$5=""),"",IF(SUMPRODUCT(MAX((İzinler!$A$5:$A$504=$B7)*(İzinler!$C$5:$C$504&lt;=Y$5)*(İzinler!$D$5:$D$504&gt;=Y$5)*ROW(İzinler!$A$5:$A$504)))=0,"",LEFT(SUBSTITUTE(SUBSTITUTE(INDEX(İzinler!$B$1:$B$504,SUMPRODUCT(MAX((İzinler!$A$5:$A$504=$B7)*(İzinler!$C$5:$C$504&lt;=Y$5)*(İzinler!$D$5:$D$504&gt;=Y$5)*ROW(İzinler!$A$5:$A$504)))),"Yıllık izin","İ"),"Ücretsiz izin","Ü"),1)))</f>
        <v/>
      </c>
      <c r="Z7" s="20" t="str">
        <f aca="false">IF(OR($B7="",Z$5=""),"",IF(SUMPRODUCT(MAX((İzinler!$A$5:$A$504=$B7)*(İzinler!$C$5:$C$504&lt;=Z$5)*(İzinler!$D$5:$D$504&gt;=Z$5)*ROW(İzinler!$A$5:$A$504)))=0,"",LEFT(SUBSTITUTE(SUBSTITUTE(INDEX(İzinler!$B$1:$B$504,SUMPRODUCT(MAX((İzinler!$A$5:$A$504=$B7)*(İzinler!$C$5:$C$504&lt;=Z$5)*(İzinler!$D$5:$D$504&gt;=Z$5)*ROW(İzinler!$A$5:$A$504)))),"Yıllık izin","İ"),"Ücretsiz izin","Ü"),1)))</f>
        <v/>
      </c>
      <c r="AA7" s="20" t="str">
        <f aca="false">IF(OR($B7="",AA$5=""),"",IF(SUMPRODUCT(MAX((İzinler!$A$5:$A$504=$B7)*(İzinler!$C$5:$C$504&lt;=AA$5)*(İzinler!$D$5:$D$504&gt;=AA$5)*ROW(İzinler!$A$5:$A$504)))=0,"",LEFT(SUBSTITUTE(SUBSTITUTE(INDEX(İzinler!$B$1:$B$504,SUMPRODUCT(MAX((İzinler!$A$5:$A$504=$B7)*(İzinler!$C$5:$C$504&lt;=AA$5)*(İzinler!$D$5:$D$504&gt;=AA$5)*ROW(İzinler!$A$5:$A$504)))),"Yıllık izin","İ"),"Ücretsiz izin","Ü"),1)))</f>
        <v/>
      </c>
      <c r="AB7" s="20" t="str">
        <f aca="false">IF(OR($B7="",AB$5=""),"",IF(SUMPRODUCT(MAX((İzinler!$A$5:$A$504=$B7)*(İzinler!$C$5:$C$504&lt;=AB$5)*(İzinler!$D$5:$D$504&gt;=AB$5)*ROW(İzinler!$A$5:$A$504)))=0,"",LEFT(SUBSTITUTE(SUBSTITUTE(INDEX(İzinler!$B$1:$B$504,SUMPRODUCT(MAX((İzinler!$A$5:$A$504=$B7)*(İzinler!$C$5:$C$504&lt;=AB$5)*(İzinler!$D$5:$D$504&gt;=AB$5)*ROW(İzinler!$A$5:$A$504)))),"Yıllık izin","İ"),"Ücretsiz izin","Ü"),1)))</f>
        <v/>
      </c>
      <c r="AC7" s="20" t="str">
        <f aca="false">IF(OR($B7="",AC$5=""),"",IF(SUMPRODUCT(MAX((İzinler!$A$5:$A$504=$B7)*(İzinler!$C$5:$C$504&lt;=AC$5)*(İzinler!$D$5:$D$504&gt;=AC$5)*ROW(İzinler!$A$5:$A$504)))=0,"",LEFT(SUBSTITUTE(SUBSTITUTE(INDEX(İzinler!$B$1:$B$504,SUMPRODUCT(MAX((İzinler!$A$5:$A$504=$B7)*(İzinler!$C$5:$C$504&lt;=AC$5)*(İzinler!$D$5:$D$504&gt;=AC$5)*ROW(İzinler!$A$5:$A$504)))),"Yıllık izin","İ"),"Ücretsiz izin","Ü"),1)))</f>
        <v/>
      </c>
      <c r="AD7" s="20" t="str">
        <f aca="false">IF(OR($B7="",AD$5=""),"",IF(SUMPRODUCT(MAX((İzinler!$A$5:$A$504=$B7)*(İzinler!$C$5:$C$504&lt;=AD$5)*(İzinler!$D$5:$D$504&gt;=AD$5)*ROW(İzinler!$A$5:$A$504)))=0,"",LEFT(SUBSTITUTE(SUBSTITUTE(INDEX(İzinler!$B$1:$B$504,SUMPRODUCT(MAX((İzinler!$A$5:$A$504=$B7)*(İzinler!$C$5:$C$504&lt;=AD$5)*(İzinler!$D$5:$D$504&gt;=AD$5)*ROW(İzinler!$A$5:$A$504)))),"Yıllık izin","İ"),"Ücretsiz izin","Ü"),1)))</f>
        <v/>
      </c>
      <c r="AE7" s="20" t="str">
        <f aca="false">IF(OR($B7="",AE$5=""),"",IF(SUMPRODUCT(MAX((İzinler!$A$5:$A$504=$B7)*(İzinler!$C$5:$C$504&lt;=AE$5)*(İzinler!$D$5:$D$504&gt;=AE$5)*ROW(İzinler!$A$5:$A$504)))=0,"",LEFT(SUBSTITUTE(SUBSTITUTE(INDEX(İzinler!$B$1:$B$504,SUMPRODUCT(MAX((İzinler!$A$5:$A$504=$B7)*(İzinler!$C$5:$C$504&lt;=AE$5)*(İzinler!$D$5:$D$504&gt;=AE$5)*ROW(İzinler!$A$5:$A$504)))),"Yıllık izin","İ"),"Ücretsiz izin","Ü"),1)))</f>
        <v/>
      </c>
      <c r="AF7" s="20" t="str">
        <f aca="false">IF(OR($B7="",AF$5=""),"",IF(SUMPRODUCT(MAX((İzinler!$A$5:$A$504=$B7)*(İzinler!$C$5:$C$504&lt;=AF$5)*(İzinler!$D$5:$D$504&gt;=AF$5)*ROW(İzinler!$A$5:$A$504)))=0,"",LEFT(SUBSTITUTE(SUBSTITUTE(INDEX(İzinler!$B$1:$B$504,SUMPRODUCT(MAX((İzinler!$A$5:$A$504=$B7)*(İzinler!$C$5:$C$504&lt;=AF$5)*(İzinler!$D$5:$D$504&gt;=AF$5)*ROW(İzinler!$A$5:$A$504)))),"Yıllık izin","İ"),"Ücretsiz izin","Ü"),1)))</f>
        <v/>
      </c>
      <c r="AG7" s="20" t="str">
        <f aca="false">IF(OR($B7="",AG$5=""),"",IF(SUMPRODUCT(MAX((İzinler!$A$5:$A$504=$B7)*(İzinler!$C$5:$C$504&lt;=AG$5)*(İzinler!$D$5:$D$504&gt;=AG$5)*ROW(İzinler!$A$5:$A$504)))=0,"",LEFT(SUBSTITUTE(SUBSTITUTE(INDEX(İzinler!$B$1:$B$504,SUMPRODUCT(MAX((İzinler!$A$5:$A$504=$B7)*(İzinler!$C$5:$C$504&lt;=AG$5)*(İzinler!$D$5:$D$504&gt;=AG$5)*ROW(İzinler!$A$5:$A$504)))),"Yıllık izin","İ"),"Ücretsiz izin","Ü"),1)))</f>
        <v/>
      </c>
      <c r="AH7" s="21" t="n">
        <f aca="false">IF(B7="","",COUNTIF(C7:AG7,"?"))</f>
        <v>2</v>
      </c>
    </row>
    <row r="8" customFormat="false" ht="15" hidden="false" customHeight="false" outlineLevel="0" collapsed="false">
      <c r="B8" s="16" t="str">
        <f aca="false">IF(Personel!A7="","",Personel!A7)</f>
        <v>Personel Gama</v>
      </c>
      <c r="C8" s="20" t="str">
        <f aca="false">IF(OR($B8="",C$5=""),"",IF(SUMPRODUCT(MAX((İzinler!$A$5:$A$504=$B8)*(İzinler!$C$5:$C$504&lt;=C$5)*(İzinler!$D$5:$D$504&gt;=C$5)*ROW(İzinler!$A$5:$A$504)))=0,"",LEFT(SUBSTITUTE(SUBSTITUTE(INDEX(İzinler!$B$1:$B$504,SUMPRODUCT(MAX((İzinler!$A$5:$A$504=$B8)*(İzinler!$C$5:$C$504&lt;=C$5)*(İzinler!$D$5:$D$504&gt;=C$5)*ROW(İzinler!$A$5:$A$504)))),"Yıllık izin","İ"),"Ücretsiz izin","Ü"),1)))</f>
        <v/>
      </c>
      <c r="D8" s="20" t="str">
        <f aca="false">IF(OR($B8="",D$5=""),"",IF(SUMPRODUCT(MAX((İzinler!$A$5:$A$504=$B8)*(İzinler!$C$5:$C$504&lt;=D$5)*(İzinler!$D$5:$D$504&gt;=D$5)*ROW(İzinler!$A$5:$A$504)))=0,"",LEFT(SUBSTITUTE(SUBSTITUTE(INDEX(İzinler!$B$1:$B$504,SUMPRODUCT(MAX((İzinler!$A$5:$A$504=$B8)*(İzinler!$C$5:$C$504&lt;=D$5)*(İzinler!$D$5:$D$504&gt;=D$5)*ROW(İzinler!$A$5:$A$504)))),"Yıllık izin","İ"),"Ücretsiz izin","Ü"),1)))</f>
        <v/>
      </c>
      <c r="E8" s="20" t="str">
        <f aca="false">IF(OR($B8="",E$5=""),"",IF(SUMPRODUCT(MAX((İzinler!$A$5:$A$504=$B8)*(İzinler!$C$5:$C$504&lt;=E$5)*(İzinler!$D$5:$D$504&gt;=E$5)*ROW(İzinler!$A$5:$A$504)))=0,"",LEFT(SUBSTITUTE(SUBSTITUTE(INDEX(İzinler!$B$1:$B$504,SUMPRODUCT(MAX((İzinler!$A$5:$A$504=$B8)*(İzinler!$C$5:$C$504&lt;=E$5)*(İzinler!$D$5:$D$504&gt;=E$5)*ROW(İzinler!$A$5:$A$504)))),"Yıllık izin","İ"),"Ücretsiz izin","Ü"),1)))</f>
        <v/>
      </c>
      <c r="F8" s="20" t="str">
        <f aca="false">IF(OR($B8="",F$5=""),"",IF(SUMPRODUCT(MAX((İzinler!$A$5:$A$504=$B8)*(İzinler!$C$5:$C$504&lt;=F$5)*(İzinler!$D$5:$D$504&gt;=F$5)*ROW(İzinler!$A$5:$A$504)))=0,"",LEFT(SUBSTITUTE(SUBSTITUTE(INDEX(İzinler!$B$1:$B$504,SUMPRODUCT(MAX((İzinler!$A$5:$A$504=$B8)*(İzinler!$C$5:$C$504&lt;=F$5)*(İzinler!$D$5:$D$504&gt;=F$5)*ROW(İzinler!$A$5:$A$504)))),"Yıllık izin","İ"),"Ücretsiz izin","Ü"),1)))</f>
        <v>M</v>
      </c>
      <c r="G8" s="20" t="str">
        <f aca="false">IF(OR($B8="",G$5=""),"",IF(SUMPRODUCT(MAX((İzinler!$A$5:$A$504=$B8)*(İzinler!$C$5:$C$504&lt;=G$5)*(İzinler!$D$5:$D$504&gt;=G$5)*ROW(İzinler!$A$5:$A$504)))=0,"",LEFT(SUBSTITUTE(SUBSTITUTE(INDEX(İzinler!$B$1:$B$504,SUMPRODUCT(MAX((İzinler!$A$5:$A$504=$B8)*(İzinler!$C$5:$C$504&lt;=G$5)*(İzinler!$D$5:$D$504&gt;=G$5)*ROW(İzinler!$A$5:$A$504)))),"Yıllık izin","İ"),"Ücretsiz izin","Ü"),1)))</f>
        <v/>
      </c>
      <c r="H8" s="20" t="str">
        <f aca="false">IF(OR($B8="",H$5=""),"",IF(SUMPRODUCT(MAX((İzinler!$A$5:$A$504=$B8)*(İzinler!$C$5:$C$504&lt;=H$5)*(İzinler!$D$5:$D$504&gt;=H$5)*ROW(İzinler!$A$5:$A$504)))=0,"",LEFT(SUBSTITUTE(SUBSTITUTE(INDEX(İzinler!$B$1:$B$504,SUMPRODUCT(MAX((İzinler!$A$5:$A$504=$B8)*(İzinler!$C$5:$C$504&lt;=H$5)*(İzinler!$D$5:$D$504&gt;=H$5)*ROW(İzinler!$A$5:$A$504)))),"Yıllık izin","İ"),"Ücretsiz izin","Ü"),1)))</f>
        <v/>
      </c>
      <c r="I8" s="20" t="str">
        <f aca="false">IF(OR($B8="",I$5=""),"",IF(SUMPRODUCT(MAX((İzinler!$A$5:$A$504=$B8)*(İzinler!$C$5:$C$504&lt;=I$5)*(İzinler!$D$5:$D$504&gt;=I$5)*ROW(İzinler!$A$5:$A$504)))=0,"",LEFT(SUBSTITUTE(SUBSTITUTE(INDEX(İzinler!$B$1:$B$504,SUMPRODUCT(MAX((İzinler!$A$5:$A$504=$B8)*(İzinler!$C$5:$C$504&lt;=I$5)*(İzinler!$D$5:$D$504&gt;=I$5)*ROW(İzinler!$A$5:$A$504)))),"Yıllık izin","İ"),"Ücretsiz izin","Ü"),1)))</f>
        <v/>
      </c>
      <c r="J8" s="20" t="str">
        <f aca="false">IF(OR($B8="",J$5=""),"",IF(SUMPRODUCT(MAX((İzinler!$A$5:$A$504=$B8)*(İzinler!$C$5:$C$504&lt;=J$5)*(İzinler!$D$5:$D$504&gt;=J$5)*ROW(İzinler!$A$5:$A$504)))=0,"",LEFT(SUBSTITUTE(SUBSTITUTE(INDEX(İzinler!$B$1:$B$504,SUMPRODUCT(MAX((İzinler!$A$5:$A$504=$B8)*(İzinler!$C$5:$C$504&lt;=J$5)*(İzinler!$D$5:$D$504&gt;=J$5)*ROW(İzinler!$A$5:$A$504)))),"Yıllık izin","İ"),"Ücretsiz izin","Ü"),1)))</f>
        <v/>
      </c>
      <c r="K8" s="20" t="str">
        <f aca="false">IF(OR($B8="",K$5=""),"",IF(SUMPRODUCT(MAX((İzinler!$A$5:$A$504=$B8)*(İzinler!$C$5:$C$504&lt;=K$5)*(İzinler!$D$5:$D$504&gt;=K$5)*ROW(İzinler!$A$5:$A$504)))=0,"",LEFT(SUBSTITUTE(SUBSTITUTE(INDEX(İzinler!$B$1:$B$504,SUMPRODUCT(MAX((İzinler!$A$5:$A$504=$B8)*(İzinler!$C$5:$C$504&lt;=K$5)*(İzinler!$D$5:$D$504&gt;=K$5)*ROW(İzinler!$A$5:$A$504)))),"Yıllık izin","İ"),"Ücretsiz izin","Ü"),1)))</f>
        <v/>
      </c>
      <c r="L8" s="20" t="str">
        <f aca="false">IF(OR($B8="",L$5=""),"",IF(SUMPRODUCT(MAX((İzinler!$A$5:$A$504=$B8)*(İzinler!$C$5:$C$504&lt;=L$5)*(İzinler!$D$5:$D$504&gt;=L$5)*ROW(İzinler!$A$5:$A$504)))=0,"",LEFT(SUBSTITUTE(SUBSTITUTE(INDEX(İzinler!$B$1:$B$504,SUMPRODUCT(MAX((İzinler!$A$5:$A$504=$B8)*(İzinler!$C$5:$C$504&lt;=L$5)*(İzinler!$D$5:$D$504&gt;=L$5)*ROW(İzinler!$A$5:$A$504)))),"Yıllık izin","İ"),"Ücretsiz izin","Ü"),1)))</f>
        <v/>
      </c>
      <c r="M8" s="20" t="str">
        <f aca="false">IF(OR($B8="",M$5=""),"",IF(SUMPRODUCT(MAX((İzinler!$A$5:$A$504=$B8)*(İzinler!$C$5:$C$504&lt;=M$5)*(İzinler!$D$5:$D$504&gt;=M$5)*ROW(İzinler!$A$5:$A$504)))=0,"",LEFT(SUBSTITUTE(SUBSTITUTE(INDEX(İzinler!$B$1:$B$504,SUMPRODUCT(MAX((İzinler!$A$5:$A$504=$B8)*(İzinler!$C$5:$C$504&lt;=M$5)*(İzinler!$D$5:$D$504&gt;=M$5)*ROW(İzinler!$A$5:$A$504)))),"Yıllık izin","İ"),"Ücretsiz izin","Ü"),1)))</f>
        <v/>
      </c>
      <c r="N8" s="20" t="str">
        <f aca="false">IF(OR($B8="",N$5=""),"",IF(SUMPRODUCT(MAX((İzinler!$A$5:$A$504=$B8)*(İzinler!$C$5:$C$504&lt;=N$5)*(İzinler!$D$5:$D$504&gt;=N$5)*ROW(İzinler!$A$5:$A$504)))=0,"",LEFT(SUBSTITUTE(SUBSTITUTE(INDEX(İzinler!$B$1:$B$504,SUMPRODUCT(MAX((İzinler!$A$5:$A$504=$B8)*(İzinler!$C$5:$C$504&lt;=N$5)*(İzinler!$D$5:$D$504&gt;=N$5)*ROW(İzinler!$A$5:$A$504)))),"Yıllık izin","İ"),"Ücretsiz izin","Ü"),1)))</f>
        <v/>
      </c>
      <c r="O8" s="20" t="str">
        <f aca="false">IF(OR($B8="",O$5=""),"",IF(SUMPRODUCT(MAX((İzinler!$A$5:$A$504=$B8)*(İzinler!$C$5:$C$504&lt;=O$5)*(İzinler!$D$5:$D$504&gt;=O$5)*ROW(İzinler!$A$5:$A$504)))=0,"",LEFT(SUBSTITUTE(SUBSTITUTE(INDEX(İzinler!$B$1:$B$504,SUMPRODUCT(MAX((İzinler!$A$5:$A$504=$B8)*(İzinler!$C$5:$C$504&lt;=O$5)*(İzinler!$D$5:$D$504&gt;=O$5)*ROW(İzinler!$A$5:$A$504)))),"Yıllık izin","İ"),"Ücretsiz izin","Ü"),1)))</f>
        <v/>
      </c>
      <c r="P8" s="20" t="str">
        <f aca="false">IF(OR($B8="",P$5=""),"",IF(SUMPRODUCT(MAX((İzinler!$A$5:$A$504=$B8)*(İzinler!$C$5:$C$504&lt;=P$5)*(İzinler!$D$5:$D$504&gt;=P$5)*ROW(İzinler!$A$5:$A$504)))=0,"",LEFT(SUBSTITUTE(SUBSTITUTE(INDEX(İzinler!$B$1:$B$504,SUMPRODUCT(MAX((İzinler!$A$5:$A$504=$B8)*(İzinler!$C$5:$C$504&lt;=P$5)*(İzinler!$D$5:$D$504&gt;=P$5)*ROW(İzinler!$A$5:$A$504)))),"Yıllık izin","İ"),"Ücretsiz izin","Ü"),1)))</f>
        <v/>
      </c>
      <c r="Q8" s="20" t="str">
        <f aca="false">IF(OR($B8="",Q$5=""),"",IF(SUMPRODUCT(MAX((İzinler!$A$5:$A$504=$B8)*(İzinler!$C$5:$C$504&lt;=Q$5)*(İzinler!$D$5:$D$504&gt;=Q$5)*ROW(İzinler!$A$5:$A$504)))=0,"",LEFT(SUBSTITUTE(SUBSTITUTE(INDEX(İzinler!$B$1:$B$504,SUMPRODUCT(MAX((İzinler!$A$5:$A$504=$B8)*(İzinler!$C$5:$C$504&lt;=Q$5)*(İzinler!$D$5:$D$504&gt;=Q$5)*ROW(İzinler!$A$5:$A$504)))),"Yıllık izin","İ"),"Ücretsiz izin","Ü"),1)))</f>
        <v/>
      </c>
      <c r="R8" s="20" t="str">
        <f aca="false">IF(OR($B8="",R$5=""),"",IF(SUMPRODUCT(MAX((İzinler!$A$5:$A$504=$B8)*(İzinler!$C$5:$C$504&lt;=R$5)*(İzinler!$D$5:$D$504&gt;=R$5)*ROW(İzinler!$A$5:$A$504)))=0,"",LEFT(SUBSTITUTE(SUBSTITUTE(INDEX(İzinler!$B$1:$B$504,SUMPRODUCT(MAX((İzinler!$A$5:$A$504=$B8)*(İzinler!$C$5:$C$504&lt;=R$5)*(İzinler!$D$5:$D$504&gt;=R$5)*ROW(İzinler!$A$5:$A$504)))),"Yıllık izin","İ"),"Ücretsiz izin","Ü"),1)))</f>
        <v/>
      </c>
      <c r="S8" s="20" t="str">
        <f aca="false">IF(OR($B8="",S$5=""),"",IF(SUMPRODUCT(MAX((İzinler!$A$5:$A$504=$B8)*(İzinler!$C$5:$C$504&lt;=S$5)*(İzinler!$D$5:$D$504&gt;=S$5)*ROW(İzinler!$A$5:$A$504)))=0,"",LEFT(SUBSTITUTE(SUBSTITUTE(INDEX(İzinler!$B$1:$B$504,SUMPRODUCT(MAX((İzinler!$A$5:$A$504=$B8)*(İzinler!$C$5:$C$504&lt;=S$5)*(İzinler!$D$5:$D$504&gt;=S$5)*ROW(İzinler!$A$5:$A$504)))),"Yıllık izin","İ"),"Ücretsiz izin","Ü"),1)))</f>
        <v/>
      </c>
      <c r="T8" s="20" t="str">
        <f aca="false">IF(OR($B8="",T$5=""),"",IF(SUMPRODUCT(MAX((İzinler!$A$5:$A$504=$B8)*(İzinler!$C$5:$C$504&lt;=T$5)*(İzinler!$D$5:$D$504&gt;=T$5)*ROW(İzinler!$A$5:$A$504)))=0,"",LEFT(SUBSTITUTE(SUBSTITUTE(INDEX(İzinler!$B$1:$B$504,SUMPRODUCT(MAX((İzinler!$A$5:$A$504=$B8)*(İzinler!$C$5:$C$504&lt;=T$5)*(İzinler!$D$5:$D$504&gt;=T$5)*ROW(İzinler!$A$5:$A$504)))),"Yıllık izin","İ"),"Ücretsiz izin","Ü"),1)))</f>
        <v/>
      </c>
      <c r="U8" s="20" t="str">
        <f aca="false">IF(OR($B8="",U$5=""),"",IF(SUMPRODUCT(MAX((İzinler!$A$5:$A$504=$B8)*(İzinler!$C$5:$C$504&lt;=U$5)*(İzinler!$D$5:$D$504&gt;=U$5)*ROW(İzinler!$A$5:$A$504)))=0,"",LEFT(SUBSTITUTE(SUBSTITUTE(INDEX(İzinler!$B$1:$B$504,SUMPRODUCT(MAX((İzinler!$A$5:$A$504=$B8)*(İzinler!$C$5:$C$504&lt;=U$5)*(İzinler!$D$5:$D$504&gt;=U$5)*ROW(İzinler!$A$5:$A$504)))),"Yıllık izin","İ"),"Ücretsiz izin","Ü"),1)))</f>
        <v/>
      </c>
      <c r="V8" s="20" t="str">
        <f aca="false">IF(OR($B8="",V$5=""),"",IF(SUMPRODUCT(MAX((İzinler!$A$5:$A$504=$B8)*(İzinler!$C$5:$C$504&lt;=V$5)*(İzinler!$D$5:$D$504&gt;=V$5)*ROW(İzinler!$A$5:$A$504)))=0,"",LEFT(SUBSTITUTE(SUBSTITUTE(INDEX(İzinler!$B$1:$B$504,SUMPRODUCT(MAX((İzinler!$A$5:$A$504=$B8)*(İzinler!$C$5:$C$504&lt;=V$5)*(İzinler!$D$5:$D$504&gt;=V$5)*ROW(İzinler!$A$5:$A$504)))),"Yıllık izin","İ"),"Ücretsiz izin","Ü"),1)))</f>
        <v/>
      </c>
      <c r="W8" s="20" t="str">
        <f aca="false">IF(OR($B8="",W$5=""),"",IF(SUMPRODUCT(MAX((İzinler!$A$5:$A$504=$B8)*(İzinler!$C$5:$C$504&lt;=W$5)*(İzinler!$D$5:$D$504&gt;=W$5)*ROW(İzinler!$A$5:$A$504)))=0,"",LEFT(SUBSTITUTE(SUBSTITUTE(INDEX(İzinler!$B$1:$B$504,SUMPRODUCT(MAX((İzinler!$A$5:$A$504=$B8)*(İzinler!$C$5:$C$504&lt;=W$5)*(İzinler!$D$5:$D$504&gt;=W$5)*ROW(İzinler!$A$5:$A$504)))),"Yıllık izin","İ"),"Ücretsiz izin","Ü"),1)))</f>
        <v/>
      </c>
      <c r="X8" s="20" t="str">
        <f aca="false">IF(OR($B8="",X$5=""),"",IF(SUMPRODUCT(MAX((İzinler!$A$5:$A$504=$B8)*(İzinler!$C$5:$C$504&lt;=X$5)*(İzinler!$D$5:$D$504&gt;=X$5)*ROW(İzinler!$A$5:$A$504)))=0,"",LEFT(SUBSTITUTE(SUBSTITUTE(INDEX(İzinler!$B$1:$B$504,SUMPRODUCT(MAX((İzinler!$A$5:$A$504=$B8)*(İzinler!$C$5:$C$504&lt;=X$5)*(İzinler!$D$5:$D$504&gt;=X$5)*ROW(İzinler!$A$5:$A$504)))),"Yıllık izin","İ"),"Ücretsiz izin","Ü"),1)))</f>
        <v/>
      </c>
      <c r="Y8" s="20" t="str">
        <f aca="false">IF(OR($B8="",Y$5=""),"",IF(SUMPRODUCT(MAX((İzinler!$A$5:$A$504=$B8)*(İzinler!$C$5:$C$504&lt;=Y$5)*(İzinler!$D$5:$D$504&gt;=Y$5)*ROW(İzinler!$A$5:$A$504)))=0,"",LEFT(SUBSTITUTE(SUBSTITUTE(INDEX(İzinler!$B$1:$B$504,SUMPRODUCT(MAX((İzinler!$A$5:$A$504=$B8)*(İzinler!$C$5:$C$504&lt;=Y$5)*(İzinler!$D$5:$D$504&gt;=Y$5)*ROW(İzinler!$A$5:$A$504)))),"Yıllık izin","İ"),"Ücretsiz izin","Ü"),1)))</f>
        <v/>
      </c>
      <c r="Z8" s="20" t="str">
        <f aca="false">IF(OR($B8="",Z$5=""),"",IF(SUMPRODUCT(MAX((İzinler!$A$5:$A$504=$B8)*(İzinler!$C$5:$C$504&lt;=Z$5)*(İzinler!$D$5:$D$504&gt;=Z$5)*ROW(İzinler!$A$5:$A$504)))=0,"",LEFT(SUBSTITUTE(SUBSTITUTE(INDEX(İzinler!$B$1:$B$504,SUMPRODUCT(MAX((İzinler!$A$5:$A$504=$B8)*(İzinler!$C$5:$C$504&lt;=Z$5)*(İzinler!$D$5:$D$504&gt;=Z$5)*ROW(İzinler!$A$5:$A$504)))),"Yıllık izin","İ"),"Ücretsiz izin","Ü"),1)))</f>
        <v/>
      </c>
      <c r="AA8" s="20" t="str">
        <f aca="false">IF(OR($B8="",AA$5=""),"",IF(SUMPRODUCT(MAX((İzinler!$A$5:$A$504=$B8)*(İzinler!$C$5:$C$504&lt;=AA$5)*(İzinler!$D$5:$D$504&gt;=AA$5)*ROW(İzinler!$A$5:$A$504)))=0,"",LEFT(SUBSTITUTE(SUBSTITUTE(INDEX(İzinler!$B$1:$B$504,SUMPRODUCT(MAX((İzinler!$A$5:$A$504=$B8)*(İzinler!$C$5:$C$504&lt;=AA$5)*(İzinler!$D$5:$D$504&gt;=AA$5)*ROW(İzinler!$A$5:$A$504)))),"Yıllık izin","İ"),"Ücretsiz izin","Ü"),1)))</f>
        <v/>
      </c>
      <c r="AB8" s="20" t="str">
        <f aca="false">IF(OR($B8="",AB$5=""),"",IF(SUMPRODUCT(MAX((İzinler!$A$5:$A$504=$B8)*(İzinler!$C$5:$C$504&lt;=AB$5)*(İzinler!$D$5:$D$504&gt;=AB$5)*ROW(İzinler!$A$5:$A$504)))=0,"",LEFT(SUBSTITUTE(SUBSTITUTE(INDEX(İzinler!$B$1:$B$504,SUMPRODUCT(MAX((İzinler!$A$5:$A$504=$B8)*(İzinler!$C$5:$C$504&lt;=AB$5)*(İzinler!$D$5:$D$504&gt;=AB$5)*ROW(İzinler!$A$5:$A$504)))),"Yıllık izin","İ"),"Ücretsiz izin","Ü"),1)))</f>
        <v/>
      </c>
      <c r="AC8" s="20" t="str">
        <f aca="false">IF(OR($B8="",AC$5=""),"",IF(SUMPRODUCT(MAX((İzinler!$A$5:$A$504=$B8)*(İzinler!$C$5:$C$504&lt;=AC$5)*(İzinler!$D$5:$D$504&gt;=AC$5)*ROW(İzinler!$A$5:$A$504)))=0,"",LEFT(SUBSTITUTE(SUBSTITUTE(INDEX(İzinler!$B$1:$B$504,SUMPRODUCT(MAX((İzinler!$A$5:$A$504=$B8)*(İzinler!$C$5:$C$504&lt;=AC$5)*(İzinler!$D$5:$D$504&gt;=AC$5)*ROW(İzinler!$A$5:$A$504)))),"Yıllık izin","İ"),"Ücretsiz izin","Ü"),1)))</f>
        <v/>
      </c>
      <c r="AD8" s="20" t="str">
        <f aca="false">IF(OR($B8="",AD$5=""),"",IF(SUMPRODUCT(MAX((İzinler!$A$5:$A$504=$B8)*(İzinler!$C$5:$C$504&lt;=AD$5)*(İzinler!$D$5:$D$504&gt;=AD$5)*ROW(İzinler!$A$5:$A$504)))=0,"",LEFT(SUBSTITUTE(SUBSTITUTE(INDEX(İzinler!$B$1:$B$504,SUMPRODUCT(MAX((İzinler!$A$5:$A$504=$B8)*(İzinler!$C$5:$C$504&lt;=AD$5)*(İzinler!$D$5:$D$504&gt;=AD$5)*ROW(İzinler!$A$5:$A$504)))),"Yıllık izin","İ"),"Ücretsiz izin","Ü"),1)))</f>
        <v/>
      </c>
      <c r="AE8" s="20" t="str">
        <f aca="false">IF(OR($B8="",AE$5=""),"",IF(SUMPRODUCT(MAX((İzinler!$A$5:$A$504=$B8)*(İzinler!$C$5:$C$504&lt;=AE$5)*(İzinler!$D$5:$D$504&gt;=AE$5)*ROW(İzinler!$A$5:$A$504)))=0,"",LEFT(SUBSTITUTE(SUBSTITUTE(INDEX(İzinler!$B$1:$B$504,SUMPRODUCT(MAX((İzinler!$A$5:$A$504=$B8)*(İzinler!$C$5:$C$504&lt;=AE$5)*(İzinler!$D$5:$D$504&gt;=AE$5)*ROW(İzinler!$A$5:$A$504)))),"Yıllık izin","İ"),"Ücretsiz izin","Ü"),1)))</f>
        <v/>
      </c>
      <c r="AF8" s="20" t="str">
        <f aca="false">IF(OR($B8="",AF$5=""),"",IF(SUMPRODUCT(MAX((İzinler!$A$5:$A$504=$B8)*(İzinler!$C$5:$C$504&lt;=AF$5)*(İzinler!$D$5:$D$504&gt;=AF$5)*ROW(İzinler!$A$5:$A$504)))=0,"",LEFT(SUBSTITUTE(SUBSTITUTE(INDEX(İzinler!$B$1:$B$504,SUMPRODUCT(MAX((İzinler!$A$5:$A$504=$B8)*(İzinler!$C$5:$C$504&lt;=AF$5)*(İzinler!$D$5:$D$504&gt;=AF$5)*ROW(İzinler!$A$5:$A$504)))),"Yıllık izin","İ"),"Ücretsiz izin","Ü"),1)))</f>
        <v/>
      </c>
      <c r="AG8" s="20" t="str">
        <f aca="false">IF(OR($B8="",AG$5=""),"",IF(SUMPRODUCT(MAX((İzinler!$A$5:$A$504=$B8)*(İzinler!$C$5:$C$504&lt;=AG$5)*(İzinler!$D$5:$D$504&gt;=AG$5)*ROW(İzinler!$A$5:$A$504)))=0,"",LEFT(SUBSTITUTE(SUBSTITUTE(INDEX(İzinler!$B$1:$B$504,SUMPRODUCT(MAX((İzinler!$A$5:$A$504=$B8)*(İzinler!$C$5:$C$504&lt;=AG$5)*(İzinler!$D$5:$D$504&gt;=AG$5)*ROW(İzinler!$A$5:$A$504)))),"Yıllık izin","İ"),"Ücretsiz izin","Ü"),1)))</f>
        <v/>
      </c>
      <c r="AH8" s="21" t="n">
        <f aca="false">IF(B8="","",COUNTIF(C8:AG8,"?"))</f>
        <v>1</v>
      </c>
    </row>
    <row r="9" customFormat="false" ht="15" hidden="false" customHeight="false" outlineLevel="0" collapsed="false">
      <c r="B9" s="16" t="str">
        <f aca="false">IF(Personel!A8="","",Personel!A8)</f>
        <v/>
      </c>
      <c r="C9" s="20" t="str">
        <f aca="false">IF(OR($B9="",C$5=""),"",IF(SUMPRODUCT(MAX((İzinler!$A$5:$A$504=$B9)*(İzinler!$C$5:$C$504&lt;=C$5)*(İzinler!$D$5:$D$504&gt;=C$5)*ROW(İzinler!$A$5:$A$504)))=0,"",LEFT(SUBSTITUTE(SUBSTITUTE(INDEX(İzinler!$B$1:$B$504,SUMPRODUCT(MAX((İzinler!$A$5:$A$504=$B9)*(İzinler!$C$5:$C$504&lt;=C$5)*(İzinler!$D$5:$D$504&gt;=C$5)*ROW(İzinler!$A$5:$A$504)))),"Yıllık izin","İ"),"Ücretsiz izin","Ü"),1)))</f>
        <v/>
      </c>
      <c r="D9" s="20" t="str">
        <f aca="false">IF(OR($B9="",D$5=""),"",IF(SUMPRODUCT(MAX((İzinler!$A$5:$A$504=$B9)*(İzinler!$C$5:$C$504&lt;=D$5)*(İzinler!$D$5:$D$504&gt;=D$5)*ROW(İzinler!$A$5:$A$504)))=0,"",LEFT(SUBSTITUTE(SUBSTITUTE(INDEX(İzinler!$B$1:$B$504,SUMPRODUCT(MAX((İzinler!$A$5:$A$504=$B9)*(İzinler!$C$5:$C$504&lt;=D$5)*(İzinler!$D$5:$D$504&gt;=D$5)*ROW(İzinler!$A$5:$A$504)))),"Yıllık izin","İ"),"Ücretsiz izin","Ü"),1)))</f>
        <v/>
      </c>
      <c r="E9" s="20" t="str">
        <f aca="false">IF(OR($B9="",E$5=""),"",IF(SUMPRODUCT(MAX((İzinler!$A$5:$A$504=$B9)*(İzinler!$C$5:$C$504&lt;=E$5)*(İzinler!$D$5:$D$504&gt;=E$5)*ROW(İzinler!$A$5:$A$504)))=0,"",LEFT(SUBSTITUTE(SUBSTITUTE(INDEX(İzinler!$B$1:$B$504,SUMPRODUCT(MAX((İzinler!$A$5:$A$504=$B9)*(İzinler!$C$5:$C$504&lt;=E$5)*(İzinler!$D$5:$D$504&gt;=E$5)*ROW(İzinler!$A$5:$A$504)))),"Yıllık izin","İ"),"Ücretsiz izin","Ü"),1)))</f>
        <v/>
      </c>
      <c r="F9" s="20" t="str">
        <f aca="false">IF(OR($B9="",F$5=""),"",IF(SUMPRODUCT(MAX((İzinler!$A$5:$A$504=$B9)*(İzinler!$C$5:$C$504&lt;=F$5)*(İzinler!$D$5:$D$504&gt;=F$5)*ROW(İzinler!$A$5:$A$504)))=0,"",LEFT(SUBSTITUTE(SUBSTITUTE(INDEX(İzinler!$B$1:$B$504,SUMPRODUCT(MAX((İzinler!$A$5:$A$504=$B9)*(İzinler!$C$5:$C$504&lt;=F$5)*(İzinler!$D$5:$D$504&gt;=F$5)*ROW(İzinler!$A$5:$A$504)))),"Yıllık izin","İ"),"Ücretsiz izin","Ü"),1)))</f>
        <v/>
      </c>
      <c r="G9" s="20" t="str">
        <f aca="false">IF(OR($B9="",G$5=""),"",IF(SUMPRODUCT(MAX((İzinler!$A$5:$A$504=$B9)*(İzinler!$C$5:$C$504&lt;=G$5)*(İzinler!$D$5:$D$504&gt;=G$5)*ROW(İzinler!$A$5:$A$504)))=0,"",LEFT(SUBSTITUTE(SUBSTITUTE(INDEX(İzinler!$B$1:$B$504,SUMPRODUCT(MAX((İzinler!$A$5:$A$504=$B9)*(İzinler!$C$5:$C$504&lt;=G$5)*(İzinler!$D$5:$D$504&gt;=G$5)*ROW(İzinler!$A$5:$A$504)))),"Yıllık izin","İ"),"Ücretsiz izin","Ü"),1)))</f>
        <v/>
      </c>
      <c r="H9" s="20" t="str">
        <f aca="false">IF(OR($B9="",H$5=""),"",IF(SUMPRODUCT(MAX((İzinler!$A$5:$A$504=$B9)*(İzinler!$C$5:$C$504&lt;=H$5)*(İzinler!$D$5:$D$504&gt;=H$5)*ROW(İzinler!$A$5:$A$504)))=0,"",LEFT(SUBSTITUTE(SUBSTITUTE(INDEX(İzinler!$B$1:$B$504,SUMPRODUCT(MAX((İzinler!$A$5:$A$504=$B9)*(İzinler!$C$5:$C$504&lt;=H$5)*(İzinler!$D$5:$D$504&gt;=H$5)*ROW(İzinler!$A$5:$A$504)))),"Yıllık izin","İ"),"Ücretsiz izin","Ü"),1)))</f>
        <v/>
      </c>
      <c r="I9" s="20" t="str">
        <f aca="false">IF(OR($B9="",I$5=""),"",IF(SUMPRODUCT(MAX((İzinler!$A$5:$A$504=$B9)*(İzinler!$C$5:$C$504&lt;=I$5)*(İzinler!$D$5:$D$504&gt;=I$5)*ROW(İzinler!$A$5:$A$504)))=0,"",LEFT(SUBSTITUTE(SUBSTITUTE(INDEX(İzinler!$B$1:$B$504,SUMPRODUCT(MAX((İzinler!$A$5:$A$504=$B9)*(İzinler!$C$5:$C$504&lt;=I$5)*(İzinler!$D$5:$D$504&gt;=I$5)*ROW(İzinler!$A$5:$A$504)))),"Yıllık izin","İ"),"Ücretsiz izin","Ü"),1)))</f>
        <v/>
      </c>
      <c r="J9" s="20" t="str">
        <f aca="false">IF(OR($B9="",J$5=""),"",IF(SUMPRODUCT(MAX((İzinler!$A$5:$A$504=$B9)*(İzinler!$C$5:$C$504&lt;=J$5)*(İzinler!$D$5:$D$504&gt;=J$5)*ROW(İzinler!$A$5:$A$504)))=0,"",LEFT(SUBSTITUTE(SUBSTITUTE(INDEX(İzinler!$B$1:$B$504,SUMPRODUCT(MAX((İzinler!$A$5:$A$504=$B9)*(İzinler!$C$5:$C$504&lt;=J$5)*(İzinler!$D$5:$D$504&gt;=J$5)*ROW(İzinler!$A$5:$A$504)))),"Yıllık izin","İ"),"Ücretsiz izin","Ü"),1)))</f>
        <v/>
      </c>
      <c r="K9" s="20" t="str">
        <f aca="false">IF(OR($B9="",K$5=""),"",IF(SUMPRODUCT(MAX((İzinler!$A$5:$A$504=$B9)*(İzinler!$C$5:$C$504&lt;=K$5)*(İzinler!$D$5:$D$504&gt;=K$5)*ROW(İzinler!$A$5:$A$504)))=0,"",LEFT(SUBSTITUTE(SUBSTITUTE(INDEX(İzinler!$B$1:$B$504,SUMPRODUCT(MAX((İzinler!$A$5:$A$504=$B9)*(İzinler!$C$5:$C$504&lt;=K$5)*(İzinler!$D$5:$D$504&gt;=K$5)*ROW(İzinler!$A$5:$A$504)))),"Yıllık izin","İ"),"Ücretsiz izin","Ü"),1)))</f>
        <v/>
      </c>
      <c r="L9" s="20" t="str">
        <f aca="false">IF(OR($B9="",L$5=""),"",IF(SUMPRODUCT(MAX((İzinler!$A$5:$A$504=$B9)*(İzinler!$C$5:$C$504&lt;=L$5)*(İzinler!$D$5:$D$504&gt;=L$5)*ROW(İzinler!$A$5:$A$504)))=0,"",LEFT(SUBSTITUTE(SUBSTITUTE(INDEX(İzinler!$B$1:$B$504,SUMPRODUCT(MAX((İzinler!$A$5:$A$504=$B9)*(İzinler!$C$5:$C$504&lt;=L$5)*(İzinler!$D$5:$D$504&gt;=L$5)*ROW(İzinler!$A$5:$A$504)))),"Yıllık izin","İ"),"Ücretsiz izin","Ü"),1)))</f>
        <v/>
      </c>
      <c r="M9" s="20" t="str">
        <f aca="false">IF(OR($B9="",M$5=""),"",IF(SUMPRODUCT(MAX((İzinler!$A$5:$A$504=$B9)*(İzinler!$C$5:$C$504&lt;=M$5)*(İzinler!$D$5:$D$504&gt;=M$5)*ROW(İzinler!$A$5:$A$504)))=0,"",LEFT(SUBSTITUTE(SUBSTITUTE(INDEX(İzinler!$B$1:$B$504,SUMPRODUCT(MAX((İzinler!$A$5:$A$504=$B9)*(İzinler!$C$5:$C$504&lt;=M$5)*(İzinler!$D$5:$D$504&gt;=M$5)*ROW(İzinler!$A$5:$A$504)))),"Yıllık izin","İ"),"Ücretsiz izin","Ü"),1)))</f>
        <v/>
      </c>
      <c r="N9" s="20" t="str">
        <f aca="false">IF(OR($B9="",N$5=""),"",IF(SUMPRODUCT(MAX((İzinler!$A$5:$A$504=$B9)*(İzinler!$C$5:$C$504&lt;=N$5)*(İzinler!$D$5:$D$504&gt;=N$5)*ROW(İzinler!$A$5:$A$504)))=0,"",LEFT(SUBSTITUTE(SUBSTITUTE(INDEX(İzinler!$B$1:$B$504,SUMPRODUCT(MAX((İzinler!$A$5:$A$504=$B9)*(İzinler!$C$5:$C$504&lt;=N$5)*(İzinler!$D$5:$D$504&gt;=N$5)*ROW(İzinler!$A$5:$A$504)))),"Yıllık izin","İ"),"Ücretsiz izin","Ü"),1)))</f>
        <v/>
      </c>
      <c r="O9" s="20" t="str">
        <f aca="false">IF(OR($B9="",O$5=""),"",IF(SUMPRODUCT(MAX((İzinler!$A$5:$A$504=$B9)*(İzinler!$C$5:$C$504&lt;=O$5)*(İzinler!$D$5:$D$504&gt;=O$5)*ROW(İzinler!$A$5:$A$504)))=0,"",LEFT(SUBSTITUTE(SUBSTITUTE(INDEX(İzinler!$B$1:$B$504,SUMPRODUCT(MAX((İzinler!$A$5:$A$504=$B9)*(İzinler!$C$5:$C$504&lt;=O$5)*(İzinler!$D$5:$D$504&gt;=O$5)*ROW(İzinler!$A$5:$A$504)))),"Yıllık izin","İ"),"Ücretsiz izin","Ü"),1)))</f>
        <v/>
      </c>
      <c r="P9" s="20" t="str">
        <f aca="false">IF(OR($B9="",P$5=""),"",IF(SUMPRODUCT(MAX((İzinler!$A$5:$A$504=$B9)*(İzinler!$C$5:$C$504&lt;=P$5)*(İzinler!$D$5:$D$504&gt;=P$5)*ROW(İzinler!$A$5:$A$504)))=0,"",LEFT(SUBSTITUTE(SUBSTITUTE(INDEX(İzinler!$B$1:$B$504,SUMPRODUCT(MAX((İzinler!$A$5:$A$504=$B9)*(İzinler!$C$5:$C$504&lt;=P$5)*(İzinler!$D$5:$D$504&gt;=P$5)*ROW(İzinler!$A$5:$A$504)))),"Yıllık izin","İ"),"Ücretsiz izin","Ü"),1)))</f>
        <v/>
      </c>
      <c r="Q9" s="20" t="str">
        <f aca="false">IF(OR($B9="",Q$5=""),"",IF(SUMPRODUCT(MAX((İzinler!$A$5:$A$504=$B9)*(İzinler!$C$5:$C$504&lt;=Q$5)*(İzinler!$D$5:$D$504&gt;=Q$5)*ROW(İzinler!$A$5:$A$504)))=0,"",LEFT(SUBSTITUTE(SUBSTITUTE(INDEX(İzinler!$B$1:$B$504,SUMPRODUCT(MAX((İzinler!$A$5:$A$504=$B9)*(İzinler!$C$5:$C$504&lt;=Q$5)*(İzinler!$D$5:$D$504&gt;=Q$5)*ROW(İzinler!$A$5:$A$504)))),"Yıllık izin","İ"),"Ücretsiz izin","Ü"),1)))</f>
        <v/>
      </c>
      <c r="R9" s="20" t="str">
        <f aca="false">IF(OR($B9="",R$5=""),"",IF(SUMPRODUCT(MAX((İzinler!$A$5:$A$504=$B9)*(İzinler!$C$5:$C$504&lt;=R$5)*(İzinler!$D$5:$D$504&gt;=R$5)*ROW(İzinler!$A$5:$A$504)))=0,"",LEFT(SUBSTITUTE(SUBSTITUTE(INDEX(İzinler!$B$1:$B$504,SUMPRODUCT(MAX((İzinler!$A$5:$A$504=$B9)*(İzinler!$C$5:$C$504&lt;=R$5)*(İzinler!$D$5:$D$504&gt;=R$5)*ROW(İzinler!$A$5:$A$504)))),"Yıllık izin","İ"),"Ücretsiz izin","Ü"),1)))</f>
        <v/>
      </c>
      <c r="S9" s="20" t="str">
        <f aca="false">IF(OR($B9="",S$5=""),"",IF(SUMPRODUCT(MAX((İzinler!$A$5:$A$504=$B9)*(İzinler!$C$5:$C$504&lt;=S$5)*(İzinler!$D$5:$D$504&gt;=S$5)*ROW(İzinler!$A$5:$A$504)))=0,"",LEFT(SUBSTITUTE(SUBSTITUTE(INDEX(İzinler!$B$1:$B$504,SUMPRODUCT(MAX((İzinler!$A$5:$A$504=$B9)*(İzinler!$C$5:$C$504&lt;=S$5)*(İzinler!$D$5:$D$504&gt;=S$5)*ROW(İzinler!$A$5:$A$504)))),"Yıllık izin","İ"),"Ücretsiz izin","Ü"),1)))</f>
        <v/>
      </c>
      <c r="T9" s="20" t="str">
        <f aca="false">IF(OR($B9="",T$5=""),"",IF(SUMPRODUCT(MAX((İzinler!$A$5:$A$504=$B9)*(İzinler!$C$5:$C$504&lt;=T$5)*(İzinler!$D$5:$D$504&gt;=T$5)*ROW(İzinler!$A$5:$A$504)))=0,"",LEFT(SUBSTITUTE(SUBSTITUTE(INDEX(İzinler!$B$1:$B$504,SUMPRODUCT(MAX((İzinler!$A$5:$A$504=$B9)*(İzinler!$C$5:$C$504&lt;=T$5)*(İzinler!$D$5:$D$504&gt;=T$5)*ROW(İzinler!$A$5:$A$504)))),"Yıllık izin","İ"),"Ücretsiz izin","Ü"),1)))</f>
        <v/>
      </c>
      <c r="U9" s="20" t="str">
        <f aca="false">IF(OR($B9="",U$5=""),"",IF(SUMPRODUCT(MAX((İzinler!$A$5:$A$504=$B9)*(İzinler!$C$5:$C$504&lt;=U$5)*(İzinler!$D$5:$D$504&gt;=U$5)*ROW(İzinler!$A$5:$A$504)))=0,"",LEFT(SUBSTITUTE(SUBSTITUTE(INDEX(İzinler!$B$1:$B$504,SUMPRODUCT(MAX((İzinler!$A$5:$A$504=$B9)*(İzinler!$C$5:$C$504&lt;=U$5)*(İzinler!$D$5:$D$504&gt;=U$5)*ROW(İzinler!$A$5:$A$504)))),"Yıllık izin","İ"),"Ücretsiz izin","Ü"),1)))</f>
        <v/>
      </c>
      <c r="V9" s="20" t="str">
        <f aca="false">IF(OR($B9="",V$5=""),"",IF(SUMPRODUCT(MAX((İzinler!$A$5:$A$504=$B9)*(İzinler!$C$5:$C$504&lt;=V$5)*(İzinler!$D$5:$D$504&gt;=V$5)*ROW(İzinler!$A$5:$A$504)))=0,"",LEFT(SUBSTITUTE(SUBSTITUTE(INDEX(İzinler!$B$1:$B$504,SUMPRODUCT(MAX((İzinler!$A$5:$A$504=$B9)*(İzinler!$C$5:$C$504&lt;=V$5)*(İzinler!$D$5:$D$504&gt;=V$5)*ROW(İzinler!$A$5:$A$504)))),"Yıllık izin","İ"),"Ücretsiz izin","Ü"),1)))</f>
        <v/>
      </c>
      <c r="W9" s="20" t="str">
        <f aca="false">IF(OR($B9="",W$5=""),"",IF(SUMPRODUCT(MAX((İzinler!$A$5:$A$504=$B9)*(İzinler!$C$5:$C$504&lt;=W$5)*(İzinler!$D$5:$D$504&gt;=W$5)*ROW(İzinler!$A$5:$A$504)))=0,"",LEFT(SUBSTITUTE(SUBSTITUTE(INDEX(İzinler!$B$1:$B$504,SUMPRODUCT(MAX((İzinler!$A$5:$A$504=$B9)*(İzinler!$C$5:$C$504&lt;=W$5)*(İzinler!$D$5:$D$504&gt;=W$5)*ROW(İzinler!$A$5:$A$504)))),"Yıllık izin","İ"),"Ücretsiz izin","Ü"),1)))</f>
        <v/>
      </c>
      <c r="X9" s="20" t="str">
        <f aca="false">IF(OR($B9="",X$5=""),"",IF(SUMPRODUCT(MAX((İzinler!$A$5:$A$504=$B9)*(İzinler!$C$5:$C$504&lt;=X$5)*(İzinler!$D$5:$D$504&gt;=X$5)*ROW(İzinler!$A$5:$A$504)))=0,"",LEFT(SUBSTITUTE(SUBSTITUTE(INDEX(İzinler!$B$1:$B$504,SUMPRODUCT(MAX((İzinler!$A$5:$A$504=$B9)*(İzinler!$C$5:$C$504&lt;=X$5)*(İzinler!$D$5:$D$504&gt;=X$5)*ROW(İzinler!$A$5:$A$504)))),"Yıllık izin","İ"),"Ücretsiz izin","Ü"),1)))</f>
        <v/>
      </c>
      <c r="Y9" s="20" t="str">
        <f aca="false">IF(OR($B9="",Y$5=""),"",IF(SUMPRODUCT(MAX((İzinler!$A$5:$A$504=$B9)*(İzinler!$C$5:$C$504&lt;=Y$5)*(İzinler!$D$5:$D$504&gt;=Y$5)*ROW(İzinler!$A$5:$A$504)))=0,"",LEFT(SUBSTITUTE(SUBSTITUTE(INDEX(İzinler!$B$1:$B$504,SUMPRODUCT(MAX((İzinler!$A$5:$A$504=$B9)*(İzinler!$C$5:$C$504&lt;=Y$5)*(İzinler!$D$5:$D$504&gt;=Y$5)*ROW(İzinler!$A$5:$A$504)))),"Yıllık izin","İ"),"Ücretsiz izin","Ü"),1)))</f>
        <v/>
      </c>
      <c r="Z9" s="20" t="str">
        <f aca="false">IF(OR($B9="",Z$5=""),"",IF(SUMPRODUCT(MAX((İzinler!$A$5:$A$504=$B9)*(İzinler!$C$5:$C$504&lt;=Z$5)*(İzinler!$D$5:$D$504&gt;=Z$5)*ROW(İzinler!$A$5:$A$504)))=0,"",LEFT(SUBSTITUTE(SUBSTITUTE(INDEX(İzinler!$B$1:$B$504,SUMPRODUCT(MAX((İzinler!$A$5:$A$504=$B9)*(İzinler!$C$5:$C$504&lt;=Z$5)*(İzinler!$D$5:$D$504&gt;=Z$5)*ROW(İzinler!$A$5:$A$504)))),"Yıllık izin","İ"),"Ücretsiz izin","Ü"),1)))</f>
        <v/>
      </c>
      <c r="AA9" s="20" t="str">
        <f aca="false">IF(OR($B9="",AA$5=""),"",IF(SUMPRODUCT(MAX((İzinler!$A$5:$A$504=$B9)*(İzinler!$C$5:$C$504&lt;=AA$5)*(İzinler!$D$5:$D$504&gt;=AA$5)*ROW(İzinler!$A$5:$A$504)))=0,"",LEFT(SUBSTITUTE(SUBSTITUTE(INDEX(İzinler!$B$1:$B$504,SUMPRODUCT(MAX((İzinler!$A$5:$A$504=$B9)*(İzinler!$C$5:$C$504&lt;=AA$5)*(İzinler!$D$5:$D$504&gt;=AA$5)*ROW(İzinler!$A$5:$A$504)))),"Yıllık izin","İ"),"Ücretsiz izin","Ü"),1)))</f>
        <v/>
      </c>
      <c r="AB9" s="20" t="str">
        <f aca="false">IF(OR($B9="",AB$5=""),"",IF(SUMPRODUCT(MAX((İzinler!$A$5:$A$504=$B9)*(İzinler!$C$5:$C$504&lt;=AB$5)*(İzinler!$D$5:$D$504&gt;=AB$5)*ROW(İzinler!$A$5:$A$504)))=0,"",LEFT(SUBSTITUTE(SUBSTITUTE(INDEX(İzinler!$B$1:$B$504,SUMPRODUCT(MAX((İzinler!$A$5:$A$504=$B9)*(İzinler!$C$5:$C$504&lt;=AB$5)*(İzinler!$D$5:$D$504&gt;=AB$5)*ROW(İzinler!$A$5:$A$504)))),"Yıllık izin","İ"),"Ücretsiz izin","Ü"),1)))</f>
        <v/>
      </c>
      <c r="AC9" s="20" t="str">
        <f aca="false">IF(OR($B9="",AC$5=""),"",IF(SUMPRODUCT(MAX((İzinler!$A$5:$A$504=$B9)*(İzinler!$C$5:$C$504&lt;=AC$5)*(İzinler!$D$5:$D$504&gt;=AC$5)*ROW(İzinler!$A$5:$A$504)))=0,"",LEFT(SUBSTITUTE(SUBSTITUTE(INDEX(İzinler!$B$1:$B$504,SUMPRODUCT(MAX((İzinler!$A$5:$A$504=$B9)*(İzinler!$C$5:$C$504&lt;=AC$5)*(İzinler!$D$5:$D$504&gt;=AC$5)*ROW(İzinler!$A$5:$A$504)))),"Yıllık izin","İ"),"Ücretsiz izin","Ü"),1)))</f>
        <v/>
      </c>
      <c r="AD9" s="20" t="str">
        <f aca="false">IF(OR($B9="",AD$5=""),"",IF(SUMPRODUCT(MAX((İzinler!$A$5:$A$504=$B9)*(İzinler!$C$5:$C$504&lt;=AD$5)*(İzinler!$D$5:$D$504&gt;=AD$5)*ROW(İzinler!$A$5:$A$504)))=0,"",LEFT(SUBSTITUTE(SUBSTITUTE(INDEX(İzinler!$B$1:$B$504,SUMPRODUCT(MAX((İzinler!$A$5:$A$504=$B9)*(İzinler!$C$5:$C$504&lt;=AD$5)*(İzinler!$D$5:$D$504&gt;=AD$5)*ROW(İzinler!$A$5:$A$504)))),"Yıllık izin","İ"),"Ücretsiz izin","Ü"),1)))</f>
        <v/>
      </c>
      <c r="AE9" s="20" t="str">
        <f aca="false">IF(OR($B9="",AE$5=""),"",IF(SUMPRODUCT(MAX((İzinler!$A$5:$A$504=$B9)*(İzinler!$C$5:$C$504&lt;=AE$5)*(İzinler!$D$5:$D$504&gt;=AE$5)*ROW(İzinler!$A$5:$A$504)))=0,"",LEFT(SUBSTITUTE(SUBSTITUTE(INDEX(İzinler!$B$1:$B$504,SUMPRODUCT(MAX((İzinler!$A$5:$A$504=$B9)*(İzinler!$C$5:$C$504&lt;=AE$5)*(İzinler!$D$5:$D$504&gt;=AE$5)*ROW(İzinler!$A$5:$A$504)))),"Yıllık izin","İ"),"Ücretsiz izin","Ü"),1)))</f>
        <v/>
      </c>
      <c r="AF9" s="20" t="str">
        <f aca="false">IF(OR($B9="",AF$5=""),"",IF(SUMPRODUCT(MAX((İzinler!$A$5:$A$504=$B9)*(İzinler!$C$5:$C$504&lt;=AF$5)*(İzinler!$D$5:$D$504&gt;=AF$5)*ROW(İzinler!$A$5:$A$504)))=0,"",LEFT(SUBSTITUTE(SUBSTITUTE(INDEX(İzinler!$B$1:$B$504,SUMPRODUCT(MAX((İzinler!$A$5:$A$504=$B9)*(İzinler!$C$5:$C$504&lt;=AF$5)*(İzinler!$D$5:$D$504&gt;=AF$5)*ROW(İzinler!$A$5:$A$504)))),"Yıllık izin","İ"),"Ücretsiz izin","Ü"),1)))</f>
        <v/>
      </c>
      <c r="AG9" s="20" t="str">
        <f aca="false">IF(OR($B9="",AG$5=""),"",IF(SUMPRODUCT(MAX((İzinler!$A$5:$A$504=$B9)*(İzinler!$C$5:$C$504&lt;=AG$5)*(İzinler!$D$5:$D$504&gt;=AG$5)*ROW(İzinler!$A$5:$A$504)))=0,"",LEFT(SUBSTITUTE(SUBSTITUTE(INDEX(İzinler!$B$1:$B$504,SUMPRODUCT(MAX((İzinler!$A$5:$A$504=$B9)*(İzinler!$C$5:$C$504&lt;=AG$5)*(İzinler!$D$5:$D$504&gt;=AG$5)*ROW(İzinler!$A$5:$A$504)))),"Yıllık izin","İ"),"Ücretsiz izin","Ü"),1)))</f>
        <v/>
      </c>
      <c r="AH9" s="21" t="str">
        <f aca="false">IF(B9="","",COUNTIF(C9:AG9,"?"))</f>
        <v/>
      </c>
    </row>
    <row r="10" customFormat="false" ht="15" hidden="false" customHeight="false" outlineLevel="0" collapsed="false">
      <c r="B10" s="16" t="str">
        <f aca="false">IF(Personel!A9="","",Personel!A9)</f>
        <v/>
      </c>
      <c r="C10" s="20" t="str">
        <f aca="false">IF(OR($B10="",C$5=""),"",IF(SUMPRODUCT(MAX((İzinler!$A$5:$A$504=$B10)*(İzinler!$C$5:$C$504&lt;=C$5)*(İzinler!$D$5:$D$504&gt;=C$5)*ROW(İzinler!$A$5:$A$504)))=0,"",LEFT(SUBSTITUTE(SUBSTITUTE(INDEX(İzinler!$B$1:$B$504,SUMPRODUCT(MAX((İzinler!$A$5:$A$504=$B10)*(İzinler!$C$5:$C$504&lt;=C$5)*(İzinler!$D$5:$D$504&gt;=C$5)*ROW(İzinler!$A$5:$A$504)))),"Yıllık izin","İ"),"Ücretsiz izin","Ü"),1)))</f>
        <v/>
      </c>
      <c r="D10" s="20" t="str">
        <f aca="false">IF(OR($B10="",D$5=""),"",IF(SUMPRODUCT(MAX((İzinler!$A$5:$A$504=$B10)*(İzinler!$C$5:$C$504&lt;=D$5)*(İzinler!$D$5:$D$504&gt;=D$5)*ROW(İzinler!$A$5:$A$504)))=0,"",LEFT(SUBSTITUTE(SUBSTITUTE(INDEX(İzinler!$B$1:$B$504,SUMPRODUCT(MAX((İzinler!$A$5:$A$504=$B10)*(İzinler!$C$5:$C$504&lt;=D$5)*(İzinler!$D$5:$D$504&gt;=D$5)*ROW(İzinler!$A$5:$A$504)))),"Yıllık izin","İ"),"Ücretsiz izin","Ü"),1)))</f>
        <v/>
      </c>
      <c r="E10" s="20" t="str">
        <f aca="false">IF(OR($B10="",E$5=""),"",IF(SUMPRODUCT(MAX((İzinler!$A$5:$A$504=$B10)*(İzinler!$C$5:$C$504&lt;=E$5)*(İzinler!$D$5:$D$504&gt;=E$5)*ROW(İzinler!$A$5:$A$504)))=0,"",LEFT(SUBSTITUTE(SUBSTITUTE(INDEX(İzinler!$B$1:$B$504,SUMPRODUCT(MAX((İzinler!$A$5:$A$504=$B10)*(İzinler!$C$5:$C$504&lt;=E$5)*(İzinler!$D$5:$D$504&gt;=E$5)*ROW(İzinler!$A$5:$A$504)))),"Yıllık izin","İ"),"Ücretsiz izin","Ü"),1)))</f>
        <v/>
      </c>
      <c r="F10" s="20" t="str">
        <f aca="false">IF(OR($B10="",F$5=""),"",IF(SUMPRODUCT(MAX((İzinler!$A$5:$A$504=$B10)*(İzinler!$C$5:$C$504&lt;=F$5)*(İzinler!$D$5:$D$504&gt;=F$5)*ROW(İzinler!$A$5:$A$504)))=0,"",LEFT(SUBSTITUTE(SUBSTITUTE(INDEX(İzinler!$B$1:$B$504,SUMPRODUCT(MAX((İzinler!$A$5:$A$504=$B10)*(İzinler!$C$5:$C$504&lt;=F$5)*(İzinler!$D$5:$D$504&gt;=F$5)*ROW(İzinler!$A$5:$A$504)))),"Yıllık izin","İ"),"Ücretsiz izin","Ü"),1)))</f>
        <v/>
      </c>
      <c r="G10" s="20" t="str">
        <f aca="false">IF(OR($B10="",G$5=""),"",IF(SUMPRODUCT(MAX((İzinler!$A$5:$A$504=$B10)*(İzinler!$C$5:$C$504&lt;=G$5)*(İzinler!$D$5:$D$504&gt;=G$5)*ROW(İzinler!$A$5:$A$504)))=0,"",LEFT(SUBSTITUTE(SUBSTITUTE(INDEX(İzinler!$B$1:$B$504,SUMPRODUCT(MAX((İzinler!$A$5:$A$504=$B10)*(İzinler!$C$5:$C$504&lt;=G$5)*(İzinler!$D$5:$D$504&gt;=G$5)*ROW(İzinler!$A$5:$A$504)))),"Yıllık izin","İ"),"Ücretsiz izin","Ü"),1)))</f>
        <v/>
      </c>
      <c r="H10" s="20" t="str">
        <f aca="false">IF(OR($B10="",H$5=""),"",IF(SUMPRODUCT(MAX((İzinler!$A$5:$A$504=$B10)*(İzinler!$C$5:$C$504&lt;=H$5)*(İzinler!$D$5:$D$504&gt;=H$5)*ROW(İzinler!$A$5:$A$504)))=0,"",LEFT(SUBSTITUTE(SUBSTITUTE(INDEX(İzinler!$B$1:$B$504,SUMPRODUCT(MAX((İzinler!$A$5:$A$504=$B10)*(İzinler!$C$5:$C$504&lt;=H$5)*(İzinler!$D$5:$D$504&gt;=H$5)*ROW(İzinler!$A$5:$A$504)))),"Yıllık izin","İ"),"Ücretsiz izin","Ü"),1)))</f>
        <v/>
      </c>
      <c r="I10" s="20" t="str">
        <f aca="false">IF(OR($B10="",I$5=""),"",IF(SUMPRODUCT(MAX((İzinler!$A$5:$A$504=$B10)*(İzinler!$C$5:$C$504&lt;=I$5)*(İzinler!$D$5:$D$504&gt;=I$5)*ROW(İzinler!$A$5:$A$504)))=0,"",LEFT(SUBSTITUTE(SUBSTITUTE(INDEX(İzinler!$B$1:$B$504,SUMPRODUCT(MAX((İzinler!$A$5:$A$504=$B10)*(İzinler!$C$5:$C$504&lt;=I$5)*(İzinler!$D$5:$D$504&gt;=I$5)*ROW(İzinler!$A$5:$A$504)))),"Yıllık izin","İ"),"Ücretsiz izin","Ü"),1)))</f>
        <v/>
      </c>
      <c r="J10" s="20" t="str">
        <f aca="false">IF(OR($B10="",J$5=""),"",IF(SUMPRODUCT(MAX((İzinler!$A$5:$A$504=$B10)*(İzinler!$C$5:$C$504&lt;=J$5)*(İzinler!$D$5:$D$504&gt;=J$5)*ROW(İzinler!$A$5:$A$504)))=0,"",LEFT(SUBSTITUTE(SUBSTITUTE(INDEX(İzinler!$B$1:$B$504,SUMPRODUCT(MAX((İzinler!$A$5:$A$504=$B10)*(İzinler!$C$5:$C$504&lt;=J$5)*(İzinler!$D$5:$D$504&gt;=J$5)*ROW(İzinler!$A$5:$A$504)))),"Yıllık izin","İ"),"Ücretsiz izin","Ü"),1)))</f>
        <v/>
      </c>
      <c r="K10" s="20" t="str">
        <f aca="false">IF(OR($B10="",K$5=""),"",IF(SUMPRODUCT(MAX((İzinler!$A$5:$A$504=$B10)*(İzinler!$C$5:$C$504&lt;=K$5)*(İzinler!$D$5:$D$504&gt;=K$5)*ROW(İzinler!$A$5:$A$504)))=0,"",LEFT(SUBSTITUTE(SUBSTITUTE(INDEX(İzinler!$B$1:$B$504,SUMPRODUCT(MAX((İzinler!$A$5:$A$504=$B10)*(İzinler!$C$5:$C$504&lt;=K$5)*(İzinler!$D$5:$D$504&gt;=K$5)*ROW(İzinler!$A$5:$A$504)))),"Yıllık izin","İ"),"Ücretsiz izin","Ü"),1)))</f>
        <v/>
      </c>
      <c r="L10" s="20" t="str">
        <f aca="false">IF(OR($B10="",L$5=""),"",IF(SUMPRODUCT(MAX((İzinler!$A$5:$A$504=$B10)*(İzinler!$C$5:$C$504&lt;=L$5)*(İzinler!$D$5:$D$504&gt;=L$5)*ROW(İzinler!$A$5:$A$504)))=0,"",LEFT(SUBSTITUTE(SUBSTITUTE(INDEX(İzinler!$B$1:$B$504,SUMPRODUCT(MAX((İzinler!$A$5:$A$504=$B10)*(İzinler!$C$5:$C$504&lt;=L$5)*(İzinler!$D$5:$D$504&gt;=L$5)*ROW(İzinler!$A$5:$A$504)))),"Yıllık izin","İ"),"Ücretsiz izin","Ü"),1)))</f>
        <v/>
      </c>
      <c r="M10" s="20" t="str">
        <f aca="false">IF(OR($B10="",M$5=""),"",IF(SUMPRODUCT(MAX((İzinler!$A$5:$A$504=$B10)*(İzinler!$C$5:$C$504&lt;=M$5)*(İzinler!$D$5:$D$504&gt;=M$5)*ROW(İzinler!$A$5:$A$504)))=0,"",LEFT(SUBSTITUTE(SUBSTITUTE(INDEX(İzinler!$B$1:$B$504,SUMPRODUCT(MAX((İzinler!$A$5:$A$504=$B10)*(İzinler!$C$5:$C$504&lt;=M$5)*(İzinler!$D$5:$D$504&gt;=M$5)*ROW(İzinler!$A$5:$A$504)))),"Yıllık izin","İ"),"Ücretsiz izin","Ü"),1)))</f>
        <v/>
      </c>
      <c r="N10" s="20" t="str">
        <f aca="false">IF(OR($B10="",N$5=""),"",IF(SUMPRODUCT(MAX((İzinler!$A$5:$A$504=$B10)*(İzinler!$C$5:$C$504&lt;=N$5)*(İzinler!$D$5:$D$504&gt;=N$5)*ROW(İzinler!$A$5:$A$504)))=0,"",LEFT(SUBSTITUTE(SUBSTITUTE(INDEX(İzinler!$B$1:$B$504,SUMPRODUCT(MAX((İzinler!$A$5:$A$504=$B10)*(İzinler!$C$5:$C$504&lt;=N$5)*(İzinler!$D$5:$D$504&gt;=N$5)*ROW(İzinler!$A$5:$A$504)))),"Yıllık izin","İ"),"Ücretsiz izin","Ü"),1)))</f>
        <v/>
      </c>
      <c r="O10" s="20" t="str">
        <f aca="false">IF(OR($B10="",O$5=""),"",IF(SUMPRODUCT(MAX((İzinler!$A$5:$A$504=$B10)*(İzinler!$C$5:$C$504&lt;=O$5)*(İzinler!$D$5:$D$504&gt;=O$5)*ROW(İzinler!$A$5:$A$504)))=0,"",LEFT(SUBSTITUTE(SUBSTITUTE(INDEX(İzinler!$B$1:$B$504,SUMPRODUCT(MAX((İzinler!$A$5:$A$504=$B10)*(İzinler!$C$5:$C$504&lt;=O$5)*(İzinler!$D$5:$D$504&gt;=O$5)*ROW(İzinler!$A$5:$A$504)))),"Yıllık izin","İ"),"Ücretsiz izin","Ü"),1)))</f>
        <v/>
      </c>
      <c r="P10" s="20" t="str">
        <f aca="false">IF(OR($B10="",P$5=""),"",IF(SUMPRODUCT(MAX((İzinler!$A$5:$A$504=$B10)*(İzinler!$C$5:$C$504&lt;=P$5)*(İzinler!$D$5:$D$504&gt;=P$5)*ROW(İzinler!$A$5:$A$504)))=0,"",LEFT(SUBSTITUTE(SUBSTITUTE(INDEX(İzinler!$B$1:$B$504,SUMPRODUCT(MAX((İzinler!$A$5:$A$504=$B10)*(İzinler!$C$5:$C$504&lt;=P$5)*(İzinler!$D$5:$D$504&gt;=P$5)*ROW(İzinler!$A$5:$A$504)))),"Yıllık izin","İ"),"Ücretsiz izin","Ü"),1)))</f>
        <v/>
      </c>
      <c r="Q10" s="20" t="str">
        <f aca="false">IF(OR($B10="",Q$5=""),"",IF(SUMPRODUCT(MAX((İzinler!$A$5:$A$504=$B10)*(İzinler!$C$5:$C$504&lt;=Q$5)*(İzinler!$D$5:$D$504&gt;=Q$5)*ROW(İzinler!$A$5:$A$504)))=0,"",LEFT(SUBSTITUTE(SUBSTITUTE(INDEX(İzinler!$B$1:$B$504,SUMPRODUCT(MAX((İzinler!$A$5:$A$504=$B10)*(İzinler!$C$5:$C$504&lt;=Q$5)*(İzinler!$D$5:$D$504&gt;=Q$5)*ROW(İzinler!$A$5:$A$504)))),"Yıllık izin","İ"),"Ücretsiz izin","Ü"),1)))</f>
        <v/>
      </c>
      <c r="R10" s="20" t="str">
        <f aca="false">IF(OR($B10="",R$5=""),"",IF(SUMPRODUCT(MAX((İzinler!$A$5:$A$504=$B10)*(İzinler!$C$5:$C$504&lt;=R$5)*(İzinler!$D$5:$D$504&gt;=R$5)*ROW(İzinler!$A$5:$A$504)))=0,"",LEFT(SUBSTITUTE(SUBSTITUTE(INDEX(İzinler!$B$1:$B$504,SUMPRODUCT(MAX((İzinler!$A$5:$A$504=$B10)*(İzinler!$C$5:$C$504&lt;=R$5)*(İzinler!$D$5:$D$504&gt;=R$5)*ROW(İzinler!$A$5:$A$504)))),"Yıllık izin","İ"),"Ücretsiz izin","Ü"),1)))</f>
        <v/>
      </c>
      <c r="S10" s="20" t="str">
        <f aca="false">IF(OR($B10="",S$5=""),"",IF(SUMPRODUCT(MAX((İzinler!$A$5:$A$504=$B10)*(İzinler!$C$5:$C$504&lt;=S$5)*(İzinler!$D$5:$D$504&gt;=S$5)*ROW(İzinler!$A$5:$A$504)))=0,"",LEFT(SUBSTITUTE(SUBSTITUTE(INDEX(İzinler!$B$1:$B$504,SUMPRODUCT(MAX((İzinler!$A$5:$A$504=$B10)*(İzinler!$C$5:$C$504&lt;=S$5)*(İzinler!$D$5:$D$504&gt;=S$5)*ROW(İzinler!$A$5:$A$504)))),"Yıllık izin","İ"),"Ücretsiz izin","Ü"),1)))</f>
        <v/>
      </c>
      <c r="T10" s="20" t="str">
        <f aca="false">IF(OR($B10="",T$5=""),"",IF(SUMPRODUCT(MAX((İzinler!$A$5:$A$504=$B10)*(İzinler!$C$5:$C$504&lt;=T$5)*(İzinler!$D$5:$D$504&gt;=T$5)*ROW(İzinler!$A$5:$A$504)))=0,"",LEFT(SUBSTITUTE(SUBSTITUTE(INDEX(İzinler!$B$1:$B$504,SUMPRODUCT(MAX((İzinler!$A$5:$A$504=$B10)*(İzinler!$C$5:$C$504&lt;=T$5)*(İzinler!$D$5:$D$504&gt;=T$5)*ROW(İzinler!$A$5:$A$504)))),"Yıllık izin","İ"),"Ücretsiz izin","Ü"),1)))</f>
        <v/>
      </c>
      <c r="U10" s="20" t="str">
        <f aca="false">IF(OR($B10="",U$5=""),"",IF(SUMPRODUCT(MAX((İzinler!$A$5:$A$504=$B10)*(İzinler!$C$5:$C$504&lt;=U$5)*(İzinler!$D$5:$D$504&gt;=U$5)*ROW(İzinler!$A$5:$A$504)))=0,"",LEFT(SUBSTITUTE(SUBSTITUTE(INDEX(İzinler!$B$1:$B$504,SUMPRODUCT(MAX((İzinler!$A$5:$A$504=$B10)*(İzinler!$C$5:$C$504&lt;=U$5)*(İzinler!$D$5:$D$504&gt;=U$5)*ROW(İzinler!$A$5:$A$504)))),"Yıllık izin","İ"),"Ücretsiz izin","Ü"),1)))</f>
        <v/>
      </c>
      <c r="V10" s="20" t="str">
        <f aca="false">IF(OR($B10="",V$5=""),"",IF(SUMPRODUCT(MAX((İzinler!$A$5:$A$504=$B10)*(İzinler!$C$5:$C$504&lt;=V$5)*(İzinler!$D$5:$D$504&gt;=V$5)*ROW(İzinler!$A$5:$A$504)))=0,"",LEFT(SUBSTITUTE(SUBSTITUTE(INDEX(İzinler!$B$1:$B$504,SUMPRODUCT(MAX((İzinler!$A$5:$A$504=$B10)*(İzinler!$C$5:$C$504&lt;=V$5)*(İzinler!$D$5:$D$504&gt;=V$5)*ROW(İzinler!$A$5:$A$504)))),"Yıllık izin","İ"),"Ücretsiz izin","Ü"),1)))</f>
        <v/>
      </c>
      <c r="W10" s="20" t="str">
        <f aca="false">IF(OR($B10="",W$5=""),"",IF(SUMPRODUCT(MAX((İzinler!$A$5:$A$504=$B10)*(İzinler!$C$5:$C$504&lt;=W$5)*(İzinler!$D$5:$D$504&gt;=W$5)*ROW(İzinler!$A$5:$A$504)))=0,"",LEFT(SUBSTITUTE(SUBSTITUTE(INDEX(İzinler!$B$1:$B$504,SUMPRODUCT(MAX((İzinler!$A$5:$A$504=$B10)*(İzinler!$C$5:$C$504&lt;=W$5)*(İzinler!$D$5:$D$504&gt;=W$5)*ROW(İzinler!$A$5:$A$504)))),"Yıllık izin","İ"),"Ücretsiz izin","Ü"),1)))</f>
        <v/>
      </c>
      <c r="X10" s="20" t="str">
        <f aca="false">IF(OR($B10="",X$5=""),"",IF(SUMPRODUCT(MAX((İzinler!$A$5:$A$504=$B10)*(İzinler!$C$5:$C$504&lt;=X$5)*(İzinler!$D$5:$D$504&gt;=X$5)*ROW(İzinler!$A$5:$A$504)))=0,"",LEFT(SUBSTITUTE(SUBSTITUTE(INDEX(İzinler!$B$1:$B$504,SUMPRODUCT(MAX((İzinler!$A$5:$A$504=$B10)*(İzinler!$C$5:$C$504&lt;=X$5)*(İzinler!$D$5:$D$504&gt;=X$5)*ROW(İzinler!$A$5:$A$504)))),"Yıllık izin","İ"),"Ücretsiz izin","Ü"),1)))</f>
        <v/>
      </c>
      <c r="Y10" s="20" t="str">
        <f aca="false">IF(OR($B10="",Y$5=""),"",IF(SUMPRODUCT(MAX((İzinler!$A$5:$A$504=$B10)*(İzinler!$C$5:$C$504&lt;=Y$5)*(İzinler!$D$5:$D$504&gt;=Y$5)*ROW(İzinler!$A$5:$A$504)))=0,"",LEFT(SUBSTITUTE(SUBSTITUTE(INDEX(İzinler!$B$1:$B$504,SUMPRODUCT(MAX((İzinler!$A$5:$A$504=$B10)*(İzinler!$C$5:$C$504&lt;=Y$5)*(İzinler!$D$5:$D$504&gt;=Y$5)*ROW(İzinler!$A$5:$A$504)))),"Yıllık izin","İ"),"Ücretsiz izin","Ü"),1)))</f>
        <v/>
      </c>
      <c r="Z10" s="20" t="str">
        <f aca="false">IF(OR($B10="",Z$5=""),"",IF(SUMPRODUCT(MAX((İzinler!$A$5:$A$504=$B10)*(İzinler!$C$5:$C$504&lt;=Z$5)*(İzinler!$D$5:$D$504&gt;=Z$5)*ROW(İzinler!$A$5:$A$504)))=0,"",LEFT(SUBSTITUTE(SUBSTITUTE(INDEX(İzinler!$B$1:$B$504,SUMPRODUCT(MAX((İzinler!$A$5:$A$504=$B10)*(İzinler!$C$5:$C$504&lt;=Z$5)*(İzinler!$D$5:$D$504&gt;=Z$5)*ROW(İzinler!$A$5:$A$504)))),"Yıllık izin","İ"),"Ücretsiz izin","Ü"),1)))</f>
        <v/>
      </c>
      <c r="AA10" s="20" t="str">
        <f aca="false">IF(OR($B10="",AA$5=""),"",IF(SUMPRODUCT(MAX((İzinler!$A$5:$A$504=$B10)*(İzinler!$C$5:$C$504&lt;=AA$5)*(İzinler!$D$5:$D$504&gt;=AA$5)*ROW(İzinler!$A$5:$A$504)))=0,"",LEFT(SUBSTITUTE(SUBSTITUTE(INDEX(İzinler!$B$1:$B$504,SUMPRODUCT(MAX((İzinler!$A$5:$A$504=$B10)*(İzinler!$C$5:$C$504&lt;=AA$5)*(İzinler!$D$5:$D$504&gt;=AA$5)*ROW(İzinler!$A$5:$A$504)))),"Yıllık izin","İ"),"Ücretsiz izin","Ü"),1)))</f>
        <v/>
      </c>
      <c r="AB10" s="20" t="str">
        <f aca="false">IF(OR($B10="",AB$5=""),"",IF(SUMPRODUCT(MAX((İzinler!$A$5:$A$504=$B10)*(İzinler!$C$5:$C$504&lt;=AB$5)*(İzinler!$D$5:$D$504&gt;=AB$5)*ROW(İzinler!$A$5:$A$504)))=0,"",LEFT(SUBSTITUTE(SUBSTITUTE(INDEX(İzinler!$B$1:$B$504,SUMPRODUCT(MAX((İzinler!$A$5:$A$504=$B10)*(İzinler!$C$5:$C$504&lt;=AB$5)*(İzinler!$D$5:$D$504&gt;=AB$5)*ROW(İzinler!$A$5:$A$504)))),"Yıllık izin","İ"),"Ücretsiz izin","Ü"),1)))</f>
        <v/>
      </c>
      <c r="AC10" s="20" t="str">
        <f aca="false">IF(OR($B10="",AC$5=""),"",IF(SUMPRODUCT(MAX((İzinler!$A$5:$A$504=$B10)*(İzinler!$C$5:$C$504&lt;=AC$5)*(İzinler!$D$5:$D$504&gt;=AC$5)*ROW(İzinler!$A$5:$A$504)))=0,"",LEFT(SUBSTITUTE(SUBSTITUTE(INDEX(İzinler!$B$1:$B$504,SUMPRODUCT(MAX((İzinler!$A$5:$A$504=$B10)*(İzinler!$C$5:$C$504&lt;=AC$5)*(İzinler!$D$5:$D$504&gt;=AC$5)*ROW(İzinler!$A$5:$A$504)))),"Yıllık izin","İ"),"Ücretsiz izin","Ü"),1)))</f>
        <v/>
      </c>
      <c r="AD10" s="20" t="str">
        <f aca="false">IF(OR($B10="",AD$5=""),"",IF(SUMPRODUCT(MAX((İzinler!$A$5:$A$504=$B10)*(İzinler!$C$5:$C$504&lt;=AD$5)*(İzinler!$D$5:$D$504&gt;=AD$5)*ROW(İzinler!$A$5:$A$504)))=0,"",LEFT(SUBSTITUTE(SUBSTITUTE(INDEX(İzinler!$B$1:$B$504,SUMPRODUCT(MAX((İzinler!$A$5:$A$504=$B10)*(İzinler!$C$5:$C$504&lt;=AD$5)*(İzinler!$D$5:$D$504&gt;=AD$5)*ROW(İzinler!$A$5:$A$504)))),"Yıllık izin","İ"),"Ücretsiz izin","Ü"),1)))</f>
        <v/>
      </c>
      <c r="AE10" s="20" t="str">
        <f aca="false">IF(OR($B10="",AE$5=""),"",IF(SUMPRODUCT(MAX((İzinler!$A$5:$A$504=$B10)*(İzinler!$C$5:$C$504&lt;=AE$5)*(İzinler!$D$5:$D$504&gt;=AE$5)*ROW(İzinler!$A$5:$A$504)))=0,"",LEFT(SUBSTITUTE(SUBSTITUTE(INDEX(İzinler!$B$1:$B$504,SUMPRODUCT(MAX((İzinler!$A$5:$A$504=$B10)*(İzinler!$C$5:$C$504&lt;=AE$5)*(İzinler!$D$5:$D$504&gt;=AE$5)*ROW(İzinler!$A$5:$A$504)))),"Yıllık izin","İ"),"Ücretsiz izin","Ü"),1)))</f>
        <v/>
      </c>
      <c r="AF10" s="20" t="str">
        <f aca="false">IF(OR($B10="",AF$5=""),"",IF(SUMPRODUCT(MAX((İzinler!$A$5:$A$504=$B10)*(İzinler!$C$5:$C$504&lt;=AF$5)*(İzinler!$D$5:$D$504&gt;=AF$5)*ROW(İzinler!$A$5:$A$504)))=0,"",LEFT(SUBSTITUTE(SUBSTITUTE(INDEX(İzinler!$B$1:$B$504,SUMPRODUCT(MAX((İzinler!$A$5:$A$504=$B10)*(İzinler!$C$5:$C$504&lt;=AF$5)*(İzinler!$D$5:$D$504&gt;=AF$5)*ROW(İzinler!$A$5:$A$504)))),"Yıllık izin","İ"),"Ücretsiz izin","Ü"),1)))</f>
        <v/>
      </c>
      <c r="AG10" s="20" t="str">
        <f aca="false">IF(OR($B10="",AG$5=""),"",IF(SUMPRODUCT(MAX((İzinler!$A$5:$A$504=$B10)*(İzinler!$C$5:$C$504&lt;=AG$5)*(İzinler!$D$5:$D$504&gt;=AG$5)*ROW(İzinler!$A$5:$A$504)))=0,"",LEFT(SUBSTITUTE(SUBSTITUTE(INDEX(İzinler!$B$1:$B$504,SUMPRODUCT(MAX((İzinler!$A$5:$A$504=$B10)*(İzinler!$C$5:$C$504&lt;=AG$5)*(İzinler!$D$5:$D$504&gt;=AG$5)*ROW(İzinler!$A$5:$A$504)))),"Yıllık izin","İ"),"Ücretsiz izin","Ü"),1)))</f>
        <v/>
      </c>
      <c r="AH10" s="21" t="str">
        <f aca="false">IF(B10="","",COUNTIF(C10:AG10,"?"))</f>
        <v/>
      </c>
    </row>
    <row r="11" customFormat="false" ht="15" hidden="false" customHeight="false" outlineLevel="0" collapsed="false">
      <c r="B11" s="16" t="str">
        <f aca="false">IF(Personel!A10="","",Personel!A10)</f>
        <v/>
      </c>
      <c r="C11" s="20" t="str">
        <f aca="false">IF(OR($B11="",C$5=""),"",IF(SUMPRODUCT(MAX((İzinler!$A$5:$A$504=$B11)*(İzinler!$C$5:$C$504&lt;=C$5)*(İzinler!$D$5:$D$504&gt;=C$5)*ROW(İzinler!$A$5:$A$504)))=0,"",LEFT(SUBSTITUTE(SUBSTITUTE(INDEX(İzinler!$B$1:$B$504,SUMPRODUCT(MAX((İzinler!$A$5:$A$504=$B11)*(İzinler!$C$5:$C$504&lt;=C$5)*(İzinler!$D$5:$D$504&gt;=C$5)*ROW(İzinler!$A$5:$A$504)))),"Yıllık izin","İ"),"Ücretsiz izin","Ü"),1)))</f>
        <v/>
      </c>
      <c r="D11" s="20" t="str">
        <f aca="false">IF(OR($B11="",D$5=""),"",IF(SUMPRODUCT(MAX((İzinler!$A$5:$A$504=$B11)*(İzinler!$C$5:$C$504&lt;=D$5)*(İzinler!$D$5:$D$504&gt;=D$5)*ROW(İzinler!$A$5:$A$504)))=0,"",LEFT(SUBSTITUTE(SUBSTITUTE(INDEX(İzinler!$B$1:$B$504,SUMPRODUCT(MAX((İzinler!$A$5:$A$504=$B11)*(İzinler!$C$5:$C$504&lt;=D$5)*(İzinler!$D$5:$D$504&gt;=D$5)*ROW(İzinler!$A$5:$A$504)))),"Yıllık izin","İ"),"Ücretsiz izin","Ü"),1)))</f>
        <v/>
      </c>
      <c r="E11" s="20" t="str">
        <f aca="false">IF(OR($B11="",E$5=""),"",IF(SUMPRODUCT(MAX((İzinler!$A$5:$A$504=$B11)*(İzinler!$C$5:$C$504&lt;=E$5)*(İzinler!$D$5:$D$504&gt;=E$5)*ROW(İzinler!$A$5:$A$504)))=0,"",LEFT(SUBSTITUTE(SUBSTITUTE(INDEX(İzinler!$B$1:$B$504,SUMPRODUCT(MAX((İzinler!$A$5:$A$504=$B11)*(İzinler!$C$5:$C$504&lt;=E$5)*(İzinler!$D$5:$D$504&gt;=E$5)*ROW(İzinler!$A$5:$A$504)))),"Yıllık izin","İ"),"Ücretsiz izin","Ü"),1)))</f>
        <v/>
      </c>
      <c r="F11" s="20" t="str">
        <f aca="false">IF(OR($B11="",F$5=""),"",IF(SUMPRODUCT(MAX((İzinler!$A$5:$A$504=$B11)*(İzinler!$C$5:$C$504&lt;=F$5)*(İzinler!$D$5:$D$504&gt;=F$5)*ROW(İzinler!$A$5:$A$504)))=0,"",LEFT(SUBSTITUTE(SUBSTITUTE(INDEX(İzinler!$B$1:$B$504,SUMPRODUCT(MAX((İzinler!$A$5:$A$504=$B11)*(İzinler!$C$5:$C$504&lt;=F$5)*(İzinler!$D$5:$D$504&gt;=F$5)*ROW(İzinler!$A$5:$A$504)))),"Yıllık izin","İ"),"Ücretsiz izin","Ü"),1)))</f>
        <v/>
      </c>
      <c r="G11" s="20" t="str">
        <f aca="false">IF(OR($B11="",G$5=""),"",IF(SUMPRODUCT(MAX((İzinler!$A$5:$A$504=$B11)*(İzinler!$C$5:$C$504&lt;=G$5)*(İzinler!$D$5:$D$504&gt;=G$5)*ROW(İzinler!$A$5:$A$504)))=0,"",LEFT(SUBSTITUTE(SUBSTITUTE(INDEX(İzinler!$B$1:$B$504,SUMPRODUCT(MAX((İzinler!$A$5:$A$504=$B11)*(İzinler!$C$5:$C$504&lt;=G$5)*(İzinler!$D$5:$D$504&gt;=G$5)*ROW(İzinler!$A$5:$A$504)))),"Yıllık izin","İ"),"Ücretsiz izin","Ü"),1)))</f>
        <v/>
      </c>
      <c r="H11" s="20" t="str">
        <f aca="false">IF(OR($B11="",H$5=""),"",IF(SUMPRODUCT(MAX((İzinler!$A$5:$A$504=$B11)*(İzinler!$C$5:$C$504&lt;=H$5)*(İzinler!$D$5:$D$504&gt;=H$5)*ROW(İzinler!$A$5:$A$504)))=0,"",LEFT(SUBSTITUTE(SUBSTITUTE(INDEX(İzinler!$B$1:$B$504,SUMPRODUCT(MAX((İzinler!$A$5:$A$504=$B11)*(İzinler!$C$5:$C$504&lt;=H$5)*(İzinler!$D$5:$D$504&gt;=H$5)*ROW(İzinler!$A$5:$A$504)))),"Yıllık izin","İ"),"Ücretsiz izin","Ü"),1)))</f>
        <v/>
      </c>
      <c r="I11" s="20" t="str">
        <f aca="false">IF(OR($B11="",I$5=""),"",IF(SUMPRODUCT(MAX((İzinler!$A$5:$A$504=$B11)*(İzinler!$C$5:$C$504&lt;=I$5)*(İzinler!$D$5:$D$504&gt;=I$5)*ROW(İzinler!$A$5:$A$504)))=0,"",LEFT(SUBSTITUTE(SUBSTITUTE(INDEX(İzinler!$B$1:$B$504,SUMPRODUCT(MAX((İzinler!$A$5:$A$504=$B11)*(İzinler!$C$5:$C$504&lt;=I$5)*(İzinler!$D$5:$D$504&gt;=I$5)*ROW(İzinler!$A$5:$A$504)))),"Yıllık izin","İ"),"Ücretsiz izin","Ü"),1)))</f>
        <v/>
      </c>
      <c r="J11" s="20" t="str">
        <f aca="false">IF(OR($B11="",J$5=""),"",IF(SUMPRODUCT(MAX((İzinler!$A$5:$A$504=$B11)*(İzinler!$C$5:$C$504&lt;=J$5)*(İzinler!$D$5:$D$504&gt;=J$5)*ROW(İzinler!$A$5:$A$504)))=0,"",LEFT(SUBSTITUTE(SUBSTITUTE(INDEX(İzinler!$B$1:$B$504,SUMPRODUCT(MAX((İzinler!$A$5:$A$504=$B11)*(İzinler!$C$5:$C$504&lt;=J$5)*(İzinler!$D$5:$D$504&gt;=J$5)*ROW(İzinler!$A$5:$A$504)))),"Yıllık izin","İ"),"Ücretsiz izin","Ü"),1)))</f>
        <v/>
      </c>
      <c r="K11" s="20" t="str">
        <f aca="false">IF(OR($B11="",K$5=""),"",IF(SUMPRODUCT(MAX((İzinler!$A$5:$A$504=$B11)*(İzinler!$C$5:$C$504&lt;=K$5)*(İzinler!$D$5:$D$504&gt;=K$5)*ROW(İzinler!$A$5:$A$504)))=0,"",LEFT(SUBSTITUTE(SUBSTITUTE(INDEX(İzinler!$B$1:$B$504,SUMPRODUCT(MAX((İzinler!$A$5:$A$504=$B11)*(İzinler!$C$5:$C$504&lt;=K$5)*(İzinler!$D$5:$D$504&gt;=K$5)*ROW(İzinler!$A$5:$A$504)))),"Yıllık izin","İ"),"Ücretsiz izin","Ü"),1)))</f>
        <v/>
      </c>
      <c r="L11" s="20" t="str">
        <f aca="false">IF(OR($B11="",L$5=""),"",IF(SUMPRODUCT(MAX((İzinler!$A$5:$A$504=$B11)*(İzinler!$C$5:$C$504&lt;=L$5)*(İzinler!$D$5:$D$504&gt;=L$5)*ROW(İzinler!$A$5:$A$504)))=0,"",LEFT(SUBSTITUTE(SUBSTITUTE(INDEX(İzinler!$B$1:$B$504,SUMPRODUCT(MAX((İzinler!$A$5:$A$504=$B11)*(İzinler!$C$5:$C$504&lt;=L$5)*(İzinler!$D$5:$D$504&gt;=L$5)*ROW(İzinler!$A$5:$A$504)))),"Yıllık izin","İ"),"Ücretsiz izin","Ü"),1)))</f>
        <v/>
      </c>
      <c r="M11" s="20" t="str">
        <f aca="false">IF(OR($B11="",M$5=""),"",IF(SUMPRODUCT(MAX((İzinler!$A$5:$A$504=$B11)*(İzinler!$C$5:$C$504&lt;=M$5)*(İzinler!$D$5:$D$504&gt;=M$5)*ROW(İzinler!$A$5:$A$504)))=0,"",LEFT(SUBSTITUTE(SUBSTITUTE(INDEX(İzinler!$B$1:$B$504,SUMPRODUCT(MAX((İzinler!$A$5:$A$504=$B11)*(İzinler!$C$5:$C$504&lt;=M$5)*(İzinler!$D$5:$D$504&gt;=M$5)*ROW(İzinler!$A$5:$A$504)))),"Yıllık izin","İ"),"Ücretsiz izin","Ü"),1)))</f>
        <v/>
      </c>
      <c r="N11" s="20" t="str">
        <f aca="false">IF(OR($B11="",N$5=""),"",IF(SUMPRODUCT(MAX((İzinler!$A$5:$A$504=$B11)*(İzinler!$C$5:$C$504&lt;=N$5)*(İzinler!$D$5:$D$504&gt;=N$5)*ROW(İzinler!$A$5:$A$504)))=0,"",LEFT(SUBSTITUTE(SUBSTITUTE(INDEX(İzinler!$B$1:$B$504,SUMPRODUCT(MAX((İzinler!$A$5:$A$504=$B11)*(İzinler!$C$5:$C$504&lt;=N$5)*(İzinler!$D$5:$D$504&gt;=N$5)*ROW(İzinler!$A$5:$A$504)))),"Yıllık izin","İ"),"Ücretsiz izin","Ü"),1)))</f>
        <v/>
      </c>
      <c r="O11" s="20" t="str">
        <f aca="false">IF(OR($B11="",O$5=""),"",IF(SUMPRODUCT(MAX((İzinler!$A$5:$A$504=$B11)*(İzinler!$C$5:$C$504&lt;=O$5)*(İzinler!$D$5:$D$504&gt;=O$5)*ROW(İzinler!$A$5:$A$504)))=0,"",LEFT(SUBSTITUTE(SUBSTITUTE(INDEX(İzinler!$B$1:$B$504,SUMPRODUCT(MAX((İzinler!$A$5:$A$504=$B11)*(İzinler!$C$5:$C$504&lt;=O$5)*(İzinler!$D$5:$D$504&gt;=O$5)*ROW(İzinler!$A$5:$A$504)))),"Yıllık izin","İ"),"Ücretsiz izin","Ü"),1)))</f>
        <v/>
      </c>
      <c r="P11" s="20" t="str">
        <f aca="false">IF(OR($B11="",P$5=""),"",IF(SUMPRODUCT(MAX((İzinler!$A$5:$A$504=$B11)*(İzinler!$C$5:$C$504&lt;=P$5)*(İzinler!$D$5:$D$504&gt;=P$5)*ROW(İzinler!$A$5:$A$504)))=0,"",LEFT(SUBSTITUTE(SUBSTITUTE(INDEX(İzinler!$B$1:$B$504,SUMPRODUCT(MAX((İzinler!$A$5:$A$504=$B11)*(İzinler!$C$5:$C$504&lt;=P$5)*(İzinler!$D$5:$D$504&gt;=P$5)*ROW(İzinler!$A$5:$A$504)))),"Yıllık izin","İ"),"Ücretsiz izin","Ü"),1)))</f>
        <v/>
      </c>
      <c r="Q11" s="20" t="str">
        <f aca="false">IF(OR($B11="",Q$5=""),"",IF(SUMPRODUCT(MAX((İzinler!$A$5:$A$504=$B11)*(İzinler!$C$5:$C$504&lt;=Q$5)*(İzinler!$D$5:$D$504&gt;=Q$5)*ROW(İzinler!$A$5:$A$504)))=0,"",LEFT(SUBSTITUTE(SUBSTITUTE(INDEX(İzinler!$B$1:$B$504,SUMPRODUCT(MAX((İzinler!$A$5:$A$504=$B11)*(İzinler!$C$5:$C$504&lt;=Q$5)*(İzinler!$D$5:$D$504&gt;=Q$5)*ROW(İzinler!$A$5:$A$504)))),"Yıllık izin","İ"),"Ücretsiz izin","Ü"),1)))</f>
        <v/>
      </c>
      <c r="R11" s="20" t="str">
        <f aca="false">IF(OR($B11="",R$5=""),"",IF(SUMPRODUCT(MAX((İzinler!$A$5:$A$504=$B11)*(İzinler!$C$5:$C$504&lt;=R$5)*(İzinler!$D$5:$D$504&gt;=R$5)*ROW(İzinler!$A$5:$A$504)))=0,"",LEFT(SUBSTITUTE(SUBSTITUTE(INDEX(İzinler!$B$1:$B$504,SUMPRODUCT(MAX((İzinler!$A$5:$A$504=$B11)*(İzinler!$C$5:$C$504&lt;=R$5)*(İzinler!$D$5:$D$504&gt;=R$5)*ROW(İzinler!$A$5:$A$504)))),"Yıllık izin","İ"),"Ücretsiz izin","Ü"),1)))</f>
        <v/>
      </c>
      <c r="S11" s="20" t="str">
        <f aca="false">IF(OR($B11="",S$5=""),"",IF(SUMPRODUCT(MAX((İzinler!$A$5:$A$504=$B11)*(İzinler!$C$5:$C$504&lt;=S$5)*(İzinler!$D$5:$D$504&gt;=S$5)*ROW(İzinler!$A$5:$A$504)))=0,"",LEFT(SUBSTITUTE(SUBSTITUTE(INDEX(İzinler!$B$1:$B$504,SUMPRODUCT(MAX((İzinler!$A$5:$A$504=$B11)*(İzinler!$C$5:$C$504&lt;=S$5)*(İzinler!$D$5:$D$504&gt;=S$5)*ROW(İzinler!$A$5:$A$504)))),"Yıllık izin","İ"),"Ücretsiz izin","Ü"),1)))</f>
        <v/>
      </c>
      <c r="T11" s="20" t="str">
        <f aca="false">IF(OR($B11="",T$5=""),"",IF(SUMPRODUCT(MAX((İzinler!$A$5:$A$504=$B11)*(İzinler!$C$5:$C$504&lt;=T$5)*(İzinler!$D$5:$D$504&gt;=T$5)*ROW(İzinler!$A$5:$A$504)))=0,"",LEFT(SUBSTITUTE(SUBSTITUTE(INDEX(İzinler!$B$1:$B$504,SUMPRODUCT(MAX((İzinler!$A$5:$A$504=$B11)*(İzinler!$C$5:$C$504&lt;=T$5)*(İzinler!$D$5:$D$504&gt;=T$5)*ROW(İzinler!$A$5:$A$504)))),"Yıllık izin","İ"),"Ücretsiz izin","Ü"),1)))</f>
        <v/>
      </c>
      <c r="U11" s="20" t="str">
        <f aca="false">IF(OR($B11="",U$5=""),"",IF(SUMPRODUCT(MAX((İzinler!$A$5:$A$504=$B11)*(İzinler!$C$5:$C$504&lt;=U$5)*(İzinler!$D$5:$D$504&gt;=U$5)*ROW(İzinler!$A$5:$A$504)))=0,"",LEFT(SUBSTITUTE(SUBSTITUTE(INDEX(İzinler!$B$1:$B$504,SUMPRODUCT(MAX((İzinler!$A$5:$A$504=$B11)*(İzinler!$C$5:$C$504&lt;=U$5)*(İzinler!$D$5:$D$504&gt;=U$5)*ROW(İzinler!$A$5:$A$504)))),"Yıllık izin","İ"),"Ücretsiz izin","Ü"),1)))</f>
        <v/>
      </c>
      <c r="V11" s="20" t="str">
        <f aca="false">IF(OR($B11="",V$5=""),"",IF(SUMPRODUCT(MAX((İzinler!$A$5:$A$504=$B11)*(İzinler!$C$5:$C$504&lt;=V$5)*(İzinler!$D$5:$D$504&gt;=V$5)*ROW(İzinler!$A$5:$A$504)))=0,"",LEFT(SUBSTITUTE(SUBSTITUTE(INDEX(İzinler!$B$1:$B$504,SUMPRODUCT(MAX((İzinler!$A$5:$A$504=$B11)*(İzinler!$C$5:$C$504&lt;=V$5)*(İzinler!$D$5:$D$504&gt;=V$5)*ROW(İzinler!$A$5:$A$504)))),"Yıllık izin","İ"),"Ücretsiz izin","Ü"),1)))</f>
        <v/>
      </c>
      <c r="W11" s="20" t="str">
        <f aca="false">IF(OR($B11="",W$5=""),"",IF(SUMPRODUCT(MAX((İzinler!$A$5:$A$504=$B11)*(İzinler!$C$5:$C$504&lt;=W$5)*(İzinler!$D$5:$D$504&gt;=W$5)*ROW(İzinler!$A$5:$A$504)))=0,"",LEFT(SUBSTITUTE(SUBSTITUTE(INDEX(İzinler!$B$1:$B$504,SUMPRODUCT(MAX((İzinler!$A$5:$A$504=$B11)*(İzinler!$C$5:$C$504&lt;=W$5)*(İzinler!$D$5:$D$504&gt;=W$5)*ROW(İzinler!$A$5:$A$504)))),"Yıllık izin","İ"),"Ücretsiz izin","Ü"),1)))</f>
        <v/>
      </c>
      <c r="X11" s="20" t="str">
        <f aca="false">IF(OR($B11="",X$5=""),"",IF(SUMPRODUCT(MAX((İzinler!$A$5:$A$504=$B11)*(İzinler!$C$5:$C$504&lt;=X$5)*(İzinler!$D$5:$D$504&gt;=X$5)*ROW(İzinler!$A$5:$A$504)))=0,"",LEFT(SUBSTITUTE(SUBSTITUTE(INDEX(İzinler!$B$1:$B$504,SUMPRODUCT(MAX((İzinler!$A$5:$A$504=$B11)*(İzinler!$C$5:$C$504&lt;=X$5)*(İzinler!$D$5:$D$504&gt;=X$5)*ROW(İzinler!$A$5:$A$504)))),"Yıllık izin","İ"),"Ücretsiz izin","Ü"),1)))</f>
        <v/>
      </c>
      <c r="Y11" s="20" t="str">
        <f aca="false">IF(OR($B11="",Y$5=""),"",IF(SUMPRODUCT(MAX((İzinler!$A$5:$A$504=$B11)*(İzinler!$C$5:$C$504&lt;=Y$5)*(İzinler!$D$5:$D$504&gt;=Y$5)*ROW(İzinler!$A$5:$A$504)))=0,"",LEFT(SUBSTITUTE(SUBSTITUTE(INDEX(İzinler!$B$1:$B$504,SUMPRODUCT(MAX((İzinler!$A$5:$A$504=$B11)*(İzinler!$C$5:$C$504&lt;=Y$5)*(İzinler!$D$5:$D$504&gt;=Y$5)*ROW(İzinler!$A$5:$A$504)))),"Yıllık izin","İ"),"Ücretsiz izin","Ü"),1)))</f>
        <v/>
      </c>
      <c r="Z11" s="20" t="str">
        <f aca="false">IF(OR($B11="",Z$5=""),"",IF(SUMPRODUCT(MAX((İzinler!$A$5:$A$504=$B11)*(İzinler!$C$5:$C$504&lt;=Z$5)*(İzinler!$D$5:$D$504&gt;=Z$5)*ROW(İzinler!$A$5:$A$504)))=0,"",LEFT(SUBSTITUTE(SUBSTITUTE(INDEX(İzinler!$B$1:$B$504,SUMPRODUCT(MAX((İzinler!$A$5:$A$504=$B11)*(İzinler!$C$5:$C$504&lt;=Z$5)*(İzinler!$D$5:$D$504&gt;=Z$5)*ROW(İzinler!$A$5:$A$504)))),"Yıllık izin","İ"),"Ücretsiz izin","Ü"),1)))</f>
        <v/>
      </c>
      <c r="AA11" s="20" t="str">
        <f aca="false">IF(OR($B11="",AA$5=""),"",IF(SUMPRODUCT(MAX((İzinler!$A$5:$A$504=$B11)*(İzinler!$C$5:$C$504&lt;=AA$5)*(İzinler!$D$5:$D$504&gt;=AA$5)*ROW(İzinler!$A$5:$A$504)))=0,"",LEFT(SUBSTITUTE(SUBSTITUTE(INDEX(İzinler!$B$1:$B$504,SUMPRODUCT(MAX((İzinler!$A$5:$A$504=$B11)*(İzinler!$C$5:$C$504&lt;=AA$5)*(İzinler!$D$5:$D$504&gt;=AA$5)*ROW(İzinler!$A$5:$A$504)))),"Yıllık izin","İ"),"Ücretsiz izin","Ü"),1)))</f>
        <v/>
      </c>
      <c r="AB11" s="20" t="str">
        <f aca="false">IF(OR($B11="",AB$5=""),"",IF(SUMPRODUCT(MAX((İzinler!$A$5:$A$504=$B11)*(İzinler!$C$5:$C$504&lt;=AB$5)*(İzinler!$D$5:$D$504&gt;=AB$5)*ROW(İzinler!$A$5:$A$504)))=0,"",LEFT(SUBSTITUTE(SUBSTITUTE(INDEX(İzinler!$B$1:$B$504,SUMPRODUCT(MAX((İzinler!$A$5:$A$504=$B11)*(İzinler!$C$5:$C$504&lt;=AB$5)*(İzinler!$D$5:$D$504&gt;=AB$5)*ROW(İzinler!$A$5:$A$504)))),"Yıllık izin","İ"),"Ücretsiz izin","Ü"),1)))</f>
        <v/>
      </c>
      <c r="AC11" s="20" t="str">
        <f aca="false">IF(OR($B11="",AC$5=""),"",IF(SUMPRODUCT(MAX((İzinler!$A$5:$A$504=$B11)*(İzinler!$C$5:$C$504&lt;=AC$5)*(İzinler!$D$5:$D$504&gt;=AC$5)*ROW(İzinler!$A$5:$A$504)))=0,"",LEFT(SUBSTITUTE(SUBSTITUTE(INDEX(İzinler!$B$1:$B$504,SUMPRODUCT(MAX((İzinler!$A$5:$A$504=$B11)*(İzinler!$C$5:$C$504&lt;=AC$5)*(İzinler!$D$5:$D$504&gt;=AC$5)*ROW(İzinler!$A$5:$A$504)))),"Yıllık izin","İ"),"Ücretsiz izin","Ü"),1)))</f>
        <v/>
      </c>
      <c r="AD11" s="20" t="str">
        <f aca="false">IF(OR($B11="",AD$5=""),"",IF(SUMPRODUCT(MAX((İzinler!$A$5:$A$504=$B11)*(İzinler!$C$5:$C$504&lt;=AD$5)*(İzinler!$D$5:$D$504&gt;=AD$5)*ROW(İzinler!$A$5:$A$504)))=0,"",LEFT(SUBSTITUTE(SUBSTITUTE(INDEX(İzinler!$B$1:$B$504,SUMPRODUCT(MAX((İzinler!$A$5:$A$504=$B11)*(İzinler!$C$5:$C$504&lt;=AD$5)*(İzinler!$D$5:$D$504&gt;=AD$5)*ROW(İzinler!$A$5:$A$504)))),"Yıllık izin","İ"),"Ücretsiz izin","Ü"),1)))</f>
        <v/>
      </c>
      <c r="AE11" s="20" t="str">
        <f aca="false">IF(OR($B11="",AE$5=""),"",IF(SUMPRODUCT(MAX((İzinler!$A$5:$A$504=$B11)*(İzinler!$C$5:$C$504&lt;=AE$5)*(İzinler!$D$5:$D$504&gt;=AE$5)*ROW(İzinler!$A$5:$A$504)))=0,"",LEFT(SUBSTITUTE(SUBSTITUTE(INDEX(İzinler!$B$1:$B$504,SUMPRODUCT(MAX((İzinler!$A$5:$A$504=$B11)*(İzinler!$C$5:$C$504&lt;=AE$5)*(İzinler!$D$5:$D$504&gt;=AE$5)*ROW(İzinler!$A$5:$A$504)))),"Yıllık izin","İ"),"Ücretsiz izin","Ü"),1)))</f>
        <v/>
      </c>
      <c r="AF11" s="20" t="str">
        <f aca="false">IF(OR($B11="",AF$5=""),"",IF(SUMPRODUCT(MAX((İzinler!$A$5:$A$504=$B11)*(İzinler!$C$5:$C$504&lt;=AF$5)*(İzinler!$D$5:$D$504&gt;=AF$5)*ROW(İzinler!$A$5:$A$504)))=0,"",LEFT(SUBSTITUTE(SUBSTITUTE(INDEX(İzinler!$B$1:$B$504,SUMPRODUCT(MAX((İzinler!$A$5:$A$504=$B11)*(İzinler!$C$5:$C$504&lt;=AF$5)*(İzinler!$D$5:$D$504&gt;=AF$5)*ROW(İzinler!$A$5:$A$504)))),"Yıllık izin","İ"),"Ücretsiz izin","Ü"),1)))</f>
        <v/>
      </c>
      <c r="AG11" s="20" t="str">
        <f aca="false">IF(OR($B11="",AG$5=""),"",IF(SUMPRODUCT(MAX((İzinler!$A$5:$A$504=$B11)*(İzinler!$C$5:$C$504&lt;=AG$5)*(İzinler!$D$5:$D$504&gt;=AG$5)*ROW(İzinler!$A$5:$A$504)))=0,"",LEFT(SUBSTITUTE(SUBSTITUTE(INDEX(İzinler!$B$1:$B$504,SUMPRODUCT(MAX((İzinler!$A$5:$A$504=$B11)*(İzinler!$C$5:$C$504&lt;=AG$5)*(İzinler!$D$5:$D$504&gt;=AG$5)*ROW(İzinler!$A$5:$A$504)))),"Yıllık izin","İ"),"Ücretsiz izin","Ü"),1)))</f>
        <v/>
      </c>
      <c r="AH11" s="21" t="str">
        <f aca="false">IF(B11="","",COUNTIF(C11:AG11,"?"))</f>
        <v/>
      </c>
    </row>
    <row r="12" customFormat="false" ht="15" hidden="false" customHeight="false" outlineLevel="0" collapsed="false">
      <c r="B12" s="16" t="str">
        <f aca="false">IF(Personel!A11="","",Personel!A11)</f>
        <v/>
      </c>
      <c r="C12" s="20" t="str">
        <f aca="false">IF(OR($B12="",C$5=""),"",IF(SUMPRODUCT(MAX((İzinler!$A$5:$A$504=$B12)*(İzinler!$C$5:$C$504&lt;=C$5)*(İzinler!$D$5:$D$504&gt;=C$5)*ROW(İzinler!$A$5:$A$504)))=0,"",LEFT(SUBSTITUTE(SUBSTITUTE(INDEX(İzinler!$B$1:$B$504,SUMPRODUCT(MAX((İzinler!$A$5:$A$504=$B12)*(İzinler!$C$5:$C$504&lt;=C$5)*(İzinler!$D$5:$D$504&gt;=C$5)*ROW(İzinler!$A$5:$A$504)))),"Yıllık izin","İ"),"Ücretsiz izin","Ü"),1)))</f>
        <v/>
      </c>
      <c r="D12" s="20" t="str">
        <f aca="false">IF(OR($B12="",D$5=""),"",IF(SUMPRODUCT(MAX((İzinler!$A$5:$A$504=$B12)*(İzinler!$C$5:$C$504&lt;=D$5)*(İzinler!$D$5:$D$504&gt;=D$5)*ROW(İzinler!$A$5:$A$504)))=0,"",LEFT(SUBSTITUTE(SUBSTITUTE(INDEX(İzinler!$B$1:$B$504,SUMPRODUCT(MAX((İzinler!$A$5:$A$504=$B12)*(İzinler!$C$5:$C$504&lt;=D$5)*(İzinler!$D$5:$D$504&gt;=D$5)*ROW(İzinler!$A$5:$A$504)))),"Yıllık izin","İ"),"Ücretsiz izin","Ü"),1)))</f>
        <v/>
      </c>
      <c r="E12" s="20" t="str">
        <f aca="false">IF(OR($B12="",E$5=""),"",IF(SUMPRODUCT(MAX((İzinler!$A$5:$A$504=$B12)*(İzinler!$C$5:$C$504&lt;=E$5)*(İzinler!$D$5:$D$504&gt;=E$5)*ROW(İzinler!$A$5:$A$504)))=0,"",LEFT(SUBSTITUTE(SUBSTITUTE(INDEX(İzinler!$B$1:$B$504,SUMPRODUCT(MAX((İzinler!$A$5:$A$504=$B12)*(İzinler!$C$5:$C$504&lt;=E$5)*(İzinler!$D$5:$D$504&gt;=E$5)*ROW(İzinler!$A$5:$A$504)))),"Yıllık izin","İ"),"Ücretsiz izin","Ü"),1)))</f>
        <v/>
      </c>
      <c r="F12" s="20" t="str">
        <f aca="false">IF(OR($B12="",F$5=""),"",IF(SUMPRODUCT(MAX((İzinler!$A$5:$A$504=$B12)*(İzinler!$C$5:$C$504&lt;=F$5)*(İzinler!$D$5:$D$504&gt;=F$5)*ROW(İzinler!$A$5:$A$504)))=0,"",LEFT(SUBSTITUTE(SUBSTITUTE(INDEX(İzinler!$B$1:$B$504,SUMPRODUCT(MAX((İzinler!$A$5:$A$504=$B12)*(İzinler!$C$5:$C$504&lt;=F$5)*(İzinler!$D$5:$D$504&gt;=F$5)*ROW(İzinler!$A$5:$A$504)))),"Yıllık izin","İ"),"Ücretsiz izin","Ü"),1)))</f>
        <v/>
      </c>
      <c r="G12" s="20" t="str">
        <f aca="false">IF(OR($B12="",G$5=""),"",IF(SUMPRODUCT(MAX((İzinler!$A$5:$A$504=$B12)*(İzinler!$C$5:$C$504&lt;=G$5)*(İzinler!$D$5:$D$504&gt;=G$5)*ROW(İzinler!$A$5:$A$504)))=0,"",LEFT(SUBSTITUTE(SUBSTITUTE(INDEX(İzinler!$B$1:$B$504,SUMPRODUCT(MAX((İzinler!$A$5:$A$504=$B12)*(İzinler!$C$5:$C$504&lt;=G$5)*(İzinler!$D$5:$D$504&gt;=G$5)*ROW(İzinler!$A$5:$A$504)))),"Yıllık izin","İ"),"Ücretsiz izin","Ü"),1)))</f>
        <v/>
      </c>
      <c r="H12" s="20" t="str">
        <f aca="false">IF(OR($B12="",H$5=""),"",IF(SUMPRODUCT(MAX((İzinler!$A$5:$A$504=$B12)*(İzinler!$C$5:$C$504&lt;=H$5)*(İzinler!$D$5:$D$504&gt;=H$5)*ROW(İzinler!$A$5:$A$504)))=0,"",LEFT(SUBSTITUTE(SUBSTITUTE(INDEX(İzinler!$B$1:$B$504,SUMPRODUCT(MAX((İzinler!$A$5:$A$504=$B12)*(İzinler!$C$5:$C$504&lt;=H$5)*(İzinler!$D$5:$D$504&gt;=H$5)*ROW(İzinler!$A$5:$A$504)))),"Yıllık izin","İ"),"Ücretsiz izin","Ü"),1)))</f>
        <v/>
      </c>
      <c r="I12" s="20" t="str">
        <f aca="false">IF(OR($B12="",I$5=""),"",IF(SUMPRODUCT(MAX((İzinler!$A$5:$A$504=$B12)*(İzinler!$C$5:$C$504&lt;=I$5)*(İzinler!$D$5:$D$504&gt;=I$5)*ROW(İzinler!$A$5:$A$504)))=0,"",LEFT(SUBSTITUTE(SUBSTITUTE(INDEX(İzinler!$B$1:$B$504,SUMPRODUCT(MAX((İzinler!$A$5:$A$504=$B12)*(İzinler!$C$5:$C$504&lt;=I$5)*(İzinler!$D$5:$D$504&gt;=I$5)*ROW(İzinler!$A$5:$A$504)))),"Yıllık izin","İ"),"Ücretsiz izin","Ü"),1)))</f>
        <v/>
      </c>
      <c r="J12" s="20" t="str">
        <f aca="false">IF(OR($B12="",J$5=""),"",IF(SUMPRODUCT(MAX((İzinler!$A$5:$A$504=$B12)*(İzinler!$C$5:$C$504&lt;=J$5)*(İzinler!$D$5:$D$504&gt;=J$5)*ROW(İzinler!$A$5:$A$504)))=0,"",LEFT(SUBSTITUTE(SUBSTITUTE(INDEX(İzinler!$B$1:$B$504,SUMPRODUCT(MAX((İzinler!$A$5:$A$504=$B12)*(İzinler!$C$5:$C$504&lt;=J$5)*(İzinler!$D$5:$D$504&gt;=J$5)*ROW(İzinler!$A$5:$A$504)))),"Yıllık izin","İ"),"Ücretsiz izin","Ü"),1)))</f>
        <v/>
      </c>
      <c r="K12" s="20" t="str">
        <f aca="false">IF(OR($B12="",K$5=""),"",IF(SUMPRODUCT(MAX((İzinler!$A$5:$A$504=$B12)*(İzinler!$C$5:$C$504&lt;=K$5)*(İzinler!$D$5:$D$504&gt;=K$5)*ROW(İzinler!$A$5:$A$504)))=0,"",LEFT(SUBSTITUTE(SUBSTITUTE(INDEX(İzinler!$B$1:$B$504,SUMPRODUCT(MAX((İzinler!$A$5:$A$504=$B12)*(İzinler!$C$5:$C$504&lt;=K$5)*(İzinler!$D$5:$D$504&gt;=K$5)*ROW(İzinler!$A$5:$A$504)))),"Yıllık izin","İ"),"Ücretsiz izin","Ü"),1)))</f>
        <v/>
      </c>
      <c r="L12" s="20" t="str">
        <f aca="false">IF(OR($B12="",L$5=""),"",IF(SUMPRODUCT(MAX((İzinler!$A$5:$A$504=$B12)*(İzinler!$C$5:$C$504&lt;=L$5)*(İzinler!$D$5:$D$504&gt;=L$5)*ROW(İzinler!$A$5:$A$504)))=0,"",LEFT(SUBSTITUTE(SUBSTITUTE(INDEX(İzinler!$B$1:$B$504,SUMPRODUCT(MAX((İzinler!$A$5:$A$504=$B12)*(İzinler!$C$5:$C$504&lt;=L$5)*(İzinler!$D$5:$D$504&gt;=L$5)*ROW(İzinler!$A$5:$A$504)))),"Yıllık izin","İ"),"Ücretsiz izin","Ü"),1)))</f>
        <v/>
      </c>
      <c r="M12" s="20" t="str">
        <f aca="false">IF(OR($B12="",M$5=""),"",IF(SUMPRODUCT(MAX((İzinler!$A$5:$A$504=$B12)*(İzinler!$C$5:$C$504&lt;=M$5)*(İzinler!$D$5:$D$504&gt;=M$5)*ROW(İzinler!$A$5:$A$504)))=0,"",LEFT(SUBSTITUTE(SUBSTITUTE(INDEX(İzinler!$B$1:$B$504,SUMPRODUCT(MAX((İzinler!$A$5:$A$504=$B12)*(İzinler!$C$5:$C$504&lt;=M$5)*(İzinler!$D$5:$D$504&gt;=M$5)*ROW(İzinler!$A$5:$A$504)))),"Yıllık izin","İ"),"Ücretsiz izin","Ü"),1)))</f>
        <v/>
      </c>
      <c r="N12" s="20" t="str">
        <f aca="false">IF(OR($B12="",N$5=""),"",IF(SUMPRODUCT(MAX((İzinler!$A$5:$A$504=$B12)*(İzinler!$C$5:$C$504&lt;=N$5)*(İzinler!$D$5:$D$504&gt;=N$5)*ROW(İzinler!$A$5:$A$504)))=0,"",LEFT(SUBSTITUTE(SUBSTITUTE(INDEX(İzinler!$B$1:$B$504,SUMPRODUCT(MAX((İzinler!$A$5:$A$504=$B12)*(İzinler!$C$5:$C$504&lt;=N$5)*(İzinler!$D$5:$D$504&gt;=N$5)*ROW(İzinler!$A$5:$A$504)))),"Yıllık izin","İ"),"Ücretsiz izin","Ü"),1)))</f>
        <v/>
      </c>
      <c r="O12" s="20" t="str">
        <f aca="false">IF(OR($B12="",O$5=""),"",IF(SUMPRODUCT(MAX((İzinler!$A$5:$A$504=$B12)*(İzinler!$C$5:$C$504&lt;=O$5)*(İzinler!$D$5:$D$504&gt;=O$5)*ROW(İzinler!$A$5:$A$504)))=0,"",LEFT(SUBSTITUTE(SUBSTITUTE(INDEX(İzinler!$B$1:$B$504,SUMPRODUCT(MAX((İzinler!$A$5:$A$504=$B12)*(İzinler!$C$5:$C$504&lt;=O$5)*(İzinler!$D$5:$D$504&gt;=O$5)*ROW(İzinler!$A$5:$A$504)))),"Yıllık izin","İ"),"Ücretsiz izin","Ü"),1)))</f>
        <v/>
      </c>
      <c r="P12" s="20" t="str">
        <f aca="false">IF(OR($B12="",P$5=""),"",IF(SUMPRODUCT(MAX((İzinler!$A$5:$A$504=$B12)*(İzinler!$C$5:$C$504&lt;=P$5)*(İzinler!$D$5:$D$504&gt;=P$5)*ROW(İzinler!$A$5:$A$504)))=0,"",LEFT(SUBSTITUTE(SUBSTITUTE(INDEX(İzinler!$B$1:$B$504,SUMPRODUCT(MAX((İzinler!$A$5:$A$504=$B12)*(İzinler!$C$5:$C$504&lt;=P$5)*(İzinler!$D$5:$D$504&gt;=P$5)*ROW(İzinler!$A$5:$A$504)))),"Yıllık izin","İ"),"Ücretsiz izin","Ü"),1)))</f>
        <v/>
      </c>
      <c r="Q12" s="20" t="str">
        <f aca="false">IF(OR($B12="",Q$5=""),"",IF(SUMPRODUCT(MAX((İzinler!$A$5:$A$504=$B12)*(İzinler!$C$5:$C$504&lt;=Q$5)*(İzinler!$D$5:$D$504&gt;=Q$5)*ROW(İzinler!$A$5:$A$504)))=0,"",LEFT(SUBSTITUTE(SUBSTITUTE(INDEX(İzinler!$B$1:$B$504,SUMPRODUCT(MAX((İzinler!$A$5:$A$504=$B12)*(İzinler!$C$5:$C$504&lt;=Q$5)*(İzinler!$D$5:$D$504&gt;=Q$5)*ROW(İzinler!$A$5:$A$504)))),"Yıllık izin","İ"),"Ücretsiz izin","Ü"),1)))</f>
        <v/>
      </c>
      <c r="R12" s="20" t="str">
        <f aca="false">IF(OR($B12="",R$5=""),"",IF(SUMPRODUCT(MAX((İzinler!$A$5:$A$504=$B12)*(İzinler!$C$5:$C$504&lt;=R$5)*(İzinler!$D$5:$D$504&gt;=R$5)*ROW(İzinler!$A$5:$A$504)))=0,"",LEFT(SUBSTITUTE(SUBSTITUTE(INDEX(İzinler!$B$1:$B$504,SUMPRODUCT(MAX((İzinler!$A$5:$A$504=$B12)*(İzinler!$C$5:$C$504&lt;=R$5)*(İzinler!$D$5:$D$504&gt;=R$5)*ROW(İzinler!$A$5:$A$504)))),"Yıllık izin","İ"),"Ücretsiz izin","Ü"),1)))</f>
        <v/>
      </c>
      <c r="S12" s="20" t="str">
        <f aca="false">IF(OR($B12="",S$5=""),"",IF(SUMPRODUCT(MAX((İzinler!$A$5:$A$504=$B12)*(İzinler!$C$5:$C$504&lt;=S$5)*(İzinler!$D$5:$D$504&gt;=S$5)*ROW(İzinler!$A$5:$A$504)))=0,"",LEFT(SUBSTITUTE(SUBSTITUTE(INDEX(İzinler!$B$1:$B$504,SUMPRODUCT(MAX((İzinler!$A$5:$A$504=$B12)*(İzinler!$C$5:$C$504&lt;=S$5)*(İzinler!$D$5:$D$504&gt;=S$5)*ROW(İzinler!$A$5:$A$504)))),"Yıllık izin","İ"),"Ücretsiz izin","Ü"),1)))</f>
        <v/>
      </c>
      <c r="T12" s="20" t="str">
        <f aca="false">IF(OR($B12="",T$5=""),"",IF(SUMPRODUCT(MAX((İzinler!$A$5:$A$504=$B12)*(İzinler!$C$5:$C$504&lt;=T$5)*(İzinler!$D$5:$D$504&gt;=T$5)*ROW(İzinler!$A$5:$A$504)))=0,"",LEFT(SUBSTITUTE(SUBSTITUTE(INDEX(İzinler!$B$1:$B$504,SUMPRODUCT(MAX((İzinler!$A$5:$A$504=$B12)*(İzinler!$C$5:$C$504&lt;=T$5)*(İzinler!$D$5:$D$504&gt;=T$5)*ROW(İzinler!$A$5:$A$504)))),"Yıllık izin","İ"),"Ücretsiz izin","Ü"),1)))</f>
        <v/>
      </c>
      <c r="U12" s="20" t="str">
        <f aca="false">IF(OR($B12="",U$5=""),"",IF(SUMPRODUCT(MAX((İzinler!$A$5:$A$504=$B12)*(İzinler!$C$5:$C$504&lt;=U$5)*(İzinler!$D$5:$D$504&gt;=U$5)*ROW(İzinler!$A$5:$A$504)))=0,"",LEFT(SUBSTITUTE(SUBSTITUTE(INDEX(İzinler!$B$1:$B$504,SUMPRODUCT(MAX((İzinler!$A$5:$A$504=$B12)*(İzinler!$C$5:$C$504&lt;=U$5)*(İzinler!$D$5:$D$504&gt;=U$5)*ROW(İzinler!$A$5:$A$504)))),"Yıllık izin","İ"),"Ücretsiz izin","Ü"),1)))</f>
        <v/>
      </c>
      <c r="V12" s="20" t="str">
        <f aca="false">IF(OR($B12="",V$5=""),"",IF(SUMPRODUCT(MAX((İzinler!$A$5:$A$504=$B12)*(İzinler!$C$5:$C$504&lt;=V$5)*(İzinler!$D$5:$D$504&gt;=V$5)*ROW(İzinler!$A$5:$A$504)))=0,"",LEFT(SUBSTITUTE(SUBSTITUTE(INDEX(İzinler!$B$1:$B$504,SUMPRODUCT(MAX((İzinler!$A$5:$A$504=$B12)*(İzinler!$C$5:$C$504&lt;=V$5)*(İzinler!$D$5:$D$504&gt;=V$5)*ROW(İzinler!$A$5:$A$504)))),"Yıllık izin","İ"),"Ücretsiz izin","Ü"),1)))</f>
        <v/>
      </c>
      <c r="W12" s="20" t="str">
        <f aca="false">IF(OR($B12="",W$5=""),"",IF(SUMPRODUCT(MAX((İzinler!$A$5:$A$504=$B12)*(İzinler!$C$5:$C$504&lt;=W$5)*(İzinler!$D$5:$D$504&gt;=W$5)*ROW(İzinler!$A$5:$A$504)))=0,"",LEFT(SUBSTITUTE(SUBSTITUTE(INDEX(İzinler!$B$1:$B$504,SUMPRODUCT(MAX((İzinler!$A$5:$A$504=$B12)*(İzinler!$C$5:$C$504&lt;=W$5)*(İzinler!$D$5:$D$504&gt;=W$5)*ROW(İzinler!$A$5:$A$504)))),"Yıllık izin","İ"),"Ücretsiz izin","Ü"),1)))</f>
        <v/>
      </c>
      <c r="X12" s="20" t="str">
        <f aca="false">IF(OR($B12="",X$5=""),"",IF(SUMPRODUCT(MAX((İzinler!$A$5:$A$504=$B12)*(İzinler!$C$5:$C$504&lt;=X$5)*(İzinler!$D$5:$D$504&gt;=X$5)*ROW(İzinler!$A$5:$A$504)))=0,"",LEFT(SUBSTITUTE(SUBSTITUTE(INDEX(İzinler!$B$1:$B$504,SUMPRODUCT(MAX((İzinler!$A$5:$A$504=$B12)*(İzinler!$C$5:$C$504&lt;=X$5)*(İzinler!$D$5:$D$504&gt;=X$5)*ROW(İzinler!$A$5:$A$504)))),"Yıllık izin","İ"),"Ücretsiz izin","Ü"),1)))</f>
        <v/>
      </c>
      <c r="Y12" s="20" t="str">
        <f aca="false">IF(OR($B12="",Y$5=""),"",IF(SUMPRODUCT(MAX((İzinler!$A$5:$A$504=$B12)*(İzinler!$C$5:$C$504&lt;=Y$5)*(İzinler!$D$5:$D$504&gt;=Y$5)*ROW(İzinler!$A$5:$A$504)))=0,"",LEFT(SUBSTITUTE(SUBSTITUTE(INDEX(İzinler!$B$1:$B$504,SUMPRODUCT(MAX((İzinler!$A$5:$A$504=$B12)*(İzinler!$C$5:$C$504&lt;=Y$5)*(İzinler!$D$5:$D$504&gt;=Y$5)*ROW(İzinler!$A$5:$A$504)))),"Yıllık izin","İ"),"Ücretsiz izin","Ü"),1)))</f>
        <v/>
      </c>
      <c r="Z12" s="20" t="str">
        <f aca="false">IF(OR($B12="",Z$5=""),"",IF(SUMPRODUCT(MAX((İzinler!$A$5:$A$504=$B12)*(İzinler!$C$5:$C$504&lt;=Z$5)*(İzinler!$D$5:$D$504&gt;=Z$5)*ROW(İzinler!$A$5:$A$504)))=0,"",LEFT(SUBSTITUTE(SUBSTITUTE(INDEX(İzinler!$B$1:$B$504,SUMPRODUCT(MAX((İzinler!$A$5:$A$504=$B12)*(İzinler!$C$5:$C$504&lt;=Z$5)*(İzinler!$D$5:$D$504&gt;=Z$5)*ROW(İzinler!$A$5:$A$504)))),"Yıllık izin","İ"),"Ücretsiz izin","Ü"),1)))</f>
        <v/>
      </c>
      <c r="AA12" s="20" t="str">
        <f aca="false">IF(OR($B12="",AA$5=""),"",IF(SUMPRODUCT(MAX((İzinler!$A$5:$A$504=$B12)*(İzinler!$C$5:$C$504&lt;=AA$5)*(İzinler!$D$5:$D$504&gt;=AA$5)*ROW(İzinler!$A$5:$A$504)))=0,"",LEFT(SUBSTITUTE(SUBSTITUTE(INDEX(İzinler!$B$1:$B$504,SUMPRODUCT(MAX((İzinler!$A$5:$A$504=$B12)*(İzinler!$C$5:$C$504&lt;=AA$5)*(İzinler!$D$5:$D$504&gt;=AA$5)*ROW(İzinler!$A$5:$A$504)))),"Yıllık izin","İ"),"Ücretsiz izin","Ü"),1)))</f>
        <v/>
      </c>
      <c r="AB12" s="20" t="str">
        <f aca="false">IF(OR($B12="",AB$5=""),"",IF(SUMPRODUCT(MAX((İzinler!$A$5:$A$504=$B12)*(İzinler!$C$5:$C$504&lt;=AB$5)*(İzinler!$D$5:$D$504&gt;=AB$5)*ROW(İzinler!$A$5:$A$504)))=0,"",LEFT(SUBSTITUTE(SUBSTITUTE(INDEX(İzinler!$B$1:$B$504,SUMPRODUCT(MAX((İzinler!$A$5:$A$504=$B12)*(İzinler!$C$5:$C$504&lt;=AB$5)*(İzinler!$D$5:$D$504&gt;=AB$5)*ROW(İzinler!$A$5:$A$504)))),"Yıllık izin","İ"),"Ücretsiz izin","Ü"),1)))</f>
        <v/>
      </c>
      <c r="AC12" s="20" t="str">
        <f aca="false">IF(OR($B12="",AC$5=""),"",IF(SUMPRODUCT(MAX((İzinler!$A$5:$A$504=$B12)*(İzinler!$C$5:$C$504&lt;=AC$5)*(İzinler!$D$5:$D$504&gt;=AC$5)*ROW(İzinler!$A$5:$A$504)))=0,"",LEFT(SUBSTITUTE(SUBSTITUTE(INDEX(İzinler!$B$1:$B$504,SUMPRODUCT(MAX((İzinler!$A$5:$A$504=$B12)*(İzinler!$C$5:$C$504&lt;=AC$5)*(İzinler!$D$5:$D$504&gt;=AC$5)*ROW(İzinler!$A$5:$A$504)))),"Yıllık izin","İ"),"Ücretsiz izin","Ü"),1)))</f>
        <v/>
      </c>
      <c r="AD12" s="20" t="str">
        <f aca="false">IF(OR($B12="",AD$5=""),"",IF(SUMPRODUCT(MAX((İzinler!$A$5:$A$504=$B12)*(İzinler!$C$5:$C$504&lt;=AD$5)*(İzinler!$D$5:$D$504&gt;=AD$5)*ROW(İzinler!$A$5:$A$504)))=0,"",LEFT(SUBSTITUTE(SUBSTITUTE(INDEX(İzinler!$B$1:$B$504,SUMPRODUCT(MAX((İzinler!$A$5:$A$504=$B12)*(İzinler!$C$5:$C$504&lt;=AD$5)*(İzinler!$D$5:$D$504&gt;=AD$5)*ROW(İzinler!$A$5:$A$504)))),"Yıllık izin","İ"),"Ücretsiz izin","Ü"),1)))</f>
        <v/>
      </c>
      <c r="AE12" s="20" t="str">
        <f aca="false">IF(OR($B12="",AE$5=""),"",IF(SUMPRODUCT(MAX((İzinler!$A$5:$A$504=$B12)*(İzinler!$C$5:$C$504&lt;=AE$5)*(İzinler!$D$5:$D$504&gt;=AE$5)*ROW(İzinler!$A$5:$A$504)))=0,"",LEFT(SUBSTITUTE(SUBSTITUTE(INDEX(İzinler!$B$1:$B$504,SUMPRODUCT(MAX((İzinler!$A$5:$A$504=$B12)*(İzinler!$C$5:$C$504&lt;=AE$5)*(İzinler!$D$5:$D$504&gt;=AE$5)*ROW(İzinler!$A$5:$A$504)))),"Yıllık izin","İ"),"Ücretsiz izin","Ü"),1)))</f>
        <v/>
      </c>
      <c r="AF12" s="20" t="str">
        <f aca="false">IF(OR($B12="",AF$5=""),"",IF(SUMPRODUCT(MAX((İzinler!$A$5:$A$504=$B12)*(İzinler!$C$5:$C$504&lt;=AF$5)*(İzinler!$D$5:$D$504&gt;=AF$5)*ROW(İzinler!$A$5:$A$504)))=0,"",LEFT(SUBSTITUTE(SUBSTITUTE(INDEX(İzinler!$B$1:$B$504,SUMPRODUCT(MAX((İzinler!$A$5:$A$504=$B12)*(İzinler!$C$5:$C$504&lt;=AF$5)*(İzinler!$D$5:$D$504&gt;=AF$5)*ROW(İzinler!$A$5:$A$504)))),"Yıllık izin","İ"),"Ücretsiz izin","Ü"),1)))</f>
        <v/>
      </c>
      <c r="AG12" s="20" t="str">
        <f aca="false">IF(OR($B12="",AG$5=""),"",IF(SUMPRODUCT(MAX((İzinler!$A$5:$A$504=$B12)*(İzinler!$C$5:$C$504&lt;=AG$5)*(İzinler!$D$5:$D$504&gt;=AG$5)*ROW(İzinler!$A$5:$A$504)))=0,"",LEFT(SUBSTITUTE(SUBSTITUTE(INDEX(İzinler!$B$1:$B$504,SUMPRODUCT(MAX((İzinler!$A$5:$A$504=$B12)*(İzinler!$C$5:$C$504&lt;=AG$5)*(İzinler!$D$5:$D$504&gt;=AG$5)*ROW(İzinler!$A$5:$A$504)))),"Yıllık izin","İ"),"Ücretsiz izin","Ü"),1)))</f>
        <v/>
      </c>
      <c r="AH12" s="21" t="str">
        <f aca="false">IF(B12="","",COUNTIF(C12:AG12,"?"))</f>
        <v/>
      </c>
    </row>
    <row r="13" customFormat="false" ht="15" hidden="false" customHeight="false" outlineLevel="0" collapsed="false">
      <c r="B13" s="16" t="str">
        <f aca="false">IF(Personel!A12="","",Personel!A12)</f>
        <v/>
      </c>
      <c r="C13" s="20" t="str">
        <f aca="false">IF(OR($B13="",C$5=""),"",IF(SUMPRODUCT(MAX((İzinler!$A$5:$A$504=$B13)*(İzinler!$C$5:$C$504&lt;=C$5)*(İzinler!$D$5:$D$504&gt;=C$5)*ROW(İzinler!$A$5:$A$504)))=0,"",LEFT(SUBSTITUTE(SUBSTITUTE(INDEX(İzinler!$B$1:$B$504,SUMPRODUCT(MAX((İzinler!$A$5:$A$504=$B13)*(İzinler!$C$5:$C$504&lt;=C$5)*(İzinler!$D$5:$D$504&gt;=C$5)*ROW(İzinler!$A$5:$A$504)))),"Yıllık izin","İ"),"Ücretsiz izin","Ü"),1)))</f>
        <v/>
      </c>
      <c r="D13" s="20" t="str">
        <f aca="false">IF(OR($B13="",D$5=""),"",IF(SUMPRODUCT(MAX((İzinler!$A$5:$A$504=$B13)*(İzinler!$C$5:$C$504&lt;=D$5)*(İzinler!$D$5:$D$504&gt;=D$5)*ROW(İzinler!$A$5:$A$504)))=0,"",LEFT(SUBSTITUTE(SUBSTITUTE(INDEX(İzinler!$B$1:$B$504,SUMPRODUCT(MAX((İzinler!$A$5:$A$504=$B13)*(İzinler!$C$5:$C$504&lt;=D$5)*(İzinler!$D$5:$D$504&gt;=D$5)*ROW(İzinler!$A$5:$A$504)))),"Yıllık izin","İ"),"Ücretsiz izin","Ü"),1)))</f>
        <v/>
      </c>
      <c r="E13" s="20" t="str">
        <f aca="false">IF(OR($B13="",E$5=""),"",IF(SUMPRODUCT(MAX((İzinler!$A$5:$A$504=$B13)*(İzinler!$C$5:$C$504&lt;=E$5)*(İzinler!$D$5:$D$504&gt;=E$5)*ROW(İzinler!$A$5:$A$504)))=0,"",LEFT(SUBSTITUTE(SUBSTITUTE(INDEX(İzinler!$B$1:$B$504,SUMPRODUCT(MAX((İzinler!$A$5:$A$504=$B13)*(İzinler!$C$5:$C$504&lt;=E$5)*(İzinler!$D$5:$D$504&gt;=E$5)*ROW(İzinler!$A$5:$A$504)))),"Yıllık izin","İ"),"Ücretsiz izin","Ü"),1)))</f>
        <v/>
      </c>
      <c r="F13" s="20" t="str">
        <f aca="false">IF(OR($B13="",F$5=""),"",IF(SUMPRODUCT(MAX((İzinler!$A$5:$A$504=$B13)*(İzinler!$C$5:$C$504&lt;=F$5)*(İzinler!$D$5:$D$504&gt;=F$5)*ROW(İzinler!$A$5:$A$504)))=0,"",LEFT(SUBSTITUTE(SUBSTITUTE(INDEX(İzinler!$B$1:$B$504,SUMPRODUCT(MAX((İzinler!$A$5:$A$504=$B13)*(İzinler!$C$5:$C$504&lt;=F$5)*(İzinler!$D$5:$D$504&gt;=F$5)*ROW(İzinler!$A$5:$A$504)))),"Yıllık izin","İ"),"Ücretsiz izin","Ü"),1)))</f>
        <v/>
      </c>
      <c r="G13" s="20" t="str">
        <f aca="false">IF(OR($B13="",G$5=""),"",IF(SUMPRODUCT(MAX((İzinler!$A$5:$A$504=$B13)*(İzinler!$C$5:$C$504&lt;=G$5)*(İzinler!$D$5:$D$504&gt;=G$5)*ROW(İzinler!$A$5:$A$504)))=0,"",LEFT(SUBSTITUTE(SUBSTITUTE(INDEX(İzinler!$B$1:$B$504,SUMPRODUCT(MAX((İzinler!$A$5:$A$504=$B13)*(İzinler!$C$5:$C$504&lt;=G$5)*(İzinler!$D$5:$D$504&gt;=G$5)*ROW(İzinler!$A$5:$A$504)))),"Yıllık izin","İ"),"Ücretsiz izin","Ü"),1)))</f>
        <v/>
      </c>
      <c r="H13" s="20" t="str">
        <f aca="false">IF(OR($B13="",H$5=""),"",IF(SUMPRODUCT(MAX((İzinler!$A$5:$A$504=$B13)*(İzinler!$C$5:$C$504&lt;=H$5)*(İzinler!$D$5:$D$504&gt;=H$5)*ROW(İzinler!$A$5:$A$504)))=0,"",LEFT(SUBSTITUTE(SUBSTITUTE(INDEX(İzinler!$B$1:$B$504,SUMPRODUCT(MAX((İzinler!$A$5:$A$504=$B13)*(İzinler!$C$5:$C$504&lt;=H$5)*(İzinler!$D$5:$D$504&gt;=H$5)*ROW(İzinler!$A$5:$A$504)))),"Yıllık izin","İ"),"Ücretsiz izin","Ü"),1)))</f>
        <v/>
      </c>
      <c r="I13" s="20" t="str">
        <f aca="false">IF(OR($B13="",I$5=""),"",IF(SUMPRODUCT(MAX((İzinler!$A$5:$A$504=$B13)*(İzinler!$C$5:$C$504&lt;=I$5)*(İzinler!$D$5:$D$504&gt;=I$5)*ROW(İzinler!$A$5:$A$504)))=0,"",LEFT(SUBSTITUTE(SUBSTITUTE(INDEX(İzinler!$B$1:$B$504,SUMPRODUCT(MAX((İzinler!$A$5:$A$504=$B13)*(İzinler!$C$5:$C$504&lt;=I$5)*(İzinler!$D$5:$D$504&gt;=I$5)*ROW(İzinler!$A$5:$A$504)))),"Yıllık izin","İ"),"Ücretsiz izin","Ü"),1)))</f>
        <v/>
      </c>
      <c r="J13" s="20" t="str">
        <f aca="false">IF(OR($B13="",J$5=""),"",IF(SUMPRODUCT(MAX((İzinler!$A$5:$A$504=$B13)*(İzinler!$C$5:$C$504&lt;=J$5)*(İzinler!$D$5:$D$504&gt;=J$5)*ROW(İzinler!$A$5:$A$504)))=0,"",LEFT(SUBSTITUTE(SUBSTITUTE(INDEX(İzinler!$B$1:$B$504,SUMPRODUCT(MAX((İzinler!$A$5:$A$504=$B13)*(İzinler!$C$5:$C$504&lt;=J$5)*(İzinler!$D$5:$D$504&gt;=J$5)*ROW(İzinler!$A$5:$A$504)))),"Yıllık izin","İ"),"Ücretsiz izin","Ü"),1)))</f>
        <v/>
      </c>
      <c r="K13" s="20" t="str">
        <f aca="false">IF(OR($B13="",K$5=""),"",IF(SUMPRODUCT(MAX((İzinler!$A$5:$A$504=$B13)*(İzinler!$C$5:$C$504&lt;=K$5)*(İzinler!$D$5:$D$504&gt;=K$5)*ROW(İzinler!$A$5:$A$504)))=0,"",LEFT(SUBSTITUTE(SUBSTITUTE(INDEX(İzinler!$B$1:$B$504,SUMPRODUCT(MAX((İzinler!$A$5:$A$504=$B13)*(İzinler!$C$5:$C$504&lt;=K$5)*(İzinler!$D$5:$D$504&gt;=K$5)*ROW(İzinler!$A$5:$A$504)))),"Yıllık izin","İ"),"Ücretsiz izin","Ü"),1)))</f>
        <v/>
      </c>
      <c r="L13" s="20" t="str">
        <f aca="false">IF(OR($B13="",L$5=""),"",IF(SUMPRODUCT(MAX((İzinler!$A$5:$A$504=$B13)*(İzinler!$C$5:$C$504&lt;=L$5)*(İzinler!$D$5:$D$504&gt;=L$5)*ROW(İzinler!$A$5:$A$504)))=0,"",LEFT(SUBSTITUTE(SUBSTITUTE(INDEX(İzinler!$B$1:$B$504,SUMPRODUCT(MAX((İzinler!$A$5:$A$504=$B13)*(İzinler!$C$5:$C$504&lt;=L$5)*(İzinler!$D$5:$D$504&gt;=L$5)*ROW(İzinler!$A$5:$A$504)))),"Yıllık izin","İ"),"Ücretsiz izin","Ü"),1)))</f>
        <v/>
      </c>
      <c r="M13" s="20" t="str">
        <f aca="false">IF(OR($B13="",M$5=""),"",IF(SUMPRODUCT(MAX((İzinler!$A$5:$A$504=$B13)*(İzinler!$C$5:$C$504&lt;=M$5)*(İzinler!$D$5:$D$504&gt;=M$5)*ROW(İzinler!$A$5:$A$504)))=0,"",LEFT(SUBSTITUTE(SUBSTITUTE(INDEX(İzinler!$B$1:$B$504,SUMPRODUCT(MAX((İzinler!$A$5:$A$504=$B13)*(İzinler!$C$5:$C$504&lt;=M$5)*(İzinler!$D$5:$D$504&gt;=M$5)*ROW(İzinler!$A$5:$A$504)))),"Yıllık izin","İ"),"Ücretsiz izin","Ü"),1)))</f>
        <v/>
      </c>
      <c r="N13" s="20" t="str">
        <f aca="false">IF(OR($B13="",N$5=""),"",IF(SUMPRODUCT(MAX((İzinler!$A$5:$A$504=$B13)*(İzinler!$C$5:$C$504&lt;=N$5)*(İzinler!$D$5:$D$504&gt;=N$5)*ROW(İzinler!$A$5:$A$504)))=0,"",LEFT(SUBSTITUTE(SUBSTITUTE(INDEX(İzinler!$B$1:$B$504,SUMPRODUCT(MAX((İzinler!$A$5:$A$504=$B13)*(İzinler!$C$5:$C$504&lt;=N$5)*(İzinler!$D$5:$D$504&gt;=N$5)*ROW(İzinler!$A$5:$A$504)))),"Yıllık izin","İ"),"Ücretsiz izin","Ü"),1)))</f>
        <v/>
      </c>
      <c r="O13" s="20" t="str">
        <f aca="false">IF(OR($B13="",O$5=""),"",IF(SUMPRODUCT(MAX((İzinler!$A$5:$A$504=$B13)*(İzinler!$C$5:$C$504&lt;=O$5)*(İzinler!$D$5:$D$504&gt;=O$5)*ROW(İzinler!$A$5:$A$504)))=0,"",LEFT(SUBSTITUTE(SUBSTITUTE(INDEX(İzinler!$B$1:$B$504,SUMPRODUCT(MAX((İzinler!$A$5:$A$504=$B13)*(İzinler!$C$5:$C$504&lt;=O$5)*(İzinler!$D$5:$D$504&gt;=O$5)*ROW(İzinler!$A$5:$A$504)))),"Yıllık izin","İ"),"Ücretsiz izin","Ü"),1)))</f>
        <v/>
      </c>
      <c r="P13" s="20" t="str">
        <f aca="false">IF(OR($B13="",P$5=""),"",IF(SUMPRODUCT(MAX((İzinler!$A$5:$A$504=$B13)*(İzinler!$C$5:$C$504&lt;=P$5)*(İzinler!$D$5:$D$504&gt;=P$5)*ROW(İzinler!$A$5:$A$504)))=0,"",LEFT(SUBSTITUTE(SUBSTITUTE(INDEX(İzinler!$B$1:$B$504,SUMPRODUCT(MAX((İzinler!$A$5:$A$504=$B13)*(İzinler!$C$5:$C$504&lt;=P$5)*(İzinler!$D$5:$D$504&gt;=P$5)*ROW(İzinler!$A$5:$A$504)))),"Yıllık izin","İ"),"Ücretsiz izin","Ü"),1)))</f>
        <v/>
      </c>
      <c r="Q13" s="20" t="str">
        <f aca="false">IF(OR($B13="",Q$5=""),"",IF(SUMPRODUCT(MAX((İzinler!$A$5:$A$504=$B13)*(İzinler!$C$5:$C$504&lt;=Q$5)*(İzinler!$D$5:$D$504&gt;=Q$5)*ROW(İzinler!$A$5:$A$504)))=0,"",LEFT(SUBSTITUTE(SUBSTITUTE(INDEX(İzinler!$B$1:$B$504,SUMPRODUCT(MAX((İzinler!$A$5:$A$504=$B13)*(İzinler!$C$5:$C$504&lt;=Q$5)*(İzinler!$D$5:$D$504&gt;=Q$5)*ROW(İzinler!$A$5:$A$504)))),"Yıllık izin","İ"),"Ücretsiz izin","Ü"),1)))</f>
        <v/>
      </c>
      <c r="R13" s="20" t="str">
        <f aca="false">IF(OR($B13="",R$5=""),"",IF(SUMPRODUCT(MAX((İzinler!$A$5:$A$504=$B13)*(İzinler!$C$5:$C$504&lt;=R$5)*(İzinler!$D$5:$D$504&gt;=R$5)*ROW(İzinler!$A$5:$A$504)))=0,"",LEFT(SUBSTITUTE(SUBSTITUTE(INDEX(İzinler!$B$1:$B$504,SUMPRODUCT(MAX((İzinler!$A$5:$A$504=$B13)*(İzinler!$C$5:$C$504&lt;=R$5)*(İzinler!$D$5:$D$504&gt;=R$5)*ROW(İzinler!$A$5:$A$504)))),"Yıllık izin","İ"),"Ücretsiz izin","Ü"),1)))</f>
        <v/>
      </c>
      <c r="S13" s="20" t="str">
        <f aca="false">IF(OR($B13="",S$5=""),"",IF(SUMPRODUCT(MAX((İzinler!$A$5:$A$504=$B13)*(İzinler!$C$5:$C$504&lt;=S$5)*(İzinler!$D$5:$D$504&gt;=S$5)*ROW(İzinler!$A$5:$A$504)))=0,"",LEFT(SUBSTITUTE(SUBSTITUTE(INDEX(İzinler!$B$1:$B$504,SUMPRODUCT(MAX((İzinler!$A$5:$A$504=$B13)*(İzinler!$C$5:$C$504&lt;=S$5)*(İzinler!$D$5:$D$504&gt;=S$5)*ROW(İzinler!$A$5:$A$504)))),"Yıllık izin","İ"),"Ücretsiz izin","Ü"),1)))</f>
        <v/>
      </c>
      <c r="T13" s="20" t="str">
        <f aca="false">IF(OR($B13="",T$5=""),"",IF(SUMPRODUCT(MAX((İzinler!$A$5:$A$504=$B13)*(İzinler!$C$5:$C$504&lt;=T$5)*(İzinler!$D$5:$D$504&gt;=T$5)*ROW(İzinler!$A$5:$A$504)))=0,"",LEFT(SUBSTITUTE(SUBSTITUTE(INDEX(İzinler!$B$1:$B$504,SUMPRODUCT(MAX((İzinler!$A$5:$A$504=$B13)*(İzinler!$C$5:$C$504&lt;=T$5)*(İzinler!$D$5:$D$504&gt;=T$5)*ROW(İzinler!$A$5:$A$504)))),"Yıllık izin","İ"),"Ücretsiz izin","Ü"),1)))</f>
        <v/>
      </c>
      <c r="U13" s="20" t="str">
        <f aca="false">IF(OR($B13="",U$5=""),"",IF(SUMPRODUCT(MAX((İzinler!$A$5:$A$504=$B13)*(İzinler!$C$5:$C$504&lt;=U$5)*(İzinler!$D$5:$D$504&gt;=U$5)*ROW(İzinler!$A$5:$A$504)))=0,"",LEFT(SUBSTITUTE(SUBSTITUTE(INDEX(İzinler!$B$1:$B$504,SUMPRODUCT(MAX((İzinler!$A$5:$A$504=$B13)*(İzinler!$C$5:$C$504&lt;=U$5)*(İzinler!$D$5:$D$504&gt;=U$5)*ROW(İzinler!$A$5:$A$504)))),"Yıllık izin","İ"),"Ücretsiz izin","Ü"),1)))</f>
        <v/>
      </c>
      <c r="V13" s="20" t="str">
        <f aca="false">IF(OR($B13="",V$5=""),"",IF(SUMPRODUCT(MAX((İzinler!$A$5:$A$504=$B13)*(İzinler!$C$5:$C$504&lt;=V$5)*(İzinler!$D$5:$D$504&gt;=V$5)*ROW(İzinler!$A$5:$A$504)))=0,"",LEFT(SUBSTITUTE(SUBSTITUTE(INDEX(İzinler!$B$1:$B$504,SUMPRODUCT(MAX((İzinler!$A$5:$A$504=$B13)*(İzinler!$C$5:$C$504&lt;=V$5)*(İzinler!$D$5:$D$504&gt;=V$5)*ROW(İzinler!$A$5:$A$504)))),"Yıllık izin","İ"),"Ücretsiz izin","Ü"),1)))</f>
        <v/>
      </c>
      <c r="W13" s="20" t="str">
        <f aca="false">IF(OR($B13="",W$5=""),"",IF(SUMPRODUCT(MAX((İzinler!$A$5:$A$504=$B13)*(İzinler!$C$5:$C$504&lt;=W$5)*(İzinler!$D$5:$D$504&gt;=W$5)*ROW(İzinler!$A$5:$A$504)))=0,"",LEFT(SUBSTITUTE(SUBSTITUTE(INDEX(İzinler!$B$1:$B$504,SUMPRODUCT(MAX((İzinler!$A$5:$A$504=$B13)*(İzinler!$C$5:$C$504&lt;=W$5)*(İzinler!$D$5:$D$504&gt;=W$5)*ROW(İzinler!$A$5:$A$504)))),"Yıllık izin","İ"),"Ücretsiz izin","Ü"),1)))</f>
        <v/>
      </c>
      <c r="X13" s="20" t="str">
        <f aca="false">IF(OR($B13="",X$5=""),"",IF(SUMPRODUCT(MAX((İzinler!$A$5:$A$504=$B13)*(İzinler!$C$5:$C$504&lt;=X$5)*(İzinler!$D$5:$D$504&gt;=X$5)*ROW(İzinler!$A$5:$A$504)))=0,"",LEFT(SUBSTITUTE(SUBSTITUTE(INDEX(İzinler!$B$1:$B$504,SUMPRODUCT(MAX((İzinler!$A$5:$A$504=$B13)*(İzinler!$C$5:$C$504&lt;=X$5)*(İzinler!$D$5:$D$504&gt;=X$5)*ROW(İzinler!$A$5:$A$504)))),"Yıllık izin","İ"),"Ücretsiz izin","Ü"),1)))</f>
        <v/>
      </c>
      <c r="Y13" s="20" t="str">
        <f aca="false">IF(OR($B13="",Y$5=""),"",IF(SUMPRODUCT(MAX((İzinler!$A$5:$A$504=$B13)*(İzinler!$C$5:$C$504&lt;=Y$5)*(İzinler!$D$5:$D$504&gt;=Y$5)*ROW(İzinler!$A$5:$A$504)))=0,"",LEFT(SUBSTITUTE(SUBSTITUTE(INDEX(İzinler!$B$1:$B$504,SUMPRODUCT(MAX((İzinler!$A$5:$A$504=$B13)*(İzinler!$C$5:$C$504&lt;=Y$5)*(İzinler!$D$5:$D$504&gt;=Y$5)*ROW(İzinler!$A$5:$A$504)))),"Yıllık izin","İ"),"Ücretsiz izin","Ü"),1)))</f>
        <v/>
      </c>
      <c r="Z13" s="20" t="str">
        <f aca="false">IF(OR($B13="",Z$5=""),"",IF(SUMPRODUCT(MAX((İzinler!$A$5:$A$504=$B13)*(İzinler!$C$5:$C$504&lt;=Z$5)*(İzinler!$D$5:$D$504&gt;=Z$5)*ROW(İzinler!$A$5:$A$504)))=0,"",LEFT(SUBSTITUTE(SUBSTITUTE(INDEX(İzinler!$B$1:$B$504,SUMPRODUCT(MAX((İzinler!$A$5:$A$504=$B13)*(İzinler!$C$5:$C$504&lt;=Z$5)*(İzinler!$D$5:$D$504&gt;=Z$5)*ROW(İzinler!$A$5:$A$504)))),"Yıllık izin","İ"),"Ücretsiz izin","Ü"),1)))</f>
        <v/>
      </c>
      <c r="AA13" s="20" t="str">
        <f aca="false">IF(OR($B13="",AA$5=""),"",IF(SUMPRODUCT(MAX((İzinler!$A$5:$A$504=$B13)*(İzinler!$C$5:$C$504&lt;=AA$5)*(İzinler!$D$5:$D$504&gt;=AA$5)*ROW(İzinler!$A$5:$A$504)))=0,"",LEFT(SUBSTITUTE(SUBSTITUTE(INDEX(İzinler!$B$1:$B$504,SUMPRODUCT(MAX((İzinler!$A$5:$A$504=$B13)*(İzinler!$C$5:$C$504&lt;=AA$5)*(İzinler!$D$5:$D$504&gt;=AA$5)*ROW(İzinler!$A$5:$A$504)))),"Yıllık izin","İ"),"Ücretsiz izin","Ü"),1)))</f>
        <v/>
      </c>
      <c r="AB13" s="20" t="str">
        <f aca="false">IF(OR($B13="",AB$5=""),"",IF(SUMPRODUCT(MAX((İzinler!$A$5:$A$504=$B13)*(İzinler!$C$5:$C$504&lt;=AB$5)*(İzinler!$D$5:$D$504&gt;=AB$5)*ROW(İzinler!$A$5:$A$504)))=0,"",LEFT(SUBSTITUTE(SUBSTITUTE(INDEX(İzinler!$B$1:$B$504,SUMPRODUCT(MAX((İzinler!$A$5:$A$504=$B13)*(İzinler!$C$5:$C$504&lt;=AB$5)*(İzinler!$D$5:$D$504&gt;=AB$5)*ROW(İzinler!$A$5:$A$504)))),"Yıllık izin","İ"),"Ücretsiz izin","Ü"),1)))</f>
        <v/>
      </c>
      <c r="AC13" s="20" t="str">
        <f aca="false">IF(OR($B13="",AC$5=""),"",IF(SUMPRODUCT(MAX((İzinler!$A$5:$A$504=$B13)*(İzinler!$C$5:$C$504&lt;=AC$5)*(İzinler!$D$5:$D$504&gt;=AC$5)*ROW(İzinler!$A$5:$A$504)))=0,"",LEFT(SUBSTITUTE(SUBSTITUTE(INDEX(İzinler!$B$1:$B$504,SUMPRODUCT(MAX((İzinler!$A$5:$A$504=$B13)*(İzinler!$C$5:$C$504&lt;=AC$5)*(İzinler!$D$5:$D$504&gt;=AC$5)*ROW(İzinler!$A$5:$A$504)))),"Yıllık izin","İ"),"Ücretsiz izin","Ü"),1)))</f>
        <v/>
      </c>
      <c r="AD13" s="20" t="str">
        <f aca="false">IF(OR($B13="",AD$5=""),"",IF(SUMPRODUCT(MAX((İzinler!$A$5:$A$504=$B13)*(İzinler!$C$5:$C$504&lt;=AD$5)*(İzinler!$D$5:$D$504&gt;=AD$5)*ROW(İzinler!$A$5:$A$504)))=0,"",LEFT(SUBSTITUTE(SUBSTITUTE(INDEX(İzinler!$B$1:$B$504,SUMPRODUCT(MAX((İzinler!$A$5:$A$504=$B13)*(İzinler!$C$5:$C$504&lt;=AD$5)*(İzinler!$D$5:$D$504&gt;=AD$5)*ROW(İzinler!$A$5:$A$504)))),"Yıllık izin","İ"),"Ücretsiz izin","Ü"),1)))</f>
        <v/>
      </c>
      <c r="AE13" s="20" t="str">
        <f aca="false">IF(OR($B13="",AE$5=""),"",IF(SUMPRODUCT(MAX((İzinler!$A$5:$A$504=$B13)*(İzinler!$C$5:$C$504&lt;=AE$5)*(İzinler!$D$5:$D$504&gt;=AE$5)*ROW(İzinler!$A$5:$A$504)))=0,"",LEFT(SUBSTITUTE(SUBSTITUTE(INDEX(İzinler!$B$1:$B$504,SUMPRODUCT(MAX((İzinler!$A$5:$A$504=$B13)*(İzinler!$C$5:$C$504&lt;=AE$5)*(İzinler!$D$5:$D$504&gt;=AE$5)*ROW(İzinler!$A$5:$A$504)))),"Yıllık izin","İ"),"Ücretsiz izin","Ü"),1)))</f>
        <v/>
      </c>
      <c r="AF13" s="20" t="str">
        <f aca="false">IF(OR($B13="",AF$5=""),"",IF(SUMPRODUCT(MAX((İzinler!$A$5:$A$504=$B13)*(İzinler!$C$5:$C$504&lt;=AF$5)*(İzinler!$D$5:$D$504&gt;=AF$5)*ROW(İzinler!$A$5:$A$504)))=0,"",LEFT(SUBSTITUTE(SUBSTITUTE(INDEX(İzinler!$B$1:$B$504,SUMPRODUCT(MAX((İzinler!$A$5:$A$504=$B13)*(İzinler!$C$5:$C$504&lt;=AF$5)*(İzinler!$D$5:$D$504&gt;=AF$5)*ROW(İzinler!$A$5:$A$504)))),"Yıllık izin","İ"),"Ücretsiz izin","Ü"),1)))</f>
        <v/>
      </c>
      <c r="AG13" s="20" t="str">
        <f aca="false">IF(OR($B13="",AG$5=""),"",IF(SUMPRODUCT(MAX((İzinler!$A$5:$A$504=$B13)*(İzinler!$C$5:$C$504&lt;=AG$5)*(İzinler!$D$5:$D$504&gt;=AG$5)*ROW(İzinler!$A$5:$A$504)))=0,"",LEFT(SUBSTITUTE(SUBSTITUTE(INDEX(İzinler!$B$1:$B$504,SUMPRODUCT(MAX((İzinler!$A$5:$A$504=$B13)*(İzinler!$C$5:$C$504&lt;=AG$5)*(İzinler!$D$5:$D$504&gt;=AG$5)*ROW(İzinler!$A$5:$A$504)))),"Yıllık izin","İ"),"Ücretsiz izin","Ü"),1)))</f>
        <v/>
      </c>
      <c r="AH13" s="21" t="str">
        <f aca="false">IF(B13="","",COUNTIF(C13:AG13,"?"))</f>
        <v/>
      </c>
    </row>
    <row r="14" customFormat="false" ht="15" hidden="false" customHeight="false" outlineLevel="0" collapsed="false">
      <c r="B14" s="16" t="str">
        <f aca="false">IF(Personel!A13="","",Personel!A13)</f>
        <v/>
      </c>
      <c r="C14" s="20" t="str">
        <f aca="false">IF(OR($B14="",C$5=""),"",IF(SUMPRODUCT(MAX((İzinler!$A$5:$A$504=$B14)*(İzinler!$C$5:$C$504&lt;=C$5)*(İzinler!$D$5:$D$504&gt;=C$5)*ROW(İzinler!$A$5:$A$504)))=0,"",LEFT(SUBSTITUTE(SUBSTITUTE(INDEX(İzinler!$B$1:$B$504,SUMPRODUCT(MAX((İzinler!$A$5:$A$504=$B14)*(İzinler!$C$5:$C$504&lt;=C$5)*(İzinler!$D$5:$D$504&gt;=C$5)*ROW(İzinler!$A$5:$A$504)))),"Yıllık izin","İ"),"Ücretsiz izin","Ü"),1)))</f>
        <v/>
      </c>
      <c r="D14" s="20" t="str">
        <f aca="false">IF(OR($B14="",D$5=""),"",IF(SUMPRODUCT(MAX((İzinler!$A$5:$A$504=$B14)*(İzinler!$C$5:$C$504&lt;=D$5)*(İzinler!$D$5:$D$504&gt;=D$5)*ROW(İzinler!$A$5:$A$504)))=0,"",LEFT(SUBSTITUTE(SUBSTITUTE(INDEX(İzinler!$B$1:$B$504,SUMPRODUCT(MAX((İzinler!$A$5:$A$504=$B14)*(İzinler!$C$5:$C$504&lt;=D$5)*(İzinler!$D$5:$D$504&gt;=D$5)*ROW(İzinler!$A$5:$A$504)))),"Yıllık izin","İ"),"Ücretsiz izin","Ü"),1)))</f>
        <v/>
      </c>
      <c r="E14" s="20" t="str">
        <f aca="false">IF(OR($B14="",E$5=""),"",IF(SUMPRODUCT(MAX((İzinler!$A$5:$A$504=$B14)*(İzinler!$C$5:$C$504&lt;=E$5)*(İzinler!$D$5:$D$504&gt;=E$5)*ROW(İzinler!$A$5:$A$504)))=0,"",LEFT(SUBSTITUTE(SUBSTITUTE(INDEX(İzinler!$B$1:$B$504,SUMPRODUCT(MAX((İzinler!$A$5:$A$504=$B14)*(İzinler!$C$5:$C$504&lt;=E$5)*(İzinler!$D$5:$D$504&gt;=E$5)*ROW(İzinler!$A$5:$A$504)))),"Yıllık izin","İ"),"Ücretsiz izin","Ü"),1)))</f>
        <v/>
      </c>
      <c r="F14" s="20" t="str">
        <f aca="false">IF(OR($B14="",F$5=""),"",IF(SUMPRODUCT(MAX((İzinler!$A$5:$A$504=$B14)*(İzinler!$C$5:$C$504&lt;=F$5)*(İzinler!$D$5:$D$504&gt;=F$5)*ROW(İzinler!$A$5:$A$504)))=0,"",LEFT(SUBSTITUTE(SUBSTITUTE(INDEX(İzinler!$B$1:$B$504,SUMPRODUCT(MAX((İzinler!$A$5:$A$504=$B14)*(İzinler!$C$5:$C$504&lt;=F$5)*(İzinler!$D$5:$D$504&gt;=F$5)*ROW(İzinler!$A$5:$A$504)))),"Yıllık izin","İ"),"Ücretsiz izin","Ü"),1)))</f>
        <v/>
      </c>
      <c r="G14" s="20" t="str">
        <f aca="false">IF(OR($B14="",G$5=""),"",IF(SUMPRODUCT(MAX((İzinler!$A$5:$A$504=$B14)*(İzinler!$C$5:$C$504&lt;=G$5)*(İzinler!$D$5:$D$504&gt;=G$5)*ROW(İzinler!$A$5:$A$504)))=0,"",LEFT(SUBSTITUTE(SUBSTITUTE(INDEX(İzinler!$B$1:$B$504,SUMPRODUCT(MAX((İzinler!$A$5:$A$504=$B14)*(İzinler!$C$5:$C$504&lt;=G$5)*(İzinler!$D$5:$D$504&gt;=G$5)*ROW(İzinler!$A$5:$A$504)))),"Yıllık izin","İ"),"Ücretsiz izin","Ü"),1)))</f>
        <v/>
      </c>
      <c r="H14" s="20" t="str">
        <f aca="false">IF(OR($B14="",H$5=""),"",IF(SUMPRODUCT(MAX((İzinler!$A$5:$A$504=$B14)*(İzinler!$C$5:$C$504&lt;=H$5)*(İzinler!$D$5:$D$504&gt;=H$5)*ROW(İzinler!$A$5:$A$504)))=0,"",LEFT(SUBSTITUTE(SUBSTITUTE(INDEX(İzinler!$B$1:$B$504,SUMPRODUCT(MAX((İzinler!$A$5:$A$504=$B14)*(İzinler!$C$5:$C$504&lt;=H$5)*(İzinler!$D$5:$D$504&gt;=H$5)*ROW(İzinler!$A$5:$A$504)))),"Yıllık izin","İ"),"Ücretsiz izin","Ü"),1)))</f>
        <v/>
      </c>
      <c r="I14" s="20" t="str">
        <f aca="false">IF(OR($B14="",I$5=""),"",IF(SUMPRODUCT(MAX((İzinler!$A$5:$A$504=$B14)*(İzinler!$C$5:$C$504&lt;=I$5)*(İzinler!$D$5:$D$504&gt;=I$5)*ROW(İzinler!$A$5:$A$504)))=0,"",LEFT(SUBSTITUTE(SUBSTITUTE(INDEX(İzinler!$B$1:$B$504,SUMPRODUCT(MAX((İzinler!$A$5:$A$504=$B14)*(İzinler!$C$5:$C$504&lt;=I$5)*(İzinler!$D$5:$D$504&gt;=I$5)*ROW(İzinler!$A$5:$A$504)))),"Yıllık izin","İ"),"Ücretsiz izin","Ü"),1)))</f>
        <v/>
      </c>
      <c r="J14" s="20" t="str">
        <f aca="false">IF(OR($B14="",J$5=""),"",IF(SUMPRODUCT(MAX((İzinler!$A$5:$A$504=$B14)*(İzinler!$C$5:$C$504&lt;=J$5)*(İzinler!$D$5:$D$504&gt;=J$5)*ROW(İzinler!$A$5:$A$504)))=0,"",LEFT(SUBSTITUTE(SUBSTITUTE(INDEX(İzinler!$B$1:$B$504,SUMPRODUCT(MAX((İzinler!$A$5:$A$504=$B14)*(İzinler!$C$5:$C$504&lt;=J$5)*(İzinler!$D$5:$D$504&gt;=J$5)*ROW(İzinler!$A$5:$A$504)))),"Yıllık izin","İ"),"Ücretsiz izin","Ü"),1)))</f>
        <v/>
      </c>
      <c r="K14" s="20" t="str">
        <f aca="false">IF(OR($B14="",K$5=""),"",IF(SUMPRODUCT(MAX((İzinler!$A$5:$A$504=$B14)*(İzinler!$C$5:$C$504&lt;=K$5)*(İzinler!$D$5:$D$504&gt;=K$5)*ROW(İzinler!$A$5:$A$504)))=0,"",LEFT(SUBSTITUTE(SUBSTITUTE(INDEX(İzinler!$B$1:$B$504,SUMPRODUCT(MAX((İzinler!$A$5:$A$504=$B14)*(İzinler!$C$5:$C$504&lt;=K$5)*(İzinler!$D$5:$D$504&gt;=K$5)*ROW(İzinler!$A$5:$A$504)))),"Yıllık izin","İ"),"Ücretsiz izin","Ü"),1)))</f>
        <v/>
      </c>
      <c r="L14" s="20" t="str">
        <f aca="false">IF(OR($B14="",L$5=""),"",IF(SUMPRODUCT(MAX((İzinler!$A$5:$A$504=$B14)*(İzinler!$C$5:$C$504&lt;=L$5)*(İzinler!$D$5:$D$504&gt;=L$5)*ROW(İzinler!$A$5:$A$504)))=0,"",LEFT(SUBSTITUTE(SUBSTITUTE(INDEX(İzinler!$B$1:$B$504,SUMPRODUCT(MAX((İzinler!$A$5:$A$504=$B14)*(İzinler!$C$5:$C$504&lt;=L$5)*(İzinler!$D$5:$D$504&gt;=L$5)*ROW(İzinler!$A$5:$A$504)))),"Yıllık izin","İ"),"Ücretsiz izin","Ü"),1)))</f>
        <v/>
      </c>
      <c r="M14" s="20" t="str">
        <f aca="false">IF(OR($B14="",M$5=""),"",IF(SUMPRODUCT(MAX((İzinler!$A$5:$A$504=$B14)*(İzinler!$C$5:$C$504&lt;=M$5)*(İzinler!$D$5:$D$504&gt;=M$5)*ROW(İzinler!$A$5:$A$504)))=0,"",LEFT(SUBSTITUTE(SUBSTITUTE(INDEX(İzinler!$B$1:$B$504,SUMPRODUCT(MAX((İzinler!$A$5:$A$504=$B14)*(İzinler!$C$5:$C$504&lt;=M$5)*(İzinler!$D$5:$D$504&gt;=M$5)*ROW(İzinler!$A$5:$A$504)))),"Yıllık izin","İ"),"Ücretsiz izin","Ü"),1)))</f>
        <v/>
      </c>
      <c r="N14" s="20" t="str">
        <f aca="false">IF(OR($B14="",N$5=""),"",IF(SUMPRODUCT(MAX((İzinler!$A$5:$A$504=$B14)*(İzinler!$C$5:$C$504&lt;=N$5)*(İzinler!$D$5:$D$504&gt;=N$5)*ROW(İzinler!$A$5:$A$504)))=0,"",LEFT(SUBSTITUTE(SUBSTITUTE(INDEX(İzinler!$B$1:$B$504,SUMPRODUCT(MAX((İzinler!$A$5:$A$504=$B14)*(İzinler!$C$5:$C$504&lt;=N$5)*(İzinler!$D$5:$D$504&gt;=N$5)*ROW(İzinler!$A$5:$A$504)))),"Yıllık izin","İ"),"Ücretsiz izin","Ü"),1)))</f>
        <v/>
      </c>
      <c r="O14" s="20" t="str">
        <f aca="false">IF(OR($B14="",O$5=""),"",IF(SUMPRODUCT(MAX((İzinler!$A$5:$A$504=$B14)*(İzinler!$C$5:$C$504&lt;=O$5)*(İzinler!$D$5:$D$504&gt;=O$5)*ROW(İzinler!$A$5:$A$504)))=0,"",LEFT(SUBSTITUTE(SUBSTITUTE(INDEX(İzinler!$B$1:$B$504,SUMPRODUCT(MAX((İzinler!$A$5:$A$504=$B14)*(İzinler!$C$5:$C$504&lt;=O$5)*(İzinler!$D$5:$D$504&gt;=O$5)*ROW(İzinler!$A$5:$A$504)))),"Yıllık izin","İ"),"Ücretsiz izin","Ü"),1)))</f>
        <v/>
      </c>
      <c r="P14" s="20" t="str">
        <f aca="false">IF(OR($B14="",P$5=""),"",IF(SUMPRODUCT(MAX((İzinler!$A$5:$A$504=$B14)*(İzinler!$C$5:$C$504&lt;=P$5)*(İzinler!$D$5:$D$504&gt;=P$5)*ROW(İzinler!$A$5:$A$504)))=0,"",LEFT(SUBSTITUTE(SUBSTITUTE(INDEX(İzinler!$B$1:$B$504,SUMPRODUCT(MAX((İzinler!$A$5:$A$504=$B14)*(İzinler!$C$5:$C$504&lt;=P$5)*(İzinler!$D$5:$D$504&gt;=P$5)*ROW(İzinler!$A$5:$A$504)))),"Yıllık izin","İ"),"Ücretsiz izin","Ü"),1)))</f>
        <v/>
      </c>
      <c r="Q14" s="20" t="str">
        <f aca="false">IF(OR($B14="",Q$5=""),"",IF(SUMPRODUCT(MAX((İzinler!$A$5:$A$504=$B14)*(İzinler!$C$5:$C$504&lt;=Q$5)*(İzinler!$D$5:$D$504&gt;=Q$5)*ROW(İzinler!$A$5:$A$504)))=0,"",LEFT(SUBSTITUTE(SUBSTITUTE(INDEX(İzinler!$B$1:$B$504,SUMPRODUCT(MAX((İzinler!$A$5:$A$504=$B14)*(İzinler!$C$5:$C$504&lt;=Q$5)*(İzinler!$D$5:$D$504&gt;=Q$5)*ROW(İzinler!$A$5:$A$504)))),"Yıllık izin","İ"),"Ücretsiz izin","Ü"),1)))</f>
        <v/>
      </c>
      <c r="R14" s="20" t="str">
        <f aca="false">IF(OR($B14="",R$5=""),"",IF(SUMPRODUCT(MAX((İzinler!$A$5:$A$504=$B14)*(İzinler!$C$5:$C$504&lt;=R$5)*(İzinler!$D$5:$D$504&gt;=R$5)*ROW(İzinler!$A$5:$A$504)))=0,"",LEFT(SUBSTITUTE(SUBSTITUTE(INDEX(İzinler!$B$1:$B$504,SUMPRODUCT(MAX((İzinler!$A$5:$A$504=$B14)*(İzinler!$C$5:$C$504&lt;=R$5)*(İzinler!$D$5:$D$504&gt;=R$5)*ROW(İzinler!$A$5:$A$504)))),"Yıllık izin","İ"),"Ücretsiz izin","Ü"),1)))</f>
        <v/>
      </c>
      <c r="S14" s="20" t="str">
        <f aca="false">IF(OR($B14="",S$5=""),"",IF(SUMPRODUCT(MAX((İzinler!$A$5:$A$504=$B14)*(İzinler!$C$5:$C$504&lt;=S$5)*(İzinler!$D$5:$D$504&gt;=S$5)*ROW(İzinler!$A$5:$A$504)))=0,"",LEFT(SUBSTITUTE(SUBSTITUTE(INDEX(İzinler!$B$1:$B$504,SUMPRODUCT(MAX((İzinler!$A$5:$A$504=$B14)*(İzinler!$C$5:$C$504&lt;=S$5)*(İzinler!$D$5:$D$504&gt;=S$5)*ROW(İzinler!$A$5:$A$504)))),"Yıllık izin","İ"),"Ücretsiz izin","Ü"),1)))</f>
        <v/>
      </c>
      <c r="T14" s="20" t="str">
        <f aca="false">IF(OR($B14="",T$5=""),"",IF(SUMPRODUCT(MAX((İzinler!$A$5:$A$504=$B14)*(İzinler!$C$5:$C$504&lt;=T$5)*(İzinler!$D$5:$D$504&gt;=T$5)*ROW(İzinler!$A$5:$A$504)))=0,"",LEFT(SUBSTITUTE(SUBSTITUTE(INDEX(İzinler!$B$1:$B$504,SUMPRODUCT(MAX((İzinler!$A$5:$A$504=$B14)*(İzinler!$C$5:$C$504&lt;=T$5)*(İzinler!$D$5:$D$504&gt;=T$5)*ROW(İzinler!$A$5:$A$504)))),"Yıllık izin","İ"),"Ücretsiz izin","Ü"),1)))</f>
        <v/>
      </c>
      <c r="U14" s="20" t="str">
        <f aca="false">IF(OR($B14="",U$5=""),"",IF(SUMPRODUCT(MAX((İzinler!$A$5:$A$504=$B14)*(İzinler!$C$5:$C$504&lt;=U$5)*(İzinler!$D$5:$D$504&gt;=U$5)*ROW(İzinler!$A$5:$A$504)))=0,"",LEFT(SUBSTITUTE(SUBSTITUTE(INDEX(İzinler!$B$1:$B$504,SUMPRODUCT(MAX((İzinler!$A$5:$A$504=$B14)*(İzinler!$C$5:$C$504&lt;=U$5)*(İzinler!$D$5:$D$504&gt;=U$5)*ROW(İzinler!$A$5:$A$504)))),"Yıllık izin","İ"),"Ücretsiz izin","Ü"),1)))</f>
        <v/>
      </c>
      <c r="V14" s="20" t="str">
        <f aca="false">IF(OR($B14="",V$5=""),"",IF(SUMPRODUCT(MAX((İzinler!$A$5:$A$504=$B14)*(İzinler!$C$5:$C$504&lt;=V$5)*(İzinler!$D$5:$D$504&gt;=V$5)*ROW(İzinler!$A$5:$A$504)))=0,"",LEFT(SUBSTITUTE(SUBSTITUTE(INDEX(İzinler!$B$1:$B$504,SUMPRODUCT(MAX((İzinler!$A$5:$A$504=$B14)*(İzinler!$C$5:$C$504&lt;=V$5)*(İzinler!$D$5:$D$504&gt;=V$5)*ROW(İzinler!$A$5:$A$504)))),"Yıllık izin","İ"),"Ücretsiz izin","Ü"),1)))</f>
        <v/>
      </c>
      <c r="W14" s="20" t="str">
        <f aca="false">IF(OR($B14="",W$5=""),"",IF(SUMPRODUCT(MAX((İzinler!$A$5:$A$504=$B14)*(İzinler!$C$5:$C$504&lt;=W$5)*(İzinler!$D$5:$D$504&gt;=W$5)*ROW(İzinler!$A$5:$A$504)))=0,"",LEFT(SUBSTITUTE(SUBSTITUTE(INDEX(İzinler!$B$1:$B$504,SUMPRODUCT(MAX((İzinler!$A$5:$A$504=$B14)*(İzinler!$C$5:$C$504&lt;=W$5)*(İzinler!$D$5:$D$504&gt;=W$5)*ROW(İzinler!$A$5:$A$504)))),"Yıllık izin","İ"),"Ücretsiz izin","Ü"),1)))</f>
        <v/>
      </c>
      <c r="X14" s="20" t="str">
        <f aca="false">IF(OR($B14="",X$5=""),"",IF(SUMPRODUCT(MAX((İzinler!$A$5:$A$504=$B14)*(İzinler!$C$5:$C$504&lt;=X$5)*(İzinler!$D$5:$D$504&gt;=X$5)*ROW(İzinler!$A$5:$A$504)))=0,"",LEFT(SUBSTITUTE(SUBSTITUTE(INDEX(İzinler!$B$1:$B$504,SUMPRODUCT(MAX((İzinler!$A$5:$A$504=$B14)*(İzinler!$C$5:$C$504&lt;=X$5)*(İzinler!$D$5:$D$504&gt;=X$5)*ROW(İzinler!$A$5:$A$504)))),"Yıllık izin","İ"),"Ücretsiz izin","Ü"),1)))</f>
        <v/>
      </c>
      <c r="Y14" s="20" t="str">
        <f aca="false">IF(OR($B14="",Y$5=""),"",IF(SUMPRODUCT(MAX((İzinler!$A$5:$A$504=$B14)*(İzinler!$C$5:$C$504&lt;=Y$5)*(İzinler!$D$5:$D$504&gt;=Y$5)*ROW(İzinler!$A$5:$A$504)))=0,"",LEFT(SUBSTITUTE(SUBSTITUTE(INDEX(İzinler!$B$1:$B$504,SUMPRODUCT(MAX((İzinler!$A$5:$A$504=$B14)*(İzinler!$C$5:$C$504&lt;=Y$5)*(İzinler!$D$5:$D$504&gt;=Y$5)*ROW(İzinler!$A$5:$A$504)))),"Yıllık izin","İ"),"Ücretsiz izin","Ü"),1)))</f>
        <v/>
      </c>
      <c r="Z14" s="20" t="str">
        <f aca="false">IF(OR($B14="",Z$5=""),"",IF(SUMPRODUCT(MAX((İzinler!$A$5:$A$504=$B14)*(İzinler!$C$5:$C$504&lt;=Z$5)*(İzinler!$D$5:$D$504&gt;=Z$5)*ROW(İzinler!$A$5:$A$504)))=0,"",LEFT(SUBSTITUTE(SUBSTITUTE(INDEX(İzinler!$B$1:$B$504,SUMPRODUCT(MAX((İzinler!$A$5:$A$504=$B14)*(İzinler!$C$5:$C$504&lt;=Z$5)*(İzinler!$D$5:$D$504&gt;=Z$5)*ROW(İzinler!$A$5:$A$504)))),"Yıllık izin","İ"),"Ücretsiz izin","Ü"),1)))</f>
        <v/>
      </c>
      <c r="AA14" s="20" t="str">
        <f aca="false">IF(OR($B14="",AA$5=""),"",IF(SUMPRODUCT(MAX((İzinler!$A$5:$A$504=$B14)*(İzinler!$C$5:$C$504&lt;=AA$5)*(İzinler!$D$5:$D$504&gt;=AA$5)*ROW(İzinler!$A$5:$A$504)))=0,"",LEFT(SUBSTITUTE(SUBSTITUTE(INDEX(İzinler!$B$1:$B$504,SUMPRODUCT(MAX((İzinler!$A$5:$A$504=$B14)*(İzinler!$C$5:$C$504&lt;=AA$5)*(İzinler!$D$5:$D$504&gt;=AA$5)*ROW(İzinler!$A$5:$A$504)))),"Yıllık izin","İ"),"Ücretsiz izin","Ü"),1)))</f>
        <v/>
      </c>
      <c r="AB14" s="20" t="str">
        <f aca="false">IF(OR($B14="",AB$5=""),"",IF(SUMPRODUCT(MAX((İzinler!$A$5:$A$504=$B14)*(İzinler!$C$5:$C$504&lt;=AB$5)*(İzinler!$D$5:$D$504&gt;=AB$5)*ROW(İzinler!$A$5:$A$504)))=0,"",LEFT(SUBSTITUTE(SUBSTITUTE(INDEX(İzinler!$B$1:$B$504,SUMPRODUCT(MAX((İzinler!$A$5:$A$504=$B14)*(İzinler!$C$5:$C$504&lt;=AB$5)*(İzinler!$D$5:$D$504&gt;=AB$5)*ROW(İzinler!$A$5:$A$504)))),"Yıllık izin","İ"),"Ücretsiz izin","Ü"),1)))</f>
        <v/>
      </c>
      <c r="AC14" s="20" t="str">
        <f aca="false">IF(OR($B14="",AC$5=""),"",IF(SUMPRODUCT(MAX((İzinler!$A$5:$A$504=$B14)*(İzinler!$C$5:$C$504&lt;=AC$5)*(İzinler!$D$5:$D$504&gt;=AC$5)*ROW(İzinler!$A$5:$A$504)))=0,"",LEFT(SUBSTITUTE(SUBSTITUTE(INDEX(İzinler!$B$1:$B$504,SUMPRODUCT(MAX((İzinler!$A$5:$A$504=$B14)*(İzinler!$C$5:$C$504&lt;=AC$5)*(İzinler!$D$5:$D$504&gt;=AC$5)*ROW(İzinler!$A$5:$A$504)))),"Yıllık izin","İ"),"Ücretsiz izin","Ü"),1)))</f>
        <v/>
      </c>
      <c r="AD14" s="20" t="str">
        <f aca="false">IF(OR($B14="",AD$5=""),"",IF(SUMPRODUCT(MAX((İzinler!$A$5:$A$504=$B14)*(İzinler!$C$5:$C$504&lt;=AD$5)*(İzinler!$D$5:$D$504&gt;=AD$5)*ROW(İzinler!$A$5:$A$504)))=0,"",LEFT(SUBSTITUTE(SUBSTITUTE(INDEX(İzinler!$B$1:$B$504,SUMPRODUCT(MAX((İzinler!$A$5:$A$504=$B14)*(İzinler!$C$5:$C$504&lt;=AD$5)*(İzinler!$D$5:$D$504&gt;=AD$5)*ROW(İzinler!$A$5:$A$504)))),"Yıllık izin","İ"),"Ücretsiz izin","Ü"),1)))</f>
        <v/>
      </c>
      <c r="AE14" s="20" t="str">
        <f aca="false">IF(OR($B14="",AE$5=""),"",IF(SUMPRODUCT(MAX((İzinler!$A$5:$A$504=$B14)*(İzinler!$C$5:$C$504&lt;=AE$5)*(İzinler!$D$5:$D$504&gt;=AE$5)*ROW(İzinler!$A$5:$A$504)))=0,"",LEFT(SUBSTITUTE(SUBSTITUTE(INDEX(İzinler!$B$1:$B$504,SUMPRODUCT(MAX((İzinler!$A$5:$A$504=$B14)*(İzinler!$C$5:$C$504&lt;=AE$5)*(İzinler!$D$5:$D$504&gt;=AE$5)*ROW(İzinler!$A$5:$A$504)))),"Yıllık izin","İ"),"Ücretsiz izin","Ü"),1)))</f>
        <v/>
      </c>
      <c r="AF14" s="20" t="str">
        <f aca="false">IF(OR($B14="",AF$5=""),"",IF(SUMPRODUCT(MAX((İzinler!$A$5:$A$504=$B14)*(İzinler!$C$5:$C$504&lt;=AF$5)*(İzinler!$D$5:$D$504&gt;=AF$5)*ROW(İzinler!$A$5:$A$504)))=0,"",LEFT(SUBSTITUTE(SUBSTITUTE(INDEX(İzinler!$B$1:$B$504,SUMPRODUCT(MAX((İzinler!$A$5:$A$504=$B14)*(İzinler!$C$5:$C$504&lt;=AF$5)*(İzinler!$D$5:$D$504&gt;=AF$5)*ROW(İzinler!$A$5:$A$504)))),"Yıllık izin","İ"),"Ücretsiz izin","Ü"),1)))</f>
        <v/>
      </c>
      <c r="AG14" s="20" t="str">
        <f aca="false">IF(OR($B14="",AG$5=""),"",IF(SUMPRODUCT(MAX((İzinler!$A$5:$A$504=$B14)*(İzinler!$C$5:$C$504&lt;=AG$5)*(İzinler!$D$5:$D$504&gt;=AG$5)*ROW(İzinler!$A$5:$A$504)))=0,"",LEFT(SUBSTITUTE(SUBSTITUTE(INDEX(İzinler!$B$1:$B$504,SUMPRODUCT(MAX((İzinler!$A$5:$A$504=$B14)*(İzinler!$C$5:$C$504&lt;=AG$5)*(İzinler!$D$5:$D$504&gt;=AG$5)*ROW(İzinler!$A$5:$A$504)))),"Yıllık izin","İ"),"Ücretsiz izin","Ü"),1)))</f>
        <v/>
      </c>
      <c r="AH14" s="21" t="str">
        <f aca="false">IF(B14="","",COUNTIF(C14:AG14,"?"))</f>
        <v/>
      </c>
    </row>
    <row r="15" customFormat="false" ht="15" hidden="false" customHeight="false" outlineLevel="0" collapsed="false">
      <c r="B15" s="16" t="str">
        <f aca="false">IF(Personel!A14="","",Personel!A14)</f>
        <v/>
      </c>
      <c r="C15" s="20" t="str">
        <f aca="false">IF(OR($B15="",C$5=""),"",IF(SUMPRODUCT(MAX((İzinler!$A$5:$A$504=$B15)*(İzinler!$C$5:$C$504&lt;=C$5)*(İzinler!$D$5:$D$504&gt;=C$5)*ROW(İzinler!$A$5:$A$504)))=0,"",LEFT(SUBSTITUTE(SUBSTITUTE(INDEX(İzinler!$B$1:$B$504,SUMPRODUCT(MAX((İzinler!$A$5:$A$504=$B15)*(İzinler!$C$5:$C$504&lt;=C$5)*(İzinler!$D$5:$D$504&gt;=C$5)*ROW(İzinler!$A$5:$A$504)))),"Yıllık izin","İ"),"Ücretsiz izin","Ü"),1)))</f>
        <v/>
      </c>
      <c r="D15" s="20" t="str">
        <f aca="false">IF(OR($B15="",D$5=""),"",IF(SUMPRODUCT(MAX((İzinler!$A$5:$A$504=$B15)*(İzinler!$C$5:$C$504&lt;=D$5)*(İzinler!$D$5:$D$504&gt;=D$5)*ROW(İzinler!$A$5:$A$504)))=0,"",LEFT(SUBSTITUTE(SUBSTITUTE(INDEX(İzinler!$B$1:$B$504,SUMPRODUCT(MAX((İzinler!$A$5:$A$504=$B15)*(İzinler!$C$5:$C$504&lt;=D$5)*(İzinler!$D$5:$D$504&gt;=D$5)*ROW(İzinler!$A$5:$A$504)))),"Yıllık izin","İ"),"Ücretsiz izin","Ü"),1)))</f>
        <v/>
      </c>
      <c r="E15" s="20" t="str">
        <f aca="false">IF(OR($B15="",E$5=""),"",IF(SUMPRODUCT(MAX((İzinler!$A$5:$A$504=$B15)*(İzinler!$C$5:$C$504&lt;=E$5)*(İzinler!$D$5:$D$504&gt;=E$5)*ROW(İzinler!$A$5:$A$504)))=0,"",LEFT(SUBSTITUTE(SUBSTITUTE(INDEX(İzinler!$B$1:$B$504,SUMPRODUCT(MAX((İzinler!$A$5:$A$504=$B15)*(İzinler!$C$5:$C$504&lt;=E$5)*(İzinler!$D$5:$D$504&gt;=E$5)*ROW(İzinler!$A$5:$A$504)))),"Yıllık izin","İ"),"Ücretsiz izin","Ü"),1)))</f>
        <v/>
      </c>
      <c r="F15" s="20" t="str">
        <f aca="false">IF(OR($B15="",F$5=""),"",IF(SUMPRODUCT(MAX((İzinler!$A$5:$A$504=$B15)*(İzinler!$C$5:$C$504&lt;=F$5)*(İzinler!$D$5:$D$504&gt;=F$5)*ROW(İzinler!$A$5:$A$504)))=0,"",LEFT(SUBSTITUTE(SUBSTITUTE(INDEX(İzinler!$B$1:$B$504,SUMPRODUCT(MAX((İzinler!$A$5:$A$504=$B15)*(İzinler!$C$5:$C$504&lt;=F$5)*(İzinler!$D$5:$D$504&gt;=F$5)*ROW(İzinler!$A$5:$A$504)))),"Yıllık izin","İ"),"Ücretsiz izin","Ü"),1)))</f>
        <v/>
      </c>
      <c r="G15" s="20" t="str">
        <f aca="false">IF(OR($B15="",G$5=""),"",IF(SUMPRODUCT(MAX((İzinler!$A$5:$A$504=$B15)*(İzinler!$C$5:$C$504&lt;=G$5)*(İzinler!$D$5:$D$504&gt;=G$5)*ROW(İzinler!$A$5:$A$504)))=0,"",LEFT(SUBSTITUTE(SUBSTITUTE(INDEX(İzinler!$B$1:$B$504,SUMPRODUCT(MAX((İzinler!$A$5:$A$504=$B15)*(İzinler!$C$5:$C$504&lt;=G$5)*(İzinler!$D$5:$D$504&gt;=G$5)*ROW(İzinler!$A$5:$A$504)))),"Yıllık izin","İ"),"Ücretsiz izin","Ü"),1)))</f>
        <v/>
      </c>
      <c r="H15" s="20" t="str">
        <f aca="false">IF(OR($B15="",H$5=""),"",IF(SUMPRODUCT(MAX((İzinler!$A$5:$A$504=$B15)*(İzinler!$C$5:$C$504&lt;=H$5)*(İzinler!$D$5:$D$504&gt;=H$5)*ROW(İzinler!$A$5:$A$504)))=0,"",LEFT(SUBSTITUTE(SUBSTITUTE(INDEX(İzinler!$B$1:$B$504,SUMPRODUCT(MAX((İzinler!$A$5:$A$504=$B15)*(İzinler!$C$5:$C$504&lt;=H$5)*(İzinler!$D$5:$D$504&gt;=H$5)*ROW(İzinler!$A$5:$A$504)))),"Yıllık izin","İ"),"Ücretsiz izin","Ü"),1)))</f>
        <v/>
      </c>
      <c r="I15" s="20" t="str">
        <f aca="false">IF(OR($B15="",I$5=""),"",IF(SUMPRODUCT(MAX((İzinler!$A$5:$A$504=$B15)*(İzinler!$C$5:$C$504&lt;=I$5)*(İzinler!$D$5:$D$504&gt;=I$5)*ROW(İzinler!$A$5:$A$504)))=0,"",LEFT(SUBSTITUTE(SUBSTITUTE(INDEX(İzinler!$B$1:$B$504,SUMPRODUCT(MAX((İzinler!$A$5:$A$504=$B15)*(İzinler!$C$5:$C$504&lt;=I$5)*(İzinler!$D$5:$D$504&gt;=I$5)*ROW(İzinler!$A$5:$A$504)))),"Yıllık izin","İ"),"Ücretsiz izin","Ü"),1)))</f>
        <v/>
      </c>
      <c r="J15" s="20" t="str">
        <f aca="false">IF(OR($B15="",J$5=""),"",IF(SUMPRODUCT(MAX((İzinler!$A$5:$A$504=$B15)*(İzinler!$C$5:$C$504&lt;=J$5)*(İzinler!$D$5:$D$504&gt;=J$5)*ROW(İzinler!$A$5:$A$504)))=0,"",LEFT(SUBSTITUTE(SUBSTITUTE(INDEX(İzinler!$B$1:$B$504,SUMPRODUCT(MAX((İzinler!$A$5:$A$504=$B15)*(İzinler!$C$5:$C$504&lt;=J$5)*(İzinler!$D$5:$D$504&gt;=J$5)*ROW(İzinler!$A$5:$A$504)))),"Yıllık izin","İ"),"Ücretsiz izin","Ü"),1)))</f>
        <v/>
      </c>
      <c r="K15" s="20" t="str">
        <f aca="false">IF(OR($B15="",K$5=""),"",IF(SUMPRODUCT(MAX((İzinler!$A$5:$A$504=$B15)*(İzinler!$C$5:$C$504&lt;=K$5)*(İzinler!$D$5:$D$504&gt;=K$5)*ROW(İzinler!$A$5:$A$504)))=0,"",LEFT(SUBSTITUTE(SUBSTITUTE(INDEX(İzinler!$B$1:$B$504,SUMPRODUCT(MAX((İzinler!$A$5:$A$504=$B15)*(İzinler!$C$5:$C$504&lt;=K$5)*(İzinler!$D$5:$D$504&gt;=K$5)*ROW(İzinler!$A$5:$A$504)))),"Yıllık izin","İ"),"Ücretsiz izin","Ü"),1)))</f>
        <v/>
      </c>
      <c r="L15" s="20" t="str">
        <f aca="false">IF(OR($B15="",L$5=""),"",IF(SUMPRODUCT(MAX((İzinler!$A$5:$A$504=$B15)*(İzinler!$C$5:$C$504&lt;=L$5)*(İzinler!$D$5:$D$504&gt;=L$5)*ROW(İzinler!$A$5:$A$504)))=0,"",LEFT(SUBSTITUTE(SUBSTITUTE(INDEX(İzinler!$B$1:$B$504,SUMPRODUCT(MAX((İzinler!$A$5:$A$504=$B15)*(İzinler!$C$5:$C$504&lt;=L$5)*(İzinler!$D$5:$D$504&gt;=L$5)*ROW(İzinler!$A$5:$A$504)))),"Yıllık izin","İ"),"Ücretsiz izin","Ü"),1)))</f>
        <v/>
      </c>
      <c r="M15" s="20" t="str">
        <f aca="false">IF(OR($B15="",M$5=""),"",IF(SUMPRODUCT(MAX((İzinler!$A$5:$A$504=$B15)*(İzinler!$C$5:$C$504&lt;=M$5)*(İzinler!$D$5:$D$504&gt;=M$5)*ROW(İzinler!$A$5:$A$504)))=0,"",LEFT(SUBSTITUTE(SUBSTITUTE(INDEX(İzinler!$B$1:$B$504,SUMPRODUCT(MAX((İzinler!$A$5:$A$504=$B15)*(İzinler!$C$5:$C$504&lt;=M$5)*(İzinler!$D$5:$D$504&gt;=M$5)*ROW(İzinler!$A$5:$A$504)))),"Yıllık izin","İ"),"Ücretsiz izin","Ü"),1)))</f>
        <v/>
      </c>
      <c r="N15" s="20" t="str">
        <f aca="false">IF(OR($B15="",N$5=""),"",IF(SUMPRODUCT(MAX((İzinler!$A$5:$A$504=$B15)*(İzinler!$C$5:$C$504&lt;=N$5)*(İzinler!$D$5:$D$504&gt;=N$5)*ROW(İzinler!$A$5:$A$504)))=0,"",LEFT(SUBSTITUTE(SUBSTITUTE(INDEX(İzinler!$B$1:$B$504,SUMPRODUCT(MAX((İzinler!$A$5:$A$504=$B15)*(İzinler!$C$5:$C$504&lt;=N$5)*(İzinler!$D$5:$D$504&gt;=N$5)*ROW(İzinler!$A$5:$A$504)))),"Yıllık izin","İ"),"Ücretsiz izin","Ü"),1)))</f>
        <v/>
      </c>
      <c r="O15" s="20" t="str">
        <f aca="false">IF(OR($B15="",O$5=""),"",IF(SUMPRODUCT(MAX((İzinler!$A$5:$A$504=$B15)*(İzinler!$C$5:$C$504&lt;=O$5)*(İzinler!$D$5:$D$504&gt;=O$5)*ROW(İzinler!$A$5:$A$504)))=0,"",LEFT(SUBSTITUTE(SUBSTITUTE(INDEX(İzinler!$B$1:$B$504,SUMPRODUCT(MAX((İzinler!$A$5:$A$504=$B15)*(İzinler!$C$5:$C$504&lt;=O$5)*(İzinler!$D$5:$D$504&gt;=O$5)*ROW(İzinler!$A$5:$A$504)))),"Yıllık izin","İ"),"Ücretsiz izin","Ü"),1)))</f>
        <v/>
      </c>
      <c r="P15" s="20" t="str">
        <f aca="false">IF(OR($B15="",P$5=""),"",IF(SUMPRODUCT(MAX((İzinler!$A$5:$A$504=$B15)*(İzinler!$C$5:$C$504&lt;=P$5)*(İzinler!$D$5:$D$504&gt;=P$5)*ROW(İzinler!$A$5:$A$504)))=0,"",LEFT(SUBSTITUTE(SUBSTITUTE(INDEX(İzinler!$B$1:$B$504,SUMPRODUCT(MAX((İzinler!$A$5:$A$504=$B15)*(İzinler!$C$5:$C$504&lt;=P$5)*(İzinler!$D$5:$D$504&gt;=P$5)*ROW(İzinler!$A$5:$A$504)))),"Yıllık izin","İ"),"Ücretsiz izin","Ü"),1)))</f>
        <v/>
      </c>
      <c r="Q15" s="20" t="str">
        <f aca="false">IF(OR($B15="",Q$5=""),"",IF(SUMPRODUCT(MAX((İzinler!$A$5:$A$504=$B15)*(İzinler!$C$5:$C$504&lt;=Q$5)*(İzinler!$D$5:$D$504&gt;=Q$5)*ROW(İzinler!$A$5:$A$504)))=0,"",LEFT(SUBSTITUTE(SUBSTITUTE(INDEX(İzinler!$B$1:$B$504,SUMPRODUCT(MAX((İzinler!$A$5:$A$504=$B15)*(İzinler!$C$5:$C$504&lt;=Q$5)*(İzinler!$D$5:$D$504&gt;=Q$5)*ROW(İzinler!$A$5:$A$504)))),"Yıllık izin","İ"),"Ücretsiz izin","Ü"),1)))</f>
        <v/>
      </c>
      <c r="R15" s="20" t="str">
        <f aca="false">IF(OR($B15="",R$5=""),"",IF(SUMPRODUCT(MAX((İzinler!$A$5:$A$504=$B15)*(İzinler!$C$5:$C$504&lt;=R$5)*(İzinler!$D$5:$D$504&gt;=R$5)*ROW(İzinler!$A$5:$A$504)))=0,"",LEFT(SUBSTITUTE(SUBSTITUTE(INDEX(İzinler!$B$1:$B$504,SUMPRODUCT(MAX((İzinler!$A$5:$A$504=$B15)*(İzinler!$C$5:$C$504&lt;=R$5)*(İzinler!$D$5:$D$504&gt;=R$5)*ROW(İzinler!$A$5:$A$504)))),"Yıllık izin","İ"),"Ücretsiz izin","Ü"),1)))</f>
        <v/>
      </c>
      <c r="S15" s="20" t="str">
        <f aca="false">IF(OR($B15="",S$5=""),"",IF(SUMPRODUCT(MAX((İzinler!$A$5:$A$504=$B15)*(İzinler!$C$5:$C$504&lt;=S$5)*(İzinler!$D$5:$D$504&gt;=S$5)*ROW(İzinler!$A$5:$A$504)))=0,"",LEFT(SUBSTITUTE(SUBSTITUTE(INDEX(İzinler!$B$1:$B$504,SUMPRODUCT(MAX((İzinler!$A$5:$A$504=$B15)*(İzinler!$C$5:$C$504&lt;=S$5)*(İzinler!$D$5:$D$504&gt;=S$5)*ROW(İzinler!$A$5:$A$504)))),"Yıllık izin","İ"),"Ücretsiz izin","Ü"),1)))</f>
        <v/>
      </c>
      <c r="T15" s="20" t="str">
        <f aca="false">IF(OR($B15="",T$5=""),"",IF(SUMPRODUCT(MAX((İzinler!$A$5:$A$504=$B15)*(İzinler!$C$5:$C$504&lt;=T$5)*(İzinler!$D$5:$D$504&gt;=T$5)*ROW(İzinler!$A$5:$A$504)))=0,"",LEFT(SUBSTITUTE(SUBSTITUTE(INDEX(İzinler!$B$1:$B$504,SUMPRODUCT(MAX((İzinler!$A$5:$A$504=$B15)*(İzinler!$C$5:$C$504&lt;=T$5)*(İzinler!$D$5:$D$504&gt;=T$5)*ROW(İzinler!$A$5:$A$504)))),"Yıllık izin","İ"),"Ücretsiz izin","Ü"),1)))</f>
        <v/>
      </c>
      <c r="U15" s="20" t="str">
        <f aca="false">IF(OR($B15="",U$5=""),"",IF(SUMPRODUCT(MAX((İzinler!$A$5:$A$504=$B15)*(İzinler!$C$5:$C$504&lt;=U$5)*(İzinler!$D$5:$D$504&gt;=U$5)*ROW(İzinler!$A$5:$A$504)))=0,"",LEFT(SUBSTITUTE(SUBSTITUTE(INDEX(İzinler!$B$1:$B$504,SUMPRODUCT(MAX((İzinler!$A$5:$A$504=$B15)*(İzinler!$C$5:$C$504&lt;=U$5)*(İzinler!$D$5:$D$504&gt;=U$5)*ROW(İzinler!$A$5:$A$504)))),"Yıllık izin","İ"),"Ücretsiz izin","Ü"),1)))</f>
        <v/>
      </c>
      <c r="V15" s="20" t="str">
        <f aca="false">IF(OR($B15="",V$5=""),"",IF(SUMPRODUCT(MAX((İzinler!$A$5:$A$504=$B15)*(İzinler!$C$5:$C$504&lt;=V$5)*(İzinler!$D$5:$D$504&gt;=V$5)*ROW(İzinler!$A$5:$A$504)))=0,"",LEFT(SUBSTITUTE(SUBSTITUTE(INDEX(İzinler!$B$1:$B$504,SUMPRODUCT(MAX((İzinler!$A$5:$A$504=$B15)*(İzinler!$C$5:$C$504&lt;=V$5)*(İzinler!$D$5:$D$504&gt;=V$5)*ROW(İzinler!$A$5:$A$504)))),"Yıllık izin","İ"),"Ücretsiz izin","Ü"),1)))</f>
        <v/>
      </c>
      <c r="W15" s="20" t="str">
        <f aca="false">IF(OR($B15="",W$5=""),"",IF(SUMPRODUCT(MAX((İzinler!$A$5:$A$504=$B15)*(İzinler!$C$5:$C$504&lt;=W$5)*(İzinler!$D$5:$D$504&gt;=W$5)*ROW(İzinler!$A$5:$A$504)))=0,"",LEFT(SUBSTITUTE(SUBSTITUTE(INDEX(İzinler!$B$1:$B$504,SUMPRODUCT(MAX((İzinler!$A$5:$A$504=$B15)*(İzinler!$C$5:$C$504&lt;=W$5)*(İzinler!$D$5:$D$504&gt;=W$5)*ROW(İzinler!$A$5:$A$504)))),"Yıllık izin","İ"),"Ücretsiz izin","Ü"),1)))</f>
        <v/>
      </c>
      <c r="X15" s="20" t="str">
        <f aca="false">IF(OR($B15="",X$5=""),"",IF(SUMPRODUCT(MAX((İzinler!$A$5:$A$504=$B15)*(İzinler!$C$5:$C$504&lt;=X$5)*(İzinler!$D$5:$D$504&gt;=X$5)*ROW(İzinler!$A$5:$A$504)))=0,"",LEFT(SUBSTITUTE(SUBSTITUTE(INDEX(İzinler!$B$1:$B$504,SUMPRODUCT(MAX((İzinler!$A$5:$A$504=$B15)*(İzinler!$C$5:$C$504&lt;=X$5)*(İzinler!$D$5:$D$504&gt;=X$5)*ROW(İzinler!$A$5:$A$504)))),"Yıllık izin","İ"),"Ücretsiz izin","Ü"),1)))</f>
        <v/>
      </c>
      <c r="Y15" s="20" t="str">
        <f aca="false">IF(OR($B15="",Y$5=""),"",IF(SUMPRODUCT(MAX((İzinler!$A$5:$A$504=$B15)*(İzinler!$C$5:$C$504&lt;=Y$5)*(İzinler!$D$5:$D$504&gt;=Y$5)*ROW(İzinler!$A$5:$A$504)))=0,"",LEFT(SUBSTITUTE(SUBSTITUTE(INDEX(İzinler!$B$1:$B$504,SUMPRODUCT(MAX((İzinler!$A$5:$A$504=$B15)*(İzinler!$C$5:$C$504&lt;=Y$5)*(İzinler!$D$5:$D$504&gt;=Y$5)*ROW(İzinler!$A$5:$A$504)))),"Yıllık izin","İ"),"Ücretsiz izin","Ü"),1)))</f>
        <v/>
      </c>
      <c r="Z15" s="20" t="str">
        <f aca="false">IF(OR($B15="",Z$5=""),"",IF(SUMPRODUCT(MAX((İzinler!$A$5:$A$504=$B15)*(İzinler!$C$5:$C$504&lt;=Z$5)*(İzinler!$D$5:$D$504&gt;=Z$5)*ROW(İzinler!$A$5:$A$504)))=0,"",LEFT(SUBSTITUTE(SUBSTITUTE(INDEX(İzinler!$B$1:$B$504,SUMPRODUCT(MAX((İzinler!$A$5:$A$504=$B15)*(İzinler!$C$5:$C$504&lt;=Z$5)*(İzinler!$D$5:$D$504&gt;=Z$5)*ROW(İzinler!$A$5:$A$504)))),"Yıllık izin","İ"),"Ücretsiz izin","Ü"),1)))</f>
        <v/>
      </c>
      <c r="AA15" s="20" t="str">
        <f aca="false">IF(OR($B15="",AA$5=""),"",IF(SUMPRODUCT(MAX((İzinler!$A$5:$A$504=$B15)*(İzinler!$C$5:$C$504&lt;=AA$5)*(İzinler!$D$5:$D$504&gt;=AA$5)*ROW(İzinler!$A$5:$A$504)))=0,"",LEFT(SUBSTITUTE(SUBSTITUTE(INDEX(İzinler!$B$1:$B$504,SUMPRODUCT(MAX((İzinler!$A$5:$A$504=$B15)*(İzinler!$C$5:$C$504&lt;=AA$5)*(İzinler!$D$5:$D$504&gt;=AA$5)*ROW(İzinler!$A$5:$A$504)))),"Yıllık izin","İ"),"Ücretsiz izin","Ü"),1)))</f>
        <v/>
      </c>
      <c r="AB15" s="20" t="str">
        <f aca="false">IF(OR($B15="",AB$5=""),"",IF(SUMPRODUCT(MAX((İzinler!$A$5:$A$504=$B15)*(İzinler!$C$5:$C$504&lt;=AB$5)*(İzinler!$D$5:$D$504&gt;=AB$5)*ROW(İzinler!$A$5:$A$504)))=0,"",LEFT(SUBSTITUTE(SUBSTITUTE(INDEX(İzinler!$B$1:$B$504,SUMPRODUCT(MAX((İzinler!$A$5:$A$504=$B15)*(İzinler!$C$5:$C$504&lt;=AB$5)*(İzinler!$D$5:$D$504&gt;=AB$5)*ROW(İzinler!$A$5:$A$504)))),"Yıllık izin","İ"),"Ücretsiz izin","Ü"),1)))</f>
        <v/>
      </c>
      <c r="AC15" s="20" t="str">
        <f aca="false">IF(OR($B15="",AC$5=""),"",IF(SUMPRODUCT(MAX((İzinler!$A$5:$A$504=$B15)*(İzinler!$C$5:$C$504&lt;=AC$5)*(İzinler!$D$5:$D$504&gt;=AC$5)*ROW(İzinler!$A$5:$A$504)))=0,"",LEFT(SUBSTITUTE(SUBSTITUTE(INDEX(İzinler!$B$1:$B$504,SUMPRODUCT(MAX((İzinler!$A$5:$A$504=$B15)*(İzinler!$C$5:$C$504&lt;=AC$5)*(İzinler!$D$5:$D$504&gt;=AC$5)*ROW(İzinler!$A$5:$A$504)))),"Yıllık izin","İ"),"Ücretsiz izin","Ü"),1)))</f>
        <v/>
      </c>
      <c r="AD15" s="20" t="str">
        <f aca="false">IF(OR($B15="",AD$5=""),"",IF(SUMPRODUCT(MAX((İzinler!$A$5:$A$504=$B15)*(İzinler!$C$5:$C$504&lt;=AD$5)*(İzinler!$D$5:$D$504&gt;=AD$5)*ROW(İzinler!$A$5:$A$504)))=0,"",LEFT(SUBSTITUTE(SUBSTITUTE(INDEX(İzinler!$B$1:$B$504,SUMPRODUCT(MAX((İzinler!$A$5:$A$504=$B15)*(İzinler!$C$5:$C$504&lt;=AD$5)*(İzinler!$D$5:$D$504&gt;=AD$5)*ROW(İzinler!$A$5:$A$504)))),"Yıllık izin","İ"),"Ücretsiz izin","Ü"),1)))</f>
        <v/>
      </c>
      <c r="AE15" s="20" t="str">
        <f aca="false">IF(OR($B15="",AE$5=""),"",IF(SUMPRODUCT(MAX((İzinler!$A$5:$A$504=$B15)*(İzinler!$C$5:$C$504&lt;=AE$5)*(İzinler!$D$5:$D$504&gt;=AE$5)*ROW(İzinler!$A$5:$A$504)))=0,"",LEFT(SUBSTITUTE(SUBSTITUTE(INDEX(İzinler!$B$1:$B$504,SUMPRODUCT(MAX((İzinler!$A$5:$A$504=$B15)*(İzinler!$C$5:$C$504&lt;=AE$5)*(İzinler!$D$5:$D$504&gt;=AE$5)*ROW(İzinler!$A$5:$A$504)))),"Yıllık izin","İ"),"Ücretsiz izin","Ü"),1)))</f>
        <v/>
      </c>
      <c r="AF15" s="20" t="str">
        <f aca="false">IF(OR($B15="",AF$5=""),"",IF(SUMPRODUCT(MAX((İzinler!$A$5:$A$504=$B15)*(İzinler!$C$5:$C$504&lt;=AF$5)*(İzinler!$D$5:$D$504&gt;=AF$5)*ROW(İzinler!$A$5:$A$504)))=0,"",LEFT(SUBSTITUTE(SUBSTITUTE(INDEX(İzinler!$B$1:$B$504,SUMPRODUCT(MAX((İzinler!$A$5:$A$504=$B15)*(İzinler!$C$5:$C$504&lt;=AF$5)*(İzinler!$D$5:$D$504&gt;=AF$5)*ROW(İzinler!$A$5:$A$504)))),"Yıllık izin","İ"),"Ücretsiz izin","Ü"),1)))</f>
        <v/>
      </c>
      <c r="AG15" s="20" t="str">
        <f aca="false">IF(OR($B15="",AG$5=""),"",IF(SUMPRODUCT(MAX((İzinler!$A$5:$A$504=$B15)*(İzinler!$C$5:$C$504&lt;=AG$5)*(İzinler!$D$5:$D$504&gt;=AG$5)*ROW(İzinler!$A$5:$A$504)))=0,"",LEFT(SUBSTITUTE(SUBSTITUTE(INDEX(İzinler!$B$1:$B$504,SUMPRODUCT(MAX((İzinler!$A$5:$A$504=$B15)*(İzinler!$C$5:$C$504&lt;=AG$5)*(İzinler!$D$5:$D$504&gt;=AG$5)*ROW(İzinler!$A$5:$A$504)))),"Yıllık izin","İ"),"Ücretsiz izin","Ü"),1)))</f>
        <v/>
      </c>
      <c r="AH15" s="21" t="str">
        <f aca="false">IF(B15="","",COUNTIF(C15:AG15,"?"))</f>
        <v/>
      </c>
    </row>
    <row r="16" customFormat="false" ht="15" hidden="false" customHeight="false" outlineLevel="0" collapsed="false">
      <c r="B16" s="16" t="str">
        <f aca="false">IF(Personel!A15="","",Personel!A15)</f>
        <v/>
      </c>
      <c r="C16" s="20" t="str">
        <f aca="false">IF(OR($B16="",C$5=""),"",IF(SUMPRODUCT(MAX((İzinler!$A$5:$A$504=$B16)*(İzinler!$C$5:$C$504&lt;=C$5)*(İzinler!$D$5:$D$504&gt;=C$5)*ROW(İzinler!$A$5:$A$504)))=0,"",LEFT(SUBSTITUTE(SUBSTITUTE(INDEX(İzinler!$B$1:$B$504,SUMPRODUCT(MAX((İzinler!$A$5:$A$504=$B16)*(İzinler!$C$5:$C$504&lt;=C$5)*(İzinler!$D$5:$D$504&gt;=C$5)*ROW(İzinler!$A$5:$A$504)))),"Yıllık izin","İ"),"Ücretsiz izin","Ü"),1)))</f>
        <v/>
      </c>
      <c r="D16" s="20" t="str">
        <f aca="false">IF(OR($B16="",D$5=""),"",IF(SUMPRODUCT(MAX((İzinler!$A$5:$A$504=$B16)*(İzinler!$C$5:$C$504&lt;=D$5)*(İzinler!$D$5:$D$504&gt;=D$5)*ROW(İzinler!$A$5:$A$504)))=0,"",LEFT(SUBSTITUTE(SUBSTITUTE(INDEX(İzinler!$B$1:$B$504,SUMPRODUCT(MAX((İzinler!$A$5:$A$504=$B16)*(İzinler!$C$5:$C$504&lt;=D$5)*(İzinler!$D$5:$D$504&gt;=D$5)*ROW(İzinler!$A$5:$A$504)))),"Yıllık izin","İ"),"Ücretsiz izin","Ü"),1)))</f>
        <v/>
      </c>
      <c r="E16" s="20" t="str">
        <f aca="false">IF(OR($B16="",E$5=""),"",IF(SUMPRODUCT(MAX((İzinler!$A$5:$A$504=$B16)*(İzinler!$C$5:$C$504&lt;=E$5)*(İzinler!$D$5:$D$504&gt;=E$5)*ROW(İzinler!$A$5:$A$504)))=0,"",LEFT(SUBSTITUTE(SUBSTITUTE(INDEX(İzinler!$B$1:$B$504,SUMPRODUCT(MAX((İzinler!$A$5:$A$504=$B16)*(İzinler!$C$5:$C$504&lt;=E$5)*(İzinler!$D$5:$D$504&gt;=E$5)*ROW(İzinler!$A$5:$A$504)))),"Yıllık izin","İ"),"Ücretsiz izin","Ü"),1)))</f>
        <v/>
      </c>
      <c r="F16" s="20" t="str">
        <f aca="false">IF(OR($B16="",F$5=""),"",IF(SUMPRODUCT(MAX((İzinler!$A$5:$A$504=$B16)*(İzinler!$C$5:$C$504&lt;=F$5)*(İzinler!$D$5:$D$504&gt;=F$5)*ROW(İzinler!$A$5:$A$504)))=0,"",LEFT(SUBSTITUTE(SUBSTITUTE(INDEX(İzinler!$B$1:$B$504,SUMPRODUCT(MAX((İzinler!$A$5:$A$504=$B16)*(İzinler!$C$5:$C$504&lt;=F$5)*(İzinler!$D$5:$D$504&gt;=F$5)*ROW(İzinler!$A$5:$A$504)))),"Yıllık izin","İ"),"Ücretsiz izin","Ü"),1)))</f>
        <v/>
      </c>
      <c r="G16" s="20" t="str">
        <f aca="false">IF(OR($B16="",G$5=""),"",IF(SUMPRODUCT(MAX((İzinler!$A$5:$A$504=$B16)*(İzinler!$C$5:$C$504&lt;=G$5)*(İzinler!$D$5:$D$504&gt;=G$5)*ROW(İzinler!$A$5:$A$504)))=0,"",LEFT(SUBSTITUTE(SUBSTITUTE(INDEX(İzinler!$B$1:$B$504,SUMPRODUCT(MAX((İzinler!$A$5:$A$504=$B16)*(İzinler!$C$5:$C$504&lt;=G$5)*(İzinler!$D$5:$D$504&gt;=G$5)*ROW(İzinler!$A$5:$A$504)))),"Yıllık izin","İ"),"Ücretsiz izin","Ü"),1)))</f>
        <v/>
      </c>
      <c r="H16" s="20" t="str">
        <f aca="false">IF(OR($B16="",H$5=""),"",IF(SUMPRODUCT(MAX((İzinler!$A$5:$A$504=$B16)*(İzinler!$C$5:$C$504&lt;=H$5)*(İzinler!$D$5:$D$504&gt;=H$5)*ROW(İzinler!$A$5:$A$504)))=0,"",LEFT(SUBSTITUTE(SUBSTITUTE(INDEX(İzinler!$B$1:$B$504,SUMPRODUCT(MAX((İzinler!$A$5:$A$504=$B16)*(İzinler!$C$5:$C$504&lt;=H$5)*(İzinler!$D$5:$D$504&gt;=H$5)*ROW(İzinler!$A$5:$A$504)))),"Yıllık izin","İ"),"Ücretsiz izin","Ü"),1)))</f>
        <v/>
      </c>
      <c r="I16" s="20" t="str">
        <f aca="false">IF(OR($B16="",I$5=""),"",IF(SUMPRODUCT(MAX((İzinler!$A$5:$A$504=$B16)*(İzinler!$C$5:$C$504&lt;=I$5)*(İzinler!$D$5:$D$504&gt;=I$5)*ROW(İzinler!$A$5:$A$504)))=0,"",LEFT(SUBSTITUTE(SUBSTITUTE(INDEX(İzinler!$B$1:$B$504,SUMPRODUCT(MAX((İzinler!$A$5:$A$504=$B16)*(İzinler!$C$5:$C$504&lt;=I$5)*(İzinler!$D$5:$D$504&gt;=I$5)*ROW(İzinler!$A$5:$A$504)))),"Yıllık izin","İ"),"Ücretsiz izin","Ü"),1)))</f>
        <v/>
      </c>
      <c r="J16" s="20" t="str">
        <f aca="false">IF(OR($B16="",J$5=""),"",IF(SUMPRODUCT(MAX((İzinler!$A$5:$A$504=$B16)*(İzinler!$C$5:$C$504&lt;=J$5)*(İzinler!$D$5:$D$504&gt;=J$5)*ROW(İzinler!$A$5:$A$504)))=0,"",LEFT(SUBSTITUTE(SUBSTITUTE(INDEX(İzinler!$B$1:$B$504,SUMPRODUCT(MAX((İzinler!$A$5:$A$504=$B16)*(İzinler!$C$5:$C$504&lt;=J$5)*(İzinler!$D$5:$D$504&gt;=J$5)*ROW(İzinler!$A$5:$A$504)))),"Yıllık izin","İ"),"Ücretsiz izin","Ü"),1)))</f>
        <v/>
      </c>
      <c r="K16" s="20" t="str">
        <f aca="false">IF(OR($B16="",K$5=""),"",IF(SUMPRODUCT(MAX((İzinler!$A$5:$A$504=$B16)*(İzinler!$C$5:$C$504&lt;=K$5)*(İzinler!$D$5:$D$504&gt;=K$5)*ROW(İzinler!$A$5:$A$504)))=0,"",LEFT(SUBSTITUTE(SUBSTITUTE(INDEX(İzinler!$B$1:$B$504,SUMPRODUCT(MAX((İzinler!$A$5:$A$504=$B16)*(İzinler!$C$5:$C$504&lt;=K$5)*(İzinler!$D$5:$D$504&gt;=K$5)*ROW(İzinler!$A$5:$A$504)))),"Yıllık izin","İ"),"Ücretsiz izin","Ü"),1)))</f>
        <v/>
      </c>
      <c r="L16" s="20" t="str">
        <f aca="false">IF(OR($B16="",L$5=""),"",IF(SUMPRODUCT(MAX((İzinler!$A$5:$A$504=$B16)*(İzinler!$C$5:$C$504&lt;=L$5)*(İzinler!$D$5:$D$504&gt;=L$5)*ROW(İzinler!$A$5:$A$504)))=0,"",LEFT(SUBSTITUTE(SUBSTITUTE(INDEX(İzinler!$B$1:$B$504,SUMPRODUCT(MAX((İzinler!$A$5:$A$504=$B16)*(İzinler!$C$5:$C$504&lt;=L$5)*(İzinler!$D$5:$D$504&gt;=L$5)*ROW(İzinler!$A$5:$A$504)))),"Yıllık izin","İ"),"Ücretsiz izin","Ü"),1)))</f>
        <v/>
      </c>
      <c r="M16" s="20" t="str">
        <f aca="false">IF(OR($B16="",M$5=""),"",IF(SUMPRODUCT(MAX((İzinler!$A$5:$A$504=$B16)*(İzinler!$C$5:$C$504&lt;=M$5)*(İzinler!$D$5:$D$504&gt;=M$5)*ROW(İzinler!$A$5:$A$504)))=0,"",LEFT(SUBSTITUTE(SUBSTITUTE(INDEX(İzinler!$B$1:$B$504,SUMPRODUCT(MAX((İzinler!$A$5:$A$504=$B16)*(İzinler!$C$5:$C$504&lt;=M$5)*(İzinler!$D$5:$D$504&gt;=M$5)*ROW(İzinler!$A$5:$A$504)))),"Yıllık izin","İ"),"Ücretsiz izin","Ü"),1)))</f>
        <v/>
      </c>
      <c r="N16" s="20" t="str">
        <f aca="false">IF(OR($B16="",N$5=""),"",IF(SUMPRODUCT(MAX((İzinler!$A$5:$A$504=$B16)*(İzinler!$C$5:$C$504&lt;=N$5)*(İzinler!$D$5:$D$504&gt;=N$5)*ROW(İzinler!$A$5:$A$504)))=0,"",LEFT(SUBSTITUTE(SUBSTITUTE(INDEX(İzinler!$B$1:$B$504,SUMPRODUCT(MAX((İzinler!$A$5:$A$504=$B16)*(İzinler!$C$5:$C$504&lt;=N$5)*(İzinler!$D$5:$D$504&gt;=N$5)*ROW(İzinler!$A$5:$A$504)))),"Yıllık izin","İ"),"Ücretsiz izin","Ü"),1)))</f>
        <v/>
      </c>
      <c r="O16" s="20" t="str">
        <f aca="false">IF(OR($B16="",O$5=""),"",IF(SUMPRODUCT(MAX((İzinler!$A$5:$A$504=$B16)*(İzinler!$C$5:$C$504&lt;=O$5)*(İzinler!$D$5:$D$504&gt;=O$5)*ROW(İzinler!$A$5:$A$504)))=0,"",LEFT(SUBSTITUTE(SUBSTITUTE(INDEX(İzinler!$B$1:$B$504,SUMPRODUCT(MAX((İzinler!$A$5:$A$504=$B16)*(İzinler!$C$5:$C$504&lt;=O$5)*(İzinler!$D$5:$D$504&gt;=O$5)*ROW(İzinler!$A$5:$A$504)))),"Yıllık izin","İ"),"Ücretsiz izin","Ü"),1)))</f>
        <v/>
      </c>
      <c r="P16" s="20" t="str">
        <f aca="false">IF(OR($B16="",P$5=""),"",IF(SUMPRODUCT(MAX((İzinler!$A$5:$A$504=$B16)*(İzinler!$C$5:$C$504&lt;=P$5)*(İzinler!$D$5:$D$504&gt;=P$5)*ROW(İzinler!$A$5:$A$504)))=0,"",LEFT(SUBSTITUTE(SUBSTITUTE(INDEX(İzinler!$B$1:$B$504,SUMPRODUCT(MAX((İzinler!$A$5:$A$504=$B16)*(İzinler!$C$5:$C$504&lt;=P$5)*(İzinler!$D$5:$D$504&gt;=P$5)*ROW(İzinler!$A$5:$A$504)))),"Yıllık izin","İ"),"Ücretsiz izin","Ü"),1)))</f>
        <v/>
      </c>
      <c r="Q16" s="20" t="str">
        <f aca="false">IF(OR($B16="",Q$5=""),"",IF(SUMPRODUCT(MAX((İzinler!$A$5:$A$504=$B16)*(İzinler!$C$5:$C$504&lt;=Q$5)*(İzinler!$D$5:$D$504&gt;=Q$5)*ROW(İzinler!$A$5:$A$504)))=0,"",LEFT(SUBSTITUTE(SUBSTITUTE(INDEX(İzinler!$B$1:$B$504,SUMPRODUCT(MAX((İzinler!$A$5:$A$504=$B16)*(İzinler!$C$5:$C$504&lt;=Q$5)*(İzinler!$D$5:$D$504&gt;=Q$5)*ROW(İzinler!$A$5:$A$504)))),"Yıllık izin","İ"),"Ücretsiz izin","Ü"),1)))</f>
        <v/>
      </c>
      <c r="R16" s="20" t="str">
        <f aca="false">IF(OR($B16="",R$5=""),"",IF(SUMPRODUCT(MAX((İzinler!$A$5:$A$504=$B16)*(İzinler!$C$5:$C$504&lt;=R$5)*(İzinler!$D$5:$D$504&gt;=R$5)*ROW(İzinler!$A$5:$A$504)))=0,"",LEFT(SUBSTITUTE(SUBSTITUTE(INDEX(İzinler!$B$1:$B$504,SUMPRODUCT(MAX((İzinler!$A$5:$A$504=$B16)*(İzinler!$C$5:$C$504&lt;=R$5)*(İzinler!$D$5:$D$504&gt;=R$5)*ROW(İzinler!$A$5:$A$504)))),"Yıllık izin","İ"),"Ücretsiz izin","Ü"),1)))</f>
        <v/>
      </c>
      <c r="S16" s="20" t="str">
        <f aca="false">IF(OR($B16="",S$5=""),"",IF(SUMPRODUCT(MAX((İzinler!$A$5:$A$504=$B16)*(İzinler!$C$5:$C$504&lt;=S$5)*(İzinler!$D$5:$D$504&gt;=S$5)*ROW(İzinler!$A$5:$A$504)))=0,"",LEFT(SUBSTITUTE(SUBSTITUTE(INDEX(İzinler!$B$1:$B$504,SUMPRODUCT(MAX((İzinler!$A$5:$A$504=$B16)*(İzinler!$C$5:$C$504&lt;=S$5)*(İzinler!$D$5:$D$504&gt;=S$5)*ROW(İzinler!$A$5:$A$504)))),"Yıllık izin","İ"),"Ücretsiz izin","Ü"),1)))</f>
        <v/>
      </c>
      <c r="T16" s="20" t="str">
        <f aca="false">IF(OR($B16="",T$5=""),"",IF(SUMPRODUCT(MAX((İzinler!$A$5:$A$504=$B16)*(İzinler!$C$5:$C$504&lt;=T$5)*(İzinler!$D$5:$D$504&gt;=T$5)*ROW(İzinler!$A$5:$A$504)))=0,"",LEFT(SUBSTITUTE(SUBSTITUTE(INDEX(İzinler!$B$1:$B$504,SUMPRODUCT(MAX((İzinler!$A$5:$A$504=$B16)*(İzinler!$C$5:$C$504&lt;=T$5)*(İzinler!$D$5:$D$504&gt;=T$5)*ROW(İzinler!$A$5:$A$504)))),"Yıllık izin","İ"),"Ücretsiz izin","Ü"),1)))</f>
        <v/>
      </c>
      <c r="U16" s="20" t="str">
        <f aca="false">IF(OR($B16="",U$5=""),"",IF(SUMPRODUCT(MAX((İzinler!$A$5:$A$504=$B16)*(İzinler!$C$5:$C$504&lt;=U$5)*(İzinler!$D$5:$D$504&gt;=U$5)*ROW(İzinler!$A$5:$A$504)))=0,"",LEFT(SUBSTITUTE(SUBSTITUTE(INDEX(İzinler!$B$1:$B$504,SUMPRODUCT(MAX((İzinler!$A$5:$A$504=$B16)*(İzinler!$C$5:$C$504&lt;=U$5)*(İzinler!$D$5:$D$504&gt;=U$5)*ROW(İzinler!$A$5:$A$504)))),"Yıllık izin","İ"),"Ücretsiz izin","Ü"),1)))</f>
        <v/>
      </c>
      <c r="V16" s="20" t="str">
        <f aca="false">IF(OR($B16="",V$5=""),"",IF(SUMPRODUCT(MAX((İzinler!$A$5:$A$504=$B16)*(İzinler!$C$5:$C$504&lt;=V$5)*(İzinler!$D$5:$D$504&gt;=V$5)*ROW(İzinler!$A$5:$A$504)))=0,"",LEFT(SUBSTITUTE(SUBSTITUTE(INDEX(İzinler!$B$1:$B$504,SUMPRODUCT(MAX((İzinler!$A$5:$A$504=$B16)*(İzinler!$C$5:$C$504&lt;=V$5)*(İzinler!$D$5:$D$504&gt;=V$5)*ROW(İzinler!$A$5:$A$504)))),"Yıllık izin","İ"),"Ücretsiz izin","Ü"),1)))</f>
        <v/>
      </c>
      <c r="W16" s="20" t="str">
        <f aca="false">IF(OR($B16="",W$5=""),"",IF(SUMPRODUCT(MAX((İzinler!$A$5:$A$504=$B16)*(İzinler!$C$5:$C$504&lt;=W$5)*(İzinler!$D$5:$D$504&gt;=W$5)*ROW(İzinler!$A$5:$A$504)))=0,"",LEFT(SUBSTITUTE(SUBSTITUTE(INDEX(İzinler!$B$1:$B$504,SUMPRODUCT(MAX((İzinler!$A$5:$A$504=$B16)*(İzinler!$C$5:$C$504&lt;=W$5)*(İzinler!$D$5:$D$504&gt;=W$5)*ROW(İzinler!$A$5:$A$504)))),"Yıllık izin","İ"),"Ücretsiz izin","Ü"),1)))</f>
        <v/>
      </c>
      <c r="X16" s="20" t="str">
        <f aca="false">IF(OR($B16="",X$5=""),"",IF(SUMPRODUCT(MAX((İzinler!$A$5:$A$504=$B16)*(İzinler!$C$5:$C$504&lt;=X$5)*(İzinler!$D$5:$D$504&gt;=X$5)*ROW(İzinler!$A$5:$A$504)))=0,"",LEFT(SUBSTITUTE(SUBSTITUTE(INDEX(İzinler!$B$1:$B$504,SUMPRODUCT(MAX((İzinler!$A$5:$A$504=$B16)*(İzinler!$C$5:$C$504&lt;=X$5)*(İzinler!$D$5:$D$504&gt;=X$5)*ROW(İzinler!$A$5:$A$504)))),"Yıllık izin","İ"),"Ücretsiz izin","Ü"),1)))</f>
        <v/>
      </c>
      <c r="Y16" s="20" t="str">
        <f aca="false">IF(OR($B16="",Y$5=""),"",IF(SUMPRODUCT(MAX((İzinler!$A$5:$A$504=$B16)*(İzinler!$C$5:$C$504&lt;=Y$5)*(İzinler!$D$5:$D$504&gt;=Y$5)*ROW(İzinler!$A$5:$A$504)))=0,"",LEFT(SUBSTITUTE(SUBSTITUTE(INDEX(İzinler!$B$1:$B$504,SUMPRODUCT(MAX((İzinler!$A$5:$A$504=$B16)*(İzinler!$C$5:$C$504&lt;=Y$5)*(İzinler!$D$5:$D$504&gt;=Y$5)*ROW(İzinler!$A$5:$A$504)))),"Yıllık izin","İ"),"Ücretsiz izin","Ü"),1)))</f>
        <v/>
      </c>
      <c r="Z16" s="20" t="str">
        <f aca="false">IF(OR($B16="",Z$5=""),"",IF(SUMPRODUCT(MAX((İzinler!$A$5:$A$504=$B16)*(İzinler!$C$5:$C$504&lt;=Z$5)*(İzinler!$D$5:$D$504&gt;=Z$5)*ROW(İzinler!$A$5:$A$504)))=0,"",LEFT(SUBSTITUTE(SUBSTITUTE(INDEX(İzinler!$B$1:$B$504,SUMPRODUCT(MAX((İzinler!$A$5:$A$504=$B16)*(İzinler!$C$5:$C$504&lt;=Z$5)*(İzinler!$D$5:$D$504&gt;=Z$5)*ROW(İzinler!$A$5:$A$504)))),"Yıllık izin","İ"),"Ücretsiz izin","Ü"),1)))</f>
        <v/>
      </c>
      <c r="AA16" s="20" t="str">
        <f aca="false">IF(OR($B16="",AA$5=""),"",IF(SUMPRODUCT(MAX((İzinler!$A$5:$A$504=$B16)*(İzinler!$C$5:$C$504&lt;=AA$5)*(İzinler!$D$5:$D$504&gt;=AA$5)*ROW(İzinler!$A$5:$A$504)))=0,"",LEFT(SUBSTITUTE(SUBSTITUTE(INDEX(İzinler!$B$1:$B$504,SUMPRODUCT(MAX((İzinler!$A$5:$A$504=$B16)*(İzinler!$C$5:$C$504&lt;=AA$5)*(İzinler!$D$5:$D$504&gt;=AA$5)*ROW(İzinler!$A$5:$A$504)))),"Yıllık izin","İ"),"Ücretsiz izin","Ü"),1)))</f>
        <v/>
      </c>
      <c r="AB16" s="20" t="str">
        <f aca="false">IF(OR($B16="",AB$5=""),"",IF(SUMPRODUCT(MAX((İzinler!$A$5:$A$504=$B16)*(İzinler!$C$5:$C$504&lt;=AB$5)*(İzinler!$D$5:$D$504&gt;=AB$5)*ROW(İzinler!$A$5:$A$504)))=0,"",LEFT(SUBSTITUTE(SUBSTITUTE(INDEX(İzinler!$B$1:$B$504,SUMPRODUCT(MAX((İzinler!$A$5:$A$504=$B16)*(İzinler!$C$5:$C$504&lt;=AB$5)*(İzinler!$D$5:$D$504&gt;=AB$5)*ROW(İzinler!$A$5:$A$504)))),"Yıllık izin","İ"),"Ücretsiz izin","Ü"),1)))</f>
        <v/>
      </c>
      <c r="AC16" s="20" t="str">
        <f aca="false">IF(OR($B16="",AC$5=""),"",IF(SUMPRODUCT(MAX((İzinler!$A$5:$A$504=$B16)*(İzinler!$C$5:$C$504&lt;=AC$5)*(İzinler!$D$5:$D$504&gt;=AC$5)*ROW(İzinler!$A$5:$A$504)))=0,"",LEFT(SUBSTITUTE(SUBSTITUTE(INDEX(İzinler!$B$1:$B$504,SUMPRODUCT(MAX((İzinler!$A$5:$A$504=$B16)*(İzinler!$C$5:$C$504&lt;=AC$5)*(İzinler!$D$5:$D$504&gt;=AC$5)*ROW(İzinler!$A$5:$A$504)))),"Yıllık izin","İ"),"Ücretsiz izin","Ü"),1)))</f>
        <v/>
      </c>
      <c r="AD16" s="20" t="str">
        <f aca="false">IF(OR($B16="",AD$5=""),"",IF(SUMPRODUCT(MAX((İzinler!$A$5:$A$504=$B16)*(İzinler!$C$5:$C$504&lt;=AD$5)*(İzinler!$D$5:$D$504&gt;=AD$5)*ROW(İzinler!$A$5:$A$504)))=0,"",LEFT(SUBSTITUTE(SUBSTITUTE(INDEX(İzinler!$B$1:$B$504,SUMPRODUCT(MAX((İzinler!$A$5:$A$504=$B16)*(İzinler!$C$5:$C$504&lt;=AD$5)*(İzinler!$D$5:$D$504&gt;=AD$5)*ROW(İzinler!$A$5:$A$504)))),"Yıllık izin","İ"),"Ücretsiz izin","Ü"),1)))</f>
        <v/>
      </c>
      <c r="AE16" s="20" t="str">
        <f aca="false">IF(OR($B16="",AE$5=""),"",IF(SUMPRODUCT(MAX((İzinler!$A$5:$A$504=$B16)*(İzinler!$C$5:$C$504&lt;=AE$5)*(İzinler!$D$5:$D$504&gt;=AE$5)*ROW(İzinler!$A$5:$A$504)))=0,"",LEFT(SUBSTITUTE(SUBSTITUTE(INDEX(İzinler!$B$1:$B$504,SUMPRODUCT(MAX((İzinler!$A$5:$A$504=$B16)*(İzinler!$C$5:$C$504&lt;=AE$5)*(İzinler!$D$5:$D$504&gt;=AE$5)*ROW(İzinler!$A$5:$A$504)))),"Yıllık izin","İ"),"Ücretsiz izin","Ü"),1)))</f>
        <v/>
      </c>
      <c r="AF16" s="20" t="str">
        <f aca="false">IF(OR($B16="",AF$5=""),"",IF(SUMPRODUCT(MAX((İzinler!$A$5:$A$504=$B16)*(İzinler!$C$5:$C$504&lt;=AF$5)*(İzinler!$D$5:$D$504&gt;=AF$5)*ROW(İzinler!$A$5:$A$504)))=0,"",LEFT(SUBSTITUTE(SUBSTITUTE(INDEX(İzinler!$B$1:$B$504,SUMPRODUCT(MAX((İzinler!$A$5:$A$504=$B16)*(İzinler!$C$5:$C$504&lt;=AF$5)*(İzinler!$D$5:$D$504&gt;=AF$5)*ROW(İzinler!$A$5:$A$504)))),"Yıllık izin","İ"),"Ücretsiz izin","Ü"),1)))</f>
        <v/>
      </c>
      <c r="AG16" s="20" t="str">
        <f aca="false">IF(OR($B16="",AG$5=""),"",IF(SUMPRODUCT(MAX((İzinler!$A$5:$A$504=$B16)*(İzinler!$C$5:$C$504&lt;=AG$5)*(İzinler!$D$5:$D$504&gt;=AG$5)*ROW(İzinler!$A$5:$A$504)))=0,"",LEFT(SUBSTITUTE(SUBSTITUTE(INDEX(İzinler!$B$1:$B$504,SUMPRODUCT(MAX((İzinler!$A$5:$A$504=$B16)*(İzinler!$C$5:$C$504&lt;=AG$5)*(İzinler!$D$5:$D$504&gt;=AG$5)*ROW(İzinler!$A$5:$A$504)))),"Yıllık izin","İ"),"Ücretsiz izin","Ü"),1)))</f>
        <v/>
      </c>
      <c r="AH16" s="21" t="str">
        <f aca="false">IF(B16="","",COUNTIF(C16:AG16,"?"))</f>
        <v/>
      </c>
    </row>
    <row r="17" customFormat="false" ht="15" hidden="false" customHeight="false" outlineLevel="0" collapsed="false">
      <c r="B17" s="16" t="str">
        <f aca="false">IF(Personel!A16="","",Personel!A16)</f>
        <v/>
      </c>
      <c r="C17" s="20" t="str">
        <f aca="false">IF(OR($B17="",C$5=""),"",IF(SUMPRODUCT(MAX((İzinler!$A$5:$A$504=$B17)*(İzinler!$C$5:$C$504&lt;=C$5)*(İzinler!$D$5:$D$504&gt;=C$5)*ROW(İzinler!$A$5:$A$504)))=0,"",LEFT(SUBSTITUTE(SUBSTITUTE(INDEX(İzinler!$B$1:$B$504,SUMPRODUCT(MAX((İzinler!$A$5:$A$504=$B17)*(İzinler!$C$5:$C$504&lt;=C$5)*(İzinler!$D$5:$D$504&gt;=C$5)*ROW(İzinler!$A$5:$A$504)))),"Yıllık izin","İ"),"Ücretsiz izin","Ü"),1)))</f>
        <v/>
      </c>
      <c r="D17" s="20" t="str">
        <f aca="false">IF(OR($B17="",D$5=""),"",IF(SUMPRODUCT(MAX((İzinler!$A$5:$A$504=$B17)*(İzinler!$C$5:$C$504&lt;=D$5)*(İzinler!$D$5:$D$504&gt;=D$5)*ROW(İzinler!$A$5:$A$504)))=0,"",LEFT(SUBSTITUTE(SUBSTITUTE(INDEX(İzinler!$B$1:$B$504,SUMPRODUCT(MAX((İzinler!$A$5:$A$504=$B17)*(İzinler!$C$5:$C$504&lt;=D$5)*(İzinler!$D$5:$D$504&gt;=D$5)*ROW(İzinler!$A$5:$A$504)))),"Yıllık izin","İ"),"Ücretsiz izin","Ü"),1)))</f>
        <v/>
      </c>
      <c r="E17" s="20" t="str">
        <f aca="false">IF(OR($B17="",E$5=""),"",IF(SUMPRODUCT(MAX((İzinler!$A$5:$A$504=$B17)*(İzinler!$C$5:$C$504&lt;=E$5)*(İzinler!$D$5:$D$504&gt;=E$5)*ROW(İzinler!$A$5:$A$504)))=0,"",LEFT(SUBSTITUTE(SUBSTITUTE(INDEX(İzinler!$B$1:$B$504,SUMPRODUCT(MAX((İzinler!$A$5:$A$504=$B17)*(İzinler!$C$5:$C$504&lt;=E$5)*(İzinler!$D$5:$D$504&gt;=E$5)*ROW(İzinler!$A$5:$A$504)))),"Yıllık izin","İ"),"Ücretsiz izin","Ü"),1)))</f>
        <v/>
      </c>
      <c r="F17" s="20" t="str">
        <f aca="false">IF(OR($B17="",F$5=""),"",IF(SUMPRODUCT(MAX((İzinler!$A$5:$A$504=$B17)*(İzinler!$C$5:$C$504&lt;=F$5)*(İzinler!$D$5:$D$504&gt;=F$5)*ROW(İzinler!$A$5:$A$504)))=0,"",LEFT(SUBSTITUTE(SUBSTITUTE(INDEX(İzinler!$B$1:$B$504,SUMPRODUCT(MAX((İzinler!$A$5:$A$504=$B17)*(İzinler!$C$5:$C$504&lt;=F$5)*(İzinler!$D$5:$D$504&gt;=F$5)*ROW(İzinler!$A$5:$A$504)))),"Yıllık izin","İ"),"Ücretsiz izin","Ü"),1)))</f>
        <v/>
      </c>
      <c r="G17" s="20" t="str">
        <f aca="false">IF(OR($B17="",G$5=""),"",IF(SUMPRODUCT(MAX((İzinler!$A$5:$A$504=$B17)*(İzinler!$C$5:$C$504&lt;=G$5)*(İzinler!$D$5:$D$504&gt;=G$5)*ROW(İzinler!$A$5:$A$504)))=0,"",LEFT(SUBSTITUTE(SUBSTITUTE(INDEX(İzinler!$B$1:$B$504,SUMPRODUCT(MAX((İzinler!$A$5:$A$504=$B17)*(İzinler!$C$5:$C$504&lt;=G$5)*(İzinler!$D$5:$D$504&gt;=G$5)*ROW(İzinler!$A$5:$A$504)))),"Yıllık izin","İ"),"Ücretsiz izin","Ü"),1)))</f>
        <v/>
      </c>
      <c r="H17" s="20" t="str">
        <f aca="false">IF(OR($B17="",H$5=""),"",IF(SUMPRODUCT(MAX((İzinler!$A$5:$A$504=$B17)*(İzinler!$C$5:$C$504&lt;=H$5)*(İzinler!$D$5:$D$504&gt;=H$5)*ROW(İzinler!$A$5:$A$504)))=0,"",LEFT(SUBSTITUTE(SUBSTITUTE(INDEX(İzinler!$B$1:$B$504,SUMPRODUCT(MAX((İzinler!$A$5:$A$504=$B17)*(İzinler!$C$5:$C$504&lt;=H$5)*(İzinler!$D$5:$D$504&gt;=H$5)*ROW(İzinler!$A$5:$A$504)))),"Yıllık izin","İ"),"Ücretsiz izin","Ü"),1)))</f>
        <v/>
      </c>
      <c r="I17" s="20" t="str">
        <f aca="false">IF(OR($B17="",I$5=""),"",IF(SUMPRODUCT(MAX((İzinler!$A$5:$A$504=$B17)*(İzinler!$C$5:$C$504&lt;=I$5)*(İzinler!$D$5:$D$504&gt;=I$5)*ROW(İzinler!$A$5:$A$504)))=0,"",LEFT(SUBSTITUTE(SUBSTITUTE(INDEX(İzinler!$B$1:$B$504,SUMPRODUCT(MAX((İzinler!$A$5:$A$504=$B17)*(İzinler!$C$5:$C$504&lt;=I$5)*(İzinler!$D$5:$D$504&gt;=I$5)*ROW(İzinler!$A$5:$A$504)))),"Yıllık izin","İ"),"Ücretsiz izin","Ü"),1)))</f>
        <v/>
      </c>
      <c r="J17" s="20" t="str">
        <f aca="false">IF(OR($B17="",J$5=""),"",IF(SUMPRODUCT(MAX((İzinler!$A$5:$A$504=$B17)*(İzinler!$C$5:$C$504&lt;=J$5)*(İzinler!$D$5:$D$504&gt;=J$5)*ROW(İzinler!$A$5:$A$504)))=0,"",LEFT(SUBSTITUTE(SUBSTITUTE(INDEX(İzinler!$B$1:$B$504,SUMPRODUCT(MAX((İzinler!$A$5:$A$504=$B17)*(İzinler!$C$5:$C$504&lt;=J$5)*(İzinler!$D$5:$D$504&gt;=J$5)*ROW(İzinler!$A$5:$A$504)))),"Yıllık izin","İ"),"Ücretsiz izin","Ü"),1)))</f>
        <v/>
      </c>
      <c r="K17" s="20" t="str">
        <f aca="false">IF(OR($B17="",K$5=""),"",IF(SUMPRODUCT(MAX((İzinler!$A$5:$A$504=$B17)*(İzinler!$C$5:$C$504&lt;=K$5)*(İzinler!$D$5:$D$504&gt;=K$5)*ROW(İzinler!$A$5:$A$504)))=0,"",LEFT(SUBSTITUTE(SUBSTITUTE(INDEX(İzinler!$B$1:$B$504,SUMPRODUCT(MAX((İzinler!$A$5:$A$504=$B17)*(İzinler!$C$5:$C$504&lt;=K$5)*(İzinler!$D$5:$D$504&gt;=K$5)*ROW(İzinler!$A$5:$A$504)))),"Yıllık izin","İ"),"Ücretsiz izin","Ü"),1)))</f>
        <v/>
      </c>
      <c r="L17" s="20" t="str">
        <f aca="false">IF(OR($B17="",L$5=""),"",IF(SUMPRODUCT(MAX((İzinler!$A$5:$A$504=$B17)*(İzinler!$C$5:$C$504&lt;=L$5)*(İzinler!$D$5:$D$504&gt;=L$5)*ROW(İzinler!$A$5:$A$504)))=0,"",LEFT(SUBSTITUTE(SUBSTITUTE(INDEX(İzinler!$B$1:$B$504,SUMPRODUCT(MAX((İzinler!$A$5:$A$504=$B17)*(İzinler!$C$5:$C$504&lt;=L$5)*(İzinler!$D$5:$D$504&gt;=L$5)*ROW(İzinler!$A$5:$A$504)))),"Yıllık izin","İ"),"Ücretsiz izin","Ü"),1)))</f>
        <v/>
      </c>
      <c r="M17" s="20" t="str">
        <f aca="false">IF(OR($B17="",M$5=""),"",IF(SUMPRODUCT(MAX((İzinler!$A$5:$A$504=$B17)*(İzinler!$C$5:$C$504&lt;=M$5)*(İzinler!$D$5:$D$504&gt;=M$5)*ROW(İzinler!$A$5:$A$504)))=0,"",LEFT(SUBSTITUTE(SUBSTITUTE(INDEX(İzinler!$B$1:$B$504,SUMPRODUCT(MAX((İzinler!$A$5:$A$504=$B17)*(İzinler!$C$5:$C$504&lt;=M$5)*(İzinler!$D$5:$D$504&gt;=M$5)*ROW(İzinler!$A$5:$A$504)))),"Yıllık izin","İ"),"Ücretsiz izin","Ü"),1)))</f>
        <v/>
      </c>
      <c r="N17" s="20" t="str">
        <f aca="false">IF(OR($B17="",N$5=""),"",IF(SUMPRODUCT(MAX((İzinler!$A$5:$A$504=$B17)*(İzinler!$C$5:$C$504&lt;=N$5)*(İzinler!$D$5:$D$504&gt;=N$5)*ROW(İzinler!$A$5:$A$504)))=0,"",LEFT(SUBSTITUTE(SUBSTITUTE(INDEX(İzinler!$B$1:$B$504,SUMPRODUCT(MAX((İzinler!$A$5:$A$504=$B17)*(İzinler!$C$5:$C$504&lt;=N$5)*(İzinler!$D$5:$D$504&gt;=N$5)*ROW(İzinler!$A$5:$A$504)))),"Yıllık izin","İ"),"Ücretsiz izin","Ü"),1)))</f>
        <v/>
      </c>
      <c r="O17" s="20" t="str">
        <f aca="false">IF(OR($B17="",O$5=""),"",IF(SUMPRODUCT(MAX((İzinler!$A$5:$A$504=$B17)*(İzinler!$C$5:$C$504&lt;=O$5)*(İzinler!$D$5:$D$504&gt;=O$5)*ROW(İzinler!$A$5:$A$504)))=0,"",LEFT(SUBSTITUTE(SUBSTITUTE(INDEX(İzinler!$B$1:$B$504,SUMPRODUCT(MAX((İzinler!$A$5:$A$504=$B17)*(İzinler!$C$5:$C$504&lt;=O$5)*(İzinler!$D$5:$D$504&gt;=O$5)*ROW(İzinler!$A$5:$A$504)))),"Yıllık izin","İ"),"Ücretsiz izin","Ü"),1)))</f>
        <v/>
      </c>
      <c r="P17" s="20" t="str">
        <f aca="false">IF(OR($B17="",P$5=""),"",IF(SUMPRODUCT(MAX((İzinler!$A$5:$A$504=$B17)*(İzinler!$C$5:$C$504&lt;=P$5)*(İzinler!$D$5:$D$504&gt;=P$5)*ROW(İzinler!$A$5:$A$504)))=0,"",LEFT(SUBSTITUTE(SUBSTITUTE(INDEX(İzinler!$B$1:$B$504,SUMPRODUCT(MAX((İzinler!$A$5:$A$504=$B17)*(İzinler!$C$5:$C$504&lt;=P$5)*(İzinler!$D$5:$D$504&gt;=P$5)*ROW(İzinler!$A$5:$A$504)))),"Yıllık izin","İ"),"Ücretsiz izin","Ü"),1)))</f>
        <v/>
      </c>
      <c r="Q17" s="20" t="str">
        <f aca="false">IF(OR($B17="",Q$5=""),"",IF(SUMPRODUCT(MAX((İzinler!$A$5:$A$504=$B17)*(İzinler!$C$5:$C$504&lt;=Q$5)*(İzinler!$D$5:$D$504&gt;=Q$5)*ROW(İzinler!$A$5:$A$504)))=0,"",LEFT(SUBSTITUTE(SUBSTITUTE(INDEX(İzinler!$B$1:$B$504,SUMPRODUCT(MAX((İzinler!$A$5:$A$504=$B17)*(İzinler!$C$5:$C$504&lt;=Q$5)*(İzinler!$D$5:$D$504&gt;=Q$5)*ROW(İzinler!$A$5:$A$504)))),"Yıllık izin","İ"),"Ücretsiz izin","Ü"),1)))</f>
        <v/>
      </c>
      <c r="R17" s="20" t="str">
        <f aca="false">IF(OR($B17="",R$5=""),"",IF(SUMPRODUCT(MAX((İzinler!$A$5:$A$504=$B17)*(İzinler!$C$5:$C$504&lt;=R$5)*(İzinler!$D$5:$D$504&gt;=R$5)*ROW(İzinler!$A$5:$A$504)))=0,"",LEFT(SUBSTITUTE(SUBSTITUTE(INDEX(İzinler!$B$1:$B$504,SUMPRODUCT(MAX((İzinler!$A$5:$A$504=$B17)*(İzinler!$C$5:$C$504&lt;=R$5)*(İzinler!$D$5:$D$504&gt;=R$5)*ROW(İzinler!$A$5:$A$504)))),"Yıllık izin","İ"),"Ücretsiz izin","Ü"),1)))</f>
        <v/>
      </c>
      <c r="S17" s="20" t="str">
        <f aca="false">IF(OR($B17="",S$5=""),"",IF(SUMPRODUCT(MAX((İzinler!$A$5:$A$504=$B17)*(İzinler!$C$5:$C$504&lt;=S$5)*(İzinler!$D$5:$D$504&gt;=S$5)*ROW(İzinler!$A$5:$A$504)))=0,"",LEFT(SUBSTITUTE(SUBSTITUTE(INDEX(İzinler!$B$1:$B$504,SUMPRODUCT(MAX((İzinler!$A$5:$A$504=$B17)*(İzinler!$C$5:$C$504&lt;=S$5)*(İzinler!$D$5:$D$504&gt;=S$5)*ROW(İzinler!$A$5:$A$504)))),"Yıllık izin","İ"),"Ücretsiz izin","Ü"),1)))</f>
        <v/>
      </c>
      <c r="T17" s="20" t="str">
        <f aca="false">IF(OR($B17="",T$5=""),"",IF(SUMPRODUCT(MAX((İzinler!$A$5:$A$504=$B17)*(İzinler!$C$5:$C$504&lt;=T$5)*(İzinler!$D$5:$D$504&gt;=T$5)*ROW(İzinler!$A$5:$A$504)))=0,"",LEFT(SUBSTITUTE(SUBSTITUTE(INDEX(İzinler!$B$1:$B$504,SUMPRODUCT(MAX((İzinler!$A$5:$A$504=$B17)*(İzinler!$C$5:$C$504&lt;=T$5)*(İzinler!$D$5:$D$504&gt;=T$5)*ROW(İzinler!$A$5:$A$504)))),"Yıllık izin","İ"),"Ücretsiz izin","Ü"),1)))</f>
        <v/>
      </c>
      <c r="U17" s="20" t="str">
        <f aca="false">IF(OR($B17="",U$5=""),"",IF(SUMPRODUCT(MAX((İzinler!$A$5:$A$504=$B17)*(İzinler!$C$5:$C$504&lt;=U$5)*(İzinler!$D$5:$D$504&gt;=U$5)*ROW(İzinler!$A$5:$A$504)))=0,"",LEFT(SUBSTITUTE(SUBSTITUTE(INDEX(İzinler!$B$1:$B$504,SUMPRODUCT(MAX((İzinler!$A$5:$A$504=$B17)*(İzinler!$C$5:$C$504&lt;=U$5)*(İzinler!$D$5:$D$504&gt;=U$5)*ROW(İzinler!$A$5:$A$504)))),"Yıllık izin","İ"),"Ücretsiz izin","Ü"),1)))</f>
        <v/>
      </c>
      <c r="V17" s="20" t="str">
        <f aca="false">IF(OR($B17="",V$5=""),"",IF(SUMPRODUCT(MAX((İzinler!$A$5:$A$504=$B17)*(İzinler!$C$5:$C$504&lt;=V$5)*(İzinler!$D$5:$D$504&gt;=V$5)*ROW(İzinler!$A$5:$A$504)))=0,"",LEFT(SUBSTITUTE(SUBSTITUTE(INDEX(İzinler!$B$1:$B$504,SUMPRODUCT(MAX((İzinler!$A$5:$A$504=$B17)*(İzinler!$C$5:$C$504&lt;=V$5)*(İzinler!$D$5:$D$504&gt;=V$5)*ROW(İzinler!$A$5:$A$504)))),"Yıllık izin","İ"),"Ücretsiz izin","Ü"),1)))</f>
        <v/>
      </c>
      <c r="W17" s="20" t="str">
        <f aca="false">IF(OR($B17="",W$5=""),"",IF(SUMPRODUCT(MAX((İzinler!$A$5:$A$504=$B17)*(İzinler!$C$5:$C$504&lt;=W$5)*(İzinler!$D$5:$D$504&gt;=W$5)*ROW(İzinler!$A$5:$A$504)))=0,"",LEFT(SUBSTITUTE(SUBSTITUTE(INDEX(İzinler!$B$1:$B$504,SUMPRODUCT(MAX((İzinler!$A$5:$A$504=$B17)*(İzinler!$C$5:$C$504&lt;=W$5)*(İzinler!$D$5:$D$504&gt;=W$5)*ROW(İzinler!$A$5:$A$504)))),"Yıllık izin","İ"),"Ücretsiz izin","Ü"),1)))</f>
        <v/>
      </c>
      <c r="X17" s="20" t="str">
        <f aca="false">IF(OR($B17="",X$5=""),"",IF(SUMPRODUCT(MAX((İzinler!$A$5:$A$504=$B17)*(İzinler!$C$5:$C$504&lt;=X$5)*(İzinler!$D$5:$D$504&gt;=X$5)*ROW(İzinler!$A$5:$A$504)))=0,"",LEFT(SUBSTITUTE(SUBSTITUTE(INDEX(İzinler!$B$1:$B$504,SUMPRODUCT(MAX((İzinler!$A$5:$A$504=$B17)*(İzinler!$C$5:$C$504&lt;=X$5)*(İzinler!$D$5:$D$504&gt;=X$5)*ROW(İzinler!$A$5:$A$504)))),"Yıllık izin","İ"),"Ücretsiz izin","Ü"),1)))</f>
        <v/>
      </c>
      <c r="Y17" s="20" t="str">
        <f aca="false">IF(OR($B17="",Y$5=""),"",IF(SUMPRODUCT(MAX((İzinler!$A$5:$A$504=$B17)*(İzinler!$C$5:$C$504&lt;=Y$5)*(İzinler!$D$5:$D$504&gt;=Y$5)*ROW(İzinler!$A$5:$A$504)))=0,"",LEFT(SUBSTITUTE(SUBSTITUTE(INDEX(İzinler!$B$1:$B$504,SUMPRODUCT(MAX((İzinler!$A$5:$A$504=$B17)*(İzinler!$C$5:$C$504&lt;=Y$5)*(İzinler!$D$5:$D$504&gt;=Y$5)*ROW(İzinler!$A$5:$A$504)))),"Yıllık izin","İ"),"Ücretsiz izin","Ü"),1)))</f>
        <v/>
      </c>
      <c r="Z17" s="20" t="str">
        <f aca="false">IF(OR($B17="",Z$5=""),"",IF(SUMPRODUCT(MAX((İzinler!$A$5:$A$504=$B17)*(İzinler!$C$5:$C$504&lt;=Z$5)*(İzinler!$D$5:$D$504&gt;=Z$5)*ROW(İzinler!$A$5:$A$504)))=0,"",LEFT(SUBSTITUTE(SUBSTITUTE(INDEX(İzinler!$B$1:$B$504,SUMPRODUCT(MAX((İzinler!$A$5:$A$504=$B17)*(İzinler!$C$5:$C$504&lt;=Z$5)*(İzinler!$D$5:$D$504&gt;=Z$5)*ROW(İzinler!$A$5:$A$504)))),"Yıllık izin","İ"),"Ücretsiz izin","Ü"),1)))</f>
        <v/>
      </c>
      <c r="AA17" s="20" t="str">
        <f aca="false">IF(OR($B17="",AA$5=""),"",IF(SUMPRODUCT(MAX((İzinler!$A$5:$A$504=$B17)*(İzinler!$C$5:$C$504&lt;=AA$5)*(İzinler!$D$5:$D$504&gt;=AA$5)*ROW(İzinler!$A$5:$A$504)))=0,"",LEFT(SUBSTITUTE(SUBSTITUTE(INDEX(İzinler!$B$1:$B$504,SUMPRODUCT(MAX((İzinler!$A$5:$A$504=$B17)*(İzinler!$C$5:$C$504&lt;=AA$5)*(İzinler!$D$5:$D$504&gt;=AA$5)*ROW(İzinler!$A$5:$A$504)))),"Yıllık izin","İ"),"Ücretsiz izin","Ü"),1)))</f>
        <v/>
      </c>
      <c r="AB17" s="20" t="str">
        <f aca="false">IF(OR($B17="",AB$5=""),"",IF(SUMPRODUCT(MAX((İzinler!$A$5:$A$504=$B17)*(İzinler!$C$5:$C$504&lt;=AB$5)*(İzinler!$D$5:$D$504&gt;=AB$5)*ROW(İzinler!$A$5:$A$504)))=0,"",LEFT(SUBSTITUTE(SUBSTITUTE(INDEX(İzinler!$B$1:$B$504,SUMPRODUCT(MAX((İzinler!$A$5:$A$504=$B17)*(İzinler!$C$5:$C$504&lt;=AB$5)*(İzinler!$D$5:$D$504&gt;=AB$5)*ROW(İzinler!$A$5:$A$504)))),"Yıllık izin","İ"),"Ücretsiz izin","Ü"),1)))</f>
        <v/>
      </c>
      <c r="AC17" s="20" t="str">
        <f aca="false">IF(OR($B17="",AC$5=""),"",IF(SUMPRODUCT(MAX((İzinler!$A$5:$A$504=$B17)*(İzinler!$C$5:$C$504&lt;=AC$5)*(İzinler!$D$5:$D$504&gt;=AC$5)*ROW(İzinler!$A$5:$A$504)))=0,"",LEFT(SUBSTITUTE(SUBSTITUTE(INDEX(İzinler!$B$1:$B$504,SUMPRODUCT(MAX((İzinler!$A$5:$A$504=$B17)*(İzinler!$C$5:$C$504&lt;=AC$5)*(İzinler!$D$5:$D$504&gt;=AC$5)*ROW(İzinler!$A$5:$A$504)))),"Yıllık izin","İ"),"Ücretsiz izin","Ü"),1)))</f>
        <v/>
      </c>
      <c r="AD17" s="20" t="str">
        <f aca="false">IF(OR($B17="",AD$5=""),"",IF(SUMPRODUCT(MAX((İzinler!$A$5:$A$504=$B17)*(İzinler!$C$5:$C$504&lt;=AD$5)*(İzinler!$D$5:$D$504&gt;=AD$5)*ROW(İzinler!$A$5:$A$504)))=0,"",LEFT(SUBSTITUTE(SUBSTITUTE(INDEX(İzinler!$B$1:$B$504,SUMPRODUCT(MAX((İzinler!$A$5:$A$504=$B17)*(İzinler!$C$5:$C$504&lt;=AD$5)*(İzinler!$D$5:$D$504&gt;=AD$5)*ROW(İzinler!$A$5:$A$504)))),"Yıllık izin","İ"),"Ücretsiz izin","Ü"),1)))</f>
        <v/>
      </c>
      <c r="AE17" s="20" t="str">
        <f aca="false">IF(OR($B17="",AE$5=""),"",IF(SUMPRODUCT(MAX((İzinler!$A$5:$A$504=$B17)*(İzinler!$C$5:$C$504&lt;=AE$5)*(İzinler!$D$5:$D$504&gt;=AE$5)*ROW(İzinler!$A$5:$A$504)))=0,"",LEFT(SUBSTITUTE(SUBSTITUTE(INDEX(İzinler!$B$1:$B$504,SUMPRODUCT(MAX((İzinler!$A$5:$A$504=$B17)*(İzinler!$C$5:$C$504&lt;=AE$5)*(İzinler!$D$5:$D$504&gt;=AE$5)*ROW(İzinler!$A$5:$A$504)))),"Yıllık izin","İ"),"Ücretsiz izin","Ü"),1)))</f>
        <v/>
      </c>
      <c r="AF17" s="20" t="str">
        <f aca="false">IF(OR($B17="",AF$5=""),"",IF(SUMPRODUCT(MAX((İzinler!$A$5:$A$504=$B17)*(İzinler!$C$5:$C$504&lt;=AF$5)*(İzinler!$D$5:$D$504&gt;=AF$5)*ROW(İzinler!$A$5:$A$504)))=0,"",LEFT(SUBSTITUTE(SUBSTITUTE(INDEX(İzinler!$B$1:$B$504,SUMPRODUCT(MAX((İzinler!$A$5:$A$504=$B17)*(İzinler!$C$5:$C$504&lt;=AF$5)*(İzinler!$D$5:$D$504&gt;=AF$5)*ROW(İzinler!$A$5:$A$504)))),"Yıllık izin","İ"),"Ücretsiz izin","Ü"),1)))</f>
        <v/>
      </c>
      <c r="AG17" s="20" t="str">
        <f aca="false">IF(OR($B17="",AG$5=""),"",IF(SUMPRODUCT(MAX((İzinler!$A$5:$A$504=$B17)*(İzinler!$C$5:$C$504&lt;=AG$5)*(İzinler!$D$5:$D$504&gt;=AG$5)*ROW(İzinler!$A$5:$A$504)))=0,"",LEFT(SUBSTITUTE(SUBSTITUTE(INDEX(İzinler!$B$1:$B$504,SUMPRODUCT(MAX((İzinler!$A$5:$A$504=$B17)*(İzinler!$C$5:$C$504&lt;=AG$5)*(İzinler!$D$5:$D$504&gt;=AG$5)*ROW(İzinler!$A$5:$A$504)))),"Yıllık izin","İ"),"Ücretsiz izin","Ü"),1)))</f>
        <v/>
      </c>
      <c r="AH17" s="21" t="str">
        <f aca="false">IF(B17="","",COUNTIF(C17:AG17,"?"))</f>
        <v/>
      </c>
    </row>
    <row r="18" customFormat="false" ht="15" hidden="false" customHeight="false" outlineLevel="0" collapsed="false">
      <c r="B18" s="16" t="str">
        <f aca="false">IF(Personel!A17="","",Personel!A17)</f>
        <v/>
      </c>
      <c r="C18" s="20" t="str">
        <f aca="false">IF(OR($B18="",C$5=""),"",IF(SUMPRODUCT(MAX((İzinler!$A$5:$A$504=$B18)*(İzinler!$C$5:$C$504&lt;=C$5)*(İzinler!$D$5:$D$504&gt;=C$5)*ROW(İzinler!$A$5:$A$504)))=0,"",LEFT(SUBSTITUTE(SUBSTITUTE(INDEX(İzinler!$B$1:$B$504,SUMPRODUCT(MAX((İzinler!$A$5:$A$504=$B18)*(İzinler!$C$5:$C$504&lt;=C$5)*(İzinler!$D$5:$D$504&gt;=C$5)*ROW(İzinler!$A$5:$A$504)))),"Yıllık izin","İ"),"Ücretsiz izin","Ü"),1)))</f>
        <v/>
      </c>
      <c r="D18" s="20" t="str">
        <f aca="false">IF(OR($B18="",D$5=""),"",IF(SUMPRODUCT(MAX((İzinler!$A$5:$A$504=$B18)*(İzinler!$C$5:$C$504&lt;=D$5)*(İzinler!$D$5:$D$504&gt;=D$5)*ROW(İzinler!$A$5:$A$504)))=0,"",LEFT(SUBSTITUTE(SUBSTITUTE(INDEX(İzinler!$B$1:$B$504,SUMPRODUCT(MAX((İzinler!$A$5:$A$504=$B18)*(İzinler!$C$5:$C$504&lt;=D$5)*(İzinler!$D$5:$D$504&gt;=D$5)*ROW(İzinler!$A$5:$A$504)))),"Yıllık izin","İ"),"Ücretsiz izin","Ü"),1)))</f>
        <v/>
      </c>
      <c r="E18" s="20" t="str">
        <f aca="false">IF(OR($B18="",E$5=""),"",IF(SUMPRODUCT(MAX((İzinler!$A$5:$A$504=$B18)*(İzinler!$C$5:$C$504&lt;=E$5)*(İzinler!$D$5:$D$504&gt;=E$5)*ROW(İzinler!$A$5:$A$504)))=0,"",LEFT(SUBSTITUTE(SUBSTITUTE(INDEX(İzinler!$B$1:$B$504,SUMPRODUCT(MAX((İzinler!$A$5:$A$504=$B18)*(İzinler!$C$5:$C$504&lt;=E$5)*(İzinler!$D$5:$D$504&gt;=E$5)*ROW(İzinler!$A$5:$A$504)))),"Yıllık izin","İ"),"Ücretsiz izin","Ü"),1)))</f>
        <v/>
      </c>
      <c r="F18" s="20" t="str">
        <f aca="false">IF(OR($B18="",F$5=""),"",IF(SUMPRODUCT(MAX((İzinler!$A$5:$A$504=$B18)*(İzinler!$C$5:$C$504&lt;=F$5)*(İzinler!$D$5:$D$504&gt;=F$5)*ROW(İzinler!$A$5:$A$504)))=0,"",LEFT(SUBSTITUTE(SUBSTITUTE(INDEX(İzinler!$B$1:$B$504,SUMPRODUCT(MAX((İzinler!$A$5:$A$504=$B18)*(İzinler!$C$5:$C$504&lt;=F$5)*(İzinler!$D$5:$D$504&gt;=F$5)*ROW(İzinler!$A$5:$A$504)))),"Yıllık izin","İ"),"Ücretsiz izin","Ü"),1)))</f>
        <v/>
      </c>
      <c r="G18" s="20" t="str">
        <f aca="false">IF(OR($B18="",G$5=""),"",IF(SUMPRODUCT(MAX((İzinler!$A$5:$A$504=$B18)*(İzinler!$C$5:$C$504&lt;=G$5)*(İzinler!$D$5:$D$504&gt;=G$5)*ROW(İzinler!$A$5:$A$504)))=0,"",LEFT(SUBSTITUTE(SUBSTITUTE(INDEX(İzinler!$B$1:$B$504,SUMPRODUCT(MAX((İzinler!$A$5:$A$504=$B18)*(İzinler!$C$5:$C$504&lt;=G$5)*(İzinler!$D$5:$D$504&gt;=G$5)*ROW(İzinler!$A$5:$A$504)))),"Yıllık izin","İ"),"Ücretsiz izin","Ü"),1)))</f>
        <v/>
      </c>
      <c r="H18" s="20" t="str">
        <f aca="false">IF(OR($B18="",H$5=""),"",IF(SUMPRODUCT(MAX((İzinler!$A$5:$A$504=$B18)*(İzinler!$C$5:$C$504&lt;=H$5)*(İzinler!$D$5:$D$504&gt;=H$5)*ROW(İzinler!$A$5:$A$504)))=0,"",LEFT(SUBSTITUTE(SUBSTITUTE(INDEX(İzinler!$B$1:$B$504,SUMPRODUCT(MAX((İzinler!$A$5:$A$504=$B18)*(İzinler!$C$5:$C$504&lt;=H$5)*(İzinler!$D$5:$D$504&gt;=H$5)*ROW(İzinler!$A$5:$A$504)))),"Yıllık izin","İ"),"Ücretsiz izin","Ü"),1)))</f>
        <v/>
      </c>
      <c r="I18" s="20" t="str">
        <f aca="false">IF(OR($B18="",I$5=""),"",IF(SUMPRODUCT(MAX((İzinler!$A$5:$A$504=$B18)*(İzinler!$C$5:$C$504&lt;=I$5)*(İzinler!$D$5:$D$504&gt;=I$5)*ROW(İzinler!$A$5:$A$504)))=0,"",LEFT(SUBSTITUTE(SUBSTITUTE(INDEX(İzinler!$B$1:$B$504,SUMPRODUCT(MAX((İzinler!$A$5:$A$504=$B18)*(İzinler!$C$5:$C$504&lt;=I$5)*(İzinler!$D$5:$D$504&gt;=I$5)*ROW(İzinler!$A$5:$A$504)))),"Yıllık izin","İ"),"Ücretsiz izin","Ü"),1)))</f>
        <v/>
      </c>
      <c r="J18" s="20" t="str">
        <f aca="false">IF(OR($B18="",J$5=""),"",IF(SUMPRODUCT(MAX((İzinler!$A$5:$A$504=$B18)*(İzinler!$C$5:$C$504&lt;=J$5)*(İzinler!$D$5:$D$504&gt;=J$5)*ROW(İzinler!$A$5:$A$504)))=0,"",LEFT(SUBSTITUTE(SUBSTITUTE(INDEX(İzinler!$B$1:$B$504,SUMPRODUCT(MAX((İzinler!$A$5:$A$504=$B18)*(İzinler!$C$5:$C$504&lt;=J$5)*(İzinler!$D$5:$D$504&gt;=J$5)*ROW(İzinler!$A$5:$A$504)))),"Yıllık izin","İ"),"Ücretsiz izin","Ü"),1)))</f>
        <v/>
      </c>
      <c r="K18" s="20" t="str">
        <f aca="false">IF(OR($B18="",K$5=""),"",IF(SUMPRODUCT(MAX((İzinler!$A$5:$A$504=$B18)*(İzinler!$C$5:$C$504&lt;=K$5)*(İzinler!$D$5:$D$504&gt;=K$5)*ROW(İzinler!$A$5:$A$504)))=0,"",LEFT(SUBSTITUTE(SUBSTITUTE(INDEX(İzinler!$B$1:$B$504,SUMPRODUCT(MAX((İzinler!$A$5:$A$504=$B18)*(İzinler!$C$5:$C$504&lt;=K$5)*(İzinler!$D$5:$D$504&gt;=K$5)*ROW(İzinler!$A$5:$A$504)))),"Yıllık izin","İ"),"Ücretsiz izin","Ü"),1)))</f>
        <v/>
      </c>
      <c r="L18" s="20" t="str">
        <f aca="false">IF(OR($B18="",L$5=""),"",IF(SUMPRODUCT(MAX((İzinler!$A$5:$A$504=$B18)*(İzinler!$C$5:$C$504&lt;=L$5)*(İzinler!$D$5:$D$504&gt;=L$5)*ROW(İzinler!$A$5:$A$504)))=0,"",LEFT(SUBSTITUTE(SUBSTITUTE(INDEX(İzinler!$B$1:$B$504,SUMPRODUCT(MAX((İzinler!$A$5:$A$504=$B18)*(İzinler!$C$5:$C$504&lt;=L$5)*(İzinler!$D$5:$D$504&gt;=L$5)*ROW(İzinler!$A$5:$A$504)))),"Yıllık izin","İ"),"Ücretsiz izin","Ü"),1)))</f>
        <v/>
      </c>
      <c r="M18" s="20" t="str">
        <f aca="false">IF(OR($B18="",M$5=""),"",IF(SUMPRODUCT(MAX((İzinler!$A$5:$A$504=$B18)*(İzinler!$C$5:$C$504&lt;=M$5)*(İzinler!$D$5:$D$504&gt;=M$5)*ROW(İzinler!$A$5:$A$504)))=0,"",LEFT(SUBSTITUTE(SUBSTITUTE(INDEX(İzinler!$B$1:$B$504,SUMPRODUCT(MAX((İzinler!$A$5:$A$504=$B18)*(İzinler!$C$5:$C$504&lt;=M$5)*(İzinler!$D$5:$D$504&gt;=M$5)*ROW(İzinler!$A$5:$A$504)))),"Yıllık izin","İ"),"Ücretsiz izin","Ü"),1)))</f>
        <v/>
      </c>
      <c r="N18" s="20" t="str">
        <f aca="false">IF(OR($B18="",N$5=""),"",IF(SUMPRODUCT(MAX((İzinler!$A$5:$A$504=$B18)*(İzinler!$C$5:$C$504&lt;=N$5)*(İzinler!$D$5:$D$504&gt;=N$5)*ROW(İzinler!$A$5:$A$504)))=0,"",LEFT(SUBSTITUTE(SUBSTITUTE(INDEX(İzinler!$B$1:$B$504,SUMPRODUCT(MAX((İzinler!$A$5:$A$504=$B18)*(İzinler!$C$5:$C$504&lt;=N$5)*(İzinler!$D$5:$D$504&gt;=N$5)*ROW(İzinler!$A$5:$A$504)))),"Yıllık izin","İ"),"Ücretsiz izin","Ü"),1)))</f>
        <v/>
      </c>
      <c r="O18" s="20" t="str">
        <f aca="false">IF(OR($B18="",O$5=""),"",IF(SUMPRODUCT(MAX((İzinler!$A$5:$A$504=$B18)*(İzinler!$C$5:$C$504&lt;=O$5)*(İzinler!$D$5:$D$504&gt;=O$5)*ROW(İzinler!$A$5:$A$504)))=0,"",LEFT(SUBSTITUTE(SUBSTITUTE(INDEX(İzinler!$B$1:$B$504,SUMPRODUCT(MAX((İzinler!$A$5:$A$504=$B18)*(İzinler!$C$5:$C$504&lt;=O$5)*(İzinler!$D$5:$D$504&gt;=O$5)*ROW(İzinler!$A$5:$A$504)))),"Yıllık izin","İ"),"Ücretsiz izin","Ü"),1)))</f>
        <v/>
      </c>
      <c r="P18" s="20" t="str">
        <f aca="false">IF(OR($B18="",P$5=""),"",IF(SUMPRODUCT(MAX((İzinler!$A$5:$A$504=$B18)*(İzinler!$C$5:$C$504&lt;=P$5)*(İzinler!$D$5:$D$504&gt;=P$5)*ROW(İzinler!$A$5:$A$504)))=0,"",LEFT(SUBSTITUTE(SUBSTITUTE(INDEX(İzinler!$B$1:$B$504,SUMPRODUCT(MAX((İzinler!$A$5:$A$504=$B18)*(İzinler!$C$5:$C$504&lt;=P$5)*(İzinler!$D$5:$D$504&gt;=P$5)*ROW(İzinler!$A$5:$A$504)))),"Yıllık izin","İ"),"Ücretsiz izin","Ü"),1)))</f>
        <v/>
      </c>
      <c r="Q18" s="20" t="str">
        <f aca="false">IF(OR($B18="",Q$5=""),"",IF(SUMPRODUCT(MAX((İzinler!$A$5:$A$504=$B18)*(İzinler!$C$5:$C$504&lt;=Q$5)*(İzinler!$D$5:$D$504&gt;=Q$5)*ROW(İzinler!$A$5:$A$504)))=0,"",LEFT(SUBSTITUTE(SUBSTITUTE(INDEX(İzinler!$B$1:$B$504,SUMPRODUCT(MAX((İzinler!$A$5:$A$504=$B18)*(İzinler!$C$5:$C$504&lt;=Q$5)*(İzinler!$D$5:$D$504&gt;=Q$5)*ROW(İzinler!$A$5:$A$504)))),"Yıllık izin","İ"),"Ücretsiz izin","Ü"),1)))</f>
        <v/>
      </c>
      <c r="R18" s="20" t="str">
        <f aca="false">IF(OR($B18="",R$5=""),"",IF(SUMPRODUCT(MAX((İzinler!$A$5:$A$504=$B18)*(İzinler!$C$5:$C$504&lt;=R$5)*(İzinler!$D$5:$D$504&gt;=R$5)*ROW(İzinler!$A$5:$A$504)))=0,"",LEFT(SUBSTITUTE(SUBSTITUTE(INDEX(İzinler!$B$1:$B$504,SUMPRODUCT(MAX((İzinler!$A$5:$A$504=$B18)*(İzinler!$C$5:$C$504&lt;=R$5)*(İzinler!$D$5:$D$504&gt;=R$5)*ROW(İzinler!$A$5:$A$504)))),"Yıllık izin","İ"),"Ücretsiz izin","Ü"),1)))</f>
        <v/>
      </c>
      <c r="S18" s="20" t="str">
        <f aca="false">IF(OR($B18="",S$5=""),"",IF(SUMPRODUCT(MAX((İzinler!$A$5:$A$504=$B18)*(İzinler!$C$5:$C$504&lt;=S$5)*(İzinler!$D$5:$D$504&gt;=S$5)*ROW(İzinler!$A$5:$A$504)))=0,"",LEFT(SUBSTITUTE(SUBSTITUTE(INDEX(İzinler!$B$1:$B$504,SUMPRODUCT(MAX((İzinler!$A$5:$A$504=$B18)*(İzinler!$C$5:$C$504&lt;=S$5)*(İzinler!$D$5:$D$504&gt;=S$5)*ROW(İzinler!$A$5:$A$504)))),"Yıllık izin","İ"),"Ücretsiz izin","Ü"),1)))</f>
        <v/>
      </c>
      <c r="T18" s="20" t="str">
        <f aca="false">IF(OR($B18="",T$5=""),"",IF(SUMPRODUCT(MAX((İzinler!$A$5:$A$504=$B18)*(İzinler!$C$5:$C$504&lt;=T$5)*(İzinler!$D$5:$D$504&gt;=T$5)*ROW(İzinler!$A$5:$A$504)))=0,"",LEFT(SUBSTITUTE(SUBSTITUTE(INDEX(İzinler!$B$1:$B$504,SUMPRODUCT(MAX((İzinler!$A$5:$A$504=$B18)*(İzinler!$C$5:$C$504&lt;=T$5)*(İzinler!$D$5:$D$504&gt;=T$5)*ROW(İzinler!$A$5:$A$504)))),"Yıllık izin","İ"),"Ücretsiz izin","Ü"),1)))</f>
        <v/>
      </c>
      <c r="U18" s="20" t="str">
        <f aca="false">IF(OR($B18="",U$5=""),"",IF(SUMPRODUCT(MAX((İzinler!$A$5:$A$504=$B18)*(İzinler!$C$5:$C$504&lt;=U$5)*(İzinler!$D$5:$D$504&gt;=U$5)*ROW(İzinler!$A$5:$A$504)))=0,"",LEFT(SUBSTITUTE(SUBSTITUTE(INDEX(İzinler!$B$1:$B$504,SUMPRODUCT(MAX((İzinler!$A$5:$A$504=$B18)*(İzinler!$C$5:$C$504&lt;=U$5)*(İzinler!$D$5:$D$504&gt;=U$5)*ROW(İzinler!$A$5:$A$504)))),"Yıllık izin","İ"),"Ücretsiz izin","Ü"),1)))</f>
        <v/>
      </c>
      <c r="V18" s="20" t="str">
        <f aca="false">IF(OR($B18="",V$5=""),"",IF(SUMPRODUCT(MAX((İzinler!$A$5:$A$504=$B18)*(İzinler!$C$5:$C$504&lt;=V$5)*(İzinler!$D$5:$D$504&gt;=V$5)*ROW(İzinler!$A$5:$A$504)))=0,"",LEFT(SUBSTITUTE(SUBSTITUTE(INDEX(İzinler!$B$1:$B$504,SUMPRODUCT(MAX((İzinler!$A$5:$A$504=$B18)*(İzinler!$C$5:$C$504&lt;=V$5)*(İzinler!$D$5:$D$504&gt;=V$5)*ROW(İzinler!$A$5:$A$504)))),"Yıllık izin","İ"),"Ücretsiz izin","Ü"),1)))</f>
        <v/>
      </c>
      <c r="W18" s="20" t="str">
        <f aca="false">IF(OR($B18="",W$5=""),"",IF(SUMPRODUCT(MAX((İzinler!$A$5:$A$504=$B18)*(İzinler!$C$5:$C$504&lt;=W$5)*(İzinler!$D$5:$D$504&gt;=W$5)*ROW(İzinler!$A$5:$A$504)))=0,"",LEFT(SUBSTITUTE(SUBSTITUTE(INDEX(İzinler!$B$1:$B$504,SUMPRODUCT(MAX((İzinler!$A$5:$A$504=$B18)*(İzinler!$C$5:$C$504&lt;=W$5)*(İzinler!$D$5:$D$504&gt;=W$5)*ROW(İzinler!$A$5:$A$504)))),"Yıllık izin","İ"),"Ücretsiz izin","Ü"),1)))</f>
        <v/>
      </c>
      <c r="X18" s="20" t="str">
        <f aca="false">IF(OR($B18="",X$5=""),"",IF(SUMPRODUCT(MAX((İzinler!$A$5:$A$504=$B18)*(İzinler!$C$5:$C$504&lt;=X$5)*(İzinler!$D$5:$D$504&gt;=X$5)*ROW(İzinler!$A$5:$A$504)))=0,"",LEFT(SUBSTITUTE(SUBSTITUTE(INDEX(İzinler!$B$1:$B$504,SUMPRODUCT(MAX((İzinler!$A$5:$A$504=$B18)*(İzinler!$C$5:$C$504&lt;=X$5)*(İzinler!$D$5:$D$504&gt;=X$5)*ROW(İzinler!$A$5:$A$504)))),"Yıllık izin","İ"),"Ücretsiz izin","Ü"),1)))</f>
        <v/>
      </c>
      <c r="Y18" s="20" t="str">
        <f aca="false">IF(OR($B18="",Y$5=""),"",IF(SUMPRODUCT(MAX((İzinler!$A$5:$A$504=$B18)*(İzinler!$C$5:$C$504&lt;=Y$5)*(İzinler!$D$5:$D$504&gt;=Y$5)*ROW(İzinler!$A$5:$A$504)))=0,"",LEFT(SUBSTITUTE(SUBSTITUTE(INDEX(İzinler!$B$1:$B$504,SUMPRODUCT(MAX((İzinler!$A$5:$A$504=$B18)*(İzinler!$C$5:$C$504&lt;=Y$5)*(İzinler!$D$5:$D$504&gt;=Y$5)*ROW(İzinler!$A$5:$A$504)))),"Yıllık izin","İ"),"Ücretsiz izin","Ü"),1)))</f>
        <v/>
      </c>
      <c r="Z18" s="20" t="str">
        <f aca="false">IF(OR($B18="",Z$5=""),"",IF(SUMPRODUCT(MAX((İzinler!$A$5:$A$504=$B18)*(İzinler!$C$5:$C$504&lt;=Z$5)*(İzinler!$D$5:$D$504&gt;=Z$5)*ROW(İzinler!$A$5:$A$504)))=0,"",LEFT(SUBSTITUTE(SUBSTITUTE(INDEX(İzinler!$B$1:$B$504,SUMPRODUCT(MAX((İzinler!$A$5:$A$504=$B18)*(İzinler!$C$5:$C$504&lt;=Z$5)*(İzinler!$D$5:$D$504&gt;=Z$5)*ROW(İzinler!$A$5:$A$504)))),"Yıllık izin","İ"),"Ücretsiz izin","Ü"),1)))</f>
        <v/>
      </c>
      <c r="AA18" s="20" t="str">
        <f aca="false">IF(OR($B18="",AA$5=""),"",IF(SUMPRODUCT(MAX((İzinler!$A$5:$A$504=$B18)*(İzinler!$C$5:$C$504&lt;=AA$5)*(İzinler!$D$5:$D$504&gt;=AA$5)*ROW(İzinler!$A$5:$A$504)))=0,"",LEFT(SUBSTITUTE(SUBSTITUTE(INDEX(İzinler!$B$1:$B$504,SUMPRODUCT(MAX((İzinler!$A$5:$A$504=$B18)*(İzinler!$C$5:$C$504&lt;=AA$5)*(İzinler!$D$5:$D$504&gt;=AA$5)*ROW(İzinler!$A$5:$A$504)))),"Yıllık izin","İ"),"Ücretsiz izin","Ü"),1)))</f>
        <v/>
      </c>
      <c r="AB18" s="20" t="str">
        <f aca="false">IF(OR($B18="",AB$5=""),"",IF(SUMPRODUCT(MAX((İzinler!$A$5:$A$504=$B18)*(İzinler!$C$5:$C$504&lt;=AB$5)*(İzinler!$D$5:$D$504&gt;=AB$5)*ROW(İzinler!$A$5:$A$504)))=0,"",LEFT(SUBSTITUTE(SUBSTITUTE(INDEX(İzinler!$B$1:$B$504,SUMPRODUCT(MAX((İzinler!$A$5:$A$504=$B18)*(İzinler!$C$5:$C$504&lt;=AB$5)*(İzinler!$D$5:$D$504&gt;=AB$5)*ROW(İzinler!$A$5:$A$504)))),"Yıllık izin","İ"),"Ücretsiz izin","Ü"),1)))</f>
        <v/>
      </c>
      <c r="AC18" s="20" t="str">
        <f aca="false">IF(OR($B18="",AC$5=""),"",IF(SUMPRODUCT(MAX((İzinler!$A$5:$A$504=$B18)*(İzinler!$C$5:$C$504&lt;=AC$5)*(İzinler!$D$5:$D$504&gt;=AC$5)*ROW(İzinler!$A$5:$A$504)))=0,"",LEFT(SUBSTITUTE(SUBSTITUTE(INDEX(İzinler!$B$1:$B$504,SUMPRODUCT(MAX((İzinler!$A$5:$A$504=$B18)*(İzinler!$C$5:$C$504&lt;=AC$5)*(İzinler!$D$5:$D$504&gt;=AC$5)*ROW(İzinler!$A$5:$A$504)))),"Yıllık izin","İ"),"Ücretsiz izin","Ü"),1)))</f>
        <v/>
      </c>
      <c r="AD18" s="20" t="str">
        <f aca="false">IF(OR($B18="",AD$5=""),"",IF(SUMPRODUCT(MAX((İzinler!$A$5:$A$504=$B18)*(İzinler!$C$5:$C$504&lt;=AD$5)*(İzinler!$D$5:$D$504&gt;=AD$5)*ROW(İzinler!$A$5:$A$504)))=0,"",LEFT(SUBSTITUTE(SUBSTITUTE(INDEX(İzinler!$B$1:$B$504,SUMPRODUCT(MAX((İzinler!$A$5:$A$504=$B18)*(İzinler!$C$5:$C$504&lt;=AD$5)*(İzinler!$D$5:$D$504&gt;=AD$5)*ROW(İzinler!$A$5:$A$504)))),"Yıllık izin","İ"),"Ücretsiz izin","Ü"),1)))</f>
        <v/>
      </c>
      <c r="AE18" s="20" t="str">
        <f aca="false">IF(OR($B18="",AE$5=""),"",IF(SUMPRODUCT(MAX((İzinler!$A$5:$A$504=$B18)*(İzinler!$C$5:$C$504&lt;=AE$5)*(İzinler!$D$5:$D$504&gt;=AE$5)*ROW(İzinler!$A$5:$A$504)))=0,"",LEFT(SUBSTITUTE(SUBSTITUTE(INDEX(İzinler!$B$1:$B$504,SUMPRODUCT(MAX((İzinler!$A$5:$A$504=$B18)*(İzinler!$C$5:$C$504&lt;=AE$5)*(İzinler!$D$5:$D$504&gt;=AE$5)*ROW(İzinler!$A$5:$A$504)))),"Yıllık izin","İ"),"Ücretsiz izin","Ü"),1)))</f>
        <v/>
      </c>
      <c r="AF18" s="20" t="str">
        <f aca="false">IF(OR($B18="",AF$5=""),"",IF(SUMPRODUCT(MAX((İzinler!$A$5:$A$504=$B18)*(İzinler!$C$5:$C$504&lt;=AF$5)*(İzinler!$D$5:$D$504&gt;=AF$5)*ROW(İzinler!$A$5:$A$504)))=0,"",LEFT(SUBSTITUTE(SUBSTITUTE(INDEX(İzinler!$B$1:$B$504,SUMPRODUCT(MAX((İzinler!$A$5:$A$504=$B18)*(İzinler!$C$5:$C$504&lt;=AF$5)*(İzinler!$D$5:$D$504&gt;=AF$5)*ROW(İzinler!$A$5:$A$504)))),"Yıllık izin","İ"),"Ücretsiz izin","Ü"),1)))</f>
        <v/>
      </c>
      <c r="AG18" s="20" t="str">
        <f aca="false">IF(OR($B18="",AG$5=""),"",IF(SUMPRODUCT(MAX((İzinler!$A$5:$A$504=$B18)*(İzinler!$C$5:$C$504&lt;=AG$5)*(İzinler!$D$5:$D$504&gt;=AG$5)*ROW(İzinler!$A$5:$A$504)))=0,"",LEFT(SUBSTITUTE(SUBSTITUTE(INDEX(İzinler!$B$1:$B$504,SUMPRODUCT(MAX((İzinler!$A$5:$A$504=$B18)*(İzinler!$C$5:$C$504&lt;=AG$5)*(İzinler!$D$5:$D$504&gt;=AG$5)*ROW(İzinler!$A$5:$A$504)))),"Yıllık izin","İ"),"Ücretsiz izin","Ü"),1)))</f>
        <v/>
      </c>
      <c r="AH18" s="21" t="str">
        <f aca="false">IF(B18="","",COUNTIF(C18:AG18,"?"))</f>
        <v/>
      </c>
    </row>
    <row r="19" customFormat="false" ht="15" hidden="false" customHeight="false" outlineLevel="0" collapsed="false">
      <c r="B19" s="16" t="str">
        <f aca="false">IF(Personel!A18="","",Personel!A18)</f>
        <v/>
      </c>
      <c r="C19" s="20" t="str">
        <f aca="false">IF(OR($B19="",C$5=""),"",IF(SUMPRODUCT(MAX((İzinler!$A$5:$A$504=$B19)*(İzinler!$C$5:$C$504&lt;=C$5)*(İzinler!$D$5:$D$504&gt;=C$5)*ROW(İzinler!$A$5:$A$504)))=0,"",LEFT(SUBSTITUTE(SUBSTITUTE(INDEX(İzinler!$B$1:$B$504,SUMPRODUCT(MAX((İzinler!$A$5:$A$504=$B19)*(İzinler!$C$5:$C$504&lt;=C$5)*(İzinler!$D$5:$D$504&gt;=C$5)*ROW(İzinler!$A$5:$A$504)))),"Yıllık izin","İ"),"Ücretsiz izin","Ü"),1)))</f>
        <v/>
      </c>
      <c r="D19" s="20" t="str">
        <f aca="false">IF(OR($B19="",D$5=""),"",IF(SUMPRODUCT(MAX((İzinler!$A$5:$A$504=$B19)*(İzinler!$C$5:$C$504&lt;=D$5)*(İzinler!$D$5:$D$504&gt;=D$5)*ROW(İzinler!$A$5:$A$504)))=0,"",LEFT(SUBSTITUTE(SUBSTITUTE(INDEX(İzinler!$B$1:$B$504,SUMPRODUCT(MAX((İzinler!$A$5:$A$504=$B19)*(İzinler!$C$5:$C$504&lt;=D$5)*(İzinler!$D$5:$D$504&gt;=D$5)*ROW(İzinler!$A$5:$A$504)))),"Yıllık izin","İ"),"Ücretsiz izin","Ü"),1)))</f>
        <v/>
      </c>
      <c r="E19" s="20" t="str">
        <f aca="false">IF(OR($B19="",E$5=""),"",IF(SUMPRODUCT(MAX((İzinler!$A$5:$A$504=$B19)*(İzinler!$C$5:$C$504&lt;=E$5)*(İzinler!$D$5:$D$504&gt;=E$5)*ROW(İzinler!$A$5:$A$504)))=0,"",LEFT(SUBSTITUTE(SUBSTITUTE(INDEX(İzinler!$B$1:$B$504,SUMPRODUCT(MAX((İzinler!$A$5:$A$504=$B19)*(İzinler!$C$5:$C$504&lt;=E$5)*(İzinler!$D$5:$D$504&gt;=E$5)*ROW(İzinler!$A$5:$A$504)))),"Yıllık izin","İ"),"Ücretsiz izin","Ü"),1)))</f>
        <v/>
      </c>
      <c r="F19" s="20" t="str">
        <f aca="false">IF(OR($B19="",F$5=""),"",IF(SUMPRODUCT(MAX((İzinler!$A$5:$A$504=$B19)*(İzinler!$C$5:$C$504&lt;=F$5)*(İzinler!$D$5:$D$504&gt;=F$5)*ROW(İzinler!$A$5:$A$504)))=0,"",LEFT(SUBSTITUTE(SUBSTITUTE(INDEX(İzinler!$B$1:$B$504,SUMPRODUCT(MAX((İzinler!$A$5:$A$504=$B19)*(İzinler!$C$5:$C$504&lt;=F$5)*(İzinler!$D$5:$D$504&gt;=F$5)*ROW(İzinler!$A$5:$A$504)))),"Yıllık izin","İ"),"Ücretsiz izin","Ü"),1)))</f>
        <v/>
      </c>
      <c r="G19" s="20" t="str">
        <f aca="false">IF(OR($B19="",G$5=""),"",IF(SUMPRODUCT(MAX((İzinler!$A$5:$A$504=$B19)*(İzinler!$C$5:$C$504&lt;=G$5)*(İzinler!$D$5:$D$504&gt;=G$5)*ROW(İzinler!$A$5:$A$504)))=0,"",LEFT(SUBSTITUTE(SUBSTITUTE(INDEX(İzinler!$B$1:$B$504,SUMPRODUCT(MAX((İzinler!$A$5:$A$504=$B19)*(İzinler!$C$5:$C$504&lt;=G$5)*(İzinler!$D$5:$D$504&gt;=G$5)*ROW(İzinler!$A$5:$A$504)))),"Yıllık izin","İ"),"Ücretsiz izin","Ü"),1)))</f>
        <v/>
      </c>
      <c r="H19" s="20" t="str">
        <f aca="false">IF(OR($B19="",H$5=""),"",IF(SUMPRODUCT(MAX((İzinler!$A$5:$A$504=$B19)*(İzinler!$C$5:$C$504&lt;=H$5)*(İzinler!$D$5:$D$504&gt;=H$5)*ROW(İzinler!$A$5:$A$504)))=0,"",LEFT(SUBSTITUTE(SUBSTITUTE(INDEX(İzinler!$B$1:$B$504,SUMPRODUCT(MAX((İzinler!$A$5:$A$504=$B19)*(İzinler!$C$5:$C$504&lt;=H$5)*(İzinler!$D$5:$D$504&gt;=H$5)*ROW(İzinler!$A$5:$A$504)))),"Yıllık izin","İ"),"Ücretsiz izin","Ü"),1)))</f>
        <v/>
      </c>
      <c r="I19" s="20" t="str">
        <f aca="false">IF(OR($B19="",I$5=""),"",IF(SUMPRODUCT(MAX((İzinler!$A$5:$A$504=$B19)*(İzinler!$C$5:$C$504&lt;=I$5)*(İzinler!$D$5:$D$504&gt;=I$5)*ROW(İzinler!$A$5:$A$504)))=0,"",LEFT(SUBSTITUTE(SUBSTITUTE(INDEX(İzinler!$B$1:$B$504,SUMPRODUCT(MAX((İzinler!$A$5:$A$504=$B19)*(İzinler!$C$5:$C$504&lt;=I$5)*(İzinler!$D$5:$D$504&gt;=I$5)*ROW(İzinler!$A$5:$A$504)))),"Yıllık izin","İ"),"Ücretsiz izin","Ü"),1)))</f>
        <v/>
      </c>
      <c r="J19" s="20" t="str">
        <f aca="false">IF(OR($B19="",J$5=""),"",IF(SUMPRODUCT(MAX((İzinler!$A$5:$A$504=$B19)*(İzinler!$C$5:$C$504&lt;=J$5)*(İzinler!$D$5:$D$504&gt;=J$5)*ROW(İzinler!$A$5:$A$504)))=0,"",LEFT(SUBSTITUTE(SUBSTITUTE(INDEX(İzinler!$B$1:$B$504,SUMPRODUCT(MAX((İzinler!$A$5:$A$504=$B19)*(İzinler!$C$5:$C$504&lt;=J$5)*(İzinler!$D$5:$D$504&gt;=J$5)*ROW(İzinler!$A$5:$A$504)))),"Yıllık izin","İ"),"Ücretsiz izin","Ü"),1)))</f>
        <v/>
      </c>
      <c r="K19" s="20" t="str">
        <f aca="false">IF(OR($B19="",K$5=""),"",IF(SUMPRODUCT(MAX((İzinler!$A$5:$A$504=$B19)*(İzinler!$C$5:$C$504&lt;=K$5)*(İzinler!$D$5:$D$504&gt;=K$5)*ROW(İzinler!$A$5:$A$504)))=0,"",LEFT(SUBSTITUTE(SUBSTITUTE(INDEX(İzinler!$B$1:$B$504,SUMPRODUCT(MAX((İzinler!$A$5:$A$504=$B19)*(İzinler!$C$5:$C$504&lt;=K$5)*(İzinler!$D$5:$D$504&gt;=K$5)*ROW(İzinler!$A$5:$A$504)))),"Yıllık izin","İ"),"Ücretsiz izin","Ü"),1)))</f>
        <v/>
      </c>
      <c r="L19" s="20" t="str">
        <f aca="false">IF(OR($B19="",L$5=""),"",IF(SUMPRODUCT(MAX((İzinler!$A$5:$A$504=$B19)*(İzinler!$C$5:$C$504&lt;=L$5)*(İzinler!$D$5:$D$504&gt;=L$5)*ROW(İzinler!$A$5:$A$504)))=0,"",LEFT(SUBSTITUTE(SUBSTITUTE(INDEX(İzinler!$B$1:$B$504,SUMPRODUCT(MAX((İzinler!$A$5:$A$504=$B19)*(İzinler!$C$5:$C$504&lt;=L$5)*(İzinler!$D$5:$D$504&gt;=L$5)*ROW(İzinler!$A$5:$A$504)))),"Yıllık izin","İ"),"Ücretsiz izin","Ü"),1)))</f>
        <v/>
      </c>
      <c r="M19" s="20" t="str">
        <f aca="false">IF(OR($B19="",M$5=""),"",IF(SUMPRODUCT(MAX((İzinler!$A$5:$A$504=$B19)*(İzinler!$C$5:$C$504&lt;=M$5)*(İzinler!$D$5:$D$504&gt;=M$5)*ROW(İzinler!$A$5:$A$504)))=0,"",LEFT(SUBSTITUTE(SUBSTITUTE(INDEX(İzinler!$B$1:$B$504,SUMPRODUCT(MAX((İzinler!$A$5:$A$504=$B19)*(İzinler!$C$5:$C$504&lt;=M$5)*(İzinler!$D$5:$D$504&gt;=M$5)*ROW(İzinler!$A$5:$A$504)))),"Yıllık izin","İ"),"Ücretsiz izin","Ü"),1)))</f>
        <v/>
      </c>
      <c r="N19" s="20" t="str">
        <f aca="false">IF(OR($B19="",N$5=""),"",IF(SUMPRODUCT(MAX((İzinler!$A$5:$A$504=$B19)*(İzinler!$C$5:$C$504&lt;=N$5)*(İzinler!$D$5:$D$504&gt;=N$5)*ROW(İzinler!$A$5:$A$504)))=0,"",LEFT(SUBSTITUTE(SUBSTITUTE(INDEX(İzinler!$B$1:$B$504,SUMPRODUCT(MAX((İzinler!$A$5:$A$504=$B19)*(İzinler!$C$5:$C$504&lt;=N$5)*(İzinler!$D$5:$D$504&gt;=N$5)*ROW(İzinler!$A$5:$A$504)))),"Yıllık izin","İ"),"Ücretsiz izin","Ü"),1)))</f>
        <v/>
      </c>
      <c r="O19" s="20" t="str">
        <f aca="false">IF(OR($B19="",O$5=""),"",IF(SUMPRODUCT(MAX((İzinler!$A$5:$A$504=$B19)*(İzinler!$C$5:$C$504&lt;=O$5)*(İzinler!$D$5:$D$504&gt;=O$5)*ROW(İzinler!$A$5:$A$504)))=0,"",LEFT(SUBSTITUTE(SUBSTITUTE(INDEX(İzinler!$B$1:$B$504,SUMPRODUCT(MAX((İzinler!$A$5:$A$504=$B19)*(İzinler!$C$5:$C$504&lt;=O$5)*(İzinler!$D$5:$D$504&gt;=O$5)*ROW(İzinler!$A$5:$A$504)))),"Yıllık izin","İ"),"Ücretsiz izin","Ü"),1)))</f>
        <v/>
      </c>
      <c r="P19" s="20" t="str">
        <f aca="false">IF(OR($B19="",P$5=""),"",IF(SUMPRODUCT(MAX((İzinler!$A$5:$A$504=$B19)*(İzinler!$C$5:$C$504&lt;=P$5)*(İzinler!$D$5:$D$504&gt;=P$5)*ROW(İzinler!$A$5:$A$504)))=0,"",LEFT(SUBSTITUTE(SUBSTITUTE(INDEX(İzinler!$B$1:$B$504,SUMPRODUCT(MAX((İzinler!$A$5:$A$504=$B19)*(İzinler!$C$5:$C$504&lt;=P$5)*(İzinler!$D$5:$D$504&gt;=P$5)*ROW(İzinler!$A$5:$A$504)))),"Yıllık izin","İ"),"Ücretsiz izin","Ü"),1)))</f>
        <v/>
      </c>
      <c r="Q19" s="20" t="str">
        <f aca="false">IF(OR($B19="",Q$5=""),"",IF(SUMPRODUCT(MAX((İzinler!$A$5:$A$504=$B19)*(İzinler!$C$5:$C$504&lt;=Q$5)*(İzinler!$D$5:$D$504&gt;=Q$5)*ROW(İzinler!$A$5:$A$504)))=0,"",LEFT(SUBSTITUTE(SUBSTITUTE(INDEX(İzinler!$B$1:$B$504,SUMPRODUCT(MAX((İzinler!$A$5:$A$504=$B19)*(İzinler!$C$5:$C$504&lt;=Q$5)*(İzinler!$D$5:$D$504&gt;=Q$5)*ROW(İzinler!$A$5:$A$504)))),"Yıllık izin","İ"),"Ücretsiz izin","Ü"),1)))</f>
        <v/>
      </c>
      <c r="R19" s="20" t="str">
        <f aca="false">IF(OR($B19="",R$5=""),"",IF(SUMPRODUCT(MAX((İzinler!$A$5:$A$504=$B19)*(İzinler!$C$5:$C$504&lt;=R$5)*(İzinler!$D$5:$D$504&gt;=R$5)*ROW(İzinler!$A$5:$A$504)))=0,"",LEFT(SUBSTITUTE(SUBSTITUTE(INDEX(İzinler!$B$1:$B$504,SUMPRODUCT(MAX((İzinler!$A$5:$A$504=$B19)*(İzinler!$C$5:$C$504&lt;=R$5)*(İzinler!$D$5:$D$504&gt;=R$5)*ROW(İzinler!$A$5:$A$504)))),"Yıllık izin","İ"),"Ücretsiz izin","Ü"),1)))</f>
        <v/>
      </c>
      <c r="S19" s="20" t="str">
        <f aca="false">IF(OR($B19="",S$5=""),"",IF(SUMPRODUCT(MAX((İzinler!$A$5:$A$504=$B19)*(İzinler!$C$5:$C$504&lt;=S$5)*(İzinler!$D$5:$D$504&gt;=S$5)*ROW(İzinler!$A$5:$A$504)))=0,"",LEFT(SUBSTITUTE(SUBSTITUTE(INDEX(İzinler!$B$1:$B$504,SUMPRODUCT(MAX((İzinler!$A$5:$A$504=$B19)*(İzinler!$C$5:$C$504&lt;=S$5)*(İzinler!$D$5:$D$504&gt;=S$5)*ROW(İzinler!$A$5:$A$504)))),"Yıllık izin","İ"),"Ücretsiz izin","Ü"),1)))</f>
        <v/>
      </c>
      <c r="T19" s="20" t="str">
        <f aca="false">IF(OR($B19="",T$5=""),"",IF(SUMPRODUCT(MAX((İzinler!$A$5:$A$504=$B19)*(İzinler!$C$5:$C$504&lt;=T$5)*(İzinler!$D$5:$D$504&gt;=T$5)*ROW(İzinler!$A$5:$A$504)))=0,"",LEFT(SUBSTITUTE(SUBSTITUTE(INDEX(İzinler!$B$1:$B$504,SUMPRODUCT(MAX((İzinler!$A$5:$A$504=$B19)*(İzinler!$C$5:$C$504&lt;=T$5)*(İzinler!$D$5:$D$504&gt;=T$5)*ROW(İzinler!$A$5:$A$504)))),"Yıllık izin","İ"),"Ücretsiz izin","Ü"),1)))</f>
        <v/>
      </c>
      <c r="U19" s="20" t="str">
        <f aca="false">IF(OR($B19="",U$5=""),"",IF(SUMPRODUCT(MAX((İzinler!$A$5:$A$504=$B19)*(İzinler!$C$5:$C$504&lt;=U$5)*(İzinler!$D$5:$D$504&gt;=U$5)*ROW(İzinler!$A$5:$A$504)))=0,"",LEFT(SUBSTITUTE(SUBSTITUTE(INDEX(İzinler!$B$1:$B$504,SUMPRODUCT(MAX((İzinler!$A$5:$A$504=$B19)*(İzinler!$C$5:$C$504&lt;=U$5)*(İzinler!$D$5:$D$504&gt;=U$5)*ROW(İzinler!$A$5:$A$504)))),"Yıllık izin","İ"),"Ücretsiz izin","Ü"),1)))</f>
        <v/>
      </c>
      <c r="V19" s="20" t="str">
        <f aca="false">IF(OR($B19="",V$5=""),"",IF(SUMPRODUCT(MAX((İzinler!$A$5:$A$504=$B19)*(İzinler!$C$5:$C$504&lt;=V$5)*(İzinler!$D$5:$D$504&gt;=V$5)*ROW(İzinler!$A$5:$A$504)))=0,"",LEFT(SUBSTITUTE(SUBSTITUTE(INDEX(İzinler!$B$1:$B$504,SUMPRODUCT(MAX((İzinler!$A$5:$A$504=$B19)*(İzinler!$C$5:$C$504&lt;=V$5)*(İzinler!$D$5:$D$504&gt;=V$5)*ROW(İzinler!$A$5:$A$504)))),"Yıllık izin","İ"),"Ücretsiz izin","Ü"),1)))</f>
        <v/>
      </c>
      <c r="W19" s="20" t="str">
        <f aca="false">IF(OR($B19="",W$5=""),"",IF(SUMPRODUCT(MAX((İzinler!$A$5:$A$504=$B19)*(İzinler!$C$5:$C$504&lt;=W$5)*(İzinler!$D$5:$D$504&gt;=W$5)*ROW(İzinler!$A$5:$A$504)))=0,"",LEFT(SUBSTITUTE(SUBSTITUTE(INDEX(İzinler!$B$1:$B$504,SUMPRODUCT(MAX((İzinler!$A$5:$A$504=$B19)*(İzinler!$C$5:$C$504&lt;=W$5)*(İzinler!$D$5:$D$504&gt;=W$5)*ROW(İzinler!$A$5:$A$504)))),"Yıllık izin","İ"),"Ücretsiz izin","Ü"),1)))</f>
        <v/>
      </c>
      <c r="X19" s="20" t="str">
        <f aca="false">IF(OR($B19="",X$5=""),"",IF(SUMPRODUCT(MAX((İzinler!$A$5:$A$504=$B19)*(İzinler!$C$5:$C$504&lt;=X$5)*(İzinler!$D$5:$D$504&gt;=X$5)*ROW(İzinler!$A$5:$A$504)))=0,"",LEFT(SUBSTITUTE(SUBSTITUTE(INDEX(İzinler!$B$1:$B$504,SUMPRODUCT(MAX((İzinler!$A$5:$A$504=$B19)*(İzinler!$C$5:$C$504&lt;=X$5)*(İzinler!$D$5:$D$504&gt;=X$5)*ROW(İzinler!$A$5:$A$504)))),"Yıllık izin","İ"),"Ücretsiz izin","Ü"),1)))</f>
        <v/>
      </c>
      <c r="Y19" s="20" t="str">
        <f aca="false">IF(OR($B19="",Y$5=""),"",IF(SUMPRODUCT(MAX((İzinler!$A$5:$A$504=$B19)*(İzinler!$C$5:$C$504&lt;=Y$5)*(İzinler!$D$5:$D$504&gt;=Y$5)*ROW(İzinler!$A$5:$A$504)))=0,"",LEFT(SUBSTITUTE(SUBSTITUTE(INDEX(İzinler!$B$1:$B$504,SUMPRODUCT(MAX((İzinler!$A$5:$A$504=$B19)*(İzinler!$C$5:$C$504&lt;=Y$5)*(İzinler!$D$5:$D$504&gt;=Y$5)*ROW(İzinler!$A$5:$A$504)))),"Yıllık izin","İ"),"Ücretsiz izin","Ü"),1)))</f>
        <v/>
      </c>
      <c r="Z19" s="20" t="str">
        <f aca="false">IF(OR($B19="",Z$5=""),"",IF(SUMPRODUCT(MAX((İzinler!$A$5:$A$504=$B19)*(İzinler!$C$5:$C$504&lt;=Z$5)*(İzinler!$D$5:$D$504&gt;=Z$5)*ROW(İzinler!$A$5:$A$504)))=0,"",LEFT(SUBSTITUTE(SUBSTITUTE(INDEX(İzinler!$B$1:$B$504,SUMPRODUCT(MAX((İzinler!$A$5:$A$504=$B19)*(İzinler!$C$5:$C$504&lt;=Z$5)*(İzinler!$D$5:$D$504&gt;=Z$5)*ROW(İzinler!$A$5:$A$504)))),"Yıllık izin","İ"),"Ücretsiz izin","Ü"),1)))</f>
        <v/>
      </c>
      <c r="AA19" s="20" t="str">
        <f aca="false">IF(OR($B19="",AA$5=""),"",IF(SUMPRODUCT(MAX((İzinler!$A$5:$A$504=$B19)*(İzinler!$C$5:$C$504&lt;=AA$5)*(İzinler!$D$5:$D$504&gt;=AA$5)*ROW(İzinler!$A$5:$A$504)))=0,"",LEFT(SUBSTITUTE(SUBSTITUTE(INDEX(İzinler!$B$1:$B$504,SUMPRODUCT(MAX((İzinler!$A$5:$A$504=$B19)*(İzinler!$C$5:$C$504&lt;=AA$5)*(İzinler!$D$5:$D$504&gt;=AA$5)*ROW(İzinler!$A$5:$A$504)))),"Yıllık izin","İ"),"Ücretsiz izin","Ü"),1)))</f>
        <v/>
      </c>
      <c r="AB19" s="20" t="str">
        <f aca="false">IF(OR($B19="",AB$5=""),"",IF(SUMPRODUCT(MAX((İzinler!$A$5:$A$504=$B19)*(İzinler!$C$5:$C$504&lt;=AB$5)*(İzinler!$D$5:$D$504&gt;=AB$5)*ROW(İzinler!$A$5:$A$504)))=0,"",LEFT(SUBSTITUTE(SUBSTITUTE(INDEX(İzinler!$B$1:$B$504,SUMPRODUCT(MAX((İzinler!$A$5:$A$504=$B19)*(İzinler!$C$5:$C$504&lt;=AB$5)*(İzinler!$D$5:$D$504&gt;=AB$5)*ROW(İzinler!$A$5:$A$504)))),"Yıllık izin","İ"),"Ücretsiz izin","Ü"),1)))</f>
        <v/>
      </c>
      <c r="AC19" s="20" t="str">
        <f aca="false">IF(OR($B19="",AC$5=""),"",IF(SUMPRODUCT(MAX((İzinler!$A$5:$A$504=$B19)*(İzinler!$C$5:$C$504&lt;=AC$5)*(İzinler!$D$5:$D$504&gt;=AC$5)*ROW(İzinler!$A$5:$A$504)))=0,"",LEFT(SUBSTITUTE(SUBSTITUTE(INDEX(İzinler!$B$1:$B$504,SUMPRODUCT(MAX((İzinler!$A$5:$A$504=$B19)*(İzinler!$C$5:$C$504&lt;=AC$5)*(İzinler!$D$5:$D$504&gt;=AC$5)*ROW(İzinler!$A$5:$A$504)))),"Yıllık izin","İ"),"Ücretsiz izin","Ü"),1)))</f>
        <v/>
      </c>
      <c r="AD19" s="20" t="str">
        <f aca="false">IF(OR($B19="",AD$5=""),"",IF(SUMPRODUCT(MAX((İzinler!$A$5:$A$504=$B19)*(İzinler!$C$5:$C$504&lt;=AD$5)*(İzinler!$D$5:$D$504&gt;=AD$5)*ROW(İzinler!$A$5:$A$504)))=0,"",LEFT(SUBSTITUTE(SUBSTITUTE(INDEX(İzinler!$B$1:$B$504,SUMPRODUCT(MAX((İzinler!$A$5:$A$504=$B19)*(İzinler!$C$5:$C$504&lt;=AD$5)*(İzinler!$D$5:$D$504&gt;=AD$5)*ROW(İzinler!$A$5:$A$504)))),"Yıllık izin","İ"),"Ücretsiz izin","Ü"),1)))</f>
        <v/>
      </c>
      <c r="AE19" s="20" t="str">
        <f aca="false">IF(OR($B19="",AE$5=""),"",IF(SUMPRODUCT(MAX((İzinler!$A$5:$A$504=$B19)*(İzinler!$C$5:$C$504&lt;=AE$5)*(İzinler!$D$5:$D$504&gt;=AE$5)*ROW(İzinler!$A$5:$A$504)))=0,"",LEFT(SUBSTITUTE(SUBSTITUTE(INDEX(İzinler!$B$1:$B$504,SUMPRODUCT(MAX((İzinler!$A$5:$A$504=$B19)*(İzinler!$C$5:$C$504&lt;=AE$5)*(İzinler!$D$5:$D$504&gt;=AE$5)*ROW(İzinler!$A$5:$A$504)))),"Yıllık izin","İ"),"Ücretsiz izin","Ü"),1)))</f>
        <v/>
      </c>
      <c r="AF19" s="20" t="str">
        <f aca="false">IF(OR($B19="",AF$5=""),"",IF(SUMPRODUCT(MAX((İzinler!$A$5:$A$504=$B19)*(İzinler!$C$5:$C$504&lt;=AF$5)*(İzinler!$D$5:$D$504&gt;=AF$5)*ROW(İzinler!$A$5:$A$504)))=0,"",LEFT(SUBSTITUTE(SUBSTITUTE(INDEX(İzinler!$B$1:$B$504,SUMPRODUCT(MAX((İzinler!$A$5:$A$504=$B19)*(İzinler!$C$5:$C$504&lt;=AF$5)*(İzinler!$D$5:$D$504&gt;=AF$5)*ROW(İzinler!$A$5:$A$504)))),"Yıllık izin","İ"),"Ücretsiz izin","Ü"),1)))</f>
        <v/>
      </c>
      <c r="AG19" s="20" t="str">
        <f aca="false">IF(OR($B19="",AG$5=""),"",IF(SUMPRODUCT(MAX((İzinler!$A$5:$A$504=$B19)*(İzinler!$C$5:$C$504&lt;=AG$5)*(İzinler!$D$5:$D$504&gt;=AG$5)*ROW(İzinler!$A$5:$A$504)))=0,"",LEFT(SUBSTITUTE(SUBSTITUTE(INDEX(İzinler!$B$1:$B$504,SUMPRODUCT(MAX((İzinler!$A$5:$A$504=$B19)*(İzinler!$C$5:$C$504&lt;=AG$5)*(İzinler!$D$5:$D$504&gt;=AG$5)*ROW(İzinler!$A$5:$A$504)))),"Yıllık izin","İ"),"Ücretsiz izin","Ü"),1)))</f>
        <v/>
      </c>
      <c r="AH19" s="21" t="str">
        <f aca="false">IF(B19="","",COUNTIF(C19:AG19,"?"))</f>
        <v/>
      </c>
    </row>
    <row r="20" customFormat="false" ht="15" hidden="false" customHeight="false" outlineLevel="0" collapsed="false">
      <c r="B20" s="16" t="str">
        <f aca="false">IF(Personel!A19="","",Personel!A19)</f>
        <v/>
      </c>
      <c r="C20" s="20" t="str">
        <f aca="false">IF(OR($B20="",C$5=""),"",IF(SUMPRODUCT(MAX((İzinler!$A$5:$A$504=$B20)*(İzinler!$C$5:$C$504&lt;=C$5)*(İzinler!$D$5:$D$504&gt;=C$5)*ROW(İzinler!$A$5:$A$504)))=0,"",LEFT(SUBSTITUTE(SUBSTITUTE(INDEX(İzinler!$B$1:$B$504,SUMPRODUCT(MAX((İzinler!$A$5:$A$504=$B20)*(İzinler!$C$5:$C$504&lt;=C$5)*(İzinler!$D$5:$D$504&gt;=C$5)*ROW(İzinler!$A$5:$A$504)))),"Yıllık izin","İ"),"Ücretsiz izin","Ü"),1)))</f>
        <v/>
      </c>
      <c r="D20" s="20" t="str">
        <f aca="false">IF(OR($B20="",D$5=""),"",IF(SUMPRODUCT(MAX((İzinler!$A$5:$A$504=$B20)*(İzinler!$C$5:$C$504&lt;=D$5)*(İzinler!$D$5:$D$504&gt;=D$5)*ROW(İzinler!$A$5:$A$504)))=0,"",LEFT(SUBSTITUTE(SUBSTITUTE(INDEX(İzinler!$B$1:$B$504,SUMPRODUCT(MAX((İzinler!$A$5:$A$504=$B20)*(İzinler!$C$5:$C$504&lt;=D$5)*(İzinler!$D$5:$D$504&gt;=D$5)*ROW(İzinler!$A$5:$A$504)))),"Yıllık izin","İ"),"Ücretsiz izin","Ü"),1)))</f>
        <v/>
      </c>
      <c r="E20" s="20" t="str">
        <f aca="false">IF(OR($B20="",E$5=""),"",IF(SUMPRODUCT(MAX((İzinler!$A$5:$A$504=$B20)*(İzinler!$C$5:$C$504&lt;=E$5)*(İzinler!$D$5:$D$504&gt;=E$5)*ROW(İzinler!$A$5:$A$504)))=0,"",LEFT(SUBSTITUTE(SUBSTITUTE(INDEX(İzinler!$B$1:$B$504,SUMPRODUCT(MAX((İzinler!$A$5:$A$504=$B20)*(İzinler!$C$5:$C$504&lt;=E$5)*(İzinler!$D$5:$D$504&gt;=E$5)*ROW(İzinler!$A$5:$A$504)))),"Yıllık izin","İ"),"Ücretsiz izin","Ü"),1)))</f>
        <v/>
      </c>
      <c r="F20" s="20" t="str">
        <f aca="false">IF(OR($B20="",F$5=""),"",IF(SUMPRODUCT(MAX((İzinler!$A$5:$A$504=$B20)*(İzinler!$C$5:$C$504&lt;=F$5)*(İzinler!$D$5:$D$504&gt;=F$5)*ROW(İzinler!$A$5:$A$504)))=0,"",LEFT(SUBSTITUTE(SUBSTITUTE(INDEX(İzinler!$B$1:$B$504,SUMPRODUCT(MAX((İzinler!$A$5:$A$504=$B20)*(İzinler!$C$5:$C$504&lt;=F$5)*(İzinler!$D$5:$D$504&gt;=F$5)*ROW(İzinler!$A$5:$A$504)))),"Yıllık izin","İ"),"Ücretsiz izin","Ü"),1)))</f>
        <v/>
      </c>
      <c r="G20" s="20" t="str">
        <f aca="false">IF(OR($B20="",G$5=""),"",IF(SUMPRODUCT(MAX((İzinler!$A$5:$A$504=$B20)*(İzinler!$C$5:$C$504&lt;=G$5)*(İzinler!$D$5:$D$504&gt;=G$5)*ROW(İzinler!$A$5:$A$504)))=0,"",LEFT(SUBSTITUTE(SUBSTITUTE(INDEX(İzinler!$B$1:$B$504,SUMPRODUCT(MAX((İzinler!$A$5:$A$504=$B20)*(İzinler!$C$5:$C$504&lt;=G$5)*(İzinler!$D$5:$D$504&gt;=G$5)*ROW(İzinler!$A$5:$A$504)))),"Yıllık izin","İ"),"Ücretsiz izin","Ü"),1)))</f>
        <v/>
      </c>
      <c r="H20" s="20" t="str">
        <f aca="false">IF(OR($B20="",H$5=""),"",IF(SUMPRODUCT(MAX((İzinler!$A$5:$A$504=$B20)*(İzinler!$C$5:$C$504&lt;=H$5)*(İzinler!$D$5:$D$504&gt;=H$5)*ROW(İzinler!$A$5:$A$504)))=0,"",LEFT(SUBSTITUTE(SUBSTITUTE(INDEX(İzinler!$B$1:$B$504,SUMPRODUCT(MAX((İzinler!$A$5:$A$504=$B20)*(İzinler!$C$5:$C$504&lt;=H$5)*(İzinler!$D$5:$D$504&gt;=H$5)*ROW(İzinler!$A$5:$A$504)))),"Yıllık izin","İ"),"Ücretsiz izin","Ü"),1)))</f>
        <v/>
      </c>
      <c r="I20" s="20" t="str">
        <f aca="false">IF(OR($B20="",I$5=""),"",IF(SUMPRODUCT(MAX((İzinler!$A$5:$A$504=$B20)*(İzinler!$C$5:$C$504&lt;=I$5)*(İzinler!$D$5:$D$504&gt;=I$5)*ROW(İzinler!$A$5:$A$504)))=0,"",LEFT(SUBSTITUTE(SUBSTITUTE(INDEX(İzinler!$B$1:$B$504,SUMPRODUCT(MAX((İzinler!$A$5:$A$504=$B20)*(İzinler!$C$5:$C$504&lt;=I$5)*(İzinler!$D$5:$D$504&gt;=I$5)*ROW(İzinler!$A$5:$A$504)))),"Yıllık izin","İ"),"Ücretsiz izin","Ü"),1)))</f>
        <v/>
      </c>
      <c r="J20" s="20" t="str">
        <f aca="false">IF(OR($B20="",J$5=""),"",IF(SUMPRODUCT(MAX((İzinler!$A$5:$A$504=$B20)*(İzinler!$C$5:$C$504&lt;=J$5)*(İzinler!$D$5:$D$504&gt;=J$5)*ROW(İzinler!$A$5:$A$504)))=0,"",LEFT(SUBSTITUTE(SUBSTITUTE(INDEX(İzinler!$B$1:$B$504,SUMPRODUCT(MAX((İzinler!$A$5:$A$504=$B20)*(İzinler!$C$5:$C$504&lt;=J$5)*(İzinler!$D$5:$D$504&gt;=J$5)*ROW(İzinler!$A$5:$A$504)))),"Yıllık izin","İ"),"Ücretsiz izin","Ü"),1)))</f>
        <v/>
      </c>
      <c r="K20" s="20" t="str">
        <f aca="false">IF(OR($B20="",K$5=""),"",IF(SUMPRODUCT(MAX((İzinler!$A$5:$A$504=$B20)*(İzinler!$C$5:$C$504&lt;=K$5)*(İzinler!$D$5:$D$504&gt;=K$5)*ROW(İzinler!$A$5:$A$504)))=0,"",LEFT(SUBSTITUTE(SUBSTITUTE(INDEX(İzinler!$B$1:$B$504,SUMPRODUCT(MAX((İzinler!$A$5:$A$504=$B20)*(İzinler!$C$5:$C$504&lt;=K$5)*(İzinler!$D$5:$D$504&gt;=K$5)*ROW(İzinler!$A$5:$A$504)))),"Yıllık izin","İ"),"Ücretsiz izin","Ü"),1)))</f>
        <v/>
      </c>
      <c r="L20" s="20" t="str">
        <f aca="false">IF(OR($B20="",L$5=""),"",IF(SUMPRODUCT(MAX((İzinler!$A$5:$A$504=$B20)*(İzinler!$C$5:$C$504&lt;=L$5)*(İzinler!$D$5:$D$504&gt;=L$5)*ROW(İzinler!$A$5:$A$504)))=0,"",LEFT(SUBSTITUTE(SUBSTITUTE(INDEX(İzinler!$B$1:$B$504,SUMPRODUCT(MAX((İzinler!$A$5:$A$504=$B20)*(İzinler!$C$5:$C$504&lt;=L$5)*(İzinler!$D$5:$D$504&gt;=L$5)*ROW(İzinler!$A$5:$A$504)))),"Yıllık izin","İ"),"Ücretsiz izin","Ü"),1)))</f>
        <v/>
      </c>
      <c r="M20" s="20" t="str">
        <f aca="false">IF(OR($B20="",M$5=""),"",IF(SUMPRODUCT(MAX((İzinler!$A$5:$A$504=$B20)*(İzinler!$C$5:$C$504&lt;=M$5)*(İzinler!$D$5:$D$504&gt;=M$5)*ROW(İzinler!$A$5:$A$504)))=0,"",LEFT(SUBSTITUTE(SUBSTITUTE(INDEX(İzinler!$B$1:$B$504,SUMPRODUCT(MAX((İzinler!$A$5:$A$504=$B20)*(İzinler!$C$5:$C$504&lt;=M$5)*(İzinler!$D$5:$D$504&gt;=M$5)*ROW(İzinler!$A$5:$A$504)))),"Yıllık izin","İ"),"Ücretsiz izin","Ü"),1)))</f>
        <v/>
      </c>
      <c r="N20" s="20" t="str">
        <f aca="false">IF(OR($B20="",N$5=""),"",IF(SUMPRODUCT(MAX((İzinler!$A$5:$A$504=$B20)*(İzinler!$C$5:$C$504&lt;=N$5)*(İzinler!$D$5:$D$504&gt;=N$5)*ROW(İzinler!$A$5:$A$504)))=0,"",LEFT(SUBSTITUTE(SUBSTITUTE(INDEX(İzinler!$B$1:$B$504,SUMPRODUCT(MAX((İzinler!$A$5:$A$504=$B20)*(İzinler!$C$5:$C$504&lt;=N$5)*(İzinler!$D$5:$D$504&gt;=N$5)*ROW(İzinler!$A$5:$A$504)))),"Yıllık izin","İ"),"Ücretsiz izin","Ü"),1)))</f>
        <v/>
      </c>
      <c r="O20" s="20" t="str">
        <f aca="false">IF(OR($B20="",O$5=""),"",IF(SUMPRODUCT(MAX((İzinler!$A$5:$A$504=$B20)*(İzinler!$C$5:$C$504&lt;=O$5)*(İzinler!$D$5:$D$504&gt;=O$5)*ROW(İzinler!$A$5:$A$504)))=0,"",LEFT(SUBSTITUTE(SUBSTITUTE(INDEX(İzinler!$B$1:$B$504,SUMPRODUCT(MAX((İzinler!$A$5:$A$504=$B20)*(İzinler!$C$5:$C$504&lt;=O$5)*(İzinler!$D$5:$D$504&gt;=O$5)*ROW(İzinler!$A$5:$A$504)))),"Yıllık izin","İ"),"Ücretsiz izin","Ü"),1)))</f>
        <v/>
      </c>
      <c r="P20" s="20" t="str">
        <f aca="false">IF(OR($B20="",P$5=""),"",IF(SUMPRODUCT(MAX((İzinler!$A$5:$A$504=$B20)*(İzinler!$C$5:$C$504&lt;=P$5)*(İzinler!$D$5:$D$504&gt;=P$5)*ROW(İzinler!$A$5:$A$504)))=0,"",LEFT(SUBSTITUTE(SUBSTITUTE(INDEX(İzinler!$B$1:$B$504,SUMPRODUCT(MAX((İzinler!$A$5:$A$504=$B20)*(İzinler!$C$5:$C$504&lt;=P$5)*(İzinler!$D$5:$D$504&gt;=P$5)*ROW(İzinler!$A$5:$A$504)))),"Yıllık izin","İ"),"Ücretsiz izin","Ü"),1)))</f>
        <v/>
      </c>
      <c r="Q20" s="20" t="str">
        <f aca="false">IF(OR($B20="",Q$5=""),"",IF(SUMPRODUCT(MAX((İzinler!$A$5:$A$504=$B20)*(İzinler!$C$5:$C$504&lt;=Q$5)*(İzinler!$D$5:$D$504&gt;=Q$5)*ROW(İzinler!$A$5:$A$504)))=0,"",LEFT(SUBSTITUTE(SUBSTITUTE(INDEX(İzinler!$B$1:$B$504,SUMPRODUCT(MAX((İzinler!$A$5:$A$504=$B20)*(İzinler!$C$5:$C$504&lt;=Q$5)*(İzinler!$D$5:$D$504&gt;=Q$5)*ROW(İzinler!$A$5:$A$504)))),"Yıllık izin","İ"),"Ücretsiz izin","Ü"),1)))</f>
        <v/>
      </c>
      <c r="R20" s="20" t="str">
        <f aca="false">IF(OR($B20="",R$5=""),"",IF(SUMPRODUCT(MAX((İzinler!$A$5:$A$504=$B20)*(İzinler!$C$5:$C$504&lt;=R$5)*(İzinler!$D$5:$D$504&gt;=R$5)*ROW(İzinler!$A$5:$A$504)))=0,"",LEFT(SUBSTITUTE(SUBSTITUTE(INDEX(İzinler!$B$1:$B$504,SUMPRODUCT(MAX((İzinler!$A$5:$A$504=$B20)*(İzinler!$C$5:$C$504&lt;=R$5)*(İzinler!$D$5:$D$504&gt;=R$5)*ROW(İzinler!$A$5:$A$504)))),"Yıllık izin","İ"),"Ücretsiz izin","Ü"),1)))</f>
        <v/>
      </c>
      <c r="S20" s="20" t="str">
        <f aca="false">IF(OR($B20="",S$5=""),"",IF(SUMPRODUCT(MAX((İzinler!$A$5:$A$504=$B20)*(İzinler!$C$5:$C$504&lt;=S$5)*(İzinler!$D$5:$D$504&gt;=S$5)*ROW(İzinler!$A$5:$A$504)))=0,"",LEFT(SUBSTITUTE(SUBSTITUTE(INDEX(İzinler!$B$1:$B$504,SUMPRODUCT(MAX((İzinler!$A$5:$A$504=$B20)*(İzinler!$C$5:$C$504&lt;=S$5)*(İzinler!$D$5:$D$504&gt;=S$5)*ROW(İzinler!$A$5:$A$504)))),"Yıllık izin","İ"),"Ücretsiz izin","Ü"),1)))</f>
        <v/>
      </c>
      <c r="T20" s="20" t="str">
        <f aca="false">IF(OR($B20="",T$5=""),"",IF(SUMPRODUCT(MAX((İzinler!$A$5:$A$504=$B20)*(İzinler!$C$5:$C$504&lt;=T$5)*(İzinler!$D$5:$D$504&gt;=T$5)*ROW(İzinler!$A$5:$A$504)))=0,"",LEFT(SUBSTITUTE(SUBSTITUTE(INDEX(İzinler!$B$1:$B$504,SUMPRODUCT(MAX((İzinler!$A$5:$A$504=$B20)*(İzinler!$C$5:$C$504&lt;=T$5)*(İzinler!$D$5:$D$504&gt;=T$5)*ROW(İzinler!$A$5:$A$504)))),"Yıllık izin","İ"),"Ücretsiz izin","Ü"),1)))</f>
        <v/>
      </c>
      <c r="U20" s="20" t="str">
        <f aca="false">IF(OR($B20="",U$5=""),"",IF(SUMPRODUCT(MAX((İzinler!$A$5:$A$504=$B20)*(İzinler!$C$5:$C$504&lt;=U$5)*(İzinler!$D$5:$D$504&gt;=U$5)*ROW(İzinler!$A$5:$A$504)))=0,"",LEFT(SUBSTITUTE(SUBSTITUTE(INDEX(İzinler!$B$1:$B$504,SUMPRODUCT(MAX((İzinler!$A$5:$A$504=$B20)*(İzinler!$C$5:$C$504&lt;=U$5)*(İzinler!$D$5:$D$504&gt;=U$5)*ROW(İzinler!$A$5:$A$504)))),"Yıllık izin","İ"),"Ücretsiz izin","Ü"),1)))</f>
        <v/>
      </c>
      <c r="V20" s="20" t="str">
        <f aca="false">IF(OR($B20="",V$5=""),"",IF(SUMPRODUCT(MAX((İzinler!$A$5:$A$504=$B20)*(İzinler!$C$5:$C$504&lt;=V$5)*(İzinler!$D$5:$D$504&gt;=V$5)*ROW(İzinler!$A$5:$A$504)))=0,"",LEFT(SUBSTITUTE(SUBSTITUTE(INDEX(İzinler!$B$1:$B$504,SUMPRODUCT(MAX((İzinler!$A$5:$A$504=$B20)*(İzinler!$C$5:$C$504&lt;=V$5)*(İzinler!$D$5:$D$504&gt;=V$5)*ROW(İzinler!$A$5:$A$504)))),"Yıllık izin","İ"),"Ücretsiz izin","Ü"),1)))</f>
        <v/>
      </c>
      <c r="W20" s="20" t="str">
        <f aca="false">IF(OR($B20="",W$5=""),"",IF(SUMPRODUCT(MAX((İzinler!$A$5:$A$504=$B20)*(İzinler!$C$5:$C$504&lt;=W$5)*(İzinler!$D$5:$D$504&gt;=W$5)*ROW(İzinler!$A$5:$A$504)))=0,"",LEFT(SUBSTITUTE(SUBSTITUTE(INDEX(İzinler!$B$1:$B$504,SUMPRODUCT(MAX((İzinler!$A$5:$A$504=$B20)*(İzinler!$C$5:$C$504&lt;=W$5)*(İzinler!$D$5:$D$504&gt;=W$5)*ROW(İzinler!$A$5:$A$504)))),"Yıllık izin","İ"),"Ücretsiz izin","Ü"),1)))</f>
        <v/>
      </c>
      <c r="X20" s="20" t="str">
        <f aca="false">IF(OR($B20="",X$5=""),"",IF(SUMPRODUCT(MAX((İzinler!$A$5:$A$504=$B20)*(İzinler!$C$5:$C$504&lt;=X$5)*(İzinler!$D$5:$D$504&gt;=X$5)*ROW(İzinler!$A$5:$A$504)))=0,"",LEFT(SUBSTITUTE(SUBSTITUTE(INDEX(İzinler!$B$1:$B$504,SUMPRODUCT(MAX((İzinler!$A$5:$A$504=$B20)*(İzinler!$C$5:$C$504&lt;=X$5)*(İzinler!$D$5:$D$504&gt;=X$5)*ROW(İzinler!$A$5:$A$504)))),"Yıllık izin","İ"),"Ücretsiz izin","Ü"),1)))</f>
        <v/>
      </c>
      <c r="Y20" s="20" t="str">
        <f aca="false">IF(OR($B20="",Y$5=""),"",IF(SUMPRODUCT(MAX((İzinler!$A$5:$A$504=$B20)*(İzinler!$C$5:$C$504&lt;=Y$5)*(İzinler!$D$5:$D$504&gt;=Y$5)*ROW(İzinler!$A$5:$A$504)))=0,"",LEFT(SUBSTITUTE(SUBSTITUTE(INDEX(İzinler!$B$1:$B$504,SUMPRODUCT(MAX((İzinler!$A$5:$A$504=$B20)*(İzinler!$C$5:$C$504&lt;=Y$5)*(İzinler!$D$5:$D$504&gt;=Y$5)*ROW(İzinler!$A$5:$A$504)))),"Yıllık izin","İ"),"Ücretsiz izin","Ü"),1)))</f>
        <v/>
      </c>
      <c r="Z20" s="20" t="str">
        <f aca="false">IF(OR($B20="",Z$5=""),"",IF(SUMPRODUCT(MAX((İzinler!$A$5:$A$504=$B20)*(İzinler!$C$5:$C$504&lt;=Z$5)*(İzinler!$D$5:$D$504&gt;=Z$5)*ROW(İzinler!$A$5:$A$504)))=0,"",LEFT(SUBSTITUTE(SUBSTITUTE(INDEX(İzinler!$B$1:$B$504,SUMPRODUCT(MAX((İzinler!$A$5:$A$504=$B20)*(İzinler!$C$5:$C$504&lt;=Z$5)*(İzinler!$D$5:$D$504&gt;=Z$5)*ROW(İzinler!$A$5:$A$504)))),"Yıllık izin","İ"),"Ücretsiz izin","Ü"),1)))</f>
        <v/>
      </c>
      <c r="AA20" s="20" t="str">
        <f aca="false">IF(OR($B20="",AA$5=""),"",IF(SUMPRODUCT(MAX((İzinler!$A$5:$A$504=$B20)*(İzinler!$C$5:$C$504&lt;=AA$5)*(İzinler!$D$5:$D$504&gt;=AA$5)*ROW(İzinler!$A$5:$A$504)))=0,"",LEFT(SUBSTITUTE(SUBSTITUTE(INDEX(İzinler!$B$1:$B$504,SUMPRODUCT(MAX((İzinler!$A$5:$A$504=$B20)*(İzinler!$C$5:$C$504&lt;=AA$5)*(İzinler!$D$5:$D$504&gt;=AA$5)*ROW(İzinler!$A$5:$A$504)))),"Yıllık izin","İ"),"Ücretsiz izin","Ü"),1)))</f>
        <v/>
      </c>
      <c r="AB20" s="20" t="str">
        <f aca="false">IF(OR($B20="",AB$5=""),"",IF(SUMPRODUCT(MAX((İzinler!$A$5:$A$504=$B20)*(İzinler!$C$5:$C$504&lt;=AB$5)*(İzinler!$D$5:$D$504&gt;=AB$5)*ROW(İzinler!$A$5:$A$504)))=0,"",LEFT(SUBSTITUTE(SUBSTITUTE(INDEX(İzinler!$B$1:$B$504,SUMPRODUCT(MAX((İzinler!$A$5:$A$504=$B20)*(İzinler!$C$5:$C$504&lt;=AB$5)*(İzinler!$D$5:$D$504&gt;=AB$5)*ROW(İzinler!$A$5:$A$504)))),"Yıllık izin","İ"),"Ücretsiz izin","Ü"),1)))</f>
        <v/>
      </c>
      <c r="AC20" s="20" t="str">
        <f aca="false">IF(OR($B20="",AC$5=""),"",IF(SUMPRODUCT(MAX((İzinler!$A$5:$A$504=$B20)*(İzinler!$C$5:$C$504&lt;=AC$5)*(İzinler!$D$5:$D$504&gt;=AC$5)*ROW(İzinler!$A$5:$A$504)))=0,"",LEFT(SUBSTITUTE(SUBSTITUTE(INDEX(İzinler!$B$1:$B$504,SUMPRODUCT(MAX((İzinler!$A$5:$A$504=$B20)*(İzinler!$C$5:$C$504&lt;=AC$5)*(İzinler!$D$5:$D$504&gt;=AC$5)*ROW(İzinler!$A$5:$A$504)))),"Yıllık izin","İ"),"Ücretsiz izin","Ü"),1)))</f>
        <v/>
      </c>
      <c r="AD20" s="20" t="str">
        <f aca="false">IF(OR($B20="",AD$5=""),"",IF(SUMPRODUCT(MAX((İzinler!$A$5:$A$504=$B20)*(İzinler!$C$5:$C$504&lt;=AD$5)*(İzinler!$D$5:$D$504&gt;=AD$5)*ROW(İzinler!$A$5:$A$504)))=0,"",LEFT(SUBSTITUTE(SUBSTITUTE(INDEX(İzinler!$B$1:$B$504,SUMPRODUCT(MAX((İzinler!$A$5:$A$504=$B20)*(İzinler!$C$5:$C$504&lt;=AD$5)*(İzinler!$D$5:$D$504&gt;=AD$5)*ROW(İzinler!$A$5:$A$504)))),"Yıllık izin","İ"),"Ücretsiz izin","Ü"),1)))</f>
        <v/>
      </c>
      <c r="AE20" s="20" t="str">
        <f aca="false">IF(OR($B20="",AE$5=""),"",IF(SUMPRODUCT(MAX((İzinler!$A$5:$A$504=$B20)*(İzinler!$C$5:$C$504&lt;=AE$5)*(İzinler!$D$5:$D$504&gt;=AE$5)*ROW(İzinler!$A$5:$A$504)))=0,"",LEFT(SUBSTITUTE(SUBSTITUTE(INDEX(İzinler!$B$1:$B$504,SUMPRODUCT(MAX((İzinler!$A$5:$A$504=$B20)*(İzinler!$C$5:$C$504&lt;=AE$5)*(İzinler!$D$5:$D$504&gt;=AE$5)*ROW(İzinler!$A$5:$A$504)))),"Yıllık izin","İ"),"Ücretsiz izin","Ü"),1)))</f>
        <v/>
      </c>
      <c r="AF20" s="20" t="str">
        <f aca="false">IF(OR($B20="",AF$5=""),"",IF(SUMPRODUCT(MAX((İzinler!$A$5:$A$504=$B20)*(İzinler!$C$5:$C$504&lt;=AF$5)*(İzinler!$D$5:$D$504&gt;=AF$5)*ROW(İzinler!$A$5:$A$504)))=0,"",LEFT(SUBSTITUTE(SUBSTITUTE(INDEX(İzinler!$B$1:$B$504,SUMPRODUCT(MAX((İzinler!$A$5:$A$504=$B20)*(İzinler!$C$5:$C$504&lt;=AF$5)*(İzinler!$D$5:$D$504&gt;=AF$5)*ROW(İzinler!$A$5:$A$504)))),"Yıllık izin","İ"),"Ücretsiz izin","Ü"),1)))</f>
        <v/>
      </c>
      <c r="AG20" s="20" t="str">
        <f aca="false">IF(OR($B20="",AG$5=""),"",IF(SUMPRODUCT(MAX((İzinler!$A$5:$A$504=$B20)*(İzinler!$C$5:$C$504&lt;=AG$5)*(İzinler!$D$5:$D$504&gt;=AG$5)*ROW(İzinler!$A$5:$A$504)))=0,"",LEFT(SUBSTITUTE(SUBSTITUTE(INDEX(İzinler!$B$1:$B$504,SUMPRODUCT(MAX((İzinler!$A$5:$A$504=$B20)*(İzinler!$C$5:$C$504&lt;=AG$5)*(İzinler!$D$5:$D$504&gt;=AG$5)*ROW(İzinler!$A$5:$A$504)))),"Yıllık izin","İ"),"Ücretsiz izin","Ü"),1)))</f>
        <v/>
      </c>
      <c r="AH20" s="21" t="str">
        <f aca="false">IF(B20="","",COUNTIF(C20:AG20,"?"))</f>
        <v/>
      </c>
    </row>
    <row r="21" customFormat="false" ht="15" hidden="false" customHeight="false" outlineLevel="0" collapsed="false">
      <c r="B21" s="16" t="str">
        <f aca="false">IF(Personel!A20="","",Personel!A20)</f>
        <v/>
      </c>
      <c r="C21" s="20" t="str">
        <f aca="false">IF(OR($B21="",C$5=""),"",IF(SUMPRODUCT(MAX((İzinler!$A$5:$A$504=$B21)*(İzinler!$C$5:$C$504&lt;=C$5)*(İzinler!$D$5:$D$504&gt;=C$5)*ROW(İzinler!$A$5:$A$504)))=0,"",LEFT(SUBSTITUTE(SUBSTITUTE(INDEX(İzinler!$B$1:$B$504,SUMPRODUCT(MAX((İzinler!$A$5:$A$504=$B21)*(İzinler!$C$5:$C$504&lt;=C$5)*(İzinler!$D$5:$D$504&gt;=C$5)*ROW(İzinler!$A$5:$A$504)))),"Yıllık izin","İ"),"Ücretsiz izin","Ü"),1)))</f>
        <v/>
      </c>
      <c r="D21" s="20" t="str">
        <f aca="false">IF(OR($B21="",D$5=""),"",IF(SUMPRODUCT(MAX((İzinler!$A$5:$A$504=$B21)*(İzinler!$C$5:$C$504&lt;=D$5)*(İzinler!$D$5:$D$504&gt;=D$5)*ROW(İzinler!$A$5:$A$504)))=0,"",LEFT(SUBSTITUTE(SUBSTITUTE(INDEX(İzinler!$B$1:$B$504,SUMPRODUCT(MAX((İzinler!$A$5:$A$504=$B21)*(İzinler!$C$5:$C$504&lt;=D$5)*(İzinler!$D$5:$D$504&gt;=D$5)*ROW(İzinler!$A$5:$A$504)))),"Yıllık izin","İ"),"Ücretsiz izin","Ü"),1)))</f>
        <v/>
      </c>
      <c r="E21" s="20" t="str">
        <f aca="false">IF(OR($B21="",E$5=""),"",IF(SUMPRODUCT(MAX((İzinler!$A$5:$A$504=$B21)*(İzinler!$C$5:$C$504&lt;=E$5)*(İzinler!$D$5:$D$504&gt;=E$5)*ROW(İzinler!$A$5:$A$504)))=0,"",LEFT(SUBSTITUTE(SUBSTITUTE(INDEX(İzinler!$B$1:$B$504,SUMPRODUCT(MAX((İzinler!$A$5:$A$504=$B21)*(İzinler!$C$5:$C$504&lt;=E$5)*(İzinler!$D$5:$D$504&gt;=E$5)*ROW(İzinler!$A$5:$A$504)))),"Yıllık izin","İ"),"Ücretsiz izin","Ü"),1)))</f>
        <v/>
      </c>
      <c r="F21" s="20" t="str">
        <f aca="false">IF(OR($B21="",F$5=""),"",IF(SUMPRODUCT(MAX((İzinler!$A$5:$A$504=$B21)*(İzinler!$C$5:$C$504&lt;=F$5)*(İzinler!$D$5:$D$504&gt;=F$5)*ROW(İzinler!$A$5:$A$504)))=0,"",LEFT(SUBSTITUTE(SUBSTITUTE(INDEX(İzinler!$B$1:$B$504,SUMPRODUCT(MAX((İzinler!$A$5:$A$504=$B21)*(İzinler!$C$5:$C$504&lt;=F$5)*(İzinler!$D$5:$D$504&gt;=F$5)*ROW(İzinler!$A$5:$A$504)))),"Yıllık izin","İ"),"Ücretsiz izin","Ü"),1)))</f>
        <v/>
      </c>
      <c r="G21" s="20" t="str">
        <f aca="false">IF(OR($B21="",G$5=""),"",IF(SUMPRODUCT(MAX((İzinler!$A$5:$A$504=$B21)*(İzinler!$C$5:$C$504&lt;=G$5)*(İzinler!$D$5:$D$504&gt;=G$5)*ROW(İzinler!$A$5:$A$504)))=0,"",LEFT(SUBSTITUTE(SUBSTITUTE(INDEX(İzinler!$B$1:$B$504,SUMPRODUCT(MAX((İzinler!$A$5:$A$504=$B21)*(İzinler!$C$5:$C$504&lt;=G$5)*(İzinler!$D$5:$D$504&gt;=G$5)*ROW(İzinler!$A$5:$A$504)))),"Yıllık izin","İ"),"Ücretsiz izin","Ü"),1)))</f>
        <v/>
      </c>
      <c r="H21" s="20" t="str">
        <f aca="false">IF(OR($B21="",H$5=""),"",IF(SUMPRODUCT(MAX((İzinler!$A$5:$A$504=$B21)*(İzinler!$C$5:$C$504&lt;=H$5)*(İzinler!$D$5:$D$504&gt;=H$5)*ROW(İzinler!$A$5:$A$504)))=0,"",LEFT(SUBSTITUTE(SUBSTITUTE(INDEX(İzinler!$B$1:$B$504,SUMPRODUCT(MAX((İzinler!$A$5:$A$504=$B21)*(İzinler!$C$5:$C$504&lt;=H$5)*(İzinler!$D$5:$D$504&gt;=H$5)*ROW(İzinler!$A$5:$A$504)))),"Yıllık izin","İ"),"Ücretsiz izin","Ü"),1)))</f>
        <v/>
      </c>
      <c r="I21" s="20" t="str">
        <f aca="false">IF(OR($B21="",I$5=""),"",IF(SUMPRODUCT(MAX((İzinler!$A$5:$A$504=$B21)*(İzinler!$C$5:$C$504&lt;=I$5)*(İzinler!$D$5:$D$504&gt;=I$5)*ROW(İzinler!$A$5:$A$504)))=0,"",LEFT(SUBSTITUTE(SUBSTITUTE(INDEX(İzinler!$B$1:$B$504,SUMPRODUCT(MAX((İzinler!$A$5:$A$504=$B21)*(İzinler!$C$5:$C$504&lt;=I$5)*(İzinler!$D$5:$D$504&gt;=I$5)*ROW(İzinler!$A$5:$A$504)))),"Yıllık izin","İ"),"Ücretsiz izin","Ü"),1)))</f>
        <v/>
      </c>
      <c r="J21" s="20" t="str">
        <f aca="false">IF(OR($B21="",J$5=""),"",IF(SUMPRODUCT(MAX((İzinler!$A$5:$A$504=$B21)*(İzinler!$C$5:$C$504&lt;=J$5)*(İzinler!$D$5:$D$504&gt;=J$5)*ROW(İzinler!$A$5:$A$504)))=0,"",LEFT(SUBSTITUTE(SUBSTITUTE(INDEX(İzinler!$B$1:$B$504,SUMPRODUCT(MAX((İzinler!$A$5:$A$504=$B21)*(İzinler!$C$5:$C$504&lt;=J$5)*(İzinler!$D$5:$D$504&gt;=J$5)*ROW(İzinler!$A$5:$A$504)))),"Yıllık izin","İ"),"Ücretsiz izin","Ü"),1)))</f>
        <v/>
      </c>
      <c r="K21" s="20" t="str">
        <f aca="false">IF(OR($B21="",K$5=""),"",IF(SUMPRODUCT(MAX((İzinler!$A$5:$A$504=$B21)*(İzinler!$C$5:$C$504&lt;=K$5)*(İzinler!$D$5:$D$504&gt;=K$5)*ROW(İzinler!$A$5:$A$504)))=0,"",LEFT(SUBSTITUTE(SUBSTITUTE(INDEX(İzinler!$B$1:$B$504,SUMPRODUCT(MAX((İzinler!$A$5:$A$504=$B21)*(İzinler!$C$5:$C$504&lt;=K$5)*(İzinler!$D$5:$D$504&gt;=K$5)*ROW(İzinler!$A$5:$A$504)))),"Yıllık izin","İ"),"Ücretsiz izin","Ü"),1)))</f>
        <v/>
      </c>
      <c r="L21" s="20" t="str">
        <f aca="false">IF(OR($B21="",L$5=""),"",IF(SUMPRODUCT(MAX((İzinler!$A$5:$A$504=$B21)*(İzinler!$C$5:$C$504&lt;=L$5)*(İzinler!$D$5:$D$504&gt;=L$5)*ROW(İzinler!$A$5:$A$504)))=0,"",LEFT(SUBSTITUTE(SUBSTITUTE(INDEX(İzinler!$B$1:$B$504,SUMPRODUCT(MAX((İzinler!$A$5:$A$504=$B21)*(İzinler!$C$5:$C$504&lt;=L$5)*(İzinler!$D$5:$D$504&gt;=L$5)*ROW(İzinler!$A$5:$A$504)))),"Yıllık izin","İ"),"Ücretsiz izin","Ü"),1)))</f>
        <v/>
      </c>
      <c r="M21" s="20" t="str">
        <f aca="false">IF(OR($B21="",M$5=""),"",IF(SUMPRODUCT(MAX((İzinler!$A$5:$A$504=$B21)*(İzinler!$C$5:$C$504&lt;=M$5)*(İzinler!$D$5:$D$504&gt;=M$5)*ROW(İzinler!$A$5:$A$504)))=0,"",LEFT(SUBSTITUTE(SUBSTITUTE(INDEX(İzinler!$B$1:$B$504,SUMPRODUCT(MAX((İzinler!$A$5:$A$504=$B21)*(İzinler!$C$5:$C$504&lt;=M$5)*(İzinler!$D$5:$D$504&gt;=M$5)*ROW(İzinler!$A$5:$A$504)))),"Yıllık izin","İ"),"Ücretsiz izin","Ü"),1)))</f>
        <v/>
      </c>
      <c r="N21" s="20" t="str">
        <f aca="false">IF(OR($B21="",N$5=""),"",IF(SUMPRODUCT(MAX((İzinler!$A$5:$A$504=$B21)*(İzinler!$C$5:$C$504&lt;=N$5)*(İzinler!$D$5:$D$504&gt;=N$5)*ROW(İzinler!$A$5:$A$504)))=0,"",LEFT(SUBSTITUTE(SUBSTITUTE(INDEX(İzinler!$B$1:$B$504,SUMPRODUCT(MAX((İzinler!$A$5:$A$504=$B21)*(İzinler!$C$5:$C$504&lt;=N$5)*(İzinler!$D$5:$D$504&gt;=N$5)*ROW(İzinler!$A$5:$A$504)))),"Yıllık izin","İ"),"Ücretsiz izin","Ü"),1)))</f>
        <v/>
      </c>
      <c r="O21" s="20" t="str">
        <f aca="false">IF(OR($B21="",O$5=""),"",IF(SUMPRODUCT(MAX((İzinler!$A$5:$A$504=$B21)*(İzinler!$C$5:$C$504&lt;=O$5)*(İzinler!$D$5:$D$504&gt;=O$5)*ROW(İzinler!$A$5:$A$504)))=0,"",LEFT(SUBSTITUTE(SUBSTITUTE(INDEX(İzinler!$B$1:$B$504,SUMPRODUCT(MAX((İzinler!$A$5:$A$504=$B21)*(İzinler!$C$5:$C$504&lt;=O$5)*(İzinler!$D$5:$D$504&gt;=O$5)*ROW(İzinler!$A$5:$A$504)))),"Yıllık izin","İ"),"Ücretsiz izin","Ü"),1)))</f>
        <v/>
      </c>
      <c r="P21" s="20" t="str">
        <f aca="false">IF(OR($B21="",P$5=""),"",IF(SUMPRODUCT(MAX((İzinler!$A$5:$A$504=$B21)*(İzinler!$C$5:$C$504&lt;=P$5)*(İzinler!$D$5:$D$504&gt;=P$5)*ROW(İzinler!$A$5:$A$504)))=0,"",LEFT(SUBSTITUTE(SUBSTITUTE(INDEX(İzinler!$B$1:$B$504,SUMPRODUCT(MAX((İzinler!$A$5:$A$504=$B21)*(İzinler!$C$5:$C$504&lt;=P$5)*(İzinler!$D$5:$D$504&gt;=P$5)*ROW(İzinler!$A$5:$A$504)))),"Yıllık izin","İ"),"Ücretsiz izin","Ü"),1)))</f>
        <v/>
      </c>
      <c r="Q21" s="20" t="str">
        <f aca="false">IF(OR($B21="",Q$5=""),"",IF(SUMPRODUCT(MAX((İzinler!$A$5:$A$504=$B21)*(İzinler!$C$5:$C$504&lt;=Q$5)*(İzinler!$D$5:$D$504&gt;=Q$5)*ROW(İzinler!$A$5:$A$504)))=0,"",LEFT(SUBSTITUTE(SUBSTITUTE(INDEX(İzinler!$B$1:$B$504,SUMPRODUCT(MAX((İzinler!$A$5:$A$504=$B21)*(İzinler!$C$5:$C$504&lt;=Q$5)*(İzinler!$D$5:$D$504&gt;=Q$5)*ROW(İzinler!$A$5:$A$504)))),"Yıllık izin","İ"),"Ücretsiz izin","Ü"),1)))</f>
        <v/>
      </c>
      <c r="R21" s="20" t="str">
        <f aca="false">IF(OR($B21="",R$5=""),"",IF(SUMPRODUCT(MAX((İzinler!$A$5:$A$504=$B21)*(İzinler!$C$5:$C$504&lt;=R$5)*(İzinler!$D$5:$D$504&gt;=R$5)*ROW(İzinler!$A$5:$A$504)))=0,"",LEFT(SUBSTITUTE(SUBSTITUTE(INDEX(İzinler!$B$1:$B$504,SUMPRODUCT(MAX((İzinler!$A$5:$A$504=$B21)*(İzinler!$C$5:$C$504&lt;=R$5)*(İzinler!$D$5:$D$504&gt;=R$5)*ROW(İzinler!$A$5:$A$504)))),"Yıllık izin","İ"),"Ücretsiz izin","Ü"),1)))</f>
        <v/>
      </c>
      <c r="S21" s="20" t="str">
        <f aca="false">IF(OR($B21="",S$5=""),"",IF(SUMPRODUCT(MAX((İzinler!$A$5:$A$504=$B21)*(İzinler!$C$5:$C$504&lt;=S$5)*(İzinler!$D$5:$D$504&gt;=S$5)*ROW(İzinler!$A$5:$A$504)))=0,"",LEFT(SUBSTITUTE(SUBSTITUTE(INDEX(İzinler!$B$1:$B$504,SUMPRODUCT(MAX((İzinler!$A$5:$A$504=$B21)*(İzinler!$C$5:$C$504&lt;=S$5)*(İzinler!$D$5:$D$504&gt;=S$5)*ROW(İzinler!$A$5:$A$504)))),"Yıllık izin","İ"),"Ücretsiz izin","Ü"),1)))</f>
        <v/>
      </c>
      <c r="T21" s="20" t="str">
        <f aca="false">IF(OR($B21="",T$5=""),"",IF(SUMPRODUCT(MAX((İzinler!$A$5:$A$504=$B21)*(İzinler!$C$5:$C$504&lt;=T$5)*(İzinler!$D$5:$D$504&gt;=T$5)*ROW(İzinler!$A$5:$A$504)))=0,"",LEFT(SUBSTITUTE(SUBSTITUTE(INDEX(İzinler!$B$1:$B$504,SUMPRODUCT(MAX((İzinler!$A$5:$A$504=$B21)*(İzinler!$C$5:$C$504&lt;=T$5)*(İzinler!$D$5:$D$504&gt;=T$5)*ROW(İzinler!$A$5:$A$504)))),"Yıllık izin","İ"),"Ücretsiz izin","Ü"),1)))</f>
        <v/>
      </c>
      <c r="U21" s="20" t="str">
        <f aca="false">IF(OR($B21="",U$5=""),"",IF(SUMPRODUCT(MAX((İzinler!$A$5:$A$504=$B21)*(İzinler!$C$5:$C$504&lt;=U$5)*(İzinler!$D$5:$D$504&gt;=U$5)*ROW(İzinler!$A$5:$A$504)))=0,"",LEFT(SUBSTITUTE(SUBSTITUTE(INDEX(İzinler!$B$1:$B$504,SUMPRODUCT(MAX((İzinler!$A$5:$A$504=$B21)*(İzinler!$C$5:$C$504&lt;=U$5)*(İzinler!$D$5:$D$504&gt;=U$5)*ROW(İzinler!$A$5:$A$504)))),"Yıllık izin","İ"),"Ücretsiz izin","Ü"),1)))</f>
        <v/>
      </c>
      <c r="V21" s="20" t="str">
        <f aca="false">IF(OR($B21="",V$5=""),"",IF(SUMPRODUCT(MAX((İzinler!$A$5:$A$504=$B21)*(İzinler!$C$5:$C$504&lt;=V$5)*(İzinler!$D$5:$D$504&gt;=V$5)*ROW(İzinler!$A$5:$A$504)))=0,"",LEFT(SUBSTITUTE(SUBSTITUTE(INDEX(İzinler!$B$1:$B$504,SUMPRODUCT(MAX((İzinler!$A$5:$A$504=$B21)*(İzinler!$C$5:$C$504&lt;=V$5)*(İzinler!$D$5:$D$504&gt;=V$5)*ROW(İzinler!$A$5:$A$504)))),"Yıllık izin","İ"),"Ücretsiz izin","Ü"),1)))</f>
        <v/>
      </c>
      <c r="W21" s="20" t="str">
        <f aca="false">IF(OR($B21="",W$5=""),"",IF(SUMPRODUCT(MAX((İzinler!$A$5:$A$504=$B21)*(İzinler!$C$5:$C$504&lt;=W$5)*(İzinler!$D$5:$D$504&gt;=W$5)*ROW(İzinler!$A$5:$A$504)))=0,"",LEFT(SUBSTITUTE(SUBSTITUTE(INDEX(İzinler!$B$1:$B$504,SUMPRODUCT(MAX((İzinler!$A$5:$A$504=$B21)*(İzinler!$C$5:$C$504&lt;=W$5)*(İzinler!$D$5:$D$504&gt;=W$5)*ROW(İzinler!$A$5:$A$504)))),"Yıllık izin","İ"),"Ücretsiz izin","Ü"),1)))</f>
        <v/>
      </c>
      <c r="X21" s="20" t="str">
        <f aca="false">IF(OR($B21="",X$5=""),"",IF(SUMPRODUCT(MAX((İzinler!$A$5:$A$504=$B21)*(İzinler!$C$5:$C$504&lt;=X$5)*(İzinler!$D$5:$D$504&gt;=X$5)*ROW(İzinler!$A$5:$A$504)))=0,"",LEFT(SUBSTITUTE(SUBSTITUTE(INDEX(İzinler!$B$1:$B$504,SUMPRODUCT(MAX((İzinler!$A$5:$A$504=$B21)*(İzinler!$C$5:$C$504&lt;=X$5)*(İzinler!$D$5:$D$504&gt;=X$5)*ROW(İzinler!$A$5:$A$504)))),"Yıllık izin","İ"),"Ücretsiz izin","Ü"),1)))</f>
        <v/>
      </c>
      <c r="Y21" s="20" t="str">
        <f aca="false">IF(OR($B21="",Y$5=""),"",IF(SUMPRODUCT(MAX((İzinler!$A$5:$A$504=$B21)*(İzinler!$C$5:$C$504&lt;=Y$5)*(İzinler!$D$5:$D$504&gt;=Y$5)*ROW(İzinler!$A$5:$A$504)))=0,"",LEFT(SUBSTITUTE(SUBSTITUTE(INDEX(İzinler!$B$1:$B$504,SUMPRODUCT(MAX((İzinler!$A$5:$A$504=$B21)*(İzinler!$C$5:$C$504&lt;=Y$5)*(İzinler!$D$5:$D$504&gt;=Y$5)*ROW(İzinler!$A$5:$A$504)))),"Yıllık izin","İ"),"Ücretsiz izin","Ü"),1)))</f>
        <v/>
      </c>
      <c r="Z21" s="20" t="str">
        <f aca="false">IF(OR($B21="",Z$5=""),"",IF(SUMPRODUCT(MAX((İzinler!$A$5:$A$504=$B21)*(İzinler!$C$5:$C$504&lt;=Z$5)*(İzinler!$D$5:$D$504&gt;=Z$5)*ROW(İzinler!$A$5:$A$504)))=0,"",LEFT(SUBSTITUTE(SUBSTITUTE(INDEX(İzinler!$B$1:$B$504,SUMPRODUCT(MAX((İzinler!$A$5:$A$504=$B21)*(İzinler!$C$5:$C$504&lt;=Z$5)*(İzinler!$D$5:$D$504&gt;=Z$5)*ROW(İzinler!$A$5:$A$504)))),"Yıllık izin","İ"),"Ücretsiz izin","Ü"),1)))</f>
        <v/>
      </c>
      <c r="AA21" s="20" t="str">
        <f aca="false">IF(OR($B21="",AA$5=""),"",IF(SUMPRODUCT(MAX((İzinler!$A$5:$A$504=$B21)*(İzinler!$C$5:$C$504&lt;=AA$5)*(İzinler!$D$5:$D$504&gt;=AA$5)*ROW(İzinler!$A$5:$A$504)))=0,"",LEFT(SUBSTITUTE(SUBSTITUTE(INDEX(İzinler!$B$1:$B$504,SUMPRODUCT(MAX((İzinler!$A$5:$A$504=$B21)*(İzinler!$C$5:$C$504&lt;=AA$5)*(İzinler!$D$5:$D$504&gt;=AA$5)*ROW(İzinler!$A$5:$A$504)))),"Yıllık izin","İ"),"Ücretsiz izin","Ü"),1)))</f>
        <v/>
      </c>
      <c r="AB21" s="20" t="str">
        <f aca="false">IF(OR($B21="",AB$5=""),"",IF(SUMPRODUCT(MAX((İzinler!$A$5:$A$504=$B21)*(İzinler!$C$5:$C$504&lt;=AB$5)*(İzinler!$D$5:$D$504&gt;=AB$5)*ROW(İzinler!$A$5:$A$504)))=0,"",LEFT(SUBSTITUTE(SUBSTITUTE(INDEX(İzinler!$B$1:$B$504,SUMPRODUCT(MAX((İzinler!$A$5:$A$504=$B21)*(İzinler!$C$5:$C$504&lt;=AB$5)*(İzinler!$D$5:$D$504&gt;=AB$5)*ROW(İzinler!$A$5:$A$504)))),"Yıllık izin","İ"),"Ücretsiz izin","Ü"),1)))</f>
        <v/>
      </c>
      <c r="AC21" s="20" t="str">
        <f aca="false">IF(OR($B21="",AC$5=""),"",IF(SUMPRODUCT(MAX((İzinler!$A$5:$A$504=$B21)*(İzinler!$C$5:$C$504&lt;=AC$5)*(İzinler!$D$5:$D$504&gt;=AC$5)*ROW(İzinler!$A$5:$A$504)))=0,"",LEFT(SUBSTITUTE(SUBSTITUTE(INDEX(İzinler!$B$1:$B$504,SUMPRODUCT(MAX((İzinler!$A$5:$A$504=$B21)*(İzinler!$C$5:$C$504&lt;=AC$5)*(İzinler!$D$5:$D$504&gt;=AC$5)*ROW(İzinler!$A$5:$A$504)))),"Yıllık izin","İ"),"Ücretsiz izin","Ü"),1)))</f>
        <v/>
      </c>
      <c r="AD21" s="20" t="str">
        <f aca="false">IF(OR($B21="",AD$5=""),"",IF(SUMPRODUCT(MAX((İzinler!$A$5:$A$504=$B21)*(İzinler!$C$5:$C$504&lt;=AD$5)*(İzinler!$D$5:$D$504&gt;=AD$5)*ROW(İzinler!$A$5:$A$504)))=0,"",LEFT(SUBSTITUTE(SUBSTITUTE(INDEX(İzinler!$B$1:$B$504,SUMPRODUCT(MAX((İzinler!$A$5:$A$504=$B21)*(İzinler!$C$5:$C$504&lt;=AD$5)*(İzinler!$D$5:$D$504&gt;=AD$5)*ROW(İzinler!$A$5:$A$504)))),"Yıllık izin","İ"),"Ücretsiz izin","Ü"),1)))</f>
        <v/>
      </c>
      <c r="AE21" s="20" t="str">
        <f aca="false">IF(OR($B21="",AE$5=""),"",IF(SUMPRODUCT(MAX((İzinler!$A$5:$A$504=$B21)*(İzinler!$C$5:$C$504&lt;=AE$5)*(İzinler!$D$5:$D$504&gt;=AE$5)*ROW(İzinler!$A$5:$A$504)))=0,"",LEFT(SUBSTITUTE(SUBSTITUTE(INDEX(İzinler!$B$1:$B$504,SUMPRODUCT(MAX((İzinler!$A$5:$A$504=$B21)*(İzinler!$C$5:$C$504&lt;=AE$5)*(İzinler!$D$5:$D$504&gt;=AE$5)*ROW(İzinler!$A$5:$A$504)))),"Yıllık izin","İ"),"Ücretsiz izin","Ü"),1)))</f>
        <v/>
      </c>
      <c r="AF21" s="20" t="str">
        <f aca="false">IF(OR($B21="",AF$5=""),"",IF(SUMPRODUCT(MAX((İzinler!$A$5:$A$504=$B21)*(İzinler!$C$5:$C$504&lt;=AF$5)*(İzinler!$D$5:$D$504&gt;=AF$5)*ROW(İzinler!$A$5:$A$504)))=0,"",LEFT(SUBSTITUTE(SUBSTITUTE(INDEX(İzinler!$B$1:$B$504,SUMPRODUCT(MAX((İzinler!$A$5:$A$504=$B21)*(İzinler!$C$5:$C$504&lt;=AF$5)*(İzinler!$D$5:$D$504&gt;=AF$5)*ROW(İzinler!$A$5:$A$504)))),"Yıllık izin","İ"),"Ücretsiz izin","Ü"),1)))</f>
        <v/>
      </c>
      <c r="AG21" s="20" t="str">
        <f aca="false">IF(OR($B21="",AG$5=""),"",IF(SUMPRODUCT(MAX((İzinler!$A$5:$A$504=$B21)*(İzinler!$C$5:$C$504&lt;=AG$5)*(İzinler!$D$5:$D$504&gt;=AG$5)*ROW(İzinler!$A$5:$A$504)))=0,"",LEFT(SUBSTITUTE(SUBSTITUTE(INDEX(İzinler!$B$1:$B$504,SUMPRODUCT(MAX((İzinler!$A$5:$A$504=$B21)*(İzinler!$C$5:$C$504&lt;=AG$5)*(İzinler!$D$5:$D$504&gt;=AG$5)*ROW(İzinler!$A$5:$A$504)))),"Yıllık izin","İ"),"Ücretsiz izin","Ü"),1)))</f>
        <v/>
      </c>
      <c r="AH21" s="21" t="str">
        <f aca="false">IF(B21="","",COUNTIF(C21:AG21,"?"))</f>
        <v/>
      </c>
    </row>
    <row r="22" customFormat="false" ht="15" hidden="false" customHeight="false" outlineLevel="0" collapsed="false">
      <c r="B22" s="16" t="str">
        <f aca="false">IF(Personel!A21="","",Personel!A21)</f>
        <v/>
      </c>
      <c r="C22" s="20" t="str">
        <f aca="false">IF(OR($B22="",C$5=""),"",IF(SUMPRODUCT(MAX((İzinler!$A$5:$A$504=$B22)*(İzinler!$C$5:$C$504&lt;=C$5)*(İzinler!$D$5:$D$504&gt;=C$5)*ROW(İzinler!$A$5:$A$504)))=0,"",LEFT(SUBSTITUTE(SUBSTITUTE(INDEX(İzinler!$B$1:$B$504,SUMPRODUCT(MAX((İzinler!$A$5:$A$504=$B22)*(İzinler!$C$5:$C$504&lt;=C$5)*(İzinler!$D$5:$D$504&gt;=C$5)*ROW(İzinler!$A$5:$A$504)))),"Yıllık izin","İ"),"Ücretsiz izin","Ü"),1)))</f>
        <v/>
      </c>
      <c r="D22" s="20" t="str">
        <f aca="false">IF(OR($B22="",D$5=""),"",IF(SUMPRODUCT(MAX((İzinler!$A$5:$A$504=$B22)*(İzinler!$C$5:$C$504&lt;=D$5)*(İzinler!$D$5:$D$504&gt;=D$5)*ROW(İzinler!$A$5:$A$504)))=0,"",LEFT(SUBSTITUTE(SUBSTITUTE(INDEX(İzinler!$B$1:$B$504,SUMPRODUCT(MAX((İzinler!$A$5:$A$504=$B22)*(İzinler!$C$5:$C$504&lt;=D$5)*(İzinler!$D$5:$D$504&gt;=D$5)*ROW(İzinler!$A$5:$A$504)))),"Yıllık izin","İ"),"Ücretsiz izin","Ü"),1)))</f>
        <v/>
      </c>
      <c r="E22" s="20" t="str">
        <f aca="false">IF(OR($B22="",E$5=""),"",IF(SUMPRODUCT(MAX((İzinler!$A$5:$A$504=$B22)*(İzinler!$C$5:$C$504&lt;=E$5)*(İzinler!$D$5:$D$504&gt;=E$5)*ROW(İzinler!$A$5:$A$504)))=0,"",LEFT(SUBSTITUTE(SUBSTITUTE(INDEX(İzinler!$B$1:$B$504,SUMPRODUCT(MAX((İzinler!$A$5:$A$504=$B22)*(İzinler!$C$5:$C$504&lt;=E$5)*(İzinler!$D$5:$D$504&gt;=E$5)*ROW(İzinler!$A$5:$A$504)))),"Yıllık izin","İ"),"Ücretsiz izin","Ü"),1)))</f>
        <v/>
      </c>
      <c r="F22" s="20" t="str">
        <f aca="false">IF(OR($B22="",F$5=""),"",IF(SUMPRODUCT(MAX((İzinler!$A$5:$A$504=$B22)*(İzinler!$C$5:$C$504&lt;=F$5)*(İzinler!$D$5:$D$504&gt;=F$5)*ROW(İzinler!$A$5:$A$504)))=0,"",LEFT(SUBSTITUTE(SUBSTITUTE(INDEX(İzinler!$B$1:$B$504,SUMPRODUCT(MAX((İzinler!$A$5:$A$504=$B22)*(İzinler!$C$5:$C$504&lt;=F$5)*(İzinler!$D$5:$D$504&gt;=F$5)*ROW(İzinler!$A$5:$A$504)))),"Yıllık izin","İ"),"Ücretsiz izin","Ü"),1)))</f>
        <v/>
      </c>
      <c r="G22" s="20" t="str">
        <f aca="false">IF(OR($B22="",G$5=""),"",IF(SUMPRODUCT(MAX((İzinler!$A$5:$A$504=$B22)*(İzinler!$C$5:$C$504&lt;=G$5)*(İzinler!$D$5:$D$504&gt;=G$5)*ROW(İzinler!$A$5:$A$504)))=0,"",LEFT(SUBSTITUTE(SUBSTITUTE(INDEX(İzinler!$B$1:$B$504,SUMPRODUCT(MAX((İzinler!$A$5:$A$504=$B22)*(İzinler!$C$5:$C$504&lt;=G$5)*(İzinler!$D$5:$D$504&gt;=G$5)*ROW(İzinler!$A$5:$A$504)))),"Yıllık izin","İ"),"Ücretsiz izin","Ü"),1)))</f>
        <v/>
      </c>
      <c r="H22" s="20" t="str">
        <f aca="false">IF(OR($B22="",H$5=""),"",IF(SUMPRODUCT(MAX((İzinler!$A$5:$A$504=$B22)*(İzinler!$C$5:$C$504&lt;=H$5)*(İzinler!$D$5:$D$504&gt;=H$5)*ROW(İzinler!$A$5:$A$504)))=0,"",LEFT(SUBSTITUTE(SUBSTITUTE(INDEX(İzinler!$B$1:$B$504,SUMPRODUCT(MAX((İzinler!$A$5:$A$504=$B22)*(İzinler!$C$5:$C$504&lt;=H$5)*(İzinler!$D$5:$D$504&gt;=H$5)*ROW(İzinler!$A$5:$A$504)))),"Yıllık izin","İ"),"Ücretsiz izin","Ü"),1)))</f>
        <v/>
      </c>
      <c r="I22" s="20" t="str">
        <f aca="false">IF(OR($B22="",I$5=""),"",IF(SUMPRODUCT(MAX((İzinler!$A$5:$A$504=$B22)*(İzinler!$C$5:$C$504&lt;=I$5)*(İzinler!$D$5:$D$504&gt;=I$5)*ROW(İzinler!$A$5:$A$504)))=0,"",LEFT(SUBSTITUTE(SUBSTITUTE(INDEX(İzinler!$B$1:$B$504,SUMPRODUCT(MAX((İzinler!$A$5:$A$504=$B22)*(İzinler!$C$5:$C$504&lt;=I$5)*(İzinler!$D$5:$D$504&gt;=I$5)*ROW(İzinler!$A$5:$A$504)))),"Yıllık izin","İ"),"Ücretsiz izin","Ü"),1)))</f>
        <v/>
      </c>
      <c r="J22" s="20" t="str">
        <f aca="false">IF(OR($B22="",J$5=""),"",IF(SUMPRODUCT(MAX((İzinler!$A$5:$A$504=$B22)*(İzinler!$C$5:$C$504&lt;=J$5)*(İzinler!$D$5:$D$504&gt;=J$5)*ROW(İzinler!$A$5:$A$504)))=0,"",LEFT(SUBSTITUTE(SUBSTITUTE(INDEX(İzinler!$B$1:$B$504,SUMPRODUCT(MAX((İzinler!$A$5:$A$504=$B22)*(İzinler!$C$5:$C$504&lt;=J$5)*(İzinler!$D$5:$D$504&gt;=J$5)*ROW(İzinler!$A$5:$A$504)))),"Yıllık izin","İ"),"Ücretsiz izin","Ü"),1)))</f>
        <v/>
      </c>
      <c r="K22" s="20" t="str">
        <f aca="false">IF(OR($B22="",K$5=""),"",IF(SUMPRODUCT(MAX((İzinler!$A$5:$A$504=$B22)*(İzinler!$C$5:$C$504&lt;=K$5)*(İzinler!$D$5:$D$504&gt;=K$5)*ROW(İzinler!$A$5:$A$504)))=0,"",LEFT(SUBSTITUTE(SUBSTITUTE(INDEX(İzinler!$B$1:$B$504,SUMPRODUCT(MAX((İzinler!$A$5:$A$504=$B22)*(İzinler!$C$5:$C$504&lt;=K$5)*(İzinler!$D$5:$D$504&gt;=K$5)*ROW(İzinler!$A$5:$A$504)))),"Yıllık izin","İ"),"Ücretsiz izin","Ü"),1)))</f>
        <v/>
      </c>
      <c r="L22" s="20" t="str">
        <f aca="false">IF(OR($B22="",L$5=""),"",IF(SUMPRODUCT(MAX((İzinler!$A$5:$A$504=$B22)*(İzinler!$C$5:$C$504&lt;=L$5)*(İzinler!$D$5:$D$504&gt;=L$5)*ROW(İzinler!$A$5:$A$504)))=0,"",LEFT(SUBSTITUTE(SUBSTITUTE(INDEX(İzinler!$B$1:$B$504,SUMPRODUCT(MAX((İzinler!$A$5:$A$504=$B22)*(İzinler!$C$5:$C$504&lt;=L$5)*(İzinler!$D$5:$D$504&gt;=L$5)*ROW(İzinler!$A$5:$A$504)))),"Yıllık izin","İ"),"Ücretsiz izin","Ü"),1)))</f>
        <v/>
      </c>
      <c r="M22" s="20" t="str">
        <f aca="false">IF(OR($B22="",M$5=""),"",IF(SUMPRODUCT(MAX((İzinler!$A$5:$A$504=$B22)*(İzinler!$C$5:$C$504&lt;=M$5)*(İzinler!$D$5:$D$504&gt;=M$5)*ROW(İzinler!$A$5:$A$504)))=0,"",LEFT(SUBSTITUTE(SUBSTITUTE(INDEX(İzinler!$B$1:$B$504,SUMPRODUCT(MAX((İzinler!$A$5:$A$504=$B22)*(İzinler!$C$5:$C$504&lt;=M$5)*(İzinler!$D$5:$D$504&gt;=M$5)*ROW(İzinler!$A$5:$A$504)))),"Yıllık izin","İ"),"Ücretsiz izin","Ü"),1)))</f>
        <v/>
      </c>
      <c r="N22" s="20" t="str">
        <f aca="false">IF(OR($B22="",N$5=""),"",IF(SUMPRODUCT(MAX((İzinler!$A$5:$A$504=$B22)*(İzinler!$C$5:$C$504&lt;=N$5)*(İzinler!$D$5:$D$504&gt;=N$5)*ROW(İzinler!$A$5:$A$504)))=0,"",LEFT(SUBSTITUTE(SUBSTITUTE(INDEX(İzinler!$B$1:$B$504,SUMPRODUCT(MAX((İzinler!$A$5:$A$504=$B22)*(İzinler!$C$5:$C$504&lt;=N$5)*(İzinler!$D$5:$D$504&gt;=N$5)*ROW(İzinler!$A$5:$A$504)))),"Yıllık izin","İ"),"Ücretsiz izin","Ü"),1)))</f>
        <v/>
      </c>
      <c r="O22" s="20" t="str">
        <f aca="false">IF(OR($B22="",O$5=""),"",IF(SUMPRODUCT(MAX((İzinler!$A$5:$A$504=$B22)*(İzinler!$C$5:$C$504&lt;=O$5)*(İzinler!$D$5:$D$504&gt;=O$5)*ROW(İzinler!$A$5:$A$504)))=0,"",LEFT(SUBSTITUTE(SUBSTITUTE(INDEX(İzinler!$B$1:$B$504,SUMPRODUCT(MAX((İzinler!$A$5:$A$504=$B22)*(İzinler!$C$5:$C$504&lt;=O$5)*(İzinler!$D$5:$D$504&gt;=O$5)*ROW(İzinler!$A$5:$A$504)))),"Yıllık izin","İ"),"Ücretsiz izin","Ü"),1)))</f>
        <v/>
      </c>
      <c r="P22" s="20" t="str">
        <f aca="false">IF(OR($B22="",P$5=""),"",IF(SUMPRODUCT(MAX((İzinler!$A$5:$A$504=$B22)*(İzinler!$C$5:$C$504&lt;=P$5)*(İzinler!$D$5:$D$504&gt;=P$5)*ROW(İzinler!$A$5:$A$504)))=0,"",LEFT(SUBSTITUTE(SUBSTITUTE(INDEX(İzinler!$B$1:$B$504,SUMPRODUCT(MAX((İzinler!$A$5:$A$504=$B22)*(İzinler!$C$5:$C$504&lt;=P$5)*(İzinler!$D$5:$D$504&gt;=P$5)*ROW(İzinler!$A$5:$A$504)))),"Yıllık izin","İ"),"Ücretsiz izin","Ü"),1)))</f>
        <v/>
      </c>
      <c r="Q22" s="20" t="str">
        <f aca="false">IF(OR($B22="",Q$5=""),"",IF(SUMPRODUCT(MAX((İzinler!$A$5:$A$504=$B22)*(İzinler!$C$5:$C$504&lt;=Q$5)*(İzinler!$D$5:$D$504&gt;=Q$5)*ROW(İzinler!$A$5:$A$504)))=0,"",LEFT(SUBSTITUTE(SUBSTITUTE(INDEX(İzinler!$B$1:$B$504,SUMPRODUCT(MAX((İzinler!$A$5:$A$504=$B22)*(İzinler!$C$5:$C$504&lt;=Q$5)*(İzinler!$D$5:$D$504&gt;=Q$5)*ROW(İzinler!$A$5:$A$504)))),"Yıllık izin","İ"),"Ücretsiz izin","Ü"),1)))</f>
        <v/>
      </c>
      <c r="R22" s="20" t="str">
        <f aca="false">IF(OR($B22="",R$5=""),"",IF(SUMPRODUCT(MAX((İzinler!$A$5:$A$504=$B22)*(İzinler!$C$5:$C$504&lt;=R$5)*(İzinler!$D$5:$D$504&gt;=R$5)*ROW(İzinler!$A$5:$A$504)))=0,"",LEFT(SUBSTITUTE(SUBSTITUTE(INDEX(İzinler!$B$1:$B$504,SUMPRODUCT(MAX((İzinler!$A$5:$A$504=$B22)*(İzinler!$C$5:$C$504&lt;=R$5)*(İzinler!$D$5:$D$504&gt;=R$5)*ROW(İzinler!$A$5:$A$504)))),"Yıllık izin","İ"),"Ücretsiz izin","Ü"),1)))</f>
        <v/>
      </c>
      <c r="S22" s="20" t="str">
        <f aca="false">IF(OR($B22="",S$5=""),"",IF(SUMPRODUCT(MAX((İzinler!$A$5:$A$504=$B22)*(İzinler!$C$5:$C$504&lt;=S$5)*(İzinler!$D$5:$D$504&gt;=S$5)*ROW(İzinler!$A$5:$A$504)))=0,"",LEFT(SUBSTITUTE(SUBSTITUTE(INDEX(İzinler!$B$1:$B$504,SUMPRODUCT(MAX((İzinler!$A$5:$A$504=$B22)*(İzinler!$C$5:$C$504&lt;=S$5)*(İzinler!$D$5:$D$504&gt;=S$5)*ROW(İzinler!$A$5:$A$504)))),"Yıllık izin","İ"),"Ücretsiz izin","Ü"),1)))</f>
        <v/>
      </c>
      <c r="T22" s="20" t="str">
        <f aca="false">IF(OR($B22="",T$5=""),"",IF(SUMPRODUCT(MAX((İzinler!$A$5:$A$504=$B22)*(İzinler!$C$5:$C$504&lt;=T$5)*(İzinler!$D$5:$D$504&gt;=T$5)*ROW(İzinler!$A$5:$A$504)))=0,"",LEFT(SUBSTITUTE(SUBSTITUTE(INDEX(İzinler!$B$1:$B$504,SUMPRODUCT(MAX((İzinler!$A$5:$A$504=$B22)*(İzinler!$C$5:$C$504&lt;=T$5)*(İzinler!$D$5:$D$504&gt;=T$5)*ROW(İzinler!$A$5:$A$504)))),"Yıllık izin","İ"),"Ücretsiz izin","Ü"),1)))</f>
        <v/>
      </c>
      <c r="U22" s="20" t="str">
        <f aca="false">IF(OR($B22="",U$5=""),"",IF(SUMPRODUCT(MAX((İzinler!$A$5:$A$504=$B22)*(İzinler!$C$5:$C$504&lt;=U$5)*(İzinler!$D$5:$D$504&gt;=U$5)*ROW(İzinler!$A$5:$A$504)))=0,"",LEFT(SUBSTITUTE(SUBSTITUTE(INDEX(İzinler!$B$1:$B$504,SUMPRODUCT(MAX((İzinler!$A$5:$A$504=$B22)*(İzinler!$C$5:$C$504&lt;=U$5)*(İzinler!$D$5:$D$504&gt;=U$5)*ROW(İzinler!$A$5:$A$504)))),"Yıllık izin","İ"),"Ücretsiz izin","Ü"),1)))</f>
        <v/>
      </c>
      <c r="V22" s="20" t="str">
        <f aca="false">IF(OR($B22="",V$5=""),"",IF(SUMPRODUCT(MAX((İzinler!$A$5:$A$504=$B22)*(İzinler!$C$5:$C$504&lt;=V$5)*(İzinler!$D$5:$D$504&gt;=V$5)*ROW(İzinler!$A$5:$A$504)))=0,"",LEFT(SUBSTITUTE(SUBSTITUTE(INDEX(İzinler!$B$1:$B$504,SUMPRODUCT(MAX((İzinler!$A$5:$A$504=$B22)*(İzinler!$C$5:$C$504&lt;=V$5)*(İzinler!$D$5:$D$504&gt;=V$5)*ROW(İzinler!$A$5:$A$504)))),"Yıllık izin","İ"),"Ücretsiz izin","Ü"),1)))</f>
        <v/>
      </c>
      <c r="W22" s="20" t="str">
        <f aca="false">IF(OR($B22="",W$5=""),"",IF(SUMPRODUCT(MAX((İzinler!$A$5:$A$504=$B22)*(İzinler!$C$5:$C$504&lt;=W$5)*(İzinler!$D$5:$D$504&gt;=W$5)*ROW(İzinler!$A$5:$A$504)))=0,"",LEFT(SUBSTITUTE(SUBSTITUTE(INDEX(İzinler!$B$1:$B$504,SUMPRODUCT(MAX((İzinler!$A$5:$A$504=$B22)*(İzinler!$C$5:$C$504&lt;=W$5)*(İzinler!$D$5:$D$504&gt;=W$5)*ROW(İzinler!$A$5:$A$504)))),"Yıllık izin","İ"),"Ücretsiz izin","Ü"),1)))</f>
        <v/>
      </c>
      <c r="X22" s="20" t="str">
        <f aca="false">IF(OR($B22="",X$5=""),"",IF(SUMPRODUCT(MAX((İzinler!$A$5:$A$504=$B22)*(İzinler!$C$5:$C$504&lt;=X$5)*(İzinler!$D$5:$D$504&gt;=X$5)*ROW(İzinler!$A$5:$A$504)))=0,"",LEFT(SUBSTITUTE(SUBSTITUTE(INDEX(İzinler!$B$1:$B$504,SUMPRODUCT(MAX((İzinler!$A$5:$A$504=$B22)*(İzinler!$C$5:$C$504&lt;=X$5)*(İzinler!$D$5:$D$504&gt;=X$5)*ROW(İzinler!$A$5:$A$504)))),"Yıllık izin","İ"),"Ücretsiz izin","Ü"),1)))</f>
        <v/>
      </c>
      <c r="Y22" s="20" t="str">
        <f aca="false">IF(OR($B22="",Y$5=""),"",IF(SUMPRODUCT(MAX((İzinler!$A$5:$A$504=$B22)*(İzinler!$C$5:$C$504&lt;=Y$5)*(İzinler!$D$5:$D$504&gt;=Y$5)*ROW(İzinler!$A$5:$A$504)))=0,"",LEFT(SUBSTITUTE(SUBSTITUTE(INDEX(İzinler!$B$1:$B$504,SUMPRODUCT(MAX((İzinler!$A$5:$A$504=$B22)*(İzinler!$C$5:$C$504&lt;=Y$5)*(İzinler!$D$5:$D$504&gt;=Y$5)*ROW(İzinler!$A$5:$A$504)))),"Yıllık izin","İ"),"Ücretsiz izin","Ü"),1)))</f>
        <v/>
      </c>
      <c r="Z22" s="20" t="str">
        <f aca="false">IF(OR($B22="",Z$5=""),"",IF(SUMPRODUCT(MAX((İzinler!$A$5:$A$504=$B22)*(İzinler!$C$5:$C$504&lt;=Z$5)*(İzinler!$D$5:$D$504&gt;=Z$5)*ROW(İzinler!$A$5:$A$504)))=0,"",LEFT(SUBSTITUTE(SUBSTITUTE(INDEX(İzinler!$B$1:$B$504,SUMPRODUCT(MAX((İzinler!$A$5:$A$504=$B22)*(İzinler!$C$5:$C$504&lt;=Z$5)*(İzinler!$D$5:$D$504&gt;=Z$5)*ROW(İzinler!$A$5:$A$504)))),"Yıllık izin","İ"),"Ücretsiz izin","Ü"),1)))</f>
        <v/>
      </c>
      <c r="AA22" s="20" t="str">
        <f aca="false">IF(OR($B22="",AA$5=""),"",IF(SUMPRODUCT(MAX((İzinler!$A$5:$A$504=$B22)*(İzinler!$C$5:$C$504&lt;=AA$5)*(İzinler!$D$5:$D$504&gt;=AA$5)*ROW(İzinler!$A$5:$A$504)))=0,"",LEFT(SUBSTITUTE(SUBSTITUTE(INDEX(İzinler!$B$1:$B$504,SUMPRODUCT(MAX((İzinler!$A$5:$A$504=$B22)*(İzinler!$C$5:$C$504&lt;=AA$5)*(İzinler!$D$5:$D$504&gt;=AA$5)*ROW(İzinler!$A$5:$A$504)))),"Yıllık izin","İ"),"Ücretsiz izin","Ü"),1)))</f>
        <v/>
      </c>
      <c r="AB22" s="20" t="str">
        <f aca="false">IF(OR($B22="",AB$5=""),"",IF(SUMPRODUCT(MAX((İzinler!$A$5:$A$504=$B22)*(İzinler!$C$5:$C$504&lt;=AB$5)*(İzinler!$D$5:$D$504&gt;=AB$5)*ROW(İzinler!$A$5:$A$504)))=0,"",LEFT(SUBSTITUTE(SUBSTITUTE(INDEX(İzinler!$B$1:$B$504,SUMPRODUCT(MAX((İzinler!$A$5:$A$504=$B22)*(İzinler!$C$5:$C$504&lt;=AB$5)*(İzinler!$D$5:$D$504&gt;=AB$5)*ROW(İzinler!$A$5:$A$504)))),"Yıllık izin","İ"),"Ücretsiz izin","Ü"),1)))</f>
        <v/>
      </c>
      <c r="AC22" s="20" t="str">
        <f aca="false">IF(OR($B22="",AC$5=""),"",IF(SUMPRODUCT(MAX((İzinler!$A$5:$A$504=$B22)*(İzinler!$C$5:$C$504&lt;=AC$5)*(İzinler!$D$5:$D$504&gt;=AC$5)*ROW(İzinler!$A$5:$A$504)))=0,"",LEFT(SUBSTITUTE(SUBSTITUTE(INDEX(İzinler!$B$1:$B$504,SUMPRODUCT(MAX((İzinler!$A$5:$A$504=$B22)*(İzinler!$C$5:$C$504&lt;=AC$5)*(İzinler!$D$5:$D$504&gt;=AC$5)*ROW(İzinler!$A$5:$A$504)))),"Yıllık izin","İ"),"Ücretsiz izin","Ü"),1)))</f>
        <v/>
      </c>
      <c r="AD22" s="20" t="str">
        <f aca="false">IF(OR($B22="",AD$5=""),"",IF(SUMPRODUCT(MAX((İzinler!$A$5:$A$504=$B22)*(İzinler!$C$5:$C$504&lt;=AD$5)*(İzinler!$D$5:$D$504&gt;=AD$5)*ROW(İzinler!$A$5:$A$504)))=0,"",LEFT(SUBSTITUTE(SUBSTITUTE(INDEX(İzinler!$B$1:$B$504,SUMPRODUCT(MAX((İzinler!$A$5:$A$504=$B22)*(İzinler!$C$5:$C$504&lt;=AD$5)*(İzinler!$D$5:$D$504&gt;=AD$5)*ROW(İzinler!$A$5:$A$504)))),"Yıllık izin","İ"),"Ücretsiz izin","Ü"),1)))</f>
        <v/>
      </c>
      <c r="AE22" s="20" t="str">
        <f aca="false">IF(OR($B22="",AE$5=""),"",IF(SUMPRODUCT(MAX((İzinler!$A$5:$A$504=$B22)*(İzinler!$C$5:$C$504&lt;=AE$5)*(İzinler!$D$5:$D$504&gt;=AE$5)*ROW(İzinler!$A$5:$A$504)))=0,"",LEFT(SUBSTITUTE(SUBSTITUTE(INDEX(İzinler!$B$1:$B$504,SUMPRODUCT(MAX((İzinler!$A$5:$A$504=$B22)*(İzinler!$C$5:$C$504&lt;=AE$5)*(İzinler!$D$5:$D$504&gt;=AE$5)*ROW(İzinler!$A$5:$A$504)))),"Yıllık izin","İ"),"Ücretsiz izin","Ü"),1)))</f>
        <v/>
      </c>
      <c r="AF22" s="20" t="str">
        <f aca="false">IF(OR($B22="",AF$5=""),"",IF(SUMPRODUCT(MAX((İzinler!$A$5:$A$504=$B22)*(İzinler!$C$5:$C$504&lt;=AF$5)*(İzinler!$D$5:$D$504&gt;=AF$5)*ROW(İzinler!$A$5:$A$504)))=0,"",LEFT(SUBSTITUTE(SUBSTITUTE(INDEX(İzinler!$B$1:$B$504,SUMPRODUCT(MAX((İzinler!$A$5:$A$504=$B22)*(İzinler!$C$5:$C$504&lt;=AF$5)*(İzinler!$D$5:$D$504&gt;=AF$5)*ROW(İzinler!$A$5:$A$504)))),"Yıllık izin","İ"),"Ücretsiz izin","Ü"),1)))</f>
        <v/>
      </c>
      <c r="AG22" s="20" t="str">
        <f aca="false">IF(OR($B22="",AG$5=""),"",IF(SUMPRODUCT(MAX((İzinler!$A$5:$A$504=$B22)*(İzinler!$C$5:$C$504&lt;=AG$5)*(İzinler!$D$5:$D$504&gt;=AG$5)*ROW(İzinler!$A$5:$A$504)))=0,"",LEFT(SUBSTITUTE(SUBSTITUTE(INDEX(İzinler!$B$1:$B$504,SUMPRODUCT(MAX((İzinler!$A$5:$A$504=$B22)*(İzinler!$C$5:$C$504&lt;=AG$5)*(İzinler!$D$5:$D$504&gt;=AG$5)*ROW(İzinler!$A$5:$A$504)))),"Yıllık izin","İ"),"Ücretsiz izin","Ü"),1)))</f>
        <v/>
      </c>
      <c r="AH22" s="21" t="str">
        <f aca="false">IF(B22="","",COUNTIF(C22:AG22,"?"))</f>
        <v/>
      </c>
    </row>
    <row r="23" customFormat="false" ht="15" hidden="false" customHeight="false" outlineLevel="0" collapsed="false">
      <c r="B23" s="16" t="str">
        <f aca="false">IF(Personel!A22="","",Personel!A22)</f>
        <v/>
      </c>
      <c r="C23" s="20" t="str">
        <f aca="false">IF(OR($B23="",C$5=""),"",IF(SUMPRODUCT(MAX((İzinler!$A$5:$A$504=$B23)*(İzinler!$C$5:$C$504&lt;=C$5)*(İzinler!$D$5:$D$504&gt;=C$5)*ROW(İzinler!$A$5:$A$504)))=0,"",LEFT(SUBSTITUTE(SUBSTITUTE(INDEX(İzinler!$B$1:$B$504,SUMPRODUCT(MAX((İzinler!$A$5:$A$504=$B23)*(İzinler!$C$5:$C$504&lt;=C$5)*(İzinler!$D$5:$D$504&gt;=C$5)*ROW(İzinler!$A$5:$A$504)))),"Yıllık izin","İ"),"Ücretsiz izin","Ü"),1)))</f>
        <v/>
      </c>
      <c r="D23" s="20" t="str">
        <f aca="false">IF(OR($B23="",D$5=""),"",IF(SUMPRODUCT(MAX((İzinler!$A$5:$A$504=$B23)*(İzinler!$C$5:$C$504&lt;=D$5)*(İzinler!$D$5:$D$504&gt;=D$5)*ROW(İzinler!$A$5:$A$504)))=0,"",LEFT(SUBSTITUTE(SUBSTITUTE(INDEX(İzinler!$B$1:$B$504,SUMPRODUCT(MAX((İzinler!$A$5:$A$504=$B23)*(İzinler!$C$5:$C$504&lt;=D$5)*(İzinler!$D$5:$D$504&gt;=D$5)*ROW(İzinler!$A$5:$A$504)))),"Yıllık izin","İ"),"Ücretsiz izin","Ü"),1)))</f>
        <v/>
      </c>
      <c r="E23" s="20" t="str">
        <f aca="false">IF(OR($B23="",E$5=""),"",IF(SUMPRODUCT(MAX((İzinler!$A$5:$A$504=$B23)*(İzinler!$C$5:$C$504&lt;=E$5)*(İzinler!$D$5:$D$504&gt;=E$5)*ROW(İzinler!$A$5:$A$504)))=0,"",LEFT(SUBSTITUTE(SUBSTITUTE(INDEX(İzinler!$B$1:$B$504,SUMPRODUCT(MAX((İzinler!$A$5:$A$504=$B23)*(İzinler!$C$5:$C$504&lt;=E$5)*(İzinler!$D$5:$D$504&gt;=E$5)*ROW(İzinler!$A$5:$A$504)))),"Yıllık izin","İ"),"Ücretsiz izin","Ü"),1)))</f>
        <v/>
      </c>
      <c r="F23" s="20" t="str">
        <f aca="false">IF(OR($B23="",F$5=""),"",IF(SUMPRODUCT(MAX((İzinler!$A$5:$A$504=$B23)*(İzinler!$C$5:$C$504&lt;=F$5)*(İzinler!$D$5:$D$504&gt;=F$5)*ROW(İzinler!$A$5:$A$504)))=0,"",LEFT(SUBSTITUTE(SUBSTITUTE(INDEX(İzinler!$B$1:$B$504,SUMPRODUCT(MAX((İzinler!$A$5:$A$504=$B23)*(İzinler!$C$5:$C$504&lt;=F$5)*(İzinler!$D$5:$D$504&gt;=F$5)*ROW(İzinler!$A$5:$A$504)))),"Yıllık izin","İ"),"Ücretsiz izin","Ü"),1)))</f>
        <v/>
      </c>
      <c r="G23" s="20" t="str">
        <f aca="false">IF(OR($B23="",G$5=""),"",IF(SUMPRODUCT(MAX((İzinler!$A$5:$A$504=$B23)*(İzinler!$C$5:$C$504&lt;=G$5)*(İzinler!$D$5:$D$504&gt;=G$5)*ROW(İzinler!$A$5:$A$504)))=0,"",LEFT(SUBSTITUTE(SUBSTITUTE(INDEX(İzinler!$B$1:$B$504,SUMPRODUCT(MAX((İzinler!$A$5:$A$504=$B23)*(İzinler!$C$5:$C$504&lt;=G$5)*(İzinler!$D$5:$D$504&gt;=G$5)*ROW(İzinler!$A$5:$A$504)))),"Yıllık izin","İ"),"Ücretsiz izin","Ü"),1)))</f>
        <v/>
      </c>
      <c r="H23" s="20" t="str">
        <f aca="false">IF(OR($B23="",H$5=""),"",IF(SUMPRODUCT(MAX((İzinler!$A$5:$A$504=$B23)*(İzinler!$C$5:$C$504&lt;=H$5)*(İzinler!$D$5:$D$504&gt;=H$5)*ROW(İzinler!$A$5:$A$504)))=0,"",LEFT(SUBSTITUTE(SUBSTITUTE(INDEX(İzinler!$B$1:$B$504,SUMPRODUCT(MAX((İzinler!$A$5:$A$504=$B23)*(İzinler!$C$5:$C$504&lt;=H$5)*(İzinler!$D$5:$D$504&gt;=H$5)*ROW(İzinler!$A$5:$A$504)))),"Yıllık izin","İ"),"Ücretsiz izin","Ü"),1)))</f>
        <v/>
      </c>
      <c r="I23" s="20" t="str">
        <f aca="false">IF(OR($B23="",I$5=""),"",IF(SUMPRODUCT(MAX((İzinler!$A$5:$A$504=$B23)*(İzinler!$C$5:$C$504&lt;=I$5)*(İzinler!$D$5:$D$504&gt;=I$5)*ROW(İzinler!$A$5:$A$504)))=0,"",LEFT(SUBSTITUTE(SUBSTITUTE(INDEX(İzinler!$B$1:$B$504,SUMPRODUCT(MAX((İzinler!$A$5:$A$504=$B23)*(İzinler!$C$5:$C$504&lt;=I$5)*(İzinler!$D$5:$D$504&gt;=I$5)*ROW(İzinler!$A$5:$A$504)))),"Yıllık izin","İ"),"Ücretsiz izin","Ü"),1)))</f>
        <v/>
      </c>
      <c r="J23" s="20" t="str">
        <f aca="false">IF(OR($B23="",J$5=""),"",IF(SUMPRODUCT(MAX((İzinler!$A$5:$A$504=$B23)*(İzinler!$C$5:$C$504&lt;=J$5)*(İzinler!$D$5:$D$504&gt;=J$5)*ROW(İzinler!$A$5:$A$504)))=0,"",LEFT(SUBSTITUTE(SUBSTITUTE(INDEX(İzinler!$B$1:$B$504,SUMPRODUCT(MAX((İzinler!$A$5:$A$504=$B23)*(İzinler!$C$5:$C$504&lt;=J$5)*(İzinler!$D$5:$D$504&gt;=J$5)*ROW(İzinler!$A$5:$A$504)))),"Yıllık izin","İ"),"Ücretsiz izin","Ü"),1)))</f>
        <v/>
      </c>
      <c r="K23" s="20" t="str">
        <f aca="false">IF(OR($B23="",K$5=""),"",IF(SUMPRODUCT(MAX((İzinler!$A$5:$A$504=$B23)*(İzinler!$C$5:$C$504&lt;=K$5)*(İzinler!$D$5:$D$504&gt;=K$5)*ROW(İzinler!$A$5:$A$504)))=0,"",LEFT(SUBSTITUTE(SUBSTITUTE(INDEX(İzinler!$B$1:$B$504,SUMPRODUCT(MAX((İzinler!$A$5:$A$504=$B23)*(İzinler!$C$5:$C$504&lt;=K$5)*(İzinler!$D$5:$D$504&gt;=K$5)*ROW(İzinler!$A$5:$A$504)))),"Yıllık izin","İ"),"Ücretsiz izin","Ü"),1)))</f>
        <v/>
      </c>
      <c r="L23" s="20" t="str">
        <f aca="false">IF(OR($B23="",L$5=""),"",IF(SUMPRODUCT(MAX((İzinler!$A$5:$A$504=$B23)*(İzinler!$C$5:$C$504&lt;=L$5)*(İzinler!$D$5:$D$504&gt;=L$5)*ROW(İzinler!$A$5:$A$504)))=0,"",LEFT(SUBSTITUTE(SUBSTITUTE(INDEX(İzinler!$B$1:$B$504,SUMPRODUCT(MAX((İzinler!$A$5:$A$504=$B23)*(İzinler!$C$5:$C$504&lt;=L$5)*(İzinler!$D$5:$D$504&gt;=L$5)*ROW(İzinler!$A$5:$A$504)))),"Yıllık izin","İ"),"Ücretsiz izin","Ü"),1)))</f>
        <v/>
      </c>
      <c r="M23" s="20" t="str">
        <f aca="false">IF(OR($B23="",M$5=""),"",IF(SUMPRODUCT(MAX((İzinler!$A$5:$A$504=$B23)*(İzinler!$C$5:$C$504&lt;=M$5)*(İzinler!$D$5:$D$504&gt;=M$5)*ROW(İzinler!$A$5:$A$504)))=0,"",LEFT(SUBSTITUTE(SUBSTITUTE(INDEX(İzinler!$B$1:$B$504,SUMPRODUCT(MAX((İzinler!$A$5:$A$504=$B23)*(İzinler!$C$5:$C$504&lt;=M$5)*(İzinler!$D$5:$D$504&gt;=M$5)*ROW(İzinler!$A$5:$A$504)))),"Yıllık izin","İ"),"Ücretsiz izin","Ü"),1)))</f>
        <v/>
      </c>
      <c r="N23" s="20" t="str">
        <f aca="false">IF(OR($B23="",N$5=""),"",IF(SUMPRODUCT(MAX((İzinler!$A$5:$A$504=$B23)*(İzinler!$C$5:$C$504&lt;=N$5)*(İzinler!$D$5:$D$504&gt;=N$5)*ROW(İzinler!$A$5:$A$504)))=0,"",LEFT(SUBSTITUTE(SUBSTITUTE(INDEX(İzinler!$B$1:$B$504,SUMPRODUCT(MAX((İzinler!$A$5:$A$504=$B23)*(İzinler!$C$5:$C$504&lt;=N$5)*(İzinler!$D$5:$D$504&gt;=N$5)*ROW(İzinler!$A$5:$A$504)))),"Yıllık izin","İ"),"Ücretsiz izin","Ü"),1)))</f>
        <v/>
      </c>
      <c r="O23" s="20" t="str">
        <f aca="false">IF(OR($B23="",O$5=""),"",IF(SUMPRODUCT(MAX((İzinler!$A$5:$A$504=$B23)*(İzinler!$C$5:$C$504&lt;=O$5)*(İzinler!$D$5:$D$504&gt;=O$5)*ROW(İzinler!$A$5:$A$504)))=0,"",LEFT(SUBSTITUTE(SUBSTITUTE(INDEX(İzinler!$B$1:$B$504,SUMPRODUCT(MAX((İzinler!$A$5:$A$504=$B23)*(İzinler!$C$5:$C$504&lt;=O$5)*(İzinler!$D$5:$D$504&gt;=O$5)*ROW(İzinler!$A$5:$A$504)))),"Yıllık izin","İ"),"Ücretsiz izin","Ü"),1)))</f>
        <v/>
      </c>
      <c r="P23" s="20" t="str">
        <f aca="false">IF(OR($B23="",P$5=""),"",IF(SUMPRODUCT(MAX((İzinler!$A$5:$A$504=$B23)*(İzinler!$C$5:$C$504&lt;=P$5)*(İzinler!$D$5:$D$504&gt;=P$5)*ROW(İzinler!$A$5:$A$504)))=0,"",LEFT(SUBSTITUTE(SUBSTITUTE(INDEX(İzinler!$B$1:$B$504,SUMPRODUCT(MAX((İzinler!$A$5:$A$504=$B23)*(İzinler!$C$5:$C$504&lt;=P$5)*(İzinler!$D$5:$D$504&gt;=P$5)*ROW(İzinler!$A$5:$A$504)))),"Yıllık izin","İ"),"Ücretsiz izin","Ü"),1)))</f>
        <v/>
      </c>
      <c r="Q23" s="20" t="str">
        <f aca="false">IF(OR($B23="",Q$5=""),"",IF(SUMPRODUCT(MAX((İzinler!$A$5:$A$504=$B23)*(İzinler!$C$5:$C$504&lt;=Q$5)*(İzinler!$D$5:$D$504&gt;=Q$5)*ROW(İzinler!$A$5:$A$504)))=0,"",LEFT(SUBSTITUTE(SUBSTITUTE(INDEX(İzinler!$B$1:$B$504,SUMPRODUCT(MAX((İzinler!$A$5:$A$504=$B23)*(İzinler!$C$5:$C$504&lt;=Q$5)*(İzinler!$D$5:$D$504&gt;=Q$5)*ROW(İzinler!$A$5:$A$504)))),"Yıllık izin","İ"),"Ücretsiz izin","Ü"),1)))</f>
        <v/>
      </c>
      <c r="R23" s="20" t="str">
        <f aca="false">IF(OR($B23="",R$5=""),"",IF(SUMPRODUCT(MAX((İzinler!$A$5:$A$504=$B23)*(İzinler!$C$5:$C$504&lt;=R$5)*(İzinler!$D$5:$D$504&gt;=R$5)*ROW(İzinler!$A$5:$A$504)))=0,"",LEFT(SUBSTITUTE(SUBSTITUTE(INDEX(İzinler!$B$1:$B$504,SUMPRODUCT(MAX((İzinler!$A$5:$A$504=$B23)*(İzinler!$C$5:$C$504&lt;=R$5)*(İzinler!$D$5:$D$504&gt;=R$5)*ROW(İzinler!$A$5:$A$504)))),"Yıllık izin","İ"),"Ücretsiz izin","Ü"),1)))</f>
        <v/>
      </c>
      <c r="S23" s="20" t="str">
        <f aca="false">IF(OR($B23="",S$5=""),"",IF(SUMPRODUCT(MAX((İzinler!$A$5:$A$504=$B23)*(İzinler!$C$5:$C$504&lt;=S$5)*(İzinler!$D$5:$D$504&gt;=S$5)*ROW(İzinler!$A$5:$A$504)))=0,"",LEFT(SUBSTITUTE(SUBSTITUTE(INDEX(İzinler!$B$1:$B$504,SUMPRODUCT(MAX((İzinler!$A$5:$A$504=$B23)*(İzinler!$C$5:$C$504&lt;=S$5)*(İzinler!$D$5:$D$504&gt;=S$5)*ROW(İzinler!$A$5:$A$504)))),"Yıllık izin","İ"),"Ücretsiz izin","Ü"),1)))</f>
        <v/>
      </c>
      <c r="T23" s="20" t="str">
        <f aca="false">IF(OR($B23="",T$5=""),"",IF(SUMPRODUCT(MAX((İzinler!$A$5:$A$504=$B23)*(İzinler!$C$5:$C$504&lt;=T$5)*(İzinler!$D$5:$D$504&gt;=T$5)*ROW(İzinler!$A$5:$A$504)))=0,"",LEFT(SUBSTITUTE(SUBSTITUTE(INDEX(İzinler!$B$1:$B$504,SUMPRODUCT(MAX((İzinler!$A$5:$A$504=$B23)*(İzinler!$C$5:$C$504&lt;=T$5)*(İzinler!$D$5:$D$504&gt;=T$5)*ROW(İzinler!$A$5:$A$504)))),"Yıllık izin","İ"),"Ücretsiz izin","Ü"),1)))</f>
        <v/>
      </c>
      <c r="U23" s="20" t="str">
        <f aca="false">IF(OR($B23="",U$5=""),"",IF(SUMPRODUCT(MAX((İzinler!$A$5:$A$504=$B23)*(İzinler!$C$5:$C$504&lt;=U$5)*(İzinler!$D$5:$D$504&gt;=U$5)*ROW(İzinler!$A$5:$A$504)))=0,"",LEFT(SUBSTITUTE(SUBSTITUTE(INDEX(İzinler!$B$1:$B$504,SUMPRODUCT(MAX((İzinler!$A$5:$A$504=$B23)*(İzinler!$C$5:$C$504&lt;=U$5)*(İzinler!$D$5:$D$504&gt;=U$5)*ROW(İzinler!$A$5:$A$504)))),"Yıllık izin","İ"),"Ücretsiz izin","Ü"),1)))</f>
        <v/>
      </c>
      <c r="V23" s="20" t="str">
        <f aca="false">IF(OR($B23="",V$5=""),"",IF(SUMPRODUCT(MAX((İzinler!$A$5:$A$504=$B23)*(İzinler!$C$5:$C$504&lt;=V$5)*(İzinler!$D$5:$D$504&gt;=V$5)*ROW(İzinler!$A$5:$A$504)))=0,"",LEFT(SUBSTITUTE(SUBSTITUTE(INDEX(İzinler!$B$1:$B$504,SUMPRODUCT(MAX((İzinler!$A$5:$A$504=$B23)*(İzinler!$C$5:$C$504&lt;=V$5)*(İzinler!$D$5:$D$504&gt;=V$5)*ROW(İzinler!$A$5:$A$504)))),"Yıllık izin","İ"),"Ücretsiz izin","Ü"),1)))</f>
        <v/>
      </c>
      <c r="W23" s="20" t="str">
        <f aca="false">IF(OR($B23="",W$5=""),"",IF(SUMPRODUCT(MAX((İzinler!$A$5:$A$504=$B23)*(İzinler!$C$5:$C$504&lt;=W$5)*(İzinler!$D$5:$D$504&gt;=W$5)*ROW(İzinler!$A$5:$A$504)))=0,"",LEFT(SUBSTITUTE(SUBSTITUTE(INDEX(İzinler!$B$1:$B$504,SUMPRODUCT(MAX((İzinler!$A$5:$A$504=$B23)*(İzinler!$C$5:$C$504&lt;=W$5)*(İzinler!$D$5:$D$504&gt;=W$5)*ROW(İzinler!$A$5:$A$504)))),"Yıllık izin","İ"),"Ücretsiz izin","Ü"),1)))</f>
        <v/>
      </c>
      <c r="X23" s="20" t="str">
        <f aca="false">IF(OR($B23="",X$5=""),"",IF(SUMPRODUCT(MAX((İzinler!$A$5:$A$504=$B23)*(İzinler!$C$5:$C$504&lt;=X$5)*(İzinler!$D$5:$D$504&gt;=X$5)*ROW(İzinler!$A$5:$A$504)))=0,"",LEFT(SUBSTITUTE(SUBSTITUTE(INDEX(İzinler!$B$1:$B$504,SUMPRODUCT(MAX((İzinler!$A$5:$A$504=$B23)*(İzinler!$C$5:$C$504&lt;=X$5)*(İzinler!$D$5:$D$504&gt;=X$5)*ROW(İzinler!$A$5:$A$504)))),"Yıllık izin","İ"),"Ücretsiz izin","Ü"),1)))</f>
        <v/>
      </c>
      <c r="Y23" s="20" t="str">
        <f aca="false">IF(OR($B23="",Y$5=""),"",IF(SUMPRODUCT(MAX((İzinler!$A$5:$A$504=$B23)*(İzinler!$C$5:$C$504&lt;=Y$5)*(İzinler!$D$5:$D$504&gt;=Y$5)*ROW(İzinler!$A$5:$A$504)))=0,"",LEFT(SUBSTITUTE(SUBSTITUTE(INDEX(İzinler!$B$1:$B$504,SUMPRODUCT(MAX((İzinler!$A$5:$A$504=$B23)*(İzinler!$C$5:$C$504&lt;=Y$5)*(İzinler!$D$5:$D$504&gt;=Y$5)*ROW(İzinler!$A$5:$A$504)))),"Yıllık izin","İ"),"Ücretsiz izin","Ü"),1)))</f>
        <v/>
      </c>
      <c r="Z23" s="20" t="str">
        <f aca="false">IF(OR($B23="",Z$5=""),"",IF(SUMPRODUCT(MAX((İzinler!$A$5:$A$504=$B23)*(İzinler!$C$5:$C$504&lt;=Z$5)*(İzinler!$D$5:$D$504&gt;=Z$5)*ROW(İzinler!$A$5:$A$504)))=0,"",LEFT(SUBSTITUTE(SUBSTITUTE(INDEX(İzinler!$B$1:$B$504,SUMPRODUCT(MAX((İzinler!$A$5:$A$504=$B23)*(İzinler!$C$5:$C$504&lt;=Z$5)*(İzinler!$D$5:$D$504&gt;=Z$5)*ROW(İzinler!$A$5:$A$504)))),"Yıllık izin","İ"),"Ücretsiz izin","Ü"),1)))</f>
        <v/>
      </c>
      <c r="AA23" s="20" t="str">
        <f aca="false">IF(OR($B23="",AA$5=""),"",IF(SUMPRODUCT(MAX((İzinler!$A$5:$A$504=$B23)*(İzinler!$C$5:$C$504&lt;=AA$5)*(İzinler!$D$5:$D$504&gt;=AA$5)*ROW(İzinler!$A$5:$A$504)))=0,"",LEFT(SUBSTITUTE(SUBSTITUTE(INDEX(İzinler!$B$1:$B$504,SUMPRODUCT(MAX((İzinler!$A$5:$A$504=$B23)*(İzinler!$C$5:$C$504&lt;=AA$5)*(İzinler!$D$5:$D$504&gt;=AA$5)*ROW(İzinler!$A$5:$A$504)))),"Yıllık izin","İ"),"Ücretsiz izin","Ü"),1)))</f>
        <v/>
      </c>
      <c r="AB23" s="20" t="str">
        <f aca="false">IF(OR($B23="",AB$5=""),"",IF(SUMPRODUCT(MAX((İzinler!$A$5:$A$504=$B23)*(İzinler!$C$5:$C$504&lt;=AB$5)*(İzinler!$D$5:$D$504&gt;=AB$5)*ROW(İzinler!$A$5:$A$504)))=0,"",LEFT(SUBSTITUTE(SUBSTITUTE(INDEX(İzinler!$B$1:$B$504,SUMPRODUCT(MAX((İzinler!$A$5:$A$504=$B23)*(İzinler!$C$5:$C$504&lt;=AB$5)*(İzinler!$D$5:$D$504&gt;=AB$5)*ROW(İzinler!$A$5:$A$504)))),"Yıllık izin","İ"),"Ücretsiz izin","Ü"),1)))</f>
        <v/>
      </c>
      <c r="AC23" s="20" t="str">
        <f aca="false">IF(OR($B23="",AC$5=""),"",IF(SUMPRODUCT(MAX((İzinler!$A$5:$A$504=$B23)*(İzinler!$C$5:$C$504&lt;=AC$5)*(İzinler!$D$5:$D$504&gt;=AC$5)*ROW(İzinler!$A$5:$A$504)))=0,"",LEFT(SUBSTITUTE(SUBSTITUTE(INDEX(İzinler!$B$1:$B$504,SUMPRODUCT(MAX((İzinler!$A$5:$A$504=$B23)*(İzinler!$C$5:$C$504&lt;=AC$5)*(İzinler!$D$5:$D$504&gt;=AC$5)*ROW(İzinler!$A$5:$A$504)))),"Yıllık izin","İ"),"Ücretsiz izin","Ü"),1)))</f>
        <v/>
      </c>
      <c r="AD23" s="20" t="str">
        <f aca="false">IF(OR($B23="",AD$5=""),"",IF(SUMPRODUCT(MAX((İzinler!$A$5:$A$504=$B23)*(İzinler!$C$5:$C$504&lt;=AD$5)*(İzinler!$D$5:$D$504&gt;=AD$5)*ROW(İzinler!$A$5:$A$504)))=0,"",LEFT(SUBSTITUTE(SUBSTITUTE(INDEX(İzinler!$B$1:$B$504,SUMPRODUCT(MAX((İzinler!$A$5:$A$504=$B23)*(İzinler!$C$5:$C$504&lt;=AD$5)*(İzinler!$D$5:$D$504&gt;=AD$5)*ROW(İzinler!$A$5:$A$504)))),"Yıllık izin","İ"),"Ücretsiz izin","Ü"),1)))</f>
        <v/>
      </c>
      <c r="AE23" s="20" t="str">
        <f aca="false">IF(OR($B23="",AE$5=""),"",IF(SUMPRODUCT(MAX((İzinler!$A$5:$A$504=$B23)*(İzinler!$C$5:$C$504&lt;=AE$5)*(İzinler!$D$5:$D$504&gt;=AE$5)*ROW(İzinler!$A$5:$A$504)))=0,"",LEFT(SUBSTITUTE(SUBSTITUTE(INDEX(İzinler!$B$1:$B$504,SUMPRODUCT(MAX((İzinler!$A$5:$A$504=$B23)*(İzinler!$C$5:$C$504&lt;=AE$5)*(İzinler!$D$5:$D$504&gt;=AE$5)*ROW(İzinler!$A$5:$A$504)))),"Yıllık izin","İ"),"Ücretsiz izin","Ü"),1)))</f>
        <v/>
      </c>
      <c r="AF23" s="20" t="str">
        <f aca="false">IF(OR($B23="",AF$5=""),"",IF(SUMPRODUCT(MAX((İzinler!$A$5:$A$504=$B23)*(İzinler!$C$5:$C$504&lt;=AF$5)*(İzinler!$D$5:$D$504&gt;=AF$5)*ROW(İzinler!$A$5:$A$504)))=0,"",LEFT(SUBSTITUTE(SUBSTITUTE(INDEX(İzinler!$B$1:$B$504,SUMPRODUCT(MAX((İzinler!$A$5:$A$504=$B23)*(İzinler!$C$5:$C$504&lt;=AF$5)*(İzinler!$D$5:$D$504&gt;=AF$5)*ROW(İzinler!$A$5:$A$504)))),"Yıllık izin","İ"),"Ücretsiz izin","Ü"),1)))</f>
        <v/>
      </c>
      <c r="AG23" s="20" t="str">
        <f aca="false">IF(OR($B23="",AG$5=""),"",IF(SUMPRODUCT(MAX((İzinler!$A$5:$A$504=$B23)*(İzinler!$C$5:$C$504&lt;=AG$5)*(İzinler!$D$5:$D$504&gt;=AG$5)*ROW(İzinler!$A$5:$A$504)))=0,"",LEFT(SUBSTITUTE(SUBSTITUTE(INDEX(İzinler!$B$1:$B$504,SUMPRODUCT(MAX((İzinler!$A$5:$A$504=$B23)*(İzinler!$C$5:$C$504&lt;=AG$5)*(İzinler!$D$5:$D$504&gt;=AG$5)*ROW(İzinler!$A$5:$A$504)))),"Yıllık izin","İ"),"Ücretsiz izin","Ü"),1)))</f>
        <v/>
      </c>
      <c r="AH23" s="21" t="str">
        <f aca="false">IF(B23="","",COUNTIF(C23:AG23,"?"))</f>
        <v/>
      </c>
    </row>
    <row r="24" customFormat="false" ht="15" hidden="false" customHeight="false" outlineLevel="0" collapsed="false">
      <c r="B24" s="16" t="str">
        <f aca="false">IF(Personel!A23="","",Personel!A23)</f>
        <v/>
      </c>
      <c r="C24" s="20" t="str">
        <f aca="false">IF(OR($B24="",C$5=""),"",IF(SUMPRODUCT(MAX((İzinler!$A$5:$A$504=$B24)*(İzinler!$C$5:$C$504&lt;=C$5)*(İzinler!$D$5:$D$504&gt;=C$5)*ROW(İzinler!$A$5:$A$504)))=0,"",LEFT(SUBSTITUTE(SUBSTITUTE(INDEX(İzinler!$B$1:$B$504,SUMPRODUCT(MAX((İzinler!$A$5:$A$504=$B24)*(İzinler!$C$5:$C$504&lt;=C$5)*(İzinler!$D$5:$D$504&gt;=C$5)*ROW(İzinler!$A$5:$A$504)))),"Yıllık izin","İ"),"Ücretsiz izin","Ü"),1)))</f>
        <v/>
      </c>
      <c r="D24" s="20" t="str">
        <f aca="false">IF(OR($B24="",D$5=""),"",IF(SUMPRODUCT(MAX((İzinler!$A$5:$A$504=$B24)*(İzinler!$C$5:$C$504&lt;=D$5)*(İzinler!$D$5:$D$504&gt;=D$5)*ROW(İzinler!$A$5:$A$504)))=0,"",LEFT(SUBSTITUTE(SUBSTITUTE(INDEX(İzinler!$B$1:$B$504,SUMPRODUCT(MAX((İzinler!$A$5:$A$504=$B24)*(İzinler!$C$5:$C$504&lt;=D$5)*(İzinler!$D$5:$D$504&gt;=D$5)*ROW(İzinler!$A$5:$A$504)))),"Yıllık izin","İ"),"Ücretsiz izin","Ü"),1)))</f>
        <v/>
      </c>
      <c r="E24" s="20" t="str">
        <f aca="false">IF(OR($B24="",E$5=""),"",IF(SUMPRODUCT(MAX((İzinler!$A$5:$A$504=$B24)*(İzinler!$C$5:$C$504&lt;=E$5)*(İzinler!$D$5:$D$504&gt;=E$5)*ROW(İzinler!$A$5:$A$504)))=0,"",LEFT(SUBSTITUTE(SUBSTITUTE(INDEX(İzinler!$B$1:$B$504,SUMPRODUCT(MAX((İzinler!$A$5:$A$504=$B24)*(İzinler!$C$5:$C$504&lt;=E$5)*(İzinler!$D$5:$D$504&gt;=E$5)*ROW(İzinler!$A$5:$A$504)))),"Yıllık izin","İ"),"Ücretsiz izin","Ü"),1)))</f>
        <v/>
      </c>
      <c r="F24" s="20" t="str">
        <f aca="false">IF(OR($B24="",F$5=""),"",IF(SUMPRODUCT(MAX((İzinler!$A$5:$A$504=$B24)*(İzinler!$C$5:$C$504&lt;=F$5)*(İzinler!$D$5:$D$504&gt;=F$5)*ROW(İzinler!$A$5:$A$504)))=0,"",LEFT(SUBSTITUTE(SUBSTITUTE(INDEX(İzinler!$B$1:$B$504,SUMPRODUCT(MAX((İzinler!$A$5:$A$504=$B24)*(İzinler!$C$5:$C$504&lt;=F$5)*(İzinler!$D$5:$D$504&gt;=F$5)*ROW(İzinler!$A$5:$A$504)))),"Yıllık izin","İ"),"Ücretsiz izin","Ü"),1)))</f>
        <v/>
      </c>
      <c r="G24" s="20" t="str">
        <f aca="false">IF(OR($B24="",G$5=""),"",IF(SUMPRODUCT(MAX((İzinler!$A$5:$A$504=$B24)*(İzinler!$C$5:$C$504&lt;=G$5)*(İzinler!$D$5:$D$504&gt;=G$5)*ROW(İzinler!$A$5:$A$504)))=0,"",LEFT(SUBSTITUTE(SUBSTITUTE(INDEX(İzinler!$B$1:$B$504,SUMPRODUCT(MAX((İzinler!$A$5:$A$504=$B24)*(İzinler!$C$5:$C$504&lt;=G$5)*(İzinler!$D$5:$D$504&gt;=G$5)*ROW(İzinler!$A$5:$A$504)))),"Yıllık izin","İ"),"Ücretsiz izin","Ü"),1)))</f>
        <v/>
      </c>
      <c r="H24" s="20" t="str">
        <f aca="false">IF(OR($B24="",H$5=""),"",IF(SUMPRODUCT(MAX((İzinler!$A$5:$A$504=$B24)*(İzinler!$C$5:$C$504&lt;=H$5)*(İzinler!$D$5:$D$504&gt;=H$5)*ROW(İzinler!$A$5:$A$504)))=0,"",LEFT(SUBSTITUTE(SUBSTITUTE(INDEX(İzinler!$B$1:$B$504,SUMPRODUCT(MAX((İzinler!$A$5:$A$504=$B24)*(İzinler!$C$5:$C$504&lt;=H$5)*(İzinler!$D$5:$D$504&gt;=H$5)*ROW(İzinler!$A$5:$A$504)))),"Yıllık izin","İ"),"Ücretsiz izin","Ü"),1)))</f>
        <v/>
      </c>
      <c r="I24" s="20" t="str">
        <f aca="false">IF(OR($B24="",I$5=""),"",IF(SUMPRODUCT(MAX((İzinler!$A$5:$A$504=$B24)*(İzinler!$C$5:$C$504&lt;=I$5)*(İzinler!$D$5:$D$504&gt;=I$5)*ROW(İzinler!$A$5:$A$504)))=0,"",LEFT(SUBSTITUTE(SUBSTITUTE(INDEX(İzinler!$B$1:$B$504,SUMPRODUCT(MAX((İzinler!$A$5:$A$504=$B24)*(İzinler!$C$5:$C$504&lt;=I$5)*(İzinler!$D$5:$D$504&gt;=I$5)*ROW(İzinler!$A$5:$A$504)))),"Yıllık izin","İ"),"Ücretsiz izin","Ü"),1)))</f>
        <v/>
      </c>
      <c r="J24" s="20" t="str">
        <f aca="false">IF(OR($B24="",J$5=""),"",IF(SUMPRODUCT(MAX((İzinler!$A$5:$A$504=$B24)*(İzinler!$C$5:$C$504&lt;=J$5)*(İzinler!$D$5:$D$504&gt;=J$5)*ROW(İzinler!$A$5:$A$504)))=0,"",LEFT(SUBSTITUTE(SUBSTITUTE(INDEX(İzinler!$B$1:$B$504,SUMPRODUCT(MAX((İzinler!$A$5:$A$504=$B24)*(İzinler!$C$5:$C$504&lt;=J$5)*(İzinler!$D$5:$D$504&gt;=J$5)*ROW(İzinler!$A$5:$A$504)))),"Yıllık izin","İ"),"Ücretsiz izin","Ü"),1)))</f>
        <v/>
      </c>
      <c r="K24" s="20" t="str">
        <f aca="false">IF(OR($B24="",K$5=""),"",IF(SUMPRODUCT(MAX((İzinler!$A$5:$A$504=$B24)*(İzinler!$C$5:$C$504&lt;=K$5)*(İzinler!$D$5:$D$504&gt;=K$5)*ROW(İzinler!$A$5:$A$504)))=0,"",LEFT(SUBSTITUTE(SUBSTITUTE(INDEX(İzinler!$B$1:$B$504,SUMPRODUCT(MAX((İzinler!$A$5:$A$504=$B24)*(İzinler!$C$5:$C$504&lt;=K$5)*(İzinler!$D$5:$D$504&gt;=K$5)*ROW(İzinler!$A$5:$A$504)))),"Yıllık izin","İ"),"Ücretsiz izin","Ü"),1)))</f>
        <v/>
      </c>
      <c r="L24" s="20" t="str">
        <f aca="false">IF(OR($B24="",L$5=""),"",IF(SUMPRODUCT(MAX((İzinler!$A$5:$A$504=$B24)*(İzinler!$C$5:$C$504&lt;=L$5)*(İzinler!$D$5:$D$504&gt;=L$5)*ROW(İzinler!$A$5:$A$504)))=0,"",LEFT(SUBSTITUTE(SUBSTITUTE(INDEX(İzinler!$B$1:$B$504,SUMPRODUCT(MAX((İzinler!$A$5:$A$504=$B24)*(İzinler!$C$5:$C$504&lt;=L$5)*(İzinler!$D$5:$D$504&gt;=L$5)*ROW(İzinler!$A$5:$A$504)))),"Yıllık izin","İ"),"Ücretsiz izin","Ü"),1)))</f>
        <v/>
      </c>
      <c r="M24" s="20" t="str">
        <f aca="false">IF(OR($B24="",M$5=""),"",IF(SUMPRODUCT(MAX((İzinler!$A$5:$A$504=$B24)*(İzinler!$C$5:$C$504&lt;=M$5)*(İzinler!$D$5:$D$504&gt;=M$5)*ROW(İzinler!$A$5:$A$504)))=0,"",LEFT(SUBSTITUTE(SUBSTITUTE(INDEX(İzinler!$B$1:$B$504,SUMPRODUCT(MAX((İzinler!$A$5:$A$504=$B24)*(İzinler!$C$5:$C$504&lt;=M$5)*(İzinler!$D$5:$D$504&gt;=M$5)*ROW(İzinler!$A$5:$A$504)))),"Yıllık izin","İ"),"Ücretsiz izin","Ü"),1)))</f>
        <v/>
      </c>
      <c r="N24" s="20" t="str">
        <f aca="false">IF(OR($B24="",N$5=""),"",IF(SUMPRODUCT(MAX((İzinler!$A$5:$A$504=$B24)*(İzinler!$C$5:$C$504&lt;=N$5)*(İzinler!$D$5:$D$504&gt;=N$5)*ROW(İzinler!$A$5:$A$504)))=0,"",LEFT(SUBSTITUTE(SUBSTITUTE(INDEX(İzinler!$B$1:$B$504,SUMPRODUCT(MAX((İzinler!$A$5:$A$504=$B24)*(İzinler!$C$5:$C$504&lt;=N$5)*(İzinler!$D$5:$D$504&gt;=N$5)*ROW(İzinler!$A$5:$A$504)))),"Yıllık izin","İ"),"Ücretsiz izin","Ü"),1)))</f>
        <v/>
      </c>
      <c r="O24" s="20" t="str">
        <f aca="false">IF(OR($B24="",O$5=""),"",IF(SUMPRODUCT(MAX((İzinler!$A$5:$A$504=$B24)*(İzinler!$C$5:$C$504&lt;=O$5)*(İzinler!$D$5:$D$504&gt;=O$5)*ROW(İzinler!$A$5:$A$504)))=0,"",LEFT(SUBSTITUTE(SUBSTITUTE(INDEX(İzinler!$B$1:$B$504,SUMPRODUCT(MAX((İzinler!$A$5:$A$504=$B24)*(İzinler!$C$5:$C$504&lt;=O$5)*(İzinler!$D$5:$D$504&gt;=O$5)*ROW(İzinler!$A$5:$A$504)))),"Yıllık izin","İ"),"Ücretsiz izin","Ü"),1)))</f>
        <v/>
      </c>
      <c r="P24" s="20" t="str">
        <f aca="false">IF(OR($B24="",P$5=""),"",IF(SUMPRODUCT(MAX((İzinler!$A$5:$A$504=$B24)*(İzinler!$C$5:$C$504&lt;=P$5)*(İzinler!$D$5:$D$504&gt;=P$5)*ROW(İzinler!$A$5:$A$504)))=0,"",LEFT(SUBSTITUTE(SUBSTITUTE(INDEX(İzinler!$B$1:$B$504,SUMPRODUCT(MAX((İzinler!$A$5:$A$504=$B24)*(İzinler!$C$5:$C$504&lt;=P$5)*(İzinler!$D$5:$D$504&gt;=P$5)*ROW(İzinler!$A$5:$A$504)))),"Yıllık izin","İ"),"Ücretsiz izin","Ü"),1)))</f>
        <v/>
      </c>
      <c r="Q24" s="20" t="str">
        <f aca="false">IF(OR($B24="",Q$5=""),"",IF(SUMPRODUCT(MAX((İzinler!$A$5:$A$504=$B24)*(İzinler!$C$5:$C$504&lt;=Q$5)*(İzinler!$D$5:$D$504&gt;=Q$5)*ROW(İzinler!$A$5:$A$504)))=0,"",LEFT(SUBSTITUTE(SUBSTITUTE(INDEX(İzinler!$B$1:$B$504,SUMPRODUCT(MAX((İzinler!$A$5:$A$504=$B24)*(İzinler!$C$5:$C$504&lt;=Q$5)*(İzinler!$D$5:$D$504&gt;=Q$5)*ROW(İzinler!$A$5:$A$504)))),"Yıllık izin","İ"),"Ücretsiz izin","Ü"),1)))</f>
        <v/>
      </c>
      <c r="R24" s="20" t="str">
        <f aca="false">IF(OR($B24="",R$5=""),"",IF(SUMPRODUCT(MAX((İzinler!$A$5:$A$504=$B24)*(İzinler!$C$5:$C$504&lt;=R$5)*(İzinler!$D$5:$D$504&gt;=R$5)*ROW(İzinler!$A$5:$A$504)))=0,"",LEFT(SUBSTITUTE(SUBSTITUTE(INDEX(İzinler!$B$1:$B$504,SUMPRODUCT(MAX((İzinler!$A$5:$A$504=$B24)*(İzinler!$C$5:$C$504&lt;=R$5)*(İzinler!$D$5:$D$504&gt;=R$5)*ROW(İzinler!$A$5:$A$504)))),"Yıllık izin","İ"),"Ücretsiz izin","Ü"),1)))</f>
        <v/>
      </c>
      <c r="S24" s="20" t="str">
        <f aca="false">IF(OR($B24="",S$5=""),"",IF(SUMPRODUCT(MAX((İzinler!$A$5:$A$504=$B24)*(İzinler!$C$5:$C$504&lt;=S$5)*(İzinler!$D$5:$D$504&gt;=S$5)*ROW(İzinler!$A$5:$A$504)))=0,"",LEFT(SUBSTITUTE(SUBSTITUTE(INDEX(İzinler!$B$1:$B$504,SUMPRODUCT(MAX((İzinler!$A$5:$A$504=$B24)*(İzinler!$C$5:$C$504&lt;=S$5)*(İzinler!$D$5:$D$504&gt;=S$5)*ROW(İzinler!$A$5:$A$504)))),"Yıllık izin","İ"),"Ücretsiz izin","Ü"),1)))</f>
        <v/>
      </c>
      <c r="T24" s="20" t="str">
        <f aca="false">IF(OR($B24="",T$5=""),"",IF(SUMPRODUCT(MAX((İzinler!$A$5:$A$504=$B24)*(İzinler!$C$5:$C$504&lt;=T$5)*(İzinler!$D$5:$D$504&gt;=T$5)*ROW(İzinler!$A$5:$A$504)))=0,"",LEFT(SUBSTITUTE(SUBSTITUTE(INDEX(İzinler!$B$1:$B$504,SUMPRODUCT(MAX((İzinler!$A$5:$A$504=$B24)*(İzinler!$C$5:$C$504&lt;=T$5)*(İzinler!$D$5:$D$504&gt;=T$5)*ROW(İzinler!$A$5:$A$504)))),"Yıllık izin","İ"),"Ücretsiz izin","Ü"),1)))</f>
        <v/>
      </c>
      <c r="U24" s="20" t="str">
        <f aca="false">IF(OR($B24="",U$5=""),"",IF(SUMPRODUCT(MAX((İzinler!$A$5:$A$504=$B24)*(İzinler!$C$5:$C$504&lt;=U$5)*(İzinler!$D$5:$D$504&gt;=U$5)*ROW(İzinler!$A$5:$A$504)))=0,"",LEFT(SUBSTITUTE(SUBSTITUTE(INDEX(İzinler!$B$1:$B$504,SUMPRODUCT(MAX((İzinler!$A$5:$A$504=$B24)*(İzinler!$C$5:$C$504&lt;=U$5)*(İzinler!$D$5:$D$504&gt;=U$5)*ROW(İzinler!$A$5:$A$504)))),"Yıllık izin","İ"),"Ücretsiz izin","Ü"),1)))</f>
        <v/>
      </c>
      <c r="V24" s="20" t="str">
        <f aca="false">IF(OR($B24="",V$5=""),"",IF(SUMPRODUCT(MAX((İzinler!$A$5:$A$504=$B24)*(İzinler!$C$5:$C$504&lt;=V$5)*(İzinler!$D$5:$D$504&gt;=V$5)*ROW(İzinler!$A$5:$A$504)))=0,"",LEFT(SUBSTITUTE(SUBSTITUTE(INDEX(İzinler!$B$1:$B$504,SUMPRODUCT(MAX((İzinler!$A$5:$A$504=$B24)*(İzinler!$C$5:$C$504&lt;=V$5)*(İzinler!$D$5:$D$504&gt;=V$5)*ROW(İzinler!$A$5:$A$504)))),"Yıllık izin","İ"),"Ücretsiz izin","Ü"),1)))</f>
        <v/>
      </c>
      <c r="W24" s="20" t="str">
        <f aca="false">IF(OR($B24="",W$5=""),"",IF(SUMPRODUCT(MAX((İzinler!$A$5:$A$504=$B24)*(İzinler!$C$5:$C$504&lt;=W$5)*(İzinler!$D$5:$D$504&gt;=W$5)*ROW(İzinler!$A$5:$A$504)))=0,"",LEFT(SUBSTITUTE(SUBSTITUTE(INDEX(İzinler!$B$1:$B$504,SUMPRODUCT(MAX((İzinler!$A$5:$A$504=$B24)*(İzinler!$C$5:$C$504&lt;=W$5)*(İzinler!$D$5:$D$504&gt;=W$5)*ROW(İzinler!$A$5:$A$504)))),"Yıllık izin","İ"),"Ücretsiz izin","Ü"),1)))</f>
        <v/>
      </c>
      <c r="X24" s="20" t="str">
        <f aca="false">IF(OR($B24="",X$5=""),"",IF(SUMPRODUCT(MAX((İzinler!$A$5:$A$504=$B24)*(İzinler!$C$5:$C$504&lt;=X$5)*(İzinler!$D$5:$D$504&gt;=X$5)*ROW(İzinler!$A$5:$A$504)))=0,"",LEFT(SUBSTITUTE(SUBSTITUTE(INDEX(İzinler!$B$1:$B$504,SUMPRODUCT(MAX((İzinler!$A$5:$A$504=$B24)*(İzinler!$C$5:$C$504&lt;=X$5)*(İzinler!$D$5:$D$504&gt;=X$5)*ROW(İzinler!$A$5:$A$504)))),"Yıllık izin","İ"),"Ücretsiz izin","Ü"),1)))</f>
        <v/>
      </c>
      <c r="Y24" s="20" t="str">
        <f aca="false">IF(OR($B24="",Y$5=""),"",IF(SUMPRODUCT(MAX((İzinler!$A$5:$A$504=$B24)*(İzinler!$C$5:$C$504&lt;=Y$5)*(İzinler!$D$5:$D$504&gt;=Y$5)*ROW(İzinler!$A$5:$A$504)))=0,"",LEFT(SUBSTITUTE(SUBSTITUTE(INDEX(İzinler!$B$1:$B$504,SUMPRODUCT(MAX((İzinler!$A$5:$A$504=$B24)*(İzinler!$C$5:$C$504&lt;=Y$5)*(İzinler!$D$5:$D$504&gt;=Y$5)*ROW(İzinler!$A$5:$A$504)))),"Yıllık izin","İ"),"Ücretsiz izin","Ü"),1)))</f>
        <v/>
      </c>
      <c r="Z24" s="20" t="str">
        <f aca="false">IF(OR($B24="",Z$5=""),"",IF(SUMPRODUCT(MAX((İzinler!$A$5:$A$504=$B24)*(İzinler!$C$5:$C$504&lt;=Z$5)*(İzinler!$D$5:$D$504&gt;=Z$5)*ROW(İzinler!$A$5:$A$504)))=0,"",LEFT(SUBSTITUTE(SUBSTITUTE(INDEX(İzinler!$B$1:$B$504,SUMPRODUCT(MAX((İzinler!$A$5:$A$504=$B24)*(İzinler!$C$5:$C$504&lt;=Z$5)*(İzinler!$D$5:$D$504&gt;=Z$5)*ROW(İzinler!$A$5:$A$504)))),"Yıllık izin","İ"),"Ücretsiz izin","Ü"),1)))</f>
        <v/>
      </c>
      <c r="AA24" s="20" t="str">
        <f aca="false">IF(OR($B24="",AA$5=""),"",IF(SUMPRODUCT(MAX((İzinler!$A$5:$A$504=$B24)*(İzinler!$C$5:$C$504&lt;=AA$5)*(İzinler!$D$5:$D$504&gt;=AA$5)*ROW(İzinler!$A$5:$A$504)))=0,"",LEFT(SUBSTITUTE(SUBSTITUTE(INDEX(İzinler!$B$1:$B$504,SUMPRODUCT(MAX((İzinler!$A$5:$A$504=$B24)*(İzinler!$C$5:$C$504&lt;=AA$5)*(İzinler!$D$5:$D$504&gt;=AA$5)*ROW(İzinler!$A$5:$A$504)))),"Yıllık izin","İ"),"Ücretsiz izin","Ü"),1)))</f>
        <v/>
      </c>
      <c r="AB24" s="20" t="str">
        <f aca="false">IF(OR($B24="",AB$5=""),"",IF(SUMPRODUCT(MAX((İzinler!$A$5:$A$504=$B24)*(İzinler!$C$5:$C$504&lt;=AB$5)*(İzinler!$D$5:$D$504&gt;=AB$5)*ROW(İzinler!$A$5:$A$504)))=0,"",LEFT(SUBSTITUTE(SUBSTITUTE(INDEX(İzinler!$B$1:$B$504,SUMPRODUCT(MAX((İzinler!$A$5:$A$504=$B24)*(İzinler!$C$5:$C$504&lt;=AB$5)*(İzinler!$D$5:$D$504&gt;=AB$5)*ROW(İzinler!$A$5:$A$504)))),"Yıllık izin","İ"),"Ücretsiz izin","Ü"),1)))</f>
        <v/>
      </c>
      <c r="AC24" s="20" t="str">
        <f aca="false">IF(OR($B24="",AC$5=""),"",IF(SUMPRODUCT(MAX((İzinler!$A$5:$A$504=$B24)*(İzinler!$C$5:$C$504&lt;=AC$5)*(İzinler!$D$5:$D$504&gt;=AC$5)*ROW(İzinler!$A$5:$A$504)))=0,"",LEFT(SUBSTITUTE(SUBSTITUTE(INDEX(İzinler!$B$1:$B$504,SUMPRODUCT(MAX((İzinler!$A$5:$A$504=$B24)*(İzinler!$C$5:$C$504&lt;=AC$5)*(İzinler!$D$5:$D$504&gt;=AC$5)*ROW(İzinler!$A$5:$A$504)))),"Yıllık izin","İ"),"Ücretsiz izin","Ü"),1)))</f>
        <v/>
      </c>
      <c r="AD24" s="20" t="str">
        <f aca="false">IF(OR($B24="",AD$5=""),"",IF(SUMPRODUCT(MAX((İzinler!$A$5:$A$504=$B24)*(İzinler!$C$5:$C$504&lt;=AD$5)*(İzinler!$D$5:$D$504&gt;=AD$5)*ROW(İzinler!$A$5:$A$504)))=0,"",LEFT(SUBSTITUTE(SUBSTITUTE(INDEX(İzinler!$B$1:$B$504,SUMPRODUCT(MAX((İzinler!$A$5:$A$504=$B24)*(İzinler!$C$5:$C$504&lt;=AD$5)*(İzinler!$D$5:$D$504&gt;=AD$5)*ROW(İzinler!$A$5:$A$504)))),"Yıllık izin","İ"),"Ücretsiz izin","Ü"),1)))</f>
        <v/>
      </c>
      <c r="AE24" s="20" t="str">
        <f aca="false">IF(OR($B24="",AE$5=""),"",IF(SUMPRODUCT(MAX((İzinler!$A$5:$A$504=$B24)*(İzinler!$C$5:$C$504&lt;=AE$5)*(İzinler!$D$5:$D$504&gt;=AE$5)*ROW(İzinler!$A$5:$A$504)))=0,"",LEFT(SUBSTITUTE(SUBSTITUTE(INDEX(İzinler!$B$1:$B$504,SUMPRODUCT(MAX((İzinler!$A$5:$A$504=$B24)*(İzinler!$C$5:$C$504&lt;=AE$5)*(İzinler!$D$5:$D$504&gt;=AE$5)*ROW(İzinler!$A$5:$A$504)))),"Yıllık izin","İ"),"Ücretsiz izin","Ü"),1)))</f>
        <v/>
      </c>
      <c r="AF24" s="20" t="str">
        <f aca="false">IF(OR($B24="",AF$5=""),"",IF(SUMPRODUCT(MAX((İzinler!$A$5:$A$504=$B24)*(İzinler!$C$5:$C$504&lt;=AF$5)*(İzinler!$D$5:$D$504&gt;=AF$5)*ROW(İzinler!$A$5:$A$504)))=0,"",LEFT(SUBSTITUTE(SUBSTITUTE(INDEX(İzinler!$B$1:$B$504,SUMPRODUCT(MAX((İzinler!$A$5:$A$504=$B24)*(İzinler!$C$5:$C$504&lt;=AF$5)*(İzinler!$D$5:$D$504&gt;=AF$5)*ROW(İzinler!$A$5:$A$504)))),"Yıllık izin","İ"),"Ücretsiz izin","Ü"),1)))</f>
        <v/>
      </c>
      <c r="AG24" s="20" t="str">
        <f aca="false">IF(OR($B24="",AG$5=""),"",IF(SUMPRODUCT(MAX((İzinler!$A$5:$A$504=$B24)*(İzinler!$C$5:$C$504&lt;=AG$5)*(İzinler!$D$5:$D$504&gt;=AG$5)*ROW(İzinler!$A$5:$A$504)))=0,"",LEFT(SUBSTITUTE(SUBSTITUTE(INDEX(İzinler!$B$1:$B$504,SUMPRODUCT(MAX((İzinler!$A$5:$A$504=$B24)*(İzinler!$C$5:$C$504&lt;=AG$5)*(İzinler!$D$5:$D$504&gt;=AG$5)*ROW(İzinler!$A$5:$A$504)))),"Yıllık izin","İ"),"Ücretsiz izin","Ü"),1)))</f>
        <v/>
      </c>
      <c r="AH24" s="21" t="str">
        <f aca="false">IF(B24="","",COUNTIF(C24:AG24,"?"))</f>
        <v/>
      </c>
    </row>
    <row r="25" customFormat="false" ht="15" hidden="false" customHeight="false" outlineLevel="0" collapsed="false">
      <c r="B25" s="16" t="str">
        <f aca="false">IF(Personel!A24="","",Personel!A24)</f>
        <v/>
      </c>
      <c r="C25" s="20" t="str">
        <f aca="false">IF(OR($B25="",C$5=""),"",IF(SUMPRODUCT(MAX((İzinler!$A$5:$A$504=$B25)*(İzinler!$C$5:$C$504&lt;=C$5)*(İzinler!$D$5:$D$504&gt;=C$5)*ROW(İzinler!$A$5:$A$504)))=0,"",LEFT(SUBSTITUTE(SUBSTITUTE(INDEX(İzinler!$B$1:$B$504,SUMPRODUCT(MAX((İzinler!$A$5:$A$504=$B25)*(İzinler!$C$5:$C$504&lt;=C$5)*(İzinler!$D$5:$D$504&gt;=C$5)*ROW(İzinler!$A$5:$A$504)))),"Yıllık izin","İ"),"Ücretsiz izin","Ü"),1)))</f>
        <v/>
      </c>
      <c r="D25" s="20" t="str">
        <f aca="false">IF(OR($B25="",D$5=""),"",IF(SUMPRODUCT(MAX((İzinler!$A$5:$A$504=$B25)*(İzinler!$C$5:$C$504&lt;=D$5)*(İzinler!$D$5:$D$504&gt;=D$5)*ROW(İzinler!$A$5:$A$504)))=0,"",LEFT(SUBSTITUTE(SUBSTITUTE(INDEX(İzinler!$B$1:$B$504,SUMPRODUCT(MAX((İzinler!$A$5:$A$504=$B25)*(İzinler!$C$5:$C$504&lt;=D$5)*(İzinler!$D$5:$D$504&gt;=D$5)*ROW(İzinler!$A$5:$A$504)))),"Yıllık izin","İ"),"Ücretsiz izin","Ü"),1)))</f>
        <v/>
      </c>
      <c r="E25" s="20" t="str">
        <f aca="false">IF(OR($B25="",E$5=""),"",IF(SUMPRODUCT(MAX((İzinler!$A$5:$A$504=$B25)*(İzinler!$C$5:$C$504&lt;=E$5)*(İzinler!$D$5:$D$504&gt;=E$5)*ROW(İzinler!$A$5:$A$504)))=0,"",LEFT(SUBSTITUTE(SUBSTITUTE(INDEX(İzinler!$B$1:$B$504,SUMPRODUCT(MAX((İzinler!$A$5:$A$504=$B25)*(İzinler!$C$5:$C$504&lt;=E$5)*(İzinler!$D$5:$D$504&gt;=E$5)*ROW(İzinler!$A$5:$A$504)))),"Yıllık izin","İ"),"Ücretsiz izin","Ü"),1)))</f>
        <v/>
      </c>
      <c r="F25" s="20" t="str">
        <f aca="false">IF(OR($B25="",F$5=""),"",IF(SUMPRODUCT(MAX((İzinler!$A$5:$A$504=$B25)*(İzinler!$C$5:$C$504&lt;=F$5)*(İzinler!$D$5:$D$504&gt;=F$5)*ROW(İzinler!$A$5:$A$504)))=0,"",LEFT(SUBSTITUTE(SUBSTITUTE(INDEX(İzinler!$B$1:$B$504,SUMPRODUCT(MAX((İzinler!$A$5:$A$504=$B25)*(İzinler!$C$5:$C$504&lt;=F$5)*(İzinler!$D$5:$D$504&gt;=F$5)*ROW(İzinler!$A$5:$A$504)))),"Yıllık izin","İ"),"Ücretsiz izin","Ü"),1)))</f>
        <v/>
      </c>
      <c r="G25" s="20" t="str">
        <f aca="false">IF(OR($B25="",G$5=""),"",IF(SUMPRODUCT(MAX((İzinler!$A$5:$A$504=$B25)*(İzinler!$C$5:$C$504&lt;=G$5)*(İzinler!$D$5:$D$504&gt;=G$5)*ROW(İzinler!$A$5:$A$504)))=0,"",LEFT(SUBSTITUTE(SUBSTITUTE(INDEX(İzinler!$B$1:$B$504,SUMPRODUCT(MAX((İzinler!$A$5:$A$504=$B25)*(İzinler!$C$5:$C$504&lt;=G$5)*(İzinler!$D$5:$D$504&gt;=G$5)*ROW(İzinler!$A$5:$A$504)))),"Yıllık izin","İ"),"Ücretsiz izin","Ü"),1)))</f>
        <v/>
      </c>
      <c r="H25" s="20" t="str">
        <f aca="false">IF(OR($B25="",H$5=""),"",IF(SUMPRODUCT(MAX((İzinler!$A$5:$A$504=$B25)*(İzinler!$C$5:$C$504&lt;=H$5)*(İzinler!$D$5:$D$504&gt;=H$5)*ROW(İzinler!$A$5:$A$504)))=0,"",LEFT(SUBSTITUTE(SUBSTITUTE(INDEX(İzinler!$B$1:$B$504,SUMPRODUCT(MAX((İzinler!$A$5:$A$504=$B25)*(İzinler!$C$5:$C$504&lt;=H$5)*(İzinler!$D$5:$D$504&gt;=H$5)*ROW(İzinler!$A$5:$A$504)))),"Yıllık izin","İ"),"Ücretsiz izin","Ü"),1)))</f>
        <v/>
      </c>
      <c r="I25" s="20" t="str">
        <f aca="false">IF(OR($B25="",I$5=""),"",IF(SUMPRODUCT(MAX((İzinler!$A$5:$A$504=$B25)*(İzinler!$C$5:$C$504&lt;=I$5)*(İzinler!$D$5:$D$504&gt;=I$5)*ROW(İzinler!$A$5:$A$504)))=0,"",LEFT(SUBSTITUTE(SUBSTITUTE(INDEX(İzinler!$B$1:$B$504,SUMPRODUCT(MAX((İzinler!$A$5:$A$504=$B25)*(İzinler!$C$5:$C$504&lt;=I$5)*(İzinler!$D$5:$D$504&gt;=I$5)*ROW(İzinler!$A$5:$A$504)))),"Yıllık izin","İ"),"Ücretsiz izin","Ü"),1)))</f>
        <v/>
      </c>
      <c r="J25" s="20" t="str">
        <f aca="false">IF(OR($B25="",J$5=""),"",IF(SUMPRODUCT(MAX((İzinler!$A$5:$A$504=$B25)*(İzinler!$C$5:$C$504&lt;=J$5)*(İzinler!$D$5:$D$504&gt;=J$5)*ROW(İzinler!$A$5:$A$504)))=0,"",LEFT(SUBSTITUTE(SUBSTITUTE(INDEX(İzinler!$B$1:$B$504,SUMPRODUCT(MAX((İzinler!$A$5:$A$504=$B25)*(İzinler!$C$5:$C$504&lt;=J$5)*(İzinler!$D$5:$D$504&gt;=J$5)*ROW(İzinler!$A$5:$A$504)))),"Yıllık izin","İ"),"Ücretsiz izin","Ü"),1)))</f>
        <v/>
      </c>
      <c r="K25" s="20" t="str">
        <f aca="false">IF(OR($B25="",K$5=""),"",IF(SUMPRODUCT(MAX((İzinler!$A$5:$A$504=$B25)*(İzinler!$C$5:$C$504&lt;=K$5)*(İzinler!$D$5:$D$504&gt;=K$5)*ROW(İzinler!$A$5:$A$504)))=0,"",LEFT(SUBSTITUTE(SUBSTITUTE(INDEX(İzinler!$B$1:$B$504,SUMPRODUCT(MAX((İzinler!$A$5:$A$504=$B25)*(İzinler!$C$5:$C$504&lt;=K$5)*(İzinler!$D$5:$D$504&gt;=K$5)*ROW(İzinler!$A$5:$A$504)))),"Yıllık izin","İ"),"Ücretsiz izin","Ü"),1)))</f>
        <v/>
      </c>
      <c r="L25" s="20" t="str">
        <f aca="false">IF(OR($B25="",L$5=""),"",IF(SUMPRODUCT(MAX((İzinler!$A$5:$A$504=$B25)*(İzinler!$C$5:$C$504&lt;=L$5)*(İzinler!$D$5:$D$504&gt;=L$5)*ROW(İzinler!$A$5:$A$504)))=0,"",LEFT(SUBSTITUTE(SUBSTITUTE(INDEX(İzinler!$B$1:$B$504,SUMPRODUCT(MAX((İzinler!$A$5:$A$504=$B25)*(İzinler!$C$5:$C$504&lt;=L$5)*(İzinler!$D$5:$D$504&gt;=L$5)*ROW(İzinler!$A$5:$A$504)))),"Yıllık izin","İ"),"Ücretsiz izin","Ü"),1)))</f>
        <v/>
      </c>
      <c r="M25" s="20" t="str">
        <f aca="false">IF(OR($B25="",M$5=""),"",IF(SUMPRODUCT(MAX((İzinler!$A$5:$A$504=$B25)*(İzinler!$C$5:$C$504&lt;=M$5)*(İzinler!$D$5:$D$504&gt;=M$5)*ROW(İzinler!$A$5:$A$504)))=0,"",LEFT(SUBSTITUTE(SUBSTITUTE(INDEX(İzinler!$B$1:$B$504,SUMPRODUCT(MAX((İzinler!$A$5:$A$504=$B25)*(İzinler!$C$5:$C$504&lt;=M$5)*(İzinler!$D$5:$D$504&gt;=M$5)*ROW(İzinler!$A$5:$A$504)))),"Yıllık izin","İ"),"Ücretsiz izin","Ü"),1)))</f>
        <v/>
      </c>
      <c r="N25" s="20" t="str">
        <f aca="false">IF(OR($B25="",N$5=""),"",IF(SUMPRODUCT(MAX((İzinler!$A$5:$A$504=$B25)*(İzinler!$C$5:$C$504&lt;=N$5)*(İzinler!$D$5:$D$504&gt;=N$5)*ROW(İzinler!$A$5:$A$504)))=0,"",LEFT(SUBSTITUTE(SUBSTITUTE(INDEX(İzinler!$B$1:$B$504,SUMPRODUCT(MAX((İzinler!$A$5:$A$504=$B25)*(İzinler!$C$5:$C$504&lt;=N$5)*(İzinler!$D$5:$D$504&gt;=N$5)*ROW(İzinler!$A$5:$A$504)))),"Yıllık izin","İ"),"Ücretsiz izin","Ü"),1)))</f>
        <v/>
      </c>
      <c r="O25" s="20" t="str">
        <f aca="false">IF(OR($B25="",O$5=""),"",IF(SUMPRODUCT(MAX((İzinler!$A$5:$A$504=$B25)*(İzinler!$C$5:$C$504&lt;=O$5)*(İzinler!$D$5:$D$504&gt;=O$5)*ROW(İzinler!$A$5:$A$504)))=0,"",LEFT(SUBSTITUTE(SUBSTITUTE(INDEX(İzinler!$B$1:$B$504,SUMPRODUCT(MAX((İzinler!$A$5:$A$504=$B25)*(İzinler!$C$5:$C$504&lt;=O$5)*(İzinler!$D$5:$D$504&gt;=O$5)*ROW(İzinler!$A$5:$A$504)))),"Yıllık izin","İ"),"Ücretsiz izin","Ü"),1)))</f>
        <v/>
      </c>
      <c r="P25" s="20" t="str">
        <f aca="false">IF(OR($B25="",P$5=""),"",IF(SUMPRODUCT(MAX((İzinler!$A$5:$A$504=$B25)*(İzinler!$C$5:$C$504&lt;=P$5)*(İzinler!$D$5:$D$504&gt;=P$5)*ROW(İzinler!$A$5:$A$504)))=0,"",LEFT(SUBSTITUTE(SUBSTITUTE(INDEX(İzinler!$B$1:$B$504,SUMPRODUCT(MAX((İzinler!$A$5:$A$504=$B25)*(İzinler!$C$5:$C$504&lt;=P$5)*(İzinler!$D$5:$D$504&gt;=P$5)*ROW(İzinler!$A$5:$A$504)))),"Yıllık izin","İ"),"Ücretsiz izin","Ü"),1)))</f>
        <v/>
      </c>
      <c r="Q25" s="20" t="str">
        <f aca="false">IF(OR($B25="",Q$5=""),"",IF(SUMPRODUCT(MAX((İzinler!$A$5:$A$504=$B25)*(İzinler!$C$5:$C$504&lt;=Q$5)*(İzinler!$D$5:$D$504&gt;=Q$5)*ROW(İzinler!$A$5:$A$504)))=0,"",LEFT(SUBSTITUTE(SUBSTITUTE(INDEX(İzinler!$B$1:$B$504,SUMPRODUCT(MAX((İzinler!$A$5:$A$504=$B25)*(İzinler!$C$5:$C$504&lt;=Q$5)*(İzinler!$D$5:$D$504&gt;=Q$5)*ROW(İzinler!$A$5:$A$504)))),"Yıllık izin","İ"),"Ücretsiz izin","Ü"),1)))</f>
        <v/>
      </c>
      <c r="R25" s="20" t="str">
        <f aca="false">IF(OR($B25="",R$5=""),"",IF(SUMPRODUCT(MAX((İzinler!$A$5:$A$504=$B25)*(İzinler!$C$5:$C$504&lt;=R$5)*(İzinler!$D$5:$D$504&gt;=R$5)*ROW(İzinler!$A$5:$A$504)))=0,"",LEFT(SUBSTITUTE(SUBSTITUTE(INDEX(İzinler!$B$1:$B$504,SUMPRODUCT(MAX((İzinler!$A$5:$A$504=$B25)*(İzinler!$C$5:$C$504&lt;=R$5)*(İzinler!$D$5:$D$504&gt;=R$5)*ROW(İzinler!$A$5:$A$504)))),"Yıllık izin","İ"),"Ücretsiz izin","Ü"),1)))</f>
        <v/>
      </c>
      <c r="S25" s="20" t="str">
        <f aca="false">IF(OR($B25="",S$5=""),"",IF(SUMPRODUCT(MAX((İzinler!$A$5:$A$504=$B25)*(İzinler!$C$5:$C$504&lt;=S$5)*(İzinler!$D$5:$D$504&gt;=S$5)*ROW(İzinler!$A$5:$A$504)))=0,"",LEFT(SUBSTITUTE(SUBSTITUTE(INDEX(İzinler!$B$1:$B$504,SUMPRODUCT(MAX((İzinler!$A$5:$A$504=$B25)*(İzinler!$C$5:$C$504&lt;=S$5)*(İzinler!$D$5:$D$504&gt;=S$5)*ROW(İzinler!$A$5:$A$504)))),"Yıllık izin","İ"),"Ücretsiz izin","Ü"),1)))</f>
        <v/>
      </c>
      <c r="T25" s="20" t="str">
        <f aca="false">IF(OR($B25="",T$5=""),"",IF(SUMPRODUCT(MAX((İzinler!$A$5:$A$504=$B25)*(İzinler!$C$5:$C$504&lt;=T$5)*(İzinler!$D$5:$D$504&gt;=T$5)*ROW(İzinler!$A$5:$A$504)))=0,"",LEFT(SUBSTITUTE(SUBSTITUTE(INDEX(İzinler!$B$1:$B$504,SUMPRODUCT(MAX((İzinler!$A$5:$A$504=$B25)*(İzinler!$C$5:$C$504&lt;=T$5)*(İzinler!$D$5:$D$504&gt;=T$5)*ROW(İzinler!$A$5:$A$504)))),"Yıllık izin","İ"),"Ücretsiz izin","Ü"),1)))</f>
        <v/>
      </c>
      <c r="U25" s="20" t="str">
        <f aca="false">IF(OR($B25="",U$5=""),"",IF(SUMPRODUCT(MAX((İzinler!$A$5:$A$504=$B25)*(İzinler!$C$5:$C$504&lt;=U$5)*(İzinler!$D$5:$D$504&gt;=U$5)*ROW(İzinler!$A$5:$A$504)))=0,"",LEFT(SUBSTITUTE(SUBSTITUTE(INDEX(İzinler!$B$1:$B$504,SUMPRODUCT(MAX((İzinler!$A$5:$A$504=$B25)*(İzinler!$C$5:$C$504&lt;=U$5)*(İzinler!$D$5:$D$504&gt;=U$5)*ROW(İzinler!$A$5:$A$504)))),"Yıllık izin","İ"),"Ücretsiz izin","Ü"),1)))</f>
        <v/>
      </c>
      <c r="V25" s="20" t="str">
        <f aca="false">IF(OR($B25="",V$5=""),"",IF(SUMPRODUCT(MAX((İzinler!$A$5:$A$504=$B25)*(İzinler!$C$5:$C$504&lt;=V$5)*(İzinler!$D$5:$D$504&gt;=V$5)*ROW(İzinler!$A$5:$A$504)))=0,"",LEFT(SUBSTITUTE(SUBSTITUTE(INDEX(İzinler!$B$1:$B$504,SUMPRODUCT(MAX((İzinler!$A$5:$A$504=$B25)*(İzinler!$C$5:$C$504&lt;=V$5)*(İzinler!$D$5:$D$504&gt;=V$5)*ROW(İzinler!$A$5:$A$504)))),"Yıllık izin","İ"),"Ücretsiz izin","Ü"),1)))</f>
        <v/>
      </c>
      <c r="W25" s="20" t="str">
        <f aca="false">IF(OR($B25="",W$5=""),"",IF(SUMPRODUCT(MAX((İzinler!$A$5:$A$504=$B25)*(İzinler!$C$5:$C$504&lt;=W$5)*(İzinler!$D$5:$D$504&gt;=W$5)*ROW(İzinler!$A$5:$A$504)))=0,"",LEFT(SUBSTITUTE(SUBSTITUTE(INDEX(İzinler!$B$1:$B$504,SUMPRODUCT(MAX((İzinler!$A$5:$A$504=$B25)*(İzinler!$C$5:$C$504&lt;=W$5)*(İzinler!$D$5:$D$504&gt;=W$5)*ROW(İzinler!$A$5:$A$504)))),"Yıllık izin","İ"),"Ücretsiz izin","Ü"),1)))</f>
        <v/>
      </c>
      <c r="X25" s="20" t="str">
        <f aca="false">IF(OR($B25="",X$5=""),"",IF(SUMPRODUCT(MAX((İzinler!$A$5:$A$504=$B25)*(İzinler!$C$5:$C$504&lt;=X$5)*(İzinler!$D$5:$D$504&gt;=X$5)*ROW(İzinler!$A$5:$A$504)))=0,"",LEFT(SUBSTITUTE(SUBSTITUTE(INDEX(İzinler!$B$1:$B$504,SUMPRODUCT(MAX((İzinler!$A$5:$A$504=$B25)*(İzinler!$C$5:$C$504&lt;=X$5)*(İzinler!$D$5:$D$504&gt;=X$5)*ROW(İzinler!$A$5:$A$504)))),"Yıllık izin","İ"),"Ücretsiz izin","Ü"),1)))</f>
        <v/>
      </c>
      <c r="Y25" s="20" t="str">
        <f aca="false">IF(OR($B25="",Y$5=""),"",IF(SUMPRODUCT(MAX((İzinler!$A$5:$A$504=$B25)*(İzinler!$C$5:$C$504&lt;=Y$5)*(İzinler!$D$5:$D$504&gt;=Y$5)*ROW(İzinler!$A$5:$A$504)))=0,"",LEFT(SUBSTITUTE(SUBSTITUTE(INDEX(İzinler!$B$1:$B$504,SUMPRODUCT(MAX((İzinler!$A$5:$A$504=$B25)*(İzinler!$C$5:$C$504&lt;=Y$5)*(İzinler!$D$5:$D$504&gt;=Y$5)*ROW(İzinler!$A$5:$A$504)))),"Yıllık izin","İ"),"Ücretsiz izin","Ü"),1)))</f>
        <v/>
      </c>
      <c r="Z25" s="20" t="str">
        <f aca="false">IF(OR($B25="",Z$5=""),"",IF(SUMPRODUCT(MAX((İzinler!$A$5:$A$504=$B25)*(İzinler!$C$5:$C$504&lt;=Z$5)*(İzinler!$D$5:$D$504&gt;=Z$5)*ROW(İzinler!$A$5:$A$504)))=0,"",LEFT(SUBSTITUTE(SUBSTITUTE(INDEX(İzinler!$B$1:$B$504,SUMPRODUCT(MAX((İzinler!$A$5:$A$504=$B25)*(İzinler!$C$5:$C$504&lt;=Z$5)*(İzinler!$D$5:$D$504&gt;=Z$5)*ROW(İzinler!$A$5:$A$504)))),"Yıllık izin","İ"),"Ücretsiz izin","Ü"),1)))</f>
        <v/>
      </c>
      <c r="AA25" s="20" t="str">
        <f aca="false">IF(OR($B25="",AA$5=""),"",IF(SUMPRODUCT(MAX((İzinler!$A$5:$A$504=$B25)*(İzinler!$C$5:$C$504&lt;=AA$5)*(İzinler!$D$5:$D$504&gt;=AA$5)*ROW(İzinler!$A$5:$A$504)))=0,"",LEFT(SUBSTITUTE(SUBSTITUTE(INDEX(İzinler!$B$1:$B$504,SUMPRODUCT(MAX((İzinler!$A$5:$A$504=$B25)*(İzinler!$C$5:$C$504&lt;=AA$5)*(İzinler!$D$5:$D$504&gt;=AA$5)*ROW(İzinler!$A$5:$A$504)))),"Yıllık izin","İ"),"Ücretsiz izin","Ü"),1)))</f>
        <v/>
      </c>
      <c r="AB25" s="20" t="str">
        <f aca="false">IF(OR($B25="",AB$5=""),"",IF(SUMPRODUCT(MAX((İzinler!$A$5:$A$504=$B25)*(İzinler!$C$5:$C$504&lt;=AB$5)*(İzinler!$D$5:$D$504&gt;=AB$5)*ROW(İzinler!$A$5:$A$504)))=0,"",LEFT(SUBSTITUTE(SUBSTITUTE(INDEX(İzinler!$B$1:$B$504,SUMPRODUCT(MAX((İzinler!$A$5:$A$504=$B25)*(İzinler!$C$5:$C$504&lt;=AB$5)*(İzinler!$D$5:$D$504&gt;=AB$5)*ROW(İzinler!$A$5:$A$504)))),"Yıllık izin","İ"),"Ücretsiz izin","Ü"),1)))</f>
        <v/>
      </c>
      <c r="AC25" s="20" t="str">
        <f aca="false">IF(OR($B25="",AC$5=""),"",IF(SUMPRODUCT(MAX((İzinler!$A$5:$A$504=$B25)*(İzinler!$C$5:$C$504&lt;=AC$5)*(İzinler!$D$5:$D$504&gt;=AC$5)*ROW(İzinler!$A$5:$A$504)))=0,"",LEFT(SUBSTITUTE(SUBSTITUTE(INDEX(İzinler!$B$1:$B$504,SUMPRODUCT(MAX((İzinler!$A$5:$A$504=$B25)*(İzinler!$C$5:$C$504&lt;=AC$5)*(İzinler!$D$5:$D$504&gt;=AC$5)*ROW(İzinler!$A$5:$A$504)))),"Yıllık izin","İ"),"Ücretsiz izin","Ü"),1)))</f>
        <v/>
      </c>
      <c r="AD25" s="20" t="str">
        <f aca="false">IF(OR($B25="",AD$5=""),"",IF(SUMPRODUCT(MAX((İzinler!$A$5:$A$504=$B25)*(İzinler!$C$5:$C$504&lt;=AD$5)*(İzinler!$D$5:$D$504&gt;=AD$5)*ROW(İzinler!$A$5:$A$504)))=0,"",LEFT(SUBSTITUTE(SUBSTITUTE(INDEX(İzinler!$B$1:$B$504,SUMPRODUCT(MAX((İzinler!$A$5:$A$504=$B25)*(İzinler!$C$5:$C$504&lt;=AD$5)*(İzinler!$D$5:$D$504&gt;=AD$5)*ROW(İzinler!$A$5:$A$504)))),"Yıllık izin","İ"),"Ücretsiz izin","Ü"),1)))</f>
        <v/>
      </c>
      <c r="AE25" s="20" t="str">
        <f aca="false">IF(OR($B25="",AE$5=""),"",IF(SUMPRODUCT(MAX((İzinler!$A$5:$A$504=$B25)*(İzinler!$C$5:$C$504&lt;=AE$5)*(İzinler!$D$5:$D$504&gt;=AE$5)*ROW(İzinler!$A$5:$A$504)))=0,"",LEFT(SUBSTITUTE(SUBSTITUTE(INDEX(İzinler!$B$1:$B$504,SUMPRODUCT(MAX((İzinler!$A$5:$A$504=$B25)*(İzinler!$C$5:$C$504&lt;=AE$5)*(İzinler!$D$5:$D$504&gt;=AE$5)*ROW(İzinler!$A$5:$A$504)))),"Yıllık izin","İ"),"Ücretsiz izin","Ü"),1)))</f>
        <v/>
      </c>
      <c r="AF25" s="20" t="str">
        <f aca="false">IF(OR($B25="",AF$5=""),"",IF(SUMPRODUCT(MAX((İzinler!$A$5:$A$504=$B25)*(İzinler!$C$5:$C$504&lt;=AF$5)*(İzinler!$D$5:$D$504&gt;=AF$5)*ROW(İzinler!$A$5:$A$504)))=0,"",LEFT(SUBSTITUTE(SUBSTITUTE(INDEX(İzinler!$B$1:$B$504,SUMPRODUCT(MAX((İzinler!$A$5:$A$504=$B25)*(İzinler!$C$5:$C$504&lt;=AF$5)*(İzinler!$D$5:$D$504&gt;=AF$5)*ROW(İzinler!$A$5:$A$504)))),"Yıllık izin","İ"),"Ücretsiz izin","Ü"),1)))</f>
        <v/>
      </c>
      <c r="AG25" s="20" t="str">
        <f aca="false">IF(OR($B25="",AG$5=""),"",IF(SUMPRODUCT(MAX((İzinler!$A$5:$A$504=$B25)*(İzinler!$C$5:$C$504&lt;=AG$5)*(İzinler!$D$5:$D$504&gt;=AG$5)*ROW(İzinler!$A$5:$A$504)))=0,"",LEFT(SUBSTITUTE(SUBSTITUTE(INDEX(İzinler!$B$1:$B$504,SUMPRODUCT(MAX((İzinler!$A$5:$A$504=$B25)*(İzinler!$C$5:$C$504&lt;=AG$5)*(İzinler!$D$5:$D$504&gt;=AG$5)*ROW(İzinler!$A$5:$A$504)))),"Yıllık izin","İ"),"Ücretsiz izin","Ü"),1)))</f>
        <v/>
      </c>
      <c r="AH25" s="21" t="str">
        <f aca="false">IF(B25="","",COUNTIF(C25:AG25,"?"))</f>
        <v/>
      </c>
    </row>
    <row r="26" customFormat="false" ht="15" hidden="false" customHeight="false" outlineLevel="0" collapsed="false">
      <c r="B26" s="16" t="str">
        <f aca="false">IF(Personel!A25="","",Personel!A25)</f>
        <v/>
      </c>
      <c r="C26" s="20" t="str">
        <f aca="false">IF(OR($B26="",C$5=""),"",IF(SUMPRODUCT(MAX((İzinler!$A$5:$A$504=$B26)*(İzinler!$C$5:$C$504&lt;=C$5)*(İzinler!$D$5:$D$504&gt;=C$5)*ROW(İzinler!$A$5:$A$504)))=0,"",LEFT(SUBSTITUTE(SUBSTITUTE(INDEX(İzinler!$B$1:$B$504,SUMPRODUCT(MAX((İzinler!$A$5:$A$504=$B26)*(İzinler!$C$5:$C$504&lt;=C$5)*(İzinler!$D$5:$D$504&gt;=C$5)*ROW(İzinler!$A$5:$A$504)))),"Yıllık izin","İ"),"Ücretsiz izin","Ü"),1)))</f>
        <v/>
      </c>
      <c r="D26" s="20" t="str">
        <f aca="false">IF(OR($B26="",D$5=""),"",IF(SUMPRODUCT(MAX((İzinler!$A$5:$A$504=$B26)*(İzinler!$C$5:$C$504&lt;=D$5)*(İzinler!$D$5:$D$504&gt;=D$5)*ROW(İzinler!$A$5:$A$504)))=0,"",LEFT(SUBSTITUTE(SUBSTITUTE(INDEX(İzinler!$B$1:$B$504,SUMPRODUCT(MAX((İzinler!$A$5:$A$504=$B26)*(İzinler!$C$5:$C$504&lt;=D$5)*(İzinler!$D$5:$D$504&gt;=D$5)*ROW(İzinler!$A$5:$A$504)))),"Yıllık izin","İ"),"Ücretsiz izin","Ü"),1)))</f>
        <v/>
      </c>
      <c r="E26" s="20" t="str">
        <f aca="false">IF(OR($B26="",E$5=""),"",IF(SUMPRODUCT(MAX((İzinler!$A$5:$A$504=$B26)*(İzinler!$C$5:$C$504&lt;=E$5)*(İzinler!$D$5:$D$504&gt;=E$5)*ROW(İzinler!$A$5:$A$504)))=0,"",LEFT(SUBSTITUTE(SUBSTITUTE(INDEX(İzinler!$B$1:$B$504,SUMPRODUCT(MAX((İzinler!$A$5:$A$504=$B26)*(İzinler!$C$5:$C$504&lt;=E$5)*(İzinler!$D$5:$D$504&gt;=E$5)*ROW(İzinler!$A$5:$A$504)))),"Yıllık izin","İ"),"Ücretsiz izin","Ü"),1)))</f>
        <v/>
      </c>
      <c r="F26" s="20" t="str">
        <f aca="false">IF(OR($B26="",F$5=""),"",IF(SUMPRODUCT(MAX((İzinler!$A$5:$A$504=$B26)*(İzinler!$C$5:$C$504&lt;=F$5)*(İzinler!$D$5:$D$504&gt;=F$5)*ROW(İzinler!$A$5:$A$504)))=0,"",LEFT(SUBSTITUTE(SUBSTITUTE(INDEX(İzinler!$B$1:$B$504,SUMPRODUCT(MAX((İzinler!$A$5:$A$504=$B26)*(İzinler!$C$5:$C$504&lt;=F$5)*(İzinler!$D$5:$D$504&gt;=F$5)*ROW(İzinler!$A$5:$A$504)))),"Yıllık izin","İ"),"Ücretsiz izin","Ü"),1)))</f>
        <v/>
      </c>
      <c r="G26" s="20" t="str">
        <f aca="false">IF(OR($B26="",G$5=""),"",IF(SUMPRODUCT(MAX((İzinler!$A$5:$A$504=$B26)*(İzinler!$C$5:$C$504&lt;=G$5)*(İzinler!$D$5:$D$504&gt;=G$5)*ROW(İzinler!$A$5:$A$504)))=0,"",LEFT(SUBSTITUTE(SUBSTITUTE(INDEX(İzinler!$B$1:$B$504,SUMPRODUCT(MAX((İzinler!$A$5:$A$504=$B26)*(İzinler!$C$5:$C$504&lt;=G$5)*(İzinler!$D$5:$D$504&gt;=G$5)*ROW(İzinler!$A$5:$A$504)))),"Yıllık izin","İ"),"Ücretsiz izin","Ü"),1)))</f>
        <v/>
      </c>
      <c r="H26" s="20" t="str">
        <f aca="false">IF(OR($B26="",H$5=""),"",IF(SUMPRODUCT(MAX((İzinler!$A$5:$A$504=$B26)*(İzinler!$C$5:$C$504&lt;=H$5)*(İzinler!$D$5:$D$504&gt;=H$5)*ROW(İzinler!$A$5:$A$504)))=0,"",LEFT(SUBSTITUTE(SUBSTITUTE(INDEX(İzinler!$B$1:$B$504,SUMPRODUCT(MAX((İzinler!$A$5:$A$504=$B26)*(İzinler!$C$5:$C$504&lt;=H$5)*(İzinler!$D$5:$D$504&gt;=H$5)*ROW(İzinler!$A$5:$A$504)))),"Yıllık izin","İ"),"Ücretsiz izin","Ü"),1)))</f>
        <v/>
      </c>
      <c r="I26" s="20" t="str">
        <f aca="false">IF(OR($B26="",I$5=""),"",IF(SUMPRODUCT(MAX((İzinler!$A$5:$A$504=$B26)*(İzinler!$C$5:$C$504&lt;=I$5)*(İzinler!$D$5:$D$504&gt;=I$5)*ROW(İzinler!$A$5:$A$504)))=0,"",LEFT(SUBSTITUTE(SUBSTITUTE(INDEX(İzinler!$B$1:$B$504,SUMPRODUCT(MAX((İzinler!$A$5:$A$504=$B26)*(İzinler!$C$5:$C$504&lt;=I$5)*(İzinler!$D$5:$D$504&gt;=I$5)*ROW(İzinler!$A$5:$A$504)))),"Yıllık izin","İ"),"Ücretsiz izin","Ü"),1)))</f>
        <v/>
      </c>
      <c r="J26" s="20" t="str">
        <f aca="false">IF(OR($B26="",J$5=""),"",IF(SUMPRODUCT(MAX((İzinler!$A$5:$A$504=$B26)*(İzinler!$C$5:$C$504&lt;=J$5)*(İzinler!$D$5:$D$504&gt;=J$5)*ROW(İzinler!$A$5:$A$504)))=0,"",LEFT(SUBSTITUTE(SUBSTITUTE(INDEX(İzinler!$B$1:$B$504,SUMPRODUCT(MAX((İzinler!$A$5:$A$504=$B26)*(İzinler!$C$5:$C$504&lt;=J$5)*(İzinler!$D$5:$D$504&gt;=J$5)*ROW(İzinler!$A$5:$A$504)))),"Yıllık izin","İ"),"Ücretsiz izin","Ü"),1)))</f>
        <v/>
      </c>
      <c r="K26" s="20" t="str">
        <f aca="false">IF(OR($B26="",K$5=""),"",IF(SUMPRODUCT(MAX((İzinler!$A$5:$A$504=$B26)*(İzinler!$C$5:$C$504&lt;=K$5)*(İzinler!$D$5:$D$504&gt;=K$5)*ROW(İzinler!$A$5:$A$504)))=0,"",LEFT(SUBSTITUTE(SUBSTITUTE(INDEX(İzinler!$B$1:$B$504,SUMPRODUCT(MAX((İzinler!$A$5:$A$504=$B26)*(İzinler!$C$5:$C$504&lt;=K$5)*(İzinler!$D$5:$D$504&gt;=K$5)*ROW(İzinler!$A$5:$A$504)))),"Yıllık izin","İ"),"Ücretsiz izin","Ü"),1)))</f>
        <v/>
      </c>
      <c r="L26" s="20" t="str">
        <f aca="false">IF(OR($B26="",L$5=""),"",IF(SUMPRODUCT(MAX((İzinler!$A$5:$A$504=$B26)*(İzinler!$C$5:$C$504&lt;=L$5)*(İzinler!$D$5:$D$504&gt;=L$5)*ROW(İzinler!$A$5:$A$504)))=0,"",LEFT(SUBSTITUTE(SUBSTITUTE(INDEX(İzinler!$B$1:$B$504,SUMPRODUCT(MAX((İzinler!$A$5:$A$504=$B26)*(İzinler!$C$5:$C$504&lt;=L$5)*(İzinler!$D$5:$D$504&gt;=L$5)*ROW(İzinler!$A$5:$A$504)))),"Yıllık izin","İ"),"Ücretsiz izin","Ü"),1)))</f>
        <v/>
      </c>
      <c r="M26" s="20" t="str">
        <f aca="false">IF(OR($B26="",M$5=""),"",IF(SUMPRODUCT(MAX((İzinler!$A$5:$A$504=$B26)*(İzinler!$C$5:$C$504&lt;=M$5)*(İzinler!$D$5:$D$504&gt;=M$5)*ROW(İzinler!$A$5:$A$504)))=0,"",LEFT(SUBSTITUTE(SUBSTITUTE(INDEX(İzinler!$B$1:$B$504,SUMPRODUCT(MAX((İzinler!$A$5:$A$504=$B26)*(İzinler!$C$5:$C$504&lt;=M$5)*(İzinler!$D$5:$D$504&gt;=M$5)*ROW(İzinler!$A$5:$A$504)))),"Yıllık izin","İ"),"Ücretsiz izin","Ü"),1)))</f>
        <v/>
      </c>
      <c r="N26" s="20" t="str">
        <f aca="false">IF(OR($B26="",N$5=""),"",IF(SUMPRODUCT(MAX((İzinler!$A$5:$A$504=$B26)*(İzinler!$C$5:$C$504&lt;=N$5)*(İzinler!$D$5:$D$504&gt;=N$5)*ROW(İzinler!$A$5:$A$504)))=0,"",LEFT(SUBSTITUTE(SUBSTITUTE(INDEX(İzinler!$B$1:$B$504,SUMPRODUCT(MAX((İzinler!$A$5:$A$504=$B26)*(İzinler!$C$5:$C$504&lt;=N$5)*(İzinler!$D$5:$D$504&gt;=N$5)*ROW(İzinler!$A$5:$A$504)))),"Yıllık izin","İ"),"Ücretsiz izin","Ü"),1)))</f>
        <v/>
      </c>
      <c r="O26" s="20" t="str">
        <f aca="false">IF(OR($B26="",O$5=""),"",IF(SUMPRODUCT(MAX((İzinler!$A$5:$A$504=$B26)*(İzinler!$C$5:$C$504&lt;=O$5)*(İzinler!$D$5:$D$504&gt;=O$5)*ROW(İzinler!$A$5:$A$504)))=0,"",LEFT(SUBSTITUTE(SUBSTITUTE(INDEX(İzinler!$B$1:$B$504,SUMPRODUCT(MAX((İzinler!$A$5:$A$504=$B26)*(İzinler!$C$5:$C$504&lt;=O$5)*(İzinler!$D$5:$D$504&gt;=O$5)*ROW(İzinler!$A$5:$A$504)))),"Yıllık izin","İ"),"Ücretsiz izin","Ü"),1)))</f>
        <v/>
      </c>
      <c r="P26" s="20" t="str">
        <f aca="false">IF(OR($B26="",P$5=""),"",IF(SUMPRODUCT(MAX((İzinler!$A$5:$A$504=$B26)*(İzinler!$C$5:$C$504&lt;=P$5)*(İzinler!$D$5:$D$504&gt;=P$5)*ROW(İzinler!$A$5:$A$504)))=0,"",LEFT(SUBSTITUTE(SUBSTITUTE(INDEX(İzinler!$B$1:$B$504,SUMPRODUCT(MAX((İzinler!$A$5:$A$504=$B26)*(İzinler!$C$5:$C$504&lt;=P$5)*(İzinler!$D$5:$D$504&gt;=P$5)*ROW(İzinler!$A$5:$A$504)))),"Yıllık izin","İ"),"Ücretsiz izin","Ü"),1)))</f>
        <v/>
      </c>
      <c r="Q26" s="20" t="str">
        <f aca="false">IF(OR($B26="",Q$5=""),"",IF(SUMPRODUCT(MAX((İzinler!$A$5:$A$504=$B26)*(İzinler!$C$5:$C$504&lt;=Q$5)*(İzinler!$D$5:$D$504&gt;=Q$5)*ROW(İzinler!$A$5:$A$504)))=0,"",LEFT(SUBSTITUTE(SUBSTITUTE(INDEX(İzinler!$B$1:$B$504,SUMPRODUCT(MAX((İzinler!$A$5:$A$504=$B26)*(İzinler!$C$5:$C$504&lt;=Q$5)*(İzinler!$D$5:$D$504&gt;=Q$5)*ROW(İzinler!$A$5:$A$504)))),"Yıllık izin","İ"),"Ücretsiz izin","Ü"),1)))</f>
        <v/>
      </c>
      <c r="R26" s="20" t="str">
        <f aca="false">IF(OR($B26="",R$5=""),"",IF(SUMPRODUCT(MAX((İzinler!$A$5:$A$504=$B26)*(İzinler!$C$5:$C$504&lt;=R$5)*(İzinler!$D$5:$D$504&gt;=R$5)*ROW(İzinler!$A$5:$A$504)))=0,"",LEFT(SUBSTITUTE(SUBSTITUTE(INDEX(İzinler!$B$1:$B$504,SUMPRODUCT(MAX((İzinler!$A$5:$A$504=$B26)*(İzinler!$C$5:$C$504&lt;=R$5)*(İzinler!$D$5:$D$504&gt;=R$5)*ROW(İzinler!$A$5:$A$504)))),"Yıllık izin","İ"),"Ücretsiz izin","Ü"),1)))</f>
        <v/>
      </c>
      <c r="S26" s="20" t="str">
        <f aca="false">IF(OR($B26="",S$5=""),"",IF(SUMPRODUCT(MAX((İzinler!$A$5:$A$504=$B26)*(İzinler!$C$5:$C$504&lt;=S$5)*(İzinler!$D$5:$D$504&gt;=S$5)*ROW(İzinler!$A$5:$A$504)))=0,"",LEFT(SUBSTITUTE(SUBSTITUTE(INDEX(İzinler!$B$1:$B$504,SUMPRODUCT(MAX((İzinler!$A$5:$A$504=$B26)*(İzinler!$C$5:$C$504&lt;=S$5)*(İzinler!$D$5:$D$504&gt;=S$5)*ROW(İzinler!$A$5:$A$504)))),"Yıllık izin","İ"),"Ücretsiz izin","Ü"),1)))</f>
        <v/>
      </c>
      <c r="T26" s="20" t="str">
        <f aca="false">IF(OR($B26="",T$5=""),"",IF(SUMPRODUCT(MAX((İzinler!$A$5:$A$504=$B26)*(İzinler!$C$5:$C$504&lt;=T$5)*(İzinler!$D$5:$D$504&gt;=T$5)*ROW(İzinler!$A$5:$A$504)))=0,"",LEFT(SUBSTITUTE(SUBSTITUTE(INDEX(İzinler!$B$1:$B$504,SUMPRODUCT(MAX((İzinler!$A$5:$A$504=$B26)*(İzinler!$C$5:$C$504&lt;=T$5)*(İzinler!$D$5:$D$504&gt;=T$5)*ROW(İzinler!$A$5:$A$504)))),"Yıllık izin","İ"),"Ücretsiz izin","Ü"),1)))</f>
        <v/>
      </c>
      <c r="U26" s="20" t="str">
        <f aca="false">IF(OR($B26="",U$5=""),"",IF(SUMPRODUCT(MAX((İzinler!$A$5:$A$504=$B26)*(İzinler!$C$5:$C$504&lt;=U$5)*(İzinler!$D$5:$D$504&gt;=U$5)*ROW(İzinler!$A$5:$A$504)))=0,"",LEFT(SUBSTITUTE(SUBSTITUTE(INDEX(İzinler!$B$1:$B$504,SUMPRODUCT(MAX((İzinler!$A$5:$A$504=$B26)*(İzinler!$C$5:$C$504&lt;=U$5)*(İzinler!$D$5:$D$504&gt;=U$5)*ROW(İzinler!$A$5:$A$504)))),"Yıllık izin","İ"),"Ücretsiz izin","Ü"),1)))</f>
        <v/>
      </c>
      <c r="V26" s="20" t="str">
        <f aca="false">IF(OR($B26="",V$5=""),"",IF(SUMPRODUCT(MAX((İzinler!$A$5:$A$504=$B26)*(İzinler!$C$5:$C$504&lt;=V$5)*(İzinler!$D$5:$D$504&gt;=V$5)*ROW(İzinler!$A$5:$A$504)))=0,"",LEFT(SUBSTITUTE(SUBSTITUTE(INDEX(İzinler!$B$1:$B$504,SUMPRODUCT(MAX((İzinler!$A$5:$A$504=$B26)*(İzinler!$C$5:$C$504&lt;=V$5)*(İzinler!$D$5:$D$504&gt;=V$5)*ROW(İzinler!$A$5:$A$504)))),"Yıllık izin","İ"),"Ücretsiz izin","Ü"),1)))</f>
        <v/>
      </c>
      <c r="W26" s="20" t="str">
        <f aca="false">IF(OR($B26="",W$5=""),"",IF(SUMPRODUCT(MAX((İzinler!$A$5:$A$504=$B26)*(İzinler!$C$5:$C$504&lt;=W$5)*(İzinler!$D$5:$D$504&gt;=W$5)*ROW(İzinler!$A$5:$A$504)))=0,"",LEFT(SUBSTITUTE(SUBSTITUTE(INDEX(İzinler!$B$1:$B$504,SUMPRODUCT(MAX((İzinler!$A$5:$A$504=$B26)*(İzinler!$C$5:$C$504&lt;=W$5)*(İzinler!$D$5:$D$504&gt;=W$5)*ROW(İzinler!$A$5:$A$504)))),"Yıllık izin","İ"),"Ücretsiz izin","Ü"),1)))</f>
        <v/>
      </c>
      <c r="X26" s="20" t="str">
        <f aca="false">IF(OR($B26="",X$5=""),"",IF(SUMPRODUCT(MAX((İzinler!$A$5:$A$504=$B26)*(İzinler!$C$5:$C$504&lt;=X$5)*(İzinler!$D$5:$D$504&gt;=X$5)*ROW(İzinler!$A$5:$A$504)))=0,"",LEFT(SUBSTITUTE(SUBSTITUTE(INDEX(İzinler!$B$1:$B$504,SUMPRODUCT(MAX((İzinler!$A$5:$A$504=$B26)*(İzinler!$C$5:$C$504&lt;=X$5)*(İzinler!$D$5:$D$504&gt;=X$5)*ROW(İzinler!$A$5:$A$504)))),"Yıllık izin","İ"),"Ücretsiz izin","Ü"),1)))</f>
        <v/>
      </c>
      <c r="Y26" s="20" t="str">
        <f aca="false">IF(OR($B26="",Y$5=""),"",IF(SUMPRODUCT(MAX((İzinler!$A$5:$A$504=$B26)*(İzinler!$C$5:$C$504&lt;=Y$5)*(İzinler!$D$5:$D$504&gt;=Y$5)*ROW(İzinler!$A$5:$A$504)))=0,"",LEFT(SUBSTITUTE(SUBSTITUTE(INDEX(İzinler!$B$1:$B$504,SUMPRODUCT(MAX((İzinler!$A$5:$A$504=$B26)*(İzinler!$C$5:$C$504&lt;=Y$5)*(İzinler!$D$5:$D$504&gt;=Y$5)*ROW(İzinler!$A$5:$A$504)))),"Yıllık izin","İ"),"Ücretsiz izin","Ü"),1)))</f>
        <v/>
      </c>
      <c r="Z26" s="20" t="str">
        <f aca="false">IF(OR($B26="",Z$5=""),"",IF(SUMPRODUCT(MAX((İzinler!$A$5:$A$504=$B26)*(İzinler!$C$5:$C$504&lt;=Z$5)*(İzinler!$D$5:$D$504&gt;=Z$5)*ROW(İzinler!$A$5:$A$504)))=0,"",LEFT(SUBSTITUTE(SUBSTITUTE(INDEX(İzinler!$B$1:$B$504,SUMPRODUCT(MAX((İzinler!$A$5:$A$504=$B26)*(İzinler!$C$5:$C$504&lt;=Z$5)*(İzinler!$D$5:$D$504&gt;=Z$5)*ROW(İzinler!$A$5:$A$504)))),"Yıllık izin","İ"),"Ücretsiz izin","Ü"),1)))</f>
        <v/>
      </c>
      <c r="AA26" s="20" t="str">
        <f aca="false">IF(OR($B26="",AA$5=""),"",IF(SUMPRODUCT(MAX((İzinler!$A$5:$A$504=$B26)*(İzinler!$C$5:$C$504&lt;=AA$5)*(İzinler!$D$5:$D$504&gt;=AA$5)*ROW(İzinler!$A$5:$A$504)))=0,"",LEFT(SUBSTITUTE(SUBSTITUTE(INDEX(İzinler!$B$1:$B$504,SUMPRODUCT(MAX((İzinler!$A$5:$A$504=$B26)*(İzinler!$C$5:$C$504&lt;=AA$5)*(İzinler!$D$5:$D$504&gt;=AA$5)*ROW(İzinler!$A$5:$A$504)))),"Yıllık izin","İ"),"Ücretsiz izin","Ü"),1)))</f>
        <v/>
      </c>
      <c r="AB26" s="20" t="str">
        <f aca="false">IF(OR($B26="",AB$5=""),"",IF(SUMPRODUCT(MAX((İzinler!$A$5:$A$504=$B26)*(İzinler!$C$5:$C$504&lt;=AB$5)*(İzinler!$D$5:$D$504&gt;=AB$5)*ROW(İzinler!$A$5:$A$504)))=0,"",LEFT(SUBSTITUTE(SUBSTITUTE(INDEX(İzinler!$B$1:$B$504,SUMPRODUCT(MAX((İzinler!$A$5:$A$504=$B26)*(İzinler!$C$5:$C$504&lt;=AB$5)*(İzinler!$D$5:$D$504&gt;=AB$5)*ROW(İzinler!$A$5:$A$504)))),"Yıllık izin","İ"),"Ücretsiz izin","Ü"),1)))</f>
        <v/>
      </c>
      <c r="AC26" s="20" t="str">
        <f aca="false">IF(OR($B26="",AC$5=""),"",IF(SUMPRODUCT(MAX((İzinler!$A$5:$A$504=$B26)*(İzinler!$C$5:$C$504&lt;=AC$5)*(İzinler!$D$5:$D$504&gt;=AC$5)*ROW(İzinler!$A$5:$A$504)))=0,"",LEFT(SUBSTITUTE(SUBSTITUTE(INDEX(İzinler!$B$1:$B$504,SUMPRODUCT(MAX((İzinler!$A$5:$A$504=$B26)*(İzinler!$C$5:$C$504&lt;=AC$5)*(İzinler!$D$5:$D$504&gt;=AC$5)*ROW(İzinler!$A$5:$A$504)))),"Yıllık izin","İ"),"Ücretsiz izin","Ü"),1)))</f>
        <v/>
      </c>
      <c r="AD26" s="20" t="str">
        <f aca="false">IF(OR($B26="",AD$5=""),"",IF(SUMPRODUCT(MAX((İzinler!$A$5:$A$504=$B26)*(İzinler!$C$5:$C$504&lt;=AD$5)*(İzinler!$D$5:$D$504&gt;=AD$5)*ROW(İzinler!$A$5:$A$504)))=0,"",LEFT(SUBSTITUTE(SUBSTITUTE(INDEX(İzinler!$B$1:$B$504,SUMPRODUCT(MAX((İzinler!$A$5:$A$504=$B26)*(İzinler!$C$5:$C$504&lt;=AD$5)*(İzinler!$D$5:$D$504&gt;=AD$5)*ROW(İzinler!$A$5:$A$504)))),"Yıllık izin","İ"),"Ücretsiz izin","Ü"),1)))</f>
        <v/>
      </c>
      <c r="AE26" s="20" t="str">
        <f aca="false">IF(OR($B26="",AE$5=""),"",IF(SUMPRODUCT(MAX((İzinler!$A$5:$A$504=$B26)*(İzinler!$C$5:$C$504&lt;=AE$5)*(İzinler!$D$5:$D$504&gt;=AE$5)*ROW(İzinler!$A$5:$A$504)))=0,"",LEFT(SUBSTITUTE(SUBSTITUTE(INDEX(İzinler!$B$1:$B$504,SUMPRODUCT(MAX((İzinler!$A$5:$A$504=$B26)*(İzinler!$C$5:$C$504&lt;=AE$5)*(İzinler!$D$5:$D$504&gt;=AE$5)*ROW(İzinler!$A$5:$A$504)))),"Yıllık izin","İ"),"Ücretsiz izin","Ü"),1)))</f>
        <v/>
      </c>
      <c r="AF26" s="20" t="str">
        <f aca="false">IF(OR($B26="",AF$5=""),"",IF(SUMPRODUCT(MAX((İzinler!$A$5:$A$504=$B26)*(İzinler!$C$5:$C$504&lt;=AF$5)*(İzinler!$D$5:$D$504&gt;=AF$5)*ROW(İzinler!$A$5:$A$504)))=0,"",LEFT(SUBSTITUTE(SUBSTITUTE(INDEX(İzinler!$B$1:$B$504,SUMPRODUCT(MAX((İzinler!$A$5:$A$504=$B26)*(İzinler!$C$5:$C$504&lt;=AF$5)*(İzinler!$D$5:$D$504&gt;=AF$5)*ROW(İzinler!$A$5:$A$504)))),"Yıllık izin","İ"),"Ücretsiz izin","Ü"),1)))</f>
        <v/>
      </c>
      <c r="AG26" s="20" t="str">
        <f aca="false">IF(OR($B26="",AG$5=""),"",IF(SUMPRODUCT(MAX((İzinler!$A$5:$A$504=$B26)*(İzinler!$C$5:$C$504&lt;=AG$5)*(İzinler!$D$5:$D$504&gt;=AG$5)*ROW(İzinler!$A$5:$A$504)))=0,"",LEFT(SUBSTITUTE(SUBSTITUTE(INDEX(İzinler!$B$1:$B$504,SUMPRODUCT(MAX((İzinler!$A$5:$A$504=$B26)*(İzinler!$C$5:$C$504&lt;=AG$5)*(İzinler!$D$5:$D$504&gt;=AG$5)*ROW(İzinler!$A$5:$A$504)))),"Yıllık izin","İ"),"Ücretsiz izin","Ü"),1)))</f>
        <v/>
      </c>
      <c r="AH26" s="21" t="str">
        <f aca="false">IF(B26="","",COUNTIF(C26:AG26,"?"))</f>
        <v/>
      </c>
    </row>
    <row r="27" customFormat="false" ht="15" hidden="false" customHeight="false" outlineLevel="0" collapsed="false">
      <c r="B27" s="16" t="str">
        <f aca="false">IF(Personel!A26="","",Personel!A26)</f>
        <v/>
      </c>
      <c r="C27" s="20" t="str">
        <f aca="false">IF(OR($B27="",C$5=""),"",IF(SUMPRODUCT(MAX((İzinler!$A$5:$A$504=$B27)*(İzinler!$C$5:$C$504&lt;=C$5)*(İzinler!$D$5:$D$504&gt;=C$5)*ROW(İzinler!$A$5:$A$504)))=0,"",LEFT(SUBSTITUTE(SUBSTITUTE(INDEX(İzinler!$B$1:$B$504,SUMPRODUCT(MAX((İzinler!$A$5:$A$504=$B27)*(İzinler!$C$5:$C$504&lt;=C$5)*(İzinler!$D$5:$D$504&gt;=C$5)*ROW(İzinler!$A$5:$A$504)))),"Yıllık izin","İ"),"Ücretsiz izin","Ü"),1)))</f>
        <v/>
      </c>
      <c r="D27" s="20" t="str">
        <f aca="false">IF(OR($B27="",D$5=""),"",IF(SUMPRODUCT(MAX((İzinler!$A$5:$A$504=$B27)*(İzinler!$C$5:$C$504&lt;=D$5)*(İzinler!$D$5:$D$504&gt;=D$5)*ROW(İzinler!$A$5:$A$504)))=0,"",LEFT(SUBSTITUTE(SUBSTITUTE(INDEX(İzinler!$B$1:$B$504,SUMPRODUCT(MAX((İzinler!$A$5:$A$504=$B27)*(İzinler!$C$5:$C$504&lt;=D$5)*(İzinler!$D$5:$D$504&gt;=D$5)*ROW(İzinler!$A$5:$A$504)))),"Yıllık izin","İ"),"Ücretsiz izin","Ü"),1)))</f>
        <v/>
      </c>
      <c r="E27" s="20" t="str">
        <f aca="false">IF(OR($B27="",E$5=""),"",IF(SUMPRODUCT(MAX((İzinler!$A$5:$A$504=$B27)*(İzinler!$C$5:$C$504&lt;=E$5)*(İzinler!$D$5:$D$504&gt;=E$5)*ROW(İzinler!$A$5:$A$504)))=0,"",LEFT(SUBSTITUTE(SUBSTITUTE(INDEX(İzinler!$B$1:$B$504,SUMPRODUCT(MAX((İzinler!$A$5:$A$504=$B27)*(İzinler!$C$5:$C$504&lt;=E$5)*(İzinler!$D$5:$D$504&gt;=E$5)*ROW(İzinler!$A$5:$A$504)))),"Yıllık izin","İ"),"Ücretsiz izin","Ü"),1)))</f>
        <v/>
      </c>
      <c r="F27" s="20" t="str">
        <f aca="false">IF(OR($B27="",F$5=""),"",IF(SUMPRODUCT(MAX((İzinler!$A$5:$A$504=$B27)*(İzinler!$C$5:$C$504&lt;=F$5)*(İzinler!$D$5:$D$504&gt;=F$5)*ROW(İzinler!$A$5:$A$504)))=0,"",LEFT(SUBSTITUTE(SUBSTITUTE(INDEX(İzinler!$B$1:$B$504,SUMPRODUCT(MAX((İzinler!$A$5:$A$504=$B27)*(İzinler!$C$5:$C$504&lt;=F$5)*(İzinler!$D$5:$D$504&gt;=F$5)*ROW(İzinler!$A$5:$A$504)))),"Yıllık izin","İ"),"Ücretsiz izin","Ü"),1)))</f>
        <v/>
      </c>
      <c r="G27" s="20" t="str">
        <f aca="false">IF(OR($B27="",G$5=""),"",IF(SUMPRODUCT(MAX((İzinler!$A$5:$A$504=$B27)*(İzinler!$C$5:$C$504&lt;=G$5)*(İzinler!$D$5:$D$504&gt;=G$5)*ROW(İzinler!$A$5:$A$504)))=0,"",LEFT(SUBSTITUTE(SUBSTITUTE(INDEX(İzinler!$B$1:$B$504,SUMPRODUCT(MAX((İzinler!$A$5:$A$504=$B27)*(İzinler!$C$5:$C$504&lt;=G$5)*(İzinler!$D$5:$D$504&gt;=G$5)*ROW(İzinler!$A$5:$A$504)))),"Yıllık izin","İ"),"Ücretsiz izin","Ü"),1)))</f>
        <v/>
      </c>
      <c r="H27" s="20" t="str">
        <f aca="false">IF(OR($B27="",H$5=""),"",IF(SUMPRODUCT(MAX((İzinler!$A$5:$A$504=$B27)*(İzinler!$C$5:$C$504&lt;=H$5)*(İzinler!$D$5:$D$504&gt;=H$5)*ROW(İzinler!$A$5:$A$504)))=0,"",LEFT(SUBSTITUTE(SUBSTITUTE(INDEX(İzinler!$B$1:$B$504,SUMPRODUCT(MAX((İzinler!$A$5:$A$504=$B27)*(İzinler!$C$5:$C$504&lt;=H$5)*(İzinler!$D$5:$D$504&gt;=H$5)*ROW(İzinler!$A$5:$A$504)))),"Yıllık izin","İ"),"Ücretsiz izin","Ü"),1)))</f>
        <v/>
      </c>
      <c r="I27" s="20" t="str">
        <f aca="false">IF(OR($B27="",I$5=""),"",IF(SUMPRODUCT(MAX((İzinler!$A$5:$A$504=$B27)*(İzinler!$C$5:$C$504&lt;=I$5)*(İzinler!$D$5:$D$504&gt;=I$5)*ROW(İzinler!$A$5:$A$504)))=0,"",LEFT(SUBSTITUTE(SUBSTITUTE(INDEX(İzinler!$B$1:$B$504,SUMPRODUCT(MAX((İzinler!$A$5:$A$504=$B27)*(İzinler!$C$5:$C$504&lt;=I$5)*(İzinler!$D$5:$D$504&gt;=I$5)*ROW(İzinler!$A$5:$A$504)))),"Yıllık izin","İ"),"Ücretsiz izin","Ü"),1)))</f>
        <v/>
      </c>
      <c r="J27" s="20" t="str">
        <f aca="false">IF(OR($B27="",J$5=""),"",IF(SUMPRODUCT(MAX((İzinler!$A$5:$A$504=$B27)*(İzinler!$C$5:$C$504&lt;=J$5)*(İzinler!$D$5:$D$504&gt;=J$5)*ROW(İzinler!$A$5:$A$504)))=0,"",LEFT(SUBSTITUTE(SUBSTITUTE(INDEX(İzinler!$B$1:$B$504,SUMPRODUCT(MAX((İzinler!$A$5:$A$504=$B27)*(İzinler!$C$5:$C$504&lt;=J$5)*(İzinler!$D$5:$D$504&gt;=J$5)*ROW(İzinler!$A$5:$A$504)))),"Yıllık izin","İ"),"Ücretsiz izin","Ü"),1)))</f>
        <v/>
      </c>
      <c r="K27" s="20" t="str">
        <f aca="false">IF(OR($B27="",K$5=""),"",IF(SUMPRODUCT(MAX((İzinler!$A$5:$A$504=$B27)*(İzinler!$C$5:$C$504&lt;=K$5)*(İzinler!$D$5:$D$504&gt;=K$5)*ROW(İzinler!$A$5:$A$504)))=0,"",LEFT(SUBSTITUTE(SUBSTITUTE(INDEX(İzinler!$B$1:$B$504,SUMPRODUCT(MAX((İzinler!$A$5:$A$504=$B27)*(İzinler!$C$5:$C$504&lt;=K$5)*(İzinler!$D$5:$D$504&gt;=K$5)*ROW(İzinler!$A$5:$A$504)))),"Yıllık izin","İ"),"Ücretsiz izin","Ü"),1)))</f>
        <v/>
      </c>
      <c r="L27" s="20" t="str">
        <f aca="false">IF(OR($B27="",L$5=""),"",IF(SUMPRODUCT(MAX((İzinler!$A$5:$A$504=$B27)*(İzinler!$C$5:$C$504&lt;=L$5)*(İzinler!$D$5:$D$504&gt;=L$5)*ROW(İzinler!$A$5:$A$504)))=0,"",LEFT(SUBSTITUTE(SUBSTITUTE(INDEX(İzinler!$B$1:$B$504,SUMPRODUCT(MAX((İzinler!$A$5:$A$504=$B27)*(İzinler!$C$5:$C$504&lt;=L$5)*(İzinler!$D$5:$D$504&gt;=L$5)*ROW(İzinler!$A$5:$A$504)))),"Yıllık izin","İ"),"Ücretsiz izin","Ü"),1)))</f>
        <v/>
      </c>
      <c r="M27" s="20" t="str">
        <f aca="false">IF(OR($B27="",M$5=""),"",IF(SUMPRODUCT(MAX((İzinler!$A$5:$A$504=$B27)*(İzinler!$C$5:$C$504&lt;=M$5)*(İzinler!$D$5:$D$504&gt;=M$5)*ROW(İzinler!$A$5:$A$504)))=0,"",LEFT(SUBSTITUTE(SUBSTITUTE(INDEX(İzinler!$B$1:$B$504,SUMPRODUCT(MAX((İzinler!$A$5:$A$504=$B27)*(İzinler!$C$5:$C$504&lt;=M$5)*(İzinler!$D$5:$D$504&gt;=M$5)*ROW(İzinler!$A$5:$A$504)))),"Yıllık izin","İ"),"Ücretsiz izin","Ü"),1)))</f>
        <v/>
      </c>
      <c r="N27" s="20" t="str">
        <f aca="false">IF(OR($B27="",N$5=""),"",IF(SUMPRODUCT(MAX((İzinler!$A$5:$A$504=$B27)*(İzinler!$C$5:$C$504&lt;=N$5)*(İzinler!$D$5:$D$504&gt;=N$5)*ROW(İzinler!$A$5:$A$504)))=0,"",LEFT(SUBSTITUTE(SUBSTITUTE(INDEX(İzinler!$B$1:$B$504,SUMPRODUCT(MAX((İzinler!$A$5:$A$504=$B27)*(İzinler!$C$5:$C$504&lt;=N$5)*(İzinler!$D$5:$D$504&gt;=N$5)*ROW(İzinler!$A$5:$A$504)))),"Yıllık izin","İ"),"Ücretsiz izin","Ü"),1)))</f>
        <v/>
      </c>
      <c r="O27" s="20" t="str">
        <f aca="false">IF(OR($B27="",O$5=""),"",IF(SUMPRODUCT(MAX((İzinler!$A$5:$A$504=$B27)*(İzinler!$C$5:$C$504&lt;=O$5)*(İzinler!$D$5:$D$504&gt;=O$5)*ROW(İzinler!$A$5:$A$504)))=0,"",LEFT(SUBSTITUTE(SUBSTITUTE(INDEX(İzinler!$B$1:$B$504,SUMPRODUCT(MAX((İzinler!$A$5:$A$504=$B27)*(İzinler!$C$5:$C$504&lt;=O$5)*(İzinler!$D$5:$D$504&gt;=O$5)*ROW(İzinler!$A$5:$A$504)))),"Yıllık izin","İ"),"Ücretsiz izin","Ü"),1)))</f>
        <v/>
      </c>
      <c r="P27" s="20" t="str">
        <f aca="false">IF(OR($B27="",P$5=""),"",IF(SUMPRODUCT(MAX((İzinler!$A$5:$A$504=$B27)*(İzinler!$C$5:$C$504&lt;=P$5)*(İzinler!$D$5:$D$504&gt;=P$5)*ROW(İzinler!$A$5:$A$504)))=0,"",LEFT(SUBSTITUTE(SUBSTITUTE(INDEX(İzinler!$B$1:$B$504,SUMPRODUCT(MAX((İzinler!$A$5:$A$504=$B27)*(İzinler!$C$5:$C$504&lt;=P$5)*(İzinler!$D$5:$D$504&gt;=P$5)*ROW(İzinler!$A$5:$A$504)))),"Yıllık izin","İ"),"Ücretsiz izin","Ü"),1)))</f>
        <v/>
      </c>
      <c r="Q27" s="20" t="str">
        <f aca="false">IF(OR($B27="",Q$5=""),"",IF(SUMPRODUCT(MAX((İzinler!$A$5:$A$504=$B27)*(İzinler!$C$5:$C$504&lt;=Q$5)*(İzinler!$D$5:$D$504&gt;=Q$5)*ROW(İzinler!$A$5:$A$504)))=0,"",LEFT(SUBSTITUTE(SUBSTITUTE(INDEX(İzinler!$B$1:$B$504,SUMPRODUCT(MAX((İzinler!$A$5:$A$504=$B27)*(İzinler!$C$5:$C$504&lt;=Q$5)*(İzinler!$D$5:$D$504&gt;=Q$5)*ROW(İzinler!$A$5:$A$504)))),"Yıllık izin","İ"),"Ücretsiz izin","Ü"),1)))</f>
        <v/>
      </c>
      <c r="R27" s="20" t="str">
        <f aca="false">IF(OR($B27="",R$5=""),"",IF(SUMPRODUCT(MAX((İzinler!$A$5:$A$504=$B27)*(İzinler!$C$5:$C$504&lt;=R$5)*(İzinler!$D$5:$D$504&gt;=R$5)*ROW(İzinler!$A$5:$A$504)))=0,"",LEFT(SUBSTITUTE(SUBSTITUTE(INDEX(İzinler!$B$1:$B$504,SUMPRODUCT(MAX((İzinler!$A$5:$A$504=$B27)*(İzinler!$C$5:$C$504&lt;=R$5)*(İzinler!$D$5:$D$504&gt;=R$5)*ROW(İzinler!$A$5:$A$504)))),"Yıllık izin","İ"),"Ücretsiz izin","Ü"),1)))</f>
        <v/>
      </c>
      <c r="S27" s="20" t="str">
        <f aca="false">IF(OR($B27="",S$5=""),"",IF(SUMPRODUCT(MAX((İzinler!$A$5:$A$504=$B27)*(İzinler!$C$5:$C$504&lt;=S$5)*(İzinler!$D$5:$D$504&gt;=S$5)*ROW(İzinler!$A$5:$A$504)))=0,"",LEFT(SUBSTITUTE(SUBSTITUTE(INDEX(İzinler!$B$1:$B$504,SUMPRODUCT(MAX((İzinler!$A$5:$A$504=$B27)*(İzinler!$C$5:$C$504&lt;=S$5)*(İzinler!$D$5:$D$504&gt;=S$5)*ROW(İzinler!$A$5:$A$504)))),"Yıllık izin","İ"),"Ücretsiz izin","Ü"),1)))</f>
        <v/>
      </c>
      <c r="T27" s="20" t="str">
        <f aca="false">IF(OR($B27="",T$5=""),"",IF(SUMPRODUCT(MAX((İzinler!$A$5:$A$504=$B27)*(İzinler!$C$5:$C$504&lt;=T$5)*(İzinler!$D$5:$D$504&gt;=T$5)*ROW(İzinler!$A$5:$A$504)))=0,"",LEFT(SUBSTITUTE(SUBSTITUTE(INDEX(İzinler!$B$1:$B$504,SUMPRODUCT(MAX((İzinler!$A$5:$A$504=$B27)*(İzinler!$C$5:$C$504&lt;=T$5)*(İzinler!$D$5:$D$504&gt;=T$5)*ROW(İzinler!$A$5:$A$504)))),"Yıllık izin","İ"),"Ücretsiz izin","Ü"),1)))</f>
        <v/>
      </c>
      <c r="U27" s="20" t="str">
        <f aca="false">IF(OR($B27="",U$5=""),"",IF(SUMPRODUCT(MAX((İzinler!$A$5:$A$504=$B27)*(İzinler!$C$5:$C$504&lt;=U$5)*(İzinler!$D$5:$D$504&gt;=U$5)*ROW(İzinler!$A$5:$A$504)))=0,"",LEFT(SUBSTITUTE(SUBSTITUTE(INDEX(İzinler!$B$1:$B$504,SUMPRODUCT(MAX((İzinler!$A$5:$A$504=$B27)*(İzinler!$C$5:$C$504&lt;=U$5)*(İzinler!$D$5:$D$504&gt;=U$5)*ROW(İzinler!$A$5:$A$504)))),"Yıllık izin","İ"),"Ücretsiz izin","Ü"),1)))</f>
        <v/>
      </c>
      <c r="V27" s="20" t="str">
        <f aca="false">IF(OR($B27="",V$5=""),"",IF(SUMPRODUCT(MAX((İzinler!$A$5:$A$504=$B27)*(İzinler!$C$5:$C$504&lt;=V$5)*(İzinler!$D$5:$D$504&gt;=V$5)*ROW(İzinler!$A$5:$A$504)))=0,"",LEFT(SUBSTITUTE(SUBSTITUTE(INDEX(İzinler!$B$1:$B$504,SUMPRODUCT(MAX((İzinler!$A$5:$A$504=$B27)*(İzinler!$C$5:$C$504&lt;=V$5)*(İzinler!$D$5:$D$504&gt;=V$5)*ROW(İzinler!$A$5:$A$504)))),"Yıllık izin","İ"),"Ücretsiz izin","Ü"),1)))</f>
        <v/>
      </c>
      <c r="W27" s="20" t="str">
        <f aca="false">IF(OR($B27="",W$5=""),"",IF(SUMPRODUCT(MAX((İzinler!$A$5:$A$504=$B27)*(İzinler!$C$5:$C$504&lt;=W$5)*(İzinler!$D$5:$D$504&gt;=W$5)*ROW(İzinler!$A$5:$A$504)))=0,"",LEFT(SUBSTITUTE(SUBSTITUTE(INDEX(İzinler!$B$1:$B$504,SUMPRODUCT(MAX((İzinler!$A$5:$A$504=$B27)*(İzinler!$C$5:$C$504&lt;=W$5)*(İzinler!$D$5:$D$504&gt;=W$5)*ROW(İzinler!$A$5:$A$504)))),"Yıllık izin","İ"),"Ücretsiz izin","Ü"),1)))</f>
        <v/>
      </c>
      <c r="X27" s="20" t="str">
        <f aca="false">IF(OR($B27="",X$5=""),"",IF(SUMPRODUCT(MAX((İzinler!$A$5:$A$504=$B27)*(İzinler!$C$5:$C$504&lt;=X$5)*(İzinler!$D$5:$D$504&gt;=X$5)*ROW(İzinler!$A$5:$A$504)))=0,"",LEFT(SUBSTITUTE(SUBSTITUTE(INDEX(İzinler!$B$1:$B$504,SUMPRODUCT(MAX((İzinler!$A$5:$A$504=$B27)*(İzinler!$C$5:$C$504&lt;=X$5)*(İzinler!$D$5:$D$504&gt;=X$5)*ROW(İzinler!$A$5:$A$504)))),"Yıllık izin","İ"),"Ücretsiz izin","Ü"),1)))</f>
        <v/>
      </c>
      <c r="Y27" s="20" t="str">
        <f aca="false">IF(OR($B27="",Y$5=""),"",IF(SUMPRODUCT(MAX((İzinler!$A$5:$A$504=$B27)*(İzinler!$C$5:$C$504&lt;=Y$5)*(İzinler!$D$5:$D$504&gt;=Y$5)*ROW(İzinler!$A$5:$A$504)))=0,"",LEFT(SUBSTITUTE(SUBSTITUTE(INDEX(İzinler!$B$1:$B$504,SUMPRODUCT(MAX((İzinler!$A$5:$A$504=$B27)*(İzinler!$C$5:$C$504&lt;=Y$5)*(İzinler!$D$5:$D$504&gt;=Y$5)*ROW(İzinler!$A$5:$A$504)))),"Yıllık izin","İ"),"Ücretsiz izin","Ü"),1)))</f>
        <v/>
      </c>
      <c r="Z27" s="20" t="str">
        <f aca="false">IF(OR($B27="",Z$5=""),"",IF(SUMPRODUCT(MAX((İzinler!$A$5:$A$504=$B27)*(İzinler!$C$5:$C$504&lt;=Z$5)*(İzinler!$D$5:$D$504&gt;=Z$5)*ROW(İzinler!$A$5:$A$504)))=0,"",LEFT(SUBSTITUTE(SUBSTITUTE(INDEX(İzinler!$B$1:$B$504,SUMPRODUCT(MAX((İzinler!$A$5:$A$504=$B27)*(İzinler!$C$5:$C$504&lt;=Z$5)*(İzinler!$D$5:$D$504&gt;=Z$5)*ROW(İzinler!$A$5:$A$504)))),"Yıllık izin","İ"),"Ücretsiz izin","Ü"),1)))</f>
        <v/>
      </c>
      <c r="AA27" s="20" t="str">
        <f aca="false">IF(OR($B27="",AA$5=""),"",IF(SUMPRODUCT(MAX((İzinler!$A$5:$A$504=$B27)*(İzinler!$C$5:$C$504&lt;=AA$5)*(İzinler!$D$5:$D$504&gt;=AA$5)*ROW(İzinler!$A$5:$A$504)))=0,"",LEFT(SUBSTITUTE(SUBSTITUTE(INDEX(İzinler!$B$1:$B$504,SUMPRODUCT(MAX((İzinler!$A$5:$A$504=$B27)*(İzinler!$C$5:$C$504&lt;=AA$5)*(İzinler!$D$5:$D$504&gt;=AA$5)*ROW(İzinler!$A$5:$A$504)))),"Yıllık izin","İ"),"Ücretsiz izin","Ü"),1)))</f>
        <v/>
      </c>
      <c r="AB27" s="20" t="str">
        <f aca="false">IF(OR($B27="",AB$5=""),"",IF(SUMPRODUCT(MAX((İzinler!$A$5:$A$504=$B27)*(İzinler!$C$5:$C$504&lt;=AB$5)*(İzinler!$D$5:$D$504&gt;=AB$5)*ROW(İzinler!$A$5:$A$504)))=0,"",LEFT(SUBSTITUTE(SUBSTITUTE(INDEX(İzinler!$B$1:$B$504,SUMPRODUCT(MAX((İzinler!$A$5:$A$504=$B27)*(İzinler!$C$5:$C$504&lt;=AB$5)*(İzinler!$D$5:$D$504&gt;=AB$5)*ROW(İzinler!$A$5:$A$504)))),"Yıllık izin","İ"),"Ücretsiz izin","Ü"),1)))</f>
        <v/>
      </c>
      <c r="AC27" s="20" t="str">
        <f aca="false">IF(OR($B27="",AC$5=""),"",IF(SUMPRODUCT(MAX((İzinler!$A$5:$A$504=$B27)*(İzinler!$C$5:$C$504&lt;=AC$5)*(İzinler!$D$5:$D$504&gt;=AC$5)*ROW(İzinler!$A$5:$A$504)))=0,"",LEFT(SUBSTITUTE(SUBSTITUTE(INDEX(İzinler!$B$1:$B$504,SUMPRODUCT(MAX((İzinler!$A$5:$A$504=$B27)*(İzinler!$C$5:$C$504&lt;=AC$5)*(İzinler!$D$5:$D$504&gt;=AC$5)*ROW(İzinler!$A$5:$A$504)))),"Yıllık izin","İ"),"Ücretsiz izin","Ü"),1)))</f>
        <v/>
      </c>
      <c r="AD27" s="20" t="str">
        <f aca="false">IF(OR($B27="",AD$5=""),"",IF(SUMPRODUCT(MAX((İzinler!$A$5:$A$504=$B27)*(İzinler!$C$5:$C$504&lt;=AD$5)*(İzinler!$D$5:$D$504&gt;=AD$5)*ROW(İzinler!$A$5:$A$504)))=0,"",LEFT(SUBSTITUTE(SUBSTITUTE(INDEX(İzinler!$B$1:$B$504,SUMPRODUCT(MAX((İzinler!$A$5:$A$504=$B27)*(İzinler!$C$5:$C$504&lt;=AD$5)*(İzinler!$D$5:$D$504&gt;=AD$5)*ROW(İzinler!$A$5:$A$504)))),"Yıllık izin","İ"),"Ücretsiz izin","Ü"),1)))</f>
        <v/>
      </c>
      <c r="AE27" s="20" t="str">
        <f aca="false">IF(OR($B27="",AE$5=""),"",IF(SUMPRODUCT(MAX((İzinler!$A$5:$A$504=$B27)*(İzinler!$C$5:$C$504&lt;=AE$5)*(İzinler!$D$5:$D$504&gt;=AE$5)*ROW(İzinler!$A$5:$A$504)))=0,"",LEFT(SUBSTITUTE(SUBSTITUTE(INDEX(İzinler!$B$1:$B$504,SUMPRODUCT(MAX((İzinler!$A$5:$A$504=$B27)*(İzinler!$C$5:$C$504&lt;=AE$5)*(İzinler!$D$5:$D$504&gt;=AE$5)*ROW(İzinler!$A$5:$A$504)))),"Yıllık izin","İ"),"Ücretsiz izin","Ü"),1)))</f>
        <v/>
      </c>
      <c r="AF27" s="20" t="str">
        <f aca="false">IF(OR($B27="",AF$5=""),"",IF(SUMPRODUCT(MAX((İzinler!$A$5:$A$504=$B27)*(İzinler!$C$5:$C$504&lt;=AF$5)*(İzinler!$D$5:$D$504&gt;=AF$5)*ROW(İzinler!$A$5:$A$504)))=0,"",LEFT(SUBSTITUTE(SUBSTITUTE(INDEX(İzinler!$B$1:$B$504,SUMPRODUCT(MAX((İzinler!$A$5:$A$504=$B27)*(İzinler!$C$5:$C$504&lt;=AF$5)*(İzinler!$D$5:$D$504&gt;=AF$5)*ROW(İzinler!$A$5:$A$504)))),"Yıllık izin","İ"),"Ücretsiz izin","Ü"),1)))</f>
        <v/>
      </c>
      <c r="AG27" s="20" t="str">
        <f aca="false">IF(OR($B27="",AG$5=""),"",IF(SUMPRODUCT(MAX((İzinler!$A$5:$A$504=$B27)*(İzinler!$C$5:$C$504&lt;=AG$5)*(İzinler!$D$5:$D$504&gt;=AG$5)*ROW(İzinler!$A$5:$A$504)))=0,"",LEFT(SUBSTITUTE(SUBSTITUTE(INDEX(İzinler!$B$1:$B$504,SUMPRODUCT(MAX((İzinler!$A$5:$A$504=$B27)*(İzinler!$C$5:$C$504&lt;=AG$5)*(İzinler!$D$5:$D$504&gt;=AG$5)*ROW(İzinler!$A$5:$A$504)))),"Yıllık izin","İ"),"Ücretsiz izin","Ü"),1)))</f>
        <v/>
      </c>
      <c r="AH27" s="21" t="str">
        <f aca="false">IF(B27="","",COUNTIF(C27:AG27,"?"))</f>
        <v/>
      </c>
    </row>
    <row r="28" customFormat="false" ht="15" hidden="false" customHeight="false" outlineLevel="0" collapsed="false">
      <c r="B28" s="16" t="str">
        <f aca="false">IF(Personel!A27="","",Personel!A27)</f>
        <v/>
      </c>
      <c r="C28" s="20" t="str">
        <f aca="false">IF(OR($B28="",C$5=""),"",IF(SUMPRODUCT(MAX((İzinler!$A$5:$A$504=$B28)*(İzinler!$C$5:$C$504&lt;=C$5)*(İzinler!$D$5:$D$504&gt;=C$5)*ROW(İzinler!$A$5:$A$504)))=0,"",LEFT(SUBSTITUTE(SUBSTITUTE(INDEX(İzinler!$B$1:$B$504,SUMPRODUCT(MAX((İzinler!$A$5:$A$504=$B28)*(İzinler!$C$5:$C$504&lt;=C$5)*(İzinler!$D$5:$D$504&gt;=C$5)*ROW(İzinler!$A$5:$A$504)))),"Yıllık izin","İ"),"Ücretsiz izin","Ü"),1)))</f>
        <v/>
      </c>
      <c r="D28" s="20" t="str">
        <f aca="false">IF(OR($B28="",D$5=""),"",IF(SUMPRODUCT(MAX((İzinler!$A$5:$A$504=$B28)*(İzinler!$C$5:$C$504&lt;=D$5)*(İzinler!$D$5:$D$504&gt;=D$5)*ROW(İzinler!$A$5:$A$504)))=0,"",LEFT(SUBSTITUTE(SUBSTITUTE(INDEX(İzinler!$B$1:$B$504,SUMPRODUCT(MAX((İzinler!$A$5:$A$504=$B28)*(İzinler!$C$5:$C$504&lt;=D$5)*(İzinler!$D$5:$D$504&gt;=D$5)*ROW(İzinler!$A$5:$A$504)))),"Yıllık izin","İ"),"Ücretsiz izin","Ü"),1)))</f>
        <v/>
      </c>
      <c r="E28" s="20" t="str">
        <f aca="false">IF(OR($B28="",E$5=""),"",IF(SUMPRODUCT(MAX((İzinler!$A$5:$A$504=$B28)*(İzinler!$C$5:$C$504&lt;=E$5)*(İzinler!$D$5:$D$504&gt;=E$5)*ROW(İzinler!$A$5:$A$504)))=0,"",LEFT(SUBSTITUTE(SUBSTITUTE(INDEX(İzinler!$B$1:$B$504,SUMPRODUCT(MAX((İzinler!$A$5:$A$504=$B28)*(İzinler!$C$5:$C$504&lt;=E$5)*(İzinler!$D$5:$D$504&gt;=E$5)*ROW(İzinler!$A$5:$A$504)))),"Yıllık izin","İ"),"Ücretsiz izin","Ü"),1)))</f>
        <v/>
      </c>
      <c r="F28" s="20" t="str">
        <f aca="false">IF(OR($B28="",F$5=""),"",IF(SUMPRODUCT(MAX((İzinler!$A$5:$A$504=$B28)*(İzinler!$C$5:$C$504&lt;=F$5)*(İzinler!$D$5:$D$504&gt;=F$5)*ROW(İzinler!$A$5:$A$504)))=0,"",LEFT(SUBSTITUTE(SUBSTITUTE(INDEX(İzinler!$B$1:$B$504,SUMPRODUCT(MAX((İzinler!$A$5:$A$504=$B28)*(İzinler!$C$5:$C$504&lt;=F$5)*(İzinler!$D$5:$D$504&gt;=F$5)*ROW(İzinler!$A$5:$A$504)))),"Yıllık izin","İ"),"Ücretsiz izin","Ü"),1)))</f>
        <v/>
      </c>
      <c r="G28" s="20" t="str">
        <f aca="false">IF(OR($B28="",G$5=""),"",IF(SUMPRODUCT(MAX((İzinler!$A$5:$A$504=$B28)*(İzinler!$C$5:$C$504&lt;=G$5)*(İzinler!$D$5:$D$504&gt;=G$5)*ROW(İzinler!$A$5:$A$504)))=0,"",LEFT(SUBSTITUTE(SUBSTITUTE(INDEX(İzinler!$B$1:$B$504,SUMPRODUCT(MAX((İzinler!$A$5:$A$504=$B28)*(İzinler!$C$5:$C$504&lt;=G$5)*(İzinler!$D$5:$D$504&gt;=G$5)*ROW(İzinler!$A$5:$A$504)))),"Yıllık izin","İ"),"Ücretsiz izin","Ü"),1)))</f>
        <v/>
      </c>
      <c r="H28" s="20" t="str">
        <f aca="false">IF(OR($B28="",H$5=""),"",IF(SUMPRODUCT(MAX((İzinler!$A$5:$A$504=$B28)*(İzinler!$C$5:$C$504&lt;=H$5)*(İzinler!$D$5:$D$504&gt;=H$5)*ROW(İzinler!$A$5:$A$504)))=0,"",LEFT(SUBSTITUTE(SUBSTITUTE(INDEX(İzinler!$B$1:$B$504,SUMPRODUCT(MAX((İzinler!$A$5:$A$504=$B28)*(İzinler!$C$5:$C$504&lt;=H$5)*(İzinler!$D$5:$D$504&gt;=H$5)*ROW(İzinler!$A$5:$A$504)))),"Yıllık izin","İ"),"Ücretsiz izin","Ü"),1)))</f>
        <v/>
      </c>
      <c r="I28" s="20" t="str">
        <f aca="false">IF(OR($B28="",I$5=""),"",IF(SUMPRODUCT(MAX((İzinler!$A$5:$A$504=$B28)*(İzinler!$C$5:$C$504&lt;=I$5)*(İzinler!$D$5:$D$504&gt;=I$5)*ROW(İzinler!$A$5:$A$504)))=0,"",LEFT(SUBSTITUTE(SUBSTITUTE(INDEX(İzinler!$B$1:$B$504,SUMPRODUCT(MAX((İzinler!$A$5:$A$504=$B28)*(İzinler!$C$5:$C$504&lt;=I$5)*(İzinler!$D$5:$D$504&gt;=I$5)*ROW(İzinler!$A$5:$A$504)))),"Yıllık izin","İ"),"Ücretsiz izin","Ü"),1)))</f>
        <v/>
      </c>
      <c r="J28" s="20" t="str">
        <f aca="false">IF(OR($B28="",J$5=""),"",IF(SUMPRODUCT(MAX((İzinler!$A$5:$A$504=$B28)*(İzinler!$C$5:$C$504&lt;=J$5)*(İzinler!$D$5:$D$504&gt;=J$5)*ROW(İzinler!$A$5:$A$504)))=0,"",LEFT(SUBSTITUTE(SUBSTITUTE(INDEX(İzinler!$B$1:$B$504,SUMPRODUCT(MAX((İzinler!$A$5:$A$504=$B28)*(İzinler!$C$5:$C$504&lt;=J$5)*(İzinler!$D$5:$D$504&gt;=J$5)*ROW(İzinler!$A$5:$A$504)))),"Yıllık izin","İ"),"Ücretsiz izin","Ü"),1)))</f>
        <v/>
      </c>
      <c r="K28" s="20" t="str">
        <f aca="false">IF(OR($B28="",K$5=""),"",IF(SUMPRODUCT(MAX((İzinler!$A$5:$A$504=$B28)*(İzinler!$C$5:$C$504&lt;=K$5)*(İzinler!$D$5:$D$504&gt;=K$5)*ROW(İzinler!$A$5:$A$504)))=0,"",LEFT(SUBSTITUTE(SUBSTITUTE(INDEX(İzinler!$B$1:$B$504,SUMPRODUCT(MAX((İzinler!$A$5:$A$504=$B28)*(İzinler!$C$5:$C$504&lt;=K$5)*(İzinler!$D$5:$D$504&gt;=K$5)*ROW(İzinler!$A$5:$A$504)))),"Yıllık izin","İ"),"Ücretsiz izin","Ü"),1)))</f>
        <v/>
      </c>
      <c r="L28" s="20" t="str">
        <f aca="false">IF(OR($B28="",L$5=""),"",IF(SUMPRODUCT(MAX((İzinler!$A$5:$A$504=$B28)*(İzinler!$C$5:$C$504&lt;=L$5)*(İzinler!$D$5:$D$504&gt;=L$5)*ROW(İzinler!$A$5:$A$504)))=0,"",LEFT(SUBSTITUTE(SUBSTITUTE(INDEX(İzinler!$B$1:$B$504,SUMPRODUCT(MAX((İzinler!$A$5:$A$504=$B28)*(İzinler!$C$5:$C$504&lt;=L$5)*(İzinler!$D$5:$D$504&gt;=L$5)*ROW(İzinler!$A$5:$A$504)))),"Yıllık izin","İ"),"Ücretsiz izin","Ü"),1)))</f>
        <v/>
      </c>
      <c r="M28" s="20" t="str">
        <f aca="false">IF(OR($B28="",M$5=""),"",IF(SUMPRODUCT(MAX((İzinler!$A$5:$A$504=$B28)*(İzinler!$C$5:$C$504&lt;=M$5)*(İzinler!$D$5:$D$504&gt;=M$5)*ROW(İzinler!$A$5:$A$504)))=0,"",LEFT(SUBSTITUTE(SUBSTITUTE(INDEX(İzinler!$B$1:$B$504,SUMPRODUCT(MAX((İzinler!$A$5:$A$504=$B28)*(İzinler!$C$5:$C$504&lt;=M$5)*(İzinler!$D$5:$D$504&gt;=M$5)*ROW(İzinler!$A$5:$A$504)))),"Yıllık izin","İ"),"Ücretsiz izin","Ü"),1)))</f>
        <v/>
      </c>
      <c r="N28" s="20" t="str">
        <f aca="false">IF(OR($B28="",N$5=""),"",IF(SUMPRODUCT(MAX((İzinler!$A$5:$A$504=$B28)*(İzinler!$C$5:$C$504&lt;=N$5)*(İzinler!$D$5:$D$504&gt;=N$5)*ROW(İzinler!$A$5:$A$504)))=0,"",LEFT(SUBSTITUTE(SUBSTITUTE(INDEX(İzinler!$B$1:$B$504,SUMPRODUCT(MAX((İzinler!$A$5:$A$504=$B28)*(İzinler!$C$5:$C$504&lt;=N$5)*(İzinler!$D$5:$D$504&gt;=N$5)*ROW(İzinler!$A$5:$A$504)))),"Yıllık izin","İ"),"Ücretsiz izin","Ü"),1)))</f>
        <v/>
      </c>
      <c r="O28" s="20" t="str">
        <f aca="false">IF(OR($B28="",O$5=""),"",IF(SUMPRODUCT(MAX((İzinler!$A$5:$A$504=$B28)*(İzinler!$C$5:$C$504&lt;=O$5)*(İzinler!$D$5:$D$504&gt;=O$5)*ROW(İzinler!$A$5:$A$504)))=0,"",LEFT(SUBSTITUTE(SUBSTITUTE(INDEX(İzinler!$B$1:$B$504,SUMPRODUCT(MAX((İzinler!$A$5:$A$504=$B28)*(İzinler!$C$5:$C$504&lt;=O$5)*(İzinler!$D$5:$D$504&gt;=O$5)*ROW(İzinler!$A$5:$A$504)))),"Yıllık izin","İ"),"Ücretsiz izin","Ü"),1)))</f>
        <v/>
      </c>
      <c r="P28" s="20" t="str">
        <f aca="false">IF(OR($B28="",P$5=""),"",IF(SUMPRODUCT(MAX((İzinler!$A$5:$A$504=$B28)*(İzinler!$C$5:$C$504&lt;=P$5)*(İzinler!$D$5:$D$504&gt;=P$5)*ROW(İzinler!$A$5:$A$504)))=0,"",LEFT(SUBSTITUTE(SUBSTITUTE(INDEX(İzinler!$B$1:$B$504,SUMPRODUCT(MAX((İzinler!$A$5:$A$504=$B28)*(İzinler!$C$5:$C$504&lt;=P$5)*(İzinler!$D$5:$D$504&gt;=P$5)*ROW(İzinler!$A$5:$A$504)))),"Yıllık izin","İ"),"Ücretsiz izin","Ü"),1)))</f>
        <v/>
      </c>
      <c r="Q28" s="20" t="str">
        <f aca="false">IF(OR($B28="",Q$5=""),"",IF(SUMPRODUCT(MAX((İzinler!$A$5:$A$504=$B28)*(İzinler!$C$5:$C$504&lt;=Q$5)*(İzinler!$D$5:$D$504&gt;=Q$5)*ROW(İzinler!$A$5:$A$504)))=0,"",LEFT(SUBSTITUTE(SUBSTITUTE(INDEX(İzinler!$B$1:$B$504,SUMPRODUCT(MAX((İzinler!$A$5:$A$504=$B28)*(İzinler!$C$5:$C$504&lt;=Q$5)*(İzinler!$D$5:$D$504&gt;=Q$5)*ROW(İzinler!$A$5:$A$504)))),"Yıllık izin","İ"),"Ücretsiz izin","Ü"),1)))</f>
        <v/>
      </c>
      <c r="R28" s="20" t="str">
        <f aca="false">IF(OR($B28="",R$5=""),"",IF(SUMPRODUCT(MAX((İzinler!$A$5:$A$504=$B28)*(İzinler!$C$5:$C$504&lt;=R$5)*(İzinler!$D$5:$D$504&gt;=R$5)*ROW(İzinler!$A$5:$A$504)))=0,"",LEFT(SUBSTITUTE(SUBSTITUTE(INDEX(İzinler!$B$1:$B$504,SUMPRODUCT(MAX((İzinler!$A$5:$A$504=$B28)*(İzinler!$C$5:$C$504&lt;=R$5)*(İzinler!$D$5:$D$504&gt;=R$5)*ROW(İzinler!$A$5:$A$504)))),"Yıllık izin","İ"),"Ücretsiz izin","Ü"),1)))</f>
        <v/>
      </c>
      <c r="S28" s="20" t="str">
        <f aca="false">IF(OR($B28="",S$5=""),"",IF(SUMPRODUCT(MAX((İzinler!$A$5:$A$504=$B28)*(İzinler!$C$5:$C$504&lt;=S$5)*(İzinler!$D$5:$D$504&gt;=S$5)*ROW(İzinler!$A$5:$A$504)))=0,"",LEFT(SUBSTITUTE(SUBSTITUTE(INDEX(İzinler!$B$1:$B$504,SUMPRODUCT(MAX((İzinler!$A$5:$A$504=$B28)*(İzinler!$C$5:$C$504&lt;=S$5)*(İzinler!$D$5:$D$504&gt;=S$5)*ROW(İzinler!$A$5:$A$504)))),"Yıllık izin","İ"),"Ücretsiz izin","Ü"),1)))</f>
        <v/>
      </c>
      <c r="T28" s="20" t="str">
        <f aca="false">IF(OR($B28="",T$5=""),"",IF(SUMPRODUCT(MAX((İzinler!$A$5:$A$504=$B28)*(İzinler!$C$5:$C$504&lt;=T$5)*(İzinler!$D$5:$D$504&gt;=T$5)*ROW(İzinler!$A$5:$A$504)))=0,"",LEFT(SUBSTITUTE(SUBSTITUTE(INDEX(İzinler!$B$1:$B$504,SUMPRODUCT(MAX((İzinler!$A$5:$A$504=$B28)*(İzinler!$C$5:$C$504&lt;=T$5)*(İzinler!$D$5:$D$504&gt;=T$5)*ROW(İzinler!$A$5:$A$504)))),"Yıllık izin","İ"),"Ücretsiz izin","Ü"),1)))</f>
        <v/>
      </c>
      <c r="U28" s="20" t="str">
        <f aca="false">IF(OR($B28="",U$5=""),"",IF(SUMPRODUCT(MAX((İzinler!$A$5:$A$504=$B28)*(İzinler!$C$5:$C$504&lt;=U$5)*(İzinler!$D$5:$D$504&gt;=U$5)*ROW(İzinler!$A$5:$A$504)))=0,"",LEFT(SUBSTITUTE(SUBSTITUTE(INDEX(İzinler!$B$1:$B$504,SUMPRODUCT(MAX((İzinler!$A$5:$A$504=$B28)*(İzinler!$C$5:$C$504&lt;=U$5)*(İzinler!$D$5:$D$504&gt;=U$5)*ROW(İzinler!$A$5:$A$504)))),"Yıllık izin","İ"),"Ücretsiz izin","Ü"),1)))</f>
        <v/>
      </c>
      <c r="V28" s="20" t="str">
        <f aca="false">IF(OR($B28="",V$5=""),"",IF(SUMPRODUCT(MAX((İzinler!$A$5:$A$504=$B28)*(İzinler!$C$5:$C$504&lt;=V$5)*(İzinler!$D$5:$D$504&gt;=V$5)*ROW(İzinler!$A$5:$A$504)))=0,"",LEFT(SUBSTITUTE(SUBSTITUTE(INDEX(İzinler!$B$1:$B$504,SUMPRODUCT(MAX((İzinler!$A$5:$A$504=$B28)*(İzinler!$C$5:$C$504&lt;=V$5)*(İzinler!$D$5:$D$504&gt;=V$5)*ROW(İzinler!$A$5:$A$504)))),"Yıllık izin","İ"),"Ücretsiz izin","Ü"),1)))</f>
        <v/>
      </c>
      <c r="W28" s="20" t="str">
        <f aca="false">IF(OR($B28="",W$5=""),"",IF(SUMPRODUCT(MAX((İzinler!$A$5:$A$504=$B28)*(İzinler!$C$5:$C$504&lt;=W$5)*(İzinler!$D$5:$D$504&gt;=W$5)*ROW(İzinler!$A$5:$A$504)))=0,"",LEFT(SUBSTITUTE(SUBSTITUTE(INDEX(İzinler!$B$1:$B$504,SUMPRODUCT(MAX((İzinler!$A$5:$A$504=$B28)*(İzinler!$C$5:$C$504&lt;=W$5)*(İzinler!$D$5:$D$504&gt;=W$5)*ROW(İzinler!$A$5:$A$504)))),"Yıllık izin","İ"),"Ücretsiz izin","Ü"),1)))</f>
        <v/>
      </c>
      <c r="X28" s="20" t="str">
        <f aca="false">IF(OR($B28="",X$5=""),"",IF(SUMPRODUCT(MAX((İzinler!$A$5:$A$504=$B28)*(İzinler!$C$5:$C$504&lt;=X$5)*(İzinler!$D$5:$D$504&gt;=X$5)*ROW(İzinler!$A$5:$A$504)))=0,"",LEFT(SUBSTITUTE(SUBSTITUTE(INDEX(İzinler!$B$1:$B$504,SUMPRODUCT(MAX((İzinler!$A$5:$A$504=$B28)*(İzinler!$C$5:$C$504&lt;=X$5)*(İzinler!$D$5:$D$504&gt;=X$5)*ROW(İzinler!$A$5:$A$504)))),"Yıllık izin","İ"),"Ücretsiz izin","Ü"),1)))</f>
        <v/>
      </c>
      <c r="Y28" s="20" t="str">
        <f aca="false">IF(OR($B28="",Y$5=""),"",IF(SUMPRODUCT(MAX((İzinler!$A$5:$A$504=$B28)*(İzinler!$C$5:$C$504&lt;=Y$5)*(İzinler!$D$5:$D$504&gt;=Y$5)*ROW(İzinler!$A$5:$A$504)))=0,"",LEFT(SUBSTITUTE(SUBSTITUTE(INDEX(İzinler!$B$1:$B$504,SUMPRODUCT(MAX((İzinler!$A$5:$A$504=$B28)*(İzinler!$C$5:$C$504&lt;=Y$5)*(İzinler!$D$5:$D$504&gt;=Y$5)*ROW(İzinler!$A$5:$A$504)))),"Yıllık izin","İ"),"Ücretsiz izin","Ü"),1)))</f>
        <v/>
      </c>
      <c r="Z28" s="20" t="str">
        <f aca="false">IF(OR($B28="",Z$5=""),"",IF(SUMPRODUCT(MAX((İzinler!$A$5:$A$504=$B28)*(İzinler!$C$5:$C$504&lt;=Z$5)*(İzinler!$D$5:$D$504&gt;=Z$5)*ROW(İzinler!$A$5:$A$504)))=0,"",LEFT(SUBSTITUTE(SUBSTITUTE(INDEX(İzinler!$B$1:$B$504,SUMPRODUCT(MAX((İzinler!$A$5:$A$504=$B28)*(İzinler!$C$5:$C$504&lt;=Z$5)*(İzinler!$D$5:$D$504&gt;=Z$5)*ROW(İzinler!$A$5:$A$504)))),"Yıllık izin","İ"),"Ücretsiz izin","Ü"),1)))</f>
        <v/>
      </c>
      <c r="AA28" s="20" t="str">
        <f aca="false">IF(OR($B28="",AA$5=""),"",IF(SUMPRODUCT(MAX((İzinler!$A$5:$A$504=$B28)*(İzinler!$C$5:$C$504&lt;=AA$5)*(İzinler!$D$5:$D$504&gt;=AA$5)*ROW(İzinler!$A$5:$A$504)))=0,"",LEFT(SUBSTITUTE(SUBSTITUTE(INDEX(İzinler!$B$1:$B$504,SUMPRODUCT(MAX((İzinler!$A$5:$A$504=$B28)*(İzinler!$C$5:$C$504&lt;=AA$5)*(İzinler!$D$5:$D$504&gt;=AA$5)*ROW(İzinler!$A$5:$A$504)))),"Yıllık izin","İ"),"Ücretsiz izin","Ü"),1)))</f>
        <v/>
      </c>
      <c r="AB28" s="20" t="str">
        <f aca="false">IF(OR($B28="",AB$5=""),"",IF(SUMPRODUCT(MAX((İzinler!$A$5:$A$504=$B28)*(İzinler!$C$5:$C$504&lt;=AB$5)*(İzinler!$D$5:$D$504&gt;=AB$5)*ROW(İzinler!$A$5:$A$504)))=0,"",LEFT(SUBSTITUTE(SUBSTITUTE(INDEX(İzinler!$B$1:$B$504,SUMPRODUCT(MAX((İzinler!$A$5:$A$504=$B28)*(İzinler!$C$5:$C$504&lt;=AB$5)*(İzinler!$D$5:$D$504&gt;=AB$5)*ROW(İzinler!$A$5:$A$504)))),"Yıllık izin","İ"),"Ücretsiz izin","Ü"),1)))</f>
        <v/>
      </c>
      <c r="AC28" s="20" t="str">
        <f aca="false">IF(OR($B28="",AC$5=""),"",IF(SUMPRODUCT(MAX((İzinler!$A$5:$A$504=$B28)*(İzinler!$C$5:$C$504&lt;=AC$5)*(İzinler!$D$5:$D$504&gt;=AC$5)*ROW(İzinler!$A$5:$A$504)))=0,"",LEFT(SUBSTITUTE(SUBSTITUTE(INDEX(İzinler!$B$1:$B$504,SUMPRODUCT(MAX((İzinler!$A$5:$A$504=$B28)*(İzinler!$C$5:$C$504&lt;=AC$5)*(İzinler!$D$5:$D$504&gt;=AC$5)*ROW(İzinler!$A$5:$A$504)))),"Yıllık izin","İ"),"Ücretsiz izin","Ü"),1)))</f>
        <v/>
      </c>
      <c r="AD28" s="20" t="str">
        <f aca="false">IF(OR($B28="",AD$5=""),"",IF(SUMPRODUCT(MAX((İzinler!$A$5:$A$504=$B28)*(İzinler!$C$5:$C$504&lt;=AD$5)*(İzinler!$D$5:$D$504&gt;=AD$5)*ROW(İzinler!$A$5:$A$504)))=0,"",LEFT(SUBSTITUTE(SUBSTITUTE(INDEX(İzinler!$B$1:$B$504,SUMPRODUCT(MAX((İzinler!$A$5:$A$504=$B28)*(İzinler!$C$5:$C$504&lt;=AD$5)*(İzinler!$D$5:$D$504&gt;=AD$5)*ROW(İzinler!$A$5:$A$504)))),"Yıllık izin","İ"),"Ücretsiz izin","Ü"),1)))</f>
        <v/>
      </c>
      <c r="AE28" s="20" t="str">
        <f aca="false">IF(OR($B28="",AE$5=""),"",IF(SUMPRODUCT(MAX((İzinler!$A$5:$A$504=$B28)*(İzinler!$C$5:$C$504&lt;=AE$5)*(İzinler!$D$5:$D$504&gt;=AE$5)*ROW(İzinler!$A$5:$A$504)))=0,"",LEFT(SUBSTITUTE(SUBSTITUTE(INDEX(İzinler!$B$1:$B$504,SUMPRODUCT(MAX((İzinler!$A$5:$A$504=$B28)*(İzinler!$C$5:$C$504&lt;=AE$5)*(İzinler!$D$5:$D$504&gt;=AE$5)*ROW(İzinler!$A$5:$A$504)))),"Yıllık izin","İ"),"Ücretsiz izin","Ü"),1)))</f>
        <v/>
      </c>
      <c r="AF28" s="20" t="str">
        <f aca="false">IF(OR($B28="",AF$5=""),"",IF(SUMPRODUCT(MAX((İzinler!$A$5:$A$504=$B28)*(İzinler!$C$5:$C$504&lt;=AF$5)*(İzinler!$D$5:$D$504&gt;=AF$5)*ROW(İzinler!$A$5:$A$504)))=0,"",LEFT(SUBSTITUTE(SUBSTITUTE(INDEX(İzinler!$B$1:$B$504,SUMPRODUCT(MAX((İzinler!$A$5:$A$504=$B28)*(İzinler!$C$5:$C$504&lt;=AF$5)*(İzinler!$D$5:$D$504&gt;=AF$5)*ROW(İzinler!$A$5:$A$504)))),"Yıllık izin","İ"),"Ücretsiz izin","Ü"),1)))</f>
        <v/>
      </c>
      <c r="AG28" s="20" t="str">
        <f aca="false">IF(OR($B28="",AG$5=""),"",IF(SUMPRODUCT(MAX((İzinler!$A$5:$A$504=$B28)*(İzinler!$C$5:$C$504&lt;=AG$5)*(İzinler!$D$5:$D$504&gt;=AG$5)*ROW(İzinler!$A$5:$A$504)))=0,"",LEFT(SUBSTITUTE(SUBSTITUTE(INDEX(İzinler!$B$1:$B$504,SUMPRODUCT(MAX((İzinler!$A$5:$A$504=$B28)*(İzinler!$C$5:$C$504&lt;=AG$5)*(İzinler!$D$5:$D$504&gt;=AG$5)*ROW(İzinler!$A$5:$A$504)))),"Yıllık izin","İ"),"Ücretsiz izin","Ü"),1)))</f>
        <v/>
      </c>
      <c r="AH28" s="21" t="str">
        <f aca="false">IF(B28="","",COUNTIF(C28:AG28,"?"))</f>
        <v/>
      </c>
    </row>
    <row r="29" customFormat="false" ht="15" hidden="false" customHeight="false" outlineLevel="0" collapsed="false">
      <c r="B29" s="16" t="str">
        <f aca="false">IF(Personel!A28="","",Personel!A28)</f>
        <v/>
      </c>
      <c r="C29" s="20" t="str">
        <f aca="false">IF(OR($B29="",C$5=""),"",IF(SUMPRODUCT(MAX((İzinler!$A$5:$A$504=$B29)*(İzinler!$C$5:$C$504&lt;=C$5)*(İzinler!$D$5:$D$504&gt;=C$5)*ROW(İzinler!$A$5:$A$504)))=0,"",LEFT(SUBSTITUTE(SUBSTITUTE(INDEX(İzinler!$B$1:$B$504,SUMPRODUCT(MAX((İzinler!$A$5:$A$504=$B29)*(İzinler!$C$5:$C$504&lt;=C$5)*(İzinler!$D$5:$D$504&gt;=C$5)*ROW(İzinler!$A$5:$A$504)))),"Yıllık izin","İ"),"Ücretsiz izin","Ü"),1)))</f>
        <v/>
      </c>
      <c r="D29" s="20" t="str">
        <f aca="false">IF(OR($B29="",D$5=""),"",IF(SUMPRODUCT(MAX((İzinler!$A$5:$A$504=$B29)*(İzinler!$C$5:$C$504&lt;=D$5)*(İzinler!$D$5:$D$504&gt;=D$5)*ROW(İzinler!$A$5:$A$504)))=0,"",LEFT(SUBSTITUTE(SUBSTITUTE(INDEX(İzinler!$B$1:$B$504,SUMPRODUCT(MAX((İzinler!$A$5:$A$504=$B29)*(İzinler!$C$5:$C$504&lt;=D$5)*(İzinler!$D$5:$D$504&gt;=D$5)*ROW(İzinler!$A$5:$A$504)))),"Yıllık izin","İ"),"Ücretsiz izin","Ü"),1)))</f>
        <v/>
      </c>
      <c r="E29" s="20" t="str">
        <f aca="false">IF(OR($B29="",E$5=""),"",IF(SUMPRODUCT(MAX((İzinler!$A$5:$A$504=$B29)*(İzinler!$C$5:$C$504&lt;=E$5)*(İzinler!$D$5:$D$504&gt;=E$5)*ROW(İzinler!$A$5:$A$504)))=0,"",LEFT(SUBSTITUTE(SUBSTITUTE(INDEX(İzinler!$B$1:$B$504,SUMPRODUCT(MAX((İzinler!$A$5:$A$504=$B29)*(İzinler!$C$5:$C$504&lt;=E$5)*(İzinler!$D$5:$D$504&gt;=E$5)*ROW(İzinler!$A$5:$A$504)))),"Yıllık izin","İ"),"Ücretsiz izin","Ü"),1)))</f>
        <v/>
      </c>
      <c r="F29" s="20" t="str">
        <f aca="false">IF(OR($B29="",F$5=""),"",IF(SUMPRODUCT(MAX((İzinler!$A$5:$A$504=$B29)*(İzinler!$C$5:$C$504&lt;=F$5)*(İzinler!$D$5:$D$504&gt;=F$5)*ROW(İzinler!$A$5:$A$504)))=0,"",LEFT(SUBSTITUTE(SUBSTITUTE(INDEX(İzinler!$B$1:$B$504,SUMPRODUCT(MAX((İzinler!$A$5:$A$504=$B29)*(İzinler!$C$5:$C$504&lt;=F$5)*(İzinler!$D$5:$D$504&gt;=F$5)*ROW(İzinler!$A$5:$A$504)))),"Yıllık izin","İ"),"Ücretsiz izin","Ü"),1)))</f>
        <v/>
      </c>
      <c r="G29" s="20" t="str">
        <f aca="false">IF(OR($B29="",G$5=""),"",IF(SUMPRODUCT(MAX((İzinler!$A$5:$A$504=$B29)*(İzinler!$C$5:$C$504&lt;=G$5)*(İzinler!$D$5:$D$504&gt;=G$5)*ROW(İzinler!$A$5:$A$504)))=0,"",LEFT(SUBSTITUTE(SUBSTITUTE(INDEX(İzinler!$B$1:$B$504,SUMPRODUCT(MAX((İzinler!$A$5:$A$504=$B29)*(İzinler!$C$5:$C$504&lt;=G$5)*(İzinler!$D$5:$D$504&gt;=G$5)*ROW(İzinler!$A$5:$A$504)))),"Yıllık izin","İ"),"Ücretsiz izin","Ü"),1)))</f>
        <v/>
      </c>
      <c r="H29" s="20" t="str">
        <f aca="false">IF(OR($B29="",H$5=""),"",IF(SUMPRODUCT(MAX((İzinler!$A$5:$A$504=$B29)*(İzinler!$C$5:$C$504&lt;=H$5)*(İzinler!$D$5:$D$504&gt;=H$5)*ROW(İzinler!$A$5:$A$504)))=0,"",LEFT(SUBSTITUTE(SUBSTITUTE(INDEX(İzinler!$B$1:$B$504,SUMPRODUCT(MAX((İzinler!$A$5:$A$504=$B29)*(İzinler!$C$5:$C$504&lt;=H$5)*(İzinler!$D$5:$D$504&gt;=H$5)*ROW(İzinler!$A$5:$A$504)))),"Yıllık izin","İ"),"Ücretsiz izin","Ü"),1)))</f>
        <v/>
      </c>
      <c r="I29" s="20" t="str">
        <f aca="false">IF(OR($B29="",I$5=""),"",IF(SUMPRODUCT(MAX((İzinler!$A$5:$A$504=$B29)*(İzinler!$C$5:$C$504&lt;=I$5)*(İzinler!$D$5:$D$504&gt;=I$5)*ROW(İzinler!$A$5:$A$504)))=0,"",LEFT(SUBSTITUTE(SUBSTITUTE(INDEX(İzinler!$B$1:$B$504,SUMPRODUCT(MAX((İzinler!$A$5:$A$504=$B29)*(İzinler!$C$5:$C$504&lt;=I$5)*(İzinler!$D$5:$D$504&gt;=I$5)*ROW(İzinler!$A$5:$A$504)))),"Yıllık izin","İ"),"Ücretsiz izin","Ü"),1)))</f>
        <v/>
      </c>
      <c r="J29" s="20" t="str">
        <f aca="false">IF(OR($B29="",J$5=""),"",IF(SUMPRODUCT(MAX((İzinler!$A$5:$A$504=$B29)*(İzinler!$C$5:$C$504&lt;=J$5)*(İzinler!$D$5:$D$504&gt;=J$5)*ROW(İzinler!$A$5:$A$504)))=0,"",LEFT(SUBSTITUTE(SUBSTITUTE(INDEX(İzinler!$B$1:$B$504,SUMPRODUCT(MAX((İzinler!$A$5:$A$504=$B29)*(İzinler!$C$5:$C$504&lt;=J$5)*(İzinler!$D$5:$D$504&gt;=J$5)*ROW(İzinler!$A$5:$A$504)))),"Yıllık izin","İ"),"Ücretsiz izin","Ü"),1)))</f>
        <v/>
      </c>
      <c r="K29" s="20" t="str">
        <f aca="false">IF(OR($B29="",K$5=""),"",IF(SUMPRODUCT(MAX((İzinler!$A$5:$A$504=$B29)*(İzinler!$C$5:$C$504&lt;=K$5)*(İzinler!$D$5:$D$504&gt;=K$5)*ROW(İzinler!$A$5:$A$504)))=0,"",LEFT(SUBSTITUTE(SUBSTITUTE(INDEX(İzinler!$B$1:$B$504,SUMPRODUCT(MAX((İzinler!$A$5:$A$504=$B29)*(İzinler!$C$5:$C$504&lt;=K$5)*(İzinler!$D$5:$D$504&gt;=K$5)*ROW(İzinler!$A$5:$A$504)))),"Yıllık izin","İ"),"Ücretsiz izin","Ü"),1)))</f>
        <v/>
      </c>
      <c r="L29" s="20" t="str">
        <f aca="false">IF(OR($B29="",L$5=""),"",IF(SUMPRODUCT(MAX((İzinler!$A$5:$A$504=$B29)*(İzinler!$C$5:$C$504&lt;=L$5)*(İzinler!$D$5:$D$504&gt;=L$5)*ROW(İzinler!$A$5:$A$504)))=0,"",LEFT(SUBSTITUTE(SUBSTITUTE(INDEX(İzinler!$B$1:$B$504,SUMPRODUCT(MAX((İzinler!$A$5:$A$504=$B29)*(İzinler!$C$5:$C$504&lt;=L$5)*(İzinler!$D$5:$D$504&gt;=L$5)*ROW(İzinler!$A$5:$A$504)))),"Yıllık izin","İ"),"Ücretsiz izin","Ü"),1)))</f>
        <v/>
      </c>
      <c r="M29" s="20" t="str">
        <f aca="false">IF(OR($B29="",M$5=""),"",IF(SUMPRODUCT(MAX((İzinler!$A$5:$A$504=$B29)*(İzinler!$C$5:$C$504&lt;=M$5)*(İzinler!$D$5:$D$504&gt;=M$5)*ROW(İzinler!$A$5:$A$504)))=0,"",LEFT(SUBSTITUTE(SUBSTITUTE(INDEX(İzinler!$B$1:$B$504,SUMPRODUCT(MAX((İzinler!$A$5:$A$504=$B29)*(İzinler!$C$5:$C$504&lt;=M$5)*(İzinler!$D$5:$D$504&gt;=M$5)*ROW(İzinler!$A$5:$A$504)))),"Yıllık izin","İ"),"Ücretsiz izin","Ü"),1)))</f>
        <v/>
      </c>
      <c r="N29" s="20" t="str">
        <f aca="false">IF(OR($B29="",N$5=""),"",IF(SUMPRODUCT(MAX((İzinler!$A$5:$A$504=$B29)*(İzinler!$C$5:$C$504&lt;=N$5)*(İzinler!$D$5:$D$504&gt;=N$5)*ROW(İzinler!$A$5:$A$504)))=0,"",LEFT(SUBSTITUTE(SUBSTITUTE(INDEX(İzinler!$B$1:$B$504,SUMPRODUCT(MAX((İzinler!$A$5:$A$504=$B29)*(İzinler!$C$5:$C$504&lt;=N$5)*(İzinler!$D$5:$D$504&gt;=N$5)*ROW(İzinler!$A$5:$A$504)))),"Yıllık izin","İ"),"Ücretsiz izin","Ü"),1)))</f>
        <v/>
      </c>
      <c r="O29" s="20" t="str">
        <f aca="false">IF(OR($B29="",O$5=""),"",IF(SUMPRODUCT(MAX((İzinler!$A$5:$A$504=$B29)*(İzinler!$C$5:$C$504&lt;=O$5)*(İzinler!$D$5:$D$504&gt;=O$5)*ROW(İzinler!$A$5:$A$504)))=0,"",LEFT(SUBSTITUTE(SUBSTITUTE(INDEX(İzinler!$B$1:$B$504,SUMPRODUCT(MAX((İzinler!$A$5:$A$504=$B29)*(İzinler!$C$5:$C$504&lt;=O$5)*(İzinler!$D$5:$D$504&gt;=O$5)*ROW(İzinler!$A$5:$A$504)))),"Yıllık izin","İ"),"Ücretsiz izin","Ü"),1)))</f>
        <v/>
      </c>
      <c r="P29" s="20" t="str">
        <f aca="false">IF(OR($B29="",P$5=""),"",IF(SUMPRODUCT(MAX((İzinler!$A$5:$A$504=$B29)*(İzinler!$C$5:$C$504&lt;=P$5)*(İzinler!$D$5:$D$504&gt;=P$5)*ROW(İzinler!$A$5:$A$504)))=0,"",LEFT(SUBSTITUTE(SUBSTITUTE(INDEX(İzinler!$B$1:$B$504,SUMPRODUCT(MAX((İzinler!$A$5:$A$504=$B29)*(İzinler!$C$5:$C$504&lt;=P$5)*(İzinler!$D$5:$D$504&gt;=P$5)*ROW(İzinler!$A$5:$A$504)))),"Yıllık izin","İ"),"Ücretsiz izin","Ü"),1)))</f>
        <v/>
      </c>
      <c r="Q29" s="20" t="str">
        <f aca="false">IF(OR($B29="",Q$5=""),"",IF(SUMPRODUCT(MAX((İzinler!$A$5:$A$504=$B29)*(İzinler!$C$5:$C$504&lt;=Q$5)*(İzinler!$D$5:$D$504&gt;=Q$5)*ROW(İzinler!$A$5:$A$504)))=0,"",LEFT(SUBSTITUTE(SUBSTITUTE(INDEX(İzinler!$B$1:$B$504,SUMPRODUCT(MAX((İzinler!$A$5:$A$504=$B29)*(İzinler!$C$5:$C$504&lt;=Q$5)*(İzinler!$D$5:$D$504&gt;=Q$5)*ROW(İzinler!$A$5:$A$504)))),"Yıllık izin","İ"),"Ücretsiz izin","Ü"),1)))</f>
        <v/>
      </c>
      <c r="R29" s="20" t="str">
        <f aca="false">IF(OR($B29="",R$5=""),"",IF(SUMPRODUCT(MAX((İzinler!$A$5:$A$504=$B29)*(İzinler!$C$5:$C$504&lt;=R$5)*(İzinler!$D$5:$D$504&gt;=R$5)*ROW(İzinler!$A$5:$A$504)))=0,"",LEFT(SUBSTITUTE(SUBSTITUTE(INDEX(İzinler!$B$1:$B$504,SUMPRODUCT(MAX((İzinler!$A$5:$A$504=$B29)*(İzinler!$C$5:$C$504&lt;=R$5)*(İzinler!$D$5:$D$504&gt;=R$5)*ROW(İzinler!$A$5:$A$504)))),"Yıllık izin","İ"),"Ücretsiz izin","Ü"),1)))</f>
        <v/>
      </c>
      <c r="S29" s="20" t="str">
        <f aca="false">IF(OR($B29="",S$5=""),"",IF(SUMPRODUCT(MAX((İzinler!$A$5:$A$504=$B29)*(İzinler!$C$5:$C$504&lt;=S$5)*(İzinler!$D$5:$D$504&gt;=S$5)*ROW(İzinler!$A$5:$A$504)))=0,"",LEFT(SUBSTITUTE(SUBSTITUTE(INDEX(İzinler!$B$1:$B$504,SUMPRODUCT(MAX((İzinler!$A$5:$A$504=$B29)*(İzinler!$C$5:$C$504&lt;=S$5)*(İzinler!$D$5:$D$504&gt;=S$5)*ROW(İzinler!$A$5:$A$504)))),"Yıllık izin","İ"),"Ücretsiz izin","Ü"),1)))</f>
        <v/>
      </c>
      <c r="T29" s="20" t="str">
        <f aca="false">IF(OR($B29="",T$5=""),"",IF(SUMPRODUCT(MAX((İzinler!$A$5:$A$504=$B29)*(İzinler!$C$5:$C$504&lt;=T$5)*(İzinler!$D$5:$D$504&gt;=T$5)*ROW(İzinler!$A$5:$A$504)))=0,"",LEFT(SUBSTITUTE(SUBSTITUTE(INDEX(İzinler!$B$1:$B$504,SUMPRODUCT(MAX((İzinler!$A$5:$A$504=$B29)*(İzinler!$C$5:$C$504&lt;=T$5)*(İzinler!$D$5:$D$504&gt;=T$5)*ROW(İzinler!$A$5:$A$504)))),"Yıllık izin","İ"),"Ücretsiz izin","Ü"),1)))</f>
        <v/>
      </c>
      <c r="U29" s="20" t="str">
        <f aca="false">IF(OR($B29="",U$5=""),"",IF(SUMPRODUCT(MAX((İzinler!$A$5:$A$504=$B29)*(İzinler!$C$5:$C$504&lt;=U$5)*(İzinler!$D$5:$D$504&gt;=U$5)*ROW(İzinler!$A$5:$A$504)))=0,"",LEFT(SUBSTITUTE(SUBSTITUTE(INDEX(İzinler!$B$1:$B$504,SUMPRODUCT(MAX((İzinler!$A$5:$A$504=$B29)*(İzinler!$C$5:$C$504&lt;=U$5)*(İzinler!$D$5:$D$504&gt;=U$5)*ROW(İzinler!$A$5:$A$504)))),"Yıllık izin","İ"),"Ücretsiz izin","Ü"),1)))</f>
        <v/>
      </c>
      <c r="V29" s="20" t="str">
        <f aca="false">IF(OR($B29="",V$5=""),"",IF(SUMPRODUCT(MAX((İzinler!$A$5:$A$504=$B29)*(İzinler!$C$5:$C$504&lt;=V$5)*(İzinler!$D$5:$D$504&gt;=V$5)*ROW(İzinler!$A$5:$A$504)))=0,"",LEFT(SUBSTITUTE(SUBSTITUTE(INDEX(İzinler!$B$1:$B$504,SUMPRODUCT(MAX((İzinler!$A$5:$A$504=$B29)*(İzinler!$C$5:$C$504&lt;=V$5)*(İzinler!$D$5:$D$504&gt;=V$5)*ROW(İzinler!$A$5:$A$504)))),"Yıllık izin","İ"),"Ücretsiz izin","Ü"),1)))</f>
        <v/>
      </c>
      <c r="W29" s="20" t="str">
        <f aca="false">IF(OR($B29="",W$5=""),"",IF(SUMPRODUCT(MAX((İzinler!$A$5:$A$504=$B29)*(İzinler!$C$5:$C$504&lt;=W$5)*(İzinler!$D$5:$D$504&gt;=W$5)*ROW(İzinler!$A$5:$A$504)))=0,"",LEFT(SUBSTITUTE(SUBSTITUTE(INDEX(İzinler!$B$1:$B$504,SUMPRODUCT(MAX((İzinler!$A$5:$A$504=$B29)*(İzinler!$C$5:$C$504&lt;=W$5)*(İzinler!$D$5:$D$504&gt;=W$5)*ROW(İzinler!$A$5:$A$504)))),"Yıllık izin","İ"),"Ücretsiz izin","Ü"),1)))</f>
        <v/>
      </c>
      <c r="X29" s="20" t="str">
        <f aca="false">IF(OR($B29="",X$5=""),"",IF(SUMPRODUCT(MAX((İzinler!$A$5:$A$504=$B29)*(İzinler!$C$5:$C$504&lt;=X$5)*(İzinler!$D$5:$D$504&gt;=X$5)*ROW(İzinler!$A$5:$A$504)))=0,"",LEFT(SUBSTITUTE(SUBSTITUTE(INDEX(İzinler!$B$1:$B$504,SUMPRODUCT(MAX((İzinler!$A$5:$A$504=$B29)*(İzinler!$C$5:$C$504&lt;=X$5)*(İzinler!$D$5:$D$504&gt;=X$5)*ROW(İzinler!$A$5:$A$504)))),"Yıllık izin","İ"),"Ücretsiz izin","Ü"),1)))</f>
        <v/>
      </c>
      <c r="Y29" s="20" t="str">
        <f aca="false">IF(OR($B29="",Y$5=""),"",IF(SUMPRODUCT(MAX((İzinler!$A$5:$A$504=$B29)*(İzinler!$C$5:$C$504&lt;=Y$5)*(İzinler!$D$5:$D$504&gt;=Y$5)*ROW(İzinler!$A$5:$A$504)))=0,"",LEFT(SUBSTITUTE(SUBSTITUTE(INDEX(İzinler!$B$1:$B$504,SUMPRODUCT(MAX((İzinler!$A$5:$A$504=$B29)*(İzinler!$C$5:$C$504&lt;=Y$5)*(İzinler!$D$5:$D$504&gt;=Y$5)*ROW(İzinler!$A$5:$A$504)))),"Yıllık izin","İ"),"Ücretsiz izin","Ü"),1)))</f>
        <v/>
      </c>
      <c r="Z29" s="20" t="str">
        <f aca="false">IF(OR($B29="",Z$5=""),"",IF(SUMPRODUCT(MAX((İzinler!$A$5:$A$504=$B29)*(İzinler!$C$5:$C$504&lt;=Z$5)*(İzinler!$D$5:$D$504&gt;=Z$5)*ROW(İzinler!$A$5:$A$504)))=0,"",LEFT(SUBSTITUTE(SUBSTITUTE(INDEX(İzinler!$B$1:$B$504,SUMPRODUCT(MAX((İzinler!$A$5:$A$504=$B29)*(İzinler!$C$5:$C$504&lt;=Z$5)*(İzinler!$D$5:$D$504&gt;=Z$5)*ROW(İzinler!$A$5:$A$504)))),"Yıllık izin","İ"),"Ücretsiz izin","Ü"),1)))</f>
        <v/>
      </c>
      <c r="AA29" s="20" t="str">
        <f aca="false">IF(OR($B29="",AA$5=""),"",IF(SUMPRODUCT(MAX((İzinler!$A$5:$A$504=$B29)*(İzinler!$C$5:$C$504&lt;=AA$5)*(İzinler!$D$5:$D$504&gt;=AA$5)*ROW(İzinler!$A$5:$A$504)))=0,"",LEFT(SUBSTITUTE(SUBSTITUTE(INDEX(İzinler!$B$1:$B$504,SUMPRODUCT(MAX((İzinler!$A$5:$A$504=$B29)*(İzinler!$C$5:$C$504&lt;=AA$5)*(İzinler!$D$5:$D$504&gt;=AA$5)*ROW(İzinler!$A$5:$A$504)))),"Yıllık izin","İ"),"Ücretsiz izin","Ü"),1)))</f>
        <v/>
      </c>
      <c r="AB29" s="20" t="str">
        <f aca="false">IF(OR($B29="",AB$5=""),"",IF(SUMPRODUCT(MAX((İzinler!$A$5:$A$504=$B29)*(İzinler!$C$5:$C$504&lt;=AB$5)*(İzinler!$D$5:$D$504&gt;=AB$5)*ROW(İzinler!$A$5:$A$504)))=0,"",LEFT(SUBSTITUTE(SUBSTITUTE(INDEX(İzinler!$B$1:$B$504,SUMPRODUCT(MAX((İzinler!$A$5:$A$504=$B29)*(İzinler!$C$5:$C$504&lt;=AB$5)*(İzinler!$D$5:$D$504&gt;=AB$5)*ROW(İzinler!$A$5:$A$504)))),"Yıllık izin","İ"),"Ücretsiz izin","Ü"),1)))</f>
        <v/>
      </c>
      <c r="AC29" s="20" t="str">
        <f aca="false">IF(OR($B29="",AC$5=""),"",IF(SUMPRODUCT(MAX((İzinler!$A$5:$A$504=$B29)*(İzinler!$C$5:$C$504&lt;=AC$5)*(İzinler!$D$5:$D$504&gt;=AC$5)*ROW(İzinler!$A$5:$A$504)))=0,"",LEFT(SUBSTITUTE(SUBSTITUTE(INDEX(İzinler!$B$1:$B$504,SUMPRODUCT(MAX((İzinler!$A$5:$A$504=$B29)*(İzinler!$C$5:$C$504&lt;=AC$5)*(İzinler!$D$5:$D$504&gt;=AC$5)*ROW(İzinler!$A$5:$A$504)))),"Yıllık izin","İ"),"Ücretsiz izin","Ü"),1)))</f>
        <v/>
      </c>
      <c r="AD29" s="20" t="str">
        <f aca="false">IF(OR($B29="",AD$5=""),"",IF(SUMPRODUCT(MAX((İzinler!$A$5:$A$504=$B29)*(İzinler!$C$5:$C$504&lt;=AD$5)*(İzinler!$D$5:$D$504&gt;=AD$5)*ROW(İzinler!$A$5:$A$504)))=0,"",LEFT(SUBSTITUTE(SUBSTITUTE(INDEX(İzinler!$B$1:$B$504,SUMPRODUCT(MAX((İzinler!$A$5:$A$504=$B29)*(İzinler!$C$5:$C$504&lt;=AD$5)*(İzinler!$D$5:$D$504&gt;=AD$5)*ROW(İzinler!$A$5:$A$504)))),"Yıllık izin","İ"),"Ücretsiz izin","Ü"),1)))</f>
        <v/>
      </c>
      <c r="AE29" s="20" t="str">
        <f aca="false">IF(OR($B29="",AE$5=""),"",IF(SUMPRODUCT(MAX((İzinler!$A$5:$A$504=$B29)*(İzinler!$C$5:$C$504&lt;=AE$5)*(İzinler!$D$5:$D$504&gt;=AE$5)*ROW(İzinler!$A$5:$A$504)))=0,"",LEFT(SUBSTITUTE(SUBSTITUTE(INDEX(İzinler!$B$1:$B$504,SUMPRODUCT(MAX((İzinler!$A$5:$A$504=$B29)*(İzinler!$C$5:$C$504&lt;=AE$5)*(İzinler!$D$5:$D$504&gt;=AE$5)*ROW(İzinler!$A$5:$A$504)))),"Yıllık izin","İ"),"Ücretsiz izin","Ü"),1)))</f>
        <v/>
      </c>
      <c r="AF29" s="20" t="str">
        <f aca="false">IF(OR($B29="",AF$5=""),"",IF(SUMPRODUCT(MAX((İzinler!$A$5:$A$504=$B29)*(İzinler!$C$5:$C$504&lt;=AF$5)*(İzinler!$D$5:$D$504&gt;=AF$5)*ROW(İzinler!$A$5:$A$504)))=0,"",LEFT(SUBSTITUTE(SUBSTITUTE(INDEX(İzinler!$B$1:$B$504,SUMPRODUCT(MAX((İzinler!$A$5:$A$504=$B29)*(İzinler!$C$5:$C$504&lt;=AF$5)*(İzinler!$D$5:$D$504&gt;=AF$5)*ROW(İzinler!$A$5:$A$504)))),"Yıllık izin","İ"),"Ücretsiz izin","Ü"),1)))</f>
        <v/>
      </c>
      <c r="AG29" s="20" t="str">
        <f aca="false">IF(OR($B29="",AG$5=""),"",IF(SUMPRODUCT(MAX((İzinler!$A$5:$A$504=$B29)*(İzinler!$C$5:$C$504&lt;=AG$5)*(İzinler!$D$5:$D$504&gt;=AG$5)*ROW(İzinler!$A$5:$A$504)))=0,"",LEFT(SUBSTITUTE(SUBSTITUTE(INDEX(İzinler!$B$1:$B$504,SUMPRODUCT(MAX((İzinler!$A$5:$A$504=$B29)*(İzinler!$C$5:$C$504&lt;=AG$5)*(İzinler!$D$5:$D$504&gt;=AG$5)*ROW(İzinler!$A$5:$A$504)))),"Yıllık izin","İ"),"Ücretsiz izin","Ü"),1)))</f>
        <v/>
      </c>
      <c r="AH29" s="21" t="str">
        <f aca="false">IF(B29="","",COUNTIF(C29:AG29,"?"))</f>
        <v/>
      </c>
    </row>
    <row r="30" customFormat="false" ht="15" hidden="false" customHeight="false" outlineLevel="0" collapsed="false">
      <c r="B30" s="16" t="str">
        <f aca="false">IF(Personel!A29="","",Personel!A29)</f>
        <v/>
      </c>
      <c r="C30" s="20" t="str">
        <f aca="false">IF(OR($B30="",C$5=""),"",IF(SUMPRODUCT(MAX((İzinler!$A$5:$A$504=$B30)*(İzinler!$C$5:$C$504&lt;=C$5)*(İzinler!$D$5:$D$504&gt;=C$5)*ROW(İzinler!$A$5:$A$504)))=0,"",LEFT(SUBSTITUTE(SUBSTITUTE(INDEX(İzinler!$B$1:$B$504,SUMPRODUCT(MAX((İzinler!$A$5:$A$504=$B30)*(İzinler!$C$5:$C$504&lt;=C$5)*(İzinler!$D$5:$D$504&gt;=C$5)*ROW(İzinler!$A$5:$A$504)))),"Yıllık izin","İ"),"Ücretsiz izin","Ü"),1)))</f>
        <v/>
      </c>
      <c r="D30" s="20" t="str">
        <f aca="false">IF(OR($B30="",D$5=""),"",IF(SUMPRODUCT(MAX((İzinler!$A$5:$A$504=$B30)*(İzinler!$C$5:$C$504&lt;=D$5)*(İzinler!$D$5:$D$504&gt;=D$5)*ROW(İzinler!$A$5:$A$504)))=0,"",LEFT(SUBSTITUTE(SUBSTITUTE(INDEX(İzinler!$B$1:$B$504,SUMPRODUCT(MAX((İzinler!$A$5:$A$504=$B30)*(İzinler!$C$5:$C$504&lt;=D$5)*(İzinler!$D$5:$D$504&gt;=D$5)*ROW(İzinler!$A$5:$A$504)))),"Yıllık izin","İ"),"Ücretsiz izin","Ü"),1)))</f>
        <v/>
      </c>
      <c r="E30" s="20" t="str">
        <f aca="false">IF(OR($B30="",E$5=""),"",IF(SUMPRODUCT(MAX((İzinler!$A$5:$A$504=$B30)*(İzinler!$C$5:$C$504&lt;=E$5)*(İzinler!$D$5:$D$504&gt;=E$5)*ROW(İzinler!$A$5:$A$504)))=0,"",LEFT(SUBSTITUTE(SUBSTITUTE(INDEX(İzinler!$B$1:$B$504,SUMPRODUCT(MAX((İzinler!$A$5:$A$504=$B30)*(İzinler!$C$5:$C$504&lt;=E$5)*(İzinler!$D$5:$D$504&gt;=E$5)*ROW(İzinler!$A$5:$A$504)))),"Yıllık izin","İ"),"Ücretsiz izin","Ü"),1)))</f>
        <v/>
      </c>
      <c r="F30" s="20" t="str">
        <f aca="false">IF(OR($B30="",F$5=""),"",IF(SUMPRODUCT(MAX((İzinler!$A$5:$A$504=$B30)*(İzinler!$C$5:$C$504&lt;=F$5)*(İzinler!$D$5:$D$504&gt;=F$5)*ROW(İzinler!$A$5:$A$504)))=0,"",LEFT(SUBSTITUTE(SUBSTITUTE(INDEX(İzinler!$B$1:$B$504,SUMPRODUCT(MAX((İzinler!$A$5:$A$504=$B30)*(İzinler!$C$5:$C$504&lt;=F$5)*(İzinler!$D$5:$D$504&gt;=F$5)*ROW(İzinler!$A$5:$A$504)))),"Yıllık izin","İ"),"Ücretsiz izin","Ü"),1)))</f>
        <v/>
      </c>
      <c r="G30" s="20" t="str">
        <f aca="false">IF(OR($B30="",G$5=""),"",IF(SUMPRODUCT(MAX((İzinler!$A$5:$A$504=$B30)*(İzinler!$C$5:$C$504&lt;=G$5)*(İzinler!$D$5:$D$504&gt;=G$5)*ROW(İzinler!$A$5:$A$504)))=0,"",LEFT(SUBSTITUTE(SUBSTITUTE(INDEX(İzinler!$B$1:$B$504,SUMPRODUCT(MAX((İzinler!$A$5:$A$504=$B30)*(İzinler!$C$5:$C$504&lt;=G$5)*(İzinler!$D$5:$D$504&gt;=G$5)*ROW(İzinler!$A$5:$A$504)))),"Yıllık izin","İ"),"Ücretsiz izin","Ü"),1)))</f>
        <v/>
      </c>
      <c r="H30" s="20" t="str">
        <f aca="false">IF(OR($B30="",H$5=""),"",IF(SUMPRODUCT(MAX((İzinler!$A$5:$A$504=$B30)*(İzinler!$C$5:$C$504&lt;=H$5)*(İzinler!$D$5:$D$504&gt;=H$5)*ROW(İzinler!$A$5:$A$504)))=0,"",LEFT(SUBSTITUTE(SUBSTITUTE(INDEX(İzinler!$B$1:$B$504,SUMPRODUCT(MAX((İzinler!$A$5:$A$504=$B30)*(İzinler!$C$5:$C$504&lt;=H$5)*(İzinler!$D$5:$D$504&gt;=H$5)*ROW(İzinler!$A$5:$A$504)))),"Yıllık izin","İ"),"Ücretsiz izin","Ü"),1)))</f>
        <v/>
      </c>
      <c r="I30" s="20" t="str">
        <f aca="false">IF(OR($B30="",I$5=""),"",IF(SUMPRODUCT(MAX((İzinler!$A$5:$A$504=$B30)*(İzinler!$C$5:$C$504&lt;=I$5)*(İzinler!$D$5:$D$504&gt;=I$5)*ROW(İzinler!$A$5:$A$504)))=0,"",LEFT(SUBSTITUTE(SUBSTITUTE(INDEX(İzinler!$B$1:$B$504,SUMPRODUCT(MAX((İzinler!$A$5:$A$504=$B30)*(İzinler!$C$5:$C$504&lt;=I$5)*(İzinler!$D$5:$D$504&gt;=I$5)*ROW(İzinler!$A$5:$A$504)))),"Yıllık izin","İ"),"Ücretsiz izin","Ü"),1)))</f>
        <v/>
      </c>
      <c r="J30" s="20" t="str">
        <f aca="false">IF(OR($B30="",J$5=""),"",IF(SUMPRODUCT(MAX((İzinler!$A$5:$A$504=$B30)*(İzinler!$C$5:$C$504&lt;=J$5)*(İzinler!$D$5:$D$504&gt;=J$5)*ROW(İzinler!$A$5:$A$504)))=0,"",LEFT(SUBSTITUTE(SUBSTITUTE(INDEX(İzinler!$B$1:$B$504,SUMPRODUCT(MAX((İzinler!$A$5:$A$504=$B30)*(İzinler!$C$5:$C$504&lt;=J$5)*(İzinler!$D$5:$D$504&gt;=J$5)*ROW(İzinler!$A$5:$A$504)))),"Yıllık izin","İ"),"Ücretsiz izin","Ü"),1)))</f>
        <v/>
      </c>
      <c r="K30" s="20" t="str">
        <f aca="false">IF(OR($B30="",K$5=""),"",IF(SUMPRODUCT(MAX((İzinler!$A$5:$A$504=$B30)*(İzinler!$C$5:$C$504&lt;=K$5)*(İzinler!$D$5:$D$504&gt;=K$5)*ROW(İzinler!$A$5:$A$504)))=0,"",LEFT(SUBSTITUTE(SUBSTITUTE(INDEX(İzinler!$B$1:$B$504,SUMPRODUCT(MAX((İzinler!$A$5:$A$504=$B30)*(İzinler!$C$5:$C$504&lt;=K$5)*(İzinler!$D$5:$D$504&gt;=K$5)*ROW(İzinler!$A$5:$A$504)))),"Yıllık izin","İ"),"Ücretsiz izin","Ü"),1)))</f>
        <v/>
      </c>
      <c r="L30" s="20" t="str">
        <f aca="false">IF(OR($B30="",L$5=""),"",IF(SUMPRODUCT(MAX((İzinler!$A$5:$A$504=$B30)*(İzinler!$C$5:$C$504&lt;=L$5)*(İzinler!$D$5:$D$504&gt;=L$5)*ROW(İzinler!$A$5:$A$504)))=0,"",LEFT(SUBSTITUTE(SUBSTITUTE(INDEX(İzinler!$B$1:$B$504,SUMPRODUCT(MAX((İzinler!$A$5:$A$504=$B30)*(İzinler!$C$5:$C$504&lt;=L$5)*(İzinler!$D$5:$D$504&gt;=L$5)*ROW(İzinler!$A$5:$A$504)))),"Yıllık izin","İ"),"Ücretsiz izin","Ü"),1)))</f>
        <v/>
      </c>
      <c r="M30" s="20" t="str">
        <f aca="false">IF(OR($B30="",M$5=""),"",IF(SUMPRODUCT(MAX((İzinler!$A$5:$A$504=$B30)*(İzinler!$C$5:$C$504&lt;=M$5)*(İzinler!$D$5:$D$504&gt;=M$5)*ROW(İzinler!$A$5:$A$504)))=0,"",LEFT(SUBSTITUTE(SUBSTITUTE(INDEX(İzinler!$B$1:$B$504,SUMPRODUCT(MAX((İzinler!$A$5:$A$504=$B30)*(İzinler!$C$5:$C$504&lt;=M$5)*(İzinler!$D$5:$D$504&gt;=M$5)*ROW(İzinler!$A$5:$A$504)))),"Yıllık izin","İ"),"Ücretsiz izin","Ü"),1)))</f>
        <v/>
      </c>
      <c r="N30" s="20" t="str">
        <f aca="false">IF(OR($B30="",N$5=""),"",IF(SUMPRODUCT(MAX((İzinler!$A$5:$A$504=$B30)*(İzinler!$C$5:$C$504&lt;=N$5)*(İzinler!$D$5:$D$504&gt;=N$5)*ROW(İzinler!$A$5:$A$504)))=0,"",LEFT(SUBSTITUTE(SUBSTITUTE(INDEX(İzinler!$B$1:$B$504,SUMPRODUCT(MAX((İzinler!$A$5:$A$504=$B30)*(İzinler!$C$5:$C$504&lt;=N$5)*(İzinler!$D$5:$D$504&gt;=N$5)*ROW(İzinler!$A$5:$A$504)))),"Yıllık izin","İ"),"Ücretsiz izin","Ü"),1)))</f>
        <v/>
      </c>
      <c r="O30" s="20" t="str">
        <f aca="false">IF(OR($B30="",O$5=""),"",IF(SUMPRODUCT(MAX((İzinler!$A$5:$A$504=$B30)*(İzinler!$C$5:$C$504&lt;=O$5)*(İzinler!$D$5:$D$504&gt;=O$5)*ROW(İzinler!$A$5:$A$504)))=0,"",LEFT(SUBSTITUTE(SUBSTITUTE(INDEX(İzinler!$B$1:$B$504,SUMPRODUCT(MAX((İzinler!$A$5:$A$504=$B30)*(İzinler!$C$5:$C$504&lt;=O$5)*(İzinler!$D$5:$D$504&gt;=O$5)*ROW(İzinler!$A$5:$A$504)))),"Yıllık izin","İ"),"Ücretsiz izin","Ü"),1)))</f>
        <v/>
      </c>
      <c r="P30" s="20" t="str">
        <f aca="false">IF(OR($B30="",P$5=""),"",IF(SUMPRODUCT(MAX((İzinler!$A$5:$A$504=$B30)*(İzinler!$C$5:$C$504&lt;=P$5)*(İzinler!$D$5:$D$504&gt;=P$5)*ROW(İzinler!$A$5:$A$504)))=0,"",LEFT(SUBSTITUTE(SUBSTITUTE(INDEX(İzinler!$B$1:$B$504,SUMPRODUCT(MAX((İzinler!$A$5:$A$504=$B30)*(İzinler!$C$5:$C$504&lt;=P$5)*(İzinler!$D$5:$D$504&gt;=P$5)*ROW(İzinler!$A$5:$A$504)))),"Yıllık izin","İ"),"Ücretsiz izin","Ü"),1)))</f>
        <v/>
      </c>
      <c r="Q30" s="20" t="str">
        <f aca="false">IF(OR($B30="",Q$5=""),"",IF(SUMPRODUCT(MAX((İzinler!$A$5:$A$504=$B30)*(İzinler!$C$5:$C$504&lt;=Q$5)*(İzinler!$D$5:$D$504&gt;=Q$5)*ROW(İzinler!$A$5:$A$504)))=0,"",LEFT(SUBSTITUTE(SUBSTITUTE(INDEX(İzinler!$B$1:$B$504,SUMPRODUCT(MAX((İzinler!$A$5:$A$504=$B30)*(İzinler!$C$5:$C$504&lt;=Q$5)*(İzinler!$D$5:$D$504&gt;=Q$5)*ROW(İzinler!$A$5:$A$504)))),"Yıllık izin","İ"),"Ücretsiz izin","Ü"),1)))</f>
        <v/>
      </c>
      <c r="R30" s="20" t="str">
        <f aca="false">IF(OR($B30="",R$5=""),"",IF(SUMPRODUCT(MAX((İzinler!$A$5:$A$504=$B30)*(İzinler!$C$5:$C$504&lt;=R$5)*(İzinler!$D$5:$D$504&gt;=R$5)*ROW(İzinler!$A$5:$A$504)))=0,"",LEFT(SUBSTITUTE(SUBSTITUTE(INDEX(İzinler!$B$1:$B$504,SUMPRODUCT(MAX((İzinler!$A$5:$A$504=$B30)*(İzinler!$C$5:$C$504&lt;=R$5)*(İzinler!$D$5:$D$504&gt;=R$5)*ROW(İzinler!$A$5:$A$504)))),"Yıllık izin","İ"),"Ücretsiz izin","Ü"),1)))</f>
        <v/>
      </c>
      <c r="S30" s="20" t="str">
        <f aca="false">IF(OR($B30="",S$5=""),"",IF(SUMPRODUCT(MAX((İzinler!$A$5:$A$504=$B30)*(İzinler!$C$5:$C$504&lt;=S$5)*(İzinler!$D$5:$D$504&gt;=S$5)*ROW(İzinler!$A$5:$A$504)))=0,"",LEFT(SUBSTITUTE(SUBSTITUTE(INDEX(İzinler!$B$1:$B$504,SUMPRODUCT(MAX((İzinler!$A$5:$A$504=$B30)*(İzinler!$C$5:$C$504&lt;=S$5)*(İzinler!$D$5:$D$504&gt;=S$5)*ROW(İzinler!$A$5:$A$504)))),"Yıllık izin","İ"),"Ücretsiz izin","Ü"),1)))</f>
        <v/>
      </c>
      <c r="T30" s="20" t="str">
        <f aca="false">IF(OR($B30="",T$5=""),"",IF(SUMPRODUCT(MAX((İzinler!$A$5:$A$504=$B30)*(İzinler!$C$5:$C$504&lt;=T$5)*(İzinler!$D$5:$D$504&gt;=T$5)*ROW(İzinler!$A$5:$A$504)))=0,"",LEFT(SUBSTITUTE(SUBSTITUTE(INDEX(İzinler!$B$1:$B$504,SUMPRODUCT(MAX((İzinler!$A$5:$A$504=$B30)*(İzinler!$C$5:$C$504&lt;=T$5)*(İzinler!$D$5:$D$504&gt;=T$5)*ROW(İzinler!$A$5:$A$504)))),"Yıllık izin","İ"),"Ücretsiz izin","Ü"),1)))</f>
        <v/>
      </c>
      <c r="U30" s="20" t="str">
        <f aca="false">IF(OR($B30="",U$5=""),"",IF(SUMPRODUCT(MAX((İzinler!$A$5:$A$504=$B30)*(İzinler!$C$5:$C$504&lt;=U$5)*(İzinler!$D$5:$D$504&gt;=U$5)*ROW(İzinler!$A$5:$A$504)))=0,"",LEFT(SUBSTITUTE(SUBSTITUTE(INDEX(İzinler!$B$1:$B$504,SUMPRODUCT(MAX((İzinler!$A$5:$A$504=$B30)*(İzinler!$C$5:$C$504&lt;=U$5)*(İzinler!$D$5:$D$504&gt;=U$5)*ROW(İzinler!$A$5:$A$504)))),"Yıllık izin","İ"),"Ücretsiz izin","Ü"),1)))</f>
        <v/>
      </c>
      <c r="V30" s="20" t="str">
        <f aca="false">IF(OR($B30="",V$5=""),"",IF(SUMPRODUCT(MAX((İzinler!$A$5:$A$504=$B30)*(İzinler!$C$5:$C$504&lt;=V$5)*(İzinler!$D$5:$D$504&gt;=V$5)*ROW(İzinler!$A$5:$A$504)))=0,"",LEFT(SUBSTITUTE(SUBSTITUTE(INDEX(İzinler!$B$1:$B$504,SUMPRODUCT(MAX((İzinler!$A$5:$A$504=$B30)*(İzinler!$C$5:$C$504&lt;=V$5)*(İzinler!$D$5:$D$504&gt;=V$5)*ROW(İzinler!$A$5:$A$504)))),"Yıllık izin","İ"),"Ücretsiz izin","Ü"),1)))</f>
        <v/>
      </c>
      <c r="W30" s="20" t="str">
        <f aca="false">IF(OR($B30="",W$5=""),"",IF(SUMPRODUCT(MAX((İzinler!$A$5:$A$504=$B30)*(İzinler!$C$5:$C$504&lt;=W$5)*(İzinler!$D$5:$D$504&gt;=W$5)*ROW(İzinler!$A$5:$A$504)))=0,"",LEFT(SUBSTITUTE(SUBSTITUTE(INDEX(İzinler!$B$1:$B$504,SUMPRODUCT(MAX((İzinler!$A$5:$A$504=$B30)*(İzinler!$C$5:$C$504&lt;=W$5)*(İzinler!$D$5:$D$504&gt;=W$5)*ROW(İzinler!$A$5:$A$504)))),"Yıllık izin","İ"),"Ücretsiz izin","Ü"),1)))</f>
        <v/>
      </c>
      <c r="X30" s="20" t="str">
        <f aca="false">IF(OR($B30="",X$5=""),"",IF(SUMPRODUCT(MAX((İzinler!$A$5:$A$504=$B30)*(İzinler!$C$5:$C$504&lt;=X$5)*(İzinler!$D$5:$D$504&gt;=X$5)*ROW(İzinler!$A$5:$A$504)))=0,"",LEFT(SUBSTITUTE(SUBSTITUTE(INDEX(İzinler!$B$1:$B$504,SUMPRODUCT(MAX((İzinler!$A$5:$A$504=$B30)*(İzinler!$C$5:$C$504&lt;=X$5)*(İzinler!$D$5:$D$504&gt;=X$5)*ROW(İzinler!$A$5:$A$504)))),"Yıllık izin","İ"),"Ücretsiz izin","Ü"),1)))</f>
        <v/>
      </c>
      <c r="Y30" s="20" t="str">
        <f aca="false">IF(OR($B30="",Y$5=""),"",IF(SUMPRODUCT(MAX((İzinler!$A$5:$A$504=$B30)*(İzinler!$C$5:$C$504&lt;=Y$5)*(İzinler!$D$5:$D$504&gt;=Y$5)*ROW(İzinler!$A$5:$A$504)))=0,"",LEFT(SUBSTITUTE(SUBSTITUTE(INDEX(İzinler!$B$1:$B$504,SUMPRODUCT(MAX((İzinler!$A$5:$A$504=$B30)*(İzinler!$C$5:$C$504&lt;=Y$5)*(İzinler!$D$5:$D$504&gt;=Y$5)*ROW(İzinler!$A$5:$A$504)))),"Yıllık izin","İ"),"Ücretsiz izin","Ü"),1)))</f>
        <v/>
      </c>
      <c r="Z30" s="20" t="str">
        <f aca="false">IF(OR($B30="",Z$5=""),"",IF(SUMPRODUCT(MAX((İzinler!$A$5:$A$504=$B30)*(İzinler!$C$5:$C$504&lt;=Z$5)*(İzinler!$D$5:$D$504&gt;=Z$5)*ROW(İzinler!$A$5:$A$504)))=0,"",LEFT(SUBSTITUTE(SUBSTITUTE(INDEX(İzinler!$B$1:$B$504,SUMPRODUCT(MAX((İzinler!$A$5:$A$504=$B30)*(İzinler!$C$5:$C$504&lt;=Z$5)*(İzinler!$D$5:$D$504&gt;=Z$5)*ROW(İzinler!$A$5:$A$504)))),"Yıllık izin","İ"),"Ücretsiz izin","Ü"),1)))</f>
        <v/>
      </c>
      <c r="AA30" s="20" t="str">
        <f aca="false">IF(OR($B30="",AA$5=""),"",IF(SUMPRODUCT(MAX((İzinler!$A$5:$A$504=$B30)*(İzinler!$C$5:$C$504&lt;=AA$5)*(İzinler!$D$5:$D$504&gt;=AA$5)*ROW(İzinler!$A$5:$A$504)))=0,"",LEFT(SUBSTITUTE(SUBSTITUTE(INDEX(İzinler!$B$1:$B$504,SUMPRODUCT(MAX((İzinler!$A$5:$A$504=$B30)*(İzinler!$C$5:$C$504&lt;=AA$5)*(İzinler!$D$5:$D$504&gt;=AA$5)*ROW(İzinler!$A$5:$A$504)))),"Yıllık izin","İ"),"Ücretsiz izin","Ü"),1)))</f>
        <v/>
      </c>
      <c r="AB30" s="20" t="str">
        <f aca="false">IF(OR($B30="",AB$5=""),"",IF(SUMPRODUCT(MAX((İzinler!$A$5:$A$504=$B30)*(İzinler!$C$5:$C$504&lt;=AB$5)*(İzinler!$D$5:$D$504&gt;=AB$5)*ROW(İzinler!$A$5:$A$504)))=0,"",LEFT(SUBSTITUTE(SUBSTITUTE(INDEX(İzinler!$B$1:$B$504,SUMPRODUCT(MAX((İzinler!$A$5:$A$504=$B30)*(İzinler!$C$5:$C$504&lt;=AB$5)*(İzinler!$D$5:$D$504&gt;=AB$5)*ROW(İzinler!$A$5:$A$504)))),"Yıllık izin","İ"),"Ücretsiz izin","Ü"),1)))</f>
        <v/>
      </c>
      <c r="AC30" s="20" t="str">
        <f aca="false">IF(OR($B30="",AC$5=""),"",IF(SUMPRODUCT(MAX((İzinler!$A$5:$A$504=$B30)*(İzinler!$C$5:$C$504&lt;=AC$5)*(İzinler!$D$5:$D$504&gt;=AC$5)*ROW(İzinler!$A$5:$A$504)))=0,"",LEFT(SUBSTITUTE(SUBSTITUTE(INDEX(İzinler!$B$1:$B$504,SUMPRODUCT(MAX((İzinler!$A$5:$A$504=$B30)*(İzinler!$C$5:$C$504&lt;=AC$5)*(İzinler!$D$5:$D$504&gt;=AC$5)*ROW(İzinler!$A$5:$A$504)))),"Yıllık izin","İ"),"Ücretsiz izin","Ü"),1)))</f>
        <v/>
      </c>
      <c r="AD30" s="20" t="str">
        <f aca="false">IF(OR($B30="",AD$5=""),"",IF(SUMPRODUCT(MAX((İzinler!$A$5:$A$504=$B30)*(İzinler!$C$5:$C$504&lt;=AD$5)*(İzinler!$D$5:$D$504&gt;=AD$5)*ROW(İzinler!$A$5:$A$504)))=0,"",LEFT(SUBSTITUTE(SUBSTITUTE(INDEX(İzinler!$B$1:$B$504,SUMPRODUCT(MAX((İzinler!$A$5:$A$504=$B30)*(İzinler!$C$5:$C$504&lt;=AD$5)*(İzinler!$D$5:$D$504&gt;=AD$5)*ROW(İzinler!$A$5:$A$504)))),"Yıllık izin","İ"),"Ücretsiz izin","Ü"),1)))</f>
        <v/>
      </c>
      <c r="AE30" s="20" t="str">
        <f aca="false">IF(OR($B30="",AE$5=""),"",IF(SUMPRODUCT(MAX((İzinler!$A$5:$A$504=$B30)*(İzinler!$C$5:$C$504&lt;=AE$5)*(İzinler!$D$5:$D$504&gt;=AE$5)*ROW(İzinler!$A$5:$A$504)))=0,"",LEFT(SUBSTITUTE(SUBSTITUTE(INDEX(İzinler!$B$1:$B$504,SUMPRODUCT(MAX((İzinler!$A$5:$A$504=$B30)*(İzinler!$C$5:$C$504&lt;=AE$5)*(İzinler!$D$5:$D$504&gt;=AE$5)*ROW(İzinler!$A$5:$A$504)))),"Yıllık izin","İ"),"Ücretsiz izin","Ü"),1)))</f>
        <v/>
      </c>
      <c r="AF30" s="20" t="str">
        <f aca="false">IF(OR($B30="",AF$5=""),"",IF(SUMPRODUCT(MAX((İzinler!$A$5:$A$504=$B30)*(İzinler!$C$5:$C$504&lt;=AF$5)*(İzinler!$D$5:$D$504&gt;=AF$5)*ROW(İzinler!$A$5:$A$504)))=0,"",LEFT(SUBSTITUTE(SUBSTITUTE(INDEX(İzinler!$B$1:$B$504,SUMPRODUCT(MAX((İzinler!$A$5:$A$504=$B30)*(İzinler!$C$5:$C$504&lt;=AF$5)*(İzinler!$D$5:$D$504&gt;=AF$5)*ROW(İzinler!$A$5:$A$504)))),"Yıllık izin","İ"),"Ücretsiz izin","Ü"),1)))</f>
        <v/>
      </c>
      <c r="AG30" s="20" t="str">
        <f aca="false">IF(OR($B30="",AG$5=""),"",IF(SUMPRODUCT(MAX((İzinler!$A$5:$A$504=$B30)*(İzinler!$C$5:$C$504&lt;=AG$5)*(İzinler!$D$5:$D$504&gt;=AG$5)*ROW(İzinler!$A$5:$A$504)))=0,"",LEFT(SUBSTITUTE(SUBSTITUTE(INDEX(İzinler!$B$1:$B$504,SUMPRODUCT(MAX((İzinler!$A$5:$A$504=$B30)*(İzinler!$C$5:$C$504&lt;=AG$5)*(İzinler!$D$5:$D$504&gt;=AG$5)*ROW(İzinler!$A$5:$A$504)))),"Yıllık izin","İ"),"Ücretsiz izin","Ü"),1)))</f>
        <v/>
      </c>
      <c r="AH30" s="21" t="str">
        <f aca="false">IF(B30="","",COUNTIF(C30:AG30,"?"))</f>
        <v/>
      </c>
    </row>
    <row r="31" customFormat="false" ht="15" hidden="false" customHeight="false" outlineLevel="0" collapsed="false">
      <c r="B31" s="16" t="str">
        <f aca="false">IF(Personel!A30="","",Personel!A30)</f>
        <v/>
      </c>
      <c r="C31" s="20" t="str">
        <f aca="false">IF(OR($B31="",C$5=""),"",IF(SUMPRODUCT(MAX((İzinler!$A$5:$A$504=$B31)*(İzinler!$C$5:$C$504&lt;=C$5)*(İzinler!$D$5:$D$504&gt;=C$5)*ROW(İzinler!$A$5:$A$504)))=0,"",LEFT(SUBSTITUTE(SUBSTITUTE(INDEX(İzinler!$B$1:$B$504,SUMPRODUCT(MAX((İzinler!$A$5:$A$504=$B31)*(İzinler!$C$5:$C$504&lt;=C$5)*(İzinler!$D$5:$D$504&gt;=C$5)*ROW(İzinler!$A$5:$A$504)))),"Yıllık izin","İ"),"Ücretsiz izin","Ü"),1)))</f>
        <v/>
      </c>
      <c r="D31" s="20" t="str">
        <f aca="false">IF(OR($B31="",D$5=""),"",IF(SUMPRODUCT(MAX((İzinler!$A$5:$A$504=$B31)*(İzinler!$C$5:$C$504&lt;=D$5)*(İzinler!$D$5:$D$504&gt;=D$5)*ROW(İzinler!$A$5:$A$504)))=0,"",LEFT(SUBSTITUTE(SUBSTITUTE(INDEX(İzinler!$B$1:$B$504,SUMPRODUCT(MAX((İzinler!$A$5:$A$504=$B31)*(İzinler!$C$5:$C$504&lt;=D$5)*(İzinler!$D$5:$D$504&gt;=D$5)*ROW(İzinler!$A$5:$A$504)))),"Yıllık izin","İ"),"Ücretsiz izin","Ü"),1)))</f>
        <v/>
      </c>
      <c r="E31" s="20" t="str">
        <f aca="false">IF(OR($B31="",E$5=""),"",IF(SUMPRODUCT(MAX((İzinler!$A$5:$A$504=$B31)*(İzinler!$C$5:$C$504&lt;=E$5)*(İzinler!$D$5:$D$504&gt;=E$5)*ROW(İzinler!$A$5:$A$504)))=0,"",LEFT(SUBSTITUTE(SUBSTITUTE(INDEX(İzinler!$B$1:$B$504,SUMPRODUCT(MAX((İzinler!$A$5:$A$504=$B31)*(İzinler!$C$5:$C$504&lt;=E$5)*(İzinler!$D$5:$D$504&gt;=E$5)*ROW(İzinler!$A$5:$A$504)))),"Yıllık izin","İ"),"Ücretsiz izin","Ü"),1)))</f>
        <v/>
      </c>
      <c r="F31" s="20" t="str">
        <f aca="false">IF(OR($B31="",F$5=""),"",IF(SUMPRODUCT(MAX((İzinler!$A$5:$A$504=$B31)*(İzinler!$C$5:$C$504&lt;=F$5)*(İzinler!$D$5:$D$504&gt;=F$5)*ROW(İzinler!$A$5:$A$504)))=0,"",LEFT(SUBSTITUTE(SUBSTITUTE(INDEX(İzinler!$B$1:$B$504,SUMPRODUCT(MAX((İzinler!$A$5:$A$504=$B31)*(İzinler!$C$5:$C$504&lt;=F$5)*(İzinler!$D$5:$D$504&gt;=F$5)*ROW(İzinler!$A$5:$A$504)))),"Yıllık izin","İ"),"Ücretsiz izin","Ü"),1)))</f>
        <v/>
      </c>
      <c r="G31" s="20" t="str">
        <f aca="false">IF(OR($B31="",G$5=""),"",IF(SUMPRODUCT(MAX((İzinler!$A$5:$A$504=$B31)*(İzinler!$C$5:$C$504&lt;=G$5)*(İzinler!$D$5:$D$504&gt;=G$5)*ROW(İzinler!$A$5:$A$504)))=0,"",LEFT(SUBSTITUTE(SUBSTITUTE(INDEX(İzinler!$B$1:$B$504,SUMPRODUCT(MAX((İzinler!$A$5:$A$504=$B31)*(İzinler!$C$5:$C$504&lt;=G$5)*(İzinler!$D$5:$D$504&gt;=G$5)*ROW(İzinler!$A$5:$A$504)))),"Yıllık izin","İ"),"Ücretsiz izin","Ü"),1)))</f>
        <v/>
      </c>
      <c r="H31" s="20" t="str">
        <f aca="false">IF(OR($B31="",H$5=""),"",IF(SUMPRODUCT(MAX((İzinler!$A$5:$A$504=$B31)*(İzinler!$C$5:$C$504&lt;=H$5)*(İzinler!$D$5:$D$504&gt;=H$5)*ROW(İzinler!$A$5:$A$504)))=0,"",LEFT(SUBSTITUTE(SUBSTITUTE(INDEX(İzinler!$B$1:$B$504,SUMPRODUCT(MAX((İzinler!$A$5:$A$504=$B31)*(İzinler!$C$5:$C$504&lt;=H$5)*(İzinler!$D$5:$D$504&gt;=H$5)*ROW(İzinler!$A$5:$A$504)))),"Yıllık izin","İ"),"Ücretsiz izin","Ü"),1)))</f>
        <v/>
      </c>
      <c r="I31" s="20" t="str">
        <f aca="false">IF(OR($B31="",I$5=""),"",IF(SUMPRODUCT(MAX((İzinler!$A$5:$A$504=$B31)*(İzinler!$C$5:$C$504&lt;=I$5)*(İzinler!$D$5:$D$504&gt;=I$5)*ROW(İzinler!$A$5:$A$504)))=0,"",LEFT(SUBSTITUTE(SUBSTITUTE(INDEX(İzinler!$B$1:$B$504,SUMPRODUCT(MAX((İzinler!$A$5:$A$504=$B31)*(İzinler!$C$5:$C$504&lt;=I$5)*(İzinler!$D$5:$D$504&gt;=I$5)*ROW(İzinler!$A$5:$A$504)))),"Yıllık izin","İ"),"Ücretsiz izin","Ü"),1)))</f>
        <v/>
      </c>
      <c r="J31" s="20" t="str">
        <f aca="false">IF(OR($B31="",J$5=""),"",IF(SUMPRODUCT(MAX((İzinler!$A$5:$A$504=$B31)*(İzinler!$C$5:$C$504&lt;=J$5)*(İzinler!$D$5:$D$504&gt;=J$5)*ROW(İzinler!$A$5:$A$504)))=0,"",LEFT(SUBSTITUTE(SUBSTITUTE(INDEX(İzinler!$B$1:$B$504,SUMPRODUCT(MAX((İzinler!$A$5:$A$504=$B31)*(İzinler!$C$5:$C$504&lt;=J$5)*(İzinler!$D$5:$D$504&gt;=J$5)*ROW(İzinler!$A$5:$A$504)))),"Yıllık izin","İ"),"Ücretsiz izin","Ü"),1)))</f>
        <v/>
      </c>
      <c r="K31" s="20" t="str">
        <f aca="false">IF(OR($B31="",K$5=""),"",IF(SUMPRODUCT(MAX((İzinler!$A$5:$A$504=$B31)*(İzinler!$C$5:$C$504&lt;=K$5)*(İzinler!$D$5:$D$504&gt;=K$5)*ROW(İzinler!$A$5:$A$504)))=0,"",LEFT(SUBSTITUTE(SUBSTITUTE(INDEX(İzinler!$B$1:$B$504,SUMPRODUCT(MAX((İzinler!$A$5:$A$504=$B31)*(İzinler!$C$5:$C$504&lt;=K$5)*(İzinler!$D$5:$D$504&gt;=K$5)*ROW(İzinler!$A$5:$A$504)))),"Yıllık izin","İ"),"Ücretsiz izin","Ü"),1)))</f>
        <v/>
      </c>
      <c r="L31" s="20" t="str">
        <f aca="false">IF(OR($B31="",L$5=""),"",IF(SUMPRODUCT(MAX((İzinler!$A$5:$A$504=$B31)*(İzinler!$C$5:$C$504&lt;=L$5)*(İzinler!$D$5:$D$504&gt;=L$5)*ROW(İzinler!$A$5:$A$504)))=0,"",LEFT(SUBSTITUTE(SUBSTITUTE(INDEX(İzinler!$B$1:$B$504,SUMPRODUCT(MAX((İzinler!$A$5:$A$504=$B31)*(İzinler!$C$5:$C$504&lt;=L$5)*(İzinler!$D$5:$D$504&gt;=L$5)*ROW(İzinler!$A$5:$A$504)))),"Yıllık izin","İ"),"Ücretsiz izin","Ü"),1)))</f>
        <v/>
      </c>
      <c r="M31" s="20" t="str">
        <f aca="false">IF(OR($B31="",M$5=""),"",IF(SUMPRODUCT(MAX((İzinler!$A$5:$A$504=$B31)*(İzinler!$C$5:$C$504&lt;=M$5)*(İzinler!$D$5:$D$504&gt;=M$5)*ROW(İzinler!$A$5:$A$504)))=0,"",LEFT(SUBSTITUTE(SUBSTITUTE(INDEX(İzinler!$B$1:$B$504,SUMPRODUCT(MAX((İzinler!$A$5:$A$504=$B31)*(İzinler!$C$5:$C$504&lt;=M$5)*(İzinler!$D$5:$D$504&gt;=M$5)*ROW(İzinler!$A$5:$A$504)))),"Yıllık izin","İ"),"Ücretsiz izin","Ü"),1)))</f>
        <v/>
      </c>
      <c r="N31" s="20" t="str">
        <f aca="false">IF(OR($B31="",N$5=""),"",IF(SUMPRODUCT(MAX((İzinler!$A$5:$A$504=$B31)*(İzinler!$C$5:$C$504&lt;=N$5)*(İzinler!$D$5:$D$504&gt;=N$5)*ROW(İzinler!$A$5:$A$504)))=0,"",LEFT(SUBSTITUTE(SUBSTITUTE(INDEX(İzinler!$B$1:$B$504,SUMPRODUCT(MAX((İzinler!$A$5:$A$504=$B31)*(İzinler!$C$5:$C$504&lt;=N$5)*(İzinler!$D$5:$D$504&gt;=N$5)*ROW(İzinler!$A$5:$A$504)))),"Yıllık izin","İ"),"Ücretsiz izin","Ü"),1)))</f>
        <v/>
      </c>
      <c r="O31" s="20" t="str">
        <f aca="false">IF(OR($B31="",O$5=""),"",IF(SUMPRODUCT(MAX((İzinler!$A$5:$A$504=$B31)*(İzinler!$C$5:$C$504&lt;=O$5)*(İzinler!$D$5:$D$504&gt;=O$5)*ROW(İzinler!$A$5:$A$504)))=0,"",LEFT(SUBSTITUTE(SUBSTITUTE(INDEX(İzinler!$B$1:$B$504,SUMPRODUCT(MAX((İzinler!$A$5:$A$504=$B31)*(İzinler!$C$5:$C$504&lt;=O$5)*(İzinler!$D$5:$D$504&gt;=O$5)*ROW(İzinler!$A$5:$A$504)))),"Yıllık izin","İ"),"Ücretsiz izin","Ü"),1)))</f>
        <v/>
      </c>
      <c r="P31" s="20" t="str">
        <f aca="false">IF(OR($B31="",P$5=""),"",IF(SUMPRODUCT(MAX((İzinler!$A$5:$A$504=$B31)*(İzinler!$C$5:$C$504&lt;=P$5)*(İzinler!$D$5:$D$504&gt;=P$5)*ROW(İzinler!$A$5:$A$504)))=0,"",LEFT(SUBSTITUTE(SUBSTITUTE(INDEX(İzinler!$B$1:$B$504,SUMPRODUCT(MAX((İzinler!$A$5:$A$504=$B31)*(İzinler!$C$5:$C$504&lt;=P$5)*(İzinler!$D$5:$D$504&gt;=P$5)*ROW(İzinler!$A$5:$A$504)))),"Yıllık izin","İ"),"Ücretsiz izin","Ü"),1)))</f>
        <v/>
      </c>
      <c r="Q31" s="20" t="str">
        <f aca="false">IF(OR($B31="",Q$5=""),"",IF(SUMPRODUCT(MAX((İzinler!$A$5:$A$504=$B31)*(İzinler!$C$5:$C$504&lt;=Q$5)*(İzinler!$D$5:$D$504&gt;=Q$5)*ROW(İzinler!$A$5:$A$504)))=0,"",LEFT(SUBSTITUTE(SUBSTITUTE(INDEX(İzinler!$B$1:$B$504,SUMPRODUCT(MAX((İzinler!$A$5:$A$504=$B31)*(İzinler!$C$5:$C$504&lt;=Q$5)*(İzinler!$D$5:$D$504&gt;=Q$5)*ROW(İzinler!$A$5:$A$504)))),"Yıllık izin","İ"),"Ücretsiz izin","Ü"),1)))</f>
        <v/>
      </c>
      <c r="R31" s="20" t="str">
        <f aca="false">IF(OR($B31="",R$5=""),"",IF(SUMPRODUCT(MAX((İzinler!$A$5:$A$504=$B31)*(İzinler!$C$5:$C$504&lt;=R$5)*(İzinler!$D$5:$D$504&gt;=R$5)*ROW(İzinler!$A$5:$A$504)))=0,"",LEFT(SUBSTITUTE(SUBSTITUTE(INDEX(İzinler!$B$1:$B$504,SUMPRODUCT(MAX((İzinler!$A$5:$A$504=$B31)*(İzinler!$C$5:$C$504&lt;=R$5)*(İzinler!$D$5:$D$504&gt;=R$5)*ROW(İzinler!$A$5:$A$504)))),"Yıllık izin","İ"),"Ücretsiz izin","Ü"),1)))</f>
        <v/>
      </c>
      <c r="S31" s="20" t="str">
        <f aca="false">IF(OR($B31="",S$5=""),"",IF(SUMPRODUCT(MAX((İzinler!$A$5:$A$504=$B31)*(İzinler!$C$5:$C$504&lt;=S$5)*(İzinler!$D$5:$D$504&gt;=S$5)*ROW(İzinler!$A$5:$A$504)))=0,"",LEFT(SUBSTITUTE(SUBSTITUTE(INDEX(İzinler!$B$1:$B$504,SUMPRODUCT(MAX((İzinler!$A$5:$A$504=$B31)*(İzinler!$C$5:$C$504&lt;=S$5)*(İzinler!$D$5:$D$504&gt;=S$5)*ROW(İzinler!$A$5:$A$504)))),"Yıllık izin","İ"),"Ücretsiz izin","Ü"),1)))</f>
        <v/>
      </c>
      <c r="T31" s="20" t="str">
        <f aca="false">IF(OR($B31="",T$5=""),"",IF(SUMPRODUCT(MAX((İzinler!$A$5:$A$504=$B31)*(İzinler!$C$5:$C$504&lt;=T$5)*(İzinler!$D$5:$D$504&gt;=T$5)*ROW(İzinler!$A$5:$A$504)))=0,"",LEFT(SUBSTITUTE(SUBSTITUTE(INDEX(İzinler!$B$1:$B$504,SUMPRODUCT(MAX((İzinler!$A$5:$A$504=$B31)*(İzinler!$C$5:$C$504&lt;=T$5)*(İzinler!$D$5:$D$504&gt;=T$5)*ROW(İzinler!$A$5:$A$504)))),"Yıllık izin","İ"),"Ücretsiz izin","Ü"),1)))</f>
        <v/>
      </c>
      <c r="U31" s="20" t="str">
        <f aca="false">IF(OR($B31="",U$5=""),"",IF(SUMPRODUCT(MAX((İzinler!$A$5:$A$504=$B31)*(İzinler!$C$5:$C$504&lt;=U$5)*(İzinler!$D$5:$D$504&gt;=U$5)*ROW(İzinler!$A$5:$A$504)))=0,"",LEFT(SUBSTITUTE(SUBSTITUTE(INDEX(İzinler!$B$1:$B$504,SUMPRODUCT(MAX((İzinler!$A$5:$A$504=$B31)*(İzinler!$C$5:$C$504&lt;=U$5)*(İzinler!$D$5:$D$504&gt;=U$5)*ROW(İzinler!$A$5:$A$504)))),"Yıllık izin","İ"),"Ücretsiz izin","Ü"),1)))</f>
        <v/>
      </c>
      <c r="V31" s="20" t="str">
        <f aca="false">IF(OR($B31="",V$5=""),"",IF(SUMPRODUCT(MAX((İzinler!$A$5:$A$504=$B31)*(İzinler!$C$5:$C$504&lt;=V$5)*(İzinler!$D$5:$D$504&gt;=V$5)*ROW(İzinler!$A$5:$A$504)))=0,"",LEFT(SUBSTITUTE(SUBSTITUTE(INDEX(İzinler!$B$1:$B$504,SUMPRODUCT(MAX((İzinler!$A$5:$A$504=$B31)*(İzinler!$C$5:$C$504&lt;=V$5)*(İzinler!$D$5:$D$504&gt;=V$5)*ROW(İzinler!$A$5:$A$504)))),"Yıllık izin","İ"),"Ücretsiz izin","Ü"),1)))</f>
        <v/>
      </c>
      <c r="W31" s="20" t="str">
        <f aca="false">IF(OR($B31="",W$5=""),"",IF(SUMPRODUCT(MAX((İzinler!$A$5:$A$504=$B31)*(İzinler!$C$5:$C$504&lt;=W$5)*(İzinler!$D$5:$D$504&gt;=W$5)*ROW(İzinler!$A$5:$A$504)))=0,"",LEFT(SUBSTITUTE(SUBSTITUTE(INDEX(İzinler!$B$1:$B$504,SUMPRODUCT(MAX((İzinler!$A$5:$A$504=$B31)*(İzinler!$C$5:$C$504&lt;=W$5)*(İzinler!$D$5:$D$504&gt;=W$5)*ROW(İzinler!$A$5:$A$504)))),"Yıllık izin","İ"),"Ücretsiz izin","Ü"),1)))</f>
        <v/>
      </c>
      <c r="X31" s="20" t="str">
        <f aca="false">IF(OR($B31="",X$5=""),"",IF(SUMPRODUCT(MAX((İzinler!$A$5:$A$504=$B31)*(İzinler!$C$5:$C$504&lt;=X$5)*(İzinler!$D$5:$D$504&gt;=X$5)*ROW(İzinler!$A$5:$A$504)))=0,"",LEFT(SUBSTITUTE(SUBSTITUTE(INDEX(İzinler!$B$1:$B$504,SUMPRODUCT(MAX((İzinler!$A$5:$A$504=$B31)*(İzinler!$C$5:$C$504&lt;=X$5)*(İzinler!$D$5:$D$504&gt;=X$5)*ROW(İzinler!$A$5:$A$504)))),"Yıllık izin","İ"),"Ücretsiz izin","Ü"),1)))</f>
        <v/>
      </c>
      <c r="Y31" s="20" t="str">
        <f aca="false">IF(OR($B31="",Y$5=""),"",IF(SUMPRODUCT(MAX((İzinler!$A$5:$A$504=$B31)*(İzinler!$C$5:$C$504&lt;=Y$5)*(İzinler!$D$5:$D$504&gt;=Y$5)*ROW(İzinler!$A$5:$A$504)))=0,"",LEFT(SUBSTITUTE(SUBSTITUTE(INDEX(İzinler!$B$1:$B$504,SUMPRODUCT(MAX((İzinler!$A$5:$A$504=$B31)*(İzinler!$C$5:$C$504&lt;=Y$5)*(İzinler!$D$5:$D$504&gt;=Y$5)*ROW(İzinler!$A$5:$A$504)))),"Yıllık izin","İ"),"Ücretsiz izin","Ü"),1)))</f>
        <v/>
      </c>
      <c r="Z31" s="20" t="str">
        <f aca="false">IF(OR($B31="",Z$5=""),"",IF(SUMPRODUCT(MAX((İzinler!$A$5:$A$504=$B31)*(İzinler!$C$5:$C$504&lt;=Z$5)*(İzinler!$D$5:$D$504&gt;=Z$5)*ROW(İzinler!$A$5:$A$504)))=0,"",LEFT(SUBSTITUTE(SUBSTITUTE(INDEX(İzinler!$B$1:$B$504,SUMPRODUCT(MAX((İzinler!$A$5:$A$504=$B31)*(İzinler!$C$5:$C$504&lt;=Z$5)*(İzinler!$D$5:$D$504&gt;=Z$5)*ROW(İzinler!$A$5:$A$504)))),"Yıllık izin","İ"),"Ücretsiz izin","Ü"),1)))</f>
        <v/>
      </c>
      <c r="AA31" s="20" t="str">
        <f aca="false">IF(OR($B31="",AA$5=""),"",IF(SUMPRODUCT(MAX((İzinler!$A$5:$A$504=$B31)*(İzinler!$C$5:$C$504&lt;=AA$5)*(İzinler!$D$5:$D$504&gt;=AA$5)*ROW(İzinler!$A$5:$A$504)))=0,"",LEFT(SUBSTITUTE(SUBSTITUTE(INDEX(İzinler!$B$1:$B$504,SUMPRODUCT(MAX((İzinler!$A$5:$A$504=$B31)*(İzinler!$C$5:$C$504&lt;=AA$5)*(İzinler!$D$5:$D$504&gt;=AA$5)*ROW(İzinler!$A$5:$A$504)))),"Yıllık izin","İ"),"Ücretsiz izin","Ü"),1)))</f>
        <v/>
      </c>
      <c r="AB31" s="20" t="str">
        <f aca="false">IF(OR($B31="",AB$5=""),"",IF(SUMPRODUCT(MAX((İzinler!$A$5:$A$504=$B31)*(İzinler!$C$5:$C$504&lt;=AB$5)*(İzinler!$D$5:$D$504&gt;=AB$5)*ROW(İzinler!$A$5:$A$504)))=0,"",LEFT(SUBSTITUTE(SUBSTITUTE(INDEX(İzinler!$B$1:$B$504,SUMPRODUCT(MAX((İzinler!$A$5:$A$504=$B31)*(İzinler!$C$5:$C$504&lt;=AB$5)*(İzinler!$D$5:$D$504&gt;=AB$5)*ROW(İzinler!$A$5:$A$504)))),"Yıllık izin","İ"),"Ücretsiz izin","Ü"),1)))</f>
        <v/>
      </c>
      <c r="AC31" s="20" t="str">
        <f aca="false">IF(OR($B31="",AC$5=""),"",IF(SUMPRODUCT(MAX((İzinler!$A$5:$A$504=$B31)*(İzinler!$C$5:$C$504&lt;=AC$5)*(İzinler!$D$5:$D$504&gt;=AC$5)*ROW(İzinler!$A$5:$A$504)))=0,"",LEFT(SUBSTITUTE(SUBSTITUTE(INDEX(İzinler!$B$1:$B$504,SUMPRODUCT(MAX((İzinler!$A$5:$A$504=$B31)*(İzinler!$C$5:$C$504&lt;=AC$5)*(İzinler!$D$5:$D$504&gt;=AC$5)*ROW(İzinler!$A$5:$A$504)))),"Yıllık izin","İ"),"Ücretsiz izin","Ü"),1)))</f>
        <v/>
      </c>
      <c r="AD31" s="20" t="str">
        <f aca="false">IF(OR($B31="",AD$5=""),"",IF(SUMPRODUCT(MAX((İzinler!$A$5:$A$504=$B31)*(İzinler!$C$5:$C$504&lt;=AD$5)*(İzinler!$D$5:$D$504&gt;=AD$5)*ROW(İzinler!$A$5:$A$504)))=0,"",LEFT(SUBSTITUTE(SUBSTITUTE(INDEX(İzinler!$B$1:$B$504,SUMPRODUCT(MAX((İzinler!$A$5:$A$504=$B31)*(İzinler!$C$5:$C$504&lt;=AD$5)*(İzinler!$D$5:$D$504&gt;=AD$5)*ROW(İzinler!$A$5:$A$504)))),"Yıllık izin","İ"),"Ücretsiz izin","Ü"),1)))</f>
        <v/>
      </c>
      <c r="AE31" s="20" t="str">
        <f aca="false">IF(OR($B31="",AE$5=""),"",IF(SUMPRODUCT(MAX((İzinler!$A$5:$A$504=$B31)*(İzinler!$C$5:$C$504&lt;=AE$5)*(İzinler!$D$5:$D$504&gt;=AE$5)*ROW(İzinler!$A$5:$A$504)))=0,"",LEFT(SUBSTITUTE(SUBSTITUTE(INDEX(İzinler!$B$1:$B$504,SUMPRODUCT(MAX((İzinler!$A$5:$A$504=$B31)*(İzinler!$C$5:$C$504&lt;=AE$5)*(İzinler!$D$5:$D$504&gt;=AE$5)*ROW(İzinler!$A$5:$A$504)))),"Yıllık izin","İ"),"Ücretsiz izin","Ü"),1)))</f>
        <v/>
      </c>
      <c r="AF31" s="20" t="str">
        <f aca="false">IF(OR($B31="",AF$5=""),"",IF(SUMPRODUCT(MAX((İzinler!$A$5:$A$504=$B31)*(İzinler!$C$5:$C$504&lt;=AF$5)*(İzinler!$D$5:$D$504&gt;=AF$5)*ROW(İzinler!$A$5:$A$504)))=0,"",LEFT(SUBSTITUTE(SUBSTITUTE(INDEX(İzinler!$B$1:$B$504,SUMPRODUCT(MAX((İzinler!$A$5:$A$504=$B31)*(İzinler!$C$5:$C$504&lt;=AF$5)*(İzinler!$D$5:$D$504&gt;=AF$5)*ROW(İzinler!$A$5:$A$504)))),"Yıllık izin","İ"),"Ücretsiz izin","Ü"),1)))</f>
        <v/>
      </c>
      <c r="AG31" s="20" t="str">
        <f aca="false">IF(OR($B31="",AG$5=""),"",IF(SUMPRODUCT(MAX((İzinler!$A$5:$A$504=$B31)*(İzinler!$C$5:$C$504&lt;=AG$5)*(İzinler!$D$5:$D$504&gt;=AG$5)*ROW(İzinler!$A$5:$A$504)))=0,"",LEFT(SUBSTITUTE(SUBSTITUTE(INDEX(İzinler!$B$1:$B$504,SUMPRODUCT(MAX((İzinler!$A$5:$A$504=$B31)*(İzinler!$C$5:$C$504&lt;=AG$5)*(İzinler!$D$5:$D$504&gt;=AG$5)*ROW(İzinler!$A$5:$A$504)))),"Yıllık izin","İ"),"Ücretsiz izin","Ü"),1)))</f>
        <v/>
      </c>
      <c r="AH31" s="21" t="str">
        <f aca="false">IF(B31="","",COUNTIF(C31:AG31,"?"))</f>
        <v/>
      </c>
    </row>
    <row r="32" customFormat="false" ht="15" hidden="false" customHeight="false" outlineLevel="0" collapsed="false">
      <c r="B32" s="16" t="str">
        <f aca="false">IF(Personel!A31="","",Personel!A31)</f>
        <v/>
      </c>
      <c r="C32" s="20" t="str">
        <f aca="false">IF(OR($B32="",C$5=""),"",IF(SUMPRODUCT(MAX((İzinler!$A$5:$A$504=$B32)*(İzinler!$C$5:$C$504&lt;=C$5)*(İzinler!$D$5:$D$504&gt;=C$5)*ROW(İzinler!$A$5:$A$504)))=0,"",LEFT(SUBSTITUTE(SUBSTITUTE(INDEX(İzinler!$B$1:$B$504,SUMPRODUCT(MAX((İzinler!$A$5:$A$504=$B32)*(İzinler!$C$5:$C$504&lt;=C$5)*(İzinler!$D$5:$D$504&gt;=C$5)*ROW(İzinler!$A$5:$A$504)))),"Yıllık izin","İ"),"Ücretsiz izin","Ü"),1)))</f>
        <v/>
      </c>
      <c r="D32" s="20" t="str">
        <f aca="false">IF(OR($B32="",D$5=""),"",IF(SUMPRODUCT(MAX((İzinler!$A$5:$A$504=$B32)*(İzinler!$C$5:$C$504&lt;=D$5)*(İzinler!$D$5:$D$504&gt;=D$5)*ROW(İzinler!$A$5:$A$504)))=0,"",LEFT(SUBSTITUTE(SUBSTITUTE(INDEX(İzinler!$B$1:$B$504,SUMPRODUCT(MAX((İzinler!$A$5:$A$504=$B32)*(İzinler!$C$5:$C$504&lt;=D$5)*(İzinler!$D$5:$D$504&gt;=D$5)*ROW(İzinler!$A$5:$A$504)))),"Yıllık izin","İ"),"Ücretsiz izin","Ü"),1)))</f>
        <v/>
      </c>
      <c r="E32" s="20" t="str">
        <f aca="false">IF(OR($B32="",E$5=""),"",IF(SUMPRODUCT(MAX((İzinler!$A$5:$A$504=$B32)*(İzinler!$C$5:$C$504&lt;=E$5)*(İzinler!$D$5:$D$504&gt;=E$5)*ROW(İzinler!$A$5:$A$504)))=0,"",LEFT(SUBSTITUTE(SUBSTITUTE(INDEX(İzinler!$B$1:$B$504,SUMPRODUCT(MAX((İzinler!$A$5:$A$504=$B32)*(İzinler!$C$5:$C$504&lt;=E$5)*(İzinler!$D$5:$D$504&gt;=E$5)*ROW(İzinler!$A$5:$A$504)))),"Yıllık izin","İ"),"Ücretsiz izin","Ü"),1)))</f>
        <v/>
      </c>
      <c r="F32" s="20" t="str">
        <f aca="false">IF(OR($B32="",F$5=""),"",IF(SUMPRODUCT(MAX((İzinler!$A$5:$A$504=$B32)*(İzinler!$C$5:$C$504&lt;=F$5)*(İzinler!$D$5:$D$504&gt;=F$5)*ROW(İzinler!$A$5:$A$504)))=0,"",LEFT(SUBSTITUTE(SUBSTITUTE(INDEX(İzinler!$B$1:$B$504,SUMPRODUCT(MAX((İzinler!$A$5:$A$504=$B32)*(İzinler!$C$5:$C$504&lt;=F$5)*(İzinler!$D$5:$D$504&gt;=F$5)*ROW(İzinler!$A$5:$A$504)))),"Yıllık izin","İ"),"Ücretsiz izin","Ü"),1)))</f>
        <v/>
      </c>
      <c r="G32" s="20" t="str">
        <f aca="false">IF(OR($B32="",G$5=""),"",IF(SUMPRODUCT(MAX((İzinler!$A$5:$A$504=$B32)*(İzinler!$C$5:$C$504&lt;=G$5)*(İzinler!$D$5:$D$504&gt;=G$5)*ROW(İzinler!$A$5:$A$504)))=0,"",LEFT(SUBSTITUTE(SUBSTITUTE(INDEX(İzinler!$B$1:$B$504,SUMPRODUCT(MAX((İzinler!$A$5:$A$504=$B32)*(İzinler!$C$5:$C$504&lt;=G$5)*(İzinler!$D$5:$D$504&gt;=G$5)*ROW(İzinler!$A$5:$A$504)))),"Yıllık izin","İ"),"Ücretsiz izin","Ü"),1)))</f>
        <v/>
      </c>
      <c r="H32" s="20" t="str">
        <f aca="false">IF(OR($B32="",H$5=""),"",IF(SUMPRODUCT(MAX((İzinler!$A$5:$A$504=$B32)*(İzinler!$C$5:$C$504&lt;=H$5)*(İzinler!$D$5:$D$504&gt;=H$5)*ROW(İzinler!$A$5:$A$504)))=0,"",LEFT(SUBSTITUTE(SUBSTITUTE(INDEX(İzinler!$B$1:$B$504,SUMPRODUCT(MAX((İzinler!$A$5:$A$504=$B32)*(İzinler!$C$5:$C$504&lt;=H$5)*(İzinler!$D$5:$D$504&gt;=H$5)*ROW(İzinler!$A$5:$A$504)))),"Yıllık izin","İ"),"Ücretsiz izin","Ü"),1)))</f>
        <v/>
      </c>
      <c r="I32" s="20" t="str">
        <f aca="false">IF(OR($B32="",I$5=""),"",IF(SUMPRODUCT(MAX((İzinler!$A$5:$A$504=$B32)*(İzinler!$C$5:$C$504&lt;=I$5)*(İzinler!$D$5:$D$504&gt;=I$5)*ROW(İzinler!$A$5:$A$504)))=0,"",LEFT(SUBSTITUTE(SUBSTITUTE(INDEX(İzinler!$B$1:$B$504,SUMPRODUCT(MAX((İzinler!$A$5:$A$504=$B32)*(İzinler!$C$5:$C$504&lt;=I$5)*(İzinler!$D$5:$D$504&gt;=I$5)*ROW(İzinler!$A$5:$A$504)))),"Yıllık izin","İ"),"Ücretsiz izin","Ü"),1)))</f>
        <v/>
      </c>
      <c r="J32" s="20" t="str">
        <f aca="false">IF(OR($B32="",J$5=""),"",IF(SUMPRODUCT(MAX((İzinler!$A$5:$A$504=$B32)*(İzinler!$C$5:$C$504&lt;=J$5)*(İzinler!$D$5:$D$504&gt;=J$5)*ROW(İzinler!$A$5:$A$504)))=0,"",LEFT(SUBSTITUTE(SUBSTITUTE(INDEX(İzinler!$B$1:$B$504,SUMPRODUCT(MAX((İzinler!$A$5:$A$504=$B32)*(İzinler!$C$5:$C$504&lt;=J$5)*(İzinler!$D$5:$D$504&gt;=J$5)*ROW(İzinler!$A$5:$A$504)))),"Yıllık izin","İ"),"Ücretsiz izin","Ü"),1)))</f>
        <v/>
      </c>
      <c r="K32" s="20" t="str">
        <f aca="false">IF(OR($B32="",K$5=""),"",IF(SUMPRODUCT(MAX((İzinler!$A$5:$A$504=$B32)*(İzinler!$C$5:$C$504&lt;=K$5)*(İzinler!$D$5:$D$504&gt;=K$5)*ROW(İzinler!$A$5:$A$504)))=0,"",LEFT(SUBSTITUTE(SUBSTITUTE(INDEX(İzinler!$B$1:$B$504,SUMPRODUCT(MAX((İzinler!$A$5:$A$504=$B32)*(İzinler!$C$5:$C$504&lt;=K$5)*(İzinler!$D$5:$D$504&gt;=K$5)*ROW(İzinler!$A$5:$A$504)))),"Yıllık izin","İ"),"Ücretsiz izin","Ü"),1)))</f>
        <v/>
      </c>
      <c r="L32" s="20" t="str">
        <f aca="false">IF(OR($B32="",L$5=""),"",IF(SUMPRODUCT(MAX((İzinler!$A$5:$A$504=$B32)*(İzinler!$C$5:$C$504&lt;=L$5)*(İzinler!$D$5:$D$504&gt;=L$5)*ROW(İzinler!$A$5:$A$504)))=0,"",LEFT(SUBSTITUTE(SUBSTITUTE(INDEX(İzinler!$B$1:$B$504,SUMPRODUCT(MAX((İzinler!$A$5:$A$504=$B32)*(İzinler!$C$5:$C$504&lt;=L$5)*(İzinler!$D$5:$D$504&gt;=L$5)*ROW(İzinler!$A$5:$A$504)))),"Yıllık izin","İ"),"Ücretsiz izin","Ü"),1)))</f>
        <v/>
      </c>
      <c r="M32" s="20" t="str">
        <f aca="false">IF(OR($B32="",M$5=""),"",IF(SUMPRODUCT(MAX((İzinler!$A$5:$A$504=$B32)*(İzinler!$C$5:$C$504&lt;=M$5)*(İzinler!$D$5:$D$504&gt;=M$5)*ROW(İzinler!$A$5:$A$504)))=0,"",LEFT(SUBSTITUTE(SUBSTITUTE(INDEX(İzinler!$B$1:$B$504,SUMPRODUCT(MAX((İzinler!$A$5:$A$504=$B32)*(İzinler!$C$5:$C$504&lt;=M$5)*(İzinler!$D$5:$D$504&gt;=M$5)*ROW(İzinler!$A$5:$A$504)))),"Yıllık izin","İ"),"Ücretsiz izin","Ü"),1)))</f>
        <v/>
      </c>
      <c r="N32" s="20" t="str">
        <f aca="false">IF(OR($B32="",N$5=""),"",IF(SUMPRODUCT(MAX((İzinler!$A$5:$A$504=$B32)*(İzinler!$C$5:$C$504&lt;=N$5)*(İzinler!$D$5:$D$504&gt;=N$5)*ROW(İzinler!$A$5:$A$504)))=0,"",LEFT(SUBSTITUTE(SUBSTITUTE(INDEX(İzinler!$B$1:$B$504,SUMPRODUCT(MAX((İzinler!$A$5:$A$504=$B32)*(İzinler!$C$5:$C$504&lt;=N$5)*(İzinler!$D$5:$D$504&gt;=N$5)*ROW(İzinler!$A$5:$A$504)))),"Yıllık izin","İ"),"Ücretsiz izin","Ü"),1)))</f>
        <v/>
      </c>
      <c r="O32" s="20" t="str">
        <f aca="false">IF(OR($B32="",O$5=""),"",IF(SUMPRODUCT(MAX((İzinler!$A$5:$A$504=$B32)*(İzinler!$C$5:$C$504&lt;=O$5)*(İzinler!$D$5:$D$504&gt;=O$5)*ROW(İzinler!$A$5:$A$504)))=0,"",LEFT(SUBSTITUTE(SUBSTITUTE(INDEX(İzinler!$B$1:$B$504,SUMPRODUCT(MAX((İzinler!$A$5:$A$504=$B32)*(İzinler!$C$5:$C$504&lt;=O$5)*(İzinler!$D$5:$D$504&gt;=O$5)*ROW(İzinler!$A$5:$A$504)))),"Yıllık izin","İ"),"Ücretsiz izin","Ü"),1)))</f>
        <v/>
      </c>
      <c r="P32" s="20" t="str">
        <f aca="false">IF(OR($B32="",P$5=""),"",IF(SUMPRODUCT(MAX((İzinler!$A$5:$A$504=$B32)*(İzinler!$C$5:$C$504&lt;=P$5)*(İzinler!$D$5:$D$504&gt;=P$5)*ROW(İzinler!$A$5:$A$504)))=0,"",LEFT(SUBSTITUTE(SUBSTITUTE(INDEX(İzinler!$B$1:$B$504,SUMPRODUCT(MAX((İzinler!$A$5:$A$504=$B32)*(İzinler!$C$5:$C$504&lt;=P$5)*(İzinler!$D$5:$D$504&gt;=P$5)*ROW(İzinler!$A$5:$A$504)))),"Yıllık izin","İ"),"Ücretsiz izin","Ü"),1)))</f>
        <v/>
      </c>
      <c r="Q32" s="20" t="str">
        <f aca="false">IF(OR($B32="",Q$5=""),"",IF(SUMPRODUCT(MAX((İzinler!$A$5:$A$504=$B32)*(İzinler!$C$5:$C$504&lt;=Q$5)*(İzinler!$D$5:$D$504&gt;=Q$5)*ROW(İzinler!$A$5:$A$504)))=0,"",LEFT(SUBSTITUTE(SUBSTITUTE(INDEX(İzinler!$B$1:$B$504,SUMPRODUCT(MAX((İzinler!$A$5:$A$504=$B32)*(İzinler!$C$5:$C$504&lt;=Q$5)*(İzinler!$D$5:$D$504&gt;=Q$5)*ROW(İzinler!$A$5:$A$504)))),"Yıllık izin","İ"),"Ücretsiz izin","Ü"),1)))</f>
        <v/>
      </c>
      <c r="R32" s="20" t="str">
        <f aca="false">IF(OR($B32="",R$5=""),"",IF(SUMPRODUCT(MAX((İzinler!$A$5:$A$504=$B32)*(İzinler!$C$5:$C$504&lt;=R$5)*(İzinler!$D$5:$D$504&gt;=R$5)*ROW(İzinler!$A$5:$A$504)))=0,"",LEFT(SUBSTITUTE(SUBSTITUTE(INDEX(İzinler!$B$1:$B$504,SUMPRODUCT(MAX((İzinler!$A$5:$A$504=$B32)*(İzinler!$C$5:$C$504&lt;=R$5)*(İzinler!$D$5:$D$504&gt;=R$5)*ROW(İzinler!$A$5:$A$504)))),"Yıllık izin","İ"),"Ücretsiz izin","Ü"),1)))</f>
        <v/>
      </c>
      <c r="S32" s="20" t="str">
        <f aca="false">IF(OR($B32="",S$5=""),"",IF(SUMPRODUCT(MAX((İzinler!$A$5:$A$504=$B32)*(İzinler!$C$5:$C$504&lt;=S$5)*(İzinler!$D$5:$D$504&gt;=S$5)*ROW(İzinler!$A$5:$A$504)))=0,"",LEFT(SUBSTITUTE(SUBSTITUTE(INDEX(İzinler!$B$1:$B$504,SUMPRODUCT(MAX((İzinler!$A$5:$A$504=$B32)*(İzinler!$C$5:$C$504&lt;=S$5)*(İzinler!$D$5:$D$504&gt;=S$5)*ROW(İzinler!$A$5:$A$504)))),"Yıllık izin","İ"),"Ücretsiz izin","Ü"),1)))</f>
        <v/>
      </c>
      <c r="T32" s="20" t="str">
        <f aca="false">IF(OR($B32="",T$5=""),"",IF(SUMPRODUCT(MAX((İzinler!$A$5:$A$504=$B32)*(İzinler!$C$5:$C$504&lt;=T$5)*(İzinler!$D$5:$D$504&gt;=T$5)*ROW(İzinler!$A$5:$A$504)))=0,"",LEFT(SUBSTITUTE(SUBSTITUTE(INDEX(İzinler!$B$1:$B$504,SUMPRODUCT(MAX((İzinler!$A$5:$A$504=$B32)*(İzinler!$C$5:$C$504&lt;=T$5)*(İzinler!$D$5:$D$504&gt;=T$5)*ROW(İzinler!$A$5:$A$504)))),"Yıllık izin","İ"),"Ücretsiz izin","Ü"),1)))</f>
        <v/>
      </c>
      <c r="U32" s="20" t="str">
        <f aca="false">IF(OR($B32="",U$5=""),"",IF(SUMPRODUCT(MAX((İzinler!$A$5:$A$504=$B32)*(İzinler!$C$5:$C$504&lt;=U$5)*(İzinler!$D$5:$D$504&gt;=U$5)*ROW(İzinler!$A$5:$A$504)))=0,"",LEFT(SUBSTITUTE(SUBSTITUTE(INDEX(İzinler!$B$1:$B$504,SUMPRODUCT(MAX((İzinler!$A$5:$A$504=$B32)*(İzinler!$C$5:$C$504&lt;=U$5)*(İzinler!$D$5:$D$504&gt;=U$5)*ROW(İzinler!$A$5:$A$504)))),"Yıllık izin","İ"),"Ücretsiz izin","Ü"),1)))</f>
        <v/>
      </c>
      <c r="V32" s="20" t="str">
        <f aca="false">IF(OR($B32="",V$5=""),"",IF(SUMPRODUCT(MAX((İzinler!$A$5:$A$504=$B32)*(İzinler!$C$5:$C$504&lt;=V$5)*(İzinler!$D$5:$D$504&gt;=V$5)*ROW(İzinler!$A$5:$A$504)))=0,"",LEFT(SUBSTITUTE(SUBSTITUTE(INDEX(İzinler!$B$1:$B$504,SUMPRODUCT(MAX((İzinler!$A$5:$A$504=$B32)*(İzinler!$C$5:$C$504&lt;=V$5)*(İzinler!$D$5:$D$504&gt;=V$5)*ROW(İzinler!$A$5:$A$504)))),"Yıllık izin","İ"),"Ücretsiz izin","Ü"),1)))</f>
        <v/>
      </c>
      <c r="W32" s="20" t="str">
        <f aca="false">IF(OR($B32="",W$5=""),"",IF(SUMPRODUCT(MAX((İzinler!$A$5:$A$504=$B32)*(İzinler!$C$5:$C$504&lt;=W$5)*(İzinler!$D$5:$D$504&gt;=W$5)*ROW(İzinler!$A$5:$A$504)))=0,"",LEFT(SUBSTITUTE(SUBSTITUTE(INDEX(İzinler!$B$1:$B$504,SUMPRODUCT(MAX((İzinler!$A$5:$A$504=$B32)*(İzinler!$C$5:$C$504&lt;=W$5)*(İzinler!$D$5:$D$504&gt;=W$5)*ROW(İzinler!$A$5:$A$504)))),"Yıllık izin","İ"),"Ücretsiz izin","Ü"),1)))</f>
        <v/>
      </c>
      <c r="X32" s="20" t="str">
        <f aca="false">IF(OR($B32="",X$5=""),"",IF(SUMPRODUCT(MAX((İzinler!$A$5:$A$504=$B32)*(İzinler!$C$5:$C$504&lt;=X$5)*(İzinler!$D$5:$D$504&gt;=X$5)*ROW(İzinler!$A$5:$A$504)))=0,"",LEFT(SUBSTITUTE(SUBSTITUTE(INDEX(İzinler!$B$1:$B$504,SUMPRODUCT(MAX((İzinler!$A$5:$A$504=$B32)*(İzinler!$C$5:$C$504&lt;=X$5)*(İzinler!$D$5:$D$504&gt;=X$5)*ROW(İzinler!$A$5:$A$504)))),"Yıllık izin","İ"),"Ücretsiz izin","Ü"),1)))</f>
        <v/>
      </c>
      <c r="Y32" s="20" t="str">
        <f aca="false">IF(OR($B32="",Y$5=""),"",IF(SUMPRODUCT(MAX((İzinler!$A$5:$A$504=$B32)*(İzinler!$C$5:$C$504&lt;=Y$5)*(İzinler!$D$5:$D$504&gt;=Y$5)*ROW(İzinler!$A$5:$A$504)))=0,"",LEFT(SUBSTITUTE(SUBSTITUTE(INDEX(İzinler!$B$1:$B$504,SUMPRODUCT(MAX((İzinler!$A$5:$A$504=$B32)*(İzinler!$C$5:$C$504&lt;=Y$5)*(İzinler!$D$5:$D$504&gt;=Y$5)*ROW(İzinler!$A$5:$A$504)))),"Yıllık izin","İ"),"Ücretsiz izin","Ü"),1)))</f>
        <v/>
      </c>
      <c r="Z32" s="20" t="str">
        <f aca="false">IF(OR($B32="",Z$5=""),"",IF(SUMPRODUCT(MAX((İzinler!$A$5:$A$504=$B32)*(İzinler!$C$5:$C$504&lt;=Z$5)*(İzinler!$D$5:$D$504&gt;=Z$5)*ROW(İzinler!$A$5:$A$504)))=0,"",LEFT(SUBSTITUTE(SUBSTITUTE(INDEX(İzinler!$B$1:$B$504,SUMPRODUCT(MAX((İzinler!$A$5:$A$504=$B32)*(İzinler!$C$5:$C$504&lt;=Z$5)*(İzinler!$D$5:$D$504&gt;=Z$5)*ROW(İzinler!$A$5:$A$504)))),"Yıllık izin","İ"),"Ücretsiz izin","Ü"),1)))</f>
        <v/>
      </c>
      <c r="AA32" s="20" t="str">
        <f aca="false">IF(OR($B32="",AA$5=""),"",IF(SUMPRODUCT(MAX((İzinler!$A$5:$A$504=$B32)*(İzinler!$C$5:$C$504&lt;=AA$5)*(İzinler!$D$5:$D$504&gt;=AA$5)*ROW(İzinler!$A$5:$A$504)))=0,"",LEFT(SUBSTITUTE(SUBSTITUTE(INDEX(İzinler!$B$1:$B$504,SUMPRODUCT(MAX((İzinler!$A$5:$A$504=$B32)*(İzinler!$C$5:$C$504&lt;=AA$5)*(İzinler!$D$5:$D$504&gt;=AA$5)*ROW(İzinler!$A$5:$A$504)))),"Yıllık izin","İ"),"Ücretsiz izin","Ü"),1)))</f>
        <v/>
      </c>
      <c r="AB32" s="20" t="str">
        <f aca="false">IF(OR($B32="",AB$5=""),"",IF(SUMPRODUCT(MAX((İzinler!$A$5:$A$504=$B32)*(İzinler!$C$5:$C$504&lt;=AB$5)*(İzinler!$D$5:$D$504&gt;=AB$5)*ROW(İzinler!$A$5:$A$504)))=0,"",LEFT(SUBSTITUTE(SUBSTITUTE(INDEX(İzinler!$B$1:$B$504,SUMPRODUCT(MAX((İzinler!$A$5:$A$504=$B32)*(İzinler!$C$5:$C$504&lt;=AB$5)*(İzinler!$D$5:$D$504&gt;=AB$5)*ROW(İzinler!$A$5:$A$504)))),"Yıllık izin","İ"),"Ücretsiz izin","Ü"),1)))</f>
        <v/>
      </c>
      <c r="AC32" s="20" t="str">
        <f aca="false">IF(OR($B32="",AC$5=""),"",IF(SUMPRODUCT(MAX((İzinler!$A$5:$A$504=$B32)*(İzinler!$C$5:$C$504&lt;=AC$5)*(İzinler!$D$5:$D$504&gt;=AC$5)*ROW(İzinler!$A$5:$A$504)))=0,"",LEFT(SUBSTITUTE(SUBSTITUTE(INDEX(İzinler!$B$1:$B$504,SUMPRODUCT(MAX((İzinler!$A$5:$A$504=$B32)*(İzinler!$C$5:$C$504&lt;=AC$5)*(İzinler!$D$5:$D$504&gt;=AC$5)*ROW(İzinler!$A$5:$A$504)))),"Yıllık izin","İ"),"Ücretsiz izin","Ü"),1)))</f>
        <v/>
      </c>
      <c r="AD32" s="20" t="str">
        <f aca="false">IF(OR($B32="",AD$5=""),"",IF(SUMPRODUCT(MAX((İzinler!$A$5:$A$504=$B32)*(İzinler!$C$5:$C$504&lt;=AD$5)*(İzinler!$D$5:$D$504&gt;=AD$5)*ROW(İzinler!$A$5:$A$504)))=0,"",LEFT(SUBSTITUTE(SUBSTITUTE(INDEX(İzinler!$B$1:$B$504,SUMPRODUCT(MAX((İzinler!$A$5:$A$504=$B32)*(İzinler!$C$5:$C$504&lt;=AD$5)*(İzinler!$D$5:$D$504&gt;=AD$5)*ROW(İzinler!$A$5:$A$504)))),"Yıllık izin","İ"),"Ücretsiz izin","Ü"),1)))</f>
        <v/>
      </c>
      <c r="AE32" s="20" t="str">
        <f aca="false">IF(OR($B32="",AE$5=""),"",IF(SUMPRODUCT(MAX((İzinler!$A$5:$A$504=$B32)*(İzinler!$C$5:$C$504&lt;=AE$5)*(İzinler!$D$5:$D$504&gt;=AE$5)*ROW(İzinler!$A$5:$A$504)))=0,"",LEFT(SUBSTITUTE(SUBSTITUTE(INDEX(İzinler!$B$1:$B$504,SUMPRODUCT(MAX((İzinler!$A$5:$A$504=$B32)*(İzinler!$C$5:$C$504&lt;=AE$5)*(İzinler!$D$5:$D$504&gt;=AE$5)*ROW(İzinler!$A$5:$A$504)))),"Yıllık izin","İ"),"Ücretsiz izin","Ü"),1)))</f>
        <v/>
      </c>
      <c r="AF32" s="20" t="str">
        <f aca="false">IF(OR($B32="",AF$5=""),"",IF(SUMPRODUCT(MAX((İzinler!$A$5:$A$504=$B32)*(İzinler!$C$5:$C$504&lt;=AF$5)*(İzinler!$D$5:$D$504&gt;=AF$5)*ROW(İzinler!$A$5:$A$504)))=0,"",LEFT(SUBSTITUTE(SUBSTITUTE(INDEX(İzinler!$B$1:$B$504,SUMPRODUCT(MAX((İzinler!$A$5:$A$504=$B32)*(İzinler!$C$5:$C$504&lt;=AF$5)*(İzinler!$D$5:$D$504&gt;=AF$5)*ROW(İzinler!$A$5:$A$504)))),"Yıllık izin","İ"),"Ücretsiz izin","Ü"),1)))</f>
        <v/>
      </c>
      <c r="AG32" s="20" t="str">
        <f aca="false">IF(OR($B32="",AG$5=""),"",IF(SUMPRODUCT(MAX((İzinler!$A$5:$A$504=$B32)*(İzinler!$C$5:$C$504&lt;=AG$5)*(İzinler!$D$5:$D$504&gt;=AG$5)*ROW(İzinler!$A$5:$A$504)))=0,"",LEFT(SUBSTITUTE(SUBSTITUTE(INDEX(İzinler!$B$1:$B$504,SUMPRODUCT(MAX((İzinler!$A$5:$A$504=$B32)*(İzinler!$C$5:$C$504&lt;=AG$5)*(İzinler!$D$5:$D$504&gt;=AG$5)*ROW(İzinler!$A$5:$A$504)))),"Yıllık izin","İ"),"Ücretsiz izin","Ü"),1)))</f>
        <v/>
      </c>
      <c r="AH32" s="21" t="str">
        <f aca="false">IF(B32="","",COUNTIF(C32:AG32,"?"))</f>
        <v/>
      </c>
    </row>
    <row r="33" customFormat="false" ht="15" hidden="false" customHeight="false" outlineLevel="0" collapsed="false">
      <c r="B33" s="16" t="str">
        <f aca="false">IF(Personel!A32="","",Personel!A32)</f>
        <v/>
      </c>
      <c r="C33" s="20" t="str">
        <f aca="false">IF(OR($B33="",C$5=""),"",IF(SUMPRODUCT(MAX((İzinler!$A$5:$A$504=$B33)*(İzinler!$C$5:$C$504&lt;=C$5)*(İzinler!$D$5:$D$504&gt;=C$5)*ROW(İzinler!$A$5:$A$504)))=0,"",LEFT(SUBSTITUTE(SUBSTITUTE(INDEX(İzinler!$B$1:$B$504,SUMPRODUCT(MAX((İzinler!$A$5:$A$504=$B33)*(İzinler!$C$5:$C$504&lt;=C$5)*(İzinler!$D$5:$D$504&gt;=C$5)*ROW(İzinler!$A$5:$A$504)))),"Yıllık izin","İ"),"Ücretsiz izin","Ü"),1)))</f>
        <v/>
      </c>
      <c r="D33" s="20" t="str">
        <f aca="false">IF(OR($B33="",D$5=""),"",IF(SUMPRODUCT(MAX((İzinler!$A$5:$A$504=$B33)*(İzinler!$C$5:$C$504&lt;=D$5)*(İzinler!$D$5:$D$504&gt;=D$5)*ROW(İzinler!$A$5:$A$504)))=0,"",LEFT(SUBSTITUTE(SUBSTITUTE(INDEX(İzinler!$B$1:$B$504,SUMPRODUCT(MAX((İzinler!$A$5:$A$504=$B33)*(İzinler!$C$5:$C$504&lt;=D$5)*(İzinler!$D$5:$D$504&gt;=D$5)*ROW(İzinler!$A$5:$A$504)))),"Yıllık izin","İ"),"Ücretsiz izin","Ü"),1)))</f>
        <v/>
      </c>
      <c r="E33" s="20" t="str">
        <f aca="false">IF(OR($B33="",E$5=""),"",IF(SUMPRODUCT(MAX((İzinler!$A$5:$A$504=$B33)*(İzinler!$C$5:$C$504&lt;=E$5)*(İzinler!$D$5:$D$504&gt;=E$5)*ROW(İzinler!$A$5:$A$504)))=0,"",LEFT(SUBSTITUTE(SUBSTITUTE(INDEX(İzinler!$B$1:$B$504,SUMPRODUCT(MAX((İzinler!$A$5:$A$504=$B33)*(İzinler!$C$5:$C$504&lt;=E$5)*(İzinler!$D$5:$D$504&gt;=E$5)*ROW(İzinler!$A$5:$A$504)))),"Yıllık izin","İ"),"Ücretsiz izin","Ü"),1)))</f>
        <v/>
      </c>
      <c r="F33" s="20" t="str">
        <f aca="false">IF(OR($B33="",F$5=""),"",IF(SUMPRODUCT(MAX((İzinler!$A$5:$A$504=$B33)*(İzinler!$C$5:$C$504&lt;=F$5)*(İzinler!$D$5:$D$504&gt;=F$5)*ROW(İzinler!$A$5:$A$504)))=0,"",LEFT(SUBSTITUTE(SUBSTITUTE(INDEX(İzinler!$B$1:$B$504,SUMPRODUCT(MAX((İzinler!$A$5:$A$504=$B33)*(İzinler!$C$5:$C$504&lt;=F$5)*(İzinler!$D$5:$D$504&gt;=F$5)*ROW(İzinler!$A$5:$A$504)))),"Yıllık izin","İ"),"Ücretsiz izin","Ü"),1)))</f>
        <v/>
      </c>
      <c r="G33" s="20" t="str">
        <f aca="false">IF(OR($B33="",G$5=""),"",IF(SUMPRODUCT(MAX((İzinler!$A$5:$A$504=$B33)*(İzinler!$C$5:$C$504&lt;=G$5)*(İzinler!$D$5:$D$504&gt;=G$5)*ROW(İzinler!$A$5:$A$504)))=0,"",LEFT(SUBSTITUTE(SUBSTITUTE(INDEX(İzinler!$B$1:$B$504,SUMPRODUCT(MAX((İzinler!$A$5:$A$504=$B33)*(İzinler!$C$5:$C$504&lt;=G$5)*(İzinler!$D$5:$D$504&gt;=G$5)*ROW(İzinler!$A$5:$A$504)))),"Yıllık izin","İ"),"Ücretsiz izin","Ü"),1)))</f>
        <v/>
      </c>
      <c r="H33" s="20" t="str">
        <f aca="false">IF(OR($B33="",H$5=""),"",IF(SUMPRODUCT(MAX((İzinler!$A$5:$A$504=$B33)*(İzinler!$C$5:$C$504&lt;=H$5)*(İzinler!$D$5:$D$504&gt;=H$5)*ROW(İzinler!$A$5:$A$504)))=0,"",LEFT(SUBSTITUTE(SUBSTITUTE(INDEX(İzinler!$B$1:$B$504,SUMPRODUCT(MAX((İzinler!$A$5:$A$504=$B33)*(İzinler!$C$5:$C$504&lt;=H$5)*(İzinler!$D$5:$D$504&gt;=H$5)*ROW(İzinler!$A$5:$A$504)))),"Yıllık izin","İ"),"Ücretsiz izin","Ü"),1)))</f>
        <v/>
      </c>
      <c r="I33" s="20" t="str">
        <f aca="false">IF(OR($B33="",I$5=""),"",IF(SUMPRODUCT(MAX((İzinler!$A$5:$A$504=$B33)*(İzinler!$C$5:$C$504&lt;=I$5)*(İzinler!$D$5:$D$504&gt;=I$5)*ROW(İzinler!$A$5:$A$504)))=0,"",LEFT(SUBSTITUTE(SUBSTITUTE(INDEX(İzinler!$B$1:$B$504,SUMPRODUCT(MAX((İzinler!$A$5:$A$504=$B33)*(İzinler!$C$5:$C$504&lt;=I$5)*(İzinler!$D$5:$D$504&gt;=I$5)*ROW(İzinler!$A$5:$A$504)))),"Yıllık izin","İ"),"Ücretsiz izin","Ü"),1)))</f>
        <v/>
      </c>
      <c r="J33" s="20" t="str">
        <f aca="false">IF(OR($B33="",J$5=""),"",IF(SUMPRODUCT(MAX((İzinler!$A$5:$A$504=$B33)*(İzinler!$C$5:$C$504&lt;=J$5)*(İzinler!$D$5:$D$504&gt;=J$5)*ROW(İzinler!$A$5:$A$504)))=0,"",LEFT(SUBSTITUTE(SUBSTITUTE(INDEX(İzinler!$B$1:$B$504,SUMPRODUCT(MAX((İzinler!$A$5:$A$504=$B33)*(İzinler!$C$5:$C$504&lt;=J$5)*(İzinler!$D$5:$D$504&gt;=J$5)*ROW(İzinler!$A$5:$A$504)))),"Yıllık izin","İ"),"Ücretsiz izin","Ü"),1)))</f>
        <v/>
      </c>
      <c r="K33" s="20" t="str">
        <f aca="false">IF(OR($B33="",K$5=""),"",IF(SUMPRODUCT(MAX((İzinler!$A$5:$A$504=$B33)*(İzinler!$C$5:$C$504&lt;=K$5)*(İzinler!$D$5:$D$504&gt;=K$5)*ROW(İzinler!$A$5:$A$504)))=0,"",LEFT(SUBSTITUTE(SUBSTITUTE(INDEX(İzinler!$B$1:$B$504,SUMPRODUCT(MAX((İzinler!$A$5:$A$504=$B33)*(İzinler!$C$5:$C$504&lt;=K$5)*(İzinler!$D$5:$D$504&gt;=K$5)*ROW(İzinler!$A$5:$A$504)))),"Yıllık izin","İ"),"Ücretsiz izin","Ü"),1)))</f>
        <v/>
      </c>
      <c r="L33" s="20" t="str">
        <f aca="false">IF(OR($B33="",L$5=""),"",IF(SUMPRODUCT(MAX((İzinler!$A$5:$A$504=$B33)*(İzinler!$C$5:$C$504&lt;=L$5)*(İzinler!$D$5:$D$504&gt;=L$5)*ROW(İzinler!$A$5:$A$504)))=0,"",LEFT(SUBSTITUTE(SUBSTITUTE(INDEX(İzinler!$B$1:$B$504,SUMPRODUCT(MAX((İzinler!$A$5:$A$504=$B33)*(İzinler!$C$5:$C$504&lt;=L$5)*(İzinler!$D$5:$D$504&gt;=L$5)*ROW(İzinler!$A$5:$A$504)))),"Yıllık izin","İ"),"Ücretsiz izin","Ü"),1)))</f>
        <v/>
      </c>
      <c r="M33" s="20" t="str">
        <f aca="false">IF(OR($B33="",M$5=""),"",IF(SUMPRODUCT(MAX((İzinler!$A$5:$A$504=$B33)*(İzinler!$C$5:$C$504&lt;=M$5)*(İzinler!$D$5:$D$504&gt;=M$5)*ROW(İzinler!$A$5:$A$504)))=0,"",LEFT(SUBSTITUTE(SUBSTITUTE(INDEX(İzinler!$B$1:$B$504,SUMPRODUCT(MAX((İzinler!$A$5:$A$504=$B33)*(İzinler!$C$5:$C$504&lt;=M$5)*(İzinler!$D$5:$D$504&gt;=M$5)*ROW(İzinler!$A$5:$A$504)))),"Yıllık izin","İ"),"Ücretsiz izin","Ü"),1)))</f>
        <v/>
      </c>
      <c r="N33" s="20" t="str">
        <f aca="false">IF(OR($B33="",N$5=""),"",IF(SUMPRODUCT(MAX((İzinler!$A$5:$A$504=$B33)*(İzinler!$C$5:$C$504&lt;=N$5)*(İzinler!$D$5:$D$504&gt;=N$5)*ROW(İzinler!$A$5:$A$504)))=0,"",LEFT(SUBSTITUTE(SUBSTITUTE(INDEX(İzinler!$B$1:$B$504,SUMPRODUCT(MAX((İzinler!$A$5:$A$504=$B33)*(İzinler!$C$5:$C$504&lt;=N$5)*(İzinler!$D$5:$D$504&gt;=N$5)*ROW(İzinler!$A$5:$A$504)))),"Yıllık izin","İ"),"Ücretsiz izin","Ü"),1)))</f>
        <v/>
      </c>
      <c r="O33" s="20" t="str">
        <f aca="false">IF(OR($B33="",O$5=""),"",IF(SUMPRODUCT(MAX((İzinler!$A$5:$A$504=$B33)*(İzinler!$C$5:$C$504&lt;=O$5)*(İzinler!$D$5:$D$504&gt;=O$5)*ROW(İzinler!$A$5:$A$504)))=0,"",LEFT(SUBSTITUTE(SUBSTITUTE(INDEX(İzinler!$B$1:$B$504,SUMPRODUCT(MAX((İzinler!$A$5:$A$504=$B33)*(İzinler!$C$5:$C$504&lt;=O$5)*(İzinler!$D$5:$D$504&gt;=O$5)*ROW(İzinler!$A$5:$A$504)))),"Yıllık izin","İ"),"Ücretsiz izin","Ü"),1)))</f>
        <v/>
      </c>
      <c r="P33" s="20" t="str">
        <f aca="false">IF(OR($B33="",P$5=""),"",IF(SUMPRODUCT(MAX((İzinler!$A$5:$A$504=$B33)*(İzinler!$C$5:$C$504&lt;=P$5)*(İzinler!$D$5:$D$504&gt;=P$5)*ROW(İzinler!$A$5:$A$504)))=0,"",LEFT(SUBSTITUTE(SUBSTITUTE(INDEX(İzinler!$B$1:$B$504,SUMPRODUCT(MAX((İzinler!$A$5:$A$504=$B33)*(İzinler!$C$5:$C$504&lt;=P$5)*(İzinler!$D$5:$D$504&gt;=P$5)*ROW(İzinler!$A$5:$A$504)))),"Yıllık izin","İ"),"Ücretsiz izin","Ü"),1)))</f>
        <v/>
      </c>
      <c r="Q33" s="20" t="str">
        <f aca="false">IF(OR($B33="",Q$5=""),"",IF(SUMPRODUCT(MAX((İzinler!$A$5:$A$504=$B33)*(İzinler!$C$5:$C$504&lt;=Q$5)*(İzinler!$D$5:$D$504&gt;=Q$5)*ROW(İzinler!$A$5:$A$504)))=0,"",LEFT(SUBSTITUTE(SUBSTITUTE(INDEX(İzinler!$B$1:$B$504,SUMPRODUCT(MAX((İzinler!$A$5:$A$504=$B33)*(İzinler!$C$5:$C$504&lt;=Q$5)*(İzinler!$D$5:$D$504&gt;=Q$5)*ROW(İzinler!$A$5:$A$504)))),"Yıllık izin","İ"),"Ücretsiz izin","Ü"),1)))</f>
        <v/>
      </c>
      <c r="R33" s="20" t="str">
        <f aca="false">IF(OR($B33="",R$5=""),"",IF(SUMPRODUCT(MAX((İzinler!$A$5:$A$504=$B33)*(İzinler!$C$5:$C$504&lt;=R$5)*(İzinler!$D$5:$D$504&gt;=R$5)*ROW(İzinler!$A$5:$A$504)))=0,"",LEFT(SUBSTITUTE(SUBSTITUTE(INDEX(İzinler!$B$1:$B$504,SUMPRODUCT(MAX((İzinler!$A$5:$A$504=$B33)*(İzinler!$C$5:$C$504&lt;=R$5)*(İzinler!$D$5:$D$504&gt;=R$5)*ROW(İzinler!$A$5:$A$504)))),"Yıllık izin","İ"),"Ücretsiz izin","Ü"),1)))</f>
        <v/>
      </c>
      <c r="S33" s="20" t="str">
        <f aca="false">IF(OR($B33="",S$5=""),"",IF(SUMPRODUCT(MAX((İzinler!$A$5:$A$504=$B33)*(İzinler!$C$5:$C$504&lt;=S$5)*(İzinler!$D$5:$D$504&gt;=S$5)*ROW(İzinler!$A$5:$A$504)))=0,"",LEFT(SUBSTITUTE(SUBSTITUTE(INDEX(İzinler!$B$1:$B$504,SUMPRODUCT(MAX((İzinler!$A$5:$A$504=$B33)*(İzinler!$C$5:$C$504&lt;=S$5)*(İzinler!$D$5:$D$504&gt;=S$5)*ROW(İzinler!$A$5:$A$504)))),"Yıllık izin","İ"),"Ücretsiz izin","Ü"),1)))</f>
        <v/>
      </c>
      <c r="T33" s="20" t="str">
        <f aca="false">IF(OR($B33="",T$5=""),"",IF(SUMPRODUCT(MAX((İzinler!$A$5:$A$504=$B33)*(İzinler!$C$5:$C$504&lt;=T$5)*(İzinler!$D$5:$D$504&gt;=T$5)*ROW(İzinler!$A$5:$A$504)))=0,"",LEFT(SUBSTITUTE(SUBSTITUTE(INDEX(İzinler!$B$1:$B$504,SUMPRODUCT(MAX((İzinler!$A$5:$A$504=$B33)*(İzinler!$C$5:$C$504&lt;=T$5)*(İzinler!$D$5:$D$504&gt;=T$5)*ROW(İzinler!$A$5:$A$504)))),"Yıllık izin","İ"),"Ücretsiz izin","Ü"),1)))</f>
        <v/>
      </c>
      <c r="U33" s="20" t="str">
        <f aca="false">IF(OR($B33="",U$5=""),"",IF(SUMPRODUCT(MAX((İzinler!$A$5:$A$504=$B33)*(İzinler!$C$5:$C$504&lt;=U$5)*(İzinler!$D$5:$D$504&gt;=U$5)*ROW(İzinler!$A$5:$A$504)))=0,"",LEFT(SUBSTITUTE(SUBSTITUTE(INDEX(İzinler!$B$1:$B$504,SUMPRODUCT(MAX((İzinler!$A$5:$A$504=$B33)*(İzinler!$C$5:$C$504&lt;=U$5)*(İzinler!$D$5:$D$504&gt;=U$5)*ROW(İzinler!$A$5:$A$504)))),"Yıllık izin","İ"),"Ücretsiz izin","Ü"),1)))</f>
        <v/>
      </c>
      <c r="V33" s="20" t="str">
        <f aca="false">IF(OR($B33="",V$5=""),"",IF(SUMPRODUCT(MAX((İzinler!$A$5:$A$504=$B33)*(İzinler!$C$5:$C$504&lt;=V$5)*(İzinler!$D$5:$D$504&gt;=V$5)*ROW(İzinler!$A$5:$A$504)))=0,"",LEFT(SUBSTITUTE(SUBSTITUTE(INDEX(İzinler!$B$1:$B$504,SUMPRODUCT(MAX((İzinler!$A$5:$A$504=$B33)*(İzinler!$C$5:$C$504&lt;=V$5)*(İzinler!$D$5:$D$504&gt;=V$5)*ROW(İzinler!$A$5:$A$504)))),"Yıllık izin","İ"),"Ücretsiz izin","Ü"),1)))</f>
        <v/>
      </c>
      <c r="W33" s="20" t="str">
        <f aca="false">IF(OR($B33="",W$5=""),"",IF(SUMPRODUCT(MAX((İzinler!$A$5:$A$504=$B33)*(İzinler!$C$5:$C$504&lt;=W$5)*(İzinler!$D$5:$D$504&gt;=W$5)*ROW(İzinler!$A$5:$A$504)))=0,"",LEFT(SUBSTITUTE(SUBSTITUTE(INDEX(İzinler!$B$1:$B$504,SUMPRODUCT(MAX((İzinler!$A$5:$A$504=$B33)*(İzinler!$C$5:$C$504&lt;=W$5)*(İzinler!$D$5:$D$504&gt;=W$5)*ROW(İzinler!$A$5:$A$504)))),"Yıllık izin","İ"),"Ücretsiz izin","Ü"),1)))</f>
        <v/>
      </c>
      <c r="X33" s="20" t="str">
        <f aca="false">IF(OR($B33="",X$5=""),"",IF(SUMPRODUCT(MAX((İzinler!$A$5:$A$504=$B33)*(İzinler!$C$5:$C$504&lt;=X$5)*(İzinler!$D$5:$D$504&gt;=X$5)*ROW(İzinler!$A$5:$A$504)))=0,"",LEFT(SUBSTITUTE(SUBSTITUTE(INDEX(İzinler!$B$1:$B$504,SUMPRODUCT(MAX((İzinler!$A$5:$A$504=$B33)*(İzinler!$C$5:$C$504&lt;=X$5)*(İzinler!$D$5:$D$504&gt;=X$5)*ROW(İzinler!$A$5:$A$504)))),"Yıllık izin","İ"),"Ücretsiz izin","Ü"),1)))</f>
        <v/>
      </c>
      <c r="Y33" s="20" t="str">
        <f aca="false">IF(OR($B33="",Y$5=""),"",IF(SUMPRODUCT(MAX((İzinler!$A$5:$A$504=$B33)*(İzinler!$C$5:$C$504&lt;=Y$5)*(İzinler!$D$5:$D$504&gt;=Y$5)*ROW(İzinler!$A$5:$A$504)))=0,"",LEFT(SUBSTITUTE(SUBSTITUTE(INDEX(İzinler!$B$1:$B$504,SUMPRODUCT(MAX((İzinler!$A$5:$A$504=$B33)*(İzinler!$C$5:$C$504&lt;=Y$5)*(İzinler!$D$5:$D$504&gt;=Y$5)*ROW(İzinler!$A$5:$A$504)))),"Yıllık izin","İ"),"Ücretsiz izin","Ü"),1)))</f>
        <v/>
      </c>
      <c r="Z33" s="20" t="str">
        <f aca="false">IF(OR($B33="",Z$5=""),"",IF(SUMPRODUCT(MAX((İzinler!$A$5:$A$504=$B33)*(İzinler!$C$5:$C$504&lt;=Z$5)*(İzinler!$D$5:$D$504&gt;=Z$5)*ROW(İzinler!$A$5:$A$504)))=0,"",LEFT(SUBSTITUTE(SUBSTITUTE(INDEX(İzinler!$B$1:$B$504,SUMPRODUCT(MAX((İzinler!$A$5:$A$504=$B33)*(İzinler!$C$5:$C$504&lt;=Z$5)*(İzinler!$D$5:$D$504&gt;=Z$5)*ROW(İzinler!$A$5:$A$504)))),"Yıllık izin","İ"),"Ücretsiz izin","Ü"),1)))</f>
        <v/>
      </c>
      <c r="AA33" s="20" t="str">
        <f aca="false">IF(OR($B33="",AA$5=""),"",IF(SUMPRODUCT(MAX((İzinler!$A$5:$A$504=$B33)*(İzinler!$C$5:$C$504&lt;=AA$5)*(İzinler!$D$5:$D$504&gt;=AA$5)*ROW(İzinler!$A$5:$A$504)))=0,"",LEFT(SUBSTITUTE(SUBSTITUTE(INDEX(İzinler!$B$1:$B$504,SUMPRODUCT(MAX((İzinler!$A$5:$A$504=$B33)*(İzinler!$C$5:$C$504&lt;=AA$5)*(İzinler!$D$5:$D$504&gt;=AA$5)*ROW(İzinler!$A$5:$A$504)))),"Yıllık izin","İ"),"Ücretsiz izin","Ü"),1)))</f>
        <v/>
      </c>
      <c r="AB33" s="20" t="str">
        <f aca="false">IF(OR($B33="",AB$5=""),"",IF(SUMPRODUCT(MAX((İzinler!$A$5:$A$504=$B33)*(İzinler!$C$5:$C$504&lt;=AB$5)*(İzinler!$D$5:$D$504&gt;=AB$5)*ROW(İzinler!$A$5:$A$504)))=0,"",LEFT(SUBSTITUTE(SUBSTITUTE(INDEX(İzinler!$B$1:$B$504,SUMPRODUCT(MAX((İzinler!$A$5:$A$504=$B33)*(İzinler!$C$5:$C$504&lt;=AB$5)*(İzinler!$D$5:$D$504&gt;=AB$5)*ROW(İzinler!$A$5:$A$504)))),"Yıllık izin","İ"),"Ücretsiz izin","Ü"),1)))</f>
        <v/>
      </c>
      <c r="AC33" s="20" t="str">
        <f aca="false">IF(OR($B33="",AC$5=""),"",IF(SUMPRODUCT(MAX((İzinler!$A$5:$A$504=$B33)*(İzinler!$C$5:$C$504&lt;=AC$5)*(İzinler!$D$5:$D$504&gt;=AC$5)*ROW(İzinler!$A$5:$A$504)))=0,"",LEFT(SUBSTITUTE(SUBSTITUTE(INDEX(İzinler!$B$1:$B$504,SUMPRODUCT(MAX((İzinler!$A$5:$A$504=$B33)*(İzinler!$C$5:$C$504&lt;=AC$5)*(İzinler!$D$5:$D$504&gt;=AC$5)*ROW(İzinler!$A$5:$A$504)))),"Yıllık izin","İ"),"Ücretsiz izin","Ü"),1)))</f>
        <v/>
      </c>
      <c r="AD33" s="20" t="str">
        <f aca="false">IF(OR($B33="",AD$5=""),"",IF(SUMPRODUCT(MAX((İzinler!$A$5:$A$504=$B33)*(İzinler!$C$5:$C$504&lt;=AD$5)*(İzinler!$D$5:$D$504&gt;=AD$5)*ROW(İzinler!$A$5:$A$504)))=0,"",LEFT(SUBSTITUTE(SUBSTITUTE(INDEX(İzinler!$B$1:$B$504,SUMPRODUCT(MAX((İzinler!$A$5:$A$504=$B33)*(İzinler!$C$5:$C$504&lt;=AD$5)*(İzinler!$D$5:$D$504&gt;=AD$5)*ROW(İzinler!$A$5:$A$504)))),"Yıllık izin","İ"),"Ücretsiz izin","Ü"),1)))</f>
        <v/>
      </c>
      <c r="AE33" s="20" t="str">
        <f aca="false">IF(OR($B33="",AE$5=""),"",IF(SUMPRODUCT(MAX((İzinler!$A$5:$A$504=$B33)*(İzinler!$C$5:$C$504&lt;=AE$5)*(İzinler!$D$5:$D$504&gt;=AE$5)*ROW(İzinler!$A$5:$A$504)))=0,"",LEFT(SUBSTITUTE(SUBSTITUTE(INDEX(İzinler!$B$1:$B$504,SUMPRODUCT(MAX((İzinler!$A$5:$A$504=$B33)*(İzinler!$C$5:$C$504&lt;=AE$5)*(İzinler!$D$5:$D$504&gt;=AE$5)*ROW(İzinler!$A$5:$A$504)))),"Yıllık izin","İ"),"Ücretsiz izin","Ü"),1)))</f>
        <v/>
      </c>
      <c r="AF33" s="20" t="str">
        <f aca="false">IF(OR($B33="",AF$5=""),"",IF(SUMPRODUCT(MAX((İzinler!$A$5:$A$504=$B33)*(İzinler!$C$5:$C$504&lt;=AF$5)*(İzinler!$D$5:$D$504&gt;=AF$5)*ROW(İzinler!$A$5:$A$504)))=0,"",LEFT(SUBSTITUTE(SUBSTITUTE(INDEX(İzinler!$B$1:$B$504,SUMPRODUCT(MAX((İzinler!$A$5:$A$504=$B33)*(İzinler!$C$5:$C$504&lt;=AF$5)*(İzinler!$D$5:$D$504&gt;=AF$5)*ROW(İzinler!$A$5:$A$504)))),"Yıllık izin","İ"),"Ücretsiz izin","Ü"),1)))</f>
        <v/>
      </c>
      <c r="AG33" s="20" t="str">
        <f aca="false">IF(OR($B33="",AG$5=""),"",IF(SUMPRODUCT(MAX((İzinler!$A$5:$A$504=$B33)*(İzinler!$C$5:$C$504&lt;=AG$5)*(İzinler!$D$5:$D$504&gt;=AG$5)*ROW(İzinler!$A$5:$A$504)))=0,"",LEFT(SUBSTITUTE(SUBSTITUTE(INDEX(İzinler!$B$1:$B$504,SUMPRODUCT(MAX((İzinler!$A$5:$A$504=$B33)*(İzinler!$C$5:$C$504&lt;=AG$5)*(İzinler!$D$5:$D$504&gt;=AG$5)*ROW(İzinler!$A$5:$A$504)))),"Yıllık izin","İ"),"Ücretsiz izin","Ü"),1)))</f>
        <v/>
      </c>
      <c r="AH33" s="21" t="str">
        <f aca="false">IF(B33="","",COUNTIF(C33:AG33,"?"))</f>
        <v/>
      </c>
    </row>
    <row r="34" customFormat="false" ht="15" hidden="false" customHeight="false" outlineLevel="0" collapsed="false">
      <c r="B34" s="16" t="str">
        <f aca="false">IF(Personel!A33="","",Personel!A33)</f>
        <v/>
      </c>
      <c r="C34" s="20" t="str">
        <f aca="false">IF(OR($B34="",C$5=""),"",IF(SUMPRODUCT(MAX((İzinler!$A$5:$A$504=$B34)*(İzinler!$C$5:$C$504&lt;=C$5)*(İzinler!$D$5:$D$504&gt;=C$5)*ROW(İzinler!$A$5:$A$504)))=0,"",LEFT(SUBSTITUTE(SUBSTITUTE(INDEX(İzinler!$B$1:$B$504,SUMPRODUCT(MAX((İzinler!$A$5:$A$504=$B34)*(İzinler!$C$5:$C$504&lt;=C$5)*(İzinler!$D$5:$D$504&gt;=C$5)*ROW(İzinler!$A$5:$A$504)))),"Yıllık izin","İ"),"Ücretsiz izin","Ü"),1)))</f>
        <v/>
      </c>
      <c r="D34" s="20" t="str">
        <f aca="false">IF(OR($B34="",D$5=""),"",IF(SUMPRODUCT(MAX((İzinler!$A$5:$A$504=$B34)*(İzinler!$C$5:$C$504&lt;=D$5)*(İzinler!$D$5:$D$504&gt;=D$5)*ROW(İzinler!$A$5:$A$504)))=0,"",LEFT(SUBSTITUTE(SUBSTITUTE(INDEX(İzinler!$B$1:$B$504,SUMPRODUCT(MAX((İzinler!$A$5:$A$504=$B34)*(İzinler!$C$5:$C$504&lt;=D$5)*(İzinler!$D$5:$D$504&gt;=D$5)*ROW(İzinler!$A$5:$A$504)))),"Yıllık izin","İ"),"Ücretsiz izin","Ü"),1)))</f>
        <v/>
      </c>
      <c r="E34" s="20" t="str">
        <f aca="false">IF(OR($B34="",E$5=""),"",IF(SUMPRODUCT(MAX((İzinler!$A$5:$A$504=$B34)*(İzinler!$C$5:$C$504&lt;=E$5)*(İzinler!$D$5:$D$504&gt;=E$5)*ROW(İzinler!$A$5:$A$504)))=0,"",LEFT(SUBSTITUTE(SUBSTITUTE(INDEX(İzinler!$B$1:$B$504,SUMPRODUCT(MAX((İzinler!$A$5:$A$504=$B34)*(İzinler!$C$5:$C$504&lt;=E$5)*(İzinler!$D$5:$D$504&gt;=E$5)*ROW(İzinler!$A$5:$A$504)))),"Yıllık izin","İ"),"Ücretsiz izin","Ü"),1)))</f>
        <v/>
      </c>
      <c r="F34" s="20" t="str">
        <f aca="false">IF(OR($B34="",F$5=""),"",IF(SUMPRODUCT(MAX((İzinler!$A$5:$A$504=$B34)*(İzinler!$C$5:$C$504&lt;=F$5)*(İzinler!$D$5:$D$504&gt;=F$5)*ROW(İzinler!$A$5:$A$504)))=0,"",LEFT(SUBSTITUTE(SUBSTITUTE(INDEX(İzinler!$B$1:$B$504,SUMPRODUCT(MAX((İzinler!$A$5:$A$504=$B34)*(İzinler!$C$5:$C$504&lt;=F$5)*(İzinler!$D$5:$D$504&gt;=F$5)*ROW(İzinler!$A$5:$A$504)))),"Yıllık izin","İ"),"Ücretsiz izin","Ü"),1)))</f>
        <v/>
      </c>
      <c r="G34" s="20" t="str">
        <f aca="false">IF(OR($B34="",G$5=""),"",IF(SUMPRODUCT(MAX((İzinler!$A$5:$A$504=$B34)*(İzinler!$C$5:$C$504&lt;=G$5)*(İzinler!$D$5:$D$504&gt;=G$5)*ROW(İzinler!$A$5:$A$504)))=0,"",LEFT(SUBSTITUTE(SUBSTITUTE(INDEX(İzinler!$B$1:$B$504,SUMPRODUCT(MAX((İzinler!$A$5:$A$504=$B34)*(İzinler!$C$5:$C$504&lt;=G$5)*(İzinler!$D$5:$D$504&gt;=G$5)*ROW(İzinler!$A$5:$A$504)))),"Yıllık izin","İ"),"Ücretsiz izin","Ü"),1)))</f>
        <v/>
      </c>
      <c r="H34" s="20" t="str">
        <f aca="false">IF(OR($B34="",H$5=""),"",IF(SUMPRODUCT(MAX((İzinler!$A$5:$A$504=$B34)*(İzinler!$C$5:$C$504&lt;=H$5)*(İzinler!$D$5:$D$504&gt;=H$5)*ROW(İzinler!$A$5:$A$504)))=0,"",LEFT(SUBSTITUTE(SUBSTITUTE(INDEX(İzinler!$B$1:$B$504,SUMPRODUCT(MAX((İzinler!$A$5:$A$504=$B34)*(İzinler!$C$5:$C$504&lt;=H$5)*(İzinler!$D$5:$D$504&gt;=H$5)*ROW(İzinler!$A$5:$A$504)))),"Yıllık izin","İ"),"Ücretsiz izin","Ü"),1)))</f>
        <v/>
      </c>
      <c r="I34" s="20" t="str">
        <f aca="false">IF(OR($B34="",I$5=""),"",IF(SUMPRODUCT(MAX((İzinler!$A$5:$A$504=$B34)*(İzinler!$C$5:$C$504&lt;=I$5)*(İzinler!$D$5:$D$504&gt;=I$5)*ROW(İzinler!$A$5:$A$504)))=0,"",LEFT(SUBSTITUTE(SUBSTITUTE(INDEX(İzinler!$B$1:$B$504,SUMPRODUCT(MAX((İzinler!$A$5:$A$504=$B34)*(İzinler!$C$5:$C$504&lt;=I$5)*(İzinler!$D$5:$D$504&gt;=I$5)*ROW(İzinler!$A$5:$A$504)))),"Yıllık izin","İ"),"Ücretsiz izin","Ü"),1)))</f>
        <v/>
      </c>
      <c r="J34" s="20" t="str">
        <f aca="false">IF(OR($B34="",J$5=""),"",IF(SUMPRODUCT(MAX((İzinler!$A$5:$A$504=$B34)*(İzinler!$C$5:$C$504&lt;=J$5)*(İzinler!$D$5:$D$504&gt;=J$5)*ROW(İzinler!$A$5:$A$504)))=0,"",LEFT(SUBSTITUTE(SUBSTITUTE(INDEX(İzinler!$B$1:$B$504,SUMPRODUCT(MAX((İzinler!$A$5:$A$504=$B34)*(İzinler!$C$5:$C$504&lt;=J$5)*(İzinler!$D$5:$D$504&gt;=J$5)*ROW(İzinler!$A$5:$A$504)))),"Yıllık izin","İ"),"Ücretsiz izin","Ü"),1)))</f>
        <v/>
      </c>
      <c r="K34" s="20" t="str">
        <f aca="false">IF(OR($B34="",K$5=""),"",IF(SUMPRODUCT(MAX((İzinler!$A$5:$A$504=$B34)*(İzinler!$C$5:$C$504&lt;=K$5)*(İzinler!$D$5:$D$504&gt;=K$5)*ROW(İzinler!$A$5:$A$504)))=0,"",LEFT(SUBSTITUTE(SUBSTITUTE(INDEX(İzinler!$B$1:$B$504,SUMPRODUCT(MAX((İzinler!$A$5:$A$504=$B34)*(İzinler!$C$5:$C$504&lt;=K$5)*(İzinler!$D$5:$D$504&gt;=K$5)*ROW(İzinler!$A$5:$A$504)))),"Yıllık izin","İ"),"Ücretsiz izin","Ü"),1)))</f>
        <v/>
      </c>
      <c r="L34" s="20" t="str">
        <f aca="false">IF(OR($B34="",L$5=""),"",IF(SUMPRODUCT(MAX((İzinler!$A$5:$A$504=$B34)*(İzinler!$C$5:$C$504&lt;=L$5)*(İzinler!$D$5:$D$504&gt;=L$5)*ROW(İzinler!$A$5:$A$504)))=0,"",LEFT(SUBSTITUTE(SUBSTITUTE(INDEX(İzinler!$B$1:$B$504,SUMPRODUCT(MAX((İzinler!$A$5:$A$504=$B34)*(İzinler!$C$5:$C$504&lt;=L$5)*(İzinler!$D$5:$D$504&gt;=L$5)*ROW(İzinler!$A$5:$A$504)))),"Yıllık izin","İ"),"Ücretsiz izin","Ü"),1)))</f>
        <v/>
      </c>
      <c r="M34" s="20" t="str">
        <f aca="false">IF(OR($B34="",M$5=""),"",IF(SUMPRODUCT(MAX((İzinler!$A$5:$A$504=$B34)*(İzinler!$C$5:$C$504&lt;=M$5)*(İzinler!$D$5:$D$504&gt;=M$5)*ROW(İzinler!$A$5:$A$504)))=0,"",LEFT(SUBSTITUTE(SUBSTITUTE(INDEX(İzinler!$B$1:$B$504,SUMPRODUCT(MAX((İzinler!$A$5:$A$504=$B34)*(İzinler!$C$5:$C$504&lt;=M$5)*(İzinler!$D$5:$D$504&gt;=M$5)*ROW(İzinler!$A$5:$A$504)))),"Yıllık izin","İ"),"Ücretsiz izin","Ü"),1)))</f>
        <v/>
      </c>
      <c r="N34" s="20" t="str">
        <f aca="false">IF(OR($B34="",N$5=""),"",IF(SUMPRODUCT(MAX((İzinler!$A$5:$A$504=$B34)*(İzinler!$C$5:$C$504&lt;=N$5)*(İzinler!$D$5:$D$504&gt;=N$5)*ROW(İzinler!$A$5:$A$504)))=0,"",LEFT(SUBSTITUTE(SUBSTITUTE(INDEX(İzinler!$B$1:$B$504,SUMPRODUCT(MAX((İzinler!$A$5:$A$504=$B34)*(İzinler!$C$5:$C$504&lt;=N$5)*(İzinler!$D$5:$D$504&gt;=N$5)*ROW(İzinler!$A$5:$A$504)))),"Yıllık izin","İ"),"Ücretsiz izin","Ü"),1)))</f>
        <v/>
      </c>
      <c r="O34" s="20" t="str">
        <f aca="false">IF(OR($B34="",O$5=""),"",IF(SUMPRODUCT(MAX((İzinler!$A$5:$A$504=$B34)*(İzinler!$C$5:$C$504&lt;=O$5)*(İzinler!$D$5:$D$504&gt;=O$5)*ROW(İzinler!$A$5:$A$504)))=0,"",LEFT(SUBSTITUTE(SUBSTITUTE(INDEX(İzinler!$B$1:$B$504,SUMPRODUCT(MAX((İzinler!$A$5:$A$504=$B34)*(İzinler!$C$5:$C$504&lt;=O$5)*(İzinler!$D$5:$D$504&gt;=O$5)*ROW(İzinler!$A$5:$A$504)))),"Yıllık izin","İ"),"Ücretsiz izin","Ü"),1)))</f>
        <v/>
      </c>
      <c r="P34" s="20" t="str">
        <f aca="false">IF(OR($B34="",P$5=""),"",IF(SUMPRODUCT(MAX((İzinler!$A$5:$A$504=$B34)*(İzinler!$C$5:$C$504&lt;=P$5)*(İzinler!$D$5:$D$504&gt;=P$5)*ROW(İzinler!$A$5:$A$504)))=0,"",LEFT(SUBSTITUTE(SUBSTITUTE(INDEX(İzinler!$B$1:$B$504,SUMPRODUCT(MAX((İzinler!$A$5:$A$504=$B34)*(İzinler!$C$5:$C$504&lt;=P$5)*(İzinler!$D$5:$D$504&gt;=P$5)*ROW(İzinler!$A$5:$A$504)))),"Yıllık izin","İ"),"Ücretsiz izin","Ü"),1)))</f>
        <v/>
      </c>
      <c r="Q34" s="20" t="str">
        <f aca="false">IF(OR($B34="",Q$5=""),"",IF(SUMPRODUCT(MAX((İzinler!$A$5:$A$504=$B34)*(İzinler!$C$5:$C$504&lt;=Q$5)*(İzinler!$D$5:$D$504&gt;=Q$5)*ROW(İzinler!$A$5:$A$504)))=0,"",LEFT(SUBSTITUTE(SUBSTITUTE(INDEX(İzinler!$B$1:$B$504,SUMPRODUCT(MAX((İzinler!$A$5:$A$504=$B34)*(İzinler!$C$5:$C$504&lt;=Q$5)*(İzinler!$D$5:$D$504&gt;=Q$5)*ROW(İzinler!$A$5:$A$504)))),"Yıllık izin","İ"),"Ücretsiz izin","Ü"),1)))</f>
        <v/>
      </c>
      <c r="R34" s="20" t="str">
        <f aca="false">IF(OR($B34="",R$5=""),"",IF(SUMPRODUCT(MAX((İzinler!$A$5:$A$504=$B34)*(İzinler!$C$5:$C$504&lt;=R$5)*(İzinler!$D$5:$D$504&gt;=R$5)*ROW(İzinler!$A$5:$A$504)))=0,"",LEFT(SUBSTITUTE(SUBSTITUTE(INDEX(İzinler!$B$1:$B$504,SUMPRODUCT(MAX((İzinler!$A$5:$A$504=$B34)*(İzinler!$C$5:$C$504&lt;=R$5)*(İzinler!$D$5:$D$504&gt;=R$5)*ROW(İzinler!$A$5:$A$504)))),"Yıllık izin","İ"),"Ücretsiz izin","Ü"),1)))</f>
        <v/>
      </c>
      <c r="S34" s="20" t="str">
        <f aca="false">IF(OR($B34="",S$5=""),"",IF(SUMPRODUCT(MAX((İzinler!$A$5:$A$504=$B34)*(İzinler!$C$5:$C$504&lt;=S$5)*(İzinler!$D$5:$D$504&gt;=S$5)*ROW(İzinler!$A$5:$A$504)))=0,"",LEFT(SUBSTITUTE(SUBSTITUTE(INDEX(İzinler!$B$1:$B$504,SUMPRODUCT(MAX((İzinler!$A$5:$A$504=$B34)*(İzinler!$C$5:$C$504&lt;=S$5)*(İzinler!$D$5:$D$504&gt;=S$5)*ROW(İzinler!$A$5:$A$504)))),"Yıllık izin","İ"),"Ücretsiz izin","Ü"),1)))</f>
        <v/>
      </c>
      <c r="T34" s="20" t="str">
        <f aca="false">IF(OR($B34="",T$5=""),"",IF(SUMPRODUCT(MAX((İzinler!$A$5:$A$504=$B34)*(İzinler!$C$5:$C$504&lt;=T$5)*(İzinler!$D$5:$D$504&gt;=T$5)*ROW(İzinler!$A$5:$A$504)))=0,"",LEFT(SUBSTITUTE(SUBSTITUTE(INDEX(İzinler!$B$1:$B$504,SUMPRODUCT(MAX((İzinler!$A$5:$A$504=$B34)*(İzinler!$C$5:$C$504&lt;=T$5)*(İzinler!$D$5:$D$504&gt;=T$5)*ROW(İzinler!$A$5:$A$504)))),"Yıllık izin","İ"),"Ücretsiz izin","Ü"),1)))</f>
        <v/>
      </c>
      <c r="U34" s="20" t="str">
        <f aca="false">IF(OR($B34="",U$5=""),"",IF(SUMPRODUCT(MAX((İzinler!$A$5:$A$504=$B34)*(İzinler!$C$5:$C$504&lt;=U$5)*(İzinler!$D$5:$D$504&gt;=U$5)*ROW(İzinler!$A$5:$A$504)))=0,"",LEFT(SUBSTITUTE(SUBSTITUTE(INDEX(İzinler!$B$1:$B$504,SUMPRODUCT(MAX((İzinler!$A$5:$A$504=$B34)*(İzinler!$C$5:$C$504&lt;=U$5)*(İzinler!$D$5:$D$504&gt;=U$5)*ROW(İzinler!$A$5:$A$504)))),"Yıllık izin","İ"),"Ücretsiz izin","Ü"),1)))</f>
        <v/>
      </c>
      <c r="V34" s="20" t="str">
        <f aca="false">IF(OR($B34="",V$5=""),"",IF(SUMPRODUCT(MAX((İzinler!$A$5:$A$504=$B34)*(İzinler!$C$5:$C$504&lt;=V$5)*(İzinler!$D$5:$D$504&gt;=V$5)*ROW(İzinler!$A$5:$A$504)))=0,"",LEFT(SUBSTITUTE(SUBSTITUTE(INDEX(İzinler!$B$1:$B$504,SUMPRODUCT(MAX((İzinler!$A$5:$A$504=$B34)*(İzinler!$C$5:$C$504&lt;=V$5)*(İzinler!$D$5:$D$504&gt;=V$5)*ROW(İzinler!$A$5:$A$504)))),"Yıllık izin","İ"),"Ücretsiz izin","Ü"),1)))</f>
        <v/>
      </c>
      <c r="W34" s="20" t="str">
        <f aca="false">IF(OR($B34="",W$5=""),"",IF(SUMPRODUCT(MAX((İzinler!$A$5:$A$504=$B34)*(İzinler!$C$5:$C$504&lt;=W$5)*(İzinler!$D$5:$D$504&gt;=W$5)*ROW(İzinler!$A$5:$A$504)))=0,"",LEFT(SUBSTITUTE(SUBSTITUTE(INDEX(İzinler!$B$1:$B$504,SUMPRODUCT(MAX((İzinler!$A$5:$A$504=$B34)*(İzinler!$C$5:$C$504&lt;=W$5)*(İzinler!$D$5:$D$504&gt;=W$5)*ROW(İzinler!$A$5:$A$504)))),"Yıllık izin","İ"),"Ücretsiz izin","Ü"),1)))</f>
        <v/>
      </c>
      <c r="X34" s="20" t="str">
        <f aca="false">IF(OR($B34="",X$5=""),"",IF(SUMPRODUCT(MAX((İzinler!$A$5:$A$504=$B34)*(İzinler!$C$5:$C$504&lt;=X$5)*(İzinler!$D$5:$D$504&gt;=X$5)*ROW(İzinler!$A$5:$A$504)))=0,"",LEFT(SUBSTITUTE(SUBSTITUTE(INDEX(İzinler!$B$1:$B$504,SUMPRODUCT(MAX((İzinler!$A$5:$A$504=$B34)*(İzinler!$C$5:$C$504&lt;=X$5)*(İzinler!$D$5:$D$504&gt;=X$5)*ROW(İzinler!$A$5:$A$504)))),"Yıllık izin","İ"),"Ücretsiz izin","Ü"),1)))</f>
        <v/>
      </c>
      <c r="Y34" s="20" t="str">
        <f aca="false">IF(OR($B34="",Y$5=""),"",IF(SUMPRODUCT(MAX((İzinler!$A$5:$A$504=$B34)*(İzinler!$C$5:$C$504&lt;=Y$5)*(İzinler!$D$5:$D$504&gt;=Y$5)*ROW(İzinler!$A$5:$A$504)))=0,"",LEFT(SUBSTITUTE(SUBSTITUTE(INDEX(İzinler!$B$1:$B$504,SUMPRODUCT(MAX((İzinler!$A$5:$A$504=$B34)*(İzinler!$C$5:$C$504&lt;=Y$5)*(İzinler!$D$5:$D$504&gt;=Y$5)*ROW(İzinler!$A$5:$A$504)))),"Yıllık izin","İ"),"Ücretsiz izin","Ü"),1)))</f>
        <v/>
      </c>
      <c r="Z34" s="20" t="str">
        <f aca="false">IF(OR($B34="",Z$5=""),"",IF(SUMPRODUCT(MAX((İzinler!$A$5:$A$504=$B34)*(İzinler!$C$5:$C$504&lt;=Z$5)*(İzinler!$D$5:$D$504&gt;=Z$5)*ROW(İzinler!$A$5:$A$504)))=0,"",LEFT(SUBSTITUTE(SUBSTITUTE(INDEX(İzinler!$B$1:$B$504,SUMPRODUCT(MAX((İzinler!$A$5:$A$504=$B34)*(İzinler!$C$5:$C$504&lt;=Z$5)*(İzinler!$D$5:$D$504&gt;=Z$5)*ROW(İzinler!$A$5:$A$504)))),"Yıllık izin","İ"),"Ücretsiz izin","Ü"),1)))</f>
        <v/>
      </c>
      <c r="AA34" s="20" t="str">
        <f aca="false">IF(OR($B34="",AA$5=""),"",IF(SUMPRODUCT(MAX((İzinler!$A$5:$A$504=$B34)*(İzinler!$C$5:$C$504&lt;=AA$5)*(İzinler!$D$5:$D$504&gt;=AA$5)*ROW(İzinler!$A$5:$A$504)))=0,"",LEFT(SUBSTITUTE(SUBSTITUTE(INDEX(İzinler!$B$1:$B$504,SUMPRODUCT(MAX((İzinler!$A$5:$A$504=$B34)*(İzinler!$C$5:$C$504&lt;=AA$5)*(İzinler!$D$5:$D$504&gt;=AA$5)*ROW(İzinler!$A$5:$A$504)))),"Yıllık izin","İ"),"Ücretsiz izin","Ü"),1)))</f>
        <v/>
      </c>
      <c r="AB34" s="20" t="str">
        <f aca="false">IF(OR($B34="",AB$5=""),"",IF(SUMPRODUCT(MAX((İzinler!$A$5:$A$504=$B34)*(İzinler!$C$5:$C$504&lt;=AB$5)*(İzinler!$D$5:$D$504&gt;=AB$5)*ROW(İzinler!$A$5:$A$504)))=0,"",LEFT(SUBSTITUTE(SUBSTITUTE(INDEX(İzinler!$B$1:$B$504,SUMPRODUCT(MAX((İzinler!$A$5:$A$504=$B34)*(İzinler!$C$5:$C$504&lt;=AB$5)*(İzinler!$D$5:$D$504&gt;=AB$5)*ROW(İzinler!$A$5:$A$504)))),"Yıllık izin","İ"),"Ücretsiz izin","Ü"),1)))</f>
        <v/>
      </c>
      <c r="AC34" s="20" t="str">
        <f aca="false">IF(OR($B34="",AC$5=""),"",IF(SUMPRODUCT(MAX((İzinler!$A$5:$A$504=$B34)*(İzinler!$C$5:$C$504&lt;=AC$5)*(İzinler!$D$5:$D$504&gt;=AC$5)*ROW(İzinler!$A$5:$A$504)))=0,"",LEFT(SUBSTITUTE(SUBSTITUTE(INDEX(İzinler!$B$1:$B$504,SUMPRODUCT(MAX((İzinler!$A$5:$A$504=$B34)*(İzinler!$C$5:$C$504&lt;=AC$5)*(İzinler!$D$5:$D$504&gt;=AC$5)*ROW(İzinler!$A$5:$A$504)))),"Yıllık izin","İ"),"Ücretsiz izin","Ü"),1)))</f>
        <v/>
      </c>
      <c r="AD34" s="20" t="str">
        <f aca="false">IF(OR($B34="",AD$5=""),"",IF(SUMPRODUCT(MAX((İzinler!$A$5:$A$504=$B34)*(İzinler!$C$5:$C$504&lt;=AD$5)*(İzinler!$D$5:$D$504&gt;=AD$5)*ROW(İzinler!$A$5:$A$504)))=0,"",LEFT(SUBSTITUTE(SUBSTITUTE(INDEX(İzinler!$B$1:$B$504,SUMPRODUCT(MAX((İzinler!$A$5:$A$504=$B34)*(İzinler!$C$5:$C$504&lt;=AD$5)*(İzinler!$D$5:$D$504&gt;=AD$5)*ROW(İzinler!$A$5:$A$504)))),"Yıllık izin","İ"),"Ücretsiz izin","Ü"),1)))</f>
        <v/>
      </c>
      <c r="AE34" s="20" t="str">
        <f aca="false">IF(OR($B34="",AE$5=""),"",IF(SUMPRODUCT(MAX((İzinler!$A$5:$A$504=$B34)*(İzinler!$C$5:$C$504&lt;=AE$5)*(İzinler!$D$5:$D$504&gt;=AE$5)*ROW(İzinler!$A$5:$A$504)))=0,"",LEFT(SUBSTITUTE(SUBSTITUTE(INDEX(İzinler!$B$1:$B$504,SUMPRODUCT(MAX((İzinler!$A$5:$A$504=$B34)*(İzinler!$C$5:$C$504&lt;=AE$5)*(İzinler!$D$5:$D$504&gt;=AE$5)*ROW(İzinler!$A$5:$A$504)))),"Yıllık izin","İ"),"Ücretsiz izin","Ü"),1)))</f>
        <v/>
      </c>
      <c r="AF34" s="20" t="str">
        <f aca="false">IF(OR($B34="",AF$5=""),"",IF(SUMPRODUCT(MAX((İzinler!$A$5:$A$504=$B34)*(İzinler!$C$5:$C$504&lt;=AF$5)*(İzinler!$D$5:$D$504&gt;=AF$5)*ROW(İzinler!$A$5:$A$504)))=0,"",LEFT(SUBSTITUTE(SUBSTITUTE(INDEX(İzinler!$B$1:$B$504,SUMPRODUCT(MAX((İzinler!$A$5:$A$504=$B34)*(İzinler!$C$5:$C$504&lt;=AF$5)*(İzinler!$D$5:$D$504&gt;=AF$5)*ROW(İzinler!$A$5:$A$504)))),"Yıllık izin","İ"),"Ücretsiz izin","Ü"),1)))</f>
        <v/>
      </c>
      <c r="AG34" s="20" t="str">
        <f aca="false">IF(OR($B34="",AG$5=""),"",IF(SUMPRODUCT(MAX((İzinler!$A$5:$A$504=$B34)*(İzinler!$C$5:$C$504&lt;=AG$5)*(İzinler!$D$5:$D$504&gt;=AG$5)*ROW(İzinler!$A$5:$A$504)))=0,"",LEFT(SUBSTITUTE(SUBSTITUTE(INDEX(İzinler!$B$1:$B$504,SUMPRODUCT(MAX((İzinler!$A$5:$A$504=$B34)*(İzinler!$C$5:$C$504&lt;=AG$5)*(İzinler!$D$5:$D$504&gt;=AG$5)*ROW(İzinler!$A$5:$A$504)))),"Yıllık izin","İ"),"Ücretsiz izin","Ü"),1)))</f>
        <v/>
      </c>
      <c r="AH34" s="21" t="str">
        <f aca="false">IF(B34="","",COUNTIF(C34:AG34,"?"))</f>
        <v/>
      </c>
    </row>
    <row r="35" customFormat="false" ht="15" hidden="false" customHeight="false" outlineLevel="0" collapsed="false">
      <c r="B35" s="16" t="str">
        <f aca="false">IF(Personel!A34="","",Personel!A34)</f>
        <v/>
      </c>
      <c r="C35" s="20" t="str">
        <f aca="false">IF(OR($B35="",C$5=""),"",IF(SUMPRODUCT(MAX((İzinler!$A$5:$A$504=$B35)*(İzinler!$C$5:$C$504&lt;=C$5)*(İzinler!$D$5:$D$504&gt;=C$5)*ROW(İzinler!$A$5:$A$504)))=0,"",LEFT(SUBSTITUTE(SUBSTITUTE(INDEX(İzinler!$B$1:$B$504,SUMPRODUCT(MAX((İzinler!$A$5:$A$504=$B35)*(İzinler!$C$5:$C$504&lt;=C$5)*(İzinler!$D$5:$D$504&gt;=C$5)*ROW(İzinler!$A$5:$A$504)))),"Yıllık izin","İ"),"Ücretsiz izin","Ü"),1)))</f>
        <v/>
      </c>
      <c r="D35" s="20" t="str">
        <f aca="false">IF(OR($B35="",D$5=""),"",IF(SUMPRODUCT(MAX((İzinler!$A$5:$A$504=$B35)*(İzinler!$C$5:$C$504&lt;=D$5)*(İzinler!$D$5:$D$504&gt;=D$5)*ROW(İzinler!$A$5:$A$504)))=0,"",LEFT(SUBSTITUTE(SUBSTITUTE(INDEX(İzinler!$B$1:$B$504,SUMPRODUCT(MAX((İzinler!$A$5:$A$504=$B35)*(İzinler!$C$5:$C$504&lt;=D$5)*(İzinler!$D$5:$D$504&gt;=D$5)*ROW(İzinler!$A$5:$A$504)))),"Yıllık izin","İ"),"Ücretsiz izin","Ü"),1)))</f>
        <v/>
      </c>
      <c r="E35" s="20" t="str">
        <f aca="false">IF(OR($B35="",E$5=""),"",IF(SUMPRODUCT(MAX((İzinler!$A$5:$A$504=$B35)*(İzinler!$C$5:$C$504&lt;=E$5)*(İzinler!$D$5:$D$504&gt;=E$5)*ROW(İzinler!$A$5:$A$504)))=0,"",LEFT(SUBSTITUTE(SUBSTITUTE(INDEX(İzinler!$B$1:$B$504,SUMPRODUCT(MAX((İzinler!$A$5:$A$504=$B35)*(İzinler!$C$5:$C$504&lt;=E$5)*(İzinler!$D$5:$D$504&gt;=E$5)*ROW(İzinler!$A$5:$A$504)))),"Yıllık izin","İ"),"Ücretsiz izin","Ü"),1)))</f>
        <v/>
      </c>
      <c r="F35" s="20" t="str">
        <f aca="false">IF(OR($B35="",F$5=""),"",IF(SUMPRODUCT(MAX((İzinler!$A$5:$A$504=$B35)*(İzinler!$C$5:$C$504&lt;=F$5)*(İzinler!$D$5:$D$504&gt;=F$5)*ROW(İzinler!$A$5:$A$504)))=0,"",LEFT(SUBSTITUTE(SUBSTITUTE(INDEX(İzinler!$B$1:$B$504,SUMPRODUCT(MAX((İzinler!$A$5:$A$504=$B35)*(İzinler!$C$5:$C$504&lt;=F$5)*(İzinler!$D$5:$D$504&gt;=F$5)*ROW(İzinler!$A$5:$A$504)))),"Yıllık izin","İ"),"Ücretsiz izin","Ü"),1)))</f>
        <v/>
      </c>
      <c r="G35" s="20" t="str">
        <f aca="false">IF(OR($B35="",G$5=""),"",IF(SUMPRODUCT(MAX((İzinler!$A$5:$A$504=$B35)*(İzinler!$C$5:$C$504&lt;=G$5)*(İzinler!$D$5:$D$504&gt;=G$5)*ROW(İzinler!$A$5:$A$504)))=0,"",LEFT(SUBSTITUTE(SUBSTITUTE(INDEX(İzinler!$B$1:$B$504,SUMPRODUCT(MAX((İzinler!$A$5:$A$504=$B35)*(İzinler!$C$5:$C$504&lt;=G$5)*(İzinler!$D$5:$D$504&gt;=G$5)*ROW(İzinler!$A$5:$A$504)))),"Yıllık izin","İ"),"Ücretsiz izin","Ü"),1)))</f>
        <v/>
      </c>
      <c r="H35" s="20" t="str">
        <f aca="false">IF(OR($B35="",H$5=""),"",IF(SUMPRODUCT(MAX((İzinler!$A$5:$A$504=$B35)*(İzinler!$C$5:$C$504&lt;=H$5)*(İzinler!$D$5:$D$504&gt;=H$5)*ROW(İzinler!$A$5:$A$504)))=0,"",LEFT(SUBSTITUTE(SUBSTITUTE(INDEX(İzinler!$B$1:$B$504,SUMPRODUCT(MAX((İzinler!$A$5:$A$504=$B35)*(İzinler!$C$5:$C$504&lt;=H$5)*(İzinler!$D$5:$D$504&gt;=H$5)*ROW(İzinler!$A$5:$A$504)))),"Yıllık izin","İ"),"Ücretsiz izin","Ü"),1)))</f>
        <v/>
      </c>
      <c r="I35" s="20" t="str">
        <f aca="false">IF(OR($B35="",I$5=""),"",IF(SUMPRODUCT(MAX((İzinler!$A$5:$A$504=$B35)*(İzinler!$C$5:$C$504&lt;=I$5)*(İzinler!$D$5:$D$504&gt;=I$5)*ROW(İzinler!$A$5:$A$504)))=0,"",LEFT(SUBSTITUTE(SUBSTITUTE(INDEX(İzinler!$B$1:$B$504,SUMPRODUCT(MAX((İzinler!$A$5:$A$504=$B35)*(İzinler!$C$5:$C$504&lt;=I$5)*(İzinler!$D$5:$D$504&gt;=I$5)*ROW(İzinler!$A$5:$A$504)))),"Yıllık izin","İ"),"Ücretsiz izin","Ü"),1)))</f>
        <v/>
      </c>
      <c r="J35" s="20" t="str">
        <f aca="false">IF(OR($B35="",J$5=""),"",IF(SUMPRODUCT(MAX((İzinler!$A$5:$A$504=$B35)*(İzinler!$C$5:$C$504&lt;=J$5)*(İzinler!$D$5:$D$504&gt;=J$5)*ROW(İzinler!$A$5:$A$504)))=0,"",LEFT(SUBSTITUTE(SUBSTITUTE(INDEX(İzinler!$B$1:$B$504,SUMPRODUCT(MAX((İzinler!$A$5:$A$504=$B35)*(İzinler!$C$5:$C$504&lt;=J$5)*(İzinler!$D$5:$D$504&gt;=J$5)*ROW(İzinler!$A$5:$A$504)))),"Yıllık izin","İ"),"Ücretsiz izin","Ü"),1)))</f>
        <v/>
      </c>
      <c r="K35" s="20" t="str">
        <f aca="false">IF(OR($B35="",K$5=""),"",IF(SUMPRODUCT(MAX((İzinler!$A$5:$A$504=$B35)*(İzinler!$C$5:$C$504&lt;=K$5)*(İzinler!$D$5:$D$504&gt;=K$5)*ROW(İzinler!$A$5:$A$504)))=0,"",LEFT(SUBSTITUTE(SUBSTITUTE(INDEX(İzinler!$B$1:$B$504,SUMPRODUCT(MAX((İzinler!$A$5:$A$504=$B35)*(İzinler!$C$5:$C$504&lt;=K$5)*(İzinler!$D$5:$D$504&gt;=K$5)*ROW(İzinler!$A$5:$A$504)))),"Yıllık izin","İ"),"Ücretsiz izin","Ü"),1)))</f>
        <v/>
      </c>
      <c r="L35" s="20" t="str">
        <f aca="false">IF(OR($B35="",L$5=""),"",IF(SUMPRODUCT(MAX((İzinler!$A$5:$A$504=$B35)*(İzinler!$C$5:$C$504&lt;=L$5)*(İzinler!$D$5:$D$504&gt;=L$5)*ROW(İzinler!$A$5:$A$504)))=0,"",LEFT(SUBSTITUTE(SUBSTITUTE(INDEX(İzinler!$B$1:$B$504,SUMPRODUCT(MAX((İzinler!$A$5:$A$504=$B35)*(İzinler!$C$5:$C$504&lt;=L$5)*(İzinler!$D$5:$D$504&gt;=L$5)*ROW(İzinler!$A$5:$A$504)))),"Yıllık izin","İ"),"Ücretsiz izin","Ü"),1)))</f>
        <v/>
      </c>
      <c r="M35" s="20" t="str">
        <f aca="false">IF(OR($B35="",M$5=""),"",IF(SUMPRODUCT(MAX((İzinler!$A$5:$A$504=$B35)*(İzinler!$C$5:$C$504&lt;=M$5)*(İzinler!$D$5:$D$504&gt;=M$5)*ROW(İzinler!$A$5:$A$504)))=0,"",LEFT(SUBSTITUTE(SUBSTITUTE(INDEX(İzinler!$B$1:$B$504,SUMPRODUCT(MAX((İzinler!$A$5:$A$504=$B35)*(İzinler!$C$5:$C$504&lt;=M$5)*(İzinler!$D$5:$D$504&gt;=M$5)*ROW(İzinler!$A$5:$A$504)))),"Yıllık izin","İ"),"Ücretsiz izin","Ü"),1)))</f>
        <v/>
      </c>
      <c r="N35" s="20" t="str">
        <f aca="false">IF(OR($B35="",N$5=""),"",IF(SUMPRODUCT(MAX((İzinler!$A$5:$A$504=$B35)*(İzinler!$C$5:$C$504&lt;=N$5)*(İzinler!$D$5:$D$504&gt;=N$5)*ROW(İzinler!$A$5:$A$504)))=0,"",LEFT(SUBSTITUTE(SUBSTITUTE(INDEX(İzinler!$B$1:$B$504,SUMPRODUCT(MAX((İzinler!$A$5:$A$504=$B35)*(İzinler!$C$5:$C$504&lt;=N$5)*(İzinler!$D$5:$D$504&gt;=N$5)*ROW(İzinler!$A$5:$A$504)))),"Yıllık izin","İ"),"Ücretsiz izin","Ü"),1)))</f>
        <v/>
      </c>
      <c r="O35" s="20" t="str">
        <f aca="false">IF(OR($B35="",O$5=""),"",IF(SUMPRODUCT(MAX((İzinler!$A$5:$A$504=$B35)*(İzinler!$C$5:$C$504&lt;=O$5)*(İzinler!$D$5:$D$504&gt;=O$5)*ROW(İzinler!$A$5:$A$504)))=0,"",LEFT(SUBSTITUTE(SUBSTITUTE(INDEX(İzinler!$B$1:$B$504,SUMPRODUCT(MAX((İzinler!$A$5:$A$504=$B35)*(İzinler!$C$5:$C$504&lt;=O$5)*(İzinler!$D$5:$D$504&gt;=O$5)*ROW(İzinler!$A$5:$A$504)))),"Yıllık izin","İ"),"Ücretsiz izin","Ü"),1)))</f>
        <v/>
      </c>
      <c r="P35" s="20" t="str">
        <f aca="false">IF(OR($B35="",P$5=""),"",IF(SUMPRODUCT(MAX((İzinler!$A$5:$A$504=$B35)*(İzinler!$C$5:$C$504&lt;=P$5)*(İzinler!$D$5:$D$504&gt;=P$5)*ROW(İzinler!$A$5:$A$504)))=0,"",LEFT(SUBSTITUTE(SUBSTITUTE(INDEX(İzinler!$B$1:$B$504,SUMPRODUCT(MAX((İzinler!$A$5:$A$504=$B35)*(İzinler!$C$5:$C$504&lt;=P$5)*(İzinler!$D$5:$D$504&gt;=P$5)*ROW(İzinler!$A$5:$A$504)))),"Yıllık izin","İ"),"Ücretsiz izin","Ü"),1)))</f>
        <v/>
      </c>
      <c r="Q35" s="20" t="str">
        <f aca="false">IF(OR($B35="",Q$5=""),"",IF(SUMPRODUCT(MAX((İzinler!$A$5:$A$504=$B35)*(İzinler!$C$5:$C$504&lt;=Q$5)*(İzinler!$D$5:$D$504&gt;=Q$5)*ROW(İzinler!$A$5:$A$504)))=0,"",LEFT(SUBSTITUTE(SUBSTITUTE(INDEX(İzinler!$B$1:$B$504,SUMPRODUCT(MAX((İzinler!$A$5:$A$504=$B35)*(İzinler!$C$5:$C$504&lt;=Q$5)*(İzinler!$D$5:$D$504&gt;=Q$5)*ROW(İzinler!$A$5:$A$504)))),"Yıllık izin","İ"),"Ücretsiz izin","Ü"),1)))</f>
        <v/>
      </c>
      <c r="R35" s="20" t="str">
        <f aca="false">IF(OR($B35="",R$5=""),"",IF(SUMPRODUCT(MAX((İzinler!$A$5:$A$504=$B35)*(İzinler!$C$5:$C$504&lt;=R$5)*(İzinler!$D$5:$D$504&gt;=R$5)*ROW(İzinler!$A$5:$A$504)))=0,"",LEFT(SUBSTITUTE(SUBSTITUTE(INDEX(İzinler!$B$1:$B$504,SUMPRODUCT(MAX((İzinler!$A$5:$A$504=$B35)*(İzinler!$C$5:$C$504&lt;=R$5)*(İzinler!$D$5:$D$504&gt;=R$5)*ROW(İzinler!$A$5:$A$504)))),"Yıllık izin","İ"),"Ücretsiz izin","Ü"),1)))</f>
        <v/>
      </c>
      <c r="S35" s="20" t="str">
        <f aca="false">IF(OR($B35="",S$5=""),"",IF(SUMPRODUCT(MAX((İzinler!$A$5:$A$504=$B35)*(İzinler!$C$5:$C$504&lt;=S$5)*(İzinler!$D$5:$D$504&gt;=S$5)*ROW(İzinler!$A$5:$A$504)))=0,"",LEFT(SUBSTITUTE(SUBSTITUTE(INDEX(İzinler!$B$1:$B$504,SUMPRODUCT(MAX((İzinler!$A$5:$A$504=$B35)*(İzinler!$C$5:$C$504&lt;=S$5)*(İzinler!$D$5:$D$504&gt;=S$5)*ROW(İzinler!$A$5:$A$504)))),"Yıllık izin","İ"),"Ücretsiz izin","Ü"),1)))</f>
        <v/>
      </c>
      <c r="T35" s="20" t="str">
        <f aca="false">IF(OR($B35="",T$5=""),"",IF(SUMPRODUCT(MAX((İzinler!$A$5:$A$504=$B35)*(İzinler!$C$5:$C$504&lt;=T$5)*(İzinler!$D$5:$D$504&gt;=T$5)*ROW(İzinler!$A$5:$A$504)))=0,"",LEFT(SUBSTITUTE(SUBSTITUTE(INDEX(İzinler!$B$1:$B$504,SUMPRODUCT(MAX((İzinler!$A$5:$A$504=$B35)*(İzinler!$C$5:$C$504&lt;=T$5)*(İzinler!$D$5:$D$504&gt;=T$5)*ROW(İzinler!$A$5:$A$504)))),"Yıllık izin","İ"),"Ücretsiz izin","Ü"),1)))</f>
        <v/>
      </c>
      <c r="U35" s="20" t="str">
        <f aca="false">IF(OR($B35="",U$5=""),"",IF(SUMPRODUCT(MAX((İzinler!$A$5:$A$504=$B35)*(İzinler!$C$5:$C$504&lt;=U$5)*(İzinler!$D$5:$D$504&gt;=U$5)*ROW(İzinler!$A$5:$A$504)))=0,"",LEFT(SUBSTITUTE(SUBSTITUTE(INDEX(İzinler!$B$1:$B$504,SUMPRODUCT(MAX((İzinler!$A$5:$A$504=$B35)*(İzinler!$C$5:$C$504&lt;=U$5)*(İzinler!$D$5:$D$504&gt;=U$5)*ROW(İzinler!$A$5:$A$504)))),"Yıllık izin","İ"),"Ücretsiz izin","Ü"),1)))</f>
        <v/>
      </c>
      <c r="V35" s="20" t="str">
        <f aca="false">IF(OR($B35="",V$5=""),"",IF(SUMPRODUCT(MAX((İzinler!$A$5:$A$504=$B35)*(İzinler!$C$5:$C$504&lt;=V$5)*(İzinler!$D$5:$D$504&gt;=V$5)*ROW(İzinler!$A$5:$A$504)))=0,"",LEFT(SUBSTITUTE(SUBSTITUTE(INDEX(İzinler!$B$1:$B$504,SUMPRODUCT(MAX((İzinler!$A$5:$A$504=$B35)*(İzinler!$C$5:$C$504&lt;=V$5)*(İzinler!$D$5:$D$504&gt;=V$5)*ROW(İzinler!$A$5:$A$504)))),"Yıllık izin","İ"),"Ücretsiz izin","Ü"),1)))</f>
        <v/>
      </c>
      <c r="W35" s="20" t="str">
        <f aca="false">IF(OR($B35="",W$5=""),"",IF(SUMPRODUCT(MAX((İzinler!$A$5:$A$504=$B35)*(İzinler!$C$5:$C$504&lt;=W$5)*(İzinler!$D$5:$D$504&gt;=W$5)*ROW(İzinler!$A$5:$A$504)))=0,"",LEFT(SUBSTITUTE(SUBSTITUTE(INDEX(İzinler!$B$1:$B$504,SUMPRODUCT(MAX((İzinler!$A$5:$A$504=$B35)*(İzinler!$C$5:$C$504&lt;=W$5)*(İzinler!$D$5:$D$504&gt;=W$5)*ROW(İzinler!$A$5:$A$504)))),"Yıllık izin","İ"),"Ücretsiz izin","Ü"),1)))</f>
        <v/>
      </c>
      <c r="X35" s="20" t="str">
        <f aca="false">IF(OR($B35="",X$5=""),"",IF(SUMPRODUCT(MAX((İzinler!$A$5:$A$504=$B35)*(İzinler!$C$5:$C$504&lt;=X$5)*(İzinler!$D$5:$D$504&gt;=X$5)*ROW(İzinler!$A$5:$A$504)))=0,"",LEFT(SUBSTITUTE(SUBSTITUTE(INDEX(İzinler!$B$1:$B$504,SUMPRODUCT(MAX((İzinler!$A$5:$A$504=$B35)*(İzinler!$C$5:$C$504&lt;=X$5)*(İzinler!$D$5:$D$504&gt;=X$5)*ROW(İzinler!$A$5:$A$504)))),"Yıllık izin","İ"),"Ücretsiz izin","Ü"),1)))</f>
        <v/>
      </c>
      <c r="Y35" s="20" t="str">
        <f aca="false">IF(OR($B35="",Y$5=""),"",IF(SUMPRODUCT(MAX((İzinler!$A$5:$A$504=$B35)*(İzinler!$C$5:$C$504&lt;=Y$5)*(İzinler!$D$5:$D$504&gt;=Y$5)*ROW(İzinler!$A$5:$A$504)))=0,"",LEFT(SUBSTITUTE(SUBSTITUTE(INDEX(İzinler!$B$1:$B$504,SUMPRODUCT(MAX((İzinler!$A$5:$A$504=$B35)*(İzinler!$C$5:$C$504&lt;=Y$5)*(İzinler!$D$5:$D$504&gt;=Y$5)*ROW(İzinler!$A$5:$A$504)))),"Yıllık izin","İ"),"Ücretsiz izin","Ü"),1)))</f>
        <v/>
      </c>
      <c r="Z35" s="20" t="str">
        <f aca="false">IF(OR($B35="",Z$5=""),"",IF(SUMPRODUCT(MAX((İzinler!$A$5:$A$504=$B35)*(İzinler!$C$5:$C$504&lt;=Z$5)*(İzinler!$D$5:$D$504&gt;=Z$5)*ROW(İzinler!$A$5:$A$504)))=0,"",LEFT(SUBSTITUTE(SUBSTITUTE(INDEX(İzinler!$B$1:$B$504,SUMPRODUCT(MAX((İzinler!$A$5:$A$504=$B35)*(İzinler!$C$5:$C$504&lt;=Z$5)*(İzinler!$D$5:$D$504&gt;=Z$5)*ROW(İzinler!$A$5:$A$504)))),"Yıllık izin","İ"),"Ücretsiz izin","Ü"),1)))</f>
        <v/>
      </c>
      <c r="AA35" s="20" t="str">
        <f aca="false">IF(OR($B35="",AA$5=""),"",IF(SUMPRODUCT(MAX((İzinler!$A$5:$A$504=$B35)*(İzinler!$C$5:$C$504&lt;=AA$5)*(İzinler!$D$5:$D$504&gt;=AA$5)*ROW(İzinler!$A$5:$A$504)))=0,"",LEFT(SUBSTITUTE(SUBSTITUTE(INDEX(İzinler!$B$1:$B$504,SUMPRODUCT(MAX((İzinler!$A$5:$A$504=$B35)*(İzinler!$C$5:$C$504&lt;=AA$5)*(İzinler!$D$5:$D$504&gt;=AA$5)*ROW(İzinler!$A$5:$A$504)))),"Yıllık izin","İ"),"Ücretsiz izin","Ü"),1)))</f>
        <v/>
      </c>
      <c r="AB35" s="20" t="str">
        <f aca="false">IF(OR($B35="",AB$5=""),"",IF(SUMPRODUCT(MAX((İzinler!$A$5:$A$504=$B35)*(İzinler!$C$5:$C$504&lt;=AB$5)*(İzinler!$D$5:$D$504&gt;=AB$5)*ROW(İzinler!$A$5:$A$504)))=0,"",LEFT(SUBSTITUTE(SUBSTITUTE(INDEX(İzinler!$B$1:$B$504,SUMPRODUCT(MAX((İzinler!$A$5:$A$504=$B35)*(İzinler!$C$5:$C$504&lt;=AB$5)*(İzinler!$D$5:$D$504&gt;=AB$5)*ROW(İzinler!$A$5:$A$504)))),"Yıllık izin","İ"),"Ücretsiz izin","Ü"),1)))</f>
        <v/>
      </c>
      <c r="AC35" s="20" t="str">
        <f aca="false">IF(OR($B35="",AC$5=""),"",IF(SUMPRODUCT(MAX((İzinler!$A$5:$A$504=$B35)*(İzinler!$C$5:$C$504&lt;=AC$5)*(İzinler!$D$5:$D$504&gt;=AC$5)*ROW(İzinler!$A$5:$A$504)))=0,"",LEFT(SUBSTITUTE(SUBSTITUTE(INDEX(İzinler!$B$1:$B$504,SUMPRODUCT(MAX((İzinler!$A$5:$A$504=$B35)*(İzinler!$C$5:$C$504&lt;=AC$5)*(İzinler!$D$5:$D$504&gt;=AC$5)*ROW(İzinler!$A$5:$A$504)))),"Yıllık izin","İ"),"Ücretsiz izin","Ü"),1)))</f>
        <v/>
      </c>
      <c r="AD35" s="20" t="str">
        <f aca="false">IF(OR($B35="",AD$5=""),"",IF(SUMPRODUCT(MAX((İzinler!$A$5:$A$504=$B35)*(İzinler!$C$5:$C$504&lt;=AD$5)*(İzinler!$D$5:$D$504&gt;=AD$5)*ROW(İzinler!$A$5:$A$504)))=0,"",LEFT(SUBSTITUTE(SUBSTITUTE(INDEX(İzinler!$B$1:$B$504,SUMPRODUCT(MAX((İzinler!$A$5:$A$504=$B35)*(İzinler!$C$5:$C$504&lt;=AD$5)*(İzinler!$D$5:$D$504&gt;=AD$5)*ROW(İzinler!$A$5:$A$504)))),"Yıllık izin","İ"),"Ücretsiz izin","Ü"),1)))</f>
        <v/>
      </c>
      <c r="AE35" s="20" t="str">
        <f aca="false">IF(OR($B35="",AE$5=""),"",IF(SUMPRODUCT(MAX((İzinler!$A$5:$A$504=$B35)*(İzinler!$C$5:$C$504&lt;=AE$5)*(İzinler!$D$5:$D$504&gt;=AE$5)*ROW(İzinler!$A$5:$A$504)))=0,"",LEFT(SUBSTITUTE(SUBSTITUTE(INDEX(İzinler!$B$1:$B$504,SUMPRODUCT(MAX((İzinler!$A$5:$A$504=$B35)*(İzinler!$C$5:$C$504&lt;=AE$5)*(İzinler!$D$5:$D$504&gt;=AE$5)*ROW(İzinler!$A$5:$A$504)))),"Yıllık izin","İ"),"Ücretsiz izin","Ü"),1)))</f>
        <v/>
      </c>
      <c r="AF35" s="20" t="str">
        <f aca="false">IF(OR($B35="",AF$5=""),"",IF(SUMPRODUCT(MAX((İzinler!$A$5:$A$504=$B35)*(İzinler!$C$5:$C$504&lt;=AF$5)*(İzinler!$D$5:$D$504&gt;=AF$5)*ROW(İzinler!$A$5:$A$504)))=0,"",LEFT(SUBSTITUTE(SUBSTITUTE(INDEX(İzinler!$B$1:$B$504,SUMPRODUCT(MAX((İzinler!$A$5:$A$504=$B35)*(İzinler!$C$5:$C$504&lt;=AF$5)*(İzinler!$D$5:$D$504&gt;=AF$5)*ROW(İzinler!$A$5:$A$504)))),"Yıllık izin","İ"),"Ücretsiz izin","Ü"),1)))</f>
        <v/>
      </c>
      <c r="AG35" s="20" t="str">
        <f aca="false">IF(OR($B35="",AG$5=""),"",IF(SUMPRODUCT(MAX((İzinler!$A$5:$A$504=$B35)*(İzinler!$C$5:$C$504&lt;=AG$5)*(İzinler!$D$5:$D$504&gt;=AG$5)*ROW(İzinler!$A$5:$A$504)))=0,"",LEFT(SUBSTITUTE(SUBSTITUTE(INDEX(İzinler!$B$1:$B$504,SUMPRODUCT(MAX((İzinler!$A$5:$A$504=$B35)*(İzinler!$C$5:$C$504&lt;=AG$5)*(İzinler!$D$5:$D$504&gt;=AG$5)*ROW(İzinler!$A$5:$A$504)))),"Yıllık izin","İ"),"Ücretsiz izin","Ü"),1)))</f>
        <v/>
      </c>
      <c r="AH35" s="21" t="str">
        <f aca="false">IF(B35="","",COUNTIF(C35:AG35,"?"))</f>
        <v/>
      </c>
    </row>
    <row r="36" customFormat="false" ht="15" hidden="false" customHeight="false" outlineLevel="0" collapsed="false">
      <c r="B36" s="16" t="str">
        <f aca="false">IF(Personel!A35="","",Personel!A35)</f>
        <v/>
      </c>
      <c r="C36" s="20" t="str">
        <f aca="false">IF(OR($B36="",C$5=""),"",IF(SUMPRODUCT(MAX((İzinler!$A$5:$A$504=$B36)*(İzinler!$C$5:$C$504&lt;=C$5)*(İzinler!$D$5:$D$504&gt;=C$5)*ROW(İzinler!$A$5:$A$504)))=0,"",LEFT(SUBSTITUTE(SUBSTITUTE(INDEX(İzinler!$B$1:$B$504,SUMPRODUCT(MAX((İzinler!$A$5:$A$504=$B36)*(İzinler!$C$5:$C$504&lt;=C$5)*(İzinler!$D$5:$D$504&gt;=C$5)*ROW(İzinler!$A$5:$A$504)))),"Yıllık izin","İ"),"Ücretsiz izin","Ü"),1)))</f>
        <v/>
      </c>
      <c r="D36" s="20" t="str">
        <f aca="false">IF(OR($B36="",D$5=""),"",IF(SUMPRODUCT(MAX((İzinler!$A$5:$A$504=$B36)*(İzinler!$C$5:$C$504&lt;=D$5)*(İzinler!$D$5:$D$504&gt;=D$5)*ROW(İzinler!$A$5:$A$504)))=0,"",LEFT(SUBSTITUTE(SUBSTITUTE(INDEX(İzinler!$B$1:$B$504,SUMPRODUCT(MAX((İzinler!$A$5:$A$504=$B36)*(İzinler!$C$5:$C$504&lt;=D$5)*(İzinler!$D$5:$D$504&gt;=D$5)*ROW(İzinler!$A$5:$A$504)))),"Yıllık izin","İ"),"Ücretsiz izin","Ü"),1)))</f>
        <v/>
      </c>
      <c r="E36" s="20" t="str">
        <f aca="false">IF(OR($B36="",E$5=""),"",IF(SUMPRODUCT(MAX((İzinler!$A$5:$A$504=$B36)*(İzinler!$C$5:$C$504&lt;=E$5)*(İzinler!$D$5:$D$504&gt;=E$5)*ROW(İzinler!$A$5:$A$504)))=0,"",LEFT(SUBSTITUTE(SUBSTITUTE(INDEX(İzinler!$B$1:$B$504,SUMPRODUCT(MAX((İzinler!$A$5:$A$504=$B36)*(İzinler!$C$5:$C$504&lt;=E$5)*(İzinler!$D$5:$D$504&gt;=E$5)*ROW(İzinler!$A$5:$A$504)))),"Yıllık izin","İ"),"Ücretsiz izin","Ü"),1)))</f>
        <v/>
      </c>
      <c r="F36" s="20" t="str">
        <f aca="false">IF(OR($B36="",F$5=""),"",IF(SUMPRODUCT(MAX((İzinler!$A$5:$A$504=$B36)*(İzinler!$C$5:$C$504&lt;=F$5)*(İzinler!$D$5:$D$504&gt;=F$5)*ROW(İzinler!$A$5:$A$504)))=0,"",LEFT(SUBSTITUTE(SUBSTITUTE(INDEX(İzinler!$B$1:$B$504,SUMPRODUCT(MAX((İzinler!$A$5:$A$504=$B36)*(İzinler!$C$5:$C$504&lt;=F$5)*(İzinler!$D$5:$D$504&gt;=F$5)*ROW(İzinler!$A$5:$A$504)))),"Yıllık izin","İ"),"Ücretsiz izin","Ü"),1)))</f>
        <v/>
      </c>
      <c r="G36" s="20" t="str">
        <f aca="false">IF(OR($B36="",G$5=""),"",IF(SUMPRODUCT(MAX((İzinler!$A$5:$A$504=$B36)*(İzinler!$C$5:$C$504&lt;=G$5)*(İzinler!$D$5:$D$504&gt;=G$5)*ROW(İzinler!$A$5:$A$504)))=0,"",LEFT(SUBSTITUTE(SUBSTITUTE(INDEX(İzinler!$B$1:$B$504,SUMPRODUCT(MAX((İzinler!$A$5:$A$504=$B36)*(İzinler!$C$5:$C$504&lt;=G$5)*(İzinler!$D$5:$D$504&gt;=G$5)*ROW(İzinler!$A$5:$A$504)))),"Yıllık izin","İ"),"Ücretsiz izin","Ü"),1)))</f>
        <v/>
      </c>
      <c r="H36" s="20" t="str">
        <f aca="false">IF(OR($B36="",H$5=""),"",IF(SUMPRODUCT(MAX((İzinler!$A$5:$A$504=$B36)*(İzinler!$C$5:$C$504&lt;=H$5)*(İzinler!$D$5:$D$504&gt;=H$5)*ROW(İzinler!$A$5:$A$504)))=0,"",LEFT(SUBSTITUTE(SUBSTITUTE(INDEX(İzinler!$B$1:$B$504,SUMPRODUCT(MAX((İzinler!$A$5:$A$504=$B36)*(İzinler!$C$5:$C$504&lt;=H$5)*(İzinler!$D$5:$D$504&gt;=H$5)*ROW(İzinler!$A$5:$A$504)))),"Yıllık izin","İ"),"Ücretsiz izin","Ü"),1)))</f>
        <v/>
      </c>
      <c r="I36" s="20" t="str">
        <f aca="false">IF(OR($B36="",I$5=""),"",IF(SUMPRODUCT(MAX((İzinler!$A$5:$A$504=$B36)*(İzinler!$C$5:$C$504&lt;=I$5)*(İzinler!$D$5:$D$504&gt;=I$5)*ROW(İzinler!$A$5:$A$504)))=0,"",LEFT(SUBSTITUTE(SUBSTITUTE(INDEX(İzinler!$B$1:$B$504,SUMPRODUCT(MAX((İzinler!$A$5:$A$504=$B36)*(İzinler!$C$5:$C$504&lt;=I$5)*(İzinler!$D$5:$D$504&gt;=I$5)*ROW(İzinler!$A$5:$A$504)))),"Yıllık izin","İ"),"Ücretsiz izin","Ü"),1)))</f>
        <v/>
      </c>
      <c r="J36" s="20" t="str">
        <f aca="false">IF(OR($B36="",J$5=""),"",IF(SUMPRODUCT(MAX((İzinler!$A$5:$A$504=$B36)*(İzinler!$C$5:$C$504&lt;=J$5)*(İzinler!$D$5:$D$504&gt;=J$5)*ROW(İzinler!$A$5:$A$504)))=0,"",LEFT(SUBSTITUTE(SUBSTITUTE(INDEX(İzinler!$B$1:$B$504,SUMPRODUCT(MAX((İzinler!$A$5:$A$504=$B36)*(İzinler!$C$5:$C$504&lt;=J$5)*(İzinler!$D$5:$D$504&gt;=J$5)*ROW(İzinler!$A$5:$A$504)))),"Yıllık izin","İ"),"Ücretsiz izin","Ü"),1)))</f>
        <v/>
      </c>
      <c r="K36" s="20" t="str">
        <f aca="false">IF(OR($B36="",K$5=""),"",IF(SUMPRODUCT(MAX((İzinler!$A$5:$A$504=$B36)*(İzinler!$C$5:$C$504&lt;=K$5)*(İzinler!$D$5:$D$504&gt;=K$5)*ROW(İzinler!$A$5:$A$504)))=0,"",LEFT(SUBSTITUTE(SUBSTITUTE(INDEX(İzinler!$B$1:$B$504,SUMPRODUCT(MAX((İzinler!$A$5:$A$504=$B36)*(İzinler!$C$5:$C$504&lt;=K$5)*(İzinler!$D$5:$D$504&gt;=K$5)*ROW(İzinler!$A$5:$A$504)))),"Yıllık izin","İ"),"Ücretsiz izin","Ü"),1)))</f>
        <v/>
      </c>
      <c r="L36" s="20" t="str">
        <f aca="false">IF(OR($B36="",L$5=""),"",IF(SUMPRODUCT(MAX((İzinler!$A$5:$A$504=$B36)*(İzinler!$C$5:$C$504&lt;=L$5)*(İzinler!$D$5:$D$504&gt;=L$5)*ROW(İzinler!$A$5:$A$504)))=0,"",LEFT(SUBSTITUTE(SUBSTITUTE(INDEX(İzinler!$B$1:$B$504,SUMPRODUCT(MAX((İzinler!$A$5:$A$504=$B36)*(İzinler!$C$5:$C$504&lt;=L$5)*(İzinler!$D$5:$D$504&gt;=L$5)*ROW(İzinler!$A$5:$A$504)))),"Yıllık izin","İ"),"Ücretsiz izin","Ü"),1)))</f>
        <v/>
      </c>
      <c r="M36" s="20" t="str">
        <f aca="false">IF(OR($B36="",M$5=""),"",IF(SUMPRODUCT(MAX((İzinler!$A$5:$A$504=$B36)*(İzinler!$C$5:$C$504&lt;=M$5)*(İzinler!$D$5:$D$504&gt;=M$5)*ROW(İzinler!$A$5:$A$504)))=0,"",LEFT(SUBSTITUTE(SUBSTITUTE(INDEX(İzinler!$B$1:$B$504,SUMPRODUCT(MAX((İzinler!$A$5:$A$504=$B36)*(İzinler!$C$5:$C$504&lt;=M$5)*(İzinler!$D$5:$D$504&gt;=M$5)*ROW(İzinler!$A$5:$A$504)))),"Yıllık izin","İ"),"Ücretsiz izin","Ü"),1)))</f>
        <v/>
      </c>
      <c r="N36" s="20" t="str">
        <f aca="false">IF(OR($B36="",N$5=""),"",IF(SUMPRODUCT(MAX((İzinler!$A$5:$A$504=$B36)*(İzinler!$C$5:$C$504&lt;=N$5)*(İzinler!$D$5:$D$504&gt;=N$5)*ROW(İzinler!$A$5:$A$504)))=0,"",LEFT(SUBSTITUTE(SUBSTITUTE(INDEX(İzinler!$B$1:$B$504,SUMPRODUCT(MAX((İzinler!$A$5:$A$504=$B36)*(İzinler!$C$5:$C$504&lt;=N$5)*(İzinler!$D$5:$D$504&gt;=N$5)*ROW(İzinler!$A$5:$A$504)))),"Yıllık izin","İ"),"Ücretsiz izin","Ü"),1)))</f>
        <v/>
      </c>
      <c r="O36" s="20" t="str">
        <f aca="false">IF(OR($B36="",O$5=""),"",IF(SUMPRODUCT(MAX((İzinler!$A$5:$A$504=$B36)*(İzinler!$C$5:$C$504&lt;=O$5)*(İzinler!$D$5:$D$504&gt;=O$5)*ROW(İzinler!$A$5:$A$504)))=0,"",LEFT(SUBSTITUTE(SUBSTITUTE(INDEX(İzinler!$B$1:$B$504,SUMPRODUCT(MAX((İzinler!$A$5:$A$504=$B36)*(İzinler!$C$5:$C$504&lt;=O$5)*(İzinler!$D$5:$D$504&gt;=O$5)*ROW(İzinler!$A$5:$A$504)))),"Yıllık izin","İ"),"Ücretsiz izin","Ü"),1)))</f>
        <v/>
      </c>
      <c r="P36" s="20" t="str">
        <f aca="false">IF(OR($B36="",P$5=""),"",IF(SUMPRODUCT(MAX((İzinler!$A$5:$A$504=$B36)*(İzinler!$C$5:$C$504&lt;=P$5)*(İzinler!$D$5:$D$504&gt;=P$5)*ROW(İzinler!$A$5:$A$504)))=0,"",LEFT(SUBSTITUTE(SUBSTITUTE(INDEX(İzinler!$B$1:$B$504,SUMPRODUCT(MAX((İzinler!$A$5:$A$504=$B36)*(İzinler!$C$5:$C$504&lt;=P$5)*(İzinler!$D$5:$D$504&gt;=P$5)*ROW(İzinler!$A$5:$A$504)))),"Yıllık izin","İ"),"Ücretsiz izin","Ü"),1)))</f>
        <v/>
      </c>
      <c r="Q36" s="20" t="str">
        <f aca="false">IF(OR($B36="",Q$5=""),"",IF(SUMPRODUCT(MAX((İzinler!$A$5:$A$504=$B36)*(İzinler!$C$5:$C$504&lt;=Q$5)*(İzinler!$D$5:$D$504&gt;=Q$5)*ROW(İzinler!$A$5:$A$504)))=0,"",LEFT(SUBSTITUTE(SUBSTITUTE(INDEX(İzinler!$B$1:$B$504,SUMPRODUCT(MAX((İzinler!$A$5:$A$504=$B36)*(İzinler!$C$5:$C$504&lt;=Q$5)*(İzinler!$D$5:$D$504&gt;=Q$5)*ROW(İzinler!$A$5:$A$504)))),"Yıllık izin","İ"),"Ücretsiz izin","Ü"),1)))</f>
        <v/>
      </c>
      <c r="R36" s="20" t="str">
        <f aca="false">IF(OR($B36="",R$5=""),"",IF(SUMPRODUCT(MAX((İzinler!$A$5:$A$504=$B36)*(İzinler!$C$5:$C$504&lt;=R$5)*(İzinler!$D$5:$D$504&gt;=R$5)*ROW(İzinler!$A$5:$A$504)))=0,"",LEFT(SUBSTITUTE(SUBSTITUTE(INDEX(İzinler!$B$1:$B$504,SUMPRODUCT(MAX((İzinler!$A$5:$A$504=$B36)*(İzinler!$C$5:$C$504&lt;=R$5)*(İzinler!$D$5:$D$504&gt;=R$5)*ROW(İzinler!$A$5:$A$504)))),"Yıllık izin","İ"),"Ücretsiz izin","Ü"),1)))</f>
        <v/>
      </c>
      <c r="S36" s="20" t="str">
        <f aca="false">IF(OR($B36="",S$5=""),"",IF(SUMPRODUCT(MAX((İzinler!$A$5:$A$504=$B36)*(İzinler!$C$5:$C$504&lt;=S$5)*(İzinler!$D$5:$D$504&gt;=S$5)*ROW(İzinler!$A$5:$A$504)))=0,"",LEFT(SUBSTITUTE(SUBSTITUTE(INDEX(İzinler!$B$1:$B$504,SUMPRODUCT(MAX((İzinler!$A$5:$A$504=$B36)*(İzinler!$C$5:$C$504&lt;=S$5)*(İzinler!$D$5:$D$504&gt;=S$5)*ROW(İzinler!$A$5:$A$504)))),"Yıllık izin","İ"),"Ücretsiz izin","Ü"),1)))</f>
        <v/>
      </c>
      <c r="T36" s="20" t="str">
        <f aca="false">IF(OR($B36="",T$5=""),"",IF(SUMPRODUCT(MAX((İzinler!$A$5:$A$504=$B36)*(İzinler!$C$5:$C$504&lt;=T$5)*(İzinler!$D$5:$D$504&gt;=T$5)*ROW(İzinler!$A$5:$A$504)))=0,"",LEFT(SUBSTITUTE(SUBSTITUTE(INDEX(İzinler!$B$1:$B$504,SUMPRODUCT(MAX((İzinler!$A$5:$A$504=$B36)*(İzinler!$C$5:$C$504&lt;=T$5)*(İzinler!$D$5:$D$504&gt;=T$5)*ROW(İzinler!$A$5:$A$504)))),"Yıllık izin","İ"),"Ücretsiz izin","Ü"),1)))</f>
        <v/>
      </c>
      <c r="U36" s="20" t="str">
        <f aca="false">IF(OR($B36="",U$5=""),"",IF(SUMPRODUCT(MAX((İzinler!$A$5:$A$504=$B36)*(İzinler!$C$5:$C$504&lt;=U$5)*(İzinler!$D$5:$D$504&gt;=U$5)*ROW(İzinler!$A$5:$A$504)))=0,"",LEFT(SUBSTITUTE(SUBSTITUTE(INDEX(İzinler!$B$1:$B$504,SUMPRODUCT(MAX((İzinler!$A$5:$A$504=$B36)*(İzinler!$C$5:$C$504&lt;=U$5)*(İzinler!$D$5:$D$504&gt;=U$5)*ROW(İzinler!$A$5:$A$504)))),"Yıllık izin","İ"),"Ücretsiz izin","Ü"),1)))</f>
        <v/>
      </c>
      <c r="V36" s="20" t="str">
        <f aca="false">IF(OR($B36="",V$5=""),"",IF(SUMPRODUCT(MAX((İzinler!$A$5:$A$504=$B36)*(İzinler!$C$5:$C$504&lt;=V$5)*(İzinler!$D$5:$D$504&gt;=V$5)*ROW(İzinler!$A$5:$A$504)))=0,"",LEFT(SUBSTITUTE(SUBSTITUTE(INDEX(İzinler!$B$1:$B$504,SUMPRODUCT(MAX((İzinler!$A$5:$A$504=$B36)*(İzinler!$C$5:$C$504&lt;=V$5)*(İzinler!$D$5:$D$504&gt;=V$5)*ROW(İzinler!$A$5:$A$504)))),"Yıllık izin","İ"),"Ücretsiz izin","Ü"),1)))</f>
        <v/>
      </c>
      <c r="W36" s="20" t="str">
        <f aca="false">IF(OR($B36="",W$5=""),"",IF(SUMPRODUCT(MAX((İzinler!$A$5:$A$504=$B36)*(İzinler!$C$5:$C$504&lt;=W$5)*(İzinler!$D$5:$D$504&gt;=W$5)*ROW(İzinler!$A$5:$A$504)))=0,"",LEFT(SUBSTITUTE(SUBSTITUTE(INDEX(İzinler!$B$1:$B$504,SUMPRODUCT(MAX((İzinler!$A$5:$A$504=$B36)*(İzinler!$C$5:$C$504&lt;=W$5)*(İzinler!$D$5:$D$504&gt;=W$5)*ROW(İzinler!$A$5:$A$504)))),"Yıllık izin","İ"),"Ücretsiz izin","Ü"),1)))</f>
        <v/>
      </c>
      <c r="X36" s="20" t="str">
        <f aca="false">IF(OR($B36="",X$5=""),"",IF(SUMPRODUCT(MAX((İzinler!$A$5:$A$504=$B36)*(İzinler!$C$5:$C$504&lt;=X$5)*(İzinler!$D$5:$D$504&gt;=X$5)*ROW(İzinler!$A$5:$A$504)))=0,"",LEFT(SUBSTITUTE(SUBSTITUTE(INDEX(İzinler!$B$1:$B$504,SUMPRODUCT(MAX((İzinler!$A$5:$A$504=$B36)*(İzinler!$C$5:$C$504&lt;=X$5)*(İzinler!$D$5:$D$504&gt;=X$5)*ROW(İzinler!$A$5:$A$504)))),"Yıllık izin","İ"),"Ücretsiz izin","Ü"),1)))</f>
        <v/>
      </c>
      <c r="Y36" s="20" t="str">
        <f aca="false">IF(OR($B36="",Y$5=""),"",IF(SUMPRODUCT(MAX((İzinler!$A$5:$A$504=$B36)*(İzinler!$C$5:$C$504&lt;=Y$5)*(İzinler!$D$5:$D$504&gt;=Y$5)*ROW(İzinler!$A$5:$A$504)))=0,"",LEFT(SUBSTITUTE(SUBSTITUTE(INDEX(İzinler!$B$1:$B$504,SUMPRODUCT(MAX((İzinler!$A$5:$A$504=$B36)*(İzinler!$C$5:$C$504&lt;=Y$5)*(İzinler!$D$5:$D$504&gt;=Y$5)*ROW(İzinler!$A$5:$A$504)))),"Yıllık izin","İ"),"Ücretsiz izin","Ü"),1)))</f>
        <v/>
      </c>
      <c r="Z36" s="20" t="str">
        <f aca="false">IF(OR($B36="",Z$5=""),"",IF(SUMPRODUCT(MAX((İzinler!$A$5:$A$504=$B36)*(İzinler!$C$5:$C$504&lt;=Z$5)*(İzinler!$D$5:$D$504&gt;=Z$5)*ROW(İzinler!$A$5:$A$504)))=0,"",LEFT(SUBSTITUTE(SUBSTITUTE(INDEX(İzinler!$B$1:$B$504,SUMPRODUCT(MAX((İzinler!$A$5:$A$504=$B36)*(İzinler!$C$5:$C$504&lt;=Z$5)*(İzinler!$D$5:$D$504&gt;=Z$5)*ROW(İzinler!$A$5:$A$504)))),"Yıllık izin","İ"),"Ücretsiz izin","Ü"),1)))</f>
        <v/>
      </c>
      <c r="AA36" s="20" t="str">
        <f aca="false">IF(OR($B36="",AA$5=""),"",IF(SUMPRODUCT(MAX((İzinler!$A$5:$A$504=$B36)*(İzinler!$C$5:$C$504&lt;=AA$5)*(İzinler!$D$5:$D$504&gt;=AA$5)*ROW(İzinler!$A$5:$A$504)))=0,"",LEFT(SUBSTITUTE(SUBSTITUTE(INDEX(İzinler!$B$1:$B$504,SUMPRODUCT(MAX((İzinler!$A$5:$A$504=$B36)*(İzinler!$C$5:$C$504&lt;=AA$5)*(İzinler!$D$5:$D$504&gt;=AA$5)*ROW(İzinler!$A$5:$A$504)))),"Yıllık izin","İ"),"Ücretsiz izin","Ü"),1)))</f>
        <v/>
      </c>
      <c r="AB36" s="20" t="str">
        <f aca="false">IF(OR($B36="",AB$5=""),"",IF(SUMPRODUCT(MAX((İzinler!$A$5:$A$504=$B36)*(İzinler!$C$5:$C$504&lt;=AB$5)*(İzinler!$D$5:$D$504&gt;=AB$5)*ROW(İzinler!$A$5:$A$504)))=0,"",LEFT(SUBSTITUTE(SUBSTITUTE(INDEX(İzinler!$B$1:$B$504,SUMPRODUCT(MAX((İzinler!$A$5:$A$504=$B36)*(İzinler!$C$5:$C$504&lt;=AB$5)*(İzinler!$D$5:$D$504&gt;=AB$5)*ROW(İzinler!$A$5:$A$504)))),"Yıllık izin","İ"),"Ücretsiz izin","Ü"),1)))</f>
        <v/>
      </c>
      <c r="AC36" s="20" t="str">
        <f aca="false">IF(OR($B36="",AC$5=""),"",IF(SUMPRODUCT(MAX((İzinler!$A$5:$A$504=$B36)*(İzinler!$C$5:$C$504&lt;=AC$5)*(İzinler!$D$5:$D$504&gt;=AC$5)*ROW(İzinler!$A$5:$A$504)))=0,"",LEFT(SUBSTITUTE(SUBSTITUTE(INDEX(İzinler!$B$1:$B$504,SUMPRODUCT(MAX((İzinler!$A$5:$A$504=$B36)*(İzinler!$C$5:$C$504&lt;=AC$5)*(İzinler!$D$5:$D$504&gt;=AC$5)*ROW(İzinler!$A$5:$A$504)))),"Yıllık izin","İ"),"Ücretsiz izin","Ü"),1)))</f>
        <v/>
      </c>
      <c r="AD36" s="20" t="str">
        <f aca="false">IF(OR($B36="",AD$5=""),"",IF(SUMPRODUCT(MAX((İzinler!$A$5:$A$504=$B36)*(İzinler!$C$5:$C$504&lt;=AD$5)*(İzinler!$D$5:$D$504&gt;=AD$5)*ROW(İzinler!$A$5:$A$504)))=0,"",LEFT(SUBSTITUTE(SUBSTITUTE(INDEX(İzinler!$B$1:$B$504,SUMPRODUCT(MAX((İzinler!$A$5:$A$504=$B36)*(İzinler!$C$5:$C$504&lt;=AD$5)*(İzinler!$D$5:$D$504&gt;=AD$5)*ROW(İzinler!$A$5:$A$504)))),"Yıllık izin","İ"),"Ücretsiz izin","Ü"),1)))</f>
        <v/>
      </c>
      <c r="AE36" s="20" t="str">
        <f aca="false">IF(OR($B36="",AE$5=""),"",IF(SUMPRODUCT(MAX((İzinler!$A$5:$A$504=$B36)*(İzinler!$C$5:$C$504&lt;=AE$5)*(İzinler!$D$5:$D$504&gt;=AE$5)*ROW(İzinler!$A$5:$A$504)))=0,"",LEFT(SUBSTITUTE(SUBSTITUTE(INDEX(İzinler!$B$1:$B$504,SUMPRODUCT(MAX((İzinler!$A$5:$A$504=$B36)*(İzinler!$C$5:$C$504&lt;=AE$5)*(İzinler!$D$5:$D$504&gt;=AE$5)*ROW(İzinler!$A$5:$A$504)))),"Yıllık izin","İ"),"Ücretsiz izin","Ü"),1)))</f>
        <v/>
      </c>
      <c r="AF36" s="20" t="str">
        <f aca="false">IF(OR($B36="",AF$5=""),"",IF(SUMPRODUCT(MAX((İzinler!$A$5:$A$504=$B36)*(İzinler!$C$5:$C$504&lt;=AF$5)*(İzinler!$D$5:$D$504&gt;=AF$5)*ROW(İzinler!$A$5:$A$504)))=0,"",LEFT(SUBSTITUTE(SUBSTITUTE(INDEX(İzinler!$B$1:$B$504,SUMPRODUCT(MAX((İzinler!$A$5:$A$504=$B36)*(İzinler!$C$5:$C$504&lt;=AF$5)*(İzinler!$D$5:$D$504&gt;=AF$5)*ROW(İzinler!$A$5:$A$504)))),"Yıllık izin","İ"),"Ücretsiz izin","Ü"),1)))</f>
        <v/>
      </c>
      <c r="AG36" s="20" t="str">
        <f aca="false">IF(OR($B36="",AG$5=""),"",IF(SUMPRODUCT(MAX((İzinler!$A$5:$A$504=$B36)*(İzinler!$C$5:$C$504&lt;=AG$5)*(İzinler!$D$5:$D$504&gt;=AG$5)*ROW(İzinler!$A$5:$A$504)))=0,"",LEFT(SUBSTITUTE(SUBSTITUTE(INDEX(İzinler!$B$1:$B$504,SUMPRODUCT(MAX((İzinler!$A$5:$A$504=$B36)*(İzinler!$C$5:$C$504&lt;=AG$5)*(İzinler!$D$5:$D$504&gt;=AG$5)*ROW(İzinler!$A$5:$A$504)))),"Yıllık izin","İ"),"Ücretsiz izin","Ü"),1)))</f>
        <v/>
      </c>
      <c r="AH36" s="21" t="str">
        <f aca="false">IF(B36="","",COUNTIF(C36:AG36,"?"))</f>
        <v/>
      </c>
    </row>
    <row r="37" customFormat="false" ht="15" hidden="false" customHeight="false" outlineLevel="0" collapsed="false">
      <c r="B37" s="16" t="str">
        <f aca="false">IF(Personel!A36="","",Personel!A36)</f>
        <v/>
      </c>
      <c r="C37" s="20" t="str">
        <f aca="false">IF(OR($B37="",C$5=""),"",IF(SUMPRODUCT(MAX((İzinler!$A$5:$A$504=$B37)*(İzinler!$C$5:$C$504&lt;=C$5)*(İzinler!$D$5:$D$504&gt;=C$5)*ROW(İzinler!$A$5:$A$504)))=0,"",LEFT(SUBSTITUTE(SUBSTITUTE(INDEX(İzinler!$B$1:$B$504,SUMPRODUCT(MAX((İzinler!$A$5:$A$504=$B37)*(İzinler!$C$5:$C$504&lt;=C$5)*(İzinler!$D$5:$D$504&gt;=C$5)*ROW(İzinler!$A$5:$A$504)))),"Yıllık izin","İ"),"Ücretsiz izin","Ü"),1)))</f>
        <v/>
      </c>
      <c r="D37" s="20" t="str">
        <f aca="false">IF(OR($B37="",D$5=""),"",IF(SUMPRODUCT(MAX((İzinler!$A$5:$A$504=$B37)*(İzinler!$C$5:$C$504&lt;=D$5)*(İzinler!$D$5:$D$504&gt;=D$5)*ROW(İzinler!$A$5:$A$504)))=0,"",LEFT(SUBSTITUTE(SUBSTITUTE(INDEX(İzinler!$B$1:$B$504,SUMPRODUCT(MAX((İzinler!$A$5:$A$504=$B37)*(İzinler!$C$5:$C$504&lt;=D$5)*(İzinler!$D$5:$D$504&gt;=D$5)*ROW(İzinler!$A$5:$A$504)))),"Yıllık izin","İ"),"Ücretsiz izin","Ü"),1)))</f>
        <v/>
      </c>
      <c r="E37" s="20" t="str">
        <f aca="false">IF(OR($B37="",E$5=""),"",IF(SUMPRODUCT(MAX((İzinler!$A$5:$A$504=$B37)*(İzinler!$C$5:$C$504&lt;=E$5)*(İzinler!$D$5:$D$504&gt;=E$5)*ROW(İzinler!$A$5:$A$504)))=0,"",LEFT(SUBSTITUTE(SUBSTITUTE(INDEX(İzinler!$B$1:$B$504,SUMPRODUCT(MAX((İzinler!$A$5:$A$504=$B37)*(İzinler!$C$5:$C$504&lt;=E$5)*(İzinler!$D$5:$D$504&gt;=E$5)*ROW(İzinler!$A$5:$A$504)))),"Yıllık izin","İ"),"Ücretsiz izin","Ü"),1)))</f>
        <v/>
      </c>
      <c r="F37" s="20" t="str">
        <f aca="false">IF(OR($B37="",F$5=""),"",IF(SUMPRODUCT(MAX((İzinler!$A$5:$A$504=$B37)*(İzinler!$C$5:$C$504&lt;=F$5)*(İzinler!$D$5:$D$504&gt;=F$5)*ROW(İzinler!$A$5:$A$504)))=0,"",LEFT(SUBSTITUTE(SUBSTITUTE(INDEX(İzinler!$B$1:$B$504,SUMPRODUCT(MAX((İzinler!$A$5:$A$504=$B37)*(İzinler!$C$5:$C$504&lt;=F$5)*(İzinler!$D$5:$D$504&gt;=F$5)*ROW(İzinler!$A$5:$A$504)))),"Yıllık izin","İ"),"Ücretsiz izin","Ü"),1)))</f>
        <v/>
      </c>
      <c r="G37" s="20" t="str">
        <f aca="false">IF(OR($B37="",G$5=""),"",IF(SUMPRODUCT(MAX((İzinler!$A$5:$A$504=$B37)*(İzinler!$C$5:$C$504&lt;=G$5)*(İzinler!$D$5:$D$504&gt;=G$5)*ROW(İzinler!$A$5:$A$504)))=0,"",LEFT(SUBSTITUTE(SUBSTITUTE(INDEX(İzinler!$B$1:$B$504,SUMPRODUCT(MAX((İzinler!$A$5:$A$504=$B37)*(İzinler!$C$5:$C$504&lt;=G$5)*(İzinler!$D$5:$D$504&gt;=G$5)*ROW(İzinler!$A$5:$A$504)))),"Yıllık izin","İ"),"Ücretsiz izin","Ü"),1)))</f>
        <v/>
      </c>
      <c r="H37" s="20" t="str">
        <f aca="false">IF(OR($B37="",H$5=""),"",IF(SUMPRODUCT(MAX((İzinler!$A$5:$A$504=$B37)*(İzinler!$C$5:$C$504&lt;=H$5)*(İzinler!$D$5:$D$504&gt;=H$5)*ROW(İzinler!$A$5:$A$504)))=0,"",LEFT(SUBSTITUTE(SUBSTITUTE(INDEX(İzinler!$B$1:$B$504,SUMPRODUCT(MAX((İzinler!$A$5:$A$504=$B37)*(İzinler!$C$5:$C$504&lt;=H$5)*(İzinler!$D$5:$D$504&gt;=H$5)*ROW(İzinler!$A$5:$A$504)))),"Yıllık izin","İ"),"Ücretsiz izin","Ü"),1)))</f>
        <v/>
      </c>
      <c r="I37" s="20" t="str">
        <f aca="false">IF(OR($B37="",I$5=""),"",IF(SUMPRODUCT(MAX((İzinler!$A$5:$A$504=$B37)*(İzinler!$C$5:$C$504&lt;=I$5)*(İzinler!$D$5:$D$504&gt;=I$5)*ROW(İzinler!$A$5:$A$504)))=0,"",LEFT(SUBSTITUTE(SUBSTITUTE(INDEX(İzinler!$B$1:$B$504,SUMPRODUCT(MAX((İzinler!$A$5:$A$504=$B37)*(İzinler!$C$5:$C$504&lt;=I$5)*(İzinler!$D$5:$D$504&gt;=I$5)*ROW(İzinler!$A$5:$A$504)))),"Yıllık izin","İ"),"Ücretsiz izin","Ü"),1)))</f>
        <v/>
      </c>
      <c r="J37" s="20" t="str">
        <f aca="false">IF(OR($B37="",J$5=""),"",IF(SUMPRODUCT(MAX((İzinler!$A$5:$A$504=$B37)*(İzinler!$C$5:$C$504&lt;=J$5)*(İzinler!$D$5:$D$504&gt;=J$5)*ROW(İzinler!$A$5:$A$504)))=0,"",LEFT(SUBSTITUTE(SUBSTITUTE(INDEX(İzinler!$B$1:$B$504,SUMPRODUCT(MAX((İzinler!$A$5:$A$504=$B37)*(İzinler!$C$5:$C$504&lt;=J$5)*(İzinler!$D$5:$D$504&gt;=J$5)*ROW(İzinler!$A$5:$A$504)))),"Yıllık izin","İ"),"Ücretsiz izin","Ü"),1)))</f>
        <v/>
      </c>
      <c r="K37" s="20" t="str">
        <f aca="false">IF(OR($B37="",K$5=""),"",IF(SUMPRODUCT(MAX((İzinler!$A$5:$A$504=$B37)*(İzinler!$C$5:$C$504&lt;=K$5)*(İzinler!$D$5:$D$504&gt;=K$5)*ROW(İzinler!$A$5:$A$504)))=0,"",LEFT(SUBSTITUTE(SUBSTITUTE(INDEX(İzinler!$B$1:$B$504,SUMPRODUCT(MAX((İzinler!$A$5:$A$504=$B37)*(İzinler!$C$5:$C$504&lt;=K$5)*(İzinler!$D$5:$D$504&gt;=K$5)*ROW(İzinler!$A$5:$A$504)))),"Yıllık izin","İ"),"Ücretsiz izin","Ü"),1)))</f>
        <v/>
      </c>
      <c r="L37" s="20" t="str">
        <f aca="false">IF(OR($B37="",L$5=""),"",IF(SUMPRODUCT(MAX((İzinler!$A$5:$A$504=$B37)*(İzinler!$C$5:$C$504&lt;=L$5)*(İzinler!$D$5:$D$504&gt;=L$5)*ROW(İzinler!$A$5:$A$504)))=0,"",LEFT(SUBSTITUTE(SUBSTITUTE(INDEX(İzinler!$B$1:$B$504,SUMPRODUCT(MAX((İzinler!$A$5:$A$504=$B37)*(İzinler!$C$5:$C$504&lt;=L$5)*(İzinler!$D$5:$D$504&gt;=L$5)*ROW(İzinler!$A$5:$A$504)))),"Yıllık izin","İ"),"Ücretsiz izin","Ü"),1)))</f>
        <v/>
      </c>
      <c r="M37" s="20" t="str">
        <f aca="false">IF(OR($B37="",M$5=""),"",IF(SUMPRODUCT(MAX((İzinler!$A$5:$A$504=$B37)*(İzinler!$C$5:$C$504&lt;=M$5)*(İzinler!$D$5:$D$504&gt;=M$5)*ROW(İzinler!$A$5:$A$504)))=0,"",LEFT(SUBSTITUTE(SUBSTITUTE(INDEX(İzinler!$B$1:$B$504,SUMPRODUCT(MAX((İzinler!$A$5:$A$504=$B37)*(İzinler!$C$5:$C$504&lt;=M$5)*(İzinler!$D$5:$D$504&gt;=M$5)*ROW(İzinler!$A$5:$A$504)))),"Yıllık izin","İ"),"Ücretsiz izin","Ü"),1)))</f>
        <v/>
      </c>
      <c r="N37" s="20" t="str">
        <f aca="false">IF(OR($B37="",N$5=""),"",IF(SUMPRODUCT(MAX((İzinler!$A$5:$A$504=$B37)*(İzinler!$C$5:$C$504&lt;=N$5)*(İzinler!$D$5:$D$504&gt;=N$5)*ROW(İzinler!$A$5:$A$504)))=0,"",LEFT(SUBSTITUTE(SUBSTITUTE(INDEX(İzinler!$B$1:$B$504,SUMPRODUCT(MAX((İzinler!$A$5:$A$504=$B37)*(İzinler!$C$5:$C$504&lt;=N$5)*(İzinler!$D$5:$D$504&gt;=N$5)*ROW(İzinler!$A$5:$A$504)))),"Yıllık izin","İ"),"Ücretsiz izin","Ü"),1)))</f>
        <v/>
      </c>
      <c r="O37" s="20" t="str">
        <f aca="false">IF(OR($B37="",O$5=""),"",IF(SUMPRODUCT(MAX((İzinler!$A$5:$A$504=$B37)*(İzinler!$C$5:$C$504&lt;=O$5)*(İzinler!$D$5:$D$504&gt;=O$5)*ROW(İzinler!$A$5:$A$504)))=0,"",LEFT(SUBSTITUTE(SUBSTITUTE(INDEX(İzinler!$B$1:$B$504,SUMPRODUCT(MAX((İzinler!$A$5:$A$504=$B37)*(İzinler!$C$5:$C$504&lt;=O$5)*(İzinler!$D$5:$D$504&gt;=O$5)*ROW(İzinler!$A$5:$A$504)))),"Yıllık izin","İ"),"Ücretsiz izin","Ü"),1)))</f>
        <v/>
      </c>
      <c r="P37" s="20" t="str">
        <f aca="false">IF(OR($B37="",P$5=""),"",IF(SUMPRODUCT(MAX((İzinler!$A$5:$A$504=$B37)*(İzinler!$C$5:$C$504&lt;=P$5)*(İzinler!$D$5:$D$504&gt;=P$5)*ROW(İzinler!$A$5:$A$504)))=0,"",LEFT(SUBSTITUTE(SUBSTITUTE(INDEX(İzinler!$B$1:$B$504,SUMPRODUCT(MAX((İzinler!$A$5:$A$504=$B37)*(İzinler!$C$5:$C$504&lt;=P$5)*(İzinler!$D$5:$D$504&gt;=P$5)*ROW(İzinler!$A$5:$A$504)))),"Yıllık izin","İ"),"Ücretsiz izin","Ü"),1)))</f>
        <v/>
      </c>
      <c r="Q37" s="20" t="str">
        <f aca="false">IF(OR($B37="",Q$5=""),"",IF(SUMPRODUCT(MAX((İzinler!$A$5:$A$504=$B37)*(İzinler!$C$5:$C$504&lt;=Q$5)*(İzinler!$D$5:$D$504&gt;=Q$5)*ROW(İzinler!$A$5:$A$504)))=0,"",LEFT(SUBSTITUTE(SUBSTITUTE(INDEX(İzinler!$B$1:$B$504,SUMPRODUCT(MAX((İzinler!$A$5:$A$504=$B37)*(İzinler!$C$5:$C$504&lt;=Q$5)*(İzinler!$D$5:$D$504&gt;=Q$5)*ROW(İzinler!$A$5:$A$504)))),"Yıllık izin","İ"),"Ücretsiz izin","Ü"),1)))</f>
        <v/>
      </c>
      <c r="R37" s="20" t="str">
        <f aca="false">IF(OR($B37="",R$5=""),"",IF(SUMPRODUCT(MAX((İzinler!$A$5:$A$504=$B37)*(İzinler!$C$5:$C$504&lt;=R$5)*(İzinler!$D$5:$D$504&gt;=R$5)*ROW(İzinler!$A$5:$A$504)))=0,"",LEFT(SUBSTITUTE(SUBSTITUTE(INDEX(İzinler!$B$1:$B$504,SUMPRODUCT(MAX((İzinler!$A$5:$A$504=$B37)*(İzinler!$C$5:$C$504&lt;=R$5)*(İzinler!$D$5:$D$504&gt;=R$5)*ROW(İzinler!$A$5:$A$504)))),"Yıllık izin","İ"),"Ücretsiz izin","Ü"),1)))</f>
        <v/>
      </c>
      <c r="S37" s="20" t="str">
        <f aca="false">IF(OR($B37="",S$5=""),"",IF(SUMPRODUCT(MAX((İzinler!$A$5:$A$504=$B37)*(İzinler!$C$5:$C$504&lt;=S$5)*(İzinler!$D$5:$D$504&gt;=S$5)*ROW(İzinler!$A$5:$A$504)))=0,"",LEFT(SUBSTITUTE(SUBSTITUTE(INDEX(İzinler!$B$1:$B$504,SUMPRODUCT(MAX((İzinler!$A$5:$A$504=$B37)*(İzinler!$C$5:$C$504&lt;=S$5)*(İzinler!$D$5:$D$504&gt;=S$5)*ROW(İzinler!$A$5:$A$504)))),"Yıllık izin","İ"),"Ücretsiz izin","Ü"),1)))</f>
        <v/>
      </c>
      <c r="T37" s="20" t="str">
        <f aca="false">IF(OR($B37="",T$5=""),"",IF(SUMPRODUCT(MAX((İzinler!$A$5:$A$504=$B37)*(İzinler!$C$5:$C$504&lt;=T$5)*(İzinler!$D$5:$D$504&gt;=T$5)*ROW(İzinler!$A$5:$A$504)))=0,"",LEFT(SUBSTITUTE(SUBSTITUTE(INDEX(İzinler!$B$1:$B$504,SUMPRODUCT(MAX((İzinler!$A$5:$A$504=$B37)*(İzinler!$C$5:$C$504&lt;=T$5)*(İzinler!$D$5:$D$504&gt;=T$5)*ROW(İzinler!$A$5:$A$504)))),"Yıllık izin","İ"),"Ücretsiz izin","Ü"),1)))</f>
        <v/>
      </c>
      <c r="U37" s="20" t="str">
        <f aca="false">IF(OR($B37="",U$5=""),"",IF(SUMPRODUCT(MAX((İzinler!$A$5:$A$504=$B37)*(İzinler!$C$5:$C$504&lt;=U$5)*(İzinler!$D$5:$D$504&gt;=U$5)*ROW(İzinler!$A$5:$A$504)))=0,"",LEFT(SUBSTITUTE(SUBSTITUTE(INDEX(İzinler!$B$1:$B$504,SUMPRODUCT(MAX((İzinler!$A$5:$A$504=$B37)*(İzinler!$C$5:$C$504&lt;=U$5)*(İzinler!$D$5:$D$504&gt;=U$5)*ROW(İzinler!$A$5:$A$504)))),"Yıllık izin","İ"),"Ücretsiz izin","Ü"),1)))</f>
        <v/>
      </c>
      <c r="V37" s="20" t="str">
        <f aca="false">IF(OR($B37="",V$5=""),"",IF(SUMPRODUCT(MAX((İzinler!$A$5:$A$504=$B37)*(İzinler!$C$5:$C$504&lt;=V$5)*(İzinler!$D$5:$D$504&gt;=V$5)*ROW(İzinler!$A$5:$A$504)))=0,"",LEFT(SUBSTITUTE(SUBSTITUTE(INDEX(İzinler!$B$1:$B$504,SUMPRODUCT(MAX((İzinler!$A$5:$A$504=$B37)*(İzinler!$C$5:$C$504&lt;=V$5)*(İzinler!$D$5:$D$504&gt;=V$5)*ROW(İzinler!$A$5:$A$504)))),"Yıllık izin","İ"),"Ücretsiz izin","Ü"),1)))</f>
        <v/>
      </c>
      <c r="W37" s="20" t="str">
        <f aca="false">IF(OR($B37="",W$5=""),"",IF(SUMPRODUCT(MAX((İzinler!$A$5:$A$504=$B37)*(İzinler!$C$5:$C$504&lt;=W$5)*(İzinler!$D$5:$D$504&gt;=W$5)*ROW(İzinler!$A$5:$A$504)))=0,"",LEFT(SUBSTITUTE(SUBSTITUTE(INDEX(İzinler!$B$1:$B$504,SUMPRODUCT(MAX((İzinler!$A$5:$A$504=$B37)*(İzinler!$C$5:$C$504&lt;=W$5)*(İzinler!$D$5:$D$504&gt;=W$5)*ROW(İzinler!$A$5:$A$504)))),"Yıllık izin","İ"),"Ücretsiz izin","Ü"),1)))</f>
        <v/>
      </c>
      <c r="X37" s="20" t="str">
        <f aca="false">IF(OR($B37="",X$5=""),"",IF(SUMPRODUCT(MAX((İzinler!$A$5:$A$504=$B37)*(İzinler!$C$5:$C$504&lt;=X$5)*(İzinler!$D$5:$D$504&gt;=X$5)*ROW(İzinler!$A$5:$A$504)))=0,"",LEFT(SUBSTITUTE(SUBSTITUTE(INDEX(İzinler!$B$1:$B$504,SUMPRODUCT(MAX((İzinler!$A$5:$A$504=$B37)*(İzinler!$C$5:$C$504&lt;=X$5)*(İzinler!$D$5:$D$504&gt;=X$5)*ROW(İzinler!$A$5:$A$504)))),"Yıllık izin","İ"),"Ücretsiz izin","Ü"),1)))</f>
        <v/>
      </c>
      <c r="Y37" s="20" t="str">
        <f aca="false">IF(OR($B37="",Y$5=""),"",IF(SUMPRODUCT(MAX((İzinler!$A$5:$A$504=$B37)*(İzinler!$C$5:$C$504&lt;=Y$5)*(İzinler!$D$5:$D$504&gt;=Y$5)*ROW(İzinler!$A$5:$A$504)))=0,"",LEFT(SUBSTITUTE(SUBSTITUTE(INDEX(İzinler!$B$1:$B$504,SUMPRODUCT(MAX((İzinler!$A$5:$A$504=$B37)*(İzinler!$C$5:$C$504&lt;=Y$5)*(İzinler!$D$5:$D$504&gt;=Y$5)*ROW(İzinler!$A$5:$A$504)))),"Yıllık izin","İ"),"Ücretsiz izin","Ü"),1)))</f>
        <v/>
      </c>
      <c r="Z37" s="20" t="str">
        <f aca="false">IF(OR($B37="",Z$5=""),"",IF(SUMPRODUCT(MAX((İzinler!$A$5:$A$504=$B37)*(İzinler!$C$5:$C$504&lt;=Z$5)*(İzinler!$D$5:$D$504&gt;=Z$5)*ROW(İzinler!$A$5:$A$504)))=0,"",LEFT(SUBSTITUTE(SUBSTITUTE(INDEX(İzinler!$B$1:$B$504,SUMPRODUCT(MAX((İzinler!$A$5:$A$504=$B37)*(İzinler!$C$5:$C$504&lt;=Z$5)*(İzinler!$D$5:$D$504&gt;=Z$5)*ROW(İzinler!$A$5:$A$504)))),"Yıllık izin","İ"),"Ücretsiz izin","Ü"),1)))</f>
        <v/>
      </c>
      <c r="AA37" s="20" t="str">
        <f aca="false">IF(OR($B37="",AA$5=""),"",IF(SUMPRODUCT(MAX((İzinler!$A$5:$A$504=$B37)*(İzinler!$C$5:$C$504&lt;=AA$5)*(İzinler!$D$5:$D$504&gt;=AA$5)*ROW(İzinler!$A$5:$A$504)))=0,"",LEFT(SUBSTITUTE(SUBSTITUTE(INDEX(İzinler!$B$1:$B$504,SUMPRODUCT(MAX((İzinler!$A$5:$A$504=$B37)*(İzinler!$C$5:$C$504&lt;=AA$5)*(İzinler!$D$5:$D$504&gt;=AA$5)*ROW(İzinler!$A$5:$A$504)))),"Yıllık izin","İ"),"Ücretsiz izin","Ü"),1)))</f>
        <v/>
      </c>
      <c r="AB37" s="20" t="str">
        <f aca="false">IF(OR($B37="",AB$5=""),"",IF(SUMPRODUCT(MAX((İzinler!$A$5:$A$504=$B37)*(İzinler!$C$5:$C$504&lt;=AB$5)*(İzinler!$D$5:$D$504&gt;=AB$5)*ROW(İzinler!$A$5:$A$504)))=0,"",LEFT(SUBSTITUTE(SUBSTITUTE(INDEX(İzinler!$B$1:$B$504,SUMPRODUCT(MAX((İzinler!$A$5:$A$504=$B37)*(İzinler!$C$5:$C$504&lt;=AB$5)*(İzinler!$D$5:$D$504&gt;=AB$5)*ROW(İzinler!$A$5:$A$504)))),"Yıllık izin","İ"),"Ücretsiz izin","Ü"),1)))</f>
        <v/>
      </c>
      <c r="AC37" s="20" t="str">
        <f aca="false">IF(OR($B37="",AC$5=""),"",IF(SUMPRODUCT(MAX((İzinler!$A$5:$A$504=$B37)*(İzinler!$C$5:$C$504&lt;=AC$5)*(İzinler!$D$5:$D$504&gt;=AC$5)*ROW(İzinler!$A$5:$A$504)))=0,"",LEFT(SUBSTITUTE(SUBSTITUTE(INDEX(İzinler!$B$1:$B$504,SUMPRODUCT(MAX((İzinler!$A$5:$A$504=$B37)*(İzinler!$C$5:$C$504&lt;=AC$5)*(İzinler!$D$5:$D$504&gt;=AC$5)*ROW(İzinler!$A$5:$A$504)))),"Yıllık izin","İ"),"Ücretsiz izin","Ü"),1)))</f>
        <v/>
      </c>
      <c r="AD37" s="20" t="str">
        <f aca="false">IF(OR($B37="",AD$5=""),"",IF(SUMPRODUCT(MAX((İzinler!$A$5:$A$504=$B37)*(İzinler!$C$5:$C$504&lt;=AD$5)*(İzinler!$D$5:$D$504&gt;=AD$5)*ROW(İzinler!$A$5:$A$504)))=0,"",LEFT(SUBSTITUTE(SUBSTITUTE(INDEX(İzinler!$B$1:$B$504,SUMPRODUCT(MAX((İzinler!$A$5:$A$504=$B37)*(İzinler!$C$5:$C$504&lt;=AD$5)*(İzinler!$D$5:$D$504&gt;=AD$5)*ROW(İzinler!$A$5:$A$504)))),"Yıllık izin","İ"),"Ücretsiz izin","Ü"),1)))</f>
        <v/>
      </c>
      <c r="AE37" s="20" t="str">
        <f aca="false">IF(OR($B37="",AE$5=""),"",IF(SUMPRODUCT(MAX((İzinler!$A$5:$A$504=$B37)*(İzinler!$C$5:$C$504&lt;=AE$5)*(İzinler!$D$5:$D$504&gt;=AE$5)*ROW(İzinler!$A$5:$A$504)))=0,"",LEFT(SUBSTITUTE(SUBSTITUTE(INDEX(İzinler!$B$1:$B$504,SUMPRODUCT(MAX((İzinler!$A$5:$A$504=$B37)*(İzinler!$C$5:$C$504&lt;=AE$5)*(İzinler!$D$5:$D$504&gt;=AE$5)*ROW(İzinler!$A$5:$A$504)))),"Yıllık izin","İ"),"Ücretsiz izin","Ü"),1)))</f>
        <v/>
      </c>
      <c r="AF37" s="20" t="str">
        <f aca="false">IF(OR($B37="",AF$5=""),"",IF(SUMPRODUCT(MAX((İzinler!$A$5:$A$504=$B37)*(İzinler!$C$5:$C$504&lt;=AF$5)*(İzinler!$D$5:$D$504&gt;=AF$5)*ROW(İzinler!$A$5:$A$504)))=0,"",LEFT(SUBSTITUTE(SUBSTITUTE(INDEX(İzinler!$B$1:$B$504,SUMPRODUCT(MAX((İzinler!$A$5:$A$504=$B37)*(İzinler!$C$5:$C$504&lt;=AF$5)*(İzinler!$D$5:$D$504&gt;=AF$5)*ROW(İzinler!$A$5:$A$504)))),"Yıllık izin","İ"),"Ücretsiz izin","Ü"),1)))</f>
        <v/>
      </c>
      <c r="AG37" s="20" t="str">
        <f aca="false">IF(OR($B37="",AG$5=""),"",IF(SUMPRODUCT(MAX((İzinler!$A$5:$A$504=$B37)*(İzinler!$C$5:$C$504&lt;=AG$5)*(İzinler!$D$5:$D$504&gt;=AG$5)*ROW(İzinler!$A$5:$A$504)))=0,"",LEFT(SUBSTITUTE(SUBSTITUTE(INDEX(İzinler!$B$1:$B$504,SUMPRODUCT(MAX((İzinler!$A$5:$A$504=$B37)*(İzinler!$C$5:$C$504&lt;=AG$5)*(İzinler!$D$5:$D$504&gt;=AG$5)*ROW(İzinler!$A$5:$A$504)))),"Yıllık izin","İ"),"Ücretsiz izin","Ü"),1)))</f>
        <v/>
      </c>
      <c r="AH37" s="21" t="str">
        <f aca="false">IF(B37="","",COUNTIF(C37:AG37,"?"))</f>
        <v/>
      </c>
    </row>
    <row r="38" customFormat="false" ht="15" hidden="false" customHeight="false" outlineLevel="0" collapsed="false">
      <c r="B38" s="16" t="str">
        <f aca="false">IF(Personel!A37="","",Personel!A37)</f>
        <v/>
      </c>
      <c r="C38" s="20" t="str">
        <f aca="false">IF(OR($B38="",C$5=""),"",IF(SUMPRODUCT(MAX((İzinler!$A$5:$A$504=$B38)*(İzinler!$C$5:$C$504&lt;=C$5)*(İzinler!$D$5:$D$504&gt;=C$5)*ROW(İzinler!$A$5:$A$504)))=0,"",LEFT(SUBSTITUTE(SUBSTITUTE(INDEX(İzinler!$B$1:$B$504,SUMPRODUCT(MAX((İzinler!$A$5:$A$504=$B38)*(İzinler!$C$5:$C$504&lt;=C$5)*(İzinler!$D$5:$D$504&gt;=C$5)*ROW(İzinler!$A$5:$A$504)))),"Yıllık izin","İ"),"Ücretsiz izin","Ü"),1)))</f>
        <v/>
      </c>
      <c r="D38" s="20" t="str">
        <f aca="false">IF(OR($B38="",D$5=""),"",IF(SUMPRODUCT(MAX((İzinler!$A$5:$A$504=$B38)*(İzinler!$C$5:$C$504&lt;=D$5)*(İzinler!$D$5:$D$504&gt;=D$5)*ROW(İzinler!$A$5:$A$504)))=0,"",LEFT(SUBSTITUTE(SUBSTITUTE(INDEX(İzinler!$B$1:$B$504,SUMPRODUCT(MAX((İzinler!$A$5:$A$504=$B38)*(İzinler!$C$5:$C$504&lt;=D$5)*(İzinler!$D$5:$D$504&gt;=D$5)*ROW(İzinler!$A$5:$A$504)))),"Yıllık izin","İ"),"Ücretsiz izin","Ü"),1)))</f>
        <v/>
      </c>
      <c r="E38" s="20" t="str">
        <f aca="false">IF(OR($B38="",E$5=""),"",IF(SUMPRODUCT(MAX((İzinler!$A$5:$A$504=$B38)*(İzinler!$C$5:$C$504&lt;=E$5)*(İzinler!$D$5:$D$504&gt;=E$5)*ROW(İzinler!$A$5:$A$504)))=0,"",LEFT(SUBSTITUTE(SUBSTITUTE(INDEX(İzinler!$B$1:$B$504,SUMPRODUCT(MAX((İzinler!$A$5:$A$504=$B38)*(İzinler!$C$5:$C$504&lt;=E$5)*(İzinler!$D$5:$D$504&gt;=E$5)*ROW(İzinler!$A$5:$A$504)))),"Yıllık izin","İ"),"Ücretsiz izin","Ü"),1)))</f>
        <v/>
      </c>
      <c r="F38" s="20" t="str">
        <f aca="false">IF(OR($B38="",F$5=""),"",IF(SUMPRODUCT(MAX((İzinler!$A$5:$A$504=$B38)*(İzinler!$C$5:$C$504&lt;=F$5)*(İzinler!$D$5:$D$504&gt;=F$5)*ROW(İzinler!$A$5:$A$504)))=0,"",LEFT(SUBSTITUTE(SUBSTITUTE(INDEX(İzinler!$B$1:$B$504,SUMPRODUCT(MAX((İzinler!$A$5:$A$504=$B38)*(İzinler!$C$5:$C$504&lt;=F$5)*(İzinler!$D$5:$D$504&gt;=F$5)*ROW(İzinler!$A$5:$A$504)))),"Yıllık izin","İ"),"Ücretsiz izin","Ü"),1)))</f>
        <v/>
      </c>
      <c r="G38" s="20" t="str">
        <f aca="false">IF(OR($B38="",G$5=""),"",IF(SUMPRODUCT(MAX((İzinler!$A$5:$A$504=$B38)*(İzinler!$C$5:$C$504&lt;=G$5)*(İzinler!$D$5:$D$504&gt;=G$5)*ROW(İzinler!$A$5:$A$504)))=0,"",LEFT(SUBSTITUTE(SUBSTITUTE(INDEX(İzinler!$B$1:$B$504,SUMPRODUCT(MAX((İzinler!$A$5:$A$504=$B38)*(İzinler!$C$5:$C$504&lt;=G$5)*(İzinler!$D$5:$D$504&gt;=G$5)*ROW(İzinler!$A$5:$A$504)))),"Yıllık izin","İ"),"Ücretsiz izin","Ü"),1)))</f>
        <v/>
      </c>
      <c r="H38" s="20" t="str">
        <f aca="false">IF(OR($B38="",H$5=""),"",IF(SUMPRODUCT(MAX((İzinler!$A$5:$A$504=$B38)*(İzinler!$C$5:$C$504&lt;=H$5)*(İzinler!$D$5:$D$504&gt;=H$5)*ROW(İzinler!$A$5:$A$504)))=0,"",LEFT(SUBSTITUTE(SUBSTITUTE(INDEX(İzinler!$B$1:$B$504,SUMPRODUCT(MAX((İzinler!$A$5:$A$504=$B38)*(İzinler!$C$5:$C$504&lt;=H$5)*(İzinler!$D$5:$D$504&gt;=H$5)*ROW(İzinler!$A$5:$A$504)))),"Yıllık izin","İ"),"Ücretsiz izin","Ü"),1)))</f>
        <v/>
      </c>
      <c r="I38" s="20" t="str">
        <f aca="false">IF(OR($B38="",I$5=""),"",IF(SUMPRODUCT(MAX((İzinler!$A$5:$A$504=$B38)*(İzinler!$C$5:$C$504&lt;=I$5)*(İzinler!$D$5:$D$504&gt;=I$5)*ROW(İzinler!$A$5:$A$504)))=0,"",LEFT(SUBSTITUTE(SUBSTITUTE(INDEX(İzinler!$B$1:$B$504,SUMPRODUCT(MAX((İzinler!$A$5:$A$504=$B38)*(İzinler!$C$5:$C$504&lt;=I$5)*(İzinler!$D$5:$D$504&gt;=I$5)*ROW(İzinler!$A$5:$A$504)))),"Yıllık izin","İ"),"Ücretsiz izin","Ü"),1)))</f>
        <v/>
      </c>
      <c r="J38" s="20" t="str">
        <f aca="false">IF(OR($B38="",J$5=""),"",IF(SUMPRODUCT(MAX((İzinler!$A$5:$A$504=$B38)*(İzinler!$C$5:$C$504&lt;=J$5)*(İzinler!$D$5:$D$504&gt;=J$5)*ROW(İzinler!$A$5:$A$504)))=0,"",LEFT(SUBSTITUTE(SUBSTITUTE(INDEX(İzinler!$B$1:$B$504,SUMPRODUCT(MAX((İzinler!$A$5:$A$504=$B38)*(İzinler!$C$5:$C$504&lt;=J$5)*(İzinler!$D$5:$D$504&gt;=J$5)*ROW(İzinler!$A$5:$A$504)))),"Yıllık izin","İ"),"Ücretsiz izin","Ü"),1)))</f>
        <v/>
      </c>
      <c r="K38" s="20" t="str">
        <f aca="false">IF(OR($B38="",K$5=""),"",IF(SUMPRODUCT(MAX((İzinler!$A$5:$A$504=$B38)*(İzinler!$C$5:$C$504&lt;=K$5)*(İzinler!$D$5:$D$504&gt;=K$5)*ROW(İzinler!$A$5:$A$504)))=0,"",LEFT(SUBSTITUTE(SUBSTITUTE(INDEX(İzinler!$B$1:$B$504,SUMPRODUCT(MAX((İzinler!$A$5:$A$504=$B38)*(İzinler!$C$5:$C$504&lt;=K$5)*(İzinler!$D$5:$D$504&gt;=K$5)*ROW(İzinler!$A$5:$A$504)))),"Yıllık izin","İ"),"Ücretsiz izin","Ü"),1)))</f>
        <v/>
      </c>
      <c r="L38" s="20" t="str">
        <f aca="false">IF(OR($B38="",L$5=""),"",IF(SUMPRODUCT(MAX((İzinler!$A$5:$A$504=$B38)*(İzinler!$C$5:$C$504&lt;=L$5)*(İzinler!$D$5:$D$504&gt;=L$5)*ROW(İzinler!$A$5:$A$504)))=0,"",LEFT(SUBSTITUTE(SUBSTITUTE(INDEX(İzinler!$B$1:$B$504,SUMPRODUCT(MAX((İzinler!$A$5:$A$504=$B38)*(İzinler!$C$5:$C$504&lt;=L$5)*(İzinler!$D$5:$D$504&gt;=L$5)*ROW(İzinler!$A$5:$A$504)))),"Yıllık izin","İ"),"Ücretsiz izin","Ü"),1)))</f>
        <v/>
      </c>
      <c r="M38" s="20" t="str">
        <f aca="false">IF(OR($B38="",M$5=""),"",IF(SUMPRODUCT(MAX((İzinler!$A$5:$A$504=$B38)*(İzinler!$C$5:$C$504&lt;=M$5)*(İzinler!$D$5:$D$504&gt;=M$5)*ROW(İzinler!$A$5:$A$504)))=0,"",LEFT(SUBSTITUTE(SUBSTITUTE(INDEX(İzinler!$B$1:$B$504,SUMPRODUCT(MAX((İzinler!$A$5:$A$504=$B38)*(İzinler!$C$5:$C$504&lt;=M$5)*(İzinler!$D$5:$D$504&gt;=M$5)*ROW(İzinler!$A$5:$A$504)))),"Yıllık izin","İ"),"Ücretsiz izin","Ü"),1)))</f>
        <v/>
      </c>
      <c r="N38" s="20" t="str">
        <f aca="false">IF(OR($B38="",N$5=""),"",IF(SUMPRODUCT(MAX((İzinler!$A$5:$A$504=$B38)*(İzinler!$C$5:$C$504&lt;=N$5)*(İzinler!$D$5:$D$504&gt;=N$5)*ROW(İzinler!$A$5:$A$504)))=0,"",LEFT(SUBSTITUTE(SUBSTITUTE(INDEX(İzinler!$B$1:$B$504,SUMPRODUCT(MAX((İzinler!$A$5:$A$504=$B38)*(İzinler!$C$5:$C$504&lt;=N$5)*(İzinler!$D$5:$D$504&gt;=N$5)*ROW(İzinler!$A$5:$A$504)))),"Yıllık izin","İ"),"Ücretsiz izin","Ü"),1)))</f>
        <v/>
      </c>
      <c r="O38" s="20" t="str">
        <f aca="false">IF(OR($B38="",O$5=""),"",IF(SUMPRODUCT(MAX((İzinler!$A$5:$A$504=$B38)*(İzinler!$C$5:$C$504&lt;=O$5)*(İzinler!$D$5:$D$504&gt;=O$5)*ROW(İzinler!$A$5:$A$504)))=0,"",LEFT(SUBSTITUTE(SUBSTITUTE(INDEX(İzinler!$B$1:$B$504,SUMPRODUCT(MAX((İzinler!$A$5:$A$504=$B38)*(İzinler!$C$5:$C$504&lt;=O$5)*(İzinler!$D$5:$D$504&gt;=O$5)*ROW(İzinler!$A$5:$A$504)))),"Yıllık izin","İ"),"Ücretsiz izin","Ü"),1)))</f>
        <v/>
      </c>
      <c r="P38" s="20" t="str">
        <f aca="false">IF(OR($B38="",P$5=""),"",IF(SUMPRODUCT(MAX((İzinler!$A$5:$A$504=$B38)*(İzinler!$C$5:$C$504&lt;=P$5)*(İzinler!$D$5:$D$504&gt;=P$5)*ROW(İzinler!$A$5:$A$504)))=0,"",LEFT(SUBSTITUTE(SUBSTITUTE(INDEX(İzinler!$B$1:$B$504,SUMPRODUCT(MAX((İzinler!$A$5:$A$504=$B38)*(İzinler!$C$5:$C$504&lt;=P$5)*(İzinler!$D$5:$D$504&gt;=P$5)*ROW(İzinler!$A$5:$A$504)))),"Yıllık izin","İ"),"Ücretsiz izin","Ü"),1)))</f>
        <v/>
      </c>
      <c r="Q38" s="20" t="str">
        <f aca="false">IF(OR($B38="",Q$5=""),"",IF(SUMPRODUCT(MAX((İzinler!$A$5:$A$504=$B38)*(İzinler!$C$5:$C$504&lt;=Q$5)*(İzinler!$D$5:$D$504&gt;=Q$5)*ROW(İzinler!$A$5:$A$504)))=0,"",LEFT(SUBSTITUTE(SUBSTITUTE(INDEX(İzinler!$B$1:$B$504,SUMPRODUCT(MAX((İzinler!$A$5:$A$504=$B38)*(İzinler!$C$5:$C$504&lt;=Q$5)*(İzinler!$D$5:$D$504&gt;=Q$5)*ROW(İzinler!$A$5:$A$504)))),"Yıllık izin","İ"),"Ücretsiz izin","Ü"),1)))</f>
        <v/>
      </c>
      <c r="R38" s="20" t="str">
        <f aca="false">IF(OR($B38="",R$5=""),"",IF(SUMPRODUCT(MAX((İzinler!$A$5:$A$504=$B38)*(İzinler!$C$5:$C$504&lt;=R$5)*(İzinler!$D$5:$D$504&gt;=R$5)*ROW(İzinler!$A$5:$A$504)))=0,"",LEFT(SUBSTITUTE(SUBSTITUTE(INDEX(İzinler!$B$1:$B$504,SUMPRODUCT(MAX((İzinler!$A$5:$A$504=$B38)*(İzinler!$C$5:$C$504&lt;=R$5)*(İzinler!$D$5:$D$504&gt;=R$5)*ROW(İzinler!$A$5:$A$504)))),"Yıllık izin","İ"),"Ücretsiz izin","Ü"),1)))</f>
        <v/>
      </c>
      <c r="S38" s="20" t="str">
        <f aca="false">IF(OR($B38="",S$5=""),"",IF(SUMPRODUCT(MAX((İzinler!$A$5:$A$504=$B38)*(İzinler!$C$5:$C$504&lt;=S$5)*(İzinler!$D$5:$D$504&gt;=S$5)*ROW(İzinler!$A$5:$A$504)))=0,"",LEFT(SUBSTITUTE(SUBSTITUTE(INDEX(İzinler!$B$1:$B$504,SUMPRODUCT(MAX((İzinler!$A$5:$A$504=$B38)*(İzinler!$C$5:$C$504&lt;=S$5)*(İzinler!$D$5:$D$504&gt;=S$5)*ROW(İzinler!$A$5:$A$504)))),"Yıllık izin","İ"),"Ücretsiz izin","Ü"),1)))</f>
        <v/>
      </c>
      <c r="T38" s="20" t="str">
        <f aca="false">IF(OR($B38="",T$5=""),"",IF(SUMPRODUCT(MAX((İzinler!$A$5:$A$504=$B38)*(İzinler!$C$5:$C$504&lt;=T$5)*(İzinler!$D$5:$D$504&gt;=T$5)*ROW(İzinler!$A$5:$A$504)))=0,"",LEFT(SUBSTITUTE(SUBSTITUTE(INDEX(İzinler!$B$1:$B$504,SUMPRODUCT(MAX((İzinler!$A$5:$A$504=$B38)*(İzinler!$C$5:$C$504&lt;=T$5)*(İzinler!$D$5:$D$504&gt;=T$5)*ROW(İzinler!$A$5:$A$504)))),"Yıllık izin","İ"),"Ücretsiz izin","Ü"),1)))</f>
        <v/>
      </c>
      <c r="U38" s="20" t="str">
        <f aca="false">IF(OR($B38="",U$5=""),"",IF(SUMPRODUCT(MAX((İzinler!$A$5:$A$504=$B38)*(İzinler!$C$5:$C$504&lt;=U$5)*(İzinler!$D$5:$D$504&gt;=U$5)*ROW(İzinler!$A$5:$A$504)))=0,"",LEFT(SUBSTITUTE(SUBSTITUTE(INDEX(İzinler!$B$1:$B$504,SUMPRODUCT(MAX((İzinler!$A$5:$A$504=$B38)*(İzinler!$C$5:$C$504&lt;=U$5)*(İzinler!$D$5:$D$504&gt;=U$5)*ROW(İzinler!$A$5:$A$504)))),"Yıllık izin","İ"),"Ücretsiz izin","Ü"),1)))</f>
        <v/>
      </c>
      <c r="V38" s="20" t="str">
        <f aca="false">IF(OR($B38="",V$5=""),"",IF(SUMPRODUCT(MAX((İzinler!$A$5:$A$504=$B38)*(İzinler!$C$5:$C$504&lt;=V$5)*(İzinler!$D$5:$D$504&gt;=V$5)*ROW(İzinler!$A$5:$A$504)))=0,"",LEFT(SUBSTITUTE(SUBSTITUTE(INDEX(İzinler!$B$1:$B$504,SUMPRODUCT(MAX((İzinler!$A$5:$A$504=$B38)*(İzinler!$C$5:$C$504&lt;=V$5)*(İzinler!$D$5:$D$504&gt;=V$5)*ROW(İzinler!$A$5:$A$504)))),"Yıllık izin","İ"),"Ücretsiz izin","Ü"),1)))</f>
        <v/>
      </c>
      <c r="W38" s="20" t="str">
        <f aca="false">IF(OR($B38="",W$5=""),"",IF(SUMPRODUCT(MAX((İzinler!$A$5:$A$504=$B38)*(İzinler!$C$5:$C$504&lt;=W$5)*(İzinler!$D$5:$D$504&gt;=W$5)*ROW(İzinler!$A$5:$A$504)))=0,"",LEFT(SUBSTITUTE(SUBSTITUTE(INDEX(İzinler!$B$1:$B$504,SUMPRODUCT(MAX((İzinler!$A$5:$A$504=$B38)*(İzinler!$C$5:$C$504&lt;=W$5)*(İzinler!$D$5:$D$504&gt;=W$5)*ROW(İzinler!$A$5:$A$504)))),"Yıllık izin","İ"),"Ücretsiz izin","Ü"),1)))</f>
        <v/>
      </c>
      <c r="X38" s="20" t="str">
        <f aca="false">IF(OR($B38="",X$5=""),"",IF(SUMPRODUCT(MAX((İzinler!$A$5:$A$504=$B38)*(İzinler!$C$5:$C$504&lt;=X$5)*(İzinler!$D$5:$D$504&gt;=X$5)*ROW(İzinler!$A$5:$A$504)))=0,"",LEFT(SUBSTITUTE(SUBSTITUTE(INDEX(İzinler!$B$1:$B$504,SUMPRODUCT(MAX((İzinler!$A$5:$A$504=$B38)*(İzinler!$C$5:$C$504&lt;=X$5)*(İzinler!$D$5:$D$504&gt;=X$5)*ROW(İzinler!$A$5:$A$504)))),"Yıllık izin","İ"),"Ücretsiz izin","Ü"),1)))</f>
        <v/>
      </c>
      <c r="Y38" s="20" t="str">
        <f aca="false">IF(OR($B38="",Y$5=""),"",IF(SUMPRODUCT(MAX((İzinler!$A$5:$A$504=$B38)*(İzinler!$C$5:$C$504&lt;=Y$5)*(İzinler!$D$5:$D$504&gt;=Y$5)*ROW(İzinler!$A$5:$A$504)))=0,"",LEFT(SUBSTITUTE(SUBSTITUTE(INDEX(İzinler!$B$1:$B$504,SUMPRODUCT(MAX((İzinler!$A$5:$A$504=$B38)*(İzinler!$C$5:$C$504&lt;=Y$5)*(İzinler!$D$5:$D$504&gt;=Y$5)*ROW(İzinler!$A$5:$A$504)))),"Yıllık izin","İ"),"Ücretsiz izin","Ü"),1)))</f>
        <v/>
      </c>
      <c r="Z38" s="20" t="str">
        <f aca="false">IF(OR($B38="",Z$5=""),"",IF(SUMPRODUCT(MAX((İzinler!$A$5:$A$504=$B38)*(İzinler!$C$5:$C$504&lt;=Z$5)*(İzinler!$D$5:$D$504&gt;=Z$5)*ROW(İzinler!$A$5:$A$504)))=0,"",LEFT(SUBSTITUTE(SUBSTITUTE(INDEX(İzinler!$B$1:$B$504,SUMPRODUCT(MAX((İzinler!$A$5:$A$504=$B38)*(İzinler!$C$5:$C$504&lt;=Z$5)*(İzinler!$D$5:$D$504&gt;=Z$5)*ROW(İzinler!$A$5:$A$504)))),"Yıllık izin","İ"),"Ücretsiz izin","Ü"),1)))</f>
        <v/>
      </c>
      <c r="AA38" s="20" t="str">
        <f aca="false">IF(OR($B38="",AA$5=""),"",IF(SUMPRODUCT(MAX((İzinler!$A$5:$A$504=$B38)*(İzinler!$C$5:$C$504&lt;=AA$5)*(İzinler!$D$5:$D$504&gt;=AA$5)*ROW(İzinler!$A$5:$A$504)))=0,"",LEFT(SUBSTITUTE(SUBSTITUTE(INDEX(İzinler!$B$1:$B$504,SUMPRODUCT(MAX((İzinler!$A$5:$A$504=$B38)*(İzinler!$C$5:$C$504&lt;=AA$5)*(İzinler!$D$5:$D$504&gt;=AA$5)*ROW(İzinler!$A$5:$A$504)))),"Yıllık izin","İ"),"Ücretsiz izin","Ü"),1)))</f>
        <v/>
      </c>
      <c r="AB38" s="20" t="str">
        <f aca="false">IF(OR($B38="",AB$5=""),"",IF(SUMPRODUCT(MAX((İzinler!$A$5:$A$504=$B38)*(İzinler!$C$5:$C$504&lt;=AB$5)*(İzinler!$D$5:$D$504&gt;=AB$5)*ROW(İzinler!$A$5:$A$504)))=0,"",LEFT(SUBSTITUTE(SUBSTITUTE(INDEX(İzinler!$B$1:$B$504,SUMPRODUCT(MAX((İzinler!$A$5:$A$504=$B38)*(İzinler!$C$5:$C$504&lt;=AB$5)*(İzinler!$D$5:$D$504&gt;=AB$5)*ROW(İzinler!$A$5:$A$504)))),"Yıllık izin","İ"),"Ücretsiz izin","Ü"),1)))</f>
        <v/>
      </c>
      <c r="AC38" s="20" t="str">
        <f aca="false">IF(OR($B38="",AC$5=""),"",IF(SUMPRODUCT(MAX((İzinler!$A$5:$A$504=$B38)*(İzinler!$C$5:$C$504&lt;=AC$5)*(İzinler!$D$5:$D$504&gt;=AC$5)*ROW(İzinler!$A$5:$A$504)))=0,"",LEFT(SUBSTITUTE(SUBSTITUTE(INDEX(İzinler!$B$1:$B$504,SUMPRODUCT(MAX((İzinler!$A$5:$A$504=$B38)*(İzinler!$C$5:$C$504&lt;=AC$5)*(İzinler!$D$5:$D$504&gt;=AC$5)*ROW(İzinler!$A$5:$A$504)))),"Yıllık izin","İ"),"Ücretsiz izin","Ü"),1)))</f>
        <v/>
      </c>
      <c r="AD38" s="20" t="str">
        <f aca="false">IF(OR($B38="",AD$5=""),"",IF(SUMPRODUCT(MAX((İzinler!$A$5:$A$504=$B38)*(İzinler!$C$5:$C$504&lt;=AD$5)*(İzinler!$D$5:$D$504&gt;=AD$5)*ROW(İzinler!$A$5:$A$504)))=0,"",LEFT(SUBSTITUTE(SUBSTITUTE(INDEX(İzinler!$B$1:$B$504,SUMPRODUCT(MAX((İzinler!$A$5:$A$504=$B38)*(İzinler!$C$5:$C$504&lt;=AD$5)*(İzinler!$D$5:$D$504&gt;=AD$5)*ROW(İzinler!$A$5:$A$504)))),"Yıllık izin","İ"),"Ücretsiz izin","Ü"),1)))</f>
        <v/>
      </c>
      <c r="AE38" s="20" t="str">
        <f aca="false">IF(OR($B38="",AE$5=""),"",IF(SUMPRODUCT(MAX((İzinler!$A$5:$A$504=$B38)*(İzinler!$C$5:$C$504&lt;=AE$5)*(İzinler!$D$5:$D$504&gt;=AE$5)*ROW(İzinler!$A$5:$A$504)))=0,"",LEFT(SUBSTITUTE(SUBSTITUTE(INDEX(İzinler!$B$1:$B$504,SUMPRODUCT(MAX((İzinler!$A$5:$A$504=$B38)*(İzinler!$C$5:$C$504&lt;=AE$5)*(İzinler!$D$5:$D$504&gt;=AE$5)*ROW(İzinler!$A$5:$A$504)))),"Yıllık izin","İ"),"Ücretsiz izin","Ü"),1)))</f>
        <v/>
      </c>
      <c r="AF38" s="20" t="str">
        <f aca="false">IF(OR($B38="",AF$5=""),"",IF(SUMPRODUCT(MAX((İzinler!$A$5:$A$504=$B38)*(İzinler!$C$5:$C$504&lt;=AF$5)*(İzinler!$D$5:$D$504&gt;=AF$5)*ROW(İzinler!$A$5:$A$504)))=0,"",LEFT(SUBSTITUTE(SUBSTITUTE(INDEX(İzinler!$B$1:$B$504,SUMPRODUCT(MAX((İzinler!$A$5:$A$504=$B38)*(İzinler!$C$5:$C$504&lt;=AF$5)*(İzinler!$D$5:$D$504&gt;=AF$5)*ROW(İzinler!$A$5:$A$504)))),"Yıllık izin","İ"),"Ücretsiz izin","Ü"),1)))</f>
        <v/>
      </c>
      <c r="AG38" s="20" t="str">
        <f aca="false">IF(OR($B38="",AG$5=""),"",IF(SUMPRODUCT(MAX((İzinler!$A$5:$A$504=$B38)*(İzinler!$C$5:$C$504&lt;=AG$5)*(İzinler!$D$5:$D$504&gt;=AG$5)*ROW(İzinler!$A$5:$A$504)))=0,"",LEFT(SUBSTITUTE(SUBSTITUTE(INDEX(İzinler!$B$1:$B$504,SUMPRODUCT(MAX((İzinler!$A$5:$A$504=$B38)*(İzinler!$C$5:$C$504&lt;=AG$5)*(İzinler!$D$5:$D$504&gt;=AG$5)*ROW(İzinler!$A$5:$A$504)))),"Yıllık izin","İ"),"Ücretsiz izin","Ü"),1)))</f>
        <v/>
      </c>
      <c r="AH38" s="21" t="str">
        <f aca="false">IF(B38="","",COUNTIF(C38:AG38,"?"))</f>
        <v/>
      </c>
    </row>
    <row r="39" customFormat="false" ht="15" hidden="false" customHeight="false" outlineLevel="0" collapsed="false">
      <c r="B39" s="16" t="str">
        <f aca="false">IF(Personel!A38="","",Personel!A38)</f>
        <v/>
      </c>
      <c r="C39" s="20" t="str">
        <f aca="false">IF(OR($B39="",C$5=""),"",IF(SUMPRODUCT(MAX((İzinler!$A$5:$A$504=$B39)*(İzinler!$C$5:$C$504&lt;=C$5)*(İzinler!$D$5:$D$504&gt;=C$5)*ROW(İzinler!$A$5:$A$504)))=0,"",LEFT(SUBSTITUTE(SUBSTITUTE(INDEX(İzinler!$B$1:$B$504,SUMPRODUCT(MAX((İzinler!$A$5:$A$504=$B39)*(İzinler!$C$5:$C$504&lt;=C$5)*(İzinler!$D$5:$D$504&gt;=C$5)*ROW(İzinler!$A$5:$A$504)))),"Yıllık izin","İ"),"Ücretsiz izin","Ü"),1)))</f>
        <v/>
      </c>
      <c r="D39" s="20" t="str">
        <f aca="false">IF(OR($B39="",D$5=""),"",IF(SUMPRODUCT(MAX((İzinler!$A$5:$A$504=$B39)*(İzinler!$C$5:$C$504&lt;=D$5)*(İzinler!$D$5:$D$504&gt;=D$5)*ROW(İzinler!$A$5:$A$504)))=0,"",LEFT(SUBSTITUTE(SUBSTITUTE(INDEX(İzinler!$B$1:$B$504,SUMPRODUCT(MAX((İzinler!$A$5:$A$504=$B39)*(İzinler!$C$5:$C$504&lt;=D$5)*(İzinler!$D$5:$D$504&gt;=D$5)*ROW(İzinler!$A$5:$A$504)))),"Yıllık izin","İ"),"Ücretsiz izin","Ü"),1)))</f>
        <v/>
      </c>
      <c r="E39" s="20" t="str">
        <f aca="false">IF(OR($B39="",E$5=""),"",IF(SUMPRODUCT(MAX((İzinler!$A$5:$A$504=$B39)*(İzinler!$C$5:$C$504&lt;=E$5)*(İzinler!$D$5:$D$504&gt;=E$5)*ROW(İzinler!$A$5:$A$504)))=0,"",LEFT(SUBSTITUTE(SUBSTITUTE(INDEX(İzinler!$B$1:$B$504,SUMPRODUCT(MAX((İzinler!$A$5:$A$504=$B39)*(İzinler!$C$5:$C$504&lt;=E$5)*(İzinler!$D$5:$D$504&gt;=E$5)*ROW(İzinler!$A$5:$A$504)))),"Yıllık izin","İ"),"Ücretsiz izin","Ü"),1)))</f>
        <v/>
      </c>
      <c r="F39" s="20" t="str">
        <f aca="false">IF(OR($B39="",F$5=""),"",IF(SUMPRODUCT(MAX((İzinler!$A$5:$A$504=$B39)*(İzinler!$C$5:$C$504&lt;=F$5)*(İzinler!$D$5:$D$504&gt;=F$5)*ROW(İzinler!$A$5:$A$504)))=0,"",LEFT(SUBSTITUTE(SUBSTITUTE(INDEX(İzinler!$B$1:$B$504,SUMPRODUCT(MAX((İzinler!$A$5:$A$504=$B39)*(İzinler!$C$5:$C$504&lt;=F$5)*(İzinler!$D$5:$D$504&gt;=F$5)*ROW(İzinler!$A$5:$A$504)))),"Yıllık izin","İ"),"Ücretsiz izin","Ü"),1)))</f>
        <v/>
      </c>
      <c r="G39" s="20" t="str">
        <f aca="false">IF(OR($B39="",G$5=""),"",IF(SUMPRODUCT(MAX((İzinler!$A$5:$A$504=$B39)*(İzinler!$C$5:$C$504&lt;=G$5)*(İzinler!$D$5:$D$504&gt;=G$5)*ROW(İzinler!$A$5:$A$504)))=0,"",LEFT(SUBSTITUTE(SUBSTITUTE(INDEX(İzinler!$B$1:$B$504,SUMPRODUCT(MAX((İzinler!$A$5:$A$504=$B39)*(İzinler!$C$5:$C$504&lt;=G$5)*(İzinler!$D$5:$D$504&gt;=G$5)*ROW(İzinler!$A$5:$A$504)))),"Yıllık izin","İ"),"Ücretsiz izin","Ü"),1)))</f>
        <v/>
      </c>
      <c r="H39" s="20" t="str">
        <f aca="false">IF(OR($B39="",H$5=""),"",IF(SUMPRODUCT(MAX((İzinler!$A$5:$A$504=$B39)*(İzinler!$C$5:$C$504&lt;=H$5)*(İzinler!$D$5:$D$504&gt;=H$5)*ROW(İzinler!$A$5:$A$504)))=0,"",LEFT(SUBSTITUTE(SUBSTITUTE(INDEX(İzinler!$B$1:$B$504,SUMPRODUCT(MAX((İzinler!$A$5:$A$504=$B39)*(İzinler!$C$5:$C$504&lt;=H$5)*(İzinler!$D$5:$D$504&gt;=H$5)*ROW(İzinler!$A$5:$A$504)))),"Yıllık izin","İ"),"Ücretsiz izin","Ü"),1)))</f>
        <v/>
      </c>
      <c r="I39" s="20" t="str">
        <f aca="false">IF(OR($B39="",I$5=""),"",IF(SUMPRODUCT(MAX((İzinler!$A$5:$A$504=$B39)*(İzinler!$C$5:$C$504&lt;=I$5)*(İzinler!$D$5:$D$504&gt;=I$5)*ROW(İzinler!$A$5:$A$504)))=0,"",LEFT(SUBSTITUTE(SUBSTITUTE(INDEX(İzinler!$B$1:$B$504,SUMPRODUCT(MAX((İzinler!$A$5:$A$504=$B39)*(İzinler!$C$5:$C$504&lt;=I$5)*(İzinler!$D$5:$D$504&gt;=I$5)*ROW(İzinler!$A$5:$A$504)))),"Yıllık izin","İ"),"Ücretsiz izin","Ü"),1)))</f>
        <v/>
      </c>
      <c r="J39" s="20" t="str">
        <f aca="false">IF(OR($B39="",J$5=""),"",IF(SUMPRODUCT(MAX((İzinler!$A$5:$A$504=$B39)*(İzinler!$C$5:$C$504&lt;=J$5)*(İzinler!$D$5:$D$504&gt;=J$5)*ROW(İzinler!$A$5:$A$504)))=0,"",LEFT(SUBSTITUTE(SUBSTITUTE(INDEX(İzinler!$B$1:$B$504,SUMPRODUCT(MAX((İzinler!$A$5:$A$504=$B39)*(İzinler!$C$5:$C$504&lt;=J$5)*(İzinler!$D$5:$D$504&gt;=J$5)*ROW(İzinler!$A$5:$A$504)))),"Yıllık izin","İ"),"Ücretsiz izin","Ü"),1)))</f>
        <v/>
      </c>
      <c r="K39" s="20" t="str">
        <f aca="false">IF(OR($B39="",K$5=""),"",IF(SUMPRODUCT(MAX((İzinler!$A$5:$A$504=$B39)*(İzinler!$C$5:$C$504&lt;=K$5)*(İzinler!$D$5:$D$504&gt;=K$5)*ROW(İzinler!$A$5:$A$504)))=0,"",LEFT(SUBSTITUTE(SUBSTITUTE(INDEX(İzinler!$B$1:$B$504,SUMPRODUCT(MAX((İzinler!$A$5:$A$504=$B39)*(İzinler!$C$5:$C$504&lt;=K$5)*(İzinler!$D$5:$D$504&gt;=K$5)*ROW(İzinler!$A$5:$A$504)))),"Yıllık izin","İ"),"Ücretsiz izin","Ü"),1)))</f>
        <v/>
      </c>
      <c r="L39" s="20" t="str">
        <f aca="false">IF(OR($B39="",L$5=""),"",IF(SUMPRODUCT(MAX((İzinler!$A$5:$A$504=$B39)*(İzinler!$C$5:$C$504&lt;=L$5)*(İzinler!$D$5:$D$504&gt;=L$5)*ROW(İzinler!$A$5:$A$504)))=0,"",LEFT(SUBSTITUTE(SUBSTITUTE(INDEX(İzinler!$B$1:$B$504,SUMPRODUCT(MAX((İzinler!$A$5:$A$504=$B39)*(İzinler!$C$5:$C$504&lt;=L$5)*(İzinler!$D$5:$D$504&gt;=L$5)*ROW(İzinler!$A$5:$A$504)))),"Yıllık izin","İ"),"Ücretsiz izin","Ü"),1)))</f>
        <v/>
      </c>
      <c r="M39" s="20" t="str">
        <f aca="false">IF(OR($B39="",M$5=""),"",IF(SUMPRODUCT(MAX((İzinler!$A$5:$A$504=$B39)*(İzinler!$C$5:$C$504&lt;=M$5)*(İzinler!$D$5:$D$504&gt;=M$5)*ROW(İzinler!$A$5:$A$504)))=0,"",LEFT(SUBSTITUTE(SUBSTITUTE(INDEX(İzinler!$B$1:$B$504,SUMPRODUCT(MAX((İzinler!$A$5:$A$504=$B39)*(İzinler!$C$5:$C$504&lt;=M$5)*(İzinler!$D$5:$D$504&gt;=M$5)*ROW(İzinler!$A$5:$A$504)))),"Yıllık izin","İ"),"Ücretsiz izin","Ü"),1)))</f>
        <v/>
      </c>
      <c r="N39" s="20" t="str">
        <f aca="false">IF(OR($B39="",N$5=""),"",IF(SUMPRODUCT(MAX((İzinler!$A$5:$A$504=$B39)*(İzinler!$C$5:$C$504&lt;=N$5)*(İzinler!$D$5:$D$504&gt;=N$5)*ROW(İzinler!$A$5:$A$504)))=0,"",LEFT(SUBSTITUTE(SUBSTITUTE(INDEX(İzinler!$B$1:$B$504,SUMPRODUCT(MAX((İzinler!$A$5:$A$504=$B39)*(İzinler!$C$5:$C$504&lt;=N$5)*(İzinler!$D$5:$D$504&gt;=N$5)*ROW(İzinler!$A$5:$A$504)))),"Yıllık izin","İ"),"Ücretsiz izin","Ü"),1)))</f>
        <v/>
      </c>
      <c r="O39" s="20" t="str">
        <f aca="false">IF(OR($B39="",O$5=""),"",IF(SUMPRODUCT(MAX((İzinler!$A$5:$A$504=$B39)*(İzinler!$C$5:$C$504&lt;=O$5)*(İzinler!$D$5:$D$504&gt;=O$5)*ROW(İzinler!$A$5:$A$504)))=0,"",LEFT(SUBSTITUTE(SUBSTITUTE(INDEX(İzinler!$B$1:$B$504,SUMPRODUCT(MAX((İzinler!$A$5:$A$504=$B39)*(İzinler!$C$5:$C$504&lt;=O$5)*(İzinler!$D$5:$D$504&gt;=O$5)*ROW(İzinler!$A$5:$A$504)))),"Yıllık izin","İ"),"Ücretsiz izin","Ü"),1)))</f>
        <v/>
      </c>
      <c r="P39" s="20" t="str">
        <f aca="false">IF(OR($B39="",P$5=""),"",IF(SUMPRODUCT(MAX((İzinler!$A$5:$A$504=$B39)*(İzinler!$C$5:$C$504&lt;=P$5)*(İzinler!$D$5:$D$504&gt;=P$5)*ROW(İzinler!$A$5:$A$504)))=0,"",LEFT(SUBSTITUTE(SUBSTITUTE(INDEX(İzinler!$B$1:$B$504,SUMPRODUCT(MAX((İzinler!$A$5:$A$504=$B39)*(İzinler!$C$5:$C$504&lt;=P$5)*(İzinler!$D$5:$D$504&gt;=P$5)*ROW(İzinler!$A$5:$A$504)))),"Yıllık izin","İ"),"Ücretsiz izin","Ü"),1)))</f>
        <v/>
      </c>
      <c r="Q39" s="20" t="str">
        <f aca="false">IF(OR($B39="",Q$5=""),"",IF(SUMPRODUCT(MAX((İzinler!$A$5:$A$504=$B39)*(İzinler!$C$5:$C$504&lt;=Q$5)*(İzinler!$D$5:$D$504&gt;=Q$5)*ROW(İzinler!$A$5:$A$504)))=0,"",LEFT(SUBSTITUTE(SUBSTITUTE(INDEX(İzinler!$B$1:$B$504,SUMPRODUCT(MAX((İzinler!$A$5:$A$504=$B39)*(İzinler!$C$5:$C$504&lt;=Q$5)*(İzinler!$D$5:$D$504&gt;=Q$5)*ROW(İzinler!$A$5:$A$504)))),"Yıllık izin","İ"),"Ücretsiz izin","Ü"),1)))</f>
        <v/>
      </c>
      <c r="R39" s="20" t="str">
        <f aca="false">IF(OR($B39="",R$5=""),"",IF(SUMPRODUCT(MAX((İzinler!$A$5:$A$504=$B39)*(İzinler!$C$5:$C$504&lt;=R$5)*(İzinler!$D$5:$D$504&gt;=R$5)*ROW(İzinler!$A$5:$A$504)))=0,"",LEFT(SUBSTITUTE(SUBSTITUTE(INDEX(İzinler!$B$1:$B$504,SUMPRODUCT(MAX((İzinler!$A$5:$A$504=$B39)*(İzinler!$C$5:$C$504&lt;=R$5)*(İzinler!$D$5:$D$504&gt;=R$5)*ROW(İzinler!$A$5:$A$504)))),"Yıllık izin","İ"),"Ücretsiz izin","Ü"),1)))</f>
        <v/>
      </c>
      <c r="S39" s="20" t="str">
        <f aca="false">IF(OR($B39="",S$5=""),"",IF(SUMPRODUCT(MAX((İzinler!$A$5:$A$504=$B39)*(İzinler!$C$5:$C$504&lt;=S$5)*(İzinler!$D$5:$D$504&gt;=S$5)*ROW(İzinler!$A$5:$A$504)))=0,"",LEFT(SUBSTITUTE(SUBSTITUTE(INDEX(İzinler!$B$1:$B$504,SUMPRODUCT(MAX((İzinler!$A$5:$A$504=$B39)*(İzinler!$C$5:$C$504&lt;=S$5)*(İzinler!$D$5:$D$504&gt;=S$5)*ROW(İzinler!$A$5:$A$504)))),"Yıllık izin","İ"),"Ücretsiz izin","Ü"),1)))</f>
        <v/>
      </c>
      <c r="T39" s="20" t="str">
        <f aca="false">IF(OR($B39="",T$5=""),"",IF(SUMPRODUCT(MAX((İzinler!$A$5:$A$504=$B39)*(İzinler!$C$5:$C$504&lt;=T$5)*(İzinler!$D$5:$D$504&gt;=T$5)*ROW(İzinler!$A$5:$A$504)))=0,"",LEFT(SUBSTITUTE(SUBSTITUTE(INDEX(İzinler!$B$1:$B$504,SUMPRODUCT(MAX((İzinler!$A$5:$A$504=$B39)*(İzinler!$C$5:$C$504&lt;=T$5)*(İzinler!$D$5:$D$504&gt;=T$5)*ROW(İzinler!$A$5:$A$504)))),"Yıllık izin","İ"),"Ücretsiz izin","Ü"),1)))</f>
        <v/>
      </c>
      <c r="U39" s="20" t="str">
        <f aca="false">IF(OR($B39="",U$5=""),"",IF(SUMPRODUCT(MAX((İzinler!$A$5:$A$504=$B39)*(İzinler!$C$5:$C$504&lt;=U$5)*(İzinler!$D$5:$D$504&gt;=U$5)*ROW(İzinler!$A$5:$A$504)))=0,"",LEFT(SUBSTITUTE(SUBSTITUTE(INDEX(İzinler!$B$1:$B$504,SUMPRODUCT(MAX((İzinler!$A$5:$A$504=$B39)*(İzinler!$C$5:$C$504&lt;=U$5)*(İzinler!$D$5:$D$504&gt;=U$5)*ROW(İzinler!$A$5:$A$504)))),"Yıllık izin","İ"),"Ücretsiz izin","Ü"),1)))</f>
        <v/>
      </c>
      <c r="V39" s="20" t="str">
        <f aca="false">IF(OR($B39="",V$5=""),"",IF(SUMPRODUCT(MAX((İzinler!$A$5:$A$504=$B39)*(İzinler!$C$5:$C$504&lt;=V$5)*(İzinler!$D$5:$D$504&gt;=V$5)*ROW(İzinler!$A$5:$A$504)))=0,"",LEFT(SUBSTITUTE(SUBSTITUTE(INDEX(İzinler!$B$1:$B$504,SUMPRODUCT(MAX((İzinler!$A$5:$A$504=$B39)*(İzinler!$C$5:$C$504&lt;=V$5)*(İzinler!$D$5:$D$504&gt;=V$5)*ROW(İzinler!$A$5:$A$504)))),"Yıllık izin","İ"),"Ücretsiz izin","Ü"),1)))</f>
        <v/>
      </c>
      <c r="W39" s="20" t="str">
        <f aca="false">IF(OR($B39="",W$5=""),"",IF(SUMPRODUCT(MAX((İzinler!$A$5:$A$504=$B39)*(İzinler!$C$5:$C$504&lt;=W$5)*(İzinler!$D$5:$D$504&gt;=W$5)*ROW(İzinler!$A$5:$A$504)))=0,"",LEFT(SUBSTITUTE(SUBSTITUTE(INDEX(İzinler!$B$1:$B$504,SUMPRODUCT(MAX((İzinler!$A$5:$A$504=$B39)*(İzinler!$C$5:$C$504&lt;=W$5)*(İzinler!$D$5:$D$504&gt;=W$5)*ROW(İzinler!$A$5:$A$504)))),"Yıllık izin","İ"),"Ücretsiz izin","Ü"),1)))</f>
        <v/>
      </c>
      <c r="X39" s="20" t="str">
        <f aca="false">IF(OR($B39="",X$5=""),"",IF(SUMPRODUCT(MAX((İzinler!$A$5:$A$504=$B39)*(İzinler!$C$5:$C$504&lt;=X$5)*(İzinler!$D$5:$D$504&gt;=X$5)*ROW(İzinler!$A$5:$A$504)))=0,"",LEFT(SUBSTITUTE(SUBSTITUTE(INDEX(İzinler!$B$1:$B$504,SUMPRODUCT(MAX((İzinler!$A$5:$A$504=$B39)*(İzinler!$C$5:$C$504&lt;=X$5)*(İzinler!$D$5:$D$504&gt;=X$5)*ROW(İzinler!$A$5:$A$504)))),"Yıllık izin","İ"),"Ücretsiz izin","Ü"),1)))</f>
        <v/>
      </c>
      <c r="Y39" s="20" t="str">
        <f aca="false">IF(OR($B39="",Y$5=""),"",IF(SUMPRODUCT(MAX((İzinler!$A$5:$A$504=$B39)*(İzinler!$C$5:$C$504&lt;=Y$5)*(İzinler!$D$5:$D$504&gt;=Y$5)*ROW(İzinler!$A$5:$A$504)))=0,"",LEFT(SUBSTITUTE(SUBSTITUTE(INDEX(İzinler!$B$1:$B$504,SUMPRODUCT(MAX((İzinler!$A$5:$A$504=$B39)*(İzinler!$C$5:$C$504&lt;=Y$5)*(İzinler!$D$5:$D$504&gt;=Y$5)*ROW(İzinler!$A$5:$A$504)))),"Yıllık izin","İ"),"Ücretsiz izin","Ü"),1)))</f>
        <v/>
      </c>
      <c r="Z39" s="20" t="str">
        <f aca="false">IF(OR($B39="",Z$5=""),"",IF(SUMPRODUCT(MAX((İzinler!$A$5:$A$504=$B39)*(İzinler!$C$5:$C$504&lt;=Z$5)*(İzinler!$D$5:$D$504&gt;=Z$5)*ROW(İzinler!$A$5:$A$504)))=0,"",LEFT(SUBSTITUTE(SUBSTITUTE(INDEX(İzinler!$B$1:$B$504,SUMPRODUCT(MAX((İzinler!$A$5:$A$504=$B39)*(İzinler!$C$5:$C$504&lt;=Z$5)*(İzinler!$D$5:$D$504&gt;=Z$5)*ROW(İzinler!$A$5:$A$504)))),"Yıllık izin","İ"),"Ücretsiz izin","Ü"),1)))</f>
        <v/>
      </c>
      <c r="AA39" s="20" t="str">
        <f aca="false">IF(OR($B39="",AA$5=""),"",IF(SUMPRODUCT(MAX((İzinler!$A$5:$A$504=$B39)*(İzinler!$C$5:$C$504&lt;=AA$5)*(İzinler!$D$5:$D$504&gt;=AA$5)*ROW(İzinler!$A$5:$A$504)))=0,"",LEFT(SUBSTITUTE(SUBSTITUTE(INDEX(İzinler!$B$1:$B$504,SUMPRODUCT(MAX((İzinler!$A$5:$A$504=$B39)*(İzinler!$C$5:$C$504&lt;=AA$5)*(İzinler!$D$5:$D$504&gt;=AA$5)*ROW(İzinler!$A$5:$A$504)))),"Yıllık izin","İ"),"Ücretsiz izin","Ü"),1)))</f>
        <v/>
      </c>
      <c r="AB39" s="20" t="str">
        <f aca="false">IF(OR($B39="",AB$5=""),"",IF(SUMPRODUCT(MAX((İzinler!$A$5:$A$504=$B39)*(İzinler!$C$5:$C$504&lt;=AB$5)*(İzinler!$D$5:$D$504&gt;=AB$5)*ROW(İzinler!$A$5:$A$504)))=0,"",LEFT(SUBSTITUTE(SUBSTITUTE(INDEX(İzinler!$B$1:$B$504,SUMPRODUCT(MAX((İzinler!$A$5:$A$504=$B39)*(İzinler!$C$5:$C$504&lt;=AB$5)*(İzinler!$D$5:$D$504&gt;=AB$5)*ROW(İzinler!$A$5:$A$504)))),"Yıllık izin","İ"),"Ücretsiz izin","Ü"),1)))</f>
        <v/>
      </c>
      <c r="AC39" s="20" t="str">
        <f aca="false">IF(OR($B39="",AC$5=""),"",IF(SUMPRODUCT(MAX((İzinler!$A$5:$A$504=$B39)*(İzinler!$C$5:$C$504&lt;=AC$5)*(İzinler!$D$5:$D$504&gt;=AC$5)*ROW(İzinler!$A$5:$A$504)))=0,"",LEFT(SUBSTITUTE(SUBSTITUTE(INDEX(İzinler!$B$1:$B$504,SUMPRODUCT(MAX((İzinler!$A$5:$A$504=$B39)*(İzinler!$C$5:$C$504&lt;=AC$5)*(İzinler!$D$5:$D$504&gt;=AC$5)*ROW(İzinler!$A$5:$A$504)))),"Yıllık izin","İ"),"Ücretsiz izin","Ü"),1)))</f>
        <v/>
      </c>
      <c r="AD39" s="20" t="str">
        <f aca="false">IF(OR($B39="",AD$5=""),"",IF(SUMPRODUCT(MAX((İzinler!$A$5:$A$504=$B39)*(İzinler!$C$5:$C$504&lt;=AD$5)*(İzinler!$D$5:$D$504&gt;=AD$5)*ROW(İzinler!$A$5:$A$504)))=0,"",LEFT(SUBSTITUTE(SUBSTITUTE(INDEX(İzinler!$B$1:$B$504,SUMPRODUCT(MAX((İzinler!$A$5:$A$504=$B39)*(İzinler!$C$5:$C$504&lt;=AD$5)*(İzinler!$D$5:$D$504&gt;=AD$5)*ROW(İzinler!$A$5:$A$504)))),"Yıllık izin","İ"),"Ücretsiz izin","Ü"),1)))</f>
        <v/>
      </c>
      <c r="AE39" s="20" t="str">
        <f aca="false">IF(OR($B39="",AE$5=""),"",IF(SUMPRODUCT(MAX((İzinler!$A$5:$A$504=$B39)*(İzinler!$C$5:$C$504&lt;=AE$5)*(İzinler!$D$5:$D$504&gt;=AE$5)*ROW(İzinler!$A$5:$A$504)))=0,"",LEFT(SUBSTITUTE(SUBSTITUTE(INDEX(İzinler!$B$1:$B$504,SUMPRODUCT(MAX((İzinler!$A$5:$A$504=$B39)*(İzinler!$C$5:$C$504&lt;=AE$5)*(İzinler!$D$5:$D$504&gt;=AE$5)*ROW(İzinler!$A$5:$A$504)))),"Yıllık izin","İ"),"Ücretsiz izin","Ü"),1)))</f>
        <v/>
      </c>
      <c r="AF39" s="20" t="str">
        <f aca="false">IF(OR($B39="",AF$5=""),"",IF(SUMPRODUCT(MAX((İzinler!$A$5:$A$504=$B39)*(İzinler!$C$5:$C$504&lt;=AF$5)*(İzinler!$D$5:$D$504&gt;=AF$5)*ROW(İzinler!$A$5:$A$504)))=0,"",LEFT(SUBSTITUTE(SUBSTITUTE(INDEX(İzinler!$B$1:$B$504,SUMPRODUCT(MAX((İzinler!$A$5:$A$504=$B39)*(İzinler!$C$5:$C$504&lt;=AF$5)*(İzinler!$D$5:$D$504&gt;=AF$5)*ROW(İzinler!$A$5:$A$504)))),"Yıllık izin","İ"),"Ücretsiz izin","Ü"),1)))</f>
        <v/>
      </c>
      <c r="AG39" s="20" t="str">
        <f aca="false">IF(OR($B39="",AG$5=""),"",IF(SUMPRODUCT(MAX((İzinler!$A$5:$A$504=$B39)*(İzinler!$C$5:$C$504&lt;=AG$5)*(İzinler!$D$5:$D$504&gt;=AG$5)*ROW(İzinler!$A$5:$A$504)))=0,"",LEFT(SUBSTITUTE(SUBSTITUTE(INDEX(İzinler!$B$1:$B$504,SUMPRODUCT(MAX((İzinler!$A$5:$A$504=$B39)*(İzinler!$C$5:$C$504&lt;=AG$5)*(İzinler!$D$5:$D$504&gt;=AG$5)*ROW(İzinler!$A$5:$A$504)))),"Yıllık izin","İ"),"Ücretsiz izin","Ü"),1)))</f>
        <v/>
      </c>
      <c r="AH39" s="21" t="str">
        <f aca="false">IF(B39="","",COUNTIF(C39:AG39,"?"))</f>
        <v/>
      </c>
    </row>
    <row r="40" customFormat="false" ht="15" hidden="false" customHeight="false" outlineLevel="0" collapsed="false">
      <c r="B40" s="16" t="str">
        <f aca="false">IF(Personel!A39="","",Personel!A39)</f>
        <v/>
      </c>
      <c r="C40" s="20" t="str">
        <f aca="false">IF(OR($B40="",C$5=""),"",IF(SUMPRODUCT(MAX((İzinler!$A$5:$A$504=$B40)*(İzinler!$C$5:$C$504&lt;=C$5)*(İzinler!$D$5:$D$504&gt;=C$5)*ROW(İzinler!$A$5:$A$504)))=0,"",LEFT(SUBSTITUTE(SUBSTITUTE(INDEX(İzinler!$B$1:$B$504,SUMPRODUCT(MAX((İzinler!$A$5:$A$504=$B40)*(İzinler!$C$5:$C$504&lt;=C$5)*(İzinler!$D$5:$D$504&gt;=C$5)*ROW(İzinler!$A$5:$A$504)))),"Yıllık izin","İ"),"Ücretsiz izin","Ü"),1)))</f>
        <v/>
      </c>
      <c r="D40" s="20" t="str">
        <f aca="false">IF(OR($B40="",D$5=""),"",IF(SUMPRODUCT(MAX((İzinler!$A$5:$A$504=$B40)*(İzinler!$C$5:$C$504&lt;=D$5)*(İzinler!$D$5:$D$504&gt;=D$5)*ROW(İzinler!$A$5:$A$504)))=0,"",LEFT(SUBSTITUTE(SUBSTITUTE(INDEX(İzinler!$B$1:$B$504,SUMPRODUCT(MAX((İzinler!$A$5:$A$504=$B40)*(İzinler!$C$5:$C$504&lt;=D$5)*(İzinler!$D$5:$D$504&gt;=D$5)*ROW(İzinler!$A$5:$A$504)))),"Yıllık izin","İ"),"Ücretsiz izin","Ü"),1)))</f>
        <v/>
      </c>
      <c r="E40" s="20" t="str">
        <f aca="false">IF(OR($B40="",E$5=""),"",IF(SUMPRODUCT(MAX((İzinler!$A$5:$A$504=$B40)*(İzinler!$C$5:$C$504&lt;=E$5)*(İzinler!$D$5:$D$504&gt;=E$5)*ROW(İzinler!$A$5:$A$504)))=0,"",LEFT(SUBSTITUTE(SUBSTITUTE(INDEX(İzinler!$B$1:$B$504,SUMPRODUCT(MAX((İzinler!$A$5:$A$504=$B40)*(İzinler!$C$5:$C$504&lt;=E$5)*(İzinler!$D$5:$D$504&gt;=E$5)*ROW(İzinler!$A$5:$A$504)))),"Yıllık izin","İ"),"Ücretsiz izin","Ü"),1)))</f>
        <v/>
      </c>
      <c r="F40" s="20" t="str">
        <f aca="false">IF(OR($B40="",F$5=""),"",IF(SUMPRODUCT(MAX((İzinler!$A$5:$A$504=$B40)*(İzinler!$C$5:$C$504&lt;=F$5)*(İzinler!$D$5:$D$504&gt;=F$5)*ROW(İzinler!$A$5:$A$504)))=0,"",LEFT(SUBSTITUTE(SUBSTITUTE(INDEX(İzinler!$B$1:$B$504,SUMPRODUCT(MAX((İzinler!$A$5:$A$504=$B40)*(İzinler!$C$5:$C$504&lt;=F$5)*(İzinler!$D$5:$D$504&gt;=F$5)*ROW(İzinler!$A$5:$A$504)))),"Yıllık izin","İ"),"Ücretsiz izin","Ü"),1)))</f>
        <v/>
      </c>
      <c r="G40" s="20" t="str">
        <f aca="false">IF(OR($B40="",G$5=""),"",IF(SUMPRODUCT(MAX((İzinler!$A$5:$A$504=$B40)*(İzinler!$C$5:$C$504&lt;=G$5)*(İzinler!$D$5:$D$504&gt;=G$5)*ROW(İzinler!$A$5:$A$504)))=0,"",LEFT(SUBSTITUTE(SUBSTITUTE(INDEX(İzinler!$B$1:$B$504,SUMPRODUCT(MAX((İzinler!$A$5:$A$504=$B40)*(İzinler!$C$5:$C$504&lt;=G$5)*(İzinler!$D$5:$D$504&gt;=G$5)*ROW(İzinler!$A$5:$A$504)))),"Yıllık izin","İ"),"Ücretsiz izin","Ü"),1)))</f>
        <v/>
      </c>
      <c r="H40" s="20" t="str">
        <f aca="false">IF(OR($B40="",H$5=""),"",IF(SUMPRODUCT(MAX((İzinler!$A$5:$A$504=$B40)*(İzinler!$C$5:$C$504&lt;=H$5)*(İzinler!$D$5:$D$504&gt;=H$5)*ROW(İzinler!$A$5:$A$504)))=0,"",LEFT(SUBSTITUTE(SUBSTITUTE(INDEX(İzinler!$B$1:$B$504,SUMPRODUCT(MAX((İzinler!$A$5:$A$504=$B40)*(İzinler!$C$5:$C$504&lt;=H$5)*(İzinler!$D$5:$D$504&gt;=H$5)*ROW(İzinler!$A$5:$A$504)))),"Yıllık izin","İ"),"Ücretsiz izin","Ü"),1)))</f>
        <v/>
      </c>
      <c r="I40" s="20" t="str">
        <f aca="false">IF(OR($B40="",I$5=""),"",IF(SUMPRODUCT(MAX((İzinler!$A$5:$A$504=$B40)*(İzinler!$C$5:$C$504&lt;=I$5)*(İzinler!$D$5:$D$504&gt;=I$5)*ROW(İzinler!$A$5:$A$504)))=0,"",LEFT(SUBSTITUTE(SUBSTITUTE(INDEX(İzinler!$B$1:$B$504,SUMPRODUCT(MAX((İzinler!$A$5:$A$504=$B40)*(İzinler!$C$5:$C$504&lt;=I$5)*(İzinler!$D$5:$D$504&gt;=I$5)*ROW(İzinler!$A$5:$A$504)))),"Yıllık izin","İ"),"Ücretsiz izin","Ü"),1)))</f>
        <v/>
      </c>
      <c r="J40" s="20" t="str">
        <f aca="false">IF(OR($B40="",J$5=""),"",IF(SUMPRODUCT(MAX((İzinler!$A$5:$A$504=$B40)*(İzinler!$C$5:$C$504&lt;=J$5)*(İzinler!$D$5:$D$504&gt;=J$5)*ROW(İzinler!$A$5:$A$504)))=0,"",LEFT(SUBSTITUTE(SUBSTITUTE(INDEX(İzinler!$B$1:$B$504,SUMPRODUCT(MAX((İzinler!$A$5:$A$504=$B40)*(İzinler!$C$5:$C$504&lt;=J$5)*(İzinler!$D$5:$D$504&gt;=J$5)*ROW(İzinler!$A$5:$A$504)))),"Yıllık izin","İ"),"Ücretsiz izin","Ü"),1)))</f>
        <v/>
      </c>
      <c r="K40" s="20" t="str">
        <f aca="false">IF(OR($B40="",K$5=""),"",IF(SUMPRODUCT(MAX((İzinler!$A$5:$A$504=$B40)*(İzinler!$C$5:$C$504&lt;=K$5)*(İzinler!$D$5:$D$504&gt;=K$5)*ROW(İzinler!$A$5:$A$504)))=0,"",LEFT(SUBSTITUTE(SUBSTITUTE(INDEX(İzinler!$B$1:$B$504,SUMPRODUCT(MAX((İzinler!$A$5:$A$504=$B40)*(İzinler!$C$5:$C$504&lt;=K$5)*(İzinler!$D$5:$D$504&gt;=K$5)*ROW(İzinler!$A$5:$A$504)))),"Yıllık izin","İ"),"Ücretsiz izin","Ü"),1)))</f>
        <v/>
      </c>
      <c r="L40" s="20" t="str">
        <f aca="false">IF(OR($B40="",L$5=""),"",IF(SUMPRODUCT(MAX((İzinler!$A$5:$A$504=$B40)*(İzinler!$C$5:$C$504&lt;=L$5)*(İzinler!$D$5:$D$504&gt;=L$5)*ROW(İzinler!$A$5:$A$504)))=0,"",LEFT(SUBSTITUTE(SUBSTITUTE(INDEX(İzinler!$B$1:$B$504,SUMPRODUCT(MAX((İzinler!$A$5:$A$504=$B40)*(İzinler!$C$5:$C$504&lt;=L$5)*(İzinler!$D$5:$D$504&gt;=L$5)*ROW(İzinler!$A$5:$A$504)))),"Yıllık izin","İ"),"Ücretsiz izin","Ü"),1)))</f>
        <v/>
      </c>
      <c r="M40" s="20" t="str">
        <f aca="false">IF(OR($B40="",M$5=""),"",IF(SUMPRODUCT(MAX((İzinler!$A$5:$A$504=$B40)*(İzinler!$C$5:$C$504&lt;=M$5)*(İzinler!$D$5:$D$504&gt;=M$5)*ROW(İzinler!$A$5:$A$504)))=0,"",LEFT(SUBSTITUTE(SUBSTITUTE(INDEX(İzinler!$B$1:$B$504,SUMPRODUCT(MAX((İzinler!$A$5:$A$504=$B40)*(İzinler!$C$5:$C$504&lt;=M$5)*(İzinler!$D$5:$D$504&gt;=M$5)*ROW(İzinler!$A$5:$A$504)))),"Yıllık izin","İ"),"Ücretsiz izin","Ü"),1)))</f>
        <v/>
      </c>
      <c r="N40" s="20" t="str">
        <f aca="false">IF(OR($B40="",N$5=""),"",IF(SUMPRODUCT(MAX((İzinler!$A$5:$A$504=$B40)*(İzinler!$C$5:$C$504&lt;=N$5)*(İzinler!$D$5:$D$504&gt;=N$5)*ROW(İzinler!$A$5:$A$504)))=0,"",LEFT(SUBSTITUTE(SUBSTITUTE(INDEX(İzinler!$B$1:$B$504,SUMPRODUCT(MAX((İzinler!$A$5:$A$504=$B40)*(İzinler!$C$5:$C$504&lt;=N$5)*(İzinler!$D$5:$D$504&gt;=N$5)*ROW(İzinler!$A$5:$A$504)))),"Yıllık izin","İ"),"Ücretsiz izin","Ü"),1)))</f>
        <v/>
      </c>
      <c r="O40" s="20" t="str">
        <f aca="false">IF(OR($B40="",O$5=""),"",IF(SUMPRODUCT(MAX((İzinler!$A$5:$A$504=$B40)*(İzinler!$C$5:$C$504&lt;=O$5)*(İzinler!$D$5:$D$504&gt;=O$5)*ROW(İzinler!$A$5:$A$504)))=0,"",LEFT(SUBSTITUTE(SUBSTITUTE(INDEX(İzinler!$B$1:$B$504,SUMPRODUCT(MAX((İzinler!$A$5:$A$504=$B40)*(İzinler!$C$5:$C$504&lt;=O$5)*(İzinler!$D$5:$D$504&gt;=O$5)*ROW(İzinler!$A$5:$A$504)))),"Yıllık izin","İ"),"Ücretsiz izin","Ü"),1)))</f>
        <v/>
      </c>
      <c r="P40" s="20" t="str">
        <f aca="false">IF(OR($B40="",P$5=""),"",IF(SUMPRODUCT(MAX((İzinler!$A$5:$A$504=$B40)*(İzinler!$C$5:$C$504&lt;=P$5)*(İzinler!$D$5:$D$504&gt;=P$5)*ROW(İzinler!$A$5:$A$504)))=0,"",LEFT(SUBSTITUTE(SUBSTITUTE(INDEX(İzinler!$B$1:$B$504,SUMPRODUCT(MAX((İzinler!$A$5:$A$504=$B40)*(İzinler!$C$5:$C$504&lt;=P$5)*(İzinler!$D$5:$D$504&gt;=P$5)*ROW(İzinler!$A$5:$A$504)))),"Yıllık izin","İ"),"Ücretsiz izin","Ü"),1)))</f>
        <v/>
      </c>
      <c r="Q40" s="20" t="str">
        <f aca="false">IF(OR($B40="",Q$5=""),"",IF(SUMPRODUCT(MAX((İzinler!$A$5:$A$504=$B40)*(İzinler!$C$5:$C$504&lt;=Q$5)*(İzinler!$D$5:$D$504&gt;=Q$5)*ROW(İzinler!$A$5:$A$504)))=0,"",LEFT(SUBSTITUTE(SUBSTITUTE(INDEX(İzinler!$B$1:$B$504,SUMPRODUCT(MAX((İzinler!$A$5:$A$504=$B40)*(İzinler!$C$5:$C$504&lt;=Q$5)*(İzinler!$D$5:$D$504&gt;=Q$5)*ROW(İzinler!$A$5:$A$504)))),"Yıllık izin","İ"),"Ücretsiz izin","Ü"),1)))</f>
        <v/>
      </c>
      <c r="R40" s="20" t="str">
        <f aca="false">IF(OR($B40="",R$5=""),"",IF(SUMPRODUCT(MAX((İzinler!$A$5:$A$504=$B40)*(İzinler!$C$5:$C$504&lt;=R$5)*(İzinler!$D$5:$D$504&gt;=R$5)*ROW(İzinler!$A$5:$A$504)))=0,"",LEFT(SUBSTITUTE(SUBSTITUTE(INDEX(İzinler!$B$1:$B$504,SUMPRODUCT(MAX((İzinler!$A$5:$A$504=$B40)*(İzinler!$C$5:$C$504&lt;=R$5)*(İzinler!$D$5:$D$504&gt;=R$5)*ROW(İzinler!$A$5:$A$504)))),"Yıllık izin","İ"),"Ücretsiz izin","Ü"),1)))</f>
        <v/>
      </c>
      <c r="S40" s="20" t="str">
        <f aca="false">IF(OR($B40="",S$5=""),"",IF(SUMPRODUCT(MAX((İzinler!$A$5:$A$504=$B40)*(İzinler!$C$5:$C$504&lt;=S$5)*(İzinler!$D$5:$D$504&gt;=S$5)*ROW(İzinler!$A$5:$A$504)))=0,"",LEFT(SUBSTITUTE(SUBSTITUTE(INDEX(İzinler!$B$1:$B$504,SUMPRODUCT(MAX((İzinler!$A$5:$A$504=$B40)*(İzinler!$C$5:$C$504&lt;=S$5)*(İzinler!$D$5:$D$504&gt;=S$5)*ROW(İzinler!$A$5:$A$504)))),"Yıllık izin","İ"),"Ücretsiz izin","Ü"),1)))</f>
        <v/>
      </c>
      <c r="T40" s="20" t="str">
        <f aca="false">IF(OR($B40="",T$5=""),"",IF(SUMPRODUCT(MAX((İzinler!$A$5:$A$504=$B40)*(İzinler!$C$5:$C$504&lt;=T$5)*(İzinler!$D$5:$D$504&gt;=T$5)*ROW(İzinler!$A$5:$A$504)))=0,"",LEFT(SUBSTITUTE(SUBSTITUTE(INDEX(İzinler!$B$1:$B$504,SUMPRODUCT(MAX((İzinler!$A$5:$A$504=$B40)*(İzinler!$C$5:$C$504&lt;=T$5)*(İzinler!$D$5:$D$504&gt;=T$5)*ROW(İzinler!$A$5:$A$504)))),"Yıllık izin","İ"),"Ücretsiz izin","Ü"),1)))</f>
        <v/>
      </c>
      <c r="U40" s="20" t="str">
        <f aca="false">IF(OR($B40="",U$5=""),"",IF(SUMPRODUCT(MAX((İzinler!$A$5:$A$504=$B40)*(İzinler!$C$5:$C$504&lt;=U$5)*(İzinler!$D$5:$D$504&gt;=U$5)*ROW(İzinler!$A$5:$A$504)))=0,"",LEFT(SUBSTITUTE(SUBSTITUTE(INDEX(İzinler!$B$1:$B$504,SUMPRODUCT(MAX((İzinler!$A$5:$A$504=$B40)*(İzinler!$C$5:$C$504&lt;=U$5)*(İzinler!$D$5:$D$504&gt;=U$5)*ROW(İzinler!$A$5:$A$504)))),"Yıllık izin","İ"),"Ücretsiz izin","Ü"),1)))</f>
        <v/>
      </c>
      <c r="V40" s="20" t="str">
        <f aca="false">IF(OR($B40="",V$5=""),"",IF(SUMPRODUCT(MAX((İzinler!$A$5:$A$504=$B40)*(İzinler!$C$5:$C$504&lt;=V$5)*(İzinler!$D$5:$D$504&gt;=V$5)*ROW(İzinler!$A$5:$A$504)))=0,"",LEFT(SUBSTITUTE(SUBSTITUTE(INDEX(İzinler!$B$1:$B$504,SUMPRODUCT(MAX((İzinler!$A$5:$A$504=$B40)*(İzinler!$C$5:$C$504&lt;=V$5)*(İzinler!$D$5:$D$504&gt;=V$5)*ROW(İzinler!$A$5:$A$504)))),"Yıllık izin","İ"),"Ücretsiz izin","Ü"),1)))</f>
        <v/>
      </c>
      <c r="W40" s="20" t="str">
        <f aca="false">IF(OR($B40="",W$5=""),"",IF(SUMPRODUCT(MAX((İzinler!$A$5:$A$504=$B40)*(İzinler!$C$5:$C$504&lt;=W$5)*(İzinler!$D$5:$D$504&gt;=W$5)*ROW(İzinler!$A$5:$A$504)))=0,"",LEFT(SUBSTITUTE(SUBSTITUTE(INDEX(İzinler!$B$1:$B$504,SUMPRODUCT(MAX((İzinler!$A$5:$A$504=$B40)*(İzinler!$C$5:$C$504&lt;=W$5)*(İzinler!$D$5:$D$504&gt;=W$5)*ROW(İzinler!$A$5:$A$504)))),"Yıllık izin","İ"),"Ücretsiz izin","Ü"),1)))</f>
        <v/>
      </c>
      <c r="X40" s="20" t="str">
        <f aca="false">IF(OR($B40="",X$5=""),"",IF(SUMPRODUCT(MAX((İzinler!$A$5:$A$504=$B40)*(İzinler!$C$5:$C$504&lt;=X$5)*(İzinler!$D$5:$D$504&gt;=X$5)*ROW(İzinler!$A$5:$A$504)))=0,"",LEFT(SUBSTITUTE(SUBSTITUTE(INDEX(İzinler!$B$1:$B$504,SUMPRODUCT(MAX((İzinler!$A$5:$A$504=$B40)*(İzinler!$C$5:$C$504&lt;=X$5)*(İzinler!$D$5:$D$504&gt;=X$5)*ROW(İzinler!$A$5:$A$504)))),"Yıllık izin","İ"),"Ücretsiz izin","Ü"),1)))</f>
        <v/>
      </c>
      <c r="Y40" s="20" t="str">
        <f aca="false">IF(OR($B40="",Y$5=""),"",IF(SUMPRODUCT(MAX((İzinler!$A$5:$A$504=$B40)*(İzinler!$C$5:$C$504&lt;=Y$5)*(İzinler!$D$5:$D$504&gt;=Y$5)*ROW(İzinler!$A$5:$A$504)))=0,"",LEFT(SUBSTITUTE(SUBSTITUTE(INDEX(İzinler!$B$1:$B$504,SUMPRODUCT(MAX((İzinler!$A$5:$A$504=$B40)*(İzinler!$C$5:$C$504&lt;=Y$5)*(İzinler!$D$5:$D$504&gt;=Y$5)*ROW(İzinler!$A$5:$A$504)))),"Yıllık izin","İ"),"Ücretsiz izin","Ü"),1)))</f>
        <v/>
      </c>
      <c r="Z40" s="20" t="str">
        <f aca="false">IF(OR($B40="",Z$5=""),"",IF(SUMPRODUCT(MAX((İzinler!$A$5:$A$504=$B40)*(İzinler!$C$5:$C$504&lt;=Z$5)*(İzinler!$D$5:$D$504&gt;=Z$5)*ROW(İzinler!$A$5:$A$504)))=0,"",LEFT(SUBSTITUTE(SUBSTITUTE(INDEX(İzinler!$B$1:$B$504,SUMPRODUCT(MAX((İzinler!$A$5:$A$504=$B40)*(İzinler!$C$5:$C$504&lt;=Z$5)*(İzinler!$D$5:$D$504&gt;=Z$5)*ROW(İzinler!$A$5:$A$504)))),"Yıllık izin","İ"),"Ücretsiz izin","Ü"),1)))</f>
        <v/>
      </c>
      <c r="AA40" s="20" t="str">
        <f aca="false">IF(OR($B40="",AA$5=""),"",IF(SUMPRODUCT(MAX((İzinler!$A$5:$A$504=$B40)*(İzinler!$C$5:$C$504&lt;=AA$5)*(İzinler!$D$5:$D$504&gt;=AA$5)*ROW(İzinler!$A$5:$A$504)))=0,"",LEFT(SUBSTITUTE(SUBSTITUTE(INDEX(İzinler!$B$1:$B$504,SUMPRODUCT(MAX((İzinler!$A$5:$A$504=$B40)*(İzinler!$C$5:$C$504&lt;=AA$5)*(İzinler!$D$5:$D$504&gt;=AA$5)*ROW(İzinler!$A$5:$A$504)))),"Yıllık izin","İ"),"Ücretsiz izin","Ü"),1)))</f>
        <v/>
      </c>
      <c r="AB40" s="20" t="str">
        <f aca="false">IF(OR($B40="",AB$5=""),"",IF(SUMPRODUCT(MAX((İzinler!$A$5:$A$504=$B40)*(İzinler!$C$5:$C$504&lt;=AB$5)*(İzinler!$D$5:$D$504&gt;=AB$5)*ROW(İzinler!$A$5:$A$504)))=0,"",LEFT(SUBSTITUTE(SUBSTITUTE(INDEX(İzinler!$B$1:$B$504,SUMPRODUCT(MAX((İzinler!$A$5:$A$504=$B40)*(İzinler!$C$5:$C$504&lt;=AB$5)*(İzinler!$D$5:$D$504&gt;=AB$5)*ROW(İzinler!$A$5:$A$504)))),"Yıllık izin","İ"),"Ücretsiz izin","Ü"),1)))</f>
        <v/>
      </c>
      <c r="AC40" s="20" t="str">
        <f aca="false">IF(OR($B40="",AC$5=""),"",IF(SUMPRODUCT(MAX((İzinler!$A$5:$A$504=$B40)*(İzinler!$C$5:$C$504&lt;=AC$5)*(İzinler!$D$5:$D$504&gt;=AC$5)*ROW(İzinler!$A$5:$A$504)))=0,"",LEFT(SUBSTITUTE(SUBSTITUTE(INDEX(İzinler!$B$1:$B$504,SUMPRODUCT(MAX((İzinler!$A$5:$A$504=$B40)*(İzinler!$C$5:$C$504&lt;=AC$5)*(İzinler!$D$5:$D$504&gt;=AC$5)*ROW(İzinler!$A$5:$A$504)))),"Yıllık izin","İ"),"Ücretsiz izin","Ü"),1)))</f>
        <v/>
      </c>
      <c r="AD40" s="20" t="str">
        <f aca="false">IF(OR($B40="",AD$5=""),"",IF(SUMPRODUCT(MAX((İzinler!$A$5:$A$504=$B40)*(İzinler!$C$5:$C$504&lt;=AD$5)*(İzinler!$D$5:$D$504&gt;=AD$5)*ROW(İzinler!$A$5:$A$504)))=0,"",LEFT(SUBSTITUTE(SUBSTITUTE(INDEX(İzinler!$B$1:$B$504,SUMPRODUCT(MAX((İzinler!$A$5:$A$504=$B40)*(İzinler!$C$5:$C$504&lt;=AD$5)*(İzinler!$D$5:$D$504&gt;=AD$5)*ROW(İzinler!$A$5:$A$504)))),"Yıllık izin","İ"),"Ücretsiz izin","Ü"),1)))</f>
        <v/>
      </c>
      <c r="AE40" s="20" t="str">
        <f aca="false">IF(OR($B40="",AE$5=""),"",IF(SUMPRODUCT(MAX((İzinler!$A$5:$A$504=$B40)*(İzinler!$C$5:$C$504&lt;=AE$5)*(İzinler!$D$5:$D$504&gt;=AE$5)*ROW(İzinler!$A$5:$A$504)))=0,"",LEFT(SUBSTITUTE(SUBSTITUTE(INDEX(İzinler!$B$1:$B$504,SUMPRODUCT(MAX((İzinler!$A$5:$A$504=$B40)*(İzinler!$C$5:$C$504&lt;=AE$5)*(İzinler!$D$5:$D$504&gt;=AE$5)*ROW(İzinler!$A$5:$A$504)))),"Yıllık izin","İ"),"Ücretsiz izin","Ü"),1)))</f>
        <v/>
      </c>
      <c r="AF40" s="20" t="str">
        <f aca="false">IF(OR($B40="",AF$5=""),"",IF(SUMPRODUCT(MAX((İzinler!$A$5:$A$504=$B40)*(İzinler!$C$5:$C$504&lt;=AF$5)*(İzinler!$D$5:$D$504&gt;=AF$5)*ROW(İzinler!$A$5:$A$504)))=0,"",LEFT(SUBSTITUTE(SUBSTITUTE(INDEX(İzinler!$B$1:$B$504,SUMPRODUCT(MAX((İzinler!$A$5:$A$504=$B40)*(İzinler!$C$5:$C$504&lt;=AF$5)*(İzinler!$D$5:$D$504&gt;=AF$5)*ROW(İzinler!$A$5:$A$504)))),"Yıllık izin","İ"),"Ücretsiz izin","Ü"),1)))</f>
        <v/>
      </c>
      <c r="AG40" s="20" t="str">
        <f aca="false">IF(OR($B40="",AG$5=""),"",IF(SUMPRODUCT(MAX((İzinler!$A$5:$A$504=$B40)*(İzinler!$C$5:$C$504&lt;=AG$5)*(İzinler!$D$5:$D$504&gt;=AG$5)*ROW(İzinler!$A$5:$A$504)))=0,"",LEFT(SUBSTITUTE(SUBSTITUTE(INDEX(İzinler!$B$1:$B$504,SUMPRODUCT(MAX((İzinler!$A$5:$A$504=$B40)*(İzinler!$C$5:$C$504&lt;=AG$5)*(İzinler!$D$5:$D$504&gt;=AG$5)*ROW(İzinler!$A$5:$A$504)))),"Yıllık izin","İ"),"Ücretsiz izin","Ü"),1)))</f>
        <v/>
      </c>
      <c r="AH40" s="21" t="str">
        <f aca="false">IF(B40="","",COUNTIF(C40:AG40,"?"))</f>
        <v/>
      </c>
    </row>
    <row r="41" customFormat="false" ht="15" hidden="false" customHeight="false" outlineLevel="0" collapsed="false">
      <c r="B41" s="16" t="str">
        <f aca="false">IF(Personel!A40="","",Personel!A40)</f>
        <v/>
      </c>
      <c r="C41" s="20" t="str">
        <f aca="false">IF(OR($B41="",C$5=""),"",IF(SUMPRODUCT(MAX((İzinler!$A$5:$A$504=$B41)*(İzinler!$C$5:$C$504&lt;=C$5)*(İzinler!$D$5:$D$504&gt;=C$5)*ROW(İzinler!$A$5:$A$504)))=0,"",LEFT(SUBSTITUTE(SUBSTITUTE(INDEX(İzinler!$B$1:$B$504,SUMPRODUCT(MAX((İzinler!$A$5:$A$504=$B41)*(İzinler!$C$5:$C$504&lt;=C$5)*(İzinler!$D$5:$D$504&gt;=C$5)*ROW(İzinler!$A$5:$A$504)))),"Yıllık izin","İ"),"Ücretsiz izin","Ü"),1)))</f>
        <v/>
      </c>
      <c r="D41" s="20" t="str">
        <f aca="false">IF(OR($B41="",D$5=""),"",IF(SUMPRODUCT(MAX((İzinler!$A$5:$A$504=$B41)*(İzinler!$C$5:$C$504&lt;=D$5)*(İzinler!$D$5:$D$504&gt;=D$5)*ROW(İzinler!$A$5:$A$504)))=0,"",LEFT(SUBSTITUTE(SUBSTITUTE(INDEX(İzinler!$B$1:$B$504,SUMPRODUCT(MAX((İzinler!$A$5:$A$504=$B41)*(İzinler!$C$5:$C$504&lt;=D$5)*(İzinler!$D$5:$D$504&gt;=D$5)*ROW(İzinler!$A$5:$A$504)))),"Yıllık izin","İ"),"Ücretsiz izin","Ü"),1)))</f>
        <v/>
      </c>
      <c r="E41" s="20" t="str">
        <f aca="false">IF(OR($B41="",E$5=""),"",IF(SUMPRODUCT(MAX((İzinler!$A$5:$A$504=$B41)*(İzinler!$C$5:$C$504&lt;=E$5)*(İzinler!$D$5:$D$504&gt;=E$5)*ROW(İzinler!$A$5:$A$504)))=0,"",LEFT(SUBSTITUTE(SUBSTITUTE(INDEX(İzinler!$B$1:$B$504,SUMPRODUCT(MAX((İzinler!$A$5:$A$504=$B41)*(İzinler!$C$5:$C$504&lt;=E$5)*(İzinler!$D$5:$D$504&gt;=E$5)*ROW(İzinler!$A$5:$A$504)))),"Yıllık izin","İ"),"Ücretsiz izin","Ü"),1)))</f>
        <v/>
      </c>
      <c r="F41" s="20" t="str">
        <f aca="false">IF(OR($B41="",F$5=""),"",IF(SUMPRODUCT(MAX((İzinler!$A$5:$A$504=$B41)*(İzinler!$C$5:$C$504&lt;=F$5)*(İzinler!$D$5:$D$504&gt;=F$5)*ROW(İzinler!$A$5:$A$504)))=0,"",LEFT(SUBSTITUTE(SUBSTITUTE(INDEX(İzinler!$B$1:$B$504,SUMPRODUCT(MAX((İzinler!$A$5:$A$504=$B41)*(İzinler!$C$5:$C$504&lt;=F$5)*(İzinler!$D$5:$D$504&gt;=F$5)*ROW(İzinler!$A$5:$A$504)))),"Yıllık izin","İ"),"Ücretsiz izin","Ü"),1)))</f>
        <v/>
      </c>
      <c r="G41" s="20" t="str">
        <f aca="false">IF(OR($B41="",G$5=""),"",IF(SUMPRODUCT(MAX((İzinler!$A$5:$A$504=$B41)*(İzinler!$C$5:$C$504&lt;=G$5)*(İzinler!$D$5:$D$504&gt;=G$5)*ROW(İzinler!$A$5:$A$504)))=0,"",LEFT(SUBSTITUTE(SUBSTITUTE(INDEX(İzinler!$B$1:$B$504,SUMPRODUCT(MAX((İzinler!$A$5:$A$504=$B41)*(İzinler!$C$5:$C$504&lt;=G$5)*(İzinler!$D$5:$D$504&gt;=G$5)*ROW(İzinler!$A$5:$A$504)))),"Yıllık izin","İ"),"Ücretsiz izin","Ü"),1)))</f>
        <v/>
      </c>
      <c r="H41" s="20" t="str">
        <f aca="false">IF(OR($B41="",H$5=""),"",IF(SUMPRODUCT(MAX((İzinler!$A$5:$A$504=$B41)*(İzinler!$C$5:$C$504&lt;=H$5)*(İzinler!$D$5:$D$504&gt;=H$5)*ROW(İzinler!$A$5:$A$504)))=0,"",LEFT(SUBSTITUTE(SUBSTITUTE(INDEX(İzinler!$B$1:$B$504,SUMPRODUCT(MAX((İzinler!$A$5:$A$504=$B41)*(İzinler!$C$5:$C$504&lt;=H$5)*(İzinler!$D$5:$D$504&gt;=H$5)*ROW(İzinler!$A$5:$A$504)))),"Yıllık izin","İ"),"Ücretsiz izin","Ü"),1)))</f>
        <v/>
      </c>
      <c r="I41" s="20" t="str">
        <f aca="false">IF(OR($B41="",I$5=""),"",IF(SUMPRODUCT(MAX((İzinler!$A$5:$A$504=$B41)*(İzinler!$C$5:$C$504&lt;=I$5)*(İzinler!$D$5:$D$504&gt;=I$5)*ROW(İzinler!$A$5:$A$504)))=0,"",LEFT(SUBSTITUTE(SUBSTITUTE(INDEX(İzinler!$B$1:$B$504,SUMPRODUCT(MAX((İzinler!$A$5:$A$504=$B41)*(İzinler!$C$5:$C$504&lt;=I$5)*(İzinler!$D$5:$D$504&gt;=I$5)*ROW(İzinler!$A$5:$A$504)))),"Yıllık izin","İ"),"Ücretsiz izin","Ü"),1)))</f>
        <v/>
      </c>
      <c r="J41" s="20" t="str">
        <f aca="false">IF(OR($B41="",J$5=""),"",IF(SUMPRODUCT(MAX((İzinler!$A$5:$A$504=$B41)*(İzinler!$C$5:$C$504&lt;=J$5)*(İzinler!$D$5:$D$504&gt;=J$5)*ROW(İzinler!$A$5:$A$504)))=0,"",LEFT(SUBSTITUTE(SUBSTITUTE(INDEX(İzinler!$B$1:$B$504,SUMPRODUCT(MAX((İzinler!$A$5:$A$504=$B41)*(İzinler!$C$5:$C$504&lt;=J$5)*(İzinler!$D$5:$D$504&gt;=J$5)*ROW(İzinler!$A$5:$A$504)))),"Yıllık izin","İ"),"Ücretsiz izin","Ü"),1)))</f>
        <v/>
      </c>
      <c r="K41" s="20" t="str">
        <f aca="false">IF(OR($B41="",K$5=""),"",IF(SUMPRODUCT(MAX((İzinler!$A$5:$A$504=$B41)*(İzinler!$C$5:$C$504&lt;=K$5)*(İzinler!$D$5:$D$504&gt;=K$5)*ROW(İzinler!$A$5:$A$504)))=0,"",LEFT(SUBSTITUTE(SUBSTITUTE(INDEX(İzinler!$B$1:$B$504,SUMPRODUCT(MAX((İzinler!$A$5:$A$504=$B41)*(İzinler!$C$5:$C$504&lt;=K$5)*(İzinler!$D$5:$D$504&gt;=K$5)*ROW(İzinler!$A$5:$A$504)))),"Yıllık izin","İ"),"Ücretsiz izin","Ü"),1)))</f>
        <v/>
      </c>
      <c r="L41" s="20" t="str">
        <f aca="false">IF(OR($B41="",L$5=""),"",IF(SUMPRODUCT(MAX((İzinler!$A$5:$A$504=$B41)*(İzinler!$C$5:$C$504&lt;=L$5)*(İzinler!$D$5:$D$504&gt;=L$5)*ROW(İzinler!$A$5:$A$504)))=0,"",LEFT(SUBSTITUTE(SUBSTITUTE(INDEX(İzinler!$B$1:$B$504,SUMPRODUCT(MAX((İzinler!$A$5:$A$504=$B41)*(İzinler!$C$5:$C$504&lt;=L$5)*(İzinler!$D$5:$D$504&gt;=L$5)*ROW(İzinler!$A$5:$A$504)))),"Yıllık izin","İ"),"Ücretsiz izin","Ü"),1)))</f>
        <v/>
      </c>
      <c r="M41" s="20" t="str">
        <f aca="false">IF(OR($B41="",M$5=""),"",IF(SUMPRODUCT(MAX((İzinler!$A$5:$A$504=$B41)*(İzinler!$C$5:$C$504&lt;=M$5)*(İzinler!$D$5:$D$504&gt;=M$5)*ROW(İzinler!$A$5:$A$504)))=0,"",LEFT(SUBSTITUTE(SUBSTITUTE(INDEX(İzinler!$B$1:$B$504,SUMPRODUCT(MAX((İzinler!$A$5:$A$504=$B41)*(İzinler!$C$5:$C$504&lt;=M$5)*(İzinler!$D$5:$D$504&gt;=M$5)*ROW(İzinler!$A$5:$A$504)))),"Yıllık izin","İ"),"Ücretsiz izin","Ü"),1)))</f>
        <v/>
      </c>
      <c r="N41" s="20" t="str">
        <f aca="false">IF(OR($B41="",N$5=""),"",IF(SUMPRODUCT(MAX((İzinler!$A$5:$A$504=$B41)*(İzinler!$C$5:$C$504&lt;=N$5)*(İzinler!$D$5:$D$504&gt;=N$5)*ROW(İzinler!$A$5:$A$504)))=0,"",LEFT(SUBSTITUTE(SUBSTITUTE(INDEX(İzinler!$B$1:$B$504,SUMPRODUCT(MAX((İzinler!$A$5:$A$504=$B41)*(İzinler!$C$5:$C$504&lt;=N$5)*(İzinler!$D$5:$D$504&gt;=N$5)*ROW(İzinler!$A$5:$A$504)))),"Yıllık izin","İ"),"Ücretsiz izin","Ü"),1)))</f>
        <v/>
      </c>
      <c r="O41" s="20" t="str">
        <f aca="false">IF(OR($B41="",O$5=""),"",IF(SUMPRODUCT(MAX((İzinler!$A$5:$A$504=$B41)*(İzinler!$C$5:$C$504&lt;=O$5)*(İzinler!$D$5:$D$504&gt;=O$5)*ROW(İzinler!$A$5:$A$504)))=0,"",LEFT(SUBSTITUTE(SUBSTITUTE(INDEX(İzinler!$B$1:$B$504,SUMPRODUCT(MAX((İzinler!$A$5:$A$504=$B41)*(İzinler!$C$5:$C$504&lt;=O$5)*(İzinler!$D$5:$D$504&gt;=O$5)*ROW(İzinler!$A$5:$A$504)))),"Yıllık izin","İ"),"Ücretsiz izin","Ü"),1)))</f>
        <v/>
      </c>
      <c r="P41" s="20" t="str">
        <f aca="false">IF(OR($B41="",P$5=""),"",IF(SUMPRODUCT(MAX((İzinler!$A$5:$A$504=$B41)*(İzinler!$C$5:$C$504&lt;=P$5)*(İzinler!$D$5:$D$504&gt;=P$5)*ROW(İzinler!$A$5:$A$504)))=0,"",LEFT(SUBSTITUTE(SUBSTITUTE(INDEX(İzinler!$B$1:$B$504,SUMPRODUCT(MAX((İzinler!$A$5:$A$504=$B41)*(İzinler!$C$5:$C$504&lt;=P$5)*(İzinler!$D$5:$D$504&gt;=P$5)*ROW(İzinler!$A$5:$A$504)))),"Yıllık izin","İ"),"Ücretsiz izin","Ü"),1)))</f>
        <v/>
      </c>
      <c r="Q41" s="20" t="str">
        <f aca="false">IF(OR($B41="",Q$5=""),"",IF(SUMPRODUCT(MAX((İzinler!$A$5:$A$504=$B41)*(İzinler!$C$5:$C$504&lt;=Q$5)*(İzinler!$D$5:$D$504&gt;=Q$5)*ROW(İzinler!$A$5:$A$504)))=0,"",LEFT(SUBSTITUTE(SUBSTITUTE(INDEX(İzinler!$B$1:$B$504,SUMPRODUCT(MAX((İzinler!$A$5:$A$504=$B41)*(İzinler!$C$5:$C$504&lt;=Q$5)*(İzinler!$D$5:$D$504&gt;=Q$5)*ROW(İzinler!$A$5:$A$504)))),"Yıllık izin","İ"),"Ücretsiz izin","Ü"),1)))</f>
        <v/>
      </c>
      <c r="R41" s="20" t="str">
        <f aca="false">IF(OR($B41="",R$5=""),"",IF(SUMPRODUCT(MAX((İzinler!$A$5:$A$504=$B41)*(İzinler!$C$5:$C$504&lt;=R$5)*(İzinler!$D$5:$D$504&gt;=R$5)*ROW(İzinler!$A$5:$A$504)))=0,"",LEFT(SUBSTITUTE(SUBSTITUTE(INDEX(İzinler!$B$1:$B$504,SUMPRODUCT(MAX((İzinler!$A$5:$A$504=$B41)*(İzinler!$C$5:$C$504&lt;=R$5)*(İzinler!$D$5:$D$504&gt;=R$5)*ROW(İzinler!$A$5:$A$504)))),"Yıllık izin","İ"),"Ücretsiz izin","Ü"),1)))</f>
        <v/>
      </c>
      <c r="S41" s="20" t="str">
        <f aca="false">IF(OR($B41="",S$5=""),"",IF(SUMPRODUCT(MAX((İzinler!$A$5:$A$504=$B41)*(İzinler!$C$5:$C$504&lt;=S$5)*(İzinler!$D$5:$D$504&gt;=S$5)*ROW(İzinler!$A$5:$A$504)))=0,"",LEFT(SUBSTITUTE(SUBSTITUTE(INDEX(İzinler!$B$1:$B$504,SUMPRODUCT(MAX((İzinler!$A$5:$A$504=$B41)*(İzinler!$C$5:$C$504&lt;=S$5)*(İzinler!$D$5:$D$504&gt;=S$5)*ROW(İzinler!$A$5:$A$504)))),"Yıllık izin","İ"),"Ücretsiz izin","Ü"),1)))</f>
        <v/>
      </c>
      <c r="T41" s="20" t="str">
        <f aca="false">IF(OR($B41="",T$5=""),"",IF(SUMPRODUCT(MAX((İzinler!$A$5:$A$504=$B41)*(İzinler!$C$5:$C$504&lt;=T$5)*(İzinler!$D$5:$D$504&gt;=T$5)*ROW(İzinler!$A$5:$A$504)))=0,"",LEFT(SUBSTITUTE(SUBSTITUTE(INDEX(İzinler!$B$1:$B$504,SUMPRODUCT(MAX((İzinler!$A$5:$A$504=$B41)*(İzinler!$C$5:$C$504&lt;=T$5)*(İzinler!$D$5:$D$504&gt;=T$5)*ROW(İzinler!$A$5:$A$504)))),"Yıllık izin","İ"),"Ücretsiz izin","Ü"),1)))</f>
        <v/>
      </c>
      <c r="U41" s="20" t="str">
        <f aca="false">IF(OR($B41="",U$5=""),"",IF(SUMPRODUCT(MAX((İzinler!$A$5:$A$504=$B41)*(İzinler!$C$5:$C$504&lt;=U$5)*(İzinler!$D$5:$D$504&gt;=U$5)*ROW(İzinler!$A$5:$A$504)))=0,"",LEFT(SUBSTITUTE(SUBSTITUTE(INDEX(İzinler!$B$1:$B$504,SUMPRODUCT(MAX((İzinler!$A$5:$A$504=$B41)*(İzinler!$C$5:$C$504&lt;=U$5)*(İzinler!$D$5:$D$504&gt;=U$5)*ROW(İzinler!$A$5:$A$504)))),"Yıllık izin","İ"),"Ücretsiz izin","Ü"),1)))</f>
        <v/>
      </c>
      <c r="V41" s="20" t="str">
        <f aca="false">IF(OR($B41="",V$5=""),"",IF(SUMPRODUCT(MAX((İzinler!$A$5:$A$504=$B41)*(İzinler!$C$5:$C$504&lt;=V$5)*(İzinler!$D$5:$D$504&gt;=V$5)*ROW(İzinler!$A$5:$A$504)))=0,"",LEFT(SUBSTITUTE(SUBSTITUTE(INDEX(İzinler!$B$1:$B$504,SUMPRODUCT(MAX((İzinler!$A$5:$A$504=$B41)*(İzinler!$C$5:$C$504&lt;=V$5)*(İzinler!$D$5:$D$504&gt;=V$5)*ROW(İzinler!$A$5:$A$504)))),"Yıllık izin","İ"),"Ücretsiz izin","Ü"),1)))</f>
        <v/>
      </c>
      <c r="W41" s="20" t="str">
        <f aca="false">IF(OR($B41="",W$5=""),"",IF(SUMPRODUCT(MAX((İzinler!$A$5:$A$504=$B41)*(İzinler!$C$5:$C$504&lt;=W$5)*(İzinler!$D$5:$D$504&gt;=W$5)*ROW(İzinler!$A$5:$A$504)))=0,"",LEFT(SUBSTITUTE(SUBSTITUTE(INDEX(İzinler!$B$1:$B$504,SUMPRODUCT(MAX((İzinler!$A$5:$A$504=$B41)*(İzinler!$C$5:$C$504&lt;=W$5)*(İzinler!$D$5:$D$504&gt;=W$5)*ROW(İzinler!$A$5:$A$504)))),"Yıllık izin","İ"),"Ücretsiz izin","Ü"),1)))</f>
        <v/>
      </c>
      <c r="X41" s="20" t="str">
        <f aca="false">IF(OR($B41="",X$5=""),"",IF(SUMPRODUCT(MAX((İzinler!$A$5:$A$504=$B41)*(İzinler!$C$5:$C$504&lt;=X$5)*(İzinler!$D$5:$D$504&gt;=X$5)*ROW(İzinler!$A$5:$A$504)))=0,"",LEFT(SUBSTITUTE(SUBSTITUTE(INDEX(İzinler!$B$1:$B$504,SUMPRODUCT(MAX((İzinler!$A$5:$A$504=$B41)*(İzinler!$C$5:$C$504&lt;=X$5)*(İzinler!$D$5:$D$504&gt;=X$5)*ROW(İzinler!$A$5:$A$504)))),"Yıllık izin","İ"),"Ücretsiz izin","Ü"),1)))</f>
        <v/>
      </c>
      <c r="Y41" s="20" t="str">
        <f aca="false">IF(OR($B41="",Y$5=""),"",IF(SUMPRODUCT(MAX((İzinler!$A$5:$A$504=$B41)*(İzinler!$C$5:$C$504&lt;=Y$5)*(İzinler!$D$5:$D$504&gt;=Y$5)*ROW(İzinler!$A$5:$A$504)))=0,"",LEFT(SUBSTITUTE(SUBSTITUTE(INDEX(İzinler!$B$1:$B$504,SUMPRODUCT(MAX((İzinler!$A$5:$A$504=$B41)*(İzinler!$C$5:$C$504&lt;=Y$5)*(İzinler!$D$5:$D$504&gt;=Y$5)*ROW(İzinler!$A$5:$A$504)))),"Yıllık izin","İ"),"Ücretsiz izin","Ü"),1)))</f>
        <v/>
      </c>
      <c r="Z41" s="20" t="str">
        <f aca="false">IF(OR($B41="",Z$5=""),"",IF(SUMPRODUCT(MAX((İzinler!$A$5:$A$504=$B41)*(İzinler!$C$5:$C$504&lt;=Z$5)*(İzinler!$D$5:$D$504&gt;=Z$5)*ROW(İzinler!$A$5:$A$504)))=0,"",LEFT(SUBSTITUTE(SUBSTITUTE(INDEX(İzinler!$B$1:$B$504,SUMPRODUCT(MAX((İzinler!$A$5:$A$504=$B41)*(İzinler!$C$5:$C$504&lt;=Z$5)*(İzinler!$D$5:$D$504&gt;=Z$5)*ROW(İzinler!$A$5:$A$504)))),"Yıllık izin","İ"),"Ücretsiz izin","Ü"),1)))</f>
        <v/>
      </c>
      <c r="AA41" s="20" t="str">
        <f aca="false">IF(OR($B41="",AA$5=""),"",IF(SUMPRODUCT(MAX((İzinler!$A$5:$A$504=$B41)*(İzinler!$C$5:$C$504&lt;=AA$5)*(İzinler!$D$5:$D$504&gt;=AA$5)*ROW(İzinler!$A$5:$A$504)))=0,"",LEFT(SUBSTITUTE(SUBSTITUTE(INDEX(İzinler!$B$1:$B$504,SUMPRODUCT(MAX((İzinler!$A$5:$A$504=$B41)*(İzinler!$C$5:$C$504&lt;=AA$5)*(İzinler!$D$5:$D$504&gt;=AA$5)*ROW(İzinler!$A$5:$A$504)))),"Yıllık izin","İ"),"Ücretsiz izin","Ü"),1)))</f>
        <v/>
      </c>
      <c r="AB41" s="20" t="str">
        <f aca="false">IF(OR($B41="",AB$5=""),"",IF(SUMPRODUCT(MAX((İzinler!$A$5:$A$504=$B41)*(İzinler!$C$5:$C$504&lt;=AB$5)*(İzinler!$D$5:$D$504&gt;=AB$5)*ROW(İzinler!$A$5:$A$504)))=0,"",LEFT(SUBSTITUTE(SUBSTITUTE(INDEX(İzinler!$B$1:$B$504,SUMPRODUCT(MAX((İzinler!$A$5:$A$504=$B41)*(İzinler!$C$5:$C$504&lt;=AB$5)*(İzinler!$D$5:$D$504&gt;=AB$5)*ROW(İzinler!$A$5:$A$504)))),"Yıllık izin","İ"),"Ücretsiz izin","Ü"),1)))</f>
        <v/>
      </c>
      <c r="AC41" s="20" t="str">
        <f aca="false">IF(OR($B41="",AC$5=""),"",IF(SUMPRODUCT(MAX((İzinler!$A$5:$A$504=$B41)*(İzinler!$C$5:$C$504&lt;=AC$5)*(İzinler!$D$5:$D$504&gt;=AC$5)*ROW(İzinler!$A$5:$A$504)))=0,"",LEFT(SUBSTITUTE(SUBSTITUTE(INDEX(İzinler!$B$1:$B$504,SUMPRODUCT(MAX((İzinler!$A$5:$A$504=$B41)*(İzinler!$C$5:$C$504&lt;=AC$5)*(İzinler!$D$5:$D$504&gt;=AC$5)*ROW(İzinler!$A$5:$A$504)))),"Yıllık izin","İ"),"Ücretsiz izin","Ü"),1)))</f>
        <v/>
      </c>
      <c r="AD41" s="20" t="str">
        <f aca="false">IF(OR($B41="",AD$5=""),"",IF(SUMPRODUCT(MAX((İzinler!$A$5:$A$504=$B41)*(İzinler!$C$5:$C$504&lt;=AD$5)*(İzinler!$D$5:$D$504&gt;=AD$5)*ROW(İzinler!$A$5:$A$504)))=0,"",LEFT(SUBSTITUTE(SUBSTITUTE(INDEX(İzinler!$B$1:$B$504,SUMPRODUCT(MAX((İzinler!$A$5:$A$504=$B41)*(İzinler!$C$5:$C$504&lt;=AD$5)*(İzinler!$D$5:$D$504&gt;=AD$5)*ROW(İzinler!$A$5:$A$504)))),"Yıllık izin","İ"),"Ücretsiz izin","Ü"),1)))</f>
        <v/>
      </c>
      <c r="AE41" s="20" t="str">
        <f aca="false">IF(OR($B41="",AE$5=""),"",IF(SUMPRODUCT(MAX((İzinler!$A$5:$A$504=$B41)*(İzinler!$C$5:$C$504&lt;=AE$5)*(İzinler!$D$5:$D$504&gt;=AE$5)*ROW(İzinler!$A$5:$A$504)))=0,"",LEFT(SUBSTITUTE(SUBSTITUTE(INDEX(İzinler!$B$1:$B$504,SUMPRODUCT(MAX((İzinler!$A$5:$A$504=$B41)*(İzinler!$C$5:$C$504&lt;=AE$5)*(İzinler!$D$5:$D$504&gt;=AE$5)*ROW(İzinler!$A$5:$A$504)))),"Yıllık izin","İ"),"Ücretsiz izin","Ü"),1)))</f>
        <v/>
      </c>
      <c r="AF41" s="20" t="str">
        <f aca="false">IF(OR($B41="",AF$5=""),"",IF(SUMPRODUCT(MAX((İzinler!$A$5:$A$504=$B41)*(İzinler!$C$5:$C$504&lt;=AF$5)*(İzinler!$D$5:$D$504&gt;=AF$5)*ROW(İzinler!$A$5:$A$504)))=0,"",LEFT(SUBSTITUTE(SUBSTITUTE(INDEX(İzinler!$B$1:$B$504,SUMPRODUCT(MAX((İzinler!$A$5:$A$504=$B41)*(İzinler!$C$5:$C$504&lt;=AF$5)*(İzinler!$D$5:$D$504&gt;=AF$5)*ROW(İzinler!$A$5:$A$504)))),"Yıllık izin","İ"),"Ücretsiz izin","Ü"),1)))</f>
        <v/>
      </c>
      <c r="AG41" s="20" t="str">
        <f aca="false">IF(OR($B41="",AG$5=""),"",IF(SUMPRODUCT(MAX((İzinler!$A$5:$A$504=$B41)*(İzinler!$C$5:$C$504&lt;=AG$5)*(İzinler!$D$5:$D$504&gt;=AG$5)*ROW(İzinler!$A$5:$A$504)))=0,"",LEFT(SUBSTITUTE(SUBSTITUTE(INDEX(İzinler!$B$1:$B$504,SUMPRODUCT(MAX((İzinler!$A$5:$A$504=$B41)*(İzinler!$C$5:$C$504&lt;=AG$5)*(İzinler!$D$5:$D$504&gt;=AG$5)*ROW(İzinler!$A$5:$A$504)))),"Yıllık izin","İ"),"Ücretsiz izin","Ü"),1)))</f>
        <v/>
      </c>
      <c r="AH41" s="21" t="str">
        <f aca="false">IF(B41="","",COUNTIF(C41:AG41,"?"))</f>
        <v/>
      </c>
    </row>
    <row r="42" customFormat="false" ht="15" hidden="false" customHeight="false" outlineLevel="0" collapsed="false">
      <c r="B42" s="16" t="str">
        <f aca="false">IF(Personel!A41="","",Personel!A41)</f>
        <v/>
      </c>
      <c r="C42" s="20" t="str">
        <f aca="false">IF(OR($B42="",C$5=""),"",IF(SUMPRODUCT(MAX((İzinler!$A$5:$A$504=$B42)*(İzinler!$C$5:$C$504&lt;=C$5)*(İzinler!$D$5:$D$504&gt;=C$5)*ROW(İzinler!$A$5:$A$504)))=0,"",LEFT(SUBSTITUTE(SUBSTITUTE(INDEX(İzinler!$B$1:$B$504,SUMPRODUCT(MAX((İzinler!$A$5:$A$504=$B42)*(İzinler!$C$5:$C$504&lt;=C$5)*(İzinler!$D$5:$D$504&gt;=C$5)*ROW(İzinler!$A$5:$A$504)))),"Yıllık izin","İ"),"Ücretsiz izin","Ü"),1)))</f>
        <v/>
      </c>
      <c r="D42" s="20" t="str">
        <f aca="false">IF(OR($B42="",D$5=""),"",IF(SUMPRODUCT(MAX((İzinler!$A$5:$A$504=$B42)*(İzinler!$C$5:$C$504&lt;=D$5)*(İzinler!$D$5:$D$504&gt;=D$5)*ROW(İzinler!$A$5:$A$504)))=0,"",LEFT(SUBSTITUTE(SUBSTITUTE(INDEX(İzinler!$B$1:$B$504,SUMPRODUCT(MAX((İzinler!$A$5:$A$504=$B42)*(İzinler!$C$5:$C$504&lt;=D$5)*(İzinler!$D$5:$D$504&gt;=D$5)*ROW(İzinler!$A$5:$A$504)))),"Yıllık izin","İ"),"Ücretsiz izin","Ü"),1)))</f>
        <v/>
      </c>
      <c r="E42" s="20" t="str">
        <f aca="false">IF(OR($B42="",E$5=""),"",IF(SUMPRODUCT(MAX((İzinler!$A$5:$A$504=$B42)*(İzinler!$C$5:$C$504&lt;=E$5)*(İzinler!$D$5:$D$504&gt;=E$5)*ROW(İzinler!$A$5:$A$504)))=0,"",LEFT(SUBSTITUTE(SUBSTITUTE(INDEX(İzinler!$B$1:$B$504,SUMPRODUCT(MAX((İzinler!$A$5:$A$504=$B42)*(İzinler!$C$5:$C$504&lt;=E$5)*(İzinler!$D$5:$D$504&gt;=E$5)*ROW(İzinler!$A$5:$A$504)))),"Yıllık izin","İ"),"Ücretsiz izin","Ü"),1)))</f>
        <v/>
      </c>
      <c r="F42" s="20" t="str">
        <f aca="false">IF(OR($B42="",F$5=""),"",IF(SUMPRODUCT(MAX((İzinler!$A$5:$A$504=$B42)*(İzinler!$C$5:$C$504&lt;=F$5)*(İzinler!$D$5:$D$504&gt;=F$5)*ROW(İzinler!$A$5:$A$504)))=0,"",LEFT(SUBSTITUTE(SUBSTITUTE(INDEX(İzinler!$B$1:$B$504,SUMPRODUCT(MAX((İzinler!$A$5:$A$504=$B42)*(İzinler!$C$5:$C$504&lt;=F$5)*(İzinler!$D$5:$D$504&gt;=F$5)*ROW(İzinler!$A$5:$A$504)))),"Yıllık izin","İ"),"Ücretsiz izin","Ü"),1)))</f>
        <v/>
      </c>
      <c r="G42" s="20" t="str">
        <f aca="false">IF(OR($B42="",G$5=""),"",IF(SUMPRODUCT(MAX((İzinler!$A$5:$A$504=$B42)*(İzinler!$C$5:$C$504&lt;=G$5)*(İzinler!$D$5:$D$504&gt;=G$5)*ROW(İzinler!$A$5:$A$504)))=0,"",LEFT(SUBSTITUTE(SUBSTITUTE(INDEX(İzinler!$B$1:$B$504,SUMPRODUCT(MAX((İzinler!$A$5:$A$504=$B42)*(İzinler!$C$5:$C$504&lt;=G$5)*(İzinler!$D$5:$D$504&gt;=G$5)*ROW(İzinler!$A$5:$A$504)))),"Yıllık izin","İ"),"Ücretsiz izin","Ü"),1)))</f>
        <v/>
      </c>
      <c r="H42" s="20" t="str">
        <f aca="false">IF(OR($B42="",H$5=""),"",IF(SUMPRODUCT(MAX((İzinler!$A$5:$A$504=$B42)*(İzinler!$C$5:$C$504&lt;=H$5)*(İzinler!$D$5:$D$504&gt;=H$5)*ROW(İzinler!$A$5:$A$504)))=0,"",LEFT(SUBSTITUTE(SUBSTITUTE(INDEX(İzinler!$B$1:$B$504,SUMPRODUCT(MAX((İzinler!$A$5:$A$504=$B42)*(İzinler!$C$5:$C$504&lt;=H$5)*(İzinler!$D$5:$D$504&gt;=H$5)*ROW(İzinler!$A$5:$A$504)))),"Yıllık izin","İ"),"Ücretsiz izin","Ü"),1)))</f>
        <v/>
      </c>
      <c r="I42" s="20" t="str">
        <f aca="false">IF(OR($B42="",I$5=""),"",IF(SUMPRODUCT(MAX((İzinler!$A$5:$A$504=$B42)*(İzinler!$C$5:$C$504&lt;=I$5)*(İzinler!$D$5:$D$504&gt;=I$5)*ROW(İzinler!$A$5:$A$504)))=0,"",LEFT(SUBSTITUTE(SUBSTITUTE(INDEX(İzinler!$B$1:$B$504,SUMPRODUCT(MAX((İzinler!$A$5:$A$504=$B42)*(İzinler!$C$5:$C$504&lt;=I$5)*(İzinler!$D$5:$D$504&gt;=I$5)*ROW(İzinler!$A$5:$A$504)))),"Yıllık izin","İ"),"Ücretsiz izin","Ü"),1)))</f>
        <v/>
      </c>
      <c r="J42" s="20" t="str">
        <f aca="false">IF(OR($B42="",J$5=""),"",IF(SUMPRODUCT(MAX((İzinler!$A$5:$A$504=$B42)*(İzinler!$C$5:$C$504&lt;=J$5)*(İzinler!$D$5:$D$504&gt;=J$5)*ROW(İzinler!$A$5:$A$504)))=0,"",LEFT(SUBSTITUTE(SUBSTITUTE(INDEX(İzinler!$B$1:$B$504,SUMPRODUCT(MAX((İzinler!$A$5:$A$504=$B42)*(İzinler!$C$5:$C$504&lt;=J$5)*(İzinler!$D$5:$D$504&gt;=J$5)*ROW(İzinler!$A$5:$A$504)))),"Yıllık izin","İ"),"Ücretsiz izin","Ü"),1)))</f>
        <v/>
      </c>
      <c r="K42" s="20" t="str">
        <f aca="false">IF(OR($B42="",K$5=""),"",IF(SUMPRODUCT(MAX((İzinler!$A$5:$A$504=$B42)*(İzinler!$C$5:$C$504&lt;=K$5)*(İzinler!$D$5:$D$504&gt;=K$5)*ROW(İzinler!$A$5:$A$504)))=0,"",LEFT(SUBSTITUTE(SUBSTITUTE(INDEX(İzinler!$B$1:$B$504,SUMPRODUCT(MAX((İzinler!$A$5:$A$504=$B42)*(İzinler!$C$5:$C$504&lt;=K$5)*(İzinler!$D$5:$D$504&gt;=K$5)*ROW(İzinler!$A$5:$A$504)))),"Yıllık izin","İ"),"Ücretsiz izin","Ü"),1)))</f>
        <v/>
      </c>
      <c r="L42" s="20" t="str">
        <f aca="false">IF(OR($B42="",L$5=""),"",IF(SUMPRODUCT(MAX((İzinler!$A$5:$A$504=$B42)*(İzinler!$C$5:$C$504&lt;=L$5)*(İzinler!$D$5:$D$504&gt;=L$5)*ROW(İzinler!$A$5:$A$504)))=0,"",LEFT(SUBSTITUTE(SUBSTITUTE(INDEX(İzinler!$B$1:$B$504,SUMPRODUCT(MAX((İzinler!$A$5:$A$504=$B42)*(İzinler!$C$5:$C$504&lt;=L$5)*(İzinler!$D$5:$D$504&gt;=L$5)*ROW(İzinler!$A$5:$A$504)))),"Yıllık izin","İ"),"Ücretsiz izin","Ü"),1)))</f>
        <v/>
      </c>
      <c r="M42" s="20" t="str">
        <f aca="false">IF(OR($B42="",M$5=""),"",IF(SUMPRODUCT(MAX((İzinler!$A$5:$A$504=$B42)*(İzinler!$C$5:$C$504&lt;=M$5)*(İzinler!$D$5:$D$504&gt;=M$5)*ROW(İzinler!$A$5:$A$504)))=0,"",LEFT(SUBSTITUTE(SUBSTITUTE(INDEX(İzinler!$B$1:$B$504,SUMPRODUCT(MAX((İzinler!$A$5:$A$504=$B42)*(İzinler!$C$5:$C$504&lt;=M$5)*(İzinler!$D$5:$D$504&gt;=M$5)*ROW(İzinler!$A$5:$A$504)))),"Yıllık izin","İ"),"Ücretsiz izin","Ü"),1)))</f>
        <v/>
      </c>
      <c r="N42" s="20" t="str">
        <f aca="false">IF(OR($B42="",N$5=""),"",IF(SUMPRODUCT(MAX((İzinler!$A$5:$A$504=$B42)*(İzinler!$C$5:$C$504&lt;=N$5)*(İzinler!$D$5:$D$504&gt;=N$5)*ROW(İzinler!$A$5:$A$504)))=0,"",LEFT(SUBSTITUTE(SUBSTITUTE(INDEX(İzinler!$B$1:$B$504,SUMPRODUCT(MAX((İzinler!$A$5:$A$504=$B42)*(İzinler!$C$5:$C$504&lt;=N$5)*(İzinler!$D$5:$D$504&gt;=N$5)*ROW(İzinler!$A$5:$A$504)))),"Yıllık izin","İ"),"Ücretsiz izin","Ü"),1)))</f>
        <v/>
      </c>
      <c r="O42" s="20" t="str">
        <f aca="false">IF(OR($B42="",O$5=""),"",IF(SUMPRODUCT(MAX((İzinler!$A$5:$A$504=$B42)*(İzinler!$C$5:$C$504&lt;=O$5)*(İzinler!$D$5:$D$504&gt;=O$5)*ROW(İzinler!$A$5:$A$504)))=0,"",LEFT(SUBSTITUTE(SUBSTITUTE(INDEX(İzinler!$B$1:$B$504,SUMPRODUCT(MAX((İzinler!$A$5:$A$504=$B42)*(İzinler!$C$5:$C$504&lt;=O$5)*(İzinler!$D$5:$D$504&gt;=O$5)*ROW(İzinler!$A$5:$A$504)))),"Yıllık izin","İ"),"Ücretsiz izin","Ü"),1)))</f>
        <v/>
      </c>
      <c r="P42" s="20" t="str">
        <f aca="false">IF(OR($B42="",P$5=""),"",IF(SUMPRODUCT(MAX((İzinler!$A$5:$A$504=$B42)*(İzinler!$C$5:$C$504&lt;=P$5)*(İzinler!$D$5:$D$504&gt;=P$5)*ROW(İzinler!$A$5:$A$504)))=0,"",LEFT(SUBSTITUTE(SUBSTITUTE(INDEX(İzinler!$B$1:$B$504,SUMPRODUCT(MAX((İzinler!$A$5:$A$504=$B42)*(İzinler!$C$5:$C$504&lt;=P$5)*(İzinler!$D$5:$D$504&gt;=P$5)*ROW(İzinler!$A$5:$A$504)))),"Yıllık izin","İ"),"Ücretsiz izin","Ü"),1)))</f>
        <v/>
      </c>
      <c r="Q42" s="20" t="str">
        <f aca="false">IF(OR($B42="",Q$5=""),"",IF(SUMPRODUCT(MAX((İzinler!$A$5:$A$504=$B42)*(İzinler!$C$5:$C$504&lt;=Q$5)*(İzinler!$D$5:$D$504&gt;=Q$5)*ROW(İzinler!$A$5:$A$504)))=0,"",LEFT(SUBSTITUTE(SUBSTITUTE(INDEX(İzinler!$B$1:$B$504,SUMPRODUCT(MAX((İzinler!$A$5:$A$504=$B42)*(İzinler!$C$5:$C$504&lt;=Q$5)*(İzinler!$D$5:$D$504&gt;=Q$5)*ROW(İzinler!$A$5:$A$504)))),"Yıllık izin","İ"),"Ücretsiz izin","Ü"),1)))</f>
        <v/>
      </c>
      <c r="R42" s="20" t="str">
        <f aca="false">IF(OR($B42="",R$5=""),"",IF(SUMPRODUCT(MAX((İzinler!$A$5:$A$504=$B42)*(İzinler!$C$5:$C$504&lt;=R$5)*(İzinler!$D$5:$D$504&gt;=R$5)*ROW(İzinler!$A$5:$A$504)))=0,"",LEFT(SUBSTITUTE(SUBSTITUTE(INDEX(İzinler!$B$1:$B$504,SUMPRODUCT(MAX((İzinler!$A$5:$A$504=$B42)*(İzinler!$C$5:$C$504&lt;=R$5)*(İzinler!$D$5:$D$504&gt;=R$5)*ROW(İzinler!$A$5:$A$504)))),"Yıllık izin","İ"),"Ücretsiz izin","Ü"),1)))</f>
        <v/>
      </c>
      <c r="S42" s="20" t="str">
        <f aca="false">IF(OR($B42="",S$5=""),"",IF(SUMPRODUCT(MAX((İzinler!$A$5:$A$504=$B42)*(İzinler!$C$5:$C$504&lt;=S$5)*(İzinler!$D$5:$D$504&gt;=S$5)*ROW(İzinler!$A$5:$A$504)))=0,"",LEFT(SUBSTITUTE(SUBSTITUTE(INDEX(İzinler!$B$1:$B$504,SUMPRODUCT(MAX((İzinler!$A$5:$A$504=$B42)*(İzinler!$C$5:$C$504&lt;=S$5)*(İzinler!$D$5:$D$504&gt;=S$5)*ROW(İzinler!$A$5:$A$504)))),"Yıllık izin","İ"),"Ücretsiz izin","Ü"),1)))</f>
        <v/>
      </c>
      <c r="T42" s="20" t="str">
        <f aca="false">IF(OR($B42="",T$5=""),"",IF(SUMPRODUCT(MAX((İzinler!$A$5:$A$504=$B42)*(İzinler!$C$5:$C$504&lt;=T$5)*(İzinler!$D$5:$D$504&gt;=T$5)*ROW(İzinler!$A$5:$A$504)))=0,"",LEFT(SUBSTITUTE(SUBSTITUTE(INDEX(İzinler!$B$1:$B$504,SUMPRODUCT(MAX((İzinler!$A$5:$A$504=$B42)*(İzinler!$C$5:$C$504&lt;=T$5)*(İzinler!$D$5:$D$504&gt;=T$5)*ROW(İzinler!$A$5:$A$504)))),"Yıllık izin","İ"),"Ücretsiz izin","Ü"),1)))</f>
        <v/>
      </c>
      <c r="U42" s="20" t="str">
        <f aca="false">IF(OR($B42="",U$5=""),"",IF(SUMPRODUCT(MAX((İzinler!$A$5:$A$504=$B42)*(İzinler!$C$5:$C$504&lt;=U$5)*(İzinler!$D$5:$D$504&gt;=U$5)*ROW(İzinler!$A$5:$A$504)))=0,"",LEFT(SUBSTITUTE(SUBSTITUTE(INDEX(İzinler!$B$1:$B$504,SUMPRODUCT(MAX((İzinler!$A$5:$A$504=$B42)*(İzinler!$C$5:$C$504&lt;=U$5)*(İzinler!$D$5:$D$504&gt;=U$5)*ROW(İzinler!$A$5:$A$504)))),"Yıllık izin","İ"),"Ücretsiz izin","Ü"),1)))</f>
        <v/>
      </c>
      <c r="V42" s="20" t="str">
        <f aca="false">IF(OR($B42="",V$5=""),"",IF(SUMPRODUCT(MAX((İzinler!$A$5:$A$504=$B42)*(İzinler!$C$5:$C$504&lt;=V$5)*(İzinler!$D$5:$D$504&gt;=V$5)*ROW(İzinler!$A$5:$A$504)))=0,"",LEFT(SUBSTITUTE(SUBSTITUTE(INDEX(İzinler!$B$1:$B$504,SUMPRODUCT(MAX((İzinler!$A$5:$A$504=$B42)*(İzinler!$C$5:$C$504&lt;=V$5)*(İzinler!$D$5:$D$504&gt;=V$5)*ROW(İzinler!$A$5:$A$504)))),"Yıllık izin","İ"),"Ücretsiz izin","Ü"),1)))</f>
        <v/>
      </c>
      <c r="W42" s="20" t="str">
        <f aca="false">IF(OR($B42="",W$5=""),"",IF(SUMPRODUCT(MAX((İzinler!$A$5:$A$504=$B42)*(İzinler!$C$5:$C$504&lt;=W$5)*(İzinler!$D$5:$D$504&gt;=W$5)*ROW(İzinler!$A$5:$A$504)))=0,"",LEFT(SUBSTITUTE(SUBSTITUTE(INDEX(İzinler!$B$1:$B$504,SUMPRODUCT(MAX((İzinler!$A$5:$A$504=$B42)*(İzinler!$C$5:$C$504&lt;=W$5)*(İzinler!$D$5:$D$504&gt;=W$5)*ROW(İzinler!$A$5:$A$504)))),"Yıllık izin","İ"),"Ücretsiz izin","Ü"),1)))</f>
        <v/>
      </c>
      <c r="X42" s="20" t="str">
        <f aca="false">IF(OR($B42="",X$5=""),"",IF(SUMPRODUCT(MAX((İzinler!$A$5:$A$504=$B42)*(İzinler!$C$5:$C$504&lt;=X$5)*(İzinler!$D$5:$D$504&gt;=X$5)*ROW(İzinler!$A$5:$A$504)))=0,"",LEFT(SUBSTITUTE(SUBSTITUTE(INDEX(İzinler!$B$1:$B$504,SUMPRODUCT(MAX((İzinler!$A$5:$A$504=$B42)*(İzinler!$C$5:$C$504&lt;=X$5)*(İzinler!$D$5:$D$504&gt;=X$5)*ROW(İzinler!$A$5:$A$504)))),"Yıllık izin","İ"),"Ücretsiz izin","Ü"),1)))</f>
        <v/>
      </c>
      <c r="Y42" s="20" t="str">
        <f aca="false">IF(OR($B42="",Y$5=""),"",IF(SUMPRODUCT(MAX((İzinler!$A$5:$A$504=$B42)*(İzinler!$C$5:$C$504&lt;=Y$5)*(İzinler!$D$5:$D$504&gt;=Y$5)*ROW(İzinler!$A$5:$A$504)))=0,"",LEFT(SUBSTITUTE(SUBSTITUTE(INDEX(İzinler!$B$1:$B$504,SUMPRODUCT(MAX((İzinler!$A$5:$A$504=$B42)*(İzinler!$C$5:$C$504&lt;=Y$5)*(İzinler!$D$5:$D$504&gt;=Y$5)*ROW(İzinler!$A$5:$A$504)))),"Yıllık izin","İ"),"Ücretsiz izin","Ü"),1)))</f>
        <v/>
      </c>
      <c r="Z42" s="20" t="str">
        <f aca="false">IF(OR($B42="",Z$5=""),"",IF(SUMPRODUCT(MAX((İzinler!$A$5:$A$504=$B42)*(İzinler!$C$5:$C$504&lt;=Z$5)*(İzinler!$D$5:$D$504&gt;=Z$5)*ROW(İzinler!$A$5:$A$504)))=0,"",LEFT(SUBSTITUTE(SUBSTITUTE(INDEX(İzinler!$B$1:$B$504,SUMPRODUCT(MAX((İzinler!$A$5:$A$504=$B42)*(İzinler!$C$5:$C$504&lt;=Z$5)*(İzinler!$D$5:$D$504&gt;=Z$5)*ROW(İzinler!$A$5:$A$504)))),"Yıllık izin","İ"),"Ücretsiz izin","Ü"),1)))</f>
        <v/>
      </c>
      <c r="AA42" s="20" t="str">
        <f aca="false">IF(OR($B42="",AA$5=""),"",IF(SUMPRODUCT(MAX((İzinler!$A$5:$A$504=$B42)*(İzinler!$C$5:$C$504&lt;=AA$5)*(İzinler!$D$5:$D$504&gt;=AA$5)*ROW(İzinler!$A$5:$A$504)))=0,"",LEFT(SUBSTITUTE(SUBSTITUTE(INDEX(İzinler!$B$1:$B$504,SUMPRODUCT(MAX((İzinler!$A$5:$A$504=$B42)*(İzinler!$C$5:$C$504&lt;=AA$5)*(İzinler!$D$5:$D$504&gt;=AA$5)*ROW(İzinler!$A$5:$A$504)))),"Yıllık izin","İ"),"Ücretsiz izin","Ü"),1)))</f>
        <v/>
      </c>
      <c r="AB42" s="20" t="str">
        <f aca="false">IF(OR($B42="",AB$5=""),"",IF(SUMPRODUCT(MAX((İzinler!$A$5:$A$504=$B42)*(İzinler!$C$5:$C$504&lt;=AB$5)*(İzinler!$D$5:$D$504&gt;=AB$5)*ROW(İzinler!$A$5:$A$504)))=0,"",LEFT(SUBSTITUTE(SUBSTITUTE(INDEX(İzinler!$B$1:$B$504,SUMPRODUCT(MAX((İzinler!$A$5:$A$504=$B42)*(İzinler!$C$5:$C$504&lt;=AB$5)*(İzinler!$D$5:$D$504&gt;=AB$5)*ROW(İzinler!$A$5:$A$504)))),"Yıllık izin","İ"),"Ücretsiz izin","Ü"),1)))</f>
        <v/>
      </c>
      <c r="AC42" s="20" t="str">
        <f aca="false">IF(OR($B42="",AC$5=""),"",IF(SUMPRODUCT(MAX((İzinler!$A$5:$A$504=$B42)*(İzinler!$C$5:$C$504&lt;=AC$5)*(İzinler!$D$5:$D$504&gt;=AC$5)*ROW(İzinler!$A$5:$A$504)))=0,"",LEFT(SUBSTITUTE(SUBSTITUTE(INDEX(İzinler!$B$1:$B$504,SUMPRODUCT(MAX((İzinler!$A$5:$A$504=$B42)*(İzinler!$C$5:$C$504&lt;=AC$5)*(İzinler!$D$5:$D$504&gt;=AC$5)*ROW(İzinler!$A$5:$A$504)))),"Yıllık izin","İ"),"Ücretsiz izin","Ü"),1)))</f>
        <v/>
      </c>
      <c r="AD42" s="20" t="str">
        <f aca="false">IF(OR($B42="",AD$5=""),"",IF(SUMPRODUCT(MAX((İzinler!$A$5:$A$504=$B42)*(İzinler!$C$5:$C$504&lt;=AD$5)*(İzinler!$D$5:$D$504&gt;=AD$5)*ROW(İzinler!$A$5:$A$504)))=0,"",LEFT(SUBSTITUTE(SUBSTITUTE(INDEX(İzinler!$B$1:$B$504,SUMPRODUCT(MAX((İzinler!$A$5:$A$504=$B42)*(İzinler!$C$5:$C$504&lt;=AD$5)*(İzinler!$D$5:$D$504&gt;=AD$5)*ROW(İzinler!$A$5:$A$504)))),"Yıllık izin","İ"),"Ücretsiz izin","Ü"),1)))</f>
        <v/>
      </c>
      <c r="AE42" s="20" t="str">
        <f aca="false">IF(OR($B42="",AE$5=""),"",IF(SUMPRODUCT(MAX((İzinler!$A$5:$A$504=$B42)*(İzinler!$C$5:$C$504&lt;=AE$5)*(İzinler!$D$5:$D$504&gt;=AE$5)*ROW(İzinler!$A$5:$A$504)))=0,"",LEFT(SUBSTITUTE(SUBSTITUTE(INDEX(İzinler!$B$1:$B$504,SUMPRODUCT(MAX((İzinler!$A$5:$A$504=$B42)*(İzinler!$C$5:$C$504&lt;=AE$5)*(İzinler!$D$5:$D$504&gt;=AE$5)*ROW(İzinler!$A$5:$A$504)))),"Yıllık izin","İ"),"Ücretsiz izin","Ü"),1)))</f>
        <v/>
      </c>
      <c r="AF42" s="20" t="str">
        <f aca="false">IF(OR($B42="",AF$5=""),"",IF(SUMPRODUCT(MAX((İzinler!$A$5:$A$504=$B42)*(İzinler!$C$5:$C$504&lt;=AF$5)*(İzinler!$D$5:$D$504&gt;=AF$5)*ROW(İzinler!$A$5:$A$504)))=0,"",LEFT(SUBSTITUTE(SUBSTITUTE(INDEX(İzinler!$B$1:$B$504,SUMPRODUCT(MAX((İzinler!$A$5:$A$504=$B42)*(İzinler!$C$5:$C$504&lt;=AF$5)*(İzinler!$D$5:$D$504&gt;=AF$5)*ROW(İzinler!$A$5:$A$504)))),"Yıllık izin","İ"),"Ücretsiz izin","Ü"),1)))</f>
        <v/>
      </c>
      <c r="AG42" s="20" t="str">
        <f aca="false">IF(OR($B42="",AG$5=""),"",IF(SUMPRODUCT(MAX((İzinler!$A$5:$A$504=$B42)*(İzinler!$C$5:$C$504&lt;=AG$5)*(İzinler!$D$5:$D$504&gt;=AG$5)*ROW(İzinler!$A$5:$A$504)))=0,"",LEFT(SUBSTITUTE(SUBSTITUTE(INDEX(İzinler!$B$1:$B$504,SUMPRODUCT(MAX((İzinler!$A$5:$A$504=$B42)*(İzinler!$C$5:$C$504&lt;=AG$5)*(İzinler!$D$5:$D$504&gt;=AG$5)*ROW(İzinler!$A$5:$A$504)))),"Yıllık izin","İ"),"Ücretsiz izin","Ü"),1)))</f>
        <v/>
      </c>
      <c r="AH42" s="21" t="str">
        <f aca="false">IF(B42="","",COUNTIF(C42:AG42,"?"))</f>
        <v/>
      </c>
    </row>
    <row r="43" customFormat="false" ht="15" hidden="false" customHeight="false" outlineLevel="0" collapsed="false">
      <c r="B43" s="16" t="str">
        <f aca="false">IF(Personel!A42="","",Personel!A42)</f>
        <v/>
      </c>
      <c r="C43" s="20" t="str">
        <f aca="false">IF(OR($B43="",C$5=""),"",IF(SUMPRODUCT(MAX((İzinler!$A$5:$A$504=$B43)*(İzinler!$C$5:$C$504&lt;=C$5)*(İzinler!$D$5:$D$504&gt;=C$5)*ROW(İzinler!$A$5:$A$504)))=0,"",LEFT(SUBSTITUTE(SUBSTITUTE(INDEX(İzinler!$B$1:$B$504,SUMPRODUCT(MAX((İzinler!$A$5:$A$504=$B43)*(İzinler!$C$5:$C$504&lt;=C$5)*(İzinler!$D$5:$D$504&gt;=C$5)*ROW(İzinler!$A$5:$A$504)))),"Yıllık izin","İ"),"Ücretsiz izin","Ü"),1)))</f>
        <v/>
      </c>
      <c r="D43" s="20" t="str">
        <f aca="false">IF(OR($B43="",D$5=""),"",IF(SUMPRODUCT(MAX((İzinler!$A$5:$A$504=$B43)*(İzinler!$C$5:$C$504&lt;=D$5)*(İzinler!$D$5:$D$504&gt;=D$5)*ROW(İzinler!$A$5:$A$504)))=0,"",LEFT(SUBSTITUTE(SUBSTITUTE(INDEX(İzinler!$B$1:$B$504,SUMPRODUCT(MAX((İzinler!$A$5:$A$504=$B43)*(İzinler!$C$5:$C$504&lt;=D$5)*(İzinler!$D$5:$D$504&gt;=D$5)*ROW(İzinler!$A$5:$A$504)))),"Yıllık izin","İ"),"Ücretsiz izin","Ü"),1)))</f>
        <v/>
      </c>
      <c r="E43" s="20" t="str">
        <f aca="false">IF(OR($B43="",E$5=""),"",IF(SUMPRODUCT(MAX((İzinler!$A$5:$A$504=$B43)*(İzinler!$C$5:$C$504&lt;=E$5)*(İzinler!$D$5:$D$504&gt;=E$5)*ROW(İzinler!$A$5:$A$504)))=0,"",LEFT(SUBSTITUTE(SUBSTITUTE(INDEX(İzinler!$B$1:$B$504,SUMPRODUCT(MAX((İzinler!$A$5:$A$504=$B43)*(İzinler!$C$5:$C$504&lt;=E$5)*(İzinler!$D$5:$D$504&gt;=E$5)*ROW(İzinler!$A$5:$A$504)))),"Yıllık izin","İ"),"Ücretsiz izin","Ü"),1)))</f>
        <v/>
      </c>
      <c r="F43" s="20" t="str">
        <f aca="false">IF(OR($B43="",F$5=""),"",IF(SUMPRODUCT(MAX((İzinler!$A$5:$A$504=$B43)*(İzinler!$C$5:$C$504&lt;=F$5)*(İzinler!$D$5:$D$504&gt;=F$5)*ROW(İzinler!$A$5:$A$504)))=0,"",LEFT(SUBSTITUTE(SUBSTITUTE(INDEX(İzinler!$B$1:$B$504,SUMPRODUCT(MAX((İzinler!$A$5:$A$504=$B43)*(İzinler!$C$5:$C$504&lt;=F$5)*(İzinler!$D$5:$D$504&gt;=F$5)*ROW(İzinler!$A$5:$A$504)))),"Yıllık izin","İ"),"Ücretsiz izin","Ü"),1)))</f>
        <v/>
      </c>
      <c r="G43" s="20" t="str">
        <f aca="false">IF(OR($B43="",G$5=""),"",IF(SUMPRODUCT(MAX((İzinler!$A$5:$A$504=$B43)*(İzinler!$C$5:$C$504&lt;=G$5)*(İzinler!$D$5:$D$504&gt;=G$5)*ROW(İzinler!$A$5:$A$504)))=0,"",LEFT(SUBSTITUTE(SUBSTITUTE(INDEX(İzinler!$B$1:$B$504,SUMPRODUCT(MAX((İzinler!$A$5:$A$504=$B43)*(İzinler!$C$5:$C$504&lt;=G$5)*(İzinler!$D$5:$D$504&gt;=G$5)*ROW(İzinler!$A$5:$A$504)))),"Yıllık izin","İ"),"Ücretsiz izin","Ü"),1)))</f>
        <v/>
      </c>
      <c r="H43" s="20" t="str">
        <f aca="false">IF(OR($B43="",H$5=""),"",IF(SUMPRODUCT(MAX((İzinler!$A$5:$A$504=$B43)*(İzinler!$C$5:$C$504&lt;=H$5)*(İzinler!$D$5:$D$504&gt;=H$5)*ROW(İzinler!$A$5:$A$504)))=0,"",LEFT(SUBSTITUTE(SUBSTITUTE(INDEX(İzinler!$B$1:$B$504,SUMPRODUCT(MAX((İzinler!$A$5:$A$504=$B43)*(İzinler!$C$5:$C$504&lt;=H$5)*(İzinler!$D$5:$D$504&gt;=H$5)*ROW(İzinler!$A$5:$A$504)))),"Yıllık izin","İ"),"Ücretsiz izin","Ü"),1)))</f>
        <v/>
      </c>
      <c r="I43" s="20" t="str">
        <f aca="false">IF(OR($B43="",I$5=""),"",IF(SUMPRODUCT(MAX((İzinler!$A$5:$A$504=$B43)*(İzinler!$C$5:$C$504&lt;=I$5)*(İzinler!$D$5:$D$504&gt;=I$5)*ROW(İzinler!$A$5:$A$504)))=0,"",LEFT(SUBSTITUTE(SUBSTITUTE(INDEX(İzinler!$B$1:$B$504,SUMPRODUCT(MAX((İzinler!$A$5:$A$504=$B43)*(İzinler!$C$5:$C$504&lt;=I$5)*(İzinler!$D$5:$D$504&gt;=I$5)*ROW(İzinler!$A$5:$A$504)))),"Yıllık izin","İ"),"Ücretsiz izin","Ü"),1)))</f>
        <v/>
      </c>
      <c r="J43" s="20" t="str">
        <f aca="false">IF(OR($B43="",J$5=""),"",IF(SUMPRODUCT(MAX((İzinler!$A$5:$A$504=$B43)*(İzinler!$C$5:$C$504&lt;=J$5)*(İzinler!$D$5:$D$504&gt;=J$5)*ROW(İzinler!$A$5:$A$504)))=0,"",LEFT(SUBSTITUTE(SUBSTITUTE(INDEX(İzinler!$B$1:$B$504,SUMPRODUCT(MAX((İzinler!$A$5:$A$504=$B43)*(İzinler!$C$5:$C$504&lt;=J$5)*(İzinler!$D$5:$D$504&gt;=J$5)*ROW(İzinler!$A$5:$A$504)))),"Yıllık izin","İ"),"Ücretsiz izin","Ü"),1)))</f>
        <v/>
      </c>
      <c r="K43" s="20" t="str">
        <f aca="false">IF(OR($B43="",K$5=""),"",IF(SUMPRODUCT(MAX((İzinler!$A$5:$A$504=$B43)*(İzinler!$C$5:$C$504&lt;=K$5)*(İzinler!$D$5:$D$504&gt;=K$5)*ROW(İzinler!$A$5:$A$504)))=0,"",LEFT(SUBSTITUTE(SUBSTITUTE(INDEX(İzinler!$B$1:$B$504,SUMPRODUCT(MAX((İzinler!$A$5:$A$504=$B43)*(İzinler!$C$5:$C$504&lt;=K$5)*(İzinler!$D$5:$D$504&gt;=K$5)*ROW(İzinler!$A$5:$A$504)))),"Yıllık izin","İ"),"Ücretsiz izin","Ü"),1)))</f>
        <v/>
      </c>
      <c r="L43" s="20" t="str">
        <f aca="false">IF(OR($B43="",L$5=""),"",IF(SUMPRODUCT(MAX((İzinler!$A$5:$A$504=$B43)*(İzinler!$C$5:$C$504&lt;=L$5)*(İzinler!$D$5:$D$504&gt;=L$5)*ROW(İzinler!$A$5:$A$504)))=0,"",LEFT(SUBSTITUTE(SUBSTITUTE(INDEX(İzinler!$B$1:$B$504,SUMPRODUCT(MAX((İzinler!$A$5:$A$504=$B43)*(İzinler!$C$5:$C$504&lt;=L$5)*(İzinler!$D$5:$D$504&gt;=L$5)*ROW(İzinler!$A$5:$A$504)))),"Yıllık izin","İ"),"Ücretsiz izin","Ü"),1)))</f>
        <v/>
      </c>
      <c r="M43" s="20" t="str">
        <f aca="false">IF(OR($B43="",M$5=""),"",IF(SUMPRODUCT(MAX((İzinler!$A$5:$A$504=$B43)*(İzinler!$C$5:$C$504&lt;=M$5)*(İzinler!$D$5:$D$504&gt;=M$5)*ROW(İzinler!$A$5:$A$504)))=0,"",LEFT(SUBSTITUTE(SUBSTITUTE(INDEX(İzinler!$B$1:$B$504,SUMPRODUCT(MAX((İzinler!$A$5:$A$504=$B43)*(İzinler!$C$5:$C$504&lt;=M$5)*(İzinler!$D$5:$D$504&gt;=M$5)*ROW(İzinler!$A$5:$A$504)))),"Yıllık izin","İ"),"Ücretsiz izin","Ü"),1)))</f>
        <v/>
      </c>
      <c r="N43" s="20" t="str">
        <f aca="false">IF(OR($B43="",N$5=""),"",IF(SUMPRODUCT(MAX((İzinler!$A$5:$A$504=$B43)*(İzinler!$C$5:$C$504&lt;=N$5)*(İzinler!$D$5:$D$504&gt;=N$5)*ROW(İzinler!$A$5:$A$504)))=0,"",LEFT(SUBSTITUTE(SUBSTITUTE(INDEX(İzinler!$B$1:$B$504,SUMPRODUCT(MAX((İzinler!$A$5:$A$504=$B43)*(İzinler!$C$5:$C$504&lt;=N$5)*(İzinler!$D$5:$D$504&gt;=N$5)*ROW(İzinler!$A$5:$A$504)))),"Yıllık izin","İ"),"Ücretsiz izin","Ü"),1)))</f>
        <v/>
      </c>
      <c r="O43" s="20" t="str">
        <f aca="false">IF(OR($B43="",O$5=""),"",IF(SUMPRODUCT(MAX((İzinler!$A$5:$A$504=$B43)*(İzinler!$C$5:$C$504&lt;=O$5)*(İzinler!$D$5:$D$504&gt;=O$5)*ROW(İzinler!$A$5:$A$504)))=0,"",LEFT(SUBSTITUTE(SUBSTITUTE(INDEX(İzinler!$B$1:$B$504,SUMPRODUCT(MAX((İzinler!$A$5:$A$504=$B43)*(İzinler!$C$5:$C$504&lt;=O$5)*(İzinler!$D$5:$D$504&gt;=O$5)*ROW(İzinler!$A$5:$A$504)))),"Yıllık izin","İ"),"Ücretsiz izin","Ü"),1)))</f>
        <v/>
      </c>
      <c r="P43" s="20" t="str">
        <f aca="false">IF(OR($B43="",P$5=""),"",IF(SUMPRODUCT(MAX((İzinler!$A$5:$A$504=$B43)*(İzinler!$C$5:$C$504&lt;=P$5)*(İzinler!$D$5:$D$504&gt;=P$5)*ROW(İzinler!$A$5:$A$504)))=0,"",LEFT(SUBSTITUTE(SUBSTITUTE(INDEX(İzinler!$B$1:$B$504,SUMPRODUCT(MAX((İzinler!$A$5:$A$504=$B43)*(İzinler!$C$5:$C$504&lt;=P$5)*(İzinler!$D$5:$D$504&gt;=P$5)*ROW(İzinler!$A$5:$A$504)))),"Yıllık izin","İ"),"Ücretsiz izin","Ü"),1)))</f>
        <v/>
      </c>
      <c r="Q43" s="20" t="str">
        <f aca="false">IF(OR($B43="",Q$5=""),"",IF(SUMPRODUCT(MAX((İzinler!$A$5:$A$504=$B43)*(İzinler!$C$5:$C$504&lt;=Q$5)*(İzinler!$D$5:$D$504&gt;=Q$5)*ROW(İzinler!$A$5:$A$504)))=0,"",LEFT(SUBSTITUTE(SUBSTITUTE(INDEX(İzinler!$B$1:$B$504,SUMPRODUCT(MAX((İzinler!$A$5:$A$504=$B43)*(İzinler!$C$5:$C$504&lt;=Q$5)*(İzinler!$D$5:$D$504&gt;=Q$5)*ROW(İzinler!$A$5:$A$504)))),"Yıllık izin","İ"),"Ücretsiz izin","Ü"),1)))</f>
        <v/>
      </c>
      <c r="R43" s="20" t="str">
        <f aca="false">IF(OR($B43="",R$5=""),"",IF(SUMPRODUCT(MAX((İzinler!$A$5:$A$504=$B43)*(İzinler!$C$5:$C$504&lt;=R$5)*(İzinler!$D$5:$D$504&gt;=R$5)*ROW(İzinler!$A$5:$A$504)))=0,"",LEFT(SUBSTITUTE(SUBSTITUTE(INDEX(İzinler!$B$1:$B$504,SUMPRODUCT(MAX((İzinler!$A$5:$A$504=$B43)*(İzinler!$C$5:$C$504&lt;=R$5)*(İzinler!$D$5:$D$504&gt;=R$5)*ROW(İzinler!$A$5:$A$504)))),"Yıllık izin","İ"),"Ücretsiz izin","Ü"),1)))</f>
        <v/>
      </c>
      <c r="S43" s="20" t="str">
        <f aca="false">IF(OR($B43="",S$5=""),"",IF(SUMPRODUCT(MAX((İzinler!$A$5:$A$504=$B43)*(İzinler!$C$5:$C$504&lt;=S$5)*(İzinler!$D$5:$D$504&gt;=S$5)*ROW(İzinler!$A$5:$A$504)))=0,"",LEFT(SUBSTITUTE(SUBSTITUTE(INDEX(İzinler!$B$1:$B$504,SUMPRODUCT(MAX((İzinler!$A$5:$A$504=$B43)*(İzinler!$C$5:$C$504&lt;=S$5)*(İzinler!$D$5:$D$504&gt;=S$5)*ROW(İzinler!$A$5:$A$504)))),"Yıllık izin","İ"),"Ücretsiz izin","Ü"),1)))</f>
        <v/>
      </c>
      <c r="T43" s="20" t="str">
        <f aca="false">IF(OR($B43="",T$5=""),"",IF(SUMPRODUCT(MAX((İzinler!$A$5:$A$504=$B43)*(İzinler!$C$5:$C$504&lt;=T$5)*(İzinler!$D$5:$D$504&gt;=T$5)*ROW(İzinler!$A$5:$A$504)))=0,"",LEFT(SUBSTITUTE(SUBSTITUTE(INDEX(İzinler!$B$1:$B$504,SUMPRODUCT(MAX((İzinler!$A$5:$A$504=$B43)*(İzinler!$C$5:$C$504&lt;=T$5)*(İzinler!$D$5:$D$504&gt;=T$5)*ROW(İzinler!$A$5:$A$504)))),"Yıllık izin","İ"),"Ücretsiz izin","Ü"),1)))</f>
        <v/>
      </c>
      <c r="U43" s="20" t="str">
        <f aca="false">IF(OR($B43="",U$5=""),"",IF(SUMPRODUCT(MAX((İzinler!$A$5:$A$504=$B43)*(İzinler!$C$5:$C$504&lt;=U$5)*(İzinler!$D$5:$D$504&gt;=U$5)*ROW(İzinler!$A$5:$A$504)))=0,"",LEFT(SUBSTITUTE(SUBSTITUTE(INDEX(İzinler!$B$1:$B$504,SUMPRODUCT(MAX((İzinler!$A$5:$A$504=$B43)*(İzinler!$C$5:$C$504&lt;=U$5)*(İzinler!$D$5:$D$504&gt;=U$5)*ROW(İzinler!$A$5:$A$504)))),"Yıllık izin","İ"),"Ücretsiz izin","Ü"),1)))</f>
        <v/>
      </c>
      <c r="V43" s="20" t="str">
        <f aca="false">IF(OR($B43="",V$5=""),"",IF(SUMPRODUCT(MAX((İzinler!$A$5:$A$504=$B43)*(İzinler!$C$5:$C$504&lt;=V$5)*(İzinler!$D$5:$D$504&gt;=V$5)*ROW(İzinler!$A$5:$A$504)))=0,"",LEFT(SUBSTITUTE(SUBSTITUTE(INDEX(İzinler!$B$1:$B$504,SUMPRODUCT(MAX((İzinler!$A$5:$A$504=$B43)*(İzinler!$C$5:$C$504&lt;=V$5)*(İzinler!$D$5:$D$504&gt;=V$5)*ROW(İzinler!$A$5:$A$504)))),"Yıllık izin","İ"),"Ücretsiz izin","Ü"),1)))</f>
        <v/>
      </c>
      <c r="W43" s="20" t="str">
        <f aca="false">IF(OR($B43="",W$5=""),"",IF(SUMPRODUCT(MAX((İzinler!$A$5:$A$504=$B43)*(İzinler!$C$5:$C$504&lt;=W$5)*(İzinler!$D$5:$D$504&gt;=W$5)*ROW(İzinler!$A$5:$A$504)))=0,"",LEFT(SUBSTITUTE(SUBSTITUTE(INDEX(İzinler!$B$1:$B$504,SUMPRODUCT(MAX((İzinler!$A$5:$A$504=$B43)*(İzinler!$C$5:$C$504&lt;=W$5)*(İzinler!$D$5:$D$504&gt;=W$5)*ROW(İzinler!$A$5:$A$504)))),"Yıllık izin","İ"),"Ücretsiz izin","Ü"),1)))</f>
        <v/>
      </c>
      <c r="X43" s="20" t="str">
        <f aca="false">IF(OR($B43="",X$5=""),"",IF(SUMPRODUCT(MAX((İzinler!$A$5:$A$504=$B43)*(İzinler!$C$5:$C$504&lt;=X$5)*(İzinler!$D$5:$D$504&gt;=X$5)*ROW(İzinler!$A$5:$A$504)))=0,"",LEFT(SUBSTITUTE(SUBSTITUTE(INDEX(İzinler!$B$1:$B$504,SUMPRODUCT(MAX((İzinler!$A$5:$A$504=$B43)*(İzinler!$C$5:$C$504&lt;=X$5)*(İzinler!$D$5:$D$504&gt;=X$5)*ROW(İzinler!$A$5:$A$504)))),"Yıllık izin","İ"),"Ücretsiz izin","Ü"),1)))</f>
        <v/>
      </c>
      <c r="Y43" s="20" t="str">
        <f aca="false">IF(OR($B43="",Y$5=""),"",IF(SUMPRODUCT(MAX((İzinler!$A$5:$A$504=$B43)*(İzinler!$C$5:$C$504&lt;=Y$5)*(İzinler!$D$5:$D$504&gt;=Y$5)*ROW(İzinler!$A$5:$A$504)))=0,"",LEFT(SUBSTITUTE(SUBSTITUTE(INDEX(İzinler!$B$1:$B$504,SUMPRODUCT(MAX((İzinler!$A$5:$A$504=$B43)*(İzinler!$C$5:$C$504&lt;=Y$5)*(İzinler!$D$5:$D$504&gt;=Y$5)*ROW(İzinler!$A$5:$A$504)))),"Yıllık izin","İ"),"Ücretsiz izin","Ü"),1)))</f>
        <v/>
      </c>
      <c r="Z43" s="20" t="str">
        <f aca="false">IF(OR($B43="",Z$5=""),"",IF(SUMPRODUCT(MAX((İzinler!$A$5:$A$504=$B43)*(İzinler!$C$5:$C$504&lt;=Z$5)*(İzinler!$D$5:$D$504&gt;=Z$5)*ROW(İzinler!$A$5:$A$504)))=0,"",LEFT(SUBSTITUTE(SUBSTITUTE(INDEX(İzinler!$B$1:$B$504,SUMPRODUCT(MAX((İzinler!$A$5:$A$504=$B43)*(İzinler!$C$5:$C$504&lt;=Z$5)*(İzinler!$D$5:$D$504&gt;=Z$5)*ROW(İzinler!$A$5:$A$504)))),"Yıllık izin","İ"),"Ücretsiz izin","Ü"),1)))</f>
        <v/>
      </c>
      <c r="AA43" s="20" t="str">
        <f aca="false">IF(OR($B43="",AA$5=""),"",IF(SUMPRODUCT(MAX((İzinler!$A$5:$A$504=$B43)*(İzinler!$C$5:$C$504&lt;=AA$5)*(İzinler!$D$5:$D$504&gt;=AA$5)*ROW(İzinler!$A$5:$A$504)))=0,"",LEFT(SUBSTITUTE(SUBSTITUTE(INDEX(İzinler!$B$1:$B$504,SUMPRODUCT(MAX((İzinler!$A$5:$A$504=$B43)*(İzinler!$C$5:$C$504&lt;=AA$5)*(İzinler!$D$5:$D$504&gt;=AA$5)*ROW(İzinler!$A$5:$A$504)))),"Yıllık izin","İ"),"Ücretsiz izin","Ü"),1)))</f>
        <v/>
      </c>
      <c r="AB43" s="20" t="str">
        <f aca="false">IF(OR($B43="",AB$5=""),"",IF(SUMPRODUCT(MAX((İzinler!$A$5:$A$504=$B43)*(İzinler!$C$5:$C$504&lt;=AB$5)*(İzinler!$D$5:$D$504&gt;=AB$5)*ROW(İzinler!$A$5:$A$504)))=0,"",LEFT(SUBSTITUTE(SUBSTITUTE(INDEX(İzinler!$B$1:$B$504,SUMPRODUCT(MAX((İzinler!$A$5:$A$504=$B43)*(İzinler!$C$5:$C$504&lt;=AB$5)*(İzinler!$D$5:$D$504&gt;=AB$5)*ROW(İzinler!$A$5:$A$504)))),"Yıllık izin","İ"),"Ücretsiz izin","Ü"),1)))</f>
        <v/>
      </c>
      <c r="AC43" s="20" t="str">
        <f aca="false">IF(OR($B43="",AC$5=""),"",IF(SUMPRODUCT(MAX((İzinler!$A$5:$A$504=$B43)*(İzinler!$C$5:$C$504&lt;=AC$5)*(İzinler!$D$5:$D$504&gt;=AC$5)*ROW(İzinler!$A$5:$A$504)))=0,"",LEFT(SUBSTITUTE(SUBSTITUTE(INDEX(İzinler!$B$1:$B$504,SUMPRODUCT(MAX((İzinler!$A$5:$A$504=$B43)*(İzinler!$C$5:$C$504&lt;=AC$5)*(İzinler!$D$5:$D$504&gt;=AC$5)*ROW(İzinler!$A$5:$A$504)))),"Yıllık izin","İ"),"Ücretsiz izin","Ü"),1)))</f>
        <v/>
      </c>
      <c r="AD43" s="20" t="str">
        <f aca="false">IF(OR($B43="",AD$5=""),"",IF(SUMPRODUCT(MAX((İzinler!$A$5:$A$504=$B43)*(İzinler!$C$5:$C$504&lt;=AD$5)*(İzinler!$D$5:$D$504&gt;=AD$5)*ROW(İzinler!$A$5:$A$504)))=0,"",LEFT(SUBSTITUTE(SUBSTITUTE(INDEX(İzinler!$B$1:$B$504,SUMPRODUCT(MAX((İzinler!$A$5:$A$504=$B43)*(İzinler!$C$5:$C$504&lt;=AD$5)*(İzinler!$D$5:$D$504&gt;=AD$5)*ROW(İzinler!$A$5:$A$504)))),"Yıllık izin","İ"),"Ücretsiz izin","Ü"),1)))</f>
        <v/>
      </c>
      <c r="AE43" s="20" t="str">
        <f aca="false">IF(OR($B43="",AE$5=""),"",IF(SUMPRODUCT(MAX((İzinler!$A$5:$A$504=$B43)*(İzinler!$C$5:$C$504&lt;=AE$5)*(İzinler!$D$5:$D$504&gt;=AE$5)*ROW(İzinler!$A$5:$A$504)))=0,"",LEFT(SUBSTITUTE(SUBSTITUTE(INDEX(İzinler!$B$1:$B$504,SUMPRODUCT(MAX((İzinler!$A$5:$A$504=$B43)*(İzinler!$C$5:$C$504&lt;=AE$5)*(İzinler!$D$5:$D$504&gt;=AE$5)*ROW(İzinler!$A$5:$A$504)))),"Yıllık izin","İ"),"Ücretsiz izin","Ü"),1)))</f>
        <v/>
      </c>
      <c r="AF43" s="20" t="str">
        <f aca="false">IF(OR($B43="",AF$5=""),"",IF(SUMPRODUCT(MAX((İzinler!$A$5:$A$504=$B43)*(İzinler!$C$5:$C$504&lt;=AF$5)*(İzinler!$D$5:$D$504&gt;=AF$5)*ROW(İzinler!$A$5:$A$504)))=0,"",LEFT(SUBSTITUTE(SUBSTITUTE(INDEX(İzinler!$B$1:$B$504,SUMPRODUCT(MAX((İzinler!$A$5:$A$504=$B43)*(İzinler!$C$5:$C$504&lt;=AF$5)*(İzinler!$D$5:$D$504&gt;=AF$5)*ROW(İzinler!$A$5:$A$504)))),"Yıllık izin","İ"),"Ücretsiz izin","Ü"),1)))</f>
        <v/>
      </c>
      <c r="AG43" s="20" t="str">
        <f aca="false">IF(OR($B43="",AG$5=""),"",IF(SUMPRODUCT(MAX((İzinler!$A$5:$A$504=$B43)*(İzinler!$C$5:$C$504&lt;=AG$5)*(İzinler!$D$5:$D$504&gt;=AG$5)*ROW(İzinler!$A$5:$A$504)))=0,"",LEFT(SUBSTITUTE(SUBSTITUTE(INDEX(İzinler!$B$1:$B$504,SUMPRODUCT(MAX((İzinler!$A$5:$A$504=$B43)*(İzinler!$C$5:$C$504&lt;=AG$5)*(İzinler!$D$5:$D$504&gt;=AG$5)*ROW(İzinler!$A$5:$A$504)))),"Yıllık izin","İ"),"Ücretsiz izin","Ü"),1)))</f>
        <v/>
      </c>
      <c r="AH43" s="21" t="str">
        <f aca="false">IF(B43="","",COUNTIF(C43:AG43,"?"))</f>
        <v/>
      </c>
    </row>
    <row r="44" customFormat="false" ht="15" hidden="false" customHeight="false" outlineLevel="0" collapsed="false">
      <c r="B44" s="16" t="str">
        <f aca="false">IF(Personel!A43="","",Personel!A43)</f>
        <v/>
      </c>
      <c r="C44" s="20" t="str">
        <f aca="false">IF(OR($B44="",C$5=""),"",IF(SUMPRODUCT(MAX((İzinler!$A$5:$A$504=$B44)*(İzinler!$C$5:$C$504&lt;=C$5)*(İzinler!$D$5:$D$504&gt;=C$5)*ROW(İzinler!$A$5:$A$504)))=0,"",LEFT(SUBSTITUTE(SUBSTITUTE(INDEX(İzinler!$B$1:$B$504,SUMPRODUCT(MAX((İzinler!$A$5:$A$504=$B44)*(İzinler!$C$5:$C$504&lt;=C$5)*(İzinler!$D$5:$D$504&gt;=C$5)*ROW(İzinler!$A$5:$A$504)))),"Yıllık izin","İ"),"Ücretsiz izin","Ü"),1)))</f>
        <v/>
      </c>
      <c r="D44" s="20" t="str">
        <f aca="false">IF(OR($B44="",D$5=""),"",IF(SUMPRODUCT(MAX((İzinler!$A$5:$A$504=$B44)*(İzinler!$C$5:$C$504&lt;=D$5)*(İzinler!$D$5:$D$504&gt;=D$5)*ROW(İzinler!$A$5:$A$504)))=0,"",LEFT(SUBSTITUTE(SUBSTITUTE(INDEX(İzinler!$B$1:$B$504,SUMPRODUCT(MAX((İzinler!$A$5:$A$504=$B44)*(İzinler!$C$5:$C$504&lt;=D$5)*(İzinler!$D$5:$D$504&gt;=D$5)*ROW(İzinler!$A$5:$A$504)))),"Yıllık izin","İ"),"Ücretsiz izin","Ü"),1)))</f>
        <v/>
      </c>
      <c r="E44" s="20" t="str">
        <f aca="false">IF(OR($B44="",E$5=""),"",IF(SUMPRODUCT(MAX((İzinler!$A$5:$A$504=$B44)*(İzinler!$C$5:$C$504&lt;=E$5)*(İzinler!$D$5:$D$504&gt;=E$5)*ROW(İzinler!$A$5:$A$504)))=0,"",LEFT(SUBSTITUTE(SUBSTITUTE(INDEX(İzinler!$B$1:$B$504,SUMPRODUCT(MAX((İzinler!$A$5:$A$504=$B44)*(İzinler!$C$5:$C$504&lt;=E$5)*(İzinler!$D$5:$D$504&gt;=E$5)*ROW(İzinler!$A$5:$A$504)))),"Yıllık izin","İ"),"Ücretsiz izin","Ü"),1)))</f>
        <v/>
      </c>
      <c r="F44" s="20" t="str">
        <f aca="false">IF(OR($B44="",F$5=""),"",IF(SUMPRODUCT(MAX((İzinler!$A$5:$A$504=$B44)*(İzinler!$C$5:$C$504&lt;=F$5)*(İzinler!$D$5:$D$504&gt;=F$5)*ROW(İzinler!$A$5:$A$504)))=0,"",LEFT(SUBSTITUTE(SUBSTITUTE(INDEX(İzinler!$B$1:$B$504,SUMPRODUCT(MAX((İzinler!$A$5:$A$504=$B44)*(İzinler!$C$5:$C$504&lt;=F$5)*(İzinler!$D$5:$D$504&gt;=F$5)*ROW(İzinler!$A$5:$A$504)))),"Yıllık izin","İ"),"Ücretsiz izin","Ü"),1)))</f>
        <v/>
      </c>
      <c r="G44" s="20" t="str">
        <f aca="false">IF(OR($B44="",G$5=""),"",IF(SUMPRODUCT(MAX((İzinler!$A$5:$A$504=$B44)*(İzinler!$C$5:$C$504&lt;=G$5)*(İzinler!$D$5:$D$504&gt;=G$5)*ROW(İzinler!$A$5:$A$504)))=0,"",LEFT(SUBSTITUTE(SUBSTITUTE(INDEX(İzinler!$B$1:$B$504,SUMPRODUCT(MAX((İzinler!$A$5:$A$504=$B44)*(İzinler!$C$5:$C$504&lt;=G$5)*(İzinler!$D$5:$D$504&gt;=G$5)*ROW(İzinler!$A$5:$A$504)))),"Yıllık izin","İ"),"Ücretsiz izin","Ü"),1)))</f>
        <v/>
      </c>
      <c r="H44" s="20" t="str">
        <f aca="false">IF(OR($B44="",H$5=""),"",IF(SUMPRODUCT(MAX((İzinler!$A$5:$A$504=$B44)*(İzinler!$C$5:$C$504&lt;=H$5)*(İzinler!$D$5:$D$504&gt;=H$5)*ROW(İzinler!$A$5:$A$504)))=0,"",LEFT(SUBSTITUTE(SUBSTITUTE(INDEX(İzinler!$B$1:$B$504,SUMPRODUCT(MAX((İzinler!$A$5:$A$504=$B44)*(İzinler!$C$5:$C$504&lt;=H$5)*(İzinler!$D$5:$D$504&gt;=H$5)*ROW(İzinler!$A$5:$A$504)))),"Yıllık izin","İ"),"Ücretsiz izin","Ü"),1)))</f>
        <v/>
      </c>
      <c r="I44" s="20" t="str">
        <f aca="false">IF(OR($B44="",I$5=""),"",IF(SUMPRODUCT(MAX((İzinler!$A$5:$A$504=$B44)*(İzinler!$C$5:$C$504&lt;=I$5)*(İzinler!$D$5:$D$504&gt;=I$5)*ROW(İzinler!$A$5:$A$504)))=0,"",LEFT(SUBSTITUTE(SUBSTITUTE(INDEX(İzinler!$B$1:$B$504,SUMPRODUCT(MAX((İzinler!$A$5:$A$504=$B44)*(İzinler!$C$5:$C$504&lt;=I$5)*(İzinler!$D$5:$D$504&gt;=I$5)*ROW(İzinler!$A$5:$A$504)))),"Yıllık izin","İ"),"Ücretsiz izin","Ü"),1)))</f>
        <v/>
      </c>
      <c r="J44" s="20" t="str">
        <f aca="false">IF(OR($B44="",J$5=""),"",IF(SUMPRODUCT(MAX((İzinler!$A$5:$A$504=$B44)*(İzinler!$C$5:$C$504&lt;=J$5)*(İzinler!$D$5:$D$504&gt;=J$5)*ROW(İzinler!$A$5:$A$504)))=0,"",LEFT(SUBSTITUTE(SUBSTITUTE(INDEX(İzinler!$B$1:$B$504,SUMPRODUCT(MAX((İzinler!$A$5:$A$504=$B44)*(İzinler!$C$5:$C$504&lt;=J$5)*(İzinler!$D$5:$D$504&gt;=J$5)*ROW(İzinler!$A$5:$A$504)))),"Yıllık izin","İ"),"Ücretsiz izin","Ü"),1)))</f>
        <v/>
      </c>
      <c r="K44" s="20" t="str">
        <f aca="false">IF(OR($B44="",K$5=""),"",IF(SUMPRODUCT(MAX((İzinler!$A$5:$A$504=$B44)*(İzinler!$C$5:$C$504&lt;=K$5)*(İzinler!$D$5:$D$504&gt;=K$5)*ROW(İzinler!$A$5:$A$504)))=0,"",LEFT(SUBSTITUTE(SUBSTITUTE(INDEX(İzinler!$B$1:$B$504,SUMPRODUCT(MAX((İzinler!$A$5:$A$504=$B44)*(İzinler!$C$5:$C$504&lt;=K$5)*(İzinler!$D$5:$D$504&gt;=K$5)*ROW(İzinler!$A$5:$A$504)))),"Yıllık izin","İ"),"Ücretsiz izin","Ü"),1)))</f>
        <v/>
      </c>
      <c r="L44" s="20" t="str">
        <f aca="false">IF(OR($B44="",L$5=""),"",IF(SUMPRODUCT(MAX((İzinler!$A$5:$A$504=$B44)*(İzinler!$C$5:$C$504&lt;=L$5)*(İzinler!$D$5:$D$504&gt;=L$5)*ROW(İzinler!$A$5:$A$504)))=0,"",LEFT(SUBSTITUTE(SUBSTITUTE(INDEX(İzinler!$B$1:$B$504,SUMPRODUCT(MAX((İzinler!$A$5:$A$504=$B44)*(İzinler!$C$5:$C$504&lt;=L$5)*(İzinler!$D$5:$D$504&gt;=L$5)*ROW(İzinler!$A$5:$A$504)))),"Yıllık izin","İ"),"Ücretsiz izin","Ü"),1)))</f>
        <v/>
      </c>
      <c r="M44" s="20" t="str">
        <f aca="false">IF(OR($B44="",M$5=""),"",IF(SUMPRODUCT(MAX((İzinler!$A$5:$A$504=$B44)*(İzinler!$C$5:$C$504&lt;=M$5)*(İzinler!$D$5:$D$504&gt;=M$5)*ROW(İzinler!$A$5:$A$504)))=0,"",LEFT(SUBSTITUTE(SUBSTITUTE(INDEX(İzinler!$B$1:$B$504,SUMPRODUCT(MAX((İzinler!$A$5:$A$504=$B44)*(İzinler!$C$5:$C$504&lt;=M$5)*(İzinler!$D$5:$D$504&gt;=M$5)*ROW(İzinler!$A$5:$A$504)))),"Yıllık izin","İ"),"Ücretsiz izin","Ü"),1)))</f>
        <v/>
      </c>
      <c r="N44" s="20" t="str">
        <f aca="false">IF(OR($B44="",N$5=""),"",IF(SUMPRODUCT(MAX((İzinler!$A$5:$A$504=$B44)*(İzinler!$C$5:$C$504&lt;=N$5)*(İzinler!$D$5:$D$504&gt;=N$5)*ROW(İzinler!$A$5:$A$504)))=0,"",LEFT(SUBSTITUTE(SUBSTITUTE(INDEX(İzinler!$B$1:$B$504,SUMPRODUCT(MAX((İzinler!$A$5:$A$504=$B44)*(İzinler!$C$5:$C$504&lt;=N$5)*(İzinler!$D$5:$D$504&gt;=N$5)*ROW(İzinler!$A$5:$A$504)))),"Yıllık izin","İ"),"Ücretsiz izin","Ü"),1)))</f>
        <v/>
      </c>
      <c r="O44" s="20" t="str">
        <f aca="false">IF(OR($B44="",O$5=""),"",IF(SUMPRODUCT(MAX((İzinler!$A$5:$A$504=$B44)*(İzinler!$C$5:$C$504&lt;=O$5)*(İzinler!$D$5:$D$504&gt;=O$5)*ROW(İzinler!$A$5:$A$504)))=0,"",LEFT(SUBSTITUTE(SUBSTITUTE(INDEX(İzinler!$B$1:$B$504,SUMPRODUCT(MAX((İzinler!$A$5:$A$504=$B44)*(İzinler!$C$5:$C$504&lt;=O$5)*(İzinler!$D$5:$D$504&gt;=O$5)*ROW(İzinler!$A$5:$A$504)))),"Yıllık izin","İ"),"Ücretsiz izin","Ü"),1)))</f>
        <v/>
      </c>
      <c r="P44" s="20" t="str">
        <f aca="false">IF(OR($B44="",P$5=""),"",IF(SUMPRODUCT(MAX((İzinler!$A$5:$A$504=$B44)*(İzinler!$C$5:$C$504&lt;=P$5)*(İzinler!$D$5:$D$504&gt;=P$5)*ROW(İzinler!$A$5:$A$504)))=0,"",LEFT(SUBSTITUTE(SUBSTITUTE(INDEX(İzinler!$B$1:$B$504,SUMPRODUCT(MAX((İzinler!$A$5:$A$504=$B44)*(İzinler!$C$5:$C$504&lt;=P$5)*(İzinler!$D$5:$D$504&gt;=P$5)*ROW(İzinler!$A$5:$A$504)))),"Yıllık izin","İ"),"Ücretsiz izin","Ü"),1)))</f>
        <v/>
      </c>
      <c r="Q44" s="20" t="str">
        <f aca="false">IF(OR($B44="",Q$5=""),"",IF(SUMPRODUCT(MAX((İzinler!$A$5:$A$504=$B44)*(İzinler!$C$5:$C$504&lt;=Q$5)*(İzinler!$D$5:$D$504&gt;=Q$5)*ROW(İzinler!$A$5:$A$504)))=0,"",LEFT(SUBSTITUTE(SUBSTITUTE(INDEX(İzinler!$B$1:$B$504,SUMPRODUCT(MAX((İzinler!$A$5:$A$504=$B44)*(İzinler!$C$5:$C$504&lt;=Q$5)*(İzinler!$D$5:$D$504&gt;=Q$5)*ROW(İzinler!$A$5:$A$504)))),"Yıllık izin","İ"),"Ücretsiz izin","Ü"),1)))</f>
        <v/>
      </c>
      <c r="R44" s="20" t="str">
        <f aca="false">IF(OR($B44="",R$5=""),"",IF(SUMPRODUCT(MAX((İzinler!$A$5:$A$504=$B44)*(İzinler!$C$5:$C$504&lt;=R$5)*(İzinler!$D$5:$D$504&gt;=R$5)*ROW(İzinler!$A$5:$A$504)))=0,"",LEFT(SUBSTITUTE(SUBSTITUTE(INDEX(İzinler!$B$1:$B$504,SUMPRODUCT(MAX((İzinler!$A$5:$A$504=$B44)*(İzinler!$C$5:$C$504&lt;=R$5)*(İzinler!$D$5:$D$504&gt;=R$5)*ROW(İzinler!$A$5:$A$504)))),"Yıllık izin","İ"),"Ücretsiz izin","Ü"),1)))</f>
        <v/>
      </c>
      <c r="S44" s="20" t="str">
        <f aca="false">IF(OR($B44="",S$5=""),"",IF(SUMPRODUCT(MAX((İzinler!$A$5:$A$504=$B44)*(İzinler!$C$5:$C$504&lt;=S$5)*(İzinler!$D$5:$D$504&gt;=S$5)*ROW(İzinler!$A$5:$A$504)))=0,"",LEFT(SUBSTITUTE(SUBSTITUTE(INDEX(İzinler!$B$1:$B$504,SUMPRODUCT(MAX((İzinler!$A$5:$A$504=$B44)*(İzinler!$C$5:$C$504&lt;=S$5)*(İzinler!$D$5:$D$504&gt;=S$5)*ROW(İzinler!$A$5:$A$504)))),"Yıllık izin","İ"),"Ücretsiz izin","Ü"),1)))</f>
        <v/>
      </c>
      <c r="T44" s="20" t="str">
        <f aca="false">IF(OR($B44="",T$5=""),"",IF(SUMPRODUCT(MAX((İzinler!$A$5:$A$504=$B44)*(İzinler!$C$5:$C$504&lt;=T$5)*(İzinler!$D$5:$D$504&gt;=T$5)*ROW(İzinler!$A$5:$A$504)))=0,"",LEFT(SUBSTITUTE(SUBSTITUTE(INDEX(İzinler!$B$1:$B$504,SUMPRODUCT(MAX((İzinler!$A$5:$A$504=$B44)*(İzinler!$C$5:$C$504&lt;=T$5)*(İzinler!$D$5:$D$504&gt;=T$5)*ROW(İzinler!$A$5:$A$504)))),"Yıllık izin","İ"),"Ücretsiz izin","Ü"),1)))</f>
        <v/>
      </c>
      <c r="U44" s="20" t="str">
        <f aca="false">IF(OR($B44="",U$5=""),"",IF(SUMPRODUCT(MAX((İzinler!$A$5:$A$504=$B44)*(İzinler!$C$5:$C$504&lt;=U$5)*(İzinler!$D$5:$D$504&gt;=U$5)*ROW(İzinler!$A$5:$A$504)))=0,"",LEFT(SUBSTITUTE(SUBSTITUTE(INDEX(İzinler!$B$1:$B$504,SUMPRODUCT(MAX((İzinler!$A$5:$A$504=$B44)*(İzinler!$C$5:$C$504&lt;=U$5)*(İzinler!$D$5:$D$504&gt;=U$5)*ROW(İzinler!$A$5:$A$504)))),"Yıllık izin","İ"),"Ücretsiz izin","Ü"),1)))</f>
        <v/>
      </c>
      <c r="V44" s="20" t="str">
        <f aca="false">IF(OR($B44="",V$5=""),"",IF(SUMPRODUCT(MAX((İzinler!$A$5:$A$504=$B44)*(İzinler!$C$5:$C$504&lt;=V$5)*(İzinler!$D$5:$D$504&gt;=V$5)*ROW(İzinler!$A$5:$A$504)))=0,"",LEFT(SUBSTITUTE(SUBSTITUTE(INDEX(İzinler!$B$1:$B$504,SUMPRODUCT(MAX((İzinler!$A$5:$A$504=$B44)*(İzinler!$C$5:$C$504&lt;=V$5)*(İzinler!$D$5:$D$504&gt;=V$5)*ROW(İzinler!$A$5:$A$504)))),"Yıllık izin","İ"),"Ücretsiz izin","Ü"),1)))</f>
        <v/>
      </c>
      <c r="W44" s="20" t="str">
        <f aca="false">IF(OR($B44="",W$5=""),"",IF(SUMPRODUCT(MAX((İzinler!$A$5:$A$504=$B44)*(İzinler!$C$5:$C$504&lt;=W$5)*(İzinler!$D$5:$D$504&gt;=W$5)*ROW(İzinler!$A$5:$A$504)))=0,"",LEFT(SUBSTITUTE(SUBSTITUTE(INDEX(İzinler!$B$1:$B$504,SUMPRODUCT(MAX((İzinler!$A$5:$A$504=$B44)*(İzinler!$C$5:$C$504&lt;=W$5)*(İzinler!$D$5:$D$504&gt;=W$5)*ROW(İzinler!$A$5:$A$504)))),"Yıllık izin","İ"),"Ücretsiz izin","Ü"),1)))</f>
        <v/>
      </c>
      <c r="X44" s="20" t="str">
        <f aca="false">IF(OR($B44="",X$5=""),"",IF(SUMPRODUCT(MAX((İzinler!$A$5:$A$504=$B44)*(İzinler!$C$5:$C$504&lt;=X$5)*(İzinler!$D$5:$D$504&gt;=X$5)*ROW(İzinler!$A$5:$A$504)))=0,"",LEFT(SUBSTITUTE(SUBSTITUTE(INDEX(İzinler!$B$1:$B$504,SUMPRODUCT(MAX((İzinler!$A$5:$A$504=$B44)*(İzinler!$C$5:$C$504&lt;=X$5)*(İzinler!$D$5:$D$504&gt;=X$5)*ROW(İzinler!$A$5:$A$504)))),"Yıllık izin","İ"),"Ücretsiz izin","Ü"),1)))</f>
        <v/>
      </c>
      <c r="Y44" s="20" t="str">
        <f aca="false">IF(OR($B44="",Y$5=""),"",IF(SUMPRODUCT(MAX((İzinler!$A$5:$A$504=$B44)*(İzinler!$C$5:$C$504&lt;=Y$5)*(İzinler!$D$5:$D$504&gt;=Y$5)*ROW(İzinler!$A$5:$A$504)))=0,"",LEFT(SUBSTITUTE(SUBSTITUTE(INDEX(İzinler!$B$1:$B$504,SUMPRODUCT(MAX((İzinler!$A$5:$A$504=$B44)*(İzinler!$C$5:$C$504&lt;=Y$5)*(İzinler!$D$5:$D$504&gt;=Y$5)*ROW(İzinler!$A$5:$A$504)))),"Yıllık izin","İ"),"Ücretsiz izin","Ü"),1)))</f>
        <v/>
      </c>
      <c r="Z44" s="20" t="str">
        <f aca="false">IF(OR($B44="",Z$5=""),"",IF(SUMPRODUCT(MAX((İzinler!$A$5:$A$504=$B44)*(İzinler!$C$5:$C$504&lt;=Z$5)*(İzinler!$D$5:$D$504&gt;=Z$5)*ROW(İzinler!$A$5:$A$504)))=0,"",LEFT(SUBSTITUTE(SUBSTITUTE(INDEX(İzinler!$B$1:$B$504,SUMPRODUCT(MAX((İzinler!$A$5:$A$504=$B44)*(İzinler!$C$5:$C$504&lt;=Z$5)*(İzinler!$D$5:$D$504&gt;=Z$5)*ROW(İzinler!$A$5:$A$504)))),"Yıllık izin","İ"),"Ücretsiz izin","Ü"),1)))</f>
        <v/>
      </c>
      <c r="AA44" s="20" t="str">
        <f aca="false">IF(OR($B44="",AA$5=""),"",IF(SUMPRODUCT(MAX((İzinler!$A$5:$A$504=$B44)*(İzinler!$C$5:$C$504&lt;=AA$5)*(İzinler!$D$5:$D$504&gt;=AA$5)*ROW(İzinler!$A$5:$A$504)))=0,"",LEFT(SUBSTITUTE(SUBSTITUTE(INDEX(İzinler!$B$1:$B$504,SUMPRODUCT(MAX((İzinler!$A$5:$A$504=$B44)*(İzinler!$C$5:$C$504&lt;=AA$5)*(İzinler!$D$5:$D$504&gt;=AA$5)*ROW(İzinler!$A$5:$A$504)))),"Yıllık izin","İ"),"Ücretsiz izin","Ü"),1)))</f>
        <v/>
      </c>
      <c r="AB44" s="20" t="str">
        <f aca="false">IF(OR($B44="",AB$5=""),"",IF(SUMPRODUCT(MAX((İzinler!$A$5:$A$504=$B44)*(İzinler!$C$5:$C$504&lt;=AB$5)*(İzinler!$D$5:$D$504&gt;=AB$5)*ROW(İzinler!$A$5:$A$504)))=0,"",LEFT(SUBSTITUTE(SUBSTITUTE(INDEX(İzinler!$B$1:$B$504,SUMPRODUCT(MAX((İzinler!$A$5:$A$504=$B44)*(İzinler!$C$5:$C$504&lt;=AB$5)*(İzinler!$D$5:$D$504&gt;=AB$5)*ROW(İzinler!$A$5:$A$504)))),"Yıllık izin","İ"),"Ücretsiz izin","Ü"),1)))</f>
        <v/>
      </c>
      <c r="AC44" s="20" t="str">
        <f aca="false">IF(OR($B44="",AC$5=""),"",IF(SUMPRODUCT(MAX((İzinler!$A$5:$A$504=$B44)*(İzinler!$C$5:$C$504&lt;=AC$5)*(İzinler!$D$5:$D$504&gt;=AC$5)*ROW(İzinler!$A$5:$A$504)))=0,"",LEFT(SUBSTITUTE(SUBSTITUTE(INDEX(İzinler!$B$1:$B$504,SUMPRODUCT(MAX((İzinler!$A$5:$A$504=$B44)*(İzinler!$C$5:$C$504&lt;=AC$5)*(İzinler!$D$5:$D$504&gt;=AC$5)*ROW(İzinler!$A$5:$A$504)))),"Yıllık izin","İ"),"Ücretsiz izin","Ü"),1)))</f>
        <v/>
      </c>
      <c r="AD44" s="20" t="str">
        <f aca="false">IF(OR($B44="",AD$5=""),"",IF(SUMPRODUCT(MAX((İzinler!$A$5:$A$504=$B44)*(İzinler!$C$5:$C$504&lt;=AD$5)*(İzinler!$D$5:$D$504&gt;=AD$5)*ROW(İzinler!$A$5:$A$504)))=0,"",LEFT(SUBSTITUTE(SUBSTITUTE(INDEX(İzinler!$B$1:$B$504,SUMPRODUCT(MAX((İzinler!$A$5:$A$504=$B44)*(İzinler!$C$5:$C$504&lt;=AD$5)*(İzinler!$D$5:$D$504&gt;=AD$5)*ROW(İzinler!$A$5:$A$504)))),"Yıllık izin","İ"),"Ücretsiz izin","Ü"),1)))</f>
        <v/>
      </c>
      <c r="AE44" s="20" t="str">
        <f aca="false">IF(OR($B44="",AE$5=""),"",IF(SUMPRODUCT(MAX((İzinler!$A$5:$A$504=$B44)*(İzinler!$C$5:$C$504&lt;=AE$5)*(İzinler!$D$5:$D$504&gt;=AE$5)*ROW(İzinler!$A$5:$A$504)))=0,"",LEFT(SUBSTITUTE(SUBSTITUTE(INDEX(İzinler!$B$1:$B$504,SUMPRODUCT(MAX((İzinler!$A$5:$A$504=$B44)*(İzinler!$C$5:$C$504&lt;=AE$5)*(İzinler!$D$5:$D$504&gt;=AE$5)*ROW(İzinler!$A$5:$A$504)))),"Yıllık izin","İ"),"Ücretsiz izin","Ü"),1)))</f>
        <v/>
      </c>
      <c r="AF44" s="20" t="str">
        <f aca="false">IF(OR($B44="",AF$5=""),"",IF(SUMPRODUCT(MAX((İzinler!$A$5:$A$504=$B44)*(İzinler!$C$5:$C$504&lt;=AF$5)*(İzinler!$D$5:$D$504&gt;=AF$5)*ROW(İzinler!$A$5:$A$504)))=0,"",LEFT(SUBSTITUTE(SUBSTITUTE(INDEX(İzinler!$B$1:$B$504,SUMPRODUCT(MAX((İzinler!$A$5:$A$504=$B44)*(İzinler!$C$5:$C$504&lt;=AF$5)*(İzinler!$D$5:$D$504&gt;=AF$5)*ROW(İzinler!$A$5:$A$504)))),"Yıllık izin","İ"),"Ücretsiz izin","Ü"),1)))</f>
        <v/>
      </c>
      <c r="AG44" s="20" t="str">
        <f aca="false">IF(OR($B44="",AG$5=""),"",IF(SUMPRODUCT(MAX((İzinler!$A$5:$A$504=$B44)*(İzinler!$C$5:$C$504&lt;=AG$5)*(İzinler!$D$5:$D$504&gt;=AG$5)*ROW(İzinler!$A$5:$A$504)))=0,"",LEFT(SUBSTITUTE(SUBSTITUTE(INDEX(İzinler!$B$1:$B$504,SUMPRODUCT(MAX((İzinler!$A$5:$A$504=$B44)*(İzinler!$C$5:$C$504&lt;=AG$5)*(İzinler!$D$5:$D$504&gt;=AG$5)*ROW(İzinler!$A$5:$A$504)))),"Yıllık izin","İ"),"Ücretsiz izin","Ü"),1)))</f>
        <v/>
      </c>
      <c r="AH44" s="21" t="str">
        <f aca="false">IF(B44="","",COUNTIF(C44:AG44,"?"))</f>
        <v/>
      </c>
    </row>
    <row r="45" customFormat="false" ht="15" hidden="false" customHeight="false" outlineLevel="0" collapsed="false">
      <c r="B45" s="16" t="str">
        <f aca="false">IF(Personel!A44="","",Personel!A44)</f>
        <v/>
      </c>
      <c r="C45" s="20" t="str">
        <f aca="false">IF(OR($B45="",C$5=""),"",IF(SUMPRODUCT(MAX((İzinler!$A$5:$A$504=$B45)*(İzinler!$C$5:$C$504&lt;=C$5)*(İzinler!$D$5:$D$504&gt;=C$5)*ROW(İzinler!$A$5:$A$504)))=0,"",LEFT(SUBSTITUTE(SUBSTITUTE(INDEX(İzinler!$B$1:$B$504,SUMPRODUCT(MAX((İzinler!$A$5:$A$504=$B45)*(İzinler!$C$5:$C$504&lt;=C$5)*(İzinler!$D$5:$D$504&gt;=C$5)*ROW(İzinler!$A$5:$A$504)))),"Yıllık izin","İ"),"Ücretsiz izin","Ü"),1)))</f>
        <v/>
      </c>
      <c r="D45" s="20" t="str">
        <f aca="false">IF(OR($B45="",D$5=""),"",IF(SUMPRODUCT(MAX((İzinler!$A$5:$A$504=$B45)*(İzinler!$C$5:$C$504&lt;=D$5)*(İzinler!$D$5:$D$504&gt;=D$5)*ROW(İzinler!$A$5:$A$504)))=0,"",LEFT(SUBSTITUTE(SUBSTITUTE(INDEX(İzinler!$B$1:$B$504,SUMPRODUCT(MAX((İzinler!$A$5:$A$504=$B45)*(İzinler!$C$5:$C$504&lt;=D$5)*(İzinler!$D$5:$D$504&gt;=D$5)*ROW(İzinler!$A$5:$A$504)))),"Yıllık izin","İ"),"Ücretsiz izin","Ü"),1)))</f>
        <v/>
      </c>
      <c r="E45" s="20" t="str">
        <f aca="false">IF(OR($B45="",E$5=""),"",IF(SUMPRODUCT(MAX((İzinler!$A$5:$A$504=$B45)*(İzinler!$C$5:$C$504&lt;=E$5)*(İzinler!$D$5:$D$504&gt;=E$5)*ROW(İzinler!$A$5:$A$504)))=0,"",LEFT(SUBSTITUTE(SUBSTITUTE(INDEX(İzinler!$B$1:$B$504,SUMPRODUCT(MAX((İzinler!$A$5:$A$504=$B45)*(İzinler!$C$5:$C$504&lt;=E$5)*(İzinler!$D$5:$D$504&gt;=E$5)*ROW(İzinler!$A$5:$A$504)))),"Yıllık izin","İ"),"Ücretsiz izin","Ü"),1)))</f>
        <v/>
      </c>
      <c r="F45" s="20" t="str">
        <f aca="false">IF(OR($B45="",F$5=""),"",IF(SUMPRODUCT(MAX((İzinler!$A$5:$A$504=$B45)*(İzinler!$C$5:$C$504&lt;=F$5)*(İzinler!$D$5:$D$504&gt;=F$5)*ROW(İzinler!$A$5:$A$504)))=0,"",LEFT(SUBSTITUTE(SUBSTITUTE(INDEX(İzinler!$B$1:$B$504,SUMPRODUCT(MAX((İzinler!$A$5:$A$504=$B45)*(İzinler!$C$5:$C$504&lt;=F$5)*(İzinler!$D$5:$D$504&gt;=F$5)*ROW(İzinler!$A$5:$A$504)))),"Yıllık izin","İ"),"Ücretsiz izin","Ü"),1)))</f>
        <v/>
      </c>
      <c r="G45" s="20" t="str">
        <f aca="false">IF(OR($B45="",G$5=""),"",IF(SUMPRODUCT(MAX((İzinler!$A$5:$A$504=$B45)*(İzinler!$C$5:$C$504&lt;=G$5)*(İzinler!$D$5:$D$504&gt;=G$5)*ROW(İzinler!$A$5:$A$504)))=0,"",LEFT(SUBSTITUTE(SUBSTITUTE(INDEX(İzinler!$B$1:$B$504,SUMPRODUCT(MAX((İzinler!$A$5:$A$504=$B45)*(İzinler!$C$5:$C$504&lt;=G$5)*(İzinler!$D$5:$D$504&gt;=G$5)*ROW(İzinler!$A$5:$A$504)))),"Yıllık izin","İ"),"Ücretsiz izin","Ü"),1)))</f>
        <v/>
      </c>
      <c r="H45" s="20" t="str">
        <f aca="false">IF(OR($B45="",H$5=""),"",IF(SUMPRODUCT(MAX((İzinler!$A$5:$A$504=$B45)*(İzinler!$C$5:$C$504&lt;=H$5)*(İzinler!$D$5:$D$504&gt;=H$5)*ROW(İzinler!$A$5:$A$504)))=0,"",LEFT(SUBSTITUTE(SUBSTITUTE(INDEX(İzinler!$B$1:$B$504,SUMPRODUCT(MAX((İzinler!$A$5:$A$504=$B45)*(İzinler!$C$5:$C$504&lt;=H$5)*(İzinler!$D$5:$D$504&gt;=H$5)*ROW(İzinler!$A$5:$A$504)))),"Yıllık izin","İ"),"Ücretsiz izin","Ü"),1)))</f>
        <v/>
      </c>
      <c r="I45" s="20" t="str">
        <f aca="false">IF(OR($B45="",I$5=""),"",IF(SUMPRODUCT(MAX((İzinler!$A$5:$A$504=$B45)*(İzinler!$C$5:$C$504&lt;=I$5)*(İzinler!$D$5:$D$504&gt;=I$5)*ROW(İzinler!$A$5:$A$504)))=0,"",LEFT(SUBSTITUTE(SUBSTITUTE(INDEX(İzinler!$B$1:$B$504,SUMPRODUCT(MAX((İzinler!$A$5:$A$504=$B45)*(İzinler!$C$5:$C$504&lt;=I$5)*(İzinler!$D$5:$D$504&gt;=I$5)*ROW(İzinler!$A$5:$A$504)))),"Yıllık izin","İ"),"Ücretsiz izin","Ü"),1)))</f>
        <v/>
      </c>
      <c r="J45" s="20" t="str">
        <f aca="false">IF(OR($B45="",J$5=""),"",IF(SUMPRODUCT(MAX((İzinler!$A$5:$A$504=$B45)*(İzinler!$C$5:$C$504&lt;=J$5)*(İzinler!$D$5:$D$504&gt;=J$5)*ROW(İzinler!$A$5:$A$504)))=0,"",LEFT(SUBSTITUTE(SUBSTITUTE(INDEX(İzinler!$B$1:$B$504,SUMPRODUCT(MAX((İzinler!$A$5:$A$504=$B45)*(İzinler!$C$5:$C$504&lt;=J$5)*(İzinler!$D$5:$D$504&gt;=J$5)*ROW(İzinler!$A$5:$A$504)))),"Yıllık izin","İ"),"Ücretsiz izin","Ü"),1)))</f>
        <v/>
      </c>
      <c r="K45" s="20" t="str">
        <f aca="false">IF(OR($B45="",K$5=""),"",IF(SUMPRODUCT(MAX((İzinler!$A$5:$A$504=$B45)*(İzinler!$C$5:$C$504&lt;=K$5)*(İzinler!$D$5:$D$504&gt;=K$5)*ROW(İzinler!$A$5:$A$504)))=0,"",LEFT(SUBSTITUTE(SUBSTITUTE(INDEX(İzinler!$B$1:$B$504,SUMPRODUCT(MAX((İzinler!$A$5:$A$504=$B45)*(İzinler!$C$5:$C$504&lt;=K$5)*(İzinler!$D$5:$D$504&gt;=K$5)*ROW(İzinler!$A$5:$A$504)))),"Yıllık izin","İ"),"Ücretsiz izin","Ü"),1)))</f>
        <v/>
      </c>
      <c r="L45" s="20" t="str">
        <f aca="false">IF(OR($B45="",L$5=""),"",IF(SUMPRODUCT(MAX((İzinler!$A$5:$A$504=$B45)*(İzinler!$C$5:$C$504&lt;=L$5)*(İzinler!$D$5:$D$504&gt;=L$5)*ROW(İzinler!$A$5:$A$504)))=0,"",LEFT(SUBSTITUTE(SUBSTITUTE(INDEX(İzinler!$B$1:$B$504,SUMPRODUCT(MAX((İzinler!$A$5:$A$504=$B45)*(İzinler!$C$5:$C$504&lt;=L$5)*(İzinler!$D$5:$D$504&gt;=L$5)*ROW(İzinler!$A$5:$A$504)))),"Yıllık izin","İ"),"Ücretsiz izin","Ü"),1)))</f>
        <v/>
      </c>
      <c r="M45" s="20" t="str">
        <f aca="false">IF(OR($B45="",M$5=""),"",IF(SUMPRODUCT(MAX((İzinler!$A$5:$A$504=$B45)*(İzinler!$C$5:$C$504&lt;=M$5)*(İzinler!$D$5:$D$504&gt;=M$5)*ROW(İzinler!$A$5:$A$504)))=0,"",LEFT(SUBSTITUTE(SUBSTITUTE(INDEX(İzinler!$B$1:$B$504,SUMPRODUCT(MAX((İzinler!$A$5:$A$504=$B45)*(İzinler!$C$5:$C$504&lt;=M$5)*(İzinler!$D$5:$D$504&gt;=M$5)*ROW(İzinler!$A$5:$A$504)))),"Yıllık izin","İ"),"Ücretsiz izin","Ü"),1)))</f>
        <v/>
      </c>
      <c r="N45" s="20" t="str">
        <f aca="false">IF(OR($B45="",N$5=""),"",IF(SUMPRODUCT(MAX((İzinler!$A$5:$A$504=$B45)*(İzinler!$C$5:$C$504&lt;=N$5)*(İzinler!$D$5:$D$504&gt;=N$5)*ROW(İzinler!$A$5:$A$504)))=0,"",LEFT(SUBSTITUTE(SUBSTITUTE(INDEX(İzinler!$B$1:$B$504,SUMPRODUCT(MAX((İzinler!$A$5:$A$504=$B45)*(İzinler!$C$5:$C$504&lt;=N$5)*(İzinler!$D$5:$D$504&gt;=N$5)*ROW(İzinler!$A$5:$A$504)))),"Yıllık izin","İ"),"Ücretsiz izin","Ü"),1)))</f>
        <v/>
      </c>
      <c r="O45" s="20" t="str">
        <f aca="false">IF(OR($B45="",O$5=""),"",IF(SUMPRODUCT(MAX((İzinler!$A$5:$A$504=$B45)*(İzinler!$C$5:$C$504&lt;=O$5)*(İzinler!$D$5:$D$504&gt;=O$5)*ROW(İzinler!$A$5:$A$504)))=0,"",LEFT(SUBSTITUTE(SUBSTITUTE(INDEX(İzinler!$B$1:$B$504,SUMPRODUCT(MAX((İzinler!$A$5:$A$504=$B45)*(İzinler!$C$5:$C$504&lt;=O$5)*(İzinler!$D$5:$D$504&gt;=O$5)*ROW(İzinler!$A$5:$A$504)))),"Yıllık izin","İ"),"Ücretsiz izin","Ü"),1)))</f>
        <v/>
      </c>
      <c r="P45" s="20" t="str">
        <f aca="false">IF(OR($B45="",P$5=""),"",IF(SUMPRODUCT(MAX((İzinler!$A$5:$A$504=$B45)*(İzinler!$C$5:$C$504&lt;=P$5)*(İzinler!$D$5:$D$504&gt;=P$5)*ROW(İzinler!$A$5:$A$504)))=0,"",LEFT(SUBSTITUTE(SUBSTITUTE(INDEX(İzinler!$B$1:$B$504,SUMPRODUCT(MAX((İzinler!$A$5:$A$504=$B45)*(İzinler!$C$5:$C$504&lt;=P$5)*(İzinler!$D$5:$D$504&gt;=P$5)*ROW(İzinler!$A$5:$A$504)))),"Yıllık izin","İ"),"Ücretsiz izin","Ü"),1)))</f>
        <v/>
      </c>
      <c r="Q45" s="20" t="str">
        <f aca="false">IF(OR($B45="",Q$5=""),"",IF(SUMPRODUCT(MAX((İzinler!$A$5:$A$504=$B45)*(İzinler!$C$5:$C$504&lt;=Q$5)*(İzinler!$D$5:$D$504&gt;=Q$5)*ROW(İzinler!$A$5:$A$504)))=0,"",LEFT(SUBSTITUTE(SUBSTITUTE(INDEX(İzinler!$B$1:$B$504,SUMPRODUCT(MAX((İzinler!$A$5:$A$504=$B45)*(İzinler!$C$5:$C$504&lt;=Q$5)*(İzinler!$D$5:$D$504&gt;=Q$5)*ROW(İzinler!$A$5:$A$504)))),"Yıllık izin","İ"),"Ücretsiz izin","Ü"),1)))</f>
        <v/>
      </c>
      <c r="R45" s="20" t="str">
        <f aca="false">IF(OR($B45="",R$5=""),"",IF(SUMPRODUCT(MAX((İzinler!$A$5:$A$504=$B45)*(İzinler!$C$5:$C$504&lt;=R$5)*(İzinler!$D$5:$D$504&gt;=R$5)*ROW(İzinler!$A$5:$A$504)))=0,"",LEFT(SUBSTITUTE(SUBSTITUTE(INDEX(İzinler!$B$1:$B$504,SUMPRODUCT(MAX((İzinler!$A$5:$A$504=$B45)*(İzinler!$C$5:$C$504&lt;=R$5)*(İzinler!$D$5:$D$504&gt;=R$5)*ROW(İzinler!$A$5:$A$504)))),"Yıllık izin","İ"),"Ücretsiz izin","Ü"),1)))</f>
        <v/>
      </c>
      <c r="S45" s="20" t="str">
        <f aca="false">IF(OR($B45="",S$5=""),"",IF(SUMPRODUCT(MAX((İzinler!$A$5:$A$504=$B45)*(İzinler!$C$5:$C$504&lt;=S$5)*(İzinler!$D$5:$D$504&gt;=S$5)*ROW(İzinler!$A$5:$A$504)))=0,"",LEFT(SUBSTITUTE(SUBSTITUTE(INDEX(İzinler!$B$1:$B$504,SUMPRODUCT(MAX((İzinler!$A$5:$A$504=$B45)*(İzinler!$C$5:$C$504&lt;=S$5)*(İzinler!$D$5:$D$504&gt;=S$5)*ROW(İzinler!$A$5:$A$504)))),"Yıllık izin","İ"),"Ücretsiz izin","Ü"),1)))</f>
        <v/>
      </c>
      <c r="T45" s="20" t="str">
        <f aca="false">IF(OR($B45="",T$5=""),"",IF(SUMPRODUCT(MAX((İzinler!$A$5:$A$504=$B45)*(İzinler!$C$5:$C$504&lt;=T$5)*(İzinler!$D$5:$D$504&gt;=T$5)*ROW(İzinler!$A$5:$A$504)))=0,"",LEFT(SUBSTITUTE(SUBSTITUTE(INDEX(İzinler!$B$1:$B$504,SUMPRODUCT(MAX((İzinler!$A$5:$A$504=$B45)*(İzinler!$C$5:$C$504&lt;=T$5)*(İzinler!$D$5:$D$504&gt;=T$5)*ROW(İzinler!$A$5:$A$504)))),"Yıllık izin","İ"),"Ücretsiz izin","Ü"),1)))</f>
        <v/>
      </c>
      <c r="U45" s="20" t="str">
        <f aca="false">IF(OR($B45="",U$5=""),"",IF(SUMPRODUCT(MAX((İzinler!$A$5:$A$504=$B45)*(İzinler!$C$5:$C$504&lt;=U$5)*(İzinler!$D$5:$D$504&gt;=U$5)*ROW(İzinler!$A$5:$A$504)))=0,"",LEFT(SUBSTITUTE(SUBSTITUTE(INDEX(İzinler!$B$1:$B$504,SUMPRODUCT(MAX((İzinler!$A$5:$A$504=$B45)*(İzinler!$C$5:$C$504&lt;=U$5)*(İzinler!$D$5:$D$504&gt;=U$5)*ROW(İzinler!$A$5:$A$504)))),"Yıllık izin","İ"),"Ücretsiz izin","Ü"),1)))</f>
        <v/>
      </c>
      <c r="V45" s="20" t="str">
        <f aca="false">IF(OR($B45="",V$5=""),"",IF(SUMPRODUCT(MAX((İzinler!$A$5:$A$504=$B45)*(İzinler!$C$5:$C$504&lt;=V$5)*(İzinler!$D$5:$D$504&gt;=V$5)*ROW(İzinler!$A$5:$A$504)))=0,"",LEFT(SUBSTITUTE(SUBSTITUTE(INDEX(İzinler!$B$1:$B$504,SUMPRODUCT(MAX((İzinler!$A$5:$A$504=$B45)*(İzinler!$C$5:$C$504&lt;=V$5)*(İzinler!$D$5:$D$504&gt;=V$5)*ROW(İzinler!$A$5:$A$504)))),"Yıllık izin","İ"),"Ücretsiz izin","Ü"),1)))</f>
        <v/>
      </c>
      <c r="W45" s="20" t="str">
        <f aca="false">IF(OR($B45="",W$5=""),"",IF(SUMPRODUCT(MAX((İzinler!$A$5:$A$504=$B45)*(İzinler!$C$5:$C$504&lt;=W$5)*(İzinler!$D$5:$D$504&gt;=W$5)*ROW(İzinler!$A$5:$A$504)))=0,"",LEFT(SUBSTITUTE(SUBSTITUTE(INDEX(İzinler!$B$1:$B$504,SUMPRODUCT(MAX((İzinler!$A$5:$A$504=$B45)*(İzinler!$C$5:$C$504&lt;=W$5)*(İzinler!$D$5:$D$504&gt;=W$5)*ROW(İzinler!$A$5:$A$504)))),"Yıllık izin","İ"),"Ücretsiz izin","Ü"),1)))</f>
        <v/>
      </c>
      <c r="X45" s="20" t="str">
        <f aca="false">IF(OR($B45="",X$5=""),"",IF(SUMPRODUCT(MAX((İzinler!$A$5:$A$504=$B45)*(İzinler!$C$5:$C$504&lt;=X$5)*(İzinler!$D$5:$D$504&gt;=X$5)*ROW(İzinler!$A$5:$A$504)))=0,"",LEFT(SUBSTITUTE(SUBSTITUTE(INDEX(İzinler!$B$1:$B$504,SUMPRODUCT(MAX((İzinler!$A$5:$A$504=$B45)*(İzinler!$C$5:$C$504&lt;=X$5)*(İzinler!$D$5:$D$504&gt;=X$5)*ROW(İzinler!$A$5:$A$504)))),"Yıllık izin","İ"),"Ücretsiz izin","Ü"),1)))</f>
        <v/>
      </c>
      <c r="Y45" s="20" t="str">
        <f aca="false">IF(OR($B45="",Y$5=""),"",IF(SUMPRODUCT(MAX((İzinler!$A$5:$A$504=$B45)*(İzinler!$C$5:$C$504&lt;=Y$5)*(İzinler!$D$5:$D$504&gt;=Y$5)*ROW(İzinler!$A$5:$A$504)))=0,"",LEFT(SUBSTITUTE(SUBSTITUTE(INDEX(İzinler!$B$1:$B$504,SUMPRODUCT(MAX((İzinler!$A$5:$A$504=$B45)*(İzinler!$C$5:$C$504&lt;=Y$5)*(İzinler!$D$5:$D$504&gt;=Y$5)*ROW(İzinler!$A$5:$A$504)))),"Yıllık izin","İ"),"Ücretsiz izin","Ü"),1)))</f>
        <v/>
      </c>
      <c r="Z45" s="20" t="str">
        <f aca="false">IF(OR($B45="",Z$5=""),"",IF(SUMPRODUCT(MAX((İzinler!$A$5:$A$504=$B45)*(İzinler!$C$5:$C$504&lt;=Z$5)*(İzinler!$D$5:$D$504&gt;=Z$5)*ROW(İzinler!$A$5:$A$504)))=0,"",LEFT(SUBSTITUTE(SUBSTITUTE(INDEX(İzinler!$B$1:$B$504,SUMPRODUCT(MAX((İzinler!$A$5:$A$504=$B45)*(İzinler!$C$5:$C$504&lt;=Z$5)*(İzinler!$D$5:$D$504&gt;=Z$5)*ROW(İzinler!$A$5:$A$504)))),"Yıllık izin","İ"),"Ücretsiz izin","Ü"),1)))</f>
        <v/>
      </c>
      <c r="AA45" s="20" t="str">
        <f aca="false">IF(OR($B45="",AA$5=""),"",IF(SUMPRODUCT(MAX((İzinler!$A$5:$A$504=$B45)*(İzinler!$C$5:$C$504&lt;=AA$5)*(İzinler!$D$5:$D$504&gt;=AA$5)*ROW(İzinler!$A$5:$A$504)))=0,"",LEFT(SUBSTITUTE(SUBSTITUTE(INDEX(İzinler!$B$1:$B$504,SUMPRODUCT(MAX((İzinler!$A$5:$A$504=$B45)*(İzinler!$C$5:$C$504&lt;=AA$5)*(İzinler!$D$5:$D$504&gt;=AA$5)*ROW(İzinler!$A$5:$A$504)))),"Yıllık izin","İ"),"Ücretsiz izin","Ü"),1)))</f>
        <v/>
      </c>
      <c r="AB45" s="20" t="str">
        <f aca="false">IF(OR($B45="",AB$5=""),"",IF(SUMPRODUCT(MAX((İzinler!$A$5:$A$504=$B45)*(İzinler!$C$5:$C$504&lt;=AB$5)*(İzinler!$D$5:$D$504&gt;=AB$5)*ROW(İzinler!$A$5:$A$504)))=0,"",LEFT(SUBSTITUTE(SUBSTITUTE(INDEX(İzinler!$B$1:$B$504,SUMPRODUCT(MAX((İzinler!$A$5:$A$504=$B45)*(İzinler!$C$5:$C$504&lt;=AB$5)*(İzinler!$D$5:$D$504&gt;=AB$5)*ROW(İzinler!$A$5:$A$504)))),"Yıllık izin","İ"),"Ücretsiz izin","Ü"),1)))</f>
        <v/>
      </c>
      <c r="AC45" s="20" t="str">
        <f aca="false">IF(OR($B45="",AC$5=""),"",IF(SUMPRODUCT(MAX((İzinler!$A$5:$A$504=$B45)*(İzinler!$C$5:$C$504&lt;=AC$5)*(İzinler!$D$5:$D$504&gt;=AC$5)*ROW(İzinler!$A$5:$A$504)))=0,"",LEFT(SUBSTITUTE(SUBSTITUTE(INDEX(İzinler!$B$1:$B$504,SUMPRODUCT(MAX((İzinler!$A$5:$A$504=$B45)*(İzinler!$C$5:$C$504&lt;=AC$5)*(İzinler!$D$5:$D$504&gt;=AC$5)*ROW(İzinler!$A$5:$A$504)))),"Yıllık izin","İ"),"Ücretsiz izin","Ü"),1)))</f>
        <v/>
      </c>
      <c r="AD45" s="20" t="str">
        <f aca="false">IF(OR($B45="",AD$5=""),"",IF(SUMPRODUCT(MAX((İzinler!$A$5:$A$504=$B45)*(İzinler!$C$5:$C$504&lt;=AD$5)*(İzinler!$D$5:$D$504&gt;=AD$5)*ROW(İzinler!$A$5:$A$504)))=0,"",LEFT(SUBSTITUTE(SUBSTITUTE(INDEX(İzinler!$B$1:$B$504,SUMPRODUCT(MAX((İzinler!$A$5:$A$504=$B45)*(İzinler!$C$5:$C$504&lt;=AD$5)*(İzinler!$D$5:$D$504&gt;=AD$5)*ROW(İzinler!$A$5:$A$504)))),"Yıllık izin","İ"),"Ücretsiz izin","Ü"),1)))</f>
        <v/>
      </c>
      <c r="AE45" s="20" t="str">
        <f aca="false">IF(OR($B45="",AE$5=""),"",IF(SUMPRODUCT(MAX((İzinler!$A$5:$A$504=$B45)*(İzinler!$C$5:$C$504&lt;=AE$5)*(İzinler!$D$5:$D$504&gt;=AE$5)*ROW(İzinler!$A$5:$A$504)))=0,"",LEFT(SUBSTITUTE(SUBSTITUTE(INDEX(İzinler!$B$1:$B$504,SUMPRODUCT(MAX((İzinler!$A$5:$A$504=$B45)*(İzinler!$C$5:$C$504&lt;=AE$5)*(İzinler!$D$5:$D$504&gt;=AE$5)*ROW(İzinler!$A$5:$A$504)))),"Yıllık izin","İ"),"Ücretsiz izin","Ü"),1)))</f>
        <v/>
      </c>
      <c r="AF45" s="20" t="str">
        <f aca="false">IF(OR($B45="",AF$5=""),"",IF(SUMPRODUCT(MAX((İzinler!$A$5:$A$504=$B45)*(İzinler!$C$5:$C$504&lt;=AF$5)*(İzinler!$D$5:$D$504&gt;=AF$5)*ROW(İzinler!$A$5:$A$504)))=0,"",LEFT(SUBSTITUTE(SUBSTITUTE(INDEX(İzinler!$B$1:$B$504,SUMPRODUCT(MAX((İzinler!$A$5:$A$504=$B45)*(İzinler!$C$5:$C$504&lt;=AF$5)*(İzinler!$D$5:$D$504&gt;=AF$5)*ROW(İzinler!$A$5:$A$504)))),"Yıllık izin","İ"),"Ücretsiz izin","Ü"),1)))</f>
        <v/>
      </c>
      <c r="AG45" s="20" t="str">
        <f aca="false">IF(OR($B45="",AG$5=""),"",IF(SUMPRODUCT(MAX((İzinler!$A$5:$A$504=$B45)*(İzinler!$C$5:$C$504&lt;=AG$5)*(İzinler!$D$5:$D$504&gt;=AG$5)*ROW(İzinler!$A$5:$A$504)))=0,"",LEFT(SUBSTITUTE(SUBSTITUTE(INDEX(İzinler!$B$1:$B$504,SUMPRODUCT(MAX((İzinler!$A$5:$A$504=$B45)*(İzinler!$C$5:$C$504&lt;=AG$5)*(İzinler!$D$5:$D$504&gt;=AG$5)*ROW(İzinler!$A$5:$A$504)))),"Yıllık izin","İ"),"Ücretsiz izin","Ü"),1)))</f>
        <v/>
      </c>
      <c r="AH45" s="21" t="str">
        <f aca="false">IF(B45="","",COUNTIF(C45:AG45,"?"))</f>
        <v/>
      </c>
    </row>
    <row r="46" customFormat="false" ht="15" hidden="false" customHeight="false" outlineLevel="0" collapsed="false">
      <c r="B46" s="16" t="str">
        <f aca="false">IF(Personel!A45="","",Personel!A45)</f>
        <v/>
      </c>
      <c r="C46" s="20" t="str">
        <f aca="false">IF(OR($B46="",C$5=""),"",IF(SUMPRODUCT(MAX((İzinler!$A$5:$A$504=$B46)*(İzinler!$C$5:$C$504&lt;=C$5)*(İzinler!$D$5:$D$504&gt;=C$5)*ROW(İzinler!$A$5:$A$504)))=0,"",LEFT(SUBSTITUTE(SUBSTITUTE(INDEX(İzinler!$B$1:$B$504,SUMPRODUCT(MAX((İzinler!$A$5:$A$504=$B46)*(İzinler!$C$5:$C$504&lt;=C$5)*(İzinler!$D$5:$D$504&gt;=C$5)*ROW(İzinler!$A$5:$A$504)))),"Yıllık izin","İ"),"Ücretsiz izin","Ü"),1)))</f>
        <v/>
      </c>
      <c r="D46" s="20" t="str">
        <f aca="false">IF(OR($B46="",D$5=""),"",IF(SUMPRODUCT(MAX((İzinler!$A$5:$A$504=$B46)*(İzinler!$C$5:$C$504&lt;=D$5)*(İzinler!$D$5:$D$504&gt;=D$5)*ROW(İzinler!$A$5:$A$504)))=0,"",LEFT(SUBSTITUTE(SUBSTITUTE(INDEX(İzinler!$B$1:$B$504,SUMPRODUCT(MAX((İzinler!$A$5:$A$504=$B46)*(İzinler!$C$5:$C$504&lt;=D$5)*(İzinler!$D$5:$D$504&gt;=D$5)*ROW(İzinler!$A$5:$A$504)))),"Yıllık izin","İ"),"Ücretsiz izin","Ü"),1)))</f>
        <v/>
      </c>
      <c r="E46" s="20" t="str">
        <f aca="false">IF(OR($B46="",E$5=""),"",IF(SUMPRODUCT(MAX((İzinler!$A$5:$A$504=$B46)*(İzinler!$C$5:$C$504&lt;=E$5)*(İzinler!$D$5:$D$504&gt;=E$5)*ROW(İzinler!$A$5:$A$504)))=0,"",LEFT(SUBSTITUTE(SUBSTITUTE(INDEX(İzinler!$B$1:$B$504,SUMPRODUCT(MAX((İzinler!$A$5:$A$504=$B46)*(İzinler!$C$5:$C$504&lt;=E$5)*(İzinler!$D$5:$D$504&gt;=E$5)*ROW(İzinler!$A$5:$A$504)))),"Yıllık izin","İ"),"Ücretsiz izin","Ü"),1)))</f>
        <v/>
      </c>
      <c r="F46" s="20" t="str">
        <f aca="false">IF(OR($B46="",F$5=""),"",IF(SUMPRODUCT(MAX((İzinler!$A$5:$A$504=$B46)*(İzinler!$C$5:$C$504&lt;=F$5)*(İzinler!$D$5:$D$504&gt;=F$5)*ROW(İzinler!$A$5:$A$504)))=0,"",LEFT(SUBSTITUTE(SUBSTITUTE(INDEX(İzinler!$B$1:$B$504,SUMPRODUCT(MAX((İzinler!$A$5:$A$504=$B46)*(İzinler!$C$5:$C$504&lt;=F$5)*(İzinler!$D$5:$D$504&gt;=F$5)*ROW(İzinler!$A$5:$A$504)))),"Yıllık izin","İ"),"Ücretsiz izin","Ü"),1)))</f>
        <v/>
      </c>
      <c r="G46" s="20" t="str">
        <f aca="false">IF(OR($B46="",G$5=""),"",IF(SUMPRODUCT(MAX((İzinler!$A$5:$A$504=$B46)*(İzinler!$C$5:$C$504&lt;=G$5)*(İzinler!$D$5:$D$504&gt;=G$5)*ROW(İzinler!$A$5:$A$504)))=0,"",LEFT(SUBSTITUTE(SUBSTITUTE(INDEX(İzinler!$B$1:$B$504,SUMPRODUCT(MAX((İzinler!$A$5:$A$504=$B46)*(İzinler!$C$5:$C$504&lt;=G$5)*(İzinler!$D$5:$D$504&gt;=G$5)*ROW(İzinler!$A$5:$A$504)))),"Yıllık izin","İ"),"Ücretsiz izin","Ü"),1)))</f>
        <v/>
      </c>
      <c r="H46" s="20" t="str">
        <f aca="false">IF(OR($B46="",H$5=""),"",IF(SUMPRODUCT(MAX((İzinler!$A$5:$A$504=$B46)*(İzinler!$C$5:$C$504&lt;=H$5)*(İzinler!$D$5:$D$504&gt;=H$5)*ROW(İzinler!$A$5:$A$504)))=0,"",LEFT(SUBSTITUTE(SUBSTITUTE(INDEX(İzinler!$B$1:$B$504,SUMPRODUCT(MAX((İzinler!$A$5:$A$504=$B46)*(İzinler!$C$5:$C$504&lt;=H$5)*(İzinler!$D$5:$D$504&gt;=H$5)*ROW(İzinler!$A$5:$A$504)))),"Yıllık izin","İ"),"Ücretsiz izin","Ü"),1)))</f>
        <v/>
      </c>
      <c r="I46" s="20" t="str">
        <f aca="false">IF(OR($B46="",I$5=""),"",IF(SUMPRODUCT(MAX((İzinler!$A$5:$A$504=$B46)*(İzinler!$C$5:$C$504&lt;=I$5)*(İzinler!$D$5:$D$504&gt;=I$5)*ROW(İzinler!$A$5:$A$504)))=0,"",LEFT(SUBSTITUTE(SUBSTITUTE(INDEX(İzinler!$B$1:$B$504,SUMPRODUCT(MAX((İzinler!$A$5:$A$504=$B46)*(İzinler!$C$5:$C$504&lt;=I$5)*(İzinler!$D$5:$D$504&gt;=I$5)*ROW(İzinler!$A$5:$A$504)))),"Yıllık izin","İ"),"Ücretsiz izin","Ü"),1)))</f>
        <v/>
      </c>
      <c r="J46" s="20" t="str">
        <f aca="false">IF(OR($B46="",J$5=""),"",IF(SUMPRODUCT(MAX((İzinler!$A$5:$A$504=$B46)*(İzinler!$C$5:$C$504&lt;=J$5)*(İzinler!$D$5:$D$504&gt;=J$5)*ROW(İzinler!$A$5:$A$504)))=0,"",LEFT(SUBSTITUTE(SUBSTITUTE(INDEX(İzinler!$B$1:$B$504,SUMPRODUCT(MAX((İzinler!$A$5:$A$504=$B46)*(İzinler!$C$5:$C$504&lt;=J$5)*(İzinler!$D$5:$D$504&gt;=J$5)*ROW(İzinler!$A$5:$A$504)))),"Yıllık izin","İ"),"Ücretsiz izin","Ü"),1)))</f>
        <v/>
      </c>
      <c r="K46" s="20" t="str">
        <f aca="false">IF(OR($B46="",K$5=""),"",IF(SUMPRODUCT(MAX((İzinler!$A$5:$A$504=$B46)*(İzinler!$C$5:$C$504&lt;=K$5)*(İzinler!$D$5:$D$504&gt;=K$5)*ROW(İzinler!$A$5:$A$504)))=0,"",LEFT(SUBSTITUTE(SUBSTITUTE(INDEX(İzinler!$B$1:$B$504,SUMPRODUCT(MAX((İzinler!$A$5:$A$504=$B46)*(İzinler!$C$5:$C$504&lt;=K$5)*(İzinler!$D$5:$D$504&gt;=K$5)*ROW(İzinler!$A$5:$A$504)))),"Yıllık izin","İ"),"Ücretsiz izin","Ü"),1)))</f>
        <v/>
      </c>
      <c r="L46" s="20" t="str">
        <f aca="false">IF(OR($B46="",L$5=""),"",IF(SUMPRODUCT(MAX((İzinler!$A$5:$A$504=$B46)*(İzinler!$C$5:$C$504&lt;=L$5)*(İzinler!$D$5:$D$504&gt;=L$5)*ROW(İzinler!$A$5:$A$504)))=0,"",LEFT(SUBSTITUTE(SUBSTITUTE(INDEX(İzinler!$B$1:$B$504,SUMPRODUCT(MAX((İzinler!$A$5:$A$504=$B46)*(İzinler!$C$5:$C$504&lt;=L$5)*(İzinler!$D$5:$D$504&gt;=L$5)*ROW(İzinler!$A$5:$A$504)))),"Yıllık izin","İ"),"Ücretsiz izin","Ü"),1)))</f>
        <v/>
      </c>
      <c r="M46" s="20" t="str">
        <f aca="false">IF(OR($B46="",M$5=""),"",IF(SUMPRODUCT(MAX((İzinler!$A$5:$A$504=$B46)*(İzinler!$C$5:$C$504&lt;=M$5)*(İzinler!$D$5:$D$504&gt;=M$5)*ROW(İzinler!$A$5:$A$504)))=0,"",LEFT(SUBSTITUTE(SUBSTITUTE(INDEX(İzinler!$B$1:$B$504,SUMPRODUCT(MAX((İzinler!$A$5:$A$504=$B46)*(İzinler!$C$5:$C$504&lt;=M$5)*(İzinler!$D$5:$D$504&gt;=M$5)*ROW(İzinler!$A$5:$A$504)))),"Yıllık izin","İ"),"Ücretsiz izin","Ü"),1)))</f>
        <v/>
      </c>
      <c r="N46" s="20" t="str">
        <f aca="false">IF(OR($B46="",N$5=""),"",IF(SUMPRODUCT(MAX((İzinler!$A$5:$A$504=$B46)*(İzinler!$C$5:$C$504&lt;=N$5)*(İzinler!$D$5:$D$504&gt;=N$5)*ROW(İzinler!$A$5:$A$504)))=0,"",LEFT(SUBSTITUTE(SUBSTITUTE(INDEX(İzinler!$B$1:$B$504,SUMPRODUCT(MAX((İzinler!$A$5:$A$504=$B46)*(İzinler!$C$5:$C$504&lt;=N$5)*(İzinler!$D$5:$D$504&gt;=N$5)*ROW(İzinler!$A$5:$A$504)))),"Yıllık izin","İ"),"Ücretsiz izin","Ü"),1)))</f>
        <v/>
      </c>
      <c r="O46" s="20" t="str">
        <f aca="false">IF(OR($B46="",O$5=""),"",IF(SUMPRODUCT(MAX((İzinler!$A$5:$A$504=$B46)*(İzinler!$C$5:$C$504&lt;=O$5)*(İzinler!$D$5:$D$504&gt;=O$5)*ROW(İzinler!$A$5:$A$504)))=0,"",LEFT(SUBSTITUTE(SUBSTITUTE(INDEX(İzinler!$B$1:$B$504,SUMPRODUCT(MAX((İzinler!$A$5:$A$504=$B46)*(İzinler!$C$5:$C$504&lt;=O$5)*(İzinler!$D$5:$D$504&gt;=O$5)*ROW(İzinler!$A$5:$A$504)))),"Yıllık izin","İ"),"Ücretsiz izin","Ü"),1)))</f>
        <v/>
      </c>
      <c r="P46" s="20" t="str">
        <f aca="false">IF(OR($B46="",P$5=""),"",IF(SUMPRODUCT(MAX((İzinler!$A$5:$A$504=$B46)*(İzinler!$C$5:$C$504&lt;=P$5)*(İzinler!$D$5:$D$504&gt;=P$5)*ROW(İzinler!$A$5:$A$504)))=0,"",LEFT(SUBSTITUTE(SUBSTITUTE(INDEX(İzinler!$B$1:$B$504,SUMPRODUCT(MAX((İzinler!$A$5:$A$504=$B46)*(İzinler!$C$5:$C$504&lt;=P$5)*(İzinler!$D$5:$D$504&gt;=P$5)*ROW(İzinler!$A$5:$A$504)))),"Yıllık izin","İ"),"Ücretsiz izin","Ü"),1)))</f>
        <v/>
      </c>
      <c r="Q46" s="20" t="str">
        <f aca="false">IF(OR($B46="",Q$5=""),"",IF(SUMPRODUCT(MAX((İzinler!$A$5:$A$504=$B46)*(İzinler!$C$5:$C$504&lt;=Q$5)*(İzinler!$D$5:$D$504&gt;=Q$5)*ROW(İzinler!$A$5:$A$504)))=0,"",LEFT(SUBSTITUTE(SUBSTITUTE(INDEX(İzinler!$B$1:$B$504,SUMPRODUCT(MAX((İzinler!$A$5:$A$504=$B46)*(İzinler!$C$5:$C$504&lt;=Q$5)*(İzinler!$D$5:$D$504&gt;=Q$5)*ROW(İzinler!$A$5:$A$504)))),"Yıllık izin","İ"),"Ücretsiz izin","Ü"),1)))</f>
        <v/>
      </c>
      <c r="R46" s="20" t="str">
        <f aca="false">IF(OR($B46="",R$5=""),"",IF(SUMPRODUCT(MAX((İzinler!$A$5:$A$504=$B46)*(İzinler!$C$5:$C$504&lt;=R$5)*(İzinler!$D$5:$D$504&gt;=R$5)*ROW(İzinler!$A$5:$A$504)))=0,"",LEFT(SUBSTITUTE(SUBSTITUTE(INDEX(İzinler!$B$1:$B$504,SUMPRODUCT(MAX((İzinler!$A$5:$A$504=$B46)*(İzinler!$C$5:$C$504&lt;=R$5)*(İzinler!$D$5:$D$504&gt;=R$5)*ROW(İzinler!$A$5:$A$504)))),"Yıllık izin","İ"),"Ücretsiz izin","Ü"),1)))</f>
        <v/>
      </c>
      <c r="S46" s="20" t="str">
        <f aca="false">IF(OR($B46="",S$5=""),"",IF(SUMPRODUCT(MAX((İzinler!$A$5:$A$504=$B46)*(İzinler!$C$5:$C$504&lt;=S$5)*(İzinler!$D$5:$D$504&gt;=S$5)*ROW(İzinler!$A$5:$A$504)))=0,"",LEFT(SUBSTITUTE(SUBSTITUTE(INDEX(İzinler!$B$1:$B$504,SUMPRODUCT(MAX((İzinler!$A$5:$A$504=$B46)*(İzinler!$C$5:$C$504&lt;=S$5)*(İzinler!$D$5:$D$504&gt;=S$5)*ROW(İzinler!$A$5:$A$504)))),"Yıllık izin","İ"),"Ücretsiz izin","Ü"),1)))</f>
        <v/>
      </c>
      <c r="T46" s="20" t="str">
        <f aca="false">IF(OR($B46="",T$5=""),"",IF(SUMPRODUCT(MAX((İzinler!$A$5:$A$504=$B46)*(İzinler!$C$5:$C$504&lt;=T$5)*(İzinler!$D$5:$D$504&gt;=T$5)*ROW(İzinler!$A$5:$A$504)))=0,"",LEFT(SUBSTITUTE(SUBSTITUTE(INDEX(İzinler!$B$1:$B$504,SUMPRODUCT(MAX((İzinler!$A$5:$A$504=$B46)*(İzinler!$C$5:$C$504&lt;=T$5)*(İzinler!$D$5:$D$504&gt;=T$5)*ROW(İzinler!$A$5:$A$504)))),"Yıllık izin","İ"),"Ücretsiz izin","Ü"),1)))</f>
        <v/>
      </c>
      <c r="U46" s="20" t="str">
        <f aca="false">IF(OR($B46="",U$5=""),"",IF(SUMPRODUCT(MAX((İzinler!$A$5:$A$504=$B46)*(İzinler!$C$5:$C$504&lt;=U$5)*(İzinler!$D$5:$D$504&gt;=U$5)*ROW(İzinler!$A$5:$A$504)))=0,"",LEFT(SUBSTITUTE(SUBSTITUTE(INDEX(İzinler!$B$1:$B$504,SUMPRODUCT(MAX((İzinler!$A$5:$A$504=$B46)*(İzinler!$C$5:$C$504&lt;=U$5)*(İzinler!$D$5:$D$504&gt;=U$5)*ROW(İzinler!$A$5:$A$504)))),"Yıllık izin","İ"),"Ücretsiz izin","Ü"),1)))</f>
        <v/>
      </c>
      <c r="V46" s="20" t="str">
        <f aca="false">IF(OR($B46="",V$5=""),"",IF(SUMPRODUCT(MAX((İzinler!$A$5:$A$504=$B46)*(İzinler!$C$5:$C$504&lt;=V$5)*(İzinler!$D$5:$D$504&gt;=V$5)*ROW(İzinler!$A$5:$A$504)))=0,"",LEFT(SUBSTITUTE(SUBSTITUTE(INDEX(İzinler!$B$1:$B$504,SUMPRODUCT(MAX((İzinler!$A$5:$A$504=$B46)*(İzinler!$C$5:$C$504&lt;=V$5)*(İzinler!$D$5:$D$504&gt;=V$5)*ROW(İzinler!$A$5:$A$504)))),"Yıllık izin","İ"),"Ücretsiz izin","Ü"),1)))</f>
        <v/>
      </c>
      <c r="W46" s="20" t="str">
        <f aca="false">IF(OR($B46="",W$5=""),"",IF(SUMPRODUCT(MAX((İzinler!$A$5:$A$504=$B46)*(İzinler!$C$5:$C$504&lt;=W$5)*(İzinler!$D$5:$D$504&gt;=W$5)*ROW(İzinler!$A$5:$A$504)))=0,"",LEFT(SUBSTITUTE(SUBSTITUTE(INDEX(İzinler!$B$1:$B$504,SUMPRODUCT(MAX((İzinler!$A$5:$A$504=$B46)*(İzinler!$C$5:$C$504&lt;=W$5)*(İzinler!$D$5:$D$504&gt;=W$5)*ROW(İzinler!$A$5:$A$504)))),"Yıllık izin","İ"),"Ücretsiz izin","Ü"),1)))</f>
        <v/>
      </c>
      <c r="X46" s="20" t="str">
        <f aca="false">IF(OR($B46="",X$5=""),"",IF(SUMPRODUCT(MAX((İzinler!$A$5:$A$504=$B46)*(İzinler!$C$5:$C$504&lt;=X$5)*(İzinler!$D$5:$D$504&gt;=X$5)*ROW(İzinler!$A$5:$A$504)))=0,"",LEFT(SUBSTITUTE(SUBSTITUTE(INDEX(İzinler!$B$1:$B$504,SUMPRODUCT(MAX((İzinler!$A$5:$A$504=$B46)*(İzinler!$C$5:$C$504&lt;=X$5)*(İzinler!$D$5:$D$504&gt;=X$5)*ROW(İzinler!$A$5:$A$504)))),"Yıllık izin","İ"),"Ücretsiz izin","Ü"),1)))</f>
        <v/>
      </c>
      <c r="Y46" s="20" t="str">
        <f aca="false">IF(OR($B46="",Y$5=""),"",IF(SUMPRODUCT(MAX((İzinler!$A$5:$A$504=$B46)*(İzinler!$C$5:$C$504&lt;=Y$5)*(İzinler!$D$5:$D$504&gt;=Y$5)*ROW(İzinler!$A$5:$A$504)))=0,"",LEFT(SUBSTITUTE(SUBSTITUTE(INDEX(İzinler!$B$1:$B$504,SUMPRODUCT(MAX((İzinler!$A$5:$A$504=$B46)*(İzinler!$C$5:$C$504&lt;=Y$5)*(İzinler!$D$5:$D$504&gt;=Y$5)*ROW(İzinler!$A$5:$A$504)))),"Yıllık izin","İ"),"Ücretsiz izin","Ü"),1)))</f>
        <v/>
      </c>
      <c r="Z46" s="20" t="str">
        <f aca="false">IF(OR($B46="",Z$5=""),"",IF(SUMPRODUCT(MAX((İzinler!$A$5:$A$504=$B46)*(İzinler!$C$5:$C$504&lt;=Z$5)*(İzinler!$D$5:$D$504&gt;=Z$5)*ROW(İzinler!$A$5:$A$504)))=0,"",LEFT(SUBSTITUTE(SUBSTITUTE(INDEX(İzinler!$B$1:$B$504,SUMPRODUCT(MAX((İzinler!$A$5:$A$504=$B46)*(İzinler!$C$5:$C$504&lt;=Z$5)*(İzinler!$D$5:$D$504&gt;=Z$5)*ROW(İzinler!$A$5:$A$504)))),"Yıllık izin","İ"),"Ücretsiz izin","Ü"),1)))</f>
        <v/>
      </c>
      <c r="AA46" s="20" t="str">
        <f aca="false">IF(OR($B46="",AA$5=""),"",IF(SUMPRODUCT(MAX((İzinler!$A$5:$A$504=$B46)*(İzinler!$C$5:$C$504&lt;=AA$5)*(İzinler!$D$5:$D$504&gt;=AA$5)*ROW(İzinler!$A$5:$A$504)))=0,"",LEFT(SUBSTITUTE(SUBSTITUTE(INDEX(İzinler!$B$1:$B$504,SUMPRODUCT(MAX((İzinler!$A$5:$A$504=$B46)*(İzinler!$C$5:$C$504&lt;=AA$5)*(İzinler!$D$5:$D$504&gt;=AA$5)*ROW(İzinler!$A$5:$A$504)))),"Yıllık izin","İ"),"Ücretsiz izin","Ü"),1)))</f>
        <v/>
      </c>
      <c r="AB46" s="20" t="str">
        <f aca="false">IF(OR($B46="",AB$5=""),"",IF(SUMPRODUCT(MAX((İzinler!$A$5:$A$504=$B46)*(İzinler!$C$5:$C$504&lt;=AB$5)*(İzinler!$D$5:$D$504&gt;=AB$5)*ROW(İzinler!$A$5:$A$504)))=0,"",LEFT(SUBSTITUTE(SUBSTITUTE(INDEX(İzinler!$B$1:$B$504,SUMPRODUCT(MAX((İzinler!$A$5:$A$504=$B46)*(İzinler!$C$5:$C$504&lt;=AB$5)*(İzinler!$D$5:$D$504&gt;=AB$5)*ROW(İzinler!$A$5:$A$504)))),"Yıllık izin","İ"),"Ücretsiz izin","Ü"),1)))</f>
        <v/>
      </c>
      <c r="AC46" s="20" t="str">
        <f aca="false">IF(OR($B46="",AC$5=""),"",IF(SUMPRODUCT(MAX((İzinler!$A$5:$A$504=$B46)*(İzinler!$C$5:$C$504&lt;=AC$5)*(İzinler!$D$5:$D$504&gt;=AC$5)*ROW(İzinler!$A$5:$A$504)))=0,"",LEFT(SUBSTITUTE(SUBSTITUTE(INDEX(İzinler!$B$1:$B$504,SUMPRODUCT(MAX((İzinler!$A$5:$A$504=$B46)*(İzinler!$C$5:$C$504&lt;=AC$5)*(İzinler!$D$5:$D$504&gt;=AC$5)*ROW(İzinler!$A$5:$A$504)))),"Yıllık izin","İ"),"Ücretsiz izin","Ü"),1)))</f>
        <v/>
      </c>
      <c r="AD46" s="20" t="str">
        <f aca="false">IF(OR($B46="",AD$5=""),"",IF(SUMPRODUCT(MAX((İzinler!$A$5:$A$504=$B46)*(İzinler!$C$5:$C$504&lt;=AD$5)*(İzinler!$D$5:$D$504&gt;=AD$5)*ROW(İzinler!$A$5:$A$504)))=0,"",LEFT(SUBSTITUTE(SUBSTITUTE(INDEX(İzinler!$B$1:$B$504,SUMPRODUCT(MAX((İzinler!$A$5:$A$504=$B46)*(İzinler!$C$5:$C$504&lt;=AD$5)*(İzinler!$D$5:$D$504&gt;=AD$5)*ROW(İzinler!$A$5:$A$504)))),"Yıllık izin","İ"),"Ücretsiz izin","Ü"),1)))</f>
        <v/>
      </c>
      <c r="AE46" s="20" t="str">
        <f aca="false">IF(OR($B46="",AE$5=""),"",IF(SUMPRODUCT(MAX((İzinler!$A$5:$A$504=$B46)*(İzinler!$C$5:$C$504&lt;=AE$5)*(İzinler!$D$5:$D$504&gt;=AE$5)*ROW(İzinler!$A$5:$A$504)))=0,"",LEFT(SUBSTITUTE(SUBSTITUTE(INDEX(İzinler!$B$1:$B$504,SUMPRODUCT(MAX((İzinler!$A$5:$A$504=$B46)*(İzinler!$C$5:$C$504&lt;=AE$5)*(İzinler!$D$5:$D$504&gt;=AE$5)*ROW(İzinler!$A$5:$A$504)))),"Yıllık izin","İ"),"Ücretsiz izin","Ü"),1)))</f>
        <v/>
      </c>
      <c r="AF46" s="20" t="str">
        <f aca="false">IF(OR($B46="",AF$5=""),"",IF(SUMPRODUCT(MAX((İzinler!$A$5:$A$504=$B46)*(İzinler!$C$5:$C$504&lt;=AF$5)*(İzinler!$D$5:$D$504&gt;=AF$5)*ROW(İzinler!$A$5:$A$504)))=0,"",LEFT(SUBSTITUTE(SUBSTITUTE(INDEX(İzinler!$B$1:$B$504,SUMPRODUCT(MAX((İzinler!$A$5:$A$504=$B46)*(İzinler!$C$5:$C$504&lt;=AF$5)*(İzinler!$D$5:$D$504&gt;=AF$5)*ROW(İzinler!$A$5:$A$504)))),"Yıllık izin","İ"),"Ücretsiz izin","Ü"),1)))</f>
        <v/>
      </c>
      <c r="AG46" s="20" t="str">
        <f aca="false">IF(OR($B46="",AG$5=""),"",IF(SUMPRODUCT(MAX((İzinler!$A$5:$A$504=$B46)*(İzinler!$C$5:$C$504&lt;=AG$5)*(İzinler!$D$5:$D$504&gt;=AG$5)*ROW(İzinler!$A$5:$A$504)))=0,"",LEFT(SUBSTITUTE(SUBSTITUTE(INDEX(İzinler!$B$1:$B$504,SUMPRODUCT(MAX((İzinler!$A$5:$A$504=$B46)*(İzinler!$C$5:$C$504&lt;=AG$5)*(İzinler!$D$5:$D$504&gt;=AG$5)*ROW(İzinler!$A$5:$A$504)))),"Yıllık izin","İ"),"Ücretsiz izin","Ü"),1)))</f>
        <v/>
      </c>
      <c r="AH46" s="21" t="str">
        <f aca="false">IF(B46="","",COUNTIF(C46:AG46,"?"))</f>
        <v/>
      </c>
    </row>
    <row r="47" customFormat="false" ht="15" hidden="false" customHeight="false" outlineLevel="0" collapsed="false">
      <c r="B47" s="16" t="str">
        <f aca="false">IF(Personel!A46="","",Personel!A46)</f>
        <v/>
      </c>
      <c r="C47" s="20" t="str">
        <f aca="false">IF(OR($B47="",C$5=""),"",IF(SUMPRODUCT(MAX((İzinler!$A$5:$A$504=$B47)*(İzinler!$C$5:$C$504&lt;=C$5)*(İzinler!$D$5:$D$504&gt;=C$5)*ROW(İzinler!$A$5:$A$504)))=0,"",LEFT(SUBSTITUTE(SUBSTITUTE(INDEX(İzinler!$B$1:$B$504,SUMPRODUCT(MAX((İzinler!$A$5:$A$504=$B47)*(İzinler!$C$5:$C$504&lt;=C$5)*(İzinler!$D$5:$D$504&gt;=C$5)*ROW(İzinler!$A$5:$A$504)))),"Yıllık izin","İ"),"Ücretsiz izin","Ü"),1)))</f>
        <v/>
      </c>
      <c r="D47" s="20" t="str">
        <f aca="false">IF(OR($B47="",D$5=""),"",IF(SUMPRODUCT(MAX((İzinler!$A$5:$A$504=$B47)*(İzinler!$C$5:$C$504&lt;=D$5)*(İzinler!$D$5:$D$504&gt;=D$5)*ROW(İzinler!$A$5:$A$504)))=0,"",LEFT(SUBSTITUTE(SUBSTITUTE(INDEX(İzinler!$B$1:$B$504,SUMPRODUCT(MAX((İzinler!$A$5:$A$504=$B47)*(İzinler!$C$5:$C$504&lt;=D$5)*(İzinler!$D$5:$D$504&gt;=D$5)*ROW(İzinler!$A$5:$A$504)))),"Yıllık izin","İ"),"Ücretsiz izin","Ü"),1)))</f>
        <v/>
      </c>
      <c r="E47" s="20" t="str">
        <f aca="false">IF(OR($B47="",E$5=""),"",IF(SUMPRODUCT(MAX((İzinler!$A$5:$A$504=$B47)*(İzinler!$C$5:$C$504&lt;=E$5)*(İzinler!$D$5:$D$504&gt;=E$5)*ROW(İzinler!$A$5:$A$504)))=0,"",LEFT(SUBSTITUTE(SUBSTITUTE(INDEX(İzinler!$B$1:$B$504,SUMPRODUCT(MAX((İzinler!$A$5:$A$504=$B47)*(İzinler!$C$5:$C$504&lt;=E$5)*(İzinler!$D$5:$D$504&gt;=E$5)*ROW(İzinler!$A$5:$A$504)))),"Yıllık izin","İ"),"Ücretsiz izin","Ü"),1)))</f>
        <v/>
      </c>
      <c r="F47" s="20" t="str">
        <f aca="false">IF(OR($B47="",F$5=""),"",IF(SUMPRODUCT(MAX((İzinler!$A$5:$A$504=$B47)*(İzinler!$C$5:$C$504&lt;=F$5)*(İzinler!$D$5:$D$504&gt;=F$5)*ROW(İzinler!$A$5:$A$504)))=0,"",LEFT(SUBSTITUTE(SUBSTITUTE(INDEX(İzinler!$B$1:$B$504,SUMPRODUCT(MAX((İzinler!$A$5:$A$504=$B47)*(İzinler!$C$5:$C$504&lt;=F$5)*(İzinler!$D$5:$D$504&gt;=F$5)*ROW(İzinler!$A$5:$A$504)))),"Yıllık izin","İ"),"Ücretsiz izin","Ü"),1)))</f>
        <v/>
      </c>
      <c r="G47" s="20" t="str">
        <f aca="false">IF(OR($B47="",G$5=""),"",IF(SUMPRODUCT(MAX((İzinler!$A$5:$A$504=$B47)*(İzinler!$C$5:$C$504&lt;=G$5)*(İzinler!$D$5:$D$504&gt;=G$5)*ROW(İzinler!$A$5:$A$504)))=0,"",LEFT(SUBSTITUTE(SUBSTITUTE(INDEX(İzinler!$B$1:$B$504,SUMPRODUCT(MAX((İzinler!$A$5:$A$504=$B47)*(İzinler!$C$5:$C$504&lt;=G$5)*(İzinler!$D$5:$D$504&gt;=G$5)*ROW(İzinler!$A$5:$A$504)))),"Yıllık izin","İ"),"Ücretsiz izin","Ü"),1)))</f>
        <v/>
      </c>
      <c r="H47" s="20" t="str">
        <f aca="false">IF(OR($B47="",H$5=""),"",IF(SUMPRODUCT(MAX((İzinler!$A$5:$A$504=$B47)*(İzinler!$C$5:$C$504&lt;=H$5)*(İzinler!$D$5:$D$504&gt;=H$5)*ROW(İzinler!$A$5:$A$504)))=0,"",LEFT(SUBSTITUTE(SUBSTITUTE(INDEX(İzinler!$B$1:$B$504,SUMPRODUCT(MAX((İzinler!$A$5:$A$504=$B47)*(İzinler!$C$5:$C$504&lt;=H$5)*(İzinler!$D$5:$D$504&gt;=H$5)*ROW(İzinler!$A$5:$A$504)))),"Yıllık izin","İ"),"Ücretsiz izin","Ü"),1)))</f>
        <v/>
      </c>
      <c r="I47" s="20" t="str">
        <f aca="false">IF(OR($B47="",I$5=""),"",IF(SUMPRODUCT(MAX((İzinler!$A$5:$A$504=$B47)*(İzinler!$C$5:$C$504&lt;=I$5)*(İzinler!$D$5:$D$504&gt;=I$5)*ROW(İzinler!$A$5:$A$504)))=0,"",LEFT(SUBSTITUTE(SUBSTITUTE(INDEX(İzinler!$B$1:$B$504,SUMPRODUCT(MAX((İzinler!$A$5:$A$504=$B47)*(İzinler!$C$5:$C$504&lt;=I$5)*(İzinler!$D$5:$D$504&gt;=I$5)*ROW(İzinler!$A$5:$A$504)))),"Yıllık izin","İ"),"Ücretsiz izin","Ü"),1)))</f>
        <v/>
      </c>
      <c r="J47" s="20" t="str">
        <f aca="false">IF(OR($B47="",J$5=""),"",IF(SUMPRODUCT(MAX((İzinler!$A$5:$A$504=$B47)*(İzinler!$C$5:$C$504&lt;=J$5)*(İzinler!$D$5:$D$504&gt;=J$5)*ROW(İzinler!$A$5:$A$504)))=0,"",LEFT(SUBSTITUTE(SUBSTITUTE(INDEX(İzinler!$B$1:$B$504,SUMPRODUCT(MAX((İzinler!$A$5:$A$504=$B47)*(İzinler!$C$5:$C$504&lt;=J$5)*(İzinler!$D$5:$D$504&gt;=J$5)*ROW(İzinler!$A$5:$A$504)))),"Yıllık izin","İ"),"Ücretsiz izin","Ü"),1)))</f>
        <v/>
      </c>
      <c r="K47" s="20" t="str">
        <f aca="false">IF(OR($B47="",K$5=""),"",IF(SUMPRODUCT(MAX((İzinler!$A$5:$A$504=$B47)*(İzinler!$C$5:$C$504&lt;=K$5)*(İzinler!$D$5:$D$504&gt;=K$5)*ROW(İzinler!$A$5:$A$504)))=0,"",LEFT(SUBSTITUTE(SUBSTITUTE(INDEX(İzinler!$B$1:$B$504,SUMPRODUCT(MAX((İzinler!$A$5:$A$504=$B47)*(İzinler!$C$5:$C$504&lt;=K$5)*(İzinler!$D$5:$D$504&gt;=K$5)*ROW(İzinler!$A$5:$A$504)))),"Yıllık izin","İ"),"Ücretsiz izin","Ü"),1)))</f>
        <v/>
      </c>
      <c r="L47" s="20" t="str">
        <f aca="false">IF(OR($B47="",L$5=""),"",IF(SUMPRODUCT(MAX((İzinler!$A$5:$A$504=$B47)*(İzinler!$C$5:$C$504&lt;=L$5)*(İzinler!$D$5:$D$504&gt;=L$5)*ROW(İzinler!$A$5:$A$504)))=0,"",LEFT(SUBSTITUTE(SUBSTITUTE(INDEX(İzinler!$B$1:$B$504,SUMPRODUCT(MAX((İzinler!$A$5:$A$504=$B47)*(İzinler!$C$5:$C$504&lt;=L$5)*(İzinler!$D$5:$D$504&gt;=L$5)*ROW(İzinler!$A$5:$A$504)))),"Yıllık izin","İ"),"Ücretsiz izin","Ü"),1)))</f>
        <v/>
      </c>
      <c r="M47" s="20" t="str">
        <f aca="false">IF(OR($B47="",M$5=""),"",IF(SUMPRODUCT(MAX((İzinler!$A$5:$A$504=$B47)*(İzinler!$C$5:$C$504&lt;=M$5)*(İzinler!$D$5:$D$504&gt;=M$5)*ROW(İzinler!$A$5:$A$504)))=0,"",LEFT(SUBSTITUTE(SUBSTITUTE(INDEX(İzinler!$B$1:$B$504,SUMPRODUCT(MAX((İzinler!$A$5:$A$504=$B47)*(İzinler!$C$5:$C$504&lt;=M$5)*(İzinler!$D$5:$D$504&gt;=M$5)*ROW(İzinler!$A$5:$A$504)))),"Yıllık izin","İ"),"Ücretsiz izin","Ü"),1)))</f>
        <v/>
      </c>
      <c r="N47" s="20" t="str">
        <f aca="false">IF(OR($B47="",N$5=""),"",IF(SUMPRODUCT(MAX((İzinler!$A$5:$A$504=$B47)*(İzinler!$C$5:$C$504&lt;=N$5)*(İzinler!$D$5:$D$504&gt;=N$5)*ROW(İzinler!$A$5:$A$504)))=0,"",LEFT(SUBSTITUTE(SUBSTITUTE(INDEX(İzinler!$B$1:$B$504,SUMPRODUCT(MAX((İzinler!$A$5:$A$504=$B47)*(İzinler!$C$5:$C$504&lt;=N$5)*(İzinler!$D$5:$D$504&gt;=N$5)*ROW(İzinler!$A$5:$A$504)))),"Yıllık izin","İ"),"Ücretsiz izin","Ü"),1)))</f>
        <v/>
      </c>
      <c r="O47" s="20" t="str">
        <f aca="false">IF(OR($B47="",O$5=""),"",IF(SUMPRODUCT(MAX((İzinler!$A$5:$A$504=$B47)*(İzinler!$C$5:$C$504&lt;=O$5)*(İzinler!$D$5:$D$504&gt;=O$5)*ROW(İzinler!$A$5:$A$504)))=0,"",LEFT(SUBSTITUTE(SUBSTITUTE(INDEX(İzinler!$B$1:$B$504,SUMPRODUCT(MAX((İzinler!$A$5:$A$504=$B47)*(İzinler!$C$5:$C$504&lt;=O$5)*(İzinler!$D$5:$D$504&gt;=O$5)*ROW(İzinler!$A$5:$A$504)))),"Yıllık izin","İ"),"Ücretsiz izin","Ü"),1)))</f>
        <v/>
      </c>
      <c r="P47" s="20" t="str">
        <f aca="false">IF(OR($B47="",P$5=""),"",IF(SUMPRODUCT(MAX((İzinler!$A$5:$A$504=$B47)*(İzinler!$C$5:$C$504&lt;=P$5)*(İzinler!$D$5:$D$504&gt;=P$5)*ROW(İzinler!$A$5:$A$504)))=0,"",LEFT(SUBSTITUTE(SUBSTITUTE(INDEX(İzinler!$B$1:$B$504,SUMPRODUCT(MAX((İzinler!$A$5:$A$504=$B47)*(İzinler!$C$5:$C$504&lt;=P$5)*(İzinler!$D$5:$D$504&gt;=P$5)*ROW(İzinler!$A$5:$A$504)))),"Yıllık izin","İ"),"Ücretsiz izin","Ü"),1)))</f>
        <v/>
      </c>
      <c r="Q47" s="20" t="str">
        <f aca="false">IF(OR($B47="",Q$5=""),"",IF(SUMPRODUCT(MAX((İzinler!$A$5:$A$504=$B47)*(İzinler!$C$5:$C$504&lt;=Q$5)*(İzinler!$D$5:$D$504&gt;=Q$5)*ROW(İzinler!$A$5:$A$504)))=0,"",LEFT(SUBSTITUTE(SUBSTITUTE(INDEX(İzinler!$B$1:$B$504,SUMPRODUCT(MAX((İzinler!$A$5:$A$504=$B47)*(İzinler!$C$5:$C$504&lt;=Q$5)*(İzinler!$D$5:$D$504&gt;=Q$5)*ROW(İzinler!$A$5:$A$504)))),"Yıllık izin","İ"),"Ücretsiz izin","Ü"),1)))</f>
        <v/>
      </c>
      <c r="R47" s="20" t="str">
        <f aca="false">IF(OR($B47="",R$5=""),"",IF(SUMPRODUCT(MAX((İzinler!$A$5:$A$504=$B47)*(İzinler!$C$5:$C$504&lt;=R$5)*(İzinler!$D$5:$D$504&gt;=R$5)*ROW(İzinler!$A$5:$A$504)))=0,"",LEFT(SUBSTITUTE(SUBSTITUTE(INDEX(İzinler!$B$1:$B$504,SUMPRODUCT(MAX((İzinler!$A$5:$A$504=$B47)*(İzinler!$C$5:$C$504&lt;=R$5)*(İzinler!$D$5:$D$504&gt;=R$5)*ROW(İzinler!$A$5:$A$504)))),"Yıllık izin","İ"),"Ücretsiz izin","Ü"),1)))</f>
        <v/>
      </c>
      <c r="S47" s="20" t="str">
        <f aca="false">IF(OR($B47="",S$5=""),"",IF(SUMPRODUCT(MAX((İzinler!$A$5:$A$504=$B47)*(İzinler!$C$5:$C$504&lt;=S$5)*(İzinler!$D$5:$D$504&gt;=S$5)*ROW(İzinler!$A$5:$A$504)))=0,"",LEFT(SUBSTITUTE(SUBSTITUTE(INDEX(İzinler!$B$1:$B$504,SUMPRODUCT(MAX((İzinler!$A$5:$A$504=$B47)*(İzinler!$C$5:$C$504&lt;=S$5)*(İzinler!$D$5:$D$504&gt;=S$5)*ROW(İzinler!$A$5:$A$504)))),"Yıllık izin","İ"),"Ücretsiz izin","Ü"),1)))</f>
        <v/>
      </c>
      <c r="T47" s="20" t="str">
        <f aca="false">IF(OR($B47="",T$5=""),"",IF(SUMPRODUCT(MAX((İzinler!$A$5:$A$504=$B47)*(İzinler!$C$5:$C$504&lt;=T$5)*(İzinler!$D$5:$D$504&gt;=T$5)*ROW(İzinler!$A$5:$A$504)))=0,"",LEFT(SUBSTITUTE(SUBSTITUTE(INDEX(İzinler!$B$1:$B$504,SUMPRODUCT(MAX((İzinler!$A$5:$A$504=$B47)*(İzinler!$C$5:$C$504&lt;=T$5)*(İzinler!$D$5:$D$504&gt;=T$5)*ROW(İzinler!$A$5:$A$504)))),"Yıllık izin","İ"),"Ücretsiz izin","Ü"),1)))</f>
        <v/>
      </c>
      <c r="U47" s="20" t="str">
        <f aca="false">IF(OR($B47="",U$5=""),"",IF(SUMPRODUCT(MAX((İzinler!$A$5:$A$504=$B47)*(İzinler!$C$5:$C$504&lt;=U$5)*(İzinler!$D$5:$D$504&gt;=U$5)*ROW(İzinler!$A$5:$A$504)))=0,"",LEFT(SUBSTITUTE(SUBSTITUTE(INDEX(İzinler!$B$1:$B$504,SUMPRODUCT(MAX((İzinler!$A$5:$A$504=$B47)*(İzinler!$C$5:$C$504&lt;=U$5)*(İzinler!$D$5:$D$504&gt;=U$5)*ROW(İzinler!$A$5:$A$504)))),"Yıllık izin","İ"),"Ücretsiz izin","Ü"),1)))</f>
        <v/>
      </c>
      <c r="V47" s="20" t="str">
        <f aca="false">IF(OR($B47="",V$5=""),"",IF(SUMPRODUCT(MAX((İzinler!$A$5:$A$504=$B47)*(İzinler!$C$5:$C$504&lt;=V$5)*(İzinler!$D$5:$D$504&gt;=V$5)*ROW(İzinler!$A$5:$A$504)))=0,"",LEFT(SUBSTITUTE(SUBSTITUTE(INDEX(İzinler!$B$1:$B$504,SUMPRODUCT(MAX((İzinler!$A$5:$A$504=$B47)*(İzinler!$C$5:$C$504&lt;=V$5)*(İzinler!$D$5:$D$504&gt;=V$5)*ROW(İzinler!$A$5:$A$504)))),"Yıllık izin","İ"),"Ücretsiz izin","Ü"),1)))</f>
        <v/>
      </c>
      <c r="W47" s="20" t="str">
        <f aca="false">IF(OR($B47="",W$5=""),"",IF(SUMPRODUCT(MAX((İzinler!$A$5:$A$504=$B47)*(İzinler!$C$5:$C$504&lt;=W$5)*(İzinler!$D$5:$D$504&gt;=W$5)*ROW(İzinler!$A$5:$A$504)))=0,"",LEFT(SUBSTITUTE(SUBSTITUTE(INDEX(İzinler!$B$1:$B$504,SUMPRODUCT(MAX((İzinler!$A$5:$A$504=$B47)*(İzinler!$C$5:$C$504&lt;=W$5)*(İzinler!$D$5:$D$504&gt;=W$5)*ROW(İzinler!$A$5:$A$504)))),"Yıllık izin","İ"),"Ücretsiz izin","Ü"),1)))</f>
        <v/>
      </c>
      <c r="X47" s="20" t="str">
        <f aca="false">IF(OR($B47="",X$5=""),"",IF(SUMPRODUCT(MAX((İzinler!$A$5:$A$504=$B47)*(İzinler!$C$5:$C$504&lt;=X$5)*(İzinler!$D$5:$D$504&gt;=X$5)*ROW(İzinler!$A$5:$A$504)))=0,"",LEFT(SUBSTITUTE(SUBSTITUTE(INDEX(İzinler!$B$1:$B$504,SUMPRODUCT(MAX((İzinler!$A$5:$A$504=$B47)*(İzinler!$C$5:$C$504&lt;=X$5)*(İzinler!$D$5:$D$504&gt;=X$5)*ROW(İzinler!$A$5:$A$504)))),"Yıllık izin","İ"),"Ücretsiz izin","Ü"),1)))</f>
        <v/>
      </c>
      <c r="Y47" s="20" t="str">
        <f aca="false">IF(OR($B47="",Y$5=""),"",IF(SUMPRODUCT(MAX((İzinler!$A$5:$A$504=$B47)*(İzinler!$C$5:$C$504&lt;=Y$5)*(İzinler!$D$5:$D$504&gt;=Y$5)*ROW(İzinler!$A$5:$A$504)))=0,"",LEFT(SUBSTITUTE(SUBSTITUTE(INDEX(İzinler!$B$1:$B$504,SUMPRODUCT(MAX((İzinler!$A$5:$A$504=$B47)*(İzinler!$C$5:$C$504&lt;=Y$5)*(İzinler!$D$5:$D$504&gt;=Y$5)*ROW(İzinler!$A$5:$A$504)))),"Yıllık izin","İ"),"Ücretsiz izin","Ü"),1)))</f>
        <v/>
      </c>
      <c r="Z47" s="20" t="str">
        <f aca="false">IF(OR($B47="",Z$5=""),"",IF(SUMPRODUCT(MAX((İzinler!$A$5:$A$504=$B47)*(İzinler!$C$5:$C$504&lt;=Z$5)*(İzinler!$D$5:$D$504&gt;=Z$5)*ROW(İzinler!$A$5:$A$504)))=0,"",LEFT(SUBSTITUTE(SUBSTITUTE(INDEX(İzinler!$B$1:$B$504,SUMPRODUCT(MAX((İzinler!$A$5:$A$504=$B47)*(İzinler!$C$5:$C$504&lt;=Z$5)*(İzinler!$D$5:$D$504&gt;=Z$5)*ROW(İzinler!$A$5:$A$504)))),"Yıllık izin","İ"),"Ücretsiz izin","Ü"),1)))</f>
        <v/>
      </c>
      <c r="AA47" s="20" t="str">
        <f aca="false">IF(OR($B47="",AA$5=""),"",IF(SUMPRODUCT(MAX((İzinler!$A$5:$A$504=$B47)*(İzinler!$C$5:$C$504&lt;=AA$5)*(İzinler!$D$5:$D$504&gt;=AA$5)*ROW(İzinler!$A$5:$A$504)))=0,"",LEFT(SUBSTITUTE(SUBSTITUTE(INDEX(İzinler!$B$1:$B$504,SUMPRODUCT(MAX((İzinler!$A$5:$A$504=$B47)*(İzinler!$C$5:$C$504&lt;=AA$5)*(İzinler!$D$5:$D$504&gt;=AA$5)*ROW(İzinler!$A$5:$A$504)))),"Yıllık izin","İ"),"Ücretsiz izin","Ü"),1)))</f>
        <v/>
      </c>
      <c r="AB47" s="20" t="str">
        <f aca="false">IF(OR($B47="",AB$5=""),"",IF(SUMPRODUCT(MAX((İzinler!$A$5:$A$504=$B47)*(İzinler!$C$5:$C$504&lt;=AB$5)*(İzinler!$D$5:$D$504&gt;=AB$5)*ROW(İzinler!$A$5:$A$504)))=0,"",LEFT(SUBSTITUTE(SUBSTITUTE(INDEX(İzinler!$B$1:$B$504,SUMPRODUCT(MAX((İzinler!$A$5:$A$504=$B47)*(İzinler!$C$5:$C$504&lt;=AB$5)*(İzinler!$D$5:$D$504&gt;=AB$5)*ROW(İzinler!$A$5:$A$504)))),"Yıllık izin","İ"),"Ücretsiz izin","Ü"),1)))</f>
        <v/>
      </c>
      <c r="AC47" s="20" t="str">
        <f aca="false">IF(OR($B47="",AC$5=""),"",IF(SUMPRODUCT(MAX((İzinler!$A$5:$A$504=$B47)*(İzinler!$C$5:$C$504&lt;=AC$5)*(İzinler!$D$5:$D$504&gt;=AC$5)*ROW(İzinler!$A$5:$A$504)))=0,"",LEFT(SUBSTITUTE(SUBSTITUTE(INDEX(İzinler!$B$1:$B$504,SUMPRODUCT(MAX((İzinler!$A$5:$A$504=$B47)*(İzinler!$C$5:$C$504&lt;=AC$5)*(İzinler!$D$5:$D$504&gt;=AC$5)*ROW(İzinler!$A$5:$A$504)))),"Yıllık izin","İ"),"Ücretsiz izin","Ü"),1)))</f>
        <v/>
      </c>
      <c r="AD47" s="20" t="str">
        <f aca="false">IF(OR($B47="",AD$5=""),"",IF(SUMPRODUCT(MAX((İzinler!$A$5:$A$504=$B47)*(İzinler!$C$5:$C$504&lt;=AD$5)*(İzinler!$D$5:$D$504&gt;=AD$5)*ROW(İzinler!$A$5:$A$504)))=0,"",LEFT(SUBSTITUTE(SUBSTITUTE(INDEX(İzinler!$B$1:$B$504,SUMPRODUCT(MAX((İzinler!$A$5:$A$504=$B47)*(İzinler!$C$5:$C$504&lt;=AD$5)*(İzinler!$D$5:$D$504&gt;=AD$5)*ROW(İzinler!$A$5:$A$504)))),"Yıllık izin","İ"),"Ücretsiz izin","Ü"),1)))</f>
        <v/>
      </c>
      <c r="AE47" s="20" t="str">
        <f aca="false">IF(OR($B47="",AE$5=""),"",IF(SUMPRODUCT(MAX((İzinler!$A$5:$A$504=$B47)*(İzinler!$C$5:$C$504&lt;=AE$5)*(İzinler!$D$5:$D$504&gt;=AE$5)*ROW(İzinler!$A$5:$A$504)))=0,"",LEFT(SUBSTITUTE(SUBSTITUTE(INDEX(İzinler!$B$1:$B$504,SUMPRODUCT(MAX((İzinler!$A$5:$A$504=$B47)*(İzinler!$C$5:$C$504&lt;=AE$5)*(İzinler!$D$5:$D$504&gt;=AE$5)*ROW(İzinler!$A$5:$A$504)))),"Yıllık izin","İ"),"Ücretsiz izin","Ü"),1)))</f>
        <v/>
      </c>
      <c r="AF47" s="20" t="str">
        <f aca="false">IF(OR($B47="",AF$5=""),"",IF(SUMPRODUCT(MAX((İzinler!$A$5:$A$504=$B47)*(İzinler!$C$5:$C$504&lt;=AF$5)*(İzinler!$D$5:$D$504&gt;=AF$5)*ROW(İzinler!$A$5:$A$504)))=0,"",LEFT(SUBSTITUTE(SUBSTITUTE(INDEX(İzinler!$B$1:$B$504,SUMPRODUCT(MAX((İzinler!$A$5:$A$504=$B47)*(İzinler!$C$5:$C$504&lt;=AF$5)*(İzinler!$D$5:$D$504&gt;=AF$5)*ROW(İzinler!$A$5:$A$504)))),"Yıllık izin","İ"),"Ücretsiz izin","Ü"),1)))</f>
        <v/>
      </c>
      <c r="AG47" s="20" t="str">
        <f aca="false">IF(OR($B47="",AG$5=""),"",IF(SUMPRODUCT(MAX((İzinler!$A$5:$A$504=$B47)*(İzinler!$C$5:$C$504&lt;=AG$5)*(İzinler!$D$5:$D$504&gt;=AG$5)*ROW(İzinler!$A$5:$A$504)))=0,"",LEFT(SUBSTITUTE(SUBSTITUTE(INDEX(İzinler!$B$1:$B$504,SUMPRODUCT(MAX((İzinler!$A$5:$A$504=$B47)*(İzinler!$C$5:$C$504&lt;=AG$5)*(İzinler!$D$5:$D$504&gt;=AG$5)*ROW(İzinler!$A$5:$A$504)))),"Yıllık izin","İ"),"Ücretsiz izin","Ü"),1)))</f>
        <v/>
      </c>
      <c r="AH47" s="21" t="str">
        <f aca="false">IF(B47="","",COUNTIF(C47:AG47,"?"))</f>
        <v/>
      </c>
    </row>
    <row r="48" customFormat="false" ht="15" hidden="false" customHeight="false" outlineLevel="0" collapsed="false">
      <c r="B48" s="16" t="str">
        <f aca="false">IF(Personel!A47="","",Personel!A47)</f>
        <v/>
      </c>
      <c r="C48" s="20" t="str">
        <f aca="false">IF(OR($B48="",C$5=""),"",IF(SUMPRODUCT(MAX((İzinler!$A$5:$A$504=$B48)*(İzinler!$C$5:$C$504&lt;=C$5)*(İzinler!$D$5:$D$504&gt;=C$5)*ROW(İzinler!$A$5:$A$504)))=0,"",LEFT(SUBSTITUTE(SUBSTITUTE(INDEX(İzinler!$B$1:$B$504,SUMPRODUCT(MAX((İzinler!$A$5:$A$504=$B48)*(İzinler!$C$5:$C$504&lt;=C$5)*(İzinler!$D$5:$D$504&gt;=C$5)*ROW(İzinler!$A$5:$A$504)))),"Yıllık izin","İ"),"Ücretsiz izin","Ü"),1)))</f>
        <v/>
      </c>
      <c r="D48" s="20" t="str">
        <f aca="false">IF(OR($B48="",D$5=""),"",IF(SUMPRODUCT(MAX((İzinler!$A$5:$A$504=$B48)*(İzinler!$C$5:$C$504&lt;=D$5)*(İzinler!$D$5:$D$504&gt;=D$5)*ROW(İzinler!$A$5:$A$504)))=0,"",LEFT(SUBSTITUTE(SUBSTITUTE(INDEX(İzinler!$B$1:$B$504,SUMPRODUCT(MAX((İzinler!$A$5:$A$504=$B48)*(İzinler!$C$5:$C$504&lt;=D$5)*(İzinler!$D$5:$D$504&gt;=D$5)*ROW(İzinler!$A$5:$A$504)))),"Yıllık izin","İ"),"Ücretsiz izin","Ü"),1)))</f>
        <v/>
      </c>
      <c r="E48" s="20" t="str">
        <f aca="false">IF(OR($B48="",E$5=""),"",IF(SUMPRODUCT(MAX((İzinler!$A$5:$A$504=$B48)*(İzinler!$C$5:$C$504&lt;=E$5)*(İzinler!$D$5:$D$504&gt;=E$5)*ROW(İzinler!$A$5:$A$504)))=0,"",LEFT(SUBSTITUTE(SUBSTITUTE(INDEX(İzinler!$B$1:$B$504,SUMPRODUCT(MAX((İzinler!$A$5:$A$504=$B48)*(İzinler!$C$5:$C$504&lt;=E$5)*(İzinler!$D$5:$D$504&gt;=E$5)*ROW(İzinler!$A$5:$A$504)))),"Yıllık izin","İ"),"Ücretsiz izin","Ü"),1)))</f>
        <v/>
      </c>
      <c r="F48" s="20" t="str">
        <f aca="false">IF(OR($B48="",F$5=""),"",IF(SUMPRODUCT(MAX((İzinler!$A$5:$A$504=$B48)*(İzinler!$C$5:$C$504&lt;=F$5)*(İzinler!$D$5:$D$504&gt;=F$5)*ROW(İzinler!$A$5:$A$504)))=0,"",LEFT(SUBSTITUTE(SUBSTITUTE(INDEX(İzinler!$B$1:$B$504,SUMPRODUCT(MAX((İzinler!$A$5:$A$504=$B48)*(İzinler!$C$5:$C$504&lt;=F$5)*(İzinler!$D$5:$D$504&gt;=F$5)*ROW(İzinler!$A$5:$A$504)))),"Yıllık izin","İ"),"Ücretsiz izin","Ü"),1)))</f>
        <v/>
      </c>
      <c r="G48" s="20" t="str">
        <f aca="false">IF(OR($B48="",G$5=""),"",IF(SUMPRODUCT(MAX((İzinler!$A$5:$A$504=$B48)*(İzinler!$C$5:$C$504&lt;=G$5)*(İzinler!$D$5:$D$504&gt;=G$5)*ROW(İzinler!$A$5:$A$504)))=0,"",LEFT(SUBSTITUTE(SUBSTITUTE(INDEX(İzinler!$B$1:$B$504,SUMPRODUCT(MAX((İzinler!$A$5:$A$504=$B48)*(İzinler!$C$5:$C$504&lt;=G$5)*(İzinler!$D$5:$D$504&gt;=G$5)*ROW(İzinler!$A$5:$A$504)))),"Yıllık izin","İ"),"Ücretsiz izin","Ü"),1)))</f>
        <v/>
      </c>
      <c r="H48" s="20" t="str">
        <f aca="false">IF(OR($B48="",H$5=""),"",IF(SUMPRODUCT(MAX((İzinler!$A$5:$A$504=$B48)*(İzinler!$C$5:$C$504&lt;=H$5)*(İzinler!$D$5:$D$504&gt;=H$5)*ROW(İzinler!$A$5:$A$504)))=0,"",LEFT(SUBSTITUTE(SUBSTITUTE(INDEX(İzinler!$B$1:$B$504,SUMPRODUCT(MAX((İzinler!$A$5:$A$504=$B48)*(İzinler!$C$5:$C$504&lt;=H$5)*(İzinler!$D$5:$D$504&gt;=H$5)*ROW(İzinler!$A$5:$A$504)))),"Yıllık izin","İ"),"Ücretsiz izin","Ü"),1)))</f>
        <v/>
      </c>
      <c r="I48" s="20" t="str">
        <f aca="false">IF(OR($B48="",I$5=""),"",IF(SUMPRODUCT(MAX((İzinler!$A$5:$A$504=$B48)*(İzinler!$C$5:$C$504&lt;=I$5)*(İzinler!$D$5:$D$504&gt;=I$5)*ROW(İzinler!$A$5:$A$504)))=0,"",LEFT(SUBSTITUTE(SUBSTITUTE(INDEX(İzinler!$B$1:$B$504,SUMPRODUCT(MAX((İzinler!$A$5:$A$504=$B48)*(İzinler!$C$5:$C$504&lt;=I$5)*(İzinler!$D$5:$D$504&gt;=I$5)*ROW(İzinler!$A$5:$A$504)))),"Yıllık izin","İ"),"Ücretsiz izin","Ü"),1)))</f>
        <v/>
      </c>
      <c r="J48" s="20" t="str">
        <f aca="false">IF(OR($B48="",J$5=""),"",IF(SUMPRODUCT(MAX((İzinler!$A$5:$A$504=$B48)*(İzinler!$C$5:$C$504&lt;=J$5)*(İzinler!$D$5:$D$504&gt;=J$5)*ROW(İzinler!$A$5:$A$504)))=0,"",LEFT(SUBSTITUTE(SUBSTITUTE(INDEX(İzinler!$B$1:$B$504,SUMPRODUCT(MAX((İzinler!$A$5:$A$504=$B48)*(İzinler!$C$5:$C$504&lt;=J$5)*(İzinler!$D$5:$D$504&gt;=J$5)*ROW(İzinler!$A$5:$A$504)))),"Yıllık izin","İ"),"Ücretsiz izin","Ü"),1)))</f>
        <v/>
      </c>
      <c r="K48" s="20" t="str">
        <f aca="false">IF(OR($B48="",K$5=""),"",IF(SUMPRODUCT(MAX((İzinler!$A$5:$A$504=$B48)*(İzinler!$C$5:$C$504&lt;=K$5)*(İzinler!$D$5:$D$504&gt;=K$5)*ROW(İzinler!$A$5:$A$504)))=0,"",LEFT(SUBSTITUTE(SUBSTITUTE(INDEX(İzinler!$B$1:$B$504,SUMPRODUCT(MAX((İzinler!$A$5:$A$504=$B48)*(İzinler!$C$5:$C$504&lt;=K$5)*(İzinler!$D$5:$D$504&gt;=K$5)*ROW(İzinler!$A$5:$A$504)))),"Yıllık izin","İ"),"Ücretsiz izin","Ü"),1)))</f>
        <v/>
      </c>
      <c r="L48" s="20" t="str">
        <f aca="false">IF(OR($B48="",L$5=""),"",IF(SUMPRODUCT(MAX((İzinler!$A$5:$A$504=$B48)*(İzinler!$C$5:$C$504&lt;=L$5)*(İzinler!$D$5:$D$504&gt;=L$5)*ROW(İzinler!$A$5:$A$504)))=0,"",LEFT(SUBSTITUTE(SUBSTITUTE(INDEX(İzinler!$B$1:$B$504,SUMPRODUCT(MAX((İzinler!$A$5:$A$504=$B48)*(İzinler!$C$5:$C$504&lt;=L$5)*(İzinler!$D$5:$D$504&gt;=L$5)*ROW(İzinler!$A$5:$A$504)))),"Yıllık izin","İ"),"Ücretsiz izin","Ü"),1)))</f>
        <v/>
      </c>
      <c r="M48" s="20" t="str">
        <f aca="false">IF(OR($B48="",M$5=""),"",IF(SUMPRODUCT(MAX((İzinler!$A$5:$A$504=$B48)*(İzinler!$C$5:$C$504&lt;=M$5)*(İzinler!$D$5:$D$504&gt;=M$5)*ROW(İzinler!$A$5:$A$504)))=0,"",LEFT(SUBSTITUTE(SUBSTITUTE(INDEX(İzinler!$B$1:$B$504,SUMPRODUCT(MAX((İzinler!$A$5:$A$504=$B48)*(İzinler!$C$5:$C$504&lt;=M$5)*(İzinler!$D$5:$D$504&gt;=M$5)*ROW(İzinler!$A$5:$A$504)))),"Yıllık izin","İ"),"Ücretsiz izin","Ü"),1)))</f>
        <v/>
      </c>
      <c r="N48" s="20" t="str">
        <f aca="false">IF(OR($B48="",N$5=""),"",IF(SUMPRODUCT(MAX((İzinler!$A$5:$A$504=$B48)*(İzinler!$C$5:$C$504&lt;=N$5)*(İzinler!$D$5:$D$504&gt;=N$5)*ROW(İzinler!$A$5:$A$504)))=0,"",LEFT(SUBSTITUTE(SUBSTITUTE(INDEX(İzinler!$B$1:$B$504,SUMPRODUCT(MAX((İzinler!$A$5:$A$504=$B48)*(İzinler!$C$5:$C$504&lt;=N$5)*(İzinler!$D$5:$D$504&gt;=N$5)*ROW(İzinler!$A$5:$A$504)))),"Yıllık izin","İ"),"Ücretsiz izin","Ü"),1)))</f>
        <v/>
      </c>
      <c r="O48" s="20" t="str">
        <f aca="false">IF(OR($B48="",O$5=""),"",IF(SUMPRODUCT(MAX((İzinler!$A$5:$A$504=$B48)*(İzinler!$C$5:$C$504&lt;=O$5)*(İzinler!$D$5:$D$504&gt;=O$5)*ROW(İzinler!$A$5:$A$504)))=0,"",LEFT(SUBSTITUTE(SUBSTITUTE(INDEX(İzinler!$B$1:$B$504,SUMPRODUCT(MAX((İzinler!$A$5:$A$504=$B48)*(İzinler!$C$5:$C$504&lt;=O$5)*(İzinler!$D$5:$D$504&gt;=O$5)*ROW(İzinler!$A$5:$A$504)))),"Yıllık izin","İ"),"Ücretsiz izin","Ü"),1)))</f>
        <v/>
      </c>
      <c r="P48" s="20" t="str">
        <f aca="false">IF(OR($B48="",P$5=""),"",IF(SUMPRODUCT(MAX((İzinler!$A$5:$A$504=$B48)*(İzinler!$C$5:$C$504&lt;=P$5)*(İzinler!$D$5:$D$504&gt;=P$5)*ROW(İzinler!$A$5:$A$504)))=0,"",LEFT(SUBSTITUTE(SUBSTITUTE(INDEX(İzinler!$B$1:$B$504,SUMPRODUCT(MAX((İzinler!$A$5:$A$504=$B48)*(İzinler!$C$5:$C$504&lt;=P$5)*(İzinler!$D$5:$D$504&gt;=P$5)*ROW(İzinler!$A$5:$A$504)))),"Yıllık izin","İ"),"Ücretsiz izin","Ü"),1)))</f>
        <v/>
      </c>
      <c r="Q48" s="20" t="str">
        <f aca="false">IF(OR($B48="",Q$5=""),"",IF(SUMPRODUCT(MAX((İzinler!$A$5:$A$504=$B48)*(İzinler!$C$5:$C$504&lt;=Q$5)*(İzinler!$D$5:$D$504&gt;=Q$5)*ROW(İzinler!$A$5:$A$504)))=0,"",LEFT(SUBSTITUTE(SUBSTITUTE(INDEX(İzinler!$B$1:$B$504,SUMPRODUCT(MAX((İzinler!$A$5:$A$504=$B48)*(İzinler!$C$5:$C$504&lt;=Q$5)*(İzinler!$D$5:$D$504&gt;=Q$5)*ROW(İzinler!$A$5:$A$504)))),"Yıllık izin","İ"),"Ücretsiz izin","Ü"),1)))</f>
        <v/>
      </c>
      <c r="R48" s="20" t="str">
        <f aca="false">IF(OR($B48="",R$5=""),"",IF(SUMPRODUCT(MAX((İzinler!$A$5:$A$504=$B48)*(İzinler!$C$5:$C$504&lt;=R$5)*(İzinler!$D$5:$D$504&gt;=R$5)*ROW(İzinler!$A$5:$A$504)))=0,"",LEFT(SUBSTITUTE(SUBSTITUTE(INDEX(İzinler!$B$1:$B$504,SUMPRODUCT(MAX((İzinler!$A$5:$A$504=$B48)*(İzinler!$C$5:$C$504&lt;=R$5)*(İzinler!$D$5:$D$504&gt;=R$5)*ROW(İzinler!$A$5:$A$504)))),"Yıllık izin","İ"),"Ücretsiz izin","Ü"),1)))</f>
        <v/>
      </c>
      <c r="S48" s="20" t="str">
        <f aca="false">IF(OR($B48="",S$5=""),"",IF(SUMPRODUCT(MAX((İzinler!$A$5:$A$504=$B48)*(İzinler!$C$5:$C$504&lt;=S$5)*(İzinler!$D$5:$D$504&gt;=S$5)*ROW(İzinler!$A$5:$A$504)))=0,"",LEFT(SUBSTITUTE(SUBSTITUTE(INDEX(İzinler!$B$1:$B$504,SUMPRODUCT(MAX((İzinler!$A$5:$A$504=$B48)*(İzinler!$C$5:$C$504&lt;=S$5)*(İzinler!$D$5:$D$504&gt;=S$5)*ROW(İzinler!$A$5:$A$504)))),"Yıllık izin","İ"),"Ücretsiz izin","Ü"),1)))</f>
        <v/>
      </c>
      <c r="T48" s="20" t="str">
        <f aca="false">IF(OR($B48="",T$5=""),"",IF(SUMPRODUCT(MAX((İzinler!$A$5:$A$504=$B48)*(İzinler!$C$5:$C$504&lt;=T$5)*(İzinler!$D$5:$D$504&gt;=T$5)*ROW(İzinler!$A$5:$A$504)))=0,"",LEFT(SUBSTITUTE(SUBSTITUTE(INDEX(İzinler!$B$1:$B$504,SUMPRODUCT(MAX((İzinler!$A$5:$A$504=$B48)*(İzinler!$C$5:$C$504&lt;=T$5)*(İzinler!$D$5:$D$504&gt;=T$5)*ROW(İzinler!$A$5:$A$504)))),"Yıllık izin","İ"),"Ücretsiz izin","Ü"),1)))</f>
        <v/>
      </c>
      <c r="U48" s="20" t="str">
        <f aca="false">IF(OR($B48="",U$5=""),"",IF(SUMPRODUCT(MAX((İzinler!$A$5:$A$504=$B48)*(İzinler!$C$5:$C$504&lt;=U$5)*(İzinler!$D$5:$D$504&gt;=U$5)*ROW(İzinler!$A$5:$A$504)))=0,"",LEFT(SUBSTITUTE(SUBSTITUTE(INDEX(İzinler!$B$1:$B$504,SUMPRODUCT(MAX((İzinler!$A$5:$A$504=$B48)*(İzinler!$C$5:$C$504&lt;=U$5)*(İzinler!$D$5:$D$504&gt;=U$5)*ROW(İzinler!$A$5:$A$504)))),"Yıllık izin","İ"),"Ücretsiz izin","Ü"),1)))</f>
        <v/>
      </c>
      <c r="V48" s="20" t="str">
        <f aca="false">IF(OR($B48="",V$5=""),"",IF(SUMPRODUCT(MAX((İzinler!$A$5:$A$504=$B48)*(İzinler!$C$5:$C$504&lt;=V$5)*(İzinler!$D$5:$D$504&gt;=V$5)*ROW(İzinler!$A$5:$A$504)))=0,"",LEFT(SUBSTITUTE(SUBSTITUTE(INDEX(İzinler!$B$1:$B$504,SUMPRODUCT(MAX((İzinler!$A$5:$A$504=$B48)*(İzinler!$C$5:$C$504&lt;=V$5)*(İzinler!$D$5:$D$504&gt;=V$5)*ROW(İzinler!$A$5:$A$504)))),"Yıllık izin","İ"),"Ücretsiz izin","Ü"),1)))</f>
        <v/>
      </c>
      <c r="W48" s="20" t="str">
        <f aca="false">IF(OR($B48="",W$5=""),"",IF(SUMPRODUCT(MAX((İzinler!$A$5:$A$504=$B48)*(İzinler!$C$5:$C$504&lt;=W$5)*(İzinler!$D$5:$D$504&gt;=W$5)*ROW(İzinler!$A$5:$A$504)))=0,"",LEFT(SUBSTITUTE(SUBSTITUTE(INDEX(İzinler!$B$1:$B$504,SUMPRODUCT(MAX((İzinler!$A$5:$A$504=$B48)*(İzinler!$C$5:$C$504&lt;=W$5)*(İzinler!$D$5:$D$504&gt;=W$5)*ROW(İzinler!$A$5:$A$504)))),"Yıllık izin","İ"),"Ücretsiz izin","Ü"),1)))</f>
        <v/>
      </c>
      <c r="X48" s="20" t="str">
        <f aca="false">IF(OR($B48="",X$5=""),"",IF(SUMPRODUCT(MAX((İzinler!$A$5:$A$504=$B48)*(İzinler!$C$5:$C$504&lt;=X$5)*(İzinler!$D$5:$D$504&gt;=X$5)*ROW(İzinler!$A$5:$A$504)))=0,"",LEFT(SUBSTITUTE(SUBSTITUTE(INDEX(İzinler!$B$1:$B$504,SUMPRODUCT(MAX((İzinler!$A$5:$A$504=$B48)*(İzinler!$C$5:$C$504&lt;=X$5)*(İzinler!$D$5:$D$504&gt;=X$5)*ROW(İzinler!$A$5:$A$504)))),"Yıllık izin","İ"),"Ücretsiz izin","Ü"),1)))</f>
        <v/>
      </c>
      <c r="Y48" s="20" t="str">
        <f aca="false">IF(OR($B48="",Y$5=""),"",IF(SUMPRODUCT(MAX((İzinler!$A$5:$A$504=$B48)*(İzinler!$C$5:$C$504&lt;=Y$5)*(İzinler!$D$5:$D$504&gt;=Y$5)*ROW(İzinler!$A$5:$A$504)))=0,"",LEFT(SUBSTITUTE(SUBSTITUTE(INDEX(İzinler!$B$1:$B$504,SUMPRODUCT(MAX((İzinler!$A$5:$A$504=$B48)*(İzinler!$C$5:$C$504&lt;=Y$5)*(İzinler!$D$5:$D$504&gt;=Y$5)*ROW(İzinler!$A$5:$A$504)))),"Yıllık izin","İ"),"Ücretsiz izin","Ü"),1)))</f>
        <v/>
      </c>
      <c r="Z48" s="20" t="str">
        <f aca="false">IF(OR($B48="",Z$5=""),"",IF(SUMPRODUCT(MAX((İzinler!$A$5:$A$504=$B48)*(İzinler!$C$5:$C$504&lt;=Z$5)*(İzinler!$D$5:$D$504&gt;=Z$5)*ROW(İzinler!$A$5:$A$504)))=0,"",LEFT(SUBSTITUTE(SUBSTITUTE(INDEX(İzinler!$B$1:$B$504,SUMPRODUCT(MAX((İzinler!$A$5:$A$504=$B48)*(İzinler!$C$5:$C$504&lt;=Z$5)*(İzinler!$D$5:$D$504&gt;=Z$5)*ROW(İzinler!$A$5:$A$504)))),"Yıllık izin","İ"),"Ücretsiz izin","Ü"),1)))</f>
        <v/>
      </c>
      <c r="AA48" s="20" t="str">
        <f aca="false">IF(OR($B48="",AA$5=""),"",IF(SUMPRODUCT(MAX((İzinler!$A$5:$A$504=$B48)*(İzinler!$C$5:$C$504&lt;=AA$5)*(İzinler!$D$5:$D$504&gt;=AA$5)*ROW(İzinler!$A$5:$A$504)))=0,"",LEFT(SUBSTITUTE(SUBSTITUTE(INDEX(İzinler!$B$1:$B$504,SUMPRODUCT(MAX((İzinler!$A$5:$A$504=$B48)*(İzinler!$C$5:$C$504&lt;=AA$5)*(İzinler!$D$5:$D$504&gt;=AA$5)*ROW(İzinler!$A$5:$A$504)))),"Yıllık izin","İ"),"Ücretsiz izin","Ü"),1)))</f>
        <v/>
      </c>
      <c r="AB48" s="20" t="str">
        <f aca="false">IF(OR($B48="",AB$5=""),"",IF(SUMPRODUCT(MAX((İzinler!$A$5:$A$504=$B48)*(İzinler!$C$5:$C$504&lt;=AB$5)*(İzinler!$D$5:$D$504&gt;=AB$5)*ROW(İzinler!$A$5:$A$504)))=0,"",LEFT(SUBSTITUTE(SUBSTITUTE(INDEX(İzinler!$B$1:$B$504,SUMPRODUCT(MAX((İzinler!$A$5:$A$504=$B48)*(İzinler!$C$5:$C$504&lt;=AB$5)*(İzinler!$D$5:$D$504&gt;=AB$5)*ROW(İzinler!$A$5:$A$504)))),"Yıllık izin","İ"),"Ücretsiz izin","Ü"),1)))</f>
        <v/>
      </c>
      <c r="AC48" s="20" t="str">
        <f aca="false">IF(OR($B48="",AC$5=""),"",IF(SUMPRODUCT(MAX((İzinler!$A$5:$A$504=$B48)*(İzinler!$C$5:$C$504&lt;=AC$5)*(İzinler!$D$5:$D$504&gt;=AC$5)*ROW(İzinler!$A$5:$A$504)))=0,"",LEFT(SUBSTITUTE(SUBSTITUTE(INDEX(İzinler!$B$1:$B$504,SUMPRODUCT(MAX((İzinler!$A$5:$A$504=$B48)*(İzinler!$C$5:$C$504&lt;=AC$5)*(İzinler!$D$5:$D$504&gt;=AC$5)*ROW(İzinler!$A$5:$A$504)))),"Yıllık izin","İ"),"Ücretsiz izin","Ü"),1)))</f>
        <v/>
      </c>
      <c r="AD48" s="20" t="str">
        <f aca="false">IF(OR($B48="",AD$5=""),"",IF(SUMPRODUCT(MAX((İzinler!$A$5:$A$504=$B48)*(İzinler!$C$5:$C$504&lt;=AD$5)*(İzinler!$D$5:$D$504&gt;=AD$5)*ROW(İzinler!$A$5:$A$504)))=0,"",LEFT(SUBSTITUTE(SUBSTITUTE(INDEX(İzinler!$B$1:$B$504,SUMPRODUCT(MAX((İzinler!$A$5:$A$504=$B48)*(İzinler!$C$5:$C$504&lt;=AD$5)*(İzinler!$D$5:$D$504&gt;=AD$5)*ROW(İzinler!$A$5:$A$504)))),"Yıllık izin","İ"),"Ücretsiz izin","Ü"),1)))</f>
        <v/>
      </c>
      <c r="AE48" s="20" t="str">
        <f aca="false">IF(OR($B48="",AE$5=""),"",IF(SUMPRODUCT(MAX((İzinler!$A$5:$A$504=$B48)*(İzinler!$C$5:$C$504&lt;=AE$5)*(İzinler!$D$5:$D$504&gt;=AE$5)*ROW(İzinler!$A$5:$A$504)))=0,"",LEFT(SUBSTITUTE(SUBSTITUTE(INDEX(İzinler!$B$1:$B$504,SUMPRODUCT(MAX((İzinler!$A$5:$A$504=$B48)*(İzinler!$C$5:$C$504&lt;=AE$5)*(İzinler!$D$5:$D$504&gt;=AE$5)*ROW(İzinler!$A$5:$A$504)))),"Yıllık izin","İ"),"Ücretsiz izin","Ü"),1)))</f>
        <v/>
      </c>
      <c r="AF48" s="20" t="str">
        <f aca="false">IF(OR($B48="",AF$5=""),"",IF(SUMPRODUCT(MAX((İzinler!$A$5:$A$504=$B48)*(İzinler!$C$5:$C$504&lt;=AF$5)*(İzinler!$D$5:$D$504&gt;=AF$5)*ROW(İzinler!$A$5:$A$504)))=0,"",LEFT(SUBSTITUTE(SUBSTITUTE(INDEX(İzinler!$B$1:$B$504,SUMPRODUCT(MAX((İzinler!$A$5:$A$504=$B48)*(İzinler!$C$5:$C$504&lt;=AF$5)*(İzinler!$D$5:$D$504&gt;=AF$5)*ROW(İzinler!$A$5:$A$504)))),"Yıllık izin","İ"),"Ücretsiz izin","Ü"),1)))</f>
        <v/>
      </c>
      <c r="AG48" s="20" t="str">
        <f aca="false">IF(OR($B48="",AG$5=""),"",IF(SUMPRODUCT(MAX((İzinler!$A$5:$A$504=$B48)*(İzinler!$C$5:$C$504&lt;=AG$5)*(İzinler!$D$5:$D$504&gt;=AG$5)*ROW(İzinler!$A$5:$A$504)))=0,"",LEFT(SUBSTITUTE(SUBSTITUTE(INDEX(İzinler!$B$1:$B$504,SUMPRODUCT(MAX((İzinler!$A$5:$A$504=$B48)*(İzinler!$C$5:$C$504&lt;=AG$5)*(İzinler!$D$5:$D$504&gt;=AG$5)*ROW(İzinler!$A$5:$A$504)))),"Yıllık izin","İ"),"Ücretsiz izin","Ü"),1)))</f>
        <v/>
      </c>
      <c r="AH48" s="21" t="str">
        <f aca="false">IF(B48="","",COUNTIF(C48:AG48,"?"))</f>
        <v/>
      </c>
    </row>
    <row r="49" customFormat="false" ht="15" hidden="false" customHeight="false" outlineLevel="0" collapsed="false">
      <c r="B49" s="16" t="str">
        <f aca="false">IF(Personel!A48="","",Personel!A48)</f>
        <v/>
      </c>
      <c r="C49" s="20" t="str">
        <f aca="false">IF(OR($B49="",C$5=""),"",IF(SUMPRODUCT(MAX((İzinler!$A$5:$A$504=$B49)*(İzinler!$C$5:$C$504&lt;=C$5)*(İzinler!$D$5:$D$504&gt;=C$5)*ROW(İzinler!$A$5:$A$504)))=0,"",LEFT(SUBSTITUTE(SUBSTITUTE(INDEX(İzinler!$B$1:$B$504,SUMPRODUCT(MAX((İzinler!$A$5:$A$504=$B49)*(İzinler!$C$5:$C$504&lt;=C$5)*(İzinler!$D$5:$D$504&gt;=C$5)*ROW(İzinler!$A$5:$A$504)))),"Yıllık izin","İ"),"Ücretsiz izin","Ü"),1)))</f>
        <v/>
      </c>
      <c r="D49" s="20" t="str">
        <f aca="false">IF(OR($B49="",D$5=""),"",IF(SUMPRODUCT(MAX((İzinler!$A$5:$A$504=$B49)*(İzinler!$C$5:$C$504&lt;=D$5)*(İzinler!$D$5:$D$504&gt;=D$5)*ROW(İzinler!$A$5:$A$504)))=0,"",LEFT(SUBSTITUTE(SUBSTITUTE(INDEX(İzinler!$B$1:$B$504,SUMPRODUCT(MAX((İzinler!$A$5:$A$504=$B49)*(İzinler!$C$5:$C$504&lt;=D$5)*(İzinler!$D$5:$D$504&gt;=D$5)*ROW(İzinler!$A$5:$A$504)))),"Yıllık izin","İ"),"Ücretsiz izin","Ü"),1)))</f>
        <v/>
      </c>
      <c r="E49" s="20" t="str">
        <f aca="false">IF(OR($B49="",E$5=""),"",IF(SUMPRODUCT(MAX((İzinler!$A$5:$A$504=$B49)*(İzinler!$C$5:$C$504&lt;=E$5)*(İzinler!$D$5:$D$504&gt;=E$5)*ROW(İzinler!$A$5:$A$504)))=0,"",LEFT(SUBSTITUTE(SUBSTITUTE(INDEX(İzinler!$B$1:$B$504,SUMPRODUCT(MAX((İzinler!$A$5:$A$504=$B49)*(İzinler!$C$5:$C$504&lt;=E$5)*(İzinler!$D$5:$D$504&gt;=E$5)*ROW(İzinler!$A$5:$A$504)))),"Yıllık izin","İ"),"Ücretsiz izin","Ü"),1)))</f>
        <v/>
      </c>
      <c r="F49" s="20" t="str">
        <f aca="false">IF(OR($B49="",F$5=""),"",IF(SUMPRODUCT(MAX((İzinler!$A$5:$A$504=$B49)*(İzinler!$C$5:$C$504&lt;=F$5)*(İzinler!$D$5:$D$504&gt;=F$5)*ROW(İzinler!$A$5:$A$504)))=0,"",LEFT(SUBSTITUTE(SUBSTITUTE(INDEX(İzinler!$B$1:$B$504,SUMPRODUCT(MAX((İzinler!$A$5:$A$504=$B49)*(İzinler!$C$5:$C$504&lt;=F$5)*(İzinler!$D$5:$D$504&gt;=F$5)*ROW(İzinler!$A$5:$A$504)))),"Yıllık izin","İ"),"Ücretsiz izin","Ü"),1)))</f>
        <v/>
      </c>
      <c r="G49" s="20" t="str">
        <f aca="false">IF(OR($B49="",G$5=""),"",IF(SUMPRODUCT(MAX((İzinler!$A$5:$A$504=$B49)*(İzinler!$C$5:$C$504&lt;=G$5)*(İzinler!$D$5:$D$504&gt;=G$5)*ROW(İzinler!$A$5:$A$504)))=0,"",LEFT(SUBSTITUTE(SUBSTITUTE(INDEX(İzinler!$B$1:$B$504,SUMPRODUCT(MAX((İzinler!$A$5:$A$504=$B49)*(İzinler!$C$5:$C$504&lt;=G$5)*(İzinler!$D$5:$D$504&gt;=G$5)*ROW(İzinler!$A$5:$A$504)))),"Yıllık izin","İ"),"Ücretsiz izin","Ü"),1)))</f>
        <v/>
      </c>
      <c r="H49" s="20" t="str">
        <f aca="false">IF(OR($B49="",H$5=""),"",IF(SUMPRODUCT(MAX((İzinler!$A$5:$A$504=$B49)*(İzinler!$C$5:$C$504&lt;=H$5)*(İzinler!$D$5:$D$504&gt;=H$5)*ROW(İzinler!$A$5:$A$504)))=0,"",LEFT(SUBSTITUTE(SUBSTITUTE(INDEX(İzinler!$B$1:$B$504,SUMPRODUCT(MAX((İzinler!$A$5:$A$504=$B49)*(İzinler!$C$5:$C$504&lt;=H$5)*(İzinler!$D$5:$D$504&gt;=H$5)*ROW(İzinler!$A$5:$A$504)))),"Yıllık izin","İ"),"Ücretsiz izin","Ü"),1)))</f>
        <v/>
      </c>
      <c r="I49" s="20" t="str">
        <f aca="false">IF(OR($B49="",I$5=""),"",IF(SUMPRODUCT(MAX((İzinler!$A$5:$A$504=$B49)*(İzinler!$C$5:$C$504&lt;=I$5)*(İzinler!$D$5:$D$504&gt;=I$5)*ROW(İzinler!$A$5:$A$504)))=0,"",LEFT(SUBSTITUTE(SUBSTITUTE(INDEX(İzinler!$B$1:$B$504,SUMPRODUCT(MAX((İzinler!$A$5:$A$504=$B49)*(İzinler!$C$5:$C$504&lt;=I$5)*(İzinler!$D$5:$D$504&gt;=I$5)*ROW(İzinler!$A$5:$A$504)))),"Yıllık izin","İ"),"Ücretsiz izin","Ü"),1)))</f>
        <v/>
      </c>
      <c r="J49" s="20" t="str">
        <f aca="false">IF(OR($B49="",J$5=""),"",IF(SUMPRODUCT(MAX((İzinler!$A$5:$A$504=$B49)*(İzinler!$C$5:$C$504&lt;=J$5)*(İzinler!$D$5:$D$504&gt;=J$5)*ROW(İzinler!$A$5:$A$504)))=0,"",LEFT(SUBSTITUTE(SUBSTITUTE(INDEX(İzinler!$B$1:$B$504,SUMPRODUCT(MAX((İzinler!$A$5:$A$504=$B49)*(İzinler!$C$5:$C$504&lt;=J$5)*(İzinler!$D$5:$D$504&gt;=J$5)*ROW(İzinler!$A$5:$A$504)))),"Yıllık izin","İ"),"Ücretsiz izin","Ü"),1)))</f>
        <v/>
      </c>
      <c r="K49" s="20" t="str">
        <f aca="false">IF(OR($B49="",K$5=""),"",IF(SUMPRODUCT(MAX((İzinler!$A$5:$A$504=$B49)*(İzinler!$C$5:$C$504&lt;=K$5)*(İzinler!$D$5:$D$504&gt;=K$5)*ROW(İzinler!$A$5:$A$504)))=0,"",LEFT(SUBSTITUTE(SUBSTITUTE(INDEX(İzinler!$B$1:$B$504,SUMPRODUCT(MAX((İzinler!$A$5:$A$504=$B49)*(İzinler!$C$5:$C$504&lt;=K$5)*(İzinler!$D$5:$D$504&gt;=K$5)*ROW(İzinler!$A$5:$A$504)))),"Yıllık izin","İ"),"Ücretsiz izin","Ü"),1)))</f>
        <v/>
      </c>
      <c r="L49" s="20" t="str">
        <f aca="false">IF(OR($B49="",L$5=""),"",IF(SUMPRODUCT(MAX((İzinler!$A$5:$A$504=$B49)*(İzinler!$C$5:$C$504&lt;=L$5)*(İzinler!$D$5:$D$504&gt;=L$5)*ROW(İzinler!$A$5:$A$504)))=0,"",LEFT(SUBSTITUTE(SUBSTITUTE(INDEX(İzinler!$B$1:$B$504,SUMPRODUCT(MAX((İzinler!$A$5:$A$504=$B49)*(İzinler!$C$5:$C$504&lt;=L$5)*(İzinler!$D$5:$D$504&gt;=L$5)*ROW(İzinler!$A$5:$A$504)))),"Yıllık izin","İ"),"Ücretsiz izin","Ü"),1)))</f>
        <v/>
      </c>
      <c r="M49" s="20" t="str">
        <f aca="false">IF(OR($B49="",M$5=""),"",IF(SUMPRODUCT(MAX((İzinler!$A$5:$A$504=$B49)*(İzinler!$C$5:$C$504&lt;=M$5)*(İzinler!$D$5:$D$504&gt;=M$5)*ROW(İzinler!$A$5:$A$504)))=0,"",LEFT(SUBSTITUTE(SUBSTITUTE(INDEX(İzinler!$B$1:$B$504,SUMPRODUCT(MAX((İzinler!$A$5:$A$504=$B49)*(İzinler!$C$5:$C$504&lt;=M$5)*(İzinler!$D$5:$D$504&gt;=M$5)*ROW(İzinler!$A$5:$A$504)))),"Yıllık izin","İ"),"Ücretsiz izin","Ü"),1)))</f>
        <v/>
      </c>
      <c r="N49" s="20" t="str">
        <f aca="false">IF(OR($B49="",N$5=""),"",IF(SUMPRODUCT(MAX((İzinler!$A$5:$A$504=$B49)*(İzinler!$C$5:$C$504&lt;=N$5)*(İzinler!$D$5:$D$504&gt;=N$5)*ROW(İzinler!$A$5:$A$504)))=0,"",LEFT(SUBSTITUTE(SUBSTITUTE(INDEX(İzinler!$B$1:$B$504,SUMPRODUCT(MAX((İzinler!$A$5:$A$504=$B49)*(İzinler!$C$5:$C$504&lt;=N$5)*(İzinler!$D$5:$D$504&gt;=N$5)*ROW(İzinler!$A$5:$A$504)))),"Yıllık izin","İ"),"Ücretsiz izin","Ü"),1)))</f>
        <v/>
      </c>
      <c r="O49" s="20" t="str">
        <f aca="false">IF(OR($B49="",O$5=""),"",IF(SUMPRODUCT(MAX((İzinler!$A$5:$A$504=$B49)*(İzinler!$C$5:$C$504&lt;=O$5)*(İzinler!$D$5:$D$504&gt;=O$5)*ROW(İzinler!$A$5:$A$504)))=0,"",LEFT(SUBSTITUTE(SUBSTITUTE(INDEX(İzinler!$B$1:$B$504,SUMPRODUCT(MAX((İzinler!$A$5:$A$504=$B49)*(İzinler!$C$5:$C$504&lt;=O$5)*(İzinler!$D$5:$D$504&gt;=O$5)*ROW(İzinler!$A$5:$A$504)))),"Yıllık izin","İ"),"Ücretsiz izin","Ü"),1)))</f>
        <v/>
      </c>
      <c r="P49" s="20" t="str">
        <f aca="false">IF(OR($B49="",P$5=""),"",IF(SUMPRODUCT(MAX((İzinler!$A$5:$A$504=$B49)*(İzinler!$C$5:$C$504&lt;=P$5)*(İzinler!$D$5:$D$504&gt;=P$5)*ROW(İzinler!$A$5:$A$504)))=0,"",LEFT(SUBSTITUTE(SUBSTITUTE(INDEX(İzinler!$B$1:$B$504,SUMPRODUCT(MAX((İzinler!$A$5:$A$504=$B49)*(İzinler!$C$5:$C$504&lt;=P$5)*(İzinler!$D$5:$D$504&gt;=P$5)*ROW(İzinler!$A$5:$A$504)))),"Yıllık izin","İ"),"Ücretsiz izin","Ü"),1)))</f>
        <v/>
      </c>
      <c r="Q49" s="20" t="str">
        <f aca="false">IF(OR($B49="",Q$5=""),"",IF(SUMPRODUCT(MAX((İzinler!$A$5:$A$504=$B49)*(İzinler!$C$5:$C$504&lt;=Q$5)*(İzinler!$D$5:$D$504&gt;=Q$5)*ROW(İzinler!$A$5:$A$504)))=0,"",LEFT(SUBSTITUTE(SUBSTITUTE(INDEX(İzinler!$B$1:$B$504,SUMPRODUCT(MAX((İzinler!$A$5:$A$504=$B49)*(İzinler!$C$5:$C$504&lt;=Q$5)*(İzinler!$D$5:$D$504&gt;=Q$5)*ROW(İzinler!$A$5:$A$504)))),"Yıllık izin","İ"),"Ücretsiz izin","Ü"),1)))</f>
        <v/>
      </c>
      <c r="R49" s="20" t="str">
        <f aca="false">IF(OR($B49="",R$5=""),"",IF(SUMPRODUCT(MAX((İzinler!$A$5:$A$504=$B49)*(İzinler!$C$5:$C$504&lt;=R$5)*(İzinler!$D$5:$D$504&gt;=R$5)*ROW(İzinler!$A$5:$A$504)))=0,"",LEFT(SUBSTITUTE(SUBSTITUTE(INDEX(İzinler!$B$1:$B$504,SUMPRODUCT(MAX((İzinler!$A$5:$A$504=$B49)*(İzinler!$C$5:$C$504&lt;=R$5)*(İzinler!$D$5:$D$504&gt;=R$5)*ROW(İzinler!$A$5:$A$504)))),"Yıllık izin","İ"),"Ücretsiz izin","Ü"),1)))</f>
        <v/>
      </c>
      <c r="S49" s="20" t="str">
        <f aca="false">IF(OR($B49="",S$5=""),"",IF(SUMPRODUCT(MAX((İzinler!$A$5:$A$504=$B49)*(İzinler!$C$5:$C$504&lt;=S$5)*(İzinler!$D$5:$D$504&gt;=S$5)*ROW(İzinler!$A$5:$A$504)))=0,"",LEFT(SUBSTITUTE(SUBSTITUTE(INDEX(İzinler!$B$1:$B$504,SUMPRODUCT(MAX((İzinler!$A$5:$A$504=$B49)*(İzinler!$C$5:$C$504&lt;=S$5)*(İzinler!$D$5:$D$504&gt;=S$5)*ROW(İzinler!$A$5:$A$504)))),"Yıllık izin","İ"),"Ücretsiz izin","Ü"),1)))</f>
        <v/>
      </c>
      <c r="T49" s="20" t="str">
        <f aca="false">IF(OR($B49="",T$5=""),"",IF(SUMPRODUCT(MAX((İzinler!$A$5:$A$504=$B49)*(İzinler!$C$5:$C$504&lt;=T$5)*(İzinler!$D$5:$D$504&gt;=T$5)*ROW(İzinler!$A$5:$A$504)))=0,"",LEFT(SUBSTITUTE(SUBSTITUTE(INDEX(İzinler!$B$1:$B$504,SUMPRODUCT(MAX((İzinler!$A$5:$A$504=$B49)*(İzinler!$C$5:$C$504&lt;=T$5)*(İzinler!$D$5:$D$504&gt;=T$5)*ROW(İzinler!$A$5:$A$504)))),"Yıllık izin","İ"),"Ücretsiz izin","Ü"),1)))</f>
        <v/>
      </c>
      <c r="U49" s="20" t="str">
        <f aca="false">IF(OR($B49="",U$5=""),"",IF(SUMPRODUCT(MAX((İzinler!$A$5:$A$504=$B49)*(İzinler!$C$5:$C$504&lt;=U$5)*(İzinler!$D$5:$D$504&gt;=U$5)*ROW(İzinler!$A$5:$A$504)))=0,"",LEFT(SUBSTITUTE(SUBSTITUTE(INDEX(İzinler!$B$1:$B$504,SUMPRODUCT(MAX((İzinler!$A$5:$A$504=$B49)*(İzinler!$C$5:$C$504&lt;=U$5)*(İzinler!$D$5:$D$504&gt;=U$5)*ROW(İzinler!$A$5:$A$504)))),"Yıllık izin","İ"),"Ücretsiz izin","Ü"),1)))</f>
        <v/>
      </c>
      <c r="V49" s="20" t="str">
        <f aca="false">IF(OR($B49="",V$5=""),"",IF(SUMPRODUCT(MAX((İzinler!$A$5:$A$504=$B49)*(İzinler!$C$5:$C$504&lt;=V$5)*(İzinler!$D$5:$D$504&gt;=V$5)*ROW(İzinler!$A$5:$A$504)))=0,"",LEFT(SUBSTITUTE(SUBSTITUTE(INDEX(İzinler!$B$1:$B$504,SUMPRODUCT(MAX((İzinler!$A$5:$A$504=$B49)*(İzinler!$C$5:$C$504&lt;=V$5)*(İzinler!$D$5:$D$504&gt;=V$5)*ROW(İzinler!$A$5:$A$504)))),"Yıllık izin","İ"),"Ücretsiz izin","Ü"),1)))</f>
        <v/>
      </c>
      <c r="W49" s="20" t="str">
        <f aca="false">IF(OR($B49="",W$5=""),"",IF(SUMPRODUCT(MAX((İzinler!$A$5:$A$504=$B49)*(İzinler!$C$5:$C$504&lt;=W$5)*(İzinler!$D$5:$D$504&gt;=W$5)*ROW(İzinler!$A$5:$A$504)))=0,"",LEFT(SUBSTITUTE(SUBSTITUTE(INDEX(İzinler!$B$1:$B$504,SUMPRODUCT(MAX((İzinler!$A$5:$A$504=$B49)*(İzinler!$C$5:$C$504&lt;=W$5)*(İzinler!$D$5:$D$504&gt;=W$5)*ROW(İzinler!$A$5:$A$504)))),"Yıllık izin","İ"),"Ücretsiz izin","Ü"),1)))</f>
        <v/>
      </c>
      <c r="X49" s="20" t="str">
        <f aca="false">IF(OR($B49="",X$5=""),"",IF(SUMPRODUCT(MAX((İzinler!$A$5:$A$504=$B49)*(İzinler!$C$5:$C$504&lt;=X$5)*(İzinler!$D$5:$D$504&gt;=X$5)*ROW(İzinler!$A$5:$A$504)))=0,"",LEFT(SUBSTITUTE(SUBSTITUTE(INDEX(İzinler!$B$1:$B$504,SUMPRODUCT(MAX((İzinler!$A$5:$A$504=$B49)*(İzinler!$C$5:$C$504&lt;=X$5)*(İzinler!$D$5:$D$504&gt;=X$5)*ROW(İzinler!$A$5:$A$504)))),"Yıllık izin","İ"),"Ücretsiz izin","Ü"),1)))</f>
        <v/>
      </c>
      <c r="Y49" s="20" t="str">
        <f aca="false">IF(OR($B49="",Y$5=""),"",IF(SUMPRODUCT(MAX((İzinler!$A$5:$A$504=$B49)*(İzinler!$C$5:$C$504&lt;=Y$5)*(İzinler!$D$5:$D$504&gt;=Y$5)*ROW(İzinler!$A$5:$A$504)))=0,"",LEFT(SUBSTITUTE(SUBSTITUTE(INDEX(İzinler!$B$1:$B$504,SUMPRODUCT(MAX((İzinler!$A$5:$A$504=$B49)*(İzinler!$C$5:$C$504&lt;=Y$5)*(İzinler!$D$5:$D$504&gt;=Y$5)*ROW(İzinler!$A$5:$A$504)))),"Yıllık izin","İ"),"Ücretsiz izin","Ü"),1)))</f>
        <v/>
      </c>
      <c r="Z49" s="20" t="str">
        <f aca="false">IF(OR($B49="",Z$5=""),"",IF(SUMPRODUCT(MAX((İzinler!$A$5:$A$504=$B49)*(İzinler!$C$5:$C$504&lt;=Z$5)*(İzinler!$D$5:$D$504&gt;=Z$5)*ROW(İzinler!$A$5:$A$504)))=0,"",LEFT(SUBSTITUTE(SUBSTITUTE(INDEX(İzinler!$B$1:$B$504,SUMPRODUCT(MAX((İzinler!$A$5:$A$504=$B49)*(İzinler!$C$5:$C$504&lt;=Z$5)*(İzinler!$D$5:$D$504&gt;=Z$5)*ROW(İzinler!$A$5:$A$504)))),"Yıllık izin","İ"),"Ücretsiz izin","Ü"),1)))</f>
        <v/>
      </c>
      <c r="AA49" s="20" t="str">
        <f aca="false">IF(OR($B49="",AA$5=""),"",IF(SUMPRODUCT(MAX((İzinler!$A$5:$A$504=$B49)*(İzinler!$C$5:$C$504&lt;=AA$5)*(İzinler!$D$5:$D$504&gt;=AA$5)*ROW(İzinler!$A$5:$A$504)))=0,"",LEFT(SUBSTITUTE(SUBSTITUTE(INDEX(İzinler!$B$1:$B$504,SUMPRODUCT(MAX((İzinler!$A$5:$A$504=$B49)*(İzinler!$C$5:$C$504&lt;=AA$5)*(İzinler!$D$5:$D$504&gt;=AA$5)*ROW(İzinler!$A$5:$A$504)))),"Yıllık izin","İ"),"Ücretsiz izin","Ü"),1)))</f>
        <v/>
      </c>
      <c r="AB49" s="20" t="str">
        <f aca="false">IF(OR($B49="",AB$5=""),"",IF(SUMPRODUCT(MAX((İzinler!$A$5:$A$504=$B49)*(İzinler!$C$5:$C$504&lt;=AB$5)*(İzinler!$D$5:$D$504&gt;=AB$5)*ROW(İzinler!$A$5:$A$504)))=0,"",LEFT(SUBSTITUTE(SUBSTITUTE(INDEX(İzinler!$B$1:$B$504,SUMPRODUCT(MAX((İzinler!$A$5:$A$504=$B49)*(İzinler!$C$5:$C$504&lt;=AB$5)*(İzinler!$D$5:$D$504&gt;=AB$5)*ROW(İzinler!$A$5:$A$504)))),"Yıllık izin","İ"),"Ücretsiz izin","Ü"),1)))</f>
        <v/>
      </c>
      <c r="AC49" s="20" t="str">
        <f aca="false">IF(OR($B49="",AC$5=""),"",IF(SUMPRODUCT(MAX((İzinler!$A$5:$A$504=$B49)*(İzinler!$C$5:$C$504&lt;=AC$5)*(İzinler!$D$5:$D$504&gt;=AC$5)*ROW(İzinler!$A$5:$A$504)))=0,"",LEFT(SUBSTITUTE(SUBSTITUTE(INDEX(İzinler!$B$1:$B$504,SUMPRODUCT(MAX((İzinler!$A$5:$A$504=$B49)*(İzinler!$C$5:$C$504&lt;=AC$5)*(İzinler!$D$5:$D$504&gt;=AC$5)*ROW(İzinler!$A$5:$A$504)))),"Yıllık izin","İ"),"Ücretsiz izin","Ü"),1)))</f>
        <v/>
      </c>
      <c r="AD49" s="20" t="str">
        <f aca="false">IF(OR($B49="",AD$5=""),"",IF(SUMPRODUCT(MAX((İzinler!$A$5:$A$504=$B49)*(İzinler!$C$5:$C$504&lt;=AD$5)*(İzinler!$D$5:$D$504&gt;=AD$5)*ROW(İzinler!$A$5:$A$504)))=0,"",LEFT(SUBSTITUTE(SUBSTITUTE(INDEX(İzinler!$B$1:$B$504,SUMPRODUCT(MAX((İzinler!$A$5:$A$504=$B49)*(İzinler!$C$5:$C$504&lt;=AD$5)*(İzinler!$D$5:$D$504&gt;=AD$5)*ROW(İzinler!$A$5:$A$504)))),"Yıllık izin","İ"),"Ücretsiz izin","Ü"),1)))</f>
        <v/>
      </c>
      <c r="AE49" s="20" t="str">
        <f aca="false">IF(OR($B49="",AE$5=""),"",IF(SUMPRODUCT(MAX((İzinler!$A$5:$A$504=$B49)*(İzinler!$C$5:$C$504&lt;=AE$5)*(İzinler!$D$5:$D$504&gt;=AE$5)*ROW(İzinler!$A$5:$A$504)))=0,"",LEFT(SUBSTITUTE(SUBSTITUTE(INDEX(İzinler!$B$1:$B$504,SUMPRODUCT(MAX((İzinler!$A$5:$A$504=$B49)*(İzinler!$C$5:$C$504&lt;=AE$5)*(İzinler!$D$5:$D$504&gt;=AE$5)*ROW(İzinler!$A$5:$A$504)))),"Yıllık izin","İ"),"Ücretsiz izin","Ü"),1)))</f>
        <v/>
      </c>
      <c r="AF49" s="20" t="str">
        <f aca="false">IF(OR($B49="",AF$5=""),"",IF(SUMPRODUCT(MAX((İzinler!$A$5:$A$504=$B49)*(İzinler!$C$5:$C$504&lt;=AF$5)*(İzinler!$D$5:$D$504&gt;=AF$5)*ROW(İzinler!$A$5:$A$504)))=0,"",LEFT(SUBSTITUTE(SUBSTITUTE(INDEX(İzinler!$B$1:$B$504,SUMPRODUCT(MAX((İzinler!$A$5:$A$504=$B49)*(İzinler!$C$5:$C$504&lt;=AF$5)*(İzinler!$D$5:$D$504&gt;=AF$5)*ROW(İzinler!$A$5:$A$504)))),"Yıllık izin","İ"),"Ücretsiz izin","Ü"),1)))</f>
        <v/>
      </c>
      <c r="AG49" s="20" t="str">
        <f aca="false">IF(OR($B49="",AG$5=""),"",IF(SUMPRODUCT(MAX((İzinler!$A$5:$A$504=$B49)*(İzinler!$C$5:$C$504&lt;=AG$5)*(İzinler!$D$5:$D$504&gt;=AG$5)*ROW(İzinler!$A$5:$A$504)))=0,"",LEFT(SUBSTITUTE(SUBSTITUTE(INDEX(İzinler!$B$1:$B$504,SUMPRODUCT(MAX((İzinler!$A$5:$A$504=$B49)*(İzinler!$C$5:$C$504&lt;=AG$5)*(İzinler!$D$5:$D$504&gt;=AG$5)*ROW(İzinler!$A$5:$A$504)))),"Yıllık izin","İ"),"Ücretsiz izin","Ü"),1)))</f>
        <v/>
      </c>
      <c r="AH49" s="21" t="str">
        <f aca="false">IF(B49="","",COUNTIF(C49:AG49,"?"))</f>
        <v/>
      </c>
    </row>
    <row r="50" customFormat="false" ht="15" hidden="false" customHeight="false" outlineLevel="0" collapsed="false">
      <c r="B50" s="16" t="str">
        <f aca="false">IF(Personel!A49="","",Personel!A49)</f>
        <v/>
      </c>
      <c r="C50" s="20" t="str">
        <f aca="false">IF(OR($B50="",C$5=""),"",IF(SUMPRODUCT(MAX((İzinler!$A$5:$A$504=$B50)*(İzinler!$C$5:$C$504&lt;=C$5)*(İzinler!$D$5:$D$504&gt;=C$5)*ROW(İzinler!$A$5:$A$504)))=0,"",LEFT(SUBSTITUTE(SUBSTITUTE(INDEX(İzinler!$B$1:$B$504,SUMPRODUCT(MAX((İzinler!$A$5:$A$504=$B50)*(İzinler!$C$5:$C$504&lt;=C$5)*(İzinler!$D$5:$D$504&gt;=C$5)*ROW(İzinler!$A$5:$A$504)))),"Yıllık izin","İ"),"Ücretsiz izin","Ü"),1)))</f>
        <v/>
      </c>
      <c r="D50" s="20" t="str">
        <f aca="false">IF(OR($B50="",D$5=""),"",IF(SUMPRODUCT(MAX((İzinler!$A$5:$A$504=$B50)*(İzinler!$C$5:$C$504&lt;=D$5)*(İzinler!$D$5:$D$504&gt;=D$5)*ROW(İzinler!$A$5:$A$504)))=0,"",LEFT(SUBSTITUTE(SUBSTITUTE(INDEX(İzinler!$B$1:$B$504,SUMPRODUCT(MAX((İzinler!$A$5:$A$504=$B50)*(İzinler!$C$5:$C$504&lt;=D$5)*(İzinler!$D$5:$D$504&gt;=D$5)*ROW(İzinler!$A$5:$A$504)))),"Yıllık izin","İ"),"Ücretsiz izin","Ü"),1)))</f>
        <v/>
      </c>
      <c r="E50" s="20" t="str">
        <f aca="false">IF(OR($B50="",E$5=""),"",IF(SUMPRODUCT(MAX((İzinler!$A$5:$A$504=$B50)*(İzinler!$C$5:$C$504&lt;=E$5)*(İzinler!$D$5:$D$504&gt;=E$5)*ROW(İzinler!$A$5:$A$504)))=0,"",LEFT(SUBSTITUTE(SUBSTITUTE(INDEX(İzinler!$B$1:$B$504,SUMPRODUCT(MAX((İzinler!$A$5:$A$504=$B50)*(İzinler!$C$5:$C$504&lt;=E$5)*(İzinler!$D$5:$D$504&gt;=E$5)*ROW(İzinler!$A$5:$A$504)))),"Yıllık izin","İ"),"Ücretsiz izin","Ü"),1)))</f>
        <v/>
      </c>
      <c r="F50" s="20" t="str">
        <f aca="false">IF(OR($B50="",F$5=""),"",IF(SUMPRODUCT(MAX((İzinler!$A$5:$A$504=$B50)*(İzinler!$C$5:$C$504&lt;=F$5)*(İzinler!$D$5:$D$504&gt;=F$5)*ROW(İzinler!$A$5:$A$504)))=0,"",LEFT(SUBSTITUTE(SUBSTITUTE(INDEX(İzinler!$B$1:$B$504,SUMPRODUCT(MAX((İzinler!$A$5:$A$504=$B50)*(İzinler!$C$5:$C$504&lt;=F$5)*(İzinler!$D$5:$D$504&gt;=F$5)*ROW(İzinler!$A$5:$A$504)))),"Yıllık izin","İ"),"Ücretsiz izin","Ü"),1)))</f>
        <v/>
      </c>
      <c r="G50" s="20" t="str">
        <f aca="false">IF(OR($B50="",G$5=""),"",IF(SUMPRODUCT(MAX((İzinler!$A$5:$A$504=$B50)*(İzinler!$C$5:$C$504&lt;=G$5)*(İzinler!$D$5:$D$504&gt;=G$5)*ROW(İzinler!$A$5:$A$504)))=0,"",LEFT(SUBSTITUTE(SUBSTITUTE(INDEX(İzinler!$B$1:$B$504,SUMPRODUCT(MAX((İzinler!$A$5:$A$504=$B50)*(İzinler!$C$5:$C$504&lt;=G$5)*(İzinler!$D$5:$D$504&gt;=G$5)*ROW(İzinler!$A$5:$A$504)))),"Yıllık izin","İ"),"Ücretsiz izin","Ü"),1)))</f>
        <v/>
      </c>
      <c r="H50" s="20" t="str">
        <f aca="false">IF(OR($B50="",H$5=""),"",IF(SUMPRODUCT(MAX((İzinler!$A$5:$A$504=$B50)*(İzinler!$C$5:$C$504&lt;=H$5)*(İzinler!$D$5:$D$504&gt;=H$5)*ROW(İzinler!$A$5:$A$504)))=0,"",LEFT(SUBSTITUTE(SUBSTITUTE(INDEX(İzinler!$B$1:$B$504,SUMPRODUCT(MAX((İzinler!$A$5:$A$504=$B50)*(İzinler!$C$5:$C$504&lt;=H$5)*(İzinler!$D$5:$D$504&gt;=H$5)*ROW(İzinler!$A$5:$A$504)))),"Yıllık izin","İ"),"Ücretsiz izin","Ü"),1)))</f>
        <v/>
      </c>
      <c r="I50" s="20" t="str">
        <f aca="false">IF(OR($B50="",I$5=""),"",IF(SUMPRODUCT(MAX((İzinler!$A$5:$A$504=$B50)*(İzinler!$C$5:$C$504&lt;=I$5)*(İzinler!$D$5:$D$504&gt;=I$5)*ROW(İzinler!$A$5:$A$504)))=0,"",LEFT(SUBSTITUTE(SUBSTITUTE(INDEX(İzinler!$B$1:$B$504,SUMPRODUCT(MAX((İzinler!$A$5:$A$504=$B50)*(İzinler!$C$5:$C$504&lt;=I$5)*(İzinler!$D$5:$D$504&gt;=I$5)*ROW(İzinler!$A$5:$A$504)))),"Yıllık izin","İ"),"Ücretsiz izin","Ü"),1)))</f>
        <v/>
      </c>
      <c r="J50" s="20" t="str">
        <f aca="false">IF(OR($B50="",J$5=""),"",IF(SUMPRODUCT(MAX((İzinler!$A$5:$A$504=$B50)*(İzinler!$C$5:$C$504&lt;=J$5)*(İzinler!$D$5:$D$504&gt;=J$5)*ROW(İzinler!$A$5:$A$504)))=0,"",LEFT(SUBSTITUTE(SUBSTITUTE(INDEX(İzinler!$B$1:$B$504,SUMPRODUCT(MAX((İzinler!$A$5:$A$504=$B50)*(İzinler!$C$5:$C$504&lt;=J$5)*(İzinler!$D$5:$D$504&gt;=J$5)*ROW(İzinler!$A$5:$A$504)))),"Yıllık izin","İ"),"Ücretsiz izin","Ü"),1)))</f>
        <v/>
      </c>
      <c r="K50" s="20" t="str">
        <f aca="false">IF(OR($B50="",K$5=""),"",IF(SUMPRODUCT(MAX((İzinler!$A$5:$A$504=$B50)*(İzinler!$C$5:$C$504&lt;=K$5)*(İzinler!$D$5:$D$504&gt;=K$5)*ROW(İzinler!$A$5:$A$504)))=0,"",LEFT(SUBSTITUTE(SUBSTITUTE(INDEX(İzinler!$B$1:$B$504,SUMPRODUCT(MAX((İzinler!$A$5:$A$504=$B50)*(İzinler!$C$5:$C$504&lt;=K$5)*(İzinler!$D$5:$D$504&gt;=K$5)*ROW(İzinler!$A$5:$A$504)))),"Yıllık izin","İ"),"Ücretsiz izin","Ü"),1)))</f>
        <v/>
      </c>
      <c r="L50" s="20" t="str">
        <f aca="false">IF(OR($B50="",L$5=""),"",IF(SUMPRODUCT(MAX((İzinler!$A$5:$A$504=$B50)*(İzinler!$C$5:$C$504&lt;=L$5)*(İzinler!$D$5:$D$504&gt;=L$5)*ROW(İzinler!$A$5:$A$504)))=0,"",LEFT(SUBSTITUTE(SUBSTITUTE(INDEX(İzinler!$B$1:$B$504,SUMPRODUCT(MAX((İzinler!$A$5:$A$504=$B50)*(İzinler!$C$5:$C$504&lt;=L$5)*(İzinler!$D$5:$D$504&gt;=L$5)*ROW(İzinler!$A$5:$A$504)))),"Yıllık izin","İ"),"Ücretsiz izin","Ü"),1)))</f>
        <v/>
      </c>
      <c r="M50" s="20" t="str">
        <f aca="false">IF(OR($B50="",M$5=""),"",IF(SUMPRODUCT(MAX((İzinler!$A$5:$A$504=$B50)*(İzinler!$C$5:$C$504&lt;=M$5)*(İzinler!$D$5:$D$504&gt;=M$5)*ROW(İzinler!$A$5:$A$504)))=0,"",LEFT(SUBSTITUTE(SUBSTITUTE(INDEX(İzinler!$B$1:$B$504,SUMPRODUCT(MAX((İzinler!$A$5:$A$504=$B50)*(İzinler!$C$5:$C$504&lt;=M$5)*(İzinler!$D$5:$D$504&gt;=M$5)*ROW(İzinler!$A$5:$A$504)))),"Yıllık izin","İ"),"Ücretsiz izin","Ü"),1)))</f>
        <v/>
      </c>
      <c r="N50" s="20" t="str">
        <f aca="false">IF(OR($B50="",N$5=""),"",IF(SUMPRODUCT(MAX((İzinler!$A$5:$A$504=$B50)*(İzinler!$C$5:$C$504&lt;=N$5)*(İzinler!$D$5:$D$504&gt;=N$5)*ROW(İzinler!$A$5:$A$504)))=0,"",LEFT(SUBSTITUTE(SUBSTITUTE(INDEX(İzinler!$B$1:$B$504,SUMPRODUCT(MAX((İzinler!$A$5:$A$504=$B50)*(İzinler!$C$5:$C$504&lt;=N$5)*(İzinler!$D$5:$D$504&gt;=N$5)*ROW(İzinler!$A$5:$A$504)))),"Yıllık izin","İ"),"Ücretsiz izin","Ü"),1)))</f>
        <v/>
      </c>
      <c r="O50" s="20" t="str">
        <f aca="false">IF(OR($B50="",O$5=""),"",IF(SUMPRODUCT(MAX((İzinler!$A$5:$A$504=$B50)*(İzinler!$C$5:$C$504&lt;=O$5)*(İzinler!$D$5:$D$504&gt;=O$5)*ROW(İzinler!$A$5:$A$504)))=0,"",LEFT(SUBSTITUTE(SUBSTITUTE(INDEX(İzinler!$B$1:$B$504,SUMPRODUCT(MAX((İzinler!$A$5:$A$504=$B50)*(İzinler!$C$5:$C$504&lt;=O$5)*(İzinler!$D$5:$D$504&gt;=O$5)*ROW(İzinler!$A$5:$A$504)))),"Yıllık izin","İ"),"Ücretsiz izin","Ü"),1)))</f>
        <v/>
      </c>
      <c r="P50" s="20" t="str">
        <f aca="false">IF(OR($B50="",P$5=""),"",IF(SUMPRODUCT(MAX((İzinler!$A$5:$A$504=$B50)*(İzinler!$C$5:$C$504&lt;=P$5)*(İzinler!$D$5:$D$504&gt;=P$5)*ROW(İzinler!$A$5:$A$504)))=0,"",LEFT(SUBSTITUTE(SUBSTITUTE(INDEX(İzinler!$B$1:$B$504,SUMPRODUCT(MAX((İzinler!$A$5:$A$504=$B50)*(İzinler!$C$5:$C$504&lt;=P$5)*(İzinler!$D$5:$D$504&gt;=P$5)*ROW(İzinler!$A$5:$A$504)))),"Yıllık izin","İ"),"Ücretsiz izin","Ü"),1)))</f>
        <v/>
      </c>
      <c r="Q50" s="20" t="str">
        <f aca="false">IF(OR($B50="",Q$5=""),"",IF(SUMPRODUCT(MAX((İzinler!$A$5:$A$504=$B50)*(İzinler!$C$5:$C$504&lt;=Q$5)*(İzinler!$D$5:$D$504&gt;=Q$5)*ROW(İzinler!$A$5:$A$504)))=0,"",LEFT(SUBSTITUTE(SUBSTITUTE(INDEX(İzinler!$B$1:$B$504,SUMPRODUCT(MAX((İzinler!$A$5:$A$504=$B50)*(İzinler!$C$5:$C$504&lt;=Q$5)*(İzinler!$D$5:$D$504&gt;=Q$5)*ROW(İzinler!$A$5:$A$504)))),"Yıllık izin","İ"),"Ücretsiz izin","Ü"),1)))</f>
        <v/>
      </c>
      <c r="R50" s="20" t="str">
        <f aca="false">IF(OR($B50="",R$5=""),"",IF(SUMPRODUCT(MAX((İzinler!$A$5:$A$504=$B50)*(İzinler!$C$5:$C$504&lt;=R$5)*(İzinler!$D$5:$D$504&gt;=R$5)*ROW(İzinler!$A$5:$A$504)))=0,"",LEFT(SUBSTITUTE(SUBSTITUTE(INDEX(İzinler!$B$1:$B$504,SUMPRODUCT(MAX((İzinler!$A$5:$A$504=$B50)*(İzinler!$C$5:$C$504&lt;=R$5)*(İzinler!$D$5:$D$504&gt;=R$5)*ROW(İzinler!$A$5:$A$504)))),"Yıllık izin","İ"),"Ücretsiz izin","Ü"),1)))</f>
        <v/>
      </c>
      <c r="S50" s="20" t="str">
        <f aca="false">IF(OR($B50="",S$5=""),"",IF(SUMPRODUCT(MAX((İzinler!$A$5:$A$504=$B50)*(İzinler!$C$5:$C$504&lt;=S$5)*(İzinler!$D$5:$D$504&gt;=S$5)*ROW(İzinler!$A$5:$A$504)))=0,"",LEFT(SUBSTITUTE(SUBSTITUTE(INDEX(İzinler!$B$1:$B$504,SUMPRODUCT(MAX((İzinler!$A$5:$A$504=$B50)*(İzinler!$C$5:$C$504&lt;=S$5)*(İzinler!$D$5:$D$504&gt;=S$5)*ROW(İzinler!$A$5:$A$504)))),"Yıllık izin","İ"),"Ücretsiz izin","Ü"),1)))</f>
        <v/>
      </c>
      <c r="T50" s="20" t="str">
        <f aca="false">IF(OR($B50="",T$5=""),"",IF(SUMPRODUCT(MAX((İzinler!$A$5:$A$504=$B50)*(İzinler!$C$5:$C$504&lt;=T$5)*(İzinler!$D$5:$D$504&gt;=T$5)*ROW(İzinler!$A$5:$A$504)))=0,"",LEFT(SUBSTITUTE(SUBSTITUTE(INDEX(İzinler!$B$1:$B$504,SUMPRODUCT(MAX((İzinler!$A$5:$A$504=$B50)*(İzinler!$C$5:$C$504&lt;=T$5)*(İzinler!$D$5:$D$504&gt;=T$5)*ROW(İzinler!$A$5:$A$504)))),"Yıllık izin","İ"),"Ücretsiz izin","Ü"),1)))</f>
        <v/>
      </c>
      <c r="U50" s="20" t="str">
        <f aca="false">IF(OR($B50="",U$5=""),"",IF(SUMPRODUCT(MAX((İzinler!$A$5:$A$504=$B50)*(İzinler!$C$5:$C$504&lt;=U$5)*(İzinler!$D$5:$D$504&gt;=U$5)*ROW(İzinler!$A$5:$A$504)))=0,"",LEFT(SUBSTITUTE(SUBSTITUTE(INDEX(İzinler!$B$1:$B$504,SUMPRODUCT(MAX((İzinler!$A$5:$A$504=$B50)*(İzinler!$C$5:$C$504&lt;=U$5)*(İzinler!$D$5:$D$504&gt;=U$5)*ROW(İzinler!$A$5:$A$504)))),"Yıllık izin","İ"),"Ücretsiz izin","Ü"),1)))</f>
        <v/>
      </c>
      <c r="V50" s="20" t="str">
        <f aca="false">IF(OR($B50="",V$5=""),"",IF(SUMPRODUCT(MAX((İzinler!$A$5:$A$504=$B50)*(İzinler!$C$5:$C$504&lt;=V$5)*(İzinler!$D$5:$D$504&gt;=V$5)*ROW(İzinler!$A$5:$A$504)))=0,"",LEFT(SUBSTITUTE(SUBSTITUTE(INDEX(İzinler!$B$1:$B$504,SUMPRODUCT(MAX((İzinler!$A$5:$A$504=$B50)*(İzinler!$C$5:$C$504&lt;=V$5)*(İzinler!$D$5:$D$504&gt;=V$5)*ROW(İzinler!$A$5:$A$504)))),"Yıllık izin","İ"),"Ücretsiz izin","Ü"),1)))</f>
        <v/>
      </c>
      <c r="W50" s="20" t="str">
        <f aca="false">IF(OR($B50="",W$5=""),"",IF(SUMPRODUCT(MAX((İzinler!$A$5:$A$504=$B50)*(İzinler!$C$5:$C$504&lt;=W$5)*(İzinler!$D$5:$D$504&gt;=W$5)*ROW(İzinler!$A$5:$A$504)))=0,"",LEFT(SUBSTITUTE(SUBSTITUTE(INDEX(İzinler!$B$1:$B$504,SUMPRODUCT(MAX((İzinler!$A$5:$A$504=$B50)*(İzinler!$C$5:$C$504&lt;=W$5)*(İzinler!$D$5:$D$504&gt;=W$5)*ROW(İzinler!$A$5:$A$504)))),"Yıllık izin","İ"),"Ücretsiz izin","Ü"),1)))</f>
        <v/>
      </c>
      <c r="X50" s="20" t="str">
        <f aca="false">IF(OR($B50="",X$5=""),"",IF(SUMPRODUCT(MAX((İzinler!$A$5:$A$504=$B50)*(İzinler!$C$5:$C$504&lt;=X$5)*(İzinler!$D$5:$D$504&gt;=X$5)*ROW(İzinler!$A$5:$A$504)))=0,"",LEFT(SUBSTITUTE(SUBSTITUTE(INDEX(İzinler!$B$1:$B$504,SUMPRODUCT(MAX((İzinler!$A$5:$A$504=$B50)*(İzinler!$C$5:$C$504&lt;=X$5)*(İzinler!$D$5:$D$504&gt;=X$5)*ROW(İzinler!$A$5:$A$504)))),"Yıllık izin","İ"),"Ücretsiz izin","Ü"),1)))</f>
        <v/>
      </c>
      <c r="Y50" s="20" t="str">
        <f aca="false">IF(OR($B50="",Y$5=""),"",IF(SUMPRODUCT(MAX((İzinler!$A$5:$A$504=$B50)*(İzinler!$C$5:$C$504&lt;=Y$5)*(İzinler!$D$5:$D$504&gt;=Y$5)*ROW(İzinler!$A$5:$A$504)))=0,"",LEFT(SUBSTITUTE(SUBSTITUTE(INDEX(İzinler!$B$1:$B$504,SUMPRODUCT(MAX((İzinler!$A$5:$A$504=$B50)*(İzinler!$C$5:$C$504&lt;=Y$5)*(İzinler!$D$5:$D$504&gt;=Y$5)*ROW(İzinler!$A$5:$A$504)))),"Yıllık izin","İ"),"Ücretsiz izin","Ü"),1)))</f>
        <v/>
      </c>
      <c r="Z50" s="20" t="str">
        <f aca="false">IF(OR($B50="",Z$5=""),"",IF(SUMPRODUCT(MAX((İzinler!$A$5:$A$504=$B50)*(İzinler!$C$5:$C$504&lt;=Z$5)*(İzinler!$D$5:$D$504&gt;=Z$5)*ROW(İzinler!$A$5:$A$504)))=0,"",LEFT(SUBSTITUTE(SUBSTITUTE(INDEX(İzinler!$B$1:$B$504,SUMPRODUCT(MAX((İzinler!$A$5:$A$504=$B50)*(İzinler!$C$5:$C$504&lt;=Z$5)*(İzinler!$D$5:$D$504&gt;=Z$5)*ROW(İzinler!$A$5:$A$504)))),"Yıllık izin","İ"),"Ücretsiz izin","Ü"),1)))</f>
        <v/>
      </c>
      <c r="AA50" s="20" t="str">
        <f aca="false">IF(OR($B50="",AA$5=""),"",IF(SUMPRODUCT(MAX((İzinler!$A$5:$A$504=$B50)*(İzinler!$C$5:$C$504&lt;=AA$5)*(İzinler!$D$5:$D$504&gt;=AA$5)*ROW(İzinler!$A$5:$A$504)))=0,"",LEFT(SUBSTITUTE(SUBSTITUTE(INDEX(İzinler!$B$1:$B$504,SUMPRODUCT(MAX((İzinler!$A$5:$A$504=$B50)*(İzinler!$C$5:$C$504&lt;=AA$5)*(İzinler!$D$5:$D$504&gt;=AA$5)*ROW(İzinler!$A$5:$A$504)))),"Yıllık izin","İ"),"Ücretsiz izin","Ü"),1)))</f>
        <v/>
      </c>
      <c r="AB50" s="20" t="str">
        <f aca="false">IF(OR($B50="",AB$5=""),"",IF(SUMPRODUCT(MAX((İzinler!$A$5:$A$504=$B50)*(İzinler!$C$5:$C$504&lt;=AB$5)*(İzinler!$D$5:$D$504&gt;=AB$5)*ROW(İzinler!$A$5:$A$504)))=0,"",LEFT(SUBSTITUTE(SUBSTITUTE(INDEX(İzinler!$B$1:$B$504,SUMPRODUCT(MAX((İzinler!$A$5:$A$504=$B50)*(İzinler!$C$5:$C$504&lt;=AB$5)*(İzinler!$D$5:$D$504&gt;=AB$5)*ROW(İzinler!$A$5:$A$504)))),"Yıllık izin","İ"),"Ücretsiz izin","Ü"),1)))</f>
        <v/>
      </c>
      <c r="AC50" s="20" t="str">
        <f aca="false">IF(OR($B50="",AC$5=""),"",IF(SUMPRODUCT(MAX((İzinler!$A$5:$A$504=$B50)*(İzinler!$C$5:$C$504&lt;=AC$5)*(İzinler!$D$5:$D$504&gt;=AC$5)*ROW(İzinler!$A$5:$A$504)))=0,"",LEFT(SUBSTITUTE(SUBSTITUTE(INDEX(İzinler!$B$1:$B$504,SUMPRODUCT(MAX((İzinler!$A$5:$A$504=$B50)*(İzinler!$C$5:$C$504&lt;=AC$5)*(İzinler!$D$5:$D$504&gt;=AC$5)*ROW(İzinler!$A$5:$A$504)))),"Yıllık izin","İ"),"Ücretsiz izin","Ü"),1)))</f>
        <v/>
      </c>
      <c r="AD50" s="20" t="str">
        <f aca="false">IF(OR($B50="",AD$5=""),"",IF(SUMPRODUCT(MAX((İzinler!$A$5:$A$504=$B50)*(İzinler!$C$5:$C$504&lt;=AD$5)*(İzinler!$D$5:$D$504&gt;=AD$5)*ROW(İzinler!$A$5:$A$504)))=0,"",LEFT(SUBSTITUTE(SUBSTITUTE(INDEX(İzinler!$B$1:$B$504,SUMPRODUCT(MAX((İzinler!$A$5:$A$504=$B50)*(İzinler!$C$5:$C$504&lt;=AD$5)*(İzinler!$D$5:$D$504&gt;=AD$5)*ROW(İzinler!$A$5:$A$504)))),"Yıllık izin","İ"),"Ücretsiz izin","Ü"),1)))</f>
        <v/>
      </c>
      <c r="AE50" s="20" t="str">
        <f aca="false">IF(OR($B50="",AE$5=""),"",IF(SUMPRODUCT(MAX((İzinler!$A$5:$A$504=$B50)*(İzinler!$C$5:$C$504&lt;=AE$5)*(İzinler!$D$5:$D$504&gt;=AE$5)*ROW(İzinler!$A$5:$A$504)))=0,"",LEFT(SUBSTITUTE(SUBSTITUTE(INDEX(İzinler!$B$1:$B$504,SUMPRODUCT(MAX((İzinler!$A$5:$A$504=$B50)*(İzinler!$C$5:$C$504&lt;=AE$5)*(İzinler!$D$5:$D$504&gt;=AE$5)*ROW(İzinler!$A$5:$A$504)))),"Yıllık izin","İ"),"Ücretsiz izin","Ü"),1)))</f>
        <v/>
      </c>
      <c r="AF50" s="20" t="str">
        <f aca="false">IF(OR($B50="",AF$5=""),"",IF(SUMPRODUCT(MAX((İzinler!$A$5:$A$504=$B50)*(İzinler!$C$5:$C$504&lt;=AF$5)*(İzinler!$D$5:$D$504&gt;=AF$5)*ROW(İzinler!$A$5:$A$504)))=0,"",LEFT(SUBSTITUTE(SUBSTITUTE(INDEX(İzinler!$B$1:$B$504,SUMPRODUCT(MAX((İzinler!$A$5:$A$504=$B50)*(İzinler!$C$5:$C$504&lt;=AF$5)*(İzinler!$D$5:$D$504&gt;=AF$5)*ROW(İzinler!$A$5:$A$504)))),"Yıllık izin","İ"),"Ücretsiz izin","Ü"),1)))</f>
        <v/>
      </c>
      <c r="AG50" s="20" t="str">
        <f aca="false">IF(OR($B50="",AG$5=""),"",IF(SUMPRODUCT(MAX((İzinler!$A$5:$A$504=$B50)*(İzinler!$C$5:$C$504&lt;=AG$5)*(İzinler!$D$5:$D$504&gt;=AG$5)*ROW(İzinler!$A$5:$A$504)))=0,"",LEFT(SUBSTITUTE(SUBSTITUTE(INDEX(İzinler!$B$1:$B$504,SUMPRODUCT(MAX((İzinler!$A$5:$A$504=$B50)*(İzinler!$C$5:$C$504&lt;=AG$5)*(İzinler!$D$5:$D$504&gt;=AG$5)*ROW(İzinler!$A$5:$A$504)))),"Yıllık izin","İ"),"Ücretsiz izin","Ü"),1)))</f>
        <v/>
      </c>
      <c r="AH50" s="21" t="str">
        <f aca="false">IF(B50="","",COUNTIF(C50:AG50,"?"))</f>
        <v/>
      </c>
    </row>
    <row r="51" customFormat="false" ht="15" hidden="false" customHeight="false" outlineLevel="0" collapsed="false">
      <c r="B51" s="16" t="str">
        <f aca="false">IF(Personel!A50="","",Personel!A50)</f>
        <v/>
      </c>
      <c r="C51" s="20" t="str">
        <f aca="false">IF(OR($B51="",C$5=""),"",IF(SUMPRODUCT(MAX((İzinler!$A$5:$A$504=$B51)*(İzinler!$C$5:$C$504&lt;=C$5)*(İzinler!$D$5:$D$504&gt;=C$5)*ROW(İzinler!$A$5:$A$504)))=0,"",LEFT(SUBSTITUTE(SUBSTITUTE(INDEX(İzinler!$B$1:$B$504,SUMPRODUCT(MAX((İzinler!$A$5:$A$504=$B51)*(İzinler!$C$5:$C$504&lt;=C$5)*(İzinler!$D$5:$D$504&gt;=C$5)*ROW(İzinler!$A$5:$A$504)))),"Yıllık izin","İ"),"Ücretsiz izin","Ü"),1)))</f>
        <v/>
      </c>
      <c r="D51" s="20" t="str">
        <f aca="false">IF(OR($B51="",D$5=""),"",IF(SUMPRODUCT(MAX((İzinler!$A$5:$A$504=$B51)*(İzinler!$C$5:$C$504&lt;=D$5)*(İzinler!$D$5:$D$504&gt;=D$5)*ROW(İzinler!$A$5:$A$504)))=0,"",LEFT(SUBSTITUTE(SUBSTITUTE(INDEX(İzinler!$B$1:$B$504,SUMPRODUCT(MAX((İzinler!$A$5:$A$504=$B51)*(İzinler!$C$5:$C$504&lt;=D$5)*(İzinler!$D$5:$D$504&gt;=D$5)*ROW(İzinler!$A$5:$A$504)))),"Yıllık izin","İ"),"Ücretsiz izin","Ü"),1)))</f>
        <v/>
      </c>
      <c r="E51" s="20" t="str">
        <f aca="false">IF(OR($B51="",E$5=""),"",IF(SUMPRODUCT(MAX((İzinler!$A$5:$A$504=$B51)*(İzinler!$C$5:$C$504&lt;=E$5)*(İzinler!$D$5:$D$504&gt;=E$5)*ROW(İzinler!$A$5:$A$504)))=0,"",LEFT(SUBSTITUTE(SUBSTITUTE(INDEX(İzinler!$B$1:$B$504,SUMPRODUCT(MAX((İzinler!$A$5:$A$504=$B51)*(İzinler!$C$5:$C$504&lt;=E$5)*(İzinler!$D$5:$D$504&gt;=E$5)*ROW(İzinler!$A$5:$A$504)))),"Yıllık izin","İ"),"Ücretsiz izin","Ü"),1)))</f>
        <v/>
      </c>
      <c r="F51" s="20" t="str">
        <f aca="false">IF(OR($B51="",F$5=""),"",IF(SUMPRODUCT(MAX((İzinler!$A$5:$A$504=$B51)*(İzinler!$C$5:$C$504&lt;=F$5)*(İzinler!$D$5:$D$504&gt;=F$5)*ROW(İzinler!$A$5:$A$504)))=0,"",LEFT(SUBSTITUTE(SUBSTITUTE(INDEX(İzinler!$B$1:$B$504,SUMPRODUCT(MAX((İzinler!$A$5:$A$504=$B51)*(İzinler!$C$5:$C$504&lt;=F$5)*(İzinler!$D$5:$D$504&gt;=F$5)*ROW(İzinler!$A$5:$A$504)))),"Yıllık izin","İ"),"Ücretsiz izin","Ü"),1)))</f>
        <v/>
      </c>
      <c r="G51" s="20" t="str">
        <f aca="false">IF(OR($B51="",G$5=""),"",IF(SUMPRODUCT(MAX((İzinler!$A$5:$A$504=$B51)*(İzinler!$C$5:$C$504&lt;=G$5)*(İzinler!$D$5:$D$504&gt;=G$5)*ROW(İzinler!$A$5:$A$504)))=0,"",LEFT(SUBSTITUTE(SUBSTITUTE(INDEX(İzinler!$B$1:$B$504,SUMPRODUCT(MAX((İzinler!$A$5:$A$504=$B51)*(İzinler!$C$5:$C$504&lt;=G$5)*(İzinler!$D$5:$D$504&gt;=G$5)*ROW(İzinler!$A$5:$A$504)))),"Yıllık izin","İ"),"Ücretsiz izin","Ü"),1)))</f>
        <v/>
      </c>
      <c r="H51" s="20" t="str">
        <f aca="false">IF(OR($B51="",H$5=""),"",IF(SUMPRODUCT(MAX((İzinler!$A$5:$A$504=$B51)*(İzinler!$C$5:$C$504&lt;=H$5)*(İzinler!$D$5:$D$504&gt;=H$5)*ROW(İzinler!$A$5:$A$504)))=0,"",LEFT(SUBSTITUTE(SUBSTITUTE(INDEX(İzinler!$B$1:$B$504,SUMPRODUCT(MAX((İzinler!$A$5:$A$504=$B51)*(İzinler!$C$5:$C$504&lt;=H$5)*(İzinler!$D$5:$D$504&gt;=H$5)*ROW(İzinler!$A$5:$A$504)))),"Yıllık izin","İ"),"Ücretsiz izin","Ü"),1)))</f>
        <v/>
      </c>
      <c r="I51" s="20" t="str">
        <f aca="false">IF(OR($B51="",I$5=""),"",IF(SUMPRODUCT(MAX((İzinler!$A$5:$A$504=$B51)*(İzinler!$C$5:$C$504&lt;=I$5)*(İzinler!$D$5:$D$504&gt;=I$5)*ROW(İzinler!$A$5:$A$504)))=0,"",LEFT(SUBSTITUTE(SUBSTITUTE(INDEX(İzinler!$B$1:$B$504,SUMPRODUCT(MAX((İzinler!$A$5:$A$504=$B51)*(İzinler!$C$5:$C$504&lt;=I$5)*(İzinler!$D$5:$D$504&gt;=I$5)*ROW(İzinler!$A$5:$A$504)))),"Yıllık izin","İ"),"Ücretsiz izin","Ü"),1)))</f>
        <v/>
      </c>
      <c r="J51" s="20" t="str">
        <f aca="false">IF(OR($B51="",J$5=""),"",IF(SUMPRODUCT(MAX((İzinler!$A$5:$A$504=$B51)*(İzinler!$C$5:$C$504&lt;=J$5)*(İzinler!$D$5:$D$504&gt;=J$5)*ROW(İzinler!$A$5:$A$504)))=0,"",LEFT(SUBSTITUTE(SUBSTITUTE(INDEX(İzinler!$B$1:$B$504,SUMPRODUCT(MAX((İzinler!$A$5:$A$504=$B51)*(İzinler!$C$5:$C$504&lt;=J$5)*(İzinler!$D$5:$D$504&gt;=J$5)*ROW(İzinler!$A$5:$A$504)))),"Yıllık izin","İ"),"Ücretsiz izin","Ü"),1)))</f>
        <v/>
      </c>
      <c r="K51" s="20" t="str">
        <f aca="false">IF(OR($B51="",K$5=""),"",IF(SUMPRODUCT(MAX((İzinler!$A$5:$A$504=$B51)*(İzinler!$C$5:$C$504&lt;=K$5)*(İzinler!$D$5:$D$504&gt;=K$5)*ROW(İzinler!$A$5:$A$504)))=0,"",LEFT(SUBSTITUTE(SUBSTITUTE(INDEX(İzinler!$B$1:$B$504,SUMPRODUCT(MAX((İzinler!$A$5:$A$504=$B51)*(İzinler!$C$5:$C$504&lt;=K$5)*(İzinler!$D$5:$D$504&gt;=K$5)*ROW(İzinler!$A$5:$A$504)))),"Yıllık izin","İ"),"Ücretsiz izin","Ü"),1)))</f>
        <v/>
      </c>
      <c r="L51" s="20" t="str">
        <f aca="false">IF(OR($B51="",L$5=""),"",IF(SUMPRODUCT(MAX((İzinler!$A$5:$A$504=$B51)*(İzinler!$C$5:$C$504&lt;=L$5)*(İzinler!$D$5:$D$504&gt;=L$5)*ROW(İzinler!$A$5:$A$504)))=0,"",LEFT(SUBSTITUTE(SUBSTITUTE(INDEX(İzinler!$B$1:$B$504,SUMPRODUCT(MAX((İzinler!$A$5:$A$504=$B51)*(İzinler!$C$5:$C$504&lt;=L$5)*(İzinler!$D$5:$D$504&gt;=L$5)*ROW(İzinler!$A$5:$A$504)))),"Yıllık izin","İ"),"Ücretsiz izin","Ü"),1)))</f>
        <v/>
      </c>
      <c r="M51" s="20" t="str">
        <f aca="false">IF(OR($B51="",M$5=""),"",IF(SUMPRODUCT(MAX((İzinler!$A$5:$A$504=$B51)*(İzinler!$C$5:$C$504&lt;=M$5)*(İzinler!$D$5:$D$504&gt;=M$5)*ROW(İzinler!$A$5:$A$504)))=0,"",LEFT(SUBSTITUTE(SUBSTITUTE(INDEX(İzinler!$B$1:$B$504,SUMPRODUCT(MAX((İzinler!$A$5:$A$504=$B51)*(İzinler!$C$5:$C$504&lt;=M$5)*(İzinler!$D$5:$D$504&gt;=M$5)*ROW(İzinler!$A$5:$A$504)))),"Yıllık izin","İ"),"Ücretsiz izin","Ü"),1)))</f>
        <v/>
      </c>
      <c r="N51" s="20" t="str">
        <f aca="false">IF(OR($B51="",N$5=""),"",IF(SUMPRODUCT(MAX((İzinler!$A$5:$A$504=$B51)*(İzinler!$C$5:$C$504&lt;=N$5)*(İzinler!$D$5:$D$504&gt;=N$5)*ROW(İzinler!$A$5:$A$504)))=0,"",LEFT(SUBSTITUTE(SUBSTITUTE(INDEX(İzinler!$B$1:$B$504,SUMPRODUCT(MAX((İzinler!$A$5:$A$504=$B51)*(İzinler!$C$5:$C$504&lt;=N$5)*(İzinler!$D$5:$D$504&gt;=N$5)*ROW(İzinler!$A$5:$A$504)))),"Yıllık izin","İ"),"Ücretsiz izin","Ü"),1)))</f>
        <v/>
      </c>
      <c r="O51" s="20" t="str">
        <f aca="false">IF(OR($B51="",O$5=""),"",IF(SUMPRODUCT(MAX((İzinler!$A$5:$A$504=$B51)*(İzinler!$C$5:$C$504&lt;=O$5)*(İzinler!$D$5:$D$504&gt;=O$5)*ROW(İzinler!$A$5:$A$504)))=0,"",LEFT(SUBSTITUTE(SUBSTITUTE(INDEX(İzinler!$B$1:$B$504,SUMPRODUCT(MAX((İzinler!$A$5:$A$504=$B51)*(İzinler!$C$5:$C$504&lt;=O$5)*(İzinler!$D$5:$D$504&gt;=O$5)*ROW(İzinler!$A$5:$A$504)))),"Yıllık izin","İ"),"Ücretsiz izin","Ü"),1)))</f>
        <v/>
      </c>
      <c r="P51" s="20" t="str">
        <f aca="false">IF(OR($B51="",P$5=""),"",IF(SUMPRODUCT(MAX((İzinler!$A$5:$A$504=$B51)*(İzinler!$C$5:$C$504&lt;=P$5)*(İzinler!$D$5:$D$504&gt;=P$5)*ROW(İzinler!$A$5:$A$504)))=0,"",LEFT(SUBSTITUTE(SUBSTITUTE(INDEX(İzinler!$B$1:$B$504,SUMPRODUCT(MAX((İzinler!$A$5:$A$504=$B51)*(İzinler!$C$5:$C$504&lt;=P$5)*(İzinler!$D$5:$D$504&gt;=P$5)*ROW(İzinler!$A$5:$A$504)))),"Yıllık izin","İ"),"Ücretsiz izin","Ü"),1)))</f>
        <v/>
      </c>
      <c r="Q51" s="20" t="str">
        <f aca="false">IF(OR($B51="",Q$5=""),"",IF(SUMPRODUCT(MAX((İzinler!$A$5:$A$504=$B51)*(İzinler!$C$5:$C$504&lt;=Q$5)*(İzinler!$D$5:$D$504&gt;=Q$5)*ROW(İzinler!$A$5:$A$504)))=0,"",LEFT(SUBSTITUTE(SUBSTITUTE(INDEX(İzinler!$B$1:$B$504,SUMPRODUCT(MAX((İzinler!$A$5:$A$504=$B51)*(İzinler!$C$5:$C$504&lt;=Q$5)*(İzinler!$D$5:$D$504&gt;=Q$5)*ROW(İzinler!$A$5:$A$504)))),"Yıllık izin","İ"),"Ücretsiz izin","Ü"),1)))</f>
        <v/>
      </c>
      <c r="R51" s="20" t="str">
        <f aca="false">IF(OR($B51="",R$5=""),"",IF(SUMPRODUCT(MAX((İzinler!$A$5:$A$504=$B51)*(İzinler!$C$5:$C$504&lt;=R$5)*(İzinler!$D$5:$D$504&gt;=R$5)*ROW(İzinler!$A$5:$A$504)))=0,"",LEFT(SUBSTITUTE(SUBSTITUTE(INDEX(İzinler!$B$1:$B$504,SUMPRODUCT(MAX((İzinler!$A$5:$A$504=$B51)*(İzinler!$C$5:$C$504&lt;=R$5)*(İzinler!$D$5:$D$504&gt;=R$5)*ROW(İzinler!$A$5:$A$504)))),"Yıllık izin","İ"),"Ücretsiz izin","Ü"),1)))</f>
        <v/>
      </c>
      <c r="S51" s="20" t="str">
        <f aca="false">IF(OR($B51="",S$5=""),"",IF(SUMPRODUCT(MAX((İzinler!$A$5:$A$504=$B51)*(İzinler!$C$5:$C$504&lt;=S$5)*(İzinler!$D$5:$D$504&gt;=S$5)*ROW(İzinler!$A$5:$A$504)))=0,"",LEFT(SUBSTITUTE(SUBSTITUTE(INDEX(İzinler!$B$1:$B$504,SUMPRODUCT(MAX((İzinler!$A$5:$A$504=$B51)*(İzinler!$C$5:$C$504&lt;=S$5)*(İzinler!$D$5:$D$504&gt;=S$5)*ROW(İzinler!$A$5:$A$504)))),"Yıllık izin","İ"),"Ücretsiz izin","Ü"),1)))</f>
        <v/>
      </c>
      <c r="T51" s="20" t="str">
        <f aca="false">IF(OR($B51="",T$5=""),"",IF(SUMPRODUCT(MAX((İzinler!$A$5:$A$504=$B51)*(İzinler!$C$5:$C$504&lt;=T$5)*(İzinler!$D$5:$D$504&gt;=T$5)*ROW(İzinler!$A$5:$A$504)))=0,"",LEFT(SUBSTITUTE(SUBSTITUTE(INDEX(İzinler!$B$1:$B$504,SUMPRODUCT(MAX((İzinler!$A$5:$A$504=$B51)*(İzinler!$C$5:$C$504&lt;=T$5)*(İzinler!$D$5:$D$504&gt;=T$5)*ROW(İzinler!$A$5:$A$504)))),"Yıllık izin","İ"),"Ücretsiz izin","Ü"),1)))</f>
        <v/>
      </c>
      <c r="U51" s="20" t="str">
        <f aca="false">IF(OR($B51="",U$5=""),"",IF(SUMPRODUCT(MAX((İzinler!$A$5:$A$504=$B51)*(İzinler!$C$5:$C$504&lt;=U$5)*(İzinler!$D$5:$D$504&gt;=U$5)*ROW(İzinler!$A$5:$A$504)))=0,"",LEFT(SUBSTITUTE(SUBSTITUTE(INDEX(İzinler!$B$1:$B$504,SUMPRODUCT(MAX((İzinler!$A$5:$A$504=$B51)*(İzinler!$C$5:$C$504&lt;=U$5)*(İzinler!$D$5:$D$504&gt;=U$5)*ROW(İzinler!$A$5:$A$504)))),"Yıllık izin","İ"),"Ücretsiz izin","Ü"),1)))</f>
        <v/>
      </c>
      <c r="V51" s="20" t="str">
        <f aca="false">IF(OR($B51="",V$5=""),"",IF(SUMPRODUCT(MAX((İzinler!$A$5:$A$504=$B51)*(İzinler!$C$5:$C$504&lt;=V$5)*(İzinler!$D$5:$D$504&gt;=V$5)*ROW(İzinler!$A$5:$A$504)))=0,"",LEFT(SUBSTITUTE(SUBSTITUTE(INDEX(İzinler!$B$1:$B$504,SUMPRODUCT(MAX((İzinler!$A$5:$A$504=$B51)*(İzinler!$C$5:$C$504&lt;=V$5)*(İzinler!$D$5:$D$504&gt;=V$5)*ROW(İzinler!$A$5:$A$504)))),"Yıllık izin","İ"),"Ücretsiz izin","Ü"),1)))</f>
        <v/>
      </c>
      <c r="W51" s="20" t="str">
        <f aca="false">IF(OR($B51="",W$5=""),"",IF(SUMPRODUCT(MAX((İzinler!$A$5:$A$504=$B51)*(İzinler!$C$5:$C$504&lt;=W$5)*(İzinler!$D$5:$D$504&gt;=W$5)*ROW(İzinler!$A$5:$A$504)))=0,"",LEFT(SUBSTITUTE(SUBSTITUTE(INDEX(İzinler!$B$1:$B$504,SUMPRODUCT(MAX((İzinler!$A$5:$A$504=$B51)*(İzinler!$C$5:$C$504&lt;=W$5)*(İzinler!$D$5:$D$504&gt;=W$5)*ROW(İzinler!$A$5:$A$504)))),"Yıllık izin","İ"),"Ücretsiz izin","Ü"),1)))</f>
        <v/>
      </c>
      <c r="X51" s="20" t="str">
        <f aca="false">IF(OR($B51="",X$5=""),"",IF(SUMPRODUCT(MAX((İzinler!$A$5:$A$504=$B51)*(İzinler!$C$5:$C$504&lt;=X$5)*(İzinler!$D$5:$D$504&gt;=X$5)*ROW(İzinler!$A$5:$A$504)))=0,"",LEFT(SUBSTITUTE(SUBSTITUTE(INDEX(İzinler!$B$1:$B$504,SUMPRODUCT(MAX((İzinler!$A$5:$A$504=$B51)*(İzinler!$C$5:$C$504&lt;=X$5)*(İzinler!$D$5:$D$504&gt;=X$5)*ROW(İzinler!$A$5:$A$504)))),"Yıllık izin","İ"),"Ücretsiz izin","Ü"),1)))</f>
        <v/>
      </c>
      <c r="Y51" s="20" t="str">
        <f aca="false">IF(OR($B51="",Y$5=""),"",IF(SUMPRODUCT(MAX((İzinler!$A$5:$A$504=$B51)*(İzinler!$C$5:$C$504&lt;=Y$5)*(İzinler!$D$5:$D$504&gt;=Y$5)*ROW(İzinler!$A$5:$A$504)))=0,"",LEFT(SUBSTITUTE(SUBSTITUTE(INDEX(İzinler!$B$1:$B$504,SUMPRODUCT(MAX((İzinler!$A$5:$A$504=$B51)*(İzinler!$C$5:$C$504&lt;=Y$5)*(İzinler!$D$5:$D$504&gt;=Y$5)*ROW(İzinler!$A$5:$A$504)))),"Yıllık izin","İ"),"Ücretsiz izin","Ü"),1)))</f>
        <v/>
      </c>
      <c r="Z51" s="20" t="str">
        <f aca="false">IF(OR($B51="",Z$5=""),"",IF(SUMPRODUCT(MAX((İzinler!$A$5:$A$504=$B51)*(İzinler!$C$5:$C$504&lt;=Z$5)*(İzinler!$D$5:$D$504&gt;=Z$5)*ROW(İzinler!$A$5:$A$504)))=0,"",LEFT(SUBSTITUTE(SUBSTITUTE(INDEX(İzinler!$B$1:$B$504,SUMPRODUCT(MAX((İzinler!$A$5:$A$504=$B51)*(İzinler!$C$5:$C$504&lt;=Z$5)*(İzinler!$D$5:$D$504&gt;=Z$5)*ROW(İzinler!$A$5:$A$504)))),"Yıllık izin","İ"),"Ücretsiz izin","Ü"),1)))</f>
        <v/>
      </c>
      <c r="AA51" s="20" t="str">
        <f aca="false">IF(OR($B51="",AA$5=""),"",IF(SUMPRODUCT(MAX((İzinler!$A$5:$A$504=$B51)*(İzinler!$C$5:$C$504&lt;=AA$5)*(İzinler!$D$5:$D$504&gt;=AA$5)*ROW(İzinler!$A$5:$A$504)))=0,"",LEFT(SUBSTITUTE(SUBSTITUTE(INDEX(İzinler!$B$1:$B$504,SUMPRODUCT(MAX((İzinler!$A$5:$A$504=$B51)*(İzinler!$C$5:$C$504&lt;=AA$5)*(İzinler!$D$5:$D$504&gt;=AA$5)*ROW(İzinler!$A$5:$A$504)))),"Yıllık izin","İ"),"Ücretsiz izin","Ü"),1)))</f>
        <v/>
      </c>
      <c r="AB51" s="20" t="str">
        <f aca="false">IF(OR($B51="",AB$5=""),"",IF(SUMPRODUCT(MAX((İzinler!$A$5:$A$504=$B51)*(İzinler!$C$5:$C$504&lt;=AB$5)*(İzinler!$D$5:$D$504&gt;=AB$5)*ROW(İzinler!$A$5:$A$504)))=0,"",LEFT(SUBSTITUTE(SUBSTITUTE(INDEX(İzinler!$B$1:$B$504,SUMPRODUCT(MAX((İzinler!$A$5:$A$504=$B51)*(İzinler!$C$5:$C$504&lt;=AB$5)*(İzinler!$D$5:$D$504&gt;=AB$5)*ROW(İzinler!$A$5:$A$504)))),"Yıllık izin","İ"),"Ücretsiz izin","Ü"),1)))</f>
        <v/>
      </c>
      <c r="AC51" s="20" t="str">
        <f aca="false">IF(OR($B51="",AC$5=""),"",IF(SUMPRODUCT(MAX((İzinler!$A$5:$A$504=$B51)*(İzinler!$C$5:$C$504&lt;=AC$5)*(İzinler!$D$5:$D$504&gt;=AC$5)*ROW(İzinler!$A$5:$A$504)))=0,"",LEFT(SUBSTITUTE(SUBSTITUTE(INDEX(İzinler!$B$1:$B$504,SUMPRODUCT(MAX((İzinler!$A$5:$A$504=$B51)*(İzinler!$C$5:$C$504&lt;=AC$5)*(İzinler!$D$5:$D$504&gt;=AC$5)*ROW(İzinler!$A$5:$A$504)))),"Yıllık izin","İ"),"Ücretsiz izin","Ü"),1)))</f>
        <v/>
      </c>
      <c r="AD51" s="20" t="str">
        <f aca="false">IF(OR($B51="",AD$5=""),"",IF(SUMPRODUCT(MAX((İzinler!$A$5:$A$504=$B51)*(İzinler!$C$5:$C$504&lt;=AD$5)*(İzinler!$D$5:$D$504&gt;=AD$5)*ROW(İzinler!$A$5:$A$504)))=0,"",LEFT(SUBSTITUTE(SUBSTITUTE(INDEX(İzinler!$B$1:$B$504,SUMPRODUCT(MAX((İzinler!$A$5:$A$504=$B51)*(İzinler!$C$5:$C$504&lt;=AD$5)*(İzinler!$D$5:$D$504&gt;=AD$5)*ROW(İzinler!$A$5:$A$504)))),"Yıllık izin","İ"),"Ücretsiz izin","Ü"),1)))</f>
        <v/>
      </c>
      <c r="AE51" s="20" t="str">
        <f aca="false">IF(OR($B51="",AE$5=""),"",IF(SUMPRODUCT(MAX((İzinler!$A$5:$A$504=$B51)*(İzinler!$C$5:$C$504&lt;=AE$5)*(İzinler!$D$5:$D$504&gt;=AE$5)*ROW(İzinler!$A$5:$A$504)))=0,"",LEFT(SUBSTITUTE(SUBSTITUTE(INDEX(İzinler!$B$1:$B$504,SUMPRODUCT(MAX((İzinler!$A$5:$A$504=$B51)*(İzinler!$C$5:$C$504&lt;=AE$5)*(İzinler!$D$5:$D$504&gt;=AE$5)*ROW(İzinler!$A$5:$A$504)))),"Yıllık izin","İ"),"Ücretsiz izin","Ü"),1)))</f>
        <v/>
      </c>
      <c r="AF51" s="20" t="str">
        <f aca="false">IF(OR($B51="",AF$5=""),"",IF(SUMPRODUCT(MAX((İzinler!$A$5:$A$504=$B51)*(İzinler!$C$5:$C$504&lt;=AF$5)*(İzinler!$D$5:$D$504&gt;=AF$5)*ROW(İzinler!$A$5:$A$504)))=0,"",LEFT(SUBSTITUTE(SUBSTITUTE(INDEX(İzinler!$B$1:$B$504,SUMPRODUCT(MAX((İzinler!$A$5:$A$504=$B51)*(İzinler!$C$5:$C$504&lt;=AF$5)*(İzinler!$D$5:$D$504&gt;=AF$5)*ROW(İzinler!$A$5:$A$504)))),"Yıllık izin","İ"),"Ücretsiz izin","Ü"),1)))</f>
        <v/>
      </c>
      <c r="AG51" s="20" t="str">
        <f aca="false">IF(OR($B51="",AG$5=""),"",IF(SUMPRODUCT(MAX((İzinler!$A$5:$A$504=$B51)*(İzinler!$C$5:$C$504&lt;=AG$5)*(İzinler!$D$5:$D$504&gt;=AG$5)*ROW(İzinler!$A$5:$A$504)))=0,"",LEFT(SUBSTITUTE(SUBSTITUTE(INDEX(İzinler!$B$1:$B$504,SUMPRODUCT(MAX((İzinler!$A$5:$A$504=$B51)*(İzinler!$C$5:$C$504&lt;=AG$5)*(İzinler!$D$5:$D$504&gt;=AG$5)*ROW(İzinler!$A$5:$A$504)))),"Yıllık izin","İ"),"Ücretsiz izin","Ü"),1)))</f>
        <v/>
      </c>
      <c r="AH51" s="21" t="str">
        <f aca="false">IF(B51="","",COUNTIF(C51:AG51,"?"))</f>
        <v/>
      </c>
    </row>
    <row r="52" customFormat="false" ht="15" hidden="false" customHeight="false" outlineLevel="0" collapsed="false">
      <c r="B52" s="16" t="str">
        <f aca="false">IF(Personel!A51="","",Personel!A51)</f>
        <v/>
      </c>
      <c r="C52" s="20" t="str">
        <f aca="false">IF(OR($B52="",C$5=""),"",IF(SUMPRODUCT(MAX((İzinler!$A$5:$A$504=$B52)*(İzinler!$C$5:$C$504&lt;=C$5)*(İzinler!$D$5:$D$504&gt;=C$5)*ROW(İzinler!$A$5:$A$504)))=0,"",LEFT(SUBSTITUTE(SUBSTITUTE(INDEX(İzinler!$B$1:$B$504,SUMPRODUCT(MAX((İzinler!$A$5:$A$504=$B52)*(İzinler!$C$5:$C$504&lt;=C$5)*(İzinler!$D$5:$D$504&gt;=C$5)*ROW(İzinler!$A$5:$A$504)))),"Yıllık izin","İ"),"Ücretsiz izin","Ü"),1)))</f>
        <v/>
      </c>
      <c r="D52" s="20" t="str">
        <f aca="false">IF(OR($B52="",D$5=""),"",IF(SUMPRODUCT(MAX((İzinler!$A$5:$A$504=$B52)*(İzinler!$C$5:$C$504&lt;=D$5)*(İzinler!$D$5:$D$504&gt;=D$5)*ROW(İzinler!$A$5:$A$504)))=0,"",LEFT(SUBSTITUTE(SUBSTITUTE(INDEX(İzinler!$B$1:$B$504,SUMPRODUCT(MAX((İzinler!$A$5:$A$504=$B52)*(İzinler!$C$5:$C$504&lt;=D$5)*(İzinler!$D$5:$D$504&gt;=D$5)*ROW(İzinler!$A$5:$A$504)))),"Yıllık izin","İ"),"Ücretsiz izin","Ü"),1)))</f>
        <v/>
      </c>
      <c r="E52" s="20" t="str">
        <f aca="false">IF(OR($B52="",E$5=""),"",IF(SUMPRODUCT(MAX((İzinler!$A$5:$A$504=$B52)*(İzinler!$C$5:$C$504&lt;=E$5)*(İzinler!$D$5:$D$504&gt;=E$5)*ROW(İzinler!$A$5:$A$504)))=0,"",LEFT(SUBSTITUTE(SUBSTITUTE(INDEX(İzinler!$B$1:$B$504,SUMPRODUCT(MAX((İzinler!$A$5:$A$504=$B52)*(İzinler!$C$5:$C$504&lt;=E$5)*(İzinler!$D$5:$D$504&gt;=E$5)*ROW(İzinler!$A$5:$A$504)))),"Yıllık izin","İ"),"Ücretsiz izin","Ü"),1)))</f>
        <v/>
      </c>
      <c r="F52" s="20" t="str">
        <f aca="false">IF(OR($B52="",F$5=""),"",IF(SUMPRODUCT(MAX((İzinler!$A$5:$A$504=$B52)*(İzinler!$C$5:$C$504&lt;=F$5)*(İzinler!$D$5:$D$504&gt;=F$5)*ROW(İzinler!$A$5:$A$504)))=0,"",LEFT(SUBSTITUTE(SUBSTITUTE(INDEX(İzinler!$B$1:$B$504,SUMPRODUCT(MAX((İzinler!$A$5:$A$504=$B52)*(İzinler!$C$5:$C$504&lt;=F$5)*(İzinler!$D$5:$D$504&gt;=F$5)*ROW(İzinler!$A$5:$A$504)))),"Yıllık izin","İ"),"Ücretsiz izin","Ü"),1)))</f>
        <v/>
      </c>
      <c r="G52" s="20" t="str">
        <f aca="false">IF(OR($B52="",G$5=""),"",IF(SUMPRODUCT(MAX((İzinler!$A$5:$A$504=$B52)*(İzinler!$C$5:$C$504&lt;=G$5)*(İzinler!$D$5:$D$504&gt;=G$5)*ROW(İzinler!$A$5:$A$504)))=0,"",LEFT(SUBSTITUTE(SUBSTITUTE(INDEX(İzinler!$B$1:$B$504,SUMPRODUCT(MAX((İzinler!$A$5:$A$504=$B52)*(İzinler!$C$5:$C$504&lt;=G$5)*(İzinler!$D$5:$D$504&gt;=G$5)*ROW(İzinler!$A$5:$A$504)))),"Yıllık izin","İ"),"Ücretsiz izin","Ü"),1)))</f>
        <v/>
      </c>
      <c r="H52" s="20" t="str">
        <f aca="false">IF(OR($B52="",H$5=""),"",IF(SUMPRODUCT(MAX((İzinler!$A$5:$A$504=$B52)*(İzinler!$C$5:$C$504&lt;=H$5)*(İzinler!$D$5:$D$504&gt;=H$5)*ROW(İzinler!$A$5:$A$504)))=0,"",LEFT(SUBSTITUTE(SUBSTITUTE(INDEX(İzinler!$B$1:$B$504,SUMPRODUCT(MAX((İzinler!$A$5:$A$504=$B52)*(İzinler!$C$5:$C$504&lt;=H$5)*(İzinler!$D$5:$D$504&gt;=H$5)*ROW(İzinler!$A$5:$A$504)))),"Yıllık izin","İ"),"Ücretsiz izin","Ü"),1)))</f>
        <v/>
      </c>
      <c r="I52" s="20" t="str">
        <f aca="false">IF(OR($B52="",I$5=""),"",IF(SUMPRODUCT(MAX((İzinler!$A$5:$A$504=$B52)*(İzinler!$C$5:$C$504&lt;=I$5)*(İzinler!$D$5:$D$504&gt;=I$5)*ROW(İzinler!$A$5:$A$504)))=0,"",LEFT(SUBSTITUTE(SUBSTITUTE(INDEX(İzinler!$B$1:$B$504,SUMPRODUCT(MAX((İzinler!$A$5:$A$504=$B52)*(İzinler!$C$5:$C$504&lt;=I$5)*(İzinler!$D$5:$D$504&gt;=I$5)*ROW(İzinler!$A$5:$A$504)))),"Yıllık izin","İ"),"Ücretsiz izin","Ü"),1)))</f>
        <v/>
      </c>
      <c r="J52" s="20" t="str">
        <f aca="false">IF(OR($B52="",J$5=""),"",IF(SUMPRODUCT(MAX((İzinler!$A$5:$A$504=$B52)*(İzinler!$C$5:$C$504&lt;=J$5)*(İzinler!$D$5:$D$504&gt;=J$5)*ROW(İzinler!$A$5:$A$504)))=0,"",LEFT(SUBSTITUTE(SUBSTITUTE(INDEX(İzinler!$B$1:$B$504,SUMPRODUCT(MAX((İzinler!$A$5:$A$504=$B52)*(İzinler!$C$5:$C$504&lt;=J$5)*(İzinler!$D$5:$D$504&gt;=J$5)*ROW(İzinler!$A$5:$A$504)))),"Yıllık izin","İ"),"Ücretsiz izin","Ü"),1)))</f>
        <v/>
      </c>
      <c r="K52" s="20" t="str">
        <f aca="false">IF(OR($B52="",K$5=""),"",IF(SUMPRODUCT(MAX((İzinler!$A$5:$A$504=$B52)*(İzinler!$C$5:$C$504&lt;=K$5)*(İzinler!$D$5:$D$504&gt;=K$5)*ROW(İzinler!$A$5:$A$504)))=0,"",LEFT(SUBSTITUTE(SUBSTITUTE(INDEX(İzinler!$B$1:$B$504,SUMPRODUCT(MAX((İzinler!$A$5:$A$504=$B52)*(İzinler!$C$5:$C$504&lt;=K$5)*(İzinler!$D$5:$D$504&gt;=K$5)*ROW(İzinler!$A$5:$A$504)))),"Yıllık izin","İ"),"Ücretsiz izin","Ü"),1)))</f>
        <v/>
      </c>
      <c r="L52" s="20" t="str">
        <f aca="false">IF(OR($B52="",L$5=""),"",IF(SUMPRODUCT(MAX((İzinler!$A$5:$A$504=$B52)*(İzinler!$C$5:$C$504&lt;=L$5)*(İzinler!$D$5:$D$504&gt;=L$5)*ROW(İzinler!$A$5:$A$504)))=0,"",LEFT(SUBSTITUTE(SUBSTITUTE(INDEX(İzinler!$B$1:$B$504,SUMPRODUCT(MAX((İzinler!$A$5:$A$504=$B52)*(İzinler!$C$5:$C$504&lt;=L$5)*(İzinler!$D$5:$D$504&gt;=L$5)*ROW(İzinler!$A$5:$A$504)))),"Yıllık izin","İ"),"Ücretsiz izin","Ü"),1)))</f>
        <v/>
      </c>
      <c r="M52" s="20" t="str">
        <f aca="false">IF(OR($B52="",M$5=""),"",IF(SUMPRODUCT(MAX((İzinler!$A$5:$A$504=$B52)*(İzinler!$C$5:$C$504&lt;=M$5)*(İzinler!$D$5:$D$504&gt;=M$5)*ROW(İzinler!$A$5:$A$504)))=0,"",LEFT(SUBSTITUTE(SUBSTITUTE(INDEX(İzinler!$B$1:$B$504,SUMPRODUCT(MAX((İzinler!$A$5:$A$504=$B52)*(İzinler!$C$5:$C$504&lt;=M$5)*(İzinler!$D$5:$D$504&gt;=M$5)*ROW(İzinler!$A$5:$A$504)))),"Yıllık izin","İ"),"Ücretsiz izin","Ü"),1)))</f>
        <v/>
      </c>
      <c r="N52" s="20" t="str">
        <f aca="false">IF(OR($B52="",N$5=""),"",IF(SUMPRODUCT(MAX((İzinler!$A$5:$A$504=$B52)*(İzinler!$C$5:$C$504&lt;=N$5)*(İzinler!$D$5:$D$504&gt;=N$5)*ROW(İzinler!$A$5:$A$504)))=0,"",LEFT(SUBSTITUTE(SUBSTITUTE(INDEX(İzinler!$B$1:$B$504,SUMPRODUCT(MAX((İzinler!$A$5:$A$504=$B52)*(İzinler!$C$5:$C$504&lt;=N$5)*(İzinler!$D$5:$D$504&gt;=N$5)*ROW(İzinler!$A$5:$A$504)))),"Yıllık izin","İ"),"Ücretsiz izin","Ü"),1)))</f>
        <v/>
      </c>
      <c r="O52" s="20" t="str">
        <f aca="false">IF(OR($B52="",O$5=""),"",IF(SUMPRODUCT(MAX((İzinler!$A$5:$A$504=$B52)*(İzinler!$C$5:$C$504&lt;=O$5)*(İzinler!$D$5:$D$504&gt;=O$5)*ROW(İzinler!$A$5:$A$504)))=0,"",LEFT(SUBSTITUTE(SUBSTITUTE(INDEX(İzinler!$B$1:$B$504,SUMPRODUCT(MAX((İzinler!$A$5:$A$504=$B52)*(İzinler!$C$5:$C$504&lt;=O$5)*(İzinler!$D$5:$D$504&gt;=O$5)*ROW(İzinler!$A$5:$A$504)))),"Yıllık izin","İ"),"Ücretsiz izin","Ü"),1)))</f>
        <v/>
      </c>
      <c r="P52" s="20" t="str">
        <f aca="false">IF(OR($B52="",P$5=""),"",IF(SUMPRODUCT(MAX((İzinler!$A$5:$A$504=$B52)*(İzinler!$C$5:$C$504&lt;=P$5)*(İzinler!$D$5:$D$504&gt;=P$5)*ROW(İzinler!$A$5:$A$504)))=0,"",LEFT(SUBSTITUTE(SUBSTITUTE(INDEX(İzinler!$B$1:$B$504,SUMPRODUCT(MAX((İzinler!$A$5:$A$504=$B52)*(İzinler!$C$5:$C$504&lt;=P$5)*(İzinler!$D$5:$D$504&gt;=P$5)*ROW(İzinler!$A$5:$A$504)))),"Yıllık izin","İ"),"Ücretsiz izin","Ü"),1)))</f>
        <v/>
      </c>
      <c r="Q52" s="20" t="str">
        <f aca="false">IF(OR($B52="",Q$5=""),"",IF(SUMPRODUCT(MAX((İzinler!$A$5:$A$504=$B52)*(İzinler!$C$5:$C$504&lt;=Q$5)*(İzinler!$D$5:$D$504&gt;=Q$5)*ROW(İzinler!$A$5:$A$504)))=0,"",LEFT(SUBSTITUTE(SUBSTITUTE(INDEX(İzinler!$B$1:$B$504,SUMPRODUCT(MAX((İzinler!$A$5:$A$504=$B52)*(İzinler!$C$5:$C$504&lt;=Q$5)*(İzinler!$D$5:$D$504&gt;=Q$5)*ROW(İzinler!$A$5:$A$504)))),"Yıllık izin","İ"),"Ücretsiz izin","Ü"),1)))</f>
        <v/>
      </c>
      <c r="R52" s="20" t="str">
        <f aca="false">IF(OR($B52="",R$5=""),"",IF(SUMPRODUCT(MAX((İzinler!$A$5:$A$504=$B52)*(İzinler!$C$5:$C$504&lt;=R$5)*(İzinler!$D$5:$D$504&gt;=R$5)*ROW(İzinler!$A$5:$A$504)))=0,"",LEFT(SUBSTITUTE(SUBSTITUTE(INDEX(İzinler!$B$1:$B$504,SUMPRODUCT(MAX((İzinler!$A$5:$A$504=$B52)*(İzinler!$C$5:$C$504&lt;=R$5)*(İzinler!$D$5:$D$504&gt;=R$5)*ROW(İzinler!$A$5:$A$504)))),"Yıllık izin","İ"),"Ücretsiz izin","Ü"),1)))</f>
        <v/>
      </c>
      <c r="S52" s="20" t="str">
        <f aca="false">IF(OR($B52="",S$5=""),"",IF(SUMPRODUCT(MAX((İzinler!$A$5:$A$504=$B52)*(İzinler!$C$5:$C$504&lt;=S$5)*(İzinler!$D$5:$D$504&gt;=S$5)*ROW(İzinler!$A$5:$A$504)))=0,"",LEFT(SUBSTITUTE(SUBSTITUTE(INDEX(İzinler!$B$1:$B$504,SUMPRODUCT(MAX((İzinler!$A$5:$A$504=$B52)*(İzinler!$C$5:$C$504&lt;=S$5)*(İzinler!$D$5:$D$504&gt;=S$5)*ROW(İzinler!$A$5:$A$504)))),"Yıllık izin","İ"),"Ücretsiz izin","Ü"),1)))</f>
        <v/>
      </c>
      <c r="T52" s="20" t="str">
        <f aca="false">IF(OR($B52="",T$5=""),"",IF(SUMPRODUCT(MAX((İzinler!$A$5:$A$504=$B52)*(İzinler!$C$5:$C$504&lt;=T$5)*(İzinler!$D$5:$D$504&gt;=T$5)*ROW(İzinler!$A$5:$A$504)))=0,"",LEFT(SUBSTITUTE(SUBSTITUTE(INDEX(İzinler!$B$1:$B$504,SUMPRODUCT(MAX((İzinler!$A$5:$A$504=$B52)*(İzinler!$C$5:$C$504&lt;=T$5)*(İzinler!$D$5:$D$504&gt;=T$5)*ROW(İzinler!$A$5:$A$504)))),"Yıllık izin","İ"),"Ücretsiz izin","Ü"),1)))</f>
        <v/>
      </c>
      <c r="U52" s="20" t="str">
        <f aca="false">IF(OR($B52="",U$5=""),"",IF(SUMPRODUCT(MAX((İzinler!$A$5:$A$504=$B52)*(İzinler!$C$5:$C$504&lt;=U$5)*(İzinler!$D$5:$D$504&gt;=U$5)*ROW(İzinler!$A$5:$A$504)))=0,"",LEFT(SUBSTITUTE(SUBSTITUTE(INDEX(İzinler!$B$1:$B$504,SUMPRODUCT(MAX((İzinler!$A$5:$A$504=$B52)*(İzinler!$C$5:$C$504&lt;=U$5)*(İzinler!$D$5:$D$504&gt;=U$5)*ROW(İzinler!$A$5:$A$504)))),"Yıllık izin","İ"),"Ücretsiz izin","Ü"),1)))</f>
        <v/>
      </c>
      <c r="V52" s="20" t="str">
        <f aca="false">IF(OR($B52="",V$5=""),"",IF(SUMPRODUCT(MAX((İzinler!$A$5:$A$504=$B52)*(İzinler!$C$5:$C$504&lt;=V$5)*(İzinler!$D$5:$D$504&gt;=V$5)*ROW(İzinler!$A$5:$A$504)))=0,"",LEFT(SUBSTITUTE(SUBSTITUTE(INDEX(İzinler!$B$1:$B$504,SUMPRODUCT(MAX((İzinler!$A$5:$A$504=$B52)*(İzinler!$C$5:$C$504&lt;=V$5)*(İzinler!$D$5:$D$504&gt;=V$5)*ROW(İzinler!$A$5:$A$504)))),"Yıllık izin","İ"),"Ücretsiz izin","Ü"),1)))</f>
        <v/>
      </c>
      <c r="W52" s="20" t="str">
        <f aca="false">IF(OR($B52="",W$5=""),"",IF(SUMPRODUCT(MAX((İzinler!$A$5:$A$504=$B52)*(İzinler!$C$5:$C$504&lt;=W$5)*(İzinler!$D$5:$D$504&gt;=W$5)*ROW(İzinler!$A$5:$A$504)))=0,"",LEFT(SUBSTITUTE(SUBSTITUTE(INDEX(İzinler!$B$1:$B$504,SUMPRODUCT(MAX((İzinler!$A$5:$A$504=$B52)*(İzinler!$C$5:$C$504&lt;=W$5)*(İzinler!$D$5:$D$504&gt;=W$5)*ROW(İzinler!$A$5:$A$504)))),"Yıllık izin","İ"),"Ücretsiz izin","Ü"),1)))</f>
        <v/>
      </c>
      <c r="X52" s="20" t="str">
        <f aca="false">IF(OR($B52="",X$5=""),"",IF(SUMPRODUCT(MAX((İzinler!$A$5:$A$504=$B52)*(İzinler!$C$5:$C$504&lt;=X$5)*(İzinler!$D$5:$D$504&gt;=X$5)*ROW(İzinler!$A$5:$A$504)))=0,"",LEFT(SUBSTITUTE(SUBSTITUTE(INDEX(İzinler!$B$1:$B$504,SUMPRODUCT(MAX((İzinler!$A$5:$A$504=$B52)*(İzinler!$C$5:$C$504&lt;=X$5)*(İzinler!$D$5:$D$504&gt;=X$5)*ROW(İzinler!$A$5:$A$504)))),"Yıllık izin","İ"),"Ücretsiz izin","Ü"),1)))</f>
        <v/>
      </c>
      <c r="Y52" s="20" t="str">
        <f aca="false">IF(OR($B52="",Y$5=""),"",IF(SUMPRODUCT(MAX((İzinler!$A$5:$A$504=$B52)*(İzinler!$C$5:$C$504&lt;=Y$5)*(İzinler!$D$5:$D$504&gt;=Y$5)*ROW(İzinler!$A$5:$A$504)))=0,"",LEFT(SUBSTITUTE(SUBSTITUTE(INDEX(İzinler!$B$1:$B$504,SUMPRODUCT(MAX((İzinler!$A$5:$A$504=$B52)*(İzinler!$C$5:$C$504&lt;=Y$5)*(İzinler!$D$5:$D$504&gt;=Y$5)*ROW(İzinler!$A$5:$A$504)))),"Yıllık izin","İ"),"Ücretsiz izin","Ü"),1)))</f>
        <v/>
      </c>
      <c r="Z52" s="20" t="str">
        <f aca="false">IF(OR($B52="",Z$5=""),"",IF(SUMPRODUCT(MAX((İzinler!$A$5:$A$504=$B52)*(İzinler!$C$5:$C$504&lt;=Z$5)*(İzinler!$D$5:$D$504&gt;=Z$5)*ROW(İzinler!$A$5:$A$504)))=0,"",LEFT(SUBSTITUTE(SUBSTITUTE(INDEX(İzinler!$B$1:$B$504,SUMPRODUCT(MAX((İzinler!$A$5:$A$504=$B52)*(İzinler!$C$5:$C$504&lt;=Z$5)*(İzinler!$D$5:$D$504&gt;=Z$5)*ROW(İzinler!$A$5:$A$504)))),"Yıllık izin","İ"),"Ücretsiz izin","Ü"),1)))</f>
        <v/>
      </c>
      <c r="AA52" s="20" t="str">
        <f aca="false">IF(OR($B52="",AA$5=""),"",IF(SUMPRODUCT(MAX((İzinler!$A$5:$A$504=$B52)*(İzinler!$C$5:$C$504&lt;=AA$5)*(İzinler!$D$5:$D$504&gt;=AA$5)*ROW(İzinler!$A$5:$A$504)))=0,"",LEFT(SUBSTITUTE(SUBSTITUTE(INDEX(İzinler!$B$1:$B$504,SUMPRODUCT(MAX((İzinler!$A$5:$A$504=$B52)*(İzinler!$C$5:$C$504&lt;=AA$5)*(İzinler!$D$5:$D$504&gt;=AA$5)*ROW(İzinler!$A$5:$A$504)))),"Yıllık izin","İ"),"Ücretsiz izin","Ü"),1)))</f>
        <v/>
      </c>
      <c r="AB52" s="20" t="str">
        <f aca="false">IF(OR($B52="",AB$5=""),"",IF(SUMPRODUCT(MAX((İzinler!$A$5:$A$504=$B52)*(İzinler!$C$5:$C$504&lt;=AB$5)*(İzinler!$D$5:$D$504&gt;=AB$5)*ROW(İzinler!$A$5:$A$504)))=0,"",LEFT(SUBSTITUTE(SUBSTITUTE(INDEX(İzinler!$B$1:$B$504,SUMPRODUCT(MAX((İzinler!$A$5:$A$504=$B52)*(İzinler!$C$5:$C$504&lt;=AB$5)*(İzinler!$D$5:$D$504&gt;=AB$5)*ROW(İzinler!$A$5:$A$504)))),"Yıllık izin","İ"),"Ücretsiz izin","Ü"),1)))</f>
        <v/>
      </c>
      <c r="AC52" s="20" t="str">
        <f aca="false">IF(OR($B52="",AC$5=""),"",IF(SUMPRODUCT(MAX((İzinler!$A$5:$A$504=$B52)*(İzinler!$C$5:$C$504&lt;=AC$5)*(İzinler!$D$5:$D$504&gt;=AC$5)*ROW(İzinler!$A$5:$A$504)))=0,"",LEFT(SUBSTITUTE(SUBSTITUTE(INDEX(İzinler!$B$1:$B$504,SUMPRODUCT(MAX((İzinler!$A$5:$A$504=$B52)*(İzinler!$C$5:$C$504&lt;=AC$5)*(İzinler!$D$5:$D$504&gt;=AC$5)*ROW(İzinler!$A$5:$A$504)))),"Yıllık izin","İ"),"Ücretsiz izin","Ü"),1)))</f>
        <v/>
      </c>
      <c r="AD52" s="20" t="str">
        <f aca="false">IF(OR($B52="",AD$5=""),"",IF(SUMPRODUCT(MAX((İzinler!$A$5:$A$504=$B52)*(İzinler!$C$5:$C$504&lt;=AD$5)*(İzinler!$D$5:$D$504&gt;=AD$5)*ROW(İzinler!$A$5:$A$504)))=0,"",LEFT(SUBSTITUTE(SUBSTITUTE(INDEX(İzinler!$B$1:$B$504,SUMPRODUCT(MAX((İzinler!$A$5:$A$504=$B52)*(İzinler!$C$5:$C$504&lt;=AD$5)*(İzinler!$D$5:$D$504&gt;=AD$5)*ROW(İzinler!$A$5:$A$504)))),"Yıllık izin","İ"),"Ücretsiz izin","Ü"),1)))</f>
        <v/>
      </c>
      <c r="AE52" s="20" t="str">
        <f aca="false">IF(OR($B52="",AE$5=""),"",IF(SUMPRODUCT(MAX((İzinler!$A$5:$A$504=$B52)*(İzinler!$C$5:$C$504&lt;=AE$5)*(İzinler!$D$5:$D$504&gt;=AE$5)*ROW(İzinler!$A$5:$A$504)))=0,"",LEFT(SUBSTITUTE(SUBSTITUTE(INDEX(İzinler!$B$1:$B$504,SUMPRODUCT(MAX((İzinler!$A$5:$A$504=$B52)*(İzinler!$C$5:$C$504&lt;=AE$5)*(İzinler!$D$5:$D$504&gt;=AE$5)*ROW(İzinler!$A$5:$A$504)))),"Yıllık izin","İ"),"Ücretsiz izin","Ü"),1)))</f>
        <v/>
      </c>
      <c r="AF52" s="20" t="str">
        <f aca="false">IF(OR($B52="",AF$5=""),"",IF(SUMPRODUCT(MAX((İzinler!$A$5:$A$504=$B52)*(İzinler!$C$5:$C$504&lt;=AF$5)*(İzinler!$D$5:$D$504&gt;=AF$5)*ROW(İzinler!$A$5:$A$504)))=0,"",LEFT(SUBSTITUTE(SUBSTITUTE(INDEX(İzinler!$B$1:$B$504,SUMPRODUCT(MAX((İzinler!$A$5:$A$504=$B52)*(İzinler!$C$5:$C$504&lt;=AF$5)*(İzinler!$D$5:$D$504&gt;=AF$5)*ROW(İzinler!$A$5:$A$504)))),"Yıllık izin","İ"),"Ücretsiz izin","Ü"),1)))</f>
        <v/>
      </c>
      <c r="AG52" s="20" t="str">
        <f aca="false">IF(OR($B52="",AG$5=""),"",IF(SUMPRODUCT(MAX((İzinler!$A$5:$A$504=$B52)*(İzinler!$C$5:$C$504&lt;=AG$5)*(İzinler!$D$5:$D$504&gt;=AG$5)*ROW(İzinler!$A$5:$A$504)))=0,"",LEFT(SUBSTITUTE(SUBSTITUTE(INDEX(İzinler!$B$1:$B$504,SUMPRODUCT(MAX((İzinler!$A$5:$A$504=$B52)*(İzinler!$C$5:$C$504&lt;=AG$5)*(İzinler!$D$5:$D$504&gt;=AG$5)*ROW(İzinler!$A$5:$A$504)))),"Yıllık izin","İ"),"Ücretsiz izin","Ü"),1)))</f>
        <v/>
      </c>
      <c r="AH52" s="21" t="str">
        <f aca="false">IF(B52="","",COUNTIF(C52:AG52,"?"))</f>
        <v/>
      </c>
    </row>
    <row r="53" customFormat="false" ht="15" hidden="false" customHeight="false" outlineLevel="0" collapsed="false">
      <c r="B53" s="16" t="str">
        <f aca="false">IF(Personel!A52="","",Personel!A52)</f>
        <v/>
      </c>
      <c r="C53" s="20" t="str">
        <f aca="false">IF(OR($B53="",C$5=""),"",IF(SUMPRODUCT(MAX((İzinler!$A$5:$A$504=$B53)*(İzinler!$C$5:$C$504&lt;=C$5)*(İzinler!$D$5:$D$504&gt;=C$5)*ROW(İzinler!$A$5:$A$504)))=0,"",LEFT(SUBSTITUTE(SUBSTITUTE(INDEX(İzinler!$B$1:$B$504,SUMPRODUCT(MAX((İzinler!$A$5:$A$504=$B53)*(İzinler!$C$5:$C$504&lt;=C$5)*(İzinler!$D$5:$D$504&gt;=C$5)*ROW(İzinler!$A$5:$A$504)))),"Yıllık izin","İ"),"Ücretsiz izin","Ü"),1)))</f>
        <v/>
      </c>
      <c r="D53" s="20" t="str">
        <f aca="false">IF(OR($B53="",D$5=""),"",IF(SUMPRODUCT(MAX((İzinler!$A$5:$A$504=$B53)*(İzinler!$C$5:$C$504&lt;=D$5)*(İzinler!$D$5:$D$504&gt;=D$5)*ROW(İzinler!$A$5:$A$504)))=0,"",LEFT(SUBSTITUTE(SUBSTITUTE(INDEX(İzinler!$B$1:$B$504,SUMPRODUCT(MAX((İzinler!$A$5:$A$504=$B53)*(İzinler!$C$5:$C$504&lt;=D$5)*(İzinler!$D$5:$D$504&gt;=D$5)*ROW(İzinler!$A$5:$A$504)))),"Yıllık izin","İ"),"Ücretsiz izin","Ü"),1)))</f>
        <v/>
      </c>
      <c r="E53" s="20" t="str">
        <f aca="false">IF(OR($B53="",E$5=""),"",IF(SUMPRODUCT(MAX((İzinler!$A$5:$A$504=$B53)*(İzinler!$C$5:$C$504&lt;=E$5)*(İzinler!$D$5:$D$504&gt;=E$5)*ROW(İzinler!$A$5:$A$504)))=0,"",LEFT(SUBSTITUTE(SUBSTITUTE(INDEX(İzinler!$B$1:$B$504,SUMPRODUCT(MAX((İzinler!$A$5:$A$504=$B53)*(İzinler!$C$5:$C$504&lt;=E$5)*(İzinler!$D$5:$D$504&gt;=E$5)*ROW(İzinler!$A$5:$A$504)))),"Yıllık izin","İ"),"Ücretsiz izin","Ü"),1)))</f>
        <v/>
      </c>
      <c r="F53" s="20" t="str">
        <f aca="false">IF(OR($B53="",F$5=""),"",IF(SUMPRODUCT(MAX((İzinler!$A$5:$A$504=$B53)*(İzinler!$C$5:$C$504&lt;=F$5)*(İzinler!$D$5:$D$504&gt;=F$5)*ROW(İzinler!$A$5:$A$504)))=0,"",LEFT(SUBSTITUTE(SUBSTITUTE(INDEX(İzinler!$B$1:$B$504,SUMPRODUCT(MAX((İzinler!$A$5:$A$504=$B53)*(İzinler!$C$5:$C$504&lt;=F$5)*(İzinler!$D$5:$D$504&gt;=F$5)*ROW(İzinler!$A$5:$A$504)))),"Yıllık izin","İ"),"Ücretsiz izin","Ü"),1)))</f>
        <v/>
      </c>
      <c r="G53" s="20" t="str">
        <f aca="false">IF(OR($B53="",G$5=""),"",IF(SUMPRODUCT(MAX((İzinler!$A$5:$A$504=$B53)*(İzinler!$C$5:$C$504&lt;=G$5)*(İzinler!$D$5:$D$504&gt;=G$5)*ROW(İzinler!$A$5:$A$504)))=0,"",LEFT(SUBSTITUTE(SUBSTITUTE(INDEX(İzinler!$B$1:$B$504,SUMPRODUCT(MAX((İzinler!$A$5:$A$504=$B53)*(İzinler!$C$5:$C$504&lt;=G$5)*(İzinler!$D$5:$D$504&gt;=G$5)*ROW(İzinler!$A$5:$A$504)))),"Yıllık izin","İ"),"Ücretsiz izin","Ü"),1)))</f>
        <v/>
      </c>
      <c r="H53" s="20" t="str">
        <f aca="false">IF(OR($B53="",H$5=""),"",IF(SUMPRODUCT(MAX((İzinler!$A$5:$A$504=$B53)*(İzinler!$C$5:$C$504&lt;=H$5)*(İzinler!$D$5:$D$504&gt;=H$5)*ROW(İzinler!$A$5:$A$504)))=0,"",LEFT(SUBSTITUTE(SUBSTITUTE(INDEX(İzinler!$B$1:$B$504,SUMPRODUCT(MAX((İzinler!$A$5:$A$504=$B53)*(İzinler!$C$5:$C$504&lt;=H$5)*(İzinler!$D$5:$D$504&gt;=H$5)*ROW(İzinler!$A$5:$A$504)))),"Yıllık izin","İ"),"Ücretsiz izin","Ü"),1)))</f>
        <v/>
      </c>
      <c r="I53" s="20" t="str">
        <f aca="false">IF(OR($B53="",I$5=""),"",IF(SUMPRODUCT(MAX((İzinler!$A$5:$A$504=$B53)*(İzinler!$C$5:$C$504&lt;=I$5)*(İzinler!$D$5:$D$504&gt;=I$5)*ROW(İzinler!$A$5:$A$504)))=0,"",LEFT(SUBSTITUTE(SUBSTITUTE(INDEX(İzinler!$B$1:$B$504,SUMPRODUCT(MAX((İzinler!$A$5:$A$504=$B53)*(İzinler!$C$5:$C$504&lt;=I$5)*(İzinler!$D$5:$D$504&gt;=I$5)*ROW(İzinler!$A$5:$A$504)))),"Yıllık izin","İ"),"Ücretsiz izin","Ü"),1)))</f>
        <v/>
      </c>
      <c r="J53" s="20" t="str">
        <f aca="false">IF(OR($B53="",J$5=""),"",IF(SUMPRODUCT(MAX((İzinler!$A$5:$A$504=$B53)*(İzinler!$C$5:$C$504&lt;=J$5)*(İzinler!$D$5:$D$504&gt;=J$5)*ROW(İzinler!$A$5:$A$504)))=0,"",LEFT(SUBSTITUTE(SUBSTITUTE(INDEX(İzinler!$B$1:$B$504,SUMPRODUCT(MAX((İzinler!$A$5:$A$504=$B53)*(İzinler!$C$5:$C$504&lt;=J$5)*(İzinler!$D$5:$D$504&gt;=J$5)*ROW(İzinler!$A$5:$A$504)))),"Yıllık izin","İ"),"Ücretsiz izin","Ü"),1)))</f>
        <v/>
      </c>
      <c r="K53" s="20" t="str">
        <f aca="false">IF(OR($B53="",K$5=""),"",IF(SUMPRODUCT(MAX((İzinler!$A$5:$A$504=$B53)*(İzinler!$C$5:$C$504&lt;=K$5)*(İzinler!$D$5:$D$504&gt;=K$5)*ROW(İzinler!$A$5:$A$504)))=0,"",LEFT(SUBSTITUTE(SUBSTITUTE(INDEX(İzinler!$B$1:$B$504,SUMPRODUCT(MAX((İzinler!$A$5:$A$504=$B53)*(İzinler!$C$5:$C$504&lt;=K$5)*(İzinler!$D$5:$D$504&gt;=K$5)*ROW(İzinler!$A$5:$A$504)))),"Yıllık izin","İ"),"Ücretsiz izin","Ü"),1)))</f>
        <v/>
      </c>
      <c r="L53" s="20" t="str">
        <f aca="false">IF(OR($B53="",L$5=""),"",IF(SUMPRODUCT(MAX((İzinler!$A$5:$A$504=$B53)*(İzinler!$C$5:$C$504&lt;=L$5)*(İzinler!$D$5:$D$504&gt;=L$5)*ROW(İzinler!$A$5:$A$504)))=0,"",LEFT(SUBSTITUTE(SUBSTITUTE(INDEX(İzinler!$B$1:$B$504,SUMPRODUCT(MAX((İzinler!$A$5:$A$504=$B53)*(İzinler!$C$5:$C$504&lt;=L$5)*(İzinler!$D$5:$D$504&gt;=L$5)*ROW(İzinler!$A$5:$A$504)))),"Yıllık izin","İ"),"Ücretsiz izin","Ü"),1)))</f>
        <v/>
      </c>
      <c r="M53" s="20" t="str">
        <f aca="false">IF(OR($B53="",M$5=""),"",IF(SUMPRODUCT(MAX((İzinler!$A$5:$A$504=$B53)*(İzinler!$C$5:$C$504&lt;=M$5)*(İzinler!$D$5:$D$504&gt;=M$5)*ROW(İzinler!$A$5:$A$504)))=0,"",LEFT(SUBSTITUTE(SUBSTITUTE(INDEX(İzinler!$B$1:$B$504,SUMPRODUCT(MAX((İzinler!$A$5:$A$504=$B53)*(İzinler!$C$5:$C$504&lt;=M$5)*(İzinler!$D$5:$D$504&gt;=M$5)*ROW(İzinler!$A$5:$A$504)))),"Yıllık izin","İ"),"Ücretsiz izin","Ü"),1)))</f>
        <v/>
      </c>
      <c r="N53" s="20" t="str">
        <f aca="false">IF(OR($B53="",N$5=""),"",IF(SUMPRODUCT(MAX((İzinler!$A$5:$A$504=$B53)*(İzinler!$C$5:$C$504&lt;=N$5)*(İzinler!$D$5:$D$504&gt;=N$5)*ROW(İzinler!$A$5:$A$504)))=0,"",LEFT(SUBSTITUTE(SUBSTITUTE(INDEX(İzinler!$B$1:$B$504,SUMPRODUCT(MAX((İzinler!$A$5:$A$504=$B53)*(İzinler!$C$5:$C$504&lt;=N$5)*(İzinler!$D$5:$D$504&gt;=N$5)*ROW(İzinler!$A$5:$A$504)))),"Yıllık izin","İ"),"Ücretsiz izin","Ü"),1)))</f>
        <v/>
      </c>
      <c r="O53" s="20" t="str">
        <f aca="false">IF(OR($B53="",O$5=""),"",IF(SUMPRODUCT(MAX((İzinler!$A$5:$A$504=$B53)*(İzinler!$C$5:$C$504&lt;=O$5)*(İzinler!$D$5:$D$504&gt;=O$5)*ROW(İzinler!$A$5:$A$504)))=0,"",LEFT(SUBSTITUTE(SUBSTITUTE(INDEX(İzinler!$B$1:$B$504,SUMPRODUCT(MAX((İzinler!$A$5:$A$504=$B53)*(İzinler!$C$5:$C$504&lt;=O$5)*(İzinler!$D$5:$D$504&gt;=O$5)*ROW(İzinler!$A$5:$A$504)))),"Yıllık izin","İ"),"Ücretsiz izin","Ü"),1)))</f>
        <v/>
      </c>
      <c r="P53" s="20" t="str">
        <f aca="false">IF(OR($B53="",P$5=""),"",IF(SUMPRODUCT(MAX((İzinler!$A$5:$A$504=$B53)*(İzinler!$C$5:$C$504&lt;=P$5)*(İzinler!$D$5:$D$504&gt;=P$5)*ROW(İzinler!$A$5:$A$504)))=0,"",LEFT(SUBSTITUTE(SUBSTITUTE(INDEX(İzinler!$B$1:$B$504,SUMPRODUCT(MAX((İzinler!$A$5:$A$504=$B53)*(İzinler!$C$5:$C$504&lt;=P$5)*(İzinler!$D$5:$D$504&gt;=P$5)*ROW(İzinler!$A$5:$A$504)))),"Yıllık izin","İ"),"Ücretsiz izin","Ü"),1)))</f>
        <v/>
      </c>
      <c r="Q53" s="20" t="str">
        <f aca="false">IF(OR($B53="",Q$5=""),"",IF(SUMPRODUCT(MAX((İzinler!$A$5:$A$504=$B53)*(İzinler!$C$5:$C$504&lt;=Q$5)*(İzinler!$D$5:$D$504&gt;=Q$5)*ROW(İzinler!$A$5:$A$504)))=0,"",LEFT(SUBSTITUTE(SUBSTITUTE(INDEX(İzinler!$B$1:$B$504,SUMPRODUCT(MAX((İzinler!$A$5:$A$504=$B53)*(İzinler!$C$5:$C$504&lt;=Q$5)*(İzinler!$D$5:$D$504&gt;=Q$5)*ROW(İzinler!$A$5:$A$504)))),"Yıllık izin","İ"),"Ücretsiz izin","Ü"),1)))</f>
        <v/>
      </c>
      <c r="R53" s="20" t="str">
        <f aca="false">IF(OR($B53="",R$5=""),"",IF(SUMPRODUCT(MAX((İzinler!$A$5:$A$504=$B53)*(İzinler!$C$5:$C$504&lt;=R$5)*(İzinler!$D$5:$D$504&gt;=R$5)*ROW(İzinler!$A$5:$A$504)))=0,"",LEFT(SUBSTITUTE(SUBSTITUTE(INDEX(İzinler!$B$1:$B$504,SUMPRODUCT(MAX((İzinler!$A$5:$A$504=$B53)*(İzinler!$C$5:$C$504&lt;=R$5)*(İzinler!$D$5:$D$504&gt;=R$5)*ROW(İzinler!$A$5:$A$504)))),"Yıllık izin","İ"),"Ücretsiz izin","Ü"),1)))</f>
        <v/>
      </c>
      <c r="S53" s="20" t="str">
        <f aca="false">IF(OR($B53="",S$5=""),"",IF(SUMPRODUCT(MAX((İzinler!$A$5:$A$504=$B53)*(İzinler!$C$5:$C$504&lt;=S$5)*(İzinler!$D$5:$D$504&gt;=S$5)*ROW(İzinler!$A$5:$A$504)))=0,"",LEFT(SUBSTITUTE(SUBSTITUTE(INDEX(İzinler!$B$1:$B$504,SUMPRODUCT(MAX((İzinler!$A$5:$A$504=$B53)*(İzinler!$C$5:$C$504&lt;=S$5)*(İzinler!$D$5:$D$504&gt;=S$5)*ROW(İzinler!$A$5:$A$504)))),"Yıllık izin","İ"),"Ücretsiz izin","Ü"),1)))</f>
        <v/>
      </c>
      <c r="T53" s="20" t="str">
        <f aca="false">IF(OR($B53="",T$5=""),"",IF(SUMPRODUCT(MAX((İzinler!$A$5:$A$504=$B53)*(İzinler!$C$5:$C$504&lt;=T$5)*(İzinler!$D$5:$D$504&gt;=T$5)*ROW(İzinler!$A$5:$A$504)))=0,"",LEFT(SUBSTITUTE(SUBSTITUTE(INDEX(İzinler!$B$1:$B$504,SUMPRODUCT(MAX((İzinler!$A$5:$A$504=$B53)*(İzinler!$C$5:$C$504&lt;=T$5)*(İzinler!$D$5:$D$504&gt;=T$5)*ROW(İzinler!$A$5:$A$504)))),"Yıllık izin","İ"),"Ücretsiz izin","Ü"),1)))</f>
        <v/>
      </c>
      <c r="U53" s="20" t="str">
        <f aca="false">IF(OR($B53="",U$5=""),"",IF(SUMPRODUCT(MAX((İzinler!$A$5:$A$504=$B53)*(İzinler!$C$5:$C$504&lt;=U$5)*(İzinler!$D$5:$D$504&gt;=U$5)*ROW(İzinler!$A$5:$A$504)))=0,"",LEFT(SUBSTITUTE(SUBSTITUTE(INDEX(İzinler!$B$1:$B$504,SUMPRODUCT(MAX((İzinler!$A$5:$A$504=$B53)*(İzinler!$C$5:$C$504&lt;=U$5)*(İzinler!$D$5:$D$504&gt;=U$5)*ROW(İzinler!$A$5:$A$504)))),"Yıllık izin","İ"),"Ücretsiz izin","Ü"),1)))</f>
        <v/>
      </c>
      <c r="V53" s="20" t="str">
        <f aca="false">IF(OR($B53="",V$5=""),"",IF(SUMPRODUCT(MAX((İzinler!$A$5:$A$504=$B53)*(İzinler!$C$5:$C$504&lt;=V$5)*(İzinler!$D$5:$D$504&gt;=V$5)*ROW(İzinler!$A$5:$A$504)))=0,"",LEFT(SUBSTITUTE(SUBSTITUTE(INDEX(İzinler!$B$1:$B$504,SUMPRODUCT(MAX((İzinler!$A$5:$A$504=$B53)*(İzinler!$C$5:$C$504&lt;=V$5)*(İzinler!$D$5:$D$504&gt;=V$5)*ROW(İzinler!$A$5:$A$504)))),"Yıllık izin","İ"),"Ücretsiz izin","Ü"),1)))</f>
        <v/>
      </c>
      <c r="W53" s="20" t="str">
        <f aca="false">IF(OR($B53="",W$5=""),"",IF(SUMPRODUCT(MAX((İzinler!$A$5:$A$504=$B53)*(İzinler!$C$5:$C$504&lt;=W$5)*(İzinler!$D$5:$D$504&gt;=W$5)*ROW(İzinler!$A$5:$A$504)))=0,"",LEFT(SUBSTITUTE(SUBSTITUTE(INDEX(İzinler!$B$1:$B$504,SUMPRODUCT(MAX((İzinler!$A$5:$A$504=$B53)*(İzinler!$C$5:$C$504&lt;=W$5)*(İzinler!$D$5:$D$504&gt;=W$5)*ROW(İzinler!$A$5:$A$504)))),"Yıllık izin","İ"),"Ücretsiz izin","Ü"),1)))</f>
        <v/>
      </c>
      <c r="X53" s="20" t="str">
        <f aca="false">IF(OR($B53="",X$5=""),"",IF(SUMPRODUCT(MAX((İzinler!$A$5:$A$504=$B53)*(İzinler!$C$5:$C$504&lt;=X$5)*(İzinler!$D$5:$D$504&gt;=X$5)*ROW(İzinler!$A$5:$A$504)))=0,"",LEFT(SUBSTITUTE(SUBSTITUTE(INDEX(İzinler!$B$1:$B$504,SUMPRODUCT(MAX((İzinler!$A$5:$A$504=$B53)*(İzinler!$C$5:$C$504&lt;=X$5)*(İzinler!$D$5:$D$504&gt;=X$5)*ROW(İzinler!$A$5:$A$504)))),"Yıllık izin","İ"),"Ücretsiz izin","Ü"),1)))</f>
        <v/>
      </c>
      <c r="Y53" s="20" t="str">
        <f aca="false">IF(OR($B53="",Y$5=""),"",IF(SUMPRODUCT(MAX((İzinler!$A$5:$A$504=$B53)*(İzinler!$C$5:$C$504&lt;=Y$5)*(İzinler!$D$5:$D$504&gt;=Y$5)*ROW(İzinler!$A$5:$A$504)))=0,"",LEFT(SUBSTITUTE(SUBSTITUTE(INDEX(İzinler!$B$1:$B$504,SUMPRODUCT(MAX((İzinler!$A$5:$A$504=$B53)*(İzinler!$C$5:$C$504&lt;=Y$5)*(İzinler!$D$5:$D$504&gt;=Y$5)*ROW(İzinler!$A$5:$A$504)))),"Yıllık izin","İ"),"Ücretsiz izin","Ü"),1)))</f>
        <v/>
      </c>
      <c r="Z53" s="20" t="str">
        <f aca="false">IF(OR($B53="",Z$5=""),"",IF(SUMPRODUCT(MAX((İzinler!$A$5:$A$504=$B53)*(İzinler!$C$5:$C$504&lt;=Z$5)*(İzinler!$D$5:$D$504&gt;=Z$5)*ROW(İzinler!$A$5:$A$504)))=0,"",LEFT(SUBSTITUTE(SUBSTITUTE(INDEX(İzinler!$B$1:$B$504,SUMPRODUCT(MAX((İzinler!$A$5:$A$504=$B53)*(İzinler!$C$5:$C$504&lt;=Z$5)*(İzinler!$D$5:$D$504&gt;=Z$5)*ROW(İzinler!$A$5:$A$504)))),"Yıllık izin","İ"),"Ücretsiz izin","Ü"),1)))</f>
        <v/>
      </c>
      <c r="AA53" s="20" t="str">
        <f aca="false">IF(OR($B53="",AA$5=""),"",IF(SUMPRODUCT(MAX((İzinler!$A$5:$A$504=$B53)*(İzinler!$C$5:$C$504&lt;=AA$5)*(İzinler!$D$5:$D$504&gt;=AA$5)*ROW(İzinler!$A$5:$A$504)))=0,"",LEFT(SUBSTITUTE(SUBSTITUTE(INDEX(İzinler!$B$1:$B$504,SUMPRODUCT(MAX((İzinler!$A$5:$A$504=$B53)*(İzinler!$C$5:$C$504&lt;=AA$5)*(İzinler!$D$5:$D$504&gt;=AA$5)*ROW(İzinler!$A$5:$A$504)))),"Yıllık izin","İ"),"Ücretsiz izin","Ü"),1)))</f>
        <v/>
      </c>
      <c r="AB53" s="20" t="str">
        <f aca="false">IF(OR($B53="",AB$5=""),"",IF(SUMPRODUCT(MAX((İzinler!$A$5:$A$504=$B53)*(İzinler!$C$5:$C$504&lt;=AB$5)*(İzinler!$D$5:$D$504&gt;=AB$5)*ROW(İzinler!$A$5:$A$504)))=0,"",LEFT(SUBSTITUTE(SUBSTITUTE(INDEX(İzinler!$B$1:$B$504,SUMPRODUCT(MAX((İzinler!$A$5:$A$504=$B53)*(İzinler!$C$5:$C$504&lt;=AB$5)*(İzinler!$D$5:$D$504&gt;=AB$5)*ROW(İzinler!$A$5:$A$504)))),"Yıllık izin","İ"),"Ücretsiz izin","Ü"),1)))</f>
        <v/>
      </c>
      <c r="AC53" s="20" t="str">
        <f aca="false">IF(OR($B53="",AC$5=""),"",IF(SUMPRODUCT(MAX((İzinler!$A$5:$A$504=$B53)*(İzinler!$C$5:$C$504&lt;=AC$5)*(İzinler!$D$5:$D$504&gt;=AC$5)*ROW(İzinler!$A$5:$A$504)))=0,"",LEFT(SUBSTITUTE(SUBSTITUTE(INDEX(İzinler!$B$1:$B$504,SUMPRODUCT(MAX((İzinler!$A$5:$A$504=$B53)*(İzinler!$C$5:$C$504&lt;=AC$5)*(İzinler!$D$5:$D$504&gt;=AC$5)*ROW(İzinler!$A$5:$A$504)))),"Yıllık izin","İ"),"Ücretsiz izin","Ü"),1)))</f>
        <v/>
      </c>
      <c r="AD53" s="20" t="str">
        <f aca="false">IF(OR($B53="",AD$5=""),"",IF(SUMPRODUCT(MAX((İzinler!$A$5:$A$504=$B53)*(İzinler!$C$5:$C$504&lt;=AD$5)*(İzinler!$D$5:$D$504&gt;=AD$5)*ROW(İzinler!$A$5:$A$504)))=0,"",LEFT(SUBSTITUTE(SUBSTITUTE(INDEX(İzinler!$B$1:$B$504,SUMPRODUCT(MAX((İzinler!$A$5:$A$504=$B53)*(İzinler!$C$5:$C$504&lt;=AD$5)*(İzinler!$D$5:$D$504&gt;=AD$5)*ROW(İzinler!$A$5:$A$504)))),"Yıllık izin","İ"),"Ücretsiz izin","Ü"),1)))</f>
        <v/>
      </c>
      <c r="AE53" s="20" t="str">
        <f aca="false">IF(OR($B53="",AE$5=""),"",IF(SUMPRODUCT(MAX((İzinler!$A$5:$A$504=$B53)*(İzinler!$C$5:$C$504&lt;=AE$5)*(İzinler!$D$5:$D$504&gt;=AE$5)*ROW(İzinler!$A$5:$A$504)))=0,"",LEFT(SUBSTITUTE(SUBSTITUTE(INDEX(İzinler!$B$1:$B$504,SUMPRODUCT(MAX((İzinler!$A$5:$A$504=$B53)*(İzinler!$C$5:$C$504&lt;=AE$5)*(İzinler!$D$5:$D$504&gt;=AE$5)*ROW(İzinler!$A$5:$A$504)))),"Yıllık izin","İ"),"Ücretsiz izin","Ü"),1)))</f>
        <v/>
      </c>
      <c r="AF53" s="20" t="str">
        <f aca="false">IF(OR($B53="",AF$5=""),"",IF(SUMPRODUCT(MAX((İzinler!$A$5:$A$504=$B53)*(İzinler!$C$5:$C$504&lt;=AF$5)*(İzinler!$D$5:$D$504&gt;=AF$5)*ROW(İzinler!$A$5:$A$504)))=0,"",LEFT(SUBSTITUTE(SUBSTITUTE(INDEX(İzinler!$B$1:$B$504,SUMPRODUCT(MAX((İzinler!$A$5:$A$504=$B53)*(İzinler!$C$5:$C$504&lt;=AF$5)*(İzinler!$D$5:$D$504&gt;=AF$5)*ROW(İzinler!$A$5:$A$504)))),"Yıllık izin","İ"),"Ücretsiz izin","Ü"),1)))</f>
        <v/>
      </c>
      <c r="AG53" s="20" t="str">
        <f aca="false">IF(OR($B53="",AG$5=""),"",IF(SUMPRODUCT(MAX((İzinler!$A$5:$A$504=$B53)*(İzinler!$C$5:$C$504&lt;=AG$5)*(İzinler!$D$5:$D$504&gt;=AG$5)*ROW(İzinler!$A$5:$A$504)))=0,"",LEFT(SUBSTITUTE(SUBSTITUTE(INDEX(İzinler!$B$1:$B$504,SUMPRODUCT(MAX((İzinler!$A$5:$A$504=$B53)*(İzinler!$C$5:$C$504&lt;=AG$5)*(İzinler!$D$5:$D$504&gt;=AG$5)*ROW(İzinler!$A$5:$A$504)))),"Yıllık izin","İ"),"Ücretsiz izin","Ü"),1)))</f>
        <v/>
      </c>
      <c r="AH53" s="21" t="str">
        <f aca="false">IF(B53="","",COUNTIF(C53:AG53,"?"))</f>
        <v/>
      </c>
    </row>
    <row r="54" customFormat="false" ht="15" hidden="false" customHeight="false" outlineLevel="0" collapsed="false">
      <c r="B54" s="16" t="str">
        <f aca="false">IF(Personel!A53="","",Personel!A53)</f>
        <v/>
      </c>
      <c r="C54" s="20" t="str">
        <f aca="false">IF(OR($B54="",C$5=""),"",IF(SUMPRODUCT(MAX((İzinler!$A$5:$A$504=$B54)*(İzinler!$C$5:$C$504&lt;=C$5)*(İzinler!$D$5:$D$504&gt;=C$5)*ROW(İzinler!$A$5:$A$504)))=0,"",LEFT(SUBSTITUTE(SUBSTITUTE(INDEX(İzinler!$B$1:$B$504,SUMPRODUCT(MAX((İzinler!$A$5:$A$504=$B54)*(İzinler!$C$5:$C$504&lt;=C$5)*(İzinler!$D$5:$D$504&gt;=C$5)*ROW(İzinler!$A$5:$A$504)))),"Yıllık izin","İ"),"Ücretsiz izin","Ü"),1)))</f>
        <v/>
      </c>
      <c r="D54" s="20" t="str">
        <f aca="false">IF(OR($B54="",D$5=""),"",IF(SUMPRODUCT(MAX((İzinler!$A$5:$A$504=$B54)*(İzinler!$C$5:$C$504&lt;=D$5)*(İzinler!$D$5:$D$504&gt;=D$5)*ROW(İzinler!$A$5:$A$504)))=0,"",LEFT(SUBSTITUTE(SUBSTITUTE(INDEX(İzinler!$B$1:$B$504,SUMPRODUCT(MAX((İzinler!$A$5:$A$504=$B54)*(İzinler!$C$5:$C$504&lt;=D$5)*(İzinler!$D$5:$D$504&gt;=D$5)*ROW(İzinler!$A$5:$A$504)))),"Yıllık izin","İ"),"Ücretsiz izin","Ü"),1)))</f>
        <v/>
      </c>
      <c r="E54" s="20" t="str">
        <f aca="false">IF(OR($B54="",E$5=""),"",IF(SUMPRODUCT(MAX((İzinler!$A$5:$A$504=$B54)*(İzinler!$C$5:$C$504&lt;=E$5)*(İzinler!$D$5:$D$504&gt;=E$5)*ROW(İzinler!$A$5:$A$504)))=0,"",LEFT(SUBSTITUTE(SUBSTITUTE(INDEX(İzinler!$B$1:$B$504,SUMPRODUCT(MAX((İzinler!$A$5:$A$504=$B54)*(İzinler!$C$5:$C$504&lt;=E$5)*(İzinler!$D$5:$D$504&gt;=E$5)*ROW(İzinler!$A$5:$A$504)))),"Yıllık izin","İ"),"Ücretsiz izin","Ü"),1)))</f>
        <v/>
      </c>
      <c r="F54" s="20" t="str">
        <f aca="false">IF(OR($B54="",F$5=""),"",IF(SUMPRODUCT(MAX((İzinler!$A$5:$A$504=$B54)*(İzinler!$C$5:$C$504&lt;=F$5)*(İzinler!$D$5:$D$504&gt;=F$5)*ROW(İzinler!$A$5:$A$504)))=0,"",LEFT(SUBSTITUTE(SUBSTITUTE(INDEX(İzinler!$B$1:$B$504,SUMPRODUCT(MAX((İzinler!$A$5:$A$504=$B54)*(İzinler!$C$5:$C$504&lt;=F$5)*(İzinler!$D$5:$D$504&gt;=F$5)*ROW(İzinler!$A$5:$A$504)))),"Yıllık izin","İ"),"Ücretsiz izin","Ü"),1)))</f>
        <v/>
      </c>
      <c r="G54" s="20" t="str">
        <f aca="false">IF(OR($B54="",G$5=""),"",IF(SUMPRODUCT(MAX((İzinler!$A$5:$A$504=$B54)*(İzinler!$C$5:$C$504&lt;=G$5)*(İzinler!$D$5:$D$504&gt;=G$5)*ROW(İzinler!$A$5:$A$504)))=0,"",LEFT(SUBSTITUTE(SUBSTITUTE(INDEX(İzinler!$B$1:$B$504,SUMPRODUCT(MAX((İzinler!$A$5:$A$504=$B54)*(İzinler!$C$5:$C$504&lt;=G$5)*(İzinler!$D$5:$D$504&gt;=G$5)*ROW(İzinler!$A$5:$A$504)))),"Yıllık izin","İ"),"Ücretsiz izin","Ü"),1)))</f>
        <v/>
      </c>
      <c r="H54" s="20" t="str">
        <f aca="false">IF(OR($B54="",H$5=""),"",IF(SUMPRODUCT(MAX((İzinler!$A$5:$A$504=$B54)*(İzinler!$C$5:$C$504&lt;=H$5)*(İzinler!$D$5:$D$504&gt;=H$5)*ROW(İzinler!$A$5:$A$504)))=0,"",LEFT(SUBSTITUTE(SUBSTITUTE(INDEX(İzinler!$B$1:$B$504,SUMPRODUCT(MAX((İzinler!$A$5:$A$504=$B54)*(İzinler!$C$5:$C$504&lt;=H$5)*(İzinler!$D$5:$D$504&gt;=H$5)*ROW(İzinler!$A$5:$A$504)))),"Yıllık izin","İ"),"Ücretsiz izin","Ü"),1)))</f>
        <v/>
      </c>
      <c r="I54" s="20" t="str">
        <f aca="false">IF(OR($B54="",I$5=""),"",IF(SUMPRODUCT(MAX((İzinler!$A$5:$A$504=$B54)*(İzinler!$C$5:$C$504&lt;=I$5)*(İzinler!$D$5:$D$504&gt;=I$5)*ROW(İzinler!$A$5:$A$504)))=0,"",LEFT(SUBSTITUTE(SUBSTITUTE(INDEX(İzinler!$B$1:$B$504,SUMPRODUCT(MAX((İzinler!$A$5:$A$504=$B54)*(İzinler!$C$5:$C$504&lt;=I$5)*(İzinler!$D$5:$D$504&gt;=I$5)*ROW(İzinler!$A$5:$A$504)))),"Yıllık izin","İ"),"Ücretsiz izin","Ü"),1)))</f>
        <v/>
      </c>
      <c r="J54" s="20" t="str">
        <f aca="false">IF(OR($B54="",J$5=""),"",IF(SUMPRODUCT(MAX((İzinler!$A$5:$A$504=$B54)*(İzinler!$C$5:$C$504&lt;=J$5)*(İzinler!$D$5:$D$504&gt;=J$5)*ROW(İzinler!$A$5:$A$504)))=0,"",LEFT(SUBSTITUTE(SUBSTITUTE(INDEX(İzinler!$B$1:$B$504,SUMPRODUCT(MAX((İzinler!$A$5:$A$504=$B54)*(İzinler!$C$5:$C$504&lt;=J$5)*(İzinler!$D$5:$D$504&gt;=J$5)*ROW(İzinler!$A$5:$A$504)))),"Yıllık izin","İ"),"Ücretsiz izin","Ü"),1)))</f>
        <v/>
      </c>
      <c r="K54" s="20" t="str">
        <f aca="false">IF(OR($B54="",K$5=""),"",IF(SUMPRODUCT(MAX((İzinler!$A$5:$A$504=$B54)*(İzinler!$C$5:$C$504&lt;=K$5)*(İzinler!$D$5:$D$504&gt;=K$5)*ROW(İzinler!$A$5:$A$504)))=0,"",LEFT(SUBSTITUTE(SUBSTITUTE(INDEX(İzinler!$B$1:$B$504,SUMPRODUCT(MAX((İzinler!$A$5:$A$504=$B54)*(İzinler!$C$5:$C$504&lt;=K$5)*(İzinler!$D$5:$D$504&gt;=K$5)*ROW(İzinler!$A$5:$A$504)))),"Yıllık izin","İ"),"Ücretsiz izin","Ü"),1)))</f>
        <v/>
      </c>
      <c r="L54" s="20" t="str">
        <f aca="false">IF(OR($B54="",L$5=""),"",IF(SUMPRODUCT(MAX((İzinler!$A$5:$A$504=$B54)*(İzinler!$C$5:$C$504&lt;=L$5)*(İzinler!$D$5:$D$504&gt;=L$5)*ROW(İzinler!$A$5:$A$504)))=0,"",LEFT(SUBSTITUTE(SUBSTITUTE(INDEX(İzinler!$B$1:$B$504,SUMPRODUCT(MAX((İzinler!$A$5:$A$504=$B54)*(İzinler!$C$5:$C$504&lt;=L$5)*(İzinler!$D$5:$D$504&gt;=L$5)*ROW(İzinler!$A$5:$A$504)))),"Yıllık izin","İ"),"Ücretsiz izin","Ü"),1)))</f>
        <v/>
      </c>
      <c r="M54" s="20" t="str">
        <f aca="false">IF(OR($B54="",M$5=""),"",IF(SUMPRODUCT(MAX((İzinler!$A$5:$A$504=$B54)*(İzinler!$C$5:$C$504&lt;=M$5)*(İzinler!$D$5:$D$504&gt;=M$5)*ROW(İzinler!$A$5:$A$504)))=0,"",LEFT(SUBSTITUTE(SUBSTITUTE(INDEX(İzinler!$B$1:$B$504,SUMPRODUCT(MAX((İzinler!$A$5:$A$504=$B54)*(İzinler!$C$5:$C$504&lt;=M$5)*(İzinler!$D$5:$D$504&gt;=M$5)*ROW(İzinler!$A$5:$A$504)))),"Yıllık izin","İ"),"Ücretsiz izin","Ü"),1)))</f>
        <v/>
      </c>
      <c r="N54" s="20" t="str">
        <f aca="false">IF(OR($B54="",N$5=""),"",IF(SUMPRODUCT(MAX((İzinler!$A$5:$A$504=$B54)*(İzinler!$C$5:$C$504&lt;=N$5)*(İzinler!$D$5:$D$504&gt;=N$5)*ROW(İzinler!$A$5:$A$504)))=0,"",LEFT(SUBSTITUTE(SUBSTITUTE(INDEX(İzinler!$B$1:$B$504,SUMPRODUCT(MAX((İzinler!$A$5:$A$504=$B54)*(İzinler!$C$5:$C$504&lt;=N$5)*(İzinler!$D$5:$D$504&gt;=N$5)*ROW(İzinler!$A$5:$A$504)))),"Yıllık izin","İ"),"Ücretsiz izin","Ü"),1)))</f>
        <v/>
      </c>
      <c r="O54" s="20" t="str">
        <f aca="false">IF(OR($B54="",O$5=""),"",IF(SUMPRODUCT(MAX((İzinler!$A$5:$A$504=$B54)*(İzinler!$C$5:$C$504&lt;=O$5)*(İzinler!$D$5:$D$504&gt;=O$5)*ROW(İzinler!$A$5:$A$504)))=0,"",LEFT(SUBSTITUTE(SUBSTITUTE(INDEX(İzinler!$B$1:$B$504,SUMPRODUCT(MAX((İzinler!$A$5:$A$504=$B54)*(İzinler!$C$5:$C$504&lt;=O$5)*(İzinler!$D$5:$D$504&gt;=O$5)*ROW(İzinler!$A$5:$A$504)))),"Yıllık izin","İ"),"Ücretsiz izin","Ü"),1)))</f>
        <v/>
      </c>
      <c r="P54" s="20" t="str">
        <f aca="false">IF(OR($B54="",P$5=""),"",IF(SUMPRODUCT(MAX((İzinler!$A$5:$A$504=$B54)*(İzinler!$C$5:$C$504&lt;=P$5)*(İzinler!$D$5:$D$504&gt;=P$5)*ROW(İzinler!$A$5:$A$504)))=0,"",LEFT(SUBSTITUTE(SUBSTITUTE(INDEX(İzinler!$B$1:$B$504,SUMPRODUCT(MAX((İzinler!$A$5:$A$504=$B54)*(İzinler!$C$5:$C$504&lt;=P$5)*(İzinler!$D$5:$D$504&gt;=P$5)*ROW(İzinler!$A$5:$A$504)))),"Yıllık izin","İ"),"Ücretsiz izin","Ü"),1)))</f>
        <v/>
      </c>
      <c r="Q54" s="20" t="str">
        <f aca="false">IF(OR($B54="",Q$5=""),"",IF(SUMPRODUCT(MAX((İzinler!$A$5:$A$504=$B54)*(İzinler!$C$5:$C$504&lt;=Q$5)*(İzinler!$D$5:$D$504&gt;=Q$5)*ROW(İzinler!$A$5:$A$504)))=0,"",LEFT(SUBSTITUTE(SUBSTITUTE(INDEX(İzinler!$B$1:$B$504,SUMPRODUCT(MAX((İzinler!$A$5:$A$504=$B54)*(İzinler!$C$5:$C$504&lt;=Q$5)*(İzinler!$D$5:$D$504&gt;=Q$5)*ROW(İzinler!$A$5:$A$504)))),"Yıllık izin","İ"),"Ücretsiz izin","Ü"),1)))</f>
        <v/>
      </c>
      <c r="R54" s="20" t="str">
        <f aca="false">IF(OR($B54="",R$5=""),"",IF(SUMPRODUCT(MAX((İzinler!$A$5:$A$504=$B54)*(İzinler!$C$5:$C$504&lt;=R$5)*(İzinler!$D$5:$D$504&gt;=R$5)*ROW(İzinler!$A$5:$A$504)))=0,"",LEFT(SUBSTITUTE(SUBSTITUTE(INDEX(İzinler!$B$1:$B$504,SUMPRODUCT(MAX((İzinler!$A$5:$A$504=$B54)*(İzinler!$C$5:$C$504&lt;=R$5)*(İzinler!$D$5:$D$504&gt;=R$5)*ROW(İzinler!$A$5:$A$504)))),"Yıllık izin","İ"),"Ücretsiz izin","Ü"),1)))</f>
        <v/>
      </c>
      <c r="S54" s="20" t="str">
        <f aca="false">IF(OR($B54="",S$5=""),"",IF(SUMPRODUCT(MAX((İzinler!$A$5:$A$504=$B54)*(İzinler!$C$5:$C$504&lt;=S$5)*(İzinler!$D$5:$D$504&gt;=S$5)*ROW(İzinler!$A$5:$A$504)))=0,"",LEFT(SUBSTITUTE(SUBSTITUTE(INDEX(İzinler!$B$1:$B$504,SUMPRODUCT(MAX((İzinler!$A$5:$A$504=$B54)*(İzinler!$C$5:$C$504&lt;=S$5)*(İzinler!$D$5:$D$504&gt;=S$5)*ROW(İzinler!$A$5:$A$504)))),"Yıllık izin","İ"),"Ücretsiz izin","Ü"),1)))</f>
        <v/>
      </c>
      <c r="T54" s="20" t="str">
        <f aca="false">IF(OR($B54="",T$5=""),"",IF(SUMPRODUCT(MAX((İzinler!$A$5:$A$504=$B54)*(İzinler!$C$5:$C$504&lt;=T$5)*(İzinler!$D$5:$D$504&gt;=T$5)*ROW(İzinler!$A$5:$A$504)))=0,"",LEFT(SUBSTITUTE(SUBSTITUTE(INDEX(İzinler!$B$1:$B$504,SUMPRODUCT(MAX((İzinler!$A$5:$A$504=$B54)*(İzinler!$C$5:$C$504&lt;=T$5)*(İzinler!$D$5:$D$504&gt;=T$5)*ROW(İzinler!$A$5:$A$504)))),"Yıllık izin","İ"),"Ücretsiz izin","Ü"),1)))</f>
        <v/>
      </c>
      <c r="U54" s="20" t="str">
        <f aca="false">IF(OR($B54="",U$5=""),"",IF(SUMPRODUCT(MAX((İzinler!$A$5:$A$504=$B54)*(İzinler!$C$5:$C$504&lt;=U$5)*(İzinler!$D$5:$D$504&gt;=U$5)*ROW(İzinler!$A$5:$A$504)))=0,"",LEFT(SUBSTITUTE(SUBSTITUTE(INDEX(İzinler!$B$1:$B$504,SUMPRODUCT(MAX((İzinler!$A$5:$A$504=$B54)*(İzinler!$C$5:$C$504&lt;=U$5)*(İzinler!$D$5:$D$504&gt;=U$5)*ROW(İzinler!$A$5:$A$504)))),"Yıllık izin","İ"),"Ücretsiz izin","Ü"),1)))</f>
        <v/>
      </c>
      <c r="V54" s="20" t="str">
        <f aca="false">IF(OR($B54="",V$5=""),"",IF(SUMPRODUCT(MAX((İzinler!$A$5:$A$504=$B54)*(İzinler!$C$5:$C$504&lt;=V$5)*(İzinler!$D$5:$D$504&gt;=V$5)*ROW(İzinler!$A$5:$A$504)))=0,"",LEFT(SUBSTITUTE(SUBSTITUTE(INDEX(İzinler!$B$1:$B$504,SUMPRODUCT(MAX((İzinler!$A$5:$A$504=$B54)*(İzinler!$C$5:$C$504&lt;=V$5)*(İzinler!$D$5:$D$504&gt;=V$5)*ROW(İzinler!$A$5:$A$504)))),"Yıllık izin","İ"),"Ücretsiz izin","Ü"),1)))</f>
        <v/>
      </c>
      <c r="W54" s="20" t="str">
        <f aca="false">IF(OR($B54="",W$5=""),"",IF(SUMPRODUCT(MAX((İzinler!$A$5:$A$504=$B54)*(İzinler!$C$5:$C$504&lt;=W$5)*(İzinler!$D$5:$D$504&gt;=W$5)*ROW(İzinler!$A$5:$A$504)))=0,"",LEFT(SUBSTITUTE(SUBSTITUTE(INDEX(İzinler!$B$1:$B$504,SUMPRODUCT(MAX((İzinler!$A$5:$A$504=$B54)*(İzinler!$C$5:$C$504&lt;=W$5)*(İzinler!$D$5:$D$504&gt;=W$5)*ROW(İzinler!$A$5:$A$504)))),"Yıllık izin","İ"),"Ücretsiz izin","Ü"),1)))</f>
        <v/>
      </c>
      <c r="X54" s="20" t="str">
        <f aca="false">IF(OR($B54="",X$5=""),"",IF(SUMPRODUCT(MAX((İzinler!$A$5:$A$504=$B54)*(İzinler!$C$5:$C$504&lt;=X$5)*(İzinler!$D$5:$D$504&gt;=X$5)*ROW(İzinler!$A$5:$A$504)))=0,"",LEFT(SUBSTITUTE(SUBSTITUTE(INDEX(İzinler!$B$1:$B$504,SUMPRODUCT(MAX((İzinler!$A$5:$A$504=$B54)*(İzinler!$C$5:$C$504&lt;=X$5)*(İzinler!$D$5:$D$504&gt;=X$5)*ROW(İzinler!$A$5:$A$504)))),"Yıllık izin","İ"),"Ücretsiz izin","Ü"),1)))</f>
        <v/>
      </c>
      <c r="Y54" s="20" t="str">
        <f aca="false">IF(OR($B54="",Y$5=""),"",IF(SUMPRODUCT(MAX((İzinler!$A$5:$A$504=$B54)*(İzinler!$C$5:$C$504&lt;=Y$5)*(İzinler!$D$5:$D$504&gt;=Y$5)*ROW(İzinler!$A$5:$A$504)))=0,"",LEFT(SUBSTITUTE(SUBSTITUTE(INDEX(İzinler!$B$1:$B$504,SUMPRODUCT(MAX((İzinler!$A$5:$A$504=$B54)*(İzinler!$C$5:$C$504&lt;=Y$5)*(İzinler!$D$5:$D$504&gt;=Y$5)*ROW(İzinler!$A$5:$A$504)))),"Yıllık izin","İ"),"Ücretsiz izin","Ü"),1)))</f>
        <v/>
      </c>
      <c r="Z54" s="20" t="str">
        <f aca="false">IF(OR($B54="",Z$5=""),"",IF(SUMPRODUCT(MAX((İzinler!$A$5:$A$504=$B54)*(İzinler!$C$5:$C$504&lt;=Z$5)*(İzinler!$D$5:$D$504&gt;=Z$5)*ROW(İzinler!$A$5:$A$504)))=0,"",LEFT(SUBSTITUTE(SUBSTITUTE(INDEX(İzinler!$B$1:$B$504,SUMPRODUCT(MAX((İzinler!$A$5:$A$504=$B54)*(İzinler!$C$5:$C$504&lt;=Z$5)*(İzinler!$D$5:$D$504&gt;=Z$5)*ROW(İzinler!$A$5:$A$504)))),"Yıllık izin","İ"),"Ücretsiz izin","Ü"),1)))</f>
        <v/>
      </c>
      <c r="AA54" s="20" t="str">
        <f aca="false">IF(OR($B54="",AA$5=""),"",IF(SUMPRODUCT(MAX((İzinler!$A$5:$A$504=$B54)*(İzinler!$C$5:$C$504&lt;=AA$5)*(İzinler!$D$5:$D$504&gt;=AA$5)*ROW(İzinler!$A$5:$A$504)))=0,"",LEFT(SUBSTITUTE(SUBSTITUTE(INDEX(İzinler!$B$1:$B$504,SUMPRODUCT(MAX((İzinler!$A$5:$A$504=$B54)*(İzinler!$C$5:$C$504&lt;=AA$5)*(İzinler!$D$5:$D$504&gt;=AA$5)*ROW(İzinler!$A$5:$A$504)))),"Yıllık izin","İ"),"Ücretsiz izin","Ü"),1)))</f>
        <v/>
      </c>
      <c r="AB54" s="20" t="str">
        <f aca="false">IF(OR($B54="",AB$5=""),"",IF(SUMPRODUCT(MAX((İzinler!$A$5:$A$504=$B54)*(İzinler!$C$5:$C$504&lt;=AB$5)*(İzinler!$D$5:$D$504&gt;=AB$5)*ROW(İzinler!$A$5:$A$504)))=0,"",LEFT(SUBSTITUTE(SUBSTITUTE(INDEX(İzinler!$B$1:$B$504,SUMPRODUCT(MAX((İzinler!$A$5:$A$504=$B54)*(İzinler!$C$5:$C$504&lt;=AB$5)*(İzinler!$D$5:$D$504&gt;=AB$5)*ROW(İzinler!$A$5:$A$504)))),"Yıllık izin","İ"),"Ücretsiz izin","Ü"),1)))</f>
        <v/>
      </c>
      <c r="AC54" s="20" t="str">
        <f aca="false">IF(OR($B54="",AC$5=""),"",IF(SUMPRODUCT(MAX((İzinler!$A$5:$A$504=$B54)*(İzinler!$C$5:$C$504&lt;=AC$5)*(İzinler!$D$5:$D$504&gt;=AC$5)*ROW(İzinler!$A$5:$A$504)))=0,"",LEFT(SUBSTITUTE(SUBSTITUTE(INDEX(İzinler!$B$1:$B$504,SUMPRODUCT(MAX((İzinler!$A$5:$A$504=$B54)*(İzinler!$C$5:$C$504&lt;=AC$5)*(İzinler!$D$5:$D$504&gt;=AC$5)*ROW(İzinler!$A$5:$A$504)))),"Yıllık izin","İ"),"Ücretsiz izin","Ü"),1)))</f>
        <v/>
      </c>
      <c r="AD54" s="20" t="str">
        <f aca="false">IF(OR($B54="",AD$5=""),"",IF(SUMPRODUCT(MAX((İzinler!$A$5:$A$504=$B54)*(İzinler!$C$5:$C$504&lt;=AD$5)*(İzinler!$D$5:$D$504&gt;=AD$5)*ROW(İzinler!$A$5:$A$504)))=0,"",LEFT(SUBSTITUTE(SUBSTITUTE(INDEX(İzinler!$B$1:$B$504,SUMPRODUCT(MAX((İzinler!$A$5:$A$504=$B54)*(İzinler!$C$5:$C$504&lt;=AD$5)*(İzinler!$D$5:$D$504&gt;=AD$5)*ROW(İzinler!$A$5:$A$504)))),"Yıllık izin","İ"),"Ücretsiz izin","Ü"),1)))</f>
        <v/>
      </c>
      <c r="AE54" s="20" t="str">
        <f aca="false">IF(OR($B54="",AE$5=""),"",IF(SUMPRODUCT(MAX((İzinler!$A$5:$A$504=$B54)*(İzinler!$C$5:$C$504&lt;=AE$5)*(İzinler!$D$5:$D$504&gt;=AE$5)*ROW(İzinler!$A$5:$A$504)))=0,"",LEFT(SUBSTITUTE(SUBSTITUTE(INDEX(İzinler!$B$1:$B$504,SUMPRODUCT(MAX((İzinler!$A$5:$A$504=$B54)*(İzinler!$C$5:$C$504&lt;=AE$5)*(İzinler!$D$5:$D$504&gt;=AE$5)*ROW(İzinler!$A$5:$A$504)))),"Yıllık izin","İ"),"Ücretsiz izin","Ü"),1)))</f>
        <v/>
      </c>
      <c r="AF54" s="20" t="str">
        <f aca="false">IF(OR($B54="",AF$5=""),"",IF(SUMPRODUCT(MAX((İzinler!$A$5:$A$504=$B54)*(İzinler!$C$5:$C$504&lt;=AF$5)*(İzinler!$D$5:$D$504&gt;=AF$5)*ROW(İzinler!$A$5:$A$504)))=0,"",LEFT(SUBSTITUTE(SUBSTITUTE(INDEX(İzinler!$B$1:$B$504,SUMPRODUCT(MAX((İzinler!$A$5:$A$504=$B54)*(İzinler!$C$5:$C$504&lt;=AF$5)*(İzinler!$D$5:$D$504&gt;=AF$5)*ROW(İzinler!$A$5:$A$504)))),"Yıllık izin","İ"),"Ücretsiz izin","Ü"),1)))</f>
        <v/>
      </c>
      <c r="AG54" s="20" t="str">
        <f aca="false">IF(OR($B54="",AG$5=""),"",IF(SUMPRODUCT(MAX((İzinler!$A$5:$A$504=$B54)*(İzinler!$C$5:$C$504&lt;=AG$5)*(İzinler!$D$5:$D$504&gt;=AG$5)*ROW(İzinler!$A$5:$A$504)))=0,"",LEFT(SUBSTITUTE(SUBSTITUTE(INDEX(İzinler!$B$1:$B$504,SUMPRODUCT(MAX((İzinler!$A$5:$A$504=$B54)*(İzinler!$C$5:$C$504&lt;=AG$5)*(İzinler!$D$5:$D$504&gt;=AG$5)*ROW(İzinler!$A$5:$A$504)))),"Yıllık izin","İ"),"Ücretsiz izin","Ü"),1)))</f>
        <v/>
      </c>
      <c r="AH54" s="21" t="str">
        <f aca="false">IF(B54="","",COUNTIF(C54:AG54,"?"))</f>
        <v/>
      </c>
    </row>
    <row r="55" customFormat="false" ht="15" hidden="false" customHeight="false" outlineLevel="0" collapsed="false">
      <c r="B55" s="16" t="str">
        <f aca="false">IF(Personel!A54="","",Personel!A54)</f>
        <v/>
      </c>
      <c r="C55" s="20" t="str">
        <f aca="false">IF(OR($B55="",C$5=""),"",IF(SUMPRODUCT(MAX((İzinler!$A$5:$A$504=$B55)*(İzinler!$C$5:$C$504&lt;=C$5)*(İzinler!$D$5:$D$504&gt;=C$5)*ROW(İzinler!$A$5:$A$504)))=0,"",LEFT(SUBSTITUTE(SUBSTITUTE(INDEX(İzinler!$B$1:$B$504,SUMPRODUCT(MAX((İzinler!$A$5:$A$504=$B55)*(İzinler!$C$5:$C$504&lt;=C$5)*(İzinler!$D$5:$D$504&gt;=C$5)*ROW(İzinler!$A$5:$A$504)))),"Yıllık izin","İ"),"Ücretsiz izin","Ü"),1)))</f>
        <v/>
      </c>
      <c r="D55" s="20" t="str">
        <f aca="false">IF(OR($B55="",D$5=""),"",IF(SUMPRODUCT(MAX((İzinler!$A$5:$A$504=$B55)*(İzinler!$C$5:$C$504&lt;=D$5)*(İzinler!$D$5:$D$504&gt;=D$5)*ROW(İzinler!$A$5:$A$504)))=0,"",LEFT(SUBSTITUTE(SUBSTITUTE(INDEX(İzinler!$B$1:$B$504,SUMPRODUCT(MAX((İzinler!$A$5:$A$504=$B55)*(İzinler!$C$5:$C$504&lt;=D$5)*(İzinler!$D$5:$D$504&gt;=D$5)*ROW(İzinler!$A$5:$A$504)))),"Yıllık izin","İ"),"Ücretsiz izin","Ü"),1)))</f>
        <v/>
      </c>
      <c r="E55" s="20" t="str">
        <f aca="false">IF(OR($B55="",E$5=""),"",IF(SUMPRODUCT(MAX((İzinler!$A$5:$A$504=$B55)*(İzinler!$C$5:$C$504&lt;=E$5)*(İzinler!$D$5:$D$504&gt;=E$5)*ROW(İzinler!$A$5:$A$504)))=0,"",LEFT(SUBSTITUTE(SUBSTITUTE(INDEX(İzinler!$B$1:$B$504,SUMPRODUCT(MAX((İzinler!$A$5:$A$504=$B55)*(İzinler!$C$5:$C$504&lt;=E$5)*(İzinler!$D$5:$D$504&gt;=E$5)*ROW(İzinler!$A$5:$A$504)))),"Yıllık izin","İ"),"Ücretsiz izin","Ü"),1)))</f>
        <v/>
      </c>
      <c r="F55" s="20" t="str">
        <f aca="false">IF(OR($B55="",F$5=""),"",IF(SUMPRODUCT(MAX((İzinler!$A$5:$A$504=$B55)*(İzinler!$C$5:$C$504&lt;=F$5)*(İzinler!$D$5:$D$504&gt;=F$5)*ROW(İzinler!$A$5:$A$504)))=0,"",LEFT(SUBSTITUTE(SUBSTITUTE(INDEX(İzinler!$B$1:$B$504,SUMPRODUCT(MAX((İzinler!$A$5:$A$504=$B55)*(İzinler!$C$5:$C$504&lt;=F$5)*(İzinler!$D$5:$D$504&gt;=F$5)*ROW(İzinler!$A$5:$A$504)))),"Yıllık izin","İ"),"Ücretsiz izin","Ü"),1)))</f>
        <v/>
      </c>
      <c r="G55" s="20" t="str">
        <f aca="false">IF(OR($B55="",G$5=""),"",IF(SUMPRODUCT(MAX((İzinler!$A$5:$A$504=$B55)*(İzinler!$C$5:$C$504&lt;=G$5)*(İzinler!$D$5:$D$504&gt;=G$5)*ROW(İzinler!$A$5:$A$504)))=0,"",LEFT(SUBSTITUTE(SUBSTITUTE(INDEX(İzinler!$B$1:$B$504,SUMPRODUCT(MAX((İzinler!$A$5:$A$504=$B55)*(İzinler!$C$5:$C$504&lt;=G$5)*(İzinler!$D$5:$D$504&gt;=G$5)*ROW(İzinler!$A$5:$A$504)))),"Yıllık izin","İ"),"Ücretsiz izin","Ü"),1)))</f>
        <v/>
      </c>
      <c r="H55" s="20" t="str">
        <f aca="false">IF(OR($B55="",H$5=""),"",IF(SUMPRODUCT(MAX((İzinler!$A$5:$A$504=$B55)*(İzinler!$C$5:$C$504&lt;=H$5)*(İzinler!$D$5:$D$504&gt;=H$5)*ROW(İzinler!$A$5:$A$504)))=0,"",LEFT(SUBSTITUTE(SUBSTITUTE(INDEX(İzinler!$B$1:$B$504,SUMPRODUCT(MAX((İzinler!$A$5:$A$504=$B55)*(İzinler!$C$5:$C$504&lt;=H$5)*(İzinler!$D$5:$D$504&gt;=H$5)*ROW(İzinler!$A$5:$A$504)))),"Yıllık izin","İ"),"Ücretsiz izin","Ü"),1)))</f>
        <v/>
      </c>
      <c r="I55" s="20" t="str">
        <f aca="false">IF(OR($B55="",I$5=""),"",IF(SUMPRODUCT(MAX((İzinler!$A$5:$A$504=$B55)*(İzinler!$C$5:$C$504&lt;=I$5)*(İzinler!$D$5:$D$504&gt;=I$5)*ROW(İzinler!$A$5:$A$504)))=0,"",LEFT(SUBSTITUTE(SUBSTITUTE(INDEX(İzinler!$B$1:$B$504,SUMPRODUCT(MAX((İzinler!$A$5:$A$504=$B55)*(İzinler!$C$5:$C$504&lt;=I$5)*(İzinler!$D$5:$D$504&gt;=I$5)*ROW(İzinler!$A$5:$A$504)))),"Yıllık izin","İ"),"Ücretsiz izin","Ü"),1)))</f>
        <v/>
      </c>
      <c r="J55" s="20" t="str">
        <f aca="false">IF(OR($B55="",J$5=""),"",IF(SUMPRODUCT(MAX((İzinler!$A$5:$A$504=$B55)*(İzinler!$C$5:$C$504&lt;=J$5)*(İzinler!$D$5:$D$504&gt;=J$5)*ROW(İzinler!$A$5:$A$504)))=0,"",LEFT(SUBSTITUTE(SUBSTITUTE(INDEX(İzinler!$B$1:$B$504,SUMPRODUCT(MAX((İzinler!$A$5:$A$504=$B55)*(İzinler!$C$5:$C$504&lt;=J$5)*(İzinler!$D$5:$D$504&gt;=J$5)*ROW(İzinler!$A$5:$A$504)))),"Yıllık izin","İ"),"Ücretsiz izin","Ü"),1)))</f>
        <v/>
      </c>
      <c r="K55" s="20" t="str">
        <f aca="false">IF(OR($B55="",K$5=""),"",IF(SUMPRODUCT(MAX((İzinler!$A$5:$A$504=$B55)*(İzinler!$C$5:$C$504&lt;=K$5)*(İzinler!$D$5:$D$504&gt;=K$5)*ROW(İzinler!$A$5:$A$504)))=0,"",LEFT(SUBSTITUTE(SUBSTITUTE(INDEX(İzinler!$B$1:$B$504,SUMPRODUCT(MAX((İzinler!$A$5:$A$504=$B55)*(İzinler!$C$5:$C$504&lt;=K$5)*(İzinler!$D$5:$D$504&gt;=K$5)*ROW(İzinler!$A$5:$A$504)))),"Yıllık izin","İ"),"Ücretsiz izin","Ü"),1)))</f>
        <v/>
      </c>
      <c r="L55" s="20" t="str">
        <f aca="false">IF(OR($B55="",L$5=""),"",IF(SUMPRODUCT(MAX((İzinler!$A$5:$A$504=$B55)*(İzinler!$C$5:$C$504&lt;=L$5)*(İzinler!$D$5:$D$504&gt;=L$5)*ROW(İzinler!$A$5:$A$504)))=0,"",LEFT(SUBSTITUTE(SUBSTITUTE(INDEX(İzinler!$B$1:$B$504,SUMPRODUCT(MAX((İzinler!$A$5:$A$504=$B55)*(İzinler!$C$5:$C$504&lt;=L$5)*(İzinler!$D$5:$D$504&gt;=L$5)*ROW(İzinler!$A$5:$A$504)))),"Yıllık izin","İ"),"Ücretsiz izin","Ü"),1)))</f>
        <v/>
      </c>
      <c r="M55" s="20" t="str">
        <f aca="false">IF(OR($B55="",M$5=""),"",IF(SUMPRODUCT(MAX((İzinler!$A$5:$A$504=$B55)*(İzinler!$C$5:$C$504&lt;=M$5)*(İzinler!$D$5:$D$504&gt;=M$5)*ROW(İzinler!$A$5:$A$504)))=0,"",LEFT(SUBSTITUTE(SUBSTITUTE(INDEX(İzinler!$B$1:$B$504,SUMPRODUCT(MAX((İzinler!$A$5:$A$504=$B55)*(İzinler!$C$5:$C$504&lt;=M$5)*(İzinler!$D$5:$D$504&gt;=M$5)*ROW(İzinler!$A$5:$A$504)))),"Yıllık izin","İ"),"Ücretsiz izin","Ü"),1)))</f>
        <v/>
      </c>
      <c r="N55" s="20" t="str">
        <f aca="false">IF(OR($B55="",N$5=""),"",IF(SUMPRODUCT(MAX((İzinler!$A$5:$A$504=$B55)*(İzinler!$C$5:$C$504&lt;=N$5)*(İzinler!$D$5:$D$504&gt;=N$5)*ROW(İzinler!$A$5:$A$504)))=0,"",LEFT(SUBSTITUTE(SUBSTITUTE(INDEX(İzinler!$B$1:$B$504,SUMPRODUCT(MAX((İzinler!$A$5:$A$504=$B55)*(İzinler!$C$5:$C$504&lt;=N$5)*(İzinler!$D$5:$D$504&gt;=N$5)*ROW(İzinler!$A$5:$A$504)))),"Yıllık izin","İ"),"Ücretsiz izin","Ü"),1)))</f>
        <v/>
      </c>
      <c r="O55" s="20" t="str">
        <f aca="false">IF(OR($B55="",O$5=""),"",IF(SUMPRODUCT(MAX((İzinler!$A$5:$A$504=$B55)*(İzinler!$C$5:$C$504&lt;=O$5)*(İzinler!$D$5:$D$504&gt;=O$5)*ROW(İzinler!$A$5:$A$504)))=0,"",LEFT(SUBSTITUTE(SUBSTITUTE(INDEX(İzinler!$B$1:$B$504,SUMPRODUCT(MAX((İzinler!$A$5:$A$504=$B55)*(İzinler!$C$5:$C$504&lt;=O$5)*(İzinler!$D$5:$D$504&gt;=O$5)*ROW(İzinler!$A$5:$A$504)))),"Yıllık izin","İ"),"Ücretsiz izin","Ü"),1)))</f>
        <v/>
      </c>
      <c r="P55" s="20" t="str">
        <f aca="false">IF(OR($B55="",P$5=""),"",IF(SUMPRODUCT(MAX((İzinler!$A$5:$A$504=$B55)*(İzinler!$C$5:$C$504&lt;=P$5)*(İzinler!$D$5:$D$504&gt;=P$5)*ROW(İzinler!$A$5:$A$504)))=0,"",LEFT(SUBSTITUTE(SUBSTITUTE(INDEX(İzinler!$B$1:$B$504,SUMPRODUCT(MAX((İzinler!$A$5:$A$504=$B55)*(İzinler!$C$5:$C$504&lt;=P$5)*(İzinler!$D$5:$D$504&gt;=P$5)*ROW(İzinler!$A$5:$A$504)))),"Yıllık izin","İ"),"Ücretsiz izin","Ü"),1)))</f>
        <v/>
      </c>
      <c r="Q55" s="20" t="str">
        <f aca="false">IF(OR($B55="",Q$5=""),"",IF(SUMPRODUCT(MAX((İzinler!$A$5:$A$504=$B55)*(İzinler!$C$5:$C$504&lt;=Q$5)*(İzinler!$D$5:$D$504&gt;=Q$5)*ROW(İzinler!$A$5:$A$504)))=0,"",LEFT(SUBSTITUTE(SUBSTITUTE(INDEX(İzinler!$B$1:$B$504,SUMPRODUCT(MAX((İzinler!$A$5:$A$504=$B55)*(İzinler!$C$5:$C$504&lt;=Q$5)*(İzinler!$D$5:$D$504&gt;=Q$5)*ROW(İzinler!$A$5:$A$504)))),"Yıllık izin","İ"),"Ücretsiz izin","Ü"),1)))</f>
        <v/>
      </c>
      <c r="R55" s="20" t="str">
        <f aca="false">IF(OR($B55="",R$5=""),"",IF(SUMPRODUCT(MAX((İzinler!$A$5:$A$504=$B55)*(İzinler!$C$5:$C$504&lt;=R$5)*(İzinler!$D$5:$D$504&gt;=R$5)*ROW(İzinler!$A$5:$A$504)))=0,"",LEFT(SUBSTITUTE(SUBSTITUTE(INDEX(İzinler!$B$1:$B$504,SUMPRODUCT(MAX((İzinler!$A$5:$A$504=$B55)*(İzinler!$C$5:$C$504&lt;=R$5)*(İzinler!$D$5:$D$504&gt;=R$5)*ROW(İzinler!$A$5:$A$504)))),"Yıllık izin","İ"),"Ücretsiz izin","Ü"),1)))</f>
        <v/>
      </c>
      <c r="S55" s="20" t="str">
        <f aca="false">IF(OR($B55="",S$5=""),"",IF(SUMPRODUCT(MAX((İzinler!$A$5:$A$504=$B55)*(İzinler!$C$5:$C$504&lt;=S$5)*(İzinler!$D$5:$D$504&gt;=S$5)*ROW(İzinler!$A$5:$A$504)))=0,"",LEFT(SUBSTITUTE(SUBSTITUTE(INDEX(İzinler!$B$1:$B$504,SUMPRODUCT(MAX((İzinler!$A$5:$A$504=$B55)*(İzinler!$C$5:$C$504&lt;=S$5)*(İzinler!$D$5:$D$504&gt;=S$5)*ROW(İzinler!$A$5:$A$504)))),"Yıllık izin","İ"),"Ücretsiz izin","Ü"),1)))</f>
        <v/>
      </c>
      <c r="T55" s="20" t="str">
        <f aca="false">IF(OR($B55="",T$5=""),"",IF(SUMPRODUCT(MAX((İzinler!$A$5:$A$504=$B55)*(İzinler!$C$5:$C$504&lt;=T$5)*(İzinler!$D$5:$D$504&gt;=T$5)*ROW(İzinler!$A$5:$A$504)))=0,"",LEFT(SUBSTITUTE(SUBSTITUTE(INDEX(İzinler!$B$1:$B$504,SUMPRODUCT(MAX((İzinler!$A$5:$A$504=$B55)*(İzinler!$C$5:$C$504&lt;=T$5)*(İzinler!$D$5:$D$504&gt;=T$5)*ROW(İzinler!$A$5:$A$504)))),"Yıllık izin","İ"),"Ücretsiz izin","Ü"),1)))</f>
        <v/>
      </c>
      <c r="U55" s="20" t="str">
        <f aca="false">IF(OR($B55="",U$5=""),"",IF(SUMPRODUCT(MAX((İzinler!$A$5:$A$504=$B55)*(İzinler!$C$5:$C$504&lt;=U$5)*(İzinler!$D$5:$D$504&gt;=U$5)*ROW(İzinler!$A$5:$A$504)))=0,"",LEFT(SUBSTITUTE(SUBSTITUTE(INDEX(İzinler!$B$1:$B$504,SUMPRODUCT(MAX((İzinler!$A$5:$A$504=$B55)*(İzinler!$C$5:$C$504&lt;=U$5)*(İzinler!$D$5:$D$504&gt;=U$5)*ROW(İzinler!$A$5:$A$504)))),"Yıllık izin","İ"),"Ücretsiz izin","Ü"),1)))</f>
        <v/>
      </c>
      <c r="V55" s="20" t="str">
        <f aca="false">IF(OR($B55="",V$5=""),"",IF(SUMPRODUCT(MAX((İzinler!$A$5:$A$504=$B55)*(İzinler!$C$5:$C$504&lt;=V$5)*(İzinler!$D$5:$D$504&gt;=V$5)*ROW(İzinler!$A$5:$A$504)))=0,"",LEFT(SUBSTITUTE(SUBSTITUTE(INDEX(İzinler!$B$1:$B$504,SUMPRODUCT(MAX((İzinler!$A$5:$A$504=$B55)*(İzinler!$C$5:$C$504&lt;=V$5)*(İzinler!$D$5:$D$504&gt;=V$5)*ROW(İzinler!$A$5:$A$504)))),"Yıllık izin","İ"),"Ücretsiz izin","Ü"),1)))</f>
        <v/>
      </c>
      <c r="W55" s="20" t="str">
        <f aca="false">IF(OR($B55="",W$5=""),"",IF(SUMPRODUCT(MAX((İzinler!$A$5:$A$504=$B55)*(İzinler!$C$5:$C$504&lt;=W$5)*(İzinler!$D$5:$D$504&gt;=W$5)*ROW(İzinler!$A$5:$A$504)))=0,"",LEFT(SUBSTITUTE(SUBSTITUTE(INDEX(İzinler!$B$1:$B$504,SUMPRODUCT(MAX((İzinler!$A$5:$A$504=$B55)*(İzinler!$C$5:$C$504&lt;=W$5)*(İzinler!$D$5:$D$504&gt;=W$5)*ROW(İzinler!$A$5:$A$504)))),"Yıllık izin","İ"),"Ücretsiz izin","Ü"),1)))</f>
        <v/>
      </c>
      <c r="X55" s="20" t="str">
        <f aca="false">IF(OR($B55="",X$5=""),"",IF(SUMPRODUCT(MAX((İzinler!$A$5:$A$504=$B55)*(İzinler!$C$5:$C$504&lt;=X$5)*(İzinler!$D$5:$D$504&gt;=X$5)*ROW(İzinler!$A$5:$A$504)))=0,"",LEFT(SUBSTITUTE(SUBSTITUTE(INDEX(İzinler!$B$1:$B$504,SUMPRODUCT(MAX((İzinler!$A$5:$A$504=$B55)*(İzinler!$C$5:$C$504&lt;=X$5)*(İzinler!$D$5:$D$504&gt;=X$5)*ROW(İzinler!$A$5:$A$504)))),"Yıllık izin","İ"),"Ücretsiz izin","Ü"),1)))</f>
        <v/>
      </c>
      <c r="Y55" s="20" t="str">
        <f aca="false">IF(OR($B55="",Y$5=""),"",IF(SUMPRODUCT(MAX((İzinler!$A$5:$A$504=$B55)*(İzinler!$C$5:$C$504&lt;=Y$5)*(İzinler!$D$5:$D$504&gt;=Y$5)*ROW(İzinler!$A$5:$A$504)))=0,"",LEFT(SUBSTITUTE(SUBSTITUTE(INDEX(İzinler!$B$1:$B$504,SUMPRODUCT(MAX((İzinler!$A$5:$A$504=$B55)*(İzinler!$C$5:$C$504&lt;=Y$5)*(İzinler!$D$5:$D$504&gt;=Y$5)*ROW(İzinler!$A$5:$A$504)))),"Yıllık izin","İ"),"Ücretsiz izin","Ü"),1)))</f>
        <v/>
      </c>
      <c r="Z55" s="20" t="str">
        <f aca="false">IF(OR($B55="",Z$5=""),"",IF(SUMPRODUCT(MAX((İzinler!$A$5:$A$504=$B55)*(İzinler!$C$5:$C$504&lt;=Z$5)*(İzinler!$D$5:$D$504&gt;=Z$5)*ROW(İzinler!$A$5:$A$504)))=0,"",LEFT(SUBSTITUTE(SUBSTITUTE(INDEX(İzinler!$B$1:$B$504,SUMPRODUCT(MAX((İzinler!$A$5:$A$504=$B55)*(İzinler!$C$5:$C$504&lt;=Z$5)*(İzinler!$D$5:$D$504&gt;=Z$5)*ROW(İzinler!$A$5:$A$504)))),"Yıllık izin","İ"),"Ücretsiz izin","Ü"),1)))</f>
        <v/>
      </c>
      <c r="AA55" s="20" t="str">
        <f aca="false">IF(OR($B55="",AA$5=""),"",IF(SUMPRODUCT(MAX((İzinler!$A$5:$A$504=$B55)*(İzinler!$C$5:$C$504&lt;=AA$5)*(İzinler!$D$5:$D$504&gt;=AA$5)*ROW(İzinler!$A$5:$A$504)))=0,"",LEFT(SUBSTITUTE(SUBSTITUTE(INDEX(İzinler!$B$1:$B$504,SUMPRODUCT(MAX((İzinler!$A$5:$A$504=$B55)*(İzinler!$C$5:$C$504&lt;=AA$5)*(İzinler!$D$5:$D$504&gt;=AA$5)*ROW(İzinler!$A$5:$A$504)))),"Yıllık izin","İ"),"Ücretsiz izin","Ü"),1)))</f>
        <v/>
      </c>
      <c r="AB55" s="20" t="str">
        <f aca="false">IF(OR($B55="",AB$5=""),"",IF(SUMPRODUCT(MAX((İzinler!$A$5:$A$504=$B55)*(İzinler!$C$5:$C$504&lt;=AB$5)*(İzinler!$D$5:$D$504&gt;=AB$5)*ROW(İzinler!$A$5:$A$504)))=0,"",LEFT(SUBSTITUTE(SUBSTITUTE(INDEX(İzinler!$B$1:$B$504,SUMPRODUCT(MAX((İzinler!$A$5:$A$504=$B55)*(İzinler!$C$5:$C$504&lt;=AB$5)*(İzinler!$D$5:$D$504&gt;=AB$5)*ROW(İzinler!$A$5:$A$504)))),"Yıllık izin","İ"),"Ücretsiz izin","Ü"),1)))</f>
        <v/>
      </c>
      <c r="AC55" s="20" t="str">
        <f aca="false">IF(OR($B55="",AC$5=""),"",IF(SUMPRODUCT(MAX((İzinler!$A$5:$A$504=$B55)*(İzinler!$C$5:$C$504&lt;=AC$5)*(İzinler!$D$5:$D$504&gt;=AC$5)*ROW(İzinler!$A$5:$A$504)))=0,"",LEFT(SUBSTITUTE(SUBSTITUTE(INDEX(İzinler!$B$1:$B$504,SUMPRODUCT(MAX((İzinler!$A$5:$A$504=$B55)*(İzinler!$C$5:$C$504&lt;=AC$5)*(İzinler!$D$5:$D$504&gt;=AC$5)*ROW(İzinler!$A$5:$A$504)))),"Yıllık izin","İ"),"Ücretsiz izin","Ü"),1)))</f>
        <v/>
      </c>
      <c r="AD55" s="20" t="str">
        <f aca="false">IF(OR($B55="",AD$5=""),"",IF(SUMPRODUCT(MAX((İzinler!$A$5:$A$504=$B55)*(İzinler!$C$5:$C$504&lt;=AD$5)*(İzinler!$D$5:$D$504&gt;=AD$5)*ROW(İzinler!$A$5:$A$504)))=0,"",LEFT(SUBSTITUTE(SUBSTITUTE(INDEX(İzinler!$B$1:$B$504,SUMPRODUCT(MAX((İzinler!$A$5:$A$504=$B55)*(İzinler!$C$5:$C$504&lt;=AD$5)*(İzinler!$D$5:$D$504&gt;=AD$5)*ROW(İzinler!$A$5:$A$504)))),"Yıllık izin","İ"),"Ücretsiz izin","Ü"),1)))</f>
        <v/>
      </c>
      <c r="AE55" s="20" t="str">
        <f aca="false">IF(OR($B55="",AE$5=""),"",IF(SUMPRODUCT(MAX((İzinler!$A$5:$A$504=$B55)*(İzinler!$C$5:$C$504&lt;=AE$5)*(İzinler!$D$5:$D$504&gt;=AE$5)*ROW(İzinler!$A$5:$A$504)))=0,"",LEFT(SUBSTITUTE(SUBSTITUTE(INDEX(İzinler!$B$1:$B$504,SUMPRODUCT(MAX((İzinler!$A$5:$A$504=$B55)*(İzinler!$C$5:$C$504&lt;=AE$5)*(İzinler!$D$5:$D$504&gt;=AE$5)*ROW(İzinler!$A$5:$A$504)))),"Yıllık izin","İ"),"Ücretsiz izin","Ü"),1)))</f>
        <v/>
      </c>
      <c r="AF55" s="20" t="str">
        <f aca="false">IF(OR($B55="",AF$5=""),"",IF(SUMPRODUCT(MAX((İzinler!$A$5:$A$504=$B55)*(İzinler!$C$5:$C$504&lt;=AF$5)*(İzinler!$D$5:$D$504&gt;=AF$5)*ROW(İzinler!$A$5:$A$504)))=0,"",LEFT(SUBSTITUTE(SUBSTITUTE(INDEX(İzinler!$B$1:$B$504,SUMPRODUCT(MAX((İzinler!$A$5:$A$504=$B55)*(İzinler!$C$5:$C$504&lt;=AF$5)*(İzinler!$D$5:$D$504&gt;=AF$5)*ROW(İzinler!$A$5:$A$504)))),"Yıllık izin","İ"),"Ücretsiz izin","Ü"),1)))</f>
        <v/>
      </c>
      <c r="AG55" s="20" t="str">
        <f aca="false">IF(OR($B55="",AG$5=""),"",IF(SUMPRODUCT(MAX((İzinler!$A$5:$A$504=$B55)*(İzinler!$C$5:$C$504&lt;=AG$5)*(İzinler!$D$5:$D$504&gt;=AG$5)*ROW(İzinler!$A$5:$A$504)))=0,"",LEFT(SUBSTITUTE(SUBSTITUTE(INDEX(İzinler!$B$1:$B$504,SUMPRODUCT(MAX((İzinler!$A$5:$A$504=$B55)*(İzinler!$C$5:$C$504&lt;=AG$5)*(İzinler!$D$5:$D$504&gt;=AG$5)*ROW(İzinler!$A$5:$A$504)))),"Yıllık izin","İ"),"Ücretsiz izin","Ü"),1)))</f>
        <v/>
      </c>
      <c r="AH55" s="21" t="str">
        <f aca="false">IF(B55="","",COUNTIF(C55:AG55,"?"))</f>
        <v/>
      </c>
    </row>
  </sheetData>
  <mergeCells count="1">
    <mergeCell ref="C3:D3"/>
  </mergeCells>
  <conditionalFormatting sqref="C6:AG55">
    <cfRule type="cellIs" priority="2" operator="equal" aboveAverage="0" equalAverage="0" bottom="0" percent="0" rank="0" text="" dxfId="1">
      <formula>"İ"</formula>
    </cfRule>
    <cfRule type="cellIs" priority="3" operator="equal" aboveAverage="0" equalAverage="0" bottom="0" percent="0" rank="0" text="" dxfId="0">
      <formula>"R"</formula>
    </cfRule>
    <cfRule type="cellIs" priority="4" operator="equal" aboveAverage="0" equalAverage="0" bottom="0" percent="0" rank="0" text="" dxfId="2">
      <formula>"Ü"</formula>
    </cfRule>
    <cfRule type="cellIs" priority="5" operator="equal" aboveAverage="0" equalAverage="0" bottom="0" percent="0" rank="0" text="" dxfId="3">
      <formula>"M"</formula>
    </cfRule>
    <cfRule type="expression" priority="6" aboveAverage="0" equalAverage="0" bottom="0" percent="0" rank="0" text="" dxfId="4">
      <formula>AND(C$5&lt;&gt;"",WEEKDAY(C$5,2)=7)</formula>
    </cfRule>
  </conditionalFormatting>
  <dataValidations count="1">
    <dataValidation allowBlank="true" error="1 ile 12 arasında bir tam sayı gir." errorStyle="stop" errorTitle="Kontrol" operator="between" showDropDown="false" showErrorMessage="true" showInputMessage="false" sqref="C3" type="whole">
      <formula1>1</formula1>
      <formula2>12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6" min="3" style="0" width="18"/>
  </cols>
  <sheetData>
    <row r="1" customFormat="false" ht="19.7" hidden="false" customHeight="false" outlineLevel="0" collapsed="false">
      <c r="A1" s="8" t="s">
        <v>55</v>
      </c>
    </row>
    <row r="2" customFormat="false" ht="15" hidden="false" customHeight="false" outlineLevel="0" collapsed="false">
      <c r="A2" s="9" t="s">
        <v>56</v>
      </c>
    </row>
    <row r="4" customFormat="false" ht="30" hidden="false" customHeight="true" outlineLevel="0" collapsed="false">
      <c r="B4" s="22" t="s">
        <v>32</v>
      </c>
      <c r="C4" s="22" t="s">
        <v>57</v>
      </c>
      <c r="D4" s="22" t="s">
        <v>58</v>
      </c>
      <c r="E4" s="22" t="s">
        <v>59</v>
      </c>
      <c r="F4" s="22" t="s">
        <v>60</v>
      </c>
    </row>
    <row r="5" customFormat="false" ht="27.75" hidden="false" customHeight="true" outlineLevel="0" collapsed="false">
      <c r="B5" s="23" t="n">
        <f aca="false">COUNTA(Personel!$A$5:$A$54)</f>
        <v>3</v>
      </c>
      <c r="C5" s="24" t="n">
        <f aca="true">SUMPRODUCT((İzinler!$A$5:$A$504&lt;&gt;"")*(İzinler!$C$5:$C$504&lt;=TODAY())*(İzinler!$D$5:$D$504&gt;=TODAY()))</f>
        <v>1</v>
      </c>
      <c r="D5" s="23" t="n">
        <f aca="false">SUM(Personel!$E$5:$E$54)</f>
        <v>25</v>
      </c>
      <c r="E5" s="23" t="n">
        <f aca="false">SUM(Personel!$F$5:$F$54)</f>
        <v>23</v>
      </c>
      <c r="F5" s="25" t="n">
        <f aca="false">SUM(Personel!$I$5:$I$54)</f>
        <v>9.5</v>
      </c>
    </row>
    <row r="8" customFormat="false" ht="15" hidden="false" customHeight="false" outlineLevel="0" collapsed="false">
      <c r="B8" s="26" t="s">
        <v>61</v>
      </c>
    </row>
    <row r="9" customFormat="false" ht="21.75" hidden="false" customHeight="true" outlineLevel="0" collapsed="false">
      <c r="B9" s="10" t="s">
        <v>62</v>
      </c>
      <c r="C9" s="10" t="s">
        <v>63</v>
      </c>
      <c r="D9" s="10" t="s">
        <v>64</v>
      </c>
      <c r="E9" s="10" t="s">
        <v>60</v>
      </c>
    </row>
    <row r="10" customFormat="false" ht="15" hidden="false" customHeight="false" outlineLevel="0" collapsed="false">
      <c r="B10" s="16" t="s">
        <v>65</v>
      </c>
      <c r="C10" s="27" t="n">
        <f aca="false">SUMIFS(İzinler!$F$5:$F$504,İzinler!$C$5:$C$504,"&gt;="&amp;DATE(Ayarlar!$C$4,1,1),İzinler!$C$5:$C$504,"&lt;"&amp;DATE(Ayarlar!$C$4,2,1),İzinler!$B$5:$B$504,"Yıllık izin")</f>
        <v>0</v>
      </c>
      <c r="D10" s="27" t="n">
        <f aca="false">SUMIFS(İzinler!$F$5:$F$504,İzinler!$C$5:$C$504,"&gt;="&amp;DATE(Ayarlar!$C$4,1,1),İzinler!$C$5:$C$504,"&lt;"&amp;DATE(Ayarlar!$C$4,2,1),İzinler!$B$5:$B$504,"Rapor")</f>
        <v>0</v>
      </c>
      <c r="E10" s="28" t="n">
        <f aca="false">SUMIFS(Mesai!$C$5:$C$504,Mesai!$B$5:$B$504,"&gt;="&amp;DATE(Ayarlar!$C$4,1,1),Mesai!$B$5:$B$504,"&lt;"&amp;DATE(Ayarlar!$C$4,2,1))</f>
        <v>0</v>
      </c>
    </row>
    <row r="11" customFormat="false" ht="15" hidden="false" customHeight="false" outlineLevel="0" collapsed="false">
      <c r="B11" s="29" t="s">
        <v>66</v>
      </c>
      <c r="C11" s="30" t="n">
        <f aca="false">SUMIFS(İzinler!$F$5:$F$504,İzinler!$C$5:$C$504,"&gt;="&amp;DATE(Ayarlar!$C$4,2,1),İzinler!$C$5:$C$504,"&lt;"&amp;DATE(Ayarlar!$C$4,3,1),İzinler!$B$5:$B$504,"Yıllık izin")</f>
        <v>0</v>
      </c>
      <c r="D11" s="30" t="n">
        <f aca="false">SUMIFS(İzinler!$F$5:$F$504,İzinler!$C$5:$C$504,"&gt;="&amp;DATE(Ayarlar!$C$4,2,1),İzinler!$C$5:$C$504,"&lt;"&amp;DATE(Ayarlar!$C$4,3,1),İzinler!$B$5:$B$504,"Rapor")</f>
        <v>0</v>
      </c>
      <c r="E11" s="31" t="n">
        <f aca="false">SUMIFS(Mesai!$C$5:$C$504,Mesai!$B$5:$B$504,"&gt;="&amp;DATE(Ayarlar!$C$4,2,1),Mesai!$B$5:$B$504,"&lt;"&amp;DATE(Ayarlar!$C$4,3,1))</f>
        <v>0</v>
      </c>
    </row>
    <row r="12" customFormat="false" ht="15" hidden="false" customHeight="false" outlineLevel="0" collapsed="false">
      <c r="B12" s="16" t="s">
        <v>67</v>
      </c>
      <c r="C12" s="27" t="n">
        <f aca="false">SUMIFS(İzinler!$F$5:$F$504,İzinler!$C$5:$C$504,"&gt;="&amp;DATE(Ayarlar!$C$4,3,1),İzinler!$C$5:$C$504,"&lt;"&amp;DATE(Ayarlar!$C$4,4,1),İzinler!$B$5:$B$504,"Yıllık izin")</f>
        <v>0</v>
      </c>
      <c r="D12" s="27" t="n">
        <f aca="false">SUMIFS(İzinler!$F$5:$F$504,İzinler!$C$5:$C$504,"&gt;="&amp;DATE(Ayarlar!$C$4,3,1),İzinler!$C$5:$C$504,"&lt;"&amp;DATE(Ayarlar!$C$4,4,1),İzinler!$B$5:$B$504,"Rapor")</f>
        <v>0</v>
      </c>
      <c r="E12" s="28" t="n">
        <f aca="false">SUMIFS(Mesai!$C$5:$C$504,Mesai!$B$5:$B$504,"&gt;="&amp;DATE(Ayarlar!$C$4,3,1),Mesai!$B$5:$B$504,"&lt;"&amp;DATE(Ayarlar!$C$4,4,1))</f>
        <v>0</v>
      </c>
    </row>
    <row r="13" customFormat="false" ht="15" hidden="false" customHeight="false" outlineLevel="0" collapsed="false">
      <c r="B13" s="29" t="s">
        <v>68</v>
      </c>
      <c r="C13" s="30" t="n">
        <f aca="false">SUMIFS(İzinler!$F$5:$F$504,İzinler!$C$5:$C$504,"&gt;="&amp;DATE(Ayarlar!$C$4,4,1),İzinler!$C$5:$C$504,"&lt;"&amp;DATE(Ayarlar!$C$4,5,1),İzinler!$B$5:$B$504,"Yıllık izin")</f>
        <v>0</v>
      </c>
      <c r="D13" s="30" t="n">
        <f aca="false">SUMIFS(İzinler!$F$5:$F$504,İzinler!$C$5:$C$504,"&gt;="&amp;DATE(Ayarlar!$C$4,4,1),İzinler!$C$5:$C$504,"&lt;"&amp;DATE(Ayarlar!$C$4,5,1),İzinler!$B$5:$B$504,"Rapor")</f>
        <v>0</v>
      </c>
      <c r="E13" s="31" t="n">
        <f aca="false">SUMIFS(Mesai!$C$5:$C$504,Mesai!$B$5:$B$504,"&gt;="&amp;DATE(Ayarlar!$C$4,4,1),Mesai!$B$5:$B$504,"&lt;"&amp;DATE(Ayarlar!$C$4,5,1))</f>
        <v>0</v>
      </c>
    </row>
    <row r="14" customFormat="false" ht="15" hidden="false" customHeight="false" outlineLevel="0" collapsed="false">
      <c r="B14" s="16" t="s">
        <v>69</v>
      </c>
      <c r="C14" s="27" t="n">
        <f aca="false">SUMIFS(İzinler!$F$5:$F$504,İzinler!$C$5:$C$504,"&gt;="&amp;DATE(Ayarlar!$C$4,5,1),İzinler!$C$5:$C$504,"&lt;"&amp;DATE(Ayarlar!$C$4,6,1),İzinler!$B$5:$B$504,"Yıllık izin")</f>
        <v>0</v>
      </c>
      <c r="D14" s="27" t="n">
        <f aca="false">SUMIFS(İzinler!$F$5:$F$504,İzinler!$C$5:$C$504,"&gt;="&amp;DATE(Ayarlar!$C$4,5,1),İzinler!$C$5:$C$504,"&lt;"&amp;DATE(Ayarlar!$C$4,6,1),İzinler!$B$5:$B$504,"Rapor")</f>
        <v>0</v>
      </c>
      <c r="E14" s="28" t="n">
        <f aca="false">SUMIFS(Mesai!$C$5:$C$504,Mesai!$B$5:$B$504,"&gt;="&amp;DATE(Ayarlar!$C$4,5,1),Mesai!$B$5:$B$504,"&lt;"&amp;DATE(Ayarlar!$C$4,6,1))</f>
        <v>0</v>
      </c>
    </row>
    <row r="15" customFormat="false" ht="15" hidden="false" customHeight="false" outlineLevel="0" collapsed="false">
      <c r="B15" s="29" t="s">
        <v>70</v>
      </c>
      <c r="C15" s="30" t="n">
        <f aca="false">SUMIFS(İzinler!$F$5:$F$504,İzinler!$C$5:$C$504,"&gt;="&amp;DATE(Ayarlar!$C$4,6,1),İzinler!$C$5:$C$504,"&lt;"&amp;DATE(Ayarlar!$C$4,7,1),İzinler!$B$5:$B$504,"Yıllık izin")</f>
        <v>0</v>
      </c>
      <c r="D15" s="30" t="n">
        <f aca="false">SUMIFS(İzinler!$F$5:$F$504,İzinler!$C$5:$C$504,"&gt;="&amp;DATE(Ayarlar!$C$4,6,1),İzinler!$C$5:$C$504,"&lt;"&amp;DATE(Ayarlar!$C$4,7,1),İzinler!$B$5:$B$504,"Rapor")</f>
        <v>0</v>
      </c>
      <c r="E15" s="31" t="n">
        <f aca="false">SUMIFS(Mesai!$C$5:$C$504,Mesai!$B$5:$B$504,"&gt;="&amp;DATE(Ayarlar!$C$4,6,1),Mesai!$B$5:$B$504,"&lt;"&amp;DATE(Ayarlar!$C$4,7,1))</f>
        <v>0</v>
      </c>
    </row>
    <row r="16" customFormat="false" ht="15" hidden="false" customHeight="false" outlineLevel="0" collapsed="false">
      <c r="B16" s="16" t="s">
        <v>71</v>
      </c>
      <c r="C16" s="27" t="n">
        <f aca="false">SUMIFS(İzinler!$F$5:$F$504,İzinler!$C$5:$C$504,"&gt;="&amp;DATE(Ayarlar!$C$4,7,1),İzinler!$C$5:$C$504,"&lt;"&amp;DATE(Ayarlar!$C$4,8,1),İzinler!$B$5:$B$504,"Yıllık izin")</f>
        <v>11</v>
      </c>
      <c r="D16" s="27" t="n">
        <f aca="false">SUMIFS(İzinler!$F$5:$F$504,İzinler!$C$5:$C$504,"&gt;="&amp;DATE(Ayarlar!$C$4,7,1),İzinler!$C$5:$C$504,"&lt;"&amp;DATE(Ayarlar!$C$4,8,1),İzinler!$B$5:$B$504,"Rapor")</f>
        <v>0</v>
      </c>
      <c r="E16" s="28" t="n">
        <f aca="false">SUMIFS(Mesai!$C$5:$C$504,Mesai!$B$5:$B$504,"&gt;="&amp;DATE(Ayarlar!$C$4,7,1),Mesai!$B$5:$B$504,"&lt;"&amp;DATE(Ayarlar!$C$4,8,1))</f>
        <v>0</v>
      </c>
    </row>
    <row r="17" customFormat="false" ht="15" hidden="false" customHeight="false" outlineLevel="0" collapsed="false">
      <c r="B17" s="29" t="s">
        <v>72</v>
      </c>
      <c r="C17" s="30" t="n">
        <f aca="false">SUMIFS(İzinler!$F$5:$F$504,İzinler!$C$5:$C$504,"&gt;="&amp;DATE(Ayarlar!$C$4,8,1),İzinler!$C$5:$C$504,"&lt;"&amp;DATE(Ayarlar!$C$4,9,1),İzinler!$B$5:$B$504,"Yıllık izin")</f>
        <v>9</v>
      </c>
      <c r="D17" s="30" t="n">
        <f aca="false">SUMIFS(İzinler!$F$5:$F$504,İzinler!$C$5:$C$504,"&gt;="&amp;DATE(Ayarlar!$C$4,8,1),İzinler!$C$5:$C$504,"&lt;"&amp;DATE(Ayarlar!$C$4,9,1),İzinler!$B$5:$B$504,"Rapor")</f>
        <v>0</v>
      </c>
      <c r="E17" s="31" t="n">
        <f aca="false">SUMIFS(Mesai!$C$5:$C$504,Mesai!$B$5:$B$504,"&gt;="&amp;DATE(Ayarlar!$C$4,8,1),Mesai!$B$5:$B$504,"&lt;"&amp;DATE(Ayarlar!$C$4,9,1))</f>
        <v>0</v>
      </c>
    </row>
    <row r="18" customFormat="false" ht="15" hidden="false" customHeight="false" outlineLevel="0" collapsed="false">
      <c r="B18" s="16" t="s">
        <v>73</v>
      </c>
      <c r="C18" s="27" t="n">
        <f aca="false">SUMIFS(İzinler!$F$5:$F$504,İzinler!$C$5:$C$504,"&gt;="&amp;DATE(Ayarlar!$C$4,9,1),İzinler!$C$5:$C$504,"&lt;"&amp;DATE(Ayarlar!$C$4,10,1),İzinler!$B$5:$B$504,"Yıllık izin")</f>
        <v>0</v>
      </c>
      <c r="D18" s="27" t="n">
        <f aca="false">SUMIFS(İzinler!$F$5:$F$504,İzinler!$C$5:$C$504,"&gt;="&amp;DATE(Ayarlar!$C$4,9,1),İzinler!$C$5:$C$504,"&lt;"&amp;DATE(Ayarlar!$C$4,10,1),İzinler!$B$5:$B$504,"Rapor")</f>
        <v>3</v>
      </c>
      <c r="E18" s="28" t="n">
        <f aca="false">SUMIFS(Mesai!$C$5:$C$504,Mesai!$B$5:$B$504,"&gt;="&amp;DATE(Ayarlar!$C$4,9,1),Mesai!$B$5:$B$504,"&lt;"&amp;DATE(Ayarlar!$C$4,10,1))</f>
        <v>7.5</v>
      </c>
    </row>
    <row r="19" customFormat="false" ht="15" hidden="false" customHeight="false" outlineLevel="0" collapsed="false">
      <c r="B19" s="29" t="s">
        <v>74</v>
      </c>
      <c r="C19" s="30" t="n">
        <f aca="false">SUMIFS(İzinler!$F$5:$F$504,İzinler!$C$5:$C$504,"&gt;="&amp;DATE(Ayarlar!$C$4,10,1),İzinler!$C$5:$C$504,"&lt;"&amp;DATE(Ayarlar!$C$4,11,1),İzinler!$B$5:$B$504,"Yıllık izin")</f>
        <v>5</v>
      </c>
      <c r="D19" s="30" t="n">
        <f aca="false">SUMIFS(İzinler!$F$5:$F$504,İzinler!$C$5:$C$504,"&gt;="&amp;DATE(Ayarlar!$C$4,10,1),İzinler!$C$5:$C$504,"&lt;"&amp;DATE(Ayarlar!$C$4,11,1),İzinler!$B$5:$B$504,"Rapor")</f>
        <v>0</v>
      </c>
      <c r="E19" s="31" t="n">
        <f aca="false">SUMIFS(Mesai!$C$5:$C$504,Mesai!$B$5:$B$504,"&gt;="&amp;DATE(Ayarlar!$C$4,10,1),Mesai!$B$5:$B$504,"&lt;"&amp;DATE(Ayarlar!$C$4,11,1))</f>
        <v>2</v>
      </c>
    </row>
    <row r="20" customFormat="false" ht="15" hidden="false" customHeight="false" outlineLevel="0" collapsed="false">
      <c r="B20" s="16" t="s">
        <v>75</v>
      </c>
      <c r="C20" s="27" t="n">
        <f aca="false">SUMIFS(İzinler!$F$5:$F$504,İzinler!$C$5:$C$504,"&gt;="&amp;DATE(Ayarlar!$C$4,11,1),İzinler!$C$5:$C$504,"&lt;"&amp;DATE(Ayarlar!$C$4,12,1),İzinler!$B$5:$B$504,"Yıllık izin")</f>
        <v>0</v>
      </c>
      <c r="D20" s="27" t="n">
        <f aca="false">SUMIFS(İzinler!$F$5:$F$504,İzinler!$C$5:$C$504,"&gt;="&amp;DATE(Ayarlar!$C$4,11,1),İzinler!$C$5:$C$504,"&lt;"&amp;DATE(Ayarlar!$C$4,12,1),İzinler!$B$5:$B$504,"Rapor")</f>
        <v>0</v>
      </c>
      <c r="E20" s="28" t="n">
        <f aca="false">SUMIFS(Mesai!$C$5:$C$504,Mesai!$B$5:$B$504,"&gt;="&amp;DATE(Ayarlar!$C$4,11,1),Mesai!$B$5:$B$504,"&lt;"&amp;DATE(Ayarlar!$C$4,12,1))</f>
        <v>0</v>
      </c>
    </row>
    <row r="21" customFormat="false" ht="15" hidden="false" customHeight="false" outlineLevel="0" collapsed="false">
      <c r="B21" s="29" t="s">
        <v>76</v>
      </c>
      <c r="C21" s="30" t="n">
        <f aca="false">SUMIFS(İzinler!$F$5:$F$504,İzinler!$C$5:$C$504,"&gt;="&amp;DATE(Ayarlar!$C$4,12,1),İzinler!$C$5:$C$504,"&lt;"&amp;DATE(Ayarlar!$C$4,13,1),İzinler!$B$5:$B$504,"Yıllık izin")</f>
        <v>0</v>
      </c>
      <c r="D21" s="30" t="n">
        <f aca="false">SUMIFS(İzinler!$F$5:$F$504,İzinler!$C$5:$C$504,"&gt;="&amp;DATE(Ayarlar!$C$4,12,1),İzinler!$C$5:$C$504,"&lt;"&amp;DATE(Ayarlar!$C$4,13,1),İzinler!$B$5:$B$504,"Rapor")</f>
        <v>0</v>
      </c>
      <c r="E21" s="31" t="n">
        <f aca="false">SUMIFS(Mesai!$C$5:$C$504,Mesai!$B$5:$B$504,"&gt;="&amp;DATE(Ayarlar!$C$4,12,1),Mesai!$B$5:$B$504,"&lt;"&amp;DATE(Ayarlar!$C$4,13,1))</f>
        <v>0</v>
      </c>
    </row>
    <row r="23" customFormat="false" ht="15" hidden="false" customHeight="false" outlineLevel="0" collapsed="false">
      <c r="B23" s="9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J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7" min="6" style="0" width="11"/>
    <col collapsed="false" customWidth="true" hidden="false" outlineLevel="0" max="9" min="8" style="0" width="12"/>
    <col collapsed="false" customWidth="true" hidden="false" outlineLevel="0" max="10" min="10" style="0" width="10"/>
  </cols>
  <sheetData>
    <row r="1" customFormat="false" ht="19.7" hidden="false" customHeight="false" outlineLevel="0" collapsed="false">
      <c r="A1" s="8" t="s">
        <v>32</v>
      </c>
    </row>
    <row r="2" customFormat="false" ht="15" hidden="false" customHeight="false" outlineLevel="0" collapsed="false">
      <c r="A2" s="9" t="s">
        <v>78</v>
      </c>
    </row>
    <row r="4" customFormat="false" ht="27.75" hidden="false" customHeight="true" outlineLevel="0" collapsed="false">
      <c r="A4" s="10" t="s">
        <v>79</v>
      </c>
      <c r="B4" s="10" t="s">
        <v>80</v>
      </c>
      <c r="C4" s="10" t="s">
        <v>81</v>
      </c>
      <c r="D4" s="10" t="s">
        <v>82</v>
      </c>
      <c r="E4" s="11" t="s">
        <v>83</v>
      </c>
      <c r="F4" s="11" t="s">
        <v>84</v>
      </c>
      <c r="G4" s="11" t="s">
        <v>64</v>
      </c>
      <c r="H4" s="11" t="s">
        <v>85</v>
      </c>
      <c r="I4" s="11" t="s">
        <v>60</v>
      </c>
      <c r="J4" s="11" t="s">
        <v>86</v>
      </c>
    </row>
    <row r="5" customFormat="false" ht="15" hidden="false" customHeight="false" outlineLevel="0" collapsed="false">
      <c r="A5" s="12" t="s">
        <v>39</v>
      </c>
      <c r="B5" s="12" t="s">
        <v>87</v>
      </c>
      <c r="C5" s="14" t="n">
        <v>43528</v>
      </c>
      <c r="D5" s="32" t="n">
        <v>20</v>
      </c>
      <c r="E5" s="27" t="n">
        <f aca="false">IF(A5="","",SUMIFS(İzinler!$F$5:$F$504,İzinler!$A$5:$A$504,A5,İzinler!$B$5:$B$504,"Yıllık izin",İzinler!$C$5:$C$504,"&gt;="&amp;DATE(Ayarlar!$C$4,1,1),İzinler!$C$5:$C$504,"&lt;"&amp;DATE(Ayarlar!$C$4+1,1,1)))</f>
        <v>16</v>
      </c>
      <c r="F5" s="33" t="n">
        <f aca="false">IF(A5="","",D5-E5)</f>
        <v>4</v>
      </c>
      <c r="G5" s="27" t="n">
        <f aca="false">IF(A5="","",SUMIFS(İzinler!$F$5:$F$504,İzinler!$A$5:$A$504,A5,İzinler!$B$5:$B$504,"Rapor",İzinler!$C$5:$C$504,"&gt;="&amp;DATE(Ayarlar!$C$4,1,1),İzinler!$C$5:$C$504,"&lt;"&amp;DATE(Ayarlar!$C$4+1,1,1)))</f>
        <v>0</v>
      </c>
      <c r="H5" s="27" t="n">
        <f aca="false">IF(A5="","",SUMIFS(İzinler!$F$5:$F$504,İzinler!$A$5:$A$504,A5,İzinler!$B$5:$B$504,"Ücretsiz izin",İzinler!$C$5:$C$504,"&gt;="&amp;DATE(Ayarlar!$C$4,1,1),İzinler!$C$5:$C$504,"&lt;"&amp;DATE(Ayarlar!$C$4+1,1,1)))</f>
        <v>0</v>
      </c>
      <c r="I5" s="28" t="n">
        <f aca="false">IF(A5="","",SUMIFS(Mesai!$C$5:$C$504,Mesai!$A$5:$A$504,A5,Mesai!$B$5:$B$504,"&gt;="&amp;DATE(Ayarlar!$C$4,1,1),Mesai!$B$5:$B$504,"&lt;"&amp;DATE(Ayarlar!$C$4+1,1,1)))</f>
        <v>5</v>
      </c>
      <c r="J5" s="34" t="n">
        <f aca="true">IF(OR(A5="",C5=""),"",(TODAY()-C5)/365.25)</f>
        <v>7.58658453114305</v>
      </c>
    </row>
    <row r="6" customFormat="false" ht="15" hidden="false" customHeight="false" outlineLevel="0" collapsed="false">
      <c r="A6" s="12" t="s">
        <v>41</v>
      </c>
      <c r="B6" s="12" t="s">
        <v>88</v>
      </c>
      <c r="C6" s="14" t="n">
        <v>45089</v>
      </c>
      <c r="D6" s="32" t="n">
        <v>14</v>
      </c>
      <c r="E6" s="27" t="n">
        <f aca="false">IF(A6="","",SUMIFS(İzinler!$F$5:$F$504,İzinler!$A$5:$A$504,A6,İzinler!$B$5:$B$504,"Yıllık izin",İzinler!$C$5:$C$504,"&gt;="&amp;DATE(Ayarlar!$C$4,1,1),İzinler!$C$5:$C$504,"&lt;"&amp;DATE(Ayarlar!$C$4+1,1,1)))</f>
        <v>9</v>
      </c>
      <c r="F6" s="33" t="n">
        <f aca="false">IF(A6="","",D6-E6)</f>
        <v>5</v>
      </c>
      <c r="G6" s="27" t="n">
        <f aca="false">IF(A6="","",SUMIFS(İzinler!$F$5:$F$504,İzinler!$A$5:$A$504,A6,İzinler!$B$5:$B$504,"Rapor",İzinler!$C$5:$C$504,"&gt;="&amp;DATE(Ayarlar!$C$4,1,1),İzinler!$C$5:$C$504,"&lt;"&amp;DATE(Ayarlar!$C$4+1,1,1)))</f>
        <v>0</v>
      </c>
      <c r="H6" s="27" t="n">
        <f aca="false">IF(A6="","",SUMIFS(İzinler!$F$5:$F$504,İzinler!$A$5:$A$504,A6,İzinler!$B$5:$B$504,"Ücretsiz izin",İzinler!$C$5:$C$504,"&gt;="&amp;DATE(Ayarlar!$C$4,1,1),İzinler!$C$5:$C$504,"&lt;"&amp;DATE(Ayarlar!$C$4+1,1,1)))</f>
        <v>2</v>
      </c>
      <c r="I6" s="28" t="n">
        <f aca="false">IF(A6="","",SUMIFS(Mesai!$C$5:$C$504,Mesai!$A$5:$A$504,A6,Mesai!$B$5:$B$504,"&gt;="&amp;DATE(Ayarlar!$C$4,1,1),Mesai!$B$5:$B$504,"&lt;"&amp;DATE(Ayarlar!$C$4+1,1,1)))</f>
        <v>0</v>
      </c>
      <c r="J6" s="34" t="n">
        <f aca="true">IF(OR(A6="",C6=""),"",(TODAY()-C6)/365.25)</f>
        <v>3.31279945242984</v>
      </c>
    </row>
    <row r="7" customFormat="false" ht="15" hidden="false" customHeight="false" outlineLevel="0" collapsed="false">
      <c r="A7" s="12" t="s">
        <v>42</v>
      </c>
      <c r="B7" s="12" t="s">
        <v>89</v>
      </c>
      <c r="C7" s="14" t="n">
        <v>45677</v>
      </c>
      <c r="D7" s="32" t="n">
        <v>14</v>
      </c>
      <c r="E7" s="27" t="n">
        <f aca="false">IF(A7="","",SUMIFS(İzinler!$F$5:$F$504,İzinler!$A$5:$A$504,A7,İzinler!$B$5:$B$504,"Yıllık izin",İzinler!$C$5:$C$504,"&gt;="&amp;DATE(Ayarlar!$C$4,1,1),İzinler!$C$5:$C$504,"&lt;"&amp;DATE(Ayarlar!$C$4+1,1,1)))</f>
        <v>0</v>
      </c>
      <c r="F7" s="33" t="n">
        <f aca="false">IF(A7="","",D7-E7)</f>
        <v>14</v>
      </c>
      <c r="G7" s="27" t="n">
        <f aca="false">IF(A7="","",SUMIFS(İzinler!$F$5:$F$504,İzinler!$A$5:$A$504,A7,İzinler!$B$5:$B$504,"Rapor",İzinler!$C$5:$C$504,"&gt;="&amp;DATE(Ayarlar!$C$4,1,1),İzinler!$C$5:$C$504,"&lt;"&amp;DATE(Ayarlar!$C$4+1,1,1)))</f>
        <v>3</v>
      </c>
      <c r="H7" s="27" t="n">
        <f aca="false">IF(A7="","",SUMIFS(İzinler!$F$5:$F$504,İzinler!$A$5:$A$504,A7,İzinler!$B$5:$B$504,"Ücretsiz izin",İzinler!$C$5:$C$504,"&gt;="&amp;DATE(Ayarlar!$C$4,1,1),İzinler!$C$5:$C$504,"&lt;"&amp;DATE(Ayarlar!$C$4+1,1,1)))</f>
        <v>0</v>
      </c>
      <c r="I7" s="28" t="n">
        <f aca="false">IF(A7="","",SUMIFS(Mesai!$C$5:$C$504,Mesai!$A$5:$A$504,A7,Mesai!$B$5:$B$504,"&gt;="&amp;DATE(Ayarlar!$C$4,1,1),Mesai!$B$5:$B$504,"&lt;"&amp;DATE(Ayarlar!$C$4+1,1,1)))</f>
        <v>4.5</v>
      </c>
      <c r="J7" s="34" t="n">
        <f aca="true">IF(OR(A7="",C7=""),"",(TODAY()-C7)/365.25)</f>
        <v>1.70294318959617</v>
      </c>
    </row>
    <row r="8" customFormat="false" ht="15" hidden="false" customHeight="false" outlineLevel="0" collapsed="false">
      <c r="A8" s="12"/>
      <c r="B8" s="12"/>
      <c r="C8" s="14"/>
      <c r="D8" s="32"/>
      <c r="E8" s="27" t="str">
        <f aca="false">IF(A8="","",SUMIFS(İzinler!$F$5:$F$504,İzinler!$A$5:$A$504,A8,İzinler!$B$5:$B$504,"Yıllık izin",İzinler!$C$5:$C$504,"&gt;="&amp;DATE(Ayarlar!$C$4,1,1),İzinler!$C$5:$C$504,"&lt;"&amp;DATE(Ayarlar!$C$4+1,1,1)))</f>
        <v/>
      </c>
      <c r="F8" s="33" t="str">
        <f aca="false">IF(A8="","",D8-E8)</f>
        <v/>
      </c>
      <c r="G8" s="27" t="str">
        <f aca="false">IF(A8="","",SUMIFS(İzinler!$F$5:$F$504,İzinler!$A$5:$A$504,A8,İzinler!$B$5:$B$504,"Rapor",İzinler!$C$5:$C$504,"&gt;="&amp;DATE(Ayarlar!$C$4,1,1),İzinler!$C$5:$C$504,"&lt;"&amp;DATE(Ayarlar!$C$4+1,1,1)))</f>
        <v/>
      </c>
      <c r="H8" s="27" t="str">
        <f aca="false">IF(A8="","",SUMIFS(İzinler!$F$5:$F$504,İzinler!$A$5:$A$504,A8,İzinler!$B$5:$B$504,"Ücretsiz izin",İzinler!$C$5:$C$504,"&gt;="&amp;DATE(Ayarlar!$C$4,1,1),İzinler!$C$5:$C$504,"&lt;"&amp;DATE(Ayarlar!$C$4+1,1,1)))</f>
        <v/>
      </c>
      <c r="I8" s="28" t="str">
        <f aca="false">IF(A8="","",SUMIFS(Mesai!$C$5:$C$504,Mesai!$A$5:$A$504,A8,Mesai!$B$5:$B$504,"&gt;="&amp;DATE(Ayarlar!$C$4,1,1),Mesai!$B$5:$B$504,"&lt;"&amp;DATE(Ayarlar!$C$4+1,1,1)))</f>
        <v/>
      </c>
      <c r="J8" s="34" t="str">
        <f aca="true">IF(OR(A8="",C8=""),"",(TODAY()-C8)/365.25)</f>
        <v/>
      </c>
    </row>
    <row r="9" customFormat="false" ht="15" hidden="false" customHeight="false" outlineLevel="0" collapsed="false">
      <c r="A9" s="12"/>
      <c r="B9" s="12"/>
      <c r="C9" s="14"/>
      <c r="D9" s="32"/>
      <c r="E9" s="27" t="str">
        <f aca="false">IF(A9="","",SUMIFS(İzinler!$F$5:$F$504,İzinler!$A$5:$A$504,A9,İzinler!$B$5:$B$504,"Yıllık izin",İzinler!$C$5:$C$504,"&gt;="&amp;DATE(Ayarlar!$C$4,1,1),İzinler!$C$5:$C$504,"&lt;"&amp;DATE(Ayarlar!$C$4+1,1,1)))</f>
        <v/>
      </c>
      <c r="F9" s="33" t="str">
        <f aca="false">IF(A9="","",D9-E9)</f>
        <v/>
      </c>
      <c r="G9" s="27" t="str">
        <f aca="false">IF(A9="","",SUMIFS(İzinler!$F$5:$F$504,İzinler!$A$5:$A$504,A9,İzinler!$B$5:$B$504,"Rapor",İzinler!$C$5:$C$504,"&gt;="&amp;DATE(Ayarlar!$C$4,1,1),İzinler!$C$5:$C$504,"&lt;"&amp;DATE(Ayarlar!$C$4+1,1,1)))</f>
        <v/>
      </c>
      <c r="H9" s="27" t="str">
        <f aca="false">IF(A9="","",SUMIFS(İzinler!$F$5:$F$504,İzinler!$A$5:$A$504,A9,İzinler!$B$5:$B$504,"Ücretsiz izin",İzinler!$C$5:$C$504,"&gt;="&amp;DATE(Ayarlar!$C$4,1,1),İzinler!$C$5:$C$504,"&lt;"&amp;DATE(Ayarlar!$C$4+1,1,1)))</f>
        <v/>
      </c>
      <c r="I9" s="28" t="str">
        <f aca="false">IF(A9="","",SUMIFS(Mesai!$C$5:$C$504,Mesai!$A$5:$A$504,A9,Mesai!$B$5:$B$504,"&gt;="&amp;DATE(Ayarlar!$C$4,1,1),Mesai!$B$5:$B$504,"&lt;"&amp;DATE(Ayarlar!$C$4+1,1,1)))</f>
        <v/>
      </c>
      <c r="J9" s="34" t="str">
        <f aca="true">IF(OR(A9="",C9=""),"",(TODAY()-C9)/365.25)</f>
        <v/>
      </c>
    </row>
    <row r="10" customFormat="false" ht="15" hidden="false" customHeight="false" outlineLevel="0" collapsed="false">
      <c r="A10" s="12"/>
      <c r="B10" s="12"/>
      <c r="C10" s="14"/>
      <c r="D10" s="32"/>
      <c r="E10" s="27" t="str">
        <f aca="false">IF(A10="","",SUMIFS(İzinler!$F$5:$F$504,İzinler!$A$5:$A$504,A10,İzinler!$B$5:$B$504,"Yıllık izin",İzinler!$C$5:$C$504,"&gt;="&amp;DATE(Ayarlar!$C$4,1,1),İzinler!$C$5:$C$504,"&lt;"&amp;DATE(Ayarlar!$C$4+1,1,1)))</f>
        <v/>
      </c>
      <c r="F10" s="33" t="str">
        <f aca="false">IF(A10="","",D10-E10)</f>
        <v/>
      </c>
      <c r="G10" s="27" t="str">
        <f aca="false">IF(A10="","",SUMIFS(İzinler!$F$5:$F$504,İzinler!$A$5:$A$504,A10,İzinler!$B$5:$B$504,"Rapor",İzinler!$C$5:$C$504,"&gt;="&amp;DATE(Ayarlar!$C$4,1,1),İzinler!$C$5:$C$504,"&lt;"&amp;DATE(Ayarlar!$C$4+1,1,1)))</f>
        <v/>
      </c>
      <c r="H10" s="27" t="str">
        <f aca="false">IF(A10="","",SUMIFS(İzinler!$F$5:$F$504,İzinler!$A$5:$A$504,A10,İzinler!$B$5:$B$504,"Ücretsiz izin",İzinler!$C$5:$C$504,"&gt;="&amp;DATE(Ayarlar!$C$4,1,1),İzinler!$C$5:$C$504,"&lt;"&amp;DATE(Ayarlar!$C$4+1,1,1)))</f>
        <v/>
      </c>
      <c r="I10" s="28" t="str">
        <f aca="false">IF(A10="","",SUMIFS(Mesai!$C$5:$C$504,Mesai!$A$5:$A$504,A10,Mesai!$B$5:$B$504,"&gt;="&amp;DATE(Ayarlar!$C$4,1,1),Mesai!$B$5:$B$504,"&lt;"&amp;DATE(Ayarlar!$C$4+1,1,1)))</f>
        <v/>
      </c>
      <c r="J10" s="34" t="str">
        <f aca="true">IF(OR(A10="",C10=""),"",(TODAY()-C10)/365.25)</f>
        <v/>
      </c>
    </row>
    <row r="11" customFormat="false" ht="15" hidden="false" customHeight="false" outlineLevel="0" collapsed="false">
      <c r="A11" s="12"/>
      <c r="B11" s="12"/>
      <c r="C11" s="14"/>
      <c r="D11" s="32"/>
      <c r="E11" s="27" t="str">
        <f aca="false">IF(A11="","",SUMIFS(İzinler!$F$5:$F$504,İzinler!$A$5:$A$504,A11,İzinler!$B$5:$B$504,"Yıllık izin",İzinler!$C$5:$C$504,"&gt;="&amp;DATE(Ayarlar!$C$4,1,1),İzinler!$C$5:$C$504,"&lt;"&amp;DATE(Ayarlar!$C$4+1,1,1)))</f>
        <v/>
      </c>
      <c r="F11" s="33" t="str">
        <f aca="false">IF(A11="","",D11-E11)</f>
        <v/>
      </c>
      <c r="G11" s="27" t="str">
        <f aca="false">IF(A11="","",SUMIFS(İzinler!$F$5:$F$504,İzinler!$A$5:$A$504,A11,İzinler!$B$5:$B$504,"Rapor",İzinler!$C$5:$C$504,"&gt;="&amp;DATE(Ayarlar!$C$4,1,1),İzinler!$C$5:$C$504,"&lt;"&amp;DATE(Ayarlar!$C$4+1,1,1)))</f>
        <v/>
      </c>
      <c r="H11" s="27" t="str">
        <f aca="false">IF(A11="","",SUMIFS(İzinler!$F$5:$F$504,İzinler!$A$5:$A$504,A11,İzinler!$B$5:$B$504,"Ücretsiz izin",İzinler!$C$5:$C$504,"&gt;="&amp;DATE(Ayarlar!$C$4,1,1),İzinler!$C$5:$C$504,"&lt;"&amp;DATE(Ayarlar!$C$4+1,1,1)))</f>
        <v/>
      </c>
      <c r="I11" s="28" t="str">
        <f aca="false">IF(A11="","",SUMIFS(Mesai!$C$5:$C$504,Mesai!$A$5:$A$504,A11,Mesai!$B$5:$B$504,"&gt;="&amp;DATE(Ayarlar!$C$4,1,1),Mesai!$B$5:$B$504,"&lt;"&amp;DATE(Ayarlar!$C$4+1,1,1)))</f>
        <v/>
      </c>
      <c r="J11" s="34" t="str">
        <f aca="true">IF(OR(A11="",C11=""),"",(TODAY()-C11)/365.25)</f>
        <v/>
      </c>
    </row>
    <row r="12" customFormat="false" ht="15" hidden="false" customHeight="false" outlineLevel="0" collapsed="false">
      <c r="A12" s="12"/>
      <c r="B12" s="12"/>
      <c r="C12" s="14"/>
      <c r="D12" s="32"/>
      <c r="E12" s="27" t="str">
        <f aca="false">IF(A12="","",SUMIFS(İzinler!$F$5:$F$504,İzinler!$A$5:$A$504,A12,İzinler!$B$5:$B$504,"Yıllık izin",İzinler!$C$5:$C$504,"&gt;="&amp;DATE(Ayarlar!$C$4,1,1),İzinler!$C$5:$C$504,"&lt;"&amp;DATE(Ayarlar!$C$4+1,1,1)))</f>
        <v/>
      </c>
      <c r="F12" s="33" t="str">
        <f aca="false">IF(A12="","",D12-E12)</f>
        <v/>
      </c>
      <c r="G12" s="27" t="str">
        <f aca="false">IF(A12="","",SUMIFS(İzinler!$F$5:$F$504,İzinler!$A$5:$A$504,A12,İzinler!$B$5:$B$504,"Rapor",İzinler!$C$5:$C$504,"&gt;="&amp;DATE(Ayarlar!$C$4,1,1),İzinler!$C$5:$C$504,"&lt;"&amp;DATE(Ayarlar!$C$4+1,1,1)))</f>
        <v/>
      </c>
      <c r="H12" s="27" t="str">
        <f aca="false">IF(A12="","",SUMIFS(İzinler!$F$5:$F$504,İzinler!$A$5:$A$504,A12,İzinler!$B$5:$B$504,"Ücretsiz izin",İzinler!$C$5:$C$504,"&gt;="&amp;DATE(Ayarlar!$C$4,1,1),İzinler!$C$5:$C$504,"&lt;"&amp;DATE(Ayarlar!$C$4+1,1,1)))</f>
        <v/>
      </c>
      <c r="I12" s="28" t="str">
        <f aca="false">IF(A12="","",SUMIFS(Mesai!$C$5:$C$504,Mesai!$A$5:$A$504,A12,Mesai!$B$5:$B$504,"&gt;="&amp;DATE(Ayarlar!$C$4,1,1),Mesai!$B$5:$B$504,"&lt;"&amp;DATE(Ayarlar!$C$4+1,1,1)))</f>
        <v/>
      </c>
      <c r="J12" s="34" t="str">
        <f aca="true">IF(OR(A12="",C12=""),"",(TODAY()-C12)/365.25)</f>
        <v/>
      </c>
    </row>
    <row r="13" customFormat="false" ht="15" hidden="false" customHeight="false" outlineLevel="0" collapsed="false">
      <c r="A13" s="12"/>
      <c r="B13" s="12"/>
      <c r="C13" s="14"/>
      <c r="D13" s="32"/>
      <c r="E13" s="27" t="str">
        <f aca="false">IF(A13="","",SUMIFS(İzinler!$F$5:$F$504,İzinler!$A$5:$A$504,A13,İzinler!$B$5:$B$504,"Yıllık izin",İzinler!$C$5:$C$504,"&gt;="&amp;DATE(Ayarlar!$C$4,1,1),İzinler!$C$5:$C$504,"&lt;"&amp;DATE(Ayarlar!$C$4+1,1,1)))</f>
        <v/>
      </c>
      <c r="F13" s="33" t="str">
        <f aca="false">IF(A13="","",D13-E13)</f>
        <v/>
      </c>
      <c r="G13" s="27" t="str">
        <f aca="false">IF(A13="","",SUMIFS(İzinler!$F$5:$F$504,İzinler!$A$5:$A$504,A13,İzinler!$B$5:$B$504,"Rapor",İzinler!$C$5:$C$504,"&gt;="&amp;DATE(Ayarlar!$C$4,1,1),İzinler!$C$5:$C$504,"&lt;"&amp;DATE(Ayarlar!$C$4+1,1,1)))</f>
        <v/>
      </c>
      <c r="H13" s="27" t="str">
        <f aca="false">IF(A13="","",SUMIFS(İzinler!$F$5:$F$504,İzinler!$A$5:$A$504,A13,İzinler!$B$5:$B$504,"Ücretsiz izin",İzinler!$C$5:$C$504,"&gt;="&amp;DATE(Ayarlar!$C$4,1,1),İzinler!$C$5:$C$504,"&lt;"&amp;DATE(Ayarlar!$C$4+1,1,1)))</f>
        <v/>
      </c>
      <c r="I13" s="28" t="str">
        <f aca="false">IF(A13="","",SUMIFS(Mesai!$C$5:$C$504,Mesai!$A$5:$A$504,A13,Mesai!$B$5:$B$504,"&gt;="&amp;DATE(Ayarlar!$C$4,1,1),Mesai!$B$5:$B$504,"&lt;"&amp;DATE(Ayarlar!$C$4+1,1,1)))</f>
        <v/>
      </c>
      <c r="J13" s="34" t="str">
        <f aca="true">IF(OR(A13="",C13=""),"",(TODAY()-C13)/365.25)</f>
        <v/>
      </c>
    </row>
    <row r="14" customFormat="false" ht="15" hidden="false" customHeight="false" outlineLevel="0" collapsed="false">
      <c r="A14" s="12"/>
      <c r="B14" s="12"/>
      <c r="C14" s="14"/>
      <c r="D14" s="32"/>
      <c r="E14" s="27" t="str">
        <f aca="false">IF(A14="","",SUMIFS(İzinler!$F$5:$F$504,İzinler!$A$5:$A$504,A14,İzinler!$B$5:$B$504,"Yıllık izin",İzinler!$C$5:$C$504,"&gt;="&amp;DATE(Ayarlar!$C$4,1,1),İzinler!$C$5:$C$504,"&lt;"&amp;DATE(Ayarlar!$C$4+1,1,1)))</f>
        <v/>
      </c>
      <c r="F14" s="33" t="str">
        <f aca="false">IF(A14="","",D14-E14)</f>
        <v/>
      </c>
      <c r="G14" s="27" t="str">
        <f aca="false">IF(A14="","",SUMIFS(İzinler!$F$5:$F$504,İzinler!$A$5:$A$504,A14,İzinler!$B$5:$B$504,"Rapor",İzinler!$C$5:$C$504,"&gt;="&amp;DATE(Ayarlar!$C$4,1,1),İzinler!$C$5:$C$504,"&lt;"&amp;DATE(Ayarlar!$C$4+1,1,1)))</f>
        <v/>
      </c>
      <c r="H14" s="27" t="str">
        <f aca="false">IF(A14="","",SUMIFS(İzinler!$F$5:$F$504,İzinler!$A$5:$A$504,A14,İzinler!$B$5:$B$504,"Ücretsiz izin",İzinler!$C$5:$C$504,"&gt;="&amp;DATE(Ayarlar!$C$4,1,1),İzinler!$C$5:$C$504,"&lt;"&amp;DATE(Ayarlar!$C$4+1,1,1)))</f>
        <v/>
      </c>
      <c r="I14" s="28" t="str">
        <f aca="false">IF(A14="","",SUMIFS(Mesai!$C$5:$C$504,Mesai!$A$5:$A$504,A14,Mesai!$B$5:$B$504,"&gt;="&amp;DATE(Ayarlar!$C$4,1,1),Mesai!$B$5:$B$504,"&lt;"&amp;DATE(Ayarlar!$C$4+1,1,1)))</f>
        <v/>
      </c>
      <c r="J14" s="34" t="str">
        <f aca="true">IF(OR(A14="",C14=""),"",(TODAY()-C14)/365.25)</f>
        <v/>
      </c>
    </row>
    <row r="15" customFormat="false" ht="15" hidden="false" customHeight="false" outlineLevel="0" collapsed="false">
      <c r="A15" s="12"/>
      <c r="B15" s="12"/>
      <c r="C15" s="14"/>
      <c r="D15" s="32"/>
      <c r="E15" s="27" t="str">
        <f aca="false">IF(A15="","",SUMIFS(İzinler!$F$5:$F$504,İzinler!$A$5:$A$504,A15,İzinler!$B$5:$B$504,"Yıllık izin",İzinler!$C$5:$C$504,"&gt;="&amp;DATE(Ayarlar!$C$4,1,1),İzinler!$C$5:$C$504,"&lt;"&amp;DATE(Ayarlar!$C$4+1,1,1)))</f>
        <v/>
      </c>
      <c r="F15" s="33" t="str">
        <f aca="false">IF(A15="","",D15-E15)</f>
        <v/>
      </c>
      <c r="G15" s="27" t="str">
        <f aca="false">IF(A15="","",SUMIFS(İzinler!$F$5:$F$504,İzinler!$A$5:$A$504,A15,İzinler!$B$5:$B$504,"Rapor",İzinler!$C$5:$C$504,"&gt;="&amp;DATE(Ayarlar!$C$4,1,1),İzinler!$C$5:$C$504,"&lt;"&amp;DATE(Ayarlar!$C$4+1,1,1)))</f>
        <v/>
      </c>
      <c r="H15" s="27" t="str">
        <f aca="false">IF(A15="","",SUMIFS(İzinler!$F$5:$F$504,İzinler!$A$5:$A$504,A15,İzinler!$B$5:$B$504,"Ücretsiz izin",İzinler!$C$5:$C$504,"&gt;="&amp;DATE(Ayarlar!$C$4,1,1),İzinler!$C$5:$C$504,"&lt;"&amp;DATE(Ayarlar!$C$4+1,1,1)))</f>
        <v/>
      </c>
      <c r="I15" s="28" t="str">
        <f aca="false">IF(A15="","",SUMIFS(Mesai!$C$5:$C$504,Mesai!$A$5:$A$504,A15,Mesai!$B$5:$B$504,"&gt;="&amp;DATE(Ayarlar!$C$4,1,1),Mesai!$B$5:$B$504,"&lt;"&amp;DATE(Ayarlar!$C$4+1,1,1)))</f>
        <v/>
      </c>
      <c r="J15" s="34" t="str">
        <f aca="true">IF(OR(A15="",C15=""),"",(TODAY()-C15)/365.25)</f>
        <v/>
      </c>
    </row>
    <row r="16" customFormat="false" ht="15" hidden="false" customHeight="false" outlineLevel="0" collapsed="false">
      <c r="A16" s="12"/>
      <c r="B16" s="12"/>
      <c r="C16" s="14"/>
      <c r="D16" s="32"/>
      <c r="E16" s="27" t="str">
        <f aca="false">IF(A16="","",SUMIFS(İzinler!$F$5:$F$504,İzinler!$A$5:$A$504,A16,İzinler!$B$5:$B$504,"Yıllık izin",İzinler!$C$5:$C$504,"&gt;="&amp;DATE(Ayarlar!$C$4,1,1),İzinler!$C$5:$C$504,"&lt;"&amp;DATE(Ayarlar!$C$4+1,1,1)))</f>
        <v/>
      </c>
      <c r="F16" s="33" t="str">
        <f aca="false">IF(A16="","",D16-E16)</f>
        <v/>
      </c>
      <c r="G16" s="27" t="str">
        <f aca="false">IF(A16="","",SUMIFS(İzinler!$F$5:$F$504,İzinler!$A$5:$A$504,A16,İzinler!$B$5:$B$504,"Rapor",İzinler!$C$5:$C$504,"&gt;="&amp;DATE(Ayarlar!$C$4,1,1),İzinler!$C$5:$C$504,"&lt;"&amp;DATE(Ayarlar!$C$4+1,1,1)))</f>
        <v/>
      </c>
      <c r="H16" s="27" t="str">
        <f aca="false">IF(A16="","",SUMIFS(İzinler!$F$5:$F$504,İzinler!$A$5:$A$504,A16,İzinler!$B$5:$B$504,"Ücretsiz izin",İzinler!$C$5:$C$504,"&gt;="&amp;DATE(Ayarlar!$C$4,1,1),İzinler!$C$5:$C$504,"&lt;"&amp;DATE(Ayarlar!$C$4+1,1,1)))</f>
        <v/>
      </c>
      <c r="I16" s="28" t="str">
        <f aca="false">IF(A16="","",SUMIFS(Mesai!$C$5:$C$504,Mesai!$A$5:$A$504,A16,Mesai!$B$5:$B$504,"&gt;="&amp;DATE(Ayarlar!$C$4,1,1),Mesai!$B$5:$B$504,"&lt;"&amp;DATE(Ayarlar!$C$4+1,1,1)))</f>
        <v/>
      </c>
      <c r="J16" s="34" t="str">
        <f aca="true">IF(OR(A16="",C16=""),"",(TODAY()-C16)/365.25)</f>
        <v/>
      </c>
    </row>
    <row r="17" customFormat="false" ht="15" hidden="false" customHeight="false" outlineLevel="0" collapsed="false">
      <c r="A17" s="12"/>
      <c r="B17" s="12"/>
      <c r="C17" s="14"/>
      <c r="D17" s="32"/>
      <c r="E17" s="27" t="str">
        <f aca="false">IF(A17="","",SUMIFS(İzinler!$F$5:$F$504,İzinler!$A$5:$A$504,A17,İzinler!$B$5:$B$504,"Yıllık izin",İzinler!$C$5:$C$504,"&gt;="&amp;DATE(Ayarlar!$C$4,1,1),İzinler!$C$5:$C$504,"&lt;"&amp;DATE(Ayarlar!$C$4+1,1,1)))</f>
        <v/>
      </c>
      <c r="F17" s="33" t="str">
        <f aca="false">IF(A17="","",D17-E17)</f>
        <v/>
      </c>
      <c r="G17" s="27" t="str">
        <f aca="false">IF(A17="","",SUMIFS(İzinler!$F$5:$F$504,İzinler!$A$5:$A$504,A17,İzinler!$B$5:$B$504,"Rapor",İzinler!$C$5:$C$504,"&gt;="&amp;DATE(Ayarlar!$C$4,1,1),İzinler!$C$5:$C$504,"&lt;"&amp;DATE(Ayarlar!$C$4+1,1,1)))</f>
        <v/>
      </c>
      <c r="H17" s="27" t="str">
        <f aca="false">IF(A17="","",SUMIFS(İzinler!$F$5:$F$504,İzinler!$A$5:$A$504,A17,İzinler!$B$5:$B$504,"Ücretsiz izin",İzinler!$C$5:$C$504,"&gt;="&amp;DATE(Ayarlar!$C$4,1,1),İzinler!$C$5:$C$504,"&lt;"&amp;DATE(Ayarlar!$C$4+1,1,1)))</f>
        <v/>
      </c>
      <c r="I17" s="28" t="str">
        <f aca="false">IF(A17="","",SUMIFS(Mesai!$C$5:$C$504,Mesai!$A$5:$A$504,A17,Mesai!$B$5:$B$504,"&gt;="&amp;DATE(Ayarlar!$C$4,1,1),Mesai!$B$5:$B$504,"&lt;"&amp;DATE(Ayarlar!$C$4+1,1,1)))</f>
        <v/>
      </c>
      <c r="J17" s="34" t="str">
        <f aca="true">IF(OR(A17="",C17=""),"",(TODAY()-C17)/365.25)</f>
        <v/>
      </c>
    </row>
    <row r="18" customFormat="false" ht="15" hidden="false" customHeight="false" outlineLevel="0" collapsed="false">
      <c r="A18" s="12"/>
      <c r="B18" s="12"/>
      <c r="C18" s="14"/>
      <c r="D18" s="32"/>
      <c r="E18" s="27" t="str">
        <f aca="false">IF(A18="","",SUMIFS(İzinler!$F$5:$F$504,İzinler!$A$5:$A$504,A18,İzinler!$B$5:$B$504,"Yıllık izin",İzinler!$C$5:$C$504,"&gt;="&amp;DATE(Ayarlar!$C$4,1,1),İzinler!$C$5:$C$504,"&lt;"&amp;DATE(Ayarlar!$C$4+1,1,1)))</f>
        <v/>
      </c>
      <c r="F18" s="33" t="str">
        <f aca="false">IF(A18="","",D18-E18)</f>
        <v/>
      </c>
      <c r="G18" s="27" t="str">
        <f aca="false">IF(A18="","",SUMIFS(İzinler!$F$5:$F$504,İzinler!$A$5:$A$504,A18,İzinler!$B$5:$B$504,"Rapor",İzinler!$C$5:$C$504,"&gt;="&amp;DATE(Ayarlar!$C$4,1,1),İzinler!$C$5:$C$504,"&lt;"&amp;DATE(Ayarlar!$C$4+1,1,1)))</f>
        <v/>
      </c>
      <c r="H18" s="27" t="str">
        <f aca="false">IF(A18="","",SUMIFS(İzinler!$F$5:$F$504,İzinler!$A$5:$A$504,A18,İzinler!$B$5:$B$504,"Ücretsiz izin",İzinler!$C$5:$C$504,"&gt;="&amp;DATE(Ayarlar!$C$4,1,1),İzinler!$C$5:$C$504,"&lt;"&amp;DATE(Ayarlar!$C$4+1,1,1)))</f>
        <v/>
      </c>
      <c r="I18" s="28" t="str">
        <f aca="false">IF(A18="","",SUMIFS(Mesai!$C$5:$C$504,Mesai!$A$5:$A$504,A18,Mesai!$B$5:$B$504,"&gt;="&amp;DATE(Ayarlar!$C$4,1,1),Mesai!$B$5:$B$504,"&lt;"&amp;DATE(Ayarlar!$C$4+1,1,1)))</f>
        <v/>
      </c>
      <c r="J18" s="34" t="str">
        <f aca="true">IF(OR(A18="",C18=""),"",(TODAY()-C18)/365.25)</f>
        <v/>
      </c>
    </row>
    <row r="19" customFormat="false" ht="15" hidden="false" customHeight="false" outlineLevel="0" collapsed="false">
      <c r="A19" s="12"/>
      <c r="B19" s="12"/>
      <c r="C19" s="14"/>
      <c r="D19" s="32"/>
      <c r="E19" s="27" t="str">
        <f aca="false">IF(A19="","",SUMIFS(İzinler!$F$5:$F$504,İzinler!$A$5:$A$504,A19,İzinler!$B$5:$B$504,"Yıllık izin",İzinler!$C$5:$C$504,"&gt;="&amp;DATE(Ayarlar!$C$4,1,1),İzinler!$C$5:$C$504,"&lt;"&amp;DATE(Ayarlar!$C$4+1,1,1)))</f>
        <v/>
      </c>
      <c r="F19" s="33" t="str">
        <f aca="false">IF(A19="","",D19-E19)</f>
        <v/>
      </c>
      <c r="G19" s="27" t="str">
        <f aca="false">IF(A19="","",SUMIFS(İzinler!$F$5:$F$504,İzinler!$A$5:$A$504,A19,İzinler!$B$5:$B$504,"Rapor",İzinler!$C$5:$C$504,"&gt;="&amp;DATE(Ayarlar!$C$4,1,1),İzinler!$C$5:$C$504,"&lt;"&amp;DATE(Ayarlar!$C$4+1,1,1)))</f>
        <v/>
      </c>
      <c r="H19" s="27" t="str">
        <f aca="false">IF(A19="","",SUMIFS(İzinler!$F$5:$F$504,İzinler!$A$5:$A$504,A19,İzinler!$B$5:$B$504,"Ücretsiz izin",İzinler!$C$5:$C$504,"&gt;="&amp;DATE(Ayarlar!$C$4,1,1),İzinler!$C$5:$C$504,"&lt;"&amp;DATE(Ayarlar!$C$4+1,1,1)))</f>
        <v/>
      </c>
      <c r="I19" s="28" t="str">
        <f aca="false">IF(A19="","",SUMIFS(Mesai!$C$5:$C$504,Mesai!$A$5:$A$504,A19,Mesai!$B$5:$B$504,"&gt;="&amp;DATE(Ayarlar!$C$4,1,1),Mesai!$B$5:$B$504,"&lt;"&amp;DATE(Ayarlar!$C$4+1,1,1)))</f>
        <v/>
      </c>
      <c r="J19" s="34" t="str">
        <f aca="true">IF(OR(A19="",C19=""),"",(TODAY()-C19)/365.25)</f>
        <v/>
      </c>
    </row>
    <row r="20" customFormat="false" ht="15" hidden="false" customHeight="false" outlineLevel="0" collapsed="false">
      <c r="A20" s="12"/>
      <c r="B20" s="12"/>
      <c r="C20" s="14"/>
      <c r="D20" s="32"/>
      <c r="E20" s="27" t="str">
        <f aca="false">IF(A20="","",SUMIFS(İzinler!$F$5:$F$504,İzinler!$A$5:$A$504,A20,İzinler!$B$5:$B$504,"Yıllık izin",İzinler!$C$5:$C$504,"&gt;="&amp;DATE(Ayarlar!$C$4,1,1),İzinler!$C$5:$C$504,"&lt;"&amp;DATE(Ayarlar!$C$4+1,1,1)))</f>
        <v/>
      </c>
      <c r="F20" s="33" t="str">
        <f aca="false">IF(A20="","",D20-E20)</f>
        <v/>
      </c>
      <c r="G20" s="27" t="str">
        <f aca="false">IF(A20="","",SUMIFS(İzinler!$F$5:$F$504,İzinler!$A$5:$A$504,A20,İzinler!$B$5:$B$504,"Rapor",İzinler!$C$5:$C$504,"&gt;="&amp;DATE(Ayarlar!$C$4,1,1),İzinler!$C$5:$C$504,"&lt;"&amp;DATE(Ayarlar!$C$4+1,1,1)))</f>
        <v/>
      </c>
      <c r="H20" s="27" t="str">
        <f aca="false">IF(A20="","",SUMIFS(İzinler!$F$5:$F$504,İzinler!$A$5:$A$504,A20,İzinler!$B$5:$B$504,"Ücretsiz izin",İzinler!$C$5:$C$504,"&gt;="&amp;DATE(Ayarlar!$C$4,1,1),İzinler!$C$5:$C$504,"&lt;"&amp;DATE(Ayarlar!$C$4+1,1,1)))</f>
        <v/>
      </c>
      <c r="I20" s="28" t="str">
        <f aca="false">IF(A20="","",SUMIFS(Mesai!$C$5:$C$504,Mesai!$A$5:$A$504,A20,Mesai!$B$5:$B$504,"&gt;="&amp;DATE(Ayarlar!$C$4,1,1),Mesai!$B$5:$B$504,"&lt;"&amp;DATE(Ayarlar!$C$4+1,1,1)))</f>
        <v/>
      </c>
      <c r="J20" s="34" t="str">
        <f aca="true">IF(OR(A20="",C20=""),"",(TODAY()-C20)/365.25)</f>
        <v/>
      </c>
    </row>
    <row r="21" customFormat="false" ht="15" hidden="false" customHeight="false" outlineLevel="0" collapsed="false">
      <c r="A21" s="12"/>
      <c r="B21" s="12"/>
      <c r="C21" s="14"/>
      <c r="D21" s="32"/>
      <c r="E21" s="27" t="str">
        <f aca="false">IF(A21="","",SUMIFS(İzinler!$F$5:$F$504,İzinler!$A$5:$A$504,A21,İzinler!$B$5:$B$504,"Yıllık izin",İzinler!$C$5:$C$504,"&gt;="&amp;DATE(Ayarlar!$C$4,1,1),İzinler!$C$5:$C$504,"&lt;"&amp;DATE(Ayarlar!$C$4+1,1,1)))</f>
        <v/>
      </c>
      <c r="F21" s="33" t="str">
        <f aca="false">IF(A21="","",D21-E21)</f>
        <v/>
      </c>
      <c r="G21" s="27" t="str">
        <f aca="false">IF(A21="","",SUMIFS(İzinler!$F$5:$F$504,İzinler!$A$5:$A$504,A21,İzinler!$B$5:$B$504,"Rapor",İzinler!$C$5:$C$504,"&gt;="&amp;DATE(Ayarlar!$C$4,1,1),İzinler!$C$5:$C$504,"&lt;"&amp;DATE(Ayarlar!$C$4+1,1,1)))</f>
        <v/>
      </c>
      <c r="H21" s="27" t="str">
        <f aca="false">IF(A21="","",SUMIFS(İzinler!$F$5:$F$504,İzinler!$A$5:$A$504,A21,İzinler!$B$5:$B$504,"Ücretsiz izin",İzinler!$C$5:$C$504,"&gt;="&amp;DATE(Ayarlar!$C$4,1,1),İzinler!$C$5:$C$504,"&lt;"&amp;DATE(Ayarlar!$C$4+1,1,1)))</f>
        <v/>
      </c>
      <c r="I21" s="28" t="str">
        <f aca="false">IF(A21="","",SUMIFS(Mesai!$C$5:$C$504,Mesai!$A$5:$A$504,A21,Mesai!$B$5:$B$504,"&gt;="&amp;DATE(Ayarlar!$C$4,1,1),Mesai!$B$5:$B$504,"&lt;"&amp;DATE(Ayarlar!$C$4+1,1,1)))</f>
        <v/>
      </c>
      <c r="J21" s="34" t="str">
        <f aca="true">IF(OR(A21="",C21=""),"",(TODAY()-C21)/365.25)</f>
        <v/>
      </c>
    </row>
    <row r="22" customFormat="false" ht="15" hidden="false" customHeight="false" outlineLevel="0" collapsed="false">
      <c r="A22" s="12"/>
      <c r="B22" s="12"/>
      <c r="C22" s="14"/>
      <c r="D22" s="32"/>
      <c r="E22" s="27" t="str">
        <f aca="false">IF(A22="","",SUMIFS(İzinler!$F$5:$F$504,İzinler!$A$5:$A$504,A22,İzinler!$B$5:$B$504,"Yıllık izin",İzinler!$C$5:$C$504,"&gt;="&amp;DATE(Ayarlar!$C$4,1,1),İzinler!$C$5:$C$504,"&lt;"&amp;DATE(Ayarlar!$C$4+1,1,1)))</f>
        <v/>
      </c>
      <c r="F22" s="33" t="str">
        <f aca="false">IF(A22="","",D22-E22)</f>
        <v/>
      </c>
      <c r="G22" s="27" t="str">
        <f aca="false">IF(A22="","",SUMIFS(İzinler!$F$5:$F$504,İzinler!$A$5:$A$504,A22,İzinler!$B$5:$B$504,"Rapor",İzinler!$C$5:$C$504,"&gt;="&amp;DATE(Ayarlar!$C$4,1,1),İzinler!$C$5:$C$504,"&lt;"&amp;DATE(Ayarlar!$C$4+1,1,1)))</f>
        <v/>
      </c>
      <c r="H22" s="27" t="str">
        <f aca="false">IF(A22="","",SUMIFS(İzinler!$F$5:$F$504,İzinler!$A$5:$A$504,A22,İzinler!$B$5:$B$504,"Ücretsiz izin",İzinler!$C$5:$C$504,"&gt;="&amp;DATE(Ayarlar!$C$4,1,1),İzinler!$C$5:$C$504,"&lt;"&amp;DATE(Ayarlar!$C$4+1,1,1)))</f>
        <v/>
      </c>
      <c r="I22" s="28" t="str">
        <f aca="false">IF(A22="","",SUMIFS(Mesai!$C$5:$C$504,Mesai!$A$5:$A$504,A22,Mesai!$B$5:$B$504,"&gt;="&amp;DATE(Ayarlar!$C$4,1,1),Mesai!$B$5:$B$504,"&lt;"&amp;DATE(Ayarlar!$C$4+1,1,1)))</f>
        <v/>
      </c>
      <c r="J22" s="34" t="str">
        <f aca="true">IF(OR(A22="",C22=""),"",(TODAY()-C22)/365.25)</f>
        <v/>
      </c>
    </row>
    <row r="23" customFormat="false" ht="15" hidden="false" customHeight="false" outlineLevel="0" collapsed="false">
      <c r="A23" s="12"/>
      <c r="B23" s="12"/>
      <c r="C23" s="14"/>
      <c r="D23" s="32"/>
      <c r="E23" s="27" t="str">
        <f aca="false">IF(A23="","",SUMIFS(İzinler!$F$5:$F$504,İzinler!$A$5:$A$504,A23,İzinler!$B$5:$B$504,"Yıllık izin",İzinler!$C$5:$C$504,"&gt;="&amp;DATE(Ayarlar!$C$4,1,1),İzinler!$C$5:$C$504,"&lt;"&amp;DATE(Ayarlar!$C$4+1,1,1)))</f>
        <v/>
      </c>
      <c r="F23" s="33" t="str">
        <f aca="false">IF(A23="","",D23-E23)</f>
        <v/>
      </c>
      <c r="G23" s="27" t="str">
        <f aca="false">IF(A23="","",SUMIFS(İzinler!$F$5:$F$504,İzinler!$A$5:$A$504,A23,İzinler!$B$5:$B$504,"Rapor",İzinler!$C$5:$C$504,"&gt;="&amp;DATE(Ayarlar!$C$4,1,1),İzinler!$C$5:$C$504,"&lt;"&amp;DATE(Ayarlar!$C$4+1,1,1)))</f>
        <v/>
      </c>
      <c r="H23" s="27" t="str">
        <f aca="false">IF(A23="","",SUMIFS(İzinler!$F$5:$F$504,İzinler!$A$5:$A$504,A23,İzinler!$B$5:$B$504,"Ücretsiz izin",İzinler!$C$5:$C$504,"&gt;="&amp;DATE(Ayarlar!$C$4,1,1),İzinler!$C$5:$C$504,"&lt;"&amp;DATE(Ayarlar!$C$4+1,1,1)))</f>
        <v/>
      </c>
      <c r="I23" s="28" t="str">
        <f aca="false">IF(A23="","",SUMIFS(Mesai!$C$5:$C$504,Mesai!$A$5:$A$504,A23,Mesai!$B$5:$B$504,"&gt;="&amp;DATE(Ayarlar!$C$4,1,1),Mesai!$B$5:$B$504,"&lt;"&amp;DATE(Ayarlar!$C$4+1,1,1)))</f>
        <v/>
      </c>
      <c r="J23" s="34" t="str">
        <f aca="true">IF(OR(A23="",C23=""),"",(TODAY()-C23)/365.25)</f>
        <v/>
      </c>
    </row>
    <row r="24" customFormat="false" ht="15" hidden="false" customHeight="false" outlineLevel="0" collapsed="false">
      <c r="A24" s="12"/>
      <c r="B24" s="12"/>
      <c r="C24" s="14"/>
      <c r="D24" s="32"/>
      <c r="E24" s="27" t="str">
        <f aca="false">IF(A24="","",SUMIFS(İzinler!$F$5:$F$504,İzinler!$A$5:$A$504,A24,İzinler!$B$5:$B$504,"Yıllık izin",İzinler!$C$5:$C$504,"&gt;="&amp;DATE(Ayarlar!$C$4,1,1),İzinler!$C$5:$C$504,"&lt;"&amp;DATE(Ayarlar!$C$4+1,1,1)))</f>
        <v/>
      </c>
      <c r="F24" s="33" t="str">
        <f aca="false">IF(A24="","",D24-E24)</f>
        <v/>
      </c>
      <c r="G24" s="27" t="str">
        <f aca="false">IF(A24="","",SUMIFS(İzinler!$F$5:$F$504,İzinler!$A$5:$A$504,A24,İzinler!$B$5:$B$504,"Rapor",İzinler!$C$5:$C$504,"&gt;="&amp;DATE(Ayarlar!$C$4,1,1),İzinler!$C$5:$C$504,"&lt;"&amp;DATE(Ayarlar!$C$4+1,1,1)))</f>
        <v/>
      </c>
      <c r="H24" s="27" t="str">
        <f aca="false">IF(A24="","",SUMIFS(İzinler!$F$5:$F$504,İzinler!$A$5:$A$504,A24,İzinler!$B$5:$B$504,"Ücretsiz izin",İzinler!$C$5:$C$504,"&gt;="&amp;DATE(Ayarlar!$C$4,1,1),İzinler!$C$5:$C$504,"&lt;"&amp;DATE(Ayarlar!$C$4+1,1,1)))</f>
        <v/>
      </c>
      <c r="I24" s="28" t="str">
        <f aca="false">IF(A24="","",SUMIFS(Mesai!$C$5:$C$504,Mesai!$A$5:$A$504,A24,Mesai!$B$5:$B$504,"&gt;="&amp;DATE(Ayarlar!$C$4,1,1),Mesai!$B$5:$B$504,"&lt;"&amp;DATE(Ayarlar!$C$4+1,1,1)))</f>
        <v/>
      </c>
      <c r="J24" s="34" t="str">
        <f aca="true">IF(OR(A24="",C24=""),"",(TODAY()-C24)/365.25)</f>
        <v/>
      </c>
    </row>
    <row r="25" customFormat="false" ht="15" hidden="false" customHeight="false" outlineLevel="0" collapsed="false">
      <c r="A25" s="12"/>
      <c r="B25" s="12"/>
      <c r="C25" s="14"/>
      <c r="D25" s="32"/>
      <c r="E25" s="27" t="str">
        <f aca="false">IF(A25="","",SUMIFS(İzinler!$F$5:$F$504,İzinler!$A$5:$A$504,A25,İzinler!$B$5:$B$504,"Yıllık izin",İzinler!$C$5:$C$504,"&gt;="&amp;DATE(Ayarlar!$C$4,1,1),İzinler!$C$5:$C$504,"&lt;"&amp;DATE(Ayarlar!$C$4+1,1,1)))</f>
        <v/>
      </c>
      <c r="F25" s="33" t="str">
        <f aca="false">IF(A25="","",D25-E25)</f>
        <v/>
      </c>
      <c r="G25" s="27" t="str">
        <f aca="false">IF(A25="","",SUMIFS(İzinler!$F$5:$F$504,İzinler!$A$5:$A$504,A25,İzinler!$B$5:$B$504,"Rapor",İzinler!$C$5:$C$504,"&gt;="&amp;DATE(Ayarlar!$C$4,1,1),İzinler!$C$5:$C$504,"&lt;"&amp;DATE(Ayarlar!$C$4+1,1,1)))</f>
        <v/>
      </c>
      <c r="H25" s="27" t="str">
        <f aca="false">IF(A25="","",SUMIFS(İzinler!$F$5:$F$504,İzinler!$A$5:$A$504,A25,İzinler!$B$5:$B$504,"Ücretsiz izin",İzinler!$C$5:$C$504,"&gt;="&amp;DATE(Ayarlar!$C$4,1,1),İzinler!$C$5:$C$504,"&lt;"&amp;DATE(Ayarlar!$C$4+1,1,1)))</f>
        <v/>
      </c>
      <c r="I25" s="28" t="str">
        <f aca="false">IF(A25="","",SUMIFS(Mesai!$C$5:$C$504,Mesai!$A$5:$A$504,A25,Mesai!$B$5:$B$504,"&gt;="&amp;DATE(Ayarlar!$C$4,1,1),Mesai!$B$5:$B$504,"&lt;"&amp;DATE(Ayarlar!$C$4+1,1,1)))</f>
        <v/>
      </c>
      <c r="J25" s="34" t="str">
        <f aca="true">IF(OR(A25="",C25=""),"",(TODAY()-C25)/365.25)</f>
        <v/>
      </c>
    </row>
    <row r="26" customFormat="false" ht="15" hidden="false" customHeight="false" outlineLevel="0" collapsed="false">
      <c r="A26" s="12"/>
      <c r="B26" s="12"/>
      <c r="C26" s="14"/>
      <c r="D26" s="32"/>
      <c r="E26" s="27" t="str">
        <f aca="false">IF(A26="","",SUMIFS(İzinler!$F$5:$F$504,İzinler!$A$5:$A$504,A26,İzinler!$B$5:$B$504,"Yıllık izin",İzinler!$C$5:$C$504,"&gt;="&amp;DATE(Ayarlar!$C$4,1,1),İzinler!$C$5:$C$504,"&lt;"&amp;DATE(Ayarlar!$C$4+1,1,1)))</f>
        <v/>
      </c>
      <c r="F26" s="33" t="str">
        <f aca="false">IF(A26="","",D26-E26)</f>
        <v/>
      </c>
      <c r="G26" s="27" t="str">
        <f aca="false">IF(A26="","",SUMIFS(İzinler!$F$5:$F$504,İzinler!$A$5:$A$504,A26,İzinler!$B$5:$B$504,"Rapor",İzinler!$C$5:$C$504,"&gt;="&amp;DATE(Ayarlar!$C$4,1,1),İzinler!$C$5:$C$504,"&lt;"&amp;DATE(Ayarlar!$C$4+1,1,1)))</f>
        <v/>
      </c>
      <c r="H26" s="27" t="str">
        <f aca="false">IF(A26="","",SUMIFS(İzinler!$F$5:$F$504,İzinler!$A$5:$A$504,A26,İzinler!$B$5:$B$504,"Ücretsiz izin",İzinler!$C$5:$C$504,"&gt;="&amp;DATE(Ayarlar!$C$4,1,1),İzinler!$C$5:$C$504,"&lt;"&amp;DATE(Ayarlar!$C$4+1,1,1)))</f>
        <v/>
      </c>
      <c r="I26" s="28" t="str">
        <f aca="false">IF(A26="","",SUMIFS(Mesai!$C$5:$C$504,Mesai!$A$5:$A$504,A26,Mesai!$B$5:$B$504,"&gt;="&amp;DATE(Ayarlar!$C$4,1,1),Mesai!$B$5:$B$504,"&lt;"&amp;DATE(Ayarlar!$C$4+1,1,1)))</f>
        <v/>
      </c>
      <c r="J26" s="34" t="str">
        <f aca="true">IF(OR(A26="",C26=""),"",(TODAY()-C26)/365.25)</f>
        <v/>
      </c>
    </row>
    <row r="27" customFormat="false" ht="15" hidden="false" customHeight="false" outlineLevel="0" collapsed="false">
      <c r="A27" s="12"/>
      <c r="B27" s="12"/>
      <c r="C27" s="14"/>
      <c r="D27" s="32"/>
      <c r="E27" s="27" t="str">
        <f aca="false">IF(A27="","",SUMIFS(İzinler!$F$5:$F$504,İzinler!$A$5:$A$504,A27,İzinler!$B$5:$B$504,"Yıllık izin",İzinler!$C$5:$C$504,"&gt;="&amp;DATE(Ayarlar!$C$4,1,1),İzinler!$C$5:$C$504,"&lt;"&amp;DATE(Ayarlar!$C$4+1,1,1)))</f>
        <v/>
      </c>
      <c r="F27" s="33" t="str">
        <f aca="false">IF(A27="","",D27-E27)</f>
        <v/>
      </c>
      <c r="G27" s="27" t="str">
        <f aca="false">IF(A27="","",SUMIFS(İzinler!$F$5:$F$504,İzinler!$A$5:$A$504,A27,İzinler!$B$5:$B$504,"Rapor",İzinler!$C$5:$C$504,"&gt;="&amp;DATE(Ayarlar!$C$4,1,1),İzinler!$C$5:$C$504,"&lt;"&amp;DATE(Ayarlar!$C$4+1,1,1)))</f>
        <v/>
      </c>
      <c r="H27" s="27" t="str">
        <f aca="false">IF(A27="","",SUMIFS(İzinler!$F$5:$F$504,İzinler!$A$5:$A$504,A27,İzinler!$B$5:$B$504,"Ücretsiz izin",İzinler!$C$5:$C$504,"&gt;="&amp;DATE(Ayarlar!$C$4,1,1),İzinler!$C$5:$C$504,"&lt;"&amp;DATE(Ayarlar!$C$4+1,1,1)))</f>
        <v/>
      </c>
      <c r="I27" s="28" t="str">
        <f aca="false">IF(A27="","",SUMIFS(Mesai!$C$5:$C$504,Mesai!$A$5:$A$504,A27,Mesai!$B$5:$B$504,"&gt;="&amp;DATE(Ayarlar!$C$4,1,1),Mesai!$B$5:$B$504,"&lt;"&amp;DATE(Ayarlar!$C$4+1,1,1)))</f>
        <v/>
      </c>
      <c r="J27" s="34" t="str">
        <f aca="true">IF(OR(A27="",C27=""),"",(TODAY()-C27)/365.25)</f>
        <v/>
      </c>
    </row>
    <row r="28" customFormat="false" ht="15" hidden="false" customHeight="false" outlineLevel="0" collapsed="false">
      <c r="A28" s="12"/>
      <c r="B28" s="12"/>
      <c r="C28" s="14"/>
      <c r="D28" s="32"/>
      <c r="E28" s="27" t="str">
        <f aca="false">IF(A28="","",SUMIFS(İzinler!$F$5:$F$504,İzinler!$A$5:$A$504,A28,İzinler!$B$5:$B$504,"Yıllık izin",İzinler!$C$5:$C$504,"&gt;="&amp;DATE(Ayarlar!$C$4,1,1),İzinler!$C$5:$C$504,"&lt;"&amp;DATE(Ayarlar!$C$4+1,1,1)))</f>
        <v/>
      </c>
      <c r="F28" s="33" t="str">
        <f aca="false">IF(A28="","",D28-E28)</f>
        <v/>
      </c>
      <c r="G28" s="27" t="str">
        <f aca="false">IF(A28="","",SUMIFS(İzinler!$F$5:$F$504,İzinler!$A$5:$A$504,A28,İzinler!$B$5:$B$504,"Rapor",İzinler!$C$5:$C$504,"&gt;="&amp;DATE(Ayarlar!$C$4,1,1),İzinler!$C$5:$C$504,"&lt;"&amp;DATE(Ayarlar!$C$4+1,1,1)))</f>
        <v/>
      </c>
      <c r="H28" s="27" t="str">
        <f aca="false">IF(A28="","",SUMIFS(İzinler!$F$5:$F$504,İzinler!$A$5:$A$504,A28,İzinler!$B$5:$B$504,"Ücretsiz izin",İzinler!$C$5:$C$504,"&gt;="&amp;DATE(Ayarlar!$C$4,1,1),İzinler!$C$5:$C$504,"&lt;"&amp;DATE(Ayarlar!$C$4+1,1,1)))</f>
        <v/>
      </c>
      <c r="I28" s="28" t="str">
        <f aca="false">IF(A28="","",SUMIFS(Mesai!$C$5:$C$504,Mesai!$A$5:$A$504,A28,Mesai!$B$5:$B$504,"&gt;="&amp;DATE(Ayarlar!$C$4,1,1),Mesai!$B$5:$B$504,"&lt;"&amp;DATE(Ayarlar!$C$4+1,1,1)))</f>
        <v/>
      </c>
      <c r="J28" s="34" t="str">
        <f aca="true">IF(OR(A28="",C28=""),"",(TODAY()-C28)/365.25)</f>
        <v/>
      </c>
    </row>
    <row r="29" customFormat="false" ht="15" hidden="false" customHeight="false" outlineLevel="0" collapsed="false">
      <c r="A29" s="12"/>
      <c r="B29" s="12"/>
      <c r="C29" s="14"/>
      <c r="D29" s="32"/>
      <c r="E29" s="27" t="str">
        <f aca="false">IF(A29="","",SUMIFS(İzinler!$F$5:$F$504,İzinler!$A$5:$A$504,A29,İzinler!$B$5:$B$504,"Yıllık izin",İzinler!$C$5:$C$504,"&gt;="&amp;DATE(Ayarlar!$C$4,1,1),İzinler!$C$5:$C$504,"&lt;"&amp;DATE(Ayarlar!$C$4+1,1,1)))</f>
        <v/>
      </c>
      <c r="F29" s="33" t="str">
        <f aca="false">IF(A29="","",D29-E29)</f>
        <v/>
      </c>
      <c r="G29" s="27" t="str">
        <f aca="false">IF(A29="","",SUMIFS(İzinler!$F$5:$F$504,İzinler!$A$5:$A$504,A29,İzinler!$B$5:$B$504,"Rapor",İzinler!$C$5:$C$504,"&gt;="&amp;DATE(Ayarlar!$C$4,1,1),İzinler!$C$5:$C$504,"&lt;"&amp;DATE(Ayarlar!$C$4+1,1,1)))</f>
        <v/>
      </c>
      <c r="H29" s="27" t="str">
        <f aca="false">IF(A29="","",SUMIFS(İzinler!$F$5:$F$504,İzinler!$A$5:$A$504,A29,İzinler!$B$5:$B$504,"Ücretsiz izin",İzinler!$C$5:$C$504,"&gt;="&amp;DATE(Ayarlar!$C$4,1,1),İzinler!$C$5:$C$504,"&lt;"&amp;DATE(Ayarlar!$C$4+1,1,1)))</f>
        <v/>
      </c>
      <c r="I29" s="28" t="str">
        <f aca="false">IF(A29="","",SUMIFS(Mesai!$C$5:$C$504,Mesai!$A$5:$A$504,A29,Mesai!$B$5:$B$504,"&gt;="&amp;DATE(Ayarlar!$C$4,1,1),Mesai!$B$5:$B$504,"&lt;"&amp;DATE(Ayarlar!$C$4+1,1,1)))</f>
        <v/>
      </c>
      <c r="J29" s="34" t="str">
        <f aca="true">IF(OR(A29="",C29=""),"",(TODAY()-C29)/365.25)</f>
        <v/>
      </c>
    </row>
    <row r="30" customFormat="false" ht="15" hidden="false" customHeight="false" outlineLevel="0" collapsed="false">
      <c r="A30" s="12"/>
      <c r="B30" s="12"/>
      <c r="C30" s="14"/>
      <c r="D30" s="32"/>
      <c r="E30" s="27" t="str">
        <f aca="false">IF(A30="","",SUMIFS(İzinler!$F$5:$F$504,İzinler!$A$5:$A$504,A30,İzinler!$B$5:$B$504,"Yıllık izin",İzinler!$C$5:$C$504,"&gt;="&amp;DATE(Ayarlar!$C$4,1,1),İzinler!$C$5:$C$504,"&lt;"&amp;DATE(Ayarlar!$C$4+1,1,1)))</f>
        <v/>
      </c>
      <c r="F30" s="33" t="str">
        <f aca="false">IF(A30="","",D30-E30)</f>
        <v/>
      </c>
      <c r="G30" s="27" t="str">
        <f aca="false">IF(A30="","",SUMIFS(İzinler!$F$5:$F$504,İzinler!$A$5:$A$504,A30,İzinler!$B$5:$B$504,"Rapor",İzinler!$C$5:$C$504,"&gt;="&amp;DATE(Ayarlar!$C$4,1,1),İzinler!$C$5:$C$504,"&lt;"&amp;DATE(Ayarlar!$C$4+1,1,1)))</f>
        <v/>
      </c>
      <c r="H30" s="27" t="str">
        <f aca="false">IF(A30="","",SUMIFS(İzinler!$F$5:$F$504,İzinler!$A$5:$A$504,A30,İzinler!$B$5:$B$504,"Ücretsiz izin",İzinler!$C$5:$C$504,"&gt;="&amp;DATE(Ayarlar!$C$4,1,1),İzinler!$C$5:$C$504,"&lt;"&amp;DATE(Ayarlar!$C$4+1,1,1)))</f>
        <v/>
      </c>
      <c r="I30" s="28" t="str">
        <f aca="false">IF(A30="","",SUMIFS(Mesai!$C$5:$C$504,Mesai!$A$5:$A$504,A30,Mesai!$B$5:$B$504,"&gt;="&amp;DATE(Ayarlar!$C$4,1,1),Mesai!$B$5:$B$504,"&lt;"&amp;DATE(Ayarlar!$C$4+1,1,1)))</f>
        <v/>
      </c>
      <c r="J30" s="34" t="str">
        <f aca="true">IF(OR(A30="",C30=""),"",(TODAY()-C30)/365.25)</f>
        <v/>
      </c>
    </row>
    <row r="31" customFormat="false" ht="15" hidden="false" customHeight="false" outlineLevel="0" collapsed="false">
      <c r="A31" s="12"/>
      <c r="B31" s="12"/>
      <c r="C31" s="14"/>
      <c r="D31" s="32"/>
      <c r="E31" s="27" t="str">
        <f aca="false">IF(A31="","",SUMIFS(İzinler!$F$5:$F$504,İzinler!$A$5:$A$504,A31,İzinler!$B$5:$B$504,"Yıllık izin",İzinler!$C$5:$C$504,"&gt;="&amp;DATE(Ayarlar!$C$4,1,1),İzinler!$C$5:$C$504,"&lt;"&amp;DATE(Ayarlar!$C$4+1,1,1)))</f>
        <v/>
      </c>
      <c r="F31" s="33" t="str">
        <f aca="false">IF(A31="","",D31-E31)</f>
        <v/>
      </c>
      <c r="G31" s="27" t="str">
        <f aca="false">IF(A31="","",SUMIFS(İzinler!$F$5:$F$504,İzinler!$A$5:$A$504,A31,İzinler!$B$5:$B$504,"Rapor",İzinler!$C$5:$C$504,"&gt;="&amp;DATE(Ayarlar!$C$4,1,1),İzinler!$C$5:$C$504,"&lt;"&amp;DATE(Ayarlar!$C$4+1,1,1)))</f>
        <v/>
      </c>
      <c r="H31" s="27" t="str">
        <f aca="false">IF(A31="","",SUMIFS(İzinler!$F$5:$F$504,İzinler!$A$5:$A$504,A31,İzinler!$B$5:$B$504,"Ücretsiz izin",İzinler!$C$5:$C$504,"&gt;="&amp;DATE(Ayarlar!$C$4,1,1),İzinler!$C$5:$C$504,"&lt;"&amp;DATE(Ayarlar!$C$4+1,1,1)))</f>
        <v/>
      </c>
      <c r="I31" s="28" t="str">
        <f aca="false">IF(A31="","",SUMIFS(Mesai!$C$5:$C$504,Mesai!$A$5:$A$504,A31,Mesai!$B$5:$B$504,"&gt;="&amp;DATE(Ayarlar!$C$4,1,1),Mesai!$B$5:$B$504,"&lt;"&amp;DATE(Ayarlar!$C$4+1,1,1)))</f>
        <v/>
      </c>
      <c r="J31" s="34" t="str">
        <f aca="true">IF(OR(A31="",C31=""),"",(TODAY()-C31)/365.25)</f>
        <v/>
      </c>
    </row>
    <row r="32" customFormat="false" ht="15" hidden="false" customHeight="false" outlineLevel="0" collapsed="false">
      <c r="A32" s="12"/>
      <c r="B32" s="12"/>
      <c r="C32" s="14"/>
      <c r="D32" s="32"/>
      <c r="E32" s="27" t="str">
        <f aca="false">IF(A32="","",SUMIFS(İzinler!$F$5:$F$504,İzinler!$A$5:$A$504,A32,İzinler!$B$5:$B$504,"Yıllık izin",İzinler!$C$5:$C$504,"&gt;="&amp;DATE(Ayarlar!$C$4,1,1),İzinler!$C$5:$C$504,"&lt;"&amp;DATE(Ayarlar!$C$4+1,1,1)))</f>
        <v/>
      </c>
      <c r="F32" s="33" t="str">
        <f aca="false">IF(A32="","",D32-E32)</f>
        <v/>
      </c>
      <c r="G32" s="27" t="str">
        <f aca="false">IF(A32="","",SUMIFS(İzinler!$F$5:$F$504,İzinler!$A$5:$A$504,A32,İzinler!$B$5:$B$504,"Rapor",İzinler!$C$5:$C$504,"&gt;="&amp;DATE(Ayarlar!$C$4,1,1),İzinler!$C$5:$C$504,"&lt;"&amp;DATE(Ayarlar!$C$4+1,1,1)))</f>
        <v/>
      </c>
      <c r="H32" s="27" t="str">
        <f aca="false">IF(A32="","",SUMIFS(İzinler!$F$5:$F$504,İzinler!$A$5:$A$504,A32,İzinler!$B$5:$B$504,"Ücretsiz izin",İzinler!$C$5:$C$504,"&gt;="&amp;DATE(Ayarlar!$C$4,1,1),İzinler!$C$5:$C$504,"&lt;"&amp;DATE(Ayarlar!$C$4+1,1,1)))</f>
        <v/>
      </c>
      <c r="I32" s="28" t="str">
        <f aca="false">IF(A32="","",SUMIFS(Mesai!$C$5:$C$504,Mesai!$A$5:$A$504,A32,Mesai!$B$5:$B$504,"&gt;="&amp;DATE(Ayarlar!$C$4,1,1),Mesai!$B$5:$B$504,"&lt;"&amp;DATE(Ayarlar!$C$4+1,1,1)))</f>
        <v/>
      </c>
      <c r="J32" s="34" t="str">
        <f aca="true">IF(OR(A32="",C32=""),"",(TODAY()-C32)/365.25)</f>
        <v/>
      </c>
    </row>
    <row r="33" customFormat="false" ht="15" hidden="false" customHeight="false" outlineLevel="0" collapsed="false">
      <c r="A33" s="12"/>
      <c r="B33" s="12"/>
      <c r="C33" s="14"/>
      <c r="D33" s="32"/>
      <c r="E33" s="27" t="str">
        <f aca="false">IF(A33="","",SUMIFS(İzinler!$F$5:$F$504,İzinler!$A$5:$A$504,A33,İzinler!$B$5:$B$504,"Yıllık izin",İzinler!$C$5:$C$504,"&gt;="&amp;DATE(Ayarlar!$C$4,1,1),İzinler!$C$5:$C$504,"&lt;"&amp;DATE(Ayarlar!$C$4+1,1,1)))</f>
        <v/>
      </c>
      <c r="F33" s="33" t="str">
        <f aca="false">IF(A33="","",D33-E33)</f>
        <v/>
      </c>
      <c r="G33" s="27" t="str">
        <f aca="false">IF(A33="","",SUMIFS(İzinler!$F$5:$F$504,İzinler!$A$5:$A$504,A33,İzinler!$B$5:$B$504,"Rapor",İzinler!$C$5:$C$504,"&gt;="&amp;DATE(Ayarlar!$C$4,1,1),İzinler!$C$5:$C$504,"&lt;"&amp;DATE(Ayarlar!$C$4+1,1,1)))</f>
        <v/>
      </c>
      <c r="H33" s="27" t="str">
        <f aca="false">IF(A33="","",SUMIFS(İzinler!$F$5:$F$504,İzinler!$A$5:$A$504,A33,İzinler!$B$5:$B$504,"Ücretsiz izin",İzinler!$C$5:$C$504,"&gt;="&amp;DATE(Ayarlar!$C$4,1,1),İzinler!$C$5:$C$504,"&lt;"&amp;DATE(Ayarlar!$C$4+1,1,1)))</f>
        <v/>
      </c>
      <c r="I33" s="28" t="str">
        <f aca="false">IF(A33="","",SUMIFS(Mesai!$C$5:$C$504,Mesai!$A$5:$A$504,A33,Mesai!$B$5:$B$504,"&gt;="&amp;DATE(Ayarlar!$C$4,1,1),Mesai!$B$5:$B$504,"&lt;"&amp;DATE(Ayarlar!$C$4+1,1,1)))</f>
        <v/>
      </c>
      <c r="J33" s="34" t="str">
        <f aca="true">IF(OR(A33="",C33=""),"",(TODAY()-C33)/365.25)</f>
        <v/>
      </c>
    </row>
    <row r="34" customFormat="false" ht="15" hidden="false" customHeight="false" outlineLevel="0" collapsed="false">
      <c r="A34" s="12"/>
      <c r="B34" s="12"/>
      <c r="C34" s="14"/>
      <c r="D34" s="32"/>
      <c r="E34" s="27" t="str">
        <f aca="false">IF(A34="","",SUMIFS(İzinler!$F$5:$F$504,İzinler!$A$5:$A$504,A34,İzinler!$B$5:$B$504,"Yıllık izin",İzinler!$C$5:$C$504,"&gt;="&amp;DATE(Ayarlar!$C$4,1,1),İzinler!$C$5:$C$504,"&lt;"&amp;DATE(Ayarlar!$C$4+1,1,1)))</f>
        <v/>
      </c>
      <c r="F34" s="33" t="str">
        <f aca="false">IF(A34="","",D34-E34)</f>
        <v/>
      </c>
      <c r="G34" s="27" t="str">
        <f aca="false">IF(A34="","",SUMIFS(İzinler!$F$5:$F$504,İzinler!$A$5:$A$504,A34,İzinler!$B$5:$B$504,"Rapor",İzinler!$C$5:$C$504,"&gt;="&amp;DATE(Ayarlar!$C$4,1,1),İzinler!$C$5:$C$504,"&lt;"&amp;DATE(Ayarlar!$C$4+1,1,1)))</f>
        <v/>
      </c>
      <c r="H34" s="27" t="str">
        <f aca="false">IF(A34="","",SUMIFS(İzinler!$F$5:$F$504,İzinler!$A$5:$A$504,A34,İzinler!$B$5:$B$504,"Ücretsiz izin",İzinler!$C$5:$C$504,"&gt;="&amp;DATE(Ayarlar!$C$4,1,1),İzinler!$C$5:$C$504,"&lt;"&amp;DATE(Ayarlar!$C$4+1,1,1)))</f>
        <v/>
      </c>
      <c r="I34" s="28" t="str">
        <f aca="false">IF(A34="","",SUMIFS(Mesai!$C$5:$C$504,Mesai!$A$5:$A$504,A34,Mesai!$B$5:$B$504,"&gt;="&amp;DATE(Ayarlar!$C$4,1,1),Mesai!$B$5:$B$504,"&lt;"&amp;DATE(Ayarlar!$C$4+1,1,1)))</f>
        <v/>
      </c>
      <c r="J34" s="34" t="str">
        <f aca="true">IF(OR(A34="",C34=""),"",(TODAY()-C34)/365.25)</f>
        <v/>
      </c>
    </row>
    <row r="35" customFormat="false" ht="15" hidden="false" customHeight="false" outlineLevel="0" collapsed="false">
      <c r="A35" s="12"/>
      <c r="B35" s="12"/>
      <c r="C35" s="14"/>
      <c r="D35" s="32"/>
      <c r="E35" s="27" t="str">
        <f aca="false">IF(A35="","",SUMIFS(İzinler!$F$5:$F$504,İzinler!$A$5:$A$504,A35,İzinler!$B$5:$B$504,"Yıllık izin",İzinler!$C$5:$C$504,"&gt;="&amp;DATE(Ayarlar!$C$4,1,1),İzinler!$C$5:$C$504,"&lt;"&amp;DATE(Ayarlar!$C$4+1,1,1)))</f>
        <v/>
      </c>
      <c r="F35" s="33" t="str">
        <f aca="false">IF(A35="","",D35-E35)</f>
        <v/>
      </c>
      <c r="G35" s="27" t="str">
        <f aca="false">IF(A35="","",SUMIFS(İzinler!$F$5:$F$504,İzinler!$A$5:$A$504,A35,İzinler!$B$5:$B$504,"Rapor",İzinler!$C$5:$C$504,"&gt;="&amp;DATE(Ayarlar!$C$4,1,1),İzinler!$C$5:$C$504,"&lt;"&amp;DATE(Ayarlar!$C$4+1,1,1)))</f>
        <v/>
      </c>
      <c r="H35" s="27" t="str">
        <f aca="false">IF(A35="","",SUMIFS(İzinler!$F$5:$F$504,İzinler!$A$5:$A$504,A35,İzinler!$B$5:$B$504,"Ücretsiz izin",İzinler!$C$5:$C$504,"&gt;="&amp;DATE(Ayarlar!$C$4,1,1),İzinler!$C$5:$C$504,"&lt;"&amp;DATE(Ayarlar!$C$4+1,1,1)))</f>
        <v/>
      </c>
      <c r="I35" s="28" t="str">
        <f aca="false">IF(A35="","",SUMIFS(Mesai!$C$5:$C$504,Mesai!$A$5:$A$504,A35,Mesai!$B$5:$B$504,"&gt;="&amp;DATE(Ayarlar!$C$4,1,1),Mesai!$B$5:$B$504,"&lt;"&amp;DATE(Ayarlar!$C$4+1,1,1)))</f>
        <v/>
      </c>
      <c r="J35" s="34" t="str">
        <f aca="true">IF(OR(A35="",C35=""),"",(TODAY()-C35)/365.25)</f>
        <v/>
      </c>
    </row>
    <row r="36" customFormat="false" ht="15" hidden="false" customHeight="false" outlineLevel="0" collapsed="false">
      <c r="A36" s="12"/>
      <c r="B36" s="12"/>
      <c r="C36" s="14"/>
      <c r="D36" s="32"/>
      <c r="E36" s="27" t="str">
        <f aca="false">IF(A36="","",SUMIFS(İzinler!$F$5:$F$504,İzinler!$A$5:$A$504,A36,İzinler!$B$5:$B$504,"Yıllık izin",İzinler!$C$5:$C$504,"&gt;="&amp;DATE(Ayarlar!$C$4,1,1),İzinler!$C$5:$C$504,"&lt;"&amp;DATE(Ayarlar!$C$4+1,1,1)))</f>
        <v/>
      </c>
      <c r="F36" s="33" t="str">
        <f aca="false">IF(A36="","",D36-E36)</f>
        <v/>
      </c>
      <c r="G36" s="27" t="str">
        <f aca="false">IF(A36="","",SUMIFS(İzinler!$F$5:$F$504,İzinler!$A$5:$A$504,A36,İzinler!$B$5:$B$504,"Rapor",İzinler!$C$5:$C$504,"&gt;="&amp;DATE(Ayarlar!$C$4,1,1),İzinler!$C$5:$C$504,"&lt;"&amp;DATE(Ayarlar!$C$4+1,1,1)))</f>
        <v/>
      </c>
      <c r="H36" s="27" t="str">
        <f aca="false">IF(A36="","",SUMIFS(İzinler!$F$5:$F$504,İzinler!$A$5:$A$504,A36,İzinler!$B$5:$B$504,"Ücretsiz izin",İzinler!$C$5:$C$504,"&gt;="&amp;DATE(Ayarlar!$C$4,1,1),İzinler!$C$5:$C$504,"&lt;"&amp;DATE(Ayarlar!$C$4+1,1,1)))</f>
        <v/>
      </c>
      <c r="I36" s="28" t="str">
        <f aca="false">IF(A36="","",SUMIFS(Mesai!$C$5:$C$504,Mesai!$A$5:$A$504,A36,Mesai!$B$5:$B$504,"&gt;="&amp;DATE(Ayarlar!$C$4,1,1),Mesai!$B$5:$B$504,"&lt;"&amp;DATE(Ayarlar!$C$4+1,1,1)))</f>
        <v/>
      </c>
      <c r="J36" s="34" t="str">
        <f aca="true">IF(OR(A36="",C36=""),"",(TODAY()-C36)/365.25)</f>
        <v/>
      </c>
    </row>
    <row r="37" customFormat="false" ht="15" hidden="false" customHeight="false" outlineLevel="0" collapsed="false">
      <c r="A37" s="12"/>
      <c r="B37" s="12"/>
      <c r="C37" s="14"/>
      <c r="D37" s="32"/>
      <c r="E37" s="27" t="str">
        <f aca="false">IF(A37="","",SUMIFS(İzinler!$F$5:$F$504,İzinler!$A$5:$A$504,A37,İzinler!$B$5:$B$504,"Yıllık izin",İzinler!$C$5:$C$504,"&gt;="&amp;DATE(Ayarlar!$C$4,1,1),İzinler!$C$5:$C$504,"&lt;"&amp;DATE(Ayarlar!$C$4+1,1,1)))</f>
        <v/>
      </c>
      <c r="F37" s="33" t="str">
        <f aca="false">IF(A37="","",D37-E37)</f>
        <v/>
      </c>
      <c r="G37" s="27" t="str">
        <f aca="false">IF(A37="","",SUMIFS(İzinler!$F$5:$F$504,İzinler!$A$5:$A$504,A37,İzinler!$B$5:$B$504,"Rapor",İzinler!$C$5:$C$504,"&gt;="&amp;DATE(Ayarlar!$C$4,1,1),İzinler!$C$5:$C$504,"&lt;"&amp;DATE(Ayarlar!$C$4+1,1,1)))</f>
        <v/>
      </c>
      <c r="H37" s="27" t="str">
        <f aca="false">IF(A37="","",SUMIFS(İzinler!$F$5:$F$504,İzinler!$A$5:$A$504,A37,İzinler!$B$5:$B$504,"Ücretsiz izin",İzinler!$C$5:$C$504,"&gt;="&amp;DATE(Ayarlar!$C$4,1,1),İzinler!$C$5:$C$504,"&lt;"&amp;DATE(Ayarlar!$C$4+1,1,1)))</f>
        <v/>
      </c>
      <c r="I37" s="28" t="str">
        <f aca="false">IF(A37="","",SUMIFS(Mesai!$C$5:$C$504,Mesai!$A$5:$A$504,A37,Mesai!$B$5:$B$504,"&gt;="&amp;DATE(Ayarlar!$C$4,1,1),Mesai!$B$5:$B$504,"&lt;"&amp;DATE(Ayarlar!$C$4+1,1,1)))</f>
        <v/>
      </c>
      <c r="J37" s="34" t="str">
        <f aca="true">IF(OR(A37="",C37=""),"",(TODAY()-C37)/365.25)</f>
        <v/>
      </c>
    </row>
    <row r="38" customFormat="false" ht="15" hidden="false" customHeight="false" outlineLevel="0" collapsed="false">
      <c r="A38" s="12"/>
      <c r="B38" s="12"/>
      <c r="C38" s="14"/>
      <c r="D38" s="32"/>
      <c r="E38" s="27" t="str">
        <f aca="false">IF(A38="","",SUMIFS(İzinler!$F$5:$F$504,İzinler!$A$5:$A$504,A38,İzinler!$B$5:$B$504,"Yıllık izin",İzinler!$C$5:$C$504,"&gt;="&amp;DATE(Ayarlar!$C$4,1,1),İzinler!$C$5:$C$504,"&lt;"&amp;DATE(Ayarlar!$C$4+1,1,1)))</f>
        <v/>
      </c>
      <c r="F38" s="33" t="str">
        <f aca="false">IF(A38="","",D38-E38)</f>
        <v/>
      </c>
      <c r="G38" s="27" t="str">
        <f aca="false">IF(A38="","",SUMIFS(İzinler!$F$5:$F$504,İzinler!$A$5:$A$504,A38,İzinler!$B$5:$B$504,"Rapor",İzinler!$C$5:$C$504,"&gt;="&amp;DATE(Ayarlar!$C$4,1,1),İzinler!$C$5:$C$504,"&lt;"&amp;DATE(Ayarlar!$C$4+1,1,1)))</f>
        <v/>
      </c>
      <c r="H38" s="27" t="str">
        <f aca="false">IF(A38="","",SUMIFS(İzinler!$F$5:$F$504,İzinler!$A$5:$A$504,A38,İzinler!$B$5:$B$504,"Ücretsiz izin",İzinler!$C$5:$C$504,"&gt;="&amp;DATE(Ayarlar!$C$4,1,1),İzinler!$C$5:$C$504,"&lt;"&amp;DATE(Ayarlar!$C$4+1,1,1)))</f>
        <v/>
      </c>
      <c r="I38" s="28" t="str">
        <f aca="false">IF(A38="","",SUMIFS(Mesai!$C$5:$C$504,Mesai!$A$5:$A$504,A38,Mesai!$B$5:$B$504,"&gt;="&amp;DATE(Ayarlar!$C$4,1,1),Mesai!$B$5:$B$504,"&lt;"&amp;DATE(Ayarlar!$C$4+1,1,1)))</f>
        <v/>
      </c>
      <c r="J38" s="34" t="str">
        <f aca="true">IF(OR(A38="",C38=""),"",(TODAY()-C38)/365.25)</f>
        <v/>
      </c>
    </row>
    <row r="39" customFormat="false" ht="15" hidden="false" customHeight="false" outlineLevel="0" collapsed="false">
      <c r="A39" s="12"/>
      <c r="B39" s="12"/>
      <c r="C39" s="14"/>
      <c r="D39" s="32"/>
      <c r="E39" s="27" t="str">
        <f aca="false">IF(A39="","",SUMIFS(İzinler!$F$5:$F$504,İzinler!$A$5:$A$504,A39,İzinler!$B$5:$B$504,"Yıllık izin",İzinler!$C$5:$C$504,"&gt;="&amp;DATE(Ayarlar!$C$4,1,1),İzinler!$C$5:$C$504,"&lt;"&amp;DATE(Ayarlar!$C$4+1,1,1)))</f>
        <v/>
      </c>
      <c r="F39" s="33" t="str">
        <f aca="false">IF(A39="","",D39-E39)</f>
        <v/>
      </c>
      <c r="G39" s="27" t="str">
        <f aca="false">IF(A39="","",SUMIFS(İzinler!$F$5:$F$504,İzinler!$A$5:$A$504,A39,İzinler!$B$5:$B$504,"Rapor",İzinler!$C$5:$C$504,"&gt;="&amp;DATE(Ayarlar!$C$4,1,1),İzinler!$C$5:$C$504,"&lt;"&amp;DATE(Ayarlar!$C$4+1,1,1)))</f>
        <v/>
      </c>
      <c r="H39" s="27" t="str">
        <f aca="false">IF(A39="","",SUMIFS(İzinler!$F$5:$F$504,İzinler!$A$5:$A$504,A39,İzinler!$B$5:$B$504,"Ücretsiz izin",İzinler!$C$5:$C$504,"&gt;="&amp;DATE(Ayarlar!$C$4,1,1),İzinler!$C$5:$C$504,"&lt;"&amp;DATE(Ayarlar!$C$4+1,1,1)))</f>
        <v/>
      </c>
      <c r="I39" s="28" t="str">
        <f aca="false">IF(A39="","",SUMIFS(Mesai!$C$5:$C$504,Mesai!$A$5:$A$504,A39,Mesai!$B$5:$B$504,"&gt;="&amp;DATE(Ayarlar!$C$4,1,1),Mesai!$B$5:$B$504,"&lt;"&amp;DATE(Ayarlar!$C$4+1,1,1)))</f>
        <v/>
      </c>
      <c r="J39" s="34" t="str">
        <f aca="true">IF(OR(A39="",C39=""),"",(TODAY()-C39)/365.25)</f>
        <v/>
      </c>
    </row>
    <row r="40" customFormat="false" ht="15" hidden="false" customHeight="false" outlineLevel="0" collapsed="false">
      <c r="A40" s="12"/>
      <c r="B40" s="12"/>
      <c r="C40" s="14"/>
      <c r="D40" s="32"/>
      <c r="E40" s="27" t="str">
        <f aca="false">IF(A40="","",SUMIFS(İzinler!$F$5:$F$504,İzinler!$A$5:$A$504,A40,İzinler!$B$5:$B$504,"Yıllık izin",İzinler!$C$5:$C$504,"&gt;="&amp;DATE(Ayarlar!$C$4,1,1),İzinler!$C$5:$C$504,"&lt;"&amp;DATE(Ayarlar!$C$4+1,1,1)))</f>
        <v/>
      </c>
      <c r="F40" s="33" t="str">
        <f aca="false">IF(A40="","",D40-E40)</f>
        <v/>
      </c>
      <c r="G40" s="27" t="str">
        <f aca="false">IF(A40="","",SUMIFS(İzinler!$F$5:$F$504,İzinler!$A$5:$A$504,A40,İzinler!$B$5:$B$504,"Rapor",İzinler!$C$5:$C$504,"&gt;="&amp;DATE(Ayarlar!$C$4,1,1),İzinler!$C$5:$C$504,"&lt;"&amp;DATE(Ayarlar!$C$4+1,1,1)))</f>
        <v/>
      </c>
      <c r="H40" s="27" t="str">
        <f aca="false">IF(A40="","",SUMIFS(İzinler!$F$5:$F$504,İzinler!$A$5:$A$504,A40,İzinler!$B$5:$B$504,"Ücretsiz izin",İzinler!$C$5:$C$504,"&gt;="&amp;DATE(Ayarlar!$C$4,1,1),İzinler!$C$5:$C$504,"&lt;"&amp;DATE(Ayarlar!$C$4+1,1,1)))</f>
        <v/>
      </c>
      <c r="I40" s="28" t="str">
        <f aca="false">IF(A40="","",SUMIFS(Mesai!$C$5:$C$504,Mesai!$A$5:$A$504,A40,Mesai!$B$5:$B$504,"&gt;="&amp;DATE(Ayarlar!$C$4,1,1),Mesai!$B$5:$B$504,"&lt;"&amp;DATE(Ayarlar!$C$4+1,1,1)))</f>
        <v/>
      </c>
      <c r="J40" s="34" t="str">
        <f aca="true">IF(OR(A40="",C40=""),"",(TODAY()-C40)/365.25)</f>
        <v/>
      </c>
    </row>
    <row r="41" customFormat="false" ht="15" hidden="false" customHeight="false" outlineLevel="0" collapsed="false">
      <c r="A41" s="12"/>
      <c r="B41" s="12"/>
      <c r="C41" s="14"/>
      <c r="D41" s="32"/>
      <c r="E41" s="27" t="str">
        <f aca="false">IF(A41="","",SUMIFS(İzinler!$F$5:$F$504,İzinler!$A$5:$A$504,A41,İzinler!$B$5:$B$504,"Yıllık izin",İzinler!$C$5:$C$504,"&gt;="&amp;DATE(Ayarlar!$C$4,1,1),İzinler!$C$5:$C$504,"&lt;"&amp;DATE(Ayarlar!$C$4+1,1,1)))</f>
        <v/>
      </c>
      <c r="F41" s="33" t="str">
        <f aca="false">IF(A41="","",D41-E41)</f>
        <v/>
      </c>
      <c r="G41" s="27" t="str">
        <f aca="false">IF(A41="","",SUMIFS(İzinler!$F$5:$F$504,İzinler!$A$5:$A$504,A41,İzinler!$B$5:$B$504,"Rapor",İzinler!$C$5:$C$504,"&gt;="&amp;DATE(Ayarlar!$C$4,1,1),İzinler!$C$5:$C$504,"&lt;"&amp;DATE(Ayarlar!$C$4+1,1,1)))</f>
        <v/>
      </c>
      <c r="H41" s="27" t="str">
        <f aca="false">IF(A41="","",SUMIFS(İzinler!$F$5:$F$504,İzinler!$A$5:$A$504,A41,İzinler!$B$5:$B$504,"Ücretsiz izin",İzinler!$C$5:$C$504,"&gt;="&amp;DATE(Ayarlar!$C$4,1,1),İzinler!$C$5:$C$504,"&lt;"&amp;DATE(Ayarlar!$C$4+1,1,1)))</f>
        <v/>
      </c>
      <c r="I41" s="28" t="str">
        <f aca="false">IF(A41="","",SUMIFS(Mesai!$C$5:$C$504,Mesai!$A$5:$A$504,A41,Mesai!$B$5:$B$504,"&gt;="&amp;DATE(Ayarlar!$C$4,1,1),Mesai!$B$5:$B$504,"&lt;"&amp;DATE(Ayarlar!$C$4+1,1,1)))</f>
        <v/>
      </c>
      <c r="J41" s="34" t="str">
        <f aca="true">IF(OR(A41="",C41=""),"",(TODAY()-C41)/365.25)</f>
        <v/>
      </c>
    </row>
    <row r="42" customFormat="false" ht="15" hidden="false" customHeight="false" outlineLevel="0" collapsed="false">
      <c r="A42" s="12"/>
      <c r="B42" s="12"/>
      <c r="C42" s="14"/>
      <c r="D42" s="32"/>
      <c r="E42" s="27" t="str">
        <f aca="false">IF(A42="","",SUMIFS(İzinler!$F$5:$F$504,İzinler!$A$5:$A$504,A42,İzinler!$B$5:$B$504,"Yıllık izin",İzinler!$C$5:$C$504,"&gt;="&amp;DATE(Ayarlar!$C$4,1,1),İzinler!$C$5:$C$504,"&lt;"&amp;DATE(Ayarlar!$C$4+1,1,1)))</f>
        <v/>
      </c>
      <c r="F42" s="33" t="str">
        <f aca="false">IF(A42="","",D42-E42)</f>
        <v/>
      </c>
      <c r="G42" s="27" t="str">
        <f aca="false">IF(A42="","",SUMIFS(İzinler!$F$5:$F$504,İzinler!$A$5:$A$504,A42,İzinler!$B$5:$B$504,"Rapor",İzinler!$C$5:$C$504,"&gt;="&amp;DATE(Ayarlar!$C$4,1,1),İzinler!$C$5:$C$504,"&lt;"&amp;DATE(Ayarlar!$C$4+1,1,1)))</f>
        <v/>
      </c>
      <c r="H42" s="27" t="str">
        <f aca="false">IF(A42="","",SUMIFS(İzinler!$F$5:$F$504,İzinler!$A$5:$A$504,A42,İzinler!$B$5:$B$504,"Ücretsiz izin",İzinler!$C$5:$C$504,"&gt;="&amp;DATE(Ayarlar!$C$4,1,1),İzinler!$C$5:$C$504,"&lt;"&amp;DATE(Ayarlar!$C$4+1,1,1)))</f>
        <v/>
      </c>
      <c r="I42" s="28" t="str">
        <f aca="false">IF(A42="","",SUMIFS(Mesai!$C$5:$C$504,Mesai!$A$5:$A$504,A42,Mesai!$B$5:$B$504,"&gt;="&amp;DATE(Ayarlar!$C$4,1,1),Mesai!$B$5:$B$504,"&lt;"&amp;DATE(Ayarlar!$C$4+1,1,1)))</f>
        <v/>
      </c>
      <c r="J42" s="34" t="str">
        <f aca="true">IF(OR(A42="",C42=""),"",(TODAY()-C42)/365.25)</f>
        <v/>
      </c>
    </row>
    <row r="43" customFormat="false" ht="15" hidden="false" customHeight="false" outlineLevel="0" collapsed="false">
      <c r="A43" s="12"/>
      <c r="B43" s="12"/>
      <c r="C43" s="14"/>
      <c r="D43" s="32"/>
      <c r="E43" s="27" t="str">
        <f aca="false">IF(A43="","",SUMIFS(İzinler!$F$5:$F$504,İzinler!$A$5:$A$504,A43,İzinler!$B$5:$B$504,"Yıllık izin",İzinler!$C$5:$C$504,"&gt;="&amp;DATE(Ayarlar!$C$4,1,1),İzinler!$C$5:$C$504,"&lt;"&amp;DATE(Ayarlar!$C$4+1,1,1)))</f>
        <v/>
      </c>
      <c r="F43" s="33" t="str">
        <f aca="false">IF(A43="","",D43-E43)</f>
        <v/>
      </c>
      <c r="G43" s="27" t="str">
        <f aca="false">IF(A43="","",SUMIFS(İzinler!$F$5:$F$504,İzinler!$A$5:$A$504,A43,İzinler!$B$5:$B$504,"Rapor",İzinler!$C$5:$C$504,"&gt;="&amp;DATE(Ayarlar!$C$4,1,1),İzinler!$C$5:$C$504,"&lt;"&amp;DATE(Ayarlar!$C$4+1,1,1)))</f>
        <v/>
      </c>
      <c r="H43" s="27" t="str">
        <f aca="false">IF(A43="","",SUMIFS(İzinler!$F$5:$F$504,İzinler!$A$5:$A$504,A43,İzinler!$B$5:$B$504,"Ücretsiz izin",İzinler!$C$5:$C$504,"&gt;="&amp;DATE(Ayarlar!$C$4,1,1),İzinler!$C$5:$C$504,"&lt;"&amp;DATE(Ayarlar!$C$4+1,1,1)))</f>
        <v/>
      </c>
      <c r="I43" s="28" t="str">
        <f aca="false">IF(A43="","",SUMIFS(Mesai!$C$5:$C$504,Mesai!$A$5:$A$504,A43,Mesai!$B$5:$B$504,"&gt;="&amp;DATE(Ayarlar!$C$4,1,1),Mesai!$B$5:$B$504,"&lt;"&amp;DATE(Ayarlar!$C$4+1,1,1)))</f>
        <v/>
      </c>
      <c r="J43" s="34" t="str">
        <f aca="true">IF(OR(A43="",C43=""),"",(TODAY()-C43)/365.25)</f>
        <v/>
      </c>
    </row>
    <row r="44" customFormat="false" ht="15" hidden="false" customHeight="false" outlineLevel="0" collapsed="false">
      <c r="A44" s="12"/>
      <c r="B44" s="12"/>
      <c r="C44" s="14"/>
      <c r="D44" s="32"/>
      <c r="E44" s="27" t="str">
        <f aca="false">IF(A44="","",SUMIFS(İzinler!$F$5:$F$504,İzinler!$A$5:$A$504,A44,İzinler!$B$5:$B$504,"Yıllık izin",İzinler!$C$5:$C$504,"&gt;="&amp;DATE(Ayarlar!$C$4,1,1),İzinler!$C$5:$C$504,"&lt;"&amp;DATE(Ayarlar!$C$4+1,1,1)))</f>
        <v/>
      </c>
      <c r="F44" s="33" t="str">
        <f aca="false">IF(A44="","",D44-E44)</f>
        <v/>
      </c>
      <c r="G44" s="27" t="str">
        <f aca="false">IF(A44="","",SUMIFS(İzinler!$F$5:$F$504,İzinler!$A$5:$A$504,A44,İzinler!$B$5:$B$504,"Rapor",İzinler!$C$5:$C$504,"&gt;="&amp;DATE(Ayarlar!$C$4,1,1),İzinler!$C$5:$C$504,"&lt;"&amp;DATE(Ayarlar!$C$4+1,1,1)))</f>
        <v/>
      </c>
      <c r="H44" s="27" t="str">
        <f aca="false">IF(A44="","",SUMIFS(İzinler!$F$5:$F$504,İzinler!$A$5:$A$504,A44,İzinler!$B$5:$B$504,"Ücretsiz izin",İzinler!$C$5:$C$504,"&gt;="&amp;DATE(Ayarlar!$C$4,1,1),İzinler!$C$5:$C$504,"&lt;"&amp;DATE(Ayarlar!$C$4+1,1,1)))</f>
        <v/>
      </c>
      <c r="I44" s="28" t="str">
        <f aca="false">IF(A44="","",SUMIFS(Mesai!$C$5:$C$504,Mesai!$A$5:$A$504,A44,Mesai!$B$5:$B$504,"&gt;="&amp;DATE(Ayarlar!$C$4,1,1),Mesai!$B$5:$B$504,"&lt;"&amp;DATE(Ayarlar!$C$4+1,1,1)))</f>
        <v/>
      </c>
      <c r="J44" s="34" t="str">
        <f aca="true">IF(OR(A44="",C44=""),"",(TODAY()-C44)/365.25)</f>
        <v/>
      </c>
    </row>
    <row r="45" customFormat="false" ht="15" hidden="false" customHeight="false" outlineLevel="0" collapsed="false">
      <c r="A45" s="12"/>
      <c r="B45" s="12"/>
      <c r="C45" s="14"/>
      <c r="D45" s="32"/>
      <c r="E45" s="27" t="str">
        <f aca="false">IF(A45="","",SUMIFS(İzinler!$F$5:$F$504,İzinler!$A$5:$A$504,A45,İzinler!$B$5:$B$504,"Yıllık izin",İzinler!$C$5:$C$504,"&gt;="&amp;DATE(Ayarlar!$C$4,1,1),İzinler!$C$5:$C$504,"&lt;"&amp;DATE(Ayarlar!$C$4+1,1,1)))</f>
        <v/>
      </c>
      <c r="F45" s="33" t="str">
        <f aca="false">IF(A45="","",D45-E45)</f>
        <v/>
      </c>
      <c r="G45" s="27" t="str">
        <f aca="false">IF(A45="","",SUMIFS(İzinler!$F$5:$F$504,İzinler!$A$5:$A$504,A45,İzinler!$B$5:$B$504,"Rapor",İzinler!$C$5:$C$504,"&gt;="&amp;DATE(Ayarlar!$C$4,1,1),İzinler!$C$5:$C$504,"&lt;"&amp;DATE(Ayarlar!$C$4+1,1,1)))</f>
        <v/>
      </c>
      <c r="H45" s="27" t="str">
        <f aca="false">IF(A45="","",SUMIFS(İzinler!$F$5:$F$504,İzinler!$A$5:$A$504,A45,İzinler!$B$5:$B$504,"Ücretsiz izin",İzinler!$C$5:$C$504,"&gt;="&amp;DATE(Ayarlar!$C$4,1,1),İzinler!$C$5:$C$504,"&lt;"&amp;DATE(Ayarlar!$C$4+1,1,1)))</f>
        <v/>
      </c>
      <c r="I45" s="28" t="str">
        <f aca="false">IF(A45="","",SUMIFS(Mesai!$C$5:$C$504,Mesai!$A$5:$A$504,A45,Mesai!$B$5:$B$504,"&gt;="&amp;DATE(Ayarlar!$C$4,1,1),Mesai!$B$5:$B$504,"&lt;"&amp;DATE(Ayarlar!$C$4+1,1,1)))</f>
        <v/>
      </c>
      <c r="J45" s="34" t="str">
        <f aca="true">IF(OR(A45="",C45=""),"",(TODAY()-C45)/365.25)</f>
        <v/>
      </c>
    </row>
    <row r="46" customFormat="false" ht="15" hidden="false" customHeight="false" outlineLevel="0" collapsed="false">
      <c r="A46" s="12"/>
      <c r="B46" s="12"/>
      <c r="C46" s="14"/>
      <c r="D46" s="32"/>
      <c r="E46" s="27" t="str">
        <f aca="false">IF(A46="","",SUMIFS(İzinler!$F$5:$F$504,İzinler!$A$5:$A$504,A46,İzinler!$B$5:$B$504,"Yıllık izin",İzinler!$C$5:$C$504,"&gt;="&amp;DATE(Ayarlar!$C$4,1,1),İzinler!$C$5:$C$504,"&lt;"&amp;DATE(Ayarlar!$C$4+1,1,1)))</f>
        <v/>
      </c>
      <c r="F46" s="33" t="str">
        <f aca="false">IF(A46="","",D46-E46)</f>
        <v/>
      </c>
      <c r="G46" s="27" t="str">
        <f aca="false">IF(A46="","",SUMIFS(İzinler!$F$5:$F$504,İzinler!$A$5:$A$504,A46,İzinler!$B$5:$B$504,"Rapor",İzinler!$C$5:$C$504,"&gt;="&amp;DATE(Ayarlar!$C$4,1,1),İzinler!$C$5:$C$504,"&lt;"&amp;DATE(Ayarlar!$C$4+1,1,1)))</f>
        <v/>
      </c>
      <c r="H46" s="27" t="str">
        <f aca="false">IF(A46="","",SUMIFS(İzinler!$F$5:$F$504,İzinler!$A$5:$A$504,A46,İzinler!$B$5:$B$504,"Ücretsiz izin",İzinler!$C$5:$C$504,"&gt;="&amp;DATE(Ayarlar!$C$4,1,1),İzinler!$C$5:$C$504,"&lt;"&amp;DATE(Ayarlar!$C$4+1,1,1)))</f>
        <v/>
      </c>
      <c r="I46" s="28" t="str">
        <f aca="false">IF(A46="","",SUMIFS(Mesai!$C$5:$C$504,Mesai!$A$5:$A$504,A46,Mesai!$B$5:$B$504,"&gt;="&amp;DATE(Ayarlar!$C$4,1,1),Mesai!$B$5:$B$504,"&lt;"&amp;DATE(Ayarlar!$C$4+1,1,1)))</f>
        <v/>
      </c>
      <c r="J46" s="34" t="str">
        <f aca="true">IF(OR(A46="",C46=""),"",(TODAY()-C46)/365.25)</f>
        <v/>
      </c>
    </row>
    <row r="47" customFormat="false" ht="15" hidden="false" customHeight="false" outlineLevel="0" collapsed="false">
      <c r="A47" s="12"/>
      <c r="B47" s="12"/>
      <c r="C47" s="14"/>
      <c r="D47" s="32"/>
      <c r="E47" s="27" t="str">
        <f aca="false">IF(A47="","",SUMIFS(İzinler!$F$5:$F$504,İzinler!$A$5:$A$504,A47,İzinler!$B$5:$B$504,"Yıllık izin",İzinler!$C$5:$C$504,"&gt;="&amp;DATE(Ayarlar!$C$4,1,1),İzinler!$C$5:$C$504,"&lt;"&amp;DATE(Ayarlar!$C$4+1,1,1)))</f>
        <v/>
      </c>
      <c r="F47" s="33" t="str">
        <f aca="false">IF(A47="","",D47-E47)</f>
        <v/>
      </c>
      <c r="G47" s="27" t="str">
        <f aca="false">IF(A47="","",SUMIFS(İzinler!$F$5:$F$504,İzinler!$A$5:$A$504,A47,İzinler!$B$5:$B$504,"Rapor",İzinler!$C$5:$C$504,"&gt;="&amp;DATE(Ayarlar!$C$4,1,1),İzinler!$C$5:$C$504,"&lt;"&amp;DATE(Ayarlar!$C$4+1,1,1)))</f>
        <v/>
      </c>
      <c r="H47" s="27" t="str">
        <f aca="false">IF(A47="","",SUMIFS(İzinler!$F$5:$F$504,İzinler!$A$5:$A$504,A47,İzinler!$B$5:$B$504,"Ücretsiz izin",İzinler!$C$5:$C$504,"&gt;="&amp;DATE(Ayarlar!$C$4,1,1),İzinler!$C$5:$C$504,"&lt;"&amp;DATE(Ayarlar!$C$4+1,1,1)))</f>
        <v/>
      </c>
      <c r="I47" s="28" t="str">
        <f aca="false">IF(A47="","",SUMIFS(Mesai!$C$5:$C$504,Mesai!$A$5:$A$504,A47,Mesai!$B$5:$B$504,"&gt;="&amp;DATE(Ayarlar!$C$4,1,1),Mesai!$B$5:$B$504,"&lt;"&amp;DATE(Ayarlar!$C$4+1,1,1)))</f>
        <v/>
      </c>
      <c r="J47" s="34" t="str">
        <f aca="true">IF(OR(A47="",C47=""),"",(TODAY()-C47)/365.25)</f>
        <v/>
      </c>
    </row>
    <row r="48" customFormat="false" ht="15" hidden="false" customHeight="false" outlineLevel="0" collapsed="false">
      <c r="A48" s="12"/>
      <c r="B48" s="12"/>
      <c r="C48" s="14"/>
      <c r="D48" s="32"/>
      <c r="E48" s="27" t="str">
        <f aca="false">IF(A48="","",SUMIFS(İzinler!$F$5:$F$504,İzinler!$A$5:$A$504,A48,İzinler!$B$5:$B$504,"Yıllık izin",İzinler!$C$5:$C$504,"&gt;="&amp;DATE(Ayarlar!$C$4,1,1),İzinler!$C$5:$C$504,"&lt;"&amp;DATE(Ayarlar!$C$4+1,1,1)))</f>
        <v/>
      </c>
      <c r="F48" s="33" t="str">
        <f aca="false">IF(A48="","",D48-E48)</f>
        <v/>
      </c>
      <c r="G48" s="27" t="str">
        <f aca="false">IF(A48="","",SUMIFS(İzinler!$F$5:$F$504,İzinler!$A$5:$A$504,A48,İzinler!$B$5:$B$504,"Rapor",İzinler!$C$5:$C$504,"&gt;="&amp;DATE(Ayarlar!$C$4,1,1),İzinler!$C$5:$C$504,"&lt;"&amp;DATE(Ayarlar!$C$4+1,1,1)))</f>
        <v/>
      </c>
      <c r="H48" s="27" t="str">
        <f aca="false">IF(A48="","",SUMIFS(İzinler!$F$5:$F$504,İzinler!$A$5:$A$504,A48,İzinler!$B$5:$B$504,"Ücretsiz izin",İzinler!$C$5:$C$504,"&gt;="&amp;DATE(Ayarlar!$C$4,1,1),İzinler!$C$5:$C$504,"&lt;"&amp;DATE(Ayarlar!$C$4+1,1,1)))</f>
        <v/>
      </c>
      <c r="I48" s="28" t="str">
        <f aca="false">IF(A48="","",SUMIFS(Mesai!$C$5:$C$504,Mesai!$A$5:$A$504,A48,Mesai!$B$5:$B$504,"&gt;="&amp;DATE(Ayarlar!$C$4,1,1),Mesai!$B$5:$B$504,"&lt;"&amp;DATE(Ayarlar!$C$4+1,1,1)))</f>
        <v/>
      </c>
      <c r="J48" s="34" t="str">
        <f aca="true">IF(OR(A48="",C48=""),"",(TODAY()-C48)/365.25)</f>
        <v/>
      </c>
    </row>
    <row r="49" customFormat="false" ht="15" hidden="false" customHeight="false" outlineLevel="0" collapsed="false">
      <c r="A49" s="12"/>
      <c r="B49" s="12"/>
      <c r="C49" s="14"/>
      <c r="D49" s="32"/>
      <c r="E49" s="27" t="str">
        <f aca="false">IF(A49="","",SUMIFS(İzinler!$F$5:$F$504,İzinler!$A$5:$A$504,A49,İzinler!$B$5:$B$504,"Yıllık izin",İzinler!$C$5:$C$504,"&gt;="&amp;DATE(Ayarlar!$C$4,1,1),İzinler!$C$5:$C$504,"&lt;"&amp;DATE(Ayarlar!$C$4+1,1,1)))</f>
        <v/>
      </c>
      <c r="F49" s="33" t="str">
        <f aca="false">IF(A49="","",D49-E49)</f>
        <v/>
      </c>
      <c r="G49" s="27" t="str">
        <f aca="false">IF(A49="","",SUMIFS(İzinler!$F$5:$F$504,İzinler!$A$5:$A$504,A49,İzinler!$B$5:$B$504,"Rapor",İzinler!$C$5:$C$504,"&gt;="&amp;DATE(Ayarlar!$C$4,1,1),İzinler!$C$5:$C$504,"&lt;"&amp;DATE(Ayarlar!$C$4+1,1,1)))</f>
        <v/>
      </c>
      <c r="H49" s="27" t="str">
        <f aca="false">IF(A49="","",SUMIFS(İzinler!$F$5:$F$504,İzinler!$A$5:$A$504,A49,İzinler!$B$5:$B$504,"Ücretsiz izin",İzinler!$C$5:$C$504,"&gt;="&amp;DATE(Ayarlar!$C$4,1,1),İzinler!$C$5:$C$504,"&lt;"&amp;DATE(Ayarlar!$C$4+1,1,1)))</f>
        <v/>
      </c>
      <c r="I49" s="28" t="str">
        <f aca="false">IF(A49="","",SUMIFS(Mesai!$C$5:$C$504,Mesai!$A$5:$A$504,A49,Mesai!$B$5:$B$504,"&gt;="&amp;DATE(Ayarlar!$C$4,1,1),Mesai!$B$5:$B$504,"&lt;"&amp;DATE(Ayarlar!$C$4+1,1,1)))</f>
        <v/>
      </c>
      <c r="J49" s="34" t="str">
        <f aca="true">IF(OR(A49="",C49=""),"",(TODAY()-C49)/365.25)</f>
        <v/>
      </c>
    </row>
    <row r="50" customFormat="false" ht="15" hidden="false" customHeight="false" outlineLevel="0" collapsed="false">
      <c r="A50" s="12"/>
      <c r="B50" s="12"/>
      <c r="C50" s="14"/>
      <c r="D50" s="32"/>
      <c r="E50" s="27" t="str">
        <f aca="false">IF(A50="","",SUMIFS(İzinler!$F$5:$F$504,İzinler!$A$5:$A$504,A50,İzinler!$B$5:$B$504,"Yıllık izin",İzinler!$C$5:$C$504,"&gt;="&amp;DATE(Ayarlar!$C$4,1,1),İzinler!$C$5:$C$504,"&lt;"&amp;DATE(Ayarlar!$C$4+1,1,1)))</f>
        <v/>
      </c>
      <c r="F50" s="33" t="str">
        <f aca="false">IF(A50="","",D50-E50)</f>
        <v/>
      </c>
      <c r="G50" s="27" t="str">
        <f aca="false">IF(A50="","",SUMIFS(İzinler!$F$5:$F$504,İzinler!$A$5:$A$504,A50,İzinler!$B$5:$B$504,"Rapor",İzinler!$C$5:$C$504,"&gt;="&amp;DATE(Ayarlar!$C$4,1,1),İzinler!$C$5:$C$504,"&lt;"&amp;DATE(Ayarlar!$C$4+1,1,1)))</f>
        <v/>
      </c>
      <c r="H50" s="27" t="str">
        <f aca="false">IF(A50="","",SUMIFS(İzinler!$F$5:$F$504,İzinler!$A$5:$A$504,A50,İzinler!$B$5:$B$504,"Ücretsiz izin",İzinler!$C$5:$C$504,"&gt;="&amp;DATE(Ayarlar!$C$4,1,1),İzinler!$C$5:$C$504,"&lt;"&amp;DATE(Ayarlar!$C$4+1,1,1)))</f>
        <v/>
      </c>
      <c r="I50" s="28" t="str">
        <f aca="false">IF(A50="","",SUMIFS(Mesai!$C$5:$C$504,Mesai!$A$5:$A$504,A50,Mesai!$B$5:$B$504,"&gt;="&amp;DATE(Ayarlar!$C$4,1,1),Mesai!$B$5:$B$504,"&lt;"&amp;DATE(Ayarlar!$C$4+1,1,1)))</f>
        <v/>
      </c>
      <c r="J50" s="34" t="str">
        <f aca="true">IF(OR(A50="",C50=""),"",(TODAY()-C50)/365.25)</f>
        <v/>
      </c>
    </row>
    <row r="51" customFormat="false" ht="15" hidden="false" customHeight="false" outlineLevel="0" collapsed="false">
      <c r="A51" s="12"/>
      <c r="B51" s="12"/>
      <c r="C51" s="14"/>
      <c r="D51" s="32"/>
      <c r="E51" s="27" t="str">
        <f aca="false">IF(A51="","",SUMIFS(İzinler!$F$5:$F$504,İzinler!$A$5:$A$504,A51,İzinler!$B$5:$B$504,"Yıllık izin",İzinler!$C$5:$C$504,"&gt;="&amp;DATE(Ayarlar!$C$4,1,1),İzinler!$C$5:$C$504,"&lt;"&amp;DATE(Ayarlar!$C$4+1,1,1)))</f>
        <v/>
      </c>
      <c r="F51" s="33" t="str">
        <f aca="false">IF(A51="","",D51-E51)</f>
        <v/>
      </c>
      <c r="G51" s="27" t="str">
        <f aca="false">IF(A51="","",SUMIFS(İzinler!$F$5:$F$504,İzinler!$A$5:$A$504,A51,İzinler!$B$5:$B$504,"Rapor",İzinler!$C$5:$C$504,"&gt;="&amp;DATE(Ayarlar!$C$4,1,1),İzinler!$C$5:$C$504,"&lt;"&amp;DATE(Ayarlar!$C$4+1,1,1)))</f>
        <v/>
      </c>
      <c r="H51" s="27" t="str">
        <f aca="false">IF(A51="","",SUMIFS(İzinler!$F$5:$F$504,İzinler!$A$5:$A$504,A51,İzinler!$B$5:$B$504,"Ücretsiz izin",İzinler!$C$5:$C$504,"&gt;="&amp;DATE(Ayarlar!$C$4,1,1),İzinler!$C$5:$C$504,"&lt;"&amp;DATE(Ayarlar!$C$4+1,1,1)))</f>
        <v/>
      </c>
      <c r="I51" s="28" t="str">
        <f aca="false">IF(A51="","",SUMIFS(Mesai!$C$5:$C$504,Mesai!$A$5:$A$504,A51,Mesai!$B$5:$B$504,"&gt;="&amp;DATE(Ayarlar!$C$4,1,1),Mesai!$B$5:$B$504,"&lt;"&amp;DATE(Ayarlar!$C$4+1,1,1)))</f>
        <v/>
      </c>
      <c r="J51" s="34" t="str">
        <f aca="true">IF(OR(A51="",C51=""),"",(TODAY()-C51)/365.25)</f>
        <v/>
      </c>
    </row>
    <row r="52" customFormat="false" ht="15" hidden="false" customHeight="false" outlineLevel="0" collapsed="false">
      <c r="A52" s="12"/>
      <c r="B52" s="12"/>
      <c r="C52" s="14"/>
      <c r="D52" s="32"/>
      <c r="E52" s="27" t="str">
        <f aca="false">IF(A52="","",SUMIFS(İzinler!$F$5:$F$504,İzinler!$A$5:$A$504,A52,İzinler!$B$5:$B$504,"Yıllık izin",İzinler!$C$5:$C$504,"&gt;="&amp;DATE(Ayarlar!$C$4,1,1),İzinler!$C$5:$C$504,"&lt;"&amp;DATE(Ayarlar!$C$4+1,1,1)))</f>
        <v/>
      </c>
      <c r="F52" s="33" t="str">
        <f aca="false">IF(A52="","",D52-E52)</f>
        <v/>
      </c>
      <c r="G52" s="27" t="str">
        <f aca="false">IF(A52="","",SUMIFS(İzinler!$F$5:$F$504,İzinler!$A$5:$A$504,A52,İzinler!$B$5:$B$504,"Rapor",İzinler!$C$5:$C$504,"&gt;="&amp;DATE(Ayarlar!$C$4,1,1),İzinler!$C$5:$C$504,"&lt;"&amp;DATE(Ayarlar!$C$4+1,1,1)))</f>
        <v/>
      </c>
      <c r="H52" s="27" t="str">
        <f aca="false">IF(A52="","",SUMIFS(İzinler!$F$5:$F$504,İzinler!$A$5:$A$504,A52,İzinler!$B$5:$B$504,"Ücretsiz izin",İzinler!$C$5:$C$504,"&gt;="&amp;DATE(Ayarlar!$C$4,1,1),İzinler!$C$5:$C$504,"&lt;"&amp;DATE(Ayarlar!$C$4+1,1,1)))</f>
        <v/>
      </c>
      <c r="I52" s="28" t="str">
        <f aca="false">IF(A52="","",SUMIFS(Mesai!$C$5:$C$504,Mesai!$A$5:$A$504,A52,Mesai!$B$5:$B$504,"&gt;="&amp;DATE(Ayarlar!$C$4,1,1),Mesai!$B$5:$B$504,"&lt;"&amp;DATE(Ayarlar!$C$4+1,1,1)))</f>
        <v/>
      </c>
      <c r="J52" s="34" t="str">
        <f aca="true">IF(OR(A52="",C52=""),"",(TODAY()-C52)/365.25)</f>
        <v/>
      </c>
    </row>
    <row r="53" customFormat="false" ht="15" hidden="false" customHeight="false" outlineLevel="0" collapsed="false">
      <c r="A53" s="12"/>
      <c r="B53" s="12"/>
      <c r="C53" s="14"/>
      <c r="D53" s="32"/>
      <c r="E53" s="27" t="str">
        <f aca="false">IF(A53="","",SUMIFS(İzinler!$F$5:$F$504,İzinler!$A$5:$A$504,A53,İzinler!$B$5:$B$504,"Yıllık izin",İzinler!$C$5:$C$504,"&gt;="&amp;DATE(Ayarlar!$C$4,1,1),İzinler!$C$5:$C$504,"&lt;"&amp;DATE(Ayarlar!$C$4+1,1,1)))</f>
        <v/>
      </c>
      <c r="F53" s="33" t="str">
        <f aca="false">IF(A53="","",D53-E53)</f>
        <v/>
      </c>
      <c r="G53" s="27" t="str">
        <f aca="false">IF(A53="","",SUMIFS(İzinler!$F$5:$F$504,İzinler!$A$5:$A$504,A53,İzinler!$B$5:$B$504,"Rapor",İzinler!$C$5:$C$504,"&gt;="&amp;DATE(Ayarlar!$C$4,1,1),İzinler!$C$5:$C$504,"&lt;"&amp;DATE(Ayarlar!$C$4+1,1,1)))</f>
        <v/>
      </c>
      <c r="H53" s="27" t="str">
        <f aca="false">IF(A53="","",SUMIFS(İzinler!$F$5:$F$504,İzinler!$A$5:$A$504,A53,İzinler!$B$5:$B$504,"Ücretsiz izin",İzinler!$C$5:$C$504,"&gt;="&amp;DATE(Ayarlar!$C$4,1,1),İzinler!$C$5:$C$504,"&lt;"&amp;DATE(Ayarlar!$C$4+1,1,1)))</f>
        <v/>
      </c>
      <c r="I53" s="28" t="str">
        <f aca="false">IF(A53="","",SUMIFS(Mesai!$C$5:$C$504,Mesai!$A$5:$A$504,A53,Mesai!$B$5:$B$504,"&gt;="&amp;DATE(Ayarlar!$C$4,1,1),Mesai!$B$5:$B$504,"&lt;"&amp;DATE(Ayarlar!$C$4+1,1,1)))</f>
        <v/>
      </c>
      <c r="J53" s="34" t="str">
        <f aca="true">IF(OR(A53="",C53=""),"",(TODAY()-C53)/365.25)</f>
        <v/>
      </c>
    </row>
    <row r="54" customFormat="false" ht="15" hidden="false" customHeight="false" outlineLevel="0" collapsed="false">
      <c r="A54" s="12"/>
      <c r="B54" s="12"/>
      <c r="C54" s="14"/>
      <c r="D54" s="32"/>
      <c r="E54" s="27" t="str">
        <f aca="false">IF(A54="","",SUMIFS(İzinler!$F$5:$F$504,İzinler!$A$5:$A$504,A54,İzinler!$B$5:$B$504,"Yıllık izin",İzinler!$C$5:$C$504,"&gt;="&amp;DATE(Ayarlar!$C$4,1,1),İzinler!$C$5:$C$504,"&lt;"&amp;DATE(Ayarlar!$C$4+1,1,1)))</f>
        <v/>
      </c>
      <c r="F54" s="33" t="str">
        <f aca="false">IF(A54="","",D54-E54)</f>
        <v/>
      </c>
      <c r="G54" s="27" t="str">
        <f aca="false">IF(A54="","",SUMIFS(İzinler!$F$5:$F$504,İzinler!$A$5:$A$504,A54,İzinler!$B$5:$B$504,"Rapor",İzinler!$C$5:$C$504,"&gt;="&amp;DATE(Ayarlar!$C$4,1,1),İzinler!$C$5:$C$504,"&lt;"&amp;DATE(Ayarlar!$C$4+1,1,1)))</f>
        <v/>
      </c>
      <c r="H54" s="27" t="str">
        <f aca="false">IF(A54="","",SUMIFS(İzinler!$F$5:$F$504,İzinler!$A$5:$A$504,A54,İzinler!$B$5:$B$504,"Ücretsiz izin",İzinler!$C$5:$C$504,"&gt;="&amp;DATE(Ayarlar!$C$4,1,1),İzinler!$C$5:$C$504,"&lt;"&amp;DATE(Ayarlar!$C$4+1,1,1)))</f>
        <v/>
      </c>
      <c r="I54" s="28" t="str">
        <f aca="false">IF(A54="","",SUMIFS(Mesai!$C$5:$C$504,Mesai!$A$5:$A$504,A54,Mesai!$B$5:$B$504,"&gt;="&amp;DATE(Ayarlar!$C$4,1,1),Mesai!$B$5:$B$504,"&lt;"&amp;DATE(Ayarlar!$C$4+1,1,1)))</f>
        <v/>
      </c>
      <c r="J54" s="34" t="str">
        <f aca="true">IF(OR(A54="",C54=""),"",(TODAY()-C54)/365.25)</f>
        <v/>
      </c>
    </row>
  </sheetData>
  <conditionalFormatting sqref="F5:F54">
    <cfRule type="expression" priority="2" aboveAverage="0" equalAverage="0" bottom="0" percent="0" rank="0" text="" dxfId="0">
      <formula>AND(ISNUMBER(F5),F5&lt;0)</formula>
    </cfRule>
  </conditionalFormatting>
  <dataValidations count="3">
    <dataValidation allowBlank="true" error="Geçerli bir tarih gir (örnek: 05.10.2026)." errorStyle="stop" errorTitle="Kontrol" operator="greaterThan" showDropDown="false" showErrorMessage="true" showInputMessage="false" sqref="C5:C54" type="date">
      <formula1>36526</formula1>
      <formula2>0</formula2>
    </dataValidation>
    <dataValidation allowBlank="true" error="Bu ad zaten var. Her ad bir kez girilebilir." errorStyle="stop" errorTitle="Kontrol" operator="between" showDropDown="false" showErrorMessage="true" showInputMessage="false" sqref="A5:A54" type="custom">
      <formula1>COUNTIF($A$5:$A$54,A5)=1</formula1>
      <formula2>0</formula2>
    </dataValidation>
    <dataValidation allowBlank="true" error="Sıfır ya da daha büyük bir sayı gir." errorStyle="stop" errorTitle="Kontrol" operator="greaterThanOrEqual" showDropDown="false" showErrorMessage="true" showInputMessage="false" sqref="D5:D54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4" min="4" style="0" width="3"/>
    <col collapsed="false" customWidth="true" hidden="false" outlineLevel="0" max="5" min="5" style="0" width="16"/>
    <col collapsed="false" customWidth="true" hidden="false" outlineLevel="0" max="6" min="6" style="0" width="36"/>
  </cols>
  <sheetData>
    <row r="1" customFormat="false" ht="19.7" hidden="false" customHeight="false" outlineLevel="0" collapsed="false">
      <c r="A1" s="8" t="s">
        <v>90</v>
      </c>
    </row>
    <row r="2" customFormat="false" ht="15" hidden="false" customHeight="false" outlineLevel="0" collapsed="false">
      <c r="A2" s="9" t="s">
        <v>91</v>
      </c>
    </row>
    <row r="4" customFormat="false" ht="21.75" hidden="false" customHeight="true" outlineLevel="0" collapsed="false">
      <c r="B4" s="35" t="s">
        <v>92</v>
      </c>
      <c r="C4" s="18" t="n">
        <v>2026</v>
      </c>
      <c r="E4" s="10" t="s">
        <v>93</v>
      </c>
      <c r="F4" s="10" t="s">
        <v>49</v>
      </c>
    </row>
    <row r="5" customFormat="false" ht="30" hidden="false" customHeight="true" outlineLevel="0" collapsed="false">
      <c r="B5" s="35" t="s">
        <v>94</v>
      </c>
      <c r="C5" s="18" t="n">
        <v>1</v>
      </c>
      <c r="E5" s="14" t="n">
        <f aca="false">DATE($C$4,1,1)</f>
        <v>46023</v>
      </c>
      <c r="F5" s="12" t="s">
        <v>95</v>
      </c>
    </row>
    <row r="6" customFormat="false" ht="15" hidden="false" customHeight="false" outlineLevel="0" collapsed="false">
      <c r="E6" s="14" t="n">
        <f aca="false">DATE($C$4,4,23)</f>
        <v>46135</v>
      </c>
      <c r="F6" s="12" t="s">
        <v>96</v>
      </c>
    </row>
    <row r="7" customFormat="false" ht="43.5" hidden="false" customHeight="true" outlineLevel="0" collapsed="false">
      <c r="B7" s="36" t="s">
        <v>97</v>
      </c>
      <c r="E7" s="14" t="n">
        <f aca="false">DATE($C$4,5,1)</f>
        <v>46143</v>
      </c>
      <c r="F7" s="12" t="s">
        <v>98</v>
      </c>
    </row>
    <row r="8" customFormat="false" ht="15" hidden="false" customHeight="false" outlineLevel="0" collapsed="false">
      <c r="E8" s="14" t="n">
        <f aca="false">DATE($C$4,5,19)</f>
        <v>46161</v>
      </c>
      <c r="F8" s="12" t="s">
        <v>99</v>
      </c>
    </row>
    <row r="9" customFormat="false" ht="15" hidden="false" customHeight="false" outlineLevel="0" collapsed="false">
      <c r="E9" s="14" t="n">
        <f aca="false">DATE($C$4,7,15)</f>
        <v>46218</v>
      </c>
      <c r="F9" s="12" t="s">
        <v>100</v>
      </c>
    </row>
    <row r="10" customFormat="false" ht="15" hidden="false" customHeight="false" outlineLevel="0" collapsed="false">
      <c r="E10" s="14" t="n">
        <f aca="false">DATE($C$4,8,30)</f>
        <v>46264</v>
      </c>
      <c r="F10" s="12" t="s">
        <v>101</v>
      </c>
    </row>
    <row r="11" customFormat="false" ht="15" hidden="false" customHeight="false" outlineLevel="0" collapsed="false">
      <c r="E11" s="14" t="n">
        <f aca="false">DATE($C$4,10,29)</f>
        <v>46324</v>
      </c>
      <c r="F11" s="12" t="s">
        <v>102</v>
      </c>
    </row>
    <row r="12" customFormat="false" ht="15" hidden="false" customHeight="false" outlineLevel="0" collapsed="false">
      <c r="E12" s="14"/>
      <c r="F12" s="12"/>
    </row>
    <row r="13" customFormat="false" ht="15" hidden="false" customHeight="false" outlineLevel="0" collapsed="false">
      <c r="E13" s="14"/>
      <c r="F13" s="12"/>
    </row>
    <row r="14" customFormat="false" ht="15" hidden="false" customHeight="false" outlineLevel="0" collapsed="false">
      <c r="E14" s="14"/>
      <c r="F14" s="12"/>
    </row>
    <row r="15" customFormat="false" ht="15" hidden="false" customHeight="false" outlineLevel="0" collapsed="false">
      <c r="E15" s="14"/>
      <c r="F15" s="12"/>
    </row>
    <row r="16" customFormat="false" ht="15" hidden="false" customHeight="false" outlineLevel="0" collapsed="false">
      <c r="E16" s="14"/>
      <c r="F16" s="12"/>
    </row>
    <row r="17" customFormat="false" ht="15" hidden="false" customHeight="false" outlineLevel="0" collapsed="false">
      <c r="E17" s="14"/>
      <c r="F17" s="12"/>
    </row>
    <row r="18" customFormat="false" ht="15" hidden="false" customHeight="false" outlineLevel="0" collapsed="false">
      <c r="E18" s="14"/>
      <c r="F18" s="12"/>
    </row>
    <row r="19" customFormat="false" ht="15" hidden="false" customHeight="false" outlineLevel="0" collapsed="false">
      <c r="E19" s="14"/>
      <c r="F19" s="12"/>
    </row>
    <row r="20" customFormat="false" ht="15" hidden="false" customHeight="false" outlineLevel="0" collapsed="false">
      <c r="E20" s="14"/>
      <c r="F20" s="12"/>
    </row>
    <row r="21" customFormat="false" ht="15" hidden="false" customHeight="false" outlineLevel="0" collapsed="false">
      <c r="E21" s="14"/>
      <c r="F21" s="12"/>
    </row>
    <row r="22" customFormat="false" ht="15" hidden="false" customHeight="false" outlineLevel="0" collapsed="false">
      <c r="E22" s="14"/>
      <c r="F22" s="12"/>
    </row>
    <row r="23" customFormat="false" ht="15" hidden="false" customHeight="false" outlineLevel="0" collapsed="false">
      <c r="E23" s="14"/>
      <c r="F23" s="12"/>
    </row>
    <row r="24" customFormat="false" ht="15" hidden="false" customHeight="false" outlineLevel="0" collapsed="false">
      <c r="E24" s="14"/>
      <c r="F24" s="12"/>
    </row>
    <row r="26" customFormat="false" ht="15" hidden="false" customHeight="false" outlineLevel="0" collapsed="false">
      <c r="E26" s="9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6"/>
  </cols>
  <sheetData>
    <row r="1" customFormat="false" ht="19.7" hidden="false" customHeight="false" outlineLevel="0" collapsed="false">
      <c r="B1" s="8" t="s">
        <v>104</v>
      </c>
    </row>
    <row r="2" customFormat="false" ht="30" hidden="false" customHeight="true" outlineLevel="0" collapsed="false">
      <c r="B2" s="37" t="s">
        <v>105</v>
      </c>
      <c r="C2" s="37"/>
    </row>
    <row r="3" customFormat="false" ht="31.5" hidden="false" customHeight="true" outlineLevel="0" collapsed="false">
      <c r="B3" s="38" t="s">
        <v>106</v>
      </c>
      <c r="C3" s="38"/>
    </row>
    <row r="5" customFormat="false" ht="15" hidden="false" customHeight="false" outlineLevel="0" collapsed="false">
      <c r="B5" s="39" t="s">
        <v>107</v>
      </c>
      <c r="C5" s="39" t="s">
        <v>108</v>
      </c>
    </row>
    <row r="6" customFormat="false" ht="31.5" hidden="false" customHeight="true" outlineLevel="0" collapsed="false">
      <c r="B6" s="40" t="s">
        <v>109</v>
      </c>
      <c r="C6" s="41" t="s">
        <v>110</v>
      </c>
    </row>
    <row r="7" customFormat="false" ht="31.5" hidden="false" customHeight="true" outlineLevel="0" collapsed="false">
      <c r="B7" s="42" t="s">
        <v>111</v>
      </c>
      <c r="C7" s="43" t="s">
        <v>112</v>
      </c>
    </row>
    <row r="8" customFormat="false" ht="31.5" hidden="false" customHeight="true" outlineLevel="0" collapsed="false">
      <c r="B8" s="40" t="s">
        <v>113</v>
      </c>
      <c r="C8" s="41" t="s">
        <v>114</v>
      </c>
    </row>
    <row r="9" customFormat="false" ht="31.5" hidden="false" customHeight="true" outlineLevel="0" collapsed="false">
      <c r="B9" s="42" t="s">
        <v>115</v>
      </c>
      <c r="C9" s="43" t="s">
        <v>116</v>
      </c>
    </row>
    <row r="10" customFormat="false" ht="31.5" hidden="false" customHeight="true" outlineLevel="0" collapsed="false">
      <c r="B10" s="40" t="s">
        <v>117</v>
      </c>
      <c r="C10" s="41" t="s">
        <v>118</v>
      </c>
    </row>
    <row r="11" customFormat="false" ht="31.5" hidden="false" customHeight="true" outlineLevel="0" collapsed="false">
      <c r="B11" s="42" t="s">
        <v>119</v>
      </c>
      <c r="C11" s="43" t="s">
        <v>120</v>
      </c>
    </row>
  </sheetData>
  <mergeCells count="2">
    <mergeCell ref="B2:C2"/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2026-10-04T22:00:04Z</dcterms:created>
  <dc:creator>openpyxl</dc:creator>
  <dc:description/>
  <dc:language>en-US</dc:language>
  <cp:lastModifiedBy/>
  <dcterms:modified xsi:type="dcterms:W3CDTF">2026-10-04T22:00:04Z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