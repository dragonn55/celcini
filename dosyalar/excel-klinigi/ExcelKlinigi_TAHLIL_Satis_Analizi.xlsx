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Veri" sheetId="2" state="visible" r:id="rId4"/>
    <sheet name="Özet" sheetId="3" state="visible" r:id="rId5"/>
    <sheet name="Ürünler" sheetId="4" state="visible" r:id="rId6"/>
    <sheet name="Müşteriler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<sst xmlns="http://schemas.openxmlformats.org/spreadsheetml/2006/main" count="283" uniqueCount="116">
  <si>
    <t xml:space="preserve">EXCEL KLİNİĞİ</t>
  </si>
  <si>
    <t xml:space="preserve">TAHLİL  |  Satış analizi</t>
  </si>
  <si>
    <t xml:space="preserve">Satış kayıtlarını yapıştır; en çok kazandıran ürünler, en değerli müşteriler, aylık gidiş ve haftanın günleri kendiliğinden çıksın.</t>
  </si>
  <si>
    <t xml:space="preserve">NASIL KULLANILIR</t>
  </si>
  <si>
    <t xml:space="preserve">1. Veri</t>
  </si>
  <si>
    <t xml:space="preserve">Satışlarını tarih, müşteri, ürün, adet ve tutar olarak yaz ya da başka bir dosyadan kopyalayıp yapıştır. Yapıştırırken yalnızca değerleri yapıştır.</t>
  </si>
  <si>
    <t xml:space="preserve">2. Ürünler</t>
  </si>
  <si>
    <t xml:space="preserve">Ürünler cirosuna göre sıralanır; pay, birikimli pay ve A, B, C sınıfı hesaplanır.</t>
  </si>
  <si>
    <t xml:space="preserve">3. Müşteriler</t>
  </si>
  <si>
    <t xml:space="preserve">Müşteriler cirosuna göre sıralanır; satış sayısı, ortalama ve son alışveriş tarihi görünür.</t>
  </si>
  <si>
    <t xml:space="preserve">4. Özet</t>
  </si>
  <si>
    <t xml:space="preserve">Toplamlar, aylık gidiş, önceki aya göre değişim ve haftanın günlerine göre ciro.</t>
  </si>
  <si>
    <t xml:space="preserve">BİLMEN GEREKENLER</t>
  </si>
  <si>
    <t xml:space="preserve">A, B, C sınıfı</t>
  </si>
  <si>
    <t xml:space="preserve">Ürünler cirosuna göre dizilir. Cironun ilk yüzde 80'ini getirenler A, sonraki yüzde 15'i getirenler B, kalanlar C sınıfıdır. A sınıfı az sayıda üründür ama kazancın çoğunu onlar getirir.</t>
  </si>
  <si>
    <t xml:space="preserve">Yazım farkı</t>
  </si>
  <si>
    <t xml:space="preserve">Aynı ürünü ya da müşteriyi iki farklı yazarsan iki ayrı satır olarak sayılır. Adları tek biçimde yaz.</t>
  </si>
  <si>
    <t xml:space="preserve">Kâr değil ciro</t>
  </si>
  <si>
    <t xml:space="preserve">Dosya maliyet bilgisi istemez; bu yüzden kâr değil ciro analizi yapar.</t>
  </si>
  <si>
    <t xml:space="preserve">Kapasite</t>
  </si>
  <si>
    <t xml:space="preserve">2000 satış satırı; analizde 200 ürün ve 200 müşteri. Dosya dolu veriyle birkaç saniye geç hesaplayabilir.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</si>
  <si>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</si>
  <si>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</si>
  <si>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</si>
  <si>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</si>
  <si>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</si>
  <si>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Veri</t>
  </si>
  <si>
    <t xml:space="preserve">Satışlarını buraya yaz ya da başka dosyadan yapıştır. Her satır bir satış kalemi.</t>
  </si>
  <si>
    <t xml:space="preserve">Tarih</t>
  </si>
  <si>
    <t xml:space="preserve">Müşteri</t>
  </si>
  <si>
    <t xml:space="preserve">Ürün</t>
  </si>
  <si>
    <t xml:space="preserve">Adet</t>
  </si>
  <si>
    <t xml:space="preserve">Tutar (₺)</t>
  </si>
  <si>
    <t xml:space="preserve">y1</t>
  </si>
  <si>
    <t xml:space="preserve">y2</t>
  </si>
  <si>
    <t xml:space="preserve">y3</t>
  </si>
  <si>
    <t xml:space="preserve">y4</t>
  </si>
  <si>
    <t xml:space="preserve">Müşteri Epsilon</t>
  </si>
  <si>
    <t xml:space="preserve">Defter A4</t>
  </si>
  <si>
    <t xml:space="preserve">Müşteri Gama</t>
  </si>
  <si>
    <t xml:space="preserve">Klasör</t>
  </si>
  <si>
    <t xml:space="preserve">Müşteri Beta</t>
  </si>
  <si>
    <t xml:space="preserve">Hesap makinesi</t>
  </si>
  <si>
    <t xml:space="preserve">Fotokopi kâğıdı</t>
  </si>
  <si>
    <t xml:space="preserve">Müşteri Delta</t>
  </si>
  <si>
    <t xml:space="preserve">Perakende</t>
  </si>
  <si>
    <t xml:space="preserve">Müşteri Alfa</t>
  </si>
  <si>
    <t xml:space="preserve">Tükenmez kalem</t>
  </si>
  <si>
    <t xml:space="preserve">Boya kalemi seti</t>
  </si>
  <si>
    <t xml:space="preserve">Silgi</t>
  </si>
  <si>
    <t xml:space="preserve">Zımba</t>
  </si>
  <si>
    <t xml:space="preserve">Özet</t>
  </si>
  <si>
    <t xml:space="preserve">Bu sayfada yalnızca yılı değiştir.</t>
  </si>
  <si>
    <t xml:space="preserve">Yıl</t>
  </si>
  <si>
    <t xml:space="preserve">Toplam ciro</t>
  </si>
  <si>
    <t xml:space="preserve">Satış satırı</t>
  </si>
  <si>
    <t xml:space="preserve">Satır başına ortalama</t>
  </si>
  <si>
    <t xml:space="preserve">Ürün çeşidi</t>
  </si>
  <si>
    <t xml:space="preserve">A sınıfı ürün</t>
  </si>
  <si>
    <t xml:space="preserve">Aylık gidiş</t>
  </si>
  <si>
    <t xml:space="preserve">Haftanın günleri</t>
  </si>
  <si>
    <t xml:space="preserve">Ay</t>
  </si>
  <si>
    <t xml:space="preserve">Ciro (₺)</t>
  </si>
  <si>
    <t xml:space="preserve">Önceki aya göre</t>
  </si>
  <si>
    <t xml:space="preserve">Gün</t>
  </si>
  <si>
    <t xml:space="preserve">Ocak</t>
  </si>
  <si>
    <t xml:space="preserve">Pazartesi</t>
  </si>
  <si>
    <t xml:space="preserve">Şubat</t>
  </si>
  <si>
    <t xml:space="preserve">Salı</t>
  </si>
  <si>
    <t xml:space="preserve">Mart</t>
  </si>
  <si>
    <t xml:space="preserve">Çarşamba</t>
  </si>
  <si>
    <t xml:space="preserve">Nisan</t>
  </si>
  <si>
    <t xml:space="preserve">Perşembe</t>
  </si>
  <si>
    <t xml:space="preserve">Mayıs</t>
  </si>
  <si>
    <t xml:space="preserve">Cuma</t>
  </si>
  <si>
    <t xml:space="preserve">Haziran</t>
  </si>
  <si>
    <t xml:space="preserve">Cumartesi</t>
  </si>
  <si>
    <t xml:space="preserve">Temmuz</t>
  </si>
  <si>
    <t xml:space="preserve">Pazar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</si>
  <si>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</si>
  <si>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</si>
  <si>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</si>
  <si>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</si>
  <si>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</si>
  <si>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Ürün Analizi</t>
  </si>
  <si>
    <t xml:space="preserve">Cirosu en yüksek üründen başlayarak sıralanır. A sınıfı: cironun ilk yüzde 80'ini getiren ürünler.</t>
  </si>
  <si>
    <t xml:space="preserve">Sıra</t>
  </si>
  <si>
    <t xml:space="preserve">Pay</t>
  </si>
  <si>
    <t xml:space="preserve">Birikimli pay</t>
  </si>
  <si>
    <t xml:space="preserve">Sınıf</t>
  </si>
  <si>
    <t xml:space="preserve">Ortalama birim fiyat (₺)</t>
  </si>
  <si>
    <t xml:space="preserve">Son satış</t>
  </si>
  <si>
    <t xml:space="preserve">y</t>
  </si>
  <si>
    <t xml:space="preserve">Müşteri Analizi</t>
  </si>
  <si>
    <t xml:space="preserve">Cirosu en yüksek müşteriden başlayarak sıralanır.</t>
  </si>
  <si>
    <t xml:space="preserve">Satır başına ortalama (₺)</t>
  </si>
  <si>
    <t xml:space="preserve">Son alışveriş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</si>
  <si>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</si>
  <si>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</si>
  <si>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Müşteri adlarını Müşteri Alfa, Müşteri Beta gibi takma adlarla değiştir. Yapay zekanın verdiği rakamları dosyadaki özet sayfasıyla karşılaştır.</t>
  </si>
  <si>
    <t xml:space="preserve">Ne için</t>
  </si>
  <si>
    <t xml:space="preserve">Komut (kopyala, yapıştır)</t>
  </si>
  <si>
    <t xml:space="preserve">Genel yorum</t>
  </si>
  <si>
    <t xml:space="preserve">[Özet sayfası] Satışlarımı beş cümleyle yorumla: gidiş nasıl, hangi ay öne çıkıyor, dikkat etmem gereken ne?</t>
  </si>
  <si>
    <t xml:space="preserve">A sınıfı strateji</t>
  </si>
  <si>
    <t xml:space="preserve">[Ürünler sayfası] A sınıfı ürünlerim için stokta kalmama, fiyat ve tanıtım açısından birer öneri ver.</t>
  </si>
  <si>
    <t xml:space="preserve">C sınıfı karar</t>
  </si>
  <si>
    <t xml:space="preserve">[Ürünler sayfası] C sınıfı ürünlerden hangilerini bırakmayı düşünmeliyim? Son satış tarihine ve ciroya göre gerekçelendir.</t>
  </si>
  <si>
    <t xml:space="preserve">Müşteri bağımlılığı</t>
  </si>
  <si>
    <t xml:space="preserve">[Müşteriler sayfası] Cironun ne kadarı ilk üç müşteriden geliyor? Bu bir risk mi, nasıl azaltırım?</t>
  </si>
  <si>
    <t xml:space="preserve">Geri kazanma</t>
  </si>
  <si>
    <t xml:space="preserve">[Müşteriler sayfası] Son alışverişi 45 günden eski olan müşterileri listele ve onlara gönderilecek kısa bir mesaj yaz.</t>
  </si>
  <si>
    <t xml:space="preserve">Birlikte satılanlar</t>
  </si>
  <si>
    <t xml:space="preserve">[Veri sayfası] Aynı müşterinin aynı gün aldığı ürünlere bakarak sık birlikte satılan ürün çiftlerini bul.</t>
  </si>
  <si>
    <t xml:space="preserve">Zayıf gün</t>
  </si>
  <si>
    <t xml:space="preserve">[Özet sayfasındaki gün tablosu] En zayıf günüm hangisi? O gün için bir kampanya fikri öner.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</si>
</sst>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.mm\.yyyy"/>
    <numFmt numFmtId="166" formatCode="#,##0;[RED]\-#,##0;\-"/>
    <numFmt numFmtId="167" formatCode="#,##0.00&quot; ₺&quot;"/>
    <numFmt numFmtId="168" formatCode="General"/>
    <numFmt numFmtId="169" formatCode="0"/>
    <numFmt numFmtId="170" formatCode="#,##0.00&quot; ₺&quot;;[RED]\-#,##0.00&quot; ₺&quot;;\-"/>
    <numFmt numFmtId="171" formatCode="0%;[RED]\-0%;\-"/>
    <numFmt numFmtId="172" formatCode="#,##0"/>
    <numFmt numFmtId="173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667085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B8A5E"/>
      <rgbColor rgb="FF003300"/>
      <rgbColor rgb="FF333300"/>
      <rgbColor rgb="FF93370D"/>
      <rgbColor rgb="FF993366"/>
      <rgbColor rgb="FF475467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Aylık ciro (₺)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Özet!C11</c:f>
              <c:strCache>
                <c:ptCount val="1"/>
                <c:pt idx="0">
                  <c:v>Ciro (₺)</c:v>
                </c:pt>
              </c:strCache>
            </c:strRef>
          </c:tx>
          <c:spPr>
            <a:solidFill>
              <a:srgbClr val="1f6f4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Özet!$B$12:$B$23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Özet!$C$12:$C$23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53340</c:v>
                </c:pt>
                <c:pt idx="7">
                  <c:v>27740</c:v>
                </c:pt>
                <c:pt idx="8">
                  <c:v>26080</c:v>
                </c:pt>
                <c:pt idx="9">
                  <c:v>8550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471029"/>
        <c:axId val="84015261"/>
      </c:barChart>
      <c:catAx>
        <c:axId val="24710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15261"/>
        <c:crosses val="autoZero"/>
        <c:auto val="1"/>
        <c:lblAlgn val="ctr"/>
        <c:lblOffset val="100"/>
        <c:noMultiLvlLbl val="0"/>
      </c:catAx>
      <c:valAx>
        <c:axId val="8401526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10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130680</xdr:rowOff>
    </xdr:from>
    <xdr:to>
      <xdr:col>6</xdr:col>
      <xdr:colOff>473040</xdr:colOff>
      <xdr:row>37</xdr:row>
      <xdr:rowOff>163440</xdr:rowOff>
    </xdr:to>
    <xdr:graphicFrame>
      <xdr:nvGraphicFramePr>
        <xdr:cNvPr id="0" name="Chart 1"/>
        <xdr:cNvGraphicFramePr/>
      </xdr:nvGraphicFramePr>
      <xdr:xfrm>
        <a:off x="211320" y="5010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6" customFormat="false" ht="30" hidden="false" customHeight="true" outlineLevel="0" collapsed="false">
      <c r="B16" s="5" t="s">
        <v>19</v>
      </c>
      <c r="C16" s="6" t="s">
        <v>20</v>
      </c>
    </row>
    <row r="18" customFormat="false" ht="19.5" hidden="false" customHeight="true" outlineLevel="0" collapsed="false">
      <c r="B18" s="4" t="s">
        <v>21</v>
      </c>
      <c r="C18" s="4"/>
    </row>
    <row r="19" customFormat="false" ht="18" hidden="false" customHeight="true" outlineLevel="0" collapsed="false">
      <c r="B19" s="7" t="s">
        <v>22</v>
      </c>
      <c r="C19" s="6" t="s">
        <v>23</v>
      </c>
    </row>
    <row r="20" customFormat="false" ht="18" hidden="false" customHeight="true" outlineLevel="0" collapsed="false">
      <c r="B20" s="5" t="s">
        <v>24</v>
      </c>
      <c r="C20" s="6" t="s">
        <v>25</v>
      </c>
    </row>
  </sheetData>
  <mergeCells count="6">
    <mergeCell ref="B2:C2"/>
    <mergeCell ref="B3:C3"/>
    <mergeCell ref="B4:C4"/>
    <mergeCell ref="B6:C6"/>
    <mergeCell ref="B12:C12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I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true" outlineLevel="0" max="9" min="6" style="0" width="4"/>
  </cols>
  <sheetData>
    <row r="1" customFormat="false" ht="19.7" hidden="false" customHeight="false" outlineLevel="0" collapsed="false">
      <c r="A1" s="8" t="s">
        <v>26</v>
      </c>
    </row>
    <row r="2" customFormat="false" ht="15" hidden="false" customHeight="false" outlineLevel="0" collapsed="false">
      <c r="A2" s="9" t="s">
        <v>27</v>
      </c>
    </row>
    <row r="4" customFormat="false" ht="27.75" hidden="false" customHeight="true" outlineLevel="0" collapsed="false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1" t="s">
        <v>33</v>
      </c>
      <c r="G4" s="11" t="s">
        <v>34</v>
      </c>
      <c r="H4" s="11" t="s">
        <v>35</v>
      </c>
      <c r="I4" s="11" t="s">
        <v>36</v>
      </c>
    </row>
    <row r="5" customFormat="false" ht="15" hidden="false" customHeight="false" outlineLevel="0" collapsed="false">
      <c r="A5" s="12" t="n">
        <v>46204</v>
      </c>
      <c r="B5" s="13" t="s">
        <v>37</v>
      </c>
      <c r="C5" s="13" t="s">
        <v>38</v>
      </c>
      <c r="D5" s="14" t="n">
        <v>5</v>
      </c>
      <c r="E5" s="15" t="n">
        <v>300</v>
      </c>
      <c r="F5" s="16" t="n">
        <f aca="false">IF(C5="",0,IF(COUNTIF(C$5:C5,C5)=1,1,0))</f>
        <v>1</v>
      </c>
      <c r="G5" s="16" t="n">
        <f aca="false">SUM(F$5:F5)</f>
        <v>1</v>
      </c>
      <c r="H5" s="16" t="n">
        <f aca="false">IF(B5="",0,IF(COUNTIF(B$5:B5,B5)=1,1,0))</f>
        <v>1</v>
      </c>
      <c r="I5" s="16" t="n">
        <f aca="false">SUM(H$5:H5)</f>
        <v>1</v>
      </c>
    </row>
    <row r="6" customFormat="false" ht="15" hidden="false" customHeight="false" outlineLevel="0" collapsed="false">
      <c r="A6" s="12" t="n">
        <v>46204</v>
      </c>
      <c r="B6" s="13" t="s">
        <v>39</v>
      </c>
      <c r="C6" s="13" t="s">
        <v>40</v>
      </c>
      <c r="D6" s="14" t="n">
        <v>20</v>
      </c>
      <c r="E6" s="15" t="n">
        <v>1500</v>
      </c>
      <c r="F6" s="16" t="n">
        <f aca="false">IF(C6="",0,IF(COUNTIF(C$5:C6,C6)=1,1,0))</f>
        <v>1</v>
      </c>
      <c r="G6" s="16" t="n">
        <f aca="false">SUM(F$5:F6)</f>
        <v>2</v>
      </c>
      <c r="H6" s="16" t="n">
        <f aca="false">IF(B6="",0,IF(COUNTIF(B$5:B6,B6)=1,1,0))</f>
        <v>1</v>
      </c>
      <c r="I6" s="16" t="n">
        <f aca="false">SUM(H$5:H6)</f>
        <v>2</v>
      </c>
    </row>
    <row r="7" customFormat="false" ht="15" hidden="false" customHeight="false" outlineLevel="0" collapsed="false">
      <c r="A7" s="12" t="n">
        <v>46206</v>
      </c>
      <c r="B7" s="13" t="s">
        <v>41</v>
      </c>
      <c r="C7" s="13" t="s">
        <v>40</v>
      </c>
      <c r="D7" s="14" t="n">
        <v>5</v>
      </c>
      <c r="E7" s="15" t="n">
        <v>375</v>
      </c>
      <c r="F7" s="16" t="n">
        <f aca="false">IF(C7="",0,IF(COUNTIF(C$5:C7,C7)=1,1,0))</f>
        <v>0</v>
      </c>
      <c r="G7" s="16" t="n">
        <f aca="false">SUM(F$5:F7)</f>
        <v>2</v>
      </c>
      <c r="H7" s="16" t="n">
        <f aca="false">IF(B7="",0,IF(COUNTIF(B$5:B7,B7)=1,1,0))</f>
        <v>1</v>
      </c>
      <c r="I7" s="16" t="n">
        <f aca="false">SUM(H$5:H7)</f>
        <v>3</v>
      </c>
    </row>
    <row r="8" customFormat="false" ht="15" hidden="false" customHeight="false" outlineLevel="0" collapsed="false">
      <c r="A8" s="12" t="n">
        <v>46206</v>
      </c>
      <c r="B8" s="13" t="s">
        <v>37</v>
      </c>
      <c r="C8" s="13" t="s">
        <v>42</v>
      </c>
      <c r="D8" s="14" t="n">
        <v>1</v>
      </c>
      <c r="E8" s="15" t="n">
        <v>350</v>
      </c>
      <c r="F8" s="16" t="n">
        <f aca="false">IF(C8="",0,IF(COUNTIF(C$5:C8,C8)=1,1,0))</f>
        <v>1</v>
      </c>
      <c r="G8" s="16" t="n">
        <f aca="false">SUM(F$5:F8)</f>
        <v>3</v>
      </c>
      <c r="H8" s="16" t="n">
        <f aca="false">IF(B8="",0,IF(COUNTIF(B$5:B8,B8)=1,1,0))</f>
        <v>0</v>
      </c>
      <c r="I8" s="16" t="n">
        <f aca="false">SUM(H$5:H8)</f>
        <v>3</v>
      </c>
    </row>
    <row r="9" customFormat="false" ht="15" hidden="false" customHeight="false" outlineLevel="0" collapsed="false">
      <c r="A9" s="12" t="n">
        <v>46206</v>
      </c>
      <c r="B9" s="13" t="s">
        <v>39</v>
      </c>
      <c r="C9" s="13" t="s">
        <v>43</v>
      </c>
      <c r="D9" s="14" t="n">
        <v>20</v>
      </c>
      <c r="E9" s="15" t="n">
        <v>3800</v>
      </c>
      <c r="F9" s="16" t="n">
        <f aca="false">IF(C9="",0,IF(COUNTIF(C$5:C9,C9)=1,1,0))</f>
        <v>1</v>
      </c>
      <c r="G9" s="16" t="n">
        <f aca="false">SUM(F$5:F9)</f>
        <v>4</v>
      </c>
      <c r="H9" s="16" t="n">
        <f aca="false">IF(B9="",0,IF(COUNTIF(B$5:B9,B9)=1,1,0))</f>
        <v>0</v>
      </c>
      <c r="I9" s="16" t="n">
        <f aca="false">SUM(H$5:H9)</f>
        <v>3</v>
      </c>
    </row>
    <row r="10" customFormat="false" ht="15" hidden="false" customHeight="false" outlineLevel="0" collapsed="false">
      <c r="A10" s="12" t="n">
        <v>46207</v>
      </c>
      <c r="B10" s="13" t="s">
        <v>44</v>
      </c>
      <c r="C10" s="13" t="s">
        <v>43</v>
      </c>
      <c r="D10" s="14" t="n">
        <v>5</v>
      </c>
      <c r="E10" s="15" t="n">
        <v>950</v>
      </c>
      <c r="F10" s="16" t="n">
        <f aca="false">IF(C10="",0,IF(COUNTIF(C$5:C10,C10)=1,1,0))</f>
        <v>0</v>
      </c>
      <c r="G10" s="16" t="n">
        <f aca="false">SUM(F$5:F10)</f>
        <v>4</v>
      </c>
      <c r="H10" s="16" t="n">
        <f aca="false">IF(B10="",0,IF(COUNTIF(B$5:B10,B10)=1,1,0))</f>
        <v>1</v>
      </c>
      <c r="I10" s="16" t="n">
        <f aca="false">SUM(H$5:H10)</f>
        <v>4</v>
      </c>
    </row>
    <row r="11" customFormat="false" ht="15" hidden="false" customHeight="false" outlineLevel="0" collapsed="false">
      <c r="A11" s="12" t="n">
        <v>46207</v>
      </c>
      <c r="B11" s="13" t="s">
        <v>45</v>
      </c>
      <c r="C11" s="13" t="s">
        <v>38</v>
      </c>
      <c r="D11" s="14" t="n">
        <v>10</v>
      </c>
      <c r="E11" s="15" t="n">
        <v>600</v>
      </c>
      <c r="F11" s="16" t="n">
        <f aca="false">IF(C11="",0,IF(COUNTIF(C$5:C11,C11)=1,1,0))</f>
        <v>0</v>
      </c>
      <c r="G11" s="16" t="n">
        <f aca="false">SUM(F$5:F11)</f>
        <v>4</v>
      </c>
      <c r="H11" s="16" t="n">
        <f aca="false">IF(B11="",0,IF(COUNTIF(B$5:B11,B11)=1,1,0))</f>
        <v>1</v>
      </c>
      <c r="I11" s="16" t="n">
        <f aca="false">SUM(H$5:H11)</f>
        <v>5</v>
      </c>
    </row>
    <row r="12" customFormat="false" ht="15" hidden="false" customHeight="false" outlineLevel="0" collapsed="false">
      <c r="A12" s="12" t="n">
        <v>46208</v>
      </c>
      <c r="B12" s="13" t="s">
        <v>37</v>
      </c>
      <c r="C12" s="13" t="s">
        <v>42</v>
      </c>
      <c r="D12" s="14" t="n">
        <v>1</v>
      </c>
      <c r="E12" s="15" t="n">
        <v>350</v>
      </c>
      <c r="F12" s="16" t="n">
        <f aca="false">IF(C12="",0,IF(COUNTIF(C$5:C12,C12)=1,1,0))</f>
        <v>0</v>
      </c>
      <c r="G12" s="16" t="n">
        <f aca="false">SUM(F$5:F12)</f>
        <v>4</v>
      </c>
      <c r="H12" s="16" t="n">
        <f aca="false">IF(B12="",0,IF(COUNTIF(B$5:B12,B12)=1,1,0))</f>
        <v>0</v>
      </c>
      <c r="I12" s="16" t="n">
        <f aca="false">SUM(H$5:H12)</f>
        <v>5</v>
      </c>
    </row>
    <row r="13" customFormat="false" ht="15" hidden="false" customHeight="false" outlineLevel="0" collapsed="false">
      <c r="A13" s="12" t="n">
        <v>46209</v>
      </c>
      <c r="B13" s="13" t="s">
        <v>39</v>
      </c>
      <c r="C13" s="13" t="s">
        <v>43</v>
      </c>
      <c r="D13" s="14" t="n">
        <v>10</v>
      </c>
      <c r="E13" s="15" t="n">
        <v>1900</v>
      </c>
      <c r="F13" s="16" t="n">
        <f aca="false">IF(C13="",0,IF(COUNTIF(C$5:C13,C13)=1,1,0))</f>
        <v>0</v>
      </c>
      <c r="G13" s="16" t="n">
        <f aca="false">SUM(F$5:F13)</f>
        <v>4</v>
      </c>
      <c r="H13" s="16" t="n">
        <f aca="false">IF(B13="",0,IF(COUNTIF(B$5:B13,B13)=1,1,0))</f>
        <v>0</v>
      </c>
      <c r="I13" s="16" t="n">
        <f aca="false">SUM(H$5:H13)</f>
        <v>5</v>
      </c>
    </row>
    <row r="14" customFormat="false" ht="15" hidden="false" customHeight="false" outlineLevel="0" collapsed="false">
      <c r="A14" s="12" t="n">
        <v>46211</v>
      </c>
      <c r="B14" s="13" t="s">
        <v>44</v>
      </c>
      <c r="C14" s="13" t="s">
        <v>43</v>
      </c>
      <c r="D14" s="14" t="n">
        <v>3</v>
      </c>
      <c r="E14" s="15" t="n">
        <v>570</v>
      </c>
      <c r="F14" s="16" t="n">
        <f aca="false">IF(C14="",0,IF(COUNTIF(C$5:C14,C14)=1,1,0))</f>
        <v>0</v>
      </c>
      <c r="G14" s="16" t="n">
        <f aca="false">SUM(F$5:F14)</f>
        <v>4</v>
      </c>
      <c r="H14" s="16" t="n">
        <f aca="false">IF(B14="",0,IF(COUNTIF(B$5:B14,B14)=1,1,0))</f>
        <v>0</v>
      </c>
      <c r="I14" s="16" t="n">
        <f aca="false">SUM(H$5:H14)</f>
        <v>5</v>
      </c>
    </row>
    <row r="15" customFormat="false" ht="15" hidden="false" customHeight="false" outlineLevel="0" collapsed="false">
      <c r="A15" s="12" t="n">
        <v>46212</v>
      </c>
      <c r="B15" s="13" t="s">
        <v>46</v>
      </c>
      <c r="C15" s="13" t="s">
        <v>38</v>
      </c>
      <c r="D15" s="14" t="n">
        <v>5</v>
      </c>
      <c r="E15" s="15" t="n">
        <v>300</v>
      </c>
      <c r="F15" s="16" t="n">
        <f aca="false">IF(C15="",0,IF(COUNTIF(C$5:C15,C15)=1,1,0))</f>
        <v>0</v>
      </c>
      <c r="G15" s="16" t="n">
        <f aca="false">SUM(F$5:F15)</f>
        <v>4</v>
      </c>
      <c r="H15" s="16" t="n">
        <f aca="false">IF(B15="",0,IF(COUNTIF(B$5:B15,B15)=1,1,0))</f>
        <v>1</v>
      </c>
      <c r="I15" s="16" t="n">
        <f aca="false">SUM(H$5:H15)</f>
        <v>6</v>
      </c>
    </row>
    <row r="16" customFormat="false" ht="15" hidden="false" customHeight="false" outlineLevel="0" collapsed="false">
      <c r="A16" s="12" t="n">
        <v>46212</v>
      </c>
      <c r="B16" s="13" t="s">
        <v>46</v>
      </c>
      <c r="C16" s="13" t="s">
        <v>43</v>
      </c>
      <c r="D16" s="14" t="n">
        <v>2</v>
      </c>
      <c r="E16" s="15" t="n">
        <v>380</v>
      </c>
      <c r="F16" s="16" t="n">
        <f aca="false">IF(C16="",0,IF(COUNTIF(C$5:C16,C16)=1,1,0))</f>
        <v>0</v>
      </c>
      <c r="G16" s="16" t="n">
        <f aca="false">SUM(F$5:F16)</f>
        <v>4</v>
      </c>
      <c r="H16" s="16" t="n">
        <f aca="false">IF(B16="",0,IF(COUNTIF(B$5:B16,B16)=1,1,0))</f>
        <v>0</v>
      </c>
      <c r="I16" s="16" t="n">
        <f aca="false">SUM(H$5:H16)</f>
        <v>6</v>
      </c>
    </row>
    <row r="17" customFormat="false" ht="15" hidden="false" customHeight="false" outlineLevel="0" collapsed="false">
      <c r="A17" s="12" t="n">
        <v>46212</v>
      </c>
      <c r="B17" s="13" t="s">
        <v>44</v>
      </c>
      <c r="C17" s="13" t="s">
        <v>47</v>
      </c>
      <c r="D17" s="14" t="n">
        <v>2</v>
      </c>
      <c r="E17" s="15" t="n">
        <v>30</v>
      </c>
      <c r="F17" s="16" t="n">
        <f aca="false">IF(C17="",0,IF(COUNTIF(C$5:C17,C17)=1,1,0))</f>
        <v>1</v>
      </c>
      <c r="G17" s="16" t="n">
        <f aca="false">SUM(F$5:F17)</f>
        <v>5</v>
      </c>
      <c r="H17" s="16" t="n">
        <f aca="false">IF(B17="",0,IF(COUNTIF(B$5:B17,B17)=1,1,0))</f>
        <v>0</v>
      </c>
      <c r="I17" s="16" t="n">
        <f aca="false">SUM(H$5:H17)</f>
        <v>6</v>
      </c>
    </row>
    <row r="18" customFormat="false" ht="15" hidden="false" customHeight="false" outlineLevel="0" collapsed="false">
      <c r="A18" s="12" t="n">
        <v>46213</v>
      </c>
      <c r="B18" s="13" t="s">
        <v>46</v>
      </c>
      <c r="C18" s="13" t="s">
        <v>43</v>
      </c>
      <c r="D18" s="14" t="n">
        <v>20</v>
      </c>
      <c r="E18" s="15" t="n">
        <v>3800</v>
      </c>
      <c r="F18" s="16" t="n">
        <f aca="false">IF(C18="",0,IF(COUNTIF(C$5:C18,C18)=1,1,0))</f>
        <v>0</v>
      </c>
      <c r="G18" s="16" t="n">
        <f aca="false">SUM(F$5:F18)</f>
        <v>5</v>
      </c>
      <c r="H18" s="16" t="n">
        <f aca="false">IF(B18="",0,IF(COUNTIF(B$5:B18,B18)=1,1,0))</f>
        <v>0</v>
      </c>
      <c r="I18" s="16" t="n">
        <f aca="false">SUM(H$5:H18)</f>
        <v>6</v>
      </c>
    </row>
    <row r="19" customFormat="false" ht="15" hidden="false" customHeight="false" outlineLevel="0" collapsed="false">
      <c r="A19" s="12" t="n">
        <v>46213</v>
      </c>
      <c r="B19" s="13" t="s">
        <v>44</v>
      </c>
      <c r="C19" s="13" t="s">
        <v>43</v>
      </c>
      <c r="D19" s="14" t="n">
        <v>40</v>
      </c>
      <c r="E19" s="15" t="n">
        <v>7600</v>
      </c>
      <c r="F19" s="16" t="n">
        <f aca="false">IF(C19="",0,IF(COUNTIF(C$5:C19,C19)=1,1,0))</f>
        <v>0</v>
      </c>
      <c r="G19" s="16" t="n">
        <f aca="false">SUM(F$5:F19)</f>
        <v>5</v>
      </c>
      <c r="H19" s="16" t="n">
        <f aca="false">IF(B19="",0,IF(COUNTIF(B$5:B19,B19)=1,1,0))</f>
        <v>0</v>
      </c>
      <c r="I19" s="16" t="n">
        <f aca="false">SUM(H$5:H19)</f>
        <v>6</v>
      </c>
    </row>
    <row r="20" customFormat="false" ht="15" hidden="false" customHeight="false" outlineLevel="0" collapsed="false">
      <c r="A20" s="12" t="n">
        <v>46214</v>
      </c>
      <c r="B20" s="13" t="s">
        <v>37</v>
      </c>
      <c r="C20" s="13" t="s">
        <v>38</v>
      </c>
      <c r="D20" s="14" t="n">
        <v>3</v>
      </c>
      <c r="E20" s="15" t="n">
        <v>180</v>
      </c>
      <c r="F20" s="16" t="n">
        <f aca="false">IF(C20="",0,IF(COUNTIF(C$5:C20,C20)=1,1,0))</f>
        <v>0</v>
      </c>
      <c r="G20" s="16" t="n">
        <f aca="false">SUM(F$5:F20)</f>
        <v>5</v>
      </c>
      <c r="H20" s="16" t="n">
        <f aca="false">IF(B20="",0,IF(COUNTIF(B$5:B20,B20)=1,1,0))</f>
        <v>0</v>
      </c>
      <c r="I20" s="16" t="n">
        <f aca="false">SUM(H$5:H20)</f>
        <v>6</v>
      </c>
    </row>
    <row r="21" customFormat="false" ht="15" hidden="false" customHeight="false" outlineLevel="0" collapsed="false">
      <c r="A21" s="12" t="n">
        <v>46216</v>
      </c>
      <c r="B21" s="13" t="s">
        <v>37</v>
      </c>
      <c r="C21" s="13" t="s">
        <v>47</v>
      </c>
      <c r="D21" s="14" t="n">
        <v>2</v>
      </c>
      <c r="E21" s="15" t="n">
        <v>30</v>
      </c>
      <c r="F21" s="16" t="n">
        <f aca="false">IF(C21="",0,IF(COUNTIF(C$5:C21,C21)=1,1,0))</f>
        <v>0</v>
      </c>
      <c r="G21" s="16" t="n">
        <f aca="false">SUM(F$5:F21)</f>
        <v>5</v>
      </c>
      <c r="H21" s="16" t="n">
        <f aca="false">IF(B21="",0,IF(COUNTIF(B$5:B21,B21)=1,1,0))</f>
        <v>0</v>
      </c>
      <c r="I21" s="16" t="n">
        <f aca="false">SUM(H$5:H21)</f>
        <v>6</v>
      </c>
    </row>
    <row r="22" customFormat="false" ht="15" hidden="false" customHeight="false" outlineLevel="0" collapsed="false">
      <c r="A22" s="12" t="n">
        <v>46217</v>
      </c>
      <c r="B22" s="13" t="s">
        <v>41</v>
      </c>
      <c r="C22" s="13" t="s">
        <v>48</v>
      </c>
      <c r="D22" s="14" t="n">
        <v>3</v>
      </c>
      <c r="E22" s="15" t="n">
        <v>450</v>
      </c>
      <c r="F22" s="16" t="n">
        <f aca="false">IF(C22="",0,IF(COUNTIF(C$5:C22,C22)=1,1,0))</f>
        <v>1</v>
      </c>
      <c r="G22" s="16" t="n">
        <f aca="false">SUM(F$5:F22)</f>
        <v>6</v>
      </c>
      <c r="H22" s="16" t="n">
        <f aca="false">IF(B22="",0,IF(COUNTIF(B$5:B22,B22)=1,1,0))</f>
        <v>0</v>
      </c>
      <c r="I22" s="16" t="n">
        <f aca="false">SUM(H$5:H22)</f>
        <v>6</v>
      </c>
    </row>
    <row r="23" customFormat="false" ht="15" hidden="false" customHeight="false" outlineLevel="0" collapsed="false">
      <c r="A23" s="12" t="n">
        <v>46218</v>
      </c>
      <c r="B23" s="13" t="s">
        <v>37</v>
      </c>
      <c r="C23" s="13" t="s">
        <v>43</v>
      </c>
      <c r="D23" s="14" t="n">
        <v>2</v>
      </c>
      <c r="E23" s="15" t="n">
        <v>380</v>
      </c>
      <c r="F23" s="16" t="n">
        <f aca="false">IF(C23="",0,IF(COUNTIF(C$5:C23,C23)=1,1,0))</f>
        <v>0</v>
      </c>
      <c r="G23" s="16" t="n">
        <f aca="false">SUM(F$5:F23)</f>
        <v>6</v>
      </c>
      <c r="H23" s="16" t="n">
        <f aca="false">IF(B23="",0,IF(COUNTIF(B$5:B23,B23)=1,1,0))</f>
        <v>0</v>
      </c>
      <c r="I23" s="16" t="n">
        <f aca="false">SUM(H$5:H23)</f>
        <v>6</v>
      </c>
    </row>
    <row r="24" customFormat="false" ht="15" hidden="false" customHeight="false" outlineLevel="0" collapsed="false">
      <c r="A24" s="12" t="n">
        <v>46220</v>
      </c>
      <c r="B24" s="13" t="s">
        <v>44</v>
      </c>
      <c r="C24" s="13" t="s">
        <v>48</v>
      </c>
      <c r="D24" s="14" t="n">
        <v>20</v>
      </c>
      <c r="E24" s="15" t="n">
        <v>3000</v>
      </c>
      <c r="F24" s="16" t="n">
        <f aca="false">IF(C24="",0,IF(COUNTIF(C$5:C24,C24)=1,1,0))</f>
        <v>0</v>
      </c>
      <c r="G24" s="16" t="n">
        <f aca="false">SUM(F$5:F24)</f>
        <v>6</v>
      </c>
      <c r="H24" s="16" t="n">
        <f aca="false">IF(B24="",0,IF(COUNTIF(B$5:B24,B24)=1,1,0))</f>
        <v>0</v>
      </c>
      <c r="I24" s="16" t="n">
        <f aca="false">SUM(H$5:H24)</f>
        <v>6</v>
      </c>
    </row>
    <row r="25" customFormat="false" ht="15" hidden="false" customHeight="false" outlineLevel="0" collapsed="false">
      <c r="A25" s="12" t="n">
        <v>46221</v>
      </c>
      <c r="B25" s="13" t="s">
        <v>46</v>
      </c>
      <c r="C25" s="13" t="s">
        <v>38</v>
      </c>
      <c r="D25" s="14" t="n">
        <v>1</v>
      </c>
      <c r="E25" s="15" t="n">
        <v>60</v>
      </c>
      <c r="F25" s="16" t="n">
        <f aca="false">IF(C25="",0,IF(COUNTIF(C$5:C25,C25)=1,1,0))</f>
        <v>0</v>
      </c>
      <c r="G25" s="16" t="n">
        <f aca="false">SUM(F$5:F25)</f>
        <v>6</v>
      </c>
      <c r="H25" s="16" t="n">
        <f aca="false">IF(B25="",0,IF(COUNTIF(B$5:B25,B25)=1,1,0))</f>
        <v>0</v>
      </c>
      <c r="I25" s="16" t="n">
        <f aca="false">SUM(H$5:H25)</f>
        <v>6</v>
      </c>
    </row>
    <row r="26" customFormat="false" ht="15" hidden="false" customHeight="false" outlineLevel="0" collapsed="false">
      <c r="A26" s="12" t="n">
        <v>46221</v>
      </c>
      <c r="B26" s="13" t="s">
        <v>46</v>
      </c>
      <c r="C26" s="13" t="s">
        <v>43</v>
      </c>
      <c r="D26" s="14" t="n">
        <v>40</v>
      </c>
      <c r="E26" s="15" t="n">
        <v>7600</v>
      </c>
      <c r="F26" s="16" t="n">
        <f aca="false">IF(C26="",0,IF(COUNTIF(C$5:C26,C26)=1,1,0))</f>
        <v>0</v>
      </c>
      <c r="G26" s="16" t="n">
        <f aca="false">SUM(F$5:F26)</f>
        <v>6</v>
      </c>
      <c r="H26" s="16" t="n">
        <f aca="false">IF(B26="",0,IF(COUNTIF(B$5:B26,B26)=1,1,0))</f>
        <v>0</v>
      </c>
      <c r="I26" s="16" t="n">
        <f aca="false">SUM(H$5:H26)</f>
        <v>6</v>
      </c>
    </row>
    <row r="27" customFormat="false" ht="15" hidden="false" customHeight="false" outlineLevel="0" collapsed="false">
      <c r="A27" s="12" t="n">
        <v>46221</v>
      </c>
      <c r="B27" s="13" t="s">
        <v>41</v>
      </c>
      <c r="C27" s="13" t="s">
        <v>43</v>
      </c>
      <c r="D27" s="14" t="n">
        <v>20</v>
      </c>
      <c r="E27" s="15" t="n">
        <v>3800</v>
      </c>
      <c r="F27" s="16" t="n">
        <f aca="false">IF(C27="",0,IF(COUNTIF(C$5:C27,C27)=1,1,0))</f>
        <v>0</v>
      </c>
      <c r="G27" s="16" t="n">
        <f aca="false">SUM(F$5:F27)</f>
        <v>6</v>
      </c>
      <c r="H27" s="16" t="n">
        <f aca="false">IF(B27="",0,IF(COUNTIF(B$5:B27,B27)=1,1,0))</f>
        <v>0</v>
      </c>
      <c r="I27" s="16" t="n">
        <f aca="false">SUM(H$5:H27)</f>
        <v>6</v>
      </c>
    </row>
    <row r="28" customFormat="false" ht="15" hidden="false" customHeight="false" outlineLevel="0" collapsed="false">
      <c r="A28" s="12" t="n">
        <v>46221</v>
      </c>
      <c r="B28" s="13" t="s">
        <v>39</v>
      </c>
      <c r="C28" s="13" t="s">
        <v>47</v>
      </c>
      <c r="D28" s="14" t="n">
        <v>1</v>
      </c>
      <c r="E28" s="15" t="n">
        <v>15</v>
      </c>
      <c r="F28" s="16" t="n">
        <f aca="false">IF(C28="",0,IF(COUNTIF(C$5:C28,C28)=1,1,0))</f>
        <v>0</v>
      </c>
      <c r="G28" s="16" t="n">
        <f aca="false">SUM(F$5:F28)</f>
        <v>6</v>
      </c>
      <c r="H28" s="16" t="n">
        <f aca="false">IF(B28="",0,IF(COUNTIF(B$5:B28,B28)=1,1,0))</f>
        <v>0</v>
      </c>
      <c r="I28" s="16" t="n">
        <f aca="false">SUM(H$5:H28)</f>
        <v>6</v>
      </c>
    </row>
    <row r="29" customFormat="false" ht="15" hidden="false" customHeight="false" outlineLevel="0" collapsed="false">
      <c r="A29" s="12" t="n">
        <v>46222</v>
      </c>
      <c r="B29" s="13" t="s">
        <v>46</v>
      </c>
      <c r="C29" s="13" t="s">
        <v>42</v>
      </c>
      <c r="D29" s="14" t="n">
        <v>20</v>
      </c>
      <c r="E29" s="15" t="n">
        <v>7000</v>
      </c>
      <c r="F29" s="16" t="n">
        <f aca="false">IF(C29="",0,IF(COUNTIF(C$5:C29,C29)=1,1,0))</f>
        <v>0</v>
      </c>
      <c r="G29" s="16" t="n">
        <f aca="false">SUM(F$5:F29)</f>
        <v>6</v>
      </c>
      <c r="H29" s="16" t="n">
        <f aca="false">IF(B29="",0,IF(COUNTIF(B$5:B29,B29)=1,1,0))</f>
        <v>0</v>
      </c>
      <c r="I29" s="16" t="n">
        <f aca="false">SUM(H$5:H29)</f>
        <v>6</v>
      </c>
    </row>
    <row r="30" customFormat="false" ht="15" hidden="false" customHeight="false" outlineLevel="0" collapsed="false">
      <c r="A30" s="12" t="n">
        <v>46224</v>
      </c>
      <c r="B30" s="13" t="s">
        <v>46</v>
      </c>
      <c r="C30" s="13" t="s">
        <v>42</v>
      </c>
      <c r="D30" s="14" t="n">
        <v>2</v>
      </c>
      <c r="E30" s="15" t="n">
        <v>700</v>
      </c>
      <c r="F30" s="16" t="n">
        <f aca="false">IF(C30="",0,IF(COUNTIF(C$5:C30,C30)=1,1,0))</f>
        <v>0</v>
      </c>
      <c r="G30" s="16" t="n">
        <f aca="false">SUM(F$5:F30)</f>
        <v>6</v>
      </c>
      <c r="H30" s="16" t="n">
        <f aca="false">IF(B30="",0,IF(COUNTIF(B$5:B30,B30)=1,1,0))</f>
        <v>0</v>
      </c>
      <c r="I30" s="16" t="n">
        <f aca="false">SUM(H$5:H30)</f>
        <v>6</v>
      </c>
    </row>
    <row r="31" customFormat="false" ht="15" hidden="false" customHeight="false" outlineLevel="0" collapsed="false">
      <c r="A31" s="12" t="n">
        <v>46224</v>
      </c>
      <c r="B31" s="13" t="s">
        <v>45</v>
      </c>
      <c r="C31" s="13" t="s">
        <v>48</v>
      </c>
      <c r="D31" s="14" t="n">
        <v>2</v>
      </c>
      <c r="E31" s="15" t="n">
        <v>300</v>
      </c>
      <c r="F31" s="16" t="n">
        <f aca="false">IF(C31="",0,IF(COUNTIF(C$5:C31,C31)=1,1,0))</f>
        <v>0</v>
      </c>
      <c r="G31" s="16" t="n">
        <f aca="false">SUM(F$5:F31)</f>
        <v>6</v>
      </c>
      <c r="H31" s="16" t="n">
        <f aca="false">IF(B31="",0,IF(COUNTIF(B$5:B31,B31)=1,1,0))</f>
        <v>0</v>
      </c>
      <c r="I31" s="16" t="n">
        <f aca="false">SUM(H$5:H31)</f>
        <v>6</v>
      </c>
    </row>
    <row r="32" customFormat="false" ht="15" hidden="false" customHeight="false" outlineLevel="0" collapsed="false">
      <c r="A32" s="12" t="n">
        <v>46228</v>
      </c>
      <c r="B32" s="13" t="s">
        <v>41</v>
      </c>
      <c r="C32" s="13" t="s">
        <v>47</v>
      </c>
      <c r="D32" s="14" t="n">
        <v>20</v>
      </c>
      <c r="E32" s="15" t="n">
        <v>300</v>
      </c>
      <c r="F32" s="16" t="n">
        <f aca="false">IF(C32="",0,IF(COUNTIF(C$5:C32,C32)=1,1,0))</f>
        <v>0</v>
      </c>
      <c r="G32" s="16" t="n">
        <f aca="false">SUM(F$5:F32)</f>
        <v>6</v>
      </c>
      <c r="H32" s="16" t="n">
        <f aca="false">IF(B32="",0,IF(COUNTIF(B$5:B32,B32)=1,1,0))</f>
        <v>0</v>
      </c>
      <c r="I32" s="16" t="n">
        <f aca="false">SUM(H$5:H32)</f>
        <v>6</v>
      </c>
    </row>
    <row r="33" customFormat="false" ht="15" hidden="false" customHeight="false" outlineLevel="0" collapsed="false">
      <c r="A33" s="12" t="n">
        <v>46229</v>
      </c>
      <c r="B33" s="13" t="s">
        <v>46</v>
      </c>
      <c r="C33" s="13" t="s">
        <v>43</v>
      </c>
      <c r="D33" s="14" t="n">
        <v>3</v>
      </c>
      <c r="E33" s="15" t="n">
        <v>570</v>
      </c>
      <c r="F33" s="16" t="n">
        <f aca="false">IF(C33="",0,IF(COUNTIF(C$5:C33,C33)=1,1,0))</f>
        <v>0</v>
      </c>
      <c r="G33" s="16" t="n">
        <f aca="false">SUM(F$5:F33)</f>
        <v>6</v>
      </c>
      <c r="H33" s="16" t="n">
        <f aca="false">IF(B33="",0,IF(COUNTIF(B$5:B33,B33)=1,1,0))</f>
        <v>0</v>
      </c>
      <c r="I33" s="16" t="n">
        <f aca="false">SUM(H$5:H33)</f>
        <v>6</v>
      </c>
    </row>
    <row r="34" customFormat="false" ht="15" hidden="false" customHeight="false" outlineLevel="0" collapsed="false">
      <c r="A34" s="12" t="n">
        <v>46229</v>
      </c>
      <c r="B34" s="13" t="s">
        <v>37</v>
      </c>
      <c r="C34" s="13" t="s">
        <v>42</v>
      </c>
      <c r="D34" s="14" t="n">
        <v>3</v>
      </c>
      <c r="E34" s="15" t="n">
        <v>1050</v>
      </c>
      <c r="F34" s="16" t="n">
        <f aca="false">IF(C34="",0,IF(COUNTIF(C$5:C34,C34)=1,1,0))</f>
        <v>0</v>
      </c>
      <c r="G34" s="16" t="n">
        <f aca="false">SUM(F$5:F34)</f>
        <v>6</v>
      </c>
      <c r="H34" s="16" t="n">
        <f aca="false">IF(B34="",0,IF(COUNTIF(B$5:B34,B34)=1,1,0))</f>
        <v>0</v>
      </c>
      <c r="I34" s="16" t="n">
        <f aca="false">SUM(H$5:H34)</f>
        <v>6</v>
      </c>
    </row>
    <row r="35" customFormat="false" ht="15" hidden="false" customHeight="false" outlineLevel="0" collapsed="false">
      <c r="A35" s="12" t="n">
        <v>46230</v>
      </c>
      <c r="B35" s="13" t="s">
        <v>44</v>
      </c>
      <c r="C35" s="13" t="s">
        <v>48</v>
      </c>
      <c r="D35" s="14" t="n">
        <v>20</v>
      </c>
      <c r="E35" s="15" t="n">
        <v>3000</v>
      </c>
      <c r="F35" s="16" t="n">
        <f aca="false">IF(C35="",0,IF(COUNTIF(C$5:C35,C35)=1,1,0))</f>
        <v>0</v>
      </c>
      <c r="G35" s="16" t="n">
        <f aca="false">SUM(F$5:F35)</f>
        <v>6</v>
      </c>
      <c r="H35" s="16" t="n">
        <f aca="false">IF(B35="",0,IF(COUNTIF(B$5:B35,B35)=1,1,0))</f>
        <v>0</v>
      </c>
      <c r="I35" s="16" t="n">
        <f aca="false">SUM(H$5:H35)</f>
        <v>6</v>
      </c>
    </row>
    <row r="36" customFormat="false" ht="15" hidden="false" customHeight="false" outlineLevel="0" collapsed="false">
      <c r="A36" s="12" t="n">
        <v>46231</v>
      </c>
      <c r="B36" s="13" t="s">
        <v>46</v>
      </c>
      <c r="C36" s="13" t="s">
        <v>48</v>
      </c>
      <c r="D36" s="14" t="n">
        <v>3</v>
      </c>
      <c r="E36" s="15" t="n">
        <v>450</v>
      </c>
      <c r="F36" s="16" t="n">
        <f aca="false">IF(C36="",0,IF(COUNTIF(C$5:C36,C36)=1,1,0))</f>
        <v>0</v>
      </c>
      <c r="G36" s="16" t="n">
        <f aca="false">SUM(F$5:F36)</f>
        <v>6</v>
      </c>
      <c r="H36" s="16" t="n">
        <f aca="false">IF(B36="",0,IF(COUNTIF(B$5:B36,B36)=1,1,0))</f>
        <v>0</v>
      </c>
      <c r="I36" s="16" t="n">
        <f aca="false">SUM(H$5:H36)</f>
        <v>6</v>
      </c>
    </row>
    <row r="37" customFormat="false" ht="15" hidden="false" customHeight="false" outlineLevel="0" collapsed="false">
      <c r="A37" s="12" t="n">
        <v>46231</v>
      </c>
      <c r="B37" s="13" t="s">
        <v>41</v>
      </c>
      <c r="C37" s="13" t="s">
        <v>48</v>
      </c>
      <c r="D37" s="14" t="n">
        <v>3</v>
      </c>
      <c r="E37" s="15" t="n">
        <v>450</v>
      </c>
      <c r="F37" s="16" t="n">
        <f aca="false">IF(C37="",0,IF(COUNTIF(C$5:C37,C37)=1,1,0))</f>
        <v>0</v>
      </c>
      <c r="G37" s="16" t="n">
        <f aca="false">SUM(F$5:F37)</f>
        <v>6</v>
      </c>
      <c r="H37" s="16" t="n">
        <f aca="false">IF(B37="",0,IF(COUNTIF(B$5:B37,B37)=1,1,0))</f>
        <v>0</v>
      </c>
      <c r="I37" s="16" t="n">
        <f aca="false">SUM(H$5:H37)</f>
        <v>6</v>
      </c>
    </row>
    <row r="38" customFormat="false" ht="15" hidden="false" customHeight="false" outlineLevel="0" collapsed="false">
      <c r="A38" s="12" t="n">
        <v>46234</v>
      </c>
      <c r="B38" s="13" t="s">
        <v>46</v>
      </c>
      <c r="C38" s="13" t="s">
        <v>38</v>
      </c>
      <c r="D38" s="14" t="n">
        <v>20</v>
      </c>
      <c r="E38" s="15" t="n">
        <v>1200</v>
      </c>
      <c r="F38" s="16" t="n">
        <f aca="false">IF(C38="",0,IF(COUNTIF(C$5:C38,C38)=1,1,0))</f>
        <v>0</v>
      </c>
      <c r="G38" s="16" t="n">
        <f aca="false">SUM(F$5:F38)</f>
        <v>6</v>
      </c>
      <c r="H38" s="16" t="n">
        <f aca="false">IF(B38="",0,IF(COUNTIF(B$5:B38,B38)=1,1,0))</f>
        <v>0</v>
      </c>
      <c r="I38" s="16" t="n">
        <f aca="false">SUM(H$5:H38)</f>
        <v>6</v>
      </c>
    </row>
    <row r="39" customFormat="false" ht="15" hidden="false" customHeight="false" outlineLevel="0" collapsed="false">
      <c r="A39" s="12" t="n">
        <v>46236</v>
      </c>
      <c r="B39" s="13" t="s">
        <v>41</v>
      </c>
      <c r="C39" s="13" t="s">
        <v>40</v>
      </c>
      <c r="D39" s="14" t="n">
        <v>40</v>
      </c>
      <c r="E39" s="15" t="n">
        <v>3000</v>
      </c>
      <c r="F39" s="16" t="n">
        <f aca="false">IF(C39="",0,IF(COUNTIF(C$5:C39,C39)=1,1,0))</f>
        <v>0</v>
      </c>
      <c r="G39" s="16" t="n">
        <f aca="false">SUM(F$5:F39)</f>
        <v>6</v>
      </c>
      <c r="H39" s="16" t="n">
        <f aca="false">IF(B39="",0,IF(COUNTIF(B$5:B39,B39)=1,1,0))</f>
        <v>0</v>
      </c>
      <c r="I39" s="16" t="n">
        <f aca="false">SUM(H$5:H39)</f>
        <v>6</v>
      </c>
    </row>
    <row r="40" customFormat="false" ht="15" hidden="false" customHeight="false" outlineLevel="0" collapsed="false">
      <c r="A40" s="12" t="n">
        <v>46236</v>
      </c>
      <c r="B40" s="13" t="s">
        <v>37</v>
      </c>
      <c r="C40" s="13" t="s">
        <v>38</v>
      </c>
      <c r="D40" s="14" t="n">
        <v>40</v>
      </c>
      <c r="E40" s="15" t="n">
        <v>2400</v>
      </c>
      <c r="F40" s="16" t="n">
        <f aca="false">IF(C40="",0,IF(COUNTIF(C$5:C40,C40)=1,1,0))</f>
        <v>0</v>
      </c>
      <c r="G40" s="16" t="n">
        <f aca="false">SUM(F$5:F40)</f>
        <v>6</v>
      </c>
      <c r="H40" s="16" t="n">
        <f aca="false">IF(B40="",0,IF(COUNTIF(B$5:B40,B40)=1,1,0))</f>
        <v>0</v>
      </c>
      <c r="I40" s="16" t="n">
        <f aca="false">SUM(H$5:H40)</f>
        <v>6</v>
      </c>
    </row>
    <row r="41" customFormat="false" ht="15" hidden="false" customHeight="false" outlineLevel="0" collapsed="false">
      <c r="A41" s="12" t="n">
        <v>46237</v>
      </c>
      <c r="B41" s="13" t="s">
        <v>39</v>
      </c>
      <c r="C41" s="13" t="s">
        <v>48</v>
      </c>
      <c r="D41" s="14" t="n">
        <v>3</v>
      </c>
      <c r="E41" s="15" t="n">
        <v>450</v>
      </c>
      <c r="F41" s="16" t="n">
        <f aca="false">IF(C41="",0,IF(COUNTIF(C$5:C41,C41)=1,1,0))</f>
        <v>0</v>
      </c>
      <c r="G41" s="16" t="n">
        <f aca="false">SUM(F$5:F41)</f>
        <v>6</v>
      </c>
      <c r="H41" s="16" t="n">
        <f aca="false">IF(B41="",0,IF(COUNTIF(B$5:B41,B41)=1,1,0))</f>
        <v>0</v>
      </c>
      <c r="I41" s="16" t="n">
        <f aca="false">SUM(H$5:H41)</f>
        <v>6</v>
      </c>
    </row>
    <row r="42" customFormat="false" ht="15" hidden="false" customHeight="false" outlineLevel="0" collapsed="false">
      <c r="A42" s="12" t="n">
        <v>46241</v>
      </c>
      <c r="B42" s="13" t="s">
        <v>45</v>
      </c>
      <c r="C42" s="13" t="s">
        <v>38</v>
      </c>
      <c r="D42" s="14" t="n">
        <v>40</v>
      </c>
      <c r="E42" s="15" t="n">
        <v>2400</v>
      </c>
      <c r="F42" s="16" t="n">
        <f aca="false">IF(C42="",0,IF(COUNTIF(C$5:C42,C42)=1,1,0))</f>
        <v>0</v>
      </c>
      <c r="G42" s="16" t="n">
        <f aca="false">SUM(F$5:F42)</f>
        <v>6</v>
      </c>
      <c r="H42" s="16" t="n">
        <f aca="false">IF(B42="",0,IF(COUNTIF(B$5:B42,B42)=1,1,0))</f>
        <v>0</v>
      </c>
      <c r="I42" s="16" t="n">
        <f aca="false">SUM(H$5:H42)</f>
        <v>6</v>
      </c>
    </row>
    <row r="43" customFormat="false" ht="15" hidden="false" customHeight="false" outlineLevel="0" collapsed="false">
      <c r="A43" s="12" t="n">
        <v>46243</v>
      </c>
      <c r="B43" s="13" t="s">
        <v>46</v>
      </c>
      <c r="C43" s="13" t="s">
        <v>40</v>
      </c>
      <c r="D43" s="14" t="n">
        <v>40</v>
      </c>
      <c r="E43" s="15" t="n">
        <v>3000</v>
      </c>
      <c r="F43" s="16" t="n">
        <f aca="false">IF(C43="",0,IF(COUNTIF(C$5:C43,C43)=1,1,0))</f>
        <v>0</v>
      </c>
      <c r="G43" s="16" t="n">
        <f aca="false">SUM(F$5:F43)</f>
        <v>6</v>
      </c>
      <c r="H43" s="16" t="n">
        <f aca="false">IF(B43="",0,IF(COUNTIF(B$5:B43,B43)=1,1,0))</f>
        <v>0</v>
      </c>
      <c r="I43" s="16" t="n">
        <f aca="false">SUM(H$5:H43)</f>
        <v>6</v>
      </c>
    </row>
    <row r="44" customFormat="false" ht="15" hidden="false" customHeight="false" outlineLevel="0" collapsed="false">
      <c r="A44" s="12" t="n">
        <v>46243</v>
      </c>
      <c r="B44" s="13" t="s">
        <v>41</v>
      </c>
      <c r="C44" s="13" t="s">
        <v>40</v>
      </c>
      <c r="D44" s="14" t="n">
        <v>20</v>
      </c>
      <c r="E44" s="15" t="n">
        <v>1500</v>
      </c>
      <c r="F44" s="16" t="n">
        <f aca="false">IF(C44="",0,IF(COUNTIF(C$5:C44,C44)=1,1,0))</f>
        <v>0</v>
      </c>
      <c r="G44" s="16" t="n">
        <f aca="false">SUM(F$5:F44)</f>
        <v>6</v>
      </c>
      <c r="H44" s="16" t="n">
        <f aca="false">IF(B44="",0,IF(COUNTIF(B$5:B44,B44)=1,1,0))</f>
        <v>0</v>
      </c>
      <c r="I44" s="16" t="n">
        <f aca="false">SUM(H$5:H44)</f>
        <v>6</v>
      </c>
    </row>
    <row r="45" customFormat="false" ht="15" hidden="false" customHeight="false" outlineLevel="0" collapsed="false">
      <c r="A45" s="12" t="n">
        <v>46243</v>
      </c>
      <c r="B45" s="13" t="s">
        <v>45</v>
      </c>
      <c r="C45" s="13" t="s">
        <v>48</v>
      </c>
      <c r="D45" s="14" t="n">
        <v>1</v>
      </c>
      <c r="E45" s="15" t="n">
        <v>150</v>
      </c>
      <c r="F45" s="16" t="n">
        <f aca="false">IF(C45="",0,IF(COUNTIF(C$5:C45,C45)=1,1,0))</f>
        <v>0</v>
      </c>
      <c r="G45" s="16" t="n">
        <f aca="false">SUM(F$5:F45)</f>
        <v>6</v>
      </c>
      <c r="H45" s="16" t="n">
        <f aca="false">IF(B45="",0,IF(COUNTIF(B$5:B45,B45)=1,1,0))</f>
        <v>0</v>
      </c>
      <c r="I45" s="16" t="n">
        <f aca="false">SUM(H$5:H45)</f>
        <v>6</v>
      </c>
    </row>
    <row r="46" customFormat="false" ht="15" hidden="false" customHeight="false" outlineLevel="0" collapsed="false">
      <c r="A46" s="12" t="n">
        <v>46244</v>
      </c>
      <c r="B46" s="13" t="s">
        <v>46</v>
      </c>
      <c r="C46" s="13" t="s">
        <v>48</v>
      </c>
      <c r="D46" s="14" t="n">
        <v>3</v>
      </c>
      <c r="E46" s="15" t="n">
        <v>450</v>
      </c>
      <c r="F46" s="16" t="n">
        <f aca="false">IF(C46="",0,IF(COUNTIF(C$5:C46,C46)=1,1,0))</f>
        <v>0</v>
      </c>
      <c r="G46" s="16" t="n">
        <f aca="false">SUM(F$5:F46)</f>
        <v>6</v>
      </c>
      <c r="H46" s="16" t="n">
        <f aca="false">IF(B46="",0,IF(COUNTIF(B$5:B46,B46)=1,1,0))</f>
        <v>0</v>
      </c>
      <c r="I46" s="16" t="n">
        <f aca="false">SUM(H$5:H46)</f>
        <v>6</v>
      </c>
    </row>
    <row r="47" customFormat="false" ht="15" hidden="false" customHeight="false" outlineLevel="0" collapsed="false">
      <c r="A47" s="12" t="n">
        <v>46248</v>
      </c>
      <c r="B47" s="13" t="s">
        <v>44</v>
      </c>
      <c r="C47" s="13" t="s">
        <v>48</v>
      </c>
      <c r="D47" s="14" t="n">
        <v>10</v>
      </c>
      <c r="E47" s="15" t="n">
        <v>1500</v>
      </c>
      <c r="F47" s="16" t="n">
        <f aca="false">IF(C47="",0,IF(COUNTIF(C$5:C47,C47)=1,1,0))</f>
        <v>0</v>
      </c>
      <c r="G47" s="16" t="n">
        <f aca="false">SUM(F$5:F47)</f>
        <v>6</v>
      </c>
      <c r="H47" s="16" t="n">
        <f aca="false">IF(B47="",0,IF(COUNTIF(B$5:B47,B47)=1,1,0))</f>
        <v>0</v>
      </c>
      <c r="I47" s="16" t="n">
        <f aca="false">SUM(H$5:H47)</f>
        <v>6</v>
      </c>
    </row>
    <row r="48" customFormat="false" ht="15" hidden="false" customHeight="false" outlineLevel="0" collapsed="false">
      <c r="A48" s="12" t="n">
        <v>46249</v>
      </c>
      <c r="B48" s="13" t="s">
        <v>37</v>
      </c>
      <c r="C48" s="13" t="s">
        <v>40</v>
      </c>
      <c r="D48" s="14" t="n">
        <v>1</v>
      </c>
      <c r="E48" s="15" t="n">
        <v>75</v>
      </c>
      <c r="F48" s="16" t="n">
        <f aca="false">IF(C48="",0,IF(COUNTIF(C$5:C48,C48)=1,1,0))</f>
        <v>0</v>
      </c>
      <c r="G48" s="16" t="n">
        <f aca="false">SUM(F$5:F48)</f>
        <v>6</v>
      </c>
      <c r="H48" s="16" t="n">
        <f aca="false">IF(B48="",0,IF(COUNTIF(B$5:B48,B48)=1,1,0))</f>
        <v>0</v>
      </c>
      <c r="I48" s="16" t="n">
        <f aca="false">SUM(H$5:H48)</f>
        <v>6</v>
      </c>
    </row>
    <row r="49" customFormat="false" ht="15" hidden="false" customHeight="false" outlineLevel="0" collapsed="false">
      <c r="A49" s="12" t="n">
        <v>46251</v>
      </c>
      <c r="B49" s="13" t="s">
        <v>41</v>
      </c>
      <c r="C49" s="13" t="s">
        <v>42</v>
      </c>
      <c r="D49" s="14" t="n">
        <v>10</v>
      </c>
      <c r="E49" s="15" t="n">
        <v>3500</v>
      </c>
      <c r="F49" s="16" t="n">
        <f aca="false">IF(C49="",0,IF(COUNTIF(C$5:C49,C49)=1,1,0))</f>
        <v>0</v>
      </c>
      <c r="G49" s="16" t="n">
        <f aca="false">SUM(F$5:F49)</f>
        <v>6</v>
      </c>
      <c r="H49" s="16" t="n">
        <f aca="false">IF(B49="",0,IF(COUNTIF(B$5:B49,B49)=1,1,0))</f>
        <v>0</v>
      </c>
      <c r="I49" s="16" t="n">
        <f aca="false">SUM(H$5:H49)</f>
        <v>6</v>
      </c>
    </row>
    <row r="50" customFormat="false" ht="15" hidden="false" customHeight="false" outlineLevel="0" collapsed="false">
      <c r="A50" s="12" t="n">
        <v>46251</v>
      </c>
      <c r="B50" s="13" t="s">
        <v>37</v>
      </c>
      <c r="C50" s="13" t="s">
        <v>40</v>
      </c>
      <c r="D50" s="14" t="n">
        <v>2</v>
      </c>
      <c r="E50" s="15" t="n">
        <v>150</v>
      </c>
      <c r="F50" s="16" t="n">
        <f aca="false">IF(C50="",0,IF(COUNTIF(C$5:C50,C50)=1,1,0))</f>
        <v>0</v>
      </c>
      <c r="G50" s="16" t="n">
        <f aca="false">SUM(F$5:F50)</f>
        <v>6</v>
      </c>
      <c r="H50" s="16" t="n">
        <f aca="false">IF(B50="",0,IF(COUNTIF(B$5:B50,B50)=1,1,0))</f>
        <v>0</v>
      </c>
      <c r="I50" s="16" t="n">
        <f aca="false">SUM(H$5:H50)</f>
        <v>6</v>
      </c>
    </row>
    <row r="51" customFormat="false" ht="15" hidden="false" customHeight="false" outlineLevel="0" collapsed="false">
      <c r="A51" s="12" t="n">
        <v>46252</v>
      </c>
      <c r="B51" s="13" t="s">
        <v>46</v>
      </c>
      <c r="C51" s="13" t="s">
        <v>38</v>
      </c>
      <c r="D51" s="14" t="n">
        <v>10</v>
      </c>
      <c r="E51" s="15" t="n">
        <v>600</v>
      </c>
      <c r="F51" s="16" t="n">
        <f aca="false">IF(C51="",0,IF(COUNTIF(C$5:C51,C51)=1,1,0))</f>
        <v>0</v>
      </c>
      <c r="G51" s="16" t="n">
        <f aca="false">SUM(F$5:F51)</f>
        <v>6</v>
      </c>
      <c r="H51" s="16" t="n">
        <f aca="false">IF(B51="",0,IF(COUNTIF(B$5:B51,B51)=1,1,0))</f>
        <v>0</v>
      </c>
      <c r="I51" s="16" t="n">
        <f aca="false">SUM(H$5:H51)</f>
        <v>6</v>
      </c>
    </row>
    <row r="52" customFormat="false" ht="15" hidden="false" customHeight="false" outlineLevel="0" collapsed="false">
      <c r="A52" s="12" t="n">
        <v>46252</v>
      </c>
      <c r="B52" s="13" t="s">
        <v>39</v>
      </c>
      <c r="C52" s="13" t="s">
        <v>40</v>
      </c>
      <c r="D52" s="14" t="n">
        <v>20</v>
      </c>
      <c r="E52" s="15" t="n">
        <v>1500</v>
      </c>
      <c r="F52" s="16" t="n">
        <f aca="false">IF(C52="",0,IF(COUNTIF(C$5:C52,C52)=1,1,0))</f>
        <v>0</v>
      </c>
      <c r="G52" s="16" t="n">
        <f aca="false">SUM(F$5:F52)</f>
        <v>6</v>
      </c>
      <c r="H52" s="16" t="n">
        <f aca="false">IF(B52="",0,IF(COUNTIF(B$5:B52,B52)=1,1,0))</f>
        <v>0</v>
      </c>
      <c r="I52" s="16" t="n">
        <f aca="false">SUM(H$5:H52)</f>
        <v>6</v>
      </c>
    </row>
    <row r="53" customFormat="false" ht="15" hidden="false" customHeight="false" outlineLevel="0" collapsed="false">
      <c r="A53" s="12" t="n">
        <v>46253</v>
      </c>
      <c r="B53" s="13" t="s">
        <v>46</v>
      </c>
      <c r="C53" s="13" t="s">
        <v>47</v>
      </c>
      <c r="D53" s="14" t="n">
        <v>5</v>
      </c>
      <c r="E53" s="15" t="n">
        <v>75</v>
      </c>
      <c r="F53" s="16" t="n">
        <f aca="false">IF(C53="",0,IF(COUNTIF(C$5:C53,C53)=1,1,0))</f>
        <v>0</v>
      </c>
      <c r="G53" s="16" t="n">
        <f aca="false">SUM(F$5:F53)</f>
        <v>6</v>
      </c>
      <c r="H53" s="16" t="n">
        <f aca="false">IF(B53="",0,IF(COUNTIF(B$5:B53,B53)=1,1,0))</f>
        <v>0</v>
      </c>
      <c r="I53" s="16" t="n">
        <f aca="false">SUM(H$5:H53)</f>
        <v>6</v>
      </c>
    </row>
    <row r="54" customFormat="false" ht="15" hidden="false" customHeight="false" outlineLevel="0" collapsed="false">
      <c r="A54" s="12" t="n">
        <v>46253</v>
      </c>
      <c r="B54" s="13" t="s">
        <v>44</v>
      </c>
      <c r="C54" s="13" t="s">
        <v>38</v>
      </c>
      <c r="D54" s="14" t="n">
        <v>2</v>
      </c>
      <c r="E54" s="15" t="n">
        <v>120</v>
      </c>
      <c r="F54" s="16" t="n">
        <f aca="false">IF(C54="",0,IF(COUNTIF(C$5:C54,C54)=1,1,0))</f>
        <v>0</v>
      </c>
      <c r="G54" s="16" t="n">
        <f aca="false">SUM(F$5:F54)</f>
        <v>6</v>
      </c>
      <c r="H54" s="16" t="n">
        <f aca="false">IF(B54="",0,IF(COUNTIF(B$5:B54,B54)=1,1,0))</f>
        <v>0</v>
      </c>
      <c r="I54" s="16" t="n">
        <f aca="false">SUM(H$5:H54)</f>
        <v>6</v>
      </c>
    </row>
    <row r="55" customFormat="false" ht="15" hidden="false" customHeight="false" outlineLevel="0" collapsed="false">
      <c r="A55" s="12" t="n">
        <v>46256</v>
      </c>
      <c r="B55" s="13" t="s">
        <v>37</v>
      </c>
      <c r="C55" s="13" t="s">
        <v>49</v>
      </c>
      <c r="D55" s="14" t="n">
        <v>2</v>
      </c>
      <c r="E55" s="15" t="n">
        <v>20</v>
      </c>
      <c r="F55" s="16" t="n">
        <f aca="false">IF(C55="",0,IF(COUNTIF(C$5:C55,C55)=1,1,0))</f>
        <v>1</v>
      </c>
      <c r="G55" s="16" t="n">
        <f aca="false">SUM(F$5:F55)</f>
        <v>7</v>
      </c>
      <c r="H55" s="16" t="n">
        <f aca="false">IF(B55="",0,IF(COUNTIF(B$5:B55,B55)=1,1,0))</f>
        <v>0</v>
      </c>
      <c r="I55" s="16" t="n">
        <f aca="false">SUM(H$5:H55)</f>
        <v>6</v>
      </c>
    </row>
    <row r="56" customFormat="false" ht="15" hidden="false" customHeight="false" outlineLevel="0" collapsed="false">
      <c r="A56" s="12" t="n">
        <v>46256</v>
      </c>
      <c r="B56" s="13" t="s">
        <v>39</v>
      </c>
      <c r="C56" s="13" t="s">
        <v>47</v>
      </c>
      <c r="D56" s="14" t="n">
        <v>20</v>
      </c>
      <c r="E56" s="15" t="n">
        <v>300</v>
      </c>
      <c r="F56" s="16" t="n">
        <f aca="false">IF(C56="",0,IF(COUNTIF(C$5:C56,C56)=1,1,0))</f>
        <v>0</v>
      </c>
      <c r="G56" s="16" t="n">
        <f aca="false">SUM(F$5:F56)</f>
        <v>7</v>
      </c>
      <c r="H56" s="16" t="n">
        <f aca="false">IF(B56="",0,IF(COUNTIF(B$5:B56,B56)=1,1,0))</f>
        <v>0</v>
      </c>
      <c r="I56" s="16" t="n">
        <f aca="false">SUM(H$5:H56)</f>
        <v>6</v>
      </c>
    </row>
    <row r="57" customFormat="false" ht="15" hidden="false" customHeight="false" outlineLevel="0" collapsed="false">
      <c r="A57" s="12" t="n">
        <v>46257</v>
      </c>
      <c r="B57" s="13" t="s">
        <v>37</v>
      </c>
      <c r="C57" s="13" t="s">
        <v>38</v>
      </c>
      <c r="D57" s="14" t="n">
        <v>5</v>
      </c>
      <c r="E57" s="15" t="n">
        <v>300</v>
      </c>
      <c r="F57" s="16" t="n">
        <f aca="false">IF(C57="",0,IF(COUNTIF(C$5:C57,C57)=1,1,0))</f>
        <v>0</v>
      </c>
      <c r="G57" s="16" t="n">
        <f aca="false">SUM(F$5:F57)</f>
        <v>7</v>
      </c>
      <c r="H57" s="16" t="n">
        <f aca="false">IF(B57="",0,IF(COUNTIF(B$5:B57,B57)=1,1,0))</f>
        <v>0</v>
      </c>
      <c r="I57" s="16" t="n">
        <f aca="false">SUM(H$5:H57)</f>
        <v>6</v>
      </c>
    </row>
    <row r="58" customFormat="false" ht="15" hidden="false" customHeight="false" outlineLevel="0" collapsed="false">
      <c r="A58" s="12" t="n">
        <v>46261</v>
      </c>
      <c r="B58" s="13" t="s">
        <v>46</v>
      </c>
      <c r="C58" s="13" t="s">
        <v>43</v>
      </c>
      <c r="D58" s="14" t="n">
        <v>10</v>
      </c>
      <c r="E58" s="15" t="n">
        <v>1900</v>
      </c>
      <c r="F58" s="16" t="n">
        <f aca="false">IF(C58="",0,IF(COUNTIF(C$5:C58,C58)=1,1,0))</f>
        <v>0</v>
      </c>
      <c r="G58" s="16" t="n">
        <f aca="false">SUM(F$5:F58)</f>
        <v>7</v>
      </c>
      <c r="H58" s="16" t="n">
        <f aca="false">IF(B58="",0,IF(COUNTIF(B$5:B58,B58)=1,1,0))</f>
        <v>0</v>
      </c>
      <c r="I58" s="16" t="n">
        <f aca="false">SUM(H$5:H58)</f>
        <v>6</v>
      </c>
    </row>
    <row r="59" customFormat="false" ht="15" hidden="false" customHeight="false" outlineLevel="0" collapsed="false">
      <c r="A59" s="12" t="n">
        <v>46261</v>
      </c>
      <c r="B59" s="13" t="s">
        <v>44</v>
      </c>
      <c r="C59" s="13" t="s">
        <v>50</v>
      </c>
      <c r="D59" s="14" t="n">
        <v>5</v>
      </c>
      <c r="E59" s="15" t="n">
        <v>600</v>
      </c>
      <c r="F59" s="16" t="n">
        <f aca="false">IF(C59="",0,IF(COUNTIF(C$5:C59,C59)=1,1,0))</f>
        <v>1</v>
      </c>
      <c r="G59" s="16" t="n">
        <f aca="false">SUM(F$5:F59)</f>
        <v>8</v>
      </c>
      <c r="H59" s="16" t="n">
        <f aca="false">IF(B59="",0,IF(COUNTIF(B$5:B59,B59)=1,1,0))</f>
        <v>0</v>
      </c>
      <c r="I59" s="16" t="n">
        <f aca="false">SUM(H$5:H59)</f>
        <v>6</v>
      </c>
    </row>
    <row r="60" customFormat="false" ht="15" hidden="false" customHeight="false" outlineLevel="0" collapsed="false">
      <c r="A60" s="12" t="n">
        <v>46261</v>
      </c>
      <c r="B60" s="13" t="s">
        <v>45</v>
      </c>
      <c r="C60" s="13" t="s">
        <v>48</v>
      </c>
      <c r="D60" s="14" t="n">
        <v>20</v>
      </c>
      <c r="E60" s="15" t="n">
        <v>3000</v>
      </c>
      <c r="F60" s="16" t="n">
        <f aca="false">IF(C60="",0,IF(COUNTIF(C$5:C60,C60)=1,1,0))</f>
        <v>0</v>
      </c>
      <c r="G60" s="16" t="n">
        <f aca="false">SUM(F$5:F60)</f>
        <v>8</v>
      </c>
      <c r="H60" s="16" t="n">
        <f aca="false">IF(B60="",0,IF(COUNTIF(B$5:B60,B60)=1,1,0))</f>
        <v>0</v>
      </c>
      <c r="I60" s="16" t="n">
        <f aca="false">SUM(H$5:H60)</f>
        <v>6</v>
      </c>
    </row>
    <row r="61" customFormat="false" ht="15" hidden="false" customHeight="false" outlineLevel="0" collapsed="false">
      <c r="A61" s="12" t="n">
        <v>46262</v>
      </c>
      <c r="B61" s="13" t="s">
        <v>44</v>
      </c>
      <c r="C61" s="13" t="s">
        <v>48</v>
      </c>
      <c r="D61" s="14" t="n">
        <v>1</v>
      </c>
      <c r="E61" s="15" t="n">
        <v>150</v>
      </c>
      <c r="F61" s="16" t="n">
        <f aca="false">IF(C61="",0,IF(COUNTIF(C$5:C61,C61)=1,1,0))</f>
        <v>0</v>
      </c>
      <c r="G61" s="16" t="n">
        <f aca="false">SUM(F$5:F61)</f>
        <v>8</v>
      </c>
      <c r="H61" s="16" t="n">
        <f aca="false">IF(B61="",0,IF(COUNTIF(B$5:B61,B61)=1,1,0))</f>
        <v>0</v>
      </c>
      <c r="I61" s="16" t="n">
        <f aca="false">SUM(H$5:H61)</f>
        <v>6</v>
      </c>
    </row>
    <row r="62" customFormat="false" ht="15" hidden="false" customHeight="false" outlineLevel="0" collapsed="false">
      <c r="A62" s="12" t="n">
        <v>46262</v>
      </c>
      <c r="B62" s="13" t="s">
        <v>44</v>
      </c>
      <c r="C62" s="13" t="s">
        <v>38</v>
      </c>
      <c r="D62" s="14" t="n">
        <v>5</v>
      </c>
      <c r="E62" s="15" t="n">
        <v>300</v>
      </c>
      <c r="F62" s="16" t="n">
        <f aca="false">IF(C62="",0,IF(COUNTIF(C$5:C62,C62)=1,1,0))</f>
        <v>0</v>
      </c>
      <c r="G62" s="16" t="n">
        <f aca="false">SUM(F$5:F62)</f>
        <v>8</v>
      </c>
      <c r="H62" s="16" t="n">
        <f aca="false">IF(B62="",0,IF(COUNTIF(B$5:B62,B62)=1,1,0))</f>
        <v>0</v>
      </c>
      <c r="I62" s="16" t="n">
        <f aca="false">SUM(H$5:H62)</f>
        <v>6</v>
      </c>
    </row>
    <row r="63" customFormat="false" ht="15" hidden="false" customHeight="false" outlineLevel="0" collapsed="false">
      <c r="A63" s="12" t="n">
        <v>46263</v>
      </c>
      <c r="B63" s="13" t="s">
        <v>44</v>
      </c>
      <c r="C63" s="13" t="s">
        <v>47</v>
      </c>
      <c r="D63" s="14" t="n">
        <v>20</v>
      </c>
      <c r="E63" s="15" t="n">
        <v>300</v>
      </c>
      <c r="F63" s="16" t="n">
        <f aca="false">IF(C63="",0,IF(COUNTIF(C$5:C63,C63)=1,1,0))</f>
        <v>0</v>
      </c>
      <c r="G63" s="16" t="n">
        <f aca="false">SUM(F$5:F63)</f>
        <v>8</v>
      </c>
      <c r="H63" s="16" t="n">
        <f aca="false">IF(B63="",0,IF(COUNTIF(B$5:B63,B63)=1,1,0))</f>
        <v>0</v>
      </c>
      <c r="I63" s="16" t="n">
        <f aca="false">SUM(H$5:H63)</f>
        <v>6</v>
      </c>
    </row>
    <row r="64" customFormat="false" ht="15" hidden="false" customHeight="false" outlineLevel="0" collapsed="false">
      <c r="A64" s="12" t="n">
        <v>46266</v>
      </c>
      <c r="B64" s="13" t="s">
        <v>46</v>
      </c>
      <c r="C64" s="13" t="s">
        <v>47</v>
      </c>
      <c r="D64" s="14" t="n">
        <v>20</v>
      </c>
      <c r="E64" s="15" t="n">
        <v>300</v>
      </c>
      <c r="F64" s="16" t="n">
        <f aca="false">IF(C64="",0,IF(COUNTIF(C$5:C64,C64)=1,1,0))</f>
        <v>0</v>
      </c>
      <c r="G64" s="16" t="n">
        <f aca="false">SUM(F$5:F64)</f>
        <v>8</v>
      </c>
      <c r="H64" s="16" t="n">
        <f aca="false">IF(B64="",0,IF(COUNTIF(B$5:B64,B64)=1,1,0))</f>
        <v>0</v>
      </c>
      <c r="I64" s="16" t="n">
        <f aca="false">SUM(H$5:H64)</f>
        <v>6</v>
      </c>
    </row>
    <row r="65" customFormat="false" ht="15" hidden="false" customHeight="false" outlineLevel="0" collapsed="false">
      <c r="A65" s="12" t="n">
        <v>46267</v>
      </c>
      <c r="B65" s="13" t="s">
        <v>45</v>
      </c>
      <c r="C65" s="13" t="s">
        <v>42</v>
      </c>
      <c r="D65" s="14" t="n">
        <v>5</v>
      </c>
      <c r="E65" s="15" t="n">
        <v>1750</v>
      </c>
      <c r="F65" s="16" t="n">
        <f aca="false">IF(C65="",0,IF(COUNTIF(C$5:C65,C65)=1,1,0))</f>
        <v>0</v>
      </c>
      <c r="G65" s="16" t="n">
        <f aca="false">SUM(F$5:F65)</f>
        <v>8</v>
      </c>
      <c r="H65" s="16" t="n">
        <f aca="false">IF(B65="",0,IF(COUNTIF(B$5:B65,B65)=1,1,0))</f>
        <v>0</v>
      </c>
      <c r="I65" s="16" t="n">
        <f aca="false">SUM(H$5:H65)</f>
        <v>6</v>
      </c>
    </row>
    <row r="66" customFormat="false" ht="15" hidden="false" customHeight="false" outlineLevel="0" collapsed="false">
      <c r="A66" s="12" t="n">
        <v>46269</v>
      </c>
      <c r="B66" s="13" t="s">
        <v>37</v>
      </c>
      <c r="C66" s="13" t="s">
        <v>48</v>
      </c>
      <c r="D66" s="14" t="n">
        <v>1</v>
      </c>
      <c r="E66" s="15" t="n">
        <v>150</v>
      </c>
      <c r="F66" s="16" t="n">
        <f aca="false">IF(C66="",0,IF(COUNTIF(C$5:C66,C66)=1,1,0))</f>
        <v>0</v>
      </c>
      <c r="G66" s="16" t="n">
        <f aca="false">SUM(F$5:F66)</f>
        <v>8</v>
      </c>
      <c r="H66" s="16" t="n">
        <f aca="false">IF(B66="",0,IF(COUNTIF(B$5:B66,B66)=1,1,0))</f>
        <v>0</v>
      </c>
      <c r="I66" s="16" t="n">
        <f aca="false">SUM(H$5:H66)</f>
        <v>6</v>
      </c>
    </row>
    <row r="67" customFormat="false" ht="15" hidden="false" customHeight="false" outlineLevel="0" collapsed="false">
      <c r="A67" s="12" t="n">
        <v>46270</v>
      </c>
      <c r="B67" s="13" t="s">
        <v>37</v>
      </c>
      <c r="C67" s="13" t="s">
        <v>43</v>
      </c>
      <c r="D67" s="14" t="n">
        <v>20</v>
      </c>
      <c r="E67" s="15" t="n">
        <v>3800</v>
      </c>
      <c r="F67" s="16" t="n">
        <f aca="false">IF(C67="",0,IF(COUNTIF(C$5:C67,C67)=1,1,0))</f>
        <v>0</v>
      </c>
      <c r="G67" s="16" t="n">
        <f aca="false">SUM(F$5:F67)</f>
        <v>8</v>
      </c>
      <c r="H67" s="16" t="n">
        <f aca="false">IF(B67="",0,IF(COUNTIF(B$5:B67,B67)=1,1,0))</f>
        <v>0</v>
      </c>
      <c r="I67" s="16" t="n">
        <f aca="false">SUM(H$5:H67)</f>
        <v>6</v>
      </c>
    </row>
    <row r="68" customFormat="false" ht="15" hidden="false" customHeight="false" outlineLevel="0" collapsed="false">
      <c r="A68" s="12" t="n">
        <v>46272</v>
      </c>
      <c r="B68" s="13" t="s">
        <v>39</v>
      </c>
      <c r="C68" s="13" t="s">
        <v>47</v>
      </c>
      <c r="D68" s="14" t="n">
        <v>2</v>
      </c>
      <c r="E68" s="15" t="n">
        <v>30</v>
      </c>
      <c r="F68" s="16" t="n">
        <f aca="false">IF(C68="",0,IF(COUNTIF(C$5:C68,C68)=1,1,0))</f>
        <v>0</v>
      </c>
      <c r="G68" s="16" t="n">
        <f aca="false">SUM(F$5:F68)</f>
        <v>8</v>
      </c>
      <c r="H68" s="16" t="n">
        <f aca="false">IF(B68="",0,IF(COUNTIF(B$5:B68,B68)=1,1,0))</f>
        <v>0</v>
      </c>
      <c r="I68" s="16" t="n">
        <f aca="false">SUM(H$5:H68)</f>
        <v>6</v>
      </c>
    </row>
    <row r="69" customFormat="false" ht="15" hidden="false" customHeight="false" outlineLevel="0" collapsed="false">
      <c r="A69" s="12" t="n">
        <v>46276</v>
      </c>
      <c r="B69" s="13" t="s">
        <v>39</v>
      </c>
      <c r="C69" s="13" t="s">
        <v>48</v>
      </c>
      <c r="D69" s="14" t="n">
        <v>40</v>
      </c>
      <c r="E69" s="15" t="n">
        <v>6000</v>
      </c>
      <c r="F69" s="16" t="n">
        <f aca="false">IF(C69="",0,IF(COUNTIF(C$5:C69,C69)=1,1,0))</f>
        <v>0</v>
      </c>
      <c r="G69" s="16" t="n">
        <f aca="false">SUM(F$5:F69)</f>
        <v>8</v>
      </c>
      <c r="H69" s="16" t="n">
        <f aca="false">IF(B69="",0,IF(COUNTIF(B$5:B69,B69)=1,1,0))</f>
        <v>0</v>
      </c>
      <c r="I69" s="16" t="n">
        <f aca="false">SUM(H$5:H69)</f>
        <v>6</v>
      </c>
    </row>
    <row r="70" customFormat="false" ht="15" hidden="false" customHeight="false" outlineLevel="0" collapsed="false">
      <c r="A70" s="12" t="n">
        <v>46277</v>
      </c>
      <c r="B70" s="13" t="s">
        <v>41</v>
      </c>
      <c r="C70" s="13" t="s">
        <v>47</v>
      </c>
      <c r="D70" s="14" t="n">
        <v>3</v>
      </c>
      <c r="E70" s="15" t="n">
        <v>45</v>
      </c>
      <c r="F70" s="16" t="n">
        <f aca="false">IF(C70="",0,IF(COUNTIF(C$5:C70,C70)=1,1,0))</f>
        <v>0</v>
      </c>
      <c r="G70" s="16" t="n">
        <f aca="false">SUM(F$5:F70)</f>
        <v>8</v>
      </c>
      <c r="H70" s="16" t="n">
        <f aca="false">IF(B70="",0,IF(COUNTIF(B$5:B70,B70)=1,1,0))</f>
        <v>0</v>
      </c>
      <c r="I70" s="16" t="n">
        <f aca="false">SUM(H$5:H70)</f>
        <v>6</v>
      </c>
    </row>
    <row r="71" customFormat="false" ht="15" hidden="false" customHeight="false" outlineLevel="0" collapsed="false">
      <c r="A71" s="12" t="n">
        <v>46279</v>
      </c>
      <c r="B71" s="13" t="s">
        <v>45</v>
      </c>
      <c r="C71" s="13" t="s">
        <v>48</v>
      </c>
      <c r="D71" s="14" t="n">
        <v>5</v>
      </c>
      <c r="E71" s="15" t="n">
        <v>750</v>
      </c>
      <c r="F71" s="16" t="n">
        <f aca="false">IF(C71="",0,IF(COUNTIF(C$5:C71,C71)=1,1,0))</f>
        <v>0</v>
      </c>
      <c r="G71" s="16" t="n">
        <f aca="false">SUM(F$5:F71)</f>
        <v>8</v>
      </c>
      <c r="H71" s="16" t="n">
        <f aca="false">IF(B71="",0,IF(COUNTIF(B$5:B71,B71)=1,1,0))</f>
        <v>0</v>
      </c>
      <c r="I71" s="16" t="n">
        <f aca="false">SUM(H$5:H71)</f>
        <v>6</v>
      </c>
    </row>
    <row r="72" customFormat="false" ht="15" hidden="false" customHeight="false" outlineLevel="0" collapsed="false">
      <c r="A72" s="12" t="n">
        <v>46280</v>
      </c>
      <c r="B72" s="13" t="s">
        <v>45</v>
      </c>
      <c r="C72" s="13" t="s">
        <v>50</v>
      </c>
      <c r="D72" s="14" t="n">
        <v>20</v>
      </c>
      <c r="E72" s="15" t="n">
        <v>2400</v>
      </c>
      <c r="F72" s="16" t="n">
        <f aca="false">IF(C72="",0,IF(COUNTIF(C$5:C72,C72)=1,1,0))</f>
        <v>0</v>
      </c>
      <c r="G72" s="16" t="n">
        <f aca="false">SUM(F$5:F72)</f>
        <v>8</v>
      </c>
      <c r="H72" s="16" t="n">
        <f aca="false">IF(B72="",0,IF(COUNTIF(B$5:B72,B72)=1,1,0))</f>
        <v>0</v>
      </c>
      <c r="I72" s="16" t="n">
        <f aca="false">SUM(H$5:H72)</f>
        <v>6</v>
      </c>
    </row>
    <row r="73" customFormat="false" ht="15" hidden="false" customHeight="false" outlineLevel="0" collapsed="false">
      <c r="A73" s="12" t="n">
        <v>46282</v>
      </c>
      <c r="B73" s="13" t="s">
        <v>46</v>
      </c>
      <c r="C73" s="13" t="s">
        <v>40</v>
      </c>
      <c r="D73" s="14" t="n">
        <v>3</v>
      </c>
      <c r="E73" s="15" t="n">
        <v>225</v>
      </c>
      <c r="F73" s="16" t="n">
        <f aca="false">IF(C73="",0,IF(COUNTIF(C$5:C73,C73)=1,1,0))</f>
        <v>0</v>
      </c>
      <c r="G73" s="16" t="n">
        <f aca="false">SUM(F$5:F73)</f>
        <v>8</v>
      </c>
      <c r="H73" s="16" t="n">
        <f aca="false">IF(B73="",0,IF(COUNTIF(B$5:B73,B73)=1,1,0))</f>
        <v>0</v>
      </c>
      <c r="I73" s="16" t="n">
        <f aca="false">SUM(H$5:H73)</f>
        <v>6</v>
      </c>
    </row>
    <row r="74" customFormat="false" ht="15" hidden="false" customHeight="false" outlineLevel="0" collapsed="false">
      <c r="A74" s="12" t="n">
        <v>46282</v>
      </c>
      <c r="B74" s="13" t="s">
        <v>44</v>
      </c>
      <c r="C74" s="13" t="s">
        <v>48</v>
      </c>
      <c r="D74" s="14" t="n">
        <v>1</v>
      </c>
      <c r="E74" s="15" t="n">
        <v>150</v>
      </c>
      <c r="F74" s="16" t="n">
        <f aca="false">IF(C74="",0,IF(COUNTIF(C$5:C74,C74)=1,1,0))</f>
        <v>0</v>
      </c>
      <c r="G74" s="16" t="n">
        <f aca="false">SUM(F$5:F74)</f>
        <v>8</v>
      </c>
      <c r="H74" s="16" t="n">
        <f aca="false">IF(B74="",0,IF(COUNTIF(B$5:B74,B74)=1,1,0))</f>
        <v>0</v>
      </c>
      <c r="I74" s="16" t="n">
        <f aca="false">SUM(H$5:H74)</f>
        <v>6</v>
      </c>
    </row>
    <row r="75" customFormat="false" ht="15" hidden="false" customHeight="false" outlineLevel="0" collapsed="false">
      <c r="A75" s="12" t="n">
        <v>46282</v>
      </c>
      <c r="B75" s="13" t="s">
        <v>39</v>
      </c>
      <c r="C75" s="13" t="s">
        <v>38</v>
      </c>
      <c r="D75" s="14" t="n">
        <v>5</v>
      </c>
      <c r="E75" s="15" t="n">
        <v>300</v>
      </c>
      <c r="F75" s="16" t="n">
        <f aca="false">IF(C75="",0,IF(COUNTIF(C$5:C75,C75)=1,1,0))</f>
        <v>0</v>
      </c>
      <c r="G75" s="16" t="n">
        <f aca="false">SUM(F$5:F75)</f>
        <v>8</v>
      </c>
      <c r="H75" s="16" t="n">
        <f aca="false">IF(B75="",0,IF(COUNTIF(B$5:B75,B75)=1,1,0))</f>
        <v>0</v>
      </c>
      <c r="I75" s="16" t="n">
        <f aca="false">SUM(H$5:H75)</f>
        <v>6</v>
      </c>
    </row>
    <row r="76" customFormat="false" ht="15" hidden="false" customHeight="false" outlineLevel="0" collapsed="false">
      <c r="A76" s="12" t="n">
        <v>46282</v>
      </c>
      <c r="B76" s="13" t="s">
        <v>45</v>
      </c>
      <c r="C76" s="13" t="s">
        <v>47</v>
      </c>
      <c r="D76" s="14" t="n">
        <v>2</v>
      </c>
      <c r="E76" s="15" t="n">
        <v>30</v>
      </c>
      <c r="F76" s="16" t="n">
        <f aca="false">IF(C76="",0,IF(COUNTIF(C$5:C76,C76)=1,1,0))</f>
        <v>0</v>
      </c>
      <c r="G76" s="16" t="n">
        <f aca="false">SUM(F$5:F76)</f>
        <v>8</v>
      </c>
      <c r="H76" s="16" t="n">
        <f aca="false">IF(B76="",0,IF(COUNTIF(B$5:B76,B76)=1,1,0))</f>
        <v>0</v>
      </c>
      <c r="I76" s="16" t="n">
        <f aca="false">SUM(H$5:H76)</f>
        <v>6</v>
      </c>
    </row>
    <row r="77" customFormat="false" ht="15" hidden="false" customHeight="false" outlineLevel="0" collapsed="false">
      <c r="A77" s="12" t="n">
        <v>46283</v>
      </c>
      <c r="B77" s="13" t="s">
        <v>44</v>
      </c>
      <c r="C77" s="13" t="s">
        <v>48</v>
      </c>
      <c r="D77" s="14" t="n">
        <v>5</v>
      </c>
      <c r="E77" s="15" t="n">
        <v>750</v>
      </c>
      <c r="F77" s="16" t="n">
        <f aca="false">IF(C77="",0,IF(COUNTIF(C$5:C77,C77)=1,1,0))</f>
        <v>0</v>
      </c>
      <c r="G77" s="16" t="n">
        <f aca="false">SUM(F$5:F77)</f>
        <v>8</v>
      </c>
      <c r="H77" s="16" t="n">
        <f aca="false">IF(B77="",0,IF(COUNTIF(B$5:B77,B77)=1,1,0))</f>
        <v>0</v>
      </c>
      <c r="I77" s="16" t="n">
        <f aca="false">SUM(H$5:H77)</f>
        <v>6</v>
      </c>
    </row>
    <row r="78" customFormat="false" ht="15" hidden="false" customHeight="false" outlineLevel="0" collapsed="false">
      <c r="A78" s="12" t="n">
        <v>46285</v>
      </c>
      <c r="B78" s="13" t="s">
        <v>39</v>
      </c>
      <c r="C78" s="13" t="s">
        <v>48</v>
      </c>
      <c r="D78" s="14" t="n">
        <v>3</v>
      </c>
      <c r="E78" s="15" t="n">
        <v>450</v>
      </c>
      <c r="F78" s="16" t="n">
        <f aca="false">IF(C78="",0,IF(COUNTIF(C$5:C78,C78)=1,1,0))</f>
        <v>0</v>
      </c>
      <c r="G78" s="16" t="n">
        <f aca="false">SUM(F$5:F78)</f>
        <v>8</v>
      </c>
      <c r="H78" s="16" t="n">
        <f aca="false">IF(B78="",0,IF(COUNTIF(B$5:B78,B78)=1,1,0))</f>
        <v>0</v>
      </c>
      <c r="I78" s="16" t="n">
        <f aca="false">SUM(H$5:H78)</f>
        <v>6</v>
      </c>
    </row>
    <row r="79" customFormat="false" ht="15" hidden="false" customHeight="false" outlineLevel="0" collapsed="false">
      <c r="A79" s="12" t="n">
        <v>46294</v>
      </c>
      <c r="B79" s="13" t="s">
        <v>45</v>
      </c>
      <c r="C79" s="13" t="s">
        <v>38</v>
      </c>
      <c r="D79" s="14" t="n">
        <v>10</v>
      </c>
      <c r="E79" s="15" t="n">
        <v>600</v>
      </c>
      <c r="F79" s="16" t="n">
        <f aca="false">IF(C79="",0,IF(COUNTIF(C$5:C79,C79)=1,1,0))</f>
        <v>0</v>
      </c>
      <c r="G79" s="16" t="n">
        <f aca="false">SUM(F$5:F79)</f>
        <v>8</v>
      </c>
      <c r="H79" s="16" t="n">
        <f aca="false">IF(B79="",0,IF(COUNTIF(B$5:B79,B79)=1,1,0))</f>
        <v>0</v>
      </c>
      <c r="I79" s="16" t="n">
        <f aca="false">SUM(H$5:H79)</f>
        <v>6</v>
      </c>
    </row>
    <row r="80" customFormat="false" ht="15" hidden="false" customHeight="false" outlineLevel="0" collapsed="false">
      <c r="A80" s="12" t="n">
        <v>46295</v>
      </c>
      <c r="B80" s="13" t="s">
        <v>41</v>
      </c>
      <c r="C80" s="13" t="s">
        <v>43</v>
      </c>
      <c r="D80" s="14" t="n">
        <v>40</v>
      </c>
      <c r="E80" s="15" t="n">
        <v>7600</v>
      </c>
      <c r="F80" s="16" t="n">
        <f aca="false">IF(C80="",0,IF(COUNTIF(C$5:C80,C80)=1,1,0))</f>
        <v>0</v>
      </c>
      <c r="G80" s="16" t="n">
        <f aca="false">SUM(F$5:F80)</f>
        <v>8</v>
      </c>
      <c r="H80" s="16" t="n">
        <f aca="false">IF(B80="",0,IF(COUNTIF(B$5:B80,B80)=1,1,0))</f>
        <v>0</v>
      </c>
      <c r="I80" s="16" t="n">
        <f aca="false">SUM(H$5:H80)</f>
        <v>6</v>
      </c>
    </row>
    <row r="81" customFormat="false" ht="15" hidden="false" customHeight="false" outlineLevel="0" collapsed="false">
      <c r="A81" s="12" t="n">
        <v>46295</v>
      </c>
      <c r="B81" s="13" t="s">
        <v>39</v>
      </c>
      <c r="C81" s="13" t="s">
        <v>48</v>
      </c>
      <c r="D81" s="14" t="n">
        <v>5</v>
      </c>
      <c r="E81" s="15" t="n">
        <v>750</v>
      </c>
      <c r="F81" s="16" t="n">
        <f aca="false">IF(C81="",0,IF(COUNTIF(C$5:C81,C81)=1,1,0))</f>
        <v>0</v>
      </c>
      <c r="G81" s="16" t="n">
        <f aca="false">SUM(F$5:F81)</f>
        <v>8</v>
      </c>
      <c r="H81" s="16" t="n">
        <f aca="false">IF(B81="",0,IF(COUNTIF(B$5:B81,B81)=1,1,0))</f>
        <v>0</v>
      </c>
      <c r="I81" s="16" t="n">
        <f aca="false">SUM(H$5:H81)</f>
        <v>6</v>
      </c>
    </row>
    <row r="82" customFormat="false" ht="15" hidden="false" customHeight="false" outlineLevel="0" collapsed="false">
      <c r="A82" s="12" t="n">
        <v>46297</v>
      </c>
      <c r="B82" s="13" t="s">
        <v>44</v>
      </c>
      <c r="C82" s="13" t="s">
        <v>42</v>
      </c>
      <c r="D82" s="14" t="n">
        <v>20</v>
      </c>
      <c r="E82" s="15" t="n">
        <v>7000</v>
      </c>
      <c r="F82" s="16" t="n">
        <f aca="false">IF(C82="",0,IF(COUNTIF(C$5:C82,C82)=1,1,0))</f>
        <v>0</v>
      </c>
      <c r="G82" s="16" t="n">
        <f aca="false">SUM(F$5:F82)</f>
        <v>8</v>
      </c>
      <c r="H82" s="16" t="n">
        <f aca="false">IF(B82="",0,IF(COUNTIF(B$5:B82,B82)=1,1,0))</f>
        <v>0</v>
      </c>
      <c r="I82" s="16" t="n">
        <f aca="false">SUM(H$5:H82)</f>
        <v>6</v>
      </c>
    </row>
    <row r="83" customFormat="false" ht="15" hidden="false" customHeight="false" outlineLevel="0" collapsed="false">
      <c r="A83" s="12" t="n">
        <v>46298</v>
      </c>
      <c r="B83" s="13" t="s">
        <v>44</v>
      </c>
      <c r="C83" s="13" t="s">
        <v>43</v>
      </c>
      <c r="D83" s="14" t="n">
        <v>5</v>
      </c>
      <c r="E83" s="15" t="n">
        <v>950</v>
      </c>
      <c r="F83" s="16" t="n">
        <f aca="false">IF(C83="",0,IF(COUNTIF(C$5:C83,C83)=1,1,0))</f>
        <v>0</v>
      </c>
      <c r="G83" s="16" t="n">
        <f aca="false">SUM(F$5:F83)</f>
        <v>8</v>
      </c>
      <c r="H83" s="16" t="n">
        <f aca="false">IF(B83="",0,IF(COUNTIF(B$5:B83,B83)=1,1,0))</f>
        <v>0</v>
      </c>
      <c r="I83" s="16" t="n">
        <f aca="false">SUM(H$5:H83)</f>
        <v>6</v>
      </c>
    </row>
    <row r="84" customFormat="false" ht="15" hidden="false" customHeight="false" outlineLevel="0" collapsed="false">
      <c r="A84" s="12" t="n">
        <v>46298</v>
      </c>
      <c r="B84" s="13" t="s">
        <v>39</v>
      </c>
      <c r="C84" s="13" t="s">
        <v>47</v>
      </c>
      <c r="D84" s="14" t="n">
        <v>40</v>
      </c>
      <c r="E84" s="15" t="n">
        <v>600</v>
      </c>
      <c r="F84" s="16" t="n">
        <f aca="false">IF(C84="",0,IF(COUNTIF(C$5:C84,C84)=1,1,0))</f>
        <v>0</v>
      </c>
      <c r="G84" s="16" t="n">
        <f aca="false">SUM(F$5:F84)</f>
        <v>8</v>
      </c>
      <c r="H84" s="16" t="n">
        <f aca="false">IF(B84="",0,IF(COUNTIF(B$5:B84,B84)=1,1,0))</f>
        <v>0</v>
      </c>
      <c r="I84" s="16" t="n">
        <f aca="false">SUM(H$5:H84)</f>
        <v>6</v>
      </c>
    </row>
    <row r="85" customFormat="false" ht="15" hidden="false" customHeight="false" outlineLevel="0" collapsed="false">
      <c r="A85" s="12"/>
      <c r="B85" s="13"/>
      <c r="C85" s="13"/>
      <c r="D85" s="14"/>
      <c r="E85" s="15"/>
      <c r="F85" s="16" t="n">
        <f aca="false">IF(C85="",0,IF(COUNTIF(C$5:C85,C85)=1,1,0))</f>
        <v>0</v>
      </c>
      <c r="G85" s="16" t="n">
        <f aca="false">SUM(F$5:F85)</f>
        <v>8</v>
      </c>
      <c r="H85" s="16" t="n">
        <f aca="false">IF(B85="",0,IF(COUNTIF(B$5:B85,B85)=1,1,0))</f>
        <v>0</v>
      </c>
      <c r="I85" s="16" t="n">
        <f aca="false">SUM(H$5:H85)</f>
        <v>6</v>
      </c>
    </row>
    <row r="86" customFormat="false" ht="15" hidden="false" customHeight="false" outlineLevel="0" collapsed="false">
      <c r="A86" s="12"/>
      <c r="B86" s="13"/>
      <c r="C86" s="13"/>
      <c r="D86" s="14"/>
      <c r="E86" s="15"/>
      <c r="F86" s="16" t="n">
        <f aca="false">IF(C86="",0,IF(COUNTIF(C$5:C86,C86)=1,1,0))</f>
        <v>0</v>
      </c>
      <c r="G86" s="16" t="n">
        <f aca="false">SUM(F$5:F86)</f>
        <v>8</v>
      </c>
      <c r="H86" s="16" t="n">
        <f aca="false">IF(B86="",0,IF(COUNTIF(B$5:B86,B86)=1,1,0))</f>
        <v>0</v>
      </c>
      <c r="I86" s="16" t="n">
        <f aca="false">SUM(H$5:H86)</f>
        <v>6</v>
      </c>
    </row>
    <row r="87" customFormat="false" ht="15" hidden="false" customHeight="false" outlineLevel="0" collapsed="false">
      <c r="A87" s="12"/>
      <c r="B87" s="13"/>
      <c r="C87" s="13"/>
      <c r="D87" s="14"/>
      <c r="E87" s="15"/>
      <c r="F87" s="16" t="n">
        <f aca="false">IF(C87="",0,IF(COUNTIF(C$5:C87,C87)=1,1,0))</f>
        <v>0</v>
      </c>
      <c r="G87" s="16" t="n">
        <f aca="false">SUM(F$5:F87)</f>
        <v>8</v>
      </c>
      <c r="H87" s="16" t="n">
        <f aca="false">IF(B87="",0,IF(COUNTIF(B$5:B87,B87)=1,1,0))</f>
        <v>0</v>
      </c>
      <c r="I87" s="16" t="n">
        <f aca="false">SUM(H$5:H87)</f>
        <v>6</v>
      </c>
    </row>
    <row r="88" customFormat="false" ht="15" hidden="false" customHeight="false" outlineLevel="0" collapsed="false">
      <c r="A88" s="12"/>
      <c r="B88" s="13"/>
      <c r="C88" s="13"/>
      <c r="D88" s="14"/>
      <c r="E88" s="15"/>
      <c r="F88" s="16" t="n">
        <f aca="false">IF(C88="",0,IF(COUNTIF(C$5:C88,C88)=1,1,0))</f>
        <v>0</v>
      </c>
      <c r="G88" s="16" t="n">
        <f aca="false">SUM(F$5:F88)</f>
        <v>8</v>
      </c>
      <c r="H88" s="16" t="n">
        <f aca="false">IF(B88="",0,IF(COUNTIF(B$5:B88,B88)=1,1,0))</f>
        <v>0</v>
      </c>
      <c r="I88" s="16" t="n">
        <f aca="false">SUM(H$5:H88)</f>
        <v>6</v>
      </c>
    </row>
    <row r="89" customFormat="false" ht="15" hidden="false" customHeight="false" outlineLevel="0" collapsed="false">
      <c r="A89" s="12"/>
      <c r="B89" s="13"/>
      <c r="C89" s="13"/>
      <c r="D89" s="14"/>
      <c r="E89" s="15"/>
      <c r="F89" s="16" t="n">
        <f aca="false">IF(C89="",0,IF(COUNTIF(C$5:C89,C89)=1,1,0))</f>
        <v>0</v>
      </c>
      <c r="G89" s="16" t="n">
        <f aca="false">SUM(F$5:F89)</f>
        <v>8</v>
      </c>
      <c r="H89" s="16" t="n">
        <f aca="false">IF(B89="",0,IF(COUNTIF(B$5:B89,B89)=1,1,0))</f>
        <v>0</v>
      </c>
      <c r="I89" s="16" t="n">
        <f aca="false">SUM(H$5:H89)</f>
        <v>6</v>
      </c>
    </row>
    <row r="90" customFormat="false" ht="15" hidden="false" customHeight="false" outlineLevel="0" collapsed="false">
      <c r="A90" s="12"/>
      <c r="B90" s="13"/>
      <c r="C90" s="13"/>
      <c r="D90" s="14"/>
      <c r="E90" s="15"/>
      <c r="F90" s="16" t="n">
        <f aca="false">IF(C90="",0,IF(COUNTIF(C$5:C90,C90)=1,1,0))</f>
        <v>0</v>
      </c>
      <c r="G90" s="16" t="n">
        <f aca="false">SUM(F$5:F90)</f>
        <v>8</v>
      </c>
      <c r="H90" s="16" t="n">
        <f aca="false">IF(B90="",0,IF(COUNTIF(B$5:B90,B90)=1,1,0))</f>
        <v>0</v>
      </c>
      <c r="I90" s="16" t="n">
        <f aca="false">SUM(H$5:H90)</f>
        <v>6</v>
      </c>
    </row>
    <row r="91" customFormat="false" ht="15" hidden="false" customHeight="false" outlineLevel="0" collapsed="false">
      <c r="A91" s="12"/>
      <c r="B91" s="13"/>
      <c r="C91" s="13"/>
      <c r="D91" s="14"/>
      <c r="E91" s="15"/>
      <c r="F91" s="16" t="n">
        <f aca="false">IF(C91="",0,IF(COUNTIF(C$5:C91,C91)=1,1,0))</f>
        <v>0</v>
      </c>
      <c r="G91" s="16" t="n">
        <f aca="false">SUM(F$5:F91)</f>
        <v>8</v>
      </c>
      <c r="H91" s="16" t="n">
        <f aca="false">IF(B91="",0,IF(COUNTIF(B$5:B91,B91)=1,1,0))</f>
        <v>0</v>
      </c>
      <c r="I91" s="16" t="n">
        <f aca="false">SUM(H$5:H91)</f>
        <v>6</v>
      </c>
    </row>
    <row r="92" customFormat="false" ht="15" hidden="false" customHeight="false" outlineLevel="0" collapsed="false">
      <c r="A92" s="12"/>
      <c r="B92" s="13"/>
      <c r="C92" s="13"/>
      <c r="D92" s="14"/>
      <c r="E92" s="15"/>
      <c r="F92" s="16" t="n">
        <f aca="false">IF(C92="",0,IF(COUNTIF(C$5:C92,C92)=1,1,0))</f>
        <v>0</v>
      </c>
      <c r="G92" s="16" t="n">
        <f aca="false">SUM(F$5:F92)</f>
        <v>8</v>
      </c>
      <c r="H92" s="16" t="n">
        <f aca="false">IF(B92="",0,IF(COUNTIF(B$5:B92,B92)=1,1,0))</f>
        <v>0</v>
      </c>
      <c r="I92" s="16" t="n">
        <f aca="false">SUM(H$5:H92)</f>
        <v>6</v>
      </c>
    </row>
    <row r="93" customFormat="false" ht="15" hidden="false" customHeight="false" outlineLevel="0" collapsed="false">
      <c r="A93" s="12"/>
      <c r="B93" s="13"/>
      <c r="C93" s="13"/>
      <c r="D93" s="14"/>
      <c r="E93" s="15"/>
      <c r="F93" s="16" t="n">
        <f aca="false">IF(C93="",0,IF(COUNTIF(C$5:C93,C93)=1,1,0))</f>
        <v>0</v>
      </c>
      <c r="G93" s="16" t="n">
        <f aca="false">SUM(F$5:F93)</f>
        <v>8</v>
      </c>
      <c r="H93" s="16" t="n">
        <f aca="false">IF(B93="",0,IF(COUNTIF(B$5:B93,B93)=1,1,0))</f>
        <v>0</v>
      </c>
      <c r="I93" s="16" t="n">
        <f aca="false">SUM(H$5:H93)</f>
        <v>6</v>
      </c>
    </row>
    <row r="94" customFormat="false" ht="15" hidden="false" customHeight="false" outlineLevel="0" collapsed="false">
      <c r="A94" s="12"/>
      <c r="B94" s="13"/>
      <c r="C94" s="13"/>
      <c r="D94" s="14"/>
      <c r="E94" s="15"/>
      <c r="F94" s="16" t="n">
        <f aca="false">IF(C94="",0,IF(COUNTIF(C$5:C94,C94)=1,1,0))</f>
        <v>0</v>
      </c>
      <c r="G94" s="16" t="n">
        <f aca="false">SUM(F$5:F94)</f>
        <v>8</v>
      </c>
      <c r="H94" s="16" t="n">
        <f aca="false">IF(B94="",0,IF(COUNTIF(B$5:B94,B94)=1,1,0))</f>
        <v>0</v>
      </c>
      <c r="I94" s="16" t="n">
        <f aca="false">SUM(H$5:H94)</f>
        <v>6</v>
      </c>
    </row>
    <row r="95" customFormat="false" ht="15" hidden="false" customHeight="false" outlineLevel="0" collapsed="false">
      <c r="A95" s="12"/>
      <c r="B95" s="13"/>
      <c r="C95" s="13"/>
      <c r="D95" s="14"/>
      <c r="E95" s="15"/>
      <c r="F95" s="16" t="n">
        <f aca="false">IF(C95="",0,IF(COUNTIF(C$5:C95,C95)=1,1,0))</f>
        <v>0</v>
      </c>
      <c r="G95" s="16" t="n">
        <f aca="false">SUM(F$5:F95)</f>
        <v>8</v>
      </c>
      <c r="H95" s="16" t="n">
        <f aca="false">IF(B95="",0,IF(COUNTIF(B$5:B95,B95)=1,1,0))</f>
        <v>0</v>
      </c>
      <c r="I95" s="16" t="n">
        <f aca="false">SUM(H$5:H95)</f>
        <v>6</v>
      </c>
    </row>
    <row r="96" customFormat="false" ht="15" hidden="false" customHeight="false" outlineLevel="0" collapsed="false">
      <c r="A96" s="12"/>
      <c r="B96" s="13"/>
      <c r="C96" s="13"/>
      <c r="D96" s="14"/>
      <c r="E96" s="15"/>
      <c r="F96" s="16" t="n">
        <f aca="false">IF(C96="",0,IF(COUNTIF(C$5:C96,C96)=1,1,0))</f>
        <v>0</v>
      </c>
      <c r="G96" s="16" t="n">
        <f aca="false">SUM(F$5:F96)</f>
        <v>8</v>
      </c>
      <c r="H96" s="16" t="n">
        <f aca="false">IF(B96="",0,IF(COUNTIF(B$5:B96,B96)=1,1,0))</f>
        <v>0</v>
      </c>
      <c r="I96" s="16" t="n">
        <f aca="false">SUM(H$5:H96)</f>
        <v>6</v>
      </c>
    </row>
    <row r="97" customFormat="false" ht="15" hidden="false" customHeight="false" outlineLevel="0" collapsed="false">
      <c r="A97" s="12"/>
      <c r="B97" s="13"/>
      <c r="C97" s="13"/>
      <c r="D97" s="14"/>
      <c r="E97" s="15"/>
      <c r="F97" s="16" t="n">
        <f aca="false">IF(C97="",0,IF(COUNTIF(C$5:C97,C97)=1,1,0))</f>
        <v>0</v>
      </c>
      <c r="G97" s="16" t="n">
        <f aca="false">SUM(F$5:F97)</f>
        <v>8</v>
      </c>
      <c r="H97" s="16" t="n">
        <f aca="false">IF(B97="",0,IF(COUNTIF(B$5:B97,B97)=1,1,0))</f>
        <v>0</v>
      </c>
      <c r="I97" s="16" t="n">
        <f aca="false">SUM(H$5:H97)</f>
        <v>6</v>
      </c>
    </row>
    <row r="98" customFormat="false" ht="15" hidden="false" customHeight="false" outlineLevel="0" collapsed="false">
      <c r="A98" s="12"/>
      <c r="B98" s="13"/>
      <c r="C98" s="13"/>
      <c r="D98" s="14"/>
      <c r="E98" s="15"/>
      <c r="F98" s="16" t="n">
        <f aca="false">IF(C98="",0,IF(COUNTIF(C$5:C98,C98)=1,1,0))</f>
        <v>0</v>
      </c>
      <c r="G98" s="16" t="n">
        <f aca="false">SUM(F$5:F98)</f>
        <v>8</v>
      </c>
      <c r="H98" s="16" t="n">
        <f aca="false">IF(B98="",0,IF(COUNTIF(B$5:B98,B98)=1,1,0))</f>
        <v>0</v>
      </c>
      <c r="I98" s="16" t="n">
        <f aca="false">SUM(H$5:H98)</f>
        <v>6</v>
      </c>
    </row>
    <row r="99" customFormat="false" ht="15" hidden="false" customHeight="false" outlineLevel="0" collapsed="false">
      <c r="A99" s="12"/>
      <c r="B99" s="13"/>
      <c r="C99" s="13"/>
      <c r="D99" s="14"/>
      <c r="E99" s="15"/>
      <c r="F99" s="16" t="n">
        <f aca="false">IF(C99="",0,IF(COUNTIF(C$5:C99,C99)=1,1,0))</f>
        <v>0</v>
      </c>
      <c r="G99" s="16" t="n">
        <f aca="false">SUM(F$5:F99)</f>
        <v>8</v>
      </c>
      <c r="H99" s="16" t="n">
        <f aca="false">IF(B99="",0,IF(COUNTIF(B$5:B99,B99)=1,1,0))</f>
        <v>0</v>
      </c>
      <c r="I99" s="16" t="n">
        <f aca="false">SUM(H$5:H99)</f>
        <v>6</v>
      </c>
    </row>
    <row r="100" customFormat="false" ht="15" hidden="false" customHeight="false" outlineLevel="0" collapsed="false">
      <c r="A100" s="12"/>
      <c r="B100" s="13"/>
      <c r="C100" s="13"/>
      <c r="D100" s="14"/>
      <c r="E100" s="15"/>
      <c r="F100" s="16" t="n">
        <f aca="false">IF(C100="",0,IF(COUNTIF(C$5:C100,C100)=1,1,0))</f>
        <v>0</v>
      </c>
      <c r="G100" s="16" t="n">
        <f aca="false">SUM(F$5:F100)</f>
        <v>8</v>
      </c>
      <c r="H100" s="16" t="n">
        <f aca="false">IF(B100="",0,IF(COUNTIF(B$5:B100,B100)=1,1,0))</f>
        <v>0</v>
      </c>
      <c r="I100" s="16" t="n">
        <f aca="false">SUM(H$5:H100)</f>
        <v>6</v>
      </c>
    </row>
    <row r="101" customFormat="false" ht="15" hidden="false" customHeight="false" outlineLevel="0" collapsed="false">
      <c r="A101" s="12"/>
      <c r="B101" s="13"/>
      <c r="C101" s="13"/>
      <c r="D101" s="14"/>
      <c r="E101" s="15"/>
      <c r="F101" s="16" t="n">
        <f aca="false">IF(C101="",0,IF(COUNTIF(C$5:C101,C101)=1,1,0))</f>
        <v>0</v>
      </c>
      <c r="G101" s="16" t="n">
        <f aca="false">SUM(F$5:F101)</f>
        <v>8</v>
      </c>
      <c r="H101" s="16" t="n">
        <f aca="false">IF(B101="",0,IF(COUNTIF(B$5:B101,B101)=1,1,0))</f>
        <v>0</v>
      </c>
      <c r="I101" s="16" t="n">
        <f aca="false">SUM(H$5:H101)</f>
        <v>6</v>
      </c>
    </row>
    <row r="102" customFormat="false" ht="15" hidden="false" customHeight="false" outlineLevel="0" collapsed="false">
      <c r="A102" s="12"/>
      <c r="B102" s="13"/>
      <c r="C102" s="13"/>
      <c r="D102" s="14"/>
      <c r="E102" s="15"/>
      <c r="F102" s="16" t="n">
        <f aca="false">IF(C102="",0,IF(COUNTIF(C$5:C102,C102)=1,1,0))</f>
        <v>0</v>
      </c>
      <c r="G102" s="16" t="n">
        <f aca="false">SUM(F$5:F102)</f>
        <v>8</v>
      </c>
      <c r="H102" s="16" t="n">
        <f aca="false">IF(B102="",0,IF(COUNTIF(B$5:B102,B102)=1,1,0))</f>
        <v>0</v>
      </c>
      <c r="I102" s="16" t="n">
        <f aca="false">SUM(H$5:H102)</f>
        <v>6</v>
      </c>
    </row>
    <row r="103" customFormat="false" ht="15" hidden="false" customHeight="false" outlineLevel="0" collapsed="false">
      <c r="A103" s="12"/>
      <c r="B103" s="13"/>
      <c r="C103" s="13"/>
      <c r="D103" s="14"/>
      <c r="E103" s="15"/>
      <c r="F103" s="16" t="n">
        <f aca="false">IF(C103="",0,IF(COUNTIF(C$5:C103,C103)=1,1,0))</f>
        <v>0</v>
      </c>
      <c r="G103" s="16" t="n">
        <f aca="false">SUM(F$5:F103)</f>
        <v>8</v>
      </c>
      <c r="H103" s="16" t="n">
        <f aca="false">IF(B103="",0,IF(COUNTIF(B$5:B103,B103)=1,1,0))</f>
        <v>0</v>
      </c>
      <c r="I103" s="16" t="n">
        <f aca="false">SUM(H$5:H103)</f>
        <v>6</v>
      </c>
    </row>
    <row r="104" customFormat="false" ht="15" hidden="false" customHeight="false" outlineLevel="0" collapsed="false">
      <c r="A104" s="12"/>
      <c r="B104" s="13"/>
      <c r="C104" s="13"/>
      <c r="D104" s="14"/>
      <c r="E104" s="15"/>
      <c r="F104" s="16" t="n">
        <f aca="false">IF(C104="",0,IF(COUNTIF(C$5:C104,C104)=1,1,0))</f>
        <v>0</v>
      </c>
      <c r="G104" s="16" t="n">
        <f aca="false">SUM(F$5:F104)</f>
        <v>8</v>
      </c>
      <c r="H104" s="16" t="n">
        <f aca="false">IF(B104="",0,IF(COUNTIF(B$5:B104,B104)=1,1,0))</f>
        <v>0</v>
      </c>
      <c r="I104" s="16" t="n">
        <f aca="false">SUM(H$5:H104)</f>
        <v>6</v>
      </c>
    </row>
    <row r="105" customFormat="false" ht="15" hidden="false" customHeight="false" outlineLevel="0" collapsed="false">
      <c r="A105" s="12"/>
      <c r="B105" s="13"/>
      <c r="C105" s="13"/>
      <c r="D105" s="14"/>
      <c r="E105" s="15"/>
      <c r="F105" s="16" t="n">
        <f aca="false">IF(C105="",0,IF(COUNTIF(C$5:C105,C105)=1,1,0))</f>
        <v>0</v>
      </c>
      <c r="G105" s="16" t="n">
        <f aca="false">SUM(F$5:F105)</f>
        <v>8</v>
      </c>
      <c r="H105" s="16" t="n">
        <f aca="false">IF(B105="",0,IF(COUNTIF(B$5:B105,B105)=1,1,0))</f>
        <v>0</v>
      </c>
      <c r="I105" s="16" t="n">
        <f aca="false">SUM(H$5:H105)</f>
        <v>6</v>
      </c>
    </row>
    <row r="106" customFormat="false" ht="15" hidden="false" customHeight="false" outlineLevel="0" collapsed="false">
      <c r="A106" s="12"/>
      <c r="B106" s="13"/>
      <c r="C106" s="13"/>
      <c r="D106" s="14"/>
      <c r="E106" s="15"/>
      <c r="F106" s="16" t="n">
        <f aca="false">IF(C106="",0,IF(COUNTIF(C$5:C106,C106)=1,1,0))</f>
        <v>0</v>
      </c>
      <c r="G106" s="16" t="n">
        <f aca="false">SUM(F$5:F106)</f>
        <v>8</v>
      </c>
      <c r="H106" s="16" t="n">
        <f aca="false">IF(B106="",0,IF(COUNTIF(B$5:B106,B106)=1,1,0))</f>
        <v>0</v>
      </c>
      <c r="I106" s="16" t="n">
        <f aca="false">SUM(H$5:H106)</f>
        <v>6</v>
      </c>
    </row>
    <row r="107" customFormat="false" ht="15" hidden="false" customHeight="false" outlineLevel="0" collapsed="false">
      <c r="A107" s="12"/>
      <c r="B107" s="13"/>
      <c r="C107" s="13"/>
      <c r="D107" s="14"/>
      <c r="E107" s="15"/>
      <c r="F107" s="16" t="n">
        <f aca="false">IF(C107="",0,IF(COUNTIF(C$5:C107,C107)=1,1,0))</f>
        <v>0</v>
      </c>
      <c r="G107" s="16" t="n">
        <f aca="false">SUM(F$5:F107)</f>
        <v>8</v>
      </c>
      <c r="H107" s="16" t="n">
        <f aca="false">IF(B107="",0,IF(COUNTIF(B$5:B107,B107)=1,1,0))</f>
        <v>0</v>
      </c>
      <c r="I107" s="16" t="n">
        <f aca="false">SUM(H$5:H107)</f>
        <v>6</v>
      </c>
    </row>
    <row r="108" customFormat="false" ht="15" hidden="false" customHeight="false" outlineLevel="0" collapsed="false">
      <c r="A108" s="12"/>
      <c r="B108" s="13"/>
      <c r="C108" s="13"/>
      <c r="D108" s="14"/>
      <c r="E108" s="15"/>
      <c r="F108" s="16" t="n">
        <f aca="false">IF(C108="",0,IF(COUNTIF(C$5:C108,C108)=1,1,0))</f>
        <v>0</v>
      </c>
      <c r="G108" s="16" t="n">
        <f aca="false">SUM(F$5:F108)</f>
        <v>8</v>
      </c>
      <c r="H108" s="16" t="n">
        <f aca="false">IF(B108="",0,IF(COUNTIF(B$5:B108,B108)=1,1,0))</f>
        <v>0</v>
      </c>
      <c r="I108" s="16" t="n">
        <f aca="false">SUM(H$5:H108)</f>
        <v>6</v>
      </c>
    </row>
    <row r="109" customFormat="false" ht="15" hidden="false" customHeight="false" outlineLevel="0" collapsed="false">
      <c r="A109" s="12"/>
      <c r="B109" s="13"/>
      <c r="C109" s="13"/>
      <c r="D109" s="14"/>
      <c r="E109" s="15"/>
      <c r="F109" s="16" t="n">
        <f aca="false">IF(C109="",0,IF(COUNTIF(C$5:C109,C109)=1,1,0))</f>
        <v>0</v>
      </c>
      <c r="G109" s="16" t="n">
        <f aca="false">SUM(F$5:F109)</f>
        <v>8</v>
      </c>
      <c r="H109" s="16" t="n">
        <f aca="false">IF(B109="",0,IF(COUNTIF(B$5:B109,B109)=1,1,0))</f>
        <v>0</v>
      </c>
      <c r="I109" s="16" t="n">
        <f aca="false">SUM(H$5:H109)</f>
        <v>6</v>
      </c>
    </row>
    <row r="110" customFormat="false" ht="15" hidden="false" customHeight="false" outlineLevel="0" collapsed="false">
      <c r="A110" s="12"/>
      <c r="B110" s="13"/>
      <c r="C110" s="13"/>
      <c r="D110" s="14"/>
      <c r="E110" s="15"/>
      <c r="F110" s="16" t="n">
        <f aca="false">IF(C110="",0,IF(COUNTIF(C$5:C110,C110)=1,1,0))</f>
        <v>0</v>
      </c>
      <c r="G110" s="16" t="n">
        <f aca="false">SUM(F$5:F110)</f>
        <v>8</v>
      </c>
      <c r="H110" s="16" t="n">
        <f aca="false">IF(B110="",0,IF(COUNTIF(B$5:B110,B110)=1,1,0))</f>
        <v>0</v>
      </c>
      <c r="I110" s="16" t="n">
        <f aca="false">SUM(H$5:H110)</f>
        <v>6</v>
      </c>
    </row>
    <row r="111" customFormat="false" ht="15" hidden="false" customHeight="false" outlineLevel="0" collapsed="false">
      <c r="A111" s="12"/>
      <c r="B111" s="13"/>
      <c r="C111" s="13"/>
      <c r="D111" s="14"/>
      <c r="E111" s="15"/>
      <c r="F111" s="16" t="n">
        <f aca="false">IF(C111="",0,IF(COUNTIF(C$5:C111,C111)=1,1,0))</f>
        <v>0</v>
      </c>
      <c r="G111" s="16" t="n">
        <f aca="false">SUM(F$5:F111)</f>
        <v>8</v>
      </c>
      <c r="H111" s="16" t="n">
        <f aca="false">IF(B111="",0,IF(COUNTIF(B$5:B111,B111)=1,1,0))</f>
        <v>0</v>
      </c>
      <c r="I111" s="16" t="n">
        <f aca="false">SUM(H$5:H111)</f>
        <v>6</v>
      </c>
    </row>
    <row r="112" customFormat="false" ht="15" hidden="false" customHeight="false" outlineLevel="0" collapsed="false">
      <c r="A112" s="12"/>
      <c r="B112" s="13"/>
      <c r="C112" s="13"/>
      <c r="D112" s="14"/>
      <c r="E112" s="15"/>
      <c r="F112" s="16" t="n">
        <f aca="false">IF(C112="",0,IF(COUNTIF(C$5:C112,C112)=1,1,0))</f>
        <v>0</v>
      </c>
      <c r="G112" s="16" t="n">
        <f aca="false">SUM(F$5:F112)</f>
        <v>8</v>
      </c>
      <c r="H112" s="16" t="n">
        <f aca="false">IF(B112="",0,IF(COUNTIF(B$5:B112,B112)=1,1,0))</f>
        <v>0</v>
      </c>
      <c r="I112" s="16" t="n">
        <f aca="false">SUM(H$5:H112)</f>
        <v>6</v>
      </c>
    </row>
    <row r="113" customFormat="false" ht="15" hidden="false" customHeight="false" outlineLevel="0" collapsed="false">
      <c r="A113" s="12"/>
      <c r="B113" s="13"/>
      <c r="C113" s="13"/>
      <c r="D113" s="14"/>
      <c r="E113" s="15"/>
      <c r="F113" s="16" t="n">
        <f aca="false">IF(C113="",0,IF(COUNTIF(C$5:C113,C113)=1,1,0))</f>
        <v>0</v>
      </c>
      <c r="G113" s="16" t="n">
        <f aca="false">SUM(F$5:F113)</f>
        <v>8</v>
      </c>
      <c r="H113" s="16" t="n">
        <f aca="false">IF(B113="",0,IF(COUNTIF(B$5:B113,B113)=1,1,0))</f>
        <v>0</v>
      </c>
      <c r="I113" s="16" t="n">
        <f aca="false">SUM(H$5:H113)</f>
        <v>6</v>
      </c>
    </row>
    <row r="114" customFormat="false" ht="15" hidden="false" customHeight="false" outlineLevel="0" collapsed="false">
      <c r="A114" s="12"/>
      <c r="B114" s="13"/>
      <c r="C114" s="13"/>
      <c r="D114" s="14"/>
      <c r="E114" s="15"/>
      <c r="F114" s="16" t="n">
        <f aca="false">IF(C114="",0,IF(COUNTIF(C$5:C114,C114)=1,1,0))</f>
        <v>0</v>
      </c>
      <c r="G114" s="16" t="n">
        <f aca="false">SUM(F$5:F114)</f>
        <v>8</v>
      </c>
      <c r="H114" s="16" t="n">
        <f aca="false">IF(B114="",0,IF(COUNTIF(B$5:B114,B114)=1,1,0))</f>
        <v>0</v>
      </c>
      <c r="I114" s="16" t="n">
        <f aca="false">SUM(H$5:H114)</f>
        <v>6</v>
      </c>
    </row>
    <row r="115" customFormat="false" ht="15" hidden="false" customHeight="false" outlineLevel="0" collapsed="false">
      <c r="A115" s="12"/>
      <c r="B115" s="13"/>
      <c r="C115" s="13"/>
      <c r="D115" s="14"/>
      <c r="E115" s="15"/>
      <c r="F115" s="16" t="n">
        <f aca="false">IF(C115="",0,IF(COUNTIF(C$5:C115,C115)=1,1,0))</f>
        <v>0</v>
      </c>
      <c r="G115" s="16" t="n">
        <f aca="false">SUM(F$5:F115)</f>
        <v>8</v>
      </c>
      <c r="H115" s="16" t="n">
        <f aca="false">IF(B115="",0,IF(COUNTIF(B$5:B115,B115)=1,1,0))</f>
        <v>0</v>
      </c>
      <c r="I115" s="16" t="n">
        <f aca="false">SUM(H$5:H115)</f>
        <v>6</v>
      </c>
    </row>
    <row r="116" customFormat="false" ht="15" hidden="false" customHeight="false" outlineLevel="0" collapsed="false">
      <c r="A116" s="12"/>
      <c r="B116" s="13"/>
      <c r="C116" s="13"/>
      <c r="D116" s="14"/>
      <c r="E116" s="15"/>
      <c r="F116" s="16" t="n">
        <f aca="false">IF(C116="",0,IF(COUNTIF(C$5:C116,C116)=1,1,0))</f>
        <v>0</v>
      </c>
      <c r="G116" s="16" t="n">
        <f aca="false">SUM(F$5:F116)</f>
        <v>8</v>
      </c>
      <c r="H116" s="16" t="n">
        <f aca="false">IF(B116="",0,IF(COUNTIF(B$5:B116,B116)=1,1,0))</f>
        <v>0</v>
      </c>
      <c r="I116" s="16" t="n">
        <f aca="false">SUM(H$5:H116)</f>
        <v>6</v>
      </c>
    </row>
    <row r="117" customFormat="false" ht="15" hidden="false" customHeight="false" outlineLevel="0" collapsed="false">
      <c r="A117" s="12"/>
      <c r="B117" s="13"/>
      <c r="C117" s="13"/>
      <c r="D117" s="14"/>
      <c r="E117" s="15"/>
      <c r="F117" s="16" t="n">
        <f aca="false">IF(C117="",0,IF(COUNTIF(C$5:C117,C117)=1,1,0))</f>
        <v>0</v>
      </c>
      <c r="G117" s="16" t="n">
        <f aca="false">SUM(F$5:F117)</f>
        <v>8</v>
      </c>
      <c r="H117" s="16" t="n">
        <f aca="false">IF(B117="",0,IF(COUNTIF(B$5:B117,B117)=1,1,0))</f>
        <v>0</v>
      </c>
      <c r="I117" s="16" t="n">
        <f aca="false">SUM(H$5:H117)</f>
        <v>6</v>
      </c>
    </row>
    <row r="118" customFormat="false" ht="15" hidden="false" customHeight="false" outlineLevel="0" collapsed="false">
      <c r="A118" s="12"/>
      <c r="B118" s="13"/>
      <c r="C118" s="13"/>
      <c r="D118" s="14"/>
      <c r="E118" s="15"/>
      <c r="F118" s="16" t="n">
        <f aca="false">IF(C118="",0,IF(COUNTIF(C$5:C118,C118)=1,1,0))</f>
        <v>0</v>
      </c>
      <c r="G118" s="16" t="n">
        <f aca="false">SUM(F$5:F118)</f>
        <v>8</v>
      </c>
      <c r="H118" s="16" t="n">
        <f aca="false">IF(B118="",0,IF(COUNTIF(B$5:B118,B118)=1,1,0))</f>
        <v>0</v>
      </c>
      <c r="I118" s="16" t="n">
        <f aca="false">SUM(H$5:H118)</f>
        <v>6</v>
      </c>
    </row>
    <row r="119" customFormat="false" ht="15" hidden="false" customHeight="false" outlineLevel="0" collapsed="false">
      <c r="A119" s="12"/>
      <c r="B119" s="13"/>
      <c r="C119" s="13"/>
      <c r="D119" s="14"/>
      <c r="E119" s="15"/>
      <c r="F119" s="16" t="n">
        <f aca="false">IF(C119="",0,IF(COUNTIF(C$5:C119,C119)=1,1,0))</f>
        <v>0</v>
      </c>
      <c r="G119" s="16" t="n">
        <f aca="false">SUM(F$5:F119)</f>
        <v>8</v>
      </c>
      <c r="H119" s="16" t="n">
        <f aca="false">IF(B119="",0,IF(COUNTIF(B$5:B119,B119)=1,1,0))</f>
        <v>0</v>
      </c>
      <c r="I119" s="16" t="n">
        <f aca="false">SUM(H$5:H119)</f>
        <v>6</v>
      </c>
    </row>
    <row r="120" customFormat="false" ht="15" hidden="false" customHeight="false" outlineLevel="0" collapsed="false">
      <c r="A120" s="12"/>
      <c r="B120" s="13"/>
      <c r="C120" s="13"/>
      <c r="D120" s="14"/>
      <c r="E120" s="15"/>
      <c r="F120" s="16" t="n">
        <f aca="false">IF(C120="",0,IF(COUNTIF(C$5:C120,C120)=1,1,0))</f>
        <v>0</v>
      </c>
      <c r="G120" s="16" t="n">
        <f aca="false">SUM(F$5:F120)</f>
        <v>8</v>
      </c>
      <c r="H120" s="16" t="n">
        <f aca="false">IF(B120="",0,IF(COUNTIF(B$5:B120,B120)=1,1,0))</f>
        <v>0</v>
      </c>
      <c r="I120" s="16" t="n">
        <f aca="false">SUM(H$5:H120)</f>
        <v>6</v>
      </c>
    </row>
    <row r="121" customFormat="false" ht="15" hidden="false" customHeight="false" outlineLevel="0" collapsed="false">
      <c r="A121" s="12"/>
      <c r="B121" s="13"/>
      <c r="C121" s="13"/>
      <c r="D121" s="14"/>
      <c r="E121" s="15"/>
      <c r="F121" s="16" t="n">
        <f aca="false">IF(C121="",0,IF(COUNTIF(C$5:C121,C121)=1,1,0))</f>
        <v>0</v>
      </c>
      <c r="G121" s="16" t="n">
        <f aca="false">SUM(F$5:F121)</f>
        <v>8</v>
      </c>
      <c r="H121" s="16" t="n">
        <f aca="false">IF(B121="",0,IF(COUNTIF(B$5:B121,B121)=1,1,0))</f>
        <v>0</v>
      </c>
      <c r="I121" s="16" t="n">
        <f aca="false">SUM(H$5:H121)</f>
        <v>6</v>
      </c>
    </row>
    <row r="122" customFormat="false" ht="15" hidden="false" customHeight="false" outlineLevel="0" collapsed="false">
      <c r="A122" s="12"/>
      <c r="B122" s="13"/>
      <c r="C122" s="13"/>
      <c r="D122" s="14"/>
      <c r="E122" s="15"/>
      <c r="F122" s="16" t="n">
        <f aca="false">IF(C122="",0,IF(COUNTIF(C$5:C122,C122)=1,1,0))</f>
        <v>0</v>
      </c>
      <c r="G122" s="16" t="n">
        <f aca="false">SUM(F$5:F122)</f>
        <v>8</v>
      </c>
      <c r="H122" s="16" t="n">
        <f aca="false">IF(B122="",0,IF(COUNTIF(B$5:B122,B122)=1,1,0))</f>
        <v>0</v>
      </c>
      <c r="I122" s="16" t="n">
        <f aca="false">SUM(H$5:H122)</f>
        <v>6</v>
      </c>
    </row>
    <row r="123" customFormat="false" ht="15" hidden="false" customHeight="false" outlineLevel="0" collapsed="false">
      <c r="A123" s="12"/>
      <c r="B123" s="13"/>
      <c r="C123" s="13"/>
      <c r="D123" s="14"/>
      <c r="E123" s="15"/>
      <c r="F123" s="16" t="n">
        <f aca="false">IF(C123="",0,IF(COUNTIF(C$5:C123,C123)=1,1,0))</f>
        <v>0</v>
      </c>
      <c r="G123" s="16" t="n">
        <f aca="false">SUM(F$5:F123)</f>
        <v>8</v>
      </c>
      <c r="H123" s="16" t="n">
        <f aca="false">IF(B123="",0,IF(COUNTIF(B$5:B123,B123)=1,1,0))</f>
        <v>0</v>
      </c>
      <c r="I123" s="16" t="n">
        <f aca="false">SUM(H$5:H123)</f>
        <v>6</v>
      </c>
    </row>
    <row r="124" customFormat="false" ht="15" hidden="false" customHeight="false" outlineLevel="0" collapsed="false">
      <c r="A124" s="12"/>
      <c r="B124" s="13"/>
      <c r="C124" s="13"/>
      <c r="D124" s="14"/>
      <c r="E124" s="15"/>
      <c r="F124" s="16" t="n">
        <f aca="false">IF(C124="",0,IF(COUNTIF(C$5:C124,C124)=1,1,0))</f>
        <v>0</v>
      </c>
      <c r="G124" s="16" t="n">
        <f aca="false">SUM(F$5:F124)</f>
        <v>8</v>
      </c>
      <c r="H124" s="16" t="n">
        <f aca="false">IF(B124="",0,IF(COUNTIF(B$5:B124,B124)=1,1,0))</f>
        <v>0</v>
      </c>
      <c r="I124" s="16" t="n">
        <f aca="false">SUM(H$5:H124)</f>
        <v>6</v>
      </c>
    </row>
    <row r="125" customFormat="false" ht="15" hidden="false" customHeight="false" outlineLevel="0" collapsed="false">
      <c r="A125" s="12"/>
      <c r="B125" s="13"/>
      <c r="C125" s="13"/>
      <c r="D125" s="14"/>
      <c r="E125" s="15"/>
      <c r="F125" s="16" t="n">
        <f aca="false">IF(C125="",0,IF(COUNTIF(C$5:C125,C125)=1,1,0))</f>
        <v>0</v>
      </c>
      <c r="G125" s="16" t="n">
        <f aca="false">SUM(F$5:F125)</f>
        <v>8</v>
      </c>
      <c r="H125" s="16" t="n">
        <f aca="false">IF(B125="",0,IF(COUNTIF(B$5:B125,B125)=1,1,0))</f>
        <v>0</v>
      </c>
      <c r="I125" s="16" t="n">
        <f aca="false">SUM(H$5:H125)</f>
        <v>6</v>
      </c>
    </row>
    <row r="126" customFormat="false" ht="15" hidden="false" customHeight="false" outlineLevel="0" collapsed="false">
      <c r="A126" s="12"/>
      <c r="B126" s="13"/>
      <c r="C126" s="13"/>
      <c r="D126" s="14"/>
      <c r="E126" s="15"/>
      <c r="F126" s="16" t="n">
        <f aca="false">IF(C126="",0,IF(COUNTIF(C$5:C126,C126)=1,1,0))</f>
        <v>0</v>
      </c>
      <c r="G126" s="16" t="n">
        <f aca="false">SUM(F$5:F126)</f>
        <v>8</v>
      </c>
      <c r="H126" s="16" t="n">
        <f aca="false">IF(B126="",0,IF(COUNTIF(B$5:B126,B126)=1,1,0))</f>
        <v>0</v>
      </c>
      <c r="I126" s="16" t="n">
        <f aca="false">SUM(H$5:H126)</f>
        <v>6</v>
      </c>
    </row>
    <row r="127" customFormat="false" ht="15" hidden="false" customHeight="false" outlineLevel="0" collapsed="false">
      <c r="A127" s="12"/>
      <c r="B127" s="13"/>
      <c r="C127" s="13"/>
      <c r="D127" s="14"/>
      <c r="E127" s="15"/>
      <c r="F127" s="16" t="n">
        <f aca="false">IF(C127="",0,IF(COUNTIF(C$5:C127,C127)=1,1,0))</f>
        <v>0</v>
      </c>
      <c r="G127" s="16" t="n">
        <f aca="false">SUM(F$5:F127)</f>
        <v>8</v>
      </c>
      <c r="H127" s="16" t="n">
        <f aca="false">IF(B127="",0,IF(COUNTIF(B$5:B127,B127)=1,1,0))</f>
        <v>0</v>
      </c>
      <c r="I127" s="16" t="n">
        <f aca="false">SUM(H$5:H127)</f>
        <v>6</v>
      </c>
    </row>
    <row r="128" customFormat="false" ht="15" hidden="false" customHeight="false" outlineLevel="0" collapsed="false">
      <c r="A128" s="12"/>
      <c r="B128" s="13"/>
      <c r="C128" s="13"/>
      <c r="D128" s="14"/>
      <c r="E128" s="15"/>
      <c r="F128" s="16" t="n">
        <f aca="false">IF(C128="",0,IF(COUNTIF(C$5:C128,C128)=1,1,0))</f>
        <v>0</v>
      </c>
      <c r="G128" s="16" t="n">
        <f aca="false">SUM(F$5:F128)</f>
        <v>8</v>
      </c>
      <c r="H128" s="16" t="n">
        <f aca="false">IF(B128="",0,IF(COUNTIF(B$5:B128,B128)=1,1,0))</f>
        <v>0</v>
      </c>
      <c r="I128" s="16" t="n">
        <f aca="false">SUM(H$5:H128)</f>
        <v>6</v>
      </c>
    </row>
    <row r="129" customFormat="false" ht="15" hidden="false" customHeight="false" outlineLevel="0" collapsed="false">
      <c r="A129" s="12"/>
      <c r="B129" s="13"/>
      <c r="C129" s="13"/>
      <c r="D129" s="14"/>
      <c r="E129" s="15"/>
      <c r="F129" s="16" t="n">
        <f aca="false">IF(C129="",0,IF(COUNTIF(C$5:C129,C129)=1,1,0))</f>
        <v>0</v>
      </c>
      <c r="G129" s="16" t="n">
        <f aca="false">SUM(F$5:F129)</f>
        <v>8</v>
      </c>
      <c r="H129" s="16" t="n">
        <f aca="false">IF(B129="",0,IF(COUNTIF(B$5:B129,B129)=1,1,0))</f>
        <v>0</v>
      </c>
      <c r="I129" s="16" t="n">
        <f aca="false">SUM(H$5:H129)</f>
        <v>6</v>
      </c>
    </row>
    <row r="130" customFormat="false" ht="15" hidden="false" customHeight="false" outlineLevel="0" collapsed="false">
      <c r="A130" s="12"/>
      <c r="B130" s="13"/>
      <c r="C130" s="13"/>
      <c r="D130" s="14"/>
      <c r="E130" s="15"/>
      <c r="F130" s="16" t="n">
        <f aca="false">IF(C130="",0,IF(COUNTIF(C$5:C130,C130)=1,1,0))</f>
        <v>0</v>
      </c>
      <c r="G130" s="16" t="n">
        <f aca="false">SUM(F$5:F130)</f>
        <v>8</v>
      </c>
      <c r="H130" s="16" t="n">
        <f aca="false">IF(B130="",0,IF(COUNTIF(B$5:B130,B130)=1,1,0))</f>
        <v>0</v>
      </c>
      <c r="I130" s="16" t="n">
        <f aca="false">SUM(H$5:H130)</f>
        <v>6</v>
      </c>
    </row>
    <row r="131" customFormat="false" ht="15" hidden="false" customHeight="false" outlineLevel="0" collapsed="false">
      <c r="A131" s="12"/>
      <c r="B131" s="13"/>
      <c r="C131" s="13"/>
      <c r="D131" s="14"/>
      <c r="E131" s="15"/>
      <c r="F131" s="16" t="n">
        <f aca="false">IF(C131="",0,IF(COUNTIF(C$5:C131,C131)=1,1,0))</f>
        <v>0</v>
      </c>
      <c r="G131" s="16" t="n">
        <f aca="false">SUM(F$5:F131)</f>
        <v>8</v>
      </c>
      <c r="H131" s="16" t="n">
        <f aca="false">IF(B131="",0,IF(COUNTIF(B$5:B131,B131)=1,1,0))</f>
        <v>0</v>
      </c>
      <c r="I131" s="16" t="n">
        <f aca="false">SUM(H$5:H131)</f>
        <v>6</v>
      </c>
    </row>
    <row r="132" customFormat="false" ht="15" hidden="false" customHeight="false" outlineLevel="0" collapsed="false">
      <c r="A132" s="12"/>
      <c r="B132" s="13"/>
      <c r="C132" s="13"/>
      <c r="D132" s="14"/>
      <c r="E132" s="15"/>
      <c r="F132" s="16" t="n">
        <f aca="false">IF(C132="",0,IF(COUNTIF(C$5:C132,C132)=1,1,0))</f>
        <v>0</v>
      </c>
      <c r="G132" s="16" t="n">
        <f aca="false">SUM(F$5:F132)</f>
        <v>8</v>
      </c>
      <c r="H132" s="16" t="n">
        <f aca="false">IF(B132="",0,IF(COUNTIF(B$5:B132,B132)=1,1,0))</f>
        <v>0</v>
      </c>
      <c r="I132" s="16" t="n">
        <f aca="false">SUM(H$5:H132)</f>
        <v>6</v>
      </c>
    </row>
    <row r="133" customFormat="false" ht="15" hidden="false" customHeight="false" outlineLevel="0" collapsed="false">
      <c r="A133" s="12"/>
      <c r="B133" s="13"/>
      <c r="C133" s="13"/>
      <c r="D133" s="14"/>
      <c r="E133" s="15"/>
      <c r="F133" s="16" t="n">
        <f aca="false">IF(C133="",0,IF(COUNTIF(C$5:C133,C133)=1,1,0))</f>
        <v>0</v>
      </c>
      <c r="G133" s="16" t="n">
        <f aca="false">SUM(F$5:F133)</f>
        <v>8</v>
      </c>
      <c r="H133" s="16" t="n">
        <f aca="false">IF(B133="",0,IF(COUNTIF(B$5:B133,B133)=1,1,0))</f>
        <v>0</v>
      </c>
      <c r="I133" s="16" t="n">
        <f aca="false">SUM(H$5:H133)</f>
        <v>6</v>
      </c>
    </row>
    <row r="134" customFormat="false" ht="15" hidden="false" customHeight="false" outlineLevel="0" collapsed="false">
      <c r="A134" s="12"/>
      <c r="B134" s="13"/>
      <c r="C134" s="13"/>
      <c r="D134" s="14"/>
      <c r="E134" s="15"/>
      <c r="F134" s="16" t="n">
        <f aca="false">IF(C134="",0,IF(COUNTIF(C$5:C134,C134)=1,1,0))</f>
        <v>0</v>
      </c>
      <c r="G134" s="16" t="n">
        <f aca="false">SUM(F$5:F134)</f>
        <v>8</v>
      </c>
      <c r="H134" s="16" t="n">
        <f aca="false">IF(B134="",0,IF(COUNTIF(B$5:B134,B134)=1,1,0))</f>
        <v>0</v>
      </c>
      <c r="I134" s="16" t="n">
        <f aca="false">SUM(H$5:H134)</f>
        <v>6</v>
      </c>
    </row>
    <row r="135" customFormat="false" ht="15" hidden="false" customHeight="false" outlineLevel="0" collapsed="false">
      <c r="A135" s="12"/>
      <c r="B135" s="13"/>
      <c r="C135" s="13"/>
      <c r="D135" s="14"/>
      <c r="E135" s="15"/>
      <c r="F135" s="16" t="n">
        <f aca="false">IF(C135="",0,IF(COUNTIF(C$5:C135,C135)=1,1,0))</f>
        <v>0</v>
      </c>
      <c r="G135" s="16" t="n">
        <f aca="false">SUM(F$5:F135)</f>
        <v>8</v>
      </c>
      <c r="H135" s="16" t="n">
        <f aca="false">IF(B135="",0,IF(COUNTIF(B$5:B135,B135)=1,1,0))</f>
        <v>0</v>
      </c>
      <c r="I135" s="16" t="n">
        <f aca="false">SUM(H$5:H135)</f>
        <v>6</v>
      </c>
    </row>
    <row r="136" customFormat="false" ht="15" hidden="false" customHeight="false" outlineLevel="0" collapsed="false">
      <c r="A136" s="12"/>
      <c r="B136" s="13"/>
      <c r="C136" s="13"/>
      <c r="D136" s="14"/>
      <c r="E136" s="15"/>
      <c r="F136" s="16" t="n">
        <f aca="false">IF(C136="",0,IF(COUNTIF(C$5:C136,C136)=1,1,0))</f>
        <v>0</v>
      </c>
      <c r="G136" s="16" t="n">
        <f aca="false">SUM(F$5:F136)</f>
        <v>8</v>
      </c>
      <c r="H136" s="16" t="n">
        <f aca="false">IF(B136="",0,IF(COUNTIF(B$5:B136,B136)=1,1,0))</f>
        <v>0</v>
      </c>
      <c r="I136" s="16" t="n">
        <f aca="false">SUM(H$5:H136)</f>
        <v>6</v>
      </c>
    </row>
    <row r="137" customFormat="false" ht="15" hidden="false" customHeight="false" outlineLevel="0" collapsed="false">
      <c r="A137" s="12"/>
      <c r="B137" s="13"/>
      <c r="C137" s="13"/>
      <c r="D137" s="14"/>
      <c r="E137" s="15"/>
      <c r="F137" s="16" t="n">
        <f aca="false">IF(C137="",0,IF(COUNTIF(C$5:C137,C137)=1,1,0))</f>
        <v>0</v>
      </c>
      <c r="G137" s="16" t="n">
        <f aca="false">SUM(F$5:F137)</f>
        <v>8</v>
      </c>
      <c r="H137" s="16" t="n">
        <f aca="false">IF(B137="",0,IF(COUNTIF(B$5:B137,B137)=1,1,0))</f>
        <v>0</v>
      </c>
      <c r="I137" s="16" t="n">
        <f aca="false">SUM(H$5:H137)</f>
        <v>6</v>
      </c>
    </row>
    <row r="138" customFormat="false" ht="15" hidden="false" customHeight="false" outlineLevel="0" collapsed="false">
      <c r="A138" s="12"/>
      <c r="B138" s="13"/>
      <c r="C138" s="13"/>
      <c r="D138" s="14"/>
      <c r="E138" s="15"/>
      <c r="F138" s="16" t="n">
        <f aca="false">IF(C138="",0,IF(COUNTIF(C$5:C138,C138)=1,1,0))</f>
        <v>0</v>
      </c>
      <c r="G138" s="16" t="n">
        <f aca="false">SUM(F$5:F138)</f>
        <v>8</v>
      </c>
      <c r="H138" s="16" t="n">
        <f aca="false">IF(B138="",0,IF(COUNTIF(B$5:B138,B138)=1,1,0))</f>
        <v>0</v>
      </c>
      <c r="I138" s="16" t="n">
        <f aca="false">SUM(H$5:H138)</f>
        <v>6</v>
      </c>
    </row>
    <row r="139" customFormat="false" ht="15" hidden="false" customHeight="false" outlineLevel="0" collapsed="false">
      <c r="A139" s="12"/>
      <c r="B139" s="13"/>
      <c r="C139" s="13"/>
      <c r="D139" s="14"/>
      <c r="E139" s="15"/>
      <c r="F139" s="16" t="n">
        <f aca="false">IF(C139="",0,IF(COUNTIF(C$5:C139,C139)=1,1,0))</f>
        <v>0</v>
      </c>
      <c r="G139" s="16" t="n">
        <f aca="false">SUM(F$5:F139)</f>
        <v>8</v>
      </c>
      <c r="H139" s="16" t="n">
        <f aca="false">IF(B139="",0,IF(COUNTIF(B$5:B139,B139)=1,1,0))</f>
        <v>0</v>
      </c>
      <c r="I139" s="16" t="n">
        <f aca="false">SUM(H$5:H139)</f>
        <v>6</v>
      </c>
    </row>
    <row r="140" customFormat="false" ht="15" hidden="false" customHeight="false" outlineLevel="0" collapsed="false">
      <c r="A140" s="12"/>
      <c r="B140" s="13"/>
      <c r="C140" s="13"/>
      <c r="D140" s="14"/>
      <c r="E140" s="15"/>
      <c r="F140" s="16" t="n">
        <f aca="false">IF(C140="",0,IF(COUNTIF(C$5:C140,C140)=1,1,0))</f>
        <v>0</v>
      </c>
      <c r="G140" s="16" t="n">
        <f aca="false">SUM(F$5:F140)</f>
        <v>8</v>
      </c>
      <c r="H140" s="16" t="n">
        <f aca="false">IF(B140="",0,IF(COUNTIF(B$5:B140,B140)=1,1,0))</f>
        <v>0</v>
      </c>
      <c r="I140" s="16" t="n">
        <f aca="false">SUM(H$5:H140)</f>
        <v>6</v>
      </c>
    </row>
    <row r="141" customFormat="false" ht="15" hidden="false" customHeight="false" outlineLevel="0" collapsed="false">
      <c r="A141" s="12"/>
      <c r="B141" s="13"/>
      <c r="C141" s="13"/>
      <c r="D141" s="14"/>
      <c r="E141" s="15"/>
      <c r="F141" s="16" t="n">
        <f aca="false">IF(C141="",0,IF(COUNTIF(C$5:C141,C141)=1,1,0))</f>
        <v>0</v>
      </c>
      <c r="G141" s="16" t="n">
        <f aca="false">SUM(F$5:F141)</f>
        <v>8</v>
      </c>
      <c r="H141" s="16" t="n">
        <f aca="false">IF(B141="",0,IF(COUNTIF(B$5:B141,B141)=1,1,0))</f>
        <v>0</v>
      </c>
      <c r="I141" s="16" t="n">
        <f aca="false">SUM(H$5:H141)</f>
        <v>6</v>
      </c>
    </row>
    <row r="142" customFormat="false" ht="15" hidden="false" customHeight="false" outlineLevel="0" collapsed="false">
      <c r="A142" s="12"/>
      <c r="B142" s="13"/>
      <c r="C142" s="13"/>
      <c r="D142" s="14"/>
      <c r="E142" s="15"/>
      <c r="F142" s="16" t="n">
        <f aca="false">IF(C142="",0,IF(COUNTIF(C$5:C142,C142)=1,1,0))</f>
        <v>0</v>
      </c>
      <c r="G142" s="16" t="n">
        <f aca="false">SUM(F$5:F142)</f>
        <v>8</v>
      </c>
      <c r="H142" s="16" t="n">
        <f aca="false">IF(B142="",0,IF(COUNTIF(B$5:B142,B142)=1,1,0))</f>
        <v>0</v>
      </c>
      <c r="I142" s="16" t="n">
        <f aca="false">SUM(H$5:H142)</f>
        <v>6</v>
      </c>
    </row>
    <row r="143" customFormat="false" ht="15" hidden="false" customHeight="false" outlineLevel="0" collapsed="false">
      <c r="A143" s="12"/>
      <c r="B143" s="13"/>
      <c r="C143" s="13"/>
      <c r="D143" s="14"/>
      <c r="E143" s="15"/>
      <c r="F143" s="16" t="n">
        <f aca="false">IF(C143="",0,IF(COUNTIF(C$5:C143,C143)=1,1,0))</f>
        <v>0</v>
      </c>
      <c r="G143" s="16" t="n">
        <f aca="false">SUM(F$5:F143)</f>
        <v>8</v>
      </c>
      <c r="H143" s="16" t="n">
        <f aca="false">IF(B143="",0,IF(COUNTIF(B$5:B143,B143)=1,1,0))</f>
        <v>0</v>
      </c>
      <c r="I143" s="16" t="n">
        <f aca="false">SUM(H$5:H143)</f>
        <v>6</v>
      </c>
    </row>
    <row r="144" customFormat="false" ht="15" hidden="false" customHeight="false" outlineLevel="0" collapsed="false">
      <c r="A144" s="12"/>
      <c r="B144" s="13"/>
      <c r="C144" s="13"/>
      <c r="D144" s="14"/>
      <c r="E144" s="15"/>
      <c r="F144" s="16" t="n">
        <f aca="false">IF(C144="",0,IF(COUNTIF(C$5:C144,C144)=1,1,0))</f>
        <v>0</v>
      </c>
      <c r="G144" s="16" t="n">
        <f aca="false">SUM(F$5:F144)</f>
        <v>8</v>
      </c>
      <c r="H144" s="16" t="n">
        <f aca="false">IF(B144="",0,IF(COUNTIF(B$5:B144,B144)=1,1,0))</f>
        <v>0</v>
      </c>
      <c r="I144" s="16" t="n">
        <f aca="false">SUM(H$5:H144)</f>
        <v>6</v>
      </c>
    </row>
    <row r="145" customFormat="false" ht="15" hidden="false" customHeight="false" outlineLevel="0" collapsed="false">
      <c r="A145" s="12"/>
      <c r="B145" s="13"/>
      <c r="C145" s="13"/>
      <c r="D145" s="14"/>
      <c r="E145" s="15"/>
      <c r="F145" s="16" t="n">
        <f aca="false">IF(C145="",0,IF(COUNTIF(C$5:C145,C145)=1,1,0))</f>
        <v>0</v>
      </c>
      <c r="G145" s="16" t="n">
        <f aca="false">SUM(F$5:F145)</f>
        <v>8</v>
      </c>
      <c r="H145" s="16" t="n">
        <f aca="false">IF(B145="",0,IF(COUNTIF(B$5:B145,B145)=1,1,0))</f>
        <v>0</v>
      </c>
      <c r="I145" s="16" t="n">
        <f aca="false">SUM(H$5:H145)</f>
        <v>6</v>
      </c>
    </row>
    <row r="146" customFormat="false" ht="15" hidden="false" customHeight="false" outlineLevel="0" collapsed="false">
      <c r="A146" s="12"/>
      <c r="B146" s="13"/>
      <c r="C146" s="13"/>
      <c r="D146" s="14"/>
      <c r="E146" s="15"/>
      <c r="F146" s="16" t="n">
        <f aca="false">IF(C146="",0,IF(COUNTIF(C$5:C146,C146)=1,1,0))</f>
        <v>0</v>
      </c>
      <c r="G146" s="16" t="n">
        <f aca="false">SUM(F$5:F146)</f>
        <v>8</v>
      </c>
      <c r="H146" s="16" t="n">
        <f aca="false">IF(B146="",0,IF(COUNTIF(B$5:B146,B146)=1,1,0))</f>
        <v>0</v>
      </c>
      <c r="I146" s="16" t="n">
        <f aca="false">SUM(H$5:H146)</f>
        <v>6</v>
      </c>
    </row>
    <row r="147" customFormat="false" ht="15" hidden="false" customHeight="false" outlineLevel="0" collapsed="false">
      <c r="A147" s="12"/>
      <c r="B147" s="13"/>
      <c r="C147" s="13"/>
      <c r="D147" s="14"/>
      <c r="E147" s="15"/>
      <c r="F147" s="16" t="n">
        <f aca="false">IF(C147="",0,IF(COUNTIF(C$5:C147,C147)=1,1,0))</f>
        <v>0</v>
      </c>
      <c r="G147" s="16" t="n">
        <f aca="false">SUM(F$5:F147)</f>
        <v>8</v>
      </c>
      <c r="H147" s="16" t="n">
        <f aca="false">IF(B147="",0,IF(COUNTIF(B$5:B147,B147)=1,1,0))</f>
        <v>0</v>
      </c>
      <c r="I147" s="16" t="n">
        <f aca="false">SUM(H$5:H147)</f>
        <v>6</v>
      </c>
    </row>
    <row r="148" customFormat="false" ht="15" hidden="false" customHeight="false" outlineLevel="0" collapsed="false">
      <c r="A148" s="12"/>
      <c r="B148" s="13"/>
      <c r="C148" s="13"/>
      <c r="D148" s="14"/>
      <c r="E148" s="15"/>
      <c r="F148" s="16" t="n">
        <f aca="false">IF(C148="",0,IF(COUNTIF(C$5:C148,C148)=1,1,0))</f>
        <v>0</v>
      </c>
      <c r="G148" s="16" t="n">
        <f aca="false">SUM(F$5:F148)</f>
        <v>8</v>
      </c>
      <c r="H148" s="16" t="n">
        <f aca="false">IF(B148="",0,IF(COUNTIF(B$5:B148,B148)=1,1,0))</f>
        <v>0</v>
      </c>
      <c r="I148" s="16" t="n">
        <f aca="false">SUM(H$5:H148)</f>
        <v>6</v>
      </c>
    </row>
    <row r="149" customFormat="false" ht="15" hidden="false" customHeight="false" outlineLevel="0" collapsed="false">
      <c r="A149" s="12"/>
      <c r="B149" s="13"/>
      <c r="C149" s="13"/>
      <c r="D149" s="14"/>
      <c r="E149" s="15"/>
      <c r="F149" s="16" t="n">
        <f aca="false">IF(C149="",0,IF(COUNTIF(C$5:C149,C149)=1,1,0))</f>
        <v>0</v>
      </c>
      <c r="G149" s="16" t="n">
        <f aca="false">SUM(F$5:F149)</f>
        <v>8</v>
      </c>
      <c r="H149" s="16" t="n">
        <f aca="false">IF(B149="",0,IF(COUNTIF(B$5:B149,B149)=1,1,0))</f>
        <v>0</v>
      </c>
      <c r="I149" s="16" t="n">
        <f aca="false">SUM(H$5:H149)</f>
        <v>6</v>
      </c>
    </row>
    <row r="150" customFormat="false" ht="15" hidden="false" customHeight="false" outlineLevel="0" collapsed="false">
      <c r="A150" s="12"/>
      <c r="B150" s="13"/>
      <c r="C150" s="13"/>
      <c r="D150" s="14"/>
      <c r="E150" s="15"/>
      <c r="F150" s="16" t="n">
        <f aca="false">IF(C150="",0,IF(COUNTIF(C$5:C150,C150)=1,1,0))</f>
        <v>0</v>
      </c>
      <c r="G150" s="16" t="n">
        <f aca="false">SUM(F$5:F150)</f>
        <v>8</v>
      </c>
      <c r="H150" s="16" t="n">
        <f aca="false">IF(B150="",0,IF(COUNTIF(B$5:B150,B150)=1,1,0))</f>
        <v>0</v>
      </c>
      <c r="I150" s="16" t="n">
        <f aca="false">SUM(H$5:H150)</f>
        <v>6</v>
      </c>
    </row>
    <row r="151" customFormat="false" ht="15" hidden="false" customHeight="false" outlineLevel="0" collapsed="false">
      <c r="A151" s="12"/>
      <c r="B151" s="13"/>
      <c r="C151" s="13"/>
      <c r="D151" s="14"/>
      <c r="E151" s="15"/>
      <c r="F151" s="16" t="n">
        <f aca="false">IF(C151="",0,IF(COUNTIF(C$5:C151,C151)=1,1,0))</f>
        <v>0</v>
      </c>
      <c r="G151" s="16" t="n">
        <f aca="false">SUM(F$5:F151)</f>
        <v>8</v>
      </c>
      <c r="H151" s="16" t="n">
        <f aca="false">IF(B151="",0,IF(COUNTIF(B$5:B151,B151)=1,1,0))</f>
        <v>0</v>
      </c>
      <c r="I151" s="16" t="n">
        <f aca="false">SUM(H$5:H151)</f>
        <v>6</v>
      </c>
    </row>
    <row r="152" customFormat="false" ht="15" hidden="false" customHeight="false" outlineLevel="0" collapsed="false">
      <c r="A152" s="12"/>
      <c r="B152" s="13"/>
      <c r="C152" s="13"/>
      <c r="D152" s="14"/>
      <c r="E152" s="15"/>
      <c r="F152" s="16" t="n">
        <f aca="false">IF(C152="",0,IF(COUNTIF(C$5:C152,C152)=1,1,0))</f>
        <v>0</v>
      </c>
      <c r="G152" s="16" t="n">
        <f aca="false">SUM(F$5:F152)</f>
        <v>8</v>
      </c>
      <c r="H152" s="16" t="n">
        <f aca="false">IF(B152="",0,IF(COUNTIF(B$5:B152,B152)=1,1,0))</f>
        <v>0</v>
      </c>
      <c r="I152" s="16" t="n">
        <f aca="false">SUM(H$5:H152)</f>
        <v>6</v>
      </c>
    </row>
    <row r="153" customFormat="false" ht="15" hidden="false" customHeight="false" outlineLevel="0" collapsed="false">
      <c r="A153" s="12"/>
      <c r="B153" s="13"/>
      <c r="C153" s="13"/>
      <c r="D153" s="14"/>
      <c r="E153" s="15"/>
      <c r="F153" s="16" t="n">
        <f aca="false">IF(C153="",0,IF(COUNTIF(C$5:C153,C153)=1,1,0))</f>
        <v>0</v>
      </c>
      <c r="G153" s="16" t="n">
        <f aca="false">SUM(F$5:F153)</f>
        <v>8</v>
      </c>
      <c r="H153" s="16" t="n">
        <f aca="false">IF(B153="",0,IF(COUNTIF(B$5:B153,B153)=1,1,0))</f>
        <v>0</v>
      </c>
      <c r="I153" s="16" t="n">
        <f aca="false">SUM(H$5:H153)</f>
        <v>6</v>
      </c>
    </row>
    <row r="154" customFormat="false" ht="15" hidden="false" customHeight="false" outlineLevel="0" collapsed="false">
      <c r="A154" s="12"/>
      <c r="B154" s="13"/>
      <c r="C154" s="13"/>
      <c r="D154" s="14"/>
      <c r="E154" s="15"/>
      <c r="F154" s="16" t="n">
        <f aca="false">IF(C154="",0,IF(COUNTIF(C$5:C154,C154)=1,1,0))</f>
        <v>0</v>
      </c>
      <c r="G154" s="16" t="n">
        <f aca="false">SUM(F$5:F154)</f>
        <v>8</v>
      </c>
      <c r="H154" s="16" t="n">
        <f aca="false">IF(B154="",0,IF(COUNTIF(B$5:B154,B154)=1,1,0))</f>
        <v>0</v>
      </c>
      <c r="I154" s="16" t="n">
        <f aca="false">SUM(H$5:H154)</f>
        <v>6</v>
      </c>
    </row>
    <row r="155" customFormat="false" ht="15" hidden="false" customHeight="false" outlineLevel="0" collapsed="false">
      <c r="A155" s="12"/>
      <c r="B155" s="13"/>
      <c r="C155" s="13"/>
      <c r="D155" s="14"/>
      <c r="E155" s="15"/>
      <c r="F155" s="16" t="n">
        <f aca="false">IF(C155="",0,IF(COUNTIF(C$5:C155,C155)=1,1,0))</f>
        <v>0</v>
      </c>
      <c r="G155" s="16" t="n">
        <f aca="false">SUM(F$5:F155)</f>
        <v>8</v>
      </c>
      <c r="H155" s="16" t="n">
        <f aca="false">IF(B155="",0,IF(COUNTIF(B$5:B155,B155)=1,1,0))</f>
        <v>0</v>
      </c>
      <c r="I155" s="16" t="n">
        <f aca="false">SUM(H$5:H155)</f>
        <v>6</v>
      </c>
    </row>
    <row r="156" customFormat="false" ht="15" hidden="false" customHeight="false" outlineLevel="0" collapsed="false">
      <c r="A156" s="12"/>
      <c r="B156" s="13"/>
      <c r="C156" s="13"/>
      <c r="D156" s="14"/>
      <c r="E156" s="15"/>
      <c r="F156" s="16" t="n">
        <f aca="false">IF(C156="",0,IF(COUNTIF(C$5:C156,C156)=1,1,0))</f>
        <v>0</v>
      </c>
      <c r="G156" s="16" t="n">
        <f aca="false">SUM(F$5:F156)</f>
        <v>8</v>
      </c>
      <c r="H156" s="16" t="n">
        <f aca="false">IF(B156="",0,IF(COUNTIF(B$5:B156,B156)=1,1,0))</f>
        <v>0</v>
      </c>
      <c r="I156" s="16" t="n">
        <f aca="false">SUM(H$5:H156)</f>
        <v>6</v>
      </c>
    </row>
    <row r="157" customFormat="false" ht="15" hidden="false" customHeight="false" outlineLevel="0" collapsed="false">
      <c r="A157" s="12"/>
      <c r="B157" s="13"/>
      <c r="C157" s="13"/>
      <c r="D157" s="14"/>
      <c r="E157" s="15"/>
      <c r="F157" s="16" t="n">
        <f aca="false">IF(C157="",0,IF(COUNTIF(C$5:C157,C157)=1,1,0))</f>
        <v>0</v>
      </c>
      <c r="G157" s="16" t="n">
        <f aca="false">SUM(F$5:F157)</f>
        <v>8</v>
      </c>
      <c r="H157" s="16" t="n">
        <f aca="false">IF(B157="",0,IF(COUNTIF(B$5:B157,B157)=1,1,0))</f>
        <v>0</v>
      </c>
      <c r="I157" s="16" t="n">
        <f aca="false">SUM(H$5:H157)</f>
        <v>6</v>
      </c>
    </row>
    <row r="158" customFormat="false" ht="15" hidden="false" customHeight="false" outlineLevel="0" collapsed="false">
      <c r="A158" s="12"/>
      <c r="B158" s="13"/>
      <c r="C158" s="13"/>
      <c r="D158" s="14"/>
      <c r="E158" s="15"/>
      <c r="F158" s="16" t="n">
        <f aca="false">IF(C158="",0,IF(COUNTIF(C$5:C158,C158)=1,1,0))</f>
        <v>0</v>
      </c>
      <c r="G158" s="16" t="n">
        <f aca="false">SUM(F$5:F158)</f>
        <v>8</v>
      </c>
      <c r="H158" s="16" t="n">
        <f aca="false">IF(B158="",0,IF(COUNTIF(B$5:B158,B158)=1,1,0))</f>
        <v>0</v>
      </c>
      <c r="I158" s="16" t="n">
        <f aca="false">SUM(H$5:H158)</f>
        <v>6</v>
      </c>
    </row>
    <row r="159" customFormat="false" ht="15" hidden="false" customHeight="false" outlineLevel="0" collapsed="false">
      <c r="A159" s="12"/>
      <c r="B159" s="13"/>
      <c r="C159" s="13"/>
      <c r="D159" s="14"/>
      <c r="E159" s="15"/>
      <c r="F159" s="16" t="n">
        <f aca="false">IF(C159="",0,IF(COUNTIF(C$5:C159,C159)=1,1,0))</f>
        <v>0</v>
      </c>
      <c r="G159" s="16" t="n">
        <f aca="false">SUM(F$5:F159)</f>
        <v>8</v>
      </c>
      <c r="H159" s="16" t="n">
        <f aca="false">IF(B159="",0,IF(COUNTIF(B$5:B159,B159)=1,1,0))</f>
        <v>0</v>
      </c>
      <c r="I159" s="16" t="n">
        <f aca="false">SUM(H$5:H159)</f>
        <v>6</v>
      </c>
    </row>
    <row r="160" customFormat="false" ht="15" hidden="false" customHeight="false" outlineLevel="0" collapsed="false">
      <c r="A160" s="12"/>
      <c r="B160" s="13"/>
      <c r="C160" s="13"/>
      <c r="D160" s="14"/>
      <c r="E160" s="15"/>
      <c r="F160" s="16" t="n">
        <f aca="false">IF(C160="",0,IF(COUNTIF(C$5:C160,C160)=1,1,0))</f>
        <v>0</v>
      </c>
      <c r="G160" s="16" t="n">
        <f aca="false">SUM(F$5:F160)</f>
        <v>8</v>
      </c>
      <c r="H160" s="16" t="n">
        <f aca="false">IF(B160="",0,IF(COUNTIF(B$5:B160,B160)=1,1,0))</f>
        <v>0</v>
      </c>
      <c r="I160" s="16" t="n">
        <f aca="false">SUM(H$5:H160)</f>
        <v>6</v>
      </c>
    </row>
    <row r="161" customFormat="false" ht="15" hidden="false" customHeight="false" outlineLevel="0" collapsed="false">
      <c r="A161" s="12"/>
      <c r="B161" s="13"/>
      <c r="C161" s="13"/>
      <c r="D161" s="14"/>
      <c r="E161" s="15"/>
      <c r="F161" s="16" t="n">
        <f aca="false">IF(C161="",0,IF(COUNTIF(C$5:C161,C161)=1,1,0))</f>
        <v>0</v>
      </c>
      <c r="G161" s="16" t="n">
        <f aca="false">SUM(F$5:F161)</f>
        <v>8</v>
      </c>
      <c r="H161" s="16" t="n">
        <f aca="false">IF(B161="",0,IF(COUNTIF(B$5:B161,B161)=1,1,0))</f>
        <v>0</v>
      </c>
      <c r="I161" s="16" t="n">
        <f aca="false">SUM(H$5:H161)</f>
        <v>6</v>
      </c>
    </row>
    <row r="162" customFormat="false" ht="15" hidden="false" customHeight="false" outlineLevel="0" collapsed="false">
      <c r="A162" s="12"/>
      <c r="B162" s="13"/>
      <c r="C162" s="13"/>
      <c r="D162" s="14"/>
      <c r="E162" s="15"/>
      <c r="F162" s="16" t="n">
        <f aca="false">IF(C162="",0,IF(COUNTIF(C$5:C162,C162)=1,1,0))</f>
        <v>0</v>
      </c>
      <c r="G162" s="16" t="n">
        <f aca="false">SUM(F$5:F162)</f>
        <v>8</v>
      </c>
      <c r="H162" s="16" t="n">
        <f aca="false">IF(B162="",0,IF(COUNTIF(B$5:B162,B162)=1,1,0))</f>
        <v>0</v>
      </c>
      <c r="I162" s="16" t="n">
        <f aca="false">SUM(H$5:H162)</f>
        <v>6</v>
      </c>
    </row>
    <row r="163" customFormat="false" ht="15" hidden="false" customHeight="false" outlineLevel="0" collapsed="false">
      <c r="A163" s="12"/>
      <c r="B163" s="13"/>
      <c r="C163" s="13"/>
      <c r="D163" s="14"/>
      <c r="E163" s="15"/>
      <c r="F163" s="16" t="n">
        <f aca="false">IF(C163="",0,IF(COUNTIF(C$5:C163,C163)=1,1,0))</f>
        <v>0</v>
      </c>
      <c r="G163" s="16" t="n">
        <f aca="false">SUM(F$5:F163)</f>
        <v>8</v>
      </c>
      <c r="H163" s="16" t="n">
        <f aca="false">IF(B163="",0,IF(COUNTIF(B$5:B163,B163)=1,1,0))</f>
        <v>0</v>
      </c>
      <c r="I163" s="16" t="n">
        <f aca="false">SUM(H$5:H163)</f>
        <v>6</v>
      </c>
    </row>
    <row r="164" customFormat="false" ht="15" hidden="false" customHeight="false" outlineLevel="0" collapsed="false">
      <c r="A164" s="12"/>
      <c r="B164" s="13"/>
      <c r="C164" s="13"/>
      <c r="D164" s="14"/>
      <c r="E164" s="15"/>
      <c r="F164" s="16" t="n">
        <f aca="false">IF(C164="",0,IF(COUNTIF(C$5:C164,C164)=1,1,0))</f>
        <v>0</v>
      </c>
      <c r="G164" s="16" t="n">
        <f aca="false">SUM(F$5:F164)</f>
        <v>8</v>
      </c>
      <c r="H164" s="16" t="n">
        <f aca="false">IF(B164="",0,IF(COUNTIF(B$5:B164,B164)=1,1,0))</f>
        <v>0</v>
      </c>
      <c r="I164" s="16" t="n">
        <f aca="false">SUM(H$5:H164)</f>
        <v>6</v>
      </c>
    </row>
    <row r="165" customFormat="false" ht="15" hidden="false" customHeight="false" outlineLevel="0" collapsed="false">
      <c r="A165" s="12"/>
      <c r="B165" s="13"/>
      <c r="C165" s="13"/>
      <c r="D165" s="14"/>
      <c r="E165" s="15"/>
      <c r="F165" s="16" t="n">
        <f aca="false">IF(C165="",0,IF(COUNTIF(C$5:C165,C165)=1,1,0))</f>
        <v>0</v>
      </c>
      <c r="G165" s="16" t="n">
        <f aca="false">SUM(F$5:F165)</f>
        <v>8</v>
      </c>
      <c r="H165" s="16" t="n">
        <f aca="false">IF(B165="",0,IF(COUNTIF(B$5:B165,B165)=1,1,0))</f>
        <v>0</v>
      </c>
      <c r="I165" s="16" t="n">
        <f aca="false">SUM(H$5:H165)</f>
        <v>6</v>
      </c>
    </row>
    <row r="166" customFormat="false" ht="15" hidden="false" customHeight="false" outlineLevel="0" collapsed="false">
      <c r="A166" s="12"/>
      <c r="B166" s="13"/>
      <c r="C166" s="13"/>
      <c r="D166" s="14"/>
      <c r="E166" s="15"/>
      <c r="F166" s="16" t="n">
        <f aca="false">IF(C166="",0,IF(COUNTIF(C$5:C166,C166)=1,1,0))</f>
        <v>0</v>
      </c>
      <c r="G166" s="16" t="n">
        <f aca="false">SUM(F$5:F166)</f>
        <v>8</v>
      </c>
      <c r="H166" s="16" t="n">
        <f aca="false">IF(B166="",0,IF(COUNTIF(B$5:B166,B166)=1,1,0))</f>
        <v>0</v>
      </c>
      <c r="I166" s="16" t="n">
        <f aca="false">SUM(H$5:H166)</f>
        <v>6</v>
      </c>
    </row>
    <row r="167" customFormat="false" ht="15" hidden="false" customHeight="false" outlineLevel="0" collapsed="false">
      <c r="A167" s="12"/>
      <c r="B167" s="13"/>
      <c r="C167" s="13"/>
      <c r="D167" s="14"/>
      <c r="E167" s="15"/>
      <c r="F167" s="16" t="n">
        <f aca="false">IF(C167="",0,IF(COUNTIF(C$5:C167,C167)=1,1,0))</f>
        <v>0</v>
      </c>
      <c r="G167" s="16" t="n">
        <f aca="false">SUM(F$5:F167)</f>
        <v>8</v>
      </c>
      <c r="H167" s="16" t="n">
        <f aca="false">IF(B167="",0,IF(COUNTIF(B$5:B167,B167)=1,1,0))</f>
        <v>0</v>
      </c>
      <c r="I167" s="16" t="n">
        <f aca="false">SUM(H$5:H167)</f>
        <v>6</v>
      </c>
    </row>
    <row r="168" customFormat="false" ht="15" hidden="false" customHeight="false" outlineLevel="0" collapsed="false">
      <c r="A168" s="12"/>
      <c r="B168" s="13"/>
      <c r="C168" s="13"/>
      <c r="D168" s="14"/>
      <c r="E168" s="15"/>
      <c r="F168" s="16" t="n">
        <f aca="false">IF(C168="",0,IF(COUNTIF(C$5:C168,C168)=1,1,0))</f>
        <v>0</v>
      </c>
      <c r="G168" s="16" t="n">
        <f aca="false">SUM(F$5:F168)</f>
        <v>8</v>
      </c>
      <c r="H168" s="16" t="n">
        <f aca="false">IF(B168="",0,IF(COUNTIF(B$5:B168,B168)=1,1,0))</f>
        <v>0</v>
      </c>
      <c r="I168" s="16" t="n">
        <f aca="false">SUM(H$5:H168)</f>
        <v>6</v>
      </c>
    </row>
    <row r="169" customFormat="false" ht="15" hidden="false" customHeight="false" outlineLevel="0" collapsed="false">
      <c r="A169" s="12"/>
      <c r="B169" s="13"/>
      <c r="C169" s="13"/>
      <c r="D169" s="14"/>
      <c r="E169" s="15"/>
      <c r="F169" s="16" t="n">
        <f aca="false">IF(C169="",0,IF(COUNTIF(C$5:C169,C169)=1,1,0))</f>
        <v>0</v>
      </c>
      <c r="G169" s="16" t="n">
        <f aca="false">SUM(F$5:F169)</f>
        <v>8</v>
      </c>
      <c r="H169" s="16" t="n">
        <f aca="false">IF(B169="",0,IF(COUNTIF(B$5:B169,B169)=1,1,0))</f>
        <v>0</v>
      </c>
      <c r="I169" s="16" t="n">
        <f aca="false">SUM(H$5:H169)</f>
        <v>6</v>
      </c>
    </row>
    <row r="170" customFormat="false" ht="15" hidden="false" customHeight="false" outlineLevel="0" collapsed="false">
      <c r="A170" s="12"/>
      <c r="B170" s="13"/>
      <c r="C170" s="13"/>
      <c r="D170" s="14"/>
      <c r="E170" s="15"/>
      <c r="F170" s="16" t="n">
        <f aca="false">IF(C170="",0,IF(COUNTIF(C$5:C170,C170)=1,1,0))</f>
        <v>0</v>
      </c>
      <c r="G170" s="16" t="n">
        <f aca="false">SUM(F$5:F170)</f>
        <v>8</v>
      </c>
      <c r="H170" s="16" t="n">
        <f aca="false">IF(B170="",0,IF(COUNTIF(B$5:B170,B170)=1,1,0))</f>
        <v>0</v>
      </c>
      <c r="I170" s="16" t="n">
        <f aca="false">SUM(H$5:H170)</f>
        <v>6</v>
      </c>
    </row>
    <row r="171" customFormat="false" ht="15" hidden="false" customHeight="false" outlineLevel="0" collapsed="false">
      <c r="A171" s="12"/>
      <c r="B171" s="13"/>
      <c r="C171" s="13"/>
      <c r="D171" s="14"/>
      <c r="E171" s="15"/>
      <c r="F171" s="16" t="n">
        <f aca="false">IF(C171="",0,IF(COUNTIF(C$5:C171,C171)=1,1,0))</f>
        <v>0</v>
      </c>
      <c r="G171" s="16" t="n">
        <f aca="false">SUM(F$5:F171)</f>
        <v>8</v>
      </c>
      <c r="H171" s="16" t="n">
        <f aca="false">IF(B171="",0,IF(COUNTIF(B$5:B171,B171)=1,1,0))</f>
        <v>0</v>
      </c>
      <c r="I171" s="16" t="n">
        <f aca="false">SUM(H$5:H171)</f>
        <v>6</v>
      </c>
    </row>
    <row r="172" customFormat="false" ht="15" hidden="false" customHeight="false" outlineLevel="0" collapsed="false">
      <c r="A172" s="12"/>
      <c r="B172" s="13"/>
      <c r="C172" s="13"/>
      <c r="D172" s="14"/>
      <c r="E172" s="15"/>
      <c r="F172" s="16" t="n">
        <f aca="false">IF(C172="",0,IF(COUNTIF(C$5:C172,C172)=1,1,0))</f>
        <v>0</v>
      </c>
      <c r="G172" s="16" t="n">
        <f aca="false">SUM(F$5:F172)</f>
        <v>8</v>
      </c>
      <c r="H172" s="16" t="n">
        <f aca="false">IF(B172="",0,IF(COUNTIF(B$5:B172,B172)=1,1,0))</f>
        <v>0</v>
      </c>
      <c r="I172" s="16" t="n">
        <f aca="false">SUM(H$5:H172)</f>
        <v>6</v>
      </c>
    </row>
    <row r="173" customFormat="false" ht="15" hidden="false" customHeight="false" outlineLevel="0" collapsed="false">
      <c r="A173" s="12"/>
      <c r="B173" s="13"/>
      <c r="C173" s="13"/>
      <c r="D173" s="14"/>
      <c r="E173" s="15"/>
      <c r="F173" s="16" t="n">
        <f aca="false">IF(C173="",0,IF(COUNTIF(C$5:C173,C173)=1,1,0))</f>
        <v>0</v>
      </c>
      <c r="G173" s="16" t="n">
        <f aca="false">SUM(F$5:F173)</f>
        <v>8</v>
      </c>
      <c r="H173" s="16" t="n">
        <f aca="false">IF(B173="",0,IF(COUNTIF(B$5:B173,B173)=1,1,0))</f>
        <v>0</v>
      </c>
      <c r="I173" s="16" t="n">
        <f aca="false">SUM(H$5:H173)</f>
        <v>6</v>
      </c>
    </row>
    <row r="174" customFormat="false" ht="15" hidden="false" customHeight="false" outlineLevel="0" collapsed="false">
      <c r="A174" s="12"/>
      <c r="B174" s="13"/>
      <c r="C174" s="13"/>
      <c r="D174" s="14"/>
      <c r="E174" s="15"/>
      <c r="F174" s="16" t="n">
        <f aca="false">IF(C174="",0,IF(COUNTIF(C$5:C174,C174)=1,1,0))</f>
        <v>0</v>
      </c>
      <c r="G174" s="16" t="n">
        <f aca="false">SUM(F$5:F174)</f>
        <v>8</v>
      </c>
      <c r="H174" s="16" t="n">
        <f aca="false">IF(B174="",0,IF(COUNTIF(B$5:B174,B174)=1,1,0))</f>
        <v>0</v>
      </c>
      <c r="I174" s="16" t="n">
        <f aca="false">SUM(H$5:H174)</f>
        <v>6</v>
      </c>
    </row>
    <row r="175" customFormat="false" ht="15" hidden="false" customHeight="false" outlineLevel="0" collapsed="false">
      <c r="A175" s="12"/>
      <c r="B175" s="13"/>
      <c r="C175" s="13"/>
      <c r="D175" s="14"/>
      <c r="E175" s="15"/>
      <c r="F175" s="16" t="n">
        <f aca="false">IF(C175="",0,IF(COUNTIF(C$5:C175,C175)=1,1,0))</f>
        <v>0</v>
      </c>
      <c r="G175" s="16" t="n">
        <f aca="false">SUM(F$5:F175)</f>
        <v>8</v>
      </c>
      <c r="H175" s="16" t="n">
        <f aca="false">IF(B175="",0,IF(COUNTIF(B$5:B175,B175)=1,1,0))</f>
        <v>0</v>
      </c>
      <c r="I175" s="16" t="n">
        <f aca="false">SUM(H$5:H175)</f>
        <v>6</v>
      </c>
    </row>
    <row r="176" customFormat="false" ht="15" hidden="false" customHeight="false" outlineLevel="0" collapsed="false">
      <c r="A176" s="12"/>
      <c r="B176" s="13"/>
      <c r="C176" s="13"/>
      <c r="D176" s="14"/>
      <c r="E176" s="15"/>
      <c r="F176" s="16" t="n">
        <f aca="false">IF(C176="",0,IF(COUNTIF(C$5:C176,C176)=1,1,0))</f>
        <v>0</v>
      </c>
      <c r="G176" s="16" t="n">
        <f aca="false">SUM(F$5:F176)</f>
        <v>8</v>
      </c>
      <c r="H176" s="16" t="n">
        <f aca="false">IF(B176="",0,IF(COUNTIF(B$5:B176,B176)=1,1,0))</f>
        <v>0</v>
      </c>
      <c r="I176" s="16" t="n">
        <f aca="false">SUM(H$5:H176)</f>
        <v>6</v>
      </c>
    </row>
    <row r="177" customFormat="false" ht="15" hidden="false" customHeight="false" outlineLevel="0" collapsed="false">
      <c r="A177" s="12"/>
      <c r="B177" s="13"/>
      <c r="C177" s="13"/>
      <c r="D177" s="14"/>
      <c r="E177" s="15"/>
      <c r="F177" s="16" t="n">
        <f aca="false">IF(C177="",0,IF(COUNTIF(C$5:C177,C177)=1,1,0))</f>
        <v>0</v>
      </c>
      <c r="G177" s="16" t="n">
        <f aca="false">SUM(F$5:F177)</f>
        <v>8</v>
      </c>
      <c r="H177" s="16" t="n">
        <f aca="false">IF(B177="",0,IF(COUNTIF(B$5:B177,B177)=1,1,0))</f>
        <v>0</v>
      </c>
      <c r="I177" s="16" t="n">
        <f aca="false">SUM(H$5:H177)</f>
        <v>6</v>
      </c>
    </row>
    <row r="178" customFormat="false" ht="15" hidden="false" customHeight="false" outlineLevel="0" collapsed="false">
      <c r="A178" s="12"/>
      <c r="B178" s="13"/>
      <c r="C178" s="13"/>
      <c r="D178" s="14"/>
      <c r="E178" s="15"/>
      <c r="F178" s="16" t="n">
        <f aca="false">IF(C178="",0,IF(COUNTIF(C$5:C178,C178)=1,1,0))</f>
        <v>0</v>
      </c>
      <c r="G178" s="16" t="n">
        <f aca="false">SUM(F$5:F178)</f>
        <v>8</v>
      </c>
      <c r="H178" s="16" t="n">
        <f aca="false">IF(B178="",0,IF(COUNTIF(B$5:B178,B178)=1,1,0))</f>
        <v>0</v>
      </c>
      <c r="I178" s="16" t="n">
        <f aca="false">SUM(H$5:H178)</f>
        <v>6</v>
      </c>
    </row>
    <row r="179" customFormat="false" ht="15" hidden="false" customHeight="false" outlineLevel="0" collapsed="false">
      <c r="A179" s="12"/>
      <c r="B179" s="13"/>
      <c r="C179" s="13"/>
      <c r="D179" s="14"/>
      <c r="E179" s="15"/>
      <c r="F179" s="16" t="n">
        <f aca="false">IF(C179="",0,IF(COUNTIF(C$5:C179,C179)=1,1,0))</f>
        <v>0</v>
      </c>
      <c r="G179" s="16" t="n">
        <f aca="false">SUM(F$5:F179)</f>
        <v>8</v>
      </c>
      <c r="H179" s="16" t="n">
        <f aca="false">IF(B179="",0,IF(COUNTIF(B$5:B179,B179)=1,1,0))</f>
        <v>0</v>
      </c>
      <c r="I179" s="16" t="n">
        <f aca="false">SUM(H$5:H179)</f>
        <v>6</v>
      </c>
    </row>
    <row r="180" customFormat="false" ht="15" hidden="false" customHeight="false" outlineLevel="0" collapsed="false">
      <c r="A180" s="12"/>
      <c r="B180" s="13"/>
      <c r="C180" s="13"/>
      <c r="D180" s="14"/>
      <c r="E180" s="15"/>
      <c r="F180" s="16" t="n">
        <f aca="false">IF(C180="",0,IF(COUNTIF(C$5:C180,C180)=1,1,0))</f>
        <v>0</v>
      </c>
      <c r="G180" s="16" t="n">
        <f aca="false">SUM(F$5:F180)</f>
        <v>8</v>
      </c>
      <c r="H180" s="16" t="n">
        <f aca="false">IF(B180="",0,IF(COUNTIF(B$5:B180,B180)=1,1,0))</f>
        <v>0</v>
      </c>
      <c r="I180" s="16" t="n">
        <f aca="false">SUM(H$5:H180)</f>
        <v>6</v>
      </c>
    </row>
    <row r="181" customFormat="false" ht="15" hidden="false" customHeight="false" outlineLevel="0" collapsed="false">
      <c r="A181" s="12"/>
      <c r="B181" s="13"/>
      <c r="C181" s="13"/>
      <c r="D181" s="14"/>
      <c r="E181" s="15"/>
      <c r="F181" s="16" t="n">
        <f aca="false">IF(C181="",0,IF(COUNTIF(C$5:C181,C181)=1,1,0))</f>
        <v>0</v>
      </c>
      <c r="G181" s="16" t="n">
        <f aca="false">SUM(F$5:F181)</f>
        <v>8</v>
      </c>
      <c r="H181" s="16" t="n">
        <f aca="false">IF(B181="",0,IF(COUNTIF(B$5:B181,B181)=1,1,0))</f>
        <v>0</v>
      </c>
      <c r="I181" s="16" t="n">
        <f aca="false">SUM(H$5:H181)</f>
        <v>6</v>
      </c>
    </row>
    <row r="182" customFormat="false" ht="15" hidden="false" customHeight="false" outlineLevel="0" collapsed="false">
      <c r="A182" s="12"/>
      <c r="B182" s="13"/>
      <c r="C182" s="13"/>
      <c r="D182" s="14"/>
      <c r="E182" s="15"/>
      <c r="F182" s="16" t="n">
        <f aca="false">IF(C182="",0,IF(COUNTIF(C$5:C182,C182)=1,1,0))</f>
        <v>0</v>
      </c>
      <c r="G182" s="16" t="n">
        <f aca="false">SUM(F$5:F182)</f>
        <v>8</v>
      </c>
      <c r="H182" s="16" t="n">
        <f aca="false">IF(B182="",0,IF(COUNTIF(B$5:B182,B182)=1,1,0))</f>
        <v>0</v>
      </c>
      <c r="I182" s="16" t="n">
        <f aca="false">SUM(H$5:H182)</f>
        <v>6</v>
      </c>
    </row>
    <row r="183" customFormat="false" ht="15" hidden="false" customHeight="false" outlineLevel="0" collapsed="false">
      <c r="A183" s="12"/>
      <c r="B183" s="13"/>
      <c r="C183" s="13"/>
      <c r="D183" s="14"/>
      <c r="E183" s="15"/>
      <c r="F183" s="16" t="n">
        <f aca="false">IF(C183="",0,IF(COUNTIF(C$5:C183,C183)=1,1,0))</f>
        <v>0</v>
      </c>
      <c r="G183" s="16" t="n">
        <f aca="false">SUM(F$5:F183)</f>
        <v>8</v>
      </c>
      <c r="H183" s="16" t="n">
        <f aca="false">IF(B183="",0,IF(COUNTIF(B$5:B183,B183)=1,1,0))</f>
        <v>0</v>
      </c>
      <c r="I183" s="16" t="n">
        <f aca="false">SUM(H$5:H183)</f>
        <v>6</v>
      </c>
    </row>
    <row r="184" customFormat="false" ht="15" hidden="false" customHeight="false" outlineLevel="0" collapsed="false">
      <c r="A184" s="12"/>
      <c r="B184" s="13"/>
      <c r="C184" s="13"/>
      <c r="D184" s="14"/>
      <c r="E184" s="15"/>
      <c r="F184" s="16" t="n">
        <f aca="false">IF(C184="",0,IF(COUNTIF(C$5:C184,C184)=1,1,0))</f>
        <v>0</v>
      </c>
      <c r="G184" s="16" t="n">
        <f aca="false">SUM(F$5:F184)</f>
        <v>8</v>
      </c>
      <c r="H184" s="16" t="n">
        <f aca="false">IF(B184="",0,IF(COUNTIF(B$5:B184,B184)=1,1,0))</f>
        <v>0</v>
      </c>
      <c r="I184" s="16" t="n">
        <f aca="false">SUM(H$5:H184)</f>
        <v>6</v>
      </c>
    </row>
    <row r="185" customFormat="false" ht="15" hidden="false" customHeight="false" outlineLevel="0" collapsed="false">
      <c r="A185" s="12"/>
      <c r="B185" s="13"/>
      <c r="C185" s="13"/>
      <c r="D185" s="14"/>
      <c r="E185" s="15"/>
      <c r="F185" s="16" t="n">
        <f aca="false">IF(C185="",0,IF(COUNTIF(C$5:C185,C185)=1,1,0))</f>
        <v>0</v>
      </c>
      <c r="G185" s="16" t="n">
        <f aca="false">SUM(F$5:F185)</f>
        <v>8</v>
      </c>
      <c r="H185" s="16" t="n">
        <f aca="false">IF(B185="",0,IF(COUNTIF(B$5:B185,B185)=1,1,0))</f>
        <v>0</v>
      </c>
      <c r="I185" s="16" t="n">
        <f aca="false">SUM(H$5:H185)</f>
        <v>6</v>
      </c>
    </row>
    <row r="186" customFormat="false" ht="15" hidden="false" customHeight="false" outlineLevel="0" collapsed="false">
      <c r="A186" s="12"/>
      <c r="B186" s="13"/>
      <c r="C186" s="13"/>
      <c r="D186" s="14"/>
      <c r="E186" s="15"/>
      <c r="F186" s="16" t="n">
        <f aca="false">IF(C186="",0,IF(COUNTIF(C$5:C186,C186)=1,1,0))</f>
        <v>0</v>
      </c>
      <c r="G186" s="16" t="n">
        <f aca="false">SUM(F$5:F186)</f>
        <v>8</v>
      </c>
      <c r="H186" s="16" t="n">
        <f aca="false">IF(B186="",0,IF(COUNTIF(B$5:B186,B186)=1,1,0))</f>
        <v>0</v>
      </c>
      <c r="I186" s="16" t="n">
        <f aca="false">SUM(H$5:H186)</f>
        <v>6</v>
      </c>
    </row>
    <row r="187" customFormat="false" ht="15" hidden="false" customHeight="false" outlineLevel="0" collapsed="false">
      <c r="A187" s="12"/>
      <c r="B187" s="13"/>
      <c r="C187" s="13"/>
      <c r="D187" s="14"/>
      <c r="E187" s="15"/>
      <c r="F187" s="16" t="n">
        <f aca="false">IF(C187="",0,IF(COUNTIF(C$5:C187,C187)=1,1,0))</f>
        <v>0</v>
      </c>
      <c r="G187" s="16" t="n">
        <f aca="false">SUM(F$5:F187)</f>
        <v>8</v>
      </c>
      <c r="H187" s="16" t="n">
        <f aca="false">IF(B187="",0,IF(COUNTIF(B$5:B187,B187)=1,1,0))</f>
        <v>0</v>
      </c>
      <c r="I187" s="16" t="n">
        <f aca="false">SUM(H$5:H187)</f>
        <v>6</v>
      </c>
    </row>
    <row r="188" customFormat="false" ht="15" hidden="false" customHeight="false" outlineLevel="0" collapsed="false">
      <c r="A188" s="12"/>
      <c r="B188" s="13"/>
      <c r="C188" s="13"/>
      <c r="D188" s="14"/>
      <c r="E188" s="15"/>
      <c r="F188" s="16" t="n">
        <f aca="false">IF(C188="",0,IF(COUNTIF(C$5:C188,C188)=1,1,0))</f>
        <v>0</v>
      </c>
      <c r="G188" s="16" t="n">
        <f aca="false">SUM(F$5:F188)</f>
        <v>8</v>
      </c>
      <c r="H188" s="16" t="n">
        <f aca="false">IF(B188="",0,IF(COUNTIF(B$5:B188,B188)=1,1,0))</f>
        <v>0</v>
      </c>
      <c r="I188" s="16" t="n">
        <f aca="false">SUM(H$5:H188)</f>
        <v>6</v>
      </c>
    </row>
    <row r="189" customFormat="false" ht="15" hidden="false" customHeight="false" outlineLevel="0" collapsed="false">
      <c r="A189" s="12"/>
      <c r="B189" s="13"/>
      <c r="C189" s="13"/>
      <c r="D189" s="14"/>
      <c r="E189" s="15"/>
      <c r="F189" s="16" t="n">
        <f aca="false">IF(C189="",0,IF(COUNTIF(C$5:C189,C189)=1,1,0))</f>
        <v>0</v>
      </c>
      <c r="G189" s="16" t="n">
        <f aca="false">SUM(F$5:F189)</f>
        <v>8</v>
      </c>
      <c r="H189" s="16" t="n">
        <f aca="false">IF(B189="",0,IF(COUNTIF(B$5:B189,B189)=1,1,0))</f>
        <v>0</v>
      </c>
      <c r="I189" s="16" t="n">
        <f aca="false">SUM(H$5:H189)</f>
        <v>6</v>
      </c>
    </row>
    <row r="190" customFormat="false" ht="15" hidden="false" customHeight="false" outlineLevel="0" collapsed="false">
      <c r="A190" s="12"/>
      <c r="B190" s="13"/>
      <c r="C190" s="13"/>
      <c r="D190" s="14"/>
      <c r="E190" s="15"/>
      <c r="F190" s="16" t="n">
        <f aca="false">IF(C190="",0,IF(COUNTIF(C$5:C190,C190)=1,1,0))</f>
        <v>0</v>
      </c>
      <c r="G190" s="16" t="n">
        <f aca="false">SUM(F$5:F190)</f>
        <v>8</v>
      </c>
      <c r="H190" s="16" t="n">
        <f aca="false">IF(B190="",0,IF(COUNTIF(B$5:B190,B190)=1,1,0))</f>
        <v>0</v>
      </c>
      <c r="I190" s="16" t="n">
        <f aca="false">SUM(H$5:H190)</f>
        <v>6</v>
      </c>
    </row>
    <row r="191" customFormat="false" ht="15" hidden="false" customHeight="false" outlineLevel="0" collapsed="false">
      <c r="A191" s="12"/>
      <c r="B191" s="13"/>
      <c r="C191" s="13"/>
      <c r="D191" s="14"/>
      <c r="E191" s="15"/>
      <c r="F191" s="16" t="n">
        <f aca="false">IF(C191="",0,IF(COUNTIF(C$5:C191,C191)=1,1,0))</f>
        <v>0</v>
      </c>
      <c r="G191" s="16" t="n">
        <f aca="false">SUM(F$5:F191)</f>
        <v>8</v>
      </c>
      <c r="H191" s="16" t="n">
        <f aca="false">IF(B191="",0,IF(COUNTIF(B$5:B191,B191)=1,1,0))</f>
        <v>0</v>
      </c>
      <c r="I191" s="16" t="n">
        <f aca="false">SUM(H$5:H191)</f>
        <v>6</v>
      </c>
    </row>
    <row r="192" customFormat="false" ht="15" hidden="false" customHeight="false" outlineLevel="0" collapsed="false">
      <c r="A192" s="12"/>
      <c r="B192" s="13"/>
      <c r="C192" s="13"/>
      <c r="D192" s="14"/>
      <c r="E192" s="15"/>
      <c r="F192" s="16" t="n">
        <f aca="false">IF(C192="",0,IF(COUNTIF(C$5:C192,C192)=1,1,0))</f>
        <v>0</v>
      </c>
      <c r="G192" s="16" t="n">
        <f aca="false">SUM(F$5:F192)</f>
        <v>8</v>
      </c>
      <c r="H192" s="16" t="n">
        <f aca="false">IF(B192="",0,IF(COUNTIF(B$5:B192,B192)=1,1,0))</f>
        <v>0</v>
      </c>
      <c r="I192" s="16" t="n">
        <f aca="false">SUM(H$5:H192)</f>
        <v>6</v>
      </c>
    </row>
    <row r="193" customFormat="false" ht="15" hidden="false" customHeight="false" outlineLevel="0" collapsed="false">
      <c r="A193" s="12"/>
      <c r="B193" s="13"/>
      <c r="C193" s="13"/>
      <c r="D193" s="14"/>
      <c r="E193" s="15"/>
      <c r="F193" s="16" t="n">
        <f aca="false">IF(C193="",0,IF(COUNTIF(C$5:C193,C193)=1,1,0))</f>
        <v>0</v>
      </c>
      <c r="G193" s="16" t="n">
        <f aca="false">SUM(F$5:F193)</f>
        <v>8</v>
      </c>
      <c r="H193" s="16" t="n">
        <f aca="false">IF(B193="",0,IF(COUNTIF(B$5:B193,B193)=1,1,0))</f>
        <v>0</v>
      </c>
      <c r="I193" s="16" t="n">
        <f aca="false">SUM(H$5:H193)</f>
        <v>6</v>
      </c>
    </row>
    <row r="194" customFormat="false" ht="15" hidden="false" customHeight="false" outlineLevel="0" collapsed="false">
      <c r="A194" s="12"/>
      <c r="B194" s="13"/>
      <c r="C194" s="13"/>
      <c r="D194" s="14"/>
      <c r="E194" s="15"/>
      <c r="F194" s="16" t="n">
        <f aca="false">IF(C194="",0,IF(COUNTIF(C$5:C194,C194)=1,1,0))</f>
        <v>0</v>
      </c>
      <c r="G194" s="16" t="n">
        <f aca="false">SUM(F$5:F194)</f>
        <v>8</v>
      </c>
      <c r="H194" s="16" t="n">
        <f aca="false">IF(B194="",0,IF(COUNTIF(B$5:B194,B194)=1,1,0))</f>
        <v>0</v>
      </c>
      <c r="I194" s="16" t="n">
        <f aca="false">SUM(H$5:H194)</f>
        <v>6</v>
      </c>
    </row>
    <row r="195" customFormat="false" ht="15" hidden="false" customHeight="false" outlineLevel="0" collapsed="false">
      <c r="A195" s="12"/>
      <c r="B195" s="13"/>
      <c r="C195" s="13"/>
      <c r="D195" s="14"/>
      <c r="E195" s="15"/>
      <c r="F195" s="16" t="n">
        <f aca="false">IF(C195="",0,IF(COUNTIF(C$5:C195,C195)=1,1,0))</f>
        <v>0</v>
      </c>
      <c r="G195" s="16" t="n">
        <f aca="false">SUM(F$5:F195)</f>
        <v>8</v>
      </c>
      <c r="H195" s="16" t="n">
        <f aca="false">IF(B195="",0,IF(COUNTIF(B$5:B195,B195)=1,1,0))</f>
        <v>0</v>
      </c>
      <c r="I195" s="16" t="n">
        <f aca="false">SUM(H$5:H195)</f>
        <v>6</v>
      </c>
    </row>
    <row r="196" customFormat="false" ht="15" hidden="false" customHeight="false" outlineLevel="0" collapsed="false">
      <c r="A196" s="12"/>
      <c r="B196" s="13"/>
      <c r="C196" s="13"/>
      <c r="D196" s="14"/>
      <c r="E196" s="15"/>
      <c r="F196" s="16" t="n">
        <f aca="false">IF(C196="",0,IF(COUNTIF(C$5:C196,C196)=1,1,0))</f>
        <v>0</v>
      </c>
      <c r="G196" s="16" t="n">
        <f aca="false">SUM(F$5:F196)</f>
        <v>8</v>
      </c>
      <c r="H196" s="16" t="n">
        <f aca="false">IF(B196="",0,IF(COUNTIF(B$5:B196,B196)=1,1,0))</f>
        <v>0</v>
      </c>
      <c r="I196" s="16" t="n">
        <f aca="false">SUM(H$5:H196)</f>
        <v>6</v>
      </c>
    </row>
    <row r="197" customFormat="false" ht="15" hidden="false" customHeight="false" outlineLevel="0" collapsed="false">
      <c r="A197" s="12"/>
      <c r="B197" s="13"/>
      <c r="C197" s="13"/>
      <c r="D197" s="14"/>
      <c r="E197" s="15"/>
      <c r="F197" s="16" t="n">
        <f aca="false">IF(C197="",0,IF(COUNTIF(C$5:C197,C197)=1,1,0))</f>
        <v>0</v>
      </c>
      <c r="G197" s="16" t="n">
        <f aca="false">SUM(F$5:F197)</f>
        <v>8</v>
      </c>
      <c r="H197" s="16" t="n">
        <f aca="false">IF(B197="",0,IF(COUNTIF(B$5:B197,B197)=1,1,0))</f>
        <v>0</v>
      </c>
      <c r="I197" s="16" t="n">
        <f aca="false">SUM(H$5:H197)</f>
        <v>6</v>
      </c>
    </row>
    <row r="198" customFormat="false" ht="15" hidden="false" customHeight="false" outlineLevel="0" collapsed="false">
      <c r="A198" s="12"/>
      <c r="B198" s="13"/>
      <c r="C198" s="13"/>
      <c r="D198" s="14"/>
      <c r="E198" s="15"/>
      <c r="F198" s="16" t="n">
        <f aca="false">IF(C198="",0,IF(COUNTIF(C$5:C198,C198)=1,1,0))</f>
        <v>0</v>
      </c>
      <c r="G198" s="16" t="n">
        <f aca="false">SUM(F$5:F198)</f>
        <v>8</v>
      </c>
      <c r="H198" s="16" t="n">
        <f aca="false">IF(B198="",0,IF(COUNTIF(B$5:B198,B198)=1,1,0))</f>
        <v>0</v>
      </c>
      <c r="I198" s="16" t="n">
        <f aca="false">SUM(H$5:H198)</f>
        <v>6</v>
      </c>
    </row>
    <row r="199" customFormat="false" ht="15" hidden="false" customHeight="false" outlineLevel="0" collapsed="false">
      <c r="A199" s="12"/>
      <c r="B199" s="13"/>
      <c r="C199" s="13"/>
      <c r="D199" s="14"/>
      <c r="E199" s="15"/>
      <c r="F199" s="16" t="n">
        <f aca="false">IF(C199="",0,IF(COUNTIF(C$5:C199,C199)=1,1,0))</f>
        <v>0</v>
      </c>
      <c r="G199" s="16" t="n">
        <f aca="false">SUM(F$5:F199)</f>
        <v>8</v>
      </c>
      <c r="H199" s="16" t="n">
        <f aca="false">IF(B199="",0,IF(COUNTIF(B$5:B199,B199)=1,1,0))</f>
        <v>0</v>
      </c>
      <c r="I199" s="16" t="n">
        <f aca="false">SUM(H$5:H199)</f>
        <v>6</v>
      </c>
    </row>
    <row r="200" customFormat="false" ht="15" hidden="false" customHeight="false" outlineLevel="0" collapsed="false">
      <c r="A200" s="12"/>
      <c r="B200" s="13"/>
      <c r="C200" s="13"/>
      <c r="D200" s="14"/>
      <c r="E200" s="15"/>
      <c r="F200" s="16" t="n">
        <f aca="false">IF(C200="",0,IF(COUNTIF(C$5:C200,C200)=1,1,0))</f>
        <v>0</v>
      </c>
      <c r="G200" s="16" t="n">
        <f aca="false">SUM(F$5:F200)</f>
        <v>8</v>
      </c>
      <c r="H200" s="16" t="n">
        <f aca="false">IF(B200="",0,IF(COUNTIF(B$5:B200,B200)=1,1,0))</f>
        <v>0</v>
      </c>
      <c r="I200" s="16" t="n">
        <f aca="false">SUM(H$5:H200)</f>
        <v>6</v>
      </c>
    </row>
    <row r="201" customFormat="false" ht="15" hidden="false" customHeight="false" outlineLevel="0" collapsed="false">
      <c r="A201" s="12"/>
      <c r="B201" s="13"/>
      <c r="C201" s="13"/>
      <c r="D201" s="14"/>
      <c r="E201" s="15"/>
      <c r="F201" s="16" t="n">
        <f aca="false">IF(C201="",0,IF(COUNTIF(C$5:C201,C201)=1,1,0))</f>
        <v>0</v>
      </c>
      <c r="G201" s="16" t="n">
        <f aca="false">SUM(F$5:F201)</f>
        <v>8</v>
      </c>
      <c r="H201" s="16" t="n">
        <f aca="false">IF(B201="",0,IF(COUNTIF(B$5:B201,B201)=1,1,0))</f>
        <v>0</v>
      </c>
      <c r="I201" s="16" t="n">
        <f aca="false">SUM(H$5:H201)</f>
        <v>6</v>
      </c>
    </row>
    <row r="202" customFormat="false" ht="15" hidden="false" customHeight="false" outlineLevel="0" collapsed="false">
      <c r="A202" s="12"/>
      <c r="B202" s="13"/>
      <c r="C202" s="13"/>
      <c r="D202" s="14"/>
      <c r="E202" s="15"/>
      <c r="F202" s="16" t="n">
        <f aca="false">IF(C202="",0,IF(COUNTIF(C$5:C202,C202)=1,1,0))</f>
        <v>0</v>
      </c>
      <c r="G202" s="16" t="n">
        <f aca="false">SUM(F$5:F202)</f>
        <v>8</v>
      </c>
      <c r="H202" s="16" t="n">
        <f aca="false">IF(B202="",0,IF(COUNTIF(B$5:B202,B202)=1,1,0))</f>
        <v>0</v>
      </c>
      <c r="I202" s="16" t="n">
        <f aca="false">SUM(H$5:H202)</f>
        <v>6</v>
      </c>
    </row>
    <row r="203" customFormat="false" ht="15" hidden="false" customHeight="false" outlineLevel="0" collapsed="false">
      <c r="A203" s="12"/>
      <c r="B203" s="13"/>
      <c r="C203" s="13"/>
      <c r="D203" s="14"/>
      <c r="E203" s="15"/>
      <c r="F203" s="16" t="n">
        <f aca="false">IF(C203="",0,IF(COUNTIF(C$5:C203,C203)=1,1,0))</f>
        <v>0</v>
      </c>
      <c r="G203" s="16" t="n">
        <f aca="false">SUM(F$5:F203)</f>
        <v>8</v>
      </c>
      <c r="H203" s="16" t="n">
        <f aca="false">IF(B203="",0,IF(COUNTIF(B$5:B203,B203)=1,1,0))</f>
        <v>0</v>
      </c>
      <c r="I203" s="16" t="n">
        <f aca="false">SUM(H$5:H203)</f>
        <v>6</v>
      </c>
    </row>
    <row r="204" customFormat="false" ht="15" hidden="false" customHeight="false" outlineLevel="0" collapsed="false">
      <c r="A204" s="12"/>
      <c r="B204" s="13"/>
      <c r="C204" s="13"/>
      <c r="D204" s="14"/>
      <c r="E204" s="15"/>
      <c r="F204" s="16" t="n">
        <f aca="false">IF(C204="",0,IF(COUNTIF(C$5:C204,C204)=1,1,0))</f>
        <v>0</v>
      </c>
      <c r="G204" s="16" t="n">
        <f aca="false">SUM(F$5:F204)</f>
        <v>8</v>
      </c>
      <c r="H204" s="16" t="n">
        <f aca="false">IF(B204="",0,IF(COUNTIF(B$5:B204,B204)=1,1,0))</f>
        <v>0</v>
      </c>
      <c r="I204" s="16" t="n">
        <f aca="false">SUM(H$5:H204)</f>
        <v>6</v>
      </c>
    </row>
    <row r="205" customFormat="false" ht="15" hidden="false" customHeight="false" outlineLevel="0" collapsed="false">
      <c r="A205" s="12"/>
      <c r="B205" s="13"/>
      <c r="C205" s="13"/>
      <c r="D205" s="14"/>
      <c r="E205" s="15"/>
      <c r="F205" s="16" t="n">
        <f aca="false">IF(C205="",0,IF(COUNTIF(C$5:C205,C205)=1,1,0))</f>
        <v>0</v>
      </c>
      <c r="G205" s="16" t="n">
        <f aca="false">SUM(F$5:F205)</f>
        <v>8</v>
      </c>
      <c r="H205" s="16" t="n">
        <f aca="false">IF(B205="",0,IF(COUNTIF(B$5:B205,B205)=1,1,0))</f>
        <v>0</v>
      </c>
      <c r="I205" s="16" t="n">
        <f aca="false">SUM(H$5:H205)</f>
        <v>6</v>
      </c>
    </row>
    <row r="206" customFormat="false" ht="15" hidden="false" customHeight="false" outlineLevel="0" collapsed="false">
      <c r="A206" s="12"/>
      <c r="B206" s="13"/>
      <c r="C206" s="13"/>
      <c r="D206" s="14"/>
      <c r="E206" s="15"/>
      <c r="F206" s="16" t="n">
        <f aca="false">IF(C206="",0,IF(COUNTIF(C$5:C206,C206)=1,1,0))</f>
        <v>0</v>
      </c>
      <c r="G206" s="16" t="n">
        <f aca="false">SUM(F$5:F206)</f>
        <v>8</v>
      </c>
      <c r="H206" s="16" t="n">
        <f aca="false">IF(B206="",0,IF(COUNTIF(B$5:B206,B206)=1,1,0))</f>
        <v>0</v>
      </c>
      <c r="I206" s="16" t="n">
        <f aca="false">SUM(H$5:H206)</f>
        <v>6</v>
      </c>
    </row>
    <row r="207" customFormat="false" ht="15" hidden="false" customHeight="false" outlineLevel="0" collapsed="false">
      <c r="A207" s="12"/>
      <c r="B207" s="13"/>
      <c r="C207" s="13"/>
      <c r="D207" s="14"/>
      <c r="E207" s="15"/>
      <c r="F207" s="16" t="n">
        <f aca="false">IF(C207="",0,IF(COUNTIF(C$5:C207,C207)=1,1,0))</f>
        <v>0</v>
      </c>
      <c r="G207" s="16" t="n">
        <f aca="false">SUM(F$5:F207)</f>
        <v>8</v>
      </c>
      <c r="H207" s="16" t="n">
        <f aca="false">IF(B207="",0,IF(COUNTIF(B$5:B207,B207)=1,1,0))</f>
        <v>0</v>
      </c>
      <c r="I207" s="16" t="n">
        <f aca="false">SUM(H$5:H207)</f>
        <v>6</v>
      </c>
    </row>
    <row r="208" customFormat="false" ht="15" hidden="false" customHeight="false" outlineLevel="0" collapsed="false">
      <c r="A208" s="12"/>
      <c r="B208" s="13"/>
      <c r="C208" s="13"/>
      <c r="D208" s="14"/>
      <c r="E208" s="15"/>
      <c r="F208" s="16" t="n">
        <f aca="false">IF(C208="",0,IF(COUNTIF(C$5:C208,C208)=1,1,0))</f>
        <v>0</v>
      </c>
      <c r="G208" s="16" t="n">
        <f aca="false">SUM(F$5:F208)</f>
        <v>8</v>
      </c>
      <c r="H208" s="16" t="n">
        <f aca="false">IF(B208="",0,IF(COUNTIF(B$5:B208,B208)=1,1,0))</f>
        <v>0</v>
      </c>
      <c r="I208" s="16" t="n">
        <f aca="false">SUM(H$5:H208)</f>
        <v>6</v>
      </c>
    </row>
    <row r="209" customFormat="false" ht="15" hidden="false" customHeight="false" outlineLevel="0" collapsed="false">
      <c r="A209" s="12"/>
      <c r="B209" s="13"/>
      <c r="C209" s="13"/>
      <c r="D209" s="14"/>
      <c r="E209" s="15"/>
      <c r="F209" s="16" t="n">
        <f aca="false">IF(C209="",0,IF(COUNTIF(C$5:C209,C209)=1,1,0))</f>
        <v>0</v>
      </c>
      <c r="G209" s="16" t="n">
        <f aca="false">SUM(F$5:F209)</f>
        <v>8</v>
      </c>
      <c r="H209" s="16" t="n">
        <f aca="false">IF(B209="",0,IF(COUNTIF(B$5:B209,B209)=1,1,0))</f>
        <v>0</v>
      </c>
      <c r="I209" s="16" t="n">
        <f aca="false">SUM(H$5:H209)</f>
        <v>6</v>
      </c>
    </row>
    <row r="210" customFormat="false" ht="15" hidden="false" customHeight="false" outlineLevel="0" collapsed="false">
      <c r="A210" s="12"/>
      <c r="B210" s="13"/>
      <c r="C210" s="13"/>
      <c r="D210" s="14"/>
      <c r="E210" s="15"/>
      <c r="F210" s="16" t="n">
        <f aca="false">IF(C210="",0,IF(COUNTIF(C$5:C210,C210)=1,1,0))</f>
        <v>0</v>
      </c>
      <c r="G210" s="16" t="n">
        <f aca="false">SUM(F$5:F210)</f>
        <v>8</v>
      </c>
      <c r="H210" s="16" t="n">
        <f aca="false">IF(B210="",0,IF(COUNTIF(B$5:B210,B210)=1,1,0))</f>
        <v>0</v>
      </c>
      <c r="I210" s="16" t="n">
        <f aca="false">SUM(H$5:H210)</f>
        <v>6</v>
      </c>
    </row>
    <row r="211" customFormat="false" ht="15" hidden="false" customHeight="false" outlineLevel="0" collapsed="false">
      <c r="A211" s="12"/>
      <c r="B211" s="13"/>
      <c r="C211" s="13"/>
      <c r="D211" s="14"/>
      <c r="E211" s="15"/>
      <c r="F211" s="16" t="n">
        <f aca="false">IF(C211="",0,IF(COUNTIF(C$5:C211,C211)=1,1,0))</f>
        <v>0</v>
      </c>
      <c r="G211" s="16" t="n">
        <f aca="false">SUM(F$5:F211)</f>
        <v>8</v>
      </c>
      <c r="H211" s="16" t="n">
        <f aca="false">IF(B211="",0,IF(COUNTIF(B$5:B211,B211)=1,1,0))</f>
        <v>0</v>
      </c>
      <c r="I211" s="16" t="n">
        <f aca="false">SUM(H$5:H211)</f>
        <v>6</v>
      </c>
    </row>
    <row r="212" customFormat="false" ht="15" hidden="false" customHeight="false" outlineLevel="0" collapsed="false">
      <c r="A212" s="12"/>
      <c r="B212" s="13"/>
      <c r="C212" s="13"/>
      <c r="D212" s="14"/>
      <c r="E212" s="15"/>
      <c r="F212" s="16" t="n">
        <f aca="false">IF(C212="",0,IF(COUNTIF(C$5:C212,C212)=1,1,0))</f>
        <v>0</v>
      </c>
      <c r="G212" s="16" t="n">
        <f aca="false">SUM(F$5:F212)</f>
        <v>8</v>
      </c>
      <c r="H212" s="16" t="n">
        <f aca="false">IF(B212="",0,IF(COUNTIF(B$5:B212,B212)=1,1,0))</f>
        <v>0</v>
      </c>
      <c r="I212" s="16" t="n">
        <f aca="false">SUM(H$5:H212)</f>
        <v>6</v>
      </c>
    </row>
    <row r="213" customFormat="false" ht="15" hidden="false" customHeight="false" outlineLevel="0" collapsed="false">
      <c r="A213" s="12"/>
      <c r="B213" s="13"/>
      <c r="C213" s="13"/>
      <c r="D213" s="14"/>
      <c r="E213" s="15"/>
      <c r="F213" s="16" t="n">
        <f aca="false">IF(C213="",0,IF(COUNTIF(C$5:C213,C213)=1,1,0))</f>
        <v>0</v>
      </c>
      <c r="G213" s="16" t="n">
        <f aca="false">SUM(F$5:F213)</f>
        <v>8</v>
      </c>
      <c r="H213" s="16" t="n">
        <f aca="false">IF(B213="",0,IF(COUNTIF(B$5:B213,B213)=1,1,0))</f>
        <v>0</v>
      </c>
      <c r="I213" s="16" t="n">
        <f aca="false">SUM(H$5:H213)</f>
        <v>6</v>
      </c>
    </row>
    <row r="214" customFormat="false" ht="15" hidden="false" customHeight="false" outlineLevel="0" collapsed="false">
      <c r="A214" s="12"/>
      <c r="B214" s="13"/>
      <c r="C214" s="13"/>
      <c r="D214" s="14"/>
      <c r="E214" s="15"/>
      <c r="F214" s="16" t="n">
        <f aca="false">IF(C214="",0,IF(COUNTIF(C$5:C214,C214)=1,1,0))</f>
        <v>0</v>
      </c>
      <c r="G214" s="16" t="n">
        <f aca="false">SUM(F$5:F214)</f>
        <v>8</v>
      </c>
      <c r="H214" s="16" t="n">
        <f aca="false">IF(B214="",0,IF(COUNTIF(B$5:B214,B214)=1,1,0))</f>
        <v>0</v>
      </c>
      <c r="I214" s="16" t="n">
        <f aca="false">SUM(H$5:H214)</f>
        <v>6</v>
      </c>
    </row>
    <row r="215" customFormat="false" ht="15" hidden="false" customHeight="false" outlineLevel="0" collapsed="false">
      <c r="A215" s="12"/>
      <c r="B215" s="13"/>
      <c r="C215" s="13"/>
      <c r="D215" s="14"/>
      <c r="E215" s="15"/>
      <c r="F215" s="16" t="n">
        <f aca="false">IF(C215="",0,IF(COUNTIF(C$5:C215,C215)=1,1,0))</f>
        <v>0</v>
      </c>
      <c r="G215" s="16" t="n">
        <f aca="false">SUM(F$5:F215)</f>
        <v>8</v>
      </c>
      <c r="H215" s="16" t="n">
        <f aca="false">IF(B215="",0,IF(COUNTIF(B$5:B215,B215)=1,1,0))</f>
        <v>0</v>
      </c>
      <c r="I215" s="16" t="n">
        <f aca="false">SUM(H$5:H215)</f>
        <v>6</v>
      </c>
    </row>
    <row r="216" customFormat="false" ht="15" hidden="false" customHeight="false" outlineLevel="0" collapsed="false">
      <c r="A216" s="12"/>
      <c r="B216" s="13"/>
      <c r="C216" s="13"/>
      <c r="D216" s="14"/>
      <c r="E216" s="15"/>
      <c r="F216" s="16" t="n">
        <f aca="false">IF(C216="",0,IF(COUNTIF(C$5:C216,C216)=1,1,0))</f>
        <v>0</v>
      </c>
      <c r="G216" s="16" t="n">
        <f aca="false">SUM(F$5:F216)</f>
        <v>8</v>
      </c>
      <c r="H216" s="16" t="n">
        <f aca="false">IF(B216="",0,IF(COUNTIF(B$5:B216,B216)=1,1,0))</f>
        <v>0</v>
      </c>
      <c r="I216" s="16" t="n">
        <f aca="false">SUM(H$5:H216)</f>
        <v>6</v>
      </c>
    </row>
    <row r="217" customFormat="false" ht="15" hidden="false" customHeight="false" outlineLevel="0" collapsed="false">
      <c r="A217" s="12"/>
      <c r="B217" s="13"/>
      <c r="C217" s="13"/>
      <c r="D217" s="14"/>
      <c r="E217" s="15"/>
      <c r="F217" s="16" t="n">
        <f aca="false">IF(C217="",0,IF(COUNTIF(C$5:C217,C217)=1,1,0))</f>
        <v>0</v>
      </c>
      <c r="G217" s="16" t="n">
        <f aca="false">SUM(F$5:F217)</f>
        <v>8</v>
      </c>
      <c r="H217" s="16" t="n">
        <f aca="false">IF(B217="",0,IF(COUNTIF(B$5:B217,B217)=1,1,0))</f>
        <v>0</v>
      </c>
      <c r="I217" s="16" t="n">
        <f aca="false">SUM(H$5:H217)</f>
        <v>6</v>
      </c>
    </row>
    <row r="218" customFormat="false" ht="15" hidden="false" customHeight="false" outlineLevel="0" collapsed="false">
      <c r="A218" s="12"/>
      <c r="B218" s="13"/>
      <c r="C218" s="13"/>
      <c r="D218" s="14"/>
      <c r="E218" s="15"/>
      <c r="F218" s="16" t="n">
        <f aca="false">IF(C218="",0,IF(COUNTIF(C$5:C218,C218)=1,1,0))</f>
        <v>0</v>
      </c>
      <c r="G218" s="16" t="n">
        <f aca="false">SUM(F$5:F218)</f>
        <v>8</v>
      </c>
      <c r="H218" s="16" t="n">
        <f aca="false">IF(B218="",0,IF(COUNTIF(B$5:B218,B218)=1,1,0))</f>
        <v>0</v>
      </c>
      <c r="I218" s="16" t="n">
        <f aca="false">SUM(H$5:H218)</f>
        <v>6</v>
      </c>
    </row>
    <row r="219" customFormat="false" ht="15" hidden="false" customHeight="false" outlineLevel="0" collapsed="false">
      <c r="A219" s="12"/>
      <c r="B219" s="13"/>
      <c r="C219" s="13"/>
      <c r="D219" s="14"/>
      <c r="E219" s="15"/>
      <c r="F219" s="16" t="n">
        <f aca="false">IF(C219="",0,IF(COUNTIF(C$5:C219,C219)=1,1,0))</f>
        <v>0</v>
      </c>
      <c r="G219" s="16" t="n">
        <f aca="false">SUM(F$5:F219)</f>
        <v>8</v>
      </c>
      <c r="H219" s="16" t="n">
        <f aca="false">IF(B219="",0,IF(COUNTIF(B$5:B219,B219)=1,1,0))</f>
        <v>0</v>
      </c>
      <c r="I219" s="16" t="n">
        <f aca="false">SUM(H$5:H219)</f>
        <v>6</v>
      </c>
    </row>
    <row r="220" customFormat="false" ht="15" hidden="false" customHeight="false" outlineLevel="0" collapsed="false">
      <c r="A220" s="12"/>
      <c r="B220" s="13"/>
      <c r="C220" s="13"/>
      <c r="D220" s="14"/>
      <c r="E220" s="15"/>
      <c r="F220" s="16" t="n">
        <f aca="false">IF(C220="",0,IF(COUNTIF(C$5:C220,C220)=1,1,0))</f>
        <v>0</v>
      </c>
      <c r="G220" s="16" t="n">
        <f aca="false">SUM(F$5:F220)</f>
        <v>8</v>
      </c>
      <c r="H220" s="16" t="n">
        <f aca="false">IF(B220="",0,IF(COUNTIF(B$5:B220,B220)=1,1,0))</f>
        <v>0</v>
      </c>
      <c r="I220" s="16" t="n">
        <f aca="false">SUM(H$5:H220)</f>
        <v>6</v>
      </c>
    </row>
    <row r="221" customFormat="false" ht="15" hidden="false" customHeight="false" outlineLevel="0" collapsed="false">
      <c r="A221" s="12"/>
      <c r="B221" s="13"/>
      <c r="C221" s="13"/>
      <c r="D221" s="14"/>
      <c r="E221" s="15"/>
      <c r="F221" s="16" t="n">
        <f aca="false">IF(C221="",0,IF(COUNTIF(C$5:C221,C221)=1,1,0))</f>
        <v>0</v>
      </c>
      <c r="G221" s="16" t="n">
        <f aca="false">SUM(F$5:F221)</f>
        <v>8</v>
      </c>
      <c r="H221" s="16" t="n">
        <f aca="false">IF(B221="",0,IF(COUNTIF(B$5:B221,B221)=1,1,0))</f>
        <v>0</v>
      </c>
      <c r="I221" s="16" t="n">
        <f aca="false">SUM(H$5:H221)</f>
        <v>6</v>
      </c>
    </row>
    <row r="222" customFormat="false" ht="15" hidden="false" customHeight="false" outlineLevel="0" collapsed="false">
      <c r="A222" s="12"/>
      <c r="B222" s="13"/>
      <c r="C222" s="13"/>
      <c r="D222" s="14"/>
      <c r="E222" s="15"/>
      <c r="F222" s="16" t="n">
        <f aca="false">IF(C222="",0,IF(COUNTIF(C$5:C222,C222)=1,1,0))</f>
        <v>0</v>
      </c>
      <c r="G222" s="16" t="n">
        <f aca="false">SUM(F$5:F222)</f>
        <v>8</v>
      </c>
      <c r="H222" s="16" t="n">
        <f aca="false">IF(B222="",0,IF(COUNTIF(B$5:B222,B222)=1,1,0))</f>
        <v>0</v>
      </c>
      <c r="I222" s="16" t="n">
        <f aca="false">SUM(H$5:H222)</f>
        <v>6</v>
      </c>
    </row>
    <row r="223" customFormat="false" ht="15" hidden="false" customHeight="false" outlineLevel="0" collapsed="false">
      <c r="A223" s="12"/>
      <c r="B223" s="13"/>
      <c r="C223" s="13"/>
      <c r="D223" s="14"/>
      <c r="E223" s="15"/>
      <c r="F223" s="16" t="n">
        <f aca="false">IF(C223="",0,IF(COUNTIF(C$5:C223,C223)=1,1,0))</f>
        <v>0</v>
      </c>
      <c r="G223" s="16" t="n">
        <f aca="false">SUM(F$5:F223)</f>
        <v>8</v>
      </c>
      <c r="H223" s="16" t="n">
        <f aca="false">IF(B223="",0,IF(COUNTIF(B$5:B223,B223)=1,1,0))</f>
        <v>0</v>
      </c>
      <c r="I223" s="16" t="n">
        <f aca="false">SUM(H$5:H223)</f>
        <v>6</v>
      </c>
    </row>
    <row r="224" customFormat="false" ht="15" hidden="false" customHeight="false" outlineLevel="0" collapsed="false">
      <c r="A224" s="12"/>
      <c r="B224" s="13"/>
      <c r="C224" s="13"/>
      <c r="D224" s="14"/>
      <c r="E224" s="15"/>
      <c r="F224" s="16" t="n">
        <f aca="false">IF(C224="",0,IF(COUNTIF(C$5:C224,C224)=1,1,0))</f>
        <v>0</v>
      </c>
      <c r="G224" s="16" t="n">
        <f aca="false">SUM(F$5:F224)</f>
        <v>8</v>
      </c>
      <c r="H224" s="16" t="n">
        <f aca="false">IF(B224="",0,IF(COUNTIF(B$5:B224,B224)=1,1,0))</f>
        <v>0</v>
      </c>
      <c r="I224" s="16" t="n">
        <f aca="false">SUM(H$5:H224)</f>
        <v>6</v>
      </c>
    </row>
    <row r="225" customFormat="false" ht="15" hidden="false" customHeight="false" outlineLevel="0" collapsed="false">
      <c r="A225" s="12"/>
      <c r="B225" s="13"/>
      <c r="C225" s="13"/>
      <c r="D225" s="14"/>
      <c r="E225" s="15"/>
      <c r="F225" s="16" t="n">
        <f aca="false">IF(C225="",0,IF(COUNTIF(C$5:C225,C225)=1,1,0))</f>
        <v>0</v>
      </c>
      <c r="G225" s="16" t="n">
        <f aca="false">SUM(F$5:F225)</f>
        <v>8</v>
      </c>
      <c r="H225" s="16" t="n">
        <f aca="false">IF(B225="",0,IF(COUNTIF(B$5:B225,B225)=1,1,0))</f>
        <v>0</v>
      </c>
      <c r="I225" s="16" t="n">
        <f aca="false">SUM(H$5:H225)</f>
        <v>6</v>
      </c>
    </row>
    <row r="226" customFormat="false" ht="15" hidden="false" customHeight="false" outlineLevel="0" collapsed="false">
      <c r="A226" s="12"/>
      <c r="B226" s="13"/>
      <c r="C226" s="13"/>
      <c r="D226" s="14"/>
      <c r="E226" s="15"/>
      <c r="F226" s="16" t="n">
        <f aca="false">IF(C226="",0,IF(COUNTIF(C$5:C226,C226)=1,1,0))</f>
        <v>0</v>
      </c>
      <c r="G226" s="16" t="n">
        <f aca="false">SUM(F$5:F226)</f>
        <v>8</v>
      </c>
      <c r="H226" s="16" t="n">
        <f aca="false">IF(B226="",0,IF(COUNTIF(B$5:B226,B226)=1,1,0))</f>
        <v>0</v>
      </c>
      <c r="I226" s="16" t="n">
        <f aca="false">SUM(H$5:H226)</f>
        <v>6</v>
      </c>
    </row>
    <row r="227" customFormat="false" ht="15" hidden="false" customHeight="false" outlineLevel="0" collapsed="false">
      <c r="A227" s="12"/>
      <c r="B227" s="13"/>
      <c r="C227" s="13"/>
      <c r="D227" s="14"/>
      <c r="E227" s="15"/>
      <c r="F227" s="16" t="n">
        <f aca="false">IF(C227="",0,IF(COUNTIF(C$5:C227,C227)=1,1,0))</f>
        <v>0</v>
      </c>
      <c r="G227" s="16" t="n">
        <f aca="false">SUM(F$5:F227)</f>
        <v>8</v>
      </c>
      <c r="H227" s="16" t="n">
        <f aca="false">IF(B227="",0,IF(COUNTIF(B$5:B227,B227)=1,1,0))</f>
        <v>0</v>
      </c>
      <c r="I227" s="16" t="n">
        <f aca="false">SUM(H$5:H227)</f>
        <v>6</v>
      </c>
    </row>
    <row r="228" customFormat="false" ht="15" hidden="false" customHeight="false" outlineLevel="0" collapsed="false">
      <c r="A228" s="12"/>
      <c r="B228" s="13"/>
      <c r="C228" s="13"/>
      <c r="D228" s="14"/>
      <c r="E228" s="15"/>
      <c r="F228" s="16" t="n">
        <f aca="false">IF(C228="",0,IF(COUNTIF(C$5:C228,C228)=1,1,0))</f>
        <v>0</v>
      </c>
      <c r="G228" s="16" t="n">
        <f aca="false">SUM(F$5:F228)</f>
        <v>8</v>
      </c>
      <c r="H228" s="16" t="n">
        <f aca="false">IF(B228="",0,IF(COUNTIF(B$5:B228,B228)=1,1,0))</f>
        <v>0</v>
      </c>
      <c r="I228" s="16" t="n">
        <f aca="false">SUM(H$5:H228)</f>
        <v>6</v>
      </c>
    </row>
    <row r="229" customFormat="false" ht="15" hidden="false" customHeight="false" outlineLevel="0" collapsed="false">
      <c r="A229" s="12"/>
      <c r="B229" s="13"/>
      <c r="C229" s="13"/>
      <c r="D229" s="14"/>
      <c r="E229" s="15"/>
      <c r="F229" s="16" t="n">
        <f aca="false">IF(C229="",0,IF(COUNTIF(C$5:C229,C229)=1,1,0))</f>
        <v>0</v>
      </c>
      <c r="G229" s="16" t="n">
        <f aca="false">SUM(F$5:F229)</f>
        <v>8</v>
      </c>
      <c r="H229" s="16" t="n">
        <f aca="false">IF(B229="",0,IF(COUNTIF(B$5:B229,B229)=1,1,0))</f>
        <v>0</v>
      </c>
      <c r="I229" s="16" t="n">
        <f aca="false">SUM(H$5:H229)</f>
        <v>6</v>
      </c>
    </row>
    <row r="230" customFormat="false" ht="15" hidden="false" customHeight="false" outlineLevel="0" collapsed="false">
      <c r="A230" s="12"/>
      <c r="B230" s="13"/>
      <c r="C230" s="13"/>
      <c r="D230" s="14"/>
      <c r="E230" s="15"/>
      <c r="F230" s="16" t="n">
        <f aca="false">IF(C230="",0,IF(COUNTIF(C$5:C230,C230)=1,1,0))</f>
        <v>0</v>
      </c>
      <c r="G230" s="16" t="n">
        <f aca="false">SUM(F$5:F230)</f>
        <v>8</v>
      </c>
      <c r="H230" s="16" t="n">
        <f aca="false">IF(B230="",0,IF(COUNTIF(B$5:B230,B230)=1,1,0))</f>
        <v>0</v>
      </c>
      <c r="I230" s="16" t="n">
        <f aca="false">SUM(H$5:H230)</f>
        <v>6</v>
      </c>
    </row>
    <row r="231" customFormat="false" ht="15" hidden="false" customHeight="false" outlineLevel="0" collapsed="false">
      <c r="A231" s="12"/>
      <c r="B231" s="13"/>
      <c r="C231" s="13"/>
      <c r="D231" s="14"/>
      <c r="E231" s="15"/>
      <c r="F231" s="16" t="n">
        <f aca="false">IF(C231="",0,IF(COUNTIF(C$5:C231,C231)=1,1,0))</f>
        <v>0</v>
      </c>
      <c r="G231" s="16" t="n">
        <f aca="false">SUM(F$5:F231)</f>
        <v>8</v>
      </c>
      <c r="H231" s="16" t="n">
        <f aca="false">IF(B231="",0,IF(COUNTIF(B$5:B231,B231)=1,1,0))</f>
        <v>0</v>
      </c>
      <c r="I231" s="16" t="n">
        <f aca="false">SUM(H$5:H231)</f>
        <v>6</v>
      </c>
    </row>
    <row r="232" customFormat="false" ht="15" hidden="false" customHeight="false" outlineLevel="0" collapsed="false">
      <c r="A232" s="12"/>
      <c r="B232" s="13"/>
      <c r="C232" s="13"/>
      <c r="D232" s="14"/>
      <c r="E232" s="15"/>
      <c r="F232" s="16" t="n">
        <f aca="false">IF(C232="",0,IF(COUNTIF(C$5:C232,C232)=1,1,0))</f>
        <v>0</v>
      </c>
      <c r="G232" s="16" t="n">
        <f aca="false">SUM(F$5:F232)</f>
        <v>8</v>
      </c>
      <c r="H232" s="16" t="n">
        <f aca="false">IF(B232="",0,IF(COUNTIF(B$5:B232,B232)=1,1,0))</f>
        <v>0</v>
      </c>
      <c r="I232" s="16" t="n">
        <f aca="false">SUM(H$5:H232)</f>
        <v>6</v>
      </c>
    </row>
    <row r="233" customFormat="false" ht="15" hidden="false" customHeight="false" outlineLevel="0" collapsed="false">
      <c r="A233" s="12"/>
      <c r="B233" s="13"/>
      <c r="C233" s="13"/>
      <c r="D233" s="14"/>
      <c r="E233" s="15"/>
      <c r="F233" s="16" t="n">
        <f aca="false">IF(C233="",0,IF(COUNTIF(C$5:C233,C233)=1,1,0))</f>
        <v>0</v>
      </c>
      <c r="G233" s="16" t="n">
        <f aca="false">SUM(F$5:F233)</f>
        <v>8</v>
      </c>
      <c r="H233" s="16" t="n">
        <f aca="false">IF(B233="",0,IF(COUNTIF(B$5:B233,B233)=1,1,0))</f>
        <v>0</v>
      </c>
      <c r="I233" s="16" t="n">
        <f aca="false">SUM(H$5:H233)</f>
        <v>6</v>
      </c>
    </row>
    <row r="234" customFormat="false" ht="15" hidden="false" customHeight="false" outlineLevel="0" collapsed="false">
      <c r="A234" s="12"/>
      <c r="B234" s="13"/>
      <c r="C234" s="13"/>
      <c r="D234" s="14"/>
      <c r="E234" s="15"/>
      <c r="F234" s="16" t="n">
        <f aca="false">IF(C234="",0,IF(COUNTIF(C$5:C234,C234)=1,1,0))</f>
        <v>0</v>
      </c>
      <c r="G234" s="16" t="n">
        <f aca="false">SUM(F$5:F234)</f>
        <v>8</v>
      </c>
      <c r="H234" s="16" t="n">
        <f aca="false">IF(B234="",0,IF(COUNTIF(B$5:B234,B234)=1,1,0))</f>
        <v>0</v>
      </c>
      <c r="I234" s="16" t="n">
        <f aca="false">SUM(H$5:H234)</f>
        <v>6</v>
      </c>
    </row>
    <row r="235" customFormat="false" ht="15" hidden="false" customHeight="false" outlineLevel="0" collapsed="false">
      <c r="A235" s="12"/>
      <c r="B235" s="13"/>
      <c r="C235" s="13"/>
      <c r="D235" s="14"/>
      <c r="E235" s="15"/>
      <c r="F235" s="16" t="n">
        <f aca="false">IF(C235="",0,IF(COUNTIF(C$5:C235,C235)=1,1,0))</f>
        <v>0</v>
      </c>
      <c r="G235" s="16" t="n">
        <f aca="false">SUM(F$5:F235)</f>
        <v>8</v>
      </c>
      <c r="H235" s="16" t="n">
        <f aca="false">IF(B235="",0,IF(COUNTIF(B$5:B235,B235)=1,1,0))</f>
        <v>0</v>
      </c>
      <c r="I235" s="16" t="n">
        <f aca="false">SUM(H$5:H235)</f>
        <v>6</v>
      </c>
    </row>
    <row r="236" customFormat="false" ht="15" hidden="false" customHeight="false" outlineLevel="0" collapsed="false">
      <c r="A236" s="12"/>
      <c r="B236" s="13"/>
      <c r="C236" s="13"/>
      <c r="D236" s="14"/>
      <c r="E236" s="15"/>
      <c r="F236" s="16" t="n">
        <f aca="false">IF(C236="",0,IF(COUNTIF(C$5:C236,C236)=1,1,0))</f>
        <v>0</v>
      </c>
      <c r="G236" s="16" t="n">
        <f aca="false">SUM(F$5:F236)</f>
        <v>8</v>
      </c>
      <c r="H236" s="16" t="n">
        <f aca="false">IF(B236="",0,IF(COUNTIF(B$5:B236,B236)=1,1,0))</f>
        <v>0</v>
      </c>
      <c r="I236" s="16" t="n">
        <f aca="false">SUM(H$5:H236)</f>
        <v>6</v>
      </c>
    </row>
    <row r="237" customFormat="false" ht="15" hidden="false" customHeight="false" outlineLevel="0" collapsed="false">
      <c r="A237" s="12"/>
      <c r="B237" s="13"/>
      <c r="C237" s="13"/>
      <c r="D237" s="14"/>
      <c r="E237" s="15"/>
      <c r="F237" s="16" t="n">
        <f aca="false">IF(C237="",0,IF(COUNTIF(C$5:C237,C237)=1,1,0))</f>
        <v>0</v>
      </c>
      <c r="G237" s="16" t="n">
        <f aca="false">SUM(F$5:F237)</f>
        <v>8</v>
      </c>
      <c r="H237" s="16" t="n">
        <f aca="false">IF(B237="",0,IF(COUNTIF(B$5:B237,B237)=1,1,0))</f>
        <v>0</v>
      </c>
      <c r="I237" s="16" t="n">
        <f aca="false">SUM(H$5:H237)</f>
        <v>6</v>
      </c>
    </row>
    <row r="238" customFormat="false" ht="15" hidden="false" customHeight="false" outlineLevel="0" collapsed="false">
      <c r="A238" s="12"/>
      <c r="B238" s="13"/>
      <c r="C238" s="13"/>
      <c r="D238" s="14"/>
      <c r="E238" s="15"/>
      <c r="F238" s="16" t="n">
        <f aca="false">IF(C238="",0,IF(COUNTIF(C$5:C238,C238)=1,1,0))</f>
        <v>0</v>
      </c>
      <c r="G238" s="16" t="n">
        <f aca="false">SUM(F$5:F238)</f>
        <v>8</v>
      </c>
      <c r="H238" s="16" t="n">
        <f aca="false">IF(B238="",0,IF(COUNTIF(B$5:B238,B238)=1,1,0))</f>
        <v>0</v>
      </c>
      <c r="I238" s="16" t="n">
        <f aca="false">SUM(H$5:H238)</f>
        <v>6</v>
      </c>
    </row>
    <row r="239" customFormat="false" ht="15" hidden="false" customHeight="false" outlineLevel="0" collapsed="false">
      <c r="A239" s="12"/>
      <c r="B239" s="13"/>
      <c r="C239" s="13"/>
      <c r="D239" s="14"/>
      <c r="E239" s="15"/>
      <c r="F239" s="16" t="n">
        <f aca="false">IF(C239="",0,IF(COUNTIF(C$5:C239,C239)=1,1,0))</f>
        <v>0</v>
      </c>
      <c r="G239" s="16" t="n">
        <f aca="false">SUM(F$5:F239)</f>
        <v>8</v>
      </c>
      <c r="H239" s="16" t="n">
        <f aca="false">IF(B239="",0,IF(COUNTIF(B$5:B239,B239)=1,1,0))</f>
        <v>0</v>
      </c>
      <c r="I239" s="16" t="n">
        <f aca="false">SUM(H$5:H239)</f>
        <v>6</v>
      </c>
    </row>
    <row r="240" customFormat="false" ht="15" hidden="false" customHeight="false" outlineLevel="0" collapsed="false">
      <c r="A240" s="12"/>
      <c r="B240" s="13"/>
      <c r="C240" s="13"/>
      <c r="D240" s="14"/>
      <c r="E240" s="15"/>
      <c r="F240" s="16" t="n">
        <f aca="false">IF(C240="",0,IF(COUNTIF(C$5:C240,C240)=1,1,0))</f>
        <v>0</v>
      </c>
      <c r="G240" s="16" t="n">
        <f aca="false">SUM(F$5:F240)</f>
        <v>8</v>
      </c>
      <c r="H240" s="16" t="n">
        <f aca="false">IF(B240="",0,IF(COUNTIF(B$5:B240,B240)=1,1,0))</f>
        <v>0</v>
      </c>
      <c r="I240" s="16" t="n">
        <f aca="false">SUM(H$5:H240)</f>
        <v>6</v>
      </c>
    </row>
    <row r="241" customFormat="false" ht="15" hidden="false" customHeight="false" outlineLevel="0" collapsed="false">
      <c r="A241" s="12"/>
      <c r="B241" s="13"/>
      <c r="C241" s="13"/>
      <c r="D241" s="14"/>
      <c r="E241" s="15"/>
      <c r="F241" s="16" t="n">
        <f aca="false">IF(C241="",0,IF(COUNTIF(C$5:C241,C241)=1,1,0))</f>
        <v>0</v>
      </c>
      <c r="G241" s="16" t="n">
        <f aca="false">SUM(F$5:F241)</f>
        <v>8</v>
      </c>
      <c r="H241" s="16" t="n">
        <f aca="false">IF(B241="",0,IF(COUNTIF(B$5:B241,B241)=1,1,0))</f>
        <v>0</v>
      </c>
      <c r="I241" s="16" t="n">
        <f aca="false">SUM(H$5:H241)</f>
        <v>6</v>
      </c>
    </row>
    <row r="242" customFormat="false" ht="15" hidden="false" customHeight="false" outlineLevel="0" collapsed="false">
      <c r="A242" s="12"/>
      <c r="B242" s="13"/>
      <c r="C242" s="13"/>
      <c r="D242" s="14"/>
      <c r="E242" s="15"/>
      <c r="F242" s="16" t="n">
        <f aca="false">IF(C242="",0,IF(COUNTIF(C$5:C242,C242)=1,1,0))</f>
        <v>0</v>
      </c>
      <c r="G242" s="16" t="n">
        <f aca="false">SUM(F$5:F242)</f>
        <v>8</v>
      </c>
      <c r="H242" s="16" t="n">
        <f aca="false">IF(B242="",0,IF(COUNTIF(B$5:B242,B242)=1,1,0))</f>
        <v>0</v>
      </c>
      <c r="I242" s="16" t="n">
        <f aca="false">SUM(H$5:H242)</f>
        <v>6</v>
      </c>
    </row>
    <row r="243" customFormat="false" ht="15" hidden="false" customHeight="false" outlineLevel="0" collapsed="false">
      <c r="A243" s="12"/>
      <c r="B243" s="13"/>
      <c r="C243" s="13"/>
      <c r="D243" s="14"/>
      <c r="E243" s="15"/>
      <c r="F243" s="16" t="n">
        <f aca="false">IF(C243="",0,IF(COUNTIF(C$5:C243,C243)=1,1,0))</f>
        <v>0</v>
      </c>
      <c r="G243" s="16" t="n">
        <f aca="false">SUM(F$5:F243)</f>
        <v>8</v>
      </c>
      <c r="H243" s="16" t="n">
        <f aca="false">IF(B243="",0,IF(COUNTIF(B$5:B243,B243)=1,1,0))</f>
        <v>0</v>
      </c>
      <c r="I243" s="16" t="n">
        <f aca="false">SUM(H$5:H243)</f>
        <v>6</v>
      </c>
    </row>
    <row r="244" customFormat="false" ht="15" hidden="false" customHeight="false" outlineLevel="0" collapsed="false">
      <c r="A244" s="12"/>
      <c r="B244" s="13"/>
      <c r="C244" s="13"/>
      <c r="D244" s="14"/>
      <c r="E244" s="15"/>
      <c r="F244" s="16" t="n">
        <f aca="false">IF(C244="",0,IF(COUNTIF(C$5:C244,C244)=1,1,0))</f>
        <v>0</v>
      </c>
      <c r="G244" s="16" t="n">
        <f aca="false">SUM(F$5:F244)</f>
        <v>8</v>
      </c>
      <c r="H244" s="16" t="n">
        <f aca="false">IF(B244="",0,IF(COUNTIF(B$5:B244,B244)=1,1,0))</f>
        <v>0</v>
      </c>
      <c r="I244" s="16" t="n">
        <f aca="false">SUM(H$5:H244)</f>
        <v>6</v>
      </c>
    </row>
    <row r="245" customFormat="false" ht="15" hidden="false" customHeight="false" outlineLevel="0" collapsed="false">
      <c r="A245" s="12"/>
      <c r="B245" s="13"/>
      <c r="C245" s="13"/>
      <c r="D245" s="14"/>
      <c r="E245" s="15"/>
      <c r="F245" s="16" t="n">
        <f aca="false">IF(C245="",0,IF(COUNTIF(C$5:C245,C245)=1,1,0))</f>
        <v>0</v>
      </c>
      <c r="G245" s="16" t="n">
        <f aca="false">SUM(F$5:F245)</f>
        <v>8</v>
      </c>
      <c r="H245" s="16" t="n">
        <f aca="false">IF(B245="",0,IF(COUNTIF(B$5:B245,B245)=1,1,0))</f>
        <v>0</v>
      </c>
      <c r="I245" s="16" t="n">
        <f aca="false">SUM(H$5:H245)</f>
        <v>6</v>
      </c>
    </row>
    <row r="246" customFormat="false" ht="15" hidden="false" customHeight="false" outlineLevel="0" collapsed="false">
      <c r="A246" s="12"/>
      <c r="B246" s="13"/>
      <c r="C246" s="13"/>
      <c r="D246" s="14"/>
      <c r="E246" s="15"/>
      <c r="F246" s="16" t="n">
        <f aca="false">IF(C246="",0,IF(COUNTIF(C$5:C246,C246)=1,1,0))</f>
        <v>0</v>
      </c>
      <c r="G246" s="16" t="n">
        <f aca="false">SUM(F$5:F246)</f>
        <v>8</v>
      </c>
      <c r="H246" s="16" t="n">
        <f aca="false">IF(B246="",0,IF(COUNTIF(B$5:B246,B246)=1,1,0))</f>
        <v>0</v>
      </c>
      <c r="I246" s="16" t="n">
        <f aca="false">SUM(H$5:H246)</f>
        <v>6</v>
      </c>
    </row>
    <row r="247" customFormat="false" ht="15" hidden="false" customHeight="false" outlineLevel="0" collapsed="false">
      <c r="A247" s="12"/>
      <c r="B247" s="13"/>
      <c r="C247" s="13"/>
      <c r="D247" s="14"/>
      <c r="E247" s="15"/>
      <c r="F247" s="16" t="n">
        <f aca="false">IF(C247="",0,IF(COUNTIF(C$5:C247,C247)=1,1,0))</f>
        <v>0</v>
      </c>
      <c r="G247" s="16" t="n">
        <f aca="false">SUM(F$5:F247)</f>
        <v>8</v>
      </c>
      <c r="H247" s="16" t="n">
        <f aca="false">IF(B247="",0,IF(COUNTIF(B$5:B247,B247)=1,1,0))</f>
        <v>0</v>
      </c>
      <c r="I247" s="16" t="n">
        <f aca="false">SUM(H$5:H247)</f>
        <v>6</v>
      </c>
    </row>
    <row r="248" customFormat="false" ht="15" hidden="false" customHeight="false" outlineLevel="0" collapsed="false">
      <c r="A248" s="12"/>
      <c r="B248" s="13"/>
      <c r="C248" s="13"/>
      <c r="D248" s="14"/>
      <c r="E248" s="15"/>
      <c r="F248" s="16" t="n">
        <f aca="false">IF(C248="",0,IF(COUNTIF(C$5:C248,C248)=1,1,0))</f>
        <v>0</v>
      </c>
      <c r="G248" s="16" t="n">
        <f aca="false">SUM(F$5:F248)</f>
        <v>8</v>
      </c>
      <c r="H248" s="16" t="n">
        <f aca="false">IF(B248="",0,IF(COUNTIF(B$5:B248,B248)=1,1,0))</f>
        <v>0</v>
      </c>
      <c r="I248" s="16" t="n">
        <f aca="false">SUM(H$5:H248)</f>
        <v>6</v>
      </c>
    </row>
    <row r="249" customFormat="false" ht="15" hidden="false" customHeight="false" outlineLevel="0" collapsed="false">
      <c r="A249" s="12"/>
      <c r="B249" s="13"/>
      <c r="C249" s="13"/>
      <c r="D249" s="14"/>
      <c r="E249" s="15"/>
      <c r="F249" s="16" t="n">
        <f aca="false">IF(C249="",0,IF(COUNTIF(C$5:C249,C249)=1,1,0))</f>
        <v>0</v>
      </c>
      <c r="G249" s="16" t="n">
        <f aca="false">SUM(F$5:F249)</f>
        <v>8</v>
      </c>
      <c r="H249" s="16" t="n">
        <f aca="false">IF(B249="",0,IF(COUNTIF(B$5:B249,B249)=1,1,0))</f>
        <v>0</v>
      </c>
      <c r="I249" s="16" t="n">
        <f aca="false">SUM(H$5:H249)</f>
        <v>6</v>
      </c>
    </row>
    <row r="250" customFormat="false" ht="15" hidden="false" customHeight="false" outlineLevel="0" collapsed="false">
      <c r="A250" s="12"/>
      <c r="B250" s="13"/>
      <c r="C250" s="13"/>
      <c r="D250" s="14"/>
      <c r="E250" s="15"/>
      <c r="F250" s="16" t="n">
        <f aca="false">IF(C250="",0,IF(COUNTIF(C$5:C250,C250)=1,1,0))</f>
        <v>0</v>
      </c>
      <c r="G250" s="16" t="n">
        <f aca="false">SUM(F$5:F250)</f>
        <v>8</v>
      </c>
      <c r="H250" s="16" t="n">
        <f aca="false">IF(B250="",0,IF(COUNTIF(B$5:B250,B250)=1,1,0))</f>
        <v>0</v>
      </c>
      <c r="I250" s="16" t="n">
        <f aca="false">SUM(H$5:H250)</f>
        <v>6</v>
      </c>
    </row>
    <row r="251" customFormat="false" ht="15" hidden="false" customHeight="false" outlineLevel="0" collapsed="false">
      <c r="A251" s="12"/>
      <c r="B251" s="13"/>
      <c r="C251" s="13"/>
      <c r="D251" s="14"/>
      <c r="E251" s="15"/>
      <c r="F251" s="16" t="n">
        <f aca="false">IF(C251="",0,IF(COUNTIF(C$5:C251,C251)=1,1,0))</f>
        <v>0</v>
      </c>
      <c r="G251" s="16" t="n">
        <f aca="false">SUM(F$5:F251)</f>
        <v>8</v>
      </c>
      <c r="H251" s="16" t="n">
        <f aca="false">IF(B251="",0,IF(COUNTIF(B$5:B251,B251)=1,1,0))</f>
        <v>0</v>
      </c>
      <c r="I251" s="16" t="n">
        <f aca="false">SUM(H$5:H251)</f>
        <v>6</v>
      </c>
    </row>
    <row r="252" customFormat="false" ht="15" hidden="false" customHeight="false" outlineLevel="0" collapsed="false">
      <c r="A252" s="12"/>
      <c r="B252" s="13"/>
      <c r="C252" s="13"/>
      <c r="D252" s="14"/>
      <c r="E252" s="15"/>
      <c r="F252" s="16" t="n">
        <f aca="false">IF(C252="",0,IF(COUNTIF(C$5:C252,C252)=1,1,0))</f>
        <v>0</v>
      </c>
      <c r="G252" s="16" t="n">
        <f aca="false">SUM(F$5:F252)</f>
        <v>8</v>
      </c>
      <c r="H252" s="16" t="n">
        <f aca="false">IF(B252="",0,IF(COUNTIF(B$5:B252,B252)=1,1,0))</f>
        <v>0</v>
      </c>
      <c r="I252" s="16" t="n">
        <f aca="false">SUM(H$5:H252)</f>
        <v>6</v>
      </c>
    </row>
    <row r="253" customFormat="false" ht="15" hidden="false" customHeight="false" outlineLevel="0" collapsed="false">
      <c r="A253" s="12"/>
      <c r="B253" s="13"/>
      <c r="C253" s="13"/>
      <c r="D253" s="14"/>
      <c r="E253" s="15"/>
      <c r="F253" s="16" t="n">
        <f aca="false">IF(C253="",0,IF(COUNTIF(C$5:C253,C253)=1,1,0))</f>
        <v>0</v>
      </c>
      <c r="G253" s="16" t="n">
        <f aca="false">SUM(F$5:F253)</f>
        <v>8</v>
      </c>
      <c r="H253" s="16" t="n">
        <f aca="false">IF(B253="",0,IF(COUNTIF(B$5:B253,B253)=1,1,0))</f>
        <v>0</v>
      </c>
      <c r="I253" s="16" t="n">
        <f aca="false">SUM(H$5:H253)</f>
        <v>6</v>
      </c>
    </row>
    <row r="254" customFormat="false" ht="15" hidden="false" customHeight="false" outlineLevel="0" collapsed="false">
      <c r="A254" s="12"/>
      <c r="B254" s="13"/>
      <c r="C254" s="13"/>
      <c r="D254" s="14"/>
      <c r="E254" s="15"/>
      <c r="F254" s="16" t="n">
        <f aca="false">IF(C254="",0,IF(COUNTIF(C$5:C254,C254)=1,1,0))</f>
        <v>0</v>
      </c>
      <c r="G254" s="16" t="n">
        <f aca="false">SUM(F$5:F254)</f>
        <v>8</v>
      </c>
      <c r="H254" s="16" t="n">
        <f aca="false">IF(B254="",0,IF(COUNTIF(B$5:B254,B254)=1,1,0))</f>
        <v>0</v>
      </c>
      <c r="I254" s="16" t="n">
        <f aca="false">SUM(H$5:H254)</f>
        <v>6</v>
      </c>
    </row>
    <row r="255" customFormat="false" ht="15" hidden="false" customHeight="false" outlineLevel="0" collapsed="false">
      <c r="A255" s="12"/>
      <c r="B255" s="13"/>
      <c r="C255" s="13"/>
      <c r="D255" s="14"/>
      <c r="E255" s="15"/>
      <c r="F255" s="16" t="n">
        <f aca="false">IF(C255="",0,IF(COUNTIF(C$5:C255,C255)=1,1,0))</f>
        <v>0</v>
      </c>
      <c r="G255" s="16" t="n">
        <f aca="false">SUM(F$5:F255)</f>
        <v>8</v>
      </c>
      <c r="H255" s="16" t="n">
        <f aca="false">IF(B255="",0,IF(COUNTIF(B$5:B255,B255)=1,1,0))</f>
        <v>0</v>
      </c>
      <c r="I255" s="16" t="n">
        <f aca="false">SUM(H$5:H255)</f>
        <v>6</v>
      </c>
    </row>
    <row r="256" customFormat="false" ht="15" hidden="false" customHeight="false" outlineLevel="0" collapsed="false">
      <c r="A256" s="12"/>
      <c r="B256" s="13"/>
      <c r="C256" s="13"/>
      <c r="D256" s="14"/>
      <c r="E256" s="15"/>
      <c r="F256" s="16" t="n">
        <f aca="false">IF(C256="",0,IF(COUNTIF(C$5:C256,C256)=1,1,0))</f>
        <v>0</v>
      </c>
      <c r="G256" s="16" t="n">
        <f aca="false">SUM(F$5:F256)</f>
        <v>8</v>
      </c>
      <c r="H256" s="16" t="n">
        <f aca="false">IF(B256="",0,IF(COUNTIF(B$5:B256,B256)=1,1,0))</f>
        <v>0</v>
      </c>
      <c r="I256" s="16" t="n">
        <f aca="false">SUM(H$5:H256)</f>
        <v>6</v>
      </c>
    </row>
    <row r="257" customFormat="false" ht="15" hidden="false" customHeight="false" outlineLevel="0" collapsed="false">
      <c r="A257" s="12"/>
      <c r="B257" s="13"/>
      <c r="C257" s="13"/>
      <c r="D257" s="14"/>
      <c r="E257" s="15"/>
      <c r="F257" s="16" t="n">
        <f aca="false">IF(C257="",0,IF(COUNTIF(C$5:C257,C257)=1,1,0))</f>
        <v>0</v>
      </c>
      <c r="G257" s="16" t="n">
        <f aca="false">SUM(F$5:F257)</f>
        <v>8</v>
      </c>
      <c r="H257" s="16" t="n">
        <f aca="false">IF(B257="",0,IF(COUNTIF(B$5:B257,B257)=1,1,0))</f>
        <v>0</v>
      </c>
      <c r="I257" s="16" t="n">
        <f aca="false">SUM(H$5:H257)</f>
        <v>6</v>
      </c>
    </row>
    <row r="258" customFormat="false" ht="15" hidden="false" customHeight="false" outlineLevel="0" collapsed="false">
      <c r="A258" s="12"/>
      <c r="B258" s="13"/>
      <c r="C258" s="13"/>
      <c r="D258" s="14"/>
      <c r="E258" s="15"/>
      <c r="F258" s="16" t="n">
        <f aca="false">IF(C258="",0,IF(COUNTIF(C$5:C258,C258)=1,1,0))</f>
        <v>0</v>
      </c>
      <c r="G258" s="16" t="n">
        <f aca="false">SUM(F$5:F258)</f>
        <v>8</v>
      </c>
      <c r="H258" s="16" t="n">
        <f aca="false">IF(B258="",0,IF(COUNTIF(B$5:B258,B258)=1,1,0))</f>
        <v>0</v>
      </c>
      <c r="I258" s="16" t="n">
        <f aca="false">SUM(H$5:H258)</f>
        <v>6</v>
      </c>
    </row>
    <row r="259" customFormat="false" ht="15" hidden="false" customHeight="false" outlineLevel="0" collapsed="false">
      <c r="A259" s="12"/>
      <c r="B259" s="13"/>
      <c r="C259" s="13"/>
      <c r="D259" s="14"/>
      <c r="E259" s="15"/>
      <c r="F259" s="16" t="n">
        <f aca="false">IF(C259="",0,IF(COUNTIF(C$5:C259,C259)=1,1,0))</f>
        <v>0</v>
      </c>
      <c r="G259" s="16" t="n">
        <f aca="false">SUM(F$5:F259)</f>
        <v>8</v>
      </c>
      <c r="H259" s="16" t="n">
        <f aca="false">IF(B259="",0,IF(COUNTIF(B$5:B259,B259)=1,1,0))</f>
        <v>0</v>
      </c>
      <c r="I259" s="16" t="n">
        <f aca="false">SUM(H$5:H259)</f>
        <v>6</v>
      </c>
    </row>
    <row r="260" customFormat="false" ht="15" hidden="false" customHeight="false" outlineLevel="0" collapsed="false">
      <c r="A260" s="12"/>
      <c r="B260" s="13"/>
      <c r="C260" s="13"/>
      <c r="D260" s="14"/>
      <c r="E260" s="15"/>
      <c r="F260" s="16" t="n">
        <f aca="false">IF(C260="",0,IF(COUNTIF(C$5:C260,C260)=1,1,0))</f>
        <v>0</v>
      </c>
      <c r="G260" s="16" t="n">
        <f aca="false">SUM(F$5:F260)</f>
        <v>8</v>
      </c>
      <c r="H260" s="16" t="n">
        <f aca="false">IF(B260="",0,IF(COUNTIF(B$5:B260,B260)=1,1,0))</f>
        <v>0</v>
      </c>
      <c r="I260" s="16" t="n">
        <f aca="false">SUM(H$5:H260)</f>
        <v>6</v>
      </c>
    </row>
    <row r="261" customFormat="false" ht="15" hidden="false" customHeight="false" outlineLevel="0" collapsed="false">
      <c r="A261" s="12"/>
      <c r="B261" s="13"/>
      <c r="C261" s="13"/>
      <c r="D261" s="14"/>
      <c r="E261" s="15"/>
      <c r="F261" s="16" t="n">
        <f aca="false">IF(C261="",0,IF(COUNTIF(C$5:C261,C261)=1,1,0))</f>
        <v>0</v>
      </c>
      <c r="G261" s="16" t="n">
        <f aca="false">SUM(F$5:F261)</f>
        <v>8</v>
      </c>
      <c r="H261" s="16" t="n">
        <f aca="false">IF(B261="",0,IF(COUNTIF(B$5:B261,B261)=1,1,0))</f>
        <v>0</v>
      </c>
      <c r="I261" s="16" t="n">
        <f aca="false">SUM(H$5:H261)</f>
        <v>6</v>
      </c>
    </row>
    <row r="262" customFormat="false" ht="15" hidden="false" customHeight="false" outlineLevel="0" collapsed="false">
      <c r="A262" s="12"/>
      <c r="B262" s="13"/>
      <c r="C262" s="13"/>
      <c r="D262" s="14"/>
      <c r="E262" s="15"/>
      <c r="F262" s="16" t="n">
        <f aca="false">IF(C262="",0,IF(COUNTIF(C$5:C262,C262)=1,1,0))</f>
        <v>0</v>
      </c>
      <c r="G262" s="16" t="n">
        <f aca="false">SUM(F$5:F262)</f>
        <v>8</v>
      </c>
      <c r="H262" s="16" t="n">
        <f aca="false">IF(B262="",0,IF(COUNTIF(B$5:B262,B262)=1,1,0))</f>
        <v>0</v>
      </c>
      <c r="I262" s="16" t="n">
        <f aca="false">SUM(H$5:H262)</f>
        <v>6</v>
      </c>
    </row>
    <row r="263" customFormat="false" ht="15" hidden="false" customHeight="false" outlineLevel="0" collapsed="false">
      <c r="A263" s="12"/>
      <c r="B263" s="13"/>
      <c r="C263" s="13"/>
      <c r="D263" s="14"/>
      <c r="E263" s="15"/>
      <c r="F263" s="16" t="n">
        <f aca="false">IF(C263="",0,IF(COUNTIF(C$5:C263,C263)=1,1,0))</f>
        <v>0</v>
      </c>
      <c r="G263" s="16" t="n">
        <f aca="false">SUM(F$5:F263)</f>
        <v>8</v>
      </c>
      <c r="H263" s="16" t="n">
        <f aca="false">IF(B263="",0,IF(COUNTIF(B$5:B263,B263)=1,1,0))</f>
        <v>0</v>
      </c>
      <c r="I263" s="16" t="n">
        <f aca="false">SUM(H$5:H263)</f>
        <v>6</v>
      </c>
    </row>
    <row r="264" customFormat="false" ht="15" hidden="false" customHeight="false" outlineLevel="0" collapsed="false">
      <c r="A264" s="12"/>
      <c r="B264" s="13"/>
      <c r="C264" s="13"/>
      <c r="D264" s="14"/>
      <c r="E264" s="15"/>
      <c r="F264" s="16" t="n">
        <f aca="false">IF(C264="",0,IF(COUNTIF(C$5:C264,C264)=1,1,0))</f>
        <v>0</v>
      </c>
      <c r="G264" s="16" t="n">
        <f aca="false">SUM(F$5:F264)</f>
        <v>8</v>
      </c>
      <c r="H264" s="16" t="n">
        <f aca="false">IF(B264="",0,IF(COUNTIF(B$5:B264,B264)=1,1,0))</f>
        <v>0</v>
      </c>
      <c r="I264" s="16" t="n">
        <f aca="false">SUM(H$5:H264)</f>
        <v>6</v>
      </c>
    </row>
    <row r="265" customFormat="false" ht="15" hidden="false" customHeight="false" outlineLevel="0" collapsed="false">
      <c r="A265" s="12"/>
      <c r="B265" s="13"/>
      <c r="C265" s="13"/>
      <c r="D265" s="14"/>
      <c r="E265" s="15"/>
      <c r="F265" s="16" t="n">
        <f aca="false">IF(C265="",0,IF(COUNTIF(C$5:C265,C265)=1,1,0))</f>
        <v>0</v>
      </c>
      <c r="G265" s="16" t="n">
        <f aca="false">SUM(F$5:F265)</f>
        <v>8</v>
      </c>
      <c r="H265" s="16" t="n">
        <f aca="false">IF(B265="",0,IF(COUNTIF(B$5:B265,B265)=1,1,0))</f>
        <v>0</v>
      </c>
      <c r="I265" s="16" t="n">
        <f aca="false">SUM(H$5:H265)</f>
        <v>6</v>
      </c>
    </row>
    <row r="266" customFormat="false" ht="15" hidden="false" customHeight="false" outlineLevel="0" collapsed="false">
      <c r="A266" s="12"/>
      <c r="B266" s="13"/>
      <c r="C266" s="13"/>
      <c r="D266" s="14"/>
      <c r="E266" s="15"/>
      <c r="F266" s="16" t="n">
        <f aca="false">IF(C266="",0,IF(COUNTIF(C$5:C266,C266)=1,1,0))</f>
        <v>0</v>
      </c>
      <c r="G266" s="16" t="n">
        <f aca="false">SUM(F$5:F266)</f>
        <v>8</v>
      </c>
      <c r="H266" s="16" t="n">
        <f aca="false">IF(B266="",0,IF(COUNTIF(B$5:B266,B266)=1,1,0))</f>
        <v>0</v>
      </c>
      <c r="I266" s="16" t="n">
        <f aca="false">SUM(H$5:H266)</f>
        <v>6</v>
      </c>
    </row>
    <row r="267" customFormat="false" ht="15" hidden="false" customHeight="false" outlineLevel="0" collapsed="false">
      <c r="A267" s="12"/>
      <c r="B267" s="13"/>
      <c r="C267" s="13"/>
      <c r="D267" s="14"/>
      <c r="E267" s="15"/>
      <c r="F267" s="16" t="n">
        <f aca="false">IF(C267="",0,IF(COUNTIF(C$5:C267,C267)=1,1,0))</f>
        <v>0</v>
      </c>
      <c r="G267" s="16" t="n">
        <f aca="false">SUM(F$5:F267)</f>
        <v>8</v>
      </c>
      <c r="H267" s="16" t="n">
        <f aca="false">IF(B267="",0,IF(COUNTIF(B$5:B267,B267)=1,1,0))</f>
        <v>0</v>
      </c>
      <c r="I267" s="16" t="n">
        <f aca="false">SUM(H$5:H267)</f>
        <v>6</v>
      </c>
    </row>
    <row r="268" customFormat="false" ht="15" hidden="false" customHeight="false" outlineLevel="0" collapsed="false">
      <c r="A268" s="12"/>
      <c r="B268" s="13"/>
      <c r="C268" s="13"/>
      <c r="D268" s="14"/>
      <c r="E268" s="15"/>
      <c r="F268" s="16" t="n">
        <f aca="false">IF(C268="",0,IF(COUNTIF(C$5:C268,C268)=1,1,0))</f>
        <v>0</v>
      </c>
      <c r="G268" s="16" t="n">
        <f aca="false">SUM(F$5:F268)</f>
        <v>8</v>
      </c>
      <c r="H268" s="16" t="n">
        <f aca="false">IF(B268="",0,IF(COUNTIF(B$5:B268,B268)=1,1,0))</f>
        <v>0</v>
      </c>
      <c r="I268" s="16" t="n">
        <f aca="false">SUM(H$5:H268)</f>
        <v>6</v>
      </c>
    </row>
    <row r="269" customFormat="false" ht="15" hidden="false" customHeight="false" outlineLevel="0" collapsed="false">
      <c r="A269" s="12"/>
      <c r="B269" s="13"/>
      <c r="C269" s="13"/>
      <c r="D269" s="14"/>
      <c r="E269" s="15"/>
      <c r="F269" s="16" t="n">
        <f aca="false">IF(C269="",0,IF(COUNTIF(C$5:C269,C269)=1,1,0))</f>
        <v>0</v>
      </c>
      <c r="G269" s="16" t="n">
        <f aca="false">SUM(F$5:F269)</f>
        <v>8</v>
      </c>
      <c r="H269" s="16" t="n">
        <f aca="false">IF(B269="",0,IF(COUNTIF(B$5:B269,B269)=1,1,0))</f>
        <v>0</v>
      </c>
      <c r="I269" s="16" t="n">
        <f aca="false">SUM(H$5:H269)</f>
        <v>6</v>
      </c>
    </row>
    <row r="270" customFormat="false" ht="15" hidden="false" customHeight="false" outlineLevel="0" collapsed="false">
      <c r="A270" s="12"/>
      <c r="B270" s="13"/>
      <c r="C270" s="13"/>
      <c r="D270" s="14"/>
      <c r="E270" s="15"/>
      <c r="F270" s="16" t="n">
        <f aca="false">IF(C270="",0,IF(COUNTIF(C$5:C270,C270)=1,1,0))</f>
        <v>0</v>
      </c>
      <c r="G270" s="16" t="n">
        <f aca="false">SUM(F$5:F270)</f>
        <v>8</v>
      </c>
      <c r="H270" s="16" t="n">
        <f aca="false">IF(B270="",0,IF(COUNTIF(B$5:B270,B270)=1,1,0))</f>
        <v>0</v>
      </c>
      <c r="I270" s="16" t="n">
        <f aca="false">SUM(H$5:H270)</f>
        <v>6</v>
      </c>
    </row>
    <row r="271" customFormat="false" ht="15" hidden="false" customHeight="false" outlineLevel="0" collapsed="false">
      <c r="A271" s="12"/>
      <c r="B271" s="13"/>
      <c r="C271" s="13"/>
      <c r="D271" s="14"/>
      <c r="E271" s="15"/>
      <c r="F271" s="16" t="n">
        <f aca="false">IF(C271="",0,IF(COUNTIF(C$5:C271,C271)=1,1,0))</f>
        <v>0</v>
      </c>
      <c r="G271" s="16" t="n">
        <f aca="false">SUM(F$5:F271)</f>
        <v>8</v>
      </c>
      <c r="H271" s="16" t="n">
        <f aca="false">IF(B271="",0,IF(COUNTIF(B$5:B271,B271)=1,1,0))</f>
        <v>0</v>
      </c>
      <c r="I271" s="16" t="n">
        <f aca="false">SUM(H$5:H271)</f>
        <v>6</v>
      </c>
    </row>
    <row r="272" customFormat="false" ht="15" hidden="false" customHeight="false" outlineLevel="0" collapsed="false">
      <c r="A272" s="12"/>
      <c r="B272" s="13"/>
      <c r="C272" s="13"/>
      <c r="D272" s="14"/>
      <c r="E272" s="15"/>
      <c r="F272" s="16" t="n">
        <f aca="false">IF(C272="",0,IF(COUNTIF(C$5:C272,C272)=1,1,0))</f>
        <v>0</v>
      </c>
      <c r="G272" s="16" t="n">
        <f aca="false">SUM(F$5:F272)</f>
        <v>8</v>
      </c>
      <c r="H272" s="16" t="n">
        <f aca="false">IF(B272="",0,IF(COUNTIF(B$5:B272,B272)=1,1,0))</f>
        <v>0</v>
      </c>
      <c r="I272" s="16" t="n">
        <f aca="false">SUM(H$5:H272)</f>
        <v>6</v>
      </c>
    </row>
    <row r="273" customFormat="false" ht="15" hidden="false" customHeight="false" outlineLevel="0" collapsed="false">
      <c r="A273" s="12"/>
      <c r="B273" s="13"/>
      <c r="C273" s="13"/>
      <c r="D273" s="14"/>
      <c r="E273" s="15"/>
      <c r="F273" s="16" t="n">
        <f aca="false">IF(C273="",0,IF(COUNTIF(C$5:C273,C273)=1,1,0))</f>
        <v>0</v>
      </c>
      <c r="G273" s="16" t="n">
        <f aca="false">SUM(F$5:F273)</f>
        <v>8</v>
      </c>
      <c r="H273" s="16" t="n">
        <f aca="false">IF(B273="",0,IF(COUNTIF(B$5:B273,B273)=1,1,0))</f>
        <v>0</v>
      </c>
      <c r="I273" s="16" t="n">
        <f aca="false">SUM(H$5:H273)</f>
        <v>6</v>
      </c>
    </row>
    <row r="274" customFormat="false" ht="15" hidden="false" customHeight="false" outlineLevel="0" collapsed="false">
      <c r="A274" s="12"/>
      <c r="B274" s="13"/>
      <c r="C274" s="13"/>
      <c r="D274" s="14"/>
      <c r="E274" s="15"/>
      <c r="F274" s="16" t="n">
        <f aca="false">IF(C274="",0,IF(COUNTIF(C$5:C274,C274)=1,1,0))</f>
        <v>0</v>
      </c>
      <c r="G274" s="16" t="n">
        <f aca="false">SUM(F$5:F274)</f>
        <v>8</v>
      </c>
      <c r="H274" s="16" t="n">
        <f aca="false">IF(B274="",0,IF(COUNTIF(B$5:B274,B274)=1,1,0))</f>
        <v>0</v>
      </c>
      <c r="I274" s="16" t="n">
        <f aca="false">SUM(H$5:H274)</f>
        <v>6</v>
      </c>
    </row>
    <row r="275" customFormat="false" ht="15" hidden="false" customHeight="false" outlineLevel="0" collapsed="false">
      <c r="A275" s="12"/>
      <c r="B275" s="13"/>
      <c r="C275" s="13"/>
      <c r="D275" s="14"/>
      <c r="E275" s="15"/>
      <c r="F275" s="16" t="n">
        <f aca="false">IF(C275="",0,IF(COUNTIF(C$5:C275,C275)=1,1,0))</f>
        <v>0</v>
      </c>
      <c r="G275" s="16" t="n">
        <f aca="false">SUM(F$5:F275)</f>
        <v>8</v>
      </c>
      <c r="H275" s="16" t="n">
        <f aca="false">IF(B275="",0,IF(COUNTIF(B$5:B275,B275)=1,1,0))</f>
        <v>0</v>
      </c>
      <c r="I275" s="16" t="n">
        <f aca="false">SUM(H$5:H275)</f>
        <v>6</v>
      </c>
    </row>
    <row r="276" customFormat="false" ht="15" hidden="false" customHeight="false" outlineLevel="0" collapsed="false">
      <c r="A276" s="12"/>
      <c r="B276" s="13"/>
      <c r="C276" s="13"/>
      <c r="D276" s="14"/>
      <c r="E276" s="15"/>
      <c r="F276" s="16" t="n">
        <f aca="false">IF(C276="",0,IF(COUNTIF(C$5:C276,C276)=1,1,0))</f>
        <v>0</v>
      </c>
      <c r="G276" s="16" t="n">
        <f aca="false">SUM(F$5:F276)</f>
        <v>8</v>
      </c>
      <c r="H276" s="16" t="n">
        <f aca="false">IF(B276="",0,IF(COUNTIF(B$5:B276,B276)=1,1,0))</f>
        <v>0</v>
      </c>
      <c r="I276" s="16" t="n">
        <f aca="false">SUM(H$5:H276)</f>
        <v>6</v>
      </c>
    </row>
    <row r="277" customFormat="false" ht="15" hidden="false" customHeight="false" outlineLevel="0" collapsed="false">
      <c r="A277" s="12"/>
      <c r="B277" s="13"/>
      <c r="C277" s="13"/>
      <c r="D277" s="14"/>
      <c r="E277" s="15"/>
      <c r="F277" s="16" t="n">
        <f aca="false">IF(C277="",0,IF(COUNTIF(C$5:C277,C277)=1,1,0))</f>
        <v>0</v>
      </c>
      <c r="G277" s="16" t="n">
        <f aca="false">SUM(F$5:F277)</f>
        <v>8</v>
      </c>
      <c r="H277" s="16" t="n">
        <f aca="false">IF(B277="",0,IF(COUNTIF(B$5:B277,B277)=1,1,0))</f>
        <v>0</v>
      </c>
      <c r="I277" s="16" t="n">
        <f aca="false">SUM(H$5:H277)</f>
        <v>6</v>
      </c>
    </row>
    <row r="278" customFormat="false" ht="15" hidden="false" customHeight="false" outlineLevel="0" collapsed="false">
      <c r="A278" s="12"/>
      <c r="B278" s="13"/>
      <c r="C278" s="13"/>
      <c r="D278" s="14"/>
      <c r="E278" s="15"/>
      <c r="F278" s="16" t="n">
        <f aca="false">IF(C278="",0,IF(COUNTIF(C$5:C278,C278)=1,1,0))</f>
        <v>0</v>
      </c>
      <c r="G278" s="16" t="n">
        <f aca="false">SUM(F$5:F278)</f>
        <v>8</v>
      </c>
      <c r="H278" s="16" t="n">
        <f aca="false">IF(B278="",0,IF(COUNTIF(B$5:B278,B278)=1,1,0))</f>
        <v>0</v>
      </c>
      <c r="I278" s="16" t="n">
        <f aca="false">SUM(H$5:H278)</f>
        <v>6</v>
      </c>
    </row>
    <row r="279" customFormat="false" ht="15" hidden="false" customHeight="false" outlineLevel="0" collapsed="false">
      <c r="A279" s="12"/>
      <c r="B279" s="13"/>
      <c r="C279" s="13"/>
      <c r="D279" s="14"/>
      <c r="E279" s="15"/>
      <c r="F279" s="16" t="n">
        <f aca="false">IF(C279="",0,IF(COUNTIF(C$5:C279,C279)=1,1,0))</f>
        <v>0</v>
      </c>
      <c r="G279" s="16" t="n">
        <f aca="false">SUM(F$5:F279)</f>
        <v>8</v>
      </c>
      <c r="H279" s="16" t="n">
        <f aca="false">IF(B279="",0,IF(COUNTIF(B$5:B279,B279)=1,1,0))</f>
        <v>0</v>
      </c>
      <c r="I279" s="16" t="n">
        <f aca="false">SUM(H$5:H279)</f>
        <v>6</v>
      </c>
    </row>
    <row r="280" customFormat="false" ht="15" hidden="false" customHeight="false" outlineLevel="0" collapsed="false">
      <c r="A280" s="12"/>
      <c r="B280" s="13"/>
      <c r="C280" s="13"/>
      <c r="D280" s="14"/>
      <c r="E280" s="15"/>
      <c r="F280" s="16" t="n">
        <f aca="false">IF(C280="",0,IF(COUNTIF(C$5:C280,C280)=1,1,0))</f>
        <v>0</v>
      </c>
      <c r="G280" s="16" t="n">
        <f aca="false">SUM(F$5:F280)</f>
        <v>8</v>
      </c>
      <c r="H280" s="16" t="n">
        <f aca="false">IF(B280="",0,IF(COUNTIF(B$5:B280,B280)=1,1,0))</f>
        <v>0</v>
      </c>
      <c r="I280" s="16" t="n">
        <f aca="false">SUM(H$5:H280)</f>
        <v>6</v>
      </c>
    </row>
    <row r="281" customFormat="false" ht="15" hidden="false" customHeight="false" outlineLevel="0" collapsed="false">
      <c r="A281" s="12"/>
      <c r="B281" s="13"/>
      <c r="C281" s="13"/>
      <c r="D281" s="14"/>
      <c r="E281" s="15"/>
      <c r="F281" s="16" t="n">
        <f aca="false">IF(C281="",0,IF(COUNTIF(C$5:C281,C281)=1,1,0))</f>
        <v>0</v>
      </c>
      <c r="G281" s="16" t="n">
        <f aca="false">SUM(F$5:F281)</f>
        <v>8</v>
      </c>
      <c r="H281" s="16" t="n">
        <f aca="false">IF(B281="",0,IF(COUNTIF(B$5:B281,B281)=1,1,0))</f>
        <v>0</v>
      </c>
      <c r="I281" s="16" t="n">
        <f aca="false">SUM(H$5:H281)</f>
        <v>6</v>
      </c>
    </row>
    <row r="282" customFormat="false" ht="15" hidden="false" customHeight="false" outlineLevel="0" collapsed="false">
      <c r="A282" s="12"/>
      <c r="B282" s="13"/>
      <c r="C282" s="13"/>
      <c r="D282" s="14"/>
      <c r="E282" s="15"/>
      <c r="F282" s="16" t="n">
        <f aca="false">IF(C282="",0,IF(COUNTIF(C$5:C282,C282)=1,1,0))</f>
        <v>0</v>
      </c>
      <c r="G282" s="16" t="n">
        <f aca="false">SUM(F$5:F282)</f>
        <v>8</v>
      </c>
      <c r="H282" s="16" t="n">
        <f aca="false">IF(B282="",0,IF(COUNTIF(B$5:B282,B282)=1,1,0))</f>
        <v>0</v>
      </c>
      <c r="I282" s="16" t="n">
        <f aca="false">SUM(H$5:H282)</f>
        <v>6</v>
      </c>
    </row>
    <row r="283" customFormat="false" ht="15" hidden="false" customHeight="false" outlineLevel="0" collapsed="false">
      <c r="A283" s="12"/>
      <c r="B283" s="13"/>
      <c r="C283" s="13"/>
      <c r="D283" s="14"/>
      <c r="E283" s="15"/>
      <c r="F283" s="16" t="n">
        <f aca="false">IF(C283="",0,IF(COUNTIF(C$5:C283,C283)=1,1,0))</f>
        <v>0</v>
      </c>
      <c r="G283" s="16" t="n">
        <f aca="false">SUM(F$5:F283)</f>
        <v>8</v>
      </c>
      <c r="H283" s="16" t="n">
        <f aca="false">IF(B283="",0,IF(COUNTIF(B$5:B283,B283)=1,1,0))</f>
        <v>0</v>
      </c>
      <c r="I283" s="16" t="n">
        <f aca="false">SUM(H$5:H283)</f>
        <v>6</v>
      </c>
    </row>
    <row r="284" customFormat="false" ht="15" hidden="false" customHeight="false" outlineLevel="0" collapsed="false">
      <c r="A284" s="12"/>
      <c r="B284" s="13"/>
      <c r="C284" s="13"/>
      <c r="D284" s="14"/>
      <c r="E284" s="15"/>
      <c r="F284" s="16" t="n">
        <f aca="false">IF(C284="",0,IF(COUNTIF(C$5:C284,C284)=1,1,0))</f>
        <v>0</v>
      </c>
      <c r="G284" s="16" t="n">
        <f aca="false">SUM(F$5:F284)</f>
        <v>8</v>
      </c>
      <c r="H284" s="16" t="n">
        <f aca="false">IF(B284="",0,IF(COUNTIF(B$5:B284,B284)=1,1,0))</f>
        <v>0</v>
      </c>
      <c r="I284" s="16" t="n">
        <f aca="false">SUM(H$5:H284)</f>
        <v>6</v>
      </c>
    </row>
    <row r="285" customFormat="false" ht="15" hidden="false" customHeight="false" outlineLevel="0" collapsed="false">
      <c r="A285" s="12"/>
      <c r="B285" s="13"/>
      <c r="C285" s="13"/>
      <c r="D285" s="14"/>
      <c r="E285" s="15"/>
      <c r="F285" s="16" t="n">
        <f aca="false">IF(C285="",0,IF(COUNTIF(C$5:C285,C285)=1,1,0))</f>
        <v>0</v>
      </c>
      <c r="G285" s="16" t="n">
        <f aca="false">SUM(F$5:F285)</f>
        <v>8</v>
      </c>
      <c r="H285" s="16" t="n">
        <f aca="false">IF(B285="",0,IF(COUNTIF(B$5:B285,B285)=1,1,0))</f>
        <v>0</v>
      </c>
      <c r="I285" s="16" t="n">
        <f aca="false">SUM(H$5:H285)</f>
        <v>6</v>
      </c>
    </row>
    <row r="286" customFormat="false" ht="15" hidden="false" customHeight="false" outlineLevel="0" collapsed="false">
      <c r="A286" s="12"/>
      <c r="B286" s="13"/>
      <c r="C286" s="13"/>
      <c r="D286" s="14"/>
      <c r="E286" s="15"/>
      <c r="F286" s="16" t="n">
        <f aca="false">IF(C286="",0,IF(COUNTIF(C$5:C286,C286)=1,1,0))</f>
        <v>0</v>
      </c>
      <c r="G286" s="16" t="n">
        <f aca="false">SUM(F$5:F286)</f>
        <v>8</v>
      </c>
      <c r="H286" s="16" t="n">
        <f aca="false">IF(B286="",0,IF(COUNTIF(B$5:B286,B286)=1,1,0))</f>
        <v>0</v>
      </c>
      <c r="I286" s="16" t="n">
        <f aca="false">SUM(H$5:H286)</f>
        <v>6</v>
      </c>
    </row>
    <row r="287" customFormat="false" ht="15" hidden="false" customHeight="false" outlineLevel="0" collapsed="false">
      <c r="A287" s="12"/>
      <c r="B287" s="13"/>
      <c r="C287" s="13"/>
      <c r="D287" s="14"/>
      <c r="E287" s="15"/>
      <c r="F287" s="16" t="n">
        <f aca="false">IF(C287="",0,IF(COUNTIF(C$5:C287,C287)=1,1,0))</f>
        <v>0</v>
      </c>
      <c r="G287" s="16" t="n">
        <f aca="false">SUM(F$5:F287)</f>
        <v>8</v>
      </c>
      <c r="H287" s="16" t="n">
        <f aca="false">IF(B287="",0,IF(COUNTIF(B$5:B287,B287)=1,1,0))</f>
        <v>0</v>
      </c>
      <c r="I287" s="16" t="n">
        <f aca="false">SUM(H$5:H287)</f>
        <v>6</v>
      </c>
    </row>
    <row r="288" customFormat="false" ht="15" hidden="false" customHeight="false" outlineLevel="0" collapsed="false">
      <c r="A288" s="12"/>
      <c r="B288" s="13"/>
      <c r="C288" s="13"/>
      <c r="D288" s="14"/>
      <c r="E288" s="15"/>
      <c r="F288" s="16" t="n">
        <f aca="false">IF(C288="",0,IF(COUNTIF(C$5:C288,C288)=1,1,0))</f>
        <v>0</v>
      </c>
      <c r="G288" s="16" t="n">
        <f aca="false">SUM(F$5:F288)</f>
        <v>8</v>
      </c>
      <c r="H288" s="16" t="n">
        <f aca="false">IF(B288="",0,IF(COUNTIF(B$5:B288,B288)=1,1,0))</f>
        <v>0</v>
      </c>
      <c r="I288" s="16" t="n">
        <f aca="false">SUM(H$5:H288)</f>
        <v>6</v>
      </c>
    </row>
    <row r="289" customFormat="false" ht="15" hidden="false" customHeight="false" outlineLevel="0" collapsed="false">
      <c r="A289" s="12"/>
      <c r="B289" s="13"/>
      <c r="C289" s="13"/>
      <c r="D289" s="14"/>
      <c r="E289" s="15"/>
      <c r="F289" s="16" t="n">
        <f aca="false">IF(C289="",0,IF(COUNTIF(C$5:C289,C289)=1,1,0))</f>
        <v>0</v>
      </c>
      <c r="G289" s="16" t="n">
        <f aca="false">SUM(F$5:F289)</f>
        <v>8</v>
      </c>
      <c r="H289" s="16" t="n">
        <f aca="false">IF(B289="",0,IF(COUNTIF(B$5:B289,B289)=1,1,0))</f>
        <v>0</v>
      </c>
      <c r="I289" s="16" t="n">
        <f aca="false">SUM(H$5:H289)</f>
        <v>6</v>
      </c>
    </row>
    <row r="290" customFormat="false" ht="15" hidden="false" customHeight="false" outlineLevel="0" collapsed="false">
      <c r="A290" s="12"/>
      <c r="B290" s="13"/>
      <c r="C290" s="13"/>
      <c r="D290" s="14"/>
      <c r="E290" s="15"/>
      <c r="F290" s="16" t="n">
        <f aca="false">IF(C290="",0,IF(COUNTIF(C$5:C290,C290)=1,1,0))</f>
        <v>0</v>
      </c>
      <c r="G290" s="16" t="n">
        <f aca="false">SUM(F$5:F290)</f>
        <v>8</v>
      </c>
      <c r="H290" s="16" t="n">
        <f aca="false">IF(B290="",0,IF(COUNTIF(B$5:B290,B290)=1,1,0))</f>
        <v>0</v>
      </c>
      <c r="I290" s="16" t="n">
        <f aca="false">SUM(H$5:H290)</f>
        <v>6</v>
      </c>
    </row>
    <row r="291" customFormat="false" ht="15" hidden="false" customHeight="false" outlineLevel="0" collapsed="false">
      <c r="A291" s="12"/>
      <c r="B291" s="13"/>
      <c r="C291" s="13"/>
      <c r="D291" s="14"/>
      <c r="E291" s="15"/>
      <c r="F291" s="16" t="n">
        <f aca="false">IF(C291="",0,IF(COUNTIF(C$5:C291,C291)=1,1,0))</f>
        <v>0</v>
      </c>
      <c r="G291" s="16" t="n">
        <f aca="false">SUM(F$5:F291)</f>
        <v>8</v>
      </c>
      <c r="H291" s="16" t="n">
        <f aca="false">IF(B291="",0,IF(COUNTIF(B$5:B291,B291)=1,1,0))</f>
        <v>0</v>
      </c>
      <c r="I291" s="16" t="n">
        <f aca="false">SUM(H$5:H291)</f>
        <v>6</v>
      </c>
    </row>
    <row r="292" customFormat="false" ht="15" hidden="false" customHeight="false" outlineLevel="0" collapsed="false">
      <c r="A292" s="12"/>
      <c r="B292" s="13"/>
      <c r="C292" s="13"/>
      <c r="D292" s="14"/>
      <c r="E292" s="15"/>
      <c r="F292" s="16" t="n">
        <f aca="false">IF(C292="",0,IF(COUNTIF(C$5:C292,C292)=1,1,0))</f>
        <v>0</v>
      </c>
      <c r="G292" s="16" t="n">
        <f aca="false">SUM(F$5:F292)</f>
        <v>8</v>
      </c>
      <c r="H292" s="16" t="n">
        <f aca="false">IF(B292="",0,IF(COUNTIF(B$5:B292,B292)=1,1,0))</f>
        <v>0</v>
      </c>
      <c r="I292" s="16" t="n">
        <f aca="false">SUM(H$5:H292)</f>
        <v>6</v>
      </c>
    </row>
    <row r="293" customFormat="false" ht="15" hidden="false" customHeight="false" outlineLevel="0" collapsed="false">
      <c r="A293" s="12"/>
      <c r="B293" s="13"/>
      <c r="C293" s="13"/>
      <c r="D293" s="14"/>
      <c r="E293" s="15"/>
      <c r="F293" s="16" t="n">
        <f aca="false">IF(C293="",0,IF(COUNTIF(C$5:C293,C293)=1,1,0))</f>
        <v>0</v>
      </c>
      <c r="G293" s="16" t="n">
        <f aca="false">SUM(F$5:F293)</f>
        <v>8</v>
      </c>
      <c r="H293" s="16" t="n">
        <f aca="false">IF(B293="",0,IF(COUNTIF(B$5:B293,B293)=1,1,0))</f>
        <v>0</v>
      </c>
      <c r="I293" s="16" t="n">
        <f aca="false">SUM(H$5:H293)</f>
        <v>6</v>
      </c>
    </row>
    <row r="294" customFormat="false" ht="15" hidden="false" customHeight="false" outlineLevel="0" collapsed="false">
      <c r="A294" s="12"/>
      <c r="B294" s="13"/>
      <c r="C294" s="13"/>
      <c r="D294" s="14"/>
      <c r="E294" s="15"/>
      <c r="F294" s="16" t="n">
        <f aca="false">IF(C294="",0,IF(COUNTIF(C$5:C294,C294)=1,1,0))</f>
        <v>0</v>
      </c>
      <c r="G294" s="16" t="n">
        <f aca="false">SUM(F$5:F294)</f>
        <v>8</v>
      </c>
      <c r="H294" s="16" t="n">
        <f aca="false">IF(B294="",0,IF(COUNTIF(B$5:B294,B294)=1,1,0))</f>
        <v>0</v>
      </c>
      <c r="I294" s="16" t="n">
        <f aca="false">SUM(H$5:H294)</f>
        <v>6</v>
      </c>
    </row>
    <row r="295" customFormat="false" ht="15" hidden="false" customHeight="false" outlineLevel="0" collapsed="false">
      <c r="A295" s="12"/>
      <c r="B295" s="13"/>
      <c r="C295" s="13"/>
      <c r="D295" s="14"/>
      <c r="E295" s="15"/>
      <c r="F295" s="16" t="n">
        <f aca="false">IF(C295="",0,IF(COUNTIF(C$5:C295,C295)=1,1,0))</f>
        <v>0</v>
      </c>
      <c r="G295" s="16" t="n">
        <f aca="false">SUM(F$5:F295)</f>
        <v>8</v>
      </c>
      <c r="H295" s="16" t="n">
        <f aca="false">IF(B295="",0,IF(COUNTIF(B$5:B295,B295)=1,1,0))</f>
        <v>0</v>
      </c>
      <c r="I295" s="16" t="n">
        <f aca="false">SUM(H$5:H295)</f>
        <v>6</v>
      </c>
    </row>
    <row r="296" customFormat="false" ht="15" hidden="false" customHeight="false" outlineLevel="0" collapsed="false">
      <c r="A296" s="12"/>
      <c r="B296" s="13"/>
      <c r="C296" s="13"/>
      <c r="D296" s="14"/>
      <c r="E296" s="15"/>
      <c r="F296" s="16" t="n">
        <f aca="false">IF(C296="",0,IF(COUNTIF(C$5:C296,C296)=1,1,0))</f>
        <v>0</v>
      </c>
      <c r="G296" s="16" t="n">
        <f aca="false">SUM(F$5:F296)</f>
        <v>8</v>
      </c>
      <c r="H296" s="16" t="n">
        <f aca="false">IF(B296="",0,IF(COUNTIF(B$5:B296,B296)=1,1,0))</f>
        <v>0</v>
      </c>
      <c r="I296" s="16" t="n">
        <f aca="false">SUM(H$5:H296)</f>
        <v>6</v>
      </c>
    </row>
    <row r="297" customFormat="false" ht="15" hidden="false" customHeight="false" outlineLevel="0" collapsed="false">
      <c r="A297" s="12"/>
      <c r="B297" s="13"/>
      <c r="C297" s="13"/>
      <c r="D297" s="14"/>
      <c r="E297" s="15"/>
      <c r="F297" s="16" t="n">
        <f aca="false">IF(C297="",0,IF(COUNTIF(C$5:C297,C297)=1,1,0))</f>
        <v>0</v>
      </c>
      <c r="G297" s="16" t="n">
        <f aca="false">SUM(F$5:F297)</f>
        <v>8</v>
      </c>
      <c r="H297" s="16" t="n">
        <f aca="false">IF(B297="",0,IF(COUNTIF(B$5:B297,B297)=1,1,0))</f>
        <v>0</v>
      </c>
      <c r="I297" s="16" t="n">
        <f aca="false">SUM(H$5:H297)</f>
        <v>6</v>
      </c>
    </row>
    <row r="298" customFormat="false" ht="15" hidden="false" customHeight="false" outlineLevel="0" collapsed="false">
      <c r="A298" s="12"/>
      <c r="B298" s="13"/>
      <c r="C298" s="13"/>
      <c r="D298" s="14"/>
      <c r="E298" s="15"/>
      <c r="F298" s="16" t="n">
        <f aca="false">IF(C298="",0,IF(COUNTIF(C$5:C298,C298)=1,1,0))</f>
        <v>0</v>
      </c>
      <c r="G298" s="16" t="n">
        <f aca="false">SUM(F$5:F298)</f>
        <v>8</v>
      </c>
      <c r="H298" s="16" t="n">
        <f aca="false">IF(B298="",0,IF(COUNTIF(B$5:B298,B298)=1,1,0))</f>
        <v>0</v>
      </c>
      <c r="I298" s="16" t="n">
        <f aca="false">SUM(H$5:H298)</f>
        <v>6</v>
      </c>
    </row>
    <row r="299" customFormat="false" ht="15" hidden="false" customHeight="false" outlineLevel="0" collapsed="false">
      <c r="A299" s="12"/>
      <c r="B299" s="13"/>
      <c r="C299" s="13"/>
      <c r="D299" s="14"/>
      <c r="E299" s="15"/>
      <c r="F299" s="16" t="n">
        <f aca="false">IF(C299="",0,IF(COUNTIF(C$5:C299,C299)=1,1,0))</f>
        <v>0</v>
      </c>
      <c r="G299" s="16" t="n">
        <f aca="false">SUM(F$5:F299)</f>
        <v>8</v>
      </c>
      <c r="H299" s="16" t="n">
        <f aca="false">IF(B299="",0,IF(COUNTIF(B$5:B299,B299)=1,1,0))</f>
        <v>0</v>
      </c>
      <c r="I299" s="16" t="n">
        <f aca="false">SUM(H$5:H299)</f>
        <v>6</v>
      </c>
    </row>
    <row r="300" customFormat="false" ht="15" hidden="false" customHeight="false" outlineLevel="0" collapsed="false">
      <c r="A300" s="12"/>
      <c r="B300" s="13"/>
      <c r="C300" s="13"/>
      <c r="D300" s="14"/>
      <c r="E300" s="15"/>
      <c r="F300" s="16" t="n">
        <f aca="false">IF(C300="",0,IF(COUNTIF(C$5:C300,C300)=1,1,0))</f>
        <v>0</v>
      </c>
      <c r="G300" s="16" t="n">
        <f aca="false">SUM(F$5:F300)</f>
        <v>8</v>
      </c>
      <c r="H300" s="16" t="n">
        <f aca="false">IF(B300="",0,IF(COUNTIF(B$5:B300,B300)=1,1,0))</f>
        <v>0</v>
      </c>
      <c r="I300" s="16" t="n">
        <f aca="false">SUM(H$5:H300)</f>
        <v>6</v>
      </c>
    </row>
    <row r="301" customFormat="false" ht="15" hidden="false" customHeight="false" outlineLevel="0" collapsed="false">
      <c r="A301" s="12"/>
      <c r="B301" s="13"/>
      <c r="C301" s="13"/>
      <c r="D301" s="14"/>
      <c r="E301" s="15"/>
      <c r="F301" s="16" t="n">
        <f aca="false">IF(C301="",0,IF(COUNTIF(C$5:C301,C301)=1,1,0))</f>
        <v>0</v>
      </c>
      <c r="G301" s="16" t="n">
        <f aca="false">SUM(F$5:F301)</f>
        <v>8</v>
      </c>
      <c r="H301" s="16" t="n">
        <f aca="false">IF(B301="",0,IF(COUNTIF(B$5:B301,B301)=1,1,0))</f>
        <v>0</v>
      </c>
      <c r="I301" s="16" t="n">
        <f aca="false">SUM(H$5:H301)</f>
        <v>6</v>
      </c>
    </row>
    <row r="302" customFormat="false" ht="15" hidden="false" customHeight="false" outlineLevel="0" collapsed="false">
      <c r="A302" s="12"/>
      <c r="B302" s="13"/>
      <c r="C302" s="13"/>
      <c r="D302" s="14"/>
      <c r="E302" s="15"/>
      <c r="F302" s="16" t="n">
        <f aca="false">IF(C302="",0,IF(COUNTIF(C$5:C302,C302)=1,1,0))</f>
        <v>0</v>
      </c>
      <c r="G302" s="16" t="n">
        <f aca="false">SUM(F$5:F302)</f>
        <v>8</v>
      </c>
      <c r="H302" s="16" t="n">
        <f aca="false">IF(B302="",0,IF(COUNTIF(B$5:B302,B302)=1,1,0))</f>
        <v>0</v>
      </c>
      <c r="I302" s="16" t="n">
        <f aca="false">SUM(H$5:H302)</f>
        <v>6</v>
      </c>
    </row>
    <row r="303" customFormat="false" ht="15" hidden="false" customHeight="false" outlineLevel="0" collapsed="false">
      <c r="A303" s="12"/>
      <c r="B303" s="13"/>
      <c r="C303" s="13"/>
      <c r="D303" s="14"/>
      <c r="E303" s="15"/>
      <c r="F303" s="16" t="n">
        <f aca="false">IF(C303="",0,IF(COUNTIF(C$5:C303,C303)=1,1,0))</f>
        <v>0</v>
      </c>
      <c r="G303" s="16" t="n">
        <f aca="false">SUM(F$5:F303)</f>
        <v>8</v>
      </c>
      <c r="H303" s="16" t="n">
        <f aca="false">IF(B303="",0,IF(COUNTIF(B$5:B303,B303)=1,1,0))</f>
        <v>0</v>
      </c>
      <c r="I303" s="16" t="n">
        <f aca="false">SUM(H$5:H303)</f>
        <v>6</v>
      </c>
    </row>
    <row r="304" customFormat="false" ht="15" hidden="false" customHeight="false" outlineLevel="0" collapsed="false">
      <c r="A304" s="12"/>
      <c r="B304" s="13"/>
      <c r="C304" s="13"/>
      <c r="D304" s="14"/>
      <c r="E304" s="15"/>
      <c r="F304" s="16" t="n">
        <f aca="false">IF(C304="",0,IF(COUNTIF(C$5:C304,C304)=1,1,0))</f>
        <v>0</v>
      </c>
      <c r="G304" s="16" t="n">
        <f aca="false">SUM(F$5:F304)</f>
        <v>8</v>
      </c>
      <c r="H304" s="16" t="n">
        <f aca="false">IF(B304="",0,IF(COUNTIF(B$5:B304,B304)=1,1,0))</f>
        <v>0</v>
      </c>
      <c r="I304" s="16" t="n">
        <f aca="false">SUM(H$5:H304)</f>
        <v>6</v>
      </c>
    </row>
    <row r="305" customFormat="false" ht="15" hidden="false" customHeight="false" outlineLevel="0" collapsed="false">
      <c r="A305" s="12"/>
      <c r="B305" s="13"/>
      <c r="C305" s="13"/>
      <c r="D305" s="14"/>
      <c r="E305" s="15"/>
      <c r="F305" s="16" t="n">
        <f aca="false">IF(C305="",0,IF(COUNTIF(C$5:C305,C305)=1,1,0))</f>
        <v>0</v>
      </c>
      <c r="G305" s="16" t="n">
        <f aca="false">SUM(F$5:F305)</f>
        <v>8</v>
      </c>
      <c r="H305" s="16" t="n">
        <f aca="false">IF(B305="",0,IF(COUNTIF(B$5:B305,B305)=1,1,0))</f>
        <v>0</v>
      </c>
      <c r="I305" s="16" t="n">
        <f aca="false">SUM(H$5:H305)</f>
        <v>6</v>
      </c>
    </row>
    <row r="306" customFormat="false" ht="15" hidden="false" customHeight="false" outlineLevel="0" collapsed="false">
      <c r="A306" s="12"/>
      <c r="B306" s="13"/>
      <c r="C306" s="13"/>
      <c r="D306" s="14"/>
      <c r="E306" s="15"/>
      <c r="F306" s="16" t="n">
        <f aca="false">IF(C306="",0,IF(COUNTIF(C$5:C306,C306)=1,1,0))</f>
        <v>0</v>
      </c>
      <c r="G306" s="16" t="n">
        <f aca="false">SUM(F$5:F306)</f>
        <v>8</v>
      </c>
      <c r="H306" s="16" t="n">
        <f aca="false">IF(B306="",0,IF(COUNTIF(B$5:B306,B306)=1,1,0))</f>
        <v>0</v>
      </c>
      <c r="I306" s="16" t="n">
        <f aca="false">SUM(H$5:H306)</f>
        <v>6</v>
      </c>
    </row>
    <row r="307" customFormat="false" ht="15" hidden="false" customHeight="false" outlineLevel="0" collapsed="false">
      <c r="A307" s="12"/>
      <c r="B307" s="13"/>
      <c r="C307" s="13"/>
      <c r="D307" s="14"/>
      <c r="E307" s="15"/>
      <c r="F307" s="16" t="n">
        <f aca="false">IF(C307="",0,IF(COUNTIF(C$5:C307,C307)=1,1,0))</f>
        <v>0</v>
      </c>
      <c r="G307" s="16" t="n">
        <f aca="false">SUM(F$5:F307)</f>
        <v>8</v>
      </c>
      <c r="H307" s="16" t="n">
        <f aca="false">IF(B307="",0,IF(COUNTIF(B$5:B307,B307)=1,1,0))</f>
        <v>0</v>
      </c>
      <c r="I307" s="16" t="n">
        <f aca="false">SUM(H$5:H307)</f>
        <v>6</v>
      </c>
    </row>
    <row r="308" customFormat="false" ht="15" hidden="false" customHeight="false" outlineLevel="0" collapsed="false">
      <c r="A308" s="12"/>
      <c r="B308" s="13"/>
      <c r="C308" s="13"/>
      <c r="D308" s="14"/>
      <c r="E308" s="15"/>
      <c r="F308" s="16" t="n">
        <f aca="false">IF(C308="",0,IF(COUNTIF(C$5:C308,C308)=1,1,0))</f>
        <v>0</v>
      </c>
      <c r="G308" s="16" t="n">
        <f aca="false">SUM(F$5:F308)</f>
        <v>8</v>
      </c>
      <c r="H308" s="16" t="n">
        <f aca="false">IF(B308="",0,IF(COUNTIF(B$5:B308,B308)=1,1,0))</f>
        <v>0</v>
      </c>
      <c r="I308" s="16" t="n">
        <f aca="false">SUM(H$5:H308)</f>
        <v>6</v>
      </c>
    </row>
    <row r="309" customFormat="false" ht="15" hidden="false" customHeight="false" outlineLevel="0" collapsed="false">
      <c r="A309" s="12"/>
      <c r="B309" s="13"/>
      <c r="C309" s="13"/>
      <c r="D309" s="14"/>
      <c r="E309" s="15"/>
      <c r="F309" s="16" t="n">
        <f aca="false">IF(C309="",0,IF(COUNTIF(C$5:C309,C309)=1,1,0))</f>
        <v>0</v>
      </c>
      <c r="G309" s="16" t="n">
        <f aca="false">SUM(F$5:F309)</f>
        <v>8</v>
      </c>
      <c r="H309" s="16" t="n">
        <f aca="false">IF(B309="",0,IF(COUNTIF(B$5:B309,B309)=1,1,0))</f>
        <v>0</v>
      </c>
      <c r="I309" s="16" t="n">
        <f aca="false">SUM(H$5:H309)</f>
        <v>6</v>
      </c>
    </row>
    <row r="310" customFormat="false" ht="15" hidden="false" customHeight="false" outlineLevel="0" collapsed="false">
      <c r="A310" s="12"/>
      <c r="B310" s="13"/>
      <c r="C310" s="13"/>
      <c r="D310" s="14"/>
      <c r="E310" s="15"/>
      <c r="F310" s="16" t="n">
        <f aca="false">IF(C310="",0,IF(COUNTIF(C$5:C310,C310)=1,1,0))</f>
        <v>0</v>
      </c>
      <c r="G310" s="16" t="n">
        <f aca="false">SUM(F$5:F310)</f>
        <v>8</v>
      </c>
      <c r="H310" s="16" t="n">
        <f aca="false">IF(B310="",0,IF(COUNTIF(B$5:B310,B310)=1,1,0))</f>
        <v>0</v>
      </c>
      <c r="I310" s="16" t="n">
        <f aca="false">SUM(H$5:H310)</f>
        <v>6</v>
      </c>
    </row>
    <row r="311" customFormat="false" ht="15" hidden="false" customHeight="false" outlineLevel="0" collapsed="false">
      <c r="A311" s="12"/>
      <c r="B311" s="13"/>
      <c r="C311" s="13"/>
      <c r="D311" s="14"/>
      <c r="E311" s="15"/>
      <c r="F311" s="16" t="n">
        <f aca="false">IF(C311="",0,IF(COUNTIF(C$5:C311,C311)=1,1,0))</f>
        <v>0</v>
      </c>
      <c r="G311" s="16" t="n">
        <f aca="false">SUM(F$5:F311)</f>
        <v>8</v>
      </c>
      <c r="H311" s="16" t="n">
        <f aca="false">IF(B311="",0,IF(COUNTIF(B$5:B311,B311)=1,1,0))</f>
        <v>0</v>
      </c>
      <c r="I311" s="16" t="n">
        <f aca="false">SUM(H$5:H311)</f>
        <v>6</v>
      </c>
    </row>
    <row r="312" customFormat="false" ht="15" hidden="false" customHeight="false" outlineLevel="0" collapsed="false">
      <c r="A312" s="12"/>
      <c r="B312" s="13"/>
      <c r="C312" s="13"/>
      <c r="D312" s="14"/>
      <c r="E312" s="15"/>
      <c r="F312" s="16" t="n">
        <f aca="false">IF(C312="",0,IF(COUNTIF(C$5:C312,C312)=1,1,0))</f>
        <v>0</v>
      </c>
      <c r="G312" s="16" t="n">
        <f aca="false">SUM(F$5:F312)</f>
        <v>8</v>
      </c>
      <c r="H312" s="16" t="n">
        <f aca="false">IF(B312="",0,IF(COUNTIF(B$5:B312,B312)=1,1,0))</f>
        <v>0</v>
      </c>
      <c r="I312" s="16" t="n">
        <f aca="false">SUM(H$5:H312)</f>
        <v>6</v>
      </c>
    </row>
    <row r="313" customFormat="false" ht="15" hidden="false" customHeight="false" outlineLevel="0" collapsed="false">
      <c r="A313" s="12"/>
      <c r="B313" s="13"/>
      <c r="C313" s="13"/>
      <c r="D313" s="14"/>
      <c r="E313" s="15"/>
      <c r="F313" s="16" t="n">
        <f aca="false">IF(C313="",0,IF(COUNTIF(C$5:C313,C313)=1,1,0))</f>
        <v>0</v>
      </c>
      <c r="G313" s="16" t="n">
        <f aca="false">SUM(F$5:F313)</f>
        <v>8</v>
      </c>
      <c r="H313" s="16" t="n">
        <f aca="false">IF(B313="",0,IF(COUNTIF(B$5:B313,B313)=1,1,0))</f>
        <v>0</v>
      </c>
      <c r="I313" s="16" t="n">
        <f aca="false">SUM(H$5:H313)</f>
        <v>6</v>
      </c>
    </row>
    <row r="314" customFormat="false" ht="15" hidden="false" customHeight="false" outlineLevel="0" collapsed="false">
      <c r="A314" s="12"/>
      <c r="B314" s="13"/>
      <c r="C314" s="13"/>
      <c r="D314" s="14"/>
      <c r="E314" s="15"/>
      <c r="F314" s="16" t="n">
        <f aca="false">IF(C314="",0,IF(COUNTIF(C$5:C314,C314)=1,1,0))</f>
        <v>0</v>
      </c>
      <c r="G314" s="16" t="n">
        <f aca="false">SUM(F$5:F314)</f>
        <v>8</v>
      </c>
      <c r="H314" s="16" t="n">
        <f aca="false">IF(B314="",0,IF(COUNTIF(B$5:B314,B314)=1,1,0))</f>
        <v>0</v>
      </c>
      <c r="I314" s="16" t="n">
        <f aca="false">SUM(H$5:H314)</f>
        <v>6</v>
      </c>
    </row>
    <row r="315" customFormat="false" ht="15" hidden="false" customHeight="false" outlineLevel="0" collapsed="false">
      <c r="A315" s="12"/>
      <c r="B315" s="13"/>
      <c r="C315" s="13"/>
      <c r="D315" s="14"/>
      <c r="E315" s="15"/>
      <c r="F315" s="16" t="n">
        <f aca="false">IF(C315="",0,IF(COUNTIF(C$5:C315,C315)=1,1,0))</f>
        <v>0</v>
      </c>
      <c r="G315" s="16" t="n">
        <f aca="false">SUM(F$5:F315)</f>
        <v>8</v>
      </c>
      <c r="H315" s="16" t="n">
        <f aca="false">IF(B315="",0,IF(COUNTIF(B$5:B315,B315)=1,1,0))</f>
        <v>0</v>
      </c>
      <c r="I315" s="16" t="n">
        <f aca="false">SUM(H$5:H315)</f>
        <v>6</v>
      </c>
    </row>
    <row r="316" customFormat="false" ht="15" hidden="false" customHeight="false" outlineLevel="0" collapsed="false">
      <c r="A316" s="12"/>
      <c r="B316" s="13"/>
      <c r="C316" s="13"/>
      <c r="D316" s="14"/>
      <c r="E316" s="15"/>
      <c r="F316" s="16" t="n">
        <f aca="false">IF(C316="",0,IF(COUNTIF(C$5:C316,C316)=1,1,0))</f>
        <v>0</v>
      </c>
      <c r="G316" s="16" t="n">
        <f aca="false">SUM(F$5:F316)</f>
        <v>8</v>
      </c>
      <c r="H316" s="16" t="n">
        <f aca="false">IF(B316="",0,IF(COUNTIF(B$5:B316,B316)=1,1,0))</f>
        <v>0</v>
      </c>
      <c r="I316" s="16" t="n">
        <f aca="false">SUM(H$5:H316)</f>
        <v>6</v>
      </c>
    </row>
    <row r="317" customFormat="false" ht="15" hidden="false" customHeight="false" outlineLevel="0" collapsed="false">
      <c r="A317" s="12"/>
      <c r="B317" s="13"/>
      <c r="C317" s="13"/>
      <c r="D317" s="14"/>
      <c r="E317" s="15"/>
      <c r="F317" s="16" t="n">
        <f aca="false">IF(C317="",0,IF(COUNTIF(C$5:C317,C317)=1,1,0))</f>
        <v>0</v>
      </c>
      <c r="G317" s="16" t="n">
        <f aca="false">SUM(F$5:F317)</f>
        <v>8</v>
      </c>
      <c r="H317" s="16" t="n">
        <f aca="false">IF(B317="",0,IF(COUNTIF(B$5:B317,B317)=1,1,0))</f>
        <v>0</v>
      </c>
      <c r="I317" s="16" t="n">
        <f aca="false">SUM(H$5:H317)</f>
        <v>6</v>
      </c>
    </row>
    <row r="318" customFormat="false" ht="15" hidden="false" customHeight="false" outlineLevel="0" collapsed="false">
      <c r="A318" s="12"/>
      <c r="B318" s="13"/>
      <c r="C318" s="13"/>
      <c r="D318" s="14"/>
      <c r="E318" s="15"/>
      <c r="F318" s="16" t="n">
        <f aca="false">IF(C318="",0,IF(COUNTIF(C$5:C318,C318)=1,1,0))</f>
        <v>0</v>
      </c>
      <c r="G318" s="16" t="n">
        <f aca="false">SUM(F$5:F318)</f>
        <v>8</v>
      </c>
      <c r="H318" s="16" t="n">
        <f aca="false">IF(B318="",0,IF(COUNTIF(B$5:B318,B318)=1,1,0))</f>
        <v>0</v>
      </c>
      <c r="I318" s="16" t="n">
        <f aca="false">SUM(H$5:H318)</f>
        <v>6</v>
      </c>
    </row>
    <row r="319" customFormat="false" ht="15" hidden="false" customHeight="false" outlineLevel="0" collapsed="false">
      <c r="A319" s="12"/>
      <c r="B319" s="13"/>
      <c r="C319" s="13"/>
      <c r="D319" s="14"/>
      <c r="E319" s="15"/>
      <c r="F319" s="16" t="n">
        <f aca="false">IF(C319="",0,IF(COUNTIF(C$5:C319,C319)=1,1,0))</f>
        <v>0</v>
      </c>
      <c r="G319" s="16" t="n">
        <f aca="false">SUM(F$5:F319)</f>
        <v>8</v>
      </c>
      <c r="H319" s="16" t="n">
        <f aca="false">IF(B319="",0,IF(COUNTIF(B$5:B319,B319)=1,1,0))</f>
        <v>0</v>
      </c>
      <c r="I319" s="16" t="n">
        <f aca="false">SUM(H$5:H319)</f>
        <v>6</v>
      </c>
    </row>
    <row r="320" customFormat="false" ht="15" hidden="false" customHeight="false" outlineLevel="0" collapsed="false">
      <c r="A320" s="12"/>
      <c r="B320" s="13"/>
      <c r="C320" s="13"/>
      <c r="D320" s="14"/>
      <c r="E320" s="15"/>
      <c r="F320" s="16" t="n">
        <f aca="false">IF(C320="",0,IF(COUNTIF(C$5:C320,C320)=1,1,0))</f>
        <v>0</v>
      </c>
      <c r="G320" s="16" t="n">
        <f aca="false">SUM(F$5:F320)</f>
        <v>8</v>
      </c>
      <c r="H320" s="16" t="n">
        <f aca="false">IF(B320="",0,IF(COUNTIF(B$5:B320,B320)=1,1,0))</f>
        <v>0</v>
      </c>
      <c r="I320" s="16" t="n">
        <f aca="false">SUM(H$5:H320)</f>
        <v>6</v>
      </c>
    </row>
    <row r="321" customFormat="false" ht="15" hidden="false" customHeight="false" outlineLevel="0" collapsed="false">
      <c r="A321" s="12"/>
      <c r="B321" s="13"/>
      <c r="C321" s="13"/>
      <c r="D321" s="14"/>
      <c r="E321" s="15"/>
      <c r="F321" s="16" t="n">
        <f aca="false">IF(C321="",0,IF(COUNTIF(C$5:C321,C321)=1,1,0))</f>
        <v>0</v>
      </c>
      <c r="G321" s="16" t="n">
        <f aca="false">SUM(F$5:F321)</f>
        <v>8</v>
      </c>
      <c r="H321" s="16" t="n">
        <f aca="false">IF(B321="",0,IF(COUNTIF(B$5:B321,B321)=1,1,0))</f>
        <v>0</v>
      </c>
      <c r="I321" s="16" t="n">
        <f aca="false">SUM(H$5:H321)</f>
        <v>6</v>
      </c>
    </row>
    <row r="322" customFormat="false" ht="15" hidden="false" customHeight="false" outlineLevel="0" collapsed="false">
      <c r="A322" s="12"/>
      <c r="B322" s="13"/>
      <c r="C322" s="13"/>
      <c r="D322" s="14"/>
      <c r="E322" s="15"/>
      <c r="F322" s="16" t="n">
        <f aca="false">IF(C322="",0,IF(COUNTIF(C$5:C322,C322)=1,1,0))</f>
        <v>0</v>
      </c>
      <c r="G322" s="16" t="n">
        <f aca="false">SUM(F$5:F322)</f>
        <v>8</v>
      </c>
      <c r="H322" s="16" t="n">
        <f aca="false">IF(B322="",0,IF(COUNTIF(B$5:B322,B322)=1,1,0))</f>
        <v>0</v>
      </c>
      <c r="I322" s="16" t="n">
        <f aca="false">SUM(H$5:H322)</f>
        <v>6</v>
      </c>
    </row>
    <row r="323" customFormat="false" ht="15" hidden="false" customHeight="false" outlineLevel="0" collapsed="false">
      <c r="A323" s="12"/>
      <c r="B323" s="13"/>
      <c r="C323" s="13"/>
      <c r="D323" s="14"/>
      <c r="E323" s="15"/>
      <c r="F323" s="16" t="n">
        <f aca="false">IF(C323="",0,IF(COUNTIF(C$5:C323,C323)=1,1,0))</f>
        <v>0</v>
      </c>
      <c r="G323" s="16" t="n">
        <f aca="false">SUM(F$5:F323)</f>
        <v>8</v>
      </c>
      <c r="H323" s="16" t="n">
        <f aca="false">IF(B323="",0,IF(COUNTIF(B$5:B323,B323)=1,1,0))</f>
        <v>0</v>
      </c>
      <c r="I323" s="16" t="n">
        <f aca="false">SUM(H$5:H323)</f>
        <v>6</v>
      </c>
    </row>
    <row r="324" customFormat="false" ht="15" hidden="false" customHeight="false" outlineLevel="0" collapsed="false">
      <c r="A324" s="12"/>
      <c r="B324" s="13"/>
      <c r="C324" s="13"/>
      <c r="D324" s="14"/>
      <c r="E324" s="15"/>
      <c r="F324" s="16" t="n">
        <f aca="false">IF(C324="",0,IF(COUNTIF(C$5:C324,C324)=1,1,0))</f>
        <v>0</v>
      </c>
      <c r="G324" s="16" t="n">
        <f aca="false">SUM(F$5:F324)</f>
        <v>8</v>
      </c>
      <c r="H324" s="16" t="n">
        <f aca="false">IF(B324="",0,IF(COUNTIF(B$5:B324,B324)=1,1,0))</f>
        <v>0</v>
      </c>
      <c r="I324" s="16" t="n">
        <f aca="false">SUM(H$5:H324)</f>
        <v>6</v>
      </c>
    </row>
    <row r="325" customFormat="false" ht="15" hidden="false" customHeight="false" outlineLevel="0" collapsed="false">
      <c r="A325" s="12"/>
      <c r="B325" s="13"/>
      <c r="C325" s="13"/>
      <c r="D325" s="14"/>
      <c r="E325" s="15"/>
      <c r="F325" s="16" t="n">
        <f aca="false">IF(C325="",0,IF(COUNTIF(C$5:C325,C325)=1,1,0))</f>
        <v>0</v>
      </c>
      <c r="G325" s="16" t="n">
        <f aca="false">SUM(F$5:F325)</f>
        <v>8</v>
      </c>
      <c r="H325" s="16" t="n">
        <f aca="false">IF(B325="",0,IF(COUNTIF(B$5:B325,B325)=1,1,0))</f>
        <v>0</v>
      </c>
      <c r="I325" s="16" t="n">
        <f aca="false">SUM(H$5:H325)</f>
        <v>6</v>
      </c>
    </row>
    <row r="326" customFormat="false" ht="15" hidden="false" customHeight="false" outlineLevel="0" collapsed="false">
      <c r="A326" s="12"/>
      <c r="B326" s="13"/>
      <c r="C326" s="13"/>
      <c r="D326" s="14"/>
      <c r="E326" s="15"/>
      <c r="F326" s="16" t="n">
        <f aca="false">IF(C326="",0,IF(COUNTIF(C$5:C326,C326)=1,1,0))</f>
        <v>0</v>
      </c>
      <c r="G326" s="16" t="n">
        <f aca="false">SUM(F$5:F326)</f>
        <v>8</v>
      </c>
      <c r="H326" s="16" t="n">
        <f aca="false">IF(B326="",0,IF(COUNTIF(B$5:B326,B326)=1,1,0))</f>
        <v>0</v>
      </c>
      <c r="I326" s="16" t="n">
        <f aca="false">SUM(H$5:H326)</f>
        <v>6</v>
      </c>
    </row>
    <row r="327" customFormat="false" ht="15" hidden="false" customHeight="false" outlineLevel="0" collapsed="false">
      <c r="A327" s="12"/>
      <c r="B327" s="13"/>
      <c r="C327" s="13"/>
      <c r="D327" s="14"/>
      <c r="E327" s="15"/>
      <c r="F327" s="16" t="n">
        <f aca="false">IF(C327="",0,IF(COUNTIF(C$5:C327,C327)=1,1,0))</f>
        <v>0</v>
      </c>
      <c r="G327" s="16" t="n">
        <f aca="false">SUM(F$5:F327)</f>
        <v>8</v>
      </c>
      <c r="H327" s="16" t="n">
        <f aca="false">IF(B327="",0,IF(COUNTIF(B$5:B327,B327)=1,1,0))</f>
        <v>0</v>
      </c>
      <c r="I327" s="16" t="n">
        <f aca="false">SUM(H$5:H327)</f>
        <v>6</v>
      </c>
    </row>
    <row r="328" customFormat="false" ht="15" hidden="false" customHeight="false" outlineLevel="0" collapsed="false">
      <c r="A328" s="12"/>
      <c r="B328" s="13"/>
      <c r="C328" s="13"/>
      <c r="D328" s="14"/>
      <c r="E328" s="15"/>
      <c r="F328" s="16" t="n">
        <f aca="false">IF(C328="",0,IF(COUNTIF(C$5:C328,C328)=1,1,0))</f>
        <v>0</v>
      </c>
      <c r="G328" s="16" t="n">
        <f aca="false">SUM(F$5:F328)</f>
        <v>8</v>
      </c>
      <c r="H328" s="16" t="n">
        <f aca="false">IF(B328="",0,IF(COUNTIF(B$5:B328,B328)=1,1,0))</f>
        <v>0</v>
      </c>
      <c r="I328" s="16" t="n">
        <f aca="false">SUM(H$5:H328)</f>
        <v>6</v>
      </c>
    </row>
    <row r="329" customFormat="false" ht="15" hidden="false" customHeight="false" outlineLevel="0" collapsed="false">
      <c r="A329" s="12"/>
      <c r="B329" s="13"/>
      <c r="C329" s="13"/>
      <c r="D329" s="14"/>
      <c r="E329" s="15"/>
      <c r="F329" s="16" t="n">
        <f aca="false">IF(C329="",0,IF(COUNTIF(C$5:C329,C329)=1,1,0))</f>
        <v>0</v>
      </c>
      <c r="G329" s="16" t="n">
        <f aca="false">SUM(F$5:F329)</f>
        <v>8</v>
      </c>
      <c r="H329" s="16" t="n">
        <f aca="false">IF(B329="",0,IF(COUNTIF(B$5:B329,B329)=1,1,0))</f>
        <v>0</v>
      </c>
      <c r="I329" s="16" t="n">
        <f aca="false">SUM(H$5:H329)</f>
        <v>6</v>
      </c>
    </row>
    <row r="330" customFormat="false" ht="15" hidden="false" customHeight="false" outlineLevel="0" collapsed="false">
      <c r="A330" s="12"/>
      <c r="B330" s="13"/>
      <c r="C330" s="13"/>
      <c r="D330" s="14"/>
      <c r="E330" s="15"/>
      <c r="F330" s="16" t="n">
        <f aca="false">IF(C330="",0,IF(COUNTIF(C$5:C330,C330)=1,1,0))</f>
        <v>0</v>
      </c>
      <c r="G330" s="16" t="n">
        <f aca="false">SUM(F$5:F330)</f>
        <v>8</v>
      </c>
      <c r="H330" s="16" t="n">
        <f aca="false">IF(B330="",0,IF(COUNTIF(B$5:B330,B330)=1,1,0))</f>
        <v>0</v>
      </c>
      <c r="I330" s="16" t="n">
        <f aca="false">SUM(H$5:H330)</f>
        <v>6</v>
      </c>
    </row>
    <row r="331" customFormat="false" ht="15" hidden="false" customHeight="false" outlineLevel="0" collapsed="false">
      <c r="A331" s="12"/>
      <c r="B331" s="13"/>
      <c r="C331" s="13"/>
      <c r="D331" s="14"/>
      <c r="E331" s="15"/>
      <c r="F331" s="16" t="n">
        <f aca="false">IF(C331="",0,IF(COUNTIF(C$5:C331,C331)=1,1,0))</f>
        <v>0</v>
      </c>
      <c r="G331" s="16" t="n">
        <f aca="false">SUM(F$5:F331)</f>
        <v>8</v>
      </c>
      <c r="H331" s="16" t="n">
        <f aca="false">IF(B331="",0,IF(COUNTIF(B$5:B331,B331)=1,1,0))</f>
        <v>0</v>
      </c>
      <c r="I331" s="16" t="n">
        <f aca="false">SUM(H$5:H331)</f>
        <v>6</v>
      </c>
    </row>
    <row r="332" customFormat="false" ht="15" hidden="false" customHeight="false" outlineLevel="0" collapsed="false">
      <c r="A332" s="12"/>
      <c r="B332" s="13"/>
      <c r="C332" s="13"/>
      <c r="D332" s="14"/>
      <c r="E332" s="15"/>
      <c r="F332" s="16" t="n">
        <f aca="false">IF(C332="",0,IF(COUNTIF(C$5:C332,C332)=1,1,0))</f>
        <v>0</v>
      </c>
      <c r="G332" s="16" t="n">
        <f aca="false">SUM(F$5:F332)</f>
        <v>8</v>
      </c>
      <c r="H332" s="16" t="n">
        <f aca="false">IF(B332="",0,IF(COUNTIF(B$5:B332,B332)=1,1,0))</f>
        <v>0</v>
      </c>
      <c r="I332" s="16" t="n">
        <f aca="false">SUM(H$5:H332)</f>
        <v>6</v>
      </c>
    </row>
    <row r="333" customFormat="false" ht="15" hidden="false" customHeight="false" outlineLevel="0" collapsed="false">
      <c r="A333" s="12"/>
      <c r="B333" s="13"/>
      <c r="C333" s="13"/>
      <c r="D333" s="14"/>
      <c r="E333" s="15"/>
      <c r="F333" s="16" t="n">
        <f aca="false">IF(C333="",0,IF(COUNTIF(C$5:C333,C333)=1,1,0))</f>
        <v>0</v>
      </c>
      <c r="G333" s="16" t="n">
        <f aca="false">SUM(F$5:F333)</f>
        <v>8</v>
      </c>
      <c r="H333" s="16" t="n">
        <f aca="false">IF(B333="",0,IF(COUNTIF(B$5:B333,B333)=1,1,0))</f>
        <v>0</v>
      </c>
      <c r="I333" s="16" t="n">
        <f aca="false">SUM(H$5:H333)</f>
        <v>6</v>
      </c>
    </row>
    <row r="334" customFormat="false" ht="15" hidden="false" customHeight="false" outlineLevel="0" collapsed="false">
      <c r="A334" s="12"/>
      <c r="B334" s="13"/>
      <c r="C334" s="13"/>
      <c r="D334" s="14"/>
      <c r="E334" s="15"/>
      <c r="F334" s="16" t="n">
        <f aca="false">IF(C334="",0,IF(COUNTIF(C$5:C334,C334)=1,1,0))</f>
        <v>0</v>
      </c>
      <c r="G334" s="16" t="n">
        <f aca="false">SUM(F$5:F334)</f>
        <v>8</v>
      </c>
      <c r="H334" s="16" t="n">
        <f aca="false">IF(B334="",0,IF(COUNTIF(B$5:B334,B334)=1,1,0))</f>
        <v>0</v>
      </c>
      <c r="I334" s="16" t="n">
        <f aca="false">SUM(H$5:H334)</f>
        <v>6</v>
      </c>
    </row>
    <row r="335" customFormat="false" ht="15" hidden="false" customHeight="false" outlineLevel="0" collapsed="false">
      <c r="A335" s="12"/>
      <c r="B335" s="13"/>
      <c r="C335" s="13"/>
      <c r="D335" s="14"/>
      <c r="E335" s="15"/>
      <c r="F335" s="16" t="n">
        <f aca="false">IF(C335="",0,IF(COUNTIF(C$5:C335,C335)=1,1,0))</f>
        <v>0</v>
      </c>
      <c r="G335" s="16" t="n">
        <f aca="false">SUM(F$5:F335)</f>
        <v>8</v>
      </c>
      <c r="H335" s="16" t="n">
        <f aca="false">IF(B335="",0,IF(COUNTIF(B$5:B335,B335)=1,1,0))</f>
        <v>0</v>
      </c>
      <c r="I335" s="16" t="n">
        <f aca="false">SUM(H$5:H335)</f>
        <v>6</v>
      </c>
    </row>
    <row r="336" customFormat="false" ht="15" hidden="false" customHeight="false" outlineLevel="0" collapsed="false">
      <c r="A336" s="12"/>
      <c r="B336" s="13"/>
      <c r="C336" s="13"/>
      <c r="D336" s="14"/>
      <c r="E336" s="15"/>
      <c r="F336" s="16" t="n">
        <f aca="false">IF(C336="",0,IF(COUNTIF(C$5:C336,C336)=1,1,0))</f>
        <v>0</v>
      </c>
      <c r="G336" s="16" t="n">
        <f aca="false">SUM(F$5:F336)</f>
        <v>8</v>
      </c>
      <c r="H336" s="16" t="n">
        <f aca="false">IF(B336="",0,IF(COUNTIF(B$5:B336,B336)=1,1,0))</f>
        <v>0</v>
      </c>
      <c r="I336" s="16" t="n">
        <f aca="false">SUM(H$5:H336)</f>
        <v>6</v>
      </c>
    </row>
    <row r="337" customFormat="false" ht="15" hidden="false" customHeight="false" outlineLevel="0" collapsed="false">
      <c r="A337" s="12"/>
      <c r="B337" s="13"/>
      <c r="C337" s="13"/>
      <c r="D337" s="14"/>
      <c r="E337" s="15"/>
      <c r="F337" s="16" t="n">
        <f aca="false">IF(C337="",0,IF(COUNTIF(C$5:C337,C337)=1,1,0))</f>
        <v>0</v>
      </c>
      <c r="G337" s="16" t="n">
        <f aca="false">SUM(F$5:F337)</f>
        <v>8</v>
      </c>
      <c r="H337" s="16" t="n">
        <f aca="false">IF(B337="",0,IF(COUNTIF(B$5:B337,B337)=1,1,0))</f>
        <v>0</v>
      </c>
      <c r="I337" s="16" t="n">
        <f aca="false">SUM(H$5:H337)</f>
        <v>6</v>
      </c>
    </row>
    <row r="338" customFormat="false" ht="15" hidden="false" customHeight="false" outlineLevel="0" collapsed="false">
      <c r="A338" s="12"/>
      <c r="B338" s="13"/>
      <c r="C338" s="13"/>
      <c r="D338" s="14"/>
      <c r="E338" s="15"/>
      <c r="F338" s="16" t="n">
        <f aca="false">IF(C338="",0,IF(COUNTIF(C$5:C338,C338)=1,1,0))</f>
        <v>0</v>
      </c>
      <c r="G338" s="16" t="n">
        <f aca="false">SUM(F$5:F338)</f>
        <v>8</v>
      </c>
      <c r="H338" s="16" t="n">
        <f aca="false">IF(B338="",0,IF(COUNTIF(B$5:B338,B338)=1,1,0))</f>
        <v>0</v>
      </c>
      <c r="I338" s="16" t="n">
        <f aca="false">SUM(H$5:H338)</f>
        <v>6</v>
      </c>
    </row>
    <row r="339" customFormat="false" ht="15" hidden="false" customHeight="false" outlineLevel="0" collapsed="false">
      <c r="A339" s="12"/>
      <c r="B339" s="13"/>
      <c r="C339" s="13"/>
      <c r="D339" s="14"/>
      <c r="E339" s="15"/>
      <c r="F339" s="16" t="n">
        <f aca="false">IF(C339="",0,IF(COUNTIF(C$5:C339,C339)=1,1,0))</f>
        <v>0</v>
      </c>
      <c r="G339" s="16" t="n">
        <f aca="false">SUM(F$5:F339)</f>
        <v>8</v>
      </c>
      <c r="H339" s="16" t="n">
        <f aca="false">IF(B339="",0,IF(COUNTIF(B$5:B339,B339)=1,1,0))</f>
        <v>0</v>
      </c>
      <c r="I339" s="16" t="n">
        <f aca="false">SUM(H$5:H339)</f>
        <v>6</v>
      </c>
    </row>
    <row r="340" customFormat="false" ht="15" hidden="false" customHeight="false" outlineLevel="0" collapsed="false">
      <c r="A340" s="12"/>
      <c r="B340" s="13"/>
      <c r="C340" s="13"/>
      <c r="D340" s="14"/>
      <c r="E340" s="15"/>
      <c r="F340" s="16" t="n">
        <f aca="false">IF(C340="",0,IF(COUNTIF(C$5:C340,C340)=1,1,0))</f>
        <v>0</v>
      </c>
      <c r="G340" s="16" t="n">
        <f aca="false">SUM(F$5:F340)</f>
        <v>8</v>
      </c>
      <c r="H340" s="16" t="n">
        <f aca="false">IF(B340="",0,IF(COUNTIF(B$5:B340,B340)=1,1,0))</f>
        <v>0</v>
      </c>
      <c r="I340" s="16" t="n">
        <f aca="false">SUM(H$5:H340)</f>
        <v>6</v>
      </c>
    </row>
    <row r="341" customFormat="false" ht="15" hidden="false" customHeight="false" outlineLevel="0" collapsed="false">
      <c r="A341" s="12"/>
      <c r="B341" s="13"/>
      <c r="C341" s="13"/>
      <c r="D341" s="14"/>
      <c r="E341" s="15"/>
      <c r="F341" s="16" t="n">
        <f aca="false">IF(C341="",0,IF(COUNTIF(C$5:C341,C341)=1,1,0))</f>
        <v>0</v>
      </c>
      <c r="G341" s="16" t="n">
        <f aca="false">SUM(F$5:F341)</f>
        <v>8</v>
      </c>
      <c r="H341" s="16" t="n">
        <f aca="false">IF(B341="",0,IF(COUNTIF(B$5:B341,B341)=1,1,0))</f>
        <v>0</v>
      </c>
      <c r="I341" s="16" t="n">
        <f aca="false">SUM(H$5:H341)</f>
        <v>6</v>
      </c>
    </row>
    <row r="342" customFormat="false" ht="15" hidden="false" customHeight="false" outlineLevel="0" collapsed="false">
      <c r="A342" s="12"/>
      <c r="B342" s="13"/>
      <c r="C342" s="13"/>
      <c r="D342" s="14"/>
      <c r="E342" s="15"/>
      <c r="F342" s="16" t="n">
        <f aca="false">IF(C342="",0,IF(COUNTIF(C$5:C342,C342)=1,1,0))</f>
        <v>0</v>
      </c>
      <c r="G342" s="16" t="n">
        <f aca="false">SUM(F$5:F342)</f>
        <v>8</v>
      </c>
      <c r="H342" s="16" t="n">
        <f aca="false">IF(B342="",0,IF(COUNTIF(B$5:B342,B342)=1,1,0))</f>
        <v>0</v>
      </c>
      <c r="I342" s="16" t="n">
        <f aca="false">SUM(H$5:H342)</f>
        <v>6</v>
      </c>
    </row>
    <row r="343" customFormat="false" ht="15" hidden="false" customHeight="false" outlineLevel="0" collapsed="false">
      <c r="A343" s="12"/>
      <c r="B343" s="13"/>
      <c r="C343" s="13"/>
      <c r="D343" s="14"/>
      <c r="E343" s="15"/>
      <c r="F343" s="16" t="n">
        <f aca="false">IF(C343="",0,IF(COUNTIF(C$5:C343,C343)=1,1,0))</f>
        <v>0</v>
      </c>
      <c r="G343" s="16" t="n">
        <f aca="false">SUM(F$5:F343)</f>
        <v>8</v>
      </c>
      <c r="H343" s="16" t="n">
        <f aca="false">IF(B343="",0,IF(COUNTIF(B$5:B343,B343)=1,1,0))</f>
        <v>0</v>
      </c>
      <c r="I343" s="16" t="n">
        <f aca="false">SUM(H$5:H343)</f>
        <v>6</v>
      </c>
    </row>
    <row r="344" customFormat="false" ht="15" hidden="false" customHeight="false" outlineLevel="0" collapsed="false">
      <c r="A344" s="12"/>
      <c r="B344" s="13"/>
      <c r="C344" s="13"/>
      <c r="D344" s="14"/>
      <c r="E344" s="15"/>
      <c r="F344" s="16" t="n">
        <f aca="false">IF(C344="",0,IF(COUNTIF(C$5:C344,C344)=1,1,0))</f>
        <v>0</v>
      </c>
      <c r="G344" s="16" t="n">
        <f aca="false">SUM(F$5:F344)</f>
        <v>8</v>
      </c>
      <c r="H344" s="16" t="n">
        <f aca="false">IF(B344="",0,IF(COUNTIF(B$5:B344,B344)=1,1,0))</f>
        <v>0</v>
      </c>
      <c r="I344" s="16" t="n">
        <f aca="false">SUM(H$5:H344)</f>
        <v>6</v>
      </c>
    </row>
    <row r="345" customFormat="false" ht="15" hidden="false" customHeight="false" outlineLevel="0" collapsed="false">
      <c r="A345" s="12"/>
      <c r="B345" s="13"/>
      <c r="C345" s="13"/>
      <c r="D345" s="14"/>
      <c r="E345" s="15"/>
      <c r="F345" s="16" t="n">
        <f aca="false">IF(C345="",0,IF(COUNTIF(C$5:C345,C345)=1,1,0))</f>
        <v>0</v>
      </c>
      <c r="G345" s="16" t="n">
        <f aca="false">SUM(F$5:F345)</f>
        <v>8</v>
      </c>
      <c r="H345" s="16" t="n">
        <f aca="false">IF(B345="",0,IF(COUNTIF(B$5:B345,B345)=1,1,0))</f>
        <v>0</v>
      </c>
      <c r="I345" s="16" t="n">
        <f aca="false">SUM(H$5:H345)</f>
        <v>6</v>
      </c>
    </row>
    <row r="346" customFormat="false" ht="15" hidden="false" customHeight="false" outlineLevel="0" collapsed="false">
      <c r="A346" s="12"/>
      <c r="B346" s="13"/>
      <c r="C346" s="13"/>
      <c r="D346" s="14"/>
      <c r="E346" s="15"/>
      <c r="F346" s="16" t="n">
        <f aca="false">IF(C346="",0,IF(COUNTIF(C$5:C346,C346)=1,1,0))</f>
        <v>0</v>
      </c>
      <c r="G346" s="16" t="n">
        <f aca="false">SUM(F$5:F346)</f>
        <v>8</v>
      </c>
      <c r="H346" s="16" t="n">
        <f aca="false">IF(B346="",0,IF(COUNTIF(B$5:B346,B346)=1,1,0))</f>
        <v>0</v>
      </c>
      <c r="I346" s="16" t="n">
        <f aca="false">SUM(H$5:H346)</f>
        <v>6</v>
      </c>
    </row>
    <row r="347" customFormat="false" ht="15" hidden="false" customHeight="false" outlineLevel="0" collapsed="false">
      <c r="A347" s="12"/>
      <c r="B347" s="13"/>
      <c r="C347" s="13"/>
      <c r="D347" s="14"/>
      <c r="E347" s="15"/>
      <c r="F347" s="16" t="n">
        <f aca="false">IF(C347="",0,IF(COUNTIF(C$5:C347,C347)=1,1,0))</f>
        <v>0</v>
      </c>
      <c r="G347" s="16" t="n">
        <f aca="false">SUM(F$5:F347)</f>
        <v>8</v>
      </c>
      <c r="H347" s="16" t="n">
        <f aca="false">IF(B347="",0,IF(COUNTIF(B$5:B347,B347)=1,1,0))</f>
        <v>0</v>
      </c>
      <c r="I347" s="16" t="n">
        <f aca="false">SUM(H$5:H347)</f>
        <v>6</v>
      </c>
    </row>
    <row r="348" customFormat="false" ht="15" hidden="false" customHeight="false" outlineLevel="0" collapsed="false">
      <c r="A348" s="12"/>
      <c r="B348" s="13"/>
      <c r="C348" s="13"/>
      <c r="D348" s="14"/>
      <c r="E348" s="15"/>
      <c r="F348" s="16" t="n">
        <f aca="false">IF(C348="",0,IF(COUNTIF(C$5:C348,C348)=1,1,0))</f>
        <v>0</v>
      </c>
      <c r="G348" s="16" t="n">
        <f aca="false">SUM(F$5:F348)</f>
        <v>8</v>
      </c>
      <c r="H348" s="16" t="n">
        <f aca="false">IF(B348="",0,IF(COUNTIF(B$5:B348,B348)=1,1,0))</f>
        <v>0</v>
      </c>
      <c r="I348" s="16" t="n">
        <f aca="false">SUM(H$5:H348)</f>
        <v>6</v>
      </c>
    </row>
    <row r="349" customFormat="false" ht="15" hidden="false" customHeight="false" outlineLevel="0" collapsed="false">
      <c r="A349" s="12"/>
      <c r="B349" s="13"/>
      <c r="C349" s="13"/>
      <c r="D349" s="14"/>
      <c r="E349" s="15"/>
      <c r="F349" s="16" t="n">
        <f aca="false">IF(C349="",0,IF(COUNTIF(C$5:C349,C349)=1,1,0))</f>
        <v>0</v>
      </c>
      <c r="G349" s="16" t="n">
        <f aca="false">SUM(F$5:F349)</f>
        <v>8</v>
      </c>
      <c r="H349" s="16" t="n">
        <f aca="false">IF(B349="",0,IF(COUNTIF(B$5:B349,B349)=1,1,0))</f>
        <v>0</v>
      </c>
      <c r="I349" s="16" t="n">
        <f aca="false">SUM(H$5:H349)</f>
        <v>6</v>
      </c>
    </row>
    <row r="350" customFormat="false" ht="15" hidden="false" customHeight="false" outlineLevel="0" collapsed="false">
      <c r="A350" s="12"/>
      <c r="B350" s="13"/>
      <c r="C350" s="13"/>
      <c r="D350" s="14"/>
      <c r="E350" s="15"/>
      <c r="F350" s="16" t="n">
        <f aca="false">IF(C350="",0,IF(COUNTIF(C$5:C350,C350)=1,1,0))</f>
        <v>0</v>
      </c>
      <c r="G350" s="16" t="n">
        <f aca="false">SUM(F$5:F350)</f>
        <v>8</v>
      </c>
      <c r="H350" s="16" t="n">
        <f aca="false">IF(B350="",0,IF(COUNTIF(B$5:B350,B350)=1,1,0))</f>
        <v>0</v>
      </c>
      <c r="I350" s="16" t="n">
        <f aca="false">SUM(H$5:H350)</f>
        <v>6</v>
      </c>
    </row>
    <row r="351" customFormat="false" ht="15" hidden="false" customHeight="false" outlineLevel="0" collapsed="false">
      <c r="A351" s="12"/>
      <c r="B351" s="13"/>
      <c r="C351" s="13"/>
      <c r="D351" s="14"/>
      <c r="E351" s="15"/>
      <c r="F351" s="16" t="n">
        <f aca="false">IF(C351="",0,IF(COUNTIF(C$5:C351,C351)=1,1,0))</f>
        <v>0</v>
      </c>
      <c r="G351" s="16" t="n">
        <f aca="false">SUM(F$5:F351)</f>
        <v>8</v>
      </c>
      <c r="H351" s="16" t="n">
        <f aca="false">IF(B351="",0,IF(COUNTIF(B$5:B351,B351)=1,1,0))</f>
        <v>0</v>
      </c>
      <c r="I351" s="16" t="n">
        <f aca="false">SUM(H$5:H351)</f>
        <v>6</v>
      </c>
    </row>
    <row r="352" customFormat="false" ht="15" hidden="false" customHeight="false" outlineLevel="0" collapsed="false">
      <c r="A352" s="12"/>
      <c r="B352" s="13"/>
      <c r="C352" s="13"/>
      <c r="D352" s="14"/>
      <c r="E352" s="15"/>
      <c r="F352" s="16" t="n">
        <f aca="false">IF(C352="",0,IF(COUNTIF(C$5:C352,C352)=1,1,0))</f>
        <v>0</v>
      </c>
      <c r="G352" s="16" t="n">
        <f aca="false">SUM(F$5:F352)</f>
        <v>8</v>
      </c>
      <c r="H352" s="16" t="n">
        <f aca="false">IF(B352="",0,IF(COUNTIF(B$5:B352,B352)=1,1,0))</f>
        <v>0</v>
      </c>
      <c r="I352" s="16" t="n">
        <f aca="false">SUM(H$5:H352)</f>
        <v>6</v>
      </c>
    </row>
    <row r="353" customFormat="false" ht="15" hidden="false" customHeight="false" outlineLevel="0" collapsed="false">
      <c r="A353" s="12"/>
      <c r="B353" s="13"/>
      <c r="C353" s="13"/>
      <c r="D353" s="14"/>
      <c r="E353" s="15"/>
      <c r="F353" s="16" t="n">
        <f aca="false">IF(C353="",0,IF(COUNTIF(C$5:C353,C353)=1,1,0))</f>
        <v>0</v>
      </c>
      <c r="G353" s="16" t="n">
        <f aca="false">SUM(F$5:F353)</f>
        <v>8</v>
      </c>
      <c r="H353" s="16" t="n">
        <f aca="false">IF(B353="",0,IF(COUNTIF(B$5:B353,B353)=1,1,0))</f>
        <v>0</v>
      </c>
      <c r="I353" s="16" t="n">
        <f aca="false">SUM(H$5:H353)</f>
        <v>6</v>
      </c>
    </row>
    <row r="354" customFormat="false" ht="15" hidden="false" customHeight="false" outlineLevel="0" collapsed="false">
      <c r="A354" s="12"/>
      <c r="B354" s="13"/>
      <c r="C354" s="13"/>
      <c r="D354" s="14"/>
      <c r="E354" s="15"/>
      <c r="F354" s="16" t="n">
        <f aca="false">IF(C354="",0,IF(COUNTIF(C$5:C354,C354)=1,1,0))</f>
        <v>0</v>
      </c>
      <c r="G354" s="16" t="n">
        <f aca="false">SUM(F$5:F354)</f>
        <v>8</v>
      </c>
      <c r="H354" s="16" t="n">
        <f aca="false">IF(B354="",0,IF(COUNTIF(B$5:B354,B354)=1,1,0))</f>
        <v>0</v>
      </c>
      <c r="I354" s="16" t="n">
        <f aca="false">SUM(H$5:H354)</f>
        <v>6</v>
      </c>
    </row>
    <row r="355" customFormat="false" ht="15" hidden="false" customHeight="false" outlineLevel="0" collapsed="false">
      <c r="A355" s="12"/>
      <c r="B355" s="13"/>
      <c r="C355" s="13"/>
      <c r="D355" s="14"/>
      <c r="E355" s="15"/>
      <c r="F355" s="16" t="n">
        <f aca="false">IF(C355="",0,IF(COUNTIF(C$5:C355,C355)=1,1,0))</f>
        <v>0</v>
      </c>
      <c r="G355" s="16" t="n">
        <f aca="false">SUM(F$5:F355)</f>
        <v>8</v>
      </c>
      <c r="H355" s="16" t="n">
        <f aca="false">IF(B355="",0,IF(COUNTIF(B$5:B355,B355)=1,1,0))</f>
        <v>0</v>
      </c>
      <c r="I355" s="16" t="n">
        <f aca="false">SUM(H$5:H355)</f>
        <v>6</v>
      </c>
    </row>
    <row r="356" customFormat="false" ht="15" hidden="false" customHeight="false" outlineLevel="0" collapsed="false">
      <c r="A356" s="12"/>
      <c r="B356" s="13"/>
      <c r="C356" s="13"/>
      <c r="D356" s="14"/>
      <c r="E356" s="15"/>
      <c r="F356" s="16" t="n">
        <f aca="false">IF(C356="",0,IF(COUNTIF(C$5:C356,C356)=1,1,0))</f>
        <v>0</v>
      </c>
      <c r="G356" s="16" t="n">
        <f aca="false">SUM(F$5:F356)</f>
        <v>8</v>
      </c>
      <c r="H356" s="16" t="n">
        <f aca="false">IF(B356="",0,IF(COUNTIF(B$5:B356,B356)=1,1,0))</f>
        <v>0</v>
      </c>
      <c r="I356" s="16" t="n">
        <f aca="false">SUM(H$5:H356)</f>
        <v>6</v>
      </c>
    </row>
    <row r="357" customFormat="false" ht="15" hidden="false" customHeight="false" outlineLevel="0" collapsed="false">
      <c r="A357" s="12"/>
      <c r="B357" s="13"/>
      <c r="C357" s="13"/>
      <c r="D357" s="14"/>
      <c r="E357" s="15"/>
      <c r="F357" s="16" t="n">
        <f aca="false">IF(C357="",0,IF(COUNTIF(C$5:C357,C357)=1,1,0))</f>
        <v>0</v>
      </c>
      <c r="G357" s="16" t="n">
        <f aca="false">SUM(F$5:F357)</f>
        <v>8</v>
      </c>
      <c r="H357" s="16" t="n">
        <f aca="false">IF(B357="",0,IF(COUNTIF(B$5:B357,B357)=1,1,0))</f>
        <v>0</v>
      </c>
      <c r="I357" s="16" t="n">
        <f aca="false">SUM(H$5:H357)</f>
        <v>6</v>
      </c>
    </row>
    <row r="358" customFormat="false" ht="15" hidden="false" customHeight="false" outlineLevel="0" collapsed="false">
      <c r="A358" s="12"/>
      <c r="B358" s="13"/>
      <c r="C358" s="13"/>
      <c r="D358" s="14"/>
      <c r="E358" s="15"/>
      <c r="F358" s="16" t="n">
        <f aca="false">IF(C358="",0,IF(COUNTIF(C$5:C358,C358)=1,1,0))</f>
        <v>0</v>
      </c>
      <c r="G358" s="16" t="n">
        <f aca="false">SUM(F$5:F358)</f>
        <v>8</v>
      </c>
      <c r="H358" s="16" t="n">
        <f aca="false">IF(B358="",0,IF(COUNTIF(B$5:B358,B358)=1,1,0))</f>
        <v>0</v>
      </c>
      <c r="I358" s="16" t="n">
        <f aca="false">SUM(H$5:H358)</f>
        <v>6</v>
      </c>
    </row>
    <row r="359" customFormat="false" ht="15" hidden="false" customHeight="false" outlineLevel="0" collapsed="false">
      <c r="A359" s="12"/>
      <c r="B359" s="13"/>
      <c r="C359" s="13"/>
      <c r="D359" s="14"/>
      <c r="E359" s="15"/>
      <c r="F359" s="16" t="n">
        <f aca="false">IF(C359="",0,IF(COUNTIF(C$5:C359,C359)=1,1,0))</f>
        <v>0</v>
      </c>
      <c r="G359" s="16" t="n">
        <f aca="false">SUM(F$5:F359)</f>
        <v>8</v>
      </c>
      <c r="H359" s="16" t="n">
        <f aca="false">IF(B359="",0,IF(COUNTIF(B$5:B359,B359)=1,1,0))</f>
        <v>0</v>
      </c>
      <c r="I359" s="16" t="n">
        <f aca="false">SUM(H$5:H359)</f>
        <v>6</v>
      </c>
    </row>
    <row r="360" customFormat="false" ht="15" hidden="false" customHeight="false" outlineLevel="0" collapsed="false">
      <c r="A360" s="12"/>
      <c r="B360" s="13"/>
      <c r="C360" s="13"/>
      <c r="D360" s="14"/>
      <c r="E360" s="15"/>
      <c r="F360" s="16" t="n">
        <f aca="false">IF(C360="",0,IF(COUNTIF(C$5:C360,C360)=1,1,0))</f>
        <v>0</v>
      </c>
      <c r="G360" s="16" t="n">
        <f aca="false">SUM(F$5:F360)</f>
        <v>8</v>
      </c>
      <c r="H360" s="16" t="n">
        <f aca="false">IF(B360="",0,IF(COUNTIF(B$5:B360,B360)=1,1,0))</f>
        <v>0</v>
      </c>
      <c r="I360" s="16" t="n">
        <f aca="false">SUM(H$5:H360)</f>
        <v>6</v>
      </c>
    </row>
    <row r="361" customFormat="false" ht="15" hidden="false" customHeight="false" outlineLevel="0" collapsed="false">
      <c r="A361" s="12"/>
      <c r="B361" s="13"/>
      <c r="C361" s="13"/>
      <c r="D361" s="14"/>
      <c r="E361" s="15"/>
      <c r="F361" s="16" t="n">
        <f aca="false">IF(C361="",0,IF(COUNTIF(C$5:C361,C361)=1,1,0))</f>
        <v>0</v>
      </c>
      <c r="G361" s="16" t="n">
        <f aca="false">SUM(F$5:F361)</f>
        <v>8</v>
      </c>
      <c r="H361" s="16" t="n">
        <f aca="false">IF(B361="",0,IF(COUNTIF(B$5:B361,B361)=1,1,0))</f>
        <v>0</v>
      </c>
      <c r="I361" s="16" t="n">
        <f aca="false">SUM(H$5:H361)</f>
        <v>6</v>
      </c>
    </row>
    <row r="362" customFormat="false" ht="15" hidden="false" customHeight="false" outlineLevel="0" collapsed="false">
      <c r="A362" s="12"/>
      <c r="B362" s="13"/>
      <c r="C362" s="13"/>
      <c r="D362" s="14"/>
      <c r="E362" s="15"/>
      <c r="F362" s="16" t="n">
        <f aca="false">IF(C362="",0,IF(COUNTIF(C$5:C362,C362)=1,1,0))</f>
        <v>0</v>
      </c>
      <c r="G362" s="16" t="n">
        <f aca="false">SUM(F$5:F362)</f>
        <v>8</v>
      </c>
      <c r="H362" s="16" t="n">
        <f aca="false">IF(B362="",0,IF(COUNTIF(B$5:B362,B362)=1,1,0))</f>
        <v>0</v>
      </c>
      <c r="I362" s="16" t="n">
        <f aca="false">SUM(H$5:H362)</f>
        <v>6</v>
      </c>
    </row>
    <row r="363" customFormat="false" ht="15" hidden="false" customHeight="false" outlineLevel="0" collapsed="false">
      <c r="A363" s="12"/>
      <c r="B363" s="13"/>
      <c r="C363" s="13"/>
      <c r="D363" s="14"/>
      <c r="E363" s="15"/>
      <c r="F363" s="16" t="n">
        <f aca="false">IF(C363="",0,IF(COUNTIF(C$5:C363,C363)=1,1,0))</f>
        <v>0</v>
      </c>
      <c r="G363" s="16" t="n">
        <f aca="false">SUM(F$5:F363)</f>
        <v>8</v>
      </c>
      <c r="H363" s="16" t="n">
        <f aca="false">IF(B363="",0,IF(COUNTIF(B$5:B363,B363)=1,1,0))</f>
        <v>0</v>
      </c>
      <c r="I363" s="16" t="n">
        <f aca="false">SUM(H$5:H363)</f>
        <v>6</v>
      </c>
    </row>
    <row r="364" customFormat="false" ht="15" hidden="false" customHeight="false" outlineLevel="0" collapsed="false">
      <c r="A364" s="12"/>
      <c r="B364" s="13"/>
      <c r="C364" s="13"/>
      <c r="D364" s="14"/>
      <c r="E364" s="15"/>
      <c r="F364" s="16" t="n">
        <f aca="false">IF(C364="",0,IF(COUNTIF(C$5:C364,C364)=1,1,0))</f>
        <v>0</v>
      </c>
      <c r="G364" s="16" t="n">
        <f aca="false">SUM(F$5:F364)</f>
        <v>8</v>
      </c>
      <c r="H364" s="16" t="n">
        <f aca="false">IF(B364="",0,IF(COUNTIF(B$5:B364,B364)=1,1,0))</f>
        <v>0</v>
      </c>
      <c r="I364" s="16" t="n">
        <f aca="false">SUM(H$5:H364)</f>
        <v>6</v>
      </c>
    </row>
    <row r="365" customFormat="false" ht="15" hidden="false" customHeight="false" outlineLevel="0" collapsed="false">
      <c r="A365" s="12"/>
      <c r="B365" s="13"/>
      <c r="C365" s="13"/>
      <c r="D365" s="14"/>
      <c r="E365" s="15"/>
      <c r="F365" s="16" t="n">
        <f aca="false">IF(C365="",0,IF(COUNTIF(C$5:C365,C365)=1,1,0))</f>
        <v>0</v>
      </c>
      <c r="G365" s="16" t="n">
        <f aca="false">SUM(F$5:F365)</f>
        <v>8</v>
      </c>
      <c r="H365" s="16" t="n">
        <f aca="false">IF(B365="",0,IF(COUNTIF(B$5:B365,B365)=1,1,0))</f>
        <v>0</v>
      </c>
      <c r="I365" s="16" t="n">
        <f aca="false">SUM(H$5:H365)</f>
        <v>6</v>
      </c>
    </row>
    <row r="366" customFormat="false" ht="15" hidden="false" customHeight="false" outlineLevel="0" collapsed="false">
      <c r="A366" s="12"/>
      <c r="B366" s="13"/>
      <c r="C366" s="13"/>
      <c r="D366" s="14"/>
      <c r="E366" s="15"/>
      <c r="F366" s="16" t="n">
        <f aca="false">IF(C366="",0,IF(COUNTIF(C$5:C366,C366)=1,1,0))</f>
        <v>0</v>
      </c>
      <c r="G366" s="16" t="n">
        <f aca="false">SUM(F$5:F366)</f>
        <v>8</v>
      </c>
      <c r="H366" s="16" t="n">
        <f aca="false">IF(B366="",0,IF(COUNTIF(B$5:B366,B366)=1,1,0))</f>
        <v>0</v>
      </c>
      <c r="I366" s="16" t="n">
        <f aca="false">SUM(H$5:H366)</f>
        <v>6</v>
      </c>
    </row>
    <row r="367" customFormat="false" ht="15" hidden="false" customHeight="false" outlineLevel="0" collapsed="false">
      <c r="A367" s="12"/>
      <c r="B367" s="13"/>
      <c r="C367" s="13"/>
      <c r="D367" s="14"/>
      <c r="E367" s="15"/>
      <c r="F367" s="16" t="n">
        <f aca="false">IF(C367="",0,IF(COUNTIF(C$5:C367,C367)=1,1,0))</f>
        <v>0</v>
      </c>
      <c r="G367" s="16" t="n">
        <f aca="false">SUM(F$5:F367)</f>
        <v>8</v>
      </c>
      <c r="H367" s="16" t="n">
        <f aca="false">IF(B367="",0,IF(COUNTIF(B$5:B367,B367)=1,1,0))</f>
        <v>0</v>
      </c>
      <c r="I367" s="16" t="n">
        <f aca="false">SUM(H$5:H367)</f>
        <v>6</v>
      </c>
    </row>
    <row r="368" customFormat="false" ht="15" hidden="false" customHeight="false" outlineLevel="0" collapsed="false">
      <c r="A368" s="12"/>
      <c r="B368" s="13"/>
      <c r="C368" s="13"/>
      <c r="D368" s="14"/>
      <c r="E368" s="15"/>
      <c r="F368" s="16" t="n">
        <f aca="false">IF(C368="",0,IF(COUNTIF(C$5:C368,C368)=1,1,0))</f>
        <v>0</v>
      </c>
      <c r="G368" s="16" t="n">
        <f aca="false">SUM(F$5:F368)</f>
        <v>8</v>
      </c>
      <c r="H368" s="16" t="n">
        <f aca="false">IF(B368="",0,IF(COUNTIF(B$5:B368,B368)=1,1,0))</f>
        <v>0</v>
      </c>
      <c r="I368" s="16" t="n">
        <f aca="false">SUM(H$5:H368)</f>
        <v>6</v>
      </c>
    </row>
    <row r="369" customFormat="false" ht="15" hidden="false" customHeight="false" outlineLevel="0" collapsed="false">
      <c r="A369" s="12"/>
      <c r="B369" s="13"/>
      <c r="C369" s="13"/>
      <c r="D369" s="14"/>
      <c r="E369" s="15"/>
      <c r="F369" s="16" t="n">
        <f aca="false">IF(C369="",0,IF(COUNTIF(C$5:C369,C369)=1,1,0))</f>
        <v>0</v>
      </c>
      <c r="G369" s="16" t="n">
        <f aca="false">SUM(F$5:F369)</f>
        <v>8</v>
      </c>
      <c r="H369" s="16" t="n">
        <f aca="false">IF(B369="",0,IF(COUNTIF(B$5:B369,B369)=1,1,0))</f>
        <v>0</v>
      </c>
      <c r="I369" s="16" t="n">
        <f aca="false">SUM(H$5:H369)</f>
        <v>6</v>
      </c>
    </row>
    <row r="370" customFormat="false" ht="15" hidden="false" customHeight="false" outlineLevel="0" collapsed="false">
      <c r="A370" s="12"/>
      <c r="B370" s="13"/>
      <c r="C370" s="13"/>
      <c r="D370" s="14"/>
      <c r="E370" s="15"/>
      <c r="F370" s="16" t="n">
        <f aca="false">IF(C370="",0,IF(COUNTIF(C$5:C370,C370)=1,1,0))</f>
        <v>0</v>
      </c>
      <c r="G370" s="16" t="n">
        <f aca="false">SUM(F$5:F370)</f>
        <v>8</v>
      </c>
      <c r="H370" s="16" t="n">
        <f aca="false">IF(B370="",0,IF(COUNTIF(B$5:B370,B370)=1,1,0))</f>
        <v>0</v>
      </c>
      <c r="I370" s="16" t="n">
        <f aca="false">SUM(H$5:H370)</f>
        <v>6</v>
      </c>
    </row>
    <row r="371" customFormat="false" ht="15" hidden="false" customHeight="false" outlineLevel="0" collapsed="false">
      <c r="A371" s="12"/>
      <c r="B371" s="13"/>
      <c r="C371" s="13"/>
      <c r="D371" s="14"/>
      <c r="E371" s="15"/>
      <c r="F371" s="16" t="n">
        <f aca="false">IF(C371="",0,IF(COUNTIF(C$5:C371,C371)=1,1,0))</f>
        <v>0</v>
      </c>
      <c r="G371" s="16" t="n">
        <f aca="false">SUM(F$5:F371)</f>
        <v>8</v>
      </c>
      <c r="H371" s="16" t="n">
        <f aca="false">IF(B371="",0,IF(COUNTIF(B$5:B371,B371)=1,1,0))</f>
        <v>0</v>
      </c>
      <c r="I371" s="16" t="n">
        <f aca="false">SUM(H$5:H371)</f>
        <v>6</v>
      </c>
    </row>
    <row r="372" customFormat="false" ht="15" hidden="false" customHeight="false" outlineLevel="0" collapsed="false">
      <c r="A372" s="12"/>
      <c r="B372" s="13"/>
      <c r="C372" s="13"/>
      <c r="D372" s="14"/>
      <c r="E372" s="15"/>
      <c r="F372" s="16" t="n">
        <f aca="false">IF(C372="",0,IF(COUNTIF(C$5:C372,C372)=1,1,0))</f>
        <v>0</v>
      </c>
      <c r="G372" s="16" t="n">
        <f aca="false">SUM(F$5:F372)</f>
        <v>8</v>
      </c>
      <c r="H372" s="16" t="n">
        <f aca="false">IF(B372="",0,IF(COUNTIF(B$5:B372,B372)=1,1,0))</f>
        <v>0</v>
      </c>
      <c r="I372" s="16" t="n">
        <f aca="false">SUM(H$5:H372)</f>
        <v>6</v>
      </c>
    </row>
    <row r="373" customFormat="false" ht="15" hidden="false" customHeight="false" outlineLevel="0" collapsed="false">
      <c r="A373" s="12"/>
      <c r="B373" s="13"/>
      <c r="C373" s="13"/>
      <c r="D373" s="14"/>
      <c r="E373" s="15"/>
      <c r="F373" s="16" t="n">
        <f aca="false">IF(C373="",0,IF(COUNTIF(C$5:C373,C373)=1,1,0))</f>
        <v>0</v>
      </c>
      <c r="G373" s="16" t="n">
        <f aca="false">SUM(F$5:F373)</f>
        <v>8</v>
      </c>
      <c r="H373" s="16" t="n">
        <f aca="false">IF(B373="",0,IF(COUNTIF(B$5:B373,B373)=1,1,0))</f>
        <v>0</v>
      </c>
      <c r="I373" s="16" t="n">
        <f aca="false">SUM(H$5:H373)</f>
        <v>6</v>
      </c>
    </row>
    <row r="374" customFormat="false" ht="15" hidden="false" customHeight="false" outlineLevel="0" collapsed="false">
      <c r="A374" s="12"/>
      <c r="B374" s="13"/>
      <c r="C374" s="13"/>
      <c r="D374" s="14"/>
      <c r="E374" s="15"/>
      <c r="F374" s="16" t="n">
        <f aca="false">IF(C374="",0,IF(COUNTIF(C$5:C374,C374)=1,1,0))</f>
        <v>0</v>
      </c>
      <c r="G374" s="16" t="n">
        <f aca="false">SUM(F$5:F374)</f>
        <v>8</v>
      </c>
      <c r="H374" s="16" t="n">
        <f aca="false">IF(B374="",0,IF(COUNTIF(B$5:B374,B374)=1,1,0))</f>
        <v>0</v>
      </c>
      <c r="I374" s="16" t="n">
        <f aca="false">SUM(H$5:H374)</f>
        <v>6</v>
      </c>
    </row>
    <row r="375" customFormat="false" ht="15" hidden="false" customHeight="false" outlineLevel="0" collapsed="false">
      <c r="A375" s="12"/>
      <c r="B375" s="13"/>
      <c r="C375" s="13"/>
      <c r="D375" s="14"/>
      <c r="E375" s="15"/>
      <c r="F375" s="16" t="n">
        <f aca="false">IF(C375="",0,IF(COUNTIF(C$5:C375,C375)=1,1,0))</f>
        <v>0</v>
      </c>
      <c r="G375" s="16" t="n">
        <f aca="false">SUM(F$5:F375)</f>
        <v>8</v>
      </c>
      <c r="H375" s="16" t="n">
        <f aca="false">IF(B375="",0,IF(COUNTIF(B$5:B375,B375)=1,1,0))</f>
        <v>0</v>
      </c>
      <c r="I375" s="16" t="n">
        <f aca="false">SUM(H$5:H375)</f>
        <v>6</v>
      </c>
    </row>
    <row r="376" customFormat="false" ht="15" hidden="false" customHeight="false" outlineLevel="0" collapsed="false">
      <c r="A376" s="12"/>
      <c r="B376" s="13"/>
      <c r="C376" s="13"/>
      <c r="D376" s="14"/>
      <c r="E376" s="15"/>
      <c r="F376" s="16" t="n">
        <f aca="false">IF(C376="",0,IF(COUNTIF(C$5:C376,C376)=1,1,0))</f>
        <v>0</v>
      </c>
      <c r="G376" s="16" t="n">
        <f aca="false">SUM(F$5:F376)</f>
        <v>8</v>
      </c>
      <c r="H376" s="16" t="n">
        <f aca="false">IF(B376="",0,IF(COUNTIF(B$5:B376,B376)=1,1,0))</f>
        <v>0</v>
      </c>
      <c r="I376" s="16" t="n">
        <f aca="false">SUM(H$5:H376)</f>
        <v>6</v>
      </c>
    </row>
    <row r="377" customFormat="false" ht="15" hidden="false" customHeight="false" outlineLevel="0" collapsed="false">
      <c r="A377" s="12"/>
      <c r="B377" s="13"/>
      <c r="C377" s="13"/>
      <c r="D377" s="14"/>
      <c r="E377" s="15"/>
      <c r="F377" s="16" t="n">
        <f aca="false">IF(C377="",0,IF(COUNTIF(C$5:C377,C377)=1,1,0))</f>
        <v>0</v>
      </c>
      <c r="G377" s="16" t="n">
        <f aca="false">SUM(F$5:F377)</f>
        <v>8</v>
      </c>
      <c r="H377" s="16" t="n">
        <f aca="false">IF(B377="",0,IF(COUNTIF(B$5:B377,B377)=1,1,0))</f>
        <v>0</v>
      </c>
      <c r="I377" s="16" t="n">
        <f aca="false">SUM(H$5:H377)</f>
        <v>6</v>
      </c>
    </row>
    <row r="378" customFormat="false" ht="15" hidden="false" customHeight="false" outlineLevel="0" collapsed="false">
      <c r="A378" s="12"/>
      <c r="B378" s="13"/>
      <c r="C378" s="13"/>
      <c r="D378" s="14"/>
      <c r="E378" s="15"/>
      <c r="F378" s="16" t="n">
        <f aca="false">IF(C378="",0,IF(COUNTIF(C$5:C378,C378)=1,1,0))</f>
        <v>0</v>
      </c>
      <c r="G378" s="16" t="n">
        <f aca="false">SUM(F$5:F378)</f>
        <v>8</v>
      </c>
      <c r="H378" s="16" t="n">
        <f aca="false">IF(B378="",0,IF(COUNTIF(B$5:B378,B378)=1,1,0))</f>
        <v>0</v>
      </c>
      <c r="I378" s="16" t="n">
        <f aca="false">SUM(H$5:H378)</f>
        <v>6</v>
      </c>
    </row>
    <row r="379" customFormat="false" ht="15" hidden="false" customHeight="false" outlineLevel="0" collapsed="false">
      <c r="A379" s="12"/>
      <c r="B379" s="13"/>
      <c r="C379" s="13"/>
      <c r="D379" s="14"/>
      <c r="E379" s="15"/>
      <c r="F379" s="16" t="n">
        <f aca="false">IF(C379="",0,IF(COUNTIF(C$5:C379,C379)=1,1,0))</f>
        <v>0</v>
      </c>
      <c r="G379" s="16" t="n">
        <f aca="false">SUM(F$5:F379)</f>
        <v>8</v>
      </c>
      <c r="H379" s="16" t="n">
        <f aca="false">IF(B379="",0,IF(COUNTIF(B$5:B379,B379)=1,1,0))</f>
        <v>0</v>
      </c>
      <c r="I379" s="16" t="n">
        <f aca="false">SUM(H$5:H379)</f>
        <v>6</v>
      </c>
    </row>
    <row r="380" customFormat="false" ht="15" hidden="false" customHeight="false" outlineLevel="0" collapsed="false">
      <c r="A380" s="12"/>
      <c r="B380" s="13"/>
      <c r="C380" s="13"/>
      <c r="D380" s="14"/>
      <c r="E380" s="15"/>
      <c r="F380" s="16" t="n">
        <f aca="false">IF(C380="",0,IF(COUNTIF(C$5:C380,C380)=1,1,0))</f>
        <v>0</v>
      </c>
      <c r="G380" s="16" t="n">
        <f aca="false">SUM(F$5:F380)</f>
        <v>8</v>
      </c>
      <c r="H380" s="16" t="n">
        <f aca="false">IF(B380="",0,IF(COUNTIF(B$5:B380,B380)=1,1,0))</f>
        <v>0</v>
      </c>
      <c r="I380" s="16" t="n">
        <f aca="false">SUM(H$5:H380)</f>
        <v>6</v>
      </c>
    </row>
    <row r="381" customFormat="false" ht="15" hidden="false" customHeight="false" outlineLevel="0" collapsed="false">
      <c r="A381" s="12"/>
      <c r="B381" s="13"/>
      <c r="C381" s="13"/>
      <c r="D381" s="14"/>
      <c r="E381" s="15"/>
      <c r="F381" s="16" t="n">
        <f aca="false">IF(C381="",0,IF(COUNTIF(C$5:C381,C381)=1,1,0))</f>
        <v>0</v>
      </c>
      <c r="G381" s="16" t="n">
        <f aca="false">SUM(F$5:F381)</f>
        <v>8</v>
      </c>
      <c r="H381" s="16" t="n">
        <f aca="false">IF(B381="",0,IF(COUNTIF(B$5:B381,B381)=1,1,0))</f>
        <v>0</v>
      </c>
      <c r="I381" s="16" t="n">
        <f aca="false">SUM(H$5:H381)</f>
        <v>6</v>
      </c>
    </row>
    <row r="382" customFormat="false" ht="15" hidden="false" customHeight="false" outlineLevel="0" collapsed="false">
      <c r="A382" s="12"/>
      <c r="B382" s="13"/>
      <c r="C382" s="13"/>
      <c r="D382" s="14"/>
      <c r="E382" s="15"/>
      <c r="F382" s="16" t="n">
        <f aca="false">IF(C382="",0,IF(COUNTIF(C$5:C382,C382)=1,1,0))</f>
        <v>0</v>
      </c>
      <c r="G382" s="16" t="n">
        <f aca="false">SUM(F$5:F382)</f>
        <v>8</v>
      </c>
      <c r="H382" s="16" t="n">
        <f aca="false">IF(B382="",0,IF(COUNTIF(B$5:B382,B382)=1,1,0))</f>
        <v>0</v>
      </c>
      <c r="I382" s="16" t="n">
        <f aca="false">SUM(H$5:H382)</f>
        <v>6</v>
      </c>
    </row>
    <row r="383" customFormat="false" ht="15" hidden="false" customHeight="false" outlineLevel="0" collapsed="false">
      <c r="A383" s="12"/>
      <c r="B383" s="13"/>
      <c r="C383" s="13"/>
      <c r="D383" s="14"/>
      <c r="E383" s="15"/>
      <c r="F383" s="16" t="n">
        <f aca="false">IF(C383="",0,IF(COUNTIF(C$5:C383,C383)=1,1,0))</f>
        <v>0</v>
      </c>
      <c r="G383" s="16" t="n">
        <f aca="false">SUM(F$5:F383)</f>
        <v>8</v>
      </c>
      <c r="H383" s="16" t="n">
        <f aca="false">IF(B383="",0,IF(COUNTIF(B$5:B383,B383)=1,1,0))</f>
        <v>0</v>
      </c>
      <c r="I383" s="16" t="n">
        <f aca="false">SUM(H$5:H383)</f>
        <v>6</v>
      </c>
    </row>
    <row r="384" customFormat="false" ht="15" hidden="false" customHeight="false" outlineLevel="0" collapsed="false">
      <c r="A384" s="12"/>
      <c r="B384" s="13"/>
      <c r="C384" s="13"/>
      <c r="D384" s="14"/>
      <c r="E384" s="15"/>
      <c r="F384" s="16" t="n">
        <f aca="false">IF(C384="",0,IF(COUNTIF(C$5:C384,C384)=1,1,0))</f>
        <v>0</v>
      </c>
      <c r="G384" s="16" t="n">
        <f aca="false">SUM(F$5:F384)</f>
        <v>8</v>
      </c>
      <c r="H384" s="16" t="n">
        <f aca="false">IF(B384="",0,IF(COUNTIF(B$5:B384,B384)=1,1,0))</f>
        <v>0</v>
      </c>
      <c r="I384" s="16" t="n">
        <f aca="false">SUM(H$5:H384)</f>
        <v>6</v>
      </c>
    </row>
    <row r="385" customFormat="false" ht="15" hidden="false" customHeight="false" outlineLevel="0" collapsed="false">
      <c r="A385" s="12"/>
      <c r="B385" s="13"/>
      <c r="C385" s="13"/>
      <c r="D385" s="14"/>
      <c r="E385" s="15"/>
      <c r="F385" s="16" t="n">
        <f aca="false">IF(C385="",0,IF(COUNTIF(C$5:C385,C385)=1,1,0))</f>
        <v>0</v>
      </c>
      <c r="G385" s="16" t="n">
        <f aca="false">SUM(F$5:F385)</f>
        <v>8</v>
      </c>
      <c r="H385" s="16" t="n">
        <f aca="false">IF(B385="",0,IF(COUNTIF(B$5:B385,B385)=1,1,0))</f>
        <v>0</v>
      </c>
      <c r="I385" s="16" t="n">
        <f aca="false">SUM(H$5:H385)</f>
        <v>6</v>
      </c>
    </row>
    <row r="386" customFormat="false" ht="15" hidden="false" customHeight="false" outlineLevel="0" collapsed="false">
      <c r="A386" s="12"/>
      <c r="B386" s="13"/>
      <c r="C386" s="13"/>
      <c r="D386" s="14"/>
      <c r="E386" s="15"/>
      <c r="F386" s="16" t="n">
        <f aca="false">IF(C386="",0,IF(COUNTIF(C$5:C386,C386)=1,1,0))</f>
        <v>0</v>
      </c>
      <c r="G386" s="16" t="n">
        <f aca="false">SUM(F$5:F386)</f>
        <v>8</v>
      </c>
      <c r="H386" s="16" t="n">
        <f aca="false">IF(B386="",0,IF(COUNTIF(B$5:B386,B386)=1,1,0))</f>
        <v>0</v>
      </c>
      <c r="I386" s="16" t="n">
        <f aca="false">SUM(H$5:H386)</f>
        <v>6</v>
      </c>
    </row>
    <row r="387" customFormat="false" ht="15" hidden="false" customHeight="false" outlineLevel="0" collapsed="false">
      <c r="A387" s="12"/>
      <c r="B387" s="13"/>
      <c r="C387" s="13"/>
      <c r="D387" s="14"/>
      <c r="E387" s="15"/>
      <c r="F387" s="16" t="n">
        <f aca="false">IF(C387="",0,IF(COUNTIF(C$5:C387,C387)=1,1,0))</f>
        <v>0</v>
      </c>
      <c r="G387" s="16" t="n">
        <f aca="false">SUM(F$5:F387)</f>
        <v>8</v>
      </c>
      <c r="H387" s="16" t="n">
        <f aca="false">IF(B387="",0,IF(COUNTIF(B$5:B387,B387)=1,1,0))</f>
        <v>0</v>
      </c>
      <c r="I387" s="16" t="n">
        <f aca="false">SUM(H$5:H387)</f>
        <v>6</v>
      </c>
    </row>
    <row r="388" customFormat="false" ht="15" hidden="false" customHeight="false" outlineLevel="0" collapsed="false">
      <c r="A388" s="12"/>
      <c r="B388" s="13"/>
      <c r="C388" s="13"/>
      <c r="D388" s="14"/>
      <c r="E388" s="15"/>
      <c r="F388" s="16" t="n">
        <f aca="false">IF(C388="",0,IF(COUNTIF(C$5:C388,C388)=1,1,0))</f>
        <v>0</v>
      </c>
      <c r="G388" s="16" t="n">
        <f aca="false">SUM(F$5:F388)</f>
        <v>8</v>
      </c>
      <c r="H388" s="16" t="n">
        <f aca="false">IF(B388="",0,IF(COUNTIF(B$5:B388,B388)=1,1,0))</f>
        <v>0</v>
      </c>
      <c r="I388" s="16" t="n">
        <f aca="false">SUM(H$5:H388)</f>
        <v>6</v>
      </c>
    </row>
    <row r="389" customFormat="false" ht="15" hidden="false" customHeight="false" outlineLevel="0" collapsed="false">
      <c r="A389" s="12"/>
      <c r="B389" s="13"/>
      <c r="C389" s="13"/>
      <c r="D389" s="14"/>
      <c r="E389" s="15"/>
      <c r="F389" s="16" t="n">
        <f aca="false">IF(C389="",0,IF(COUNTIF(C$5:C389,C389)=1,1,0))</f>
        <v>0</v>
      </c>
      <c r="G389" s="16" t="n">
        <f aca="false">SUM(F$5:F389)</f>
        <v>8</v>
      </c>
      <c r="H389" s="16" t="n">
        <f aca="false">IF(B389="",0,IF(COUNTIF(B$5:B389,B389)=1,1,0))</f>
        <v>0</v>
      </c>
      <c r="I389" s="16" t="n">
        <f aca="false">SUM(H$5:H389)</f>
        <v>6</v>
      </c>
    </row>
    <row r="390" customFormat="false" ht="15" hidden="false" customHeight="false" outlineLevel="0" collapsed="false">
      <c r="A390" s="12"/>
      <c r="B390" s="13"/>
      <c r="C390" s="13"/>
      <c r="D390" s="14"/>
      <c r="E390" s="15"/>
      <c r="F390" s="16" t="n">
        <f aca="false">IF(C390="",0,IF(COUNTIF(C$5:C390,C390)=1,1,0))</f>
        <v>0</v>
      </c>
      <c r="G390" s="16" t="n">
        <f aca="false">SUM(F$5:F390)</f>
        <v>8</v>
      </c>
      <c r="H390" s="16" t="n">
        <f aca="false">IF(B390="",0,IF(COUNTIF(B$5:B390,B390)=1,1,0))</f>
        <v>0</v>
      </c>
      <c r="I390" s="16" t="n">
        <f aca="false">SUM(H$5:H390)</f>
        <v>6</v>
      </c>
    </row>
    <row r="391" customFormat="false" ht="15" hidden="false" customHeight="false" outlineLevel="0" collapsed="false">
      <c r="A391" s="12"/>
      <c r="B391" s="13"/>
      <c r="C391" s="13"/>
      <c r="D391" s="14"/>
      <c r="E391" s="15"/>
      <c r="F391" s="16" t="n">
        <f aca="false">IF(C391="",0,IF(COUNTIF(C$5:C391,C391)=1,1,0))</f>
        <v>0</v>
      </c>
      <c r="G391" s="16" t="n">
        <f aca="false">SUM(F$5:F391)</f>
        <v>8</v>
      </c>
      <c r="H391" s="16" t="n">
        <f aca="false">IF(B391="",0,IF(COUNTIF(B$5:B391,B391)=1,1,0))</f>
        <v>0</v>
      </c>
      <c r="I391" s="16" t="n">
        <f aca="false">SUM(H$5:H391)</f>
        <v>6</v>
      </c>
    </row>
    <row r="392" customFormat="false" ht="15" hidden="false" customHeight="false" outlineLevel="0" collapsed="false">
      <c r="A392" s="12"/>
      <c r="B392" s="13"/>
      <c r="C392" s="13"/>
      <c r="D392" s="14"/>
      <c r="E392" s="15"/>
      <c r="F392" s="16" t="n">
        <f aca="false">IF(C392="",0,IF(COUNTIF(C$5:C392,C392)=1,1,0))</f>
        <v>0</v>
      </c>
      <c r="G392" s="16" t="n">
        <f aca="false">SUM(F$5:F392)</f>
        <v>8</v>
      </c>
      <c r="H392" s="16" t="n">
        <f aca="false">IF(B392="",0,IF(COUNTIF(B$5:B392,B392)=1,1,0))</f>
        <v>0</v>
      </c>
      <c r="I392" s="16" t="n">
        <f aca="false">SUM(H$5:H392)</f>
        <v>6</v>
      </c>
    </row>
    <row r="393" customFormat="false" ht="15" hidden="false" customHeight="false" outlineLevel="0" collapsed="false">
      <c r="A393" s="12"/>
      <c r="B393" s="13"/>
      <c r="C393" s="13"/>
      <c r="D393" s="14"/>
      <c r="E393" s="15"/>
      <c r="F393" s="16" t="n">
        <f aca="false">IF(C393="",0,IF(COUNTIF(C$5:C393,C393)=1,1,0))</f>
        <v>0</v>
      </c>
      <c r="G393" s="16" t="n">
        <f aca="false">SUM(F$5:F393)</f>
        <v>8</v>
      </c>
      <c r="H393" s="16" t="n">
        <f aca="false">IF(B393="",0,IF(COUNTIF(B$5:B393,B393)=1,1,0))</f>
        <v>0</v>
      </c>
      <c r="I393" s="16" t="n">
        <f aca="false">SUM(H$5:H393)</f>
        <v>6</v>
      </c>
    </row>
    <row r="394" customFormat="false" ht="15" hidden="false" customHeight="false" outlineLevel="0" collapsed="false">
      <c r="A394" s="12"/>
      <c r="B394" s="13"/>
      <c r="C394" s="13"/>
      <c r="D394" s="14"/>
      <c r="E394" s="15"/>
      <c r="F394" s="16" t="n">
        <f aca="false">IF(C394="",0,IF(COUNTIF(C$5:C394,C394)=1,1,0))</f>
        <v>0</v>
      </c>
      <c r="G394" s="16" t="n">
        <f aca="false">SUM(F$5:F394)</f>
        <v>8</v>
      </c>
      <c r="H394" s="16" t="n">
        <f aca="false">IF(B394="",0,IF(COUNTIF(B$5:B394,B394)=1,1,0))</f>
        <v>0</v>
      </c>
      <c r="I394" s="16" t="n">
        <f aca="false">SUM(H$5:H394)</f>
        <v>6</v>
      </c>
    </row>
    <row r="395" customFormat="false" ht="15" hidden="false" customHeight="false" outlineLevel="0" collapsed="false">
      <c r="A395" s="12"/>
      <c r="B395" s="13"/>
      <c r="C395" s="13"/>
      <c r="D395" s="14"/>
      <c r="E395" s="15"/>
      <c r="F395" s="16" t="n">
        <f aca="false">IF(C395="",0,IF(COUNTIF(C$5:C395,C395)=1,1,0))</f>
        <v>0</v>
      </c>
      <c r="G395" s="16" t="n">
        <f aca="false">SUM(F$5:F395)</f>
        <v>8</v>
      </c>
      <c r="H395" s="16" t="n">
        <f aca="false">IF(B395="",0,IF(COUNTIF(B$5:B395,B395)=1,1,0))</f>
        <v>0</v>
      </c>
      <c r="I395" s="16" t="n">
        <f aca="false">SUM(H$5:H395)</f>
        <v>6</v>
      </c>
    </row>
    <row r="396" customFormat="false" ht="15" hidden="false" customHeight="false" outlineLevel="0" collapsed="false">
      <c r="A396" s="12"/>
      <c r="B396" s="13"/>
      <c r="C396" s="13"/>
      <c r="D396" s="14"/>
      <c r="E396" s="15"/>
      <c r="F396" s="16" t="n">
        <f aca="false">IF(C396="",0,IF(COUNTIF(C$5:C396,C396)=1,1,0))</f>
        <v>0</v>
      </c>
      <c r="G396" s="16" t="n">
        <f aca="false">SUM(F$5:F396)</f>
        <v>8</v>
      </c>
      <c r="H396" s="16" t="n">
        <f aca="false">IF(B396="",0,IF(COUNTIF(B$5:B396,B396)=1,1,0))</f>
        <v>0</v>
      </c>
      <c r="I396" s="16" t="n">
        <f aca="false">SUM(H$5:H396)</f>
        <v>6</v>
      </c>
    </row>
    <row r="397" customFormat="false" ht="15" hidden="false" customHeight="false" outlineLevel="0" collapsed="false">
      <c r="A397" s="12"/>
      <c r="B397" s="13"/>
      <c r="C397" s="13"/>
      <c r="D397" s="14"/>
      <c r="E397" s="15"/>
      <c r="F397" s="16" t="n">
        <f aca="false">IF(C397="",0,IF(COUNTIF(C$5:C397,C397)=1,1,0))</f>
        <v>0</v>
      </c>
      <c r="G397" s="16" t="n">
        <f aca="false">SUM(F$5:F397)</f>
        <v>8</v>
      </c>
      <c r="H397" s="16" t="n">
        <f aca="false">IF(B397="",0,IF(COUNTIF(B$5:B397,B397)=1,1,0))</f>
        <v>0</v>
      </c>
      <c r="I397" s="16" t="n">
        <f aca="false">SUM(H$5:H397)</f>
        <v>6</v>
      </c>
    </row>
    <row r="398" customFormat="false" ht="15" hidden="false" customHeight="false" outlineLevel="0" collapsed="false">
      <c r="A398" s="12"/>
      <c r="B398" s="13"/>
      <c r="C398" s="13"/>
      <c r="D398" s="14"/>
      <c r="E398" s="15"/>
      <c r="F398" s="16" t="n">
        <f aca="false">IF(C398="",0,IF(COUNTIF(C$5:C398,C398)=1,1,0))</f>
        <v>0</v>
      </c>
      <c r="G398" s="16" t="n">
        <f aca="false">SUM(F$5:F398)</f>
        <v>8</v>
      </c>
      <c r="H398" s="16" t="n">
        <f aca="false">IF(B398="",0,IF(COUNTIF(B$5:B398,B398)=1,1,0))</f>
        <v>0</v>
      </c>
      <c r="I398" s="16" t="n">
        <f aca="false">SUM(H$5:H398)</f>
        <v>6</v>
      </c>
    </row>
    <row r="399" customFormat="false" ht="15" hidden="false" customHeight="false" outlineLevel="0" collapsed="false">
      <c r="A399" s="12"/>
      <c r="B399" s="13"/>
      <c r="C399" s="13"/>
      <c r="D399" s="14"/>
      <c r="E399" s="15"/>
      <c r="F399" s="16" t="n">
        <f aca="false">IF(C399="",0,IF(COUNTIF(C$5:C399,C399)=1,1,0))</f>
        <v>0</v>
      </c>
      <c r="G399" s="16" t="n">
        <f aca="false">SUM(F$5:F399)</f>
        <v>8</v>
      </c>
      <c r="H399" s="16" t="n">
        <f aca="false">IF(B399="",0,IF(COUNTIF(B$5:B399,B399)=1,1,0))</f>
        <v>0</v>
      </c>
      <c r="I399" s="16" t="n">
        <f aca="false">SUM(H$5:H399)</f>
        <v>6</v>
      </c>
    </row>
    <row r="400" customFormat="false" ht="15" hidden="false" customHeight="false" outlineLevel="0" collapsed="false">
      <c r="A400" s="12"/>
      <c r="B400" s="13"/>
      <c r="C400" s="13"/>
      <c r="D400" s="14"/>
      <c r="E400" s="15"/>
      <c r="F400" s="16" t="n">
        <f aca="false">IF(C400="",0,IF(COUNTIF(C$5:C400,C400)=1,1,0))</f>
        <v>0</v>
      </c>
      <c r="G400" s="16" t="n">
        <f aca="false">SUM(F$5:F400)</f>
        <v>8</v>
      </c>
      <c r="H400" s="16" t="n">
        <f aca="false">IF(B400="",0,IF(COUNTIF(B$5:B400,B400)=1,1,0))</f>
        <v>0</v>
      </c>
      <c r="I400" s="16" t="n">
        <f aca="false">SUM(H$5:H400)</f>
        <v>6</v>
      </c>
    </row>
    <row r="401" customFormat="false" ht="15" hidden="false" customHeight="false" outlineLevel="0" collapsed="false">
      <c r="A401" s="12"/>
      <c r="B401" s="13"/>
      <c r="C401" s="13"/>
      <c r="D401" s="14"/>
      <c r="E401" s="15"/>
      <c r="F401" s="16" t="n">
        <f aca="false">IF(C401="",0,IF(COUNTIF(C$5:C401,C401)=1,1,0))</f>
        <v>0</v>
      </c>
      <c r="G401" s="16" t="n">
        <f aca="false">SUM(F$5:F401)</f>
        <v>8</v>
      </c>
      <c r="H401" s="16" t="n">
        <f aca="false">IF(B401="",0,IF(COUNTIF(B$5:B401,B401)=1,1,0))</f>
        <v>0</v>
      </c>
      <c r="I401" s="16" t="n">
        <f aca="false">SUM(H$5:H401)</f>
        <v>6</v>
      </c>
    </row>
    <row r="402" customFormat="false" ht="15" hidden="false" customHeight="false" outlineLevel="0" collapsed="false">
      <c r="A402" s="12"/>
      <c r="B402" s="13"/>
      <c r="C402" s="13"/>
      <c r="D402" s="14"/>
      <c r="E402" s="15"/>
      <c r="F402" s="16" t="n">
        <f aca="false">IF(C402="",0,IF(COUNTIF(C$5:C402,C402)=1,1,0))</f>
        <v>0</v>
      </c>
      <c r="G402" s="16" t="n">
        <f aca="false">SUM(F$5:F402)</f>
        <v>8</v>
      </c>
      <c r="H402" s="16" t="n">
        <f aca="false">IF(B402="",0,IF(COUNTIF(B$5:B402,B402)=1,1,0))</f>
        <v>0</v>
      </c>
      <c r="I402" s="16" t="n">
        <f aca="false">SUM(H$5:H402)</f>
        <v>6</v>
      </c>
    </row>
    <row r="403" customFormat="false" ht="15" hidden="false" customHeight="false" outlineLevel="0" collapsed="false">
      <c r="A403" s="12"/>
      <c r="B403" s="13"/>
      <c r="C403" s="13"/>
      <c r="D403" s="14"/>
      <c r="E403" s="15"/>
      <c r="F403" s="16" t="n">
        <f aca="false">IF(C403="",0,IF(COUNTIF(C$5:C403,C403)=1,1,0))</f>
        <v>0</v>
      </c>
      <c r="G403" s="16" t="n">
        <f aca="false">SUM(F$5:F403)</f>
        <v>8</v>
      </c>
      <c r="H403" s="16" t="n">
        <f aca="false">IF(B403="",0,IF(COUNTIF(B$5:B403,B403)=1,1,0))</f>
        <v>0</v>
      </c>
      <c r="I403" s="16" t="n">
        <f aca="false">SUM(H$5:H403)</f>
        <v>6</v>
      </c>
    </row>
    <row r="404" customFormat="false" ht="15" hidden="false" customHeight="false" outlineLevel="0" collapsed="false">
      <c r="A404" s="12"/>
      <c r="B404" s="13"/>
      <c r="C404" s="13"/>
      <c r="D404" s="14"/>
      <c r="E404" s="15"/>
      <c r="F404" s="16" t="n">
        <f aca="false">IF(C404="",0,IF(COUNTIF(C$5:C404,C404)=1,1,0))</f>
        <v>0</v>
      </c>
      <c r="G404" s="16" t="n">
        <f aca="false">SUM(F$5:F404)</f>
        <v>8</v>
      </c>
      <c r="H404" s="16" t="n">
        <f aca="false">IF(B404="",0,IF(COUNTIF(B$5:B404,B404)=1,1,0))</f>
        <v>0</v>
      </c>
      <c r="I404" s="16" t="n">
        <f aca="false">SUM(H$5:H404)</f>
        <v>6</v>
      </c>
    </row>
    <row r="405" customFormat="false" ht="15" hidden="false" customHeight="false" outlineLevel="0" collapsed="false">
      <c r="A405" s="12"/>
      <c r="B405" s="13"/>
      <c r="C405" s="13"/>
      <c r="D405" s="14"/>
      <c r="E405" s="15"/>
      <c r="F405" s="16" t="n">
        <f aca="false">IF(C405="",0,IF(COUNTIF(C$5:C405,C405)=1,1,0))</f>
        <v>0</v>
      </c>
      <c r="G405" s="16" t="n">
        <f aca="false">SUM(F$5:F405)</f>
        <v>8</v>
      </c>
      <c r="H405" s="16" t="n">
        <f aca="false">IF(B405="",0,IF(COUNTIF(B$5:B405,B405)=1,1,0))</f>
        <v>0</v>
      </c>
      <c r="I405" s="16" t="n">
        <f aca="false">SUM(H$5:H405)</f>
        <v>6</v>
      </c>
    </row>
    <row r="406" customFormat="false" ht="15" hidden="false" customHeight="false" outlineLevel="0" collapsed="false">
      <c r="A406" s="12"/>
      <c r="B406" s="13"/>
      <c r="C406" s="13"/>
      <c r="D406" s="14"/>
      <c r="E406" s="15"/>
      <c r="F406" s="16" t="n">
        <f aca="false">IF(C406="",0,IF(COUNTIF(C$5:C406,C406)=1,1,0))</f>
        <v>0</v>
      </c>
      <c r="G406" s="16" t="n">
        <f aca="false">SUM(F$5:F406)</f>
        <v>8</v>
      </c>
      <c r="H406" s="16" t="n">
        <f aca="false">IF(B406="",0,IF(COUNTIF(B$5:B406,B406)=1,1,0))</f>
        <v>0</v>
      </c>
      <c r="I406" s="16" t="n">
        <f aca="false">SUM(H$5:H406)</f>
        <v>6</v>
      </c>
    </row>
    <row r="407" customFormat="false" ht="15" hidden="false" customHeight="false" outlineLevel="0" collapsed="false">
      <c r="A407" s="12"/>
      <c r="B407" s="13"/>
      <c r="C407" s="13"/>
      <c r="D407" s="14"/>
      <c r="E407" s="15"/>
      <c r="F407" s="16" t="n">
        <f aca="false">IF(C407="",0,IF(COUNTIF(C$5:C407,C407)=1,1,0))</f>
        <v>0</v>
      </c>
      <c r="G407" s="16" t="n">
        <f aca="false">SUM(F$5:F407)</f>
        <v>8</v>
      </c>
      <c r="H407" s="16" t="n">
        <f aca="false">IF(B407="",0,IF(COUNTIF(B$5:B407,B407)=1,1,0))</f>
        <v>0</v>
      </c>
      <c r="I407" s="16" t="n">
        <f aca="false">SUM(H$5:H407)</f>
        <v>6</v>
      </c>
    </row>
    <row r="408" customFormat="false" ht="15" hidden="false" customHeight="false" outlineLevel="0" collapsed="false">
      <c r="A408" s="12"/>
      <c r="B408" s="13"/>
      <c r="C408" s="13"/>
      <c r="D408" s="14"/>
      <c r="E408" s="15"/>
      <c r="F408" s="16" t="n">
        <f aca="false">IF(C408="",0,IF(COUNTIF(C$5:C408,C408)=1,1,0))</f>
        <v>0</v>
      </c>
      <c r="G408" s="16" t="n">
        <f aca="false">SUM(F$5:F408)</f>
        <v>8</v>
      </c>
      <c r="H408" s="16" t="n">
        <f aca="false">IF(B408="",0,IF(COUNTIF(B$5:B408,B408)=1,1,0))</f>
        <v>0</v>
      </c>
      <c r="I408" s="16" t="n">
        <f aca="false">SUM(H$5:H408)</f>
        <v>6</v>
      </c>
    </row>
    <row r="409" customFormat="false" ht="15" hidden="false" customHeight="false" outlineLevel="0" collapsed="false">
      <c r="A409" s="12"/>
      <c r="B409" s="13"/>
      <c r="C409" s="13"/>
      <c r="D409" s="14"/>
      <c r="E409" s="15"/>
      <c r="F409" s="16" t="n">
        <f aca="false">IF(C409="",0,IF(COUNTIF(C$5:C409,C409)=1,1,0))</f>
        <v>0</v>
      </c>
      <c r="G409" s="16" t="n">
        <f aca="false">SUM(F$5:F409)</f>
        <v>8</v>
      </c>
      <c r="H409" s="16" t="n">
        <f aca="false">IF(B409="",0,IF(COUNTIF(B$5:B409,B409)=1,1,0))</f>
        <v>0</v>
      </c>
      <c r="I409" s="16" t="n">
        <f aca="false">SUM(H$5:H409)</f>
        <v>6</v>
      </c>
    </row>
    <row r="410" customFormat="false" ht="15" hidden="false" customHeight="false" outlineLevel="0" collapsed="false">
      <c r="A410" s="12"/>
      <c r="B410" s="13"/>
      <c r="C410" s="13"/>
      <c r="D410" s="14"/>
      <c r="E410" s="15"/>
      <c r="F410" s="16" t="n">
        <f aca="false">IF(C410="",0,IF(COUNTIF(C$5:C410,C410)=1,1,0))</f>
        <v>0</v>
      </c>
      <c r="G410" s="16" t="n">
        <f aca="false">SUM(F$5:F410)</f>
        <v>8</v>
      </c>
      <c r="H410" s="16" t="n">
        <f aca="false">IF(B410="",0,IF(COUNTIF(B$5:B410,B410)=1,1,0))</f>
        <v>0</v>
      </c>
      <c r="I410" s="16" t="n">
        <f aca="false">SUM(H$5:H410)</f>
        <v>6</v>
      </c>
    </row>
    <row r="411" customFormat="false" ht="15" hidden="false" customHeight="false" outlineLevel="0" collapsed="false">
      <c r="A411" s="12"/>
      <c r="B411" s="13"/>
      <c r="C411" s="13"/>
      <c r="D411" s="14"/>
      <c r="E411" s="15"/>
      <c r="F411" s="16" t="n">
        <f aca="false">IF(C411="",0,IF(COUNTIF(C$5:C411,C411)=1,1,0))</f>
        <v>0</v>
      </c>
      <c r="G411" s="16" t="n">
        <f aca="false">SUM(F$5:F411)</f>
        <v>8</v>
      </c>
      <c r="H411" s="16" t="n">
        <f aca="false">IF(B411="",0,IF(COUNTIF(B$5:B411,B411)=1,1,0))</f>
        <v>0</v>
      </c>
      <c r="I411" s="16" t="n">
        <f aca="false">SUM(H$5:H411)</f>
        <v>6</v>
      </c>
    </row>
    <row r="412" customFormat="false" ht="15" hidden="false" customHeight="false" outlineLevel="0" collapsed="false">
      <c r="A412" s="12"/>
      <c r="B412" s="13"/>
      <c r="C412" s="13"/>
      <c r="D412" s="14"/>
      <c r="E412" s="15"/>
      <c r="F412" s="16" t="n">
        <f aca="false">IF(C412="",0,IF(COUNTIF(C$5:C412,C412)=1,1,0))</f>
        <v>0</v>
      </c>
      <c r="G412" s="16" t="n">
        <f aca="false">SUM(F$5:F412)</f>
        <v>8</v>
      </c>
      <c r="H412" s="16" t="n">
        <f aca="false">IF(B412="",0,IF(COUNTIF(B$5:B412,B412)=1,1,0))</f>
        <v>0</v>
      </c>
      <c r="I412" s="16" t="n">
        <f aca="false">SUM(H$5:H412)</f>
        <v>6</v>
      </c>
    </row>
    <row r="413" customFormat="false" ht="15" hidden="false" customHeight="false" outlineLevel="0" collapsed="false">
      <c r="A413" s="12"/>
      <c r="B413" s="13"/>
      <c r="C413" s="13"/>
      <c r="D413" s="14"/>
      <c r="E413" s="15"/>
      <c r="F413" s="16" t="n">
        <f aca="false">IF(C413="",0,IF(COUNTIF(C$5:C413,C413)=1,1,0))</f>
        <v>0</v>
      </c>
      <c r="G413" s="16" t="n">
        <f aca="false">SUM(F$5:F413)</f>
        <v>8</v>
      </c>
      <c r="H413" s="16" t="n">
        <f aca="false">IF(B413="",0,IF(COUNTIF(B$5:B413,B413)=1,1,0))</f>
        <v>0</v>
      </c>
      <c r="I413" s="16" t="n">
        <f aca="false">SUM(H$5:H413)</f>
        <v>6</v>
      </c>
    </row>
    <row r="414" customFormat="false" ht="15" hidden="false" customHeight="false" outlineLevel="0" collapsed="false">
      <c r="A414" s="12"/>
      <c r="B414" s="13"/>
      <c r="C414" s="13"/>
      <c r="D414" s="14"/>
      <c r="E414" s="15"/>
      <c r="F414" s="16" t="n">
        <f aca="false">IF(C414="",0,IF(COUNTIF(C$5:C414,C414)=1,1,0))</f>
        <v>0</v>
      </c>
      <c r="G414" s="16" t="n">
        <f aca="false">SUM(F$5:F414)</f>
        <v>8</v>
      </c>
      <c r="H414" s="16" t="n">
        <f aca="false">IF(B414="",0,IF(COUNTIF(B$5:B414,B414)=1,1,0))</f>
        <v>0</v>
      </c>
      <c r="I414" s="16" t="n">
        <f aca="false">SUM(H$5:H414)</f>
        <v>6</v>
      </c>
    </row>
    <row r="415" customFormat="false" ht="15" hidden="false" customHeight="false" outlineLevel="0" collapsed="false">
      <c r="A415" s="12"/>
      <c r="B415" s="13"/>
      <c r="C415" s="13"/>
      <c r="D415" s="14"/>
      <c r="E415" s="15"/>
      <c r="F415" s="16" t="n">
        <f aca="false">IF(C415="",0,IF(COUNTIF(C$5:C415,C415)=1,1,0))</f>
        <v>0</v>
      </c>
      <c r="G415" s="16" t="n">
        <f aca="false">SUM(F$5:F415)</f>
        <v>8</v>
      </c>
      <c r="H415" s="16" t="n">
        <f aca="false">IF(B415="",0,IF(COUNTIF(B$5:B415,B415)=1,1,0))</f>
        <v>0</v>
      </c>
      <c r="I415" s="16" t="n">
        <f aca="false">SUM(H$5:H415)</f>
        <v>6</v>
      </c>
    </row>
    <row r="416" customFormat="false" ht="15" hidden="false" customHeight="false" outlineLevel="0" collapsed="false">
      <c r="A416" s="12"/>
      <c r="B416" s="13"/>
      <c r="C416" s="13"/>
      <c r="D416" s="14"/>
      <c r="E416" s="15"/>
      <c r="F416" s="16" t="n">
        <f aca="false">IF(C416="",0,IF(COUNTIF(C$5:C416,C416)=1,1,0))</f>
        <v>0</v>
      </c>
      <c r="G416" s="16" t="n">
        <f aca="false">SUM(F$5:F416)</f>
        <v>8</v>
      </c>
      <c r="H416" s="16" t="n">
        <f aca="false">IF(B416="",0,IF(COUNTIF(B$5:B416,B416)=1,1,0))</f>
        <v>0</v>
      </c>
      <c r="I416" s="16" t="n">
        <f aca="false">SUM(H$5:H416)</f>
        <v>6</v>
      </c>
    </row>
    <row r="417" customFormat="false" ht="15" hidden="false" customHeight="false" outlineLevel="0" collapsed="false">
      <c r="A417" s="12"/>
      <c r="B417" s="13"/>
      <c r="C417" s="13"/>
      <c r="D417" s="14"/>
      <c r="E417" s="15"/>
      <c r="F417" s="16" t="n">
        <f aca="false">IF(C417="",0,IF(COUNTIF(C$5:C417,C417)=1,1,0))</f>
        <v>0</v>
      </c>
      <c r="G417" s="16" t="n">
        <f aca="false">SUM(F$5:F417)</f>
        <v>8</v>
      </c>
      <c r="H417" s="16" t="n">
        <f aca="false">IF(B417="",0,IF(COUNTIF(B$5:B417,B417)=1,1,0))</f>
        <v>0</v>
      </c>
      <c r="I417" s="16" t="n">
        <f aca="false">SUM(H$5:H417)</f>
        <v>6</v>
      </c>
    </row>
    <row r="418" customFormat="false" ht="15" hidden="false" customHeight="false" outlineLevel="0" collapsed="false">
      <c r="A418" s="12"/>
      <c r="B418" s="13"/>
      <c r="C418" s="13"/>
      <c r="D418" s="14"/>
      <c r="E418" s="15"/>
      <c r="F418" s="16" t="n">
        <f aca="false">IF(C418="",0,IF(COUNTIF(C$5:C418,C418)=1,1,0))</f>
        <v>0</v>
      </c>
      <c r="G418" s="16" t="n">
        <f aca="false">SUM(F$5:F418)</f>
        <v>8</v>
      </c>
      <c r="H418" s="16" t="n">
        <f aca="false">IF(B418="",0,IF(COUNTIF(B$5:B418,B418)=1,1,0))</f>
        <v>0</v>
      </c>
      <c r="I418" s="16" t="n">
        <f aca="false">SUM(H$5:H418)</f>
        <v>6</v>
      </c>
    </row>
    <row r="419" customFormat="false" ht="15" hidden="false" customHeight="false" outlineLevel="0" collapsed="false">
      <c r="A419" s="12"/>
      <c r="B419" s="13"/>
      <c r="C419" s="13"/>
      <c r="D419" s="14"/>
      <c r="E419" s="15"/>
      <c r="F419" s="16" t="n">
        <f aca="false">IF(C419="",0,IF(COUNTIF(C$5:C419,C419)=1,1,0))</f>
        <v>0</v>
      </c>
      <c r="G419" s="16" t="n">
        <f aca="false">SUM(F$5:F419)</f>
        <v>8</v>
      </c>
      <c r="H419" s="16" t="n">
        <f aca="false">IF(B419="",0,IF(COUNTIF(B$5:B419,B419)=1,1,0))</f>
        <v>0</v>
      </c>
      <c r="I419" s="16" t="n">
        <f aca="false">SUM(H$5:H419)</f>
        <v>6</v>
      </c>
    </row>
    <row r="420" customFormat="false" ht="15" hidden="false" customHeight="false" outlineLevel="0" collapsed="false">
      <c r="A420" s="12"/>
      <c r="B420" s="13"/>
      <c r="C420" s="13"/>
      <c r="D420" s="14"/>
      <c r="E420" s="15"/>
      <c r="F420" s="16" t="n">
        <f aca="false">IF(C420="",0,IF(COUNTIF(C$5:C420,C420)=1,1,0))</f>
        <v>0</v>
      </c>
      <c r="G420" s="16" t="n">
        <f aca="false">SUM(F$5:F420)</f>
        <v>8</v>
      </c>
      <c r="H420" s="16" t="n">
        <f aca="false">IF(B420="",0,IF(COUNTIF(B$5:B420,B420)=1,1,0))</f>
        <v>0</v>
      </c>
      <c r="I420" s="16" t="n">
        <f aca="false">SUM(H$5:H420)</f>
        <v>6</v>
      </c>
    </row>
    <row r="421" customFormat="false" ht="15" hidden="false" customHeight="false" outlineLevel="0" collapsed="false">
      <c r="A421" s="12"/>
      <c r="B421" s="13"/>
      <c r="C421" s="13"/>
      <c r="D421" s="14"/>
      <c r="E421" s="15"/>
      <c r="F421" s="16" t="n">
        <f aca="false">IF(C421="",0,IF(COUNTIF(C$5:C421,C421)=1,1,0))</f>
        <v>0</v>
      </c>
      <c r="G421" s="16" t="n">
        <f aca="false">SUM(F$5:F421)</f>
        <v>8</v>
      </c>
      <c r="H421" s="16" t="n">
        <f aca="false">IF(B421="",0,IF(COUNTIF(B$5:B421,B421)=1,1,0))</f>
        <v>0</v>
      </c>
      <c r="I421" s="16" t="n">
        <f aca="false">SUM(H$5:H421)</f>
        <v>6</v>
      </c>
    </row>
    <row r="422" customFormat="false" ht="15" hidden="false" customHeight="false" outlineLevel="0" collapsed="false">
      <c r="A422" s="12"/>
      <c r="B422" s="13"/>
      <c r="C422" s="13"/>
      <c r="D422" s="14"/>
      <c r="E422" s="15"/>
      <c r="F422" s="16" t="n">
        <f aca="false">IF(C422="",0,IF(COUNTIF(C$5:C422,C422)=1,1,0))</f>
        <v>0</v>
      </c>
      <c r="G422" s="16" t="n">
        <f aca="false">SUM(F$5:F422)</f>
        <v>8</v>
      </c>
      <c r="H422" s="16" t="n">
        <f aca="false">IF(B422="",0,IF(COUNTIF(B$5:B422,B422)=1,1,0))</f>
        <v>0</v>
      </c>
      <c r="I422" s="16" t="n">
        <f aca="false">SUM(H$5:H422)</f>
        <v>6</v>
      </c>
    </row>
    <row r="423" customFormat="false" ht="15" hidden="false" customHeight="false" outlineLevel="0" collapsed="false">
      <c r="A423" s="12"/>
      <c r="B423" s="13"/>
      <c r="C423" s="13"/>
      <c r="D423" s="14"/>
      <c r="E423" s="15"/>
      <c r="F423" s="16" t="n">
        <f aca="false">IF(C423="",0,IF(COUNTIF(C$5:C423,C423)=1,1,0))</f>
        <v>0</v>
      </c>
      <c r="G423" s="16" t="n">
        <f aca="false">SUM(F$5:F423)</f>
        <v>8</v>
      </c>
      <c r="H423" s="16" t="n">
        <f aca="false">IF(B423="",0,IF(COUNTIF(B$5:B423,B423)=1,1,0))</f>
        <v>0</v>
      </c>
      <c r="I423" s="16" t="n">
        <f aca="false">SUM(H$5:H423)</f>
        <v>6</v>
      </c>
    </row>
    <row r="424" customFormat="false" ht="15" hidden="false" customHeight="false" outlineLevel="0" collapsed="false">
      <c r="A424" s="12"/>
      <c r="B424" s="13"/>
      <c r="C424" s="13"/>
      <c r="D424" s="14"/>
      <c r="E424" s="15"/>
      <c r="F424" s="16" t="n">
        <f aca="false">IF(C424="",0,IF(COUNTIF(C$5:C424,C424)=1,1,0))</f>
        <v>0</v>
      </c>
      <c r="G424" s="16" t="n">
        <f aca="false">SUM(F$5:F424)</f>
        <v>8</v>
      </c>
      <c r="H424" s="16" t="n">
        <f aca="false">IF(B424="",0,IF(COUNTIF(B$5:B424,B424)=1,1,0))</f>
        <v>0</v>
      </c>
      <c r="I424" s="16" t="n">
        <f aca="false">SUM(H$5:H424)</f>
        <v>6</v>
      </c>
    </row>
    <row r="425" customFormat="false" ht="15" hidden="false" customHeight="false" outlineLevel="0" collapsed="false">
      <c r="A425" s="12"/>
      <c r="B425" s="13"/>
      <c r="C425" s="13"/>
      <c r="D425" s="14"/>
      <c r="E425" s="15"/>
      <c r="F425" s="16" t="n">
        <f aca="false">IF(C425="",0,IF(COUNTIF(C$5:C425,C425)=1,1,0))</f>
        <v>0</v>
      </c>
      <c r="G425" s="16" t="n">
        <f aca="false">SUM(F$5:F425)</f>
        <v>8</v>
      </c>
      <c r="H425" s="16" t="n">
        <f aca="false">IF(B425="",0,IF(COUNTIF(B$5:B425,B425)=1,1,0))</f>
        <v>0</v>
      </c>
      <c r="I425" s="16" t="n">
        <f aca="false">SUM(H$5:H425)</f>
        <v>6</v>
      </c>
    </row>
    <row r="426" customFormat="false" ht="15" hidden="false" customHeight="false" outlineLevel="0" collapsed="false">
      <c r="A426" s="12"/>
      <c r="B426" s="13"/>
      <c r="C426" s="13"/>
      <c r="D426" s="14"/>
      <c r="E426" s="15"/>
      <c r="F426" s="16" t="n">
        <f aca="false">IF(C426="",0,IF(COUNTIF(C$5:C426,C426)=1,1,0))</f>
        <v>0</v>
      </c>
      <c r="G426" s="16" t="n">
        <f aca="false">SUM(F$5:F426)</f>
        <v>8</v>
      </c>
      <c r="H426" s="16" t="n">
        <f aca="false">IF(B426="",0,IF(COUNTIF(B$5:B426,B426)=1,1,0))</f>
        <v>0</v>
      </c>
      <c r="I426" s="16" t="n">
        <f aca="false">SUM(H$5:H426)</f>
        <v>6</v>
      </c>
    </row>
    <row r="427" customFormat="false" ht="15" hidden="false" customHeight="false" outlineLevel="0" collapsed="false">
      <c r="A427" s="12"/>
      <c r="B427" s="13"/>
      <c r="C427" s="13"/>
      <c r="D427" s="14"/>
      <c r="E427" s="15"/>
      <c r="F427" s="16" t="n">
        <f aca="false">IF(C427="",0,IF(COUNTIF(C$5:C427,C427)=1,1,0))</f>
        <v>0</v>
      </c>
      <c r="G427" s="16" t="n">
        <f aca="false">SUM(F$5:F427)</f>
        <v>8</v>
      </c>
      <c r="H427" s="16" t="n">
        <f aca="false">IF(B427="",0,IF(COUNTIF(B$5:B427,B427)=1,1,0))</f>
        <v>0</v>
      </c>
      <c r="I427" s="16" t="n">
        <f aca="false">SUM(H$5:H427)</f>
        <v>6</v>
      </c>
    </row>
    <row r="428" customFormat="false" ht="15" hidden="false" customHeight="false" outlineLevel="0" collapsed="false">
      <c r="A428" s="12"/>
      <c r="B428" s="13"/>
      <c r="C428" s="13"/>
      <c r="D428" s="14"/>
      <c r="E428" s="15"/>
      <c r="F428" s="16" t="n">
        <f aca="false">IF(C428="",0,IF(COUNTIF(C$5:C428,C428)=1,1,0))</f>
        <v>0</v>
      </c>
      <c r="G428" s="16" t="n">
        <f aca="false">SUM(F$5:F428)</f>
        <v>8</v>
      </c>
      <c r="H428" s="16" t="n">
        <f aca="false">IF(B428="",0,IF(COUNTIF(B$5:B428,B428)=1,1,0))</f>
        <v>0</v>
      </c>
      <c r="I428" s="16" t="n">
        <f aca="false">SUM(H$5:H428)</f>
        <v>6</v>
      </c>
    </row>
    <row r="429" customFormat="false" ht="15" hidden="false" customHeight="false" outlineLevel="0" collapsed="false">
      <c r="A429" s="12"/>
      <c r="B429" s="13"/>
      <c r="C429" s="13"/>
      <c r="D429" s="14"/>
      <c r="E429" s="15"/>
      <c r="F429" s="16" t="n">
        <f aca="false">IF(C429="",0,IF(COUNTIF(C$5:C429,C429)=1,1,0))</f>
        <v>0</v>
      </c>
      <c r="G429" s="16" t="n">
        <f aca="false">SUM(F$5:F429)</f>
        <v>8</v>
      </c>
      <c r="H429" s="16" t="n">
        <f aca="false">IF(B429="",0,IF(COUNTIF(B$5:B429,B429)=1,1,0))</f>
        <v>0</v>
      </c>
      <c r="I429" s="16" t="n">
        <f aca="false">SUM(H$5:H429)</f>
        <v>6</v>
      </c>
    </row>
    <row r="430" customFormat="false" ht="15" hidden="false" customHeight="false" outlineLevel="0" collapsed="false">
      <c r="A430" s="12"/>
      <c r="B430" s="13"/>
      <c r="C430" s="13"/>
      <c r="D430" s="14"/>
      <c r="E430" s="15"/>
      <c r="F430" s="16" t="n">
        <f aca="false">IF(C430="",0,IF(COUNTIF(C$5:C430,C430)=1,1,0))</f>
        <v>0</v>
      </c>
      <c r="G430" s="16" t="n">
        <f aca="false">SUM(F$5:F430)</f>
        <v>8</v>
      </c>
      <c r="H430" s="16" t="n">
        <f aca="false">IF(B430="",0,IF(COUNTIF(B$5:B430,B430)=1,1,0))</f>
        <v>0</v>
      </c>
      <c r="I430" s="16" t="n">
        <f aca="false">SUM(H$5:H430)</f>
        <v>6</v>
      </c>
    </row>
    <row r="431" customFormat="false" ht="15" hidden="false" customHeight="false" outlineLevel="0" collapsed="false">
      <c r="A431" s="12"/>
      <c r="B431" s="13"/>
      <c r="C431" s="13"/>
      <c r="D431" s="14"/>
      <c r="E431" s="15"/>
      <c r="F431" s="16" t="n">
        <f aca="false">IF(C431="",0,IF(COUNTIF(C$5:C431,C431)=1,1,0))</f>
        <v>0</v>
      </c>
      <c r="G431" s="16" t="n">
        <f aca="false">SUM(F$5:F431)</f>
        <v>8</v>
      </c>
      <c r="H431" s="16" t="n">
        <f aca="false">IF(B431="",0,IF(COUNTIF(B$5:B431,B431)=1,1,0))</f>
        <v>0</v>
      </c>
      <c r="I431" s="16" t="n">
        <f aca="false">SUM(H$5:H431)</f>
        <v>6</v>
      </c>
    </row>
    <row r="432" customFormat="false" ht="15" hidden="false" customHeight="false" outlineLevel="0" collapsed="false">
      <c r="A432" s="12"/>
      <c r="B432" s="13"/>
      <c r="C432" s="13"/>
      <c r="D432" s="14"/>
      <c r="E432" s="15"/>
      <c r="F432" s="16" t="n">
        <f aca="false">IF(C432="",0,IF(COUNTIF(C$5:C432,C432)=1,1,0))</f>
        <v>0</v>
      </c>
      <c r="G432" s="16" t="n">
        <f aca="false">SUM(F$5:F432)</f>
        <v>8</v>
      </c>
      <c r="H432" s="16" t="n">
        <f aca="false">IF(B432="",0,IF(COUNTIF(B$5:B432,B432)=1,1,0))</f>
        <v>0</v>
      </c>
      <c r="I432" s="16" t="n">
        <f aca="false">SUM(H$5:H432)</f>
        <v>6</v>
      </c>
    </row>
    <row r="433" customFormat="false" ht="15" hidden="false" customHeight="false" outlineLevel="0" collapsed="false">
      <c r="A433" s="12"/>
      <c r="B433" s="13"/>
      <c r="C433" s="13"/>
      <c r="D433" s="14"/>
      <c r="E433" s="15"/>
      <c r="F433" s="16" t="n">
        <f aca="false">IF(C433="",0,IF(COUNTIF(C$5:C433,C433)=1,1,0))</f>
        <v>0</v>
      </c>
      <c r="G433" s="16" t="n">
        <f aca="false">SUM(F$5:F433)</f>
        <v>8</v>
      </c>
      <c r="H433" s="16" t="n">
        <f aca="false">IF(B433="",0,IF(COUNTIF(B$5:B433,B433)=1,1,0))</f>
        <v>0</v>
      </c>
      <c r="I433" s="16" t="n">
        <f aca="false">SUM(H$5:H433)</f>
        <v>6</v>
      </c>
    </row>
    <row r="434" customFormat="false" ht="15" hidden="false" customHeight="false" outlineLevel="0" collapsed="false">
      <c r="A434" s="12"/>
      <c r="B434" s="13"/>
      <c r="C434" s="13"/>
      <c r="D434" s="14"/>
      <c r="E434" s="15"/>
      <c r="F434" s="16" t="n">
        <f aca="false">IF(C434="",0,IF(COUNTIF(C$5:C434,C434)=1,1,0))</f>
        <v>0</v>
      </c>
      <c r="G434" s="16" t="n">
        <f aca="false">SUM(F$5:F434)</f>
        <v>8</v>
      </c>
      <c r="H434" s="16" t="n">
        <f aca="false">IF(B434="",0,IF(COUNTIF(B$5:B434,B434)=1,1,0))</f>
        <v>0</v>
      </c>
      <c r="I434" s="16" t="n">
        <f aca="false">SUM(H$5:H434)</f>
        <v>6</v>
      </c>
    </row>
    <row r="435" customFormat="false" ht="15" hidden="false" customHeight="false" outlineLevel="0" collapsed="false">
      <c r="A435" s="12"/>
      <c r="B435" s="13"/>
      <c r="C435" s="13"/>
      <c r="D435" s="14"/>
      <c r="E435" s="15"/>
      <c r="F435" s="16" t="n">
        <f aca="false">IF(C435="",0,IF(COUNTIF(C$5:C435,C435)=1,1,0))</f>
        <v>0</v>
      </c>
      <c r="G435" s="16" t="n">
        <f aca="false">SUM(F$5:F435)</f>
        <v>8</v>
      </c>
      <c r="H435" s="16" t="n">
        <f aca="false">IF(B435="",0,IF(COUNTIF(B$5:B435,B435)=1,1,0))</f>
        <v>0</v>
      </c>
      <c r="I435" s="16" t="n">
        <f aca="false">SUM(H$5:H435)</f>
        <v>6</v>
      </c>
    </row>
    <row r="436" customFormat="false" ht="15" hidden="false" customHeight="false" outlineLevel="0" collapsed="false">
      <c r="A436" s="12"/>
      <c r="B436" s="13"/>
      <c r="C436" s="13"/>
      <c r="D436" s="14"/>
      <c r="E436" s="15"/>
      <c r="F436" s="16" t="n">
        <f aca="false">IF(C436="",0,IF(COUNTIF(C$5:C436,C436)=1,1,0))</f>
        <v>0</v>
      </c>
      <c r="G436" s="16" t="n">
        <f aca="false">SUM(F$5:F436)</f>
        <v>8</v>
      </c>
      <c r="H436" s="16" t="n">
        <f aca="false">IF(B436="",0,IF(COUNTIF(B$5:B436,B436)=1,1,0))</f>
        <v>0</v>
      </c>
      <c r="I436" s="16" t="n">
        <f aca="false">SUM(H$5:H436)</f>
        <v>6</v>
      </c>
    </row>
    <row r="437" customFormat="false" ht="15" hidden="false" customHeight="false" outlineLevel="0" collapsed="false">
      <c r="A437" s="12"/>
      <c r="B437" s="13"/>
      <c r="C437" s="13"/>
      <c r="D437" s="14"/>
      <c r="E437" s="15"/>
      <c r="F437" s="16" t="n">
        <f aca="false">IF(C437="",0,IF(COUNTIF(C$5:C437,C437)=1,1,0))</f>
        <v>0</v>
      </c>
      <c r="G437" s="16" t="n">
        <f aca="false">SUM(F$5:F437)</f>
        <v>8</v>
      </c>
      <c r="H437" s="16" t="n">
        <f aca="false">IF(B437="",0,IF(COUNTIF(B$5:B437,B437)=1,1,0))</f>
        <v>0</v>
      </c>
      <c r="I437" s="16" t="n">
        <f aca="false">SUM(H$5:H437)</f>
        <v>6</v>
      </c>
    </row>
    <row r="438" customFormat="false" ht="15" hidden="false" customHeight="false" outlineLevel="0" collapsed="false">
      <c r="A438" s="12"/>
      <c r="B438" s="13"/>
      <c r="C438" s="13"/>
      <c r="D438" s="14"/>
      <c r="E438" s="15"/>
      <c r="F438" s="16" t="n">
        <f aca="false">IF(C438="",0,IF(COUNTIF(C$5:C438,C438)=1,1,0))</f>
        <v>0</v>
      </c>
      <c r="G438" s="16" t="n">
        <f aca="false">SUM(F$5:F438)</f>
        <v>8</v>
      </c>
      <c r="H438" s="16" t="n">
        <f aca="false">IF(B438="",0,IF(COUNTIF(B$5:B438,B438)=1,1,0))</f>
        <v>0</v>
      </c>
      <c r="I438" s="16" t="n">
        <f aca="false">SUM(H$5:H438)</f>
        <v>6</v>
      </c>
    </row>
    <row r="439" customFormat="false" ht="15" hidden="false" customHeight="false" outlineLevel="0" collapsed="false">
      <c r="A439" s="12"/>
      <c r="B439" s="13"/>
      <c r="C439" s="13"/>
      <c r="D439" s="14"/>
      <c r="E439" s="15"/>
      <c r="F439" s="16" t="n">
        <f aca="false">IF(C439="",0,IF(COUNTIF(C$5:C439,C439)=1,1,0))</f>
        <v>0</v>
      </c>
      <c r="G439" s="16" t="n">
        <f aca="false">SUM(F$5:F439)</f>
        <v>8</v>
      </c>
      <c r="H439" s="16" t="n">
        <f aca="false">IF(B439="",0,IF(COUNTIF(B$5:B439,B439)=1,1,0))</f>
        <v>0</v>
      </c>
      <c r="I439" s="16" t="n">
        <f aca="false">SUM(H$5:H439)</f>
        <v>6</v>
      </c>
    </row>
    <row r="440" customFormat="false" ht="15" hidden="false" customHeight="false" outlineLevel="0" collapsed="false">
      <c r="A440" s="12"/>
      <c r="B440" s="13"/>
      <c r="C440" s="13"/>
      <c r="D440" s="14"/>
      <c r="E440" s="15"/>
      <c r="F440" s="16" t="n">
        <f aca="false">IF(C440="",0,IF(COUNTIF(C$5:C440,C440)=1,1,0))</f>
        <v>0</v>
      </c>
      <c r="G440" s="16" t="n">
        <f aca="false">SUM(F$5:F440)</f>
        <v>8</v>
      </c>
      <c r="H440" s="16" t="n">
        <f aca="false">IF(B440="",0,IF(COUNTIF(B$5:B440,B440)=1,1,0))</f>
        <v>0</v>
      </c>
      <c r="I440" s="16" t="n">
        <f aca="false">SUM(H$5:H440)</f>
        <v>6</v>
      </c>
    </row>
    <row r="441" customFormat="false" ht="15" hidden="false" customHeight="false" outlineLevel="0" collapsed="false">
      <c r="A441" s="12"/>
      <c r="B441" s="13"/>
      <c r="C441" s="13"/>
      <c r="D441" s="14"/>
      <c r="E441" s="15"/>
      <c r="F441" s="16" t="n">
        <f aca="false">IF(C441="",0,IF(COUNTIF(C$5:C441,C441)=1,1,0))</f>
        <v>0</v>
      </c>
      <c r="G441" s="16" t="n">
        <f aca="false">SUM(F$5:F441)</f>
        <v>8</v>
      </c>
      <c r="H441" s="16" t="n">
        <f aca="false">IF(B441="",0,IF(COUNTIF(B$5:B441,B441)=1,1,0))</f>
        <v>0</v>
      </c>
      <c r="I441" s="16" t="n">
        <f aca="false">SUM(H$5:H441)</f>
        <v>6</v>
      </c>
    </row>
    <row r="442" customFormat="false" ht="15" hidden="false" customHeight="false" outlineLevel="0" collapsed="false">
      <c r="A442" s="12"/>
      <c r="B442" s="13"/>
      <c r="C442" s="13"/>
      <c r="D442" s="14"/>
      <c r="E442" s="15"/>
      <c r="F442" s="16" t="n">
        <f aca="false">IF(C442="",0,IF(COUNTIF(C$5:C442,C442)=1,1,0))</f>
        <v>0</v>
      </c>
      <c r="G442" s="16" t="n">
        <f aca="false">SUM(F$5:F442)</f>
        <v>8</v>
      </c>
      <c r="H442" s="16" t="n">
        <f aca="false">IF(B442="",0,IF(COUNTIF(B$5:B442,B442)=1,1,0))</f>
        <v>0</v>
      </c>
      <c r="I442" s="16" t="n">
        <f aca="false">SUM(H$5:H442)</f>
        <v>6</v>
      </c>
    </row>
    <row r="443" customFormat="false" ht="15" hidden="false" customHeight="false" outlineLevel="0" collapsed="false">
      <c r="A443" s="12"/>
      <c r="B443" s="13"/>
      <c r="C443" s="13"/>
      <c r="D443" s="14"/>
      <c r="E443" s="15"/>
      <c r="F443" s="16" t="n">
        <f aca="false">IF(C443="",0,IF(COUNTIF(C$5:C443,C443)=1,1,0))</f>
        <v>0</v>
      </c>
      <c r="G443" s="16" t="n">
        <f aca="false">SUM(F$5:F443)</f>
        <v>8</v>
      </c>
      <c r="H443" s="16" t="n">
        <f aca="false">IF(B443="",0,IF(COUNTIF(B$5:B443,B443)=1,1,0))</f>
        <v>0</v>
      </c>
      <c r="I443" s="16" t="n">
        <f aca="false">SUM(H$5:H443)</f>
        <v>6</v>
      </c>
    </row>
    <row r="444" customFormat="false" ht="15" hidden="false" customHeight="false" outlineLevel="0" collapsed="false">
      <c r="A444" s="12"/>
      <c r="B444" s="13"/>
      <c r="C444" s="13"/>
      <c r="D444" s="14"/>
      <c r="E444" s="15"/>
      <c r="F444" s="16" t="n">
        <f aca="false">IF(C444="",0,IF(COUNTIF(C$5:C444,C444)=1,1,0))</f>
        <v>0</v>
      </c>
      <c r="G444" s="16" t="n">
        <f aca="false">SUM(F$5:F444)</f>
        <v>8</v>
      </c>
      <c r="H444" s="16" t="n">
        <f aca="false">IF(B444="",0,IF(COUNTIF(B$5:B444,B444)=1,1,0))</f>
        <v>0</v>
      </c>
      <c r="I444" s="16" t="n">
        <f aca="false">SUM(H$5:H444)</f>
        <v>6</v>
      </c>
    </row>
    <row r="445" customFormat="false" ht="15" hidden="false" customHeight="false" outlineLevel="0" collapsed="false">
      <c r="A445" s="12"/>
      <c r="B445" s="13"/>
      <c r="C445" s="13"/>
      <c r="D445" s="14"/>
      <c r="E445" s="15"/>
      <c r="F445" s="16" t="n">
        <f aca="false">IF(C445="",0,IF(COUNTIF(C$5:C445,C445)=1,1,0))</f>
        <v>0</v>
      </c>
      <c r="G445" s="16" t="n">
        <f aca="false">SUM(F$5:F445)</f>
        <v>8</v>
      </c>
      <c r="H445" s="16" t="n">
        <f aca="false">IF(B445="",0,IF(COUNTIF(B$5:B445,B445)=1,1,0))</f>
        <v>0</v>
      </c>
      <c r="I445" s="16" t="n">
        <f aca="false">SUM(H$5:H445)</f>
        <v>6</v>
      </c>
    </row>
    <row r="446" customFormat="false" ht="15" hidden="false" customHeight="false" outlineLevel="0" collapsed="false">
      <c r="A446" s="12"/>
      <c r="B446" s="13"/>
      <c r="C446" s="13"/>
      <c r="D446" s="14"/>
      <c r="E446" s="15"/>
      <c r="F446" s="16" t="n">
        <f aca="false">IF(C446="",0,IF(COUNTIF(C$5:C446,C446)=1,1,0))</f>
        <v>0</v>
      </c>
      <c r="G446" s="16" t="n">
        <f aca="false">SUM(F$5:F446)</f>
        <v>8</v>
      </c>
      <c r="H446" s="16" t="n">
        <f aca="false">IF(B446="",0,IF(COUNTIF(B$5:B446,B446)=1,1,0))</f>
        <v>0</v>
      </c>
      <c r="I446" s="16" t="n">
        <f aca="false">SUM(H$5:H446)</f>
        <v>6</v>
      </c>
    </row>
    <row r="447" customFormat="false" ht="15" hidden="false" customHeight="false" outlineLevel="0" collapsed="false">
      <c r="A447" s="12"/>
      <c r="B447" s="13"/>
      <c r="C447" s="13"/>
      <c r="D447" s="14"/>
      <c r="E447" s="15"/>
      <c r="F447" s="16" t="n">
        <f aca="false">IF(C447="",0,IF(COUNTIF(C$5:C447,C447)=1,1,0))</f>
        <v>0</v>
      </c>
      <c r="G447" s="16" t="n">
        <f aca="false">SUM(F$5:F447)</f>
        <v>8</v>
      </c>
      <c r="H447" s="16" t="n">
        <f aca="false">IF(B447="",0,IF(COUNTIF(B$5:B447,B447)=1,1,0))</f>
        <v>0</v>
      </c>
      <c r="I447" s="16" t="n">
        <f aca="false">SUM(H$5:H447)</f>
        <v>6</v>
      </c>
    </row>
    <row r="448" customFormat="false" ht="15" hidden="false" customHeight="false" outlineLevel="0" collapsed="false">
      <c r="A448" s="12"/>
      <c r="B448" s="13"/>
      <c r="C448" s="13"/>
      <c r="D448" s="14"/>
      <c r="E448" s="15"/>
      <c r="F448" s="16" t="n">
        <f aca="false">IF(C448="",0,IF(COUNTIF(C$5:C448,C448)=1,1,0))</f>
        <v>0</v>
      </c>
      <c r="G448" s="16" t="n">
        <f aca="false">SUM(F$5:F448)</f>
        <v>8</v>
      </c>
      <c r="H448" s="16" t="n">
        <f aca="false">IF(B448="",0,IF(COUNTIF(B$5:B448,B448)=1,1,0))</f>
        <v>0</v>
      </c>
      <c r="I448" s="16" t="n">
        <f aca="false">SUM(H$5:H448)</f>
        <v>6</v>
      </c>
    </row>
    <row r="449" customFormat="false" ht="15" hidden="false" customHeight="false" outlineLevel="0" collapsed="false">
      <c r="A449" s="12"/>
      <c r="B449" s="13"/>
      <c r="C449" s="13"/>
      <c r="D449" s="14"/>
      <c r="E449" s="15"/>
      <c r="F449" s="16" t="n">
        <f aca="false">IF(C449="",0,IF(COUNTIF(C$5:C449,C449)=1,1,0))</f>
        <v>0</v>
      </c>
      <c r="G449" s="16" t="n">
        <f aca="false">SUM(F$5:F449)</f>
        <v>8</v>
      </c>
      <c r="H449" s="16" t="n">
        <f aca="false">IF(B449="",0,IF(COUNTIF(B$5:B449,B449)=1,1,0))</f>
        <v>0</v>
      </c>
      <c r="I449" s="16" t="n">
        <f aca="false">SUM(H$5:H449)</f>
        <v>6</v>
      </c>
    </row>
    <row r="450" customFormat="false" ht="15" hidden="false" customHeight="false" outlineLevel="0" collapsed="false">
      <c r="A450" s="12"/>
      <c r="B450" s="13"/>
      <c r="C450" s="13"/>
      <c r="D450" s="14"/>
      <c r="E450" s="15"/>
      <c r="F450" s="16" t="n">
        <f aca="false">IF(C450="",0,IF(COUNTIF(C$5:C450,C450)=1,1,0))</f>
        <v>0</v>
      </c>
      <c r="G450" s="16" t="n">
        <f aca="false">SUM(F$5:F450)</f>
        <v>8</v>
      </c>
      <c r="H450" s="16" t="n">
        <f aca="false">IF(B450="",0,IF(COUNTIF(B$5:B450,B450)=1,1,0))</f>
        <v>0</v>
      </c>
      <c r="I450" s="16" t="n">
        <f aca="false">SUM(H$5:H450)</f>
        <v>6</v>
      </c>
    </row>
    <row r="451" customFormat="false" ht="15" hidden="false" customHeight="false" outlineLevel="0" collapsed="false">
      <c r="A451" s="12"/>
      <c r="B451" s="13"/>
      <c r="C451" s="13"/>
      <c r="D451" s="14"/>
      <c r="E451" s="15"/>
      <c r="F451" s="16" t="n">
        <f aca="false">IF(C451="",0,IF(COUNTIF(C$5:C451,C451)=1,1,0))</f>
        <v>0</v>
      </c>
      <c r="G451" s="16" t="n">
        <f aca="false">SUM(F$5:F451)</f>
        <v>8</v>
      </c>
      <c r="H451" s="16" t="n">
        <f aca="false">IF(B451="",0,IF(COUNTIF(B$5:B451,B451)=1,1,0))</f>
        <v>0</v>
      </c>
      <c r="I451" s="16" t="n">
        <f aca="false">SUM(H$5:H451)</f>
        <v>6</v>
      </c>
    </row>
    <row r="452" customFormat="false" ht="15" hidden="false" customHeight="false" outlineLevel="0" collapsed="false">
      <c r="A452" s="12"/>
      <c r="B452" s="13"/>
      <c r="C452" s="13"/>
      <c r="D452" s="14"/>
      <c r="E452" s="15"/>
      <c r="F452" s="16" t="n">
        <f aca="false">IF(C452="",0,IF(COUNTIF(C$5:C452,C452)=1,1,0))</f>
        <v>0</v>
      </c>
      <c r="G452" s="16" t="n">
        <f aca="false">SUM(F$5:F452)</f>
        <v>8</v>
      </c>
      <c r="H452" s="16" t="n">
        <f aca="false">IF(B452="",0,IF(COUNTIF(B$5:B452,B452)=1,1,0))</f>
        <v>0</v>
      </c>
      <c r="I452" s="16" t="n">
        <f aca="false">SUM(H$5:H452)</f>
        <v>6</v>
      </c>
    </row>
    <row r="453" customFormat="false" ht="15" hidden="false" customHeight="false" outlineLevel="0" collapsed="false">
      <c r="A453" s="12"/>
      <c r="B453" s="13"/>
      <c r="C453" s="13"/>
      <c r="D453" s="14"/>
      <c r="E453" s="15"/>
      <c r="F453" s="16" t="n">
        <f aca="false">IF(C453="",0,IF(COUNTIF(C$5:C453,C453)=1,1,0))</f>
        <v>0</v>
      </c>
      <c r="G453" s="16" t="n">
        <f aca="false">SUM(F$5:F453)</f>
        <v>8</v>
      </c>
      <c r="H453" s="16" t="n">
        <f aca="false">IF(B453="",0,IF(COUNTIF(B$5:B453,B453)=1,1,0))</f>
        <v>0</v>
      </c>
      <c r="I453" s="16" t="n">
        <f aca="false">SUM(H$5:H453)</f>
        <v>6</v>
      </c>
    </row>
    <row r="454" customFormat="false" ht="15" hidden="false" customHeight="false" outlineLevel="0" collapsed="false">
      <c r="A454" s="12"/>
      <c r="B454" s="13"/>
      <c r="C454" s="13"/>
      <c r="D454" s="14"/>
      <c r="E454" s="15"/>
      <c r="F454" s="16" t="n">
        <f aca="false">IF(C454="",0,IF(COUNTIF(C$5:C454,C454)=1,1,0))</f>
        <v>0</v>
      </c>
      <c r="G454" s="16" t="n">
        <f aca="false">SUM(F$5:F454)</f>
        <v>8</v>
      </c>
      <c r="H454" s="16" t="n">
        <f aca="false">IF(B454="",0,IF(COUNTIF(B$5:B454,B454)=1,1,0))</f>
        <v>0</v>
      </c>
      <c r="I454" s="16" t="n">
        <f aca="false">SUM(H$5:H454)</f>
        <v>6</v>
      </c>
    </row>
    <row r="455" customFormat="false" ht="15" hidden="false" customHeight="false" outlineLevel="0" collapsed="false">
      <c r="A455" s="12"/>
      <c r="B455" s="13"/>
      <c r="C455" s="13"/>
      <c r="D455" s="14"/>
      <c r="E455" s="15"/>
      <c r="F455" s="16" t="n">
        <f aca="false">IF(C455="",0,IF(COUNTIF(C$5:C455,C455)=1,1,0))</f>
        <v>0</v>
      </c>
      <c r="G455" s="16" t="n">
        <f aca="false">SUM(F$5:F455)</f>
        <v>8</v>
      </c>
      <c r="H455" s="16" t="n">
        <f aca="false">IF(B455="",0,IF(COUNTIF(B$5:B455,B455)=1,1,0))</f>
        <v>0</v>
      </c>
      <c r="I455" s="16" t="n">
        <f aca="false">SUM(H$5:H455)</f>
        <v>6</v>
      </c>
    </row>
    <row r="456" customFormat="false" ht="15" hidden="false" customHeight="false" outlineLevel="0" collapsed="false">
      <c r="A456" s="12"/>
      <c r="B456" s="13"/>
      <c r="C456" s="13"/>
      <c r="D456" s="14"/>
      <c r="E456" s="15"/>
      <c r="F456" s="16" t="n">
        <f aca="false">IF(C456="",0,IF(COUNTIF(C$5:C456,C456)=1,1,0))</f>
        <v>0</v>
      </c>
      <c r="G456" s="16" t="n">
        <f aca="false">SUM(F$5:F456)</f>
        <v>8</v>
      </c>
      <c r="H456" s="16" t="n">
        <f aca="false">IF(B456="",0,IF(COUNTIF(B$5:B456,B456)=1,1,0))</f>
        <v>0</v>
      </c>
      <c r="I456" s="16" t="n">
        <f aca="false">SUM(H$5:H456)</f>
        <v>6</v>
      </c>
    </row>
    <row r="457" customFormat="false" ht="15" hidden="false" customHeight="false" outlineLevel="0" collapsed="false">
      <c r="A457" s="12"/>
      <c r="B457" s="13"/>
      <c r="C457" s="13"/>
      <c r="D457" s="14"/>
      <c r="E457" s="15"/>
      <c r="F457" s="16" t="n">
        <f aca="false">IF(C457="",0,IF(COUNTIF(C$5:C457,C457)=1,1,0))</f>
        <v>0</v>
      </c>
      <c r="G457" s="16" t="n">
        <f aca="false">SUM(F$5:F457)</f>
        <v>8</v>
      </c>
      <c r="H457" s="16" t="n">
        <f aca="false">IF(B457="",0,IF(COUNTIF(B$5:B457,B457)=1,1,0))</f>
        <v>0</v>
      </c>
      <c r="I457" s="16" t="n">
        <f aca="false">SUM(H$5:H457)</f>
        <v>6</v>
      </c>
    </row>
    <row r="458" customFormat="false" ht="15" hidden="false" customHeight="false" outlineLevel="0" collapsed="false">
      <c r="A458" s="12"/>
      <c r="B458" s="13"/>
      <c r="C458" s="13"/>
      <c r="D458" s="14"/>
      <c r="E458" s="15"/>
      <c r="F458" s="16" t="n">
        <f aca="false">IF(C458="",0,IF(COUNTIF(C$5:C458,C458)=1,1,0))</f>
        <v>0</v>
      </c>
      <c r="G458" s="16" t="n">
        <f aca="false">SUM(F$5:F458)</f>
        <v>8</v>
      </c>
      <c r="H458" s="16" t="n">
        <f aca="false">IF(B458="",0,IF(COUNTIF(B$5:B458,B458)=1,1,0))</f>
        <v>0</v>
      </c>
      <c r="I458" s="16" t="n">
        <f aca="false">SUM(H$5:H458)</f>
        <v>6</v>
      </c>
    </row>
    <row r="459" customFormat="false" ht="15" hidden="false" customHeight="false" outlineLevel="0" collapsed="false">
      <c r="A459" s="12"/>
      <c r="B459" s="13"/>
      <c r="C459" s="13"/>
      <c r="D459" s="14"/>
      <c r="E459" s="15"/>
      <c r="F459" s="16" t="n">
        <f aca="false">IF(C459="",0,IF(COUNTIF(C$5:C459,C459)=1,1,0))</f>
        <v>0</v>
      </c>
      <c r="G459" s="16" t="n">
        <f aca="false">SUM(F$5:F459)</f>
        <v>8</v>
      </c>
      <c r="H459" s="16" t="n">
        <f aca="false">IF(B459="",0,IF(COUNTIF(B$5:B459,B459)=1,1,0))</f>
        <v>0</v>
      </c>
      <c r="I459" s="16" t="n">
        <f aca="false">SUM(H$5:H459)</f>
        <v>6</v>
      </c>
    </row>
    <row r="460" customFormat="false" ht="15" hidden="false" customHeight="false" outlineLevel="0" collapsed="false">
      <c r="A460" s="12"/>
      <c r="B460" s="13"/>
      <c r="C460" s="13"/>
      <c r="D460" s="14"/>
      <c r="E460" s="15"/>
      <c r="F460" s="16" t="n">
        <f aca="false">IF(C460="",0,IF(COUNTIF(C$5:C460,C460)=1,1,0))</f>
        <v>0</v>
      </c>
      <c r="G460" s="16" t="n">
        <f aca="false">SUM(F$5:F460)</f>
        <v>8</v>
      </c>
      <c r="H460" s="16" t="n">
        <f aca="false">IF(B460="",0,IF(COUNTIF(B$5:B460,B460)=1,1,0))</f>
        <v>0</v>
      </c>
      <c r="I460" s="16" t="n">
        <f aca="false">SUM(H$5:H460)</f>
        <v>6</v>
      </c>
    </row>
    <row r="461" customFormat="false" ht="15" hidden="false" customHeight="false" outlineLevel="0" collapsed="false">
      <c r="A461" s="12"/>
      <c r="B461" s="13"/>
      <c r="C461" s="13"/>
      <c r="D461" s="14"/>
      <c r="E461" s="15"/>
      <c r="F461" s="16" t="n">
        <f aca="false">IF(C461="",0,IF(COUNTIF(C$5:C461,C461)=1,1,0))</f>
        <v>0</v>
      </c>
      <c r="G461" s="16" t="n">
        <f aca="false">SUM(F$5:F461)</f>
        <v>8</v>
      </c>
      <c r="H461" s="16" t="n">
        <f aca="false">IF(B461="",0,IF(COUNTIF(B$5:B461,B461)=1,1,0))</f>
        <v>0</v>
      </c>
      <c r="I461" s="16" t="n">
        <f aca="false">SUM(H$5:H461)</f>
        <v>6</v>
      </c>
    </row>
    <row r="462" customFormat="false" ht="15" hidden="false" customHeight="false" outlineLevel="0" collapsed="false">
      <c r="A462" s="12"/>
      <c r="B462" s="13"/>
      <c r="C462" s="13"/>
      <c r="D462" s="14"/>
      <c r="E462" s="15"/>
      <c r="F462" s="16" t="n">
        <f aca="false">IF(C462="",0,IF(COUNTIF(C$5:C462,C462)=1,1,0))</f>
        <v>0</v>
      </c>
      <c r="G462" s="16" t="n">
        <f aca="false">SUM(F$5:F462)</f>
        <v>8</v>
      </c>
      <c r="H462" s="16" t="n">
        <f aca="false">IF(B462="",0,IF(COUNTIF(B$5:B462,B462)=1,1,0))</f>
        <v>0</v>
      </c>
      <c r="I462" s="16" t="n">
        <f aca="false">SUM(H$5:H462)</f>
        <v>6</v>
      </c>
    </row>
    <row r="463" customFormat="false" ht="15" hidden="false" customHeight="false" outlineLevel="0" collapsed="false">
      <c r="A463" s="12"/>
      <c r="B463" s="13"/>
      <c r="C463" s="13"/>
      <c r="D463" s="14"/>
      <c r="E463" s="15"/>
      <c r="F463" s="16" t="n">
        <f aca="false">IF(C463="",0,IF(COUNTIF(C$5:C463,C463)=1,1,0))</f>
        <v>0</v>
      </c>
      <c r="G463" s="16" t="n">
        <f aca="false">SUM(F$5:F463)</f>
        <v>8</v>
      </c>
      <c r="H463" s="16" t="n">
        <f aca="false">IF(B463="",0,IF(COUNTIF(B$5:B463,B463)=1,1,0))</f>
        <v>0</v>
      </c>
      <c r="I463" s="16" t="n">
        <f aca="false">SUM(H$5:H463)</f>
        <v>6</v>
      </c>
    </row>
    <row r="464" customFormat="false" ht="15" hidden="false" customHeight="false" outlineLevel="0" collapsed="false">
      <c r="A464" s="12"/>
      <c r="B464" s="13"/>
      <c r="C464" s="13"/>
      <c r="D464" s="14"/>
      <c r="E464" s="15"/>
      <c r="F464" s="16" t="n">
        <f aca="false">IF(C464="",0,IF(COUNTIF(C$5:C464,C464)=1,1,0))</f>
        <v>0</v>
      </c>
      <c r="G464" s="16" t="n">
        <f aca="false">SUM(F$5:F464)</f>
        <v>8</v>
      </c>
      <c r="H464" s="16" t="n">
        <f aca="false">IF(B464="",0,IF(COUNTIF(B$5:B464,B464)=1,1,0))</f>
        <v>0</v>
      </c>
      <c r="I464" s="16" t="n">
        <f aca="false">SUM(H$5:H464)</f>
        <v>6</v>
      </c>
    </row>
    <row r="465" customFormat="false" ht="15" hidden="false" customHeight="false" outlineLevel="0" collapsed="false">
      <c r="A465" s="12"/>
      <c r="B465" s="13"/>
      <c r="C465" s="13"/>
      <c r="D465" s="14"/>
      <c r="E465" s="15"/>
      <c r="F465" s="16" t="n">
        <f aca="false">IF(C465="",0,IF(COUNTIF(C$5:C465,C465)=1,1,0))</f>
        <v>0</v>
      </c>
      <c r="G465" s="16" t="n">
        <f aca="false">SUM(F$5:F465)</f>
        <v>8</v>
      </c>
      <c r="H465" s="16" t="n">
        <f aca="false">IF(B465="",0,IF(COUNTIF(B$5:B465,B465)=1,1,0))</f>
        <v>0</v>
      </c>
      <c r="I465" s="16" t="n">
        <f aca="false">SUM(H$5:H465)</f>
        <v>6</v>
      </c>
    </row>
    <row r="466" customFormat="false" ht="15" hidden="false" customHeight="false" outlineLevel="0" collapsed="false">
      <c r="A466" s="12"/>
      <c r="B466" s="13"/>
      <c r="C466" s="13"/>
      <c r="D466" s="14"/>
      <c r="E466" s="15"/>
      <c r="F466" s="16" t="n">
        <f aca="false">IF(C466="",0,IF(COUNTIF(C$5:C466,C466)=1,1,0))</f>
        <v>0</v>
      </c>
      <c r="G466" s="16" t="n">
        <f aca="false">SUM(F$5:F466)</f>
        <v>8</v>
      </c>
      <c r="H466" s="16" t="n">
        <f aca="false">IF(B466="",0,IF(COUNTIF(B$5:B466,B466)=1,1,0))</f>
        <v>0</v>
      </c>
      <c r="I466" s="16" t="n">
        <f aca="false">SUM(H$5:H466)</f>
        <v>6</v>
      </c>
    </row>
    <row r="467" customFormat="false" ht="15" hidden="false" customHeight="false" outlineLevel="0" collapsed="false">
      <c r="A467" s="12"/>
      <c r="B467" s="13"/>
      <c r="C467" s="13"/>
      <c r="D467" s="14"/>
      <c r="E467" s="15"/>
      <c r="F467" s="16" t="n">
        <f aca="false">IF(C467="",0,IF(COUNTIF(C$5:C467,C467)=1,1,0))</f>
        <v>0</v>
      </c>
      <c r="G467" s="16" t="n">
        <f aca="false">SUM(F$5:F467)</f>
        <v>8</v>
      </c>
      <c r="H467" s="16" t="n">
        <f aca="false">IF(B467="",0,IF(COUNTIF(B$5:B467,B467)=1,1,0))</f>
        <v>0</v>
      </c>
      <c r="I467" s="16" t="n">
        <f aca="false">SUM(H$5:H467)</f>
        <v>6</v>
      </c>
    </row>
    <row r="468" customFormat="false" ht="15" hidden="false" customHeight="false" outlineLevel="0" collapsed="false">
      <c r="A468" s="12"/>
      <c r="B468" s="13"/>
      <c r="C468" s="13"/>
      <c r="D468" s="14"/>
      <c r="E468" s="15"/>
      <c r="F468" s="16" t="n">
        <f aca="false">IF(C468="",0,IF(COUNTIF(C$5:C468,C468)=1,1,0))</f>
        <v>0</v>
      </c>
      <c r="G468" s="16" t="n">
        <f aca="false">SUM(F$5:F468)</f>
        <v>8</v>
      </c>
      <c r="H468" s="16" t="n">
        <f aca="false">IF(B468="",0,IF(COUNTIF(B$5:B468,B468)=1,1,0))</f>
        <v>0</v>
      </c>
      <c r="I468" s="16" t="n">
        <f aca="false">SUM(H$5:H468)</f>
        <v>6</v>
      </c>
    </row>
    <row r="469" customFormat="false" ht="15" hidden="false" customHeight="false" outlineLevel="0" collapsed="false">
      <c r="A469" s="12"/>
      <c r="B469" s="13"/>
      <c r="C469" s="13"/>
      <c r="D469" s="14"/>
      <c r="E469" s="15"/>
      <c r="F469" s="16" t="n">
        <f aca="false">IF(C469="",0,IF(COUNTIF(C$5:C469,C469)=1,1,0))</f>
        <v>0</v>
      </c>
      <c r="G469" s="16" t="n">
        <f aca="false">SUM(F$5:F469)</f>
        <v>8</v>
      </c>
      <c r="H469" s="16" t="n">
        <f aca="false">IF(B469="",0,IF(COUNTIF(B$5:B469,B469)=1,1,0))</f>
        <v>0</v>
      </c>
      <c r="I469" s="16" t="n">
        <f aca="false">SUM(H$5:H469)</f>
        <v>6</v>
      </c>
    </row>
    <row r="470" customFormat="false" ht="15" hidden="false" customHeight="false" outlineLevel="0" collapsed="false">
      <c r="A470" s="12"/>
      <c r="B470" s="13"/>
      <c r="C470" s="13"/>
      <c r="D470" s="14"/>
      <c r="E470" s="15"/>
      <c r="F470" s="16" t="n">
        <f aca="false">IF(C470="",0,IF(COUNTIF(C$5:C470,C470)=1,1,0))</f>
        <v>0</v>
      </c>
      <c r="G470" s="16" t="n">
        <f aca="false">SUM(F$5:F470)</f>
        <v>8</v>
      </c>
      <c r="H470" s="16" t="n">
        <f aca="false">IF(B470="",0,IF(COUNTIF(B$5:B470,B470)=1,1,0))</f>
        <v>0</v>
      </c>
      <c r="I470" s="16" t="n">
        <f aca="false">SUM(H$5:H470)</f>
        <v>6</v>
      </c>
    </row>
    <row r="471" customFormat="false" ht="15" hidden="false" customHeight="false" outlineLevel="0" collapsed="false">
      <c r="A471" s="12"/>
      <c r="B471" s="13"/>
      <c r="C471" s="13"/>
      <c r="D471" s="14"/>
      <c r="E471" s="15"/>
      <c r="F471" s="16" t="n">
        <f aca="false">IF(C471="",0,IF(COUNTIF(C$5:C471,C471)=1,1,0))</f>
        <v>0</v>
      </c>
      <c r="G471" s="16" t="n">
        <f aca="false">SUM(F$5:F471)</f>
        <v>8</v>
      </c>
      <c r="H471" s="16" t="n">
        <f aca="false">IF(B471="",0,IF(COUNTIF(B$5:B471,B471)=1,1,0))</f>
        <v>0</v>
      </c>
      <c r="I471" s="16" t="n">
        <f aca="false">SUM(H$5:H471)</f>
        <v>6</v>
      </c>
    </row>
    <row r="472" customFormat="false" ht="15" hidden="false" customHeight="false" outlineLevel="0" collapsed="false">
      <c r="A472" s="12"/>
      <c r="B472" s="13"/>
      <c r="C472" s="13"/>
      <c r="D472" s="14"/>
      <c r="E472" s="15"/>
      <c r="F472" s="16" t="n">
        <f aca="false">IF(C472="",0,IF(COUNTIF(C$5:C472,C472)=1,1,0))</f>
        <v>0</v>
      </c>
      <c r="G472" s="16" t="n">
        <f aca="false">SUM(F$5:F472)</f>
        <v>8</v>
      </c>
      <c r="H472" s="16" t="n">
        <f aca="false">IF(B472="",0,IF(COUNTIF(B$5:B472,B472)=1,1,0))</f>
        <v>0</v>
      </c>
      <c r="I472" s="16" t="n">
        <f aca="false">SUM(H$5:H472)</f>
        <v>6</v>
      </c>
    </row>
    <row r="473" customFormat="false" ht="15" hidden="false" customHeight="false" outlineLevel="0" collapsed="false">
      <c r="A473" s="12"/>
      <c r="B473" s="13"/>
      <c r="C473" s="13"/>
      <c r="D473" s="14"/>
      <c r="E473" s="15"/>
      <c r="F473" s="16" t="n">
        <f aca="false">IF(C473="",0,IF(COUNTIF(C$5:C473,C473)=1,1,0))</f>
        <v>0</v>
      </c>
      <c r="G473" s="16" t="n">
        <f aca="false">SUM(F$5:F473)</f>
        <v>8</v>
      </c>
      <c r="H473" s="16" t="n">
        <f aca="false">IF(B473="",0,IF(COUNTIF(B$5:B473,B473)=1,1,0))</f>
        <v>0</v>
      </c>
      <c r="I473" s="16" t="n">
        <f aca="false">SUM(H$5:H473)</f>
        <v>6</v>
      </c>
    </row>
    <row r="474" customFormat="false" ht="15" hidden="false" customHeight="false" outlineLevel="0" collapsed="false">
      <c r="A474" s="12"/>
      <c r="B474" s="13"/>
      <c r="C474" s="13"/>
      <c r="D474" s="14"/>
      <c r="E474" s="15"/>
      <c r="F474" s="16" t="n">
        <f aca="false">IF(C474="",0,IF(COUNTIF(C$5:C474,C474)=1,1,0))</f>
        <v>0</v>
      </c>
      <c r="G474" s="16" t="n">
        <f aca="false">SUM(F$5:F474)</f>
        <v>8</v>
      </c>
      <c r="H474" s="16" t="n">
        <f aca="false">IF(B474="",0,IF(COUNTIF(B$5:B474,B474)=1,1,0))</f>
        <v>0</v>
      </c>
      <c r="I474" s="16" t="n">
        <f aca="false">SUM(H$5:H474)</f>
        <v>6</v>
      </c>
    </row>
    <row r="475" customFormat="false" ht="15" hidden="false" customHeight="false" outlineLevel="0" collapsed="false">
      <c r="A475" s="12"/>
      <c r="B475" s="13"/>
      <c r="C475" s="13"/>
      <c r="D475" s="14"/>
      <c r="E475" s="15"/>
      <c r="F475" s="16" t="n">
        <f aca="false">IF(C475="",0,IF(COUNTIF(C$5:C475,C475)=1,1,0))</f>
        <v>0</v>
      </c>
      <c r="G475" s="16" t="n">
        <f aca="false">SUM(F$5:F475)</f>
        <v>8</v>
      </c>
      <c r="H475" s="16" t="n">
        <f aca="false">IF(B475="",0,IF(COUNTIF(B$5:B475,B475)=1,1,0))</f>
        <v>0</v>
      </c>
      <c r="I475" s="16" t="n">
        <f aca="false">SUM(H$5:H475)</f>
        <v>6</v>
      </c>
    </row>
    <row r="476" customFormat="false" ht="15" hidden="false" customHeight="false" outlineLevel="0" collapsed="false">
      <c r="A476" s="12"/>
      <c r="B476" s="13"/>
      <c r="C476" s="13"/>
      <c r="D476" s="14"/>
      <c r="E476" s="15"/>
      <c r="F476" s="16" t="n">
        <f aca="false">IF(C476="",0,IF(COUNTIF(C$5:C476,C476)=1,1,0))</f>
        <v>0</v>
      </c>
      <c r="G476" s="16" t="n">
        <f aca="false">SUM(F$5:F476)</f>
        <v>8</v>
      </c>
      <c r="H476" s="16" t="n">
        <f aca="false">IF(B476="",0,IF(COUNTIF(B$5:B476,B476)=1,1,0))</f>
        <v>0</v>
      </c>
      <c r="I476" s="16" t="n">
        <f aca="false">SUM(H$5:H476)</f>
        <v>6</v>
      </c>
    </row>
    <row r="477" customFormat="false" ht="15" hidden="false" customHeight="false" outlineLevel="0" collapsed="false">
      <c r="A477" s="12"/>
      <c r="B477" s="13"/>
      <c r="C477" s="13"/>
      <c r="D477" s="14"/>
      <c r="E477" s="15"/>
      <c r="F477" s="16" t="n">
        <f aca="false">IF(C477="",0,IF(COUNTIF(C$5:C477,C477)=1,1,0))</f>
        <v>0</v>
      </c>
      <c r="G477" s="16" t="n">
        <f aca="false">SUM(F$5:F477)</f>
        <v>8</v>
      </c>
      <c r="H477" s="16" t="n">
        <f aca="false">IF(B477="",0,IF(COUNTIF(B$5:B477,B477)=1,1,0))</f>
        <v>0</v>
      </c>
      <c r="I477" s="16" t="n">
        <f aca="false">SUM(H$5:H477)</f>
        <v>6</v>
      </c>
    </row>
    <row r="478" customFormat="false" ht="15" hidden="false" customHeight="false" outlineLevel="0" collapsed="false">
      <c r="A478" s="12"/>
      <c r="B478" s="13"/>
      <c r="C478" s="13"/>
      <c r="D478" s="14"/>
      <c r="E478" s="15"/>
      <c r="F478" s="16" t="n">
        <f aca="false">IF(C478="",0,IF(COUNTIF(C$5:C478,C478)=1,1,0))</f>
        <v>0</v>
      </c>
      <c r="G478" s="16" t="n">
        <f aca="false">SUM(F$5:F478)</f>
        <v>8</v>
      </c>
      <c r="H478" s="16" t="n">
        <f aca="false">IF(B478="",0,IF(COUNTIF(B$5:B478,B478)=1,1,0))</f>
        <v>0</v>
      </c>
      <c r="I478" s="16" t="n">
        <f aca="false">SUM(H$5:H478)</f>
        <v>6</v>
      </c>
    </row>
    <row r="479" customFormat="false" ht="15" hidden="false" customHeight="false" outlineLevel="0" collapsed="false">
      <c r="A479" s="12"/>
      <c r="B479" s="13"/>
      <c r="C479" s="13"/>
      <c r="D479" s="14"/>
      <c r="E479" s="15"/>
      <c r="F479" s="16" t="n">
        <f aca="false">IF(C479="",0,IF(COUNTIF(C$5:C479,C479)=1,1,0))</f>
        <v>0</v>
      </c>
      <c r="G479" s="16" t="n">
        <f aca="false">SUM(F$5:F479)</f>
        <v>8</v>
      </c>
      <c r="H479" s="16" t="n">
        <f aca="false">IF(B479="",0,IF(COUNTIF(B$5:B479,B479)=1,1,0))</f>
        <v>0</v>
      </c>
      <c r="I479" s="16" t="n">
        <f aca="false">SUM(H$5:H479)</f>
        <v>6</v>
      </c>
    </row>
    <row r="480" customFormat="false" ht="15" hidden="false" customHeight="false" outlineLevel="0" collapsed="false">
      <c r="A480" s="12"/>
      <c r="B480" s="13"/>
      <c r="C480" s="13"/>
      <c r="D480" s="14"/>
      <c r="E480" s="15"/>
      <c r="F480" s="16" t="n">
        <f aca="false">IF(C480="",0,IF(COUNTIF(C$5:C480,C480)=1,1,0))</f>
        <v>0</v>
      </c>
      <c r="G480" s="16" t="n">
        <f aca="false">SUM(F$5:F480)</f>
        <v>8</v>
      </c>
      <c r="H480" s="16" t="n">
        <f aca="false">IF(B480="",0,IF(COUNTIF(B$5:B480,B480)=1,1,0))</f>
        <v>0</v>
      </c>
      <c r="I480" s="16" t="n">
        <f aca="false">SUM(H$5:H480)</f>
        <v>6</v>
      </c>
    </row>
    <row r="481" customFormat="false" ht="15" hidden="false" customHeight="false" outlineLevel="0" collapsed="false">
      <c r="A481" s="12"/>
      <c r="B481" s="13"/>
      <c r="C481" s="13"/>
      <c r="D481" s="14"/>
      <c r="E481" s="15"/>
      <c r="F481" s="16" t="n">
        <f aca="false">IF(C481="",0,IF(COUNTIF(C$5:C481,C481)=1,1,0))</f>
        <v>0</v>
      </c>
      <c r="G481" s="16" t="n">
        <f aca="false">SUM(F$5:F481)</f>
        <v>8</v>
      </c>
      <c r="H481" s="16" t="n">
        <f aca="false">IF(B481="",0,IF(COUNTIF(B$5:B481,B481)=1,1,0))</f>
        <v>0</v>
      </c>
      <c r="I481" s="16" t="n">
        <f aca="false">SUM(H$5:H481)</f>
        <v>6</v>
      </c>
    </row>
    <row r="482" customFormat="false" ht="15" hidden="false" customHeight="false" outlineLevel="0" collapsed="false">
      <c r="A482" s="12"/>
      <c r="B482" s="13"/>
      <c r="C482" s="13"/>
      <c r="D482" s="14"/>
      <c r="E482" s="15"/>
      <c r="F482" s="16" t="n">
        <f aca="false">IF(C482="",0,IF(COUNTIF(C$5:C482,C482)=1,1,0))</f>
        <v>0</v>
      </c>
      <c r="G482" s="16" t="n">
        <f aca="false">SUM(F$5:F482)</f>
        <v>8</v>
      </c>
      <c r="H482" s="16" t="n">
        <f aca="false">IF(B482="",0,IF(COUNTIF(B$5:B482,B482)=1,1,0))</f>
        <v>0</v>
      </c>
      <c r="I482" s="16" t="n">
        <f aca="false">SUM(H$5:H482)</f>
        <v>6</v>
      </c>
    </row>
    <row r="483" customFormat="false" ht="15" hidden="false" customHeight="false" outlineLevel="0" collapsed="false">
      <c r="A483" s="12"/>
      <c r="B483" s="13"/>
      <c r="C483" s="13"/>
      <c r="D483" s="14"/>
      <c r="E483" s="15"/>
      <c r="F483" s="16" t="n">
        <f aca="false">IF(C483="",0,IF(COUNTIF(C$5:C483,C483)=1,1,0))</f>
        <v>0</v>
      </c>
      <c r="G483" s="16" t="n">
        <f aca="false">SUM(F$5:F483)</f>
        <v>8</v>
      </c>
      <c r="H483" s="16" t="n">
        <f aca="false">IF(B483="",0,IF(COUNTIF(B$5:B483,B483)=1,1,0))</f>
        <v>0</v>
      </c>
      <c r="I483" s="16" t="n">
        <f aca="false">SUM(H$5:H483)</f>
        <v>6</v>
      </c>
    </row>
    <row r="484" customFormat="false" ht="15" hidden="false" customHeight="false" outlineLevel="0" collapsed="false">
      <c r="A484" s="12"/>
      <c r="B484" s="13"/>
      <c r="C484" s="13"/>
      <c r="D484" s="14"/>
      <c r="E484" s="15"/>
      <c r="F484" s="16" t="n">
        <f aca="false">IF(C484="",0,IF(COUNTIF(C$5:C484,C484)=1,1,0))</f>
        <v>0</v>
      </c>
      <c r="G484" s="16" t="n">
        <f aca="false">SUM(F$5:F484)</f>
        <v>8</v>
      </c>
      <c r="H484" s="16" t="n">
        <f aca="false">IF(B484="",0,IF(COUNTIF(B$5:B484,B484)=1,1,0))</f>
        <v>0</v>
      </c>
      <c r="I484" s="16" t="n">
        <f aca="false">SUM(H$5:H484)</f>
        <v>6</v>
      </c>
    </row>
    <row r="485" customFormat="false" ht="15" hidden="false" customHeight="false" outlineLevel="0" collapsed="false">
      <c r="A485" s="12"/>
      <c r="B485" s="13"/>
      <c r="C485" s="13"/>
      <c r="D485" s="14"/>
      <c r="E485" s="15"/>
      <c r="F485" s="16" t="n">
        <f aca="false">IF(C485="",0,IF(COUNTIF(C$5:C485,C485)=1,1,0))</f>
        <v>0</v>
      </c>
      <c r="G485" s="16" t="n">
        <f aca="false">SUM(F$5:F485)</f>
        <v>8</v>
      </c>
      <c r="H485" s="16" t="n">
        <f aca="false">IF(B485="",0,IF(COUNTIF(B$5:B485,B485)=1,1,0))</f>
        <v>0</v>
      </c>
      <c r="I485" s="16" t="n">
        <f aca="false">SUM(H$5:H485)</f>
        <v>6</v>
      </c>
    </row>
    <row r="486" customFormat="false" ht="15" hidden="false" customHeight="false" outlineLevel="0" collapsed="false">
      <c r="A486" s="12"/>
      <c r="B486" s="13"/>
      <c r="C486" s="13"/>
      <c r="D486" s="14"/>
      <c r="E486" s="15"/>
      <c r="F486" s="16" t="n">
        <f aca="false">IF(C486="",0,IF(COUNTIF(C$5:C486,C486)=1,1,0))</f>
        <v>0</v>
      </c>
      <c r="G486" s="16" t="n">
        <f aca="false">SUM(F$5:F486)</f>
        <v>8</v>
      </c>
      <c r="H486" s="16" t="n">
        <f aca="false">IF(B486="",0,IF(COUNTIF(B$5:B486,B486)=1,1,0))</f>
        <v>0</v>
      </c>
      <c r="I486" s="16" t="n">
        <f aca="false">SUM(H$5:H486)</f>
        <v>6</v>
      </c>
    </row>
    <row r="487" customFormat="false" ht="15" hidden="false" customHeight="false" outlineLevel="0" collapsed="false">
      <c r="A487" s="12"/>
      <c r="B487" s="13"/>
      <c r="C487" s="13"/>
      <c r="D487" s="14"/>
      <c r="E487" s="15"/>
      <c r="F487" s="16" t="n">
        <f aca="false">IF(C487="",0,IF(COUNTIF(C$5:C487,C487)=1,1,0))</f>
        <v>0</v>
      </c>
      <c r="G487" s="16" t="n">
        <f aca="false">SUM(F$5:F487)</f>
        <v>8</v>
      </c>
      <c r="H487" s="16" t="n">
        <f aca="false">IF(B487="",0,IF(COUNTIF(B$5:B487,B487)=1,1,0))</f>
        <v>0</v>
      </c>
      <c r="I487" s="16" t="n">
        <f aca="false">SUM(H$5:H487)</f>
        <v>6</v>
      </c>
    </row>
    <row r="488" customFormat="false" ht="15" hidden="false" customHeight="false" outlineLevel="0" collapsed="false">
      <c r="A488" s="12"/>
      <c r="B488" s="13"/>
      <c r="C488" s="13"/>
      <c r="D488" s="14"/>
      <c r="E488" s="15"/>
      <c r="F488" s="16" t="n">
        <f aca="false">IF(C488="",0,IF(COUNTIF(C$5:C488,C488)=1,1,0))</f>
        <v>0</v>
      </c>
      <c r="G488" s="16" t="n">
        <f aca="false">SUM(F$5:F488)</f>
        <v>8</v>
      </c>
      <c r="H488" s="16" t="n">
        <f aca="false">IF(B488="",0,IF(COUNTIF(B$5:B488,B488)=1,1,0))</f>
        <v>0</v>
      </c>
      <c r="I488" s="16" t="n">
        <f aca="false">SUM(H$5:H488)</f>
        <v>6</v>
      </c>
    </row>
    <row r="489" customFormat="false" ht="15" hidden="false" customHeight="false" outlineLevel="0" collapsed="false">
      <c r="A489" s="12"/>
      <c r="B489" s="13"/>
      <c r="C489" s="13"/>
      <c r="D489" s="14"/>
      <c r="E489" s="15"/>
      <c r="F489" s="16" t="n">
        <f aca="false">IF(C489="",0,IF(COUNTIF(C$5:C489,C489)=1,1,0))</f>
        <v>0</v>
      </c>
      <c r="G489" s="16" t="n">
        <f aca="false">SUM(F$5:F489)</f>
        <v>8</v>
      </c>
      <c r="H489" s="16" t="n">
        <f aca="false">IF(B489="",0,IF(COUNTIF(B$5:B489,B489)=1,1,0))</f>
        <v>0</v>
      </c>
      <c r="I489" s="16" t="n">
        <f aca="false">SUM(H$5:H489)</f>
        <v>6</v>
      </c>
    </row>
    <row r="490" customFormat="false" ht="15" hidden="false" customHeight="false" outlineLevel="0" collapsed="false">
      <c r="A490" s="12"/>
      <c r="B490" s="13"/>
      <c r="C490" s="13"/>
      <c r="D490" s="14"/>
      <c r="E490" s="15"/>
      <c r="F490" s="16" t="n">
        <f aca="false">IF(C490="",0,IF(COUNTIF(C$5:C490,C490)=1,1,0))</f>
        <v>0</v>
      </c>
      <c r="G490" s="16" t="n">
        <f aca="false">SUM(F$5:F490)</f>
        <v>8</v>
      </c>
      <c r="H490" s="16" t="n">
        <f aca="false">IF(B490="",0,IF(COUNTIF(B$5:B490,B490)=1,1,0))</f>
        <v>0</v>
      </c>
      <c r="I490" s="16" t="n">
        <f aca="false">SUM(H$5:H490)</f>
        <v>6</v>
      </c>
    </row>
    <row r="491" customFormat="false" ht="15" hidden="false" customHeight="false" outlineLevel="0" collapsed="false">
      <c r="A491" s="12"/>
      <c r="B491" s="13"/>
      <c r="C491" s="13"/>
      <c r="D491" s="14"/>
      <c r="E491" s="15"/>
      <c r="F491" s="16" t="n">
        <f aca="false">IF(C491="",0,IF(COUNTIF(C$5:C491,C491)=1,1,0))</f>
        <v>0</v>
      </c>
      <c r="G491" s="16" t="n">
        <f aca="false">SUM(F$5:F491)</f>
        <v>8</v>
      </c>
      <c r="H491" s="16" t="n">
        <f aca="false">IF(B491="",0,IF(COUNTIF(B$5:B491,B491)=1,1,0))</f>
        <v>0</v>
      </c>
      <c r="I491" s="16" t="n">
        <f aca="false">SUM(H$5:H491)</f>
        <v>6</v>
      </c>
    </row>
    <row r="492" customFormat="false" ht="15" hidden="false" customHeight="false" outlineLevel="0" collapsed="false">
      <c r="A492" s="12"/>
      <c r="B492" s="13"/>
      <c r="C492" s="13"/>
      <c r="D492" s="14"/>
      <c r="E492" s="15"/>
      <c r="F492" s="16" t="n">
        <f aca="false">IF(C492="",0,IF(COUNTIF(C$5:C492,C492)=1,1,0))</f>
        <v>0</v>
      </c>
      <c r="G492" s="16" t="n">
        <f aca="false">SUM(F$5:F492)</f>
        <v>8</v>
      </c>
      <c r="H492" s="16" t="n">
        <f aca="false">IF(B492="",0,IF(COUNTIF(B$5:B492,B492)=1,1,0))</f>
        <v>0</v>
      </c>
      <c r="I492" s="16" t="n">
        <f aca="false">SUM(H$5:H492)</f>
        <v>6</v>
      </c>
    </row>
    <row r="493" customFormat="false" ht="15" hidden="false" customHeight="false" outlineLevel="0" collapsed="false">
      <c r="A493" s="12"/>
      <c r="B493" s="13"/>
      <c r="C493" s="13"/>
      <c r="D493" s="14"/>
      <c r="E493" s="15"/>
      <c r="F493" s="16" t="n">
        <f aca="false">IF(C493="",0,IF(COUNTIF(C$5:C493,C493)=1,1,0))</f>
        <v>0</v>
      </c>
      <c r="G493" s="16" t="n">
        <f aca="false">SUM(F$5:F493)</f>
        <v>8</v>
      </c>
      <c r="H493" s="16" t="n">
        <f aca="false">IF(B493="",0,IF(COUNTIF(B$5:B493,B493)=1,1,0))</f>
        <v>0</v>
      </c>
      <c r="I493" s="16" t="n">
        <f aca="false">SUM(H$5:H493)</f>
        <v>6</v>
      </c>
    </row>
    <row r="494" customFormat="false" ht="15" hidden="false" customHeight="false" outlineLevel="0" collapsed="false">
      <c r="A494" s="12"/>
      <c r="B494" s="13"/>
      <c r="C494" s="13"/>
      <c r="D494" s="14"/>
      <c r="E494" s="15"/>
      <c r="F494" s="16" t="n">
        <f aca="false">IF(C494="",0,IF(COUNTIF(C$5:C494,C494)=1,1,0))</f>
        <v>0</v>
      </c>
      <c r="G494" s="16" t="n">
        <f aca="false">SUM(F$5:F494)</f>
        <v>8</v>
      </c>
      <c r="H494" s="16" t="n">
        <f aca="false">IF(B494="",0,IF(COUNTIF(B$5:B494,B494)=1,1,0))</f>
        <v>0</v>
      </c>
      <c r="I494" s="16" t="n">
        <f aca="false">SUM(H$5:H494)</f>
        <v>6</v>
      </c>
    </row>
    <row r="495" customFormat="false" ht="15" hidden="false" customHeight="false" outlineLevel="0" collapsed="false">
      <c r="A495" s="12"/>
      <c r="B495" s="13"/>
      <c r="C495" s="13"/>
      <c r="D495" s="14"/>
      <c r="E495" s="15"/>
      <c r="F495" s="16" t="n">
        <f aca="false">IF(C495="",0,IF(COUNTIF(C$5:C495,C495)=1,1,0))</f>
        <v>0</v>
      </c>
      <c r="G495" s="16" t="n">
        <f aca="false">SUM(F$5:F495)</f>
        <v>8</v>
      </c>
      <c r="H495" s="16" t="n">
        <f aca="false">IF(B495="",0,IF(COUNTIF(B$5:B495,B495)=1,1,0))</f>
        <v>0</v>
      </c>
      <c r="I495" s="16" t="n">
        <f aca="false">SUM(H$5:H495)</f>
        <v>6</v>
      </c>
    </row>
    <row r="496" customFormat="false" ht="15" hidden="false" customHeight="false" outlineLevel="0" collapsed="false">
      <c r="A496" s="12"/>
      <c r="B496" s="13"/>
      <c r="C496" s="13"/>
      <c r="D496" s="14"/>
      <c r="E496" s="15"/>
      <c r="F496" s="16" t="n">
        <f aca="false">IF(C496="",0,IF(COUNTIF(C$5:C496,C496)=1,1,0))</f>
        <v>0</v>
      </c>
      <c r="G496" s="16" t="n">
        <f aca="false">SUM(F$5:F496)</f>
        <v>8</v>
      </c>
      <c r="H496" s="16" t="n">
        <f aca="false">IF(B496="",0,IF(COUNTIF(B$5:B496,B496)=1,1,0))</f>
        <v>0</v>
      </c>
      <c r="I496" s="16" t="n">
        <f aca="false">SUM(H$5:H496)</f>
        <v>6</v>
      </c>
    </row>
    <row r="497" customFormat="false" ht="15" hidden="false" customHeight="false" outlineLevel="0" collapsed="false">
      <c r="A497" s="12"/>
      <c r="B497" s="13"/>
      <c r="C497" s="13"/>
      <c r="D497" s="14"/>
      <c r="E497" s="15"/>
      <c r="F497" s="16" t="n">
        <f aca="false">IF(C497="",0,IF(COUNTIF(C$5:C497,C497)=1,1,0))</f>
        <v>0</v>
      </c>
      <c r="G497" s="16" t="n">
        <f aca="false">SUM(F$5:F497)</f>
        <v>8</v>
      </c>
      <c r="H497" s="16" t="n">
        <f aca="false">IF(B497="",0,IF(COUNTIF(B$5:B497,B497)=1,1,0))</f>
        <v>0</v>
      </c>
      <c r="I497" s="16" t="n">
        <f aca="false">SUM(H$5:H497)</f>
        <v>6</v>
      </c>
    </row>
    <row r="498" customFormat="false" ht="15" hidden="false" customHeight="false" outlineLevel="0" collapsed="false">
      <c r="A498" s="12"/>
      <c r="B498" s="13"/>
      <c r="C498" s="13"/>
      <c r="D498" s="14"/>
      <c r="E498" s="15"/>
      <c r="F498" s="16" t="n">
        <f aca="false">IF(C498="",0,IF(COUNTIF(C$5:C498,C498)=1,1,0))</f>
        <v>0</v>
      </c>
      <c r="G498" s="16" t="n">
        <f aca="false">SUM(F$5:F498)</f>
        <v>8</v>
      </c>
      <c r="H498" s="16" t="n">
        <f aca="false">IF(B498="",0,IF(COUNTIF(B$5:B498,B498)=1,1,0))</f>
        <v>0</v>
      </c>
      <c r="I498" s="16" t="n">
        <f aca="false">SUM(H$5:H498)</f>
        <v>6</v>
      </c>
    </row>
    <row r="499" customFormat="false" ht="15" hidden="false" customHeight="false" outlineLevel="0" collapsed="false">
      <c r="A499" s="12"/>
      <c r="B499" s="13"/>
      <c r="C499" s="13"/>
      <c r="D499" s="14"/>
      <c r="E499" s="15"/>
      <c r="F499" s="16" t="n">
        <f aca="false">IF(C499="",0,IF(COUNTIF(C$5:C499,C499)=1,1,0))</f>
        <v>0</v>
      </c>
      <c r="G499" s="16" t="n">
        <f aca="false">SUM(F$5:F499)</f>
        <v>8</v>
      </c>
      <c r="H499" s="16" t="n">
        <f aca="false">IF(B499="",0,IF(COUNTIF(B$5:B499,B499)=1,1,0))</f>
        <v>0</v>
      </c>
      <c r="I499" s="16" t="n">
        <f aca="false">SUM(H$5:H499)</f>
        <v>6</v>
      </c>
    </row>
    <row r="500" customFormat="false" ht="15" hidden="false" customHeight="false" outlineLevel="0" collapsed="false">
      <c r="A500" s="12"/>
      <c r="B500" s="13"/>
      <c r="C500" s="13"/>
      <c r="D500" s="14"/>
      <c r="E500" s="15"/>
      <c r="F500" s="16" t="n">
        <f aca="false">IF(C500="",0,IF(COUNTIF(C$5:C500,C500)=1,1,0))</f>
        <v>0</v>
      </c>
      <c r="G500" s="16" t="n">
        <f aca="false">SUM(F$5:F500)</f>
        <v>8</v>
      </c>
      <c r="H500" s="16" t="n">
        <f aca="false">IF(B500="",0,IF(COUNTIF(B$5:B500,B500)=1,1,0))</f>
        <v>0</v>
      </c>
      <c r="I500" s="16" t="n">
        <f aca="false">SUM(H$5:H500)</f>
        <v>6</v>
      </c>
    </row>
    <row r="501" customFormat="false" ht="15" hidden="false" customHeight="false" outlineLevel="0" collapsed="false">
      <c r="A501" s="12"/>
      <c r="B501" s="13"/>
      <c r="C501" s="13"/>
      <c r="D501" s="14"/>
      <c r="E501" s="15"/>
      <c r="F501" s="16" t="n">
        <f aca="false">IF(C501="",0,IF(COUNTIF(C$5:C501,C501)=1,1,0))</f>
        <v>0</v>
      </c>
      <c r="G501" s="16" t="n">
        <f aca="false">SUM(F$5:F501)</f>
        <v>8</v>
      </c>
      <c r="H501" s="16" t="n">
        <f aca="false">IF(B501="",0,IF(COUNTIF(B$5:B501,B501)=1,1,0))</f>
        <v>0</v>
      </c>
      <c r="I501" s="16" t="n">
        <f aca="false">SUM(H$5:H501)</f>
        <v>6</v>
      </c>
    </row>
    <row r="502" customFormat="false" ht="15" hidden="false" customHeight="false" outlineLevel="0" collapsed="false">
      <c r="A502" s="12"/>
      <c r="B502" s="13"/>
      <c r="C502" s="13"/>
      <c r="D502" s="14"/>
      <c r="E502" s="15"/>
      <c r="F502" s="16" t="n">
        <f aca="false">IF(C502="",0,IF(COUNTIF(C$5:C502,C502)=1,1,0))</f>
        <v>0</v>
      </c>
      <c r="G502" s="16" t="n">
        <f aca="false">SUM(F$5:F502)</f>
        <v>8</v>
      </c>
      <c r="H502" s="16" t="n">
        <f aca="false">IF(B502="",0,IF(COUNTIF(B$5:B502,B502)=1,1,0))</f>
        <v>0</v>
      </c>
      <c r="I502" s="16" t="n">
        <f aca="false">SUM(H$5:H502)</f>
        <v>6</v>
      </c>
    </row>
    <row r="503" customFormat="false" ht="15" hidden="false" customHeight="false" outlineLevel="0" collapsed="false">
      <c r="A503" s="12"/>
      <c r="B503" s="13"/>
      <c r="C503" s="13"/>
      <c r="D503" s="14"/>
      <c r="E503" s="15"/>
      <c r="F503" s="16" t="n">
        <f aca="false">IF(C503="",0,IF(COUNTIF(C$5:C503,C503)=1,1,0))</f>
        <v>0</v>
      </c>
      <c r="G503" s="16" t="n">
        <f aca="false">SUM(F$5:F503)</f>
        <v>8</v>
      </c>
      <c r="H503" s="16" t="n">
        <f aca="false">IF(B503="",0,IF(COUNTIF(B$5:B503,B503)=1,1,0))</f>
        <v>0</v>
      </c>
      <c r="I503" s="16" t="n">
        <f aca="false">SUM(H$5:H503)</f>
        <v>6</v>
      </c>
    </row>
    <row r="504" customFormat="false" ht="15" hidden="false" customHeight="false" outlineLevel="0" collapsed="false">
      <c r="A504" s="12"/>
      <c r="B504" s="13"/>
      <c r="C504" s="13"/>
      <c r="D504" s="14"/>
      <c r="E504" s="15"/>
      <c r="F504" s="16" t="n">
        <f aca="false">IF(C504="",0,IF(COUNTIF(C$5:C504,C504)=1,1,0))</f>
        <v>0</v>
      </c>
      <c r="G504" s="16" t="n">
        <f aca="false">SUM(F$5:F504)</f>
        <v>8</v>
      </c>
      <c r="H504" s="16" t="n">
        <f aca="false">IF(B504="",0,IF(COUNTIF(B$5:B504,B504)=1,1,0))</f>
        <v>0</v>
      </c>
      <c r="I504" s="16" t="n">
        <f aca="false">SUM(H$5:H504)</f>
        <v>6</v>
      </c>
    </row>
    <row r="505" customFormat="false" ht="15" hidden="false" customHeight="false" outlineLevel="0" collapsed="false">
      <c r="A505" s="12"/>
      <c r="B505" s="13"/>
      <c r="C505" s="13"/>
      <c r="D505" s="14"/>
      <c r="E505" s="15"/>
      <c r="F505" s="16" t="n">
        <f aca="false">IF(C505="",0,IF(COUNTIF(C$5:C505,C505)=1,1,0))</f>
        <v>0</v>
      </c>
      <c r="G505" s="16" t="n">
        <f aca="false">SUM(F$5:F505)</f>
        <v>8</v>
      </c>
      <c r="H505" s="16" t="n">
        <f aca="false">IF(B505="",0,IF(COUNTIF(B$5:B505,B505)=1,1,0))</f>
        <v>0</v>
      </c>
      <c r="I505" s="16" t="n">
        <f aca="false">SUM(H$5:H505)</f>
        <v>6</v>
      </c>
    </row>
    <row r="506" customFormat="false" ht="15" hidden="false" customHeight="false" outlineLevel="0" collapsed="false">
      <c r="A506" s="12"/>
      <c r="B506" s="13"/>
      <c r="C506" s="13"/>
      <c r="D506" s="14"/>
      <c r="E506" s="15"/>
      <c r="F506" s="16" t="n">
        <f aca="false">IF(C506="",0,IF(COUNTIF(C$5:C506,C506)=1,1,0))</f>
        <v>0</v>
      </c>
      <c r="G506" s="16" t="n">
        <f aca="false">SUM(F$5:F506)</f>
        <v>8</v>
      </c>
      <c r="H506" s="16" t="n">
        <f aca="false">IF(B506="",0,IF(COUNTIF(B$5:B506,B506)=1,1,0))</f>
        <v>0</v>
      </c>
      <c r="I506" s="16" t="n">
        <f aca="false">SUM(H$5:H506)</f>
        <v>6</v>
      </c>
    </row>
    <row r="507" customFormat="false" ht="15" hidden="false" customHeight="false" outlineLevel="0" collapsed="false">
      <c r="A507" s="12"/>
      <c r="B507" s="13"/>
      <c r="C507" s="13"/>
      <c r="D507" s="14"/>
      <c r="E507" s="15"/>
      <c r="F507" s="16" t="n">
        <f aca="false">IF(C507="",0,IF(COUNTIF(C$5:C507,C507)=1,1,0))</f>
        <v>0</v>
      </c>
      <c r="G507" s="16" t="n">
        <f aca="false">SUM(F$5:F507)</f>
        <v>8</v>
      </c>
      <c r="H507" s="16" t="n">
        <f aca="false">IF(B507="",0,IF(COUNTIF(B$5:B507,B507)=1,1,0))</f>
        <v>0</v>
      </c>
      <c r="I507" s="16" t="n">
        <f aca="false">SUM(H$5:H507)</f>
        <v>6</v>
      </c>
    </row>
    <row r="508" customFormat="false" ht="15" hidden="false" customHeight="false" outlineLevel="0" collapsed="false">
      <c r="A508" s="12"/>
      <c r="B508" s="13"/>
      <c r="C508" s="13"/>
      <c r="D508" s="14"/>
      <c r="E508" s="15"/>
      <c r="F508" s="16" t="n">
        <f aca="false">IF(C508="",0,IF(COUNTIF(C$5:C508,C508)=1,1,0))</f>
        <v>0</v>
      </c>
      <c r="G508" s="16" t="n">
        <f aca="false">SUM(F$5:F508)</f>
        <v>8</v>
      </c>
      <c r="H508" s="16" t="n">
        <f aca="false">IF(B508="",0,IF(COUNTIF(B$5:B508,B508)=1,1,0))</f>
        <v>0</v>
      </c>
      <c r="I508" s="16" t="n">
        <f aca="false">SUM(H$5:H508)</f>
        <v>6</v>
      </c>
    </row>
    <row r="509" customFormat="false" ht="15" hidden="false" customHeight="false" outlineLevel="0" collapsed="false">
      <c r="A509" s="12"/>
      <c r="B509" s="13"/>
      <c r="C509" s="13"/>
      <c r="D509" s="14"/>
      <c r="E509" s="15"/>
      <c r="F509" s="16" t="n">
        <f aca="false">IF(C509="",0,IF(COUNTIF(C$5:C509,C509)=1,1,0))</f>
        <v>0</v>
      </c>
      <c r="G509" s="16" t="n">
        <f aca="false">SUM(F$5:F509)</f>
        <v>8</v>
      </c>
      <c r="H509" s="16" t="n">
        <f aca="false">IF(B509="",0,IF(COUNTIF(B$5:B509,B509)=1,1,0))</f>
        <v>0</v>
      </c>
      <c r="I509" s="16" t="n">
        <f aca="false">SUM(H$5:H509)</f>
        <v>6</v>
      </c>
    </row>
    <row r="510" customFormat="false" ht="15" hidden="false" customHeight="false" outlineLevel="0" collapsed="false">
      <c r="A510" s="12"/>
      <c r="B510" s="13"/>
      <c r="C510" s="13"/>
      <c r="D510" s="14"/>
      <c r="E510" s="15"/>
      <c r="F510" s="16" t="n">
        <f aca="false">IF(C510="",0,IF(COUNTIF(C$5:C510,C510)=1,1,0))</f>
        <v>0</v>
      </c>
      <c r="G510" s="16" t="n">
        <f aca="false">SUM(F$5:F510)</f>
        <v>8</v>
      </c>
      <c r="H510" s="16" t="n">
        <f aca="false">IF(B510="",0,IF(COUNTIF(B$5:B510,B510)=1,1,0))</f>
        <v>0</v>
      </c>
      <c r="I510" s="16" t="n">
        <f aca="false">SUM(H$5:H510)</f>
        <v>6</v>
      </c>
    </row>
    <row r="511" customFormat="false" ht="15" hidden="false" customHeight="false" outlineLevel="0" collapsed="false">
      <c r="A511" s="12"/>
      <c r="B511" s="13"/>
      <c r="C511" s="13"/>
      <c r="D511" s="14"/>
      <c r="E511" s="15"/>
      <c r="F511" s="16" t="n">
        <f aca="false">IF(C511="",0,IF(COUNTIF(C$5:C511,C511)=1,1,0))</f>
        <v>0</v>
      </c>
      <c r="G511" s="16" t="n">
        <f aca="false">SUM(F$5:F511)</f>
        <v>8</v>
      </c>
      <c r="H511" s="16" t="n">
        <f aca="false">IF(B511="",0,IF(COUNTIF(B$5:B511,B511)=1,1,0))</f>
        <v>0</v>
      </c>
      <c r="I511" s="16" t="n">
        <f aca="false">SUM(H$5:H511)</f>
        <v>6</v>
      </c>
    </row>
    <row r="512" customFormat="false" ht="15" hidden="false" customHeight="false" outlineLevel="0" collapsed="false">
      <c r="A512" s="12"/>
      <c r="B512" s="13"/>
      <c r="C512" s="13"/>
      <c r="D512" s="14"/>
      <c r="E512" s="15"/>
      <c r="F512" s="16" t="n">
        <f aca="false">IF(C512="",0,IF(COUNTIF(C$5:C512,C512)=1,1,0))</f>
        <v>0</v>
      </c>
      <c r="G512" s="16" t="n">
        <f aca="false">SUM(F$5:F512)</f>
        <v>8</v>
      </c>
      <c r="H512" s="16" t="n">
        <f aca="false">IF(B512="",0,IF(COUNTIF(B$5:B512,B512)=1,1,0))</f>
        <v>0</v>
      </c>
      <c r="I512" s="16" t="n">
        <f aca="false">SUM(H$5:H512)</f>
        <v>6</v>
      </c>
    </row>
    <row r="513" customFormat="false" ht="15" hidden="false" customHeight="false" outlineLevel="0" collapsed="false">
      <c r="A513" s="12"/>
      <c r="B513" s="13"/>
      <c r="C513" s="13"/>
      <c r="D513" s="14"/>
      <c r="E513" s="15"/>
      <c r="F513" s="16" t="n">
        <f aca="false">IF(C513="",0,IF(COUNTIF(C$5:C513,C513)=1,1,0))</f>
        <v>0</v>
      </c>
      <c r="G513" s="16" t="n">
        <f aca="false">SUM(F$5:F513)</f>
        <v>8</v>
      </c>
      <c r="H513" s="16" t="n">
        <f aca="false">IF(B513="",0,IF(COUNTIF(B$5:B513,B513)=1,1,0))</f>
        <v>0</v>
      </c>
      <c r="I513" s="16" t="n">
        <f aca="false">SUM(H$5:H513)</f>
        <v>6</v>
      </c>
    </row>
    <row r="514" customFormat="false" ht="15" hidden="false" customHeight="false" outlineLevel="0" collapsed="false">
      <c r="A514" s="12"/>
      <c r="B514" s="13"/>
      <c r="C514" s="13"/>
      <c r="D514" s="14"/>
      <c r="E514" s="15"/>
      <c r="F514" s="16" t="n">
        <f aca="false">IF(C514="",0,IF(COUNTIF(C$5:C514,C514)=1,1,0))</f>
        <v>0</v>
      </c>
      <c r="G514" s="16" t="n">
        <f aca="false">SUM(F$5:F514)</f>
        <v>8</v>
      </c>
      <c r="H514" s="16" t="n">
        <f aca="false">IF(B514="",0,IF(COUNTIF(B$5:B514,B514)=1,1,0))</f>
        <v>0</v>
      </c>
      <c r="I514" s="16" t="n">
        <f aca="false">SUM(H$5:H514)</f>
        <v>6</v>
      </c>
    </row>
    <row r="515" customFormat="false" ht="15" hidden="false" customHeight="false" outlineLevel="0" collapsed="false">
      <c r="A515" s="12"/>
      <c r="B515" s="13"/>
      <c r="C515" s="13"/>
      <c r="D515" s="14"/>
      <c r="E515" s="15"/>
      <c r="F515" s="16" t="n">
        <f aca="false">IF(C515="",0,IF(COUNTIF(C$5:C515,C515)=1,1,0))</f>
        <v>0</v>
      </c>
      <c r="G515" s="16" t="n">
        <f aca="false">SUM(F$5:F515)</f>
        <v>8</v>
      </c>
      <c r="H515" s="16" t="n">
        <f aca="false">IF(B515="",0,IF(COUNTIF(B$5:B515,B515)=1,1,0))</f>
        <v>0</v>
      </c>
      <c r="I515" s="16" t="n">
        <f aca="false">SUM(H$5:H515)</f>
        <v>6</v>
      </c>
    </row>
    <row r="516" customFormat="false" ht="15" hidden="false" customHeight="false" outlineLevel="0" collapsed="false">
      <c r="A516" s="12"/>
      <c r="B516" s="13"/>
      <c r="C516" s="13"/>
      <c r="D516" s="14"/>
      <c r="E516" s="15"/>
      <c r="F516" s="16" t="n">
        <f aca="false">IF(C516="",0,IF(COUNTIF(C$5:C516,C516)=1,1,0))</f>
        <v>0</v>
      </c>
      <c r="G516" s="16" t="n">
        <f aca="false">SUM(F$5:F516)</f>
        <v>8</v>
      </c>
      <c r="H516" s="16" t="n">
        <f aca="false">IF(B516="",0,IF(COUNTIF(B$5:B516,B516)=1,1,0))</f>
        <v>0</v>
      </c>
      <c r="I516" s="16" t="n">
        <f aca="false">SUM(H$5:H516)</f>
        <v>6</v>
      </c>
    </row>
    <row r="517" customFormat="false" ht="15" hidden="false" customHeight="false" outlineLevel="0" collapsed="false">
      <c r="A517" s="12"/>
      <c r="B517" s="13"/>
      <c r="C517" s="13"/>
      <c r="D517" s="14"/>
      <c r="E517" s="15"/>
      <c r="F517" s="16" t="n">
        <f aca="false">IF(C517="",0,IF(COUNTIF(C$5:C517,C517)=1,1,0))</f>
        <v>0</v>
      </c>
      <c r="G517" s="16" t="n">
        <f aca="false">SUM(F$5:F517)</f>
        <v>8</v>
      </c>
      <c r="H517" s="16" t="n">
        <f aca="false">IF(B517="",0,IF(COUNTIF(B$5:B517,B517)=1,1,0))</f>
        <v>0</v>
      </c>
      <c r="I517" s="16" t="n">
        <f aca="false">SUM(H$5:H517)</f>
        <v>6</v>
      </c>
    </row>
    <row r="518" customFormat="false" ht="15" hidden="false" customHeight="false" outlineLevel="0" collapsed="false">
      <c r="A518" s="12"/>
      <c r="B518" s="13"/>
      <c r="C518" s="13"/>
      <c r="D518" s="14"/>
      <c r="E518" s="15"/>
      <c r="F518" s="16" t="n">
        <f aca="false">IF(C518="",0,IF(COUNTIF(C$5:C518,C518)=1,1,0))</f>
        <v>0</v>
      </c>
      <c r="G518" s="16" t="n">
        <f aca="false">SUM(F$5:F518)</f>
        <v>8</v>
      </c>
      <c r="H518" s="16" t="n">
        <f aca="false">IF(B518="",0,IF(COUNTIF(B$5:B518,B518)=1,1,0))</f>
        <v>0</v>
      </c>
      <c r="I518" s="16" t="n">
        <f aca="false">SUM(H$5:H518)</f>
        <v>6</v>
      </c>
    </row>
    <row r="519" customFormat="false" ht="15" hidden="false" customHeight="false" outlineLevel="0" collapsed="false">
      <c r="A519" s="12"/>
      <c r="B519" s="13"/>
      <c r="C519" s="13"/>
      <c r="D519" s="14"/>
      <c r="E519" s="15"/>
      <c r="F519" s="16" t="n">
        <f aca="false">IF(C519="",0,IF(COUNTIF(C$5:C519,C519)=1,1,0))</f>
        <v>0</v>
      </c>
      <c r="G519" s="16" t="n">
        <f aca="false">SUM(F$5:F519)</f>
        <v>8</v>
      </c>
      <c r="H519" s="16" t="n">
        <f aca="false">IF(B519="",0,IF(COUNTIF(B$5:B519,B519)=1,1,0))</f>
        <v>0</v>
      </c>
      <c r="I519" s="16" t="n">
        <f aca="false">SUM(H$5:H519)</f>
        <v>6</v>
      </c>
    </row>
    <row r="520" customFormat="false" ht="15" hidden="false" customHeight="false" outlineLevel="0" collapsed="false">
      <c r="A520" s="12"/>
      <c r="B520" s="13"/>
      <c r="C520" s="13"/>
      <c r="D520" s="14"/>
      <c r="E520" s="15"/>
      <c r="F520" s="16" t="n">
        <f aca="false">IF(C520="",0,IF(COUNTIF(C$5:C520,C520)=1,1,0))</f>
        <v>0</v>
      </c>
      <c r="G520" s="16" t="n">
        <f aca="false">SUM(F$5:F520)</f>
        <v>8</v>
      </c>
      <c r="H520" s="16" t="n">
        <f aca="false">IF(B520="",0,IF(COUNTIF(B$5:B520,B520)=1,1,0))</f>
        <v>0</v>
      </c>
      <c r="I520" s="16" t="n">
        <f aca="false">SUM(H$5:H520)</f>
        <v>6</v>
      </c>
    </row>
    <row r="521" customFormat="false" ht="15" hidden="false" customHeight="false" outlineLevel="0" collapsed="false">
      <c r="A521" s="12"/>
      <c r="B521" s="13"/>
      <c r="C521" s="13"/>
      <c r="D521" s="14"/>
      <c r="E521" s="15"/>
      <c r="F521" s="16" t="n">
        <f aca="false">IF(C521="",0,IF(COUNTIF(C$5:C521,C521)=1,1,0))</f>
        <v>0</v>
      </c>
      <c r="G521" s="16" t="n">
        <f aca="false">SUM(F$5:F521)</f>
        <v>8</v>
      </c>
      <c r="H521" s="16" t="n">
        <f aca="false">IF(B521="",0,IF(COUNTIF(B$5:B521,B521)=1,1,0))</f>
        <v>0</v>
      </c>
      <c r="I521" s="16" t="n">
        <f aca="false">SUM(H$5:H521)</f>
        <v>6</v>
      </c>
    </row>
    <row r="522" customFormat="false" ht="15" hidden="false" customHeight="false" outlineLevel="0" collapsed="false">
      <c r="A522" s="12"/>
      <c r="B522" s="13"/>
      <c r="C522" s="13"/>
      <c r="D522" s="14"/>
      <c r="E522" s="15"/>
      <c r="F522" s="16" t="n">
        <f aca="false">IF(C522="",0,IF(COUNTIF(C$5:C522,C522)=1,1,0))</f>
        <v>0</v>
      </c>
      <c r="G522" s="16" t="n">
        <f aca="false">SUM(F$5:F522)</f>
        <v>8</v>
      </c>
      <c r="H522" s="16" t="n">
        <f aca="false">IF(B522="",0,IF(COUNTIF(B$5:B522,B522)=1,1,0))</f>
        <v>0</v>
      </c>
      <c r="I522" s="16" t="n">
        <f aca="false">SUM(H$5:H522)</f>
        <v>6</v>
      </c>
    </row>
    <row r="523" customFormat="false" ht="15" hidden="false" customHeight="false" outlineLevel="0" collapsed="false">
      <c r="A523" s="12"/>
      <c r="B523" s="13"/>
      <c r="C523" s="13"/>
      <c r="D523" s="14"/>
      <c r="E523" s="15"/>
      <c r="F523" s="16" t="n">
        <f aca="false">IF(C523="",0,IF(COUNTIF(C$5:C523,C523)=1,1,0))</f>
        <v>0</v>
      </c>
      <c r="G523" s="16" t="n">
        <f aca="false">SUM(F$5:F523)</f>
        <v>8</v>
      </c>
      <c r="H523" s="16" t="n">
        <f aca="false">IF(B523="",0,IF(COUNTIF(B$5:B523,B523)=1,1,0))</f>
        <v>0</v>
      </c>
      <c r="I523" s="16" t="n">
        <f aca="false">SUM(H$5:H523)</f>
        <v>6</v>
      </c>
    </row>
    <row r="524" customFormat="false" ht="15" hidden="false" customHeight="false" outlineLevel="0" collapsed="false">
      <c r="A524" s="12"/>
      <c r="B524" s="13"/>
      <c r="C524" s="13"/>
      <c r="D524" s="14"/>
      <c r="E524" s="15"/>
      <c r="F524" s="16" t="n">
        <f aca="false">IF(C524="",0,IF(COUNTIF(C$5:C524,C524)=1,1,0))</f>
        <v>0</v>
      </c>
      <c r="G524" s="16" t="n">
        <f aca="false">SUM(F$5:F524)</f>
        <v>8</v>
      </c>
      <c r="H524" s="16" t="n">
        <f aca="false">IF(B524="",0,IF(COUNTIF(B$5:B524,B524)=1,1,0))</f>
        <v>0</v>
      </c>
      <c r="I524" s="16" t="n">
        <f aca="false">SUM(H$5:H524)</f>
        <v>6</v>
      </c>
    </row>
    <row r="525" customFormat="false" ht="15" hidden="false" customHeight="false" outlineLevel="0" collapsed="false">
      <c r="A525" s="12"/>
      <c r="B525" s="13"/>
      <c r="C525" s="13"/>
      <c r="D525" s="14"/>
      <c r="E525" s="15"/>
      <c r="F525" s="16" t="n">
        <f aca="false">IF(C525="",0,IF(COUNTIF(C$5:C525,C525)=1,1,0))</f>
        <v>0</v>
      </c>
      <c r="G525" s="16" t="n">
        <f aca="false">SUM(F$5:F525)</f>
        <v>8</v>
      </c>
      <c r="H525" s="16" t="n">
        <f aca="false">IF(B525="",0,IF(COUNTIF(B$5:B525,B525)=1,1,0))</f>
        <v>0</v>
      </c>
      <c r="I525" s="16" t="n">
        <f aca="false">SUM(H$5:H525)</f>
        <v>6</v>
      </c>
    </row>
    <row r="526" customFormat="false" ht="15" hidden="false" customHeight="false" outlineLevel="0" collapsed="false">
      <c r="A526" s="12"/>
      <c r="B526" s="13"/>
      <c r="C526" s="13"/>
      <c r="D526" s="14"/>
      <c r="E526" s="15"/>
      <c r="F526" s="16" t="n">
        <f aca="false">IF(C526="",0,IF(COUNTIF(C$5:C526,C526)=1,1,0))</f>
        <v>0</v>
      </c>
      <c r="G526" s="16" t="n">
        <f aca="false">SUM(F$5:F526)</f>
        <v>8</v>
      </c>
      <c r="H526" s="16" t="n">
        <f aca="false">IF(B526="",0,IF(COUNTIF(B$5:B526,B526)=1,1,0))</f>
        <v>0</v>
      </c>
      <c r="I526" s="16" t="n">
        <f aca="false">SUM(H$5:H526)</f>
        <v>6</v>
      </c>
    </row>
    <row r="527" customFormat="false" ht="15" hidden="false" customHeight="false" outlineLevel="0" collapsed="false">
      <c r="A527" s="12"/>
      <c r="B527" s="13"/>
      <c r="C527" s="13"/>
      <c r="D527" s="14"/>
      <c r="E527" s="15"/>
      <c r="F527" s="16" t="n">
        <f aca="false">IF(C527="",0,IF(COUNTIF(C$5:C527,C527)=1,1,0))</f>
        <v>0</v>
      </c>
      <c r="G527" s="16" t="n">
        <f aca="false">SUM(F$5:F527)</f>
        <v>8</v>
      </c>
      <c r="H527" s="16" t="n">
        <f aca="false">IF(B527="",0,IF(COUNTIF(B$5:B527,B527)=1,1,0))</f>
        <v>0</v>
      </c>
      <c r="I527" s="16" t="n">
        <f aca="false">SUM(H$5:H527)</f>
        <v>6</v>
      </c>
    </row>
    <row r="528" customFormat="false" ht="15" hidden="false" customHeight="false" outlineLevel="0" collapsed="false">
      <c r="A528" s="12"/>
      <c r="B528" s="13"/>
      <c r="C528" s="13"/>
      <c r="D528" s="14"/>
      <c r="E528" s="15"/>
      <c r="F528" s="16" t="n">
        <f aca="false">IF(C528="",0,IF(COUNTIF(C$5:C528,C528)=1,1,0))</f>
        <v>0</v>
      </c>
      <c r="G528" s="16" t="n">
        <f aca="false">SUM(F$5:F528)</f>
        <v>8</v>
      </c>
      <c r="H528" s="16" t="n">
        <f aca="false">IF(B528="",0,IF(COUNTIF(B$5:B528,B528)=1,1,0))</f>
        <v>0</v>
      </c>
      <c r="I528" s="16" t="n">
        <f aca="false">SUM(H$5:H528)</f>
        <v>6</v>
      </c>
    </row>
    <row r="529" customFormat="false" ht="15" hidden="false" customHeight="false" outlineLevel="0" collapsed="false">
      <c r="A529" s="12"/>
      <c r="B529" s="13"/>
      <c r="C529" s="13"/>
      <c r="D529" s="14"/>
      <c r="E529" s="15"/>
      <c r="F529" s="16" t="n">
        <f aca="false">IF(C529="",0,IF(COUNTIF(C$5:C529,C529)=1,1,0))</f>
        <v>0</v>
      </c>
      <c r="G529" s="16" t="n">
        <f aca="false">SUM(F$5:F529)</f>
        <v>8</v>
      </c>
      <c r="H529" s="16" t="n">
        <f aca="false">IF(B529="",0,IF(COUNTIF(B$5:B529,B529)=1,1,0))</f>
        <v>0</v>
      </c>
      <c r="I529" s="16" t="n">
        <f aca="false">SUM(H$5:H529)</f>
        <v>6</v>
      </c>
    </row>
    <row r="530" customFormat="false" ht="15" hidden="false" customHeight="false" outlineLevel="0" collapsed="false">
      <c r="A530" s="12"/>
      <c r="B530" s="13"/>
      <c r="C530" s="13"/>
      <c r="D530" s="14"/>
      <c r="E530" s="15"/>
      <c r="F530" s="16" t="n">
        <f aca="false">IF(C530="",0,IF(COUNTIF(C$5:C530,C530)=1,1,0))</f>
        <v>0</v>
      </c>
      <c r="G530" s="16" t="n">
        <f aca="false">SUM(F$5:F530)</f>
        <v>8</v>
      </c>
      <c r="H530" s="16" t="n">
        <f aca="false">IF(B530="",0,IF(COUNTIF(B$5:B530,B530)=1,1,0))</f>
        <v>0</v>
      </c>
      <c r="I530" s="16" t="n">
        <f aca="false">SUM(H$5:H530)</f>
        <v>6</v>
      </c>
    </row>
    <row r="531" customFormat="false" ht="15" hidden="false" customHeight="false" outlineLevel="0" collapsed="false">
      <c r="A531" s="12"/>
      <c r="B531" s="13"/>
      <c r="C531" s="13"/>
      <c r="D531" s="14"/>
      <c r="E531" s="15"/>
      <c r="F531" s="16" t="n">
        <f aca="false">IF(C531="",0,IF(COUNTIF(C$5:C531,C531)=1,1,0))</f>
        <v>0</v>
      </c>
      <c r="G531" s="16" t="n">
        <f aca="false">SUM(F$5:F531)</f>
        <v>8</v>
      </c>
      <c r="H531" s="16" t="n">
        <f aca="false">IF(B531="",0,IF(COUNTIF(B$5:B531,B531)=1,1,0))</f>
        <v>0</v>
      </c>
      <c r="I531" s="16" t="n">
        <f aca="false">SUM(H$5:H531)</f>
        <v>6</v>
      </c>
    </row>
    <row r="532" customFormat="false" ht="15" hidden="false" customHeight="false" outlineLevel="0" collapsed="false">
      <c r="A532" s="12"/>
      <c r="B532" s="13"/>
      <c r="C532" s="13"/>
      <c r="D532" s="14"/>
      <c r="E532" s="15"/>
      <c r="F532" s="16" t="n">
        <f aca="false">IF(C532="",0,IF(COUNTIF(C$5:C532,C532)=1,1,0))</f>
        <v>0</v>
      </c>
      <c r="G532" s="16" t="n">
        <f aca="false">SUM(F$5:F532)</f>
        <v>8</v>
      </c>
      <c r="H532" s="16" t="n">
        <f aca="false">IF(B532="",0,IF(COUNTIF(B$5:B532,B532)=1,1,0))</f>
        <v>0</v>
      </c>
      <c r="I532" s="16" t="n">
        <f aca="false">SUM(H$5:H532)</f>
        <v>6</v>
      </c>
    </row>
    <row r="533" customFormat="false" ht="15" hidden="false" customHeight="false" outlineLevel="0" collapsed="false">
      <c r="A533" s="12"/>
      <c r="B533" s="13"/>
      <c r="C533" s="13"/>
      <c r="D533" s="14"/>
      <c r="E533" s="15"/>
      <c r="F533" s="16" t="n">
        <f aca="false">IF(C533="",0,IF(COUNTIF(C$5:C533,C533)=1,1,0))</f>
        <v>0</v>
      </c>
      <c r="G533" s="16" t="n">
        <f aca="false">SUM(F$5:F533)</f>
        <v>8</v>
      </c>
      <c r="H533" s="16" t="n">
        <f aca="false">IF(B533="",0,IF(COUNTIF(B$5:B533,B533)=1,1,0))</f>
        <v>0</v>
      </c>
      <c r="I533" s="16" t="n">
        <f aca="false">SUM(H$5:H533)</f>
        <v>6</v>
      </c>
    </row>
    <row r="534" customFormat="false" ht="15" hidden="false" customHeight="false" outlineLevel="0" collapsed="false">
      <c r="A534" s="12"/>
      <c r="B534" s="13"/>
      <c r="C534" s="13"/>
      <c r="D534" s="14"/>
      <c r="E534" s="15"/>
      <c r="F534" s="16" t="n">
        <f aca="false">IF(C534="",0,IF(COUNTIF(C$5:C534,C534)=1,1,0))</f>
        <v>0</v>
      </c>
      <c r="G534" s="16" t="n">
        <f aca="false">SUM(F$5:F534)</f>
        <v>8</v>
      </c>
      <c r="H534" s="16" t="n">
        <f aca="false">IF(B534="",0,IF(COUNTIF(B$5:B534,B534)=1,1,0))</f>
        <v>0</v>
      </c>
      <c r="I534" s="16" t="n">
        <f aca="false">SUM(H$5:H534)</f>
        <v>6</v>
      </c>
    </row>
    <row r="535" customFormat="false" ht="15" hidden="false" customHeight="false" outlineLevel="0" collapsed="false">
      <c r="A535" s="12"/>
      <c r="B535" s="13"/>
      <c r="C535" s="13"/>
      <c r="D535" s="14"/>
      <c r="E535" s="15"/>
      <c r="F535" s="16" t="n">
        <f aca="false">IF(C535="",0,IF(COUNTIF(C$5:C535,C535)=1,1,0))</f>
        <v>0</v>
      </c>
      <c r="G535" s="16" t="n">
        <f aca="false">SUM(F$5:F535)</f>
        <v>8</v>
      </c>
      <c r="H535" s="16" t="n">
        <f aca="false">IF(B535="",0,IF(COUNTIF(B$5:B535,B535)=1,1,0))</f>
        <v>0</v>
      </c>
      <c r="I535" s="16" t="n">
        <f aca="false">SUM(H$5:H535)</f>
        <v>6</v>
      </c>
    </row>
    <row r="536" customFormat="false" ht="15" hidden="false" customHeight="false" outlineLevel="0" collapsed="false">
      <c r="A536" s="12"/>
      <c r="B536" s="13"/>
      <c r="C536" s="13"/>
      <c r="D536" s="14"/>
      <c r="E536" s="15"/>
      <c r="F536" s="16" t="n">
        <f aca="false">IF(C536="",0,IF(COUNTIF(C$5:C536,C536)=1,1,0))</f>
        <v>0</v>
      </c>
      <c r="G536" s="16" t="n">
        <f aca="false">SUM(F$5:F536)</f>
        <v>8</v>
      </c>
      <c r="H536" s="16" t="n">
        <f aca="false">IF(B536="",0,IF(COUNTIF(B$5:B536,B536)=1,1,0))</f>
        <v>0</v>
      </c>
      <c r="I536" s="16" t="n">
        <f aca="false">SUM(H$5:H536)</f>
        <v>6</v>
      </c>
    </row>
    <row r="537" customFormat="false" ht="15" hidden="false" customHeight="false" outlineLevel="0" collapsed="false">
      <c r="A537" s="12"/>
      <c r="B537" s="13"/>
      <c r="C537" s="13"/>
      <c r="D537" s="14"/>
      <c r="E537" s="15"/>
      <c r="F537" s="16" t="n">
        <f aca="false">IF(C537="",0,IF(COUNTIF(C$5:C537,C537)=1,1,0))</f>
        <v>0</v>
      </c>
      <c r="G537" s="16" t="n">
        <f aca="false">SUM(F$5:F537)</f>
        <v>8</v>
      </c>
      <c r="H537" s="16" t="n">
        <f aca="false">IF(B537="",0,IF(COUNTIF(B$5:B537,B537)=1,1,0))</f>
        <v>0</v>
      </c>
      <c r="I537" s="16" t="n">
        <f aca="false">SUM(H$5:H537)</f>
        <v>6</v>
      </c>
    </row>
    <row r="538" customFormat="false" ht="15" hidden="false" customHeight="false" outlineLevel="0" collapsed="false">
      <c r="A538" s="12"/>
      <c r="B538" s="13"/>
      <c r="C538" s="13"/>
      <c r="D538" s="14"/>
      <c r="E538" s="15"/>
      <c r="F538" s="16" t="n">
        <f aca="false">IF(C538="",0,IF(COUNTIF(C$5:C538,C538)=1,1,0))</f>
        <v>0</v>
      </c>
      <c r="G538" s="16" t="n">
        <f aca="false">SUM(F$5:F538)</f>
        <v>8</v>
      </c>
      <c r="H538" s="16" t="n">
        <f aca="false">IF(B538="",0,IF(COUNTIF(B$5:B538,B538)=1,1,0))</f>
        <v>0</v>
      </c>
      <c r="I538" s="16" t="n">
        <f aca="false">SUM(H$5:H538)</f>
        <v>6</v>
      </c>
    </row>
    <row r="539" customFormat="false" ht="15" hidden="false" customHeight="false" outlineLevel="0" collapsed="false">
      <c r="A539" s="12"/>
      <c r="B539" s="13"/>
      <c r="C539" s="13"/>
      <c r="D539" s="14"/>
      <c r="E539" s="15"/>
      <c r="F539" s="16" t="n">
        <f aca="false">IF(C539="",0,IF(COUNTIF(C$5:C539,C539)=1,1,0))</f>
        <v>0</v>
      </c>
      <c r="G539" s="16" t="n">
        <f aca="false">SUM(F$5:F539)</f>
        <v>8</v>
      </c>
      <c r="H539" s="16" t="n">
        <f aca="false">IF(B539="",0,IF(COUNTIF(B$5:B539,B539)=1,1,0))</f>
        <v>0</v>
      </c>
      <c r="I539" s="16" t="n">
        <f aca="false">SUM(H$5:H539)</f>
        <v>6</v>
      </c>
    </row>
    <row r="540" customFormat="false" ht="15" hidden="false" customHeight="false" outlineLevel="0" collapsed="false">
      <c r="A540" s="12"/>
      <c r="B540" s="13"/>
      <c r="C540" s="13"/>
      <c r="D540" s="14"/>
      <c r="E540" s="15"/>
      <c r="F540" s="16" t="n">
        <f aca="false">IF(C540="",0,IF(COUNTIF(C$5:C540,C540)=1,1,0))</f>
        <v>0</v>
      </c>
      <c r="G540" s="16" t="n">
        <f aca="false">SUM(F$5:F540)</f>
        <v>8</v>
      </c>
      <c r="H540" s="16" t="n">
        <f aca="false">IF(B540="",0,IF(COUNTIF(B$5:B540,B540)=1,1,0))</f>
        <v>0</v>
      </c>
      <c r="I540" s="16" t="n">
        <f aca="false">SUM(H$5:H540)</f>
        <v>6</v>
      </c>
    </row>
    <row r="541" customFormat="false" ht="15" hidden="false" customHeight="false" outlineLevel="0" collapsed="false">
      <c r="A541" s="12"/>
      <c r="B541" s="13"/>
      <c r="C541" s="13"/>
      <c r="D541" s="14"/>
      <c r="E541" s="15"/>
      <c r="F541" s="16" t="n">
        <f aca="false">IF(C541="",0,IF(COUNTIF(C$5:C541,C541)=1,1,0))</f>
        <v>0</v>
      </c>
      <c r="G541" s="16" t="n">
        <f aca="false">SUM(F$5:F541)</f>
        <v>8</v>
      </c>
      <c r="H541" s="16" t="n">
        <f aca="false">IF(B541="",0,IF(COUNTIF(B$5:B541,B541)=1,1,0))</f>
        <v>0</v>
      </c>
      <c r="I541" s="16" t="n">
        <f aca="false">SUM(H$5:H541)</f>
        <v>6</v>
      </c>
    </row>
    <row r="542" customFormat="false" ht="15" hidden="false" customHeight="false" outlineLevel="0" collapsed="false">
      <c r="A542" s="12"/>
      <c r="B542" s="13"/>
      <c r="C542" s="13"/>
      <c r="D542" s="14"/>
      <c r="E542" s="15"/>
      <c r="F542" s="16" t="n">
        <f aca="false">IF(C542="",0,IF(COUNTIF(C$5:C542,C542)=1,1,0))</f>
        <v>0</v>
      </c>
      <c r="G542" s="16" t="n">
        <f aca="false">SUM(F$5:F542)</f>
        <v>8</v>
      </c>
      <c r="H542" s="16" t="n">
        <f aca="false">IF(B542="",0,IF(COUNTIF(B$5:B542,B542)=1,1,0))</f>
        <v>0</v>
      </c>
      <c r="I542" s="16" t="n">
        <f aca="false">SUM(H$5:H542)</f>
        <v>6</v>
      </c>
    </row>
    <row r="543" customFormat="false" ht="15" hidden="false" customHeight="false" outlineLevel="0" collapsed="false">
      <c r="A543" s="12"/>
      <c r="B543" s="13"/>
      <c r="C543" s="13"/>
      <c r="D543" s="14"/>
      <c r="E543" s="15"/>
      <c r="F543" s="16" t="n">
        <f aca="false">IF(C543="",0,IF(COUNTIF(C$5:C543,C543)=1,1,0))</f>
        <v>0</v>
      </c>
      <c r="G543" s="16" t="n">
        <f aca="false">SUM(F$5:F543)</f>
        <v>8</v>
      </c>
      <c r="H543" s="16" t="n">
        <f aca="false">IF(B543="",0,IF(COUNTIF(B$5:B543,B543)=1,1,0))</f>
        <v>0</v>
      </c>
      <c r="I543" s="16" t="n">
        <f aca="false">SUM(H$5:H543)</f>
        <v>6</v>
      </c>
    </row>
    <row r="544" customFormat="false" ht="15" hidden="false" customHeight="false" outlineLevel="0" collapsed="false">
      <c r="A544" s="12"/>
      <c r="B544" s="13"/>
      <c r="C544" s="13"/>
      <c r="D544" s="14"/>
      <c r="E544" s="15"/>
      <c r="F544" s="16" t="n">
        <f aca="false">IF(C544="",0,IF(COUNTIF(C$5:C544,C544)=1,1,0))</f>
        <v>0</v>
      </c>
      <c r="G544" s="16" t="n">
        <f aca="false">SUM(F$5:F544)</f>
        <v>8</v>
      </c>
      <c r="H544" s="16" t="n">
        <f aca="false">IF(B544="",0,IF(COUNTIF(B$5:B544,B544)=1,1,0))</f>
        <v>0</v>
      </c>
      <c r="I544" s="16" t="n">
        <f aca="false">SUM(H$5:H544)</f>
        <v>6</v>
      </c>
    </row>
    <row r="545" customFormat="false" ht="15" hidden="false" customHeight="false" outlineLevel="0" collapsed="false">
      <c r="A545" s="12"/>
      <c r="B545" s="13"/>
      <c r="C545" s="13"/>
      <c r="D545" s="14"/>
      <c r="E545" s="15"/>
      <c r="F545" s="16" t="n">
        <f aca="false">IF(C545="",0,IF(COUNTIF(C$5:C545,C545)=1,1,0))</f>
        <v>0</v>
      </c>
      <c r="G545" s="16" t="n">
        <f aca="false">SUM(F$5:F545)</f>
        <v>8</v>
      </c>
      <c r="H545" s="16" t="n">
        <f aca="false">IF(B545="",0,IF(COUNTIF(B$5:B545,B545)=1,1,0))</f>
        <v>0</v>
      </c>
      <c r="I545" s="16" t="n">
        <f aca="false">SUM(H$5:H545)</f>
        <v>6</v>
      </c>
    </row>
    <row r="546" customFormat="false" ht="15" hidden="false" customHeight="false" outlineLevel="0" collapsed="false">
      <c r="A546" s="12"/>
      <c r="B546" s="13"/>
      <c r="C546" s="13"/>
      <c r="D546" s="14"/>
      <c r="E546" s="15"/>
      <c r="F546" s="16" t="n">
        <f aca="false">IF(C546="",0,IF(COUNTIF(C$5:C546,C546)=1,1,0))</f>
        <v>0</v>
      </c>
      <c r="G546" s="16" t="n">
        <f aca="false">SUM(F$5:F546)</f>
        <v>8</v>
      </c>
      <c r="H546" s="16" t="n">
        <f aca="false">IF(B546="",0,IF(COUNTIF(B$5:B546,B546)=1,1,0))</f>
        <v>0</v>
      </c>
      <c r="I546" s="16" t="n">
        <f aca="false">SUM(H$5:H546)</f>
        <v>6</v>
      </c>
    </row>
    <row r="547" customFormat="false" ht="15" hidden="false" customHeight="false" outlineLevel="0" collapsed="false">
      <c r="A547" s="12"/>
      <c r="B547" s="13"/>
      <c r="C547" s="13"/>
      <c r="D547" s="14"/>
      <c r="E547" s="15"/>
      <c r="F547" s="16" t="n">
        <f aca="false">IF(C547="",0,IF(COUNTIF(C$5:C547,C547)=1,1,0))</f>
        <v>0</v>
      </c>
      <c r="G547" s="16" t="n">
        <f aca="false">SUM(F$5:F547)</f>
        <v>8</v>
      </c>
      <c r="H547" s="16" t="n">
        <f aca="false">IF(B547="",0,IF(COUNTIF(B$5:B547,B547)=1,1,0))</f>
        <v>0</v>
      </c>
      <c r="I547" s="16" t="n">
        <f aca="false">SUM(H$5:H547)</f>
        <v>6</v>
      </c>
    </row>
    <row r="548" customFormat="false" ht="15" hidden="false" customHeight="false" outlineLevel="0" collapsed="false">
      <c r="A548" s="12"/>
      <c r="B548" s="13"/>
      <c r="C548" s="13"/>
      <c r="D548" s="14"/>
      <c r="E548" s="15"/>
      <c r="F548" s="16" t="n">
        <f aca="false">IF(C548="",0,IF(COUNTIF(C$5:C548,C548)=1,1,0))</f>
        <v>0</v>
      </c>
      <c r="G548" s="16" t="n">
        <f aca="false">SUM(F$5:F548)</f>
        <v>8</v>
      </c>
      <c r="H548" s="16" t="n">
        <f aca="false">IF(B548="",0,IF(COUNTIF(B$5:B548,B548)=1,1,0))</f>
        <v>0</v>
      </c>
      <c r="I548" s="16" t="n">
        <f aca="false">SUM(H$5:H548)</f>
        <v>6</v>
      </c>
    </row>
    <row r="549" customFormat="false" ht="15" hidden="false" customHeight="false" outlineLevel="0" collapsed="false">
      <c r="A549" s="12"/>
      <c r="B549" s="13"/>
      <c r="C549" s="13"/>
      <c r="D549" s="14"/>
      <c r="E549" s="15"/>
      <c r="F549" s="16" t="n">
        <f aca="false">IF(C549="",0,IF(COUNTIF(C$5:C549,C549)=1,1,0))</f>
        <v>0</v>
      </c>
      <c r="G549" s="16" t="n">
        <f aca="false">SUM(F$5:F549)</f>
        <v>8</v>
      </c>
      <c r="H549" s="16" t="n">
        <f aca="false">IF(B549="",0,IF(COUNTIF(B$5:B549,B549)=1,1,0))</f>
        <v>0</v>
      </c>
      <c r="I549" s="16" t="n">
        <f aca="false">SUM(H$5:H549)</f>
        <v>6</v>
      </c>
    </row>
    <row r="550" customFormat="false" ht="15" hidden="false" customHeight="false" outlineLevel="0" collapsed="false">
      <c r="A550" s="12"/>
      <c r="B550" s="13"/>
      <c r="C550" s="13"/>
      <c r="D550" s="14"/>
      <c r="E550" s="15"/>
      <c r="F550" s="16" t="n">
        <f aca="false">IF(C550="",0,IF(COUNTIF(C$5:C550,C550)=1,1,0))</f>
        <v>0</v>
      </c>
      <c r="G550" s="16" t="n">
        <f aca="false">SUM(F$5:F550)</f>
        <v>8</v>
      </c>
      <c r="H550" s="16" t="n">
        <f aca="false">IF(B550="",0,IF(COUNTIF(B$5:B550,B550)=1,1,0))</f>
        <v>0</v>
      </c>
      <c r="I550" s="16" t="n">
        <f aca="false">SUM(H$5:H550)</f>
        <v>6</v>
      </c>
    </row>
    <row r="551" customFormat="false" ht="15" hidden="false" customHeight="false" outlineLevel="0" collapsed="false">
      <c r="A551" s="12"/>
      <c r="B551" s="13"/>
      <c r="C551" s="13"/>
      <c r="D551" s="14"/>
      <c r="E551" s="15"/>
      <c r="F551" s="16" t="n">
        <f aca="false">IF(C551="",0,IF(COUNTIF(C$5:C551,C551)=1,1,0))</f>
        <v>0</v>
      </c>
      <c r="G551" s="16" t="n">
        <f aca="false">SUM(F$5:F551)</f>
        <v>8</v>
      </c>
      <c r="H551" s="16" t="n">
        <f aca="false">IF(B551="",0,IF(COUNTIF(B$5:B551,B551)=1,1,0))</f>
        <v>0</v>
      </c>
      <c r="I551" s="16" t="n">
        <f aca="false">SUM(H$5:H551)</f>
        <v>6</v>
      </c>
    </row>
    <row r="552" customFormat="false" ht="15" hidden="false" customHeight="false" outlineLevel="0" collapsed="false">
      <c r="A552" s="12"/>
      <c r="B552" s="13"/>
      <c r="C552" s="13"/>
      <c r="D552" s="14"/>
      <c r="E552" s="15"/>
      <c r="F552" s="16" t="n">
        <f aca="false">IF(C552="",0,IF(COUNTIF(C$5:C552,C552)=1,1,0))</f>
        <v>0</v>
      </c>
      <c r="G552" s="16" t="n">
        <f aca="false">SUM(F$5:F552)</f>
        <v>8</v>
      </c>
      <c r="H552" s="16" t="n">
        <f aca="false">IF(B552="",0,IF(COUNTIF(B$5:B552,B552)=1,1,0))</f>
        <v>0</v>
      </c>
      <c r="I552" s="16" t="n">
        <f aca="false">SUM(H$5:H552)</f>
        <v>6</v>
      </c>
    </row>
    <row r="553" customFormat="false" ht="15" hidden="false" customHeight="false" outlineLevel="0" collapsed="false">
      <c r="A553" s="12"/>
      <c r="B553" s="13"/>
      <c r="C553" s="13"/>
      <c r="D553" s="14"/>
      <c r="E553" s="15"/>
      <c r="F553" s="16" t="n">
        <f aca="false">IF(C553="",0,IF(COUNTIF(C$5:C553,C553)=1,1,0))</f>
        <v>0</v>
      </c>
      <c r="G553" s="16" t="n">
        <f aca="false">SUM(F$5:F553)</f>
        <v>8</v>
      </c>
      <c r="H553" s="16" t="n">
        <f aca="false">IF(B553="",0,IF(COUNTIF(B$5:B553,B553)=1,1,0))</f>
        <v>0</v>
      </c>
      <c r="I553" s="16" t="n">
        <f aca="false">SUM(H$5:H553)</f>
        <v>6</v>
      </c>
    </row>
    <row r="554" customFormat="false" ht="15" hidden="false" customHeight="false" outlineLevel="0" collapsed="false">
      <c r="A554" s="12"/>
      <c r="B554" s="13"/>
      <c r="C554" s="13"/>
      <c r="D554" s="14"/>
      <c r="E554" s="15"/>
      <c r="F554" s="16" t="n">
        <f aca="false">IF(C554="",0,IF(COUNTIF(C$5:C554,C554)=1,1,0))</f>
        <v>0</v>
      </c>
      <c r="G554" s="16" t="n">
        <f aca="false">SUM(F$5:F554)</f>
        <v>8</v>
      </c>
      <c r="H554" s="16" t="n">
        <f aca="false">IF(B554="",0,IF(COUNTIF(B$5:B554,B554)=1,1,0))</f>
        <v>0</v>
      </c>
      <c r="I554" s="16" t="n">
        <f aca="false">SUM(H$5:H554)</f>
        <v>6</v>
      </c>
    </row>
    <row r="555" customFormat="false" ht="15" hidden="false" customHeight="false" outlineLevel="0" collapsed="false">
      <c r="A555" s="12"/>
      <c r="B555" s="13"/>
      <c r="C555" s="13"/>
      <c r="D555" s="14"/>
      <c r="E555" s="15"/>
      <c r="F555" s="16" t="n">
        <f aca="false">IF(C555="",0,IF(COUNTIF(C$5:C555,C555)=1,1,0))</f>
        <v>0</v>
      </c>
      <c r="G555" s="16" t="n">
        <f aca="false">SUM(F$5:F555)</f>
        <v>8</v>
      </c>
      <c r="H555" s="16" t="n">
        <f aca="false">IF(B555="",0,IF(COUNTIF(B$5:B555,B555)=1,1,0))</f>
        <v>0</v>
      </c>
      <c r="I555" s="16" t="n">
        <f aca="false">SUM(H$5:H555)</f>
        <v>6</v>
      </c>
    </row>
    <row r="556" customFormat="false" ht="15" hidden="false" customHeight="false" outlineLevel="0" collapsed="false">
      <c r="A556" s="12"/>
      <c r="B556" s="13"/>
      <c r="C556" s="13"/>
      <c r="D556" s="14"/>
      <c r="E556" s="15"/>
      <c r="F556" s="16" t="n">
        <f aca="false">IF(C556="",0,IF(COUNTIF(C$5:C556,C556)=1,1,0))</f>
        <v>0</v>
      </c>
      <c r="G556" s="16" t="n">
        <f aca="false">SUM(F$5:F556)</f>
        <v>8</v>
      </c>
      <c r="H556" s="16" t="n">
        <f aca="false">IF(B556="",0,IF(COUNTIF(B$5:B556,B556)=1,1,0))</f>
        <v>0</v>
      </c>
      <c r="I556" s="16" t="n">
        <f aca="false">SUM(H$5:H556)</f>
        <v>6</v>
      </c>
    </row>
    <row r="557" customFormat="false" ht="15" hidden="false" customHeight="false" outlineLevel="0" collapsed="false">
      <c r="A557" s="12"/>
      <c r="B557" s="13"/>
      <c r="C557" s="13"/>
      <c r="D557" s="14"/>
      <c r="E557" s="15"/>
      <c r="F557" s="16" t="n">
        <f aca="false">IF(C557="",0,IF(COUNTIF(C$5:C557,C557)=1,1,0))</f>
        <v>0</v>
      </c>
      <c r="G557" s="16" t="n">
        <f aca="false">SUM(F$5:F557)</f>
        <v>8</v>
      </c>
      <c r="H557" s="16" t="n">
        <f aca="false">IF(B557="",0,IF(COUNTIF(B$5:B557,B557)=1,1,0))</f>
        <v>0</v>
      </c>
      <c r="I557" s="16" t="n">
        <f aca="false">SUM(H$5:H557)</f>
        <v>6</v>
      </c>
    </row>
    <row r="558" customFormat="false" ht="15" hidden="false" customHeight="false" outlineLevel="0" collapsed="false">
      <c r="A558" s="12"/>
      <c r="B558" s="13"/>
      <c r="C558" s="13"/>
      <c r="D558" s="14"/>
      <c r="E558" s="15"/>
      <c r="F558" s="16" t="n">
        <f aca="false">IF(C558="",0,IF(COUNTIF(C$5:C558,C558)=1,1,0))</f>
        <v>0</v>
      </c>
      <c r="G558" s="16" t="n">
        <f aca="false">SUM(F$5:F558)</f>
        <v>8</v>
      </c>
      <c r="H558" s="16" t="n">
        <f aca="false">IF(B558="",0,IF(COUNTIF(B$5:B558,B558)=1,1,0))</f>
        <v>0</v>
      </c>
      <c r="I558" s="16" t="n">
        <f aca="false">SUM(H$5:H558)</f>
        <v>6</v>
      </c>
    </row>
    <row r="559" customFormat="false" ht="15" hidden="false" customHeight="false" outlineLevel="0" collapsed="false">
      <c r="A559" s="12"/>
      <c r="B559" s="13"/>
      <c r="C559" s="13"/>
      <c r="D559" s="14"/>
      <c r="E559" s="15"/>
      <c r="F559" s="16" t="n">
        <f aca="false">IF(C559="",0,IF(COUNTIF(C$5:C559,C559)=1,1,0))</f>
        <v>0</v>
      </c>
      <c r="G559" s="16" t="n">
        <f aca="false">SUM(F$5:F559)</f>
        <v>8</v>
      </c>
      <c r="H559" s="16" t="n">
        <f aca="false">IF(B559="",0,IF(COUNTIF(B$5:B559,B559)=1,1,0))</f>
        <v>0</v>
      </c>
      <c r="I559" s="16" t="n">
        <f aca="false">SUM(H$5:H559)</f>
        <v>6</v>
      </c>
    </row>
    <row r="560" customFormat="false" ht="15" hidden="false" customHeight="false" outlineLevel="0" collapsed="false">
      <c r="A560" s="12"/>
      <c r="B560" s="13"/>
      <c r="C560" s="13"/>
      <c r="D560" s="14"/>
      <c r="E560" s="15"/>
      <c r="F560" s="16" t="n">
        <f aca="false">IF(C560="",0,IF(COUNTIF(C$5:C560,C560)=1,1,0))</f>
        <v>0</v>
      </c>
      <c r="G560" s="16" t="n">
        <f aca="false">SUM(F$5:F560)</f>
        <v>8</v>
      </c>
      <c r="H560" s="16" t="n">
        <f aca="false">IF(B560="",0,IF(COUNTIF(B$5:B560,B560)=1,1,0))</f>
        <v>0</v>
      </c>
      <c r="I560" s="16" t="n">
        <f aca="false">SUM(H$5:H560)</f>
        <v>6</v>
      </c>
    </row>
    <row r="561" customFormat="false" ht="15" hidden="false" customHeight="false" outlineLevel="0" collapsed="false">
      <c r="A561" s="12"/>
      <c r="B561" s="13"/>
      <c r="C561" s="13"/>
      <c r="D561" s="14"/>
      <c r="E561" s="15"/>
      <c r="F561" s="16" t="n">
        <f aca="false">IF(C561="",0,IF(COUNTIF(C$5:C561,C561)=1,1,0))</f>
        <v>0</v>
      </c>
      <c r="G561" s="16" t="n">
        <f aca="false">SUM(F$5:F561)</f>
        <v>8</v>
      </c>
      <c r="H561" s="16" t="n">
        <f aca="false">IF(B561="",0,IF(COUNTIF(B$5:B561,B561)=1,1,0))</f>
        <v>0</v>
      </c>
      <c r="I561" s="16" t="n">
        <f aca="false">SUM(H$5:H561)</f>
        <v>6</v>
      </c>
    </row>
    <row r="562" customFormat="false" ht="15" hidden="false" customHeight="false" outlineLevel="0" collapsed="false">
      <c r="A562" s="12"/>
      <c r="B562" s="13"/>
      <c r="C562" s="13"/>
      <c r="D562" s="14"/>
      <c r="E562" s="15"/>
      <c r="F562" s="16" t="n">
        <f aca="false">IF(C562="",0,IF(COUNTIF(C$5:C562,C562)=1,1,0))</f>
        <v>0</v>
      </c>
      <c r="G562" s="16" t="n">
        <f aca="false">SUM(F$5:F562)</f>
        <v>8</v>
      </c>
      <c r="H562" s="16" t="n">
        <f aca="false">IF(B562="",0,IF(COUNTIF(B$5:B562,B562)=1,1,0))</f>
        <v>0</v>
      </c>
      <c r="I562" s="16" t="n">
        <f aca="false">SUM(H$5:H562)</f>
        <v>6</v>
      </c>
    </row>
    <row r="563" customFormat="false" ht="15" hidden="false" customHeight="false" outlineLevel="0" collapsed="false">
      <c r="A563" s="12"/>
      <c r="B563" s="13"/>
      <c r="C563" s="13"/>
      <c r="D563" s="14"/>
      <c r="E563" s="15"/>
      <c r="F563" s="16" t="n">
        <f aca="false">IF(C563="",0,IF(COUNTIF(C$5:C563,C563)=1,1,0))</f>
        <v>0</v>
      </c>
      <c r="G563" s="16" t="n">
        <f aca="false">SUM(F$5:F563)</f>
        <v>8</v>
      </c>
      <c r="H563" s="16" t="n">
        <f aca="false">IF(B563="",0,IF(COUNTIF(B$5:B563,B563)=1,1,0))</f>
        <v>0</v>
      </c>
      <c r="I563" s="16" t="n">
        <f aca="false">SUM(H$5:H563)</f>
        <v>6</v>
      </c>
    </row>
    <row r="564" customFormat="false" ht="15" hidden="false" customHeight="false" outlineLevel="0" collapsed="false">
      <c r="A564" s="12"/>
      <c r="B564" s="13"/>
      <c r="C564" s="13"/>
      <c r="D564" s="14"/>
      <c r="E564" s="15"/>
      <c r="F564" s="16" t="n">
        <f aca="false">IF(C564="",0,IF(COUNTIF(C$5:C564,C564)=1,1,0))</f>
        <v>0</v>
      </c>
      <c r="G564" s="16" t="n">
        <f aca="false">SUM(F$5:F564)</f>
        <v>8</v>
      </c>
      <c r="H564" s="16" t="n">
        <f aca="false">IF(B564="",0,IF(COUNTIF(B$5:B564,B564)=1,1,0))</f>
        <v>0</v>
      </c>
      <c r="I564" s="16" t="n">
        <f aca="false">SUM(H$5:H564)</f>
        <v>6</v>
      </c>
    </row>
    <row r="565" customFormat="false" ht="15" hidden="false" customHeight="false" outlineLevel="0" collapsed="false">
      <c r="A565" s="12"/>
      <c r="B565" s="13"/>
      <c r="C565" s="13"/>
      <c r="D565" s="14"/>
      <c r="E565" s="15"/>
      <c r="F565" s="16" t="n">
        <f aca="false">IF(C565="",0,IF(COUNTIF(C$5:C565,C565)=1,1,0))</f>
        <v>0</v>
      </c>
      <c r="G565" s="16" t="n">
        <f aca="false">SUM(F$5:F565)</f>
        <v>8</v>
      </c>
      <c r="H565" s="16" t="n">
        <f aca="false">IF(B565="",0,IF(COUNTIF(B$5:B565,B565)=1,1,0))</f>
        <v>0</v>
      </c>
      <c r="I565" s="16" t="n">
        <f aca="false">SUM(H$5:H565)</f>
        <v>6</v>
      </c>
    </row>
    <row r="566" customFormat="false" ht="15" hidden="false" customHeight="false" outlineLevel="0" collapsed="false">
      <c r="A566" s="12"/>
      <c r="B566" s="13"/>
      <c r="C566" s="13"/>
      <c r="D566" s="14"/>
      <c r="E566" s="15"/>
      <c r="F566" s="16" t="n">
        <f aca="false">IF(C566="",0,IF(COUNTIF(C$5:C566,C566)=1,1,0))</f>
        <v>0</v>
      </c>
      <c r="G566" s="16" t="n">
        <f aca="false">SUM(F$5:F566)</f>
        <v>8</v>
      </c>
      <c r="H566" s="16" t="n">
        <f aca="false">IF(B566="",0,IF(COUNTIF(B$5:B566,B566)=1,1,0))</f>
        <v>0</v>
      </c>
      <c r="I566" s="16" t="n">
        <f aca="false">SUM(H$5:H566)</f>
        <v>6</v>
      </c>
    </row>
    <row r="567" customFormat="false" ht="15" hidden="false" customHeight="false" outlineLevel="0" collapsed="false">
      <c r="A567" s="12"/>
      <c r="B567" s="13"/>
      <c r="C567" s="13"/>
      <c r="D567" s="14"/>
      <c r="E567" s="15"/>
      <c r="F567" s="16" t="n">
        <f aca="false">IF(C567="",0,IF(COUNTIF(C$5:C567,C567)=1,1,0))</f>
        <v>0</v>
      </c>
      <c r="G567" s="16" t="n">
        <f aca="false">SUM(F$5:F567)</f>
        <v>8</v>
      </c>
      <c r="H567" s="16" t="n">
        <f aca="false">IF(B567="",0,IF(COUNTIF(B$5:B567,B567)=1,1,0))</f>
        <v>0</v>
      </c>
      <c r="I567" s="16" t="n">
        <f aca="false">SUM(H$5:H567)</f>
        <v>6</v>
      </c>
    </row>
    <row r="568" customFormat="false" ht="15" hidden="false" customHeight="false" outlineLevel="0" collapsed="false">
      <c r="A568" s="12"/>
      <c r="B568" s="13"/>
      <c r="C568" s="13"/>
      <c r="D568" s="14"/>
      <c r="E568" s="15"/>
      <c r="F568" s="16" t="n">
        <f aca="false">IF(C568="",0,IF(COUNTIF(C$5:C568,C568)=1,1,0))</f>
        <v>0</v>
      </c>
      <c r="G568" s="16" t="n">
        <f aca="false">SUM(F$5:F568)</f>
        <v>8</v>
      </c>
      <c r="H568" s="16" t="n">
        <f aca="false">IF(B568="",0,IF(COUNTIF(B$5:B568,B568)=1,1,0))</f>
        <v>0</v>
      </c>
      <c r="I568" s="16" t="n">
        <f aca="false">SUM(H$5:H568)</f>
        <v>6</v>
      </c>
    </row>
    <row r="569" customFormat="false" ht="15" hidden="false" customHeight="false" outlineLevel="0" collapsed="false">
      <c r="A569" s="12"/>
      <c r="B569" s="13"/>
      <c r="C569" s="13"/>
      <c r="D569" s="14"/>
      <c r="E569" s="15"/>
      <c r="F569" s="16" t="n">
        <f aca="false">IF(C569="",0,IF(COUNTIF(C$5:C569,C569)=1,1,0))</f>
        <v>0</v>
      </c>
      <c r="G569" s="16" t="n">
        <f aca="false">SUM(F$5:F569)</f>
        <v>8</v>
      </c>
      <c r="H569" s="16" t="n">
        <f aca="false">IF(B569="",0,IF(COUNTIF(B$5:B569,B569)=1,1,0))</f>
        <v>0</v>
      </c>
      <c r="I569" s="16" t="n">
        <f aca="false">SUM(H$5:H569)</f>
        <v>6</v>
      </c>
    </row>
    <row r="570" customFormat="false" ht="15" hidden="false" customHeight="false" outlineLevel="0" collapsed="false">
      <c r="A570" s="12"/>
      <c r="B570" s="13"/>
      <c r="C570" s="13"/>
      <c r="D570" s="14"/>
      <c r="E570" s="15"/>
      <c r="F570" s="16" t="n">
        <f aca="false">IF(C570="",0,IF(COUNTIF(C$5:C570,C570)=1,1,0))</f>
        <v>0</v>
      </c>
      <c r="G570" s="16" t="n">
        <f aca="false">SUM(F$5:F570)</f>
        <v>8</v>
      </c>
      <c r="H570" s="16" t="n">
        <f aca="false">IF(B570="",0,IF(COUNTIF(B$5:B570,B570)=1,1,0))</f>
        <v>0</v>
      </c>
      <c r="I570" s="16" t="n">
        <f aca="false">SUM(H$5:H570)</f>
        <v>6</v>
      </c>
    </row>
    <row r="571" customFormat="false" ht="15" hidden="false" customHeight="false" outlineLevel="0" collapsed="false">
      <c r="A571" s="12"/>
      <c r="B571" s="13"/>
      <c r="C571" s="13"/>
      <c r="D571" s="14"/>
      <c r="E571" s="15"/>
      <c r="F571" s="16" t="n">
        <f aca="false">IF(C571="",0,IF(COUNTIF(C$5:C571,C571)=1,1,0))</f>
        <v>0</v>
      </c>
      <c r="G571" s="16" t="n">
        <f aca="false">SUM(F$5:F571)</f>
        <v>8</v>
      </c>
      <c r="H571" s="16" t="n">
        <f aca="false">IF(B571="",0,IF(COUNTIF(B$5:B571,B571)=1,1,0))</f>
        <v>0</v>
      </c>
      <c r="I571" s="16" t="n">
        <f aca="false">SUM(H$5:H571)</f>
        <v>6</v>
      </c>
    </row>
    <row r="572" customFormat="false" ht="15" hidden="false" customHeight="false" outlineLevel="0" collapsed="false">
      <c r="A572" s="12"/>
      <c r="B572" s="13"/>
      <c r="C572" s="13"/>
      <c r="D572" s="14"/>
      <c r="E572" s="15"/>
      <c r="F572" s="16" t="n">
        <f aca="false">IF(C572="",0,IF(COUNTIF(C$5:C572,C572)=1,1,0))</f>
        <v>0</v>
      </c>
      <c r="G572" s="16" t="n">
        <f aca="false">SUM(F$5:F572)</f>
        <v>8</v>
      </c>
      <c r="H572" s="16" t="n">
        <f aca="false">IF(B572="",0,IF(COUNTIF(B$5:B572,B572)=1,1,0))</f>
        <v>0</v>
      </c>
      <c r="I572" s="16" t="n">
        <f aca="false">SUM(H$5:H572)</f>
        <v>6</v>
      </c>
    </row>
    <row r="573" customFormat="false" ht="15" hidden="false" customHeight="false" outlineLevel="0" collapsed="false">
      <c r="A573" s="12"/>
      <c r="B573" s="13"/>
      <c r="C573" s="13"/>
      <c r="D573" s="14"/>
      <c r="E573" s="15"/>
      <c r="F573" s="16" t="n">
        <f aca="false">IF(C573="",0,IF(COUNTIF(C$5:C573,C573)=1,1,0))</f>
        <v>0</v>
      </c>
      <c r="G573" s="16" t="n">
        <f aca="false">SUM(F$5:F573)</f>
        <v>8</v>
      </c>
      <c r="H573" s="16" t="n">
        <f aca="false">IF(B573="",0,IF(COUNTIF(B$5:B573,B573)=1,1,0))</f>
        <v>0</v>
      </c>
      <c r="I573" s="16" t="n">
        <f aca="false">SUM(H$5:H573)</f>
        <v>6</v>
      </c>
    </row>
    <row r="574" customFormat="false" ht="15" hidden="false" customHeight="false" outlineLevel="0" collapsed="false">
      <c r="A574" s="12"/>
      <c r="B574" s="13"/>
      <c r="C574" s="13"/>
      <c r="D574" s="14"/>
      <c r="E574" s="15"/>
      <c r="F574" s="16" t="n">
        <f aca="false">IF(C574="",0,IF(COUNTIF(C$5:C574,C574)=1,1,0))</f>
        <v>0</v>
      </c>
      <c r="G574" s="16" t="n">
        <f aca="false">SUM(F$5:F574)</f>
        <v>8</v>
      </c>
      <c r="H574" s="16" t="n">
        <f aca="false">IF(B574="",0,IF(COUNTIF(B$5:B574,B574)=1,1,0))</f>
        <v>0</v>
      </c>
      <c r="I574" s="16" t="n">
        <f aca="false">SUM(H$5:H574)</f>
        <v>6</v>
      </c>
    </row>
    <row r="575" customFormat="false" ht="15" hidden="false" customHeight="false" outlineLevel="0" collapsed="false">
      <c r="A575" s="12"/>
      <c r="B575" s="13"/>
      <c r="C575" s="13"/>
      <c r="D575" s="14"/>
      <c r="E575" s="15"/>
      <c r="F575" s="16" t="n">
        <f aca="false">IF(C575="",0,IF(COUNTIF(C$5:C575,C575)=1,1,0))</f>
        <v>0</v>
      </c>
      <c r="G575" s="16" t="n">
        <f aca="false">SUM(F$5:F575)</f>
        <v>8</v>
      </c>
      <c r="H575" s="16" t="n">
        <f aca="false">IF(B575="",0,IF(COUNTIF(B$5:B575,B575)=1,1,0))</f>
        <v>0</v>
      </c>
      <c r="I575" s="16" t="n">
        <f aca="false">SUM(H$5:H575)</f>
        <v>6</v>
      </c>
    </row>
    <row r="576" customFormat="false" ht="15" hidden="false" customHeight="false" outlineLevel="0" collapsed="false">
      <c r="A576" s="12"/>
      <c r="B576" s="13"/>
      <c r="C576" s="13"/>
      <c r="D576" s="14"/>
      <c r="E576" s="15"/>
      <c r="F576" s="16" t="n">
        <f aca="false">IF(C576="",0,IF(COUNTIF(C$5:C576,C576)=1,1,0))</f>
        <v>0</v>
      </c>
      <c r="G576" s="16" t="n">
        <f aca="false">SUM(F$5:F576)</f>
        <v>8</v>
      </c>
      <c r="H576" s="16" t="n">
        <f aca="false">IF(B576="",0,IF(COUNTIF(B$5:B576,B576)=1,1,0))</f>
        <v>0</v>
      </c>
      <c r="I576" s="16" t="n">
        <f aca="false">SUM(H$5:H576)</f>
        <v>6</v>
      </c>
    </row>
    <row r="577" customFormat="false" ht="15" hidden="false" customHeight="false" outlineLevel="0" collapsed="false">
      <c r="A577" s="12"/>
      <c r="B577" s="13"/>
      <c r="C577" s="13"/>
      <c r="D577" s="14"/>
      <c r="E577" s="15"/>
      <c r="F577" s="16" t="n">
        <f aca="false">IF(C577="",0,IF(COUNTIF(C$5:C577,C577)=1,1,0))</f>
        <v>0</v>
      </c>
      <c r="G577" s="16" t="n">
        <f aca="false">SUM(F$5:F577)</f>
        <v>8</v>
      </c>
      <c r="H577" s="16" t="n">
        <f aca="false">IF(B577="",0,IF(COUNTIF(B$5:B577,B577)=1,1,0))</f>
        <v>0</v>
      </c>
      <c r="I577" s="16" t="n">
        <f aca="false">SUM(H$5:H577)</f>
        <v>6</v>
      </c>
    </row>
    <row r="578" customFormat="false" ht="15" hidden="false" customHeight="false" outlineLevel="0" collapsed="false">
      <c r="A578" s="12"/>
      <c r="B578" s="13"/>
      <c r="C578" s="13"/>
      <c r="D578" s="14"/>
      <c r="E578" s="15"/>
      <c r="F578" s="16" t="n">
        <f aca="false">IF(C578="",0,IF(COUNTIF(C$5:C578,C578)=1,1,0))</f>
        <v>0</v>
      </c>
      <c r="G578" s="16" t="n">
        <f aca="false">SUM(F$5:F578)</f>
        <v>8</v>
      </c>
      <c r="H578" s="16" t="n">
        <f aca="false">IF(B578="",0,IF(COUNTIF(B$5:B578,B578)=1,1,0))</f>
        <v>0</v>
      </c>
      <c r="I578" s="16" t="n">
        <f aca="false">SUM(H$5:H578)</f>
        <v>6</v>
      </c>
    </row>
    <row r="579" customFormat="false" ht="15" hidden="false" customHeight="false" outlineLevel="0" collapsed="false">
      <c r="A579" s="12"/>
      <c r="B579" s="13"/>
      <c r="C579" s="13"/>
      <c r="D579" s="14"/>
      <c r="E579" s="15"/>
      <c r="F579" s="16" t="n">
        <f aca="false">IF(C579="",0,IF(COUNTIF(C$5:C579,C579)=1,1,0))</f>
        <v>0</v>
      </c>
      <c r="G579" s="16" t="n">
        <f aca="false">SUM(F$5:F579)</f>
        <v>8</v>
      </c>
      <c r="H579" s="16" t="n">
        <f aca="false">IF(B579="",0,IF(COUNTIF(B$5:B579,B579)=1,1,0))</f>
        <v>0</v>
      </c>
      <c r="I579" s="16" t="n">
        <f aca="false">SUM(H$5:H579)</f>
        <v>6</v>
      </c>
    </row>
    <row r="580" customFormat="false" ht="15" hidden="false" customHeight="false" outlineLevel="0" collapsed="false">
      <c r="A580" s="12"/>
      <c r="B580" s="13"/>
      <c r="C580" s="13"/>
      <c r="D580" s="14"/>
      <c r="E580" s="15"/>
      <c r="F580" s="16" t="n">
        <f aca="false">IF(C580="",0,IF(COUNTIF(C$5:C580,C580)=1,1,0))</f>
        <v>0</v>
      </c>
      <c r="G580" s="16" t="n">
        <f aca="false">SUM(F$5:F580)</f>
        <v>8</v>
      </c>
      <c r="H580" s="16" t="n">
        <f aca="false">IF(B580="",0,IF(COUNTIF(B$5:B580,B580)=1,1,0))</f>
        <v>0</v>
      </c>
      <c r="I580" s="16" t="n">
        <f aca="false">SUM(H$5:H580)</f>
        <v>6</v>
      </c>
    </row>
    <row r="581" customFormat="false" ht="15" hidden="false" customHeight="false" outlineLevel="0" collapsed="false">
      <c r="A581" s="12"/>
      <c r="B581" s="13"/>
      <c r="C581" s="13"/>
      <c r="D581" s="14"/>
      <c r="E581" s="15"/>
      <c r="F581" s="16" t="n">
        <f aca="false">IF(C581="",0,IF(COUNTIF(C$5:C581,C581)=1,1,0))</f>
        <v>0</v>
      </c>
      <c r="G581" s="16" t="n">
        <f aca="false">SUM(F$5:F581)</f>
        <v>8</v>
      </c>
      <c r="H581" s="16" t="n">
        <f aca="false">IF(B581="",0,IF(COUNTIF(B$5:B581,B581)=1,1,0))</f>
        <v>0</v>
      </c>
      <c r="I581" s="16" t="n">
        <f aca="false">SUM(H$5:H581)</f>
        <v>6</v>
      </c>
    </row>
    <row r="582" customFormat="false" ht="15" hidden="false" customHeight="false" outlineLevel="0" collapsed="false">
      <c r="A582" s="12"/>
      <c r="B582" s="13"/>
      <c r="C582" s="13"/>
      <c r="D582" s="14"/>
      <c r="E582" s="15"/>
      <c r="F582" s="16" t="n">
        <f aca="false">IF(C582="",0,IF(COUNTIF(C$5:C582,C582)=1,1,0))</f>
        <v>0</v>
      </c>
      <c r="G582" s="16" t="n">
        <f aca="false">SUM(F$5:F582)</f>
        <v>8</v>
      </c>
      <c r="H582" s="16" t="n">
        <f aca="false">IF(B582="",0,IF(COUNTIF(B$5:B582,B582)=1,1,0))</f>
        <v>0</v>
      </c>
      <c r="I582" s="16" t="n">
        <f aca="false">SUM(H$5:H582)</f>
        <v>6</v>
      </c>
    </row>
    <row r="583" customFormat="false" ht="15" hidden="false" customHeight="false" outlineLevel="0" collapsed="false">
      <c r="A583" s="12"/>
      <c r="B583" s="13"/>
      <c r="C583" s="13"/>
      <c r="D583" s="14"/>
      <c r="E583" s="15"/>
      <c r="F583" s="16" t="n">
        <f aca="false">IF(C583="",0,IF(COUNTIF(C$5:C583,C583)=1,1,0))</f>
        <v>0</v>
      </c>
      <c r="G583" s="16" t="n">
        <f aca="false">SUM(F$5:F583)</f>
        <v>8</v>
      </c>
      <c r="H583" s="16" t="n">
        <f aca="false">IF(B583="",0,IF(COUNTIF(B$5:B583,B583)=1,1,0))</f>
        <v>0</v>
      </c>
      <c r="I583" s="16" t="n">
        <f aca="false">SUM(H$5:H583)</f>
        <v>6</v>
      </c>
    </row>
    <row r="584" customFormat="false" ht="15" hidden="false" customHeight="false" outlineLevel="0" collapsed="false">
      <c r="A584" s="12"/>
      <c r="B584" s="13"/>
      <c r="C584" s="13"/>
      <c r="D584" s="14"/>
      <c r="E584" s="15"/>
      <c r="F584" s="16" t="n">
        <f aca="false">IF(C584="",0,IF(COUNTIF(C$5:C584,C584)=1,1,0))</f>
        <v>0</v>
      </c>
      <c r="G584" s="16" t="n">
        <f aca="false">SUM(F$5:F584)</f>
        <v>8</v>
      </c>
      <c r="H584" s="16" t="n">
        <f aca="false">IF(B584="",0,IF(COUNTIF(B$5:B584,B584)=1,1,0))</f>
        <v>0</v>
      </c>
      <c r="I584" s="16" t="n">
        <f aca="false">SUM(H$5:H584)</f>
        <v>6</v>
      </c>
    </row>
    <row r="585" customFormat="false" ht="15" hidden="false" customHeight="false" outlineLevel="0" collapsed="false">
      <c r="A585" s="12"/>
      <c r="B585" s="13"/>
      <c r="C585" s="13"/>
      <c r="D585" s="14"/>
      <c r="E585" s="15"/>
      <c r="F585" s="16" t="n">
        <f aca="false">IF(C585="",0,IF(COUNTIF(C$5:C585,C585)=1,1,0))</f>
        <v>0</v>
      </c>
      <c r="G585" s="16" t="n">
        <f aca="false">SUM(F$5:F585)</f>
        <v>8</v>
      </c>
      <c r="H585" s="16" t="n">
        <f aca="false">IF(B585="",0,IF(COUNTIF(B$5:B585,B585)=1,1,0))</f>
        <v>0</v>
      </c>
      <c r="I585" s="16" t="n">
        <f aca="false">SUM(H$5:H585)</f>
        <v>6</v>
      </c>
    </row>
    <row r="586" customFormat="false" ht="15" hidden="false" customHeight="false" outlineLevel="0" collapsed="false">
      <c r="A586" s="12"/>
      <c r="B586" s="13"/>
      <c r="C586" s="13"/>
      <c r="D586" s="14"/>
      <c r="E586" s="15"/>
      <c r="F586" s="16" t="n">
        <f aca="false">IF(C586="",0,IF(COUNTIF(C$5:C586,C586)=1,1,0))</f>
        <v>0</v>
      </c>
      <c r="G586" s="16" t="n">
        <f aca="false">SUM(F$5:F586)</f>
        <v>8</v>
      </c>
      <c r="H586" s="16" t="n">
        <f aca="false">IF(B586="",0,IF(COUNTIF(B$5:B586,B586)=1,1,0))</f>
        <v>0</v>
      </c>
      <c r="I586" s="16" t="n">
        <f aca="false">SUM(H$5:H586)</f>
        <v>6</v>
      </c>
    </row>
    <row r="587" customFormat="false" ht="15" hidden="false" customHeight="false" outlineLevel="0" collapsed="false">
      <c r="A587" s="12"/>
      <c r="B587" s="13"/>
      <c r="C587" s="13"/>
      <c r="D587" s="14"/>
      <c r="E587" s="15"/>
      <c r="F587" s="16" t="n">
        <f aca="false">IF(C587="",0,IF(COUNTIF(C$5:C587,C587)=1,1,0))</f>
        <v>0</v>
      </c>
      <c r="G587" s="16" t="n">
        <f aca="false">SUM(F$5:F587)</f>
        <v>8</v>
      </c>
      <c r="H587" s="16" t="n">
        <f aca="false">IF(B587="",0,IF(COUNTIF(B$5:B587,B587)=1,1,0))</f>
        <v>0</v>
      </c>
      <c r="I587" s="16" t="n">
        <f aca="false">SUM(H$5:H587)</f>
        <v>6</v>
      </c>
    </row>
    <row r="588" customFormat="false" ht="15" hidden="false" customHeight="false" outlineLevel="0" collapsed="false">
      <c r="A588" s="12"/>
      <c r="B588" s="13"/>
      <c r="C588" s="13"/>
      <c r="D588" s="14"/>
      <c r="E588" s="15"/>
      <c r="F588" s="16" t="n">
        <f aca="false">IF(C588="",0,IF(COUNTIF(C$5:C588,C588)=1,1,0))</f>
        <v>0</v>
      </c>
      <c r="G588" s="16" t="n">
        <f aca="false">SUM(F$5:F588)</f>
        <v>8</v>
      </c>
      <c r="H588" s="16" t="n">
        <f aca="false">IF(B588="",0,IF(COUNTIF(B$5:B588,B588)=1,1,0))</f>
        <v>0</v>
      </c>
      <c r="I588" s="16" t="n">
        <f aca="false">SUM(H$5:H588)</f>
        <v>6</v>
      </c>
    </row>
    <row r="589" customFormat="false" ht="15" hidden="false" customHeight="false" outlineLevel="0" collapsed="false">
      <c r="A589" s="12"/>
      <c r="B589" s="13"/>
      <c r="C589" s="13"/>
      <c r="D589" s="14"/>
      <c r="E589" s="15"/>
      <c r="F589" s="16" t="n">
        <f aca="false">IF(C589="",0,IF(COUNTIF(C$5:C589,C589)=1,1,0))</f>
        <v>0</v>
      </c>
      <c r="G589" s="16" t="n">
        <f aca="false">SUM(F$5:F589)</f>
        <v>8</v>
      </c>
      <c r="H589" s="16" t="n">
        <f aca="false">IF(B589="",0,IF(COUNTIF(B$5:B589,B589)=1,1,0))</f>
        <v>0</v>
      </c>
      <c r="I589" s="16" t="n">
        <f aca="false">SUM(H$5:H589)</f>
        <v>6</v>
      </c>
    </row>
    <row r="590" customFormat="false" ht="15" hidden="false" customHeight="false" outlineLevel="0" collapsed="false">
      <c r="A590" s="12"/>
      <c r="B590" s="13"/>
      <c r="C590" s="13"/>
      <c r="D590" s="14"/>
      <c r="E590" s="15"/>
      <c r="F590" s="16" t="n">
        <f aca="false">IF(C590="",0,IF(COUNTIF(C$5:C590,C590)=1,1,0))</f>
        <v>0</v>
      </c>
      <c r="G590" s="16" t="n">
        <f aca="false">SUM(F$5:F590)</f>
        <v>8</v>
      </c>
      <c r="H590" s="16" t="n">
        <f aca="false">IF(B590="",0,IF(COUNTIF(B$5:B590,B590)=1,1,0))</f>
        <v>0</v>
      </c>
      <c r="I590" s="16" t="n">
        <f aca="false">SUM(H$5:H590)</f>
        <v>6</v>
      </c>
    </row>
    <row r="591" customFormat="false" ht="15" hidden="false" customHeight="false" outlineLevel="0" collapsed="false">
      <c r="A591" s="12"/>
      <c r="B591" s="13"/>
      <c r="C591" s="13"/>
      <c r="D591" s="14"/>
      <c r="E591" s="15"/>
      <c r="F591" s="16" t="n">
        <f aca="false">IF(C591="",0,IF(COUNTIF(C$5:C591,C591)=1,1,0))</f>
        <v>0</v>
      </c>
      <c r="G591" s="16" t="n">
        <f aca="false">SUM(F$5:F591)</f>
        <v>8</v>
      </c>
      <c r="H591" s="16" t="n">
        <f aca="false">IF(B591="",0,IF(COUNTIF(B$5:B591,B591)=1,1,0))</f>
        <v>0</v>
      </c>
      <c r="I591" s="16" t="n">
        <f aca="false">SUM(H$5:H591)</f>
        <v>6</v>
      </c>
    </row>
    <row r="592" customFormat="false" ht="15" hidden="false" customHeight="false" outlineLevel="0" collapsed="false">
      <c r="A592" s="12"/>
      <c r="B592" s="13"/>
      <c r="C592" s="13"/>
      <c r="D592" s="14"/>
      <c r="E592" s="15"/>
      <c r="F592" s="16" t="n">
        <f aca="false">IF(C592="",0,IF(COUNTIF(C$5:C592,C592)=1,1,0))</f>
        <v>0</v>
      </c>
      <c r="G592" s="16" t="n">
        <f aca="false">SUM(F$5:F592)</f>
        <v>8</v>
      </c>
      <c r="H592" s="16" t="n">
        <f aca="false">IF(B592="",0,IF(COUNTIF(B$5:B592,B592)=1,1,0))</f>
        <v>0</v>
      </c>
      <c r="I592" s="16" t="n">
        <f aca="false">SUM(H$5:H592)</f>
        <v>6</v>
      </c>
    </row>
    <row r="593" customFormat="false" ht="15" hidden="false" customHeight="false" outlineLevel="0" collapsed="false">
      <c r="A593" s="12"/>
      <c r="B593" s="13"/>
      <c r="C593" s="13"/>
      <c r="D593" s="14"/>
      <c r="E593" s="15"/>
      <c r="F593" s="16" t="n">
        <f aca="false">IF(C593="",0,IF(COUNTIF(C$5:C593,C593)=1,1,0))</f>
        <v>0</v>
      </c>
      <c r="G593" s="16" t="n">
        <f aca="false">SUM(F$5:F593)</f>
        <v>8</v>
      </c>
      <c r="H593" s="16" t="n">
        <f aca="false">IF(B593="",0,IF(COUNTIF(B$5:B593,B593)=1,1,0))</f>
        <v>0</v>
      </c>
      <c r="I593" s="16" t="n">
        <f aca="false">SUM(H$5:H593)</f>
        <v>6</v>
      </c>
    </row>
    <row r="594" customFormat="false" ht="15" hidden="false" customHeight="false" outlineLevel="0" collapsed="false">
      <c r="A594" s="12"/>
      <c r="B594" s="13"/>
      <c r="C594" s="13"/>
      <c r="D594" s="14"/>
      <c r="E594" s="15"/>
      <c r="F594" s="16" t="n">
        <f aca="false">IF(C594="",0,IF(COUNTIF(C$5:C594,C594)=1,1,0))</f>
        <v>0</v>
      </c>
      <c r="G594" s="16" t="n">
        <f aca="false">SUM(F$5:F594)</f>
        <v>8</v>
      </c>
      <c r="H594" s="16" t="n">
        <f aca="false">IF(B594="",0,IF(COUNTIF(B$5:B594,B594)=1,1,0))</f>
        <v>0</v>
      </c>
      <c r="I594" s="16" t="n">
        <f aca="false">SUM(H$5:H594)</f>
        <v>6</v>
      </c>
    </row>
    <row r="595" customFormat="false" ht="15" hidden="false" customHeight="false" outlineLevel="0" collapsed="false">
      <c r="A595" s="12"/>
      <c r="B595" s="13"/>
      <c r="C595" s="13"/>
      <c r="D595" s="14"/>
      <c r="E595" s="15"/>
      <c r="F595" s="16" t="n">
        <f aca="false">IF(C595="",0,IF(COUNTIF(C$5:C595,C595)=1,1,0))</f>
        <v>0</v>
      </c>
      <c r="G595" s="16" t="n">
        <f aca="false">SUM(F$5:F595)</f>
        <v>8</v>
      </c>
      <c r="H595" s="16" t="n">
        <f aca="false">IF(B595="",0,IF(COUNTIF(B$5:B595,B595)=1,1,0))</f>
        <v>0</v>
      </c>
      <c r="I595" s="16" t="n">
        <f aca="false">SUM(H$5:H595)</f>
        <v>6</v>
      </c>
    </row>
    <row r="596" customFormat="false" ht="15" hidden="false" customHeight="false" outlineLevel="0" collapsed="false">
      <c r="A596" s="12"/>
      <c r="B596" s="13"/>
      <c r="C596" s="13"/>
      <c r="D596" s="14"/>
      <c r="E596" s="15"/>
      <c r="F596" s="16" t="n">
        <f aca="false">IF(C596="",0,IF(COUNTIF(C$5:C596,C596)=1,1,0))</f>
        <v>0</v>
      </c>
      <c r="G596" s="16" t="n">
        <f aca="false">SUM(F$5:F596)</f>
        <v>8</v>
      </c>
      <c r="H596" s="16" t="n">
        <f aca="false">IF(B596="",0,IF(COUNTIF(B$5:B596,B596)=1,1,0))</f>
        <v>0</v>
      </c>
      <c r="I596" s="16" t="n">
        <f aca="false">SUM(H$5:H596)</f>
        <v>6</v>
      </c>
    </row>
    <row r="597" customFormat="false" ht="15" hidden="false" customHeight="false" outlineLevel="0" collapsed="false">
      <c r="A597" s="12"/>
      <c r="B597" s="13"/>
      <c r="C597" s="13"/>
      <c r="D597" s="14"/>
      <c r="E597" s="15"/>
      <c r="F597" s="16" t="n">
        <f aca="false">IF(C597="",0,IF(COUNTIF(C$5:C597,C597)=1,1,0))</f>
        <v>0</v>
      </c>
      <c r="G597" s="16" t="n">
        <f aca="false">SUM(F$5:F597)</f>
        <v>8</v>
      </c>
      <c r="H597" s="16" t="n">
        <f aca="false">IF(B597="",0,IF(COUNTIF(B$5:B597,B597)=1,1,0))</f>
        <v>0</v>
      </c>
      <c r="I597" s="16" t="n">
        <f aca="false">SUM(H$5:H597)</f>
        <v>6</v>
      </c>
    </row>
    <row r="598" customFormat="false" ht="15" hidden="false" customHeight="false" outlineLevel="0" collapsed="false">
      <c r="A598" s="12"/>
      <c r="B598" s="13"/>
      <c r="C598" s="13"/>
      <c r="D598" s="14"/>
      <c r="E598" s="15"/>
      <c r="F598" s="16" t="n">
        <f aca="false">IF(C598="",0,IF(COUNTIF(C$5:C598,C598)=1,1,0))</f>
        <v>0</v>
      </c>
      <c r="G598" s="16" t="n">
        <f aca="false">SUM(F$5:F598)</f>
        <v>8</v>
      </c>
      <c r="H598" s="16" t="n">
        <f aca="false">IF(B598="",0,IF(COUNTIF(B$5:B598,B598)=1,1,0))</f>
        <v>0</v>
      </c>
      <c r="I598" s="16" t="n">
        <f aca="false">SUM(H$5:H598)</f>
        <v>6</v>
      </c>
    </row>
    <row r="599" customFormat="false" ht="15" hidden="false" customHeight="false" outlineLevel="0" collapsed="false">
      <c r="A599" s="12"/>
      <c r="B599" s="13"/>
      <c r="C599" s="13"/>
      <c r="D599" s="14"/>
      <c r="E599" s="15"/>
      <c r="F599" s="16" t="n">
        <f aca="false">IF(C599="",0,IF(COUNTIF(C$5:C599,C599)=1,1,0))</f>
        <v>0</v>
      </c>
      <c r="G599" s="16" t="n">
        <f aca="false">SUM(F$5:F599)</f>
        <v>8</v>
      </c>
      <c r="H599" s="16" t="n">
        <f aca="false">IF(B599="",0,IF(COUNTIF(B$5:B599,B599)=1,1,0))</f>
        <v>0</v>
      </c>
      <c r="I599" s="16" t="n">
        <f aca="false">SUM(H$5:H599)</f>
        <v>6</v>
      </c>
    </row>
    <row r="600" customFormat="false" ht="15" hidden="false" customHeight="false" outlineLevel="0" collapsed="false">
      <c r="A600" s="12"/>
      <c r="B600" s="13"/>
      <c r="C600" s="13"/>
      <c r="D600" s="14"/>
      <c r="E600" s="15"/>
      <c r="F600" s="16" t="n">
        <f aca="false">IF(C600="",0,IF(COUNTIF(C$5:C600,C600)=1,1,0))</f>
        <v>0</v>
      </c>
      <c r="G600" s="16" t="n">
        <f aca="false">SUM(F$5:F600)</f>
        <v>8</v>
      </c>
      <c r="H600" s="16" t="n">
        <f aca="false">IF(B600="",0,IF(COUNTIF(B$5:B600,B600)=1,1,0))</f>
        <v>0</v>
      </c>
      <c r="I600" s="16" t="n">
        <f aca="false">SUM(H$5:H600)</f>
        <v>6</v>
      </c>
    </row>
    <row r="601" customFormat="false" ht="15" hidden="false" customHeight="false" outlineLevel="0" collapsed="false">
      <c r="A601" s="12"/>
      <c r="B601" s="13"/>
      <c r="C601" s="13"/>
      <c r="D601" s="14"/>
      <c r="E601" s="15"/>
      <c r="F601" s="16" t="n">
        <f aca="false">IF(C601="",0,IF(COUNTIF(C$5:C601,C601)=1,1,0))</f>
        <v>0</v>
      </c>
      <c r="G601" s="16" t="n">
        <f aca="false">SUM(F$5:F601)</f>
        <v>8</v>
      </c>
      <c r="H601" s="16" t="n">
        <f aca="false">IF(B601="",0,IF(COUNTIF(B$5:B601,B601)=1,1,0))</f>
        <v>0</v>
      </c>
      <c r="I601" s="16" t="n">
        <f aca="false">SUM(H$5:H601)</f>
        <v>6</v>
      </c>
    </row>
    <row r="602" customFormat="false" ht="15" hidden="false" customHeight="false" outlineLevel="0" collapsed="false">
      <c r="A602" s="12"/>
      <c r="B602" s="13"/>
      <c r="C602" s="13"/>
      <c r="D602" s="14"/>
      <c r="E602" s="15"/>
      <c r="F602" s="16" t="n">
        <f aca="false">IF(C602="",0,IF(COUNTIF(C$5:C602,C602)=1,1,0))</f>
        <v>0</v>
      </c>
      <c r="G602" s="16" t="n">
        <f aca="false">SUM(F$5:F602)</f>
        <v>8</v>
      </c>
      <c r="H602" s="16" t="n">
        <f aca="false">IF(B602="",0,IF(COUNTIF(B$5:B602,B602)=1,1,0))</f>
        <v>0</v>
      </c>
      <c r="I602" s="16" t="n">
        <f aca="false">SUM(H$5:H602)</f>
        <v>6</v>
      </c>
    </row>
    <row r="603" customFormat="false" ht="15" hidden="false" customHeight="false" outlineLevel="0" collapsed="false">
      <c r="A603" s="12"/>
      <c r="B603" s="13"/>
      <c r="C603" s="13"/>
      <c r="D603" s="14"/>
      <c r="E603" s="15"/>
      <c r="F603" s="16" t="n">
        <f aca="false">IF(C603="",0,IF(COUNTIF(C$5:C603,C603)=1,1,0))</f>
        <v>0</v>
      </c>
      <c r="G603" s="16" t="n">
        <f aca="false">SUM(F$5:F603)</f>
        <v>8</v>
      </c>
      <c r="H603" s="16" t="n">
        <f aca="false">IF(B603="",0,IF(COUNTIF(B$5:B603,B603)=1,1,0))</f>
        <v>0</v>
      </c>
      <c r="I603" s="16" t="n">
        <f aca="false">SUM(H$5:H603)</f>
        <v>6</v>
      </c>
    </row>
    <row r="604" customFormat="false" ht="15" hidden="false" customHeight="false" outlineLevel="0" collapsed="false">
      <c r="A604" s="12"/>
      <c r="B604" s="13"/>
      <c r="C604" s="13"/>
      <c r="D604" s="14"/>
      <c r="E604" s="15"/>
      <c r="F604" s="16" t="n">
        <f aca="false">IF(C604="",0,IF(COUNTIF(C$5:C604,C604)=1,1,0))</f>
        <v>0</v>
      </c>
      <c r="G604" s="16" t="n">
        <f aca="false">SUM(F$5:F604)</f>
        <v>8</v>
      </c>
      <c r="H604" s="16" t="n">
        <f aca="false">IF(B604="",0,IF(COUNTIF(B$5:B604,B604)=1,1,0))</f>
        <v>0</v>
      </c>
      <c r="I604" s="16" t="n">
        <f aca="false">SUM(H$5:H604)</f>
        <v>6</v>
      </c>
    </row>
    <row r="605" customFormat="false" ht="15" hidden="false" customHeight="false" outlineLevel="0" collapsed="false">
      <c r="A605" s="12"/>
      <c r="B605" s="13"/>
      <c r="C605" s="13"/>
      <c r="D605" s="14"/>
      <c r="E605" s="15"/>
      <c r="F605" s="16" t="n">
        <f aca="false">IF(C605="",0,IF(COUNTIF(C$5:C605,C605)=1,1,0))</f>
        <v>0</v>
      </c>
      <c r="G605" s="16" t="n">
        <f aca="false">SUM(F$5:F605)</f>
        <v>8</v>
      </c>
      <c r="H605" s="16" t="n">
        <f aca="false">IF(B605="",0,IF(COUNTIF(B$5:B605,B605)=1,1,0))</f>
        <v>0</v>
      </c>
      <c r="I605" s="16" t="n">
        <f aca="false">SUM(H$5:H605)</f>
        <v>6</v>
      </c>
    </row>
    <row r="606" customFormat="false" ht="15" hidden="false" customHeight="false" outlineLevel="0" collapsed="false">
      <c r="A606" s="12"/>
      <c r="B606" s="13"/>
      <c r="C606" s="13"/>
      <c r="D606" s="14"/>
      <c r="E606" s="15"/>
      <c r="F606" s="16" t="n">
        <f aca="false">IF(C606="",0,IF(COUNTIF(C$5:C606,C606)=1,1,0))</f>
        <v>0</v>
      </c>
      <c r="G606" s="16" t="n">
        <f aca="false">SUM(F$5:F606)</f>
        <v>8</v>
      </c>
      <c r="H606" s="16" t="n">
        <f aca="false">IF(B606="",0,IF(COUNTIF(B$5:B606,B606)=1,1,0))</f>
        <v>0</v>
      </c>
      <c r="I606" s="16" t="n">
        <f aca="false">SUM(H$5:H606)</f>
        <v>6</v>
      </c>
    </row>
    <row r="607" customFormat="false" ht="15" hidden="false" customHeight="false" outlineLevel="0" collapsed="false">
      <c r="A607" s="12"/>
      <c r="B607" s="13"/>
      <c r="C607" s="13"/>
      <c r="D607" s="14"/>
      <c r="E607" s="15"/>
      <c r="F607" s="16" t="n">
        <f aca="false">IF(C607="",0,IF(COUNTIF(C$5:C607,C607)=1,1,0))</f>
        <v>0</v>
      </c>
      <c r="G607" s="16" t="n">
        <f aca="false">SUM(F$5:F607)</f>
        <v>8</v>
      </c>
      <c r="H607" s="16" t="n">
        <f aca="false">IF(B607="",0,IF(COUNTIF(B$5:B607,B607)=1,1,0))</f>
        <v>0</v>
      </c>
      <c r="I607" s="16" t="n">
        <f aca="false">SUM(H$5:H607)</f>
        <v>6</v>
      </c>
    </row>
    <row r="608" customFormat="false" ht="15" hidden="false" customHeight="false" outlineLevel="0" collapsed="false">
      <c r="A608" s="12"/>
      <c r="B608" s="13"/>
      <c r="C608" s="13"/>
      <c r="D608" s="14"/>
      <c r="E608" s="15"/>
      <c r="F608" s="16" t="n">
        <f aca="false">IF(C608="",0,IF(COUNTIF(C$5:C608,C608)=1,1,0))</f>
        <v>0</v>
      </c>
      <c r="G608" s="16" t="n">
        <f aca="false">SUM(F$5:F608)</f>
        <v>8</v>
      </c>
      <c r="H608" s="16" t="n">
        <f aca="false">IF(B608="",0,IF(COUNTIF(B$5:B608,B608)=1,1,0))</f>
        <v>0</v>
      </c>
      <c r="I608" s="16" t="n">
        <f aca="false">SUM(H$5:H608)</f>
        <v>6</v>
      </c>
    </row>
    <row r="609" customFormat="false" ht="15" hidden="false" customHeight="false" outlineLevel="0" collapsed="false">
      <c r="A609" s="12"/>
      <c r="B609" s="13"/>
      <c r="C609" s="13"/>
      <c r="D609" s="14"/>
      <c r="E609" s="15"/>
      <c r="F609" s="16" t="n">
        <f aca="false">IF(C609="",0,IF(COUNTIF(C$5:C609,C609)=1,1,0))</f>
        <v>0</v>
      </c>
      <c r="G609" s="16" t="n">
        <f aca="false">SUM(F$5:F609)</f>
        <v>8</v>
      </c>
      <c r="H609" s="16" t="n">
        <f aca="false">IF(B609="",0,IF(COUNTIF(B$5:B609,B609)=1,1,0))</f>
        <v>0</v>
      </c>
      <c r="I609" s="16" t="n">
        <f aca="false">SUM(H$5:H609)</f>
        <v>6</v>
      </c>
    </row>
    <row r="610" customFormat="false" ht="15" hidden="false" customHeight="false" outlineLevel="0" collapsed="false">
      <c r="A610" s="12"/>
      <c r="B610" s="13"/>
      <c r="C610" s="13"/>
      <c r="D610" s="14"/>
      <c r="E610" s="15"/>
      <c r="F610" s="16" t="n">
        <f aca="false">IF(C610="",0,IF(COUNTIF(C$5:C610,C610)=1,1,0))</f>
        <v>0</v>
      </c>
      <c r="G610" s="16" t="n">
        <f aca="false">SUM(F$5:F610)</f>
        <v>8</v>
      </c>
      <c r="H610" s="16" t="n">
        <f aca="false">IF(B610="",0,IF(COUNTIF(B$5:B610,B610)=1,1,0))</f>
        <v>0</v>
      </c>
      <c r="I610" s="16" t="n">
        <f aca="false">SUM(H$5:H610)</f>
        <v>6</v>
      </c>
    </row>
    <row r="611" customFormat="false" ht="15" hidden="false" customHeight="false" outlineLevel="0" collapsed="false">
      <c r="A611" s="12"/>
      <c r="B611" s="13"/>
      <c r="C611" s="13"/>
      <c r="D611" s="14"/>
      <c r="E611" s="15"/>
      <c r="F611" s="16" t="n">
        <f aca="false">IF(C611="",0,IF(COUNTIF(C$5:C611,C611)=1,1,0))</f>
        <v>0</v>
      </c>
      <c r="G611" s="16" t="n">
        <f aca="false">SUM(F$5:F611)</f>
        <v>8</v>
      </c>
      <c r="H611" s="16" t="n">
        <f aca="false">IF(B611="",0,IF(COUNTIF(B$5:B611,B611)=1,1,0))</f>
        <v>0</v>
      </c>
      <c r="I611" s="16" t="n">
        <f aca="false">SUM(H$5:H611)</f>
        <v>6</v>
      </c>
    </row>
    <row r="612" customFormat="false" ht="15" hidden="false" customHeight="false" outlineLevel="0" collapsed="false">
      <c r="A612" s="12"/>
      <c r="B612" s="13"/>
      <c r="C612" s="13"/>
      <c r="D612" s="14"/>
      <c r="E612" s="15"/>
      <c r="F612" s="16" t="n">
        <f aca="false">IF(C612="",0,IF(COUNTIF(C$5:C612,C612)=1,1,0))</f>
        <v>0</v>
      </c>
      <c r="G612" s="16" t="n">
        <f aca="false">SUM(F$5:F612)</f>
        <v>8</v>
      </c>
      <c r="H612" s="16" t="n">
        <f aca="false">IF(B612="",0,IF(COUNTIF(B$5:B612,B612)=1,1,0))</f>
        <v>0</v>
      </c>
      <c r="I612" s="16" t="n">
        <f aca="false">SUM(H$5:H612)</f>
        <v>6</v>
      </c>
    </row>
    <row r="613" customFormat="false" ht="15" hidden="false" customHeight="false" outlineLevel="0" collapsed="false">
      <c r="A613" s="12"/>
      <c r="B613" s="13"/>
      <c r="C613" s="13"/>
      <c r="D613" s="14"/>
      <c r="E613" s="15"/>
      <c r="F613" s="16" t="n">
        <f aca="false">IF(C613="",0,IF(COUNTIF(C$5:C613,C613)=1,1,0))</f>
        <v>0</v>
      </c>
      <c r="G613" s="16" t="n">
        <f aca="false">SUM(F$5:F613)</f>
        <v>8</v>
      </c>
      <c r="H613" s="16" t="n">
        <f aca="false">IF(B613="",0,IF(COUNTIF(B$5:B613,B613)=1,1,0))</f>
        <v>0</v>
      </c>
      <c r="I613" s="16" t="n">
        <f aca="false">SUM(H$5:H613)</f>
        <v>6</v>
      </c>
    </row>
    <row r="614" customFormat="false" ht="15" hidden="false" customHeight="false" outlineLevel="0" collapsed="false">
      <c r="A614" s="12"/>
      <c r="B614" s="13"/>
      <c r="C614" s="13"/>
      <c r="D614" s="14"/>
      <c r="E614" s="15"/>
      <c r="F614" s="16" t="n">
        <f aca="false">IF(C614="",0,IF(COUNTIF(C$5:C614,C614)=1,1,0))</f>
        <v>0</v>
      </c>
      <c r="G614" s="16" t="n">
        <f aca="false">SUM(F$5:F614)</f>
        <v>8</v>
      </c>
      <c r="H614" s="16" t="n">
        <f aca="false">IF(B614="",0,IF(COUNTIF(B$5:B614,B614)=1,1,0))</f>
        <v>0</v>
      </c>
      <c r="I614" s="16" t="n">
        <f aca="false">SUM(H$5:H614)</f>
        <v>6</v>
      </c>
    </row>
    <row r="615" customFormat="false" ht="15" hidden="false" customHeight="false" outlineLevel="0" collapsed="false">
      <c r="A615" s="12"/>
      <c r="B615" s="13"/>
      <c r="C615" s="13"/>
      <c r="D615" s="14"/>
      <c r="E615" s="15"/>
      <c r="F615" s="16" t="n">
        <f aca="false">IF(C615="",0,IF(COUNTIF(C$5:C615,C615)=1,1,0))</f>
        <v>0</v>
      </c>
      <c r="G615" s="16" t="n">
        <f aca="false">SUM(F$5:F615)</f>
        <v>8</v>
      </c>
      <c r="H615" s="16" t="n">
        <f aca="false">IF(B615="",0,IF(COUNTIF(B$5:B615,B615)=1,1,0))</f>
        <v>0</v>
      </c>
      <c r="I615" s="16" t="n">
        <f aca="false">SUM(H$5:H615)</f>
        <v>6</v>
      </c>
    </row>
    <row r="616" customFormat="false" ht="15" hidden="false" customHeight="false" outlineLevel="0" collapsed="false">
      <c r="A616" s="12"/>
      <c r="B616" s="13"/>
      <c r="C616" s="13"/>
      <c r="D616" s="14"/>
      <c r="E616" s="15"/>
      <c r="F616" s="16" t="n">
        <f aca="false">IF(C616="",0,IF(COUNTIF(C$5:C616,C616)=1,1,0))</f>
        <v>0</v>
      </c>
      <c r="G616" s="16" t="n">
        <f aca="false">SUM(F$5:F616)</f>
        <v>8</v>
      </c>
      <c r="H616" s="16" t="n">
        <f aca="false">IF(B616="",0,IF(COUNTIF(B$5:B616,B616)=1,1,0))</f>
        <v>0</v>
      </c>
      <c r="I616" s="16" t="n">
        <f aca="false">SUM(H$5:H616)</f>
        <v>6</v>
      </c>
    </row>
    <row r="617" customFormat="false" ht="15" hidden="false" customHeight="false" outlineLevel="0" collapsed="false">
      <c r="A617" s="12"/>
      <c r="B617" s="13"/>
      <c r="C617" s="13"/>
      <c r="D617" s="14"/>
      <c r="E617" s="15"/>
      <c r="F617" s="16" t="n">
        <f aca="false">IF(C617="",0,IF(COUNTIF(C$5:C617,C617)=1,1,0))</f>
        <v>0</v>
      </c>
      <c r="G617" s="16" t="n">
        <f aca="false">SUM(F$5:F617)</f>
        <v>8</v>
      </c>
      <c r="H617" s="16" t="n">
        <f aca="false">IF(B617="",0,IF(COUNTIF(B$5:B617,B617)=1,1,0))</f>
        <v>0</v>
      </c>
      <c r="I617" s="16" t="n">
        <f aca="false">SUM(H$5:H617)</f>
        <v>6</v>
      </c>
    </row>
    <row r="618" customFormat="false" ht="15" hidden="false" customHeight="false" outlineLevel="0" collapsed="false">
      <c r="A618" s="12"/>
      <c r="B618" s="13"/>
      <c r="C618" s="13"/>
      <c r="D618" s="14"/>
      <c r="E618" s="15"/>
      <c r="F618" s="16" t="n">
        <f aca="false">IF(C618="",0,IF(COUNTIF(C$5:C618,C618)=1,1,0))</f>
        <v>0</v>
      </c>
      <c r="G618" s="16" t="n">
        <f aca="false">SUM(F$5:F618)</f>
        <v>8</v>
      </c>
      <c r="H618" s="16" t="n">
        <f aca="false">IF(B618="",0,IF(COUNTIF(B$5:B618,B618)=1,1,0))</f>
        <v>0</v>
      </c>
      <c r="I618" s="16" t="n">
        <f aca="false">SUM(H$5:H618)</f>
        <v>6</v>
      </c>
    </row>
    <row r="619" customFormat="false" ht="15" hidden="false" customHeight="false" outlineLevel="0" collapsed="false">
      <c r="A619" s="12"/>
      <c r="B619" s="13"/>
      <c r="C619" s="13"/>
      <c r="D619" s="14"/>
      <c r="E619" s="15"/>
      <c r="F619" s="16" t="n">
        <f aca="false">IF(C619="",0,IF(COUNTIF(C$5:C619,C619)=1,1,0))</f>
        <v>0</v>
      </c>
      <c r="G619" s="16" t="n">
        <f aca="false">SUM(F$5:F619)</f>
        <v>8</v>
      </c>
      <c r="H619" s="16" t="n">
        <f aca="false">IF(B619="",0,IF(COUNTIF(B$5:B619,B619)=1,1,0))</f>
        <v>0</v>
      </c>
      <c r="I619" s="16" t="n">
        <f aca="false">SUM(H$5:H619)</f>
        <v>6</v>
      </c>
    </row>
    <row r="620" customFormat="false" ht="15" hidden="false" customHeight="false" outlineLevel="0" collapsed="false">
      <c r="A620" s="12"/>
      <c r="B620" s="13"/>
      <c r="C620" s="13"/>
      <c r="D620" s="14"/>
      <c r="E620" s="15"/>
      <c r="F620" s="16" t="n">
        <f aca="false">IF(C620="",0,IF(COUNTIF(C$5:C620,C620)=1,1,0))</f>
        <v>0</v>
      </c>
      <c r="G620" s="16" t="n">
        <f aca="false">SUM(F$5:F620)</f>
        <v>8</v>
      </c>
      <c r="H620" s="16" t="n">
        <f aca="false">IF(B620="",0,IF(COUNTIF(B$5:B620,B620)=1,1,0))</f>
        <v>0</v>
      </c>
      <c r="I620" s="16" t="n">
        <f aca="false">SUM(H$5:H620)</f>
        <v>6</v>
      </c>
    </row>
    <row r="621" customFormat="false" ht="15" hidden="false" customHeight="false" outlineLevel="0" collapsed="false">
      <c r="A621" s="12"/>
      <c r="B621" s="13"/>
      <c r="C621" s="13"/>
      <c r="D621" s="14"/>
      <c r="E621" s="15"/>
      <c r="F621" s="16" t="n">
        <f aca="false">IF(C621="",0,IF(COUNTIF(C$5:C621,C621)=1,1,0))</f>
        <v>0</v>
      </c>
      <c r="G621" s="16" t="n">
        <f aca="false">SUM(F$5:F621)</f>
        <v>8</v>
      </c>
      <c r="H621" s="16" t="n">
        <f aca="false">IF(B621="",0,IF(COUNTIF(B$5:B621,B621)=1,1,0))</f>
        <v>0</v>
      </c>
      <c r="I621" s="16" t="n">
        <f aca="false">SUM(H$5:H621)</f>
        <v>6</v>
      </c>
    </row>
    <row r="622" customFormat="false" ht="15" hidden="false" customHeight="false" outlineLevel="0" collapsed="false">
      <c r="A622" s="12"/>
      <c r="B622" s="13"/>
      <c r="C622" s="13"/>
      <c r="D622" s="14"/>
      <c r="E622" s="15"/>
      <c r="F622" s="16" t="n">
        <f aca="false">IF(C622="",0,IF(COUNTIF(C$5:C622,C622)=1,1,0))</f>
        <v>0</v>
      </c>
      <c r="G622" s="16" t="n">
        <f aca="false">SUM(F$5:F622)</f>
        <v>8</v>
      </c>
      <c r="H622" s="16" t="n">
        <f aca="false">IF(B622="",0,IF(COUNTIF(B$5:B622,B622)=1,1,0))</f>
        <v>0</v>
      </c>
      <c r="I622" s="16" t="n">
        <f aca="false">SUM(H$5:H622)</f>
        <v>6</v>
      </c>
    </row>
    <row r="623" customFormat="false" ht="15" hidden="false" customHeight="false" outlineLevel="0" collapsed="false">
      <c r="A623" s="12"/>
      <c r="B623" s="13"/>
      <c r="C623" s="13"/>
      <c r="D623" s="14"/>
      <c r="E623" s="15"/>
      <c r="F623" s="16" t="n">
        <f aca="false">IF(C623="",0,IF(COUNTIF(C$5:C623,C623)=1,1,0))</f>
        <v>0</v>
      </c>
      <c r="G623" s="16" t="n">
        <f aca="false">SUM(F$5:F623)</f>
        <v>8</v>
      </c>
      <c r="H623" s="16" t="n">
        <f aca="false">IF(B623="",0,IF(COUNTIF(B$5:B623,B623)=1,1,0))</f>
        <v>0</v>
      </c>
      <c r="I623" s="16" t="n">
        <f aca="false">SUM(H$5:H623)</f>
        <v>6</v>
      </c>
    </row>
    <row r="624" customFormat="false" ht="15" hidden="false" customHeight="false" outlineLevel="0" collapsed="false">
      <c r="A624" s="12"/>
      <c r="B624" s="13"/>
      <c r="C624" s="13"/>
      <c r="D624" s="14"/>
      <c r="E624" s="15"/>
      <c r="F624" s="16" t="n">
        <f aca="false">IF(C624="",0,IF(COUNTIF(C$5:C624,C624)=1,1,0))</f>
        <v>0</v>
      </c>
      <c r="G624" s="16" t="n">
        <f aca="false">SUM(F$5:F624)</f>
        <v>8</v>
      </c>
      <c r="H624" s="16" t="n">
        <f aca="false">IF(B624="",0,IF(COUNTIF(B$5:B624,B624)=1,1,0))</f>
        <v>0</v>
      </c>
      <c r="I624" s="16" t="n">
        <f aca="false">SUM(H$5:H624)</f>
        <v>6</v>
      </c>
    </row>
    <row r="625" customFormat="false" ht="15" hidden="false" customHeight="false" outlineLevel="0" collapsed="false">
      <c r="A625" s="12"/>
      <c r="B625" s="13"/>
      <c r="C625" s="13"/>
      <c r="D625" s="14"/>
      <c r="E625" s="15"/>
      <c r="F625" s="16" t="n">
        <f aca="false">IF(C625="",0,IF(COUNTIF(C$5:C625,C625)=1,1,0))</f>
        <v>0</v>
      </c>
      <c r="G625" s="16" t="n">
        <f aca="false">SUM(F$5:F625)</f>
        <v>8</v>
      </c>
      <c r="H625" s="16" t="n">
        <f aca="false">IF(B625="",0,IF(COUNTIF(B$5:B625,B625)=1,1,0))</f>
        <v>0</v>
      </c>
      <c r="I625" s="16" t="n">
        <f aca="false">SUM(H$5:H625)</f>
        <v>6</v>
      </c>
    </row>
    <row r="626" customFormat="false" ht="15" hidden="false" customHeight="false" outlineLevel="0" collapsed="false">
      <c r="A626" s="12"/>
      <c r="B626" s="13"/>
      <c r="C626" s="13"/>
      <c r="D626" s="14"/>
      <c r="E626" s="15"/>
      <c r="F626" s="16" t="n">
        <f aca="false">IF(C626="",0,IF(COUNTIF(C$5:C626,C626)=1,1,0))</f>
        <v>0</v>
      </c>
      <c r="G626" s="16" t="n">
        <f aca="false">SUM(F$5:F626)</f>
        <v>8</v>
      </c>
      <c r="H626" s="16" t="n">
        <f aca="false">IF(B626="",0,IF(COUNTIF(B$5:B626,B626)=1,1,0))</f>
        <v>0</v>
      </c>
      <c r="I626" s="16" t="n">
        <f aca="false">SUM(H$5:H626)</f>
        <v>6</v>
      </c>
    </row>
    <row r="627" customFormat="false" ht="15" hidden="false" customHeight="false" outlineLevel="0" collapsed="false">
      <c r="A627" s="12"/>
      <c r="B627" s="13"/>
      <c r="C627" s="13"/>
      <c r="D627" s="14"/>
      <c r="E627" s="15"/>
      <c r="F627" s="16" t="n">
        <f aca="false">IF(C627="",0,IF(COUNTIF(C$5:C627,C627)=1,1,0))</f>
        <v>0</v>
      </c>
      <c r="G627" s="16" t="n">
        <f aca="false">SUM(F$5:F627)</f>
        <v>8</v>
      </c>
      <c r="H627" s="16" t="n">
        <f aca="false">IF(B627="",0,IF(COUNTIF(B$5:B627,B627)=1,1,0))</f>
        <v>0</v>
      </c>
      <c r="I627" s="16" t="n">
        <f aca="false">SUM(H$5:H627)</f>
        <v>6</v>
      </c>
    </row>
    <row r="628" customFormat="false" ht="15" hidden="false" customHeight="false" outlineLevel="0" collapsed="false">
      <c r="A628" s="12"/>
      <c r="B628" s="13"/>
      <c r="C628" s="13"/>
      <c r="D628" s="14"/>
      <c r="E628" s="15"/>
      <c r="F628" s="16" t="n">
        <f aca="false">IF(C628="",0,IF(COUNTIF(C$5:C628,C628)=1,1,0))</f>
        <v>0</v>
      </c>
      <c r="G628" s="16" t="n">
        <f aca="false">SUM(F$5:F628)</f>
        <v>8</v>
      </c>
      <c r="H628" s="16" t="n">
        <f aca="false">IF(B628="",0,IF(COUNTIF(B$5:B628,B628)=1,1,0))</f>
        <v>0</v>
      </c>
      <c r="I628" s="16" t="n">
        <f aca="false">SUM(H$5:H628)</f>
        <v>6</v>
      </c>
    </row>
    <row r="629" customFormat="false" ht="15" hidden="false" customHeight="false" outlineLevel="0" collapsed="false">
      <c r="A629" s="12"/>
      <c r="B629" s="13"/>
      <c r="C629" s="13"/>
      <c r="D629" s="14"/>
      <c r="E629" s="15"/>
      <c r="F629" s="16" t="n">
        <f aca="false">IF(C629="",0,IF(COUNTIF(C$5:C629,C629)=1,1,0))</f>
        <v>0</v>
      </c>
      <c r="G629" s="16" t="n">
        <f aca="false">SUM(F$5:F629)</f>
        <v>8</v>
      </c>
      <c r="H629" s="16" t="n">
        <f aca="false">IF(B629="",0,IF(COUNTIF(B$5:B629,B629)=1,1,0))</f>
        <v>0</v>
      </c>
      <c r="I629" s="16" t="n">
        <f aca="false">SUM(H$5:H629)</f>
        <v>6</v>
      </c>
    </row>
    <row r="630" customFormat="false" ht="15" hidden="false" customHeight="false" outlineLevel="0" collapsed="false">
      <c r="A630" s="12"/>
      <c r="B630" s="13"/>
      <c r="C630" s="13"/>
      <c r="D630" s="14"/>
      <c r="E630" s="15"/>
      <c r="F630" s="16" t="n">
        <f aca="false">IF(C630="",0,IF(COUNTIF(C$5:C630,C630)=1,1,0))</f>
        <v>0</v>
      </c>
      <c r="G630" s="16" t="n">
        <f aca="false">SUM(F$5:F630)</f>
        <v>8</v>
      </c>
      <c r="H630" s="16" t="n">
        <f aca="false">IF(B630="",0,IF(COUNTIF(B$5:B630,B630)=1,1,0))</f>
        <v>0</v>
      </c>
      <c r="I630" s="16" t="n">
        <f aca="false">SUM(H$5:H630)</f>
        <v>6</v>
      </c>
    </row>
    <row r="631" customFormat="false" ht="15" hidden="false" customHeight="false" outlineLevel="0" collapsed="false">
      <c r="A631" s="12"/>
      <c r="B631" s="13"/>
      <c r="C631" s="13"/>
      <c r="D631" s="14"/>
      <c r="E631" s="15"/>
      <c r="F631" s="16" t="n">
        <f aca="false">IF(C631="",0,IF(COUNTIF(C$5:C631,C631)=1,1,0))</f>
        <v>0</v>
      </c>
      <c r="G631" s="16" t="n">
        <f aca="false">SUM(F$5:F631)</f>
        <v>8</v>
      </c>
      <c r="H631" s="16" t="n">
        <f aca="false">IF(B631="",0,IF(COUNTIF(B$5:B631,B631)=1,1,0))</f>
        <v>0</v>
      </c>
      <c r="I631" s="16" t="n">
        <f aca="false">SUM(H$5:H631)</f>
        <v>6</v>
      </c>
    </row>
    <row r="632" customFormat="false" ht="15" hidden="false" customHeight="false" outlineLevel="0" collapsed="false">
      <c r="A632" s="12"/>
      <c r="B632" s="13"/>
      <c r="C632" s="13"/>
      <c r="D632" s="14"/>
      <c r="E632" s="15"/>
      <c r="F632" s="16" t="n">
        <f aca="false">IF(C632="",0,IF(COUNTIF(C$5:C632,C632)=1,1,0))</f>
        <v>0</v>
      </c>
      <c r="G632" s="16" t="n">
        <f aca="false">SUM(F$5:F632)</f>
        <v>8</v>
      </c>
      <c r="H632" s="16" t="n">
        <f aca="false">IF(B632="",0,IF(COUNTIF(B$5:B632,B632)=1,1,0))</f>
        <v>0</v>
      </c>
      <c r="I632" s="16" t="n">
        <f aca="false">SUM(H$5:H632)</f>
        <v>6</v>
      </c>
    </row>
    <row r="633" customFormat="false" ht="15" hidden="false" customHeight="false" outlineLevel="0" collapsed="false">
      <c r="A633" s="12"/>
      <c r="B633" s="13"/>
      <c r="C633" s="13"/>
      <c r="D633" s="14"/>
      <c r="E633" s="15"/>
      <c r="F633" s="16" t="n">
        <f aca="false">IF(C633="",0,IF(COUNTIF(C$5:C633,C633)=1,1,0))</f>
        <v>0</v>
      </c>
      <c r="G633" s="16" t="n">
        <f aca="false">SUM(F$5:F633)</f>
        <v>8</v>
      </c>
      <c r="H633" s="16" t="n">
        <f aca="false">IF(B633="",0,IF(COUNTIF(B$5:B633,B633)=1,1,0))</f>
        <v>0</v>
      </c>
      <c r="I633" s="16" t="n">
        <f aca="false">SUM(H$5:H633)</f>
        <v>6</v>
      </c>
    </row>
    <row r="634" customFormat="false" ht="15" hidden="false" customHeight="false" outlineLevel="0" collapsed="false">
      <c r="A634" s="12"/>
      <c r="B634" s="13"/>
      <c r="C634" s="13"/>
      <c r="D634" s="14"/>
      <c r="E634" s="15"/>
      <c r="F634" s="16" t="n">
        <f aca="false">IF(C634="",0,IF(COUNTIF(C$5:C634,C634)=1,1,0))</f>
        <v>0</v>
      </c>
      <c r="G634" s="16" t="n">
        <f aca="false">SUM(F$5:F634)</f>
        <v>8</v>
      </c>
      <c r="H634" s="16" t="n">
        <f aca="false">IF(B634="",0,IF(COUNTIF(B$5:B634,B634)=1,1,0))</f>
        <v>0</v>
      </c>
      <c r="I634" s="16" t="n">
        <f aca="false">SUM(H$5:H634)</f>
        <v>6</v>
      </c>
    </row>
    <row r="635" customFormat="false" ht="15" hidden="false" customHeight="false" outlineLevel="0" collapsed="false">
      <c r="A635" s="12"/>
      <c r="B635" s="13"/>
      <c r="C635" s="13"/>
      <c r="D635" s="14"/>
      <c r="E635" s="15"/>
      <c r="F635" s="16" t="n">
        <f aca="false">IF(C635="",0,IF(COUNTIF(C$5:C635,C635)=1,1,0))</f>
        <v>0</v>
      </c>
      <c r="G635" s="16" t="n">
        <f aca="false">SUM(F$5:F635)</f>
        <v>8</v>
      </c>
      <c r="H635" s="16" t="n">
        <f aca="false">IF(B635="",0,IF(COUNTIF(B$5:B635,B635)=1,1,0))</f>
        <v>0</v>
      </c>
      <c r="I635" s="16" t="n">
        <f aca="false">SUM(H$5:H635)</f>
        <v>6</v>
      </c>
    </row>
    <row r="636" customFormat="false" ht="15" hidden="false" customHeight="false" outlineLevel="0" collapsed="false">
      <c r="A636" s="12"/>
      <c r="B636" s="13"/>
      <c r="C636" s="13"/>
      <c r="D636" s="14"/>
      <c r="E636" s="15"/>
      <c r="F636" s="16" t="n">
        <f aca="false">IF(C636="",0,IF(COUNTIF(C$5:C636,C636)=1,1,0))</f>
        <v>0</v>
      </c>
      <c r="G636" s="16" t="n">
        <f aca="false">SUM(F$5:F636)</f>
        <v>8</v>
      </c>
      <c r="H636" s="16" t="n">
        <f aca="false">IF(B636="",0,IF(COUNTIF(B$5:B636,B636)=1,1,0))</f>
        <v>0</v>
      </c>
      <c r="I636" s="16" t="n">
        <f aca="false">SUM(H$5:H636)</f>
        <v>6</v>
      </c>
    </row>
    <row r="637" customFormat="false" ht="15" hidden="false" customHeight="false" outlineLevel="0" collapsed="false">
      <c r="A637" s="12"/>
      <c r="B637" s="13"/>
      <c r="C637" s="13"/>
      <c r="D637" s="14"/>
      <c r="E637" s="15"/>
      <c r="F637" s="16" t="n">
        <f aca="false">IF(C637="",0,IF(COUNTIF(C$5:C637,C637)=1,1,0))</f>
        <v>0</v>
      </c>
      <c r="G637" s="16" t="n">
        <f aca="false">SUM(F$5:F637)</f>
        <v>8</v>
      </c>
      <c r="H637" s="16" t="n">
        <f aca="false">IF(B637="",0,IF(COUNTIF(B$5:B637,B637)=1,1,0))</f>
        <v>0</v>
      </c>
      <c r="I637" s="16" t="n">
        <f aca="false">SUM(H$5:H637)</f>
        <v>6</v>
      </c>
    </row>
    <row r="638" customFormat="false" ht="15" hidden="false" customHeight="false" outlineLevel="0" collapsed="false">
      <c r="A638" s="12"/>
      <c r="B638" s="13"/>
      <c r="C638" s="13"/>
      <c r="D638" s="14"/>
      <c r="E638" s="15"/>
      <c r="F638" s="16" t="n">
        <f aca="false">IF(C638="",0,IF(COUNTIF(C$5:C638,C638)=1,1,0))</f>
        <v>0</v>
      </c>
      <c r="G638" s="16" t="n">
        <f aca="false">SUM(F$5:F638)</f>
        <v>8</v>
      </c>
      <c r="H638" s="16" t="n">
        <f aca="false">IF(B638="",0,IF(COUNTIF(B$5:B638,B638)=1,1,0))</f>
        <v>0</v>
      </c>
      <c r="I638" s="16" t="n">
        <f aca="false">SUM(H$5:H638)</f>
        <v>6</v>
      </c>
    </row>
    <row r="639" customFormat="false" ht="15" hidden="false" customHeight="false" outlineLevel="0" collapsed="false">
      <c r="A639" s="12"/>
      <c r="B639" s="13"/>
      <c r="C639" s="13"/>
      <c r="D639" s="14"/>
      <c r="E639" s="15"/>
      <c r="F639" s="16" t="n">
        <f aca="false">IF(C639="",0,IF(COUNTIF(C$5:C639,C639)=1,1,0))</f>
        <v>0</v>
      </c>
      <c r="G639" s="16" t="n">
        <f aca="false">SUM(F$5:F639)</f>
        <v>8</v>
      </c>
      <c r="H639" s="16" t="n">
        <f aca="false">IF(B639="",0,IF(COUNTIF(B$5:B639,B639)=1,1,0))</f>
        <v>0</v>
      </c>
      <c r="I639" s="16" t="n">
        <f aca="false">SUM(H$5:H639)</f>
        <v>6</v>
      </c>
    </row>
    <row r="640" customFormat="false" ht="15" hidden="false" customHeight="false" outlineLevel="0" collapsed="false">
      <c r="A640" s="12"/>
      <c r="B640" s="13"/>
      <c r="C640" s="13"/>
      <c r="D640" s="14"/>
      <c r="E640" s="15"/>
      <c r="F640" s="16" t="n">
        <f aca="false">IF(C640="",0,IF(COUNTIF(C$5:C640,C640)=1,1,0))</f>
        <v>0</v>
      </c>
      <c r="G640" s="16" t="n">
        <f aca="false">SUM(F$5:F640)</f>
        <v>8</v>
      </c>
      <c r="H640" s="16" t="n">
        <f aca="false">IF(B640="",0,IF(COUNTIF(B$5:B640,B640)=1,1,0))</f>
        <v>0</v>
      </c>
      <c r="I640" s="16" t="n">
        <f aca="false">SUM(H$5:H640)</f>
        <v>6</v>
      </c>
    </row>
    <row r="641" customFormat="false" ht="15" hidden="false" customHeight="false" outlineLevel="0" collapsed="false">
      <c r="A641" s="12"/>
      <c r="B641" s="13"/>
      <c r="C641" s="13"/>
      <c r="D641" s="14"/>
      <c r="E641" s="15"/>
      <c r="F641" s="16" t="n">
        <f aca="false">IF(C641="",0,IF(COUNTIF(C$5:C641,C641)=1,1,0))</f>
        <v>0</v>
      </c>
      <c r="G641" s="16" t="n">
        <f aca="false">SUM(F$5:F641)</f>
        <v>8</v>
      </c>
      <c r="H641" s="16" t="n">
        <f aca="false">IF(B641="",0,IF(COUNTIF(B$5:B641,B641)=1,1,0))</f>
        <v>0</v>
      </c>
      <c r="I641" s="16" t="n">
        <f aca="false">SUM(H$5:H641)</f>
        <v>6</v>
      </c>
    </row>
    <row r="642" customFormat="false" ht="15" hidden="false" customHeight="false" outlineLevel="0" collapsed="false">
      <c r="A642" s="12"/>
      <c r="B642" s="13"/>
      <c r="C642" s="13"/>
      <c r="D642" s="14"/>
      <c r="E642" s="15"/>
      <c r="F642" s="16" t="n">
        <f aca="false">IF(C642="",0,IF(COUNTIF(C$5:C642,C642)=1,1,0))</f>
        <v>0</v>
      </c>
      <c r="G642" s="16" t="n">
        <f aca="false">SUM(F$5:F642)</f>
        <v>8</v>
      </c>
      <c r="H642" s="16" t="n">
        <f aca="false">IF(B642="",0,IF(COUNTIF(B$5:B642,B642)=1,1,0))</f>
        <v>0</v>
      </c>
      <c r="I642" s="16" t="n">
        <f aca="false">SUM(H$5:H642)</f>
        <v>6</v>
      </c>
    </row>
    <row r="643" customFormat="false" ht="15" hidden="false" customHeight="false" outlineLevel="0" collapsed="false">
      <c r="A643" s="12"/>
      <c r="B643" s="13"/>
      <c r="C643" s="13"/>
      <c r="D643" s="14"/>
      <c r="E643" s="15"/>
      <c r="F643" s="16" t="n">
        <f aca="false">IF(C643="",0,IF(COUNTIF(C$5:C643,C643)=1,1,0))</f>
        <v>0</v>
      </c>
      <c r="G643" s="16" t="n">
        <f aca="false">SUM(F$5:F643)</f>
        <v>8</v>
      </c>
      <c r="H643" s="16" t="n">
        <f aca="false">IF(B643="",0,IF(COUNTIF(B$5:B643,B643)=1,1,0))</f>
        <v>0</v>
      </c>
      <c r="I643" s="16" t="n">
        <f aca="false">SUM(H$5:H643)</f>
        <v>6</v>
      </c>
    </row>
    <row r="644" customFormat="false" ht="15" hidden="false" customHeight="false" outlineLevel="0" collapsed="false">
      <c r="A644" s="12"/>
      <c r="B644" s="13"/>
      <c r="C644" s="13"/>
      <c r="D644" s="14"/>
      <c r="E644" s="15"/>
      <c r="F644" s="16" t="n">
        <f aca="false">IF(C644="",0,IF(COUNTIF(C$5:C644,C644)=1,1,0))</f>
        <v>0</v>
      </c>
      <c r="G644" s="16" t="n">
        <f aca="false">SUM(F$5:F644)</f>
        <v>8</v>
      </c>
      <c r="H644" s="16" t="n">
        <f aca="false">IF(B644="",0,IF(COUNTIF(B$5:B644,B644)=1,1,0))</f>
        <v>0</v>
      </c>
      <c r="I644" s="16" t="n">
        <f aca="false">SUM(H$5:H644)</f>
        <v>6</v>
      </c>
    </row>
    <row r="645" customFormat="false" ht="15" hidden="false" customHeight="false" outlineLevel="0" collapsed="false">
      <c r="A645" s="12"/>
      <c r="B645" s="13"/>
      <c r="C645" s="13"/>
      <c r="D645" s="14"/>
      <c r="E645" s="15"/>
      <c r="F645" s="16" t="n">
        <f aca="false">IF(C645="",0,IF(COUNTIF(C$5:C645,C645)=1,1,0))</f>
        <v>0</v>
      </c>
      <c r="G645" s="16" t="n">
        <f aca="false">SUM(F$5:F645)</f>
        <v>8</v>
      </c>
      <c r="H645" s="16" t="n">
        <f aca="false">IF(B645="",0,IF(COUNTIF(B$5:B645,B645)=1,1,0))</f>
        <v>0</v>
      </c>
      <c r="I645" s="16" t="n">
        <f aca="false">SUM(H$5:H645)</f>
        <v>6</v>
      </c>
    </row>
    <row r="646" customFormat="false" ht="15" hidden="false" customHeight="false" outlineLevel="0" collapsed="false">
      <c r="A646" s="12"/>
      <c r="B646" s="13"/>
      <c r="C646" s="13"/>
      <c r="D646" s="14"/>
      <c r="E646" s="15"/>
      <c r="F646" s="16" t="n">
        <f aca="false">IF(C646="",0,IF(COUNTIF(C$5:C646,C646)=1,1,0))</f>
        <v>0</v>
      </c>
      <c r="G646" s="16" t="n">
        <f aca="false">SUM(F$5:F646)</f>
        <v>8</v>
      </c>
      <c r="H646" s="16" t="n">
        <f aca="false">IF(B646="",0,IF(COUNTIF(B$5:B646,B646)=1,1,0))</f>
        <v>0</v>
      </c>
      <c r="I646" s="16" t="n">
        <f aca="false">SUM(H$5:H646)</f>
        <v>6</v>
      </c>
    </row>
    <row r="647" customFormat="false" ht="15" hidden="false" customHeight="false" outlineLevel="0" collapsed="false">
      <c r="A647" s="12"/>
      <c r="B647" s="13"/>
      <c r="C647" s="13"/>
      <c r="D647" s="14"/>
      <c r="E647" s="15"/>
      <c r="F647" s="16" t="n">
        <f aca="false">IF(C647="",0,IF(COUNTIF(C$5:C647,C647)=1,1,0))</f>
        <v>0</v>
      </c>
      <c r="G647" s="16" t="n">
        <f aca="false">SUM(F$5:F647)</f>
        <v>8</v>
      </c>
      <c r="H647" s="16" t="n">
        <f aca="false">IF(B647="",0,IF(COUNTIF(B$5:B647,B647)=1,1,0))</f>
        <v>0</v>
      </c>
      <c r="I647" s="16" t="n">
        <f aca="false">SUM(H$5:H647)</f>
        <v>6</v>
      </c>
    </row>
    <row r="648" customFormat="false" ht="15" hidden="false" customHeight="false" outlineLevel="0" collapsed="false">
      <c r="A648" s="12"/>
      <c r="B648" s="13"/>
      <c r="C648" s="13"/>
      <c r="D648" s="14"/>
      <c r="E648" s="15"/>
      <c r="F648" s="16" t="n">
        <f aca="false">IF(C648="",0,IF(COUNTIF(C$5:C648,C648)=1,1,0))</f>
        <v>0</v>
      </c>
      <c r="G648" s="16" t="n">
        <f aca="false">SUM(F$5:F648)</f>
        <v>8</v>
      </c>
      <c r="H648" s="16" t="n">
        <f aca="false">IF(B648="",0,IF(COUNTIF(B$5:B648,B648)=1,1,0))</f>
        <v>0</v>
      </c>
      <c r="I648" s="16" t="n">
        <f aca="false">SUM(H$5:H648)</f>
        <v>6</v>
      </c>
    </row>
    <row r="649" customFormat="false" ht="15" hidden="false" customHeight="false" outlineLevel="0" collapsed="false">
      <c r="A649" s="12"/>
      <c r="B649" s="13"/>
      <c r="C649" s="13"/>
      <c r="D649" s="14"/>
      <c r="E649" s="15"/>
      <c r="F649" s="16" t="n">
        <f aca="false">IF(C649="",0,IF(COUNTIF(C$5:C649,C649)=1,1,0))</f>
        <v>0</v>
      </c>
      <c r="G649" s="16" t="n">
        <f aca="false">SUM(F$5:F649)</f>
        <v>8</v>
      </c>
      <c r="H649" s="16" t="n">
        <f aca="false">IF(B649="",0,IF(COUNTIF(B$5:B649,B649)=1,1,0))</f>
        <v>0</v>
      </c>
      <c r="I649" s="16" t="n">
        <f aca="false">SUM(H$5:H649)</f>
        <v>6</v>
      </c>
    </row>
    <row r="650" customFormat="false" ht="15" hidden="false" customHeight="false" outlineLevel="0" collapsed="false">
      <c r="A650" s="12"/>
      <c r="B650" s="13"/>
      <c r="C650" s="13"/>
      <c r="D650" s="14"/>
      <c r="E650" s="15"/>
      <c r="F650" s="16" t="n">
        <f aca="false">IF(C650="",0,IF(COUNTIF(C$5:C650,C650)=1,1,0))</f>
        <v>0</v>
      </c>
      <c r="G650" s="16" t="n">
        <f aca="false">SUM(F$5:F650)</f>
        <v>8</v>
      </c>
      <c r="H650" s="16" t="n">
        <f aca="false">IF(B650="",0,IF(COUNTIF(B$5:B650,B650)=1,1,0))</f>
        <v>0</v>
      </c>
      <c r="I650" s="16" t="n">
        <f aca="false">SUM(H$5:H650)</f>
        <v>6</v>
      </c>
    </row>
    <row r="651" customFormat="false" ht="15" hidden="false" customHeight="false" outlineLevel="0" collapsed="false">
      <c r="A651" s="12"/>
      <c r="B651" s="13"/>
      <c r="C651" s="13"/>
      <c r="D651" s="14"/>
      <c r="E651" s="15"/>
      <c r="F651" s="16" t="n">
        <f aca="false">IF(C651="",0,IF(COUNTIF(C$5:C651,C651)=1,1,0))</f>
        <v>0</v>
      </c>
      <c r="G651" s="16" t="n">
        <f aca="false">SUM(F$5:F651)</f>
        <v>8</v>
      </c>
      <c r="H651" s="16" t="n">
        <f aca="false">IF(B651="",0,IF(COUNTIF(B$5:B651,B651)=1,1,0))</f>
        <v>0</v>
      </c>
      <c r="I651" s="16" t="n">
        <f aca="false">SUM(H$5:H651)</f>
        <v>6</v>
      </c>
    </row>
    <row r="652" customFormat="false" ht="15" hidden="false" customHeight="false" outlineLevel="0" collapsed="false">
      <c r="A652" s="12"/>
      <c r="B652" s="13"/>
      <c r="C652" s="13"/>
      <c r="D652" s="14"/>
      <c r="E652" s="15"/>
      <c r="F652" s="16" t="n">
        <f aca="false">IF(C652="",0,IF(COUNTIF(C$5:C652,C652)=1,1,0))</f>
        <v>0</v>
      </c>
      <c r="G652" s="16" t="n">
        <f aca="false">SUM(F$5:F652)</f>
        <v>8</v>
      </c>
      <c r="H652" s="16" t="n">
        <f aca="false">IF(B652="",0,IF(COUNTIF(B$5:B652,B652)=1,1,0))</f>
        <v>0</v>
      </c>
      <c r="I652" s="16" t="n">
        <f aca="false">SUM(H$5:H652)</f>
        <v>6</v>
      </c>
    </row>
    <row r="653" customFormat="false" ht="15" hidden="false" customHeight="false" outlineLevel="0" collapsed="false">
      <c r="A653" s="12"/>
      <c r="B653" s="13"/>
      <c r="C653" s="13"/>
      <c r="D653" s="14"/>
      <c r="E653" s="15"/>
      <c r="F653" s="16" t="n">
        <f aca="false">IF(C653="",0,IF(COUNTIF(C$5:C653,C653)=1,1,0))</f>
        <v>0</v>
      </c>
      <c r="G653" s="16" t="n">
        <f aca="false">SUM(F$5:F653)</f>
        <v>8</v>
      </c>
      <c r="H653" s="16" t="n">
        <f aca="false">IF(B653="",0,IF(COUNTIF(B$5:B653,B653)=1,1,0))</f>
        <v>0</v>
      </c>
      <c r="I653" s="16" t="n">
        <f aca="false">SUM(H$5:H653)</f>
        <v>6</v>
      </c>
    </row>
    <row r="654" customFormat="false" ht="15" hidden="false" customHeight="false" outlineLevel="0" collapsed="false">
      <c r="A654" s="12"/>
      <c r="B654" s="13"/>
      <c r="C654" s="13"/>
      <c r="D654" s="14"/>
      <c r="E654" s="15"/>
      <c r="F654" s="16" t="n">
        <f aca="false">IF(C654="",0,IF(COUNTIF(C$5:C654,C654)=1,1,0))</f>
        <v>0</v>
      </c>
      <c r="G654" s="16" t="n">
        <f aca="false">SUM(F$5:F654)</f>
        <v>8</v>
      </c>
      <c r="H654" s="16" t="n">
        <f aca="false">IF(B654="",0,IF(COUNTIF(B$5:B654,B654)=1,1,0))</f>
        <v>0</v>
      </c>
      <c r="I654" s="16" t="n">
        <f aca="false">SUM(H$5:H654)</f>
        <v>6</v>
      </c>
    </row>
    <row r="655" customFormat="false" ht="15" hidden="false" customHeight="false" outlineLevel="0" collapsed="false">
      <c r="A655" s="12"/>
      <c r="B655" s="13"/>
      <c r="C655" s="13"/>
      <c r="D655" s="14"/>
      <c r="E655" s="15"/>
      <c r="F655" s="16" t="n">
        <f aca="false">IF(C655="",0,IF(COUNTIF(C$5:C655,C655)=1,1,0))</f>
        <v>0</v>
      </c>
      <c r="G655" s="16" t="n">
        <f aca="false">SUM(F$5:F655)</f>
        <v>8</v>
      </c>
      <c r="H655" s="16" t="n">
        <f aca="false">IF(B655="",0,IF(COUNTIF(B$5:B655,B655)=1,1,0))</f>
        <v>0</v>
      </c>
      <c r="I655" s="16" t="n">
        <f aca="false">SUM(H$5:H655)</f>
        <v>6</v>
      </c>
    </row>
    <row r="656" customFormat="false" ht="15" hidden="false" customHeight="false" outlineLevel="0" collapsed="false">
      <c r="A656" s="12"/>
      <c r="B656" s="13"/>
      <c r="C656" s="13"/>
      <c r="D656" s="14"/>
      <c r="E656" s="15"/>
      <c r="F656" s="16" t="n">
        <f aca="false">IF(C656="",0,IF(COUNTIF(C$5:C656,C656)=1,1,0))</f>
        <v>0</v>
      </c>
      <c r="G656" s="16" t="n">
        <f aca="false">SUM(F$5:F656)</f>
        <v>8</v>
      </c>
      <c r="H656" s="16" t="n">
        <f aca="false">IF(B656="",0,IF(COUNTIF(B$5:B656,B656)=1,1,0))</f>
        <v>0</v>
      </c>
      <c r="I656" s="16" t="n">
        <f aca="false">SUM(H$5:H656)</f>
        <v>6</v>
      </c>
    </row>
    <row r="657" customFormat="false" ht="15" hidden="false" customHeight="false" outlineLevel="0" collapsed="false">
      <c r="A657" s="12"/>
      <c r="B657" s="13"/>
      <c r="C657" s="13"/>
      <c r="D657" s="14"/>
      <c r="E657" s="15"/>
      <c r="F657" s="16" t="n">
        <f aca="false">IF(C657="",0,IF(COUNTIF(C$5:C657,C657)=1,1,0))</f>
        <v>0</v>
      </c>
      <c r="G657" s="16" t="n">
        <f aca="false">SUM(F$5:F657)</f>
        <v>8</v>
      </c>
      <c r="H657" s="16" t="n">
        <f aca="false">IF(B657="",0,IF(COUNTIF(B$5:B657,B657)=1,1,0))</f>
        <v>0</v>
      </c>
      <c r="I657" s="16" t="n">
        <f aca="false">SUM(H$5:H657)</f>
        <v>6</v>
      </c>
    </row>
    <row r="658" customFormat="false" ht="15" hidden="false" customHeight="false" outlineLevel="0" collapsed="false">
      <c r="A658" s="12"/>
      <c r="B658" s="13"/>
      <c r="C658" s="13"/>
      <c r="D658" s="14"/>
      <c r="E658" s="15"/>
      <c r="F658" s="16" t="n">
        <f aca="false">IF(C658="",0,IF(COUNTIF(C$5:C658,C658)=1,1,0))</f>
        <v>0</v>
      </c>
      <c r="G658" s="16" t="n">
        <f aca="false">SUM(F$5:F658)</f>
        <v>8</v>
      </c>
      <c r="H658" s="16" t="n">
        <f aca="false">IF(B658="",0,IF(COUNTIF(B$5:B658,B658)=1,1,0))</f>
        <v>0</v>
      </c>
      <c r="I658" s="16" t="n">
        <f aca="false">SUM(H$5:H658)</f>
        <v>6</v>
      </c>
    </row>
    <row r="659" customFormat="false" ht="15" hidden="false" customHeight="false" outlineLevel="0" collapsed="false">
      <c r="A659" s="12"/>
      <c r="B659" s="13"/>
      <c r="C659" s="13"/>
      <c r="D659" s="14"/>
      <c r="E659" s="15"/>
      <c r="F659" s="16" t="n">
        <f aca="false">IF(C659="",0,IF(COUNTIF(C$5:C659,C659)=1,1,0))</f>
        <v>0</v>
      </c>
      <c r="G659" s="16" t="n">
        <f aca="false">SUM(F$5:F659)</f>
        <v>8</v>
      </c>
      <c r="H659" s="16" t="n">
        <f aca="false">IF(B659="",0,IF(COUNTIF(B$5:B659,B659)=1,1,0))</f>
        <v>0</v>
      </c>
      <c r="I659" s="16" t="n">
        <f aca="false">SUM(H$5:H659)</f>
        <v>6</v>
      </c>
    </row>
    <row r="660" customFormat="false" ht="15" hidden="false" customHeight="false" outlineLevel="0" collapsed="false">
      <c r="A660" s="12"/>
      <c r="B660" s="13"/>
      <c r="C660" s="13"/>
      <c r="D660" s="14"/>
      <c r="E660" s="15"/>
      <c r="F660" s="16" t="n">
        <f aca="false">IF(C660="",0,IF(COUNTIF(C$5:C660,C660)=1,1,0))</f>
        <v>0</v>
      </c>
      <c r="G660" s="16" t="n">
        <f aca="false">SUM(F$5:F660)</f>
        <v>8</v>
      </c>
      <c r="H660" s="16" t="n">
        <f aca="false">IF(B660="",0,IF(COUNTIF(B$5:B660,B660)=1,1,0))</f>
        <v>0</v>
      </c>
      <c r="I660" s="16" t="n">
        <f aca="false">SUM(H$5:H660)</f>
        <v>6</v>
      </c>
    </row>
    <row r="661" customFormat="false" ht="15" hidden="false" customHeight="false" outlineLevel="0" collapsed="false">
      <c r="A661" s="12"/>
      <c r="B661" s="13"/>
      <c r="C661" s="13"/>
      <c r="D661" s="14"/>
      <c r="E661" s="15"/>
      <c r="F661" s="16" t="n">
        <f aca="false">IF(C661="",0,IF(COUNTIF(C$5:C661,C661)=1,1,0))</f>
        <v>0</v>
      </c>
      <c r="G661" s="16" t="n">
        <f aca="false">SUM(F$5:F661)</f>
        <v>8</v>
      </c>
      <c r="H661" s="16" t="n">
        <f aca="false">IF(B661="",0,IF(COUNTIF(B$5:B661,B661)=1,1,0))</f>
        <v>0</v>
      </c>
      <c r="I661" s="16" t="n">
        <f aca="false">SUM(H$5:H661)</f>
        <v>6</v>
      </c>
    </row>
    <row r="662" customFormat="false" ht="15" hidden="false" customHeight="false" outlineLevel="0" collapsed="false">
      <c r="A662" s="12"/>
      <c r="B662" s="13"/>
      <c r="C662" s="13"/>
      <c r="D662" s="14"/>
      <c r="E662" s="15"/>
      <c r="F662" s="16" t="n">
        <f aca="false">IF(C662="",0,IF(COUNTIF(C$5:C662,C662)=1,1,0))</f>
        <v>0</v>
      </c>
      <c r="G662" s="16" t="n">
        <f aca="false">SUM(F$5:F662)</f>
        <v>8</v>
      </c>
      <c r="H662" s="16" t="n">
        <f aca="false">IF(B662="",0,IF(COUNTIF(B$5:B662,B662)=1,1,0))</f>
        <v>0</v>
      </c>
      <c r="I662" s="16" t="n">
        <f aca="false">SUM(H$5:H662)</f>
        <v>6</v>
      </c>
    </row>
    <row r="663" customFormat="false" ht="15" hidden="false" customHeight="false" outlineLevel="0" collapsed="false">
      <c r="A663" s="12"/>
      <c r="B663" s="13"/>
      <c r="C663" s="13"/>
      <c r="D663" s="14"/>
      <c r="E663" s="15"/>
      <c r="F663" s="16" t="n">
        <f aca="false">IF(C663="",0,IF(COUNTIF(C$5:C663,C663)=1,1,0))</f>
        <v>0</v>
      </c>
      <c r="G663" s="16" t="n">
        <f aca="false">SUM(F$5:F663)</f>
        <v>8</v>
      </c>
      <c r="H663" s="16" t="n">
        <f aca="false">IF(B663="",0,IF(COUNTIF(B$5:B663,B663)=1,1,0))</f>
        <v>0</v>
      </c>
      <c r="I663" s="16" t="n">
        <f aca="false">SUM(H$5:H663)</f>
        <v>6</v>
      </c>
    </row>
    <row r="664" customFormat="false" ht="15" hidden="false" customHeight="false" outlineLevel="0" collapsed="false">
      <c r="A664" s="12"/>
      <c r="B664" s="13"/>
      <c r="C664" s="13"/>
      <c r="D664" s="14"/>
      <c r="E664" s="15"/>
      <c r="F664" s="16" t="n">
        <f aca="false">IF(C664="",0,IF(COUNTIF(C$5:C664,C664)=1,1,0))</f>
        <v>0</v>
      </c>
      <c r="G664" s="16" t="n">
        <f aca="false">SUM(F$5:F664)</f>
        <v>8</v>
      </c>
      <c r="H664" s="16" t="n">
        <f aca="false">IF(B664="",0,IF(COUNTIF(B$5:B664,B664)=1,1,0))</f>
        <v>0</v>
      </c>
      <c r="I664" s="16" t="n">
        <f aca="false">SUM(H$5:H664)</f>
        <v>6</v>
      </c>
    </row>
    <row r="665" customFormat="false" ht="15" hidden="false" customHeight="false" outlineLevel="0" collapsed="false">
      <c r="A665" s="12"/>
      <c r="B665" s="13"/>
      <c r="C665" s="13"/>
      <c r="D665" s="14"/>
      <c r="E665" s="15"/>
      <c r="F665" s="16" t="n">
        <f aca="false">IF(C665="",0,IF(COUNTIF(C$5:C665,C665)=1,1,0))</f>
        <v>0</v>
      </c>
      <c r="G665" s="16" t="n">
        <f aca="false">SUM(F$5:F665)</f>
        <v>8</v>
      </c>
      <c r="H665" s="16" t="n">
        <f aca="false">IF(B665="",0,IF(COUNTIF(B$5:B665,B665)=1,1,0))</f>
        <v>0</v>
      </c>
      <c r="I665" s="16" t="n">
        <f aca="false">SUM(H$5:H665)</f>
        <v>6</v>
      </c>
    </row>
    <row r="666" customFormat="false" ht="15" hidden="false" customHeight="false" outlineLevel="0" collapsed="false">
      <c r="A666" s="12"/>
      <c r="B666" s="13"/>
      <c r="C666" s="13"/>
      <c r="D666" s="14"/>
      <c r="E666" s="15"/>
      <c r="F666" s="16" t="n">
        <f aca="false">IF(C666="",0,IF(COUNTIF(C$5:C666,C666)=1,1,0))</f>
        <v>0</v>
      </c>
      <c r="G666" s="16" t="n">
        <f aca="false">SUM(F$5:F666)</f>
        <v>8</v>
      </c>
      <c r="H666" s="16" t="n">
        <f aca="false">IF(B666="",0,IF(COUNTIF(B$5:B666,B666)=1,1,0))</f>
        <v>0</v>
      </c>
      <c r="I666" s="16" t="n">
        <f aca="false">SUM(H$5:H666)</f>
        <v>6</v>
      </c>
    </row>
    <row r="667" customFormat="false" ht="15" hidden="false" customHeight="false" outlineLevel="0" collapsed="false">
      <c r="A667" s="12"/>
      <c r="B667" s="13"/>
      <c r="C667" s="13"/>
      <c r="D667" s="14"/>
      <c r="E667" s="15"/>
      <c r="F667" s="16" t="n">
        <f aca="false">IF(C667="",0,IF(COUNTIF(C$5:C667,C667)=1,1,0))</f>
        <v>0</v>
      </c>
      <c r="G667" s="16" t="n">
        <f aca="false">SUM(F$5:F667)</f>
        <v>8</v>
      </c>
      <c r="H667" s="16" t="n">
        <f aca="false">IF(B667="",0,IF(COUNTIF(B$5:B667,B667)=1,1,0))</f>
        <v>0</v>
      </c>
      <c r="I667" s="16" t="n">
        <f aca="false">SUM(H$5:H667)</f>
        <v>6</v>
      </c>
    </row>
    <row r="668" customFormat="false" ht="15" hidden="false" customHeight="false" outlineLevel="0" collapsed="false">
      <c r="A668" s="12"/>
      <c r="B668" s="13"/>
      <c r="C668" s="13"/>
      <c r="D668" s="14"/>
      <c r="E668" s="15"/>
      <c r="F668" s="16" t="n">
        <f aca="false">IF(C668="",0,IF(COUNTIF(C$5:C668,C668)=1,1,0))</f>
        <v>0</v>
      </c>
      <c r="G668" s="16" t="n">
        <f aca="false">SUM(F$5:F668)</f>
        <v>8</v>
      </c>
      <c r="H668" s="16" t="n">
        <f aca="false">IF(B668="",0,IF(COUNTIF(B$5:B668,B668)=1,1,0))</f>
        <v>0</v>
      </c>
      <c r="I668" s="16" t="n">
        <f aca="false">SUM(H$5:H668)</f>
        <v>6</v>
      </c>
    </row>
    <row r="669" customFormat="false" ht="15" hidden="false" customHeight="false" outlineLevel="0" collapsed="false">
      <c r="A669" s="12"/>
      <c r="B669" s="13"/>
      <c r="C669" s="13"/>
      <c r="D669" s="14"/>
      <c r="E669" s="15"/>
      <c r="F669" s="16" t="n">
        <f aca="false">IF(C669="",0,IF(COUNTIF(C$5:C669,C669)=1,1,0))</f>
        <v>0</v>
      </c>
      <c r="G669" s="16" t="n">
        <f aca="false">SUM(F$5:F669)</f>
        <v>8</v>
      </c>
      <c r="H669" s="16" t="n">
        <f aca="false">IF(B669="",0,IF(COUNTIF(B$5:B669,B669)=1,1,0))</f>
        <v>0</v>
      </c>
      <c r="I669" s="16" t="n">
        <f aca="false">SUM(H$5:H669)</f>
        <v>6</v>
      </c>
    </row>
    <row r="670" customFormat="false" ht="15" hidden="false" customHeight="false" outlineLevel="0" collapsed="false">
      <c r="A670" s="12"/>
      <c r="B670" s="13"/>
      <c r="C670" s="13"/>
      <c r="D670" s="14"/>
      <c r="E670" s="15"/>
      <c r="F670" s="16" t="n">
        <f aca="false">IF(C670="",0,IF(COUNTIF(C$5:C670,C670)=1,1,0))</f>
        <v>0</v>
      </c>
      <c r="G670" s="16" t="n">
        <f aca="false">SUM(F$5:F670)</f>
        <v>8</v>
      </c>
      <c r="H670" s="16" t="n">
        <f aca="false">IF(B670="",0,IF(COUNTIF(B$5:B670,B670)=1,1,0))</f>
        <v>0</v>
      </c>
      <c r="I670" s="16" t="n">
        <f aca="false">SUM(H$5:H670)</f>
        <v>6</v>
      </c>
    </row>
    <row r="671" customFormat="false" ht="15" hidden="false" customHeight="false" outlineLevel="0" collapsed="false">
      <c r="A671" s="12"/>
      <c r="B671" s="13"/>
      <c r="C671" s="13"/>
      <c r="D671" s="14"/>
      <c r="E671" s="15"/>
      <c r="F671" s="16" t="n">
        <f aca="false">IF(C671="",0,IF(COUNTIF(C$5:C671,C671)=1,1,0))</f>
        <v>0</v>
      </c>
      <c r="G671" s="16" t="n">
        <f aca="false">SUM(F$5:F671)</f>
        <v>8</v>
      </c>
      <c r="H671" s="16" t="n">
        <f aca="false">IF(B671="",0,IF(COUNTIF(B$5:B671,B671)=1,1,0))</f>
        <v>0</v>
      </c>
      <c r="I671" s="16" t="n">
        <f aca="false">SUM(H$5:H671)</f>
        <v>6</v>
      </c>
    </row>
    <row r="672" customFormat="false" ht="15" hidden="false" customHeight="false" outlineLevel="0" collapsed="false">
      <c r="A672" s="12"/>
      <c r="B672" s="13"/>
      <c r="C672" s="13"/>
      <c r="D672" s="14"/>
      <c r="E672" s="15"/>
      <c r="F672" s="16" t="n">
        <f aca="false">IF(C672="",0,IF(COUNTIF(C$5:C672,C672)=1,1,0))</f>
        <v>0</v>
      </c>
      <c r="G672" s="16" t="n">
        <f aca="false">SUM(F$5:F672)</f>
        <v>8</v>
      </c>
      <c r="H672" s="16" t="n">
        <f aca="false">IF(B672="",0,IF(COUNTIF(B$5:B672,B672)=1,1,0))</f>
        <v>0</v>
      </c>
      <c r="I672" s="16" t="n">
        <f aca="false">SUM(H$5:H672)</f>
        <v>6</v>
      </c>
    </row>
    <row r="673" customFormat="false" ht="15" hidden="false" customHeight="false" outlineLevel="0" collapsed="false">
      <c r="A673" s="12"/>
      <c r="B673" s="13"/>
      <c r="C673" s="13"/>
      <c r="D673" s="14"/>
      <c r="E673" s="15"/>
      <c r="F673" s="16" t="n">
        <f aca="false">IF(C673="",0,IF(COUNTIF(C$5:C673,C673)=1,1,0))</f>
        <v>0</v>
      </c>
      <c r="G673" s="16" t="n">
        <f aca="false">SUM(F$5:F673)</f>
        <v>8</v>
      </c>
      <c r="H673" s="16" t="n">
        <f aca="false">IF(B673="",0,IF(COUNTIF(B$5:B673,B673)=1,1,0))</f>
        <v>0</v>
      </c>
      <c r="I673" s="16" t="n">
        <f aca="false">SUM(H$5:H673)</f>
        <v>6</v>
      </c>
    </row>
    <row r="674" customFormat="false" ht="15" hidden="false" customHeight="false" outlineLevel="0" collapsed="false">
      <c r="A674" s="12"/>
      <c r="B674" s="13"/>
      <c r="C674" s="13"/>
      <c r="D674" s="14"/>
      <c r="E674" s="15"/>
      <c r="F674" s="16" t="n">
        <f aca="false">IF(C674="",0,IF(COUNTIF(C$5:C674,C674)=1,1,0))</f>
        <v>0</v>
      </c>
      <c r="G674" s="16" t="n">
        <f aca="false">SUM(F$5:F674)</f>
        <v>8</v>
      </c>
      <c r="H674" s="16" t="n">
        <f aca="false">IF(B674="",0,IF(COUNTIF(B$5:B674,B674)=1,1,0))</f>
        <v>0</v>
      </c>
      <c r="I674" s="16" t="n">
        <f aca="false">SUM(H$5:H674)</f>
        <v>6</v>
      </c>
    </row>
    <row r="675" customFormat="false" ht="15" hidden="false" customHeight="false" outlineLevel="0" collapsed="false">
      <c r="A675" s="12"/>
      <c r="B675" s="13"/>
      <c r="C675" s="13"/>
      <c r="D675" s="14"/>
      <c r="E675" s="15"/>
      <c r="F675" s="16" t="n">
        <f aca="false">IF(C675="",0,IF(COUNTIF(C$5:C675,C675)=1,1,0))</f>
        <v>0</v>
      </c>
      <c r="G675" s="16" t="n">
        <f aca="false">SUM(F$5:F675)</f>
        <v>8</v>
      </c>
      <c r="H675" s="16" t="n">
        <f aca="false">IF(B675="",0,IF(COUNTIF(B$5:B675,B675)=1,1,0))</f>
        <v>0</v>
      </c>
      <c r="I675" s="16" t="n">
        <f aca="false">SUM(H$5:H675)</f>
        <v>6</v>
      </c>
    </row>
    <row r="676" customFormat="false" ht="15" hidden="false" customHeight="false" outlineLevel="0" collapsed="false">
      <c r="A676" s="12"/>
      <c r="B676" s="13"/>
      <c r="C676" s="13"/>
      <c r="D676" s="14"/>
      <c r="E676" s="15"/>
      <c r="F676" s="16" t="n">
        <f aca="false">IF(C676="",0,IF(COUNTIF(C$5:C676,C676)=1,1,0))</f>
        <v>0</v>
      </c>
      <c r="G676" s="16" t="n">
        <f aca="false">SUM(F$5:F676)</f>
        <v>8</v>
      </c>
      <c r="H676" s="16" t="n">
        <f aca="false">IF(B676="",0,IF(COUNTIF(B$5:B676,B676)=1,1,0))</f>
        <v>0</v>
      </c>
      <c r="I676" s="16" t="n">
        <f aca="false">SUM(H$5:H676)</f>
        <v>6</v>
      </c>
    </row>
    <row r="677" customFormat="false" ht="15" hidden="false" customHeight="false" outlineLevel="0" collapsed="false">
      <c r="A677" s="12"/>
      <c r="B677" s="13"/>
      <c r="C677" s="13"/>
      <c r="D677" s="14"/>
      <c r="E677" s="15"/>
      <c r="F677" s="16" t="n">
        <f aca="false">IF(C677="",0,IF(COUNTIF(C$5:C677,C677)=1,1,0))</f>
        <v>0</v>
      </c>
      <c r="G677" s="16" t="n">
        <f aca="false">SUM(F$5:F677)</f>
        <v>8</v>
      </c>
      <c r="H677" s="16" t="n">
        <f aca="false">IF(B677="",0,IF(COUNTIF(B$5:B677,B677)=1,1,0))</f>
        <v>0</v>
      </c>
      <c r="I677" s="16" t="n">
        <f aca="false">SUM(H$5:H677)</f>
        <v>6</v>
      </c>
    </row>
    <row r="678" customFormat="false" ht="15" hidden="false" customHeight="false" outlineLevel="0" collapsed="false">
      <c r="A678" s="12"/>
      <c r="B678" s="13"/>
      <c r="C678" s="13"/>
      <c r="D678" s="14"/>
      <c r="E678" s="15"/>
      <c r="F678" s="16" t="n">
        <f aca="false">IF(C678="",0,IF(COUNTIF(C$5:C678,C678)=1,1,0))</f>
        <v>0</v>
      </c>
      <c r="G678" s="16" t="n">
        <f aca="false">SUM(F$5:F678)</f>
        <v>8</v>
      </c>
      <c r="H678" s="16" t="n">
        <f aca="false">IF(B678="",0,IF(COUNTIF(B$5:B678,B678)=1,1,0))</f>
        <v>0</v>
      </c>
      <c r="I678" s="16" t="n">
        <f aca="false">SUM(H$5:H678)</f>
        <v>6</v>
      </c>
    </row>
    <row r="679" customFormat="false" ht="15" hidden="false" customHeight="false" outlineLevel="0" collapsed="false">
      <c r="A679" s="12"/>
      <c r="B679" s="13"/>
      <c r="C679" s="13"/>
      <c r="D679" s="14"/>
      <c r="E679" s="15"/>
      <c r="F679" s="16" t="n">
        <f aca="false">IF(C679="",0,IF(COUNTIF(C$5:C679,C679)=1,1,0))</f>
        <v>0</v>
      </c>
      <c r="G679" s="16" t="n">
        <f aca="false">SUM(F$5:F679)</f>
        <v>8</v>
      </c>
      <c r="H679" s="16" t="n">
        <f aca="false">IF(B679="",0,IF(COUNTIF(B$5:B679,B679)=1,1,0))</f>
        <v>0</v>
      </c>
      <c r="I679" s="16" t="n">
        <f aca="false">SUM(H$5:H679)</f>
        <v>6</v>
      </c>
    </row>
    <row r="680" customFormat="false" ht="15" hidden="false" customHeight="false" outlineLevel="0" collapsed="false">
      <c r="A680" s="12"/>
      <c r="B680" s="13"/>
      <c r="C680" s="13"/>
      <c r="D680" s="14"/>
      <c r="E680" s="15"/>
      <c r="F680" s="16" t="n">
        <f aca="false">IF(C680="",0,IF(COUNTIF(C$5:C680,C680)=1,1,0))</f>
        <v>0</v>
      </c>
      <c r="G680" s="16" t="n">
        <f aca="false">SUM(F$5:F680)</f>
        <v>8</v>
      </c>
      <c r="H680" s="16" t="n">
        <f aca="false">IF(B680="",0,IF(COUNTIF(B$5:B680,B680)=1,1,0))</f>
        <v>0</v>
      </c>
      <c r="I680" s="16" t="n">
        <f aca="false">SUM(H$5:H680)</f>
        <v>6</v>
      </c>
    </row>
    <row r="681" customFormat="false" ht="15" hidden="false" customHeight="false" outlineLevel="0" collapsed="false">
      <c r="A681" s="12"/>
      <c r="B681" s="13"/>
      <c r="C681" s="13"/>
      <c r="D681" s="14"/>
      <c r="E681" s="15"/>
      <c r="F681" s="16" t="n">
        <f aca="false">IF(C681="",0,IF(COUNTIF(C$5:C681,C681)=1,1,0))</f>
        <v>0</v>
      </c>
      <c r="G681" s="16" t="n">
        <f aca="false">SUM(F$5:F681)</f>
        <v>8</v>
      </c>
      <c r="H681" s="16" t="n">
        <f aca="false">IF(B681="",0,IF(COUNTIF(B$5:B681,B681)=1,1,0))</f>
        <v>0</v>
      </c>
      <c r="I681" s="16" t="n">
        <f aca="false">SUM(H$5:H681)</f>
        <v>6</v>
      </c>
    </row>
    <row r="682" customFormat="false" ht="15" hidden="false" customHeight="false" outlineLevel="0" collapsed="false">
      <c r="A682" s="12"/>
      <c r="B682" s="13"/>
      <c r="C682" s="13"/>
      <c r="D682" s="14"/>
      <c r="E682" s="15"/>
      <c r="F682" s="16" t="n">
        <f aca="false">IF(C682="",0,IF(COUNTIF(C$5:C682,C682)=1,1,0))</f>
        <v>0</v>
      </c>
      <c r="G682" s="16" t="n">
        <f aca="false">SUM(F$5:F682)</f>
        <v>8</v>
      </c>
      <c r="H682" s="16" t="n">
        <f aca="false">IF(B682="",0,IF(COUNTIF(B$5:B682,B682)=1,1,0))</f>
        <v>0</v>
      </c>
      <c r="I682" s="16" t="n">
        <f aca="false">SUM(H$5:H682)</f>
        <v>6</v>
      </c>
    </row>
    <row r="683" customFormat="false" ht="15" hidden="false" customHeight="false" outlineLevel="0" collapsed="false">
      <c r="A683" s="12"/>
      <c r="B683" s="13"/>
      <c r="C683" s="13"/>
      <c r="D683" s="14"/>
      <c r="E683" s="15"/>
      <c r="F683" s="16" t="n">
        <f aca="false">IF(C683="",0,IF(COUNTIF(C$5:C683,C683)=1,1,0))</f>
        <v>0</v>
      </c>
      <c r="G683" s="16" t="n">
        <f aca="false">SUM(F$5:F683)</f>
        <v>8</v>
      </c>
      <c r="H683" s="16" t="n">
        <f aca="false">IF(B683="",0,IF(COUNTIF(B$5:B683,B683)=1,1,0))</f>
        <v>0</v>
      </c>
      <c r="I683" s="16" t="n">
        <f aca="false">SUM(H$5:H683)</f>
        <v>6</v>
      </c>
    </row>
    <row r="684" customFormat="false" ht="15" hidden="false" customHeight="false" outlineLevel="0" collapsed="false">
      <c r="A684" s="12"/>
      <c r="B684" s="13"/>
      <c r="C684" s="13"/>
      <c r="D684" s="14"/>
      <c r="E684" s="15"/>
      <c r="F684" s="16" t="n">
        <f aca="false">IF(C684="",0,IF(COUNTIF(C$5:C684,C684)=1,1,0))</f>
        <v>0</v>
      </c>
      <c r="G684" s="16" t="n">
        <f aca="false">SUM(F$5:F684)</f>
        <v>8</v>
      </c>
      <c r="H684" s="16" t="n">
        <f aca="false">IF(B684="",0,IF(COUNTIF(B$5:B684,B684)=1,1,0))</f>
        <v>0</v>
      </c>
      <c r="I684" s="16" t="n">
        <f aca="false">SUM(H$5:H684)</f>
        <v>6</v>
      </c>
    </row>
    <row r="685" customFormat="false" ht="15" hidden="false" customHeight="false" outlineLevel="0" collapsed="false">
      <c r="A685" s="12"/>
      <c r="B685" s="13"/>
      <c r="C685" s="13"/>
      <c r="D685" s="14"/>
      <c r="E685" s="15"/>
      <c r="F685" s="16" t="n">
        <f aca="false">IF(C685="",0,IF(COUNTIF(C$5:C685,C685)=1,1,0))</f>
        <v>0</v>
      </c>
      <c r="G685" s="16" t="n">
        <f aca="false">SUM(F$5:F685)</f>
        <v>8</v>
      </c>
      <c r="H685" s="16" t="n">
        <f aca="false">IF(B685="",0,IF(COUNTIF(B$5:B685,B685)=1,1,0))</f>
        <v>0</v>
      </c>
      <c r="I685" s="16" t="n">
        <f aca="false">SUM(H$5:H685)</f>
        <v>6</v>
      </c>
    </row>
    <row r="686" customFormat="false" ht="15" hidden="false" customHeight="false" outlineLevel="0" collapsed="false">
      <c r="A686" s="12"/>
      <c r="B686" s="13"/>
      <c r="C686" s="13"/>
      <c r="D686" s="14"/>
      <c r="E686" s="15"/>
      <c r="F686" s="16" t="n">
        <f aca="false">IF(C686="",0,IF(COUNTIF(C$5:C686,C686)=1,1,0))</f>
        <v>0</v>
      </c>
      <c r="G686" s="16" t="n">
        <f aca="false">SUM(F$5:F686)</f>
        <v>8</v>
      </c>
      <c r="H686" s="16" t="n">
        <f aca="false">IF(B686="",0,IF(COUNTIF(B$5:B686,B686)=1,1,0))</f>
        <v>0</v>
      </c>
      <c r="I686" s="16" t="n">
        <f aca="false">SUM(H$5:H686)</f>
        <v>6</v>
      </c>
    </row>
    <row r="687" customFormat="false" ht="15" hidden="false" customHeight="false" outlineLevel="0" collapsed="false">
      <c r="A687" s="12"/>
      <c r="B687" s="13"/>
      <c r="C687" s="13"/>
      <c r="D687" s="14"/>
      <c r="E687" s="15"/>
      <c r="F687" s="16" t="n">
        <f aca="false">IF(C687="",0,IF(COUNTIF(C$5:C687,C687)=1,1,0))</f>
        <v>0</v>
      </c>
      <c r="G687" s="16" t="n">
        <f aca="false">SUM(F$5:F687)</f>
        <v>8</v>
      </c>
      <c r="H687" s="16" t="n">
        <f aca="false">IF(B687="",0,IF(COUNTIF(B$5:B687,B687)=1,1,0))</f>
        <v>0</v>
      </c>
      <c r="I687" s="16" t="n">
        <f aca="false">SUM(H$5:H687)</f>
        <v>6</v>
      </c>
    </row>
    <row r="688" customFormat="false" ht="15" hidden="false" customHeight="false" outlineLevel="0" collapsed="false">
      <c r="A688" s="12"/>
      <c r="B688" s="13"/>
      <c r="C688" s="13"/>
      <c r="D688" s="14"/>
      <c r="E688" s="15"/>
      <c r="F688" s="16" t="n">
        <f aca="false">IF(C688="",0,IF(COUNTIF(C$5:C688,C688)=1,1,0))</f>
        <v>0</v>
      </c>
      <c r="G688" s="16" t="n">
        <f aca="false">SUM(F$5:F688)</f>
        <v>8</v>
      </c>
      <c r="H688" s="16" t="n">
        <f aca="false">IF(B688="",0,IF(COUNTIF(B$5:B688,B688)=1,1,0))</f>
        <v>0</v>
      </c>
      <c r="I688" s="16" t="n">
        <f aca="false">SUM(H$5:H688)</f>
        <v>6</v>
      </c>
    </row>
    <row r="689" customFormat="false" ht="15" hidden="false" customHeight="false" outlineLevel="0" collapsed="false">
      <c r="A689" s="12"/>
      <c r="B689" s="13"/>
      <c r="C689" s="13"/>
      <c r="D689" s="14"/>
      <c r="E689" s="15"/>
      <c r="F689" s="16" t="n">
        <f aca="false">IF(C689="",0,IF(COUNTIF(C$5:C689,C689)=1,1,0))</f>
        <v>0</v>
      </c>
      <c r="G689" s="16" t="n">
        <f aca="false">SUM(F$5:F689)</f>
        <v>8</v>
      </c>
      <c r="H689" s="16" t="n">
        <f aca="false">IF(B689="",0,IF(COUNTIF(B$5:B689,B689)=1,1,0))</f>
        <v>0</v>
      </c>
      <c r="I689" s="16" t="n">
        <f aca="false">SUM(H$5:H689)</f>
        <v>6</v>
      </c>
    </row>
    <row r="690" customFormat="false" ht="15" hidden="false" customHeight="false" outlineLevel="0" collapsed="false">
      <c r="A690" s="12"/>
      <c r="B690" s="13"/>
      <c r="C690" s="13"/>
      <c r="D690" s="14"/>
      <c r="E690" s="15"/>
      <c r="F690" s="16" t="n">
        <f aca="false">IF(C690="",0,IF(COUNTIF(C$5:C690,C690)=1,1,0))</f>
        <v>0</v>
      </c>
      <c r="G690" s="16" t="n">
        <f aca="false">SUM(F$5:F690)</f>
        <v>8</v>
      </c>
      <c r="H690" s="16" t="n">
        <f aca="false">IF(B690="",0,IF(COUNTIF(B$5:B690,B690)=1,1,0))</f>
        <v>0</v>
      </c>
      <c r="I690" s="16" t="n">
        <f aca="false">SUM(H$5:H690)</f>
        <v>6</v>
      </c>
    </row>
    <row r="691" customFormat="false" ht="15" hidden="false" customHeight="false" outlineLevel="0" collapsed="false">
      <c r="A691" s="12"/>
      <c r="B691" s="13"/>
      <c r="C691" s="13"/>
      <c r="D691" s="14"/>
      <c r="E691" s="15"/>
      <c r="F691" s="16" t="n">
        <f aca="false">IF(C691="",0,IF(COUNTIF(C$5:C691,C691)=1,1,0))</f>
        <v>0</v>
      </c>
      <c r="G691" s="16" t="n">
        <f aca="false">SUM(F$5:F691)</f>
        <v>8</v>
      </c>
      <c r="H691" s="16" t="n">
        <f aca="false">IF(B691="",0,IF(COUNTIF(B$5:B691,B691)=1,1,0))</f>
        <v>0</v>
      </c>
      <c r="I691" s="16" t="n">
        <f aca="false">SUM(H$5:H691)</f>
        <v>6</v>
      </c>
    </row>
    <row r="692" customFormat="false" ht="15" hidden="false" customHeight="false" outlineLevel="0" collapsed="false">
      <c r="A692" s="12"/>
      <c r="B692" s="13"/>
      <c r="C692" s="13"/>
      <c r="D692" s="14"/>
      <c r="E692" s="15"/>
      <c r="F692" s="16" t="n">
        <f aca="false">IF(C692="",0,IF(COUNTIF(C$5:C692,C692)=1,1,0))</f>
        <v>0</v>
      </c>
      <c r="G692" s="16" t="n">
        <f aca="false">SUM(F$5:F692)</f>
        <v>8</v>
      </c>
      <c r="H692" s="16" t="n">
        <f aca="false">IF(B692="",0,IF(COUNTIF(B$5:B692,B692)=1,1,0))</f>
        <v>0</v>
      </c>
      <c r="I692" s="16" t="n">
        <f aca="false">SUM(H$5:H692)</f>
        <v>6</v>
      </c>
    </row>
    <row r="693" customFormat="false" ht="15" hidden="false" customHeight="false" outlineLevel="0" collapsed="false">
      <c r="A693" s="12"/>
      <c r="B693" s="13"/>
      <c r="C693" s="13"/>
      <c r="D693" s="14"/>
      <c r="E693" s="15"/>
      <c r="F693" s="16" t="n">
        <f aca="false">IF(C693="",0,IF(COUNTIF(C$5:C693,C693)=1,1,0))</f>
        <v>0</v>
      </c>
      <c r="G693" s="16" t="n">
        <f aca="false">SUM(F$5:F693)</f>
        <v>8</v>
      </c>
      <c r="H693" s="16" t="n">
        <f aca="false">IF(B693="",0,IF(COUNTIF(B$5:B693,B693)=1,1,0))</f>
        <v>0</v>
      </c>
      <c r="I693" s="16" t="n">
        <f aca="false">SUM(H$5:H693)</f>
        <v>6</v>
      </c>
    </row>
    <row r="694" customFormat="false" ht="15" hidden="false" customHeight="false" outlineLevel="0" collapsed="false">
      <c r="A694" s="12"/>
      <c r="B694" s="13"/>
      <c r="C694" s="13"/>
      <c r="D694" s="14"/>
      <c r="E694" s="15"/>
      <c r="F694" s="16" t="n">
        <f aca="false">IF(C694="",0,IF(COUNTIF(C$5:C694,C694)=1,1,0))</f>
        <v>0</v>
      </c>
      <c r="G694" s="16" t="n">
        <f aca="false">SUM(F$5:F694)</f>
        <v>8</v>
      </c>
      <c r="H694" s="16" t="n">
        <f aca="false">IF(B694="",0,IF(COUNTIF(B$5:B694,B694)=1,1,0))</f>
        <v>0</v>
      </c>
      <c r="I694" s="16" t="n">
        <f aca="false">SUM(H$5:H694)</f>
        <v>6</v>
      </c>
    </row>
    <row r="695" customFormat="false" ht="15" hidden="false" customHeight="false" outlineLevel="0" collapsed="false">
      <c r="A695" s="12"/>
      <c r="B695" s="13"/>
      <c r="C695" s="13"/>
      <c r="D695" s="14"/>
      <c r="E695" s="15"/>
      <c r="F695" s="16" t="n">
        <f aca="false">IF(C695="",0,IF(COUNTIF(C$5:C695,C695)=1,1,0))</f>
        <v>0</v>
      </c>
      <c r="G695" s="16" t="n">
        <f aca="false">SUM(F$5:F695)</f>
        <v>8</v>
      </c>
      <c r="H695" s="16" t="n">
        <f aca="false">IF(B695="",0,IF(COUNTIF(B$5:B695,B695)=1,1,0))</f>
        <v>0</v>
      </c>
      <c r="I695" s="16" t="n">
        <f aca="false">SUM(H$5:H695)</f>
        <v>6</v>
      </c>
    </row>
    <row r="696" customFormat="false" ht="15" hidden="false" customHeight="false" outlineLevel="0" collapsed="false">
      <c r="A696" s="12"/>
      <c r="B696" s="13"/>
      <c r="C696" s="13"/>
      <c r="D696" s="14"/>
      <c r="E696" s="15"/>
      <c r="F696" s="16" t="n">
        <f aca="false">IF(C696="",0,IF(COUNTIF(C$5:C696,C696)=1,1,0))</f>
        <v>0</v>
      </c>
      <c r="G696" s="16" t="n">
        <f aca="false">SUM(F$5:F696)</f>
        <v>8</v>
      </c>
      <c r="H696" s="16" t="n">
        <f aca="false">IF(B696="",0,IF(COUNTIF(B$5:B696,B696)=1,1,0))</f>
        <v>0</v>
      </c>
      <c r="I696" s="16" t="n">
        <f aca="false">SUM(H$5:H696)</f>
        <v>6</v>
      </c>
    </row>
    <row r="697" customFormat="false" ht="15" hidden="false" customHeight="false" outlineLevel="0" collapsed="false">
      <c r="A697" s="12"/>
      <c r="B697" s="13"/>
      <c r="C697" s="13"/>
      <c r="D697" s="14"/>
      <c r="E697" s="15"/>
      <c r="F697" s="16" t="n">
        <f aca="false">IF(C697="",0,IF(COUNTIF(C$5:C697,C697)=1,1,0))</f>
        <v>0</v>
      </c>
      <c r="G697" s="16" t="n">
        <f aca="false">SUM(F$5:F697)</f>
        <v>8</v>
      </c>
      <c r="H697" s="16" t="n">
        <f aca="false">IF(B697="",0,IF(COUNTIF(B$5:B697,B697)=1,1,0))</f>
        <v>0</v>
      </c>
      <c r="I697" s="16" t="n">
        <f aca="false">SUM(H$5:H697)</f>
        <v>6</v>
      </c>
    </row>
    <row r="698" customFormat="false" ht="15" hidden="false" customHeight="false" outlineLevel="0" collapsed="false">
      <c r="A698" s="12"/>
      <c r="B698" s="13"/>
      <c r="C698" s="13"/>
      <c r="D698" s="14"/>
      <c r="E698" s="15"/>
      <c r="F698" s="16" t="n">
        <f aca="false">IF(C698="",0,IF(COUNTIF(C$5:C698,C698)=1,1,0))</f>
        <v>0</v>
      </c>
      <c r="G698" s="16" t="n">
        <f aca="false">SUM(F$5:F698)</f>
        <v>8</v>
      </c>
      <c r="H698" s="16" t="n">
        <f aca="false">IF(B698="",0,IF(COUNTIF(B$5:B698,B698)=1,1,0))</f>
        <v>0</v>
      </c>
      <c r="I698" s="16" t="n">
        <f aca="false">SUM(H$5:H698)</f>
        <v>6</v>
      </c>
    </row>
    <row r="699" customFormat="false" ht="15" hidden="false" customHeight="false" outlineLevel="0" collapsed="false">
      <c r="A699" s="12"/>
      <c r="B699" s="13"/>
      <c r="C699" s="13"/>
      <c r="D699" s="14"/>
      <c r="E699" s="15"/>
      <c r="F699" s="16" t="n">
        <f aca="false">IF(C699="",0,IF(COUNTIF(C$5:C699,C699)=1,1,0))</f>
        <v>0</v>
      </c>
      <c r="G699" s="16" t="n">
        <f aca="false">SUM(F$5:F699)</f>
        <v>8</v>
      </c>
      <c r="H699" s="16" t="n">
        <f aca="false">IF(B699="",0,IF(COUNTIF(B$5:B699,B699)=1,1,0))</f>
        <v>0</v>
      </c>
      <c r="I699" s="16" t="n">
        <f aca="false">SUM(H$5:H699)</f>
        <v>6</v>
      </c>
    </row>
    <row r="700" customFormat="false" ht="15" hidden="false" customHeight="false" outlineLevel="0" collapsed="false">
      <c r="A700" s="12"/>
      <c r="B700" s="13"/>
      <c r="C700" s="13"/>
      <c r="D700" s="14"/>
      <c r="E700" s="15"/>
      <c r="F700" s="16" t="n">
        <f aca="false">IF(C700="",0,IF(COUNTIF(C$5:C700,C700)=1,1,0))</f>
        <v>0</v>
      </c>
      <c r="G700" s="16" t="n">
        <f aca="false">SUM(F$5:F700)</f>
        <v>8</v>
      </c>
      <c r="H700" s="16" t="n">
        <f aca="false">IF(B700="",0,IF(COUNTIF(B$5:B700,B700)=1,1,0))</f>
        <v>0</v>
      </c>
      <c r="I700" s="16" t="n">
        <f aca="false">SUM(H$5:H700)</f>
        <v>6</v>
      </c>
    </row>
    <row r="701" customFormat="false" ht="15" hidden="false" customHeight="false" outlineLevel="0" collapsed="false">
      <c r="A701" s="12"/>
      <c r="B701" s="13"/>
      <c r="C701" s="13"/>
      <c r="D701" s="14"/>
      <c r="E701" s="15"/>
      <c r="F701" s="16" t="n">
        <f aca="false">IF(C701="",0,IF(COUNTIF(C$5:C701,C701)=1,1,0))</f>
        <v>0</v>
      </c>
      <c r="G701" s="16" t="n">
        <f aca="false">SUM(F$5:F701)</f>
        <v>8</v>
      </c>
      <c r="H701" s="16" t="n">
        <f aca="false">IF(B701="",0,IF(COUNTIF(B$5:B701,B701)=1,1,0))</f>
        <v>0</v>
      </c>
      <c r="I701" s="16" t="n">
        <f aca="false">SUM(H$5:H701)</f>
        <v>6</v>
      </c>
    </row>
    <row r="702" customFormat="false" ht="15" hidden="false" customHeight="false" outlineLevel="0" collapsed="false">
      <c r="A702" s="12"/>
      <c r="B702" s="13"/>
      <c r="C702" s="13"/>
      <c r="D702" s="14"/>
      <c r="E702" s="15"/>
      <c r="F702" s="16" t="n">
        <f aca="false">IF(C702="",0,IF(COUNTIF(C$5:C702,C702)=1,1,0))</f>
        <v>0</v>
      </c>
      <c r="G702" s="16" t="n">
        <f aca="false">SUM(F$5:F702)</f>
        <v>8</v>
      </c>
      <c r="H702" s="16" t="n">
        <f aca="false">IF(B702="",0,IF(COUNTIF(B$5:B702,B702)=1,1,0))</f>
        <v>0</v>
      </c>
      <c r="I702" s="16" t="n">
        <f aca="false">SUM(H$5:H702)</f>
        <v>6</v>
      </c>
    </row>
    <row r="703" customFormat="false" ht="15" hidden="false" customHeight="false" outlineLevel="0" collapsed="false">
      <c r="A703" s="12"/>
      <c r="B703" s="13"/>
      <c r="C703" s="13"/>
      <c r="D703" s="14"/>
      <c r="E703" s="15"/>
      <c r="F703" s="16" t="n">
        <f aca="false">IF(C703="",0,IF(COUNTIF(C$5:C703,C703)=1,1,0))</f>
        <v>0</v>
      </c>
      <c r="G703" s="16" t="n">
        <f aca="false">SUM(F$5:F703)</f>
        <v>8</v>
      </c>
      <c r="H703" s="16" t="n">
        <f aca="false">IF(B703="",0,IF(COUNTIF(B$5:B703,B703)=1,1,0))</f>
        <v>0</v>
      </c>
      <c r="I703" s="16" t="n">
        <f aca="false">SUM(H$5:H703)</f>
        <v>6</v>
      </c>
    </row>
    <row r="704" customFormat="false" ht="15" hidden="false" customHeight="false" outlineLevel="0" collapsed="false">
      <c r="A704" s="12"/>
      <c r="B704" s="13"/>
      <c r="C704" s="13"/>
      <c r="D704" s="14"/>
      <c r="E704" s="15"/>
      <c r="F704" s="16" t="n">
        <f aca="false">IF(C704="",0,IF(COUNTIF(C$5:C704,C704)=1,1,0))</f>
        <v>0</v>
      </c>
      <c r="G704" s="16" t="n">
        <f aca="false">SUM(F$5:F704)</f>
        <v>8</v>
      </c>
      <c r="H704" s="16" t="n">
        <f aca="false">IF(B704="",0,IF(COUNTIF(B$5:B704,B704)=1,1,0))</f>
        <v>0</v>
      </c>
      <c r="I704" s="16" t="n">
        <f aca="false">SUM(H$5:H704)</f>
        <v>6</v>
      </c>
    </row>
    <row r="705" customFormat="false" ht="15" hidden="false" customHeight="false" outlineLevel="0" collapsed="false">
      <c r="A705" s="12"/>
      <c r="B705" s="13"/>
      <c r="C705" s="13"/>
      <c r="D705" s="14"/>
      <c r="E705" s="15"/>
      <c r="F705" s="16" t="n">
        <f aca="false">IF(C705="",0,IF(COUNTIF(C$5:C705,C705)=1,1,0))</f>
        <v>0</v>
      </c>
      <c r="G705" s="16" t="n">
        <f aca="false">SUM(F$5:F705)</f>
        <v>8</v>
      </c>
      <c r="H705" s="16" t="n">
        <f aca="false">IF(B705="",0,IF(COUNTIF(B$5:B705,B705)=1,1,0))</f>
        <v>0</v>
      </c>
      <c r="I705" s="16" t="n">
        <f aca="false">SUM(H$5:H705)</f>
        <v>6</v>
      </c>
    </row>
    <row r="706" customFormat="false" ht="15" hidden="false" customHeight="false" outlineLevel="0" collapsed="false">
      <c r="A706" s="12"/>
      <c r="B706" s="13"/>
      <c r="C706" s="13"/>
      <c r="D706" s="14"/>
      <c r="E706" s="15"/>
      <c r="F706" s="16" t="n">
        <f aca="false">IF(C706="",0,IF(COUNTIF(C$5:C706,C706)=1,1,0))</f>
        <v>0</v>
      </c>
      <c r="G706" s="16" t="n">
        <f aca="false">SUM(F$5:F706)</f>
        <v>8</v>
      </c>
      <c r="H706" s="16" t="n">
        <f aca="false">IF(B706="",0,IF(COUNTIF(B$5:B706,B706)=1,1,0))</f>
        <v>0</v>
      </c>
      <c r="I706" s="16" t="n">
        <f aca="false">SUM(H$5:H706)</f>
        <v>6</v>
      </c>
    </row>
    <row r="707" customFormat="false" ht="15" hidden="false" customHeight="false" outlineLevel="0" collapsed="false">
      <c r="A707" s="12"/>
      <c r="B707" s="13"/>
      <c r="C707" s="13"/>
      <c r="D707" s="14"/>
      <c r="E707" s="15"/>
      <c r="F707" s="16" t="n">
        <f aca="false">IF(C707="",0,IF(COUNTIF(C$5:C707,C707)=1,1,0))</f>
        <v>0</v>
      </c>
      <c r="G707" s="16" t="n">
        <f aca="false">SUM(F$5:F707)</f>
        <v>8</v>
      </c>
      <c r="H707" s="16" t="n">
        <f aca="false">IF(B707="",0,IF(COUNTIF(B$5:B707,B707)=1,1,0))</f>
        <v>0</v>
      </c>
      <c r="I707" s="16" t="n">
        <f aca="false">SUM(H$5:H707)</f>
        <v>6</v>
      </c>
    </row>
    <row r="708" customFormat="false" ht="15" hidden="false" customHeight="false" outlineLevel="0" collapsed="false">
      <c r="A708" s="12"/>
      <c r="B708" s="13"/>
      <c r="C708" s="13"/>
      <c r="D708" s="14"/>
      <c r="E708" s="15"/>
      <c r="F708" s="16" t="n">
        <f aca="false">IF(C708="",0,IF(COUNTIF(C$5:C708,C708)=1,1,0))</f>
        <v>0</v>
      </c>
      <c r="G708" s="16" t="n">
        <f aca="false">SUM(F$5:F708)</f>
        <v>8</v>
      </c>
      <c r="H708" s="16" t="n">
        <f aca="false">IF(B708="",0,IF(COUNTIF(B$5:B708,B708)=1,1,0))</f>
        <v>0</v>
      </c>
      <c r="I708" s="16" t="n">
        <f aca="false">SUM(H$5:H708)</f>
        <v>6</v>
      </c>
    </row>
    <row r="709" customFormat="false" ht="15" hidden="false" customHeight="false" outlineLevel="0" collapsed="false">
      <c r="A709" s="12"/>
      <c r="B709" s="13"/>
      <c r="C709" s="13"/>
      <c r="D709" s="14"/>
      <c r="E709" s="15"/>
      <c r="F709" s="16" t="n">
        <f aca="false">IF(C709="",0,IF(COUNTIF(C$5:C709,C709)=1,1,0))</f>
        <v>0</v>
      </c>
      <c r="G709" s="16" t="n">
        <f aca="false">SUM(F$5:F709)</f>
        <v>8</v>
      </c>
      <c r="H709" s="16" t="n">
        <f aca="false">IF(B709="",0,IF(COUNTIF(B$5:B709,B709)=1,1,0))</f>
        <v>0</v>
      </c>
      <c r="I709" s="16" t="n">
        <f aca="false">SUM(H$5:H709)</f>
        <v>6</v>
      </c>
    </row>
    <row r="710" customFormat="false" ht="15" hidden="false" customHeight="false" outlineLevel="0" collapsed="false">
      <c r="A710" s="12"/>
      <c r="B710" s="13"/>
      <c r="C710" s="13"/>
      <c r="D710" s="14"/>
      <c r="E710" s="15"/>
      <c r="F710" s="16" t="n">
        <f aca="false">IF(C710="",0,IF(COUNTIF(C$5:C710,C710)=1,1,0))</f>
        <v>0</v>
      </c>
      <c r="G710" s="16" t="n">
        <f aca="false">SUM(F$5:F710)</f>
        <v>8</v>
      </c>
      <c r="H710" s="16" t="n">
        <f aca="false">IF(B710="",0,IF(COUNTIF(B$5:B710,B710)=1,1,0))</f>
        <v>0</v>
      </c>
      <c r="I710" s="16" t="n">
        <f aca="false">SUM(H$5:H710)</f>
        <v>6</v>
      </c>
    </row>
    <row r="711" customFormat="false" ht="15" hidden="false" customHeight="false" outlineLevel="0" collapsed="false">
      <c r="A711" s="12"/>
      <c r="B711" s="13"/>
      <c r="C711" s="13"/>
      <c r="D711" s="14"/>
      <c r="E711" s="15"/>
      <c r="F711" s="16" t="n">
        <f aca="false">IF(C711="",0,IF(COUNTIF(C$5:C711,C711)=1,1,0))</f>
        <v>0</v>
      </c>
      <c r="G711" s="16" t="n">
        <f aca="false">SUM(F$5:F711)</f>
        <v>8</v>
      </c>
      <c r="H711" s="16" t="n">
        <f aca="false">IF(B711="",0,IF(COUNTIF(B$5:B711,B711)=1,1,0))</f>
        <v>0</v>
      </c>
      <c r="I711" s="16" t="n">
        <f aca="false">SUM(H$5:H711)</f>
        <v>6</v>
      </c>
    </row>
    <row r="712" customFormat="false" ht="15" hidden="false" customHeight="false" outlineLevel="0" collapsed="false">
      <c r="A712" s="12"/>
      <c r="B712" s="13"/>
      <c r="C712" s="13"/>
      <c r="D712" s="14"/>
      <c r="E712" s="15"/>
      <c r="F712" s="16" t="n">
        <f aca="false">IF(C712="",0,IF(COUNTIF(C$5:C712,C712)=1,1,0))</f>
        <v>0</v>
      </c>
      <c r="G712" s="16" t="n">
        <f aca="false">SUM(F$5:F712)</f>
        <v>8</v>
      </c>
      <c r="H712" s="16" t="n">
        <f aca="false">IF(B712="",0,IF(COUNTIF(B$5:B712,B712)=1,1,0))</f>
        <v>0</v>
      </c>
      <c r="I712" s="16" t="n">
        <f aca="false">SUM(H$5:H712)</f>
        <v>6</v>
      </c>
    </row>
    <row r="713" customFormat="false" ht="15" hidden="false" customHeight="false" outlineLevel="0" collapsed="false">
      <c r="A713" s="12"/>
      <c r="B713" s="13"/>
      <c r="C713" s="13"/>
      <c r="D713" s="14"/>
      <c r="E713" s="15"/>
      <c r="F713" s="16" t="n">
        <f aca="false">IF(C713="",0,IF(COUNTIF(C$5:C713,C713)=1,1,0))</f>
        <v>0</v>
      </c>
      <c r="G713" s="16" t="n">
        <f aca="false">SUM(F$5:F713)</f>
        <v>8</v>
      </c>
      <c r="H713" s="16" t="n">
        <f aca="false">IF(B713="",0,IF(COUNTIF(B$5:B713,B713)=1,1,0))</f>
        <v>0</v>
      </c>
      <c r="I713" s="16" t="n">
        <f aca="false">SUM(H$5:H713)</f>
        <v>6</v>
      </c>
    </row>
    <row r="714" customFormat="false" ht="15" hidden="false" customHeight="false" outlineLevel="0" collapsed="false">
      <c r="A714" s="12"/>
      <c r="B714" s="13"/>
      <c r="C714" s="13"/>
      <c r="D714" s="14"/>
      <c r="E714" s="15"/>
      <c r="F714" s="16" t="n">
        <f aca="false">IF(C714="",0,IF(COUNTIF(C$5:C714,C714)=1,1,0))</f>
        <v>0</v>
      </c>
      <c r="G714" s="16" t="n">
        <f aca="false">SUM(F$5:F714)</f>
        <v>8</v>
      </c>
      <c r="H714" s="16" t="n">
        <f aca="false">IF(B714="",0,IF(COUNTIF(B$5:B714,B714)=1,1,0))</f>
        <v>0</v>
      </c>
      <c r="I714" s="16" t="n">
        <f aca="false">SUM(H$5:H714)</f>
        <v>6</v>
      </c>
    </row>
    <row r="715" customFormat="false" ht="15" hidden="false" customHeight="false" outlineLevel="0" collapsed="false">
      <c r="A715" s="12"/>
      <c r="B715" s="13"/>
      <c r="C715" s="13"/>
      <c r="D715" s="14"/>
      <c r="E715" s="15"/>
      <c r="F715" s="16" t="n">
        <f aca="false">IF(C715="",0,IF(COUNTIF(C$5:C715,C715)=1,1,0))</f>
        <v>0</v>
      </c>
      <c r="G715" s="16" t="n">
        <f aca="false">SUM(F$5:F715)</f>
        <v>8</v>
      </c>
      <c r="H715" s="16" t="n">
        <f aca="false">IF(B715="",0,IF(COUNTIF(B$5:B715,B715)=1,1,0))</f>
        <v>0</v>
      </c>
      <c r="I715" s="16" t="n">
        <f aca="false">SUM(H$5:H715)</f>
        <v>6</v>
      </c>
    </row>
    <row r="716" customFormat="false" ht="15" hidden="false" customHeight="false" outlineLevel="0" collapsed="false">
      <c r="A716" s="12"/>
      <c r="B716" s="13"/>
      <c r="C716" s="13"/>
      <c r="D716" s="14"/>
      <c r="E716" s="15"/>
      <c r="F716" s="16" t="n">
        <f aca="false">IF(C716="",0,IF(COUNTIF(C$5:C716,C716)=1,1,0))</f>
        <v>0</v>
      </c>
      <c r="G716" s="16" t="n">
        <f aca="false">SUM(F$5:F716)</f>
        <v>8</v>
      </c>
      <c r="H716" s="16" t="n">
        <f aca="false">IF(B716="",0,IF(COUNTIF(B$5:B716,B716)=1,1,0))</f>
        <v>0</v>
      </c>
      <c r="I716" s="16" t="n">
        <f aca="false">SUM(H$5:H716)</f>
        <v>6</v>
      </c>
    </row>
    <row r="717" customFormat="false" ht="15" hidden="false" customHeight="false" outlineLevel="0" collapsed="false">
      <c r="A717" s="12"/>
      <c r="B717" s="13"/>
      <c r="C717" s="13"/>
      <c r="D717" s="14"/>
      <c r="E717" s="15"/>
      <c r="F717" s="16" t="n">
        <f aca="false">IF(C717="",0,IF(COUNTIF(C$5:C717,C717)=1,1,0))</f>
        <v>0</v>
      </c>
      <c r="G717" s="16" t="n">
        <f aca="false">SUM(F$5:F717)</f>
        <v>8</v>
      </c>
      <c r="H717" s="16" t="n">
        <f aca="false">IF(B717="",0,IF(COUNTIF(B$5:B717,B717)=1,1,0))</f>
        <v>0</v>
      </c>
      <c r="I717" s="16" t="n">
        <f aca="false">SUM(H$5:H717)</f>
        <v>6</v>
      </c>
    </row>
    <row r="718" customFormat="false" ht="15" hidden="false" customHeight="false" outlineLevel="0" collapsed="false">
      <c r="A718" s="12"/>
      <c r="B718" s="13"/>
      <c r="C718" s="13"/>
      <c r="D718" s="14"/>
      <c r="E718" s="15"/>
      <c r="F718" s="16" t="n">
        <f aca="false">IF(C718="",0,IF(COUNTIF(C$5:C718,C718)=1,1,0))</f>
        <v>0</v>
      </c>
      <c r="G718" s="16" t="n">
        <f aca="false">SUM(F$5:F718)</f>
        <v>8</v>
      </c>
      <c r="H718" s="16" t="n">
        <f aca="false">IF(B718="",0,IF(COUNTIF(B$5:B718,B718)=1,1,0))</f>
        <v>0</v>
      </c>
      <c r="I718" s="16" t="n">
        <f aca="false">SUM(H$5:H718)</f>
        <v>6</v>
      </c>
    </row>
    <row r="719" customFormat="false" ht="15" hidden="false" customHeight="false" outlineLevel="0" collapsed="false">
      <c r="A719" s="12"/>
      <c r="B719" s="13"/>
      <c r="C719" s="13"/>
      <c r="D719" s="14"/>
      <c r="E719" s="15"/>
      <c r="F719" s="16" t="n">
        <f aca="false">IF(C719="",0,IF(COUNTIF(C$5:C719,C719)=1,1,0))</f>
        <v>0</v>
      </c>
      <c r="G719" s="16" t="n">
        <f aca="false">SUM(F$5:F719)</f>
        <v>8</v>
      </c>
      <c r="H719" s="16" t="n">
        <f aca="false">IF(B719="",0,IF(COUNTIF(B$5:B719,B719)=1,1,0))</f>
        <v>0</v>
      </c>
      <c r="I719" s="16" t="n">
        <f aca="false">SUM(H$5:H719)</f>
        <v>6</v>
      </c>
    </row>
    <row r="720" customFormat="false" ht="15" hidden="false" customHeight="false" outlineLevel="0" collapsed="false">
      <c r="A720" s="12"/>
      <c r="B720" s="13"/>
      <c r="C720" s="13"/>
      <c r="D720" s="14"/>
      <c r="E720" s="15"/>
      <c r="F720" s="16" t="n">
        <f aca="false">IF(C720="",0,IF(COUNTIF(C$5:C720,C720)=1,1,0))</f>
        <v>0</v>
      </c>
      <c r="G720" s="16" t="n">
        <f aca="false">SUM(F$5:F720)</f>
        <v>8</v>
      </c>
      <c r="H720" s="16" t="n">
        <f aca="false">IF(B720="",0,IF(COUNTIF(B$5:B720,B720)=1,1,0))</f>
        <v>0</v>
      </c>
      <c r="I720" s="16" t="n">
        <f aca="false">SUM(H$5:H720)</f>
        <v>6</v>
      </c>
    </row>
    <row r="721" customFormat="false" ht="15" hidden="false" customHeight="false" outlineLevel="0" collapsed="false">
      <c r="A721" s="12"/>
      <c r="B721" s="13"/>
      <c r="C721" s="13"/>
      <c r="D721" s="14"/>
      <c r="E721" s="15"/>
      <c r="F721" s="16" t="n">
        <f aca="false">IF(C721="",0,IF(COUNTIF(C$5:C721,C721)=1,1,0))</f>
        <v>0</v>
      </c>
      <c r="G721" s="16" t="n">
        <f aca="false">SUM(F$5:F721)</f>
        <v>8</v>
      </c>
      <c r="H721" s="16" t="n">
        <f aca="false">IF(B721="",0,IF(COUNTIF(B$5:B721,B721)=1,1,0))</f>
        <v>0</v>
      </c>
      <c r="I721" s="16" t="n">
        <f aca="false">SUM(H$5:H721)</f>
        <v>6</v>
      </c>
    </row>
    <row r="722" customFormat="false" ht="15" hidden="false" customHeight="false" outlineLevel="0" collapsed="false">
      <c r="A722" s="12"/>
      <c r="B722" s="13"/>
      <c r="C722" s="13"/>
      <c r="D722" s="14"/>
      <c r="E722" s="15"/>
      <c r="F722" s="16" t="n">
        <f aca="false">IF(C722="",0,IF(COUNTIF(C$5:C722,C722)=1,1,0))</f>
        <v>0</v>
      </c>
      <c r="G722" s="16" t="n">
        <f aca="false">SUM(F$5:F722)</f>
        <v>8</v>
      </c>
      <c r="H722" s="16" t="n">
        <f aca="false">IF(B722="",0,IF(COUNTIF(B$5:B722,B722)=1,1,0))</f>
        <v>0</v>
      </c>
      <c r="I722" s="16" t="n">
        <f aca="false">SUM(H$5:H722)</f>
        <v>6</v>
      </c>
    </row>
    <row r="723" customFormat="false" ht="15" hidden="false" customHeight="false" outlineLevel="0" collapsed="false">
      <c r="A723" s="12"/>
      <c r="B723" s="13"/>
      <c r="C723" s="13"/>
      <c r="D723" s="14"/>
      <c r="E723" s="15"/>
      <c r="F723" s="16" t="n">
        <f aca="false">IF(C723="",0,IF(COUNTIF(C$5:C723,C723)=1,1,0))</f>
        <v>0</v>
      </c>
      <c r="G723" s="16" t="n">
        <f aca="false">SUM(F$5:F723)</f>
        <v>8</v>
      </c>
      <c r="H723" s="16" t="n">
        <f aca="false">IF(B723="",0,IF(COUNTIF(B$5:B723,B723)=1,1,0))</f>
        <v>0</v>
      </c>
      <c r="I723" s="16" t="n">
        <f aca="false">SUM(H$5:H723)</f>
        <v>6</v>
      </c>
    </row>
    <row r="724" customFormat="false" ht="15" hidden="false" customHeight="false" outlineLevel="0" collapsed="false">
      <c r="A724" s="12"/>
      <c r="B724" s="13"/>
      <c r="C724" s="13"/>
      <c r="D724" s="14"/>
      <c r="E724" s="15"/>
      <c r="F724" s="16" t="n">
        <f aca="false">IF(C724="",0,IF(COUNTIF(C$5:C724,C724)=1,1,0))</f>
        <v>0</v>
      </c>
      <c r="G724" s="16" t="n">
        <f aca="false">SUM(F$5:F724)</f>
        <v>8</v>
      </c>
      <c r="H724" s="16" t="n">
        <f aca="false">IF(B724="",0,IF(COUNTIF(B$5:B724,B724)=1,1,0))</f>
        <v>0</v>
      </c>
      <c r="I724" s="16" t="n">
        <f aca="false">SUM(H$5:H724)</f>
        <v>6</v>
      </c>
    </row>
    <row r="725" customFormat="false" ht="15" hidden="false" customHeight="false" outlineLevel="0" collapsed="false">
      <c r="A725" s="12"/>
      <c r="B725" s="13"/>
      <c r="C725" s="13"/>
      <c r="D725" s="14"/>
      <c r="E725" s="15"/>
      <c r="F725" s="16" t="n">
        <f aca="false">IF(C725="",0,IF(COUNTIF(C$5:C725,C725)=1,1,0))</f>
        <v>0</v>
      </c>
      <c r="G725" s="16" t="n">
        <f aca="false">SUM(F$5:F725)</f>
        <v>8</v>
      </c>
      <c r="H725" s="16" t="n">
        <f aca="false">IF(B725="",0,IF(COUNTIF(B$5:B725,B725)=1,1,0))</f>
        <v>0</v>
      </c>
      <c r="I725" s="16" t="n">
        <f aca="false">SUM(H$5:H725)</f>
        <v>6</v>
      </c>
    </row>
    <row r="726" customFormat="false" ht="15" hidden="false" customHeight="false" outlineLevel="0" collapsed="false">
      <c r="A726" s="12"/>
      <c r="B726" s="13"/>
      <c r="C726" s="13"/>
      <c r="D726" s="14"/>
      <c r="E726" s="15"/>
      <c r="F726" s="16" t="n">
        <f aca="false">IF(C726="",0,IF(COUNTIF(C$5:C726,C726)=1,1,0))</f>
        <v>0</v>
      </c>
      <c r="G726" s="16" t="n">
        <f aca="false">SUM(F$5:F726)</f>
        <v>8</v>
      </c>
      <c r="H726" s="16" t="n">
        <f aca="false">IF(B726="",0,IF(COUNTIF(B$5:B726,B726)=1,1,0))</f>
        <v>0</v>
      </c>
      <c r="I726" s="16" t="n">
        <f aca="false">SUM(H$5:H726)</f>
        <v>6</v>
      </c>
    </row>
    <row r="727" customFormat="false" ht="15" hidden="false" customHeight="false" outlineLevel="0" collapsed="false">
      <c r="A727" s="12"/>
      <c r="B727" s="13"/>
      <c r="C727" s="13"/>
      <c r="D727" s="14"/>
      <c r="E727" s="15"/>
      <c r="F727" s="16" t="n">
        <f aca="false">IF(C727="",0,IF(COUNTIF(C$5:C727,C727)=1,1,0))</f>
        <v>0</v>
      </c>
      <c r="G727" s="16" t="n">
        <f aca="false">SUM(F$5:F727)</f>
        <v>8</v>
      </c>
      <c r="H727" s="16" t="n">
        <f aca="false">IF(B727="",0,IF(COUNTIF(B$5:B727,B727)=1,1,0))</f>
        <v>0</v>
      </c>
      <c r="I727" s="16" t="n">
        <f aca="false">SUM(H$5:H727)</f>
        <v>6</v>
      </c>
    </row>
    <row r="728" customFormat="false" ht="15" hidden="false" customHeight="false" outlineLevel="0" collapsed="false">
      <c r="A728" s="12"/>
      <c r="B728" s="13"/>
      <c r="C728" s="13"/>
      <c r="D728" s="14"/>
      <c r="E728" s="15"/>
      <c r="F728" s="16" t="n">
        <f aca="false">IF(C728="",0,IF(COUNTIF(C$5:C728,C728)=1,1,0))</f>
        <v>0</v>
      </c>
      <c r="G728" s="16" t="n">
        <f aca="false">SUM(F$5:F728)</f>
        <v>8</v>
      </c>
      <c r="H728" s="16" t="n">
        <f aca="false">IF(B728="",0,IF(COUNTIF(B$5:B728,B728)=1,1,0))</f>
        <v>0</v>
      </c>
      <c r="I728" s="16" t="n">
        <f aca="false">SUM(H$5:H728)</f>
        <v>6</v>
      </c>
    </row>
    <row r="729" customFormat="false" ht="15" hidden="false" customHeight="false" outlineLevel="0" collapsed="false">
      <c r="A729" s="12"/>
      <c r="B729" s="13"/>
      <c r="C729" s="13"/>
      <c r="D729" s="14"/>
      <c r="E729" s="15"/>
      <c r="F729" s="16" t="n">
        <f aca="false">IF(C729="",0,IF(COUNTIF(C$5:C729,C729)=1,1,0))</f>
        <v>0</v>
      </c>
      <c r="G729" s="16" t="n">
        <f aca="false">SUM(F$5:F729)</f>
        <v>8</v>
      </c>
      <c r="H729" s="16" t="n">
        <f aca="false">IF(B729="",0,IF(COUNTIF(B$5:B729,B729)=1,1,0))</f>
        <v>0</v>
      </c>
      <c r="I729" s="16" t="n">
        <f aca="false">SUM(H$5:H729)</f>
        <v>6</v>
      </c>
    </row>
    <row r="730" customFormat="false" ht="15" hidden="false" customHeight="false" outlineLevel="0" collapsed="false">
      <c r="A730" s="12"/>
      <c r="B730" s="13"/>
      <c r="C730" s="13"/>
      <c r="D730" s="14"/>
      <c r="E730" s="15"/>
      <c r="F730" s="16" t="n">
        <f aca="false">IF(C730="",0,IF(COUNTIF(C$5:C730,C730)=1,1,0))</f>
        <v>0</v>
      </c>
      <c r="G730" s="16" t="n">
        <f aca="false">SUM(F$5:F730)</f>
        <v>8</v>
      </c>
      <c r="H730" s="16" t="n">
        <f aca="false">IF(B730="",0,IF(COUNTIF(B$5:B730,B730)=1,1,0))</f>
        <v>0</v>
      </c>
      <c r="I730" s="16" t="n">
        <f aca="false">SUM(H$5:H730)</f>
        <v>6</v>
      </c>
    </row>
    <row r="731" customFormat="false" ht="15" hidden="false" customHeight="false" outlineLevel="0" collapsed="false">
      <c r="A731" s="12"/>
      <c r="B731" s="13"/>
      <c r="C731" s="13"/>
      <c r="D731" s="14"/>
      <c r="E731" s="15"/>
      <c r="F731" s="16" t="n">
        <f aca="false">IF(C731="",0,IF(COUNTIF(C$5:C731,C731)=1,1,0))</f>
        <v>0</v>
      </c>
      <c r="G731" s="16" t="n">
        <f aca="false">SUM(F$5:F731)</f>
        <v>8</v>
      </c>
      <c r="H731" s="16" t="n">
        <f aca="false">IF(B731="",0,IF(COUNTIF(B$5:B731,B731)=1,1,0))</f>
        <v>0</v>
      </c>
      <c r="I731" s="16" t="n">
        <f aca="false">SUM(H$5:H731)</f>
        <v>6</v>
      </c>
    </row>
    <row r="732" customFormat="false" ht="15" hidden="false" customHeight="false" outlineLevel="0" collapsed="false">
      <c r="A732" s="12"/>
      <c r="B732" s="13"/>
      <c r="C732" s="13"/>
      <c r="D732" s="14"/>
      <c r="E732" s="15"/>
      <c r="F732" s="16" t="n">
        <f aca="false">IF(C732="",0,IF(COUNTIF(C$5:C732,C732)=1,1,0))</f>
        <v>0</v>
      </c>
      <c r="G732" s="16" t="n">
        <f aca="false">SUM(F$5:F732)</f>
        <v>8</v>
      </c>
      <c r="H732" s="16" t="n">
        <f aca="false">IF(B732="",0,IF(COUNTIF(B$5:B732,B732)=1,1,0))</f>
        <v>0</v>
      </c>
      <c r="I732" s="16" t="n">
        <f aca="false">SUM(H$5:H732)</f>
        <v>6</v>
      </c>
    </row>
    <row r="733" customFormat="false" ht="15" hidden="false" customHeight="false" outlineLevel="0" collapsed="false">
      <c r="A733" s="12"/>
      <c r="B733" s="13"/>
      <c r="C733" s="13"/>
      <c r="D733" s="14"/>
      <c r="E733" s="15"/>
      <c r="F733" s="16" t="n">
        <f aca="false">IF(C733="",0,IF(COUNTIF(C$5:C733,C733)=1,1,0))</f>
        <v>0</v>
      </c>
      <c r="G733" s="16" t="n">
        <f aca="false">SUM(F$5:F733)</f>
        <v>8</v>
      </c>
      <c r="H733" s="16" t="n">
        <f aca="false">IF(B733="",0,IF(COUNTIF(B$5:B733,B733)=1,1,0))</f>
        <v>0</v>
      </c>
      <c r="I733" s="16" t="n">
        <f aca="false">SUM(H$5:H733)</f>
        <v>6</v>
      </c>
    </row>
    <row r="734" customFormat="false" ht="15" hidden="false" customHeight="false" outlineLevel="0" collapsed="false">
      <c r="A734" s="12"/>
      <c r="B734" s="13"/>
      <c r="C734" s="13"/>
      <c r="D734" s="14"/>
      <c r="E734" s="15"/>
      <c r="F734" s="16" t="n">
        <f aca="false">IF(C734="",0,IF(COUNTIF(C$5:C734,C734)=1,1,0))</f>
        <v>0</v>
      </c>
      <c r="G734" s="16" t="n">
        <f aca="false">SUM(F$5:F734)</f>
        <v>8</v>
      </c>
      <c r="H734" s="16" t="n">
        <f aca="false">IF(B734="",0,IF(COUNTIF(B$5:B734,B734)=1,1,0))</f>
        <v>0</v>
      </c>
      <c r="I734" s="16" t="n">
        <f aca="false">SUM(H$5:H734)</f>
        <v>6</v>
      </c>
    </row>
    <row r="735" customFormat="false" ht="15" hidden="false" customHeight="false" outlineLevel="0" collapsed="false">
      <c r="A735" s="12"/>
      <c r="B735" s="13"/>
      <c r="C735" s="13"/>
      <c r="D735" s="14"/>
      <c r="E735" s="15"/>
      <c r="F735" s="16" t="n">
        <f aca="false">IF(C735="",0,IF(COUNTIF(C$5:C735,C735)=1,1,0))</f>
        <v>0</v>
      </c>
      <c r="G735" s="16" t="n">
        <f aca="false">SUM(F$5:F735)</f>
        <v>8</v>
      </c>
      <c r="H735" s="16" t="n">
        <f aca="false">IF(B735="",0,IF(COUNTIF(B$5:B735,B735)=1,1,0))</f>
        <v>0</v>
      </c>
      <c r="I735" s="16" t="n">
        <f aca="false">SUM(H$5:H735)</f>
        <v>6</v>
      </c>
    </row>
    <row r="736" customFormat="false" ht="15" hidden="false" customHeight="false" outlineLevel="0" collapsed="false">
      <c r="A736" s="12"/>
      <c r="B736" s="13"/>
      <c r="C736" s="13"/>
      <c r="D736" s="14"/>
      <c r="E736" s="15"/>
      <c r="F736" s="16" t="n">
        <f aca="false">IF(C736="",0,IF(COUNTIF(C$5:C736,C736)=1,1,0))</f>
        <v>0</v>
      </c>
      <c r="G736" s="16" t="n">
        <f aca="false">SUM(F$5:F736)</f>
        <v>8</v>
      </c>
      <c r="H736" s="16" t="n">
        <f aca="false">IF(B736="",0,IF(COUNTIF(B$5:B736,B736)=1,1,0))</f>
        <v>0</v>
      </c>
      <c r="I736" s="16" t="n">
        <f aca="false">SUM(H$5:H736)</f>
        <v>6</v>
      </c>
    </row>
    <row r="737" customFormat="false" ht="15" hidden="false" customHeight="false" outlineLevel="0" collapsed="false">
      <c r="A737" s="12"/>
      <c r="B737" s="13"/>
      <c r="C737" s="13"/>
      <c r="D737" s="14"/>
      <c r="E737" s="15"/>
      <c r="F737" s="16" t="n">
        <f aca="false">IF(C737="",0,IF(COUNTIF(C$5:C737,C737)=1,1,0))</f>
        <v>0</v>
      </c>
      <c r="G737" s="16" t="n">
        <f aca="false">SUM(F$5:F737)</f>
        <v>8</v>
      </c>
      <c r="H737" s="16" t="n">
        <f aca="false">IF(B737="",0,IF(COUNTIF(B$5:B737,B737)=1,1,0))</f>
        <v>0</v>
      </c>
      <c r="I737" s="16" t="n">
        <f aca="false">SUM(H$5:H737)</f>
        <v>6</v>
      </c>
    </row>
    <row r="738" customFormat="false" ht="15" hidden="false" customHeight="false" outlineLevel="0" collapsed="false">
      <c r="A738" s="12"/>
      <c r="B738" s="13"/>
      <c r="C738" s="13"/>
      <c r="D738" s="14"/>
      <c r="E738" s="15"/>
      <c r="F738" s="16" t="n">
        <f aca="false">IF(C738="",0,IF(COUNTIF(C$5:C738,C738)=1,1,0))</f>
        <v>0</v>
      </c>
      <c r="G738" s="16" t="n">
        <f aca="false">SUM(F$5:F738)</f>
        <v>8</v>
      </c>
      <c r="H738" s="16" t="n">
        <f aca="false">IF(B738="",0,IF(COUNTIF(B$5:B738,B738)=1,1,0))</f>
        <v>0</v>
      </c>
      <c r="I738" s="16" t="n">
        <f aca="false">SUM(H$5:H738)</f>
        <v>6</v>
      </c>
    </row>
    <row r="739" customFormat="false" ht="15" hidden="false" customHeight="false" outlineLevel="0" collapsed="false">
      <c r="A739" s="12"/>
      <c r="B739" s="13"/>
      <c r="C739" s="13"/>
      <c r="D739" s="14"/>
      <c r="E739" s="15"/>
      <c r="F739" s="16" t="n">
        <f aca="false">IF(C739="",0,IF(COUNTIF(C$5:C739,C739)=1,1,0))</f>
        <v>0</v>
      </c>
      <c r="G739" s="16" t="n">
        <f aca="false">SUM(F$5:F739)</f>
        <v>8</v>
      </c>
      <c r="H739" s="16" t="n">
        <f aca="false">IF(B739="",0,IF(COUNTIF(B$5:B739,B739)=1,1,0))</f>
        <v>0</v>
      </c>
      <c r="I739" s="16" t="n">
        <f aca="false">SUM(H$5:H739)</f>
        <v>6</v>
      </c>
    </row>
    <row r="740" customFormat="false" ht="15" hidden="false" customHeight="false" outlineLevel="0" collapsed="false">
      <c r="A740" s="12"/>
      <c r="B740" s="13"/>
      <c r="C740" s="13"/>
      <c r="D740" s="14"/>
      <c r="E740" s="15"/>
      <c r="F740" s="16" t="n">
        <f aca="false">IF(C740="",0,IF(COUNTIF(C$5:C740,C740)=1,1,0))</f>
        <v>0</v>
      </c>
      <c r="G740" s="16" t="n">
        <f aca="false">SUM(F$5:F740)</f>
        <v>8</v>
      </c>
      <c r="H740" s="16" t="n">
        <f aca="false">IF(B740="",0,IF(COUNTIF(B$5:B740,B740)=1,1,0))</f>
        <v>0</v>
      </c>
      <c r="I740" s="16" t="n">
        <f aca="false">SUM(H$5:H740)</f>
        <v>6</v>
      </c>
    </row>
    <row r="741" customFormat="false" ht="15" hidden="false" customHeight="false" outlineLevel="0" collapsed="false">
      <c r="A741" s="12"/>
      <c r="B741" s="13"/>
      <c r="C741" s="13"/>
      <c r="D741" s="14"/>
      <c r="E741" s="15"/>
      <c r="F741" s="16" t="n">
        <f aca="false">IF(C741="",0,IF(COUNTIF(C$5:C741,C741)=1,1,0))</f>
        <v>0</v>
      </c>
      <c r="G741" s="16" t="n">
        <f aca="false">SUM(F$5:F741)</f>
        <v>8</v>
      </c>
      <c r="H741" s="16" t="n">
        <f aca="false">IF(B741="",0,IF(COUNTIF(B$5:B741,B741)=1,1,0))</f>
        <v>0</v>
      </c>
      <c r="I741" s="16" t="n">
        <f aca="false">SUM(H$5:H741)</f>
        <v>6</v>
      </c>
    </row>
    <row r="742" customFormat="false" ht="15" hidden="false" customHeight="false" outlineLevel="0" collapsed="false">
      <c r="A742" s="12"/>
      <c r="B742" s="13"/>
      <c r="C742" s="13"/>
      <c r="D742" s="14"/>
      <c r="E742" s="15"/>
      <c r="F742" s="16" t="n">
        <f aca="false">IF(C742="",0,IF(COUNTIF(C$5:C742,C742)=1,1,0))</f>
        <v>0</v>
      </c>
      <c r="G742" s="16" t="n">
        <f aca="false">SUM(F$5:F742)</f>
        <v>8</v>
      </c>
      <c r="H742" s="16" t="n">
        <f aca="false">IF(B742="",0,IF(COUNTIF(B$5:B742,B742)=1,1,0))</f>
        <v>0</v>
      </c>
      <c r="I742" s="16" t="n">
        <f aca="false">SUM(H$5:H742)</f>
        <v>6</v>
      </c>
    </row>
    <row r="743" customFormat="false" ht="15" hidden="false" customHeight="false" outlineLevel="0" collapsed="false">
      <c r="A743" s="12"/>
      <c r="B743" s="13"/>
      <c r="C743" s="13"/>
      <c r="D743" s="14"/>
      <c r="E743" s="15"/>
      <c r="F743" s="16" t="n">
        <f aca="false">IF(C743="",0,IF(COUNTIF(C$5:C743,C743)=1,1,0))</f>
        <v>0</v>
      </c>
      <c r="G743" s="16" t="n">
        <f aca="false">SUM(F$5:F743)</f>
        <v>8</v>
      </c>
      <c r="H743" s="16" t="n">
        <f aca="false">IF(B743="",0,IF(COUNTIF(B$5:B743,B743)=1,1,0))</f>
        <v>0</v>
      </c>
      <c r="I743" s="16" t="n">
        <f aca="false">SUM(H$5:H743)</f>
        <v>6</v>
      </c>
    </row>
    <row r="744" customFormat="false" ht="15" hidden="false" customHeight="false" outlineLevel="0" collapsed="false">
      <c r="A744" s="12"/>
      <c r="B744" s="13"/>
      <c r="C744" s="13"/>
      <c r="D744" s="14"/>
      <c r="E744" s="15"/>
      <c r="F744" s="16" t="n">
        <f aca="false">IF(C744="",0,IF(COUNTIF(C$5:C744,C744)=1,1,0))</f>
        <v>0</v>
      </c>
      <c r="G744" s="16" t="n">
        <f aca="false">SUM(F$5:F744)</f>
        <v>8</v>
      </c>
      <c r="H744" s="16" t="n">
        <f aca="false">IF(B744="",0,IF(COUNTIF(B$5:B744,B744)=1,1,0))</f>
        <v>0</v>
      </c>
      <c r="I744" s="16" t="n">
        <f aca="false">SUM(H$5:H744)</f>
        <v>6</v>
      </c>
    </row>
    <row r="745" customFormat="false" ht="15" hidden="false" customHeight="false" outlineLevel="0" collapsed="false">
      <c r="A745" s="12"/>
      <c r="B745" s="13"/>
      <c r="C745" s="13"/>
      <c r="D745" s="14"/>
      <c r="E745" s="15"/>
      <c r="F745" s="16" t="n">
        <f aca="false">IF(C745="",0,IF(COUNTIF(C$5:C745,C745)=1,1,0))</f>
        <v>0</v>
      </c>
      <c r="G745" s="16" t="n">
        <f aca="false">SUM(F$5:F745)</f>
        <v>8</v>
      </c>
      <c r="H745" s="16" t="n">
        <f aca="false">IF(B745="",0,IF(COUNTIF(B$5:B745,B745)=1,1,0))</f>
        <v>0</v>
      </c>
      <c r="I745" s="16" t="n">
        <f aca="false">SUM(H$5:H745)</f>
        <v>6</v>
      </c>
    </row>
    <row r="746" customFormat="false" ht="15" hidden="false" customHeight="false" outlineLevel="0" collapsed="false">
      <c r="A746" s="12"/>
      <c r="B746" s="13"/>
      <c r="C746" s="13"/>
      <c r="D746" s="14"/>
      <c r="E746" s="15"/>
      <c r="F746" s="16" t="n">
        <f aca="false">IF(C746="",0,IF(COUNTIF(C$5:C746,C746)=1,1,0))</f>
        <v>0</v>
      </c>
      <c r="G746" s="16" t="n">
        <f aca="false">SUM(F$5:F746)</f>
        <v>8</v>
      </c>
      <c r="H746" s="16" t="n">
        <f aca="false">IF(B746="",0,IF(COUNTIF(B$5:B746,B746)=1,1,0))</f>
        <v>0</v>
      </c>
      <c r="I746" s="16" t="n">
        <f aca="false">SUM(H$5:H746)</f>
        <v>6</v>
      </c>
    </row>
    <row r="747" customFormat="false" ht="15" hidden="false" customHeight="false" outlineLevel="0" collapsed="false">
      <c r="A747" s="12"/>
      <c r="B747" s="13"/>
      <c r="C747" s="13"/>
      <c r="D747" s="14"/>
      <c r="E747" s="15"/>
      <c r="F747" s="16" t="n">
        <f aca="false">IF(C747="",0,IF(COUNTIF(C$5:C747,C747)=1,1,0))</f>
        <v>0</v>
      </c>
      <c r="G747" s="16" t="n">
        <f aca="false">SUM(F$5:F747)</f>
        <v>8</v>
      </c>
      <c r="H747" s="16" t="n">
        <f aca="false">IF(B747="",0,IF(COUNTIF(B$5:B747,B747)=1,1,0))</f>
        <v>0</v>
      </c>
      <c r="I747" s="16" t="n">
        <f aca="false">SUM(H$5:H747)</f>
        <v>6</v>
      </c>
    </row>
    <row r="748" customFormat="false" ht="15" hidden="false" customHeight="false" outlineLevel="0" collapsed="false">
      <c r="A748" s="12"/>
      <c r="B748" s="13"/>
      <c r="C748" s="13"/>
      <c r="D748" s="14"/>
      <c r="E748" s="15"/>
      <c r="F748" s="16" t="n">
        <f aca="false">IF(C748="",0,IF(COUNTIF(C$5:C748,C748)=1,1,0))</f>
        <v>0</v>
      </c>
      <c r="G748" s="16" t="n">
        <f aca="false">SUM(F$5:F748)</f>
        <v>8</v>
      </c>
      <c r="H748" s="16" t="n">
        <f aca="false">IF(B748="",0,IF(COUNTIF(B$5:B748,B748)=1,1,0))</f>
        <v>0</v>
      </c>
      <c r="I748" s="16" t="n">
        <f aca="false">SUM(H$5:H748)</f>
        <v>6</v>
      </c>
    </row>
    <row r="749" customFormat="false" ht="15" hidden="false" customHeight="false" outlineLevel="0" collapsed="false">
      <c r="A749" s="12"/>
      <c r="B749" s="13"/>
      <c r="C749" s="13"/>
      <c r="D749" s="14"/>
      <c r="E749" s="15"/>
      <c r="F749" s="16" t="n">
        <f aca="false">IF(C749="",0,IF(COUNTIF(C$5:C749,C749)=1,1,0))</f>
        <v>0</v>
      </c>
      <c r="G749" s="16" t="n">
        <f aca="false">SUM(F$5:F749)</f>
        <v>8</v>
      </c>
      <c r="H749" s="16" t="n">
        <f aca="false">IF(B749="",0,IF(COUNTIF(B$5:B749,B749)=1,1,0))</f>
        <v>0</v>
      </c>
      <c r="I749" s="16" t="n">
        <f aca="false">SUM(H$5:H749)</f>
        <v>6</v>
      </c>
    </row>
    <row r="750" customFormat="false" ht="15" hidden="false" customHeight="false" outlineLevel="0" collapsed="false">
      <c r="A750" s="12"/>
      <c r="B750" s="13"/>
      <c r="C750" s="13"/>
      <c r="D750" s="14"/>
      <c r="E750" s="15"/>
      <c r="F750" s="16" t="n">
        <f aca="false">IF(C750="",0,IF(COUNTIF(C$5:C750,C750)=1,1,0))</f>
        <v>0</v>
      </c>
      <c r="G750" s="16" t="n">
        <f aca="false">SUM(F$5:F750)</f>
        <v>8</v>
      </c>
      <c r="H750" s="16" t="n">
        <f aca="false">IF(B750="",0,IF(COUNTIF(B$5:B750,B750)=1,1,0))</f>
        <v>0</v>
      </c>
      <c r="I750" s="16" t="n">
        <f aca="false">SUM(H$5:H750)</f>
        <v>6</v>
      </c>
    </row>
    <row r="751" customFormat="false" ht="15" hidden="false" customHeight="false" outlineLevel="0" collapsed="false">
      <c r="A751" s="12"/>
      <c r="B751" s="13"/>
      <c r="C751" s="13"/>
      <c r="D751" s="14"/>
      <c r="E751" s="15"/>
      <c r="F751" s="16" t="n">
        <f aca="false">IF(C751="",0,IF(COUNTIF(C$5:C751,C751)=1,1,0))</f>
        <v>0</v>
      </c>
      <c r="G751" s="16" t="n">
        <f aca="false">SUM(F$5:F751)</f>
        <v>8</v>
      </c>
      <c r="H751" s="16" t="n">
        <f aca="false">IF(B751="",0,IF(COUNTIF(B$5:B751,B751)=1,1,0))</f>
        <v>0</v>
      </c>
      <c r="I751" s="16" t="n">
        <f aca="false">SUM(H$5:H751)</f>
        <v>6</v>
      </c>
    </row>
    <row r="752" customFormat="false" ht="15" hidden="false" customHeight="false" outlineLevel="0" collapsed="false">
      <c r="A752" s="12"/>
      <c r="B752" s="13"/>
      <c r="C752" s="13"/>
      <c r="D752" s="14"/>
      <c r="E752" s="15"/>
      <c r="F752" s="16" t="n">
        <f aca="false">IF(C752="",0,IF(COUNTIF(C$5:C752,C752)=1,1,0))</f>
        <v>0</v>
      </c>
      <c r="G752" s="16" t="n">
        <f aca="false">SUM(F$5:F752)</f>
        <v>8</v>
      </c>
      <c r="H752" s="16" t="n">
        <f aca="false">IF(B752="",0,IF(COUNTIF(B$5:B752,B752)=1,1,0))</f>
        <v>0</v>
      </c>
      <c r="I752" s="16" t="n">
        <f aca="false">SUM(H$5:H752)</f>
        <v>6</v>
      </c>
    </row>
    <row r="753" customFormat="false" ht="15" hidden="false" customHeight="false" outlineLevel="0" collapsed="false">
      <c r="A753" s="12"/>
      <c r="B753" s="13"/>
      <c r="C753" s="13"/>
      <c r="D753" s="14"/>
      <c r="E753" s="15"/>
      <c r="F753" s="16" t="n">
        <f aca="false">IF(C753="",0,IF(COUNTIF(C$5:C753,C753)=1,1,0))</f>
        <v>0</v>
      </c>
      <c r="G753" s="16" t="n">
        <f aca="false">SUM(F$5:F753)</f>
        <v>8</v>
      </c>
      <c r="H753" s="16" t="n">
        <f aca="false">IF(B753="",0,IF(COUNTIF(B$5:B753,B753)=1,1,0))</f>
        <v>0</v>
      </c>
      <c r="I753" s="16" t="n">
        <f aca="false">SUM(H$5:H753)</f>
        <v>6</v>
      </c>
    </row>
    <row r="754" customFormat="false" ht="15" hidden="false" customHeight="false" outlineLevel="0" collapsed="false">
      <c r="A754" s="12"/>
      <c r="B754" s="13"/>
      <c r="C754" s="13"/>
      <c r="D754" s="14"/>
      <c r="E754" s="15"/>
      <c r="F754" s="16" t="n">
        <f aca="false">IF(C754="",0,IF(COUNTIF(C$5:C754,C754)=1,1,0))</f>
        <v>0</v>
      </c>
      <c r="G754" s="16" t="n">
        <f aca="false">SUM(F$5:F754)</f>
        <v>8</v>
      </c>
      <c r="H754" s="16" t="n">
        <f aca="false">IF(B754="",0,IF(COUNTIF(B$5:B754,B754)=1,1,0))</f>
        <v>0</v>
      </c>
      <c r="I754" s="16" t="n">
        <f aca="false">SUM(H$5:H754)</f>
        <v>6</v>
      </c>
    </row>
    <row r="755" customFormat="false" ht="15" hidden="false" customHeight="false" outlineLevel="0" collapsed="false">
      <c r="A755" s="12"/>
      <c r="B755" s="13"/>
      <c r="C755" s="13"/>
      <c r="D755" s="14"/>
      <c r="E755" s="15"/>
      <c r="F755" s="16" t="n">
        <f aca="false">IF(C755="",0,IF(COUNTIF(C$5:C755,C755)=1,1,0))</f>
        <v>0</v>
      </c>
      <c r="G755" s="16" t="n">
        <f aca="false">SUM(F$5:F755)</f>
        <v>8</v>
      </c>
      <c r="H755" s="16" t="n">
        <f aca="false">IF(B755="",0,IF(COUNTIF(B$5:B755,B755)=1,1,0))</f>
        <v>0</v>
      </c>
      <c r="I755" s="16" t="n">
        <f aca="false">SUM(H$5:H755)</f>
        <v>6</v>
      </c>
    </row>
    <row r="756" customFormat="false" ht="15" hidden="false" customHeight="false" outlineLevel="0" collapsed="false">
      <c r="A756" s="12"/>
      <c r="B756" s="13"/>
      <c r="C756" s="13"/>
      <c r="D756" s="14"/>
      <c r="E756" s="15"/>
      <c r="F756" s="16" t="n">
        <f aca="false">IF(C756="",0,IF(COUNTIF(C$5:C756,C756)=1,1,0))</f>
        <v>0</v>
      </c>
      <c r="G756" s="16" t="n">
        <f aca="false">SUM(F$5:F756)</f>
        <v>8</v>
      </c>
      <c r="H756" s="16" t="n">
        <f aca="false">IF(B756="",0,IF(COUNTIF(B$5:B756,B756)=1,1,0))</f>
        <v>0</v>
      </c>
      <c r="I756" s="16" t="n">
        <f aca="false">SUM(H$5:H756)</f>
        <v>6</v>
      </c>
    </row>
    <row r="757" customFormat="false" ht="15" hidden="false" customHeight="false" outlineLevel="0" collapsed="false">
      <c r="A757" s="12"/>
      <c r="B757" s="13"/>
      <c r="C757" s="13"/>
      <c r="D757" s="14"/>
      <c r="E757" s="15"/>
      <c r="F757" s="16" t="n">
        <f aca="false">IF(C757="",0,IF(COUNTIF(C$5:C757,C757)=1,1,0))</f>
        <v>0</v>
      </c>
      <c r="G757" s="16" t="n">
        <f aca="false">SUM(F$5:F757)</f>
        <v>8</v>
      </c>
      <c r="H757" s="16" t="n">
        <f aca="false">IF(B757="",0,IF(COUNTIF(B$5:B757,B757)=1,1,0))</f>
        <v>0</v>
      </c>
      <c r="I757" s="16" t="n">
        <f aca="false">SUM(H$5:H757)</f>
        <v>6</v>
      </c>
    </row>
    <row r="758" customFormat="false" ht="15" hidden="false" customHeight="false" outlineLevel="0" collapsed="false">
      <c r="A758" s="12"/>
      <c r="B758" s="13"/>
      <c r="C758" s="13"/>
      <c r="D758" s="14"/>
      <c r="E758" s="15"/>
      <c r="F758" s="16" t="n">
        <f aca="false">IF(C758="",0,IF(COUNTIF(C$5:C758,C758)=1,1,0))</f>
        <v>0</v>
      </c>
      <c r="G758" s="16" t="n">
        <f aca="false">SUM(F$5:F758)</f>
        <v>8</v>
      </c>
      <c r="H758" s="16" t="n">
        <f aca="false">IF(B758="",0,IF(COUNTIF(B$5:B758,B758)=1,1,0))</f>
        <v>0</v>
      </c>
      <c r="I758" s="16" t="n">
        <f aca="false">SUM(H$5:H758)</f>
        <v>6</v>
      </c>
    </row>
    <row r="759" customFormat="false" ht="15" hidden="false" customHeight="false" outlineLevel="0" collapsed="false">
      <c r="A759" s="12"/>
      <c r="B759" s="13"/>
      <c r="C759" s="13"/>
      <c r="D759" s="14"/>
      <c r="E759" s="15"/>
      <c r="F759" s="16" t="n">
        <f aca="false">IF(C759="",0,IF(COUNTIF(C$5:C759,C759)=1,1,0))</f>
        <v>0</v>
      </c>
      <c r="G759" s="16" t="n">
        <f aca="false">SUM(F$5:F759)</f>
        <v>8</v>
      </c>
      <c r="H759" s="16" t="n">
        <f aca="false">IF(B759="",0,IF(COUNTIF(B$5:B759,B759)=1,1,0))</f>
        <v>0</v>
      </c>
      <c r="I759" s="16" t="n">
        <f aca="false">SUM(H$5:H759)</f>
        <v>6</v>
      </c>
    </row>
    <row r="760" customFormat="false" ht="15" hidden="false" customHeight="false" outlineLevel="0" collapsed="false">
      <c r="A760" s="12"/>
      <c r="B760" s="13"/>
      <c r="C760" s="13"/>
      <c r="D760" s="14"/>
      <c r="E760" s="15"/>
      <c r="F760" s="16" t="n">
        <f aca="false">IF(C760="",0,IF(COUNTIF(C$5:C760,C760)=1,1,0))</f>
        <v>0</v>
      </c>
      <c r="G760" s="16" t="n">
        <f aca="false">SUM(F$5:F760)</f>
        <v>8</v>
      </c>
      <c r="H760" s="16" t="n">
        <f aca="false">IF(B760="",0,IF(COUNTIF(B$5:B760,B760)=1,1,0))</f>
        <v>0</v>
      </c>
      <c r="I760" s="16" t="n">
        <f aca="false">SUM(H$5:H760)</f>
        <v>6</v>
      </c>
    </row>
    <row r="761" customFormat="false" ht="15" hidden="false" customHeight="false" outlineLevel="0" collapsed="false">
      <c r="A761" s="12"/>
      <c r="B761" s="13"/>
      <c r="C761" s="13"/>
      <c r="D761" s="14"/>
      <c r="E761" s="15"/>
      <c r="F761" s="16" t="n">
        <f aca="false">IF(C761="",0,IF(COUNTIF(C$5:C761,C761)=1,1,0))</f>
        <v>0</v>
      </c>
      <c r="G761" s="16" t="n">
        <f aca="false">SUM(F$5:F761)</f>
        <v>8</v>
      </c>
      <c r="H761" s="16" t="n">
        <f aca="false">IF(B761="",0,IF(COUNTIF(B$5:B761,B761)=1,1,0))</f>
        <v>0</v>
      </c>
      <c r="I761" s="16" t="n">
        <f aca="false">SUM(H$5:H761)</f>
        <v>6</v>
      </c>
    </row>
    <row r="762" customFormat="false" ht="15" hidden="false" customHeight="false" outlineLevel="0" collapsed="false">
      <c r="A762" s="12"/>
      <c r="B762" s="13"/>
      <c r="C762" s="13"/>
      <c r="D762" s="14"/>
      <c r="E762" s="15"/>
      <c r="F762" s="16" t="n">
        <f aca="false">IF(C762="",0,IF(COUNTIF(C$5:C762,C762)=1,1,0))</f>
        <v>0</v>
      </c>
      <c r="G762" s="16" t="n">
        <f aca="false">SUM(F$5:F762)</f>
        <v>8</v>
      </c>
      <c r="H762" s="16" t="n">
        <f aca="false">IF(B762="",0,IF(COUNTIF(B$5:B762,B762)=1,1,0))</f>
        <v>0</v>
      </c>
      <c r="I762" s="16" t="n">
        <f aca="false">SUM(H$5:H762)</f>
        <v>6</v>
      </c>
    </row>
    <row r="763" customFormat="false" ht="15" hidden="false" customHeight="false" outlineLevel="0" collapsed="false">
      <c r="A763" s="12"/>
      <c r="B763" s="13"/>
      <c r="C763" s="13"/>
      <c r="D763" s="14"/>
      <c r="E763" s="15"/>
      <c r="F763" s="16" t="n">
        <f aca="false">IF(C763="",0,IF(COUNTIF(C$5:C763,C763)=1,1,0))</f>
        <v>0</v>
      </c>
      <c r="G763" s="16" t="n">
        <f aca="false">SUM(F$5:F763)</f>
        <v>8</v>
      </c>
      <c r="H763" s="16" t="n">
        <f aca="false">IF(B763="",0,IF(COUNTIF(B$5:B763,B763)=1,1,0))</f>
        <v>0</v>
      </c>
      <c r="I763" s="16" t="n">
        <f aca="false">SUM(H$5:H763)</f>
        <v>6</v>
      </c>
    </row>
    <row r="764" customFormat="false" ht="15" hidden="false" customHeight="false" outlineLevel="0" collapsed="false">
      <c r="A764" s="12"/>
      <c r="B764" s="13"/>
      <c r="C764" s="13"/>
      <c r="D764" s="14"/>
      <c r="E764" s="15"/>
      <c r="F764" s="16" t="n">
        <f aca="false">IF(C764="",0,IF(COUNTIF(C$5:C764,C764)=1,1,0))</f>
        <v>0</v>
      </c>
      <c r="G764" s="16" t="n">
        <f aca="false">SUM(F$5:F764)</f>
        <v>8</v>
      </c>
      <c r="H764" s="16" t="n">
        <f aca="false">IF(B764="",0,IF(COUNTIF(B$5:B764,B764)=1,1,0))</f>
        <v>0</v>
      </c>
      <c r="I764" s="16" t="n">
        <f aca="false">SUM(H$5:H764)</f>
        <v>6</v>
      </c>
    </row>
    <row r="765" customFormat="false" ht="15" hidden="false" customHeight="false" outlineLevel="0" collapsed="false">
      <c r="A765" s="12"/>
      <c r="B765" s="13"/>
      <c r="C765" s="13"/>
      <c r="D765" s="14"/>
      <c r="E765" s="15"/>
      <c r="F765" s="16" t="n">
        <f aca="false">IF(C765="",0,IF(COUNTIF(C$5:C765,C765)=1,1,0))</f>
        <v>0</v>
      </c>
      <c r="G765" s="16" t="n">
        <f aca="false">SUM(F$5:F765)</f>
        <v>8</v>
      </c>
      <c r="H765" s="16" t="n">
        <f aca="false">IF(B765="",0,IF(COUNTIF(B$5:B765,B765)=1,1,0))</f>
        <v>0</v>
      </c>
      <c r="I765" s="16" t="n">
        <f aca="false">SUM(H$5:H765)</f>
        <v>6</v>
      </c>
    </row>
    <row r="766" customFormat="false" ht="15" hidden="false" customHeight="false" outlineLevel="0" collapsed="false">
      <c r="A766" s="12"/>
      <c r="B766" s="13"/>
      <c r="C766" s="13"/>
      <c r="D766" s="14"/>
      <c r="E766" s="15"/>
      <c r="F766" s="16" t="n">
        <f aca="false">IF(C766="",0,IF(COUNTIF(C$5:C766,C766)=1,1,0))</f>
        <v>0</v>
      </c>
      <c r="G766" s="16" t="n">
        <f aca="false">SUM(F$5:F766)</f>
        <v>8</v>
      </c>
      <c r="H766" s="16" t="n">
        <f aca="false">IF(B766="",0,IF(COUNTIF(B$5:B766,B766)=1,1,0))</f>
        <v>0</v>
      </c>
      <c r="I766" s="16" t="n">
        <f aca="false">SUM(H$5:H766)</f>
        <v>6</v>
      </c>
    </row>
    <row r="767" customFormat="false" ht="15" hidden="false" customHeight="false" outlineLevel="0" collapsed="false">
      <c r="A767" s="12"/>
      <c r="B767" s="13"/>
      <c r="C767" s="13"/>
      <c r="D767" s="14"/>
      <c r="E767" s="15"/>
      <c r="F767" s="16" t="n">
        <f aca="false">IF(C767="",0,IF(COUNTIF(C$5:C767,C767)=1,1,0))</f>
        <v>0</v>
      </c>
      <c r="G767" s="16" t="n">
        <f aca="false">SUM(F$5:F767)</f>
        <v>8</v>
      </c>
      <c r="H767" s="16" t="n">
        <f aca="false">IF(B767="",0,IF(COUNTIF(B$5:B767,B767)=1,1,0))</f>
        <v>0</v>
      </c>
      <c r="I767" s="16" t="n">
        <f aca="false">SUM(H$5:H767)</f>
        <v>6</v>
      </c>
    </row>
    <row r="768" customFormat="false" ht="15" hidden="false" customHeight="false" outlineLevel="0" collapsed="false">
      <c r="A768" s="12"/>
      <c r="B768" s="13"/>
      <c r="C768" s="13"/>
      <c r="D768" s="14"/>
      <c r="E768" s="15"/>
      <c r="F768" s="16" t="n">
        <f aca="false">IF(C768="",0,IF(COUNTIF(C$5:C768,C768)=1,1,0))</f>
        <v>0</v>
      </c>
      <c r="G768" s="16" t="n">
        <f aca="false">SUM(F$5:F768)</f>
        <v>8</v>
      </c>
      <c r="H768" s="16" t="n">
        <f aca="false">IF(B768="",0,IF(COUNTIF(B$5:B768,B768)=1,1,0))</f>
        <v>0</v>
      </c>
      <c r="I768" s="16" t="n">
        <f aca="false">SUM(H$5:H768)</f>
        <v>6</v>
      </c>
    </row>
    <row r="769" customFormat="false" ht="15" hidden="false" customHeight="false" outlineLevel="0" collapsed="false">
      <c r="A769" s="12"/>
      <c r="B769" s="13"/>
      <c r="C769" s="13"/>
      <c r="D769" s="14"/>
      <c r="E769" s="15"/>
      <c r="F769" s="16" t="n">
        <f aca="false">IF(C769="",0,IF(COUNTIF(C$5:C769,C769)=1,1,0))</f>
        <v>0</v>
      </c>
      <c r="G769" s="16" t="n">
        <f aca="false">SUM(F$5:F769)</f>
        <v>8</v>
      </c>
      <c r="H769" s="16" t="n">
        <f aca="false">IF(B769="",0,IF(COUNTIF(B$5:B769,B769)=1,1,0))</f>
        <v>0</v>
      </c>
      <c r="I769" s="16" t="n">
        <f aca="false">SUM(H$5:H769)</f>
        <v>6</v>
      </c>
    </row>
    <row r="770" customFormat="false" ht="15" hidden="false" customHeight="false" outlineLevel="0" collapsed="false">
      <c r="A770" s="12"/>
      <c r="B770" s="13"/>
      <c r="C770" s="13"/>
      <c r="D770" s="14"/>
      <c r="E770" s="15"/>
      <c r="F770" s="16" t="n">
        <f aca="false">IF(C770="",0,IF(COUNTIF(C$5:C770,C770)=1,1,0))</f>
        <v>0</v>
      </c>
      <c r="G770" s="16" t="n">
        <f aca="false">SUM(F$5:F770)</f>
        <v>8</v>
      </c>
      <c r="H770" s="16" t="n">
        <f aca="false">IF(B770="",0,IF(COUNTIF(B$5:B770,B770)=1,1,0))</f>
        <v>0</v>
      </c>
      <c r="I770" s="16" t="n">
        <f aca="false">SUM(H$5:H770)</f>
        <v>6</v>
      </c>
    </row>
    <row r="771" customFormat="false" ht="15" hidden="false" customHeight="false" outlineLevel="0" collapsed="false">
      <c r="A771" s="12"/>
      <c r="B771" s="13"/>
      <c r="C771" s="13"/>
      <c r="D771" s="14"/>
      <c r="E771" s="15"/>
      <c r="F771" s="16" t="n">
        <f aca="false">IF(C771="",0,IF(COUNTIF(C$5:C771,C771)=1,1,0))</f>
        <v>0</v>
      </c>
      <c r="G771" s="16" t="n">
        <f aca="false">SUM(F$5:F771)</f>
        <v>8</v>
      </c>
      <c r="H771" s="16" t="n">
        <f aca="false">IF(B771="",0,IF(COUNTIF(B$5:B771,B771)=1,1,0))</f>
        <v>0</v>
      </c>
      <c r="I771" s="16" t="n">
        <f aca="false">SUM(H$5:H771)</f>
        <v>6</v>
      </c>
    </row>
    <row r="772" customFormat="false" ht="15" hidden="false" customHeight="false" outlineLevel="0" collapsed="false">
      <c r="A772" s="12"/>
      <c r="B772" s="13"/>
      <c r="C772" s="13"/>
      <c r="D772" s="14"/>
      <c r="E772" s="15"/>
      <c r="F772" s="16" t="n">
        <f aca="false">IF(C772="",0,IF(COUNTIF(C$5:C772,C772)=1,1,0))</f>
        <v>0</v>
      </c>
      <c r="G772" s="16" t="n">
        <f aca="false">SUM(F$5:F772)</f>
        <v>8</v>
      </c>
      <c r="H772" s="16" t="n">
        <f aca="false">IF(B772="",0,IF(COUNTIF(B$5:B772,B772)=1,1,0))</f>
        <v>0</v>
      </c>
      <c r="I772" s="16" t="n">
        <f aca="false">SUM(H$5:H772)</f>
        <v>6</v>
      </c>
    </row>
    <row r="773" customFormat="false" ht="15" hidden="false" customHeight="false" outlineLevel="0" collapsed="false">
      <c r="A773" s="12"/>
      <c r="B773" s="13"/>
      <c r="C773" s="13"/>
      <c r="D773" s="14"/>
      <c r="E773" s="15"/>
      <c r="F773" s="16" t="n">
        <f aca="false">IF(C773="",0,IF(COUNTIF(C$5:C773,C773)=1,1,0))</f>
        <v>0</v>
      </c>
      <c r="G773" s="16" t="n">
        <f aca="false">SUM(F$5:F773)</f>
        <v>8</v>
      </c>
      <c r="H773" s="16" t="n">
        <f aca="false">IF(B773="",0,IF(COUNTIF(B$5:B773,B773)=1,1,0))</f>
        <v>0</v>
      </c>
      <c r="I773" s="16" t="n">
        <f aca="false">SUM(H$5:H773)</f>
        <v>6</v>
      </c>
    </row>
    <row r="774" customFormat="false" ht="15" hidden="false" customHeight="false" outlineLevel="0" collapsed="false">
      <c r="A774" s="12"/>
      <c r="B774" s="13"/>
      <c r="C774" s="13"/>
      <c r="D774" s="14"/>
      <c r="E774" s="15"/>
      <c r="F774" s="16" t="n">
        <f aca="false">IF(C774="",0,IF(COUNTIF(C$5:C774,C774)=1,1,0))</f>
        <v>0</v>
      </c>
      <c r="G774" s="16" t="n">
        <f aca="false">SUM(F$5:F774)</f>
        <v>8</v>
      </c>
      <c r="H774" s="16" t="n">
        <f aca="false">IF(B774="",0,IF(COUNTIF(B$5:B774,B774)=1,1,0))</f>
        <v>0</v>
      </c>
      <c r="I774" s="16" t="n">
        <f aca="false">SUM(H$5:H774)</f>
        <v>6</v>
      </c>
    </row>
    <row r="775" customFormat="false" ht="15" hidden="false" customHeight="false" outlineLevel="0" collapsed="false">
      <c r="A775" s="12"/>
      <c r="B775" s="13"/>
      <c r="C775" s="13"/>
      <c r="D775" s="14"/>
      <c r="E775" s="15"/>
      <c r="F775" s="16" t="n">
        <f aca="false">IF(C775="",0,IF(COUNTIF(C$5:C775,C775)=1,1,0))</f>
        <v>0</v>
      </c>
      <c r="G775" s="16" t="n">
        <f aca="false">SUM(F$5:F775)</f>
        <v>8</v>
      </c>
      <c r="H775" s="16" t="n">
        <f aca="false">IF(B775="",0,IF(COUNTIF(B$5:B775,B775)=1,1,0))</f>
        <v>0</v>
      </c>
      <c r="I775" s="16" t="n">
        <f aca="false">SUM(H$5:H775)</f>
        <v>6</v>
      </c>
    </row>
    <row r="776" customFormat="false" ht="15" hidden="false" customHeight="false" outlineLevel="0" collapsed="false">
      <c r="A776" s="12"/>
      <c r="B776" s="13"/>
      <c r="C776" s="13"/>
      <c r="D776" s="14"/>
      <c r="E776" s="15"/>
      <c r="F776" s="16" t="n">
        <f aca="false">IF(C776="",0,IF(COUNTIF(C$5:C776,C776)=1,1,0))</f>
        <v>0</v>
      </c>
      <c r="G776" s="16" t="n">
        <f aca="false">SUM(F$5:F776)</f>
        <v>8</v>
      </c>
      <c r="H776" s="16" t="n">
        <f aca="false">IF(B776="",0,IF(COUNTIF(B$5:B776,B776)=1,1,0))</f>
        <v>0</v>
      </c>
      <c r="I776" s="16" t="n">
        <f aca="false">SUM(H$5:H776)</f>
        <v>6</v>
      </c>
    </row>
    <row r="777" customFormat="false" ht="15" hidden="false" customHeight="false" outlineLevel="0" collapsed="false">
      <c r="A777" s="12"/>
      <c r="B777" s="13"/>
      <c r="C777" s="13"/>
      <c r="D777" s="14"/>
      <c r="E777" s="15"/>
      <c r="F777" s="16" t="n">
        <f aca="false">IF(C777="",0,IF(COUNTIF(C$5:C777,C777)=1,1,0))</f>
        <v>0</v>
      </c>
      <c r="G777" s="16" t="n">
        <f aca="false">SUM(F$5:F777)</f>
        <v>8</v>
      </c>
      <c r="H777" s="16" t="n">
        <f aca="false">IF(B777="",0,IF(COUNTIF(B$5:B777,B777)=1,1,0))</f>
        <v>0</v>
      </c>
      <c r="I777" s="16" t="n">
        <f aca="false">SUM(H$5:H777)</f>
        <v>6</v>
      </c>
    </row>
    <row r="778" customFormat="false" ht="15" hidden="false" customHeight="false" outlineLevel="0" collapsed="false">
      <c r="A778" s="12"/>
      <c r="B778" s="13"/>
      <c r="C778" s="13"/>
      <c r="D778" s="14"/>
      <c r="E778" s="15"/>
      <c r="F778" s="16" t="n">
        <f aca="false">IF(C778="",0,IF(COUNTIF(C$5:C778,C778)=1,1,0))</f>
        <v>0</v>
      </c>
      <c r="G778" s="16" t="n">
        <f aca="false">SUM(F$5:F778)</f>
        <v>8</v>
      </c>
      <c r="H778" s="16" t="n">
        <f aca="false">IF(B778="",0,IF(COUNTIF(B$5:B778,B778)=1,1,0))</f>
        <v>0</v>
      </c>
      <c r="I778" s="16" t="n">
        <f aca="false">SUM(H$5:H778)</f>
        <v>6</v>
      </c>
    </row>
    <row r="779" customFormat="false" ht="15" hidden="false" customHeight="false" outlineLevel="0" collapsed="false">
      <c r="A779" s="12"/>
      <c r="B779" s="13"/>
      <c r="C779" s="13"/>
      <c r="D779" s="14"/>
      <c r="E779" s="15"/>
      <c r="F779" s="16" t="n">
        <f aca="false">IF(C779="",0,IF(COUNTIF(C$5:C779,C779)=1,1,0))</f>
        <v>0</v>
      </c>
      <c r="G779" s="16" t="n">
        <f aca="false">SUM(F$5:F779)</f>
        <v>8</v>
      </c>
      <c r="H779" s="16" t="n">
        <f aca="false">IF(B779="",0,IF(COUNTIF(B$5:B779,B779)=1,1,0))</f>
        <v>0</v>
      </c>
      <c r="I779" s="16" t="n">
        <f aca="false">SUM(H$5:H779)</f>
        <v>6</v>
      </c>
    </row>
    <row r="780" customFormat="false" ht="15" hidden="false" customHeight="false" outlineLevel="0" collapsed="false">
      <c r="A780" s="12"/>
      <c r="B780" s="13"/>
      <c r="C780" s="13"/>
      <c r="D780" s="14"/>
      <c r="E780" s="15"/>
      <c r="F780" s="16" t="n">
        <f aca="false">IF(C780="",0,IF(COUNTIF(C$5:C780,C780)=1,1,0))</f>
        <v>0</v>
      </c>
      <c r="G780" s="16" t="n">
        <f aca="false">SUM(F$5:F780)</f>
        <v>8</v>
      </c>
      <c r="H780" s="16" t="n">
        <f aca="false">IF(B780="",0,IF(COUNTIF(B$5:B780,B780)=1,1,0))</f>
        <v>0</v>
      </c>
      <c r="I780" s="16" t="n">
        <f aca="false">SUM(H$5:H780)</f>
        <v>6</v>
      </c>
    </row>
    <row r="781" customFormat="false" ht="15" hidden="false" customHeight="false" outlineLevel="0" collapsed="false">
      <c r="A781" s="12"/>
      <c r="B781" s="13"/>
      <c r="C781" s="13"/>
      <c r="D781" s="14"/>
      <c r="E781" s="15"/>
      <c r="F781" s="16" t="n">
        <f aca="false">IF(C781="",0,IF(COUNTIF(C$5:C781,C781)=1,1,0))</f>
        <v>0</v>
      </c>
      <c r="G781" s="16" t="n">
        <f aca="false">SUM(F$5:F781)</f>
        <v>8</v>
      </c>
      <c r="H781" s="16" t="n">
        <f aca="false">IF(B781="",0,IF(COUNTIF(B$5:B781,B781)=1,1,0))</f>
        <v>0</v>
      </c>
      <c r="I781" s="16" t="n">
        <f aca="false">SUM(H$5:H781)</f>
        <v>6</v>
      </c>
    </row>
    <row r="782" customFormat="false" ht="15" hidden="false" customHeight="false" outlineLevel="0" collapsed="false">
      <c r="A782" s="12"/>
      <c r="B782" s="13"/>
      <c r="C782" s="13"/>
      <c r="D782" s="14"/>
      <c r="E782" s="15"/>
      <c r="F782" s="16" t="n">
        <f aca="false">IF(C782="",0,IF(COUNTIF(C$5:C782,C782)=1,1,0))</f>
        <v>0</v>
      </c>
      <c r="G782" s="16" t="n">
        <f aca="false">SUM(F$5:F782)</f>
        <v>8</v>
      </c>
      <c r="H782" s="16" t="n">
        <f aca="false">IF(B782="",0,IF(COUNTIF(B$5:B782,B782)=1,1,0))</f>
        <v>0</v>
      </c>
      <c r="I782" s="16" t="n">
        <f aca="false">SUM(H$5:H782)</f>
        <v>6</v>
      </c>
    </row>
    <row r="783" customFormat="false" ht="15" hidden="false" customHeight="false" outlineLevel="0" collapsed="false">
      <c r="A783" s="12"/>
      <c r="B783" s="13"/>
      <c r="C783" s="13"/>
      <c r="D783" s="14"/>
      <c r="E783" s="15"/>
      <c r="F783" s="16" t="n">
        <f aca="false">IF(C783="",0,IF(COUNTIF(C$5:C783,C783)=1,1,0))</f>
        <v>0</v>
      </c>
      <c r="G783" s="16" t="n">
        <f aca="false">SUM(F$5:F783)</f>
        <v>8</v>
      </c>
      <c r="H783" s="16" t="n">
        <f aca="false">IF(B783="",0,IF(COUNTIF(B$5:B783,B783)=1,1,0))</f>
        <v>0</v>
      </c>
      <c r="I783" s="16" t="n">
        <f aca="false">SUM(H$5:H783)</f>
        <v>6</v>
      </c>
    </row>
    <row r="784" customFormat="false" ht="15" hidden="false" customHeight="false" outlineLevel="0" collapsed="false">
      <c r="A784" s="12"/>
      <c r="B784" s="13"/>
      <c r="C784" s="13"/>
      <c r="D784" s="14"/>
      <c r="E784" s="15"/>
      <c r="F784" s="16" t="n">
        <f aca="false">IF(C784="",0,IF(COUNTIF(C$5:C784,C784)=1,1,0))</f>
        <v>0</v>
      </c>
      <c r="G784" s="16" t="n">
        <f aca="false">SUM(F$5:F784)</f>
        <v>8</v>
      </c>
      <c r="H784" s="16" t="n">
        <f aca="false">IF(B784="",0,IF(COUNTIF(B$5:B784,B784)=1,1,0))</f>
        <v>0</v>
      </c>
      <c r="I784" s="16" t="n">
        <f aca="false">SUM(H$5:H784)</f>
        <v>6</v>
      </c>
    </row>
    <row r="785" customFormat="false" ht="15" hidden="false" customHeight="false" outlineLevel="0" collapsed="false">
      <c r="A785" s="12"/>
      <c r="B785" s="13"/>
      <c r="C785" s="13"/>
      <c r="D785" s="14"/>
      <c r="E785" s="15"/>
      <c r="F785" s="16" t="n">
        <f aca="false">IF(C785="",0,IF(COUNTIF(C$5:C785,C785)=1,1,0))</f>
        <v>0</v>
      </c>
      <c r="G785" s="16" t="n">
        <f aca="false">SUM(F$5:F785)</f>
        <v>8</v>
      </c>
      <c r="H785" s="16" t="n">
        <f aca="false">IF(B785="",0,IF(COUNTIF(B$5:B785,B785)=1,1,0))</f>
        <v>0</v>
      </c>
      <c r="I785" s="16" t="n">
        <f aca="false">SUM(H$5:H785)</f>
        <v>6</v>
      </c>
    </row>
    <row r="786" customFormat="false" ht="15" hidden="false" customHeight="false" outlineLevel="0" collapsed="false">
      <c r="A786" s="12"/>
      <c r="B786" s="13"/>
      <c r="C786" s="13"/>
      <c r="D786" s="14"/>
      <c r="E786" s="15"/>
      <c r="F786" s="16" t="n">
        <f aca="false">IF(C786="",0,IF(COUNTIF(C$5:C786,C786)=1,1,0))</f>
        <v>0</v>
      </c>
      <c r="G786" s="16" t="n">
        <f aca="false">SUM(F$5:F786)</f>
        <v>8</v>
      </c>
      <c r="H786" s="16" t="n">
        <f aca="false">IF(B786="",0,IF(COUNTIF(B$5:B786,B786)=1,1,0))</f>
        <v>0</v>
      </c>
      <c r="I786" s="16" t="n">
        <f aca="false">SUM(H$5:H786)</f>
        <v>6</v>
      </c>
    </row>
    <row r="787" customFormat="false" ht="15" hidden="false" customHeight="false" outlineLevel="0" collapsed="false">
      <c r="A787" s="12"/>
      <c r="B787" s="13"/>
      <c r="C787" s="13"/>
      <c r="D787" s="14"/>
      <c r="E787" s="15"/>
      <c r="F787" s="16" t="n">
        <f aca="false">IF(C787="",0,IF(COUNTIF(C$5:C787,C787)=1,1,0))</f>
        <v>0</v>
      </c>
      <c r="G787" s="16" t="n">
        <f aca="false">SUM(F$5:F787)</f>
        <v>8</v>
      </c>
      <c r="H787" s="16" t="n">
        <f aca="false">IF(B787="",0,IF(COUNTIF(B$5:B787,B787)=1,1,0))</f>
        <v>0</v>
      </c>
      <c r="I787" s="16" t="n">
        <f aca="false">SUM(H$5:H787)</f>
        <v>6</v>
      </c>
    </row>
    <row r="788" customFormat="false" ht="15" hidden="false" customHeight="false" outlineLevel="0" collapsed="false">
      <c r="A788" s="12"/>
      <c r="B788" s="13"/>
      <c r="C788" s="13"/>
      <c r="D788" s="14"/>
      <c r="E788" s="15"/>
      <c r="F788" s="16" t="n">
        <f aca="false">IF(C788="",0,IF(COUNTIF(C$5:C788,C788)=1,1,0))</f>
        <v>0</v>
      </c>
      <c r="G788" s="16" t="n">
        <f aca="false">SUM(F$5:F788)</f>
        <v>8</v>
      </c>
      <c r="H788" s="16" t="n">
        <f aca="false">IF(B788="",0,IF(COUNTIF(B$5:B788,B788)=1,1,0))</f>
        <v>0</v>
      </c>
      <c r="I788" s="16" t="n">
        <f aca="false">SUM(H$5:H788)</f>
        <v>6</v>
      </c>
    </row>
    <row r="789" customFormat="false" ht="15" hidden="false" customHeight="false" outlineLevel="0" collapsed="false">
      <c r="A789" s="12"/>
      <c r="B789" s="13"/>
      <c r="C789" s="13"/>
      <c r="D789" s="14"/>
      <c r="E789" s="15"/>
      <c r="F789" s="16" t="n">
        <f aca="false">IF(C789="",0,IF(COUNTIF(C$5:C789,C789)=1,1,0))</f>
        <v>0</v>
      </c>
      <c r="G789" s="16" t="n">
        <f aca="false">SUM(F$5:F789)</f>
        <v>8</v>
      </c>
      <c r="H789" s="16" t="n">
        <f aca="false">IF(B789="",0,IF(COUNTIF(B$5:B789,B789)=1,1,0))</f>
        <v>0</v>
      </c>
      <c r="I789" s="16" t="n">
        <f aca="false">SUM(H$5:H789)</f>
        <v>6</v>
      </c>
    </row>
    <row r="790" customFormat="false" ht="15" hidden="false" customHeight="false" outlineLevel="0" collapsed="false">
      <c r="A790" s="12"/>
      <c r="B790" s="13"/>
      <c r="C790" s="13"/>
      <c r="D790" s="14"/>
      <c r="E790" s="15"/>
      <c r="F790" s="16" t="n">
        <f aca="false">IF(C790="",0,IF(COUNTIF(C$5:C790,C790)=1,1,0))</f>
        <v>0</v>
      </c>
      <c r="G790" s="16" t="n">
        <f aca="false">SUM(F$5:F790)</f>
        <v>8</v>
      </c>
      <c r="H790" s="16" t="n">
        <f aca="false">IF(B790="",0,IF(COUNTIF(B$5:B790,B790)=1,1,0))</f>
        <v>0</v>
      </c>
      <c r="I790" s="16" t="n">
        <f aca="false">SUM(H$5:H790)</f>
        <v>6</v>
      </c>
    </row>
    <row r="791" customFormat="false" ht="15" hidden="false" customHeight="false" outlineLevel="0" collapsed="false">
      <c r="A791" s="12"/>
      <c r="B791" s="13"/>
      <c r="C791" s="13"/>
      <c r="D791" s="14"/>
      <c r="E791" s="15"/>
      <c r="F791" s="16" t="n">
        <f aca="false">IF(C791="",0,IF(COUNTIF(C$5:C791,C791)=1,1,0))</f>
        <v>0</v>
      </c>
      <c r="G791" s="16" t="n">
        <f aca="false">SUM(F$5:F791)</f>
        <v>8</v>
      </c>
      <c r="H791" s="16" t="n">
        <f aca="false">IF(B791="",0,IF(COUNTIF(B$5:B791,B791)=1,1,0))</f>
        <v>0</v>
      </c>
      <c r="I791" s="16" t="n">
        <f aca="false">SUM(H$5:H791)</f>
        <v>6</v>
      </c>
    </row>
    <row r="792" customFormat="false" ht="15" hidden="false" customHeight="false" outlineLevel="0" collapsed="false">
      <c r="A792" s="12"/>
      <c r="B792" s="13"/>
      <c r="C792" s="13"/>
      <c r="D792" s="14"/>
      <c r="E792" s="15"/>
      <c r="F792" s="16" t="n">
        <f aca="false">IF(C792="",0,IF(COUNTIF(C$5:C792,C792)=1,1,0))</f>
        <v>0</v>
      </c>
      <c r="G792" s="16" t="n">
        <f aca="false">SUM(F$5:F792)</f>
        <v>8</v>
      </c>
      <c r="H792" s="16" t="n">
        <f aca="false">IF(B792="",0,IF(COUNTIF(B$5:B792,B792)=1,1,0))</f>
        <v>0</v>
      </c>
      <c r="I792" s="16" t="n">
        <f aca="false">SUM(H$5:H792)</f>
        <v>6</v>
      </c>
    </row>
    <row r="793" customFormat="false" ht="15" hidden="false" customHeight="false" outlineLevel="0" collapsed="false">
      <c r="A793" s="12"/>
      <c r="B793" s="13"/>
      <c r="C793" s="13"/>
      <c r="D793" s="14"/>
      <c r="E793" s="15"/>
      <c r="F793" s="16" t="n">
        <f aca="false">IF(C793="",0,IF(COUNTIF(C$5:C793,C793)=1,1,0))</f>
        <v>0</v>
      </c>
      <c r="G793" s="16" t="n">
        <f aca="false">SUM(F$5:F793)</f>
        <v>8</v>
      </c>
      <c r="H793" s="16" t="n">
        <f aca="false">IF(B793="",0,IF(COUNTIF(B$5:B793,B793)=1,1,0))</f>
        <v>0</v>
      </c>
      <c r="I793" s="16" t="n">
        <f aca="false">SUM(H$5:H793)</f>
        <v>6</v>
      </c>
    </row>
    <row r="794" customFormat="false" ht="15" hidden="false" customHeight="false" outlineLevel="0" collapsed="false">
      <c r="A794" s="12"/>
      <c r="B794" s="13"/>
      <c r="C794" s="13"/>
      <c r="D794" s="14"/>
      <c r="E794" s="15"/>
      <c r="F794" s="16" t="n">
        <f aca="false">IF(C794="",0,IF(COUNTIF(C$5:C794,C794)=1,1,0))</f>
        <v>0</v>
      </c>
      <c r="G794" s="16" t="n">
        <f aca="false">SUM(F$5:F794)</f>
        <v>8</v>
      </c>
      <c r="H794" s="16" t="n">
        <f aca="false">IF(B794="",0,IF(COUNTIF(B$5:B794,B794)=1,1,0))</f>
        <v>0</v>
      </c>
      <c r="I794" s="16" t="n">
        <f aca="false">SUM(H$5:H794)</f>
        <v>6</v>
      </c>
    </row>
    <row r="795" customFormat="false" ht="15" hidden="false" customHeight="false" outlineLevel="0" collapsed="false">
      <c r="A795" s="12"/>
      <c r="B795" s="13"/>
      <c r="C795" s="13"/>
      <c r="D795" s="14"/>
      <c r="E795" s="15"/>
      <c r="F795" s="16" t="n">
        <f aca="false">IF(C795="",0,IF(COUNTIF(C$5:C795,C795)=1,1,0))</f>
        <v>0</v>
      </c>
      <c r="G795" s="16" t="n">
        <f aca="false">SUM(F$5:F795)</f>
        <v>8</v>
      </c>
      <c r="H795" s="16" t="n">
        <f aca="false">IF(B795="",0,IF(COUNTIF(B$5:B795,B795)=1,1,0))</f>
        <v>0</v>
      </c>
      <c r="I795" s="16" t="n">
        <f aca="false">SUM(H$5:H795)</f>
        <v>6</v>
      </c>
    </row>
    <row r="796" customFormat="false" ht="15" hidden="false" customHeight="false" outlineLevel="0" collapsed="false">
      <c r="A796" s="12"/>
      <c r="B796" s="13"/>
      <c r="C796" s="13"/>
      <c r="D796" s="14"/>
      <c r="E796" s="15"/>
      <c r="F796" s="16" t="n">
        <f aca="false">IF(C796="",0,IF(COUNTIF(C$5:C796,C796)=1,1,0))</f>
        <v>0</v>
      </c>
      <c r="G796" s="16" t="n">
        <f aca="false">SUM(F$5:F796)</f>
        <v>8</v>
      </c>
      <c r="H796" s="16" t="n">
        <f aca="false">IF(B796="",0,IF(COUNTIF(B$5:B796,B796)=1,1,0))</f>
        <v>0</v>
      </c>
      <c r="I796" s="16" t="n">
        <f aca="false">SUM(H$5:H796)</f>
        <v>6</v>
      </c>
    </row>
    <row r="797" customFormat="false" ht="15" hidden="false" customHeight="false" outlineLevel="0" collapsed="false">
      <c r="A797" s="12"/>
      <c r="B797" s="13"/>
      <c r="C797" s="13"/>
      <c r="D797" s="14"/>
      <c r="E797" s="15"/>
      <c r="F797" s="16" t="n">
        <f aca="false">IF(C797="",0,IF(COUNTIF(C$5:C797,C797)=1,1,0))</f>
        <v>0</v>
      </c>
      <c r="G797" s="16" t="n">
        <f aca="false">SUM(F$5:F797)</f>
        <v>8</v>
      </c>
      <c r="H797" s="16" t="n">
        <f aca="false">IF(B797="",0,IF(COUNTIF(B$5:B797,B797)=1,1,0))</f>
        <v>0</v>
      </c>
      <c r="I797" s="16" t="n">
        <f aca="false">SUM(H$5:H797)</f>
        <v>6</v>
      </c>
    </row>
    <row r="798" customFormat="false" ht="15" hidden="false" customHeight="false" outlineLevel="0" collapsed="false">
      <c r="A798" s="12"/>
      <c r="B798" s="13"/>
      <c r="C798" s="13"/>
      <c r="D798" s="14"/>
      <c r="E798" s="15"/>
      <c r="F798" s="16" t="n">
        <f aca="false">IF(C798="",0,IF(COUNTIF(C$5:C798,C798)=1,1,0))</f>
        <v>0</v>
      </c>
      <c r="G798" s="16" t="n">
        <f aca="false">SUM(F$5:F798)</f>
        <v>8</v>
      </c>
      <c r="H798" s="16" t="n">
        <f aca="false">IF(B798="",0,IF(COUNTIF(B$5:B798,B798)=1,1,0))</f>
        <v>0</v>
      </c>
      <c r="I798" s="16" t="n">
        <f aca="false">SUM(H$5:H798)</f>
        <v>6</v>
      </c>
    </row>
    <row r="799" customFormat="false" ht="15" hidden="false" customHeight="false" outlineLevel="0" collapsed="false">
      <c r="A799" s="12"/>
      <c r="B799" s="13"/>
      <c r="C799" s="13"/>
      <c r="D799" s="14"/>
      <c r="E799" s="15"/>
      <c r="F799" s="16" t="n">
        <f aca="false">IF(C799="",0,IF(COUNTIF(C$5:C799,C799)=1,1,0))</f>
        <v>0</v>
      </c>
      <c r="G799" s="16" t="n">
        <f aca="false">SUM(F$5:F799)</f>
        <v>8</v>
      </c>
      <c r="H799" s="16" t="n">
        <f aca="false">IF(B799="",0,IF(COUNTIF(B$5:B799,B799)=1,1,0))</f>
        <v>0</v>
      </c>
      <c r="I799" s="16" t="n">
        <f aca="false">SUM(H$5:H799)</f>
        <v>6</v>
      </c>
    </row>
    <row r="800" customFormat="false" ht="15" hidden="false" customHeight="false" outlineLevel="0" collapsed="false">
      <c r="A800" s="12"/>
      <c r="B800" s="13"/>
      <c r="C800" s="13"/>
      <c r="D800" s="14"/>
      <c r="E800" s="15"/>
      <c r="F800" s="16" t="n">
        <f aca="false">IF(C800="",0,IF(COUNTIF(C$5:C800,C800)=1,1,0))</f>
        <v>0</v>
      </c>
      <c r="G800" s="16" t="n">
        <f aca="false">SUM(F$5:F800)</f>
        <v>8</v>
      </c>
      <c r="H800" s="16" t="n">
        <f aca="false">IF(B800="",0,IF(COUNTIF(B$5:B800,B800)=1,1,0))</f>
        <v>0</v>
      </c>
      <c r="I800" s="16" t="n">
        <f aca="false">SUM(H$5:H800)</f>
        <v>6</v>
      </c>
    </row>
    <row r="801" customFormat="false" ht="15" hidden="false" customHeight="false" outlineLevel="0" collapsed="false">
      <c r="A801" s="12"/>
      <c r="B801" s="13"/>
      <c r="C801" s="13"/>
      <c r="D801" s="14"/>
      <c r="E801" s="15"/>
      <c r="F801" s="16" t="n">
        <f aca="false">IF(C801="",0,IF(COUNTIF(C$5:C801,C801)=1,1,0))</f>
        <v>0</v>
      </c>
      <c r="G801" s="16" t="n">
        <f aca="false">SUM(F$5:F801)</f>
        <v>8</v>
      </c>
      <c r="H801" s="16" t="n">
        <f aca="false">IF(B801="",0,IF(COUNTIF(B$5:B801,B801)=1,1,0))</f>
        <v>0</v>
      </c>
      <c r="I801" s="16" t="n">
        <f aca="false">SUM(H$5:H801)</f>
        <v>6</v>
      </c>
    </row>
    <row r="802" customFormat="false" ht="15" hidden="false" customHeight="false" outlineLevel="0" collapsed="false">
      <c r="A802" s="12"/>
      <c r="B802" s="13"/>
      <c r="C802" s="13"/>
      <c r="D802" s="14"/>
      <c r="E802" s="15"/>
      <c r="F802" s="16" t="n">
        <f aca="false">IF(C802="",0,IF(COUNTIF(C$5:C802,C802)=1,1,0))</f>
        <v>0</v>
      </c>
      <c r="G802" s="16" t="n">
        <f aca="false">SUM(F$5:F802)</f>
        <v>8</v>
      </c>
      <c r="H802" s="16" t="n">
        <f aca="false">IF(B802="",0,IF(COUNTIF(B$5:B802,B802)=1,1,0))</f>
        <v>0</v>
      </c>
      <c r="I802" s="16" t="n">
        <f aca="false">SUM(H$5:H802)</f>
        <v>6</v>
      </c>
    </row>
    <row r="803" customFormat="false" ht="15" hidden="false" customHeight="false" outlineLevel="0" collapsed="false">
      <c r="A803" s="12"/>
      <c r="B803" s="13"/>
      <c r="C803" s="13"/>
      <c r="D803" s="14"/>
      <c r="E803" s="15"/>
      <c r="F803" s="16" t="n">
        <f aca="false">IF(C803="",0,IF(COUNTIF(C$5:C803,C803)=1,1,0))</f>
        <v>0</v>
      </c>
      <c r="G803" s="16" t="n">
        <f aca="false">SUM(F$5:F803)</f>
        <v>8</v>
      </c>
      <c r="H803" s="16" t="n">
        <f aca="false">IF(B803="",0,IF(COUNTIF(B$5:B803,B803)=1,1,0))</f>
        <v>0</v>
      </c>
      <c r="I803" s="16" t="n">
        <f aca="false">SUM(H$5:H803)</f>
        <v>6</v>
      </c>
    </row>
    <row r="804" customFormat="false" ht="15" hidden="false" customHeight="false" outlineLevel="0" collapsed="false">
      <c r="A804" s="12"/>
      <c r="B804" s="13"/>
      <c r="C804" s="13"/>
      <c r="D804" s="14"/>
      <c r="E804" s="15"/>
      <c r="F804" s="16" t="n">
        <f aca="false">IF(C804="",0,IF(COUNTIF(C$5:C804,C804)=1,1,0))</f>
        <v>0</v>
      </c>
      <c r="G804" s="16" t="n">
        <f aca="false">SUM(F$5:F804)</f>
        <v>8</v>
      </c>
      <c r="H804" s="16" t="n">
        <f aca="false">IF(B804="",0,IF(COUNTIF(B$5:B804,B804)=1,1,0))</f>
        <v>0</v>
      </c>
      <c r="I804" s="16" t="n">
        <f aca="false">SUM(H$5:H804)</f>
        <v>6</v>
      </c>
    </row>
    <row r="805" customFormat="false" ht="15" hidden="false" customHeight="false" outlineLevel="0" collapsed="false">
      <c r="A805" s="12"/>
      <c r="B805" s="13"/>
      <c r="C805" s="13"/>
      <c r="D805" s="14"/>
      <c r="E805" s="15"/>
      <c r="F805" s="16" t="n">
        <f aca="false">IF(C805="",0,IF(COUNTIF(C$5:C805,C805)=1,1,0))</f>
        <v>0</v>
      </c>
      <c r="G805" s="16" t="n">
        <f aca="false">SUM(F$5:F805)</f>
        <v>8</v>
      </c>
      <c r="H805" s="16" t="n">
        <f aca="false">IF(B805="",0,IF(COUNTIF(B$5:B805,B805)=1,1,0))</f>
        <v>0</v>
      </c>
      <c r="I805" s="16" t="n">
        <f aca="false">SUM(H$5:H805)</f>
        <v>6</v>
      </c>
    </row>
    <row r="806" customFormat="false" ht="15" hidden="false" customHeight="false" outlineLevel="0" collapsed="false">
      <c r="A806" s="12"/>
      <c r="B806" s="13"/>
      <c r="C806" s="13"/>
      <c r="D806" s="14"/>
      <c r="E806" s="15"/>
      <c r="F806" s="16" t="n">
        <f aca="false">IF(C806="",0,IF(COUNTIF(C$5:C806,C806)=1,1,0))</f>
        <v>0</v>
      </c>
      <c r="G806" s="16" t="n">
        <f aca="false">SUM(F$5:F806)</f>
        <v>8</v>
      </c>
      <c r="H806" s="16" t="n">
        <f aca="false">IF(B806="",0,IF(COUNTIF(B$5:B806,B806)=1,1,0))</f>
        <v>0</v>
      </c>
      <c r="I806" s="16" t="n">
        <f aca="false">SUM(H$5:H806)</f>
        <v>6</v>
      </c>
    </row>
    <row r="807" customFormat="false" ht="15" hidden="false" customHeight="false" outlineLevel="0" collapsed="false">
      <c r="A807" s="12"/>
      <c r="B807" s="13"/>
      <c r="C807" s="13"/>
      <c r="D807" s="14"/>
      <c r="E807" s="15"/>
      <c r="F807" s="16" t="n">
        <f aca="false">IF(C807="",0,IF(COUNTIF(C$5:C807,C807)=1,1,0))</f>
        <v>0</v>
      </c>
      <c r="G807" s="16" t="n">
        <f aca="false">SUM(F$5:F807)</f>
        <v>8</v>
      </c>
      <c r="H807" s="16" t="n">
        <f aca="false">IF(B807="",0,IF(COUNTIF(B$5:B807,B807)=1,1,0))</f>
        <v>0</v>
      </c>
      <c r="I807" s="16" t="n">
        <f aca="false">SUM(H$5:H807)</f>
        <v>6</v>
      </c>
    </row>
    <row r="808" customFormat="false" ht="15" hidden="false" customHeight="false" outlineLevel="0" collapsed="false">
      <c r="A808" s="12"/>
      <c r="B808" s="13"/>
      <c r="C808" s="13"/>
      <c r="D808" s="14"/>
      <c r="E808" s="15"/>
      <c r="F808" s="16" t="n">
        <f aca="false">IF(C808="",0,IF(COUNTIF(C$5:C808,C808)=1,1,0))</f>
        <v>0</v>
      </c>
      <c r="G808" s="16" t="n">
        <f aca="false">SUM(F$5:F808)</f>
        <v>8</v>
      </c>
      <c r="H808" s="16" t="n">
        <f aca="false">IF(B808="",0,IF(COUNTIF(B$5:B808,B808)=1,1,0))</f>
        <v>0</v>
      </c>
      <c r="I808" s="16" t="n">
        <f aca="false">SUM(H$5:H808)</f>
        <v>6</v>
      </c>
    </row>
    <row r="809" customFormat="false" ht="15" hidden="false" customHeight="false" outlineLevel="0" collapsed="false">
      <c r="A809" s="12"/>
      <c r="B809" s="13"/>
      <c r="C809" s="13"/>
      <c r="D809" s="14"/>
      <c r="E809" s="15"/>
      <c r="F809" s="16" t="n">
        <f aca="false">IF(C809="",0,IF(COUNTIF(C$5:C809,C809)=1,1,0))</f>
        <v>0</v>
      </c>
      <c r="G809" s="16" t="n">
        <f aca="false">SUM(F$5:F809)</f>
        <v>8</v>
      </c>
      <c r="H809" s="16" t="n">
        <f aca="false">IF(B809="",0,IF(COUNTIF(B$5:B809,B809)=1,1,0))</f>
        <v>0</v>
      </c>
      <c r="I809" s="16" t="n">
        <f aca="false">SUM(H$5:H809)</f>
        <v>6</v>
      </c>
    </row>
    <row r="810" customFormat="false" ht="15" hidden="false" customHeight="false" outlineLevel="0" collapsed="false">
      <c r="A810" s="12"/>
      <c r="B810" s="13"/>
      <c r="C810" s="13"/>
      <c r="D810" s="14"/>
      <c r="E810" s="15"/>
      <c r="F810" s="16" t="n">
        <f aca="false">IF(C810="",0,IF(COUNTIF(C$5:C810,C810)=1,1,0))</f>
        <v>0</v>
      </c>
      <c r="G810" s="16" t="n">
        <f aca="false">SUM(F$5:F810)</f>
        <v>8</v>
      </c>
      <c r="H810" s="16" t="n">
        <f aca="false">IF(B810="",0,IF(COUNTIF(B$5:B810,B810)=1,1,0))</f>
        <v>0</v>
      </c>
      <c r="I810" s="16" t="n">
        <f aca="false">SUM(H$5:H810)</f>
        <v>6</v>
      </c>
    </row>
    <row r="811" customFormat="false" ht="15" hidden="false" customHeight="false" outlineLevel="0" collapsed="false">
      <c r="A811" s="12"/>
      <c r="B811" s="13"/>
      <c r="C811" s="13"/>
      <c r="D811" s="14"/>
      <c r="E811" s="15"/>
      <c r="F811" s="16" t="n">
        <f aca="false">IF(C811="",0,IF(COUNTIF(C$5:C811,C811)=1,1,0))</f>
        <v>0</v>
      </c>
      <c r="G811" s="16" t="n">
        <f aca="false">SUM(F$5:F811)</f>
        <v>8</v>
      </c>
      <c r="H811" s="16" t="n">
        <f aca="false">IF(B811="",0,IF(COUNTIF(B$5:B811,B811)=1,1,0))</f>
        <v>0</v>
      </c>
      <c r="I811" s="16" t="n">
        <f aca="false">SUM(H$5:H811)</f>
        <v>6</v>
      </c>
    </row>
    <row r="812" customFormat="false" ht="15" hidden="false" customHeight="false" outlineLevel="0" collapsed="false">
      <c r="A812" s="12"/>
      <c r="B812" s="13"/>
      <c r="C812" s="13"/>
      <c r="D812" s="14"/>
      <c r="E812" s="15"/>
      <c r="F812" s="16" t="n">
        <f aca="false">IF(C812="",0,IF(COUNTIF(C$5:C812,C812)=1,1,0))</f>
        <v>0</v>
      </c>
      <c r="G812" s="16" t="n">
        <f aca="false">SUM(F$5:F812)</f>
        <v>8</v>
      </c>
      <c r="H812" s="16" t="n">
        <f aca="false">IF(B812="",0,IF(COUNTIF(B$5:B812,B812)=1,1,0))</f>
        <v>0</v>
      </c>
      <c r="I812" s="16" t="n">
        <f aca="false">SUM(H$5:H812)</f>
        <v>6</v>
      </c>
    </row>
    <row r="813" customFormat="false" ht="15" hidden="false" customHeight="false" outlineLevel="0" collapsed="false">
      <c r="A813" s="12"/>
      <c r="B813" s="13"/>
      <c r="C813" s="13"/>
      <c r="D813" s="14"/>
      <c r="E813" s="15"/>
      <c r="F813" s="16" t="n">
        <f aca="false">IF(C813="",0,IF(COUNTIF(C$5:C813,C813)=1,1,0))</f>
        <v>0</v>
      </c>
      <c r="G813" s="16" t="n">
        <f aca="false">SUM(F$5:F813)</f>
        <v>8</v>
      </c>
      <c r="H813" s="16" t="n">
        <f aca="false">IF(B813="",0,IF(COUNTIF(B$5:B813,B813)=1,1,0))</f>
        <v>0</v>
      </c>
      <c r="I813" s="16" t="n">
        <f aca="false">SUM(H$5:H813)</f>
        <v>6</v>
      </c>
    </row>
    <row r="814" customFormat="false" ht="15" hidden="false" customHeight="false" outlineLevel="0" collapsed="false">
      <c r="A814" s="12"/>
      <c r="B814" s="13"/>
      <c r="C814" s="13"/>
      <c r="D814" s="14"/>
      <c r="E814" s="15"/>
      <c r="F814" s="16" t="n">
        <f aca="false">IF(C814="",0,IF(COUNTIF(C$5:C814,C814)=1,1,0))</f>
        <v>0</v>
      </c>
      <c r="G814" s="16" t="n">
        <f aca="false">SUM(F$5:F814)</f>
        <v>8</v>
      </c>
      <c r="H814" s="16" t="n">
        <f aca="false">IF(B814="",0,IF(COUNTIF(B$5:B814,B814)=1,1,0))</f>
        <v>0</v>
      </c>
      <c r="I814" s="16" t="n">
        <f aca="false">SUM(H$5:H814)</f>
        <v>6</v>
      </c>
    </row>
    <row r="815" customFormat="false" ht="15" hidden="false" customHeight="false" outlineLevel="0" collapsed="false">
      <c r="A815" s="12"/>
      <c r="B815" s="13"/>
      <c r="C815" s="13"/>
      <c r="D815" s="14"/>
      <c r="E815" s="15"/>
      <c r="F815" s="16" t="n">
        <f aca="false">IF(C815="",0,IF(COUNTIF(C$5:C815,C815)=1,1,0))</f>
        <v>0</v>
      </c>
      <c r="G815" s="16" t="n">
        <f aca="false">SUM(F$5:F815)</f>
        <v>8</v>
      </c>
      <c r="H815" s="16" t="n">
        <f aca="false">IF(B815="",0,IF(COUNTIF(B$5:B815,B815)=1,1,0))</f>
        <v>0</v>
      </c>
      <c r="I815" s="16" t="n">
        <f aca="false">SUM(H$5:H815)</f>
        <v>6</v>
      </c>
    </row>
    <row r="816" customFormat="false" ht="15" hidden="false" customHeight="false" outlineLevel="0" collapsed="false">
      <c r="A816" s="12"/>
      <c r="B816" s="13"/>
      <c r="C816" s="13"/>
      <c r="D816" s="14"/>
      <c r="E816" s="15"/>
      <c r="F816" s="16" t="n">
        <f aca="false">IF(C816="",0,IF(COUNTIF(C$5:C816,C816)=1,1,0))</f>
        <v>0</v>
      </c>
      <c r="G816" s="16" t="n">
        <f aca="false">SUM(F$5:F816)</f>
        <v>8</v>
      </c>
      <c r="H816" s="16" t="n">
        <f aca="false">IF(B816="",0,IF(COUNTIF(B$5:B816,B816)=1,1,0))</f>
        <v>0</v>
      </c>
      <c r="I816" s="16" t="n">
        <f aca="false">SUM(H$5:H816)</f>
        <v>6</v>
      </c>
    </row>
    <row r="817" customFormat="false" ht="15" hidden="false" customHeight="false" outlineLevel="0" collapsed="false">
      <c r="A817" s="12"/>
      <c r="B817" s="13"/>
      <c r="C817" s="13"/>
      <c r="D817" s="14"/>
      <c r="E817" s="15"/>
      <c r="F817" s="16" t="n">
        <f aca="false">IF(C817="",0,IF(COUNTIF(C$5:C817,C817)=1,1,0))</f>
        <v>0</v>
      </c>
      <c r="G817" s="16" t="n">
        <f aca="false">SUM(F$5:F817)</f>
        <v>8</v>
      </c>
      <c r="H817" s="16" t="n">
        <f aca="false">IF(B817="",0,IF(COUNTIF(B$5:B817,B817)=1,1,0))</f>
        <v>0</v>
      </c>
      <c r="I817" s="16" t="n">
        <f aca="false">SUM(H$5:H817)</f>
        <v>6</v>
      </c>
    </row>
    <row r="818" customFormat="false" ht="15" hidden="false" customHeight="false" outlineLevel="0" collapsed="false">
      <c r="A818" s="12"/>
      <c r="B818" s="13"/>
      <c r="C818" s="13"/>
      <c r="D818" s="14"/>
      <c r="E818" s="15"/>
      <c r="F818" s="16" t="n">
        <f aca="false">IF(C818="",0,IF(COUNTIF(C$5:C818,C818)=1,1,0))</f>
        <v>0</v>
      </c>
      <c r="G818" s="16" t="n">
        <f aca="false">SUM(F$5:F818)</f>
        <v>8</v>
      </c>
      <c r="H818" s="16" t="n">
        <f aca="false">IF(B818="",0,IF(COUNTIF(B$5:B818,B818)=1,1,0))</f>
        <v>0</v>
      </c>
      <c r="I818" s="16" t="n">
        <f aca="false">SUM(H$5:H818)</f>
        <v>6</v>
      </c>
    </row>
    <row r="819" customFormat="false" ht="15" hidden="false" customHeight="false" outlineLevel="0" collapsed="false">
      <c r="A819" s="12"/>
      <c r="B819" s="13"/>
      <c r="C819" s="13"/>
      <c r="D819" s="14"/>
      <c r="E819" s="15"/>
      <c r="F819" s="16" t="n">
        <f aca="false">IF(C819="",0,IF(COUNTIF(C$5:C819,C819)=1,1,0))</f>
        <v>0</v>
      </c>
      <c r="G819" s="16" t="n">
        <f aca="false">SUM(F$5:F819)</f>
        <v>8</v>
      </c>
      <c r="H819" s="16" t="n">
        <f aca="false">IF(B819="",0,IF(COUNTIF(B$5:B819,B819)=1,1,0))</f>
        <v>0</v>
      </c>
      <c r="I819" s="16" t="n">
        <f aca="false">SUM(H$5:H819)</f>
        <v>6</v>
      </c>
    </row>
    <row r="820" customFormat="false" ht="15" hidden="false" customHeight="false" outlineLevel="0" collapsed="false">
      <c r="A820" s="12"/>
      <c r="B820" s="13"/>
      <c r="C820" s="13"/>
      <c r="D820" s="14"/>
      <c r="E820" s="15"/>
      <c r="F820" s="16" t="n">
        <f aca="false">IF(C820="",0,IF(COUNTIF(C$5:C820,C820)=1,1,0))</f>
        <v>0</v>
      </c>
      <c r="G820" s="16" t="n">
        <f aca="false">SUM(F$5:F820)</f>
        <v>8</v>
      </c>
      <c r="H820" s="16" t="n">
        <f aca="false">IF(B820="",0,IF(COUNTIF(B$5:B820,B820)=1,1,0))</f>
        <v>0</v>
      </c>
      <c r="I820" s="16" t="n">
        <f aca="false">SUM(H$5:H820)</f>
        <v>6</v>
      </c>
    </row>
    <row r="821" customFormat="false" ht="15" hidden="false" customHeight="false" outlineLevel="0" collapsed="false">
      <c r="A821" s="12"/>
      <c r="B821" s="13"/>
      <c r="C821" s="13"/>
      <c r="D821" s="14"/>
      <c r="E821" s="15"/>
      <c r="F821" s="16" t="n">
        <f aca="false">IF(C821="",0,IF(COUNTIF(C$5:C821,C821)=1,1,0))</f>
        <v>0</v>
      </c>
      <c r="G821" s="16" t="n">
        <f aca="false">SUM(F$5:F821)</f>
        <v>8</v>
      </c>
      <c r="H821" s="16" t="n">
        <f aca="false">IF(B821="",0,IF(COUNTIF(B$5:B821,B821)=1,1,0))</f>
        <v>0</v>
      </c>
      <c r="I821" s="16" t="n">
        <f aca="false">SUM(H$5:H821)</f>
        <v>6</v>
      </c>
    </row>
    <row r="822" customFormat="false" ht="15" hidden="false" customHeight="false" outlineLevel="0" collapsed="false">
      <c r="A822" s="12"/>
      <c r="B822" s="13"/>
      <c r="C822" s="13"/>
      <c r="D822" s="14"/>
      <c r="E822" s="15"/>
      <c r="F822" s="16" t="n">
        <f aca="false">IF(C822="",0,IF(COUNTIF(C$5:C822,C822)=1,1,0))</f>
        <v>0</v>
      </c>
      <c r="G822" s="16" t="n">
        <f aca="false">SUM(F$5:F822)</f>
        <v>8</v>
      </c>
      <c r="H822" s="16" t="n">
        <f aca="false">IF(B822="",0,IF(COUNTIF(B$5:B822,B822)=1,1,0))</f>
        <v>0</v>
      </c>
      <c r="I822" s="16" t="n">
        <f aca="false">SUM(H$5:H822)</f>
        <v>6</v>
      </c>
    </row>
    <row r="823" customFormat="false" ht="15" hidden="false" customHeight="false" outlineLevel="0" collapsed="false">
      <c r="A823" s="12"/>
      <c r="B823" s="13"/>
      <c r="C823" s="13"/>
      <c r="D823" s="14"/>
      <c r="E823" s="15"/>
      <c r="F823" s="16" t="n">
        <f aca="false">IF(C823="",0,IF(COUNTIF(C$5:C823,C823)=1,1,0))</f>
        <v>0</v>
      </c>
      <c r="G823" s="16" t="n">
        <f aca="false">SUM(F$5:F823)</f>
        <v>8</v>
      </c>
      <c r="H823" s="16" t="n">
        <f aca="false">IF(B823="",0,IF(COUNTIF(B$5:B823,B823)=1,1,0))</f>
        <v>0</v>
      </c>
      <c r="I823" s="16" t="n">
        <f aca="false">SUM(H$5:H823)</f>
        <v>6</v>
      </c>
    </row>
    <row r="824" customFormat="false" ht="15" hidden="false" customHeight="false" outlineLevel="0" collapsed="false">
      <c r="A824" s="12"/>
      <c r="B824" s="13"/>
      <c r="C824" s="13"/>
      <c r="D824" s="14"/>
      <c r="E824" s="15"/>
      <c r="F824" s="16" t="n">
        <f aca="false">IF(C824="",0,IF(COUNTIF(C$5:C824,C824)=1,1,0))</f>
        <v>0</v>
      </c>
      <c r="G824" s="16" t="n">
        <f aca="false">SUM(F$5:F824)</f>
        <v>8</v>
      </c>
      <c r="H824" s="16" t="n">
        <f aca="false">IF(B824="",0,IF(COUNTIF(B$5:B824,B824)=1,1,0))</f>
        <v>0</v>
      </c>
      <c r="I824" s="16" t="n">
        <f aca="false">SUM(H$5:H824)</f>
        <v>6</v>
      </c>
    </row>
    <row r="825" customFormat="false" ht="15" hidden="false" customHeight="false" outlineLevel="0" collapsed="false">
      <c r="A825" s="12"/>
      <c r="B825" s="13"/>
      <c r="C825" s="13"/>
      <c r="D825" s="14"/>
      <c r="E825" s="15"/>
      <c r="F825" s="16" t="n">
        <f aca="false">IF(C825="",0,IF(COUNTIF(C$5:C825,C825)=1,1,0))</f>
        <v>0</v>
      </c>
      <c r="G825" s="16" t="n">
        <f aca="false">SUM(F$5:F825)</f>
        <v>8</v>
      </c>
      <c r="H825" s="16" t="n">
        <f aca="false">IF(B825="",0,IF(COUNTIF(B$5:B825,B825)=1,1,0))</f>
        <v>0</v>
      </c>
      <c r="I825" s="16" t="n">
        <f aca="false">SUM(H$5:H825)</f>
        <v>6</v>
      </c>
    </row>
    <row r="826" customFormat="false" ht="15" hidden="false" customHeight="false" outlineLevel="0" collapsed="false">
      <c r="A826" s="12"/>
      <c r="B826" s="13"/>
      <c r="C826" s="13"/>
      <c r="D826" s="14"/>
      <c r="E826" s="15"/>
      <c r="F826" s="16" t="n">
        <f aca="false">IF(C826="",0,IF(COUNTIF(C$5:C826,C826)=1,1,0))</f>
        <v>0</v>
      </c>
      <c r="G826" s="16" t="n">
        <f aca="false">SUM(F$5:F826)</f>
        <v>8</v>
      </c>
      <c r="H826" s="16" t="n">
        <f aca="false">IF(B826="",0,IF(COUNTIF(B$5:B826,B826)=1,1,0))</f>
        <v>0</v>
      </c>
      <c r="I826" s="16" t="n">
        <f aca="false">SUM(H$5:H826)</f>
        <v>6</v>
      </c>
    </row>
    <row r="827" customFormat="false" ht="15" hidden="false" customHeight="false" outlineLevel="0" collapsed="false">
      <c r="A827" s="12"/>
      <c r="B827" s="13"/>
      <c r="C827" s="13"/>
      <c r="D827" s="14"/>
      <c r="E827" s="15"/>
      <c r="F827" s="16" t="n">
        <f aca="false">IF(C827="",0,IF(COUNTIF(C$5:C827,C827)=1,1,0))</f>
        <v>0</v>
      </c>
      <c r="G827" s="16" t="n">
        <f aca="false">SUM(F$5:F827)</f>
        <v>8</v>
      </c>
      <c r="H827" s="16" t="n">
        <f aca="false">IF(B827="",0,IF(COUNTIF(B$5:B827,B827)=1,1,0))</f>
        <v>0</v>
      </c>
      <c r="I827" s="16" t="n">
        <f aca="false">SUM(H$5:H827)</f>
        <v>6</v>
      </c>
    </row>
    <row r="828" customFormat="false" ht="15" hidden="false" customHeight="false" outlineLevel="0" collapsed="false">
      <c r="A828" s="12"/>
      <c r="B828" s="13"/>
      <c r="C828" s="13"/>
      <c r="D828" s="14"/>
      <c r="E828" s="15"/>
      <c r="F828" s="16" t="n">
        <f aca="false">IF(C828="",0,IF(COUNTIF(C$5:C828,C828)=1,1,0))</f>
        <v>0</v>
      </c>
      <c r="G828" s="16" t="n">
        <f aca="false">SUM(F$5:F828)</f>
        <v>8</v>
      </c>
      <c r="H828" s="16" t="n">
        <f aca="false">IF(B828="",0,IF(COUNTIF(B$5:B828,B828)=1,1,0))</f>
        <v>0</v>
      </c>
      <c r="I828" s="16" t="n">
        <f aca="false">SUM(H$5:H828)</f>
        <v>6</v>
      </c>
    </row>
    <row r="829" customFormat="false" ht="15" hidden="false" customHeight="false" outlineLevel="0" collapsed="false">
      <c r="A829" s="12"/>
      <c r="B829" s="13"/>
      <c r="C829" s="13"/>
      <c r="D829" s="14"/>
      <c r="E829" s="15"/>
      <c r="F829" s="16" t="n">
        <f aca="false">IF(C829="",0,IF(COUNTIF(C$5:C829,C829)=1,1,0))</f>
        <v>0</v>
      </c>
      <c r="G829" s="16" t="n">
        <f aca="false">SUM(F$5:F829)</f>
        <v>8</v>
      </c>
      <c r="H829" s="16" t="n">
        <f aca="false">IF(B829="",0,IF(COUNTIF(B$5:B829,B829)=1,1,0))</f>
        <v>0</v>
      </c>
      <c r="I829" s="16" t="n">
        <f aca="false">SUM(H$5:H829)</f>
        <v>6</v>
      </c>
    </row>
    <row r="830" customFormat="false" ht="15" hidden="false" customHeight="false" outlineLevel="0" collapsed="false">
      <c r="A830" s="12"/>
      <c r="B830" s="13"/>
      <c r="C830" s="13"/>
      <c r="D830" s="14"/>
      <c r="E830" s="15"/>
      <c r="F830" s="16" t="n">
        <f aca="false">IF(C830="",0,IF(COUNTIF(C$5:C830,C830)=1,1,0))</f>
        <v>0</v>
      </c>
      <c r="G830" s="16" t="n">
        <f aca="false">SUM(F$5:F830)</f>
        <v>8</v>
      </c>
      <c r="H830" s="16" t="n">
        <f aca="false">IF(B830="",0,IF(COUNTIF(B$5:B830,B830)=1,1,0))</f>
        <v>0</v>
      </c>
      <c r="I830" s="16" t="n">
        <f aca="false">SUM(H$5:H830)</f>
        <v>6</v>
      </c>
    </row>
    <row r="831" customFormat="false" ht="15" hidden="false" customHeight="false" outlineLevel="0" collapsed="false">
      <c r="A831" s="12"/>
      <c r="B831" s="13"/>
      <c r="C831" s="13"/>
      <c r="D831" s="14"/>
      <c r="E831" s="15"/>
      <c r="F831" s="16" t="n">
        <f aca="false">IF(C831="",0,IF(COUNTIF(C$5:C831,C831)=1,1,0))</f>
        <v>0</v>
      </c>
      <c r="G831" s="16" t="n">
        <f aca="false">SUM(F$5:F831)</f>
        <v>8</v>
      </c>
      <c r="H831" s="16" t="n">
        <f aca="false">IF(B831="",0,IF(COUNTIF(B$5:B831,B831)=1,1,0))</f>
        <v>0</v>
      </c>
      <c r="I831" s="16" t="n">
        <f aca="false">SUM(H$5:H831)</f>
        <v>6</v>
      </c>
    </row>
    <row r="832" customFormat="false" ht="15" hidden="false" customHeight="false" outlineLevel="0" collapsed="false">
      <c r="A832" s="12"/>
      <c r="B832" s="13"/>
      <c r="C832" s="13"/>
      <c r="D832" s="14"/>
      <c r="E832" s="15"/>
      <c r="F832" s="16" t="n">
        <f aca="false">IF(C832="",0,IF(COUNTIF(C$5:C832,C832)=1,1,0))</f>
        <v>0</v>
      </c>
      <c r="G832" s="16" t="n">
        <f aca="false">SUM(F$5:F832)</f>
        <v>8</v>
      </c>
      <c r="H832" s="16" t="n">
        <f aca="false">IF(B832="",0,IF(COUNTIF(B$5:B832,B832)=1,1,0))</f>
        <v>0</v>
      </c>
      <c r="I832" s="16" t="n">
        <f aca="false">SUM(H$5:H832)</f>
        <v>6</v>
      </c>
    </row>
    <row r="833" customFormat="false" ht="15" hidden="false" customHeight="false" outlineLevel="0" collapsed="false">
      <c r="A833" s="12"/>
      <c r="B833" s="13"/>
      <c r="C833" s="13"/>
      <c r="D833" s="14"/>
      <c r="E833" s="15"/>
      <c r="F833" s="16" t="n">
        <f aca="false">IF(C833="",0,IF(COUNTIF(C$5:C833,C833)=1,1,0))</f>
        <v>0</v>
      </c>
      <c r="G833" s="16" t="n">
        <f aca="false">SUM(F$5:F833)</f>
        <v>8</v>
      </c>
      <c r="H833" s="16" t="n">
        <f aca="false">IF(B833="",0,IF(COUNTIF(B$5:B833,B833)=1,1,0))</f>
        <v>0</v>
      </c>
      <c r="I833" s="16" t="n">
        <f aca="false">SUM(H$5:H833)</f>
        <v>6</v>
      </c>
    </row>
    <row r="834" customFormat="false" ht="15" hidden="false" customHeight="false" outlineLevel="0" collapsed="false">
      <c r="A834" s="12"/>
      <c r="B834" s="13"/>
      <c r="C834" s="13"/>
      <c r="D834" s="14"/>
      <c r="E834" s="15"/>
      <c r="F834" s="16" t="n">
        <f aca="false">IF(C834="",0,IF(COUNTIF(C$5:C834,C834)=1,1,0))</f>
        <v>0</v>
      </c>
      <c r="G834" s="16" t="n">
        <f aca="false">SUM(F$5:F834)</f>
        <v>8</v>
      </c>
      <c r="H834" s="16" t="n">
        <f aca="false">IF(B834="",0,IF(COUNTIF(B$5:B834,B834)=1,1,0))</f>
        <v>0</v>
      </c>
      <c r="I834" s="16" t="n">
        <f aca="false">SUM(H$5:H834)</f>
        <v>6</v>
      </c>
    </row>
    <row r="835" customFormat="false" ht="15" hidden="false" customHeight="false" outlineLevel="0" collapsed="false">
      <c r="A835" s="12"/>
      <c r="B835" s="13"/>
      <c r="C835" s="13"/>
      <c r="D835" s="14"/>
      <c r="E835" s="15"/>
      <c r="F835" s="16" t="n">
        <f aca="false">IF(C835="",0,IF(COUNTIF(C$5:C835,C835)=1,1,0))</f>
        <v>0</v>
      </c>
      <c r="G835" s="16" t="n">
        <f aca="false">SUM(F$5:F835)</f>
        <v>8</v>
      </c>
      <c r="H835" s="16" t="n">
        <f aca="false">IF(B835="",0,IF(COUNTIF(B$5:B835,B835)=1,1,0))</f>
        <v>0</v>
      </c>
      <c r="I835" s="16" t="n">
        <f aca="false">SUM(H$5:H835)</f>
        <v>6</v>
      </c>
    </row>
    <row r="836" customFormat="false" ht="15" hidden="false" customHeight="false" outlineLevel="0" collapsed="false">
      <c r="A836" s="12"/>
      <c r="B836" s="13"/>
      <c r="C836" s="13"/>
      <c r="D836" s="14"/>
      <c r="E836" s="15"/>
      <c r="F836" s="16" t="n">
        <f aca="false">IF(C836="",0,IF(COUNTIF(C$5:C836,C836)=1,1,0))</f>
        <v>0</v>
      </c>
      <c r="G836" s="16" t="n">
        <f aca="false">SUM(F$5:F836)</f>
        <v>8</v>
      </c>
      <c r="H836" s="16" t="n">
        <f aca="false">IF(B836="",0,IF(COUNTIF(B$5:B836,B836)=1,1,0))</f>
        <v>0</v>
      </c>
      <c r="I836" s="16" t="n">
        <f aca="false">SUM(H$5:H836)</f>
        <v>6</v>
      </c>
    </row>
    <row r="837" customFormat="false" ht="15" hidden="false" customHeight="false" outlineLevel="0" collapsed="false">
      <c r="A837" s="12"/>
      <c r="B837" s="13"/>
      <c r="C837" s="13"/>
      <c r="D837" s="14"/>
      <c r="E837" s="15"/>
      <c r="F837" s="16" t="n">
        <f aca="false">IF(C837="",0,IF(COUNTIF(C$5:C837,C837)=1,1,0))</f>
        <v>0</v>
      </c>
      <c r="G837" s="16" t="n">
        <f aca="false">SUM(F$5:F837)</f>
        <v>8</v>
      </c>
      <c r="H837" s="16" t="n">
        <f aca="false">IF(B837="",0,IF(COUNTIF(B$5:B837,B837)=1,1,0))</f>
        <v>0</v>
      </c>
      <c r="I837" s="16" t="n">
        <f aca="false">SUM(H$5:H837)</f>
        <v>6</v>
      </c>
    </row>
    <row r="838" customFormat="false" ht="15" hidden="false" customHeight="false" outlineLevel="0" collapsed="false">
      <c r="A838" s="12"/>
      <c r="B838" s="13"/>
      <c r="C838" s="13"/>
      <c r="D838" s="14"/>
      <c r="E838" s="15"/>
      <c r="F838" s="16" t="n">
        <f aca="false">IF(C838="",0,IF(COUNTIF(C$5:C838,C838)=1,1,0))</f>
        <v>0</v>
      </c>
      <c r="G838" s="16" t="n">
        <f aca="false">SUM(F$5:F838)</f>
        <v>8</v>
      </c>
      <c r="H838" s="16" t="n">
        <f aca="false">IF(B838="",0,IF(COUNTIF(B$5:B838,B838)=1,1,0))</f>
        <v>0</v>
      </c>
      <c r="I838" s="16" t="n">
        <f aca="false">SUM(H$5:H838)</f>
        <v>6</v>
      </c>
    </row>
    <row r="839" customFormat="false" ht="15" hidden="false" customHeight="false" outlineLevel="0" collapsed="false">
      <c r="A839" s="12"/>
      <c r="B839" s="13"/>
      <c r="C839" s="13"/>
      <c r="D839" s="14"/>
      <c r="E839" s="15"/>
      <c r="F839" s="16" t="n">
        <f aca="false">IF(C839="",0,IF(COUNTIF(C$5:C839,C839)=1,1,0))</f>
        <v>0</v>
      </c>
      <c r="G839" s="16" t="n">
        <f aca="false">SUM(F$5:F839)</f>
        <v>8</v>
      </c>
      <c r="H839" s="16" t="n">
        <f aca="false">IF(B839="",0,IF(COUNTIF(B$5:B839,B839)=1,1,0))</f>
        <v>0</v>
      </c>
      <c r="I839" s="16" t="n">
        <f aca="false">SUM(H$5:H839)</f>
        <v>6</v>
      </c>
    </row>
    <row r="840" customFormat="false" ht="15" hidden="false" customHeight="false" outlineLevel="0" collapsed="false">
      <c r="A840" s="12"/>
      <c r="B840" s="13"/>
      <c r="C840" s="13"/>
      <c r="D840" s="14"/>
      <c r="E840" s="15"/>
      <c r="F840" s="16" t="n">
        <f aca="false">IF(C840="",0,IF(COUNTIF(C$5:C840,C840)=1,1,0))</f>
        <v>0</v>
      </c>
      <c r="G840" s="16" t="n">
        <f aca="false">SUM(F$5:F840)</f>
        <v>8</v>
      </c>
      <c r="H840" s="16" t="n">
        <f aca="false">IF(B840="",0,IF(COUNTIF(B$5:B840,B840)=1,1,0))</f>
        <v>0</v>
      </c>
      <c r="I840" s="16" t="n">
        <f aca="false">SUM(H$5:H840)</f>
        <v>6</v>
      </c>
    </row>
    <row r="841" customFormat="false" ht="15" hidden="false" customHeight="false" outlineLevel="0" collapsed="false">
      <c r="A841" s="12"/>
      <c r="B841" s="13"/>
      <c r="C841" s="13"/>
      <c r="D841" s="14"/>
      <c r="E841" s="15"/>
      <c r="F841" s="16" t="n">
        <f aca="false">IF(C841="",0,IF(COUNTIF(C$5:C841,C841)=1,1,0))</f>
        <v>0</v>
      </c>
      <c r="G841" s="16" t="n">
        <f aca="false">SUM(F$5:F841)</f>
        <v>8</v>
      </c>
      <c r="H841" s="16" t="n">
        <f aca="false">IF(B841="",0,IF(COUNTIF(B$5:B841,B841)=1,1,0))</f>
        <v>0</v>
      </c>
      <c r="I841" s="16" t="n">
        <f aca="false">SUM(H$5:H841)</f>
        <v>6</v>
      </c>
    </row>
    <row r="842" customFormat="false" ht="15" hidden="false" customHeight="false" outlineLevel="0" collapsed="false">
      <c r="A842" s="12"/>
      <c r="B842" s="13"/>
      <c r="C842" s="13"/>
      <c r="D842" s="14"/>
      <c r="E842" s="15"/>
      <c r="F842" s="16" t="n">
        <f aca="false">IF(C842="",0,IF(COUNTIF(C$5:C842,C842)=1,1,0))</f>
        <v>0</v>
      </c>
      <c r="G842" s="16" t="n">
        <f aca="false">SUM(F$5:F842)</f>
        <v>8</v>
      </c>
      <c r="H842" s="16" t="n">
        <f aca="false">IF(B842="",0,IF(COUNTIF(B$5:B842,B842)=1,1,0))</f>
        <v>0</v>
      </c>
      <c r="I842" s="16" t="n">
        <f aca="false">SUM(H$5:H842)</f>
        <v>6</v>
      </c>
    </row>
    <row r="843" customFormat="false" ht="15" hidden="false" customHeight="false" outlineLevel="0" collapsed="false">
      <c r="A843" s="12"/>
      <c r="B843" s="13"/>
      <c r="C843" s="13"/>
      <c r="D843" s="14"/>
      <c r="E843" s="15"/>
      <c r="F843" s="16" t="n">
        <f aca="false">IF(C843="",0,IF(COUNTIF(C$5:C843,C843)=1,1,0))</f>
        <v>0</v>
      </c>
      <c r="G843" s="16" t="n">
        <f aca="false">SUM(F$5:F843)</f>
        <v>8</v>
      </c>
      <c r="H843" s="16" t="n">
        <f aca="false">IF(B843="",0,IF(COUNTIF(B$5:B843,B843)=1,1,0))</f>
        <v>0</v>
      </c>
      <c r="I843" s="16" t="n">
        <f aca="false">SUM(H$5:H843)</f>
        <v>6</v>
      </c>
    </row>
    <row r="844" customFormat="false" ht="15" hidden="false" customHeight="false" outlineLevel="0" collapsed="false">
      <c r="A844" s="12"/>
      <c r="B844" s="13"/>
      <c r="C844" s="13"/>
      <c r="D844" s="14"/>
      <c r="E844" s="15"/>
      <c r="F844" s="16" t="n">
        <f aca="false">IF(C844="",0,IF(COUNTIF(C$5:C844,C844)=1,1,0))</f>
        <v>0</v>
      </c>
      <c r="G844" s="16" t="n">
        <f aca="false">SUM(F$5:F844)</f>
        <v>8</v>
      </c>
      <c r="H844" s="16" t="n">
        <f aca="false">IF(B844="",0,IF(COUNTIF(B$5:B844,B844)=1,1,0))</f>
        <v>0</v>
      </c>
      <c r="I844" s="16" t="n">
        <f aca="false">SUM(H$5:H844)</f>
        <v>6</v>
      </c>
    </row>
    <row r="845" customFormat="false" ht="15" hidden="false" customHeight="false" outlineLevel="0" collapsed="false">
      <c r="A845" s="12"/>
      <c r="B845" s="13"/>
      <c r="C845" s="13"/>
      <c r="D845" s="14"/>
      <c r="E845" s="15"/>
      <c r="F845" s="16" t="n">
        <f aca="false">IF(C845="",0,IF(COUNTIF(C$5:C845,C845)=1,1,0))</f>
        <v>0</v>
      </c>
      <c r="G845" s="16" t="n">
        <f aca="false">SUM(F$5:F845)</f>
        <v>8</v>
      </c>
      <c r="H845" s="16" t="n">
        <f aca="false">IF(B845="",0,IF(COUNTIF(B$5:B845,B845)=1,1,0))</f>
        <v>0</v>
      </c>
      <c r="I845" s="16" t="n">
        <f aca="false">SUM(H$5:H845)</f>
        <v>6</v>
      </c>
    </row>
    <row r="846" customFormat="false" ht="15" hidden="false" customHeight="false" outlineLevel="0" collapsed="false">
      <c r="A846" s="12"/>
      <c r="B846" s="13"/>
      <c r="C846" s="13"/>
      <c r="D846" s="14"/>
      <c r="E846" s="15"/>
      <c r="F846" s="16" t="n">
        <f aca="false">IF(C846="",0,IF(COUNTIF(C$5:C846,C846)=1,1,0))</f>
        <v>0</v>
      </c>
      <c r="G846" s="16" t="n">
        <f aca="false">SUM(F$5:F846)</f>
        <v>8</v>
      </c>
      <c r="H846" s="16" t="n">
        <f aca="false">IF(B846="",0,IF(COUNTIF(B$5:B846,B846)=1,1,0))</f>
        <v>0</v>
      </c>
      <c r="I846" s="16" t="n">
        <f aca="false">SUM(H$5:H846)</f>
        <v>6</v>
      </c>
    </row>
    <row r="847" customFormat="false" ht="15" hidden="false" customHeight="false" outlineLevel="0" collapsed="false">
      <c r="A847" s="12"/>
      <c r="B847" s="13"/>
      <c r="C847" s="13"/>
      <c r="D847" s="14"/>
      <c r="E847" s="15"/>
      <c r="F847" s="16" t="n">
        <f aca="false">IF(C847="",0,IF(COUNTIF(C$5:C847,C847)=1,1,0))</f>
        <v>0</v>
      </c>
      <c r="G847" s="16" t="n">
        <f aca="false">SUM(F$5:F847)</f>
        <v>8</v>
      </c>
      <c r="H847" s="16" t="n">
        <f aca="false">IF(B847="",0,IF(COUNTIF(B$5:B847,B847)=1,1,0))</f>
        <v>0</v>
      </c>
      <c r="I847" s="16" t="n">
        <f aca="false">SUM(H$5:H847)</f>
        <v>6</v>
      </c>
    </row>
    <row r="848" customFormat="false" ht="15" hidden="false" customHeight="false" outlineLevel="0" collapsed="false">
      <c r="A848" s="12"/>
      <c r="B848" s="13"/>
      <c r="C848" s="13"/>
      <c r="D848" s="14"/>
      <c r="E848" s="15"/>
      <c r="F848" s="16" t="n">
        <f aca="false">IF(C848="",0,IF(COUNTIF(C$5:C848,C848)=1,1,0))</f>
        <v>0</v>
      </c>
      <c r="G848" s="16" t="n">
        <f aca="false">SUM(F$5:F848)</f>
        <v>8</v>
      </c>
      <c r="H848" s="16" t="n">
        <f aca="false">IF(B848="",0,IF(COUNTIF(B$5:B848,B848)=1,1,0))</f>
        <v>0</v>
      </c>
      <c r="I848" s="16" t="n">
        <f aca="false">SUM(H$5:H848)</f>
        <v>6</v>
      </c>
    </row>
    <row r="849" customFormat="false" ht="15" hidden="false" customHeight="false" outlineLevel="0" collapsed="false">
      <c r="A849" s="12"/>
      <c r="B849" s="13"/>
      <c r="C849" s="13"/>
      <c r="D849" s="14"/>
      <c r="E849" s="15"/>
      <c r="F849" s="16" t="n">
        <f aca="false">IF(C849="",0,IF(COUNTIF(C$5:C849,C849)=1,1,0))</f>
        <v>0</v>
      </c>
      <c r="G849" s="16" t="n">
        <f aca="false">SUM(F$5:F849)</f>
        <v>8</v>
      </c>
      <c r="H849" s="16" t="n">
        <f aca="false">IF(B849="",0,IF(COUNTIF(B$5:B849,B849)=1,1,0))</f>
        <v>0</v>
      </c>
      <c r="I849" s="16" t="n">
        <f aca="false">SUM(H$5:H849)</f>
        <v>6</v>
      </c>
    </row>
    <row r="850" customFormat="false" ht="15" hidden="false" customHeight="false" outlineLevel="0" collapsed="false">
      <c r="A850" s="12"/>
      <c r="B850" s="13"/>
      <c r="C850" s="13"/>
      <c r="D850" s="14"/>
      <c r="E850" s="15"/>
      <c r="F850" s="16" t="n">
        <f aca="false">IF(C850="",0,IF(COUNTIF(C$5:C850,C850)=1,1,0))</f>
        <v>0</v>
      </c>
      <c r="G850" s="16" t="n">
        <f aca="false">SUM(F$5:F850)</f>
        <v>8</v>
      </c>
      <c r="H850" s="16" t="n">
        <f aca="false">IF(B850="",0,IF(COUNTIF(B$5:B850,B850)=1,1,0))</f>
        <v>0</v>
      </c>
      <c r="I850" s="16" t="n">
        <f aca="false">SUM(H$5:H850)</f>
        <v>6</v>
      </c>
    </row>
    <row r="851" customFormat="false" ht="15" hidden="false" customHeight="false" outlineLevel="0" collapsed="false">
      <c r="A851" s="12"/>
      <c r="B851" s="13"/>
      <c r="C851" s="13"/>
      <c r="D851" s="14"/>
      <c r="E851" s="15"/>
      <c r="F851" s="16" t="n">
        <f aca="false">IF(C851="",0,IF(COUNTIF(C$5:C851,C851)=1,1,0))</f>
        <v>0</v>
      </c>
      <c r="G851" s="16" t="n">
        <f aca="false">SUM(F$5:F851)</f>
        <v>8</v>
      </c>
      <c r="H851" s="16" t="n">
        <f aca="false">IF(B851="",0,IF(COUNTIF(B$5:B851,B851)=1,1,0))</f>
        <v>0</v>
      </c>
      <c r="I851" s="16" t="n">
        <f aca="false">SUM(H$5:H851)</f>
        <v>6</v>
      </c>
    </row>
    <row r="852" customFormat="false" ht="15" hidden="false" customHeight="false" outlineLevel="0" collapsed="false">
      <c r="A852" s="12"/>
      <c r="B852" s="13"/>
      <c r="C852" s="13"/>
      <c r="D852" s="14"/>
      <c r="E852" s="15"/>
      <c r="F852" s="16" t="n">
        <f aca="false">IF(C852="",0,IF(COUNTIF(C$5:C852,C852)=1,1,0))</f>
        <v>0</v>
      </c>
      <c r="G852" s="16" t="n">
        <f aca="false">SUM(F$5:F852)</f>
        <v>8</v>
      </c>
      <c r="H852" s="16" t="n">
        <f aca="false">IF(B852="",0,IF(COUNTIF(B$5:B852,B852)=1,1,0))</f>
        <v>0</v>
      </c>
      <c r="I852" s="16" t="n">
        <f aca="false">SUM(H$5:H852)</f>
        <v>6</v>
      </c>
    </row>
    <row r="853" customFormat="false" ht="15" hidden="false" customHeight="false" outlineLevel="0" collapsed="false">
      <c r="A853" s="12"/>
      <c r="B853" s="13"/>
      <c r="C853" s="13"/>
      <c r="D853" s="14"/>
      <c r="E853" s="15"/>
      <c r="F853" s="16" t="n">
        <f aca="false">IF(C853="",0,IF(COUNTIF(C$5:C853,C853)=1,1,0))</f>
        <v>0</v>
      </c>
      <c r="G853" s="16" t="n">
        <f aca="false">SUM(F$5:F853)</f>
        <v>8</v>
      </c>
      <c r="H853" s="16" t="n">
        <f aca="false">IF(B853="",0,IF(COUNTIF(B$5:B853,B853)=1,1,0))</f>
        <v>0</v>
      </c>
      <c r="I853" s="16" t="n">
        <f aca="false">SUM(H$5:H853)</f>
        <v>6</v>
      </c>
    </row>
    <row r="854" customFormat="false" ht="15" hidden="false" customHeight="false" outlineLevel="0" collapsed="false">
      <c r="A854" s="12"/>
      <c r="B854" s="13"/>
      <c r="C854" s="13"/>
      <c r="D854" s="14"/>
      <c r="E854" s="15"/>
      <c r="F854" s="16" t="n">
        <f aca="false">IF(C854="",0,IF(COUNTIF(C$5:C854,C854)=1,1,0))</f>
        <v>0</v>
      </c>
      <c r="G854" s="16" t="n">
        <f aca="false">SUM(F$5:F854)</f>
        <v>8</v>
      </c>
      <c r="H854" s="16" t="n">
        <f aca="false">IF(B854="",0,IF(COUNTIF(B$5:B854,B854)=1,1,0))</f>
        <v>0</v>
      </c>
      <c r="I854" s="16" t="n">
        <f aca="false">SUM(H$5:H854)</f>
        <v>6</v>
      </c>
    </row>
    <row r="855" customFormat="false" ht="15" hidden="false" customHeight="false" outlineLevel="0" collapsed="false">
      <c r="A855" s="12"/>
      <c r="B855" s="13"/>
      <c r="C855" s="13"/>
      <c r="D855" s="14"/>
      <c r="E855" s="15"/>
      <c r="F855" s="16" t="n">
        <f aca="false">IF(C855="",0,IF(COUNTIF(C$5:C855,C855)=1,1,0))</f>
        <v>0</v>
      </c>
      <c r="G855" s="16" t="n">
        <f aca="false">SUM(F$5:F855)</f>
        <v>8</v>
      </c>
      <c r="H855" s="16" t="n">
        <f aca="false">IF(B855="",0,IF(COUNTIF(B$5:B855,B855)=1,1,0))</f>
        <v>0</v>
      </c>
      <c r="I855" s="16" t="n">
        <f aca="false">SUM(H$5:H855)</f>
        <v>6</v>
      </c>
    </row>
    <row r="856" customFormat="false" ht="15" hidden="false" customHeight="false" outlineLevel="0" collapsed="false">
      <c r="A856" s="12"/>
      <c r="B856" s="13"/>
      <c r="C856" s="13"/>
      <c r="D856" s="14"/>
      <c r="E856" s="15"/>
      <c r="F856" s="16" t="n">
        <f aca="false">IF(C856="",0,IF(COUNTIF(C$5:C856,C856)=1,1,0))</f>
        <v>0</v>
      </c>
      <c r="G856" s="16" t="n">
        <f aca="false">SUM(F$5:F856)</f>
        <v>8</v>
      </c>
      <c r="H856" s="16" t="n">
        <f aca="false">IF(B856="",0,IF(COUNTIF(B$5:B856,B856)=1,1,0))</f>
        <v>0</v>
      </c>
      <c r="I856" s="16" t="n">
        <f aca="false">SUM(H$5:H856)</f>
        <v>6</v>
      </c>
    </row>
    <row r="857" customFormat="false" ht="15" hidden="false" customHeight="false" outlineLevel="0" collapsed="false">
      <c r="A857" s="12"/>
      <c r="B857" s="13"/>
      <c r="C857" s="13"/>
      <c r="D857" s="14"/>
      <c r="E857" s="15"/>
      <c r="F857" s="16" t="n">
        <f aca="false">IF(C857="",0,IF(COUNTIF(C$5:C857,C857)=1,1,0))</f>
        <v>0</v>
      </c>
      <c r="G857" s="16" t="n">
        <f aca="false">SUM(F$5:F857)</f>
        <v>8</v>
      </c>
      <c r="H857" s="16" t="n">
        <f aca="false">IF(B857="",0,IF(COUNTIF(B$5:B857,B857)=1,1,0))</f>
        <v>0</v>
      </c>
      <c r="I857" s="16" t="n">
        <f aca="false">SUM(H$5:H857)</f>
        <v>6</v>
      </c>
    </row>
    <row r="858" customFormat="false" ht="15" hidden="false" customHeight="false" outlineLevel="0" collapsed="false">
      <c r="A858" s="12"/>
      <c r="B858" s="13"/>
      <c r="C858" s="13"/>
      <c r="D858" s="14"/>
      <c r="E858" s="15"/>
      <c r="F858" s="16" t="n">
        <f aca="false">IF(C858="",0,IF(COUNTIF(C$5:C858,C858)=1,1,0))</f>
        <v>0</v>
      </c>
      <c r="G858" s="16" t="n">
        <f aca="false">SUM(F$5:F858)</f>
        <v>8</v>
      </c>
      <c r="H858" s="16" t="n">
        <f aca="false">IF(B858="",0,IF(COUNTIF(B$5:B858,B858)=1,1,0))</f>
        <v>0</v>
      </c>
      <c r="I858" s="16" t="n">
        <f aca="false">SUM(H$5:H858)</f>
        <v>6</v>
      </c>
    </row>
    <row r="859" customFormat="false" ht="15" hidden="false" customHeight="false" outlineLevel="0" collapsed="false">
      <c r="A859" s="12"/>
      <c r="B859" s="13"/>
      <c r="C859" s="13"/>
      <c r="D859" s="14"/>
      <c r="E859" s="15"/>
      <c r="F859" s="16" t="n">
        <f aca="false">IF(C859="",0,IF(COUNTIF(C$5:C859,C859)=1,1,0))</f>
        <v>0</v>
      </c>
      <c r="G859" s="16" t="n">
        <f aca="false">SUM(F$5:F859)</f>
        <v>8</v>
      </c>
      <c r="H859" s="16" t="n">
        <f aca="false">IF(B859="",0,IF(COUNTIF(B$5:B859,B859)=1,1,0))</f>
        <v>0</v>
      </c>
      <c r="I859" s="16" t="n">
        <f aca="false">SUM(H$5:H859)</f>
        <v>6</v>
      </c>
    </row>
    <row r="860" customFormat="false" ht="15" hidden="false" customHeight="false" outlineLevel="0" collapsed="false">
      <c r="A860" s="12"/>
      <c r="B860" s="13"/>
      <c r="C860" s="13"/>
      <c r="D860" s="14"/>
      <c r="E860" s="15"/>
      <c r="F860" s="16" t="n">
        <f aca="false">IF(C860="",0,IF(COUNTIF(C$5:C860,C860)=1,1,0))</f>
        <v>0</v>
      </c>
      <c r="G860" s="16" t="n">
        <f aca="false">SUM(F$5:F860)</f>
        <v>8</v>
      </c>
      <c r="H860" s="16" t="n">
        <f aca="false">IF(B860="",0,IF(COUNTIF(B$5:B860,B860)=1,1,0))</f>
        <v>0</v>
      </c>
      <c r="I860" s="16" t="n">
        <f aca="false">SUM(H$5:H860)</f>
        <v>6</v>
      </c>
    </row>
    <row r="861" customFormat="false" ht="15" hidden="false" customHeight="false" outlineLevel="0" collapsed="false">
      <c r="A861" s="12"/>
      <c r="B861" s="13"/>
      <c r="C861" s="13"/>
      <c r="D861" s="14"/>
      <c r="E861" s="15"/>
      <c r="F861" s="16" t="n">
        <f aca="false">IF(C861="",0,IF(COUNTIF(C$5:C861,C861)=1,1,0))</f>
        <v>0</v>
      </c>
      <c r="G861" s="16" t="n">
        <f aca="false">SUM(F$5:F861)</f>
        <v>8</v>
      </c>
      <c r="H861" s="16" t="n">
        <f aca="false">IF(B861="",0,IF(COUNTIF(B$5:B861,B861)=1,1,0))</f>
        <v>0</v>
      </c>
      <c r="I861" s="16" t="n">
        <f aca="false">SUM(H$5:H861)</f>
        <v>6</v>
      </c>
    </row>
    <row r="862" customFormat="false" ht="15" hidden="false" customHeight="false" outlineLevel="0" collapsed="false">
      <c r="A862" s="12"/>
      <c r="B862" s="13"/>
      <c r="C862" s="13"/>
      <c r="D862" s="14"/>
      <c r="E862" s="15"/>
      <c r="F862" s="16" t="n">
        <f aca="false">IF(C862="",0,IF(COUNTIF(C$5:C862,C862)=1,1,0))</f>
        <v>0</v>
      </c>
      <c r="G862" s="16" t="n">
        <f aca="false">SUM(F$5:F862)</f>
        <v>8</v>
      </c>
      <c r="H862" s="16" t="n">
        <f aca="false">IF(B862="",0,IF(COUNTIF(B$5:B862,B862)=1,1,0))</f>
        <v>0</v>
      </c>
      <c r="I862" s="16" t="n">
        <f aca="false">SUM(H$5:H862)</f>
        <v>6</v>
      </c>
    </row>
    <row r="863" customFormat="false" ht="15" hidden="false" customHeight="false" outlineLevel="0" collapsed="false">
      <c r="A863" s="12"/>
      <c r="B863" s="13"/>
      <c r="C863" s="13"/>
      <c r="D863" s="14"/>
      <c r="E863" s="15"/>
      <c r="F863" s="16" t="n">
        <f aca="false">IF(C863="",0,IF(COUNTIF(C$5:C863,C863)=1,1,0))</f>
        <v>0</v>
      </c>
      <c r="G863" s="16" t="n">
        <f aca="false">SUM(F$5:F863)</f>
        <v>8</v>
      </c>
      <c r="H863" s="16" t="n">
        <f aca="false">IF(B863="",0,IF(COUNTIF(B$5:B863,B863)=1,1,0))</f>
        <v>0</v>
      </c>
      <c r="I863" s="16" t="n">
        <f aca="false">SUM(H$5:H863)</f>
        <v>6</v>
      </c>
    </row>
    <row r="864" customFormat="false" ht="15" hidden="false" customHeight="false" outlineLevel="0" collapsed="false">
      <c r="A864" s="12"/>
      <c r="B864" s="13"/>
      <c r="C864" s="13"/>
      <c r="D864" s="14"/>
      <c r="E864" s="15"/>
      <c r="F864" s="16" t="n">
        <f aca="false">IF(C864="",0,IF(COUNTIF(C$5:C864,C864)=1,1,0))</f>
        <v>0</v>
      </c>
      <c r="G864" s="16" t="n">
        <f aca="false">SUM(F$5:F864)</f>
        <v>8</v>
      </c>
      <c r="H864" s="16" t="n">
        <f aca="false">IF(B864="",0,IF(COUNTIF(B$5:B864,B864)=1,1,0))</f>
        <v>0</v>
      </c>
      <c r="I864" s="16" t="n">
        <f aca="false">SUM(H$5:H864)</f>
        <v>6</v>
      </c>
    </row>
    <row r="865" customFormat="false" ht="15" hidden="false" customHeight="false" outlineLevel="0" collapsed="false">
      <c r="A865" s="12"/>
      <c r="B865" s="13"/>
      <c r="C865" s="13"/>
      <c r="D865" s="14"/>
      <c r="E865" s="15"/>
      <c r="F865" s="16" t="n">
        <f aca="false">IF(C865="",0,IF(COUNTIF(C$5:C865,C865)=1,1,0))</f>
        <v>0</v>
      </c>
      <c r="G865" s="16" t="n">
        <f aca="false">SUM(F$5:F865)</f>
        <v>8</v>
      </c>
      <c r="H865" s="16" t="n">
        <f aca="false">IF(B865="",0,IF(COUNTIF(B$5:B865,B865)=1,1,0))</f>
        <v>0</v>
      </c>
      <c r="I865" s="16" t="n">
        <f aca="false">SUM(H$5:H865)</f>
        <v>6</v>
      </c>
    </row>
    <row r="866" customFormat="false" ht="15" hidden="false" customHeight="false" outlineLevel="0" collapsed="false">
      <c r="A866" s="12"/>
      <c r="B866" s="13"/>
      <c r="C866" s="13"/>
      <c r="D866" s="14"/>
      <c r="E866" s="15"/>
      <c r="F866" s="16" t="n">
        <f aca="false">IF(C866="",0,IF(COUNTIF(C$5:C866,C866)=1,1,0))</f>
        <v>0</v>
      </c>
      <c r="G866" s="16" t="n">
        <f aca="false">SUM(F$5:F866)</f>
        <v>8</v>
      </c>
      <c r="H866" s="16" t="n">
        <f aca="false">IF(B866="",0,IF(COUNTIF(B$5:B866,B866)=1,1,0))</f>
        <v>0</v>
      </c>
      <c r="I866" s="16" t="n">
        <f aca="false">SUM(H$5:H866)</f>
        <v>6</v>
      </c>
    </row>
    <row r="867" customFormat="false" ht="15" hidden="false" customHeight="false" outlineLevel="0" collapsed="false">
      <c r="A867" s="12"/>
      <c r="B867" s="13"/>
      <c r="C867" s="13"/>
      <c r="D867" s="14"/>
      <c r="E867" s="15"/>
      <c r="F867" s="16" t="n">
        <f aca="false">IF(C867="",0,IF(COUNTIF(C$5:C867,C867)=1,1,0))</f>
        <v>0</v>
      </c>
      <c r="G867" s="16" t="n">
        <f aca="false">SUM(F$5:F867)</f>
        <v>8</v>
      </c>
      <c r="H867" s="16" t="n">
        <f aca="false">IF(B867="",0,IF(COUNTIF(B$5:B867,B867)=1,1,0))</f>
        <v>0</v>
      </c>
      <c r="I867" s="16" t="n">
        <f aca="false">SUM(H$5:H867)</f>
        <v>6</v>
      </c>
    </row>
    <row r="868" customFormat="false" ht="15" hidden="false" customHeight="false" outlineLevel="0" collapsed="false">
      <c r="A868" s="12"/>
      <c r="B868" s="13"/>
      <c r="C868" s="13"/>
      <c r="D868" s="14"/>
      <c r="E868" s="15"/>
      <c r="F868" s="16" t="n">
        <f aca="false">IF(C868="",0,IF(COUNTIF(C$5:C868,C868)=1,1,0))</f>
        <v>0</v>
      </c>
      <c r="G868" s="16" t="n">
        <f aca="false">SUM(F$5:F868)</f>
        <v>8</v>
      </c>
      <c r="H868" s="16" t="n">
        <f aca="false">IF(B868="",0,IF(COUNTIF(B$5:B868,B868)=1,1,0))</f>
        <v>0</v>
      </c>
      <c r="I868" s="16" t="n">
        <f aca="false">SUM(H$5:H868)</f>
        <v>6</v>
      </c>
    </row>
    <row r="869" customFormat="false" ht="15" hidden="false" customHeight="false" outlineLevel="0" collapsed="false">
      <c r="A869" s="12"/>
      <c r="B869" s="13"/>
      <c r="C869" s="13"/>
      <c r="D869" s="14"/>
      <c r="E869" s="15"/>
      <c r="F869" s="16" t="n">
        <f aca="false">IF(C869="",0,IF(COUNTIF(C$5:C869,C869)=1,1,0))</f>
        <v>0</v>
      </c>
      <c r="G869" s="16" t="n">
        <f aca="false">SUM(F$5:F869)</f>
        <v>8</v>
      </c>
      <c r="H869" s="16" t="n">
        <f aca="false">IF(B869="",0,IF(COUNTIF(B$5:B869,B869)=1,1,0))</f>
        <v>0</v>
      </c>
      <c r="I869" s="16" t="n">
        <f aca="false">SUM(H$5:H869)</f>
        <v>6</v>
      </c>
    </row>
    <row r="870" customFormat="false" ht="15" hidden="false" customHeight="false" outlineLevel="0" collapsed="false">
      <c r="A870" s="12"/>
      <c r="B870" s="13"/>
      <c r="C870" s="13"/>
      <c r="D870" s="14"/>
      <c r="E870" s="15"/>
      <c r="F870" s="16" t="n">
        <f aca="false">IF(C870="",0,IF(COUNTIF(C$5:C870,C870)=1,1,0))</f>
        <v>0</v>
      </c>
      <c r="G870" s="16" t="n">
        <f aca="false">SUM(F$5:F870)</f>
        <v>8</v>
      </c>
      <c r="H870" s="16" t="n">
        <f aca="false">IF(B870="",0,IF(COUNTIF(B$5:B870,B870)=1,1,0))</f>
        <v>0</v>
      </c>
      <c r="I870" s="16" t="n">
        <f aca="false">SUM(H$5:H870)</f>
        <v>6</v>
      </c>
    </row>
    <row r="871" customFormat="false" ht="15" hidden="false" customHeight="false" outlineLevel="0" collapsed="false">
      <c r="A871" s="12"/>
      <c r="B871" s="13"/>
      <c r="C871" s="13"/>
      <c r="D871" s="14"/>
      <c r="E871" s="15"/>
      <c r="F871" s="16" t="n">
        <f aca="false">IF(C871="",0,IF(COUNTIF(C$5:C871,C871)=1,1,0))</f>
        <v>0</v>
      </c>
      <c r="G871" s="16" t="n">
        <f aca="false">SUM(F$5:F871)</f>
        <v>8</v>
      </c>
      <c r="H871" s="16" t="n">
        <f aca="false">IF(B871="",0,IF(COUNTIF(B$5:B871,B871)=1,1,0))</f>
        <v>0</v>
      </c>
      <c r="I871" s="16" t="n">
        <f aca="false">SUM(H$5:H871)</f>
        <v>6</v>
      </c>
    </row>
    <row r="872" customFormat="false" ht="15" hidden="false" customHeight="false" outlineLevel="0" collapsed="false">
      <c r="A872" s="12"/>
      <c r="B872" s="13"/>
      <c r="C872" s="13"/>
      <c r="D872" s="14"/>
      <c r="E872" s="15"/>
      <c r="F872" s="16" t="n">
        <f aca="false">IF(C872="",0,IF(COUNTIF(C$5:C872,C872)=1,1,0))</f>
        <v>0</v>
      </c>
      <c r="G872" s="16" t="n">
        <f aca="false">SUM(F$5:F872)</f>
        <v>8</v>
      </c>
      <c r="H872" s="16" t="n">
        <f aca="false">IF(B872="",0,IF(COUNTIF(B$5:B872,B872)=1,1,0))</f>
        <v>0</v>
      </c>
      <c r="I872" s="16" t="n">
        <f aca="false">SUM(H$5:H872)</f>
        <v>6</v>
      </c>
    </row>
    <row r="873" customFormat="false" ht="15" hidden="false" customHeight="false" outlineLevel="0" collapsed="false">
      <c r="A873" s="12"/>
      <c r="B873" s="13"/>
      <c r="C873" s="13"/>
      <c r="D873" s="14"/>
      <c r="E873" s="15"/>
      <c r="F873" s="16" t="n">
        <f aca="false">IF(C873="",0,IF(COUNTIF(C$5:C873,C873)=1,1,0))</f>
        <v>0</v>
      </c>
      <c r="G873" s="16" t="n">
        <f aca="false">SUM(F$5:F873)</f>
        <v>8</v>
      </c>
      <c r="H873" s="16" t="n">
        <f aca="false">IF(B873="",0,IF(COUNTIF(B$5:B873,B873)=1,1,0))</f>
        <v>0</v>
      </c>
      <c r="I873" s="16" t="n">
        <f aca="false">SUM(H$5:H873)</f>
        <v>6</v>
      </c>
    </row>
    <row r="874" customFormat="false" ht="15" hidden="false" customHeight="false" outlineLevel="0" collapsed="false">
      <c r="A874" s="12"/>
      <c r="B874" s="13"/>
      <c r="C874" s="13"/>
      <c r="D874" s="14"/>
      <c r="E874" s="15"/>
      <c r="F874" s="16" t="n">
        <f aca="false">IF(C874="",0,IF(COUNTIF(C$5:C874,C874)=1,1,0))</f>
        <v>0</v>
      </c>
      <c r="G874" s="16" t="n">
        <f aca="false">SUM(F$5:F874)</f>
        <v>8</v>
      </c>
      <c r="H874" s="16" t="n">
        <f aca="false">IF(B874="",0,IF(COUNTIF(B$5:B874,B874)=1,1,0))</f>
        <v>0</v>
      </c>
      <c r="I874" s="16" t="n">
        <f aca="false">SUM(H$5:H874)</f>
        <v>6</v>
      </c>
    </row>
    <row r="875" customFormat="false" ht="15" hidden="false" customHeight="false" outlineLevel="0" collapsed="false">
      <c r="A875" s="12"/>
      <c r="B875" s="13"/>
      <c r="C875" s="13"/>
      <c r="D875" s="14"/>
      <c r="E875" s="15"/>
      <c r="F875" s="16" t="n">
        <f aca="false">IF(C875="",0,IF(COUNTIF(C$5:C875,C875)=1,1,0))</f>
        <v>0</v>
      </c>
      <c r="G875" s="16" t="n">
        <f aca="false">SUM(F$5:F875)</f>
        <v>8</v>
      </c>
      <c r="H875" s="16" t="n">
        <f aca="false">IF(B875="",0,IF(COUNTIF(B$5:B875,B875)=1,1,0))</f>
        <v>0</v>
      </c>
      <c r="I875" s="16" t="n">
        <f aca="false">SUM(H$5:H875)</f>
        <v>6</v>
      </c>
    </row>
    <row r="876" customFormat="false" ht="15" hidden="false" customHeight="false" outlineLevel="0" collapsed="false">
      <c r="A876" s="12"/>
      <c r="B876" s="13"/>
      <c r="C876" s="13"/>
      <c r="D876" s="14"/>
      <c r="E876" s="15"/>
      <c r="F876" s="16" t="n">
        <f aca="false">IF(C876="",0,IF(COUNTIF(C$5:C876,C876)=1,1,0))</f>
        <v>0</v>
      </c>
      <c r="G876" s="16" t="n">
        <f aca="false">SUM(F$5:F876)</f>
        <v>8</v>
      </c>
      <c r="H876" s="16" t="n">
        <f aca="false">IF(B876="",0,IF(COUNTIF(B$5:B876,B876)=1,1,0))</f>
        <v>0</v>
      </c>
      <c r="I876" s="16" t="n">
        <f aca="false">SUM(H$5:H876)</f>
        <v>6</v>
      </c>
    </row>
    <row r="877" customFormat="false" ht="15" hidden="false" customHeight="false" outlineLevel="0" collapsed="false">
      <c r="A877" s="12"/>
      <c r="B877" s="13"/>
      <c r="C877" s="13"/>
      <c r="D877" s="14"/>
      <c r="E877" s="15"/>
      <c r="F877" s="16" t="n">
        <f aca="false">IF(C877="",0,IF(COUNTIF(C$5:C877,C877)=1,1,0))</f>
        <v>0</v>
      </c>
      <c r="G877" s="16" t="n">
        <f aca="false">SUM(F$5:F877)</f>
        <v>8</v>
      </c>
      <c r="H877" s="16" t="n">
        <f aca="false">IF(B877="",0,IF(COUNTIF(B$5:B877,B877)=1,1,0))</f>
        <v>0</v>
      </c>
      <c r="I877" s="16" t="n">
        <f aca="false">SUM(H$5:H877)</f>
        <v>6</v>
      </c>
    </row>
    <row r="878" customFormat="false" ht="15" hidden="false" customHeight="false" outlineLevel="0" collapsed="false">
      <c r="A878" s="12"/>
      <c r="B878" s="13"/>
      <c r="C878" s="13"/>
      <c r="D878" s="14"/>
      <c r="E878" s="15"/>
      <c r="F878" s="16" t="n">
        <f aca="false">IF(C878="",0,IF(COUNTIF(C$5:C878,C878)=1,1,0))</f>
        <v>0</v>
      </c>
      <c r="G878" s="16" t="n">
        <f aca="false">SUM(F$5:F878)</f>
        <v>8</v>
      </c>
      <c r="H878" s="16" t="n">
        <f aca="false">IF(B878="",0,IF(COUNTIF(B$5:B878,B878)=1,1,0))</f>
        <v>0</v>
      </c>
      <c r="I878" s="16" t="n">
        <f aca="false">SUM(H$5:H878)</f>
        <v>6</v>
      </c>
    </row>
    <row r="879" customFormat="false" ht="15" hidden="false" customHeight="false" outlineLevel="0" collapsed="false">
      <c r="A879" s="12"/>
      <c r="B879" s="13"/>
      <c r="C879" s="13"/>
      <c r="D879" s="14"/>
      <c r="E879" s="15"/>
      <c r="F879" s="16" t="n">
        <f aca="false">IF(C879="",0,IF(COUNTIF(C$5:C879,C879)=1,1,0))</f>
        <v>0</v>
      </c>
      <c r="G879" s="16" t="n">
        <f aca="false">SUM(F$5:F879)</f>
        <v>8</v>
      </c>
      <c r="H879" s="16" t="n">
        <f aca="false">IF(B879="",0,IF(COUNTIF(B$5:B879,B879)=1,1,0))</f>
        <v>0</v>
      </c>
      <c r="I879" s="16" t="n">
        <f aca="false">SUM(H$5:H879)</f>
        <v>6</v>
      </c>
    </row>
    <row r="880" customFormat="false" ht="15" hidden="false" customHeight="false" outlineLevel="0" collapsed="false">
      <c r="A880" s="12"/>
      <c r="B880" s="13"/>
      <c r="C880" s="13"/>
      <c r="D880" s="14"/>
      <c r="E880" s="15"/>
      <c r="F880" s="16" t="n">
        <f aca="false">IF(C880="",0,IF(COUNTIF(C$5:C880,C880)=1,1,0))</f>
        <v>0</v>
      </c>
      <c r="G880" s="16" t="n">
        <f aca="false">SUM(F$5:F880)</f>
        <v>8</v>
      </c>
      <c r="H880" s="16" t="n">
        <f aca="false">IF(B880="",0,IF(COUNTIF(B$5:B880,B880)=1,1,0))</f>
        <v>0</v>
      </c>
      <c r="I880" s="16" t="n">
        <f aca="false">SUM(H$5:H880)</f>
        <v>6</v>
      </c>
    </row>
    <row r="881" customFormat="false" ht="15" hidden="false" customHeight="false" outlineLevel="0" collapsed="false">
      <c r="A881" s="12"/>
      <c r="B881" s="13"/>
      <c r="C881" s="13"/>
      <c r="D881" s="14"/>
      <c r="E881" s="15"/>
      <c r="F881" s="16" t="n">
        <f aca="false">IF(C881="",0,IF(COUNTIF(C$5:C881,C881)=1,1,0))</f>
        <v>0</v>
      </c>
      <c r="G881" s="16" t="n">
        <f aca="false">SUM(F$5:F881)</f>
        <v>8</v>
      </c>
      <c r="H881" s="16" t="n">
        <f aca="false">IF(B881="",0,IF(COUNTIF(B$5:B881,B881)=1,1,0))</f>
        <v>0</v>
      </c>
      <c r="I881" s="16" t="n">
        <f aca="false">SUM(H$5:H881)</f>
        <v>6</v>
      </c>
    </row>
    <row r="882" customFormat="false" ht="15" hidden="false" customHeight="false" outlineLevel="0" collapsed="false">
      <c r="A882" s="12"/>
      <c r="B882" s="13"/>
      <c r="C882" s="13"/>
      <c r="D882" s="14"/>
      <c r="E882" s="15"/>
      <c r="F882" s="16" t="n">
        <f aca="false">IF(C882="",0,IF(COUNTIF(C$5:C882,C882)=1,1,0))</f>
        <v>0</v>
      </c>
      <c r="G882" s="16" t="n">
        <f aca="false">SUM(F$5:F882)</f>
        <v>8</v>
      </c>
      <c r="H882" s="16" t="n">
        <f aca="false">IF(B882="",0,IF(COUNTIF(B$5:B882,B882)=1,1,0))</f>
        <v>0</v>
      </c>
      <c r="I882" s="16" t="n">
        <f aca="false">SUM(H$5:H882)</f>
        <v>6</v>
      </c>
    </row>
    <row r="883" customFormat="false" ht="15" hidden="false" customHeight="false" outlineLevel="0" collapsed="false">
      <c r="A883" s="12"/>
      <c r="B883" s="13"/>
      <c r="C883" s="13"/>
      <c r="D883" s="14"/>
      <c r="E883" s="15"/>
      <c r="F883" s="16" t="n">
        <f aca="false">IF(C883="",0,IF(COUNTIF(C$5:C883,C883)=1,1,0))</f>
        <v>0</v>
      </c>
      <c r="G883" s="16" t="n">
        <f aca="false">SUM(F$5:F883)</f>
        <v>8</v>
      </c>
      <c r="H883" s="16" t="n">
        <f aca="false">IF(B883="",0,IF(COUNTIF(B$5:B883,B883)=1,1,0))</f>
        <v>0</v>
      </c>
      <c r="I883" s="16" t="n">
        <f aca="false">SUM(H$5:H883)</f>
        <v>6</v>
      </c>
    </row>
    <row r="884" customFormat="false" ht="15" hidden="false" customHeight="false" outlineLevel="0" collapsed="false">
      <c r="A884" s="12"/>
      <c r="B884" s="13"/>
      <c r="C884" s="13"/>
      <c r="D884" s="14"/>
      <c r="E884" s="15"/>
      <c r="F884" s="16" t="n">
        <f aca="false">IF(C884="",0,IF(COUNTIF(C$5:C884,C884)=1,1,0))</f>
        <v>0</v>
      </c>
      <c r="G884" s="16" t="n">
        <f aca="false">SUM(F$5:F884)</f>
        <v>8</v>
      </c>
      <c r="H884" s="16" t="n">
        <f aca="false">IF(B884="",0,IF(COUNTIF(B$5:B884,B884)=1,1,0))</f>
        <v>0</v>
      </c>
      <c r="I884" s="16" t="n">
        <f aca="false">SUM(H$5:H884)</f>
        <v>6</v>
      </c>
    </row>
    <row r="885" customFormat="false" ht="15" hidden="false" customHeight="false" outlineLevel="0" collapsed="false">
      <c r="A885" s="12"/>
      <c r="B885" s="13"/>
      <c r="C885" s="13"/>
      <c r="D885" s="14"/>
      <c r="E885" s="15"/>
      <c r="F885" s="16" t="n">
        <f aca="false">IF(C885="",0,IF(COUNTIF(C$5:C885,C885)=1,1,0))</f>
        <v>0</v>
      </c>
      <c r="G885" s="16" t="n">
        <f aca="false">SUM(F$5:F885)</f>
        <v>8</v>
      </c>
      <c r="H885" s="16" t="n">
        <f aca="false">IF(B885="",0,IF(COUNTIF(B$5:B885,B885)=1,1,0))</f>
        <v>0</v>
      </c>
      <c r="I885" s="16" t="n">
        <f aca="false">SUM(H$5:H885)</f>
        <v>6</v>
      </c>
    </row>
    <row r="886" customFormat="false" ht="15" hidden="false" customHeight="false" outlineLevel="0" collapsed="false">
      <c r="A886" s="12"/>
      <c r="B886" s="13"/>
      <c r="C886" s="13"/>
      <c r="D886" s="14"/>
      <c r="E886" s="15"/>
      <c r="F886" s="16" t="n">
        <f aca="false">IF(C886="",0,IF(COUNTIF(C$5:C886,C886)=1,1,0))</f>
        <v>0</v>
      </c>
      <c r="G886" s="16" t="n">
        <f aca="false">SUM(F$5:F886)</f>
        <v>8</v>
      </c>
      <c r="H886" s="16" t="n">
        <f aca="false">IF(B886="",0,IF(COUNTIF(B$5:B886,B886)=1,1,0))</f>
        <v>0</v>
      </c>
      <c r="I886" s="16" t="n">
        <f aca="false">SUM(H$5:H886)</f>
        <v>6</v>
      </c>
    </row>
    <row r="887" customFormat="false" ht="15" hidden="false" customHeight="false" outlineLevel="0" collapsed="false">
      <c r="A887" s="12"/>
      <c r="B887" s="13"/>
      <c r="C887" s="13"/>
      <c r="D887" s="14"/>
      <c r="E887" s="15"/>
      <c r="F887" s="16" t="n">
        <f aca="false">IF(C887="",0,IF(COUNTIF(C$5:C887,C887)=1,1,0))</f>
        <v>0</v>
      </c>
      <c r="G887" s="16" t="n">
        <f aca="false">SUM(F$5:F887)</f>
        <v>8</v>
      </c>
      <c r="H887" s="16" t="n">
        <f aca="false">IF(B887="",0,IF(COUNTIF(B$5:B887,B887)=1,1,0))</f>
        <v>0</v>
      </c>
      <c r="I887" s="16" t="n">
        <f aca="false">SUM(H$5:H887)</f>
        <v>6</v>
      </c>
    </row>
    <row r="888" customFormat="false" ht="15" hidden="false" customHeight="false" outlineLevel="0" collapsed="false">
      <c r="A888" s="12"/>
      <c r="B888" s="13"/>
      <c r="C888" s="13"/>
      <c r="D888" s="14"/>
      <c r="E888" s="15"/>
      <c r="F888" s="16" t="n">
        <f aca="false">IF(C888="",0,IF(COUNTIF(C$5:C888,C888)=1,1,0))</f>
        <v>0</v>
      </c>
      <c r="G888" s="16" t="n">
        <f aca="false">SUM(F$5:F888)</f>
        <v>8</v>
      </c>
      <c r="H888" s="16" t="n">
        <f aca="false">IF(B888="",0,IF(COUNTIF(B$5:B888,B888)=1,1,0))</f>
        <v>0</v>
      </c>
      <c r="I888" s="16" t="n">
        <f aca="false">SUM(H$5:H888)</f>
        <v>6</v>
      </c>
    </row>
    <row r="889" customFormat="false" ht="15" hidden="false" customHeight="false" outlineLevel="0" collapsed="false">
      <c r="A889" s="12"/>
      <c r="B889" s="13"/>
      <c r="C889" s="13"/>
      <c r="D889" s="14"/>
      <c r="E889" s="15"/>
      <c r="F889" s="16" t="n">
        <f aca="false">IF(C889="",0,IF(COUNTIF(C$5:C889,C889)=1,1,0))</f>
        <v>0</v>
      </c>
      <c r="G889" s="16" t="n">
        <f aca="false">SUM(F$5:F889)</f>
        <v>8</v>
      </c>
      <c r="H889" s="16" t="n">
        <f aca="false">IF(B889="",0,IF(COUNTIF(B$5:B889,B889)=1,1,0))</f>
        <v>0</v>
      </c>
      <c r="I889" s="16" t="n">
        <f aca="false">SUM(H$5:H889)</f>
        <v>6</v>
      </c>
    </row>
    <row r="890" customFormat="false" ht="15" hidden="false" customHeight="false" outlineLevel="0" collapsed="false">
      <c r="A890" s="12"/>
      <c r="B890" s="13"/>
      <c r="C890" s="13"/>
      <c r="D890" s="14"/>
      <c r="E890" s="15"/>
      <c r="F890" s="16" t="n">
        <f aca="false">IF(C890="",0,IF(COUNTIF(C$5:C890,C890)=1,1,0))</f>
        <v>0</v>
      </c>
      <c r="G890" s="16" t="n">
        <f aca="false">SUM(F$5:F890)</f>
        <v>8</v>
      </c>
      <c r="H890" s="16" t="n">
        <f aca="false">IF(B890="",0,IF(COUNTIF(B$5:B890,B890)=1,1,0))</f>
        <v>0</v>
      </c>
      <c r="I890" s="16" t="n">
        <f aca="false">SUM(H$5:H890)</f>
        <v>6</v>
      </c>
    </row>
    <row r="891" customFormat="false" ht="15" hidden="false" customHeight="false" outlineLevel="0" collapsed="false">
      <c r="A891" s="12"/>
      <c r="B891" s="13"/>
      <c r="C891" s="13"/>
      <c r="D891" s="14"/>
      <c r="E891" s="15"/>
      <c r="F891" s="16" t="n">
        <f aca="false">IF(C891="",0,IF(COUNTIF(C$5:C891,C891)=1,1,0))</f>
        <v>0</v>
      </c>
      <c r="G891" s="16" t="n">
        <f aca="false">SUM(F$5:F891)</f>
        <v>8</v>
      </c>
      <c r="H891" s="16" t="n">
        <f aca="false">IF(B891="",0,IF(COUNTIF(B$5:B891,B891)=1,1,0))</f>
        <v>0</v>
      </c>
      <c r="I891" s="16" t="n">
        <f aca="false">SUM(H$5:H891)</f>
        <v>6</v>
      </c>
    </row>
    <row r="892" customFormat="false" ht="15" hidden="false" customHeight="false" outlineLevel="0" collapsed="false">
      <c r="A892" s="12"/>
      <c r="B892" s="13"/>
      <c r="C892" s="13"/>
      <c r="D892" s="14"/>
      <c r="E892" s="15"/>
      <c r="F892" s="16" t="n">
        <f aca="false">IF(C892="",0,IF(COUNTIF(C$5:C892,C892)=1,1,0))</f>
        <v>0</v>
      </c>
      <c r="G892" s="16" t="n">
        <f aca="false">SUM(F$5:F892)</f>
        <v>8</v>
      </c>
      <c r="H892" s="16" t="n">
        <f aca="false">IF(B892="",0,IF(COUNTIF(B$5:B892,B892)=1,1,0))</f>
        <v>0</v>
      </c>
      <c r="I892" s="16" t="n">
        <f aca="false">SUM(H$5:H892)</f>
        <v>6</v>
      </c>
    </row>
    <row r="893" customFormat="false" ht="15" hidden="false" customHeight="false" outlineLevel="0" collapsed="false">
      <c r="A893" s="12"/>
      <c r="B893" s="13"/>
      <c r="C893" s="13"/>
      <c r="D893" s="14"/>
      <c r="E893" s="15"/>
      <c r="F893" s="16" t="n">
        <f aca="false">IF(C893="",0,IF(COUNTIF(C$5:C893,C893)=1,1,0))</f>
        <v>0</v>
      </c>
      <c r="G893" s="16" t="n">
        <f aca="false">SUM(F$5:F893)</f>
        <v>8</v>
      </c>
      <c r="H893" s="16" t="n">
        <f aca="false">IF(B893="",0,IF(COUNTIF(B$5:B893,B893)=1,1,0))</f>
        <v>0</v>
      </c>
      <c r="I893" s="16" t="n">
        <f aca="false">SUM(H$5:H893)</f>
        <v>6</v>
      </c>
    </row>
    <row r="894" customFormat="false" ht="15" hidden="false" customHeight="false" outlineLevel="0" collapsed="false">
      <c r="A894" s="12"/>
      <c r="B894" s="13"/>
      <c r="C894" s="13"/>
      <c r="D894" s="14"/>
      <c r="E894" s="15"/>
      <c r="F894" s="16" t="n">
        <f aca="false">IF(C894="",0,IF(COUNTIF(C$5:C894,C894)=1,1,0))</f>
        <v>0</v>
      </c>
      <c r="G894" s="16" t="n">
        <f aca="false">SUM(F$5:F894)</f>
        <v>8</v>
      </c>
      <c r="H894" s="16" t="n">
        <f aca="false">IF(B894="",0,IF(COUNTIF(B$5:B894,B894)=1,1,0))</f>
        <v>0</v>
      </c>
      <c r="I894" s="16" t="n">
        <f aca="false">SUM(H$5:H894)</f>
        <v>6</v>
      </c>
    </row>
    <row r="895" customFormat="false" ht="15" hidden="false" customHeight="false" outlineLevel="0" collapsed="false">
      <c r="A895" s="12"/>
      <c r="B895" s="13"/>
      <c r="C895" s="13"/>
      <c r="D895" s="14"/>
      <c r="E895" s="15"/>
      <c r="F895" s="16" t="n">
        <f aca="false">IF(C895="",0,IF(COUNTIF(C$5:C895,C895)=1,1,0))</f>
        <v>0</v>
      </c>
      <c r="G895" s="16" t="n">
        <f aca="false">SUM(F$5:F895)</f>
        <v>8</v>
      </c>
      <c r="H895" s="16" t="n">
        <f aca="false">IF(B895="",0,IF(COUNTIF(B$5:B895,B895)=1,1,0))</f>
        <v>0</v>
      </c>
      <c r="I895" s="16" t="n">
        <f aca="false">SUM(H$5:H895)</f>
        <v>6</v>
      </c>
    </row>
    <row r="896" customFormat="false" ht="15" hidden="false" customHeight="false" outlineLevel="0" collapsed="false">
      <c r="A896" s="12"/>
      <c r="B896" s="13"/>
      <c r="C896" s="13"/>
      <c r="D896" s="14"/>
      <c r="E896" s="15"/>
      <c r="F896" s="16" t="n">
        <f aca="false">IF(C896="",0,IF(COUNTIF(C$5:C896,C896)=1,1,0))</f>
        <v>0</v>
      </c>
      <c r="G896" s="16" t="n">
        <f aca="false">SUM(F$5:F896)</f>
        <v>8</v>
      </c>
      <c r="H896" s="16" t="n">
        <f aca="false">IF(B896="",0,IF(COUNTIF(B$5:B896,B896)=1,1,0))</f>
        <v>0</v>
      </c>
      <c r="I896" s="16" t="n">
        <f aca="false">SUM(H$5:H896)</f>
        <v>6</v>
      </c>
    </row>
    <row r="897" customFormat="false" ht="15" hidden="false" customHeight="false" outlineLevel="0" collapsed="false">
      <c r="A897" s="12"/>
      <c r="B897" s="13"/>
      <c r="C897" s="13"/>
      <c r="D897" s="14"/>
      <c r="E897" s="15"/>
      <c r="F897" s="16" t="n">
        <f aca="false">IF(C897="",0,IF(COUNTIF(C$5:C897,C897)=1,1,0))</f>
        <v>0</v>
      </c>
      <c r="G897" s="16" t="n">
        <f aca="false">SUM(F$5:F897)</f>
        <v>8</v>
      </c>
      <c r="H897" s="16" t="n">
        <f aca="false">IF(B897="",0,IF(COUNTIF(B$5:B897,B897)=1,1,0))</f>
        <v>0</v>
      </c>
      <c r="I897" s="16" t="n">
        <f aca="false">SUM(H$5:H897)</f>
        <v>6</v>
      </c>
    </row>
    <row r="898" customFormat="false" ht="15" hidden="false" customHeight="false" outlineLevel="0" collapsed="false">
      <c r="A898" s="12"/>
      <c r="B898" s="13"/>
      <c r="C898" s="13"/>
      <c r="D898" s="14"/>
      <c r="E898" s="15"/>
      <c r="F898" s="16" t="n">
        <f aca="false">IF(C898="",0,IF(COUNTIF(C$5:C898,C898)=1,1,0))</f>
        <v>0</v>
      </c>
      <c r="G898" s="16" t="n">
        <f aca="false">SUM(F$5:F898)</f>
        <v>8</v>
      </c>
      <c r="H898" s="16" t="n">
        <f aca="false">IF(B898="",0,IF(COUNTIF(B$5:B898,B898)=1,1,0))</f>
        <v>0</v>
      </c>
      <c r="I898" s="16" t="n">
        <f aca="false">SUM(H$5:H898)</f>
        <v>6</v>
      </c>
    </row>
    <row r="899" customFormat="false" ht="15" hidden="false" customHeight="false" outlineLevel="0" collapsed="false">
      <c r="A899" s="12"/>
      <c r="B899" s="13"/>
      <c r="C899" s="13"/>
      <c r="D899" s="14"/>
      <c r="E899" s="15"/>
      <c r="F899" s="16" t="n">
        <f aca="false">IF(C899="",0,IF(COUNTIF(C$5:C899,C899)=1,1,0))</f>
        <v>0</v>
      </c>
      <c r="G899" s="16" t="n">
        <f aca="false">SUM(F$5:F899)</f>
        <v>8</v>
      </c>
      <c r="H899" s="16" t="n">
        <f aca="false">IF(B899="",0,IF(COUNTIF(B$5:B899,B899)=1,1,0))</f>
        <v>0</v>
      </c>
      <c r="I899" s="16" t="n">
        <f aca="false">SUM(H$5:H899)</f>
        <v>6</v>
      </c>
    </row>
    <row r="900" customFormat="false" ht="15" hidden="false" customHeight="false" outlineLevel="0" collapsed="false">
      <c r="A900" s="12"/>
      <c r="B900" s="13"/>
      <c r="C900" s="13"/>
      <c r="D900" s="14"/>
      <c r="E900" s="15"/>
      <c r="F900" s="16" t="n">
        <f aca="false">IF(C900="",0,IF(COUNTIF(C$5:C900,C900)=1,1,0))</f>
        <v>0</v>
      </c>
      <c r="G900" s="16" t="n">
        <f aca="false">SUM(F$5:F900)</f>
        <v>8</v>
      </c>
      <c r="H900" s="16" t="n">
        <f aca="false">IF(B900="",0,IF(COUNTIF(B$5:B900,B900)=1,1,0))</f>
        <v>0</v>
      </c>
      <c r="I900" s="16" t="n">
        <f aca="false">SUM(H$5:H900)</f>
        <v>6</v>
      </c>
    </row>
    <row r="901" customFormat="false" ht="15" hidden="false" customHeight="false" outlineLevel="0" collapsed="false">
      <c r="A901" s="12"/>
      <c r="B901" s="13"/>
      <c r="C901" s="13"/>
      <c r="D901" s="14"/>
      <c r="E901" s="15"/>
      <c r="F901" s="16" t="n">
        <f aca="false">IF(C901="",0,IF(COUNTIF(C$5:C901,C901)=1,1,0))</f>
        <v>0</v>
      </c>
      <c r="G901" s="16" t="n">
        <f aca="false">SUM(F$5:F901)</f>
        <v>8</v>
      </c>
      <c r="H901" s="16" t="n">
        <f aca="false">IF(B901="",0,IF(COUNTIF(B$5:B901,B901)=1,1,0))</f>
        <v>0</v>
      </c>
      <c r="I901" s="16" t="n">
        <f aca="false">SUM(H$5:H901)</f>
        <v>6</v>
      </c>
    </row>
    <row r="902" customFormat="false" ht="15" hidden="false" customHeight="false" outlineLevel="0" collapsed="false">
      <c r="A902" s="12"/>
      <c r="B902" s="13"/>
      <c r="C902" s="13"/>
      <c r="D902" s="14"/>
      <c r="E902" s="15"/>
      <c r="F902" s="16" t="n">
        <f aca="false">IF(C902="",0,IF(COUNTIF(C$5:C902,C902)=1,1,0))</f>
        <v>0</v>
      </c>
      <c r="G902" s="16" t="n">
        <f aca="false">SUM(F$5:F902)</f>
        <v>8</v>
      </c>
      <c r="H902" s="16" t="n">
        <f aca="false">IF(B902="",0,IF(COUNTIF(B$5:B902,B902)=1,1,0))</f>
        <v>0</v>
      </c>
      <c r="I902" s="16" t="n">
        <f aca="false">SUM(H$5:H902)</f>
        <v>6</v>
      </c>
    </row>
    <row r="903" customFormat="false" ht="15" hidden="false" customHeight="false" outlineLevel="0" collapsed="false">
      <c r="A903" s="12"/>
      <c r="B903" s="13"/>
      <c r="C903" s="13"/>
      <c r="D903" s="14"/>
      <c r="E903" s="15"/>
      <c r="F903" s="16" t="n">
        <f aca="false">IF(C903="",0,IF(COUNTIF(C$5:C903,C903)=1,1,0))</f>
        <v>0</v>
      </c>
      <c r="G903" s="16" t="n">
        <f aca="false">SUM(F$5:F903)</f>
        <v>8</v>
      </c>
      <c r="H903" s="16" t="n">
        <f aca="false">IF(B903="",0,IF(COUNTIF(B$5:B903,B903)=1,1,0))</f>
        <v>0</v>
      </c>
      <c r="I903" s="16" t="n">
        <f aca="false">SUM(H$5:H903)</f>
        <v>6</v>
      </c>
    </row>
    <row r="904" customFormat="false" ht="15" hidden="false" customHeight="false" outlineLevel="0" collapsed="false">
      <c r="A904" s="12"/>
      <c r="B904" s="13"/>
      <c r="C904" s="13"/>
      <c r="D904" s="14"/>
      <c r="E904" s="15"/>
      <c r="F904" s="16" t="n">
        <f aca="false">IF(C904="",0,IF(COUNTIF(C$5:C904,C904)=1,1,0))</f>
        <v>0</v>
      </c>
      <c r="G904" s="16" t="n">
        <f aca="false">SUM(F$5:F904)</f>
        <v>8</v>
      </c>
      <c r="H904" s="16" t="n">
        <f aca="false">IF(B904="",0,IF(COUNTIF(B$5:B904,B904)=1,1,0))</f>
        <v>0</v>
      </c>
      <c r="I904" s="16" t="n">
        <f aca="false">SUM(H$5:H904)</f>
        <v>6</v>
      </c>
    </row>
    <row r="905" customFormat="false" ht="15" hidden="false" customHeight="false" outlineLevel="0" collapsed="false">
      <c r="A905" s="12"/>
      <c r="B905" s="13"/>
      <c r="C905" s="13"/>
      <c r="D905" s="14"/>
      <c r="E905" s="15"/>
      <c r="F905" s="16" t="n">
        <f aca="false">IF(C905="",0,IF(COUNTIF(C$5:C905,C905)=1,1,0))</f>
        <v>0</v>
      </c>
      <c r="G905" s="16" t="n">
        <f aca="false">SUM(F$5:F905)</f>
        <v>8</v>
      </c>
      <c r="H905" s="16" t="n">
        <f aca="false">IF(B905="",0,IF(COUNTIF(B$5:B905,B905)=1,1,0))</f>
        <v>0</v>
      </c>
      <c r="I905" s="16" t="n">
        <f aca="false">SUM(H$5:H905)</f>
        <v>6</v>
      </c>
    </row>
    <row r="906" customFormat="false" ht="15" hidden="false" customHeight="false" outlineLevel="0" collapsed="false">
      <c r="A906" s="12"/>
      <c r="B906" s="13"/>
      <c r="C906" s="13"/>
      <c r="D906" s="14"/>
      <c r="E906" s="15"/>
      <c r="F906" s="16" t="n">
        <f aca="false">IF(C906="",0,IF(COUNTIF(C$5:C906,C906)=1,1,0))</f>
        <v>0</v>
      </c>
      <c r="G906" s="16" t="n">
        <f aca="false">SUM(F$5:F906)</f>
        <v>8</v>
      </c>
      <c r="H906" s="16" t="n">
        <f aca="false">IF(B906="",0,IF(COUNTIF(B$5:B906,B906)=1,1,0))</f>
        <v>0</v>
      </c>
      <c r="I906" s="16" t="n">
        <f aca="false">SUM(H$5:H906)</f>
        <v>6</v>
      </c>
    </row>
    <row r="907" customFormat="false" ht="15" hidden="false" customHeight="false" outlineLevel="0" collapsed="false">
      <c r="A907" s="12"/>
      <c r="B907" s="13"/>
      <c r="C907" s="13"/>
      <c r="D907" s="14"/>
      <c r="E907" s="15"/>
      <c r="F907" s="16" t="n">
        <f aca="false">IF(C907="",0,IF(COUNTIF(C$5:C907,C907)=1,1,0))</f>
        <v>0</v>
      </c>
      <c r="G907" s="16" t="n">
        <f aca="false">SUM(F$5:F907)</f>
        <v>8</v>
      </c>
      <c r="H907" s="16" t="n">
        <f aca="false">IF(B907="",0,IF(COUNTIF(B$5:B907,B907)=1,1,0))</f>
        <v>0</v>
      </c>
      <c r="I907" s="16" t="n">
        <f aca="false">SUM(H$5:H907)</f>
        <v>6</v>
      </c>
    </row>
    <row r="908" customFormat="false" ht="15" hidden="false" customHeight="false" outlineLevel="0" collapsed="false">
      <c r="A908" s="12"/>
      <c r="B908" s="13"/>
      <c r="C908" s="13"/>
      <c r="D908" s="14"/>
      <c r="E908" s="15"/>
      <c r="F908" s="16" t="n">
        <f aca="false">IF(C908="",0,IF(COUNTIF(C$5:C908,C908)=1,1,0))</f>
        <v>0</v>
      </c>
      <c r="G908" s="16" t="n">
        <f aca="false">SUM(F$5:F908)</f>
        <v>8</v>
      </c>
      <c r="H908" s="16" t="n">
        <f aca="false">IF(B908="",0,IF(COUNTIF(B$5:B908,B908)=1,1,0))</f>
        <v>0</v>
      </c>
      <c r="I908" s="16" t="n">
        <f aca="false">SUM(H$5:H908)</f>
        <v>6</v>
      </c>
    </row>
    <row r="909" customFormat="false" ht="15" hidden="false" customHeight="false" outlineLevel="0" collapsed="false">
      <c r="A909" s="12"/>
      <c r="B909" s="13"/>
      <c r="C909" s="13"/>
      <c r="D909" s="14"/>
      <c r="E909" s="15"/>
      <c r="F909" s="16" t="n">
        <f aca="false">IF(C909="",0,IF(COUNTIF(C$5:C909,C909)=1,1,0))</f>
        <v>0</v>
      </c>
      <c r="G909" s="16" t="n">
        <f aca="false">SUM(F$5:F909)</f>
        <v>8</v>
      </c>
      <c r="H909" s="16" t="n">
        <f aca="false">IF(B909="",0,IF(COUNTIF(B$5:B909,B909)=1,1,0))</f>
        <v>0</v>
      </c>
      <c r="I909" s="16" t="n">
        <f aca="false">SUM(H$5:H909)</f>
        <v>6</v>
      </c>
    </row>
    <row r="910" customFormat="false" ht="15" hidden="false" customHeight="false" outlineLevel="0" collapsed="false">
      <c r="A910" s="12"/>
      <c r="B910" s="13"/>
      <c r="C910" s="13"/>
      <c r="D910" s="14"/>
      <c r="E910" s="15"/>
      <c r="F910" s="16" t="n">
        <f aca="false">IF(C910="",0,IF(COUNTIF(C$5:C910,C910)=1,1,0))</f>
        <v>0</v>
      </c>
      <c r="G910" s="16" t="n">
        <f aca="false">SUM(F$5:F910)</f>
        <v>8</v>
      </c>
      <c r="H910" s="16" t="n">
        <f aca="false">IF(B910="",0,IF(COUNTIF(B$5:B910,B910)=1,1,0))</f>
        <v>0</v>
      </c>
      <c r="I910" s="16" t="n">
        <f aca="false">SUM(H$5:H910)</f>
        <v>6</v>
      </c>
    </row>
    <row r="911" customFormat="false" ht="15" hidden="false" customHeight="false" outlineLevel="0" collapsed="false">
      <c r="A911" s="12"/>
      <c r="B911" s="13"/>
      <c r="C911" s="13"/>
      <c r="D911" s="14"/>
      <c r="E911" s="15"/>
      <c r="F911" s="16" t="n">
        <f aca="false">IF(C911="",0,IF(COUNTIF(C$5:C911,C911)=1,1,0))</f>
        <v>0</v>
      </c>
      <c r="G911" s="16" t="n">
        <f aca="false">SUM(F$5:F911)</f>
        <v>8</v>
      </c>
      <c r="H911" s="16" t="n">
        <f aca="false">IF(B911="",0,IF(COUNTIF(B$5:B911,B911)=1,1,0))</f>
        <v>0</v>
      </c>
      <c r="I911" s="16" t="n">
        <f aca="false">SUM(H$5:H911)</f>
        <v>6</v>
      </c>
    </row>
    <row r="912" customFormat="false" ht="15" hidden="false" customHeight="false" outlineLevel="0" collapsed="false">
      <c r="A912" s="12"/>
      <c r="B912" s="13"/>
      <c r="C912" s="13"/>
      <c r="D912" s="14"/>
      <c r="E912" s="15"/>
      <c r="F912" s="16" t="n">
        <f aca="false">IF(C912="",0,IF(COUNTIF(C$5:C912,C912)=1,1,0))</f>
        <v>0</v>
      </c>
      <c r="G912" s="16" t="n">
        <f aca="false">SUM(F$5:F912)</f>
        <v>8</v>
      </c>
      <c r="H912" s="16" t="n">
        <f aca="false">IF(B912="",0,IF(COUNTIF(B$5:B912,B912)=1,1,0))</f>
        <v>0</v>
      </c>
      <c r="I912" s="16" t="n">
        <f aca="false">SUM(H$5:H912)</f>
        <v>6</v>
      </c>
    </row>
    <row r="913" customFormat="false" ht="15" hidden="false" customHeight="false" outlineLevel="0" collapsed="false">
      <c r="A913" s="12"/>
      <c r="B913" s="13"/>
      <c r="C913" s="13"/>
      <c r="D913" s="14"/>
      <c r="E913" s="15"/>
      <c r="F913" s="16" t="n">
        <f aca="false">IF(C913="",0,IF(COUNTIF(C$5:C913,C913)=1,1,0))</f>
        <v>0</v>
      </c>
      <c r="G913" s="16" t="n">
        <f aca="false">SUM(F$5:F913)</f>
        <v>8</v>
      </c>
      <c r="H913" s="16" t="n">
        <f aca="false">IF(B913="",0,IF(COUNTIF(B$5:B913,B913)=1,1,0))</f>
        <v>0</v>
      </c>
      <c r="I913" s="16" t="n">
        <f aca="false">SUM(H$5:H913)</f>
        <v>6</v>
      </c>
    </row>
    <row r="914" customFormat="false" ht="15" hidden="false" customHeight="false" outlineLevel="0" collapsed="false">
      <c r="A914" s="12"/>
      <c r="B914" s="13"/>
      <c r="C914" s="13"/>
      <c r="D914" s="14"/>
      <c r="E914" s="15"/>
      <c r="F914" s="16" t="n">
        <f aca="false">IF(C914="",0,IF(COUNTIF(C$5:C914,C914)=1,1,0))</f>
        <v>0</v>
      </c>
      <c r="G914" s="16" t="n">
        <f aca="false">SUM(F$5:F914)</f>
        <v>8</v>
      </c>
      <c r="H914" s="16" t="n">
        <f aca="false">IF(B914="",0,IF(COUNTIF(B$5:B914,B914)=1,1,0))</f>
        <v>0</v>
      </c>
      <c r="I914" s="16" t="n">
        <f aca="false">SUM(H$5:H914)</f>
        <v>6</v>
      </c>
    </row>
    <row r="915" customFormat="false" ht="15" hidden="false" customHeight="false" outlineLevel="0" collapsed="false">
      <c r="A915" s="12"/>
      <c r="B915" s="13"/>
      <c r="C915" s="13"/>
      <c r="D915" s="14"/>
      <c r="E915" s="15"/>
      <c r="F915" s="16" t="n">
        <f aca="false">IF(C915="",0,IF(COUNTIF(C$5:C915,C915)=1,1,0))</f>
        <v>0</v>
      </c>
      <c r="G915" s="16" t="n">
        <f aca="false">SUM(F$5:F915)</f>
        <v>8</v>
      </c>
      <c r="H915" s="16" t="n">
        <f aca="false">IF(B915="",0,IF(COUNTIF(B$5:B915,B915)=1,1,0))</f>
        <v>0</v>
      </c>
      <c r="I915" s="16" t="n">
        <f aca="false">SUM(H$5:H915)</f>
        <v>6</v>
      </c>
    </row>
    <row r="916" customFormat="false" ht="15" hidden="false" customHeight="false" outlineLevel="0" collapsed="false">
      <c r="A916" s="12"/>
      <c r="B916" s="13"/>
      <c r="C916" s="13"/>
      <c r="D916" s="14"/>
      <c r="E916" s="15"/>
      <c r="F916" s="16" t="n">
        <f aca="false">IF(C916="",0,IF(COUNTIF(C$5:C916,C916)=1,1,0))</f>
        <v>0</v>
      </c>
      <c r="G916" s="16" t="n">
        <f aca="false">SUM(F$5:F916)</f>
        <v>8</v>
      </c>
      <c r="H916" s="16" t="n">
        <f aca="false">IF(B916="",0,IF(COUNTIF(B$5:B916,B916)=1,1,0))</f>
        <v>0</v>
      </c>
      <c r="I916" s="16" t="n">
        <f aca="false">SUM(H$5:H916)</f>
        <v>6</v>
      </c>
    </row>
    <row r="917" customFormat="false" ht="15" hidden="false" customHeight="false" outlineLevel="0" collapsed="false">
      <c r="A917" s="12"/>
      <c r="B917" s="13"/>
      <c r="C917" s="13"/>
      <c r="D917" s="14"/>
      <c r="E917" s="15"/>
      <c r="F917" s="16" t="n">
        <f aca="false">IF(C917="",0,IF(COUNTIF(C$5:C917,C917)=1,1,0))</f>
        <v>0</v>
      </c>
      <c r="G917" s="16" t="n">
        <f aca="false">SUM(F$5:F917)</f>
        <v>8</v>
      </c>
      <c r="H917" s="16" t="n">
        <f aca="false">IF(B917="",0,IF(COUNTIF(B$5:B917,B917)=1,1,0))</f>
        <v>0</v>
      </c>
      <c r="I917" s="16" t="n">
        <f aca="false">SUM(H$5:H917)</f>
        <v>6</v>
      </c>
    </row>
    <row r="918" customFormat="false" ht="15" hidden="false" customHeight="false" outlineLevel="0" collapsed="false">
      <c r="A918" s="12"/>
      <c r="B918" s="13"/>
      <c r="C918" s="13"/>
      <c r="D918" s="14"/>
      <c r="E918" s="15"/>
      <c r="F918" s="16" t="n">
        <f aca="false">IF(C918="",0,IF(COUNTIF(C$5:C918,C918)=1,1,0))</f>
        <v>0</v>
      </c>
      <c r="G918" s="16" t="n">
        <f aca="false">SUM(F$5:F918)</f>
        <v>8</v>
      </c>
      <c r="H918" s="16" t="n">
        <f aca="false">IF(B918="",0,IF(COUNTIF(B$5:B918,B918)=1,1,0))</f>
        <v>0</v>
      </c>
      <c r="I918" s="16" t="n">
        <f aca="false">SUM(H$5:H918)</f>
        <v>6</v>
      </c>
    </row>
    <row r="919" customFormat="false" ht="15" hidden="false" customHeight="false" outlineLevel="0" collapsed="false">
      <c r="A919" s="12"/>
      <c r="B919" s="13"/>
      <c r="C919" s="13"/>
      <c r="D919" s="14"/>
      <c r="E919" s="15"/>
      <c r="F919" s="16" t="n">
        <f aca="false">IF(C919="",0,IF(COUNTIF(C$5:C919,C919)=1,1,0))</f>
        <v>0</v>
      </c>
      <c r="G919" s="16" t="n">
        <f aca="false">SUM(F$5:F919)</f>
        <v>8</v>
      </c>
      <c r="H919" s="16" t="n">
        <f aca="false">IF(B919="",0,IF(COUNTIF(B$5:B919,B919)=1,1,0))</f>
        <v>0</v>
      </c>
      <c r="I919" s="16" t="n">
        <f aca="false">SUM(H$5:H919)</f>
        <v>6</v>
      </c>
    </row>
    <row r="920" customFormat="false" ht="15" hidden="false" customHeight="false" outlineLevel="0" collapsed="false">
      <c r="A920" s="12"/>
      <c r="B920" s="13"/>
      <c r="C920" s="13"/>
      <c r="D920" s="14"/>
      <c r="E920" s="15"/>
      <c r="F920" s="16" t="n">
        <f aca="false">IF(C920="",0,IF(COUNTIF(C$5:C920,C920)=1,1,0))</f>
        <v>0</v>
      </c>
      <c r="G920" s="16" t="n">
        <f aca="false">SUM(F$5:F920)</f>
        <v>8</v>
      </c>
      <c r="H920" s="16" t="n">
        <f aca="false">IF(B920="",0,IF(COUNTIF(B$5:B920,B920)=1,1,0))</f>
        <v>0</v>
      </c>
      <c r="I920" s="16" t="n">
        <f aca="false">SUM(H$5:H920)</f>
        <v>6</v>
      </c>
    </row>
    <row r="921" customFormat="false" ht="15" hidden="false" customHeight="false" outlineLevel="0" collapsed="false">
      <c r="A921" s="12"/>
      <c r="B921" s="13"/>
      <c r="C921" s="13"/>
      <c r="D921" s="14"/>
      <c r="E921" s="15"/>
      <c r="F921" s="16" t="n">
        <f aca="false">IF(C921="",0,IF(COUNTIF(C$5:C921,C921)=1,1,0))</f>
        <v>0</v>
      </c>
      <c r="G921" s="16" t="n">
        <f aca="false">SUM(F$5:F921)</f>
        <v>8</v>
      </c>
      <c r="H921" s="16" t="n">
        <f aca="false">IF(B921="",0,IF(COUNTIF(B$5:B921,B921)=1,1,0))</f>
        <v>0</v>
      </c>
      <c r="I921" s="16" t="n">
        <f aca="false">SUM(H$5:H921)</f>
        <v>6</v>
      </c>
    </row>
    <row r="922" customFormat="false" ht="15" hidden="false" customHeight="false" outlineLevel="0" collapsed="false">
      <c r="A922" s="12"/>
      <c r="B922" s="13"/>
      <c r="C922" s="13"/>
      <c r="D922" s="14"/>
      <c r="E922" s="15"/>
      <c r="F922" s="16" t="n">
        <f aca="false">IF(C922="",0,IF(COUNTIF(C$5:C922,C922)=1,1,0))</f>
        <v>0</v>
      </c>
      <c r="G922" s="16" t="n">
        <f aca="false">SUM(F$5:F922)</f>
        <v>8</v>
      </c>
      <c r="H922" s="16" t="n">
        <f aca="false">IF(B922="",0,IF(COUNTIF(B$5:B922,B922)=1,1,0))</f>
        <v>0</v>
      </c>
      <c r="I922" s="16" t="n">
        <f aca="false">SUM(H$5:H922)</f>
        <v>6</v>
      </c>
    </row>
    <row r="923" customFormat="false" ht="15" hidden="false" customHeight="false" outlineLevel="0" collapsed="false">
      <c r="A923" s="12"/>
      <c r="B923" s="13"/>
      <c r="C923" s="13"/>
      <c r="D923" s="14"/>
      <c r="E923" s="15"/>
      <c r="F923" s="16" t="n">
        <f aca="false">IF(C923="",0,IF(COUNTIF(C$5:C923,C923)=1,1,0))</f>
        <v>0</v>
      </c>
      <c r="G923" s="16" t="n">
        <f aca="false">SUM(F$5:F923)</f>
        <v>8</v>
      </c>
      <c r="H923" s="16" t="n">
        <f aca="false">IF(B923="",0,IF(COUNTIF(B$5:B923,B923)=1,1,0))</f>
        <v>0</v>
      </c>
      <c r="I923" s="16" t="n">
        <f aca="false">SUM(H$5:H923)</f>
        <v>6</v>
      </c>
    </row>
    <row r="924" customFormat="false" ht="15" hidden="false" customHeight="false" outlineLevel="0" collapsed="false">
      <c r="A924" s="12"/>
      <c r="B924" s="13"/>
      <c r="C924" s="13"/>
      <c r="D924" s="14"/>
      <c r="E924" s="15"/>
      <c r="F924" s="16" t="n">
        <f aca="false">IF(C924="",0,IF(COUNTIF(C$5:C924,C924)=1,1,0))</f>
        <v>0</v>
      </c>
      <c r="G924" s="16" t="n">
        <f aca="false">SUM(F$5:F924)</f>
        <v>8</v>
      </c>
      <c r="H924" s="16" t="n">
        <f aca="false">IF(B924="",0,IF(COUNTIF(B$5:B924,B924)=1,1,0))</f>
        <v>0</v>
      </c>
      <c r="I924" s="16" t="n">
        <f aca="false">SUM(H$5:H924)</f>
        <v>6</v>
      </c>
    </row>
    <row r="925" customFormat="false" ht="15" hidden="false" customHeight="false" outlineLevel="0" collapsed="false">
      <c r="A925" s="12"/>
      <c r="B925" s="13"/>
      <c r="C925" s="13"/>
      <c r="D925" s="14"/>
      <c r="E925" s="15"/>
      <c r="F925" s="16" t="n">
        <f aca="false">IF(C925="",0,IF(COUNTIF(C$5:C925,C925)=1,1,0))</f>
        <v>0</v>
      </c>
      <c r="G925" s="16" t="n">
        <f aca="false">SUM(F$5:F925)</f>
        <v>8</v>
      </c>
      <c r="H925" s="16" t="n">
        <f aca="false">IF(B925="",0,IF(COUNTIF(B$5:B925,B925)=1,1,0))</f>
        <v>0</v>
      </c>
      <c r="I925" s="16" t="n">
        <f aca="false">SUM(H$5:H925)</f>
        <v>6</v>
      </c>
    </row>
    <row r="926" customFormat="false" ht="15" hidden="false" customHeight="false" outlineLevel="0" collapsed="false">
      <c r="A926" s="12"/>
      <c r="B926" s="13"/>
      <c r="C926" s="13"/>
      <c r="D926" s="14"/>
      <c r="E926" s="15"/>
      <c r="F926" s="16" t="n">
        <f aca="false">IF(C926="",0,IF(COUNTIF(C$5:C926,C926)=1,1,0))</f>
        <v>0</v>
      </c>
      <c r="G926" s="16" t="n">
        <f aca="false">SUM(F$5:F926)</f>
        <v>8</v>
      </c>
      <c r="H926" s="16" t="n">
        <f aca="false">IF(B926="",0,IF(COUNTIF(B$5:B926,B926)=1,1,0))</f>
        <v>0</v>
      </c>
      <c r="I926" s="16" t="n">
        <f aca="false">SUM(H$5:H926)</f>
        <v>6</v>
      </c>
    </row>
    <row r="927" customFormat="false" ht="15" hidden="false" customHeight="false" outlineLevel="0" collapsed="false">
      <c r="A927" s="12"/>
      <c r="B927" s="13"/>
      <c r="C927" s="13"/>
      <c r="D927" s="14"/>
      <c r="E927" s="15"/>
      <c r="F927" s="16" t="n">
        <f aca="false">IF(C927="",0,IF(COUNTIF(C$5:C927,C927)=1,1,0))</f>
        <v>0</v>
      </c>
      <c r="G927" s="16" t="n">
        <f aca="false">SUM(F$5:F927)</f>
        <v>8</v>
      </c>
      <c r="H927" s="16" t="n">
        <f aca="false">IF(B927="",0,IF(COUNTIF(B$5:B927,B927)=1,1,0))</f>
        <v>0</v>
      </c>
      <c r="I927" s="16" t="n">
        <f aca="false">SUM(H$5:H927)</f>
        <v>6</v>
      </c>
    </row>
    <row r="928" customFormat="false" ht="15" hidden="false" customHeight="false" outlineLevel="0" collapsed="false">
      <c r="A928" s="12"/>
      <c r="B928" s="13"/>
      <c r="C928" s="13"/>
      <c r="D928" s="14"/>
      <c r="E928" s="15"/>
      <c r="F928" s="16" t="n">
        <f aca="false">IF(C928="",0,IF(COUNTIF(C$5:C928,C928)=1,1,0))</f>
        <v>0</v>
      </c>
      <c r="G928" s="16" t="n">
        <f aca="false">SUM(F$5:F928)</f>
        <v>8</v>
      </c>
      <c r="H928" s="16" t="n">
        <f aca="false">IF(B928="",0,IF(COUNTIF(B$5:B928,B928)=1,1,0))</f>
        <v>0</v>
      </c>
      <c r="I928" s="16" t="n">
        <f aca="false">SUM(H$5:H928)</f>
        <v>6</v>
      </c>
    </row>
    <row r="929" customFormat="false" ht="15" hidden="false" customHeight="false" outlineLevel="0" collapsed="false">
      <c r="A929" s="12"/>
      <c r="B929" s="13"/>
      <c r="C929" s="13"/>
      <c r="D929" s="14"/>
      <c r="E929" s="15"/>
      <c r="F929" s="16" t="n">
        <f aca="false">IF(C929="",0,IF(COUNTIF(C$5:C929,C929)=1,1,0))</f>
        <v>0</v>
      </c>
      <c r="G929" s="16" t="n">
        <f aca="false">SUM(F$5:F929)</f>
        <v>8</v>
      </c>
      <c r="H929" s="16" t="n">
        <f aca="false">IF(B929="",0,IF(COUNTIF(B$5:B929,B929)=1,1,0))</f>
        <v>0</v>
      </c>
      <c r="I929" s="16" t="n">
        <f aca="false">SUM(H$5:H929)</f>
        <v>6</v>
      </c>
    </row>
    <row r="930" customFormat="false" ht="15" hidden="false" customHeight="false" outlineLevel="0" collapsed="false">
      <c r="A930" s="12"/>
      <c r="B930" s="13"/>
      <c r="C930" s="13"/>
      <c r="D930" s="14"/>
      <c r="E930" s="15"/>
      <c r="F930" s="16" t="n">
        <f aca="false">IF(C930="",0,IF(COUNTIF(C$5:C930,C930)=1,1,0))</f>
        <v>0</v>
      </c>
      <c r="G930" s="16" t="n">
        <f aca="false">SUM(F$5:F930)</f>
        <v>8</v>
      </c>
      <c r="H930" s="16" t="n">
        <f aca="false">IF(B930="",0,IF(COUNTIF(B$5:B930,B930)=1,1,0))</f>
        <v>0</v>
      </c>
      <c r="I930" s="16" t="n">
        <f aca="false">SUM(H$5:H930)</f>
        <v>6</v>
      </c>
    </row>
    <row r="931" customFormat="false" ht="15" hidden="false" customHeight="false" outlineLevel="0" collapsed="false">
      <c r="A931" s="12"/>
      <c r="B931" s="13"/>
      <c r="C931" s="13"/>
      <c r="D931" s="14"/>
      <c r="E931" s="15"/>
      <c r="F931" s="16" t="n">
        <f aca="false">IF(C931="",0,IF(COUNTIF(C$5:C931,C931)=1,1,0))</f>
        <v>0</v>
      </c>
      <c r="G931" s="16" t="n">
        <f aca="false">SUM(F$5:F931)</f>
        <v>8</v>
      </c>
      <c r="H931" s="16" t="n">
        <f aca="false">IF(B931="",0,IF(COUNTIF(B$5:B931,B931)=1,1,0))</f>
        <v>0</v>
      </c>
      <c r="I931" s="16" t="n">
        <f aca="false">SUM(H$5:H931)</f>
        <v>6</v>
      </c>
    </row>
    <row r="932" customFormat="false" ht="15" hidden="false" customHeight="false" outlineLevel="0" collapsed="false">
      <c r="A932" s="12"/>
      <c r="B932" s="13"/>
      <c r="C932" s="13"/>
      <c r="D932" s="14"/>
      <c r="E932" s="15"/>
      <c r="F932" s="16" t="n">
        <f aca="false">IF(C932="",0,IF(COUNTIF(C$5:C932,C932)=1,1,0))</f>
        <v>0</v>
      </c>
      <c r="G932" s="16" t="n">
        <f aca="false">SUM(F$5:F932)</f>
        <v>8</v>
      </c>
      <c r="H932" s="16" t="n">
        <f aca="false">IF(B932="",0,IF(COUNTIF(B$5:B932,B932)=1,1,0))</f>
        <v>0</v>
      </c>
      <c r="I932" s="16" t="n">
        <f aca="false">SUM(H$5:H932)</f>
        <v>6</v>
      </c>
    </row>
    <row r="933" customFormat="false" ht="15" hidden="false" customHeight="false" outlineLevel="0" collapsed="false">
      <c r="A933" s="12"/>
      <c r="B933" s="13"/>
      <c r="C933" s="13"/>
      <c r="D933" s="14"/>
      <c r="E933" s="15"/>
      <c r="F933" s="16" t="n">
        <f aca="false">IF(C933="",0,IF(COUNTIF(C$5:C933,C933)=1,1,0))</f>
        <v>0</v>
      </c>
      <c r="G933" s="16" t="n">
        <f aca="false">SUM(F$5:F933)</f>
        <v>8</v>
      </c>
      <c r="H933" s="16" t="n">
        <f aca="false">IF(B933="",0,IF(COUNTIF(B$5:B933,B933)=1,1,0))</f>
        <v>0</v>
      </c>
      <c r="I933" s="16" t="n">
        <f aca="false">SUM(H$5:H933)</f>
        <v>6</v>
      </c>
    </row>
    <row r="934" customFormat="false" ht="15" hidden="false" customHeight="false" outlineLevel="0" collapsed="false">
      <c r="A934" s="12"/>
      <c r="B934" s="13"/>
      <c r="C934" s="13"/>
      <c r="D934" s="14"/>
      <c r="E934" s="15"/>
      <c r="F934" s="16" t="n">
        <f aca="false">IF(C934="",0,IF(COUNTIF(C$5:C934,C934)=1,1,0))</f>
        <v>0</v>
      </c>
      <c r="G934" s="16" t="n">
        <f aca="false">SUM(F$5:F934)</f>
        <v>8</v>
      </c>
      <c r="H934" s="16" t="n">
        <f aca="false">IF(B934="",0,IF(COUNTIF(B$5:B934,B934)=1,1,0))</f>
        <v>0</v>
      </c>
      <c r="I934" s="16" t="n">
        <f aca="false">SUM(H$5:H934)</f>
        <v>6</v>
      </c>
    </row>
    <row r="935" customFormat="false" ht="15" hidden="false" customHeight="false" outlineLevel="0" collapsed="false">
      <c r="A935" s="12"/>
      <c r="B935" s="13"/>
      <c r="C935" s="13"/>
      <c r="D935" s="14"/>
      <c r="E935" s="15"/>
      <c r="F935" s="16" t="n">
        <f aca="false">IF(C935="",0,IF(COUNTIF(C$5:C935,C935)=1,1,0))</f>
        <v>0</v>
      </c>
      <c r="G935" s="16" t="n">
        <f aca="false">SUM(F$5:F935)</f>
        <v>8</v>
      </c>
      <c r="H935" s="16" t="n">
        <f aca="false">IF(B935="",0,IF(COUNTIF(B$5:B935,B935)=1,1,0))</f>
        <v>0</v>
      </c>
      <c r="I935" s="16" t="n">
        <f aca="false">SUM(H$5:H935)</f>
        <v>6</v>
      </c>
    </row>
    <row r="936" customFormat="false" ht="15" hidden="false" customHeight="false" outlineLevel="0" collapsed="false">
      <c r="A936" s="12"/>
      <c r="B936" s="13"/>
      <c r="C936" s="13"/>
      <c r="D936" s="14"/>
      <c r="E936" s="15"/>
      <c r="F936" s="16" t="n">
        <f aca="false">IF(C936="",0,IF(COUNTIF(C$5:C936,C936)=1,1,0))</f>
        <v>0</v>
      </c>
      <c r="G936" s="16" t="n">
        <f aca="false">SUM(F$5:F936)</f>
        <v>8</v>
      </c>
      <c r="H936" s="16" t="n">
        <f aca="false">IF(B936="",0,IF(COUNTIF(B$5:B936,B936)=1,1,0))</f>
        <v>0</v>
      </c>
      <c r="I936" s="16" t="n">
        <f aca="false">SUM(H$5:H936)</f>
        <v>6</v>
      </c>
    </row>
    <row r="937" customFormat="false" ht="15" hidden="false" customHeight="false" outlineLevel="0" collapsed="false">
      <c r="A937" s="12"/>
      <c r="B937" s="13"/>
      <c r="C937" s="13"/>
      <c r="D937" s="14"/>
      <c r="E937" s="15"/>
      <c r="F937" s="16" t="n">
        <f aca="false">IF(C937="",0,IF(COUNTIF(C$5:C937,C937)=1,1,0))</f>
        <v>0</v>
      </c>
      <c r="G937" s="16" t="n">
        <f aca="false">SUM(F$5:F937)</f>
        <v>8</v>
      </c>
      <c r="H937" s="16" t="n">
        <f aca="false">IF(B937="",0,IF(COUNTIF(B$5:B937,B937)=1,1,0))</f>
        <v>0</v>
      </c>
      <c r="I937" s="16" t="n">
        <f aca="false">SUM(H$5:H937)</f>
        <v>6</v>
      </c>
    </row>
    <row r="938" customFormat="false" ht="15" hidden="false" customHeight="false" outlineLevel="0" collapsed="false">
      <c r="A938" s="12"/>
      <c r="B938" s="13"/>
      <c r="C938" s="13"/>
      <c r="D938" s="14"/>
      <c r="E938" s="15"/>
      <c r="F938" s="16" t="n">
        <f aca="false">IF(C938="",0,IF(COUNTIF(C$5:C938,C938)=1,1,0))</f>
        <v>0</v>
      </c>
      <c r="G938" s="16" t="n">
        <f aca="false">SUM(F$5:F938)</f>
        <v>8</v>
      </c>
      <c r="H938" s="16" t="n">
        <f aca="false">IF(B938="",0,IF(COUNTIF(B$5:B938,B938)=1,1,0))</f>
        <v>0</v>
      </c>
      <c r="I938" s="16" t="n">
        <f aca="false">SUM(H$5:H938)</f>
        <v>6</v>
      </c>
    </row>
    <row r="939" customFormat="false" ht="15" hidden="false" customHeight="false" outlineLevel="0" collapsed="false">
      <c r="A939" s="12"/>
      <c r="B939" s="13"/>
      <c r="C939" s="13"/>
      <c r="D939" s="14"/>
      <c r="E939" s="15"/>
      <c r="F939" s="16" t="n">
        <f aca="false">IF(C939="",0,IF(COUNTIF(C$5:C939,C939)=1,1,0))</f>
        <v>0</v>
      </c>
      <c r="G939" s="16" t="n">
        <f aca="false">SUM(F$5:F939)</f>
        <v>8</v>
      </c>
      <c r="H939" s="16" t="n">
        <f aca="false">IF(B939="",0,IF(COUNTIF(B$5:B939,B939)=1,1,0))</f>
        <v>0</v>
      </c>
      <c r="I939" s="16" t="n">
        <f aca="false">SUM(H$5:H939)</f>
        <v>6</v>
      </c>
    </row>
    <row r="940" customFormat="false" ht="15" hidden="false" customHeight="false" outlineLevel="0" collapsed="false">
      <c r="A940" s="12"/>
      <c r="B940" s="13"/>
      <c r="C940" s="13"/>
      <c r="D940" s="14"/>
      <c r="E940" s="15"/>
      <c r="F940" s="16" t="n">
        <f aca="false">IF(C940="",0,IF(COUNTIF(C$5:C940,C940)=1,1,0))</f>
        <v>0</v>
      </c>
      <c r="G940" s="16" t="n">
        <f aca="false">SUM(F$5:F940)</f>
        <v>8</v>
      </c>
      <c r="H940" s="16" t="n">
        <f aca="false">IF(B940="",0,IF(COUNTIF(B$5:B940,B940)=1,1,0))</f>
        <v>0</v>
      </c>
      <c r="I940" s="16" t="n">
        <f aca="false">SUM(H$5:H940)</f>
        <v>6</v>
      </c>
    </row>
    <row r="941" customFormat="false" ht="15" hidden="false" customHeight="false" outlineLevel="0" collapsed="false">
      <c r="A941" s="12"/>
      <c r="B941" s="13"/>
      <c r="C941" s="13"/>
      <c r="D941" s="14"/>
      <c r="E941" s="15"/>
      <c r="F941" s="16" t="n">
        <f aca="false">IF(C941="",0,IF(COUNTIF(C$5:C941,C941)=1,1,0))</f>
        <v>0</v>
      </c>
      <c r="G941" s="16" t="n">
        <f aca="false">SUM(F$5:F941)</f>
        <v>8</v>
      </c>
      <c r="H941" s="16" t="n">
        <f aca="false">IF(B941="",0,IF(COUNTIF(B$5:B941,B941)=1,1,0))</f>
        <v>0</v>
      </c>
      <c r="I941" s="16" t="n">
        <f aca="false">SUM(H$5:H941)</f>
        <v>6</v>
      </c>
    </row>
    <row r="942" customFormat="false" ht="15" hidden="false" customHeight="false" outlineLevel="0" collapsed="false">
      <c r="A942" s="12"/>
      <c r="B942" s="13"/>
      <c r="C942" s="13"/>
      <c r="D942" s="14"/>
      <c r="E942" s="15"/>
      <c r="F942" s="16" t="n">
        <f aca="false">IF(C942="",0,IF(COUNTIF(C$5:C942,C942)=1,1,0))</f>
        <v>0</v>
      </c>
      <c r="G942" s="16" t="n">
        <f aca="false">SUM(F$5:F942)</f>
        <v>8</v>
      </c>
      <c r="H942" s="16" t="n">
        <f aca="false">IF(B942="",0,IF(COUNTIF(B$5:B942,B942)=1,1,0))</f>
        <v>0</v>
      </c>
      <c r="I942" s="16" t="n">
        <f aca="false">SUM(H$5:H942)</f>
        <v>6</v>
      </c>
    </row>
    <row r="943" customFormat="false" ht="15" hidden="false" customHeight="false" outlineLevel="0" collapsed="false">
      <c r="A943" s="12"/>
      <c r="B943" s="13"/>
      <c r="C943" s="13"/>
      <c r="D943" s="14"/>
      <c r="E943" s="15"/>
      <c r="F943" s="16" t="n">
        <f aca="false">IF(C943="",0,IF(COUNTIF(C$5:C943,C943)=1,1,0))</f>
        <v>0</v>
      </c>
      <c r="G943" s="16" t="n">
        <f aca="false">SUM(F$5:F943)</f>
        <v>8</v>
      </c>
      <c r="H943" s="16" t="n">
        <f aca="false">IF(B943="",0,IF(COUNTIF(B$5:B943,B943)=1,1,0))</f>
        <v>0</v>
      </c>
      <c r="I943" s="16" t="n">
        <f aca="false">SUM(H$5:H943)</f>
        <v>6</v>
      </c>
    </row>
    <row r="944" customFormat="false" ht="15" hidden="false" customHeight="false" outlineLevel="0" collapsed="false">
      <c r="A944" s="12"/>
      <c r="B944" s="13"/>
      <c r="C944" s="13"/>
      <c r="D944" s="14"/>
      <c r="E944" s="15"/>
      <c r="F944" s="16" t="n">
        <f aca="false">IF(C944="",0,IF(COUNTIF(C$5:C944,C944)=1,1,0))</f>
        <v>0</v>
      </c>
      <c r="G944" s="16" t="n">
        <f aca="false">SUM(F$5:F944)</f>
        <v>8</v>
      </c>
      <c r="H944" s="16" t="n">
        <f aca="false">IF(B944="",0,IF(COUNTIF(B$5:B944,B944)=1,1,0))</f>
        <v>0</v>
      </c>
      <c r="I944" s="16" t="n">
        <f aca="false">SUM(H$5:H944)</f>
        <v>6</v>
      </c>
    </row>
    <row r="945" customFormat="false" ht="15" hidden="false" customHeight="false" outlineLevel="0" collapsed="false">
      <c r="A945" s="12"/>
      <c r="B945" s="13"/>
      <c r="C945" s="13"/>
      <c r="D945" s="14"/>
      <c r="E945" s="15"/>
      <c r="F945" s="16" t="n">
        <f aca="false">IF(C945="",0,IF(COUNTIF(C$5:C945,C945)=1,1,0))</f>
        <v>0</v>
      </c>
      <c r="G945" s="16" t="n">
        <f aca="false">SUM(F$5:F945)</f>
        <v>8</v>
      </c>
      <c r="H945" s="16" t="n">
        <f aca="false">IF(B945="",0,IF(COUNTIF(B$5:B945,B945)=1,1,0))</f>
        <v>0</v>
      </c>
      <c r="I945" s="16" t="n">
        <f aca="false">SUM(H$5:H945)</f>
        <v>6</v>
      </c>
    </row>
    <row r="946" customFormat="false" ht="15" hidden="false" customHeight="false" outlineLevel="0" collapsed="false">
      <c r="A946" s="12"/>
      <c r="B946" s="13"/>
      <c r="C946" s="13"/>
      <c r="D946" s="14"/>
      <c r="E946" s="15"/>
      <c r="F946" s="16" t="n">
        <f aca="false">IF(C946="",0,IF(COUNTIF(C$5:C946,C946)=1,1,0))</f>
        <v>0</v>
      </c>
      <c r="G946" s="16" t="n">
        <f aca="false">SUM(F$5:F946)</f>
        <v>8</v>
      </c>
      <c r="H946" s="16" t="n">
        <f aca="false">IF(B946="",0,IF(COUNTIF(B$5:B946,B946)=1,1,0))</f>
        <v>0</v>
      </c>
      <c r="I946" s="16" t="n">
        <f aca="false">SUM(H$5:H946)</f>
        <v>6</v>
      </c>
    </row>
    <row r="947" customFormat="false" ht="15" hidden="false" customHeight="false" outlineLevel="0" collapsed="false">
      <c r="A947" s="12"/>
      <c r="B947" s="13"/>
      <c r="C947" s="13"/>
      <c r="D947" s="14"/>
      <c r="E947" s="15"/>
      <c r="F947" s="16" t="n">
        <f aca="false">IF(C947="",0,IF(COUNTIF(C$5:C947,C947)=1,1,0))</f>
        <v>0</v>
      </c>
      <c r="G947" s="16" t="n">
        <f aca="false">SUM(F$5:F947)</f>
        <v>8</v>
      </c>
      <c r="H947" s="16" t="n">
        <f aca="false">IF(B947="",0,IF(COUNTIF(B$5:B947,B947)=1,1,0))</f>
        <v>0</v>
      </c>
      <c r="I947" s="16" t="n">
        <f aca="false">SUM(H$5:H947)</f>
        <v>6</v>
      </c>
    </row>
    <row r="948" customFormat="false" ht="15" hidden="false" customHeight="false" outlineLevel="0" collapsed="false">
      <c r="A948" s="12"/>
      <c r="B948" s="13"/>
      <c r="C948" s="13"/>
      <c r="D948" s="14"/>
      <c r="E948" s="15"/>
      <c r="F948" s="16" t="n">
        <f aca="false">IF(C948="",0,IF(COUNTIF(C$5:C948,C948)=1,1,0))</f>
        <v>0</v>
      </c>
      <c r="G948" s="16" t="n">
        <f aca="false">SUM(F$5:F948)</f>
        <v>8</v>
      </c>
      <c r="H948" s="16" t="n">
        <f aca="false">IF(B948="",0,IF(COUNTIF(B$5:B948,B948)=1,1,0))</f>
        <v>0</v>
      </c>
      <c r="I948" s="16" t="n">
        <f aca="false">SUM(H$5:H948)</f>
        <v>6</v>
      </c>
    </row>
    <row r="949" customFormat="false" ht="15" hidden="false" customHeight="false" outlineLevel="0" collapsed="false">
      <c r="A949" s="12"/>
      <c r="B949" s="13"/>
      <c r="C949" s="13"/>
      <c r="D949" s="14"/>
      <c r="E949" s="15"/>
      <c r="F949" s="16" t="n">
        <f aca="false">IF(C949="",0,IF(COUNTIF(C$5:C949,C949)=1,1,0))</f>
        <v>0</v>
      </c>
      <c r="G949" s="16" t="n">
        <f aca="false">SUM(F$5:F949)</f>
        <v>8</v>
      </c>
      <c r="H949" s="16" t="n">
        <f aca="false">IF(B949="",0,IF(COUNTIF(B$5:B949,B949)=1,1,0))</f>
        <v>0</v>
      </c>
      <c r="I949" s="16" t="n">
        <f aca="false">SUM(H$5:H949)</f>
        <v>6</v>
      </c>
    </row>
    <row r="950" customFormat="false" ht="15" hidden="false" customHeight="false" outlineLevel="0" collapsed="false">
      <c r="A950" s="12"/>
      <c r="B950" s="13"/>
      <c r="C950" s="13"/>
      <c r="D950" s="14"/>
      <c r="E950" s="15"/>
      <c r="F950" s="16" t="n">
        <f aca="false">IF(C950="",0,IF(COUNTIF(C$5:C950,C950)=1,1,0))</f>
        <v>0</v>
      </c>
      <c r="G950" s="16" t="n">
        <f aca="false">SUM(F$5:F950)</f>
        <v>8</v>
      </c>
      <c r="H950" s="16" t="n">
        <f aca="false">IF(B950="",0,IF(COUNTIF(B$5:B950,B950)=1,1,0))</f>
        <v>0</v>
      </c>
      <c r="I950" s="16" t="n">
        <f aca="false">SUM(H$5:H950)</f>
        <v>6</v>
      </c>
    </row>
    <row r="951" customFormat="false" ht="15" hidden="false" customHeight="false" outlineLevel="0" collapsed="false">
      <c r="A951" s="12"/>
      <c r="B951" s="13"/>
      <c r="C951" s="13"/>
      <c r="D951" s="14"/>
      <c r="E951" s="15"/>
      <c r="F951" s="16" t="n">
        <f aca="false">IF(C951="",0,IF(COUNTIF(C$5:C951,C951)=1,1,0))</f>
        <v>0</v>
      </c>
      <c r="G951" s="16" t="n">
        <f aca="false">SUM(F$5:F951)</f>
        <v>8</v>
      </c>
      <c r="H951" s="16" t="n">
        <f aca="false">IF(B951="",0,IF(COUNTIF(B$5:B951,B951)=1,1,0))</f>
        <v>0</v>
      </c>
      <c r="I951" s="16" t="n">
        <f aca="false">SUM(H$5:H951)</f>
        <v>6</v>
      </c>
    </row>
    <row r="952" customFormat="false" ht="15" hidden="false" customHeight="false" outlineLevel="0" collapsed="false">
      <c r="A952" s="12"/>
      <c r="B952" s="13"/>
      <c r="C952" s="13"/>
      <c r="D952" s="14"/>
      <c r="E952" s="15"/>
      <c r="F952" s="16" t="n">
        <f aca="false">IF(C952="",0,IF(COUNTIF(C$5:C952,C952)=1,1,0))</f>
        <v>0</v>
      </c>
      <c r="G952" s="16" t="n">
        <f aca="false">SUM(F$5:F952)</f>
        <v>8</v>
      </c>
      <c r="H952" s="16" t="n">
        <f aca="false">IF(B952="",0,IF(COUNTIF(B$5:B952,B952)=1,1,0))</f>
        <v>0</v>
      </c>
      <c r="I952" s="16" t="n">
        <f aca="false">SUM(H$5:H952)</f>
        <v>6</v>
      </c>
    </row>
    <row r="953" customFormat="false" ht="15" hidden="false" customHeight="false" outlineLevel="0" collapsed="false">
      <c r="A953" s="12"/>
      <c r="B953" s="13"/>
      <c r="C953" s="13"/>
      <c r="D953" s="14"/>
      <c r="E953" s="15"/>
      <c r="F953" s="16" t="n">
        <f aca="false">IF(C953="",0,IF(COUNTIF(C$5:C953,C953)=1,1,0))</f>
        <v>0</v>
      </c>
      <c r="G953" s="16" t="n">
        <f aca="false">SUM(F$5:F953)</f>
        <v>8</v>
      </c>
      <c r="H953" s="16" t="n">
        <f aca="false">IF(B953="",0,IF(COUNTIF(B$5:B953,B953)=1,1,0))</f>
        <v>0</v>
      </c>
      <c r="I953" s="16" t="n">
        <f aca="false">SUM(H$5:H953)</f>
        <v>6</v>
      </c>
    </row>
    <row r="954" customFormat="false" ht="15" hidden="false" customHeight="false" outlineLevel="0" collapsed="false">
      <c r="A954" s="12"/>
      <c r="B954" s="13"/>
      <c r="C954" s="13"/>
      <c r="D954" s="14"/>
      <c r="E954" s="15"/>
      <c r="F954" s="16" t="n">
        <f aca="false">IF(C954="",0,IF(COUNTIF(C$5:C954,C954)=1,1,0))</f>
        <v>0</v>
      </c>
      <c r="G954" s="16" t="n">
        <f aca="false">SUM(F$5:F954)</f>
        <v>8</v>
      </c>
      <c r="H954" s="16" t="n">
        <f aca="false">IF(B954="",0,IF(COUNTIF(B$5:B954,B954)=1,1,0))</f>
        <v>0</v>
      </c>
      <c r="I954" s="16" t="n">
        <f aca="false">SUM(H$5:H954)</f>
        <v>6</v>
      </c>
    </row>
    <row r="955" customFormat="false" ht="15" hidden="false" customHeight="false" outlineLevel="0" collapsed="false">
      <c r="A955" s="12"/>
      <c r="B955" s="13"/>
      <c r="C955" s="13"/>
      <c r="D955" s="14"/>
      <c r="E955" s="15"/>
      <c r="F955" s="16" t="n">
        <f aca="false">IF(C955="",0,IF(COUNTIF(C$5:C955,C955)=1,1,0))</f>
        <v>0</v>
      </c>
      <c r="G955" s="16" t="n">
        <f aca="false">SUM(F$5:F955)</f>
        <v>8</v>
      </c>
      <c r="H955" s="16" t="n">
        <f aca="false">IF(B955="",0,IF(COUNTIF(B$5:B955,B955)=1,1,0))</f>
        <v>0</v>
      </c>
      <c r="I955" s="16" t="n">
        <f aca="false">SUM(H$5:H955)</f>
        <v>6</v>
      </c>
    </row>
    <row r="956" customFormat="false" ht="15" hidden="false" customHeight="false" outlineLevel="0" collapsed="false">
      <c r="A956" s="12"/>
      <c r="B956" s="13"/>
      <c r="C956" s="13"/>
      <c r="D956" s="14"/>
      <c r="E956" s="15"/>
      <c r="F956" s="16" t="n">
        <f aca="false">IF(C956="",0,IF(COUNTIF(C$5:C956,C956)=1,1,0))</f>
        <v>0</v>
      </c>
      <c r="G956" s="16" t="n">
        <f aca="false">SUM(F$5:F956)</f>
        <v>8</v>
      </c>
      <c r="H956" s="16" t="n">
        <f aca="false">IF(B956="",0,IF(COUNTIF(B$5:B956,B956)=1,1,0))</f>
        <v>0</v>
      </c>
      <c r="I956" s="16" t="n">
        <f aca="false">SUM(H$5:H956)</f>
        <v>6</v>
      </c>
    </row>
    <row r="957" customFormat="false" ht="15" hidden="false" customHeight="false" outlineLevel="0" collapsed="false">
      <c r="A957" s="12"/>
      <c r="B957" s="13"/>
      <c r="C957" s="13"/>
      <c r="D957" s="14"/>
      <c r="E957" s="15"/>
      <c r="F957" s="16" t="n">
        <f aca="false">IF(C957="",0,IF(COUNTIF(C$5:C957,C957)=1,1,0))</f>
        <v>0</v>
      </c>
      <c r="G957" s="16" t="n">
        <f aca="false">SUM(F$5:F957)</f>
        <v>8</v>
      </c>
      <c r="H957" s="16" t="n">
        <f aca="false">IF(B957="",0,IF(COUNTIF(B$5:B957,B957)=1,1,0))</f>
        <v>0</v>
      </c>
      <c r="I957" s="16" t="n">
        <f aca="false">SUM(H$5:H957)</f>
        <v>6</v>
      </c>
    </row>
    <row r="958" customFormat="false" ht="15" hidden="false" customHeight="false" outlineLevel="0" collapsed="false">
      <c r="A958" s="12"/>
      <c r="B958" s="13"/>
      <c r="C958" s="13"/>
      <c r="D958" s="14"/>
      <c r="E958" s="15"/>
      <c r="F958" s="16" t="n">
        <f aca="false">IF(C958="",0,IF(COUNTIF(C$5:C958,C958)=1,1,0))</f>
        <v>0</v>
      </c>
      <c r="G958" s="16" t="n">
        <f aca="false">SUM(F$5:F958)</f>
        <v>8</v>
      </c>
      <c r="H958" s="16" t="n">
        <f aca="false">IF(B958="",0,IF(COUNTIF(B$5:B958,B958)=1,1,0))</f>
        <v>0</v>
      </c>
      <c r="I958" s="16" t="n">
        <f aca="false">SUM(H$5:H958)</f>
        <v>6</v>
      </c>
    </row>
    <row r="959" customFormat="false" ht="15" hidden="false" customHeight="false" outlineLevel="0" collapsed="false">
      <c r="A959" s="12"/>
      <c r="B959" s="13"/>
      <c r="C959" s="13"/>
      <c r="D959" s="14"/>
      <c r="E959" s="15"/>
      <c r="F959" s="16" t="n">
        <f aca="false">IF(C959="",0,IF(COUNTIF(C$5:C959,C959)=1,1,0))</f>
        <v>0</v>
      </c>
      <c r="G959" s="16" t="n">
        <f aca="false">SUM(F$5:F959)</f>
        <v>8</v>
      </c>
      <c r="H959" s="16" t="n">
        <f aca="false">IF(B959="",0,IF(COUNTIF(B$5:B959,B959)=1,1,0))</f>
        <v>0</v>
      </c>
      <c r="I959" s="16" t="n">
        <f aca="false">SUM(H$5:H959)</f>
        <v>6</v>
      </c>
    </row>
    <row r="960" customFormat="false" ht="15" hidden="false" customHeight="false" outlineLevel="0" collapsed="false">
      <c r="A960" s="12"/>
      <c r="B960" s="13"/>
      <c r="C960" s="13"/>
      <c r="D960" s="14"/>
      <c r="E960" s="15"/>
      <c r="F960" s="16" t="n">
        <f aca="false">IF(C960="",0,IF(COUNTIF(C$5:C960,C960)=1,1,0))</f>
        <v>0</v>
      </c>
      <c r="G960" s="16" t="n">
        <f aca="false">SUM(F$5:F960)</f>
        <v>8</v>
      </c>
      <c r="H960" s="16" t="n">
        <f aca="false">IF(B960="",0,IF(COUNTIF(B$5:B960,B960)=1,1,0))</f>
        <v>0</v>
      </c>
      <c r="I960" s="16" t="n">
        <f aca="false">SUM(H$5:H960)</f>
        <v>6</v>
      </c>
    </row>
    <row r="961" customFormat="false" ht="15" hidden="false" customHeight="false" outlineLevel="0" collapsed="false">
      <c r="A961" s="12"/>
      <c r="B961" s="13"/>
      <c r="C961" s="13"/>
      <c r="D961" s="14"/>
      <c r="E961" s="15"/>
      <c r="F961" s="16" t="n">
        <f aca="false">IF(C961="",0,IF(COUNTIF(C$5:C961,C961)=1,1,0))</f>
        <v>0</v>
      </c>
      <c r="G961" s="16" t="n">
        <f aca="false">SUM(F$5:F961)</f>
        <v>8</v>
      </c>
      <c r="H961" s="16" t="n">
        <f aca="false">IF(B961="",0,IF(COUNTIF(B$5:B961,B961)=1,1,0))</f>
        <v>0</v>
      </c>
      <c r="I961" s="16" t="n">
        <f aca="false">SUM(H$5:H961)</f>
        <v>6</v>
      </c>
    </row>
    <row r="962" customFormat="false" ht="15" hidden="false" customHeight="false" outlineLevel="0" collapsed="false">
      <c r="A962" s="12"/>
      <c r="B962" s="13"/>
      <c r="C962" s="13"/>
      <c r="D962" s="14"/>
      <c r="E962" s="15"/>
      <c r="F962" s="16" t="n">
        <f aca="false">IF(C962="",0,IF(COUNTIF(C$5:C962,C962)=1,1,0))</f>
        <v>0</v>
      </c>
      <c r="G962" s="16" t="n">
        <f aca="false">SUM(F$5:F962)</f>
        <v>8</v>
      </c>
      <c r="H962" s="16" t="n">
        <f aca="false">IF(B962="",0,IF(COUNTIF(B$5:B962,B962)=1,1,0))</f>
        <v>0</v>
      </c>
      <c r="I962" s="16" t="n">
        <f aca="false">SUM(H$5:H962)</f>
        <v>6</v>
      </c>
    </row>
    <row r="963" customFormat="false" ht="15" hidden="false" customHeight="false" outlineLevel="0" collapsed="false">
      <c r="A963" s="12"/>
      <c r="B963" s="13"/>
      <c r="C963" s="13"/>
      <c r="D963" s="14"/>
      <c r="E963" s="15"/>
      <c r="F963" s="16" t="n">
        <f aca="false">IF(C963="",0,IF(COUNTIF(C$5:C963,C963)=1,1,0))</f>
        <v>0</v>
      </c>
      <c r="G963" s="16" t="n">
        <f aca="false">SUM(F$5:F963)</f>
        <v>8</v>
      </c>
      <c r="H963" s="16" t="n">
        <f aca="false">IF(B963="",0,IF(COUNTIF(B$5:B963,B963)=1,1,0))</f>
        <v>0</v>
      </c>
      <c r="I963" s="16" t="n">
        <f aca="false">SUM(H$5:H963)</f>
        <v>6</v>
      </c>
    </row>
    <row r="964" customFormat="false" ht="15" hidden="false" customHeight="false" outlineLevel="0" collapsed="false">
      <c r="A964" s="12"/>
      <c r="B964" s="13"/>
      <c r="C964" s="13"/>
      <c r="D964" s="14"/>
      <c r="E964" s="15"/>
      <c r="F964" s="16" t="n">
        <f aca="false">IF(C964="",0,IF(COUNTIF(C$5:C964,C964)=1,1,0))</f>
        <v>0</v>
      </c>
      <c r="G964" s="16" t="n">
        <f aca="false">SUM(F$5:F964)</f>
        <v>8</v>
      </c>
      <c r="H964" s="16" t="n">
        <f aca="false">IF(B964="",0,IF(COUNTIF(B$5:B964,B964)=1,1,0))</f>
        <v>0</v>
      </c>
      <c r="I964" s="16" t="n">
        <f aca="false">SUM(H$5:H964)</f>
        <v>6</v>
      </c>
    </row>
    <row r="965" customFormat="false" ht="15" hidden="false" customHeight="false" outlineLevel="0" collapsed="false">
      <c r="A965" s="12"/>
      <c r="B965" s="13"/>
      <c r="C965" s="13"/>
      <c r="D965" s="14"/>
      <c r="E965" s="15"/>
      <c r="F965" s="16" t="n">
        <f aca="false">IF(C965="",0,IF(COUNTIF(C$5:C965,C965)=1,1,0))</f>
        <v>0</v>
      </c>
      <c r="G965" s="16" t="n">
        <f aca="false">SUM(F$5:F965)</f>
        <v>8</v>
      </c>
      <c r="H965" s="16" t="n">
        <f aca="false">IF(B965="",0,IF(COUNTIF(B$5:B965,B965)=1,1,0))</f>
        <v>0</v>
      </c>
      <c r="I965" s="16" t="n">
        <f aca="false">SUM(H$5:H965)</f>
        <v>6</v>
      </c>
    </row>
    <row r="966" customFormat="false" ht="15" hidden="false" customHeight="false" outlineLevel="0" collapsed="false">
      <c r="A966" s="12"/>
      <c r="B966" s="13"/>
      <c r="C966" s="13"/>
      <c r="D966" s="14"/>
      <c r="E966" s="15"/>
      <c r="F966" s="16" t="n">
        <f aca="false">IF(C966="",0,IF(COUNTIF(C$5:C966,C966)=1,1,0))</f>
        <v>0</v>
      </c>
      <c r="G966" s="16" t="n">
        <f aca="false">SUM(F$5:F966)</f>
        <v>8</v>
      </c>
      <c r="H966" s="16" t="n">
        <f aca="false">IF(B966="",0,IF(COUNTIF(B$5:B966,B966)=1,1,0))</f>
        <v>0</v>
      </c>
      <c r="I966" s="16" t="n">
        <f aca="false">SUM(H$5:H966)</f>
        <v>6</v>
      </c>
    </row>
    <row r="967" customFormat="false" ht="15" hidden="false" customHeight="false" outlineLevel="0" collapsed="false">
      <c r="A967" s="12"/>
      <c r="B967" s="13"/>
      <c r="C967" s="13"/>
      <c r="D967" s="14"/>
      <c r="E967" s="15"/>
      <c r="F967" s="16" t="n">
        <f aca="false">IF(C967="",0,IF(COUNTIF(C$5:C967,C967)=1,1,0))</f>
        <v>0</v>
      </c>
      <c r="G967" s="16" t="n">
        <f aca="false">SUM(F$5:F967)</f>
        <v>8</v>
      </c>
      <c r="H967" s="16" t="n">
        <f aca="false">IF(B967="",0,IF(COUNTIF(B$5:B967,B967)=1,1,0))</f>
        <v>0</v>
      </c>
      <c r="I967" s="16" t="n">
        <f aca="false">SUM(H$5:H967)</f>
        <v>6</v>
      </c>
    </row>
    <row r="968" customFormat="false" ht="15" hidden="false" customHeight="false" outlineLevel="0" collapsed="false">
      <c r="A968" s="12"/>
      <c r="B968" s="13"/>
      <c r="C968" s="13"/>
      <c r="D968" s="14"/>
      <c r="E968" s="15"/>
      <c r="F968" s="16" t="n">
        <f aca="false">IF(C968="",0,IF(COUNTIF(C$5:C968,C968)=1,1,0))</f>
        <v>0</v>
      </c>
      <c r="G968" s="16" t="n">
        <f aca="false">SUM(F$5:F968)</f>
        <v>8</v>
      </c>
      <c r="H968" s="16" t="n">
        <f aca="false">IF(B968="",0,IF(COUNTIF(B$5:B968,B968)=1,1,0))</f>
        <v>0</v>
      </c>
      <c r="I968" s="16" t="n">
        <f aca="false">SUM(H$5:H968)</f>
        <v>6</v>
      </c>
    </row>
    <row r="969" customFormat="false" ht="15" hidden="false" customHeight="false" outlineLevel="0" collapsed="false">
      <c r="A969" s="12"/>
      <c r="B969" s="13"/>
      <c r="C969" s="13"/>
      <c r="D969" s="14"/>
      <c r="E969" s="15"/>
      <c r="F969" s="16" t="n">
        <f aca="false">IF(C969="",0,IF(COUNTIF(C$5:C969,C969)=1,1,0))</f>
        <v>0</v>
      </c>
      <c r="G969" s="16" t="n">
        <f aca="false">SUM(F$5:F969)</f>
        <v>8</v>
      </c>
      <c r="H969" s="16" t="n">
        <f aca="false">IF(B969="",0,IF(COUNTIF(B$5:B969,B969)=1,1,0))</f>
        <v>0</v>
      </c>
      <c r="I969" s="16" t="n">
        <f aca="false">SUM(H$5:H969)</f>
        <v>6</v>
      </c>
    </row>
    <row r="970" customFormat="false" ht="15" hidden="false" customHeight="false" outlineLevel="0" collapsed="false">
      <c r="A970" s="12"/>
      <c r="B970" s="13"/>
      <c r="C970" s="13"/>
      <c r="D970" s="14"/>
      <c r="E970" s="15"/>
      <c r="F970" s="16" t="n">
        <f aca="false">IF(C970="",0,IF(COUNTIF(C$5:C970,C970)=1,1,0))</f>
        <v>0</v>
      </c>
      <c r="G970" s="16" t="n">
        <f aca="false">SUM(F$5:F970)</f>
        <v>8</v>
      </c>
      <c r="H970" s="16" t="n">
        <f aca="false">IF(B970="",0,IF(COUNTIF(B$5:B970,B970)=1,1,0))</f>
        <v>0</v>
      </c>
      <c r="I970" s="16" t="n">
        <f aca="false">SUM(H$5:H970)</f>
        <v>6</v>
      </c>
    </row>
    <row r="971" customFormat="false" ht="15" hidden="false" customHeight="false" outlineLevel="0" collapsed="false">
      <c r="A971" s="12"/>
      <c r="B971" s="13"/>
      <c r="C971" s="13"/>
      <c r="D971" s="14"/>
      <c r="E971" s="15"/>
      <c r="F971" s="16" t="n">
        <f aca="false">IF(C971="",0,IF(COUNTIF(C$5:C971,C971)=1,1,0))</f>
        <v>0</v>
      </c>
      <c r="G971" s="16" t="n">
        <f aca="false">SUM(F$5:F971)</f>
        <v>8</v>
      </c>
      <c r="H971" s="16" t="n">
        <f aca="false">IF(B971="",0,IF(COUNTIF(B$5:B971,B971)=1,1,0))</f>
        <v>0</v>
      </c>
      <c r="I971" s="16" t="n">
        <f aca="false">SUM(H$5:H971)</f>
        <v>6</v>
      </c>
    </row>
    <row r="972" customFormat="false" ht="15" hidden="false" customHeight="false" outlineLevel="0" collapsed="false">
      <c r="A972" s="12"/>
      <c r="B972" s="13"/>
      <c r="C972" s="13"/>
      <c r="D972" s="14"/>
      <c r="E972" s="15"/>
      <c r="F972" s="16" t="n">
        <f aca="false">IF(C972="",0,IF(COUNTIF(C$5:C972,C972)=1,1,0))</f>
        <v>0</v>
      </c>
      <c r="G972" s="16" t="n">
        <f aca="false">SUM(F$5:F972)</f>
        <v>8</v>
      </c>
      <c r="H972" s="16" t="n">
        <f aca="false">IF(B972="",0,IF(COUNTIF(B$5:B972,B972)=1,1,0))</f>
        <v>0</v>
      </c>
      <c r="I972" s="16" t="n">
        <f aca="false">SUM(H$5:H972)</f>
        <v>6</v>
      </c>
    </row>
    <row r="973" customFormat="false" ht="15" hidden="false" customHeight="false" outlineLevel="0" collapsed="false">
      <c r="A973" s="12"/>
      <c r="B973" s="13"/>
      <c r="C973" s="13"/>
      <c r="D973" s="14"/>
      <c r="E973" s="15"/>
      <c r="F973" s="16" t="n">
        <f aca="false">IF(C973="",0,IF(COUNTIF(C$5:C973,C973)=1,1,0))</f>
        <v>0</v>
      </c>
      <c r="G973" s="16" t="n">
        <f aca="false">SUM(F$5:F973)</f>
        <v>8</v>
      </c>
      <c r="H973" s="16" t="n">
        <f aca="false">IF(B973="",0,IF(COUNTIF(B$5:B973,B973)=1,1,0))</f>
        <v>0</v>
      </c>
      <c r="I973" s="16" t="n">
        <f aca="false">SUM(H$5:H973)</f>
        <v>6</v>
      </c>
    </row>
    <row r="974" customFormat="false" ht="15" hidden="false" customHeight="false" outlineLevel="0" collapsed="false">
      <c r="A974" s="12"/>
      <c r="B974" s="13"/>
      <c r="C974" s="13"/>
      <c r="D974" s="14"/>
      <c r="E974" s="15"/>
      <c r="F974" s="16" t="n">
        <f aca="false">IF(C974="",0,IF(COUNTIF(C$5:C974,C974)=1,1,0))</f>
        <v>0</v>
      </c>
      <c r="G974" s="16" t="n">
        <f aca="false">SUM(F$5:F974)</f>
        <v>8</v>
      </c>
      <c r="H974" s="16" t="n">
        <f aca="false">IF(B974="",0,IF(COUNTIF(B$5:B974,B974)=1,1,0))</f>
        <v>0</v>
      </c>
      <c r="I974" s="16" t="n">
        <f aca="false">SUM(H$5:H974)</f>
        <v>6</v>
      </c>
    </row>
    <row r="975" customFormat="false" ht="15" hidden="false" customHeight="false" outlineLevel="0" collapsed="false">
      <c r="A975" s="12"/>
      <c r="B975" s="13"/>
      <c r="C975" s="13"/>
      <c r="D975" s="14"/>
      <c r="E975" s="15"/>
      <c r="F975" s="16" t="n">
        <f aca="false">IF(C975="",0,IF(COUNTIF(C$5:C975,C975)=1,1,0))</f>
        <v>0</v>
      </c>
      <c r="G975" s="16" t="n">
        <f aca="false">SUM(F$5:F975)</f>
        <v>8</v>
      </c>
      <c r="H975" s="16" t="n">
        <f aca="false">IF(B975="",0,IF(COUNTIF(B$5:B975,B975)=1,1,0))</f>
        <v>0</v>
      </c>
      <c r="I975" s="16" t="n">
        <f aca="false">SUM(H$5:H975)</f>
        <v>6</v>
      </c>
    </row>
    <row r="976" customFormat="false" ht="15" hidden="false" customHeight="false" outlineLevel="0" collapsed="false">
      <c r="A976" s="12"/>
      <c r="B976" s="13"/>
      <c r="C976" s="13"/>
      <c r="D976" s="14"/>
      <c r="E976" s="15"/>
      <c r="F976" s="16" t="n">
        <f aca="false">IF(C976="",0,IF(COUNTIF(C$5:C976,C976)=1,1,0))</f>
        <v>0</v>
      </c>
      <c r="G976" s="16" t="n">
        <f aca="false">SUM(F$5:F976)</f>
        <v>8</v>
      </c>
      <c r="H976" s="16" t="n">
        <f aca="false">IF(B976="",0,IF(COUNTIF(B$5:B976,B976)=1,1,0))</f>
        <v>0</v>
      </c>
      <c r="I976" s="16" t="n">
        <f aca="false">SUM(H$5:H976)</f>
        <v>6</v>
      </c>
    </row>
    <row r="977" customFormat="false" ht="15" hidden="false" customHeight="false" outlineLevel="0" collapsed="false">
      <c r="A977" s="12"/>
      <c r="B977" s="13"/>
      <c r="C977" s="13"/>
      <c r="D977" s="14"/>
      <c r="E977" s="15"/>
      <c r="F977" s="16" t="n">
        <f aca="false">IF(C977="",0,IF(COUNTIF(C$5:C977,C977)=1,1,0))</f>
        <v>0</v>
      </c>
      <c r="G977" s="16" t="n">
        <f aca="false">SUM(F$5:F977)</f>
        <v>8</v>
      </c>
      <c r="H977" s="16" t="n">
        <f aca="false">IF(B977="",0,IF(COUNTIF(B$5:B977,B977)=1,1,0))</f>
        <v>0</v>
      </c>
      <c r="I977" s="16" t="n">
        <f aca="false">SUM(H$5:H977)</f>
        <v>6</v>
      </c>
    </row>
    <row r="978" customFormat="false" ht="15" hidden="false" customHeight="false" outlineLevel="0" collapsed="false">
      <c r="A978" s="12"/>
      <c r="B978" s="13"/>
      <c r="C978" s="13"/>
      <c r="D978" s="14"/>
      <c r="E978" s="15"/>
      <c r="F978" s="16" t="n">
        <f aca="false">IF(C978="",0,IF(COUNTIF(C$5:C978,C978)=1,1,0))</f>
        <v>0</v>
      </c>
      <c r="G978" s="16" t="n">
        <f aca="false">SUM(F$5:F978)</f>
        <v>8</v>
      </c>
      <c r="H978" s="16" t="n">
        <f aca="false">IF(B978="",0,IF(COUNTIF(B$5:B978,B978)=1,1,0))</f>
        <v>0</v>
      </c>
      <c r="I978" s="16" t="n">
        <f aca="false">SUM(H$5:H978)</f>
        <v>6</v>
      </c>
    </row>
    <row r="979" customFormat="false" ht="15" hidden="false" customHeight="false" outlineLevel="0" collapsed="false">
      <c r="A979" s="12"/>
      <c r="B979" s="13"/>
      <c r="C979" s="13"/>
      <c r="D979" s="14"/>
      <c r="E979" s="15"/>
      <c r="F979" s="16" t="n">
        <f aca="false">IF(C979="",0,IF(COUNTIF(C$5:C979,C979)=1,1,0))</f>
        <v>0</v>
      </c>
      <c r="G979" s="16" t="n">
        <f aca="false">SUM(F$5:F979)</f>
        <v>8</v>
      </c>
      <c r="H979" s="16" t="n">
        <f aca="false">IF(B979="",0,IF(COUNTIF(B$5:B979,B979)=1,1,0))</f>
        <v>0</v>
      </c>
      <c r="I979" s="16" t="n">
        <f aca="false">SUM(H$5:H979)</f>
        <v>6</v>
      </c>
    </row>
    <row r="980" customFormat="false" ht="15" hidden="false" customHeight="false" outlineLevel="0" collapsed="false">
      <c r="A980" s="12"/>
      <c r="B980" s="13"/>
      <c r="C980" s="13"/>
      <c r="D980" s="14"/>
      <c r="E980" s="15"/>
      <c r="F980" s="16" t="n">
        <f aca="false">IF(C980="",0,IF(COUNTIF(C$5:C980,C980)=1,1,0))</f>
        <v>0</v>
      </c>
      <c r="G980" s="16" t="n">
        <f aca="false">SUM(F$5:F980)</f>
        <v>8</v>
      </c>
      <c r="H980" s="16" t="n">
        <f aca="false">IF(B980="",0,IF(COUNTIF(B$5:B980,B980)=1,1,0))</f>
        <v>0</v>
      </c>
      <c r="I980" s="16" t="n">
        <f aca="false">SUM(H$5:H980)</f>
        <v>6</v>
      </c>
    </row>
    <row r="981" customFormat="false" ht="15" hidden="false" customHeight="false" outlineLevel="0" collapsed="false">
      <c r="A981" s="12"/>
      <c r="B981" s="13"/>
      <c r="C981" s="13"/>
      <c r="D981" s="14"/>
      <c r="E981" s="15"/>
      <c r="F981" s="16" t="n">
        <f aca="false">IF(C981="",0,IF(COUNTIF(C$5:C981,C981)=1,1,0))</f>
        <v>0</v>
      </c>
      <c r="G981" s="16" t="n">
        <f aca="false">SUM(F$5:F981)</f>
        <v>8</v>
      </c>
      <c r="H981" s="16" t="n">
        <f aca="false">IF(B981="",0,IF(COUNTIF(B$5:B981,B981)=1,1,0))</f>
        <v>0</v>
      </c>
      <c r="I981" s="16" t="n">
        <f aca="false">SUM(H$5:H981)</f>
        <v>6</v>
      </c>
    </row>
    <row r="982" customFormat="false" ht="15" hidden="false" customHeight="false" outlineLevel="0" collapsed="false">
      <c r="A982" s="12"/>
      <c r="B982" s="13"/>
      <c r="C982" s="13"/>
      <c r="D982" s="14"/>
      <c r="E982" s="15"/>
      <c r="F982" s="16" t="n">
        <f aca="false">IF(C982="",0,IF(COUNTIF(C$5:C982,C982)=1,1,0))</f>
        <v>0</v>
      </c>
      <c r="G982" s="16" t="n">
        <f aca="false">SUM(F$5:F982)</f>
        <v>8</v>
      </c>
      <c r="H982" s="16" t="n">
        <f aca="false">IF(B982="",0,IF(COUNTIF(B$5:B982,B982)=1,1,0))</f>
        <v>0</v>
      </c>
      <c r="I982" s="16" t="n">
        <f aca="false">SUM(H$5:H982)</f>
        <v>6</v>
      </c>
    </row>
    <row r="983" customFormat="false" ht="15" hidden="false" customHeight="false" outlineLevel="0" collapsed="false">
      <c r="A983" s="12"/>
      <c r="B983" s="13"/>
      <c r="C983" s="13"/>
      <c r="D983" s="14"/>
      <c r="E983" s="15"/>
      <c r="F983" s="16" t="n">
        <f aca="false">IF(C983="",0,IF(COUNTIF(C$5:C983,C983)=1,1,0))</f>
        <v>0</v>
      </c>
      <c r="G983" s="16" t="n">
        <f aca="false">SUM(F$5:F983)</f>
        <v>8</v>
      </c>
      <c r="H983" s="16" t="n">
        <f aca="false">IF(B983="",0,IF(COUNTIF(B$5:B983,B983)=1,1,0))</f>
        <v>0</v>
      </c>
      <c r="I983" s="16" t="n">
        <f aca="false">SUM(H$5:H983)</f>
        <v>6</v>
      </c>
    </row>
    <row r="984" customFormat="false" ht="15" hidden="false" customHeight="false" outlineLevel="0" collapsed="false">
      <c r="A984" s="12"/>
      <c r="B984" s="13"/>
      <c r="C984" s="13"/>
      <c r="D984" s="14"/>
      <c r="E984" s="15"/>
      <c r="F984" s="16" t="n">
        <f aca="false">IF(C984="",0,IF(COUNTIF(C$5:C984,C984)=1,1,0))</f>
        <v>0</v>
      </c>
      <c r="G984" s="16" t="n">
        <f aca="false">SUM(F$5:F984)</f>
        <v>8</v>
      </c>
      <c r="H984" s="16" t="n">
        <f aca="false">IF(B984="",0,IF(COUNTIF(B$5:B984,B984)=1,1,0))</f>
        <v>0</v>
      </c>
      <c r="I984" s="16" t="n">
        <f aca="false">SUM(H$5:H984)</f>
        <v>6</v>
      </c>
    </row>
    <row r="985" customFormat="false" ht="15" hidden="false" customHeight="false" outlineLevel="0" collapsed="false">
      <c r="A985" s="12"/>
      <c r="B985" s="13"/>
      <c r="C985" s="13"/>
      <c r="D985" s="14"/>
      <c r="E985" s="15"/>
      <c r="F985" s="16" t="n">
        <f aca="false">IF(C985="",0,IF(COUNTIF(C$5:C985,C985)=1,1,0))</f>
        <v>0</v>
      </c>
      <c r="G985" s="16" t="n">
        <f aca="false">SUM(F$5:F985)</f>
        <v>8</v>
      </c>
      <c r="H985" s="16" t="n">
        <f aca="false">IF(B985="",0,IF(COUNTIF(B$5:B985,B985)=1,1,0))</f>
        <v>0</v>
      </c>
      <c r="I985" s="16" t="n">
        <f aca="false">SUM(H$5:H985)</f>
        <v>6</v>
      </c>
    </row>
    <row r="986" customFormat="false" ht="15" hidden="false" customHeight="false" outlineLevel="0" collapsed="false">
      <c r="A986" s="12"/>
      <c r="B986" s="13"/>
      <c r="C986" s="13"/>
      <c r="D986" s="14"/>
      <c r="E986" s="15"/>
      <c r="F986" s="16" t="n">
        <f aca="false">IF(C986="",0,IF(COUNTIF(C$5:C986,C986)=1,1,0))</f>
        <v>0</v>
      </c>
      <c r="G986" s="16" t="n">
        <f aca="false">SUM(F$5:F986)</f>
        <v>8</v>
      </c>
      <c r="H986" s="16" t="n">
        <f aca="false">IF(B986="",0,IF(COUNTIF(B$5:B986,B986)=1,1,0))</f>
        <v>0</v>
      </c>
      <c r="I986" s="16" t="n">
        <f aca="false">SUM(H$5:H986)</f>
        <v>6</v>
      </c>
    </row>
    <row r="987" customFormat="false" ht="15" hidden="false" customHeight="false" outlineLevel="0" collapsed="false">
      <c r="A987" s="12"/>
      <c r="B987" s="13"/>
      <c r="C987" s="13"/>
      <c r="D987" s="14"/>
      <c r="E987" s="15"/>
      <c r="F987" s="16" t="n">
        <f aca="false">IF(C987="",0,IF(COUNTIF(C$5:C987,C987)=1,1,0))</f>
        <v>0</v>
      </c>
      <c r="G987" s="16" t="n">
        <f aca="false">SUM(F$5:F987)</f>
        <v>8</v>
      </c>
      <c r="H987" s="16" t="n">
        <f aca="false">IF(B987="",0,IF(COUNTIF(B$5:B987,B987)=1,1,0))</f>
        <v>0</v>
      </c>
      <c r="I987" s="16" t="n">
        <f aca="false">SUM(H$5:H987)</f>
        <v>6</v>
      </c>
    </row>
    <row r="988" customFormat="false" ht="15" hidden="false" customHeight="false" outlineLevel="0" collapsed="false">
      <c r="A988" s="12"/>
      <c r="B988" s="13"/>
      <c r="C988" s="13"/>
      <c r="D988" s="14"/>
      <c r="E988" s="15"/>
      <c r="F988" s="16" t="n">
        <f aca="false">IF(C988="",0,IF(COUNTIF(C$5:C988,C988)=1,1,0))</f>
        <v>0</v>
      </c>
      <c r="G988" s="16" t="n">
        <f aca="false">SUM(F$5:F988)</f>
        <v>8</v>
      </c>
      <c r="H988" s="16" t="n">
        <f aca="false">IF(B988="",0,IF(COUNTIF(B$5:B988,B988)=1,1,0))</f>
        <v>0</v>
      </c>
      <c r="I988" s="16" t="n">
        <f aca="false">SUM(H$5:H988)</f>
        <v>6</v>
      </c>
    </row>
    <row r="989" customFormat="false" ht="15" hidden="false" customHeight="false" outlineLevel="0" collapsed="false">
      <c r="A989" s="12"/>
      <c r="B989" s="13"/>
      <c r="C989" s="13"/>
      <c r="D989" s="14"/>
      <c r="E989" s="15"/>
      <c r="F989" s="16" t="n">
        <f aca="false">IF(C989="",0,IF(COUNTIF(C$5:C989,C989)=1,1,0))</f>
        <v>0</v>
      </c>
      <c r="G989" s="16" t="n">
        <f aca="false">SUM(F$5:F989)</f>
        <v>8</v>
      </c>
      <c r="H989" s="16" t="n">
        <f aca="false">IF(B989="",0,IF(COUNTIF(B$5:B989,B989)=1,1,0))</f>
        <v>0</v>
      </c>
      <c r="I989" s="16" t="n">
        <f aca="false">SUM(H$5:H989)</f>
        <v>6</v>
      </c>
    </row>
    <row r="990" customFormat="false" ht="15" hidden="false" customHeight="false" outlineLevel="0" collapsed="false">
      <c r="A990" s="12"/>
      <c r="B990" s="13"/>
      <c r="C990" s="13"/>
      <c r="D990" s="14"/>
      <c r="E990" s="15"/>
      <c r="F990" s="16" t="n">
        <f aca="false">IF(C990="",0,IF(COUNTIF(C$5:C990,C990)=1,1,0))</f>
        <v>0</v>
      </c>
      <c r="G990" s="16" t="n">
        <f aca="false">SUM(F$5:F990)</f>
        <v>8</v>
      </c>
      <c r="H990" s="16" t="n">
        <f aca="false">IF(B990="",0,IF(COUNTIF(B$5:B990,B990)=1,1,0))</f>
        <v>0</v>
      </c>
      <c r="I990" s="16" t="n">
        <f aca="false">SUM(H$5:H990)</f>
        <v>6</v>
      </c>
    </row>
    <row r="991" customFormat="false" ht="15" hidden="false" customHeight="false" outlineLevel="0" collapsed="false">
      <c r="A991" s="12"/>
      <c r="B991" s="13"/>
      <c r="C991" s="13"/>
      <c r="D991" s="14"/>
      <c r="E991" s="15"/>
      <c r="F991" s="16" t="n">
        <f aca="false">IF(C991="",0,IF(COUNTIF(C$5:C991,C991)=1,1,0))</f>
        <v>0</v>
      </c>
      <c r="G991" s="16" t="n">
        <f aca="false">SUM(F$5:F991)</f>
        <v>8</v>
      </c>
      <c r="H991" s="16" t="n">
        <f aca="false">IF(B991="",0,IF(COUNTIF(B$5:B991,B991)=1,1,0))</f>
        <v>0</v>
      </c>
      <c r="I991" s="16" t="n">
        <f aca="false">SUM(H$5:H991)</f>
        <v>6</v>
      </c>
    </row>
    <row r="992" customFormat="false" ht="15" hidden="false" customHeight="false" outlineLevel="0" collapsed="false">
      <c r="A992" s="12"/>
      <c r="B992" s="13"/>
      <c r="C992" s="13"/>
      <c r="D992" s="14"/>
      <c r="E992" s="15"/>
      <c r="F992" s="16" t="n">
        <f aca="false">IF(C992="",0,IF(COUNTIF(C$5:C992,C992)=1,1,0))</f>
        <v>0</v>
      </c>
      <c r="G992" s="16" t="n">
        <f aca="false">SUM(F$5:F992)</f>
        <v>8</v>
      </c>
      <c r="H992" s="16" t="n">
        <f aca="false">IF(B992="",0,IF(COUNTIF(B$5:B992,B992)=1,1,0))</f>
        <v>0</v>
      </c>
      <c r="I992" s="16" t="n">
        <f aca="false">SUM(H$5:H992)</f>
        <v>6</v>
      </c>
    </row>
    <row r="993" customFormat="false" ht="15" hidden="false" customHeight="false" outlineLevel="0" collapsed="false">
      <c r="A993" s="12"/>
      <c r="B993" s="13"/>
      <c r="C993" s="13"/>
      <c r="D993" s="14"/>
      <c r="E993" s="15"/>
      <c r="F993" s="16" t="n">
        <f aca="false">IF(C993="",0,IF(COUNTIF(C$5:C993,C993)=1,1,0))</f>
        <v>0</v>
      </c>
      <c r="G993" s="16" t="n">
        <f aca="false">SUM(F$5:F993)</f>
        <v>8</v>
      </c>
      <c r="H993" s="16" t="n">
        <f aca="false">IF(B993="",0,IF(COUNTIF(B$5:B993,B993)=1,1,0))</f>
        <v>0</v>
      </c>
      <c r="I993" s="16" t="n">
        <f aca="false">SUM(H$5:H993)</f>
        <v>6</v>
      </c>
    </row>
    <row r="994" customFormat="false" ht="15" hidden="false" customHeight="false" outlineLevel="0" collapsed="false">
      <c r="A994" s="12"/>
      <c r="B994" s="13"/>
      <c r="C994" s="13"/>
      <c r="D994" s="14"/>
      <c r="E994" s="15"/>
      <c r="F994" s="16" t="n">
        <f aca="false">IF(C994="",0,IF(COUNTIF(C$5:C994,C994)=1,1,0))</f>
        <v>0</v>
      </c>
      <c r="G994" s="16" t="n">
        <f aca="false">SUM(F$5:F994)</f>
        <v>8</v>
      </c>
      <c r="H994" s="16" t="n">
        <f aca="false">IF(B994="",0,IF(COUNTIF(B$5:B994,B994)=1,1,0))</f>
        <v>0</v>
      </c>
      <c r="I994" s="16" t="n">
        <f aca="false">SUM(H$5:H994)</f>
        <v>6</v>
      </c>
    </row>
    <row r="995" customFormat="false" ht="15" hidden="false" customHeight="false" outlineLevel="0" collapsed="false">
      <c r="A995" s="12"/>
      <c r="B995" s="13"/>
      <c r="C995" s="13"/>
      <c r="D995" s="14"/>
      <c r="E995" s="15"/>
      <c r="F995" s="16" t="n">
        <f aca="false">IF(C995="",0,IF(COUNTIF(C$5:C995,C995)=1,1,0))</f>
        <v>0</v>
      </c>
      <c r="G995" s="16" t="n">
        <f aca="false">SUM(F$5:F995)</f>
        <v>8</v>
      </c>
      <c r="H995" s="16" t="n">
        <f aca="false">IF(B995="",0,IF(COUNTIF(B$5:B995,B995)=1,1,0))</f>
        <v>0</v>
      </c>
      <c r="I995" s="16" t="n">
        <f aca="false">SUM(H$5:H995)</f>
        <v>6</v>
      </c>
    </row>
    <row r="996" customFormat="false" ht="15" hidden="false" customHeight="false" outlineLevel="0" collapsed="false">
      <c r="A996" s="12"/>
      <c r="B996" s="13"/>
      <c r="C996" s="13"/>
      <c r="D996" s="14"/>
      <c r="E996" s="15"/>
      <c r="F996" s="16" t="n">
        <f aca="false">IF(C996="",0,IF(COUNTIF(C$5:C996,C996)=1,1,0))</f>
        <v>0</v>
      </c>
      <c r="G996" s="16" t="n">
        <f aca="false">SUM(F$5:F996)</f>
        <v>8</v>
      </c>
      <c r="H996" s="16" t="n">
        <f aca="false">IF(B996="",0,IF(COUNTIF(B$5:B996,B996)=1,1,0))</f>
        <v>0</v>
      </c>
      <c r="I996" s="16" t="n">
        <f aca="false">SUM(H$5:H996)</f>
        <v>6</v>
      </c>
    </row>
    <row r="997" customFormat="false" ht="15" hidden="false" customHeight="false" outlineLevel="0" collapsed="false">
      <c r="A997" s="12"/>
      <c r="B997" s="13"/>
      <c r="C997" s="13"/>
      <c r="D997" s="14"/>
      <c r="E997" s="15"/>
      <c r="F997" s="16" t="n">
        <f aca="false">IF(C997="",0,IF(COUNTIF(C$5:C997,C997)=1,1,0))</f>
        <v>0</v>
      </c>
      <c r="G997" s="16" t="n">
        <f aca="false">SUM(F$5:F997)</f>
        <v>8</v>
      </c>
      <c r="H997" s="16" t="n">
        <f aca="false">IF(B997="",0,IF(COUNTIF(B$5:B997,B997)=1,1,0))</f>
        <v>0</v>
      </c>
      <c r="I997" s="16" t="n">
        <f aca="false">SUM(H$5:H997)</f>
        <v>6</v>
      </c>
    </row>
    <row r="998" customFormat="false" ht="15" hidden="false" customHeight="false" outlineLevel="0" collapsed="false">
      <c r="A998" s="12"/>
      <c r="B998" s="13"/>
      <c r="C998" s="13"/>
      <c r="D998" s="14"/>
      <c r="E998" s="15"/>
      <c r="F998" s="16" t="n">
        <f aca="false">IF(C998="",0,IF(COUNTIF(C$5:C998,C998)=1,1,0))</f>
        <v>0</v>
      </c>
      <c r="G998" s="16" t="n">
        <f aca="false">SUM(F$5:F998)</f>
        <v>8</v>
      </c>
      <c r="H998" s="16" t="n">
        <f aca="false">IF(B998="",0,IF(COUNTIF(B$5:B998,B998)=1,1,0))</f>
        <v>0</v>
      </c>
      <c r="I998" s="16" t="n">
        <f aca="false">SUM(H$5:H998)</f>
        <v>6</v>
      </c>
    </row>
    <row r="999" customFormat="false" ht="15" hidden="false" customHeight="false" outlineLevel="0" collapsed="false">
      <c r="A999" s="12"/>
      <c r="B999" s="13"/>
      <c r="C999" s="13"/>
      <c r="D999" s="14"/>
      <c r="E999" s="15"/>
      <c r="F999" s="16" t="n">
        <f aca="false">IF(C999="",0,IF(COUNTIF(C$5:C999,C999)=1,1,0))</f>
        <v>0</v>
      </c>
      <c r="G999" s="16" t="n">
        <f aca="false">SUM(F$5:F999)</f>
        <v>8</v>
      </c>
      <c r="H999" s="16" t="n">
        <f aca="false">IF(B999="",0,IF(COUNTIF(B$5:B999,B999)=1,1,0))</f>
        <v>0</v>
      </c>
      <c r="I999" s="16" t="n">
        <f aca="false">SUM(H$5:H999)</f>
        <v>6</v>
      </c>
    </row>
    <row r="1000" customFormat="false" ht="15" hidden="false" customHeight="false" outlineLevel="0" collapsed="false">
      <c r="A1000" s="12"/>
      <c r="B1000" s="13"/>
      <c r="C1000" s="13"/>
      <c r="D1000" s="14"/>
      <c r="E1000" s="15"/>
      <c r="F1000" s="16" t="n">
        <f aca="false">IF(C1000="",0,IF(COUNTIF(C$5:C1000,C1000)=1,1,0))</f>
        <v>0</v>
      </c>
      <c r="G1000" s="16" t="n">
        <f aca="false">SUM(F$5:F1000)</f>
        <v>8</v>
      </c>
      <c r="H1000" s="16" t="n">
        <f aca="false">IF(B1000="",0,IF(COUNTIF(B$5:B1000,B1000)=1,1,0))</f>
        <v>0</v>
      </c>
      <c r="I1000" s="16" t="n">
        <f aca="false">SUM(H$5:H1000)</f>
        <v>6</v>
      </c>
    </row>
    <row r="1001" customFormat="false" ht="15" hidden="false" customHeight="false" outlineLevel="0" collapsed="false">
      <c r="A1001" s="12"/>
      <c r="B1001" s="13"/>
      <c r="C1001" s="13"/>
      <c r="D1001" s="14"/>
      <c r="E1001" s="15"/>
      <c r="F1001" s="16" t="n">
        <f aca="false">IF(C1001="",0,IF(COUNTIF(C$5:C1001,C1001)=1,1,0))</f>
        <v>0</v>
      </c>
      <c r="G1001" s="16" t="n">
        <f aca="false">SUM(F$5:F1001)</f>
        <v>8</v>
      </c>
      <c r="H1001" s="16" t="n">
        <f aca="false">IF(B1001="",0,IF(COUNTIF(B$5:B1001,B1001)=1,1,0))</f>
        <v>0</v>
      </c>
      <c r="I1001" s="16" t="n">
        <f aca="false">SUM(H$5:H1001)</f>
        <v>6</v>
      </c>
    </row>
    <row r="1002" customFormat="false" ht="15" hidden="false" customHeight="false" outlineLevel="0" collapsed="false">
      <c r="A1002" s="12"/>
      <c r="B1002" s="13"/>
      <c r="C1002" s="13"/>
      <c r="D1002" s="14"/>
      <c r="E1002" s="15"/>
      <c r="F1002" s="16" t="n">
        <f aca="false">IF(C1002="",0,IF(COUNTIF(C$5:C1002,C1002)=1,1,0))</f>
        <v>0</v>
      </c>
      <c r="G1002" s="16" t="n">
        <f aca="false">SUM(F$5:F1002)</f>
        <v>8</v>
      </c>
      <c r="H1002" s="16" t="n">
        <f aca="false">IF(B1002="",0,IF(COUNTIF(B$5:B1002,B1002)=1,1,0))</f>
        <v>0</v>
      </c>
      <c r="I1002" s="16" t="n">
        <f aca="false">SUM(H$5:H1002)</f>
        <v>6</v>
      </c>
    </row>
    <row r="1003" customFormat="false" ht="15" hidden="false" customHeight="false" outlineLevel="0" collapsed="false">
      <c r="A1003" s="12"/>
      <c r="B1003" s="13"/>
      <c r="C1003" s="13"/>
      <c r="D1003" s="14"/>
      <c r="E1003" s="15"/>
      <c r="F1003" s="16" t="n">
        <f aca="false">IF(C1003="",0,IF(COUNTIF(C$5:C1003,C1003)=1,1,0))</f>
        <v>0</v>
      </c>
      <c r="G1003" s="16" t="n">
        <f aca="false">SUM(F$5:F1003)</f>
        <v>8</v>
      </c>
      <c r="H1003" s="16" t="n">
        <f aca="false">IF(B1003="",0,IF(COUNTIF(B$5:B1003,B1003)=1,1,0))</f>
        <v>0</v>
      </c>
      <c r="I1003" s="16" t="n">
        <f aca="false">SUM(H$5:H1003)</f>
        <v>6</v>
      </c>
    </row>
    <row r="1004" customFormat="false" ht="15" hidden="false" customHeight="false" outlineLevel="0" collapsed="false">
      <c r="A1004" s="12"/>
      <c r="B1004" s="13"/>
      <c r="C1004" s="13"/>
      <c r="D1004" s="14"/>
      <c r="E1004" s="15"/>
      <c r="F1004" s="16" t="n">
        <f aca="false">IF(C1004="",0,IF(COUNTIF(C$5:C1004,C1004)=1,1,0))</f>
        <v>0</v>
      </c>
      <c r="G1004" s="16" t="n">
        <f aca="false">SUM(F$5:F1004)</f>
        <v>8</v>
      </c>
      <c r="H1004" s="16" t="n">
        <f aca="false">IF(B1004="",0,IF(COUNTIF(B$5:B1004,B1004)=1,1,0))</f>
        <v>0</v>
      </c>
      <c r="I1004" s="16" t="n">
        <f aca="false">SUM(H$5:H1004)</f>
        <v>6</v>
      </c>
    </row>
    <row r="1005" customFormat="false" ht="15" hidden="false" customHeight="false" outlineLevel="0" collapsed="false">
      <c r="A1005" s="12"/>
      <c r="B1005" s="13"/>
      <c r="C1005" s="13"/>
      <c r="D1005" s="14"/>
      <c r="E1005" s="15"/>
      <c r="F1005" s="16" t="n">
        <f aca="false">IF(C1005="",0,IF(COUNTIF(C$5:C1005,C1005)=1,1,0))</f>
        <v>0</v>
      </c>
      <c r="G1005" s="16" t="n">
        <f aca="false">SUM(F$5:F1005)</f>
        <v>8</v>
      </c>
      <c r="H1005" s="16" t="n">
        <f aca="false">IF(B1005="",0,IF(COUNTIF(B$5:B1005,B1005)=1,1,0))</f>
        <v>0</v>
      </c>
      <c r="I1005" s="16" t="n">
        <f aca="false">SUM(H$5:H1005)</f>
        <v>6</v>
      </c>
    </row>
    <row r="1006" customFormat="false" ht="15" hidden="false" customHeight="false" outlineLevel="0" collapsed="false">
      <c r="A1006" s="12"/>
      <c r="B1006" s="13"/>
      <c r="C1006" s="13"/>
      <c r="D1006" s="14"/>
      <c r="E1006" s="15"/>
      <c r="F1006" s="16" t="n">
        <f aca="false">IF(C1006="",0,IF(COUNTIF(C$5:C1006,C1006)=1,1,0))</f>
        <v>0</v>
      </c>
      <c r="G1006" s="16" t="n">
        <f aca="false">SUM(F$5:F1006)</f>
        <v>8</v>
      </c>
      <c r="H1006" s="16" t="n">
        <f aca="false">IF(B1006="",0,IF(COUNTIF(B$5:B1006,B1006)=1,1,0))</f>
        <v>0</v>
      </c>
      <c r="I1006" s="16" t="n">
        <f aca="false">SUM(H$5:H1006)</f>
        <v>6</v>
      </c>
    </row>
    <row r="1007" customFormat="false" ht="15" hidden="false" customHeight="false" outlineLevel="0" collapsed="false">
      <c r="A1007" s="12"/>
      <c r="B1007" s="13"/>
      <c r="C1007" s="13"/>
      <c r="D1007" s="14"/>
      <c r="E1007" s="15"/>
      <c r="F1007" s="16" t="n">
        <f aca="false">IF(C1007="",0,IF(COUNTIF(C$5:C1007,C1007)=1,1,0))</f>
        <v>0</v>
      </c>
      <c r="G1007" s="16" t="n">
        <f aca="false">SUM(F$5:F1007)</f>
        <v>8</v>
      </c>
      <c r="H1007" s="16" t="n">
        <f aca="false">IF(B1007="",0,IF(COUNTIF(B$5:B1007,B1007)=1,1,0))</f>
        <v>0</v>
      </c>
      <c r="I1007" s="16" t="n">
        <f aca="false">SUM(H$5:H1007)</f>
        <v>6</v>
      </c>
    </row>
    <row r="1008" customFormat="false" ht="15" hidden="false" customHeight="false" outlineLevel="0" collapsed="false">
      <c r="A1008" s="12"/>
      <c r="B1008" s="13"/>
      <c r="C1008" s="13"/>
      <c r="D1008" s="14"/>
      <c r="E1008" s="15"/>
      <c r="F1008" s="16" t="n">
        <f aca="false">IF(C1008="",0,IF(COUNTIF(C$5:C1008,C1008)=1,1,0))</f>
        <v>0</v>
      </c>
      <c r="G1008" s="16" t="n">
        <f aca="false">SUM(F$5:F1008)</f>
        <v>8</v>
      </c>
      <c r="H1008" s="16" t="n">
        <f aca="false">IF(B1008="",0,IF(COUNTIF(B$5:B1008,B1008)=1,1,0))</f>
        <v>0</v>
      </c>
      <c r="I1008" s="16" t="n">
        <f aca="false">SUM(H$5:H1008)</f>
        <v>6</v>
      </c>
    </row>
    <row r="1009" customFormat="false" ht="15" hidden="false" customHeight="false" outlineLevel="0" collapsed="false">
      <c r="A1009" s="12"/>
      <c r="B1009" s="13"/>
      <c r="C1009" s="13"/>
      <c r="D1009" s="14"/>
      <c r="E1009" s="15"/>
      <c r="F1009" s="16" t="n">
        <f aca="false">IF(C1009="",0,IF(COUNTIF(C$5:C1009,C1009)=1,1,0))</f>
        <v>0</v>
      </c>
      <c r="G1009" s="16" t="n">
        <f aca="false">SUM(F$5:F1009)</f>
        <v>8</v>
      </c>
      <c r="H1009" s="16" t="n">
        <f aca="false">IF(B1009="",0,IF(COUNTIF(B$5:B1009,B1009)=1,1,0))</f>
        <v>0</v>
      </c>
      <c r="I1009" s="16" t="n">
        <f aca="false">SUM(H$5:H1009)</f>
        <v>6</v>
      </c>
    </row>
    <row r="1010" customFormat="false" ht="15" hidden="false" customHeight="false" outlineLevel="0" collapsed="false">
      <c r="A1010" s="12"/>
      <c r="B1010" s="13"/>
      <c r="C1010" s="13"/>
      <c r="D1010" s="14"/>
      <c r="E1010" s="15"/>
      <c r="F1010" s="16" t="n">
        <f aca="false">IF(C1010="",0,IF(COUNTIF(C$5:C1010,C1010)=1,1,0))</f>
        <v>0</v>
      </c>
      <c r="G1010" s="16" t="n">
        <f aca="false">SUM(F$5:F1010)</f>
        <v>8</v>
      </c>
      <c r="H1010" s="16" t="n">
        <f aca="false">IF(B1010="",0,IF(COUNTIF(B$5:B1010,B1010)=1,1,0))</f>
        <v>0</v>
      </c>
      <c r="I1010" s="16" t="n">
        <f aca="false">SUM(H$5:H1010)</f>
        <v>6</v>
      </c>
    </row>
    <row r="1011" customFormat="false" ht="15" hidden="false" customHeight="false" outlineLevel="0" collapsed="false">
      <c r="A1011" s="12"/>
      <c r="B1011" s="13"/>
      <c r="C1011" s="13"/>
      <c r="D1011" s="14"/>
      <c r="E1011" s="15"/>
      <c r="F1011" s="16" t="n">
        <f aca="false">IF(C1011="",0,IF(COUNTIF(C$5:C1011,C1011)=1,1,0))</f>
        <v>0</v>
      </c>
      <c r="G1011" s="16" t="n">
        <f aca="false">SUM(F$5:F1011)</f>
        <v>8</v>
      </c>
      <c r="H1011" s="16" t="n">
        <f aca="false">IF(B1011="",0,IF(COUNTIF(B$5:B1011,B1011)=1,1,0))</f>
        <v>0</v>
      </c>
      <c r="I1011" s="16" t="n">
        <f aca="false">SUM(H$5:H1011)</f>
        <v>6</v>
      </c>
    </row>
    <row r="1012" customFormat="false" ht="15" hidden="false" customHeight="false" outlineLevel="0" collapsed="false">
      <c r="A1012" s="12"/>
      <c r="B1012" s="13"/>
      <c r="C1012" s="13"/>
      <c r="D1012" s="14"/>
      <c r="E1012" s="15"/>
      <c r="F1012" s="16" t="n">
        <f aca="false">IF(C1012="",0,IF(COUNTIF(C$5:C1012,C1012)=1,1,0))</f>
        <v>0</v>
      </c>
      <c r="G1012" s="16" t="n">
        <f aca="false">SUM(F$5:F1012)</f>
        <v>8</v>
      </c>
      <c r="H1012" s="16" t="n">
        <f aca="false">IF(B1012="",0,IF(COUNTIF(B$5:B1012,B1012)=1,1,0))</f>
        <v>0</v>
      </c>
      <c r="I1012" s="16" t="n">
        <f aca="false">SUM(H$5:H1012)</f>
        <v>6</v>
      </c>
    </row>
    <row r="1013" customFormat="false" ht="15" hidden="false" customHeight="false" outlineLevel="0" collapsed="false">
      <c r="A1013" s="12"/>
      <c r="B1013" s="13"/>
      <c r="C1013" s="13"/>
      <c r="D1013" s="14"/>
      <c r="E1013" s="15"/>
      <c r="F1013" s="16" t="n">
        <f aca="false">IF(C1013="",0,IF(COUNTIF(C$5:C1013,C1013)=1,1,0))</f>
        <v>0</v>
      </c>
      <c r="G1013" s="16" t="n">
        <f aca="false">SUM(F$5:F1013)</f>
        <v>8</v>
      </c>
      <c r="H1013" s="16" t="n">
        <f aca="false">IF(B1013="",0,IF(COUNTIF(B$5:B1013,B1013)=1,1,0))</f>
        <v>0</v>
      </c>
      <c r="I1013" s="16" t="n">
        <f aca="false">SUM(H$5:H1013)</f>
        <v>6</v>
      </c>
    </row>
    <row r="1014" customFormat="false" ht="15" hidden="false" customHeight="false" outlineLevel="0" collapsed="false">
      <c r="A1014" s="12"/>
      <c r="B1014" s="13"/>
      <c r="C1014" s="13"/>
      <c r="D1014" s="14"/>
      <c r="E1014" s="15"/>
      <c r="F1014" s="16" t="n">
        <f aca="false">IF(C1014="",0,IF(COUNTIF(C$5:C1014,C1014)=1,1,0))</f>
        <v>0</v>
      </c>
      <c r="G1014" s="16" t="n">
        <f aca="false">SUM(F$5:F1014)</f>
        <v>8</v>
      </c>
      <c r="H1014" s="16" t="n">
        <f aca="false">IF(B1014="",0,IF(COUNTIF(B$5:B1014,B1014)=1,1,0))</f>
        <v>0</v>
      </c>
      <c r="I1014" s="16" t="n">
        <f aca="false">SUM(H$5:H1014)</f>
        <v>6</v>
      </c>
    </row>
    <row r="1015" customFormat="false" ht="15" hidden="false" customHeight="false" outlineLevel="0" collapsed="false">
      <c r="A1015" s="12"/>
      <c r="B1015" s="13"/>
      <c r="C1015" s="13"/>
      <c r="D1015" s="14"/>
      <c r="E1015" s="15"/>
      <c r="F1015" s="16" t="n">
        <f aca="false">IF(C1015="",0,IF(COUNTIF(C$5:C1015,C1015)=1,1,0))</f>
        <v>0</v>
      </c>
      <c r="G1015" s="16" t="n">
        <f aca="false">SUM(F$5:F1015)</f>
        <v>8</v>
      </c>
      <c r="H1015" s="16" t="n">
        <f aca="false">IF(B1015="",0,IF(COUNTIF(B$5:B1015,B1015)=1,1,0))</f>
        <v>0</v>
      </c>
      <c r="I1015" s="16" t="n">
        <f aca="false">SUM(H$5:H1015)</f>
        <v>6</v>
      </c>
    </row>
    <row r="1016" customFormat="false" ht="15" hidden="false" customHeight="false" outlineLevel="0" collapsed="false">
      <c r="A1016" s="12"/>
      <c r="B1016" s="13"/>
      <c r="C1016" s="13"/>
      <c r="D1016" s="14"/>
      <c r="E1016" s="15"/>
      <c r="F1016" s="16" t="n">
        <f aca="false">IF(C1016="",0,IF(COUNTIF(C$5:C1016,C1016)=1,1,0))</f>
        <v>0</v>
      </c>
      <c r="G1016" s="16" t="n">
        <f aca="false">SUM(F$5:F1016)</f>
        <v>8</v>
      </c>
      <c r="H1016" s="16" t="n">
        <f aca="false">IF(B1016="",0,IF(COUNTIF(B$5:B1016,B1016)=1,1,0))</f>
        <v>0</v>
      </c>
      <c r="I1016" s="16" t="n">
        <f aca="false">SUM(H$5:H1016)</f>
        <v>6</v>
      </c>
    </row>
    <row r="1017" customFormat="false" ht="15" hidden="false" customHeight="false" outlineLevel="0" collapsed="false">
      <c r="A1017" s="12"/>
      <c r="B1017" s="13"/>
      <c r="C1017" s="13"/>
      <c r="D1017" s="14"/>
      <c r="E1017" s="15"/>
      <c r="F1017" s="16" t="n">
        <f aca="false">IF(C1017="",0,IF(COUNTIF(C$5:C1017,C1017)=1,1,0))</f>
        <v>0</v>
      </c>
      <c r="G1017" s="16" t="n">
        <f aca="false">SUM(F$5:F1017)</f>
        <v>8</v>
      </c>
      <c r="H1017" s="16" t="n">
        <f aca="false">IF(B1017="",0,IF(COUNTIF(B$5:B1017,B1017)=1,1,0))</f>
        <v>0</v>
      </c>
      <c r="I1017" s="16" t="n">
        <f aca="false">SUM(H$5:H1017)</f>
        <v>6</v>
      </c>
    </row>
    <row r="1018" customFormat="false" ht="15" hidden="false" customHeight="false" outlineLevel="0" collapsed="false">
      <c r="A1018" s="12"/>
      <c r="B1018" s="13"/>
      <c r="C1018" s="13"/>
      <c r="D1018" s="14"/>
      <c r="E1018" s="15"/>
      <c r="F1018" s="16" t="n">
        <f aca="false">IF(C1018="",0,IF(COUNTIF(C$5:C1018,C1018)=1,1,0))</f>
        <v>0</v>
      </c>
      <c r="G1018" s="16" t="n">
        <f aca="false">SUM(F$5:F1018)</f>
        <v>8</v>
      </c>
      <c r="H1018" s="16" t="n">
        <f aca="false">IF(B1018="",0,IF(COUNTIF(B$5:B1018,B1018)=1,1,0))</f>
        <v>0</v>
      </c>
      <c r="I1018" s="16" t="n">
        <f aca="false">SUM(H$5:H1018)</f>
        <v>6</v>
      </c>
    </row>
    <row r="1019" customFormat="false" ht="15" hidden="false" customHeight="false" outlineLevel="0" collapsed="false">
      <c r="A1019" s="12"/>
      <c r="B1019" s="13"/>
      <c r="C1019" s="13"/>
      <c r="D1019" s="14"/>
      <c r="E1019" s="15"/>
      <c r="F1019" s="16" t="n">
        <f aca="false">IF(C1019="",0,IF(COUNTIF(C$5:C1019,C1019)=1,1,0))</f>
        <v>0</v>
      </c>
      <c r="G1019" s="16" t="n">
        <f aca="false">SUM(F$5:F1019)</f>
        <v>8</v>
      </c>
      <c r="H1019" s="16" t="n">
        <f aca="false">IF(B1019="",0,IF(COUNTIF(B$5:B1019,B1019)=1,1,0))</f>
        <v>0</v>
      </c>
      <c r="I1019" s="16" t="n">
        <f aca="false">SUM(H$5:H1019)</f>
        <v>6</v>
      </c>
    </row>
    <row r="1020" customFormat="false" ht="15" hidden="false" customHeight="false" outlineLevel="0" collapsed="false">
      <c r="A1020" s="12"/>
      <c r="B1020" s="13"/>
      <c r="C1020" s="13"/>
      <c r="D1020" s="14"/>
      <c r="E1020" s="15"/>
      <c r="F1020" s="16" t="n">
        <f aca="false">IF(C1020="",0,IF(COUNTIF(C$5:C1020,C1020)=1,1,0))</f>
        <v>0</v>
      </c>
      <c r="G1020" s="16" t="n">
        <f aca="false">SUM(F$5:F1020)</f>
        <v>8</v>
      </c>
      <c r="H1020" s="16" t="n">
        <f aca="false">IF(B1020="",0,IF(COUNTIF(B$5:B1020,B1020)=1,1,0))</f>
        <v>0</v>
      </c>
      <c r="I1020" s="16" t="n">
        <f aca="false">SUM(H$5:H1020)</f>
        <v>6</v>
      </c>
    </row>
    <row r="1021" customFormat="false" ht="15" hidden="false" customHeight="false" outlineLevel="0" collapsed="false">
      <c r="A1021" s="12"/>
      <c r="B1021" s="13"/>
      <c r="C1021" s="13"/>
      <c r="D1021" s="14"/>
      <c r="E1021" s="15"/>
      <c r="F1021" s="16" t="n">
        <f aca="false">IF(C1021="",0,IF(COUNTIF(C$5:C1021,C1021)=1,1,0))</f>
        <v>0</v>
      </c>
      <c r="G1021" s="16" t="n">
        <f aca="false">SUM(F$5:F1021)</f>
        <v>8</v>
      </c>
      <c r="H1021" s="16" t="n">
        <f aca="false">IF(B1021="",0,IF(COUNTIF(B$5:B1021,B1021)=1,1,0))</f>
        <v>0</v>
      </c>
      <c r="I1021" s="16" t="n">
        <f aca="false">SUM(H$5:H1021)</f>
        <v>6</v>
      </c>
    </row>
    <row r="1022" customFormat="false" ht="15" hidden="false" customHeight="false" outlineLevel="0" collapsed="false">
      <c r="A1022" s="12"/>
      <c r="B1022" s="13"/>
      <c r="C1022" s="13"/>
      <c r="D1022" s="14"/>
      <c r="E1022" s="15"/>
      <c r="F1022" s="16" t="n">
        <f aca="false">IF(C1022="",0,IF(COUNTIF(C$5:C1022,C1022)=1,1,0))</f>
        <v>0</v>
      </c>
      <c r="G1022" s="16" t="n">
        <f aca="false">SUM(F$5:F1022)</f>
        <v>8</v>
      </c>
      <c r="H1022" s="16" t="n">
        <f aca="false">IF(B1022="",0,IF(COUNTIF(B$5:B1022,B1022)=1,1,0))</f>
        <v>0</v>
      </c>
      <c r="I1022" s="16" t="n">
        <f aca="false">SUM(H$5:H1022)</f>
        <v>6</v>
      </c>
    </row>
    <row r="1023" customFormat="false" ht="15" hidden="false" customHeight="false" outlineLevel="0" collapsed="false">
      <c r="A1023" s="12"/>
      <c r="B1023" s="13"/>
      <c r="C1023" s="13"/>
      <c r="D1023" s="14"/>
      <c r="E1023" s="15"/>
      <c r="F1023" s="16" t="n">
        <f aca="false">IF(C1023="",0,IF(COUNTIF(C$5:C1023,C1023)=1,1,0))</f>
        <v>0</v>
      </c>
      <c r="G1023" s="16" t="n">
        <f aca="false">SUM(F$5:F1023)</f>
        <v>8</v>
      </c>
      <c r="H1023" s="16" t="n">
        <f aca="false">IF(B1023="",0,IF(COUNTIF(B$5:B1023,B1023)=1,1,0))</f>
        <v>0</v>
      </c>
      <c r="I1023" s="16" t="n">
        <f aca="false">SUM(H$5:H1023)</f>
        <v>6</v>
      </c>
    </row>
    <row r="1024" customFormat="false" ht="15" hidden="false" customHeight="false" outlineLevel="0" collapsed="false">
      <c r="A1024" s="12"/>
      <c r="B1024" s="13"/>
      <c r="C1024" s="13"/>
      <c r="D1024" s="14"/>
      <c r="E1024" s="15"/>
      <c r="F1024" s="16" t="n">
        <f aca="false">IF(C1024="",0,IF(COUNTIF(C$5:C1024,C1024)=1,1,0))</f>
        <v>0</v>
      </c>
      <c r="G1024" s="16" t="n">
        <f aca="false">SUM(F$5:F1024)</f>
        <v>8</v>
      </c>
      <c r="H1024" s="16" t="n">
        <f aca="false">IF(B1024="",0,IF(COUNTIF(B$5:B1024,B1024)=1,1,0))</f>
        <v>0</v>
      </c>
      <c r="I1024" s="16" t="n">
        <f aca="false">SUM(H$5:H1024)</f>
        <v>6</v>
      </c>
    </row>
    <row r="1025" customFormat="false" ht="15" hidden="false" customHeight="false" outlineLevel="0" collapsed="false">
      <c r="A1025" s="12"/>
      <c r="B1025" s="13"/>
      <c r="C1025" s="13"/>
      <c r="D1025" s="14"/>
      <c r="E1025" s="15"/>
      <c r="F1025" s="16" t="n">
        <f aca="false">IF(C1025="",0,IF(COUNTIF(C$5:C1025,C1025)=1,1,0))</f>
        <v>0</v>
      </c>
      <c r="G1025" s="16" t="n">
        <f aca="false">SUM(F$5:F1025)</f>
        <v>8</v>
      </c>
      <c r="H1025" s="16" t="n">
        <f aca="false">IF(B1025="",0,IF(COUNTIF(B$5:B1025,B1025)=1,1,0))</f>
        <v>0</v>
      </c>
      <c r="I1025" s="16" t="n">
        <f aca="false">SUM(H$5:H1025)</f>
        <v>6</v>
      </c>
    </row>
    <row r="1026" customFormat="false" ht="15" hidden="false" customHeight="false" outlineLevel="0" collapsed="false">
      <c r="A1026" s="12"/>
      <c r="B1026" s="13"/>
      <c r="C1026" s="13"/>
      <c r="D1026" s="14"/>
      <c r="E1026" s="15"/>
      <c r="F1026" s="16" t="n">
        <f aca="false">IF(C1026="",0,IF(COUNTIF(C$5:C1026,C1026)=1,1,0))</f>
        <v>0</v>
      </c>
      <c r="G1026" s="16" t="n">
        <f aca="false">SUM(F$5:F1026)</f>
        <v>8</v>
      </c>
      <c r="H1026" s="16" t="n">
        <f aca="false">IF(B1026="",0,IF(COUNTIF(B$5:B1026,B1026)=1,1,0))</f>
        <v>0</v>
      </c>
      <c r="I1026" s="16" t="n">
        <f aca="false">SUM(H$5:H1026)</f>
        <v>6</v>
      </c>
    </row>
    <row r="1027" customFormat="false" ht="15" hidden="false" customHeight="false" outlineLevel="0" collapsed="false">
      <c r="A1027" s="12"/>
      <c r="B1027" s="13"/>
      <c r="C1027" s="13"/>
      <c r="D1027" s="14"/>
      <c r="E1027" s="15"/>
      <c r="F1027" s="16" t="n">
        <f aca="false">IF(C1027="",0,IF(COUNTIF(C$5:C1027,C1027)=1,1,0))</f>
        <v>0</v>
      </c>
      <c r="G1027" s="16" t="n">
        <f aca="false">SUM(F$5:F1027)</f>
        <v>8</v>
      </c>
      <c r="H1027" s="16" t="n">
        <f aca="false">IF(B1027="",0,IF(COUNTIF(B$5:B1027,B1027)=1,1,0))</f>
        <v>0</v>
      </c>
      <c r="I1027" s="16" t="n">
        <f aca="false">SUM(H$5:H1027)</f>
        <v>6</v>
      </c>
    </row>
    <row r="1028" customFormat="false" ht="15" hidden="false" customHeight="false" outlineLevel="0" collapsed="false">
      <c r="A1028" s="12"/>
      <c r="B1028" s="13"/>
      <c r="C1028" s="13"/>
      <c r="D1028" s="14"/>
      <c r="E1028" s="15"/>
      <c r="F1028" s="16" t="n">
        <f aca="false">IF(C1028="",0,IF(COUNTIF(C$5:C1028,C1028)=1,1,0))</f>
        <v>0</v>
      </c>
      <c r="G1028" s="16" t="n">
        <f aca="false">SUM(F$5:F1028)</f>
        <v>8</v>
      </c>
      <c r="H1028" s="16" t="n">
        <f aca="false">IF(B1028="",0,IF(COUNTIF(B$5:B1028,B1028)=1,1,0))</f>
        <v>0</v>
      </c>
      <c r="I1028" s="16" t="n">
        <f aca="false">SUM(H$5:H1028)</f>
        <v>6</v>
      </c>
    </row>
    <row r="1029" customFormat="false" ht="15" hidden="false" customHeight="false" outlineLevel="0" collapsed="false">
      <c r="A1029" s="12"/>
      <c r="B1029" s="13"/>
      <c r="C1029" s="13"/>
      <c r="D1029" s="14"/>
      <c r="E1029" s="15"/>
      <c r="F1029" s="16" t="n">
        <f aca="false">IF(C1029="",0,IF(COUNTIF(C$5:C1029,C1029)=1,1,0))</f>
        <v>0</v>
      </c>
      <c r="G1029" s="16" t="n">
        <f aca="false">SUM(F$5:F1029)</f>
        <v>8</v>
      </c>
      <c r="H1029" s="16" t="n">
        <f aca="false">IF(B1029="",0,IF(COUNTIF(B$5:B1029,B1029)=1,1,0))</f>
        <v>0</v>
      </c>
      <c r="I1029" s="16" t="n">
        <f aca="false">SUM(H$5:H1029)</f>
        <v>6</v>
      </c>
    </row>
    <row r="1030" customFormat="false" ht="15" hidden="false" customHeight="false" outlineLevel="0" collapsed="false">
      <c r="A1030" s="12"/>
      <c r="B1030" s="13"/>
      <c r="C1030" s="13"/>
      <c r="D1030" s="14"/>
      <c r="E1030" s="15"/>
      <c r="F1030" s="16" t="n">
        <f aca="false">IF(C1030="",0,IF(COUNTIF(C$5:C1030,C1030)=1,1,0))</f>
        <v>0</v>
      </c>
      <c r="G1030" s="16" t="n">
        <f aca="false">SUM(F$5:F1030)</f>
        <v>8</v>
      </c>
      <c r="H1030" s="16" t="n">
        <f aca="false">IF(B1030="",0,IF(COUNTIF(B$5:B1030,B1030)=1,1,0))</f>
        <v>0</v>
      </c>
      <c r="I1030" s="16" t="n">
        <f aca="false">SUM(H$5:H1030)</f>
        <v>6</v>
      </c>
    </row>
    <row r="1031" customFormat="false" ht="15" hidden="false" customHeight="false" outlineLevel="0" collapsed="false">
      <c r="A1031" s="12"/>
      <c r="B1031" s="13"/>
      <c r="C1031" s="13"/>
      <c r="D1031" s="14"/>
      <c r="E1031" s="15"/>
      <c r="F1031" s="16" t="n">
        <f aca="false">IF(C1031="",0,IF(COUNTIF(C$5:C1031,C1031)=1,1,0))</f>
        <v>0</v>
      </c>
      <c r="G1031" s="16" t="n">
        <f aca="false">SUM(F$5:F1031)</f>
        <v>8</v>
      </c>
      <c r="H1031" s="16" t="n">
        <f aca="false">IF(B1031="",0,IF(COUNTIF(B$5:B1031,B1031)=1,1,0))</f>
        <v>0</v>
      </c>
      <c r="I1031" s="16" t="n">
        <f aca="false">SUM(H$5:H1031)</f>
        <v>6</v>
      </c>
    </row>
    <row r="1032" customFormat="false" ht="15" hidden="false" customHeight="false" outlineLevel="0" collapsed="false">
      <c r="A1032" s="12"/>
      <c r="B1032" s="13"/>
      <c r="C1032" s="13"/>
      <c r="D1032" s="14"/>
      <c r="E1032" s="15"/>
      <c r="F1032" s="16" t="n">
        <f aca="false">IF(C1032="",0,IF(COUNTIF(C$5:C1032,C1032)=1,1,0))</f>
        <v>0</v>
      </c>
      <c r="G1032" s="16" t="n">
        <f aca="false">SUM(F$5:F1032)</f>
        <v>8</v>
      </c>
      <c r="H1032" s="16" t="n">
        <f aca="false">IF(B1032="",0,IF(COUNTIF(B$5:B1032,B1032)=1,1,0))</f>
        <v>0</v>
      </c>
      <c r="I1032" s="16" t="n">
        <f aca="false">SUM(H$5:H1032)</f>
        <v>6</v>
      </c>
    </row>
    <row r="1033" customFormat="false" ht="15" hidden="false" customHeight="false" outlineLevel="0" collapsed="false">
      <c r="A1033" s="12"/>
      <c r="B1033" s="13"/>
      <c r="C1033" s="13"/>
      <c r="D1033" s="14"/>
      <c r="E1033" s="15"/>
      <c r="F1033" s="16" t="n">
        <f aca="false">IF(C1033="",0,IF(COUNTIF(C$5:C1033,C1033)=1,1,0))</f>
        <v>0</v>
      </c>
      <c r="G1033" s="16" t="n">
        <f aca="false">SUM(F$5:F1033)</f>
        <v>8</v>
      </c>
      <c r="H1033" s="16" t="n">
        <f aca="false">IF(B1033="",0,IF(COUNTIF(B$5:B1033,B1033)=1,1,0))</f>
        <v>0</v>
      </c>
      <c r="I1033" s="16" t="n">
        <f aca="false">SUM(H$5:H1033)</f>
        <v>6</v>
      </c>
    </row>
    <row r="1034" customFormat="false" ht="15" hidden="false" customHeight="false" outlineLevel="0" collapsed="false">
      <c r="A1034" s="12"/>
      <c r="B1034" s="13"/>
      <c r="C1034" s="13"/>
      <c r="D1034" s="14"/>
      <c r="E1034" s="15"/>
      <c r="F1034" s="16" t="n">
        <f aca="false">IF(C1034="",0,IF(COUNTIF(C$5:C1034,C1034)=1,1,0))</f>
        <v>0</v>
      </c>
      <c r="G1034" s="16" t="n">
        <f aca="false">SUM(F$5:F1034)</f>
        <v>8</v>
      </c>
      <c r="H1034" s="16" t="n">
        <f aca="false">IF(B1034="",0,IF(COUNTIF(B$5:B1034,B1034)=1,1,0))</f>
        <v>0</v>
      </c>
      <c r="I1034" s="16" t="n">
        <f aca="false">SUM(H$5:H1034)</f>
        <v>6</v>
      </c>
    </row>
    <row r="1035" customFormat="false" ht="15" hidden="false" customHeight="false" outlineLevel="0" collapsed="false">
      <c r="A1035" s="12"/>
      <c r="B1035" s="13"/>
      <c r="C1035" s="13"/>
      <c r="D1035" s="14"/>
      <c r="E1035" s="15"/>
      <c r="F1035" s="16" t="n">
        <f aca="false">IF(C1035="",0,IF(COUNTIF(C$5:C1035,C1035)=1,1,0))</f>
        <v>0</v>
      </c>
      <c r="G1035" s="16" t="n">
        <f aca="false">SUM(F$5:F1035)</f>
        <v>8</v>
      </c>
      <c r="H1035" s="16" t="n">
        <f aca="false">IF(B1035="",0,IF(COUNTIF(B$5:B1035,B1035)=1,1,0))</f>
        <v>0</v>
      </c>
      <c r="I1035" s="16" t="n">
        <f aca="false">SUM(H$5:H1035)</f>
        <v>6</v>
      </c>
    </row>
    <row r="1036" customFormat="false" ht="15" hidden="false" customHeight="false" outlineLevel="0" collapsed="false">
      <c r="A1036" s="12"/>
      <c r="B1036" s="13"/>
      <c r="C1036" s="13"/>
      <c r="D1036" s="14"/>
      <c r="E1036" s="15"/>
      <c r="F1036" s="16" t="n">
        <f aca="false">IF(C1036="",0,IF(COUNTIF(C$5:C1036,C1036)=1,1,0))</f>
        <v>0</v>
      </c>
      <c r="G1036" s="16" t="n">
        <f aca="false">SUM(F$5:F1036)</f>
        <v>8</v>
      </c>
      <c r="H1036" s="16" t="n">
        <f aca="false">IF(B1036="",0,IF(COUNTIF(B$5:B1036,B1036)=1,1,0))</f>
        <v>0</v>
      </c>
      <c r="I1036" s="16" t="n">
        <f aca="false">SUM(H$5:H1036)</f>
        <v>6</v>
      </c>
    </row>
    <row r="1037" customFormat="false" ht="15" hidden="false" customHeight="false" outlineLevel="0" collapsed="false">
      <c r="A1037" s="12"/>
      <c r="B1037" s="13"/>
      <c r="C1037" s="13"/>
      <c r="D1037" s="14"/>
      <c r="E1037" s="15"/>
      <c r="F1037" s="16" t="n">
        <f aca="false">IF(C1037="",0,IF(COUNTIF(C$5:C1037,C1037)=1,1,0))</f>
        <v>0</v>
      </c>
      <c r="G1037" s="16" t="n">
        <f aca="false">SUM(F$5:F1037)</f>
        <v>8</v>
      </c>
      <c r="H1037" s="16" t="n">
        <f aca="false">IF(B1037="",0,IF(COUNTIF(B$5:B1037,B1037)=1,1,0))</f>
        <v>0</v>
      </c>
      <c r="I1037" s="16" t="n">
        <f aca="false">SUM(H$5:H1037)</f>
        <v>6</v>
      </c>
    </row>
    <row r="1038" customFormat="false" ht="15" hidden="false" customHeight="false" outlineLevel="0" collapsed="false">
      <c r="A1038" s="12"/>
      <c r="B1038" s="13"/>
      <c r="C1038" s="13"/>
      <c r="D1038" s="14"/>
      <c r="E1038" s="15"/>
      <c r="F1038" s="16" t="n">
        <f aca="false">IF(C1038="",0,IF(COUNTIF(C$5:C1038,C1038)=1,1,0))</f>
        <v>0</v>
      </c>
      <c r="G1038" s="16" t="n">
        <f aca="false">SUM(F$5:F1038)</f>
        <v>8</v>
      </c>
      <c r="H1038" s="16" t="n">
        <f aca="false">IF(B1038="",0,IF(COUNTIF(B$5:B1038,B1038)=1,1,0))</f>
        <v>0</v>
      </c>
      <c r="I1038" s="16" t="n">
        <f aca="false">SUM(H$5:H1038)</f>
        <v>6</v>
      </c>
    </row>
    <row r="1039" customFormat="false" ht="15" hidden="false" customHeight="false" outlineLevel="0" collapsed="false">
      <c r="A1039" s="12"/>
      <c r="B1039" s="13"/>
      <c r="C1039" s="13"/>
      <c r="D1039" s="14"/>
      <c r="E1039" s="15"/>
      <c r="F1039" s="16" t="n">
        <f aca="false">IF(C1039="",0,IF(COUNTIF(C$5:C1039,C1039)=1,1,0))</f>
        <v>0</v>
      </c>
      <c r="G1039" s="16" t="n">
        <f aca="false">SUM(F$5:F1039)</f>
        <v>8</v>
      </c>
      <c r="H1039" s="16" t="n">
        <f aca="false">IF(B1039="",0,IF(COUNTIF(B$5:B1039,B1039)=1,1,0))</f>
        <v>0</v>
      </c>
      <c r="I1039" s="16" t="n">
        <f aca="false">SUM(H$5:H1039)</f>
        <v>6</v>
      </c>
    </row>
    <row r="1040" customFormat="false" ht="15" hidden="false" customHeight="false" outlineLevel="0" collapsed="false">
      <c r="A1040" s="12"/>
      <c r="B1040" s="13"/>
      <c r="C1040" s="13"/>
      <c r="D1040" s="14"/>
      <c r="E1040" s="15"/>
      <c r="F1040" s="16" t="n">
        <f aca="false">IF(C1040="",0,IF(COUNTIF(C$5:C1040,C1040)=1,1,0))</f>
        <v>0</v>
      </c>
      <c r="G1040" s="16" t="n">
        <f aca="false">SUM(F$5:F1040)</f>
        <v>8</v>
      </c>
      <c r="H1040" s="16" t="n">
        <f aca="false">IF(B1040="",0,IF(COUNTIF(B$5:B1040,B1040)=1,1,0))</f>
        <v>0</v>
      </c>
      <c r="I1040" s="16" t="n">
        <f aca="false">SUM(H$5:H1040)</f>
        <v>6</v>
      </c>
    </row>
    <row r="1041" customFormat="false" ht="15" hidden="false" customHeight="false" outlineLevel="0" collapsed="false">
      <c r="A1041" s="12"/>
      <c r="B1041" s="13"/>
      <c r="C1041" s="13"/>
      <c r="D1041" s="14"/>
      <c r="E1041" s="15"/>
      <c r="F1041" s="16" t="n">
        <f aca="false">IF(C1041="",0,IF(COUNTIF(C$5:C1041,C1041)=1,1,0))</f>
        <v>0</v>
      </c>
      <c r="G1041" s="16" t="n">
        <f aca="false">SUM(F$5:F1041)</f>
        <v>8</v>
      </c>
      <c r="H1041" s="16" t="n">
        <f aca="false">IF(B1041="",0,IF(COUNTIF(B$5:B1041,B1041)=1,1,0))</f>
        <v>0</v>
      </c>
      <c r="I1041" s="16" t="n">
        <f aca="false">SUM(H$5:H1041)</f>
        <v>6</v>
      </c>
    </row>
    <row r="1042" customFormat="false" ht="15" hidden="false" customHeight="false" outlineLevel="0" collapsed="false">
      <c r="A1042" s="12"/>
      <c r="B1042" s="13"/>
      <c r="C1042" s="13"/>
      <c r="D1042" s="14"/>
      <c r="E1042" s="15"/>
      <c r="F1042" s="16" t="n">
        <f aca="false">IF(C1042="",0,IF(COUNTIF(C$5:C1042,C1042)=1,1,0))</f>
        <v>0</v>
      </c>
      <c r="G1042" s="16" t="n">
        <f aca="false">SUM(F$5:F1042)</f>
        <v>8</v>
      </c>
      <c r="H1042" s="16" t="n">
        <f aca="false">IF(B1042="",0,IF(COUNTIF(B$5:B1042,B1042)=1,1,0))</f>
        <v>0</v>
      </c>
      <c r="I1042" s="16" t="n">
        <f aca="false">SUM(H$5:H1042)</f>
        <v>6</v>
      </c>
    </row>
    <row r="1043" customFormat="false" ht="15" hidden="false" customHeight="false" outlineLevel="0" collapsed="false">
      <c r="A1043" s="12"/>
      <c r="B1043" s="13"/>
      <c r="C1043" s="13"/>
      <c r="D1043" s="14"/>
      <c r="E1043" s="15"/>
      <c r="F1043" s="16" t="n">
        <f aca="false">IF(C1043="",0,IF(COUNTIF(C$5:C1043,C1043)=1,1,0))</f>
        <v>0</v>
      </c>
      <c r="G1043" s="16" t="n">
        <f aca="false">SUM(F$5:F1043)</f>
        <v>8</v>
      </c>
      <c r="H1043" s="16" t="n">
        <f aca="false">IF(B1043="",0,IF(COUNTIF(B$5:B1043,B1043)=1,1,0))</f>
        <v>0</v>
      </c>
      <c r="I1043" s="16" t="n">
        <f aca="false">SUM(H$5:H1043)</f>
        <v>6</v>
      </c>
    </row>
    <row r="1044" customFormat="false" ht="15" hidden="false" customHeight="false" outlineLevel="0" collapsed="false">
      <c r="A1044" s="12"/>
      <c r="B1044" s="13"/>
      <c r="C1044" s="13"/>
      <c r="D1044" s="14"/>
      <c r="E1044" s="15"/>
      <c r="F1044" s="16" t="n">
        <f aca="false">IF(C1044="",0,IF(COUNTIF(C$5:C1044,C1044)=1,1,0))</f>
        <v>0</v>
      </c>
      <c r="G1044" s="16" t="n">
        <f aca="false">SUM(F$5:F1044)</f>
        <v>8</v>
      </c>
      <c r="H1044" s="16" t="n">
        <f aca="false">IF(B1044="",0,IF(COUNTIF(B$5:B1044,B1044)=1,1,0))</f>
        <v>0</v>
      </c>
      <c r="I1044" s="16" t="n">
        <f aca="false">SUM(H$5:H1044)</f>
        <v>6</v>
      </c>
    </row>
    <row r="1045" customFormat="false" ht="15" hidden="false" customHeight="false" outlineLevel="0" collapsed="false">
      <c r="A1045" s="12"/>
      <c r="B1045" s="13"/>
      <c r="C1045" s="13"/>
      <c r="D1045" s="14"/>
      <c r="E1045" s="15"/>
      <c r="F1045" s="16" t="n">
        <f aca="false">IF(C1045="",0,IF(COUNTIF(C$5:C1045,C1045)=1,1,0))</f>
        <v>0</v>
      </c>
      <c r="G1045" s="16" t="n">
        <f aca="false">SUM(F$5:F1045)</f>
        <v>8</v>
      </c>
      <c r="H1045" s="16" t="n">
        <f aca="false">IF(B1045="",0,IF(COUNTIF(B$5:B1045,B1045)=1,1,0))</f>
        <v>0</v>
      </c>
      <c r="I1045" s="16" t="n">
        <f aca="false">SUM(H$5:H1045)</f>
        <v>6</v>
      </c>
    </row>
    <row r="1046" customFormat="false" ht="15" hidden="false" customHeight="false" outlineLevel="0" collapsed="false">
      <c r="A1046" s="12"/>
      <c r="B1046" s="13"/>
      <c r="C1046" s="13"/>
      <c r="D1046" s="14"/>
      <c r="E1046" s="15"/>
      <c r="F1046" s="16" t="n">
        <f aca="false">IF(C1046="",0,IF(COUNTIF(C$5:C1046,C1046)=1,1,0))</f>
        <v>0</v>
      </c>
      <c r="G1046" s="16" t="n">
        <f aca="false">SUM(F$5:F1046)</f>
        <v>8</v>
      </c>
      <c r="H1046" s="16" t="n">
        <f aca="false">IF(B1046="",0,IF(COUNTIF(B$5:B1046,B1046)=1,1,0))</f>
        <v>0</v>
      </c>
      <c r="I1046" s="16" t="n">
        <f aca="false">SUM(H$5:H1046)</f>
        <v>6</v>
      </c>
    </row>
    <row r="1047" customFormat="false" ht="15" hidden="false" customHeight="false" outlineLevel="0" collapsed="false">
      <c r="A1047" s="12"/>
      <c r="B1047" s="13"/>
      <c r="C1047" s="13"/>
      <c r="D1047" s="14"/>
      <c r="E1047" s="15"/>
      <c r="F1047" s="16" t="n">
        <f aca="false">IF(C1047="",0,IF(COUNTIF(C$5:C1047,C1047)=1,1,0))</f>
        <v>0</v>
      </c>
      <c r="G1047" s="16" t="n">
        <f aca="false">SUM(F$5:F1047)</f>
        <v>8</v>
      </c>
      <c r="H1047" s="16" t="n">
        <f aca="false">IF(B1047="",0,IF(COUNTIF(B$5:B1047,B1047)=1,1,0))</f>
        <v>0</v>
      </c>
      <c r="I1047" s="16" t="n">
        <f aca="false">SUM(H$5:H1047)</f>
        <v>6</v>
      </c>
    </row>
    <row r="1048" customFormat="false" ht="15" hidden="false" customHeight="false" outlineLevel="0" collapsed="false">
      <c r="A1048" s="12"/>
      <c r="B1048" s="13"/>
      <c r="C1048" s="13"/>
      <c r="D1048" s="14"/>
      <c r="E1048" s="15"/>
      <c r="F1048" s="16" t="n">
        <f aca="false">IF(C1048="",0,IF(COUNTIF(C$5:C1048,C1048)=1,1,0))</f>
        <v>0</v>
      </c>
      <c r="G1048" s="16" t="n">
        <f aca="false">SUM(F$5:F1048)</f>
        <v>8</v>
      </c>
      <c r="H1048" s="16" t="n">
        <f aca="false">IF(B1048="",0,IF(COUNTIF(B$5:B1048,B1048)=1,1,0))</f>
        <v>0</v>
      </c>
      <c r="I1048" s="16" t="n">
        <f aca="false">SUM(H$5:H1048)</f>
        <v>6</v>
      </c>
    </row>
    <row r="1049" customFormat="false" ht="15" hidden="false" customHeight="false" outlineLevel="0" collapsed="false">
      <c r="A1049" s="12"/>
      <c r="B1049" s="13"/>
      <c r="C1049" s="13"/>
      <c r="D1049" s="14"/>
      <c r="E1049" s="15"/>
      <c r="F1049" s="16" t="n">
        <f aca="false">IF(C1049="",0,IF(COUNTIF(C$5:C1049,C1049)=1,1,0))</f>
        <v>0</v>
      </c>
      <c r="G1049" s="16" t="n">
        <f aca="false">SUM(F$5:F1049)</f>
        <v>8</v>
      </c>
      <c r="H1049" s="16" t="n">
        <f aca="false">IF(B1049="",0,IF(COUNTIF(B$5:B1049,B1049)=1,1,0))</f>
        <v>0</v>
      </c>
      <c r="I1049" s="16" t="n">
        <f aca="false">SUM(H$5:H1049)</f>
        <v>6</v>
      </c>
    </row>
    <row r="1050" customFormat="false" ht="15" hidden="false" customHeight="false" outlineLevel="0" collapsed="false">
      <c r="A1050" s="12"/>
      <c r="B1050" s="13"/>
      <c r="C1050" s="13"/>
      <c r="D1050" s="14"/>
      <c r="E1050" s="15"/>
      <c r="F1050" s="16" t="n">
        <f aca="false">IF(C1050="",0,IF(COUNTIF(C$5:C1050,C1050)=1,1,0))</f>
        <v>0</v>
      </c>
      <c r="G1050" s="16" t="n">
        <f aca="false">SUM(F$5:F1050)</f>
        <v>8</v>
      </c>
      <c r="H1050" s="16" t="n">
        <f aca="false">IF(B1050="",0,IF(COUNTIF(B$5:B1050,B1050)=1,1,0))</f>
        <v>0</v>
      </c>
      <c r="I1050" s="16" t="n">
        <f aca="false">SUM(H$5:H1050)</f>
        <v>6</v>
      </c>
    </row>
    <row r="1051" customFormat="false" ht="15" hidden="false" customHeight="false" outlineLevel="0" collapsed="false">
      <c r="A1051" s="12"/>
      <c r="B1051" s="13"/>
      <c r="C1051" s="13"/>
      <c r="D1051" s="14"/>
      <c r="E1051" s="15"/>
      <c r="F1051" s="16" t="n">
        <f aca="false">IF(C1051="",0,IF(COUNTIF(C$5:C1051,C1051)=1,1,0))</f>
        <v>0</v>
      </c>
      <c r="G1051" s="16" t="n">
        <f aca="false">SUM(F$5:F1051)</f>
        <v>8</v>
      </c>
      <c r="H1051" s="16" t="n">
        <f aca="false">IF(B1051="",0,IF(COUNTIF(B$5:B1051,B1051)=1,1,0))</f>
        <v>0</v>
      </c>
      <c r="I1051" s="16" t="n">
        <f aca="false">SUM(H$5:H1051)</f>
        <v>6</v>
      </c>
    </row>
    <row r="1052" customFormat="false" ht="15" hidden="false" customHeight="false" outlineLevel="0" collapsed="false">
      <c r="A1052" s="12"/>
      <c r="B1052" s="13"/>
      <c r="C1052" s="13"/>
      <c r="D1052" s="14"/>
      <c r="E1052" s="15"/>
      <c r="F1052" s="16" t="n">
        <f aca="false">IF(C1052="",0,IF(COUNTIF(C$5:C1052,C1052)=1,1,0))</f>
        <v>0</v>
      </c>
      <c r="G1052" s="16" t="n">
        <f aca="false">SUM(F$5:F1052)</f>
        <v>8</v>
      </c>
      <c r="H1052" s="16" t="n">
        <f aca="false">IF(B1052="",0,IF(COUNTIF(B$5:B1052,B1052)=1,1,0))</f>
        <v>0</v>
      </c>
      <c r="I1052" s="16" t="n">
        <f aca="false">SUM(H$5:H1052)</f>
        <v>6</v>
      </c>
    </row>
    <row r="1053" customFormat="false" ht="15" hidden="false" customHeight="false" outlineLevel="0" collapsed="false">
      <c r="A1053" s="12"/>
      <c r="B1053" s="13"/>
      <c r="C1053" s="13"/>
      <c r="D1053" s="14"/>
      <c r="E1053" s="15"/>
      <c r="F1053" s="16" t="n">
        <f aca="false">IF(C1053="",0,IF(COUNTIF(C$5:C1053,C1053)=1,1,0))</f>
        <v>0</v>
      </c>
      <c r="G1053" s="16" t="n">
        <f aca="false">SUM(F$5:F1053)</f>
        <v>8</v>
      </c>
      <c r="H1053" s="16" t="n">
        <f aca="false">IF(B1053="",0,IF(COUNTIF(B$5:B1053,B1053)=1,1,0))</f>
        <v>0</v>
      </c>
      <c r="I1053" s="16" t="n">
        <f aca="false">SUM(H$5:H1053)</f>
        <v>6</v>
      </c>
    </row>
    <row r="1054" customFormat="false" ht="15" hidden="false" customHeight="false" outlineLevel="0" collapsed="false">
      <c r="A1054" s="12"/>
      <c r="B1054" s="13"/>
      <c r="C1054" s="13"/>
      <c r="D1054" s="14"/>
      <c r="E1054" s="15"/>
      <c r="F1054" s="16" t="n">
        <f aca="false">IF(C1054="",0,IF(COUNTIF(C$5:C1054,C1054)=1,1,0))</f>
        <v>0</v>
      </c>
      <c r="G1054" s="16" t="n">
        <f aca="false">SUM(F$5:F1054)</f>
        <v>8</v>
      </c>
      <c r="H1054" s="16" t="n">
        <f aca="false">IF(B1054="",0,IF(COUNTIF(B$5:B1054,B1054)=1,1,0))</f>
        <v>0</v>
      </c>
      <c r="I1054" s="16" t="n">
        <f aca="false">SUM(H$5:H1054)</f>
        <v>6</v>
      </c>
    </row>
    <row r="1055" customFormat="false" ht="15" hidden="false" customHeight="false" outlineLevel="0" collapsed="false">
      <c r="A1055" s="12"/>
      <c r="B1055" s="13"/>
      <c r="C1055" s="13"/>
      <c r="D1055" s="14"/>
      <c r="E1055" s="15"/>
      <c r="F1055" s="16" t="n">
        <f aca="false">IF(C1055="",0,IF(COUNTIF(C$5:C1055,C1055)=1,1,0))</f>
        <v>0</v>
      </c>
      <c r="G1055" s="16" t="n">
        <f aca="false">SUM(F$5:F1055)</f>
        <v>8</v>
      </c>
      <c r="H1055" s="16" t="n">
        <f aca="false">IF(B1055="",0,IF(COUNTIF(B$5:B1055,B1055)=1,1,0))</f>
        <v>0</v>
      </c>
      <c r="I1055" s="16" t="n">
        <f aca="false">SUM(H$5:H1055)</f>
        <v>6</v>
      </c>
    </row>
    <row r="1056" customFormat="false" ht="15" hidden="false" customHeight="false" outlineLevel="0" collapsed="false">
      <c r="A1056" s="12"/>
      <c r="B1056" s="13"/>
      <c r="C1056" s="13"/>
      <c r="D1056" s="14"/>
      <c r="E1056" s="15"/>
      <c r="F1056" s="16" t="n">
        <f aca="false">IF(C1056="",0,IF(COUNTIF(C$5:C1056,C1056)=1,1,0))</f>
        <v>0</v>
      </c>
      <c r="G1056" s="16" t="n">
        <f aca="false">SUM(F$5:F1056)</f>
        <v>8</v>
      </c>
      <c r="H1056" s="16" t="n">
        <f aca="false">IF(B1056="",0,IF(COUNTIF(B$5:B1056,B1056)=1,1,0))</f>
        <v>0</v>
      </c>
      <c r="I1056" s="16" t="n">
        <f aca="false">SUM(H$5:H1056)</f>
        <v>6</v>
      </c>
    </row>
    <row r="1057" customFormat="false" ht="15" hidden="false" customHeight="false" outlineLevel="0" collapsed="false">
      <c r="A1057" s="12"/>
      <c r="B1057" s="13"/>
      <c r="C1057" s="13"/>
      <c r="D1057" s="14"/>
      <c r="E1057" s="15"/>
      <c r="F1057" s="16" t="n">
        <f aca="false">IF(C1057="",0,IF(COUNTIF(C$5:C1057,C1057)=1,1,0))</f>
        <v>0</v>
      </c>
      <c r="G1057" s="16" t="n">
        <f aca="false">SUM(F$5:F1057)</f>
        <v>8</v>
      </c>
      <c r="H1057" s="16" t="n">
        <f aca="false">IF(B1057="",0,IF(COUNTIF(B$5:B1057,B1057)=1,1,0))</f>
        <v>0</v>
      </c>
      <c r="I1057" s="16" t="n">
        <f aca="false">SUM(H$5:H1057)</f>
        <v>6</v>
      </c>
    </row>
    <row r="1058" customFormat="false" ht="15" hidden="false" customHeight="false" outlineLevel="0" collapsed="false">
      <c r="A1058" s="12"/>
      <c r="B1058" s="13"/>
      <c r="C1058" s="13"/>
      <c r="D1058" s="14"/>
      <c r="E1058" s="15"/>
      <c r="F1058" s="16" t="n">
        <f aca="false">IF(C1058="",0,IF(COUNTIF(C$5:C1058,C1058)=1,1,0))</f>
        <v>0</v>
      </c>
      <c r="G1058" s="16" t="n">
        <f aca="false">SUM(F$5:F1058)</f>
        <v>8</v>
      </c>
      <c r="H1058" s="16" t="n">
        <f aca="false">IF(B1058="",0,IF(COUNTIF(B$5:B1058,B1058)=1,1,0))</f>
        <v>0</v>
      </c>
      <c r="I1058" s="16" t="n">
        <f aca="false">SUM(H$5:H1058)</f>
        <v>6</v>
      </c>
    </row>
    <row r="1059" customFormat="false" ht="15" hidden="false" customHeight="false" outlineLevel="0" collapsed="false">
      <c r="A1059" s="12"/>
      <c r="B1059" s="13"/>
      <c r="C1059" s="13"/>
      <c r="D1059" s="14"/>
      <c r="E1059" s="15"/>
      <c r="F1059" s="16" t="n">
        <f aca="false">IF(C1059="",0,IF(COUNTIF(C$5:C1059,C1059)=1,1,0))</f>
        <v>0</v>
      </c>
      <c r="G1059" s="16" t="n">
        <f aca="false">SUM(F$5:F1059)</f>
        <v>8</v>
      </c>
      <c r="H1059" s="16" t="n">
        <f aca="false">IF(B1059="",0,IF(COUNTIF(B$5:B1059,B1059)=1,1,0))</f>
        <v>0</v>
      </c>
      <c r="I1059" s="16" t="n">
        <f aca="false">SUM(H$5:H1059)</f>
        <v>6</v>
      </c>
    </row>
    <row r="1060" customFormat="false" ht="15" hidden="false" customHeight="false" outlineLevel="0" collapsed="false">
      <c r="A1060" s="12"/>
      <c r="B1060" s="13"/>
      <c r="C1060" s="13"/>
      <c r="D1060" s="14"/>
      <c r="E1060" s="15"/>
      <c r="F1060" s="16" t="n">
        <f aca="false">IF(C1060="",0,IF(COUNTIF(C$5:C1060,C1060)=1,1,0))</f>
        <v>0</v>
      </c>
      <c r="G1060" s="16" t="n">
        <f aca="false">SUM(F$5:F1060)</f>
        <v>8</v>
      </c>
      <c r="H1060" s="16" t="n">
        <f aca="false">IF(B1060="",0,IF(COUNTIF(B$5:B1060,B1060)=1,1,0))</f>
        <v>0</v>
      </c>
      <c r="I1060" s="16" t="n">
        <f aca="false">SUM(H$5:H1060)</f>
        <v>6</v>
      </c>
    </row>
    <row r="1061" customFormat="false" ht="15" hidden="false" customHeight="false" outlineLevel="0" collapsed="false">
      <c r="A1061" s="12"/>
      <c r="B1061" s="13"/>
      <c r="C1061" s="13"/>
      <c r="D1061" s="14"/>
      <c r="E1061" s="15"/>
      <c r="F1061" s="16" t="n">
        <f aca="false">IF(C1061="",0,IF(COUNTIF(C$5:C1061,C1061)=1,1,0))</f>
        <v>0</v>
      </c>
      <c r="G1061" s="16" t="n">
        <f aca="false">SUM(F$5:F1061)</f>
        <v>8</v>
      </c>
      <c r="H1061" s="16" t="n">
        <f aca="false">IF(B1061="",0,IF(COUNTIF(B$5:B1061,B1061)=1,1,0))</f>
        <v>0</v>
      </c>
      <c r="I1061" s="16" t="n">
        <f aca="false">SUM(H$5:H1061)</f>
        <v>6</v>
      </c>
    </row>
    <row r="1062" customFormat="false" ht="15" hidden="false" customHeight="false" outlineLevel="0" collapsed="false">
      <c r="A1062" s="12"/>
      <c r="B1062" s="13"/>
      <c r="C1062" s="13"/>
      <c r="D1062" s="14"/>
      <c r="E1062" s="15"/>
      <c r="F1062" s="16" t="n">
        <f aca="false">IF(C1062="",0,IF(COUNTIF(C$5:C1062,C1062)=1,1,0))</f>
        <v>0</v>
      </c>
      <c r="G1062" s="16" t="n">
        <f aca="false">SUM(F$5:F1062)</f>
        <v>8</v>
      </c>
      <c r="H1062" s="16" t="n">
        <f aca="false">IF(B1062="",0,IF(COUNTIF(B$5:B1062,B1062)=1,1,0))</f>
        <v>0</v>
      </c>
      <c r="I1062" s="16" t="n">
        <f aca="false">SUM(H$5:H1062)</f>
        <v>6</v>
      </c>
    </row>
    <row r="1063" customFormat="false" ht="15" hidden="false" customHeight="false" outlineLevel="0" collapsed="false">
      <c r="A1063" s="12"/>
      <c r="B1063" s="13"/>
      <c r="C1063" s="13"/>
      <c r="D1063" s="14"/>
      <c r="E1063" s="15"/>
      <c r="F1063" s="16" t="n">
        <f aca="false">IF(C1063="",0,IF(COUNTIF(C$5:C1063,C1063)=1,1,0))</f>
        <v>0</v>
      </c>
      <c r="G1063" s="16" t="n">
        <f aca="false">SUM(F$5:F1063)</f>
        <v>8</v>
      </c>
      <c r="H1063" s="16" t="n">
        <f aca="false">IF(B1063="",0,IF(COUNTIF(B$5:B1063,B1063)=1,1,0))</f>
        <v>0</v>
      </c>
      <c r="I1063" s="16" t="n">
        <f aca="false">SUM(H$5:H1063)</f>
        <v>6</v>
      </c>
    </row>
    <row r="1064" customFormat="false" ht="15" hidden="false" customHeight="false" outlineLevel="0" collapsed="false">
      <c r="A1064" s="12"/>
      <c r="B1064" s="13"/>
      <c r="C1064" s="13"/>
      <c r="D1064" s="14"/>
      <c r="E1064" s="15"/>
      <c r="F1064" s="16" t="n">
        <f aca="false">IF(C1064="",0,IF(COUNTIF(C$5:C1064,C1064)=1,1,0))</f>
        <v>0</v>
      </c>
      <c r="G1064" s="16" t="n">
        <f aca="false">SUM(F$5:F1064)</f>
        <v>8</v>
      </c>
      <c r="H1064" s="16" t="n">
        <f aca="false">IF(B1064="",0,IF(COUNTIF(B$5:B1064,B1064)=1,1,0))</f>
        <v>0</v>
      </c>
      <c r="I1064" s="16" t="n">
        <f aca="false">SUM(H$5:H1064)</f>
        <v>6</v>
      </c>
    </row>
    <row r="1065" customFormat="false" ht="15" hidden="false" customHeight="false" outlineLevel="0" collapsed="false">
      <c r="A1065" s="12"/>
      <c r="B1065" s="13"/>
      <c r="C1065" s="13"/>
      <c r="D1065" s="14"/>
      <c r="E1065" s="15"/>
      <c r="F1065" s="16" t="n">
        <f aca="false">IF(C1065="",0,IF(COUNTIF(C$5:C1065,C1065)=1,1,0))</f>
        <v>0</v>
      </c>
      <c r="G1065" s="16" t="n">
        <f aca="false">SUM(F$5:F1065)</f>
        <v>8</v>
      </c>
      <c r="H1065" s="16" t="n">
        <f aca="false">IF(B1065="",0,IF(COUNTIF(B$5:B1065,B1065)=1,1,0))</f>
        <v>0</v>
      </c>
      <c r="I1065" s="16" t="n">
        <f aca="false">SUM(H$5:H1065)</f>
        <v>6</v>
      </c>
    </row>
    <row r="1066" customFormat="false" ht="15" hidden="false" customHeight="false" outlineLevel="0" collapsed="false">
      <c r="A1066" s="12"/>
      <c r="B1066" s="13"/>
      <c r="C1066" s="13"/>
      <c r="D1066" s="14"/>
      <c r="E1066" s="15"/>
      <c r="F1066" s="16" t="n">
        <f aca="false">IF(C1066="",0,IF(COUNTIF(C$5:C1066,C1066)=1,1,0))</f>
        <v>0</v>
      </c>
      <c r="G1066" s="16" t="n">
        <f aca="false">SUM(F$5:F1066)</f>
        <v>8</v>
      </c>
      <c r="H1066" s="16" t="n">
        <f aca="false">IF(B1066="",0,IF(COUNTIF(B$5:B1066,B1066)=1,1,0))</f>
        <v>0</v>
      </c>
      <c r="I1066" s="16" t="n">
        <f aca="false">SUM(H$5:H1066)</f>
        <v>6</v>
      </c>
    </row>
    <row r="1067" customFormat="false" ht="15" hidden="false" customHeight="false" outlineLevel="0" collapsed="false">
      <c r="A1067" s="12"/>
      <c r="B1067" s="13"/>
      <c r="C1067" s="13"/>
      <c r="D1067" s="14"/>
      <c r="E1067" s="15"/>
      <c r="F1067" s="16" t="n">
        <f aca="false">IF(C1067="",0,IF(COUNTIF(C$5:C1067,C1067)=1,1,0))</f>
        <v>0</v>
      </c>
      <c r="G1067" s="16" t="n">
        <f aca="false">SUM(F$5:F1067)</f>
        <v>8</v>
      </c>
      <c r="H1067" s="16" t="n">
        <f aca="false">IF(B1067="",0,IF(COUNTIF(B$5:B1067,B1067)=1,1,0))</f>
        <v>0</v>
      </c>
      <c r="I1067" s="16" t="n">
        <f aca="false">SUM(H$5:H1067)</f>
        <v>6</v>
      </c>
    </row>
    <row r="1068" customFormat="false" ht="15" hidden="false" customHeight="false" outlineLevel="0" collapsed="false">
      <c r="A1068" s="12"/>
      <c r="B1068" s="13"/>
      <c r="C1068" s="13"/>
      <c r="D1068" s="14"/>
      <c r="E1068" s="15"/>
      <c r="F1068" s="16" t="n">
        <f aca="false">IF(C1068="",0,IF(COUNTIF(C$5:C1068,C1068)=1,1,0))</f>
        <v>0</v>
      </c>
      <c r="G1068" s="16" t="n">
        <f aca="false">SUM(F$5:F1068)</f>
        <v>8</v>
      </c>
      <c r="H1068" s="16" t="n">
        <f aca="false">IF(B1068="",0,IF(COUNTIF(B$5:B1068,B1068)=1,1,0))</f>
        <v>0</v>
      </c>
      <c r="I1068" s="16" t="n">
        <f aca="false">SUM(H$5:H1068)</f>
        <v>6</v>
      </c>
    </row>
    <row r="1069" customFormat="false" ht="15" hidden="false" customHeight="false" outlineLevel="0" collapsed="false">
      <c r="A1069" s="12"/>
      <c r="B1069" s="13"/>
      <c r="C1069" s="13"/>
      <c r="D1069" s="14"/>
      <c r="E1069" s="15"/>
      <c r="F1069" s="16" t="n">
        <f aca="false">IF(C1069="",0,IF(COUNTIF(C$5:C1069,C1069)=1,1,0))</f>
        <v>0</v>
      </c>
      <c r="G1069" s="16" t="n">
        <f aca="false">SUM(F$5:F1069)</f>
        <v>8</v>
      </c>
      <c r="H1069" s="16" t="n">
        <f aca="false">IF(B1069="",0,IF(COUNTIF(B$5:B1069,B1069)=1,1,0))</f>
        <v>0</v>
      </c>
      <c r="I1069" s="16" t="n">
        <f aca="false">SUM(H$5:H1069)</f>
        <v>6</v>
      </c>
    </row>
    <row r="1070" customFormat="false" ht="15" hidden="false" customHeight="false" outlineLevel="0" collapsed="false">
      <c r="A1070" s="12"/>
      <c r="B1070" s="13"/>
      <c r="C1070" s="13"/>
      <c r="D1070" s="14"/>
      <c r="E1070" s="15"/>
      <c r="F1070" s="16" t="n">
        <f aca="false">IF(C1070="",0,IF(COUNTIF(C$5:C1070,C1070)=1,1,0))</f>
        <v>0</v>
      </c>
      <c r="G1070" s="16" t="n">
        <f aca="false">SUM(F$5:F1070)</f>
        <v>8</v>
      </c>
      <c r="H1070" s="16" t="n">
        <f aca="false">IF(B1070="",0,IF(COUNTIF(B$5:B1070,B1070)=1,1,0))</f>
        <v>0</v>
      </c>
      <c r="I1070" s="16" t="n">
        <f aca="false">SUM(H$5:H1070)</f>
        <v>6</v>
      </c>
    </row>
    <row r="1071" customFormat="false" ht="15" hidden="false" customHeight="false" outlineLevel="0" collapsed="false">
      <c r="A1071" s="12"/>
      <c r="B1071" s="13"/>
      <c r="C1071" s="13"/>
      <c r="D1071" s="14"/>
      <c r="E1071" s="15"/>
      <c r="F1071" s="16" t="n">
        <f aca="false">IF(C1071="",0,IF(COUNTIF(C$5:C1071,C1071)=1,1,0))</f>
        <v>0</v>
      </c>
      <c r="G1071" s="16" t="n">
        <f aca="false">SUM(F$5:F1071)</f>
        <v>8</v>
      </c>
      <c r="H1071" s="16" t="n">
        <f aca="false">IF(B1071="",0,IF(COUNTIF(B$5:B1071,B1071)=1,1,0))</f>
        <v>0</v>
      </c>
      <c r="I1071" s="16" t="n">
        <f aca="false">SUM(H$5:H1071)</f>
        <v>6</v>
      </c>
    </row>
    <row r="1072" customFormat="false" ht="15" hidden="false" customHeight="false" outlineLevel="0" collapsed="false">
      <c r="A1072" s="12"/>
      <c r="B1072" s="13"/>
      <c r="C1072" s="13"/>
      <c r="D1072" s="14"/>
      <c r="E1072" s="15"/>
      <c r="F1072" s="16" t="n">
        <f aca="false">IF(C1072="",0,IF(COUNTIF(C$5:C1072,C1072)=1,1,0))</f>
        <v>0</v>
      </c>
      <c r="G1072" s="16" t="n">
        <f aca="false">SUM(F$5:F1072)</f>
        <v>8</v>
      </c>
      <c r="H1072" s="16" t="n">
        <f aca="false">IF(B1072="",0,IF(COUNTIF(B$5:B1072,B1072)=1,1,0))</f>
        <v>0</v>
      </c>
      <c r="I1072" s="16" t="n">
        <f aca="false">SUM(H$5:H1072)</f>
        <v>6</v>
      </c>
    </row>
    <row r="1073" customFormat="false" ht="15" hidden="false" customHeight="false" outlineLevel="0" collapsed="false">
      <c r="A1073" s="12"/>
      <c r="B1073" s="13"/>
      <c r="C1073" s="13"/>
      <c r="D1073" s="14"/>
      <c r="E1073" s="15"/>
      <c r="F1073" s="16" t="n">
        <f aca="false">IF(C1073="",0,IF(COUNTIF(C$5:C1073,C1073)=1,1,0))</f>
        <v>0</v>
      </c>
      <c r="G1073" s="16" t="n">
        <f aca="false">SUM(F$5:F1073)</f>
        <v>8</v>
      </c>
      <c r="H1073" s="16" t="n">
        <f aca="false">IF(B1073="",0,IF(COUNTIF(B$5:B1073,B1073)=1,1,0))</f>
        <v>0</v>
      </c>
      <c r="I1073" s="16" t="n">
        <f aca="false">SUM(H$5:H1073)</f>
        <v>6</v>
      </c>
    </row>
    <row r="1074" customFormat="false" ht="15" hidden="false" customHeight="false" outlineLevel="0" collapsed="false">
      <c r="A1074" s="12"/>
      <c r="B1074" s="13"/>
      <c r="C1074" s="13"/>
      <c r="D1074" s="14"/>
      <c r="E1074" s="15"/>
      <c r="F1074" s="16" t="n">
        <f aca="false">IF(C1074="",0,IF(COUNTIF(C$5:C1074,C1074)=1,1,0))</f>
        <v>0</v>
      </c>
      <c r="G1074" s="16" t="n">
        <f aca="false">SUM(F$5:F1074)</f>
        <v>8</v>
      </c>
      <c r="H1074" s="16" t="n">
        <f aca="false">IF(B1074="",0,IF(COUNTIF(B$5:B1074,B1074)=1,1,0))</f>
        <v>0</v>
      </c>
      <c r="I1074" s="16" t="n">
        <f aca="false">SUM(H$5:H1074)</f>
        <v>6</v>
      </c>
    </row>
    <row r="1075" customFormat="false" ht="15" hidden="false" customHeight="false" outlineLevel="0" collapsed="false">
      <c r="A1075" s="12"/>
      <c r="B1075" s="13"/>
      <c r="C1075" s="13"/>
      <c r="D1075" s="14"/>
      <c r="E1075" s="15"/>
      <c r="F1075" s="16" t="n">
        <f aca="false">IF(C1075="",0,IF(COUNTIF(C$5:C1075,C1075)=1,1,0))</f>
        <v>0</v>
      </c>
      <c r="G1075" s="16" t="n">
        <f aca="false">SUM(F$5:F1075)</f>
        <v>8</v>
      </c>
      <c r="H1075" s="16" t="n">
        <f aca="false">IF(B1075="",0,IF(COUNTIF(B$5:B1075,B1075)=1,1,0))</f>
        <v>0</v>
      </c>
      <c r="I1075" s="16" t="n">
        <f aca="false">SUM(H$5:H1075)</f>
        <v>6</v>
      </c>
    </row>
    <row r="1076" customFormat="false" ht="15" hidden="false" customHeight="false" outlineLevel="0" collapsed="false">
      <c r="A1076" s="12"/>
      <c r="B1076" s="13"/>
      <c r="C1076" s="13"/>
      <c r="D1076" s="14"/>
      <c r="E1076" s="15"/>
      <c r="F1076" s="16" t="n">
        <f aca="false">IF(C1076="",0,IF(COUNTIF(C$5:C1076,C1076)=1,1,0))</f>
        <v>0</v>
      </c>
      <c r="G1076" s="16" t="n">
        <f aca="false">SUM(F$5:F1076)</f>
        <v>8</v>
      </c>
      <c r="H1076" s="16" t="n">
        <f aca="false">IF(B1076="",0,IF(COUNTIF(B$5:B1076,B1076)=1,1,0))</f>
        <v>0</v>
      </c>
      <c r="I1076" s="16" t="n">
        <f aca="false">SUM(H$5:H1076)</f>
        <v>6</v>
      </c>
    </row>
    <row r="1077" customFormat="false" ht="15" hidden="false" customHeight="false" outlineLevel="0" collapsed="false">
      <c r="A1077" s="12"/>
      <c r="B1077" s="13"/>
      <c r="C1077" s="13"/>
      <c r="D1077" s="14"/>
      <c r="E1077" s="15"/>
      <c r="F1077" s="16" t="n">
        <f aca="false">IF(C1077="",0,IF(COUNTIF(C$5:C1077,C1077)=1,1,0))</f>
        <v>0</v>
      </c>
      <c r="G1077" s="16" t="n">
        <f aca="false">SUM(F$5:F1077)</f>
        <v>8</v>
      </c>
      <c r="H1077" s="16" t="n">
        <f aca="false">IF(B1077="",0,IF(COUNTIF(B$5:B1077,B1077)=1,1,0))</f>
        <v>0</v>
      </c>
      <c r="I1077" s="16" t="n">
        <f aca="false">SUM(H$5:H1077)</f>
        <v>6</v>
      </c>
    </row>
    <row r="1078" customFormat="false" ht="15" hidden="false" customHeight="false" outlineLevel="0" collapsed="false">
      <c r="A1078" s="12"/>
      <c r="B1078" s="13"/>
      <c r="C1078" s="13"/>
      <c r="D1078" s="14"/>
      <c r="E1078" s="15"/>
      <c r="F1078" s="16" t="n">
        <f aca="false">IF(C1078="",0,IF(COUNTIF(C$5:C1078,C1078)=1,1,0))</f>
        <v>0</v>
      </c>
      <c r="G1078" s="16" t="n">
        <f aca="false">SUM(F$5:F1078)</f>
        <v>8</v>
      </c>
      <c r="H1078" s="16" t="n">
        <f aca="false">IF(B1078="",0,IF(COUNTIF(B$5:B1078,B1078)=1,1,0))</f>
        <v>0</v>
      </c>
      <c r="I1078" s="16" t="n">
        <f aca="false">SUM(H$5:H1078)</f>
        <v>6</v>
      </c>
    </row>
    <row r="1079" customFormat="false" ht="15" hidden="false" customHeight="false" outlineLevel="0" collapsed="false">
      <c r="A1079" s="12"/>
      <c r="B1079" s="13"/>
      <c r="C1079" s="13"/>
      <c r="D1079" s="14"/>
      <c r="E1079" s="15"/>
      <c r="F1079" s="16" t="n">
        <f aca="false">IF(C1079="",0,IF(COUNTIF(C$5:C1079,C1079)=1,1,0))</f>
        <v>0</v>
      </c>
      <c r="G1079" s="16" t="n">
        <f aca="false">SUM(F$5:F1079)</f>
        <v>8</v>
      </c>
      <c r="H1079" s="16" t="n">
        <f aca="false">IF(B1079="",0,IF(COUNTIF(B$5:B1079,B1079)=1,1,0))</f>
        <v>0</v>
      </c>
      <c r="I1079" s="16" t="n">
        <f aca="false">SUM(H$5:H1079)</f>
        <v>6</v>
      </c>
    </row>
    <row r="1080" customFormat="false" ht="15" hidden="false" customHeight="false" outlineLevel="0" collapsed="false">
      <c r="A1080" s="12"/>
      <c r="B1080" s="13"/>
      <c r="C1080" s="13"/>
      <c r="D1080" s="14"/>
      <c r="E1080" s="15"/>
      <c r="F1080" s="16" t="n">
        <f aca="false">IF(C1080="",0,IF(COUNTIF(C$5:C1080,C1080)=1,1,0))</f>
        <v>0</v>
      </c>
      <c r="G1080" s="16" t="n">
        <f aca="false">SUM(F$5:F1080)</f>
        <v>8</v>
      </c>
      <c r="H1080" s="16" t="n">
        <f aca="false">IF(B1080="",0,IF(COUNTIF(B$5:B1080,B1080)=1,1,0))</f>
        <v>0</v>
      </c>
      <c r="I1080" s="16" t="n">
        <f aca="false">SUM(H$5:H1080)</f>
        <v>6</v>
      </c>
    </row>
    <row r="1081" customFormat="false" ht="15" hidden="false" customHeight="false" outlineLevel="0" collapsed="false">
      <c r="A1081" s="12"/>
      <c r="B1081" s="13"/>
      <c r="C1081" s="13"/>
      <c r="D1081" s="14"/>
      <c r="E1081" s="15"/>
      <c r="F1081" s="16" t="n">
        <f aca="false">IF(C1081="",0,IF(COUNTIF(C$5:C1081,C1081)=1,1,0))</f>
        <v>0</v>
      </c>
      <c r="G1081" s="16" t="n">
        <f aca="false">SUM(F$5:F1081)</f>
        <v>8</v>
      </c>
      <c r="H1081" s="16" t="n">
        <f aca="false">IF(B1081="",0,IF(COUNTIF(B$5:B1081,B1081)=1,1,0))</f>
        <v>0</v>
      </c>
      <c r="I1081" s="16" t="n">
        <f aca="false">SUM(H$5:H1081)</f>
        <v>6</v>
      </c>
    </row>
    <row r="1082" customFormat="false" ht="15" hidden="false" customHeight="false" outlineLevel="0" collapsed="false">
      <c r="A1082" s="12"/>
      <c r="B1082" s="13"/>
      <c r="C1082" s="13"/>
      <c r="D1082" s="14"/>
      <c r="E1082" s="15"/>
      <c r="F1082" s="16" t="n">
        <f aca="false">IF(C1082="",0,IF(COUNTIF(C$5:C1082,C1082)=1,1,0))</f>
        <v>0</v>
      </c>
      <c r="G1082" s="16" t="n">
        <f aca="false">SUM(F$5:F1082)</f>
        <v>8</v>
      </c>
      <c r="H1082" s="16" t="n">
        <f aca="false">IF(B1082="",0,IF(COUNTIF(B$5:B1082,B1082)=1,1,0))</f>
        <v>0</v>
      </c>
      <c r="I1082" s="16" t="n">
        <f aca="false">SUM(H$5:H1082)</f>
        <v>6</v>
      </c>
    </row>
    <row r="1083" customFormat="false" ht="15" hidden="false" customHeight="false" outlineLevel="0" collapsed="false">
      <c r="A1083" s="12"/>
      <c r="B1083" s="13"/>
      <c r="C1083" s="13"/>
      <c r="D1083" s="14"/>
      <c r="E1083" s="15"/>
      <c r="F1083" s="16" t="n">
        <f aca="false">IF(C1083="",0,IF(COUNTIF(C$5:C1083,C1083)=1,1,0))</f>
        <v>0</v>
      </c>
      <c r="G1083" s="16" t="n">
        <f aca="false">SUM(F$5:F1083)</f>
        <v>8</v>
      </c>
      <c r="H1083" s="16" t="n">
        <f aca="false">IF(B1083="",0,IF(COUNTIF(B$5:B1083,B1083)=1,1,0))</f>
        <v>0</v>
      </c>
      <c r="I1083" s="16" t="n">
        <f aca="false">SUM(H$5:H1083)</f>
        <v>6</v>
      </c>
    </row>
    <row r="1084" customFormat="false" ht="15" hidden="false" customHeight="false" outlineLevel="0" collapsed="false">
      <c r="A1084" s="12"/>
      <c r="B1084" s="13"/>
      <c r="C1084" s="13"/>
      <c r="D1084" s="14"/>
      <c r="E1084" s="15"/>
      <c r="F1084" s="16" t="n">
        <f aca="false">IF(C1084="",0,IF(COUNTIF(C$5:C1084,C1084)=1,1,0))</f>
        <v>0</v>
      </c>
      <c r="G1084" s="16" t="n">
        <f aca="false">SUM(F$5:F1084)</f>
        <v>8</v>
      </c>
      <c r="H1084" s="16" t="n">
        <f aca="false">IF(B1084="",0,IF(COUNTIF(B$5:B1084,B1084)=1,1,0))</f>
        <v>0</v>
      </c>
      <c r="I1084" s="16" t="n">
        <f aca="false">SUM(H$5:H1084)</f>
        <v>6</v>
      </c>
    </row>
    <row r="1085" customFormat="false" ht="15" hidden="false" customHeight="false" outlineLevel="0" collapsed="false">
      <c r="A1085" s="12"/>
      <c r="B1085" s="13"/>
      <c r="C1085" s="13"/>
      <c r="D1085" s="14"/>
      <c r="E1085" s="15"/>
      <c r="F1085" s="16" t="n">
        <f aca="false">IF(C1085="",0,IF(COUNTIF(C$5:C1085,C1085)=1,1,0))</f>
        <v>0</v>
      </c>
      <c r="G1085" s="16" t="n">
        <f aca="false">SUM(F$5:F1085)</f>
        <v>8</v>
      </c>
      <c r="H1085" s="16" t="n">
        <f aca="false">IF(B1085="",0,IF(COUNTIF(B$5:B1085,B1085)=1,1,0))</f>
        <v>0</v>
      </c>
      <c r="I1085" s="16" t="n">
        <f aca="false">SUM(H$5:H1085)</f>
        <v>6</v>
      </c>
    </row>
    <row r="1086" customFormat="false" ht="15" hidden="false" customHeight="false" outlineLevel="0" collapsed="false">
      <c r="A1086" s="12"/>
      <c r="B1086" s="13"/>
      <c r="C1086" s="13"/>
      <c r="D1086" s="14"/>
      <c r="E1086" s="15"/>
      <c r="F1086" s="16" t="n">
        <f aca="false">IF(C1086="",0,IF(COUNTIF(C$5:C1086,C1086)=1,1,0))</f>
        <v>0</v>
      </c>
      <c r="G1086" s="16" t="n">
        <f aca="false">SUM(F$5:F1086)</f>
        <v>8</v>
      </c>
      <c r="H1086" s="16" t="n">
        <f aca="false">IF(B1086="",0,IF(COUNTIF(B$5:B1086,B1086)=1,1,0))</f>
        <v>0</v>
      </c>
      <c r="I1086" s="16" t="n">
        <f aca="false">SUM(H$5:H1086)</f>
        <v>6</v>
      </c>
    </row>
    <row r="1087" customFormat="false" ht="15" hidden="false" customHeight="false" outlineLevel="0" collapsed="false">
      <c r="A1087" s="12"/>
      <c r="B1087" s="13"/>
      <c r="C1087" s="13"/>
      <c r="D1087" s="14"/>
      <c r="E1087" s="15"/>
      <c r="F1087" s="16" t="n">
        <f aca="false">IF(C1087="",0,IF(COUNTIF(C$5:C1087,C1087)=1,1,0))</f>
        <v>0</v>
      </c>
      <c r="G1087" s="16" t="n">
        <f aca="false">SUM(F$5:F1087)</f>
        <v>8</v>
      </c>
      <c r="H1087" s="16" t="n">
        <f aca="false">IF(B1087="",0,IF(COUNTIF(B$5:B1087,B1087)=1,1,0))</f>
        <v>0</v>
      </c>
      <c r="I1087" s="16" t="n">
        <f aca="false">SUM(H$5:H1087)</f>
        <v>6</v>
      </c>
    </row>
    <row r="1088" customFormat="false" ht="15" hidden="false" customHeight="false" outlineLevel="0" collapsed="false">
      <c r="A1088" s="12"/>
      <c r="B1088" s="13"/>
      <c r="C1088" s="13"/>
      <c r="D1088" s="14"/>
      <c r="E1088" s="15"/>
      <c r="F1088" s="16" t="n">
        <f aca="false">IF(C1088="",0,IF(COUNTIF(C$5:C1088,C1088)=1,1,0))</f>
        <v>0</v>
      </c>
      <c r="G1088" s="16" t="n">
        <f aca="false">SUM(F$5:F1088)</f>
        <v>8</v>
      </c>
      <c r="H1088" s="16" t="n">
        <f aca="false">IF(B1088="",0,IF(COUNTIF(B$5:B1088,B1088)=1,1,0))</f>
        <v>0</v>
      </c>
      <c r="I1088" s="16" t="n">
        <f aca="false">SUM(H$5:H1088)</f>
        <v>6</v>
      </c>
    </row>
    <row r="1089" customFormat="false" ht="15" hidden="false" customHeight="false" outlineLevel="0" collapsed="false">
      <c r="A1089" s="12"/>
      <c r="B1089" s="13"/>
      <c r="C1089" s="13"/>
      <c r="D1089" s="14"/>
      <c r="E1089" s="15"/>
      <c r="F1089" s="16" t="n">
        <f aca="false">IF(C1089="",0,IF(COUNTIF(C$5:C1089,C1089)=1,1,0))</f>
        <v>0</v>
      </c>
      <c r="G1089" s="16" t="n">
        <f aca="false">SUM(F$5:F1089)</f>
        <v>8</v>
      </c>
      <c r="H1089" s="16" t="n">
        <f aca="false">IF(B1089="",0,IF(COUNTIF(B$5:B1089,B1089)=1,1,0))</f>
        <v>0</v>
      </c>
      <c r="I1089" s="16" t="n">
        <f aca="false">SUM(H$5:H1089)</f>
        <v>6</v>
      </c>
    </row>
    <row r="1090" customFormat="false" ht="15" hidden="false" customHeight="false" outlineLevel="0" collapsed="false">
      <c r="A1090" s="12"/>
      <c r="B1090" s="13"/>
      <c r="C1090" s="13"/>
      <c r="D1090" s="14"/>
      <c r="E1090" s="15"/>
      <c r="F1090" s="16" t="n">
        <f aca="false">IF(C1090="",0,IF(COUNTIF(C$5:C1090,C1090)=1,1,0))</f>
        <v>0</v>
      </c>
      <c r="G1090" s="16" t="n">
        <f aca="false">SUM(F$5:F1090)</f>
        <v>8</v>
      </c>
      <c r="H1090" s="16" t="n">
        <f aca="false">IF(B1090="",0,IF(COUNTIF(B$5:B1090,B1090)=1,1,0))</f>
        <v>0</v>
      </c>
      <c r="I1090" s="16" t="n">
        <f aca="false">SUM(H$5:H1090)</f>
        <v>6</v>
      </c>
    </row>
    <row r="1091" customFormat="false" ht="15" hidden="false" customHeight="false" outlineLevel="0" collapsed="false">
      <c r="A1091" s="12"/>
      <c r="B1091" s="13"/>
      <c r="C1091" s="13"/>
      <c r="D1091" s="14"/>
      <c r="E1091" s="15"/>
      <c r="F1091" s="16" t="n">
        <f aca="false">IF(C1091="",0,IF(COUNTIF(C$5:C1091,C1091)=1,1,0))</f>
        <v>0</v>
      </c>
      <c r="G1091" s="16" t="n">
        <f aca="false">SUM(F$5:F1091)</f>
        <v>8</v>
      </c>
      <c r="H1091" s="16" t="n">
        <f aca="false">IF(B1091="",0,IF(COUNTIF(B$5:B1091,B1091)=1,1,0))</f>
        <v>0</v>
      </c>
      <c r="I1091" s="16" t="n">
        <f aca="false">SUM(H$5:H1091)</f>
        <v>6</v>
      </c>
    </row>
    <row r="1092" customFormat="false" ht="15" hidden="false" customHeight="false" outlineLevel="0" collapsed="false">
      <c r="A1092" s="12"/>
      <c r="B1092" s="13"/>
      <c r="C1092" s="13"/>
      <c r="D1092" s="14"/>
      <c r="E1092" s="15"/>
      <c r="F1092" s="16" t="n">
        <f aca="false">IF(C1092="",0,IF(COUNTIF(C$5:C1092,C1092)=1,1,0))</f>
        <v>0</v>
      </c>
      <c r="G1092" s="16" t="n">
        <f aca="false">SUM(F$5:F1092)</f>
        <v>8</v>
      </c>
      <c r="H1092" s="16" t="n">
        <f aca="false">IF(B1092="",0,IF(COUNTIF(B$5:B1092,B1092)=1,1,0))</f>
        <v>0</v>
      </c>
      <c r="I1092" s="16" t="n">
        <f aca="false">SUM(H$5:H1092)</f>
        <v>6</v>
      </c>
    </row>
    <row r="1093" customFormat="false" ht="15" hidden="false" customHeight="false" outlineLevel="0" collapsed="false">
      <c r="A1093" s="12"/>
      <c r="B1093" s="13"/>
      <c r="C1093" s="13"/>
      <c r="D1093" s="14"/>
      <c r="E1093" s="15"/>
      <c r="F1093" s="16" t="n">
        <f aca="false">IF(C1093="",0,IF(COUNTIF(C$5:C1093,C1093)=1,1,0))</f>
        <v>0</v>
      </c>
      <c r="G1093" s="16" t="n">
        <f aca="false">SUM(F$5:F1093)</f>
        <v>8</v>
      </c>
      <c r="H1093" s="16" t="n">
        <f aca="false">IF(B1093="",0,IF(COUNTIF(B$5:B1093,B1093)=1,1,0))</f>
        <v>0</v>
      </c>
      <c r="I1093" s="16" t="n">
        <f aca="false">SUM(H$5:H1093)</f>
        <v>6</v>
      </c>
    </row>
    <row r="1094" customFormat="false" ht="15" hidden="false" customHeight="false" outlineLevel="0" collapsed="false">
      <c r="A1094" s="12"/>
      <c r="B1094" s="13"/>
      <c r="C1094" s="13"/>
      <c r="D1094" s="14"/>
      <c r="E1094" s="15"/>
      <c r="F1094" s="16" t="n">
        <f aca="false">IF(C1094="",0,IF(COUNTIF(C$5:C1094,C1094)=1,1,0))</f>
        <v>0</v>
      </c>
      <c r="G1094" s="16" t="n">
        <f aca="false">SUM(F$5:F1094)</f>
        <v>8</v>
      </c>
      <c r="H1094" s="16" t="n">
        <f aca="false">IF(B1094="",0,IF(COUNTIF(B$5:B1094,B1094)=1,1,0))</f>
        <v>0</v>
      </c>
      <c r="I1094" s="16" t="n">
        <f aca="false">SUM(H$5:H1094)</f>
        <v>6</v>
      </c>
    </row>
    <row r="1095" customFormat="false" ht="15" hidden="false" customHeight="false" outlineLevel="0" collapsed="false">
      <c r="A1095" s="12"/>
      <c r="B1095" s="13"/>
      <c r="C1095" s="13"/>
      <c r="D1095" s="14"/>
      <c r="E1095" s="15"/>
      <c r="F1095" s="16" t="n">
        <f aca="false">IF(C1095="",0,IF(COUNTIF(C$5:C1095,C1095)=1,1,0))</f>
        <v>0</v>
      </c>
      <c r="G1095" s="16" t="n">
        <f aca="false">SUM(F$5:F1095)</f>
        <v>8</v>
      </c>
      <c r="H1095" s="16" t="n">
        <f aca="false">IF(B1095="",0,IF(COUNTIF(B$5:B1095,B1095)=1,1,0))</f>
        <v>0</v>
      </c>
      <c r="I1095" s="16" t="n">
        <f aca="false">SUM(H$5:H1095)</f>
        <v>6</v>
      </c>
    </row>
    <row r="1096" customFormat="false" ht="15" hidden="false" customHeight="false" outlineLevel="0" collapsed="false">
      <c r="A1096" s="12"/>
      <c r="B1096" s="13"/>
      <c r="C1096" s="13"/>
      <c r="D1096" s="14"/>
      <c r="E1096" s="15"/>
      <c r="F1096" s="16" t="n">
        <f aca="false">IF(C1096="",0,IF(COUNTIF(C$5:C1096,C1096)=1,1,0))</f>
        <v>0</v>
      </c>
      <c r="G1096" s="16" t="n">
        <f aca="false">SUM(F$5:F1096)</f>
        <v>8</v>
      </c>
      <c r="H1096" s="16" t="n">
        <f aca="false">IF(B1096="",0,IF(COUNTIF(B$5:B1096,B1096)=1,1,0))</f>
        <v>0</v>
      </c>
      <c r="I1096" s="16" t="n">
        <f aca="false">SUM(H$5:H1096)</f>
        <v>6</v>
      </c>
    </row>
    <row r="1097" customFormat="false" ht="15" hidden="false" customHeight="false" outlineLevel="0" collapsed="false">
      <c r="A1097" s="12"/>
      <c r="B1097" s="13"/>
      <c r="C1097" s="13"/>
      <c r="D1097" s="14"/>
      <c r="E1097" s="15"/>
      <c r="F1097" s="16" t="n">
        <f aca="false">IF(C1097="",0,IF(COUNTIF(C$5:C1097,C1097)=1,1,0))</f>
        <v>0</v>
      </c>
      <c r="G1097" s="16" t="n">
        <f aca="false">SUM(F$5:F1097)</f>
        <v>8</v>
      </c>
      <c r="H1097" s="16" t="n">
        <f aca="false">IF(B1097="",0,IF(COUNTIF(B$5:B1097,B1097)=1,1,0))</f>
        <v>0</v>
      </c>
      <c r="I1097" s="16" t="n">
        <f aca="false">SUM(H$5:H1097)</f>
        <v>6</v>
      </c>
    </row>
    <row r="1098" customFormat="false" ht="15" hidden="false" customHeight="false" outlineLevel="0" collapsed="false">
      <c r="A1098" s="12"/>
      <c r="B1098" s="13"/>
      <c r="C1098" s="13"/>
      <c r="D1098" s="14"/>
      <c r="E1098" s="15"/>
      <c r="F1098" s="16" t="n">
        <f aca="false">IF(C1098="",0,IF(COUNTIF(C$5:C1098,C1098)=1,1,0))</f>
        <v>0</v>
      </c>
      <c r="G1098" s="16" t="n">
        <f aca="false">SUM(F$5:F1098)</f>
        <v>8</v>
      </c>
      <c r="H1098" s="16" t="n">
        <f aca="false">IF(B1098="",0,IF(COUNTIF(B$5:B1098,B1098)=1,1,0))</f>
        <v>0</v>
      </c>
      <c r="I1098" s="16" t="n">
        <f aca="false">SUM(H$5:H1098)</f>
        <v>6</v>
      </c>
    </row>
    <row r="1099" customFormat="false" ht="15" hidden="false" customHeight="false" outlineLevel="0" collapsed="false">
      <c r="A1099" s="12"/>
      <c r="B1099" s="13"/>
      <c r="C1099" s="13"/>
      <c r="D1099" s="14"/>
      <c r="E1099" s="15"/>
      <c r="F1099" s="16" t="n">
        <f aca="false">IF(C1099="",0,IF(COUNTIF(C$5:C1099,C1099)=1,1,0))</f>
        <v>0</v>
      </c>
      <c r="G1099" s="16" t="n">
        <f aca="false">SUM(F$5:F1099)</f>
        <v>8</v>
      </c>
      <c r="H1099" s="16" t="n">
        <f aca="false">IF(B1099="",0,IF(COUNTIF(B$5:B1099,B1099)=1,1,0))</f>
        <v>0</v>
      </c>
      <c r="I1099" s="16" t="n">
        <f aca="false">SUM(H$5:H1099)</f>
        <v>6</v>
      </c>
    </row>
    <row r="1100" customFormat="false" ht="15" hidden="false" customHeight="false" outlineLevel="0" collapsed="false">
      <c r="A1100" s="12"/>
      <c r="B1100" s="13"/>
      <c r="C1100" s="13"/>
      <c r="D1100" s="14"/>
      <c r="E1100" s="15"/>
      <c r="F1100" s="16" t="n">
        <f aca="false">IF(C1100="",0,IF(COUNTIF(C$5:C1100,C1100)=1,1,0))</f>
        <v>0</v>
      </c>
      <c r="G1100" s="16" t="n">
        <f aca="false">SUM(F$5:F1100)</f>
        <v>8</v>
      </c>
      <c r="H1100" s="16" t="n">
        <f aca="false">IF(B1100="",0,IF(COUNTIF(B$5:B1100,B1100)=1,1,0))</f>
        <v>0</v>
      </c>
      <c r="I1100" s="16" t="n">
        <f aca="false">SUM(H$5:H1100)</f>
        <v>6</v>
      </c>
    </row>
    <row r="1101" customFormat="false" ht="15" hidden="false" customHeight="false" outlineLevel="0" collapsed="false">
      <c r="A1101" s="12"/>
      <c r="B1101" s="13"/>
      <c r="C1101" s="13"/>
      <c r="D1101" s="14"/>
      <c r="E1101" s="15"/>
      <c r="F1101" s="16" t="n">
        <f aca="false">IF(C1101="",0,IF(COUNTIF(C$5:C1101,C1101)=1,1,0))</f>
        <v>0</v>
      </c>
      <c r="G1101" s="16" t="n">
        <f aca="false">SUM(F$5:F1101)</f>
        <v>8</v>
      </c>
      <c r="H1101" s="16" t="n">
        <f aca="false">IF(B1101="",0,IF(COUNTIF(B$5:B1101,B1101)=1,1,0))</f>
        <v>0</v>
      </c>
      <c r="I1101" s="16" t="n">
        <f aca="false">SUM(H$5:H1101)</f>
        <v>6</v>
      </c>
    </row>
    <row r="1102" customFormat="false" ht="15" hidden="false" customHeight="false" outlineLevel="0" collapsed="false">
      <c r="A1102" s="12"/>
      <c r="B1102" s="13"/>
      <c r="C1102" s="13"/>
      <c r="D1102" s="14"/>
      <c r="E1102" s="15"/>
      <c r="F1102" s="16" t="n">
        <f aca="false">IF(C1102="",0,IF(COUNTIF(C$5:C1102,C1102)=1,1,0))</f>
        <v>0</v>
      </c>
      <c r="G1102" s="16" t="n">
        <f aca="false">SUM(F$5:F1102)</f>
        <v>8</v>
      </c>
      <c r="H1102" s="16" t="n">
        <f aca="false">IF(B1102="",0,IF(COUNTIF(B$5:B1102,B1102)=1,1,0))</f>
        <v>0</v>
      </c>
      <c r="I1102" s="16" t="n">
        <f aca="false">SUM(H$5:H1102)</f>
        <v>6</v>
      </c>
    </row>
    <row r="1103" customFormat="false" ht="15" hidden="false" customHeight="false" outlineLevel="0" collapsed="false">
      <c r="A1103" s="12"/>
      <c r="B1103" s="13"/>
      <c r="C1103" s="13"/>
      <c r="D1103" s="14"/>
      <c r="E1103" s="15"/>
      <c r="F1103" s="16" t="n">
        <f aca="false">IF(C1103="",0,IF(COUNTIF(C$5:C1103,C1103)=1,1,0))</f>
        <v>0</v>
      </c>
      <c r="G1103" s="16" t="n">
        <f aca="false">SUM(F$5:F1103)</f>
        <v>8</v>
      </c>
      <c r="H1103" s="16" t="n">
        <f aca="false">IF(B1103="",0,IF(COUNTIF(B$5:B1103,B1103)=1,1,0))</f>
        <v>0</v>
      </c>
      <c r="I1103" s="16" t="n">
        <f aca="false">SUM(H$5:H1103)</f>
        <v>6</v>
      </c>
    </row>
    <row r="1104" customFormat="false" ht="15" hidden="false" customHeight="false" outlineLevel="0" collapsed="false">
      <c r="A1104" s="12"/>
      <c r="B1104" s="13"/>
      <c r="C1104" s="13"/>
      <c r="D1104" s="14"/>
      <c r="E1104" s="15"/>
      <c r="F1104" s="16" t="n">
        <f aca="false">IF(C1104="",0,IF(COUNTIF(C$5:C1104,C1104)=1,1,0))</f>
        <v>0</v>
      </c>
      <c r="G1104" s="16" t="n">
        <f aca="false">SUM(F$5:F1104)</f>
        <v>8</v>
      </c>
      <c r="H1104" s="16" t="n">
        <f aca="false">IF(B1104="",0,IF(COUNTIF(B$5:B1104,B1104)=1,1,0))</f>
        <v>0</v>
      </c>
      <c r="I1104" s="16" t="n">
        <f aca="false">SUM(H$5:H1104)</f>
        <v>6</v>
      </c>
    </row>
    <row r="1105" customFormat="false" ht="15" hidden="false" customHeight="false" outlineLevel="0" collapsed="false">
      <c r="A1105" s="12"/>
      <c r="B1105" s="13"/>
      <c r="C1105" s="13"/>
      <c r="D1105" s="14"/>
      <c r="E1105" s="15"/>
      <c r="F1105" s="16" t="n">
        <f aca="false">IF(C1105="",0,IF(COUNTIF(C$5:C1105,C1105)=1,1,0))</f>
        <v>0</v>
      </c>
      <c r="G1105" s="16" t="n">
        <f aca="false">SUM(F$5:F1105)</f>
        <v>8</v>
      </c>
      <c r="H1105" s="16" t="n">
        <f aca="false">IF(B1105="",0,IF(COUNTIF(B$5:B1105,B1105)=1,1,0))</f>
        <v>0</v>
      </c>
      <c r="I1105" s="16" t="n">
        <f aca="false">SUM(H$5:H1105)</f>
        <v>6</v>
      </c>
    </row>
    <row r="1106" customFormat="false" ht="15" hidden="false" customHeight="false" outlineLevel="0" collapsed="false">
      <c r="A1106" s="12"/>
      <c r="B1106" s="13"/>
      <c r="C1106" s="13"/>
      <c r="D1106" s="14"/>
      <c r="E1106" s="15"/>
      <c r="F1106" s="16" t="n">
        <f aca="false">IF(C1106="",0,IF(COUNTIF(C$5:C1106,C1106)=1,1,0))</f>
        <v>0</v>
      </c>
      <c r="G1106" s="16" t="n">
        <f aca="false">SUM(F$5:F1106)</f>
        <v>8</v>
      </c>
      <c r="H1106" s="16" t="n">
        <f aca="false">IF(B1106="",0,IF(COUNTIF(B$5:B1106,B1106)=1,1,0))</f>
        <v>0</v>
      </c>
      <c r="I1106" s="16" t="n">
        <f aca="false">SUM(H$5:H1106)</f>
        <v>6</v>
      </c>
    </row>
    <row r="1107" customFormat="false" ht="15" hidden="false" customHeight="false" outlineLevel="0" collapsed="false">
      <c r="A1107" s="12"/>
      <c r="B1107" s="13"/>
      <c r="C1107" s="13"/>
      <c r="D1107" s="14"/>
      <c r="E1107" s="15"/>
      <c r="F1107" s="16" t="n">
        <f aca="false">IF(C1107="",0,IF(COUNTIF(C$5:C1107,C1107)=1,1,0))</f>
        <v>0</v>
      </c>
      <c r="G1107" s="16" t="n">
        <f aca="false">SUM(F$5:F1107)</f>
        <v>8</v>
      </c>
      <c r="H1107" s="16" t="n">
        <f aca="false">IF(B1107="",0,IF(COUNTIF(B$5:B1107,B1107)=1,1,0))</f>
        <v>0</v>
      </c>
      <c r="I1107" s="16" t="n">
        <f aca="false">SUM(H$5:H1107)</f>
        <v>6</v>
      </c>
    </row>
    <row r="1108" customFormat="false" ht="15" hidden="false" customHeight="false" outlineLevel="0" collapsed="false">
      <c r="A1108" s="12"/>
      <c r="B1108" s="13"/>
      <c r="C1108" s="13"/>
      <c r="D1108" s="14"/>
      <c r="E1108" s="15"/>
      <c r="F1108" s="16" t="n">
        <f aca="false">IF(C1108="",0,IF(COUNTIF(C$5:C1108,C1108)=1,1,0))</f>
        <v>0</v>
      </c>
      <c r="G1108" s="16" t="n">
        <f aca="false">SUM(F$5:F1108)</f>
        <v>8</v>
      </c>
      <c r="H1108" s="16" t="n">
        <f aca="false">IF(B1108="",0,IF(COUNTIF(B$5:B1108,B1108)=1,1,0))</f>
        <v>0</v>
      </c>
      <c r="I1108" s="16" t="n">
        <f aca="false">SUM(H$5:H1108)</f>
        <v>6</v>
      </c>
    </row>
    <row r="1109" customFormat="false" ht="15" hidden="false" customHeight="false" outlineLevel="0" collapsed="false">
      <c r="A1109" s="12"/>
      <c r="B1109" s="13"/>
      <c r="C1109" s="13"/>
      <c r="D1109" s="14"/>
      <c r="E1109" s="15"/>
      <c r="F1109" s="16" t="n">
        <f aca="false">IF(C1109="",0,IF(COUNTIF(C$5:C1109,C1109)=1,1,0))</f>
        <v>0</v>
      </c>
      <c r="G1109" s="16" t="n">
        <f aca="false">SUM(F$5:F1109)</f>
        <v>8</v>
      </c>
      <c r="H1109" s="16" t="n">
        <f aca="false">IF(B1109="",0,IF(COUNTIF(B$5:B1109,B1109)=1,1,0))</f>
        <v>0</v>
      </c>
      <c r="I1109" s="16" t="n">
        <f aca="false">SUM(H$5:H1109)</f>
        <v>6</v>
      </c>
    </row>
    <row r="1110" customFormat="false" ht="15" hidden="false" customHeight="false" outlineLevel="0" collapsed="false">
      <c r="A1110" s="12"/>
      <c r="B1110" s="13"/>
      <c r="C1110" s="13"/>
      <c r="D1110" s="14"/>
      <c r="E1110" s="15"/>
      <c r="F1110" s="16" t="n">
        <f aca="false">IF(C1110="",0,IF(COUNTIF(C$5:C1110,C1110)=1,1,0))</f>
        <v>0</v>
      </c>
      <c r="G1110" s="16" t="n">
        <f aca="false">SUM(F$5:F1110)</f>
        <v>8</v>
      </c>
      <c r="H1110" s="16" t="n">
        <f aca="false">IF(B1110="",0,IF(COUNTIF(B$5:B1110,B1110)=1,1,0))</f>
        <v>0</v>
      </c>
      <c r="I1110" s="16" t="n">
        <f aca="false">SUM(H$5:H1110)</f>
        <v>6</v>
      </c>
    </row>
    <row r="1111" customFormat="false" ht="15" hidden="false" customHeight="false" outlineLevel="0" collapsed="false">
      <c r="A1111" s="12"/>
      <c r="B1111" s="13"/>
      <c r="C1111" s="13"/>
      <c r="D1111" s="14"/>
      <c r="E1111" s="15"/>
      <c r="F1111" s="16" t="n">
        <f aca="false">IF(C1111="",0,IF(COUNTIF(C$5:C1111,C1111)=1,1,0))</f>
        <v>0</v>
      </c>
      <c r="G1111" s="16" t="n">
        <f aca="false">SUM(F$5:F1111)</f>
        <v>8</v>
      </c>
      <c r="H1111" s="16" t="n">
        <f aca="false">IF(B1111="",0,IF(COUNTIF(B$5:B1111,B1111)=1,1,0))</f>
        <v>0</v>
      </c>
      <c r="I1111" s="16" t="n">
        <f aca="false">SUM(H$5:H1111)</f>
        <v>6</v>
      </c>
    </row>
    <row r="1112" customFormat="false" ht="15" hidden="false" customHeight="false" outlineLevel="0" collapsed="false">
      <c r="A1112" s="12"/>
      <c r="B1112" s="13"/>
      <c r="C1112" s="13"/>
      <c r="D1112" s="14"/>
      <c r="E1112" s="15"/>
      <c r="F1112" s="16" t="n">
        <f aca="false">IF(C1112="",0,IF(COUNTIF(C$5:C1112,C1112)=1,1,0))</f>
        <v>0</v>
      </c>
      <c r="G1112" s="16" t="n">
        <f aca="false">SUM(F$5:F1112)</f>
        <v>8</v>
      </c>
      <c r="H1112" s="16" t="n">
        <f aca="false">IF(B1112="",0,IF(COUNTIF(B$5:B1112,B1112)=1,1,0))</f>
        <v>0</v>
      </c>
      <c r="I1112" s="16" t="n">
        <f aca="false">SUM(H$5:H1112)</f>
        <v>6</v>
      </c>
    </row>
    <row r="1113" customFormat="false" ht="15" hidden="false" customHeight="false" outlineLevel="0" collapsed="false">
      <c r="A1113" s="12"/>
      <c r="B1113" s="13"/>
      <c r="C1113" s="13"/>
      <c r="D1113" s="14"/>
      <c r="E1113" s="15"/>
      <c r="F1113" s="16" t="n">
        <f aca="false">IF(C1113="",0,IF(COUNTIF(C$5:C1113,C1113)=1,1,0))</f>
        <v>0</v>
      </c>
      <c r="G1113" s="16" t="n">
        <f aca="false">SUM(F$5:F1113)</f>
        <v>8</v>
      </c>
      <c r="H1113" s="16" t="n">
        <f aca="false">IF(B1113="",0,IF(COUNTIF(B$5:B1113,B1113)=1,1,0))</f>
        <v>0</v>
      </c>
      <c r="I1113" s="16" t="n">
        <f aca="false">SUM(H$5:H1113)</f>
        <v>6</v>
      </c>
    </row>
    <row r="1114" customFormat="false" ht="15" hidden="false" customHeight="false" outlineLevel="0" collapsed="false">
      <c r="A1114" s="12"/>
      <c r="B1114" s="13"/>
      <c r="C1114" s="13"/>
      <c r="D1114" s="14"/>
      <c r="E1114" s="15"/>
      <c r="F1114" s="16" t="n">
        <f aca="false">IF(C1114="",0,IF(COUNTIF(C$5:C1114,C1114)=1,1,0))</f>
        <v>0</v>
      </c>
      <c r="G1114" s="16" t="n">
        <f aca="false">SUM(F$5:F1114)</f>
        <v>8</v>
      </c>
      <c r="H1114" s="16" t="n">
        <f aca="false">IF(B1114="",0,IF(COUNTIF(B$5:B1114,B1114)=1,1,0))</f>
        <v>0</v>
      </c>
      <c r="I1114" s="16" t="n">
        <f aca="false">SUM(H$5:H1114)</f>
        <v>6</v>
      </c>
    </row>
    <row r="1115" customFormat="false" ht="15" hidden="false" customHeight="false" outlineLevel="0" collapsed="false">
      <c r="A1115" s="12"/>
      <c r="B1115" s="13"/>
      <c r="C1115" s="13"/>
      <c r="D1115" s="14"/>
      <c r="E1115" s="15"/>
      <c r="F1115" s="16" t="n">
        <f aca="false">IF(C1115="",0,IF(COUNTIF(C$5:C1115,C1115)=1,1,0))</f>
        <v>0</v>
      </c>
      <c r="G1115" s="16" t="n">
        <f aca="false">SUM(F$5:F1115)</f>
        <v>8</v>
      </c>
      <c r="H1115" s="16" t="n">
        <f aca="false">IF(B1115="",0,IF(COUNTIF(B$5:B1115,B1115)=1,1,0))</f>
        <v>0</v>
      </c>
      <c r="I1115" s="16" t="n">
        <f aca="false">SUM(H$5:H1115)</f>
        <v>6</v>
      </c>
    </row>
    <row r="1116" customFormat="false" ht="15" hidden="false" customHeight="false" outlineLevel="0" collapsed="false">
      <c r="A1116" s="12"/>
      <c r="B1116" s="13"/>
      <c r="C1116" s="13"/>
      <c r="D1116" s="14"/>
      <c r="E1116" s="15"/>
      <c r="F1116" s="16" t="n">
        <f aca="false">IF(C1116="",0,IF(COUNTIF(C$5:C1116,C1116)=1,1,0))</f>
        <v>0</v>
      </c>
      <c r="G1116" s="16" t="n">
        <f aca="false">SUM(F$5:F1116)</f>
        <v>8</v>
      </c>
      <c r="H1116" s="16" t="n">
        <f aca="false">IF(B1116="",0,IF(COUNTIF(B$5:B1116,B1116)=1,1,0))</f>
        <v>0</v>
      </c>
      <c r="I1116" s="16" t="n">
        <f aca="false">SUM(H$5:H1116)</f>
        <v>6</v>
      </c>
    </row>
    <row r="1117" customFormat="false" ht="15" hidden="false" customHeight="false" outlineLevel="0" collapsed="false">
      <c r="A1117" s="12"/>
      <c r="B1117" s="13"/>
      <c r="C1117" s="13"/>
      <c r="D1117" s="14"/>
      <c r="E1117" s="15"/>
      <c r="F1117" s="16" t="n">
        <f aca="false">IF(C1117="",0,IF(COUNTIF(C$5:C1117,C1117)=1,1,0))</f>
        <v>0</v>
      </c>
      <c r="G1117" s="16" t="n">
        <f aca="false">SUM(F$5:F1117)</f>
        <v>8</v>
      </c>
      <c r="H1117" s="16" t="n">
        <f aca="false">IF(B1117="",0,IF(COUNTIF(B$5:B1117,B1117)=1,1,0))</f>
        <v>0</v>
      </c>
      <c r="I1117" s="16" t="n">
        <f aca="false">SUM(H$5:H1117)</f>
        <v>6</v>
      </c>
    </row>
    <row r="1118" customFormat="false" ht="15" hidden="false" customHeight="false" outlineLevel="0" collapsed="false">
      <c r="A1118" s="12"/>
      <c r="B1118" s="13"/>
      <c r="C1118" s="13"/>
      <c r="D1118" s="14"/>
      <c r="E1118" s="15"/>
      <c r="F1118" s="16" t="n">
        <f aca="false">IF(C1118="",0,IF(COUNTIF(C$5:C1118,C1118)=1,1,0))</f>
        <v>0</v>
      </c>
      <c r="G1118" s="16" t="n">
        <f aca="false">SUM(F$5:F1118)</f>
        <v>8</v>
      </c>
      <c r="H1118" s="16" t="n">
        <f aca="false">IF(B1118="",0,IF(COUNTIF(B$5:B1118,B1118)=1,1,0))</f>
        <v>0</v>
      </c>
      <c r="I1118" s="16" t="n">
        <f aca="false">SUM(H$5:H1118)</f>
        <v>6</v>
      </c>
    </row>
    <row r="1119" customFormat="false" ht="15" hidden="false" customHeight="false" outlineLevel="0" collapsed="false">
      <c r="A1119" s="12"/>
      <c r="B1119" s="13"/>
      <c r="C1119" s="13"/>
      <c r="D1119" s="14"/>
      <c r="E1119" s="15"/>
      <c r="F1119" s="16" t="n">
        <f aca="false">IF(C1119="",0,IF(COUNTIF(C$5:C1119,C1119)=1,1,0))</f>
        <v>0</v>
      </c>
      <c r="G1119" s="16" t="n">
        <f aca="false">SUM(F$5:F1119)</f>
        <v>8</v>
      </c>
      <c r="H1119" s="16" t="n">
        <f aca="false">IF(B1119="",0,IF(COUNTIF(B$5:B1119,B1119)=1,1,0))</f>
        <v>0</v>
      </c>
      <c r="I1119" s="16" t="n">
        <f aca="false">SUM(H$5:H1119)</f>
        <v>6</v>
      </c>
    </row>
    <row r="1120" customFormat="false" ht="15" hidden="false" customHeight="false" outlineLevel="0" collapsed="false">
      <c r="A1120" s="12"/>
      <c r="B1120" s="13"/>
      <c r="C1120" s="13"/>
      <c r="D1120" s="14"/>
      <c r="E1120" s="15"/>
      <c r="F1120" s="16" t="n">
        <f aca="false">IF(C1120="",0,IF(COUNTIF(C$5:C1120,C1120)=1,1,0))</f>
        <v>0</v>
      </c>
      <c r="G1120" s="16" t="n">
        <f aca="false">SUM(F$5:F1120)</f>
        <v>8</v>
      </c>
      <c r="H1120" s="16" t="n">
        <f aca="false">IF(B1120="",0,IF(COUNTIF(B$5:B1120,B1120)=1,1,0))</f>
        <v>0</v>
      </c>
      <c r="I1120" s="16" t="n">
        <f aca="false">SUM(H$5:H1120)</f>
        <v>6</v>
      </c>
    </row>
    <row r="1121" customFormat="false" ht="15" hidden="false" customHeight="false" outlineLevel="0" collapsed="false">
      <c r="A1121" s="12"/>
      <c r="B1121" s="13"/>
      <c r="C1121" s="13"/>
      <c r="D1121" s="14"/>
      <c r="E1121" s="15"/>
      <c r="F1121" s="16" t="n">
        <f aca="false">IF(C1121="",0,IF(COUNTIF(C$5:C1121,C1121)=1,1,0))</f>
        <v>0</v>
      </c>
      <c r="G1121" s="16" t="n">
        <f aca="false">SUM(F$5:F1121)</f>
        <v>8</v>
      </c>
      <c r="H1121" s="16" t="n">
        <f aca="false">IF(B1121="",0,IF(COUNTIF(B$5:B1121,B1121)=1,1,0))</f>
        <v>0</v>
      </c>
      <c r="I1121" s="16" t="n">
        <f aca="false">SUM(H$5:H1121)</f>
        <v>6</v>
      </c>
    </row>
    <row r="1122" customFormat="false" ht="15" hidden="false" customHeight="false" outlineLevel="0" collapsed="false">
      <c r="A1122" s="12"/>
      <c r="B1122" s="13"/>
      <c r="C1122" s="13"/>
      <c r="D1122" s="14"/>
      <c r="E1122" s="15"/>
      <c r="F1122" s="16" t="n">
        <f aca="false">IF(C1122="",0,IF(COUNTIF(C$5:C1122,C1122)=1,1,0))</f>
        <v>0</v>
      </c>
      <c r="G1122" s="16" t="n">
        <f aca="false">SUM(F$5:F1122)</f>
        <v>8</v>
      </c>
      <c r="H1122" s="16" t="n">
        <f aca="false">IF(B1122="",0,IF(COUNTIF(B$5:B1122,B1122)=1,1,0))</f>
        <v>0</v>
      </c>
      <c r="I1122" s="16" t="n">
        <f aca="false">SUM(H$5:H1122)</f>
        <v>6</v>
      </c>
    </row>
    <row r="1123" customFormat="false" ht="15" hidden="false" customHeight="false" outlineLevel="0" collapsed="false">
      <c r="A1123" s="12"/>
      <c r="B1123" s="13"/>
      <c r="C1123" s="13"/>
      <c r="D1123" s="14"/>
      <c r="E1123" s="15"/>
      <c r="F1123" s="16" t="n">
        <f aca="false">IF(C1123="",0,IF(COUNTIF(C$5:C1123,C1123)=1,1,0))</f>
        <v>0</v>
      </c>
      <c r="G1123" s="16" t="n">
        <f aca="false">SUM(F$5:F1123)</f>
        <v>8</v>
      </c>
      <c r="H1123" s="16" t="n">
        <f aca="false">IF(B1123="",0,IF(COUNTIF(B$5:B1123,B1123)=1,1,0))</f>
        <v>0</v>
      </c>
      <c r="I1123" s="16" t="n">
        <f aca="false">SUM(H$5:H1123)</f>
        <v>6</v>
      </c>
    </row>
    <row r="1124" customFormat="false" ht="15" hidden="false" customHeight="false" outlineLevel="0" collapsed="false">
      <c r="A1124" s="12"/>
      <c r="B1124" s="13"/>
      <c r="C1124" s="13"/>
      <c r="D1124" s="14"/>
      <c r="E1124" s="15"/>
      <c r="F1124" s="16" t="n">
        <f aca="false">IF(C1124="",0,IF(COUNTIF(C$5:C1124,C1124)=1,1,0))</f>
        <v>0</v>
      </c>
      <c r="G1124" s="16" t="n">
        <f aca="false">SUM(F$5:F1124)</f>
        <v>8</v>
      </c>
      <c r="H1124" s="16" t="n">
        <f aca="false">IF(B1124="",0,IF(COUNTIF(B$5:B1124,B1124)=1,1,0))</f>
        <v>0</v>
      </c>
      <c r="I1124" s="16" t="n">
        <f aca="false">SUM(H$5:H1124)</f>
        <v>6</v>
      </c>
    </row>
    <row r="1125" customFormat="false" ht="15" hidden="false" customHeight="false" outlineLevel="0" collapsed="false">
      <c r="A1125" s="12"/>
      <c r="B1125" s="13"/>
      <c r="C1125" s="13"/>
      <c r="D1125" s="14"/>
      <c r="E1125" s="15"/>
      <c r="F1125" s="16" t="n">
        <f aca="false">IF(C1125="",0,IF(COUNTIF(C$5:C1125,C1125)=1,1,0))</f>
        <v>0</v>
      </c>
      <c r="G1125" s="16" t="n">
        <f aca="false">SUM(F$5:F1125)</f>
        <v>8</v>
      </c>
      <c r="H1125" s="16" t="n">
        <f aca="false">IF(B1125="",0,IF(COUNTIF(B$5:B1125,B1125)=1,1,0))</f>
        <v>0</v>
      </c>
      <c r="I1125" s="16" t="n">
        <f aca="false">SUM(H$5:H1125)</f>
        <v>6</v>
      </c>
    </row>
    <row r="1126" customFormat="false" ht="15" hidden="false" customHeight="false" outlineLevel="0" collapsed="false">
      <c r="A1126" s="12"/>
      <c r="B1126" s="13"/>
      <c r="C1126" s="13"/>
      <c r="D1126" s="14"/>
      <c r="E1126" s="15"/>
      <c r="F1126" s="16" t="n">
        <f aca="false">IF(C1126="",0,IF(COUNTIF(C$5:C1126,C1126)=1,1,0))</f>
        <v>0</v>
      </c>
      <c r="G1126" s="16" t="n">
        <f aca="false">SUM(F$5:F1126)</f>
        <v>8</v>
      </c>
      <c r="H1126" s="16" t="n">
        <f aca="false">IF(B1126="",0,IF(COUNTIF(B$5:B1126,B1126)=1,1,0))</f>
        <v>0</v>
      </c>
      <c r="I1126" s="16" t="n">
        <f aca="false">SUM(H$5:H1126)</f>
        <v>6</v>
      </c>
    </row>
    <row r="1127" customFormat="false" ht="15" hidden="false" customHeight="false" outlineLevel="0" collapsed="false">
      <c r="A1127" s="12"/>
      <c r="B1127" s="13"/>
      <c r="C1127" s="13"/>
      <c r="D1127" s="14"/>
      <c r="E1127" s="15"/>
      <c r="F1127" s="16" t="n">
        <f aca="false">IF(C1127="",0,IF(COUNTIF(C$5:C1127,C1127)=1,1,0))</f>
        <v>0</v>
      </c>
      <c r="G1127" s="16" t="n">
        <f aca="false">SUM(F$5:F1127)</f>
        <v>8</v>
      </c>
      <c r="H1127" s="16" t="n">
        <f aca="false">IF(B1127="",0,IF(COUNTIF(B$5:B1127,B1127)=1,1,0))</f>
        <v>0</v>
      </c>
      <c r="I1127" s="16" t="n">
        <f aca="false">SUM(H$5:H1127)</f>
        <v>6</v>
      </c>
    </row>
    <row r="1128" customFormat="false" ht="15" hidden="false" customHeight="false" outlineLevel="0" collapsed="false">
      <c r="A1128" s="12"/>
      <c r="B1128" s="13"/>
      <c r="C1128" s="13"/>
      <c r="D1128" s="14"/>
      <c r="E1128" s="15"/>
      <c r="F1128" s="16" t="n">
        <f aca="false">IF(C1128="",0,IF(COUNTIF(C$5:C1128,C1128)=1,1,0))</f>
        <v>0</v>
      </c>
      <c r="G1128" s="16" t="n">
        <f aca="false">SUM(F$5:F1128)</f>
        <v>8</v>
      </c>
      <c r="H1128" s="16" t="n">
        <f aca="false">IF(B1128="",0,IF(COUNTIF(B$5:B1128,B1128)=1,1,0))</f>
        <v>0</v>
      </c>
      <c r="I1128" s="16" t="n">
        <f aca="false">SUM(H$5:H1128)</f>
        <v>6</v>
      </c>
    </row>
    <row r="1129" customFormat="false" ht="15" hidden="false" customHeight="false" outlineLevel="0" collapsed="false">
      <c r="A1129" s="12"/>
      <c r="B1129" s="13"/>
      <c r="C1129" s="13"/>
      <c r="D1129" s="14"/>
      <c r="E1129" s="15"/>
      <c r="F1129" s="16" t="n">
        <f aca="false">IF(C1129="",0,IF(COUNTIF(C$5:C1129,C1129)=1,1,0))</f>
        <v>0</v>
      </c>
      <c r="G1129" s="16" t="n">
        <f aca="false">SUM(F$5:F1129)</f>
        <v>8</v>
      </c>
      <c r="H1129" s="16" t="n">
        <f aca="false">IF(B1129="",0,IF(COUNTIF(B$5:B1129,B1129)=1,1,0))</f>
        <v>0</v>
      </c>
      <c r="I1129" s="16" t="n">
        <f aca="false">SUM(H$5:H1129)</f>
        <v>6</v>
      </c>
    </row>
    <row r="1130" customFormat="false" ht="15" hidden="false" customHeight="false" outlineLevel="0" collapsed="false">
      <c r="A1130" s="12"/>
      <c r="B1130" s="13"/>
      <c r="C1130" s="13"/>
      <c r="D1130" s="14"/>
      <c r="E1130" s="15"/>
      <c r="F1130" s="16" t="n">
        <f aca="false">IF(C1130="",0,IF(COUNTIF(C$5:C1130,C1130)=1,1,0))</f>
        <v>0</v>
      </c>
      <c r="G1130" s="16" t="n">
        <f aca="false">SUM(F$5:F1130)</f>
        <v>8</v>
      </c>
      <c r="H1130" s="16" t="n">
        <f aca="false">IF(B1130="",0,IF(COUNTIF(B$5:B1130,B1130)=1,1,0))</f>
        <v>0</v>
      </c>
      <c r="I1130" s="16" t="n">
        <f aca="false">SUM(H$5:H1130)</f>
        <v>6</v>
      </c>
    </row>
    <row r="1131" customFormat="false" ht="15" hidden="false" customHeight="false" outlineLevel="0" collapsed="false">
      <c r="A1131" s="12"/>
      <c r="B1131" s="13"/>
      <c r="C1131" s="13"/>
      <c r="D1131" s="14"/>
      <c r="E1131" s="15"/>
      <c r="F1131" s="16" t="n">
        <f aca="false">IF(C1131="",0,IF(COUNTIF(C$5:C1131,C1131)=1,1,0))</f>
        <v>0</v>
      </c>
      <c r="G1131" s="16" t="n">
        <f aca="false">SUM(F$5:F1131)</f>
        <v>8</v>
      </c>
      <c r="H1131" s="16" t="n">
        <f aca="false">IF(B1131="",0,IF(COUNTIF(B$5:B1131,B1131)=1,1,0))</f>
        <v>0</v>
      </c>
      <c r="I1131" s="16" t="n">
        <f aca="false">SUM(H$5:H1131)</f>
        <v>6</v>
      </c>
    </row>
    <row r="1132" customFormat="false" ht="15" hidden="false" customHeight="false" outlineLevel="0" collapsed="false">
      <c r="A1132" s="12"/>
      <c r="B1132" s="13"/>
      <c r="C1132" s="13"/>
      <c r="D1132" s="14"/>
      <c r="E1132" s="15"/>
      <c r="F1132" s="16" t="n">
        <f aca="false">IF(C1132="",0,IF(COUNTIF(C$5:C1132,C1132)=1,1,0))</f>
        <v>0</v>
      </c>
      <c r="G1132" s="16" t="n">
        <f aca="false">SUM(F$5:F1132)</f>
        <v>8</v>
      </c>
      <c r="H1132" s="16" t="n">
        <f aca="false">IF(B1132="",0,IF(COUNTIF(B$5:B1132,B1132)=1,1,0))</f>
        <v>0</v>
      </c>
      <c r="I1132" s="16" t="n">
        <f aca="false">SUM(H$5:H1132)</f>
        <v>6</v>
      </c>
    </row>
    <row r="1133" customFormat="false" ht="15" hidden="false" customHeight="false" outlineLevel="0" collapsed="false">
      <c r="A1133" s="12"/>
      <c r="B1133" s="13"/>
      <c r="C1133" s="13"/>
      <c r="D1133" s="14"/>
      <c r="E1133" s="15"/>
      <c r="F1133" s="16" t="n">
        <f aca="false">IF(C1133="",0,IF(COUNTIF(C$5:C1133,C1133)=1,1,0))</f>
        <v>0</v>
      </c>
      <c r="G1133" s="16" t="n">
        <f aca="false">SUM(F$5:F1133)</f>
        <v>8</v>
      </c>
      <c r="H1133" s="16" t="n">
        <f aca="false">IF(B1133="",0,IF(COUNTIF(B$5:B1133,B1133)=1,1,0))</f>
        <v>0</v>
      </c>
      <c r="I1133" s="16" t="n">
        <f aca="false">SUM(H$5:H1133)</f>
        <v>6</v>
      </c>
    </row>
    <row r="1134" customFormat="false" ht="15" hidden="false" customHeight="false" outlineLevel="0" collapsed="false">
      <c r="A1134" s="12"/>
      <c r="B1134" s="13"/>
      <c r="C1134" s="13"/>
      <c r="D1134" s="14"/>
      <c r="E1134" s="15"/>
      <c r="F1134" s="16" t="n">
        <f aca="false">IF(C1134="",0,IF(COUNTIF(C$5:C1134,C1134)=1,1,0))</f>
        <v>0</v>
      </c>
      <c r="G1134" s="16" t="n">
        <f aca="false">SUM(F$5:F1134)</f>
        <v>8</v>
      </c>
      <c r="H1134" s="16" t="n">
        <f aca="false">IF(B1134="",0,IF(COUNTIF(B$5:B1134,B1134)=1,1,0))</f>
        <v>0</v>
      </c>
      <c r="I1134" s="16" t="n">
        <f aca="false">SUM(H$5:H1134)</f>
        <v>6</v>
      </c>
    </row>
    <row r="1135" customFormat="false" ht="15" hidden="false" customHeight="false" outlineLevel="0" collapsed="false">
      <c r="A1135" s="12"/>
      <c r="B1135" s="13"/>
      <c r="C1135" s="13"/>
      <c r="D1135" s="14"/>
      <c r="E1135" s="15"/>
      <c r="F1135" s="16" t="n">
        <f aca="false">IF(C1135="",0,IF(COUNTIF(C$5:C1135,C1135)=1,1,0))</f>
        <v>0</v>
      </c>
      <c r="G1135" s="16" t="n">
        <f aca="false">SUM(F$5:F1135)</f>
        <v>8</v>
      </c>
      <c r="H1135" s="16" t="n">
        <f aca="false">IF(B1135="",0,IF(COUNTIF(B$5:B1135,B1135)=1,1,0))</f>
        <v>0</v>
      </c>
      <c r="I1135" s="16" t="n">
        <f aca="false">SUM(H$5:H1135)</f>
        <v>6</v>
      </c>
    </row>
    <row r="1136" customFormat="false" ht="15" hidden="false" customHeight="false" outlineLevel="0" collapsed="false">
      <c r="A1136" s="12"/>
      <c r="B1136" s="13"/>
      <c r="C1136" s="13"/>
      <c r="D1136" s="14"/>
      <c r="E1136" s="15"/>
      <c r="F1136" s="16" t="n">
        <f aca="false">IF(C1136="",0,IF(COUNTIF(C$5:C1136,C1136)=1,1,0))</f>
        <v>0</v>
      </c>
      <c r="G1136" s="16" t="n">
        <f aca="false">SUM(F$5:F1136)</f>
        <v>8</v>
      </c>
      <c r="H1136" s="16" t="n">
        <f aca="false">IF(B1136="",0,IF(COUNTIF(B$5:B1136,B1136)=1,1,0))</f>
        <v>0</v>
      </c>
      <c r="I1136" s="16" t="n">
        <f aca="false">SUM(H$5:H1136)</f>
        <v>6</v>
      </c>
    </row>
    <row r="1137" customFormat="false" ht="15" hidden="false" customHeight="false" outlineLevel="0" collapsed="false">
      <c r="A1137" s="12"/>
      <c r="B1137" s="13"/>
      <c r="C1137" s="13"/>
      <c r="D1137" s="14"/>
      <c r="E1137" s="15"/>
      <c r="F1137" s="16" t="n">
        <f aca="false">IF(C1137="",0,IF(COUNTIF(C$5:C1137,C1137)=1,1,0))</f>
        <v>0</v>
      </c>
      <c r="G1137" s="16" t="n">
        <f aca="false">SUM(F$5:F1137)</f>
        <v>8</v>
      </c>
      <c r="H1137" s="16" t="n">
        <f aca="false">IF(B1137="",0,IF(COUNTIF(B$5:B1137,B1137)=1,1,0))</f>
        <v>0</v>
      </c>
      <c r="I1137" s="16" t="n">
        <f aca="false">SUM(H$5:H1137)</f>
        <v>6</v>
      </c>
    </row>
    <row r="1138" customFormat="false" ht="15" hidden="false" customHeight="false" outlineLevel="0" collapsed="false">
      <c r="A1138" s="12"/>
      <c r="B1138" s="13"/>
      <c r="C1138" s="13"/>
      <c r="D1138" s="14"/>
      <c r="E1138" s="15"/>
      <c r="F1138" s="16" t="n">
        <f aca="false">IF(C1138="",0,IF(COUNTIF(C$5:C1138,C1138)=1,1,0))</f>
        <v>0</v>
      </c>
      <c r="G1138" s="16" t="n">
        <f aca="false">SUM(F$5:F1138)</f>
        <v>8</v>
      </c>
      <c r="H1138" s="16" t="n">
        <f aca="false">IF(B1138="",0,IF(COUNTIF(B$5:B1138,B1138)=1,1,0))</f>
        <v>0</v>
      </c>
      <c r="I1138" s="16" t="n">
        <f aca="false">SUM(H$5:H1138)</f>
        <v>6</v>
      </c>
    </row>
    <row r="1139" customFormat="false" ht="15" hidden="false" customHeight="false" outlineLevel="0" collapsed="false">
      <c r="A1139" s="12"/>
      <c r="B1139" s="13"/>
      <c r="C1139" s="13"/>
      <c r="D1139" s="14"/>
      <c r="E1139" s="15"/>
      <c r="F1139" s="16" t="n">
        <f aca="false">IF(C1139="",0,IF(COUNTIF(C$5:C1139,C1139)=1,1,0))</f>
        <v>0</v>
      </c>
      <c r="G1139" s="16" t="n">
        <f aca="false">SUM(F$5:F1139)</f>
        <v>8</v>
      </c>
      <c r="H1139" s="16" t="n">
        <f aca="false">IF(B1139="",0,IF(COUNTIF(B$5:B1139,B1139)=1,1,0))</f>
        <v>0</v>
      </c>
      <c r="I1139" s="16" t="n">
        <f aca="false">SUM(H$5:H1139)</f>
        <v>6</v>
      </c>
    </row>
    <row r="1140" customFormat="false" ht="15" hidden="false" customHeight="false" outlineLevel="0" collapsed="false">
      <c r="A1140" s="12"/>
      <c r="B1140" s="13"/>
      <c r="C1140" s="13"/>
      <c r="D1140" s="14"/>
      <c r="E1140" s="15"/>
      <c r="F1140" s="16" t="n">
        <f aca="false">IF(C1140="",0,IF(COUNTIF(C$5:C1140,C1140)=1,1,0))</f>
        <v>0</v>
      </c>
      <c r="G1140" s="16" t="n">
        <f aca="false">SUM(F$5:F1140)</f>
        <v>8</v>
      </c>
      <c r="H1140" s="16" t="n">
        <f aca="false">IF(B1140="",0,IF(COUNTIF(B$5:B1140,B1140)=1,1,0))</f>
        <v>0</v>
      </c>
      <c r="I1140" s="16" t="n">
        <f aca="false">SUM(H$5:H1140)</f>
        <v>6</v>
      </c>
    </row>
    <row r="1141" customFormat="false" ht="15" hidden="false" customHeight="false" outlineLevel="0" collapsed="false">
      <c r="A1141" s="12"/>
      <c r="B1141" s="13"/>
      <c r="C1141" s="13"/>
      <c r="D1141" s="14"/>
      <c r="E1141" s="15"/>
      <c r="F1141" s="16" t="n">
        <f aca="false">IF(C1141="",0,IF(COUNTIF(C$5:C1141,C1141)=1,1,0))</f>
        <v>0</v>
      </c>
      <c r="G1141" s="16" t="n">
        <f aca="false">SUM(F$5:F1141)</f>
        <v>8</v>
      </c>
      <c r="H1141" s="16" t="n">
        <f aca="false">IF(B1141="",0,IF(COUNTIF(B$5:B1141,B1141)=1,1,0))</f>
        <v>0</v>
      </c>
      <c r="I1141" s="16" t="n">
        <f aca="false">SUM(H$5:H1141)</f>
        <v>6</v>
      </c>
    </row>
    <row r="1142" customFormat="false" ht="15" hidden="false" customHeight="false" outlineLevel="0" collapsed="false">
      <c r="A1142" s="12"/>
      <c r="B1142" s="13"/>
      <c r="C1142" s="13"/>
      <c r="D1142" s="14"/>
      <c r="E1142" s="15"/>
      <c r="F1142" s="16" t="n">
        <f aca="false">IF(C1142="",0,IF(COUNTIF(C$5:C1142,C1142)=1,1,0))</f>
        <v>0</v>
      </c>
      <c r="G1142" s="16" t="n">
        <f aca="false">SUM(F$5:F1142)</f>
        <v>8</v>
      </c>
      <c r="H1142" s="16" t="n">
        <f aca="false">IF(B1142="",0,IF(COUNTIF(B$5:B1142,B1142)=1,1,0))</f>
        <v>0</v>
      </c>
      <c r="I1142" s="16" t="n">
        <f aca="false">SUM(H$5:H1142)</f>
        <v>6</v>
      </c>
    </row>
    <row r="1143" customFormat="false" ht="15" hidden="false" customHeight="false" outlineLevel="0" collapsed="false">
      <c r="A1143" s="12"/>
      <c r="B1143" s="13"/>
      <c r="C1143" s="13"/>
      <c r="D1143" s="14"/>
      <c r="E1143" s="15"/>
      <c r="F1143" s="16" t="n">
        <f aca="false">IF(C1143="",0,IF(COUNTIF(C$5:C1143,C1143)=1,1,0))</f>
        <v>0</v>
      </c>
      <c r="G1143" s="16" t="n">
        <f aca="false">SUM(F$5:F1143)</f>
        <v>8</v>
      </c>
      <c r="H1143" s="16" t="n">
        <f aca="false">IF(B1143="",0,IF(COUNTIF(B$5:B1143,B1143)=1,1,0))</f>
        <v>0</v>
      </c>
      <c r="I1143" s="16" t="n">
        <f aca="false">SUM(H$5:H1143)</f>
        <v>6</v>
      </c>
    </row>
    <row r="1144" customFormat="false" ht="15" hidden="false" customHeight="false" outlineLevel="0" collapsed="false">
      <c r="A1144" s="12"/>
      <c r="B1144" s="13"/>
      <c r="C1144" s="13"/>
      <c r="D1144" s="14"/>
      <c r="E1144" s="15"/>
      <c r="F1144" s="16" t="n">
        <f aca="false">IF(C1144="",0,IF(COUNTIF(C$5:C1144,C1144)=1,1,0))</f>
        <v>0</v>
      </c>
      <c r="G1144" s="16" t="n">
        <f aca="false">SUM(F$5:F1144)</f>
        <v>8</v>
      </c>
      <c r="H1144" s="16" t="n">
        <f aca="false">IF(B1144="",0,IF(COUNTIF(B$5:B1144,B1144)=1,1,0))</f>
        <v>0</v>
      </c>
      <c r="I1144" s="16" t="n">
        <f aca="false">SUM(H$5:H1144)</f>
        <v>6</v>
      </c>
    </row>
    <row r="1145" customFormat="false" ht="15" hidden="false" customHeight="false" outlineLevel="0" collapsed="false">
      <c r="A1145" s="12"/>
      <c r="B1145" s="13"/>
      <c r="C1145" s="13"/>
      <c r="D1145" s="14"/>
      <c r="E1145" s="15"/>
      <c r="F1145" s="16" t="n">
        <f aca="false">IF(C1145="",0,IF(COUNTIF(C$5:C1145,C1145)=1,1,0))</f>
        <v>0</v>
      </c>
      <c r="G1145" s="16" t="n">
        <f aca="false">SUM(F$5:F1145)</f>
        <v>8</v>
      </c>
      <c r="H1145" s="16" t="n">
        <f aca="false">IF(B1145="",0,IF(COUNTIF(B$5:B1145,B1145)=1,1,0))</f>
        <v>0</v>
      </c>
      <c r="I1145" s="16" t="n">
        <f aca="false">SUM(H$5:H1145)</f>
        <v>6</v>
      </c>
    </row>
    <row r="1146" customFormat="false" ht="15" hidden="false" customHeight="false" outlineLevel="0" collapsed="false">
      <c r="A1146" s="12"/>
      <c r="B1146" s="13"/>
      <c r="C1146" s="13"/>
      <c r="D1146" s="14"/>
      <c r="E1146" s="15"/>
      <c r="F1146" s="16" t="n">
        <f aca="false">IF(C1146="",0,IF(COUNTIF(C$5:C1146,C1146)=1,1,0))</f>
        <v>0</v>
      </c>
      <c r="G1146" s="16" t="n">
        <f aca="false">SUM(F$5:F1146)</f>
        <v>8</v>
      </c>
      <c r="H1146" s="16" t="n">
        <f aca="false">IF(B1146="",0,IF(COUNTIF(B$5:B1146,B1146)=1,1,0))</f>
        <v>0</v>
      </c>
      <c r="I1146" s="16" t="n">
        <f aca="false">SUM(H$5:H1146)</f>
        <v>6</v>
      </c>
    </row>
    <row r="1147" customFormat="false" ht="15" hidden="false" customHeight="false" outlineLevel="0" collapsed="false">
      <c r="A1147" s="12"/>
      <c r="B1147" s="13"/>
      <c r="C1147" s="13"/>
      <c r="D1147" s="14"/>
      <c r="E1147" s="15"/>
      <c r="F1147" s="16" t="n">
        <f aca="false">IF(C1147="",0,IF(COUNTIF(C$5:C1147,C1147)=1,1,0))</f>
        <v>0</v>
      </c>
      <c r="G1147" s="16" t="n">
        <f aca="false">SUM(F$5:F1147)</f>
        <v>8</v>
      </c>
      <c r="H1147" s="16" t="n">
        <f aca="false">IF(B1147="",0,IF(COUNTIF(B$5:B1147,B1147)=1,1,0))</f>
        <v>0</v>
      </c>
      <c r="I1147" s="16" t="n">
        <f aca="false">SUM(H$5:H1147)</f>
        <v>6</v>
      </c>
    </row>
    <row r="1148" customFormat="false" ht="15" hidden="false" customHeight="false" outlineLevel="0" collapsed="false">
      <c r="A1148" s="12"/>
      <c r="B1148" s="13"/>
      <c r="C1148" s="13"/>
      <c r="D1148" s="14"/>
      <c r="E1148" s="15"/>
      <c r="F1148" s="16" t="n">
        <f aca="false">IF(C1148="",0,IF(COUNTIF(C$5:C1148,C1148)=1,1,0))</f>
        <v>0</v>
      </c>
      <c r="G1148" s="16" t="n">
        <f aca="false">SUM(F$5:F1148)</f>
        <v>8</v>
      </c>
      <c r="H1148" s="16" t="n">
        <f aca="false">IF(B1148="",0,IF(COUNTIF(B$5:B1148,B1148)=1,1,0))</f>
        <v>0</v>
      </c>
      <c r="I1148" s="16" t="n">
        <f aca="false">SUM(H$5:H1148)</f>
        <v>6</v>
      </c>
    </row>
    <row r="1149" customFormat="false" ht="15" hidden="false" customHeight="false" outlineLevel="0" collapsed="false">
      <c r="A1149" s="12"/>
      <c r="B1149" s="13"/>
      <c r="C1149" s="13"/>
      <c r="D1149" s="14"/>
      <c r="E1149" s="15"/>
      <c r="F1149" s="16" t="n">
        <f aca="false">IF(C1149="",0,IF(COUNTIF(C$5:C1149,C1149)=1,1,0))</f>
        <v>0</v>
      </c>
      <c r="G1149" s="16" t="n">
        <f aca="false">SUM(F$5:F1149)</f>
        <v>8</v>
      </c>
      <c r="H1149" s="16" t="n">
        <f aca="false">IF(B1149="",0,IF(COUNTIF(B$5:B1149,B1149)=1,1,0))</f>
        <v>0</v>
      </c>
      <c r="I1149" s="16" t="n">
        <f aca="false">SUM(H$5:H1149)</f>
        <v>6</v>
      </c>
    </row>
    <row r="1150" customFormat="false" ht="15" hidden="false" customHeight="false" outlineLevel="0" collapsed="false">
      <c r="A1150" s="12"/>
      <c r="B1150" s="13"/>
      <c r="C1150" s="13"/>
      <c r="D1150" s="14"/>
      <c r="E1150" s="15"/>
      <c r="F1150" s="16" t="n">
        <f aca="false">IF(C1150="",0,IF(COUNTIF(C$5:C1150,C1150)=1,1,0))</f>
        <v>0</v>
      </c>
      <c r="G1150" s="16" t="n">
        <f aca="false">SUM(F$5:F1150)</f>
        <v>8</v>
      </c>
      <c r="H1150" s="16" t="n">
        <f aca="false">IF(B1150="",0,IF(COUNTIF(B$5:B1150,B1150)=1,1,0))</f>
        <v>0</v>
      </c>
      <c r="I1150" s="16" t="n">
        <f aca="false">SUM(H$5:H1150)</f>
        <v>6</v>
      </c>
    </row>
    <row r="1151" customFormat="false" ht="15" hidden="false" customHeight="false" outlineLevel="0" collapsed="false">
      <c r="A1151" s="12"/>
      <c r="B1151" s="13"/>
      <c r="C1151" s="13"/>
      <c r="D1151" s="14"/>
      <c r="E1151" s="15"/>
      <c r="F1151" s="16" t="n">
        <f aca="false">IF(C1151="",0,IF(COUNTIF(C$5:C1151,C1151)=1,1,0))</f>
        <v>0</v>
      </c>
      <c r="G1151" s="16" t="n">
        <f aca="false">SUM(F$5:F1151)</f>
        <v>8</v>
      </c>
      <c r="H1151" s="16" t="n">
        <f aca="false">IF(B1151="",0,IF(COUNTIF(B$5:B1151,B1151)=1,1,0))</f>
        <v>0</v>
      </c>
      <c r="I1151" s="16" t="n">
        <f aca="false">SUM(H$5:H1151)</f>
        <v>6</v>
      </c>
    </row>
    <row r="1152" customFormat="false" ht="15" hidden="false" customHeight="false" outlineLevel="0" collapsed="false">
      <c r="A1152" s="12"/>
      <c r="B1152" s="13"/>
      <c r="C1152" s="13"/>
      <c r="D1152" s="14"/>
      <c r="E1152" s="15"/>
      <c r="F1152" s="16" t="n">
        <f aca="false">IF(C1152="",0,IF(COUNTIF(C$5:C1152,C1152)=1,1,0))</f>
        <v>0</v>
      </c>
      <c r="G1152" s="16" t="n">
        <f aca="false">SUM(F$5:F1152)</f>
        <v>8</v>
      </c>
      <c r="H1152" s="16" t="n">
        <f aca="false">IF(B1152="",0,IF(COUNTIF(B$5:B1152,B1152)=1,1,0))</f>
        <v>0</v>
      </c>
      <c r="I1152" s="16" t="n">
        <f aca="false">SUM(H$5:H1152)</f>
        <v>6</v>
      </c>
    </row>
    <row r="1153" customFormat="false" ht="15" hidden="false" customHeight="false" outlineLevel="0" collapsed="false">
      <c r="A1153" s="12"/>
      <c r="B1153" s="13"/>
      <c r="C1153" s="13"/>
      <c r="D1153" s="14"/>
      <c r="E1153" s="15"/>
      <c r="F1153" s="16" t="n">
        <f aca="false">IF(C1153="",0,IF(COUNTIF(C$5:C1153,C1153)=1,1,0))</f>
        <v>0</v>
      </c>
      <c r="G1153" s="16" t="n">
        <f aca="false">SUM(F$5:F1153)</f>
        <v>8</v>
      </c>
      <c r="H1153" s="16" t="n">
        <f aca="false">IF(B1153="",0,IF(COUNTIF(B$5:B1153,B1153)=1,1,0))</f>
        <v>0</v>
      </c>
      <c r="I1153" s="16" t="n">
        <f aca="false">SUM(H$5:H1153)</f>
        <v>6</v>
      </c>
    </row>
    <row r="1154" customFormat="false" ht="15" hidden="false" customHeight="false" outlineLevel="0" collapsed="false">
      <c r="A1154" s="12"/>
      <c r="B1154" s="13"/>
      <c r="C1154" s="13"/>
      <c r="D1154" s="14"/>
      <c r="E1154" s="15"/>
      <c r="F1154" s="16" t="n">
        <f aca="false">IF(C1154="",0,IF(COUNTIF(C$5:C1154,C1154)=1,1,0))</f>
        <v>0</v>
      </c>
      <c r="G1154" s="16" t="n">
        <f aca="false">SUM(F$5:F1154)</f>
        <v>8</v>
      </c>
      <c r="H1154" s="16" t="n">
        <f aca="false">IF(B1154="",0,IF(COUNTIF(B$5:B1154,B1154)=1,1,0))</f>
        <v>0</v>
      </c>
      <c r="I1154" s="16" t="n">
        <f aca="false">SUM(H$5:H1154)</f>
        <v>6</v>
      </c>
    </row>
    <row r="1155" customFormat="false" ht="15" hidden="false" customHeight="false" outlineLevel="0" collapsed="false">
      <c r="A1155" s="12"/>
      <c r="B1155" s="13"/>
      <c r="C1155" s="13"/>
      <c r="D1155" s="14"/>
      <c r="E1155" s="15"/>
      <c r="F1155" s="16" t="n">
        <f aca="false">IF(C1155="",0,IF(COUNTIF(C$5:C1155,C1155)=1,1,0))</f>
        <v>0</v>
      </c>
      <c r="G1155" s="16" t="n">
        <f aca="false">SUM(F$5:F1155)</f>
        <v>8</v>
      </c>
      <c r="H1155" s="16" t="n">
        <f aca="false">IF(B1155="",0,IF(COUNTIF(B$5:B1155,B1155)=1,1,0))</f>
        <v>0</v>
      </c>
      <c r="I1155" s="16" t="n">
        <f aca="false">SUM(H$5:H1155)</f>
        <v>6</v>
      </c>
    </row>
    <row r="1156" customFormat="false" ht="15" hidden="false" customHeight="false" outlineLevel="0" collapsed="false">
      <c r="A1156" s="12"/>
      <c r="B1156" s="13"/>
      <c r="C1156" s="13"/>
      <c r="D1156" s="14"/>
      <c r="E1156" s="15"/>
      <c r="F1156" s="16" t="n">
        <f aca="false">IF(C1156="",0,IF(COUNTIF(C$5:C1156,C1156)=1,1,0))</f>
        <v>0</v>
      </c>
      <c r="G1156" s="16" t="n">
        <f aca="false">SUM(F$5:F1156)</f>
        <v>8</v>
      </c>
      <c r="H1156" s="16" t="n">
        <f aca="false">IF(B1156="",0,IF(COUNTIF(B$5:B1156,B1156)=1,1,0))</f>
        <v>0</v>
      </c>
      <c r="I1156" s="16" t="n">
        <f aca="false">SUM(H$5:H1156)</f>
        <v>6</v>
      </c>
    </row>
    <row r="1157" customFormat="false" ht="15" hidden="false" customHeight="false" outlineLevel="0" collapsed="false">
      <c r="A1157" s="12"/>
      <c r="B1157" s="13"/>
      <c r="C1157" s="13"/>
      <c r="D1157" s="14"/>
      <c r="E1157" s="15"/>
      <c r="F1157" s="16" t="n">
        <f aca="false">IF(C1157="",0,IF(COUNTIF(C$5:C1157,C1157)=1,1,0))</f>
        <v>0</v>
      </c>
      <c r="G1157" s="16" t="n">
        <f aca="false">SUM(F$5:F1157)</f>
        <v>8</v>
      </c>
      <c r="H1157" s="16" t="n">
        <f aca="false">IF(B1157="",0,IF(COUNTIF(B$5:B1157,B1157)=1,1,0))</f>
        <v>0</v>
      </c>
      <c r="I1157" s="16" t="n">
        <f aca="false">SUM(H$5:H1157)</f>
        <v>6</v>
      </c>
    </row>
    <row r="1158" customFormat="false" ht="15" hidden="false" customHeight="false" outlineLevel="0" collapsed="false">
      <c r="A1158" s="12"/>
      <c r="B1158" s="13"/>
      <c r="C1158" s="13"/>
      <c r="D1158" s="14"/>
      <c r="E1158" s="15"/>
      <c r="F1158" s="16" t="n">
        <f aca="false">IF(C1158="",0,IF(COUNTIF(C$5:C1158,C1158)=1,1,0))</f>
        <v>0</v>
      </c>
      <c r="G1158" s="16" t="n">
        <f aca="false">SUM(F$5:F1158)</f>
        <v>8</v>
      </c>
      <c r="H1158" s="16" t="n">
        <f aca="false">IF(B1158="",0,IF(COUNTIF(B$5:B1158,B1158)=1,1,0))</f>
        <v>0</v>
      </c>
      <c r="I1158" s="16" t="n">
        <f aca="false">SUM(H$5:H1158)</f>
        <v>6</v>
      </c>
    </row>
    <row r="1159" customFormat="false" ht="15" hidden="false" customHeight="false" outlineLevel="0" collapsed="false">
      <c r="A1159" s="12"/>
      <c r="B1159" s="13"/>
      <c r="C1159" s="13"/>
      <c r="D1159" s="14"/>
      <c r="E1159" s="15"/>
      <c r="F1159" s="16" t="n">
        <f aca="false">IF(C1159="",0,IF(COUNTIF(C$5:C1159,C1159)=1,1,0))</f>
        <v>0</v>
      </c>
      <c r="G1159" s="16" t="n">
        <f aca="false">SUM(F$5:F1159)</f>
        <v>8</v>
      </c>
      <c r="H1159" s="16" t="n">
        <f aca="false">IF(B1159="",0,IF(COUNTIF(B$5:B1159,B1159)=1,1,0))</f>
        <v>0</v>
      </c>
      <c r="I1159" s="16" t="n">
        <f aca="false">SUM(H$5:H1159)</f>
        <v>6</v>
      </c>
    </row>
    <row r="1160" customFormat="false" ht="15" hidden="false" customHeight="false" outlineLevel="0" collapsed="false">
      <c r="A1160" s="12"/>
      <c r="B1160" s="13"/>
      <c r="C1160" s="13"/>
      <c r="D1160" s="14"/>
      <c r="E1160" s="15"/>
      <c r="F1160" s="16" t="n">
        <f aca="false">IF(C1160="",0,IF(COUNTIF(C$5:C1160,C1160)=1,1,0))</f>
        <v>0</v>
      </c>
      <c r="G1160" s="16" t="n">
        <f aca="false">SUM(F$5:F1160)</f>
        <v>8</v>
      </c>
      <c r="H1160" s="16" t="n">
        <f aca="false">IF(B1160="",0,IF(COUNTIF(B$5:B1160,B1160)=1,1,0))</f>
        <v>0</v>
      </c>
      <c r="I1160" s="16" t="n">
        <f aca="false">SUM(H$5:H1160)</f>
        <v>6</v>
      </c>
    </row>
    <row r="1161" customFormat="false" ht="15" hidden="false" customHeight="false" outlineLevel="0" collapsed="false">
      <c r="A1161" s="12"/>
      <c r="B1161" s="13"/>
      <c r="C1161" s="13"/>
      <c r="D1161" s="14"/>
      <c r="E1161" s="15"/>
      <c r="F1161" s="16" t="n">
        <f aca="false">IF(C1161="",0,IF(COUNTIF(C$5:C1161,C1161)=1,1,0))</f>
        <v>0</v>
      </c>
      <c r="G1161" s="16" t="n">
        <f aca="false">SUM(F$5:F1161)</f>
        <v>8</v>
      </c>
      <c r="H1161" s="16" t="n">
        <f aca="false">IF(B1161="",0,IF(COUNTIF(B$5:B1161,B1161)=1,1,0))</f>
        <v>0</v>
      </c>
      <c r="I1161" s="16" t="n">
        <f aca="false">SUM(H$5:H1161)</f>
        <v>6</v>
      </c>
    </row>
    <row r="1162" customFormat="false" ht="15" hidden="false" customHeight="false" outlineLevel="0" collapsed="false">
      <c r="A1162" s="12"/>
      <c r="B1162" s="13"/>
      <c r="C1162" s="13"/>
      <c r="D1162" s="14"/>
      <c r="E1162" s="15"/>
      <c r="F1162" s="16" t="n">
        <f aca="false">IF(C1162="",0,IF(COUNTIF(C$5:C1162,C1162)=1,1,0))</f>
        <v>0</v>
      </c>
      <c r="G1162" s="16" t="n">
        <f aca="false">SUM(F$5:F1162)</f>
        <v>8</v>
      </c>
      <c r="H1162" s="16" t="n">
        <f aca="false">IF(B1162="",0,IF(COUNTIF(B$5:B1162,B1162)=1,1,0))</f>
        <v>0</v>
      </c>
      <c r="I1162" s="16" t="n">
        <f aca="false">SUM(H$5:H1162)</f>
        <v>6</v>
      </c>
    </row>
    <row r="1163" customFormat="false" ht="15" hidden="false" customHeight="false" outlineLevel="0" collapsed="false">
      <c r="A1163" s="12"/>
      <c r="B1163" s="13"/>
      <c r="C1163" s="13"/>
      <c r="D1163" s="14"/>
      <c r="E1163" s="15"/>
      <c r="F1163" s="16" t="n">
        <f aca="false">IF(C1163="",0,IF(COUNTIF(C$5:C1163,C1163)=1,1,0))</f>
        <v>0</v>
      </c>
      <c r="G1163" s="16" t="n">
        <f aca="false">SUM(F$5:F1163)</f>
        <v>8</v>
      </c>
      <c r="H1163" s="16" t="n">
        <f aca="false">IF(B1163="",0,IF(COUNTIF(B$5:B1163,B1163)=1,1,0))</f>
        <v>0</v>
      </c>
      <c r="I1163" s="16" t="n">
        <f aca="false">SUM(H$5:H1163)</f>
        <v>6</v>
      </c>
    </row>
    <row r="1164" customFormat="false" ht="15" hidden="false" customHeight="false" outlineLevel="0" collapsed="false">
      <c r="A1164" s="12"/>
      <c r="B1164" s="13"/>
      <c r="C1164" s="13"/>
      <c r="D1164" s="14"/>
      <c r="E1164" s="15"/>
      <c r="F1164" s="16" t="n">
        <f aca="false">IF(C1164="",0,IF(COUNTIF(C$5:C1164,C1164)=1,1,0))</f>
        <v>0</v>
      </c>
      <c r="G1164" s="16" t="n">
        <f aca="false">SUM(F$5:F1164)</f>
        <v>8</v>
      </c>
      <c r="H1164" s="16" t="n">
        <f aca="false">IF(B1164="",0,IF(COUNTIF(B$5:B1164,B1164)=1,1,0))</f>
        <v>0</v>
      </c>
      <c r="I1164" s="16" t="n">
        <f aca="false">SUM(H$5:H1164)</f>
        <v>6</v>
      </c>
    </row>
    <row r="1165" customFormat="false" ht="15" hidden="false" customHeight="false" outlineLevel="0" collapsed="false">
      <c r="A1165" s="12"/>
      <c r="B1165" s="13"/>
      <c r="C1165" s="13"/>
      <c r="D1165" s="14"/>
      <c r="E1165" s="15"/>
      <c r="F1165" s="16" t="n">
        <f aca="false">IF(C1165="",0,IF(COUNTIF(C$5:C1165,C1165)=1,1,0))</f>
        <v>0</v>
      </c>
      <c r="G1165" s="16" t="n">
        <f aca="false">SUM(F$5:F1165)</f>
        <v>8</v>
      </c>
      <c r="H1165" s="16" t="n">
        <f aca="false">IF(B1165="",0,IF(COUNTIF(B$5:B1165,B1165)=1,1,0))</f>
        <v>0</v>
      </c>
      <c r="I1165" s="16" t="n">
        <f aca="false">SUM(H$5:H1165)</f>
        <v>6</v>
      </c>
    </row>
    <row r="1166" customFormat="false" ht="15" hidden="false" customHeight="false" outlineLevel="0" collapsed="false">
      <c r="A1166" s="12"/>
      <c r="B1166" s="13"/>
      <c r="C1166" s="13"/>
      <c r="D1166" s="14"/>
      <c r="E1166" s="15"/>
      <c r="F1166" s="16" t="n">
        <f aca="false">IF(C1166="",0,IF(COUNTIF(C$5:C1166,C1166)=1,1,0))</f>
        <v>0</v>
      </c>
      <c r="G1166" s="16" t="n">
        <f aca="false">SUM(F$5:F1166)</f>
        <v>8</v>
      </c>
      <c r="H1166" s="16" t="n">
        <f aca="false">IF(B1166="",0,IF(COUNTIF(B$5:B1166,B1166)=1,1,0))</f>
        <v>0</v>
      </c>
      <c r="I1166" s="16" t="n">
        <f aca="false">SUM(H$5:H1166)</f>
        <v>6</v>
      </c>
    </row>
    <row r="1167" customFormat="false" ht="15" hidden="false" customHeight="false" outlineLevel="0" collapsed="false">
      <c r="A1167" s="12"/>
      <c r="B1167" s="13"/>
      <c r="C1167" s="13"/>
      <c r="D1167" s="14"/>
      <c r="E1167" s="15"/>
      <c r="F1167" s="16" t="n">
        <f aca="false">IF(C1167="",0,IF(COUNTIF(C$5:C1167,C1167)=1,1,0))</f>
        <v>0</v>
      </c>
      <c r="G1167" s="16" t="n">
        <f aca="false">SUM(F$5:F1167)</f>
        <v>8</v>
      </c>
      <c r="H1167" s="16" t="n">
        <f aca="false">IF(B1167="",0,IF(COUNTIF(B$5:B1167,B1167)=1,1,0))</f>
        <v>0</v>
      </c>
      <c r="I1167" s="16" t="n">
        <f aca="false">SUM(H$5:H1167)</f>
        <v>6</v>
      </c>
    </row>
    <row r="1168" customFormat="false" ht="15" hidden="false" customHeight="false" outlineLevel="0" collapsed="false">
      <c r="A1168" s="12"/>
      <c r="B1168" s="13"/>
      <c r="C1168" s="13"/>
      <c r="D1168" s="14"/>
      <c r="E1168" s="15"/>
      <c r="F1168" s="16" t="n">
        <f aca="false">IF(C1168="",0,IF(COUNTIF(C$5:C1168,C1168)=1,1,0))</f>
        <v>0</v>
      </c>
      <c r="G1168" s="16" t="n">
        <f aca="false">SUM(F$5:F1168)</f>
        <v>8</v>
      </c>
      <c r="H1168" s="16" t="n">
        <f aca="false">IF(B1168="",0,IF(COUNTIF(B$5:B1168,B1168)=1,1,0))</f>
        <v>0</v>
      </c>
      <c r="I1168" s="16" t="n">
        <f aca="false">SUM(H$5:H1168)</f>
        <v>6</v>
      </c>
    </row>
    <row r="1169" customFormat="false" ht="15" hidden="false" customHeight="false" outlineLevel="0" collapsed="false">
      <c r="A1169" s="12"/>
      <c r="B1169" s="13"/>
      <c r="C1169" s="13"/>
      <c r="D1169" s="14"/>
      <c r="E1169" s="15"/>
      <c r="F1169" s="16" t="n">
        <f aca="false">IF(C1169="",0,IF(COUNTIF(C$5:C1169,C1169)=1,1,0))</f>
        <v>0</v>
      </c>
      <c r="G1169" s="16" t="n">
        <f aca="false">SUM(F$5:F1169)</f>
        <v>8</v>
      </c>
      <c r="H1169" s="16" t="n">
        <f aca="false">IF(B1169="",0,IF(COUNTIF(B$5:B1169,B1169)=1,1,0))</f>
        <v>0</v>
      </c>
      <c r="I1169" s="16" t="n">
        <f aca="false">SUM(H$5:H1169)</f>
        <v>6</v>
      </c>
    </row>
    <row r="1170" customFormat="false" ht="15" hidden="false" customHeight="false" outlineLevel="0" collapsed="false">
      <c r="A1170" s="12"/>
      <c r="B1170" s="13"/>
      <c r="C1170" s="13"/>
      <c r="D1170" s="14"/>
      <c r="E1170" s="15"/>
      <c r="F1170" s="16" t="n">
        <f aca="false">IF(C1170="",0,IF(COUNTIF(C$5:C1170,C1170)=1,1,0))</f>
        <v>0</v>
      </c>
      <c r="G1170" s="16" t="n">
        <f aca="false">SUM(F$5:F1170)</f>
        <v>8</v>
      </c>
      <c r="H1170" s="16" t="n">
        <f aca="false">IF(B1170="",0,IF(COUNTIF(B$5:B1170,B1170)=1,1,0))</f>
        <v>0</v>
      </c>
      <c r="I1170" s="16" t="n">
        <f aca="false">SUM(H$5:H1170)</f>
        <v>6</v>
      </c>
    </row>
    <row r="1171" customFormat="false" ht="15" hidden="false" customHeight="false" outlineLevel="0" collapsed="false">
      <c r="A1171" s="12"/>
      <c r="B1171" s="13"/>
      <c r="C1171" s="13"/>
      <c r="D1171" s="14"/>
      <c r="E1171" s="15"/>
      <c r="F1171" s="16" t="n">
        <f aca="false">IF(C1171="",0,IF(COUNTIF(C$5:C1171,C1171)=1,1,0))</f>
        <v>0</v>
      </c>
      <c r="G1171" s="16" t="n">
        <f aca="false">SUM(F$5:F1171)</f>
        <v>8</v>
      </c>
      <c r="H1171" s="16" t="n">
        <f aca="false">IF(B1171="",0,IF(COUNTIF(B$5:B1171,B1171)=1,1,0))</f>
        <v>0</v>
      </c>
      <c r="I1171" s="16" t="n">
        <f aca="false">SUM(H$5:H1171)</f>
        <v>6</v>
      </c>
    </row>
    <row r="1172" customFormat="false" ht="15" hidden="false" customHeight="false" outlineLevel="0" collapsed="false">
      <c r="A1172" s="12"/>
      <c r="B1172" s="13"/>
      <c r="C1172" s="13"/>
      <c r="D1172" s="14"/>
      <c r="E1172" s="15"/>
      <c r="F1172" s="16" t="n">
        <f aca="false">IF(C1172="",0,IF(COUNTIF(C$5:C1172,C1172)=1,1,0))</f>
        <v>0</v>
      </c>
      <c r="G1172" s="16" t="n">
        <f aca="false">SUM(F$5:F1172)</f>
        <v>8</v>
      </c>
      <c r="H1172" s="16" t="n">
        <f aca="false">IF(B1172="",0,IF(COUNTIF(B$5:B1172,B1172)=1,1,0))</f>
        <v>0</v>
      </c>
      <c r="I1172" s="16" t="n">
        <f aca="false">SUM(H$5:H1172)</f>
        <v>6</v>
      </c>
    </row>
    <row r="1173" customFormat="false" ht="15" hidden="false" customHeight="false" outlineLevel="0" collapsed="false">
      <c r="A1173" s="12"/>
      <c r="B1173" s="13"/>
      <c r="C1173" s="13"/>
      <c r="D1173" s="14"/>
      <c r="E1173" s="15"/>
      <c r="F1173" s="16" t="n">
        <f aca="false">IF(C1173="",0,IF(COUNTIF(C$5:C1173,C1173)=1,1,0))</f>
        <v>0</v>
      </c>
      <c r="G1173" s="16" t="n">
        <f aca="false">SUM(F$5:F1173)</f>
        <v>8</v>
      </c>
      <c r="H1173" s="16" t="n">
        <f aca="false">IF(B1173="",0,IF(COUNTIF(B$5:B1173,B1173)=1,1,0))</f>
        <v>0</v>
      </c>
      <c r="I1173" s="16" t="n">
        <f aca="false">SUM(H$5:H1173)</f>
        <v>6</v>
      </c>
    </row>
    <row r="1174" customFormat="false" ht="15" hidden="false" customHeight="false" outlineLevel="0" collapsed="false">
      <c r="A1174" s="12"/>
      <c r="B1174" s="13"/>
      <c r="C1174" s="13"/>
      <c r="D1174" s="14"/>
      <c r="E1174" s="15"/>
      <c r="F1174" s="16" t="n">
        <f aca="false">IF(C1174="",0,IF(COUNTIF(C$5:C1174,C1174)=1,1,0))</f>
        <v>0</v>
      </c>
      <c r="G1174" s="16" t="n">
        <f aca="false">SUM(F$5:F1174)</f>
        <v>8</v>
      </c>
      <c r="H1174" s="16" t="n">
        <f aca="false">IF(B1174="",0,IF(COUNTIF(B$5:B1174,B1174)=1,1,0))</f>
        <v>0</v>
      </c>
      <c r="I1174" s="16" t="n">
        <f aca="false">SUM(H$5:H1174)</f>
        <v>6</v>
      </c>
    </row>
    <row r="1175" customFormat="false" ht="15" hidden="false" customHeight="false" outlineLevel="0" collapsed="false">
      <c r="A1175" s="12"/>
      <c r="B1175" s="13"/>
      <c r="C1175" s="13"/>
      <c r="D1175" s="14"/>
      <c r="E1175" s="15"/>
      <c r="F1175" s="16" t="n">
        <f aca="false">IF(C1175="",0,IF(COUNTIF(C$5:C1175,C1175)=1,1,0))</f>
        <v>0</v>
      </c>
      <c r="G1175" s="16" t="n">
        <f aca="false">SUM(F$5:F1175)</f>
        <v>8</v>
      </c>
      <c r="H1175" s="16" t="n">
        <f aca="false">IF(B1175="",0,IF(COUNTIF(B$5:B1175,B1175)=1,1,0))</f>
        <v>0</v>
      </c>
      <c r="I1175" s="16" t="n">
        <f aca="false">SUM(H$5:H1175)</f>
        <v>6</v>
      </c>
    </row>
    <row r="1176" customFormat="false" ht="15" hidden="false" customHeight="false" outlineLevel="0" collapsed="false">
      <c r="A1176" s="12"/>
      <c r="B1176" s="13"/>
      <c r="C1176" s="13"/>
      <c r="D1176" s="14"/>
      <c r="E1176" s="15"/>
      <c r="F1176" s="16" t="n">
        <f aca="false">IF(C1176="",0,IF(COUNTIF(C$5:C1176,C1176)=1,1,0))</f>
        <v>0</v>
      </c>
      <c r="G1176" s="16" t="n">
        <f aca="false">SUM(F$5:F1176)</f>
        <v>8</v>
      </c>
      <c r="H1176" s="16" t="n">
        <f aca="false">IF(B1176="",0,IF(COUNTIF(B$5:B1176,B1176)=1,1,0))</f>
        <v>0</v>
      </c>
      <c r="I1176" s="16" t="n">
        <f aca="false">SUM(H$5:H1176)</f>
        <v>6</v>
      </c>
    </row>
    <row r="1177" customFormat="false" ht="15" hidden="false" customHeight="false" outlineLevel="0" collapsed="false">
      <c r="A1177" s="12"/>
      <c r="B1177" s="13"/>
      <c r="C1177" s="13"/>
      <c r="D1177" s="14"/>
      <c r="E1177" s="15"/>
      <c r="F1177" s="16" t="n">
        <f aca="false">IF(C1177="",0,IF(COUNTIF(C$5:C1177,C1177)=1,1,0))</f>
        <v>0</v>
      </c>
      <c r="G1177" s="16" t="n">
        <f aca="false">SUM(F$5:F1177)</f>
        <v>8</v>
      </c>
      <c r="H1177" s="16" t="n">
        <f aca="false">IF(B1177="",0,IF(COUNTIF(B$5:B1177,B1177)=1,1,0))</f>
        <v>0</v>
      </c>
      <c r="I1177" s="16" t="n">
        <f aca="false">SUM(H$5:H1177)</f>
        <v>6</v>
      </c>
    </row>
    <row r="1178" customFormat="false" ht="15" hidden="false" customHeight="false" outlineLevel="0" collapsed="false">
      <c r="A1178" s="12"/>
      <c r="B1178" s="13"/>
      <c r="C1178" s="13"/>
      <c r="D1178" s="14"/>
      <c r="E1178" s="15"/>
      <c r="F1178" s="16" t="n">
        <f aca="false">IF(C1178="",0,IF(COUNTIF(C$5:C1178,C1178)=1,1,0))</f>
        <v>0</v>
      </c>
      <c r="G1178" s="16" t="n">
        <f aca="false">SUM(F$5:F1178)</f>
        <v>8</v>
      </c>
      <c r="H1178" s="16" t="n">
        <f aca="false">IF(B1178="",0,IF(COUNTIF(B$5:B1178,B1178)=1,1,0))</f>
        <v>0</v>
      </c>
      <c r="I1178" s="16" t="n">
        <f aca="false">SUM(H$5:H1178)</f>
        <v>6</v>
      </c>
    </row>
    <row r="1179" customFormat="false" ht="15" hidden="false" customHeight="false" outlineLevel="0" collapsed="false">
      <c r="A1179" s="12"/>
      <c r="B1179" s="13"/>
      <c r="C1179" s="13"/>
      <c r="D1179" s="14"/>
      <c r="E1179" s="15"/>
      <c r="F1179" s="16" t="n">
        <f aca="false">IF(C1179="",0,IF(COUNTIF(C$5:C1179,C1179)=1,1,0))</f>
        <v>0</v>
      </c>
      <c r="G1179" s="16" t="n">
        <f aca="false">SUM(F$5:F1179)</f>
        <v>8</v>
      </c>
      <c r="H1179" s="16" t="n">
        <f aca="false">IF(B1179="",0,IF(COUNTIF(B$5:B1179,B1179)=1,1,0))</f>
        <v>0</v>
      </c>
      <c r="I1179" s="16" t="n">
        <f aca="false">SUM(H$5:H1179)</f>
        <v>6</v>
      </c>
    </row>
    <row r="1180" customFormat="false" ht="15" hidden="false" customHeight="false" outlineLevel="0" collapsed="false">
      <c r="A1180" s="12"/>
      <c r="B1180" s="13"/>
      <c r="C1180" s="13"/>
      <c r="D1180" s="14"/>
      <c r="E1180" s="15"/>
      <c r="F1180" s="16" t="n">
        <f aca="false">IF(C1180="",0,IF(COUNTIF(C$5:C1180,C1180)=1,1,0))</f>
        <v>0</v>
      </c>
      <c r="G1180" s="16" t="n">
        <f aca="false">SUM(F$5:F1180)</f>
        <v>8</v>
      </c>
      <c r="H1180" s="16" t="n">
        <f aca="false">IF(B1180="",0,IF(COUNTIF(B$5:B1180,B1180)=1,1,0))</f>
        <v>0</v>
      </c>
      <c r="I1180" s="16" t="n">
        <f aca="false">SUM(H$5:H1180)</f>
        <v>6</v>
      </c>
    </row>
    <row r="1181" customFormat="false" ht="15" hidden="false" customHeight="false" outlineLevel="0" collapsed="false">
      <c r="A1181" s="12"/>
      <c r="B1181" s="13"/>
      <c r="C1181" s="13"/>
      <c r="D1181" s="14"/>
      <c r="E1181" s="15"/>
      <c r="F1181" s="16" t="n">
        <f aca="false">IF(C1181="",0,IF(COUNTIF(C$5:C1181,C1181)=1,1,0))</f>
        <v>0</v>
      </c>
      <c r="G1181" s="16" t="n">
        <f aca="false">SUM(F$5:F1181)</f>
        <v>8</v>
      </c>
      <c r="H1181" s="16" t="n">
        <f aca="false">IF(B1181="",0,IF(COUNTIF(B$5:B1181,B1181)=1,1,0))</f>
        <v>0</v>
      </c>
      <c r="I1181" s="16" t="n">
        <f aca="false">SUM(H$5:H1181)</f>
        <v>6</v>
      </c>
    </row>
    <row r="1182" customFormat="false" ht="15" hidden="false" customHeight="false" outlineLevel="0" collapsed="false">
      <c r="A1182" s="12"/>
      <c r="B1182" s="13"/>
      <c r="C1182" s="13"/>
      <c r="D1182" s="14"/>
      <c r="E1182" s="15"/>
      <c r="F1182" s="16" t="n">
        <f aca="false">IF(C1182="",0,IF(COUNTIF(C$5:C1182,C1182)=1,1,0))</f>
        <v>0</v>
      </c>
      <c r="G1182" s="16" t="n">
        <f aca="false">SUM(F$5:F1182)</f>
        <v>8</v>
      </c>
      <c r="H1182" s="16" t="n">
        <f aca="false">IF(B1182="",0,IF(COUNTIF(B$5:B1182,B1182)=1,1,0))</f>
        <v>0</v>
      </c>
      <c r="I1182" s="16" t="n">
        <f aca="false">SUM(H$5:H1182)</f>
        <v>6</v>
      </c>
    </row>
    <row r="1183" customFormat="false" ht="15" hidden="false" customHeight="false" outlineLevel="0" collapsed="false">
      <c r="A1183" s="12"/>
      <c r="B1183" s="13"/>
      <c r="C1183" s="13"/>
      <c r="D1183" s="14"/>
      <c r="E1183" s="15"/>
      <c r="F1183" s="16" t="n">
        <f aca="false">IF(C1183="",0,IF(COUNTIF(C$5:C1183,C1183)=1,1,0))</f>
        <v>0</v>
      </c>
      <c r="G1183" s="16" t="n">
        <f aca="false">SUM(F$5:F1183)</f>
        <v>8</v>
      </c>
      <c r="H1183" s="16" t="n">
        <f aca="false">IF(B1183="",0,IF(COUNTIF(B$5:B1183,B1183)=1,1,0))</f>
        <v>0</v>
      </c>
      <c r="I1183" s="16" t="n">
        <f aca="false">SUM(H$5:H1183)</f>
        <v>6</v>
      </c>
    </row>
    <row r="1184" customFormat="false" ht="15" hidden="false" customHeight="false" outlineLevel="0" collapsed="false">
      <c r="A1184" s="12"/>
      <c r="B1184" s="13"/>
      <c r="C1184" s="13"/>
      <c r="D1184" s="14"/>
      <c r="E1184" s="15"/>
      <c r="F1184" s="16" t="n">
        <f aca="false">IF(C1184="",0,IF(COUNTIF(C$5:C1184,C1184)=1,1,0))</f>
        <v>0</v>
      </c>
      <c r="G1184" s="16" t="n">
        <f aca="false">SUM(F$5:F1184)</f>
        <v>8</v>
      </c>
      <c r="H1184" s="16" t="n">
        <f aca="false">IF(B1184="",0,IF(COUNTIF(B$5:B1184,B1184)=1,1,0))</f>
        <v>0</v>
      </c>
      <c r="I1184" s="16" t="n">
        <f aca="false">SUM(H$5:H1184)</f>
        <v>6</v>
      </c>
    </row>
    <row r="1185" customFormat="false" ht="15" hidden="false" customHeight="false" outlineLevel="0" collapsed="false">
      <c r="A1185" s="12"/>
      <c r="B1185" s="13"/>
      <c r="C1185" s="13"/>
      <c r="D1185" s="14"/>
      <c r="E1185" s="15"/>
      <c r="F1185" s="16" t="n">
        <f aca="false">IF(C1185="",0,IF(COUNTIF(C$5:C1185,C1185)=1,1,0))</f>
        <v>0</v>
      </c>
      <c r="G1185" s="16" t="n">
        <f aca="false">SUM(F$5:F1185)</f>
        <v>8</v>
      </c>
      <c r="H1185" s="16" t="n">
        <f aca="false">IF(B1185="",0,IF(COUNTIF(B$5:B1185,B1185)=1,1,0))</f>
        <v>0</v>
      </c>
      <c r="I1185" s="16" t="n">
        <f aca="false">SUM(H$5:H1185)</f>
        <v>6</v>
      </c>
    </row>
    <row r="1186" customFormat="false" ht="15" hidden="false" customHeight="false" outlineLevel="0" collapsed="false">
      <c r="A1186" s="12"/>
      <c r="B1186" s="13"/>
      <c r="C1186" s="13"/>
      <c r="D1186" s="14"/>
      <c r="E1186" s="15"/>
      <c r="F1186" s="16" t="n">
        <f aca="false">IF(C1186="",0,IF(COUNTIF(C$5:C1186,C1186)=1,1,0))</f>
        <v>0</v>
      </c>
      <c r="G1186" s="16" t="n">
        <f aca="false">SUM(F$5:F1186)</f>
        <v>8</v>
      </c>
      <c r="H1186" s="16" t="n">
        <f aca="false">IF(B1186="",0,IF(COUNTIF(B$5:B1186,B1186)=1,1,0))</f>
        <v>0</v>
      </c>
      <c r="I1186" s="16" t="n">
        <f aca="false">SUM(H$5:H1186)</f>
        <v>6</v>
      </c>
    </row>
    <row r="1187" customFormat="false" ht="15" hidden="false" customHeight="false" outlineLevel="0" collapsed="false">
      <c r="A1187" s="12"/>
      <c r="B1187" s="13"/>
      <c r="C1187" s="13"/>
      <c r="D1187" s="14"/>
      <c r="E1187" s="15"/>
      <c r="F1187" s="16" t="n">
        <f aca="false">IF(C1187="",0,IF(COUNTIF(C$5:C1187,C1187)=1,1,0))</f>
        <v>0</v>
      </c>
      <c r="G1187" s="16" t="n">
        <f aca="false">SUM(F$5:F1187)</f>
        <v>8</v>
      </c>
      <c r="H1187" s="16" t="n">
        <f aca="false">IF(B1187="",0,IF(COUNTIF(B$5:B1187,B1187)=1,1,0))</f>
        <v>0</v>
      </c>
      <c r="I1187" s="16" t="n">
        <f aca="false">SUM(H$5:H1187)</f>
        <v>6</v>
      </c>
    </row>
    <row r="1188" customFormat="false" ht="15" hidden="false" customHeight="false" outlineLevel="0" collapsed="false">
      <c r="A1188" s="12"/>
      <c r="B1188" s="13"/>
      <c r="C1188" s="13"/>
      <c r="D1188" s="14"/>
      <c r="E1188" s="15"/>
      <c r="F1188" s="16" t="n">
        <f aca="false">IF(C1188="",0,IF(COUNTIF(C$5:C1188,C1188)=1,1,0))</f>
        <v>0</v>
      </c>
      <c r="G1188" s="16" t="n">
        <f aca="false">SUM(F$5:F1188)</f>
        <v>8</v>
      </c>
      <c r="H1188" s="16" t="n">
        <f aca="false">IF(B1188="",0,IF(COUNTIF(B$5:B1188,B1188)=1,1,0))</f>
        <v>0</v>
      </c>
      <c r="I1188" s="16" t="n">
        <f aca="false">SUM(H$5:H1188)</f>
        <v>6</v>
      </c>
    </row>
    <row r="1189" customFormat="false" ht="15" hidden="false" customHeight="false" outlineLevel="0" collapsed="false">
      <c r="A1189" s="12"/>
      <c r="B1189" s="13"/>
      <c r="C1189" s="13"/>
      <c r="D1189" s="14"/>
      <c r="E1189" s="15"/>
      <c r="F1189" s="16" t="n">
        <f aca="false">IF(C1189="",0,IF(COUNTIF(C$5:C1189,C1189)=1,1,0))</f>
        <v>0</v>
      </c>
      <c r="G1189" s="16" t="n">
        <f aca="false">SUM(F$5:F1189)</f>
        <v>8</v>
      </c>
      <c r="H1189" s="16" t="n">
        <f aca="false">IF(B1189="",0,IF(COUNTIF(B$5:B1189,B1189)=1,1,0))</f>
        <v>0</v>
      </c>
      <c r="I1189" s="16" t="n">
        <f aca="false">SUM(H$5:H1189)</f>
        <v>6</v>
      </c>
    </row>
    <row r="1190" customFormat="false" ht="15" hidden="false" customHeight="false" outlineLevel="0" collapsed="false">
      <c r="A1190" s="12"/>
      <c r="B1190" s="13"/>
      <c r="C1190" s="13"/>
      <c r="D1190" s="14"/>
      <c r="E1190" s="15"/>
      <c r="F1190" s="16" t="n">
        <f aca="false">IF(C1190="",0,IF(COUNTIF(C$5:C1190,C1190)=1,1,0))</f>
        <v>0</v>
      </c>
      <c r="G1190" s="16" t="n">
        <f aca="false">SUM(F$5:F1190)</f>
        <v>8</v>
      </c>
      <c r="H1190" s="16" t="n">
        <f aca="false">IF(B1190="",0,IF(COUNTIF(B$5:B1190,B1190)=1,1,0))</f>
        <v>0</v>
      </c>
      <c r="I1190" s="16" t="n">
        <f aca="false">SUM(H$5:H1190)</f>
        <v>6</v>
      </c>
    </row>
    <row r="1191" customFormat="false" ht="15" hidden="false" customHeight="false" outlineLevel="0" collapsed="false">
      <c r="A1191" s="12"/>
      <c r="B1191" s="13"/>
      <c r="C1191" s="13"/>
      <c r="D1191" s="14"/>
      <c r="E1191" s="15"/>
      <c r="F1191" s="16" t="n">
        <f aca="false">IF(C1191="",0,IF(COUNTIF(C$5:C1191,C1191)=1,1,0))</f>
        <v>0</v>
      </c>
      <c r="G1191" s="16" t="n">
        <f aca="false">SUM(F$5:F1191)</f>
        <v>8</v>
      </c>
      <c r="H1191" s="16" t="n">
        <f aca="false">IF(B1191="",0,IF(COUNTIF(B$5:B1191,B1191)=1,1,0))</f>
        <v>0</v>
      </c>
      <c r="I1191" s="16" t="n">
        <f aca="false">SUM(H$5:H1191)</f>
        <v>6</v>
      </c>
    </row>
    <row r="1192" customFormat="false" ht="15" hidden="false" customHeight="false" outlineLevel="0" collapsed="false">
      <c r="A1192" s="12"/>
      <c r="B1192" s="13"/>
      <c r="C1192" s="13"/>
      <c r="D1192" s="14"/>
      <c r="E1192" s="15"/>
      <c r="F1192" s="16" t="n">
        <f aca="false">IF(C1192="",0,IF(COUNTIF(C$5:C1192,C1192)=1,1,0))</f>
        <v>0</v>
      </c>
      <c r="G1192" s="16" t="n">
        <f aca="false">SUM(F$5:F1192)</f>
        <v>8</v>
      </c>
      <c r="H1192" s="16" t="n">
        <f aca="false">IF(B1192="",0,IF(COUNTIF(B$5:B1192,B1192)=1,1,0))</f>
        <v>0</v>
      </c>
      <c r="I1192" s="16" t="n">
        <f aca="false">SUM(H$5:H1192)</f>
        <v>6</v>
      </c>
    </row>
    <row r="1193" customFormat="false" ht="15" hidden="false" customHeight="false" outlineLevel="0" collapsed="false">
      <c r="A1193" s="12"/>
      <c r="B1193" s="13"/>
      <c r="C1193" s="13"/>
      <c r="D1193" s="14"/>
      <c r="E1193" s="15"/>
      <c r="F1193" s="16" t="n">
        <f aca="false">IF(C1193="",0,IF(COUNTIF(C$5:C1193,C1193)=1,1,0))</f>
        <v>0</v>
      </c>
      <c r="G1193" s="16" t="n">
        <f aca="false">SUM(F$5:F1193)</f>
        <v>8</v>
      </c>
      <c r="H1193" s="16" t="n">
        <f aca="false">IF(B1193="",0,IF(COUNTIF(B$5:B1193,B1193)=1,1,0))</f>
        <v>0</v>
      </c>
      <c r="I1193" s="16" t="n">
        <f aca="false">SUM(H$5:H1193)</f>
        <v>6</v>
      </c>
    </row>
    <row r="1194" customFormat="false" ht="15" hidden="false" customHeight="false" outlineLevel="0" collapsed="false">
      <c r="A1194" s="12"/>
      <c r="B1194" s="13"/>
      <c r="C1194" s="13"/>
      <c r="D1194" s="14"/>
      <c r="E1194" s="15"/>
      <c r="F1194" s="16" t="n">
        <f aca="false">IF(C1194="",0,IF(COUNTIF(C$5:C1194,C1194)=1,1,0))</f>
        <v>0</v>
      </c>
      <c r="G1194" s="16" t="n">
        <f aca="false">SUM(F$5:F1194)</f>
        <v>8</v>
      </c>
      <c r="H1194" s="16" t="n">
        <f aca="false">IF(B1194="",0,IF(COUNTIF(B$5:B1194,B1194)=1,1,0))</f>
        <v>0</v>
      </c>
      <c r="I1194" s="16" t="n">
        <f aca="false">SUM(H$5:H1194)</f>
        <v>6</v>
      </c>
    </row>
    <row r="1195" customFormat="false" ht="15" hidden="false" customHeight="false" outlineLevel="0" collapsed="false">
      <c r="A1195" s="12"/>
      <c r="B1195" s="13"/>
      <c r="C1195" s="13"/>
      <c r="D1195" s="14"/>
      <c r="E1195" s="15"/>
      <c r="F1195" s="16" t="n">
        <f aca="false">IF(C1195="",0,IF(COUNTIF(C$5:C1195,C1195)=1,1,0))</f>
        <v>0</v>
      </c>
      <c r="G1195" s="16" t="n">
        <f aca="false">SUM(F$5:F1195)</f>
        <v>8</v>
      </c>
      <c r="H1195" s="16" t="n">
        <f aca="false">IF(B1195="",0,IF(COUNTIF(B$5:B1195,B1195)=1,1,0))</f>
        <v>0</v>
      </c>
      <c r="I1195" s="16" t="n">
        <f aca="false">SUM(H$5:H1195)</f>
        <v>6</v>
      </c>
    </row>
    <row r="1196" customFormat="false" ht="15" hidden="false" customHeight="false" outlineLevel="0" collapsed="false">
      <c r="A1196" s="12"/>
      <c r="B1196" s="13"/>
      <c r="C1196" s="13"/>
      <c r="D1196" s="14"/>
      <c r="E1196" s="15"/>
      <c r="F1196" s="16" t="n">
        <f aca="false">IF(C1196="",0,IF(COUNTIF(C$5:C1196,C1196)=1,1,0))</f>
        <v>0</v>
      </c>
      <c r="G1196" s="16" t="n">
        <f aca="false">SUM(F$5:F1196)</f>
        <v>8</v>
      </c>
      <c r="H1196" s="16" t="n">
        <f aca="false">IF(B1196="",0,IF(COUNTIF(B$5:B1196,B1196)=1,1,0))</f>
        <v>0</v>
      </c>
      <c r="I1196" s="16" t="n">
        <f aca="false">SUM(H$5:H1196)</f>
        <v>6</v>
      </c>
    </row>
    <row r="1197" customFormat="false" ht="15" hidden="false" customHeight="false" outlineLevel="0" collapsed="false">
      <c r="A1197" s="12"/>
      <c r="B1197" s="13"/>
      <c r="C1197" s="13"/>
      <c r="D1197" s="14"/>
      <c r="E1197" s="15"/>
      <c r="F1197" s="16" t="n">
        <f aca="false">IF(C1197="",0,IF(COUNTIF(C$5:C1197,C1197)=1,1,0))</f>
        <v>0</v>
      </c>
      <c r="G1197" s="16" t="n">
        <f aca="false">SUM(F$5:F1197)</f>
        <v>8</v>
      </c>
      <c r="H1197" s="16" t="n">
        <f aca="false">IF(B1197="",0,IF(COUNTIF(B$5:B1197,B1197)=1,1,0))</f>
        <v>0</v>
      </c>
      <c r="I1197" s="16" t="n">
        <f aca="false">SUM(H$5:H1197)</f>
        <v>6</v>
      </c>
    </row>
    <row r="1198" customFormat="false" ht="15" hidden="false" customHeight="false" outlineLevel="0" collapsed="false">
      <c r="A1198" s="12"/>
      <c r="B1198" s="13"/>
      <c r="C1198" s="13"/>
      <c r="D1198" s="14"/>
      <c r="E1198" s="15"/>
      <c r="F1198" s="16" t="n">
        <f aca="false">IF(C1198="",0,IF(COUNTIF(C$5:C1198,C1198)=1,1,0))</f>
        <v>0</v>
      </c>
      <c r="G1198" s="16" t="n">
        <f aca="false">SUM(F$5:F1198)</f>
        <v>8</v>
      </c>
      <c r="H1198" s="16" t="n">
        <f aca="false">IF(B1198="",0,IF(COUNTIF(B$5:B1198,B1198)=1,1,0))</f>
        <v>0</v>
      </c>
      <c r="I1198" s="16" t="n">
        <f aca="false">SUM(H$5:H1198)</f>
        <v>6</v>
      </c>
    </row>
    <row r="1199" customFormat="false" ht="15" hidden="false" customHeight="false" outlineLevel="0" collapsed="false">
      <c r="A1199" s="12"/>
      <c r="B1199" s="13"/>
      <c r="C1199" s="13"/>
      <c r="D1199" s="14"/>
      <c r="E1199" s="15"/>
      <c r="F1199" s="16" t="n">
        <f aca="false">IF(C1199="",0,IF(COUNTIF(C$5:C1199,C1199)=1,1,0))</f>
        <v>0</v>
      </c>
      <c r="G1199" s="16" t="n">
        <f aca="false">SUM(F$5:F1199)</f>
        <v>8</v>
      </c>
      <c r="H1199" s="16" t="n">
        <f aca="false">IF(B1199="",0,IF(COUNTIF(B$5:B1199,B1199)=1,1,0))</f>
        <v>0</v>
      </c>
      <c r="I1199" s="16" t="n">
        <f aca="false">SUM(H$5:H1199)</f>
        <v>6</v>
      </c>
    </row>
    <row r="1200" customFormat="false" ht="15" hidden="false" customHeight="false" outlineLevel="0" collapsed="false">
      <c r="A1200" s="12"/>
      <c r="B1200" s="13"/>
      <c r="C1200" s="13"/>
      <c r="D1200" s="14"/>
      <c r="E1200" s="15"/>
      <c r="F1200" s="16" t="n">
        <f aca="false">IF(C1200="",0,IF(COUNTIF(C$5:C1200,C1200)=1,1,0))</f>
        <v>0</v>
      </c>
      <c r="G1200" s="16" t="n">
        <f aca="false">SUM(F$5:F1200)</f>
        <v>8</v>
      </c>
      <c r="H1200" s="16" t="n">
        <f aca="false">IF(B1200="",0,IF(COUNTIF(B$5:B1200,B1200)=1,1,0))</f>
        <v>0</v>
      </c>
      <c r="I1200" s="16" t="n">
        <f aca="false">SUM(H$5:H1200)</f>
        <v>6</v>
      </c>
    </row>
    <row r="1201" customFormat="false" ht="15" hidden="false" customHeight="false" outlineLevel="0" collapsed="false">
      <c r="A1201" s="12"/>
      <c r="B1201" s="13"/>
      <c r="C1201" s="13"/>
      <c r="D1201" s="14"/>
      <c r="E1201" s="15"/>
      <c r="F1201" s="16" t="n">
        <f aca="false">IF(C1201="",0,IF(COUNTIF(C$5:C1201,C1201)=1,1,0))</f>
        <v>0</v>
      </c>
      <c r="G1201" s="16" t="n">
        <f aca="false">SUM(F$5:F1201)</f>
        <v>8</v>
      </c>
      <c r="H1201" s="16" t="n">
        <f aca="false">IF(B1201="",0,IF(COUNTIF(B$5:B1201,B1201)=1,1,0))</f>
        <v>0</v>
      </c>
      <c r="I1201" s="16" t="n">
        <f aca="false">SUM(H$5:H1201)</f>
        <v>6</v>
      </c>
    </row>
    <row r="1202" customFormat="false" ht="15" hidden="false" customHeight="false" outlineLevel="0" collapsed="false">
      <c r="A1202" s="12"/>
      <c r="B1202" s="13"/>
      <c r="C1202" s="13"/>
      <c r="D1202" s="14"/>
      <c r="E1202" s="15"/>
      <c r="F1202" s="16" t="n">
        <f aca="false">IF(C1202="",0,IF(COUNTIF(C$5:C1202,C1202)=1,1,0))</f>
        <v>0</v>
      </c>
      <c r="G1202" s="16" t="n">
        <f aca="false">SUM(F$5:F1202)</f>
        <v>8</v>
      </c>
      <c r="H1202" s="16" t="n">
        <f aca="false">IF(B1202="",0,IF(COUNTIF(B$5:B1202,B1202)=1,1,0))</f>
        <v>0</v>
      </c>
      <c r="I1202" s="16" t="n">
        <f aca="false">SUM(H$5:H1202)</f>
        <v>6</v>
      </c>
    </row>
    <row r="1203" customFormat="false" ht="15" hidden="false" customHeight="false" outlineLevel="0" collapsed="false">
      <c r="A1203" s="12"/>
      <c r="B1203" s="13"/>
      <c r="C1203" s="13"/>
      <c r="D1203" s="14"/>
      <c r="E1203" s="15"/>
      <c r="F1203" s="16" t="n">
        <f aca="false">IF(C1203="",0,IF(COUNTIF(C$5:C1203,C1203)=1,1,0))</f>
        <v>0</v>
      </c>
      <c r="G1203" s="16" t="n">
        <f aca="false">SUM(F$5:F1203)</f>
        <v>8</v>
      </c>
      <c r="H1203" s="16" t="n">
        <f aca="false">IF(B1203="",0,IF(COUNTIF(B$5:B1203,B1203)=1,1,0))</f>
        <v>0</v>
      </c>
      <c r="I1203" s="16" t="n">
        <f aca="false">SUM(H$5:H1203)</f>
        <v>6</v>
      </c>
    </row>
    <row r="1204" customFormat="false" ht="15" hidden="false" customHeight="false" outlineLevel="0" collapsed="false">
      <c r="A1204" s="12"/>
      <c r="B1204" s="13"/>
      <c r="C1204" s="13"/>
      <c r="D1204" s="14"/>
      <c r="E1204" s="15"/>
      <c r="F1204" s="16" t="n">
        <f aca="false">IF(C1204="",0,IF(COUNTIF(C$5:C1204,C1204)=1,1,0))</f>
        <v>0</v>
      </c>
      <c r="G1204" s="16" t="n">
        <f aca="false">SUM(F$5:F1204)</f>
        <v>8</v>
      </c>
      <c r="H1204" s="16" t="n">
        <f aca="false">IF(B1204="",0,IF(COUNTIF(B$5:B1204,B1204)=1,1,0))</f>
        <v>0</v>
      </c>
      <c r="I1204" s="16" t="n">
        <f aca="false">SUM(H$5:H1204)</f>
        <v>6</v>
      </c>
    </row>
    <row r="1205" customFormat="false" ht="15" hidden="false" customHeight="false" outlineLevel="0" collapsed="false">
      <c r="A1205" s="12"/>
      <c r="B1205" s="13"/>
      <c r="C1205" s="13"/>
      <c r="D1205" s="14"/>
      <c r="E1205" s="15"/>
      <c r="F1205" s="16" t="n">
        <f aca="false">IF(C1205="",0,IF(COUNTIF(C$5:C1205,C1205)=1,1,0))</f>
        <v>0</v>
      </c>
      <c r="G1205" s="16" t="n">
        <f aca="false">SUM(F$5:F1205)</f>
        <v>8</v>
      </c>
      <c r="H1205" s="16" t="n">
        <f aca="false">IF(B1205="",0,IF(COUNTIF(B$5:B1205,B1205)=1,1,0))</f>
        <v>0</v>
      </c>
      <c r="I1205" s="16" t="n">
        <f aca="false">SUM(H$5:H1205)</f>
        <v>6</v>
      </c>
    </row>
    <row r="1206" customFormat="false" ht="15" hidden="false" customHeight="false" outlineLevel="0" collapsed="false">
      <c r="A1206" s="12"/>
      <c r="B1206" s="13"/>
      <c r="C1206" s="13"/>
      <c r="D1206" s="14"/>
      <c r="E1206" s="15"/>
      <c r="F1206" s="16" t="n">
        <f aca="false">IF(C1206="",0,IF(COUNTIF(C$5:C1206,C1206)=1,1,0))</f>
        <v>0</v>
      </c>
      <c r="G1206" s="16" t="n">
        <f aca="false">SUM(F$5:F1206)</f>
        <v>8</v>
      </c>
      <c r="H1206" s="16" t="n">
        <f aca="false">IF(B1206="",0,IF(COUNTIF(B$5:B1206,B1206)=1,1,0))</f>
        <v>0</v>
      </c>
      <c r="I1206" s="16" t="n">
        <f aca="false">SUM(H$5:H1206)</f>
        <v>6</v>
      </c>
    </row>
    <row r="1207" customFormat="false" ht="15" hidden="false" customHeight="false" outlineLevel="0" collapsed="false">
      <c r="A1207" s="12"/>
      <c r="B1207" s="13"/>
      <c r="C1207" s="13"/>
      <c r="D1207" s="14"/>
      <c r="E1207" s="15"/>
      <c r="F1207" s="16" t="n">
        <f aca="false">IF(C1207="",0,IF(COUNTIF(C$5:C1207,C1207)=1,1,0))</f>
        <v>0</v>
      </c>
      <c r="G1207" s="16" t="n">
        <f aca="false">SUM(F$5:F1207)</f>
        <v>8</v>
      </c>
      <c r="H1207" s="16" t="n">
        <f aca="false">IF(B1207="",0,IF(COUNTIF(B$5:B1207,B1207)=1,1,0))</f>
        <v>0</v>
      </c>
      <c r="I1207" s="16" t="n">
        <f aca="false">SUM(H$5:H1207)</f>
        <v>6</v>
      </c>
    </row>
    <row r="1208" customFormat="false" ht="15" hidden="false" customHeight="false" outlineLevel="0" collapsed="false">
      <c r="A1208" s="12"/>
      <c r="B1208" s="13"/>
      <c r="C1208" s="13"/>
      <c r="D1208" s="14"/>
      <c r="E1208" s="15"/>
      <c r="F1208" s="16" t="n">
        <f aca="false">IF(C1208="",0,IF(COUNTIF(C$5:C1208,C1208)=1,1,0))</f>
        <v>0</v>
      </c>
      <c r="G1208" s="16" t="n">
        <f aca="false">SUM(F$5:F1208)</f>
        <v>8</v>
      </c>
      <c r="H1208" s="16" t="n">
        <f aca="false">IF(B1208="",0,IF(COUNTIF(B$5:B1208,B1208)=1,1,0))</f>
        <v>0</v>
      </c>
      <c r="I1208" s="16" t="n">
        <f aca="false">SUM(H$5:H1208)</f>
        <v>6</v>
      </c>
    </row>
    <row r="1209" customFormat="false" ht="15" hidden="false" customHeight="false" outlineLevel="0" collapsed="false">
      <c r="A1209" s="12"/>
      <c r="B1209" s="13"/>
      <c r="C1209" s="13"/>
      <c r="D1209" s="14"/>
      <c r="E1209" s="15"/>
      <c r="F1209" s="16" t="n">
        <f aca="false">IF(C1209="",0,IF(COUNTIF(C$5:C1209,C1209)=1,1,0))</f>
        <v>0</v>
      </c>
      <c r="G1209" s="16" t="n">
        <f aca="false">SUM(F$5:F1209)</f>
        <v>8</v>
      </c>
      <c r="H1209" s="16" t="n">
        <f aca="false">IF(B1209="",0,IF(COUNTIF(B$5:B1209,B1209)=1,1,0))</f>
        <v>0</v>
      </c>
      <c r="I1209" s="16" t="n">
        <f aca="false">SUM(H$5:H1209)</f>
        <v>6</v>
      </c>
    </row>
    <row r="1210" customFormat="false" ht="15" hidden="false" customHeight="false" outlineLevel="0" collapsed="false">
      <c r="A1210" s="12"/>
      <c r="B1210" s="13"/>
      <c r="C1210" s="13"/>
      <c r="D1210" s="14"/>
      <c r="E1210" s="15"/>
      <c r="F1210" s="16" t="n">
        <f aca="false">IF(C1210="",0,IF(COUNTIF(C$5:C1210,C1210)=1,1,0))</f>
        <v>0</v>
      </c>
      <c r="G1210" s="16" t="n">
        <f aca="false">SUM(F$5:F1210)</f>
        <v>8</v>
      </c>
      <c r="H1210" s="16" t="n">
        <f aca="false">IF(B1210="",0,IF(COUNTIF(B$5:B1210,B1210)=1,1,0))</f>
        <v>0</v>
      </c>
      <c r="I1210" s="16" t="n">
        <f aca="false">SUM(H$5:H1210)</f>
        <v>6</v>
      </c>
    </row>
    <row r="1211" customFormat="false" ht="15" hidden="false" customHeight="false" outlineLevel="0" collapsed="false">
      <c r="A1211" s="12"/>
      <c r="B1211" s="13"/>
      <c r="C1211" s="13"/>
      <c r="D1211" s="14"/>
      <c r="E1211" s="15"/>
      <c r="F1211" s="16" t="n">
        <f aca="false">IF(C1211="",0,IF(COUNTIF(C$5:C1211,C1211)=1,1,0))</f>
        <v>0</v>
      </c>
      <c r="G1211" s="16" t="n">
        <f aca="false">SUM(F$5:F1211)</f>
        <v>8</v>
      </c>
      <c r="H1211" s="16" t="n">
        <f aca="false">IF(B1211="",0,IF(COUNTIF(B$5:B1211,B1211)=1,1,0))</f>
        <v>0</v>
      </c>
      <c r="I1211" s="16" t="n">
        <f aca="false">SUM(H$5:H1211)</f>
        <v>6</v>
      </c>
    </row>
    <row r="1212" customFormat="false" ht="15" hidden="false" customHeight="false" outlineLevel="0" collapsed="false">
      <c r="A1212" s="12"/>
      <c r="B1212" s="13"/>
      <c r="C1212" s="13"/>
      <c r="D1212" s="14"/>
      <c r="E1212" s="15"/>
      <c r="F1212" s="16" t="n">
        <f aca="false">IF(C1212="",0,IF(COUNTIF(C$5:C1212,C1212)=1,1,0))</f>
        <v>0</v>
      </c>
      <c r="G1212" s="16" t="n">
        <f aca="false">SUM(F$5:F1212)</f>
        <v>8</v>
      </c>
      <c r="H1212" s="16" t="n">
        <f aca="false">IF(B1212="",0,IF(COUNTIF(B$5:B1212,B1212)=1,1,0))</f>
        <v>0</v>
      </c>
      <c r="I1212" s="16" t="n">
        <f aca="false">SUM(H$5:H1212)</f>
        <v>6</v>
      </c>
    </row>
    <row r="1213" customFormat="false" ht="15" hidden="false" customHeight="false" outlineLevel="0" collapsed="false">
      <c r="A1213" s="12"/>
      <c r="B1213" s="13"/>
      <c r="C1213" s="13"/>
      <c r="D1213" s="14"/>
      <c r="E1213" s="15"/>
      <c r="F1213" s="16" t="n">
        <f aca="false">IF(C1213="",0,IF(COUNTIF(C$5:C1213,C1213)=1,1,0))</f>
        <v>0</v>
      </c>
      <c r="G1213" s="16" t="n">
        <f aca="false">SUM(F$5:F1213)</f>
        <v>8</v>
      </c>
      <c r="H1213" s="16" t="n">
        <f aca="false">IF(B1213="",0,IF(COUNTIF(B$5:B1213,B1213)=1,1,0))</f>
        <v>0</v>
      </c>
      <c r="I1213" s="16" t="n">
        <f aca="false">SUM(H$5:H1213)</f>
        <v>6</v>
      </c>
    </row>
    <row r="1214" customFormat="false" ht="15" hidden="false" customHeight="false" outlineLevel="0" collapsed="false">
      <c r="A1214" s="12"/>
      <c r="B1214" s="13"/>
      <c r="C1214" s="13"/>
      <c r="D1214" s="14"/>
      <c r="E1214" s="15"/>
      <c r="F1214" s="16" t="n">
        <f aca="false">IF(C1214="",0,IF(COUNTIF(C$5:C1214,C1214)=1,1,0))</f>
        <v>0</v>
      </c>
      <c r="G1214" s="16" t="n">
        <f aca="false">SUM(F$5:F1214)</f>
        <v>8</v>
      </c>
      <c r="H1214" s="16" t="n">
        <f aca="false">IF(B1214="",0,IF(COUNTIF(B$5:B1214,B1214)=1,1,0))</f>
        <v>0</v>
      </c>
      <c r="I1214" s="16" t="n">
        <f aca="false">SUM(H$5:H1214)</f>
        <v>6</v>
      </c>
    </row>
    <row r="1215" customFormat="false" ht="15" hidden="false" customHeight="false" outlineLevel="0" collapsed="false">
      <c r="A1215" s="12"/>
      <c r="B1215" s="13"/>
      <c r="C1215" s="13"/>
      <c r="D1215" s="14"/>
      <c r="E1215" s="15"/>
      <c r="F1215" s="16" t="n">
        <f aca="false">IF(C1215="",0,IF(COUNTIF(C$5:C1215,C1215)=1,1,0))</f>
        <v>0</v>
      </c>
      <c r="G1215" s="16" t="n">
        <f aca="false">SUM(F$5:F1215)</f>
        <v>8</v>
      </c>
      <c r="H1215" s="16" t="n">
        <f aca="false">IF(B1215="",0,IF(COUNTIF(B$5:B1215,B1215)=1,1,0))</f>
        <v>0</v>
      </c>
      <c r="I1215" s="16" t="n">
        <f aca="false">SUM(H$5:H1215)</f>
        <v>6</v>
      </c>
    </row>
    <row r="1216" customFormat="false" ht="15" hidden="false" customHeight="false" outlineLevel="0" collapsed="false">
      <c r="A1216" s="12"/>
      <c r="B1216" s="13"/>
      <c r="C1216" s="13"/>
      <c r="D1216" s="14"/>
      <c r="E1216" s="15"/>
      <c r="F1216" s="16" t="n">
        <f aca="false">IF(C1216="",0,IF(COUNTIF(C$5:C1216,C1216)=1,1,0))</f>
        <v>0</v>
      </c>
      <c r="G1216" s="16" t="n">
        <f aca="false">SUM(F$5:F1216)</f>
        <v>8</v>
      </c>
      <c r="H1216" s="16" t="n">
        <f aca="false">IF(B1216="",0,IF(COUNTIF(B$5:B1216,B1216)=1,1,0))</f>
        <v>0</v>
      </c>
      <c r="I1216" s="16" t="n">
        <f aca="false">SUM(H$5:H1216)</f>
        <v>6</v>
      </c>
    </row>
    <row r="1217" customFormat="false" ht="15" hidden="false" customHeight="false" outlineLevel="0" collapsed="false">
      <c r="A1217" s="12"/>
      <c r="B1217" s="13"/>
      <c r="C1217" s="13"/>
      <c r="D1217" s="14"/>
      <c r="E1217" s="15"/>
      <c r="F1217" s="16" t="n">
        <f aca="false">IF(C1217="",0,IF(COUNTIF(C$5:C1217,C1217)=1,1,0))</f>
        <v>0</v>
      </c>
      <c r="G1217" s="16" t="n">
        <f aca="false">SUM(F$5:F1217)</f>
        <v>8</v>
      </c>
      <c r="H1217" s="16" t="n">
        <f aca="false">IF(B1217="",0,IF(COUNTIF(B$5:B1217,B1217)=1,1,0))</f>
        <v>0</v>
      </c>
      <c r="I1217" s="16" t="n">
        <f aca="false">SUM(H$5:H1217)</f>
        <v>6</v>
      </c>
    </row>
    <row r="1218" customFormat="false" ht="15" hidden="false" customHeight="false" outlineLevel="0" collapsed="false">
      <c r="A1218" s="12"/>
      <c r="B1218" s="13"/>
      <c r="C1218" s="13"/>
      <c r="D1218" s="14"/>
      <c r="E1218" s="15"/>
      <c r="F1218" s="16" t="n">
        <f aca="false">IF(C1218="",0,IF(COUNTIF(C$5:C1218,C1218)=1,1,0))</f>
        <v>0</v>
      </c>
      <c r="G1218" s="16" t="n">
        <f aca="false">SUM(F$5:F1218)</f>
        <v>8</v>
      </c>
      <c r="H1218" s="16" t="n">
        <f aca="false">IF(B1218="",0,IF(COUNTIF(B$5:B1218,B1218)=1,1,0))</f>
        <v>0</v>
      </c>
      <c r="I1218" s="16" t="n">
        <f aca="false">SUM(H$5:H1218)</f>
        <v>6</v>
      </c>
    </row>
    <row r="1219" customFormat="false" ht="15" hidden="false" customHeight="false" outlineLevel="0" collapsed="false">
      <c r="A1219" s="12"/>
      <c r="B1219" s="13"/>
      <c r="C1219" s="13"/>
      <c r="D1219" s="14"/>
      <c r="E1219" s="15"/>
      <c r="F1219" s="16" t="n">
        <f aca="false">IF(C1219="",0,IF(COUNTIF(C$5:C1219,C1219)=1,1,0))</f>
        <v>0</v>
      </c>
      <c r="G1219" s="16" t="n">
        <f aca="false">SUM(F$5:F1219)</f>
        <v>8</v>
      </c>
      <c r="H1219" s="16" t="n">
        <f aca="false">IF(B1219="",0,IF(COUNTIF(B$5:B1219,B1219)=1,1,0))</f>
        <v>0</v>
      </c>
      <c r="I1219" s="16" t="n">
        <f aca="false">SUM(H$5:H1219)</f>
        <v>6</v>
      </c>
    </row>
    <row r="1220" customFormat="false" ht="15" hidden="false" customHeight="false" outlineLevel="0" collapsed="false">
      <c r="A1220" s="12"/>
      <c r="B1220" s="13"/>
      <c r="C1220" s="13"/>
      <c r="D1220" s="14"/>
      <c r="E1220" s="15"/>
      <c r="F1220" s="16" t="n">
        <f aca="false">IF(C1220="",0,IF(COUNTIF(C$5:C1220,C1220)=1,1,0))</f>
        <v>0</v>
      </c>
      <c r="G1220" s="16" t="n">
        <f aca="false">SUM(F$5:F1220)</f>
        <v>8</v>
      </c>
      <c r="H1220" s="16" t="n">
        <f aca="false">IF(B1220="",0,IF(COUNTIF(B$5:B1220,B1220)=1,1,0))</f>
        <v>0</v>
      </c>
      <c r="I1220" s="16" t="n">
        <f aca="false">SUM(H$5:H1220)</f>
        <v>6</v>
      </c>
    </row>
    <row r="1221" customFormat="false" ht="15" hidden="false" customHeight="false" outlineLevel="0" collapsed="false">
      <c r="A1221" s="12"/>
      <c r="B1221" s="13"/>
      <c r="C1221" s="13"/>
      <c r="D1221" s="14"/>
      <c r="E1221" s="15"/>
      <c r="F1221" s="16" t="n">
        <f aca="false">IF(C1221="",0,IF(COUNTIF(C$5:C1221,C1221)=1,1,0))</f>
        <v>0</v>
      </c>
      <c r="G1221" s="16" t="n">
        <f aca="false">SUM(F$5:F1221)</f>
        <v>8</v>
      </c>
      <c r="H1221" s="16" t="n">
        <f aca="false">IF(B1221="",0,IF(COUNTIF(B$5:B1221,B1221)=1,1,0))</f>
        <v>0</v>
      </c>
      <c r="I1221" s="16" t="n">
        <f aca="false">SUM(H$5:H1221)</f>
        <v>6</v>
      </c>
    </row>
    <row r="1222" customFormat="false" ht="15" hidden="false" customHeight="false" outlineLevel="0" collapsed="false">
      <c r="A1222" s="12"/>
      <c r="B1222" s="13"/>
      <c r="C1222" s="13"/>
      <c r="D1222" s="14"/>
      <c r="E1222" s="15"/>
      <c r="F1222" s="16" t="n">
        <f aca="false">IF(C1222="",0,IF(COUNTIF(C$5:C1222,C1222)=1,1,0))</f>
        <v>0</v>
      </c>
      <c r="G1222" s="16" t="n">
        <f aca="false">SUM(F$5:F1222)</f>
        <v>8</v>
      </c>
      <c r="H1222" s="16" t="n">
        <f aca="false">IF(B1222="",0,IF(COUNTIF(B$5:B1222,B1222)=1,1,0))</f>
        <v>0</v>
      </c>
      <c r="I1222" s="16" t="n">
        <f aca="false">SUM(H$5:H1222)</f>
        <v>6</v>
      </c>
    </row>
    <row r="1223" customFormat="false" ht="15" hidden="false" customHeight="false" outlineLevel="0" collapsed="false">
      <c r="A1223" s="12"/>
      <c r="B1223" s="13"/>
      <c r="C1223" s="13"/>
      <c r="D1223" s="14"/>
      <c r="E1223" s="15"/>
      <c r="F1223" s="16" t="n">
        <f aca="false">IF(C1223="",0,IF(COUNTIF(C$5:C1223,C1223)=1,1,0))</f>
        <v>0</v>
      </c>
      <c r="G1223" s="16" t="n">
        <f aca="false">SUM(F$5:F1223)</f>
        <v>8</v>
      </c>
      <c r="H1223" s="16" t="n">
        <f aca="false">IF(B1223="",0,IF(COUNTIF(B$5:B1223,B1223)=1,1,0))</f>
        <v>0</v>
      </c>
      <c r="I1223" s="16" t="n">
        <f aca="false">SUM(H$5:H1223)</f>
        <v>6</v>
      </c>
    </row>
    <row r="1224" customFormat="false" ht="15" hidden="false" customHeight="false" outlineLevel="0" collapsed="false">
      <c r="A1224" s="12"/>
      <c r="B1224" s="13"/>
      <c r="C1224" s="13"/>
      <c r="D1224" s="14"/>
      <c r="E1224" s="15"/>
      <c r="F1224" s="16" t="n">
        <f aca="false">IF(C1224="",0,IF(COUNTIF(C$5:C1224,C1224)=1,1,0))</f>
        <v>0</v>
      </c>
      <c r="G1224" s="16" t="n">
        <f aca="false">SUM(F$5:F1224)</f>
        <v>8</v>
      </c>
      <c r="H1224" s="16" t="n">
        <f aca="false">IF(B1224="",0,IF(COUNTIF(B$5:B1224,B1224)=1,1,0))</f>
        <v>0</v>
      </c>
      <c r="I1224" s="16" t="n">
        <f aca="false">SUM(H$5:H1224)</f>
        <v>6</v>
      </c>
    </row>
    <row r="1225" customFormat="false" ht="15" hidden="false" customHeight="false" outlineLevel="0" collapsed="false">
      <c r="A1225" s="12"/>
      <c r="B1225" s="13"/>
      <c r="C1225" s="13"/>
      <c r="D1225" s="14"/>
      <c r="E1225" s="15"/>
      <c r="F1225" s="16" t="n">
        <f aca="false">IF(C1225="",0,IF(COUNTIF(C$5:C1225,C1225)=1,1,0))</f>
        <v>0</v>
      </c>
      <c r="G1225" s="16" t="n">
        <f aca="false">SUM(F$5:F1225)</f>
        <v>8</v>
      </c>
      <c r="H1225" s="16" t="n">
        <f aca="false">IF(B1225="",0,IF(COUNTIF(B$5:B1225,B1225)=1,1,0))</f>
        <v>0</v>
      </c>
      <c r="I1225" s="16" t="n">
        <f aca="false">SUM(H$5:H1225)</f>
        <v>6</v>
      </c>
    </row>
    <row r="1226" customFormat="false" ht="15" hidden="false" customHeight="false" outlineLevel="0" collapsed="false">
      <c r="A1226" s="12"/>
      <c r="B1226" s="13"/>
      <c r="C1226" s="13"/>
      <c r="D1226" s="14"/>
      <c r="E1226" s="15"/>
      <c r="F1226" s="16" t="n">
        <f aca="false">IF(C1226="",0,IF(COUNTIF(C$5:C1226,C1226)=1,1,0))</f>
        <v>0</v>
      </c>
      <c r="G1226" s="16" t="n">
        <f aca="false">SUM(F$5:F1226)</f>
        <v>8</v>
      </c>
      <c r="H1226" s="16" t="n">
        <f aca="false">IF(B1226="",0,IF(COUNTIF(B$5:B1226,B1226)=1,1,0))</f>
        <v>0</v>
      </c>
      <c r="I1226" s="16" t="n">
        <f aca="false">SUM(H$5:H1226)</f>
        <v>6</v>
      </c>
    </row>
    <row r="1227" customFormat="false" ht="15" hidden="false" customHeight="false" outlineLevel="0" collapsed="false">
      <c r="A1227" s="12"/>
      <c r="B1227" s="13"/>
      <c r="C1227" s="13"/>
      <c r="D1227" s="14"/>
      <c r="E1227" s="15"/>
      <c r="F1227" s="16" t="n">
        <f aca="false">IF(C1227="",0,IF(COUNTIF(C$5:C1227,C1227)=1,1,0))</f>
        <v>0</v>
      </c>
      <c r="G1227" s="16" t="n">
        <f aca="false">SUM(F$5:F1227)</f>
        <v>8</v>
      </c>
      <c r="H1227" s="16" t="n">
        <f aca="false">IF(B1227="",0,IF(COUNTIF(B$5:B1227,B1227)=1,1,0))</f>
        <v>0</v>
      </c>
      <c r="I1227" s="16" t="n">
        <f aca="false">SUM(H$5:H1227)</f>
        <v>6</v>
      </c>
    </row>
    <row r="1228" customFormat="false" ht="15" hidden="false" customHeight="false" outlineLevel="0" collapsed="false">
      <c r="A1228" s="12"/>
      <c r="B1228" s="13"/>
      <c r="C1228" s="13"/>
      <c r="D1228" s="14"/>
      <c r="E1228" s="15"/>
      <c r="F1228" s="16" t="n">
        <f aca="false">IF(C1228="",0,IF(COUNTIF(C$5:C1228,C1228)=1,1,0))</f>
        <v>0</v>
      </c>
      <c r="G1228" s="16" t="n">
        <f aca="false">SUM(F$5:F1228)</f>
        <v>8</v>
      </c>
      <c r="H1228" s="16" t="n">
        <f aca="false">IF(B1228="",0,IF(COUNTIF(B$5:B1228,B1228)=1,1,0))</f>
        <v>0</v>
      </c>
      <c r="I1228" s="16" t="n">
        <f aca="false">SUM(H$5:H1228)</f>
        <v>6</v>
      </c>
    </row>
    <row r="1229" customFormat="false" ht="15" hidden="false" customHeight="false" outlineLevel="0" collapsed="false">
      <c r="A1229" s="12"/>
      <c r="B1229" s="13"/>
      <c r="C1229" s="13"/>
      <c r="D1229" s="14"/>
      <c r="E1229" s="15"/>
      <c r="F1229" s="16" t="n">
        <f aca="false">IF(C1229="",0,IF(COUNTIF(C$5:C1229,C1229)=1,1,0))</f>
        <v>0</v>
      </c>
      <c r="G1229" s="16" t="n">
        <f aca="false">SUM(F$5:F1229)</f>
        <v>8</v>
      </c>
      <c r="H1229" s="16" t="n">
        <f aca="false">IF(B1229="",0,IF(COUNTIF(B$5:B1229,B1229)=1,1,0))</f>
        <v>0</v>
      </c>
      <c r="I1229" s="16" t="n">
        <f aca="false">SUM(H$5:H1229)</f>
        <v>6</v>
      </c>
    </row>
    <row r="1230" customFormat="false" ht="15" hidden="false" customHeight="false" outlineLevel="0" collapsed="false">
      <c r="A1230" s="12"/>
      <c r="B1230" s="13"/>
      <c r="C1230" s="13"/>
      <c r="D1230" s="14"/>
      <c r="E1230" s="15"/>
      <c r="F1230" s="16" t="n">
        <f aca="false">IF(C1230="",0,IF(COUNTIF(C$5:C1230,C1230)=1,1,0))</f>
        <v>0</v>
      </c>
      <c r="G1230" s="16" t="n">
        <f aca="false">SUM(F$5:F1230)</f>
        <v>8</v>
      </c>
      <c r="H1230" s="16" t="n">
        <f aca="false">IF(B1230="",0,IF(COUNTIF(B$5:B1230,B1230)=1,1,0))</f>
        <v>0</v>
      </c>
      <c r="I1230" s="16" t="n">
        <f aca="false">SUM(H$5:H1230)</f>
        <v>6</v>
      </c>
    </row>
    <row r="1231" customFormat="false" ht="15" hidden="false" customHeight="false" outlineLevel="0" collapsed="false">
      <c r="A1231" s="12"/>
      <c r="B1231" s="13"/>
      <c r="C1231" s="13"/>
      <c r="D1231" s="14"/>
      <c r="E1231" s="15"/>
      <c r="F1231" s="16" t="n">
        <f aca="false">IF(C1231="",0,IF(COUNTIF(C$5:C1231,C1231)=1,1,0))</f>
        <v>0</v>
      </c>
      <c r="G1231" s="16" t="n">
        <f aca="false">SUM(F$5:F1231)</f>
        <v>8</v>
      </c>
      <c r="H1231" s="16" t="n">
        <f aca="false">IF(B1231="",0,IF(COUNTIF(B$5:B1231,B1231)=1,1,0))</f>
        <v>0</v>
      </c>
      <c r="I1231" s="16" t="n">
        <f aca="false">SUM(H$5:H1231)</f>
        <v>6</v>
      </c>
    </row>
    <row r="1232" customFormat="false" ht="15" hidden="false" customHeight="false" outlineLevel="0" collapsed="false">
      <c r="A1232" s="12"/>
      <c r="B1232" s="13"/>
      <c r="C1232" s="13"/>
      <c r="D1232" s="14"/>
      <c r="E1232" s="15"/>
      <c r="F1232" s="16" t="n">
        <f aca="false">IF(C1232="",0,IF(COUNTIF(C$5:C1232,C1232)=1,1,0))</f>
        <v>0</v>
      </c>
      <c r="G1232" s="16" t="n">
        <f aca="false">SUM(F$5:F1232)</f>
        <v>8</v>
      </c>
      <c r="H1232" s="16" t="n">
        <f aca="false">IF(B1232="",0,IF(COUNTIF(B$5:B1232,B1232)=1,1,0))</f>
        <v>0</v>
      </c>
      <c r="I1232" s="16" t="n">
        <f aca="false">SUM(H$5:H1232)</f>
        <v>6</v>
      </c>
    </row>
    <row r="1233" customFormat="false" ht="15" hidden="false" customHeight="false" outlineLevel="0" collapsed="false">
      <c r="A1233" s="12"/>
      <c r="B1233" s="13"/>
      <c r="C1233" s="13"/>
      <c r="D1233" s="14"/>
      <c r="E1233" s="15"/>
      <c r="F1233" s="16" t="n">
        <f aca="false">IF(C1233="",0,IF(COUNTIF(C$5:C1233,C1233)=1,1,0))</f>
        <v>0</v>
      </c>
      <c r="G1233" s="16" t="n">
        <f aca="false">SUM(F$5:F1233)</f>
        <v>8</v>
      </c>
      <c r="H1233" s="16" t="n">
        <f aca="false">IF(B1233="",0,IF(COUNTIF(B$5:B1233,B1233)=1,1,0))</f>
        <v>0</v>
      </c>
      <c r="I1233" s="16" t="n">
        <f aca="false">SUM(H$5:H1233)</f>
        <v>6</v>
      </c>
    </row>
    <row r="1234" customFormat="false" ht="15" hidden="false" customHeight="false" outlineLevel="0" collapsed="false">
      <c r="A1234" s="12"/>
      <c r="B1234" s="13"/>
      <c r="C1234" s="13"/>
      <c r="D1234" s="14"/>
      <c r="E1234" s="15"/>
      <c r="F1234" s="16" t="n">
        <f aca="false">IF(C1234="",0,IF(COUNTIF(C$5:C1234,C1234)=1,1,0))</f>
        <v>0</v>
      </c>
      <c r="G1234" s="16" t="n">
        <f aca="false">SUM(F$5:F1234)</f>
        <v>8</v>
      </c>
      <c r="H1234" s="16" t="n">
        <f aca="false">IF(B1234="",0,IF(COUNTIF(B$5:B1234,B1234)=1,1,0))</f>
        <v>0</v>
      </c>
      <c r="I1234" s="16" t="n">
        <f aca="false">SUM(H$5:H1234)</f>
        <v>6</v>
      </c>
    </row>
    <row r="1235" customFormat="false" ht="15" hidden="false" customHeight="false" outlineLevel="0" collapsed="false">
      <c r="A1235" s="12"/>
      <c r="B1235" s="13"/>
      <c r="C1235" s="13"/>
      <c r="D1235" s="14"/>
      <c r="E1235" s="15"/>
      <c r="F1235" s="16" t="n">
        <f aca="false">IF(C1235="",0,IF(COUNTIF(C$5:C1235,C1235)=1,1,0))</f>
        <v>0</v>
      </c>
      <c r="G1235" s="16" t="n">
        <f aca="false">SUM(F$5:F1235)</f>
        <v>8</v>
      </c>
      <c r="H1235" s="16" t="n">
        <f aca="false">IF(B1235="",0,IF(COUNTIF(B$5:B1235,B1235)=1,1,0))</f>
        <v>0</v>
      </c>
      <c r="I1235" s="16" t="n">
        <f aca="false">SUM(H$5:H1235)</f>
        <v>6</v>
      </c>
    </row>
    <row r="1236" customFormat="false" ht="15" hidden="false" customHeight="false" outlineLevel="0" collapsed="false">
      <c r="A1236" s="12"/>
      <c r="B1236" s="13"/>
      <c r="C1236" s="13"/>
      <c r="D1236" s="14"/>
      <c r="E1236" s="15"/>
      <c r="F1236" s="16" t="n">
        <f aca="false">IF(C1236="",0,IF(COUNTIF(C$5:C1236,C1236)=1,1,0))</f>
        <v>0</v>
      </c>
      <c r="G1236" s="16" t="n">
        <f aca="false">SUM(F$5:F1236)</f>
        <v>8</v>
      </c>
      <c r="H1236" s="16" t="n">
        <f aca="false">IF(B1236="",0,IF(COUNTIF(B$5:B1236,B1236)=1,1,0))</f>
        <v>0</v>
      </c>
      <c r="I1236" s="16" t="n">
        <f aca="false">SUM(H$5:H1236)</f>
        <v>6</v>
      </c>
    </row>
    <row r="1237" customFormat="false" ht="15" hidden="false" customHeight="false" outlineLevel="0" collapsed="false">
      <c r="A1237" s="12"/>
      <c r="B1237" s="13"/>
      <c r="C1237" s="13"/>
      <c r="D1237" s="14"/>
      <c r="E1237" s="15"/>
      <c r="F1237" s="16" t="n">
        <f aca="false">IF(C1237="",0,IF(COUNTIF(C$5:C1237,C1237)=1,1,0))</f>
        <v>0</v>
      </c>
      <c r="G1237" s="16" t="n">
        <f aca="false">SUM(F$5:F1237)</f>
        <v>8</v>
      </c>
      <c r="H1237" s="16" t="n">
        <f aca="false">IF(B1237="",0,IF(COUNTIF(B$5:B1237,B1237)=1,1,0))</f>
        <v>0</v>
      </c>
      <c r="I1237" s="16" t="n">
        <f aca="false">SUM(H$5:H1237)</f>
        <v>6</v>
      </c>
    </row>
    <row r="1238" customFormat="false" ht="15" hidden="false" customHeight="false" outlineLevel="0" collapsed="false">
      <c r="A1238" s="12"/>
      <c r="B1238" s="13"/>
      <c r="C1238" s="13"/>
      <c r="D1238" s="14"/>
      <c r="E1238" s="15"/>
      <c r="F1238" s="16" t="n">
        <f aca="false">IF(C1238="",0,IF(COUNTIF(C$5:C1238,C1238)=1,1,0))</f>
        <v>0</v>
      </c>
      <c r="G1238" s="16" t="n">
        <f aca="false">SUM(F$5:F1238)</f>
        <v>8</v>
      </c>
      <c r="H1238" s="16" t="n">
        <f aca="false">IF(B1238="",0,IF(COUNTIF(B$5:B1238,B1238)=1,1,0))</f>
        <v>0</v>
      </c>
      <c r="I1238" s="16" t="n">
        <f aca="false">SUM(H$5:H1238)</f>
        <v>6</v>
      </c>
    </row>
    <row r="1239" customFormat="false" ht="15" hidden="false" customHeight="false" outlineLevel="0" collapsed="false">
      <c r="A1239" s="12"/>
      <c r="B1239" s="13"/>
      <c r="C1239" s="13"/>
      <c r="D1239" s="14"/>
      <c r="E1239" s="15"/>
      <c r="F1239" s="16" t="n">
        <f aca="false">IF(C1239="",0,IF(COUNTIF(C$5:C1239,C1239)=1,1,0))</f>
        <v>0</v>
      </c>
      <c r="G1239" s="16" t="n">
        <f aca="false">SUM(F$5:F1239)</f>
        <v>8</v>
      </c>
      <c r="H1239" s="16" t="n">
        <f aca="false">IF(B1239="",0,IF(COUNTIF(B$5:B1239,B1239)=1,1,0))</f>
        <v>0</v>
      </c>
      <c r="I1239" s="16" t="n">
        <f aca="false">SUM(H$5:H1239)</f>
        <v>6</v>
      </c>
    </row>
    <row r="1240" customFormat="false" ht="15" hidden="false" customHeight="false" outlineLevel="0" collapsed="false">
      <c r="A1240" s="12"/>
      <c r="B1240" s="13"/>
      <c r="C1240" s="13"/>
      <c r="D1240" s="14"/>
      <c r="E1240" s="15"/>
      <c r="F1240" s="16" t="n">
        <f aca="false">IF(C1240="",0,IF(COUNTIF(C$5:C1240,C1240)=1,1,0))</f>
        <v>0</v>
      </c>
      <c r="G1240" s="16" t="n">
        <f aca="false">SUM(F$5:F1240)</f>
        <v>8</v>
      </c>
      <c r="H1240" s="16" t="n">
        <f aca="false">IF(B1240="",0,IF(COUNTIF(B$5:B1240,B1240)=1,1,0))</f>
        <v>0</v>
      </c>
      <c r="I1240" s="16" t="n">
        <f aca="false">SUM(H$5:H1240)</f>
        <v>6</v>
      </c>
    </row>
    <row r="1241" customFormat="false" ht="15" hidden="false" customHeight="false" outlineLevel="0" collapsed="false">
      <c r="A1241" s="12"/>
      <c r="B1241" s="13"/>
      <c r="C1241" s="13"/>
      <c r="D1241" s="14"/>
      <c r="E1241" s="15"/>
      <c r="F1241" s="16" t="n">
        <f aca="false">IF(C1241="",0,IF(COUNTIF(C$5:C1241,C1241)=1,1,0))</f>
        <v>0</v>
      </c>
      <c r="G1241" s="16" t="n">
        <f aca="false">SUM(F$5:F1241)</f>
        <v>8</v>
      </c>
      <c r="H1241" s="16" t="n">
        <f aca="false">IF(B1241="",0,IF(COUNTIF(B$5:B1241,B1241)=1,1,0))</f>
        <v>0</v>
      </c>
      <c r="I1241" s="16" t="n">
        <f aca="false">SUM(H$5:H1241)</f>
        <v>6</v>
      </c>
    </row>
    <row r="1242" customFormat="false" ht="15" hidden="false" customHeight="false" outlineLevel="0" collapsed="false">
      <c r="A1242" s="12"/>
      <c r="B1242" s="13"/>
      <c r="C1242" s="13"/>
      <c r="D1242" s="14"/>
      <c r="E1242" s="15"/>
      <c r="F1242" s="16" t="n">
        <f aca="false">IF(C1242="",0,IF(COUNTIF(C$5:C1242,C1242)=1,1,0))</f>
        <v>0</v>
      </c>
      <c r="G1242" s="16" t="n">
        <f aca="false">SUM(F$5:F1242)</f>
        <v>8</v>
      </c>
      <c r="H1242" s="16" t="n">
        <f aca="false">IF(B1242="",0,IF(COUNTIF(B$5:B1242,B1242)=1,1,0))</f>
        <v>0</v>
      </c>
      <c r="I1242" s="16" t="n">
        <f aca="false">SUM(H$5:H1242)</f>
        <v>6</v>
      </c>
    </row>
    <row r="1243" customFormat="false" ht="15" hidden="false" customHeight="false" outlineLevel="0" collapsed="false">
      <c r="A1243" s="12"/>
      <c r="B1243" s="13"/>
      <c r="C1243" s="13"/>
      <c r="D1243" s="14"/>
      <c r="E1243" s="15"/>
      <c r="F1243" s="16" t="n">
        <f aca="false">IF(C1243="",0,IF(COUNTIF(C$5:C1243,C1243)=1,1,0))</f>
        <v>0</v>
      </c>
      <c r="G1243" s="16" t="n">
        <f aca="false">SUM(F$5:F1243)</f>
        <v>8</v>
      </c>
      <c r="H1243" s="16" t="n">
        <f aca="false">IF(B1243="",0,IF(COUNTIF(B$5:B1243,B1243)=1,1,0))</f>
        <v>0</v>
      </c>
      <c r="I1243" s="16" t="n">
        <f aca="false">SUM(H$5:H1243)</f>
        <v>6</v>
      </c>
    </row>
    <row r="1244" customFormat="false" ht="15" hidden="false" customHeight="false" outlineLevel="0" collapsed="false">
      <c r="A1244" s="12"/>
      <c r="B1244" s="13"/>
      <c r="C1244" s="13"/>
      <c r="D1244" s="14"/>
      <c r="E1244" s="15"/>
      <c r="F1244" s="16" t="n">
        <f aca="false">IF(C1244="",0,IF(COUNTIF(C$5:C1244,C1244)=1,1,0))</f>
        <v>0</v>
      </c>
      <c r="G1244" s="16" t="n">
        <f aca="false">SUM(F$5:F1244)</f>
        <v>8</v>
      </c>
      <c r="H1244" s="16" t="n">
        <f aca="false">IF(B1244="",0,IF(COUNTIF(B$5:B1244,B1244)=1,1,0))</f>
        <v>0</v>
      </c>
      <c r="I1244" s="16" t="n">
        <f aca="false">SUM(H$5:H1244)</f>
        <v>6</v>
      </c>
    </row>
    <row r="1245" customFormat="false" ht="15" hidden="false" customHeight="false" outlineLevel="0" collapsed="false">
      <c r="A1245" s="12"/>
      <c r="B1245" s="13"/>
      <c r="C1245" s="13"/>
      <c r="D1245" s="14"/>
      <c r="E1245" s="15"/>
      <c r="F1245" s="16" t="n">
        <f aca="false">IF(C1245="",0,IF(COUNTIF(C$5:C1245,C1245)=1,1,0))</f>
        <v>0</v>
      </c>
      <c r="G1245" s="16" t="n">
        <f aca="false">SUM(F$5:F1245)</f>
        <v>8</v>
      </c>
      <c r="H1245" s="16" t="n">
        <f aca="false">IF(B1245="",0,IF(COUNTIF(B$5:B1245,B1245)=1,1,0))</f>
        <v>0</v>
      </c>
      <c r="I1245" s="16" t="n">
        <f aca="false">SUM(H$5:H1245)</f>
        <v>6</v>
      </c>
    </row>
    <row r="1246" customFormat="false" ht="15" hidden="false" customHeight="false" outlineLevel="0" collapsed="false">
      <c r="A1246" s="12"/>
      <c r="B1246" s="13"/>
      <c r="C1246" s="13"/>
      <c r="D1246" s="14"/>
      <c r="E1246" s="15"/>
      <c r="F1246" s="16" t="n">
        <f aca="false">IF(C1246="",0,IF(COUNTIF(C$5:C1246,C1246)=1,1,0))</f>
        <v>0</v>
      </c>
      <c r="G1246" s="16" t="n">
        <f aca="false">SUM(F$5:F1246)</f>
        <v>8</v>
      </c>
      <c r="H1246" s="16" t="n">
        <f aca="false">IF(B1246="",0,IF(COUNTIF(B$5:B1246,B1246)=1,1,0))</f>
        <v>0</v>
      </c>
      <c r="I1246" s="16" t="n">
        <f aca="false">SUM(H$5:H1246)</f>
        <v>6</v>
      </c>
    </row>
    <row r="1247" customFormat="false" ht="15" hidden="false" customHeight="false" outlineLevel="0" collapsed="false">
      <c r="A1247" s="12"/>
      <c r="B1247" s="13"/>
      <c r="C1247" s="13"/>
      <c r="D1247" s="14"/>
      <c r="E1247" s="15"/>
      <c r="F1247" s="16" t="n">
        <f aca="false">IF(C1247="",0,IF(COUNTIF(C$5:C1247,C1247)=1,1,0))</f>
        <v>0</v>
      </c>
      <c r="G1247" s="16" t="n">
        <f aca="false">SUM(F$5:F1247)</f>
        <v>8</v>
      </c>
      <c r="H1247" s="16" t="n">
        <f aca="false">IF(B1247="",0,IF(COUNTIF(B$5:B1247,B1247)=1,1,0))</f>
        <v>0</v>
      </c>
      <c r="I1247" s="16" t="n">
        <f aca="false">SUM(H$5:H1247)</f>
        <v>6</v>
      </c>
    </row>
    <row r="1248" customFormat="false" ht="15" hidden="false" customHeight="false" outlineLevel="0" collapsed="false">
      <c r="A1248" s="12"/>
      <c r="B1248" s="13"/>
      <c r="C1248" s="13"/>
      <c r="D1248" s="14"/>
      <c r="E1248" s="15"/>
      <c r="F1248" s="16" t="n">
        <f aca="false">IF(C1248="",0,IF(COUNTIF(C$5:C1248,C1248)=1,1,0))</f>
        <v>0</v>
      </c>
      <c r="G1248" s="16" t="n">
        <f aca="false">SUM(F$5:F1248)</f>
        <v>8</v>
      </c>
      <c r="H1248" s="16" t="n">
        <f aca="false">IF(B1248="",0,IF(COUNTIF(B$5:B1248,B1248)=1,1,0))</f>
        <v>0</v>
      </c>
      <c r="I1248" s="16" t="n">
        <f aca="false">SUM(H$5:H1248)</f>
        <v>6</v>
      </c>
    </row>
    <row r="1249" customFormat="false" ht="15" hidden="false" customHeight="false" outlineLevel="0" collapsed="false">
      <c r="A1249" s="12"/>
      <c r="B1249" s="13"/>
      <c r="C1249" s="13"/>
      <c r="D1249" s="14"/>
      <c r="E1249" s="15"/>
      <c r="F1249" s="16" t="n">
        <f aca="false">IF(C1249="",0,IF(COUNTIF(C$5:C1249,C1249)=1,1,0))</f>
        <v>0</v>
      </c>
      <c r="G1249" s="16" t="n">
        <f aca="false">SUM(F$5:F1249)</f>
        <v>8</v>
      </c>
      <c r="H1249" s="16" t="n">
        <f aca="false">IF(B1249="",0,IF(COUNTIF(B$5:B1249,B1249)=1,1,0))</f>
        <v>0</v>
      </c>
      <c r="I1249" s="16" t="n">
        <f aca="false">SUM(H$5:H1249)</f>
        <v>6</v>
      </c>
    </row>
    <row r="1250" customFormat="false" ht="15" hidden="false" customHeight="false" outlineLevel="0" collapsed="false">
      <c r="A1250" s="12"/>
      <c r="B1250" s="13"/>
      <c r="C1250" s="13"/>
      <c r="D1250" s="14"/>
      <c r="E1250" s="15"/>
      <c r="F1250" s="16" t="n">
        <f aca="false">IF(C1250="",0,IF(COUNTIF(C$5:C1250,C1250)=1,1,0))</f>
        <v>0</v>
      </c>
      <c r="G1250" s="16" t="n">
        <f aca="false">SUM(F$5:F1250)</f>
        <v>8</v>
      </c>
      <c r="H1250" s="16" t="n">
        <f aca="false">IF(B1250="",0,IF(COUNTIF(B$5:B1250,B1250)=1,1,0))</f>
        <v>0</v>
      </c>
      <c r="I1250" s="16" t="n">
        <f aca="false">SUM(H$5:H1250)</f>
        <v>6</v>
      </c>
    </row>
    <row r="1251" customFormat="false" ht="15" hidden="false" customHeight="false" outlineLevel="0" collapsed="false">
      <c r="A1251" s="12"/>
      <c r="B1251" s="13"/>
      <c r="C1251" s="13"/>
      <c r="D1251" s="14"/>
      <c r="E1251" s="15"/>
      <c r="F1251" s="16" t="n">
        <f aca="false">IF(C1251="",0,IF(COUNTIF(C$5:C1251,C1251)=1,1,0))</f>
        <v>0</v>
      </c>
      <c r="G1251" s="16" t="n">
        <f aca="false">SUM(F$5:F1251)</f>
        <v>8</v>
      </c>
      <c r="H1251" s="16" t="n">
        <f aca="false">IF(B1251="",0,IF(COUNTIF(B$5:B1251,B1251)=1,1,0))</f>
        <v>0</v>
      </c>
      <c r="I1251" s="16" t="n">
        <f aca="false">SUM(H$5:H1251)</f>
        <v>6</v>
      </c>
    </row>
    <row r="1252" customFormat="false" ht="15" hidden="false" customHeight="false" outlineLevel="0" collapsed="false">
      <c r="A1252" s="12"/>
      <c r="B1252" s="13"/>
      <c r="C1252" s="13"/>
      <c r="D1252" s="14"/>
      <c r="E1252" s="15"/>
      <c r="F1252" s="16" t="n">
        <f aca="false">IF(C1252="",0,IF(COUNTIF(C$5:C1252,C1252)=1,1,0))</f>
        <v>0</v>
      </c>
      <c r="G1252" s="16" t="n">
        <f aca="false">SUM(F$5:F1252)</f>
        <v>8</v>
      </c>
      <c r="H1252" s="16" t="n">
        <f aca="false">IF(B1252="",0,IF(COUNTIF(B$5:B1252,B1252)=1,1,0))</f>
        <v>0</v>
      </c>
      <c r="I1252" s="16" t="n">
        <f aca="false">SUM(H$5:H1252)</f>
        <v>6</v>
      </c>
    </row>
    <row r="1253" customFormat="false" ht="15" hidden="false" customHeight="false" outlineLevel="0" collapsed="false">
      <c r="A1253" s="12"/>
      <c r="B1253" s="13"/>
      <c r="C1253" s="13"/>
      <c r="D1253" s="14"/>
      <c r="E1253" s="15"/>
      <c r="F1253" s="16" t="n">
        <f aca="false">IF(C1253="",0,IF(COUNTIF(C$5:C1253,C1253)=1,1,0))</f>
        <v>0</v>
      </c>
      <c r="G1253" s="16" t="n">
        <f aca="false">SUM(F$5:F1253)</f>
        <v>8</v>
      </c>
      <c r="H1253" s="16" t="n">
        <f aca="false">IF(B1253="",0,IF(COUNTIF(B$5:B1253,B1253)=1,1,0))</f>
        <v>0</v>
      </c>
      <c r="I1253" s="16" t="n">
        <f aca="false">SUM(H$5:H1253)</f>
        <v>6</v>
      </c>
    </row>
    <row r="1254" customFormat="false" ht="15" hidden="false" customHeight="false" outlineLevel="0" collapsed="false">
      <c r="A1254" s="12"/>
      <c r="B1254" s="13"/>
      <c r="C1254" s="13"/>
      <c r="D1254" s="14"/>
      <c r="E1254" s="15"/>
      <c r="F1254" s="16" t="n">
        <f aca="false">IF(C1254="",0,IF(COUNTIF(C$5:C1254,C1254)=1,1,0))</f>
        <v>0</v>
      </c>
      <c r="G1254" s="16" t="n">
        <f aca="false">SUM(F$5:F1254)</f>
        <v>8</v>
      </c>
      <c r="H1254" s="16" t="n">
        <f aca="false">IF(B1254="",0,IF(COUNTIF(B$5:B1254,B1254)=1,1,0))</f>
        <v>0</v>
      </c>
      <c r="I1254" s="16" t="n">
        <f aca="false">SUM(H$5:H1254)</f>
        <v>6</v>
      </c>
    </row>
    <row r="1255" customFormat="false" ht="15" hidden="false" customHeight="false" outlineLevel="0" collapsed="false">
      <c r="A1255" s="12"/>
      <c r="B1255" s="13"/>
      <c r="C1255" s="13"/>
      <c r="D1255" s="14"/>
      <c r="E1255" s="15"/>
      <c r="F1255" s="16" t="n">
        <f aca="false">IF(C1255="",0,IF(COUNTIF(C$5:C1255,C1255)=1,1,0))</f>
        <v>0</v>
      </c>
      <c r="G1255" s="16" t="n">
        <f aca="false">SUM(F$5:F1255)</f>
        <v>8</v>
      </c>
      <c r="H1255" s="16" t="n">
        <f aca="false">IF(B1255="",0,IF(COUNTIF(B$5:B1255,B1255)=1,1,0))</f>
        <v>0</v>
      </c>
      <c r="I1255" s="16" t="n">
        <f aca="false">SUM(H$5:H1255)</f>
        <v>6</v>
      </c>
    </row>
    <row r="1256" customFormat="false" ht="15" hidden="false" customHeight="false" outlineLevel="0" collapsed="false">
      <c r="A1256" s="12"/>
      <c r="B1256" s="13"/>
      <c r="C1256" s="13"/>
      <c r="D1256" s="14"/>
      <c r="E1256" s="15"/>
      <c r="F1256" s="16" t="n">
        <f aca="false">IF(C1256="",0,IF(COUNTIF(C$5:C1256,C1256)=1,1,0))</f>
        <v>0</v>
      </c>
      <c r="G1256" s="16" t="n">
        <f aca="false">SUM(F$5:F1256)</f>
        <v>8</v>
      </c>
      <c r="H1256" s="16" t="n">
        <f aca="false">IF(B1256="",0,IF(COUNTIF(B$5:B1256,B1256)=1,1,0))</f>
        <v>0</v>
      </c>
      <c r="I1256" s="16" t="n">
        <f aca="false">SUM(H$5:H1256)</f>
        <v>6</v>
      </c>
    </row>
    <row r="1257" customFormat="false" ht="15" hidden="false" customHeight="false" outlineLevel="0" collapsed="false">
      <c r="A1257" s="12"/>
      <c r="B1257" s="13"/>
      <c r="C1257" s="13"/>
      <c r="D1257" s="14"/>
      <c r="E1257" s="15"/>
      <c r="F1257" s="16" t="n">
        <f aca="false">IF(C1257="",0,IF(COUNTIF(C$5:C1257,C1257)=1,1,0))</f>
        <v>0</v>
      </c>
      <c r="G1257" s="16" t="n">
        <f aca="false">SUM(F$5:F1257)</f>
        <v>8</v>
      </c>
      <c r="H1257" s="16" t="n">
        <f aca="false">IF(B1257="",0,IF(COUNTIF(B$5:B1257,B1257)=1,1,0))</f>
        <v>0</v>
      </c>
      <c r="I1257" s="16" t="n">
        <f aca="false">SUM(H$5:H1257)</f>
        <v>6</v>
      </c>
    </row>
    <row r="1258" customFormat="false" ht="15" hidden="false" customHeight="false" outlineLevel="0" collapsed="false">
      <c r="A1258" s="12"/>
      <c r="B1258" s="13"/>
      <c r="C1258" s="13"/>
      <c r="D1258" s="14"/>
      <c r="E1258" s="15"/>
      <c r="F1258" s="16" t="n">
        <f aca="false">IF(C1258="",0,IF(COUNTIF(C$5:C1258,C1258)=1,1,0))</f>
        <v>0</v>
      </c>
      <c r="G1258" s="16" t="n">
        <f aca="false">SUM(F$5:F1258)</f>
        <v>8</v>
      </c>
      <c r="H1258" s="16" t="n">
        <f aca="false">IF(B1258="",0,IF(COUNTIF(B$5:B1258,B1258)=1,1,0))</f>
        <v>0</v>
      </c>
      <c r="I1258" s="16" t="n">
        <f aca="false">SUM(H$5:H1258)</f>
        <v>6</v>
      </c>
    </row>
    <row r="1259" customFormat="false" ht="15" hidden="false" customHeight="false" outlineLevel="0" collapsed="false">
      <c r="A1259" s="12"/>
      <c r="B1259" s="13"/>
      <c r="C1259" s="13"/>
      <c r="D1259" s="14"/>
      <c r="E1259" s="15"/>
      <c r="F1259" s="16" t="n">
        <f aca="false">IF(C1259="",0,IF(COUNTIF(C$5:C1259,C1259)=1,1,0))</f>
        <v>0</v>
      </c>
      <c r="G1259" s="16" t="n">
        <f aca="false">SUM(F$5:F1259)</f>
        <v>8</v>
      </c>
      <c r="H1259" s="16" t="n">
        <f aca="false">IF(B1259="",0,IF(COUNTIF(B$5:B1259,B1259)=1,1,0))</f>
        <v>0</v>
      </c>
      <c r="I1259" s="16" t="n">
        <f aca="false">SUM(H$5:H1259)</f>
        <v>6</v>
      </c>
    </row>
    <row r="1260" customFormat="false" ht="15" hidden="false" customHeight="false" outlineLevel="0" collapsed="false">
      <c r="A1260" s="12"/>
      <c r="B1260" s="13"/>
      <c r="C1260" s="13"/>
      <c r="D1260" s="14"/>
      <c r="E1260" s="15"/>
      <c r="F1260" s="16" t="n">
        <f aca="false">IF(C1260="",0,IF(COUNTIF(C$5:C1260,C1260)=1,1,0))</f>
        <v>0</v>
      </c>
      <c r="G1260" s="16" t="n">
        <f aca="false">SUM(F$5:F1260)</f>
        <v>8</v>
      </c>
      <c r="H1260" s="16" t="n">
        <f aca="false">IF(B1260="",0,IF(COUNTIF(B$5:B1260,B1260)=1,1,0))</f>
        <v>0</v>
      </c>
      <c r="I1260" s="16" t="n">
        <f aca="false">SUM(H$5:H1260)</f>
        <v>6</v>
      </c>
    </row>
    <row r="1261" customFormat="false" ht="15" hidden="false" customHeight="false" outlineLevel="0" collapsed="false">
      <c r="A1261" s="12"/>
      <c r="B1261" s="13"/>
      <c r="C1261" s="13"/>
      <c r="D1261" s="14"/>
      <c r="E1261" s="15"/>
      <c r="F1261" s="16" t="n">
        <f aca="false">IF(C1261="",0,IF(COUNTIF(C$5:C1261,C1261)=1,1,0))</f>
        <v>0</v>
      </c>
      <c r="G1261" s="16" t="n">
        <f aca="false">SUM(F$5:F1261)</f>
        <v>8</v>
      </c>
      <c r="H1261" s="16" t="n">
        <f aca="false">IF(B1261="",0,IF(COUNTIF(B$5:B1261,B1261)=1,1,0))</f>
        <v>0</v>
      </c>
      <c r="I1261" s="16" t="n">
        <f aca="false">SUM(H$5:H1261)</f>
        <v>6</v>
      </c>
    </row>
    <row r="1262" customFormat="false" ht="15" hidden="false" customHeight="false" outlineLevel="0" collapsed="false">
      <c r="A1262" s="12"/>
      <c r="B1262" s="13"/>
      <c r="C1262" s="13"/>
      <c r="D1262" s="14"/>
      <c r="E1262" s="15"/>
      <c r="F1262" s="16" t="n">
        <f aca="false">IF(C1262="",0,IF(COUNTIF(C$5:C1262,C1262)=1,1,0))</f>
        <v>0</v>
      </c>
      <c r="G1262" s="16" t="n">
        <f aca="false">SUM(F$5:F1262)</f>
        <v>8</v>
      </c>
      <c r="H1262" s="16" t="n">
        <f aca="false">IF(B1262="",0,IF(COUNTIF(B$5:B1262,B1262)=1,1,0))</f>
        <v>0</v>
      </c>
      <c r="I1262" s="16" t="n">
        <f aca="false">SUM(H$5:H1262)</f>
        <v>6</v>
      </c>
    </row>
    <row r="1263" customFormat="false" ht="15" hidden="false" customHeight="false" outlineLevel="0" collapsed="false">
      <c r="A1263" s="12"/>
      <c r="B1263" s="13"/>
      <c r="C1263" s="13"/>
      <c r="D1263" s="14"/>
      <c r="E1263" s="15"/>
      <c r="F1263" s="16" t="n">
        <f aca="false">IF(C1263="",0,IF(COUNTIF(C$5:C1263,C1263)=1,1,0))</f>
        <v>0</v>
      </c>
      <c r="G1263" s="16" t="n">
        <f aca="false">SUM(F$5:F1263)</f>
        <v>8</v>
      </c>
      <c r="H1263" s="16" t="n">
        <f aca="false">IF(B1263="",0,IF(COUNTIF(B$5:B1263,B1263)=1,1,0))</f>
        <v>0</v>
      </c>
      <c r="I1263" s="16" t="n">
        <f aca="false">SUM(H$5:H1263)</f>
        <v>6</v>
      </c>
    </row>
    <row r="1264" customFormat="false" ht="15" hidden="false" customHeight="false" outlineLevel="0" collapsed="false">
      <c r="A1264" s="12"/>
      <c r="B1264" s="13"/>
      <c r="C1264" s="13"/>
      <c r="D1264" s="14"/>
      <c r="E1264" s="15"/>
      <c r="F1264" s="16" t="n">
        <f aca="false">IF(C1264="",0,IF(COUNTIF(C$5:C1264,C1264)=1,1,0))</f>
        <v>0</v>
      </c>
      <c r="G1264" s="16" t="n">
        <f aca="false">SUM(F$5:F1264)</f>
        <v>8</v>
      </c>
      <c r="H1264" s="16" t="n">
        <f aca="false">IF(B1264="",0,IF(COUNTIF(B$5:B1264,B1264)=1,1,0))</f>
        <v>0</v>
      </c>
      <c r="I1264" s="16" t="n">
        <f aca="false">SUM(H$5:H1264)</f>
        <v>6</v>
      </c>
    </row>
    <row r="1265" customFormat="false" ht="15" hidden="false" customHeight="false" outlineLevel="0" collapsed="false">
      <c r="A1265" s="12"/>
      <c r="B1265" s="13"/>
      <c r="C1265" s="13"/>
      <c r="D1265" s="14"/>
      <c r="E1265" s="15"/>
      <c r="F1265" s="16" t="n">
        <f aca="false">IF(C1265="",0,IF(COUNTIF(C$5:C1265,C1265)=1,1,0))</f>
        <v>0</v>
      </c>
      <c r="G1265" s="16" t="n">
        <f aca="false">SUM(F$5:F1265)</f>
        <v>8</v>
      </c>
      <c r="H1265" s="16" t="n">
        <f aca="false">IF(B1265="",0,IF(COUNTIF(B$5:B1265,B1265)=1,1,0))</f>
        <v>0</v>
      </c>
      <c r="I1265" s="16" t="n">
        <f aca="false">SUM(H$5:H1265)</f>
        <v>6</v>
      </c>
    </row>
    <row r="1266" customFormat="false" ht="15" hidden="false" customHeight="false" outlineLevel="0" collapsed="false">
      <c r="A1266" s="12"/>
      <c r="B1266" s="13"/>
      <c r="C1266" s="13"/>
      <c r="D1266" s="14"/>
      <c r="E1266" s="15"/>
      <c r="F1266" s="16" t="n">
        <f aca="false">IF(C1266="",0,IF(COUNTIF(C$5:C1266,C1266)=1,1,0))</f>
        <v>0</v>
      </c>
      <c r="G1266" s="16" t="n">
        <f aca="false">SUM(F$5:F1266)</f>
        <v>8</v>
      </c>
      <c r="H1266" s="16" t="n">
        <f aca="false">IF(B1266="",0,IF(COUNTIF(B$5:B1266,B1266)=1,1,0))</f>
        <v>0</v>
      </c>
      <c r="I1266" s="16" t="n">
        <f aca="false">SUM(H$5:H1266)</f>
        <v>6</v>
      </c>
    </row>
    <row r="1267" customFormat="false" ht="15" hidden="false" customHeight="false" outlineLevel="0" collapsed="false">
      <c r="A1267" s="12"/>
      <c r="B1267" s="13"/>
      <c r="C1267" s="13"/>
      <c r="D1267" s="14"/>
      <c r="E1267" s="15"/>
      <c r="F1267" s="16" t="n">
        <f aca="false">IF(C1267="",0,IF(COUNTIF(C$5:C1267,C1267)=1,1,0))</f>
        <v>0</v>
      </c>
      <c r="G1267" s="16" t="n">
        <f aca="false">SUM(F$5:F1267)</f>
        <v>8</v>
      </c>
      <c r="H1267" s="16" t="n">
        <f aca="false">IF(B1267="",0,IF(COUNTIF(B$5:B1267,B1267)=1,1,0))</f>
        <v>0</v>
      </c>
      <c r="I1267" s="16" t="n">
        <f aca="false">SUM(H$5:H1267)</f>
        <v>6</v>
      </c>
    </row>
    <row r="1268" customFormat="false" ht="15" hidden="false" customHeight="false" outlineLevel="0" collapsed="false">
      <c r="A1268" s="12"/>
      <c r="B1268" s="13"/>
      <c r="C1268" s="13"/>
      <c r="D1268" s="14"/>
      <c r="E1268" s="15"/>
      <c r="F1268" s="16" t="n">
        <f aca="false">IF(C1268="",0,IF(COUNTIF(C$5:C1268,C1268)=1,1,0))</f>
        <v>0</v>
      </c>
      <c r="G1268" s="16" t="n">
        <f aca="false">SUM(F$5:F1268)</f>
        <v>8</v>
      </c>
      <c r="H1268" s="16" t="n">
        <f aca="false">IF(B1268="",0,IF(COUNTIF(B$5:B1268,B1268)=1,1,0))</f>
        <v>0</v>
      </c>
      <c r="I1268" s="16" t="n">
        <f aca="false">SUM(H$5:H1268)</f>
        <v>6</v>
      </c>
    </row>
    <row r="1269" customFormat="false" ht="15" hidden="false" customHeight="false" outlineLevel="0" collapsed="false">
      <c r="A1269" s="12"/>
      <c r="B1269" s="13"/>
      <c r="C1269" s="13"/>
      <c r="D1269" s="14"/>
      <c r="E1269" s="15"/>
      <c r="F1269" s="16" t="n">
        <f aca="false">IF(C1269="",0,IF(COUNTIF(C$5:C1269,C1269)=1,1,0))</f>
        <v>0</v>
      </c>
      <c r="G1269" s="16" t="n">
        <f aca="false">SUM(F$5:F1269)</f>
        <v>8</v>
      </c>
      <c r="H1269" s="16" t="n">
        <f aca="false">IF(B1269="",0,IF(COUNTIF(B$5:B1269,B1269)=1,1,0))</f>
        <v>0</v>
      </c>
      <c r="I1269" s="16" t="n">
        <f aca="false">SUM(H$5:H1269)</f>
        <v>6</v>
      </c>
    </row>
    <row r="1270" customFormat="false" ht="15" hidden="false" customHeight="false" outlineLevel="0" collapsed="false">
      <c r="A1270" s="12"/>
      <c r="B1270" s="13"/>
      <c r="C1270" s="13"/>
      <c r="D1270" s="14"/>
      <c r="E1270" s="15"/>
      <c r="F1270" s="16" t="n">
        <f aca="false">IF(C1270="",0,IF(COUNTIF(C$5:C1270,C1270)=1,1,0))</f>
        <v>0</v>
      </c>
      <c r="G1270" s="16" t="n">
        <f aca="false">SUM(F$5:F1270)</f>
        <v>8</v>
      </c>
      <c r="H1270" s="16" t="n">
        <f aca="false">IF(B1270="",0,IF(COUNTIF(B$5:B1270,B1270)=1,1,0))</f>
        <v>0</v>
      </c>
      <c r="I1270" s="16" t="n">
        <f aca="false">SUM(H$5:H1270)</f>
        <v>6</v>
      </c>
    </row>
    <row r="1271" customFormat="false" ht="15" hidden="false" customHeight="false" outlineLevel="0" collapsed="false">
      <c r="A1271" s="12"/>
      <c r="B1271" s="13"/>
      <c r="C1271" s="13"/>
      <c r="D1271" s="14"/>
      <c r="E1271" s="15"/>
      <c r="F1271" s="16" t="n">
        <f aca="false">IF(C1271="",0,IF(COUNTIF(C$5:C1271,C1271)=1,1,0))</f>
        <v>0</v>
      </c>
      <c r="G1271" s="16" t="n">
        <f aca="false">SUM(F$5:F1271)</f>
        <v>8</v>
      </c>
      <c r="H1271" s="16" t="n">
        <f aca="false">IF(B1271="",0,IF(COUNTIF(B$5:B1271,B1271)=1,1,0))</f>
        <v>0</v>
      </c>
      <c r="I1271" s="16" t="n">
        <f aca="false">SUM(H$5:H1271)</f>
        <v>6</v>
      </c>
    </row>
    <row r="1272" customFormat="false" ht="15" hidden="false" customHeight="false" outlineLevel="0" collapsed="false">
      <c r="A1272" s="12"/>
      <c r="B1272" s="13"/>
      <c r="C1272" s="13"/>
      <c r="D1272" s="14"/>
      <c r="E1272" s="15"/>
      <c r="F1272" s="16" t="n">
        <f aca="false">IF(C1272="",0,IF(COUNTIF(C$5:C1272,C1272)=1,1,0))</f>
        <v>0</v>
      </c>
      <c r="G1272" s="16" t="n">
        <f aca="false">SUM(F$5:F1272)</f>
        <v>8</v>
      </c>
      <c r="H1272" s="16" t="n">
        <f aca="false">IF(B1272="",0,IF(COUNTIF(B$5:B1272,B1272)=1,1,0))</f>
        <v>0</v>
      </c>
      <c r="I1272" s="16" t="n">
        <f aca="false">SUM(H$5:H1272)</f>
        <v>6</v>
      </c>
    </row>
    <row r="1273" customFormat="false" ht="15" hidden="false" customHeight="false" outlineLevel="0" collapsed="false">
      <c r="A1273" s="12"/>
      <c r="B1273" s="13"/>
      <c r="C1273" s="13"/>
      <c r="D1273" s="14"/>
      <c r="E1273" s="15"/>
      <c r="F1273" s="16" t="n">
        <f aca="false">IF(C1273="",0,IF(COUNTIF(C$5:C1273,C1273)=1,1,0))</f>
        <v>0</v>
      </c>
      <c r="G1273" s="16" t="n">
        <f aca="false">SUM(F$5:F1273)</f>
        <v>8</v>
      </c>
      <c r="H1273" s="16" t="n">
        <f aca="false">IF(B1273="",0,IF(COUNTIF(B$5:B1273,B1273)=1,1,0))</f>
        <v>0</v>
      </c>
      <c r="I1273" s="16" t="n">
        <f aca="false">SUM(H$5:H1273)</f>
        <v>6</v>
      </c>
    </row>
    <row r="1274" customFormat="false" ht="15" hidden="false" customHeight="false" outlineLevel="0" collapsed="false">
      <c r="A1274" s="12"/>
      <c r="B1274" s="13"/>
      <c r="C1274" s="13"/>
      <c r="D1274" s="14"/>
      <c r="E1274" s="15"/>
      <c r="F1274" s="16" t="n">
        <f aca="false">IF(C1274="",0,IF(COUNTIF(C$5:C1274,C1274)=1,1,0))</f>
        <v>0</v>
      </c>
      <c r="G1274" s="16" t="n">
        <f aca="false">SUM(F$5:F1274)</f>
        <v>8</v>
      </c>
      <c r="H1274" s="16" t="n">
        <f aca="false">IF(B1274="",0,IF(COUNTIF(B$5:B1274,B1274)=1,1,0))</f>
        <v>0</v>
      </c>
      <c r="I1274" s="16" t="n">
        <f aca="false">SUM(H$5:H1274)</f>
        <v>6</v>
      </c>
    </row>
    <row r="1275" customFormat="false" ht="15" hidden="false" customHeight="false" outlineLevel="0" collapsed="false">
      <c r="A1275" s="12"/>
      <c r="B1275" s="13"/>
      <c r="C1275" s="13"/>
      <c r="D1275" s="14"/>
      <c r="E1275" s="15"/>
      <c r="F1275" s="16" t="n">
        <f aca="false">IF(C1275="",0,IF(COUNTIF(C$5:C1275,C1275)=1,1,0))</f>
        <v>0</v>
      </c>
      <c r="G1275" s="16" t="n">
        <f aca="false">SUM(F$5:F1275)</f>
        <v>8</v>
      </c>
      <c r="H1275" s="16" t="n">
        <f aca="false">IF(B1275="",0,IF(COUNTIF(B$5:B1275,B1275)=1,1,0))</f>
        <v>0</v>
      </c>
      <c r="I1275" s="16" t="n">
        <f aca="false">SUM(H$5:H1275)</f>
        <v>6</v>
      </c>
    </row>
    <row r="1276" customFormat="false" ht="15" hidden="false" customHeight="false" outlineLevel="0" collapsed="false">
      <c r="A1276" s="12"/>
      <c r="B1276" s="13"/>
      <c r="C1276" s="13"/>
      <c r="D1276" s="14"/>
      <c r="E1276" s="15"/>
      <c r="F1276" s="16" t="n">
        <f aca="false">IF(C1276="",0,IF(COUNTIF(C$5:C1276,C1276)=1,1,0))</f>
        <v>0</v>
      </c>
      <c r="G1276" s="16" t="n">
        <f aca="false">SUM(F$5:F1276)</f>
        <v>8</v>
      </c>
      <c r="H1276" s="16" t="n">
        <f aca="false">IF(B1276="",0,IF(COUNTIF(B$5:B1276,B1276)=1,1,0))</f>
        <v>0</v>
      </c>
      <c r="I1276" s="16" t="n">
        <f aca="false">SUM(H$5:H1276)</f>
        <v>6</v>
      </c>
    </row>
    <row r="1277" customFormat="false" ht="15" hidden="false" customHeight="false" outlineLevel="0" collapsed="false">
      <c r="A1277" s="12"/>
      <c r="B1277" s="13"/>
      <c r="C1277" s="13"/>
      <c r="D1277" s="14"/>
      <c r="E1277" s="15"/>
      <c r="F1277" s="16" t="n">
        <f aca="false">IF(C1277="",0,IF(COUNTIF(C$5:C1277,C1277)=1,1,0))</f>
        <v>0</v>
      </c>
      <c r="G1277" s="16" t="n">
        <f aca="false">SUM(F$5:F1277)</f>
        <v>8</v>
      </c>
      <c r="H1277" s="16" t="n">
        <f aca="false">IF(B1277="",0,IF(COUNTIF(B$5:B1277,B1277)=1,1,0))</f>
        <v>0</v>
      </c>
      <c r="I1277" s="16" t="n">
        <f aca="false">SUM(H$5:H1277)</f>
        <v>6</v>
      </c>
    </row>
    <row r="1278" customFormat="false" ht="15" hidden="false" customHeight="false" outlineLevel="0" collapsed="false">
      <c r="A1278" s="12"/>
      <c r="B1278" s="13"/>
      <c r="C1278" s="13"/>
      <c r="D1278" s="14"/>
      <c r="E1278" s="15"/>
      <c r="F1278" s="16" t="n">
        <f aca="false">IF(C1278="",0,IF(COUNTIF(C$5:C1278,C1278)=1,1,0))</f>
        <v>0</v>
      </c>
      <c r="G1278" s="16" t="n">
        <f aca="false">SUM(F$5:F1278)</f>
        <v>8</v>
      </c>
      <c r="H1278" s="16" t="n">
        <f aca="false">IF(B1278="",0,IF(COUNTIF(B$5:B1278,B1278)=1,1,0))</f>
        <v>0</v>
      </c>
      <c r="I1278" s="16" t="n">
        <f aca="false">SUM(H$5:H1278)</f>
        <v>6</v>
      </c>
    </row>
    <row r="1279" customFormat="false" ht="15" hidden="false" customHeight="false" outlineLevel="0" collapsed="false">
      <c r="A1279" s="12"/>
      <c r="B1279" s="13"/>
      <c r="C1279" s="13"/>
      <c r="D1279" s="14"/>
      <c r="E1279" s="15"/>
      <c r="F1279" s="16" t="n">
        <f aca="false">IF(C1279="",0,IF(COUNTIF(C$5:C1279,C1279)=1,1,0))</f>
        <v>0</v>
      </c>
      <c r="G1279" s="16" t="n">
        <f aca="false">SUM(F$5:F1279)</f>
        <v>8</v>
      </c>
      <c r="H1279" s="16" t="n">
        <f aca="false">IF(B1279="",0,IF(COUNTIF(B$5:B1279,B1279)=1,1,0))</f>
        <v>0</v>
      </c>
      <c r="I1279" s="16" t="n">
        <f aca="false">SUM(H$5:H1279)</f>
        <v>6</v>
      </c>
    </row>
    <row r="1280" customFormat="false" ht="15" hidden="false" customHeight="false" outlineLevel="0" collapsed="false">
      <c r="A1280" s="12"/>
      <c r="B1280" s="13"/>
      <c r="C1280" s="13"/>
      <c r="D1280" s="14"/>
      <c r="E1280" s="15"/>
      <c r="F1280" s="16" t="n">
        <f aca="false">IF(C1280="",0,IF(COUNTIF(C$5:C1280,C1280)=1,1,0))</f>
        <v>0</v>
      </c>
      <c r="G1280" s="16" t="n">
        <f aca="false">SUM(F$5:F1280)</f>
        <v>8</v>
      </c>
      <c r="H1280" s="16" t="n">
        <f aca="false">IF(B1280="",0,IF(COUNTIF(B$5:B1280,B1280)=1,1,0))</f>
        <v>0</v>
      </c>
      <c r="I1280" s="16" t="n">
        <f aca="false">SUM(H$5:H1280)</f>
        <v>6</v>
      </c>
    </row>
    <row r="1281" customFormat="false" ht="15" hidden="false" customHeight="false" outlineLevel="0" collapsed="false">
      <c r="A1281" s="12"/>
      <c r="B1281" s="13"/>
      <c r="C1281" s="13"/>
      <c r="D1281" s="14"/>
      <c r="E1281" s="15"/>
      <c r="F1281" s="16" t="n">
        <f aca="false">IF(C1281="",0,IF(COUNTIF(C$5:C1281,C1281)=1,1,0))</f>
        <v>0</v>
      </c>
      <c r="G1281" s="16" t="n">
        <f aca="false">SUM(F$5:F1281)</f>
        <v>8</v>
      </c>
      <c r="H1281" s="16" t="n">
        <f aca="false">IF(B1281="",0,IF(COUNTIF(B$5:B1281,B1281)=1,1,0))</f>
        <v>0</v>
      </c>
      <c r="I1281" s="16" t="n">
        <f aca="false">SUM(H$5:H1281)</f>
        <v>6</v>
      </c>
    </row>
    <row r="1282" customFormat="false" ht="15" hidden="false" customHeight="false" outlineLevel="0" collapsed="false">
      <c r="A1282" s="12"/>
      <c r="B1282" s="13"/>
      <c r="C1282" s="13"/>
      <c r="D1282" s="14"/>
      <c r="E1282" s="15"/>
      <c r="F1282" s="16" t="n">
        <f aca="false">IF(C1282="",0,IF(COUNTIF(C$5:C1282,C1282)=1,1,0))</f>
        <v>0</v>
      </c>
      <c r="G1282" s="16" t="n">
        <f aca="false">SUM(F$5:F1282)</f>
        <v>8</v>
      </c>
      <c r="H1282" s="16" t="n">
        <f aca="false">IF(B1282="",0,IF(COUNTIF(B$5:B1282,B1282)=1,1,0))</f>
        <v>0</v>
      </c>
      <c r="I1282" s="16" t="n">
        <f aca="false">SUM(H$5:H1282)</f>
        <v>6</v>
      </c>
    </row>
    <row r="1283" customFormat="false" ht="15" hidden="false" customHeight="false" outlineLevel="0" collapsed="false">
      <c r="A1283" s="12"/>
      <c r="B1283" s="13"/>
      <c r="C1283" s="13"/>
      <c r="D1283" s="14"/>
      <c r="E1283" s="15"/>
      <c r="F1283" s="16" t="n">
        <f aca="false">IF(C1283="",0,IF(COUNTIF(C$5:C1283,C1283)=1,1,0))</f>
        <v>0</v>
      </c>
      <c r="G1283" s="16" t="n">
        <f aca="false">SUM(F$5:F1283)</f>
        <v>8</v>
      </c>
      <c r="H1283" s="16" t="n">
        <f aca="false">IF(B1283="",0,IF(COUNTIF(B$5:B1283,B1283)=1,1,0))</f>
        <v>0</v>
      </c>
      <c r="I1283" s="16" t="n">
        <f aca="false">SUM(H$5:H1283)</f>
        <v>6</v>
      </c>
    </row>
    <row r="1284" customFormat="false" ht="15" hidden="false" customHeight="false" outlineLevel="0" collapsed="false">
      <c r="A1284" s="12"/>
      <c r="B1284" s="13"/>
      <c r="C1284" s="13"/>
      <c r="D1284" s="14"/>
      <c r="E1284" s="15"/>
      <c r="F1284" s="16" t="n">
        <f aca="false">IF(C1284="",0,IF(COUNTIF(C$5:C1284,C1284)=1,1,0))</f>
        <v>0</v>
      </c>
      <c r="G1284" s="16" t="n">
        <f aca="false">SUM(F$5:F1284)</f>
        <v>8</v>
      </c>
      <c r="H1284" s="16" t="n">
        <f aca="false">IF(B1284="",0,IF(COUNTIF(B$5:B1284,B1284)=1,1,0))</f>
        <v>0</v>
      </c>
      <c r="I1284" s="16" t="n">
        <f aca="false">SUM(H$5:H1284)</f>
        <v>6</v>
      </c>
    </row>
    <row r="1285" customFormat="false" ht="15" hidden="false" customHeight="false" outlineLevel="0" collapsed="false">
      <c r="A1285" s="12"/>
      <c r="B1285" s="13"/>
      <c r="C1285" s="13"/>
      <c r="D1285" s="14"/>
      <c r="E1285" s="15"/>
      <c r="F1285" s="16" t="n">
        <f aca="false">IF(C1285="",0,IF(COUNTIF(C$5:C1285,C1285)=1,1,0))</f>
        <v>0</v>
      </c>
      <c r="G1285" s="16" t="n">
        <f aca="false">SUM(F$5:F1285)</f>
        <v>8</v>
      </c>
      <c r="H1285" s="16" t="n">
        <f aca="false">IF(B1285="",0,IF(COUNTIF(B$5:B1285,B1285)=1,1,0))</f>
        <v>0</v>
      </c>
      <c r="I1285" s="16" t="n">
        <f aca="false">SUM(H$5:H1285)</f>
        <v>6</v>
      </c>
    </row>
    <row r="1286" customFormat="false" ht="15" hidden="false" customHeight="false" outlineLevel="0" collapsed="false">
      <c r="A1286" s="12"/>
      <c r="B1286" s="13"/>
      <c r="C1286" s="13"/>
      <c r="D1286" s="14"/>
      <c r="E1286" s="15"/>
      <c r="F1286" s="16" t="n">
        <f aca="false">IF(C1286="",0,IF(COUNTIF(C$5:C1286,C1286)=1,1,0))</f>
        <v>0</v>
      </c>
      <c r="G1286" s="16" t="n">
        <f aca="false">SUM(F$5:F1286)</f>
        <v>8</v>
      </c>
      <c r="H1286" s="16" t="n">
        <f aca="false">IF(B1286="",0,IF(COUNTIF(B$5:B1286,B1286)=1,1,0))</f>
        <v>0</v>
      </c>
      <c r="I1286" s="16" t="n">
        <f aca="false">SUM(H$5:H1286)</f>
        <v>6</v>
      </c>
    </row>
    <row r="1287" customFormat="false" ht="15" hidden="false" customHeight="false" outlineLevel="0" collapsed="false">
      <c r="A1287" s="12"/>
      <c r="B1287" s="13"/>
      <c r="C1287" s="13"/>
      <c r="D1287" s="14"/>
      <c r="E1287" s="15"/>
      <c r="F1287" s="16" t="n">
        <f aca="false">IF(C1287="",0,IF(COUNTIF(C$5:C1287,C1287)=1,1,0))</f>
        <v>0</v>
      </c>
      <c r="G1287" s="16" t="n">
        <f aca="false">SUM(F$5:F1287)</f>
        <v>8</v>
      </c>
      <c r="H1287" s="16" t="n">
        <f aca="false">IF(B1287="",0,IF(COUNTIF(B$5:B1287,B1287)=1,1,0))</f>
        <v>0</v>
      </c>
      <c r="I1287" s="16" t="n">
        <f aca="false">SUM(H$5:H1287)</f>
        <v>6</v>
      </c>
    </row>
    <row r="1288" customFormat="false" ht="15" hidden="false" customHeight="false" outlineLevel="0" collapsed="false">
      <c r="A1288" s="12"/>
      <c r="B1288" s="13"/>
      <c r="C1288" s="13"/>
      <c r="D1288" s="14"/>
      <c r="E1288" s="15"/>
      <c r="F1288" s="16" t="n">
        <f aca="false">IF(C1288="",0,IF(COUNTIF(C$5:C1288,C1288)=1,1,0))</f>
        <v>0</v>
      </c>
      <c r="G1288" s="16" t="n">
        <f aca="false">SUM(F$5:F1288)</f>
        <v>8</v>
      </c>
      <c r="H1288" s="16" t="n">
        <f aca="false">IF(B1288="",0,IF(COUNTIF(B$5:B1288,B1288)=1,1,0))</f>
        <v>0</v>
      </c>
      <c r="I1288" s="16" t="n">
        <f aca="false">SUM(H$5:H1288)</f>
        <v>6</v>
      </c>
    </row>
    <row r="1289" customFormat="false" ht="15" hidden="false" customHeight="false" outlineLevel="0" collapsed="false">
      <c r="A1289" s="12"/>
      <c r="B1289" s="13"/>
      <c r="C1289" s="13"/>
      <c r="D1289" s="14"/>
      <c r="E1289" s="15"/>
      <c r="F1289" s="16" t="n">
        <f aca="false">IF(C1289="",0,IF(COUNTIF(C$5:C1289,C1289)=1,1,0))</f>
        <v>0</v>
      </c>
      <c r="G1289" s="16" t="n">
        <f aca="false">SUM(F$5:F1289)</f>
        <v>8</v>
      </c>
      <c r="H1289" s="16" t="n">
        <f aca="false">IF(B1289="",0,IF(COUNTIF(B$5:B1289,B1289)=1,1,0))</f>
        <v>0</v>
      </c>
      <c r="I1289" s="16" t="n">
        <f aca="false">SUM(H$5:H1289)</f>
        <v>6</v>
      </c>
    </row>
    <row r="1290" customFormat="false" ht="15" hidden="false" customHeight="false" outlineLevel="0" collapsed="false">
      <c r="A1290" s="12"/>
      <c r="B1290" s="13"/>
      <c r="C1290" s="13"/>
      <c r="D1290" s="14"/>
      <c r="E1290" s="15"/>
      <c r="F1290" s="16" t="n">
        <f aca="false">IF(C1290="",0,IF(COUNTIF(C$5:C1290,C1290)=1,1,0))</f>
        <v>0</v>
      </c>
      <c r="G1290" s="16" t="n">
        <f aca="false">SUM(F$5:F1290)</f>
        <v>8</v>
      </c>
      <c r="H1290" s="16" t="n">
        <f aca="false">IF(B1290="",0,IF(COUNTIF(B$5:B1290,B1290)=1,1,0))</f>
        <v>0</v>
      </c>
      <c r="I1290" s="16" t="n">
        <f aca="false">SUM(H$5:H1290)</f>
        <v>6</v>
      </c>
    </row>
    <row r="1291" customFormat="false" ht="15" hidden="false" customHeight="false" outlineLevel="0" collapsed="false">
      <c r="A1291" s="12"/>
      <c r="B1291" s="13"/>
      <c r="C1291" s="13"/>
      <c r="D1291" s="14"/>
      <c r="E1291" s="15"/>
      <c r="F1291" s="16" t="n">
        <f aca="false">IF(C1291="",0,IF(COUNTIF(C$5:C1291,C1291)=1,1,0))</f>
        <v>0</v>
      </c>
      <c r="G1291" s="16" t="n">
        <f aca="false">SUM(F$5:F1291)</f>
        <v>8</v>
      </c>
      <c r="H1291" s="16" t="n">
        <f aca="false">IF(B1291="",0,IF(COUNTIF(B$5:B1291,B1291)=1,1,0))</f>
        <v>0</v>
      </c>
      <c r="I1291" s="16" t="n">
        <f aca="false">SUM(H$5:H1291)</f>
        <v>6</v>
      </c>
    </row>
    <row r="1292" customFormat="false" ht="15" hidden="false" customHeight="false" outlineLevel="0" collapsed="false">
      <c r="A1292" s="12"/>
      <c r="B1292" s="13"/>
      <c r="C1292" s="13"/>
      <c r="D1292" s="14"/>
      <c r="E1292" s="15"/>
      <c r="F1292" s="16" t="n">
        <f aca="false">IF(C1292="",0,IF(COUNTIF(C$5:C1292,C1292)=1,1,0))</f>
        <v>0</v>
      </c>
      <c r="G1292" s="16" t="n">
        <f aca="false">SUM(F$5:F1292)</f>
        <v>8</v>
      </c>
      <c r="H1292" s="16" t="n">
        <f aca="false">IF(B1292="",0,IF(COUNTIF(B$5:B1292,B1292)=1,1,0))</f>
        <v>0</v>
      </c>
      <c r="I1292" s="16" t="n">
        <f aca="false">SUM(H$5:H1292)</f>
        <v>6</v>
      </c>
    </row>
    <row r="1293" customFormat="false" ht="15" hidden="false" customHeight="false" outlineLevel="0" collapsed="false">
      <c r="A1293" s="12"/>
      <c r="B1293" s="13"/>
      <c r="C1293" s="13"/>
      <c r="D1293" s="14"/>
      <c r="E1293" s="15"/>
      <c r="F1293" s="16" t="n">
        <f aca="false">IF(C1293="",0,IF(COUNTIF(C$5:C1293,C1293)=1,1,0))</f>
        <v>0</v>
      </c>
      <c r="G1293" s="16" t="n">
        <f aca="false">SUM(F$5:F1293)</f>
        <v>8</v>
      </c>
      <c r="H1293" s="16" t="n">
        <f aca="false">IF(B1293="",0,IF(COUNTIF(B$5:B1293,B1293)=1,1,0))</f>
        <v>0</v>
      </c>
      <c r="I1293" s="16" t="n">
        <f aca="false">SUM(H$5:H1293)</f>
        <v>6</v>
      </c>
    </row>
    <row r="1294" customFormat="false" ht="15" hidden="false" customHeight="false" outlineLevel="0" collapsed="false">
      <c r="A1294" s="12"/>
      <c r="B1294" s="13"/>
      <c r="C1294" s="13"/>
      <c r="D1294" s="14"/>
      <c r="E1294" s="15"/>
      <c r="F1294" s="16" t="n">
        <f aca="false">IF(C1294="",0,IF(COUNTIF(C$5:C1294,C1294)=1,1,0))</f>
        <v>0</v>
      </c>
      <c r="G1294" s="16" t="n">
        <f aca="false">SUM(F$5:F1294)</f>
        <v>8</v>
      </c>
      <c r="H1294" s="16" t="n">
        <f aca="false">IF(B1294="",0,IF(COUNTIF(B$5:B1294,B1294)=1,1,0))</f>
        <v>0</v>
      </c>
      <c r="I1294" s="16" t="n">
        <f aca="false">SUM(H$5:H1294)</f>
        <v>6</v>
      </c>
    </row>
    <row r="1295" customFormat="false" ht="15" hidden="false" customHeight="false" outlineLevel="0" collapsed="false">
      <c r="A1295" s="12"/>
      <c r="B1295" s="13"/>
      <c r="C1295" s="13"/>
      <c r="D1295" s="14"/>
      <c r="E1295" s="15"/>
      <c r="F1295" s="16" t="n">
        <f aca="false">IF(C1295="",0,IF(COUNTIF(C$5:C1295,C1295)=1,1,0))</f>
        <v>0</v>
      </c>
      <c r="G1295" s="16" t="n">
        <f aca="false">SUM(F$5:F1295)</f>
        <v>8</v>
      </c>
      <c r="H1295" s="16" t="n">
        <f aca="false">IF(B1295="",0,IF(COUNTIF(B$5:B1295,B1295)=1,1,0))</f>
        <v>0</v>
      </c>
      <c r="I1295" s="16" t="n">
        <f aca="false">SUM(H$5:H1295)</f>
        <v>6</v>
      </c>
    </row>
    <row r="1296" customFormat="false" ht="15" hidden="false" customHeight="false" outlineLevel="0" collapsed="false">
      <c r="A1296" s="12"/>
      <c r="B1296" s="13"/>
      <c r="C1296" s="13"/>
      <c r="D1296" s="14"/>
      <c r="E1296" s="15"/>
      <c r="F1296" s="16" t="n">
        <f aca="false">IF(C1296="",0,IF(COUNTIF(C$5:C1296,C1296)=1,1,0))</f>
        <v>0</v>
      </c>
      <c r="G1296" s="16" t="n">
        <f aca="false">SUM(F$5:F1296)</f>
        <v>8</v>
      </c>
      <c r="H1296" s="16" t="n">
        <f aca="false">IF(B1296="",0,IF(COUNTIF(B$5:B1296,B1296)=1,1,0))</f>
        <v>0</v>
      </c>
      <c r="I1296" s="16" t="n">
        <f aca="false">SUM(H$5:H1296)</f>
        <v>6</v>
      </c>
    </row>
    <row r="1297" customFormat="false" ht="15" hidden="false" customHeight="false" outlineLevel="0" collapsed="false">
      <c r="A1297" s="12"/>
      <c r="B1297" s="13"/>
      <c r="C1297" s="13"/>
      <c r="D1297" s="14"/>
      <c r="E1297" s="15"/>
      <c r="F1297" s="16" t="n">
        <f aca="false">IF(C1297="",0,IF(COUNTIF(C$5:C1297,C1297)=1,1,0))</f>
        <v>0</v>
      </c>
      <c r="G1297" s="16" t="n">
        <f aca="false">SUM(F$5:F1297)</f>
        <v>8</v>
      </c>
      <c r="H1297" s="16" t="n">
        <f aca="false">IF(B1297="",0,IF(COUNTIF(B$5:B1297,B1297)=1,1,0))</f>
        <v>0</v>
      </c>
      <c r="I1297" s="16" t="n">
        <f aca="false">SUM(H$5:H1297)</f>
        <v>6</v>
      </c>
    </row>
    <row r="1298" customFormat="false" ht="15" hidden="false" customHeight="false" outlineLevel="0" collapsed="false">
      <c r="A1298" s="12"/>
      <c r="B1298" s="13"/>
      <c r="C1298" s="13"/>
      <c r="D1298" s="14"/>
      <c r="E1298" s="15"/>
      <c r="F1298" s="16" t="n">
        <f aca="false">IF(C1298="",0,IF(COUNTIF(C$5:C1298,C1298)=1,1,0))</f>
        <v>0</v>
      </c>
      <c r="G1298" s="16" t="n">
        <f aca="false">SUM(F$5:F1298)</f>
        <v>8</v>
      </c>
      <c r="H1298" s="16" t="n">
        <f aca="false">IF(B1298="",0,IF(COUNTIF(B$5:B1298,B1298)=1,1,0))</f>
        <v>0</v>
      </c>
      <c r="I1298" s="16" t="n">
        <f aca="false">SUM(H$5:H1298)</f>
        <v>6</v>
      </c>
    </row>
    <row r="1299" customFormat="false" ht="15" hidden="false" customHeight="false" outlineLevel="0" collapsed="false">
      <c r="A1299" s="12"/>
      <c r="B1299" s="13"/>
      <c r="C1299" s="13"/>
      <c r="D1299" s="14"/>
      <c r="E1299" s="15"/>
      <c r="F1299" s="16" t="n">
        <f aca="false">IF(C1299="",0,IF(COUNTIF(C$5:C1299,C1299)=1,1,0))</f>
        <v>0</v>
      </c>
      <c r="G1299" s="16" t="n">
        <f aca="false">SUM(F$5:F1299)</f>
        <v>8</v>
      </c>
      <c r="H1299" s="16" t="n">
        <f aca="false">IF(B1299="",0,IF(COUNTIF(B$5:B1299,B1299)=1,1,0))</f>
        <v>0</v>
      </c>
      <c r="I1299" s="16" t="n">
        <f aca="false">SUM(H$5:H1299)</f>
        <v>6</v>
      </c>
    </row>
    <row r="1300" customFormat="false" ht="15" hidden="false" customHeight="false" outlineLevel="0" collapsed="false">
      <c r="A1300" s="12"/>
      <c r="B1300" s="13"/>
      <c r="C1300" s="13"/>
      <c r="D1300" s="14"/>
      <c r="E1300" s="15"/>
      <c r="F1300" s="16" t="n">
        <f aca="false">IF(C1300="",0,IF(COUNTIF(C$5:C1300,C1300)=1,1,0))</f>
        <v>0</v>
      </c>
      <c r="G1300" s="16" t="n">
        <f aca="false">SUM(F$5:F1300)</f>
        <v>8</v>
      </c>
      <c r="H1300" s="16" t="n">
        <f aca="false">IF(B1300="",0,IF(COUNTIF(B$5:B1300,B1300)=1,1,0))</f>
        <v>0</v>
      </c>
      <c r="I1300" s="16" t="n">
        <f aca="false">SUM(H$5:H1300)</f>
        <v>6</v>
      </c>
    </row>
    <row r="1301" customFormat="false" ht="15" hidden="false" customHeight="false" outlineLevel="0" collapsed="false">
      <c r="A1301" s="12"/>
      <c r="B1301" s="13"/>
      <c r="C1301" s="13"/>
      <c r="D1301" s="14"/>
      <c r="E1301" s="15"/>
      <c r="F1301" s="16" t="n">
        <f aca="false">IF(C1301="",0,IF(COUNTIF(C$5:C1301,C1301)=1,1,0))</f>
        <v>0</v>
      </c>
      <c r="G1301" s="16" t="n">
        <f aca="false">SUM(F$5:F1301)</f>
        <v>8</v>
      </c>
      <c r="H1301" s="16" t="n">
        <f aca="false">IF(B1301="",0,IF(COUNTIF(B$5:B1301,B1301)=1,1,0))</f>
        <v>0</v>
      </c>
      <c r="I1301" s="16" t="n">
        <f aca="false">SUM(H$5:H1301)</f>
        <v>6</v>
      </c>
    </row>
    <row r="1302" customFormat="false" ht="15" hidden="false" customHeight="false" outlineLevel="0" collapsed="false">
      <c r="A1302" s="12"/>
      <c r="B1302" s="13"/>
      <c r="C1302" s="13"/>
      <c r="D1302" s="14"/>
      <c r="E1302" s="15"/>
      <c r="F1302" s="16" t="n">
        <f aca="false">IF(C1302="",0,IF(COUNTIF(C$5:C1302,C1302)=1,1,0))</f>
        <v>0</v>
      </c>
      <c r="G1302" s="16" t="n">
        <f aca="false">SUM(F$5:F1302)</f>
        <v>8</v>
      </c>
      <c r="H1302" s="16" t="n">
        <f aca="false">IF(B1302="",0,IF(COUNTIF(B$5:B1302,B1302)=1,1,0))</f>
        <v>0</v>
      </c>
      <c r="I1302" s="16" t="n">
        <f aca="false">SUM(H$5:H1302)</f>
        <v>6</v>
      </c>
    </row>
    <row r="1303" customFormat="false" ht="15" hidden="false" customHeight="false" outlineLevel="0" collapsed="false">
      <c r="A1303" s="12"/>
      <c r="B1303" s="13"/>
      <c r="C1303" s="13"/>
      <c r="D1303" s="14"/>
      <c r="E1303" s="15"/>
      <c r="F1303" s="16" t="n">
        <f aca="false">IF(C1303="",0,IF(COUNTIF(C$5:C1303,C1303)=1,1,0))</f>
        <v>0</v>
      </c>
      <c r="G1303" s="16" t="n">
        <f aca="false">SUM(F$5:F1303)</f>
        <v>8</v>
      </c>
      <c r="H1303" s="16" t="n">
        <f aca="false">IF(B1303="",0,IF(COUNTIF(B$5:B1303,B1303)=1,1,0))</f>
        <v>0</v>
      </c>
      <c r="I1303" s="16" t="n">
        <f aca="false">SUM(H$5:H1303)</f>
        <v>6</v>
      </c>
    </row>
    <row r="1304" customFormat="false" ht="15" hidden="false" customHeight="false" outlineLevel="0" collapsed="false">
      <c r="A1304" s="12"/>
      <c r="B1304" s="13"/>
      <c r="C1304" s="13"/>
      <c r="D1304" s="14"/>
      <c r="E1304" s="15"/>
      <c r="F1304" s="16" t="n">
        <f aca="false">IF(C1304="",0,IF(COUNTIF(C$5:C1304,C1304)=1,1,0))</f>
        <v>0</v>
      </c>
      <c r="G1304" s="16" t="n">
        <f aca="false">SUM(F$5:F1304)</f>
        <v>8</v>
      </c>
      <c r="H1304" s="16" t="n">
        <f aca="false">IF(B1304="",0,IF(COUNTIF(B$5:B1304,B1304)=1,1,0))</f>
        <v>0</v>
      </c>
      <c r="I1304" s="16" t="n">
        <f aca="false">SUM(H$5:H1304)</f>
        <v>6</v>
      </c>
    </row>
    <row r="1305" customFormat="false" ht="15" hidden="false" customHeight="false" outlineLevel="0" collapsed="false">
      <c r="A1305" s="12"/>
      <c r="B1305" s="13"/>
      <c r="C1305" s="13"/>
      <c r="D1305" s="14"/>
      <c r="E1305" s="15"/>
      <c r="F1305" s="16" t="n">
        <f aca="false">IF(C1305="",0,IF(COUNTIF(C$5:C1305,C1305)=1,1,0))</f>
        <v>0</v>
      </c>
      <c r="G1305" s="16" t="n">
        <f aca="false">SUM(F$5:F1305)</f>
        <v>8</v>
      </c>
      <c r="H1305" s="16" t="n">
        <f aca="false">IF(B1305="",0,IF(COUNTIF(B$5:B1305,B1305)=1,1,0))</f>
        <v>0</v>
      </c>
      <c r="I1305" s="16" t="n">
        <f aca="false">SUM(H$5:H1305)</f>
        <v>6</v>
      </c>
    </row>
    <row r="1306" customFormat="false" ht="15" hidden="false" customHeight="false" outlineLevel="0" collapsed="false">
      <c r="A1306" s="12"/>
      <c r="B1306" s="13"/>
      <c r="C1306" s="13"/>
      <c r="D1306" s="14"/>
      <c r="E1306" s="15"/>
      <c r="F1306" s="16" t="n">
        <f aca="false">IF(C1306="",0,IF(COUNTIF(C$5:C1306,C1306)=1,1,0))</f>
        <v>0</v>
      </c>
      <c r="G1306" s="16" t="n">
        <f aca="false">SUM(F$5:F1306)</f>
        <v>8</v>
      </c>
      <c r="H1306" s="16" t="n">
        <f aca="false">IF(B1306="",0,IF(COUNTIF(B$5:B1306,B1306)=1,1,0))</f>
        <v>0</v>
      </c>
      <c r="I1306" s="16" t="n">
        <f aca="false">SUM(H$5:H1306)</f>
        <v>6</v>
      </c>
    </row>
    <row r="1307" customFormat="false" ht="15" hidden="false" customHeight="false" outlineLevel="0" collapsed="false">
      <c r="A1307" s="12"/>
      <c r="B1307" s="13"/>
      <c r="C1307" s="13"/>
      <c r="D1307" s="14"/>
      <c r="E1307" s="15"/>
      <c r="F1307" s="16" t="n">
        <f aca="false">IF(C1307="",0,IF(COUNTIF(C$5:C1307,C1307)=1,1,0))</f>
        <v>0</v>
      </c>
      <c r="G1307" s="16" t="n">
        <f aca="false">SUM(F$5:F1307)</f>
        <v>8</v>
      </c>
      <c r="H1307" s="16" t="n">
        <f aca="false">IF(B1307="",0,IF(COUNTIF(B$5:B1307,B1307)=1,1,0))</f>
        <v>0</v>
      </c>
      <c r="I1307" s="16" t="n">
        <f aca="false">SUM(H$5:H1307)</f>
        <v>6</v>
      </c>
    </row>
    <row r="1308" customFormat="false" ht="15" hidden="false" customHeight="false" outlineLevel="0" collapsed="false">
      <c r="A1308" s="12"/>
      <c r="B1308" s="13"/>
      <c r="C1308" s="13"/>
      <c r="D1308" s="14"/>
      <c r="E1308" s="15"/>
      <c r="F1308" s="16" t="n">
        <f aca="false">IF(C1308="",0,IF(COUNTIF(C$5:C1308,C1308)=1,1,0))</f>
        <v>0</v>
      </c>
      <c r="G1308" s="16" t="n">
        <f aca="false">SUM(F$5:F1308)</f>
        <v>8</v>
      </c>
      <c r="H1308" s="16" t="n">
        <f aca="false">IF(B1308="",0,IF(COUNTIF(B$5:B1308,B1308)=1,1,0))</f>
        <v>0</v>
      </c>
      <c r="I1308" s="16" t="n">
        <f aca="false">SUM(H$5:H1308)</f>
        <v>6</v>
      </c>
    </row>
    <row r="1309" customFormat="false" ht="15" hidden="false" customHeight="false" outlineLevel="0" collapsed="false">
      <c r="A1309" s="12"/>
      <c r="B1309" s="13"/>
      <c r="C1309" s="13"/>
      <c r="D1309" s="14"/>
      <c r="E1309" s="15"/>
      <c r="F1309" s="16" t="n">
        <f aca="false">IF(C1309="",0,IF(COUNTIF(C$5:C1309,C1309)=1,1,0))</f>
        <v>0</v>
      </c>
      <c r="G1309" s="16" t="n">
        <f aca="false">SUM(F$5:F1309)</f>
        <v>8</v>
      </c>
      <c r="H1309" s="16" t="n">
        <f aca="false">IF(B1309="",0,IF(COUNTIF(B$5:B1309,B1309)=1,1,0))</f>
        <v>0</v>
      </c>
      <c r="I1309" s="16" t="n">
        <f aca="false">SUM(H$5:H1309)</f>
        <v>6</v>
      </c>
    </row>
    <row r="1310" customFormat="false" ht="15" hidden="false" customHeight="false" outlineLevel="0" collapsed="false">
      <c r="A1310" s="12"/>
      <c r="B1310" s="13"/>
      <c r="C1310" s="13"/>
      <c r="D1310" s="14"/>
      <c r="E1310" s="15"/>
      <c r="F1310" s="16" t="n">
        <f aca="false">IF(C1310="",0,IF(COUNTIF(C$5:C1310,C1310)=1,1,0))</f>
        <v>0</v>
      </c>
      <c r="G1310" s="16" t="n">
        <f aca="false">SUM(F$5:F1310)</f>
        <v>8</v>
      </c>
      <c r="H1310" s="16" t="n">
        <f aca="false">IF(B1310="",0,IF(COUNTIF(B$5:B1310,B1310)=1,1,0))</f>
        <v>0</v>
      </c>
      <c r="I1310" s="16" t="n">
        <f aca="false">SUM(H$5:H1310)</f>
        <v>6</v>
      </c>
    </row>
    <row r="1311" customFormat="false" ht="15" hidden="false" customHeight="false" outlineLevel="0" collapsed="false">
      <c r="A1311" s="12"/>
      <c r="B1311" s="13"/>
      <c r="C1311" s="13"/>
      <c r="D1311" s="14"/>
      <c r="E1311" s="15"/>
      <c r="F1311" s="16" t="n">
        <f aca="false">IF(C1311="",0,IF(COUNTIF(C$5:C1311,C1311)=1,1,0))</f>
        <v>0</v>
      </c>
      <c r="G1311" s="16" t="n">
        <f aca="false">SUM(F$5:F1311)</f>
        <v>8</v>
      </c>
      <c r="H1311" s="16" t="n">
        <f aca="false">IF(B1311="",0,IF(COUNTIF(B$5:B1311,B1311)=1,1,0))</f>
        <v>0</v>
      </c>
      <c r="I1311" s="16" t="n">
        <f aca="false">SUM(H$5:H1311)</f>
        <v>6</v>
      </c>
    </row>
    <row r="1312" customFormat="false" ht="15" hidden="false" customHeight="false" outlineLevel="0" collapsed="false">
      <c r="A1312" s="12"/>
      <c r="B1312" s="13"/>
      <c r="C1312" s="13"/>
      <c r="D1312" s="14"/>
      <c r="E1312" s="15"/>
      <c r="F1312" s="16" t="n">
        <f aca="false">IF(C1312="",0,IF(COUNTIF(C$5:C1312,C1312)=1,1,0))</f>
        <v>0</v>
      </c>
      <c r="G1312" s="16" t="n">
        <f aca="false">SUM(F$5:F1312)</f>
        <v>8</v>
      </c>
      <c r="H1312" s="16" t="n">
        <f aca="false">IF(B1312="",0,IF(COUNTIF(B$5:B1312,B1312)=1,1,0))</f>
        <v>0</v>
      </c>
      <c r="I1312" s="16" t="n">
        <f aca="false">SUM(H$5:H1312)</f>
        <v>6</v>
      </c>
    </row>
    <row r="1313" customFormat="false" ht="15" hidden="false" customHeight="false" outlineLevel="0" collapsed="false">
      <c r="A1313" s="12"/>
      <c r="B1313" s="13"/>
      <c r="C1313" s="13"/>
      <c r="D1313" s="14"/>
      <c r="E1313" s="15"/>
      <c r="F1313" s="16" t="n">
        <f aca="false">IF(C1313="",0,IF(COUNTIF(C$5:C1313,C1313)=1,1,0))</f>
        <v>0</v>
      </c>
      <c r="G1313" s="16" t="n">
        <f aca="false">SUM(F$5:F1313)</f>
        <v>8</v>
      </c>
      <c r="H1313" s="16" t="n">
        <f aca="false">IF(B1313="",0,IF(COUNTIF(B$5:B1313,B1313)=1,1,0))</f>
        <v>0</v>
      </c>
      <c r="I1313" s="16" t="n">
        <f aca="false">SUM(H$5:H1313)</f>
        <v>6</v>
      </c>
    </row>
    <row r="1314" customFormat="false" ht="15" hidden="false" customHeight="false" outlineLevel="0" collapsed="false">
      <c r="A1314" s="12"/>
      <c r="B1314" s="13"/>
      <c r="C1314" s="13"/>
      <c r="D1314" s="14"/>
      <c r="E1314" s="15"/>
      <c r="F1314" s="16" t="n">
        <f aca="false">IF(C1314="",0,IF(COUNTIF(C$5:C1314,C1314)=1,1,0))</f>
        <v>0</v>
      </c>
      <c r="G1314" s="16" t="n">
        <f aca="false">SUM(F$5:F1314)</f>
        <v>8</v>
      </c>
      <c r="H1314" s="16" t="n">
        <f aca="false">IF(B1314="",0,IF(COUNTIF(B$5:B1314,B1314)=1,1,0))</f>
        <v>0</v>
      </c>
      <c r="I1314" s="16" t="n">
        <f aca="false">SUM(H$5:H1314)</f>
        <v>6</v>
      </c>
    </row>
    <row r="1315" customFormat="false" ht="15" hidden="false" customHeight="false" outlineLevel="0" collapsed="false">
      <c r="A1315" s="12"/>
      <c r="B1315" s="13"/>
      <c r="C1315" s="13"/>
      <c r="D1315" s="14"/>
      <c r="E1315" s="15"/>
      <c r="F1315" s="16" t="n">
        <f aca="false">IF(C1315="",0,IF(COUNTIF(C$5:C1315,C1315)=1,1,0))</f>
        <v>0</v>
      </c>
      <c r="G1315" s="16" t="n">
        <f aca="false">SUM(F$5:F1315)</f>
        <v>8</v>
      </c>
      <c r="H1315" s="16" t="n">
        <f aca="false">IF(B1315="",0,IF(COUNTIF(B$5:B1315,B1315)=1,1,0))</f>
        <v>0</v>
      </c>
      <c r="I1315" s="16" t="n">
        <f aca="false">SUM(H$5:H1315)</f>
        <v>6</v>
      </c>
    </row>
    <row r="1316" customFormat="false" ht="15" hidden="false" customHeight="false" outlineLevel="0" collapsed="false">
      <c r="A1316" s="12"/>
      <c r="B1316" s="13"/>
      <c r="C1316" s="13"/>
      <c r="D1316" s="14"/>
      <c r="E1316" s="15"/>
      <c r="F1316" s="16" t="n">
        <f aca="false">IF(C1316="",0,IF(COUNTIF(C$5:C1316,C1316)=1,1,0))</f>
        <v>0</v>
      </c>
      <c r="G1316" s="16" t="n">
        <f aca="false">SUM(F$5:F1316)</f>
        <v>8</v>
      </c>
      <c r="H1316" s="16" t="n">
        <f aca="false">IF(B1316="",0,IF(COUNTIF(B$5:B1316,B1316)=1,1,0))</f>
        <v>0</v>
      </c>
      <c r="I1316" s="16" t="n">
        <f aca="false">SUM(H$5:H1316)</f>
        <v>6</v>
      </c>
    </row>
    <row r="1317" customFormat="false" ht="15" hidden="false" customHeight="false" outlineLevel="0" collapsed="false">
      <c r="A1317" s="12"/>
      <c r="B1317" s="13"/>
      <c r="C1317" s="13"/>
      <c r="D1317" s="14"/>
      <c r="E1317" s="15"/>
      <c r="F1317" s="16" t="n">
        <f aca="false">IF(C1317="",0,IF(COUNTIF(C$5:C1317,C1317)=1,1,0))</f>
        <v>0</v>
      </c>
      <c r="G1317" s="16" t="n">
        <f aca="false">SUM(F$5:F1317)</f>
        <v>8</v>
      </c>
      <c r="H1317" s="16" t="n">
        <f aca="false">IF(B1317="",0,IF(COUNTIF(B$5:B1317,B1317)=1,1,0))</f>
        <v>0</v>
      </c>
      <c r="I1317" s="16" t="n">
        <f aca="false">SUM(H$5:H1317)</f>
        <v>6</v>
      </c>
    </row>
    <row r="1318" customFormat="false" ht="15" hidden="false" customHeight="false" outlineLevel="0" collapsed="false">
      <c r="A1318" s="12"/>
      <c r="B1318" s="13"/>
      <c r="C1318" s="13"/>
      <c r="D1318" s="14"/>
      <c r="E1318" s="15"/>
      <c r="F1318" s="16" t="n">
        <f aca="false">IF(C1318="",0,IF(COUNTIF(C$5:C1318,C1318)=1,1,0))</f>
        <v>0</v>
      </c>
      <c r="G1318" s="16" t="n">
        <f aca="false">SUM(F$5:F1318)</f>
        <v>8</v>
      </c>
      <c r="H1318" s="16" t="n">
        <f aca="false">IF(B1318="",0,IF(COUNTIF(B$5:B1318,B1318)=1,1,0))</f>
        <v>0</v>
      </c>
      <c r="I1318" s="16" t="n">
        <f aca="false">SUM(H$5:H1318)</f>
        <v>6</v>
      </c>
    </row>
    <row r="1319" customFormat="false" ht="15" hidden="false" customHeight="false" outlineLevel="0" collapsed="false">
      <c r="A1319" s="12"/>
      <c r="B1319" s="13"/>
      <c r="C1319" s="13"/>
      <c r="D1319" s="14"/>
      <c r="E1319" s="15"/>
      <c r="F1319" s="16" t="n">
        <f aca="false">IF(C1319="",0,IF(COUNTIF(C$5:C1319,C1319)=1,1,0))</f>
        <v>0</v>
      </c>
      <c r="G1319" s="16" t="n">
        <f aca="false">SUM(F$5:F1319)</f>
        <v>8</v>
      </c>
      <c r="H1319" s="16" t="n">
        <f aca="false">IF(B1319="",0,IF(COUNTIF(B$5:B1319,B1319)=1,1,0))</f>
        <v>0</v>
      </c>
      <c r="I1319" s="16" t="n">
        <f aca="false">SUM(H$5:H1319)</f>
        <v>6</v>
      </c>
    </row>
    <row r="1320" customFormat="false" ht="15" hidden="false" customHeight="false" outlineLevel="0" collapsed="false">
      <c r="A1320" s="12"/>
      <c r="B1320" s="13"/>
      <c r="C1320" s="13"/>
      <c r="D1320" s="14"/>
      <c r="E1320" s="15"/>
      <c r="F1320" s="16" t="n">
        <f aca="false">IF(C1320="",0,IF(COUNTIF(C$5:C1320,C1320)=1,1,0))</f>
        <v>0</v>
      </c>
      <c r="G1320" s="16" t="n">
        <f aca="false">SUM(F$5:F1320)</f>
        <v>8</v>
      </c>
      <c r="H1320" s="16" t="n">
        <f aca="false">IF(B1320="",0,IF(COUNTIF(B$5:B1320,B1320)=1,1,0))</f>
        <v>0</v>
      </c>
      <c r="I1320" s="16" t="n">
        <f aca="false">SUM(H$5:H1320)</f>
        <v>6</v>
      </c>
    </row>
    <row r="1321" customFormat="false" ht="15" hidden="false" customHeight="false" outlineLevel="0" collapsed="false">
      <c r="A1321" s="12"/>
      <c r="B1321" s="13"/>
      <c r="C1321" s="13"/>
      <c r="D1321" s="14"/>
      <c r="E1321" s="15"/>
      <c r="F1321" s="16" t="n">
        <f aca="false">IF(C1321="",0,IF(COUNTIF(C$5:C1321,C1321)=1,1,0))</f>
        <v>0</v>
      </c>
      <c r="G1321" s="16" t="n">
        <f aca="false">SUM(F$5:F1321)</f>
        <v>8</v>
      </c>
      <c r="H1321" s="16" t="n">
        <f aca="false">IF(B1321="",0,IF(COUNTIF(B$5:B1321,B1321)=1,1,0))</f>
        <v>0</v>
      </c>
      <c r="I1321" s="16" t="n">
        <f aca="false">SUM(H$5:H1321)</f>
        <v>6</v>
      </c>
    </row>
    <row r="1322" customFormat="false" ht="15" hidden="false" customHeight="false" outlineLevel="0" collapsed="false">
      <c r="A1322" s="12"/>
      <c r="B1322" s="13"/>
      <c r="C1322" s="13"/>
      <c r="D1322" s="14"/>
      <c r="E1322" s="15"/>
      <c r="F1322" s="16" t="n">
        <f aca="false">IF(C1322="",0,IF(COUNTIF(C$5:C1322,C1322)=1,1,0))</f>
        <v>0</v>
      </c>
      <c r="G1322" s="16" t="n">
        <f aca="false">SUM(F$5:F1322)</f>
        <v>8</v>
      </c>
      <c r="H1322" s="16" t="n">
        <f aca="false">IF(B1322="",0,IF(COUNTIF(B$5:B1322,B1322)=1,1,0))</f>
        <v>0</v>
      </c>
      <c r="I1322" s="16" t="n">
        <f aca="false">SUM(H$5:H1322)</f>
        <v>6</v>
      </c>
    </row>
    <row r="1323" customFormat="false" ht="15" hidden="false" customHeight="false" outlineLevel="0" collapsed="false">
      <c r="A1323" s="12"/>
      <c r="B1323" s="13"/>
      <c r="C1323" s="13"/>
      <c r="D1323" s="14"/>
      <c r="E1323" s="15"/>
      <c r="F1323" s="16" t="n">
        <f aca="false">IF(C1323="",0,IF(COUNTIF(C$5:C1323,C1323)=1,1,0))</f>
        <v>0</v>
      </c>
      <c r="G1323" s="16" t="n">
        <f aca="false">SUM(F$5:F1323)</f>
        <v>8</v>
      </c>
      <c r="H1323" s="16" t="n">
        <f aca="false">IF(B1323="",0,IF(COUNTIF(B$5:B1323,B1323)=1,1,0))</f>
        <v>0</v>
      </c>
      <c r="I1323" s="16" t="n">
        <f aca="false">SUM(H$5:H1323)</f>
        <v>6</v>
      </c>
    </row>
    <row r="1324" customFormat="false" ht="15" hidden="false" customHeight="false" outlineLevel="0" collapsed="false">
      <c r="A1324" s="12"/>
      <c r="B1324" s="13"/>
      <c r="C1324" s="13"/>
      <c r="D1324" s="14"/>
      <c r="E1324" s="15"/>
      <c r="F1324" s="16" t="n">
        <f aca="false">IF(C1324="",0,IF(COUNTIF(C$5:C1324,C1324)=1,1,0))</f>
        <v>0</v>
      </c>
      <c r="G1324" s="16" t="n">
        <f aca="false">SUM(F$5:F1324)</f>
        <v>8</v>
      </c>
      <c r="H1324" s="16" t="n">
        <f aca="false">IF(B1324="",0,IF(COUNTIF(B$5:B1324,B1324)=1,1,0))</f>
        <v>0</v>
      </c>
      <c r="I1324" s="16" t="n">
        <f aca="false">SUM(H$5:H1324)</f>
        <v>6</v>
      </c>
    </row>
    <row r="1325" customFormat="false" ht="15" hidden="false" customHeight="false" outlineLevel="0" collapsed="false">
      <c r="A1325" s="12"/>
      <c r="B1325" s="13"/>
      <c r="C1325" s="13"/>
      <c r="D1325" s="14"/>
      <c r="E1325" s="15"/>
      <c r="F1325" s="16" t="n">
        <f aca="false">IF(C1325="",0,IF(COUNTIF(C$5:C1325,C1325)=1,1,0))</f>
        <v>0</v>
      </c>
      <c r="G1325" s="16" t="n">
        <f aca="false">SUM(F$5:F1325)</f>
        <v>8</v>
      </c>
      <c r="H1325" s="16" t="n">
        <f aca="false">IF(B1325="",0,IF(COUNTIF(B$5:B1325,B1325)=1,1,0))</f>
        <v>0</v>
      </c>
      <c r="I1325" s="16" t="n">
        <f aca="false">SUM(H$5:H1325)</f>
        <v>6</v>
      </c>
    </row>
    <row r="1326" customFormat="false" ht="15" hidden="false" customHeight="false" outlineLevel="0" collapsed="false">
      <c r="A1326" s="12"/>
      <c r="B1326" s="13"/>
      <c r="C1326" s="13"/>
      <c r="D1326" s="14"/>
      <c r="E1326" s="15"/>
      <c r="F1326" s="16" t="n">
        <f aca="false">IF(C1326="",0,IF(COUNTIF(C$5:C1326,C1326)=1,1,0))</f>
        <v>0</v>
      </c>
      <c r="G1326" s="16" t="n">
        <f aca="false">SUM(F$5:F1326)</f>
        <v>8</v>
      </c>
      <c r="H1326" s="16" t="n">
        <f aca="false">IF(B1326="",0,IF(COUNTIF(B$5:B1326,B1326)=1,1,0))</f>
        <v>0</v>
      </c>
      <c r="I1326" s="16" t="n">
        <f aca="false">SUM(H$5:H1326)</f>
        <v>6</v>
      </c>
    </row>
    <row r="1327" customFormat="false" ht="15" hidden="false" customHeight="false" outlineLevel="0" collapsed="false">
      <c r="A1327" s="12"/>
      <c r="B1327" s="13"/>
      <c r="C1327" s="13"/>
      <c r="D1327" s="14"/>
      <c r="E1327" s="15"/>
      <c r="F1327" s="16" t="n">
        <f aca="false">IF(C1327="",0,IF(COUNTIF(C$5:C1327,C1327)=1,1,0))</f>
        <v>0</v>
      </c>
      <c r="G1327" s="16" t="n">
        <f aca="false">SUM(F$5:F1327)</f>
        <v>8</v>
      </c>
      <c r="H1327" s="16" t="n">
        <f aca="false">IF(B1327="",0,IF(COUNTIF(B$5:B1327,B1327)=1,1,0))</f>
        <v>0</v>
      </c>
      <c r="I1327" s="16" t="n">
        <f aca="false">SUM(H$5:H1327)</f>
        <v>6</v>
      </c>
    </row>
    <row r="1328" customFormat="false" ht="15" hidden="false" customHeight="false" outlineLevel="0" collapsed="false">
      <c r="A1328" s="12"/>
      <c r="B1328" s="13"/>
      <c r="C1328" s="13"/>
      <c r="D1328" s="14"/>
      <c r="E1328" s="15"/>
      <c r="F1328" s="16" t="n">
        <f aca="false">IF(C1328="",0,IF(COUNTIF(C$5:C1328,C1328)=1,1,0))</f>
        <v>0</v>
      </c>
      <c r="G1328" s="16" t="n">
        <f aca="false">SUM(F$5:F1328)</f>
        <v>8</v>
      </c>
      <c r="H1328" s="16" t="n">
        <f aca="false">IF(B1328="",0,IF(COUNTIF(B$5:B1328,B1328)=1,1,0))</f>
        <v>0</v>
      </c>
      <c r="I1328" s="16" t="n">
        <f aca="false">SUM(H$5:H1328)</f>
        <v>6</v>
      </c>
    </row>
    <row r="1329" customFormat="false" ht="15" hidden="false" customHeight="false" outlineLevel="0" collapsed="false">
      <c r="A1329" s="12"/>
      <c r="B1329" s="13"/>
      <c r="C1329" s="13"/>
      <c r="D1329" s="14"/>
      <c r="E1329" s="15"/>
      <c r="F1329" s="16" t="n">
        <f aca="false">IF(C1329="",0,IF(COUNTIF(C$5:C1329,C1329)=1,1,0))</f>
        <v>0</v>
      </c>
      <c r="G1329" s="16" t="n">
        <f aca="false">SUM(F$5:F1329)</f>
        <v>8</v>
      </c>
      <c r="H1329" s="16" t="n">
        <f aca="false">IF(B1329="",0,IF(COUNTIF(B$5:B1329,B1329)=1,1,0))</f>
        <v>0</v>
      </c>
      <c r="I1329" s="16" t="n">
        <f aca="false">SUM(H$5:H1329)</f>
        <v>6</v>
      </c>
    </row>
    <row r="1330" customFormat="false" ht="15" hidden="false" customHeight="false" outlineLevel="0" collapsed="false">
      <c r="A1330" s="12"/>
      <c r="B1330" s="13"/>
      <c r="C1330" s="13"/>
      <c r="D1330" s="14"/>
      <c r="E1330" s="15"/>
      <c r="F1330" s="16" t="n">
        <f aca="false">IF(C1330="",0,IF(COUNTIF(C$5:C1330,C1330)=1,1,0))</f>
        <v>0</v>
      </c>
      <c r="G1330" s="16" t="n">
        <f aca="false">SUM(F$5:F1330)</f>
        <v>8</v>
      </c>
      <c r="H1330" s="16" t="n">
        <f aca="false">IF(B1330="",0,IF(COUNTIF(B$5:B1330,B1330)=1,1,0))</f>
        <v>0</v>
      </c>
      <c r="I1330" s="16" t="n">
        <f aca="false">SUM(H$5:H1330)</f>
        <v>6</v>
      </c>
    </row>
    <row r="1331" customFormat="false" ht="15" hidden="false" customHeight="false" outlineLevel="0" collapsed="false">
      <c r="A1331" s="12"/>
      <c r="B1331" s="13"/>
      <c r="C1331" s="13"/>
      <c r="D1331" s="14"/>
      <c r="E1331" s="15"/>
      <c r="F1331" s="16" t="n">
        <f aca="false">IF(C1331="",0,IF(COUNTIF(C$5:C1331,C1331)=1,1,0))</f>
        <v>0</v>
      </c>
      <c r="G1331" s="16" t="n">
        <f aca="false">SUM(F$5:F1331)</f>
        <v>8</v>
      </c>
      <c r="H1331" s="16" t="n">
        <f aca="false">IF(B1331="",0,IF(COUNTIF(B$5:B1331,B1331)=1,1,0))</f>
        <v>0</v>
      </c>
      <c r="I1331" s="16" t="n">
        <f aca="false">SUM(H$5:H1331)</f>
        <v>6</v>
      </c>
    </row>
    <row r="1332" customFormat="false" ht="15" hidden="false" customHeight="false" outlineLevel="0" collapsed="false">
      <c r="A1332" s="12"/>
      <c r="B1332" s="13"/>
      <c r="C1332" s="13"/>
      <c r="D1332" s="14"/>
      <c r="E1332" s="15"/>
      <c r="F1332" s="16" t="n">
        <f aca="false">IF(C1332="",0,IF(COUNTIF(C$5:C1332,C1332)=1,1,0))</f>
        <v>0</v>
      </c>
      <c r="G1332" s="16" t="n">
        <f aca="false">SUM(F$5:F1332)</f>
        <v>8</v>
      </c>
      <c r="H1332" s="16" t="n">
        <f aca="false">IF(B1332="",0,IF(COUNTIF(B$5:B1332,B1332)=1,1,0))</f>
        <v>0</v>
      </c>
      <c r="I1332" s="16" t="n">
        <f aca="false">SUM(H$5:H1332)</f>
        <v>6</v>
      </c>
    </row>
    <row r="1333" customFormat="false" ht="15" hidden="false" customHeight="false" outlineLevel="0" collapsed="false">
      <c r="A1333" s="12"/>
      <c r="B1333" s="13"/>
      <c r="C1333" s="13"/>
      <c r="D1333" s="14"/>
      <c r="E1333" s="15"/>
      <c r="F1333" s="16" t="n">
        <f aca="false">IF(C1333="",0,IF(COUNTIF(C$5:C1333,C1333)=1,1,0))</f>
        <v>0</v>
      </c>
      <c r="G1333" s="16" t="n">
        <f aca="false">SUM(F$5:F1333)</f>
        <v>8</v>
      </c>
      <c r="H1333" s="16" t="n">
        <f aca="false">IF(B1333="",0,IF(COUNTIF(B$5:B1333,B1333)=1,1,0))</f>
        <v>0</v>
      </c>
      <c r="I1333" s="16" t="n">
        <f aca="false">SUM(H$5:H1333)</f>
        <v>6</v>
      </c>
    </row>
    <row r="1334" customFormat="false" ht="15" hidden="false" customHeight="false" outlineLevel="0" collapsed="false">
      <c r="A1334" s="12"/>
      <c r="B1334" s="13"/>
      <c r="C1334" s="13"/>
      <c r="D1334" s="14"/>
      <c r="E1334" s="15"/>
      <c r="F1334" s="16" t="n">
        <f aca="false">IF(C1334="",0,IF(COUNTIF(C$5:C1334,C1334)=1,1,0))</f>
        <v>0</v>
      </c>
      <c r="G1334" s="16" t="n">
        <f aca="false">SUM(F$5:F1334)</f>
        <v>8</v>
      </c>
      <c r="H1334" s="16" t="n">
        <f aca="false">IF(B1334="",0,IF(COUNTIF(B$5:B1334,B1334)=1,1,0))</f>
        <v>0</v>
      </c>
      <c r="I1334" s="16" t="n">
        <f aca="false">SUM(H$5:H1334)</f>
        <v>6</v>
      </c>
    </row>
    <row r="1335" customFormat="false" ht="15" hidden="false" customHeight="false" outlineLevel="0" collapsed="false">
      <c r="A1335" s="12"/>
      <c r="B1335" s="13"/>
      <c r="C1335" s="13"/>
      <c r="D1335" s="14"/>
      <c r="E1335" s="15"/>
      <c r="F1335" s="16" t="n">
        <f aca="false">IF(C1335="",0,IF(COUNTIF(C$5:C1335,C1335)=1,1,0))</f>
        <v>0</v>
      </c>
      <c r="G1335" s="16" t="n">
        <f aca="false">SUM(F$5:F1335)</f>
        <v>8</v>
      </c>
      <c r="H1335" s="16" t="n">
        <f aca="false">IF(B1335="",0,IF(COUNTIF(B$5:B1335,B1335)=1,1,0))</f>
        <v>0</v>
      </c>
      <c r="I1335" s="16" t="n">
        <f aca="false">SUM(H$5:H1335)</f>
        <v>6</v>
      </c>
    </row>
    <row r="1336" customFormat="false" ht="15" hidden="false" customHeight="false" outlineLevel="0" collapsed="false">
      <c r="A1336" s="12"/>
      <c r="B1336" s="13"/>
      <c r="C1336" s="13"/>
      <c r="D1336" s="14"/>
      <c r="E1336" s="15"/>
      <c r="F1336" s="16" t="n">
        <f aca="false">IF(C1336="",0,IF(COUNTIF(C$5:C1336,C1336)=1,1,0))</f>
        <v>0</v>
      </c>
      <c r="G1336" s="16" t="n">
        <f aca="false">SUM(F$5:F1336)</f>
        <v>8</v>
      </c>
      <c r="H1336" s="16" t="n">
        <f aca="false">IF(B1336="",0,IF(COUNTIF(B$5:B1336,B1336)=1,1,0))</f>
        <v>0</v>
      </c>
      <c r="I1336" s="16" t="n">
        <f aca="false">SUM(H$5:H1336)</f>
        <v>6</v>
      </c>
    </row>
    <row r="1337" customFormat="false" ht="15" hidden="false" customHeight="false" outlineLevel="0" collapsed="false">
      <c r="A1337" s="12"/>
      <c r="B1337" s="13"/>
      <c r="C1337" s="13"/>
      <c r="D1337" s="14"/>
      <c r="E1337" s="15"/>
      <c r="F1337" s="16" t="n">
        <f aca="false">IF(C1337="",0,IF(COUNTIF(C$5:C1337,C1337)=1,1,0))</f>
        <v>0</v>
      </c>
      <c r="G1337" s="16" t="n">
        <f aca="false">SUM(F$5:F1337)</f>
        <v>8</v>
      </c>
      <c r="H1337" s="16" t="n">
        <f aca="false">IF(B1337="",0,IF(COUNTIF(B$5:B1337,B1337)=1,1,0))</f>
        <v>0</v>
      </c>
      <c r="I1337" s="16" t="n">
        <f aca="false">SUM(H$5:H1337)</f>
        <v>6</v>
      </c>
    </row>
    <row r="1338" customFormat="false" ht="15" hidden="false" customHeight="false" outlineLevel="0" collapsed="false">
      <c r="A1338" s="12"/>
      <c r="B1338" s="13"/>
      <c r="C1338" s="13"/>
      <c r="D1338" s="14"/>
      <c r="E1338" s="15"/>
      <c r="F1338" s="16" t="n">
        <f aca="false">IF(C1338="",0,IF(COUNTIF(C$5:C1338,C1338)=1,1,0))</f>
        <v>0</v>
      </c>
      <c r="G1338" s="16" t="n">
        <f aca="false">SUM(F$5:F1338)</f>
        <v>8</v>
      </c>
      <c r="H1338" s="16" t="n">
        <f aca="false">IF(B1338="",0,IF(COUNTIF(B$5:B1338,B1338)=1,1,0))</f>
        <v>0</v>
      </c>
      <c r="I1338" s="16" t="n">
        <f aca="false">SUM(H$5:H1338)</f>
        <v>6</v>
      </c>
    </row>
    <row r="1339" customFormat="false" ht="15" hidden="false" customHeight="false" outlineLevel="0" collapsed="false">
      <c r="A1339" s="12"/>
      <c r="B1339" s="13"/>
      <c r="C1339" s="13"/>
      <c r="D1339" s="14"/>
      <c r="E1339" s="15"/>
      <c r="F1339" s="16" t="n">
        <f aca="false">IF(C1339="",0,IF(COUNTIF(C$5:C1339,C1339)=1,1,0))</f>
        <v>0</v>
      </c>
      <c r="G1339" s="16" t="n">
        <f aca="false">SUM(F$5:F1339)</f>
        <v>8</v>
      </c>
      <c r="H1339" s="16" t="n">
        <f aca="false">IF(B1339="",0,IF(COUNTIF(B$5:B1339,B1339)=1,1,0))</f>
        <v>0</v>
      </c>
      <c r="I1339" s="16" t="n">
        <f aca="false">SUM(H$5:H1339)</f>
        <v>6</v>
      </c>
    </row>
    <row r="1340" customFormat="false" ht="15" hidden="false" customHeight="false" outlineLevel="0" collapsed="false">
      <c r="A1340" s="12"/>
      <c r="B1340" s="13"/>
      <c r="C1340" s="13"/>
      <c r="D1340" s="14"/>
      <c r="E1340" s="15"/>
      <c r="F1340" s="16" t="n">
        <f aca="false">IF(C1340="",0,IF(COUNTIF(C$5:C1340,C1340)=1,1,0))</f>
        <v>0</v>
      </c>
      <c r="G1340" s="16" t="n">
        <f aca="false">SUM(F$5:F1340)</f>
        <v>8</v>
      </c>
      <c r="H1340" s="16" t="n">
        <f aca="false">IF(B1340="",0,IF(COUNTIF(B$5:B1340,B1340)=1,1,0))</f>
        <v>0</v>
      </c>
      <c r="I1340" s="16" t="n">
        <f aca="false">SUM(H$5:H1340)</f>
        <v>6</v>
      </c>
    </row>
    <row r="1341" customFormat="false" ht="15" hidden="false" customHeight="false" outlineLevel="0" collapsed="false">
      <c r="A1341" s="12"/>
      <c r="B1341" s="13"/>
      <c r="C1341" s="13"/>
      <c r="D1341" s="14"/>
      <c r="E1341" s="15"/>
      <c r="F1341" s="16" t="n">
        <f aca="false">IF(C1341="",0,IF(COUNTIF(C$5:C1341,C1341)=1,1,0))</f>
        <v>0</v>
      </c>
      <c r="G1341" s="16" t="n">
        <f aca="false">SUM(F$5:F1341)</f>
        <v>8</v>
      </c>
      <c r="H1341" s="16" t="n">
        <f aca="false">IF(B1341="",0,IF(COUNTIF(B$5:B1341,B1341)=1,1,0))</f>
        <v>0</v>
      </c>
      <c r="I1341" s="16" t="n">
        <f aca="false">SUM(H$5:H1341)</f>
        <v>6</v>
      </c>
    </row>
    <row r="1342" customFormat="false" ht="15" hidden="false" customHeight="false" outlineLevel="0" collapsed="false">
      <c r="A1342" s="12"/>
      <c r="B1342" s="13"/>
      <c r="C1342" s="13"/>
      <c r="D1342" s="14"/>
      <c r="E1342" s="15"/>
      <c r="F1342" s="16" t="n">
        <f aca="false">IF(C1342="",0,IF(COUNTIF(C$5:C1342,C1342)=1,1,0))</f>
        <v>0</v>
      </c>
      <c r="G1342" s="16" t="n">
        <f aca="false">SUM(F$5:F1342)</f>
        <v>8</v>
      </c>
      <c r="H1342" s="16" t="n">
        <f aca="false">IF(B1342="",0,IF(COUNTIF(B$5:B1342,B1342)=1,1,0))</f>
        <v>0</v>
      </c>
      <c r="I1342" s="16" t="n">
        <f aca="false">SUM(H$5:H1342)</f>
        <v>6</v>
      </c>
    </row>
    <row r="1343" customFormat="false" ht="15" hidden="false" customHeight="false" outlineLevel="0" collapsed="false">
      <c r="A1343" s="12"/>
      <c r="B1343" s="13"/>
      <c r="C1343" s="13"/>
      <c r="D1343" s="14"/>
      <c r="E1343" s="15"/>
      <c r="F1343" s="16" t="n">
        <f aca="false">IF(C1343="",0,IF(COUNTIF(C$5:C1343,C1343)=1,1,0))</f>
        <v>0</v>
      </c>
      <c r="G1343" s="16" t="n">
        <f aca="false">SUM(F$5:F1343)</f>
        <v>8</v>
      </c>
      <c r="H1343" s="16" t="n">
        <f aca="false">IF(B1343="",0,IF(COUNTIF(B$5:B1343,B1343)=1,1,0))</f>
        <v>0</v>
      </c>
      <c r="I1343" s="16" t="n">
        <f aca="false">SUM(H$5:H1343)</f>
        <v>6</v>
      </c>
    </row>
    <row r="1344" customFormat="false" ht="15" hidden="false" customHeight="false" outlineLevel="0" collapsed="false">
      <c r="A1344" s="12"/>
      <c r="B1344" s="13"/>
      <c r="C1344" s="13"/>
      <c r="D1344" s="14"/>
      <c r="E1344" s="15"/>
      <c r="F1344" s="16" t="n">
        <f aca="false">IF(C1344="",0,IF(COUNTIF(C$5:C1344,C1344)=1,1,0))</f>
        <v>0</v>
      </c>
      <c r="G1344" s="16" t="n">
        <f aca="false">SUM(F$5:F1344)</f>
        <v>8</v>
      </c>
      <c r="H1344" s="16" t="n">
        <f aca="false">IF(B1344="",0,IF(COUNTIF(B$5:B1344,B1344)=1,1,0))</f>
        <v>0</v>
      </c>
      <c r="I1344" s="16" t="n">
        <f aca="false">SUM(H$5:H1344)</f>
        <v>6</v>
      </c>
    </row>
    <row r="1345" customFormat="false" ht="15" hidden="false" customHeight="false" outlineLevel="0" collapsed="false">
      <c r="A1345" s="12"/>
      <c r="B1345" s="13"/>
      <c r="C1345" s="13"/>
      <c r="D1345" s="14"/>
      <c r="E1345" s="15"/>
      <c r="F1345" s="16" t="n">
        <f aca="false">IF(C1345="",0,IF(COUNTIF(C$5:C1345,C1345)=1,1,0))</f>
        <v>0</v>
      </c>
      <c r="G1345" s="16" t="n">
        <f aca="false">SUM(F$5:F1345)</f>
        <v>8</v>
      </c>
      <c r="H1345" s="16" t="n">
        <f aca="false">IF(B1345="",0,IF(COUNTIF(B$5:B1345,B1345)=1,1,0))</f>
        <v>0</v>
      </c>
      <c r="I1345" s="16" t="n">
        <f aca="false">SUM(H$5:H1345)</f>
        <v>6</v>
      </c>
    </row>
    <row r="1346" customFormat="false" ht="15" hidden="false" customHeight="false" outlineLevel="0" collapsed="false">
      <c r="A1346" s="12"/>
      <c r="B1346" s="13"/>
      <c r="C1346" s="13"/>
      <c r="D1346" s="14"/>
      <c r="E1346" s="15"/>
      <c r="F1346" s="16" t="n">
        <f aca="false">IF(C1346="",0,IF(COUNTIF(C$5:C1346,C1346)=1,1,0))</f>
        <v>0</v>
      </c>
      <c r="G1346" s="16" t="n">
        <f aca="false">SUM(F$5:F1346)</f>
        <v>8</v>
      </c>
      <c r="H1346" s="16" t="n">
        <f aca="false">IF(B1346="",0,IF(COUNTIF(B$5:B1346,B1346)=1,1,0))</f>
        <v>0</v>
      </c>
      <c r="I1346" s="16" t="n">
        <f aca="false">SUM(H$5:H1346)</f>
        <v>6</v>
      </c>
    </row>
    <row r="1347" customFormat="false" ht="15" hidden="false" customHeight="false" outlineLevel="0" collapsed="false">
      <c r="A1347" s="12"/>
      <c r="B1347" s="13"/>
      <c r="C1347" s="13"/>
      <c r="D1347" s="14"/>
      <c r="E1347" s="15"/>
      <c r="F1347" s="16" t="n">
        <f aca="false">IF(C1347="",0,IF(COUNTIF(C$5:C1347,C1347)=1,1,0))</f>
        <v>0</v>
      </c>
      <c r="G1347" s="16" t="n">
        <f aca="false">SUM(F$5:F1347)</f>
        <v>8</v>
      </c>
      <c r="H1347" s="16" t="n">
        <f aca="false">IF(B1347="",0,IF(COUNTIF(B$5:B1347,B1347)=1,1,0))</f>
        <v>0</v>
      </c>
      <c r="I1347" s="16" t="n">
        <f aca="false">SUM(H$5:H1347)</f>
        <v>6</v>
      </c>
    </row>
    <row r="1348" customFormat="false" ht="15" hidden="false" customHeight="false" outlineLevel="0" collapsed="false">
      <c r="A1348" s="12"/>
      <c r="B1348" s="13"/>
      <c r="C1348" s="13"/>
      <c r="D1348" s="14"/>
      <c r="E1348" s="15"/>
      <c r="F1348" s="16" t="n">
        <f aca="false">IF(C1348="",0,IF(COUNTIF(C$5:C1348,C1348)=1,1,0))</f>
        <v>0</v>
      </c>
      <c r="G1348" s="16" t="n">
        <f aca="false">SUM(F$5:F1348)</f>
        <v>8</v>
      </c>
      <c r="H1348" s="16" t="n">
        <f aca="false">IF(B1348="",0,IF(COUNTIF(B$5:B1348,B1348)=1,1,0))</f>
        <v>0</v>
      </c>
      <c r="I1348" s="16" t="n">
        <f aca="false">SUM(H$5:H1348)</f>
        <v>6</v>
      </c>
    </row>
    <row r="1349" customFormat="false" ht="15" hidden="false" customHeight="false" outlineLevel="0" collapsed="false">
      <c r="A1349" s="12"/>
      <c r="B1349" s="13"/>
      <c r="C1349" s="13"/>
      <c r="D1349" s="14"/>
      <c r="E1349" s="15"/>
      <c r="F1349" s="16" t="n">
        <f aca="false">IF(C1349="",0,IF(COUNTIF(C$5:C1349,C1349)=1,1,0))</f>
        <v>0</v>
      </c>
      <c r="G1349" s="16" t="n">
        <f aca="false">SUM(F$5:F1349)</f>
        <v>8</v>
      </c>
      <c r="H1349" s="16" t="n">
        <f aca="false">IF(B1349="",0,IF(COUNTIF(B$5:B1349,B1349)=1,1,0))</f>
        <v>0</v>
      </c>
      <c r="I1349" s="16" t="n">
        <f aca="false">SUM(H$5:H1349)</f>
        <v>6</v>
      </c>
    </row>
    <row r="1350" customFormat="false" ht="15" hidden="false" customHeight="false" outlineLevel="0" collapsed="false">
      <c r="A1350" s="12"/>
      <c r="B1350" s="13"/>
      <c r="C1350" s="13"/>
      <c r="D1350" s="14"/>
      <c r="E1350" s="15"/>
      <c r="F1350" s="16" t="n">
        <f aca="false">IF(C1350="",0,IF(COUNTIF(C$5:C1350,C1350)=1,1,0))</f>
        <v>0</v>
      </c>
      <c r="G1350" s="16" t="n">
        <f aca="false">SUM(F$5:F1350)</f>
        <v>8</v>
      </c>
      <c r="H1350" s="16" t="n">
        <f aca="false">IF(B1350="",0,IF(COUNTIF(B$5:B1350,B1350)=1,1,0))</f>
        <v>0</v>
      </c>
      <c r="I1350" s="16" t="n">
        <f aca="false">SUM(H$5:H1350)</f>
        <v>6</v>
      </c>
    </row>
    <row r="1351" customFormat="false" ht="15" hidden="false" customHeight="false" outlineLevel="0" collapsed="false">
      <c r="A1351" s="12"/>
      <c r="B1351" s="13"/>
      <c r="C1351" s="13"/>
      <c r="D1351" s="14"/>
      <c r="E1351" s="15"/>
      <c r="F1351" s="16" t="n">
        <f aca="false">IF(C1351="",0,IF(COUNTIF(C$5:C1351,C1351)=1,1,0))</f>
        <v>0</v>
      </c>
      <c r="G1351" s="16" t="n">
        <f aca="false">SUM(F$5:F1351)</f>
        <v>8</v>
      </c>
      <c r="H1351" s="16" t="n">
        <f aca="false">IF(B1351="",0,IF(COUNTIF(B$5:B1351,B1351)=1,1,0))</f>
        <v>0</v>
      </c>
      <c r="I1351" s="16" t="n">
        <f aca="false">SUM(H$5:H1351)</f>
        <v>6</v>
      </c>
    </row>
    <row r="1352" customFormat="false" ht="15" hidden="false" customHeight="false" outlineLevel="0" collapsed="false">
      <c r="A1352" s="12"/>
      <c r="B1352" s="13"/>
      <c r="C1352" s="13"/>
      <c r="D1352" s="14"/>
      <c r="E1352" s="15"/>
      <c r="F1352" s="16" t="n">
        <f aca="false">IF(C1352="",0,IF(COUNTIF(C$5:C1352,C1352)=1,1,0))</f>
        <v>0</v>
      </c>
      <c r="G1352" s="16" t="n">
        <f aca="false">SUM(F$5:F1352)</f>
        <v>8</v>
      </c>
      <c r="H1352" s="16" t="n">
        <f aca="false">IF(B1352="",0,IF(COUNTIF(B$5:B1352,B1352)=1,1,0))</f>
        <v>0</v>
      </c>
      <c r="I1352" s="16" t="n">
        <f aca="false">SUM(H$5:H1352)</f>
        <v>6</v>
      </c>
    </row>
    <row r="1353" customFormat="false" ht="15" hidden="false" customHeight="false" outlineLevel="0" collapsed="false">
      <c r="A1353" s="12"/>
      <c r="B1353" s="13"/>
      <c r="C1353" s="13"/>
      <c r="D1353" s="14"/>
      <c r="E1353" s="15"/>
      <c r="F1353" s="16" t="n">
        <f aca="false">IF(C1353="",0,IF(COUNTIF(C$5:C1353,C1353)=1,1,0))</f>
        <v>0</v>
      </c>
      <c r="G1353" s="16" t="n">
        <f aca="false">SUM(F$5:F1353)</f>
        <v>8</v>
      </c>
      <c r="H1353" s="16" t="n">
        <f aca="false">IF(B1353="",0,IF(COUNTIF(B$5:B1353,B1353)=1,1,0))</f>
        <v>0</v>
      </c>
      <c r="I1353" s="16" t="n">
        <f aca="false">SUM(H$5:H1353)</f>
        <v>6</v>
      </c>
    </row>
    <row r="1354" customFormat="false" ht="15" hidden="false" customHeight="false" outlineLevel="0" collapsed="false">
      <c r="A1354" s="12"/>
      <c r="B1354" s="13"/>
      <c r="C1354" s="13"/>
      <c r="D1354" s="14"/>
      <c r="E1354" s="15"/>
      <c r="F1354" s="16" t="n">
        <f aca="false">IF(C1354="",0,IF(COUNTIF(C$5:C1354,C1354)=1,1,0))</f>
        <v>0</v>
      </c>
      <c r="G1354" s="16" t="n">
        <f aca="false">SUM(F$5:F1354)</f>
        <v>8</v>
      </c>
      <c r="H1354" s="16" t="n">
        <f aca="false">IF(B1354="",0,IF(COUNTIF(B$5:B1354,B1354)=1,1,0))</f>
        <v>0</v>
      </c>
      <c r="I1354" s="16" t="n">
        <f aca="false">SUM(H$5:H1354)</f>
        <v>6</v>
      </c>
    </row>
    <row r="1355" customFormat="false" ht="15" hidden="false" customHeight="false" outlineLevel="0" collapsed="false">
      <c r="A1355" s="12"/>
      <c r="B1355" s="13"/>
      <c r="C1355" s="13"/>
      <c r="D1355" s="14"/>
      <c r="E1355" s="15"/>
      <c r="F1355" s="16" t="n">
        <f aca="false">IF(C1355="",0,IF(COUNTIF(C$5:C1355,C1355)=1,1,0))</f>
        <v>0</v>
      </c>
      <c r="G1355" s="16" t="n">
        <f aca="false">SUM(F$5:F1355)</f>
        <v>8</v>
      </c>
      <c r="H1355" s="16" t="n">
        <f aca="false">IF(B1355="",0,IF(COUNTIF(B$5:B1355,B1355)=1,1,0))</f>
        <v>0</v>
      </c>
      <c r="I1355" s="16" t="n">
        <f aca="false">SUM(H$5:H1355)</f>
        <v>6</v>
      </c>
    </row>
    <row r="1356" customFormat="false" ht="15" hidden="false" customHeight="false" outlineLevel="0" collapsed="false">
      <c r="A1356" s="12"/>
      <c r="B1356" s="13"/>
      <c r="C1356" s="13"/>
      <c r="D1356" s="14"/>
      <c r="E1356" s="15"/>
      <c r="F1356" s="16" t="n">
        <f aca="false">IF(C1356="",0,IF(COUNTIF(C$5:C1356,C1356)=1,1,0))</f>
        <v>0</v>
      </c>
      <c r="G1356" s="16" t="n">
        <f aca="false">SUM(F$5:F1356)</f>
        <v>8</v>
      </c>
      <c r="H1356" s="16" t="n">
        <f aca="false">IF(B1356="",0,IF(COUNTIF(B$5:B1356,B1356)=1,1,0))</f>
        <v>0</v>
      </c>
      <c r="I1356" s="16" t="n">
        <f aca="false">SUM(H$5:H1356)</f>
        <v>6</v>
      </c>
    </row>
    <row r="1357" customFormat="false" ht="15" hidden="false" customHeight="false" outlineLevel="0" collapsed="false">
      <c r="A1357" s="12"/>
      <c r="B1357" s="13"/>
      <c r="C1357" s="13"/>
      <c r="D1357" s="14"/>
      <c r="E1357" s="15"/>
      <c r="F1357" s="16" t="n">
        <f aca="false">IF(C1357="",0,IF(COUNTIF(C$5:C1357,C1357)=1,1,0))</f>
        <v>0</v>
      </c>
      <c r="G1357" s="16" t="n">
        <f aca="false">SUM(F$5:F1357)</f>
        <v>8</v>
      </c>
      <c r="H1357" s="16" t="n">
        <f aca="false">IF(B1357="",0,IF(COUNTIF(B$5:B1357,B1357)=1,1,0))</f>
        <v>0</v>
      </c>
      <c r="I1357" s="16" t="n">
        <f aca="false">SUM(H$5:H1357)</f>
        <v>6</v>
      </c>
    </row>
    <row r="1358" customFormat="false" ht="15" hidden="false" customHeight="false" outlineLevel="0" collapsed="false">
      <c r="A1358" s="12"/>
      <c r="B1358" s="13"/>
      <c r="C1358" s="13"/>
      <c r="D1358" s="14"/>
      <c r="E1358" s="15"/>
      <c r="F1358" s="16" t="n">
        <f aca="false">IF(C1358="",0,IF(COUNTIF(C$5:C1358,C1358)=1,1,0))</f>
        <v>0</v>
      </c>
      <c r="G1358" s="16" t="n">
        <f aca="false">SUM(F$5:F1358)</f>
        <v>8</v>
      </c>
      <c r="H1358" s="16" t="n">
        <f aca="false">IF(B1358="",0,IF(COUNTIF(B$5:B1358,B1358)=1,1,0))</f>
        <v>0</v>
      </c>
      <c r="I1358" s="16" t="n">
        <f aca="false">SUM(H$5:H1358)</f>
        <v>6</v>
      </c>
    </row>
    <row r="1359" customFormat="false" ht="15" hidden="false" customHeight="false" outlineLevel="0" collapsed="false">
      <c r="A1359" s="12"/>
      <c r="B1359" s="13"/>
      <c r="C1359" s="13"/>
      <c r="D1359" s="14"/>
      <c r="E1359" s="15"/>
      <c r="F1359" s="16" t="n">
        <f aca="false">IF(C1359="",0,IF(COUNTIF(C$5:C1359,C1359)=1,1,0))</f>
        <v>0</v>
      </c>
      <c r="G1359" s="16" t="n">
        <f aca="false">SUM(F$5:F1359)</f>
        <v>8</v>
      </c>
      <c r="H1359" s="16" t="n">
        <f aca="false">IF(B1359="",0,IF(COUNTIF(B$5:B1359,B1359)=1,1,0))</f>
        <v>0</v>
      </c>
      <c r="I1359" s="16" t="n">
        <f aca="false">SUM(H$5:H1359)</f>
        <v>6</v>
      </c>
    </row>
    <row r="1360" customFormat="false" ht="15" hidden="false" customHeight="false" outlineLevel="0" collapsed="false">
      <c r="A1360" s="12"/>
      <c r="B1360" s="13"/>
      <c r="C1360" s="13"/>
      <c r="D1360" s="14"/>
      <c r="E1360" s="15"/>
      <c r="F1360" s="16" t="n">
        <f aca="false">IF(C1360="",0,IF(COUNTIF(C$5:C1360,C1360)=1,1,0))</f>
        <v>0</v>
      </c>
      <c r="G1360" s="16" t="n">
        <f aca="false">SUM(F$5:F1360)</f>
        <v>8</v>
      </c>
      <c r="H1360" s="16" t="n">
        <f aca="false">IF(B1360="",0,IF(COUNTIF(B$5:B1360,B1360)=1,1,0))</f>
        <v>0</v>
      </c>
      <c r="I1360" s="16" t="n">
        <f aca="false">SUM(H$5:H1360)</f>
        <v>6</v>
      </c>
    </row>
    <row r="1361" customFormat="false" ht="15" hidden="false" customHeight="false" outlineLevel="0" collapsed="false">
      <c r="A1361" s="12"/>
      <c r="B1361" s="13"/>
      <c r="C1361" s="13"/>
      <c r="D1361" s="14"/>
      <c r="E1361" s="15"/>
      <c r="F1361" s="16" t="n">
        <f aca="false">IF(C1361="",0,IF(COUNTIF(C$5:C1361,C1361)=1,1,0))</f>
        <v>0</v>
      </c>
      <c r="G1361" s="16" t="n">
        <f aca="false">SUM(F$5:F1361)</f>
        <v>8</v>
      </c>
      <c r="H1361" s="16" t="n">
        <f aca="false">IF(B1361="",0,IF(COUNTIF(B$5:B1361,B1361)=1,1,0))</f>
        <v>0</v>
      </c>
      <c r="I1361" s="16" t="n">
        <f aca="false">SUM(H$5:H1361)</f>
        <v>6</v>
      </c>
    </row>
    <row r="1362" customFormat="false" ht="15" hidden="false" customHeight="false" outlineLevel="0" collapsed="false">
      <c r="A1362" s="12"/>
      <c r="B1362" s="13"/>
      <c r="C1362" s="13"/>
      <c r="D1362" s="14"/>
      <c r="E1362" s="15"/>
      <c r="F1362" s="16" t="n">
        <f aca="false">IF(C1362="",0,IF(COUNTIF(C$5:C1362,C1362)=1,1,0))</f>
        <v>0</v>
      </c>
      <c r="G1362" s="16" t="n">
        <f aca="false">SUM(F$5:F1362)</f>
        <v>8</v>
      </c>
      <c r="H1362" s="16" t="n">
        <f aca="false">IF(B1362="",0,IF(COUNTIF(B$5:B1362,B1362)=1,1,0))</f>
        <v>0</v>
      </c>
      <c r="I1362" s="16" t="n">
        <f aca="false">SUM(H$5:H1362)</f>
        <v>6</v>
      </c>
    </row>
    <row r="1363" customFormat="false" ht="15" hidden="false" customHeight="false" outlineLevel="0" collapsed="false">
      <c r="A1363" s="12"/>
      <c r="B1363" s="13"/>
      <c r="C1363" s="13"/>
      <c r="D1363" s="14"/>
      <c r="E1363" s="15"/>
      <c r="F1363" s="16" t="n">
        <f aca="false">IF(C1363="",0,IF(COUNTIF(C$5:C1363,C1363)=1,1,0))</f>
        <v>0</v>
      </c>
      <c r="G1363" s="16" t="n">
        <f aca="false">SUM(F$5:F1363)</f>
        <v>8</v>
      </c>
      <c r="H1363" s="16" t="n">
        <f aca="false">IF(B1363="",0,IF(COUNTIF(B$5:B1363,B1363)=1,1,0))</f>
        <v>0</v>
      </c>
      <c r="I1363" s="16" t="n">
        <f aca="false">SUM(H$5:H1363)</f>
        <v>6</v>
      </c>
    </row>
    <row r="1364" customFormat="false" ht="15" hidden="false" customHeight="false" outlineLevel="0" collapsed="false">
      <c r="A1364" s="12"/>
      <c r="B1364" s="13"/>
      <c r="C1364" s="13"/>
      <c r="D1364" s="14"/>
      <c r="E1364" s="15"/>
      <c r="F1364" s="16" t="n">
        <f aca="false">IF(C1364="",0,IF(COUNTIF(C$5:C1364,C1364)=1,1,0))</f>
        <v>0</v>
      </c>
      <c r="G1364" s="16" t="n">
        <f aca="false">SUM(F$5:F1364)</f>
        <v>8</v>
      </c>
      <c r="H1364" s="16" t="n">
        <f aca="false">IF(B1364="",0,IF(COUNTIF(B$5:B1364,B1364)=1,1,0))</f>
        <v>0</v>
      </c>
      <c r="I1364" s="16" t="n">
        <f aca="false">SUM(H$5:H1364)</f>
        <v>6</v>
      </c>
    </row>
    <row r="1365" customFormat="false" ht="15" hidden="false" customHeight="false" outlineLevel="0" collapsed="false">
      <c r="A1365" s="12"/>
      <c r="B1365" s="13"/>
      <c r="C1365" s="13"/>
      <c r="D1365" s="14"/>
      <c r="E1365" s="15"/>
      <c r="F1365" s="16" t="n">
        <f aca="false">IF(C1365="",0,IF(COUNTIF(C$5:C1365,C1365)=1,1,0))</f>
        <v>0</v>
      </c>
      <c r="G1365" s="16" t="n">
        <f aca="false">SUM(F$5:F1365)</f>
        <v>8</v>
      </c>
      <c r="H1365" s="16" t="n">
        <f aca="false">IF(B1365="",0,IF(COUNTIF(B$5:B1365,B1365)=1,1,0))</f>
        <v>0</v>
      </c>
      <c r="I1365" s="16" t="n">
        <f aca="false">SUM(H$5:H1365)</f>
        <v>6</v>
      </c>
    </row>
    <row r="1366" customFormat="false" ht="15" hidden="false" customHeight="false" outlineLevel="0" collapsed="false">
      <c r="A1366" s="12"/>
      <c r="B1366" s="13"/>
      <c r="C1366" s="13"/>
      <c r="D1366" s="14"/>
      <c r="E1366" s="15"/>
      <c r="F1366" s="16" t="n">
        <f aca="false">IF(C1366="",0,IF(COUNTIF(C$5:C1366,C1366)=1,1,0))</f>
        <v>0</v>
      </c>
      <c r="G1366" s="16" t="n">
        <f aca="false">SUM(F$5:F1366)</f>
        <v>8</v>
      </c>
      <c r="H1366" s="16" t="n">
        <f aca="false">IF(B1366="",0,IF(COUNTIF(B$5:B1366,B1366)=1,1,0))</f>
        <v>0</v>
      </c>
      <c r="I1366" s="16" t="n">
        <f aca="false">SUM(H$5:H1366)</f>
        <v>6</v>
      </c>
    </row>
    <row r="1367" customFormat="false" ht="15" hidden="false" customHeight="false" outlineLevel="0" collapsed="false">
      <c r="A1367" s="12"/>
      <c r="B1367" s="13"/>
      <c r="C1367" s="13"/>
      <c r="D1367" s="14"/>
      <c r="E1367" s="15"/>
      <c r="F1367" s="16" t="n">
        <f aca="false">IF(C1367="",0,IF(COUNTIF(C$5:C1367,C1367)=1,1,0))</f>
        <v>0</v>
      </c>
      <c r="G1367" s="16" t="n">
        <f aca="false">SUM(F$5:F1367)</f>
        <v>8</v>
      </c>
      <c r="H1367" s="16" t="n">
        <f aca="false">IF(B1367="",0,IF(COUNTIF(B$5:B1367,B1367)=1,1,0))</f>
        <v>0</v>
      </c>
      <c r="I1367" s="16" t="n">
        <f aca="false">SUM(H$5:H1367)</f>
        <v>6</v>
      </c>
    </row>
    <row r="1368" customFormat="false" ht="15" hidden="false" customHeight="false" outlineLevel="0" collapsed="false">
      <c r="A1368" s="12"/>
      <c r="B1368" s="13"/>
      <c r="C1368" s="13"/>
      <c r="D1368" s="14"/>
      <c r="E1368" s="15"/>
      <c r="F1368" s="16" t="n">
        <f aca="false">IF(C1368="",0,IF(COUNTIF(C$5:C1368,C1368)=1,1,0))</f>
        <v>0</v>
      </c>
      <c r="G1368" s="16" t="n">
        <f aca="false">SUM(F$5:F1368)</f>
        <v>8</v>
      </c>
      <c r="H1368" s="16" t="n">
        <f aca="false">IF(B1368="",0,IF(COUNTIF(B$5:B1368,B1368)=1,1,0))</f>
        <v>0</v>
      </c>
      <c r="I1368" s="16" t="n">
        <f aca="false">SUM(H$5:H1368)</f>
        <v>6</v>
      </c>
    </row>
    <row r="1369" customFormat="false" ht="15" hidden="false" customHeight="false" outlineLevel="0" collapsed="false">
      <c r="A1369" s="12"/>
      <c r="B1369" s="13"/>
      <c r="C1369" s="13"/>
      <c r="D1369" s="14"/>
      <c r="E1369" s="15"/>
      <c r="F1369" s="16" t="n">
        <f aca="false">IF(C1369="",0,IF(COUNTIF(C$5:C1369,C1369)=1,1,0))</f>
        <v>0</v>
      </c>
      <c r="G1369" s="16" t="n">
        <f aca="false">SUM(F$5:F1369)</f>
        <v>8</v>
      </c>
      <c r="H1369" s="16" t="n">
        <f aca="false">IF(B1369="",0,IF(COUNTIF(B$5:B1369,B1369)=1,1,0))</f>
        <v>0</v>
      </c>
      <c r="I1369" s="16" t="n">
        <f aca="false">SUM(H$5:H1369)</f>
        <v>6</v>
      </c>
    </row>
    <row r="1370" customFormat="false" ht="15" hidden="false" customHeight="false" outlineLevel="0" collapsed="false">
      <c r="A1370" s="12"/>
      <c r="B1370" s="13"/>
      <c r="C1370" s="13"/>
      <c r="D1370" s="14"/>
      <c r="E1370" s="15"/>
      <c r="F1370" s="16" t="n">
        <f aca="false">IF(C1370="",0,IF(COUNTIF(C$5:C1370,C1370)=1,1,0))</f>
        <v>0</v>
      </c>
      <c r="G1370" s="16" t="n">
        <f aca="false">SUM(F$5:F1370)</f>
        <v>8</v>
      </c>
      <c r="H1370" s="16" t="n">
        <f aca="false">IF(B1370="",0,IF(COUNTIF(B$5:B1370,B1370)=1,1,0))</f>
        <v>0</v>
      </c>
      <c r="I1370" s="16" t="n">
        <f aca="false">SUM(H$5:H1370)</f>
        <v>6</v>
      </c>
    </row>
    <row r="1371" customFormat="false" ht="15" hidden="false" customHeight="false" outlineLevel="0" collapsed="false">
      <c r="A1371" s="12"/>
      <c r="B1371" s="13"/>
      <c r="C1371" s="13"/>
      <c r="D1371" s="14"/>
      <c r="E1371" s="15"/>
      <c r="F1371" s="16" t="n">
        <f aca="false">IF(C1371="",0,IF(COUNTIF(C$5:C1371,C1371)=1,1,0))</f>
        <v>0</v>
      </c>
      <c r="G1371" s="16" t="n">
        <f aca="false">SUM(F$5:F1371)</f>
        <v>8</v>
      </c>
      <c r="H1371" s="16" t="n">
        <f aca="false">IF(B1371="",0,IF(COUNTIF(B$5:B1371,B1371)=1,1,0))</f>
        <v>0</v>
      </c>
      <c r="I1371" s="16" t="n">
        <f aca="false">SUM(H$5:H1371)</f>
        <v>6</v>
      </c>
    </row>
    <row r="1372" customFormat="false" ht="15" hidden="false" customHeight="false" outlineLevel="0" collapsed="false">
      <c r="A1372" s="12"/>
      <c r="B1372" s="13"/>
      <c r="C1372" s="13"/>
      <c r="D1372" s="14"/>
      <c r="E1372" s="15"/>
      <c r="F1372" s="16" t="n">
        <f aca="false">IF(C1372="",0,IF(COUNTIF(C$5:C1372,C1372)=1,1,0))</f>
        <v>0</v>
      </c>
      <c r="G1372" s="16" t="n">
        <f aca="false">SUM(F$5:F1372)</f>
        <v>8</v>
      </c>
      <c r="H1372" s="16" t="n">
        <f aca="false">IF(B1372="",0,IF(COUNTIF(B$5:B1372,B1372)=1,1,0))</f>
        <v>0</v>
      </c>
      <c r="I1372" s="16" t="n">
        <f aca="false">SUM(H$5:H1372)</f>
        <v>6</v>
      </c>
    </row>
    <row r="1373" customFormat="false" ht="15" hidden="false" customHeight="false" outlineLevel="0" collapsed="false">
      <c r="A1373" s="12"/>
      <c r="B1373" s="13"/>
      <c r="C1373" s="13"/>
      <c r="D1373" s="14"/>
      <c r="E1373" s="15"/>
      <c r="F1373" s="16" t="n">
        <f aca="false">IF(C1373="",0,IF(COUNTIF(C$5:C1373,C1373)=1,1,0))</f>
        <v>0</v>
      </c>
      <c r="G1373" s="16" t="n">
        <f aca="false">SUM(F$5:F1373)</f>
        <v>8</v>
      </c>
      <c r="H1373" s="16" t="n">
        <f aca="false">IF(B1373="",0,IF(COUNTIF(B$5:B1373,B1373)=1,1,0))</f>
        <v>0</v>
      </c>
      <c r="I1373" s="16" t="n">
        <f aca="false">SUM(H$5:H1373)</f>
        <v>6</v>
      </c>
    </row>
    <row r="1374" customFormat="false" ht="15" hidden="false" customHeight="false" outlineLevel="0" collapsed="false">
      <c r="A1374" s="12"/>
      <c r="B1374" s="13"/>
      <c r="C1374" s="13"/>
      <c r="D1374" s="14"/>
      <c r="E1374" s="15"/>
      <c r="F1374" s="16" t="n">
        <f aca="false">IF(C1374="",0,IF(COUNTIF(C$5:C1374,C1374)=1,1,0))</f>
        <v>0</v>
      </c>
      <c r="G1374" s="16" t="n">
        <f aca="false">SUM(F$5:F1374)</f>
        <v>8</v>
      </c>
      <c r="H1374" s="16" t="n">
        <f aca="false">IF(B1374="",0,IF(COUNTIF(B$5:B1374,B1374)=1,1,0))</f>
        <v>0</v>
      </c>
      <c r="I1374" s="16" t="n">
        <f aca="false">SUM(H$5:H1374)</f>
        <v>6</v>
      </c>
    </row>
    <row r="1375" customFormat="false" ht="15" hidden="false" customHeight="false" outlineLevel="0" collapsed="false">
      <c r="A1375" s="12"/>
      <c r="B1375" s="13"/>
      <c r="C1375" s="13"/>
      <c r="D1375" s="14"/>
      <c r="E1375" s="15"/>
      <c r="F1375" s="16" t="n">
        <f aca="false">IF(C1375="",0,IF(COUNTIF(C$5:C1375,C1375)=1,1,0))</f>
        <v>0</v>
      </c>
      <c r="G1375" s="16" t="n">
        <f aca="false">SUM(F$5:F1375)</f>
        <v>8</v>
      </c>
      <c r="H1375" s="16" t="n">
        <f aca="false">IF(B1375="",0,IF(COUNTIF(B$5:B1375,B1375)=1,1,0))</f>
        <v>0</v>
      </c>
      <c r="I1375" s="16" t="n">
        <f aca="false">SUM(H$5:H1375)</f>
        <v>6</v>
      </c>
    </row>
    <row r="1376" customFormat="false" ht="15" hidden="false" customHeight="false" outlineLevel="0" collapsed="false">
      <c r="A1376" s="12"/>
      <c r="B1376" s="13"/>
      <c r="C1376" s="13"/>
      <c r="D1376" s="14"/>
      <c r="E1376" s="15"/>
      <c r="F1376" s="16" t="n">
        <f aca="false">IF(C1376="",0,IF(COUNTIF(C$5:C1376,C1376)=1,1,0))</f>
        <v>0</v>
      </c>
      <c r="G1376" s="16" t="n">
        <f aca="false">SUM(F$5:F1376)</f>
        <v>8</v>
      </c>
      <c r="H1376" s="16" t="n">
        <f aca="false">IF(B1376="",0,IF(COUNTIF(B$5:B1376,B1376)=1,1,0))</f>
        <v>0</v>
      </c>
      <c r="I1376" s="16" t="n">
        <f aca="false">SUM(H$5:H1376)</f>
        <v>6</v>
      </c>
    </row>
    <row r="1377" customFormat="false" ht="15" hidden="false" customHeight="false" outlineLevel="0" collapsed="false">
      <c r="A1377" s="12"/>
      <c r="B1377" s="13"/>
      <c r="C1377" s="13"/>
      <c r="D1377" s="14"/>
      <c r="E1377" s="15"/>
      <c r="F1377" s="16" t="n">
        <f aca="false">IF(C1377="",0,IF(COUNTIF(C$5:C1377,C1377)=1,1,0))</f>
        <v>0</v>
      </c>
      <c r="G1377" s="16" t="n">
        <f aca="false">SUM(F$5:F1377)</f>
        <v>8</v>
      </c>
      <c r="H1377" s="16" t="n">
        <f aca="false">IF(B1377="",0,IF(COUNTIF(B$5:B1377,B1377)=1,1,0))</f>
        <v>0</v>
      </c>
      <c r="I1377" s="16" t="n">
        <f aca="false">SUM(H$5:H1377)</f>
        <v>6</v>
      </c>
    </row>
    <row r="1378" customFormat="false" ht="15" hidden="false" customHeight="false" outlineLevel="0" collapsed="false">
      <c r="A1378" s="12"/>
      <c r="B1378" s="13"/>
      <c r="C1378" s="13"/>
      <c r="D1378" s="14"/>
      <c r="E1378" s="15"/>
      <c r="F1378" s="16" t="n">
        <f aca="false">IF(C1378="",0,IF(COUNTIF(C$5:C1378,C1378)=1,1,0))</f>
        <v>0</v>
      </c>
      <c r="G1378" s="16" t="n">
        <f aca="false">SUM(F$5:F1378)</f>
        <v>8</v>
      </c>
      <c r="H1378" s="16" t="n">
        <f aca="false">IF(B1378="",0,IF(COUNTIF(B$5:B1378,B1378)=1,1,0))</f>
        <v>0</v>
      </c>
      <c r="I1378" s="16" t="n">
        <f aca="false">SUM(H$5:H1378)</f>
        <v>6</v>
      </c>
    </row>
    <row r="1379" customFormat="false" ht="15" hidden="false" customHeight="false" outlineLevel="0" collapsed="false">
      <c r="A1379" s="12"/>
      <c r="B1379" s="13"/>
      <c r="C1379" s="13"/>
      <c r="D1379" s="14"/>
      <c r="E1379" s="15"/>
      <c r="F1379" s="16" t="n">
        <f aca="false">IF(C1379="",0,IF(COUNTIF(C$5:C1379,C1379)=1,1,0))</f>
        <v>0</v>
      </c>
      <c r="G1379" s="16" t="n">
        <f aca="false">SUM(F$5:F1379)</f>
        <v>8</v>
      </c>
      <c r="H1379" s="16" t="n">
        <f aca="false">IF(B1379="",0,IF(COUNTIF(B$5:B1379,B1379)=1,1,0))</f>
        <v>0</v>
      </c>
      <c r="I1379" s="16" t="n">
        <f aca="false">SUM(H$5:H1379)</f>
        <v>6</v>
      </c>
    </row>
    <row r="1380" customFormat="false" ht="15" hidden="false" customHeight="false" outlineLevel="0" collapsed="false">
      <c r="A1380" s="12"/>
      <c r="B1380" s="13"/>
      <c r="C1380" s="13"/>
      <c r="D1380" s="14"/>
      <c r="E1380" s="15"/>
      <c r="F1380" s="16" t="n">
        <f aca="false">IF(C1380="",0,IF(COUNTIF(C$5:C1380,C1380)=1,1,0))</f>
        <v>0</v>
      </c>
      <c r="G1380" s="16" t="n">
        <f aca="false">SUM(F$5:F1380)</f>
        <v>8</v>
      </c>
      <c r="H1380" s="16" t="n">
        <f aca="false">IF(B1380="",0,IF(COUNTIF(B$5:B1380,B1380)=1,1,0))</f>
        <v>0</v>
      </c>
      <c r="I1380" s="16" t="n">
        <f aca="false">SUM(H$5:H1380)</f>
        <v>6</v>
      </c>
    </row>
    <row r="1381" customFormat="false" ht="15" hidden="false" customHeight="false" outlineLevel="0" collapsed="false">
      <c r="A1381" s="12"/>
      <c r="B1381" s="13"/>
      <c r="C1381" s="13"/>
      <c r="D1381" s="14"/>
      <c r="E1381" s="15"/>
      <c r="F1381" s="16" t="n">
        <f aca="false">IF(C1381="",0,IF(COUNTIF(C$5:C1381,C1381)=1,1,0))</f>
        <v>0</v>
      </c>
      <c r="G1381" s="16" t="n">
        <f aca="false">SUM(F$5:F1381)</f>
        <v>8</v>
      </c>
      <c r="H1381" s="16" t="n">
        <f aca="false">IF(B1381="",0,IF(COUNTIF(B$5:B1381,B1381)=1,1,0))</f>
        <v>0</v>
      </c>
      <c r="I1381" s="16" t="n">
        <f aca="false">SUM(H$5:H1381)</f>
        <v>6</v>
      </c>
    </row>
    <row r="1382" customFormat="false" ht="15" hidden="false" customHeight="false" outlineLevel="0" collapsed="false">
      <c r="A1382" s="12"/>
      <c r="B1382" s="13"/>
      <c r="C1382" s="13"/>
      <c r="D1382" s="14"/>
      <c r="E1382" s="15"/>
      <c r="F1382" s="16" t="n">
        <f aca="false">IF(C1382="",0,IF(COUNTIF(C$5:C1382,C1382)=1,1,0))</f>
        <v>0</v>
      </c>
      <c r="G1382" s="16" t="n">
        <f aca="false">SUM(F$5:F1382)</f>
        <v>8</v>
      </c>
      <c r="H1382" s="16" t="n">
        <f aca="false">IF(B1382="",0,IF(COUNTIF(B$5:B1382,B1382)=1,1,0))</f>
        <v>0</v>
      </c>
      <c r="I1382" s="16" t="n">
        <f aca="false">SUM(H$5:H1382)</f>
        <v>6</v>
      </c>
    </row>
    <row r="1383" customFormat="false" ht="15" hidden="false" customHeight="false" outlineLevel="0" collapsed="false">
      <c r="A1383" s="12"/>
      <c r="B1383" s="13"/>
      <c r="C1383" s="13"/>
      <c r="D1383" s="14"/>
      <c r="E1383" s="15"/>
      <c r="F1383" s="16" t="n">
        <f aca="false">IF(C1383="",0,IF(COUNTIF(C$5:C1383,C1383)=1,1,0))</f>
        <v>0</v>
      </c>
      <c r="G1383" s="16" t="n">
        <f aca="false">SUM(F$5:F1383)</f>
        <v>8</v>
      </c>
      <c r="H1383" s="16" t="n">
        <f aca="false">IF(B1383="",0,IF(COUNTIF(B$5:B1383,B1383)=1,1,0))</f>
        <v>0</v>
      </c>
      <c r="I1383" s="16" t="n">
        <f aca="false">SUM(H$5:H1383)</f>
        <v>6</v>
      </c>
    </row>
    <row r="1384" customFormat="false" ht="15" hidden="false" customHeight="false" outlineLevel="0" collapsed="false">
      <c r="A1384" s="12"/>
      <c r="B1384" s="13"/>
      <c r="C1384" s="13"/>
      <c r="D1384" s="14"/>
      <c r="E1384" s="15"/>
      <c r="F1384" s="16" t="n">
        <f aca="false">IF(C1384="",0,IF(COUNTIF(C$5:C1384,C1384)=1,1,0))</f>
        <v>0</v>
      </c>
      <c r="G1384" s="16" t="n">
        <f aca="false">SUM(F$5:F1384)</f>
        <v>8</v>
      </c>
      <c r="H1384" s="16" t="n">
        <f aca="false">IF(B1384="",0,IF(COUNTIF(B$5:B1384,B1384)=1,1,0))</f>
        <v>0</v>
      </c>
      <c r="I1384" s="16" t="n">
        <f aca="false">SUM(H$5:H1384)</f>
        <v>6</v>
      </c>
    </row>
    <row r="1385" customFormat="false" ht="15" hidden="false" customHeight="false" outlineLevel="0" collapsed="false">
      <c r="A1385" s="12"/>
      <c r="B1385" s="13"/>
      <c r="C1385" s="13"/>
      <c r="D1385" s="14"/>
      <c r="E1385" s="15"/>
      <c r="F1385" s="16" t="n">
        <f aca="false">IF(C1385="",0,IF(COUNTIF(C$5:C1385,C1385)=1,1,0))</f>
        <v>0</v>
      </c>
      <c r="G1385" s="16" t="n">
        <f aca="false">SUM(F$5:F1385)</f>
        <v>8</v>
      </c>
      <c r="H1385" s="16" t="n">
        <f aca="false">IF(B1385="",0,IF(COUNTIF(B$5:B1385,B1385)=1,1,0))</f>
        <v>0</v>
      </c>
      <c r="I1385" s="16" t="n">
        <f aca="false">SUM(H$5:H1385)</f>
        <v>6</v>
      </c>
    </row>
    <row r="1386" customFormat="false" ht="15" hidden="false" customHeight="false" outlineLevel="0" collapsed="false">
      <c r="A1386" s="12"/>
      <c r="B1386" s="13"/>
      <c r="C1386" s="13"/>
      <c r="D1386" s="14"/>
      <c r="E1386" s="15"/>
      <c r="F1386" s="16" t="n">
        <f aca="false">IF(C1386="",0,IF(COUNTIF(C$5:C1386,C1386)=1,1,0))</f>
        <v>0</v>
      </c>
      <c r="G1386" s="16" t="n">
        <f aca="false">SUM(F$5:F1386)</f>
        <v>8</v>
      </c>
      <c r="H1386" s="16" t="n">
        <f aca="false">IF(B1386="",0,IF(COUNTIF(B$5:B1386,B1386)=1,1,0))</f>
        <v>0</v>
      </c>
      <c r="I1386" s="16" t="n">
        <f aca="false">SUM(H$5:H1386)</f>
        <v>6</v>
      </c>
    </row>
    <row r="1387" customFormat="false" ht="15" hidden="false" customHeight="false" outlineLevel="0" collapsed="false">
      <c r="A1387" s="12"/>
      <c r="B1387" s="13"/>
      <c r="C1387" s="13"/>
      <c r="D1387" s="14"/>
      <c r="E1387" s="15"/>
      <c r="F1387" s="16" t="n">
        <f aca="false">IF(C1387="",0,IF(COUNTIF(C$5:C1387,C1387)=1,1,0))</f>
        <v>0</v>
      </c>
      <c r="G1387" s="16" t="n">
        <f aca="false">SUM(F$5:F1387)</f>
        <v>8</v>
      </c>
      <c r="H1387" s="16" t="n">
        <f aca="false">IF(B1387="",0,IF(COUNTIF(B$5:B1387,B1387)=1,1,0))</f>
        <v>0</v>
      </c>
      <c r="I1387" s="16" t="n">
        <f aca="false">SUM(H$5:H1387)</f>
        <v>6</v>
      </c>
    </row>
    <row r="1388" customFormat="false" ht="15" hidden="false" customHeight="false" outlineLevel="0" collapsed="false">
      <c r="A1388" s="12"/>
      <c r="B1388" s="13"/>
      <c r="C1388" s="13"/>
      <c r="D1388" s="14"/>
      <c r="E1388" s="15"/>
      <c r="F1388" s="16" t="n">
        <f aca="false">IF(C1388="",0,IF(COUNTIF(C$5:C1388,C1388)=1,1,0))</f>
        <v>0</v>
      </c>
      <c r="G1388" s="16" t="n">
        <f aca="false">SUM(F$5:F1388)</f>
        <v>8</v>
      </c>
      <c r="H1388" s="16" t="n">
        <f aca="false">IF(B1388="",0,IF(COUNTIF(B$5:B1388,B1388)=1,1,0))</f>
        <v>0</v>
      </c>
      <c r="I1388" s="16" t="n">
        <f aca="false">SUM(H$5:H1388)</f>
        <v>6</v>
      </c>
    </row>
    <row r="1389" customFormat="false" ht="15" hidden="false" customHeight="false" outlineLevel="0" collapsed="false">
      <c r="A1389" s="12"/>
      <c r="B1389" s="13"/>
      <c r="C1389" s="13"/>
      <c r="D1389" s="14"/>
      <c r="E1389" s="15"/>
      <c r="F1389" s="16" t="n">
        <f aca="false">IF(C1389="",0,IF(COUNTIF(C$5:C1389,C1389)=1,1,0))</f>
        <v>0</v>
      </c>
      <c r="G1389" s="16" t="n">
        <f aca="false">SUM(F$5:F1389)</f>
        <v>8</v>
      </c>
      <c r="H1389" s="16" t="n">
        <f aca="false">IF(B1389="",0,IF(COUNTIF(B$5:B1389,B1389)=1,1,0))</f>
        <v>0</v>
      </c>
      <c r="I1389" s="16" t="n">
        <f aca="false">SUM(H$5:H1389)</f>
        <v>6</v>
      </c>
    </row>
    <row r="1390" customFormat="false" ht="15" hidden="false" customHeight="false" outlineLevel="0" collapsed="false">
      <c r="A1390" s="12"/>
      <c r="B1390" s="13"/>
      <c r="C1390" s="13"/>
      <c r="D1390" s="14"/>
      <c r="E1390" s="15"/>
      <c r="F1390" s="16" t="n">
        <f aca="false">IF(C1390="",0,IF(COUNTIF(C$5:C1390,C1390)=1,1,0))</f>
        <v>0</v>
      </c>
      <c r="G1390" s="16" t="n">
        <f aca="false">SUM(F$5:F1390)</f>
        <v>8</v>
      </c>
      <c r="H1390" s="16" t="n">
        <f aca="false">IF(B1390="",0,IF(COUNTIF(B$5:B1390,B1390)=1,1,0))</f>
        <v>0</v>
      </c>
      <c r="I1390" s="16" t="n">
        <f aca="false">SUM(H$5:H1390)</f>
        <v>6</v>
      </c>
    </row>
    <row r="1391" customFormat="false" ht="15" hidden="false" customHeight="false" outlineLevel="0" collapsed="false">
      <c r="A1391" s="12"/>
      <c r="B1391" s="13"/>
      <c r="C1391" s="13"/>
      <c r="D1391" s="14"/>
      <c r="E1391" s="15"/>
      <c r="F1391" s="16" t="n">
        <f aca="false">IF(C1391="",0,IF(COUNTIF(C$5:C1391,C1391)=1,1,0))</f>
        <v>0</v>
      </c>
      <c r="G1391" s="16" t="n">
        <f aca="false">SUM(F$5:F1391)</f>
        <v>8</v>
      </c>
      <c r="H1391" s="16" t="n">
        <f aca="false">IF(B1391="",0,IF(COUNTIF(B$5:B1391,B1391)=1,1,0))</f>
        <v>0</v>
      </c>
      <c r="I1391" s="16" t="n">
        <f aca="false">SUM(H$5:H1391)</f>
        <v>6</v>
      </c>
    </row>
    <row r="1392" customFormat="false" ht="15" hidden="false" customHeight="false" outlineLevel="0" collapsed="false">
      <c r="A1392" s="12"/>
      <c r="B1392" s="13"/>
      <c r="C1392" s="13"/>
      <c r="D1392" s="14"/>
      <c r="E1392" s="15"/>
      <c r="F1392" s="16" t="n">
        <f aca="false">IF(C1392="",0,IF(COUNTIF(C$5:C1392,C1392)=1,1,0))</f>
        <v>0</v>
      </c>
      <c r="G1392" s="16" t="n">
        <f aca="false">SUM(F$5:F1392)</f>
        <v>8</v>
      </c>
      <c r="H1392" s="16" t="n">
        <f aca="false">IF(B1392="",0,IF(COUNTIF(B$5:B1392,B1392)=1,1,0))</f>
        <v>0</v>
      </c>
      <c r="I1392" s="16" t="n">
        <f aca="false">SUM(H$5:H1392)</f>
        <v>6</v>
      </c>
    </row>
    <row r="1393" customFormat="false" ht="15" hidden="false" customHeight="false" outlineLevel="0" collapsed="false">
      <c r="A1393" s="12"/>
      <c r="B1393" s="13"/>
      <c r="C1393" s="13"/>
      <c r="D1393" s="14"/>
      <c r="E1393" s="15"/>
      <c r="F1393" s="16" t="n">
        <f aca="false">IF(C1393="",0,IF(COUNTIF(C$5:C1393,C1393)=1,1,0))</f>
        <v>0</v>
      </c>
      <c r="G1393" s="16" t="n">
        <f aca="false">SUM(F$5:F1393)</f>
        <v>8</v>
      </c>
      <c r="H1393" s="16" t="n">
        <f aca="false">IF(B1393="",0,IF(COUNTIF(B$5:B1393,B1393)=1,1,0))</f>
        <v>0</v>
      </c>
      <c r="I1393" s="16" t="n">
        <f aca="false">SUM(H$5:H1393)</f>
        <v>6</v>
      </c>
    </row>
    <row r="1394" customFormat="false" ht="15" hidden="false" customHeight="false" outlineLevel="0" collapsed="false">
      <c r="A1394" s="12"/>
      <c r="B1394" s="13"/>
      <c r="C1394" s="13"/>
      <c r="D1394" s="14"/>
      <c r="E1394" s="15"/>
      <c r="F1394" s="16" t="n">
        <f aca="false">IF(C1394="",0,IF(COUNTIF(C$5:C1394,C1394)=1,1,0))</f>
        <v>0</v>
      </c>
      <c r="G1394" s="16" t="n">
        <f aca="false">SUM(F$5:F1394)</f>
        <v>8</v>
      </c>
      <c r="H1394" s="16" t="n">
        <f aca="false">IF(B1394="",0,IF(COUNTIF(B$5:B1394,B1394)=1,1,0))</f>
        <v>0</v>
      </c>
      <c r="I1394" s="16" t="n">
        <f aca="false">SUM(H$5:H1394)</f>
        <v>6</v>
      </c>
    </row>
    <row r="1395" customFormat="false" ht="15" hidden="false" customHeight="false" outlineLevel="0" collapsed="false">
      <c r="A1395" s="12"/>
      <c r="B1395" s="13"/>
      <c r="C1395" s="13"/>
      <c r="D1395" s="14"/>
      <c r="E1395" s="15"/>
      <c r="F1395" s="16" t="n">
        <f aca="false">IF(C1395="",0,IF(COUNTIF(C$5:C1395,C1395)=1,1,0))</f>
        <v>0</v>
      </c>
      <c r="G1395" s="16" t="n">
        <f aca="false">SUM(F$5:F1395)</f>
        <v>8</v>
      </c>
      <c r="H1395" s="16" t="n">
        <f aca="false">IF(B1395="",0,IF(COUNTIF(B$5:B1395,B1395)=1,1,0))</f>
        <v>0</v>
      </c>
      <c r="I1395" s="16" t="n">
        <f aca="false">SUM(H$5:H1395)</f>
        <v>6</v>
      </c>
    </row>
    <row r="1396" customFormat="false" ht="15" hidden="false" customHeight="false" outlineLevel="0" collapsed="false">
      <c r="A1396" s="12"/>
      <c r="B1396" s="13"/>
      <c r="C1396" s="13"/>
      <c r="D1396" s="14"/>
      <c r="E1396" s="15"/>
      <c r="F1396" s="16" t="n">
        <f aca="false">IF(C1396="",0,IF(COUNTIF(C$5:C1396,C1396)=1,1,0))</f>
        <v>0</v>
      </c>
      <c r="G1396" s="16" t="n">
        <f aca="false">SUM(F$5:F1396)</f>
        <v>8</v>
      </c>
      <c r="H1396" s="16" t="n">
        <f aca="false">IF(B1396="",0,IF(COUNTIF(B$5:B1396,B1396)=1,1,0))</f>
        <v>0</v>
      </c>
      <c r="I1396" s="16" t="n">
        <f aca="false">SUM(H$5:H1396)</f>
        <v>6</v>
      </c>
    </row>
    <row r="1397" customFormat="false" ht="15" hidden="false" customHeight="false" outlineLevel="0" collapsed="false">
      <c r="A1397" s="12"/>
      <c r="B1397" s="13"/>
      <c r="C1397" s="13"/>
      <c r="D1397" s="14"/>
      <c r="E1397" s="15"/>
      <c r="F1397" s="16" t="n">
        <f aca="false">IF(C1397="",0,IF(COUNTIF(C$5:C1397,C1397)=1,1,0))</f>
        <v>0</v>
      </c>
      <c r="G1397" s="16" t="n">
        <f aca="false">SUM(F$5:F1397)</f>
        <v>8</v>
      </c>
      <c r="H1397" s="16" t="n">
        <f aca="false">IF(B1397="",0,IF(COUNTIF(B$5:B1397,B1397)=1,1,0))</f>
        <v>0</v>
      </c>
      <c r="I1397" s="16" t="n">
        <f aca="false">SUM(H$5:H1397)</f>
        <v>6</v>
      </c>
    </row>
    <row r="1398" customFormat="false" ht="15" hidden="false" customHeight="false" outlineLevel="0" collapsed="false">
      <c r="A1398" s="12"/>
      <c r="B1398" s="13"/>
      <c r="C1398" s="13"/>
      <c r="D1398" s="14"/>
      <c r="E1398" s="15"/>
      <c r="F1398" s="16" t="n">
        <f aca="false">IF(C1398="",0,IF(COUNTIF(C$5:C1398,C1398)=1,1,0))</f>
        <v>0</v>
      </c>
      <c r="G1398" s="16" t="n">
        <f aca="false">SUM(F$5:F1398)</f>
        <v>8</v>
      </c>
      <c r="H1398" s="16" t="n">
        <f aca="false">IF(B1398="",0,IF(COUNTIF(B$5:B1398,B1398)=1,1,0))</f>
        <v>0</v>
      </c>
      <c r="I1398" s="16" t="n">
        <f aca="false">SUM(H$5:H1398)</f>
        <v>6</v>
      </c>
    </row>
    <row r="1399" customFormat="false" ht="15" hidden="false" customHeight="false" outlineLevel="0" collapsed="false">
      <c r="A1399" s="12"/>
      <c r="B1399" s="13"/>
      <c r="C1399" s="13"/>
      <c r="D1399" s="14"/>
      <c r="E1399" s="15"/>
      <c r="F1399" s="16" t="n">
        <f aca="false">IF(C1399="",0,IF(COUNTIF(C$5:C1399,C1399)=1,1,0))</f>
        <v>0</v>
      </c>
      <c r="G1399" s="16" t="n">
        <f aca="false">SUM(F$5:F1399)</f>
        <v>8</v>
      </c>
      <c r="H1399" s="16" t="n">
        <f aca="false">IF(B1399="",0,IF(COUNTIF(B$5:B1399,B1399)=1,1,0))</f>
        <v>0</v>
      </c>
      <c r="I1399" s="16" t="n">
        <f aca="false">SUM(H$5:H1399)</f>
        <v>6</v>
      </c>
    </row>
    <row r="1400" customFormat="false" ht="15" hidden="false" customHeight="false" outlineLevel="0" collapsed="false">
      <c r="A1400" s="12"/>
      <c r="B1400" s="13"/>
      <c r="C1400" s="13"/>
      <c r="D1400" s="14"/>
      <c r="E1400" s="15"/>
      <c r="F1400" s="16" t="n">
        <f aca="false">IF(C1400="",0,IF(COUNTIF(C$5:C1400,C1400)=1,1,0))</f>
        <v>0</v>
      </c>
      <c r="G1400" s="16" t="n">
        <f aca="false">SUM(F$5:F1400)</f>
        <v>8</v>
      </c>
      <c r="H1400" s="16" t="n">
        <f aca="false">IF(B1400="",0,IF(COUNTIF(B$5:B1400,B1400)=1,1,0))</f>
        <v>0</v>
      </c>
      <c r="I1400" s="16" t="n">
        <f aca="false">SUM(H$5:H1400)</f>
        <v>6</v>
      </c>
    </row>
    <row r="1401" customFormat="false" ht="15" hidden="false" customHeight="false" outlineLevel="0" collapsed="false">
      <c r="A1401" s="12"/>
      <c r="B1401" s="13"/>
      <c r="C1401" s="13"/>
      <c r="D1401" s="14"/>
      <c r="E1401" s="15"/>
      <c r="F1401" s="16" t="n">
        <f aca="false">IF(C1401="",0,IF(COUNTIF(C$5:C1401,C1401)=1,1,0))</f>
        <v>0</v>
      </c>
      <c r="G1401" s="16" t="n">
        <f aca="false">SUM(F$5:F1401)</f>
        <v>8</v>
      </c>
      <c r="H1401" s="16" t="n">
        <f aca="false">IF(B1401="",0,IF(COUNTIF(B$5:B1401,B1401)=1,1,0))</f>
        <v>0</v>
      </c>
      <c r="I1401" s="16" t="n">
        <f aca="false">SUM(H$5:H1401)</f>
        <v>6</v>
      </c>
    </row>
    <row r="1402" customFormat="false" ht="15" hidden="false" customHeight="false" outlineLevel="0" collapsed="false">
      <c r="A1402" s="12"/>
      <c r="B1402" s="13"/>
      <c r="C1402" s="13"/>
      <c r="D1402" s="14"/>
      <c r="E1402" s="15"/>
      <c r="F1402" s="16" t="n">
        <f aca="false">IF(C1402="",0,IF(COUNTIF(C$5:C1402,C1402)=1,1,0))</f>
        <v>0</v>
      </c>
      <c r="G1402" s="16" t="n">
        <f aca="false">SUM(F$5:F1402)</f>
        <v>8</v>
      </c>
      <c r="H1402" s="16" t="n">
        <f aca="false">IF(B1402="",0,IF(COUNTIF(B$5:B1402,B1402)=1,1,0))</f>
        <v>0</v>
      </c>
      <c r="I1402" s="16" t="n">
        <f aca="false">SUM(H$5:H1402)</f>
        <v>6</v>
      </c>
    </row>
    <row r="1403" customFormat="false" ht="15" hidden="false" customHeight="false" outlineLevel="0" collapsed="false">
      <c r="A1403" s="12"/>
      <c r="B1403" s="13"/>
      <c r="C1403" s="13"/>
      <c r="D1403" s="14"/>
      <c r="E1403" s="15"/>
      <c r="F1403" s="16" t="n">
        <f aca="false">IF(C1403="",0,IF(COUNTIF(C$5:C1403,C1403)=1,1,0))</f>
        <v>0</v>
      </c>
      <c r="G1403" s="16" t="n">
        <f aca="false">SUM(F$5:F1403)</f>
        <v>8</v>
      </c>
      <c r="H1403" s="16" t="n">
        <f aca="false">IF(B1403="",0,IF(COUNTIF(B$5:B1403,B1403)=1,1,0))</f>
        <v>0</v>
      </c>
      <c r="I1403" s="16" t="n">
        <f aca="false">SUM(H$5:H1403)</f>
        <v>6</v>
      </c>
    </row>
    <row r="1404" customFormat="false" ht="15" hidden="false" customHeight="false" outlineLevel="0" collapsed="false">
      <c r="A1404" s="12"/>
      <c r="B1404" s="13"/>
      <c r="C1404" s="13"/>
      <c r="D1404" s="14"/>
      <c r="E1404" s="15"/>
      <c r="F1404" s="16" t="n">
        <f aca="false">IF(C1404="",0,IF(COUNTIF(C$5:C1404,C1404)=1,1,0))</f>
        <v>0</v>
      </c>
      <c r="G1404" s="16" t="n">
        <f aca="false">SUM(F$5:F1404)</f>
        <v>8</v>
      </c>
      <c r="H1404" s="16" t="n">
        <f aca="false">IF(B1404="",0,IF(COUNTIF(B$5:B1404,B1404)=1,1,0))</f>
        <v>0</v>
      </c>
      <c r="I1404" s="16" t="n">
        <f aca="false">SUM(H$5:H1404)</f>
        <v>6</v>
      </c>
    </row>
    <row r="1405" customFormat="false" ht="15" hidden="false" customHeight="false" outlineLevel="0" collapsed="false">
      <c r="A1405" s="12"/>
      <c r="B1405" s="13"/>
      <c r="C1405" s="13"/>
      <c r="D1405" s="14"/>
      <c r="E1405" s="15"/>
      <c r="F1405" s="16" t="n">
        <f aca="false">IF(C1405="",0,IF(COUNTIF(C$5:C1405,C1405)=1,1,0))</f>
        <v>0</v>
      </c>
      <c r="G1405" s="16" t="n">
        <f aca="false">SUM(F$5:F1405)</f>
        <v>8</v>
      </c>
      <c r="H1405" s="16" t="n">
        <f aca="false">IF(B1405="",0,IF(COUNTIF(B$5:B1405,B1405)=1,1,0))</f>
        <v>0</v>
      </c>
      <c r="I1405" s="16" t="n">
        <f aca="false">SUM(H$5:H1405)</f>
        <v>6</v>
      </c>
    </row>
    <row r="1406" customFormat="false" ht="15" hidden="false" customHeight="false" outlineLevel="0" collapsed="false">
      <c r="A1406" s="12"/>
      <c r="B1406" s="13"/>
      <c r="C1406" s="13"/>
      <c r="D1406" s="14"/>
      <c r="E1406" s="15"/>
      <c r="F1406" s="16" t="n">
        <f aca="false">IF(C1406="",0,IF(COUNTIF(C$5:C1406,C1406)=1,1,0))</f>
        <v>0</v>
      </c>
      <c r="G1406" s="16" t="n">
        <f aca="false">SUM(F$5:F1406)</f>
        <v>8</v>
      </c>
      <c r="H1406" s="16" t="n">
        <f aca="false">IF(B1406="",0,IF(COUNTIF(B$5:B1406,B1406)=1,1,0))</f>
        <v>0</v>
      </c>
      <c r="I1406" s="16" t="n">
        <f aca="false">SUM(H$5:H1406)</f>
        <v>6</v>
      </c>
    </row>
    <row r="1407" customFormat="false" ht="15" hidden="false" customHeight="false" outlineLevel="0" collapsed="false">
      <c r="A1407" s="12"/>
      <c r="B1407" s="13"/>
      <c r="C1407" s="13"/>
      <c r="D1407" s="14"/>
      <c r="E1407" s="15"/>
      <c r="F1407" s="16" t="n">
        <f aca="false">IF(C1407="",0,IF(COUNTIF(C$5:C1407,C1407)=1,1,0))</f>
        <v>0</v>
      </c>
      <c r="G1407" s="16" t="n">
        <f aca="false">SUM(F$5:F1407)</f>
        <v>8</v>
      </c>
      <c r="H1407" s="16" t="n">
        <f aca="false">IF(B1407="",0,IF(COUNTIF(B$5:B1407,B1407)=1,1,0))</f>
        <v>0</v>
      </c>
      <c r="I1407" s="16" t="n">
        <f aca="false">SUM(H$5:H1407)</f>
        <v>6</v>
      </c>
    </row>
    <row r="1408" customFormat="false" ht="15" hidden="false" customHeight="false" outlineLevel="0" collapsed="false">
      <c r="A1408" s="12"/>
      <c r="B1408" s="13"/>
      <c r="C1408" s="13"/>
      <c r="D1408" s="14"/>
      <c r="E1408" s="15"/>
      <c r="F1408" s="16" t="n">
        <f aca="false">IF(C1408="",0,IF(COUNTIF(C$5:C1408,C1408)=1,1,0))</f>
        <v>0</v>
      </c>
      <c r="G1408" s="16" t="n">
        <f aca="false">SUM(F$5:F1408)</f>
        <v>8</v>
      </c>
      <c r="H1408" s="16" t="n">
        <f aca="false">IF(B1408="",0,IF(COUNTIF(B$5:B1408,B1408)=1,1,0))</f>
        <v>0</v>
      </c>
      <c r="I1408" s="16" t="n">
        <f aca="false">SUM(H$5:H1408)</f>
        <v>6</v>
      </c>
    </row>
    <row r="1409" customFormat="false" ht="15" hidden="false" customHeight="false" outlineLevel="0" collapsed="false">
      <c r="A1409" s="12"/>
      <c r="B1409" s="13"/>
      <c r="C1409" s="13"/>
      <c r="D1409" s="14"/>
      <c r="E1409" s="15"/>
      <c r="F1409" s="16" t="n">
        <f aca="false">IF(C1409="",0,IF(COUNTIF(C$5:C1409,C1409)=1,1,0))</f>
        <v>0</v>
      </c>
      <c r="G1409" s="16" t="n">
        <f aca="false">SUM(F$5:F1409)</f>
        <v>8</v>
      </c>
      <c r="H1409" s="16" t="n">
        <f aca="false">IF(B1409="",0,IF(COUNTIF(B$5:B1409,B1409)=1,1,0))</f>
        <v>0</v>
      </c>
      <c r="I1409" s="16" t="n">
        <f aca="false">SUM(H$5:H1409)</f>
        <v>6</v>
      </c>
    </row>
    <row r="1410" customFormat="false" ht="15" hidden="false" customHeight="false" outlineLevel="0" collapsed="false">
      <c r="A1410" s="12"/>
      <c r="B1410" s="13"/>
      <c r="C1410" s="13"/>
      <c r="D1410" s="14"/>
      <c r="E1410" s="15"/>
      <c r="F1410" s="16" t="n">
        <f aca="false">IF(C1410="",0,IF(COUNTIF(C$5:C1410,C1410)=1,1,0))</f>
        <v>0</v>
      </c>
      <c r="G1410" s="16" t="n">
        <f aca="false">SUM(F$5:F1410)</f>
        <v>8</v>
      </c>
      <c r="H1410" s="16" t="n">
        <f aca="false">IF(B1410="",0,IF(COUNTIF(B$5:B1410,B1410)=1,1,0))</f>
        <v>0</v>
      </c>
      <c r="I1410" s="16" t="n">
        <f aca="false">SUM(H$5:H1410)</f>
        <v>6</v>
      </c>
    </row>
    <row r="1411" customFormat="false" ht="15" hidden="false" customHeight="false" outlineLevel="0" collapsed="false">
      <c r="A1411" s="12"/>
      <c r="B1411" s="13"/>
      <c r="C1411" s="13"/>
      <c r="D1411" s="14"/>
      <c r="E1411" s="15"/>
      <c r="F1411" s="16" t="n">
        <f aca="false">IF(C1411="",0,IF(COUNTIF(C$5:C1411,C1411)=1,1,0))</f>
        <v>0</v>
      </c>
      <c r="G1411" s="16" t="n">
        <f aca="false">SUM(F$5:F1411)</f>
        <v>8</v>
      </c>
      <c r="H1411" s="16" t="n">
        <f aca="false">IF(B1411="",0,IF(COUNTIF(B$5:B1411,B1411)=1,1,0))</f>
        <v>0</v>
      </c>
      <c r="I1411" s="16" t="n">
        <f aca="false">SUM(H$5:H1411)</f>
        <v>6</v>
      </c>
    </row>
    <row r="1412" customFormat="false" ht="15" hidden="false" customHeight="false" outlineLevel="0" collapsed="false">
      <c r="A1412" s="12"/>
      <c r="B1412" s="13"/>
      <c r="C1412" s="13"/>
      <c r="D1412" s="14"/>
      <c r="E1412" s="15"/>
      <c r="F1412" s="16" t="n">
        <f aca="false">IF(C1412="",0,IF(COUNTIF(C$5:C1412,C1412)=1,1,0))</f>
        <v>0</v>
      </c>
      <c r="G1412" s="16" t="n">
        <f aca="false">SUM(F$5:F1412)</f>
        <v>8</v>
      </c>
      <c r="H1412" s="16" t="n">
        <f aca="false">IF(B1412="",0,IF(COUNTIF(B$5:B1412,B1412)=1,1,0))</f>
        <v>0</v>
      </c>
      <c r="I1412" s="16" t="n">
        <f aca="false">SUM(H$5:H1412)</f>
        <v>6</v>
      </c>
    </row>
    <row r="1413" customFormat="false" ht="15" hidden="false" customHeight="false" outlineLevel="0" collapsed="false">
      <c r="A1413" s="12"/>
      <c r="B1413" s="13"/>
      <c r="C1413" s="13"/>
      <c r="D1413" s="14"/>
      <c r="E1413" s="15"/>
      <c r="F1413" s="16" t="n">
        <f aca="false">IF(C1413="",0,IF(COUNTIF(C$5:C1413,C1413)=1,1,0))</f>
        <v>0</v>
      </c>
      <c r="G1413" s="16" t="n">
        <f aca="false">SUM(F$5:F1413)</f>
        <v>8</v>
      </c>
      <c r="H1413" s="16" t="n">
        <f aca="false">IF(B1413="",0,IF(COUNTIF(B$5:B1413,B1413)=1,1,0))</f>
        <v>0</v>
      </c>
      <c r="I1413" s="16" t="n">
        <f aca="false">SUM(H$5:H1413)</f>
        <v>6</v>
      </c>
    </row>
    <row r="1414" customFormat="false" ht="15" hidden="false" customHeight="false" outlineLevel="0" collapsed="false">
      <c r="A1414" s="12"/>
      <c r="B1414" s="13"/>
      <c r="C1414" s="13"/>
      <c r="D1414" s="14"/>
      <c r="E1414" s="15"/>
      <c r="F1414" s="16" t="n">
        <f aca="false">IF(C1414="",0,IF(COUNTIF(C$5:C1414,C1414)=1,1,0))</f>
        <v>0</v>
      </c>
      <c r="G1414" s="16" t="n">
        <f aca="false">SUM(F$5:F1414)</f>
        <v>8</v>
      </c>
      <c r="H1414" s="16" t="n">
        <f aca="false">IF(B1414="",0,IF(COUNTIF(B$5:B1414,B1414)=1,1,0))</f>
        <v>0</v>
      </c>
      <c r="I1414" s="16" t="n">
        <f aca="false">SUM(H$5:H1414)</f>
        <v>6</v>
      </c>
    </row>
    <row r="1415" customFormat="false" ht="15" hidden="false" customHeight="false" outlineLevel="0" collapsed="false">
      <c r="A1415" s="12"/>
      <c r="B1415" s="13"/>
      <c r="C1415" s="13"/>
      <c r="D1415" s="14"/>
      <c r="E1415" s="15"/>
      <c r="F1415" s="16" t="n">
        <f aca="false">IF(C1415="",0,IF(COUNTIF(C$5:C1415,C1415)=1,1,0))</f>
        <v>0</v>
      </c>
      <c r="G1415" s="16" t="n">
        <f aca="false">SUM(F$5:F1415)</f>
        <v>8</v>
      </c>
      <c r="H1415" s="16" t="n">
        <f aca="false">IF(B1415="",0,IF(COUNTIF(B$5:B1415,B1415)=1,1,0))</f>
        <v>0</v>
      </c>
      <c r="I1415" s="16" t="n">
        <f aca="false">SUM(H$5:H1415)</f>
        <v>6</v>
      </c>
    </row>
    <row r="1416" customFormat="false" ht="15" hidden="false" customHeight="false" outlineLevel="0" collapsed="false">
      <c r="A1416" s="12"/>
      <c r="B1416" s="13"/>
      <c r="C1416" s="13"/>
      <c r="D1416" s="14"/>
      <c r="E1416" s="15"/>
      <c r="F1416" s="16" t="n">
        <f aca="false">IF(C1416="",0,IF(COUNTIF(C$5:C1416,C1416)=1,1,0))</f>
        <v>0</v>
      </c>
      <c r="G1416" s="16" t="n">
        <f aca="false">SUM(F$5:F1416)</f>
        <v>8</v>
      </c>
      <c r="H1416" s="16" t="n">
        <f aca="false">IF(B1416="",0,IF(COUNTIF(B$5:B1416,B1416)=1,1,0))</f>
        <v>0</v>
      </c>
      <c r="I1416" s="16" t="n">
        <f aca="false">SUM(H$5:H1416)</f>
        <v>6</v>
      </c>
    </row>
    <row r="1417" customFormat="false" ht="15" hidden="false" customHeight="false" outlineLevel="0" collapsed="false">
      <c r="A1417" s="12"/>
      <c r="B1417" s="13"/>
      <c r="C1417" s="13"/>
      <c r="D1417" s="14"/>
      <c r="E1417" s="15"/>
      <c r="F1417" s="16" t="n">
        <f aca="false">IF(C1417="",0,IF(COUNTIF(C$5:C1417,C1417)=1,1,0))</f>
        <v>0</v>
      </c>
      <c r="G1417" s="16" t="n">
        <f aca="false">SUM(F$5:F1417)</f>
        <v>8</v>
      </c>
      <c r="H1417" s="16" t="n">
        <f aca="false">IF(B1417="",0,IF(COUNTIF(B$5:B1417,B1417)=1,1,0))</f>
        <v>0</v>
      </c>
      <c r="I1417" s="16" t="n">
        <f aca="false">SUM(H$5:H1417)</f>
        <v>6</v>
      </c>
    </row>
    <row r="1418" customFormat="false" ht="15" hidden="false" customHeight="false" outlineLevel="0" collapsed="false">
      <c r="A1418" s="12"/>
      <c r="B1418" s="13"/>
      <c r="C1418" s="13"/>
      <c r="D1418" s="14"/>
      <c r="E1418" s="15"/>
      <c r="F1418" s="16" t="n">
        <f aca="false">IF(C1418="",0,IF(COUNTIF(C$5:C1418,C1418)=1,1,0))</f>
        <v>0</v>
      </c>
      <c r="G1418" s="16" t="n">
        <f aca="false">SUM(F$5:F1418)</f>
        <v>8</v>
      </c>
      <c r="H1418" s="16" t="n">
        <f aca="false">IF(B1418="",0,IF(COUNTIF(B$5:B1418,B1418)=1,1,0))</f>
        <v>0</v>
      </c>
      <c r="I1418" s="16" t="n">
        <f aca="false">SUM(H$5:H1418)</f>
        <v>6</v>
      </c>
    </row>
    <row r="1419" customFormat="false" ht="15" hidden="false" customHeight="false" outlineLevel="0" collapsed="false">
      <c r="A1419" s="12"/>
      <c r="B1419" s="13"/>
      <c r="C1419" s="13"/>
      <c r="D1419" s="14"/>
      <c r="E1419" s="15"/>
      <c r="F1419" s="16" t="n">
        <f aca="false">IF(C1419="",0,IF(COUNTIF(C$5:C1419,C1419)=1,1,0))</f>
        <v>0</v>
      </c>
      <c r="G1419" s="16" t="n">
        <f aca="false">SUM(F$5:F1419)</f>
        <v>8</v>
      </c>
      <c r="H1419" s="16" t="n">
        <f aca="false">IF(B1419="",0,IF(COUNTIF(B$5:B1419,B1419)=1,1,0))</f>
        <v>0</v>
      </c>
      <c r="I1419" s="16" t="n">
        <f aca="false">SUM(H$5:H1419)</f>
        <v>6</v>
      </c>
    </row>
    <row r="1420" customFormat="false" ht="15" hidden="false" customHeight="false" outlineLevel="0" collapsed="false">
      <c r="A1420" s="12"/>
      <c r="B1420" s="13"/>
      <c r="C1420" s="13"/>
      <c r="D1420" s="14"/>
      <c r="E1420" s="15"/>
      <c r="F1420" s="16" t="n">
        <f aca="false">IF(C1420="",0,IF(COUNTIF(C$5:C1420,C1420)=1,1,0))</f>
        <v>0</v>
      </c>
      <c r="G1420" s="16" t="n">
        <f aca="false">SUM(F$5:F1420)</f>
        <v>8</v>
      </c>
      <c r="H1420" s="16" t="n">
        <f aca="false">IF(B1420="",0,IF(COUNTIF(B$5:B1420,B1420)=1,1,0))</f>
        <v>0</v>
      </c>
      <c r="I1420" s="16" t="n">
        <f aca="false">SUM(H$5:H1420)</f>
        <v>6</v>
      </c>
    </row>
    <row r="1421" customFormat="false" ht="15" hidden="false" customHeight="false" outlineLevel="0" collapsed="false">
      <c r="A1421" s="12"/>
      <c r="B1421" s="13"/>
      <c r="C1421" s="13"/>
      <c r="D1421" s="14"/>
      <c r="E1421" s="15"/>
      <c r="F1421" s="16" t="n">
        <f aca="false">IF(C1421="",0,IF(COUNTIF(C$5:C1421,C1421)=1,1,0))</f>
        <v>0</v>
      </c>
      <c r="G1421" s="16" t="n">
        <f aca="false">SUM(F$5:F1421)</f>
        <v>8</v>
      </c>
      <c r="H1421" s="16" t="n">
        <f aca="false">IF(B1421="",0,IF(COUNTIF(B$5:B1421,B1421)=1,1,0))</f>
        <v>0</v>
      </c>
      <c r="I1421" s="16" t="n">
        <f aca="false">SUM(H$5:H1421)</f>
        <v>6</v>
      </c>
    </row>
    <row r="1422" customFormat="false" ht="15" hidden="false" customHeight="false" outlineLevel="0" collapsed="false">
      <c r="A1422" s="12"/>
      <c r="B1422" s="13"/>
      <c r="C1422" s="13"/>
      <c r="D1422" s="14"/>
      <c r="E1422" s="15"/>
      <c r="F1422" s="16" t="n">
        <f aca="false">IF(C1422="",0,IF(COUNTIF(C$5:C1422,C1422)=1,1,0))</f>
        <v>0</v>
      </c>
      <c r="G1422" s="16" t="n">
        <f aca="false">SUM(F$5:F1422)</f>
        <v>8</v>
      </c>
      <c r="H1422" s="16" t="n">
        <f aca="false">IF(B1422="",0,IF(COUNTIF(B$5:B1422,B1422)=1,1,0))</f>
        <v>0</v>
      </c>
      <c r="I1422" s="16" t="n">
        <f aca="false">SUM(H$5:H1422)</f>
        <v>6</v>
      </c>
    </row>
    <row r="1423" customFormat="false" ht="15" hidden="false" customHeight="false" outlineLevel="0" collapsed="false">
      <c r="A1423" s="12"/>
      <c r="B1423" s="13"/>
      <c r="C1423" s="13"/>
      <c r="D1423" s="14"/>
      <c r="E1423" s="15"/>
      <c r="F1423" s="16" t="n">
        <f aca="false">IF(C1423="",0,IF(COUNTIF(C$5:C1423,C1423)=1,1,0))</f>
        <v>0</v>
      </c>
      <c r="G1423" s="16" t="n">
        <f aca="false">SUM(F$5:F1423)</f>
        <v>8</v>
      </c>
      <c r="H1423" s="16" t="n">
        <f aca="false">IF(B1423="",0,IF(COUNTIF(B$5:B1423,B1423)=1,1,0))</f>
        <v>0</v>
      </c>
      <c r="I1423" s="16" t="n">
        <f aca="false">SUM(H$5:H1423)</f>
        <v>6</v>
      </c>
    </row>
    <row r="1424" customFormat="false" ht="15" hidden="false" customHeight="false" outlineLevel="0" collapsed="false">
      <c r="A1424" s="12"/>
      <c r="B1424" s="13"/>
      <c r="C1424" s="13"/>
      <c r="D1424" s="14"/>
      <c r="E1424" s="15"/>
      <c r="F1424" s="16" t="n">
        <f aca="false">IF(C1424="",0,IF(COUNTIF(C$5:C1424,C1424)=1,1,0))</f>
        <v>0</v>
      </c>
      <c r="G1424" s="16" t="n">
        <f aca="false">SUM(F$5:F1424)</f>
        <v>8</v>
      </c>
      <c r="H1424" s="16" t="n">
        <f aca="false">IF(B1424="",0,IF(COUNTIF(B$5:B1424,B1424)=1,1,0))</f>
        <v>0</v>
      </c>
      <c r="I1424" s="16" t="n">
        <f aca="false">SUM(H$5:H1424)</f>
        <v>6</v>
      </c>
    </row>
    <row r="1425" customFormat="false" ht="15" hidden="false" customHeight="false" outlineLevel="0" collapsed="false">
      <c r="A1425" s="12"/>
      <c r="B1425" s="13"/>
      <c r="C1425" s="13"/>
      <c r="D1425" s="14"/>
      <c r="E1425" s="15"/>
      <c r="F1425" s="16" t="n">
        <f aca="false">IF(C1425="",0,IF(COUNTIF(C$5:C1425,C1425)=1,1,0))</f>
        <v>0</v>
      </c>
      <c r="G1425" s="16" t="n">
        <f aca="false">SUM(F$5:F1425)</f>
        <v>8</v>
      </c>
      <c r="H1425" s="16" t="n">
        <f aca="false">IF(B1425="",0,IF(COUNTIF(B$5:B1425,B1425)=1,1,0))</f>
        <v>0</v>
      </c>
      <c r="I1425" s="16" t="n">
        <f aca="false">SUM(H$5:H1425)</f>
        <v>6</v>
      </c>
    </row>
    <row r="1426" customFormat="false" ht="15" hidden="false" customHeight="false" outlineLevel="0" collapsed="false">
      <c r="A1426" s="12"/>
      <c r="B1426" s="13"/>
      <c r="C1426" s="13"/>
      <c r="D1426" s="14"/>
      <c r="E1426" s="15"/>
      <c r="F1426" s="16" t="n">
        <f aca="false">IF(C1426="",0,IF(COUNTIF(C$5:C1426,C1426)=1,1,0))</f>
        <v>0</v>
      </c>
      <c r="G1426" s="16" t="n">
        <f aca="false">SUM(F$5:F1426)</f>
        <v>8</v>
      </c>
      <c r="H1426" s="16" t="n">
        <f aca="false">IF(B1426="",0,IF(COUNTIF(B$5:B1426,B1426)=1,1,0))</f>
        <v>0</v>
      </c>
      <c r="I1426" s="16" t="n">
        <f aca="false">SUM(H$5:H1426)</f>
        <v>6</v>
      </c>
    </row>
    <row r="1427" customFormat="false" ht="15" hidden="false" customHeight="false" outlineLevel="0" collapsed="false">
      <c r="A1427" s="12"/>
      <c r="B1427" s="13"/>
      <c r="C1427" s="13"/>
      <c r="D1427" s="14"/>
      <c r="E1427" s="15"/>
      <c r="F1427" s="16" t="n">
        <f aca="false">IF(C1427="",0,IF(COUNTIF(C$5:C1427,C1427)=1,1,0))</f>
        <v>0</v>
      </c>
      <c r="G1427" s="16" t="n">
        <f aca="false">SUM(F$5:F1427)</f>
        <v>8</v>
      </c>
      <c r="H1427" s="16" t="n">
        <f aca="false">IF(B1427="",0,IF(COUNTIF(B$5:B1427,B1427)=1,1,0))</f>
        <v>0</v>
      </c>
      <c r="I1427" s="16" t="n">
        <f aca="false">SUM(H$5:H1427)</f>
        <v>6</v>
      </c>
    </row>
    <row r="1428" customFormat="false" ht="15" hidden="false" customHeight="false" outlineLevel="0" collapsed="false">
      <c r="A1428" s="12"/>
      <c r="B1428" s="13"/>
      <c r="C1428" s="13"/>
      <c r="D1428" s="14"/>
      <c r="E1428" s="15"/>
      <c r="F1428" s="16" t="n">
        <f aca="false">IF(C1428="",0,IF(COUNTIF(C$5:C1428,C1428)=1,1,0))</f>
        <v>0</v>
      </c>
      <c r="G1428" s="16" t="n">
        <f aca="false">SUM(F$5:F1428)</f>
        <v>8</v>
      </c>
      <c r="H1428" s="16" t="n">
        <f aca="false">IF(B1428="",0,IF(COUNTIF(B$5:B1428,B1428)=1,1,0))</f>
        <v>0</v>
      </c>
      <c r="I1428" s="16" t="n">
        <f aca="false">SUM(H$5:H1428)</f>
        <v>6</v>
      </c>
    </row>
    <row r="1429" customFormat="false" ht="15" hidden="false" customHeight="false" outlineLevel="0" collapsed="false">
      <c r="A1429" s="12"/>
      <c r="B1429" s="13"/>
      <c r="C1429" s="13"/>
      <c r="D1429" s="14"/>
      <c r="E1429" s="15"/>
      <c r="F1429" s="16" t="n">
        <f aca="false">IF(C1429="",0,IF(COUNTIF(C$5:C1429,C1429)=1,1,0))</f>
        <v>0</v>
      </c>
      <c r="G1429" s="16" t="n">
        <f aca="false">SUM(F$5:F1429)</f>
        <v>8</v>
      </c>
      <c r="H1429" s="16" t="n">
        <f aca="false">IF(B1429="",0,IF(COUNTIF(B$5:B1429,B1429)=1,1,0))</f>
        <v>0</v>
      </c>
      <c r="I1429" s="16" t="n">
        <f aca="false">SUM(H$5:H1429)</f>
        <v>6</v>
      </c>
    </row>
    <row r="1430" customFormat="false" ht="15" hidden="false" customHeight="false" outlineLevel="0" collapsed="false">
      <c r="A1430" s="12"/>
      <c r="B1430" s="13"/>
      <c r="C1430" s="13"/>
      <c r="D1430" s="14"/>
      <c r="E1430" s="15"/>
      <c r="F1430" s="16" t="n">
        <f aca="false">IF(C1430="",0,IF(COUNTIF(C$5:C1430,C1430)=1,1,0))</f>
        <v>0</v>
      </c>
      <c r="G1430" s="16" t="n">
        <f aca="false">SUM(F$5:F1430)</f>
        <v>8</v>
      </c>
      <c r="H1430" s="16" t="n">
        <f aca="false">IF(B1430="",0,IF(COUNTIF(B$5:B1430,B1430)=1,1,0))</f>
        <v>0</v>
      </c>
      <c r="I1430" s="16" t="n">
        <f aca="false">SUM(H$5:H1430)</f>
        <v>6</v>
      </c>
    </row>
    <row r="1431" customFormat="false" ht="15" hidden="false" customHeight="false" outlineLevel="0" collapsed="false">
      <c r="A1431" s="12"/>
      <c r="B1431" s="13"/>
      <c r="C1431" s="13"/>
      <c r="D1431" s="14"/>
      <c r="E1431" s="15"/>
      <c r="F1431" s="16" t="n">
        <f aca="false">IF(C1431="",0,IF(COUNTIF(C$5:C1431,C1431)=1,1,0))</f>
        <v>0</v>
      </c>
      <c r="G1431" s="16" t="n">
        <f aca="false">SUM(F$5:F1431)</f>
        <v>8</v>
      </c>
      <c r="H1431" s="16" t="n">
        <f aca="false">IF(B1431="",0,IF(COUNTIF(B$5:B1431,B1431)=1,1,0))</f>
        <v>0</v>
      </c>
      <c r="I1431" s="16" t="n">
        <f aca="false">SUM(H$5:H1431)</f>
        <v>6</v>
      </c>
    </row>
    <row r="1432" customFormat="false" ht="15" hidden="false" customHeight="false" outlineLevel="0" collapsed="false">
      <c r="A1432" s="12"/>
      <c r="B1432" s="13"/>
      <c r="C1432" s="13"/>
      <c r="D1432" s="14"/>
      <c r="E1432" s="15"/>
      <c r="F1432" s="16" t="n">
        <f aca="false">IF(C1432="",0,IF(COUNTIF(C$5:C1432,C1432)=1,1,0))</f>
        <v>0</v>
      </c>
      <c r="G1432" s="16" t="n">
        <f aca="false">SUM(F$5:F1432)</f>
        <v>8</v>
      </c>
      <c r="H1432" s="16" t="n">
        <f aca="false">IF(B1432="",0,IF(COUNTIF(B$5:B1432,B1432)=1,1,0))</f>
        <v>0</v>
      </c>
      <c r="I1432" s="16" t="n">
        <f aca="false">SUM(H$5:H1432)</f>
        <v>6</v>
      </c>
    </row>
    <row r="1433" customFormat="false" ht="15" hidden="false" customHeight="false" outlineLevel="0" collapsed="false">
      <c r="A1433" s="12"/>
      <c r="B1433" s="13"/>
      <c r="C1433" s="13"/>
      <c r="D1433" s="14"/>
      <c r="E1433" s="15"/>
      <c r="F1433" s="16" t="n">
        <f aca="false">IF(C1433="",0,IF(COUNTIF(C$5:C1433,C1433)=1,1,0))</f>
        <v>0</v>
      </c>
      <c r="G1433" s="16" t="n">
        <f aca="false">SUM(F$5:F1433)</f>
        <v>8</v>
      </c>
      <c r="H1433" s="16" t="n">
        <f aca="false">IF(B1433="",0,IF(COUNTIF(B$5:B1433,B1433)=1,1,0))</f>
        <v>0</v>
      </c>
      <c r="I1433" s="16" t="n">
        <f aca="false">SUM(H$5:H1433)</f>
        <v>6</v>
      </c>
    </row>
    <row r="1434" customFormat="false" ht="15" hidden="false" customHeight="false" outlineLevel="0" collapsed="false">
      <c r="A1434" s="12"/>
      <c r="B1434" s="13"/>
      <c r="C1434" s="13"/>
      <c r="D1434" s="14"/>
      <c r="E1434" s="15"/>
      <c r="F1434" s="16" t="n">
        <f aca="false">IF(C1434="",0,IF(COUNTIF(C$5:C1434,C1434)=1,1,0))</f>
        <v>0</v>
      </c>
      <c r="G1434" s="16" t="n">
        <f aca="false">SUM(F$5:F1434)</f>
        <v>8</v>
      </c>
      <c r="H1434" s="16" t="n">
        <f aca="false">IF(B1434="",0,IF(COUNTIF(B$5:B1434,B1434)=1,1,0))</f>
        <v>0</v>
      </c>
      <c r="I1434" s="16" t="n">
        <f aca="false">SUM(H$5:H1434)</f>
        <v>6</v>
      </c>
    </row>
    <row r="1435" customFormat="false" ht="15" hidden="false" customHeight="false" outlineLevel="0" collapsed="false">
      <c r="A1435" s="12"/>
      <c r="B1435" s="13"/>
      <c r="C1435" s="13"/>
      <c r="D1435" s="14"/>
      <c r="E1435" s="15"/>
      <c r="F1435" s="16" t="n">
        <f aca="false">IF(C1435="",0,IF(COUNTIF(C$5:C1435,C1435)=1,1,0))</f>
        <v>0</v>
      </c>
      <c r="G1435" s="16" t="n">
        <f aca="false">SUM(F$5:F1435)</f>
        <v>8</v>
      </c>
      <c r="H1435" s="16" t="n">
        <f aca="false">IF(B1435="",0,IF(COUNTIF(B$5:B1435,B1435)=1,1,0))</f>
        <v>0</v>
      </c>
      <c r="I1435" s="16" t="n">
        <f aca="false">SUM(H$5:H1435)</f>
        <v>6</v>
      </c>
    </row>
    <row r="1436" customFormat="false" ht="15" hidden="false" customHeight="false" outlineLevel="0" collapsed="false">
      <c r="A1436" s="12"/>
      <c r="B1436" s="13"/>
      <c r="C1436" s="13"/>
      <c r="D1436" s="14"/>
      <c r="E1436" s="15"/>
      <c r="F1436" s="16" t="n">
        <f aca="false">IF(C1436="",0,IF(COUNTIF(C$5:C1436,C1436)=1,1,0))</f>
        <v>0</v>
      </c>
      <c r="G1436" s="16" t="n">
        <f aca="false">SUM(F$5:F1436)</f>
        <v>8</v>
      </c>
      <c r="H1436" s="16" t="n">
        <f aca="false">IF(B1436="",0,IF(COUNTIF(B$5:B1436,B1436)=1,1,0))</f>
        <v>0</v>
      </c>
      <c r="I1436" s="16" t="n">
        <f aca="false">SUM(H$5:H1436)</f>
        <v>6</v>
      </c>
    </row>
    <row r="1437" customFormat="false" ht="15" hidden="false" customHeight="false" outlineLevel="0" collapsed="false">
      <c r="A1437" s="12"/>
      <c r="B1437" s="13"/>
      <c r="C1437" s="13"/>
      <c r="D1437" s="14"/>
      <c r="E1437" s="15"/>
      <c r="F1437" s="16" t="n">
        <f aca="false">IF(C1437="",0,IF(COUNTIF(C$5:C1437,C1437)=1,1,0))</f>
        <v>0</v>
      </c>
      <c r="G1437" s="16" t="n">
        <f aca="false">SUM(F$5:F1437)</f>
        <v>8</v>
      </c>
      <c r="H1437" s="16" t="n">
        <f aca="false">IF(B1437="",0,IF(COUNTIF(B$5:B1437,B1437)=1,1,0))</f>
        <v>0</v>
      </c>
      <c r="I1437" s="16" t="n">
        <f aca="false">SUM(H$5:H1437)</f>
        <v>6</v>
      </c>
    </row>
    <row r="1438" customFormat="false" ht="15" hidden="false" customHeight="false" outlineLevel="0" collapsed="false">
      <c r="A1438" s="12"/>
      <c r="B1438" s="13"/>
      <c r="C1438" s="13"/>
      <c r="D1438" s="14"/>
      <c r="E1438" s="15"/>
      <c r="F1438" s="16" t="n">
        <f aca="false">IF(C1438="",0,IF(COUNTIF(C$5:C1438,C1438)=1,1,0))</f>
        <v>0</v>
      </c>
      <c r="G1438" s="16" t="n">
        <f aca="false">SUM(F$5:F1438)</f>
        <v>8</v>
      </c>
      <c r="H1438" s="16" t="n">
        <f aca="false">IF(B1438="",0,IF(COUNTIF(B$5:B1438,B1438)=1,1,0))</f>
        <v>0</v>
      </c>
      <c r="I1438" s="16" t="n">
        <f aca="false">SUM(H$5:H1438)</f>
        <v>6</v>
      </c>
    </row>
    <row r="1439" customFormat="false" ht="15" hidden="false" customHeight="false" outlineLevel="0" collapsed="false">
      <c r="A1439" s="12"/>
      <c r="B1439" s="13"/>
      <c r="C1439" s="13"/>
      <c r="D1439" s="14"/>
      <c r="E1439" s="15"/>
      <c r="F1439" s="16" t="n">
        <f aca="false">IF(C1439="",0,IF(COUNTIF(C$5:C1439,C1439)=1,1,0))</f>
        <v>0</v>
      </c>
      <c r="G1439" s="16" t="n">
        <f aca="false">SUM(F$5:F1439)</f>
        <v>8</v>
      </c>
      <c r="H1439" s="16" t="n">
        <f aca="false">IF(B1439="",0,IF(COUNTIF(B$5:B1439,B1439)=1,1,0))</f>
        <v>0</v>
      </c>
      <c r="I1439" s="16" t="n">
        <f aca="false">SUM(H$5:H1439)</f>
        <v>6</v>
      </c>
    </row>
    <row r="1440" customFormat="false" ht="15" hidden="false" customHeight="false" outlineLevel="0" collapsed="false">
      <c r="A1440" s="12"/>
      <c r="B1440" s="13"/>
      <c r="C1440" s="13"/>
      <c r="D1440" s="14"/>
      <c r="E1440" s="15"/>
      <c r="F1440" s="16" t="n">
        <f aca="false">IF(C1440="",0,IF(COUNTIF(C$5:C1440,C1440)=1,1,0))</f>
        <v>0</v>
      </c>
      <c r="G1440" s="16" t="n">
        <f aca="false">SUM(F$5:F1440)</f>
        <v>8</v>
      </c>
      <c r="H1440" s="16" t="n">
        <f aca="false">IF(B1440="",0,IF(COUNTIF(B$5:B1440,B1440)=1,1,0))</f>
        <v>0</v>
      </c>
      <c r="I1440" s="16" t="n">
        <f aca="false">SUM(H$5:H1440)</f>
        <v>6</v>
      </c>
    </row>
    <row r="1441" customFormat="false" ht="15" hidden="false" customHeight="false" outlineLevel="0" collapsed="false">
      <c r="A1441" s="12"/>
      <c r="B1441" s="13"/>
      <c r="C1441" s="13"/>
      <c r="D1441" s="14"/>
      <c r="E1441" s="15"/>
      <c r="F1441" s="16" t="n">
        <f aca="false">IF(C1441="",0,IF(COUNTIF(C$5:C1441,C1441)=1,1,0))</f>
        <v>0</v>
      </c>
      <c r="G1441" s="16" t="n">
        <f aca="false">SUM(F$5:F1441)</f>
        <v>8</v>
      </c>
      <c r="H1441" s="16" t="n">
        <f aca="false">IF(B1441="",0,IF(COUNTIF(B$5:B1441,B1441)=1,1,0))</f>
        <v>0</v>
      </c>
      <c r="I1441" s="16" t="n">
        <f aca="false">SUM(H$5:H1441)</f>
        <v>6</v>
      </c>
    </row>
    <row r="1442" customFormat="false" ht="15" hidden="false" customHeight="false" outlineLevel="0" collapsed="false">
      <c r="A1442" s="12"/>
      <c r="B1442" s="13"/>
      <c r="C1442" s="13"/>
      <c r="D1442" s="14"/>
      <c r="E1442" s="15"/>
      <c r="F1442" s="16" t="n">
        <f aca="false">IF(C1442="",0,IF(COUNTIF(C$5:C1442,C1442)=1,1,0))</f>
        <v>0</v>
      </c>
      <c r="G1442" s="16" t="n">
        <f aca="false">SUM(F$5:F1442)</f>
        <v>8</v>
      </c>
      <c r="H1442" s="16" t="n">
        <f aca="false">IF(B1442="",0,IF(COUNTIF(B$5:B1442,B1442)=1,1,0))</f>
        <v>0</v>
      </c>
      <c r="I1442" s="16" t="n">
        <f aca="false">SUM(H$5:H1442)</f>
        <v>6</v>
      </c>
    </row>
    <row r="1443" customFormat="false" ht="15" hidden="false" customHeight="false" outlineLevel="0" collapsed="false">
      <c r="A1443" s="12"/>
      <c r="B1443" s="13"/>
      <c r="C1443" s="13"/>
      <c r="D1443" s="14"/>
      <c r="E1443" s="15"/>
      <c r="F1443" s="16" t="n">
        <f aca="false">IF(C1443="",0,IF(COUNTIF(C$5:C1443,C1443)=1,1,0))</f>
        <v>0</v>
      </c>
      <c r="G1443" s="16" t="n">
        <f aca="false">SUM(F$5:F1443)</f>
        <v>8</v>
      </c>
      <c r="H1443" s="16" t="n">
        <f aca="false">IF(B1443="",0,IF(COUNTIF(B$5:B1443,B1443)=1,1,0))</f>
        <v>0</v>
      </c>
      <c r="I1443" s="16" t="n">
        <f aca="false">SUM(H$5:H1443)</f>
        <v>6</v>
      </c>
    </row>
    <row r="1444" customFormat="false" ht="15" hidden="false" customHeight="false" outlineLevel="0" collapsed="false">
      <c r="A1444" s="12"/>
      <c r="B1444" s="13"/>
      <c r="C1444" s="13"/>
      <c r="D1444" s="14"/>
      <c r="E1444" s="15"/>
      <c r="F1444" s="16" t="n">
        <f aca="false">IF(C1444="",0,IF(COUNTIF(C$5:C1444,C1444)=1,1,0))</f>
        <v>0</v>
      </c>
      <c r="G1444" s="16" t="n">
        <f aca="false">SUM(F$5:F1444)</f>
        <v>8</v>
      </c>
      <c r="H1444" s="16" t="n">
        <f aca="false">IF(B1444="",0,IF(COUNTIF(B$5:B1444,B1444)=1,1,0))</f>
        <v>0</v>
      </c>
      <c r="I1444" s="16" t="n">
        <f aca="false">SUM(H$5:H1444)</f>
        <v>6</v>
      </c>
    </row>
    <row r="1445" customFormat="false" ht="15" hidden="false" customHeight="false" outlineLevel="0" collapsed="false">
      <c r="A1445" s="12"/>
      <c r="B1445" s="13"/>
      <c r="C1445" s="13"/>
      <c r="D1445" s="14"/>
      <c r="E1445" s="15"/>
      <c r="F1445" s="16" t="n">
        <f aca="false">IF(C1445="",0,IF(COUNTIF(C$5:C1445,C1445)=1,1,0))</f>
        <v>0</v>
      </c>
      <c r="G1445" s="16" t="n">
        <f aca="false">SUM(F$5:F1445)</f>
        <v>8</v>
      </c>
      <c r="H1445" s="16" t="n">
        <f aca="false">IF(B1445="",0,IF(COUNTIF(B$5:B1445,B1445)=1,1,0))</f>
        <v>0</v>
      </c>
      <c r="I1445" s="16" t="n">
        <f aca="false">SUM(H$5:H1445)</f>
        <v>6</v>
      </c>
    </row>
    <row r="1446" customFormat="false" ht="15" hidden="false" customHeight="false" outlineLevel="0" collapsed="false">
      <c r="A1446" s="12"/>
      <c r="B1446" s="13"/>
      <c r="C1446" s="13"/>
      <c r="D1446" s="14"/>
      <c r="E1446" s="15"/>
      <c r="F1446" s="16" t="n">
        <f aca="false">IF(C1446="",0,IF(COUNTIF(C$5:C1446,C1446)=1,1,0))</f>
        <v>0</v>
      </c>
      <c r="G1446" s="16" t="n">
        <f aca="false">SUM(F$5:F1446)</f>
        <v>8</v>
      </c>
      <c r="H1446" s="16" t="n">
        <f aca="false">IF(B1446="",0,IF(COUNTIF(B$5:B1446,B1446)=1,1,0))</f>
        <v>0</v>
      </c>
      <c r="I1446" s="16" t="n">
        <f aca="false">SUM(H$5:H1446)</f>
        <v>6</v>
      </c>
    </row>
    <row r="1447" customFormat="false" ht="15" hidden="false" customHeight="false" outlineLevel="0" collapsed="false">
      <c r="A1447" s="12"/>
      <c r="B1447" s="13"/>
      <c r="C1447" s="13"/>
      <c r="D1447" s="14"/>
      <c r="E1447" s="15"/>
      <c r="F1447" s="16" t="n">
        <f aca="false">IF(C1447="",0,IF(COUNTIF(C$5:C1447,C1447)=1,1,0))</f>
        <v>0</v>
      </c>
      <c r="G1447" s="16" t="n">
        <f aca="false">SUM(F$5:F1447)</f>
        <v>8</v>
      </c>
      <c r="H1447" s="16" t="n">
        <f aca="false">IF(B1447="",0,IF(COUNTIF(B$5:B1447,B1447)=1,1,0))</f>
        <v>0</v>
      </c>
      <c r="I1447" s="16" t="n">
        <f aca="false">SUM(H$5:H1447)</f>
        <v>6</v>
      </c>
    </row>
    <row r="1448" customFormat="false" ht="15" hidden="false" customHeight="false" outlineLevel="0" collapsed="false">
      <c r="A1448" s="12"/>
      <c r="B1448" s="13"/>
      <c r="C1448" s="13"/>
      <c r="D1448" s="14"/>
      <c r="E1448" s="15"/>
      <c r="F1448" s="16" t="n">
        <f aca="false">IF(C1448="",0,IF(COUNTIF(C$5:C1448,C1448)=1,1,0))</f>
        <v>0</v>
      </c>
      <c r="G1448" s="16" t="n">
        <f aca="false">SUM(F$5:F1448)</f>
        <v>8</v>
      </c>
      <c r="H1448" s="16" t="n">
        <f aca="false">IF(B1448="",0,IF(COUNTIF(B$5:B1448,B1448)=1,1,0))</f>
        <v>0</v>
      </c>
      <c r="I1448" s="16" t="n">
        <f aca="false">SUM(H$5:H1448)</f>
        <v>6</v>
      </c>
    </row>
    <row r="1449" customFormat="false" ht="15" hidden="false" customHeight="false" outlineLevel="0" collapsed="false">
      <c r="A1449" s="12"/>
      <c r="B1449" s="13"/>
      <c r="C1449" s="13"/>
      <c r="D1449" s="14"/>
      <c r="E1449" s="15"/>
      <c r="F1449" s="16" t="n">
        <f aca="false">IF(C1449="",0,IF(COUNTIF(C$5:C1449,C1449)=1,1,0))</f>
        <v>0</v>
      </c>
      <c r="G1449" s="16" t="n">
        <f aca="false">SUM(F$5:F1449)</f>
        <v>8</v>
      </c>
      <c r="H1449" s="16" t="n">
        <f aca="false">IF(B1449="",0,IF(COUNTIF(B$5:B1449,B1449)=1,1,0))</f>
        <v>0</v>
      </c>
      <c r="I1449" s="16" t="n">
        <f aca="false">SUM(H$5:H1449)</f>
        <v>6</v>
      </c>
    </row>
    <row r="1450" customFormat="false" ht="15" hidden="false" customHeight="false" outlineLevel="0" collapsed="false">
      <c r="A1450" s="12"/>
      <c r="B1450" s="13"/>
      <c r="C1450" s="13"/>
      <c r="D1450" s="14"/>
      <c r="E1450" s="15"/>
      <c r="F1450" s="16" t="n">
        <f aca="false">IF(C1450="",0,IF(COUNTIF(C$5:C1450,C1450)=1,1,0))</f>
        <v>0</v>
      </c>
      <c r="G1450" s="16" t="n">
        <f aca="false">SUM(F$5:F1450)</f>
        <v>8</v>
      </c>
      <c r="H1450" s="16" t="n">
        <f aca="false">IF(B1450="",0,IF(COUNTIF(B$5:B1450,B1450)=1,1,0))</f>
        <v>0</v>
      </c>
      <c r="I1450" s="16" t="n">
        <f aca="false">SUM(H$5:H1450)</f>
        <v>6</v>
      </c>
    </row>
    <row r="1451" customFormat="false" ht="15" hidden="false" customHeight="false" outlineLevel="0" collapsed="false">
      <c r="A1451" s="12"/>
      <c r="B1451" s="13"/>
      <c r="C1451" s="13"/>
      <c r="D1451" s="14"/>
      <c r="E1451" s="15"/>
      <c r="F1451" s="16" t="n">
        <f aca="false">IF(C1451="",0,IF(COUNTIF(C$5:C1451,C1451)=1,1,0))</f>
        <v>0</v>
      </c>
      <c r="G1451" s="16" t="n">
        <f aca="false">SUM(F$5:F1451)</f>
        <v>8</v>
      </c>
      <c r="H1451" s="16" t="n">
        <f aca="false">IF(B1451="",0,IF(COUNTIF(B$5:B1451,B1451)=1,1,0))</f>
        <v>0</v>
      </c>
      <c r="I1451" s="16" t="n">
        <f aca="false">SUM(H$5:H1451)</f>
        <v>6</v>
      </c>
    </row>
    <row r="1452" customFormat="false" ht="15" hidden="false" customHeight="false" outlineLevel="0" collapsed="false">
      <c r="A1452" s="12"/>
      <c r="B1452" s="13"/>
      <c r="C1452" s="13"/>
      <c r="D1452" s="14"/>
      <c r="E1452" s="15"/>
      <c r="F1452" s="16" t="n">
        <f aca="false">IF(C1452="",0,IF(COUNTIF(C$5:C1452,C1452)=1,1,0))</f>
        <v>0</v>
      </c>
      <c r="G1452" s="16" t="n">
        <f aca="false">SUM(F$5:F1452)</f>
        <v>8</v>
      </c>
      <c r="H1452" s="16" t="n">
        <f aca="false">IF(B1452="",0,IF(COUNTIF(B$5:B1452,B1452)=1,1,0))</f>
        <v>0</v>
      </c>
      <c r="I1452" s="16" t="n">
        <f aca="false">SUM(H$5:H1452)</f>
        <v>6</v>
      </c>
    </row>
    <row r="1453" customFormat="false" ht="15" hidden="false" customHeight="false" outlineLevel="0" collapsed="false">
      <c r="A1453" s="12"/>
      <c r="B1453" s="13"/>
      <c r="C1453" s="13"/>
      <c r="D1453" s="14"/>
      <c r="E1453" s="15"/>
      <c r="F1453" s="16" t="n">
        <f aca="false">IF(C1453="",0,IF(COUNTIF(C$5:C1453,C1453)=1,1,0))</f>
        <v>0</v>
      </c>
      <c r="G1453" s="16" t="n">
        <f aca="false">SUM(F$5:F1453)</f>
        <v>8</v>
      </c>
      <c r="H1453" s="16" t="n">
        <f aca="false">IF(B1453="",0,IF(COUNTIF(B$5:B1453,B1453)=1,1,0))</f>
        <v>0</v>
      </c>
      <c r="I1453" s="16" t="n">
        <f aca="false">SUM(H$5:H1453)</f>
        <v>6</v>
      </c>
    </row>
    <row r="1454" customFormat="false" ht="15" hidden="false" customHeight="false" outlineLevel="0" collapsed="false">
      <c r="A1454" s="12"/>
      <c r="B1454" s="13"/>
      <c r="C1454" s="13"/>
      <c r="D1454" s="14"/>
      <c r="E1454" s="15"/>
      <c r="F1454" s="16" t="n">
        <f aca="false">IF(C1454="",0,IF(COUNTIF(C$5:C1454,C1454)=1,1,0))</f>
        <v>0</v>
      </c>
      <c r="G1454" s="16" t="n">
        <f aca="false">SUM(F$5:F1454)</f>
        <v>8</v>
      </c>
      <c r="H1454" s="16" t="n">
        <f aca="false">IF(B1454="",0,IF(COUNTIF(B$5:B1454,B1454)=1,1,0))</f>
        <v>0</v>
      </c>
      <c r="I1454" s="16" t="n">
        <f aca="false">SUM(H$5:H1454)</f>
        <v>6</v>
      </c>
    </row>
    <row r="1455" customFormat="false" ht="15" hidden="false" customHeight="false" outlineLevel="0" collapsed="false">
      <c r="A1455" s="12"/>
      <c r="B1455" s="13"/>
      <c r="C1455" s="13"/>
      <c r="D1455" s="14"/>
      <c r="E1455" s="15"/>
      <c r="F1455" s="16" t="n">
        <f aca="false">IF(C1455="",0,IF(COUNTIF(C$5:C1455,C1455)=1,1,0))</f>
        <v>0</v>
      </c>
      <c r="G1455" s="16" t="n">
        <f aca="false">SUM(F$5:F1455)</f>
        <v>8</v>
      </c>
      <c r="H1455" s="16" t="n">
        <f aca="false">IF(B1455="",0,IF(COUNTIF(B$5:B1455,B1455)=1,1,0))</f>
        <v>0</v>
      </c>
      <c r="I1455" s="16" t="n">
        <f aca="false">SUM(H$5:H1455)</f>
        <v>6</v>
      </c>
    </row>
    <row r="1456" customFormat="false" ht="15" hidden="false" customHeight="false" outlineLevel="0" collapsed="false">
      <c r="A1456" s="12"/>
      <c r="B1456" s="13"/>
      <c r="C1456" s="13"/>
      <c r="D1456" s="14"/>
      <c r="E1456" s="15"/>
      <c r="F1456" s="16" t="n">
        <f aca="false">IF(C1456="",0,IF(COUNTIF(C$5:C1456,C1456)=1,1,0))</f>
        <v>0</v>
      </c>
      <c r="G1456" s="16" t="n">
        <f aca="false">SUM(F$5:F1456)</f>
        <v>8</v>
      </c>
      <c r="H1456" s="16" t="n">
        <f aca="false">IF(B1456="",0,IF(COUNTIF(B$5:B1456,B1456)=1,1,0))</f>
        <v>0</v>
      </c>
      <c r="I1456" s="16" t="n">
        <f aca="false">SUM(H$5:H1456)</f>
        <v>6</v>
      </c>
    </row>
    <row r="1457" customFormat="false" ht="15" hidden="false" customHeight="false" outlineLevel="0" collapsed="false">
      <c r="A1457" s="12"/>
      <c r="B1457" s="13"/>
      <c r="C1457" s="13"/>
      <c r="D1457" s="14"/>
      <c r="E1457" s="15"/>
      <c r="F1457" s="16" t="n">
        <f aca="false">IF(C1457="",0,IF(COUNTIF(C$5:C1457,C1457)=1,1,0))</f>
        <v>0</v>
      </c>
      <c r="G1457" s="16" t="n">
        <f aca="false">SUM(F$5:F1457)</f>
        <v>8</v>
      </c>
      <c r="H1457" s="16" t="n">
        <f aca="false">IF(B1457="",0,IF(COUNTIF(B$5:B1457,B1457)=1,1,0))</f>
        <v>0</v>
      </c>
      <c r="I1457" s="16" t="n">
        <f aca="false">SUM(H$5:H1457)</f>
        <v>6</v>
      </c>
    </row>
    <row r="1458" customFormat="false" ht="15" hidden="false" customHeight="false" outlineLevel="0" collapsed="false">
      <c r="A1458" s="12"/>
      <c r="B1458" s="13"/>
      <c r="C1458" s="13"/>
      <c r="D1458" s="14"/>
      <c r="E1458" s="15"/>
      <c r="F1458" s="16" t="n">
        <f aca="false">IF(C1458="",0,IF(COUNTIF(C$5:C1458,C1458)=1,1,0))</f>
        <v>0</v>
      </c>
      <c r="G1458" s="16" t="n">
        <f aca="false">SUM(F$5:F1458)</f>
        <v>8</v>
      </c>
      <c r="H1458" s="16" t="n">
        <f aca="false">IF(B1458="",0,IF(COUNTIF(B$5:B1458,B1458)=1,1,0))</f>
        <v>0</v>
      </c>
      <c r="I1458" s="16" t="n">
        <f aca="false">SUM(H$5:H1458)</f>
        <v>6</v>
      </c>
    </row>
    <row r="1459" customFormat="false" ht="15" hidden="false" customHeight="false" outlineLevel="0" collapsed="false">
      <c r="A1459" s="12"/>
      <c r="B1459" s="13"/>
      <c r="C1459" s="13"/>
      <c r="D1459" s="14"/>
      <c r="E1459" s="15"/>
      <c r="F1459" s="16" t="n">
        <f aca="false">IF(C1459="",0,IF(COUNTIF(C$5:C1459,C1459)=1,1,0))</f>
        <v>0</v>
      </c>
      <c r="G1459" s="16" t="n">
        <f aca="false">SUM(F$5:F1459)</f>
        <v>8</v>
      </c>
      <c r="H1459" s="16" t="n">
        <f aca="false">IF(B1459="",0,IF(COUNTIF(B$5:B1459,B1459)=1,1,0))</f>
        <v>0</v>
      </c>
      <c r="I1459" s="16" t="n">
        <f aca="false">SUM(H$5:H1459)</f>
        <v>6</v>
      </c>
    </row>
    <row r="1460" customFormat="false" ht="15" hidden="false" customHeight="false" outlineLevel="0" collapsed="false">
      <c r="A1460" s="12"/>
      <c r="B1460" s="13"/>
      <c r="C1460" s="13"/>
      <c r="D1460" s="14"/>
      <c r="E1460" s="15"/>
      <c r="F1460" s="16" t="n">
        <f aca="false">IF(C1460="",0,IF(COUNTIF(C$5:C1460,C1460)=1,1,0))</f>
        <v>0</v>
      </c>
      <c r="G1460" s="16" t="n">
        <f aca="false">SUM(F$5:F1460)</f>
        <v>8</v>
      </c>
      <c r="H1460" s="16" t="n">
        <f aca="false">IF(B1460="",0,IF(COUNTIF(B$5:B1460,B1460)=1,1,0))</f>
        <v>0</v>
      </c>
      <c r="I1460" s="16" t="n">
        <f aca="false">SUM(H$5:H1460)</f>
        <v>6</v>
      </c>
    </row>
    <row r="1461" customFormat="false" ht="15" hidden="false" customHeight="false" outlineLevel="0" collapsed="false">
      <c r="A1461" s="12"/>
      <c r="B1461" s="13"/>
      <c r="C1461" s="13"/>
      <c r="D1461" s="14"/>
      <c r="E1461" s="15"/>
      <c r="F1461" s="16" t="n">
        <f aca="false">IF(C1461="",0,IF(COUNTIF(C$5:C1461,C1461)=1,1,0))</f>
        <v>0</v>
      </c>
      <c r="G1461" s="16" t="n">
        <f aca="false">SUM(F$5:F1461)</f>
        <v>8</v>
      </c>
      <c r="H1461" s="16" t="n">
        <f aca="false">IF(B1461="",0,IF(COUNTIF(B$5:B1461,B1461)=1,1,0))</f>
        <v>0</v>
      </c>
      <c r="I1461" s="16" t="n">
        <f aca="false">SUM(H$5:H1461)</f>
        <v>6</v>
      </c>
    </row>
    <row r="1462" customFormat="false" ht="15" hidden="false" customHeight="false" outlineLevel="0" collapsed="false">
      <c r="A1462" s="12"/>
      <c r="B1462" s="13"/>
      <c r="C1462" s="13"/>
      <c r="D1462" s="14"/>
      <c r="E1462" s="15"/>
      <c r="F1462" s="16" t="n">
        <f aca="false">IF(C1462="",0,IF(COUNTIF(C$5:C1462,C1462)=1,1,0))</f>
        <v>0</v>
      </c>
      <c r="G1462" s="16" t="n">
        <f aca="false">SUM(F$5:F1462)</f>
        <v>8</v>
      </c>
      <c r="H1462" s="16" t="n">
        <f aca="false">IF(B1462="",0,IF(COUNTIF(B$5:B1462,B1462)=1,1,0))</f>
        <v>0</v>
      </c>
      <c r="I1462" s="16" t="n">
        <f aca="false">SUM(H$5:H1462)</f>
        <v>6</v>
      </c>
    </row>
    <row r="1463" customFormat="false" ht="15" hidden="false" customHeight="false" outlineLevel="0" collapsed="false">
      <c r="A1463" s="12"/>
      <c r="B1463" s="13"/>
      <c r="C1463" s="13"/>
      <c r="D1463" s="14"/>
      <c r="E1463" s="15"/>
      <c r="F1463" s="16" t="n">
        <f aca="false">IF(C1463="",0,IF(COUNTIF(C$5:C1463,C1463)=1,1,0))</f>
        <v>0</v>
      </c>
      <c r="G1463" s="16" t="n">
        <f aca="false">SUM(F$5:F1463)</f>
        <v>8</v>
      </c>
      <c r="H1463" s="16" t="n">
        <f aca="false">IF(B1463="",0,IF(COUNTIF(B$5:B1463,B1463)=1,1,0))</f>
        <v>0</v>
      </c>
      <c r="I1463" s="16" t="n">
        <f aca="false">SUM(H$5:H1463)</f>
        <v>6</v>
      </c>
    </row>
    <row r="1464" customFormat="false" ht="15" hidden="false" customHeight="false" outlineLevel="0" collapsed="false">
      <c r="A1464" s="12"/>
      <c r="B1464" s="13"/>
      <c r="C1464" s="13"/>
      <c r="D1464" s="14"/>
      <c r="E1464" s="15"/>
      <c r="F1464" s="16" t="n">
        <f aca="false">IF(C1464="",0,IF(COUNTIF(C$5:C1464,C1464)=1,1,0))</f>
        <v>0</v>
      </c>
      <c r="G1464" s="16" t="n">
        <f aca="false">SUM(F$5:F1464)</f>
        <v>8</v>
      </c>
      <c r="H1464" s="16" t="n">
        <f aca="false">IF(B1464="",0,IF(COUNTIF(B$5:B1464,B1464)=1,1,0))</f>
        <v>0</v>
      </c>
      <c r="I1464" s="16" t="n">
        <f aca="false">SUM(H$5:H1464)</f>
        <v>6</v>
      </c>
    </row>
    <row r="1465" customFormat="false" ht="15" hidden="false" customHeight="false" outlineLevel="0" collapsed="false">
      <c r="A1465" s="12"/>
      <c r="B1465" s="13"/>
      <c r="C1465" s="13"/>
      <c r="D1465" s="14"/>
      <c r="E1465" s="15"/>
      <c r="F1465" s="16" t="n">
        <f aca="false">IF(C1465="",0,IF(COUNTIF(C$5:C1465,C1465)=1,1,0))</f>
        <v>0</v>
      </c>
      <c r="G1465" s="16" t="n">
        <f aca="false">SUM(F$5:F1465)</f>
        <v>8</v>
      </c>
      <c r="H1465" s="16" t="n">
        <f aca="false">IF(B1465="",0,IF(COUNTIF(B$5:B1465,B1465)=1,1,0))</f>
        <v>0</v>
      </c>
      <c r="I1465" s="16" t="n">
        <f aca="false">SUM(H$5:H1465)</f>
        <v>6</v>
      </c>
    </row>
    <row r="1466" customFormat="false" ht="15" hidden="false" customHeight="false" outlineLevel="0" collapsed="false">
      <c r="A1466" s="12"/>
      <c r="B1466" s="13"/>
      <c r="C1466" s="13"/>
      <c r="D1466" s="14"/>
      <c r="E1466" s="15"/>
      <c r="F1466" s="16" t="n">
        <f aca="false">IF(C1466="",0,IF(COUNTIF(C$5:C1466,C1466)=1,1,0))</f>
        <v>0</v>
      </c>
      <c r="G1466" s="16" t="n">
        <f aca="false">SUM(F$5:F1466)</f>
        <v>8</v>
      </c>
      <c r="H1466" s="16" t="n">
        <f aca="false">IF(B1466="",0,IF(COUNTIF(B$5:B1466,B1466)=1,1,0))</f>
        <v>0</v>
      </c>
      <c r="I1466" s="16" t="n">
        <f aca="false">SUM(H$5:H1466)</f>
        <v>6</v>
      </c>
    </row>
    <row r="1467" customFormat="false" ht="15" hidden="false" customHeight="false" outlineLevel="0" collapsed="false">
      <c r="A1467" s="12"/>
      <c r="B1467" s="13"/>
      <c r="C1467" s="13"/>
      <c r="D1467" s="14"/>
      <c r="E1467" s="15"/>
      <c r="F1467" s="16" t="n">
        <f aca="false">IF(C1467="",0,IF(COUNTIF(C$5:C1467,C1467)=1,1,0))</f>
        <v>0</v>
      </c>
      <c r="G1467" s="16" t="n">
        <f aca="false">SUM(F$5:F1467)</f>
        <v>8</v>
      </c>
      <c r="H1467" s="16" t="n">
        <f aca="false">IF(B1467="",0,IF(COUNTIF(B$5:B1467,B1467)=1,1,0))</f>
        <v>0</v>
      </c>
      <c r="I1467" s="16" t="n">
        <f aca="false">SUM(H$5:H1467)</f>
        <v>6</v>
      </c>
    </row>
    <row r="1468" customFormat="false" ht="15" hidden="false" customHeight="false" outlineLevel="0" collapsed="false">
      <c r="A1468" s="12"/>
      <c r="B1468" s="13"/>
      <c r="C1468" s="13"/>
      <c r="D1468" s="14"/>
      <c r="E1468" s="15"/>
      <c r="F1468" s="16" t="n">
        <f aca="false">IF(C1468="",0,IF(COUNTIF(C$5:C1468,C1468)=1,1,0))</f>
        <v>0</v>
      </c>
      <c r="G1468" s="16" t="n">
        <f aca="false">SUM(F$5:F1468)</f>
        <v>8</v>
      </c>
      <c r="H1468" s="16" t="n">
        <f aca="false">IF(B1468="",0,IF(COUNTIF(B$5:B1468,B1468)=1,1,0))</f>
        <v>0</v>
      </c>
      <c r="I1468" s="16" t="n">
        <f aca="false">SUM(H$5:H1468)</f>
        <v>6</v>
      </c>
    </row>
    <row r="1469" customFormat="false" ht="15" hidden="false" customHeight="false" outlineLevel="0" collapsed="false">
      <c r="A1469" s="12"/>
      <c r="B1469" s="13"/>
      <c r="C1469" s="13"/>
      <c r="D1469" s="14"/>
      <c r="E1469" s="15"/>
      <c r="F1469" s="16" t="n">
        <f aca="false">IF(C1469="",0,IF(COUNTIF(C$5:C1469,C1469)=1,1,0))</f>
        <v>0</v>
      </c>
      <c r="G1469" s="16" t="n">
        <f aca="false">SUM(F$5:F1469)</f>
        <v>8</v>
      </c>
      <c r="H1469" s="16" t="n">
        <f aca="false">IF(B1469="",0,IF(COUNTIF(B$5:B1469,B1469)=1,1,0))</f>
        <v>0</v>
      </c>
      <c r="I1469" s="16" t="n">
        <f aca="false">SUM(H$5:H1469)</f>
        <v>6</v>
      </c>
    </row>
    <row r="1470" customFormat="false" ht="15" hidden="false" customHeight="false" outlineLevel="0" collapsed="false">
      <c r="A1470" s="12"/>
      <c r="B1470" s="13"/>
      <c r="C1470" s="13"/>
      <c r="D1470" s="14"/>
      <c r="E1470" s="15"/>
      <c r="F1470" s="16" t="n">
        <f aca="false">IF(C1470="",0,IF(COUNTIF(C$5:C1470,C1470)=1,1,0))</f>
        <v>0</v>
      </c>
      <c r="G1470" s="16" t="n">
        <f aca="false">SUM(F$5:F1470)</f>
        <v>8</v>
      </c>
      <c r="H1470" s="16" t="n">
        <f aca="false">IF(B1470="",0,IF(COUNTIF(B$5:B1470,B1470)=1,1,0))</f>
        <v>0</v>
      </c>
      <c r="I1470" s="16" t="n">
        <f aca="false">SUM(H$5:H1470)</f>
        <v>6</v>
      </c>
    </row>
    <row r="1471" customFormat="false" ht="15" hidden="false" customHeight="false" outlineLevel="0" collapsed="false">
      <c r="A1471" s="12"/>
      <c r="B1471" s="13"/>
      <c r="C1471" s="13"/>
      <c r="D1471" s="14"/>
      <c r="E1471" s="15"/>
      <c r="F1471" s="16" t="n">
        <f aca="false">IF(C1471="",0,IF(COUNTIF(C$5:C1471,C1471)=1,1,0))</f>
        <v>0</v>
      </c>
      <c r="G1471" s="16" t="n">
        <f aca="false">SUM(F$5:F1471)</f>
        <v>8</v>
      </c>
      <c r="H1471" s="16" t="n">
        <f aca="false">IF(B1471="",0,IF(COUNTIF(B$5:B1471,B1471)=1,1,0))</f>
        <v>0</v>
      </c>
      <c r="I1471" s="16" t="n">
        <f aca="false">SUM(H$5:H1471)</f>
        <v>6</v>
      </c>
    </row>
    <row r="1472" customFormat="false" ht="15" hidden="false" customHeight="false" outlineLevel="0" collapsed="false">
      <c r="A1472" s="12"/>
      <c r="B1472" s="13"/>
      <c r="C1472" s="13"/>
      <c r="D1472" s="14"/>
      <c r="E1472" s="15"/>
      <c r="F1472" s="16" t="n">
        <f aca="false">IF(C1472="",0,IF(COUNTIF(C$5:C1472,C1472)=1,1,0))</f>
        <v>0</v>
      </c>
      <c r="G1472" s="16" t="n">
        <f aca="false">SUM(F$5:F1472)</f>
        <v>8</v>
      </c>
      <c r="H1472" s="16" t="n">
        <f aca="false">IF(B1472="",0,IF(COUNTIF(B$5:B1472,B1472)=1,1,0))</f>
        <v>0</v>
      </c>
      <c r="I1472" s="16" t="n">
        <f aca="false">SUM(H$5:H1472)</f>
        <v>6</v>
      </c>
    </row>
    <row r="1473" customFormat="false" ht="15" hidden="false" customHeight="false" outlineLevel="0" collapsed="false">
      <c r="A1473" s="12"/>
      <c r="B1473" s="13"/>
      <c r="C1473" s="13"/>
      <c r="D1473" s="14"/>
      <c r="E1473" s="15"/>
      <c r="F1473" s="16" t="n">
        <f aca="false">IF(C1473="",0,IF(COUNTIF(C$5:C1473,C1473)=1,1,0))</f>
        <v>0</v>
      </c>
      <c r="G1473" s="16" t="n">
        <f aca="false">SUM(F$5:F1473)</f>
        <v>8</v>
      </c>
      <c r="H1473" s="16" t="n">
        <f aca="false">IF(B1473="",0,IF(COUNTIF(B$5:B1473,B1473)=1,1,0))</f>
        <v>0</v>
      </c>
      <c r="I1473" s="16" t="n">
        <f aca="false">SUM(H$5:H1473)</f>
        <v>6</v>
      </c>
    </row>
    <row r="1474" customFormat="false" ht="15" hidden="false" customHeight="false" outlineLevel="0" collapsed="false">
      <c r="A1474" s="12"/>
      <c r="B1474" s="13"/>
      <c r="C1474" s="13"/>
      <c r="D1474" s="14"/>
      <c r="E1474" s="15"/>
      <c r="F1474" s="16" t="n">
        <f aca="false">IF(C1474="",0,IF(COUNTIF(C$5:C1474,C1474)=1,1,0))</f>
        <v>0</v>
      </c>
      <c r="G1474" s="16" t="n">
        <f aca="false">SUM(F$5:F1474)</f>
        <v>8</v>
      </c>
      <c r="H1474" s="16" t="n">
        <f aca="false">IF(B1474="",0,IF(COUNTIF(B$5:B1474,B1474)=1,1,0))</f>
        <v>0</v>
      </c>
      <c r="I1474" s="16" t="n">
        <f aca="false">SUM(H$5:H1474)</f>
        <v>6</v>
      </c>
    </row>
    <row r="1475" customFormat="false" ht="15" hidden="false" customHeight="false" outlineLevel="0" collapsed="false">
      <c r="A1475" s="12"/>
      <c r="B1475" s="13"/>
      <c r="C1475" s="13"/>
      <c r="D1475" s="14"/>
      <c r="E1475" s="15"/>
      <c r="F1475" s="16" t="n">
        <f aca="false">IF(C1475="",0,IF(COUNTIF(C$5:C1475,C1475)=1,1,0))</f>
        <v>0</v>
      </c>
      <c r="G1475" s="16" t="n">
        <f aca="false">SUM(F$5:F1475)</f>
        <v>8</v>
      </c>
      <c r="H1475" s="16" t="n">
        <f aca="false">IF(B1475="",0,IF(COUNTIF(B$5:B1475,B1475)=1,1,0))</f>
        <v>0</v>
      </c>
      <c r="I1475" s="16" t="n">
        <f aca="false">SUM(H$5:H1475)</f>
        <v>6</v>
      </c>
    </row>
    <row r="1476" customFormat="false" ht="15" hidden="false" customHeight="false" outlineLevel="0" collapsed="false">
      <c r="A1476" s="12"/>
      <c r="B1476" s="13"/>
      <c r="C1476" s="13"/>
      <c r="D1476" s="14"/>
      <c r="E1476" s="15"/>
      <c r="F1476" s="16" t="n">
        <f aca="false">IF(C1476="",0,IF(COUNTIF(C$5:C1476,C1476)=1,1,0))</f>
        <v>0</v>
      </c>
      <c r="G1476" s="16" t="n">
        <f aca="false">SUM(F$5:F1476)</f>
        <v>8</v>
      </c>
      <c r="H1476" s="16" t="n">
        <f aca="false">IF(B1476="",0,IF(COUNTIF(B$5:B1476,B1476)=1,1,0))</f>
        <v>0</v>
      </c>
      <c r="I1476" s="16" t="n">
        <f aca="false">SUM(H$5:H1476)</f>
        <v>6</v>
      </c>
    </row>
    <row r="1477" customFormat="false" ht="15" hidden="false" customHeight="false" outlineLevel="0" collapsed="false">
      <c r="A1477" s="12"/>
      <c r="B1477" s="13"/>
      <c r="C1477" s="13"/>
      <c r="D1477" s="14"/>
      <c r="E1477" s="15"/>
      <c r="F1477" s="16" t="n">
        <f aca="false">IF(C1477="",0,IF(COUNTIF(C$5:C1477,C1477)=1,1,0))</f>
        <v>0</v>
      </c>
      <c r="G1477" s="16" t="n">
        <f aca="false">SUM(F$5:F1477)</f>
        <v>8</v>
      </c>
      <c r="H1477" s="16" t="n">
        <f aca="false">IF(B1477="",0,IF(COUNTIF(B$5:B1477,B1477)=1,1,0))</f>
        <v>0</v>
      </c>
      <c r="I1477" s="16" t="n">
        <f aca="false">SUM(H$5:H1477)</f>
        <v>6</v>
      </c>
    </row>
    <row r="1478" customFormat="false" ht="15" hidden="false" customHeight="false" outlineLevel="0" collapsed="false">
      <c r="A1478" s="12"/>
      <c r="B1478" s="13"/>
      <c r="C1478" s="13"/>
      <c r="D1478" s="14"/>
      <c r="E1478" s="15"/>
      <c r="F1478" s="16" t="n">
        <f aca="false">IF(C1478="",0,IF(COUNTIF(C$5:C1478,C1478)=1,1,0))</f>
        <v>0</v>
      </c>
      <c r="G1478" s="16" t="n">
        <f aca="false">SUM(F$5:F1478)</f>
        <v>8</v>
      </c>
      <c r="H1478" s="16" t="n">
        <f aca="false">IF(B1478="",0,IF(COUNTIF(B$5:B1478,B1478)=1,1,0))</f>
        <v>0</v>
      </c>
      <c r="I1478" s="16" t="n">
        <f aca="false">SUM(H$5:H1478)</f>
        <v>6</v>
      </c>
    </row>
    <row r="1479" customFormat="false" ht="15" hidden="false" customHeight="false" outlineLevel="0" collapsed="false">
      <c r="A1479" s="12"/>
      <c r="B1479" s="13"/>
      <c r="C1479" s="13"/>
      <c r="D1479" s="14"/>
      <c r="E1479" s="15"/>
      <c r="F1479" s="16" t="n">
        <f aca="false">IF(C1479="",0,IF(COUNTIF(C$5:C1479,C1479)=1,1,0))</f>
        <v>0</v>
      </c>
      <c r="G1479" s="16" t="n">
        <f aca="false">SUM(F$5:F1479)</f>
        <v>8</v>
      </c>
      <c r="H1479" s="16" t="n">
        <f aca="false">IF(B1479="",0,IF(COUNTIF(B$5:B1479,B1479)=1,1,0))</f>
        <v>0</v>
      </c>
      <c r="I1479" s="16" t="n">
        <f aca="false">SUM(H$5:H1479)</f>
        <v>6</v>
      </c>
    </row>
    <row r="1480" customFormat="false" ht="15" hidden="false" customHeight="false" outlineLevel="0" collapsed="false">
      <c r="A1480" s="12"/>
      <c r="B1480" s="13"/>
      <c r="C1480" s="13"/>
      <c r="D1480" s="14"/>
      <c r="E1480" s="15"/>
      <c r="F1480" s="16" t="n">
        <f aca="false">IF(C1480="",0,IF(COUNTIF(C$5:C1480,C1480)=1,1,0))</f>
        <v>0</v>
      </c>
      <c r="G1480" s="16" t="n">
        <f aca="false">SUM(F$5:F1480)</f>
        <v>8</v>
      </c>
      <c r="H1480" s="16" t="n">
        <f aca="false">IF(B1480="",0,IF(COUNTIF(B$5:B1480,B1480)=1,1,0))</f>
        <v>0</v>
      </c>
      <c r="I1480" s="16" t="n">
        <f aca="false">SUM(H$5:H1480)</f>
        <v>6</v>
      </c>
    </row>
    <row r="1481" customFormat="false" ht="15" hidden="false" customHeight="false" outlineLevel="0" collapsed="false">
      <c r="A1481" s="12"/>
      <c r="B1481" s="13"/>
      <c r="C1481" s="13"/>
      <c r="D1481" s="14"/>
      <c r="E1481" s="15"/>
      <c r="F1481" s="16" t="n">
        <f aca="false">IF(C1481="",0,IF(COUNTIF(C$5:C1481,C1481)=1,1,0))</f>
        <v>0</v>
      </c>
      <c r="G1481" s="16" t="n">
        <f aca="false">SUM(F$5:F1481)</f>
        <v>8</v>
      </c>
      <c r="H1481" s="16" t="n">
        <f aca="false">IF(B1481="",0,IF(COUNTIF(B$5:B1481,B1481)=1,1,0))</f>
        <v>0</v>
      </c>
      <c r="I1481" s="16" t="n">
        <f aca="false">SUM(H$5:H1481)</f>
        <v>6</v>
      </c>
    </row>
    <row r="1482" customFormat="false" ht="15" hidden="false" customHeight="false" outlineLevel="0" collapsed="false">
      <c r="A1482" s="12"/>
      <c r="B1482" s="13"/>
      <c r="C1482" s="13"/>
      <c r="D1482" s="14"/>
      <c r="E1482" s="15"/>
      <c r="F1482" s="16" t="n">
        <f aca="false">IF(C1482="",0,IF(COUNTIF(C$5:C1482,C1482)=1,1,0))</f>
        <v>0</v>
      </c>
      <c r="G1482" s="16" t="n">
        <f aca="false">SUM(F$5:F1482)</f>
        <v>8</v>
      </c>
      <c r="H1482" s="16" t="n">
        <f aca="false">IF(B1482="",0,IF(COUNTIF(B$5:B1482,B1482)=1,1,0))</f>
        <v>0</v>
      </c>
      <c r="I1482" s="16" t="n">
        <f aca="false">SUM(H$5:H1482)</f>
        <v>6</v>
      </c>
    </row>
    <row r="1483" customFormat="false" ht="15" hidden="false" customHeight="false" outlineLevel="0" collapsed="false">
      <c r="A1483" s="12"/>
      <c r="B1483" s="13"/>
      <c r="C1483" s="13"/>
      <c r="D1483" s="14"/>
      <c r="E1483" s="15"/>
      <c r="F1483" s="16" t="n">
        <f aca="false">IF(C1483="",0,IF(COUNTIF(C$5:C1483,C1483)=1,1,0))</f>
        <v>0</v>
      </c>
      <c r="G1483" s="16" t="n">
        <f aca="false">SUM(F$5:F1483)</f>
        <v>8</v>
      </c>
      <c r="H1483" s="16" t="n">
        <f aca="false">IF(B1483="",0,IF(COUNTIF(B$5:B1483,B1483)=1,1,0))</f>
        <v>0</v>
      </c>
      <c r="I1483" s="16" t="n">
        <f aca="false">SUM(H$5:H1483)</f>
        <v>6</v>
      </c>
    </row>
    <row r="1484" customFormat="false" ht="15" hidden="false" customHeight="false" outlineLevel="0" collapsed="false">
      <c r="A1484" s="12"/>
      <c r="B1484" s="13"/>
      <c r="C1484" s="13"/>
      <c r="D1484" s="14"/>
      <c r="E1484" s="15"/>
      <c r="F1484" s="16" t="n">
        <f aca="false">IF(C1484="",0,IF(COUNTIF(C$5:C1484,C1484)=1,1,0))</f>
        <v>0</v>
      </c>
      <c r="G1484" s="16" t="n">
        <f aca="false">SUM(F$5:F1484)</f>
        <v>8</v>
      </c>
      <c r="H1484" s="16" t="n">
        <f aca="false">IF(B1484="",0,IF(COUNTIF(B$5:B1484,B1484)=1,1,0))</f>
        <v>0</v>
      </c>
      <c r="I1484" s="16" t="n">
        <f aca="false">SUM(H$5:H1484)</f>
        <v>6</v>
      </c>
    </row>
    <row r="1485" customFormat="false" ht="15" hidden="false" customHeight="false" outlineLevel="0" collapsed="false">
      <c r="A1485" s="12"/>
      <c r="B1485" s="13"/>
      <c r="C1485" s="13"/>
      <c r="D1485" s="14"/>
      <c r="E1485" s="15"/>
      <c r="F1485" s="16" t="n">
        <f aca="false">IF(C1485="",0,IF(COUNTIF(C$5:C1485,C1485)=1,1,0))</f>
        <v>0</v>
      </c>
      <c r="G1485" s="16" t="n">
        <f aca="false">SUM(F$5:F1485)</f>
        <v>8</v>
      </c>
      <c r="H1485" s="16" t="n">
        <f aca="false">IF(B1485="",0,IF(COUNTIF(B$5:B1485,B1485)=1,1,0))</f>
        <v>0</v>
      </c>
      <c r="I1485" s="16" t="n">
        <f aca="false">SUM(H$5:H1485)</f>
        <v>6</v>
      </c>
    </row>
    <row r="1486" customFormat="false" ht="15" hidden="false" customHeight="false" outlineLevel="0" collapsed="false">
      <c r="A1486" s="12"/>
      <c r="B1486" s="13"/>
      <c r="C1486" s="13"/>
      <c r="D1486" s="14"/>
      <c r="E1486" s="15"/>
      <c r="F1486" s="16" t="n">
        <f aca="false">IF(C1486="",0,IF(COUNTIF(C$5:C1486,C1486)=1,1,0))</f>
        <v>0</v>
      </c>
      <c r="G1486" s="16" t="n">
        <f aca="false">SUM(F$5:F1486)</f>
        <v>8</v>
      </c>
      <c r="H1486" s="16" t="n">
        <f aca="false">IF(B1486="",0,IF(COUNTIF(B$5:B1486,B1486)=1,1,0))</f>
        <v>0</v>
      </c>
      <c r="I1486" s="16" t="n">
        <f aca="false">SUM(H$5:H1486)</f>
        <v>6</v>
      </c>
    </row>
    <row r="1487" customFormat="false" ht="15" hidden="false" customHeight="false" outlineLevel="0" collapsed="false">
      <c r="A1487" s="12"/>
      <c r="B1487" s="13"/>
      <c r="C1487" s="13"/>
      <c r="D1487" s="14"/>
      <c r="E1487" s="15"/>
      <c r="F1487" s="16" t="n">
        <f aca="false">IF(C1487="",0,IF(COUNTIF(C$5:C1487,C1487)=1,1,0))</f>
        <v>0</v>
      </c>
      <c r="G1487" s="16" t="n">
        <f aca="false">SUM(F$5:F1487)</f>
        <v>8</v>
      </c>
      <c r="H1487" s="16" t="n">
        <f aca="false">IF(B1487="",0,IF(COUNTIF(B$5:B1487,B1487)=1,1,0))</f>
        <v>0</v>
      </c>
      <c r="I1487" s="16" t="n">
        <f aca="false">SUM(H$5:H1487)</f>
        <v>6</v>
      </c>
    </row>
    <row r="1488" customFormat="false" ht="15" hidden="false" customHeight="false" outlineLevel="0" collapsed="false">
      <c r="A1488" s="12"/>
      <c r="B1488" s="13"/>
      <c r="C1488" s="13"/>
      <c r="D1488" s="14"/>
      <c r="E1488" s="15"/>
      <c r="F1488" s="16" t="n">
        <f aca="false">IF(C1488="",0,IF(COUNTIF(C$5:C1488,C1488)=1,1,0))</f>
        <v>0</v>
      </c>
      <c r="G1488" s="16" t="n">
        <f aca="false">SUM(F$5:F1488)</f>
        <v>8</v>
      </c>
      <c r="H1488" s="16" t="n">
        <f aca="false">IF(B1488="",0,IF(COUNTIF(B$5:B1488,B1488)=1,1,0))</f>
        <v>0</v>
      </c>
      <c r="I1488" s="16" t="n">
        <f aca="false">SUM(H$5:H1488)</f>
        <v>6</v>
      </c>
    </row>
    <row r="1489" customFormat="false" ht="15" hidden="false" customHeight="false" outlineLevel="0" collapsed="false">
      <c r="A1489" s="12"/>
      <c r="B1489" s="13"/>
      <c r="C1489" s="13"/>
      <c r="D1489" s="14"/>
      <c r="E1489" s="15"/>
      <c r="F1489" s="16" t="n">
        <f aca="false">IF(C1489="",0,IF(COUNTIF(C$5:C1489,C1489)=1,1,0))</f>
        <v>0</v>
      </c>
      <c r="G1489" s="16" t="n">
        <f aca="false">SUM(F$5:F1489)</f>
        <v>8</v>
      </c>
      <c r="H1489" s="16" t="n">
        <f aca="false">IF(B1489="",0,IF(COUNTIF(B$5:B1489,B1489)=1,1,0))</f>
        <v>0</v>
      </c>
      <c r="I1489" s="16" t="n">
        <f aca="false">SUM(H$5:H1489)</f>
        <v>6</v>
      </c>
    </row>
    <row r="1490" customFormat="false" ht="15" hidden="false" customHeight="false" outlineLevel="0" collapsed="false">
      <c r="A1490" s="12"/>
      <c r="B1490" s="13"/>
      <c r="C1490" s="13"/>
      <c r="D1490" s="14"/>
      <c r="E1490" s="15"/>
      <c r="F1490" s="16" t="n">
        <f aca="false">IF(C1490="",0,IF(COUNTIF(C$5:C1490,C1490)=1,1,0))</f>
        <v>0</v>
      </c>
      <c r="G1490" s="16" t="n">
        <f aca="false">SUM(F$5:F1490)</f>
        <v>8</v>
      </c>
      <c r="H1490" s="16" t="n">
        <f aca="false">IF(B1490="",0,IF(COUNTIF(B$5:B1490,B1490)=1,1,0))</f>
        <v>0</v>
      </c>
      <c r="I1490" s="16" t="n">
        <f aca="false">SUM(H$5:H1490)</f>
        <v>6</v>
      </c>
    </row>
    <row r="1491" customFormat="false" ht="15" hidden="false" customHeight="false" outlineLevel="0" collapsed="false">
      <c r="A1491" s="12"/>
      <c r="B1491" s="13"/>
      <c r="C1491" s="13"/>
      <c r="D1491" s="14"/>
      <c r="E1491" s="15"/>
      <c r="F1491" s="16" t="n">
        <f aca="false">IF(C1491="",0,IF(COUNTIF(C$5:C1491,C1491)=1,1,0))</f>
        <v>0</v>
      </c>
      <c r="G1491" s="16" t="n">
        <f aca="false">SUM(F$5:F1491)</f>
        <v>8</v>
      </c>
      <c r="H1491" s="16" t="n">
        <f aca="false">IF(B1491="",0,IF(COUNTIF(B$5:B1491,B1491)=1,1,0))</f>
        <v>0</v>
      </c>
      <c r="I1491" s="16" t="n">
        <f aca="false">SUM(H$5:H1491)</f>
        <v>6</v>
      </c>
    </row>
    <row r="1492" customFormat="false" ht="15" hidden="false" customHeight="false" outlineLevel="0" collapsed="false">
      <c r="A1492" s="12"/>
      <c r="B1492" s="13"/>
      <c r="C1492" s="13"/>
      <c r="D1492" s="14"/>
      <c r="E1492" s="15"/>
      <c r="F1492" s="16" t="n">
        <f aca="false">IF(C1492="",0,IF(COUNTIF(C$5:C1492,C1492)=1,1,0))</f>
        <v>0</v>
      </c>
      <c r="G1492" s="16" t="n">
        <f aca="false">SUM(F$5:F1492)</f>
        <v>8</v>
      </c>
      <c r="H1492" s="16" t="n">
        <f aca="false">IF(B1492="",0,IF(COUNTIF(B$5:B1492,B1492)=1,1,0))</f>
        <v>0</v>
      </c>
      <c r="I1492" s="16" t="n">
        <f aca="false">SUM(H$5:H1492)</f>
        <v>6</v>
      </c>
    </row>
    <row r="1493" customFormat="false" ht="15" hidden="false" customHeight="false" outlineLevel="0" collapsed="false">
      <c r="A1493" s="12"/>
      <c r="B1493" s="13"/>
      <c r="C1493" s="13"/>
      <c r="D1493" s="14"/>
      <c r="E1493" s="15"/>
      <c r="F1493" s="16" t="n">
        <f aca="false">IF(C1493="",0,IF(COUNTIF(C$5:C1493,C1493)=1,1,0))</f>
        <v>0</v>
      </c>
      <c r="G1493" s="16" t="n">
        <f aca="false">SUM(F$5:F1493)</f>
        <v>8</v>
      </c>
      <c r="H1493" s="16" t="n">
        <f aca="false">IF(B1493="",0,IF(COUNTIF(B$5:B1493,B1493)=1,1,0))</f>
        <v>0</v>
      </c>
      <c r="I1493" s="16" t="n">
        <f aca="false">SUM(H$5:H1493)</f>
        <v>6</v>
      </c>
    </row>
    <row r="1494" customFormat="false" ht="15" hidden="false" customHeight="false" outlineLevel="0" collapsed="false">
      <c r="A1494" s="12"/>
      <c r="B1494" s="13"/>
      <c r="C1494" s="13"/>
      <c r="D1494" s="14"/>
      <c r="E1494" s="15"/>
      <c r="F1494" s="16" t="n">
        <f aca="false">IF(C1494="",0,IF(COUNTIF(C$5:C1494,C1494)=1,1,0))</f>
        <v>0</v>
      </c>
      <c r="G1494" s="16" t="n">
        <f aca="false">SUM(F$5:F1494)</f>
        <v>8</v>
      </c>
      <c r="H1494" s="16" t="n">
        <f aca="false">IF(B1494="",0,IF(COUNTIF(B$5:B1494,B1494)=1,1,0))</f>
        <v>0</v>
      </c>
      <c r="I1494" s="16" t="n">
        <f aca="false">SUM(H$5:H1494)</f>
        <v>6</v>
      </c>
    </row>
    <row r="1495" customFormat="false" ht="15" hidden="false" customHeight="false" outlineLevel="0" collapsed="false">
      <c r="A1495" s="12"/>
      <c r="B1495" s="13"/>
      <c r="C1495" s="13"/>
      <c r="D1495" s="14"/>
      <c r="E1495" s="15"/>
      <c r="F1495" s="16" t="n">
        <f aca="false">IF(C1495="",0,IF(COUNTIF(C$5:C1495,C1495)=1,1,0))</f>
        <v>0</v>
      </c>
      <c r="G1495" s="16" t="n">
        <f aca="false">SUM(F$5:F1495)</f>
        <v>8</v>
      </c>
      <c r="H1495" s="16" t="n">
        <f aca="false">IF(B1495="",0,IF(COUNTIF(B$5:B1495,B1495)=1,1,0))</f>
        <v>0</v>
      </c>
      <c r="I1495" s="16" t="n">
        <f aca="false">SUM(H$5:H1495)</f>
        <v>6</v>
      </c>
    </row>
    <row r="1496" customFormat="false" ht="15" hidden="false" customHeight="false" outlineLevel="0" collapsed="false">
      <c r="A1496" s="12"/>
      <c r="B1496" s="13"/>
      <c r="C1496" s="13"/>
      <c r="D1496" s="14"/>
      <c r="E1496" s="15"/>
      <c r="F1496" s="16" t="n">
        <f aca="false">IF(C1496="",0,IF(COUNTIF(C$5:C1496,C1496)=1,1,0))</f>
        <v>0</v>
      </c>
      <c r="G1496" s="16" t="n">
        <f aca="false">SUM(F$5:F1496)</f>
        <v>8</v>
      </c>
      <c r="H1496" s="16" t="n">
        <f aca="false">IF(B1496="",0,IF(COUNTIF(B$5:B1496,B1496)=1,1,0))</f>
        <v>0</v>
      </c>
      <c r="I1496" s="16" t="n">
        <f aca="false">SUM(H$5:H1496)</f>
        <v>6</v>
      </c>
    </row>
    <row r="1497" customFormat="false" ht="15" hidden="false" customHeight="false" outlineLevel="0" collapsed="false">
      <c r="A1497" s="12"/>
      <c r="B1497" s="13"/>
      <c r="C1497" s="13"/>
      <c r="D1497" s="14"/>
      <c r="E1497" s="15"/>
      <c r="F1497" s="16" t="n">
        <f aca="false">IF(C1497="",0,IF(COUNTIF(C$5:C1497,C1497)=1,1,0))</f>
        <v>0</v>
      </c>
      <c r="G1497" s="16" t="n">
        <f aca="false">SUM(F$5:F1497)</f>
        <v>8</v>
      </c>
      <c r="H1497" s="16" t="n">
        <f aca="false">IF(B1497="",0,IF(COUNTIF(B$5:B1497,B1497)=1,1,0))</f>
        <v>0</v>
      </c>
      <c r="I1497" s="16" t="n">
        <f aca="false">SUM(H$5:H1497)</f>
        <v>6</v>
      </c>
    </row>
    <row r="1498" customFormat="false" ht="15" hidden="false" customHeight="false" outlineLevel="0" collapsed="false">
      <c r="A1498" s="12"/>
      <c r="B1498" s="13"/>
      <c r="C1498" s="13"/>
      <c r="D1498" s="14"/>
      <c r="E1498" s="15"/>
      <c r="F1498" s="16" t="n">
        <f aca="false">IF(C1498="",0,IF(COUNTIF(C$5:C1498,C1498)=1,1,0))</f>
        <v>0</v>
      </c>
      <c r="G1498" s="16" t="n">
        <f aca="false">SUM(F$5:F1498)</f>
        <v>8</v>
      </c>
      <c r="H1498" s="16" t="n">
        <f aca="false">IF(B1498="",0,IF(COUNTIF(B$5:B1498,B1498)=1,1,0))</f>
        <v>0</v>
      </c>
      <c r="I1498" s="16" t="n">
        <f aca="false">SUM(H$5:H1498)</f>
        <v>6</v>
      </c>
    </row>
    <row r="1499" customFormat="false" ht="15" hidden="false" customHeight="false" outlineLevel="0" collapsed="false">
      <c r="A1499" s="12"/>
      <c r="B1499" s="13"/>
      <c r="C1499" s="13"/>
      <c r="D1499" s="14"/>
      <c r="E1499" s="15"/>
      <c r="F1499" s="16" t="n">
        <f aca="false">IF(C1499="",0,IF(COUNTIF(C$5:C1499,C1499)=1,1,0))</f>
        <v>0</v>
      </c>
      <c r="G1499" s="16" t="n">
        <f aca="false">SUM(F$5:F1499)</f>
        <v>8</v>
      </c>
      <c r="H1499" s="16" t="n">
        <f aca="false">IF(B1499="",0,IF(COUNTIF(B$5:B1499,B1499)=1,1,0))</f>
        <v>0</v>
      </c>
      <c r="I1499" s="16" t="n">
        <f aca="false">SUM(H$5:H1499)</f>
        <v>6</v>
      </c>
    </row>
    <row r="1500" customFormat="false" ht="15" hidden="false" customHeight="false" outlineLevel="0" collapsed="false">
      <c r="A1500" s="12"/>
      <c r="B1500" s="13"/>
      <c r="C1500" s="13"/>
      <c r="D1500" s="14"/>
      <c r="E1500" s="15"/>
      <c r="F1500" s="16" t="n">
        <f aca="false">IF(C1500="",0,IF(COUNTIF(C$5:C1500,C1500)=1,1,0))</f>
        <v>0</v>
      </c>
      <c r="G1500" s="16" t="n">
        <f aca="false">SUM(F$5:F1500)</f>
        <v>8</v>
      </c>
      <c r="H1500" s="16" t="n">
        <f aca="false">IF(B1500="",0,IF(COUNTIF(B$5:B1500,B1500)=1,1,0))</f>
        <v>0</v>
      </c>
      <c r="I1500" s="16" t="n">
        <f aca="false">SUM(H$5:H1500)</f>
        <v>6</v>
      </c>
    </row>
    <row r="1501" customFormat="false" ht="15" hidden="false" customHeight="false" outlineLevel="0" collapsed="false">
      <c r="A1501" s="12"/>
      <c r="B1501" s="13"/>
      <c r="C1501" s="13"/>
      <c r="D1501" s="14"/>
      <c r="E1501" s="15"/>
      <c r="F1501" s="16" t="n">
        <f aca="false">IF(C1501="",0,IF(COUNTIF(C$5:C1501,C1501)=1,1,0))</f>
        <v>0</v>
      </c>
      <c r="G1501" s="16" t="n">
        <f aca="false">SUM(F$5:F1501)</f>
        <v>8</v>
      </c>
      <c r="H1501" s="16" t="n">
        <f aca="false">IF(B1501="",0,IF(COUNTIF(B$5:B1501,B1501)=1,1,0))</f>
        <v>0</v>
      </c>
      <c r="I1501" s="16" t="n">
        <f aca="false">SUM(H$5:H1501)</f>
        <v>6</v>
      </c>
    </row>
    <row r="1502" customFormat="false" ht="15" hidden="false" customHeight="false" outlineLevel="0" collapsed="false">
      <c r="A1502" s="12"/>
      <c r="B1502" s="13"/>
      <c r="C1502" s="13"/>
      <c r="D1502" s="14"/>
      <c r="E1502" s="15"/>
      <c r="F1502" s="16" t="n">
        <f aca="false">IF(C1502="",0,IF(COUNTIF(C$5:C1502,C1502)=1,1,0))</f>
        <v>0</v>
      </c>
      <c r="G1502" s="16" t="n">
        <f aca="false">SUM(F$5:F1502)</f>
        <v>8</v>
      </c>
      <c r="H1502" s="16" t="n">
        <f aca="false">IF(B1502="",0,IF(COUNTIF(B$5:B1502,B1502)=1,1,0))</f>
        <v>0</v>
      </c>
      <c r="I1502" s="16" t="n">
        <f aca="false">SUM(H$5:H1502)</f>
        <v>6</v>
      </c>
    </row>
    <row r="1503" customFormat="false" ht="15" hidden="false" customHeight="false" outlineLevel="0" collapsed="false">
      <c r="A1503" s="12"/>
      <c r="B1503" s="13"/>
      <c r="C1503" s="13"/>
      <c r="D1503" s="14"/>
      <c r="E1503" s="15"/>
      <c r="F1503" s="16" t="n">
        <f aca="false">IF(C1503="",0,IF(COUNTIF(C$5:C1503,C1503)=1,1,0))</f>
        <v>0</v>
      </c>
      <c r="G1503" s="16" t="n">
        <f aca="false">SUM(F$5:F1503)</f>
        <v>8</v>
      </c>
      <c r="H1503" s="16" t="n">
        <f aca="false">IF(B1503="",0,IF(COUNTIF(B$5:B1503,B1503)=1,1,0))</f>
        <v>0</v>
      </c>
      <c r="I1503" s="16" t="n">
        <f aca="false">SUM(H$5:H1503)</f>
        <v>6</v>
      </c>
    </row>
    <row r="1504" customFormat="false" ht="15" hidden="false" customHeight="false" outlineLevel="0" collapsed="false">
      <c r="A1504" s="12"/>
      <c r="B1504" s="13"/>
      <c r="C1504" s="13"/>
      <c r="D1504" s="14"/>
      <c r="E1504" s="15"/>
      <c r="F1504" s="16" t="n">
        <f aca="false">IF(C1504="",0,IF(COUNTIF(C$5:C1504,C1504)=1,1,0))</f>
        <v>0</v>
      </c>
      <c r="G1504" s="16" t="n">
        <f aca="false">SUM(F$5:F1504)</f>
        <v>8</v>
      </c>
      <c r="H1504" s="16" t="n">
        <f aca="false">IF(B1504="",0,IF(COUNTIF(B$5:B1504,B1504)=1,1,0))</f>
        <v>0</v>
      </c>
      <c r="I1504" s="16" t="n">
        <f aca="false">SUM(H$5:H1504)</f>
        <v>6</v>
      </c>
    </row>
    <row r="1505" customFormat="false" ht="15" hidden="false" customHeight="false" outlineLevel="0" collapsed="false">
      <c r="A1505" s="12"/>
      <c r="B1505" s="13"/>
      <c r="C1505" s="13"/>
      <c r="D1505" s="14"/>
      <c r="E1505" s="15"/>
      <c r="F1505" s="16" t="n">
        <f aca="false">IF(C1505="",0,IF(COUNTIF(C$5:C1505,C1505)=1,1,0))</f>
        <v>0</v>
      </c>
      <c r="G1505" s="16" t="n">
        <f aca="false">SUM(F$5:F1505)</f>
        <v>8</v>
      </c>
      <c r="H1505" s="16" t="n">
        <f aca="false">IF(B1505="",0,IF(COUNTIF(B$5:B1505,B1505)=1,1,0))</f>
        <v>0</v>
      </c>
      <c r="I1505" s="16" t="n">
        <f aca="false">SUM(H$5:H1505)</f>
        <v>6</v>
      </c>
    </row>
    <row r="1506" customFormat="false" ht="15" hidden="false" customHeight="false" outlineLevel="0" collapsed="false">
      <c r="A1506" s="12"/>
      <c r="B1506" s="13"/>
      <c r="C1506" s="13"/>
      <c r="D1506" s="14"/>
      <c r="E1506" s="15"/>
      <c r="F1506" s="16" t="n">
        <f aca="false">IF(C1506="",0,IF(COUNTIF(C$5:C1506,C1506)=1,1,0))</f>
        <v>0</v>
      </c>
      <c r="G1506" s="16" t="n">
        <f aca="false">SUM(F$5:F1506)</f>
        <v>8</v>
      </c>
      <c r="H1506" s="16" t="n">
        <f aca="false">IF(B1506="",0,IF(COUNTIF(B$5:B1506,B1506)=1,1,0))</f>
        <v>0</v>
      </c>
      <c r="I1506" s="16" t="n">
        <f aca="false">SUM(H$5:H1506)</f>
        <v>6</v>
      </c>
    </row>
    <row r="1507" customFormat="false" ht="15" hidden="false" customHeight="false" outlineLevel="0" collapsed="false">
      <c r="A1507" s="12"/>
      <c r="B1507" s="13"/>
      <c r="C1507" s="13"/>
      <c r="D1507" s="14"/>
      <c r="E1507" s="15"/>
      <c r="F1507" s="16" t="n">
        <f aca="false">IF(C1507="",0,IF(COUNTIF(C$5:C1507,C1507)=1,1,0))</f>
        <v>0</v>
      </c>
      <c r="G1507" s="16" t="n">
        <f aca="false">SUM(F$5:F1507)</f>
        <v>8</v>
      </c>
      <c r="H1507" s="16" t="n">
        <f aca="false">IF(B1507="",0,IF(COUNTIF(B$5:B1507,B1507)=1,1,0))</f>
        <v>0</v>
      </c>
      <c r="I1507" s="16" t="n">
        <f aca="false">SUM(H$5:H1507)</f>
        <v>6</v>
      </c>
    </row>
    <row r="1508" customFormat="false" ht="15" hidden="false" customHeight="false" outlineLevel="0" collapsed="false">
      <c r="A1508" s="12"/>
      <c r="B1508" s="13"/>
      <c r="C1508" s="13"/>
      <c r="D1508" s="14"/>
      <c r="E1508" s="15"/>
      <c r="F1508" s="16" t="n">
        <f aca="false">IF(C1508="",0,IF(COUNTIF(C$5:C1508,C1508)=1,1,0))</f>
        <v>0</v>
      </c>
      <c r="G1508" s="16" t="n">
        <f aca="false">SUM(F$5:F1508)</f>
        <v>8</v>
      </c>
      <c r="H1508" s="16" t="n">
        <f aca="false">IF(B1508="",0,IF(COUNTIF(B$5:B1508,B1508)=1,1,0))</f>
        <v>0</v>
      </c>
      <c r="I1508" s="16" t="n">
        <f aca="false">SUM(H$5:H1508)</f>
        <v>6</v>
      </c>
    </row>
    <row r="1509" customFormat="false" ht="15" hidden="false" customHeight="false" outlineLevel="0" collapsed="false">
      <c r="A1509" s="12"/>
      <c r="B1509" s="13"/>
      <c r="C1509" s="13"/>
      <c r="D1509" s="14"/>
      <c r="E1509" s="15"/>
      <c r="F1509" s="16" t="n">
        <f aca="false">IF(C1509="",0,IF(COUNTIF(C$5:C1509,C1509)=1,1,0))</f>
        <v>0</v>
      </c>
      <c r="G1509" s="16" t="n">
        <f aca="false">SUM(F$5:F1509)</f>
        <v>8</v>
      </c>
      <c r="H1509" s="16" t="n">
        <f aca="false">IF(B1509="",0,IF(COUNTIF(B$5:B1509,B1509)=1,1,0))</f>
        <v>0</v>
      </c>
      <c r="I1509" s="16" t="n">
        <f aca="false">SUM(H$5:H1509)</f>
        <v>6</v>
      </c>
    </row>
    <row r="1510" customFormat="false" ht="15" hidden="false" customHeight="false" outlineLevel="0" collapsed="false">
      <c r="A1510" s="12"/>
      <c r="B1510" s="13"/>
      <c r="C1510" s="13"/>
      <c r="D1510" s="14"/>
      <c r="E1510" s="15"/>
      <c r="F1510" s="16" t="n">
        <f aca="false">IF(C1510="",0,IF(COUNTIF(C$5:C1510,C1510)=1,1,0))</f>
        <v>0</v>
      </c>
      <c r="G1510" s="16" t="n">
        <f aca="false">SUM(F$5:F1510)</f>
        <v>8</v>
      </c>
      <c r="H1510" s="16" t="n">
        <f aca="false">IF(B1510="",0,IF(COUNTIF(B$5:B1510,B1510)=1,1,0))</f>
        <v>0</v>
      </c>
      <c r="I1510" s="16" t="n">
        <f aca="false">SUM(H$5:H1510)</f>
        <v>6</v>
      </c>
    </row>
    <row r="1511" customFormat="false" ht="15" hidden="false" customHeight="false" outlineLevel="0" collapsed="false">
      <c r="A1511" s="12"/>
      <c r="B1511" s="13"/>
      <c r="C1511" s="13"/>
      <c r="D1511" s="14"/>
      <c r="E1511" s="15"/>
      <c r="F1511" s="16" t="n">
        <f aca="false">IF(C1511="",0,IF(COUNTIF(C$5:C1511,C1511)=1,1,0))</f>
        <v>0</v>
      </c>
      <c r="G1511" s="16" t="n">
        <f aca="false">SUM(F$5:F1511)</f>
        <v>8</v>
      </c>
      <c r="H1511" s="16" t="n">
        <f aca="false">IF(B1511="",0,IF(COUNTIF(B$5:B1511,B1511)=1,1,0))</f>
        <v>0</v>
      </c>
      <c r="I1511" s="16" t="n">
        <f aca="false">SUM(H$5:H1511)</f>
        <v>6</v>
      </c>
    </row>
    <row r="1512" customFormat="false" ht="15" hidden="false" customHeight="false" outlineLevel="0" collapsed="false">
      <c r="A1512" s="12"/>
      <c r="B1512" s="13"/>
      <c r="C1512" s="13"/>
      <c r="D1512" s="14"/>
      <c r="E1512" s="15"/>
      <c r="F1512" s="16" t="n">
        <f aca="false">IF(C1512="",0,IF(COUNTIF(C$5:C1512,C1512)=1,1,0))</f>
        <v>0</v>
      </c>
      <c r="G1512" s="16" t="n">
        <f aca="false">SUM(F$5:F1512)</f>
        <v>8</v>
      </c>
      <c r="H1512" s="16" t="n">
        <f aca="false">IF(B1512="",0,IF(COUNTIF(B$5:B1512,B1512)=1,1,0))</f>
        <v>0</v>
      </c>
      <c r="I1512" s="16" t="n">
        <f aca="false">SUM(H$5:H1512)</f>
        <v>6</v>
      </c>
    </row>
    <row r="1513" customFormat="false" ht="15" hidden="false" customHeight="false" outlineLevel="0" collapsed="false">
      <c r="A1513" s="12"/>
      <c r="B1513" s="13"/>
      <c r="C1513" s="13"/>
      <c r="D1513" s="14"/>
      <c r="E1513" s="15"/>
      <c r="F1513" s="16" t="n">
        <f aca="false">IF(C1513="",0,IF(COUNTIF(C$5:C1513,C1513)=1,1,0))</f>
        <v>0</v>
      </c>
      <c r="G1513" s="16" t="n">
        <f aca="false">SUM(F$5:F1513)</f>
        <v>8</v>
      </c>
      <c r="H1513" s="16" t="n">
        <f aca="false">IF(B1513="",0,IF(COUNTIF(B$5:B1513,B1513)=1,1,0))</f>
        <v>0</v>
      </c>
      <c r="I1513" s="16" t="n">
        <f aca="false">SUM(H$5:H1513)</f>
        <v>6</v>
      </c>
    </row>
    <row r="1514" customFormat="false" ht="15" hidden="false" customHeight="false" outlineLevel="0" collapsed="false">
      <c r="A1514" s="12"/>
      <c r="B1514" s="13"/>
      <c r="C1514" s="13"/>
      <c r="D1514" s="14"/>
      <c r="E1514" s="15"/>
      <c r="F1514" s="16" t="n">
        <f aca="false">IF(C1514="",0,IF(COUNTIF(C$5:C1514,C1514)=1,1,0))</f>
        <v>0</v>
      </c>
      <c r="G1514" s="16" t="n">
        <f aca="false">SUM(F$5:F1514)</f>
        <v>8</v>
      </c>
      <c r="H1514" s="16" t="n">
        <f aca="false">IF(B1514="",0,IF(COUNTIF(B$5:B1514,B1514)=1,1,0))</f>
        <v>0</v>
      </c>
      <c r="I1514" s="16" t="n">
        <f aca="false">SUM(H$5:H1514)</f>
        <v>6</v>
      </c>
    </row>
    <row r="1515" customFormat="false" ht="15" hidden="false" customHeight="false" outlineLevel="0" collapsed="false">
      <c r="A1515" s="12"/>
      <c r="B1515" s="13"/>
      <c r="C1515" s="13"/>
      <c r="D1515" s="14"/>
      <c r="E1515" s="15"/>
      <c r="F1515" s="16" t="n">
        <f aca="false">IF(C1515="",0,IF(COUNTIF(C$5:C1515,C1515)=1,1,0))</f>
        <v>0</v>
      </c>
      <c r="G1515" s="16" t="n">
        <f aca="false">SUM(F$5:F1515)</f>
        <v>8</v>
      </c>
      <c r="H1515" s="16" t="n">
        <f aca="false">IF(B1515="",0,IF(COUNTIF(B$5:B1515,B1515)=1,1,0))</f>
        <v>0</v>
      </c>
      <c r="I1515" s="16" t="n">
        <f aca="false">SUM(H$5:H1515)</f>
        <v>6</v>
      </c>
    </row>
    <row r="1516" customFormat="false" ht="15" hidden="false" customHeight="false" outlineLevel="0" collapsed="false">
      <c r="A1516" s="12"/>
      <c r="B1516" s="13"/>
      <c r="C1516" s="13"/>
      <c r="D1516" s="14"/>
      <c r="E1516" s="15"/>
      <c r="F1516" s="16" t="n">
        <f aca="false">IF(C1516="",0,IF(COUNTIF(C$5:C1516,C1516)=1,1,0))</f>
        <v>0</v>
      </c>
      <c r="G1516" s="16" t="n">
        <f aca="false">SUM(F$5:F1516)</f>
        <v>8</v>
      </c>
      <c r="H1516" s="16" t="n">
        <f aca="false">IF(B1516="",0,IF(COUNTIF(B$5:B1516,B1516)=1,1,0))</f>
        <v>0</v>
      </c>
      <c r="I1516" s="16" t="n">
        <f aca="false">SUM(H$5:H1516)</f>
        <v>6</v>
      </c>
    </row>
    <row r="1517" customFormat="false" ht="15" hidden="false" customHeight="false" outlineLevel="0" collapsed="false">
      <c r="A1517" s="12"/>
      <c r="B1517" s="13"/>
      <c r="C1517" s="13"/>
      <c r="D1517" s="14"/>
      <c r="E1517" s="15"/>
      <c r="F1517" s="16" t="n">
        <f aca="false">IF(C1517="",0,IF(COUNTIF(C$5:C1517,C1517)=1,1,0))</f>
        <v>0</v>
      </c>
      <c r="G1517" s="16" t="n">
        <f aca="false">SUM(F$5:F1517)</f>
        <v>8</v>
      </c>
      <c r="H1517" s="16" t="n">
        <f aca="false">IF(B1517="",0,IF(COUNTIF(B$5:B1517,B1517)=1,1,0))</f>
        <v>0</v>
      </c>
      <c r="I1517" s="16" t="n">
        <f aca="false">SUM(H$5:H1517)</f>
        <v>6</v>
      </c>
    </row>
    <row r="1518" customFormat="false" ht="15" hidden="false" customHeight="false" outlineLevel="0" collapsed="false">
      <c r="A1518" s="12"/>
      <c r="B1518" s="13"/>
      <c r="C1518" s="13"/>
      <c r="D1518" s="14"/>
      <c r="E1518" s="15"/>
      <c r="F1518" s="16" t="n">
        <f aca="false">IF(C1518="",0,IF(COUNTIF(C$5:C1518,C1518)=1,1,0))</f>
        <v>0</v>
      </c>
      <c r="G1518" s="16" t="n">
        <f aca="false">SUM(F$5:F1518)</f>
        <v>8</v>
      </c>
      <c r="H1518" s="16" t="n">
        <f aca="false">IF(B1518="",0,IF(COUNTIF(B$5:B1518,B1518)=1,1,0))</f>
        <v>0</v>
      </c>
      <c r="I1518" s="16" t="n">
        <f aca="false">SUM(H$5:H1518)</f>
        <v>6</v>
      </c>
    </row>
    <row r="1519" customFormat="false" ht="15" hidden="false" customHeight="false" outlineLevel="0" collapsed="false">
      <c r="A1519" s="12"/>
      <c r="B1519" s="13"/>
      <c r="C1519" s="13"/>
      <c r="D1519" s="14"/>
      <c r="E1519" s="15"/>
      <c r="F1519" s="16" t="n">
        <f aca="false">IF(C1519="",0,IF(COUNTIF(C$5:C1519,C1519)=1,1,0))</f>
        <v>0</v>
      </c>
      <c r="G1519" s="16" t="n">
        <f aca="false">SUM(F$5:F1519)</f>
        <v>8</v>
      </c>
      <c r="H1519" s="16" t="n">
        <f aca="false">IF(B1519="",0,IF(COUNTIF(B$5:B1519,B1519)=1,1,0))</f>
        <v>0</v>
      </c>
      <c r="I1519" s="16" t="n">
        <f aca="false">SUM(H$5:H1519)</f>
        <v>6</v>
      </c>
    </row>
    <row r="1520" customFormat="false" ht="15" hidden="false" customHeight="false" outlineLevel="0" collapsed="false">
      <c r="A1520" s="12"/>
      <c r="B1520" s="13"/>
      <c r="C1520" s="13"/>
      <c r="D1520" s="14"/>
      <c r="E1520" s="15"/>
      <c r="F1520" s="16" t="n">
        <f aca="false">IF(C1520="",0,IF(COUNTIF(C$5:C1520,C1520)=1,1,0))</f>
        <v>0</v>
      </c>
      <c r="G1520" s="16" t="n">
        <f aca="false">SUM(F$5:F1520)</f>
        <v>8</v>
      </c>
      <c r="H1520" s="16" t="n">
        <f aca="false">IF(B1520="",0,IF(COUNTIF(B$5:B1520,B1520)=1,1,0))</f>
        <v>0</v>
      </c>
      <c r="I1520" s="16" t="n">
        <f aca="false">SUM(H$5:H1520)</f>
        <v>6</v>
      </c>
    </row>
    <row r="1521" customFormat="false" ht="15" hidden="false" customHeight="false" outlineLevel="0" collapsed="false">
      <c r="A1521" s="12"/>
      <c r="B1521" s="13"/>
      <c r="C1521" s="13"/>
      <c r="D1521" s="14"/>
      <c r="E1521" s="15"/>
      <c r="F1521" s="16" t="n">
        <f aca="false">IF(C1521="",0,IF(COUNTIF(C$5:C1521,C1521)=1,1,0))</f>
        <v>0</v>
      </c>
      <c r="G1521" s="16" t="n">
        <f aca="false">SUM(F$5:F1521)</f>
        <v>8</v>
      </c>
      <c r="H1521" s="16" t="n">
        <f aca="false">IF(B1521="",0,IF(COUNTIF(B$5:B1521,B1521)=1,1,0))</f>
        <v>0</v>
      </c>
      <c r="I1521" s="16" t="n">
        <f aca="false">SUM(H$5:H1521)</f>
        <v>6</v>
      </c>
    </row>
    <row r="1522" customFormat="false" ht="15" hidden="false" customHeight="false" outlineLevel="0" collapsed="false">
      <c r="A1522" s="12"/>
      <c r="B1522" s="13"/>
      <c r="C1522" s="13"/>
      <c r="D1522" s="14"/>
      <c r="E1522" s="15"/>
      <c r="F1522" s="16" t="n">
        <f aca="false">IF(C1522="",0,IF(COUNTIF(C$5:C1522,C1522)=1,1,0))</f>
        <v>0</v>
      </c>
      <c r="G1522" s="16" t="n">
        <f aca="false">SUM(F$5:F1522)</f>
        <v>8</v>
      </c>
      <c r="H1522" s="16" t="n">
        <f aca="false">IF(B1522="",0,IF(COUNTIF(B$5:B1522,B1522)=1,1,0))</f>
        <v>0</v>
      </c>
      <c r="I1522" s="16" t="n">
        <f aca="false">SUM(H$5:H1522)</f>
        <v>6</v>
      </c>
    </row>
    <row r="1523" customFormat="false" ht="15" hidden="false" customHeight="false" outlineLevel="0" collapsed="false">
      <c r="A1523" s="12"/>
      <c r="B1523" s="13"/>
      <c r="C1523" s="13"/>
      <c r="D1523" s="14"/>
      <c r="E1523" s="15"/>
      <c r="F1523" s="16" t="n">
        <f aca="false">IF(C1523="",0,IF(COUNTIF(C$5:C1523,C1523)=1,1,0))</f>
        <v>0</v>
      </c>
      <c r="G1523" s="16" t="n">
        <f aca="false">SUM(F$5:F1523)</f>
        <v>8</v>
      </c>
      <c r="H1523" s="16" t="n">
        <f aca="false">IF(B1523="",0,IF(COUNTIF(B$5:B1523,B1523)=1,1,0))</f>
        <v>0</v>
      </c>
      <c r="I1523" s="16" t="n">
        <f aca="false">SUM(H$5:H1523)</f>
        <v>6</v>
      </c>
    </row>
    <row r="1524" customFormat="false" ht="15" hidden="false" customHeight="false" outlineLevel="0" collapsed="false">
      <c r="A1524" s="12"/>
      <c r="B1524" s="13"/>
      <c r="C1524" s="13"/>
      <c r="D1524" s="14"/>
      <c r="E1524" s="15"/>
      <c r="F1524" s="16" t="n">
        <f aca="false">IF(C1524="",0,IF(COUNTIF(C$5:C1524,C1524)=1,1,0))</f>
        <v>0</v>
      </c>
      <c r="G1524" s="16" t="n">
        <f aca="false">SUM(F$5:F1524)</f>
        <v>8</v>
      </c>
      <c r="H1524" s="16" t="n">
        <f aca="false">IF(B1524="",0,IF(COUNTIF(B$5:B1524,B1524)=1,1,0))</f>
        <v>0</v>
      </c>
      <c r="I1524" s="16" t="n">
        <f aca="false">SUM(H$5:H1524)</f>
        <v>6</v>
      </c>
    </row>
    <row r="1525" customFormat="false" ht="15" hidden="false" customHeight="false" outlineLevel="0" collapsed="false">
      <c r="A1525" s="12"/>
      <c r="B1525" s="13"/>
      <c r="C1525" s="13"/>
      <c r="D1525" s="14"/>
      <c r="E1525" s="15"/>
      <c r="F1525" s="16" t="n">
        <f aca="false">IF(C1525="",0,IF(COUNTIF(C$5:C1525,C1525)=1,1,0))</f>
        <v>0</v>
      </c>
      <c r="G1525" s="16" t="n">
        <f aca="false">SUM(F$5:F1525)</f>
        <v>8</v>
      </c>
      <c r="H1525" s="16" t="n">
        <f aca="false">IF(B1525="",0,IF(COUNTIF(B$5:B1525,B1525)=1,1,0))</f>
        <v>0</v>
      </c>
      <c r="I1525" s="16" t="n">
        <f aca="false">SUM(H$5:H1525)</f>
        <v>6</v>
      </c>
    </row>
    <row r="1526" customFormat="false" ht="15" hidden="false" customHeight="false" outlineLevel="0" collapsed="false">
      <c r="A1526" s="12"/>
      <c r="B1526" s="13"/>
      <c r="C1526" s="13"/>
      <c r="D1526" s="14"/>
      <c r="E1526" s="15"/>
      <c r="F1526" s="16" t="n">
        <f aca="false">IF(C1526="",0,IF(COUNTIF(C$5:C1526,C1526)=1,1,0))</f>
        <v>0</v>
      </c>
      <c r="G1526" s="16" t="n">
        <f aca="false">SUM(F$5:F1526)</f>
        <v>8</v>
      </c>
      <c r="H1526" s="16" t="n">
        <f aca="false">IF(B1526="",0,IF(COUNTIF(B$5:B1526,B1526)=1,1,0))</f>
        <v>0</v>
      </c>
      <c r="I1526" s="16" t="n">
        <f aca="false">SUM(H$5:H1526)</f>
        <v>6</v>
      </c>
    </row>
    <row r="1527" customFormat="false" ht="15" hidden="false" customHeight="false" outlineLevel="0" collapsed="false">
      <c r="A1527" s="12"/>
      <c r="B1527" s="13"/>
      <c r="C1527" s="13"/>
      <c r="D1527" s="14"/>
      <c r="E1527" s="15"/>
      <c r="F1527" s="16" t="n">
        <f aca="false">IF(C1527="",0,IF(COUNTIF(C$5:C1527,C1527)=1,1,0))</f>
        <v>0</v>
      </c>
      <c r="G1527" s="16" t="n">
        <f aca="false">SUM(F$5:F1527)</f>
        <v>8</v>
      </c>
      <c r="H1527" s="16" t="n">
        <f aca="false">IF(B1527="",0,IF(COUNTIF(B$5:B1527,B1527)=1,1,0))</f>
        <v>0</v>
      </c>
      <c r="I1527" s="16" t="n">
        <f aca="false">SUM(H$5:H1527)</f>
        <v>6</v>
      </c>
    </row>
    <row r="1528" customFormat="false" ht="15" hidden="false" customHeight="false" outlineLevel="0" collapsed="false">
      <c r="A1528" s="12"/>
      <c r="B1528" s="13"/>
      <c r="C1528" s="13"/>
      <c r="D1528" s="14"/>
      <c r="E1528" s="15"/>
      <c r="F1528" s="16" t="n">
        <f aca="false">IF(C1528="",0,IF(COUNTIF(C$5:C1528,C1528)=1,1,0))</f>
        <v>0</v>
      </c>
      <c r="G1528" s="16" t="n">
        <f aca="false">SUM(F$5:F1528)</f>
        <v>8</v>
      </c>
      <c r="H1528" s="16" t="n">
        <f aca="false">IF(B1528="",0,IF(COUNTIF(B$5:B1528,B1528)=1,1,0))</f>
        <v>0</v>
      </c>
      <c r="I1528" s="16" t="n">
        <f aca="false">SUM(H$5:H1528)</f>
        <v>6</v>
      </c>
    </row>
    <row r="1529" customFormat="false" ht="15" hidden="false" customHeight="false" outlineLevel="0" collapsed="false">
      <c r="A1529" s="12"/>
      <c r="B1529" s="13"/>
      <c r="C1529" s="13"/>
      <c r="D1529" s="14"/>
      <c r="E1529" s="15"/>
      <c r="F1529" s="16" t="n">
        <f aca="false">IF(C1529="",0,IF(COUNTIF(C$5:C1529,C1529)=1,1,0))</f>
        <v>0</v>
      </c>
      <c r="G1529" s="16" t="n">
        <f aca="false">SUM(F$5:F1529)</f>
        <v>8</v>
      </c>
      <c r="H1529" s="16" t="n">
        <f aca="false">IF(B1529="",0,IF(COUNTIF(B$5:B1529,B1529)=1,1,0))</f>
        <v>0</v>
      </c>
      <c r="I1529" s="16" t="n">
        <f aca="false">SUM(H$5:H1529)</f>
        <v>6</v>
      </c>
    </row>
    <row r="1530" customFormat="false" ht="15" hidden="false" customHeight="false" outlineLevel="0" collapsed="false">
      <c r="A1530" s="12"/>
      <c r="B1530" s="13"/>
      <c r="C1530" s="13"/>
      <c r="D1530" s="14"/>
      <c r="E1530" s="15"/>
      <c r="F1530" s="16" t="n">
        <f aca="false">IF(C1530="",0,IF(COUNTIF(C$5:C1530,C1530)=1,1,0))</f>
        <v>0</v>
      </c>
      <c r="G1530" s="16" t="n">
        <f aca="false">SUM(F$5:F1530)</f>
        <v>8</v>
      </c>
      <c r="H1530" s="16" t="n">
        <f aca="false">IF(B1530="",0,IF(COUNTIF(B$5:B1530,B1530)=1,1,0))</f>
        <v>0</v>
      </c>
      <c r="I1530" s="16" t="n">
        <f aca="false">SUM(H$5:H1530)</f>
        <v>6</v>
      </c>
    </row>
    <row r="1531" customFormat="false" ht="15" hidden="false" customHeight="false" outlineLevel="0" collapsed="false">
      <c r="A1531" s="12"/>
      <c r="B1531" s="13"/>
      <c r="C1531" s="13"/>
      <c r="D1531" s="14"/>
      <c r="E1531" s="15"/>
      <c r="F1531" s="16" t="n">
        <f aca="false">IF(C1531="",0,IF(COUNTIF(C$5:C1531,C1531)=1,1,0))</f>
        <v>0</v>
      </c>
      <c r="G1531" s="16" t="n">
        <f aca="false">SUM(F$5:F1531)</f>
        <v>8</v>
      </c>
      <c r="H1531" s="16" t="n">
        <f aca="false">IF(B1531="",0,IF(COUNTIF(B$5:B1531,B1531)=1,1,0))</f>
        <v>0</v>
      </c>
      <c r="I1531" s="16" t="n">
        <f aca="false">SUM(H$5:H1531)</f>
        <v>6</v>
      </c>
    </row>
    <row r="1532" customFormat="false" ht="15" hidden="false" customHeight="false" outlineLevel="0" collapsed="false">
      <c r="A1532" s="12"/>
      <c r="B1532" s="13"/>
      <c r="C1532" s="13"/>
      <c r="D1532" s="14"/>
      <c r="E1532" s="15"/>
      <c r="F1532" s="16" t="n">
        <f aca="false">IF(C1532="",0,IF(COUNTIF(C$5:C1532,C1532)=1,1,0))</f>
        <v>0</v>
      </c>
      <c r="G1532" s="16" t="n">
        <f aca="false">SUM(F$5:F1532)</f>
        <v>8</v>
      </c>
      <c r="H1532" s="16" t="n">
        <f aca="false">IF(B1532="",0,IF(COUNTIF(B$5:B1532,B1532)=1,1,0))</f>
        <v>0</v>
      </c>
      <c r="I1532" s="16" t="n">
        <f aca="false">SUM(H$5:H1532)</f>
        <v>6</v>
      </c>
    </row>
    <row r="1533" customFormat="false" ht="15" hidden="false" customHeight="false" outlineLevel="0" collapsed="false">
      <c r="A1533" s="12"/>
      <c r="B1533" s="13"/>
      <c r="C1533" s="13"/>
      <c r="D1533" s="14"/>
      <c r="E1533" s="15"/>
      <c r="F1533" s="16" t="n">
        <f aca="false">IF(C1533="",0,IF(COUNTIF(C$5:C1533,C1533)=1,1,0))</f>
        <v>0</v>
      </c>
      <c r="G1533" s="16" t="n">
        <f aca="false">SUM(F$5:F1533)</f>
        <v>8</v>
      </c>
      <c r="H1533" s="16" t="n">
        <f aca="false">IF(B1533="",0,IF(COUNTIF(B$5:B1533,B1533)=1,1,0))</f>
        <v>0</v>
      </c>
      <c r="I1533" s="16" t="n">
        <f aca="false">SUM(H$5:H1533)</f>
        <v>6</v>
      </c>
    </row>
    <row r="1534" customFormat="false" ht="15" hidden="false" customHeight="false" outlineLevel="0" collapsed="false">
      <c r="A1534" s="12"/>
      <c r="B1534" s="13"/>
      <c r="C1534" s="13"/>
      <c r="D1534" s="14"/>
      <c r="E1534" s="15"/>
      <c r="F1534" s="16" t="n">
        <f aca="false">IF(C1534="",0,IF(COUNTIF(C$5:C1534,C1534)=1,1,0))</f>
        <v>0</v>
      </c>
      <c r="G1534" s="16" t="n">
        <f aca="false">SUM(F$5:F1534)</f>
        <v>8</v>
      </c>
      <c r="H1534" s="16" t="n">
        <f aca="false">IF(B1534="",0,IF(COUNTIF(B$5:B1534,B1534)=1,1,0))</f>
        <v>0</v>
      </c>
      <c r="I1534" s="16" t="n">
        <f aca="false">SUM(H$5:H1534)</f>
        <v>6</v>
      </c>
    </row>
    <row r="1535" customFormat="false" ht="15" hidden="false" customHeight="false" outlineLevel="0" collapsed="false">
      <c r="A1535" s="12"/>
      <c r="B1535" s="13"/>
      <c r="C1535" s="13"/>
      <c r="D1535" s="14"/>
      <c r="E1535" s="15"/>
      <c r="F1535" s="16" t="n">
        <f aca="false">IF(C1535="",0,IF(COUNTIF(C$5:C1535,C1535)=1,1,0))</f>
        <v>0</v>
      </c>
      <c r="G1535" s="16" t="n">
        <f aca="false">SUM(F$5:F1535)</f>
        <v>8</v>
      </c>
      <c r="H1535" s="16" t="n">
        <f aca="false">IF(B1535="",0,IF(COUNTIF(B$5:B1535,B1535)=1,1,0))</f>
        <v>0</v>
      </c>
      <c r="I1535" s="16" t="n">
        <f aca="false">SUM(H$5:H1535)</f>
        <v>6</v>
      </c>
    </row>
    <row r="1536" customFormat="false" ht="15" hidden="false" customHeight="false" outlineLevel="0" collapsed="false">
      <c r="A1536" s="12"/>
      <c r="B1536" s="13"/>
      <c r="C1536" s="13"/>
      <c r="D1536" s="14"/>
      <c r="E1536" s="15"/>
      <c r="F1536" s="16" t="n">
        <f aca="false">IF(C1536="",0,IF(COUNTIF(C$5:C1536,C1536)=1,1,0))</f>
        <v>0</v>
      </c>
      <c r="G1536" s="16" t="n">
        <f aca="false">SUM(F$5:F1536)</f>
        <v>8</v>
      </c>
      <c r="H1536" s="16" t="n">
        <f aca="false">IF(B1536="",0,IF(COUNTIF(B$5:B1536,B1536)=1,1,0))</f>
        <v>0</v>
      </c>
      <c r="I1536" s="16" t="n">
        <f aca="false">SUM(H$5:H1536)</f>
        <v>6</v>
      </c>
    </row>
    <row r="1537" customFormat="false" ht="15" hidden="false" customHeight="false" outlineLevel="0" collapsed="false">
      <c r="A1537" s="12"/>
      <c r="B1537" s="13"/>
      <c r="C1537" s="13"/>
      <c r="D1537" s="14"/>
      <c r="E1537" s="15"/>
      <c r="F1537" s="16" t="n">
        <f aca="false">IF(C1537="",0,IF(COUNTIF(C$5:C1537,C1537)=1,1,0))</f>
        <v>0</v>
      </c>
      <c r="G1537" s="16" t="n">
        <f aca="false">SUM(F$5:F1537)</f>
        <v>8</v>
      </c>
      <c r="H1537" s="16" t="n">
        <f aca="false">IF(B1537="",0,IF(COUNTIF(B$5:B1537,B1537)=1,1,0))</f>
        <v>0</v>
      </c>
      <c r="I1537" s="16" t="n">
        <f aca="false">SUM(H$5:H1537)</f>
        <v>6</v>
      </c>
    </row>
    <row r="1538" customFormat="false" ht="15" hidden="false" customHeight="false" outlineLevel="0" collapsed="false">
      <c r="A1538" s="12"/>
      <c r="B1538" s="13"/>
      <c r="C1538" s="13"/>
      <c r="D1538" s="14"/>
      <c r="E1538" s="15"/>
      <c r="F1538" s="16" t="n">
        <f aca="false">IF(C1538="",0,IF(COUNTIF(C$5:C1538,C1538)=1,1,0))</f>
        <v>0</v>
      </c>
      <c r="G1538" s="16" t="n">
        <f aca="false">SUM(F$5:F1538)</f>
        <v>8</v>
      </c>
      <c r="H1538" s="16" t="n">
        <f aca="false">IF(B1538="",0,IF(COUNTIF(B$5:B1538,B1538)=1,1,0))</f>
        <v>0</v>
      </c>
      <c r="I1538" s="16" t="n">
        <f aca="false">SUM(H$5:H1538)</f>
        <v>6</v>
      </c>
    </row>
    <row r="1539" customFormat="false" ht="15" hidden="false" customHeight="false" outlineLevel="0" collapsed="false">
      <c r="A1539" s="12"/>
      <c r="B1539" s="13"/>
      <c r="C1539" s="13"/>
      <c r="D1539" s="14"/>
      <c r="E1539" s="15"/>
      <c r="F1539" s="16" t="n">
        <f aca="false">IF(C1539="",0,IF(COUNTIF(C$5:C1539,C1539)=1,1,0))</f>
        <v>0</v>
      </c>
      <c r="G1539" s="16" t="n">
        <f aca="false">SUM(F$5:F1539)</f>
        <v>8</v>
      </c>
      <c r="H1539" s="16" t="n">
        <f aca="false">IF(B1539="",0,IF(COUNTIF(B$5:B1539,B1539)=1,1,0))</f>
        <v>0</v>
      </c>
      <c r="I1539" s="16" t="n">
        <f aca="false">SUM(H$5:H1539)</f>
        <v>6</v>
      </c>
    </row>
    <row r="1540" customFormat="false" ht="15" hidden="false" customHeight="false" outlineLevel="0" collapsed="false">
      <c r="A1540" s="12"/>
      <c r="B1540" s="13"/>
      <c r="C1540" s="13"/>
      <c r="D1540" s="14"/>
      <c r="E1540" s="15"/>
      <c r="F1540" s="16" t="n">
        <f aca="false">IF(C1540="",0,IF(COUNTIF(C$5:C1540,C1540)=1,1,0))</f>
        <v>0</v>
      </c>
      <c r="G1540" s="16" t="n">
        <f aca="false">SUM(F$5:F1540)</f>
        <v>8</v>
      </c>
      <c r="H1540" s="16" t="n">
        <f aca="false">IF(B1540="",0,IF(COUNTIF(B$5:B1540,B1540)=1,1,0))</f>
        <v>0</v>
      </c>
      <c r="I1540" s="16" t="n">
        <f aca="false">SUM(H$5:H1540)</f>
        <v>6</v>
      </c>
    </row>
    <row r="1541" customFormat="false" ht="15" hidden="false" customHeight="false" outlineLevel="0" collapsed="false">
      <c r="A1541" s="12"/>
      <c r="B1541" s="13"/>
      <c r="C1541" s="13"/>
      <c r="D1541" s="14"/>
      <c r="E1541" s="15"/>
      <c r="F1541" s="16" t="n">
        <f aca="false">IF(C1541="",0,IF(COUNTIF(C$5:C1541,C1541)=1,1,0))</f>
        <v>0</v>
      </c>
      <c r="G1541" s="16" t="n">
        <f aca="false">SUM(F$5:F1541)</f>
        <v>8</v>
      </c>
      <c r="H1541" s="16" t="n">
        <f aca="false">IF(B1541="",0,IF(COUNTIF(B$5:B1541,B1541)=1,1,0))</f>
        <v>0</v>
      </c>
      <c r="I1541" s="16" t="n">
        <f aca="false">SUM(H$5:H1541)</f>
        <v>6</v>
      </c>
    </row>
    <row r="1542" customFormat="false" ht="15" hidden="false" customHeight="false" outlineLevel="0" collapsed="false">
      <c r="A1542" s="12"/>
      <c r="B1542" s="13"/>
      <c r="C1542" s="13"/>
      <c r="D1542" s="14"/>
      <c r="E1542" s="15"/>
      <c r="F1542" s="16" t="n">
        <f aca="false">IF(C1542="",0,IF(COUNTIF(C$5:C1542,C1542)=1,1,0))</f>
        <v>0</v>
      </c>
      <c r="G1542" s="16" t="n">
        <f aca="false">SUM(F$5:F1542)</f>
        <v>8</v>
      </c>
      <c r="H1542" s="16" t="n">
        <f aca="false">IF(B1542="",0,IF(COUNTIF(B$5:B1542,B1542)=1,1,0))</f>
        <v>0</v>
      </c>
      <c r="I1542" s="16" t="n">
        <f aca="false">SUM(H$5:H1542)</f>
        <v>6</v>
      </c>
    </row>
    <row r="1543" customFormat="false" ht="15" hidden="false" customHeight="false" outlineLevel="0" collapsed="false">
      <c r="A1543" s="12"/>
      <c r="B1543" s="13"/>
      <c r="C1543" s="13"/>
      <c r="D1543" s="14"/>
      <c r="E1543" s="15"/>
      <c r="F1543" s="16" t="n">
        <f aca="false">IF(C1543="",0,IF(COUNTIF(C$5:C1543,C1543)=1,1,0))</f>
        <v>0</v>
      </c>
      <c r="G1543" s="16" t="n">
        <f aca="false">SUM(F$5:F1543)</f>
        <v>8</v>
      </c>
      <c r="H1543" s="16" t="n">
        <f aca="false">IF(B1543="",0,IF(COUNTIF(B$5:B1543,B1543)=1,1,0))</f>
        <v>0</v>
      </c>
      <c r="I1543" s="16" t="n">
        <f aca="false">SUM(H$5:H1543)</f>
        <v>6</v>
      </c>
    </row>
    <row r="1544" customFormat="false" ht="15" hidden="false" customHeight="false" outlineLevel="0" collapsed="false">
      <c r="A1544" s="12"/>
      <c r="B1544" s="13"/>
      <c r="C1544" s="13"/>
      <c r="D1544" s="14"/>
      <c r="E1544" s="15"/>
      <c r="F1544" s="16" t="n">
        <f aca="false">IF(C1544="",0,IF(COUNTIF(C$5:C1544,C1544)=1,1,0))</f>
        <v>0</v>
      </c>
      <c r="G1544" s="16" t="n">
        <f aca="false">SUM(F$5:F1544)</f>
        <v>8</v>
      </c>
      <c r="H1544" s="16" t="n">
        <f aca="false">IF(B1544="",0,IF(COUNTIF(B$5:B1544,B1544)=1,1,0))</f>
        <v>0</v>
      </c>
      <c r="I1544" s="16" t="n">
        <f aca="false">SUM(H$5:H1544)</f>
        <v>6</v>
      </c>
    </row>
    <row r="1545" customFormat="false" ht="15" hidden="false" customHeight="false" outlineLevel="0" collapsed="false">
      <c r="A1545" s="12"/>
      <c r="B1545" s="13"/>
      <c r="C1545" s="13"/>
      <c r="D1545" s="14"/>
      <c r="E1545" s="15"/>
      <c r="F1545" s="16" t="n">
        <f aca="false">IF(C1545="",0,IF(COUNTIF(C$5:C1545,C1545)=1,1,0))</f>
        <v>0</v>
      </c>
      <c r="G1545" s="16" t="n">
        <f aca="false">SUM(F$5:F1545)</f>
        <v>8</v>
      </c>
      <c r="H1545" s="16" t="n">
        <f aca="false">IF(B1545="",0,IF(COUNTIF(B$5:B1545,B1545)=1,1,0))</f>
        <v>0</v>
      </c>
      <c r="I1545" s="16" t="n">
        <f aca="false">SUM(H$5:H1545)</f>
        <v>6</v>
      </c>
    </row>
    <row r="1546" customFormat="false" ht="15" hidden="false" customHeight="false" outlineLevel="0" collapsed="false">
      <c r="A1546" s="12"/>
      <c r="B1546" s="13"/>
      <c r="C1546" s="13"/>
      <c r="D1546" s="14"/>
      <c r="E1546" s="15"/>
      <c r="F1546" s="16" t="n">
        <f aca="false">IF(C1546="",0,IF(COUNTIF(C$5:C1546,C1546)=1,1,0))</f>
        <v>0</v>
      </c>
      <c r="G1546" s="16" t="n">
        <f aca="false">SUM(F$5:F1546)</f>
        <v>8</v>
      </c>
      <c r="H1546" s="16" t="n">
        <f aca="false">IF(B1546="",0,IF(COUNTIF(B$5:B1546,B1546)=1,1,0))</f>
        <v>0</v>
      </c>
      <c r="I1546" s="16" t="n">
        <f aca="false">SUM(H$5:H1546)</f>
        <v>6</v>
      </c>
    </row>
    <row r="1547" customFormat="false" ht="15" hidden="false" customHeight="false" outlineLevel="0" collapsed="false">
      <c r="A1547" s="12"/>
      <c r="B1547" s="13"/>
      <c r="C1547" s="13"/>
      <c r="D1547" s="14"/>
      <c r="E1547" s="15"/>
      <c r="F1547" s="16" t="n">
        <f aca="false">IF(C1547="",0,IF(COUNTIF(C$5:C1547,C1547)=1,1,0))</f>
        <v>0</v>
      </c>
      <c r="G1547" s="16" t="n">
        <f aca="false">SUM(F$5:F1547)</f>
        <v>8</v>
      </c>
      <c r="H1547" s="16" t="n">
        <f aca="false">IF(B1547="",0,IF(COUNTIF(B$5:B1547,B1547)=1,1,0))</f>
        <v>0</v>
      </c>
      <c r="I1547" s="16" t="n">
        <f aca="false">SUM(H$5:H1547)</f>
        <v>6</v>
      </c>
    </row>
    <row r="1548" customFormat="false" ht="15" hidden="false" customHeight="false" outlineLevel="0" collapsed="false">
      <c r="A1548" s="12"/>
      <c r="B1548" s="13"/>
      <c r="C1548" s="13"/>
      <c r="D1548" s="14"/>
      <c r="E1548" s="15"/>
      <c r="F1548" s="16" t="n">
        <f aca="false">IF(C1548="",0,IF(COUNTIF(C$5:C1548,C1548)=1,1,0))</f>
        <v>0</v>
      </c>
      <c r="G1548" s="16" t="n">
        <f aca="false">SUM(F$5:F1548)</f>
        <v>8</v>
      </c>
      <c r="H1548" s="16" t="n">
        <f aca="false">IF(B1548="",0,IF(COUNTIF(B$5:B1548,B1548)=1,1,0))</f>
        <v>0</v>
      </c>
      <c r="I1548" s="16" t="n">
        <f aca="false">SUM(H$5:H1548)</f>
        <v>6</v>
      </c>
    </row>
    <row r="1549" customFormat="false" ht="15" hidden="false" customHeight="false" outlineLevel="0" collapsed="false">
      <c r="A1549" s="12"/>
      <c r="B1549" s="13"/>
      <c r="C1549" s="13"/>
      <c r="D1549" s="14"/>
      <c r="E1549" s="15"/>
      <c r="F1549" s="16" t="n">
        <f aca="false">IF(C1549="",0,IF(COUNTIF(C$5:C1549,C1549)=1,1,0))</f>
        <v>0</v>
      </c>
      <c r="G1549" s="16" t="n">
        <f aca="false">SUM(F$5:F1549)</f>
        <v>8</v>
      </c>
      <c r="H1549" s="16" t="n">
        <f aca="false">IF(B1549="",0,IF(COUNTIF(B$5:B1549,B1549)=1,1,0))</f>
        <v>0</v>
      </c>
      <c r="I1549" s="16" t="n">
        <f aca="false">SUM(H$5:H1549)</f>
        <v>6</v>
      </c>
    </row>
    <row r="1550" customFormat="false" ht="15" hidden="false" customHeight="false" outlineLevel="0" collapsed="false">
      <c r="A1550" s="12"/>
      <c r="B1550" s="13"/>
      <c r="C1550" s="13"/>
      <c r="D1550" s="14"/>
      <c r="E1550" s="15"/>
      <c r="F1550" s="16" t="n">
        <f aca="false">IF(C1550="",0,IF(COUNTIF(C$5:C1550,C1550)=1,1,0))</f>
        <v>0</v>
      </c>
      <c r="G1550" s="16" t="n">
        <f aca="false">SUM(F$5:F1550)</f>
        <v>8</v>
      </c>
      <c r="H1550" s="16" t="n">
        <f aca="false">IF(B1550="",0,IF(COUNTIF(B$5:B1550,B1550)=1,1,0))</f>
        <v>0</v>
      </c>
      <c r="I1550" s="16" t="n">
        <f aca="false">SUM(H$5:H1550)</f>
        <v>6</v>
      </c>
    </row>
    <row r="1551" customFormat="false" ht="15" hidden="false" customHeight="false" outlineLevel="0" collapsed="false">
      <c r="A1551" s="12"/>
      <c r="B1551" s="13"/>
      <c r="C1551" s="13"/>
      <c r="D1551" s="14"/>
      <c r="E1551" s="15"/>
      <c r="F1551" s="16" t="n">
        <f aca="false">IF(C1551="",0,IF(COUNTIF(C$5:C1551,C1551)=1,1,0))</f>
        <v>0</v>
      </c>
      <c r="G1551" s="16" t="n">
        <f aca="false">SUM(F$5:F1551)</f>
        <v>8</v>
      </c>
      <c r="H1551" s="16" t="n">
        <f aca="false">IF(B1551="",0,IF(COUNTIF(B$5:B1551,B1551)=1,1,0))</f>
        <v>0</v>
      </c>
      <c r="I1551" s="16" t="n">
        <f aca="false">SUM(H$5:H1551)</f>
        <v>6</v>
      </c>
    </row>
    <row r="1552" customFormat="false" ht="15" hidden="false" customHeight="false" outlineLevel="0" collapsed="false">
      <c r="A1552" s="12"/>
      <c r="B1552" s="13"/>
      <c r="C1552" s="13"/>
      <c r="D1552" s="14"/>
      <c r="E1552" s="15"/>
      <c r="F1552" s="16" t="n">
        <f aca="false">IF(C1552="",0,IF(COUNTIF(C$5:C1552,C1552)=1,1,0))</f>
        <v>0</v>
      </c>
      <c r="G1552" s="16" t="n">
        <f aca="false">SUM(F$5:F1552)</f>
        <v>8</v>
      </c>
      <c r="H1552" s="16" t="n">
        <f aca="false">IF(B1552="",0,IF(COUNTIF(B$5:B1552,B1552)=1,1,0))</f>
        <v>0</v>
      </c>
      <c r="I1552" s="16" t="n">
        <f aca="false">SUM(H$5:H1552)</f>
        <v>6</v>
      </c>
    </row>
    <row r="1553" customFormat="false" ht="15" hidden="false" customHeight="false" outlineLevel="0" collapsed="false">
      <c r="A1553" s="12"/>
      <c r="B1553" s="13"/>
      <c r="C1553" s="13"/>
      <c r="D1553" s="14"/>
      <c r="E1553" s="15"/>
      <c r="F1553" s="16" t="n">
        <f aca="false">IF(C1553="",0,IF(COUNTIF(C$5:C1553,C1553)=1,1,0))</f>
        <v>0</v>
      </c>
      <c r="G1553" s="16" t="n">
        <f aca="false">SUM(F$5:F1553)</f>
        <v>8</v>
      </c>
      <c r="H1553" s="16" t="n">
        <f aca="false">IF(B1553="",0,IF(COUNTIF(B$5:B1553,B1553)=1,1,0))</f>
        <v>0</v>
      </c>
      <c r="I1553" s="16" t="n">
        <f aca="false">SUM(H$5:H1553)</f>
        <v>6</v>
      </c>
    </row>
    <row r="1554" customFormat="false" ht="15" hidden="false" customHeight="false" outlineLevel="0" collapsed="false">
      <c r="A1554" s="12"/>
      <c r="B1554" s="13"/>
      <c r="C1554" s="13"/>
      <c r="D1554" s="14"/>
      <c r="E1554" s="15"/>
      <c r="F1554" s="16" t="n">
        <f aca="false">IF(C1554="",0,IF(COUNTIF(C$5:C1554,C1554)=1,1,0))</f>
        <v>0</v>
      </c>
      <c r="G1554" s="16" t="n">
        <f aca="false">SUM(F$5:F1554)</f>
        <v>8</v>
      </c>
      <c r="H1554" s="16" t="n">
        <f aca="false">IF(B1554="",0,IF(COUNTIF(B$5:B1554,B1554)=1,1,0))</f>
        <v>0</v>
      </c>
      <c r="I1554" s="16" t="n">
        <f aca="false">SUM(H$5:H1554)</f>
        <v>6</v>
      </c>
    </row>
    <row r="1555" customFormat="false" ht="15" hidden="false" customHeight="false" outlineLevel="0" collapsed="false">
      <c r="A1555" s="12"/>
      <c r="B1555" s="13"/>
      <c r="C1555" s="13"/>
      <c r="D1555" s="14"/>
      <c r="E1555" s="15"/>
      <c r="F1555" s="16" t="n">
        <f aca="false">IF(C1555="",0,IF(COUNTIF(C$5:C1555,C1555)=1,1,0))</f>
        <v>0</v>
      </c>
      <c r="G1555" s="16" t="n">
        <f aca="false">SUM(F$5:F1555)</f>
        <v>8</v>
      </c>
      <c r="H1555" s="16" t="n">
        <f aca="false">IF(B1555="",0,IF(COUNTIF(B$5:B1555,B1555)=1,1,0))</f>
        <v>0</v>
      </c>
      <c r="I1555" s="16" t="n">
        <f aca="false">SUM(H$5:H1555)</f>
        <v>6</v>
      </c>
    </row>
    <row r="1556" customFormat="false" ht="15" hidden="false" customHeight="false" outlineLevel="0" collapsed="false">
      <c r="A1556" s="12"/>
      <c r="B1556" s="13"/>
      <c r="C1556" s="13"/>
      <c r="D1556" s="14"/>
      <c r="E1556" s="15"/>
      <c r="F1556" s="16" t="n">
        <f aca="false">IF(C1556="",0,IF(COUNTIF(C$5:C1556,C1556)=1,1,0))</f>
        <v>0</v>
      </c>
      <c r="G1556" s="16" t="n">
        <f aca="false">SUM(F$5:F1556)</f>
        <v>8</v>
      </c>
      <c r="H1556" s="16" t="n">
        <f aca="false">IF(B1556="",0,IF(COUNTIF(B$5:B1556,B1556)=1,1,0))</f>
        <v>0</v>
      </c>
      <c r="I1556" s="16" t="n">
        <f aca="false">SUM(H$5:H1556)</f>
        <v>6</v>
      </c>
    </row>
    <row r="1557" customFormat="false" ht="15" hidden="false" customHeight="false" outlineLevel="0" collapsed="false">
      <c r="A1557" s="12"/>
      <c r="B1557" s="13"/>
      <c r="C1557" s="13"/>
      <c r="D1557" s="14"/>
      <c r="E1557" s="15"/>
      <c r="F1557" s="16" t="n">
        <f aca="false">IF(C1557="",0,IF(COUNTIF(C$5:C1557,C1557)=1,1,0))</f>
        <v>0</v>
      </c>
      <c r="G1557" s="16" t="n">
        <f aca="false">SUM(F$5:F1557)</f>
        <v>8</v>
      </c>
      <c r="H1557" s="16" t="n">
        <f aca="false">IF(B1557="",0,IF(COUNTIF(B$5:B1557,B1557)=1,1,0))</f>
        <v>0</v>
      </c>
      <c r="I1557" s="16" t="n">
        <f aca="false">SUM(H$5:H1557)</f>
        <v>6</v>
      </c>
    </row>
    <row r="1558" customFormat="false" ht="15" hidden="false" customHeight="false" outlineLevel="0" collapsed="false">
      <c r="A1558" s="12"/>
      <c r="B1558" s="13"/>
      <c r="C1558" s="13"/>
      <c r="D1558" s="14"/>
      <c r="E1558" s="15"/>
      <c r="F1558" s="16" t="n">
        <f aca="false">IF(C1558="",0,IF(COUNTIF(C$5:C1558,C1558)=1,1,0))</f>
        <v>0</v>
      </c>
      <c r="G1558" s="16" t="n">
        <f aca="false">SUM(F$5:F1558)</f>
        <v>8</v>
      </c>
      <c r="H1558" s="16" t="n">
        <f aca="false">IF(B1558="",0,IF(COUNTIF(B$5:B1558,B1558)=1,1,0))</f>
        <v>0</v>
      </c>
      <c r="I1558" s="16" t="n">
        <f aca="false">SUM(H$5:H1558)</f>
        <v>6</v>
      </c>
    </row>
    <row r="1559" customFormat="false" ht="15" hidden="false" customHeight="false" outlineLevel="0" collapsed="false">
      <c r="A1559" s="12"/>
      <c r="B1559" s="13"/>
      <c r="C1559" s="13"/>
      <c r="D1559" s="14"/>
      <c r="E1559" s="15"/>
      <c r="F1559" s="16" t="n">
        <f aca="false">IF(C1559="",0,IF(COUNTIF(C$5:C1559,C1559)=1,1,0))</f>
        <v>0</v>
      </c>
      <c r="G1559" s="16" t="n">
        <f aca="false">SUM(F$5:F1559)</f>
        <v>8</v>
      </c>
      <c r="H1559" s="16" t="n">
        <f aca="false">IF(B1559="",0,IF(COUNTIF(B$5:B1559,B1559)=1,1,0))</f>
        <v>0</v>
      </c>
      <c r="I1559" s="16" t="n">
        <f aca="false">SUM(H$5:H1559)</f>
        <v>6</v>
      </c>
    </row>
    <row r="1560" customFormat="false" ht="15" hidden="false" customHeight="false" outlineLevel="0" collapsed="false">
      <c r="A1560" s="12"/>
      <c r="B1560" s="13"/>
      <c r="C1560" s="13"/>
      <c r="D1560" s="14"/>
      <c r="E1560" s="15"/>
      <c r="F1560" s="16" t="n">
        <f aca="false">IF(C1560="",0,IF(COUNTIF(C$5:C1560,C1560)=1,1,0))</f>
        <v>0</v>
      </c>
      <c r="G1560" s="16" t="n">
        <f aca="false">SUM(F$5:F1560)</f>
        <v>8</v>
      </c>
      <c r="H1560" s="16" t="n">
        <f aca="false">IF(B1560="",0,IF(COUNTIF(B$5:B1560,B1560)=1,1,0))</f>
        <v>0</v>
      </c>
      <c r="I1560" s="16" t="n">
        <f aca="false">SUM(H$5:H1560)</f>
        <v>6</v>
      </c>
    </row>
    <row r="1561" customFormat="false" ht="15" hidden="false" customHeight="false" outlineLevel="0" collapsed="false">
      <c r="A1561" s="12"/>
      <c r="B1561" s="13"/>
      <c r="C1561" s="13"/>
      <c r="D1561" s="14"/>
      <c r="E1561" s="15"/>
      <c r="F1561" s="16" t="n">
        <f aca="false">IF(C1561="",0,IF(COUNTIF(C$5:C1561,C1561)=1,1,0))</f>
        <v>0</v>
      </c>
      <c r="G1561" s="16" t="n">
        <f aca="false">SUM(F$5:F1561)</f>
        <v>8</v>
      </c>
      <c r="H1561" s="16" t="n">
        <f aca="false">IF(B1561="",0,IF(COUNTIF(B$5:B1561,B1561)=1,1,0))</f>
        <v>0</v>
      </c>
      <c r="I1561" s="16" t="n">
        <f aca="false">SUM(H$5:H1561)</f>
        <v>6</v>
      </c>
    </row>
    <row r="1562" customFormat="false" ht="15" hidden="false" customHeight="false" outlineLevel="0" collapsed="false">
      <c r="A1562" s="12"/>
      <c r="B1562" s="13"/>
      <c r="C1562" s="13"/>
      <c r="D1562" s="14"/>
      <c r="E1562" s="15"/>
      <c r="F1562" s="16" t="n">
        <f aca="false">IF(C1562="",0,IF(COUNTIF(C$5:C1562,C1562)=1,1,0))</f>
        <v>0</v>
      </c>
      <c r="G1562" s="16" t="n">
        <f aca="false">SUM(F$5:F1562)</f>
        <v>8</v>
      </c>
      <c r="H1562" s="16" t="n">
        <f aca="false">IF(B1562="",0,IF(COUNTIF(B$5:B1562,B1562)=1,1,0))</f>
        <v>0</v>
      </c>
      <c r="I1562" s="16" t="n">
        <f aca="false">SUM(H$5:H1562)</f>
        <v>6</v>
      </c>
    </row>
    <row r="1563" customFormat="false" ht="15" hidden="false" customHeight="false" outlineLevel="0" collapsed="false">
      <c r="A1563" s="12"/>
      <c r="B1563" s="13"/>
      <c r="C1563" s="13"/>
      <c r="D1563" s="14"/>
      <c r="E1563" s="15"/>
      <c r="F1563" s="16" t="n">
        <f aca="false">IF(C1563="",0,IF(COUNTIF(C$5:C1563,C1563)=1,1,0))</f>
        <v>0</v>
      </c>
      <c r="G1563" s="16" t="n">
        <f aca="false">SUM(F$5:F1563)</f>
        <v>8</v>
      </c>
      <c r="H1563" s="16" t="n">
        <f aca="false">IF(B1563="",0,IF(COUNTIF(B$5:B1563,B1563)=1,1,0))</f>
        <v>0</v>
      </c>
      <c r="I1563" s="16" t="n">
        <f aca="false">SUM(H$5:H1563)</f>
        <v>6</v>
      </c>
    </row>
    <row r="1564" customFormat="false" ht="15" hidden="false" customHeight="false" outlineLevel="0" collapsed="false">
      <c r="A1564" s="12"/>
      <c r="B1564" s="13"/>
      <c r="C1564" s="13"/>
      <c r="D1564" s="14"/>
      <c r="E1564" s="15"/>
      <c r="F1564" s="16" t="n">
        <f aca="false">IF(C1564="",0,IF(COUNTIF(C$5:C1564,C1564)=1,1,0))</f>
        <v>0</v>
      </c>
      <c r="G1564" s="16" t="n">
        <f aca="false">SUM(F$5:F1564)</f>
        <v>8</v>
      </c>
      <c r="H1564" s="16" t="n">
        <f aca="false">IF(B1564="",0,IF(COUNTIF(B$5:B1564,B1564)=1,1,0))</f>
        <v>0</v>
      </c>
      <c r="I1564" s="16" t="n">
        <f aca="false">SUM(H$5:H1564)</f>
        <v>6</v>
      </c>
    </row>
    <row r="1565" customFormat="false" ht="15" hidden="false" customHeight="false" outlineLevel="0" collapsed="false">
      <c r="A1565" s="12"/>
      <c r="B1565" s="13"/>
      <c r="C1565" s="13"/>
      <c r="D1565" s="14"/>
      <c r="E1565" s="15"/>
      <c r="F1565" s="16" t="n">
        <f aca="false">IF(C1565="",0,IF(COUNTIF(C$5:C1565,C1565)=1,1,0))</f>
        <v>0</v>
      </c>
      <c r="G1565" s="16" t="n">
        <f aca="false">SUM(F$5:F1565)</f>
        <v>8</v>
      </c>
      <c r="H1565" s="16" t="n">
        <f aca="false">IF(B1565="",0,IF(COUNTIF(B$5:B1565,B1565)=1,1,0))</f>
        <v>0</v>
      </c>
      <c r="I1565" s="16" t="n">
        <f aca="false">SUM(H$5:H1565)</f>
        <v>6</v>
      </c>
    </row>
    <row r="1566" customFormat="false" ht="15" hidden="false" customHeight="false" outlineLevel="0" collapsed="false">
      <c r="A1566" s="12"/>
      <c r="B1566" s="13"/>
      <c r="C1566" s="13"/>
      <c r="D1566" s="14"/>
      <c r="E1566" s="15"/>
      <c r="F1566" s="16" t="n">
        <f aca="false">IF(C1566="",0,IF(COUNTIF(C$5:C1566,C1566)=1,1,0))</f>
        <v>0</v>
      </c>
      <c r="G1566" s="16" t="n">
        <f aca="false">SUM(F$5:F1566)</f>
        <v>8</v>
      </c>
      <c r="H1566" s="16" t="n">
        <f aca="false">IF(B1566="",0,IF(COUNTIF(B$5:B1566,B1566)=1,1,0))</f>
        <v>0</v>
      </c>
      <c r="I1566" s="16" t="n">
        <f aca="false">SUM(H$5:H1566)</f>
        <v>6</v>
      </c>
    </row>
    <row r="1567" customFormat="false" ht="15" hidden="false" customHeight="false" outlineLevel="0" collapsed="false">
      <c r="A1567" s="12"/>
      <c r="B1567" s="13"/>
      <c r="C1567" s="13"/>
      <c r="D1567" s="14"/>
      <c r="E1567" s="15"/>
      <c r="F1567" s="16" t="n">
        <f aca="false">IF(C1567="",0,IF(COUNTIF(C$5:C1567,C1567)=1,1,0))</f>
        <v>0</v>
      </c>
      <c r="G1567" s="16" t="n">
        <f aca="false">SUM(F$5:F1567)</f>
        <v>8</v>
      </c>
      <c r="H1567" s="16" t="n">
        <f aca="false">IF(B1567="",0,IF(COUNTIF(B$5:B1567,B1567)=1,1,0))</f>
        <v>0</v>
      </c>
      <c r="I1567" s="16" t="n">
        <f aca="false">SUM(H$5:H1567)</f>
        <v>6</v>
      </c>
    </row>
    <row r="1568" customFormat="false" ht="15" hidden="false" customHeight="false" outlineLevel="0" collapsed="false">
      <c r="A1568" s="12"/>
      <c r="B1568" s="13"/>
      <c r="C1568" s="13"/>
      <c r="D1568" s="14"/>
      <c r="E1568" s="15"/>
      <c r="F1568" s="16" t="n">
        <f aca="false">IF(C1568="",0,IF(COUNTIF(C$5:C1568,C1568)=1,1,0))</f>
        <v>0</v>
      </c>
      <c r="G1568" s="16" t="n">
        <f aca="false">SUM(F$5:F1568)</f>
        <v>8</v>
      </c>
      <c r="H1568" s="16" t="n">
        <f aca="false">IF(B1568="",0,IF(COUNTIF(B$5:B1568,B1568)=1,1,0))</f>
        <v>0</v>
      </c>
      <c r="I1568" s="16" t="n">
        <f aca="false">SUM(H$5:H1568)</f>
        <v>6</v>
      </c>
    </row>
    <row r="1569" customFormat="false" ht="15" hidden="false" customHeight="false" outlineLevel="0" collapsed="false">
      <c r="A1569" s="12"/>
      <c r="B1569" s="13"/>
      <c r="C1569" s="13"/>
      <c r="D1569" s="14"/>
      <c r="E1569" s="15"/>
      <c r="F1569" s="16" t="n">
        <f aca="false">IF(C1569="",0,IF(COUNTIF(C$5:C1569,C1569)=1,1,0))</f>
        <v>0</v>
      </c>
      <c r="G1569" s="16" t="n">
        <f aca="false">SUM(F$5:F1569)</f>
        <v>8</v>
      </c>
      <c r="H1569" s="16" t="n">
        <f aca="false">IF(B1569="",0,IF(COUNTIF(B$5:B1569,B1569)=1,1,0))</f>
        <v>0</v>
      </c>
      <c r="I1569" s="16" t="n">
        <f aca="false">SUM(H$5:H1569)</f>
        <v>6</v>
      </c>
    </row>
    <row r="1570" customFormat="false" ht="15" hidden="false" customHeight="false" outlineLevel="0" collapsed="false">
      <c r="A1570" s="12"/>
      <c r="B1570" s="13"/>
      <c r="C1570" s="13"/>
      <c r="D1570" s="14"/>
      <c r="E1570" s="15"/>
      <c r="F1570" s="16" t="n">
        <f aca="false">IF(C1570="",0,IF(COUNTIF(C$5:C1570,C1570)=1,1,0))</f>
        <v>0</v>
      </c>
      <c r="G1570" s="16" t="n">
        <f aca="false">SUM(F$5:F1570)</f>
        <v>8</v>
      </c>
      <c r="H1570" s="16" t="n">
        <f aca="false">IF(B1570="",0,IF(COUNTIF(B$5:B1570,B1570)=1,1,0))</f>
        <v>0</v>
      </c>
      <c r="I1570" s="16" t="n">
        <f aca="false">SUM(H$5:H1570)</f>
        <v>6</v>
      </c>
    </row>
    <row r="1571" customFormat="false" ht="15" hidden="false" customHeight="false" outlineLevel="0" collapsed="false">
      <c r="A1571" s="12"/>
      <c r="B1571" s="13"/>
      <c r="C1571" s="13"/>
      <c r="D1571" s="14"/>
      <c r="E1571" s="15"/>
      <c r="F1571" s="16" t="n">
        <f aca="false">IF(C1571="",0,IF(COUNTIF(C$5:C1571,C1571)=1,1,0))</f>
        <v>0</v>
      </c>
      <c r="G1571" s="16" t="n">
        <f aca="false">SUM(F$5:F1571)</f>
        <v>8</v>
      </c>
      <c r="H1571" s="16" t="n">
        <f aca="false">IF(B1571="",0,IF(COUNTIF(B$5:B1571,B1571)=1,1,0))</f>
        <v>0</v>
      </c>
      <c r="I1571" s="16" t="n">
        <f aca="false">SUM(H$5:H1571)</f>
        <v>6</v>
      </c>
    </row>
    <row r="1572" customFormat="false" ht="15" hidden="false" customHeight="false" outlineLevel="0" collapsed="false">
      <c r="A1572" s="12"/>
      <c r="B1572" s="13"/>
      <c r="C1572" s="13"/>
      <c r="D1572" s="14"/>
      <c r="E1572" s="15"/>
      <c r="F1572" s="16" t="n">
        <f aca="false">IF(C1572="",0,IF(COUNTIF(C$5:C1572,C1572)=1,1,0))</f>
        <v>0</v>
      </c>
      <c r="G1572" s="16" t="n">
        <f aca="false">SUM(F$5:F1572)</f>
        <v>8</v>
      </c>
      <c r="H1572" s="16" t="n">
        <f aca="false">IF(B1572="",0,IF(COUNTIF(B$5:B1572,B1572)=1,1,0))</f>
        <v>0</v>
      </c>
      <c r="I1572" s="16" t="n">
        <f aca="false">SUM(H$5:H1572)</f>
        <v>6</v>
      </c>
    </row>
    <row r="1573" customFormat="false" ht="15" hidden="false" customHeight="false" outlineLevel="0" collapsed="false">
      <c r="A1573" s="12"/>
      <c r="B1573" s="13"/>
      <c r="C1573" s="13"/>
      <c r="D1573" s="14"/>
      <c r="E1573" s="15"/>
      <c r="F1573" s="16" t="n">
        <f aca="false">IF(C1573="",0,IF(COUNTIF(C$5:C1573,C1573)=1,1,0))</f>
        <v>0</v>
      </c>
      <c r="G1573" s="16" t="n">
        <f aca="false">SUM(F$5:F1573)</f>
        <v>8</v>
      </c>
      <c r="H1573" s="16" t="n">
        <f aca="false">IF(B1573="",0,IF(COUNTIF(B$5:B1573,B1573)=1,1,0))</f>
        <v>0</v>
      </c>
      <c r="I1573" s="16" t="n">
        <f aca="false">SUM(H$5:H1573)</f>
        <v>6</v>
      </c>
    </row>
    <row r="1574" customFormat="false" ht="15" hidden="false" customHeight="false" outlineLevel="0" collapsed="false">
      <c r="A1574" s="12"/>
      <c r="B1574" s="13"/>
      <c r="C1574" s="13"/>
      <c r="D1574" s="14"/>
      <c r="E1574" s="15"/>
      <c r="F1574" s="16" t="n">
        <f aca="false">IF(C1574="",0,IF(COUNTIF(C$5:C1574,C1574)=1,1,0))</f>
        <v>0</v>
      </c>
      <c r="G1574" s="16" t="n">
        <f aca="false">SUM(F$5:F1574)</f>
        <v>8</v>
      </c>
      <c r="H1574" s="16" t="n">
        <f aca="false">IF(B1574="",0,IF(COUNTIF(B$5:B1574,B1574)=1,1,0))</f>
        <v>0</v>
      </c>
      <c r="I1574" s="16" t="n">
        <f aca="false">SUM(H$5:H1574)</f>
        <v>6</v>
      </c>
    </row>
    <row r="1575" customFormat="false" ht="15" hidden="false" customHeight="false" outlineLevel="0" collapsed="false">
      <c r="A1575" s="12"/>
      <c r="B1575" s="13"/>
      <c r="C1575" s="13"/>
      <c r="D1575" s="14"/>
      <c r="E1575" s="15"/>
      <c r="F1575" s="16" t="n">
        <f aca="false">IF(C1575="",0,IF(COUNTIF(C$5:C1575,C1575)=1,1,0))</f>
        <v>0</v>
      </c>
      <c r="G1575" s="16" t="n">
        <f aca="false">SUM(F$5:F1575)</f>
        <v>8</v>
      </c>
      <c r="H1575" s="16" t="n">
        <f aca="false">IF(B1575="",0,IF(COUNTIF(B$5:B1575,B1575)=1,1,0))</f>
        <v>0</v>
      </c>
      <c r="I1575" s="16" t="n">
        <f aca="false">SUM(H$5:H1575)</f>
        <v>6</v>
      </c>
    </row>
    <row r="1576" customFormat="false" ht="15" hidden="false" customHeight="false" outlineLevel="0" collapsed="false">
      <c r="A1576" s="12"/>
      <c r="B1576" s="13"/>
      <c r="C1576" s="13"/>
      <c r="D1576" s="14"/>
      <c r="E1576" s="15"/>
      <c r="F1576" s="16" t="n">
        <f aca="false">IF(C1576="",0,IF(COUNTIF(C$5:C1576,C1576)=1,1,0))</f>
        <v>0</v>
      </c>
      <c r="G1576" s="16" t="n">
        <f aca="false">SUM(F$5:F1576)</f>
        <v>8</v>
      </c>
      <c r="H1576" s="16" t="n">
        <f aca="false">IF(B1576="",0,IF(COUNTIF(B$5:B1576,B1576)=1,1,0))</f>
        <v>0</v>
      </c>
      <c r="I1576" s="16" t="n">
        <f aca="false">SUM(H$5:H1576)</f>
        <v>6</v>
      </c>
    </row>
    <row r="1577" customFormat="false" ht="15" hidden="false" customHeight="false" outlineLevel="0" collapsed="false">
      <c r="A1577" s="12"/>
      <c r="B1577" s="13"/>
      <c r="C1577" s="13"/>
      <c r="D1577" s="14"/>
      <c r="E1577" s="15"/>
      <c r="F1577" s="16" t="n">
        <f aca="false">IF(C1577="",0,IF(COUNTIF(C$5:C1577,C1577)=1,1,0))</f>
        <v>0</v>
      </c>
      <c r="G1577" s="16" t="n">
        <f aca="false">SUM(F$5:F1577)</f>
        <v>8</v>
      </c>
      <c r="H1577" s="16" t="n">
        <f aca="false">IF(B1577="",0,IF(COUNTIF(B$5:B1577,B1577)=1,1,0))</f>
        <v>0</v>
      </c>
      <c r="I1577" s="16" t="n">
        <f aca="false">SUM(H$5:H1577)</f>
        <v>6</v>
      </c>
    </row>
    <row r="1578" customFormat="false" ht="15" hidden="false" customHeight="false" outlineLevel="0" collapsed="false">
      <c r="A1578" s="12"/>
      <c r="B1578" s="13"/>
      <c r="C1578" s="13"/>
      <c r="D1578" s="14"/>
      <c r="E1578" s="15"/>
      <c r="F1578" s="16" t="n">
        <f aca="false">IF(C1578="",0,IF(COUNTIF(C$5:C1578,C1578)=1,1,0))</f>
        <v>0</v>
      </c>
      <c r="G1578" s="16" t="n">
        <f aca="false">SUM(F$5:F1578)</f>
        <v>8</v>
      </c>
      <c r="H1578" s="16" t="n">
        <f aca="false">IF(B1578="",0,IF(COUNTIF(B$5:B1578,B1578)=1,1,0))</f>
        <v>0</v>
      </c>
      <c r="I1578" s="16" t="n">
        <f aca="false">SUM(H$5:H1578)</f>
        <v>6</v>
      </c>
    </row>
    <row r="1579" customFormat="false" ht="15" hidden="false" customHeight="false" outlineLevel="0" collapsed="false">
      <c r="A1579" s="12"/>
      <c r="B1579" s="13"/>
      <c r="C1579" s="13"/>
      <c r="D1579" s="14"/>
      <c r="E1579" s="15"/>
      <c r="F1579" s="16" t="n">
        <f aca="false">IF(C1579="",0,IF(COUNTIF(C$5:C1579,C1579)=1,1,0))</f>
        <v>0</v>
      </c>
      <c r="G1579" s="16" t="n">
        <f aca="false">SUM(F$5:F1579)</f>
        <v>8</v>
      </c>
      <c r="H1579" s="16" t="n">
        <f aca="false">IF(B1579="",0,IF(COUNTIF(B$5:B1579,B1579)=1,1,0))</f>
        <v>0</v>
      </c>
      <c r="I1579" s="16" t="n">
        <f aca="false">SUM(H$5:H1579)</f>
        <v>6</v>
      </c>
    </row>
    <row r="1580" customFormat="false" ht="15" hidden="false" customHeight="false" outlineLevel="0" collapsed="false">
      <c r="A1580" s="12"/>
      <c r="B1580" s="13"/>
      <c r="C1580" s="13"/>
      <c r="D1580" s="14"/>
      <c r="E1580" s="15"/>
      <c r="F1580" s="16" t="n">
        <f aca="false">IF(C1580="",0,IF(COUNTIF(C$5:C1580,C1580)=1,1,0))</f>
        <v>0</v>
      </c>
      <c r="G1580" s="16" t="n">
        <f aca="false">SUM(F$5:F1580)</f>
        <v>8</v>
      </c>
      <c r="H1580" s="16" t="n">
        <f aca="false">IF(B1580="",0,IF(COUNTIF(B$5:B1580,B1580)=1,1,0))</f>
        <v>0</v>
      </c>
      <c r="I1580" s="16" t="n">
        <f aca="false">SUM(H$5:H1580)</f>
        <v>6</v>
      </c>
    </row>
    <row r="1581" customFormat="false" ht="15" hidden="false" customHeight="false" outlineLevel="0" collapsed="false">
      <c r="A1581" s="12"/>
      <c r="B1581" s="13"/>
      <c r="C1581" s="13"/>
      <c r="D1581" s="14"/>
      <c r="E1581" s="15"/>
      <c r="F1581" s="16" t="n">
        <f aca="false">IF(C1581="",0,IF(COUNTIF(C$5:C1581,C1581)=1,1,0))</f>
        <v>0</v>
      </c>
      <c r="G1581" s="16" t="n">
        <f aca="false">SUM(F$5:F1581)</f>
        <v>8</v>
      </c>
      <c r="H1581" s="16" t="n">
        <f aca="false">IF(B1581="",0,IF(COUNTIF(B$5:B1581,B1581)=1,1,0))</f>
        <v>0</v>
      </c>
      <c r="I1581" s="16" t="n">
        <f aca="false">SUM(H$5:H1581)</f>
        <v>6</v>
      </c>
    </row>
    <row r="1582" customFormat="false" ht="15" hidden="false" customHeight="false" outlineLevel="0" collapsed="false">
      <c r="A1582" s="12"/>
      <c r="B1582" s="13"/>
      <c r="C1582" s="13"/>
      <c r="D1582" s="14"/>
      <c r="E1582" s="15"/>
      <c r="F1582" s="16" t="n">
        <f aca="false">IF(C1582="",0,IF(COUNTIF(C$5:C1582,C1582)=1,1,0))</f>
        <v>0</v>
      </c>
      <c r="G1582" s="16" t="n">
        <f aca="false">SUM(F$5:F1582)</f>
        <v>8</v>
      </c>
      <c r="H1582" s="16" t="n">
        <f aca="false">IF(B1582="",0,IF(COUNTIF(B$5:B1582,B1582)=1,1,0))</f>
        <v>0</v>
      </c>
      <c r="I1582" s="16" t="n">
        <f aca="false">SUM(H$5:H1582)</f>
        <v>6</v>
      </c>
    </row>
    <row r="1583" customFormat="false" ht="15" hidden="false" customHeight="false" outlineLevel="0" collapsed="false">
      <c r="A1583" s="12"/>
      <c r="B1583" s="13"/>
      <c r="C1583" s="13"/>
      <c r="D1583" s="14"/>
      <c r="E1583" s="15"/>
      <c r="F1583" s="16" t="n">
        <f aca="false">IF(C1583="",0,IF(COUNTIF(C$5:C1583,C1583)=1,1,0))</f>
        <v>0</v>
      </c>
      <c r="G1583" s="16" t="n">
        <f aca="false">SUM(F$5:F1583)</f>
        <v>8</v>
      </c>
      <c r="H1583" s="16" t="n">
        <f aca="false">IF(B1583="",0,IF(COUNTIF(B$5:B1583,B1583)=1,1,0))</f>
        <v>0</v>
      </c>
      <c r="I1583" s="16" t="n">
        <f aca="false">SUM(H$5:H1583)</f>
        <v>6</v>
      </c>
    </row>
    <row r="1584" customFormat="false" ht="15" hidden="false" customHeight="false" outlineLevel="0" collapsed="false">
      <c r="A1584" s="12"/>
      <c r="B1584" s="13"/>
      <c r="C1584" s="13"/>
      <c r="D1584" s="14"/>
      <c r="E1584" s="15"/>
      <c r="F1584" s="16" t="n">
        <f aca="false">IF(C1584="",0,IF(COUNTIF(C$5:C1584,C1584)=1,1,0))</f>
        <v>0</v>
      </c>
      <c r="G1584" s="16" t="n">
        <f aca="false">SUM(F$5:F1584)</f>
        <v>8</v>
      </c>
      <c r="H1584" s="16" t="n">
        <f aca="false">IF(B1584="",0,IF(COUNTIF(B$5:B1584,B1584)=1,1,0))</f>
        <v>0</v>
      </c>
      <c r="I1584" s="16" t="n">
        <f aca="false">SUM(H$5:H1584)</f>
        <v>6</v>
      </c>
    </row>
    <row r="1585" customFormat="false" ht="15" hidden="false" customHeight="false" outlineLevel="0" collapsed="false">
      <c r="A1585" s="12"/>
      <c r="B1585" s="13"/>
      <c r="C1585" s="13"/>
      <c r="D1585" s="14"/>
      <c r="E1585" s="15"/>
      <c r="F1585" s="16" t="n">
        <f aca="false">IF(C1585="",0,IF(COUNTIF(C$5:C1585,C1585)=1,1,0))</f>
        <v>0</v>
      </c>
      <c r="G1585" s="16" t="n">
        <f aca="false">SUM(F$5:F1585)</f>
        <v>8</v>
      </c>
      <c r="H1585" s="16" t="n">
        <f aca="false">IF(B1585="",0,IF(COUNTIF(B$5:B1585,B1585)=1,1,0))</f>
        <v>0</v>
      </c>
      <c r="I1585" s="16" t="n">
        <f aca="false">SUM(H$5:H1585)</f>
        <v>6</v>
      </c>
    </row>
    <row r="1586" customFormat="false" ht="15" hidden="false" customHeight="false" outlineLevel="0" collapsed="false">
      <c r="A1586" s="12"/>
      <c r="B1586" s="13"/>
      <c r="C1586" s="13"/>
      <c r="D1586" s="14"/>
      <c r="E1586" s="15"/>
      <c r="F1586" s="16" t="n">
        <f aca="false">IF(C1586="",0,IF(COUNTIF(C$5:C1586,C1586)=1,1,0))</f>
        <v>0</v>
      </c>
      <c r="G1586" s="16" t="n">
        <f aca="false">SUM(F$5:F1586)</f>
        <v>8</v>
      </c>
      <c r="H1586" s="16" t="n">
        <f aca="false">IF(B1586="",0,IF(COUNTIF(B$5:B1586,B1586)=1,1,0))</f>
        <v>0</v>
      </c>
      <c r="I1586" s="16" t="n">
        <f aca="false">SUM(H$5:H1586)</f>
        <v>6</v>
      </c>
    </row>
    <row r="1587" customFormat="false" ht="15" hidden="false" customHeight="false" outlineLevel="0" collapsed="false">
      <c r="A1587" s="12"/>
      <c r="B1587" s="13"/>
      <c r="C1587" s="13"/>
      <c r="D1587" s="14"/>
      <c r="E1587" s="15"/>
      <c r="F1587" s="16" t="n">
        <f aca="false">IF(C1587="",0,IF(COUNTIF(C$5:C1587,C1587)=1,1,0))</f>
        <v>0</v>
      </c>
      <c r="G1587" s="16" t="n">
        <f aca="false">SUM(F$5:F1587)</f>
        <v>8</v>
      </c>
      <c r="H1587" s="16" t="n">
        <f aca="false">IF(B1587="",0,IF(COUNTIF(B$5:B1587,B1587)=1,1,0))</f>
        <v>0</v>
      </c>
      <c r="I1587" s="16" t="n">
        <f aca="false">SUM(H$5:H1587)</f>
        <v>6</v>
      </c>
    </row>
    <row r="1588" customFormat="false" ht="15" hidden="false" customHeight="false" outlineLevel="0" collapsed="false">
      <c r="A1588" s="12"/>
      <c r="B1588" s="13"/>
      <c r="C1588" s="13"/>
      <c r="D1588" s="14"/>
      <c r="E1588" s="15"/>
      <c r="F1588" s="16" t="n">
        <f aca="false">IF(C1588="",0,IF(COUNTIF(C$5:C1588,C1588)=1,1,0))</f>
        <v>0</v>
      </c>
      <c r="G1588" s="16" t="n">
        <f aca="false">SUM(F$5:F1588)</f>
        <v>8</v>
      </c>
      <c r="H1588" s="16" t="n">
        <f aca="false">IF(B1588="",0,IF(COUNTIF(B$5:B1588,B1588)=1,1,0))</f>
        <v>0</v>
      </c>
      <c r="I1588" s="16" t="n">
        <f aca="false">SUM(H$5:H1588)</f>
        <v>6</v>
      </c>
    </row>
    <row r="1589" customFormat="false" ht="15" hidden="false" customHeight="false" outlineLevel="0" collapsed="false">
      <c r="A1589" s="12"/>
      <c r="B1589" s="13"/>
      <c r="C1589" s="13"/>
      <c r="D1589" s="14"/>
      <c r="E1589" s="15"/>
      <c r="F1589" s="16" t="n">
        <f aca="false">IF(C1589="",0,IF(COUNTIF(C$5:C1589,C1589)=1,1,0))</f>
        <v>0</v>
      </c>
      <c r="G1589" s="16" t="n">
        <f aca="false">SUM(F$5:F1589)</f>
        <v>8</v>
      </c>
      <c r="H1589" s="16" t="n">
        <f aca="false">IF(B1589="",0,IF(COUNTIF(B$5:B1589,B1589)=1,1,0))</f>
        <v>0</v>
      </c>
      <c r="I1589" s="16" t="n">
        <f aca="false">SUM(H$5:H1589)</f>
        <v>6</v>
      </c>
    </row>
    <row r="1590" customFormat="false" ht="15" hidden="false" customHeight="false" outlineLevel="0" collapsed="false">
      <c r="A1590" s="12"/>
      <c r="B1590" s="13"/>
      <c r="C1590" s="13"/>
      <c r="D1590" s="14"/>
      <c r="E1590" s="15"/>
      <c r="F1590" s="16" t="n">
        <f aca="false">IF(C1590="",0,IF(COUNTIF(C$5:C1590,C1590)=1,1,0))</f>
        <v>0</v>
      </c>
      <c r="G1590" s="16" t="n">
        <f aca="false">SUM(F$5:F1590)</f>
        <v>8</v>
      </c>
      <c r="H1590" s="16" t="n">
        <f aca="false">IF(B1590="",0,IF(COUNTIF(B$5:B1590,B1590)=1,1,0))</f>
        <v>0</v>
      </c>
      <c r="I1590" s="16" t="n">
        <f aca="false">SUM(H$5:H1590)</f>
        <v>6</v>
      </c>
    </row>
    <row r="1591" customFormat="false" ht="15" hidden="false" customHeight="false" outlineLevel="0" collapsed="false">
      <c r="A1591" s="12"/>
      <c r="B1591" s="13"/>
      <c r="C1591" s="13"/>
      <c r="D1591" s="14"/>
      <c r="E1591" s="15"/>
      <c r="F1591" s="16" t="n">
        <f aca="false">IF(C1591="",0,IF(COUNTIF(C$5:C1591,C1591)=1,1,0))</f>
        <v>0</v>
      </c>
      <c r="G1591" s="16" t="n">
        <f aca="false">SUM(F$5:F1591)</f>
        <v>8</v>
      </c>
      <c r="H1591" s="16" t="n">
        <f aca="false">IF(B1591="",0,IF(COUNTIF(B$5:B1591,B1591)=1,1,0))</f>
        <v>0</v>
      </c>
      <c r="I1591" s="16" t="n">
        <f aca="false">SUM(H$5:H1591)</f>
        <v>6</v>
      </c>
    </row>
    <row r="1592" customFormat="false" ht="15" hidden="false" customHeight="false" outlineLevel="0" collapsed="false">
      <c r="A1592" s="12"/>
      <c r="B1592" s="13"/>
      <c r="C1592" s="13"/>
      <c r="D1592" s="14"/>
      <c r="E1592" s="15"/>
      <c r="F1592" s="16" t="n">
        <f aca="false">IF(C1592="",0,IF(COUNTIF(C$5:C1592,C1592)=1,1,0))</f>
        <v>0</v>
      </c>
      <c r="G1592" s="16" t="n">
        <f aca="false">SUM(F$5:F1592)</f>
        <v>8</v>
      </c>
      <c r="H1592" s="16" t="n">
        <f aca="false">IF(B1592="",0,IF(COUNTIF(B$5:B1592,B1592)=1,1,0))</f>
        <v>0</v>
      </c>
      <c r="I1592" s="16" t="n">
        <f aca="false">SUM(H$5:H1592)</f>
        <v>6</v>
      </c>
    </row>
    <row r="1593" customFormat="false" ht="15" hidden="false" customHeight="false" outlineLevel="0" collapsed="false">
      <c r="A1593" s="12"/>
      <c r="B1593" s="13"/>
      <c r="C1593" s="13"/>
      <c r="D1593" s="14"/>
      <c r="E1593" s="15"/>
      <c r="F1593" s="16" t="n">
        <f aca="false">IF(C1593="",0,IF(COUNTIF(C$5:C1593,C1593)=1,1,0))</f>
        <v>0</v>
      </c>
      <c r="G1593" s="16" t="n">
        <f aca="false">SUM(F$5:F1593)</f>
        <v>8</v>
      </c>
      <c r="H1593" s="16" t="n">
        <f aca="false">IF(B1593="",0,IF(COUNTIF(B$5:B1593,B1593)=1,1,0))</f>
        <v>0</v>
      </c>
      <c r="I1593" s="16" t="n">
        <f aca="false">SUM(H$5:H1593)</f>
        <v>6</v>
      </c>
    </row>
    <row r="1594" customFormat="false" ht="15" hidden="false" customHeight="false" outlineLevel="0" collapsed="false">
      <c r="A1594" s="12"/>
      <c r="B1594" s="13"/>
      <c r="C1594" s="13"/>
      <c r="D1594" s="14"/>
      <c r="E1594" s="15"/>
      <c r="F1594" s="16" t="n">
        <f aca="false">IF(C1594="",0,IF(COUNTIF(C$5:C1594,C1594)=1,1,0))</f>
        <v>0</v>
      </c>
      <c r="G1594" s="16" t="n">
        <f aca="false">SUM(F$5:F1594)</f>
        <v>8</v>
      </c>
      <c r="H1594" s="16" t="n">
        <f aca="false">IF(B1594="",0,IF(COUNTIF(B$5:B1594,B1594)=1,1,0))</f>
        <v>0</v>
      </c>
      <c r="I1594" s="16" t="n">
        <f aca="false">SUM(H$5:H1594)</f>
        <v>6</v>
      </c>
    </row>
    <row r="1595" customFormat="false" ht="15" hidden="false" customHeight="false" outlineLevel="0" collapsed="false">
      <c r="A1595" s="12"/>
      <c r="B1595" s="13"/>
      <c r="C1595" s="13"/>
      <c r="D1595" s="14"/>
      <c r="E1595" s="15"/>
      <c r="F1595" s="16" t="n">
        <f aca="false">IF(C1595="",0,IF(COUNTIF(C$5:C1595,C1595)=1,1,0))</f>
        <v>0</v>
      </c>
      <c r="G1595" s="16" t="n">
        <f aca="false">SUM(F$5:F1595)</f>
        <v>8</v>
      </c>
      <c r="H1595" s="16" t="n">
        <f aca="false">IF(B1595="",0,IF(COUNTIF(B$5:B1595,B1595)=1,1,0))</f>
        <v>0</v>
      </c>
      <c r="I1595" s="16" t="n">
        <f aca="false">SUM(H$5:H1595)</f>
        <v>6</v>
      </c>
    </row>
    <row r="1596" customFormat="false" ht="15" hidden="false" customHeight="false" outlineLevel="0" collapsed="false">
      <c r="A1596" s="12"/>
      <c r="B1596" s="13"/>
      <c r="C1596" s="13"/>
      <c r="D1596" s="14"/>
      <c r="E1596" s="15"/>
      <c r="F1596" s="16" t="n">
        <f aca="false">IF(C1596="",0,IF(COUNTIF(C$5:C1596,C1596)=1,1,0))</f>
        <v>0</v>
      </c>
      <c r="G1596" s="16" t="n">
        <f aca="false">SUM(F$5:F1596)</f>
        <v>8</v>
      </c>
      <c r="H1596" s="16" t="n">
        <f aca="false">IF(B1596="",0,IF(COUNTIF(B$5:B1596,B1596)=1,1,0))</f>
        <v>0</v>
      </c>
      <c r="I1596" s="16" t="n">
        <f aca="false">SUM(H$5:H1596)</f>
        <v>6</v>
      </c>
    </row>
    <row r="1597" customFormat="false" ht="15" hidden="false" customHeight="false" outlineLevel="0" collapsed="false">
      <c r="A1597" s="12"/>
      <c r="B1597" s="13"/>
      <c r="C1597" s="13"/>
      <c r="D1597" s="14"/>
      <c r="E1597" s="15"/>
      <c r="F1597" s="16" t="n">
        <f aca="false">IF(C1597="",0,IF(COUNTIF(C$5:C1597,C1597)=1,1,0))</f>
        <v>0</v>
      </c>
      <c r="G1597" s="16" t="n">
        <f aca="false">SUM(F$5:F1597)</f>
        <v>8</v>
      </c>
      <c r="H1597" s="16" t="n">
        <f aca="false">IF(B1597="",0,IF(COUNTIF(B$5:B1597,B1597)=1,1,0))</f>
        <v>0</v>
      </c>
      <c r="I1597" s="16" t="n">
        <f aca="false">SUM(H$5:H1597)</f>
        <v>6</v>
      </c>
    </row>
    <row r="1598" customFormat="false" ht="15" hidden="false" customHeight="false" outlineLevel="0" collapsed="false">
      <c r="A1598" s="12"/>
      <c r="B1598" s="13"/>
      <c r="C1598" s="13"/>
      <c r="D1598" s="14"/>
      <c r="E1598" s="15"/>
      <c r="F1598" s="16" t="n">
        <f aca="false">IF(C1598="",0,IF(COUNTIF(C$5:C1598,C1598)=1,1,0))</f>
        <v>0</v>
      </c>
      <c r="G1598" s="16" t="n">
        <f aca="false">SUM(F$5:F1598)</f>
        <v>8</v>
      </c>
      <c r="H1598" s="16" t="n">
        <f aca="false">IF(B1598="",0,IF(COUNTIF(B$5:B1598,B1598)=1,1,0))</f>
        <v>0</v>
      </c>
      <c r="I1598" s="16" t="n">
        <f aca="false">SUM(H$5:H1598)</f>
        <v>6</v>
      </c>
    </row>
    <row r="1599" customFormat="false" ht="15" hidden="false" customHeight="false" outlineLevel="0" collapsed="false">
      <c r="A1599" s="12"/>
      <c r="B1599" s="13"/>
      <c r="C1599" s="13"/>
      <c r="D1599" s="14"/>
      <c r="E1599" s="15"/>
      <c r="F1599" s="16" t="n">
        <f aca="false">IF(C1599="",0,IF(COUNTIF(C$5:C1599,C1599)=1,1,0))</f>
        <v>0</v>
      </c>
      <c r="G1599" s="16" t="n">
        <f aca="false">SUM(F$5:F1599)</f>
        <v>8</v>
      </c>
      <c r="H1599" s="16" t="n">
        <f aca="false">IF(B1599="",0,IF(COUNTIF(B$5:B1599,B1599)=1,1,0))</f>
        <v>0</v>
      </c>
      <c r="I1599" s="16" t="n">
        <f aca="false">SUM(H$5:H1599)</f>
        <v>6</v>
      </c>
    </row>
    <row r="1600" customFormat="false" ht="15" hidden="false" customHeight="false" outlineLevel="0" collapsed="false">
      <c r="A1600" s="12"/>
      <c r="B1600" s="13"/>
      <c r="C1600" s="13"/>
      <c r="D1600" s="14"/>
      <c r="E1600" s="15"/>
      <c r="F1600" s="16" t="n">
        <f aca="false">IF(C1600="",0,IF(COUNTIF(C$5:C1600,C1600)=1,1,0))</f>
        <v>0</v>
      </c>
      <c r="G1600" s="16" t="n">
        <f aca="false">SUM(F$5:F1600)</f>
        <v>8</v>
      </c>
      <c r="H1600" s="16" t="n">
        <f aca="false">IF(B1600="",0,IF(COUNTIF(B$5:B1600,B1600)=1,1,0))</f>
        <v>0</v>
      </c>
      <c r="I1600" s="16" t="n">
        <f aca="false">SUM(H$5:H1600)</f>
        <v>6</v>
      </c>
    </row>
    <row r="1601" customFormat="false" ht="15" hidden="false" customHeight="false" outlineLevel="0" collapsed="false">
      <c r="A1601" s="12"/>
      <c r="B1601" s="13"/>
      <c r="C1601" s="13"/>
      <c r="D1601" s="14"/>
      <c r="E1601" s="15"/>
      <c r="F1601" s="16" t="n">
        <f aca="false">IF(C1601="",0,IF(COUNTIF(C$5:C1601,C1601)=1,1,0))</f>
        <v>0</v>
      </c>
      <c r="G1601" s="16" t="n">
        <f aca="false">SUM(F$5:F1601)</f>
        <v>8</v>
      </c>
      <c r="H1601" s="16" t="n">
        <f aca="false">IF(B1601="",0,IF(COUNTIF(B$5:B1601,B1601)=1,1,0))</f>
        <v>0</v>
      </c>
      <c r="I1601" s="16" t="n">
        <f aca="false">SUM(H$5:H1601)</f>
        <v>6</v>
      </c>
    </row>
    <row r="1602" customFormat="false" ht="15" hidden="false" customHeight="false" outlineLevel="0" collapsed="false">
      <c r="A1602" s="12"/>
      <c r="B1602" s="13"/>
      <c r="C1602" s="13"/>
      <c r="D1602" s="14"/>
      <c r="E1602" s="15"/>
      <c r="F1602" s="16" t="n">
        <f aca="false">IF(C1602="",0,IF(COUNTIF(C$5:C1602,C1602)=1,1,0))</f>
        <v>0</v>
      </c>
      <c r="G1602" s="16" t="n">
        <f aca="false">SUM(F$5:F1602)</f>
        <v>8</v>
      </c>
      <c r="H1602" s="16" t="n">
        <f aca="false">IF(B1602="",0,IF(COUNTIF(B$5:B1602,B1602)=1,1,0))</f>
        <v>0</v>
      </c>
      <c r="I1602" s="16" t="n">
        <f aca="false">SUM(H$5:H1602)</f>
        <v>6</v>
      </c>
    </row>
    <row r="1603" customFormat="false" ht="15" hidden="false" customHeight="false" outlineLevel="0" collapsed="false">
      <c r="A1603" s="12"/>
      <c r="B1603" s="13"/>
      <c r="C1603" s="13"/>
      <c r="D1603" s="14"/>
      <c r="E1603" s="15"/>
      <c r="F1603" s="16" t="n">
        <f aca="false">IF(C1603="",0,IF(COUNTIF(C$5:C1603,C1603)=1,1,0))</f>
        <v>0</v>
      </c>
      <c r="G1603" s="16" t="n">
        <f aca="false">SUM(F$5:F1603)</f>
        <v>8</v>
      </c>
      <c r="H1603" s="16" t="n">
        <f aca="false">IF(B1603="",0,IF(COUNTIF(B$5:B1603,B1603)=1,1,0))</f>
        <v>0</v>
      </c>
      <c r="I1603" s="16" t="n">
        <f aca="false">SUM(H$5:H1603)</f>
        <v>6</v>
      </c>
    </row>
    <row r="1604" customFormat="false" ht="15" hidden="false" customHeight="false" outlineLevel="0" collapsed="false">
      <c r="A1604" s="12"/>
      <c r="B1604" s="13"/>
      <c r="C1604" s="13"/>
      <c r="D1604" s="14"/>
      <c r="E1604" s="15"/>
      <c r="F1604" s="16" t="n">
        <f aca="false">IF(C1604="",0,IF(COUNTIF(C$5:C1604,C1604)=1,1,0))</f>
        <v>0</v>
      </c>
      <c r="G1604" s="16" t="n">
        <f aca="false">SUM(F$5:F1604)</f>
        <v>8</v>
      </c>
      <c r="H1604" s="16" t="n">
        <f aca="false">IF(B1604="",0,IF(COUNTIF(B$5:B1604,B1604)=1,1,0))</f>
        <v>0</v>
      </c>
      <c r="I1604" s="16" t="n">
        <f aca="false">SUM(H$5:H1604)</f>
        <v>6</v>
      </c>
    </row>
    <row r="1605" customFormat="false" ht="15" hidden="false" customHeight="false" outlineLevel="0" collapsed="false">
      <c r="A1605" s="12"/>
      <c r="B1605" s="13"/>
      <c r="C1605" s="13"/>
      <c r="D1605" s="14"/>
      <c r="E1605" s="15"/>
      <c r="F1605" s="16" t="n">
        <f aca="false">IF(C1605="",0,IF(COUNTIF(C$5:C1605,C1605)=1,1,0))</f>
        <v>0</v>
      </c>
      <c r="G1605" s="16" t="n">
        <f aca="false">SUM(F$5:F1605)</f>
        <v>8</v>
      </c>
      <c r="H1605" s="16" t="n">
        <f aca="false">IF(B1605="",0,IF(COUNTIF(B$5:B1605,B1605)=1,1,0))</f>
        <v>0</v>
      </c>
      <c r="I1605" s="16" t="n">
        <f aca="false">SUM(H$5:H1605)</f>
        <v>6</v>
      </c>
    </row>
    <row r="1606" customFormat="false" ht="15" hidden="false" customHeight="false" outlineLevel="0" collapsed="false">
      <c r="A1606" s="12"/>
      <c r="B1606" s="13"/>
      <c r="C1606" s="13"/>
      <c r="D1606" s="14"/>
      <c r="E1606" s="15"/>
      <c r="F1606" s="16" t="n">
        <f aca="false">IF(C1606="",0,IF(COUNTIF(C$5:C1606,C1606)=1,1,0))</f>
        <v>0</v>
      </c>
      <c r="G1606" s="16" t="n">
        <f aca="false">SUM(F$5:F1606)</f>
        <v>8</v>
      </c>
      <c r="H1606" s="16" t="n">
        <f aca="false">IF(B1606="",0,IF(COUNTIF(B$5:B1606,B1606)=1,1,0))</f>
        <v>0</v>
      </c>
      <c r="I1606" s="16" t="n">
        <f aca="false">SUM(H$5:H1606)</f>
        <v>6</v>
      </c>
    </row>
    <row r="1607" customFormat="false" ht="15" hidden="false" customHeight="false" outlineLevel="0" collapsed="false">
      <c r="A1607" s="12"/>
      <c r="B1607" s="13"/>
      <c r="C1607" s="13"/>
      <c r="D1607" s="14"/>
      <c r="E1607" s="15"/>
      <c r="F1607" s="16" t="n">
        <f aca="false">IF(C1607="",0,IF(COUNTIF(C$5:C1607,C1607)=1,1,0))</f>
        <v>0</v>
      </c>
      <c r="G1607" s="16" t="n">
        <f aca="false">SUM(F$5:F1607)</f>
        <v>8</v>
      </c>
      <c r="H1607" s="16" t="n">
        <f aca="false">IF(B1607="",0,IF(COUNTIF(B$5:B1607,B1607)=1,1,0))</f>
        <v>0</v>
      </c>
      <c r="I1607" s="16" t="n">
        <f aca="false">SUM(H$5:H1607)</f>
        <v>6</v>
      </c>
    </row>
    <row r="1608" customFormat="false" ht="15" hidden="false" customHeight="false" outlineLevel="0" collapsed="false">
      <c r="A1608" s="12"/>
      <c r="B1608" s="13"/>
      <c r="C1608" s="13"/>
      <c r="D1608" s="14"/>
      <c r="E1608" s="15"/>
      <c r="F1608" s="16" t="n">
        <f aca="false">IF(C1608="",0,IF(COUNTIF(C$5:C1608,C1608)=1,1,0))</f>
        <v>0</v>
      </c>
      <c r="G1608" s="16" t="n">
        <f aca="false">SUM(F$5:F1608)</f>
        <v>8</v>
      </c>
      <c r="H1608" s="16" t="n">
        <f aca="false">IF(B1608="",0,IF(COUNTIF(B$5:B1608,B1608)=1,1,0))</f>
        <v>0</v>
      </c>
      <c r="I1608" s="16" t="n">
        <f aca="false">SUM(H$5:H1608)</f>
        <v>6</v>
      </c>
    </row>
    <row r="1609" customFormat="false" ht="15" hidden="false" customHeight="false" outlineLevel="0" collapsed="false">
      <c r="A1609" s="12"/>
      <c r="B1609" s="13"/>
      <c r="C1609" s="13"/>
      <c r="D1609" s="14"/>
      <c r="E1609" s="15"/>
      <c r="F1609" s="16" t="n">
        <f aca="false">IF(C1609="",0,IF(COUNTIF(C$5:C1609,C1609)=1,1,0))</f>
        <v>0</v>
      </c>
      <c r="G1609" s="16" t="n">
        <f aca="false">SUM(F$5:F1609)</f>
        <v>8</v>
      </c>
      <c r="H1609" s="16" t="n">
        <f aca="false">IF(B1609="",0,IF(COUNTIF(B$5:B1609,B1609)=1,1,0))</f>
        <v>0</v>
      </c>
      <c r="I1609" s="16" t="n">
        <f aca="false">SUM(H$5:H1609)</f>
        <v>6</v>
      </c>
    </row>
    <row r="1610" customFormat="false" ht="15" hidden="false" customHeight="false" outlineLevel="0" collapsed="false">
      <c r="A1610" s="12"/>
      <c r="B1610" s="13"/>
      <c r="C1610" s="13"/>
      <c r="D1610" s="14"/>
      <c r="E1610" s="15"/>
      <c r="F1610" s="16" t="n">
        <f aca="false">IF(C1610="",0,IF(COUNTIF(C$5:C1610,C1610)=1,1,0))</f>
        <v>0</v>
      </c>
      <c r="G1610" s="16" t="n">
        <f aca="false">SUM(F$5:F1610)</f>
        <v>8</v>
      </c>
      <c r="H1610" s="16" t="n">
        <f aca="false">IF(B1610="",0,IF(COUNTIF(B$5:B1610,B1610)=1,1,0))</f>
        <v>0</v>
      </c>
      <c r="I1610" s="16" t="n">
        <f aca="false">SUM(H$5:H1610)</f>
        <v>6</v>
      </c>
    </row>
    <row r="1611" customFormat="false" ht="15" hidden="false" customHeight="false" outlineLevel="0" collapsed="false">
      <c r="A1611" s="12"/>
      <c r="B1611" s="13"/>
      <c r="C1611" s="13"/>
      <c r="D1611" s="14"/>
      <c r="E1611" s="15"/>
      <c r="F1611" s="16" t="n">
        <f aca="false">IF(C1611="",0,IF(COUNTIF(C$5:C1611,C1611)=1,1,0))</f>
        <v>0</v>
      </c>
      <c r="G1611" s="16" t="n">
        <f aca="false">SUM(F$5:F1611)</f>
        <v>8</v>
      </c>
      <c r="H1611" s="16" t="n">
        <f aca="false">IF(B1611="",0,IF(COUNTIF(B$5:B1611,B1611)=1,1,0))</f>
        <v>0</v>
      </c>
      <c r="I1611" s="16" t="n">
        <f aca="false">SUM(H$5:H1611)</f>
        <v>6</v>
      </c>
    </row>
    <row r="1612" customFormat="false" ht="15" hidden="false" customHeight="false" outlineLevel="0" collapsed="false">
      <c r="A1612" s="12"/>
      <c r="B1612" s="13"/>
      <c r="C1612" s="13"/>
      <c r="D1612" s="14"/>
      <c r="E1612" s="15"/>
      <c r="F1612" s="16" t="n">
        <f aca="false">IF(C1612="",0,IF(COUNTIF(C$5:C1612,C1612)=1,1,0))</f>
        <v>0</v>
      </c>
      <c r="G1612" s="16" t="n">
        <f aca="false">SUM(F$5:F1612)</f>
        <v>8</v>
      </c>
      <c r="H1612" s="16" t="n">
        <f aca="false">IF(B1612="",0,IF(COUNTIF(B$5:B1612,B1612)=1,1,0))</f>
        <v>0</v>
      </c>
      <c r="I1612" s="16" t="n">
        <f aca="false">SUM(H$5:H1612)</f>
        <v>6</v>
      </c>
    </row>
    <row r="1613" customFormat="false" ht="15" hidden="false" customHeight="false" outlineLevel="0" collapsed="false">
      <c r="A1613" s="12"/>
      <c r="B1613" s="13"/>
      <c r="C1613" s="13"/>
      <c r="D1613" s="14"/>
      <c r="E1613" s="15"/>
      <c r="F1613" s="16" t="n">
        <f aca="false">IF(C1613="",0,IF(COUNTIF(C$5:C1613,C1613)=1,1,0))</f>
        <v>0</v>
      </c>
      <c r="G1613" s="16" t="n">
        <f aca="false">SUM(F$5:F1613)</f>
        <v>8</v>
      </c>
      <c r="H1613" s="16" t="n">
        <f aca="false">IF(B1613="",0,IF(COUNTIF(B$5:B1613,B1613)=1,1,0))</f>
        <v>0</v>
      </c>
      <c r="I1613" s="16" t="n">
        <f aca="false">SUM(H$5:H1613)</f>
        <v>6</v>
      </c>
    </row>
    <row r="1614" customFormat="false" ht="15" hidden="false" customHeight="false" outlineLevel="0" collapsed="false">
      <c r="A1614" s="12"/>
      <c r="B1614" s="13"/>
      <c r="C1614" s="13"/>
      <c r="D1614" s="14"/>
      <c r="E1614" s="15"/>
      <c r="F1614" s="16" t="n">
        <f aca="false">IF(C1614="",0,IF(COUNTIF(C$5:C1614,C1614)=1,1,0))</f>
        <v>0</v>
      </c>
      <c r="G1614" s="16" t="n">
        <f aca="false">SUM(F$5:F1614)</f>
        <v>8</v>
      </c>
      <c r="H1614" s="16" t="n">
        <f aca="false">IF(B1614="",0,IF(COUNTIF(B$5:B1614,B1614)=1,1,0))</f>
        <v>0</v>
      </c>
      <c r="I1614" s="16" t="n">
        <f aca="false">SUM(H$5:H1614)</f>
        <v>6</v>
      </c>
    </row>
    <row r="1615" customFormat="false" ht="15" hidden="false" customHeight="false" outlineLevel="0" collapsed="false">
      <c r="A1615" s="12"/>
      <c r="B1615" s="13"/>
      <c r="C1615" s="13"/>
      <c r="D1615" s="14"/>
      <c r="E1615" s="15"/>
      <c r="F1615" s="16" t="n">
        <f aca="false">IF(C1615="",0,IF(COUNTIF(C$5:C1615,C1615)=1,1,0))</f>
        <v>0</v>
      </c>
      <c r="G1615" s="16" t="n">
        <f aca="false">SUM(F$5:F1615)</f>
        <v>8</v>
      </c>
      <c r="H1615" s="16" t="n">
        <f aca="false">IF(B1615="",0,IF(COUNTIF(B$5:B1615,B1615)=1,1,0))</f>
        <v>0</v>
      </c>
      <c r="I1615" s="16" t="n">
        <f aca="false">SUM(H$5:H1615)</f>
        <v>6</v>
      </c>
    </row>
    <row r="1616" customFormat="false" ht="15" hidden="false" customHeight="false" outlineLevel="0" collapsed="false">
      <c r="A1616" s="12"/>
      <c r="B1616" s="13"/>
      <c r="C1616" s="13"/>
      <c r="D1616" s="14"/>
      <c r="E1616" s="15"/>
      <c r="F1616" s="16" t="n">
        <f aca="false">IF(C1616="",0,IF(COUNTIF(C$5:C1616,C1616)=1,1,0))</f>
        <v>0</v>
      </c>
      <c r="G1616" s="16" t="n">
        <f aca="false">SUM(F$5:F1616)</f>
        <v>8</v>
      </c>
      <c r="H1616" s="16" t="n">
        <f aca="false">IF(B1616="",0,IF(COUNTIF(B$5:B1616,B1616)=1,1,0))</f>
        <v>0</v>
      </c>
      <c r="I1616" s="16" t="n">
        <f aca="false">SUM(H$5:H1616)</f>
        <v>6</v>
      </c>
    </row>
    <row r="1617" customFormat="false" ht="15" hidden="false" customHeight="false" outlineLevel="0" collapsed="false">
      <c r="A1617" s="12"/>
      <c r="B1617" s="13"/>
      <c r="C1617" s="13"/>
      <c r="D1617" s="14"/>
      <c r="E1617" s="15"/>
      <c r="F1617" s="16" t="n">
        <f aca="false">IF(C1617="",0,IF(COUNTIF(C$5:C1617,C1617)=1,1,0))</f>
        <v>0</v>
      </c>
      <c r="G1617" s="16" t="n">
        <f aca="false">SUM(F$5:F1617)</f>
        <v>8</v>
      </c>
      <c r="H1617" s="16" t="n">
        <f aca="false">IF(B1617="",0,IF(COUNTIF(B$5:B1617,B1617)=1,1,0))</f>
        <v>0</v>
      </c>
      <c r="I1617" s="16" t="n">
        <f aca="false">SUM(H$5:H1617)</f>
        <v>6</v>
      </c>
    </row>
    <row r="1618" customFormat="false" ht="15" hidden="false" customHeight="false" outlineLevel="0" collapsed="false">
      <c r="A1618" s="12"/>
      <c r="B1618" s="13"/>
      <c r="C1618" s="13"/>
      <c r="D1618" s="14"/>
      <c r="E1618" s="15"/>
      <c r="F1618" s="16" t="n">
        <f aca="false">IF(C1618="",0,IF(COUNTIF(C$5:C1618,C1618)=1,1,0))</f>
        <v>0</v>
      </c>
      <c r="G1618" s="16" t="n">
        <f aca="false">SUM(F$5:F1618)</f>
        <v>8</v>
      </c>
      <c r="H1618" s="16" t="n">
        <f aca="false">IF(B1618="",0,IF(COUNTIF(B$5:B1618,B1618)=1,1,0))</f>
        <v>0</v>
      </c>
      <c r="I1618" s="16" t="n">
        <f aca="false">SUM(H$5:H1618)</f>
        <v>6</v>
      </c>
    </row>
    <row r="1619" customFormat="false" ht="15" hidden="false" customHeight="false" outlineLevel="0" collapsed="false">
      <c r="A1619" s="12"/>
      <c r="B1619" s="13"/>
      <c r="C1619" s="13"/>
      <c r="D1619" s="14"/>
      <c r="E1619" s="15"/>
      <c r="F1619" s="16" t="n">
        <f aca="false">IF(C1619="",0,IF(COUNTIF(C$5:C1619,C1619)=1,1,0))</f>
        <v>0</v>
      </c>
      <c r="G1619" s="16" t="n">
        <f aca="false">SUM(F$5:F1619)</f>
        <v>8</v>
      </c>
      <c r="H1619" s="16" t="n">
        <f aca="false">IF(B1619="",0,IF(COUNTIF(B$5:B1619,B1619)=1,1,0))</f>
        <v>0</v>
      </c>
      <c r="I1619" s="16" t="n">
        <f aca="false">SUM(H$5:H1619)</f>
        <v>6</v>
      </c>
    </row>
    <row r="1620" customFormat="false" ht="15" hidden="false" customHeight="false" outlineLevel="0" collapsed="false">
      <c r="A1620" s="12"/>
      <c r="B1620" s="13"/>
      <c r="C1620" s="13"/>
      <c r="D1620" s="14"/>
      <c r="E1620" s="15"/>
      <c r="F1620" s="16" t="n">
        <f aca="false">IF(C1620="",0,IF(COUNTIF(C$5:C1620,C1620)=1,1,0))</f>
        <v>0</v>
      </c>
      <c r="G1620" s="16" t="n">
        <f aca="false">SUM(F$5:F1620)</f>
        <v>8</v>
      </c>
      <c r="H1620" s="16" t="n">
        <f aca="false">IF(B1620="",0,IF(COUNTIF(B$5:B1620,B1620)=1,1,0))</f>
        <v>0</v>
      </c>
      <c r="I1620" s="16" t="n">
        <f aca="false">SUM(H$5:H1620)</f>
        <v>6</v>
      </c>
    </row>
    <row r="1621" customFormat="false" ht="15" hidden="false" customHeight="false" outlineLevel="0" collapsed="false">
      <c r="A1621" s="12"/>
      <c r="B1621" s="13"/>
      <c r="C1621" s="13"/>
      <c r="D1621" s="14"/>
      <c r="E1621" s="15"/>
      <c r="F1621" s="16" t="n">
        <f aca="false">IF(C1621="",0,IF(COUNTIF(C$5:C1621,C1621)=1,1,0))</f>
        <v>0</v>
      </c>
      <c r="G1621" s="16" t="n">
        <f aca="false">SUM(F$5:F1621)</f>
        <v>8</v>
      </c>
      <c r="H1621" s="16" t="n">
        <f aca="false">IF(B1621="",0,IF(COUNTIF(B$5:B1621,B1621)=1,1,0))</f>
        <v>0</v>
      </c>
      <c r="I1621" s="16" t="n">
        <f aca="false">SUM(H$5:H1621)</f>
        <v>6</v>
      </c>
    </row>
    <row r="1622" customFormat="false" ht="15" hidden="false" customHeight="false" outlineLevel="0" collapsed="false">
      <c r="A1622" s="12"/>
      <c r="B1622" s="13"/>
      <c r="C1622" s="13"/>
      <c r="D1622" s="14"/>
      <c r="E1622" s="15"/>
      <c r="F1622" s="16" t="n">
        <f aca="false">IF(C1622="",0,IF(COUNTIF(C$5:C1622,C1622)=1,1,0))</f>
        <v>0</v>
      </c>
      <c r="G1622" s="16" t="n">
        <f aca="false">SUM(F$5:F1622)</f>
        <v>8</v>
      </c>
      <c r="H1622" s="16" t="n">
        <f aca="false">IF(B1622="",0,IF(COUNTIF(B$5:B1622,B1622)=1,1,0))</f>
        <v>0</v>
      </c>
      <c r="I1622" s="16" t="n">
        <f aca="false">SUM(H$5:H1622)</f>
        <v>6</v>
      </c>
    </row>
    <row r="1623" customFormat="false" ht="15" hidden="false" customHeight="false" outlineLevel="0" collapsed="false">
      <c r="A1623" s="12"/>
      <c r="B1623" s="13"/>
      <c r="C1623" s="13"/>
      <c r="D1623" s="14"/>
      <c r="E1623" s="15"/>
      <c r="F1623" s="16" t="n">
        <f aca="false">IF(C1623="",0,IF(COUNTIF(C$5:C1623,C1623)=1,1,0))</f>
        <v>0</v>
      </c>
      <c r="G1623" s="16" t="n">
        <f aca="false">SUM(F$5:F1623)</f>
        <v>8</v>
      </c>
      <c r="H1623" s="16" t="n">
        <f aca="false">IF(B1623="",0,IF(COUNTIF(B$5:B1623,B1623)=1,1,0))</f>
        <v>0</v>
      </c>
      <c r="I1623" s="16" t="n">
        <f aca="false">SUM(H$5:H1623)</f>
        <v>6</v>
      </c>
    </row>
    <row r="1624" customFormat="false" ht="15" hidden="false" customHeight="false" outlineLevel="0" collapsed="false">
      <c r="A1624" s="12"/>
      <c r="B1624" s="13"/>
      <c r="C1624" s="13"/>
      <c r="D1624" s="14"/>
      <c r="E1624" s="15"/>
      <c r="F1624" s="16" t="n">
        <f aca="false">IF(C1624="",0,IF(COUNTIF(C$5:C1624,C1624)=1,1,0))</f>
        <v>0</v>
      </c>
      <c r="G1624" s="16" t="n">
        <f aca="false">SUM(F$5:F1624)</f>
        <v>8</v>
      </c>
      <c r="H1624" s="16" t="n">
        <f aca="false">IF(B1624="",0,IF(COUNTIF(B$5:B1624,B1624)=1,1,0))</f>
        <v>0</v>
      </c>
      <c r="I1624" s="16" t="n">
        <f aca="false">SUM(H$5:H1624)</f>
        <v>6</v>
      </c>
    </row>
    <row r="1625" customFormat="false" ht="15" hidden="false" customHeight="false" outlineLevel="0" collapsed="false">
      <c r="A1625" s="12"/>
      <c r="B1625" s="13"/>
      <c r="C1625" s="13"/>
      <c r="D1625" s="14"/>
      <c r="E1625" s="15"/>
      <c r="F1625" s="16" t="n">
        <f aca="false">IF(C1625="",0,IF(COUNTIF(C$5:C1625,C1625)=1,1,0))</f>
        <v>0</v>
      </c>
      <c r="G1625" s="16" t="n">
        <f aca="false">SUM(F$5:F1625)</f>
        <v>8</v>
      </c>
      <c r="H1625" s="16" t="n">
        <f aca="false">IF(B1625="",0,IF(COUNTIF(B$5:B1625,B1625)=1,1,0))</f>
        <v>0</v>
      </c>
      <c r="I1625" s="16" t="n">
        <f aca="false">SUM(H$5:H1625)</f>
        <v>6</v>
      </c>
    </row>
    <row r="1626" customFormat="false" ht="15" hidden="false" customHeight="false" outlineLevel="0" collapsed="false">
      <c r="A1626" s="12"/>
      <c r="B1626" s="13"/>
      <c r="C1626" s="13"/>
      <c r="D1626" s="14"/>
      <c r="E1626" s="15"/>
      <c r="F1626" s="16" t="n">
        <f aca="false">IF(C1626="",0,IF(COUNTIF(C$5:C1626,C1626)=1,1,0))</f>
        <v>0</v>
      </c>
      <c r="G1626" s="16" t="n">
        <f aca="false">SUM(F$5:F1626)</f>
        <v>8</v>
      </c>
      <c r="H1626" s="16" t="n">
        <f aca="false">IF(B1626="",0,IF(COUNTIF(B$5:B1626,B1626)=1,1,0))</f>
        <v>0</v>
      </c>
      <c r="I1626" s="16" t="n">
        <f aca="false">SUM(H$5:H1626)</f>
        <v>6</v>
      </c>
    </row>
    <row r="1627" customFormat="false" ht="15" hidden="false" customHeight="false" outlineLevel="0" collapsed="false">
      <c r="A1627" s="12"/>
      <c r="B1627" s="13"/>
      <c r="C1627" s="13"/>
      <c r="D1627" s="14"/>
      <c r="E1627" s="15"/>
      <c r="F1627" s="16" t="n">
        <f aca="false">IF(C1627="",0,IF(COUNTIF(C$5:C1627,C1627)=1,1,0))</f>
        <v>0</v>
      </c>
      <c r="G1627" s="16" t="n">
        <f aca="false">SUM(F$5:F1627)</f>
        <v>8</v>
      </c>
      <c r="H1627" s="16" t="n">
        <f aca="false">IF(B1627="",0,IF(COUNTIF(B$5:B1627,B1627)=1,1,0))</f>
        <v>0</v>
      </c>
      <c r="I1627" s="16" t="n">
        <f aca="false">SUM(H$5:H1627)</f>
        <v>6</v>
      </c>
    </row>
    <row r="1628" customFormat="false" ht="15" hidden="false" customHeight="false" outlineLevel="0" collapsed="false">
      <c r="A1628" s="12"/>
      <c r="B1628" s="13"/>
      <c r="C1628" s="13"/>
      <c r="D1628" s="14"/>
      <c r="E1628" s="15"/>
      <c r="F1628" s="16" t="n">
        <f aca="false">IF(C1628="",0,IF(COUNTIF(C$5:C1628,C1628)=1,1,0))</f>
        <v>0</v>
      </c>
      <c r="G1628" s="16" t="n">
        <f aca="false">SUM(F$5:F1628)</f>
        <v>8</v>
      </c>
      <c r="H1628" s="16" t="n">
        <f aca="false">IF(B1628="",0,IF(COUNTIF(B$5:B1628,B1628)=1,1,0))</f>
        <v>0</v>
      </c>
      <c r="I1628" s="16" t="n">
        <f aca="false">SUM(H$5:H1628)</f>
        <v>6</v>
      </c>
    </row>
    <row r="1629" customFormat="false" ht="15" hidden="false" customHeight="false" outlineLevel="0" collapsed="false">
      <c r="A1629" s="12"/>
      <c r="B1629" s="13"/>
      <c r="C1629" s="13"/>
      <c r="D1629" s="14"/>
      <c r="E1629" s="15"/>
      <c r="F1629" s="16" t="n">
        <f aca="false">IF(C1629="",0,IF(COUNTIF(C$5:C1629,C1629)=1,1,0))</f>
        <v>0</v>
      </c>
      <c r="G1629" s="16" t="n">
        <f aca="false">SUM(F$5:F1629)</f>
        <v>8</v>
      </c>
      <c r="H1629" s="16" t="n">
        <f aca="false">IF(B1629="",0,IF(COUNTIF(B$5:B1629,B1629)=1,1,0))</f>
        <v>0</v>
      </c>
      <c r="I1629" s="16" t="n">
        <f aca="false">SUM(H$5:H1629)</f>
        <v>6</v>
      </c>
    </row>
    <row r="1630" customFormat="false" ht="15" hidden="false" customHeight="false" outlineLevel="0" collapsed="false">
      <c r="A1630" s="12"/>
      <c r="B1630" s="13"/>
      <c r="C1630" s="13"/>
      <c r="D1630" s="14"/>
      <c r="E1630" s="15"/>
      <c r="F1630" s="16" t="n">
        <f aca="false">IF(C1630="",0,IF(COUNTIF(C$5:C1630,C1630)=1,1,0))</f>
        <v>0</v>
      </c>
      <c r="G1630" s="16" t="n">
        <f aca="false">SUM(F$5:F1630)</f>
        <v>8</v>
      </c>
      <c r="H1630" s="16" t="n">
        <f aca="false">IF(B1630="",0,IF(COUNTIF(B$5:B1630,B1630)=1,1,0))</f>
        <v>0</v>
      </c>
      <c r="I1630" s="16" t="n">
        <f aca="false">SUM(H$5:H1630)</f>
        <v>6</v>
      </c>
    </row>
    <row r="1631" customFormat="false" ht="15" hidden="false" customHeight="false" outlineLevel="0" collapsed="false">
      <c r="A1631" s="12"/>
      <c r="B1631" s="13"/>
      <c r="C1631" s="13"/>
      <c r="D1631" s="14"/>
      <c r="E1631" s="15"/>
      <c r="F1631" s="16" t="n">
        <f aca="false">IF(C1631="",0,IF(COUNTIF(C$5:C1631,C1631)=1,1,0))</f>
        <v>0</v>
      </c>
      <c r="G1631" s="16" t="n">
        <f aca="false">SUM(F$5:F1631)</f>
        <v>8</v>
      </c>
      <c r="H1631" s="16" t="n">
        <f aca="false">IF(B1631="",0,IF(COUNTIF(B$5:B1631,B1631)=1,1,0))</f>
        <v>0</v>
      </c>
      <c r="I1631" s="16" t="n">
        <f aca="false">SUM(H$5:H1631)</f>
        <v>6</v>
      </c>
    </row>
    <row r="1632" customFormat="false" ht="15" hidden="false" customHeight="false" outlineLevel="0" collapsed="false">
      <c r="A1632" s="12"/>
      <c r="B1632" s="13"/>
      <c r="C1632" s="13"/>
      <c r="D1632" s="14"/>
      <c r="E1632" s="15"/>
      <c r="F1632" s="16" t="n">
        <f aca="false">IF(C1632="",0,IF(COUNTIF(C$5:C1632,C1632)=1,1,0))</f>
        <v>0</v>
      </c>
      <c r="G1632" s="16" t="n">
        <f aca="false">SUM(F$5:F1632)</f>
        <v>8</v>
      </c>
      <c r="H1632" s="16" t="n">
        <f aca="false">IF(B1632="",0,IF(COUNTIF(B$5:B1632,B1632)=1,1,0))</f>
        <v>0</v>
      </c>
      <c r="I1632" s="16" t="n">
        <f aca="false">SUM(H$5:H1632)</f>
        <v>6</v>
      </c>
    </row>
    <row r="1633" customFormat="false" ht="15" hidden="false" customHeight="false" outlineLevel="0" collapsed="false">
      <c r="A1633" s="12"/>
      <c r="B1633" s="13"/>
      <c r="C1633" s="13"/>
      <c r="D1633" s="14"/>
      <c r="E1633" s="15"/>
      <c r="F1633" s="16" t="n">
        <f aca="false">IF(C1633="",0,IF(COUNTIF(C$5:C1633,C1633)=1,1,0))</f>
        <v>0</v>
      </c>
      <c r="G1633" s="16" t="n">
        <f aca="false">SUM(F$5:F1633)</f>
        <v>8</v>
      </c>
      <c r="H1633" s="16" t="n">
        <f aca="false">IF(B1633="",0,IF(COUNTIF(B$5:B1633,B1633)=1,1,0))</f>
        <v>0</v>
      </c>
      <c r="I1633" s="16" t="n">
        <f aca="false">SUM(H$5:H1633)</f>
        <v>6</v>
      </c>
    </row>
    <row r="1634" customFormat="false" ht="15" hidden="false" customHeight="false" outlineLevel="0" collapsed="false">
      <c r="A1634" s="12"/>
      <c r="B1634" s="13"/>
      <c r="C1634" s="13"/>
      <c r="D1634" s="14"/>
      <c r="E1634" s="15"/>
      <c r="F1634" s="16" t="n">
        <f aca="false">IF(C1634="",0,IF(COUNTIF(C$5:C1634,C1634)=1,1,0))</f>
        <v>0</v>
      </c>
      <c r="G1634" s="16" t="n">
        <f aca="false">SUM(F$5:F1634)</f>
        <v>8</v>
      </c>
      <c r="H1634" s="16" t="n">
        <f aca="false">IF(B1634="",0,IF(COUNTIF(B$5:B1634,B1634)=1,1,0))</f>
        <v>0</v>
      </c>
      <c r="I1634" s="16" t="n">
        <f aca="false">SUM(H$5:H1634)</f>
        <v>6</v>
      </c>
    </row>
    <row r="1635" customFormat="false" ht="15" hidden="false" customHeight="false" outlineLevel="0" collapsed="false">
      <c r="A1635" s="12"/>
      <c r="B1635" s="13"/>
      <c r="C1635" s="13"/>
      <c r="D1635" s="14"/>
      <c r="E1635" s="15"/>
      <c r="F1635" s="16" t="n">
        <f aca="false">IF(C1635="",0,IF(COUNTIF(C$5:C1635,C1635)=1,1,0))</f>
        <v>0</v>
      </c>
      <c r="G1635" s="16" t="n">
        <f aca="false">SUM(F$5:F1635)</f>
        <v>8</v>
      </c>
      <c r="H1635" s="16" t="n">
        <f aca="false">IF(B1635="",0,IF(COUNTIF(B$5:B1635,B1635)=1,1,0))</f>
        <v>0</v>
      </c>
      <c r="I1635" s="16" t="n">
        <f aca="false">SUM(H$5:H1635)</f>
        <v>6</v>
      </c>
    </row>
    <row r="1636" customFormat="false" ht="15" hidden="false" customHeight="false" outlineLevel="0" collapsed="false">
      <c r="A1636" s="12"/>
      <c r="B1636" s="13"/>
      <c r="C1636" s="13"/>
      <c r="D1636" s="14"/>
      <c r="E1636" s="15"/>
      <c r="F1636" s="16" t="n">
        <f aca="false">IF(C1636="",0,IF(COUNTIF(C$5:C1636,C1636)=1,1,0))</f>
        <v>0</v>
      </c>
      <c r="G1636" s="16" t="n">
        <f aca="false">SUM(F$5:F1636)</f>
        <v>8</v>
      </c>
      <c r="H1636" s="16" t="n">
        <f aca="false">IF(B1636="",0,IF(COUNTIF(B$5:B1636,B1636)=1,1,0))</f>
        <v>0</v>
      </c>
      <c r="I1636" s="16" t="n">
        <f aca="false">SUM(H$5:H1636)</f>
        <v>6</v>
      </c>
    </row>
    <row r="1637" customFormat="false" ht="15" hidden="false" customHeight="false" outlineLevel="0" collapsed="false">
      <c r="A1637" s="12"/>
      <c r="B1637" s="13"/>
      <c r="C1637" s="13"/>
      <c r="D1637" s="14"/>
      <c r="E1637" s="15"/>
      <c r="F1637" s="16" t="n">
        <f aca="false">IF(C1637="",0,IF(COUNTIF(C$5:C1637,C1637)=1,1,0))</f>
        <v>0</v>
      </c>
      <c r="G1637" s="16" t="n">
        <f aca="false">SUM(F$5:F1637)</f>
        <v>8</v>
      </c>
      <c r="H1637" s="16" t="n">
        <f aca="false">IF(B1637="",0,IF(COUNTIF(B$5:B1637,B1637)=1,1,0))</f>
        <v>0</v>
      </c>
      <c r="I1637" s="16" t="n">
        <f aca="false">SUM(H$5:H1637)</f>
        <v>6</v>
      </c>
    </row>
    <row r="1638" customFormat="false" ht="15" hidden="false" customHeight="false" outlineLevel="0" collapsed="false">
      <c r="A1638" s="12"/>
      <c r="B1638" s="13"/>
      <c r="C1638" s="13"/>
      <c r="D1638" s="14"/>
      <c r="E1638" s="15"/>
      <c r="F1638" s="16" t="n">
        <f aca="false">IF(C1638="",0,IF(COUNTIF(C$5:C1638,C1638)=1,1,0))</f>
        <v>0</v>
      </c>
      <c r="G1638" s="16" t="n">
        <f aca="false">SUM(F$5:F1638)</f>
        <v>8</v>
      </c>
      <c r="H1638" s="16" t="n">
        <f aca="false">IF(B1638="",0,IF(COUNTIF(B$5:B1638,B1638)=1,1,0))</f>
        <v>0</v>
      </c>
      <c r="I1638" s="16" t="n">
        <f aca="false">SUM(H$5:H1638)</f>
        <v>6</v>
      </c>
    </row>
    <row r="1639" customFormat="false" ht="15" hidden="false" customHeight="false" outlineLevel="0" collapsed="false">
      <c r="A1639" s="12"/>
      <c r="B1639" s="13"/>
      <c r="C1639" s="13"/>
      <c r="D1639" s="14"/>
      <c r="E1639" s="15"/>
      <c r="F1639" s="16" t="n">
        <f aca="false">IF(C1639="",0,IF(COUNTIF(C$5:C1639,C1639)=1,1,0))</f>
        <v>0</v>
      </c>
      <c r="G1639" s="16" t="n">
        <f aca="false">SUM(F$5:F1639)</f>
        <v>8</v>
      </c>
      <c r="H1639" s="16" t="n">
        <f aca="false">IF(B1639="",0,IF(COUNTIF(B$5:B1639,B1639)=1,1,0))</f>
        <v>0</v>
      </c>
      <c r="I1639" s="16" t="n">
        <f aca="false">SUM(H$5:H1639)</f>
        <v>6</v>
      </c>
    </row>
    <row r="1640" customFormat="false" ht="15" hidden="false" customHeight="false" outlineLevel="0" collapsed="false">
      <c r="A1640" s="12"/>
      <c r="B1640" s="13"/>
      <c r="C1640" s="13"/>
      <c r="D1640" s="14"/>
      <c r="E1640" s="15"/>
      <c r="F1640" s="16" t="n">
        <f aca="false">IF(C1640="",0,IF(COUNTIF(C$5:C1640,C1640)=1,1,0))</f>
        <v>0</v>
      </c>
      <c r="G1640" s="16" t="n">
        <f aca="false">SUM(F$5:F1640)</f>
        <v>8</v>
      </c>
      <c r="H1640" s="16" t="n">
        <f aca="false">IF(B1640="",0,IF(COUNTIF(B$5:B1640,B1640)=1,1,0))</f>
        <v>0</v>
      </c>
      <c r="I1640" s="16" t="n">
        <f aca="false">SUM(H$5:H1640)</f>
        <v>6</v>
      </c>
    </row>
    <row r="1641" customFormat="false" ht="15" hidden="false" customHeight="false" outlineLevel="0" collapsed="false">
      <c r="A1641" s="12"/>
      <c r="B1641" s="13"/>
      <c r="C1641" s="13"/>
      <c r="D1641" s="14"/>
      <c r="E1641" s="15"/>
      <c r="F1641" s="16" t="n">
        <f aca="false">IF(C1641="",0,IF(COUNTIF(C$5:C1641,C1641)=1,1,0))</f>
        <v>0</v>
      </c>
      <c r="G1641" s="16" t="n">
        <f aca="false">SUM(F$5:F1641)</f>
        <v>8</v>
      </c>
      <c r="H1641" s="16" t="n">
        <f aca="false">IF(B1641="",0,IF(COUNTIF(B$5:B1641,B1641)=1,1,0))</f>
        <v>0</v>
      </c>
      <c r="I1641" s="16" t="n">
        <f aca="false">SUM(H$5:H1641)</f>
        <v>6</v>
      </c>
    </row>
    <row r="1642" customFormat="false" ht="15" hidden="false" customHeight="false" outlineLevel="0" collapsed="false">
      <c r="A1642" s="12"/>
      <c r="B1642" s="13"/>
      <c r="C1642" s="13"/>
      <c r="D1642" s="14"/>
      <c r="E1642" s="15"/>
      <c r="F1642" s="16" t="n">
        <f aca="false">IF(C1642="",0,IF(COUNTIF(C$5:C1642,C1642)=1,1,0))</f>
        <v>0</v>
      </c>
      <c r="G1642" s="16" t="n">
        <f aca="false">SUM(F$5:F1642)</f>
        <v>8</v>
      </c>
      <c r="H1642" s="16" t="n">
        <f aca="false">IF(B1642="",0,IF(COUNTIF(B$5:B1642,B1642)=1,1,0))</f>
        <v>0</v>
      </c>
      <c r="I1642" s="16" t="n">
        <f aca="false">SUM(H$5:H1642)</f>
        <v>6</v>
      </c>
    </row>
    <row r="1643" customFormat="false" ht="15" hidden="false" customHeight="false" outlineLevel="0" collapsed="false">
      <c r="A1643" s="12"/>
      <c r="B1643" s="13"/>
      <c r="C1643" s="13"/>
      <c r="D1643" s="14"/>
      <c r="E1643" s="15"/>
      <c r="F1643" s="16" t="n">
        <f aca="false">IF(C1643="",0,IF(COUNTIF(C$5:C1643,C1643)=1,1,0))</f>
        <v>0</v>
      </c>
      <c r="G1643" s="16" t="n">
        <f aca="false">SUM(F$5:F1643)</f>
        <v>8</v>
      </c>
      <c r="H1643" s="16" t="n">
        <f aca="false">IF(B1643="",0,IF(COUNTIF(B$5:B1643,B1643)=1,1,0))</f>
        <v>0</v>
      </c>
      <c r="I1643" s="16" t="n">
        <f aca="false">SUM(H$5:H1643)</f>
        <v>6</v>
      </c>
    </row>
    <row r="1644" customFormat="false" ht="15" hidden="false" customHeight="false" outlineLevel="0" collapsed="false">
      <c r="A1644" s="12"/>
      <c r="B1644" s="13"/>
      <c r="C1644" s="13"/>
      <c r="D1644" s="14"/>
      <c r="E1644" s="15"/>
      <c r="F1644" s="16" t="n">
        <f aca="false">IF(C1644="",0,IF(COUNTIF(C$5:C1644,C1644)=1,1,0))</f>
        <v>0</v>
      </c>
      <c r="G1644" s="16" t="n">
        <f aca="false">SUM(F$5:F1644)</f>
        <v>8</v>
      </c>
      <c r="H1644" s="16" t="n">
        <f aca="false">IF(B1644="",0,IF(COUNTIF(B$5:B1644,B1644)=1,1,0))</f>
        <v>0</v>
      </c>
      <c r="I1644" s="16" t="n">
        <f aca="false">SUM(H$5:H1644)</f>
        <v>6</v>
      </c>
    </row>
    <row r="1645" customFormat="false" ht="15" hidden="false" customHeight="false" outlineLevel="0" collapsed="false">
      <c r="A1645" s="12"/>
      <c r="B1645" s="13"/>
      <c r="C1645" s="13"/>
      <c r="D1645" s="14"/>
      <c r="E1645" s="15"/>
      <c r="F1645" s="16" t="n">
        <f aca="false">IF(C1645="",0,IF(COUNTIF(C$5:C1645,C1645)=1,1,0))</f>
        <v>0</v>
      </c>
      <c r="G1645" s="16" t="n">
        <f aca="false">SUM(F$5:F1645)</f>
        <v>8</v>
      </c>
      <c r="H1645" s="16" t="n">
        <f aca="false">IF(B1645="",0,IF(COUNTIF(B$5:B1645,B1645)=1,1,0))</f>
        <v>0</v>
      </c>
      <c r="I1645" s="16" t="n">
        <f aca="false">SUM(H$5:H1645)</f>
        <v>6</v>
      </c>
    </row>
    <row r="1646" customFormat="false" ht="15" hidden="false" customHeight="false" outlineLevel="0" collapsed="false">
      <c r="A1646" s="12"/>
      <c r="B1646" s="13"/>
      <c r="C1646" s="13"/>
      <c r="D1646" s="14"/>
      <c r="E1646" s="15"/>
      <c r="F1646" s="16" t="n">
        <f aca="false">IF(C1646="",0,IF(COUNTIF(C$5:C1646,C1646)=1,1,0))</f>
        <v>0</v>
      </c>
      <c r="G1646" s="16" t="n">
        <f aca="false">SUM(F$5:F1646)</f>
        <v>8</v>
      </c>
      <c r="H1646" s="16" t="n">
        <f aca="false">IF(B1646="",0,IF(COUNTIF(B$5:B1646,B1646)=1,1,0))</f>
        <v>0</v>
      </c>
      <c r="I1646" s="16" t="n">
        <f aca="false">SUM(H$5:H1646)</f>
        <v>6</v>
      </c>
    </row>
    <row r="1647" customFormat="false" ht="15" hidden="false" customHeight="false" outlineLevel="0" collapsed="false">
      <c r="A1647" s="12"/>
      <c r="B1647" s="13"/>
      <c r="C1647" s="13"/>
      <c r="D1647" s="14"/>
      <c r="E1647" s="15"/>
      <c r="F1647" s="16" t="n">
        <f aca="false">IF(C1647="",0,IF(COUNTIF(C$5:C1647,C1647)=1,1,0))</f>
        <v>0</v>
      </c>
      <c r="G1647" s="16" t="n">
        <f aca="false">SUM(F$5:F1647)</f>
        <v>8</v>
      </c>
      <c r="H1647" s="16" t="n">
        <f aca="false">IF(B1647="",0,IF(COUNTIF(B$5:B1647,B1647)=1,1,0))</f>
        <v>0</v>
      </c>
      <c r="I1647" s="16" t="n">
        <f aca="false">SUM(H$5:H1647)</f>
        <v>6</v>
      </c>
    </row>
    <row r="1648" customFormat="false" ht="15" hidden="false" customHeight="false" outlineLevel="0" collapsed="false">
      <c r="A1648" s="12"/>
      <c r="B1648" s="13"/>
      <c r="C1648" s="13"/>
      <c r="D1648" s="14"/>
      <c r="E1648" s="15"/>
      <c r="F1648" s="16" t="n">
        <f aca="false">IF(C1648="",0,IF(COUNTIF(C$5:C1648,C1648)=1,1,0))</f>
        <v>0</v>
      </c>
      <c r="G1648" s="16" t="n">
        <f aca="false">SUM(F$5:F1648)</f>
        <v>8</v>
      </c>
      <c r="H1648" s="16" t="n">
        <f aca="false">IF(B1648="",0,IF(COUNTIF(B$5:B1648,B1648)=1,1,0))</f>
        <v>0</v>
      </c>
      <c r="I1648" s="16" t="n">
        <f aca="false">SUM(H$5:H1648)</f>
        <v>6</v>
      </c>
    </row>
    <row r="1649" customFormat="false" ht="15" hidden="false" customHeight="false" outlineLevel="0" collapsed="false">
      <c r="A1649" s="12"/>
      <c r="B1649" s="13"/>
      <c r="C1649" s="13"/>
      <c r="D1649" s="14"/>
      <c r="E1649" s="15"/>
      <c r="F1649" s="16" t="n">
        <f aca="false">IF(C1649="",0,IF(COUNTIF(C$5:C1649,C1649)=1,1,0))</f>
        <v>0</v>
      </c>
      <c r="G1649" s="16" t="n">
        <f aca="false">SUM(F$5:F1649)</f>
        <v>8</v>
      </c>
      <c r="H1649" s="16" t="n">
        <f aca="false">IF(B1649="",0,IF(COUNTIF(B$5:B1649,B1649)=1,1,0))</f>
        <v>0</v>
      </c>
      <c r="I1649" s="16" t="n">
        <f aca="false">SUM(H$5:H1649)</f>
        <v>6</v>
      </c>
    </row>
    <row r="1650" customFormat="false" ht="15" hidden="false" customHeight="false" outlineLevel="0" collapsed="false">
      <c r="A1650" s="12"/>
      <c r="B1650" s="13"/>
      <c r="C1650" s="13"/>
      <c r="D1650" s="14"/>
      <c r="E1650" s="15"/>
      <c r="F1650" s="16" t="n">
        <f aca="false">IF(C1650="",0,IF(COUNTIF(C$5:C1650,C1650)=1,1,0))</f>
        <v>0</v>
      </c>
      <c r="G1650" s="16" t="n">
        <f aca="false">SUM(F$5:F1650)</f>
        <v>8</v>
      </c>
      <c r="H1650" s="16" t="n">
        <f aca="false">IF(B1650="",0,IF(COUNTIF(B$5:B1650,B1650)=1,1,0))</f>
        <v>0</v>
      </c>
      <c r="I1650" s="16" t="n">
        <f aca="false">SUM(H$5:H1650)</f>
        <v>6</v>
      </c>
    </row>
    <row r="1651" customFormat="false" ht="15" hidden="false" customHeight="false" outlineLevel="0" collapsed="false">
      <c r="A1651" s="12"/>
      <c r="B1651" s="13"/>
      <c r="C1651" s="13"/>
      <c r="D1651" s="14"/>
      <c r="E1651" s="15"/>
      <c r="F1651" s="16" t="n">
        <f aca="false">IF(C1651="",0,IF(COUNTIF(C$5:C1651,C1651)=1,1,0))</f>
        <v>0</v>
      </c>
      <c r="G1651" s="16" t="n">
        <f aca="false">SUM(F$5:F1651)</f>
        <v>8</v>
      </c>
      <c r="H1651" s="16" t="n">
        <f aca="false">IF(B1651="",0,IF(COUNTIF(B$5:B1651,B1651)=1,1,0))</f>
        <v>0</v>
      </c>
      <c r="I1651" s="16" t="n">
        <f aca="false">SUM(H$5:H1651)</f>
        <v>6</v>
      </c>
    </row>
    <row r="1652" customFormat="false" ht="15" hidden="false" customHeight="false" outlineLevel="0" collapsed="false">
      <c r="A1652" s="12"/>
      <c r="B1652" s="13"/>
      <c r="C1652" s="13"/>
      <c r="D1652" s="14"/>
      <c r="E1652" s="15"/>
      <c r="F1652" s="16" t="n">
        <f aca="false">IF(C1652="",0,IF(COUNTIF(C$5:C1652,C1652)=1,1,0))</f>
        <v>0</v>
      </c>
      <c r="G1652" s="16" t="n">
        <f aca="false">SUM(F$5:F1652)</f>
        <v>8</v>
      </c>
      <c r="H1652" s="16" t="n">
        <f aca="false">IF(B1652="",0,IF(COUNTIF(B$5:B1652,B1652)=1,1,0))</f>
        <v>0</v>
      </c>
      <c r="I1652" s="16" t="n">
        <f aca="false">SUM(H$5:H1652)</f>
        <v>6</v>
      </c>
    </row>
    <row r="1653" customFormat="false" ht="15" hidden="false" customHeight="false" outlineLevel="0" collapsed="false">
      <c r="A1653" s="12"/>
      <c r="B1653" s="13"/>
      <c r="C1653" s="13"/>
      <c r="D1653" s="14"/>
      <c r="E1653" s="15"/>
      <c r="F1653" s="16" t="n">
        <f aca="false">IF(C1653="",0,IF(COUNTIF(C$5:C1653,C1653)=1,1,0))</f>
        <v>0</v>
      </c>
      <c r="G1653" s="16" t="n">
        <f aca="false">SUM(F$5:F1653)</f>
        <v>8</v>
      </c>
      <c r="H1653" s="16" t="n">
        <f aca="false">IF(B1653="",0,IF(COUNTIF(B$5:B1653,B1653)=1,1,0))</f>
        <v>0</v>
      </c>
      <c r="I1653" s="16" t="n">
        <f aca="false">SUM(H$5:H1653)</f>
        <v>6</v>
      </c>
    </row>
    <row r="1654" customFormat="false" ht="15" hidden="false" customHeight="false" outlineLevel="0" collapsed="false">
      <c r="A1654" s="12"/>
      <c r="B1654" s="13"/>
      <c r="C1654" s="13"/>
      <c r="D1654" s="14"/>
      <c r="E1654" s="15"/>
      <c r="F1654" s="16" t="n">
        <f aca="false">IF(C1654="",0,IF(COUNTIF(C$5:C1654,C1654)=1,1,0))</f>
        <v>0</v>
      </c>
      <c r="G1654" s="16" t="n">
        <f aca="false">SUM(F$5:F1654)</f>
        <v>8</v>
      </c>
      <c r="H1654" s="16" t="n">
        <f aca="false">IF(B1654="",0,IF(COUNTIF(B$5:B1654,B1654)=1,1,0))</f>
        <v>0</v>
      </c>
      <c r="I1654" s="16" t="n">
        <f aca="false">SUM(H$5:H1654)</f>
        <v>6</v>
      </c>
    </row>
    <row r="1655" customFormat="false" ht="15" hidden="false" customHeight="false" outlineLevel="0" collapsed="false">
      <c r="A1655" s="12"/>
      <c r="B1655" s="13"/>
      <c r="C1655" s="13"/>
      <c r="D1655" s="14"/>
      <c r="E1655" s="15"/>
      <c r="F1655" s="16" t="n">
        <f aca="false">IF(C1655="",0,IF(COUNTIF(C$5:C1655,C1655)=1,1,0))</f>
        <v>0</v>
      </c>
      <c r="G1655" s="16" t="n">
        <f aca="false">SUM(F$5:F1655)</f>
        <v>8</v>
      </c>
      <c r="H1655" s="16" t="n">
        <f aca="false">IF(B1655="",0,IF(COUNTIF(B$5:B1655,B1655)=1,1,0))</f>
        <v>0</v>
      </c>
      <c r="I1655" s="16" t="n">
        <f aca="false">SUM(H$5:H1655)</f>
        <v>6</v>
      </c>
    </row>
    <row r="1656" customFormat="false" ht="15" hidden="false" customHeight="false" outlineLevel="0" collapsed="false">
      <c r="A1656" s="12"/>
      <c r="B1656" s="13"/>
      <c r="C1656" s="13"/>
      <c r="D1656" s="14"/>
      <c r="E1656" s="15"/>
      <c r="F1656" s="16" t="n">
        <f aca="false">IF(C1656="",0,IF(COUNTIF(C$5:C1656,C1656)=1,1,0))</f>
        <v>0</v>
      </c>
      <c r="G1656" s="16" t="n">
        <f aca="false">SUM(F$5:F1656)</f>
        <v>8</v>
      </c>
      <c r="H1656" s="16" t="n">
        <f aca="false">IF(B1656="",0,IF(COUNTIF(B$5:B1656,B1656)=1,1,0))</f>
        <v>0</v>
      </c>
      <c r="I1656" s="16" t="n">
        <f aca="false">SUM(H$5:H1656)</f>
        <v>6</v>
      </c>
    </row>
    <row r="1657" customFormat="false" ht="15" hidden="false" customHeight="false" outlineLevel="0" collapsed="false">
      <c r="A1657" s="12"/>
      <c r="B1657" s="13"/>
      <c r="C1657" s="13"/>
      <c r="D1657" s="14"/>
      <c r="E1657" s="15"/>
      <c r="F1657" s="16" t="n">
        <f aca="false">IF(C1657="",0,IF(COUNTIF(C$5:C1657,C1657)=1,1,0))</f>
        <v>0</v>
      </c>
      <c r="G1657" s="16" t="n">
        <f aca="false">SUM(F$5:F1657)</f>
        <v>8</v>
      </c>
      <c r="H1657" s="16" t="n">
        <f aca="false">IF(B1657="",0,IF(COUNTIF(B$5:B1657,B1657)=1,1,0))</f>
        <v>0</v>
      </c>
      <c r="I1657" s="16" t="n">
        <f aca="false">SUM(H$5:H1657)</f>
        <v>6</v>
      </c>
    </row>
    <row r="1658" customFormat="false" ht="15" hidden="false" customHeight="false" outlineLevel="0" collapsed="false">
      <c r="A1658" s="12"/>
      <c r="B1658" s="13"/>
      <c r="C1658" s="13"/>
      <c r="D1658" s="14"/>
      <c r="E1658" s="15"/>
      <c r="F1658" s="16" t="n">
        <f aca="false">IF(C1658="",0,IF(COUNTIF(C$5:C1658,C1658)=1,1,0))</f>
        <v>0</v>
      </c>
      <c r="G1658" s="16" t="n">
        <f aca="false">SUM(F$5:F1658)</f>
        <v>8</v>
      </c>
      <c r="H1658" s="16" t="n">
        <f aca="false">IF(B1658="",0,IF(COUNTIF(B$5:B1658,B1658)=1,1,0))</f>
        <v>0</v>
      </c>
      <c r="I1658" s="16" t="n">
        <f aca="false">SUM(H$5:H1658)</f>
        <v>6</v>
      </c>
    </row>
    <row r="1659" customFormat="false" ht="15" hidden="false" customHeight="false" outlineLevel="0" collapsed="false">
      <c r="A1659" s="12"/>
      <c r="B1659" s="13"/>
      <c r="C1659" s="13"/>
      <c r="D1659" s="14"/>
      <c r="E1659" s="15"/>
      <c r="F1659" s="16" t="n">
        <f aca="false">IF(C1659="",0,IF(COUNTIF(C$5:C1659,C1659)=1,1,0))</f>
        <v>0</v>
      </c>
      <c r="G1659" s="16" t="n">
        <f aca="false">SUM(F$5:F1659)</f>
        <v>8</v>
      </c>
      <c r="H1659" s="16" t="n">
        <f aca="false">IF(B1659="",0,IF(COUNTIF(B$5:B1659,B1659)=1,1,0))</f>
        <v>0</v>
      </c>
      <c r="I1659" s="16" t="n">
        <f aca="false">SUM(H$5:H1659)</f>
        <v>6</v>
      </c>
    </row>
    <row r="1660" customFormat="false" ht="15" hidden="false" customHeight="false" outlineLevel="0" collapsed="false">
      <c r="A1660" s="12"/>
      <c r="B1660" s="13"/>
      <c r="C1660" s="13"/>
      <c r="D1660" s="14"/>
      <c r="E1660" s="15"/>
      <c r="F1660" s="16" t="n">
        <f aca="false">IF(C1660="",0,IF(COUNTIF(C$5:C1660,C1660)=1,1,0))</f>
        <v>0</v>
      </c>
      <c r="G1660" s="16" t="n">
        <f aca="false">SUM(F$5:F1660)</f>
        <v>8</v>
      </c>
      <c r="H1660" s="16" t="n">
        <f aca="false">IF(B1660="",0,IF(COUNTIF(B$5:B1660,B1660)=1,1,0))</f>
        <v>0</v>
      </c>
      <c r="I1660" s="16" t="n">
        <f aca="false">SUM(H$5:H1660)</f>
        <v>6</v>
      </c>
    </row>
    <row r="1661" customFormat="false" ht="15" hidden="false" customHeight="false" outlineLevel="0" collapsed="false">
      <c r="A1661" s="12"/>
      <c r="B1661" s="13"/>
      <c r="C1661" s="13"/>
      <c r="D1661" s="14"/>
      <c r="E1661" s="15"/>
      <c r="F1661" s="16" t="n">
        <f aca="false">IF(C1661="",0,IF(COUNTIF(C$5:C1661,C1661)=1,1,0))</f>
        <v>0</v>
      </c>
      <c r="G1661" s="16" t="n">
        <f aca="false">SUM(F$5:F1661)</f>
        <v>8</v>
      </c>
      <c r="H1661" s="16" t="n">
        <f aca="false">IF(B1661="",0,IF(COUNTIF(B$5:B1661,B1661)=1,1,0))</f>
        <v>0</v>
      </c>
      <c r="I1661" s="16" t="n">
        <f aca="false">SUM(H$5:H1661)</f>
        <v>6</v>
      </c>
    </row>
    <row r="1662" customFormat="false" ht="15" hidden="false" customHeight="false" outlineLevel="0" collapsed="false">
      <c r="A1662" s="12"/>
      <c r="B1662" s="13"/>
      <c r="C1662" s="13"/>
      <c r="D1662" s="14"/>
      <c r="E1662" s="15"/>
      <c r="F1662" s="16" t="n">
        <f aca="false">IF(C1662="",0,IF(COUNTIF(C$5:C1662,C1662)=1,1,0))</f>
        <v>0</v>
      </c>
      <c r="G1662" s="16" t="n">
        <f aca="false">SUM(F$5:F1662)</f>
        <v>8</v>
      </c>
      <c r="H1662" s="16" t="n">
        <f aca="false">IF(B1662="",0,IF(COUNTIF(B$5:B1662,B1662)=1,1,0))</f>
        <v>0</v>
      </c>
      <c r="I1662" s="16" t="n">
        <f aca="false">SUM(H$5:H1662)</f>
        <v>6</v>
      </c>
    </row>
    <row r="1663" customFormat="false" ht="15" hidden="false" customHeight="false" outlineLevel="0" collapsed="false">
      <c r="A1663" s="12"/>
      <c r="B1663" s="13"/>
      <c r="C1663" s="13"/>
      <c r="D1663" s="14"/>
      <c r="E1663" s="15"/>
      <c r="F1663" s="16" t="n">
        <f aca="false">IF(C1663="",0,IF(COUNTIF(C$5:C1663,C1663)=1,1,0))</f>
        <v>0</v>
      </c>
      <c r="G1663" s="16" t="n">
        <f aca="false">SUM(F$5:F1663)</f>
        <v>8</v>
      </c>
      <c r="H1663" s="16" t="n">
        <f aca="false">IF(B1663="",0,IF(COUNTIF(B$5:B1663,B1663)=1,1,0))</f>
        <v>0</v>
      </c>
      <c r="I1663" s="16" t="n">
        <f aca="false">SUM(H$5:H1663)</f>
        <v>6</v>
      </c>
    </row>
    <row r="1664" customFormat="false" ht="15" hidden="false" customHeight="false" outlineLevel="0" collapsed="false">
      <c r="A1664" s="12"/>
      <c r="B1664" s="13"/>
      <c r="C1664" s="13"/>
      <c r="D1664" s="14"/>
      <c r="E1664" s="15"/>
      <c r="F1664" s="16" t="n">
        <f aca="false">IF(C1664="",0,IF(COUNTIF(C$5:C1664,C1664)=1,1,0))</f>
        <v>0</v>
      </c>
      <c r="G1664" s="16" t="n">
        <f aca="false">SUM(F$5:F1664)</f>
        <v>8</v>
      </c>
      <c r="H1664" s="16" t="n">
        <f aca="false">IF(B1664="",0,IF(COUNTIF(B$5:B1664,B1664)=1,1,0))</f>
        <v>0</v>
      </c>
      <c r="I1664" s="16" t="n">
        <f aca="false">SUM(H$5:H1664)</f>
        <v>6</v>
      </c>
    </row>
    <row r="1665" customFormat="false" ht="15" hidden="false" customHeight="false" outlineLevel="0" collapsed="false">
      <c r="A1665" s="12"/>
      <c r="B1665" s="13"/>
      <c r="C1665" s="13"/>
      <c r="D1665" s="14"/>
      <c r="E1665" s="15"/>
      <c r="F1665" s="16" t="n">
        <f aca="false">IF(C1665="",0,IF(COUNTIF(C$5:C1665,C1665)=1,1,0))</f>
        <v>0</v>
      </c>
      <c r="G1665" s="16" t="n">
        <f aca="false">SUM(F$5:F1665)</f>
        <v>8</v>
      </c>
      <c r="H1665" s="16" t="n">
        <f aca="false">IF(B1665="",0,IF(COUNTIF(B$5:B1665,B1665)=1,1,0))</f>
        <v>0</v>
      </c>
      <c r="I1665" s="16" t="n">
        <f aca="false">SUM(H$5:H1665)</f>
        <v>6</v>
      </c>
    </row>
    <row r="1666" customFormat="false" ht="15" hidden="false" customHeight="false" outlineLevel="0" collapsed="false">
      <c r="A1666" s="12"/>
      <c r="B1666" s="13"/>
      <c r="C1666" s="13"/>
      <c r="D1666" s="14"/>
      <c r="E1666" s="15"/>
      <c r="F1666" s="16" t="n">
        <f aca="false">IF(C1666="",0,IF(COUNTIF(C$5:C1666,C1666)=1,1,0))</f>
        <v>0</v>
      </c>
      <c r="G1666" s="16" t="n">
        <f aca="false">SUM(F$5:F1666)</f>
        <v>8</v>
      </c>
      <c r="H1666" s="16" t="n">
        <f aca="false">IF(B1666="",0,IF(COUNTIF(B$5:B1666,B1666)=1,1,0))</f>
        <v>0</v>
      </c>
      <c r="I1666" s="16" t="n">
        <f aca="false">SUM(H$5:H1666)</f>
        <v>6</v>
      </c>
    </row>
    <row r="1667" customFormat="false" ht="15" hidden="false" customHeight="false" outlineLevel="0" collapsed="false">
      <c r="A1667" s="12"/>
      <c r="B1667" s="13"/>
      <c r="C1667" s="13"/>
      <c r="D1667" s="14"/>
      <c r="E1667" s="15"/>
      <c r="F1667" s="16" t="n">
        <f aca="false">IF(C1667="",0,IF(COUNTIF(C$5:C1667,C1667)=1,1,0))</f>
        <v>0</v>
      </c>
      <c r="G1667" s="16" t="n">
        <f aca="false">SUM(F$5:F1667)</f>
        <v>8</v>
      </c>
      <c r="H1667" s="16" t="n">
        <f aca="false">IF(B1667="",0,IF(COUNTIF(B$5:B1667,B1667)=1,1,0))</f>
        <v>0</v>
      </c>
      <c r="I1667" s="16" t="n">
        <f aca="false">SUM(H$5:H1667)</f>
        <v>6</v>
      </c>
    </row>
    <row r="1668" customFormat="false" ht="15" hidden="false" customHeight="false" outlineLevel="0" collapsed="false">
      <c r="A1668" s="12"/>
      <c r="B1668" s="13"/>
      <c r="C1668" s="13"/>
      <c r="D1668" s="14"/>
      <c r="E1668" s="15"/>
      <c r="F1668" s="16" t="n">
        <f aca="false">IF(C1668="",0,IF(COUNTIF(C$5:C1668,C1668)=1,1,0))</f>
        <v>0</v>
      </c>
      <c r="G1668" s="16" t="n">
        <f aca="false">SUM(F$5:F1668)</f>
        <v>8</v>
      </c>
      <c r="H1668" s="16" t="n">
        <f aca="false">IF(B1668="",0,IF(COUNTIF(B$5:B1668,B1668)=1,1,0))</f>
        <v>0</v>
      </c>
      <c r="I1668" s="16" t="n">
        <f aca="false">SUM(H$5:H1668)</f>
        <v>6</v>
      </c>
    </row>
    <row r="1669" customFormat="false" ht="15" hidden="false" customHeight="false" outlineLevel="0" collapsed="false">
      <c r="A1669" s="12"/>
      <c r="B1669" s="13"/>
      <c r="C1669" s="13"/>
      <c r="D1669" s="14"/>
      <c r="E1669" s="15"/>
      <c r="F1669" s="16" t="n">
        <f aca="false">IF(C1669="",0,IF(COUNTIF(C$5:C1669,C1669)=1,1,0))</f>
        <v>0</v>
      </c>
      <c r="G1669" s="16" t="n">
        <f aca="false">SUM(F$5:F1669)</f>
        <v>8</v>
      </c>
      <c r="H1669" s="16" t="n">
        <f aca="false">IF(B1669="",0,IF(COUNTIF(B$5:B1669,B1669)=1,1,0))</f>
        <v>0</v>
      </c>
      <c r="I1669" s="16" t="n">
        <f aca="false">SUM(H$5:H1669)</f>
        <v>6</v>
      </c>
    </row>
    <row r="1670" customFormat="false" ht="15" hidden="false" customHeight="false" outlineLevel="0" collapsed="false">
      <c r="A1670" s="12"/>
      <c r="B1670" s="13"/>
      <c r="C1670" s="13"/>
      <c r="D1670" s="14"/>
      <c r="E1670" s="15"/>
      <c r="F1670" s="16" t="n">
        <f aca="false">IF(C1670="",0,IF(COUNTIF(C$5:C1670,C1670)=1,1,0))</f>
        <v>0</v>
      </c>
      <c r="G1670" s="16" t="n">
        <f aca="false">SUM(F$5:F1670)</f>
        <v>8</v>
      </c>
      <c r="H1670" s="16" t="n">
        <f aca="false">IF(B1670="",0,IF(COUNTIF(B$5:B1670,B1670)=1,1,0))</f>
        <v>0</v>
      </c>
      <c r="I1670" s="16" t="n">
        <f aca="false">SUM(H$5:H1670)</f>
        <v>6</v>
      </c>
    </row>
    <row r="1671" customFormat="false" ht="15" hidden="false" customHeight="false" outlineLevel="0" collapsed="false">
      <c r="A1671" s="12"/>
      <c r="B1671" s="13"/>
      <c r="C1671" s="13"/>
      <c r="D1671" s="14"/>
      <c r="E1671" s="15"/>
      <c r="F1671" s="16" t="n">
        <f aca="false">IF(C1671="",0,IF(COUNTIF(C$5:C1671,C1671)=1,1,0))</f>
        <v>0</v>
      </c>
      <c r="G1671" s="16" t="n">
        <f aca="false">SUM(F$5:F1671)</f>
        <v>8</v>
      </c>
      <c r="H1671" s="16" t="n">
        <f aca="false">IF(B1671="",0,IF(COUNTIF(B$5:B1671,B1671)=1,1,0))</f>
        <v>0</v>
      </c>
      <c r="I1671" s="16" t="n">
        <f aca="false">SUM(H$5:H1671)</f>
        <v>6</v>
      </c>
    </row>
    <row r="1672" customFormat="false" ht="15" hidden="false" customHeight="false" outlineLevel="0" collapsed="false">
      <c r="A1672" s="12"/>
      <c r="B1672" s="13"/>
      <c r="C1672" s="13"/>
      <c r="D1672" s="14"/>
      <c r="E1672" s="15"/>
      <c r="F1672" s="16" t="n">
        <f aca="false">IF(C1672="",0,IF(COUNTIF(C$5:C1672,C1672)=1,1,0))</f>
        <v>0</v>
      </c>
      <c r="G1672" s="16" t="n">
        <f aca="false">SUM(F$5:F1672)</f>
        <v>8</v>
      </c>
      <c r="H1672" s="16" t="n">
        <f aca="false">IF(B1672="",0,IF(COUNTIF(B$5:B1672,B1672)=1,1,0))</f>
        <v>0</v>
      </c>
      <c r="I1672" s="16" t="n">
        <f aca="false">SUM(H$5:H1672)</f>
        <v>6</v>
      </c>
    </row>
    <row r="1673" customFormat="false" ht="15" hidden="false" customHeight="false" outlineLevel="0" collapsed="false">
      <c r="A1673" s="12"/>
      <c r="B1673" s="13"/>
      <c r="C1673" s="13"/>
      <c r="D1673" s="14"/>
      <c r="E1673" s="15"/>
      <c r="F1673" s="16" t="n">
        <f aca="false">IF(C1673="",0,IF(COUNTIF(C$5:C1673,C1673)=1,1,0))</f>
        <v>0</v>
      </c>
      <c r="G1673" s="16" t="n">
        <f aca="false">SUM(F$5:F1673)</f>
        <v>8</v>
      </c>
      <c r="H1673" s="16" t="n">
        <f aca="false">IF(B1673="",0,IF(COUNTIF(B$5:B1673,B1673)=1,1,0))</f>
        <v>0</v>
      </c>
      <c r="I1673" s="16" t="n">
        <f aca="false">SUM(H$5:H1673)</f>
        <v>6</v>
      </c>
    </row>
    <row r="1674" customFormat="false" ht="15" hidden="false" customHeight="false" outlineLevel="0" collapsed="false">
      <c r="A1674" s="12"/>
      <c r="B1674" s="13"/>
      <c r="C1674" s="13"/>
      <c r="D1674" s="14"/>
      <c r="E1674" s="15"/>
      <c r="F1674" s="16" t="n">
        <f aca="false">IF(C1674="",0,IF(COUNTIF(C$5:C1674,C1674)=1,1,0))</f>
        <v>0</v>
      </c>
      <c r="G1674" s="16" t="n">
        <f aca="false">SUM(F$5:F1674)</f>
        <v>8</v>
      </c>
      <c r="H1674" s="16" t="n">
        <f aca="false">IF(B1674="",0,IF(COUNTIF(B$5:B1674,B1674)=1,1,0))</f>
        <v>0</v>
      </c>
      <c r="I1674" s="16" t="n">
        <f aca="false">SUM(H$5:H1674)</f>
        <v>6</v>
      </c>
    </row>
    <row r="1675" customFormat="false" ht="15" hidden="false" customHeight="false" outlineLevel="0" collapsed="false">
      <c r="A1675" s="12"/>
      <c r="B1675" s="13"/>
      <c r="C1675" s="13"/>
      <c r="D1675" s="14"/>
      <c r="E1675" s="15"/>
      <c r="F1675" s="16" t="n">
        <f aca="false">IF(C1675="",0,IF(COUNTIF(C$5:C1675,C1675)=1,1,0))</f>
        <v>0</v>
      </c>
      <c r="G1675" s="16" t="n">
        <f aca="false">SUM(F$5:F1675)</f>
        <v>8</v>
      </c>
      <c r="H1675" s="16" t="n">
        <f aca="false">IF(B1675="",0,IF(COUNTIF(B$5:B1675,B1675)=1,1,0))</f>
        <v>0</v>
      </c>
      <c r="I1675" s="16" t="n">
        <f aca="false">SUM(H$5:H1675)</f>
        <v>6</v>
      </c>
    </row>
    <row r="1676" customFormat="false" ht="15" hidden="false" customHeight="false" outlineLevel="0" collapsed="false">
      <c r="A1676" s="12"/>
      <c r="B1676" s="13"/>
      <c r="C1676" s="13"/>
      <c r="D1676" s="14"/>
      <c r="E1676" s="15"/>
      <c r="F1676" s="16" t="n">
        <f aca="false">IF(C1676="",0,IF(COUNTIF(C$5:C1676,C1676)=1,1,0))</f>
        <v>0</v>
      </c>
      <c r="G1676" s="16" t="n">
        <f aca="false">SUM(F$5:F1676)</f>
        <v>8</v>
      </c>
      <c r="H1676" s="16" t="n">
        <f aca="false">IF(B1676="",0,IF(COUNTIF(B$5:B1676,B1676)=1,1,0))</f>
        <v>0</v>
      </c>
      <c r="I1676" s="16" t="n">
        <f aca="false">SUM(H$5:H1676)</f>
        <v>6</v>
      </c>
    </row>
    <row r="1677" customFormat="false" ht="15" hidden="false" customHeight="false" outlineLevel="0" collapsed="false">
      <c r="A1677" s="12"/>
      <c r="B1677" s="13"/>
      <c r="C1677" s="13"/>
      <c r="D1677" s="14"/>
      <c r="E1677" s="15"/>
      <c r="F1677" s="16" t="n">
        <f aca="false">IF(C1677="",0,IF(COUNTIF(C$5:C1677,C1677)=1,1,0))</f>
        <v>0</v>
      </c>
      <c r="G1677" s="16" t="n">
        <f aca="false">SUM(F$5:F1677)</f>
        <v>8</v>
      </c>
      <c r="H1677" s="16" t="n">
        <f aca="false">IF(B1677="",0,IF(COUNTIF(B$5:B1677,B1677)=1,1,0))</f>
        <v>0</v>
      </c>
      <c r="I1677" s="16" t="n">
        <f aca="false">SUM(H$5:H1677)</f>
        <v>6</v>
      </c>
    </row>
    <row r="1678" customFormat="false" ht="15" hidden="false" customHeight="false" outlineLevel="0" collapsed="false">
      <c r="A1678" s="12"/>
      <c r="B1678" s="13"/>
      <c r="C1678" s="13"/>
      <c r="D1678" s="14"/>
      <c r="E1678" s="15"/>
      <c r="F1678" s="16" t="n">
        <f aca="false">IF(C1678="",0,IF(COUNTIF(C$5:C1678,C1678)=1,1,0))</f>
        <v>0</v>
      </c>
      <c r="G1678" s="16" t="n">
        <f aca="false">SUM(F$5:F1678)</f>
        <v>8</v>
      </c>
      <c r="H1678" s="16" t="n">
        <f aca="false">IF(B1678="",0,IF(COUNTIF(B$5:B1678,B1678)=1,1,0))</f>
        <v>0</v>
      </c>
      <c r="I1678" s="16" t="n">
        <f aca="false">SUM(H$5:H1678)</f>
        <v>6</v>
      </c>
    </row>
    <row r="1679" customFormat="false" ht="15" hidden="false" customHeight="false" outlineLevel="0" collapsed="false">
      <c r="A1679" s="12"/>
      <c r="B1679" s="13"/>
      <c r="C1679" s="13"/>
      <c r="D1679" s="14"/>
      <c r="E1679" s="15"/>
      <c r="F1679" s="16" t="n">
        <f aca="false">IF(C1679="",0,IF(COUNTIF(C$5:C1679,C1679)=1,1,0))</f>
        <v>0</v>
      </c>
      <c r="G1679" s="16" t="n">
        <f aca="false">SUM(F$5:F1679)</f>
        <v>8</v>
      </c>
      <c r="H1679" s="16" t="n">
        <f aca="false">IF(B1679="",0,IF(COUNTIF(B$5:B1679,B1679)=1,1,0))</f>
        <v>0</v>
      </c>
      <c r="I1679" s="16" t="n">
        <f aca="false">SUM(H$5:H1679)</f>
        <v>6</v>
      </c>
    </row>
    <row r="1680" customFormat="false" ht="15" hidden="false" customHeight="false" outlineLevel="0" collapsed="false">
      <c r="A1680" s="12"/>
      <c r="B1680" s="13"/>
      <c r="C1680" s="13"/>
      <c r="D1680" s="14"/>
      <c r="E1680" s="15"/>
      <c r="F1680" s="16" t="n">
        <f aca="false">IF(C1680="",0,IF(COUNTIF(C$5:C1680,C1680)=1,1,0))</f>
        <v>0</v>
      </c>
      <c r="G1680" s="16" t="n">
        <f aca="false">SUM(F$5:F1680)</f>
        <v>8</v>
      </c>
      <c r="H1680" s="16" t="n">
        <f aca="false">IF(B1680="",0,IF(COUNTIF(B$5:B1680,B1680)=1,1,0))</f>
        <v>0</v>
      </c>
      <c r="I1680" s="16" t="n">
        <f aca="false">SUM(H$5:H1680)</f>
        <v>6</v>
      </c>
    </row>
    <row r="1681" customFormat="false" ht="15" hidden="false" customHeight="false" outlineLevel="0" collapsed="false">
      <c r="A1681" s="12"/>
      <c r="B1681" s="13"/>
      <c r="C1681" s="13"/>
      <c r="D1681" s="14"/>
      <c r="E1681" s="15"/>
      <c r="F1681" s="16" t="n">
        <f aca="false">IF(C1681="",0,IF(COUNTIF(C$5:C1681,C1681)=1,1,0))</f>
        <v>0</v>
      </c>
      <c r="G1681" s="16" t="n">
        <f aca="false">SUM(F$5:F1681)</f>
        <v>8</v>
      </c>
      <c r="H1681" s="16" t="n">
        <f aca="false">IF(B1681="",0,IF(COUNTIF(B$5:B1681,B1681)=1,1,0))</f>
        <v>0</v>
      </c>
      <c r="I1681" s="16" t="n">
        <f aca="false">SUM(H$5:H1681)</f>
        <v>6</v>
      </c>
    </row>
    <row r="1682" customFormat="false" ht="15" hidden="false" customHeight="false" outlineLevel="0" collapsed="false">
      <c r="A1682" s="12"/>
      <c r="B1682" s="13"/>
      <c r="C1682" s="13"/>
      <c r="D1682" s="14"/>
      <c r="E1682" s="15"/>
      <c r="F1682" s="16" t="n">
        <f aca="false">IF(C1682="",0,IF(COUNTIF(C$5:C1682,C1682)=1,1,0))</f>
        <v>0</v>
      </c>
      <c r="G1682" s="16" t="n">
        <f aca="false">SUM(F$5:F1682)</f>
        <v>8</v>
      </c>
      <c r="H1682" s="16" t="n">
        <f aca="false">IF(B1682="",0,IF(COUNTIF(B$5:B1682,B1682)=1,1,0))</f>
        <v>0</v>
      </c>
      <c r="I1682" s="16" t="n">
        <f aca="false">SUM(H$5:H1682)</f>
        <v>6</v>
      </c>
    </row>
    <row r="1683" customFormat="false" ht="15" hidden="false" customHeight="false" outlineLevel="0" collapsed="false">
      <c r="A1683" s="12"/>
      <c r="B1683" s="13"/>
      <c r="C1683" s="13"/>
      <c r="D1683" s="14"/>
      <c r="E1683" s="15"/>
      <c r="F1683" s="16" t="n">
        <f aca="false">IF(C1683="",0,IF(COUNTIF(C$5:C1683,C1683)=1,1,0))</f>
        <v>0</v>
      </c>
      <c r="G1683" s="16" t="n">
        <f aca="false">SUM(F$5:F1683)</f>
        <v>8</v>
      </c>
      <c r="H1683" s="16" t="n">
        <f aca="false">IF(B1683="",0,IF(COUNTIF(B$5:B1683,B1683)=1,1,0))</f>
        <v>0</v>
      </c>
      <c r="I1683" s="16" t="n">
        <f aca="false">SUM(H$5:H1683)</f>
        <v>6</v>
      </c>
    </row>
    <row r="1684" customFormat="false" ht="15" hidden="false" customHeight="false" outlineLevel="0" collapsed="false">
      <c r="A1684" s="12"/>
      <c r="B1684" s="13"/>
      <c r="C1684" s="13"/>
      <c r="D1684" s="14"/>
      <c r="E1684" s="15"/>
      <c r="F1684" s="16" t="n">
        <f aca="false">IF(C1684="",0,IF(COUNTIF(C$5:C1684,C1684)=1,1,0))</f>
        <v>0</v>
      </c>
      <c r="G1684" s="16" t="n">
        <f aca="false">SUM(F$5:F1684)</f>
        <v>8</v>
      </c>
      <c r="H1684" s="16" t="n">
        <f aca="false">IF(B1684="",0,IF(COUNTIF(B$5:B1684,B1684)=1,1,0))</f>
        <v>0</v>
      </c>
      <c r="I1684" s="16" t="n">
        <f aca="false">SUM(H$5:H1684)</f>
        <v>6</v>
      </c>
    </row>
    <row r="1685" customFormat="false" ht="15" hidden="false" customHeight="false" outlineLevel="0" collapsed="false">
      <c r="A1685" s="12"/>
      <c r="B1685" s="13"/>
      <c r="C1685" s="13"/>
      <c r="D1685" s="14"/>
      <c r="E1685" s="15"/>
      <c r="F1685" s="16" t="n">
        <f aca="false">IF(C1685="",0,IF(COUNTIF(C$5:C1685,C1685)=1,1,0))</f>
        <v>0</v>
      </c>
      <c r="G1685" s="16" t="n">
        <f aca="false">SUM(F$5:F1685)</f>
        <v>8</v>
      </c>
      <c r="H1685" s="16" t="n">
        <f aca="false">IF(B1685="",0,IF(COUNTIF(B$5:B1685,B1685)=1,1,0))</f>
        <v>0</v>
      </c>
      <c r="I1685" s="16" t="n">
        <f aca="false">SUM(H$5:H1685)</f>
        <v>6</v>
      </c>
    </row>
    <row r="1686" customFormat="false" ht="15" hidden="false" customHeight="false" outlineLevel="0" collapsed="false">
      <c r="A1686" s="12"/>
      <c r="B1686" s="13"/>
      <c r="C1686" s="13"/>
      <c r="D1686" s="14"/>
      <c r="E1686" s="15"/>
      <c r="F1686" s="16" t="n">
        <f aca="false">IF(C1686="",0,IF(COUNTIF(C$5:C1686,C1686)=1,1,0))</f>
        <v>0</v>
      </c>
      <c r="G1686" s="16" t="n">
        <f aca="false">SUM(F$5:F1686)</f>
        <v>8</v>
      </c>
      <c r="H1686" s="16" t="n">
        <f aca="false">IF(B1686="",0,IF(COUNTIF(B$5:B1686,B1686)=1,1,0))</f>
        <v>0</v>
      </c>
      <c r="I1686" s="16" t="n">
        <f aca="false">SUM(H$5:H1686)</f>
        <v>6</v>
      </c>
    </row>
    <row r="1687" customFormat="false" ht="15" hidden="false" customHeight="false" outlineLevel="0" collapsed="false">
      <c r="A1687" s="12"/>
      <c r="B1687" s="13"/>
      <c r="C1687" s="13"/>
      <c r="D1687" s="14"/>
      <c r="E1687" s="15"/>
      <c r="F1687" s="16" t="n">
        <f aca="false">IF(C1687="",0,IF(COUNTIF(C$5:C1687,C1687)=1,1,0))</f>
        <v>0</v>
      </c>
      <c r="G1687" s="16" t="n">
        <f aca="false">SUM(F$5:F1687)</f>
        <v>8</v>
      </c>
      <c r="H1687" s="16" t="n">
        <f aca="false">IF(B1687="",0,IF(COUNTIF(B$5:B1687,B1687)=1,1,0))</f>
        <v>0</v>
      </c>
      <c r="I1687" s="16" t="n">
        <f aca="false">SUM(H$5:H1687)</f>
        <v>6</v>
      </c>
    </row>
    <row r="1688" customFormat="false" ht="15" hidden="false" customHeight="false" outlineLevel="0" collapsed="false">
      <c r="A1688" s="12"/>
      <c r="B1688" s="13"/>
      <c r="C1688" s="13"/>
      <c r="D1688" s="14"/>
      <c r="E1688" s="15"/>
      <c r="F1688" s="16" t="n">
        <f aca="false">IF(C1688="",0,IF(COUNTIF(C$5:C1688,C1688)=1,1,0))</f>
        <v>0</v>
      </c>
      <c r="G1688" s="16" t="n">
        <f aca="false">SUM(F$5:F1688)</f>
        <v>8</v>
      </c>
      <c r="H1688" s="16" t="n">
        <f aca="false">IF(B1688="",0,IF(COUNTIF(B$5:B1688,B1688)=1,1,0))</f>
        <v>0</v>
      </c>
      <c r="I1688" s="16" t="n">
        <f aca="false">SUM(H$5:H1688)</f>
        <v>6</v>
      </c>
    </row>
    <row r="1689" customFormat="false" ht="15" hidden="false" customHeight="false" outlineLevel="0" collapsed="false">
      <c r="A1689" s="12"/>
      <c r="B1689" s="13"/>
      <c r="C1689" s="13"/>
      <c r="D1689" s="14"/>
      <c r="E1689" s="15"/>
      <c r="F1689" s="16" t="n">
        <f aca="false">IF(C1689="",0,IF(COUNTIF(C$5:C1689,C1689)=1,1,0))</f>
        <v>0</v>
      </c>
      <c r="G1689" s="16" t="n">
        <f aca="false">SUM(F$5:F1689)</f>
        <v>8</v>
      </c>
      <c r="H1689" s="16" t="n">
        <f aca="false">IF(B1689="",0,IF(COUNTIF(B$5:B1689,B1689)=1,1,0))</f>
        <v>0</v>
      </c>
      <c r="I1689" s="16" t="n">
        <f aca="false">SUM(H$5:H1689)</f>
        <v>6</v>
      </c>
    </row>
    <row r="1690" customFormat="false" ht="15" hidden="false" customHeight="false" outlineLevel="0" collapsed="false">
      <c r="A1690" s="12"/>
      <c r="B1690" s="13"/>
      <c r="C1690" s="13"/>
      <c r="D1690" s="14"/>
      <c r="E1690" s="15"/>
      <c r="F1690" s="16" t="n">
        <f aca="false">IF(C1690="",0,IF(COUNTIF(C$5:C1690,C1690)=1,1,0))</f>
        <v>0</v>
      </c>
      <c r="G1690" s="16" t="n">
        <f aca="false">SUM(F$5:F1690)</f>
        <v>8</v>
      </c>
      <c r="H1690" s="16" t="n">
        <f aca="false">IF(B1690="",0,IF(COUNTIF(B$5:B1690,B1690)=1,1,0))</f>
        <v>0</v>
      </c>
      <c r="I1690" s="16" t="n">
        <f aca="false">SUM(H$5:H1690)</f>
        <v>6</v>
      </c>
    </row>
    <row r="1691" customFormat="false" ht="15" hidden="false" customHeight="false" outlineLevel="0" collapsed="false">
      <c r="A1691" s="12"/>
      <c r="B1691" s="13"/>
      <c r="C1691" s="13"/>
      <c r="D1691" s="14"/>
      <c r="E1691" s="15"/>
      <c r="F1691" s="16" t="n">
        <f aca="false">IF(C1691="",0,IF(COUNTIF(C$5:C1691,C1691)=1,1,0))</f>
        <v>0</v>
      </c>
      <c r="G1691" s="16" t="n">
        <f aca="false">SUM(F$5:F1691)</f>
        <v>8</v>
      </c>
      <c r="H1691" s="16" t="n">
        <f aca="false">IF(B1691="",0,IF(COUNTIF(B$5:B1691,B1691)=1,1,0))</f>
        <v>0</v>
      </c>
      <c r="I1691" s="16" t="n">
        <f aca="false">SUM(H$5:H1691)</f>
        <v>6</v>
      </c>
    </row>
    <row r="1692" customFormat="false" ht="15" hidden="false" customHeight="false" outlineLevel="0" collapsed="false">
      <c r="A1692" s="12"/>
      <c r="B1692" s="13"/>
      <c r="C1692" s="13"/>
      <c r="D1692" s="14"/>
      <c r="E1692" s="15"/>
      <c r="F1692" s="16" t="n">
        <f aca="false">IF(C1692="",0,IF(COUNTIF(C$5:C1692,C1692)=1,1,0))</f>
        <v>0</v>
      </c>
      <c r="G1692" s="16" t="n">
        <f aca="false">SUM(F$5:F1692)</f>
        <v>8</v>
      </c>
      <c r="H1692" s="16" t="n">
        <f aca="false">IF(B1692="",0,IF(COUNTIF(B$5:B1692,B1692)=1,1,0))</f>
        <v>0</v>
      </c>
      <c r="I1692" s="16" t="n">
        <f aca="false">SUM(H$5:H1692)</f>
        <v>6</v>
      </c>
    </row>
    <row r="1693" customFormat="false" ht="15" hidden="false" customHeight="false" outlineLevel="0" collapsed="false">
      <c r="A1693" s="12"/>
      <c r="B1693" s="13"/>
      <c r="C1693" s="13"/>
      <c r="D1693" s="14"/>
      <c r="E1693" s="15"/>
      <c r="F1693" s="16" t="n">
        <f aca="false">IF(C1693="",0,IF(COUNTIF(C$5:C1693,C1693)=1,1,0))</f>
        <v>0</v>
      </c>
      <c r="G1693" s="16" t="n">
        <f aca="false">SUM(F$5:F1693)</f>
        <v>8</v>
      </c>
      <c r="H1693" s="16" t="n">
        <f aca="false">IF(B1693="",0,IF(COUNTIF(B$5:B1693,B1693)=1,1,0))</f>
        <v>0</v>
      </c>
      <c r="I1693" s="16" t="n">
        <f aca="false">SUM(H$5:H1693)</f>
        <v>6</v>
      </c>
    </row>
    <row r="1694" customFormat="false" ht="15" hidden="false" customHeight="false" outlineLevel="0" collapsed="false">
      <c r="A1694" s="12"/>
      <c r="B1694" s="13"/>
      <c r="C1694" s="13"/>
      <c r="D1694" s="14"/>
      <c r="E1694" s="15"/>
      <c r="F1694" s="16" t="n">
        <f aca="false">IF(C1694="",0,IF(COUNTIF(C$5:C1694,C1694)=1,1,0))</f>
        <v>0</v>
      </c>
      <c r="G1694" s="16" t="n">
        <f aca="false">SUM(F$5:F1694)</f>
        <v>8</v>
      </c>
      <c r="H1694" s="16" t="n">
        <f aca="false">IF(B1694="",0,IF(COUNTIF(B$5:B1694,B1694)=1,1,0))</f>
        <v>0</v>
      </c>
      <c r="I1694" s="16" t="n">
        <f aca="false">SUM(H$5:H1694)</f>
        <v>6</v>
      </c>
    </row>
    <row r="1695" customFormat="false" ht="15" hidden="false" customHeight="false" outlineLevel="0" collapsed="false">
      <c r="A1695" s="12"/>
      <c r="B1695" s="13"/>
      <c r="C1695" s="13"/>
      <c r="D1695" s="14"/>
      <c r="E1695" s="15"/>
      <c r="F1695" s="16" t="n">
        <f aca="false">IF(C1695="",0,IF(COUNTIF(C$5:C1695,C1695)=1,1,0))</f>
        <v>0</v>
      </c>
      <c r="G1695" s="16" t="n">
        <f aca="false">SUM(F$5:F1695)</f>
        <v>8</v>
      </c>
      <c r="H1695" s="16" t="n">
        <f aca="false">IF(B1695="",0,IF(COUNTIF(B$5:B1695,B1695)=1,1,0))</f>
        <v>0</v>
      </c>
      <c r="I1695" s="16" t="n">
        <f aca="false">SUM(H$5:H1695)</f>
        <v>6</v>
      </c>
    </row>
    <row r="1696" customFormat="false" ht="15" hidden="false" customHeight="false" outlineLevel="0" collapsed="false">
      <c r="A1696" s="12"/>
      <c r="B1696" s="13"/>
      <c r="C1696" s="13"/>
      <c r="D1696" s="14"/>
      <c r="E1696" s="15"/>
      <c r="F1696" s="16" t="n">
        <f aca="false">IF(C1696="",0,IF(COUNTIF(C$5:C1696,C1696)=1,1,0))</f>
        <v>0</v>
      </c>
      <c r="G1696" s="16" t="n">
        <f aca="false">SUM(F$5:F1696)</f>
        <v>8</v>
      </c>
      <c r="H1696" s="16" t="n">
        <f aca="false">IF(B1696="",0,IF(COUNTIF(B$5:B1696,B1696)=1,1,0))</f>
        <v>0</v>
      </c>
      <c r="I1696" s="16" t="n">
        <f aca="false">SUM(H$5:H1696)</f>
        <v>6</v>
      </c>
    </row>
    <row r="1697" customFormat="false" ht="15" hidden="false" customHeight="false" outlineLevel="0" collapsed="false">
      <c r="A1697" s="12"/>
      <c r="B1697" s="13"/>
      <c r="C1697" s="13"/>
      <c r="D1697" s="14"/>
      <c r="E1697" s="15"/>
      <c r="F1697" s="16" t="n">
        <f aca="false">IF(C1697="",0,IF(COUNTIF(C$5:C1697,C1697)=1,1,0))</f>
        <v>0</v>
      </c>
      <c r="G1697" s="16" t="n">
        <f aca="false">SUM(F$5:F1697)</f>
        <v>8</v>
      </c>
      <c r="H1697" s="16" t="n">
        <f aca="false">IF(B1697="",0,IF(COUNTIF(B$5:B1697,B1697)=1,1,0))</f>
        <v>0</v>
      </c>
      <c r="I1697" s="16" t="n">
        <f aca="false">SUM(H$5:H1697)</f>
        <v>6</v>
      </c>
    </row>
    <row r="1698" customFormat="false" ht="15" hidden="false" customHeight="false" outlineLevel="0" collapsed="false">
      <c r="A1698" s="12"/>
      <c r="B1698" s="13"/>
      <c r="C1698" s="13"/>
      <c r="D1698" s="14"/>
      <c r="E1698" s="15"/>
      <c r="F1698" s="16" t="n">
        <f aca="false">IF(C1698="",0,IF(COUNTIF(C$5:C1698,C1698)=1,1,0))</f>
        <v>0</v>
      </c>
      <c r="G1698" s="16" t="n">
        <f aca="false">SUM(F$5:F1698)</f>
        <v>8</v>
      </c>
      <c r="H1698" s="16" t="n">
        <f aca="false">IF(B1698="",0,IF(COUNTIF(B$5:B1698,B1698)=1,1,0))</f>
        <v>0</v>
      </c>
      <c r="I1698" s="16" t="n">
        <f aca="false">SUM(H$5:H1698)</f>
        <v>6</v>
      </c>
    </row>
    <row r="1699" customFormat="false" ht="15" hidden="false" customHeight="false" outlineLevel="0" collapsed="false">
      <c r="A1699" s="12"/>
      <c r="B1699" s="13"/>
      <c r="C1699" s="13"/>
      <c r="D1699" s="14"/>
      <c r="E1699" s="15"/>
      <c r="F1699" s="16" t="n">
        <f aca="false">IF(C1699="",0,IF(COUNTIF(C$5:C1699,C1699)=1,1,0))</f>
        <v>0</v>
      </c>
      <c r="G1699" s="16" t="n">
        <f aca="false">SUM(F$5:F1699)</f>
        <v>8</v>
      </c>
      <c r="H1699" s="16" t="n">
        <f aca="false">IF(B1699="",0,IF(COUNTIF(B$5:B1699,B1699)=1,1,0))</f>
        <v>0</v>
      </c>
      <c r="I1699" s="16" t="n">
        <f aca="false">SUM(H$5:H1699)</f>
        <v>6</v>
      </c>
    </row>
    <row r="1700" customFormat="false" ht="15" hidden="false" customHeight="false" outlineLevel="0" collapsed="false">
      <c r="A1700" s="12"/>
      <c r="B1700" s="13"/>
      <c r="C1700" s="13"/>
      <c r="D1700" s="14"/>
      <c r="E1700" s="15"/>
      <c r="F1700" s="16" t="n">
        <f aca="false">IF(C1700="",0,IF(COUNTIF(C$5:C1700,C1700)=1,1,0))</f>
        <v>0</v>
      </c>
      <c r="G1700" s="16" t="n">
        <f aca="false">SUM(F$5:F1700)</f>
        <v>8</v>
      </c>
      <c r="H1700" s="16" t="n">
        <f aca="false">IF(B1700="",0,IF(COUNTIF(B$5:B1700,B1700)=1,1,0))</f>
        <v>0</v>
      </c>
      <c r="I1700" s="16" t="n">
        <f aca="false">SUM(H$5:H1700)</f>
        <v>6</v>
      </c>
    </row>
    <row r="1701" customFormat="false" ht="15" hidden="false" customHeight="false" outlineLevel="0" collapsed="false">
      <c r="A1701" s="12"/>
      <c r="B1701" s="13"/>
      <c r="C1701" s="13"/>
      <c r="D1701" s="14"/>
      <c r="E1701" s="15"/>
      <c r="F1701" s="16" t="n">
        <f aca="false">IF(C1701="",0,IF(COUNTIF(C$5:C1701,C1701)=1,1,0))</f>
        <v>0</v>
      </c>
      <c r="G1701" s="16" t="n">
        <f aca="false">SUM(F$5:F1701)</f>
        <v>8</v>
      </c>
      <c r="H1701" s="16" t="n">
        <f aca="false">IF(B1701="",0,IF(COUNTIF(B$5:B1701,B1701)=1,1,0))</f>
        <v>0</v>
      </c>
      <c r="I1701" s="16" t="n">
        <f aca="false">SUM(H$5:H1701)</f>
        <v>6</v>
      </c>
    </row>
    <row r="1702" customFormat="false" ht="15" hidden="false" customHeight="false" outlineLevel="0" collapsed="false">
      <c r="A1702" s="12"/>
      <c r="B1702" s="13"/>
      <c r="C1702" s="13"/>
      <c r="D1702" s="14"/>
      <c r="E1702" s="15"/>
      <c r="F1702" s="16" t="n">
        <f aca="false">IF(C1702="",0,IF(COUNTIF(C$5:C1702,C1702)=1,1,0))</f>
        <v>0</v>
      </c>
      <c r="G1702" s="16" t="n">
        <f aca="false">SUM(F$5:F1702)</f>
        <v>8</v>
      </c>
      <c r="H1702" s="16" t="n">
        <f aca="false">IF(B1702="",0,IF(COUNTIF(B$5:B1702,B1702)=1,1,0))</f>
        <v>0</v>
      </c>
      <c r="I1702" s="16" t="n">
        <f aca="false">SUM(H$5:H1702)</f>
        <v>6</v>
      </c>
    </row>
    <row r="1703" customFormat="false" ht="15" hidden="false" customHeight="false" outlineLevel="0" collapsed="false">
      <c r="A1703" s="12"/>
      <c r="B1703" s="13"/>
      <c r="C1703" s="13"/>
      <c r="D1703" s="14"/>
      <c r="E1703" s="15"/>
      <c r="F1703" s="16" t="n">
        <f aca="false">IF(C1703="",0,IF(COUNTIF(C$5:C1703,C1703)=1,1,0))</f>
        <v>0</v>
      </c>
      <c r="G1703" s="16" t="n">
        <f aca="false">SUM(F$5:F1703)</f>
        <v>8</v>
      </c>
      <c r="H1703" s="16" t="n">
        <f aca="false">IF(B1703="",0,IF(COUNTIF(B$5:B1703,B1703)=1,1,0))</f>
        <v>0</v>
      </c>
      <c r="I1703" s="16" t="n">
        <f aca="false">SUM(H$5:H1703)</f>
        <v>6</v>
      </c>
    </row>
    <row r="1704" customFormat="false" ht="15" hidden="false" customHeight="false" outlineLevel="0" collapsed="false">
      <c r="A1704" s="12"/>
      <c r="B1704" s="13"/>
      <c r="C1704" s="13"/>
      <c r="D1704" s="14"/>
      <c r="E1704" s="15"/>
      <c r="F1704" s="16" t="n">
        <f aca="false">IF(C1704="",0,IF(COUNTIF(C$5:C1704,C1704)=1,1,0))</f>
        <v>0</v>
      </c>
      <c r="G1704" s="16" t="n">
        <f aca="false">SUM(F$5:F1704)</f>
        <v>8</v>
      </c>
      <c r="H1704" s="16" t="n">
        <f aca="false">IF(B1704="",0,IF(COUNTIF(B$5:B1704,B1704)=1,1,0))</f>
        <v>0</v>
      </c>
      <c r="I1704" s="16" t="n">
        <f aca="false">SUM(H$5:H1704)</f>
        <v>6</v>
      </c>
    </row>
    <row r="1705" customFormat="false" ht="15" hidden="false" customHeight="false" outlineLevel="0" collapsed="false">
      <c r="A1705" s="12"/>
      <c r="B1705" s="13"/>
      <c r="C1705" s="13"/>
      <c r="D1705" s="14"/>
      <c r="E1705" s="15"/>
      <c r="F1705" s="16" t="n">
        <f aca="false">IF(C1705="",0,IF(COUNTIF(C$5:C1705,C1705)=1,1,0))</f>
        <v>0</v>
      </c>
      <c r="G1705" s="16" t="n">
        <f aca="false">SUM(F$5:F1705)</f>
        <v>8</v>
      </c>
      <c r="H1705" s="16" t="n">
        <f aca="false">IF(B1705="",0,IF(COUNTIF(B$5:B1705,B1705)=1,1,0))</f>
        <v>0</v>
      </c>
      <c r="I1705" s="16" t="n">
        <f aca="false">SUM(H$5:H1705)</f>
        <v>6</v>
      </c>
    </row>
    <row r="1706" customFormat="false" ht="15" hidden="false" customHeight="false" outlineLevel="0" collapsed="false">
      <c r="A1706" s="12"/>
      <c r="B1706" s="13"/>
      <c r="C1706" s="13"/>
      <c r="D1706" s="14"/>
      <c r="E1706" s="15"/>
      <c r="F1706" s="16" t="n">
        <f aca="false">IF(C1706="",0,IF(COUNTIF(C$5:C1706,C1706)=1,1,0))</f>
        <v>0</v>
      </c>
      <c r="G1706" s="16" t="n">
        <f aca="false">SUM(F$5:F1706)</f>
        <v>8</v>
      </c>
      <c r="H1706" s="16" t="n">
        <f aca="false">IF(B1706="",0,IF(COUNTIF(B$5:B1706,B1706)=1,1,0))</f>
        <v>0</v>
      </c>
      <c r="I1706" s="16" t="n">
        <f aca="false">SUM(H$5:H1706)</f>
        <v>6</v>
      </c>
    </row>
    <row r="1707" customFormat="false" ht="15" hidden="false" customHeight="false" outlineLevel="0" collapsed="false">
      <c r="A1707" s="12"/>
      <c r="B1707" s="13"/>
      <c r="C1707" s="13"/>
      <c r="D1707" s="14"/>
      <c r="E1707" s="15"/>
      <c r="F1707" s="16" t="n">
        <f aca="false">IF(C1707="",0,IF(COUNTIF(C$5:C1707,C1707)=1,1,0))</f>
        <v>0</v>
      </c>
      <c r="G1707" s="16" t="n">
        <f aca="false">SUM(F$5:F1707)</f>
        <v>8</v>
      </c>
      <c r="H1707" s="16" t="n">
        <f aca="false">IF(B1707="",0,IF(COUNTIF(B$5:B1707,B1707)=1,1,0))</f>
        <v>0</v>
      </c>
      <c r="I1707" s="16" t="n">
        <f aca="false">SUM(H$5:H1707)</f>
        <v>6</v>
      </c>
    </row>
    <row r="1708" customFormat="false" ht="15" hidden="false" customHeight="false" outlineLevel="0" collapsed="false">
      <c r="A1708" s="12"/>
      <c r="B1708" s="13"/>
      <c r="C1708" s="13"/>
      <c r="D1708" s="14"/>
      <c r="E1708" s="15"/>
      <c r="F1708" s="16" t="n">
        <f aca="false">IF(C1708="",0,IF(COUNTIF(C$5:C1708,C1708)=1,1,0))</f>
        <v>0</v>
      </c>
      <c r="G1708" s="16" t="n">
        <f aca="false">SUM(F$5:F1708)</f>
        <v>8</v>
      </c>
      <c r="H1708" s="16" t="n">
        <f aca="false">IF(B1708="",0,IF(COUNTIF(B$5:B1708,B1708)=1,1,0))</f>
        <v>0</v>
      </c>
      <c r="I1708" s="16" t="n">
        <f aca="false">SUM(H$5:H1708)</f>
        <v>6</v>
      </c>
    </row>
    <row r="1709" customFormat="false" ht="15" hidden="false" customHeight="false" outlineLevel="0" collapsed="false">
      <c r="A1709" s="12"/>
      <c r="B1709" s="13"/>
      <c r="C1709" s="13"/>
      <c r="D1709" s="14"/>
      <c r="E1709" s="15"/>
      <c r="F1709" s="16" t="n">
        <f aca="false">IF(C1709="",0,IF(COUNTIF(C$5:C1709,C1709)=1,1,0))</f>
        <v>0</v>
      </c>
      <c r="G1709" s="16" t="n">
        <f aca="false">SUM(F$5:F1709)</f>
        <v>8</v>
      </c>
      <c r="H1709" s="16" t="n">
        <f aca="false">IF(B1709="",0,IF(COUNTIF(B$5:B1709,B1709)=1,1,0))</f>
        <v>0</v>
      </c>
      <c r="I1709" s="16" t="n">
        <f aca="false">SUM(H$5:H1709)</f>
        <v>6</v>
      </c>
    </row>
    <row r="1710" customFormat="false" ht="15" hidden="false" customHeight="false" outlineLevel="0" collapsed="false">
      <c r="A1710" s="12"/>
      <c r="B1710" s="13"/>
      <c r="C1710" s="13"/>
      <c r="D1710" s="14"/>
      <c r="E1710" s="15"/>
      <c r="F1710" s="16" t="n">
        <f aca="false">IF(C1710="",0,IF(COUNTIF(C$5:C1710,C1710)=1,1,0))</f>
        <v>0</v>
      </c>
      <c r="G1710" s="16" t="n">
        <f aca="false">SUM(F$5:F1710)</f>
        <v>8</v>
      </c>
      <c r="H1710" s="16" t="n">
        <f aca="false">IF(B1710="",0,IF(COUNTIF(B$5:B1710,B1710)=1,1,0))</f>
        <v>0</v>
      </c>
      <c r="I1710" s="16" t="n">
        <f aca="false">SUM(H$5:H1710)</f>
        <v>6</v>
      </c>
    </row>
    <row r="1711" customFormat="false" ht="15" hidden="false" customHeight="false" outlineLevel="0" collapsed="false">
      <c r="A1711" s="12"/>
      <c r="B1711" s="13"/>
      <c r="C1711" s="13"/>
      <c r="D1711" s="14"/>
      <c r="E1711" s="15"/>
      <c r="F1711" s="16" t="n">
        <f aca="false">IF(C1711="",0,IF(COUNTIF(C$5:C1711,C1711)=1,1,0))</f>
        <v>0</v>
      </c>
      <c r="G1711" s="16" t="n">
        <f aca="false">SUM(F$5:F1711)</f>
        <v>8</v>
      </c>
      <c r="H1711" s="16" t="n">
        <f aca="false">IF(B1711="",0,IF(COUNTIF(B$5:B1711,B1711)=1,1,0))</f>
        <v>0</v>
      </c>
      <c r="I1711" s="16" t="n">
        <f aca="false">SUM(H$5:H1711)</f>
        <v>6</v>
      </c>
    </row>
    <row r="1712" customFormat="false" ht="15" hidden="false" customHeight="false" outlineLevel="0" collapsed="false">
      <c r="A1712" s="12"/>
      <c r="B1712" s="13"/>
      <c r="C1712" s="13"/>
      <c r="D1712" s="14"/>
      <c r="E1712" s="15"/>
      <c r="F1712" s="16" t="n">
        <f aca="false">IF(C1712="",0,IF(COUNTIF(C$5:C1712,C1712)=1,1,0))</f>
        <v>0</v>
      </c>
      <c r="G1712" s="16" t="n">
        <f aca="false">SUM(F$5:F1712)</f>
        <v>8</v>
      </c>
      <c r="H1712" s="16" t="n">
        <f aca="false">IF(B1712="",0,IF(COUNTIF(B$5:B1712,B1712)=1,1,0))</f>
        <v>0</v>
      </c>
      <c r="I1712" s="16" t="n">
        <f aca="false">SUM(H$5:H1712)</f>
        <v>6</v>
      </c>
    </row>
    <row r="1713" customFormat="false" ht="15" hidden="false" customHeight="false" outlineLevel="0" collapsed="false">
      <c r="A1713" s="12"/>
      <c r="B1713" s="13"/>
      <c r="C1713" s="13"/>
      <c r="D1713" s="14"/>
      <c r="E1713" s="15"/>
      <c r="F1713" s="16" t="n">
        <f aca="false">IF(C1713="",0,IF(COUNTIF(C$5:C1713,C1713)=1,1,0))</f>
        <v>0</v>
      </c>
      <c r="G1713" s="16" t="n">
        <f aca="false">SUM(F$5:F1713)</f>
        <v>8</v>
      </c>
      <c r="H1713" s="16" t="n">
        <f aca="false">IF(B1713="",0,IF(COUNTIF(B$5:B1713,B1713)=1,1,0))</f>
        <v>0</v>
      </c>
      <c r="I1713" s="16" t="n">
        <f aca="false">SUM(H$5:H1713)</f>
        <v>6</v>
      </c>
    </row>
    <row r="1714" customFormat="false" ht="15" hidden="false" customHeight="false" outlineLevel="0" collapsed="false">
      <c r="A1714" s="12"/>
      <c r="B1714" s="13"/>
      <c r="C1714" s="13"/>
      <c r="D1714" s="14"/>
      <c r="E1714" s="15"/>
      <c r="F1714" s="16" t="n">
        <f aca="false">IF(C1714="",0,IF(COUNTIF(C$5:C1714,C1714)=1,1,0))</f>
        <v>0</v>
      </c>
      <c r="G1714" s="16" t="n">
        <f aca="false">SUM(F$5:F1714)</f>
        <v>8</v>
      </c>
      <c r="H1714" s="16" t="n">
        <f aca="false">IF(B1714="",0,IF(COUNTIF(B$5:B1714,B1714)=1,1,0))</f>
        <v>0</v>
      </c>
      <c r="I1714" s="16" t="n">
        <f aca="false">SUM(H$5:H1714)</f>
        <v>6</v>
      </c>
    </row>
    <row r="1715" customFormat="false" ht="15" hidden="false" customHeight="false" outlineLevel="0" collapsed="false">
      <c r="A1715" s="12"/>
      <c r="B1715" s="13"/>
      <c r="C1715" s="13"/>
      <c r="D1715" s="14"/>
      <c r="E1715" s="15"/>
      <c r="F1715" s="16" t="n">
        <f aca="false">IF(C1715="",0,IF(COUNTIF(C$5:C1715,C1715)=1,1,0))</f>
        <v>0</v>
      </c>
      <c r="G1715" s="16" t="n">
        <f aca="false">SUM(F$5:F1715)</f>
        <v>8</v>
      </c>
      <c r="H1715" s="16" t="n">
        <f aca="false">IF(B1715="",0,IF(COUNTIF(B$5:B1715,B1715)=1,1,0))</f>
        <v>0</v>
      </c>
      <c r="I1715" s="16" t="n">
        <f aca="false">SUM(H$5:H1715)</f>
        <v>6</v>
      </c>
    </row>
    <row r="1716" customFormat="false" ht="15" hidden="false" customHeight="false" outlineLevel="0" collapsed="false">
      <c r="A1716" s="12"/>
      <c r="B1716" s="13"/>
      <c r="C1716" s="13"/>
      <c r="D1716" s="14"/>
      <c r="E1716" s="15"/>
      <c r="F1716" s="16" t="n">
        <f aca="false">IF(C1716="",0,IF(COUNTIF(C$5:C1716,C1716)=1,1,0))</f>
        <v>0</v>
      </c>
      <c r="G1716" s="16" t="n">
        <f aca="false">SUM(F$5:F1716)</f>
        <v>8</v>
      </c>
      <c r="H1716" s="16" t="n">
        <f aca="false">IF(B1716="",0,IF(COUNTIF(B$5:B1716,B1716)=1,1,0))</f>
        <v>0</v>
      </c>
      <c r="I1716" s="16" t="n">
        <f aca="false">SUM(H$5:H1716)</f>
        <v>6</v>
      </c>
    </row>
    <row r="1717" customFormat="false" ht="15" hidden="false" customHeight="false" outlineLevel="0" collapsed="false">
      <c r="A1717" s="12"/>
      <c r="B1717" s="13"/>
      <c r="C1717" s="13"/>
      <c r="D1717" s="14"/>
      <c r="E1717" s="15"/>
      <c r="F1717" s="16" t="n">
        <f aca="false">IF(C1717="",0,IF(COUNTIF(C$5:C1717,C1717)=1,1,0))</f>
        <v>0</v>
      </c>
      <c r="G1717" s="16" t="n">
        <f aca="false">SUM(F$5:F1717)</f>
        <v>8</v>
      </c>
      <c r="H1717" s="16" t="n">
        <f aca="false">IF(B1717="",0,IF(COUNTIF(B$5:B1717,B1717)=1,1,0))</f>
        <v>0</v>
      </c>
      <c r="I1717" s="16" t="n">
        <f aca="false">SUM(H$5:H1717)</f>
        <v>6</v>
      </c>
    </row>
    <row r="1718" customFormat="false" ht="15" hidden="false" customHeight="false" outlineLevel="0" collapsed="false">
      <c r="A1718" s="12"/>
      <c r="B1718" s="13"/>
      <c r="C1718" s="13"/>
      <c r="D1718" s="14"/>
      <c r="E1718" s="15"/>
      <c r="F1718" s="16" t="n">
        <f aca="false">IF(C1718="",0,IF(COUNTIF(C$5:C1718,C1718)=1,1,0))</f>
        <v>0</v>
      </c>
      <c r="G1718" s="16" t="n">
        <f aca="false">SUM(F$5:F1718)</f>
        <v>8</v>
      </c>
      <c r="H1718" s="16" t="n">
        <f aca="false">IF(B1718="",0,IF(COUNTIF(B$5:B1718,B1718)=1,1,0))</f>
        <v>0</v>
      </c>
      <c r="I1718" s="16" t="n">
        <f aca="false">SUM(H$5:H1718)</f>
        <v>6</v>
      </c>
    </row>
    <row r="1719" customFormat="false" ht="15" hidden="false" customHeight="false" outlineLevel="0" collapsed="false">
      <c r="A1719" s="12"/>
      <c r="B1719" s="13"/>
      <c r="C1719" s="13"/>
      <c r="D1719" s="14"/>
      <c r="E1719" s="15"/>
      <c r="F1719" s="16" t="n">
        <f aca="false">IF(C1719="",0,IF(COUNTIF(C$5:C1719,C1719)=1,1,0))</f>
        <v>0</v>
      </c>
      <c r="G1719" s="16" t="n">
        <f aca="false">SUM(F$5:F1719)</f>
        <v>8</v>
      </c>
      <c r="H1719" s="16" t="n">
        <f aca="false">IF(B1719="",0,IF(COUNTIF(B$5:B1719,B1719)=1,1,0))</f>
        <v>0</v>
      </c>
      <c r="I1719" s="16" t="n">
        <f aca="false">SUM(H$5:H1719)</f>
        <v>6</v>
      </c>
    </row>
    <row r="1720" customFormat="false" ht="15" hidden="false" customHeight="false" outlineLevel="0" collapsed="false">
      <c r="A1720" s="12"/>
      <c r="B1720" s="13"/>
      <c r="C1720" s="13"/>
      <c r="D1720" s="14"/>
      <c r="E1720" s="15"/>
      <c r="F1720" s="16" t="n">
        <f aca="false">IF(C1720="",0,IF(COUNTIF(C$5:C1720,C1720)=1,1,0))</f>
        <v>0</v>
      </c>
      <c r="G1720" s="16" t="n">
        <f aca="false">SUM(F$5:F1720)</f>
        <v>8</v>
      </c>
      <c r="H1720" s="16" t="n">
        <f aca="false">IF(B1720="",0,IF(COUNTIF(B$5:B1720,B1720)=1,1,0))</f>
        <v>0</v>
      </c>
      <c r="I1720" s="16" t="n">
        <f aca="false">SUM(H$5:H1720)</f>
        <v>6</v>
      </c>
    </row>
    <row r="1721" customFormat="false" ht="15" hidden="false" customHeight="false" outlineLevel="0" collapsed="false">
      <c r="A1721" s="12"/>
      <c r="B1721" s="13"/>
      <c r="C1721" s="13"/>
      <c r="D1721" s="14"/>
      <c r="E1721" s="15"/>
      <c r="F1721" s="16" t="n">
        <f aca="false">IF(C1721="",0,IF(COUNTIF(C$5:C1721,C1721)=1,1,0))</f>
        <v>0</v>
      </c>
      <c r="G1721" s="16" t="n">
        <f aca="false">SUM(F$5:F1721)</f>
        <v>8</v>
      </c>
      <c r="H1721" s="16" t="n">
        <f aca="false">IF(B1721="",0,IF(COUNTIF(B$5:B1721,B1721)=1,1,0))</f>
        <v>0</v>
      </c>
      <c r="I1721" s="16" t="n">
        <f aca="false">SUM(H$5:H1721)</f>
        <v>6</v>
      </c>
    </row>
    <row r="1722" customFormat="false" ht="15" hidden="false" customHeight="false" outlineLevel="0" collapsed="false">
      <c r="A1722" s="12"/>
      <c r="B1722" s="13"/>
      <c r="C1722" s="13"/>
      <c r="D1722" s="14"/>
      <c r="E1722" s="15"/>
      <c r="F1722" s="16" t="n">
        <f aca="false">IF(C1722="",0,IF(COUNTIF(C$5:C1722,C1722)=1,1,0))</f>
        <v>0</v>
      </c>
      <c r="G1722" s="16" t="n">
        <f aca="false">SUM(F$5:F1722)</f>
        <v>8</v>
      </c>
      <c r="H1722" s="16" t="n">
        <f aca="false">IF(B1722="",0,IF(COUNTIF(B$5:B1722,B1722)=1,1,0))</f>
        <v>0</v>
      </c>
      <c r="I1722" s="16" t="n">
        <f aca="false">SUM(H$5:H1722)</f>
        <v>6</v>
      </c>
    </row>
    <row r="1723" customFormat="false" ht="15" hidden="false" customHeight="false" outlineLevel="0" collapsed="false">
      <c r="A1723" s="12"/>
      <c r="B1723" s="13"/>
      <c r="C1723" s="13"/>
      <c r="D1723" s="14"/>
      <c r="E1723" s="15"/>
      <c r="F1723" s="16" t="n">
        <f aca="false">IF(C1723="",0,IF(COUNTIF(C$5:C1723,C1723)=1,1,0))</f>
        <v>0</v>
      </c>
      <c r="G1723" s="16" t="n">
        <f aca="false">SUM(F$5:F1723)</f>
        <v>8</v>
      </c>
      <c r="H1723" s="16" t="n">
        <f aca="false">IF(B1723="",0,IF(COUNTIF(B$5:B1723,B1723)=1,1,0))</f>
        <v>0</v>
      </c>
      <c r="I1723" s="16" t="n">
        <f aca="false">SUM(H$5:H1723)</f>
        <v>6</v>
      </c>
    </row>
    <row r="1724" customFormat="false" ht="15" hidden="false" customHeight="false" outlineLevel="0" collapsed="false">
      <c r="A1724" s="12"/>
      <c r="B1724" s="13"/>
      <c r="C1724" s="13"/>
      <c r="D1724" s="14"/>
      <c r="E1724" s="15"/>
      <c r="F1724" s="16" t="n">
        <f aca="false">IF(C1724="",0,IF(COUNTIF(C$5:C1724,C1724)=1,1,0))</f>
        <v>0</v>
      </c>
      <c r="G1724" s="16" t="n">
        <f aca="false">SUM(F$5:F1724)</f>
        <v>8</v>
      </c>
      <c r="H1724" s="16" t="n">
        <f aca="false">IF(B1724="",0,IF(COUNTIF(B$5:B1724,B1724)=1,1,0))</f>
        <v>0</v>
      </c>
      <c r="I1724" s="16" t="n">
        <f aca="false">SUM(H$5:H1724)</f>
        <v>6</v>
      </c>
    </row>
    <row r="1725" customFormat="false" ht="15" hidden="false" customHeight="false" outlineLevel="0" collapsed="false">
      <c r="A1725" s="12"/>
      <c r="B1725" s="13"/>
      <c r="C1725" s="13"/>
      <c r="D1725" s="14"/>
      <c r="E1725" s="15"/>
      <c r="F1725" s="16" t="n">
        <f aca="false">IF(C1725="",0,IF(COUNTIF(C$5:C1725,C1725)=1,1,0))</f>
        <v>0</v>
      </c>
      <c r="G1725" s="16" t="n">
        <f aca="false">SUM(F$5:F1725)</f>
        <v>8</v>
      </c>
      <c r="H1725" s="16" t="n">
        <f aca="false">IF(B1725="",0,IF(COUNTIF(B$5:B1725,B1725)=1,1,0))</f>
        <v>0</v>
      </c>
      <c r="I1725" s="16" t="n">
        <f aca="false">SUM(H$5:H1725)</f>
        <v>6</v>
      </c>
    </row>
    <row r="1726" customFormat="false" ht="15" hidden="false" customHeight="false" outlineLevel="0" collapsed="false">
      <c r="A1726" s="12"/>
      <c r="B1726" s="13"/>
      <c r="C1726" s="13"/>
      <c r="D1726" s="14"/>
      <c r="E1726" s="15"/>
      <c r="F1726" s="16" t="n">
        <f aca="false">IF(C1726="",0,IF(COUNTIF(C$5:C1726,C1726)=1,1,0))</f>
        <v>0</v>
      </c>
      <c r="G1726" s="16" t="n">
        <f aca="false">SUM(F$5:F1726)</f>
        <v>8</v>
      </c>
      <c r="H1726" s="16" t="n">
        <f aca="false">IF(B1726="",0,IF(COUNTIF(B$5:B1726,B1726)=1,1,0))</f>
        <v>0</v>
      </c>
      <c r="I1726" s="16" t="n">
        <f aca="false">SUM(H$5:H1726)</f>
        <v>6</v>
      </c>
    </row>
    <row r="1727" customFormat="false" ht="15" hidden="false" customHeight="false" outlineLevel="0" collapsed="false">
      <c r="A1727" s="12"/>
      <c r="B1727" s="13"/>
      <c r="C1727" s="13"/>
      <c r="D1727" s="14"/>
      <c r="E1727" s="15"/>
      <c r="F1727" s="16" t="n">
        <f aca="false">IF(C1727="",0,IF(COUNTIF(C$5:C1727,C1727)=1,1,0))</f>
        <v>0</v>
      </c>
      <c r="G1727" s="16" t="n">
        <f aca="false">SUM(F$5:F1727)</f>
        <v>8</v>
      </c>
      <c r="H1727" s="16" t="n">
        <f aca="false">IF(B1727="",0,IF(COUNTIF(B$5:B1727,B1727)=1,1,0))</f>
        <v>0</v>
      </c>
      <c r="I1727" s="16" t="n">
        <f aca="false">SUM(H$5:H1727)</f>
        <v>6</v>
      </c>
    </row>
    <row r="1728" customFormat="false" ht="15" hidden="false" customHeight="false" outlineLevel="0" collapsed="false">
      <c r="A1728" s="12"/>
      <c r="B1728" s="13"/>
      <c r="C1728" s="13"/>
      <c r="D1728" s="14"/>
      <c r="E1728" s="15"/>
      <c r="F1728" s="16" t="n">
        <f aca="false">IF(C1728="",0,IF(COUNTIF(C$5:C1728,C1728)=1,1,0))</f>
        <v>0</v>
      </c>
      <c r="G1728" s="16" t="n">
        <f aca="false">SUM(F$5:F1728)</f>
        <v>8</v>
      </c>
      <c r="H1728" s="16" t="n">
        <f aca="false">IF(B1728="",0,IF(COUNTIF(B$5:B1728,B1728)=1,1,0))</f>
        <v>0</v>
      </c>
      <c r="I1728" s="16" t="n">
        <f aca="false">SUM(H$5:H1728)</f>
        <v>6</v>
      </c>
    </row>
    <row r="1729" customFormat="false" ht="15" hidden="false" customHeight="false" outlineLevel="0" collapsed="false">
      <c r="A1729" s="12"/>
      <c r="B1729" s="13"/>
      <c r="C1729" s="13"/>
      <c r="D1729" s="14"/>
      <c r="E1729" s="15"/>
      <c r="F1729" s="16" t="n">
        <f aca="false">IF(C1729="",0,IF(COUNTIF(C$5:C1729,C1729)=1,1,0))</f>
        <v>0</v>
      </c>
      <c r="G1729" s="16" t="n">
        <f aca="false">SUM(F$5:F1729)</f>
        <v>8</v>
      </c>
      <c r="H1729" s="16" t="n">
        <f aca="false">IF(B1729="",0,IF(COUNTIF(B$5:B1729,B1729)=1,1,0))</f>
        <v>0</v>
      </c>
      <c r="I1729" s="16" t="n">
        <f aca="false">SUM(H$5:H1729)</f>
        <v>6</v>
      </c>
    </row>
    <row r="1730" customFormat="false" ht="15" hidden="false" customHeight="false" outlineLevel="0" collapsed="false">
      <c r="A1730" s="12"/>
      <c r="B1730" s="13"/>
      <c r="C1730" s="13"/>
      <c r="D1730" s="14"/>
      <c r="E1730" s="15"/>
      <c r="F1730" s="16" t="n">
        <f aca="false">IF(C1730="",0,IF(COUNTIF(C$5:C1730,C1730)=1,1,0))</f>
        <v>0</v>
      </c>
      <c r="G1730" s="16" t="n">
        <f aca="false">SUM(F$5:F1730)</f>
        <v>8</v>
      </c>
      <c r="H1730" s="16" t="n">
        <f aca="false">IF(B1730="",0,IF(COUNTIF(B$5:B1730,B1730)=1,1,0))</f>
        <v>0</v>
      </c>
      <c r="I1730" s="16" t="n">
        <f aca="false">SUM(H$5:H1730)</f>
        <v>6</v>
      </c>
    </row>
    <row r="1731" customFormat="false" ht="15" hidden="false" customHeight="false" outlineLevel="0" collapsed="false">
      <c r="A1731" s="12"/>
      <c r="B1731" s="13"/>
      <c r="C1731" s="13"/>
      <c r="D1731" s="14"/>
      <c r="E1731" s="15"/>
      <c r="F1731" s="16" t="n">
        <f aca="false">IF(C1731="",0,IF(COUNTIF(C$5:C1731,C1731)=1,1,0))</f>
        <v>0</v>
      </c>
      <c r="G1731" s="16" t="n">
        <f aca="false">SUM(F$5:F1731)</f>
        <v>8</v>
      </c>
      <c r="H1731" s="16" t="n">
        <f aca="false">IF(B1731="",0,IF(COUNTIF(B$5:B1731,B1731)=1,1,0))</f>
        <v>0</v>
      </c>
      <c r="I1731" s="16" t="n">
        <f aca="false">SUM(H$5:H1731)</f>
        <v>6</v>
      </c>
    </row>
    <row r="1732" customFormat="false" ht="15" hidden="false" customHeight="false" outlineLevel="0" collapsed="false">
      <c r="A1732" s="12"/>
      <c r="B1732" s="13"/>
      <c r="C1732" s="13"/>
      <c r="D1732" s="14"/>
      <c r="E1732" s="15"/>
      <c r="F1732" s="16" t="n">
        <f aca="false">IF(C1732="",0,IF(COUNTIF(C$5:C1732,C1732)=1,1,0))</f>
        <v>0</v>
      </c>
      <c r="G1732" s="16" t="n">
        <f aca="false">SUM(F$5:F1732)</f>
        <v>8</v>
      </c>
      <c r="H1732" s="16" t="n">
        <f aca="false">IF(B1732="",0,IF(COUNTIF(B$5:B1732,B1732)=1,1,0))</f>
        <v>0</v>
      </c>
      <c r="I1732" s="16" t="n">
        <f aca="false">SUM(H$5:H1732)</f>
        <v>6</v>
      </c>
    </row>
    <row r="1733" customFormat="false" ht="15" hidden="false" customHeight="false" outlineLevel="0" collapsed="false">
      <c r="A1733" s="12"/>
      <c r="B1733" s="13"/>
      <c r="C1733" s="13"/>
      <c r="D1733" s="14"/>
      <c r="E1733" s="15"/>
      <c r="F1733" s="16" t="n">
        <f aca="false">IF(C1733="",0,IF(COUNTIF(C$5:C1733,C1733)=1,1,0))</f>
        <v>0</v>
      </c>
      <c r="G1733" s="16" t="n">
        <f aca="false">SUM(F$5:F1733)</f>
        <v>8</v>
      </c>
      <c r="H1733" s="16" t="n">
        <f aca="false">IF(B1733="",0,IF(COUNTIF(B$5:B1733,B1733)=1,1,0))</f>
        <v>0</v>
      </c>
      <c r="I1733" s="16" t="n">
        <f aca="false">SUM(H$5:H1733)</f>
        <v>6</v>
      </c>
    </row>
    <row r="1734" customFormat="false" ht="15" hidden="false" customHeight="false" outlineLevel="0" collapsed="false">
      <c r="A1734" s="12"/>
      <c r="B1734" s="13"/>
      <c r="C1734" s="13"/>
      <c r="D1734" s="14"/>
      <c r="E1734" s="15"/>
      <c r="F1734" s="16" t="n">
        <f aca="false">IF(C1734="",0,IF(COUNTIF(C$5:C1734,C1734)=1,1,0))</f>
        <v>0</v>
      </c>
      <c r="G1734" s="16" t="n">
        <f aca="false">SUM(F$5:F1734)</f>
        <v>8</v>
      </c>
      <c r="H1734" s="16" t="n">
        <f aca="false">IF(B1734="",0,IF(COUNTIF(B$5:B1734,B1734)=1,1,0))</f>
        <v>0</v>
      </c>
      <c r="I1734" s="16" t="n">
        <f aca="false">SUM(H$5:H1734)</f>
        <v>6</v>
      </c>
    </row>
    <row r="1735" customFormat="false" ht="15" hidden="false" customHeight="false" outlineLevel="0" collapsed="false">
      <c r="A1735" s="12"/>
      <c r="B1735" s="13"/>
      <c r="C1735" s="13"/>
      <c r="D1735" s="14"/>
      <c r="E1735" s="15"/>
      <c r="F1735" s="16" t="n">
        <f aca="false">IF(C1735="",0,IF(COUNTIF(C$5:C1735,C1735)=1,1,0))</f>
        <v>0</v>
      </c>
      <c r="G1735" s="16" t="n">
        <f aca="false">SUM(F$5:F1735)</f>
        <v>8</v>
      </c>
      <c r="H1735" s="16" t="n">
        <f aca="false">IF(B1735="",0,IF(COUNTIF(B$5:B1735,B1735)=1,1,0))</f>
        <v>0</v>
      </c>
      <c r="I1735" s="16" t="n">
        <f aca="false">SUM(H$5:H1735)</f>
        <v>6</v>
      </c>
    </row>
    <row r="1736" customFormat="false" ht="15" hidden="false" customHeight="false" outlineLevel="0" collapsed="false">
      <c r="A1736" s="12"/>
      <c r="B1736" s="13"/>
      <c r="C1736" s="13"/>
      <c r="D1736" s="14"/>
      <c r="E1736" s="15"/>
      <c r="F1736" s="16" t="n">
        <f aca="false">IF(C1736="",0,IF(COUNTIF(C$5:C1736,C1736)=1,1,0))</f>
        <v>0</v>
      </c>
      <c r="G1736" s="16" t="n">
        <f aca="false">SUM(F$5:F1736)</f>
        <v>8</v>
      </c>
      <c r="H1736" s="16" t="n">
        <f aca="false">IF(B1736="",0,IF(COUNTIF(B$5:B1736,B1736)=1,1,0))</f>
        <v>0</v>
      </c>
      <c r="I1736" s="16" t="n">
        <f aca="false">SUM(H$5:H1736)</f>
        <v>6</v>
      </c>
    </row>
    <row r="1737" customFormat="false" ht="15" hidden="false" customHeight="false" outlineLevel="0" collapsed="false">
      <c r="A1737" s="12"/>
      <c r="B1737" s="13"/>
      <c r="C1737" s="13"/>
      <c r="D1737" s="14"/>
      <c r="E1737" s="15"/>
      <c r="F1737" s="16" t="n">
        <f aca="false">IF(C1737="",0,IF(COUNTIF(C$5:C1737,C1737)=1,1,0))</f>
        <v>0</v>
      </c>
      <c r="G1737" s="16" t="n">
        <f aca="false">SUM(F$5:F1737)</f>
        <v>8</v>
      </c>
      <c r="H1737" s="16" t="n">
        <f aca="false">IF(B1737="",0,IF(COUNTIF(B$5:B1737,B1737)=1,1,0))</f>
        <v>0</v>
      </c>
      <c r="I1737" s="16" t="n">
        <f aca="false">SUM(H$5:H1737)</f>
        <v>6</v>
      </c>
    </row>
    <row r="1738" customFormat="false" ht="15" hidden="false" customHeight="false" outlineLevel="0" collapsed="false">
      <c r="A1738" s="12"/>
      <c r="B1738" s="13"/>
      <c r="C1738" s="13"/>
      <c r="D1738" s="14"/>
      <c r="E1738" s="15"/>
      <c r="F1738" s="16" t="n">
        <f aca="false">IF(C1738="",0,IF(COUNTIF(C$5:C1738,C1738)=1,1,0))</f>
        <v>0</v>
      </c>
      <c r="G1738" s="16" t="n">
        <f aca="false">SUM(F$5:F1738)</f>
        <v>8</v>
      </c>
      <c r="H1738" s="16" t="n">
        <f aca="false">IF(B1738="",0,IF(COUNTIF(B$5:B1738,B1738)=1,1,0))</f>
        <v>0</v>
      </c>
      <c r="I1738" s="16" t="n">
        <f aca="false">SUM(H$5:H1738)</f>
        <v>6</v>
      </c>
    </row>
    <row r="1739" customFormat="false" ht="15" hidden="false" customHeight="false" outlineLevel="0" collapsed="false">
      <c r="A1739" s="12"/>
      <c r="B1739" s="13"/>
      <c r="C1739" s="13"/>
      <c r="D1739" s="14"/>
      <c r="E1739" s="15"/>
      <c r="F1739" s="16" t="n">
        <f aca="false">IF(C1739="",0,IF(COUNTIF(C$5:C1739,C1739)=1,1,0))</f>
        <v>0</v>
      </c>
      <c r="G1739" s="16" t="n">
        <f aca="false">SUM(F$5:F1739)</f>
        <v>8</v>
      </c>
      <c r="H1739" s="16" t="n">
        <f aca="false">IF(B1739="",0,IF(COUNTIF(B$5:B1739,B1739)=1,1,0))</f>
        <v>0</v>
      </c>
      <c r="I1739" s="16" t="n">
        <f aca="false">SUM(H$5:H1739)</f>
        <v>6</v>
      </c>
    </row>
    <row r="1740" customFormat="false" ht="15" hidden="false" customHeight="false" outlineLevel="0" collapsed="false">
      <c r="A1740" s="12"/>
      <c r="B1740" s="13"/>
      <c r="C1740" s="13"/>
      <c r="D1740" s="14"/>
      <c r="E1740" s="15"/>
      <c r="F1740" s="16" t="n">
        <f aca="false">IF(C1740="",0,IF(COUNTIF(C$5:C1740,C1740)=1,1,0))</f>
        <v>0</v>
      </c>
      <c r="G1740" s="16" t="n">
        <f aca="false">SUM(F$5:F1740)</f>
        <v>8</v>
      </c>
      <c r="H1740" s="16" t="n">
        <f aca="false">IF(B1740="",0,IF(COUNTIF(B$5:B1740,B1740)=1,1,0))</f>
        <v>0</v>
      </c>
      <c r="I1740" s="16" t="n">
        <f aca="false">SUM(H$5:H1740)</f>
        <v>6</v>
      </c>
    </row>
    <row r="1741" customFormat="false" ht="15" hidden="false" customHeight="false" outlineLevel="0" collapsed="false">
      <c r="A1741" s="12"/>
      <c r="B1741" s="13"/>
      <c r="C1741" s="13"/>
      <c r="D1741" s="14"/>
      <c r="E1741" s="15"/>
      <c r="F1741" s="16" t="n">
        <f aca="false">IF(C1741="",0,IF(COUNTIF(C$5:C1741,C1741)=1,1,0))</f>
        <v>0</v>
      </c>
      <c r="G1741" s="16" t="n">
        <f aca="false">SUM(F$5:F1741)</f>
        <v>8</v>
      </c>
      <c r="H1741" s="16" t="n">
        <f aca="false">IF(B1741="",0,IF(COUNTIF(B$5:B1741,B1741)=1,1,0))</f>
        <v>0</v>
      </c>
      <c r="I1741" s="16" t="n">
        <f aca="false">SUM(H$5:H1741)</f>
        <v>6</v>
      </c>
    </row>
    <row r="1742" customFormat="false" ht="15" hidden="false" customHeight="false" outlineLevel="0" collapsed="false">
      <c r="A1742" s="12"/>
      <c r="B1742" s="13"/>
      <c r="C1742" s="13"/>
      <c r="D1742" s="14"/>
      <c r="E1742" s="15"/>
      <c r="F1742" s="16" t="n">
        <f aca="false">IF(C1742="",0,IF(COUNTIF(C$5:C1742,C1742)=1,1,0))</f>
        <v>0</v>
      </c>
      <c r="G1742" s="16" t="n">
        <f aca="false">SUM(F$5:F1742)</f>
        <v>8</v>
      </c>
      <c r="H1742" s="16" t="n">
        <f aca="false">IF(B1742="",0,IF(COUNTIF(B$5:B1742,B1742)=1,1,0))</f>
        <v>0</v>
      </c>
      <c r="I1742" s="16" t="n">
        <f aca="false">SUM(H$5:H1742)</f>
        <v>6</v>
      </c>
    </row>
    <row r="1743" customFormat="false" ht="15" hidden="false" customHeight="false" outlineLevel="0" collapsed="false">
      <c r="A1743" s="12"/>
      <c r="B1743" s="13"/>
      <c r="C1743" s="13"/>
      <c r="D1743" s="14"/>
      <c r="E1743" s="15"/>
      <c r="F1743" s="16" t="n">
        <f aca="false">IF(C1743="",0,IF(COUNTIF(C$5:C1743,C1743)=1,1,0))</f>
        <v>0</v>
      </c>
      <c r="G1743" s="16" t="n">
        <f aca="false">SUM(F$5:F1743)</f>
        <v>8</v>
      </c>
      <c r="H1743" s="16" t="n">
        <f aca="false">IF(B1743="",0,IF(COUNTIF(B$5:B1743,B1743)=1,1,0))</f>
        <v>0</v>
      </c>
      <c r="I1743" s="16" t="n">
        <f aca="false">SUM(H$5:H1743)</f>
        <v>6</v>
      </c>
    </row>
    <row r="1744" customFormat="false" ht="15" hidden="false" customHeight="false" outlineLevel="0" collapsed="false">
      <c r="A1744" s="12"/>
      <c r="B1744" s="13"/>
      <c r="C1744" s="13"/>
      <c r="D1744" s="14"/>
      <c r="E1744" s="15"/>
      <c r="F1744" s="16" t="n">
        <f aca="false">IF(C1744="",0,IF(COUNTIF(C$5:C1744,C1744)=1,1,0))</f>
        <v>0</v>
      </c>
      <c r="G1744" s="16" t="n">
        <f aca="false">SUM(F$5:F1744)</f>
        <v>8</v>
      </c>
      <c r="H1744" s="16" t="n">
        <f aca="false">IF(B1744="",0,IF(COUNTIF(B$5:B1744,B1744)=1,1,0))</f>
        <v>0</v>
      </c>
      <c r="I1744" s="16" t="n">
        <f aca="false">SUM(H$5:H1744)</f>
        <v>6</v>
      </c>
    </row>
    <row r="1745" customFormat="false" ht="15" hidden="false" customHeight="false" outlineLevel="0" collapsed="false">
      <c r="A1745" s="12"/>
      <c r="B1745" s="13"/>
      <c r="C1745" s="13"/>
      <c r="D1745" s="14"/>
      <c r="E1745" s="15"/>
      <c r="F1745" s="16" t="n">
        <f aca="false">IF(C1745="",0,IF(COUNTIF(C$5:C1745,C1745)=1,1,0))</f>
        <v>0</v>
      </c>
      <c r="G1745" s="16" t="n">
        <f aca="false">SUM(F$5:F1745)</f>
        <v>8</v>
      </c>
      <c r="H1745" s="16" t="n">
        <f aca="false">IF(B1745="",0,IF(COUNTIF(B$5:B1745,B1745)=1,1,0))</f>
        <v>0</v>
      </c>
      <c r="I1745" s="16" t="n">
        <f aca="false">SUM(H$5:H1745)</f>
        <v>6</v>
      </c>
    </row>
    <row r="1746" customFormat="false" ht="15" hidden="false" customHeight="false" outlineLevel="0" collapsed="false">
      <c r="A1746" s="12"/>
      <c r="B1746" s="13"/>
      <c r="C1746" s="13"/>
      <c r="D1746" s="14"/>
      <c r="E1746" s="15"/>
      <c r="F1746" s="16" t="n">
        <f aca="false">IF(C1746="",0,IF(COUNTIF(C$5:C1746,C1746)=1,1,0))</f>
        <v>0</v>
      </c>
      <c r="G1746" s="16" t="n">
        <f aca="false">SUM(F$5:F1746)</f>
        <v>8</v>
      </c>
      <c r="H1746" s="16" t="n">
        <f aca="false">IF(B1746="",0,IF(COUNTIF(B$5:B1746,B1746)=1,1,0))</f>
        <v>0</v>
      </c>
      <c r="I1746" s="16" t="n">
        <f aca="false">SUM(H$5:H1746)</f>
        <v>6</v>
      </c>
    </row>
    <row r="1747" customFormat="false" ht="15" hidden="false" customHeight="false" outlineLevel="0" collapsed="false">
      <c r="A1747" s="12"/>
      <c r="B1747" s="13"/>
      <c r="C1747" s="13"/>
      <c r="D1747" s="14"/>
      <c r="E1747" s="15"/>
      <c r="F1747" s="16" t="n">
        <f aca="false">IF(C1747="",0,IF(COUNTIF(C$5:C1747,C1747)=1,1,0))</f>
        <v>0</v>
      </c>
      <c r="G1747" s="16" t="n">
        <f aca="false">SUM(F$5:F1747)</f>
        <v>8</v>
      </c>
      <c r="H1747" s="16" t="n">
        <f aca="false">IF(B1747="",0,IF(COUNTIF(B$5:B1747,B1747)=1,1,0))</f>
        <v>0</v>
      </c>
      <c r="I1747" s="16" t="n">
        <f aca="false">SUM(H$5:H1747)</f>
        <v>6</v>
      </c>
    </row>
    <row r="1748" customFormat="false" ht="15" hidden="false" customHeight="false" outlineLevel="0" collapsed="false">
      <c r="A1748" s="12"/>
      <c r="B1748" s="13"/>
      <c r="C1748" s="13"/>
      <c r="D1748" s="14"/>
      <c r="E1748" s="15"/>
      <c r="F1748" s="16" t="n">
        <f aca="false">IF(C1748="",0,IF(COUNTIF(C$5:C1748,C1748)=1,1,0))</f>
        <v>0</v>
      </c>
      <c r="G1748" s="16" t="n">
        <f aca="false">SUM(F$5:F1748)</f>
        <v>8</v>
      </c>
      <c r="H1748" s="16" t="n">
        <f aca="false">IF(B1748="",0,IF(COUNTIF(B$5:B1748,B1748)=1,1,0))</f>
        <v>0</v>
      </c>
      <c r="I1748" s="16" t="n">
        <f aca="false">SUM(H$5:H1748)</f>
        <v>6</v>
      </c>
    </row>
    <row r="1749" customFormat="false" ht="15" hidden="false" customHeight="false" outlineLevel="0" collapsed="false">
      <c r="A1749" s="12"/>
      <c r="B1749" s="13"/>
      <c r="C1749" s="13"/>
      <c r="D1749" s="14"/>
      <c r="E1749" s="15"/>
      <c r="F1749" s="16" t="n">
        <f aca="false">IF(C1749="",0,IF(COUNTIF(C$5:C1749,C1749)=1,1,0))</f>
        <v>0</v>
      </c>
      <c r="G1749" s="16" t="n">
        <f aca="false">SUM(F$5:F1749)</f>
        <v>8</v>
      </c>
      <c r="H1749" s="16" t="n">
        <f aca="false">IF(B1749="",0,IF(COUNTIF(B$5:B1749,B1749)=1,1,0))</f>
        <v>0</v>
      </c>
      <c r="I1749" s="16" t="n">
        <f aca="false">SUM(H$5:H1749)</f>
        <v>6</v>
      </c>
    </row>
    <row r="1750" customFormat="false" ht="15" hidden="false" customHeight="false" outlineLevel="0" collapsed="false">
      <c r="A1750" s="12"/>
      <c r="B1750" s="13"/>
      <c r="C1750" s="13"/>
      <c r="D1750" s="14"/>
      <c r="E1750" s="15"/>
      <c r="F1750" s="16" t="n">
        <f aca="false">IF(C1750="",0,IF(COUNTIF(C$5:C1750,C1750)=1,1,0))</f>
        <v>0</v>
      </c>
      <c r="G1750" s="16" t="n">
        <f aca="false">SUM(F$5:F1750)</f>
        <v>8</v>
      </c>
      <c r="H1750" s="16" t="n">
        <f aca="false">IF(B1750="",0,IF(COUNTIF(B$5:B1750,B1750)=1,1,0))</f>
        <v>0</v>
      </c>
      <c r="I1750" s="16" t="n">
        <f aca="false">SUM(H$5:H1750)</f>
        <v>6</v>
      </c>
    </row>
    <row r="1751" customFormat="false" ht="15" hidden="false" customHeight="false" outlineLevel="0" collapsed="false">
      <c r="A1751" s="12"/>
      <c r="B1751" s="13"/>
      <c r="C1751" s="13"/>
      <c r="D1751" s="14"/>
      <c r="E1751" s="15"/>
      <c r="F1751" s="16" t="n">
        <f aca="false">IF(C1751="",0,IF(COUNTIF(C$5:C1751,C1751)=1,1,0))</f>
        <v>0</v>
      </c>
      <c r="G1751" s="16" t="n">
        <f aca="false">SUM(F$5:F1751)</f>
        <v>8</v>
      </c>
      <c r="H1751" s="16" t="n">
        <f aca="false">IF(B1751="",0,IF(COUNTIF(B$5:B1751,B1751)=1,1,0))</f>
        <v>0</v>
      </c>
      <c r="I1751" s="16" t="n">
        <f aca="false">SUM(H$5:H1751)</f>
        <v>6</v>
      </c>
    </row>
    <row r="1752" customFormat="false" ht="15" hidden="false" customHeight="false" outlineLevel="0" collapsed="false">
      <c r="A1752" s="12"/>
      <c r="B1752" s="13"/>
      <c r="C1752" s="13"/>
      <c r="D1752" s="14"/>
      <c r="E1752" s="15"/>
      <c r="F1752" s="16" t="n">
        <f aca="false">IF(C1752="",0,IF(COUNTIF(C$5:C1752,C1752)=1,1,0))</f>
        <v>0</v>
      </c>
      <c r="G1752" s="16" t="n">
        <f aca="false">SUM(F$5:F1752)</f>
        <v>8</v>
      </c>
      <c r="H1752" s="16" t="n">
        <f aca="false">IF(B1752="",0,IF(COUNTIF(B$5:B1752,B1752)=1,1,0))</f>
        <v>0</v>
      </c>
      <c r="I1752" s="16" t="n">
        <f aca="false">SUM(H$5:H1752)</f>
        <v>6</v>
      </c>
    </row>
    <row r="1753" customFormat="false" ht="15" hidden="false" customHeight="false" outlineLevel="0" collapsed="false">
      <c r="A1753" s="12"/>
      <c r="B1753" s="13"/>
      <c r="C1753" s="13"/>
      <c r="D1753" s="14"/>
      <c r="E1753" s="15"/>
      <c r="F1753" s="16" t="n">
        <f aca="false">IF(C1753="",0,IF(COUNTIF(C$5:C1753,C1753)=1,1,0))</f>
        <v>0</v>
      </c>
      <c r="G1753" s="16" t="n">
        <f aca="false">SUM(F$5:F1753)</f>
        <v>8</v>
      </c>
      <c r="H1753" s="16" t="n">
        <f aca="false">IF(B1753="",0,IF(COUNTIF(B$5:B1753,B1753)=1,1,0))</f>
        <v>0</v>
      </c>
      <c r="I1753" s="16" t="n">
        <f aca="false">SUM(H$5:H1753)</f>
        <v>6</v>
      </c>
    </row>
    <row r="1754" customFormat="false" ht="15" hidden="false" customHeight="false" outlineLevel="0" collapsed="false">
      <c r="A1754" s="12"/>
      <c r="B1754" s="13"/>
      <c r="C1754" s="13"/>
      <c r="D1754" s="14"/>
      <c r="E1754" s="15"/>
      <c r="F1754" s="16" t="n">
        <f aca="false">IF(C1754="",0,IF(COUNTIF(C$5:C1754,C1754)=1,1,0))</f>
        <v>0</v>
      </c>
      <c r="G1754" s="16" t="n">
        <f aca="false">SUM(F$5:F1754)</f>
        <v>8</v>
      </c>
      <c r="H1754" s="16" t="n">
        <f aca="false">IF(B1754="",0,IF(COUNTIF(B$5:B1754,B1754)=1,1,0))</f>
        <v>0</v>
      </c>
      <c r="I1754" s="16" t="n">
        <f aca="false">SUM(H$5:H1754)</f>
        <v>6</v>
      </c>
    </row>
    <row r="1755" customFormat="false" ht="15" hidden="false" customHeight="false" outlineLevel="0" collapsed="false">
      <c r="A1755" s="12"/>
      <c r="B1755" s="13"/>
      <c r="C1755" s="13"/>
      <c r="D1755" s="14"/>
      <c r="E1755" s="15"/>
      <c r="F1755" s="16" t="n">
        <f aca="false">IF(C1755="",0,IF(COUNTIF(C$5:C1755,C1755)=1,1,0))</f>
        <v>0</v>
      </c>
      <c r="G1755" s="16" t="n">
        <f aca="false">SUM(F$5:F1755)</f>
        <v>8</v>
      </c>
      <c r="H1755" s="16" t="n">
        <f aca="false">IF(B1755="",0,IF(COUNTIF(B$5:B1755,B1755)=1,1,0))</f>
        <v>0</v>
      </c>
      <c r="I1755" s="16" t="n">
        <f aca="false">SUM(H$5:H1755)</f>
        <v>6</v>
      </c>
    </row>
    <row r="1756" customFormat="false" ht="15" hidden="false" customHeight="false" outlineLevel="0" collapsed="false">
      <c r="A1756" s="12"/>
      <c r="B1756" s="13"/>
      <c r="C1756" s="13"/>
      <c r="D1756" s="14"/>
      <c r="E1756" s="15"/>
      <c r="F1756" s="16" t="n">
        <f aca="false">IF(C1756="",0,IF(COUNTIF(C$5:C1756,C1756)=1,1,0))</f>
        <v>0</v>
      </c>
      <c r="G1756" s="16" t="n">
        <f aca="false">SUM(F$5:F1756)</f>
        <v>8</v>
      </c>
      <c r="H1756" s="16" t="n">
        <f aca="false">IF(B1756="",0,IF(COUNTIF(B$5:B1756,B1756)=1,1,0))</f>
        <v>0</v>
      </c>
      <c r="I1756" s="16" t="n">
        <f aca="false">SUM(H$5:H1756)</f>
        <v>6</v>
      </c>
    </row>
    <row r="1757" customFormat="false" ht="15" hidden="false" customHeight="false" outlineLevel="0" collapsed="false">
      <c r="A1757" s="12"/>
      <c r="B1757" s="13"/>
      <c r="C1757" s="13"/>
      <c r="D1757" s="14"/>
      <c r="E1757" s="15"/>
      <c r="F1757" s="16" t="n">
        <f aca="false">IF(C1757="",0,IF(COUNTIF(C$5:C1757,C1757)=1,1,0))</f>
        <v>0</v>
      </c>
      <c r="G1757" s="16" t="n">
        <f aca="false">SUM(F$5:F1757)</f>
        <v>8</v>
      </c>
      <c r="H1757" s="16" t="n">
        <f aca="false">IF(B1757="",0,IF(COUNTIF(B$5:B1757,B1757)=1,1,0))</f>
        <v>0</v>
      </c>
      <c r="I1757" s="16" t="n">
        <f aca="false">SUM(H$5:H1757)</f>
        <v>6</v>
      </c>
    </row>
    <row r="1758" customFormat="false" ht="15" hidden="false" customHeight="false" outlineLevel="0" collapsed="false">
      <c r="A1758" s="12"/>
      <c r="B1758" s="13"/>
      <c r="C1758" s="13"/>
      <c r="D1758" s="14"/>
      <c r="E1758" s="15"/>
      <c r="F1758" s="16" t="n">
        <f aca="false">IF(C1758="",0,IF(COUNTIF(C$5:C1758,C1758)=1,1,0))</f>
        <v>0</v>
      </c>
      <c r="G1758" s="16" t="n">
        <f aca="false">SUM(F$5:F1758)</f>
        <v>8</v>
      </c>
      <c r="H1758" s="16" t="n">
        <f aca="false">IF(B1758="",0,IF(COUNTIF(B$5:B1758,B1758)=1,1,0))</f>
        <v>0</v>
      </c>
      <c r="I1758" s="16" t="n">
        <f aca="false">SUM(H$5:H1758)</f>
        <v>6</v>
      </c>
    </row>
    <row r="1759" customFormat="false" ht="15" hidden="false" customHeight="false" outlineLevel="0" collapsed="false">
      <c r="A1759" s="12"/>
      <c r="B1759" s="13"/>
      <c r="C1759" s="13"/>
      <c r="D1759" s="14"/>
      <c r="E1759" s="15"/>
      <c r="F1759" s="16" t="n">
        <f aca="false">IF(C1759="",0,IF(COUNTIF(C$5:C1759,C1759)=1,1,0))</f>
        <v>0</v>
      </c>
      <c r="G1759" s="16" t="n">
        <f aca="false">SUM(F$5:F1759)</f>
        <v>8</v>
      </c>
      <c r="H1759" s="16" t="n">
        <f aca="false">IF(B1759="",0,IF(COUNTIF(B$5:B1759,B1759)=1,1,0))</f>
        <v>0</v>
      </c>
      <c r="I1759" s="16" t="n">
        <f aca="false">SUM(H$5:H1759)</f>
        <v>6</v>
      </c>
    </row>
    <row r="1760" customFormat="false" ht="15" hidden="false" customHeight="false" outlineLevel="0" collapsed="false">
      <c r="A1760" s="12"/>
      <c r="B1760" s="13"/>
      <c r="C1760" s="13"/>
      <c r="D1760" s="14"/>
      <c r="E1760" s="15"/>
      <c r="F1760" s="16" t="n">
        <f aca="false">IF(C1760="",0,IF(COUNTIF(C$5:C1760,C1760)=1,1,0))</f>
        <v>0</v>
      </c>
      <c r="G1760" s="16" t="n">
        <f aca="false">SUM(F$5:F1760)</f>
        <v>8</v>
      </c>
      <c r="H1760" s="16" t="n">
        <f aca="false">IF(B1760="",0,IF(COUNTIF(B$5:B1760,B1760)=1,1,0))</f>
        <v>0</v>
      </c>
      <c r="I1760" s="16" t="n">
        <f aca="false">SUM(H$5:H1760)</f>
        <v>6</v>
      </c>
    </row>
    <row r="1761" customFormat="false" ht="15" hidden="false" customHeight="false" outlineLevel="0" collapsed="false">
      <c r="A1761" s="12"/>
      <c r="B1761" s="13"/>
      <c r="C1761" s="13"/>
      <c r="D1761" s="14"/>
      <c r="E1761" s="15"/>
      <c r="F1761" s="16" t="n">
        <f aca="false">IF(C1761="",0,IF(COUNTIF(C$5:C1761,C1761)=1,1,0))</f>
        <v>0</v>
      </c>
      <c r="G1761" s="16" t="n">
        <f aca="false">SUM(F$5:F1761)</f>
        <v>8</v>
      </c>
      <c r="H1761" s="16" t="n">
        <f aca="false">IF(B1761="",0,IF(COUNTIF(B$5:B1761,B1761)=1,1,0))</f>
        <v>0</v>
      </c>
      <c r="I1761" s="16" t="n">
        <f aca="false">SUM(H$5:H1761)</f>
        <v>6</v>
      </c>
    </row>
    <row r="1762" customFormat="false" ht="15" hidden="false" customHeight="false" outlineLevel="0" collapsed="false">
      <c r="A1762" s="12"/>
      <c r="B1762" s="13"/>
      <c r="C1762" s="13"/>
      <c r="D1762" s="14"/>
      <c r="E1762" s="15"/>
      <c r="F1762" s="16" t="n">
        <f aca="false">IF(C1762="",0,IF(COUNTIF(C$5:C1762,C1762)=1,1,0))</f>
        <v>0</v>
      </c>
      <c r="G1762" s="16" t="n">
        <f aca="false">SUM(F$5:F1762)</f>
        <v>8</v>
      </c>
      <c r="H1762" s="16" t="n">
        <f aca="false">IF(B1762="",0,IF(COUNTIF(B$5:B1762,B1762)=1,1,0))</f>
        <v>0</v>
      </c>
      <c r="I1762" s="16" t="n">
        <f aca="false">SUM(H$5:H1762)</f>
        <v>6</v>
      </c>
    </row>
    <row r="1763" customFormat="false" ht="15" hidden="false" customHeight="false" outlineLevel="0" collapsed="false">
      <c r="A1763" s="12"/>
      <c r="B1763" s="13"/>
      <c r="C1763" s="13"/>
      <c r="D1763" s="14"/>
      <c r="E1763" s="15"/>
      <c r="F1763" s="16" t="n">
        <f aca="false">IF(C1763="",0,IF(COUNTIF(C$5:C1763,C1763)=1,1,0))</f>
        <v>0</v>
      </c>
      <c r="G1763" s="16" t="n">
        <f aca="false">SUM(F$5:F1763)</f>
        <v>8</v>
      </c>
      <c r="H1763" s="16" t="n">
        <f aca="false">IF(B1763="",0,IF(COUNTIF(B$5:B1763,B1763)=1,1,0))</f>
        <v>0</v>
      </c>
      <c r="I1763" s="16" t="n">
        <f aca="false">SUM(H$5:H1763)</f>
        <v>6</v>
      </c>
    </row>
    <row r="1764" customFormat="false" ht="15" hidden="false" customHeight="false" outlineLevel="0" collapsed="false">
      <c r="A1764" s="12"/>
      <c r="B1764" s="13"/>
      <c r="C1764" s="13"/>
      <c r="D1764" s="14"/>
      <c r="E1764" s="15"/>
      <c r="F1764" s="16" t="n">
        <f aca="false">IF(C1764="",0,IF(COUNTIF(C$5:C1764,C1764)=1,1,0))</f>
        <v>0</v>
      </c>
      <c r="G1764" s="16" t="n">
        <f aca="false">SUM(F$5:F1764)</f>
        <v>8</v>
      </c>
      <c r="H1764" s="16" t="n">
        <f aca="false">IF(B1764="",0,IF(COUNTIF(B$5:B1764,B1764)=1,1,0))</f>
        <v>0</v>
      </c>
      <c r="I1764" s="16" t="n">
        <f aca="false">SUM(H$5:H1764)</f>
        <v>6</v>
      </c>
    </row>
    <row r="1765" customFormat="false" ht="15" hidden="false" customHeight="false" outlineLevel="0" collapsed="false">
      <c r="A1765" s="12"/>
      <c r="B1765" s="13"/>
      <c r="C1765" s="13"/>
      <c r="D1765" s="14"/>
      <c r="E1765" s="15"/>
      <c r="F1765" s="16" t="n">
        <f aca="false">IF(C1765="",0,IF(COUNTIF(C$5:C1765,C1765)=1,1,0))</f>
        <v>0</v>
      </c>
      <c r="G1765" s="16" t="n">
        <f aca="false">SUM(F$5:F1765)</f>
        <v>8</v>
      </c>
      <c r="H1765" s="16" t="n">
        <f aca="false">IF(B1765="",0,IF(COUNTIF(B$5:B1765,B1765)=1,1,0))</f>
        <v>0</v>
      </c>
      <c r="I1765" s="16" t="n">
        <f aca="false">SUM(H$5:H1765)</f>
        <v>6</v>
      </c>
    </row>
    <row r="1766" customFormat="false" ht="15" hidden="false" customHeight="false" outlineLevel="0" collapsed="false">
      <c r="A1766" s="12"/>
      <c r="B1766" s="13"/>
      <c r="C1766" s="13"/>
      <c r="D1766" s="14"/>
      <c r="E1766" s="15"/>
      <c r="F1766" s="16" t="n">
        <f aca="false">IF(C1766="",0,IF(COUNTIF(C$5:C1766,C1766)=1,1,0))</f>
        <v>0</v>
      </c>
      <c r="G1766" s="16" t="n">
        <f aca="false">SUM(F$5:F1766)</f>
        <v>8</v>
      </c>
      <c r="H1766" s="16" t="n">
        <f aca="false">IF(B1766="",0,IF(COUNTIF(B$5:B1766,B1766)=1,1,0))</f>
        <v>0</v>
      </c>
      <c r="I1766" s="16" t="n">
        <f aca="false">SUM(H$5:H1766)</f>
        <v>6</v>
      </c>
    </row>
    <row r="1767" customFormat="false" ht="15" hidden="false" customHeight="false" outlineLevel="0" collapsed="false">
      <c r="A1767" s="12"/>
      <c r="B1767" s="13"/>
      <c r="C1767" s="13"/>
      <c r="D1767" s="14"/>
      <c r="E1767" s="15"/>
      <c r="F1767" s="16" t="n">
        <f aca="false">IF(C1767="",0,IF(COUNTIF(C$5:C1767,C1767)=1,1,0))</f>
        <v>0</v>
      </c>
      <c r="G1767" s="16" t="n">
        <f aca="false">SUM(F$5:F1767)</f>
        <v>8</v>
      </c>
      <c r="H1767" s="16" t="n">
        <f aca="false">IF(B1767="",0,IF(COUNTIF(B$5:B1767,B1767)=1,1,0))</f>
        <v>0</v>
      </c>
      <c r="I1767" s="16" t="n">
        <f aca="false">SUM(H$5:H1767)</f>
        <v>6</v>
      </c>
    </row>
    <row r="1768" customFormat="false" ht="15" hidden="false" customHeight="false" outlineLevel="0" collapsed="false">
      <c r="A1768" s="12"/>
      <c r="B1768" s="13"/>
      <c r="C1768" s="13"/>
      <c r="D1768" s="14"/>
      <c r="E1768" s="15"/>
      <c r="F1768" s="16" t="n">
        <f aca="false">IF(C1768="",0,IF(COUNTIF(C$5:C1768,C1768)=1,1,0))</f>
        <v>0</v>
      </c>
      <c r="G1768" s="16" t="n">
        <f aca="false">SUM(F$5:F1768)</f>
        <v>8</v>
      </c>
      <c r="H1768" s="16" t="n">
        <f aca="false">IF(B1768="",0,IF(COUNTIF(B$5:B1768,B1768)=1,1,0))</f>
        <v>0</v>
      </c>
      <c r="I1768" s="16" t="n">
        <f aca="false">SUM(H$5:H1768)</f>
        <v>6</v>
      </c>
    </row>
    <row r="1769" customFormat="false" ht="15" hidden="false" customHeight="false" outlineLevel="0" collapsed="false">
      <c r="A1769" s="12"/>
      <c r="B1769" s="13"/>
      <c r="C1769" s="13"/>
      <c r="D1769" s="14"/>
      <c r="E1769" s="15"/>
      <c r="F1769" s="16" t="n">
        <f aca="false">IF(C1769="",0,IF(COUNTIF(C$5:C1769,C1769)=1,1,0))</f>
        <v>0</v>
      </c>
      <c r="G1769" s="16" t="n">
        <f aca="false">SUM(F$5:F1769)</f>
        <v>8</v>
      </c>
      <c r="H1769" s="16" t="n">
        <f aca="false">IF(B1769="",0,IF(COUNTIF(B$5:B1769,B1769)=1,1,0))</f>
        <v>0</v>
      </c>
      <c r="I1769" s="16" t="n">
        <f aca="false">SUM(H$5:H1769)</f>
        <v>6</v>
      </c>
    </row>
    <row r="1770" customFormat="false" ht="15" hidden="false" customHeight="false" outlineLevel="0" collapsed="false">
      <c r="A1770" s="12"/>
      <c r="B1770" s="13"/>
      <c r="C1770" s="13"/>
      <c r="D1770" s="14"/>
      <c r="E1770" s="15"/>
      <c r="F1770" s="16" t="n">
        <f aca="false">IF(C1770="",0,IF(COUNTIF(C$5:C1770,C1770)=1,1,0))</f>
        <v>0</v>
      </c>
      <c r="G1770" s="16" t="n">
        <f aca="false">SUM(F$5:F1770)</f>
        <v>8</v>
      </c>
      <c r="H1770" s="16" t="n">
        <f aca="false">IF(B1770="",0,IF(COUNTIF(B$5:B1770,B1770)=1,1,0))</f>
        <v>0</v>
      </c>
      <c r="I1770" s="16" t="n">
        <f aca="false">SUM(H$5:H1770)</f>
        <v>6</v>
      </c>
    </row>
    <row r="1771" customFormat="false" ht="15" hidden="false" customHeight="false" outlineLevel="0" collapsed="false">
      <c r="A1771" s="12"/>
      <c r="B1771" s="13"/>
      <c r="C1771" s="13"/>
      <c r="D1771" s="14"/>
      <c r="E1771" s="15"/>
      <c r="F1771" s="16" t="n">
        <f aca="false">IF(C1771="",0,IF(COUNTIF(C$5:C1771,C1771)=1,1,0))</f>
        <v>0</v>
      </c>
      <c r="G1771" s="16" t="n">
        <f aca="false">SUM(F$5:F1771)</f>
        <v>8</v>
      </c>
      <c r="H1771" s="16" t="n">
        <f aca="false">IF(B1771="",0,IF(COUNTIF(B$5:B1771,B1771)=1,1,0))</f>
        <v>0</v>
      </c>
      <c r="I1771" s="16" t="n">
        <f aca="false">SUM(H$5:H1771)</f>
        <v>6</v>
      </c>
    </row>
    <row r="1772" customFormat="false" ht="15" hidden="false" customHeight="false" outlineLevel="0" collapsed="false">
      <c r="A1772" s="12"/>
      <c r="B1772" s="13"/>
      <c r="C1772" s="13"/>
      <c r="D1772" s="14"/>
      <c r="E1772" s="15"/>
      <c r="F1772" s="16" t="n">
        <f aca="false">IF(C1772="",0,IF(COUNTIF(C$5:C1772,C1772)=1,1,0))</f>
        <v>0</v>
      </c>
      <c r="G1772" s="16" t="n">
        <f aca="false">SUM(F$5:F1772)</f>
        <v>8</v>
      </c>
      <c r="H1772" s="16" t="n">
        <f aca="false">IF(B1772="",0,IF(COUNTIF(B$5:B1772,B1772)=1,1,0))</f>
        <v>0</v>
      </c>
      <c r="I1772" s="16" t="n">
        <f aca="false">SUM(H$5:H1772)</f>
        <v>6</v>
      </c>
    </row>
    <row r="1773" customFormat="false" ht="15" hidden="false" customHeight="false" outlineLevel="0" collapsed="false">
      <c r="A1773" s="12"/>
      <c r="B1773" s="13"/>
      <c r="C1773" s="13"/>
      <c r="D1773" s="14"/>
      <c r="E1773" s="15"/>
      <c r="F1773" s="16" t="n">
        <f aca="false">IF(C1773="",0,IF(COUNTIF(C$5:C1773,C1773)=1,1,0))</f>
        <v>0</v>
      </c>
      <c r="G1773" s="16" t="n">
        <f aca="false">SUM(F$5:F1773)</f>
        <v>8</v>
      </c>
      <c r="H1773" s="16" t="n">
        <f aca="false">IF(B1773="",0,IF(COUNTIF(B$5:B1773,B1773)=1,1,0))</f>
        <v>0</v>
      </c>
      <c r="I1773" s="16" t="n">
        <f aca="false">SUM(H$5:H1773)</f>
        <v>6</v>
      </c>
    </row>
    <row r="1774" customFormat="false" ht="15" hidden="false" customHeight="false" outlineLevel="0" collapsed="false">
      <c r="A1774" s="12"/>
      <c r="B1774" s="13"/>
      <c r="C1774" s="13"/>
      <c r="D1774" s="14"/>
      <c r="E1774" s="15"/>
      <c r="F1774" s="16" t="n">
        <f aca="false">IF(C1774="",0,IF(COUNTIF(C$5:C1774,C1774)=1,1,0))</f>
        <v>0</v>
      </c>
      <c r="G1774" s="16" t="n">
        <f aca="false">SUM(F$5:F1774)</f>
        <v>8</v>
      </c>
      <c r="H1774" s="16" t="n">
        <f aca="false">IF(B1774="",0,IF(COUNTIF(B$5:B1774,B1774)=1,1,0))</f>
        <v>0</v>
      </c>
      <c r="I1774" s="16" t="n">
        <f aca="false">SUM(H$5:H1774)</f>
        <v>6</v>
      </c>
    </row>
    <row r="1775" customFormat="false" ht="15" hidden="false" customHeight="false" outlineLevel="0" collapsed="false">
      <c r="A1775" s="12"/>
      <c r="B1775" s="13"/>
      <c r="C1775" s="13"/>
      <c r="D1775" s="14"/>
      <c r="E1775" s="15"/>
      <c r="F1775" s="16" t="n">
        <f aca="false">IF(C1775="",0,IF(COUNTIF(C$5:C1775,C1775)=1,1,0))</f>
        <v>0</v>
      </c>
      <c r="G1775" s="16" t="n">
        <f aca="false">SUM(F$5:F1775)</f>
        <v>8</v>
      </c>
      <c r="H1775" s="16" t="n">
        <f aca="false">IF(B1775="",0,IF(COUNTIF(B$5:B1775,B1775)=1,1,0))</f>
        <v>0</v>
      </c>
      <c r="I1775" s="16" t="n">
        <f aca="false">SUM(H$5:H1775)</f>
        <v>6</v>
      </c>
    </row>
    <row r="1776" customFormat="false" ht="15" hidden="false" customHeight="false" outlineLevel="0" collapsed="false">
      <c r="A1776" s="12"/>
      <c r="B1776" s="13"/>
      <c r="C1776" s="13"/>
      <c r="D1776" s="14"/>
      <c r="E1776" s="15"/>
      <c r="F1776" s="16" t="n">
        <f aca="false">IF(C1776="",0,IF(COUNTIF(C$5:C1776,C1776)=1,1,0))</f>
        <v>0</v>
      </c>
      <c r="G1776" s="16" t="n">
        <f aca="false">SUM(F$5:F1776)</f>
        <v>8</v>
      </c>
      <c r="H1776" s="16" t="n">
        <f aca="false">IF(B1776="",0,IF(COUNTIF(B$5:B1776,B1776)=1,1,0))</f>
        <v>0</v>
      </c>
      <c r="I1776" s="16" t="n">
        <f aca="false">SUM(H$5:H1776)</f>
        <v>6</v>
      </c>
    </row>
    <row r="1777" customFormat="false" ht="15" hidden="false" customHeight="false" outlineLevel="0" collapsed="false">
      <c r="A1777" s="12"/>
      <c r="B1777" s="13"/>
      <c r="C1777" s="13"/>
      <c r="D1777" s="14"/>
      <c r="E1777" s="15"/>
      <c r="F1777" s="16" t="n">
        <f aca="false">IF(C1777="",0,IF(COUNTIF(C$5:C1777,C1777)=1,1,0))</f>
        <v>0</v>
      </c>
      <c r="G1777" s="16" t="n">
        <f aca="false">SUM(F$5:F1777)</f>
        <v>8</v>
      </c>
      <c r="H1777" s="16" t="n">
        <f aca="false">IF(B1777="",0,IF(COUNTIF(B$5:B1777,B1777)=1,1,0))</f>
        <v>0</v>
      </c>
      <c r="I1777" s="16" t="n">
        <f aca="false">SUM(H$5:H1777)</f>
        <v>6</v>
      </c>
    </row>
    <row r="1778" customFormat="false" ht="15" hidden="false" customHeight="false" outlineLevel="0" collapsed="false">
      <c r="A1778" s="12"/>
      <c r="B1778" s="13"/>
      <c r="C1778" s="13"/>
      <c r="D1778" s="14"/>
      <c r="E1778" s="15"/>
      <c r="F1778" s="16" t="n">
        <f aca="false">IF(C1778="",0,IF(COUNTIF(C$5:C1778,C1778)=1,1,0))</f>
        <v>0</v>
      </c>
      <c r="G1778" s="16" t="n">
        <f aca="false">SUM(F$5:F1778)</f>
        <v>8</v>
      </c>
      <c r="H1778" s="16" t="n">
        <f aca="false">IF(B1778="",0,IF(COUNTIF(B$5:B1778,B1778)=1,1,0))</f>
        <v>0</v>
      </c>
      <c r="I1778" s="16" t="n">
        <f aca="false">SUM(H$5:H1778)</f>
        <v>6</v>
      </c>
    </row>
    <row r="1779" customFormat="false" ht="15" hidden="false" customHeight="false" outlineLevel="0" collapsed="false">
      <c r="A1779" s="12"/>
      <c r="B1779" s="13"/>
      <c r="C1779" s="13"/>
      <c r="D1779" s="14"/>
      <c r="E1779" s="15"/>
      <c r="F1779" s="16" t="n">
        <f aca="false">IF(C1779="",0,IF(COUNTIF(C$5:C1779,C1779)=1,1,0))</f>
        <v>0</v>
      </c>
      <c r="G1779" s="16" t="n">
        <f aca="false">SUM(F$5:F1779)</f>
        <v>8</v>
      </c>
      <c r="H1779" s="16" t="n">
        <f aca="false">IF(B1779="",0,IF(COUNTIF(B$5:B1779,B1779)=1,1,0))</f>
        <v>0</v>
      </c>
      <c r="I1779" s="16" t="n">
        <f aca="false">SUM(H$5:H1779)</f>
        <v>6</v>
      </c>
    </row>
    <row r="1780" customFormat="false" ht="15" hidden="false" customHeight="false" outlineLevel="0" collapsed="false">
      <c r="A1780" s="12"/>
      <c r="B1780" s="13"/>
      <c r="C1780" s="13"/>
      <c r="D1780" s="14"/>
      <c r="E1780" s="15"/>
      <c r="F1780" s="16" t="n">
        <f aca="false">IF(C1780="",0,IF(COUNTIF(C$5:C1780,C1780)=1,1,0))</f>
        <v>0</v>
      </c>
      <c r="G1780" s="16" t="n">
        <f aca="false">SUM(F$5:F1780)</f>
        <v>8</v>
      </c>
      <c r="H1780" s="16" t="n">
        <f aca="false">IF(B1780="",0,IF(COUNTIF(B$5:B1780,B1780)=1,1,0))</f>
        <v>0</v>
      </c>
      <c r="I1780" s="16" t="n">
        <f aca="false">SUM(H$5:H1780)</f>
        <v>6</v>
      </c>
    </row>
    <row r="1781" customFormat="false" ht="15" hidden="false" customHeight="false" outlineLevel="0" collapsed="false">
      <c r="A1781" s="12"/>
      <c r="B1781" s="13"/>
      <c r="C1781" s="13"/>
      <c r="D1781" s="14"/>
      <c r="E1781" s="15"/>
      <c r="F1781" s="16" t="n">
        <f aca="false">IF(C1781="",0,IF(COUNTIF(C$5:C1781,C1781)=1,1,0))</f>
        <v>0</v>
      </c>
      <c r="G1781" s="16" t="n">
        <f aca="false">SUM(F$5:F1781)</f>
        <v>8</v>
      </c>
      <c r="H1781" s="16" t="n">
        <f aca="false">IF(B1781="",0,IF(COUNTIF(B$5:B1781,B1781)=1,1,0))</f>
        <v>0</v>
      </c>
      <c r="I1781" s="16" t="n">
        <f aca="false">SUM(H$5:H1781)</f>
        <v>6</v>
      </c>
    </row>
    <row r="1782" customFormat="false" ht="15" hidden="false" customHeight="false" outlineLevel="0" collapsed="false">
      <c r="A1782" s="12"/>
      <c r="B1782" s="13"/>
      <c r="C1782" s="13"/>
      <c r="D1782" s="14"/>
      <c r="E1782" s="15"/>
      <c r="F1782" s="16" t="n">
        <f aca="false">IF(C1782="",0,IF(COUNTIF(C$5:C1782,C1782)=1,1,0))</f>
        <v>0</v>
      </c>
      <c r="G1782" s="16" t="n">
        <f aca="false">SUM(F$5:F1782)</f>
        <v>8</v>
      </c>
      <c r="H1782" s="16" t="n">
        <f aca="false">IF(B1782="",0,IF(COUNTIF(B$5:B1782,B1782)=1,1,0))</f>
        <v>0</v>
      </c>
      <c r="I1782" s="16" t="n">
        <f aca="false">SUM(H$5:H1782)</f>
        <v>6</v>
      </c>
    </row>
    <row r="1783" customFormat="false" ht="15" hidden="false" customHeight="false" outlineLevel="0" collapsed="false">
      <c r="A1783" s="12"/>
      <c r="B1783" s="13"/>
      <c r="C1783" s="13"/>
      <c r="D1783" s="14"/>
      <c r="E1783" s="15"/>
      <c r="F1783" s="16" t="n">
        <f aca="false">IF(C1783="",0,IF(COUNTIF(C$5:C1783,C1783)=1,1,0))</f>
        <v>0</v>
      </c>
      <c r="G1783" s="16" t="n">
        <f aca="false">SUM(F$5:F1783)</f>
        <v>8</v>
      </c>
      <c r="H1783" s="16" t="n">
        <f aca="false">IF(B1783="",0,IF(COUNTIF(B$5:B1783,B1783)=1,1,0))</f>
        <v>0</v>
      </c>
      <c r="I1783" s="16" t="n">
        <f aca="false">SUM(H$5:H1783)</f>
        <v>6</v>
      </c>
    </row>
    <row r="1784" customFormat="false" ht="15" hidden="false" customHeight="false" outlineLevel="0" collapsed="false">
      <c r="A1784" s="12"/>
      <c r="B1784" s="13"/>
      <c r="C1784" s="13"/>
      <c r="D1784" s="14"/>
      <c r="E1784" s="15"/>
      <c r="F1784" s="16" t="n">
        <f aca="false">IF(C1784="",0,IF(COUNTIF(C$5:C1784,C1784)=1,1,0))</f>
        <v>0</v>
      </c>
      <c r="G1784" s="16" t="n">
        <f aca="false">SUM(F$5:F1784)</f>
        <v>8</v>
      </c>
      <c r="H1784" s="16" t="n">
        <f aca="false">IF(B1784="",0,IF(COUNTIF(B$5:B1784,B1784)=1,1,0))</f>
        <v>0</v>
      </c>
      <c r="I1784" s="16" t="n">
        <f aca="false">SUM(H$5:H1784)</f>
        <v>6</v>
      </c>
    </row>
    <row r="1785" customFormat="false" ht="15" hidden="false" customHeight="false" outlineLevel="0" collapsed="false">
      <c r="A1785" s="12"/>
      <c r="B1785" s="13"/>
      <c r="C1785" s="13"/>
      <c r="D1785" s="14"/>
      <c r="E1785" s="15"/>
      <c r="F1785" s="16" t="n">
        <f aca="false">IF(C1785="",0,IF(COUNTIF(C$5:C1785,C1785)=1,1,0))</f>
        <v>0</v>
      </c>
      <c r="G1785" s="16" t="n">
        <f aca="false">SUM(F$5:F1785)</f>
        <v>8</v>
      </c>
      <c r="H1785" s="16" t="n">
        <f aca="false">IF(B1785="",0,IF(COUNTIF(B$5:B1785,B1785)=1,1,0))</f>
        <v>0</v>
      </c>
      <c r="I1785" s="16" t="n">
        <f aca="false">SUM(H$5:H1785)</f>
        <v>6</v>
      </c>
    </row>
    <row r="1786" customFormat="false" ht="15" hidden="false" customHeight="false" outlineLevel="0" collapsed="false">
      <c r="A1786" s="12"/>
      <c r="B1786" s="13"/>
      <c r="C1786" s="13"/>
      <c r="D1786" s="14"/>
      <c r="E1786" s="15"/>
      <c r="F1786" s="16" t="n">
        <f aca="false">IF(C1786="",0,IF(COUNTIF(C$5:C1786,C1786)=1,1,0))</f>
        <v>0</v>
      </c>
      <c r="G1786" s="16" t="n">
        <f aca="false">SUM(F$5:F1786)</f>
        <v>8</v>
      </c>
      <c r="H1786" s="16" t="n">
        <f aca="false">IF(B1786="",0,IF(COUNTIF(B$5:B1786,B1786)=1,1,0))</f>
        <v>0</v>
      </c>
      <c r="I1786" s="16" t="n">
        <f aca="false">SUM(H$5:H1786)</f>
        <v>6</v>
      </c>
    </row>
    <row r="1787" customFormat="false" ht="15" hidden="false" customHeight="false" outlineLevel="0" collapsed="false">
      <c r="A1787" s="12"/>
      <c r="B1787" s="13"/>
      <c r="C1787" s="13"/>
      <c r="D1787" s="14"/>
      <c r="E1787" s="15"/>
      <c r="F1787" s="16" t="n">
        <f aca="false">IF(C1787="",0,IF(COUNTIF(C$5:C1787,C1787)=1,1,0))</f>
        <v>0</v>
      </c>
      <c r="G1787" s="16" t="n">
        <f aca="false">SUM(F$5:F1787)</f>
        <v>8</v>
      </c>
      <c r="H1787" s="16" t="n">
        <f aca="false">IF(B1787="",0,IF(COUNTIF(B$5:B1787,B1787)=1,1,0))</f>
        <v>0</v>
      </c>
      <c r="I1787" s="16" t="n">
        <f aca="false">SUM(H$5:H1787)</f>
        <v>6</v>
      </c>
    </row>
    <row r="1788" customFormat="false" ht="15" hidden="false" customHeight="false" outlineLevel="0" collapsed="false">
      <c r="A1788" s="12"/>
      <c r="B1788" s="13"/>
      <c r="C1788" s="13"/>
      <c r="D1788" s="14"/>
      <c r="E1788" s="15"/>
      <c r="F1788" s="16" t="n">
        <f aca="false">IF(C1788="",0,IF(COUNTIF(C$5:C1788,C1788)=1,1,0))</f>
        <v>0</v>
      </c>
      <c r="G1788" s="16" t="n">
        <f aca="false">SUM(F$5:F1788)</f>
        <v>8</v>
      </c>
      <c r="H1788" s="16" t="n">
        <f aca="false">IF(B1788="",0,IF(COUNTIF(B$5:B1788,B1788)=1,1,0))</f>
        <v>0</v>
      </c>
      <c r="I1788" s="16" t="n">
        <f aca="false">SUM(H$5:H1788)</f>
        <v>6</v>
      </c>
    </row>
    <row r="1789" customFormat="false" ht="15" hidden="false" customHeight="false" outlineLevel="0" collapsed="false">
      <c r="A1789" s="12"/>
      <c r="B1789" s="13"/>
      <c r="C1789" s="13"/>
      <c r="D1789" s="14"/>
      <c r="E1789" s="15"/>
      <c r="F1789" s="16" t="n">
        <f aca="false">IF(C1789="",0,IF(COUNTIF(C$5:C1789,C1789)=1,1,0))</f>
        <v>0</v>
      </c>
      <c r="G1789" s="16" t="n">
        <f aca="false">SUM(F$5:F1789)</f>
        <v>8</v>
      </c>
      <c r="H1789" s="16" t="n">
        <f aca="false">IF(B1789="",0,IF(COUNTIF(B$5:B1789,B1789)=1,1,0))</f>
        <v>0</v>
      </c>
      <c r="I1789" s="16" t="n">
        <f aca="false">SUM(H$5:H1789)</f>
        <v>6</v>
      </c>
    </row>
    <row r="1790" customFormat="false" ht="15" hidden="false" customHeight="false" outlineLevel="0" collapsed="false">
      <c r="A1790" s="12"/>
      <c r="B1790" s="13"/>
      <c r="C1790" s="13"/>
      <c r="D1790" s="14"/>
      <c r="E1790" s="15"/>
      <c r="F1790" s="16" t="n">
        <f aca="false">IF(C1790="",0,IF(COUNTIF(C$5:C1790,C1790)=1,1,0))</f>
        <v>0</v>
      </c>
      <c r="G1790" s="16" t="n">
        <f aca="false">SUM(F$5:F1790)</f>
        <v>8</v>
      </c>
      <c r="H1790" s="16" t="n">
        <f aca="false">IF(B1790="",0,IF(COUNTIF(B$5:B1790,B1790)=1,1,0))</f>
        <v>0</v>
      </c>
      <c r="I1790" s="16" t="n">
        <f aca="false">SUM(H$5:H1790)</f>
        <v>6</v>
      </c>
    </row>
    <row r="1791" customFormat="false" ht="15" hidden="false" customHeight="false" outlineLevel="0" collapsed="false">
      <c r="A1791" s="12"/>
      <c r="B1791" s="13"/>
      <c r="C1791" s="13"/>
      <c r="D1791" s="14"/>
      <c r="E1791" s="15"/>
      <c r="F1791" s="16" t="n">
        <f aca="false">IF(C1791="",0,IF(COUNTIF(C$5:C1791,C1791)=1,1,0))</f>
        <v>0</v>
      </c>
      <c r="G1791" s="16" t="n">
        <f aca="false">SUM(F$5:F1791)</f>
        <v>8</v>
      </c>
      <c r="H1791" s="16" t="n">
        <f aca="false">IF(B1791="",0,IF(COUNTIF(B$5:B1791,B1791)=1,1,0))</f>
        <v>0</v>
      </c>
      <c r="I1791" s="16" t="n">
        <f aca="false">SUM(H$5:H1791)</f>
        <v>6</v>
      </c>
    </row>
    <row r="1792" customFormat="false" ht="15" hidden="false" customHeight="false" outlineLevel="0" collapsed="false">
      <c r="A1792" s="12"/>
      <c r="B1792" s="13"/>
      <c r="C1792" s="13"/>
      <c r="D1792" s="14"/>
      <c r="E1792" s="15"/>
      <c r="F1792" s="16" t="n">
        <f aca="false">IF(C1792="",0,IF(COUNTIF(C$5:C1792,C1792)=1,1,0))</f>
        <v>0</v>
      </c>
      <c r="G1792" s="16" t="n">
        <f aca="false">SUM(F$5:F1792)</f>
        <v>8</v>
      </c>
      <c r="H1792" s="16" t="n">
        <f aca="false">IF(B1792="",0,IF(COUNTIF(B$5:B1792,B1792)=1,1,0))</f>
        <v>0</v>
      </c>
      <c r="I1792" s="16" t="n">
        <f aca="false">SUM(H$5:H1792)</f>
        <v>6</v>
      </c>
    </row>
    <row r="1793" customFormat="false" ht="15" hidden="false" customHeight="false" outlineLevel="0" collapsed="false">
      <c r="A1793" s="12"/>
      <c r="B1793" s="13"/>
      <c r="C1793" s="13"/>
      <c r="D1793" s="14"/>
      <c r="E1793" s="15"/>
      <c r="F1793" s="16" t="n">
        <f aca="false">IF(C1793="",0,IF(COUNTIF(C$5:C1793,C1793)=1,1,0))</f>
        <v>0</v>
      </c>
      <c r="G1793" s="16" t="n">
        <f aca="false">SUM(F$5:F1793)</f>
        <v>8</v>
      </c>
      <c r="H1793" s="16" t="n">
        <f aca="false">IF(B1793="",0,IF(COUNTIF(B$5:B1793,B1793)=1,1,0))</f>
        <v>0</v>
      </c>
      <c r="I1793" s="16" t="n">
        <f aca="false">SUM(H$5:H1793)</f>
        <v>6</v>
      </c>
    </row>
    <row r="1794" customFormat="false" ht="15" hidden="false" customHeight="false" outlineLevel="0" collapsed="false">
      <c r="A1794" s="12"/>
      <c r="B1794" s="13"/>
      <c r="C1794" s="13"/>
      <c r="D1794" s="14"/>
      <c r="E1794" s="15"/>
      <c r="F1794" s="16" t="n">
        <f aca="false">IF(C1794="",0,IF(COUNTIF(C$5:C1794,C1794)=1,1,0))</f>
        <v>0</v>
      </c>
      <c r="G1794" s="16" t="n">
        <f aca="false">SUM(F$5:F1794)</f>
        <v>8</v>
      </c>
      <c r="H1794" s="16" t="n">
        <f aca="false">IF(B1794="",0,IF(COUNTIF(B$5:B1794,B1794)=1,1,0))</f>
        <v>0</v>
      </c>
      <c r="I1794" s="16" t="n">
        <f aca="false">SUM(H$5:H1794)</f>
        <v>6</v>
      </c>
    </row>
    <row r="1795" customFormat="false" ht="15" hidden="false" customHeight="false" outlineLevel="0" collapsed="false">
      <c r="A1795" s="12"/>
      <c r="B1795" s="13"/>
      <c r="C1795" s="13"/>
      <c r="D1795" s="14"/>
      <c r="E1795" s="15"/>
      <c r="F1795" s="16" t="n">
        <f aca="false">IF(C1795="",0,IF(COUNTIF(C$5:C1795,C1795)=1,1,0))</f>
        <v>0</v>
      </c>
      <c r="G1795" s="16" t="n">
        <f aca="false">SUM(F$5:F1795)</f>
        <v>8</v>
      </c>
      <c r="H1795" s="16" t="n">
        <f aca="false">IF(B1795="",0,IF(COUNTIF(B$5:B1795,B1795)=1,1,0))</f>
        <v>0</v>
      </c>
      <c r="I1795" s="16" t="n">
        <f aca="false">SUM(H$5:H1795)</f>
        <v>6</v>
      </c>
    </row>
    <row r="1796" customFormat="false" ht="15" hidden="false" customHeight="false" outlineLevel="0" collapsed="false">
      <c r="A1796" s="12"/>
      <c r="B1796" s="13"/>
      <c r="C1796" s="13"/>
      <c r="D1796" s="14"/>
      <c r="E1796" s="15"/>
      <c r="F1796" s="16" t="n">
        <f aca="false">IF(C1796="",0,IF(COUNTIF(C$5:C1796,C1796)=1,1,0))</f>
        <v>0</v>
      </c>
      <c r="G1796" s="16" t="n">
        <f aca="false">SUM(F$5:F1796)</f>
        <v>8</v>
      </c>
      <c r="H1796" s="16" t="n">
        <f aca="false">IF(B1796="",0,IF(COUNTIF(B$5:B1796,B1796)=1,1,0))</f>
        <v>0</v>
      </c>
      <c r="I1796" s="16" t="n">
        <f aca="false">SUM(H$5:H1796)</f>
        <v>6</v>
      </c>
    </row>
    <row r="1797" customFormat="false" ht="15" hidden="false" customHeight="false" outlineLevel="0" collapsed="false">
      <c r="A1797" s="12"/>
      <c r="B1797" s="13"/>
      <c r="C1797" s="13"/>
      <c r="D1797" s="14"/>
      <c r="E1797" s="15"/>
      <c r="F1797" s="16" t="n">
        <f aca="false">IF(C1797="",0,IF(COUNTIF(C$5:C1797,C1797)=1,1,0))</f>
        <v>0</v>
      </c>
      <c r="G1797" s="16" t="n">
        <f aca="false">SUM(F$5:F1797)</f>
        <v>8</v>
      </c>
      <c r="H1797" s="16" t="n">
        <f aca="false">IF(B1797="",0,IF(COUNTIF(B$5:B1797,B1797)=1,1,0))</f>
        <v>0</v>
      </c>
      <c r="I1797" s="16" t="n">
        <f aca="false">SUM(H$5:H1797)</f>
        <v>6</v>
      </c>
    </row>
    <row r="1798" customFormat="false" ht="15" hidden="false" customHeight="false" outlineLevel="0" collapsed="false">
      <c r="A1798" s="12"/>
      <c r="B1798" s="13"/>
      <c r="C1798" s="13"/>
      <c r="D1798" s="14"/>
      <c r="E1798" s="15"/>
      <c r="F1798" s="16" t="n">
        <f aca="false">IF(C1798="",0,IF(COUNTIF(C$5:C1798,C1798)=1,1,0))</f>
        <v>0</v>
      </c>
      <c r="G1798" s="16" t="n">
        <f aca="false">SUM(F$5:F1798)</f>
        <v>8</v>
      </c>
      <c r="H1798" s="16" t="n">
        <f aca="false">IF(B1798="",0,IF(COUNTIF(B$5:B1798,B1798)=1,1,0))</f>
        <v>0</v>
      </c>
      <c r="I1798" s="16" t="n">
        <f aca="false">SUM(H$5:H1798)</f>
        <v>6</v>
      </c>
    </row>
    <row r="1799" customFormat="false" ht="15" hidden="false" customHeight="false" outlineLevel="0" collapsed="false">
      <c r="A1799" s="12"/>
      <c r="B1799" s="13"/>
      <c r="C1799" s="13"/>
      <c r="D1799" s="14"/>
      <c r="E1799" s="15"/>
      <c r="F1799" s="16" t="n">
        <f aca="false">IF(C1799="",0,IF(COUNTIF(C$5:C1799,C1799)=1,1,0))</f>
        <v>0</v>
      </c>
      <c r="G1799" s="16" t="n">
        <f aca="false">SUM(F$5:F1799)</f>
        <v>8</v>
      </c>
      <c r="H1799" s="16" t="n">
        <f aca="false">IF(B1799="",0,IF(COUNTIF(B$5:B1799,B1799)=1,1,0))</f>
        <v>0</v>
      </c>
      <c r="I1799" s="16" t="n">
        <f aca="false">SUM(H$5:H1799)</f>
        <v>6</v>
      </c>
    </row>
    <row r="1800" customFormat="false" ht="15" hidden="false" customHeight="false" outlineLevel="0" collapsed="false">
      <c r="A1800" s="12"/>
      <c r="B1800" s="13"/>
      <c r="C1800" s="13"/>
      <c r="D1800" s="14"/>
      <c r="E1800" s="15"/>
      <c r="F1800" s="16" t="n">
        <f aca="false">IF(C1800="",0,IF(COUNTIF(C$5:C1800,C1800)=1,1,0))</f>
        <v>0</v>
      </c>
      <c r="G1800" s="16" t="n">
        <f aca="false">SUM(F$5:F1800)</f>
        <v>8</v>
      </c>
      <c r="H1800" s="16" t="n">
        <f aca="false">IF(B1800="",0,IF(COUNTIF(B$5:B1800,B1800)=1,1,0))</f>
        <v>0</v>
      </c>
      <c r="I1800" s="16" t="n">
        <f aca="false">SUM(H$5:H1800)</f>
        <v>6</v>
      </c>
    </row>
    <row r="1801" customFormat="false" ht="15" hidden="false" customHeight="false" outlineLevel="0" collapsed="false">
      <c r="A1801" s="12"/>
      <c r="B1801" s="13"/>
      <c r="C1801" s="13"/>
      <c r="D1801" s="14"/>
      <c r="E1801" s="15"/>
      <c r="F1801" s="16" t="n">
        <f aca="false">IF(C1801="",0,IF(COUNTIF(C$5:C1801,C1801)=1,1,0))</f>
        <v>0</v>
      </c>
      <c r="G1801" s="16" t="n">
        <f aca="false">SUM(F$5:F1801)</f>
        <v>8</v>
      </c>
      <c r="H1801" s="16" t="n">
        <f aca="false">IF(B1801="",0,IF(COUNTIF(B$5:B1801,B1801)=1,1,0))</f>
        <v>0</v>
      </c>
      <c r="I1801" s="16" t="n">
        <f aca="false">SUM(H$5:H1801)</f>
        <v>6</v>
      </c>
    </row>
    <row r="1802" customFormat="false" ht="15" hidden="false" customHeight="false" outlineLevel="0" collapsed="false">
      <c r="A1802" s="12"/>
      <c r="B1802" s="13"/>
      <c r="C1802" s="13"/>
      <c r="D1802" s="14"/>
      <c r="E1802" s="15"/>
      <c r="F1802" s="16" t="n">
        <f aca="false">IF(C1802="",0,IF(COUNTIF(C$5:C1802,C1802)=1,1,0))</f>
        <v>0</v>
      </c>
      <c r="G1802" s="16" t="n">
        <f aca="false">SUM(F$5:F1802)</f>
        <v>8</v>
      </c>
      <c r="H1802" s="16" t="n">
        <f aca="false">IF(B1802="",0,IF(COUNTIF(B$5:B1802,B1802)=1,1,0))</f>
        <v>0</v>
      </c>
      <c r="I1802" s="16" t="n">
        <f aca="false">SUM(H$5:H1802)</f>
        <v>6</v>
      </c>
    </row>
    <row r="1803" customFormat="false" ht="15" hidden="false" customHeight="false" outlineLevel="0" collapsed="false">
      <c r="A1803" s="12"/>
      <c r="B1803" s="13"/>
      <c r="C1803" s="13"/>
      <c r="D1803" s="14"/>
      <c r="E1803" s="15"/>
      <c r="F1803" s="16" t="n">
        <f aca="false">IF(C1803="",0,IF(COUNTIF(C$5:C1803,C1803)=1,1,0))</f>
        <v>0</v>
      </c>
      <c r="G1803" s="16" t="n">
        <f aca="false">SUM(F$5:F1803)</f>
        <v>8</v>
      </c>
      <c r="H1803" s="16" t="n">
        <f aca="false">IF(B1803="",0,IF(COUNTIF(B$5:B1803,B1803)=1,1,0))</f>
        <v>0</v>
      </c>
      <c r="I1803" s="16" t="n">
        <f aca="false">SUM(H$5:H1803)</f>
        <v>6</v>
      </c>
    </row>
    <row r="1804" customFormat="false" ht="15" hidden="false" customHeight="false" outlineLevel="0" collapsed="false">
      <c r="A1804" s="12"/>
      <c r="B1804" s="13"/>
      <c r="C1804" s="13"/>
      <c r="D1804" s="14"/>
      <c r="E1804" s="15"/>
      <c r="F1804" s="16" t="n">
        <f aca="false">IF(C1804="",0,IF(COUNTIF(C$5:C1804,C1804)=1,1,0))</f>
        <v>0</v>
      </c>
      <c r="G1804" s="16" t="n">
        <f aca="false">SUM(F$5:F1804)</f>
        <v>8</v>
      </c>
      <c r="H1804" s="16" t="n">
        <f aca="false">IF(B1804="",0,IF(COUNTIF(B$5:B1804,B1804)=1,1,0))</f>
        <v>0</v>
      </c>
      <c r="I1804" s="16" t="n">
        <f aca="false">SUM(H$5:H1804)</f>
        <v>6</v>
      </c>
    </row>
    <row r="1805" customFormat="false" ht="15" hidden="false" customHeight="false" outlineLevel="0" collapsed="false">
      <c r="A1805" s="12"/>
      <c r="B1805" s="13"/>
      <c r="C1805" s="13"/>
      <c r="D1805" s="14"/>
      <c r="E1805" s="15"/>
      <c r="F1805" s="16" t="n">
        <f aca="false">IF(C1805="",0,IF(COUNTIF(C$5:C1805,C1805)=1,1,0))</f>
        <v>0</v>
      </c>
      <c r="G1805" s="16" t="n">
        <f aca="false">SUM(F$5:F1805)</f>
        <v>8</v>
      </c>
      <c r="H1805" s="16" t="n">
        <f aca="false">IF(B1805="",0,IF(COUNTIF(B$5:B1805,B1805)=1,1,0))</f>
        <v>0</v>
      </c>
      <c r="I1805" s="16" t="n">
        <f aca="false">SUM(H$5:H1805)</f>
        <v>6</v>
      </c>
    </row>
    <row r="1806" customFormat="false" ht="15" hidden="false" customHeight="false" outlineLevel="0" collapsed="false">
      <c r="A1806" s="12"/>
      <c r="B1806" s="13"/>
      <c r="C1806" s="13"/>
      <c r="D1806" s="14"/>
      <c r="E1806" s="15"/>
      <c r="F1806" s="16" t="n">
        <f aca="false">IF(C1806="",0,IF(COUNTIF(C$5:C1806,C1806)=1,1,0))</f>
        <v>0</v>
      </c>
      <c r="G1806" s="16" t="n">
        <f aca="false">SUM(F$5:F1806)</f>
        <v>8</v>
      </c>
      <c r="H1806" s="16" t="n">
        <f aca="false">IF(B1806="",0,IF(COUNTIF(B$5:B1806,B1806)=1,1,0))</f>
        <v>0</v>
      </c>
      <c r="I1806" s="16" t="n">
        <f aca="false">SUM(H$5:H1806)</f>
        <v>6</v>
      </c>
    </row>
    <row r="1807" customFormat="false" ht="15" hidden="false" customHeight="false" outlineLevel="0" collapsed="false">
      <c r="A1807" s="12"/>
      <c r="B1807" s="13"/>
      <c r="C1807" s="13"/>
      <c r="D1807" s="14"/>
      <c r="E1807" s="15"/>
      <c r="F1807" s="16" t="n">
        <f aca="false">IF(C1807="",0,IF(COUNTIF(C$5:C1807,C1807)=1,1,0))</f>
        <v>0</v>
      </c>
      <c r="G1807" s="16" t="n">
        <f aca="false">SUM(F$5:F1807)</f>
        <v>8</v>
      </c>
      <c r="H1807" s="16" t="n">
        <f aca="false">IF(B1807="",0,IF(COUNTIF(B$5:B1807,B1807)=1,1,0))</f>
        <v>0</v>
      </c>
      <c r="I1807" s="16" t="n">
        <f aca="false">SUM(H$5:H1807)</f>
        <v>6</v>
      </c>
    </row>
    <row r="1808" customFormat="false" ht="15" hidden="false" customHeight="false" outlineLevel="0" collapsed="false">
      <c r="A1808" s="12"/>
      <c r="B1808" s="13"/>
      <c r="C1808" s="13"/>
      <c r="D1808" s="14"/>
      <c r="E1808" s="15"/>
      <c r="F1808" s="16" t="n">
        <f aca="false">IF(C1808="",0,IF(COUNTIF(C$5:C1808,C1808)=1,1,0))</f>
        <v>0</v>
      </c>
      <c r="G1808" s="16" t="n">
        <f aca="false">SUM(F$5:F1808)</f>
        <v>8</v>
      </c>
      <c r="H1808" s="16" t="n">
        <f aca="false">IF(B1808="",0,IF(COUNTIF(B$5:B1808,B1808)=1,1,0))</f>
        <v>0</v>
      </c>
      <c r="I1808" s="16" t="n">
        <f aca="false">SUM(H$5:H1808)</f>
        <v>6</v>
      </c>
    </row>
    <row r="1809" customFormat="false" ht="15" hidden="false" customHeight="false" outlineLevel="0" collapsed="false">
      <c r="A1809" s="12"/>
      <c r="B1809" s="13"/>
      <c r="C1809" s="13"/>
      <c r="D1809" s="14"/>
      <c r="E1809" s="15"/>
      <c r="F1809" s="16" t="n">
        <f aca="false">IF(C1809="",0,IF(COUNTIF(C$5:C1809,C1809)=1,1,0))</f>
        <v>0</v>
      </c>
      <c r="G1809" s="16" t="n">
        <f aca="false">SUM(F$5:F1809)</f>
        <v>8</v>
      </c>
      <c r="H1809" s="16" t="n">
        <f aca="false">IF(B1809="",0,IF(COUNTIF(B$5:B1809,B1809)=1,1,0))</f>
        <v>0</v>
      </c>
      <c r="I1809" s="16" t="n">
        <f aca="false">SUM(H$5:H1809)</f>
        <v>6</v>
      </c>
    </row>
    <row r="1810" customFormat="false" ht="15" hidden="false" customHeight="false" outlineLevel="0" collapsed="false">
      <c r="A1810" s="12"/>
      <c r="B1810" s="13"/>
      <c r="C1810" s="13"/>
      <c r="D1810" s="14"/>
      <c r="E1810" s="15"/>
      <c r="F1810" s="16" t="n">
        <f aca="false">IF(C1810="",0,IF(COUNTIF(C$5:C1810,C1810)=1,1,0))</f>
        <v>0</v>
      </c>
      <c r="G1810" s="16" t="n">
        <f aca="false">SUM(F$5:F1810)</f>
        <v>8</v>
      </c>
      <c r="H1810" s="16" t="n">
        <f aca="false">IF(B1810="",0,IF(COUNTIF(B$5:B1810,B1810)=1,1,0))</f>
        <v>0</v>
      </c>
      <c r="I1810" s="16" t="n">
        <f aca="false">SUM(H$5:H1810)</f>
        <v>6</v>
      </c>
    </row>
    <row r="1811" customFormat="false" ht="15" hidden="false" customHeight="false" outlineLevel="0" collapsed="false">
      <c r="A1811" s="12"/>
      <c r="B1811" s="13"/>
      <c r="C1811" s="13"/>
      <c r="D1811" s="14"/>
      <c r="E1811" s="15"/>
      <c r="F1811" s="16" t="n">
        <f aca="false">IF(C1811="",0,IF(COUNTIF(C$5:C1811,C1811)=1,1,0))</f>
        <v>0</v>
      </c>
      <c r="G1811" s="16" t="n">
        <f aca="false">SUM(F$5:F1811)</f>
        <v>8</v>
      </c>
      <c r="H1811" s="16" t="n">
        <f aca="false">IF(B1811="",0,IF(COUNTIF(B$5:B1811,B1811)=1,1,0))</f>
        <v>0</v>
      </c>
      <c r="I1811" s="16" t="n">
        <f aca="false">SUM(H$5:H1811)</f>
        <v>6</v>
      </c>
    </row>
    <row r="1812" customFormat="false" ht="15" hidden="false" customHeight="false" outlineLevel="0" collapsed="false">
      <c r="A1812" s="12"/>
      <c r="B1812" s="13"/>
      <c r="C1812" s="13"/>
      <c r="D1812" s="14"/>
      <c r="E1812" s="15"/>
      <c r="F1812" s="16" t="n">
        <f aca="false">IF(C1812="",0,IF(COUNTIF(C$5:C1812,C1812)=1,1,0))</f>
        <v>0</v>
      </c>
      <c r="G1812" s="16" t="n">
        <f aca="false">SUM(F$5:F1812)</f>
        <v>8</v>
      </c>
      <c r="H1812" s="16" t="n">
        <f aca="false">IF(B1812="",0,IF(COUNTIF(B$5:B1812,B1812)=1,1,0))</f>
        <v>0</v>
      </c>
      <c r="I1812" s="16" t="n">
        <f aca="false">SUM(H$5:H1812)</f>
        <v>6</v>
      </c>
    </row>
    <row r="1813" customFormat="false" ht="15" hidden="false" customHeight="false" outlineLevel="0" collapsed="false">
      <c r="A1813" s="12"/>
      <c r="B1813" s="13"/>
      <c r="C1813" s="13"/>
      <c r="D1813" s="14"/>
      <c r="E1813" s="15"/>
      <c r="F1813" s="16" t="n">
        <f aca="false">IF(C1813="",0,IF(COUNTIF(C$5:C1813,C1813)=1,1,0))</f>
        <v>0</v>
      </c>
      <c r="G1813" s="16" t="n">
        <f aca="false">SUM(F$5:F1813)</f>
        <v>8</v>
      </c>
      <c r="H1813" s="16" t="n">
        <f aca="false">IF(B1813="",0,IF(COUNTIF(B$5:B1813,B1813)=1,1,0))</f>
        <v>0</v>
      </c>
      <c r="I1813" s="16" t="n">
        <f aca="false">SUM(H$5:H1813)</f>
        <v>6</v>
      </c>
    </row>
    <row r="1814" customFormat="false" ht="15" hidden="false" customHeight="false" outlineLevel="0" collapsed="false">
      <c r="A1814" s="12"/>
      <c r="B1814" s="13"/>
      <c r="C1814" s="13"/>
      <c r="D1814" s="14"/>
      <c r="E1814" s="15"/>
      <c r="F1814" s="16" t="n">
        <f aca="false">IF(C1814="",0,IF(COUNTIF(C$5:C1814,C1814)=1,1,0))</f>
        <v>0</v>
      </c>
      <c r="G1814" s="16" t="n">
        <f aca="false">SUM(F$5:F1814)</f>
        <v>8</v>
      </c>
      <c r="H1814" s="16" t="n">
        <f aca="false">IF(B1814="",0,IF(COUNTIF(B$5:B1814,B1814)=1,1,0))</f>
        <v>0</v>
      </c>
      <c r="I1814" s="16" t="n">
        <f aca="false">SUM(H$5:H1814)</f>
        <v>6</v>
      </c>
    </row>
    <row r="1815" customFormat="false" ht="15" hidden="false" customHeight="false" outlineLevel="0" collapsed="false">
      <c r="A1815" s="12"/>
      <c r="B1815" s="13"/>
      <c r="C1815" s="13"/>
      <c r="D1815" s="14"/>
      <c r="E1815" s="15"/>
      <c r="F1815" s="16" t="n">
        <f aca="false">IF(C1815="",0,IF(COUNTIF(C$5:C1815,C1815)=1,1,0))</f>
        <v>0</v>
      </c>
      <c r="G1815" s="16" t="n">
        <f aca="false">SUM(F$5:F1815)</f>
        <v>8</v>
      </c>
      <c r="H1815" s="16" t="n">
        <f aca="false">IF(B1815="",0,IF(COUNTIF(B$5:B1815,B1815)=1,1,0))</f>
        <v>0</v>
      </c>
      <c r="I1815" s="16" t="n">
        <f aca="false">SUM(H$5:H1815)</f>
        <v>6</v>
      </c>
    </row>
    <row r="1816" customFormat="false" ht="15" hidden="false" customHeight="false" outlineLevel="0" collapsed="false">
      <c r="A1816" s="12"/>
      <c r="B1816" s="13"/>
      <c r="C1816" s="13"/>
      <c r="D1816" s="14"/>
      <c r="E1816" s="15"/>
      <c r="F1816" s="16" t="n">
        <f aca="false">IF(C1816="",0,IF(COUNTIF(C$5:C1816,C1816)=1,1,0))</f>
        <v>0</v>
      </c>
      <c r="G1816" s="16" t="n">
        <f aca="false">SUM(F$5:F1816)</f>
        <v>8</v>
      </c>
      <c r="H1816" s="16" t="n">
        <f aca="false">IF(B1816="",0,IF(COUNTIF(B$5:B1816,B1816)=1,1,0))</f>
        <v>0</v>
      </c>
      <c r="I1816" s="16" t="n">
        <f aca="false">SUM(H$5:H1816)</f>
        <v>6</v>
      </c>
    </row>
    <row r="1817" customFormat="false" ht="15" hidden="false" customHeight="false" outlineLevel="0" collapsed="false">
      <c r="A1817" s="12"/>
      <c r="B1817" s="13"/>
      <c r="C1817" s="13"/>
      <c r="D1817" s="14"/>
      <c r="E1817" s="15"/>
      <c r="F1817" s="16" t="n">
        <f aca="false">IF(C1817="",0,IF(COUNTIF(C$5:C1817,C1817)=1,1,0))</f>
        <v>0</v>
      </c>
      <c r="G1817" s="16" t="n">
        <f aca="false">SUM(F$5:F1817)</f>
        <v>8</v>
      </c>
      <c r="H1817" s="16" t="n">
        <f aca="false">IF(B1817="",0,IF(COUNTIF(B$5:B1817,B1817)=1,1,0))</f>
        <v>0</v>
      </c>
      <c r="I1817" s="16" t="n">
        <f aca="false">SUM(H$5:H1817)</f>
        <v>6</v>
      </c>
    </row>
    <row r="1818" customFormat="false" ht="15" hidden="false" customHeight="false" outlineLevel="0" collapsed="false">
      <c r="A1818" s="12"/>
      <c r="B1818" s="13"/>
      <c r="C1818" s="13"/>
      <c r="D1818" s="14"/>
      <c r="E1818" s="15"/>
      <c r="F1818" s="16" t="n">
        <f aca="false">IF(C1818="",0,IF(COUNTIF(C$5:C1818,C1818)=1,1,0))</f>
        <v>0</v>
      </c>
      <c r="G1818" s="16" t="n">
        <f aca="false">SUM(F$5:F1818)</f>
        <v>8</v>
      </c>
      <c r="H1818" s="16" t="n">
        <f aca="false">IF(B1818="",0,IF(COUNTIF(B$5:B1818,B1818)=1,1,0))</f>
        <v>0</v>
      </c>
      <c r="I1818" s="16" t="n">
        <f aca="false">SUM(H$5:H1818)</f>
        <v>6</v>
      </c>
    </row>
    <row r="1819" customFormat="false" ht="15" hidden="false" customHeight="false" outlineLevel="0" collapsed="false">
      <c r="A1819" s="12"/>
      <c r="B1819" s="13"/>
      <c r="C1819" s="13"/>
      <c r="D1819" s="14"/>
      <c r="E1819" s="15"/>
      <c r="F1819" s="16" t="n">
        <f aca="false">IF(C1819="",0,IF(COUNTIF(C$5:C1819,C1819)=1,1,0))</f>
        <v>0</v>
      </c>
      <c r="G1819" s="16" t="n">
        <f aca="false">SUM(F$5:F1819)</f>
        <v>8</v>
      </c>
      <c r="H1819" s="16" t="n">
        <f aca="false">IF(B1819="",0,IF(COUNTIF(B$5:B1819,B1819)=1,1,0))</f>
        <v>0</v>
      </c>
      <c r="I1819" s="16" t="n">
        <f aca="false">SUM(H$5:H1819)</f>
        <v>6</v>
      </c>
    </row>
    <row r="1820" customFormat="false" ht="15" hidden="false" customHeight="false" outlineLevel="0" collapsed="false">
      <c r="A1820" s="12"/>
      <c r="B1820" s="13"/>
      <c r="C1820" s="13"/>
      <c r="D1820" s="14"/>
      <c r="E1820" s="15"/>
      <c r="F1820" s="16" t="n">
        <f aca="false">IF(C1820="",0,IF(COUNTIF(C$5:C1820,C1820)=1,1,0))</f>
        <v>0</v>
      </c>
      <c r="G1820" s="16" t="n">
        <f aca="false">SUM(F$5:F1820)</f>
        <v>8</v>
      </c>
      <c r="H1820" s="16" t="n">
        <f aca="false">IF(B1820="",0,IF(COUNTIF(B$5:B1820,B1820)=1,1,0))</f>
        <v>0</v>
      </c>
      <c r="I1820" s="16" t="n">
        <f aca="false">SUM(H$5:H1820)</f>
        <v>6</v>
      </c>
    </row>
    <row r="1821" customFormat="false" ht="15" hidden="false" customHeight="false" outlineLevel="0" collapsed="false">
      <c r="A1821" s="12"/>
      <c r="B1821" s="13"/>
      <c r="C1821" s="13"/>
      <c r="D1821" s="14"/>
      <c r="E1821" s="15"/>
      <c r="F1821" s="16" t="n">
        <f aca="false">IF(C1821="",0,IF(COUNTIF(C$5:C1821,C1821)=1,1,0))</f>
        <v>0</v>
      </c>
      <c r="G1821" s="16" t="n">
        <f aca="false">SUM(F$5:F1821)</f>
        <v>8</v>
      </c>
      <c r="H1821" s="16" t="n">
        <f aca="false">IF(B1821="",0,IF(COUNTIF(B$5:B1821,B1821)=1,1,0))</f>
        <v>0</v>
      </c>
      <c r="I1821" s="16" t="n">
        <f aca="false">SUM(H$5:H1821)</f>
        <v>6</v>
      </c>
    </row>
    <row r="1822" customFormat="false" ht="15" hidden="false" customHeight="false" outlineLevel="0" collapsed="false">
      <c r="A1822" s="12"/>
      <c r="B1822" s="13"/>
      <c r="C1822" s="13"/>
      <c r="D1822" s="14"/>
      <c r="E1822" s="15"/>
      <c r="F1822" s="16" t="n">
        <f aca="false">IF(C1822="",0,IF(COUNTIF(C$5:C1822,C1822)=1,1,0))</f>
        <v>0</v>
      </c>
      <c r="G1822" s="16" t="n">
        <f aca="false">SUM(F$5:F1822)</f>
        <v>8</v>
      </c>
      <c r="H1822" s="16" t="n">
        <f aca="false">IF(B1822="",0,IF(COUNTIF(B$5:B1822,B1822)=1,1,0))</f>
        <v>0</v>
      </c>
      <c r="I1822" s="16" t="n">
        <f aca="false">SUM(H$5:H1822)</f>
        <v>6</v>
      </c>
    </row>
    <row r="1823" customFormat="false" ht="15" hidden="false" customHeight="false" outlineLevel="0" collapsed="false">
      <c r="A1823" s="12"/>
      <c r="B1823" s="13"/>
      <c r="C1823" s="13"/>
      <c r="D1823" s="14"/>
      <c r="E1823" s="15"/>
      <c r="F1823" s="16" t="n">
        <f aca="false">IF(C1823="",0,IF(COUNTIF(C$5:C1823,C1823)=1,1,0))</f>
        <v>0</v>
      </c>
      <c r="G1823" s="16" t="n">
        <f aca="false">SUM(F$5:F1823)</f>
        <v>8</v>
      </c>
      <c r="H1823" s="16" t="n">
        <f aca="false">IF(B1823="",0,IF(COUNTIF(B$5:B1823,B1823)=1,1,0))</f>
        <v>0</v>
      </c>
      <c r="I1823" s="16" t="n">
        <f aca="false">SUM(H$5:H1823)</f>
        <v>6</v>
      </c>
    </row>
    <row r="1824" customFormat="false" ht="15" hidden="false" customHeight="false" outlineLevel="0" collapsed="false">
      <c r="A1824" s="12"/>
      <c r="B1824" s="13"/>
      <c r="C1824" s="13"/>
      <c r="D1824" s="14"/>
      <c r="E1824" s="15"/>
      <c r="F1824" s="16" t="n">
        <f aca="false">IF(C1824="",0,IF(COUNTIF(C$5:C1824,C1824)=1,1,0))</f>
        <v>0</v>
      </c>
      <c r="G1824" s="16" t="n">
        <f aca="false">SUM(F$5:F1824)</f>
        <v>8</v>
      </c>
      <c r="H1824" s="16" t="n">
        <f aca="false">IF(B1824="",0,IF(COUNTIF(B$5:B1824,B1824)=1,1,0))</f>
        <v>0</v>
      </c>
      <c r="I1824" s="16" t="n">
        <f aca="false">SUM(H$5:H1824)</f>
        <v>6</v>
      </c>
    </row>
    <row r="1825" customFormat="false" ht="15" hidden="false" customHeight="false" outlineLevel="0" collapsed="false">
      <c r="A1825" s="12"/>
      <c r="B1825" s="13"/>
      <c r="C1825" s="13"/>
      <c r="D1825" s="14"/>
      <c r="E1825" s="15"/>
      <c r="F1825" s="16" t="n">
        <f aca="false">IF(C1825="",0,IF(COUNTIF(C$5:C1825,C1825)=1,1,0))</f>
        <v>0</v>
      </c>
      <c r="G1825" s="16" t="n">
        <f aca="false">SUM(F$5:F1825)</f>
        <v>8</v>
      </c>
      <c r="H1825" s="16" t="n">
        <f aca="false">IF(B1825="",0,IF(COUNTIF(B$5:B1825,B1825)=1,1,0))</f>
        <v>0</v>
      </c>
      <c r="I1825" s="16" t="n">
        <f aca="false">SUM(H$5:H1825)</f>
        <v>6</v>
      </c>
    </row>
    <row r="1826" customFormat="false" ht="15" hidden="false" customHeight="false" outlineLevel="0" collapsed="false">
      <c r="A1826" s="12"/>
      <c r="B1826" s="13"/>
      <c r="C1826" s="13"/>
      <c r="D1826" s="14"/>
      <c r="E1826" s="15"/>
      <c r="F1826" s="16" t="n">
        <f aca="false">IF(C1826="",0,IF(COUNTIF(C$5:C1826,C1826)=1,1,0))</f>
        <v>0</v>
      </c>
      <c r="G1826" s="16" t="n">
        <f aca="false">SUM(F$5:F1826)</f>
        <v>8</v>
      </c>
      <c r="H1826" s="16" t="n">
        <f aca="false">IF(B1826="",0,IF(COUNTIF(B$5:B1826,B1826)=1,1,0))</f>
        <v>0</v>
      </c>
      <c r="I1826" s="16" t="n">
        <f aca="false">SUM(H$5:H1826)</f>
        <v>6</v>
      </c>
    </row>
    <row r="1827" customFormat="false" ht="15" hidden="false" customHeight="false" outlineLevel="0" collapsed="false">
      <c r="A1827" s="12"/>
      <c r="B1827" s="13"/>
      <c r="C1827" s="13"/>
      <c r="D1827" s="14"/>
      <c r="E1827" s="15"/>
      <c r="F1827" s="16" t="n">
        <f aca="false">IF(C1827="",0,IF(COUNTIF(C$5:C1827,C1827)=1,1,0))</f>
        <v>0</v>
      </c>
      <c r="G1827" s="16" t="n">
        <f aca="false">SUM(F$5:F1827)</f>
        <v>8</v>
      </c>
      <c r="H1827" s="16" t="n">
        <f aca="false">IF(B1827="",0,IF(COUNTIF(B$5:B1827,B1827)=1,1,0))</f>
        <v>0</v>
      </c>
      <c r="I1827" s="16" t="n">
        <f aca="false">SUM(H$5:H1827)</f>
        <v>6</v>
      </c>
    </row>
    <row r="1828" customFormat="false" ht="15" hidden="false" customHeight="false" outlineLevel="0" collapsed="false">
      <c r="A1828" s="12"/>
      <c r="B1828" s="13"/>
      <c r="C1828" s="13"/>
      <c r="D1828" s="14"/>
      <c r="E1828" s="15"/>
      <c r="F1828" s="16" t="n">
        <f aca="false">IF(C1828="",0,IF(COUNTIF(C$5:C1828,C1828)=1,1,0))</f>
        <v>0</v>
      </c>
      <c r="G1828" s="16" t="n">
        <f aca="false">SUM(F$5:F1828)</f>
        <v>8</v>
      </c>
      <c r="H1828" s="16" t="n">
        <f aca="false">IF(B1828="",0,IF(COUNTIF(B$5:B1828,B1828)=1,1,0))</f>
        <v>0</v>
      </c>
      <c r="I1828" s="16" t="n">
        <f aca="false">SUM(H$5:H1828)</f>
        <v>6</v>
      </c>
    </row>
    <row r="1829" customFormat="false" ht="15" hidden="false" customHeight="false" outlineLevel="0" collapsed="false">
      <c r="A1829" s="12"/>
      <c r="B1829" s="13"/>
      <c r="C1829" s="13"/>
      <c r="D1829" s="14"/>
      <c r="E1829" s="15"/>
      <c r="F1829" s="16" t="n">
        <f aca="false">IF(C1829="",0,IF(COUNTIF(C$5:C1829,C1829)=1,1,0))</f>
        <v>0</v>
      </c>
      <c r="G1829" s="16" t="n">
        <f aca="false">SUM(F$5:F1829)</f>
        <v>8</v>
      </c>
      <c r="H1829" s="16" t="n">
        <f aca="false">IF(B1829="",0,IF(COUNTIF(B$5:B1829,B1829)=1,1,0))</f>
        <v>0</v>
      </c>
      <c r="I1829" s="16" t="n">
        <f aca="false">SUM(H$5:H1829)</f>
        <v>6</v>
      </c>
    </row>
    <row r="1830" customFormat="false" ht="15" hidden="false" customHeight="false" outlineLevel="0" collapsed="false">
      <c r="A1830" s="12"/>
      <c r="B1830" s="13"/>
      <c r="C1830" s="13"/>
      <c r="D1830" s="14"/>
      <c r="E1830" s="15"/>
      <c r="F1830" s="16" t="n">
        <f aca="false">IF(C1830="",0,IF(COUNTIF(C$5:C1830,C1830)=1,1,0))</f>
        <v>0</v>
      </c>
      <c r="G1830" s="16" t="n">
        <f aca="false">SUM(F$5:F1830)</f>
        <v>8</v>
      </c>
      <c r="H1830" s="16" t="n">
        <f aca="false">IF(B1830="",0,IF(COUNTIF(B$5:B1830,B1830)=1,1,0))</f>
        <v>0</v>
      </c>
      <c r="I1830" s="16" t="n">
        <f aca="false">SUM(H$5:H1830)</f>
        <v>6</v>
      </c>
    </row>
    <row r="1831" customFormat="false" ht="15" hidden="false" customHeight="false" outlineLevel="0" collapsed="false">
      <c r="A1831" s="12"/>
      <c r="B1831" s="13"/>
      <c r="C1831" s="13"/>
      <c r="D1831" s="14"/>
      <c r="E1831" s="15"/>
      <c r="F1831" s="16" t="n">
        <f aca="false">IF(C1831="",0,IF(COUNTIF(C$5:C1831,C1831)=1,1,0))</f>
        <v>0</v>
      </c>
      <c r="G1831" s="16" t="n">
        <f aca="false">SUM(F$5:F1831)</f>
        <v>8</v>
      </c>
      <c r="H1831" s="16" t="n">
        <f aca="false">IF(B1831="",0,IF(COUNTIF(B$5:B1831,B1831)=1,1,0))</f>
        <v>0</v>
      </c>
      <c r="I1831" s="16" t="n">
        <f aca="false">SUM(H$5:H1831)</f>
        <v>6</v>
      </c>
    </row>
    <row r="1832" customFormat="false" ht="15" hidden="false" customHeight="false" outlineLevel="0" collapsed="false">
      <c r="A1832" s="12"/>
      <c r="B1832" s="13"/>
      <c r="C1832" s="13"/>
      <c r="D1832" s="14"/>
      <c r="E1832" s="15"/>
      <c r="F1832" s="16" t="n">
        <f aca="false">IF(C1832="",0,IF(COUNTIF(C$5:C1832,C1832)=1,1,0))</f>
        <v>0</v>
      </c>
      <c r="G1832" s="16" t="n">
        <f aca="false">SUM(F$5:F1832)</f>
        <v>8</v>
      </c>
      <c r="H1832" s="16" t="n">
        <f aca="false">IF(B1832="",0,IF(COUNTIF(B$5:B1832,B1832)=1,1,0))</f>
        <v>0</v>
      </c>
      <c r="I1832" s="16" t="n">
        <f aca="false">SUM(H$5:H1832)</f>
        <v>6</v>
      </c>
    </row>
    <row r="1833" customFormat="false" ht="15" hidden="false" customHeight="false" outlineLevel="0" collapsed="false">
      <c r="A1833" s="12"/>
      <c r="B1833" s="13"/>
      <c r="C1833" s="13"/>
      <c r="D1833" s="14"/>
      <c r="E1833" s="15"/>
      <c r="F1833" s="16" t="n">
        <f aca="false">IF(C1833="",0,IF(COUNTIF(C$5:C1833,C1833)=1,1,0))</f>
        <v>0</v>
      </c>
      <c r="G1833" s="16" t="n">
        <f aca="false">SUM(F$5:F1833)</f>
        <v>8</v>
      </c>
      <c r="H1833" s="16" t="n">
        <f aca="false">IF(B1833="",0,IF(COUNTIF(B$5:B1833,B1833)=1,1,0))</f>
        <v>0</v>
      </c>
      <c r="I1833" s="16" t="n">
        <f aca="false">SUM(H$5:H1833)</f>
        <v>6</v>
      </c>
    </row>
    <row r="1834" customFormat="false" ht="15" hidden="false" customHeight="false" outlineLevel="0" collapsed="false">
      <c r="A1834" s="12"/>
      <c r="B1834" s="13"/>
      <c r="C1834" s="13"/>
      <c r="D1834" s="14"/>
      <c r="E1834" s="15"/>
      <c r="F1834" s="16" t="n">
        <f aca="false">IF(C1834="",0,IF(COUNTIF(C$5:C1834,C1834)=1,1,0))</f>
        <v>0</v>
      </c>
      <c r="G1834" s="16" t="n">
        <f aca="false">SUM(F$5:F1834)</f>
        <v>8</v>
      </c>
      <c r="H1834" s="16" t="n">
        <f aca="false">IF(B1834="",0,IF(COUNTIF(B$5:B1834,B1834)=1,1,0))</f>
        <v>0</v>
      </c>
      <c r="I1834" s="16" t="n">
        <f aca="false">SUM(H$5:H1834)</f>
        <v>6</v>
      </c>
    </row>
    <row r="1835" customFormat="false" ht="15" hidden="false" customHeight="false" outlineLevel="0" collapsed="false">
      <c r="A1835" s="12"/>
      <c r="B1835" s="13"/>
      <c r="C1835" s="13"/>
      <c r="D1835" s="14"/>
      <c r="E1835" s="15"/>
      <c r="F1835" s="16" t="n">
        <f aca="false">IF(C1835="",0,IF(COUNTIF(C$5:C1835,C1835)=1,1,0))</f>
        <v>0</v>
      </c>
      <c r="G1835" s="16" t="n">
        <f aca="false">SUM(F$5:F1835)</f>
        <v>8</v>
      </c>
      <c r="H1835" s="16" t="n">
        <f aca="false">IF(B1835="",0,IF(COUNTIF(B$5:B1835,B1835)=1,1,0))</f>
        <v>0</v>
      </c>
      <c r="I1835" s="16" t="n">
        <f aca="false">SUM(H$5:H1835)</f>
        <v>6</v>
      </c>
    </row>
    <row r="1836" customFormat="false" ht="15" hidden="false" customHeight="false" outlineLevel="0" collapsed="false">
      <c r="A1836" s="12"/>
      <c r="B1836" s="13"/>
      <c r="C1836" s="13"/>
      <c r="D1836" s="14"/>
      <c r="E1836" s="15"/>
      <c r="F1836" s="16" t="n">
        <f aca="false">IF(C1836="",0,IF(COUNTIF(C$5:C1836,C1836)=1,1,0))</f>
        <v>0</v>
      </c>
      <c r="G1836" s="16" t="n">
        <f aca="false">SUM(F$5:F1836)</f>
        <v>8</v>
      </c>
      <c r="H1836" s="16" t="n">
        <f aca="false">IF(B1836="",0,IF(COUNTIF(B$5:B1836,B1836)=1,1,0))</f>
        <v>0</v>
      </c>
      <c r="I1836" s="16" t="n">
        <f aca="false">SUM(H$5:H1836)</f>
        <v>6</v>
      </c>
    </row>
    <row r="1837" customFormat="false" ht="15" hidden="false" customHeight="false" outlineLevel="0" collapsed="false">
      <c r="A1837" s="12"/>
      <c r="B1837" s="13"/>
      <c r="C1837" s="13"/>
      <c r="D1837" s="14"/>
      <c r="E1837" s="15"/>
      <c r="F1837" s="16" t="n">
        <f aca="false">IF(C1837="",0,IF(COUNTIF(C$5:C1837,C1837)=1,1,0))</f>
        <v>0</v>
      </c>
      <c r="G1837" s="16" t="n">
        <f aca="false">SUM(F$5:F1837)</f>
        <v>8</v>
      </c>
      <c r="H1837" s="16" t="n">
        <f aca="false">IF(B1837="",0,IF(COUNTIF(B$5:B1837,B1837)=1,1,0))</f>
        <v>0</v>
      </c>
      <c r="I1837" s="16" t="n">
        <f aca="false">SUM(H$5:H1837)</f>
        <v>6</v>
      </c>
    </row>
    <row r="1838" customFormat="false" ht="15" hidden="false" customHeight="false" outlineLevel="0" collapsed="false">
      <c r="A1838" s="12"/>
      <c r="B1838" s="13"/>
      <c r="C1838" s="13"/>
      <c r="D1838" s="14"/>
      <c r="E1838" s="15"/>
      <c r="F1838" s="16" t="n">
        <f aca="false">IF(C1838="",0,IF(COUNTIF(C$5:C1838,C1838)=1,1,0))</f>
        <v>0</v>
      </c>
      <c r="G1838" s="16" t="n">
        <f aca="false">SUM(F$5:F1838)</f>
        <v>8</v>
      </c>
      <c r="H1838" s="16" t="n">
        <f aca="false">IF(B1838="",0,IF(COUNTIF(B$5:B1838,B1838)=1,1,0))</f>
        <v>0</v>
      </c>
      <c r="I1838" s="16" t="n">
        <f aca="false">SUM(H$5:H1838)</f>
        <v>6</v>
      </c>
    </row>
    <row r="1839" customFormat="false" ht="15" hidden="false" customHeight="false" outlineLevel="0" collapsed="false">
      <c r="A1839" s="12"/>
      <c r="B1839" s="13"/>
      <c r="C1839" s="13"/>
      <c r="D1839" s="14"/>
      <c r="E1839" s="15"/>
      <c r="F1839" s="16" t="n">
        <f aca="false">IF(C1839="",0,IF(COUNTIF(C$5:C1839,C1839)=1,1,0))</f>
        <v>0</v>
      </c>
      <c r="G1839" s="16" t="n">
        <f aca="false">SUM(F$5:F1839)</f>
        <v>8</v>
      </c>
      <c r="H1839" s="16" t="n">
        <f aca="false">IF(B1839="",0,IF(COUNTIF(B$5:B1839,B1839)=1,1,0))</f>
        <v>0</v>
      </c>
      <c r="I1839" s="16" t="n">
        <f aca="false">SUM(H$5:H1839)</f>
        <v>6</v>
      </c>
    </row>
    <row r="1840" customFormat="false" ht="15" hidden="false" customHeight="false" outlineLevel="0" collapsed="false">
      <c r="A1840" s="12"/>
      <c r="B1840" s="13"/>
      <c r="C1840" s="13"/>
      <c r="D1840" s="14"/>
      <c r="E1840" s="15"/>
      <c r="F1840" s="16" t="n">
        <f aca="false">IF(C1840="",0,IF(COUNTIF(C$5:C1840,C1840)=1,1,0))</f>
        <v>0</v>
      </c>
      <c r="G1840" s="16" t="n">
        <f aca="false">SUM(F$5:F1840)</f>
        <v>8</v>
      </c>
      <c r="H1840" s="16" t="n">
        <f aca="false">IF(B1840="",0,IF(COUNTIF(B$5:B1840,B1840)=1,1,0))</f>
        <v>0</v>
      </c>
      <c r="I1840" s="16" t="n">
        <f aca="false">SUM(H$5:H1840)</f>
        <v>6</v>
      </c>
    </row>
    <row r="1841" customFormat="false" ht="15" hidden="false" customHeight="false" outlineLevel="0" collapsed="false">
      <c r="A1841" s="12"/>
      <c r="B1841" s="13"/>
      <c r="C1841" s="13"/>
      <c r="D1841" s="14"/>
      <c r="E1841" s="15"/>
      <c r="F1841" s="16" t="n">
        <f aca="false">IF(C1841="",0,IF(COUNTIF(C$5:C1841,C1841)=1,1,0))</f>
        <v>0</v>
      </c>
      <c r="G1841" s="16" t="n">
        <f aca="false">SUM(F$5:F1841)</f>
        <v>8</v>
      </c>
      <c r="H1841" s="16" t="n">
        <f aca="false">IF(B1841="",0,IF(COUNTIF(B$5:B1841,B1841)=1,1,0))</f>
        <v>0</v>
      </c>
      <c r="I1841" s="16" t="n">
        <f aca="false">SUM(H$5:H1841)</f>
        <v>6</v>
      </c>
    </row>
    <row r="1842" customFormat="false" ht="15" hidden="false" customHeight="false" outlineLevel="0" collapsed="false">
      <c r="A1842" s="12"/>
      <c r="B1842" s="13"/>
      <c r="C1842" s="13"/>
      <c r="D1842" s="14"/>
      <c r="E1842" s="15"/>
      <c r="F1842" s="16" t="n">
        <f aca="false">IF(C1842="",0,IF(COUNTIF(C$5:C1842,C1842)=1,1,0))</f>
        <v>0</v>
      </c>
      <c r="G1842" s="16" t="n">
        <f aca="false">SUM(F$5:F1842)</f>
        <v>8</v>
      </c>
      <c r="H1842" s="16" t="n">
        <f aca="false">IF(B1842="",0,IF(COUNTIF(B$5:B1842,B1842)=1,1,0))</f>
        <v>0</v>
      </c>
      <c r="I1842" s="16" t="n">
        <f aca="false">SUM(H$5:H1842)</f>
        <v>6</v>
      </c>
    </row>
    <row r="1843" customFormat="false" ht="15" hidden="false" customHeight="false" outlineLevel="0" collapsed="false">
      <c r="A1843" s="12"/>
      <c r="B1843" s="13"/>
      <c r="C1843" s="13"/>
      <c r="D1843" s="14"/>
      <c r="E1843" s="15"/>
      <c r="F1843" s="16" t="n">
        <f aca="false">IF(C1843="",0,IF(COUNTIF(C$5:C1843,C1843)=1,1,0))</f>
        <v>0</v>
      </c>
      <c r="G1843" s="16" t="n">
        <f aca="false">SUM(F$5:F1843)</f>
        <v>8</v>
      </c>
      <c r="H1843" s="16" t="n">
        <f aca="false">IF(B1843="",0,IF(COUNTIF(B$5:B1843,B1843)=1,1,0))</f>
        <v>0</v>
      </c>
      <c r="I1843" s="16" t="n">
        <f aca="false">SUM(H$5:H1843)</f>
        <v>6</v>
      </c>
    </row>
    <row r="1844" customFormat="false" ht="15" hidden="false" customHeight="false" outlineLevel="0" collapsed="false">
      <c r="A1844" s="12"/>
      <c r="B1844" s="13"/>
      <c r="C1844" s="13"/>
      <c r="D1844" s="14"/>
      <c r="E1844" s="15"/>
      <c r="F1844" s="16" t="n">
        <f aca="false">IF(C1844="",0,IF(COUNTIF(C$5:C1844,C1844)=1,1,0))</f>
        <v>0</v>
      </c>
      <c r="G1844" s="16" t="n">
        <f aca="false">SUM(F$5:F1844)</f>
        <v>8</v>
      </c>
      <c r="H1844" s="16" t="n">
        <f aca="false">IF(B1844="",0,IF(COUNTIF(B$5:B1844,B1844)=1,1,0))</f>
        <v>0</v>
      </c>
      <c r="I1844" s="16" t="n">
        <f aca="false">SUM(H$5:H1844)</f>
        <v>6</v>
      </c>
    </row>
    <row r="1845" customFormat="false" ht="15" hidden="false" customHeight="false" outlineLevel="0" collapsed="false">
      <c r="A1845" s="12"/>
      <c r="B1845" s="13"/>
      <c r="C1845" s="13"/>
      <c r="D1845" s="14"/>
      <c r="E1845" s="15"/>
      <c r="F1845" s="16" t="n">
        <f aca="false">IF(C1845="",0,IF(COUNTIF(C$5:C1845,C1845)=1,1,0))</f>
        <v>0</v>
      </c>
      <c r="G1845" s="16" t="n">
        <f aca="false">SUM(F$5:F1845)</f>
        <v>8</v>
      </c>
      <c r="H1845" s="16" t="n">
        <f aca="false">IF(B1845="",0,IF(COUNTIF(B$5:B1845,B1845)=1,1,0))</f>
        <v>0</v>
      </c>
      <c r="I1845" s="16" t="n">
        <f aca="false">SUM(H$5:H1845)</f>
        <v>6</v>
      </c>
    </row>
    <row r="1846" customFormat="false" ht="15" hidden="false" customHeight="false" outlineLevel="0" collapsed="false">
      <c r="A1846" s="12"/>
      <c r="B1846" s="13"/>
      <c r="C1846" s="13"/>
      <c r="D1846" s="14"/>
      <c r="E1846" s="15"/>
      <c r="F1846" s="16" t="n">
        <f aca="false">IF(C1846="",0,IF(COUNTIF(C$5:C1846,C1846)=1,1,0))</f>
        <v>0</v>
      </c>
      <c r="G1846" s="16" t="n">
        <f aca="false">SUM(F$5:F1846)</f>
        <v>8</v>
      </c>
      <c r="H1846" s="16" t="n">
        <f aca="false">IF(B1846="",0,IF(COUNTIF(B$5:B1846,B1846)=1,1,0))</f>
        <v>0</v>
      </c>
      <c r="I1846" s="16" t="n">
        <f aca="false">SUM(H$5:H1846)</f>
        <v>6</v>
      </c>
    </row>
    <row r="1847" customFormat="false" ht="15" hidden="false" customHeight="false" outlineLevel="0" collapsed="false">
      <c r="A1847" s="12"/>
      <c r="B1847" s="13"/>
      <c r="C1847" s="13"/>
      <c r="D1847" s="14"/>
      <c r="E1847" s="15"/>
      <c r="F1847" s="16" t="n">
        <f aca="false">IF(C1847="",0,IF(COUNTIF(C$5:C1847,C1847)=1,1,0))</f>
        <v>0</v>
      </c>
      <c r="G1847" s="16" t="n">
        <f aca="false">SUM(F$5:F1847)</f>
        <v>8</v>
      </c>
      <c r="H1847" s="16" t="n">
        <f aca="false">IF(B1847="",0,IF(COUNTIF(B$5:B1847,B1847)=1,1,0))</f>
        <v>0</v>
      </c>
      <c r="I1847" s="16" t="n">
        <f aca="false">SUM(H$5:H1847)</f>
        <v>6</v>
      </c>
    </row>
    <row r="1848" customFormat="false" ht="15" hidden="false" customHeight="false" outlineLevel="0" collapsed="false">
      <c r="A1848" s="12"/>
      <c r="B1848" s="13"/>
      <c r="C1848" s="13"/>
      <c r="D1848" s="14"/>
      <c r="E1848" s="15"/>
      <c r="F1848" s="16" t="n">
        <f aca="false">IF(C1848="",0,IF(COUNTIF(C$5:C1848,C1848)=1,1,0))</f>
        <v>0</v>
      </c>
      <c r="G1848" s="16" t="n">
        <f aca="false">SUM(F$5:F1848)</f>
        <v>8</v>
      </c>
      <c r="H1848" s="16" t="n">
        <f aca="false">IF(B1848="",0,IF(COUNTIF(B$5:B1848,B1848)=1,1,0))</f>
        <v>0</v>
      </c>
      <c r="I1848" s="16" t="n">
        <f aca="false">SUM(H$5:H1848)</f>
        <v>6</v>
      </c>
    </row>
    <row r="1849" customFormat="false" ht="15" hidden="false" customHeight="false" outlineLevel="0" collapsed="false">
      <c r="A1849" s="12"/>
      <c r="B1849" s="13"/>
      <c r="C1849" s="13"/>
      <c r="D1849" s="14"/>
      <c r="E1849" s="15"/>
      <c r="F1849" s="16" t="n">
        <f aca="false">IF(C1849="",0,IF(COUNTIF(C$5:C1849,C1849)=1,1,0))</f>
        <v>0</v>
      </c>
      <c r="G1849" s="16" t="n">
        <f aca="false">SUM(F$5:F1849)</f>
        <v>8</v>
      </c>
      <c r="H1849" s="16" t="n">
        <f aca="false">IF(B1849="",0,IF(COUNTIF(B$5:B1849,B1849)=1,1,0))</f>
        <v>0</v>
      </c>
      <c r="I1849" s="16" t="n">
        <f aca="false">SUM(H$5:H1849)</f>
        <v>6</v>
      </c>
    </row>
    <row r="1850" customFormat="false" ht="15" hidden="false" customHeight="false" outlineLevel="0" collapsed="false">
      <c r="A1850" s="12"/>
      <c r="B1850" s="13"/>
      <c r="C1850" s="13"/>
      <c r="D1850" s="14"/>
      <c r="E1850" s="15"/>
      <c r="F1850" s="16" t="n">
        <f aca="false">IF(C1850="",0,IF(COUNTIF(C$5:C1850,C1850)=1,1,0))</f>
        <v>0</v>
      </c>
      <c r="G1850" s="16" t="n">
        <f aca="false">SUM(F$5:F1850)</f>
        <v>8</v>
      </c>
      <c r="H1850" s="16" t="n">
        <f aca="false">IF(B1850="",0,IF(COUNTIF(B$5:B1850,B1850)=1,1,0))</f>
        <v>0</v>
      </c>
      <c r="I1850" s="16" t="n">
        <f aca="false">SUM(H$5:H1850)</f>
        <v>6</v>
      </c>
    </row>
    <row r="1851" customFormat="false" ht="15" hidden="false" customHeight="false" outlineLevel="0" collapsed="false">
      <c r="A1851" s="12"/>
      <c r="B1851" s="13"/>
      <c r="C1851" s="13"/>
      <c r="D1851" s="14"/>
      <c r="E1851" s="15"/>
      <c r="F1851" s="16" t="n">
        <f aca="false">IF(C1851="",0,IF(COUNTIF(C$5:C1851,C1851)=1,1,0))</f>
        <v>0</v>
      </c>
      <c r="G1851" s="16" t="n">
        <f aca="false">SUM(F$5:F1851)</f>
        <v>8</v>
      </c>
      <c r="H1851" s="16" t="n">
        <f aca="false">IF(B1851="",0,IF(COUNTIF(B$5:B1851,B1851)=1,1,0))</f>
        <v>0</v>
      </c>
      <c r="I1851" s="16" t="n">
        <f aca="false">SUM(H$5:H1851)</f>
        <v>6</v>
      </c>
    </row>
    <row r="1852" customFormat="false" ht="15" hidden="false" customHeight="false" outlineLevel="0" collapsed="false">
      <c r="A1852" s="12"/>
      <c r="B1852" s="13"/>
      <c r="C1852" s="13"/>
      <c r="D1852" s="14"/>
      <c r="E1852" s="15"/>
      <c r="F1852" s="16" t="n">
        <f aca="false">IF(C1852="",0,IF(COUNTIF(C$5:C1852,C1852)=1,1,0))</f>
        <v>0</v>
      </c>
      <c r="G1852" s="16" t="n">
        <f aca="false">SUM(F$5:F1852)</f>
        <v>8</v>
      </c>
      <c r="H1852" s="16" t="n">
        <f aca="false">IF(B1852="",0,IF(COUNTIF(B$5:B1852,B1852)=1,1,0))</f>
        <v>0</v>
      </c>
      <c r="I1852" s="16" t="n">
        <f aca="false">SUM(H$5:H1852)</f>
        <v>6</v>
      </c>
    </row>
    <row r="1853" customFormat="false" ht="15" hidden="false" customHeight="false" outlineLevel="0" collapsed="false">
      <c r="A1853" s="12"/>
      <c r="B1853" s="13"/>
      <c r="C1853" s="13"/>
      <c r="D1853" s="14"/>
      <c r="E1853" s="15"/>
      <c r="F1853" s="16" t="n">
        <f aca="false">IF(C1853="",0,IF(COUNTIF(C$5:C1853,C1853)=1,1,0))</f>
        <v>0</v>
      </c>
      <c r="G1853" s="16" t="n">
        <f aca="false">SUM(F$5:F1853)</f>
        <v>8</v>
      </c>
      <c r="H1853" s="16" t="n">
        <f aca="false">IF(B1853="",0,IF(COUNTIF(B$5:B1853,B1853)=1,1,0))</f>
        <v>0</v>
      </c>
      <c r="I1853" s="16" t="n">
        <f aca="false">SUM(H$5:H1853)</f>
        <v>6</v>
      </c>
    </row>
    <row r="1854" customFormat="false" ht="15" hidden="false" customHeight="false" outlineLevel="0" collapsed="false">
      <c r="A1854" s="12"/>
      <c r="B1854" s="13"/>
      <c r="C1854" s="13"/>
      <c r="D1854" s="14"/>
      <c r="E1854" s="15"/>
      <c r="F1854" s="16" t="n">
        <f aca="false">IF(C1854="",0,IF(COUNTIF(C$5:C1854,C1854)=1,1,0))</f>
        <v>0</v>
      </c>
      <c r="G1854" s="16" t="n">
        <f aca="false">SUM(F$5:F1854)</f>
        <v>8</v>
      </c>
      <c r="H1854" s="16" t="n">
        <f aca="false">IF(B1854="",0,IF(COUNTIF(B$5:B1854,B1854)=1,1,0))</f>
        <v>0</v>
      </c>
      <c r="I1854" s="16" t="n">
        <f aca="false">SUM(H$5:H1854)</f>
        <v>6</v>
      </c>
    </row>
    <row r="1855" customFormat="false" ht="15" hidden="false" customHeight="false" outlineLevel="0" collapsed="false">
      <c r="A1855" s="12"/>
      <c r="B1855" s="13"/>
      <c r="C1855" s="13"/>
      <c r="D1855" s="14"/>
      <c r="E1855" s="15"/>
      <c r="F1855" s="16" t="n">
        <f aca="false">IF(C1855="",0,IF(COUNTIF(C$5:C1855,C1855)=1,1,0))</f>
        <v>0</v>
      </c>
      <c r="G1855" s="16" t="n">
        <f aca="false">SUM(F$5:F1855)</f>
        <v>8</v>
      </c>
      <c r="H1855" s="16" t="n">
        <f aca="false">IF(B1855="",0,IF(COUNTIF(B$5:B1855,B1855)=1,1,0))</f>
        <v>0</v>
      </c>
      <c r="I1855" s="16" t="n">
        <f aca="false">SUM(H$5:H1855)</f>
        <v>6</v>
      </c>
    </row>
    <row r="1856" customFormat="false" ht="15" hidden="false" customHeight="false" outlineLevel="0" collapsed="false">
      <c r="A1856" s="12"/>
      <c r="B1856" s="13"/>
      <c r="C1856" s="13"/>
      <c r="D1856" s="14"/>
      <c r="E1856" s="15"/>
      <c r="F1856" s="16" t="n">
        <f aca="false">IF(C1856="",0,IF(COUNTIF(C$5:C1856,C1856)=1,1,0))</f>
        <v>0</v>
      </c>
      <c r="G1856" s="16" t="n">
        <f aca="false">SUM(F$5:F1856)</f>
        <v>8</v>
      </c>
      <c r="H1856" s="16" t="n">
        <f aca="false">IF(B1856="",0,IF(COUNTIF(B$5:B1856,B1856)=1,1,0))</f>
        <v>0</v>
      </c>
      <c r="I1856" s="16" t="n">
        <f aca="false">SUM(H$5:H1856)</f>
        <v>6</v>
      </c>
    </row>
    <row r="1857" customFormat="false" ht="15" hidden="false" customHeight="false" outlineLevel="0" collapsed="false">
      <c r="A1857" s="12"/>
      <c r="B1857" s="13"/>
      <c r="C1857" s="13"/>
      <c r="D1857" s="14"/>
      <c r="E1857" s="15"/>
      <c r="F1857" s="16" t="n">
        <f aca="false">IF(C1857="",0,IF(COUNTIF(C$5:C1857,C1857)=1,1,0))</f>
        <v>0</v>
      </c>
      <c r="G1857" s="16" t="n">
        <f aca="false">SUM(F$5:F1857)</f>
        <v>8</v>
      </c>
      <c r="H1857" s="16" t="n">
        <f aca="false">IF(B1857="",0,IF(COUNTIF(B$5:B1857,B1857)=1,1,0))</f>
        <v>0</v>
      </c>
      <c r="I1857" s="16" t="n">
        <f aca="false">SUM(H$5:H1857)</f>
        <v>6</v>
      </c>
    </row>
    <row r="1858" customFormat="false" ht="15" hidden="false" customHeight="false" outlineLevel="0" collapsed="false">
      <c r="A1858" s="12"/>
      <c r="B1858" s="13"/>
      <c r="C1858" s="13"/>
      <c r="D1858" s="14"/>
      <c r="E1858" s="15"/>
      <c r="F1858" s="16" t="n">
        <f aca="false">IF(C1858="",0,IF(COUNTIF(C$5:C1858,C1858)=1,1,0))</f>
        <v>0</v>
      </c>
      <c r="G1858" s="16" t="n">
        <f aca="false">SUM(F$5:F1858)</f>
        <v>8</v>
      </c>
      <c r="H1858" s="16" t="n">
        <f aca="false">IF(B1858="",0,IF(COUNTIF(B$5:B1858,B1858)=1,1,0))</f>
        <v>0</v>
      </c>
      <c r="I1858" s="16" t="n">
        <f aca="false">SUM(H$5:H1858)</f>
        <v>6</v>
      </c>
    </row>
    <row r="1859" customFormat="false" ht="15" hidden="false" customHeight="false" outlineLevel="0" collapsed="false">
      <c r="A1859" s="12"/>
      <c r="B1859" s="13"/>
      <c r="C1859" s="13"/>
      <c r="D1859" s="14"/>
      <c r="E1859" s="15"/>
      <c r="F1859" s="16" t="n">
        <f aca="false">IF(C1859="",0,IF(COUNTIF(C$5:C1859,C1859)=1,1,0))</f>
        <v>0</v>
      </c>
      <c r="G1859" s="16" t="n">
        <f aca="false">SUM(F$5:F1859)</f>
        <v>8</v>
      </c>
      <c r="H1859" s="16" t="n">
        <f aca="false">IF(B1859="",0,IF(COUNTIF(B$5:B1859,B1859)=1,1,0))</f>
        <v>0</v>
      </c>
      <c r="I1859" s="16" t="n">
        <f aca="false">SUM(H$5:H1859)</f>
        <v>6</v>
      </c>
    </row>
    <row r="1860" customFormat="false" ht="15" hidden="false" customHeight="false" outlineLevel="0" collapsed="false">
      <c r="A1860" s="12"/>
      <c r="B1860" s="13"/>
      <c r="C1860" s="13"/>
      <c r="D1860" s="14"/>
      <c r="E1860" s="15"/>
      <c r="F1860" s="16" t="n">
        <f aca="false">IF(C1860="",0,IF(COUNTIF(C$5:C1860,C1860)=1,1,0))</f>
        <v>0</v>
      </c>
      <c r="G1860" s="16" t="n">
        <f aca="false">SUM(F$5:F1860)</f>
        <v>8</v>
      </c>
      <c r="H1860" s="16" t="n">
        <f aca="false">IF(B1860="",0,IF(COUNTIF(B$5:B1860,B1860)=1,1,0))</f>
        <v>0</v>
      </c>
      <c r="I1860" s="16" t="n">
        <f aca="false">SUM(H$5:H1860)</f>
        <v>6</v>
      </c>
    </row>
    <row r="1861" customFormat="false" ht="15" hidden="false" customHeight="false" outlineLevel="0" collapsed="false">
      <c r="A1861" s="12"/>
      <c r="B1861" s="13"/>
      <c r="C1861" s="13"/>
      <c r="D1861" s="14"/>
      <c r="E1861" s="15"/>
      <c r="F1861" s="16" t="n">
        <f aca="false">IF(C1861="",0,IF(COUNTIF(C$5:C1861,C1861)=1,1,0))</f>
        <v>0</v>
      </c>
      <c r="G1861" s="16" t="n">
        <f aca="false">SUM(F$5:F1861)</f>
        <v>8</v>
      </c>
      <c r="H1861" s="16" t="n">
        <f aca="false">IF(B1861="",0,IF(COUNTIF(B$5:B1861,B1861)=1,1,0))</f>
        <v>0</v>
      </c>
      <c r="I1861" s="16" t="n">
        <f aca="false">SUM(H$5:H1861)</f>
        <v>6</v>
      </c>
    </row>
    <row r="1862" customFormat="false" ht="15" hidden="false" customHeight="false" outlineLevel="0" collapsed="false">
      <c r="A1862" s="12"/>
      <c r="B1862" s="13"/>
      <c r="C1862" s="13"/>
      <c r="D1862" s="14"/>
      <c r="E1862" s="15"/>
      <c r="F1862" s="16" t="n">
        <f aca="false">IF(C1862="",0,IF(COUNTIF(C$5:C1862,C1862)=1,1,0))</f>
        <v>0</v>
      </c>
      <c r="G1862" s="16" t="n">
        <f aca="false">SUM(F$5:F1862)</f>
        <v>8</v>
      </c>
      <c r="H1862" s="16" t="n">
        <f aca="false">IF(B1862="",0,IF(COUNTIF(B$5:B1862,B1862)=1,1,0))</f>
        <v>0</v>
      </c>
      <c r="I1862" s="16" t="n">
        <f aca="false">SUM(H$5:H1862)</f>
        <v>6</v>
      </c>
    </row>
    <row r="1863" customFormat="false" ht="15" hidden="false" customHeight="false" outlineLevel="0" collapsed="false">
      <c r="A1863" s="12"/>
      <c r="B1863" s="13"/>
      <c r="C1863" s="13"/>
      <c r="D1863" s="14"/>
      <c r="E1863" s="15"/>
      <c r="F1863" s="16" t="n">
        <f aca="false">IF(C1863="",0,IF(COUNTIF(C$5:C1863,C1863)=1,1,0))</f>
        <v>0</v>
      </c>
      <c r="G1863" s="16" t="n">
        <f aca="false">SUM(F$5:F1863)</f>
        <v>8</v>
      </c>
      <c r="H1863" s="16" t="n">
        <f aca="false">IF(B1863="",0,IF(COUNTIF(B$5:B1863,B1863)=1,1,0))</f>
        <v>0</v>
      </c>
      <c r="I1863" s="16" t="n">
        <f aca="false">SUM(H$5:H1863)</f>
        <v>6</v>
      </c>
    </row>
    <row r="1864" customFormat="false" ht="15" hidden="false" customHeight="false" outlineLevel="0" collapsed="false">
      <c r="A1864" s="12"/>
      <c r="B1864" s="13"/>
      <c r="C1864" s="13"/>
      <c r="D1864" s="14"/>
      <c r="E1864" s="15"/>
      <c r="F1864" s="16" t="n">
        <f aca="false">IF(C1864="",0,IF(COUNTIF(C$5:C1864,C1864)=1,1,0))</f>
        <v>0</v>
      </c>
      <c r="G1864" s="16" t="n">
        <f aca="false">SUM(F$5:F1864)</f>
        <v>8</v>
      </c>
      <c r="H1864" s="16" t="n">
        <f aca="false">IF(B1864="",0,IF(COUNTIF(B$5:B1864,B1864)=1,1,0))</f>
        <v>0</v>
      </c>
      <c r="I1864" s="16" t="n">
        <f aca="false">SUM(H$5:H1864)</f>
        <v>6</v>
      </c>
    </row>
    <row r="1865" customFormat="false" ht="15" hidden="false" customHeight="false" outlineLevel="0" collapsed="false">
      <c r="A1865" s="12"/>
      <c r="B1865" s="13"/>
      <c r="C1865" s="13"/>
      <c r="D1865" s="14"/>
      <c r="E1865" s="15"/>
      <c r="F1865" s="16" t="n">
        <f aca="false">IF(C1865="",0,IF(COUNTIF(C$5:C1865,C1865)=1,1,0))</f>
        <v>0</v>
      </c>
      <c r="G1865" s="16" t="n">
        <f aca="false">SUM(F$5:F1865)</f>
        <v>8</v>
      </c>
      <c r="H1865" s="16" t="n">
        <f aca="false">IF(B1865="",0,IF(COUNTIF(B$5:B1865,B1865)=1,1,0))</f>
        <v>0</v>
      </c>
      <c r="I1865" s="16" t="n">
        <f aca="false">SUM(H$5:H1865)</f>
        <v>6</v>
      </c>
    </row>
    <row r="1866" customFormat="false" ht="15" hidden="false" customHeight="false" outlineLevel="0" collapsed="false">
      <c r="A1866" s="12"/>
      <c r="B1866" s="13"/>
      <c r="C1866" s="13"/>
      <c r="D1866" s="14"/>
      <c r="E1866" s="15"/>
      <c r="F1866" s="16" t="n">
        <f aca="false">IF(C1866="",0,IF(COUNTIF(C$5:C1866,C1866)=1,1,0))</f>
        <v>0</v>
      </c>
      <c r="G1866" s="16" t="n">
        <f aca="false">SUM(F$5:F1866)</f>
        <v>8</v>
      </c>
      <c r="H1866" s="16" t="n">
        <f aca="false">IF(B1866="",0,IF(COUNTIF(B$5:B1866,B1866)=1,1,0))</f>
        <v>0</v>
      </c>
      <c r="I1866" s="16" t="n">
        <f aca="false">SUM(H$5:H1866)</f>
        <v>6</v>
      </c>
    </row>
    <row r="1867" customFormat="false" ht="15" hidden="false" customHeight="false" outlineLevel="0" collapsed="false">
      <c r="A1867" s="12"/>
      <c r="B1867" s="13"/>
      <c r="C1867" s="13"/>
      <c r="D1867" s="14"/>
      <c r="E1867" s="15"/>
      <c r="F1867" s="16" t="n">
        <f aca="false">IF(C1867="",0,IF(COUNTIF(C$5:C1867,C1867)=1,1,0))</f>
        <v>0</v>
      </c>
      <c r="G1867" s="16" t="n">
        <f aca="false">SUM(F$5:F1867)</f>
        <v>8</v>
      </c>
      <c r="H1867" s="16" t="n">
        <f aca="false">IF(B1867="",0,IF(COUNTIF(B$5:B1867,B1867)=1,1,0))</f>
        <v>0</v>
      </c>
      <c r="I1867" s="16" t="n">
        <f aca="false">SUM(H$5:H1867)</f>
        <v>6</v>
      </c>
    </row>
    <row r="1868" customFormat="false" ht="15" hidden="false" customHeight="false" outlineLevel="0" collapsed="false">
      <c r="A1868" s="12"/>
      <c r="B1868" s="13"/>
      <c r="C1868" s="13"/>
      <c r="D1868" s="14"/>
      <c r="E1868" s="15"/>
      <c r="F1868" s="16" t="n">
        <f aca="false">IF(C1868="",0,IF(COUNTIF(C$5:C1868,C1868)=1,1,0))</f>
        <v>0</v>
      </c>
      <c r="G1868" s="16" t="n">
        <f aca="false">SUM(F$5:F1868)</f>
        <v>8</v>
      </c>
      <c r="H1868" s="16" t="n">
        <f aca="false">IF(B1868="",0,IF(COUNTIF(B$5:B1868,B1868)=1,1,0))</f>
        <v>0</v>
      </c>
      <c r="I1868" s="16" t="n">
        <f aca="false">SUM(H$5:H1868)</f>
        <v>6</v>
      </c>
    </row>
    <row r="1869" customFormat="false" ht="15" hidden="false" customHeight="false" outlineLevel="0" collapsed="false">
      <c r="A1869" s="12"/>
      <c r="B1869" s="13"/>
      <c r="C1869" s="13"/>
      <c r="D1869" s="14"/>
      <c r="E1869" s="15"/>
      <c r="F1869" s="16" t="n">
        <f aca="false">IF(C1869="",0,IF(COUNTIF(C$5:C1869,C1869)=1,1,0))</f>
        <v>0</v>
      </c>
      <c r="G1869" s="16" t="n">
        <f aca="false">SUM(F$5:F1869)</f>
        <v>8</v>
      </c>
      <c r="H1869" s="16" t="n">
        <f aca="false">IF(B1869="",0,IF(COUNTIF(B$5:B1869,B1869)=1,1,0))</f>
        <v>0</v>
      </c>
      <c r="I1869" s="16" t="n">
        <f aca="false">SUM(H$5:H1869)</f>
        <v>6</v>
      </c>
    </row>
    <row r="1870" customFormat="false" ht="15" hidden="false" customHeight="false" outlineLevel="0" collapsed="false">
      <c r="A1870" s="12"/>
      <c r="B1870" s="13"/>
      <c r="C1870" s="13"/>
      <c r="D1870" s="14"/>
      <c r="E1870" s="15"/>
      <c r="F1870" s="16" t="n">
        <f aca="false">IF(C1870="",0,IF(COUNTIF(C$5:C1870,C1870)=1,1,0))</f>
        <v>0</v>
      </c>
      <c r="G1870" s="16" t="n">
        <f aca="false">SUM(F$5:F1870)</f>
        <v>8</v>
      </c>
      <c r="H1870" s="16" t="n">
        <f aca="false">IF(B1870="",0,IF(COUNTIF(B$5:B1870,B1870)=1,1,0))</f>
        <v>0</v>
      </c>
      <c r="I1870" s="16" t="n">
        <f aca="false">SUM(H$5:H1870)</f>
        <v>6</v>
      </c>
    </row>
    <row r="1871" customFormat="false" ht="15" hidden="false" customHeight="false" outlineLevel="0" collapsed="false">
      <c r="A1871" s="12"/>
      <c r="B1871" s="13"/>
      <c r="C1871" s="13"/>
      <c r="D1871" s="14"/>
      <c r="E1871" s="15"/>
      <c r="F1871" s="16" t="n">
        <f aca="false">IF(C1871="",0,IF(COUNTIF(C$5:C1871,C1871)=1,1,0))</f>
        <v>0</v>
      </c>
      <c r="G1871" s="16" t="n">
        <f aca="false">SUM(F$5:F1871)</f>
        <v>8</v>
      </c>
      <c r="H1871" s="16" t="n">
        <f aca="false">IF(B1871="",0,IF(COUNTIF(B$5:B1871,B1871)=1,1,0))</f>
        <v>0</v>
      </c>
      <c r="I1871" s="16" t="n">
        <f aca="false">SUM(H$5:H1871)</f>
        <v>6</v>
      </c>
    </row>
    <row r="1872" customFormat="false" ht="15" hidden="false" customHeight="false" outlineLevel="0" collapsed="false">
      <c r="A1872" s="12"/>
      <c r="B1872" s="13"/>
      <c r="C1872" s="13"/>
      <c r="D1872" s="14"/>
      <c r="E1872" s="15"/>
      <c r="F1872" s="16" t="n">
        <f aca="false">IF(C1872="",0,IF(COUNTIF(C$5:C1872,C1872)=1,1,0))</f>
        <v>0</v>
      </c>
      <c r="G1872" s="16" t="n">
        <f aca="false">SUM(F$5:F1872)</f>
        <v>8</v>
      </c>
      <c r="H1872" s="16" t="n">
        <f aca="false">IF(B1872="",0,IF(COUNTIF(B$5:B1872,B1872)=1,1,0))</f>
        <v>0</v>
      </c>
      <c r="I1872" s="16" t="n">
        <f aca="false">SUM(H$5:H1872)</f>
        <v>6</v>
      </c>
    </row>
    <row r="1873" customFormat="false" ht="15" hidden="false" customHeight="false" outlineLevel="0" collapsed="false">
      <c r="A1873" s="12"/>
      <c r="B1873" s="13"/>
      <c r="C1873" s="13"/>
      <c r="D1873" s="14"/>
      <c r="E1873" s="15"/>
      <c r="F1873" s="16" t="n">
        <f aca="false">IF(C1873="",0,IF(COUNTIF(C$5:C1873,C1873)=1,1,0))</f>
        <v>0</v>
      </c>
      <c r="G1873" s="16" t="n">
        <f aca="false">SUM(F$5:F1873)</f>
        <v>8</v>
      </c>
      <c r="H1873" s="16" t="n">
        <f aca="false">IF(B1873="",0,IF(COUNTIF(B$5:B1873,B1873)=1,1,0))</f>
        <v>0</v>
      </c>
      <c r="I1873" s="16" t="n">
        <f aca="false">SUM(H$5:H1873)</f>
        <v>6</v>
      </c>
    </row>
    <row r="1874" customFormat="false" ht="15" hidden="false" customHeight="false" outlineLevel="0" collapsed="false">
      <c r="A1874" s="12"/>
      <c r="B1874" s="13"/>
      <c r="C1874" s="13"/>
      <c r="D1874" s="14"/>
      <c r="E1874" s="15"/>
      <c r="F1874" s="16" t="n">
        <f aca="false">IF(C1874="",0,IF(COUNTIF(C$5:C1874,C1874)=1,1,0))</f>
        <v>0</v>
      </c>
      <c r="G1874" s="16" t="n">
        <f aca="false">SUM(F$5:F1874)</f>
        <v>8</v>
      </c>
      <c r="H1874" s="16" t="n">
        <f aca="false">IF(B1874="",0,IF(COUNTIF(B$5:B1874,B1874)=1,1,0))</f>
        <v>0</v>
      </c>
      <c r="I1874" s="16" t="n">
        <f aca="false">SUM(H$5:H1874)</f>
        <v>6</v>
      </c>
    </row>
    <row r="1875" customFormat="false" ht="15" hidden="false" customHeight="false" outlineLevel="0" collapsed="false">
      <c r="A1875" s="12"/>
      <c r="B1875" s="13"/>
      <c r="C1875" s="13"/>
      <c r="D1875" s="14"/>
      <c r="E1875" s="15"/>
      <c r="F1875" s="16" t="n">
        <f aca="false">IF(C1875="",0,IF(COUNTIF(C$5:C1875,C1875)=1,1,0))</f>
        <v>0</v>
      </c>
      <c r="G1875" s="16" t="n">
        <f aca="false">SUM(F$5:F1875)</f>
        <v>8</v>
      </c>
      <c r="H1875" s="16" t="n">
        <f aca="false">IF(B1875="",0,IF(COUNTIF(B$5:B1875,B1875)=1,1,0))</f>
        <v>0</v>
      </c>
      <c r="I1875" s="16" t="n">
        <f aca="false">SUM(H$5:H1875)</f>
        <v>6</v>
      </c>
    </row>
    <row r="1876" customFormat="false" ht="15" hidden="false" customHeight="false" outlineLevel="0" collapsed="false">
      <c r="A1876" s="12"/>
      <c r="B1876" s="13"/>
      <c r="C1876" s="13"/>
      <c r="D1876" s="14"/>
      <c r="E1876" s="15"/>
      <c r="F1876" s="16" t="n">
        <f aca="false">IF(C1876="",0,IF(COUNTIF(C$5:C1876,C1876)=1,1,0))</f>
        <v>0</v>
      </c>
      <c r="G1876" s="16" t="n">
        <f aca="false">SUM(F$5:F1876)</f>
        <v>8</v>
      </c>
      <c r="H1876" s="16" t="n">
        <f aca="false">IF(B1876="",0,IF(COUNTIF(B$5:B1876,B1876)=1,1,0))</f>
        <v>0</v>
      </c>
      <c r="I1876" s="16" t="n">
        <f aca="false">SUM(H$5:H1876)</f>
        <v>6</v>
      </c>
    </row>
    <row r="1877" customFormat="false" ht="15" hidden="false" customHeight="false" outlineLevel="0" collapsed="false">
      <c r="A1877" s="12"/>
      <c r="B1877" s="13"/>
      <c r="C1877" s="13"/>
      <c r="D1877" s="14"/>
      <c r="E1877" s="15"/>
      <c r="F1877" s="16" t="n">
        <f aca="false">IF(C1877="",0,IF(COUNTIF(C$5:C1877,C1877)=1,1,0))</f>
        <v>0</v>
      </c>
      <c r="G1877" s="16" t="n">
        <f aca="false">SUM(F$5:F1877)</f>
        <v>8</v>
      </c>
      <c r="H1877" s="16" t="n">
        <f aca="false">IF(B1877="",0,IF(COUNTIF(B$5:B1877,B1877)=1,1,0))</f>
        <v>0</v>
      </c>
      <c r="I1877" s="16" t="n">
        <f aca="false">SUM(H$5:H1877)</f>
        <v>6</v>
      </c>
    </row>
    <row r="1878" customFormat="false" ht="15" hidden="false" customHeight="false" outlineLevel="0" collapsed="false">
      <c r="A1878" s="12"/>
      <c r="B1878" s="13"/>
      <c r="C1878" s="13"/>
      <c r="D1878" s="14"/>
      <c r="E1878" s="15"/>
      <c r="F1878" s="16" t="n">
        <f aca="false">IF(C1878="",0,IF(COUNTIF(C$5:C1878,C1878)=1,1,0))</f>
        <v>0</v>
      </c>
      <c r="G1878" s="16" t="n">
        <f aca="false">SUM(F$5:F1878)</f>
        <v>8</v>
      </c>
      <c r="H1878" s="16" t="n">
        <f aca="false">IF(B1878="",0,IF(COUNTIF(B$5:B1878,B1878)=1,1,0))</f>
        <v>0</v>
      </c>
      <c r="I1878" s="16" t="n">
        <f aca="false">SUM(H$5:H1878)</f>
        <v>6</v>
      </c>
    </row>
    <row r="1879" customFormat="false" ht="15" hidden="false" customHeight="false" outlineLevel="0" collapsed="false">
      <c r="A1879" s="12"/>
      <c r="B1879" s="13"/>
      <c r="C1879" s="13"/>
      <c r="D1879" s="14"/>
      <c r="E1879" s="15"/>
      <c r="F1879" s="16" t="n">
        <f aca="false">IF(C1879="",0,IF(COUNTIF(C$5:C1879,C1879)=1,1,0))</f>
        <v>0</v>
      </c>
      <c r="G1879" s="16" t="n">
        <f aca="false">SUM(F$5:F1879)</f>
        <v>8</v>
      </c>
      <c r="H1879" s="16" t="n">
        <f aca="false">IF(B1879="",0,IF(COUNTIF(B$5:B1879,B1879)=1,1,0))</f>
        <v>0</v>
      </c>
      <c r="I1879" s="16" t="n">
        <f aca="false">SUM(H$5:H1879)</f>
        <v>6</v>
      </c>
    </row>
    <row r="1880" customFormat="false" ht="15" hidden="false" customHeight="false" outlineLevel="0" collapsed="false">
      <c r="A1880" s="12"/>
      <c r="B1880" s="13"/>
      <c r="C1880" s="13"/>
      <c r="D1880" s="14"/>
      <c r="E1880" s="15"/>
      <c r="F1880" s="16" t="n">
        <f aca="false">IF(C1880="",0,IF(COUNTIF(C$5:C1880,C1880)=1,1,0))</f>
        <v>0</v>
      </c>
      <c r="G1880" s="16" t="n">
        <f aca="false">SUM(F$5:F1880)</f>
        <v>8</v>
      </c>
      <c r="H1880" s="16" t="n">
        <f aca="false">IF(B1880="",0,IF(COUNTIF(B$5:B1880,B1880)=1,1,0))</f>
        <v>0</v>
      </c>
      <c r="I1880" s="16" t="n">
        <f aca="false">SUM(H$5:H1880)</f>
        <v>6</v>
      </c>
    </row>
    <row r="1881" customFormat="false" ht="15" hidden="false" customHeight="false" outlineLevel="0" collapsed="false">
      <c r="A1881" s="12"/>
      <c r="B1881" s="13"/>
      <c r="C1881" s="13"/>
      <c r="D1881" s="14"/>
      <c r="E1881" s="15"/>
      <c r="F1881" s="16" t="n">
        <f aca="false">IF(C1881="",0,IF(COUNTIF(C$5:C1881,C1881)=1,1,0))</f>
        <v>0</v>
      </c>
      <c r="G1881" s="16" t="n">
        <f aca="false">SUM(F$5:F1881)</f>
        <v>8</v>
      </c>
      <c r="H1881" s="16" t="n">
        <f aca="false">IF(B1881="",0,IF(COUNTIF(B$5:B1881,B1881)=1,1,0))</f>
        <v>0</v>
      </c>
      <c r="I1881" s="16" t="n">
        <f aca="false">SUM(H$5:H1881)</f>
        <v>6</v>
      </c>
    </row>
    <row r="1882" customFormat="false" ht="15" hidden="false" customHeight="false" outlineLevel="0" collapsed="false">
      <c r="A1882" s="12"/>
      <c r="B1882" s="13"/>
      <c r="C1882" s="13"/>
      <c r="D1882" s="14"/>
      <c r="E1882" s="15"/>
      <c r="F1882" s="16" t="n">
        <f aca="false">IF(C1882="",0,IF(COUNTIF(C$5:C1882,C1882)=1,1,0))</f>
        <v>0</v>
      </c>
      <c r="G1882" s="16" t="n">
        <f aca="false">SUM(F$5:F1882)</f>
        <v>8</v>
      </c>
      <c r="H1882" s="16" t="n">
        <f aca="false">IF(B1882="",0,IF(COUNTIF(B$5:B1882,B1882)=1,1,0))</f>
        <v>0</v>
      </c>
      <c r="I1882" s="16" t="n">
        <f aca="false">SUM(H$5:H1882)</f>
        <v>6</v>
      </c>
    </row>
    <row r="1883" customFormat="false" ht="15" hidden="false" customHeight="false" outlineLevel="0" collapsed="false">
      <c r="A1883" s="12"/>
      <c r="B1883" s="13"/>
      <c r="C1883" s="13"/>
      <c r="D1883" s="14"/>
      <c r="E1883" s="15"/>
      <c r="F1883" s="16" t="n">
        <f aca="false">IF(C1883="",0,IF(COUNTIF(C$5:C1883,C1883)=1,1,0))</f>
        <v>0</v>
      </c>
      <c r="G1883" s="16" t="n">
        <f aca="false">SUM(F$5:F1883)</f>
        <v>8</v>
      </c>
      <c r="H1883" s="16" t="n">
        <f aca="false">IF(B1883="",0,IF(COUNTIF(B$5:B1883,B1883)=1,1,0))</f>
        <v>0</v>
      </c>
      <c r="I1883" s="16" t="n">
        <f aca="false">SUM(H$5:H1883)</f>
        <v>6</v>
      </c>
    </row>
    <row r="1884" customFormat="false" ht="15" hidden="false" customHeight="false" outlineLevel="0" collapsed="false">
      <c r="A1884" s="12"/>
      <c r="B1884" s="13"/>
      <c r="C1884" s="13"/>
      <c r="D1884" s="14"/>
      <c r="E1884" s="15"/>
      <c r="F1884" s="16" t="n">
        <f aca="false">IF(C1884="",0,IF(COUNTIF(C$5:C1884,C1884)=1,1,0))</f>
        <v>0</v>
      </c>
      <c r="G1884" s="16" t="n">
        <f aca="false">SUM(F$5:F1884)</f>
        <v>8</v>
      </c>
      <c r="H1884" s="16" t="n">
        <f aca="false">IF(B1884="",0,IF(COUNTIF(B$5:B1884,B1884)=1,1,0))</f>
        <v>0</v>
      </c>
      <c r="I1884" s="16" t="n">
        <f aca="false">SUM(H$5:H1884)</f>
        <v>6</v>
      </c>
    </row>
    <row r="1885" customFormat="false" ht="15" hidden="false" customHeight="false" outlineLevel="0" collapsed="false">
      <c r="A1885" s="12"/>
      <c r="B1885" s="13"/>
      <c r="C1885" s="13"/>
      <c r="D1885" s="14"/>
      <c r="E1885" s="15"/>
      <c r="F1885" s="16" t="n">
        <f aca="false">IF(C1885="",0,IF(COUNTIF(C$5:C1885,C1885)=1,1,0))</f>
        <v>0</v>
      </c>
      <c r="G1885" s="16" t="n">
        <f aca="false">SUM(F$5:F1885)</f>
        <v>8</v>
      </c>
      <c r="H1885" s="16" t="n">
        <f aca="false">IF(B1885="",0,IF(COUNTIF(B$5:B1885,B1885)=1,1,0))</f>
        <v>0</v>
      </c>
      <c r="I1885" s="16" t="n">
        <f aca="false">SUM(H$5:H1885)</f>
        <v>6</v>
      </c>
    </row>
    <row r="1886" customFormat="false" ht="15" hidden="false" customHeight="false" outlineLevel="0" collapsed="false">
      <c r="A1886" s="12"/>
      <c r="B1886" s="13"/>
      <c r="C1886" s="13"/>
      <c r="D1886" s="14"/>
      <c r="E1886" s="15"/>
      <c r="F1886" s="16" t="n">
        <f aca="false">IF(C1886="",0,IF(COUNTIF(C$5:C1886,C1886)=1,1,0))</f>
        <v>0</v>
      </c>
      <c r="G1886" s="16" t="n">
        <f aca="false">SUM(F$5:F1886)</f>
        <v>8</v>
      </c>
      <c r="H1886" s="16" t="n">
        <f aca="false">IF(B1886="",0,IF(COUNTIF(B$5:B1886,B1886)=1,1,0))</f>
        <v>0</v>
      </c>
      <c r="I1886" s="16" t="n">
        <f aca="false">SUM(H$5:H1886)</f>
        <v>6</v>
      </c>
    </row>
    <row r="1887" customFormat="false" ht="15" hidden="false" customHeight="false" outlineLevel="0" collapsed="false">
      <c r="A1887" s="12"/>
      <c r="B1887" s="13"/>
      <c r="C1887" s="13"/>
      <c r="D1887" s="14"/>
      <c r="E1887" s="15"/>
      <c r="F1887" s="16" t="n">
        <f aca="false">IF(C1887="",0,IF(COUNTIF(C$5:C1887,C1887)=1,1,0))</f>
        <v>0</v>
      </c>
      <c r="G1887" s="16" t="n">
        <f aca="false">SUM(F$5:F1887)</f>
        <v>8</v>
      </c>
      <c r="H1887" s="16" t="n">
        <f aca="false">IF(B1887="",0,IF(COUNTIF(B$5:B1887,B1887)=1,1,0))</f>
        <v>0</v>
      </c>
      <c r="I1887" s="16" t="n">
        <f aca="false">SUM(H$5:H1887)</f>
        <v>6</v>
      </c>
    </row>
    <row r="1888" customFormat="false" ht="15" hidden="false" customHeight="false" outlineLevel="0" collapsed="false">
      <c r="A1888" s="12"/>
      <c r="B1888" s="13"/>
      <c r="C1888" s="13"/>
      <c r="D1888" s="14"/>
      <c r="E1888" s="15"/>
      <c r="F1888" s="16" t="n">
        <f aca="false">IF(C1888="",0,IF(COUNTIF(C$5:C1888,C1888)=1,1,0))</f>
        <v>0</v>
      </c>
      <c r="G1888" s="16" t="n">
        <f aca="false">SUM(F$5:F1888)</f>
        <v>8</v>
      </c>
      <c r="H1888" s="16" t="n">
        <f aca="false">IF(B1888="",0,IF(COUNTIF(B$5:B1888,B1888)=1,1,0))</f>
        <v>0</v>
      </c>
      <c r="I1888" s="16" t="n">
        <f aca="false">SUM(H$5:H1888)</f>
        <v>6</v>
      </c>
    </row>
    <row r="1889" customFormat="false" ht="15" hidden="false" customHeight="false" outlineLevel="0" collapsed="false">
      <c r="A1889" s="12"/>
      <c r="B1889" s="13"/>
      <c r="C1889" s="13"/>
      <c r="D1889" s="14"/>
      <c r="E1889" s="15"/>
      <c r="F1889" s="16" t="n">
        <f aca="false">IF(C1889="",0,IF(COUNTIF(C$5:C1889,C1889)=1,1,0))</f>
        <v>0</v>
      </c>
      <c r="G1889" s="16" t="n">
        <f aca="false">SUM(F$5:F1889)</f>
        <v>8</v>
      </c>
      <c r="H1889" s="16" t="n">
        <f aca="false">IF(B1889="",0,IF(COUNTIF(B$5:B1889,B1889)=1,1,0))</f>
        <v>0</v>
      </c>
      <c r="I1889" s="16" t="n">
        <f aca="false">SUM(H$5:H1889)</f>
        <v>6</v>
      </c>
    </row>
    <row r="1890" customFormat="false" ht="15" hidden="false" customHeight="false" outlineLevel="0" collapsed="false">
      <c r="A1890" s="12"/>
      <c r="B1890" s="13"/>
      <c r="C1890" s="13"/>
      <c r="D1890" s="14"/>
      <c r="E1890" s="15"/>
      <c r="F1890" s="16" t="n">
        <f aca="false">IF(C1890="",0,IF(COUNTIF(C$5:C1890,C1890)=1,1,0))</f>
        <v>0</v>
      </c>
      <c r="G1890" s="16" t="n">
        <f aca="false">SUM(F$5:F1890)</f>
        <v>8</v>
      </c>
      <c r="H1890" s="16" t="n">
        <f aca="false">IF(B1890="",0,IF(COUNTIF(B$5:B1890,B1890)=1,1,0))</f>
        <v>0</v>
      </c>
      <c r="I1890" s="16" t="n">
        <f aca="false">SUM(H$5:H1890)</f>
        <v>6</v>
      </c>
    </row>
    <row r="1891" customFormat="false" ht="15" hidden="false" customHeight="false" outlineLevel="0" collapsed="false">
      <c r="A1891" s="12"/>
      <c r="B1891" s="13"/>
      <c r="C1891" s="13"/>
      <c r="D1891" s="14"/>
      <c r="E1891" s="15"/>
      <c r="F1891" s="16" t="n">
        <f aca="false">IF(C1891="",0,IF(COUNTIF(C$5:C1891,C1891)=1,1,0))</f>
        <v>0</v>
      </c>
      <c r="G1891" s="16" t="n">
        <f aca="false">SUM(F$5:F1891)</f>
        <v>8</v>
      </c>
      <c r="H1891" s="16" t="n">
        <f aca="false">IF(B1891="",0,IF(COUNTIF(B$5:B1891,B1891)=1,1,0))</f>
        <v>0</v>
      </c>
      <c r="I1891" s="16" t="n">
        <f aca="false">SUM(H$5:H1891)</f>
        <v>6</v>
      </c>
    </row>
    <row r="1892" customFormat="false" ht="15" hidden="false" customHeight="false" outlineLevel="0" collapsed="false">
      <c r="A1892" s="12"/>
      <c r="B1892" s="13"/>
      <c r="C1892" s="13"/>
      <c r="D1892" s="14"/>
      <c r="E1892" s="15"/>
      <c r="F1892" s="16" t="n">
        <f aca="false">IF(C1892="",0,IF(COUNTIF(C$5:C1892,C1892)=1,1,0))</f>
        <v>0</v>
      </c>
      <c r="G1892" s="16" t="n">
        <f aca="false">SUM(F$5:F1892)</f>
        <v>8</v>
      </c>
      <c r="H1892" s="16" t="n">
        <f aca="false">IF(B1892="",0,IF(COUNTIF(B$5:B1892,B1892)=1,1,0))</f>
        <v>0</v>
      </c>
      <c r="I1892" s="16" t="n">
        <f aca="false">SUM(H$5:H1892)</f>
        <v>6</v>
      </c>
    </row>
    <row r="1893" customFormat="false" ht="15" hidden="false" customHeight="false" outlineLevel="0" collapsed="false">
      <c r="A1893" s="12"/>
      <c r="B1893" s="13"/>
      <c r="C1893" s="13"/>
      <c r="D1893" s="14"/>
      <c r="E1893" s="15"/>
      <c r="F1893" s="16" t="n">
        <f aca="false">IF(C1893="",0,IF(COUNTIF(C$5:C1893,C1893)=1,1,0))</f>
        <v>0</v>
      </c>
      <c r="G1893" s="16" t="n">
        <f aca="false">SUM(F$5:F1893)</f>
        <v>8</v>
      </c>
      <c r="H1893" s="16" t="n">
        <f aca="false">IF(B1893="",0,IF(COUNTIF(B$5:B1893,B1893)=1,1,0))</f>
        <v>0</v>
      </c>
      <c r="I1893" s="16" t="n">
        <f aca="false">SUM(H$5:H1893)</f>
        <v>6</v>
      </c>
    </row>
    <row r="1894" customFormat="false" ht="15" hidden="false" customHeight="false" outlineLevel="0" collapsed="false">
      <c r="A1894" s="12"/>
      <c r="B1894" s="13"/>
      <c r="C1894" s="13"/>
      <c r="D1894" s="14"/>
      <c r="E1894" s="15"/>
      <c r="F1894" s="16" t="n">
        <f aca="false">IF(C1894="",0,IF(COUNTIF(C$5:C1894,C1894)=1,1,0))</f>
        <v>0</v>
      </c>
      <c r="G1894" s="16" t="n">
        <f aca="false">SUM(F$5:F1894)</f>
        <v>8</v>
      </c>
      <c r="H1894" s="16" t="n">
        <f aca="false">IF(B1894="",0,IF(COUNTIF(B$5:B1894,B1894)=1,1,0))</f>
        <v>0</v>
      </c>
      <c r="I1894" s="16" t="n">
        <f aca="false">SUM(H$5:H1894)</f>
        <v>6</v>
      </c>
    </row>
    <row r="1895" customFormat="false" ht="15" hidden="false" customHeight="false" outlineLevel="0" collapsed="false">
      <c r="A1895" s="12"/>
      <c r="B1895" s="13"/>
      <c r="C1895" s="13"/>
      <c r="D1895" s="14"/>
      <c r="E1895" s="15"/>
      <c r="F1895" s="16" t="n">
        <f aca="false">IF(C1895="",0,IF(COUNTIF(C$5:C1895,C1895)=1,1,0))</f>
        <v>0</v>
      </c>
      <c r="G1895" s="16" t="n">
        <f aca="false">SUM(F$5:F1895)</f>
        <v>8</v>
      </c>
      <c r="H1895" s="16" t="n">
        <f aca="false">IF(B1895="",0,IF(COUNTIF(B$5:B1895,B1895)=1,1,0))</f>
        <v>0</v>
      </c>
      <c r="I1895" s="16" t="n">
        <f aca="false">SUM(H$5:H1895)</f>
        <v>6</v>
      </c>
    </row>
    <row r="1896" customFormat="false" ht="15" hidden="false" customHeight="false" outlineLevel="0" collapsed="false">
      <c r="A1896" s="12"/>
      <c r="B1896" s="13"/>
      <c r="C1896" s="13"/>
      <c r="D1896" s="14"/>
      <c r="E1896" s="15"/>
      <c r="F1896" s="16" t="n">
        <f aca="false">IF(C1896="",0,IF(COUNTIF(C$5:C1896,C1896)=1,1,0))</f>
        <v>0</v>
      </c>
      <c r="G1896" s="16" t="n">
        <f aca="false">SUM(F$5:F1896)</f>
        <v>8</v>
      </c>
      <c r="H1896" s="16" t="n">
        <f aca="false">IF(B1896="",0,IF(COUNTIF(B$5:B1896,B1896)=1,1,0))</f>
        <v>0</v>
      </c>
      <c r="I1896" s="16" t="n">
        <f aca="false">SUM(H$5:H1896)</f>
        <v>6</v>
      </c>
    </row>
    <row r="1897" customFormat="false" ht="15" hidden="false" customHeight="false" outlineLevel="0" collapsed="false">
      <c r="A1897" s="12"/>
      <c r="B1897" s="13"/>
      <c r="C1897" s="13"/>
      <c r="D1897" s="14"/>
      <c r="E1897" s="15"/>
      <c r="F1897" s="16" t="n">
        <f aca="false">IF(C1897="",0,IF(COUNTIF(C$5:C1897,C1897)=1,1,0))</f>
        <v>0</v>
      </c>
      <c r="G1897" s="16" t="n">
        <f aca="false">SUM(F$5:F1897)</f>
        <v>8</v>
      </c>
      <c r="H1897" s="16" t="n">
        <f aca="false">IF(B1897="",0,IF(COUNTIF(B$5:B1897,B1897)=1,1,0))</f>
        <v>0</v>
      </c>
      <c r="I1897" s="16" t="n">
        <f aca="false">SUM(H$5:H1897)</f>
        <v>6</v>
      </c>
    </row>
    <row r="1898" customFormat="false" ht="15" hidden="false" customHeight="false" outlineLevel="0" collapsed="false">
      <c r="A1898" s="12"/>
      <c r="B1898" s="13"/>
      <c r="C1898" s="13"/>
      <c r="D1898" s="14"/>
      <c r="E1898" s="15"/>
      <c r="F1898" s="16" t="n">
        <f aca="false">IF(C1898="",0,IF(COUNTIF(C$5:C1898,C1898)=1,1,0))</f>
        <v>0</v>
      </c>
      <c r="G1898" s="16" t="n">
        <f aca="false">SUM(F$5:F1898)</f>
        <v>8</v>
      </c>
      <c r="H1898" s="16" t="n">
        <f aca="false">IF(B1898="",0,IF(COUNTIF(B$5:B1898,B1898)=1,1,0))</f>
        <v>0</v>
      </c>
      <c r="I1898" s="16" t="n">
        <f aca="false">SUM(H$5:H1898)</f>
        <v>6</v>
      </c>
    </row>
    <row r="1899" customFormat="false" ht="15" hidden="false" customHeight="false" outlineLevel="0" collapsed="false">
      <c r="A1899" s="12"/>
      <c r="B1899" s="13"/>
      <c r="C1899" s="13"/>
      <c r="D1899" s="14"/>
      <c r="E1899" s="15"/>
      <c r="F1899" s="16" t="n">
        <f aca="false">IF(C1899="",0,IF(COUNTIF(C$5:C1899,C1899)=1,1,0))</f>
        <v>0</v>
      </c>
      <c r="G1899" s="16" t="n">
        <f aca="false">SUM(F$5:F1899)</f>
        <v>8</v>
      </c>
      <c r="H1899" s="16" t="n">
        <f aca="false">IF(B1899="",0,IF(COUNTIF(B$5:B1899,B1899)=1,1,0))</f>
        <v>0</v>
      </c>
      <c r="I1899" s="16" t="n">
        <f aca="false">SUM(H$5:H1899)</f>
        <v>6</v>
      </c>
    </row>
    <row r="1900" customFormat="false" ht="15" hidden="false" customHeight="false" outlineLevel="0" collapsed="false">
      <c r="A1900" s="12"/>
      <c r="B1900" s="13"/>
      <c r="C1900" s="13"/>
      <c r="D1900" s="14"/>
      <c r="E1900" s="15"/>
      <c r="F1900" s="16" t="n">
        <f aca="false">IF(C1900="",0,IF(COUNTIF(C$5:C1900,C1900)=1,1,0))</f>
        <v>0</v>
      </c>
      <c r="G1900" s="16" t="n">
        <f aca="false">SUM(F$5:F1900)</f>
        <v>8</v>
      </c>
      <c r="H1900" s="16" t="n">
        <f aca="false">IF(B1900="",0,IF(COUNTIF(B$5:B1900,B1900)=1,1,0))</f>
        <v>0</v>
      </c>
      <c r="I1900" s="16" t="n">
        <f aca="false">SUM(H$5:H1900)</f>
        <v>6</v>
      </c>
    </row>
    <row r="1901" customFormat="false" ht="15" hidden="false" customHeight="false" outlineLevel="0" collapsed="false">
      <c r="A1901" s="12"/>
      <c r="B1901" s="13"/>
      <c r="C1901" s="13"/>
      <c r="D1901" s="14"/>
      <c r="E1901" s="15"/>
      <c r="F1901" s="16" t="n">
        <f aca="false">IF(C1901="",0,IF(COUNTIF(C$5:C1901,C1901)=1,1,0))</f>
        <v>0</v>
      </c>
      <c r="G1901" s="16" t="n">
        <f aca="false">SUM(F$5:F1901)</f>
        <v>8</v>
      </c>
      <c r="H1901" s="16" t="n">
        <f aca="false">IF(B1901="",0,IF(COUNTIF(B$5:B1901,B1901)=1,1,0))</f>
        <v>0</v>
      </c>
      <c r="I1901" s="16" t="n">
        <f aca="false">SUM(H$5:H1901)</f>
        <v>6</v>
      </c>
    </row>
    <row r="1902" customFormat="false" ht="15" hidden="false" customHeight="false" outlineLevel="0" collapsed="false">
      <c r="A1902" s="12"/>
      <c r="B1902" s="13"/>
      <c r="C1902" s="13"/>
      <c r="D1902" s="14"/>
      <c r="E1902" s="15"/>
      <c r="F1902" s="16" t="n">
        <f aca="false">IF(C1902="",0,IF(COUNTIF(C$5:C1902,C1902)=1,1,0))</f>
        <v>0</v>
      </c>
      <c r="G1902" s="16" t="n">
        <f aca="false">SUM(F$5:F1902)</f>
        <v>8</v>
      </c>
      <c r="H1902" s="16" t="n">
        <f aca="false">IF(B1902="",0,IF(COUNTIF(B$5:B1902,B1902)=1,1,0))</f>
        <v>0</v>
      </c>
      <c r="I1902" s="16" t="n">
        <f aca="false">SUM(H$5:H1902)</f>
        <v>6</v>
      </c>
    </row>
    <row r="1903" customFormat="false" ht="15" hidden="false" customHeight="false" outlineLevel="0" collapsed="false">
      <c r="A1903" s="12"/>
      <c r="B1903" s="13"/>
      <c r="C1903" s="13"/>
      <c r="D1903" s="14"/>
      <c r="E1903" s="15"/>
      <c r="F1903" s="16" t="n">
        <f aca="false">IF(C1903="",0,IF(COUNTIF(C$5:C1903,C1903)=1,1,0))</f>
        <v>0</v>
      </c>
      <c r="G1903" s="16" t="n">
        <f aca="false">SUM(F$5:F1903)</f>
        <v>8</v>
      </c>
      <c r="H1903" s="16" t="n">
        <f aca="false">IF(B1903="",0,IF(COUNTIF(B$5:B1903,B1903)=1,1,0))</f>
        <v>0</v>
      </c>
      <c r="I1903" s="16" t="n">
        <f aca="false">SUM(H$5:H1903)</f>
        <v>6</v>
      </c>
    </row>
    <row r="1904" customFormat="false" ht="15" hidden="false" customHeight="false" outlineLevel="0" collapsed="false">
      <c r="A1904" s="12"/>
      <c r="B1904" s="13"/>
      <c r="C1904" s="13"/>
      <c r="D1904" s="14"/>
      <c r="E1904" s="15"/>
      <c r="F1904" s="16" t="n">
        <f aca="false">IF(C1904="",0,IF(COUNTIF(C$5:C1904,C1904)=1,1,0))</f>
        <v>0</v>
      </c>
      <c r="G1904" s="16" t="n">
        <f aca="false">SUM(F$5:F1904)</f>
        <v>8</v>
      </c>
      <c r="H1904" s="16" t="n">
        <f aca="false">IF(B1904="",0,IF(COUNTIF(B$5:B1904,B1904)=1,1,0))</f>
        <v>0</v>
      </c>
      <c r="I1904" s="16" t="n">
        <f aca="false">SUM(H$5:H1904)</f>
        <v>6</v>
      </c>
    </row>
    <row r="1905" customFormat="false" ht="15" hidden="false" customHeight="false" outlineLevel="0" collapsed="false">
      <c r="A1905" s="12"/>
      <c r="B1905" s="13"/>
      <c r="C1905" s="13"/>
      <c r="D1905" s="14"/>
      <c r="E1905" s="15"/>
      <c r="F1905" s="16" t="n">
        <f aca="false">IF(C1905="",0,IF(COUNTIF(C$5:C1905,C1905)=1,1,0))</f>
        <v>0</v>
      </c>
      <c r="G1905" s="16" t="n">
        <f aca="false">SUM(F$5:F1905)</f>
        <v>8</v>
      </c>
      <c r="H1905" s="16" t="n">
        <f aca="false">IF(B1905="",0,IF(COUNTIF(B$5:B1905,B1905)=1,1,0))</f>
        <v>0</v>
      </c>
      <c r="I1905" s="16" t="n">
        <f aca="false">SUM(H$5:H1905)</f>
        <v>6</v>
      </c>
    </row>
    <row r="1906" customFormat="false" ht="15" hidden="false" customHeight="false" outlineLevel="0" collapsed="false">
      <c r="A1906" s="12"/>
      <c r="B1906" s="13"/>
      <c r="C1906" s="13"/>
      <c r="D1906" s="14"/>
      <c r="E1906" s="15"/>
      <c r="F1906" s="16" t="n">
        <f aca="false">IF(C1906="",0,IF(COUNTIF(C$5:C1906,C1906)=1,1,0))</f>
        <v>0</v>
      </c>
      <c r="G1906" s="16" t="n">
        <f aca="false">SUM(F$5:F1906)</f>
        <v>8</v>
      </c>
      <c r="H1906" s="16" t="n">
        <f aca="false">IF(B1906="",0,IF(COUNTIF(B$5:B1906,B1906)=1,1,0))</f>
        <v>0</v>
      </c>
      <c r="I1906" s="16" t="n">
        <f aca="false">SUM(H$5:H1906)</f>
        <v>6</v>
      </c>
    </row>
    <row r="1907" customFormat="false" ht="15" hidden="false" customHeight="false" outlineLevel="0" collapsed="false">
      <c r="A1907" s="12"/>
      <c r="B1907" s="13"/>
      <c r="C1907" s="13"/>
      <c r="D1907" s="14"/>
      <c r="E1907" s="15"/>
      <c r="F1907" s="16" t="n">
        <f aca="false">IF(C1907="",0,IF(COUNTIF(C$5:C1907,C1907)=1,1,0))</f>
        <v>0</v>
      </c>
      <c r="G1907" s="16" t="n">
        <f aca="false">SUM(F$5:F1907)</f>
        <v>8</v>
      </c>
      <c r="H1907" s="16" t="n">
        <f aca="false">IF(B1907="",0,IF(COUNTIF(B$5:B1907,B1907)=1,1,0))</f>
        <v>0</v>
      </c>
      <c r="I1907" s="16" t="n">
        <f aca="false">SUM(H$5:H1907)</f>
        <v>6</v>
      </c>
    </row>
    <row r="1908" customFormat="false" ht="15" hidden="false" customHeight="false" outlineLevel="0" collapsed="false">
      <c r="A1908" s="12"/>
      <c r="B1908" s="13"/>
      <c r="C1908" s="13"/>
      <c r="D1908" s="14"/>
      <c r="E1908" s="15"/>
      <c r="F1908" s="16" t="n">
        <f aca="false">IF(C1908="",0,IF(COUNTIF(C$5:C1908,C1908)=1,1,0))</f>
        <v>0</v>
      </c>
      <c r="G1908" s="16" t="n">
        <f aca="false">SUM(F$5:F1908)</f>
        <v>8</v>
      </c>
      <c r="H1908" s="16" t="n">
        <f aca="false">IF(B1908="",0,IF(COUNTIF(B$5:B1908,B1908)=1,1,0))</f>
        <v>0</v>
      </c>
      <c r="I1908" s="16" t="n">
        <f aca="false">SUM(H$5:H1908)</f>
        <v>6</v>
      </c>
    </row>
    <row r="1909" customFormat="false" ht="15" hidden="false" customHeight="false" outlineLevel="0" collapsed="false">
      <c r="A1909" s="12"/>
      <c r="B1909" s="13"/>
      <c r="C1909" s="13"/>
      <c r="D1909" s="14"/>
      <c r="E1909" s="15"/>
      <c r="F1909" s="16" t="n">
        <f aca="false">IF(C1909="",0,IF(COUNTIF(C$5:C1909,C1909)=1,1,0))</f>
        <v>0</v>
      </c>
      <c r="G1909" s="16" t="n">
        <f aca="false">SUM(F$5:F1909)</f>
        <v>8</v>
      </c>
      <c r="H1909" s="16" t="n">
        <f aca="false">IF(B1909="",0,IF(COUNTIF(B$5:B1909,B1909)=1,1,0))</f>
        <v>0</v>
      </c>
      <c r="I1909" s="16" t="n">
        <f aca="false">SUM(H$5:H1909)</f>
        <v>6</v>
      </c>
    </row>
    <row r="1910" customFormat="false" ht="15" hidden="false" customHeight="false" outlineLevel="0" collapsed="false">
      <c r="A1910" s="12"/>
      <c r="B1910" s="13"/>
      <c r="C1910" s="13"/>
      <c r="D1910" s="14"/>
      <c r="E1910" s="15"/>
      <c r="F1910" s="16" t="n">
        <f aca="false">IF(C1910="",0,IF(COUNTIF(C$5:C1910,C1910)=1,1,0))</f>
        <v>0</v>
      </c>
      <c r="G1910" s="16" t="n">
        <f aca="false">SUM(F$5:F1910)</f>
        <v>8</v>
      </c>
      <c r="H1910" s="16" t="n">
        <f aca="false">IF(B1910="",0,IF(COUNTIF(B$5:B1910,B1910)=1,1,0))</f>
        <v>0</v>
      </c>
      <c r="I1910" s="16" t="n">
        <f aca="false">SUM(H$5:H1910)</f>
        <v>6</v>
      </c>
    </row>
    <row r="1911" customFormat="false" ht="15" hidden="false" customHeight="false" outlineLevel="0" collapsed="false">
      <c r="A1911" s="12"/>
      <c r="B1911" s="13"/>
      <c r="C1911" s="13"/>
      <c r="D1911" s="14"/>
      <c r="E1911" s="15"/>
      <c r="F1911" s="16" t="n">
        <f aca="false">IF(C1911="",0,IF(COUNTIF(C$5:C1911,C1911)=1,1,0))</f>
        <v>0</v>
      </c>
      <c r="G1911" s="16" t="n">
        <f aca="false">SUM(F$5:F1911)</f>
        <v>8</v>
      </c>
      <c r="H1911" s="16" t="n">
        <f aca="false">IF(B1911="",0,IF(COUNTIF(B$5:B1911,B1911)=1,1,0))</f>
        <v>0</v>
      </c>
      <c r="I1911" s="16" t="n">
        <f aca="false">SUM(H$5:H1911)</f>
        <v>6</v>
      </c>
    </row>
    <row r="1912" customFormat="false" ht="15" hidden="false" customHeight="false" outlineLevel="0" collapsed="false">
      <c r="A1912" s="12"/>
      <c r="B1912" s="13"/>
      <c r="C1912" s="13"/>
      <c r="D1912" s="14"/>
      <c r="E1912" s="15"/>
      <c r="F1912" s="16" t="n">
        <f aca="false">IF(C1912="",0,IF(COUNTIF(C$5:C1912,C1912)=1,1,0))</f>
        <v>0</v>
      </c>
      <c r="G1912" s="16" t="n">
        <f aca="false">SUM(F$5:F1912)</f>
        <v>8</v>
      </c>
      <c r="H1912" s="16" t="n">
        <f aca="false">IF(B1912="",0,IF(COUNTIF(B$5:B1912,B1912)=1,1,0))</f>
        <v>0</v>
      </c>
      <c r="I1912" s="16" t="n">
        <f aca="false">SUM(H$5:H1912)</f>
        <v>6</v>
      </c>
    </row>
    <row r="1913" customFormat="false" ht="15" hidden="false" customHeight="false" outlineLevel="0" collapsed="false">
      <c r="A1913" s="12"/>
      <c r="B1913" s="13"/>
      <c r="C1913" s="13"/>
      <c r="D1913" s="14"/>
      <c r="E1913" s="15"/>
      <c r="F1913" s="16" t="n">
        <f aca="false">IF(C1913="",0,IF(COUNTIF(C$5:C1913,C1913)=1,1,0))</f>
        <v>0</v>
      </c>
      <c r="G1913" s="16" t="n">
        <f aca="false">SUM(F$5:F1913)</f>
        <v>8</v>
      </c>
      <c r="H1913" s="16" t="n">
        <f aca="false">IF(B1913="",0,IF(COUNTIF(B$5:B1913,B1913)=1,1,0))</f>
        <v>0</v>
      </c>
      <c r="I1913" s="16" t="n">
        <f aca="false">SUM(H$5:H1913)</f>
        <v>6</v>
      </c>
    </row>
    <row r="1914" customFormat="false" ht="15" hidden="false" customHeight="false" outlineLevel="0" collapsed="false">
      <c r="A1914" s="12"/>
      <c r="B1914" s="13"/>
      <c r="C1914" s="13"/>
      <c r="D1914" s="14"/>
      <c r="E1914" s="15"/>
      <c r="F1914" s="16" t="n">
        <f aca="false">IF(C1914="",0,IF(COUNTIF(C$5:C1914,C1914)=1,1,0))</f>
        <v>0</v>
      </c>
      <c r="G1914" s="16" t="n">
        <f aca="false">SUM(F$5:F1914)</f>
        <v>8</v>
      </c>
      <c r="H1914" s="16" t="n">
        <f aca="false">IF(B1914="",0,IF(COUNTIF(B$5:B1914,B1914)=1,1,0))</f>
        <v>0</v>
      </c>
      <c r="I1914" s="16" t="n">
        <f aca="false">SUM(H$5:H1914)</f>
        <v>6</v>
      </c>
    </row>
    <row r="1915" customFormat="false" ht="15" hidden="false" customHeight="false" outlineLevel="0" collapsed="false">
      <c r="A1915" s="12"/>
      <c r="B1915" s="13"/>
      <c r="C1915" s="13"/>
      <c r="D1915" s="14"/>
      <c r="E1915" s="15"/>
      <c r="F1915" s="16" t="n">
        <f aca="false">IF(C1915="",0,IF(COUNTIF(C$5:C1915,C1915)=1,1,0))</f>
        <v>0</v>
      </c>
      <c r="G1915" s="16" t="n">
        <f aca="false">SUM(F$5:F1915)</f>
        <v>8</v>
      </c>
      <c r="H1915" s="16" t="n">
        <f aca="false">IF(B1915="",0,IF(COUNTIF(B$5:B1915,B1915)=1,1,0))</f>
        <v>0</v>
      </c>
      <c r="I1915" s="16" t="n">
        <f aca="false">SUM(H$5:H1915)</f>
        <v>6</v>
      </c>
    </row>
    <row r="1916" customFormat="false" ht="15" hidden="false" customHeight="false" outlineLevel="0" collapsed="false">
      <c r="A1916" s="12"/>
      <c r="B1916" s="13"/>
      <c r="C1916" s="13"/>
      <c r="D1916" s="14"/>
      <c r="E1916" s="15"/>
      <c r="F1916" s="16" t="n">
        <f aca="false">IF(C1916="",0,IF(COUNTIF(C$5:C1916,C1916)=1,1,0))</f>
        <v>0</v>
      </c>
      <c r="G1916" s="16" t="n">
        <f aca="false">SUM(F$5:F1916)</f>
        <v>8</v>
      </c>
      <c r="H1916" s="16" t="n">
        <f aca="false">IF(B1916="",0,IF(COUNTIF(B$5:B1916,B1916)=1,1,0))</f>
        <v>0</v>
      </c>
      <c r="I1916" s="16" t="n">
        <f aca="false">SUM(H$5:H1916)</f>
        <v>6</v>
      </c>
    </row>
    <row r="1917" customFormat="false" ht="15" hidden="false" customHeight="false" outlineLevel="0" collapsed="false">
      <c r="A1917" s="12"/>
      <c r="B1917" s="13"/>
      <c r="C1917" s="13"/>
      <c r="D1917" s="14"/>
      <c r="E1917" s="15"/>
      <c r="F1917" s="16" t="n">
        <f aca="false">IF(C1917="",0,IF(COUNTIF(C$5:C1917,C1917)=1,1,0))</f>
        <v>0</v>
      </c>
      <c r="G1917" s="16" t="n">
        <f aca="false">SUM(F$5:F1917)</f>
        <v>8</v>
      </c>
      <c r="H1917" s="16" t="n">
        <f aca="false">IF(B1917="",0,IF(COUNTIF(B$5:B1917,B1917)=1,1,0))</f>
        <v>0</v>
      </c>
      <c r="I1917" s="16" t="n">
        <f aca="false">SUM(H$5:H1917)</f>
        <v>6</v>
      </c>
    </row>
    <row r="1918" customFormat="false" ht="15" hidden="false" customHeight="false" outlineLevel="0" collapsed="false">
      <c r="A1918" s="12"/>
      <c r="B1918" s="13"/>
      <c r="C1918" s="13"/>
      <c r="D1918" s="14"/>
      <c r="E1918" s="15"/>
      <c r="F1918" s="16" t="n">
        <f aca="false">IF(C1918="",0,IF(COUNTIF(C$5:C1918,C1918)=1,1,0))</f>
        <v>0</v>
      </c>
      <c r="G1918" s="16" t="n">
        <f aca="false">SUM(F$5:F1918)</f>
        <v>8</v>
      </c>
      <c r="H1918" s="16" t="n">
        <f aca="false">IF(B1918="",0,IF(COUNTIF(B$5:B1918,B1918)=1,1,0))</f>
        <v>0</v>
      </c>
      <c r="I1918" s="16" t="n">
        <f aca="false">SUM(H$5:H1918)</f>
        <v>6</v>
      </c>
    </row>
    <row r="1919" customFormat="false" ht="15" hidden="false" customHeight="false" outlineLevel="0" collapsed="false">
      <c r="A1919" s="12"/>
      <c r="B1919" s="13"/>
      <c r="C1919" s="13"/>
      <c r="D1919" s="14"/>
      <c r="E1919" s="15"/>
      <c r="F1919" s="16" t="n">
        <f aca="false">IF(C1919="",0,IF(COUNTIF(C$5:C1919,C1919)=1,1,0))</f>
        <v>0</v>
      </c>
      <c r="G1919" s="16" t="n">
        <f aca="false">SUM(F$5:F1919)</f>
        <v>8</v>
      </c>
      <c r="H1919" s="16" t="n">
        <f aca="false">IF(B1919="",0,IF(COUNTIF(B$5:B1919,B1919)=1,1,0))</f>
        <v>0</v>
      </c>
      <c r="I1919" s="16" t="n">
        <f aca="false">SUM(H$5:H1919)</f>
        <v>6</v>
      </c>
    </row>
    <row r="1920" customFormat="false" ht="15" hidden="false" customHeight="false" outlineLevel="0" collapsed="false">
      <c r="A1920" s="12"/>
      <c r="B1920" s="13"/>
      <c r="C1920" s="13"/>
      <c r="D1920" s="14"/>
      <c r="E1920" s="15"/>
      <c r="F1920" s="16" t="n">
        <f aca="false">IF(C1920="",0,IF(COUNTIF(C$5:C1920,C1920)=1,1,0))</f>
        <v>0</v>
      </c>
      <c r="G1920" s="16" t="n">
        <f aca="false">SUM(F$5:F1920)</f>
        <v>8</v>
      </c>
      <c r="H1920" s="16" t="n">
        <f aca="false">IF(B1920="",0,IF(COUNTIF(B$5:B1920,B1920)=1,1,0))</f>
        <v>0</v>
      </c>
      <c r="I1920" s="16" t="n">
        <f aca="false">SUM(H$5:H1920)</f>
        <v>6</v>
      </c>
    </row>
    <row r="1921" customFormat="false" ht="15" hidden="false" customHeight="false" outlineLevel="0" collapsed="false">
      <c r="A1921" s="12"/>
      <c r="B1921" s="13"/>
      <c r="C1921" s="13"/>
      <c r="D1921" s="14"/>
      <c r="E1921" s="15"/>
      <c r="F1921" s="16" t="n">
        <f aca="false">IF(C1921="",0,IF(COUNTIF(C$5:C1921,C1921)=1,1,0))</f>
        <v>0</v>
      </c>
      <c r="G1921" s="16" t="n">
        <f aca="false">SUM(F$5:F1921)</f>
        <v>8</v>
      </c>
      <c r="H1921" s="16" t="n">
        <f aca="false">IF(B1921="",0,IF(COUNTIF(B$5:B1921,B1921)=1,1,0))</f>
        <v>0</v>
      </c>
      <c r="I1921" s="16" t="n">
        <f aca="false">SUM(H$5:H1921)</f>
        <v>6</v>
      </c>
    </row>
    <row r="1922" customFormat="false" ht="15" hidden="false" customHeight="false" outlineLevel="0" collapsed="false">
      <c r="A1922" s="12"/>
      <c r="B1922" s="13"/>
      <c r="C1922" s="13"/>
      <c r="D1922" s="14"/>
      <c r="E1922" s="15"/>
      <c r="F1922" s="16" t="n">
        <f aca="false">IF(C1922="",0,IF(COUNTIF(C$5:C1922,C1922)=1,1,0))</f>
        <v>0</v>
      </c>
      <c r="G1922" s="16" t="n">
        <f aca="false">SUM(F$5:F1922)</f>
        <v>8</v>
      </c>
      <c r="H1922" s="16" t="n">
        <f aca="false">IF(B1922="",0,IF(COUNTIF(B$5:B1922,B1922)=1,1,0))</f>
        <v>0</v>
      </c>
      <c r="I1922" s="16" t="n">
        <f aca="false">SUM(H$5:H1922)</f>
        <v>6</v>
      </c>
    </row>
    <row r="1923" customFormat="false" ht="15" hidden="false" customHeight="false" outlineLevel="0" collapsed="false">
      <c r="A1923" s="12"/>
      <c r="B1923" s="13"/>
      <c r="C1923" s="13"/>
      <c r="D1923" s="14"/>
      <c r="E1923" s="15"/>
      <c r="F1923" s="16" t="n">
        <f aca="false">IF(C1923="",0,IF(COUNTIF(C$5:C1923,C1923)=1,1,0))</f>
        <v>0</v>
      </c>
      <c r="G1923" s="16" t="n">
        <f aca="false">SUM(F$5:F1923)</f>
        <v>8</v>
      </c>
      <c r="H1923" s="16" t="n">
        <f aca="false">IF(B1923="",0,IF(COUNTIF(B$5:B1923,B1923)=1,1,0))</f>
        <v>0</v>
      </c>
      <c r="I1923" s="16" t="n">
        <f aca="false">SUM(H$5:H1923)</f>
        <v>6</v>
      </c>
    </row>
    <row r="1924" customFormat="false" ht="15" hidden="false" customHeight="false" outlineLevel="0" collapsed="false">
      <c r="A1924" s="12"/>
      <c r="B1924" s="13"/>
      <c r="C1924" s="13"/>
      <c r="D1924" s="14"/>
      <c r="E1924" s="15"/>
      <c r="F1924" s="16" t="n">
        <f aca="false">IF(C1924="",0,IF(COUNTIF(C$5:C1924,C1924)=1,1,0))</f>
        <v>0</v>
      </c>
      <c r="G1924" s="16" t="n">
        <f aca="false">SUM(F$5:F1924)</f>
        <v>8</v>
      </c>
      <c r="H1924" s="16" t="n">
        <f aca="false">IF(B1924="",0,IF(COUNTIF(B$5:B1924,B1924)=1,1,0))</f>
        <v>0</v>
      </c>
      <c r="I1924" s="16" t="n">
        <f aca="false">SUM(H$5:H1924)</f>
        <v>6</v>
      </c>
    </row>
    <row r="1925" customFormat="false" ht="15" hidden="false" customHeight="false" outlineLevel="0" collapsed="false">
      <c r="A1925" s="12"/>
      <c r="B1925" s="13"/>
      <c r="C1925" s="13"/>
      <c r="D1925" s="14"/>
      <c r="E1925" s="15"/>
      <c r="F1925" s="16" t="n">
        <f aca="false">IF(C1925="",0,IF(COUNTIF(C$5:C1925,C1925)=1,1,0))</f>
        <v>0</v>
      </c>
      <c r="G1925" s="16" t="n">
        <f aca="false">SUM(F$5:F1925)</f>
        <v>8</v>
      </c>
      <c r="H1925" s="16" t="n">
        <f aca="false">IF(B1925="",0,IF(COUNTIF(B$5:B1925,B1925)=1,1,0))</f>
        <v>0</v>
      </c>
      <c r="I1925" s="16" t="n">
        <f aca="false">SUM(H$5:H1925)</f>
        <v>6</v>
      </c>
    </row>
    <row r="1926" customFormat="false" ht="15" hidden="false" customHeight="false" outlineLevel="0" collapsed="false">
      <c r="A1926" s="12"/>
      <c r="B1926" s="13"/>
      <c r="C1926" s="13"/>
      <c r="D1926" s="14"/>
      <c r="E1926" s="15"/>
      <c r="F1926" s="16" t="n">
        <f aca="false">IF(C1926="",0,IF(COUNTIF(C$5:C1926,C1926)=1,1,0))</f>
        <v>0</v>
      </c>
      <c r="G1926" s="16" t="n">
        <f aca="false">SUM(F$5:F1926)</f>
        <v>8</v>
      </c>
      <c r="H1926" s="16" t="n">
        <f aca="false">IF(B1926="",0,IF(COUNTIF(B$5:B1926,B1926)=1,1,0))</f>
        <v>0</v>
      </c>
      <c r="I1926" s="16" t="n">
        <f aca="false">SUM(H$5:H1926)</f>
        <v>6</v>
      </c>
    </row>
    <row r="1927" customFormat="false" ht="15" hidden="false" customHeight="false" outlineLevel="0" collapsed="false">
      <c r="A1927" s="12"/>
      <c r="B1927" s="13"/>
      <c r="C1927" s="13"/>
      <c r="D1927" s="14"/>
      <c r="E1927" s="15"/>
      <c r="F1927" s="16" t="n">
        <f aca="false">IF(C1927="",0,IF(COUNTIF(C$5:C1927,C1927)=1,1,0))</f>
        <v>0</v>
      </c>
      <c r="G1927" s="16" t="n">
        <f aca="false">SUM(F$5:F1927)</f>
        <v>8</v>
      </c>
      <c r="H1927" s="16" t="n">
        <f aca="false">IF(B1927="",0,IF(COUNTIF(B$5:B1927,B1927)=1,1,0))</f>
        <v>0</v>
      </c>
      <c r="I1927" s="16" t="n">
        <f aca="false">SUM(H$5:H1927)</f>
        <v>6</v>
      </c>
    </row>
    <row r="1928" customFormat="false" ht="15" hidden="false" customHeight="false" outlineLevel="0" collapsed="false">
      <c r="A1928" s="12"/>
      <c r="B1928" s="13"/>
      <c r="C1928" s="13"/>
      <c r="D1928" s="14"/>
      <c r="E1928" s="15"/>
      <c r="F1928" s="16" t="n">
        <f aca="false">IF(C1928="",0,IF(COUNTIF(C$5:C1928,C1928)=1,1,0))</f>
        <v>0</v>
      </c>
      <c r="G1928" s="16" t="n">
        <f aca="false">SUM(F$5:F1928)</f>
        <v>8</v>
      </c>
      <c r="H1928" s="16" t="n">
        <f aca="false">IF(B1928="",0,IF(COUNTIF(B$5:B1928,B1928)=1,1,0))</f>
        <v>0</v>
      </c>
      <c r="I1928" s="16" t="n">
        <f aca="false">SUM(H$5:H1928)</f>
        <v>6</v>
      </c>
    </row>
    <row r="1929" customFormat="false" ht="15" hidden="false" customHeight="false" outlineLevel="0" collapsed="false">
      <c r="A1929" s="12"/>
      <c r="B1929" s="13"/>
      <c r="C1929" s="13"/>
      <c r="D1929" s="14"/>
      <c r="E1929" s="15"/>
      <c r="F1929" s="16" t="n">
        <f aca="false">IF(C1929="",0,IF(COUNTIF(C$5:C1929,C1929)=1,1,0))</f>
        <v>0</v>
      </c>
      <c r="G1929" s="16" t="n">
        <f aca="false">SUM(F$5:F1929)</f>
        <v>8</v>
      </c>
      <c r="H1929" s="16" t="n">
        <f aca="false">IF(B1929="",0,IF(COUNTIF(B$5:B1929,B1929)=1,1,0))</f>
        <v>0</v>
      </c>
      <c r="I1929" s="16" t="n">
        <f aca="false">SUM(H$5:H1929)</f>
        <v>6</v>
      </c>
    </row>
    <row r="1930" customFormat="false" ht="15" hidden="false" customHeight="false" outlineLevel="0" collapsed="false">
      <c r="A1930" s="12"/>
      <c r="B1930" s="13"/>
      <c r="C1930" s="13"/>
      <c r="D1930" s="14"/>
      <c r="E1930" s="15"/>
      <c r="F1930" s="16" t="n">
        <f aca="false">IF(C1930="",0,IF(COUNTIF(C$5:C1930,C1930)=1,1,0))</f>
        <v>0</v>
      </c>
      <c r="G1930" s="16" t="n">
        <f aca="false">SUM(F$5:F1930)</f>
        <v>8</v>
      </c>
      <c r="H1930" s="16" t="n">
        <f aca="false">IF(B1930="",0,IF(COUNTIF(B$5:B1930,B1930)=1,1,0))</f>
        <v>0</v>
      </c>
      <c r="I1930" s="16" t="n">
        <f aca="false">SUM(H$5:H1930)</f>
        <v>6</v>
      </c>
    </row>
    <row r="1931" customFormat="false" ht="15" hidden="false" customHeight="false" outlineLevel="0" collapsed="false">
      <c r="A1931" s="12"/>
      <c r="B1931" s="13"/>
      <c r="C1931" s="13"/>
      <c r="D1931" s="14"/>
      <c r="E1931" s="15"/>
      <c r="F1931" s="16" t="n">
        <f aca="false">IF(C1931="",0,IF(COUNTIF(C$5:C1931,C1931)=1,1,0))</f>
        <v>0</v>
      </c>
      <c r="G1931" s="16" t="n">
        <f aca="false">SUM(F$5:F1931)</f>
        <v>8</v>
      </c>
      <c r="H1931" s="16" t="n">
        <f aca="false">IF(B1931="",0,IF(COUNTIF(B$5:B1931,B1931)=1,1,0))</f>
        <v>0</v>
      </c>
      <c r="I1931" s="16" t="n">
        <f aca="false">SUM(H$5:H1931)</f>
        <v>6</v>
      </c>
    </row>
    <row r="1932" customFormat="false" ht="15" hidden="false" customHeight="false" outlineLevel="0" collapsed="false">
      <c r="A1932" s="12"/>
      <c r="B1932" s="13"/>
      <c r="C1932" s="13"/>
      <c r="D1932" s="14"/>
      <c r="E1932" s="15"/>
      <c r="F1932" s="16" t="n">
        <f aca="false">IF(C1932="",0,IF(COUNTIF(C$5:C1932,C1932)=1,1,0))</f>
        <v>0</v>
      </c>
      <c r="G1932" s="16" t="n">
        <f aca="false">SUM(F$5:F1932)</f>
        <v>8</v>
      </c>
      <c r="H1932" s="16" t="n">
        <f aca="false">IF(B1932="",0,IF(COUNTIF(B$5:B1932,B1932)=1,1,0))</f>
        <v>0</v>
      </c>
      <c r="I1932" s="16" t="n">
        <f aca="false">SUM(H$5:H1932)</f>
        <v>6</v>
      </c>
    </row>
    <row r="1933" customFormat="false" ht="15" hidden="false" customHeight="false" outlineLevel="0" collapsed="false">
      <c r="A1933" s="12"/>
      <c r="B1933" s="13"/>
      <c r="C1933" s="13"/>
      <c r="D1933" s="14"/>
      <c r="E1933" s="15"/>
      <c r="F1933" s="16" t="n">
        <f aca="false">IF(C1933="",0,IF(COUNTIF(C$5:C1933,C1933)=1,1,0))</f>
        <v>0</v>
      </c>
      <c r="G1933" s="16" t="n">
        <f aca="false">SUM(F$5:F1933)</f>
        <v>8</v>
      </c>
      <c r="H1933" s="16" t="n">
        <f aca="false">IF(B1933="",0,IF(COUNTIF(B$5:B1933,B1933)=1,1,0))</f>
        <v>0</v>
      </c>
      <c r="I1933" s="16" t="n">
        <f aca="false">SUM(H$5:H1933)</f>
        <v>6</v>
      </c>
    </row>
    <row r="1934" customFormat="false" ht="15" hidden="false" customHeight="false" outlineLevel="0" collapsed="false">
      <c r="A1934" s="12"/>
      <c r="B1934" s="13"/>
      <c r="C1934" s="13"/>
      <c r="D1934" s="14"/>
      <c r="E1934" s="15"/>
      <c r="F1934" s="16" t="n">
        <f aca="false">IF(C1934="",0,IF(COUNTIF(C$5:C1934,C1934)=1,1,0))</f>
        <v>0</v>
      </c>
      <c r="G1934" s="16" t="n">
        <f aca="false">SUM(F$5:F1934)</f>
        <v>8</v>
      </c>
      <c r="H1934" s="16" t="n">
        <f aca="false">IF(B1934="",0,IF(COUNTIF(B$5:B1934,B1934)=1,1,0))</f>
        <v>0</v>
      </c>
      <c r="I1934" s="16" t="n">
        <f aca="false">SUM(H$5:H1934)</f>
        <v>6</v>
      </c>
    </row>
    <row r="1935" customFormat="false" ht="15" hidden="false" customHeight="false" outlineLevel="0" collapsed="false">
      <c r="A1935" s="12"/>
      <c r="B1935" s="13"/>
      <c r="C1935" s="13"/>
      <c r="D1935" s="14"/>
      <c r="E1935" s="15"/>
      <c r="F1935" s="16" t="n">
        <f aca="false">IF(C1935="",0,IF(COUNTIF(C$5:C1935,C1935)=1,1,0))</f>
        <v>0</v>
      </c>
      <c r="G1935" s="16" t="n">
        <f aca="false">SUM(F$5:F1935)</f>
        <v>8</v>
      </c>
      <c r="H1935" s="16" t="n">
        <f aca="false">IF(B1935="",0,IF(COUNTIF(B$5:B1935,B1935)=1,1,0))</f>
        <v>0</v>
      </c>
      <c r="I1935" s="16" t="n">
        <f aca="false">SUM(H$5:H1935)</f>
        <v>6</v>
      </c>
    </row>
    <row r="1936" customFormat="false" ht="15" hidden="false" customHeight="false" outlineLevel="0" collapsed="false">
      <c r="A1936" s="12"/>
      <c r="B1936" s="13"/>
      <c r="C1936" s="13"/>
      <c r="D1936" s="14"/>
      <c r="E1936" s="15"/>
      <c r="F1936" s="16" t="n">
        <f aca="false">IF(C1936="",0,IF(COUNTIF(C$5:C1936,C1936)=1,1,0))</f>
        <v>0</v>
      </c>
      <c r="G1936" s="16" t="n">
        <f aca="false">SUM(F$5:F1936)</f>
        <v>8</v>
      </c>
      <c r="H1936" s="16" t="n">
        <f aca="false">IF(B1936="",0,IF(COUNTIF(B$5:B1936,B1936)=1,1,0))</f>
        <v>0</v>
      </c>
      <c r="I1936" s="16" t="n">
        <f aca="false">SUM(H$5:H1936)</f>
        <v>6</v>
      </c>
    </row>
    <row r="1937" customFormat="false" ht="15" hidden="false" customHeight="false" outlineLevel="0" collapsed="false">
      <c r="A1937" s="12"/>
      <c r="B1937" s="13"/>
      <c r="C1937" s="13"/>
      <c r="D1937" s="14"/>
      <c r="E1937" s="15"/>
      <c r="F1937" s="16" t="n">
        <f aca="false">IF(C1937="",0,IF(COUNTIF(C$5:C1937,C1937)=1,1,0))</f>
        <v>0</v>
      </c>
      <c r="G1937" s="16" t="n">
        <f aca="false">SUM(F$5:F1937)</f>
        <v>8</v>
      </c>
      <c r="H1937" s="16" t="n">
        <f aca="false">IF(B1937="",0,IF(COUNTIF(B$5:B1937,B1937)=1,1,0))</f>
        <v>0</v>
      </c>
      <c r="I1937" s="16" t="n">
        <f aca="false">SUM(H$5:H1937)</f>
        <v>6</v>
      </c>
    </row>
    <row r="1938" customFormat="false" ht="15" hidden="false" customHeight="false" outlineLevel="0" collapsed="false">
      <c r="A1938" s="12"/>
      <c r="B1938" s="13"/>
      <c r="C1938" s="13"/>
      <c r="D1938" s="14"/>
      <c r="E1938" s="15"/>
      <c r="F1938" s="16" t="n">
        <f aca="false">IF(C1938="",0,IF(COUNTIF(C$5:C1938,C1938)=1,1,0))</f>
        <v>0</v>
      </c>
      <c r="G1938" s="16" t="n">
        <f aca="false">SUM(F$5:F1938)</f>
        <v>8</v>
      </c>
      <c r="H1938" s="16" t="n">
        <f aca="false">IF(B1938="",0,IF(COUNTIF(B$5:B1938,B1938)=1,1,0))</f>
        <v>0</v>
      </c>
      <c r="I1938" s="16" t="n">
        <f aca="false">SUM(H$5:H1938)</f>
        <v>6</v>
      </c>
    </row>
    <row r="1939" customFormat="false" ht="15" hidden="false" customHeight="false" outlineLevel="0" collapsed="false">
      <c r="A1939" s="12"/>
      <c r="B1939" s="13"/>
      <c r="C1939" s="13"/>
      <c r="D1939" s="14"/>
      <c r="E1939" s="15"/>
      <c r="F1939" s="16" t="n">
        <f aca="false">IF(C1939="",0,IF(COUNTIF(C$5:C1939,C1939)=1,1,0))</f>
        <v>0</v>
      </c>
      <c r="G1939" s="16" t="n">
        <f aca="false">SUM(F$5:F1939)</f>
        <v>8</v>
      </c>
      <c r="H1939" s="16" t="n">
        <f aca="false">IF(B1939="",0,IF(COUNTIF(B$5:B1939,B1939)=1,1,0))</f>
        <v>0</v>
      </c>
      <c r="I1939" s="16" t="n">
        <f aca="false">SUM(H$5:H1939)</f>
        <v>6</v>
      </c>
    </row>
    <row r="1940" customFormat="false" ht="15" hidden="false" customHeight="false" outlineLevel="0" collapsed="false">
      <c r="A1940" s="12"/>
      <c r="B1940" s="13"/>
      <c r="C1940" s="13"/>
      <c r="D1940" s="14"/>
      <c r="E1940" s="15"/>
      <c r="F1940" s="16" t="n">
        <f aca="false">IF(C1940="",0,IF(COUNTIF(C$5:C1940,C1940)=1,1,0))</f>
        <v>0</v>
      </c>
      <c r="G1940" s="16" t="n">
        <f aca="false">SUM(F$5:F1940)</f>
        <v>8</v>
      </c>
      <c r="H1940" s="16" t="n">
        <f aca="false">IF(B1940="",0,IF(COUNTIF(B$5:B1940,B1940)=1,1,0))</f>
        <v>0</v>
      </c>
      <c r="I1940" s="16" t="n">
        <f aca="false">SUM(H$5:H1940)</f>
        <v>6</v>
      </c>
    </row>
    <row r="1941" customFormat="false" ht="15" hidden="false" customHeight="false" outlineLevel="0" collapsed="false">
      <c r="A1941" s="12"/>
      <c r="B1941" s="13"/>
      <c r="C1941" s="13"/>
      <c r="D1941" s="14"/>
      <c r="E1941" s="15"/>
      <c r="F1941" s="16" t="n">
        <f aca="false">IF(C1941="",0,IF(COUNTIF(C$5:C1941,C1941)=1,1,0))</f>
        <v>0</v>
      </c>
      <c r="G1941" s="16" t="n">
        <f aca="false">SUM(F$5:F1941)</f>
        <v>8</v>
      </c>
      <c r="H1941" s="16" t="n">
        <f aca="false">IF(B1941="",0,IF(COUNTIF(B$5:B1941,B1941)=1,1,0))</f>
        <v>0</v>
      </c>
      <c r="I1941" s="16" t="n">
        <f aca="false">SUM(H$5:H1941)</f>
        <v>6</v>
      </c>
    </row>
    <row r="1942" customFormat="false" ht="15" hidden="false" customHeight="false" outlineLevel="0" collapsed="false">
      <c r="A1942" s="12"/>
      <c r="B1942" s="13"/>
      <c r="C1942" s="13"/>
      <c r="D1942" s="14"/>
      <c r="E1942" s="15"/>
      <c r="F1942" s="16" t="n">
        <f aca="false">IF(C1942="",0,IF(COUNTIF(C$5:C1942,C1942)=1,1,0))</f>
        <v>0</v>
      </c>
      <c r="G1942" s="16" t="n">
        <f aca="false">SUM(F$5:F1942)</f>
        <v>8</v>
      </c>
      <c r="H1942" s="16" t="n">
        <f aca="false">IF(B1942="",0,IF(COUNTIF(B$5:B1942,B1942)=1,1,0))</f>
        <v>0</v>
      </c>
      <c r="I1942" s="16" t="n">
        <f aca="false">SUM(H$5:H1942)</f>
        <v>6</v>
      </c>
    </row>
    <row r="1943" customFormat="false" ht="15" hidden="false" customHeight="false" outlineLevel="0" collapsed="false">
      <c r="A1943" s="12"/>
      <c r="B1943" s="13"/>
      <c r="C1943" s="13"/>
      <c r="D1943" s="14"/>
      <c r="E1943" s="15"/>
      <c r="F1943" s="16" t="n">
        <f aca="false">IF(C1943="",0,IF(COUNTIF(C$5:C1943,C1943)=1,1,0))</f>
        <v>0</v>
      </c>
      <c r="G1943" s="16" t="n">
        <f aca="false">SUM(F$5:F1943)</f>
        <v>8</v>
      </c>
      <c r="H1943" s="16" t="n">
        <f aca="false">IF(B1943="",0,IF(COUNTIF(B$5:B1943,B1943)=1,1,0))</f>
        <v>0</v>
      </c>
      <c r="I1943" s="16" t="n">
        <f aca="false">SUM(H$5:H1943)</f>
        <v>6</v>
      </c>
    </row>
    <row r="1944" customFormat="false" ht="15" hidden="false" customHeight="false" outlineLevel="0" collapsed="false">
      <c r="A1944" s="12"/>
      <c r="B1944" s="13"/>
      <c r="C1944" s="13"/>
      <c r="D1944" s="14"/>
      <c r="E1944" s="15"/>
      <c r="F1944" s="16" t="n">
        <f aca="false">IF(C1944="",0,IF(COUNTIF(C$5:C1944,C1944)=1,1,0))</f>
        <v>0</v>
      </c>
      <c r="G1944" s="16" t="n">
        <f aca="false">SUM(F$5:F1944)</f>
        <v>8</v>
      </c>
      <c r="H1944" s="16" t="n">
        <f aca="false">IF(B1944="",0,IF(COUNTIF(B$5:B1944,B1944)=1,1,0))</f>
        <v>0</v>
      </c>
      <c r="I1944" s="16" t="n">
        <f aca="false">SUM(H$5:H1944)</f>
        <v>6</v>
      </c>
    </row>
    <row r="1945" customFormat="false" ht="15" hidden="false" customHeight="false" outlineLevel="0" collapsed="false">
      <c r="A1945" s="12"/>
      <c r="B1945" s="13"/>
      <c r="C1945" s="13"/>
      <c r="D1945" s="14"/>
      <c r="E1945" s="15"/>
      <c r="F1945" s="16" t="n">
        <f aca="false">IF(C1945="",0,IF(COUNTIF(C$5:C1945,C1945)=1,1,0))</f>
        <v>0</v>
      </c>
      <c r="G1945" s="16" t="n">
        <f aca="false">SUM(F$5:F1945)</f>
        <v>8</v>
      </c>
      <c r="H1945" s="16" t="n">
        <f aca="false">IF(B1945="",0,IF(COUNTIF(B$5:B1945,B1945)=1,1,0))</f>
        <v>0</v>
      </c>
      <c r="I1945" s="16" t="n">
        <f aca="false">SUM(H$5:H1945)</f>
        <v>6</v>
      </c>
    </row>
    <row r="1946" customFormat="false" ht="15" hidden="false" customHeight="false" outlineLevel="0" collapsed="false">
      <c r="A1946" s="12"/>
      <c r="B1946" s="13"/>
      <c r="C1946" s="13"/>
      <c r="D1946" s="14"/>
      <c r="E1946" s="15"/>
      <c r="F1946" s="16" t="n">
        <f aca="false">IF(C1946="",0,IF(COUNTIF(C$5:C1946,C1946)=1,1,0))</f>
        <v>0</v>
      </c>
      <c r="G1946" s="16" t="n">
        <f aca="false">SUM(F$5:F1946)</f>
        <v>8</v>
      </c>
      <c r="H1946" s="16" t="n">
        <f aca="false">IF(B1946="",0,IF(COUNTIF(B$5:B1946,B1946)=1,1,0))</f>
        <v>0</v>
      </c>
      <c r="I1946" s="16" t="n">
        <f aca="false">SUM(H$5:H1946)</f>
        <v>6</v>
      </c>
    </row>
    <row r="1947" customFormat="false" ht="15" hidden="false" customHeight="false" outlineLevel="0" collapsed="false">
      <c r="A1947" s="12"/>
      <c r="B1947" s="13"/>
      <c r="C1947" s="13"/>
      <c r="D1947" s="14"/>
      <c r="E1947" s="15"/>
      <c r="F1947" s="16" t="n">
        <f aca="false">IF(C1947="",0,IF(COUNTIF(C$5:C1947,C1947)=1,1,0))</f>
        <v>0</v>
      </c>
      <c r="G1947" s="16" t="n">
        <f aca="false">SUM(F$5:F1947)</f>
        <v>8</v>
      </c>
      <c r="H1947" s="16" t="n">
        <f aca="false">IF(B1947="",0,IF(COUNTIF(B$5:B1947,B1947)=1,1,0))</f>
        <v>0</v>
      </c>
      <c r="I1947" s="16" t="n">
        <f aca="false">SUM(H$5:H1947)</f>
        <v>6</v>
      </c>
    </row>
    <row r="1948" customFormat="false" ht="15" hidden="false" customHeight="false" outlineLevel="0" collapsed="false">
      <c r="A1948" s="12"/>
      <c r="B1948" s="13"/>
      <c r="C1948" s="13"/>
      <c r="D1948" s="14"/>
      <c r="E1948" s="15"/>
      <c r="F1948" s="16" t="n">
        <f aca="false">IF(C1948="",0,IF(COUNTIF(C$5:C1948,C1948)=1,1,0))</f>
        <v>0</v>
      </c>
      <c r="G1948" s="16" t="n">
        <f aca="false">SUM(F$5:F1948)</f>
        <v>8</v>
      </c>
      <c r="H1948" s="16" t="n">
        <f aca="false">IF(B1948="",0,IF(COUNTIF(B$5:B1948,B1948)=1,1,0))</f>
        <v>0</v>
      </c>
      <c r="I1948" s="16" t="n">
        <f aca="false">SUM(H$5:H1948)</f>
        <v>6</v>
      </c>
    </row>
    <row r="1949" customFormat="false" ht="15" hidden="false" customHeight="false" outlineLevel="0" collapsed="false">
      <c r="A1949" s="12"/>
      <c r="B1949" s="13"/>
      <c r="C1949" s="13"/>
      <c r="D1949" s="14"/>
      <c r="E1949" s="15"/>
      <c r="F1949" s="16" t="n">
        <f aca="false">IF(C1949="",0,IF(COUNTIF(C$5:C1949,C1949)=1,1,0))</f>
        <v>0</v>
      </c>
      <c r="G1949" s="16" t="n">
        <f aca="false">SUM(F$5:F1949)</f>
        <v>8</v>
      </c>
      <c r="H1949" s="16" t="n">
        <f aca="false">IF(B1949="",0,IF(COUNTIF(B$5:B1949,B1949)=1,1,0))</f>
        <v>0</v>
      </c>
      <c r="I1949" s="16" t="n">
        <f aca="false">SUM(H$5:H1949)</f>
        <v>6</v>
      </c>
    </row>
    <row r="1950" customFormat="false" ht="15" hidden="false" customHeight="false" outlineLevel="0" collapsed="false">
      <c r="A1950" s="12"/>
      <c r="B1950" s="13"/>
      <c r="C1950" s="13"/>
      <c r="D1950" s="14"/>
      <c r="E1950" s="15"/>
      <c r="F1950" s="16" t="n">
        <f aca="false">IF(C1950="",0,IF(COUNTIF(C$5:C1950,C1950)=1,1,0))</f>
        <v>0</v>
      </c>
      <c r="G1950" s="16" t="n">
        <f aca="false">SUM(F$5:F1950)</f>
        <v>8</v>
      </c>
      <c r="H1950" s="16" t="n">
        <f aca="false">IF(B1950="",0,IF(COUNTIF(B$5:B1950,B1950)=1,1,0))</f>
        <v>0</v>
      </c>
      <c r="I1950" s="16" t="n">
        <f aca="false">SUM(H$5:H1950)</f>
        <v>6</v>
      </c>
    </row>
    <row r="1951" customFormat="false" ht="15" hidden="false" customHeight="false" outlineLevel="0" collapsed="false">
      <c r="A1951" s="12"/>
      <c r="B1951" s="13"/>
      <c r="C1951" s="13"/>
      <c r="D1951" s="14"/>
      <c r="E1951" s="15"/>
      <c r="F1951" s="16" t="n">
        <f aca="false">IF(C1951="",0,IF(COUNTIF(C$5:C1951,C1951)=1,1,0))</f>
        <v>0</v>
      </c>
      <c r="G1951" s="16" t="n">
        <f aca="false">SUM(F$5:F1951)</f>
        <v>8</v>
      </c>
      <c r="H1951" s="16" t="n">
        <f aca="false">IF(B1951="",0,IF(COUNTIF(B$5:B1951,B1951)=1,1,0))</f>
        <v>0</v>
      </c>
      <c r="I1951" s="16" t="n">
        <f aca="false">SUM(H$5:H1951)</f>
        <v>6</v>
      </c>
    </row>
    <row r="1952" customFormat="false" ht="15" hidden="false" customHeight="false" outlineLevel="0" collapsed="false">
      <c r="A1952" s="12"/>
      <c r="B1952" s="13"/>
      <c r="C1952" s="13"/>
      <c r="D1952" s="14"/>
      <c r="E1952" s="15"/>
      <c r="F1952" s="16" t="n">
        <f aca="false">IF(C1952="",0,IF(COUNTIF(C$5:C1952,C1952)=1,1,0))</f>
        <v>0</v>
      </c>
      <c r="G1952" s="16" t="n">
        <f aca="false">SUM(F$5:F1952)</f>
        <v>8</v>
      </c>
      <c r="H1952" s="16" t="n">
        <f aca="false">IF(B1952="",0,IF(COUNTIF(B$5:B1952,B1952)=1,1,0))</f>
        <v>0</v>
      </c>
      <c r="I1952" s="16" t="n">
        <f aca="false">SUM(H$5:H1952)</f>
        <v>6</v>
      </c>
    </row>
    <row r="1953" customFormat="false" ht="15" hidden="false" customHeight="false" outlineLevel="0" collapsed="false">
      <c r="A1953" s="12"/>
      <c r="B1953" s="13"/>
      <c r="C1953" s="13"/>
      <c r="D1953" s="14"/>
      <c r="E1953" s="15"/>
      <c r="F1953" s="16" t="n">
        <f aca="false">IF(C1953="",0,IF(COUNTIF(C$5:C1953,C1953)=1,1,0))</f>
        <v>0</v>
      </c>
      <c r="G1953" s="16" t="n">
        <f aca="false">SUM(F$5:F1953)</f>
        <v>8</v>
      </c>
      <c r="H1953" s="16" t="n">
        <f aca="false">IF(B1953="",0,IF(COUNTIF(B$5:B1953,B1953)=1,1,0))</f>
        <v>0</v>
      </c>
      <c r="I1953" s="16" t="n">
        <f aca="false">SUM(H$5:H1953)</f>
        <v>6</v>
      </c>
    </row>
    <row r="1954" customFormat="false" ht="15" hidden="false" customHeight="false" outlineLevel="0" collapsed="false">
      <c r="A1954" s="12"/>
      <c r="B1954" s="13"/>
      <c r="C1954" s="13"/>
      <c r="D1954" s="14"/>
      <c r="E1954" s="15"/>
      <c r="F1954" s="16" t="n">
        <f aca="false">IF(C1954="",0,IF(COUNTIF(C$5:C1954,C1954)=1,1,0))</f>
        <v>0</v>
      </c>
      <c r="G1954" s="16" t="n">
        <f aca="false">SUM(F$5:F1954)</f>
        <v>8</v>
      </c>
      <c r="H1954" s="16" t="n">
        <f aca="false">IF(B1954="",0,IF(COUNTIF(B$5:B1954,B1954)=1,1,0))</f>
        <v>0</v>
      </c>
      <c r="I1954" s="16" t="n">
        <f aca="false">SUM(H$5:H1954)</f>
        <v>6</v>
      </c>
    </row>
    <row r="1955" customFormat="false" ht="15" hidden="false" customHeight="false" outlineLevel="0" collapsed="false">
      <c r="A1955" s="12"/>
      <c r="B1955" s="13"/>
      <c r="C1955" s="13"/>
      <c r="D1955" s="14"/>
      <c r="E1955" s="15"/>
      <c r="F1955" s="16" t="n">
        <f aca="false">IF(C1955="",0,IF(COUNTIF(C$5:C1955,C1955)=1,1,0))</f>
        <v>0</v>
      </c>
      <c r="G1955" s="16" t="n">
        <f aca="false">SUM(F$5:F1955)</f>
        <v>8</v>
      </c>
      <c r="H1955" s="16" t="n">
        <f aca="false">IF(B1955="",0,IF(COUNTIF(B$5:B1955,B1955)=1,1,0))</f>
        <v>0</v>
      </c>
      <c r="I1955" s="16" t="n">
        <f aca="false">SUM(H$5:H1955)</f>
        <v>6</v>
      </c>
    </row>
    <row r="1956" customFormat="false" ht="15" hidden="false" customHeight="false" outlineLevel="0" collapsed="false">
      <c r="A1956" s="12"/>
      <c r="B1956" s="13"/>
      <c r="C1956" s="13"/>
      <c r="D1956" s="14"/>
      <c r="E1956" s="15"/>
      <c r="F1956" s="16" t="n">
        <f aca="false">IF(C1956="",0,IF(COUNTIF(C$5:C1956,C1956)=1,1,0))</f>
        <v>0</v>
      </c>
      <c r="G1956" s="16" t="n">
        <f aca="false">SUM(F$5:F1956)</f>
        <v>8</v>
      </c>
      <c r="H1956" s="16" t="n">
        <f aca="false">IF(B1956="",0,IF(COUNTIF(B$5:B1956,B1956)=1,1,0))</f>
        <v>0</v>
      </c>
      <c r="I1956" s="16" t="n">
        <f aca="false">SUM(H$5:H1956)</f>
        <v>6</v>
      </c>
    </row>
    <row r="1957" customFormat="false" ht="15" hidden="false" customHeight="false" outlineLevel="0" collapsed="false">
      <c r="A1957" s="12"/>
      <c r="B1957" s="13"/>
      <c r="C1957" s="13"/>
      <c r="D1957" s="14"/>
      <c r="E1957" s="15"/>
      <c r="F1957" s="16" t="n">
        <f aca="false">IF(C1957="",0,IF(COUNTIF(C$5:C1957,C1957)=1,1,0))</f>
        <v>0</v>
      </c>
      <c r="G1957" s="16" t="n">
        <f aca="false">SUM(F$5:F1957)</f>
        <v>8</v>
      </c>
      <c r="H1957" s="16" t="n">
        <f aca="false">IF(B1957="",0,IF(COUNTIF(B$5:B1957,B1957)=1,1,0))</f>
        <v>0</v>
      </c>
      <c r="I1957" s="16" t="n">
        <f aca="false">SUM(H$5:H1957)</f>
        <v>6</v>
      </c>
    </row>
    <row r="1958" customFormat="false" ht="15" hidden="false" customHeight="false" outlineLevel="0" collapsed="false">
      <c r="A1958" s="12"/>
      <c r="B1958" s="13"/>
      <c r="C1958" s="13"/>
      <c r="D1958" s="14"/>
      <c r="E1958" s="15"/>
      <c r="F1958" s="16" t="n">
        <f aca="false">IF(C1958="",0,IF(COUNTIF(C$5:C1958,C1958)=1,1,0))</f>
        <v>0</v>
      </c>
      <c r="G1958" s="16" t="n">
        <f aca="false">SUM(F$5:F1958)</f>
        <v>8</v>
      </c>
      <c r="H1958" s="16" t="n">
        <f aca="false">IF(B1958="",0,IF(COUNTIF(B$5:B1958,B1958)=1,1,0))</f>
        <v>0</v>
      </c>
      <c r="I1958" s="16" t="n">
        <f aca="false">SUM(H$5:H1958)</f>
        <v>6</v>
      </c>
    </row>
    <row r="1959" customFormat="false" ht="15" hidden="false" customHeight="false" outlineLevel="0" collapsed="false">
      <c r="A1959" s="12"/>
      <c r="B1959" s="13"/>
      <c r="C1959" s="13"/>
      <c r="D1959" s="14"/>
      <c r="E1959" s="15"/>
      <c r="F1959" s="16" t="n">
        <f aca="false">IF(C1959="",0,IF(COUNTIF(C$5:C1959,C1959)=1,1,0))</f>
        <v>0</v>
      </c>
      <c r="G1959" s="16" t="n">
        <f aca="false">SUM(F$5:F1959)</f>
        <v>8</v>
      </c>
      <c r="H1959" s="16" t="n">
        <f aca="false">IF(B1959="",0,IF(COUNTIF(B$5:B1959,B1959)=1,1,0))</f>
        <v>0</v>
      </c>
      <c r="I1959" s="16" t="n">
        <f aca="false">SUM(H$5:H1959)</f>
        <v>6</v>
      </c>
    </row>
    <row r="1960" customFormat="false" ht="15" hidden="false" customHeight="false" outlineLevel="0" collapsed="false">
      <c r="A1960" s="12"/>
      <c r="B1960" s="13"/>
      <c r="C1960" s="13"/>
      <c r="D1960" s="14"/>
      <c r="E1960" s="15"/>
      <c r="F1960" s="16" t="n">
        <f aca="false">IF(C1960="",0,IF(COUNTIF(C$5:C1960,C1960)=1,1,0))</f>
        <v>0</v>
      </c>
      <c r="G1960" s="16" t="n">
        <f aca="false">SUM(F$5:F1960)</f>
        <v>8</v>
      </c>
      <c r="H1960" s="16" t="n">
        <f aca="false">IF(B1960="",0,IF(COUNTIF(B$5:B1960,B1960)=1,1,0))</f>
        <v>0</v>
      </c>
      <c r="I1960" s="16" t="n">
        <f aca="false">SUM(H$5:H1960)</f>
        <v>6</v>
      </c>
    </row>
    <row r="1961" customFormat="false" ht="15" hidden="false" customHeight="false" outlineLevel="0" collapsed="false">
      <c r="A1961" s="12"/>
      <c r="B1961" s="13"/>
      <c r="C1961" s="13"/>
      <c r="D1961" s="14"/>
      <c r="E1961" s="15"/>
      <c r="F1961" s="16" t="n">
        <f aca="false">IF(C1961="",0,IF(COUNTIF(C$5:C1961,C1961)=1,1,0))</f>
        <v>0</v>
      </c>
      <c r="G1961" s="16" t="n">
        <f aca="false">SUM(F$5:F1961)</f>
        <v>8</v>
      </c>
      <c r="H1961" s="16" t="n">
        <f aca="false">IF(B1961="",0,IF(COUNTIF(B$5:B1961,B1961)=1,1,0))</f>
        <v>0</v>
      </c>
      <c r="I1961" s="16" t="n">
        <f aca="false">SUM(H$5:H1961)</f>
        <v>6</v>
      </c>
    </row>
    <row r="1962" customFormat="false" ht="15" hidden="false" customHeight="false" outlineLevel="0" collapsed="false">
      <c r="A1962" s="12"/>
      <c r="B1962" s="13"/>
      <c r="C1962" s="13"/>
      <c r="D1962" s="14"/>
      <c r="E1962" s="15"/>
      <c r="F1962" s="16" t="n">
        <f aca="false">IF(C1962="",0,IF(COUNTIF(C$5:C1962,C1962)=1,1,0))</f>
        <v>0</v>
      </c>
      <c r="G1962" s="16" t="n">
        <f aca="false">SUM(F$5:F1962)</f>
        <v>8</v>
      </c>
      <c r="H1962" s="16" t="n">
        <f aca="false">IF(B1962="",0,IF(COUNTIF(B$5:B1962,B1962)=1,1,0))</f>
        <v>0</v>
      </c>
      <c r="I1962" s="16" t="n">
        <f aca="false">SUM(H$5:H1962)</f>
        <v>6</v>
      </c>
    </row>
    <row r="1963" customFormat="false" ht="15" hidden="false" customHeight="false" outlineLevel="0" collapsed="false">
      <c r="A1963" s="12"/>
      <c r="B1963" s="13"/>
      <c r="C1963" s="13"/>
      <c r="D1963" s="14"/>
      <c r="E1963" s="15"/>
      <c r="F1963" s="16" t="n">
        <f aca="false">IF(C1963="",0,IF(COUNTIF(C$5:C1963,C1963)=1,1,0))</f>
        <v>0</v>
      </c>
      <c r="G1963" s="16" t="n">
        <f aca="false">SUM(F$5:F1963)</f>
        <v>8</v>
      </c>
      <c r="H1963" s="16" t="n">
        <f aca="false">IF(B1963="",0,IF(COUNTIF(B$5:B1963,B1963)=1,1,0))</f>
        <v>0</v>
      </c>
      <c r="I1963" s="16" t="n">
        <f aca="false">SUM(H$5:H1963)</f>
        <v>6</v>
      </c>
    </row>
    <row r="1964" customFormat="false" ht="15" hidden="false" customHeight="false" outlineLevel="0" collapsed="false">
      <c r="A1964" s="12"/>
      <c r="B1964" s="13"/>
      <c r="C1964" s="13"/>
      <c r="D1964" s="14"/>
      <c r="E1964" s="15"/>
      <c r="F1964" s="16" t="n">
        <f aca="false">IF(C1964="",0,IF(COUNTIF(C$5:C1964,C1964)=1,1,0))</f>
        <v>0</v>
      </c>
      <c r="G1964" s="16" t="n">
        <f aca="false">SUM(F$5:F1964)</f>
        <v>8</v>
      </c>
      <c r="H1964" s="16" t="n">
        <f aca="false">IF(B1964="",0,IF(COUNTIF(B$5:B1964,B1964)=1,1,0))</f>
        <v>0</v>
      </c>
      <c r="I1964" s="16" t="n">
        <f aca="false">SUM(H$5:H1964)</f>
        <v>6</v>
      </c>
    </row>
    <row r="1965" customFormat="false" ht="15" hidden="false" customHeight="false" outlineLevel="0" collapsed="false">
      <c r="A1965" s="12"/>
      <c r="B1965" s="13"/>
      <c r="C1965" s="13"/>
      <c r="D1965" s="14"/>
      <c r="E1965" s="15"/>
      <c r="F1965" s="16" t="n">
        <f aca="false">IF(C1965="",0,IF(COUNTIF(C$5:C1965,C1965)=1,1,0))</f>
        <v>0</v>
      </c>
      <c r="G1965" s="16" t="n">
        <f aca="false">SUM(F$5:F1965)</f>
        <v>8</v>
      </c>
      <c r="H1965" s="16" t="n">
        <f aca="false">IF(B1965="",0,IF(COUNTIF(B$5:B1965,B1965)=1,1,0))</f>
        <v>0</v>
      </c>
      <c r="I1965" s="16" t="n">
        <f aca="false">SUM(H$5:H1965)</f>
        <v>6</v>
      </c>
    </row>
    <row r="1966" customFormat="false" ht="15" hidden="false" customHeight="false" outlineLevel="0" collapsed="false">
      <c r="A1966" s="12"/>
      <c r="B1966" s="13"/>
      <c r="C1966" s="13"/>
      <c r="D1966" s="14"/>
      <c r="E1966" s="15"/>
      <c r="F1966" s="16" t="n">
        <f aca="false">IF(C1966="",0,IF(COUNTIF(C$5:C1966,C1966)=1,1,0))</f>
        <v>0</v>
      </c>
      <c r="G1966" s="16" t="n">
        <f aca="false">SUM(F$5:F1966)</f>
        <v>8</v>
      </c>
      <c r="H1966" s="16" t="n">
        <f aca="false">IF(B1966="",0,IF(COUNTIF(B$5:B1966,B1966)=1,1,0))</f>
        <v>0</v>
      </c>
      <c r="I1966" s="16" t="n">
        <f aca="false">SUM(H$5:H1966)</f>
        <v>6</v>
      </c>
    </row>
    <row r="1967" customFormat="false" ht="15" hidden="false" customHeight="false" outlineLevel="0" collapsed="false">
      <c r="A1967" s="12"/>
      <c r="B1967" s="13"/>
      <c r="C1967" s="13"/>
      <c r="D1967" s="14"/>
      <c r="E1967" s="15"/>
      <c r="F1967" s="16" t="n">
        <f aca="false">IF(C1967="",0,IF(COUNTIF(C$5:C1967,C1967)=1,1,0))</f>
        <v>0</v>
      </c>
      <c r="G1967" s="16" t="n">
        <f aca="false">SUM(F$5:F1967)</f>
        <v>8</v>
      </c>
      <c r="H1967" s="16" t="n">
        <f aca="false">IF(B1967="",0,IF(COUNTIF(B$5:B1967,B1967)=1,1,0))</f>
        <v>0</v>
      </c>
      <c r="I1967" s="16" t="n">
        <f aca="false">SUM(H$5:H1967)</f>
        <v>6</v>
      </c>
    </row>
    <row r="1968" customFormat="false" ht="15" hidden="false" customHeight="false" outlineLevel="0" collapsed="false">
      <c r="A1968" s="12"/>
      <c r="B1968" s="13"/>
      <c r="C1968" s="13"/>
      <c r="D1968" s="14"/>
      <c r="E1968" s="15"/>
      <c r="F1968" s="16" t="n">
        <f aca="false">IF(C1968="",0,IF(COUNTIF(C$5:C1968,C1968)=1,1,0))</f>
        <v>0</v>
      </c>
      <c r="G1968" s="16" t="n">
        <f aca="false">SUM(F$5:F1968)</f>
        <v>8</v>
      </c>
      <c r="H1968" s="16" t="n">
        <f aca="false">IF(B1968="",0,IF(COUNTIF(B$5:B1968,B1968)=1,1,0))</f>
        <v>0</v>
      </c>
      <c r="I1968" s="16" t="n">
        <f aca="false">SUM(H$5:H1968)</f>
        <v>6</v>
      </c>
    </row>
    <row r="1969" customFormat="false" ht="15" hidden="false" customHeight="false" outlineLevel="0" collapsed="false">
      <c r="A1969" s="12"/>
      <c r="B1969" s="13"/>
      <c r="C1969" s="13"/>
      <c r="D1969" s="14"/>
      <c r="E1969" s="15"/>
      <c r="F1969" s="16" t="n">
        <f aca="false">IF(C1969="",0,IF(COUNTIF(C$5:C1969,C1969)=1,1,0))</f>
        <v>0</v>
      </c>
      <c r="G1969" s="16" t="n">
        <f aca="false">SUM(F$5:F1969)</f>
        <v>8</v>
      </c>
      <c r="H1969" s="16" t="n">
        <f aca="false">IF(B1969="",0,IF(COUNTIF(B$5:B1969,B1969)=1,1,0))</f>
        <v>0</v>
      </c>
      <c r="I1969" s="16" t="n">
        <f aca="false">SUM(H$5:H1969)</f>
        <v>6</v>
      </c>
    </row>
    <row r="1970" customFormat="false" ht="15" hidden="false" customHeight="false" outlineLevel="0" collapsed="false">
      <c r="A1970" s="12"/>
      <c r="B1970" s="13"/>
      <c r="C1970" s="13"/>
      <c r="D1970" s="14"/>
      <c r="E1970" s="15"/>
      <c r="F1970" s="16" t="n">
        <f aca="false">IF(C1970="",0,IF(COUNTIF(C$5:C1970,C1970)=1,1,0))</f>
        <v>0</v>
      </c>
      <c r="G1970" s="16" t="n">
        <f aca="false">SUM(F$5:F1970)</f>
        <v>8</v>
      </c>
      <c r="H1970" s="16" t="n">
        <f aca="false">IF(B1970="",0,IF(COUNTIF(B$5:B1970,B1970)=1,1,0))</f>
        <v>0</v>
      </c>
      <c r="I1970" s="16" t="n">
        <f aca="false">SUM(H$5:H1970)</f>
        <v>6</v>
      </c>
    </row>
    <row r="1971" customFormat="false" ht="15" hidden="false" customHeight="false" outlineLevel="0" collapsed="false">
      <c r="A1971" s="12"/>
      <c r="B1971" s="13"/>
      <c r="C1971" s="13"/>
      <c r="D1971" s="14"/>
      <c r="E1971" s="15"/>
      <c r="F1971" s="16" t="n">
        <f aca="false">IF(C1971="",0,IF(COUNTIF(C$5:C1971,C1971)=1,1,0))</f>
        <v>0</v>
      </c>
      <c r="G1971" s="16" t="n">
        <f aca="false">SUM(F$5:F1971)</f>
        <v>8</v>
      </c>
      <c r="H1971" s="16" t="n">
        <f aca="false">IF(B1971="",0,IF(COUNTIF(B$5:B1971,B1971)=1,1,0))</f>
        <v>0</v>
      </c>
      <c r="I1971" s="16" t="n">
        <f aca="false">SUM(H$5:H1971)</f>
        <v>6</v>
      </c>
    </row>
    <row r="1972" customFormat="false" ht="15" hidden="false" customHeight="false" outlineLevel="0" collapsed="false">
      <c r="A1972" s="12"/>
      <c r="B1972" s="13"/>
      <c r="C1972" s="13"/>
      <c r="D1972" s="14"/>
      <c r="E1972" s="15"/>
      <c r="F1972" s="16" t="n">
        <f aca="false">IF(C1972="",0,IF(COUNTIF(C$5:C1972,C1972)=1,1,0))</f>
        <v>0</v>
      </c>
      <c r="G1972" s="16" t="n">
        <f aca="false">SUM(F$5:F1972)</f>
        <v>8</v>
      </c>
      <c r="H1972" s="16" t="n">
        <f aca="false">IF(B1972="",0,IF(COUNTIF(B$5:B1972,B1972)=1,1,0))</f>
        <v>0</v>
      </c>
      <c r="I1972" s="16" t="n">
        <f aca="false">SUM(H$5:H1972)</f>
        <v>6</v>
      </c>
    </row>
    <row r="1973" customFormat="false" ht="15" hidden="false" customHeight="false" outlineLevel="0" collapsed="false">
      <c r="A1973" s="12"/>
      <c r="B1973" s="13"/>
      <c r="C1973" s="13"/>
      <c r="D1973" s="14"/>
      <c r="E1973" s="15"/>
      <c r="F1973" s="16" t="n">
        <f aca="false">IF(C1973="",0,IF(COUNTIF(C$5:C1973,C1973)=1,1,0))</f>
        <v>0</v>
      </c>
      <c r="G1973" s="16" t="n">
        <f aca="false">SUM(F$5:F1973)</f>
        <v>8</v>
      </c>
      <c r="H1973" s="16" t="n">
        <f aca="false">IF(B1973="",0,IF(COUNTIF(B$5:B1973,B1973)=1,1,0))</f>
        <v>0</v>
      </c>
      <c r="I1973" s="16" t="n">
        <f aca="false">SUM(H$5:H1973)</f>
        <v>6</v>
      </c>
    </row>
    <row r="1974" customFormat="false" ht="15" hidden="false" customHeight="false" outlineLevel="0" collapsed="false">
      <c r="A1974" s="12"/>
      <c r="B1974" s="13"/>
      <c r="C1974" s="13"/>
      <c r="D1974" s="14"/>
      <c r="E1974" s="15"/>
      <c r="F1974" s="16" t="n">
        <f aca="false">IF(C1974="",0,IF(COUNTIF(C$5:C1974,C1974)=1,1,0))</f>
        <v>0</v>
      </c>
      <c r="G1974" s="16" t="n">
        <f aca="false">SUM(F$5:F1974)</f>
        <v>8</v>
      </c>
      <c r="H1974" s="16" t="n">
        <f aca="false">IF(B1974="",0,IF(COUNTIF(B$5:B1974,B1974)=1,1,0))</f>
        <v>0</v>
      </c>
      <c r="I1974" s="16" t="n">
        <f aca="false">SUM(H$5:H1974)</f>
        <v>6</v>
      </c>
    </row>
    <row r="1975" customFormat="false" ht="15" hidden="false" customHeight="false" outlineLevel="0" collapsed="false">
      <c r="A1975" s="12"/>
      <c r="B1975" s="13"/>
      <c r="C1975" s="13"/>
      <c r="D1975" s="14"/>
      <c r="E1975" s="15"/>
      <c r="F1975" s="16" t="n">
        <f aca="false">IF(C1975="",0,IF(COUNTIF(C$5:C1975,C1975)=1,1,0))</f>
        <v>0</v>
      </c>
      <c r="G1975" s="16" t="n">
        <f aca="false">SUM(F$5:F1975)</f>
        <v>8</v>
      </c>
      <c r="H1975" s="16" t="n">
        <f aca="false">IF(B1975="",0,IF(COUNTIF(B$5:B1975,B1975)=1,1,0))</f>
        <v>0</v>
      </c>
      <c r="I1975" s="16" t="n">
        <f aca="false">SUM(H$5:H1975)</f>
        <v>6</v>
      </c>
    </row>
    <row r="1976" customFormat="false" ht="15" hidden="false" customHeight="false" outlineLevel="0" collapsed="false">
      <c r="A1976" s="12"/>
      <c r="B1976" s="13"/>
      <c r="C1976" s="13"/>
      <c r="D1976" s="14"/>
      <c r="E1976" s="15"/>
      <c r="F1976" s="16" t="n">
        <f aca="false">IF(C1976="",0,IF(COUNTIF(C$5:C1976,C1976)=1,1,0))</f>
        <v>0</v>
      </c>
      <c r="G1976" s="16" t="n">
        <f aca="false">SUM(F$5:F1976)</f>
        <v>8</v>
      </c>
      <c r="H1976" s="16" t="n">
        <f aca="false">IF(B1976="",0,IF(COUNTIF(B$5:B1976,B1976)=1,1,0))</f>
        <v>0</v>
      </c>
      <c r="I1976" s="16" t="n">
        <f aca="false">SUM(H$5:H1976)</f>
        <v>6</v>
      </c>
    </row>
    <row r="1977" customFormat="false" ht="15" hidden="false" customHeight="false" outlineLevel="0" collapsed="false">
      <c r="A1977" s="12"/>
      <c r="B1977" s="13"/>
      <c r="C1977" s="13"/>
      <c r="D1977" s="14"/>
      <c r="E1977" s="15"/>
      <c r="F1977" s="16" t="n">
        <f aca="false">IF(C1977="",0,IF(COUNTIF(C$5:C1977,C1977)=1,1,0))</f>
        <v>0</v>
      </c>
      <c r="G1977" s="16" t="n">
        <f aca="false">SUM(F$5:F1977)</f>
        <v>8</v>
      </c>
      <c r="H1977" s="16" t="n">
        <f aca="false">IF(B1977="",0,IF(COUNTIF(B$5:B1977,B1977)=1,1,0))</f>
        <v>0</v>
      </c>
      <c r="I1977" s="16" t="n">
        <f aca="false">SUM(H$5:H1977)</f>
        <v>6</v>
      </c>
    </row>
    <row r="1978" customFormat="false" ht="15" hidden="false" customHeight="false" outlineLevel="0" collapsed="false">
      <c r="A1978" s="12"/>
      <c r="B1978" s="13"/>
      <c r="C1978" s="13"/>
      <c r="D1978" s="14"/>
      <c r="E1978" s="15"/>
      <c r="F1978" s="16" t="n">
        <f aca="false">IF(C1978="",0,IF(COUNTIF(C$5:C1978,C1978)=1,1,0))</f>
        <v>0</v>
      </c>
      <c r="G1978" s="16" t="n">
        <f aca="false">SUM(F$5:F1978)</f>
        <v>8</v>
      </c>
      <c r="H1978" s="16" t="n">
        <f aca="false">IF(B1978="",0,IF(COUNTIF(B$5:B1978,B1978)=1,1,0))</f>
        <v>0</v>
      </c>
      <c r="I1978" s="16" t="n">
        <f aca="false">SUM(H$5:H1978)</f>
        <v>6</v>
      </c>
    </row>
    <row r="1979" customFormat="false" ht="15" hidden="false" customHeight="false" outlineLevel="0" collapsed="false">
      <c r="A1979" s="12"/>
      <c r="B1979" s="13"/>
      <c r="C1979" s="13"/>
      <c r="D1979" s="14"/>
      <c r="E1979" s="15"/>
      <c r="F1979" s="16" t="n">
        <f aca="false">IF(C1979="",0,IF(COUNTIF(C$5:C1979,C1979)=1,1,0))</f>
        <v>0</v>
      </c>
      <c r="G1979" s="16" t="n">
        <f aca="false">SUM(F$5:F1979)</f>
        <v>8</v>
      </c>
      <c r="H1979" s="16" t="n">
        <f aca="false">IF(B1979="",0,IF(COUNTIF(B$5:B1979,B1979)=1,1,0))</f>
        <v>0</v>
      </c>
      <c r="I1979" s="16" t="n">
        <f aca="false">SUM(H$5:H1979)</f>
        <v>6</v>
      </c>
    </row>
    <row r="1980" customFormat="false" ht="15" hidden="false" customHeight="false" outlineLevel="0" collapsed="false">
      <c r="A1980" s="12"/>
      <c r="B1980" s="13"/>
      <c r="C1980" s="13"/>
      <c r="D1980" s="14"/>
      <c r="E1980" s="15"/>
      <c r="F1980" s="16" t="n">
        <f aca="false">IF(C1980="",0,IF(COUNTIF(C$5:C1980,C1980)=1,1,0))</f>
        <v>0</v>
      </c>
      <c r="G1980" s="16" t="n">
        <f aca="false">SUM(F$5:F1980)</f>
        <v>8</v>
      </c>
      <c r="H1980" s="16" t="n">
        <f aca="false">IF(B1980="",0,IF(COUNTIF(B$5:B1980,B1980)=1,1,0))</f>
        <v>0</v>
      </c>
      <c r="I1980" s="16" t="n">
        <f aca="false">SUM(H$5:H1980)</f>
        <v>6</v>
      </c>
    </row>
    <row r="1981" customFormat="false" ht="15" hidden="false" customHeight="false" outlineLevel="0" collapsed="false">
      <c r="A1981" s="12"/>
      <c r="B1981" s="13"/>
      <c r="C1981" s="13"/>
      <c r="D1981" s="14"/>
      <c r="E1981" s="15"/>
      <c r="F1981" s="16" t="n">
        <f aca="false">IF(C1981="",0,IF(COUNTIF(C$5:C1981,C1981)=1,1,0))</f>
        <v>0</v>
      </c>
      <c r="G1981" s="16" t="n">
        <f aca="false">SUM(F$5:F1981)</f>
        <v>8</v>
      </c>
      <c r="H1981" s="16" t="n">
        <f aca="false">IF(B1981="",0,IF(COUNTIF(B$5:B1981,B1981)=1,1,0))</f>
        <v>0</v>
      </c>
      <c r="I1981" s="16" t="n">
        <f aca="false">SUM(H$5:H1981)</f>
        <v>6</v>
      </c>
    </row>
    <row r="1982" customFormat="false" ht="15" hidden="false" customHeight="false" outlineLevel="0" collapsed="false">
      <c r="A1982" s="12"/>
      <c r="B1982" s="13"/>
      <c r="C1982" s="13"/>
      <c r="D1982" s="14"/>
      <c r="E1982" s="15"/>
      <c r="F1982" s="16" t="n">
        <f aca="false">IF(C1982="",0,IF(COUNTIF(C$5:C1982,C1982)=1,1,0))</f>
        <v>0</v>
      </c>
      <c r="G1982" s="16" t="n">
        <f aca="false">SUM(F$5:F1982)</f>
        <v>8</v>
      </c>
      <c r="H1982" s="16" t="n">
        <f aca="false">IF(B1982="",0,IF(COUNTIF(B$5:B1982,B1982)=1,1,0))</f>
        <v>0</v>
      </c>
      <c r="I1982" s="16" t="n">
        <f aca="false">SUM(H$5:H1982)</f>
        <v>6</v>
      </c>
    </row>
    <row r="1983" customFormat="false" ht="15" hidden="false" customHeight="false" outlineLevel="0" collapsed="false">
      <c r="A1983" s="12"/>
      <c r="B1983" s="13"/>
      <c r="C1983" s="13"/>
      <c r="D1983" s="14"/>
      <c r="E1983" s="15"/>
      <c r="F1983" s="16" t="n">
        <f aca="false">IF(C1983="",0,IF(COUNTIF(C$5:C1983,C1983)=1,1,0))</f>
        <v>0</v>
      </c>
      <c r="G1983" s="16" t="n">
        <f aca="false">SUM(F$5:F1983)</f>
        <v>8</v>
      </c>
      <c r="H1983" s="16" t="n">
        <f aca="false">IF(B1983="",0,IF(COUNTIF(B$5:B1983,B1983)=1,1,0))</f>
        <v>0</v>
      </c>
      <c r="I1983" s="16" t="n">
        <f aca="false">SUM(H$5:H1983)</f>
        <v>6</v>
      </c>
    </row>
    <row r="1984" customFormat="false" ht="15" hidden="false" customHeight="false" outlineLevel="0" collapsed="false">
      <c r="A1984" s="12"/>
      <c r="B1984" s="13"/>
      <c r="C1984" s="13"/>
      <c r="D1984" s="14"/>
      <c r="E1984" s="15"/>
      <c r="F1984" s="16" t="n">
        <f aca="false">IF(C1984="",0,IF(COUNTIF(C$5:C1984,C1984)=1,1,0))</f>
        <v>0</v>
      </c>
      <c r="G1984" s="16" t="n">
        <f aca="false">SUM(F$5:F1984)</f>
        <v>8</v>
      </c>
      <c r="H1984" s="16" t="n">
        <f aca="false">IF(B1984="",0,IF(COUNTIF(B$5:B1984,B1984)=1,1,0))</f>
        <v>0</v>
      </c>
      <c r="I1984" s="16" t="n">
        <f aca="false">SUM(H$5:H1984)</f>
        <v>6</v>
      </c>
    </row>
    <row r="1985" customFormat="false" ht="15" hidden="false" customHeight="false" outlineLevel="0" collapsed="false">
      <c r="A1985" s="12"/>
      <c r="B1985" s="13"/>
      <c r="C1985" s="13"/>
      <c r="D1985" s="14"/>
      <c r="E1985" s="15"/>
      <c r="F1985" s="16" t="n">
        <f aca="false">IF(C1985="",0,IF(COUNTIF(C$5:C1985,C1985)=1,1,0))</f>
        <v>0</v>
      </c>
      <c r="G1985" s="16" t="n">
        <f aca="false">SUM(F$5:F1985)</f>
        <v>8</v>
      </c>
      <c r="H1985" s="16" t="n">
        <f aca="false">IF(B1985="",0,IF(COUNTIF(B$5:B1985,B1985)=1,1,0))</f>
        <v>0</v>
      </c>
      <c r="I1985" s="16" t="n">
        <f aca="false">SUM(H$5:H1985)</f>
        <v>6</v>
      </c>
    </row>
    <row r="1986" customFormat="false" ht="15" hidden="false" customHeight="false" outlineLevel="0" collapsed="false">
      <c r="A1986" s="12"/>
      <c r="B1986" s="13"/>
      <c r="C1986" s="13"/>
      <c r="D1986" s="14"/>
      <c r="E1986" s="15"/>
      <c r="F1986" s="16" t="n">
        <f aca="false">IF(C1986="",0,IF(COUNTIF(C$5:C1986,C1986)=1,1,0))</f>
        <v>0</v>
      </c>
      <c r="G1986" s="16" t="n">
        <f aca="false">SUM(F$5:F1986)</f>
        <v>8</v>
      </c>
      <c r="H1986" s="16" t="n">
        <f aca="false">IF(B1986="",0,IF(COUNTIF(B$5:B1986,B1986)=1,1,0))</f>
        <v>0</v>
      </c>
      <c r="I1986" s="16" t="n">
        <f aca="false">SUM(H$5:H1986)</f>
        <v>6</v>
      </c>
    </row>
    <row r="1987" customFormat="false" ht="15" hidden="false" customHeight="false" outlineLevel="0" collapsed="false">
      <c r="A1987" s="12"/>
      <c r="B1987" s="13"/>
      <c r="C1987" s="13"/>
      <c r="D1987" s="14"/>
      <c r="E1987" s="15"/>
      <c r="F1987" s="16" t="n">
        <f aca="false">IF(C1987="",0,IF(COUNTIF(C$5:C1987,C1987)=1,1,0))</f>
        <v>0</v>
      </c>
      <c r="G1987" s="16" t="n">
        <f aca="false">SUM(F$5:F1987)</f>
        <v>8</v>
      </c>
      <c r="H1987" s="16" t="n">
        <f aca="false">IF(B1987="",0,IF(COUNTIF(B$5:B1987,B1987)=1,1,0))</f>
        <v>0</v>
      </c>
      <c r="I1987" s="16" t="n">
        <f aca="false">SUM(H$5:H1987)</f>
        <v>6</v>
      </c>
    </row>
    <row r="1988" customFormat="false" ht="15" hidden="false" customHeight="false" outlineLevel="0" collapsed="false">
      <c r="A1988" s="12"/>
      <c r="B1988" s="13"/>
      <c r="C1988" s="13"/>
      <c r="D1988" s="14"/>
      <c r="E1988" s="15"/>
      <c r="F1988" s="16" t="n">
        <f aca="false">IF(C1988="",0,IF(COUNTIF(C$5:C1988,C1988)=1,1,0))</f>
        <v>0</v>
      </c>
      <c r="G1988" s="16" t="n">
        <f aca="false">SUM(F$5:F1988)</f>
        <v>8</v>
      </c>
      <c r="H1988" s="16" t="n">
        <f aca="false">IF(B1988="",0,IF(COUNTIF(B$5:B1988,B1988)=1,1,0))</f>
        <v>0</v>
      </c>
      <c r="I1988" s="16" t="n">
        <f aca="false">SUM(H$5:H1988)</f>
        <v>6</v>
      </c>
    </row>
    <row r="1989" customFormat="false" ht="15" hidden="false" customHeight="false" outlineLevel="0" collapsed="false">
      <c r="A1989" s="12"/>
      <c r="B1989" s="13"/>
      <c r="C1989" s="13"/>
      <c r="D1989" s="14"/>
      <c r="E1989" s="15"/>
      <c r="F1989" s="16" t="n">
        <f aca="false">IF(C1989="",0,IF(COUNTIF(C$5:C1989,C1989)=1,1,0))</f>
        <v>0</v>
      </c>
      <c r="G1989" s="16" t="n">
        <f aca="false">SUM(F$5:F1989)</f>
        <v>8</v>
      </c>
      <c r="H1989" s="16" t="n">
        <f aca="false">IF(B1989="",0,IF(COUNTIF(B$5:B1989,B1989)=1,1,0))</f>
        <v>0</v>
      </c>
      <c r="I1989" s="16" t="n">
        <f aca="false">SUM(H$5:H1989)</f>
        <v>6</v>
      </c>
    </row>
    <row r="1990" customFormat="false" ht="15" hidden="false" customHeight="false" outlineLevel="0" collapsed="false">
      <c r="A1990" s="12"/>
      <c r="B1990" s="13"/>
      <c r="C1990" s="13"/>
      <c r="D1990" s="14"/>
      <c r="E1990" s="15"/>
      <c r="F1990" s="16" t="n">
        <f aca="false">IF(C1990="",0,IF(COUNTIF(C$5:C1990,C1990)=1,1,0))</f>
        <v>0</v>
      </c>
      <c r="G1990" s="16" t="n">
        <f aca="false">SUM(F$5:F1990)</f>
        <v>8</v>
      </c>
      <c r="H1990" s="16" t="n">
        <f aca="false">IF(B1990="",0,IF(COUNTIF(B$5:B1990,B1990)=1,1,0))</f>
        <v>0</v>
      </c>
      <c r="I1990" s="16" t="n">
        <f aca="false">SUM(H$5:H1990)</f>
        <v>6</v>
      </c>
    </row>
    <row r="1991" customFormat="false" ht="15" hidden="false" customHeight="false" outlineLevel="0" collapsed="false">
      <c r="A1991" s="12"/>
      <c r="B1991" s="13"/>
      <c r="C1991" s="13"/>
      <c r="D1991" s="14"/>
      <c r="E1991" s="15"/>
      <c r="F1991" s="16" t="n">
        <f aca="false">IF(C1991="",0,IF(COUNTIF(C$5:C1991,C1991)=1,1,0))</f>
        <v>0</v>
      </c>
      <c r="G1991" s="16" t="n">
        <f aca="false">SUM(F$5:F1991)</f>
        <v>8</v>
      </c>
      <c r="H1991" s="16" t="n">
        <f aca="false">IF(B1991="",0,IF(COUNTIF(B$5:B1991,B1991)=1,1,0))</f>
        <v>0</v>
      </c>
      <c r="I1991" s="16" t="n">
        <f aca="false">SUM(H$5:H1991)</f>
        <v>6</v>
      </c>
    </row>
    <row r="1992" customFormat="false" ht="15" hidden="false" customHeight="false" outlineLevel="0" collapsed="false">
      <c r="A1992" s="12"/>
      <c r="B1992" s="13"/>
      <c r="C1992" s="13"/>
      <c r="D1992" s="14"/>
      <c r="E1992" s="15"/>
      <c r="F1992" s="16" t="n">
        <f aca="false">IF(C1992="",0,IF(COUNTIF(C$5:C1992,C1992)=1,1,0))</f>
        <v>0</v>
      </c>
      <c r="G1992" s="16" t="n">
        <f aca="false">SUM(F$5:F1992)</f>
        <v>8</v>
      </c>
      <c r="H1992" s="16" t="n">
        <f aca="false">IF(B1992="",0,IF(COUNTIF(B$5:B1992,B1992)=1,1,0))</f>
        <v>0</v>
      </c>
      <c r="I1992" s="16" t="n">
        <f aca="false">SUM(H$5:H1992)</f>
        <v>6</v>
      </c>
    </row>
    <row r="1993" customFormat="false" ht="15" hidden="false" customHeight="false" outlineLevel="0" collapsed="false">
      <c r="A1993" s="12"/>
      <c r="B1993" s="13"/>
      <c r="C1993" s="13"/>
      <c r="D1993" s="14"/>
      <c r="E1993" s="15"/>
      <c r="F1993" s="16" t="n">
        <f aca="false">IF(C1993="",0,IF(COUNTIF(C$5:C1993,C1993)=1,1,0))</f>
        <v>0</v>
      </c>
      <c r="G1993" s="16" t="n">
        <f aca="false">SUM(F$5:F1993)</f>
        <v>8</v>
      </c>
      <c r="H1993" s="16" t="n">
        <f aca="false">IF(B1993="",0,IF(COUNTIF(B$5:B1993,B1993)=1,1,0))</f>
        <v>0</v>
      </c>
      <c r="I1993" s="16" t="n">
        <f aca="false">SUM(H$5:H1993)</f>
        <v>6</v>
      </c>
    </row>
    <row r="1994" customFormat="false" ht="15" hidden="false" customHeight="false" outlineLevel="0" collapsed="false">
      <c r="A1994" s="12"/>
      <c r="B1994" s="13"/>
      <c r="C1994" s="13"/>
      <c r="D1994" s="14"/>
      <c r="E1994" s="15"/>
      <c r="F1994" s="16" t="n">
        <f aca="false">IF(C1994="",0,IF(COUNTIF(C$5:C1994,C1994)=1,1,0))</f>
        <v>0</v>
      </c>
      <c r="G1994" s="16" t="n">
        <f aca="false">SUM(F$5:F1994)</f>
        <v>8</v>
      </c>
      <c r="H1994" s="16" t="n">
        <f aca="false">IF(B1994="",0,IF(COUNTIF(B$5:B1994,B1994)=1,1,0))</f>
        <v>0</v>
      </c>
      <c r="I1994" s="16" t="n">
        <f aca="false">SUM(H$5:H1994)</f>
        <v>6</v>
      </c>
    </row>
    <row r="1995" customFormat="false" ht="15" hidden="false" customHeight="false" outlineLevel="0" collapsed="false">
      <c r="A1995" s="12"/>
      <c r="B1995" s="13"/>
      <c r="C1995" s="13"/>
      <c r="D1995" s="14"/>
      <c r="E1995" s="15"/>
      <c r="F1995" s="16" t="n">
        <f aca="false">IF(C1995="",0,IF(COUNTIF(C$5:C1995,C1995)=1,1,0))</f>
        <v>0</v>
      </c>
      <c r="G1995" s="16" t="n">
        <f aca="false">SUM(F$5:F1995)</f>
        <v>8</v>
      </c>
      <c r="H1995" s="16" t="n">
        <f aca="false">IF(B1995="",0,IF(COUNTIF(B$5:B1995,B1995)=1,1,0))</f>
        <v>0</v>
      </c>
      <c r="I1995" s="16" t="n">
        <f aca="false">SUM(H$5:H1995)</f>
        <v>6</v>
      </c>
    </row>
    <row r="1996" customFormat="false" ht="15" hidden="false" customHeight="false" outlineLevel="0" collapsed="false">
      <c r="A1996" s="12"/>
      <c r="B1996" s="13"/>
      <c r="C1996" s="13"/>
      <c r="D1996" s="14"/>
      <c r="E1996" s="15"/>
      <c r="F1996" s="16" t="n">
        <f aca="false">IF(C1996="",0,IF(COUNTIF(C$5:C1996,C1996)=1,1,0))</f>
        <v>0</v>
      </c>
      <c r="G1996" s="16" t="n">
        <f aca="false">SUM(F$5:F1996)</f>
        <v>8</v>
      </c>
      <c r="H1996" s="16" t="n">
        <f aca="false">IF(B1996="",0,IF(COUNTIF(B$5:B1996,B1996)=1,1,0))</f>
        <v>0</v>
      </c>
      <c r="I1996" s="16" t="n">
        <f aca="false">SUM(H$5:H1996)</f>
        <v>6</v>
      </c>
    </row>
    <row r="1997" customFormat="false" ht="15" hidden="false" customHeight="false" outlineLevel="0" collapsed="false">
      <c r="A1997" s="12"/>
      <c r="B1997" s="13"/>
      <c r="C1997" s="13"/>
      <c r="D1997" s="14"/>
      <c r="E1997" s="15"/>
      <c r="F1997" s="16" t="n">
        <f aca="false">IF(C1997="",0,IF(COUNTIF(C$5:C1997,C1997)=1,1,0))</f>
        <v>0</v>
      </c>
      <c r="G1997" s="16" t="n">
        <f aca="false">SUM(F$5:F1997)</f>
        <v>8</v>
      </c>
      <c r="H1997" s="16" t="n">
        <f aca="false">IF(B1997="",0,IF(COUNTIF(B$5:B1997,B1997)=1,1,0))</f>
        <v>0</v>
      </c>
      <c r="I1997" s="16" t="n">
        <f aca="false">SUM(H$5:H1997)</f>
        <v>6</v>
      </c>
    </row>
    <row r="1998" customFormat="false" ht="15" hidden="false" customHeight="false" outlineLevel="0" collapsed="false">
      <c r="A1998" s="12"/>
      <c r="B1998" s="13"/>
      <c r="C1998" s="13"/>
      <c r="D1998" s="14"/>
      <c r="E1998" s="15"/>
      <c r="F1998" s="16" t="n">
        <f aca="false">IF(C1998="",0,IF(COUNTIF(C$5:C1998,C1998)=1,1,0))</f>
        <v>0</v>
      </c>
      <c r="G1998" s="16" t="n">
        <f aca="false">SUM(F$5:F1998)</f>
        <v>8</v>
      </c>
      <c r="H1998" s="16" t="n">
        <f aca="false">IF(B1998="",0,IF(COUNTIF(B$5:B1998,B1998)=1,1,0))</f>
        <v>0</v>
      </c>
      <c r="I1998" s="16" t="n">
        <f aca="false">SUM(H$5:H1998)</f>
        <v>6</v>
      </c>
    </row>
    <row r="1999" customFormat="false" ht="15" hidden="false" customHeight="false" outlineLevel="0" collapsed="false">
      <c r="A1999" s="12"/>
      <c r="B1999" s="13"/>
      <c r="C1999" s="13"/>
      <c r="D1999" s="14"/>
      <c r="E1999" s="15"/>
      <c r="F1999" s="16" t="n">
        <f aca="false">IF(C1999="",0,IF(COUNTIF(C$5:C1999,C1999)=1,1,0))</f>
        <v>0</v>
      </c>
      <c r="G1999" s="16" t="n">
        <f aca="false">SUM(F$5:F1999)</f>
        <v>8</v>
      </c>
      <c r="H1999" s="16" t="n">
        <f aca="false">IF(B1999="",0,IF(COUNTIF(B$5:B1999,B1999)=1,1,0))</f>
        <v>0</v>
      </c>
      <c r="I1999" s="16" t="n">
        <f aca="false">SUM(H$5:H1999)</f>
        <v>6</v>
      </c>
    </row>
    <row r="2000" customFormat="false" ht="15" hidden="false" customHeight="false" outlineLevel="0" collapsed="false">
      <c r="A2000" s="12"/>
      <c r="B2000" s="13"/>
      <c r="C2000" s="13"/>
      <c r="D2000" s="14"/>
      <c r="E2000" s="15"/>
      <c r="F2000" s="16" t="n">
        <f aca="false">IF(C2000="",0,IF(COUNTIF(C$5:C2000,C2000)=1,1,0))</f>
        <v>0</v>
      </c>
      <c r="G2000" s="16" t="n">
        <f aca="false">SUM(F$5:F2000)</f>
        <v>8</v>
      </c>
      <c r="H2000" s="16" t="n">
        <f aca="false">IF(B2000="",0,IF(COUNTIF(B$5:B2000,B2000)=1,1,0))</f>
        <v>0</v>
      </c>
      <c r="I2000" s="16" t="n">
        <f aca="false">SUM(H$5:H2000)</f>
        <v>6</v>
      </c>
    </row>
    <row r="2001" customFormat="false" ht="15" hidden="false" customHeight="false" outlineLevel="0" collapsed="false">
      <c r="A2001" s="12"/>
      <c r="B2001" s="13"/>
      <c r="C2001" s="13"/>
      <c r="D2001" s="14"/>
      <c r="E2001" s="15"/>
      <c r="F2001" s="16" t="n">
        <f aca="false">IF(C2001="",0,IF(COUNTIF(C$5:C2001,C2001)=1,1,0))</f>
        <v>0</v>
      </c>
      <c r="G2001" s="16" t="n">
        <f aca="false">SUM(F$5:F2001)</f>
        <v>8</v>
      </c>
      <c r="H2001" s="16" t="n">
        <f aca="false">IF(B2001="",0,IF(COUNTIF(B$5:B2001,B2001)=1,1,0))</f>
        <v>0</v>
      </c>
      <c r="I2001" s="16" t="n">
        <f aca="false">SUM(H$5:H2001)</f>
        <v>6</v>
      </c>
    </row>
    <row r="2002" customFormat="false" ht="15" hidden="false" customHeight="false" outlineLevel="0" collapsed="false">
      <c r="A2002" s="12"/>
      <c r="B2002" s="13"/>
      <c r="C2002" s="13"/>
      <c r="D2002" s="14"/>
      <c r="E2002" s="15"/>
      <c r="F2002" s="16" t="n">
        <f aca="false">IF(C2002="",0,IF(COUNTIF(C$5:C2002,C2002)=1,1,0))</f>
        <v>0</v>
      </c>
      <c r="G2002" s="16" t="n">
        <f aca="false">SUM(F$5:F2002)</f>
        <v>8</v>
      </c>
      <c r="H2002" s="16" t="n">
        <f aca="false">IF(B2002="",0,IF(COUNTIF(B$5:B2002,B2002)=1,1,0))</f>
        <v>0</v>
      </c>
      <c r="I2002" s="16" t="n">
        <f aca="false">SUM(H$5:H2002)</f>
        <v>6</v>
      </c>
    </row>
    <row r="2003" customFormat="false" ht="15" hidden="false" customHeight="false" outlineLevel="0" collapsed="false">
      <c r="A2003" s="12"/>
      <c r="B2003" s="13"/>
      <c r="C2003" s="13"/>
      <c r="D2003" s="14"/>
      <c r="E2003" s="15"/>
      <c r="F2003" s="16" t="n">
        <f aca="false">IF(C2003="",0,IF(COUNTIF(C$5:C2003,C2003)=1,1,0))</f>
        <v>0</v>
      </c>
      <c r="G2003" s="16" t="n">
        <f aca="false">SUM(F$5:F2003)</f>
        <v>8</v>
      </c>
      <c r="H2003" s="16" t="n">
        <f aca="false">IF(B2003="",0,IF(COUNTIF(B$5:B2003,B2003)=1,1,0))</f>
        <v>0</v>
      </c>
      <c r="I2003" s="16" t="n">
        <f aca="false">SUM(H$5:H2003)</f>
        <v>6</v>
      </c>
    </row>
    <row r="2004" customFormat="false" ht="15" hidden="false" customHeight="false" outlineLevel="0" collapsed="false">
      <c r="A2004" s="12"/>
      <c r="B2004" s="13"/>
      <c r="C2004" s="13"/>
      <c r="D2004" s="14"/>
      <c r="E2004" s="15"/>
      <c r="F2004" s="16" t="n">
        <f aca="false">IF(C2004="",0,IF(COUNTIF(C$5:C2004,C2004)=1,1,0))</f>
        <v>0</v>
      </c>
      <c r="G2004" s="16" t="n">
        <f aca="false">SUM(F$5:F2004)</f>
        <v>8</v>
      </c>
      <c r="H2004" s="16" t="n">
        <f aca="false">IF(B2004="",0,IF(COUNTIF(B$5:B2004,B2004)=1,1,0))</f>
        <v>0</v>
      </c>
      <c r="I2004" s="16" t="n">
        <f aca="false">SUM(H$5:H2004)</f>
        <v>6</v>
      </c>
    </row>
  </sheetData>
  <dataValidations count="2">
    <dataValidation allowBlank="true" error="Geçerli bir tarih gir (örnek: 05.10.2026)." errorStyle="stop" errorTitle="Kontrol" operator="greaterThan" showDropDown="false" showErrorMessage="true" showInputMessage="false" sqref="A5:A2004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D5:E2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3"/>
    <col collapsed="false" customWidth="true" hidden="false" outlineLevel="0" max="10" min="9" style="0" width="16"/>
  </cols>
  <sheetData>
    <row r="1" customFormat="false" ht="19.7" hidden="false" customHeight="false" outlineLevel="0" collapsed="false">
      <c r="A1" s="8" t="s">
        <v>51</v>
      </c>
    </row>
    <row r="2" customFormat="false" ht="15" hidden="false" customHeight="false" outlineLevel="0" collapsed="false">
      <c r="A2" s="9" t="s">
        <v>52</v>
      </c>
    </row>
    <row r="3" customFormat="false" ht="15" hidden="false" customHeight="false" outlineLevel="0" collapsed="false">
      <c r="B3" s="0" t="s">
        <v>53</v>
      </c>
      <c r="C3" s="17" t="n">
        <v>2026</v>
      </c>
    </row>
    <row r="5" customFormat="false" ht="30" hidden="false" customHeight="true" outlineLevel="0" collapsed="false">
      <c r="B5" s="18" t="s">
        <v>54</v>
      </c>
      <c r="C5" s="18" t="s">
        <v>55</v>
      </c>
      <c r="D5" s="18" t="s">
        <v>56</v>
      </c>
      <c r="E5" s="18" t="s">
        <v>57</v>
      </c>
      <c r="F5" s="18" t="s">
        <v>29</v>
      </c>
      <c r="G5" s="18" t="s">
        <v>58</v>
      </c>
    </row>
    <row r="6" customFormat="false" ht="27.75" hidden="false" customHeight="true" outlineLevel="0" collapsed="false">
      <c r="B6" s="19" t="n">
        <f aca="false">SUM(Veri!$E$5:$E$2004)</f>
        <v>115710</v>
      </c>
      <c r="C6" s="20" t="n">
        <f aca="false">COUNT(Veri!$E$5:$E$2004)</f>
        <v>80</v>
      </c>
      <c r="D6" s="19" t="n">
        <f aca="false">IF(COUNT(Veri!$E$5:$E$2004)=0,0,SUM(Veri!$E$5:$E$2004)/COUNT(Veri!$E$5:$E$2004))</f>
        <v>1446.375</v>
      </c>
      <c r="E6" s="20" t="n">
        <f aca="false">MAX(Veri!$G$5:$G$2004)</f>
        <v>8</v>
      </c>
      <c r="F6" s="20" t="n">
        <f aca="false">MAX(Veri!$I$5:$I$2004)</f>
        <v>6</v>
      </c>
      <c r="G6" s="20" t="n">
        <f aca="false">COUNTIF(Ürünler!$G$5:$G$204,"A")</f>
        <v>4</v>
      </c>
    </row>
    <row r="8" customFormat="false" ht="15" hidden="false" customHeight="false" outlineLevel="0" collapsed="false">
      <c r="B8" s="21" t="str">
        <f aca="false">"A sınıfı ürünlerin cirodaki payı: "&amp;TEXT(IF(SUM(Veri!$E$5:$E$2004)=0,0,SUMIFS(Ürünler!$D$5:$D$204,Ürünler!$G$5:$G$204,"A")/SUM(Veri!$E$5:$E$2004)),"0%")</f>
        <v>A sınıfı ürünlerin cirodaki payı: 87%</v>
      </c>
    </row>
    <row r="10" customFormat="false" ht="15" hidden="false" customHeight="false" outlineLevel="0" collapsed="false">
      <c r="B10" s="22" t="s">
        <v>59</v>
      </c>
      <c r="I10" s="22" t="s">
        <v>60</v>
      </c>
    </row>
    <row r="11" customFormat="false" ht="21.75" hidden="false" customHeight="true" outlineLevel="0" collapsed="false">
      <c r="B11" s="10" t="s">
        <v>61</v>
      </c>
      <c r="C11" s="10" t="s">
        <v>62</v>
      </c>
      <c r="D11" s="10" t="s">
        <v>31</v>
      </c>
      <c r="E11" s="10" t="s">
        <v>55</v>
      </c>
      <c r="F11" s="10" t="s">
        <v>63</v>
      </c>
      <c r="I11" s="10" t="s">
        <v>64</v>
      </c>
      <c r="J11" s="10" t="s">
        <v>62</v>
      </c>
    </row>
    <row r="12" customFormat="false" ht="15" hidden="false" customHeight="false" outlineLevel="0" collapsed="false">
      <c r="B12" s="16" t="s">
        <v>65</v>
      </c>
      <c r="C12" s="23" t="n">
        <f aca="false">SUMIFS(Veri!$E$5:$E$2004,Veri!$A$5:$A$2004,"&gt;="&amp;DATE($C$3,1,1),Veri!$A$5:$A$2004,"&lt;"&amp;DATE($C$3,2,1))</f>
        <v>0</v>
      </c>
      <c r="D12" s="24" t="n">
        <f aca="false">SUMIFS(Veri!$D$5:$D$2004,Veri!$A$5:$A$2004,"&gt;="&amp;DATE($C$3,1,1),Veri!$A$5:$A$2004,"&lt;"&amp;DATE($C$3,2,1))</f>
        <v>0</v>
      </c>
      <c r="E12" s="24" t="n">
        <f aca="false">COUNTIFS(Veri!$A$5:$A$2004,"&gt;="&amp;DATE($C$3,1,1),Veri!$A$5:$A$2004,"&lt;"&amp;DATE($C$3,2,1))</f>
        <v>0</v>
      </c>
      <c r="F12" s="25" t="str">
        <f aca="false">""</f>
        <v/>
      </c>
      <c r="I12" s="16" t="s">
        <v>66</v>
      </c>
      <c r="J12" s="23" t="n">
        <f aca="false">SUMPRODUCT((WEEKDAY(Veri!$A$5:$A$2004,2)=1)*(Veri!$A$5:$A$2004&gt;0)*Veri!$E$5:$E$2004)</f>
        <v>10260</v>
      </c>
    </row>
    <row r="13" customFormat="false" ht="15" hidden="false" customHeight="false" outlineLevel="0" collapsed="false">
      <c r="B13" s="26" t="s">
        <v>67</v>
      </c>
      <c r="C13" s="27" t="n">
        <f aca="false">SUMIFS(Veri!$E$5:$E$2004,Veri!$A$5:$A$2004,"&gt;="&amp;DATE($C$3,2,1),Veri!$A$5:$A$2004,"&lt;"&amp;DATE($C$3,3,1))</f>
        <v>0</v>
      </c>
      <c r="D13" s="28" t="n">
        <f aca="false">SUMIFS(Veri!$D$5:$D$2004,Veri!$A$5:$A$2004,"&gt;="&amp;DATE($C$3,2,1),Veri!$A$5:$A$2004,"&lt;"&amp;DATE($C$3,3,1))</f>
        <v>0</v>
      </c>
      <c r="E13" s="28" t="n">
        <f aca="false">COUNTIFS(Veri!$A$5:$A$2004,"&gt;="&amp;DATE($C$3,2,1),Veri!$A$5:$A$2004,"&lt;"&amp;DATE($C$3,3,1))</f>
        <v>0</v>
      </c>
      <c r="F13" s="29" t="str">
        <f aca="false">IF(C12=0,"",C13/C12-1)</f>
        <v/>
      </c>
      <c r="I13" s="26" t="s">
        <v>68</v>
      </c>
      <c r="J13" s="27" t="n">
        <f aca="false">SUMPRODUCT((WEEKDAY(Veri!$A$5:$A$2004,2)=2)*(Veri!$A$5:$A$2004&gt;0)*Veri!$E$5:$E$2004)</f>
        <v>7750</v>
      </c>
    </row>
    <row r="14" customFormat="false" ht="15" hidden="false" customHeight="false" outlineLevel="0" collapsed="false">
      <c r="B14" s="16" t="s">
        <v>69</v>
      </c>
      <c r="C14" s="23" t="n">
        <f aca="false">SUMIFS(Veri!$E$5:$E$2004,Veri!$A$5:$A$2004,"&gt;="&amp;DATE($C$3,3,1),Veri!$A$5:$A$2004,"&lt;"&amp;DATE($C$3,4,1))</f>
        <v>0</v>
      </c>
      <c r="D14" s="24" t="n">
        <f aca="false">SUMIFS(Veri!$D$5:$D$2004,Veri!$A$5:$A$2004,"&gt;="&amp;DATE($C$3,3,1),Veri!$A$5:$A$2004,"&lt;"&amp;DATE($C$3,4,1))</f>
        <v>0</v>
      </c>
      <c r="E14" s="24" t="n">
        <f aca="false">COUNTIFS(Veri!$A$5:$A$2004,"&gt;="&amp;DATE($C$3,3,1),Veri!$A$5:$A$2004,"&lt;"&amp;DATE($C$3,4,1))</f>
        <v>0</v>
      </c>
      <c r="F14" s="25" t="str">
        <f aca="false">IF(C13=0,"",C14/C13-1)</f>
        <v/>
      </c>
      <c r="I14" s="16" t="s">
        <v>70</v>
      </c>
      <c r="J14" s="23" t="n">
        <f aca="false">SUMPRODUCT((WEEKDAY(Veri!$A$5:$A$2004,2)=3)*(Veri!$A$5:$A$2004&gt;0)*Veri!$E$5:$E$2004)</f>
        <v>13045</v>
      </c>
    </row>
    <row r="15" customFormat="false" ht="15" hidden="false" customHeight="false" outlineLevel="0" collapsed="false">
      <c r="B15" s="26" t="s">
        <v>71</v>
      </c>
      <c r="C15" s="27" t="n">
        <f aca="false">SUMIFS(Veri!$E$5:$E$2004,Veri!$A$5:$A$2004,"&gt;="&amp;DATE($C$3,4,1),Veri!$A$5:$A$2004,"&lt;"&amp;DATE($C$3,5,1))</f>
        <v>0</v>
      </c>
      <c r="D15" s="28" t="n">
        <f aca="false">SUMIFS(Veri!$D$5:$D$2004,Veri!$A$5:$A$2004,"&gt;="&amp;DATE($C$3,4,1),Veri!$A$5:$A$2004,"&lt;"&amp;DATE($C$3,5,1))</f>
        <v>0</v>
      </c>
      <c r="E15" s="28" t="n">
        <f aca="false">COUNTIFS(Veri!$A$5:$A$2004,"&gt;="&amp;DATE($C$3,4,1),Veri!$A$5:$A$2004,"&lt;"&amp;DATE($C$3,5,1))</f>
        <v>0</v>
      </c>
      <c r="F15" s="29" t="str">
        <f aca="false">IF(C14=0,"",C15/C14-1)</f>
        <v/>
      </c>
      <c r="I15" s="26" t="s">
        <v>72</v>
      </c>
      <c r="J15" s="27" t="n">
        <f aca="false">SUMPRODUCT((WEEKDAY(Veri!$A$5:$A$2004,2)=4)*(Veri!$A$5:$A$2004&gt;0)*Veri!$E$5:$E$2004)</f>
        <v>6915</v>
      </c>
    </row>
    <row r="16" customFormat="false" ht="15" hidden="false" customHeight="false" outlineLevel="0" collapsed="false">
      <c r="B16" s="16" t="s">
        <v>73</v>
      </c>
      <c r="C16" s="23" t="n">
        <f aca="false">SUMIFS(Veri!$E$5:$E$2004,Veri!$A$5:$A$2004,"&gt;="&amp;DATE($C$3,5,1),Veri!$A$5:$A$2004,"&lt;"&amp;DATE($C$3,6,1))</f>
        <v>0</v>
      </c>
      <c r="D16" s="24" t="n">
        <f aca="false">SUMIFS(Veri!$D$5:$D$2004,Veri!$A$5:$A$2004,"&gt;="&amp;DATE($C$3,5,1),Veri!$A$5:$A$2004,"&lt;"&amp;DATE($C$3,6,1))</f>
        <v>0</v>
      </c>
      <c r="E16" s="24" t="n">
        <f aca="false">COUNTIFS(Veri!$A$5:$A$2004,"&gt;="&amp;DATE($C$3,5,1),Veri!$A$5:$A$2004,"&lt;"&amp;DATE($C$3,6,1))</f>
        <v>0</v>
      </c>
      <c r="F16" s="25" t="str">
        <f aca="false">IF(C15=0,"",C16/C15-1)</f>
        <v/>
      </c>
      <c r="I16" s="16" t="s">
        <v>74</v>
      </c>
      <c r="J16" s="23" t="n">
        <f aca="false">SUMPRODUCT((WEEKDAY(Veri!$A$5:$A$2004,2)=5)*(Veri!$A$5:$A$2004&gt;0)*Veri!$E$5:$E$2004)</f>
        <v>38375</v>
      </c>
    </row>
    <row r="17" customFormat="false" ht="15" hidden="false" customHeight="false" outlineLevel="0" collapsed="false">
      <c r="B17" s="26" t="s">
        <v>75</v>
      </c>
      <c r="C17" s="27" t="n">
        <f aca="false">SUMIFS(Veri!$E$5:$E$2004,Veri!$A$5:$A$2004,"&gt;="&amp;DATE($C$3,6,1),Veri!$A$5:$A$2004,"&lt;"&amp;DATE($C$3,7,1))</f>
        <v>0</v>
      </c>
      <c r="D17" s="28" t="n">
        <f aca="false">SUMIFS(Veri!$D$5:$D$2004,Veri!$A$5:$A$2004,"&gt;="&amp;DATE($C$3,6,1),Veri!$A$5:$A$2004,"&lt;"&amp;DATE($C$3,7,1))</f>
        <v>0</v>
      </c>
      <c r="E17" s="28" t="n">
        <f aca="false">COUNTIFS(Veri!$A$5:$A$2004,"&gt;="&amp;DATE($C$3,6,1),Veri!$A$5:$A$2004,"&lt;"&amp;DATE($C$3,7,1))</f>
        <v>0</v>
      </c>
      <c r="F17" s="29" t="str">
        <f aca="false">IF(C16=0,"",C17/C16-1)</f>
        <v/>
      </c>
      <c r="I17" s="26" t="s">
        <v>76</v>
      </c>
      <c r="J17" s="27" t="n">
        <f aca="false">SUMPRODUCT((WEEKDAY(Veri!$A$5:$A$2004,2)=6)*(Veri!$A$5:$A$2004&gt;0)*Veri!$E$5:$E$2004)</f>
        <v>19595</v>
      </c>
    </row>
    <row r="18" customFormat="false" ht="15" hidden="false" customHeight="false" outlineLevel="0" collapsed="false">
      <c r="B18" s="16" t="s">
        <v>77</v>
      </c>
      <c r="C18" s="23" t="n">
        <f aca="false">SUMIFS(Veri!$E$5:$E$2004,Veri!$A$5:$A$2004,"&gt;="&amp;DATE($C$3,7,1),Veri!$A$5:$A$2004,"&lt;"&amp;DATE($C$3,8,1))</f>
        <v>53340</v>
      </c>
      <c r="D18" s="24" t="n">
        <f aca="false">SUMIFS(Veri!$D$5:$D$2004,Veri!$A$5:$A$2004,"&gt;="&amp;DATE($C$3,7,1),Veri!$A$5:$A$2004,"&lt;"&amp;DATE($C$3,8,1))</f>
        <v>337</v>
      </c>
      <c r="E18" s="24" t="n">
        <f aca="false">COUNTIFS(Veri!$A$5:$A$2004,"&gt;="&amp;DATE($C$3,7,1),Veri!$A$5:$A$2004,"&lt;"&amp;DATE($C$3,8,1))</f>
        <v>34</v>
      </c>
      <c r="F18" s="25" t="str">
        <f aca="false">IF(C17=0,"",C18/C17-1)</f>
        <v/>
      </c>
      <c r="I18" s="16" t="s">
        <v>78</v>
      </c>
      <c r="J18" s="23" t="n">
        <f aca="false">SUMPRODUCT((WEEKDAY(Veri!$A$5:$A$2004,2)=7)*(Veri!$A$5:$A$2004&gt;0)*Veri!$E$5:$E$2004)</f>
        <v>19770</v>
      </c>
    </row>
    <row r="19" customFormat="false" ht="15" hidden="false" customHeight="false" outlineLevel="0" collapsed="false">
      <c r="B19" s="26" t="s">
        <v>79</v>
      </c>
      <c r="C19" s="27" t="n">
        <f aca="false">SUMIFS(Veri!$E$5:$E$2004,Veri!$A$5:$A$2004,"&gt;="&amp;DATE($C$3,8,1),Veri!$A$5:$A$2004,"&lt;"&amp;DATE($C$3,9,1))</f>
        <v>27740</v>
      </c>
      <c r="D19" s="28" t="n">
        <f aca="false">SUMIFS(Veri!$D$5:$D$2004,Veri!$A$5:$A$2004,"&gt;="&amp;DATE($C$3,8,1),Veri!$A$5:$A$2004,"&lt;"&amp;DATE($C$3,9,1))</f>
        <v>335</v>
      </c>
      <c r="E19" s="28" t="n">
        <f aca="false">COUNTIFS(Veri!$A$5:$A$2004,"&gt;="&amp;DATE($C$3,8,1),Veri!$A$5:$A$2004,"&lt;"&amp;DATE($C$3,9,1))</f>
        <v>25</v>
      </c>
      <c r="F19" s="29" t="n">
        <f aca="false">IF(C18=0,"",C19/C18-1)</f>
        <v>-0.479940007499063</v>
      </c>
    </row>
    <row r="20" customFormat="false" ht="15" hidden="false" customHeight="false" outlineLevel="0" collapsed="false">
      <c r="B20" s="16" t="s">
        <v>80</v>
      </c>
      <c r="C20" s="23" t="n">
        <f aca="false">SUMIFS(Veri!$E$5:$E$2004,Veri!$A$5:$A$2004,"&gt;="&amp;DATE($C$3,9,1),Veri!$A$5:$A$2004,"&lt;"&amp;DATE($C$3,10,1))</f>
        <v>26080</v>
      </c>
      <c r="D20" s="24" t="n">
        <f aca="false">SUMIFS(Veri!$D$5:$D$2004,Veri!$A$5:$A$2004,"&gt;="&amp;DATE($C$3,9,1),Veri!$A$5:$A$2004,"&lt;"&amp;DATE($C$3,10,1))</f>
        <v>190</v>
      </c>
      <c r="E20" s="24" t="n">
        <f aca="false">COUNTIFS(Veri!$A$5:$A$2004,"&gt;="&amp;DATE($C$3,9,1),Veri!$A$5:$A$2004,"&lt;"&amp;DATE($C$3,10,1))</f>
        <v>18</v>
      </c>
      <c r="F20" s="25" t="n">
        <f aca="false">IF(C19=0,"",C20/C19-1)</f>
        <v>-0.0598413842826244</v>
      </c>
    </row>
    <row r="21" customFormat="false" ht="15" hidden="false" customHeight="false" outlineLevel="0" collapsed="false">
      <c r="B21" s="26" t="s">
        <v>81</v>
      </c>
      <c r="C21" s="27" t="n">
        <f aca="false">SUMIFS(Veri!$E$5:$E$2004,Veri!$A$5:$A$2004,"&gt;="&amp;DATE($C$3,10,1),Veri!$A$5:$A$2004,"&lt;"&amp;DATE($C$3,11,1))</f>
        <v>8550</v>
      </c>
      <c r="D21" s="28" t="n">
        <f aca="false">SUMIFS(Veri!$D$5:$D$2004,Veri!$A$5:$A$2004,"&gt;="&amp;DATE($C$3,10,1),Veri!$A$5:$A$2004,"&lt;"&amp;DATE($C$3,11,1))</f>
        <v>65</v>
      </c>
      <c r="E21" s="28" t="n">
        <f aca="false">COUNTIFS(Veri!$A$5:$A$2004,"&gt;="&amp;DATE($C$3,10,1),Veri!$A$5:$A$2004,"&lt;"&amp;DATE($C$3,11,1))</f>
        <v>3</v>
      </c>
      <c r="F21" s="29" t="n">
        <f aca="false">IF(C20=0,"",C21/C20-1)</f>
        <v>-0.672162576687117</v>
      </c>
    </row>
    <row r="22" customFormat="false" ht="15" hidden="false" customHeight="false" outlineLevel="0" collapsed="false">
      <c r="B22" s="16" t="s">
        <v>82</v>
      </c>
      <c r="C22" s="23" t="n">
        <f aca="false">SUMIFS(Veri!$E$5:$E$2004,Veri!$A$5:$A$2004,"&gt;="&amp;DATE($C$3,11,1),Veri!$A$5:$A$2004,"&lt;"&amp;DATE($C$3,12,1))</f>
        <v>0</v>
      </c>
      <c r="D22" s="24" t="n">
        <f aca="false">SUMIFS(Veri!$D$5:$D$2004,Veri!$A$5:$A$2004,"&gt;="&amp;DATE($C$3,11,1),Veri!$A$5:$A$2004,"&lt;"&amp;DATE($C$3,12,1))</f>
        <v>0</v>
      </c>
      <c r="E22" s="24" t="n">
        <f aca="false">COUNTIFS(Veri!$A$5:$A$2004,"&gt;="&amp;DATE($C$3,11,1),Veri!$A$5:$A$2004,"&lt;"&amp;DATE($C$3,12,1))</f>
        <v>0</v>
      </c>
      <c r="F22" s="25" t="n">
        <f aca="false">IF(C21=0,"",C22/C21-1)</f>
        <v>-1</v>
      </c>
    </row>
    <row r="23" customFormat="false" ht="15" hidden="false" customHeight="false" outlineLevel="0" collapsed="false">
      <c r="B23" s="26" t="s">
        <v>83</v>
      </c>
      <c r="C23" s="27" t="n">
        <f aca="false">SUMIFS(Veri!$E$5:$E$2004,Veri!$A$5:$A$2004,"&gt;="&amp;DATE($C$3,12,1),Veri!$A$5:$A$2004,"&lt;"&amp;DATE($C$3,13,1))</f>
        <v>0</v>
      </c>
      <c r="D23" s="28" t="n">
        <f aca="false">SUMIFS(Veri!$D$5:$D$2004,Veri!$A$5:$A$2004,"&gt;="&amp;DATE($C$3,12,1),Veri!$A$5:$A$2004,"&lt;"&amp;DATE($C$3,13,1))</f>
        <v>0</v>
      </c>
      <c r="E23" s="28" t="n">
        <f aca="false">COUNTIFS(Veri!$A$5:$A$2004,"&gt;="&amp;DATE($C$3,12,1),Veri!$A$5:$A$2004,"&lt;"&amp;DATE($C$3,13,1))</f>
        <v>0</v>
      </c>
      <c r="F23" s="29" t="str">
        <f aca="false">IF(C22=0,"",C23/C22-1)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true" outlineLevel="0" max="14" min="11" style="0" width="4"/>
  </cols>
  <sheetData>
    <row r="1" customFormat="false" ht="19.7" hidden="false" customHeight="false" outlineLevel="0" collapsed="false">
      <c r="A1" s="8" t="s">
        <v>84</v>
      </c>
    </row>
    <row r="2" customFormat="false" ht="15" hidden="false" customHeight="false" outlineLevel="0" collapsed="false">
      <c r="A2" s="9" t="s">
        <v>85</v>
      </c>
    </row>
    <row r="4" customFormat="false" ht="30" hidden="false" customHeight="true" outlineLevel="0" collapsed="false">
      <c r="A4" s="11" t="s">
        <v>86</v>
      </c>
      <c r="B4" s="11" t="s">
        <v>30</v>
      </c>
      <c r="C4" s="11" t="s">
        <v>31</v>
      </c>
      <c r="D4" s="11" t="s">
        <v>62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/>
      <c r="K4" s="11" t="s">
        <v>92</v>
      </c>
      <c r="L4" s="11" t="s">
        <v>92</v>
      </c>
      <c r="M4" s="11" t="s">
        <v>92</v>
      </c>
      <c r="N4" s="11" t="s">
        <v>92</v>
      </c>
    </row>
    <row r="5" customFormat="false" ht="15" hidden="false" customHeight="false" outlineLevel="0" collapsed="false">
      <c r="A5" s="30" t="n">
        <f aca="false">IF(B5="","",1)</f>
        <v>1</v>
      </c>
      <c r="B5" s="16" t="str">
        <f aca="false">IFERROR(INDEX($K$5:$K$204,MATCH(LARGE($M$5:$M$204,1),$M$5:$M$204,0)),"")</f>
        <v>Fotokopi kâğıdı</v>
      </c>
      <c r="C5" s="24" t="n">
        <f aca="false">IF(B5="","",SUMIFS(Veri!$D$5:$D$2004,Veri!$C$5:$C$2004,B5))</f>
        <v>240</v>
      </c>
      <c r="D5" s="23" t="n">
        <f aca="false">IF(B5="","",SUMIFS(Veri!$E$5:$E$2004,Veri!$C$5:$C$2004,B5))</f>
        <v>45600</v>
      </c>
      <c r="E5" s="31" t="n">
        <f aca="false">IF(B5="","",IF(SUM(Veri!$E$5:$E$2004)=0,0,D5/SUM(Veri!$E$5:$E$2004)))</f>
        <v>0.394088669950739</v>
      </c>
      <c r="F5" s="31" t="n">
        <f aca="false">IF(B5="","",SUM(E$5:E5))</f>
        <v>0.394088669950739</v>
      </c>
      <c r="G5" s="32" t="str">
        <f aca="false">IF(B5="","","A")</f>
        <v>A</v>
      </c>
      <c r="H5" s="23" t="n">
        <f aca="false">IF(OR(B5="",C5=0),"",D5/C5)</f>
        <v>190</v>
      </c>
      <c r="I5" s="33" t="n">
        <f aca="false">IF(B5="","",SUMPRODUCT(MAX((Veri!$C$5:$C$2004=B5)*Veri!$A$5:$A$2004)))</f>
        <v>46298</v>
      </c>
      <c r="J5" s="16"/>
      <c r="K5" s="16" t="str">
        <f aca="false">IF(1&gt;MAX(Veri!$G$5:$G$2004),"",INDEX(Veri!$C$5:$C$2004,MATCH(1,Veri!$G$5:$G$2004,0)))</f>
        <v>Defter A4</v>
      </c>
      <c r="L5" s="16" t="n">
        <f aca="false">IF(K5="","",SUMIFS(Veri!$E$5:$E$2004,Veri!$C$5:$C$2004,K5))</f>
        <v>9660</v>
      </c>
      <c r="M5" s="16" t="n">
        <f aca="false">IF(K5="","",L5+ROW()/1000000000)</f>
        <v>9660.000000005</v>
      </c>
      <c r="N5" s="16"/>
    </row>
    <row r="6" customFormat="false" ht="15" hidden="false" customHeight="false" outlineLevel="0" collapsed="false">
      <c r="A6" s="34" t="n">
        <f aca="false">IF(B6="","",2)</f>
        <v>2</v>
      </c>
      <c r="B6" s="26" t="str">
        <f aca="false">IFERROR(INDEX($K$5:$K$204,MATCH(LARGE($M$5:$M$204,2),$M$5:$M$204,0)),"")</f>
        <v>Boya kalemi seti</v>
      </c>
      <c r="C6" s="28" t="n">
        <f aca="false">IF(B6="","",SUMIFS(Veri!$D$5:$D$2004,Veri!$C$5:$C$2004,B6))</f>
        <v>149</v>
      </c>
      <c r="D6" s="27" t="n">
        <f aca="false">IF(B6="","",SUMIFS(Veri!$E$5:$E$2004,Veri!$C$5:$C$2004,B6))</f>
        <v>22350</v>
      </c>
      <c r="E6" s="35" t="n">
        <f aca="false">IF(B6="","",IF(SUM(Veri!$E$5:$E$2004)=0,0,D6/SUM(Veri!$E$5:$E$2004)))</f>
        <v>0.193155302048224</v>
      </c>
      <c r="F6" s="35" t="n">
        <f aca="false">IF(B6="","",SUM(E$5:E6))</f>
        <v>0.587243971998963</v>
      </c>
      <c r="G6" s="36" t="str">
        <f aca="false">IF(B6="","",IF(F5&lt;0.8,"A",IF(F5&lt;0.95,"B","C")))</f>
        <v>A</v>
      </c>
      <c r="H6" s="27" t="n">
        <f aca="false">IF(OR(B6="",C6=0),"",D6/C6)</f>
        <v>150</v>
      </c>
      <c r="I6" s="37" t="n">
        <f aca="false">IF(B6="","",SUMPRODUCT(MAX((Veri!$C$5:$C$2004=B6)*Veri!$A$5:$A$2004)))</f>
        <v>46295</v>
      </c>
      <c r="J6" s="26"/>
      <c r="K6" s="26" t="str">
        <f aca="false">IF(2&gt;MAX(Veri!$G$5:$G$2004),"",INDEX(Veri!$C$5:$C$2004,MATCH(2,Veri!$G$5:$G$2004,0)))</f>
        <v>Klasör</v>
      </c>
      <c r="L6" s="26" t="n">
        <f aca="false">IF(K6="","",SUMIFS(Veri!$E$5:$E$2004,Veri!$C$5:$C$2004,K6))</f>
        <v>11325</v>
      </c>
      <c r="M6" s="26" t="n">
        <f aca="false">IF(K6="","",L6+ROW()/1000000000)</f>
        <v>11325.000000006</v>
      </c>
      <c r="N6" s="26"/>
    </row>
    <row r="7" customFormat="false" ht="15" hidden="false" customHeight="false" outlineLevel="0" collapsed="false">
      <c r="A7" s="30" t="n">
        <f aca="false">IF(B7="","",3)</f>
        <v>3</v>
      </c>
      <c r="B7" s="16" t="str">
        <f aca="false">IFERROR(INDEX($K$5:$K$204,MATCH(LARGE($M$5:$M$204,3),$M$5:$M$204,0)),"")</f>
        <v>Hesap makinesi</v>
      </c>
      <c r="C7" s="24" t="n">
        <f aca="false">IF(B7="","",SUMIFS(Veri!$D$5:$D$2004,Veri!$C$5:$C$2004,B7))</f>
        <v>62</v>
      </c>
      <c r="D7" s="23" t="n">
        <f aca="false">IF(B7="","",SUMIFS(Veri!$E$5:$E$2004,Veri!$C$5:$C$2004,B7))</f>
        <v>21700</v>
      </c>
      <c r="E7" s="31" t="n">
        <f aca="false">IF(B7="","",IF(SUM(Veri!$E$5:$E$2004)=0,0,D7/SUM(Veri!$E$5:$E$2004)))</f>
        <v>0.187537810042347</v>
      </c>
      <c r="F7" s="31" t="n">
        <f aca="false">IF(B7="","",SUM(E$5:E7))</f>
        <v>0.77478178204131</v>
      </c>
      <c r="G7" s="32" t="str">
        <f aca="false">IF(B7="","",IF(F6&lt;0.8,"A",IF(F6&lt;0.95,"B","C")))</f>
        <v>A</v>
      </c>
      <c r="H7" s="23" t="n">
        <f aca="false">IF(OR(B7="",C7=0),"",D7/C7)</f>
        <v>350</v>
      </c>
      <c r="I7" s="33" t="n">
        <f aca="false">IF(B7="","",SUMPRODUCT(MAX((Veri!$C$5:$C$2004=B7)*Veri!$A$5:$A$2004)))</f>
        <v>46297</v>
      </c>
      <c r="J7" s="16"/>
      <c r="K7" s="16" t="str">
        <f aca="false">IF(3&gt;MAX(Veri!$G$5:$G$2004),"",INDEX(Veri!$C$5:$C$2004,MATCH(3,Veri!$G$5:$G$2004,0)))</f>
        <v>Hesap makinesi</v>
      </c>
      <c r="L7" s="16" t="n">
        <f aca="false">IF(K7="","",SUMIFS(Veri!$E$5:$E$2004,Veri!$C$5:$C$2004,K7))</f>
        <v>21700</v>
      </c>
      <c r="M7" s="16" t="n">
        <f aca="false">IF(K7="","",L7+ROW()/1000000000)</f>
        <v>21700.000000007</v>
      </c>
      <c r="N7" s="16"/>
    </row>
    <row r="8" customFormat="false" ht="15" hidden="false" customHeight="false" outlineLevel="0" collapsed="false">
      <c r="A8" s="34" t="n">
        <f aca="false">IF(B8="","",4)</f>
        <v>4</v>
      </c>
      <c r="B8" s="26" t="str">
        <f aca="false">IFERROR(INDEX($K$5:$K$204,MATCH(LARGE($M$5:$M$204,4),$M$5:$M$204,0)),"")</f>
        <v>Klasör</v>
      </c>
      <c r="C8" s="28" t="n">
        <f aca="false">IF(B8="","",SUMIFS(Veri!$D$5:$D$2004,Veri!$C$5:$C$2004,B8))</f>
        <v>151</v>
      </c>
      <c r="D8" s="27" t="n">
        <f aca="false">IF(B8="","",SUMIFS(Veri!$E$5:$E$2004,Veri!$C$5:$C$2004,B8))</f>
        <v>11325</v>
      </c>
      <c r="E8" s="35" t="n">
        <f aca="false">IF(B8="","",IF(SUM(Veri!$E$5:$E$2004)=0,0,D8/SUM(Veri!$E$5:$E$2004)))</f>
        <v>0.0978739953331605</v>
      </c>
      <c r="F8" s="35" t="n">
        <f aca="false">IF(B8="","",SUM(E$5:E8))</f>
        <v>0.872655777374471</v>
      </c>
      <c r="G8" s="36" t="str">
        <f aca="false">IF(B8="","",IF(F7&lt;0.8,"A",IF(F7&lt;0.95,"B","C")))</f>
        <v>A</v>
      </c>
      <c r="H8" s="27" t="n">
        <f aca="false">IF(OR(B8="",C8=0),"",D8/C8)</f>
        <v>75</v>
      </c>
      <c r="I8" s="37" t="n">
        <f aca="false">IF(B8="","",SUMPRODUCT(MAX((Veri!$C$5:$C$2004=B8)*Veri!$A$5:$A$2004)))</f>
        <v>46282</v>
      </c>
      <c r="J8" s="26"/>
      <c r="K8" s="26" t="str">
        <f aca="false">IF(4&gt;MAX(Veri!$G$5:$G$2004),"",INDEX(Veri!$C$5:$C$2004,MATCH(4,Veri!$G$5:$G$2004,0)))</f>
        <v>Fotokopi kâğıdı</v>
      </c>
      <c r="L8" s="26" t="n">
        <f aca="false">IF(K8="","",SUMIFS(Veri!$E$5:$E$2004,Veri!$C$5:$C$2004,K8))</f>
        <v>45600</v>
      </c>
      <c r="M8" s="26" t="n">
        <f aca="false">IF(K8="","",L8+ROW()/1000000000)</f>
        <v>45600.000000008</v>
      </c>
      <c r="N8" s="26"/>
    </row>
    <row r="9" customFormat="false" ht="15" hidden="false" customHeight="false" outlineLevel="0" collapsed="false">
      <c r="A9" s="30" t="n">
        <f aca="false">IF(B9="","",5)</f>
        <v>5</v>
      </c>
      <c r="B9" s="16" t="str">
        <f aca="false">IFERROR(INDEX($K$5:$K$204,MATCH(LARGE($M$5:$M$204,5),$M$5:$M$204,0)),"")</f>
        <v>Defter A4</v>
      </c>
      <c r="C9" s="24" t="n">
        <f aca="false">IF(B9="","",SUMIFS(Veri!$D$5:$D$2004,Veri!$C$5:$C$2004,B9))</f>
        <v>161</v>
      </c>
      <c r="D9" s="23" t="n">
        <f aca="false">IF(B9="","",SUMIFS(Veri!$E$5:$E$2004,Veri!$C$5:$C$2004,B9))</f>
        <v>9660</v>
      </c>
      <c r="E9" s="31" t="n">
        <f aca="false">IF(B9="","",IF(SUM(Veri!$E$5:$E$2004)=0,0,D9/SUM(Veri!$E$5:$E$2004)))</f>
        <v>0.0834845735027223</v>
      </c>
      <c r="F9" s="31" t="n">
        <f aca="false">IF(B9="","",SUM(E$5:E9))</f>
        <v>0.956140350877193</v>
      </c>
      <c r="G9" s="32" t="str">
        <f aca="false">IF(B9="","",IF(F8&lt;0.8,"A",IF(F8&lt;0.95,"B","C")))</f>
        <v>B</v>
      </c>
      <c r="H9" s="23" t="n">
        <f aca="false">IF(OR(B9="",C9=0),"",D9/C9)</f>
        <v>60</v>
      </c>
      <c r="I9" s="33" t="n">
        <f aca="false">IF(B9="","",SUMPRODUCT(MAX((Veri!$C$5:$C$2004=B9)*Veri!$A$5:$A$2004)))</f>
        <v>46294</v>
      </c>
      <c r="J9" s="16"/>
      <c r="K9" s="16" t="str">
        <f aca="false">IF(5&gt;MAX(Veri!$G$5:$G$2004),"",INDEX(Veri!$C$5:$C$2004,MATCH(5,Veri!$G$5:$G$2004,0)))</f>
        <v>Tükenmez kalem</v>
      </c>
      <c r="L9" s="16" t="n">
        <f aca="false">IF(K9="","",SUMIFS(Veri!$E$5:$E$2004,Veri!$C$5:$C$2004,K9))</f>
        <v>2055</v>
      </c>
      <c r="M9" s="16" t="n">
        <f aca="false">IF(K9="","",L9+ROW()/1000000000)</f>
        <v>2055.000000009</v>
      </c>
      <c r="N9" s="16"/>
    </row>
    <row r="10" customFormat="false" ht="15" hidden="false" customHeight="false" outlineLevel="0" collapsed="false">
      <c r="A10" s="34" t="n">
        <f aca="false">IF(B10="","",6)</f>
        <v>6</v>
      </c>
      <c r="B10" s="26" t="str">
        <f aca="false">IFERROR(INDEX($K$5:$K$204,MATCH(LARGE($M$5:$M$204,6),$M$5:$M$204,0)),"")</f>
        <v>Zımba</v>
      </c>
      <c r="C10" s="28" t="n">
        <f aca="false">IF(B10="","",SUMIFS(Veri!$D$5:$D$2004,Veri!$C$5:$C$2004,B10))</f>
        <v>25</v>
      </c>
      <c r="D10" s="27" t="n">
        <f aca="false">IF(B10="","",SUMIFS(Veri!$E$5:$E$2004,Veri!$C$5:$C$2004,B10))</f>
        <v>3000</v>
      </c>
      <c r="E10" s="35" t="n">
        <f aca="false">IF(B10="","",IF(SUM(Veri!$E$5:$E$2004)=0,0,D10/SUM(Veri!$E$5:$E$2004)))</f>
        <v>0.0259268861809697</v>
      </c>
      <c r="F10" s="35" t="n">
        <f aca="false">IF(B10="","",SUM(E$5:E10))</f>
        <v>0.982067237058163</v>
      </c>
      <c r="G10" s="36" t="str">
        <f aca="false">IF(B10="","",IF(F9&lt;0.8,"A",IF(F9&lt;0.95,"B","C")))</f>
        <v>C</v>
      </c>
      <c r="H10" s="27" t="n">
        <f aca="false">IF(OR(B10="",C10=0),"",D10/C10)</f>
        <v>120</v>
      </c>
      <c r="I10" s="37" t="n">
        <f aca="false">IF(B10="","",SUMPRODUCT(MAX((Veri!$C$5:$C$2004=B10)*Veri!$A$5:$A$2004)))</f>
        <v>46280</v>
      </c>
      <c r="J10" s="26"/>
      <c r="K10" s="26" t="str">
        <f aca="false">IF(6&gt;MAX(Veri!$G$5:$G$2004),"",INDEX(Veri!$C$5:$C$2004,MATCH(6,Veri!$G$5:$G$2004,0)))</f>
        <v>Boya kalemi seti</v>
      </c>
      <c r="L10" s="26" t="n">
        <f aca="false">IF(K10="","",SUMIFS(Veri!$E$5:$E$2004,Veri!$C$5:$C$2004,K10))</f>
        <v>22350</v>
      </c>
      <c r="M10" s="26" t="n">
        <f aca="false">IF(K10="","",L10+ROW()/1000000000)</f>
        <v>22350.00000001</v>
      </c>
      <c r="N10" s="26"/>
    </row>
    <row r="11" customFormat="false" ht="15" hidden="false" customHeight="false" outlineLevel="0" collapsed="false">
      <c r="A11" s="30" t="n">
        <f aca="false">IF(B11="","",7)</f>
        <v>7</v>
      </c>
      <c r="B11" s="16" t="str">
        <f aca="false">IFERROR(INDEX($K$5:$K$204,MATCH(LARGE($M$5:$M$204,7),$M$5:$M$204,0)),"")</f>
        <v>Tükenmez kalem</v>
      </c>
      <c r="C11" s="24" t="n">
        <f aca="false">IF(B11="","",SUMIFS(Veri!$D$5:$D$2004,Veri!$C$5:$C$2004,B11))</f>
        <v>137</v>
      </c>
      <c r="D11" s="23" t="n">
        <f aca="false">IF(B11="","",SUMIFS(Veri!$E$5:$E$2004,Veri!$C$5:$C$2004,B11))</f>
        <v>2055</v>
      </c>
      <c r="E11" s="31" t="n">
        <f aca="false">IF(B11="","",IF(SUM(Veri!$E$5:$E$2004)=0,0,D11/SUM(Veri!$E$5:$E$2004)))</f>
        <v>0.0177599170339642</v>
      </c>
      <c r="F11" s="31" t="n">
        <f aca="false">IF(B11="","",SUM(E$5:E11))</f>
        <v>0.999827154092127</v>
      </c>
      <c r="G11" s="32" t="str">
        <f aca="false">IF(B11="","",IF(F10&lt;0.8,"A",IF(F10&lt;0.95,"B","C")))</f>
        <v>C</v>
      </c>
      <c r="H11" s="23" t="n">
        <f aca="false">IF(OR(B11="",C11=0),"",D11/C11)</f>
        <v>15</v>
      </c>
      <c r="I11" s="33" t="n">
        <f aca="false">IF(B11="","",SUMPRODUCT(MAX((Veri!$C$5:$C$2004=B11)*Veri!$A$5:$A$2004)))</f>
        <v>46298</v>
      </c>
      <c r="J11" s="16"/>
      <c r="K11" s="16" t="str">
        <f aca="false">IF(7&gt;MAX(Veri!$G$5:$G$2004),"",INDEX(Veri!$C$5:$C$2004,MATCH(7,Veri!$G$5:$G$2004,0)))</f>
        <v>Silgi</v>
      </c>
      <c r="L11" s="16" t="n">
        <f aca="false">IF(K11="","",SUMIFS(Veri!$E$5:$E$2004,Veri!$C$5:$C$2004,K11))</f>
        <v>20</v>
      </c>
      <c r="M11" s="16" t="n">
        <f aca="false">IF(K11="","",L11+ROW()/1000000000)</f>
        <v>20.000000011</v>
      </c>
      <c r="N11" s="16"/>
    </row>
    <row r="12" customFormat="false" ht="15" hidden="false" customHeight="false" outlineLevel="0" collapsed="false">
      <c r="A12" s="34" t="n">
        <f aca="false">IF(B12="","",8)</f>
        <v>8</v>
      </c>
      <c r="B12" s="26" t="str">
        <f aca="false">IFERROR(INDEX($K$5:$K$204,MATCH(LARGE($M$5:$M$204,8),$M$5:$M$204,0)),"")</f>
        <v>Silgi</v>
      </c>
      <c r="C12" s="28" t="n">
        <f aca="false">IF(B12="","",SUMIFS(Veri!$D$5:$D$2004,Veri!$C$5:$C$2004,B12))</f>
        <v>2</v>
      </c>
      <c r="D12" s="27" t="n">
        <f aca="false">IF(B12="","",SUMIFS(Veri!$E$5:$E$2004,Veri!$C$5:$C$2004,B12))</f>
        <v>20</v>
      </c>
      <c r="E12" s="35" t="n">
        <f aca="false">IF(B12="","",IF(SUM(Veri!$E$5:$E$2004)=0,0,D12/SUM(Veri!$E$5:$E$2004)))</f>
        <v>0.000172845907873131</v>
      </c>
      <c r="F12" s="35" t="n">
        <f aca="false">IF(B12="","",SUM(E$5:E12))</f>
        <v>1</v>
      </c>
      <c r="G12" s="36" t="str">
        <f aca="false">IF(B12="","",IF(F11&lt;0.8,"A",IF(F11&lt;0.95,"B","C")))</f>
        <v>C</v>
      </c>
      <c r="H12" s="27" t="n">
        <f aca="false">IF(OR(B12="",C12=0),"",D12/C12)</f>
        <v>10</v>
      </c>
      <c r="I12" s="37" t="n">
        <f aca="false">IF(B12="","",SUMPRODUCT(MAX((Veri!$C$5:$C$2004=B12)*Veri!$A$5:$A$2004)))</f>
        <v>46256</v>
      </c>
      <c r="J12" s="26"/>
      <c r="K12" s="26" t="str">
        <f aca="false">IF(8&gt;MAX(Veri!$G$5:$G$2004),"",INDEX(Veri!$C$5:$C$2004,MATCH(8,Veri!$G$5:$G$2004,0)))</f>
        <v>Zımba</v>
      </c>
      <c r="L12" s="26" t="n">
        <f aca="false">IF(K12="","",SUMIFS(Veri!$E$5:$E$2004,Veri!$C$5:$C$2004,K12))</f>
        <v>3000</v>
      </c>
      <c r="M12" s="26" t="n">
        <f aca="false">IF(K12="","",L12+ROW()/1000000000)</f>
        <v>3000.000000012</v>
      </c>
      <c r="N12" s="26"/>
    </row>
    <row r="13" customFormat="false" ht="15" hidden="false" customHeight="false" outlineLevel="0" collapsed="false">
      <c r="A13" s="30" t="str">
        <f aca="false">IF(B13="","",9)</f>
        <v/>
      </c>
      <c r="B13" s="16" t="str">
        <f aca="false">IFERROR(INDEX($K$5:$K$204,MATCH(LARGE($M$5:$M$204,9),$M$5:$M$204,0)),"")</f>
        <v/>
      </c>
      <c r="C13" s="24" t="str">
        <f aca="false">IF(B13="","",SUMIFS(Veri!$D$5:$D$2004,Veri!$C$5:$C$2004,B13))</f>
        <v/>
      </c>
      <c r="D13" s="23" t="str">
        <f aca="false">IF(B13="","",SUMIFS(Veri!$E$5:$E$2004,Veri!$C$5:$C$2004,B13))</f>
        <v/>
      </c>
      <c r="E13" s="31" t="str">
        <f aca="false">IF(B13="","",IF(SUM(Veri!$E$5:$E$2004)=0,0,D13/SUM(Veri!$E$5:$E$2004)))</f>
        <v/>
      </c>
      <c r="F13" s="31" t="str">
        <f aca="false">IF(B13="","",SUM(E$5:E13))</f>
        <v/>
      </c>
      <c r="G13" s="32" t="str">
        <f aca="false">IF(B13="","",IF(F12&lt;0.8,"A",IF(F12&lt;0.95,"B","C")))</f>
        <v/>
      </c>
      <c r="H13" s="23" t="str">
        <f aca="false">IF(OR(B13="",C13=0),"",D13/C13)</f>
        <v/>
      </c>
      <c r="I13" s="33" t="str">
        <f aca="false">IF(B13="","",SUMPRODUCT(MAX((Veri!$C$5:$C$2004=B13)*Veri!$A$5:$A$2004)))</f>
        <v/>
      </c>
      <c r="J13" s="16"/>
      <c r="K13" s="16" t="str">
        <f aca="false">IF(9&gt;MAX(Veri!$G$5:$G$2004),"",INDEX(Veri!$C$5:$C$2004,MATCH(9,Veri!$G$5:$G$2004,0)))</f>
        <v/>
      </c>
      <c r="L13" s="16" t="str">
        <f aca="false">IF(K13="","",SUMIFS(Veri!$E$5:$E$2004,Veri!$C$5:$C$2004,K13))</f>
        <v/>
      </c>
      <c r="M13" s="16" t="str">
        <f aca="false">IF(K13="","",L13+ROW()/1000000000)</f>
        <v/>
      </c>
      <c r="N13" s="16"/>
    </row>
    <row r="14" customFormat="false" ht="15" hidden="false" customHeight="false" outlineLevel="0" collapsed="false">
      <c r="A14" s="34" t="str">
        <f aca="false">IF(B14="","",10)</f>
        <v/>
      </c>
      <c r="B14" s="26" t="str">
        <f aca="false">IFERROR(INDEX($K$5:$K$204,MATCH(LARGE($M$5:$M$204,10),$M$5:$M$204,0)),"")</f>
        <v/>
      </c>
      <c r="C14" s="28" t="str">
        <f aca="false">IF(B14="","",SUMIFS(Veri!$D$5:$D$2004,Veri!$C$5:$C$2004,B14))</f>
        <v/>
      </c>
      <c r="D14" s="27" t="str">
        <f aca="false">IF(B14="","",SUMIFS(Veri!$E$5:$E$2004,Veri!$C$5:$C$2004,B14))</f>
        <v/>
      </c>
      <c r="E14" s="35" t="str">
        <f aca="false">IF(B14="","",IF(SUM(Veri!$E$5:$E$2004)=0,0,D14/SUM(Veri!$E$5:$E$2004)))</f>
        <v/>
      </c>
      <c r="F14" s="35" t="str">
        <f aca="false">IF(B14="","",SUM(E$5:E14))</f>
        <v/>
      </c>
      <c r="G14" s="36" t="str">
        <f aca="false">IF(B14="","",IF(F13&lt;0.8,"A",IF(F13&lt;0.95,"B","C")))</f>
        <v/>
      </c>
      <c r="H14" s="27" t="str">
        <f aca="false">IF(OR(B14="",C14=0),"",D14/C14)</f>
        <v/>
      </c>
      <c r="I14" s="37" t="str">
        <f aca="false">IF(B14="","",SUMPRODUCT(MAX((Veri!$C$5:$C$2004=B14)*Veri!$A$5:$A$2004)))</f>
        <v/>
      </c>
      <c r="J14" s="26"/>
      <c r="K14" s="26" t="str">
        <f aca="false">IF(10&gt;MAX(Veri!$G$5:$G$2004),"",INDEX(Veri!$C$5:$C$2004,MATCH(10,Veri!$G$5:$G$2004,0)))</f>
        <v/>
      </c>
      <c r="L14" s="26" t="str">
        <f aca="false">IF(K14="","",SUMIFS(Veri!$E$5:$E$2004,Veri!$C$5:$C$2004,K14))</f>
        <v/>
      </c>
      <c r="M14" s="26" t="str">
        <f aca="false">IF(K14="","",L14+ROW()/1000000000)</f>
        <v/>
      </c>
      <c r="N14" s="26"/>
    </row>
    <row r="15" customFormat="false" ht="15" hidden="false" customHeight="false" outlineLevel="0" collapsed="false">
      <c r="A15" s="30" t="str">
        <f aca="false">IF(B15="","",11)</f>
        <v/>
      </c>
      <c r="B15" s="16" t="str">
        <f aca="false">IFERROR(INDEX($K$5:$K$204,MATCH(LARGE($M$5:$M$204,11),$M$5:$M$204,0)),"")</f>
        <v/>
      </c>
      <c r="C15" s="24" t="str">
        <f aca="false">IF(B15="","",SUMIFS(Veri!$D$5:$D$2004,Veri!$C$5:$C$2004,B15))</f>
        <v/>
      </c>
      <c r="D15" s="23" t="str">
        <f aca="false">IF(B15="","",SUMIFS(Veri!$E$5:$E$2004,Veri!$C$5:$C$2004,B15))</f>
        <v/>
      </c>
      <c r="E15" s="31" t="str">
        <f aca="false">IF(B15="","",IF(SUM(Veri!$E$5:$E$2004)=0,0,D15/SUM(Veri!$E$5:$E$2004)))</f>
        <v/>
      </c>
      <c r="F15" s="31" t="str">
        <f aca="false">IF(B15="","",SUM(E$5:E15))</f>
        <v/>
      </c>
      <c r="G15" s="32" t="str">
        <f aca="false">IF(B15="","",IF(F14&lt;0.8,"A",IF(F14&lt;0.95,"B","C")))</f>
        <v/>
      </c>
      <c r="H15" s="23" t="str">
        <f aca="false">IF(OR(B15="",C15=0),"",D15/C15)</f>
        <v/>
      </c>
      <c r="I15" s="33" t="str">
        <f aca="false">IF(B15="","",SUMPRODUCT(MAX((Veri!$C$5:$C$2004=B15)*Veri!$A$5:$A$2004)))</f>
        <v/>
      </c>
      <c r="J15" s="16"/>
      <c r="K15" s="16" t="str">
        <f aca="false">IF(11&gt;MAX(Veri!$G$5:$G$2004),"",INDEX(Veri!$C$5:$C$2004,MATCH(11,Veri!$G$5:$G$2004,0)))</f>
        <v/>
      </c>
      <c r="L15" s="16" t="str">
        <f aca="false">IF(K15="","",SUMIFS(Veri!$E$5:$E$2004,Veri!$C$5:$C$2004,K15))</f>
        <v/>
      </c>
      <c r="M15" s="16" t="str">
        <f aca="false">IF(K15="","",L15+ROW()/1000000000)</f>
        <v/>
      </c>
      <c r="N15" s="16"/>
    </row>
    <row r="16" customFormat="false" ht="15" hidden="false" customHeight="false" outlineLevel="0" collapsed="false">
      <c r="A16" s="34" t="str">
        <f aca="false">IF(B16="","",12)</f>
        <v/>
      </c>
      <c r="B16" s="26" t="str">
        <f aca="false">IFERROR(INDEX($K$5:$K$204,MATCH(LARGE($M$5:$M$204,12),$M$5:$M$204,0)),"")</f>
        <v/>
      </c>
      <c r="C16" s="28" t="str">
        <f aca="false">IF(B16="","",SUMIFS(Veri!$D$5:$D$2004,Veri!$C$5:$C$2004,B16))</f>
        <v/>
      </c>
      <c r="D16" s="27" t="str">
        <f aca="false">IF(B16="","",SUMIFS(Veri!$E$5:$E$2004,Veri!$C$5:$C$2004,B16))</f>
        <v/>
      </c>
      <c r="E16" s="35" t="str">
        <f aca="false">IF(B16="","",IF(SUM(Veri!$E$5:$E$2004)=0,0,D16/SUM(Veri!$E$5:$E$2004)))</f>
        <v/>
      </c>
      <c r="F16" s="35" t="str">
        <f aca="false">IF(B16="","",SUM(E$5:E16))</f>
        <v/>
      </c>
      <c r="G16" s="36" t="str">
        <f aca="false">IF(B16="","",IF(F15&lt;0.8,"A",IF(F15&lt;0.95,"B","C")))</f>
        <v/>
      </c>
      <c r="H16" s="27" t="str">
        <f aca="false">IF(OR(B16="",C16=0),"",D16/C16)</f>
        <v/>
      </c>
      <c r="I16" s="37" t="str">
        <f aca="false">IF(B16="","",SUMPRODUCT(MAX((Veri!$C$5:$C$2004=B16)*Veri!$A$5:$A$2004)))</f>
        <v/>
      </c>
      <c r="J16" s="26"/>
      <c r="K16" s="26" t="str">
        <f aca="false">IF(12&gt;MAX(Veri!$G$5:$G$2004),"",INDEX(Veri!$C$5:$C$2004,MATCH(12,Veri!$G$5:$G$2004,0)))</f>
        <v/>
      </c>
      <c r="L16" s="26" t="str">
        <f aca="false">IF(K16="","",SUMIFS(Veri!$E$5:$E$2004,Veri!$C$5:$C$2004,K16))</f>
        <v/>
      </c>
      <c r="M16" s="26" t="str">
        <f aca="false">IF(K16="","",L16+ROW()/1000000000)</f>
        <v/>
      </c>
      <c r="N16" s="26"/>
    </row>
    <row r="17" customFormat="false" ht="15" hidden="false" customHeight="false" outlineLevel="0" collapsed="false">
      <c r="A17" s="30" t="str">
        <f aca="false">IF(B17="","",13)</f>
        <v/>
      </c>
      <c r="B17" s="16" t="str">
        <f aca="false">IFERROR(INDEX($K$5:$K$204,MATCH(LARGE($M$5:$M$204,13),$M$5:$M$204,0)),"")</f>
        <v/>
      </c>
      <c r="C17" s="24" t="str">
        <f aca="false">IF(B17="","",SUMIFS(Veri!$D$5:$D$2004,Veri!$C$5:$C$2004,B17))</f>
        <v/>
      </c>
      <c r="D17" s="23" t="str">
        <f aca="false">IF(B17="","",SUMIFS(Veri!$E$5:$E$2004,Veri!$C$5:$C$2004,B17))</f>
        <v/>
      </c>
      <c r="E17" s="31" t="str">
        <f aca="false">IF(B17="","",IF(SUM(Veri!$E$5:$E$2004)=0,0,D17/SUM(Veri!$E$5:$E$2004)))</f>
        <v/>
      </c>
      <c r="F17" s="31" t="str">
        <f aca="false">IF(B17="","",SUM(E$5:E17))</f>
        <v/>
      </c>
      <c r="G17" s="32" t="str">
        <f aca="false">IF(B17="","",IF(F16&lt;0.8,"A",IF(F16&lt;0.95,"B","C")))</f>
        <v/>
      </c>
      <c r="H17" s="23" t="str">
        <f aca="false">IF(OR(B17="",C17=0),"",D17/C17)</f>
        <v/>
      </c>
      <c r="I17" s="33" t="str">
        <f aca="false">IF(B17="","",SUMPRODUCT(MAX((Veri!$C$5:$C$2004=B17)*Veri!$A$5:$A$2004)))</f>
        <v/>
      </c>
      <c r="J17" s="16"/>
      <c r="K17" s="16" t="str">
        <f aca="false">IF(13&gt;MAX(Veri!$G$5:$G$2004),"",INDEX(Veri!$C$5:$C$2004,MATCH(13,Veri!$G$5:$G$2004,0)))</f>
        <v/>
      </c>
      <c r="L17" s="16" t="str">
        <f aca="false">IF(K17="","",SUMIFS(Veri!$E$5:$E$2004,Veri!$C$5:$C$2004,K17))</f>
        <v/>
      </c>
      <c r="M17" s="16" t="str">
        <f aca="false">IF(K17="","",L17+ROW()/1000000000)</f>
        <v/>
      </c>
      <c r="N17" s="16"/>
    </row>
    <row r="18" customFormat="false" ht="15" hidden="false" customHeight="false" outlineLevel="0" collapsed="false">
      <c r="A18" s="34" t="str">
        <f aca="false">IF(B18="","",14)</f>
        <v/>
      </c>
      <c r="B18" s="26" t="str">
        <f aca="false">IFERROR(INDEX($K$5:$K$204,MATCH(LARGE($M$5:$M$204,14),$M$5:$M$204,0)),"")</f>
        <v/>
      </c>
      <c r="C18" s="28" t="str">
        <f aca="false">IF(B18="","",SUMIFS(Veri!$D$5:$D$2004,Veri!$C$5:$C$2004,B18))</f>
        <v/>
      </c>
      <c r="D18" s="27" t="str">
        <f aca="false">IF(B18="","",SUMIFS(Veri!$E$5:$E$2004,Veri!$C$5:$C$2004,B18))</f>
        <v/>
      </c>
      <c r="E18" s="35" t="str">
        <f aca="false">IF(B18="","",IF(SUM(Veri!$E$5:$E$2004)=0,0,D18/SUM(Veri!$E$5:$E$2004)))</f>
        <v/>
      </c>
      <c r="F18" s="35" t="str">
        <f aca="false">IF(B18="","",SUM(E$5:E18))</f>
        <v/>
      </c>
      <c r="G18" s="36" t="str">
        <f aca="false">IF(B18="","",IF(F17&lt;0.8,"A",IF(F17&lt;0.95,"B","C")))</f>
        <v/>
      </c>
      <c r="H18" s="27" t="str">
        <f aca="false">IF(OR(B18="",C18=0),"",D18/C18)</f>
        <v/>
      </c>
      <c r="I18" s="37" t="str">
        <f aca="false">IF(B18="","",SUMPRODUCT(MAX((Veri!$C$5:$C$2004=B18)*Veri!$A$5:$A$2004)))</f>
        <v/>
      </c>
      <c r="J18" s="26"/>
      <c r="K18" s="26" t="str">
        <f aca="false">IF(14&gt;MAX(Veri!$G$5:$G$2004),"",INDEX(Veri!$C$5:$C$2004,MATCH(14,Veri!$G$5:$G$2004,0)))</f>
        <v/>
      </c>
      <c r="L18" s="26" t="str">
        <f aca="false">IF(K18="","",SUMIFS(Veri!$E$5:$E$2004,Veri!$C$5:$C$2004,K18))</f>
        <v/>
      </c>
      <c r="M18" s="26" t="str">
        <f aca="false">IF(K18="","",L18+ROW()/1000000000)</f>
        <v/>
      </c>
      <c r="N18" s="26"/>
    </row>
    <row r="19" customFormat="false" ht="15" hidden="false" customHeight="false" outlineLevel="0" collapsed="false">
      <c r="A19" s="30" t="str">
        <f aca="false">IF(B19="","",15)</f>
        <v/>
      </c>
      <c r="B19" s="16" t="str">
        <f aca="false">IFERROR(INDEX($K$5:$K$204,MATCH(LARGE($M$5:$M$204,15),$M$5:$M$204,0)),"")</f>
        <v/>
      </c>
      <c r="C19" s="24" t="str">
        <f aca="false">IF(B19="","",SUMIFS(Veri!$D$5:$D$2004,Veri!$C$5:$C$2004,B19))</f>
        <v/>
      </c>
      <c r="D19" s="23" t="str">
        <f aca="false">IF(B19="","",SUMIFS(Veri!$E$5:$E$2004,Veri!$C$5:$C$2004,B19))</f>
        <v/>
      </c>
      <c r="E19" s="31" t="str">
        <f aca="false">IF(B19="","",IF(SUM(Veri!$E$5:$E$2004)=0,0,D19/SUM(Veri!$E$5:$E$2004)))</f>
        <v/>
      </c>
      <c r="F19" s="31" t="str">
        <f aca="false">IF(B19="","",SUM(E$5:E19))</f>
        <v/>
      </c>
      <c r="G19" s="32" t="str">
        <f aca="false">IF(B19="","",IF(F18&lt;0.8,"A",IF(F18&lt;0.95,"B","C")))</f>
        <v/>
      </c>
      <c r="H19" s="23" t="str">
        <f aca="false">IF(OR(B19="",C19=0),"",D19/C19)</f>
        <v/>
      </c>
      <c r="I19" s="33" t="str">
        <f aca="false">IF(B19="","",SUMPRODUCT(MAX((Veri!$C$5:$C$2004=B19)*Veri!$A$5:$A$2004)))</f>
        <v/>
      </c>
      <c r="J19" s="16"/>
      <c r="K19" s="16" t="str">
        <f aca="false">IF(15&gt;MAX(Veri!$G$5:$G$2004),"",INDEX(Veri!$C$5:$C$2004,MATCH(15,Veri!$G$5:$G$2004,0)))</f>
        <v/>
      </c>
      <c r="L19" s="16" t="str">
        <f aca="false">IF(K19="","",SUMIFS(Veri!$E$5:$E$2004,Veri!$C$5:$C$2004,K19))</f>
        <v/>
      </c>
      <c r="M19" s="16" t="str">
        <f aca="false">IF(K19="","",L19+ROW()/1000000000)</f>
        <v/>
      </c>
      <c r="N19" s="16"/>
    </row>
    <row r="20" customFormat="false" ht="15" hidden="false" customHeight="false" outlineLevel="0" collapsed="false">
      <c r="A20" s="34" t="str">
        <f aca="false">IF(B20="","",16)</f>
        <v/>
      </c>
      <c r="B20" s="26" t="str">
        <f aca="false">IFERROR(INDEX($K$5:$K$204,MATCH(LARGE($M$5:$M$204,16),$M$5:$M$204,0)),"")</f>
        <v/>
      </c>
      <c r="C20" s="28" t="str">
        <f aca="false">IF(B20="","",SUMIFS(Veri!$D$5:$D$2004,Veri!$C$5:$C$2004,B20))</f>
        <v/>
      </c>
      <c r="D20" s="27" t="str">
        <f aca="false">IF(B20="","",SUMIFS(Veri!$E$5:$E$2004,Veri!$C$5:$C$2004,B20))</f>
        <v/>
      </c>
      <c r="E20" s="35" t="str">
        <f aca="false">IF(B20="","",IF(SUM(Veri!$E$5:$E$2004)=0,0,D20/SUM(Veri!$E$5:$E$2004)))</f>
        <v/>
      </c>
      <c r="F20" s="35" t="str">
        <f aca="false">IF(B20="","",SUM(E$5:E20))</f>
        <v/>
      </c>
      <c r="G20" s="36" t="str">
        <f aca="false">IF(B20="","",IF(F19&lt;0.8,"A",IF(F19&lt;0.95,"B","C")))</f>
        <v/>
      </c>
      <c r="H20" s="27" t="str">
        <f aca="false">IF(OR(B20="",C20=0),"",D20/C20)</f>
        <v/>
      </c>
      <c r="I20" s="37" t="str">
        <f aca="false">IF(B20="","",SUMPRODUCT(MAX((Veri!$C$5:$C$2004=B20)*Veri!$A$5:$A$2004)))</f>
        <v/>
      </c>
      <c r="J20" s="26"/>
      <c r="K20" s="26" t="str">
        <f aca="false">IF(16&gt;MAX(Veri!$G$5:$G$2004),"",INDEX(Veri!$C$5:$C$2004,MATCH(16,Veri!$G$5:$G$2004,0)))</f>
        <v/>
      </c>
      <c r="L20" s="26" t="str">
        <f aca="false">IF(K20="","",SUMIFS(Veri!$E$5:$E$2004,Veri!$C$5:$C$2004,K20))</f>
        <v/>
      </c>
      <c r="M20" s="26" t="str">
        <f aca="false">IF(K20="","",L20+ROW()/1000000000)</f>
        <v/>
      </c>
      <c r="N20" s="26"/>
    </row>
    <row r="21" customFormat="false" ht="15" hidden="false" customHeight="false" outlineLevel="0" collapsed="false">
      <c r="A21" s="30" t="str">
        <f aca="false">IF(B21="","",17)</f>
        <v/>
      </c>
      <c r="B21" s="16" t="str">
        <f aca="false">IFERROR(INDEX($K$5:$K$204,MATCH(LARGE($M$5:$M$204,17),$M$5:$M$204,0)),"")</f>
        <v/>
      </c>
      <c r="C21" s="24" t="str">
        <f aca="false">IF(B21="","",SUMIFS(Veri!$D$5:$D$2004,Veri!$C$5:$C$2004,B21))</f>
        <v/>
      </c>
      <c r="D21" s="23" t="str">
        <f aca="false">IF(B21="","",SUMIFS(Veri!$E$5:$E$2004,Veri!$C$5:$C$2004,B21))</f>
        <v/>
      </c>
      <c r="E21" s="31" t="str">
        <f aca="false">IF(B21="","",IF(SUM(Veri!$E$5:$E$2004)=0,0,D21/SUM(Veri!$E$5:$E$2004)))</f>
        <v/>
      </c>
      <c r="F21" s="31" t="str">
        <f aca="false">IF(B21="","",SUM(E$5:E21))</f>
        <v/>
      </c>
      <c r="G21" s="32" t="str">
        <f aca="false">IF(B21="","",IF(F20&lt;0.8,"A",IF(F20&lt;0.95,"B","C")))</f>
        <v/>
      </c>
      <c r="H21" s="23" t="str">
        <f aca="false">IF(OR(B21="",C21=0),"",D21/C21)</f>
        <v/>
      </c>
      <c r="I21" s="33" t="str">
        <f aca="false">IF(B21="","",SUMPRODUCT(MAX((Veri!$C$5:$C$2004=B21)*Veri!$A$5:$A$2004)))</f>
        <v/>
      </c>
      <c r="J21" s="16"/>
      <c r="K21" s="16" t="str">
        <f aca="false">IF(17&gt;MAX(Veri!$G$5:$G$2004),"",INDEX(Veri!$C$5:$C$2004,MATCH(17,Veri!$G$5:$G$2004,0)))</f>
        <v/>
      </c>
      <c r="L21" s="16" t="str">
        <f aca="false">IF(K21="","",SUMIFS(Veri!$E$5:$E$2004,Veri!$C$5:$C$2004,K21))</f>
        <v/>
      </c>
      <c r="M21" s="16" t="str">
        <f aca="false">IF(K21="","",L21+ROW()/1000000000)</f>
        <v/>
      </c>
      <c r="N21" s="16"/>
    </row>
    <row r="22" customFormat="false" ht="15" hidden="false" customHeight="false" outlineLevel="0" collapsed="false">
      <c r="A22" s="34" t="str">
        <f aca="false">IF(B22="","",18)</f>
        <v/>
      </c>
      <c r="B22" s="26" t="str">
        <f aca="false">IFERROR(INDEX($K$5:$K$204,MATCH(LARGE($M$5:$M$204,18),$M$5:$M$204,0)),"")</f>
        <v/>
      </c>
      <c r="C22" s="28" t="str">
        <f aca="false">IF(B22="","",SUMIFS(Veri!$D$5:$D$2004,Veri!$C$5:$C$2004,B22))</f>
        <v/>
      </c>
      <c r="D22" s="27" t="str">
        <f aca="false">IF(B22="","",SUMIFS(Veri!$E$5:$E$2004,Veri!$C$5:$C$2004,B22))</f>
        <v/>
      </c>
      <c r="E22" s="35" t="str">
        <f aca="false">IF(B22="","",IF(SUM(Veri!$E$5:$E$2004)=0,0,D22/SUM(Veri!$E$5:$E$2004)))</f>
        <v/>
      </c>
      <c r="F22" s="35" t="str">
        <f aca="false">IF(B22="","",SUM(E$5:E22))</f>
        <v/>
      </c>
      <c r="G22" s="36" t="str">
        <f aca="false">IF(B22="","",IF(F21&lt;0.8,"A",IF(F21&lt;0.95,"B","C")))</f>
        <v/>
      </c>
      <c r="H22" s="27" t="str">
        <f aca="false">IF(OR(B22="",C22=0),"",D22/C22)</f>
        <v/>
      </c>
      <c r="I22" s="37" t="str">
        <f aca="false">IF(B22="","",SUMPRODUCT(MAX((Veri!$C$5:$C$2004=B22)*Veri!$A$5:$A$2004)))</f>
        <v/>
      </c>
      <c r="J22" s="26"/>
      <c r="K22" s="26" t="str">
        <f aca="false">IF(18&gt;MAX(Veri!$G$5:$G$2004),"",INDEX(Veri!$C$5:$C$2004,MATCH(18,Veri!$G$5:$G$2004,0)))</f>
        <v/>
      </c>
      <c r="L22" s="26" t="str">
        <f aca="false">IF(K22="","",SUMIFS(Veri!$E$5:$E$2004,Veri!$C$5:$C$2004,K22))</f>
        <v/>
      </c>
      <c r="M22" s="26" t="str">
        <f aca="false">IF(K22="","",L22+ROW()/1000000000)</f>
        <v/>
      </c>
      <c r="N22" s="26"/>
    </row>
    <row r="23" customFormat="false" ht="15" hidden="false" customHeight="false" outlineLevel="0" collapsed="false">
      <c r="A23" s="30" t="str">
        <f aca="false">IF(B23="","",19)</f>
        <v/>
      </c>
      <c r="B23" s="16" t="str">
        <f aca="false">IFERROR(INDEX($K$5:$K$204,MATCH(LARGE($M$5:$M$204,19),$M$5:$M$204,0)),"")</f>
        <v/>
      </c>
      <c r="C23" s="24" t="str">
        <f aca="false">IF(B23="","",SUMIFS(Veri!$D$5:$D$2004,Veri!$C$5:$C$2004,B23))</f>
        <v/>
      </c>
      <c r="D23" s="23" t="str">
        <f aca="false">IF(B23="","",SUMIFS(Veri!$E$5:$E$2004,Veri!$C$5:$C$2004,B23))</f>
        <v/>
      </c>
      <c r="E23" s="31" t="str">
        <f aca="false">IF(B23="","",IF(SUM(Veri!$E$5:$E$2004)=0,0,D23/SUM(Veri!$E$5:$E$2004)))</f>
        <v/>
      </c>
      <c r="F23" s="31" t="str">
        <f aca="false">IF(B23="","",SUM(E$5:E23))</f>
        <v/>
      </c>
      <c r="G23" s="32" t="str">
        <f aca="false">IF(B23="","",IF(F22&lt;0.8,"A",IF(F22&lt;0.95,"B","C")))</f>
        <v/>
      </c>
      <c r="H23" s="23" t="str">
        <f aca="false">IF(OR(B23="",C23=0),"",D23/C23)</f>
        <v/>
      </c>
      <c r="I23" s="33" t="str">
        <f aca="false">IF(B23="","",SUMPRODUCT(MAX((Veri!$C$5:$C$2004=B23)*Veri!$A$5:$A$2004)))</f>
        <v/>
      </c>
      <c r="J23" s="16"/>
      <c r="K23" s="16" t="str">
        <f aca="false">IF(19&gt;MAX(Veri!$G$5:$G$2004),"",INDEX(Veri!$C$5:$C$2004,MATCH(19,Veri!$G$5:$G$2004,0)))</f>
        <v/>
      </c>
      <c r="L23" s="16" t="str">
        <f aca="false">IF(K23="","",SUMIFS(Veri!$E$5:$E$2004,Veri!$C$5:$C$2004,K23))</f>
        <v/>
      </c>
      <c r="M23" s="16" t="str">
        <f aca="false">IF(K23="","",L23+ROW()/1000000000)</f>
        <v/>
      </c>
      <c r="N23" s="16"/>
    </row>
    <row r="24" customFormat="false" ht="15" hidden="false" customHeight="false" outlineLevel="0" collapsed="false">
      <c r="A24" s="34" t="str">
        <f aca="false">IF(B24="","",20)</f>
        <v/>
      </c>
      <c r="B24" s="26" t="str">
        <f aca="false">IFERROR(INDEX($K$5:$K$204,MATCH(LARGE($M$5:$M$204,20),$M$5:$M$204,0)),"")</f>
        <v/>
      </c>
      <c r="C24" s="28" t="str">
        <f aca="false">IF(B24="","",SUMIFS(Veri!$D$5:$D$2004,Veri!$C$5:$C$2004,B24))</f>
        <v/>
      </c>
      <c r="D24" s="27" t="str">
        <f aca="false">IF(B24="","",SUMIFS(Veri!$E$5:$E$2004,Veri!$C$5:$C$2004,B24))</f>
        <v/>
      </c>
      <c r="E24" s="35" t="str">
        <f aca="false">IF(B24="","",IF(SUM(Veri!$E$5:$E$2004)=0,0,D24/SUM(Veri!$E$5:$E$2004)))</f>
        <v/>
      </c>
      <c r="F24" s="35" t="str">
        <f aca="false">IF(B24="","",SUM(E$5:E24))</f>
        <v/>
      </c>
      <c r="G24" s="36" t="str">
        <f aca="false">IF(B24="","",IF(F23&lt;0.8,"A",IF(F23&lt;0.95,"B","C")))</f>
        <v/>
      </c>
      <c r="H24" s="27" t="str">
        <f aca="false">IF(OR(B24="",C24=0),"",D24/C24)</f>
        <v/>
      </c>
      <c r="I24" s="37" t="str">
        <f aca="false">IF(B24="","",SUMPRODUCT(MAX((Veri!$C$5:$C$2004=B24)*Veri!$A$5:$A$2004)))</f>
        <v/>
      </c>
      <c r="J24" s="26"/>
      <c r="K24" s="26" t="str">
        <f aca="false">IF(20&gt;MAX(Veri!$G$5:$G$2004),"",INDEX(Veri!$C$5:$C$2004,MATCH(20,Veri!$G$5:$G$2004,0)))</f>
        <v/>
      </c>
      <c r="L24" s="26" t="str">
        <f aca="false">IF(K24="","",SUMIFS(Veri!$E$5:$E$2004,Veri!$C$5:$C$2004,K24))</f>
        <v/>
      </c>
      <c r="M24" s="26" t="str">
        <f aca="false">IF(K24="","",L24+ROW()/1000000000)</f>
        <v/>
      </c>
      <c r="N24" s="26"/>
    </row>
    <row r="25" customFormat="false" ht="15" hidden="false" customHeight="false" outlineLevel="0" collapsed="false">
      <c r="A25" s="30" t="str">
        <f aca="false">IF(B25="","",21)</f>
        <v/>
      </c>
      <c r="B25" s="16" t="str">
        <f aca="false">IFERROR(INDEX($K$5:$K$204,MATCH(LARGE($M$5:$M$204,21),$M$5:$M$204,0)),"")</f>
        <v/>
      </c>
      <c r="C25" s="24" t="str">
        <f aca="false">IF(B25="","",SUMIFS(Veri!$D$5:$D$2004,Veri!$C$5:$C$2004,B25))</f>
        <v/>
      </c>
      <c r="D25" s="23" t="str">
        <f aca="false">IF(B25="","",SUMIFS(Veri!$E$5:$E$2004,Veri!$C$5:$C$2004,B25))</f>
        <v/>
      </c>
      <c r="E25" s="31" t="str">
        <f aca="false">IF(B25="","",IF(SUM(Veri!$E$5:$E$2004)=0,0,D25/SUM(Veri!$E$5:$E$2004)))</f>
        <v/>
      </c>
      <c r="F25" s="31" t="str">
        <f aca="false">IF(B25="","",SUM(E$5:E25))</f>
        <v/>
      </c>
      <c r="G25" s="32" t="str">
        <f aca="false">IF(B25="","",IF(F24&lt;0.8,"A",IF(F24&lt;0.95,"B","C")))</f>
        <v/>
      </c>
      <c r="H25" s="23" t="str">
        <f aca="false">IF(OR(B25="",C25=0),"",D25/C25)</f>
        <v/>
      </c>
      <c r="I25" s="33" t="str">
        <f aca="false">IF(B25="","",SUMPRODUCT(MAX((Veri!$C$5:$C$2004=B25)*Veri!$A$5:$A$2004)))</f>
        <v/>
      </c>
      <c r="J25" s="16"/>
      <c r="K25" s="16" t="str">
        <f aca="false">IF(21&gt;MAX(Veri!$G$5:$G$2004),"",INDEX(Veri!$C$5:$C$2004,MATCH(21,Veri!$G$5:$G$2004,0)))</f>
        <v/>
      </c>
      <c r="L25" s="16" t="str">
        <f aca="false">IF(K25="","",SUMIFS(Veri!$E$5:$E$2004,Veri!$C$5:$C$2004,K25))</f>
        <v/>
      </c>
      <c r="M25" s="16" t="str">
        <f aca="false">IF(K25="","",L25+ROW()/1000000000)</f>
        <v/>
      </c>
      <c r="N25" s="16"/>
    </row>
    <row r="26" customFormat="false" ht="15" hidden="false" customHeight="false" outlineLevel="0" collapsed="false">
      <c r="A26" s="34" t="str">
        <f aca="false">IF(B26="","",22)</f>
        <v/>
      </c>
      <c r="B26" s="26" t="str">
        <f aca="false">IFERROR(INDEX($K$5:$K$204,MATCH(LARGE($M$5:$M$204,22),$M$5:$M$204,0)),"")</f>
        <v/>
      </c>
      <c r="C26" s="28" t="str">
        <f aca="false">IF(B26="","",SUMIFS(Veri!$D$5:$D$2004,Veri!$C$5:$C$2004,B26))</f>
        <v/>
      </c>
      <c r="D26" s="27" t="str">
        <f aca="false">IF(B26="","",SUMIFS(Veri!$E$5:$E$2004,Veri!$C$5:$C$2004,B26))</f>
        <v/>
      </c>
      <c r="E26" s="35" t="str">
        <f aca="false">IF(B26="","",IF(SUM(Veri!$E$5:$E$2004)=0,0,D26/SUM(Veri!$E$5:$E$2004)))</f>
        <v/>
      </c>
      <c r="F26" s="35" t="str">
        <f aca="false">IF(B26="","",SUM(E$5:E26))</f>
        <v/>
      </c>
      <c r="G26" s="36" t="str">
        <f aca="false">IF(B26="","",IF(F25&lt;0.8,"A",IF(F25&lt;0.95,"B","C")))</f>
        <v/>
      </c>
      <c r="H26" s="27" t="str">
        <f aca="false">IF(OR(B26="",C26=0),"",D26/C26)</f>
        <v/>
      </c>
      <c r="I26" s="37" t="str">
        <f aca="false">IF(B26="","",SUMPRODUCT(MAX((Veri!$C$5:$C$2004=B26)*Veri!$A$5:$A$2004)))</f>
        <v/>
      </c>
      <c r="J26" s="26"/>
      <c r="K26" s="26" t="str">
        <f aca="false">IF(22&gt;MAX(Veri!$G$5:$G$2004),"",INDEX(Veri!$C$5:$C$2004,MATCH(22,Veri!$G$5:$G$2004,0)))</f>
        <v/>
      </c>
      <c r="L26" s="26" t="str">
        <f aca="false">IF(K26="","",SUMIFS(Veri!$E$5:$E$2004,Veri!$C$5:$C$2004,K26))</f>
        <v/>
      </c>
      <c r="M26" s="26" t="str">
        <f aca="false">IF(K26="","",L26+ROW()/1000000000)</f>
        <v/>
      </c>
      <c r="N26" s="26"/>
    </row>
    <row r="27" customFormat="false" ht="15" hidden="false" customHeight="false" outlineLevel="0" collapsed="false">
      <c r="A27" s="30" t="str">
        <f aca="false">IF(B27="","",23)</f>
        <v/>
      </c>
      <c r="B27" s="16" t="str">
        <f aca="false">IFERROR(INDEX($K$5:$K$204,MATCH(LARGE($M$5:$M$204,23),$M$5:$M$204,0)),"")</f>
        <v/>
      </c>
      <c r="C27" s="24" t="str">
        <f aca="false">IF(B27="","",SUMIFS(Veri!$D$5:$D$2004,Veri!$C$5:$C$2004,B27))</f>
        <v/>
      </c>
      <c r="D27" s="23" t="str">
        <f aca="false">IF(B27="","",SUMIFS(Veri!$E$5:$E$2004,Veri!$C$5:$C$2004,B27))</f>
        <v/>
      </c>
      <c r="E27" s="31" t="str">
        <f aca="false">IF(B27="","",IF(SUM(Veri!$E$5:$E$2004)=0,0,D27/SUM(Veri!$E$5:$E$2004)))</f>
        <v/>
      </c>
      <c r="F27" s="31" t="str">
        <f aca="false">IF(B27="","",SUM(E$5:E27))</f>
        <v/>
      </c>
      <c r="G27" s="32" t="str">
        <f aca="false">IF(B27="","",IF(F26&lt;0.8,"A",IF(F26&lt;0.95,"B","C")))</f>
        <v/>
      </c>
      <c r="H27" s="23" t="str">
        <f aca="false">IF(OR(B27="",C27=0),"",D27/C27)</f>
        <v/>
      </c>
      <c r="I27" s="33" t="str">
        <f aca="false">IF(B27="","",SUMPRODUCT(MAX((Veri!$C$5:$C$2004=B27)*Veri!$A$5:$A$2004)))</f>
        <v/>
      </c>
      <c r="J27" s="16"/>
      <c r="K27" s="16" t="str">
        <f aca="false">IF(23&gt;MAX(Veri!$G$5:$G$2004),"",INDEX(Veri!$C$5:$C$2004,MATCH(23,Veri!$G$5:$G$2004,0)))</f>
        <v/>
      </c>
      <c r="L27" s="16" t="str">
        <f aca="false">IF(K27="","",SUMIFS(Veri!$E$5:$E$2004,Veri!$C$5:$C$2004,K27))</f>
        <v/>
      </c>
      <c r="M27" s="16" t="str">
        <f aca="false">IF(K27="","",L27+ROW()/1000000000)</f>
        <v/>
      </c>
      <c r="N27" s="16"/>
    </row>
    <row r="28" customFormat="false" ht="15" hidden="false" customHeight="false" outlineLevel="0" collapsed="false">
      <c r="A28" s="34" t="str">
        <f aca="false">IF(B28="","",24)</f>
        <v/>
      </c>
      <c r="B28" s="26" t="str">
        <f aca="false">IFERROR(INDEX($K$5:$K$204,MATCH(LARGE($M$5:$M$204,24),$M$5:$M$204,0)),"")</f>
        <v/>
      </c>
      <c r="C28" s="28" t="str">
        <f aca="false">IF(B28="","",SUMIFS(Veri!$D$5:$D$2004,Veri!$C$5:$C$2004,B28))</f>
        <v/>
      </c>
      <c r="D28" s="27" t="str">
        <f aca="false">IF(B28="","",SUMIFS(Veri!$E$5:$E$2004,Veri!$C$5:$C$2004,B28))</f>
        <v/>
      </c>
      <c r="E28" s="35" t="str">
        <f aca="false">IF(B28="","",IF(SUM(Veri!$E$5:$E$2004)=0,0,D28/SUM(Veri!$E$5:$E$2004)))</f>
        <v/>
      </c>
      <c r="F28" s="35" t="str">
        <f aca="false">IF(B28="","",SUM(E$5:E28))</f>
        <v/>
      </c>
      <c r="G28" s="36" t="str">
        <f aca="false">IF(B28="","",IF(F27&lt;0.8,"A",IF(F27&lt;0.95,"B","C")))</f>
        <v/>
      </c>
      <c r="H28" s="27" t="str">
        <f aca="false">IF(OR(B28="",C28=0),"",D28/C28)</f>
        <v/>
      </c>
      <c r="I28" s="37" t="str">
        <f aca="false">IF(B28="","",SUMPRODUCT(MAX((Veri!$C$5:$C$2004=B28)*Veri!$A$5:$A$2004)))</f>
        <v/>
      </c>
      <c r="J28" s="26"/>
      <c r="K28" s="26" t="str">
        <f aca="false">IF(24&gt;MAX(Veri!$G$5:$G$2004),"",INDEX(Veri!$C$5:$C$2004,MATCH(24,Veri!$G$5:$G$2004,0)))</f>
        <v/>
      </c>
      <c r="L28" s="26" t="str">
        <f aca="false">IF(K28="","",SUMIFS(Veri!$E$5:$E$2004,Veri!$C$5:$C$2004,K28))</f>
        <v/>
      </c>
      <c r="M28" s="26" t="str">
        <f aca="false">IF(K28="","",L28+ROW()/1000000000)</f>
        <v/>
      </c>
      <c r="N28" s="26"/>
    </row>
    <row r="29" customFormat="false" ht="15" hidden="false" customHeight="false" outlineLevel="0" collapsed="false">
      <c r="A29" s="30" t="str">
        <f aca="false">IF(B29="","",25)</f>
        <v/>
      </c>
      <c r="B29" s="16" t="str">
        <f aca="false">IFERROR(INDEX($K$5:$K$204,MATCH(LARGE($M$5:$M$204,25),$M$5:$M$204,0)),"")</f>
        <v/>
      </c>
      <c r="C29" s="24" t="str">
        <f aca="false">IF(B29="","",SUMIFS(Veri!$D$5:$D$2004,Veri!$C$5:$C$2004,B29))</f>
        <v/>
      </c>
      <c r="D29" s="23" t="str">
        <f aca="false">IF(B29="","",SUMIFS(Veri!$E$5:$E$2004,Veri!$C$5:$C$2004,B29))</f>
        <v/>
      </c>
      <c r="E29" s="31" t="str">
        <f aca="false">IF(B29="","",IF(SUM(Veri!$E$5:$E$2004)=0,0,D29/SUM(Veri!$E$5:$E$2004)))</f>
        <v/>
      </c>
      <c r="F29" s="31" t="str">
        <f aca="false">IF(B29="","",SUM(E$5:E29))</f>
        <v/>
      </c>
      <c r="G29" s="32" t="str">
        <f aca="false">IF(B29="","",IF(F28&lt;0.8,"A",IF(F28&lt;0.95,"B","C")))</f>
        <v/>
      </c>
      <c r="H29" s="23" t="str">
        <f aca="false">IF(OR(B29="",C29=0),"",D29/C29)</f>
        <v/>
      </c>
      <c r="I29" s="33" t="str">
        <f aca="false">IF(B29="","",SUMPRODUCT(MAX((Veri!$C$5:$C$2004=B29)*Veri!$A$5:$A$2004)))</f>
        <v/>
      </c>
      <c r="J29" s="16"/>
      <c r="K29" s="16" t="str">
        <f aca="false">IF(25&gt;MAX(Veri!$G$5:$G$2004),"",INDEX(Veri!$C$5:$C$2004,MATCH(25,Veri!$G$5:$G$2004,0)))</f>
        <v/>
      </c>
      <c r="L29" s="16" t="str">
        <f aca="false">IF(K29="","",SUMIFS(Veri!$E$5:$E$2004,Veri!$C$5:$C$2004,K29))</f>
        <v/>
      </c>
      <c r="M29" s="16" t="str">
        <f aca="false">IF(K29="","",L29+ROW()/1000000000)</f>
        <v/>
      </c>
      <c r="N29" s="16"/>
    </row>
    <row r="30" customFormat="false" ht="15" hidden="false" customHeight="false" outlineLevel="0" collapsed="false">
      <c r="A30" s="34" t="str">
        <f aca="false">IF(B30="","",26)</f>
        <v/>
      </c>
      <c r="B30" s="26" t="str">
        <f aca="false">IFERROR(INDEX($K$5:$K$204,MATCH(LARGE($M$5:$M$204,26),$M$5:$M$204,0)),"")</f>
        <v/>
      </c>
      <c r="C30" s="28" t="str">
        <f aca="false">IF(B30="","",SUMIFS(Veri!$D$5:$D$2004,Veri!$C$5:$C$2004,B30))</f>
        <v/>
      </c>
      <c r="D30" s="27" t="str">
        <f aca="false">IF(B30="","",SUMIFS(Veri!$E$5:$E$2004,Veri!$C$5:$C$2004,B30))</f>
        <v/>
      </c>
      <c r="E30" s="35" t="str">
        <f aca="false">IF(B30="","",IF(SUM(Veri!$E$5:$E$2004)=0,0,D30/SUM(Veri!$E$5:$E$2004)))</f>
        <v/>
      </c>
      <c r="F30" s="35" t="str">
        <f aca="false">IF(B30="","",SUM(E$5:E30))</f>
        <v/>
      </c>
      <c r="G30" s="36" t="str">
        <f aca="false">IF(B30="","",IF(F29&lt;0.8,"A",IF(F29&lt;0.95,"B","C")))</f>
        <v/>
      </c>
      <c r="H30" s="27" t="str">
        <f aca="false">IF(OR(B30="",C30=0),"",D30/C30)</f>
        <v/>
      </c>
      <c r="I30" s="37" t="str">
        <f aca="false">IF(B30="","",SUMPRODUCT(MAX((Veri!$C$5:$C$2004=B30)*Veri!$A$5:$A$2004)))</f>
        <v/>
      </c>
      <c r="J30" s="26"/>
      <c r="K30" s="26" t="str">
        <f aca="false">IF(26&gt;MAX(Veri!$G$5:$G$2004),"",INDEX(Veri!$C$5:$C$2004,MATCH(26,Veri!$G$5:$G$2004,0)))</f>
        <v/>
      </c>
      <c r="L30" s="26" t="str">
        <f aca="false">IF(K30="","",SUMIFS(Veri!$E$5:$E$2004,Veri!$C$5:$C$2004,K30))</f>
        <v/>
      </c>
      <c r="M30" s="26" t="str">
        <f aca="false">IF(K30="","",L30+ROW()/1000000000)</f>
        <v/>
      </c>
      <c r="N30" s="26"/>
    </row>
    <row r="31" customFormat="false" ht="15" hidden="false" customHeight="false" outlineLevel="0" collapsed="false">
      <c r="A31" s="30" t="str">
        <f aca="false">IF(B31="","",27)</f>
        <v/>
      </c>
      <c r="B31" s="16" t="str">
        <f aca="false">IFERROR(INDEX($K$5:$K$204,MATCH(LARGE($M$5:$M$204,27),$M$5:$M$204,0)),"")</f>
        <v/>
      </c>
      <c r="C31" s="24" t="str">
        <f aca="false">IF(B31="","",SUMIFS(Veri!$D$5:$D$2004,Veri!$C$5:$C$2004,B31))</f>
        <v/>
      </c>
      <c r="D31" s="23" t="str">
        <f aca="false">IF(B31="","",SUMIFS(Veri!$E$5:$E$2004,Veri!$C$5:$C$2004,B31))</f>
        <v/>
      </c>
      <c r="E31" s="31" t="str">
        <f aca="false">IF(B31="","",IF(SUM(Veri!$E$5:$E$2004)=0,0,D31/SUM(Veri!$E$5:$E$2004)))</f>
        <v/>
      </c>
      <c r="F31" s="31" t="str">
        <f aca="false">IF(B31="","",SUM(E$5:E31))</f>
        <v/>
      </c>
      <c r="G31" s="32" t="str">
        <f aca="false">IF(B31="","",IF(F30&lt;0.8,"A",IF(F30&lt;0.95,"B","C")))</f>
        <v/>
      </c>
      <c r="H31" s="23" t="str">
        <f aca="false">IF(OR(B31="",C31=0),"",D31/C31)</f>
        <v/>
      </c>
      <c r="I31" s="33" t="str">
        <f aca="false">IF(B31="","",SUMPRODUCT(MAX((Veri!$C$5:$C$2004=B31)*Veri!$A$5:$A$2004)))</f>
        <v/>
      </c>
      <c r="J31" s="16"/>
      <c r="K31" s="16" t="str">
        <f aca="false">IF(27&gt;MAX(Veri!$G$5:$G$2004),"",INDEX(Veri!$C$5:$C$2004,MATCH(27,Veri!$G$5:$G$2004,0)))</f>
        <v/>
      </c>
      <c r="L31" s="16" t="str">
        <f aca="false">IF(K31="","",SUMIFS(Veri!$E$5:$E$2004,Veri!$C$5:$C$2004,K31))</f>
        <v/>
      </c>
      <c r="M31" s="16" t="str">
        <f aca="false">IF(K31="","",L31+ROW()/1000000000)</f>
        <v/>
      </c>
      <c r="N31" s="16"/>
    </row>
    <row r="32" customFormat="false" ht="15" hidden="false" customHeight="false" outlineLevel="0" collapsed="false">
      <c r="A32" s="34" t="str">
        <f aca="false">IF(B32="","",28)</f>
        <v/>
      </c>
      <c r="B32" s="26" t="str">
        <f aca="false">IFERROR(INDEX($K$5:$K$204,MATCH(LARGE($M$5:$M$204,28),$M$5:$M$204,0)),"")</f>
        <v/>
      </c>
      <c r="C32" s="28" t="str">
        <f aca="false">IF(B32="","",SUMIFS(Veri!$D$5:$D$2004,Veri!$C$5:$C$2004,B32))</f>
        <v/>
      </c>
      <c r="D32" s="27" t="str">
        <f aca="false">IF(B32="","",SUMIFS(Veri!$E$5:$E$2004,Veri!$C$5:$C$2004,B32))</f>
        <v/>
      </c>
      <c r="E32" s="35" t="str">
        <f aca="false">IF(B32="","",IF(SUM(Veri!$E$5:$E$2004)=0,0,D32/SUM(Veri!$E$5:$E$2004)))</f>
        <v/>
      </c>
      <c r="F32" s="35" t="str">
        <f aca="false">IF(B32="","",SUM(E$5:E32))</f>
        <v/>
      </c>
      <c r="G32" s="36" t="str">
        <f aca="false">IF(B32="","",IF(F31&lt;0.8,"A",IF(F31&lt;0.95,"B","C")))</f>
        <v/>
      </c>
      <c r="H32" s="27" t="str">
        <f aca="false">IF(OR(B32="",C32=0),"",D32/C32)</f>
        <v/>
      </c>
      <c r="I32" s="37" t="str">
        <f aca="false">IF(B32="","",SUMPRODUCT(MAX((Veri!$C$5:$C$2004=B32)*Veri!$A$5:$A$2004)))</f>
        <v/>
      </c>
      <c r="J32" s="26"/>
      <c r="K32" s="26" t="str">
        <f aca="false">IF(28&gt;MAX(Veri!$G$5:$G$2004),"",INDEX(Veri!$C$5:$C$2004,MATCH(28,Veri!$G$5:$G$2004,0)))</f>
        <v/>
      </c>
      <c r="L32" s="26" t="str">
        <f aca="false">IF(K32="","",SUMIFS(Veri!$E$5:$E$2004,Veri!$C$5:$C$2004,K32))</f>
        <v/>
      </c>
      <c r="M32" s="26" t="str">
        <f aca="false">IF(K32="","",L32+ROW()/1000000000)</f>
        <v/>
      </c>
      <c r="N32" s="26"/>
    </row>
    <row r="33" customFormat="false" ht="15" hidden="false" customHeight="false" outlineLevel="0" collapsed="false">
      <c r="A33" s="30" t="str">
        <f aca="false">IF(B33="","",29)</f>
        <v/>
      </c>
      <c r="B33" s="16" t="str">
        <f aca="false">IFERROR(INDEX($K$5:$K$204,MATCH(LARGE($M$5:$M$204,29),$M$5:$M$204,0)),"")</f>
        <v/>
      </c>
      <c r="C33" s="24" t="str">
        <f aca="false">IF(B33="","",SUMIFS(Veri!$D$5:$D$2004,Veri!$C$5:$C$2004,B33))</f>
        <v/>
      </c>
      <c r="D33" s="23" t="str">
        <f aca="false">IF(B33="","",SUMIFS(Veri!$E$5:$E$2004,Veri!$C$5:$C$2004,B33))</f>
        <v/>
      </c>
      <c r="E33" s="31" t="str">
        <f aca="false">IF(B33="","",IF(SUM(Veri!$E$5:$E$2004)=0,0,D33/SUM(Veri!$E$5:$E$2004)))</f>
        <v/>
      </c>
      <c r="F33" s="31" t="str">
        <f aca="false">IF(B33="","",SUM(E$5:E33))</f>
        <v/>
      </c>
      <c r="G33" s="32" t="str">
        <f aca="false">IF(B33="","",IF(F32&lt;0.8,"A",IF(F32&lt;0.95,"B","C")))</f>
        <v/>
      </c>
      <c r="H33" s="23" t="str">
        <f aca="false">IF(OR(B33="",C33=0),"",D33/C33)</f>
        <v/>
      </c>
      <c r="I33" s="33" t="str">
        <f aca="false">IF(B33="","",SUMPRODUCT(MAX((Veri!$C$5:$C$2004=B33)*Veri!$A$5:$A$2004)))</f>
        <v/>
      </c>
      <c r="J33" s="16"/>
      <c r="K33" s="16" t="str">
        <f aca="false">IF(29&gt;MAX(Veri!$G$5:$G$2004),"",INDEX(Veri!$C$5:$C$2004,MATCH(29,Veri!$G$5:$G$2004,0)))</f>
        <v/>
      </c>
      <c r="L33" s="16" t="str">
        <f aca="false">IF(K33="","",SUMIFS(Veri!$E$5:$E$2004,Veri!$C$5:$C$2004,K33))</f>
        <v/>
      </c>
      <c r="M33" s="16" t="str">
        <f aca="false">IF(K33="","",L33+ROW()/1000000000)</f>
        <v/>
      </c>
      <c r="N33" s="16"/>
    </row>
    <row r="34" customFormat="false" ht="15" hidden="false" customHeight="false" outlineLevel="0" collapsed="false">
      <c r="A34" s="34" t="str">
        <f aca="false">IF(B34="","",30)</f>
        <v/>
      </c>
      <c r="B34" s="26" t="str">
        <f aca="false">IFERROR(INDEX($K$5:$K$204,MATCH(LARGE($M$5:$M$204,30),$M$5:$M$204,0)),"")</f>
        <v/>
      </c>
      <c r="C34" s="28" t="str">
        <f aca="false">IF(B34="","",SUMIFS(Veri!$D$5:$D$2004,Veri!$C$5:$C$2004,B34))</f>
        <v/>
      </c>
      <c r="D34" s="27" t="str">
        <f aca="false">IF(B34="","",SUMIFS(Veri!$E$5:$E$2004,Veri!$C$5:$C$2004,B34))</f>
        <v/>
      </c>
      <c r="E34" s="35" t="str">
        <f aca="false">IF(B34="","",IF(SUM(Veri!$E$5:$E$2004)=0,0,D34/SUM(Veri!$E$5:$E$2004)))</f>
        <v/>
      </c>
      <c r="F34" s="35" t="str">
        <f aca="false">IF(B34="","",SUM(E$5:E34))</f>
        <v/>
      </c>
      <c r="G34" s="36" t="str">
        <f aca="false">IF(B34="","",IF(F33&lt;0.8,"A",IF(F33&lt;0.95,"B","C")))</f>
        <v/>
      </c>
      <c r="H34" s="27" t="str">
        <f aca="false">IF(OR(B34="",C34=0),"",D34/C34)</f>
        <v/>
      </c>
      <c r="I34" s="37" t="str">
        <f aca="false">IF(B34="","",SUMPRODUCT(MAX((Veri!$C$5:$C$2004=B34)*Veri!$A$5:$A$2004)))</f>
        <v/>
      </c>
      <c r="J34" s="26"/>
      <c r="K34" s="26" t="str">
        <f aca="false">IF(30&gt;MAX(Veri!$G$5:$G$2004),"",INDEX(Veri!$C$5:$C$2004,MATCH(30,Veri!$G$5:$G$2004,0)))</f>
        <v/>
      </c>
      <c r="L34" s="26" t="str">
        <f aca="false">IF(K34="","",SUMIFS(Veri!$E$5:$E$2004,Veri!$C$5:$C$2004,K34))</f>
        <v/>
      </c>
      <c r="M34" s="26" t="str">
        <f aca="false">IF(K34="","",L34+ROW()/1000000000)</f>
        <v/>
      </c>
      <c r="N34" s="26"/>
    </row>
    <row r="35" customFormat="false" ht="15" hidden="false" customHeight="false" outlineLevel="0" collapsed="false">
      <c r="A35" s="30" t="str">
        <f aca="false">IF(B35="","",31)</f>
        <v/>
      </c>
      <c r="B35" s="16" t="str">
        <f aca="false">IFERROR(INDEX($K$5:$K$204,MATCH(LARGE($M$5:$M$204,31),$M$5:$M$204,0)),"")</f>
        <v/>
      </c>
      <c r="C35" s="24" t="str">
        <f aca="false">IF(B35="","",SUMIFS(Veri!$D$5:$D$2004,Veri!$C$5:$C$2004,B35))</f>
        <v/>
      </c>
      <c r="D35" s="23" t="str">
        <f aca="false">IF(B35="","",SUMIFS(Veri!$E$5:$E$2004,Veri!$C$5:$C$2004,B35))</f>
        <v/>
      </c>
      <c r="E35" s="31" t="str">
        <f aca="false">IF(B35="","",IF(SUM(Veri!$E$5:$E$2004)=0,0,D35/SUM(Veri!$E$5:$E$2004)))</f>
        <v/>
      </c>
      <c r="F35" s="31" t="str">
        <f aca="false">IF(B35="","",SUM(E$5:E35))</f>
        <v/>
      </c>
      <c r="G35" s="32" t="str">
        <f aca="false">IF(B35="","",IF(F34&lt;0.8,"A",IF(F34&lt;0.95,"B","C")))</f>
        <v/>
      </c>
      <c r="H35" s="23" t="str">
        <f aca="false">IF(OR(B35="",C35=0),"",D35/C35)</f>
        <v/>
      </c>
      <c r="I35" s="33" t="str">
        <f aca="false">IF(B35="","",SUMPRODUCT(MAX((Veri!$C$5:$C$2004=B35)*Veri!$A$5:$A$2004)))</f>
        <v/>
      </c>
      <c r="J35" s="16"/>
      <c r="K35" s="16" t="str">
        <f aca="false">IF(31&gt;MAX(Veri!$G$5:$G$2004),"",INDEX(Veri!$C$5:$C$2004,MATCH(31,Veri!$G$5:$G$2004,0)))</f>
        <v/>
      </c>
      <c r="L35" s="16" t="str">
        <f aca="false">IF(K35="","",SUMIFS(Veri!$E$5:$E$2004,Veri!$C$5:$C$2004,K35))</f>
        <v/>
      </c>
      <c r="M35" s="16" t="str">
        <f aca="false">IF(K35="","",L35+ROW()/1000000000)</f>
        <v/>
      </c>
      <c r="N35" s="16"/>
    </row>
    <row r="36" customFormat="false" ht="15" hidden="false" customHeight="false" outlineLevel="0" collapsed="false">
      <c r="A36" s="34" t="str">
        <f aca="false">IF(B36="","",32)</f>
        <v/>
      </c>
      <c r="B36" s="26" t="str">
        <f aca="false">IFERROR(INDEX($K$5:$K$204,MATCH(LARGE($M$5:$M$204,32),$M$5:$M$204,0)),"")</f>
        <v/>
      </c>
      <c r="C36" s="28" t="str">
        <f aca="false">IF(B36="","",SUMIFS(Veri!$D$5:$D$2004,Veri!$C$5:$C$2004,B36))</f>
        <v/>
      </c>
      <c r="D36" s="27" t="str">
        <f aca="false">IF(B36="","",SUMIFS(Veri!$E$5:$E$2004,Veri!$C$5:$C$2004,B36))</f>
        <v/>
      </c>
      <c r="E36" s="35" t="str">
        <f aca="false">IF(B36="","",IF(SUM(Veri!$E$5:$E$2004)=0,0,D36/SUM(Veri!$E$5:$E$2004)))</f>
        <v/>
      </c>
      <c r="F36" s="35" t="str">
        <f aca="false">IF(B36="","",SUM(E$5:E36))</f>
        <v/>
      </c>
      <c r="G36" s="36" t="str">
        <f aca="false">IF(B36="","",IF(F35&lt;0.8,"A",IF(F35&lt;0.95,"B","C")))</f>
        <v/>
      </c>
      <c r="H36" s="27" t="str">
        <f aca="false">IF(OR(B36="",C36=0),"",D36/C36)</f>
        <v/>
      </c>
      <c r="I36" s="37" t="str">
        <f aca="false">IF(B36="","",SUMPRODUCT(MAX((Veri!$C$5:$C$2004=B36)*Veri!$A$5:$A$2004)))</f>
        <v/>
      </c>
      <c r="J36" s="26"/>
      <c r="K36" s="26" t="str">
        <f aca="false">IF(32&gt;MAX(Veri!$G$5:$G$2004),"",INDEX(Veri!$C$5:$C$2004,MATCH(32,Veri!$G$5:$G$2004,0)))</f>
        <v/>
      </c>
      <c r="L36" s="26" t="str">
        <f aca="false">IF(K36="","",SUMIFS(Veri!$E$5:$E$2004,Veri!$C$5:$C$2004,K36))</f>
        <v/>
      </c>
      <c r="M36" s="26" t="str">
        <f aca="false">IF(K36="","",L36+ROW()/1000000000)</f>
        <v/>
      </c>
      <c r="N36" s="26"/>
    </row>
    <row r="37" customFormat="false" ht="15" hidden="false" customHeight="false" outlineLevel="0" collapsed="false">
      <c r="A37" s="30" t="str">
        <f aca="false">IF(B37="","",33)</f>
        <v/>
      </c>
      <c r="B37" s="16" t="str">
        <f aca="false">IFERROR(INDEX($K$5:$K$204,MATCH(LARGE($M$5:$M$204,33),$M$5:$M$204,0)),"")</f>
        <v/>
      </c>
      <c r="C37" s="24" t="str">
        <f aca="false">IF(B37="","",SUMIFS(Veri!$D$5:$D$2004,Veri!$C$5:$C$2004,B37))</f>
        <v/>
      </c>
      <c r="D37" s="23" t="str">
        <f aca="false">IF(B37="","",SUMIFS(Veri!$E$5:$E$2004,Veri!$C$5:$C$2004,B37))</f>
        <v/>
      </c>
      <c r="E37" s="31" t="str">
        <f aca="false">IF(B37="","",IF(SUM(Veri!$E$5:$E$2004)=0,0,D37/SUM(Veri!$E$5:$E$2004)))</f>
        <v/>
      </c>
      <c r="F37" s="31" t="str">
        <f aca="false">IF(B37="","",SUM(E$5:E37))</f>
        <v/>
      </c>
      <c r="G37" s="32" t="str">
        <f aca="false">IF(B37="","",IF(F36&lt;0.8,"A",IF(F36&lt;0.95,"B","C")))</f>
        <v/>
      </c>
      <c r="H37" s="23" t="str">
        <f aca="false">IF(OR(B37="",C37=0),"",D37/C37)</f>
        <v/>
      </c>
      <c r="I37" s="33" t="str">
        <f aca="false">IF(B37="","",SUMPRODUCT(MAX((Veri!$C$5:$C$2004=B37)*Veri!$A$5:$A$2004)))</f>
        <v/>
      </c>
      <c r="J37" s="16"/>
      <c r="K37" s="16" t="str">
        <f aca="false">IF(33&gt;MAX(Veri!$G$5:$G$2004),"",INDEX(Veri!$C$5:$C$2004,MATCH(33,Veri!$G$5:$G$2004,0)))</f>
        <v/>
      </c>
      <c r="L37" s="16" t="str">
        <f aca="false">IF(K37="","",SUMIFS(Veri!$E$5:$E$2004,Veri!$C$5:$C$2004,K37))</f>
        <v/>
      </c>
      <c r="M37" s="16" t="str">
        <f aca="false">IF(K37="","",L37+ROW()/1000000000)</f>
        <v/>
      </c>
      <c r="N37" s="16"/>
    </row>
    <row r="38" customFormat="false" ht="15" hidden="false" customHeight="false" outlineLevel="0" collapsed="false">
      <c r="A38" s="34" t="str">
        <f aca="false">IF(B38="","",34)</f>
        <v/>
      </c>
      <c r="B38" s="26" t="str">
        <f aca="false">IFERROR(INDEX($K$5:$K$204,MATCH(LARGE($M$5:$M$204,34),$M$5:$M$204,0)),"")</f>
        <v/>
      </c>
      <c r="C38" s="28" t="str">
        <f aca="false">IF(B38="","",SUMIFS(Veri!$D$5:$D$2004,Veri!$C$5:$C$2004,B38))</f>
        <v/>
      </c>
      <c r="D38" s="27" t="str">
        <f aca="false">IF(B38="","",SUMIFS(Veri!$E$5:$E$2004,Veri!$C$5:$C$2004,B38))</f>
        <v/>
      </c>
      <c r="E38" s="35" t="str">
        <f aca="false">IF(B38="","",IF(SUM(Veri!$E$5:$E$2004)=0,0,D38/SUM(Veri!$E$5:$E$2004)))</f>
        <v/>
      </c>
      <c r="F38" s="35" t="str">
        <f aca="false">IF(B38="","",SUM(E$5:E38))</f>
        <v/>
      </c>
      <c r="G38" s="36" t="str">
        <f aca="false">IF(B38="","",IF(F37&lt;0.8,"A",IF(F37&lt;0.95,"B","C")))</f>
        <v/>
      </c>
      <c r="H38" s="27" t="str">
        <f aca="false">IF(OR(B38="",C38=0),"",D38/C38)</f>
        <v/>
      </c>
      <c r="I38" s="37" t="str">
        <f aca="false">IF(B38="","",SUMPRODUCT(MAX((Veri!$C$5:$C$2004=B38)*Veri!$A$5:$A$2004)))</f>
        <v/>
      </c>
      <c r="J38" s="26"/>
      <c r="K38" s="26" t="str">
        <f aca="false">IF(34&gt;MAX(Veri!$G$5:$G$2004),"",INDEX(Veri!$C$5:$C$2004,MATCH(34,Veri!$G$5:$G$2004,0)))</f>
        <v/>
      </c>
      <c r="L38" s="26" t="str">
        <f aca="false">IF(K38="","",SUMIFS(Veri!$E$5:$E$2004,Veri!$C$5:$C$2004,K38))</f>
        <v/>
      </c>
      <c r="M38" s="26" t="str">
        <f aca="false">IF(K38="","",L38+ROW()/1000000000)</f>
        <v/>
      </c>
      <c r="N38" s="26"/>
    </row>
    <row r="39" customFormat="false" ht="15" hidden="false" customHeight="false" outlineLevel="0" collapsed="false">
      <c r="A39" s="30" t="str">
        <f aca="false">IF(B39="","",35)</f>
        <v/>
      </c>
      <c r="B39" s="16" t="str">
        <f aca="false">IFERROR(INDEX($K$5:$K$204,MATCH(LARGE($M$5:$M$204,35),$M$5:$M$204,0)),"")</f>
        <v/>
      </c>
      <c r="C39" s="24" t="str">
        <f aca="false">IF(B39="","",SUMIFS(Veri!$D$5:$D$2004,Veri!$C$5:$C$2004,B39))</f>
        <v/>
      </c>
      <c r="D39" s="23" t="str">
        <f aca="false">IF(B39="","",SUMIFS(Veri!$E$5:$E$2004,Veri!$C$5:$C$2004,B39))</f>
        <v/>
      </c>
      <c r="E39" s="31" t="str">
        <f aca="false">IF(B39="","",IF(SUM(Veri!$E$5:$E$2004)=0,0,D39/SUM(Veri!$E$5:$E$2004)))</f>
        <v/>
      </c>
      <c r="F39" s="31" t="str">
        <f aca="false">IF(B39="","",SUM(E$5:E39))</f>
        <v/>
      </c>
      <c r="G39" s="32" t="str">
        <f aca="false">IF(B39="","",IF(F38&lt;0.8,"A",IF(F38&lt;0.95,"B","C")))</f>
        <v/>
      </c>
      <c r="H39" s="23" t="str">
        <f aca="false">IF(OR(B39="",C39=0),"",D39/C39)</f>
        <v/>
      </c>
      <c r="I39" s="33" t="str">
        <f aca="false">IF(B39="","",SUMPRODUCT(MAX((Veri!$C$5:$C$2004=B39)*Veri!$A$5:$A$2004)))</f>
        <v/>
      </c>
      <c r="J39" s="16"/>
      <c r="K39" s="16" t="str">
        <f aca="false">IF(35&gt;MAX(Veri!$G$5:$G$2004),"",INDEX(Veri!$C$5:$C$2004,MATCH(35,Veri!$G$5:$G$2004,0)))</f>
        <v/>
      </c>
      <c r="L39" s="16" t="str">
        <f aca="false">IF(K39="","",SUMIFS(Veri!$E$5:$E$2004,Veri!$C$5:$C$2004,K39))</f>
        <v/>
      </c>
      <c r="M39" s="16" t="str">
        <f aca="false">IF(K39="","",L39+ROW()/1000000000)</f>
        <v/>
      </c>
      <c r="N39" s="16"/>
    </row>
    <row r="40" customFormat="false" ht="15" hidden="false" customHeight="false" outlineLevel="0" collapsed="false">
      <c r="A40" s="34" t="str">
        <f aca="false">IF(B40="","",36)</f>
        <v/>
      </c>
      <c r="B40" s="26" t="str">
        <f aca="false">IFERROR(INDEX($K$5:$K$204,MATCH(LARGE($M$5:$M$204,36),$M$5:$M$204,0)),"")</f>
        <v/>
      </c>
      <c r="C40" s="28" t="str">
        <f aca="false">IF(B40="","",SUMIFS(Veri!$D$5:$D$2004,Veri!$C$5:$C$2004,B40))</f>
        <v/>
      </c>
      <c r="D40" s="27" t="str">
        <f aca="false">IF(B40="","",SUMIFS(Veri!$E$5:$E$2004,Veri!$C$5:$C$2004,B40))</f>
        <v/>
      </c>
      <c r="E40" s="35" t="str">
        <f aca="false">IF(B40="","",IF(SUM(Veri!$E$5:$E$2004)=0,0,D40/SUM(Veri!$E$5:$E$2004)))</f>
        <v/>
      </c>
      <c r="F40" s="35" t="str">
        <f aca="false">IF(B40="","",SUM(E$5:E40))</f>
        <v/>
      </c>
      <c r="G40" s="36" t="str">
        <f aca="false">IF(B40="","",IF(F39&lt;0.8,"A",IF(F39&lt;0.95,"B","C")))</f>
        <v/>
      </c>
      <c r="H40" s="27" t="str">
        <f aca="false">IF(OR(B40="",C40=0),"",D40/C40)</f>
        <v/>
      </c>
      <c r="I40" s="37" t="str">
        <f aca="false">IF(B40="","",SUMPRODUCT(MAX((Veri!$C$5:$C$2004=B40)*Veri!$A$5:$A$2004)))</f>
        <v/>
      </c>
      <c r="J40" s="26"/>
      <c r="K40" s="26" t="str">
        <f aca="false">IF(36&gt;MAX(Veri!$G$5:$G$2004),"",INDEX(Veri!$C$5:$C$2004,MATCH(36,Veri!$G$5:$G$2004,0)))</f>
        <v/>
      </c>
      <c r="L40" s="26" t="str">
        <f aca="false">IF(K40="","",SUMIFS(Veri!$E$5:$E$2004,Veri!$C$5:$C$2004,K40))</f>
        <v/>
      </c>
      <c r="M40" s="26" t="str">
        <f aca="false">IF(K40="","",L40+ROW()/1000000000)</f>
        <v/>
      </c>
      <c r="N40" s="26"/>
    </row>
    <row r="41" customFormat="false" ht="15" hidden="false" customHeight="false" outlineLevel="0" collapsed="false">
      <c r="A41" s="30" t="str">
        <f aca="false">IF(B41="","",37)</f>
        <v/>
      </c>
      <c r="B41" s="16" t="str">
        <f aca="false">IFERROR(INDEX($K$5:$K$204,MATCH(LARGE($M$5:$M$204,37),$M$5:$M$204,0)),"")</f>
        <v/>
      </c>
      <c r="C41" s="24" t="str">
        <f aca="false">IF(B41="","",SUMIFS(Veri!$D$5:$D$2004,Veri!$C$5:$C$2004,B41))</f>
        <v/>
      </c>
      <c r="D41" s="23" t="str">
        <f aca="false">IF(B41="","",SUMIFS(Veri!$E$5:$E$2004,Veri!$C$5:$C$2004,B41))</f>
        <v/>
      </c>
      <c r="E41" s="31" t="str">
        <f aca="false">IF(B41="","",IF(SUM(Veri!$E$5:$E$2004)=0,0,D41/SUM(Veri!$E$5:$E$2004)))</f>
        <v/>
      </c>
      <c r="F41" s="31" t="str">
        <f aca="false">IF(B41="","",SUM(E$5:E41))</f>
        <v/>
      </c>
      <c r="G41" s="32" t="str">
        <f aca="false">IF(B41="","",IF(F40&lt;0.8,"A",IF(F40&lt;0.95,"B","C")))</f>
        <v/>
      </c>
      <c r="H41" s="23" t="str">
        <f aca="false">IF(OR(B41="",C41=0),"",D41/C41)</f>
        <v/>
      </c>
      <c r="I41" s="33" t="str">
        <f aca="false">IF(B41="","",SUMPRODUCT(MAX((Veri!$C$5:$C$2004=B41)*Veri!$A$5:$A$2004)))</f>
        <v/>
      </c>
      <c r="J41" s="16"/>
      <c r="K41" s="16" t="str">
        <f aca="false">IF(37&gt;MAX(Veri!$G$5:$G$2004),"",INDEX(Veri!$C$5:$C$2004,MATCH(37,Veri!$G$5:$G$2004,0)))</f>
        <v/>
      </c>
      <c r="L41" s="16" t="str">
        <f aca="false">IF(K41="","",SUMIFS(Veri!$E$5:$E$2004,Veri!$C$5:$C$2004,K41))</f>
        <v/>
      </c>
      <c r="M41" s="16" t="str">
        <f aca="false">IF(K41="","",L41+ROW()/1000000000)</f>
        <v/>
      </c>
      <c r="N41" s="16"/>
    </row>
    <row r="42" customFormat="false" ht="15" hidden="false" customHeight="false" outlineLevel="0" collapsed="false">
      <c r="A42" s="34" t="str">
        <f aca="false">IF(B42="","",38)</f>
        <v/>
      </c>
      <c r="B42" s="26" t="str">
        <f aca="false">IFERROR(INDEX($K$5:$K$204,MATCH(LARGE($M$5:$M$204,38),$M$5:$M$204,0)),"")</f>
        <v/>
      </c>
      <c r="C42" s="28" t="str">
        <f aca="false">IF(B42="","",SUMIFS(Veri!$D$5:$D$2004,Veri!$C$5:$C$2004,B42))</f>
        <v/>
      </c>
      <c r="D42" s="27" t="str">
        <f aca="false">IF(B42="","",SUMIFS(Veri!$E$5:$E$2004,Veri!$C$5:$C$2004,B42))</f>
        <v/>
      </c>
      <c r="E42" s="35" t="str">
        <f aca="false">IF(B42="","",IF(SUM(Veri!$E$5:$E$2004)=0,0,D42/SUM(Veri!$E$5:$E$2004)))</f>
        <v/>
      </c>
      <c r="F42" s="35" t="str">
        <f aca="false">IF(B42="","",SUM(E$5:E42))</f>
        <v/>
      </c>
      <c r="G42" s="36" t="str">
        <f aca="false">IF(B42="","",IF(F41&lt;0.8,"A",IF(F41&lt;0.95,"B","C")))</f>
        <v/>
      </c>
      <c r="H42" s="27" t="str">
        <f aca="false">IF(OR(B42="",C42=0),"",D42/C42)</f>
        <v/>
      </c>
      <c r="I42" s="37" t="str">
        <f aca="false">IF(B42="","",SUMPRODUCT(MAX((Veri!$C$5:$C$2004=B42)*Veri!$A$5:$A$2004)))</f>
        <v/>
      </c>
      <c r="J42" s="26"/>
      <c r="K42" s="26" t="str">
        <f aca="false">IF(38&gt;MAX(Veri!$G$5:$G$2004),"",INDEX(Veri!$C$5:$C$2004,MATCH(38,Veri!$G$5:$G$2004,0)))</f>
        <v/>
      </c>
      <c r="L42" s="26" t="str">
        <f aca="false">IF(K42="","",SUMIFS(Veri!$E$5:$E$2004,Veri!$C$5:$C$2004,K42))</f>
        <v/>
      </c>
      <c r="M42" s="26" t="str">
        <f aca="false">IF(K42="","",L42+ROW()/1000000000)</f>
        <v/>
      </c>
      <c r="N42" s="26"/>
    </row>
    <row r="43" customFormat="false" ht="15" hidden="false" customHeight="false" outlineLevel="0" collapsed="false">
      <c r="A43" s="30" t="str">
        <f aca="false">IF(B43="","",39)</f>
        <v/>
      </c>
      <c r="B43" s="16" t="str">
        <f aca="false">IFERROR(INDEX($K$5:$K$204,MATCH(LARGE($M$5:$M$204,39),$M$5:$M$204,0)),"")</f>
        <v/>
      </c>
      <c r="C43" s="24" t="str">
        <f aca="false">IF(B43="","",SUMIFS(Veri!$D$5:$D$2004,Veri!$C$5:$C$2004,B43))</f>
        <v/>
      </c>
      <c r="D43" s="23" t="str">
        <f aca="false">IF(B43="","",SUMIFS(Veri!$E$5:$E$2004,Veri!$C$5:$C$2004,B43))</f>
        <v/>
      </c>
      <c r="E43" s="31" t="str">
        <f aca="false">IF(B43="","",IF(SUM(Veri!$E$5:$E$2004)=0,0,D43/SUM(Veri!$E$5:$E$2004)))</f>
        <v/>
      </c>
      <c r="F43" s="31" t="str">
        <f aca="false">IF(B43="","",SUM(E$5:E43))</f>
        <v/>
      </c>
      <c r="G43" s="32" t="str">
        <f aca="false">IF(B43="","",IF(F42&lt;0.8,"A",IF(F42&lt;0.95,"B","C")))</f>
        <v/>
      </c>
      <c r="H43" s="23" t="str">
        <f aca="false">IF(OR(B43="",C43=0),"",D43/C43)</f>
        <v/>
      </c>
      <c r="I43" s="33" t="str">
        <f aca="false">IF(B43="","",SUMPRODUCT(MAX((Veri!$C$5:$C$2004=B43)*Veri!$A$5:$A$2004)))</f>
        <v/>
      </c>
      <c r="J43" s="16"/>
      <c r="K43" s="16" t="str">
        <f aca="false">IF(39&gt;MAX(Veri!$G$5:$G$2004),"",INDEX(Veri!$C$5:$C$2004,MATCH(39,Veri!$G$5:$G$2004,0)))</f>
        <v/>
      </c>
      <c r="L43" s="16" t="str">
        <f aca="false">IF(K43="","",SUMIFS(Veri!$E$5:$E$2004,Veri!$C$5:$C$2004,K43))</f>
        <v/>
      </c>
      <c r="M43" s="16" t="str">
        <f aca="false">IF(K43="","",L43+ROW()/1000000000)</f>
        <v/>
      </c>
      <c r="N43" s="16"/>
    </row>
    <row r="44" customFormat="false" ht="15" hidden="false" customHeight="false" outlineLevel="0" collapsed="false">
      <c r="A44" s="34" t="str">
        <f aca="false">IF(B44="","",40)</f>
        <v/>
      </c>
      <c r="B44" s="26" t="str">
        <f aca="false">IFERROR(INDEX($K$5:$K$204,MATCH(LARGE($M$5:$M$204,40),$M$5:$M$204,0)),"")</f>
        <v/>
      </c>
      <c r="C44" s="28" t="str">
        <f aca="false">IF(B44="","",SUMIFS(Veri!$D$5:$D$2004,Veri!$C$5:$C$2004,B44))</f>
        <v/>
      </c>
      <c r="D44" s="27" t="str">
        <f aca="false">IF(B44="","",SUMIFS(Veri!$E$5:$E$2004,Veri!$C$5:$C$2004,B44))</f>
        <v/>
      </c>
      <c r="E44" s="35" t="str">
        <f aca="false">IF(B44="","",IF(SUM(Veri!$E$5:$E$2004)=0,0,D44/SUM(Veri!$E$5:$E$2004)))</f>
        <v/>
      </c>
      <c r="F44" s="35" t="str">
        <f aca="false">IF(B44="","",SUM(E$5:E44))</f>
        <v/>
      </c>
      <c r="G44" s="36" t="str">
        <f aca="false">IF(B44="","",IF(F43&lt;0.8,"A",IF(F43&lt;0.95,"B","C")))</f>
        <v/>
      </c>
      <c r="H44" s="27" t="str">
        <f aca="false">IF(OR(B44="",C44=0),"",D44/C44)</f>
        <v/>
      </c>
      <c r="I44" s="37" t="str">
        <f aca="false">IF(B44="","",SUMPRODUCT(MAX((Veri!$C$5:$C$2004=B44)*Veri!$A$5:$A$2004)))</f>
        <v/>
      </c>
      <c r="J44" s="26"/>
      <c r="K44" s="26" t="str">
        <f aca="false">IF(40&gt;MAX(Veri!$G$5:$G$2004),"",INDEX(Veri!$C$5:$C$2004,MATCH(40,Veri!$G$5:$G$2004,0)))</f>
        <v/>
      </c>
      <c r="L44" s="26" t="str">
        <f aca="false">IF(K44="","",SUMIFS(Veri!$E$5:$E$2004,Veri!$C$5:$C$2004,K44))</f>
        <v/>
      </c>
      <c r="M44" s="26" t="str">
        <f aca="false">IF(K44="","",L44+ROW()/1000000000)</f>
        <v/>
      </c>
      <c r="N44" s="26"/>
    </row>
    <row r="45" customFormat="false" ht="15" hidden="false" customHeight="false" outlineLevel="0" collapsed="false">
      <c r="A45" s="30" t="str">
        <f aca="false">IF(B45="","",41)</f>
        <v/>
      </c>
      <c r="B45" s="16" t="str">
        <f aca="false">IFERROR(INDEX($K$5:$K$204,MATCH(LARGE($M$5:$M$204,41),$M$5:$M$204,0)),"")</f>
        <v/>
      </c>
      <c r="C45" s="24" t="str">
        <f aca="false">IF(B45="","",SUMIFS(Veri!$D$5:$D$2004,Veri!$C$5:$C$2004,B45))</f>
        <v/>
      </c>
      <c r="D45" s="23" t="str">
        <f aca="false">IF(B45="","",SUMIFS(Veri!$E$5:$E$2004,Veri!$C$5:$C$2004,B45))</f>
        <v/>
      </c>
      <c r="E45" s="31" t="str">
        <f aca="false">IF(B45="","",IF(SUM(Veri!$E$5:$E$2004)=0,0,D45/SUM(Veri!$E$5:$E$2004)))</f>
        <v/>
      </c>
      <c r="F45" s="31" t="str">
        <f aca="false">IF(B45="","",SUM(E$5:E45))</f>
        <v/>
      </c>
      <c r="G45" s="32" t="str">
        <f aca="false">IF(B45="","",IF(F44&lt;0.8,"A",IF(F44&lt;0.95,"B","C")))</f>
        <v/>
      </c>
      <c r="H45" s="23" t="str">
        <f aca="false">IF(OR(B45="",C45=0),"",D45/C45)</f>
        <v/>
      </c>
      <c r="I45" s="33" t="str">
        <f aca="false">IF(B45="","",SUMPRODUCT(MAX((Veri!$C$5:$C$2004=B45)*Veri!$A$5:$A$2004)))</f>
        <v/>
      </c>
      <c r="J45" s="16"/>
      <c r="K45" s="16" t="str">
        <f aca="false">IF(41&gt;MAX(Veri!$G$5:$G$2004),"",INDEX(Veri!$C$5:$C$2004,MATCH(41,Veri!$G$5:$G$2004,0)))</f>
        <v/>
      </c>
      <c r="L45" s="16" t="str">
        <f aca="false">IF(K45="","",SUMIFS(Veri!$E$5:$E$2004,Veri!$C$5:$C$2004,K45))</f>
        <v/>
      </c>
      <c r="M45" s="16" t="str">
        <f aca="false">IF(K45="","",L45+ROW()/1000000000)</f>
        <v/>
      </c>
      <c r="N45" s="16"/>
    </row>
    <row r="46" customFormat="false" ht="15" hidden="false" customHeight="false" outlineLevel="0" collapsed="false">
      <c r="A46" s="34" t="str">
        <f aca="false">IF(B46="","",42)</f>
        <v/>
      </c>
      <c r="B46" s="26" t="str">
        <f aca="false">IFERROR(INDEX($K$5:$K$204,MATCH(LARGE($M$5:$M$204,42),$M$5:$M$204,0)),"")</f>
        <v/>
      </c>
      <c r="C46" s="28" t="str">
        <f aca="false">IF(B46="","",SUMIFS(Veri!$D$5:$D$2004,Veri!$C$5:$C$2004,B46))</f>
        <v/>
      </c>
      <c r="D46" s="27" t="str">
        <f aca="false">IF(B46="","",SUMIFS(Veri!$E$5:$E$2004,Veri!$C$5:$C$2004,B46))</f>
        <v/>
      </c>
      <c r="E46" s="35" t="str">
        <f aca="false">IF(B46="","",IF(SUM(Veri!$E$5:$E$2004)=0,0,D46/SUM(Veri!$E$5:$E$2004)))</f>
        <v/>
      </c>
      <c r="F46" s="35" t="str">
        <f aca="false">IF(B46="","",SUM(E$5:E46))</f>
        <v/>
      </c>
      <c r="G46" s="36" t="str">
        <f aca="false">IF(B46="","",IF(F45&lt;0.8,"A",IF(F45&lt;0.95,"B","C")))</f>
        <v/>
      </c>
      <c r="H46" s="27" t="str">
        <f aca="false">IF(OR(B46="",C46=0),"",D46/C46)</f>
        <v/>
      </c>
      <c r="I46" s="37" t="str">
        <f aca="false">IF(B46="","",SUMPRODUCT(MAX((Veri!$C$5:$C$2004=B46)*Veri!$A$5:$A$2004)))</f>
        <v/>
      </c>
      <c r="J46" s="26"/>
      <c r="K46" s="26" t="str">
        <f aca="false">IF(42&gt;MAX(Veri!$G$5:$G$2004),"",INDEX(Veri!$C$5:$C$2004,MATCH(42,Veri!$G$5:$G$2004,0)))</f>
        <v/>
      </c>
      <c r="L46" s="26" t="str">
        <f aca="false">IF(K46="","",SUMIFS(Veri!$E$5:$E$2004,Veri!$C$5:$C$2004,K46))</f>
        <v/>
      </c>
      <c r="M46" s="26" t="str">
        <f aca="false">IF(K46="","",L46+ROW()/1000000000)</f>
        <v/>
      </c>
      <c r="N46" s="26"/>
    </row>
    <row r="47" customFormat="false" ht="15" hidden="false" customHeight="false" outlineLevel="0" collapsed="false">
      <c r="A47" s="30" t="str">
        <f aca="false">IF(B47="","",43)</f>
        <v/>
      </c>
      <c r="B47" s="16" t="str">
        <f aca="false">IFERROR(INDEX($K$5:$K$204,MATCH(LARGE($M$5:$M$204,43),$M$5:$M$204,0)),"")</f>
        <v/>
      </c>
      <c r="C47" s="24" t="str">
        <f aca="false">IF(B47="","",SUMIFS(Veri!$D$5:$D$2004,Veri!$C$5:$C$2004,B47))</f>
        <v/>
      </c>
      <c r="D47" s="23" t="str">
        <f aca="false">IF(B47="","",SUMIFS(Veri!$E$5:$E$2004,Veri!$C$5:$C$2004,B47))</f>
        <v/>
      </c>
      <c r="E47" s="31" t="str">
        <f aca="false">IF(B47="","",IF(SUM(Veri!$E$5:$E$2004)=0,0,D47/SUM(Veri!$E$5:$E$2004)))</f>
        <v/>
      </c>
      <c r="F47" s="31" t="str">
        <f aca="false">IF(B47="","",SUM(E$5:E47))</f>
        <v/>
      </c>
      <c r="G47" s="32" t="str">
        <f aca="false">IF(B47="","",IF(F46&lt;0.8,"A",IF(F46&lt;0.95,"B","C")))</f>
        <v/>
      </c>
      <c r="H47" s="23" t="str">
        <f aca="false">IF(OR(B47="",C47=0),"",D47/C47)</f>
        <v/>
      </c>
      <c r="I47" s="33" t="str">
        <f aca="false">IF(B47="","",SUMPRODUCT(MAX((Veri!$C$5:$C$2004=B47)*Veri!$A$5:$A$2004)))</f>
        <v/>
      </c>
      <c r="J47" s="16"/>
      <c r="K47" s="16" t="str">
        <f aca="false">IF(43&gt;MAX(Veri!$G$5:$G$2004),"",INDEX(Veri!$C$5:$C$2004,MATCH(43,Veri!$G$5:$G$2004,0)))</f>
        <v/>
      </c>
      <c r="L47" s="16" t="str">
        <f aca="false">IF(K47="","",SUMIFS(Veri!$E$5:$E$2004,Veri!$C$5:$C$2004,K47))</f>
        <v/>
      </c>
      <c r="M47" s="16" t="str">
        <f aca="false">IF(K47="","",L47+ROW()/1000000000)</f>
        <v/>
      </c>
      <c r="N47" s="16"/>
    </row>
    <row r="48" customFormat="false" ht="15" hidden="false" customHeight="false" outlineLevel="0" collapsed="false">
      <c r="A48" s="34" t="str">
        <f aca="false">IF(B48="","",44)</f>
        <v/>
      </c>
      <c r="B48" s="26" t="str">
        <f aca="false">IFERROR(INDEX($K$5:$K$204,MATCH(LARGE($M$5:$M$204,44),$M$5:$M$204,0)),"")</f>
        <v/>
      </c>
      <c r="C48" s="28" t="str">
        <f aca="false">IF(B48="","",SUMIFS(Veri!$D$5:$D$2004,Veri!$C$5:$C$2004,B48))</f>
        <v/>
      </c>
      <c r="D48" s="27" t="str">
        <f aca="false">IF(B48="","",SUMIFS(Veri!$E$5:$E$2004,Veri!$C$5:$C$2004,B48))</f>
        <v/>
      </c>
      <c r="E48" s="35" t="str">
        <f aca="false">IF(B48="","",IF(SUM(Veri!$E$5:$E$2004)=0,0,D48/SUM(Veri!$E$5:$E$2004)))</f>
        <v/>
      </c>
      <c r="F48" s="35" t="str">
        <f aca="false">IF(B48="","",SUM(E$5:E48))</f>
        <v/>
      </c>
      <c r="G48" s="36" t="str">
        <f aca="false">IF(B48="","",IF(F47&lt;0.8,"A",IF(F47&lt;0.95,"B","C")))</f>
        <v/>
      </c>
      <c r="H48" s="27" t="str">
        <f aca="false">IF(OR(B48="",C48=0),"",D48/C48)</f>
        <v/>
      </c>
      <c r="I48" s="37" t="str">
        <f aca="false">IF(B48="","",SUMPRODUCT(MAX((Veri!$C$5:$C$2004=B48)*Veri!$A$5:$A$2004)))</f>
        <v/>
      </c>
      <c r="J48" s="26"/>
      <c r="K48" s="26" t="str">
        <f aca="false">IF(44&gt;MAX(Veri!$G$5:$G$2004),"",INDEX(Veri!$C$5:$C$2004,MATCH(44,Veri!$G$5:$G$2004,0)))</f>
        <v/>
      </c>
      <c r="L48" s="26" t="str">
        <f aca="false">IF(K48="","",SUMIFS(Veri!$E$5:$E$2004,Veri!$C$5:$C$2004,K48))</f>
        <v/>
      </c>
      <c r="M48" s="26" t="str">
        <f aca="false">IF(K48="","",L48+ROW()/1000000000)</f>
        <v/>
      </c>
      <c r="N48" s="26"/>
    </row>
    <row r="49" customFormat="false" ht="15" hidden="false" customHeight="false" outlineLevel="0" collapsed="false">
      <c r="A49" s="30" t="str">
        <f aca="false">IF(B49="","",45)</f>
        <v/>
      </c>
      <c r="B49" s="16" t="str">
        <f aca="false">IFERROR(INDEX($K$5:$K$204,MATCH(LARGE($M$5:$M$204,45),$M$5:$M$204,0)),"")</f>
        <v/>
      </c>
      <c r="C49" s="24" t="str">
        <f aca="false">IF(B49="","",SUMIFS(Veri!$D$5:$D$2004,Veri!$C$5:$C$2004,B49))</f>
        <v/>
      </c>
      <c r="D49" s="23" t="str">
        <f aca="false">IF(B49="","",SUMIFS(Veri!$E$5:$E$2004,Veri!$C$5:$C$2004,B49))</f>
        <v/>
      </c>
      <c r="E49" s="31" t="str">
        <f aca="false">IF(B49="","",IF(SUM(Veri!$E$5:$E$2004)=0,0,D49/SUM(Veri!$E$5:$E$2004)))</f>
        <v/>
      </c>
      <c r="F49" s="31" t="str">
        <f aca="false">IF(B49="","",SUM(E$5:E49))</f>
        <v/>
      </c>
      <c r="G49" s="32" t="str">
        <f aca="false">IF(B49="","",IF(F48&lt;0.8,"A",IF(F48&lt;0.95,"B","C")))</f>
        <v/>
      </c>
      <c r="H49" s="23" t="str">
        <f aca="false">IF(OR(B49="",C49=0),"",D49/C49)</f>
        <v/>
      </c>
      <c r="I49" s="33" t="str">
        <f aca="false">IF(B49="","",SUMPRODUCT(MAX((Veri!$C$5:$C$2004=B49)*Veri!$A$5:$A$2004)))</f>
        <v/>
      </c>
      <c r="J49" s="16"/>
      <c r="K49" s="16" t="str">
        <f aca="false">IF(45&gt;MAX(Veri!$G$5:$G$2004),"",INDEX(Veri!$C$5:$C$2004,MATCH(45,Veri!$G$5:$G$2004,0)))</f>
        <v/>
      </c>
      <c r="L49" s="16" t="str">
        <f aca="false">IF(K49="","",SUMIFS(Veri!$E$5:$E$2004,Veri!$C$5:$C$2004,K49))</f>
        <v/>
      </c>
      <c r="M49" s="16" t="str">
        <f aca="false">IF(K49="","",L49+ROW()/1000000000)</f>
        <v/>
      </c>
      <c r="N49" s="16"/>
    </row>
    <row r="50" customFormat="false" ht="15" hidden="false" customHeight="false" outlineLevel="0" collapsed="false">
      <c r="A50" s="34" t="str">
        <f aca="false">IF(B50="","",46)</f>
        <v/>
      </c>
      <c r="B50" s="26" t="str">
        <f aca="false">IFERROR(INDEX($K$5:$K$204,MATCH(LARGE($M$5:$M$204,46),$M$5:$M$204,0)),"")</f>
        <v/>
      </c>
      <c r="C50" s="28" t="str">
        <f aca="false">IF(B50="","",SUMIFS(Veri!$D$5:$D$2004,Veri!$C$5:$C$2004,B50))</f>
        <v/>
      </c>
      <c r="D50" s="27" t="str">
        <f aca="false">IF(B50="","",SUMIFS(Veri!$E$5:$E$2004,Veri!$C$5:$C$2004,B50))</f>
        <v/>
      </c>
      <c r="E50" s="35" t="str">
        <f aca="false">IF(B50="","",IF(SUM(Veri!$E$5:$E$2004)=0,0,D50/SUM(Veri!$E$5:$E$2004)))</f>
        <v/>
      </c>
      <c r="F50" s="35" t="str">
        <f aca="false">IF(B50="","",SUM(E$5:E50))</f>
        <v/>
      </c>
      <c r="G50" s="36" t="str">
        <f aca="false">IF(B50="","",IF(F49&lt;0.8,"A",IF(F49&lt;0.95,"B","C")))</f>
        <v/>
      </c>
      <c r="H50" s="27" t="str">
        <f aca="false">IF(OR(B50="",C50=0),"",D50/C50)</f>
        <v/>
      </c>
      <c r="I50" s="37" t="str">
        <f aca="false">IF(B50="","",SUMPRODUCT(MAX((Veri!$C$5:$C$2004=B50)*Veri!$A$5:$A$2004)))</f>
        <v/>
      </c>
      <c r="J50" s="26"/>
      <c r="K50" s="26" t="str">
        <f aca="false">IF(46&gt;MAX(Veri!$G$5:$G$2004),"",INDEX(Veri!$C$5:$C$2004,MATCH(46,Veri!$G$5:$G$2004,0)))</f>
        <v/>
      </c>
      <c r="L50" s="26" t="str">
        <f aca="false">IF(K50="","",SUMIFS(Veri!$E$5:$E$2004,Veri!$C$5:$C$2004,K50))</f>
        <v/>
      </c>
      <c r="M50" s="26" t="str">
        <f aca="false">IF(K50="","",L50+ROW()/1000000000)</f>
        <v/>
      </c>
      <c r="N50" s="26"/>
    </row>
    <row r="51" customFormat="false" ht="15" hidden="false" customHeight="false" outlineLevel="0" collapsed="false">
      <c r="A51" s="30" t="str">
        <f aca="false">IF(B51="","",47)</f>
        <v/>
      </c>
      <c r="B51" s="16" t="str">
        <f aca="false">IFERROR(INDEX($K$5:$K$204,MATCH(LARGE($M$5:$M$204,47),$M$5:$M$204,0)),"")</f>
        <v/>
      </c>
      <c r="C51" s="24" t="str">
        <f aca="false">IF(B51="","",SUMIFS(Veri!$D$5:$D$2004,Veri!$C$5:$C$2004,B51))</f>
        <v/>
      </c>
      <c r="D51" s="23" t="str">
        <f aca="false">IF(B51="","",SUMIFS(Veri!$E$5:$E$2004,Veri!$C$5:$C$2004,B51))</f>
        <v/>
      </c>
      <c r="E51" s="31" t="str">
        <f aca="false">IF(B51="","",IF(SUM(Veri!$E$5:$E$2004)=0,0,D51/SUM(Veri!$E$5:$E$2004)))</f>
        <v/>
      </c>
      <c r="F51" s="31" t="str">
        <f aca="false">IF(B51="","",SUM(E$5:E51))</f>
        <v/>
      </c>
      <c r="G51" s="32" t="str">
        <f aca="false">IF(B51="","",IF(F50&lt;0.8,"A",IF(F50&lt;0.95,"B","C")))</f>
        <v/>
      </c>
      <c r="H51" s="23" t="str">
        <f aca="false">IF(OR(B51="",C51=0),"",D51/C51)</f>
        <v/>
      </c>
      <c r="I51" s="33" t="str">
        <f aca="false">IF(B51="","",SUMPRODUCT(MAX((Veri!$C$5:$C$2004=B51)*Veri!$A$5:$A$2004)))</f>
        <v/>
      </c>
      <c r="J51" s="16"/>
      <c r="K51" s="16" t="str">
        <f aca="false">IF(47&gt;MAX(Veri!$G$5:$G$2004),"",INDEX(Veri!$C$5:$C$2004,MATCH(47,Veri!$G$5:$G$2004,0)))</f>
        <v/>
      </c>
      <c r="L51" s="16" t="str">
        <f aca="false">IF(K51="","",SUMIFS(Veri!$E$5:$E$2004,Veri!$C$5:$C$2004,K51))</f>
        <v/>
      </c>
      <c r="M51" s="16" t="str">
        <f aca="false">IF(K51="","",L51+ROW()/1000000000)</f>
        <v/>
      </c>
      <c r="N51" s="16"/>
    </row>
    <row r="52" customFormat="false" ht="15" hidden="false" customHeight="false" outlineLevel="0" collapsed="false">
      <c r="A52" s="34" t="str">
        <f aca="false">IF(B52="","",48)</f>
        <v/>
      </c>
      <c r="B52" s="26" t="str">
        <f aca="false">IFERROR(INDEX($K$5:$K$204,MATCH(LARGE($M$5:$M$204,48),$M$5:$M$204,0)),"")</f>
        <v/>
      </c>
      <c r="C52" s="28" t="str">
        <f aca="false">IF(B52="","",SUMIFS(Veri!$D$5:$D$2004,Veri!$C$5:$C$2004,B52))</f>
        <v/>
      </c>
      <c r="D52" s="27" t="str">
        <f aca="false">IF(B52="","",SUMIFS(Veri!$E$5:$E$2004,Veri!$C$5:$C$2004,B52))</f>
        <v/>
      </c>
      <c r="E52" s="35" t="str">
        <f aca="false">IF(B52="","",IF(SUM(Veri!$E$5:$E$2004)=0,0,D52/SUM(Veri!$E$5:$E$2004)))</f>
        <v/>
      </c>
      <c r="F52" s="35" t="str">
        <f aca="false">IF(B52="","",SUM(E$5:E52))</f>
        <v/>
      </c>
      <c r="G52" s="36" t="str">
        <f aca="false">IF(B52="","",IF(F51&lt;0.8,"A",IF(F51&lt;0.95,"B","C")))</f>
        <v/>
      </c>
      <c r="H52" s="27" t="str">
        <f aca="false">IF(OR(B52="",C52=0),"",D52/C52)</f>
        <v/>
      </c>
      <c r="I52" s="37" t="str">
        <f aca="false">IF(B52="","",SUMPRODUCT(MAX((Veri!$C$5:$C$2004=B52)*Veri!$A$5:$A$2004)))</f>
        <v/>
      </c>
      <c r="J52" s="26"/>
      <c r="K52" s="26" t="str">
        <f aca="false">IF(48&gt;MAX(Veri!$G$5:$G$2004),"",INDEX(Veri!$C$5:$C$2004,MATCH(48,Veri!$G$5:$G$2004,0)))</f>
        <v/>
      </c>
      <c r="L52" s="26" t="str">
        <f aca="false">IF(K52="","",SUMIFS(Veri!$E$5:$E$2004,Veri!$C$5:$C$2004,K52))</f>
        <v/>
      </c>
      <c r="M52" s="26" t="str">
        <f aca="false">IF(K52="","",L52+ROW()/1000000000)</f>
        <v/>
      </c>
      <c r="N52" s="26"/>
    </row>
    <row r="53" customFormat="false" ht="15" hidden="false" customHeight="false" outlineLevel="0" collapsed="false">
      <c r="A53" s="30" t="str">
        <f aca="false">IF(B53="","",49)</f>
        <v/>
      </c>
      <c r="B53" s="16" t="str">
        <f aca="false">IFERROR(INDEX($K$5:$K$204,MATCH(LARGE($M$5:$M$204,49),$M$5:$M$204,0)),"")</f>
        <v/>
      </c>
      <c r="C53" s="24" t="str">
        <f aca="false">IF(B53="","",SUMIFS(Veri!$D$5:$D$2004,Veri!$C$5:$C$2004,B53))</f>
        <v/>
      </c>
      <c r="D53" s="23" t="str">
        <f aca="false">IF(B53="","",SUMIFS(Veri!$E$5:$E$2004,Veri!$C$5:$C$2004,B53))</f>
        <v/>
      </c>
      <c r="E53" s="31" t="str">
        <f aca="false">IF(B53="","",IF(SUM(Veri!$E$5:$E$2004)=0,0,D53/SUM(Veri!$E$5:$E$2004)))</f>
        <v/>
      </c>
      <c r="F53" s="31" t="str">
        <f aca="false">IF(B53="","",SUM(E$5:E53))</f>
        <v/>
      </c>
      <c r="G53" s="32" t="str">
        <f aca="false">IF(B53="","",IF(F52&lt;0.8,"A",IF(F52&lt;0.95,"B","C")))</f>
        <v/>
      </c>
      <c r="H53" s="23" t="str">
        <f aca="false">IF(OR(B53="",C53=0),"",D53/C53)</f>
        <v/>
      </c>
      <c r="I53" s="33" t="str">
        <f aca="false">IF(B53="","",SUMPRODUCT(MAX((Veri!$C$5:$C$2004=B53)*Veri!$A$5:$A$2004)))</f>
        <v/>
      </c>
      <c r="J53" s="16"/>
      <c r="K53" s="16" t="str">
        <f aca="false">IF(49&gt;MAX(Veri!$G$5:$G$2004),"",INDEX(Veri!$C$5:$C$2004,MATCH(49,Veri!$G$5:$G$2004,0)))</f>
        <v/>
      </c>
      <c r="L53" s="16" t="str">
        <f aca="false">IF(K53="","",SUMIFS(Veri!$E$5:$E$2004,Veri!$C$5:$C$2004,K53))</f>
        <v/>
      </c>
      <c r="M53" s="16" t="str">
        <f aca="false">IF(K53="","",L53+ROW()/1000000000)</f>
        <v/>
      </c>
      <c r="N53" s="16"/>
    </row>
    <row r="54" customFormat="false" ht="15" hidden="false" customHeight="false" outlineLevel="0" collapsed="false">
      <c r="A54" s="34" t="str">
        <f aca="false">IF(B54="","",50)</f>
        <v/>
      </c>
      <c r="B54" s="26" t="str">
        <f aca="false">IFERROR(INDEX($K$5:$K$204,MATCH(LARGE($M$5:$M$204,50),$M$5:$M$204,0)),"")</f>
        <v/>
      </c>
      <c r="C54" s="28" t="str">
        <f aca="false">IF(B54="","",SUMIFS(Veri!$D$5:$D$2004,Veri!$C$5:$C$2004,B54))</f>
        <v/>
      </c>
      <c r="D54" s="27" t="str">
        <f aca="false">IF(B54="","",SUMIFS(Veri!$E$5:$E$2004,Veri!$C$5:$C$2004,B54))</f>
        <v/>
      </c>
      <c r="E54" s="35" t="str">
        <f aca="false">IF(B54="","",IF(SUM(Veri!$E$5:$E$2004)=0,0,D54/SUM(Veri!$E$5:$E$2004)))</f>
        <v/>
      </c>
      <c r="F54" s="35" t="str">
        <f aca="false">IF(B54="","",SUM(E$5:E54))</f>
        <v/>
      </c>
      <c r="G54" s="36" t="str">
        <f aca="false">IF(B54="","",IF(F53&lt;0.8,"A",IF(F53&lt;0.95,"B","C")))</f>
        <v/>
      </c>
      <c r="H54" s="27" t="str">
        <f aca="false">IF(OR(B54="",C54=0),"",D54/C54)</f>
        <v/>
      </c>
      <c r="I54" s="37" t="str">
        <f aca="false">IF(B54="","",SUMPRODUCT(MAX((Veri!$C$5:$C$2004=B54)*Veri!$A$5:$A$2004)))</f>
        <v/>
      </c>
      <c r="J54" s="26"/>
      <c r="K54" s="26" t="str">
        <f aca="false">IF(50&gt;MAX(Veri!$G$5:$G$2004),"",INDEX(Veri!$C$5:$C$2004,MATCH(50,Veri!$G$5:$G$2004,0)))</f>
        <v/>
      </c>
      <c r="L54" s="26" t="str">
        <f aca="false">IF(K54="","",SUMIFS(Veri!$E$5:$E$2004,Veri!$C$5:$C$2004,K54))</f>
        <v/>
      </c>
      <c r="M54" s="26" t="str">
        <f aca="false">IF(K54="","",L54+ROW()/1000000000)</f>
        <v/>
      </c>
      <c r="N54" s="26"/>
    </row>
    <row r="55" customFormat="false" ht="15" hidden="false" customHeight="false" outlineLevel="0" collapsed="false">
      <c r="A55" s="30" t="str">
        <f aca="false">IF(B55="","",51)</f>
        <v/>
      </c>
      <c r="B55" s="16" t="str">
        <f aca="false">IFERROR(INDEX($K$5:$K$204,MATCH(LARGE($M$5:$M$204,51),$M$5:$M$204,0)),"")</f>
        <v/>
      </c>
      <c r="C55" s="24" t="str">
        <f aca="false">IF(B55="","",SUMIFS(Veri!$D$5:$D$2004,Veri!$C$5:$C$2004,B55))</f>
        <v/>
      </c>
      <c r="D55" s="23" t="str">
        <f aca="false">IF(B55="","",SUMIFS(Veri!$E$5:$E$2004,Veri!$C$5:$C$2004,B55))</f>
        <v/>
      </c>
      <c r="E55" s="31" t="str">
        <f aca="false">IF(B55="","",IF(SUM(Veri!$E$5:$E$2004)=0,0,D55/SUM(Veri!$E$5:$E$2004)))</f>
        <v/>
      </c>
      <c r="F55" s="31" t="str">
        <f aca="false">IF(B55="","",SUM(E$5:E55))</f>
        <v/>
      </c>
      <c r="G55" s="32" t="str">
        <f aca="false">IF(B55="","",IF(F54&lt;0.8,"A",IF(F54&lt;0.95,"B","C")))</f>
        <v/>
      </c>
      <c r="H55" s="23" t="str">
        <f aca="false">IF(OR(B55="",C55=0),"",D55/C55)</f>
        <v/>
      </c>
      <c r="I55" s="33" t="str">
        <f aca="false">IF(B55="","",SUMPRODUCT(MAX((Veri!$C$5:$C$2004=B55)*Veri!$A$5:$A$2004)))</f>
        <v/>
      </c>
      <c r="J55" s="16"/>
      <c r="K55" s="16" t="str">
        <f aca="false">IF(51&gt;MAX(Veri!$G$5:$G$2004),"",INDEX(Veri!$C$5:$C$2004,MATCH(51,Veri!$G$5:$G$2004,0)))</f>
        <v/>
      </c>
      <c r="L55" s="16" t="str">
        <f aca="false">IF(K55="","",SUMIFS(Veri!$E$5:$E$2004,Veri!$C$5:$C$2004,K55))</f>
        <v/>
      </c>
      <c r="M55" s="16" t="str">
        <f aca="false">IF(K55="","",L55+ROW()/1000000000)</f>
        <v/>
      </c>
      <c r="N55" s="16"/>
    </row>
    <row r="56" customFormat="false" ht="15" hidden="false" customHeight="false" outlineLevel="0" collapsed="false">
      <c r="A56" s="34" t="str">
        <f aca="false">IF(B56="","",52)</f>
        <v/>
      </c>
      <c r="B56" s="26" t="str">
        <f aca="false">IFERROR(INDEX($K$5:$K$204,MATCH(LARGE($M$5:$M$204,52),$M$5:$M$204,0)),"")</f>
        <v/>
      </c>
      <c r="C56" s="28" t="str">
        <f aca="false">IF(B56="","",SUMIFS(Veri!$D$5:$D$2004,Veri!$C$5:$C$2004,B56))</f>
        <v/>
      </c>
      <c r="D56" s="27" t="str">
        <f aca="false">IF(B56="","",SUMIFS(Veri!$E$5:$E$2004,Veri!$C$5:$C$2004,B56))</f>
        <v/>
      </c>
      <c r="E56" s="35" t="str">
        <f aca="false">IF(B56="","",IF(SUM(Veri!$E$5:$E$2004)=0,0,D56/SUM(Veri!$E$5:$E$2004)))</f>
        <v/>
      </c>
      <c r="F56" s="35" t="str">
        <f aca="false">IF(B56="","",SUM(E$5:E56))</f>
        <v/>
      </c>
      <c r="G56" s="36" t="str">
        <f aca="false">IF(B56="","",IF(F55&lt;0.8,"A",IF(F55&lt;0.95,"B","C")))</f>
        <v/>
      </c>
      <c r="H56" s="27" t="str">
        <f aca="false">IF(OR(B56="",C56=0),"",D56/C56)</f>
        <v/>
      </c>
      <c r="I56" s="37" t="str">
        <f aca="false">IF(B56="","",SUMPRODUCT(MAX((Veri!$C$5:$C$2004=B56)*Veri!$A$5:$A$2004)))</f>
        <v/>
      </c>
      <c r="J56" s="26"/>
      <c r="K56" s="26" t="str">
        <f aca="false">IF(52&gt;MAX(Veri!$G$5:$G$2004),"",INDEX(Veri!$C$5:$C$2004,MATCH(52,Veri!$G$5:$G$2004,0)))</f>
        <v/>
      </c>
      <c r="L56" s="26" t="str">
        <f aca="false">IF(K56="","",SUMIFS(Veri!$E$5:$E$2004,Veri!$C$5:$C$2004,K56))</f>
        <v/>
      </c>
      <c r="M56" s="26" t="str">
        <f aca="false">IF(K56="","",L56+ROW()/1000000000)</f>
        <v/>
      </c>
      <c r="N56" s="26"/>
    </row>
    <row r="57" customFormat="false" ht="15" hidden="false" customHeight="false" outlineLevel="0" collapsed="false">
      <c r="A57" s="30" t="str">
        <f aca="false">IF(B57="","",53)</f>
        <v/>
      </c>
      <c r="B57" s="16" t="str">
        <f aca="false">IFERROR(INDEX($K$5:$K$204,MATCH(LARGE($M$5:$M$204,53),$M$5:$M$204,0)),"")</f>
        <v/>
      </c>
      <c r="C57" s="24" t="str">
        <f aca="false">IF(B57="","",SUMIFS(Veri!$D$5:$D$2004,Veri!$C$5:$C$2004,B57))</f>
        <v/>
      </c>
      <c r="D57" s="23" t="str">
        <f aca="false">IF(B57="","",SUMIFS(Veri!$E$5:$E$2004,Veri!$C$5:$C$2004,B57))</f>
        <v/>
      </c>
      <c r="E57" s="31" t="str">
        <f aca="false">IF(B57="","",IF(SUM(Veri!$E$5:$E$2004)=0,0,D57/SUM(Veri!$E$5:$E$2004)))</f>
        <v/>
      </c>
      <c r="F57" s="31" t="str">
        <f aca="false">IF(B57="","",SUM(E$5:E57))</f>
        <v/>
      </c>
      <c r="G57" s="32" t="str">
        <f aca="false">IF(B57="","",IF(F56&lt;0.8,"A",IF(F56&lt;0.95,"B","C")))</f>
        <v/>
      </c>
      <c r="H57" s="23" t="str">
        <f aca="false">IF(OR(B57="",C57=0),"",D57/C57)</f>
        <v/>
      </c>
      <c r="I57" s="33" t="str">
        <f aca="false">IF(B57="","",SUMPRODUCT(MAX((Veri!$C$5:$C$2004=B57)*Veri!$A$5:$A$2004)))</f>
        <v/>
      </c>
      <c r="J57" s="16"/>
      <c r="K57" s="16" t="str">
        <f aca="false">IF(53&gt;MAX(Veri!$G$5:$G$2004),"",INDEX(Veri!$C$5:$C$2004,MATCH(53,Veri!$G$5:$G$2004,0)))</f>
        <v/>
      </c>
      <c r="L57" s="16" t="str">
        <f aca="false">IF(K57="","",SUMIFS(Veri!$E$5:$E$2004,Veri!$C$5:$C$2004,K57))</f>
        <v/>
      </c>
      <c r="M57" s="16" t="str">
        <f aca="false">IF(K57="","",L57+ROW()/1000000000)</f>
        <v/>
      </c>
      <c r="N57" s="16"/>
    </row>
    <row r="58" customFormat="false" ht="15" hidden="false" customHeight="false" outlineLevel="0" collapsed="false">
      <c r="A58" s="34" t="str">
        <f aca="false">IF(B58="","",54)</f>
        <v/>
      </c>
      <c r="B58" s="26" t="str">
        <f aca="false">IFERROR(INDEX($K$5:$K$204,MATCH(LARGE($M$5:$M$204,54),$M$5:$M$204,0)),"")</f>
        <v/>
      </c>
      <c r="C58" s="28" t="str">
        <f aca="false">IF(B58="","",SUMIFS(Veri!$D$5:$D$2004,Veri!$C$5:$C$2004,B58))</f>
        <v/>
      </c>
      <c r="D58" s="27" t="str">
        <f aca="false">IF(B58="","",SUMIFS(Veri!$E$5:$E$2004,Veri!$C$5:$C$2004,B58))</f>
        <v/>
      </c>
      <c r="E58" s="35" t="str">
        <f aca="false">IF(B58="","",IF(SUM(Veri!$E$5:$E$2004)=0,0,D58/SUM(Veri!$E$5:$E$2004)))</f>
        <v/>
      </c>
      <c r="F58" s="35" t="str">
        <f aca="false">IF(B58="","",SUM(E$5:E58))</f>
        <v/>
      </c>
      <c r="G58" s="36" t="str">
        <f aca="false">IF(B58="","",IF(F57&lt;0.8,"A",IF(F57&lt;0.95,"B","C")))</f>
        <v/>
      </c>
      <c r="H58" s="27" t="str">
        <f aca="false">IF(OR(B58="",C58=0),"",D58/C58)</f>
        <v/>
      </c>
      <c r="I58" s="37" t="str">
        <f aca="false">IF(B58="","",SUMPRODUCT(MAX((Veri!$C$5:$C$2004=B58)*Veri!$A$5:$A$2004)))</f>
        <v/>
      </c>
      <c r="J58" s="26"/>
      <c r="K58" s="26" t="str">
        <f aca="false">IF(54&gt;MAX(Veri!$G$5:$G$2004),"",INDEX(Veri!$C$5:$C$2004,MATCH(54,Veri!$G$5:$G$2004,0)))</f>
        <v/>
      </c>
      <c r="L58" s="26" t="str">
        <f aca="false">IF(K58="","",SUMIFS(Veri!$E$5:$E$2004,Veri!$C$5:$C$2004,K58))</f>
        <v/>
      </c>
      <c r="M58" s="26" t="str">
        <f aca="false">IF(K58="","",L58+ROW()/1000000000)</f>
        <v/>
      </c>
      <c r="N58" s="26"/>
    </row>
    <row r="59" customFormat="false" ht="15" hidden="false" customHeight="false" outlineLevel="0" collapsed="false">
      <c r="A59" s="30" t="str">
        <f aca="false">IF(B59="","",55)</f>
        <v/>
      </c>
      <c r="B59" s="16" t="str">
        <f aca="false">IFERROR(INDEX($K$5:$K$204,MATCH(LARGE($M$5:$M$204,55),$M$5:$M$204,0)),"")</f>
        <v/>
      </c>
      <c r="C59" s="24" t="str">
        <f aca="false">IF(B59="","",SUMIFS(Veri!$D$5:$D$2004,Veri!$C$5:$C$2004,B59))</f>
        <v/>
      </c>
      <c r="D59" s="23" t="str">
        <f aca="false">IF(B59="","",SUMIFS(Veri!$E$5:$E$2004,Veri!$C$5:$C$2004,B59))</f>
        <v/>
      </c>
      <c r="E59" s="31" t="str">
        <f aca="false">IF(B59="","",IF(SUM(Veri!$E$5:$E$2004)=0,0,D59/SUM(Veri!$E$5:$E$2004)))</f>
        <v/>
      </c>
      <c r="F59" s="31" t="str">
        <f aca="false">IF(B59="","",SUM(E$5:E59))</f>
        <v/>
      </c>
      <c r="G59" s="32" t="str">
        <f aca="false">IF(B59="","",IF(F58&lt;0.8,"A",IF(F58&lt;0.95,"B","C")))</f>
        <v/>
      </c>
      <c r="H59" s="23" t="str">
        <f aca="false">IF(OR(B59="",C59=0),"",D59/C59)</f>
        <v/>
      </c>
      <c r="I59" s="33" t="str">
        <f aca="false">IF(B59="","",SUMPRODUCT(MAX((Veri!$C$5:$C$2004=B59)*Veri!$A$5:$A$2004)))</f>
        <v/>
      </c>
      <c r="J59" s="16"/>
      <c r="K59" s="16" t="str">
        <f aca="false">IF(55&gt;MAX(Veri!$G$5:$G$2004),"",INDEX(Veri!$C$5:$C$2004,MATCH(55,Veri!$G$5:$G$2004,0)))</f>
        <v/>
      </c>
      <c r="L59" s="16" t="str">
        <f aca="false">IF(K59="","",SUMIFS(Veri!$E$5:$E$2004,Veri!$C$5:$C$2004,K59))</f>
        <v/>
      </c>
      <c r="M59" s="16" t="str">
        <f aca="false">IF(K59="","",L59+ROW()/1000000000)</f>
        <v/>
      </c>
      <c r="N59" s="16"/>
    </row>
    <row r="60" customFormat="false" ht="15" hidden="false" customHeight="false" outlineLevel="0" collapsed="false">
      <c r="A60" s="34" t="str">
        <f aca="false">IF(B60="","",56)</f>
        <v/>
      </c>
      <c r="B60" s="26" t="str">
        <f aca="false">IFERROR(INDEX($K$5:$K$204,MATCH(LARGE($M$5:$M$204,56),$M$5:$M$204,0)),"")</f>
        <v/>
      </c>
      <c r="C60" s="28" t="str">
        <f aca="false">IF(B60="","",SUMIFS(Veri!$D$5:$D$2004,Veri!$C$5:$C$2004,B60))</f>
        <v/>
      </c>
      <c r="D60" s="27" t="str">
        <f aca="false">IF(B60="","",SUMIFS(Veri!$E$5:$E$2004,Veri!$C$5:$C$2004,B60))</f>
        <v/>
      </c>
      <c r="E60" s="35" t="str">
        <f aca="false">IF(B60="","",IF(SUM(Veri!$E$5:$E$2004)=0,0,D60/SUM(Veri!$E$5:$E$2004)))</f>
        <v/>
      </c>
      <c r="F60" s="35" t="str">
        <f aca="false">IF(B60="","",SUM(E$5:E60))</f>
        <v/>
      </c>
      <c r="G60" s="36" t="str">
        <f aca="false">IF(B60="","",IF(F59&lt;0.8,"A",IF(F59&lt;0.95,"B","C")))</f>
        <v/>
      </c>
      <c r="H60" s="27" t="str">
        <f aca="false">IF(OR(B60="",C60=0),"",D60/C60)</f>
        <v/>
      </c>
      <c r="I60" s="37" t="str">
        <f aca="false">IF(B60="","",SUMPRODUCT(MAX((Veri!$C$5:$C$2004=B60)*Veri!$A$5:$A$2004)))</f>
        <v/>
      </c>
      <c r="J60" s="26"/>
      <c r="K60" s="26" t="str">
        <f aca="false">IF(56&gt;MAX(Veri!$G$5:$G$2004),"",INDEX(Veri!$C$5:$C$2004,MATCH(56,Veri!$G$5:$G$2004,0)))</f>
        <v/>
      </c>
      <c r="L60" s="26" t="str">
        <f aca="false">IF(K60="","",SUMIFS(Veri!$E$5:$E$2004,Veri!$C$5:$C$2004,K60))</f>
        <v/>
      </c>
      <c r="M60" s="26" t="str">
        <f aca="false">IF(K60="","",L60+ROW()/1000000000)</f>
        <v/>
      </c>
      <c r="N60" s="26"/>
    </row>
    <row r="61" customFormat="false" ht="15" hidden="false" customHeight="false" outlineLevel="0" collapsed="false">
      <c r="A61" s="30" t="str">
        <f aca="false">IF(B61="","",57)</f>
        <v/>
      </c>
      <c r="B61" s="16" t="str">
        <f aca="false">IFERROR(INDEX($K$5:$K$204,MATCH(LARGE($M$5:$M$204,57),$M$5:$M$204,0)),"")</f>
        <v/>
      </c>
      <c r="C61" s="24" t="str">
        <f aca="false">IF(B61="","",SUMIFS(Veri!$D$5:$D$2004,Veri!$C$5:$C$2004,B61))</f>
        <v/>
      </c>
      <c r="D61" s="23" t="str">
        <f aca="false">IF(B61="","",SUMIFS(Veri!$E$5:$E$2004,Veri!$C$5:$C$2004,B61))</f>
        <v/>
      </c>
      <c r="E61" s="31" t="str">
        <f aca="false">IF(B61="","",IF(SUM(Veri!$E$5:$E$2004)=0,0,D61/SUM(Veri!$E$5:$E$2004)))</f>
        <v/>
      </c>
      <c r="F61" s="31" t="str">
        <f aca="false">IF(B61="","",SUM(E$5:E61))</f>
        <v/>
      </c>
      <c r="G61" s="32" t="str">
        <f aca="false">IF(B61="","",IF(F60&lt;0.8,"A",IF(F60&lt;0.95,"B","C")))</f>
        <v/>
      </c>
      <c r="H61" s="23" t="str">
        <f aca="false">IF(OR(B61="",C61=0),"",D61/C61)</f>
        <v/>
      </c>
      <c r="I61" s="33" t="str">
        <f aca="false">IF(B61="","",SUMPRODUCT(MAX((Veri!$C$5:$C$2004=B61)*Veri!$A$5:$A$2004)))</f>
        <v/>
      </c>
      <c r="J61" s="16"/>
      <c r="K61" s="16" t="str">
        <f aca="false">IF(57&gt;MAX(Veri!$G$5:$G$2004),"",INDEX(Veri!$C$5:$C$2004,MATCH(57,Veri!$G$5:$G$2004,0)))</f>
        <v/>
      </c>
      <c r="L61" s="16" t="str">
        <f aca="false">IF(K61="","",SUMIFS(Veri!$E$5:$E$2004,Veri!$C$5:$C$2004,K61))</f>
        <v/>
      </c>
      <c r="M61" s="16" t="str">
        <f aca="false">IF(K61="","",L61+ROW()/1000000000)</f>
        <v/>
      </c>
      <c r="N61" s="16"/>
    </row>
    <row r="62" customFormat="false" ht="15" hidden="false" customHeight="false" outlineLevel="0" collapsed="false">
      <c r="A62" s="34" t="str">
        <f aca="false">IF(B62="","",58)</f>
        <v/>
      </c>
      <c r="B62" s="26" t="str">
        <f aca="false">IFERROR(INDEX($K$5:$K$204,MATCH(LARGE($M$5:$M$204,58),$M$5:$M$204,0)),"")</f>
        <v/>
      </c>
      <c r="C62" s="28" t="str">
        <f aca="false">IF(B62="","",SUMIFS(Veri!$D$5:$D$2004,Veri!$C$5:$C$2004,B62))</f>
        <v/>
      </c>
      <c r="D62" s="27" t="str">
        <f aca="false">IF(B62="","",SUMIFS(Veri!$E$5:$E$2004,Veri!$C$5:$C$2004,B62))</f>
        <v/>
      </c>
      <c r="E62" s="35" t="str">
        <f aca="false">IF(B62="","",IF(SUM(Veri!$E$5:$E$2004)=0,0,D62/SUM(Veri!$E$5:$E$2004)))</f>
        <v/>
      </c>
      <c r="F62" s="35" t="str">
        <f aca="false">IF(B62="","",SUM(E$5:E62))</f>
        <v/>
      </c>
      <c r="G62" s="36" t="str">
        <f aca="false">IF(B62="","",IF(F61&lt;0.8,"A",IF(F61&lt;0.95,"B","C")))</f>
        <v/>
      </c>
      <c r="H62" s="27" t="str">
        <f aca="false">IF(OR(B62="",C62=0),"",D62/C62)</f>
        <v/>
      </c>
      <c r="I62" s="37" t="str">
        <f aca="false">IF(B62="","",SUMPRODUCT(MAX((Veri!$C$5:$C$2004=B62)*Veri!$A$5:$A$2004)))</f>
        <v/>
      </c>
      <c r="J62" s="26"/>
      <c r="K62" s="26" t="str">
        <f aca="false">IF(58&gt;MAX(Veri!$G$5:$G$2004),"",INDEX(Veri!$C$5:$C$2004,MATCH(58,Veri!$G$5:$G$2004,0)))</f>
        <v/>
      </c>
      <c r="L62" s="26" t="str">
        <f aca="false">IF(K62="","",SUMIFS(Veri!$E$5:$E$2004,Veri!$C$5:$C$2004,K62))</f>
        <v/>
      </c>
      <c r="M62" s="26" t="str">
        <f aca="false">IF(K62="","",L62+ROW()/1000000000)</f>
        <v/>
      </c>
      <c r="N62" s="26"/>
    </row>
    <row r="63" customFormat="false" ht="15" hidden="false" customHeight="false" outlineLevel="0" collapsed="false">
      <c r="A63" s="30" t="str">
        <f aca="false">IF(B63="","",59)</f>
        <v/>
      </c>
      <c r="B63" s="16" t="str">
        <f aca="false">IFERROR(INDEX($K$5:$K$204,MATCH(LARGE($M$5:$M$204,59),$M$5:$M$204,0)),"")</f>
        <v/>
      </c>
      <c r="C63" s="24" t="str">
        <f aca="false">IF(B63="","",SUMIFS(Veri!$D$5:$D$2004,Veri!$C$5:$C$2004,B63))</f>
        <v/>
      </c>
      <c r="D63" s="23" t="str">
        <f aca="false">IF(B63="","",SUMIFS(Veri!$E$5:$E$2004,Veri!$C$5:$C$2004,B63))</f>
        <v/>
      </c>
      <c r="E63" s="31" t="str">
        <f aca="false">IF(B63="","",IF(SUM(Veri!$E$5:$E$2004)=0,0,D63/SUM(Veri!$E$5:$E$2004)))</f>
        <v/>
      </c>
      <c r="F63" s="31" t="str">
        <f aca="false">IF(B63="","",SUM(E$5:E63))</f>
        <v/>
      </c>
      <c r="G63" s="32" t="str">
        <f aca="false">IF(B63="","",IF(F62&lt;0.8,"A",IF(F62&lt;0.95,"B","C")))</f>
        <v/>
      </c>
      <c r="H63" s="23" t="str">
        <f aca="false">IF(OR(B63="",C63=0),"",D63/C63)</f>
        <v/>
      </c>
      <c r="I63" s="33" t="str">
        <f aca="false">IF(B63="","",SUMPRODUCT(MAX((Veri!$C$5:$C$2004=B63)*Veri!$A$5:$A$2004)))</f>
        <v/>
      </c>
      <c r="J63" s="16"/>
      <c r="K63" s="16" t="str">
        <f aca="false">IF(59&gt;MAX(Veri!$G$5:$G$2004),"",INDEX(Veri!$C$5:$C$2004,MATCH(59,Veri!$G$5:$G$2004,0)))</f>
        <v/>
      </c>
      <c r="L63" s="16" t="str">
        <f aca="false">IF(K63="","",SUMIFS(Veri!$E$5:$E$2004,Veri!$C$5:$C$2004,K63))</f>
        <v/>
      </c>
      <c r="M63" s="16" t="str">
        <f aca="false">IF(K63="","",L63+ROW()/1000000000)</f>
        <v/>
      </c>
      <c r="N63" s="16"/>
    </row>
    <row r="64" customFormat="false" ht="15" hidden="false" customHeight="false" outlineLevel="0" collapsed="false">
      <c r="A64" s="34" t="str">
        <f aca="false">IF(B64="","",60)</f>
        <v/>
      </c>
      <c r="B64" s="26" t="str">
        <f aca="false">IFERROR(INDEX($K$5:$K$204,MATCH(LARGE($M$5:$M$204,60),$M$5:$M$204,0)),"")</f>
        <v/>
      </c>
      <c r="C64" s="28" t="str">
        <f aca="false">IF(B64="","",SUMIFS(Veri!$D$5:$D$2004,Veri!$C$5:$C$2004,B64))</f>
        <v/>
      </c>
      <c r="D64" s="27" t="str">
        <f aca="false">IF(B64="","",SUMIFS(Veri!$E$5:$E$2004,Veri!$C$5:$C$2004,B64))</f>
        <v/>
      </c>
      <c r="E64" s="35" t="str">
        <f aca="false">IF(B64="","",IF(SUM(Veri!$E$5:$E$2004)=0,0,D64/SUM(Veri!$E$5:$E$2004)))</f>
        <v/>
      </c>
      <c r="F64" s="35" t="str">
        <f aca="false">IF(B64="","",SUM(E$5:E64))</f>
        <v/>
      </c>
      <c r="G64" s="36" t="str">
        <f aca="false">IF(B64="","",IF(F63&lt;0.8,"A",IF(F63&lt;0.95,"B","C")))</f>
        <v/>
      </c>
      <c r="H64" s="27" t="str">
        <f aca="false">IF(OR(B64="",C64=0),"",D64/C64)</f>
        <v/>
      </c>
      <c r="I64" s="37" t="str">
        <f aca="false">IF(B64="","",SUMPRODUCT(MAX((Veri!$C$5:$C$2004=B64)*Veri!$A$5:$A$2004)))</f>
        <v/>
      </c>
      <c r="J64" s="26"/>
      <c r="K64" s="26" t="str">
        <f aca="false">IF(60&gt;MAX(Veri!$G$5:$G$2004),"",INDEX(Veri!$C$5:$C$2004,MATCH(60,Veri!$G$5:$G$2004,0)))</f>
        <v/>
      </c>
      <c r="L64" s="26" t="str">
        <f aca="false">IF(K64="","",SUMIFS(Veri!$E$5:$E$2004,Veri!$C$5:$C$2004,K64))</f>
        <v/>
      </c>
      <c r="M64" s="26" t="str">
        <f aca="false">IF(K64="","",L64+ROW()/1000000000)</f>
        <v/>
      </c>
      <c r="N64" s="26"/>
    </row>
    <row r="65" customFormat="false" ht="15" hidden="false" customHeight="false" outlineLevel="0" collapsed="false">
      <c r="A65" s="30" t="str">
        <f aca="false">IF(B65="","",61)</f>
        <v/>
      </c>
      <c r="B65" s="16" t="str">
        <f aca="false">IFERROR(INDEX($K$5:$K$204,MATCH(LARGE($M$5:$M$204,61),$M$5:$M$204,0)),"")</f>
        <v/>
      </c>
      <c r="C65" s="24" t="str">
        <f aca="false">IF(B65="","",SUMIFS(Veri!$D$5:$D$2004,Veri!$C$5:$C$2004,B65))</f>
        <v/>
      </c>
      <c r="D65" s="23" t="str">
        <f aca="false">IF(B65="","",SUMIFS(Veri!$E$5:$E$2004,Veri!$C$5:$C$2004,B65))</f>
        <v/>
      </c>
      <c r="E65" s="31" t="str">
        <f aca="false">IF(B65="","",IF(SUM(Veri!$E$5:$E$2004)=0,0,D65/SUM(Veri!$E$5:$E$2004)))</f>
        <v/>
      </c>
      <c r="F65" s="31" t="str">
        <f aca="false">IF(B65="","",SUM(E$5:E65))</f>
        <v/>
      </c>
      <c r="G65" s="32" t="str">
        <f aca="false">IF(B65="","",IF(F64&lt;0.8,"A",IF(F64&lt;0.95,"B","C")))</f>
        <v/>
      </c>
      <c r="H65" s="23" t="str">
        <f aca="false">IF(OR(B65="",C65=0),"",D65/C65)</f>
        <v/>
      </c>
      <c r="I65" s="33" t="str">
        <f aca="false">IF(B65="","",SUMPRODUCT(MAX((Veri!$C$5:$C$2004=B65)*Veri!$A$5:$A$2004)))</f>
        <v/>
      </c>
      <c r="J65" s="16"/>
      <c r="K65" s="16" t="str">
        <f aca="false">IF(61&gt;MAX(Veri!$G$5:$G$2004),"",INDEX(Veri!$C$5:$C$2004,MATCH(61,Veri!$G$5:$G$2004,0)))</f>
        <v/>
      </c>
      <c r="L65" s="16" t="str">
        <f aca="false">IF(K65="","",SUMIFS(Veri!$E$5:$E$2004,Veri!$C$5:$C$2004,K65))</f>
        <v/>
      </c>
      <c r="M65" s="16" t="str">
        <f aca="false">IF(K65="","",L65+ROW()/1000000000)</f>
        <v/>
      </c>
      <c r="N65" s="16"/>
    </row>
    <row r="66" customFormat="false" ht="15" hidden="false" customHeight="false" outlineLevel="0" collapsed="false">
      <c r="A66" s="34" t="str">
        <f aca="false">IF(B66="","",62)</f>
        <v/>
      </c>
      <c r="B66" s="26" t="str">
        <f aca="false">IFERROR(INDEX($K$5:$K$204,MATCH(LARGE($M$5:$M$204,62),$M$5:$M$204,0)),"")</f>
        <v/>
      </c>
      <c r="C66" s="28" t="str">
        <f aca="false">IF(B66="","",SUMIFS(Veri!$D$5:$D$2004,Veri!$C$5:$C$2004,B66))</f>
        <v/>
      </c>
      <c r="D66" s="27" t="str">
        <f aca="false">IF(B66="","",SUMIFS(Veri!$E$5:$E$2004,Veri!$C$5:$C$2004,B66))</f>
        <v/>
      </c>
      <c r="E66" s="35" t="str">
        <f aca="false">IF(B66="","",IF(SUM(Veri!$E$5:$E$2004)=0,0,D66/SUM(Veri!$E$5:$E$2004)))</f>
        <v/>
      </c>
      <c r="F66" s="35" t="str">
        <f aca="false">IF(B66="","",SUM(E$5:E66))</f>
        <v/>
      </c>
      <c r="G66" s="36" t="str">
        <f aca="false">IF(B66="","",IF(F65&lt;0.8,"A",IF(F65&lt;0.95,"B","C")))</f>
        <v/>
      </c>
      <c r="H66" s="27" t="str">
        <f aca="false">IF(OR(B66="",C66=0),"",D66/C66)</f>
        <v/>
      </c>
      <c r="I66" s="37" t="str">
        <f aca="false">IF(B66="","",SUMPRODUCT(MAX((Veri!$C$5:$C$2004=B66)*Veri!$A$5:$A$2004)))</f>
        <v/>
      </c>
      <c r="J66" s="26"/>
      <c r="K66" s="26" t="str">
        <f aca="false">IF(62&gt;MAX(Veri!$G$5:$G$2004),"",INDEX(Veri!$C$5:$C$2004,MATCH(62,Veri!$G$5:$G$2004,0)))</f>
        <v/>
      </c>
      <c r="L66" s="26" t="str">
        <f aca="false">IF(K66="","",SUMIFS(Veri!$E$5:$E$2004,Veri!$C$5:$C$2004,K66))</f>
        <v/>
      </c>
      <c r="M66" s="26" t="str">
        <f aca="false">IF(K66="","",L66+ROW()/1000000000)</f>
        <v/>
      </c>
      <c r="N66" s="26"/>
    </row>
    <row r="67" customFormat="false" ht="15" hidden="false" customHeight="false" outlineLevel="0" collapsed="false">
      <c r="A67" s="30" t="str">
        <f aca="false">IF(B67="","",63)</f>
        <v/>
      </c>
      <c r="B67" s="16" t="str">
        <f aca="false">IFERROR(INDEX($K$5:$K$204,MATCH(LARGE($M$5:$M$204,63),$M$5:$M$204,0)),"")</f>
        <v/>
      </c>
      <c r="C67" s="24" t="str">
        <f aca="false">IF(B67="","",SUMIFS(Veri!$D$5:$D$2004,Veri!$C$5:$C$2004,B67))</f>
        <v/>
      </c>
      <c r="D67" s="23" t="str">
        <f aca="false">IF(B67="","",SUMIFS(Veri!$E$5:$E$2004,Veri!$C$5:$C$2004,B67))</f>
        <v/>
      </c>
      <c r="E67" s="31" t="str">
        <f aca="false">IF(B67="","",IF(SUM(Veri!$E$5:$E$2004)=0,0,D67/SUM(Veri!$E$5:$E$2004)))</f>
        <v/>
      </c>
      <c r="F67" s="31" t="str">
        <f aca="false">IF(B67="","",SUM(E$5:E67))</f>
        <v/>
      </c>
      <c r="G67" s="32" t="str">
        <f aca="false">IF(B67="","",IF(F66&lt;0.8,"A",IF(F66&lt;0.95,"B","C")))</f>
        <v/>
      </c>
      <c r="H67" s="23" t="str">
        <f aca="false">IF(OR(B67="",C67=0),"",D67/C67)</f>
        <v/>
      </c>
      <c r="I67" s="33" t="str">
        <f aca="false">IF(B67="","",SUMPRODUCT(MAX((Veri!$C$5:$C$2004=B67)*Veri!$A$5:$A$2004)))</f>
        <v/>
      </c>
      <c r="J67" s="16"/>
      <c r="K67" s="16" t="str">
        <f aca="false">IF(63&gt;MAX(Veri!$G$5:$G$2004),"",INDEX(Veri!$C$5:$C$2004,MATCH(63,Veri!$G$5:$G$2004,0)))</f>
        <v/>
      </c>
      <c r="L67" s="16" t="str">
        <f aca="false">IF(K67="","",SUMIFS(Veri!$E$5:$E$2004,Veri!$C$5:$C$2004,K67))</f>
        <v/>
      </c>
      <c r="M67" s="16" t="str">
        <f aca="false">IF(K67="","",L67+ROW()/1000000000)</f>
        <v/>
      </c>
      <c r="N67" s="16"/>
    </row>
    <row r="68" customFormat="false" ht="15" hidden="false" customHeight="false" outlineLevel="0" collapsed="false">
      <c r="A68" s="34" t="str">
        <f aca="false">IF(B68="","",64)</f>
        <v/>
      </c>
      <c r="B68" s="26" t="str">
        <f aca="false">IFERROR(INDEX($K$5:$K$204,MATCH(LARGE($M$5:$M$204,64),$M$5:$M$204,0)),"")</f>
        <v/>
      </c>
      <c r="C68" s="28" t="str">
        <f aca="false">IF(B68="","",SUMIFS(Veri!$D$5:$D$2004,Veri!$C$5:$C$2004,B68))</f>
        <v/>
      </c>
      <c r="D68" s="27" t="str">
        <f aca="false">IF(B68="","",SUMIFS(Veri!$E$5:$E$2004,Veri!$C$5:$C$2004,B68))</f>
        <v/>
      </c>
      <c r="E68" s="35" t="str">
        <f aca="false">IF(B68="","",IF(SUM(Veri!$E$5:$E$2004)=0,0,D68/SUM(Veri!$E$5:$E$2004)))</f>
        <v/>
      </c>
      <c r="F68" s="35" t="str">
        <f aca="false">IF(B68="","",SUM(E$5:E68))</f>
        <v/>
      </c>
      <c r="G68" s="36" t="str">
        <f aca="false">IF(B68="","",IF(F67&lt;0.8,"A",IF(F67&lt;0.95,"B","C")))</f>
        <v/>
      </c>
      <c r="H68" s="27" t="str">
        <f aca="false">IF(OR(B68="",C68=0),"",D68/C68)</f>
        <v/>
      </c>
      <c r="I68" s="37" t="str">
        <f aca="false">IF(B68="","",SUMPRODUCT(MAX((Veri!$C$5:$C$2004=B68)*Veri!$A$5:$A$2004)))</f>
        <v/>
      </c>
      <c r="J68" s="26"/>
      <c r="K68" s="26" t="str">
        <f aca="false">IF(64&gt;MAX(Veri!$G$5:$G$2004),"",INDEX(Veri!$C$5:$C$2004,MATCH(64,Veri!$G$5:$G$2004,0)))</f>
        <v/>
      </c>
      <c r="L68" s="26" t="str">
        <f aca="false">IF(K68="","",SUMIFS(Veri!$E$5:$E$2004,Veri!$C$5:$C$2004,K68))</f>
        <v/>
      </c>
      <c r="M68" s="26" t="str">
        <f aca="false">IF(K68="","",L68+ROW()/1000000000)</f>
        <v/>
      </c>
      <c r="N68" s="26"/>
    </row>
    <row r="69" customFormat="false" ht="15" hidden="false" customHeight="false" outlineLevel="0" collapsed="false">
      <c r="A69" s="30" t="str">
        <f aca="false">IF(B69="","",65)</f>
        <v/>
      </c>
      <c r="B69" s="16" t="str">
        <f aca="false">IFERROR(INDEX($K$5:$K$204,MATCH(LARGE($M$5:$M$204,65),$M$5:$M$204,0)),"")</f>
        <v/>
      </c>
      <c r="C69" s="24" t="str">
        <f aca="false">IF(B69="","",SUMIFS(Veri!$D$5:$D$2004,Veri!$C$5:$C$2004,B69))</f>
        <v/>
      </c>
      <c r="D69" s="23" t="str">
        <f aca="false">IF(B69="","",SUMIFS(Veri!$E$5:$E$2004,Veri!$C$5:$C$2004,B69))</f>
        <v/>
      </c>
      <c r="E69" s="31" t="str">
        <f aca="false">IF(B69="","",IF(SUM(Veri!$E$5:$E$2004)=0,0,D69/SUM(Veri!$E$5:$E$2004)))</f>
        <v/>
      </c>
      <c r="F69" s="31" t="str">
        <f aca="false">IF(B69="","",SUM(E$5:E69))</f>
        <v/>
      </c>
      <c r="G69" s="32" t="str">
        <f aca="false">IF(B69="","",IF(F68&lt;0.8,"A",IF(F68&lt;0.95,"B","C")))</f>
        <v/>
      </c>
      <c r="H69" s="23" t="str">
        <f aca="false">IF(OR(B69="",C69=0),"",D69/C69)</f>
        <v/>
      </c>
      <c r="I69" s="33" t="str">
        <f aca="false">IF(B69="","",SUMPRODUCT(MAX((Veri!$C$5:$C$2004=B69)*Veri!$A$5:$A$2004)))</f>
        <v/>
      </c>
      <c r="J69" s="16"/>
      <c r="K69" s="16" t="str">
        <f aca="false">IF(65&gt;MAX(Veri!$G$5:$G$2004),"",INDEX(Veri!$C$5:$C$2004,MATCH(65,Veri!$G$5:$G$2004,0)))</f>
        <v/>
      </c>
      <c r="L69" s="16" t="str">
        <f aca="false">IF(K69="","",SUMIFS(Veri!$E$5:$E$2004,Veri!$C$5:$C$2004,K69))</f>
        <v/>
      </c>
      <c r="M69" s="16" t="str">
        <f aca="false">IF(K69="","",L69+ROW()/1000000000)</f>
        <v/>
      </c>
      <c r="N69" s="16"/>
    </row>
    <row r="70" customFormat="false" ht="15" hidden="false" customHeight="false" outlineLevel="0" collapsed="false">
      <c r="A70" s="34" t="str">
        <f aca="false">IF(B70="","",66)</f>
        <v/>
      </c>
      <c r="B70" s="26" t="str">
        <f aca="false">IFERROR(INDEX($K$5:$K$204,MATCH(LARGE($M$5:$M$204,66),$M$5:$M$204,0)),"")</f>
        <v/>
      </c>
      <c r="C70" s="28" t="str">
        <f aca="false">IF(B70="","",SUMIFS(Veri!$D$5:$D$2004,Veri!$C$5:$C$2004,B70))</f>
        <v/>
      </c>
      <c r="D70" s="27" t="str">
        <f aca="false">IF(B70="","",SUMIFS(Veri!$E$5:$E$2004,Veri!$C$5:$C$2004,B70))</f>
        <v/>
      </c>
      <c r="E70" s="35" t="str">
        <f aca="false">IF(B70="","",IF(SUM(Veri!$E$5:$E$2004)=0,0,D70/SUM(Veri!$E$5:$E$2004)))</f>
        <v/>
      </c>
      <c r="F70" s="35" t="str">
        <f aca="false">IF(B70="","",SUM(E$5:E70))</f>
        <v/>
      </c>
      <c r="G70" s="36" t="str">
        <f aca="false">IF(B70="","",IF(F69&lt;0.8,"A",IF(F69&lt;0.95,"B","C")))</f>
        <v/>
      </c>
      <c r="H70" s="27" t="str">
        <f aca="false">IF(OR(B70="",C70=0),"",D70/C70)</f>
        <v/>
      </c>
      <c r="I70" s="37" t="str">
        <f aca="false">IF(B70="","",SUMPRODUCT(MAX((Veri!$C$5:$C$2004=B70)*Veri!$A$5:$A$2004)))</f>
        <v/>
      </c>
      <c r="J70" s="26"/>
      <c r="K70" s="26" t="str">
        <f aca="false">IF(66&gt;MAX(Veri!$G$5:$G$2004),"",INDEX(Veri!$C$5:$C$2004,MATCH(66,Veri!$G$5:$G$2004,0)))</f>
        <v/>
      </c>
      <c r="L70" s="26" t="str">
        <f aca="false">IF(K70="","",SUMIFS(Veri!$E$5:$E$2004,Veri!$C$5:$C$2004,K70))</f>
        <v/>
      </c>
      <c r="M70" s="26" t="str">
        <f aca="false">IF(K70="","",L70+ROW()/1000000000)</f>
        <v/>
      </c>
      <c r="N70" s="26"/>
    </row>
    <row r="71" customFormat="false" ht="15" hidden="false" customHeight="false" outlineLevel="0" collapsed="false">
      <c r="A71" s="30" t="str">
        <f aca="false">IF(B71="","",67)</f>
        <v/>
      </c>
      <c r="B71" s="16" t="str">
        <f aca="false">IFERROR(INDEX($K$5:$K$204,MATCH(LARGE($M$5:$M$204,67),$M$5:$M$204,0)),"")</f>
        <v/>
      </c>
      <c r="C71" s="24" t="str">
        <f aca="false">IF(B71="","",SUMIFS(Veri!$D$5:$D$2004,Veri!$C$5:$C$2004,B71))</f>
        <v/>
      </c>
      <c r="D71" s="23" t="str">
        <f aca="false">IF(B71="","",SUMIFS(Veri!$E$5:$E$2004,Veri!$C$5:$C$2004,B71))</f>
        <v/>
      </c>
      <c r="E71" s="31" t="str">
        <f aca="false">IF(B71="","",IF(SUM(Veri!$E$5:$E$2004)=0,0,D71/SUM(Veri!$E$5:$E$2004)))</f>
        <v/>
      </c>
      <c r="F71" s="31" t="str">
        <f aca="false">IF(B71="","",SUM(E$5:E71))</f>
        <v/>
      </c>
      <c r="G71" s="32" t="str">
        <f aca="false">IF(B71="","",IF(F70&lt;0.8,"A",IF(F70&lt;0.95,"B","C")))</f>
        <v/>
      </c>
      <c r="H71" s="23" t="str">
        <f aca="false">IF(OR(B71="",C71=0),"",D71/C71)</f>
        <v/>
      </c>
      <c r="I71" s="33" t="str">
        <f aca="false">IF(B71="","",SUMPRODUCT(MAX((Veri!$C$5:$C$2004=B71)*Veri!$A$5:$A$2004)))</f>
        <v/>
      </c>
      <c r="J71" s="16"/>
      <c r="K71" s="16" t="str">
        <f aca="false">IF(67&gt;MAX(Veri!$G$5:$G$2004),"",INDEX(Veri!$C$5:$C$2004,MATCH(67,Veri!$G$5:$G$2004,0)))</f>
        <v/>
      </c>
      <c r="L71" s="16" t="str">
        <f aca="false">IF(K71="","",SUMIFS(Veri!$E$5:$E$2004,Veri!$C$5:$C$2004,K71))</f>
        <v/>
      </c>
      <c r="M71" s="16" t="str">
        <f aca="false">IF(K71="","",L71+ROW()/1000000000)</f>
        <v/>
      </c>
      <c r="N71" s="16"/>
    </row>
    <row r="72" customFormat="false" ht="15" hidden="false" customHeight="false" outlineLevel="0" collapsed="false">
      <c r="A72" s="34" t="str">
        <f aca="false">IF(B72="","",68)</f>
        <v/>
      </c>
      <c r="B72" s="26" t="str">
        <f aca="false">IFERROR(INDEX($K$5:$K$204,MATCH(LARGE($M$5:$M$204,68),$M$5:$M$204,0)),"")</f>
        <v/>
      </c>
      <c r="C72" s="28" t="str">
        <f aca="false">IF(B72="","",SUMIFS(Veri!$D$5:$D$2004,Veri!$C$5:$C$2004,B72))</f>
        <v/>
      </c>
      <c r="D72" s="27" t="str">
        <f aca="false">IF(B72="","",SUMIFS(Veri!$E$5:$E$2004,Veri!$C$5:$C$2004,B72))</f>
        <v/>
      </c>
      <c r="E72" s="35" t="str">
        <f aca="false">IF(B72="","",IF(SUM(Veri!$E$5:$E$2004)=0,0,D72/SUM(Veri!$E$5:$E$2004)))</f>
        <v/>
      </c>
      <c r="F72" s="35" t="str">
        <f aca="false">IF(B72="","",SUM(E$5:E72))</f>
        <v/>
      </c>
      <c r="G72" s="36" t="str">
        <f aca="false">IF(B72="","",IF(F71&lt;0.8,"A",IF(F71&lt;0.95,"B","C")))</f>
        <v/>
      </c>
      <c r="H72" s="27" t="str">
        <f aca="false">IF(OR(B72="",C72=0),"",D72/C72)</f>
        <v/>
      </c>
      <c r="I72" s="37" t="str">
        <f aca="false">IF(B72="","",SUMPRODUCT(MAX((Veri!$C$5:$C$2004=B72)*Veri!$A$5:$A$2004)))</f>
        <v/>
      </c>
      <c r="J72" s="26"/>
      <c r="K72" s="26" t="str">
        <f aca="false">IF(68&gt;MAX(Veri!$G$5:$G$2004),"",INDEX(Veri!$C$5:$C$2004,MATCH(68,Veri!$G$5:$G$2004,0)))</f>
        <v/>
      </c>
      <c r="L72" s="26" t="str">
        <f aca="false">IF(K72="","",SUMIFS(Veri!$E$5:$E$2004,Veri!$C$5:$C$2004,K72))</f>
        <v/>
      </c>
      <c r="M72" s="26" t="str">
        <f aca="false">IF(K72="","",L72+ROW()/1000000000)</f>
        <v/>
      </c>
      <c r="N72" s="26"/>
    </row>
    <row r="73" customFormat="false" ht="15" hidden="false" customHeight="false" outlineLevel="0" collapsed="false">
      <c r="A73" s="30" t="str">
        <f aca="false">IF(B73="","",69)</f>
        <v/>
      </c>
      <c r="B73" s="16" t="str">
        <f aca="false">IFERROR(INDEX($K$5:$K$204,MATCH(LARGE($M$5:$M$204,69),$M$5:$M$204,0)),"")</f>
        <v/>
      </c>
      <c r="C73" s="24" t="str">
        <f aca="false">IF(B73="","",SUMIFS(Veri!$D$5:$D$2004,Veri!$C$5:$C$2004,B73))</f>
        <v/>
      </c>
      <c r="D73" s="23" t="str">
        <f aca="false">IF(B73="","",SUMIFS(Veri!$E$5:$E$2004,Veri!$C$5:$C$2004,B73))</f>
        <v/>
      </c>
      <c r="E73" s="31" t="str">
        <f aca="false">IF(B73="","",IF(SUM(Veri!$E$5:$E$2004)=0,0,D73/SUM(Veri!$E$5:$E$2004)))</f>
        <v/>
      </c>
      <c r="F73" s="31" t="str">
        <f aca="false">IF(B73="","",SUM(E$5:E73))</f>
        <v/>
      </c>
      <c r="G73" s="32" t="str">
        <f aca="false">IF(B73="","",IF(F72&lt;0.8,"A",IF(F72&lt;0.95,"B","C")))</f>
        <v/>
      </c>
      <c r="H73" s="23" t="str">
        <f aca="false">IF(OR(B73="",C73=0),"",D73/C73)</f>
        <v/>
      </c>
      <c r="I73" s="33" t="str">
        <f aca="false">IF(B73="","",SUMPRODUCT(MAX((Veri!$C$5:$C$2004=B73)*Veri!$A$5:$A$2004)))</f>
        <v/>
      </c>
      <c r="J73" s="16"/>
      <c r="K73" s="16" t="str">
        <f aca="false">IF(69&gt;MAX(Veri!$G$5:$G$2004),"",INDEX(Veri!$C$5:$C$2004,MATCH(69,Veri!$G$5:$G$2004,0)))</f>
        <v/>
      </c>
      <c r="L73" s="16" t="str">
        <f aca="false">IF(K73="","",SUMIFS(Veri!$E$5:$E$2004,Veri!$C$5:$C$2004,K73))</f>
        <v/>
      </c>
      <c r="M73" s="16" t="str">
        <f aca="false">IF(K73="","",L73+ROW()/1000000000)</f>
        <v/>
      </c>
      <c r="N73" s="16"/>
    </row>
    <row r="74" customFormat="false" ht="15" hidden="false" customHeight="false" outlineLevel="0" collapsed="false">
      <c r="A74" s="34" t="str">
        <f aca="false">IF(B74="","",70)</f>
        <v/>
      </c>
      <c r="B74" s="26" t="str">
        <f aca="false">IFERROR(INDEX($K$5:$K$204,MATCH(LARGE($M$5:$M$204,70),$M$5:$M$204,0)),"")</f>
        <v/>
      </c>
      <c r="C74" s="28" t="str">
        <f aca="false">IF(B74="","",SUMIFS(Veri!$D$5:$D$2004,Veri!$C$5:$C$2004,B74))</f>
        <v/>
      </c>
      <c r="D74" s="27" t="str">
        <f aca="false">IF(B74="","",SUMIFS(Veri!$E$5:$E$2004,Veri!$C$5:$C$2004,B74))</f>
        <v/>
      </c>
      <c r="E74" s="35" t="str">
        <f aca="false">IF(B74="","",IF(SUM(Veri!$E$5:$E$2004)=0,0,D74/SUM(Veri!$E$5:$E$2004)))</f>
        <v/>
      </c>
      <c r="F74" s="35" t="str">
        <f aca="false">IF(B74="","",SUM(E$5:E74))</f>
        <v/>
      </c>
      <c r="G74" s="36" t="str">
        <f aca="false">IF(B74="","",IF(F73&lt;0.8,"A",IF(F73&lt;0.95,"B","C")))</f>
        <v/>
      </c>
      <c r="H74" s="27" t="str">
        <f aca="false">IF(OR(B74="",C74=0),"",D74/C74)</f>
        <v/>
      </c>
      <c r="I74" s="37" t="str">
        <f aca="false">IF(B74="","",SUMPRODUCT(MAX((Veri!$C$5:$C$2004=B74)*Veri!$A$5:$A$2004)))</f>
        <v/>
      </c>
      <c r="J74" s="26"/>
      <c r="K74" s="26" t="str">
        <f aca="false">IF(70&gt;MAX(Veri!$G$5:$G$2004),"",INDEX(Veri!$C$5:$C$2004,MATCH(70,Veri!$G$5:$G$2004,0)))</f>
        <v/>
      </c>
      <c r="L74" s="26" t="str">
        <f aca="false">IF(K74="","",SUMIFS(Veri!$E$5:$E$2004,Veri!$C$5:$C$2004,K74))</f>
        <v/>
      </c>
      <c r="M74" s="26" t="str">
        <f aca="false">IF(K74="","",L74+ROW()/1000000000)</f>
        <v/>
      </c>
      <c r="N74" s="26"/>
    </row>
    <row r="75" customFormat="false" ht="15" hidden="false" customHeight="false" outlineLevel="0" collapsed="false">
      <c r="A75" s="30" t="str">
        <f aca="false">IF(B75="","",71)</f>
        <v/>
      </c>
      <c r="B75" s="16" t="str">
        <f aca="false">IFERROR(INDEX($K$5:$K$204,MATCH(LARGE($M$5:$M$204,71),$M$5:$M$204,0)),"")</f>
        <v/>
      </c>
      <c r="C75" s="24" t="str">
        <f aca="false">IF(B75="","",SUMIFS(Veri!$D$5:$D$2004,Veri!$C$5:$C$2004,B75))</f>
        <v/>
      </c>
      <c r="D75" s="23" t="str">
        <f aca="false">IF(B75="","",SUMIFS(Veri!$E$5:$E$2004,Veri!$C$5:$C$2004,B75))</f>
        <v/>
      </c>
      <c r="E75" s="31" t="str">
        <f aca="false">IF(B75="","",IF(SUM(Veri!$E$5:$E$2004)=0,0,D75/SUM(Veri!$E$5:$E$2004)))</f>
        <v/>
      </c>
      <c r="F75" s="31" t="str">
        <f aca="false">IF(B75="","",SUM(E$5:E75))</f>
        <v/>
      </c>
      <c r="G75" s="32" t="str">
        <f aca="false">IF(B75="","",IF(F74&lt;0.8,"A",IF(F74&lt;0.95,"B","C")))</f>
        <v/>
      </c>
      <c r="H75" s="23" t="str">
        <f aca="false">IF(OR(B75="",C75=0),"",D75/C75)</f>
        <v/>
      </c>
      <c r="I75" s="33" t="str">
        <f aca="false">IF(B75="","",SUMPRODUCT(MAX((Veri!$C$5:$C$2004=B75)*Veri!$A$5:$A$2004)))</f>
        <v/>
      </c>
      <c r="J75" s="16"/>
      <c r="K75" s="16" t="str">
        <f aca="false">IF(71&gt;MAX(Veri!$G$5:$G$2004),"",INDEX(Veri!$C$5:$C$2004,MATCH(71,Veri!$G$5:$G$2004,0)))</f>
        <v/>
      </c>
      <c r="L75" s="16" t="str">
        <f aca="false">IF(K75="","",SUMIFS(Veri!$E$5:$E$2004,Veri!$C$5:$C$2004,K75))</f>
        <v/>
      </c>
      <c r="M75" s="16" t="str">
        <f aca="false">IF(K75="","",L75+ROW()/1000000000)</f>
        <v/>
      </c>
      <c r="N75" s="16"/>
    </row>
    <row r="76" customFormat="false" ht="15" hidden="false" customHeight="false" outlineLevel="0" collapsed="false">
      <c r="A76" s="34" t="str">
        <f aca="false">IF(B76="","",72)</f>
        <v/>
      </c>
      <c r="B76" s="26" t="str">
        <f aca="false">IFERROR(INDEX($K$5:$K$204,MATCH(LARGE($M$5:$M$204,72),$M$5:$M$204,0)),"")</f>
        <v/>
      </c>
      <c r="C76" s="28" t="str">
        <f aca="false">IF(B76="","",SUMIFS(Veri!$D$5:$D$2004,Veri!$C$5:$C$2004,B76))</f>
        <v/>
      </c>
      <c r="D76" s="27" t="str">
        <f aca="false">IF(B76="","",SUMIFS(Veri!$E$5:$E$2004,Veri!$C$5:$C$2004,B76))</f>
        <v/>
      </c>
      <c r="E76" s="35" t="str">
        <f aca="false">IF(B76="","",IF(SUM(Veri!$E$5:$E$2004)=0,0,D76/SUM(Veri!$E$5:$E$2004)))</f>
        <v/>
      </c>
      <c r="F76" s="35" t="str">
        <f aca="false">IF(B76="","",SUM(E$5:E76))</f>
        <v/>
      </c>
      <c r="G76" s="36" t="str">
        <f aca="false">IF(B76="","",IF(F75&lt;0.8,"A",IF(F75&lt;0.95,"B","C")))</f>
        <v/>
      </c>
      <c r="H76" s="27" t="str">
        <f aca="false">IF(OR(B76="",C76=0),"",D76/C76)</f>
        <v/>
      </c>
      <c r="I76" s="37" t="str">
        <f aca="false">IF(B76="","",SUMPRODUCT(MAX((Veri!$C$5:$C$2004=B76)*Veri!$A$5:$A$2004)))</f>
        <v/>
      </c>
      <c r="J76" s="26"/>
      <c r="K76" s="26" t="str">
        <f aca="false">IF(72&gt;MAX(Veri!$G$5:$G$2004),"",INDEX(Veri!$C$5:$C$2004,MATCH(72,Veri!$G$5:$G$2004,0)))</f>
        <v/>
      </c>
      <c r="L76" s="26" t="str">
        <f aca="false">IF(K76="","",SUMIFS(Veri!$E$5:$E$2004,Veri!$C$5:$C$2004,K76))</f>
        <v/>
      </c>
      <c r="M76" s="26" t="str">
        <f aca="false">IF(K76="","",L76+ROW()/1000000000)</f>
        <v/>
      </c>
      <c r="N76" s="26"/>
    </row>
    <row r="77" customFormat="false" ht="15" hidden="false" customHeight="false" outlineLevel="0" collapsed="false">
      <c r="A77" s="30" t="str">
        <f aca="false">IF(B77="","",73)</f>
        <v/>
      </c>
      <c r="B77" s="16" t="str">
        <f aca="false">IFERROR(INDEX($K$5:$K$204,MATCH(LARGE($M$5:$M$204,73),$M$5:$M$204,0)),"")</f>
        <v/>
      </c>
      <c r="C77" s="24" t="str">
        <f aca="false">IF(B77="","",SUMIFS(Veri!$D$5:$D$2004,Veri!$C$5:$C$2004,B77))</f>
        <v/>
      </c>
      <c r="D77" s="23" t="str">
        <f aca="false">IF(B77="","",SUMIFS(Veri!$E$5:$E$2004,Veri!$C$5:$C$2004,B77))</f>
        <v/>
      </c>
      <c r="E77" s="31" t="str">
        <f aca="false">IF(B77="","",IF(SUM(Veri!$E$5:$E$2004)=0,0,D77/SUM(Veri!$E$5:$E$2004)))</f>
        <v/>
      </c>
      <c r="F77" s="31" t="str">
        <f aca="false">IF(B77="","",SUM(E$5:E77))</f>
        <v/>
      </c>
      <c r="G77" s="32" t="str">
        <f aca="false">IF(B77="","",IF(F76&lt;0.8,"A",IF(F76&lt;0.95,"B","C")))</f>
        <v/>
      </c>
      <c r="H77" s="23" t="str">
        <f aca="false">IF(OR(B77="",C77=0),"",D77/C77)</f>
        <v/>
      </c>
      <c r="I77" s="33" t="str">
        <f aca="false">IF(B77="","",SUMPRODUCT(MAX((Veri!$C$5:$C$2004=B77)*Veri!$A$5:$A$2004)))</f>
        <v/>
      </c>
      <c r="J77" s="16"/>
      <c r="K77" s="16" t="str">
        <f aca="false">IF(73&gt;MAX(Veri!$G$5:$G$2004),"",INDEX(Veri!$C$5:$C$2004,MATCH(73,Veri!$G$5:$G$2004,0)))</f>
        <v/>
      </c>
      <c r="L77" s="16" t="str">
        <f aca="false">IF(K77="","",SUMIFS(Veri!$E$5:$E$2004,Veri!$C$5:$C$2004,K77))</f>
        <v/>
      </c>
      <c r="M77" s="16" t="str">
        <f aca="false">IF(K77="","",L77+ROW()/1000000000)</f>
        <v/>
      </c>
      <c r="N77" s="16"/>
    </row>
    <row r="78" customFormat="false" ht="15" hidden="false" customHeight="false" outlineLevel="0" collapsed="false">
      <c r="A78" s="34" t="str">
        <f aca="false">IF(B78="","",74)</f>
        <v/>
      </c>
      <c r="B78" s="26" t="str">
        <f aca="false">IFERROR(INDEX($K$5:$K$204,MATCH(LARGE($M$5:$M$204,74),$M$5:$M$204,0)),"")</f>
        <v/>
      </c>
      <c r="C78" s="28" t="str">
        <f aca="false">IF(B78="","",SUMIFS(Veri!$D$5:$D$2004,Veri!$C$5:$C$2004,B78))</f>
        <v/>
      </c>
      <c r="D78" s="27" t="str">
        <f aca="false">IF(B78="","",SUMIFS(Veri!$E$5:$E$2004,Veri!$C$5:$C$2004,B78))</f>
        <v/>
      </c>
      <c r="E78" s="35" t="str">
        <f aca="false">IF(B78="","",IF(SUM(Veri!$E$5:$E$2004)=0,0,D78/SUM(Veri!$E$5:$E$2004)))</f>
        <v/>
      </c>
      <c r="F78" s="35" t="str">
        <f aca="false">IF(B78="","",SUM(E$5:E78))</f>
        <v/>
      </c>
      <c r="G78" s="36" t="str">
        <f aca="false">IF(B78="","",IF(F77&lt;0.8,"A",IF(F77&lt;0.95,"B","C")))</f>
        <v/>
      </c>
      <c r="H78" s="27" t="str">
        <f aca="false">IF(OR(B78="",C78=0),"",D78/C78)</f>
        <v/>
      </c>
      <c r="I78" s="37" t="str">
        <f aca="false">IF(B78="","",SUMPRODUCT(MAX((Veri!$C$5:$C$2004=B78)*Veri!$A$5:$A$2004)))</f>
        <v/>
      </c>
      <c r="J78" s="26"/>
      <c r="K78" s="26" t="str">
        <f aca="false">IF(74&gt;MAX(Veri!$G$5:$G$2004),"",INDEX(Veri!$C$5:$C$2004,MATCH(74,Veri!$G$5:$G$2004,0)))</f>
        <v/>
      </c>
      <c r="L78" s="26" t="str">
        <f aca="false">IF(K78="","",SUMIFS(Veri!$E$5:$E$2004,Veri!$C$5:$C$2004,K78))</f>
        <v/>
      </c>
      <c r="M78" s="26" t="str">
        <f aca="false">IF(K78="","",L78+ROW()/1000000000)</f>
        <v/>
      </c>
      <c r="N78" s="26"/>
    </row>
    <row r="79" customFormat="false" ht="15" hidden="false" customHeight="false" outlineLevel="0" collapsed="false">
      <c r="A79" s="30" t="str">
        <f aca="false">IF(B79="","",75)</f>
        <v/>
      </c>
      <c r="B79" s="16" t="str">
        <f aca="false">IFERROR(INDEX($K$5:$K$204,MATCH(LARGE($M$5:$M$204,75),$M$5:$M$204,0)),"")</f>
        <v/>
      </c>
      <c r="C79" s="24" t="str">
        <f aca="false">IF(B79="","",SUMIFS(Veri!$D$5:$D$2004,Veri!$C$5:$C$2004,B79))</f>
        <v/>
      </c>
      <c r="D79" s="23" t="str">
        <f aca="false">IF(B79="","",SUMIFS(Veri!$E$5:$E$2004,Veri!$C$5:$C$2004,B79))</f>
        <v/>
      </c>
      <c r="E79" s="31" t="str">
        <f aca="false">IF(B79="","",IF(SUM(Veri!$E$5:$E$2004)=0,0,D79/SUM(Veri!$E$5:$E$2004)))</f>
        <v/>
      </c>
      <c r="F79" s="31" t="str">
        <f aca="false">IF(B79="","",SUM(E$5:E79))</f>
        <v/>
      </c>
      <c r="G79" s="32" t="str">
        <f aca="false">IF(B79="","",IF(F78&lt;0.8,"A",IF(F78&lt;0.95,"B","C")))</f>
        <v/>
      </c>
      <c r="H79" s="23" t="str">
        <f aca="false">IF(OR(B79="",C79=0),"",D79/C79)</f>
        <v/>
      </c>
      <c r="I79" s="33" t="str">
        <f aca="false">IF(B79="","",SUMPRODUCT(MAX((Veri!$C$5:$C$2004=B79)*Veri!$A$5:$A$2004)))</f>
        <v/>
      </c>
      <c r="J79" s="16"/>
      <c r="K79" s="16" t="str">
        <f aca="false">IF(75&gt;MAX(Veri!$G$5:$G$2004),"",INDEX(Veri!$C$5:$C$2004,MATCH(75,Veri!$G$5:$G$2004,0)))</f>
        <v/>
      </c>
      <c r="L79" s="16" t="str">
        <f aca="false">IF(K79="","",SUMIFS(Veri!$E$5:$E$2004,Veri!$C$5:$C$2004,K79))</f>
        <v/>
      </c>
      <c r="M79" s="16" t="str">
        <f aca="false">IF(K79="","",L79+ROW()/1000000000)</f>
        <v/>
      </c>
      <c r="N79" s="16"/>
    </row>
    <row r="80" customFormat="false" ht="15" hidden="false" customHeight="false" outlineLevel="0" collapsed="false">
      <c r="A80" s="34" t="str">
        <f aca="false">IF(B80="","",76)</f>
        <v/>
      </c>
      <c r="B80" s="26" t="str">
        <f aca="false">IFERROR(INDEX($K$5:$K$204,MATCH(LARGE($M$5:$M$204,76),$M$5:$M$204,0)),"")</f>
        <v/>
      </c>
      <c r="C80" s="28" t="str">
        <f aca="false">IF(B80="","",SUMIFS(Veri!$D$5:$D$2004,Veri!$C$5:$C$2004,B80))</f>
        <v/>
      </c>
      <c r="D80" s="27" t="str">
        <f aca="false">IF(B80="","",SUMIFS(Veri!$E$5:$E$2004,Veri!$C$5:$C$2004,B80))</f>
        <v/>
      </c>
      <c r="E80" s="35" t="str">
        <f aca="false">IF(B80="","",IF(SUM(Veri!$E$5:$E$2004)=0,0,D80/SUM(Veri!$E$5:$E$2004)))</f>
        <v/>
      </c>
      <c r="F80" s="35" t="str">
        <f aca="false">IF(B80="","",SUM(E$5:E80))</f>
        <v/>
      </c>
      <c r="G80" s="36" t="str">
        <f aca="false">IF(B80="","",IF(F79&lt;0.8,"A",IF(F79&lt;0.95,"B","C")))</f>
        <v/>
      </c>
      <c r="H80" s="27" t="str">
        <f aca="false">IF(OR(B80="",C80=0),"",D80/C80)</f>
        <v/>
      </c>
      <c r="I80" s="37" t="str">
        <f aca="false">IF(B80="","",SUMPRODUCT(MAX((Veri!$C$5:$C$2004=B80)*Veri!$A$5:$A$2004)))</f>
        <v/>
      </c>
      <c r="J80" s="26"/>
      <c r="K80" s="26" t="str">
        <f aca="false">IF(76&gt;MAX(Veri!$G$5:$G$2004),"",INDEX(Veri!$C$5:$C$2004,MATCH(76,Veri!$G$5:$G$2004,0)))</f>
        <v/>
      </c>
      <c r="L80" s="26" t="str">
        <f aca="false">IF(K80="","",SUMIFS(Veri!$E$5:$E$2004,Veri!$C$5:$C$2004,K80))</f>
        <v/>
      </c>
      <c r="M80" s="26" t="str">
        <f aca="false">IF(K80="","",L80+ROW()/1000000000)</f>
        <v/>
      </c>
      <c r="N80" s="26"/>
    </row>
    <row r="81" customFormat="false" ht="15" hidden="false" customHeight="false" outlineLevel="0" collapsed="false">
      <c r="A81" s="30" t="str">
        <f aca="false">IF(B81="","",77)</f>
        <v/>
      </c>
      <c r="B81" s="16" t="str">
        <f aca="false">IFERROR(INDEX($K$5:$K$204,MATCH(LARGE($M$5:$M$204,77),$M$5:$M$204,0)),"")</f>
        <v/>
      </c>
      <c r="C81" s="24" t="str">
        <f aca="false">IF(B81="","",SUMIFS(Veri!$D$5:$D$2004,Veri!$C$5:$C$2004,B81))</f>
        <v/>
      </c>
      <c r="D81" s="23" t="str">
        <f aca="false">IF(B81="","",SUMIFS(Veri!$E$5:$E$2004,Veri!$C$5:$C$2004,B81))</f>
        <v/>
      </c>
      <c r="E81" s="31" t="str">
        <f aca="false">IF(B81="","",IF(SUM(Veri!$E$5:$E$2004)=0,0,D81/SUM(Veri!$E$5:$E$2004)))</f>
        <v/>
      </c>
      <c r="F81" s="31" t="str">
        <f aca="false">IF(B81="","",SUM(E$5:E81))</f>
        <v/>
      </c>
      <c r="G81" s="32" t="str">
        <f aca="false">IF(B81="","",IF(F80&lt;0.8,"A",IF(F80&lt;0.95,"B","C")))</f>
        <v/>
      </c>
      <c r="H81" s="23" t="str">
        <f aca="false">IF(OR(B81="",C81=0),"",D81/C81)</f>
        <v/>
      </c>
      <c r="I81" s="33" t="str">
        <f aca="false">IF(B81="","",SUMPRODUCT(MAX((Veri!$C$5:$C$2004=B81)*Veri!$A$5:$A$2004)))</f>
        <v/>
      </c>
      <c r="J81" s="16"/>
      <c r="K81" s="16" t="str">
        <f aca="false">IF(77&gt;MAX(Veri!$G$5:$G$2004),"",INDEX(Veri!$C$5:$C$2004,MATCH(77,Veri!$G$5:$G$2004,0)))</f>
        <v/>
      </c>
      <c r="L81" s="16" t="str">
        <f aca="false">IF(K81="","",SUMIFS(Veri!$E$5:$E$2004,Veri!$C$5:$C$2004,K81))</f>
        <v/>
      </c>
      <c r="M81" s="16" t="str">
        <f aca="false">IF(K81="","",L81+ROW()/1000000000)</f>
        <v/>
      </c>
      <c r="N81" s="16"/>
    </row>
    <row r="82" customFormat="false" ht="15" hidden="false" customHeight="false" outlineLevel="0" collapsed="false">
      <c r="A82" s="34" t="str">
        <f aca="false">IF(B82="","",78)</f>
        <v/>
      </c>
      <c r="B82" s="26" t="str">
        <f aca="false">IFERROR(INDEX($K$5:$K$204,MATCH(LARGE($M$5:$M$204,78),$M$5:$M$204,0)),"")</f>
        <v/>
      </c>
      <c r="C82" s="28" t="str">
        <f aca="false">IF(B82="","",SUMIFS(Veri!$D$5:$D$2004,Veri!$C$5:$C$2004,B82))</f>
        <v/>
      </c>
      <c r="D82" s="27" t="str">
        <f aca="false">IF(B82="","",SUMIFS(Veri!$E$5:$E$2004,Veri!$C$5:$C$2004,B82))</f>
        <v/>
      </c>
      <c r="E82" s="35" t="str">
        <f aca="false">IF(B82="","",IF(SUM(Veri!$E$5:$E$2004)=0,0,D82/SUM(Veri!$E$5:$E$2004)))</f>
        <v/>
      </c>
      <c r="F82" s="35" t="str">
        <f aca="false">IF(B82="","",SUM(E$5:E82))</f>
        <v/>
      </c>
      <c r="G82" s="36" t="str">
        <f aca="false">IF(B82="","",IF(F81&lt;0.8,"A",IF(F81&lt;0.95,"B","C")))</f>
        <v/>
      </c>
      <c r="H82" s="27" t="str">
        <f aca="false">IF(OR(B82="",C82=0),"",D82/C82)</f>
        <v/>
      </c>
      <c r="I82" s="37" t="str">
        <f aca="false">IF(B82="","",SUMPRODUCT(MAX((Veri!$C$5:$C$2004=B82)*Veri!$A$5:$A$2004)))</f>
        <v/>
      </c>
      <c r="J82" s="26"/>
      <c r="K82" s="26" t="str">
        <f aca="false">IF(78&gt;MAX(Veri!$G$5:$G$2004),"",INDEX(Veri!$C$5:$C$2004,MATCH(78,Veri!$G$5:$G$2004,0)))</f>
        <v/>
      </c>
      <c r="L82" s="26" t="str">
        <f aca="false">IF(K82="","",SUMIFS(Veri!$E$5:$E$2004,Veri!$C$5:$C$2004,K82))</f>
        <v/>
      </c>
      <c r="M82" s="26" t="str">
        <f aca="false">IF(K82="","",L82+ROW()/1000000000)</f>
        <v/>
      </c>
      <c r="N82" s="26"/>
    </row>
    <row r="83" customFormat="false" ht="15" hidden="false" customHeight="false" outlineLevel="0" collapsed="false">
      <c r="A83" s="30" t="str">
        <f aca="false">IF(B83="","",79)</f>
        <v/>
      </c>
      <c r="B83" s="16" t="str">
        <f aca="false">IFERROR(INDEX($K$5:$K$204,MATCH(LARGE($M$5:$M$204,79),$M$5:$M$204,0)),"")</f>
        <v/>
      </c>
      <c r="C83" s="24" t="str">
        <f aca="false">IF(B83="","",SUMIFS(Veri!$D$5:$D$2004,Veri!$C$5:$C$2004,B83))</f>
        <v/>
      </c>
      <c r="D83" s="23" t="str">
        <f aca="false">IF(B83="","",SUMIFS(Veri!$E$5:$E$2004,Veri!$C$5:$C$2004,B83))</f>
        <v/>
      </c>
      <c r="E83" s="31" t="str">
        <f aca="false">IF(B83="","",IF(SUM(Veri!$E$5:$E$2004)=0,0,D83/SUM(Veri!$E$5:$E$2004)))</f>
        <v/>
      </c>
      <c r="F83" s="31" t="str">
        <f aca="false">IF(B83="","",SUM(E$5:E83))</f>
        <v/>
      </c>
      <c r="G83" s="32" t="str">
        <f aca="false">IF(B83="","",IF(F82&lt;0.8,"A",IF(F82&lt;0.95,"B","C")))</f>
        <v/>
      </c>
      <c r="H83" s="23" t="str">
        <f aca="false">IF(OR(B83="",C83=0),"",D83/C83)</f>
        <v/>
      </c>
      <c r="I83" s="33" t="str">
        <f aca="false">IF(B83="","",SUMPRODUCT(MAX((Veri!$C$5:$C$2004=B83)*Veri!$A$5:$A$2004)))</f>
        <v/>
      </c>
      <c r="J83" s="16"/>
      <c r="K83" s="16" t="str">
        <f aca="false">IF(79&gt;MAX(Veri!$G$5:$G$2004),"",INDEX(Veri!$C$5:$C$2004,MATCH(79,Veri!$G$5:$G$2004,0)))</f>
        <v/>
      </c>
      <c r="L83" s="16" t="str">
        <f aca="false">IF(K83="","",SUMIFS(Veri!$E$5:$E$2004,Veri!$C$5:$C$2004,K83))</f>
        <v/>
      </c>
      <c r="M83" s="16" t="str">
        <f aca="false">IF(K83="","",L83+ROW()/1000000000)</f>
        <v/>
      </c>
      <c r="N83" s="16"/>
    </row>
    <row r="84" customFormat="false" ht="15" hidden="false" customHeight="false" outlineLevel="0" collapsed="false">
      <c r="A84" s="34" t="str">
        <f aca="false">IF(B84="","",80)</f>
        <v/>
      </c>
      <c r="B84" s="26" t="str">
        <f aca="false">IFERROR(INDEX($K$5:$K$204,MATCH(LARGE($M$5:$M$204,80),$M$5:$M$204,0)),"")</f>
        <v/>
      </c>
      <c r="C84" s="28" t="str">
        <f aca="false">IF(B84="","",SUMIFS(Veri!$D$5:$D$2004,Veri!$C$5:$C$2004,B84))</f>
        <v/>
      </c>
      <c r="D84" s="27" t="str">
        <f aca="false">IF(B84="","",SUMIFS(Veri!$E$5:$E$2004,Veri!$C$5:$C$2004,B84))</f>
        <v/>
      </c>
      <c r="E84" s="35" t="str">
        <f aca="false">IF(B84="","",IF(SUM(Veri!$E$5:$E$2004)=0,0,D84/SUM(Veri!$E$5:$E$2004)))</f>
        <v/>
      </c>
      <c r="F84" s="35" t="str">
        <f aca="false">IF(B84="","",SUM(E$5:E84))</f>
        <v/>
      </c>
      <c r="G84" s="36" t="str">
        <f aca="false">IF(B84="","",IF(F83&lt;0.8,"A",IF(F83&lt;0.95,"B","C")))</f>
        <v/>
      </c>
      <c r="H84" s="27" t="str">
        <f aca="false">IF(OR(B84="",C84=0),"",D84/C84)</f>
        <v/>
      </c>
      <c r="I84" s="37" t="str">
        <f aca="false">IF(B84="","",SUMPRODUCT(MAX((Veri!$C$5:$C$2004=B84)*Veri!$A$5:$A$2004)))</f>
        <v/>
      </c>
      <c r="J84" s="26"/>
      <c r="K84" s="26" t="str">
        <f aca="false">IF(80&gt;MAX(Veri!$G$5:$G$2004),"",INDEX(Veri!$C$5:$C$2004,MATCH(80,Veri!$G$5:$G$2004,0)))</f>
        <v/>
      </c>
      <c r="L84" s="26" t="str">
        <f aca="false">IF(K84="","",SUMIFS(Veri!$E$5:$E$2004,Veri!$C$5:$C$2004,K84))</f>
        <v/>
      </c>
      <c r="M84" s="26" t="str">
        <f aca="false">IF(K84="","",L84+ROW()/1000000000)</f>
        <v/>
      </c>
      <c r="N84" s="26"/>
    </row>
    <row r="85" customFormat="false" ht="15" hidden="false" customHeight="false" outlineLevel="0" collapsed="false">
      <c r="A85" s="30" t="str">
        <f aca="false">IF(B85="","",81)</f>
        <v/>
      </c>
      <c r="B85" s="16" t="str">
        <f aca="false">IFERROR(INDEX($K$5:$K$204,MATCH(LARGE($M$5:$M$204,81),$M$5:$M$204,0)),"")</f>
        <v/>
      </c>
      <c r="C85" s="24" t="str">
        <f aca="false">IF(B85="","",SUMIFS(Veri!$D$5:$D$2004,Veri!$C$5:$C$2004,B85))</f>
        <v/>
      </c>
      <c r="D85" s="23" t="str">
        <f aca="false">IF(B85="","",SUMIFS(Veri!$E$5:$E$2004,Veri!$C$5:$C$2004,B85))</f>
        <v/>
      </c>
      <c r="E85" s="31" t="str">
        <f aca="false">IF(B85="","",IF(SUM(Veri!$E$5:$E$2004)=0,0,D85/SUM(Veri!$E$5:$E$2004)))</f>
        <v/>
      </c>
      <c r="F85" s="31" t="str">
        <f aca="false">IF(B85="","",SUM(E$5:E85))</f>
        <v/>
      </c>
      <c r="G85" s="32" t="str">
        <f aca="false">IF(B85="","",IF(F84&lt;0.8,"A",IF(F84&lt;0.95,"B","C")))</f>
        <v/>
      </c>
      <c r="H85" s="23" t="str">
        <f aca="false">IF(OR(B85="",C85=0),"",D85/C85)</f>
        <v/>
      </c>
      <c r="I85" s="33" t="str">
        <f aca="false">IF(B85="","",SUMPRODUCT(MAX((Veri!$C$5:$C$2004=B85)*Veri!$A$5:$A$2004)))</f>
        <v/>
      </c>
      <c r="J85" s="16"/>
      <c r="K85" s="16" t="str">
        <f aca="false">IF(81&gt;MAX(Veri!$G$5:$G$2004),"",INDEX(Veri!$C$5:$C$2004,MATCH(81,Veri!$G$5:$G$2004,0)))</f>
        <v/>
      </c>
      <c r="L85" s="16" t="str">
        <f aca="false">IF(K85="","",SUMIFS(Veri!$E$5:$E$2004,Veri!$C$5:$C$2004,K85))</f>
        <v/>
      </c>
      <c r="M85" s="16" t="str">
        <f aca="false">IF(K85="","",L85+ROW()/1000000000)</f>
        <v/>
      </c>
      <c r="N85" s="16"/>
    </row>
    <row r="86" customFormat="false" ht="15" hidden="false" customHeight="false" outlineLevel="0" collapsed="false">
      <c r="A86" s="34" t="str">
        <f aca="false">IF(B86="","",82)</f>
        <v/>
      </c>
      <c r="B86" s="26" t="str">
        <f aca="false">IFERROR(INDEX($K$5:$K$204,MATCH(LARGE($M$5:$M$204,82),$M$5:$M$204,0)),"")</f>
        <v/>
      </c>
      <c r="C86" s="28" t="str">
        <f aca="false">IF(B86="","",SUMIFS(Veri!$D$5:$D$2004,Veri!$C$5:$C$2004,B86))</f>
        <v/>
      </c>
      <c r="D86" s="27" t="str">
        <f aca="false">IF(B86="","",SUMIFS(Veri!$E$5:$E$2004,Veri!$C$5:$C$2004,B86))</f>
        <v/>
      </c>
      <c r="E86" s="35" t="str">
        <f aca="false">IF(B86="","",IF(SUM(Veri!$E$5:$E$2004)=0,0,D86/SUM(Veri!$E$5:$E$2004)))</f>
        <v/>
      </c>
      <c r="F86" s="35" t="str">
        <f aca="false">IF(B86="","",SUM(E$5:E86))</f>
        <v/>
      </c>
      <c r="G86" s="36" t="str">
        <f aca="false">IF(B86="","",IF(F85&lt;0.8,"A",IF(F85&lt;0.95,"B","C")))</f>
        <v/>
      </c>
      <c r="H86" s="27" t="str">
        <f aca="false">IF(OR(B86="",C86=0),"",D86/C86)</f>
        <v/>
      </c>
      <c r="I86" s="37" t="str">
        <f aca="false">IF(B86="","",SUMPRODUCT(MAX((Veri!$C$5:$C$2004=B86)*Veri!$A$5:$A$2004)))</f>
        <v/>
      </c>
      <c r="J86" s="26"/>
      <c r="K86" s="26" t="str">
        <f aca="false">IF(82&gt;MAX(Veri!$G$5:$G$2004),"",INDEX(Veri!$C$5:$C$2004,MATCH(82,Veri!$G$5:$G$2004,0)))</f>
        <v/>
      </c>
      <c r="L86" s="26" t="str">
        <f aca="false">IF(K86="","",SUMIFS(Veri!$E$5:$E$2004,Veri!$C$5:$C$2004,K86))</f>
        <v/>
      </c>
      <c r="M86" s="26" t="str">
        <f aca="false">IF(K86="","",L86+ROW()/1000000000)</f>
        <v/>
      </c>
      <c r="N86" s="26"/>
    </row>
    <row r="87" customFormat="false" ht="15" hidden="false" customHeight="false" outlineLevel="0" collapsed="false">
      <c r="A87" s="30" t="str">
        <f aca="false">IF(B87="","",83)</f>
        <v/>
      </c>
      <c r="B87" s="16" t="str">
        <f aca="false">IFERROR(INDEX($K$5:$K$204,MATCH(LARGE($M$5:$M$204,83),$M$5:$M$204,0)),"")</f>
        <v/>
      </c>
      <c r="C87" s="24" t="str">
        <f aca="false">IF(B87="","",SUMIFS(Veri!$D$5:$D$2004,Veri!$C$5:$C$2004,B87))</f>
        <v/>
      </c>
      <c r="D87" s="23" t="str">
        <f aca="false">IF(B87="","",SUMIFS(Veri!$E$5:$E$2004,Veri!$C$5:$C$2004,B87))</f>
        <v/>
      </c>
      <c r="E87" s="31" t="str">
        <f aca="false">IF(B87="","",IF(SUM(Veri!$E$5:$E$2004)=0,0,D87/SUM(Veri!$E$5:$E$2004)))</f>
        <v/>
      </c>
      <c r="F87" s="31" t="str">
        <f aca="false">IF(B87="","",SUM(E$5:E87))</f>
        <v/>
      </c>
      <c r="G87" s="32" t="str">
        <f aca="false">IF(B87="","",IF(F86&lt;0.8,"A",IF(F86&lt;0.95,"B","C")))</f>
        <v/>
      </c>
      <c r="H87" s="23" t="str">
        <f aca="false">IF(OR(B87="",C87=0),"",D87/C87)</f>
        <v/>
      </c>
      <c r="I87" s="33" t="str">
        <f aca="false">IF(B87="","",SUMPRODUCT(MAX((Veri!$C$5:$C$2004=B87)*Veri!$A$5:$A$2004)))</f>
        <v/>
      </c>
      <c r="J87" s="16"/>
      <c r="K87" s="16" t="str">
        <f aca="false">IF(83&gt;MAX(Veri!$G$5:$G$2004),"",INDEX(Veri!$C$5:$C$2004,MATCH(83,Veri!$G$5:$G$2004,0)))</f>
        <v/>
      </c>
      <c r="L87" s="16" t="str">
        <f aca="false">IF(K87="","",SUMIFS(Veri!$E$5:$E$2004,Veri!$C$5:$C$2004,K87))</f>
        <v/>
      </c>
      <c r="M87" s="16" t="str">
        <f aca="false">IF(K87="","",L87+ROW()/1000000000)</f>
        <v/>
      </c>
      <c r="N87" s="16"/>
    </row>
    <row r="88" customFormat="false" ht="15" hidden="false" customHeight="false" outlineLevel="0" collapsed="false">
      <c r="A88" s="34" t="str">
        <f aca="false">IF(B88="","",84)</f>
        <v/>
      </c>
      <c r="B88" s="26" t="str">
        <f aca="false">IFERROR(INDEX($K$5:$K$204,MATCH(LARGE($M$5:$M$204,84),$M$5:$M$204,0)),"")</f>
        <v/>
      </c>
      <c r="C88" s="28" t="str">
        <f aca="false">IF(B88="","",SUMIFS(Veri!$D$5:$D$2004,Veri!$C$5:$C$2004,B88))</f>
        <v/>
      </c>
      <c r="D88" s="27" t="str">
        <f aca="false">IF(B88="","",SUMIFS(Veri!$E$5:$E$2004,Veri!$C$5:$C$2004,B88))</f>
        <v/>
      </c>
      <c r="E88" s="35" t="str">
        <f aca="false">IF(B88="","",IF(SUM(Veri!$E$5:$E$2004)=0,0,D88/SUM(Veri!$E$5:$E$2004)))</f>
        <v/>
      </c>
      <c r="F88" s="35" t="str">
        <f aca="false">IF(B88="","",SUM(E$5:E88))</f>
        <v/>
      </c>
      <c r="G88" s="36" t="str">
        <f aca="false">IF(B88="","",IF(F87&lt;0.8,"A",IF(F87&lt;0.95,"B","C")))</f>
        <v/>
      </c>
      <c r="H88" s="27" t="str">
        <f aca="false">IF(OR(B88="",C88=0),"",D88/C88)</f>
        <v/>
      </c>
      <c r="I88" s="37" t="str">
        <f aca="false">IF(B88="","",SUMPRODUCT(MAX((Veri!$C$5:$C$2004=B88)*Veri!$A$5:$A$2004)))</f>
        <v/>
      </c>
      <c r="J88" s="26"/>
      <c r="K88" s="26" t="str">
        <f aca="false">IF(84&gt;MAX(Veri!$G$5:$G$2004),"",INDEX(Veri!$C$5:$C$2004,MATCH(84,Veri!$G$5:$G$2004,0)))</f>
        <v/>
      </c>
      <c r="L88" s="26" t="str">
        <f aca="false">IF(K88="","",SUMIFS(Veri!$E$5:$E$2004,Veri!$C$5:$C$2004,K88))</f>
        <v/>
      </c>
      <c r="M88" s="26" t="str">
        <f aca="false">IF(K88="","",L88+ROW()/1000000000)</f>
        <v/>
      </c>
      <c r="N88" s="26"/>
    </row>
    <row r="89" customFormat="false" ht="15" hidden="false" customHeight="false" outlineLevel="0" collapsed="false">
      <c r="A89" s="30" t="str">
        <f aca="false">IF(B89="","",85)</f>
        <v/>
      </c>
      <c r="B89" s="16" t="str">
        <f aca="false">IFERROR(INDEX($K$5:$K$204,MATCH(LARGE($M$5:$M$204,85),$M$5:$M$204,0)),"")</f>
        <v/>
      </c>
      <c r="C89" s="24" t="str">
        <f aca="false">IF(B89="","",SUMIFS(Veri!$D$5:$D$2004,Veri!$C$5:$C$2004,B89))</f>
        <v/>
      </c>
      <c r="D89" s="23" t="str">
        <f aca="false">IF(B89="","",SUMIFS(Veri!$E$5:$E$2004,Veri!$C$5:$C$2004,B89))</f>
        <v/>
      </c>
      <c r="E89" s="31" t="str">
        <f aca="false">IF(B89="","",IF(SUM(Veri!$E$5:$E$2004)=0,0,D89/SUM(Veri!$E$5:$E$2004)))</f>
        <v/>
      </c>
      <c r="F89" s="31" t="str">
        <f aca="false">IF(B89="","",SUM(E$5:E89))</f>
        <v/>
      </c>
      <c r="G89" s="32" t="str">
        <f aca="false">IF(B89="","",IF(F88&lt;0.8,"A",IF(F88&lt;0.95,"B","C")))</f>
        <v/>
      </c>
      <c r="H89" s="23" t="str">
        <f aca="false">IF(OR(B89="",C89=0),"",D89/C89)</f>
        <v/>
      </c>
      <c r="I89" s="33" t="str">
        <f aca="false">IF(B89="","",SUMPRODUCT(MAX((Veri!$C$5:$C$2004=B89)*Veri!$A$5:$A$2004)))</f>
        <v/>
      </c>
      <c r="J89" s="16"/>
      <c r="K89" s="16" t="str">
        <f aca="false">IF(85&gt;MAX(Veri!$G$5:$G$2004),"",INDEX(Veri!$C$5:$C$2004,MATCH(85,Veri!$G$5:$G$2004,0)))</f>
        <v/>
      </c>
      <c r="L89" s="16" t="str">
        <f aca="false">IF(K89="","",SUMIFS(Veri!$E$5:$E$2004,Veri!$C$5:$C$2004,K89))</f>
        <v/>
      </c>
      <c r="M89" s="16" t="str">
        <f aca="false">IF(K89="","",L89+ROW()/1000000000)</f>
        <v/>
      </c>
      <c r="N89" s="16"/>
    </row>
    <row r="90" customFormat="false" ht="15" hidden="false" customHeight="false" outlineLevel="0" collapsed="false">
      <c r="A90" s="34" t="str">
        <f aca="false">IF(B90="","",86)</f>
        <v/>
      </c>
      <c r="B90" s="26" t="str">
        <f aca="false">IFERROR(INDEX($K$5:$K$204,MATCH(LARGE($M$5:$M$204,86),$M$5:$M$204,0)),"")</f>
        <v/>
      </c>
      <c r="C90" s="28" t="str">
        <f aca="false">IF(B90="","",SUMIFS(Veri!$D$5:$D$2004,Veri!$C$5:$C$2004,B90))</f>
        <v/>
      </c>
      <c r="D90" s="27" t="str">
        <f aca="false">IF(B90="","",SUMIFS(Veri!$E$5:$E$2004,Veri!$C$5:$C$2004,B90))</f>
        <v/>
      </c>
      <c r="E90" s="35" t="str">
        <f aca="false">IF(B90="","",IF(SUM(Veri!$E$5:$E$2004)=0,0,D90/SUM(Veri!$E$5:$E$2004)))</f>
        <v/>
      </c>
      <c r="F90" s="35" t="str">
        <f aca="false">IF(B90="","",SUM(E$5:E90))</f>
        <v/>
      </c>
      <c r="G90" s="36" t="str">
        <f aca="false">IF(B90="","",IF(F89&lt;0.8,"A",IF(F89&lt;0.95,"B","C")))</f>
        <v/>
      </c>
      <c r="H90" s="27" t="str">
        <f aca="false">IF(OR(B90="",C90=0),"",D90/C90)</f>
        <v/>
      </c>
      <c r="I90" s="37" t="str">
        <f aca="false">IF(B90="","",SUMPRODUCT(MAX((Veri!$C$5:$C$2004=B90)*Veri!$A$5:$A$2004)))</f>
        <v/>
      </c>
      <c r="J90" s="26"/>
      <c r="K90" s="26" t="str">
        <f aca="false">IF(86&gt;MAX(Veri!$G$5:$G$2004),"",INDEX(Veri!$C$5:$C$2004,MATCH(86,Veri!$G$5:$G$2004,0)))</f>
        <v/>
      </c>
      <c r="L90" s="26" t="str">
        <f aca="false">IF(K90="","",SUMIFS(Veri!$E$5:$E$2004,Veri!$C$5:$C$2004,K90))</f>
        <v/>
      </c>
      <c r="M90" s="26" t="str">
        <f aca="false">IF(K90="","",L90+ROW()/1000000000)</f>
        <v/>
      </c>
      <c r="N90" s="26"/>
    </row>
    <row r="91" customFormat="false" ht="15" hidden="false" customHeight="false" outlineLevel="0" collapsed="false">
      <c r="A91" s="30" t="str">
        <f aca="false">IF(B91="","",87)</f>
        <v/>
      </c>
      <c r="B91" s="16" t="str">
        <f aca="false">IFERROR(INDEX($K$5:$K$204,MATCH(LARGE($M$5:$M$204,87),$M$5:$M$204,0)),"")</f>
        <v/>
      </c>
      <c r="C91" s="24" t="str">
        <f aca="false">IF(B91="","",SUMIFS(Veri!$D$5:$D$2004,Veri!$C$5:$C$2004,B91))</f>
        <v/>
      </c>
      <c r="D91" s="23" t="str">
        <f aca="false">IF(B91="","",SUMIFS(Veri!$E$5:$E$2004,Veri!$C$5:$C$2004,B91))</f>
        <v/>
      </c>
      <c r="E91" s="31" t="str">
        <f aca="false">IF(B91="","",IF(SUM(Veri!$E$5:$E$2004)=0,0,D91/SUM(Veri!$E$5:$E$2004)))</f>
        <v/>
      </c>
      <c r="F91" s="31" t="str">
        <f aca="false">IF(B91="","",SUM(E$5:E91))</f>
        <v/>
      </c>
      <c r="G91" s="32" t="str">
        <f aca="false">IF(B91="","",IF(F90&lt;0.8,"A",IF(F90&lt;0.95,"B","C")))</f>
        <v/>
      </c>
      <c r="H91" s="23" t="str">
        <f aca="false">IF(OR(B91="",C91=0),"",D91/C91)</f>
        <v/>
      </c>
      <c r="I91" s="33" t="str">
        <f aca="false">IF(B91="","",SUMPRODUCT(MAX((Veri!$C$5:$C$2004=B91)*Veri!$A$5:$A$2004)))</f>
        <v/>
      </c>
      <c r="J91" s="16"/>
      <c r="K91" s="16" t="str">
        <f aca="false">IF(87&gt;MAX(Veri!$G$5:$G$2004),"",INDEX(Veri!$C$5:$C$2004,MATCH(87,Veri!$G$5:$G$2004,0)))</f>
        <v/>
      </c>
      <c r="L91" s="16" t="str">
        <f aca="false">IF(K91="","",SUMIFS(Veri!$E$5:$E$2004,Veri!$C$5:$C$2004,K91))</f>
        <v/>
      </c>
      <c r="M91" s="16" t="str">
        <f aca="false">IF(K91="","",L91+ROW()/1000000000)</f>
        <v/>
      </c>
      <c r="N91" s="16"/>
    </row>
    <row r="92" customFormat="false" ht="15" hidden="false" customHeight="false" outlineLevel="0" collapsed="false">
      <c r="A92" s="34" t="str">
        <f aca="false">IF(B92="","",88)</f>
        <v/>
      </c>
      <c r="B92" s="26" t="str">
        <f aca="false">IFERROR(INDEX($K$5:$K$204,MATCH(LARGE($M$5:$M$204,88),$M$5:$M$204,0)),"")</f>
        <v/>
      </c>
      <c r="C92" s="28" t="str">
        <f aca="false">IF(B92="","",SUMIFS(Veri!$D$5:$D$2004,Veri!$C$5:$C$2004,B92))</f>
        <v/>
      </c>
      <c r="D92" s="27" t="str">
        <f aca="false">IF(B92="","",SUMIFS(Veri!$E$5:$E$2004,Veri!$C$5:$C$2004,B92))</f>
        <v/>
      </c>
      <c r="E92" s="35" t="str">
        <f aca="false">IF(B92="","",IF(SUM(Veri!$E$5:$E$2004)=0,0,D92/SUM(Veri!$E$5:$E$2004)))</f>
        <v/>
      </c>
      <c r="F92" s="35" t="str">
        <f aca="false">IF(B92="","",SUM(E$5:E92))</f>
        <v/>
      </c>
      <c r="G92" s="36" t="str">
        <f aca="false">IF(B92="","",IF(F91&lt;0.8,"A",IF(F91&lt;0.95,"B","C")))</f>
        <v/>
      </c>
      <c r="H92" s="27" t="str">
        <f aca="false">IF(OR(B92="",C92=0),"",D92/C92)</f>
        <v/>
      </c>
      <c r="I92" s="37" t="str">
        <f aca="false">IF(B92="","",SUMPRODUCT(MAX((Veri!$C$5:$C$2004=B92)*Veri!$A$5:$A$2004)))</f>
        <v/>
      </c>
      <c r="J92" s="26"/>
      <c r="K92" s="26" t="str">
        <f aca="false">IF(88&gt;MAX(Veri!$G$5:$G$2004),"",INDEX(Veri!$C$5:$C$2004,MATCH(88,Veri!$G$5:$G$2004,0)))</f>
        <v/>
      </c>
      <c r="L92" s="26" t="str">
        <f aca="false">IF(K92="","",SUMIFS(Veri!$E$5:$E$2004,Veri!$C$5:$C$2004,K92))</f>
        <v/>
      </c>
      <c r="M92" s="26" t="str">
        <f aca="false">IF(K92="","",L92+ROW()/1000000000)</f>
        <v/>
      </c>
      <c r="N92" s="26"/>
    </row>
    <row r="93" customFormat="false" ht="15" hidden="false" customHeight="false" outlineLevel="0" collapsed="false">
      <c r="A93" s="30" t="str">
        <f aca="false">IF(B93="","",89)</f>
        <v/>
      </c>
      <c r="B93" s="16" t="str">
        <f aca="false">IFERROR(INDEX($K$5:$K$204,MATCH(LARGE($M$5:$M$204,89),$M$5:$M$204,0)),"")</f>
        <v/>
      </c>
      <c r="C93" s="24" t="str">
        <f aca="false">IF(B93="","",SUMIFS(Veri!$D$5:$D$2004,Veri!$C$5:$C$2004,B93))</f>
        <v/>
      </c>
      <c r="D93" s="23" t="str">
        <f aca="false">IF(B93="","",SUMIFS(Veri!$E$5:$E$2004,Veri!$C$5:$C$2004,B93))</f>
        <v/>
      </c>
      <c r="E93" s="31" t="str">
        <f aca="false">IF(B93="","",IF(SUM(Veri!$E$5:$E$2004)=0,0,D93/SUM(Veri!$E$5:$E$2004)))</f>
        <v/>
      </c>
      <c r="F93" s="31" t="str">
        <f aca="false">IF(B93="","",SUM(E$5:E93))</f>
        <v/>
      </c>
      <c r="G93" s="32" t="str">
        <f aca="false">IF(B93="","",IF(F92&lt;0.8,"A",IF(F92&lt;0.95,"B","C")))</f>
        <v/>
      </c>
      <c r="H93" s="23" t="str">
        <f aca="false">IF(OR(B93="",C93=0),"",D93/C93)</f>
        <v/>
      </c>
      <c r="I93" s="33" t="str">
        <f aca="false">IF(B93="","",SUMPRODUCT(MAX((Veri!$C$5:$C$2004=B93)*Veri!$A$5:$A$2004)))</f>
        <v/>
      </c>
      <c r="J93" s="16"/>
      <c r="K93" s="16" t="str">
        <f aca="false">IF(89&gt;MAX(Veri!$G$5:$G$2004),"",INDEX(Veri!$C$5:$C$2004,MATCH(89,Veri!$G$5:$G$2004,0)))</f>
        <v/>
      </c>
      <c r="L93" s="16" t="str">
        <f aca="false">IF(K93="","",SUMIFS(Veri!$E$5:$E$2004,Veri!$C$5:$C$2004,K93))</f>
        <v/>
      </c>
      <c r="M93" s="16" t="str">
        <f aca="false">IF(K93="","",L93+ROW()/1000000000)</f>
        <v/>
      </c>
      <c r="N93" s="16"/>
    </row>
    <row r="94" customFormat="false" ht="15" hidden="false" customHeight="false" outlineLevel="0" collapsed="false">
      <c r="A94" s="34" t="str">
        <f aca="false">IF(B94="","",90)</f>
        <v/>
      </c>
      <c r="B94" s="26" t="str">
        <f aca="false">IFERROR(INDEX($K$5:$K$204,MATCH(LARGE($M$5:$M$204,90),$M$5:$M$204,0)),"")</f>
        <v/>
      </c>
      <c r="C94" s="28" t="str">
        <f aca="false">IF(B94="","",SUMIFS(Veri!$D$5:$D$2004,Veri!$C$5:$C$2004,B94))</f>
        <v/>
      </c>
      <c r="D94" s="27" t="str">
        <f aca="false">IF(B94="","",SUMIFS(Veri!$E$5:$E$2004,Veri!$C$5:$C$2004,B94))</f>
        <v/>
      </c>
      <c r="E94" s="35" t="str">
        <f aca="false">IF(B94="","",IF(SUM(Veri!$E$5:$E$2004)=0,0,D94/SUM(Veri!$E$5:$E$2004)))</f>
        <v/>
      </c>
      <c r="F94" s="35" t="str">
        <f aca="false">IF(B94="","",SUM(E$5:E94))</f>
        <v/>
      </c>
      <c r="G94" s="36" t="str">
        <f aca="false">IF(B94="","",IF(F93&lt;0.8,"A",IF(F93&lt;0.95,"B","C")))</f>
        <v/>
      </c>
      <c r="H94" s="27" t="str">
        <f aca="false">IF(OR(B94="",C94=0),"",D94/C94)</f>
        <v/>
      </c>
      <c r="I94" s="37" t="str">
        <f aca="false">IF(B94="","",SUMPRODUCT(MAX((Veri!$C$5:$C$2004=B94)*Veri!$A$5:$A$2004)))</f>
        <v/>
      </c>
      <c r="J94" s="26"/>
      <c r="K94" s="26" t="str">
        <f aca="false">IF(90&gt;MAX(Veri!$G$5:$G$2004),"",INDEX(Veri!$C$5:$C$2004,MATCH(90,Veri!$G$5:$G$2004,0)))</f>
        <v/>
      </c>
      <c r="L94" s="26" t="str">
        <f aca="false">IF(K94="","",SUMIFS(Veri!$E$5:$E$2004,Veri!$C$5:$C$2004,K94))</f>
        <v/>
      </c>
      <c r="M94" s="26" t="str">
        <f aca="false">IF(K94="","",L94+ROW()/1000000000)</f>
        <v/>
      </c>
      <c r="N94" s="26"/>
    </row>
    <row r="95" customFormat="false" ht="15" hidden="false" customHeight="false" outlineLevel="0" collapsed="false">
      <c r="A95" s="30" t="str">
        <f aca="false">IF(B95="","",91)</f>
        <v/>
      </c>
      <c r="B95" s="16" t="str">
        <f aca="false">IFERROR(INDEX($K$5:$K$204,MATCH(LARGE($M$5:$M$204,91),$M$5:$M$204,0)),"")</f>
        <v/>
      </c>
      <c r="C95" s="24" t="str">
        <f aca="false">IF(B95="","",SUMIFS(Veri!$D$5:$D$2004,Veri!$C$5:$C$2004,B95))</f>
        <v/>
      </c>
      <c r="D95" s="23" t="str">
        <f aca="false">IF(B95="","",SUMIFS(Veri!$E$5:$E$2004,Veri!$C$5:$C$2004,B95))</f>
        <v/>
      </c>
      <c r="E95" s="31" t="str">
        <f aca="false">IF(B95="","",IF(SUM(Veri!$E$5:$E$2004)=0,0,D95/SUM(Veri!$E$5:$E$2004)))</f>
        <v/>
      </c>
      <c r="F95" s="31" t="str">
        <f aca="false">IF(B95="","",SUM(E$5:E95))</f>
        <v/>
      </c>
      <c r="G95" s="32" t="str">
        <f aca="false">IF(B95="","",IF(F94&lt;0.8,"A",IF(F94&lt;0.95,"B","C")))</f>
        <v/>
      </c>
      <c r="H95" s="23" t="str">
        <f aca="false">IF(OR(B95="",C95=0),"",D95/C95)</f>
        <v/>
      </c>
      <c r="I95" s="33" t="str">
        <f aca="false">IF(B95="","",SUMPRODUCT(MAX((Veri!$C$5:$C$2004=B95)*Veri!$A$5:$A$2004)))</f>
        <v/>
      </c>
      <c r="J95" s="16"/>
      <c r="K95" s="16" t="str">
        <f aca="false">IF(91&gt;MAX(Veri!$G$5:$G$2004),"",INDEX(Veri!$C$5:$C$2004,MATCH(91,Veri!$G$5:$G$2004,0)))</f>
        <v/>
      </c>
      <c r="L95" s="16" t="str">
        <f aca="false">IF(K95="","",SUMIFS(Veri!$E$5:$E$2004,Veri!$C$5:$C$2004,K95))</f>
        <v/>
      </c>
      <c r="M95" s="16" t="str">
        <f aca="false">IF(K95="","",L95+ROW()/1000000000)</f>
        <v/>
      </c>
      <c r="N95" s="16"/>
    </row>
    <row r="96" customFormat="false" ht="15" hidden="false" customHeight="false" outlineLevel="0" collapsed="false">
      <c r="A96" s="34" t="str">
        <f aca="false">IF(B96="","",92)</f>
        <v/>
      </c>
      <c r="B96" s="26" t="str">
        <f aca="false">IFERROR(INDEX($K$5:$K$204,MATCH(LARGE($M$5:$M$204,92),$M$5:$M$204,0)),"")</f>
        <v/>
      </c>
      <c r="C96" s="28" t="str">
        <f aca="false">IF(B96="","",SUMIFS(Veri!$D$5:$D$2004,Veri!$C$5:$C$2004,B96))</f>
        <v/>
      </c>
      <c r="D96" s="27" t="str">
        <f aca="false">IF(B96="","",SUMIFS(Veri!$E$5:$E$2004,Veri!$C$5:$C$2004,B96))</f>
        <v/>
      </c>
      <c r="E96" s="35" t="str">
        <f aca="false">IF(B96="","",IF(SUM(Veri!$E$5:$E$2004)=0,0,D96/SUM(Veri!$E$5:$E$2004)))</f>
        <v/>
      </c>
      <c r="F96" s="35" t="str">
        <f aca="false">IF(B96="","",SUM(E$5:E96))</f>
        <v/>
      </c>
      <c r="G96" s="36" t="str">
        <f aca="false">IF(B96="","",IF(F95&lt;0.8,"A",IF(F95&lt;0.95,"B","C")))</f>
        <v/>
      </c>
      <c r="H96" s="27" t="str">
        <f aca="false">IF(OR(B96="",C96=0),"",D96/C96)</f>
        <v/>
      </c>
      <c r="I96" s="37" t="str">
        <f aca="false">IF(B96="","",SUMPRODUCT(MAX((Veri!$C$5:$C$2004=B96)*Veri!$A$5:$A$2004)))</f>
        <v/>
      </c>
      <c r="J96" s="26"/>
      <c r="K96" s="26" t="str">
        <f aca="false">IF(92&gt;MAX(Veri!$G$5:$G$2004),"",INDEX(Veri!$C$5:$C$2004,MATCH(92,Veri!$G$5:$G$2004,0)))</f>
        <v/>
      </c>
      <c r="L96" s="26" t="str">
        <f aca="false">IF(K96="","",SUMIFS(Veri!$E$5:$E$2004,Veri!$C$5:$C$2004,K96))</f>
        <v/>
      </c>
      <c r="M96" s="26" t="str">
        <f aca="false">IF(K96="","",L96+ROW()/1000000000)</f>
        <v/>
      </c>
      <c r="N96" s="26"/>
    </row>
    <row r="97" customFormat="false" ht="15" hidden="false" customHeight="false" outlineLevel="0" collapsed="false">
      <c r="A97" s="30" t="str">
        <f aca="false">IF(B97="","",93)</f>
        <v/>
      </c>
      <c r="B97" s="16" t="str">
        <f aca="false">IFERROR(INDEX($K$5:$K$204,MATCH(LARGE($M$5:$M$204,93),$M$5:$M$204,0)),"")</f>
        <v/>
      </c>
      <c r="C97" s="24" t="str">
        <f aca="false">IF(B97="","",SUMIFS(Veri!$D$5:$D$2004,Veri!$C$5:$C$2004,B97))</f>
        <v/>
      </c>
      <c r="D97" s="23" t="str">
        <f aca="false">IF(B97="","",SUMIFS(Veri!$E$5:$E$2004,Veri!$C$5:$C$2004,B97))</f>
        <v/>
      </c>
      <c r="E97" s="31" t="str">
        <f aca="false">IF(B97="","",IF(SUM(Veri!$E$5:$E$2004)=0,0,D97/SUM(Veri!$E$5:$E$2004)))</f>
        <v/>
      </c>
      <c r="F97" s="31" t="str">
        <f aca="false">IF(B97="","",SUM(E$5:E97))</f>
        <v/>
      </c>
      <c r="G97" s="32" t="str">
        <f aca="false">IF(B97="","",IF(F96&lt;0.8,"A",IF(F96&lt;0.95,"B","C")))</f>
        <v/>
      </c>
      <c r="H97" s="23" t="str">
        <f aca="false">IF(OR(B97="",C97=0),"",D97/C97)</f>
        <v/>
      </c>
      <c r="I97" s="33" t="str">
        <f aca="false">IF(B97="","",SUMPRODUCT(MAX((Veri!$C$5:$C$2004=B97)*Veri!$A$5:$A$2004)))</f>
        <v/>
      </c>
      <c r="J97" s="16"/>
      <c r="K97" s="16" t="str">
        <f aca="false">IF(93&gt;MAX(Veri!$G$5:$G$2004),"",INDEX(Veri!$C$5:$C$2004,MATCH(93,Veri!$G$5:$G$2004,0)))</f>
        <v/>
      </c>
      <c r="L97" s="16" t="str">
        <f aca="false">IF(K97="","",SUMIFS(Veri!$E$5:$E$2004,Veri!$C$5:$C$2004,K97))</f>
        <v/>
      </c>
      <c r="M97" s="16" t="str">
        <f aca="false">IF(K97="","",L97+ROW()/1000000000)</f>
        <v/>
      </c>
      <c r="N97" s="16"/>
    </row>
    <row r="98" customFormat="false" ht="15" hidden="false" customHeight="false" outlineLevel="0" collapsed="false">
      <c r="A98" s="34" t="str">
        <f aca="false">IF(B98="","",94)</f>
        <v/>
      </c>
      <c r="B98" s="26" t="str">
        <f aca="false">IFERROR(INDEX($K$5:$K$204,MATCH(LARGE($M$5:$M$204,94),$M$5:$M$204,0)),"")</f>
        <v/>
      </c>
      <c r="C98" s="28" t="str">
        <f aca="false">IF(B98="","",SUMIFS(Veri!$D$5:$D$2004,Veri!$C$5:$C$2004,B98))</f>
        <v/>
      </c>
      <c r="D98" s="27" t="str">
        <f aca="false">IF(B98="","",SUMIFS(Veri!$E$5:$E$2004,Veri!$C$5:$C$2004,B98))</f>
        <v/>
      </c>
      <c r="E98" s="35" t="str">
        <f aca="false">IF(B98="","",IF(SUM(Veri!$E$5:$E$2004)=0,0,D98/SUM(Veri!$E$5:$E$2004)))</f>
        <v/>
      </c>
      <c r="F98" s="35" t="str">
        <f aca="false">IF(B98="","",SUM(E$5:E98))</f>
        <v/>
      </c>
      <c r="G98" s="36" t="str">
        <f aca="false">IF(B98="","",IF(F97&lt;0.8,"A",IF(F97&lt;0.95,"B","C")))</f>
        <v/>
      </c>
      <c r="H98" s="27" t="str">
        <f aca="false">IF(OR(B98="",C98=0),"",D98/C98)</f>
        <v/>
      </c>
      <c r="I98" s="37" t="str">
        <f aca="false">IF(B98="","",SUMPRODUCT(MAX((Veri!$C$5:$C$2004=B98)*Veri!$A$5:$A$2004)))</f>
        <v/>
      </c>
      <c r="J98" s="26"/>
      <c r="K98" s="26" t="str">
        <f aca="false">IF(94&gt;MAX(Veri!$G$5:$G$2004),"",INDEX(Veri!$C$5:$C$2004,MATCH(94,Veri!$G$5:$G$2004,0)))</f>
        <v/>
      </c>
      <c r="L98" s="26" t="str">
        <f aca="false">IF(K98="","",SUMIFS(Veri!$E$5:$E$2004,Veri!$C$5:$C$2004,K98))</f>
        <v/>
      </c>
      <c r="M98" s="26" t="str">
        <f aca="false">IF(K98="","",L98+ROW()/1000000000)</f>
        <v/>
      </c>
      <c r="N98" s="26"/>
    </row>
    <row r="99" customFormat="false" ht="15" hidden="false" customHeight="false" outlineLevel="0" collapsed="false">
      <c r="A99" s="30" t="str">
        <f aca="false">IF(B99="","",95)</f>
        <v/>
      </c>
      <c r="B99" s="16" t="str">
        <f aca="false">IFERROR(INDEX($K$5:$K$204,MATCH(LARGE($M$5:$M$204,95),$M$5:$M$204,0)),"")</f>
        <v/>
      </c>
      <c r="C99" s="24" t="str">
        <f aca="false">IF(B99="","",SUMIFS(Veri!$D$5:$D$2004,Veri!$C$5:$C$2004,B99))</f>
        <v/>
      </c>
      <c r="D99" s="23" t="str">
        <f aca="false">IF(B99="","",SUMIFS(Veri!$E$5:$E$2004,Veri!$C$5:$C$2004,B99))</f>
        <v/>
      </c>
      <c r="E99" s="31" t="str">
        <f aca="false">IF(B99="","",IF(SUM(Veri!$E$5:$E$2004)=0,0,D99/SUM(Veri!$E$5:$E$2004)))</f>
        <v/>
      </c>
      <c r="F99" s="31" t="str">
        <f aca="false">IF(B99="","",SUM(E$5:E99))</f>
        <v/>
      </c>
      <c r="G99" s="32" t="str">
        <f aca="false">IF(B99="","",IF(F98&lt;0.8,"A",IF(F98&lt;0.95,"B","C")))</f>
        <v/>
      </c>
      <c r="H99" s="23" t="str">
        <f aca="false">IF(OR(B99="",C99=0),"",D99/C99)</f>
        <v/>
      </c>
      <c r="I99" s="33" t="str">
        <f aca="false">IF(B99="","",SUMPRODUCT(MAX((Veri!$C$5:$C$2004=B99)*Veri!$A$5:$A$2004)))</f>
        <v/>
      </c>
      <c r="J99" s="16"/>
      <c r="K99" s="16" t="str">
        <f aca="false">IF(95&gt;MAX(Veri!$G$5:$G$2004),"",INDEX(Veri!$C$5:$C$2004,MATCH(95,Veri!$G$5:$G$2004,0)))</f>
        <v/>
      </c>
      <c r="L99" s="16" t="str">
        <f aca="false">IF(K99="","",SUMIFS(Veri!$E$5:$E$2004,Veri!$C$5:$C$2004,K99))</f>
        <v/>
      </c>
      <c r="M99" s="16" t="str">
        <f aca="false">IF(K99="","",L99+ROW()/1000000000)</f>
        <v/>
      </c>
      <c r="N99" s="16"/>
    </row>
    <row r="100" customFormat="false" ht="15" hidden="false" customHeight="false" outlineLevel="0" collapsed="false">
      <c r="A100" s="34" t="str">
        <f aca="false">IF(B100="","",96)</f>
        <v/>
      </c>
      <c r="B100" s="26" t="str">
        <f aca="false">IFERROR(INDEX($K$5:$K$204,MATCH(LARGE($M$5:$M$204,96),$M$5:$M$204,0)),"")</f>
        <v/>
      </c>
      <c r="C100" s="28" t="str">
        <f aca="false">IF(B100="","",SUMIFS(Veri!$D$5:$D$2004,Veri!$C$5:$C$2004,B100))</f>
        <v/>
      </c>
      <c r="D100" s="27" t="str">
        <f aca="false">IF(B100="","",SUMIFS(Veri!$E$5:$E$2004,Veri!$C$5:$C$2004,B100))</f>
        <v/>
      </c>
      <c r="E100" s="35" t="str">
        <f aca="false">IF(B100="","",IF(SUM(Veri!$E$5:$E$2004)=0,0,D100/SUM(Veri!$E$5:$E$2004)))</f>
        <v/>
      </c>
      <c r="F100" s="35" t="str">
        <f aca="false">IF(B100="","",SUM(E$5:E100))</f>
        <v/>
      </c>
      <c r="G100" s="36" t="str">
        <f aca="false">IF(B100="","",IF(F99&lt;0.8,"A",IF(F99&lt;0.95,"B","C")))</f>
        <v/>
      </c>
      <c r="H100" s="27" t="str">
        <f aca="false">IF(OR(B100="",C100=0),"",D100/C100)</f>
        <v/>
      </c>
      <c r="I100" s="37" t="str">
        <f aca="false">IF(B100="","",SUMPRODUCT(MAX((Veri!$C$5:$C$2004=B100)*Veri!$A$5:$A$2004)))</f>
        <v/>
      </c>
      <c r="J100" s="26"/>
      <c r="K100" s="26" t="str">
        <f aca="false">IF(96&gt;MAX(Veri!$G$5:$G$2004),"",INDEX(Veri!$C$5:$C$2004,MATCH(96,Veri!$G$5:$G$2004,0)))</f>
        <v/>
      </c>
      <c r="L100" s="26" t="str">
        <f aca="false">IF(K100="","",SUMIFS(Veri!$E$5:$E$2004,Veri!$C$5:$C$2004,K100))</f>
        <v/>
      </c>
      <c r="M100" s="26" t="str">
        <f aca="false">IF(K100="","",L100+ROW()/1000000000)</f>
        <v/>
      </c>
      <c r="N100" s="26"/>
    </row>
    <row r="101" customFormat="false" ht="15" hidden="false" customHeight="false" outlineLevel="0" collapsed="false">
      <c r="A101" s="30" t="str">
        <f aca="false">IF(B101="","",97)</f>
        <v/>
      </c>
      <c r="B101" s="16" t="str">
        <f aca="false">IFERROR(INDEX($K$5:$K$204,MATCH(LARGE($M$5:$M$204,97),$M$5:$M$204,0)),"")</f>
        <v/>
      </c>
      <c r="C101" s="24" t="str">
        <f aca="false">IF(B101="","",SUMIFS(Veri!$D$5:$D$2004,Veri!$C$5:$C$2004,B101))</f>
        <v/>
      </c>
      <c r="D101" s="23" t="str">
        <f aca="false">IF(B101="","",SUMIFS(Veri!$E$5:$E$2004,Veri!$C$5:$C$2004,B101))</f>
        <v/>
      </c>
      <c r="E101" s="31" t="str">
        <f aca="false">IF(B101="","",IF(SUM(Veri!$E$5:$E$2004)=0,0,D101/SUM(Veri!$E$5:$E$2004)))</f>
        <v/>
      </c>
      <c r="F101" s="31" t="str">
        <f aca="false">IF(B101="","",SUM(E$5:E101))</f>
        <v/>
      </c>
      <c r="G101" s="32" t="str">
        <f aca="false">IF(B101="","",IF(F100&lt;0.8,"A",IF(F100&lt;0.95,"B","C")))</f>
        <v/>
      </c>
      <c r="H101" s="23" t="str">
        <f aca="false">IF(OR(B101="",C101=0),"",D101/C101)</f>
        <v/>
      </c>
      <c r="I101" s="33" t="str">
        <f aca="false">IF(B101="","",SUMPRODUCT(MAX((Veri!$C$5:$C$2004=B101)*Veri!$A$5:$A$2004)))</f>
        <v/>
      </c>
      <c r="J101" s="16"/>
      <c r="K101" s="16" t="str">
        <f aca="false">IF(97&gt;MAX(Veri!$G$5:$G$2004),"",INDEX(Veri!$C$5:$C$2004,MATCH(97,Veri!$G$5:$G$2004,0)))</f>
        <v/>
      </c>
      <c r="L101" s="16" t="str">
        <f aca="false">IF(K101="","",SUMIFS(Veri!$E$5:$E$2004,Veri!$C$5:$C$2004,K101))</f>
        <v/>
      </c>
      <c r="M101" s="16" t="str">
        <f aca="false">IF(K101="","",L101+ROW()/1000000000)</f>
        <v/>
      </c>
      <c r="N101" s="16"/>
    </row>
    <row r="102" customFormat="false" ht="15" hidden="false" customHeight="false" outlineLevel="0" collapsed="false">
      <c r="A102" s="34" t="str">
        <f aca="false">IF(B102="","",98)</f>
        <v/>
      </c>
      <c r="B102" s="26" t="str">
        <f aca="false">IFERROR(INDEX($K$5:$K$204,MATCH(LARGE($M$5:$M$204,98),$M$5:$M$204,0)),"")</f>
        <v/>
      </c>
      <c r="C102" s="28" t="str">
        <f aca="false">IF(B102="","",SUMIFS(Veri!$D$5:$D$2004,Veri!$C$5:$C$2004,B102))</f>
        <v/>
      </c>
      <c r="D102" s="27" t="str">
        <f aca="false">IF(B102="","",SUMIFS(Veri!$E$5:$E$2004,Veri!$C$5:$C$2004,B102))</f>
        <v/>
      </c>
      <c r="E102" s="35" t="str">
        <f aca="false">IF(B102="","",IF(SUM(Veri!$E$5:$E$2004)=0,0,D102/SUM(Veri!$E$5:$E$2004)))</f>
        <v/>
      </c>
      <c r="F102" s="35" t="str">
        <f aca="false">IF(B102="","",SUM(E$5:E102))</f>
        <v/>
      </c>
      <c r="G102" s="36" t="str">
        <f aca="false">IF(B102="","",IF(F101&lt;0.8,"A",IF(F101&lt;0.95,"B","C")))</f>
        <v/>
      </c>
      <c r="H102" s="27" t="str">
        <f aca="false">IF(OR(B102="",C102=0),"",D102/C102)</f>
        <v/>
      </c>
      <c r="I102" s="37" t="str">
        <f aca="false">IF(B102="","",SUMPRODUCT(MAX((Veri!$C$5:$C$2004=B102)*Veri!$A$5:$A$2004)))</f>
        <v/>
      </c>
      <c r="J102" s="26"/>
      <c r="K102" s="26" t="str">
        <f aca="false">IF(98&gt;MAX(Veri!$G$5:$G$2004),"",INDEX(Veri!$C$5:$C$2004,MATCH(98,Veri!$G$5:$G$2004,0)))</f>
        <v/>
      </c>
      <c r="L102" s="26" t="str">
        <f aca="false">IF(K102="","",SUMIFS(Veri!$E$5:$E$2004,Veri!$C$5:$C$2004,K102))</f>
        <v/>
      </c>
      <c r="M102" s="26" t="str">
        <f aca="false">IF(K102="","",L102+ROW()/1000000000)</f>
        <v/>
      </c>
      <c r="N102" s="26"/>
    </row>
    <row r="103" customFormat="false" ht="15" hidden="false" customHeight="false" outlineLevel="0" collapsed="false">
      <c r="A103" s="30" t="str">
        <f aca="false">IF(B103="","",99)</f>
        <v/>
      </c>
      <c r="B103" s="16" t="str">
        <f aca="false">IFERROR(INDEX($K$5:$K$204,MATCH(LARGE($M$5:$M$204,99),$M$5:$M$204,0)),"")</f>
        <v/>
      </c>
      <c r="C103" s="24" t="str">
        <f aca="false">IF(B103="","",SUMIFS(Veri!$D$5:$D$2004,Veri!$C$5:$C$2004,B103))</f>
        <v/>
      </c>
      <c r="D103" s="23" t="str">
        <f aca="false">IF(B103="","",SUMIFS(Veri!$E$5:$E$2004,Veri!$C$5:$C$2004,B103))</f>
        <v/>
      </c>
      <c r="E103" s="31" t="str">
        <f aca="false">IF(B103="","",IF(SUM(Veri!$E$5:$E$2004)=0,0,D103/SUM(Veri!$E$5:$E$2004)))</f>
        <v/>
      </c>
      <c r="F103" s="31" t="str">
        <f aca="false">IF(B103="","",SUM(E$5:E103))</f>
        <v/>
      </c>
      <c r="G103" s="32" t="str">
        <f aca="false">IF(B103="","",IF(F102&lt;0.8,"A",IF(F102&lt;0.95,"B","C")))</f>
        <v/>
      </c>
      <c r="H103" s="23" t="str">
        <f aca="false">IF(OR(B103="",C103=0),"",D103/C103)</f>
        <v/>
      </c>
      <c r="I103" s="33" t="str">
        <f aca="false">IF(B103="","",SUMPRODUCT(MAX((Veri!$C$5:$C$2004=B103)*Veri!$A$5:$A$2004)))</f>
        <v/>
      </c>
      <c r="J103" s="16"/>
      <c r="K103" s="16" t="str">
        <f aca="false">IF(99&gt;MAX(Veri!$G$5:$G$2004),"",INDEX(Veri!$C$5:$C$2004,MATCH(99,Veri!$G$5:$G$2004,0)))</f>
        <v/>
      </c>
      <c r="L103" s="16" t="str">
        <f aca="false">IF(K103="","",SUMIFS(Veri!$E$5:$E$2004,Veri!$C$5:$C$2004,K103))</f>
        <v/>
      </c>
      <c r="M103" s="16" t="str">
        <f aca="false">IF(K103="","",L103+ROW()/1000000000)</f>
        <v/>
      </c>
      <c r="N103" s="16"/>
    </row>
    <row r="104" customFormat="false" ht="15" hidden="false" customHeight="false" outlineLevel="0" collapsed="false">
      <c r="A104" s="34" t="str">
        <f aca="false">IF(B104="","",100)</f>
        <v/>
      </c>
      <c r="B104" s="26" t="str">
        <f aca="false">IFERROR(INDEX($K$5:$K$204,MATCH(LARGE($M$5:$M$204,100),$M$5:$M$204,0)),"")</f>
        <v/>
      </c>
      <c r="C104" s="28" t="str">
        <f aca="false">IF(B104="","",SUMIFS(Veri!$D$5:$D$2004,Veri!$C$5:$C$2004,B104))</f>
        <v/>
      </c>
      <c r="D104" s="27" t="str">
        <f aca="false">IF(B104="","",SUMIFS(Veri!$E$5:$E$2004,Veri!$C$5:$C$2004,B104))</f>
        <v/>
      </c>
      <c r="E104" s="35" t="str">
        <f aca="false">IF(B104="","",IF(SUM(Veri!$E$5:$E$2004)=0,0,D104/SUM(Veri!$E$5:$E$2004)))</f>
        <v/>
      </c>
      <c r="F104" s="35" t="str">
        <f aca="false">IF(B104="","",SUM(E$5:E104))</f>
        <v/>
      </c>
      <c r="G104" s="36" t="str">
        <f aca="false">IF(B104="","",IF(F103&lt;0.8,"A",IF(F103&lt;0.95,"B","C")))</f>
        <v/>
      </c>
      <c r="H104" s="27" t="str">
        <f aca="false">IF(OR(B104="",C104=0),"",D104/C104)</f>
        <v/>
      </c>
      <c r="I104" s="37" t="str">
        <f aca="false">IF(B104="","",SUMPRODUCT(MAX((Veri!$C$5:$C$2004=B104)*Veri!$A$5:$A$2004)))</f>
        <v/>
      </c>
      <c r="J104" s="26"/>
      <c r="K104" s="26" t="str">
        <f aca="false">IF(100&gt;MAX(Veri!$G$5:$G$2004),"",INDEX(Veri!$C$5:$C$2004,MATCH(100,Veri!$G$5:$G$2004,0)))</f>
        <v/>
      </c>
      <c r="L104" s="26" t="str">
        <f aca="false">IF(K104="","",SUMIFS(Veri!$E$5:$E$2004,Veri!$C$5:$C$2004,K104))</f>
        <v/>
      </c>
      <c r="M104" s="26" t="str">
        <f aca="false">IF(K104="","",L104+ROW()/1000000000)</f>
        <v/>
      </c>
      <c r="N104" s="26"/>
    </row>
    <row r="105" customFormat="false" ht="15" hidden="false" customHeight="false" outlineLevel="0" collapsed="false">
      <c r="A105" s="30" t="str">
        <f aca="false">IF(B105="","",101)</f>
        <v/>
      </c>
      <c r="B105" s="16" t="str">
        <f aca="false">IFERROR(INDEX($K$5:$K$204,MATCH(LARGE($M$5:$M$204,101),$M$5:$M$204,0)),"")</f>
        <v/>
      </c>
      <c r="C105" s="24" t="str">
        <f aca="false">IF(B105="","",SUMIFS(Veri!$D$5:$D$2004,Veri!$C$5:$C$2004,B105))</f>
        <v/>
      </c>
      <c r="D105" s="23" t="str">
        <f aca="false">IF(B105="","",SUMIFS(Veri!$E$5:$E$2004,Veri!$C$5:$C$2004,B105))</f>
        <v/>
      </c>
      <c r="E105" s="31" t="str">
        <f aca="false">IF(B105="","",IF(SUM(Veri!$E$5:$E$2004)=0,0,D105/SUM(Veri!$E$5:$E$2004)))</f>
        <v/>
      </c>
      <c r="F105" s="31" t="str">
        <f aca="false">IF(B105="","",SUM(E$5:E105))</f>
        <v/>
      </c>
      <c r="G105" s="32" t="str">
        <f aca="false">IF(B105="","",IF(F104&lt;0.8,"A",IF(F104&lt;0.95,"B","C")))</f>
        <v/>
      </c>
      <c r="H105" s="23" t="str">
        <f aca="false">IF(OR(B105="",C105=0),"",D105/C105)</f>
        <v/>
      </c>
      <c r="I105" s="33" t="str">
        <f aca="false">IF(B105="","",SUMPRODUCT(MAX((Veri!$C$5:$C$2004=B105)*Veri!$A$5:$A$2004)))</f>
        <v/>
      </c>
      <c r="J105" s="16"/>
      <c r="K105" s="16" t="str">
        <f aca="false">IF(101&gt;MAX(Veri!$G$5:$G$2004),"",INDEX(Veri!$C$5:$C$2004,MATCH(101,Veri!$G$5:$G$2004,0)))</f>
        <v/>
      </c>
      <c r="L105" s="16" t="str">
        <f aca="false">IF(K105="","",SUMIFS(Veri!$E$5:$E$2004,Veri!$C$5:$C$2004,K105))</f>
        <v/>
      </c>
      <c r="M105" s="16" t="str">
        <f aca="false">IF(K105="","",L105+ROW()/1000000000)</f>
        <v/>
      </c>
      <c r="N105" s="16"/>
    </row>
    <row r="106" customFormat="false" ht="15" hidden="false" customHeight="false" outlineLevel="0" collapsed="false">
      <c r="A106" s="34" t="str">
        <f aca="false">IF(B106="","",102)</f>
        <v/>
      </c>
      <c r="B106" s="26" t="str">
        <f aca="false">IFERROR(INDEX($K$5:$K$204,MATCH(LARGE($M$5:$M$204,102),$M$5:$M$204,0)),"")</f>
        <v/>
      </c>
      <c r="C106" s="28" t="str">
        <f aca="false">IF(B106="","",SUMIFS(Veri!$D$5:$D$2004,Veri!$C$5:$C$2004,B106))</f>
        <v/>
      </c>
      <c r="D106" s="27" t="str">
        <f aca="false">IF(B106="","",SUMIFS(Veri!$E$5:$E$2004,Veri!$C$5:$C$2004,B106))</f>
        <v/>
      </c>
      <c r="E106" s="35" t="str">
        <f aca="false">IF(B106="","",IF(SUM(Veri!$E$5:$E$2004)=0,0,D106/SUM(Veri!$E$5:$E$2004)))</f>
        <v/>
      </c>
      <c r="F106" s="35" t="str">
        <f aca="false">IF(B106="","",SUM(E$5:E106))</f>
        <v/>
      </c>
      <c r="G106" s="36" t="str">
        <f aca="false">IF(B106="","",IF(F105&lt;0.8,"A",IF(F105&lt;0.95,"B","C")))</f>
        <v/>
      </c>
      <c r="H106" s="27" t="str">
        <f aca="false">IF(OR(B106="",C106=0),"",D106/C106)</f>
        <v/>
      </c>
      <c r="I106" s="37" t="str">
        <f aca="false">IF(B106="","",SUMPRODUCT(MAX((Veri!$C$5:$C$2004=B106)*Veri!$A$5:$A$2004)))</f>
        <v/>
      </c>
      <c r="J106" s="26"/>
      <c r="K106" s="26" t="str">
        <f aca="false">IF(102&gt;MAX(Veri!$G$5:$G$2004),"",INDEX(Veri!$C$5:$C$2004,MATCH(102,Veri!$G$5:$G$2004,0)))</f>
        <v/>
      </c>
      <c r="L106" s="26" t="str">
        <f aca="false">IF(K106="","",SUMIFS(Veri!$E$5:$E$2004,Veri!$C$5:$C$2004,K106))</f>
        <v/>
      </c>
      <c r="M106" s="26" t="str">
        <f aca="false">IF(K106="","",L106+ROW()/1000000000)</f>
        <v/>
      </c>
      <c r="N106" s="26"/>
    </row>
    <row r="107" customFormat="false" ht="15" hidden="false" customHeight="false" outlineLevel="0" collapsed="false">
      <c r="A107" s="30" t="str">
        <f aca="false">IF(B107="","",103)</f>
        <v/>
      </c>
      <c r="B107" s="16" t="str">
        <f aca="false">IFERROR(INDEX($K$5:$K$204,MATCH(LARGE($M$5:$M$204,103),$M$5:$M$204,0)),"")</f>
        <v/>
      </c>
      <c r="C107" s="24" t="str">
        <f aca="false">IF(B107="","",SUMIFS(Veri!$D$5:$D$2004,Veri!$C$5:$C$2004,B107))</f>
        <v/>
      </c>
      <c r="D107" s="23" t="str">
        <f aca="false">IF(B107="","",SUMIFS(Veri!$E$5:$E$2004,Veri!$C$5:$C$2004,B107))</f>
        <v/>
      </c>
      <c r="E107" s="31" t="str">
        <f aca="false">IF(B107="","",IF(SUM(Veri!$E$5:$E$2004)=0,0,D107/SUM(Veri!$E$5:$E$2004)))</f>
        <v/>
      </c>
      <c r="F107" s="31" t="str">
        <f aca="false">IF(B107="","",SUM(E$5:E107))</f>
        <v/>
      </c>
      <c r="G107" s="32" t="str">
        <f aca="false">IF(B107="","",IF(F106&lt;0.8,"A",IF(F106&lt;0.95,"B","C")))</f>
        <v/>
      </c>
      <c r="H107" s="23" t="str">
        <f aca="false">IF(OR(B107="",C107=0),"",D107/C107)</f>
        <v/>
      </c>
      <c r="I107" s="33" t="str">
        <f aca="false">IF(B107="","",SUMPRODUCT(MAX((Veri!$C$5:$C$2004=B107)*Veri!$A$5:$A$2004)))</f>
        <v/>
      </c>
      <c r="J107" s="16"/>
      <c r="K107" s="16" t="str">
        <f aca="false">IF(103&gt;MAX(Veri!$G$5:$G$2004),"",INDEX(Veri!$C$5:$C$2004,MATCH(103,Veri!$G$5:$G$2004,0)))</f>
        <v/>
      </c>
      <c r="L107" s="16" t="str">
        <f aca="false">IF(K107="","",SUMIFS(Veri!$E$5:$E$2004,Veri!$C$5:$C$2004,K107))</f>
        <v/>
      </c>
      <c r="M107" s="16" t="str">
        <f aca="false">IF(K107="","",L107+ROW()/1000000000)</f>
        <v/>
      </c>
      <c r="N107" s="16"/>
    </row>
    <row r="108" customFormat="false" ht="15" hidden="false" customHeight="false" outlineLevel="0" collapsed="false">
      <c r="A108" s="34" t="str">
        <f aca="false">IF(B108="","",104)</f>
        <v/>
      </c>
      <c r="B108" s="26" t="str">
        <f aca="false">IFERROR(INDEX($K$5:$K$204,MATCH(LARGE($M$5:$M$204,104),$M$5:$M$204,0)),"")</f>
        <v/>
      </c>
      <c r="C108" s="28" t="str">
        <f aca="false">IF(B108="","",SUMIFS(Veri!$D$5:$D$2004,Veri!$C$5:$C$2004,B108))</f>
        <v/>
      </c>
      <c r="D108" s="27" t="str">
        <f aca="false">IF(B108="","",SUMIFS(Veri!$E$5:$E$2004,Veri!$C$5:$C$2004,B108))</f>
        <v/>
      </c>
      <c r="E108" s="35" t="str">
        <f aca="false">IF(B108="","",IF(SUM(Veri!$E$5:$E$2004)=0,0,D108/SUM(Veri!$E$5:$E$2004)))</f>
        <v/>
      </c>
      <c r="F108" s="35" t="str">
        <f aca="false">IF(B108="","",SUM(E$5:E108))</f>
        <v/>
      </c>
      <c r="G108" s="36" t="str">
        <f aca="false">IF(B108="","",IF(F107&lt;0.8,"A",IF(F107&lt;0.95,"B","C")))</f>
        <v/>
      </c>
      <c r="H108" s="27" t="str">
        <f aca="false">IF(OR(B108="",C108=0),"",D108/C108)</f>
        <v/>
      </c>
      <c r="I108" s="37" t="str">
        <f aca="false">IF(B108="","",SUMPRODUCT(MAX((Veri!$C$5:$C$2004=B108)*Veri!$A$5:$A$2004)))</f>
        <v/>
      </c>
      <c r="J108" s="26"/>
      <c r="K108" s="26" t="str">
        <f aca="false">IF(104&gt;MAX(Veri!$G$5:$G$2004),"",INDEX(Veri!$C$5:$C$2004,MATCH(104,Veri!$G$5:$G$2004,0)))</f>
        <v/>
      </c>
      <c r="L108" s="26" t="str">
        <f aca="false">IF(K108="","",SUMIFS(Veri!$E$5:$E$2004,Veri!$C$5:$C$2004,K108))</f>
        <v/>
      </c>
      <c r="M108" s="26" t="str">
        <f aca="false">IF(K108="","",L108+ROW()/1000000000)</f>
        <v/>
      </c>
      <c r="N108" s="26"/>
    </row>
    <row r="109" customFormat="false" ht="15" hidden="false" customHeight="false" outlineLevel="0" collapsed="false">
      <c r="A109" s="30" t="str">
        <f aca="false">IF(B109="","",105)</f>
        <v/>
      </c>
      <c r="B109" s="16" t="str">
        <f aca="false">IFERROR(INDEX($K$5:$K$204,MATCH(LARGE($M$5:$M$204,105),$M$5:$M$204,0)),"")</f>
        <v/>
      </c>
      <c r="C109" s="24" t="str">
        <f aca="false">IF(B109="","",SUMIFS(Veri!$D$5:$D$2004,Veri!$C$5:$C$2004,B109))</f>
        <v/>
      </c>
      <c r="D109" s="23" t="str">
        <f aca="false">IF(B109="","",SUMIFS(Veri!$E$5:$E$2004,Veri!$C$5:$C$2004,B109))</f>
        <v/>
      </c>
      <c r="E109" s="31" t="str">
        <f aca="false">IF(B109="","",IF(SUM(Veri!$E$5:$E$2004)=0,0,D109/SUM(Veri!$E$5:$E$2004)))</f>
        <v/>
      </c>
      <c r="F109" s="31" t="str">
        <f aca="false">IF(B109="","",SUM(E$5:E109))</f>
        <v/>
      </c>
      <c r="G109" s="32" t="str">
        <f aca="false">IF(B109="","",IF(F108&lt;0.8,"A",IF(F108&lt;0.95,"B","C")))</f>
        <v/>
      </c>
      <c r="H109" s="23" t="str">
        <f aca="false">IF(OR(B109="",C109=0),"",D109/C109)</f>
        <v/>
      </c>
      <c r="I109" s="33" t="str">
        <f aca="false">IF(B109="","",SUMPRODUCT(MAX((Veri!$C$5:$C$2004=B109)*Veri!$A$5:$A$2004)))</f>
        <v/>
      </c>
      <c r="J109" s="16"/>
      <c r="K109" s="16" t="str">
        <f aca="false">IF(105&gt;MAX(Veri!$G$5:$G$2004),"",INDEX(Veri!$C$5:$C$2004,MATCH(105,Veri!$G$5:$G$2004,0)))</f>
        <v/>
      </c>
      <c r="L109" s="16" t="str">
        <f aca="false">IF(K109="","",SUMIFS(Veri!$E$5:$E$2004,Veri!$C$5:$C$2004,K109))</f>
        <v/>
      </c>
      <c r="M109" s="16" t="str">
        <f aca="false">IF(K109="","",L109+ROW()/1000000000)</f>
        <v/>
      </c>
      <c r="N109" s="16"/>
    </row>
    <row r="110" customFormat="false" ht="15" hidden="false" customHeight="false" outlineLevel="0" collapsed="false">
      <c r="A110" s="34" t="str">
        <f aca="false">IF(B110="","",106)</f>
        <v/>
      </c>
      <c r="B110" s="26" t="str">
        <f aca="false">IFERROR(INDEX($K$5:$K$204,MATCH(LARGE($M$5:$M$204,106),$M$5:$M$204,0)),"")</f>
        <v/>
      </c>
      <c r="C110" s="28" t="str">
        <f aca="false">IF(B110="","",SUMIFS(Veri!$D$5:$D$2004,Veri!$C$5:$C$2004,B110))</f>
        <v/>
      </c>
      <c r="D110" s="27" t="str">
        <f aca="false">IF(B110="","",SUMIFS(Veri!$E$5:$E$2004,Veri!$C$5:$C$2004,B110))</f>
        <v/>
      </c>
      <c r="E110" s="35" t="str">
        <f aca="false">IF(B110="","",IF(SUM(Veri!$E$5:$E$2004)=0,0,D110/SUM(Veri!$E$5:$E$2004)))</f>
        <v/>
      </c>
      <c r="F110" s="35" t="str">
        <f aca="false">IF(B110="","",SUM(E$5:E110))</f>
        <v/>
      </c>
      <c r="G110" s="36" t="str">
        <f aca="false">IF(B110="","",IF(F109&lt;0.8,"A",IF(F109&lt;0.95,"B","C")))</f>
        <v/>
      </c>
      <c r="H110" s="27" t="str">
        <f aca="false">IF(OR(B110="",C110=0),"",D110/C110)</f>
        <v/>
      </c>
      <c r="I110" s="37" t="str">
        <f aca="false">IF(B110="","",SUMPRODUCT(MAX((Veri!$C$5:$C$2004=B110)*Veri!$A$5:$A$2004)))</f>
        <v/>
      </c>
      <c r="J110" s="26"/>
      <c r="K110" s="26" t="str">
        <f aca="false">IF(106&gt;MAX(Veri!$G$5:$G$2004),"",INDEX(Veri!$C$5:$C$2004,MATCH(106,Veri!$G$5:$G$2004,0)))</f>
        <v/>
      </c>
      <c r="L110" s="26" t="str">
        <f aca="false">IF(K110="","",SUMIFS(Veri!$E$5:$E$2004,Veri!$C$5:$C$2004,K110))</f>
        <v/>
      </c>
      <c r="M110" s="26" t="str">
        <f aca="false">IF(K110="","",L110+ROW()/1000000000)</f>
        <v/>
      </c>
      <c r="N110" s="26"/>
    </row>
    <row r="111" customFormat="false" ht="15" hidden="false" customHeight="false" outlineLevel="0" collapsed="false">
      <c r="A111" s="30" t="str">
        <f aca="false">IF(B111="","",107)</f>
        <v/>
      </c>
      <c r="B111" s="16" t="str">
        <f aca="false">IFERROR(INDEX($K$5:$K$204,MATCH(LARGE($M$5:$M$204,107),$M$5:$M$204,0)),"")</f>
        <v/>
      </c>
      <c r="C111" s="24" t="str">
        <f aca="false">IF(B111="","",SUMIFS(Veri!$D$5:$D$2004,Veri!$C$5:$C$2004,B111))</f>
        <v/>
      </c>
      <c r="D111" s="23" t="str">
        <f aca="false">IF(B111="","",SUMIFS(Veri!$E$5:$E$2004,Veri!$C$5:$C$2004,B111))</f>
        <v/>
      </c>
      <c r="E111" s="31" t="str">
        <f aca="false">IF(B111="","",IF(SUM(Veri!$E$5:$E$2004)=0,0,D111/SUM(Veri!$E$5:$E$2004)))</f>
        <v/>
      </c>
      <c r="F111" s="31" t="str">
        <f aca="false">IF(B111="","",SUM(E$5:E111))</f>
        <v/>
      </c>
      <c r="G111" s="32" t="str">
        <f aca="false">IF(B111="","",IF(F110&lt;0.8,"A",IF(F110&lt;0.95,"B","C")))</f>
        <v/>
      </c>
      <c r="H111" s="23" t="str">
        <f aca="false">IF(OR(B111="",C111=0),"",D111/C111)</f>
        <v/>
      </c>
      <c r="I111" s="33" t="str">
        <f aca="false">IF(B111="","",SUMPRODUCT(MAX((Veri!$C$5:$C$2004=B111)*Veri!$A$5:$A$2004)))</f>
        <v/>
      </c>
      <c r="J111" s="16"/>
      <c r="K111" s="16" t="str">
        <f aca="false">IF(107&gt;MAX(Veri!$G$5:$G$2004),"",INDEX(Veri!$C$5:$C$2004,MATCH(107,Veri!$G$5:$G$2004,0)))</f>
        <v/>
      </c>
      <c r="L111" s="16" t="str">
        <f aca="false">IF(K111="","",SUMIFS(Veri!$E$5:$E$2004,Veri!$C$5:$C$2004,K111))</f>
        <v/>
      </c>
      <c r="M111" s="16" t="str">
        <f aca="false">IF(K111="","",L111+ROW()/1000000000)</f>
        <v/>
      </c>
      <c r="N111" s="16"/>
    </row>
    <row r="112" customFormat="false" ht="15" hidden="false" customHeight="false" outlineLevel="0" collapsed="false">
      <c r="A112" s="34" t="str">
        <f aca="false">IF(B112="","",108)</f>
        <v/>
      </c>
      <c r="B112" s="26" t="str">
        <f aca="false">IFERROR(INDEX($K$5:$K$204,MATCH(LARGE($M$5:$M$204,108),$M$5:$M$204,0)),"")</f>
        <v/>
      </c>
      <c r="C112" s="28" t="str">
        <f aca="false">IF(B112="","",SUMIFS(Veri!$D$5:$D$2004,Veri!$C$5:$C$2004,B112))</f>
        <v/>
      </c>
      <c r="D112" s="27" t="str">
        <f aca="false">IF(B112="","",SUMIFS(Veri!$E$5:$E$2004,Veri!$C$5:$C$2004,B112))</f>
        <v/>
      </c>
      <c r="E112" s="35" t="str">
        <f aca="false">IF(B112="","",IF(SUM(Veri!$E$5:$E$2004)=0,0,D112/SUM(Veri!$E$5:$E$2004)))</f>
        <v/>
      </c>
      <c r="F112" s="35" t="str">
        <f aca="false">IF(B112="","",SUM(E$5:E112))</f>
        <v/>
      </c>
      <c r="G112" s="36" t="str">
        <f aca="false">IF(B112="","",IF(F111&lt;0.8,"A",IF(F111&lt;0.95,"B","C")))</f>
        <v/>
      </c>
      <c r="H112" s="27" t="str">
        <f aca="false">IF(OR(B112="",C112=0),"",D112/C112)</f>
        <v/>
      </c>
      <c r="I112" s="37" t="str">
        <f aca="false">IF(B112="","",SUMPRODUCT(MAX((Veri!$C$5:$C$2004=B112)*Veri!$A$5:$A$2004)))</f>
        <v/>
      </c>
      <c r="J112" s="26"/>
      <c r="K112" s="26" t="str">
        <f aca="false">IF(108&gt;MAX(Veri!$G$5:$G$2004),"",INDEX(Veri!$C$5:$C$2004,MATCH(108,Veri!$G$5:$G$2004,0)))</f>
        <v/>
      </c>
      <c r="L112" s="26" t="str">
        <f aca="false">IF(K112="","",SUMIFS(Veri!$E$5:$E$2004,Veri!$C$5:$C$2004,K112))</f>
        <v/>
      </c>
      <c r="M112" s="26" t="str">
        <f aca="false">IF(K112="","",L112+ROW()/1000000000)</f>
        <v/>
      </c>
      <c r="N112" s="26"/>
    </row>
    <row r="113" customFormat="false" ht="15" hidden="false" customHeight="false" outlineLevel="0" collapsed="false">
      <c r="A113" s="30" t="str">
        <f aca="false">IF(B113="","",109)</f>
        <v/>
      </c>
      <c r="B113" s="16" t="str">
        <f aca="false">IFERROR(INDEX($K$5:$K$204,MATCH(LARGE($M$5:$M$204,109),$M$5:$M$204,0)),"")</f>
        <v/>
      </c>
      <c r="C113" s="24" t="str">
        <f aca="false">IF(B113="","",SUMIFS(Veri!$D$5:$D$2004,Veri!$C$5:$C$2004,B113))</f>
        <v/>
      </c>
      <c r="D113" s="23" t="str">
        <f aca="false">IF(B113="","",SUMIFS(Veri!$E$5:$E$2004,Veri!$C$5:$C$2004,B113))</f>
        <v/>
      </c>
      <c r="E113" s="31" t="str">
        <f aca="false">IF(B113="","",IF(SUM(Veri!$E$5:$E$2004)=0,0,D113/SUM(Veri!$E$5:$E$2004)))</f>
        <v/>
      </c>
      <c r="F113" s="31" t="str">
        <f aca="false">IF(B113="","",SUM(E$5:E113))</f>
        <v/>
      </c>
      <c r="G113" s="32" t="str">
        <f aca="false">IF(B113="","",IF(F112&lt;0.8,"A",IF(F112&lt;0.95,"B","C")))</f>
        <v/>
      </c>
      <c r="H113" s="23" t="str">
        <f aca="false">IF(OR(B113="",C113=0),"",D113/C113)</f>
        <v/>
      </c>
      <c r="I113" s="33" t="str">
        <f aca="false">IF(B113="","",SUMPRODUCT(MAX((Veri!$C$5:$C$2004=B113)*Veri!$A$5:$A$2004)))</f>
        <v/>
      </c>
      <c r="J113" s="16"/>
      <c r="K113" s="16" t="str">
        <f aca="false">IF(109&gt;MAX(Veri!$G$5:$G$2004),"",INDEX(Veri!$C$5:$C$2004,MATCH(109,Veri!$G$5:$G$2004,0)))</f>
        <v/>
      </c>
      <c r="L113" s="16" t="str">
        <f aca="false">IF(K113="","",SUMIFS(Veri!$E$5:$E$2004,Veri!$C$5:$C$2004,K113))</f>
        <v/>
      </c>
      <c r="M113" s="16" t="str">
        <f aca="false">IF(K113="","",L113+ROW()/1000000000)</f>
        <v/>
      </c>
      <c r="N113" s="16"/>
    </row>
    <row r="114" customFormat="false" ht="15" hidden="false" customHeight="false" outlineLevel="0" collapsed="false">
      <c r="A114" s="34" t="str">
        <f aca="false">IF(B114="","",110)</f>
        <v/>
      </c>
      <c r="B114" s="26" t="str">
        <f aca="false">IFERROR(INDEX($K$5:$K$204,MATCH(LARGE($M$5:$M$204,110),$M$5:$M$204,0)),"")</f>
        <v/>
      </c>
      <c r="C114" s="28" t="str">
        <f aca="false">IF(B114="","",SUMIFS(Veri!$D$5:$D$2004,Veri!$C$5:$C$2004,B114))</f>
        <v/>
      </c>
      <c r="D114" s="27" t="str">
        <f aca="false">IF(B114="","",SUMIFS(Veri!$E$5:$E$2004,Veri!$C$5:$C$2004,B114))</f>
        <v/>
      </c>
      <c r="E114" s="35" t="str">
        <f aca="false">IF(B114="","",IF(SUM(Veri!$E$5:$E$2004)=0,0,D114/SUM(Veri!$E$5:$E$2004)))</f>
        <v/>
      </c>
      <c r="F114" s="35" t="str">
        <f aca="false">IF(B114="","",SUM(E$5:E114))</f>
        <v/>
      </c>
      <c r="G114" s="36" t="str">
        <f aca="false">IF(B114="","",IF(F113&lt;0.8,"A",IF(F113&lt;0.95,"B","C")))</f>
        <v/>
      </c>
      <c r="H114" s="27" t="str">
        <f aca="false">IF(OR(B114="",C114=0),"",D114/C114)</f>
        <v/>
      </c>
      <c r="I114" s="37" t="str">
        <f aca="false">IF(B114="","",SUMPRODUCT(MAX((Veri!$C$5:$C$2004=B114)*Veri!$A$5:$A$2004)))</f>
        <v/>
      </c>
      <c r="J114" s="26"/>
      <c r="K114" s="26" t="str">
        <f aca="false">IF(110&gt;MAX(Veri!$G$5:$G$2004),"",INDEX(Veri!$C$5:$C$2004,MATCH(110,Veri!$G$5:$G$2004,0)))</f>
        <v/>
      </c>
      <c r="L114" s="26" t="str">
        <f aca="false">IF(K114="","",SUMIFS(Veri!$E$5:$E$2004,Veri!$C$5:$C$2004,K114))</f>
        <v/>
      </c>
      <c r="M114" s="26" t="str">
        <f aca="false">IF(K114="","",L114+ROW()/1000000000)</f>
        <v/>
      </c>
      <c r="N114" s="26"/>
    </row>
    <row r="115" customFormat="false" ht="15" hidden="false" customHeight="false" outlineLevel="0" collapsed="false">
      <c r="A115" s="30" t="str">
        <f aca="false">IF(B115="","",111)</f>
        <v/>
      </c>
      <c r="B115" s="16" t="str">
        <f aca="false">IFERROR(INDEX($K$5:$K$204,MATCH(LARGE($M$5:$M$204,111),$M$5:$M$204,0)),"")</f>
        <v/>
      </c>
      <c r="C115" s="24" t="str">
        <f aca="false">IF(B115="","",SUMIFS(Veri!$D$5:$D$2004,Veri!$C$5:$C$2004,B115))</f>
        <v/>
      </c>
      <c r="D115" s="23" t="str">
        <f aca="false">IF(B115="","",SUMIFS(Veri!$E$5:$E$2004,Veri!$C$5:$C$2004,B115))</f>
        <v/>
      </c>
      <c r="E115" s="31" t="str">
        <f aca="false">IF(B115="","",IF(SUM(Veri!$E$5:$E$2004)=0,0,D115/SUM(Veri!$E$5:$E$2004)))</f>
        <v/>
      </c>
      <c r="F115" s="31" t="str">
        <f aca="false">IF(B115="","",SUM(E$5:E115))</f>
        <v/>
      </c>
      <c r="G115" s="32" t="str">
        <f aca="false">IF(B115="","",IF(F114&lt;0.8,"A",IF(F114&lt;0.95,"B","C")))</f>
        <v/>
      </c>
      <c r="H115" s="23" t="str">
        <f aca="false">IF(OR(B115="",C115=0),"",D115/C115)</f>
        <v/>
      </c>
      <c r="I115" s="33" t="str">
        <f aca="false">IF(B115="","",SUMPRODUCT(MAX((Veri!$C$5:$C$2004=B115)*Veri!$A$5:$A$2004)))</f>
        <v/>
      </c>
      <c r="J115" s="16"/>
      <c r="K115" s="16" t="str">
        <f aca="false">IF(111&gt;MAX(Veri!$G$5:$G$2004),"",INDEX(Veri!$C$5:$C$2004,MATCH(111,Veri!$G$5:$G$2004,0)))</f>
        <v/>
      </c>
      <c r="L115" s="16" t="str">
        <f aca="false">IF(K115="","",SUMIFS(Veri!$E$5:$E$2004,Veri!$C$5:$C$2004,K115))</f>
        <v/>
      </c>
      <c r="M115" s="16" t="str">
        <f aca="false">IF(K115="","",L115+ROW()/1000000000)</f>
        <v/>
      </c>
      <c r="N115" s="16"/>
    </row>
    <row r="116" customFormat="false" ht="15" hidden="false" customHeight="false" outlineLevel="0" collapsed="false">
      <c r="A116" s="34" t="str">
        <f aca="false">IF(B116="","",112)</f>
        <v/>
      </c>
      <c r="B116" s="26" t="str">
        <f aca="false">IFERROR(INDEX($K$5:$K$204,MATCH(LARGE($M$5:$M$204,112),$M$5:$M$204,0)),"")</f>
        <v/>
      </c>
      <c r="C116" s="28" t="str">
        <f aca="false">IF(B116="","",SUMIFS(Veri!$D$5:$D$2004,Veri!$C$5:$C$2004,B116))</f>
        <v/>
      </c>
      <c r="D116" s="27" t="str">
        <f aca="false">IF(B116="","",SUMIFS(Veri!$E$5:$E$2004,Veri!$C$5:$C$2004,B116))</f>
        <v/>
      </c>
      <c r="E116" s="35" t="str">
        <f aca="false">IF(B116="","",IF(SUM(Veri!$E$5:$E$2004)=0,0,D116/SUM(Veri!$E$5:$E$2004)))</f>
        <v/>
      </c>
      <c r="F116" s="35" t="str">
        <f aca="false">IF(B116="","",SUM(E$5:E116))</f>
        <v/>
      </c>
      <c r="G116" s="36" t="str">
        <f aca="false">IF(B116="","",IF(F115&lt;0.8,"A",IF(F115&lt;0.95,"B","C")))</f>
        <v/>
      </c>
      <c r="H116" s="27" t="str">
        <f aca="false">IF(OR(B116="",C116=0),"",D116/C116)</f>
        <v/>
      </c>
      <c r="I116" s="37" t="str">
        <f aca="false">IF(B116="","",SUMPRODUCT(MAX((Veri!$C$5:$C$2004=B116)*Veri!$A$5:$A$2004)))</f>
        <v/>
      </c>
      <c r="J116" s="26"/>
      <c r="K116" s="26" t="str">
        <f aca="false">IF(112&gt;MAX(Veri!$G$5:$G$2004),"",INDEX(Veri!$C$5:$C$2004,MATCH(112,Veri!$G$5:$G$2004,0)))</f>
        <v/>
      </c>
      <c r="L116" s="26" t="str">
        <f aca="false">IF(K116="","",SUMIFS(Veri!$E$5:$E$2004,Veri!$C$5:$C$2004,K116))</f>
        <v/>
      </c>
      <c r="M116" s="26" t="str">
        <f aca="false">IF(K116="","",L116+ROW()/1000000000)</f>
        <v/>
      </c>
      <c r="N116" s="26"/>
    </row>
    <row r="117" customFormat="false" ht="15" hidden="false" customHeight="false" outlineLevel="0" collapsed="false">
      <c r="A117" s="30" t="str">
        <f aca="false">IF(B117="","",113)</f>
        <v/>
      </c>
      <c r="B117" s="16" t="str">
        <f aca="false">IFERROR(INDEX($K$5:$K$204,MATCH(LARGE($M$5:$M$204,113),$M$5:$M$204,0)),"")</f>
        <v/>
      </c>
      <c r="C117" s="24" t="str">
        <f aca="false">IF(B117="","",SUMIFS(Veri!$D$5:$D$2004,Veri!$C$5:$C$2004,B117))</f>
        <v/>
      </c>
      <c r="D117" s="23" t="str">
        <f aca="false">IF(B117="","",SUMIFS(Veri!$E$5:$E$2004,Veri!$C$5:$C$2004,B117))</f>
        <v/>
      </c>
      <c r="E117" s="31" t="str">
        <f aca="false">IF(B117="","",IF(SUM(Veri!$E$5:$E$2004)=0,0,D117/SUM(Veri!$E$5:$E$2004)))</f>
        <v/>
      </c>
      <c r="F117" s="31" t="str">
        <f aca="false">IF(B117="","",SUM(E$5:E117))</f>
        <v/>
      </c>
      <c r="G117" s="32" t="str">
        <f aca="false">IF(B117="","",IF(F116&lt;0.8,"A",IF(F116&lt;0.95,"B","C")))</f>
        <v/>
      </c>
      <c r="H117" s="23" t="str">
        <f aca="false">IF(OR(B117="",C117=0),"",D117/C117)</f>
        <v/>
      </c>
      <c r="I117" s="33" t="str">
        <f aca="false">IF(B117="","",SUMPRODUCT(MAX((Veri!$C$5:$C$2004=B117)*Veri!$A$5:$A$2004)))</f>
        <v/>
      </c>
      <c r="J117" s="16"/>
      <c r="K117" s="16" t="str">
        <f aca="false">IF(113&gt;MAX(Veri!$G$5:$G$2004),"",INDEX(Veri!$C$5:$C$2004,MATCH(113,Veri!$G$5:$G$2004,0)))</f>
        <v/>
      </c>
      <c r="L117" s="16" t="str">
        <f aca="false">IF(K117="","",SUMIFS(Veri!$E$5:$E$2004,Veri!$C$5:$C$2004,K117))</f>
        <v/>
      </c>
      <c r="M117" s="16" t="str">
        <f aca="false">IF(K117="","",L117+ROW()/1000000000)</f>
        <v/>
      </c>
      <c r="N117" s="16"/>
    </row>
    <row r="118" customFormat="false" ht="15" hidden="false" customHeight="false" outlineLevel="0" collapsed="false">
      <c r="A118" s="34" t="str">
        <f aca="false">IF(B118="","",114)</f>
        <v/>
      </c>
      <c r="B118" s="26" t="str">
        <f aca="false">IFERROR(INDEX($K$5:$K$204,MATCH(LARGE($M$5:$M$204,114),$M$5:$M$204,0)),"")</f>
        <v/>
      </c>
      <c r="C118" s="28" t="str">
        <f aca="false">IF(B118="","",SUMIFS(Veri!$D$5:$D$2004,Veri!$C$5:$C$2004,B118))</f>
        <v/>
      </c>
      <c r="D118" s="27" t="str">
        <f aca="false">IF(B118="","",SUMIFS(Veri!$E$5:$E$2004,Veri!$C$5:$C$2004,B118))</f>
        <v/>
      </c>
      <c r="E118" s="35" t="str">
        <f aca="false">IF(B118="","",IF(SUM(Veri!$E$5:$E$2004)=0,0,D118/SUM(Veri!$E$5:$E$2004)))</f>
        <v/>
      </c>
      <c r="F118" s="35" t="str">
        <f aca="false">IF(B118="","",SUM(E$5:E118))</f>
        <v/>
      </c>
      <c r="G118" s="36" t="str">
        <f aca="false">IF(B118="","",IF(F117&lt;0.8,"A",IF(F117&lt;0.95,"B","C")))</f>
        <v/>
      </c>
      <c r="H118" s="27" t="str">
        <f aca="false">IF(OR(B118="",C118=0),"",D118/C118)</f>
        <v/>
      </c>
      <c r="I118" s="37" t="str">
        <f aca="false">IF(B118="","",SUMPRODUCT(MAX((Veri!$C$5:$C$2004=B118)*Veri!$A$5:$A$2004)))</f>
        <v/>
      </c>
      <c r="J118" s="26"/>
      <c r="K118" s="26" t="str">
        <f aca="false">IF(114&gt;MAX(Veri!$G$5:$G$2004),"",INDEX(Veri!$C$5:$C$2004,MATCH(114,Veri!$G$5:$G$2004,0)))</f>
        <v/>
      </c>
      <c r="L118" s="26" t="str">
        <f aca="false">IF(K118="","",SUMIFS(Veri!$E$5:$E$2004,Veri!$C$5:$C$2004,K118))</f>
        <v/>
      </c>
      <c r="M118" s="26" t="str">
        <f aca="false">IF(K118="","",L118+ROW()/1000000000)</f>
        <v/>
      </c>
      <c r="N118" s="26"/>
    </row>
    <row r="119" customFormat="false" ht="15" hidden="false" customHeight="false" outlineLevel="0" collapsed="false">
      <c r="A119" s="30" t="str">
        <f aca="false">IF(B119="","",115)</f>
        <v/>
      </c>
      <c r="B119" s="16" t="str">
        <f aca="false">IFERROR(INDEX($K$5:$K$204,MATCH(LARGE($M$5:$M$204,115),$M$5:$M$204,0)),"")</f>
        <v/>
      </c>
      <c r="C119" s="24" t="str">
        <f aca="false">IF(B119="","",SUMIFS(Veri!$D$5:$D$2004,Veri!$C$5:$C$2004,B119))</f>
        <v/>
      </c>
      <c r="D119" s="23" t="str">
        <f aca="false">IF(B119="","",SUMIFS(Veri!$E$5:$E$2004,Veri!$C$5:$C$2004,B119))</f>
        <v/>
      </c>
      <c r="E119" s="31" t="str">
        <f aca="false">IF(B119="","",IF(SUM(Veri!$E$5:$E$2004)=0,0,D119/SUM(Veri!$E$5:$E$2004)))</f>
        <v/>
      </c>
      <c r="F119" s="31" t="str">
        <f aca="false">IF(B119="","",SUM(E$5:E119))</f>
        <v/>
      </c>
      <c r="G119" s="32" t="str">
        <f aca="false">IF(B119="","",IF(F118&lt;0.8,"A",IF(F118&lt;0.95,"B","C")))</f>
        <v/>
      </c>
      <c r="H119" s="23" t="str">
        <f aca="false">IF(OR(B119="",C119=0),"",D119/C119)</f>
        <v/>
      </c>
      <c r="I119" s="33" t="str">
        <f aca="false">IF(B119="","",SUMPRODUCT(MAX((Veri!$C$5:$C$2004=B119)*Veri!$A$5:$A$2004)))</f>
        <v/>
      </c>
      <c r="J119" s="16"/>
      <c r="K119" s="16" t="str">
        <f aca="false">IF(115&gt;MAX(Veri!$G$5:$G$2004),"",INDEX(Veri!$C$5:$C$2004,MATCH(115,Veri!$G$5:$G$2004,0)))</f>
        <v/>
      </c>
      <c r="L119" s="16" t="str">
        <f aca="false">IF(K119="","",SUMIFS(Veri!$E$5:$E$2004,Veri!$C$5:$C$2004,K119))</f>
        <v/>
      </c>
      <c r="M119" s="16" t="str">
        <f aca="false">IF(K119="","",L119+ROW()/1000000000)</f>
        <v/>
      </c>
      <c r="N119" s="16"/>
    </row>
    <row r="120" customFormat="false" ht="15" hidden="false" customHeight="false" outlineLevel="0" collapsed="false">
      <c r="A120" s="34" t="str">
        <f aca="false">IF(B120="","",116)</f>
        <v/>
      </c>
      <c r="B120" s="26" t="str">
        <f aca="false">IFERROR(INDEX($K$5:$K$204,MATCH(LARGE($M$5:$M$204,116),$M$5:$M$204,0)),"")</f>
        <v/>
      </c>
      <c r="C120" s="28" t="str">
        <f aca="false">IF(B120="","",SUMIFS(Veri!$D$5:$D$2004,Veri!$C$5:$C$2004,B120))</f>
        <v/>
      </c>
      <c r="D120" s="27" t="str">
        <f aca="false">IF(B120="","",SUMIFS(Veri!$E$5:$E$2004,Veri!$C$5:$C$2004,B120))</f>
        <v/>
      </c>
      <c r="E120" s="35" t="str">
        <f aca="false">IF(B120="","",IF(SUM(Veri!$E$5:$E$2004)=0,0,D120/SUM(Veri!$E$5:$E$2004)))</f>
        <v/>
      </c>
      <c r="F120" s="35" t="str">
        <f aca="false">IF(B120="","",SUM(E$5:E120))</f>
        <v/>
      </c>
      <c r="G120" s="36" t="str">
        <f aca="false">IF(B120="","",IF(F119&lt;0.8,"A",IF(F119&lt;0.95,"B","C")))</f>
        <v/>
      </c>
      <c r="H120" s="27" t="str">
        <f aca="false">IF(OR(B120="",C120=0),"",D120/C120)</f>
        <v/>
      </c>
      <c r="I120" s="37" t="str">
        <f aca="false">IF(B120="","",SUMPRODUCT(MAX((Veri!$C$5:$C$2004=B120)*Veri!$A$5:$A$2004)))</f>
        <v/>
      </c>
      <c r="J120" s="26"/>
      <c r="K120" s="26" t="str">
        <f aca="false">IF(116&gt;MAX(Veri!$G$5:$G$2004),"",INDEX(Veri!$C$5:$C$2004,MATCH(116,Veri!$G$5:$G$2004,0)))</f>
        <v/>
      </c>
      <c r="L120" s="26" t="str">
        <f aca="false">IF(K120="","",SUMIFS(Veri!$E$5:$E$2004,Veri!$C$5:$C$2004,K120))</f>
        <v/>
      </c>
      <c r="M120" s="26" t="str">
        <f aca="false">IF(K120="","",L120+ROW()/1000000000)</f>
        <v/>
      </c>
      <c r="N120" s="26"/>
    </row>
    <row r="121" customFormat="false" ht="15" hidden="false" customHeight="false" outlineLevel="0" collapsed="false">
      <c r="A121" s="30" t="str">
        <f aca="false">IF(B121="","",117)</f>
        <v/>
      </c>
      <c r="B121" s="16" t="str">
        <f aca="false">IFERROR(INDEX($K$5:$K$204,MATCH(LARGE($M$5:$M$204,117),$M$5:$M$204,0)),"")</f>
        <v/>
      </c>
      <c r="C121" s="24" t="str">
        <f aca="false">IF(B121="","",SUMIFS(Veri!$D$5:$D$2004,Veri!$C$5:$C$2004,B121))</f>
        <v/>
      </c>
      <c r="D121" s="23" t="str">
        <f aca="false">IF(B121="","",SUMIFS(Veri!$E$5:$E$2004,Veri!$C$5:$C$2004,B121))</f>
        <v/>
      </c>
      <c r="E121" s="31" t="str">
        <f aca="false">IF(B121="","",IF(SUM(Veri!$E$5:$E$2004)=0,0,D121/SUM(Veri!$E$5:$E$2004)))</f>
        <v/>
      </c>
      <c r="F121" s="31" t="str">
        <f aca="false">IF(B121="","",SUM(E$5:E121))</f>
        <v/>
      </c>
      <c r="G121" s="32" t="str">
        <f aca="false">IF(B121="","",IF(F120&lt;0.8,"A",IF(F120&lt;0.95,"B","C")))</f>
        <v/>
      </c>
      <c r="H121" s="23" t="str">
        <f aca="false">IF(OR(B121="",C121=0),"",D121/C121)</f>
        <v/>
      </c>
      <c r="I121" s="33" t="str">
        <f aca="false">IF(B121="","",SUMPRODUCT(MAX((Veri!$C$5:$C$2004=B121)*Veri!$A$5:$A$2004)))</f>
        <v/>
      </c>
      <c r="J121" s="16"/>
      <c r="K121" s="16" t="str">
        <f aca="false">IF(117&gt;MAX(Veri!$G$5:$G$2004),"",INDEX(Veri!$C$5:$C$2004,MATCH(117,Veri!$G$5:$G$2004,0)))</f>
        <v/>
      </c>
      <c r="L121" s="16" t="str">
        <f aca="false">IF(K121="","",SUMIFS(Veri!$E$5:$E$2004,Veri!$C$5:$C$2004,K121))</f>
        <v/>
      </c>
      <c r="M121" s="16" t="str">
        <f aca="false">IF(K121="","",L121+ROW()/1000000000)</f>
        <v/>
      </c>
      <c r="N121" s="16"/>
    </row>
    <row r="122" customFormat="false" ht="15" hidden="false" customHeight="false" outlineLevel="0" collapsed="false">
      <c r="A122" s="34" t="str">
        <f aca="false">IF(B122="","",118)</f>
        <v/>
      </c>
      <c r="B122" s="26" t="str">
        <f aca="false">IFERROR(INDEX($K$5:$K$204,MATCH(LARGE($M$5:$M$204,118),$M$5:$M$204,0)),"")</f>
        <v/>
      </c>
      <c r="C122" s="28" t="str">
        <f aca="false">IF(B122="","",SUMIFS(Veri!$D$5:$D$2004,Veri!$C$5:$C$2004,B122))</f>
        <v/>
      </c>
      <c r="D122" s="27" t="str">
        <f aca="false">IF(B122="","",SUMIFS(Veri!$E$5:$E$2004,Veri!$C$5:$C$2004,B122))</f>
        <v/>
      </c>
      <c r="E122" s="35" t="str">
        <f aca="false">IF(B122="","",IF(SUM(Veri!$E$5:$E$2004)=0,0,D122/SUM(Veri!$E$5:$E$2004)))</f>
        <v/>
      </c>
      <c r="F122" s="35" t="str">
        <f aca="false">IF(B122="","",SUM(E$5:E122))</f>
        <v/>
      </c>
      <c r="G122" s="36" t="str">
        <f aca="false">IF(B122="","",IF(F121&lt;0.8,"A",IF(F121&lt;0.95,"B","C")))</f>
        <v/>
      </c>
      <c r="H122" s="27" t="str">
        <f aca="false">IF(OR(B122="",C122=0),"",D122/C122)</f>
        <v/>
      </c>
      <c r="I122" s="37" t="str">
        <f aca="false">IF(B122="","",SUMPRODUCT(MAX((Veri!$C$5:$C$2004=B122)*Veri!$A$5:$A$2004)))</f>
        <v/>
      </c>
      <c r="J122" s="26"/>
      <c r="K122" s="26" t="str">
        <f aca="false">IF(118&gt;MAX(Veri!$G$5:$G$2004),"",INDEX(Veri!$C$5:$C$2004,MATCH(118,Veri!$G$5:$G$2004,0)))</f>
        <v/>
      </c>
      <c r="L122" s="26" t="str">
        <f aca="false">IF(K122="","",SUMIFS(Veri!$E$5:$E$2004,Veri!$C$5:$C$2004,K122))</f>
        <v/>
      </c>
      <c r="M122" s="26" t="str">
        <f aca="false">IF(K122="","",L122+ROW()/1000000000)</f>
        <v/>
      </c>
      <c r="N122" s="26"/>
    </row>
    <row r="123" customFormat="false" ht="15" hidden="false" customHeight="false" outlineLevel="0" collapsed="false">
      <c r="A123" s="30" t="str">
        <f aca="false">IF(B123="","",119)</f>
        <v/>
      </c>
      <c r="B123" s="16" t="str">
        <f aca="false">IFERROR(INDEX($K$5:$K$204,MATCH(LARGE($M$5:$M$204,119),$M$5:$M$204,0)),"")</f>
        <v/>
      </c>
      <c r="C123" s="24" t="str">
        <f aca="false">IF(B123="","",SUMIFS(Veri!$D$5:$D$2004,Veri!$C$5:$C$2004,B123))</f>
        <v/>
      </c>
      <c r="D123" s="23" t="str">
        <f aca="false">IF(B123="","",SUMIFS(Veri!$E$5:$E$2004,Veri!$C$5:$C$2004,B123))</f>
        <v/>
      </c>
      <c r="E123" s="31" t="str">
        <f aca="false">IF(B123="","",IF(SUM(Veri!$E$5:$E$2004)=0,0,D123/SUM(Veri!$E$5:$E$2004)))</f>
        <v/>
      </c>
      <c r="F123" s="31" t="str">
        <f aca="false">IF(B123="","",SUM(E$5:E123))</f>
        <v/>
      </c>
      <c r="G123" s="32" t="str">
        <f aca="false">IF(B123="","",IF(F122&lt;0.8,"A",IF(F122&lt;0.95,"B","C")))</f>
        <v/>
      </c>
      <c r="H123" s="23" t="str">
        <f aca="false">IF(OR(B123="",C123=0),"",D123/C123)</f>
        <v/>
      </c>
      <c r="I123" s="33" t="str">
        <f aca="false">IF(B123="","",SUMPRODUCT(MAX((Veri!$C$5:$C$2004=B123)*Veri!$A$5:$A$2004)))</f>
        <v/>
      </c>
      <c r="J123" s="16"/>
      <c r="K123" s="16" t="str">
        <f aca="false">IF(119&gt;MAX(Veri!$G$5:$G$2004),"",INDEX(Veri!$C$5:$C$2004,MATCH(119,Veri!$G$5:$G$2004,0)))</f>
        <v/>
      </c>
      <c r="L123" s="16" t="str">
        <f aca="false">IF(K123="","",SUMIFS(Veri!$E$5:$E$2004,Veri!$C$5:$C$2004,K123))</f>
        <v/>
      </c>
      <c r="M123" s="16" t="str">
        <f aca="false">IF(K123="","",L123+ROW()/1000000000)</f>
        <v/>
      </c>
      <c r="N123" s="16"/>
    </row>
    <row r="124" customFormat="false" ht="15" hidden="false" customHeight="false" outlineLevel="0" collapsed="false">
      <c r="A124" s="34" t="str">
        <f aca="false">IF(B124="","",120)</f>
        <v/>
      </c>
      <c r="B124" s="26" t="str">
        <f aca="false">IFERROR(INDEX($K$5:$K$204,MATCH(LARGE($M$5:$M$204,120),$M$5:$M$204,0)),"")</f>
        <v/>
      </c>
      <c r="C124" s="28" t="str">
        <f aca="false">IF(B124="","",SUMIFS(Veri!$D$5:$D$2004,Veri!$C$5:$C$2004,B124))</f>
        <v/>
      </c>
      <c r="D124" s="27" t="str">
        <f aca="false">IF(B124="","",SUMIFS(Veri!$E$5:$E$2004,Veri!$C$5:$C$2004,B124))</f>
        <v/>
      </c>
      <c r="E124" s="35" t="str">
        <f aca="false">IF(B124="","",IF(SUM(Veri!$E$5:$E$2004)=0,0,D124/SUM(Veri!$E$5:$E$2004)))</f>
        <v/>
      </c>
      <c r="F124" s="35" t="str">
        <f aca="false">IF(B124="","",SUM(E$5:E124))</f>
        <v/>
      </c>
      <c r="G124" s="36" t="str">
        <f aca="false">IF(B124="","",IF(F123&lt;0.8,"A",IF(F123&lt;0.95,"B","C")))</f>
        <v/>
      </c>
      <c r="H124" s="27" t="str">
        <f aca="false">IF(OR(B124="",C124=0),"",D124/C124)</f>
        <v/>
      </c>
      <c r="I124" s="37" t="str">
        <f aca="false">IF(B124="","",SUMPRODUCT(MAX((Veri!$C$5:$C$2004=B124)*Veri!$A$5:$A$2004)))</f>
        <v/>
      </c>
      <c r="J124" s="26"/>
      <c r="K124" s="26" t="str">
        <f aca="false">IF(120&gt;MAX(Veri!$G$5:$G$2004),"",INDEX(Veri!$C$5:$C$2004,MATCH(120,Veri!$G$5:$G$2004,0)))</f>
        <v/>
      </c>
      <c r="L124" s="26" t="str">
        <f aca="false">IF(K124="","",SUMIFS(Veri!$E$5:$E$2004,Veri!$C$5:$C$2004,K124))</f>
        <v/>
      </c>
      <c r="M124" s="26" t="str">
        <f aca="false">IF(K124="","",L124+ROW()/1000000000)</f>
        <v/>
      </c>
      <c r="N124" s="26"/>
    </row>
    <row r="125" customFormat="false" ht="15" hidden="false" customHeight="false" outlineLevel="0" collapsed="false">
      <c r="A125" s="30" t="str">
        <f aca="false">IF(B125="","",121)</f>
        <v/>
      </c>
      <c r="B125" s="16" t="str">
        <f aca="false">IFERROR(INDEX($K$5:$K$204,MATCH(LARGE($M$5:$M$204,121),$M$5:$M$204,0)),"")</f>
        <v/>
      </c>
      <c r="C125" s="24" t="str">
        <f aca="false">IF(B125="","",SUMIFS(Veri!$D$5:$D$2004,Veri!$C$5:$C$2004,B125))</f>
        <v/>
      </c>
      <c r="D125" s="23" t="str">
        <f aca="false">IF(B125="","",SUMIFS(Veri!$E$5:$E$2004,Veri!$C$5:$C$2004,B125))</f>
        <v/>
      </c>
      <c r="E125" s="31" t="str">
        <f aca="false">IF(B125="","",IF(SUM(Veri!$E$5:$E$2004)=0,0,D125/SUM(Veri!$E$5:$E$2004)))</f>
        <v/>
      </c>
      <c r="F125" s="31" t="str">
        <f aca="false">IF(B125="","",SUM(E$5:E125))</f>
        <v/>
      </c>
      <c r="G125" s="32" t="str">
        <f aca="false">IF(B125="","",IF(F124&lt;0.8,"A",IF(F124&lt;0.95,"B","C")))</f>
        <v/>
      </c>
      <c r="H125" s="23" t="str">
        <f aca="false">IF(OR(B125="",C125=0),"",D125/C125)</f>
        <v/>
      </c>
      <c r="I125" s="33" t="str">
        <f aca="false">IF(B125="","",SUMPRODUCT(MAX((Veri!$C$5:$C$2004=B125)*Veri!$A$5:$A$2004)))</f>
        <v/>
      </c>
      <c r="J125" s="16"/>
      <c r="K125" s="16" t="str">
        <f aca="false">IF(121&gt;MAX(Veri!$G$5:$G$2004),"",INDEX(Veri!$C$5:$C$2004,MATCH(121,Veri!$G$5:$G$2004,0)))</f>
        <v/>
      </c>
      <c r="L125" s="16" t="str">
        <f aca="false">IF(K125="","",SUMIFS(Veri!$E$5:$E$2004,Veri!$C$5:$C$2004,K125))</f>
        <v/>
      </c>
      <c r="M125" s="16" t="str">
        <f aca="false">IF(K125="","",L125+ROW()/1000000000)</f>
        <v/>
      </c>
      <c r="N125" s="16"/>
    </row>
    <row r="126" customFormat="false" ht="15" hidden="false" customHeight="false" outlineLevel="0" collapsed="false">
      <c r="A126" s="34" t="str">
        <f aca="false">IF(B126="","",122)</f>
        <v/>
      </c>
      <c r="B126" s="26" t="str">
        <f aca="false">IFERROR(INDEX($K$5:$K$204,MATCH(LARGE($M$5:$M$204,122),$M$5:$M$204,0)),"")</f>
        <v/>
      </c>
      <c r="C126" s="28" t="str">
        <f aca="false">IF(B126="","",SUMIFS(Veri!$D$5:$D$2004,Veri!$C$5:$C$2004,B126))</f>
        <v/>
      </c>
      <c r="D126" s="27" t="str">
        <f aca="false">IF(B126="","",SUMIFS(Veri!$E$5:$E$2004,Veri!$C$5:$C$2004,B126))</f>
        <v/>
      </c>
      <c r="E126" s="35" t="str">
        <f aca="false">IF(B126="","",IF(SUM(Veri!$E$5:$E$2004)=0,0,D126/SUM(Veri!$E$5:$E$2004)))</f>
        <v/>
      </c>
      <c r="F126" s="35" t="str">
        <f aca="false">IF(B126="","",SUM(E$5:E126))</f>
        <v/>
      </c>
      <c r="G126" s="36" t="str">
        <f aca="false">IF(B126="","",IF(F125&lt;0.8,"A",IF(F125&lt;0.95,"B","C")))</f>
        <v/>
      </c>
      <c r="H126" s="27" t="str">
        <f aca="false">IF(OR(B126="",C126=0),"",D126/C126)</f>
        <v/>
      </c>
      <c r="I126" s="37" t="str">
        <f aca="false">IF(B126="","",SUMPRODUCT(MAX((Veri!$C$5:$C$2004=B126)*Veri!$A$5:$A$2004)))</f>
        <v/>
      </c>
      <c r="J126" s="26"/>
      <c r="K126" s="26" t="str">
        <f aca="false">IF(122&gt;MAX(Veri!$G$5:$G$2004),"",INDEX(Veri!$C$5:$C$2004,MATCH(122,Veri!$G$5:$G$2004,0)))</f>
        <v/>
      </c>
      <c r="L126" s="26" t="str">
        <f aca="false">IF(K126="","",SUMIFS(Veri!$E$5:$E$2004,Veri!$C$5:$C$2004,K126))</f>
        <v/>
      </c>
      <c r="M126" s="26" t="str">
        <f aca="false">IF(K126="","",L126+ROW()/1000000000)</f>
        <v/>
      </c>
      <c r="N126" s="26"/>
    </row>
    <row r="127" customFormat="false" ht="15" hidden="false" customHeight="false" outlineLevel="0" collapsed="false">
      <c r="A127" s="30" t="str">
        <f aca="false">IF(B127="","",123)</f>
        <v/>
      </c>
      <c r="B127" s="16" t="str">
        <f aca="false">IFERROR(INDEX($K$5:$K$204,MATCH(LARGE($M$5:$M$204,123),$M$5:$M$204,0)),"")</f>
        <v/>
      </c>
      <c r="C127" s="24" t="str">
        <f aca="false">IF(B127="","",SUMIFS(Veri!$D$5:$D$2004,Veri!$C$5:$C$2004,B127))</f>
        <v/>
      </c>
      <c r="D127" s="23" t="str">
        <f aca="false">IF(B127="","",SUMIFS(Veri!$E$5:$E$2004,Veri!$C$5:$C$2004,B127))</f>
        <v/>
      </c>
      <c r="E127" s="31" t="str">
        <f aca="false">IF(B127="","",IF(SUM(Veri!$E$5:$E$2004)=0,0,D127/SUM(Veri!$E$5:$E$2004)))</f>
        <v/>
      </c>
      <c r="F127" s="31" t="str">
        <f aca="false">IF(B127="","",SUM(E$5:E127))</f>
        <v/>
      </c>
      <c r="G127" s="32" t="str">
        <f aca="false">IF(B127="","",IF(F126&lt;0.8,"A",IF(F126&lt;0.95,"B","C")))</f>
        <v/>
      </c>
      <c r="H127" s="23" t="str">
        <f aca="false">IF(OR(B127="",C127=0),"",D127/C127)</f>
        <v/>
      </c>
      <c r="I127" s="33" t="str">
        <f aca="false">IF(B127="","",SUMPRODUCT(MAX((Veri!$C$5:$C$2004=B127)*Veri!$A$5:$A$2004)))</f>
        <v/>
      </c>
      <c r="J127" s="16"/>
      <c r="K127" s="16" t="str">
        <f aca="false">IF(123&gt;MAX(Veri!$G$5:$G$2004),"",INDEX(Veri!$C$5:$C$2004,MATCH(123,Veri!$G$5:$G$2004,0)))</f>
        <v/>
      </c>
      <c r="L127" s="16" t="str">
        <f aca="false">IF(K127="","",SUMIFS(Veri!$E$5:$E$2004,Veri!$C$5:$C$2004,K127))</f>
        <v/>
      </c>
      <c r="M127" s="16" t="str">
        <f aca="false">IF(K127="","",L127+ROW()/1000000000)</f>
        <v/>
      </c>
      <c r="N127" s="16"/>
    </row>
    <row r="128" customFormat="false" ht="15" hidden="false" customHeight="false" outlineLevel="0" collapsed="false">
      <c r="A128" s="34" t="str">
        <f aca="false">IF(B128="","",124)</f>
        <v/>
      </c>
      <c r="B128" s="26" t="str">
        <f aca="false">IFERROR(INDEX($K$5:$K$204,MATCH(LARGE($M$5:$M$204,124),$M$5:$M$204,0)),"")</f>
        <v/>
      </c>
      <c r="C128" s="28" t="str">
        <f aca="false">IF(B128="","",SUMIFS(Veri!$D$5:$D$2004,Veri!$C$5:$C$2004,B128))</f>
        <v/>
      </c>
      <c r="D128" s="27" t="str">
        <f aca="false">IF(B128="","",SUMIFS(Veri!$E$5:$E$2004,Veri!$C$5:$C$2004,B128))</f>
        <v/>
      </c>
      <c r="E128" s="35" t="str">
        <f aca="false">IF(B128="","",IF(SUM(Veri!$E$5:$E$2004)=0,0,D128/SUM(Veri!$E$5:$E$2004)))</f>
        <v/>
      </c>
      <c r="F128" s="35" t="str">
        <f aca="false">IF(B128="","",SUM(E$5:E128))</f>
        <v/>
      </c>
      <c r="G128" s="36" t="str">
        <f aca="false">IF(B128="","",IF(F127&lt;0.8,"A",IF(F127&lt;0.95,"B","C")))</f>
        <v/>
      </c>
      <c r="H128" s="27" t="str">
        <f aca="false">IF(OR(B128="",C128=0),"",D128/C128)</f>
        <v/>
      </c>
      <c r="I128" s="37" t="str">
        <f aca="false">IF(B128="","",SUMPRODUCT(MAX((Veri!$C$5:$C$2004=B128)*Veri!$A$5:$A$2004)))</f>
        <v/>
      </c>
      <c r="J128" s="26"/>
      <c r="K128" s="26" t="str">
        <f aca="false">IF(124&gt;MAX(Veri!$G$5:$G$2004),"",INDEX(Veri!$C$5:$C$2004,MATCH(124,Veri!$G$5:$G$2004,0)))</f>
        <v/>
      </c>
      <c r="L128" s="26" t="str">
        <f aca="false">IF(K128="","",SUMIFS(Veri!$E$5:$E$2004,Veri!$C$5:$C$2004,K128))</f>
        <v/>
      </c>
      <c r="M128" s="26" t="str">
        <f aca="false">IF(K128="","",L128+ROW()/1000000000)</f>
        <v/>
      </c>
      <c r="N128" s="26"/>
    </row>
    <row r="129" customFormat="false" ht="15" hidden="false" customHeight="false" outlineLevel="0" collapsed="false">
      <c r="A129" s="30" t="str">
        <f aca="false">IF(B129="","",125)</f>
        <v/>
      </c>
      <c r="B129" s="16" t="str">
        <f aca="false">IFERROR(INDEX($K$5:$K$204,MATCH(LARGE($M$5:$M$204,125),$M$5:$M$204,0)),"")</f>
        <v/>
      </c>
      <c r="C129" s="24" t="str">
        <f aca="false">IF(B129="","",SUMIFS(Veri!$D$5:$D$2004,Veri!$C$5:$C$2004,B129))</f>
        <v/>
      </c>
      <c r="D129" s="23" t="str">
        <f aca="false">IF(B129="","",SUMIFS(Veri!$E$5:$E$2004,Veri!$C$5:$C$2004,B129))</f>
        <v/>
      </c>
      <c r="E129" s="31" t="str">
        <f aca="false">IF(B129="","",IF(SUM(Veri!$E$5:$E$2004)=0,0,D129/SUM(Veri!$E$5:$E$2004)))</f>
        <v/>
      </c>
      <c r="F129" s="31" t="str">
        <f aca="false">IF(B129="","",SUM(E$5:E129))</f>
        <v/>
      </c>
      <c r="G129" s="32" t="str">
        <f aca="false">IF(B129="","",IF(F128&lt;0.8,"A",IF(F128&lt;0.95,"B","C")))</f>
        <v/>
      </c>
      <c r="H129" s="23" t="str">
        <f aca="false">IF(OR(B129="",C129=0),"",D129/C129)</f>
        <v/>
      </c>
      <c r="I129" s="33" t="str">
        <f aca="false">IF(B129="","",SUMPRODUCT(MAX((Veri!$C$5:$C$2004=B129)*Veri!$A$5:$A$2004)))</f>
        <v/>
      </c>
      <c r="J129" s="16"/>
      <c r="K129" s="16" t="str">
        <f aca="false">IF(125&gt;MAX(Veri!$G$5:$G$2004),"",INDEX(Veri!$C$5:$C$2004,MATCH(125,Veri!$G$5:$G$2004,0)))</f>
        <v/>
      </c>
      <c r="L129" s="16" t="str">
        <f aca="false">IF(K129="","",SUMIFS(Veri!$E$5:$E$2004,Veri!$C$5:$C$2004,K129))</f>
        <v/>
      </c>
      <c r="M129" s="16" t="str">
        <f aca="false">IF(K129="","",L129+ROW()/1000000000)</f>
        <v/>
      </c>
      <c r="N129" s="16"/>
    </row>
    <row r="130" customFormat="false" ht="15" hidden="false" customHeight="false" outlineLevel="0" collapsed="false">
      <c r="A130" s="34" t="str">
        <f aca="false">IF(B130="","",126)</f>
        <v/>
      </c>
      <c r="B130" s="26" t="str">
        <f aca="false">IFERROR(INDEX($K$5:$K$204,MATCH(LARGE($M$5:$M$204,126),$M$5:$M$204,0)),"")</f>
        <v/>
      </c>
      <c r="C130" s="28" t="str">
        <f aca="false">IF(B130="","",SUMIFS(Veri!$D$5:$D$2004,Veri!$C$5:$C$2004,B130))</f>
        <v/>
      </c>
      <c r="D130" s="27" t="str">
        <f aca="false">IF(B130="","",SUMIFS(Veri!$E$5:$E$2004,Veri!$C$5:$C$2004,B130))</f>
        <v/>
      </c>
      <c r="E130" s="35" t="str">
        <f aca="false">IF(B130="","",IF(SUM(Veri!$E$5:$E$2004)=0,0,D130/SUM(Veri!$E$5:$E$2004)))</f>
        <v/>
      </c>
      <c r="F130" s="35" t="str">
        <f aca="false">IF(B130="","",SUM(E$5:E130))</f>
        <v/>
      </c>
      <c r="G130" s="36" t="str">
        <f aca="false">IF(B130="","",IF(F129&lt;0.8,"A",IF(F129&lt;0.95,"B","C")))</f>
        <v/>
      </c>
      <c r="H130" s="27" t="str">
        <f aca="false">IF(OR(B130="",C130=0),"",D130/C130)</f>
        <v/>
      </c>
      <c r="I130" s="37" t="str">
        <f aca="false">IF(B130="","",SUMPRODUCT(MAX((Veri!$C$5:$C$2004=B130)*Veri!$A$5:$A$2004)))</f>
        <v/>
      </c>
      <c r="J130" s="26"/>
      <c r="K130" s="26" t="str">
        <f aca="false">IF(126&gt;MAX(Veri!$G$5:$G$2004),"",INDEX(Veri!$C$5:$C$2004,MATCH(126,Veri!$G$5:$G$2004,0)))</f>
        <v/>
      </c>
      <c r="L130" s="26" t="str">
        <f aca="false">IF(K130="","",SUMIFS(Veri!$E$5:$E$2004,Veri!$C$5:$C$2004,K130))</f>
        <v/>
      </c>
      <c r="M130" s="26" t="str">
        <f aca="false">IF(K130="","",L130+ROW()/1000000000)</f>
        <v/>
      </c>
      <c r="N130" s="26"/>
    </row>
    <row r="131" customFormat="false" ht="15" hidden="false" customHeight="false" outlineLevel="0" collapsed="false">
      <c r="A131" s="30" t="str">
        <f aca="false">IF(B131="","",127)</f>
        <v/>
      </c>
      <c r="B131" s="16" t="str">
        <f aca="false">IFERROR(INDEX($K$5:$K$204,MATCH(LARGE($M$5:$M$204,127),$M$5:$M$204,0)),"")</f>
        <v/>
      </c>
      <c r="C131" s="24" t="str">
        <f aca="false">IF(B131="","",SUMIFS(Veri!$D$5:$D$2004,Veri!$C$5:$C$2004,B131))</f>
        <v/>
      </c>
      <c r="D131" s="23" t="str">
        <f aca="false">IF(B131="","",SUMIFS(Veri!$E$5:$E$2004,Veri!$C$5:$C$2004,B131))</f>
        <v/>
      </c>
      <c r="E131" s="31" t="str">
        <f aca="false">IF(B131="","",IF(SUM(Veri!$E$5:$E$2004)=0,0,D131/SUM(Veri!$E$5:$E$2004)))</f>
        <v/>
      </c>
      <c r="F131" s="31" t="str">
        <f aca="false">IF(B131="","",SUM(E$5:E131))</f>
        <v/>
      </c>
      <c r="G131" s="32" t="str">
        <f aca="false">IF(B131="","",IF(F130&lt;0.8,"A",IF(F130&lt;0.95,"B","C")))</f>
        <v/>
      </c>
      <c r="H131" s="23" t="str">
        <f aca="false">IF(OR(B131="",C131=0),"",D131/C131)</f>
        <v/>
      </c>
      <c r="I131" s="33" t="str">
        <f aca="false">IF(B131="","",SUMPRODUCT(MAX((Veri!$C$5:$C$2004=B131)*Veri!$A$5:$A$2004)))</f>
        <v/>
      </c>
      <c r="J131" s="16"/>
      <c r="K131" s="16" t="str">
        <f aca="false">IF(127&gt;MAX(Veri!$G$5:$G$2004),"",INDEX(Veri!$C$5:$C$2004,MATCH(127,Veri!$G$5:$G$2004,0)))</f>
        <v/>
      </c>
      <c r="L131" s="16" t="str">
        <f aca="false">IF(K131="","",SUMIFS(Veri!$E$5:$E$2004,Veri!$C$5:$C$2004,K131))</f>
        <v/>
      </c>
      <c r="M131" s="16" t="str">
        <f aca="false">IF(K131="","",L131+ROW()/1000000000)</f>
        <v/>
      </c>
      <c r="N131" s="16"/>
    </row>
    <row r="132" customFormat="false" ht="15" hidden="false" customHeight="false" outlineLevel="0" collapsed="false">
      <c r="A132" s="34" t="str">
        <f aca="false">IF(B132="","",128)</f>
        <v/>
      </c>
      <c r="B132" s="26" t="str">
        <f aca="false">IFERROR(INDEX($K$5:$K$204,MATCH(LARGE($M$5:$M$204,128),$M$5:$M$204,0)),"")</f>
        <v/>
      </c>
      <c r="C132" s="28" t="str">
        <f aca="false">IF(B132="","",SUMIFS(Veri!$D$5:$D$2004,Veri!$C$5:$C$2004,B132))</f>
        <v/>
      </c>
      <c r="D132" s="27" t="str">
        <f aca="false">IF(B132="","",SUMIFS(Veri!$E$5:$E$2004,Veri!$C$5:$C$2004,B132))</f>
        <v/>
      </c>
      <c r="E132" s="35" t="str">
        <f aca="false">IF(B132="","",IF(SUM(Veri!$E$5:$E$2004)=0,0,D132/SUM(Veri!$E$5:$E$2004)))</f>
        <v/>
      </c>
      <c r="F132" s="35" t="str">
        <f aca="false">IF(B132="","",SUM(E$5:E132))</f>
        <v/>
      </c>
      <c r="G132" s="36" t="str">
        <f aca="false">IF(B132="","",IF(F131&lt;0.8,"A",IF(F131&lt;0.95,"B","C")))</f>
        <v/>
      </c>
      <c r="H132" s="27" t="str">
        <f aca="false">IF(OR(B132="",C132=0),"",D132/C132)</f>
        <v/>
      </c>
      <c r="I132" s="37" t="str">
        <f aca="false">IF(B132="","",SUMPRODUCT(MAX((Veri!$C$5:$C$2004=B132)*Veri!$A$5:$A$2004)))</f>
        <v/>
      </c>
      <c r="J132" s="26"/>
      <c r="K132" s="26" t="str">
        <f aca="false">IF(128&gt;MAX(Veri!$G$5:$G$2004),"",INDEX(Veri!$C$5:$C$2004,MATCH(128,Veri!$G$5:$G$2004,0)))</f>
        <v/>
      </c>
      <c r="L132" s="26" t="str">
        <f aca="false">IF(K132="","",SUMIFS(Veri!$E$5:$E$2004,Veri!$C$5:$C$2004,K132))</f>
        <v/>
      </c>
      <c r="M132" s="26" t="str">
        <f aca="false">IF(K132="","",L132+ROW()/1000000000)</f>
        <v/>
      </c>
      <c r="N132" s="26"/>
    </row>
    <row r="133" customFormat="false" ht="15" hidden="false" customHeight="false" outlineLevel="0" collapsed="false">
      <c r="A133" s="30" t="str">
        <f aca="false">IF(B133="","",129)</f>
        <v/>
      </c>
      <c r="B133" s="16" t="str">
        <f aca="false">IFERROR(INDEX($K$5:$K$204,MATCH(LARGE($M$5:$M$204,129),$M$5:$M$204,0)),"")</f>
        <v/>
      </c>
      <c r="C133" s="24" t="str">
        <f aca="false">IF(B133="","",SUMIFS(Veri!$D$5:$D$2004,Veri!$C$5:$C$2004,B133))</f>
        <v/>
      </c>
      <c r="D133" s="23" t="str">
        <f aca="false">IF(B133="","",SUMIFS(Veri!$E$5:$E$2004,Veri!$C$5:$C$2004,B133))</f>
        <v/>
      </c>
      <c r="E133" s="31" t="str">
        <f aca="false">IF(B133="","",IF(SUM(Veri!$E$5:$E$2004)=0,0,D133/SUM(Veri!$E$5:$E$2004)))</f>
        <v/>
      </c>
      <c r="F133" s="31" t="str">
        <f aca="false">IF(B133="","",SUM(E$5:E133))</f>
        <v/>
      </c>
      <c r="G133" s="32" t="str">
        <f aca="false">IF(B133="","",IF(F132&lt;0.8,"A",IF(F132&lt;0.95,"B","C")))</f>
        <v/>
      </c>
      <c r="H133" s="23" t="str">
        <f aca="false">IF(OR(B133="",C133=0),"",D133/C133)</f>
        <v/>
      </c>
      <c r="I133" s="33" t="str">
        <f aca="false">IF(B133="","",SUMPRODUCT(MAX((Veri!$C$5:$C$2004=B133)*Veri!$A$5:$A$2004)))</f>
        <v/>
      </c>
      <c r="J133" s="16"/>
      <c r="K133" s="16" t="str">
        <f aca="false">IF(129&gt;MAX(Veri!$G$5:$G$2004),"",INDEX(Veri!$C$5:$C$2004,MATCH(129,Veri!$G$5:$G$2004,0)))</f>
        <v/>
      </c>
      <c r="L133" s="16" t="str">
        <f aca="false">IF(K133="","",SUMIFS(Veri!$E$5:$E$2004,Veri!$C$5:$C$2004,K133))</f>
        <v/>
      </c>
      <c r="M133" s="16" t="str">
        <f aca="false">IF(K133="","",L133+ROW()/1000000000)</f>
        <v/>
      </c>
      <c r="N133" s="16"/>
    </row>
    <row r="134" customFormat="false" ht="15" hidden="false" customHeight="false" outlineLevel="0" collapsed="false">
      <c r="A134" s="34" t="str">
        <f aca="false">IF(B134="","",130)</f>
        <v/>
      </c>
      <c r="B134" s="26" t="str">
        <f aca="false">IFERROR(INDEX($K$5:$K$204,MATCH(LARGE($M$5:$M$204,130),$M$5:$M$204,0)),"")</f>
        <v/>
      </c>
      <c r="C134" s="28" t="str">
        <f aca="false">IF(B134="","",SUMIFS(Veri!$D$5:$D$2004,Veri!$C$5:$C$2004,B134))</f>
        <v/>
      </c>
      <c r="D134" s="27" t="str">
        <f aca="false">IF(B134="","",SUMIFS(Veri!$E$5:$E$2004,Veri!$C$5:$C$2004,B134))</f>
        <v/>
      </c>
      <c r="E134" s="35" t="str">
        <f aca="false">IF(B134="","",IF(SUM(Veri!$E$5:$E$2004)=0,0,D134/SUM(Veri!$E$5:$E$2004)))</f>
        <v/>
      </c>
      <c r="F134" s="35" t="str">
        <f aca="false">IF(B134="","",SUM(E$5:E134))</f>
        <v/>
      </c>
      <c r="G134" s="36" t="str">
        <f aca="false">IF(B134="","",IF(F133&lt;0.8,"A",IF(F133&lt;0.95,"B","C")))</f>
        <v/>
      </c>
      <c r="H134" s="27" t="str">
        <f aca="false">IF(OR(B134="",C134=0),"",D134/C134)</f>
        <v/>
      </c>
      <c r="I134" s="37" t="str">
        <f aca="false">IF(B134="","",SUMPRODUCT(MAX((Veri!$C$5:$C$2004=B134)*Veri!$A$5:$A$2004)))</f>
        <v/>
      </c>
      <c r="J134" s="26"/>
      <c r="K134" s="26" t="str">
        <f aca="false">IF(130&gt;MAX(Veri!$G$5:$G$2004),"",INDEX(Veri!$C$5:$C$2004,MATCH(130,Veri!$G$5:$G$2004,0)))</f>
        <v/>
      </c>
      <c r="L134" s="26" t="str">
        <f aca="false">IF(K134="","",SUMIFS(Veri!$E$5:$E$2004,Veri!$C$5:$C$2004,K134))</f>
        <v/>
      </c>
      <c r="M134" s="26" t="str">
        <f aca="false">IF(K134="","",L134+ROW()/1000000000)</f>
        <v/>
      </c>
      <c r="N134" s="26"/>
    </row>
    <row r="135" customFormat="false" ht="15" hidden="false" customHeight="false" outlineLevel="0" collapsed="false">
      <c r="A135" s="30" t="str">
        <f aca="false">IF(B135="","",131)</f>
        <v/>
      </c>
      <c r="B135" s="16" t="str">
        <f aca="false">IFERROR(INDEX($K$5:$K$204,MATCH(LARGE($M$5:$M$204,131),$M$5:$M$204,0)),"")</f>
        <v/>
      </c>
      <c r="C135" s="24" t="str">
        <f aca="false">IF(B135="","",SUMIFS(Veri!$D$5:$D$2004,Veri!$C$5:$C$2004,B135))</f>
        <v/>
      </c>
      <c r="D135" s="23" t="str">
        <f aca="false">IF(B135="","",SUMIFS(Veri!$E$5:$E$2004,Veri!$C$5:$C$2004,B135))</f>
        <v/>
      </c>
      <c r="E135" s="31" t="str">
        <f aca="false">IF(B135="","",IF(SUM(Veri!$E$5:$E$2004)=0,0,D135/SUM(Veri!$E$5:$E$2004)))</f>
        <v/>
      </c>
      <c r="F135" s="31" t="str">
        <f aca="false">IF(B135="","",SUM(E$5:E135))</f>
        <v/>
      </c>
      <c r="G135" s="32" t="str">
        <f aca="false">IF(B135="","",IF(F134&lt;0.8,"A",IF(F134&lt;0.95,"B","C")))</f>
        <v/>
      </c>
      <c r="H135" s="23" t="str">
        <f aca="false">IF(OR(B135="",C135=0),"",D135/C135)</f>
        <v/>
      </c>
      <c r="I135" s="33" t="str">
        <f aca="false">IF(B135="","",SUMPRODUCT(MAX((Veri!$C$5:$C$2004=B135)*Veri!$A$5:$A$2004)))</f>
        <v/>
      </c>
      <c r="J135" s="16"/>
      <c r="K135" s="16" t="str">
        <f aca="false">IF(131&gt;MAX(Veri!$G$5:$G$2004),"",INDEX(Veri!$C$5:$C$2004,MATCH(131,Veri!$G$5:$G$2004,0)))</f>
        <v/>
      </c>
      <c r="L135" s="16" t="str">
        <f aca="false">IF(K135="","",SUMIFS(Veri!$E$5:$E$2004,Veri!$C$5:$C$2004,K135))</f>
        <v/>
      </c>
      <c r="M135" s="16" t="str">
        <f aca="false">IF(K135="","",L135+ROW()/1000000000)</f>
        <v/>
      </c>
      <c r="N135" s="16"/>
    </row>
    <row r="136" customFormat="false" ht="15" hidden="false" customHeight="false" outlineLevel="0" collapsed="false">
      <c r="A136" s="34" t="str">
        <f aca="false">IF(B136="","",132)</f>
        <v/>
      </c>
      <c r="B136" s="26" t="str">
        <f aca="false">IFERROR(INDEX($K$5:$K$204,MATCH(LARGE($M$5:$M$204,132),$M$5:$M$204,0)),"")</f>
        <v/>
      </c>
      <c r="C136" s="28" t="str">
        <f aca="false">IF(B136="","",SUMIFS(Veri!$D$5:$D$2004,Veri!$C$5:$C$2004,B136))</f>
        <v/>
      </c>
      <c r="D136" s="27" t="str">
        <f aca="false">IF(B136="","",SUMIFS(Veri!$E$5:$E$2004,Veri!$C$5:$C$2004,B136))</f>
        <v/>
      </c>
      <c r="E136" s="35" t="str">
        <f aca="false">IF(B136="","",IF(SUM(Veri!$E$5:$E$2004)=0,0,D136/SUM(Veri!$E$5:$E$2004)))</f>
        <v/>
      </c>
      <c r="F136" s="35" t="str">
        <f aca="false">IF(B136="","",SUM(E$5:E136))</f>
        <v/>
      </c>
      <c r="G136" s="36" t="str">
        <f aca="false">IF(B136="","",IF(F135&lt;0.8,"A",IF(F135&lt;0.95,"B","C")))</f>
        <v/>
      </c>
      <c r="H136" s="27" t="str">
        <f aca="false">IF(OR(B136="",C136=0),"",D136/C136)</f>
        <v/>
      </c>
      <c r="I136" s="37" t="str">
        <f aca="false">IF(B136="","",SUMPRODUCT(MAX((Veri!$C$5:$C$2004=B136)*Veri!$A$5:$A$2004)))</f>
        <v/>
      </c>
      <c r="J136" s="26"/>
      <c r="K136" s="26" t="str">
        <f aca="false">IF(132&gt;MAX(Veri!$G$5:$G$2004),"",INDEX(Veri!$C$5:$C$2004,MATCH(132,Veri!$G$5:$G$2004,0)))</f>
        <v/>
      </c>
      <c r="L136" s="26" t="str">
        <f aca="false">IF(K136="","",SUMIFS(Veri!$E$5:$E$2004,Veri!$C$5:$C$2004,K136))</f>
        <v/>
      </c>
      <c r="M136" s="26" t="str">
        <f aca="false">IF(K136="","",L136+ROW()/1000000000)</f>
        <v/>
      </c>
      <c r="N136" s="26"/>
    </row>
    <row r="137" customFormat="false" ht="15" hidden="false" customHeight="false" outlineLevel="0" collapsed="false">
      <c r="A137" s="30" t="str">
        <f aca="false">IF(B137="","",133)</f>
        <v/>
      </c>
      <c r="B137" s="16" t="str">
        <f aca="false">IFERROR(INDEX($K$5:$K$204,MATCH(LARGE($M$5:$M$204,133),$M$5:$M$204,0)),"")</f>
        <v/>
      </c>
      <c r="C137" s="24" t="str">
        <f aca="false">IF(B137="","",SUMIFS(Veri!$D$5:$D$2004,Veri!$C$5:$C$2004,B137))</f>
        <v/>
      </c>
      <c r="D137" s="23" t="str">
        <f aca="false">IF(B137="","",SUMIFS(Veri!$E$5:$E$2004,Veri!$C$5:$C$2004,B137))</f>
        <v/>
      </c>
      <c r="E137" s="31" t="str">
        <f aca="false">IF(B137="","",IF(SUM(Veri!$E$5:$E$2004)=0,0,D137/SUM(Veri!$E$5:$E$2004)))</f>
        <v/>
      </c>
      <c r="F137" s="31" t="str">
        <f aca="false">IF(B137="","",SUM(E$5:E137))</f>
        <v/>
      </c>
      <c r="G137" s="32" t="str">
        <f aca="false">IF(B137="","",IF(F136&lt;0.8,"A",IF(F136&lt;0.95,"B","C")))</f>
        <v/>
      </c>
      <c r="H137" s="23" t="str">
        <f aca="false">IF(OR(B137="",C137=0),"",D137/C137)</f>
        <v/>
      </c>
      <c r="I137" s="33" t="str">
        <f aca="false">IF(B137="","",SUMPRODUCT(MAX((Veri!$C$5:$C$2004=B137)*Veri!$A$5:$A$2004)))</f>
        <v/>
      </c>
      <c r="J137" s="16"/>
      <c r="K137" s="16" t="str">
        <f aca="false">IF(133&gt;MAX(Veri!$G$5:$G$2004),"",INDEX(Veri!$C$5:$C$2004,MATCH(133,Veri!$G$5:$G$2004,0)))</f>
        <v/>
      </c>
      <c r="L137" s="16" t="str">
        <f aca="false">IF(K137="","",SUMIFS(Veri!$E$5:$E$2004,Veri!$C$5:$C$2004,K137))</f>
        <v/>
      </c>
      <c r="M137" s="16" t="str">
        <f aca="false">IF(K137="","",L137+ROW()/1000000000)</f>
        <v/>
      </c>
      <c r="N137" s="16"/>
    </row>
    <row r="138" customFormat="false" ht="15" hidden="false" customHeight="false" outlineLevel="0" collapsed="false">
      <c r="A138" s="34" t="str">
        <f aca="false">IF(B138="","",134)</f>
        <v/>
      </c>
      <c r="B138" s="26" t="str">
        <f aca="false">IFERROR(INDEX($K$5:$K$204,MATCH(LARGE($M$5:$M$204,134),$M$5:$M$204,0)),"")</f>
        <v/>
      </c>
      <c r="C138" s="28" t="str">
        <f aca="false">IF(B138="","",SUMIFS(Veri!$D$5:$D$2004,Veri!$C$5:$C$2004,B138))</f>
        <v/>
      </c>
      <c r="D138" s="27" t="str">
        <f aca="false">IF(B138="","",SUMIFS(Veri!$E$5:$E$2004,Veri!$C$5:$C$2004,B138))</f>
        <v/>
      </c>
      <c r="E138" s="35" t="str">
        <f aca="false">IF(B138="","",IF(SUM(Veri!$E$5:$E$2004)=0,0,D138/SUM(Veri!$E$5:$E$2004)))</f>
        <v/>
      </c>
      <c r="F138" s="35" t="str">
        <f aca="false">IF(B138="","",SUM(E$5:E138))</f>
        <v/>
      </c>
      <c r="G138" s="36" t="str">
        <f aca="false">IF(B138="","",IF(F137&lt;0.8,"A",IF(F137&lt;0.95,"B","C")))</f>
        <v/>
      </c>
      <c r="H138" s="27" t="str">
        <f aca="false">IF(OR(B138="",C138=0),"",D138/C138)</f>
        <v/>
      </c>
      <c r="I138" s="37" t="str">
        <f aca="false">IF(B138="","",SUMPRODUCT(MAX((Veri!$C$5:$C$2004=B138)*Veri!$A$5:$A$2004)))</f>
        <v/>
      </c>
      <c r="J138" s="26"/>
      <c r="K138" s="26" t="str">
        <f aca="false">IF(134&gt;MAX(Veri!$G$5:$G$2004),"",INDEX(Veri!$C$5:$C$2004,MATCH(134,Veri!$G$5:$G$2004,0)))</f>
        <v/>
      </c>
      <c r="L138" s="26" t="str">
        <f aca="false">IF(K138="","",SUMIFS(Veri!$E$5:$E$2004,Veri!$C$5:$C$2004,K138))</f>
        <v/>
      </c>
      <c r="M138" s="26" t="str">
        <f aca="false">IF(K138="","",L138+ROW()/1000000000)</f>
        <v/>
      </c>
      <c r="N138" s="26"/>
    </row>
    <row r="139" customFormat="false" ht="15" hidden="false" customHeight="false" outlineLevel="0" collapsed="false">
      <c r="A139" s="30" t="str">
        <f aca="false">IF(B139="","",135)</f>
        <v/>
      </c>
      <c r="B139" s="16" t="str">
        <f aca="false">IFERROR(INDEX($K$5:$K$204,MATCH(LARGE($M$5:$M$204,135),$M$5:$M$204,0)),"")</f>
        <v/>
      </c>
      <c r="C139" s="24" t="str">
        <f aca="false">IF(B139="","",SUMIFS(Veri!$D$5:$D$2004,Veri!$C$5:$C$2004,B139))</f>
        <v/>
      </c>
      <c r="D139" s="23" t="str">
        <f aca="false">IF(B139="","",SUMIFS(Veri!$E$5:$E$2004,Veri!$C$5:$C$2004,B139))</f>
        <v/>
      </c>
      <c r="E139" s="31" t="str">
        <f aca="false">IF(B139="","",IF(SUM(Veri!$E$5:$E$2004)=0,0,D139/SUM(Veri!$E$5:$E$2004)))</f>
        <v/>
      </c>
      <c r="F139" s="31" t="str">
        <f aca="false">IF(B139="","",SUM(E$5:E139))</f>
        <v/>
      </c>
      <c r="G139" s="32" t="str">
        <f aca="false">IF(B139="","",IF(F138&lt;0.8,"A",IF(F138&lt;0.95,"B","C")))</f>
        <v/>
      </c>
      <c r="H139" s="23" t="str">
        <f aca="false">IF(OR(B139="",C139=0),"",D139/C139)</f>
        <v/>
      </c>
      <c r="I139" s="33" t="str">
        <f aca="false">IF(B139="","",SUMPRODUCT(MAX((Veri!$C$5:$C$2004=B139)*Veri!$A$5:$A$2004)))</f>
        <v/>
      </c>
      <c r="J139" s="16"/>
      <c r="K139" s="16" t="str">
        <f aca="false">IF(135&gt;MAX(Veri!$G$5:$G$2004),"",INDEX(Veri!$C$5:$C$2004,MATCH(135,Veri!$G$5:$G$2004,0)))</f>
        <v/>
      </c>
      <c r="L139" s="16" t="str">
        <f aca="false">IF(K139="","",SUMIFS(Veri!$E$5:$E$2004,Veri!$C$5:$C$2004,K139))</f>
        <v/>
      </c>
      <c r="M139" s="16" t="str">
        <f aca="false">IF(K139="","",L139+ROW()/1000000000)</f>
        <v/>
      </c>
      <c r="N139" s="16"/>
    </row>
    <row r="140" customFormat="false" ht="15" hidden="false" customHeight="false" outlineLevel="0" collapsed="false">
      <c r="A140" s="34" t="str">
        <f aca="false">IF(B140="","",136)</f>
        <v/>
      </c>
      <c r="B140" s="26" t="str">
        <f aca="false">IFERROR(INDEX($K$5:$K$204,MATCH(LARGE($M$5:$M$204,136),$M$5:$M$204,0)),"")</f>
        <v/>
      </c>
      <c r="C140" s="28" t="str">
        <f aca="false">IF(B140="","",SUMIFS(Veri!$D$5:$D$2004,Veri!$C$5:$C$2004,B140))</f>
        <v/>
      </c>
      <c r="D140" s="27" t="str">
        <f aca="false">IF(B140="","",SUMIFS(Veri!$E$5:$E$2004,Veri!$C$5:$C$2004,B140))</f>
        <v/>
      </c>
      <c r="E140" s="35" t="str">
        <f aca="false">IF(B140="","",IF(SUM(Veri!$E$5:$E$2004)=0,0,D140/SUM(Veri!$E$5:$E$2004)))</f>
        <v/>
      </c>
      <c r="F140" s="35" t="str">
        <f aca="false">IF(B140="","",SUM(E$5:E140))</f>
        <v/>
      </c>
      <c r="G140" s="36" t="str">
        <f aca="false">IF(B140="","",IF(F139&lt;0.8,"A",IF(F139&lt;0.95,"B","C")))</f>
        <v/>
      </c>
      <c r="H140" s="27" t="str">
        <f aca="false">IF(OR(B140="",C140=0),"",D140/C140)</f>
        <v/>
      </c>
      <c r="I140" s="37" t="str">
        <f aca="false">IF(B140="","",SUMPRODUCT(MAX((Veri!$C$5:$C$2004=B140)*Veri!$A$5:$A$2004)))</f>
        <v/>
      </c>
      <c r="J140" s="26"/>
      <c r="K140" s="26" t="str">
        <f aca="false">IF(136&gt;MAX(Veri!$G$5:$G$2004),"",INDEX(Veri!$C$5:$C$2004,MATCH(136,Veri!$G$5:$G$2004,0)))</f>
        <v/>
      </c>
      <c r="L140" s="26" t="str">
        <f aca="false">IF(K140="","",SUMIFS(Veri!$E$5:$E$2004,Veri!$C$5:$C$2004,K140))</f>
        <v/>
      </c>
      <c r="M140" s="26" t="str">
        <f aca="false">IF(K140="","",L140+ROW()/1000000000)</f>
        <v/>
      </c>
      <c r="N140" s="26"/>
    </row>
    <row r="141" customFormat="false" ht="15" hidden="false" customHeight="false" outlineLevel="0" collapsed="false">
      <c r="A141" s="30" t="str">
        <f aca="false">IF(B141="","",137)</f>
        <v/>
      </c>
      <c r="B141" s="16" t="str">
        <f aca="false">IFERROR(INDEX($K$5:$K$204,MATCH(LARGE($M$5:$M$204,137),$M$5:$M$204,0)),"")</f>
        <v/>
      </c>
      <c r="C141" s="24" t="str">
        <f aca="false">IF(B141="","",SUMIFS(Veri!$D$5:$D$2004,Veri!$C$5:$C$2004,B141))</f>
        <v/>
      </c>
      <c r="D141" s="23" t="str">
        <f aca="false">IF(B141="","",SUMIFS(Veri!$E$5:$E$2004,Veri!$C$5:$C$2004,B141))</f>
        <v/>
      </c>
      <c r="E141" s="31" t="str">
        <f aca="false">IF(B141="","",IF(SUM(Veri!$E$5:$E$2004)=0,0,D141/SUM(Veri!$E$5:$E$2004)))</f>
        <v/>
      </c>
      <c r="F141" s="31" t="str">
        <f aca="false">IF(B141="","",SUM(E$5:E141))</f>
        <v/>
      </c>
      <c r="G141" s="32" t="str">
        <f aca="false">IF(B141="","",IF(F140&lt;0.8,"A",IF(F140&lt;0.95,"B","C")))</f>
        <v/>
      </c>
      <c r="H141" s="23" t="str">
        <f aca="false">IF(OR(B141="",C141=0),"",D141/C141)</f>
        <v/>
      </c>
      <c r="I141" s="33" t="str">
        <f aca="false">IF(B141="","",SUMPRODUCT(MAX((Veri!$C$5:$C$2004=B141)*Veri!$A$5:$A$2004)))</f>
        <v/>
      </c>
      <c r="J141" s="16"/>
      <c r="K141" s="16" t="str">
        <f aca="false">IF(137&gt;MAX(Veri!$G$5:$G$2004),"",INDEX(Veri!$C$5:$C$2004,MATCH(137,Veri!$G$5:$G$2004,0)))</f>
        <v/>
      </c>
      <c r="L141" s="16" t="str">
        <f aca="false">IF(K141="","",SUMIFS(Veri!$E$5:$E$2004,Veri!$C$5:$C$2004,K141))</f>
        <v/>
      </c>
      <c r="M141" s="16" t="str">
        <f aca="false">IF(K141="","",L141+ROW()/1000000000)</f>
        <v/>
      </c>
      <c r="N141" s="16"/>
    </row>
    <row r="142" customFormat="false" ht="15" hidden="false" customHeight="false" outlineLevel="0" collapsed="false">
      <c r="A142" s="34" t="str">
        <f aca="false">IF(B142="","",138)</f>
        <v/>
      </c>
      <c r="B142" s="26" t="str">
        <f aca="false">IFERROR(INDEX($K$5:$K$204,MATCH(LARGE($M$5:$M$204,138),$M$5:$M$204,0)),"")</f>
        <v/>
      </c>
      <c r="C142" s="28" t="str">
        <f aca="false">IF(B142="","",SUMIFS(Veri!$D$5:$D$2004,Veri!$C$5:$C$2004,B142))</f>
        <v/>
      </c>
      <c r="D142" s="27" t="str">
        <f aca="false">IF(B142="","",SUMIFS(Veri!$E$5:$E$2004,Veri!$C$5:$C$2004,B142))</f>
        <v/>
      </c>
      <c r="E142" s="35" t="str">
        <f aca="false">IF(B142="","",IF(SUM(Veri!$E$5:$E$2004)=0,0,D142/SUM(Veri!$E$5:$E$2004)))</f>
        <v/>
      </c>
      <c r="F142" s="35" t="str">
        <f aca="false">IF(B142="","",SUM(E$5:E142))</f>
        <v/>
      </c>
      <c r="G142" s="36" t="str">
        <f aca="false">IF(B142="","",IF(F141&lt;0.8,"A",IF(F141&lt;0.95,"B","C")))</f>
        <v/>
      </c>
      <c r="H142" s="27" t="str">
        <f aca="false">IF(OR(B142="",C142=0),"",D142/C142)</f>
        <v/>
      </c>
      <c r="I142" s="37" t="str">
        <f aca="false">IF(B142="","",SUMPRODUCT(MAX((Veri!$C$5:$C$2004=B142)*Veri!$A$5:$A$2004)))</f>
        <v/>
      </c>
      <c r="J142" s="26"/>
      <c r="K142" s="26" t="str">
        <f aca="false">IF(138&gt;MAX(Veri!$G$5:$G$2004),"",INDEX(Veri!$C$5:$C$2004,MATCH(138,Veri!$G$5:$G$2004,0)))</f>
        <v/>
      </c>
      <c r="L142" s="26" t="str">
        <f aca="false">IF(K142="","",SUMIFS(Veri!$E$5:$E$2004,Veri!$C$5:$C$2004,K142))</f>
        <v/>
      </c>
      <c r="M142" s="26" t="str">
        <f aca="false">IF(K142="","",L142+ROW()/1000000000)</f>
        <v/>
      </c>
      <c r="N142" s="26"/>
    </row>
    <row r="143" customFormat="false" ht="15" hidden="false" customHeight="false" outlineLevel="0" collapsed="false">
      <c r="A143" s="30" t="str">
        <f aca="false">IF(B143="","",139)</f>
        <v/>
      </c>
      <c r="B143" s="16" t="str">
        <f aca="false">IFERROR(INDEX($K$5:$K$204,MATCH(LARGE($M$5:$M$204,139),$M$5:$M$204,0)),"")</f>
        <v/>
      </c>
      <c r="C143" s="24" t="str">
        <f aca="false">IF(B143="","",SUMIFS(Veri!$D$5:$D$2004,Veri!$C$5:$C$2004,B143))</f>
        <v/>
      </c>
      <c r="D143" s="23" t="str">
        <f aca="false">IF(B143="","",SUMIFS(Veri!$E$5:$E$2004,Veri!$C$5:$C$2004,B143))</f>
        <v/>
      </c>
      <c r="E143" s="31" t="str">
        <f aca="false">IF(B143="","",IF(SUM(Veri!$E$5:$E$2004)=0,0,D143/SUM(Veri!$E$5:$E$2004)))</f>
        <v/>
      </c>
      <c r="F143" s="31" t="str">
        <f aca="false">IF(B143="","",SUM(E$5:E143))</f>
        <v/>
      </c>
      <c r="G143" s="32" t="str">
        <f aca="false">IF(B143="","",IF(F142&lt;0.8,"A",IF(F142&lt;0.95,"B","C")))</f>
        <v/>
      </c>
      <c r="H143" s="23" t="str">
        <f aca="false">IF(OR(B143="",C143=0),"",D143/C143)</f>
        <v/>
      </c>
      <c r="I143" s="33" t="str">
        <f aca="false">IF(B143="","",SUMPRODUCT(MAX((Veri!$C$5:$C$2004=B143)*Veri!$A$5:$A$2004)))</f>
        <v/>
      </c>
      <c r="J143" s="16"/>
      <c r="K143" s="16" t="str">
        <f aca="false">IF(139&gt;MAX(Veri!$G$5:$G$2004),"",INDEX(Veri!$C$5:$C$2004,MATCH(139,Veri!$G$5:$G$2004,0)))</f>
        <v/>
      </c>
      <c r="L143" s="16" t="str">
        <f aca="false">IF(K143="","",SUMIFS(Veri!$E$5:$E$2004,Veri!$C$5:$C$2004,K143))</f>
        <v/>
      </c>
      <c r="M143" s="16" t="str">
        <f aca="false">IF(K143="","",L143+ROW()/1000000000)</f>
        <v/>
      </c>
      <c r="N143" s="16"/>
    </row>
    <row r="144" customFormat="false" ht="15" hidden="false" customHeight="false" outlineLevel="0" collapsed="false">
      <c r="A144" s="34" t="str">
        <f aca="false">IF(B144="","",140)</f>
        <v/>
      </c>
      <c r="B144" s="26" t="str">
        <f aca="false">IFERROR(INDEX($K$5:$K$204,MATCH(LARGE($M$5:$M$204,140),$M$5:$M$204,0)),"")</f>
        <v/>
      </c>
      <c r="C144" s="28" t="str">
        <f aca="false">IF(B144="","",SUMIFS(Veri!$D$5:$D$2004,Veri!$C$5:$C$2004,B144))</f>
        <v/>
      </c>
      <c r="D144" s="27" t="str">
        <f aca="false">IF(B144="","",SUMIFS(Veri!$E$5:$E$2004,Veri!$C$5:$C$2004,B144))</f>
        <v/>
      </c>
      <c r="E144" s="35" t="str">
        <f aca="false">IF(B144="","",IF(SUM(Veri!$E$5:$E$2004)=0,0,D144/SUM(Veri!$E$5:$E$2004)))</f>
        <v/>
      </c>
      <c r="F144" s="35" t="str">
        <f aca="false">IF(B144="","",SUM(E$5:E144))</f>
        <v/>
      </c>
      <c r="G144" s="36" t="str">
        <f aca="false">IF(B144="","",IF(F143&lt;0.8,"A",IF(F143&lt;0.95,"B","C")))</f>
        <v/>
      </c>
      <c r="H144" s="27" t="str">
        <f aca="false">IF(OR(B144="",C144=0),"",D144/C144)</f>
        <v/>
      </c>
      <c r="I144" s="37" t="str">
        <f aca="false">IF(B144="","",SUMPRODUCT(MAX((Veri!$C$5:$C$2004=B144)*Veri!$A$5:$A$2004)))</f>
        <v/>
      </c>
      <c r="J144" s="26"/>
      <c r="K144" s="26" t="str">
        <f aca="false">IF(140&gt;MAX(Veri!$G$5:$G$2004),"",INDEX(Veri!$C$5:$C$2004,MATCH(140,Veri!$G$5:$G$2004,0)))</f>
        <v/>
      </c>
      <c r="L144" s="26" t="str">
        <f aca="false">IF(K144="","",SUMIFS(Veri!$E$5:$E$2004,Veri!$C$5:$C$2004,K144))</f>
        <v/>
      </c>
      <c r="M144" s="26" t="str">
        <f aca="false">IF(K144="","",L144+ROW()/1000000000)</f>
        <v/>
      </c>
      <c r="N144" s="26"/>
    </row>
    <row r="145" customFormat="false" ht="15" hidden="false" customHeight="false" outlineLevel="0" collapsed="false">
      <c r="A145" s="30" t="str">
        <f aca="false">IF(B145="","",141)</f>
        <v/>
      </c>
      <c r="B145" s="16" t="str">
        <f aca="false">IFERROR(INDEX($K$5:$K$204,MATCH(LARGE($M$5:$M$204,141),$M$5:$M$204,0)),"")</f>
        <v/>
      </c>
      <c r="C145" s="24" t="str">
        <f aca="false">IF(B145="","",SUMIFS(Veri!$D$5:$D$2004,Veri!$C$5:$C$2004,B145))</f>
        <v/>
      </c>
      <c r="D145" s="23" t="str">
        <f aca="false">IF(B145="","",SUMIFS(Veri!$E$5:$E$2004,Veri!$C$5:$C$2004,B145))</f>
        <v/>
      </c>
      <c r="E145" s="31" t="str">
        <f aca="false">IF(B145="","",IF(SUM(Veri!$E$5:$E$2004)=0,0,D145/SUM(Veri!$E$5:$E$2004)))</f>
        <v/>
      </c>
      <c r="F145" s="31" t="str">
        <f aca="false">IF(B145="","",SUM(E$5:E145))</f>
        <v/>
      </c>
      <c r="G145" s="32" t="str">
        <f aca="false">IF(B145="","",IF(F144&lt;0.8,"A",IF(F144&lt;0.95,"B","C")))</f>
        <v/>
      </c>
      <c r="H145" s="23" t="str">
        <f aca="false">IF(OR(B145="",C145=0),"",D145/C145)</f>
        <v/>
      </c>
      <c r="I145" s="33" t="str">
        <f aca="false">IF(B145="","",SUMPRODUCT(MAX((Veri!$C$5:$C$2004=B145)*Veri!$A$5:$A$2004)))</f>
        <v/>
      </c>
      <c r="J145" s="16"/>
      <c r="K145" s="16" t="str">
        <f aca="false">IF(141&gt;MAX(Veri!$G$5:$G$2004),"",INDEX(Veri!$C$5:$C$2004,MATCH(141,Veri!$G$5:$G$2004,0)))</f>
        <v/>
      </c>
      <c r="L145" s="16" t="str">
        <f aca="false">IF(K145="","",SUMIFS(Veri!$E$5:$E$2004,Veri!$C$5:$C$2004,K145))</f>
        <v/>
      </c>
      <c r="M145" s="16" t="str">
        <f aca="false">IF(K145="","",L145+ROW()/1000000000)</f>
        <v/>
      </c>
      <c r="N145" s="16"/>
    </row>
    <row r="146" customFormat="false" ht="15" hidden="false" customHeight="false" outlineLevel="0" collapsed="false">
      <c r="A146" s="34" t="str">
        <f aca="false">IF(B146="","",142)</f>
        <v/>
      </c>
      <c r="B146" s="26" t="str">
        <f aca="false">IFERROR(INDEX($K$5:$K$204,MATCH(LARGE($M$5:$M$204,142),$M$5:$M$204,0)),"")</f>
        <v/>
      </c>
      <c r="C146" s="28" t="str">
        <f aca="false">IF(B146="","",SUMIFS(Veri!$D$5:$D$2004,Veri!$C$5:$C$2004,B146))</f>
        <v/>
      </c>
      <c r="D146" s="27" t="str">
        <f aca="false">IF(B146="","",SUMIFS(Veri!$E$5:$E$2004,Veri!$C$5:$C$2004,B146))</f>
        <v/>
      </c>
      <c r="E146" s="35" t="str">
        <f aca="false">IF(B146="","",IF(SUM(Veri!$E$5:$E$2004)=0,0,D146/SUM(Veri!$E$5:$E$2004)))</f>
        <v/>
      </c>
      <c r="F146" s="35" t="str">
        <f aca="false">IF(B146="","",SUM(E$5:E146))</f>
        <v/>
      </c>
      <c r="G146" s="36" t="str">
        <f aca="false">IF(B146="","",IF(F145&lt;0.8,"A",IF(F145&lt;0.95,"B","C")))</f>
        <v/>
      </c>
      <c r="H146" s="27" t="str">
        <f aca="false">IF(OR(B146="",C146=0),"",D146/C146)</f>
        <v/>
      </c>
      <c r="I146" s="37" t="str">
        <f aca="false">IF(B146="","",SUMPRODUCT(MAX((Veri!$C$5:$C$2004=B146)*Veri!$A$5:$A$2004)))</f>
        <v/>
      </c>
      <c r="J146" s="26"/>
      <c r="K146" s="26" t="str">
        <f aca="false">IF(142&gt;MAX(Veri!$G$5:$G$2004),"",INDEX(Veri!$C$5:$C$2004,MATCH(142,Veri!$G$5:$G$2004,0)))</f>
        <v/>
      </c>
      <c r="L146" s="26" t="str">
        <f aca="false">IF(K146="","",SUMIFS(Veri!$E$5:$E$2004,Veri!$C$5:$C$2004,K146))</f>
        <v/>
      </c>
      <c r="M146" s="26" t="str">
        <f aca="false">IF(K146="","",L146+ROW()/1000000000)</f>
        <v/>
      </c>
      <c r="N146" s="26"/>
    </row>
    <row r="147" customFormat="false" ht="15" hidden="false" customHeight="false" outlineLevel="0" collapsed="false">
      <c r="A147" s="30" t="str">
        <f aca="false">IF(B147="","",143)</f>
        <v/>
      </c>
      <c r="B147" s="16" t="str">
        <f aca="false">IFERROR(INDEX($K$5:$K$204,MATCH(LARGE($M$5:$M$204,143),$M$5:$M$204,0)),"")</f>
        <v/>
      </c>
      <c r="C147" s="24" t="str">
        <f aca="false">IF(B147="","",SUMIFS(Veri!$D$5:$D$2004,Veri!$C$5:$C$2004,B147))</f>
        <v/>
      </c>
      <c r="D147" s="23" t="str">
        <f aca="false">IF(B147="","",SUMIFS(Veri!$E$5:$E$2004,Veri!$C$5:$C$2004,B147))</f>
        <v/>
      </c>
      <c r="E147" s="31" t="str">
        <f aca="false">IF(B147="","",IF(SUM(Veri!$E$5:$E$2004)=0,0,D147/SUM(Veri!$E$5:$E$2004)))</f>
        <v/>
      </c>
      <c r="F147" s="31" t="str">
        <f aca="false">IF(B147="","",SUM(E$5:E147))</f>
        <v/>
      </c>
      <c r="G147" s="32" t="str">
        <f aca="false">IF(B147="","",IF(F146&lt;0.8,"A",IF(F146&lt;0.95,"B","C")))</f>
        <v/>
      </c>
      <c r="H147" s="23" t="str">
        <f aca="false">IF(OR(B147="",C147=0),"",D147/C147)</f>
        <v/>
      </c>
      <c r="I147" s="33" t="str">
        <f aca="false">IF(B147="","",SUMPRODUCT(MAX((Veri!$C$5:$C$2004=B147)*Veri!$A$5:$A$2004)))</f>
        <v/>
      </c>
      <c r="J147" s="16"/>
      <c r="K147" s="16" t="str">
        <f aca="false">IF(143&gt;MAX(Veri!$G$5:$G$2004),"",INDEX(Veri!$C$5:$C$2004,MATCH(143,Veri!$G$5:$G$2004,0)))</f>
        <v/>
      </c>
      <c r="L147" s="16" t="str">
        <f aca="false">IF(K147="","",SUMIFS(Veri!$E$5:$E$2004,Veri!$C$5:$C$2004,K147))</f>
        <v/>
      </c>
      <c r="M147" s="16" t="str">
        <f aca="false">IF(K147="","",L147+ROW()/1000000000)</f>
        <v/>
      </c>
      <c r="N147" s="16"/>
    </row>
    <row r="148" customFormat="false" ht="15" hidden="false" customHeight="false" outlineLevel="0" collapsed="false">
      <c r="A148" s="34" t="str">
        <f aca="false">IF(B148="","",144)</f>
        <v/>
      </c>
      <c r="B148" s="26" t="str">
        <f aca="false">IFERROR(INDEX($K$5:$K$204,MATCH(LARGE($M$5:$M$204,144),$M$5:$M$204,0)),"")</f>
        <v/>
      </c>
      <c r="C148" s="28" t="str">
        <f aca="false">IF(B148="","",SUMIFS(Veri!$D$5:$D$2004,Veri!$C$5:$C$2004,B148))</f>
        <v/>
      </c>
      <c r="D148" s="27" t="str">
        <f aca="false">IF(B148="","",SUMIFS(Veri!$E$5:$E$2004,Veri!$C$5:$C$2004,B148))</f>
        <v/>
      </c>
      <c r="E148" s="35" t="str">
        <f aca="false">IF(B148="","",IF(SUM(Veri!$E$5:$E$2004)=0,0,D148/SUM(Veri!$E$5:$E$2004)))</f>
        <v/>
      </c>
      <c r="F148" s="35" t="str">
        <f aca="false">IF(B148="","",SUM(E$5:E148))</f>
        <v/>
      </c>
      <c r="G148" s="36" t="str">
        <f aca="false">IF(B148="","",IF(F147&lt;0.8,"A",IF(F147&lt;0.95,"B","C")))</f>
        <v/>
      </c>
      <c r="H148" s="27" t="str">
        <f aca="false">IF(OR(B148="",C148=0),"",D148/C148)</f>
        <v/>
      </c>
      <c r="I148" s="37" t="str">
        <f aca="false">IF(B148="","",SUMPRODUCT(MAX((Veri!$C$5:$C$2004=B148)*Veri!$A$5:$A$2004)))</f>
        <v/>
      </c>
      <c r="J148" s="26"/>
      <c r="K148" s="26" t="str">
        <f aca="false">IF(144&gt;MAX(Veri!$G$5:$G$2004),"",INDEX(Veri!$C$5:$C$2004,MATCH(144,Veri!$G$5:$G$2004,0)))</f>
        <v/>
      </c>
      <c r="L148" s="26" t="str">
        <f aca="false">IF(K148="","",SUMIFS(Veri!$E$5:$E$2004,Veri!$C$5:$C$2004,K148))</f>
        <v/>
      </c>
      <c r="M148" s="26" t="str">
        <f aca="false">IF(K148="","",L148+ROW()/1000000000)</f>
        <v/>
      </c>
      <c r="N148" s="26"/>
    </row>
    <row r="149" customFormat="false" ht="15" hidden="false" customHeight="false" outlineLevel="0" collapsed="false">
      <c r="A149" s="30" t="str">
        <f aca="false">IF(B149="","",145)</f>
        <v/>
      </c>
      <c r="B149" s="16" t="str">
        <f aca="false">IFERROR(INDEX($K$5:$K$204,MATCH(LARGE($M$5:$M$204,145),$M$5:$M$204,0)),"")</f>
        <v/>
      </c>
      <c r="C149" s="24" t="str">
        <f aca="false">IF(B149="","",SUMIFS(Veri!$D$5:$D$2004,Veri!$C$5:$C$2004,B149))</f>
        <v/>
      </c>
      <c r="D149" s="23" t="str">
        <f aca="false">IF(B149="","",SUMIFS(Veri!$E$5:$E$2004,Veri!$C$5:$C$2004,B149))</f>
        <v/>
      </c>
      <c r="E149" s="31" t="str">
        <f aca="false">IF(B149="","",IF(SUM(Veri!$E$5:$E$2004)=0,0,D149/SUM(Veri!$E$5:$E$2004)))</f>
        <v/>
      </c>
      <c r="F149" s="31" t="str">
        <f aca="false">IF(B149="","",SUM(E$5:E149))</f>
        <v/>
      </c>
      <c r="G149" s="32" t="str">
        <f aca="false">IF(B149="","",IF(F148&lt;0.8,"A",IF(F148&lt;0.95,"B","C")))</f>
        <v/>
      </c>
      <c r="H149" s="23" t="str">
        <f aca="false">IF(OR(B149="",C149=0),"",D149/C149)</f>
        <v/>
      </c>
      <c r="I149" s="33" t="str">
        <f aca="false">IF(B149="","",SUMPRODUCT(MAX((Veri!$C$5:$C$2004=B149)*Veri!$A$5:$A$2004)))</f>
        <v/>
      </c>
      <c r="J149" s="16"/>
      <c r="K149" s="16" t="str">
        <f aca="false">IF(145&gt;MAX(Veri!$G$5:$G$2004),"",INDEX(Veri!$C$5:$C$2004,MATCH(145,Veri!$G$5:$G$2004,0)))</f>
        <v/>
      </c>
      <c r="L149" s="16" t="str">
        <f aca="false">IF(K149="","",SUMIFS(Veri!$E$5:$E$2004,Veri!$C$5:$C$2004,K149))</f>
        <v/>
      </c>
      <c r="M149" s="16" t="str">
        <f aca="false">IF(K149="","",L149+ROW()/1000000000)</f>
        <v/>
      </c>
      <c r="N149" s="16"/>
    </row>
    <row r="150" customFormat="false" ht="15" hidden="false" customHeight="false" outlineLevel="0" collapsed="false">
      <c r="A150" s="34" t="str">
        <f aca="false">IF(B150="","",146)</f>
        <v/>
      </c>
      <c r="B150" s="26" t="str">
        <f aca="false">IFERROR(INDEX($K$5:$K$204,MATCH(LARGE($M$5:$M$204,146),$M$5:$M$204,0)),"")</f>
        <v/>
      </c>
      <c r="C150" s="28" t="str">
        <f aca="false">IF(B150="","",SUMIFS(Veri!$D$5:$D$2004,Veri!$C$5:$C$2004,B150))</f>
        <v/>
      </c>
      <c r="D150" s="27" t="str">
        <f aca="false">IF(B150="","",SUMIFS(Veri!$E$5:$E$2004,Veri!$C$5:$C$2004,B150))</f>
        <v/>
      </c>
      <c r="E150" s="35" t="str">
        <f aca="false">IF(B150="","",IF(SUM(Veri!$E$5:$E$2004)=0,0,D150/SUM(Veri!$E$5:$E$2004)))</f>
        <v/>
      </c>
      <c r="F150" s="35" t="str">
        <f aca="false">IF(B150="","",SUM(E$5:E150))</f>
        <v/>
      </c>
      <c r="G150" s="36" t="str">
        <f aca="false">IF(B150="","",IF(F149&lt;0.8,"A",IF(F149&lt;0.95,"B","C")))</f>
        <v/>
      </c>
      <c r="H150" s="27" t="str">
        <f aca="false">IF(OR(B150="",C150=0),"",D150/C150)</f>
        <v/>
      </c>
      <c r="I150" s="37" t="str">
        <f aca="false">IF(B150="","",SUMPRODUCT(MAX((Veri!$C$5:$C$2004=B150)*Veri!$A$5:$A$2004)))</f>
        <v/>
      </c>
      <c r="J150" s="26"/>
      <c r="K150" s="26" t="str">
        <f aca="false">IF(146&gt;MAX(Veri!$G$5:$G$2004),"",INDEX(Veri!$C$5:$C$2004,MATCH(146,Veri!$G$5:$G$2004,0)))</f>
        <v/>
      </c>
      <c r="L150" s="26" t="str">
        <f aca="false">IF(K150="","",SUMIFS(Veri!$E$5:$E$2004,Veri!$C$5:$C$2004,K150))</f>
        <v/>
      </c>
      <c r="M150" s="26" t="str">
        <f aca="false">IF(K150="","",L150+ROW()/1000000000)</f>
        <v/>
      </c>
      <c r="N150" s="26"/>
    </row>
    <row r="151" customFormat="false" ht="15" hidden="false" customHeight="false" outlineLevel="0" collapsed="false">
      <c r="A151" s="30" t="str">
        <f aca="false">IF(B151="","",147)</f>
        <v/>
      </c>
      <c r="B151" s="16" t="str">
        <f aca="false">IFERROR(INDEX($K$5:$K$204,MATCH(LARGE($M$5:$M$204,147),$M$5:$M$204,0)),"")</f>
        <v/>
      </c>
      <c r="C151" s="24" t="str">
        <f aca="false">IF(B151="","",SUMIFS(Veri!$D$5:$D$2004,Veri!$C$5:$C$2004,B151))</f>
        <v/>
      </c>
      <c r="D151" s="23" t="str">
        <f aca="false">IF(B151="","",SUMIFS(Veri!$E$5:$E$2004,Veri!$C$5:$C$2004,B151))</f>
        <v/>
      </c>
      <c r="E151" s="31" t="str">
        <f aca="false">IF(B151="","",IF(SUM(Veri!$E$5:$E$2004)=0,0,D151/SUM(Veri!$E$5:$E$2004)))</f>
        <v/>
      </c>
      <c r="F151" s="31" t="str">
        <f aca="false">IF(B151="","",SUM(E$5:E151))</f>
        <v/>
      </c>
      <c r="G151" s="32" t="str">
        <f aca="false">IF(B151="","",IF(F150&lt;0.8,"A",IF(F150&lt;0.95,"B","C")))</f>
        <v/>
      </c>
      <c r="H151" s="23" t="str">
        <f aca="false">IF(OR(B151="",C151=0),"",D151/C151)</f>
        <v/>
      </c>
      <c r="I151" s="33" t="str">
        <f aca="false">IF(B151="","",SUMPRODUCT(MAX((Veri!$C$5:$C$2004=B151)*Veri!$A$5:$A$2004)))</f>
        <v/>
      </c>
      <c r="J151" s="16"/>
      <c r="K151" s="16" t="str">
        <f aca="false">IF(147&gt;MAX(Veri!$G$5:$G$2004),"",INDEX(Veri!$C$5:$C$2004,MATCH(147,Veri!$G$5:$G$2004,0)))</f>
        <v/>
      </c>
      <c r="L151" s="16" t="str">
        <f aca="false">IF(K151="","",SUMIFS(Veri!$E$5:$E$2004,Veri!$C$5:$C$2004,K151))</f>
        <v/>
      </c>
      <c r="M151" s="16" t="str">
        <f aca="false">IF(K151="","",L151+ROW()/1000000000)</f>
        <v/>
      </c>
      <c r="N151" s="16"/>
    </row>
    <row r="152" customFormat="false" ht="15" hidden="false" customHeight="false" outlineLevel="0" collapsed="false">
      <c r="A152" s="34" t="str">
        <f aca="false">IF(B152="","",148)</f>
        <v/>
      </c>
      <c r="B152" s="26" t="str">
        <f aca="false">IFERROR(INDEX($K$5:$K$204,MATCH(LARGE($M$5:$M$204,148),$M$5:$M$204,0)),"")</f>
        <v/>
      </c>
      <c r="C152" s="28" t="str">
        <f aca="false">IF(B152="","",SUMIFS(Veri!$D$5:$D$2004,Veri!$C$5:$C$2004,B152))</f>
        <v/>
      </c>
      <c r="D152" s="27" t="str">
        <f aca="false">IF(B152="","",SUMIFS(Veri!$E$5:$E$2004,Veri!$C$5:$C$2004,B152))</f>
        <v/>
      </c>
      <c r="E152" s="35" t="str">
        <f aca="false">IF(B152="","",IF(SUM(Veri!$E$5:$E$2004)=0,0,D152/SUM(Veri!$E$5:$E$2004)))</f>
        <v/>
      </c>
      <c r="F152" s="35" t="str">
        <f aca="false">IF(B152="","",SUM(E$5:E152))</f>
        <v/>
      </c>
      <c r="G152" s="36" t="str">
        <f aca="false">IF(B152="","",IF(F151&lt;0.8,"A",IF(F151&lt;0.95,"B","C")))</f>
        <v/>
      </c>
      <c r="H152" s="27" t="str">
        <f aca="false">IF(OR(B152="",C152=0),"",D152/C152)</f>
        <v/>
      </c>
      <c r="I152" s="37" t="str">
        <f aca="false">IF(B152="","",SUMPRODUCT(MAX((Veri!$C$5:$C$2004=B152)*Veri!$A$5:$A$2004)))</f>
        <v/>
      </c>
      <c r="J152" s="26"/>
      <c r="K152" s="26" t="str">
        <f aca="false">IF(148&gt;MAX(Veri!$G$5:$G$2004),"",INDEX(Veri!$C$5:$C$2004,MATCH(148,Veri!$G$5:$G$2004,0)))</f>
        <v/>
      </c>
      <c r="L152" s="26" t="str">
        <f aca="false">IF(K152="","",SUMIFS(Veri!$E$5:$E$2004,Veri!$C$5:$C$2004,K152))</f>
        <v/>
      </c>
      <c r="M152" s="26" t="str">
        <f aca="false">IF(K152="","",L152+ROW()/1000000000)</f>
        <v/>
      </c>
      <c r="N152" s="26"/>
    </row>
    <row r="153" customFormat="false" ht="15" hidden="false" customHeight="false" outlineLevel="0" collapsed="false">
      <c r="A153" s="30" t="str">
        <f aca="false">IF(B153="","",149)</f>
        <v/>
      </c>
      <c r="B153" s="16" t="str">
        <f aca="false">IFERROR(INDEX($K$5:$K$204,MATCH(LARGE($M$5:$M$204,149),$M$5:$M$204,0)),"")</f>
        <v/>
      </c>
      <c r="C153" s="24" t="str">
        <f aca="false">IF(B153="","",SUMIFS(Veri!$D$5:$D$2004,Veri!$C$5:$C$2004,B153))</f>
        <v/>
      </c>
      <c r="D153" s="23" t="str">
        <f aca="false">IF(B153="","",SUMIFS(Veri!$E$5:$E$2004,Veri!$C$5:$C$2004,B153))</f>
        <v/>
      </c>
      <c r="E153" s="31" t="str">
        <f aca="false">IF(B153="","",IF(SUM(Veri!$E$5:$E$2004)=0,0,D153/SUM(Veri!$E$5:$E$2004)))</f>
        <v/>
      </c>
      <c r="F153" s="31" t="str">
        <f aca="false">IF(B153="","",SUM(E$5:E153))</f>
        <v/>
      </c>
      <c r="G153" s="32" t="str">
        <f aca="false">IF(B153="","",IF(F152&lt;0.8,"A",IF(F152&lt;0.95,"B","C")))</f>
        <v/>
      </c>
      <c r="H153" s="23" t="str">
        <f aca="false">IF(OR(B153="",C153=0),"",D153/C153)</f>
        <v/>
      </c>
      <c r="I153" s="33" t="str">
        <f aca="false">IF(B153="","",SUMPRODUCT(MAX((Veri!$C$5:$C$2004=B153)*Veri!$A$5:$A$2004)))</f>
        <v/>
      </c>
      <c r="J153" s="16"/>
      <c r="K153" s="16" t="str">
        <f aca="false">IF(149&gt;MAX(Veri!$G$5:$G$2004),"",INDEX(Veri!$C$5:$C$2004,MATCH(149,Veri!$G$5:$G$2004,0)))</f>
        <v/>
      </c>
      <c r="L153" s="16" t="str">
        <f aca="false">IF(K153="","",SUMIFS(Veri!$E$5:$E$2004,Veri!$C$5:$C$2004,K153))</f>
        <v/>
      </c>
      <c r="M153" s="16" t="str">
        <f aca="false">IF(K153="","",L153+ROW()/1000000000)</f>
        <v/>
      </c>
      <c r="N153" s="16"/>
    </row>
    <row r="154" customFormat="false" ht="15" hidden="false" customHeight="false" outlineLevel="0" collapsed="false">
      <c r="A154" s="34" t="str">
        <f aca="false">IF(B154="","",150)</f>
        <v/>
      </c>
      <c r="B154" s="26" t="str">
        <f aca="false">IFERROR(INDEX($K$5:$K$204,MATCH(LARGE($M$5:$M$204,150),$M$5:$M$204,0)),"")</f>
        <v/>
      </c>
      <c r="C154" s="28" t="str">
        <f aca="false">IF(B154="","",SUMIFS(Veri!$D$5:$D$2004,Veri!$C$5:$C$2004,B154))</f>
        <v/>
      </c>
      <c r="D154" s="27" t="str">
        <f aca="false">IF(B154="","",SUMIFS(Veri!$E$5:$E$2004,Veri!$C$5:$C$2004,B154))</f>
        <v/>
      </c>
      <c r="E154" s="35" t="str">
        <f aca="false">IF(B154="","",IF(SUM(Veri!$E$5:$E$2004)=0,0,D154/SUM(Veri!$E$5:$E$2004)))</f>
        <v/>
      </c>
      <c r="F154" s="35" t="str">
        <f aca="false">IF(B154="","",SUM(E$5:E154))</f>
        <v/>
      </c>
      <c r="G154" s="36" t="str">
        <f aca="false">IF(B154="","",IF(F153&lt;0.8,"A",IF(F153&lt;0.95,"B","C")))</f>
        <v/>
      </c>
      <c r="H154" s="27" t="str">
        <f aca="false">IF(OR(B154="",C154=0),"",D154/C154)</f>
        <v/>
      </c>
      <c r="I154" s="37" t="str">
        <f aca="false">IF(B154="","",SUMPRODUCT(MAX((Veri!$C$5:$C$2004=B154)*Veri!$A$5:$A$2004)))</f>
        <v/>
      </c>
      <c r="J154" s="26"/>
      <c r="K154" s="26" t="str">
        <f aca="false">IF(150&gt;MAX(Veri!$G$5:$G$2004),"",INDEX(Veri!$C$5:$C$2004,MATCH(150,Veri!$G$5:$G$2004,0)))</f>
        <v/>
      </c>
      <c r="L154" s="26" t="str">
        <f aca="false">IF(K154="","",SUMIFS(Veri!$E$5:$E$2004,Veri!$C$5:$C$2004,K154))</f>
        <v/>
      </c>
      <c r="M154" s="26" t="str">
        <f aca="false">IF(K154="","",L154+ROW()/1000000000)</f>
        <v/>
      </c>
      <c r="N154" s="26"/>
    </row>
    <row r="155" customFormat="false" ht="15" hidden="false" customHeight="false" outlineLevel="0" collapsed="false">
      <c r="A155" s="30" t="str">
        <f aca="false">IF(B155="","",151)</f>
        <v/>
      </c>
      <c r="B155" s="16" t="str">
        <f aca="false">IFERROR(INDEX($K$5:$K$204,MATCH(LARGE($M$5:$M$204,151),$M$5:$M$204,0)),"")</f>
        <v/>
      </c>
      <c r="C155" s="24" t="str">
        <f aca="false">IF(B155="","",SUMIFS(Veri!$D$5:$D$2004,Veri!$C$5:$C$2004,B155))</f>
        <v/>
      </c>
      <c r="D155" s="23" t="str">
        <f aca="false">IF(B155="","",SUMIFS(Veri!$E$5:$E$2004,Veri!$C$5:$C$2004,B155))</f>
        <v/>
      </c>
      <c r="E155" s="31" t="str">
        <f aca="false">IF(B155="","",IF(SUM(Veri!$E$5:$E$2004)=0,0,D155/SUM(Veri!$E$5:$E$2004)))</f>
        <v/>
      </c>
      <c r="F155" s="31" t="str">
        <f aca="false">IF(B155="","",SUM(E$5:E155))</f>
        <v/>
      </c>
      <c r="G155" s="32" t="str">
        <f aca="false">IF(B155="","",IF(F154&lt;0.8,"A",IF(F154&lt;0.95,"B","C")))</f>
        <v/>
      </c>
      <c r="H155" s="23" t="str">
        <f aca="false">IF(OR(B155="",C155=0),"",D155/C155)</f>
        <v/>
      </c>
      <c r="I155" s="33" t="str">
        <f aca="false">IF(B155="","",SUMPRODUCT(MAX((Veri!$C$5:$C$2004=B155)*Veri!$A$5:$A$2004)))</f>
        <v/>
      </c>
      <c r="J155" s="16"/>
      <c r="K155" s="16" t="str">
        <f aca="false">IF(151&gt;MAX(Veri!$G$5:$G$2004),"",INDEX(Veri!$C$5:$C$2004,MATCH(151,Veri!$G$5:$G$2004,0)))</f>
        <v/>
      </c>
      <c r="L155" s="16" t="str">
        <f aca="false">IF(K155="","",SUMIFS(Veri!$E$5:$E$2004,Veri!$C$5:$C$2004,K155))</f>
        <v/>
      </c>
      <c r="M155" s="16" t="str">
        <f aca="false">IF(K155="","",L155+ROW()/1000000000)</f>
        <v/>
      </c>
      <c r="N155" s="16"/>
    </row>
    <row r="156" customFormat="false" ht="15" hidden="false" customHeight="false" outlineLevel="0" collapsed="false">
      <c r="A156" s="34" t="str">
        <f aca="false">IF(B156="","",152)</f>
        <v/>
      </c>
      <c r="B156" s="26" t="str">
        <f aca="false">IFERROR(INDEX($K$5:$K$204,MATCH(LARGE($M$5:$M$204,152),$M$5:$M$204,0)),"")</f>
        <v/>
      </c>
      <c r="C156" s="28" t="str">
        <f aca="false">IF(B156="","",SUMIFS(Veri!$D$5:$D$2004,Veri!$C$5:$C$2004,B156))</f>
        <v/>
      </c>
      <c r="D156" s="27" t="str">
        <f aca="false">IF(B156="","",SUMIFS(Veri!$E$5:$E$2004,Veri!$C$5:$C$2004,B156))</f>
        <v/>
      </c>
      <c r="E156" s="35" t="str">
        <f aca="false">IF(B156="","",IF(SUM(Veri!$E$5:$E$2004)=0,0,D156/SUM(Veri!$E$5:$E$2004)))</f>
        <v/>
      </c>
      <c r="F156" s="35" t="str">
        <f aca="false">IF(B156="","",SUM(E$5:E156))</f>
        <v/>
      </c>
      <c r="G156" s="36" t="str">
        <f aca="false">IF(B156="","",IF(F155&lt;0.8,"A",IF(F155&lt;0.95,"B","C")))</f>
        <v/>
      </c>
      <c r="H156" s="27" t="str">
        <f aca="false">IF(OR(B156="",C156=0),"",D156/C156)</f>
        <v/>
      </c>
      <c r="I156" s="37" t="str">
        <f aca="false">IF(B156="","",SUMPRODUCT(MAX((Veri!$C$5:$C$2004=B156)*Veri!$A$5:$A$2004)))</f>
        <v/>
      </c>
      <c r="J156" s="26"/>
      <c r="K156" s="26" t="str">
        <f aca="false">IF(152&gt;MAX(Veri!$G$5:$G$2004),"",INDEX(Veri!$C$5:$C$2004,MATCH(152,Veri!$G$5:$G$2004,0)))</f>
        <v/>
      </c>
      <c r="L156" s="26" t="str">
        <f aca="false">IF(K156="","",SUMIFS(Veri!$E$5:$E$2004,Veri!$C$5:$C$2004,K156))</f>
        <v/>
      </c>
      <c r="M156" s="26" t="str">
        <f aca="false">IF(K156="","",L156+ROW()/1000000000)</f>
        <v/>
      </c>
      <c r="N156" s="26"/>
    </row>
    <row r="157" customFormat="false" ht="15" hidden="false" customHeight="false" outlineLevel="0" collapsed="false">
      <c r="A157" s="30" t="str">
        <f aca="false">IF(B157="","",153)</f>
        <v/>
      </c>
      <c r="B157" s="16" t="str">
        <f aca="false">IFERROR(INDEX($K$5:$K$204,MATCH(LARGE($M$5:$M$204,153),$M$5:$M$204,0)),"")</f>
        <v/>
      </c>
      <c r="C157" s="24" t="str">
        <f aca="false">IF(B157="","",SUMIFS(Veri!$D$5:$D$2004,Veri!$C$5:$C$2004,B157))</f>
        <v/>
      </c>
      <c r="D157" s="23" t="str">
        <f aca="false">IF(B157="","",SUMIFS(Veri!$E$5:$E$2004,Veri!$C$5:$C$2004,B157))</f>
        <v/>
      </c>
      <c r="E157" s="31" t="str">
        <f aca="false">IF(B157="","",IF(SUM(Veri!$E$5:$E$2004)=0,0,D157/SUM(Veri!$E$5:$E$2004)))</f>
        <v/>
      </c>
      <c r="F157" s="31" t="str">
        <f aca="false">IF(B157="","",SUM(E$5:E157))</f>
        <v/>
      </c>
      <c r="G157" s="32" t="str">
        <f aca="false">IF(B157="","",IF(F156&lt;0.8,"A",IF(F156&lt;0.95,"B","C")))</f>
        <v/>
      </c>
      <c r="H157" s="23" t="str">
        <f aca="false">IF(OR(B157="",C157=0),"",D157/C157)</f>
        <v/>
      </c>
      <c r="I157" s="33" t="str">
        <f aca="false">IF(B157="","",SUMPRODUCT(MAX((Veri!$C$5:$C$2004=B157)*Veri!$A$5:$A$2004)))</f>
        <v/>
      </c>
      <c r="J157" s="16"/>
      <c r="K157" s="16" t="str">
        <f aca="false">IF(153&gt;MAX(Veri!$G$5:$G$2004),"",INDEX(Veri!$C$5:$C$2004,MATCH(153,Veri!$G$5:$G$2004,0)))</f>
        <v/>
      </c>
      <c r="L157" s="16" t="str">
        <f aca="false">IF(K157="","",SUMIFS(Veri!$E$5:$E$2004,Veri!$C$5:$C$2004,K157))</f>
        <v/>
      </c>
      <c r="M157" s="16" t="str">
        <f aca="false">IF(K157="","",L157+ROW()/1000000000)</f>
        <v/>
      </c>
      <c r="N157" s="16"/>
    </row>
    <row r="158" customFormat="false" ht="15" hidden="false" customHeight="false" outlineLevel="0" collapsed="false">
      <c r="A158" s="34" t="str">
        <f aca="false">IF(B158="","",154)</f>
        <v/>
      </c>
      <c r="B158" s="26" t="str">
        <f aca="false">IFERROR(INDEX($K$5:$K$204,MATCH(LARGE($M$5:$M$204,154),$M$5:$M$204,0)),"")</f>
        <v/>
      </c>
      <c r="C158" s="28" t="str">
        <f aca="false">IF(B158="","",SUMIFS(Veri!$D$5:$D$2004,Veri!$C$5:$C$2004,B158))</f>
        <v/>
      </c>
      <c r="D158" s="27" t="str">
        <f aca="false">IF(B158="","",SUMIFS(Veri!$E$5:$E$2004,Veri!$C$5:$C$2004,B158))</f>
        <v/>
      </c>
      <c r="E158" s="35" t="str">
        <f aca="false">IF(B158="","",IF(SUM(Veri!$E$5:$E$2004)=0,0,D158/SUM(Veri!$E$5:$E$2004)))</f>
        <v/>
      </c>
      <c r="F158" s="35" t="str">
        <f aca="false">IF(B158="","",SUM(E$5:E158))</f>
        <v/>
      </c>
      <c r="G158" s="36" t="str">
        <f aca="false">IF(B158="","",IF(F157&lt;0.8,"A",IF(F157&lt;0.95,"B","C")))</f>
        <v/>
      </c>
      <c r="H158" s="27" t="str">
        <f aca="false">IF(OR(B158="",C158=0),"",D158/C158)</f>
        <v/>
      </c>
      <c r="I158" s="37" t="str">
        <f aca="false">IF(B158="","",SUMPRODUCT(MAX((Veri!$C$5:$C$2004=B158)*Veri!$A$5:$A$2004)))</f>
        <v/>
      </c>
      <c r="J158" s="26"/>
      <c r="K158" s="26" t="str">
        <f aca="false">IF(154&gt;MAX(Veri!$G$5:$G$2004),"",INDEX(Veri!$C$5:$C$2004,MATCH(154,Veri!$G$5:$G$2004,0)))</f>
        <v/>
      </c>
      <c r="L158" s="26" t="str">
        <f aca="false">IF(K158="","",SUMIFS(Veri!$E$5:$E$2004,Veri!$C$5:$C$2004,K158))</f>
        <v/>
      </c>
      <c r="M158" s="26" t="str">
        <f aca="false">IF(K158="","",L158+ROW()/1000000000)</f>
        <v/>
      </c>
      <c r="N158" s="26"/>
    </row>
    <row r="159" customFormat="false" ht="15" hidden="false" customHeight="false" outlineLevel="0" collapsed="false">
      <c r="A159" s="30" t="str">
        <f aca="false">IF(B159="","",155)</f>
        <v/>
      </c>
      <c r="B159" s="16" t="str">
        <f aca="false">IFERROR(INDEX($K$5:$K$204,MATCH(LARGE($M$5:$M$204,155),$M$5:$M$204,0)),"")</f>
        <v/>
      </c>
      <c r="C159" s="24" t="str">
        <f aca="false">IF(B159="","",SUMIFS(Veri!$D$5:$D$2004,Veri!$C$5:$C$2004,B159))</f>
        <v/>
      </c>
      <c r="D159" s="23" t="str">
        <f aca="false">IF(B159="","",SUMIFS(Veri!$E$5:$E$2004,Veri!$C$5:$C$2004,B159))</f>
        <v/>
      </c>
      <c r="E159" s="31" t="str">
        <f aca="false">IF(B159="","",IF(SUM(Veri!$E$5:$E$2004)=0,0,D159/SUM(Veri!$E$5:$E$2004)))</f>
        <v/>
      </c>
      <c r="F159" s="31" t="str">
        <f aca="false">IF(B159="","",SUM(E$5:E159))</f>
        <v/>
      </c>
      <c r="G159" s="32" t="str">
        <f aca="false">IF(B159="","",IF(F158&lt;0.8,"A",IF(F158&lt;0.95,"B","C")))</f>
        <v/>
      </c>
      <c r="H159" s="23" t="str">
        <f aca="false">IF(OR(B159="",C159=0),"",D159/C159)</f>
        <v/>
      </c>
      <c r="I159" s="33" t="str">
        <f aca="false">IF(B159="","",SUMPRODUCT(MAX((Veri!$C$5:$C$2004=B159)*Veri!$A$5:$A$2004)))</f>
        <v/>
      </c>
      <c r="J159" s="16"/>
      <c r="K159" s="16" t="str">
        <f aca="false">IF(155&gt;MAX(Veri!$G$5:$G$2004),"",INDEX(Veri!$C$5:$C$2004,MATCH(155,Veri!$G$5:$G$2004,0)))</f>
        <v/>
      </c>
      <c r="L159" s="16" t="str">
        <f aca="false">IF(K159="","",SUMIFS(Veri!$E$5:$E$2004,Veri!$C$5:$C$2004,K159))</f>
        <v/>
      </c>
      <c r="M159" s="16" t="str">
        <f aca="false">IF(K159="","",L159+ROW()/1000000000)</f>
        <v/>
      </c>
      <c r="N159" s="16"/>
    </row>
    <row r="160" customFormat="false" ht="15" hidden="false" customHeight="false" outlineLevel="0" collapsed="false">
      <c r="A160" s="34" t="str">
        <f aca="false">IF(B160="","",156)</f>
        <v/>
      </c>
      <c r="B160" s="26" t="str">
        <f aca="false">IFERROR(INDEX($K$5:$K$204,MATCH(LARGE($M$5:$M$204,156),$M$5:$M$204,0)),"")</f>
        <v/>
      </c>
      <c r="C160" s="28" t="str">
        <f aca="false">IF(B160="","",SUMIFS(Veri!$D$5:$D$2004,Veri!$C$5:$C$2004,B160))</f>
        <v/>
      </c>
      <c r="D160" s="27" t="str">
        <f aca="false">IF(B160="","",SUMIFS(Veri!$E$5:$E$2004,Veri!$C$5:$C$2004,B160))</f>
        <v/>
      </c>
      <c r="E160" s="35" t="str">
        <f aca="false">IF(B160="","",IF(SUM(Veri!$E$5:$E$2004)=0,0,D160/SUM(Veri!$E$5:$E$2004)))</f>
        <v/>
      </c>
      <c r="F160" s="35" t="str">
        <f aca="false">IF(B160="","",SUM(E$5:E160))</f>
        <v/>
      </c>
      <c r="G160" s="36" t="str">
        <f aca="false">IF(B160="","",IF(F159&lt;0.8,"A",IF(F159&lt;0.95,"B","C")))</f>
        <v/>
      </c>
      <c r="H160" s="27" t="str">
        <f aca="false">IF(OR(B160="",C160=0),"",D160/C160)</f>
        <v/>
      </c>
      <c r="I160" s="37" t="str">
        <f aca="false">IF(B160="","",SUMPRODUCT(MAX((Veri!$C$5:$C$2004=B160)*Veri!$A$5:$A$2004)))</f>
        <v/>
      </c>
      <c r="J160" s="26"/>
      <c r="K160" s="26" t="str">
        <f aca="false">IF(156&gt;MAX(Veri!$G$5:$G$2004),"",INDEX(Veri!$C$5:$C$2004,MATCH(156,Veri!$G$5:$G$2004,0)))</f>
        <v/>
      </c>
      <c r="L160" s="26" t="str">
        <f aca="false">IF(K160="","",SUMIFS(Veri!$E$5:$E$2004,Veri!$C$5:$C$2004,K160))</f>
        <v/>
      </c>
      <c r="M160" s="26" t="str">
        <f aca="false">IF(K160="","",L160+ROW()/1000000000)</f>
        <v/>
      </c>
      <c r="N160" s="26"/>
    </row>
    <row r="161" customFormat="false" ht="15" hidden="false" customHeight="false" outlineLevel="0" collapsed="false">
      <c r="A161" s="30" t="str">
        <f aca="false">IF(B161="","",157)</f>
        <v/>
      </c>
      <c r="B161" s="16" t="str">
        <f aca="false">IFERROR(INDEX($K$5:$K$204,MATCH(LARGE($M$5:$M$204,157),$M$5:$M$204,0)),"")</f>
        <v/>
      </c>
      <c r="C161" s="24" t="str">
        <f aca="false">IF(B161="","",SUMIFS(Veri!$D$5:$D$2004,Veri!$C$5:$C$2004,B161))</f>
        <v/>
      </c>
      <c r="D161" s="23" t="str">
        <f aca="false">IF(B161="","",SUMIFS(Veri!$E$5:$E$2004,Veri!$C$5:$C$2004,B161))</f>
        <v/>
      </c>
      <c r="E161" s="31" t="str">
        <f aca="false">IF(B161="","",IF(SUM(Veri!$E$5:$E$2004)=0,0,D161/SUM(Veri!$E$5:$E$2004)))</f>
        <v/>
      </c>
      <c r="F161" s="31" t="str">
        <f aca="false">IF(B161="","",SUM(E$5:E161))</f>
        <v/>
      </c>
      <c r="G161" s="32" t="str">
        <f aca="false">IF(B161="","",IF(F160&lt;0.8,"A",IF(F160&lt;0.95,"B","C")))</f>
        <v/>
      </c>
      <c r="H161" s="23" t="str">
        <f aca="false">IF(OR(B161="",C161=0),"",D161/C161)</f>
        <v/>
      </c>
      <c r="I161" s="33" t="str">
        <f aca="false">IF(B161="","",SUMPRODUCT(MAX((Veri!$C$5:$C$2004=B161)*Veri!$A$5:$A$2004)))</f>
        <v/>
      </c>
      <c r="J161" s="16"/>
      <c r="K161" s="16" t="str">
        <f aca="false">IF(157&gt;MAX(Veri!$G$5:$G$2004),"",INDEX(Veri!$C$5:$C$2004,MATCH(157,Veri!$G$5:$G$2004,0)))</f>
        <v/>
      </c>
      <c r="L161" s="16" t="str">
        <f aca="false">IF(K161="","",SUMIFS(Veri!$E$5:$E$2004,Veri!$C$5:$C$2004,K161))</f>
        <v/>
      </c>
      <c r="M161" s="16" t="str">
        <f aca="false">IF(K161="","",L161+ROW()/1000000000)</f>
        <v/>
      </c>
      <c r="N161" s="16"/>
    </row>
    <row r="162" customFormat="false" ht="15" hidden="false" customHeight="false" outlineLevel="0" collapsed="false">
      <c r="A162" s="34" t="str">
        <f aca="false">IF(B162="","",158)</f>
        <v/>
      </c>
      <c r="B162" s="26" t="str">
        <f aca="false">IFERROR(INDEX($K$5:$K$204,MATCH(LARGE($M$5:$M$204,158),$M$5:$M$204,0)),"")</f>
        <v/>
      </c>
      <c r="C162" s="28" t="str">
        <f aca="false">IF(B162="","",SUMIFS(Veri!$D$5:$D$2004,Veri!$C$5:$C$2004,B162))</f>
        <v/>
      </c>
      <c r="D162" s="27" t="str">
        <f aca="false">IF(B162="","",SUMIFS(Veri!$E$5:$E$2004,Veri!$C$5:$C$2004,B162))</f>
        <v/>
      </c>
      <c r="E162" s="35" t="str">
        <f aca="false">IF(B162="","",IF(SUM(Veri!$E$5:$E$2004)=0,0,D162/SUM(Veri!$E$5:$E$2004)))</f>
        <v/>
      </c>
      <c r="F162" s="35" t="str">
        <f aca="false">IF(B162="","",SUM(E$5:E162))</f>
        <v/>
      </c>
      <c r="G162" s="36" t="str">
        <f aca="false">IF(B162="","",IF(F161&lt;0.8,"A",IF(F161&lt;0.95,"B","C")))</f>
        <v/>
      </c>
      <c r="H162" s="27" t="str">
        <f aca="false">IF(OR(B162="",C162=0),"",D162/C162)</f>
        <v/>
      </c>
      <c r="I162" s="37" t="str">
        <f aca="false">IF(B162="","",SUMPRODUCT(MAX((Veri!$C$5:$C$2004=B162)*Veri!$A$5:$A$2004)))</f>
        <v/>
      </c>
      <c r="J162" s="26"/>
      <c r="K162" s="26" t="str">
        <f aca="false">IF(158&gt;MAX(Veri!$G$5:$G$2004),"",INDEX(Veri!$C$5:$C$2004,MATCH(158,Veri!$G$5:$G$2004,0)))</f>
        <v/>
      </c>
      <c r="L162" s="26" t="str">
        <f aca="false">IF(K162="","",SUMIFS(Veri!$E$5:$E$2004,Veri!$C$5:$C$2004,K162))</f>
        <v/>
      </c>
      <c r="M162" s="26" t="str">
        <f aca="false">IF(K162="","",L162+ROW()/1000000000)</f>
        <v/>
      </c>
      <c r="N162" s="26"/>
    </row>
    <row r="163" customFormat="false" ht="15" hidden="false" customHeight="false" outlineLevel="0" collapsed="false">
      <c r="A163" s="30" t="str">
        <f aca="false">IF(B163="","",159)</f>
        <v/>
      </c>
      <c r="B163" s="16" t="str">
        <f aca="false">IFERROR(INDEX($K$5:$K$204,MATCH(LARGE($M$5:$M$204,159),$M$5:$M$204,0)),"")</f>
        <v/>
      </c>
      <c r="C163" s="24" t="str">
        <f aca="false">IF(B163="","",SUMIFS(Veri!$D$5:$D$2004,Veri!$C$5:$C$2004,B163))</f>
        <v/>
      </c>
      <c r="D163" s="23" t="str">
        <f aca="false">IF(B163="","",SUMIFS(Veri!$E$5:$E$2004,Veri!$C$5:$C$2004,B163))</f>
        <v/>
      </c>
      <c r="E163" s="31" t="str">
        <f aca="false">IF(B163="","",IF(SUM(Veri!$E$5:$E$2004)=0,0,D163/SUM(Veri!$E$5:$E$2004)))</f>
        <v/>
      </c>
      <c r="F163" s="31" t="str">
        <f aca="false">IF(B163="","",SUM(E$5:E163))</f>
        <v/>
      </c>
      <c r="G163" s="32" t="str">
        <f aca="false">IF(B163="","",IF(F162&lt;0.8,"A",IF(F162&lt;0.95,"B","C")))</f>
        <v/>
      </c>
      <c r="H163" s="23" t="str">
        <f aca="false">IF(OR(B163="",C163=0),"",D163/C163)</f>
        <v/>
      </c>
      <c r="I163" s="33" t="str">
        <f aca="false">IF(B163="","",SUMPRODUCT(MAX((Veri!$C$5:$C$2004=B163)*Veri!$A$5:$A$2004)))</f>
        <v/>
      </c>
      <c r="J163" s="16"/>
      <c r="K163" s="16" t="str">
        <f aca="false">IF(159&gt;MAX(Veri!$G$5:$G$2004),"",INDEX(Veri!$C$5:$C$2004,MATCH(159,Veri!$G$5:$G$2004,0)))</f>
        <v/>
      </c>
      <c r="L163" s="16" t="str">
        <f aca="false">IF(K163="","",SUMIFS(Veri!$E$5:$E$2004,Veri!$C$5:$C$2004,K163))</f>
        <v/>
      </c>
      <c r="M163" s="16" t="str">
        <f aca="false">IF(K163="","",L163+ROW()/1000000000)</f>
        <v/>
      </c>
      <c r="N163" s="16"/>
    </row>
    <row r="164" customFormat="false" ht="15" hidden="false" customHeight="false" outlineLevel="0" collapsed="false">
      <c r="A164" s="34" t="str">
        <f aca="false">IF(B164="","",160)</f>
        <v/>
      </c>
      <c r="B164" s="26" t="str">
        <f aca="false">IFERROR(INDEX($K$5:$K$204,MATCH(LARGE($M$5:$M$204,160),$M$5:$M$204,0)),"")</f>
        <v/>
      </c>
      <c r="C164" s="28" t="str">
        <f aca="false">IF(B164="","",SUMIFS(Veri!$D$5:$D$2004,Veri!$C$5:$C$2004,B164))</f>
        <v/>
      </c>
      <c r="D164" s="27" t="str">
        <f aca="false">IF(B164="","",SUMIFS(Veri!$E$5:$E$2004,Veri!$C$5:$C$2004,B164))</f>
        <v/>
      </c>
      <c r="E164" s="35" t="str">
        <f aca="false">IF(B164="","",IF(SUM(Veri!$E$5:$E$2004)=0,0,D164/SUM(Veri!$E$5:$E$2004)))</f>
        <v/>
      </c>
      <c r="F164" s="35" t="str">
        <f aca="false">IF(B164="","",SUM(E$5:E164))</f>
        <v/>
      </c>
      <c r="G164" s="36" t="str">
        <f aca="false">IF(B164="","",IF(F163&lt;0.8,"A",IF(F163&lt;0.95,"B","C")))</f>
        <v/>
      </c>
      <c r="H164" s="27" t="str">
        <f aca="false">IF(OR(B164="",C164=0),"",D164/C164)</f>
        <v/>
      </c>
      <c r="I164" s="37" t="str">
        <f aca="false">IF(B164="","",SUMPRODUCT(MAX((Veri!$C$5:$C$2004=B164)*Veri!$A$5:$A$2004)))</f>
        <v/>
      </c>
      <c r="J164" s="26"/>
      <c r="K164" s="26" t="str">
        <f aca="false">IF(160&gt;MAX(Veri!$G$5:$G$2004),"",INDEX(Veri!$C$5:$C$2004,MATCH(160,Veri!$G$5:$G$2004,0)))</f>
        <v/>
      </c>
      <c r="L164" s="26" t="str">
        <f aca="false">IF(K164="","",SUMIFS(Veri!$E$5:$E$2004,Veri!$C$5:$C$2004,K164))</f>
        <v/>
      </c>
      <c r="M164" s="26" t="str">
        <f aca="false">IF(K164="","",L164+ROW()/1000000000)</f>
        <v/>
      </c>
      <c r="N164" s="26"/>
    </row>
    <row r="165" customFormat="false" ht="15" hidden="false" customHeight="false" outlineLevel="0" collapsed="false">
      <c r="A165" s="30" t="str">
        <f aca="false">IF(B165="","",161)</f>
        <v/>
      </c>
      <c r="B165" s="16" t="str">
        <f aca="false">IFERROR(INDEX($K$5:$K$204,MATCH(LARGE($M$5:$M$204,161),$M$5:$M$204,0)),"")</f>
        <v/>
      </c>
      <c r="C165" s="24" t="str">
        <f aca="false">IF(B165="","",SUMIFS(Veri!$D$5:$D$2004,Veri!$C$5:$C$2004,B165))</f>
        <v/>
      </c>
      <c r="D165" s="23" t="str">
        <f aca="false">IF(B165="","",SUMIFS(Veri!$E$5:$E$2004,Veri!$C$5:$C$2004,B165))</f>
        <v/>
      </c>
      <c r="E165" s="31" t="str">
        <f aca="false">IF(B165="","",IF(SUM(Veri!$E$5:$E$2004)=0,0,D165/SUM(Veri!$E$5:$E$2004)))</f>
        <v/>
      </c>
      <c r="F165" s="31" t="str">
        <f aca="false">IF(B165="","",SUM(E$5:E165))</f>
        <v/>
      </c>
      <c r="G165" s="32" t="str">
        <f aca="false">IF(B165="","",IF(F164&lt;0.8,"A",IF(F164&lt;0.95,"B","C")))</f>
        <v/>
      </c>
      <c r="H165" s="23" t="str">
        <f aca="false">IF(OR(B165="",C165=0),"",D165/C165)</f>
        <v/>
      </c>
      <c r="I165" s="33" t="str">
        <f aca="false">IF(B165="","",SUMPRODUCT(MAX((Veri!$C$5:$C$2004=B165)*Veri!$A$5:$A$2004)))</f>
        <v/>
      </c>
      <c r="J165" s="16"/>
      <c r="K165" s="16" t="str">
        <f aca="false">IF(161&gt;MAX(Veri!$G$5:$G$2004),"",INDEX(Veri!$C$5:$C$2004,MATCH(161,Veri!$G$5:$G$2004,0)))</f>
        <v/>
      </c>
      <c r="L165" s="16" t="str">
        <f aca="false">IF(K165="","",SUMIFS(Veri!$E$5:$E$2004,Veri!$C$5:$C$2004,K165))</f>
        <v/>
      </c>
      <c r="M165" s="16" t="str">
        <f aca="false">IF(K165="","",L165+ROW()/1000000000)</f>
        <v/>
      </c>
      <c r="N165" s="16"/>
    </row>
    <row r="166" customFormat="false" ht="15" hidden="false" customHeight="false" outlineLevel="0" collapsed="false">
      <c r="A166" s="34" t="str">
        <f aca="false">IF(B166="","",162)</f>
        <v/>
      </c>
      <c r="B166" s="26" t="str">
        <f aca="false">IFERROR(INDEX($K$5:$K$204,MATCH(LARGE($M$5:$M$204,162),$M$5:$M$204,0)),"")</f>
        <v/>
      </c>
      <c r="C166" s="28" t="str">
        <f aca="false">IF(B166="","",SUMIFS(Veri!$D$5:$D$2004,Veri!$C$5:$C$2004,B166))</f>
        <v/>
      </c>
      <c r="D166" s="27" t="str">
        <f aca="false">IF(B166="","",SUMIFS(Veri!$E$5:$E$2004,Veri!$C$5:$C$2004,B166))</f>
        <v/>
      </c>
      <c r="E166" s="35" t="str">
        <f aca="false">IF(B166="","",IF(SUM(Veri!$E$5:$E$2004)=0,0,D166/SUM(Veri!$E$5:$E$2004)))</f>
        <v/>
      </c>
      <c r="F166" s="35" t="str">
        <f aca="false">IF(B166="","",SUM(E$5:E166))</f>
        <v/>
      </c>
      <c r="G166" s="36" t="str">
        <f aca="false">IF(B166="","",IF(F165&lt;0.8,"A",IF(F165&lt;0.95,"B","C")))</f>
        <v/>
      </c>
      <c r="H166" s="27" t="str">
        <f aca="false">IF(OR(B166="",C166=0),"",D166/C166)</f>
        <v/>
      </c>
      <c r="I166" s="37" t="str">
        <f aca="false">IF(B166="","",SUMPRODUCT(MAX((Veri!$C$5:$C$2004=B166)*Veri!$A$5:$A$2004)))</f>
        <v/>
      </c>
      <c r="J166" s="26"/>
      <c r="K166" s="26" t="str">
        <f aca="false">IF(162&gt;MAX(Veri!$G$5:$G$2004),"",INDEX(Veri!$C$5:$C$2004,MATCH(162,Veri!$G$5:$G$2004,0)))</f>
        <v/>
      </c>
      <c r="L166" s="26" t="str">
        <f aca="false">IF(K166="","",SUMIFS(Veri!$E$5:$E$2004,Veri!$C$5:$C$2004,K166))</f>
        <v/>
      </c>
      <c r="M166" s="26" t="str">
        <f aca="false">IF(K166="","",L166+ROW()/1000000000)</f>
        <v/>
      </c>
      <c r="N166" s="26"/>
    </row>
    <row r="167" customFormat="false" ht="15" hidden="false" customHeight="false" outlineLevel="0" collapsed="false">
      <c r="A167" s="30" t="str">
        <f aca="false">IF(B167="","",163)</f>
        <v/>
      </c>
      <c r="B167" s="16" t="str">
        <f aca="false">IFERROR(INDEX($K$5:$K$204,MATCH(LARGE($M$5:$M$204,163),$M$5:$M$204,0)),"")</f>
        <v/>
      </c>
      <c r="C167" s="24" t="str">
        <f aca="false">IF(B167="","",SUMIFS(Veri!$D$5:$D$2004,Veri!$C$5:$C$2004,B167))</f>
        <v/>
      </c>
      <c r="D167" s="23" t="str">
        <f aca="false">IF(B167="","",SUMIFS(Veri!$E$5:$E$2004,Veri!$C$5:$C$2004,B167))</f>
        <v/>
      </c>
      <c r="E167" s="31" t="str">
        <f aca="false">IF(B167="","",IF(SUM(Veri!$E$5:$E$2004)=0,0,D167/SUM(Veri!$E$5:$E$2004)))</f>
        <v/>
      </c>
      <c r="F167" s="31" t="str">
        <f aca="false">IF(B167="","",SUM(E$5:E167))</f>
        <v/>
      </c>
      <c r="G167" s="32" t="str">
        <f aca="false">IF(B167="","",IF(F166&lt;0.8,"A",IF(F166&lt;0.95,"B","C")))</f>
        <v/>
      </c>
      <c r="H167" s="23" t="str">
        <f aca="false">IF(OR(B167="",C167=0),"",D167/C167)</f>
        <v/>
      </c>
      <c r="I167" s="33" t="str">
        <f aca="false">IF(B167="","",SUMPRODUCT(MAX((Veri!$C$5:$C$2004=B167)*Veri!$A$5:$A$2004)))</f>
        <v/>
      </c>
      <c r="J167" s="16"/>
      <c r="K167" s="16" t="str">
        <f aca="false">IF(163&gt;MAX(Veri!$G$5:$G$2004),"",INDEX(Veri!$C$5:$C$2004,MATCH(163,Veri!$G$5:$G$2004,0)))</f>
        <v/>
      </c>
      <c r="L167" s="16" t="str">
        <f aca="false">IF(K167="","",SUMIFS(Veri!$E$5:$E$2004,Veri!$C$5:$C$2004,K167))</f>
        <v/>
      </c>
      <c r="M167" s="16" t="str">
        <f aca="false">IF(K167="","",L167+ROW()/1000000000)</f>
        <v/>
      </c>
      <c r="N167" s="16"/>
    </row>
    <row r="168" customFormat="false" ht="15" hidden="false" customHeight="false" outlineLevel="0" collapsed="false">
      <c r="A168" s="34" t="str">
        <f aca="false">IF(B168="","",164)</f>
        <v/>
      </c>
      <c r="B168" s="26" t="str">
        <f aca="false">IFERROR(INDEX($K$5:$K$204,MATCH(LARGE($M$5:$M$204,164),$M$5:$M$204,0)),"")</f>
        <v/>
      </c>
      <c r="C168" s="28" t="str">
        <f aca="false">IF(B168="","",SUMIFS(Veri!$D$5:$D$2004,Veri!$C$5:$C$2004,B168))</f>
        <v/>
      </c>
      <c r="D168" s="27" t="str">
        <f aca="false">IF(B168="","",SUMIFS(Veri!$E$5:$E$2004,Veri!$C$5:$C$2004,B168))</f>
        <v/>
      </c>
      <c r="E168" s="35" t="str">
        <f aca="false">IF(B168="","",IF(SUM(Veri!$E$5:$E$2004)=0,0,D168/SUM(Veri!$E$5:$E$2004)))</f>
        <v/>
      </c>
      <c r="F168" s="35" t="str">
        <f aca="false">IF(B168="","",SUM(E$5:E168))</f>
        <v/>
      </c>
      <c r="G168" s="36" t="str">
        <f aca="false">IF(B168="","",IF(F167&lt;0.8,"A",IF(F167&lt;0.95,"B","C")))</f>
        <v/>
      </c>
      <c r="H168" s="27" t="str">
        <f aca="false">IF(OR(B168="",C168=0),"",D168/C168)</f>
        <v/>
      </c>
      <c r="I168" s="37" t="str">
        <f aca="false">IF(B168="","",SUMPRODUCT(MAX((Veri!$C$5:$C$2004=B168)*Veri!$A$5:$A$2004)))</f>
        <v/>
      </c>
      <c r="J168" s="26"/>
      <c r="K168" s="26" t="str">
        <f aca="false">IF(164&gt;MAX(Veri!$G$5:$G$2004),"",INDEX(Veri!$C$5:$C$2004,MATCH(164,Veri!$G$5:$G$2004,0)))</f>
        <v/>
      </c>
      <c r="L168" s="26" t="str">
        <f aca="false">IF(K168="","",SUMIFS(Veri!$E$5:$E$2004,Veri!$C$5:$C$2004,K168))</f>
        <v/>
      </c>
      <c r="M168" s="26" t="str">
        <f aca="false">IF(K168="","",L168+ROW()/1000000000)</f>
        <v/>
      </c>
      <c r="N168" s="26"/>
    </row>
    <row r="169" customFormat="false" ht="15" hidden="false" customHeight="false" outlineLevel="0" collapsed="false">
      <c r="A169" s="30" t="str">
        <f aca="false">IF(B169="","",165)</f>
        <v/>
      </c>
      <c r="B169" s="16" t="str">
        <f aca="false">IFERROR(INDEX($K$5:$K$204,MATCH(LARGE($M$5:$M$204,165),$M$5:$M$204,0)),"")</f>
        <v/>
      </c>
      <c r="C169" s="24" t="str">
        <f aca="false">IF(B169="","",SUMIFS(Veri!$D$5:$D$2004,Veri!$C$5:$C$2004,B169))</f>
        <v/>
      </c>
      <c r="D169" s="23" t="str">
        <f aca="false">IF(B169="","",SUMIFS(Veri!$E$5:$E$2004,Veri!$C$5:$C$2004,B169))</f>
        <v/>
      </c>
      <c r="E169" s="31" t="str">
        <f aca="false">IF(B169="","",IF(SUM(Veri!$E$5:$E$2004)=0,0,D169/SUM(Veri!$E$5:$E$2004)))</f>
        <v/>
      </c>
      <c r="F169" s="31" t="str">
        <f aca="false">IF(B169="","",SUM(E$5:E169))</f>
        <v/>
      </c>
      <c r="G169" s="32" t="str">
        <f aca="false">IF(B169="","",IF(F168&lt;0.8,"A",IF(F168&lt;0.95,"B","C")))</f>
        <v/>
      </c>
      <c r="H169" s="23" t="str">
        <f aca="false">IF(OR(B169="",C169=0),"",D169/C169)</f>
        <v/>
      </c>
      <c r="I169" s="33" t="str">
        <f aca="false">IF(B169="","",SUMPRODUCT(MAX((Veri!$C$5:$C$2004=B169)*Veri!$A$5:$A$2004)))</f>
        <v/>
      </c>
      <c r="J169" s="16"/>
      <c r="K169" s="16" t="str">
        <f aca="false">IF(165&gt;MAX(Veri!$G$5:$G$2004),"",INDEX(Veri!$C$5:$C$2004,MATCH(165,Veri!$G$5:$G$2004,0)))</f>
        <v/>
      </c>
      <c r="L169" s="16" t="str">
        <f aca="false">IF(K169="","",SUMIFS(Veri!$E$5:$E$2004,Veri!$C$5:$C$2004,K169))</f>
        <v/>
      </c>
      <c r="M169" s="16" t="str">
        <f aca="false">IF(K169="","",L169+ROW()/1000000000)</f>
        <v/>
      </c>
      <c r="N169" s="16"/>
    </row>
    <row r="170" customFormat="false" ht="15" hidden="false" customHeight="false" outlineLevel="0" collapsed="false">
      <c r="A170" s="34" t="str">
        <f aca="false">IF(B170="","",166)</f>
        <v/>
      </c>
      <c r="B170" s="26" t="str">
        <f aca="false">IFERROR(INDEX($K$5:$K$204,MATCH(LARGE($M$5:$M$204,166),$M$5:$M$204,0)),"")</f>
        <v/>
      </c>
      <c r="C170" s="28" t="str">
        <f aca="false">IF(B170="","",SUMIFS(Veri!$D$5:$D$2004,Veri!$C$5:$C$2004,B170))</f>
        <v/>
      </c>
      <c r="D170" s="27" t="str">
        <f aca="false">IF(B170="","",SUMIFS(Veri!$E$5:$E$2004,Veri!$C$5:$C$2004,B170))</f>
        <v/>
      </c>
      <c r="E170" s="35" t="str">
        <f aca="false">IF(B170="","",IF(SUM(Veri!$E$5:$E$2004)=0,0,D170/SUM(Veri!$E$5:$E$2004)))</f>
        <v/>
      </c>
      <c r="F170" s="35" t="str">
        <f aca="false">IF(B170="","",SUM(E$5:E170))</f>
        <v/>
      </c>
      <c r="G170" s="36" t="str">
        <f aca="false">IF(B170="","",IF(F169&lt;0.8,"A",IF(F169&lt;0.95,"B","C")))</f>
        <v/>
      </c>
      <c r="H170" s="27" t="str">
        <f aca="false">IF(OR(B170="",C170=0),"",D170/C170)</f>
        <v/>
      </c>
      <c r="I170" s="37" t="str">
        <f aca="false">IF(B170="","",SUMPRODUCT(MAX((Veri!$C$5:$C$2004=B170)*Veri!$A$5:$A$2004)))</f>
        <v/>
      </c>
      <c r="J170" s="26"/>
      <c r="K170" s="26" t="str">
        <f aca="false">IF(166&gt;MAX(Veri!$G$5:$G$2004),"",INDEX(Veri!$C$5:$C$2004,MATCH(166,Veri!$G$5:$G$2004,0)))</f>
        <v/>
      </c>
      <c r="L170" s="26" t="str">
        <f aca="false">IF(K170="","",SUMIFS(Veri!$E$5:$E$2004,Veri!$C$5:$C$2004,K170))</f>
        <v/>
      </c>
      <c r="M170" s="26" t="str">
        <f aca="false">IF(K170="","",L170+ROW()/1000000000)</f>
        <v/>
      </c>
      <c r="N170" s="26"/>
    </row>
    <row r="171" customFormat="false" ht="15" hidden="false" customHeight="false" outlineLevel="0" collapsed="false">
      <c r="A171" s="30" t="str">
        <f aca="false">IF(B171="","",167)</f>
        <v/>
      </c>
      <c r="B171" s="16" t="str">
        <f aca="false">IFERROR(INDEX($K$5:$K$204,MATCH(LARGE($M$5:$M$204,167),$M$5:$M$204,0)),"")</f>
        <v/>
      </c>
      <c r="C171" s="24" t="str">
        <f aca="false">IF(B171="","",SUMIFS(Veri!$D$5:$D$2004,Veri!$C$5:$C$2004,B171))</f>
        <v/>
      </c>
      <c r="D171" s="23" t="str">
        <f aca="false">IF(B171="","",SUMIFS(Veri!$E$5:$E$2004,Veri!$C$5:$C$2004,B171))</f>
        <v/>
      </c>
      <c r="E171" s="31" t="str">
        <f aca="false">IF(B171="","",IF(SUM(Veri!$E$5:$E$2004)=0,0,D171/SUM(Veri!$E$5:$E$2004)))</f>
        <v/>
      </c>
      <c r="F171" s="31" t="str">
        <f aca="false">IF(B171="","",SUM(E$5:E171))</f>
        <v/>
      </c>
      <c r="G171" s="32" t="str">
        <f aca="false">IF(B171="","",IF(F170&lt;0.8,"A",IF(F170&lt;0.95,"B","C")))</f>
        <v/>
      </c>
      <c r="H171" s="23" t="str">
        <f aca="false">IF(OR(B171="",C171=0),"",D171/C171)</f>
        <v/>
      </c>
      <c r="I171" s="33" t="str">
        <f aca="false">IF(B171="","",SUMPRODUCT(MAX((Veri!$C$5:$C$2004=B171)*Veri!$A$5:$A$2004)))</f>
        <v/>
      </c>
      <c r="J171" s="16"/>
      <c r="K171" s="16" t="str">
        <f aca="false">IF(167&gt;MAX(Veri!$G$5:$G$2004),"",INDEX(Veri!$C$5:$C$2004,MATCH(167,Veri!$G$5:$G$2004,0)))</f>
        <v/>
      </c>
      <c r="L171" s="16" t="str">
        <f aca="false">IF(K171="","",SUMIFS(Veri!$E$5:$E$2004,Veri!$C$5:$C$2004,K171))</f>
        <v/>
      </c>
      <c r="M171" s="16" t="str">
        <f aca="false">IF(K171="","",L171+ROW()/1000000000)</f>
        <v/>
      </c>
      <c r="N171" s="16"/>
    </row>
    <row r="172" customFormat="false" ht="15" hidden="false" customHeight="false" outlineLevel="0" collapsed="false">
      <c r="A172" s="34" t="str">
        <f aca="false">IF(B172="","",168)</f>
        <v/>
      </c>
      <c r="B172" s="26" t="str">
        <f aca="false">IFERROR(INDEX($K$5:$K$204,MATCH(LARGE($M$5:$M$204,168),$M$5:$M$204,0)),"")</f>
        <v/>
      </c>
      <c r="C172" s="28" t="str">
        <f aca="false">IF(B172="","",SUMIFS(Veri!$D$5:$D$2004,Veri!$C$5:$C$2004,B172))</f>
        <v/>
      </c>
      <c r="D172" s="27" t="str">
        <f aca="false">IF(B172="","",SUMIFS(Veri!$E$5:$E$2004,Veri!$C$5:$C$2004,B172))</f>
        <v/>
      </c>
      <c r="E172" s="35" t="str">
        <f aca="false">IF(B172="","",IF(SUM(Veri!$E$5:$E$2004)=0,0,D172/SUM(Veri!$E$5:$E$2004)))</f>
        <v/>
      </c>
      <c r="F172" s="35" t="str">
        <f aca="false">IF(B172="","",SUM(E$5:E172))</f>
        <v/>
      </c>
      <c r="G172" s="36" t="str">
        <f aca="false">IF(B172="","",IF(F171&lt;0.8,"A",IF(F171&lt;0.95,"B","C")))</f>
        <v/>
      </c>
      <c r="H172" s="27" t="str">
        <f aca="false">IF(OR(B172="",C172=0),"",D172/C172)</f>
        <v/>
      </c>
      <c r="I172" s="37" t="str">
        <f aca="false">IF(B172="","",SUMPRODUCT(MAX((Veri!$C$5:$C$2004=B172)*Veri!$A$5:$A$2004)))</f>
        <v/>
      </c>
      <c r="J172" s="26"/>
      <c r="K172" s="26" t="str">
        <f aca="false">IF(168&gt;MAX(Veri!$G$5:$G$2004),"",INDEX(Veri!$C$5:$C$2004,MATCH(168,Veri!$G$5:$G$2004,0)))</f>
        <v/>
      </c>
      <c r="L172" s="26" t="str">
        <f aca="false">IF(K172="","",SUMIFS(Veri!$E$5:$E$2004,Veri!$C$5:$C$2004,K172))</f>
        <v/>
      </c>
      <c r="M172" s="26" t="str">
        <f aca="false">IF(K172="","",L172+ROW()/1000000000)</f>
        <v/>
      </c>
      <c r="N172" s="26"/>
    </row>
    <row r="173" customFormat="false" ht="15" hidden="false" customHeight="false" outlineLevel="0" collapsed="false">
      <c r="A173" s="30" t="str">
        <f aca="false">IF(B173="","",169)</f>
        <v/>
      </c>
      <c r="B173" s="16" t="str">
        <f aca="false">IFERROR(INDEX($K$5:$K$204,MATCH(LARGE($M$5:$M$204,169),$M$5:$M$204,0)),"")</f>
        <v/>
      </c>
      <c r="C173" s="24" t="str">
        <f aca="false">IF(B173="","",SUMIFS(Veri!$D$5:$D$2004,Veri!$C$5:$C$2004,B173))</f>
        <v/>
      </c>
      <c r="D173" s="23" t="str">
        <f aca="false">IF(B173="","",SUMIFS(Veri!$E$5:$E$2004,Veri!$C$5:$C$2004,B173))</f>
        <v/>
      </c>
      <c r="E173" s="31" t="str">
        <f aca="false">IF(B173="","",IF(SUM(Veri!$E$5:$E$2004)=0,0,D173/SUM(Veri!$E$5:$E$2004)))</f>
        <v/>
      </c>
      <c r="F173" s="31" t="str">
        <f aca="false">IF(B173="","",SUM(E$5:E173))</f>
        <v/>
      </c>
      <c r="G173" s="32" t="str">
        <f aca="false">IF(B173="","",IF(F172&lt;0.8,"A",IF(F172&lt;0.95,"B","C")))</f>
        <v/>
      </c>
      <c r="H173" s="23" t="str">
        <f aca="false">IF(OR(B173="",C173=0),"",D173/C173)</f>
        <v/>
      </c>
      <c r="I173" s="33" t="str">
        <f aca="false">IF(B173="","",SUMPRODUCT(MAX((Veri!$C$5:$C$2004=B173)*Veri!$A$5:$A$2004)))</f>
        <v/>
      </c>
      <c r="J173" s="16"/>
      <c r="K173" s="16" t="str">
        <f aca="false">IF(169&gt;MAX(Veri!$G$5:$G$2004),"",INDEX(Veri!$C$5:$C$2004,MATCH(169,Veri!$G$5:$G$2004,0)))</f>
        <v/>
      </c>
      <c r="L173" s="16" t="str">
        <f aca="false">IF(K173="","",SUMIFS(Veri!$E$5:$E$2004,Veri!$C$5:$C$2004,K173))</f>
        <v/>
      </c>
      <c r="M173" s="16" t="str">
        <f aca="false">IF(K173="","",L173+ROW()/1000000000)</f>
        <v/>
      </c>
      <c r="N173" s="16"/>
    </row>
    <row r="174" customFormat="false" ht="15" hidden="false" customHeight="false" outlineLevel="0" collapsed="false">
      <c r="A174" s="34" t="str">
        <f aca="false">IF(B174="","",170)</f>
        <v/>
      </c>
      <c r="B174" s="26" t="str">
        <f aca="false">IFERROR(INDEX($K$5:$K$204,MATCH(LARGE($M$5:$M$204,170),$M$5:$M$204,0)),"")</f>
        <v/>
      </c>
      <c r="C174" s="28" t="str">
        <f aca="false">IF(B174="","",SUMIFS(Veri!$D$5:$D$2004,Veri!$C$5:$C$2004,B174))</f>
        <v/>
      </c>
      <c r="D174" s="27" t="str">
        <f aca="false">IF(B174="","",SUMIFS(Veri!$E$5:$E$2004,Veri!$C$5:$C$2004,B174))</f>
        <v/>
      </c>
      <c r="E174" s="35" t="str">
        <f aca="false">IF(B174="","",IF(SUM(Veri!$E$5:$E$2004)=0,0,D174/SUM(Veri!$E$5:$E$2004)))</f>
        <v/>
      </c>
      <c r="F174" s="35" t="str">
        <f aca="false">IF(B174="","",SUM(E$5:E174))</f>
        <v/>
      </c>
      <c r="G174" s="36" t="str">
        <f aca="false">IF(B174="","",IF(F173&lt;0.8,"A",IF(F173&lt;0.95,"B","C")))</f>
        <v/>
      </c>
      <c r="H174" s="27" t="str">
        <f aca="false">IF(OR(B174="",C174=0),"",D174/C174)</f>
        <v/>
      </c>
      <c r="I174" s="37" t="str">
        <f aca="false">IF(B174="","",SUMPRODUCT(MAX((Veri!$C$5:$C$2004=B174)*Veri!$A$5:$A$2004)))</f>
        <v/>
      </c>
      <c r="J174" s="26"/>
      <c r="K174" s="26" t="str">
        <f aca="false">IF(170&gt;MAX(Veri!$G$5:$G$2004),"",INDEX(Veri!$C$5:$C$2004,MATCH(170,Veri!$G$5:$G$2004,0)))</f>
        <v/>
      </c>
      <c r="L174" s="26" t="str">
        <f aca="false">IF(K174="","",SUMIFS(Veri!$E$5:$E$2004,Veri!$C$5:$C$2004,K174))</f>
        <v/>
      </c>
      <c r="M174" s="26" t="str">
        <f aca="false">IF(K174="","",L174+ROW()/1000000000)</f>
        <v/>
      </c>
      <c r="N174" s="26"/>
    </row>
    <row r="175" customFormat="false" ht="15" hidden="false" customHeight="false" outlineLevel="0" collapsed="false">
      <c r="A175" s="30" t="str">
        <f aca="false">IF(B175="","",171)</f>
        <v/>
      </c>
      <c r="B175" s="16" t="str">
        <f aca="false">IFERROR(INDEX($K$5:$K$204,MATCH(LARGE($M$5:$M$204,171),$M$5:$M$204,0)),"")</f>
        <v/>
      </c>
      <c r="C175" s="24" t="str">
        <f aca="false">IF(B175="","",SUMIFS(Veri!$D$5:$D$2004,Veri!$C$5:$C$2004,B175))</f>
        <v/>
      </c>
      <c r="D175" s="23" t="str">
        <f aca="false">IF(B175="","",SUMIFS(Veri!$E$5:$E$2004,Veri!$C$5:$C$2004,B175))</f>
        <v/>
      </c>
      <c r="E175" s="31" t="str">
        <f aca="false">IF(B175="","",IF(SUM(Veri!$E$5:$E$2004)=0,0,D175/SUM(Veri!$E$5:$E$2004)))</f>
        <v/>
      </c>
      <c r="F175" s="31" t="str">
        <f aca="false">IF(B175="","",SUM(E$5:E175))</f>
        <v/>
      </c>
      <c r="G175" s="32" t="str">
        <f aca="false">IF(B175="","",IF(F174&lt;0.8,"A",IF(F174&lt;0.95,"B","C")))</f>
        <v/>
      </c>
      <c r="H175" s="23" t="str">
        <f aca="false">IF(OR(B175="",C175=0),"",D175/C175)</f>
        <v/>
      </c>
      <c r="I175" s="33" t="str">
        <f aca="false">IF(B175="","",SUMPRODUCT(MAX((Veri!$C$5:$C$2004=B175)*Veri!$A$5:$A$2004)))</f>
        <v/>
      </c>
      <c r="J175" s="16"/>
      <c r="K175" s="16" t="str">
        <f aca="false">IF(171&gt;MAX(Veri!$G$5:$G$2004),"",INDEX(Veri!$C$5:$C$2004,MATCH(171,Veri!$G$5:$G$2004,0)))</f>
        <v/>
      </c>
      <c r="L175" s="16" t="str">
        <f aca="false">IF(K175="","",SUMIFS(Veri!$E$5:$E$2004,Veri!$C$5:$C$2004,K175))</f>
        <v/>
      </c>
      <c r="M175" s="16" t="str">
        <f aca="false">IF(K175="","",L175+ROW()/1000000000)</f>
        <v/>
      </c>
      <c r="N175" s="16"/>
    </row>
    <row r="176" customFormat="false" ht="15" hidden="false" customHeight="false" outlineLevel="0" collapsed="false">
      <c r="A176" s="34" t="str">
        <f aca="false">IF(B176="","",172)</f>
        <v/>
      </c>
      <c r="B176" s="26" t="str">
        <f aca="false">IFERROR(INDEX($K$5:$K$204,MATCH(LARGE($M$5:$M$204,172),$M$5:$M$204,0)),"")</f>
        <v/>
      </c>
      <c r="C176" s="28" t="str">
        <f aca="false">IF(B176="","",SUMIFS(Veri!$D$5:$D$2004,Veri!$C$5:$C$2004,B176))</f>
        <v/>
      </c>
      <c r="D176" s="27" t="str">
        <f aca="false">IF(B176="","",SUMIFS(Veri!$E$5:$E$2004,Veri!$C$5:$C$2004,B176))</f>
        <v/>
      </c>
      <c r="E176" s="35" t="str">
        <f aca="false">IF(B176="","",IF(SUM(Veri!$E$5:$E$2004)=0,0,D176/SUM(Veri!$E$5:$E$2004)))</f>
        <v/>
      </c>
      <c r="F176" s="35" t="str">
        <f aca="false">IF(B176="","",SUM(E$5:E176))</f>
        <v/>
      </c>
      <c r="G176" s="36" t="str">
        <f aca="false">IF(B176="","",IF(F175&lt;0.8,"A",IF(F175&lt;0.95,"B","C")))</f>
        <v/>
      </c>
      <c r="H176" s="27" t="str">
        <f aca="false">IF(OR(B176="",C176=0),"",D176/C176)</f>
        <v/>
      </c>
      <c r="I176" s="37" t="str">
        <f aca="false">IF(B176="","",SUMPRODUCT(MAX((Veri!$C$5:$C$2004=B176)*Veri!$A$5:$A$2004)))</f>
        <v/>
      </c>
      <c r="J176" s="26"/>
      <c r="K176" s="26" t="str">
        <f aca="false">IF(172&gt;MAX(Veri!$G$5:$G$2004),"",INDEX(Veri!$C$5:$C$2004,MATCH(172,Veri!$G$5:$G$2004,0)))</f>
        <v/>
      </c>
      <c r="L176" s="26" t="str">
        <f aca="false">IF(K176="","",SUMIFS(Veri!$E$5:$E$2004,Veri!$C$5:$C$2004,K176))</f>
        <v/>
      </c>
      <c r="M176" s="26" t="str">
        <f aca="false">IF(K176="","",L176+ROW()/1000000000)</f>
        <v/>
      </c>
      <c r="N176" s="26"/>
    </row>
    <row r="177" customFormat="false" ht="15" hidden="false" customHeight="false" outlineLevel="0" collapsed="false">
      <c r="A177" s="30" t="str">
        <f aca="false">IF(B177="","",173)</f>
        <v/>
      </c>
      <c r="B177" s="16" t="str">
        <f aca="false">IFERROR(INDEX($K$5:$K$204,MATCH(LARGE($M$5:$M$204,173),$M$5:$M$204,0)),"")</f>
        <v/>
      </c>
      <c r="C177" s="24" t="str">
        <f aca="false">IF(B177="","",SUMIFS(Veri!$D$5:$D$2004,Veri!$C$5:$C$2004,B177))</f>
        <v/>
      </c>
      <c r="D177" s="23" t="str">
        <f aca="false">IF(B177="","",SUMIFS(Veri!$E$5:$E$2004,Veri!$C$5:$C$2004,B177))</f>
        <v/>
      </c>
      <c r="E177" s="31" t="str">
        <f aca="false">IF(B177="","",IF(SUM(Veri!$E$5:$E$2004)=0,0,D177/SUM(Veri!$E$5:$E$2004)))</f>
        <v/>
      </c>
      <c r="F177" s="31" t="str">
        <f aca="false">IF(B177="","",SUM(E$5:E177))</f>
        <v/>
      </c>
      <c r="G177" s="32" t="str">
        <f aca="false">IF(B177="","",IF(F176&lt;0.8,"A",IF(F176&lt;0.95,"B","C")))</f>
        <v/>
      </c>
      <c r="H177" s="23" t="str">
        <f aca="false">IF(OR(B177="",C177=0),"",D177/C177)</f>
        <v/>
      </c>
      <c r="I177" s="33" t="str">
        <f aca="false">IF(B177="","",SUMPRODUCT(MAX((Veri!$C$5:$C$2004=B177)*Veri!$A$5:$A$2004)))</f>
        <v/>
      </c>
      <c r="J177" s="16"/>
      <c r="K177" s="16" t="str">
        <f aca="false">IF(173&gt;MAX(Veri!$G$5:$G$2004),"",INDEX(Veri!$C$5:$C$2004,MATCH(173,Veri!$G$5:$G$2004,0)))</f>
        <v/>
      </c>
      <c r="L177" s="16" t="str">
        <f aca="false">IF(K177="","",SUMIFS(Veri!$E$5:$E$2004,Veri!$C$5:$C$2004,K177))</f>
        <v/>
      </c>
      <c r="M177" s="16" t="str">
        <f aca="false">IF(K177="","",L177+ROW()/1000000000)</f>
        <v/>
      </c>
      <c r="N177" s="16"/>
    </row>
    <row r="178" customFormat="false" ht="15" hidden="false" customHeight="false" outlineLevel="0" collapsed="false">
      <c r="A178" s="34" t="str">
        <f aca="false">IF(B178="","",174)</f>
        <v/>
      </c>
      <c r="B178" s="26" t="str">
        <f aca="false">IFERROR(INDEX($K$5:$K$204,MATCH(LARGE($M$5:$M$204,174),$M$5:$M$204,0)),"")</f>
        <v/>
      </c>
      <c r="C178" s="28" t="str">
        <f aca="false">IF(B178="","",SUMIFS(Veri!$D$5:$D$2004,Veri!$C$5:$C$2004,B178))</f>
        <v/>
      </c>
      <c r="D178" s="27" t="str">
        <f aca="false">IF(B178="","",SUMIFS(Veri!$E$5:$E$2004,Veri!$C$5:$C$2004,B178))</f>
        <v/>
      </c>
      <c r="E178" s="35" t="str">
        <f aca="false">IF(B178="","",IF(SUM(Veri!$E$5:$E$2004)=0,0,D178/SUM(Veri!$E$5:$E$2004)))</f>
        <v/>
      </c>
      <c r="F178" s="35" t="str">
        <f aca="false">IF(B178="","",SUM(E$5:E178))</f>
        <v/>
      </c>
      <c r="G178" s="36" t="str">
        <f aca="false">IF(B178="","",IF(F177&lt;0.8,"A",IF(F177&lt;0.95,"B","C")))</f>
        <v/>
      </c>
      <c r="H178" s="27" t="str">
        <f aca="false">IF(OR(B178="",C178=0),"",D178/C178)</f>
        <v/>
      </c>
      <c r="I178" s="37" t="str">
        <f aca="false">IF(B178="","",SUMPRODUCT(MAX((Veri!$C$5:$C$2004=B178)*Veri!$A$5:$A$2004)))</f>
        <v/>
      </c>
      <c r="J178" s="26"/>
      <c r="K178" s="26" t="str">
        <f aca="false">IF(174&gt;MAX(Veri!$G$5:$G$2004),"",INDEX(Veri!$C$5:$C$2004,MATCH(174,Veri!$G$5:$G$2004,0)))</f>
        <v/>
      </c>
      <c r="L178" s="26" t="str">
        <f aca="false">IF(K178="","",SUMIFS(Veri!$E$5:$E$2004,Veri!$C$5:$C$2004,K178))</f>
        <v/>
      </c>
      <c r="M178" s="26" t="str">
        <f aca="false">IF(K178="","",L178+ROW()/1000000000)</f>
        <v/>
      </c>
      <c r="N178" s="26"/>
    </row>
    <row r="179" customFormat="false" ht="15" hidden="false" customHeight="false" outlineLevel="0" collapsed="false">
      <c r="A179" s="30" t="str">
        <f aca="false">IF(B179="","",175)</f>
        <v/>
      </c>
      <c r="B179" s="16" t="str">
        <f aca="false">IFERROR(INDEX($K$5:$K$204,MATCH(LARGE($M$5:$M$204,175),$M$5:$M$204,0)),"")</f>
        <v/>
      </c>
      <c r="C179" s="24" t="str">
        <f aca="false">IF(B179="","",SUMIFS(Veri!$D$5:$D$2004,Veri!$C$5:$C$2004,B179))</f>
        <v/>
      </c>
      <c r="D179" s="23" t="str">
        <f aca="false">IF(B179="","",SUMIFS(Veri!$E$5:$E$2004,Veri!$C$5:$C$2004,B179))</f>
        <v/>
      </c>
      <c r="E179" s="31" t="str">
        <f aca="false">IF(B179="","",IF(SUM(Veri!$E$5:$E$2004)=0,0,D179/SUM(Veri!$E$5:$E$2004)))</f>
        <v/>
      </c>
      <c r="F179" s="31" t="str">
        <f aca="false">IF(B179="","",SUM(E$5:E179))</f>
        <v/>
      </c>
      <c r="G179" s="32" t="str">
        <f aca="false">IF(B179="","",IF(F178&lt;0.8,"A",IF(F178&lt;0.95,"B","C")))</f>
        <v/>
      </c>
      <c r="H179" s="23" t="str">
        <f aca="false">IF(OR(B179="",C179=0),"",D179/C179)</f>
        <v/>
      </c>
      <c r="I179" s="33" t="str">
        <f aca="false">IF(B179="","",SUMPRODUCT(MAX((Veri!$C$5:$C$2004=B179)*Veri!$A$5:$A$2004)))</f>
        <v/>
      </c>
      <c r="J179" s="16"/>
      <c r="K179" s="16" t="str">
        <f aca="false">IF(175&gt;MAX(Veri!$G$5:$G$2004),"",INDEX(Veri!$C$5:$C$2004,MATCH(175,Veri!$G$5:$G$2004,0)))</f>
        <v/>
      </c>
      <c r="L179" s="16" t="str">
        <f aca="false">IF(K179="","",SUMIFS(Veri!$E$5:$E$2004,Veri!$C$5:$C$2004,K179))</f>
        <v/>
      </c>
      <c r="M179" s="16" t="str">
        <f aca="false">IF(K179="","",L179+ROW()/1000000000)</f>
        <v/>
      </c>
      <c r="N179" s="16"/>
    </row>
    <row r="180" customFormat="false" ht="15" hidden="false" customHeight="false" outlineLevel="0" collapsed="false">
      <c r="A180" s="34" t="str">
        <f aca="false">IF(B180="","",176)</f>
        <v/>
      </c>
      <c r="B180" s="26" t="str">
        <f aca="false">IFERROR(INDEX($K$5:$K$204,MATCH(LARGE($M$5:$M$204,176),$M$5:$M$204,0)),"")</f>
        <v/>
      </c>
      <c r="C180" s="28" t="str">
        <f aca="false">IF(B180="","",SUMIFS(Veri!$D$5:$D$2004,Veri!$C$5:$C$2004,B180))</f>
        <v/>
      </c>
      <c r="D180" s="27" t="str">
        <f aca="false">IF(B180="","",SUMIFS(Veri!$E$5:$E$2004,Veri!$C$5:$C$2004,B180))</f>
        <v/>
      </c>
      <c r="E180" s="35" t="str">
        <f aca="false">IF(B180="","",IF(SUM(Veri!$E$5:$E$2004)=0,0,D180/SUM(Veri!$E$5:$E$2004)))</f>
        <v/>
      </c>
      <c r="F180" s="35" t="str">
        <f aca="false">IF(B180="","",SUM(E$5:E180))</f>
        <v/>
      </c>
      <c r="G180" s="36" t="str">
        <f aca="false">IF(B180="","",IF(F179&lt;0.8,"A",IF(F179&lt;0.95,"B","C")))</f>
        <v/>
      </c>
      <c r="H180" s="27" t="str">
        <f aca="false">IF(OR(B180="",C180=0),"",D180/C180)</f>
        <v/>
      </c>
      <c r="I180" s="37" t="str">
        <f aca="false">IF(B180="","",SUMPRODUCT(MAX((Veri!$C$5:$C$2004=B180)*Veri!$A$5:$A$2004)))</f>
        <v/>
      </c>
      <c r="J180" s="26"/>
      <c r="K180" s="26" t="str">
        <f aca="false">IF(176&gt;MAX(Veri!$G$5:$G$2004),"",INDEX(Veri!$C$5:$C$2004,MATCH(176,Veri!$G$5:$G$2004,0)))</f>
        <v/>
      </c>
      <c r="L180" s="26" t="str">
        <f aca="false">IF(K180="","",SUMIFS(Veri!$E$5:$E$2004,Veri!$C$5:$C$2004,K180))</f>
        <v/>
      </c>
      <c r="M180" s="26" t="str">
        <f aca="false">IF(K180="","",L180+ROW()/1000000000)</f>
        <v/>
      </c>
      <c r="N180" s="26"/>
    </row>
    <row r="181" customFormat="false" ht="15" hidden="false" customHeight="false" outlineLevel="0" collapsed="false">
      <c r="A181" s="30" t="str">
        <f aca="false">IF(B181="","",177)</f>
        <v/>
      </c>
      <c r="B181" s="16" t="str">
        <f aca="false">IFERROR(INDEX($K$5:$K$204,MATCH(LARGE($M$5:$M$204,177),$M$5:$M$204,0)),"")</f>
        <v/>
      </c>
      <c r="C181" s="24" t="str">
        <f aca="false">IF(B181="","",SUMIFS(Veri!$D$5:$D$2004,Veri!$C$5:$C$2004,B181))</f>
        <v/>
      </c>
      <c r="D181" s="23" t="str">
        <f aca="false">IF(B181="","",SUMIFS(Veri!$E$5:$E$2004,Veri!$C$5:$C$2004,B181))</f>
        <v/>
      </c>
      <c r="E181" s="31" t="str">
        <f aca="false">IF(B181="","",IF(SUM(Veri!$E$5:$E$2004)=0,0,D181/SUM(Veri!$E$5:$E$2004)))</f>
        <v/>
      </c>
      <c r="F181" s="31" t="str">
        <f aca="false">IF(B181="","",SUM(E$5:E181))</f>
        <v/>
      </c>
      <c r="G181" s="32" t="str">
        <f aca="false">IF(B181="","",IF(F180&lt;0.8,"A",IF(F180&lt;0.95,"B","C")))</f>
        <v/>
      </c>
      <c r="H181" s="23" t="str">
        <f aca="false">IF(OR(B181="",C181=0),"",D181/C181)</f>
        <v/>
      </c>
      <c r="I181" s="33" t="str">
        <f aca="false">IF(B181="","",SUMPRODUCT(MAX((Veri!$C$5:$C$2004=B181)*Veri!$A$5:$A$2004)))</f>
        <v/>
      </c>
      <c r="J181" s="16"/>
      <c r="K181" s="16" t="str">
        <f aca="false">IF(177&gt;MAX(Veri!$G$5:$G$2004),"",INDEX(Veri!$C$5:$C$2004,MATCH(177,Veri!$G$5:$G$2004,0)))</f>
        <v/>
      </c>
      <c r="L181" s="16" t="str">
        <f aca="false">IF(K181="","",SUMIFS(Veri!$E$5:$E$2004,Veri!$C$5:$C$2004,K181))</f>
        <v/>
      </c>
      <c r="M181" s="16" t="str">
        <f aca="false">IF(K181="","",L181+ROW()/1000000000)</f>
        <v/>
      </c>
      <c r="N181" s="16"/>
    </row>
    <row r="182" customFormat="false" ht="15" hidden="false" customHeight="false" outlineLevel="0" collapsed="false">
      <c r="A182" s="34" t="str">
        <f aca="false">IF(B182="","",178)</f>
        <v/>
      </c>
      <c r="B182" s="26" t="str">
        <f aca="false">IFERROR(INDEX($K$5:$K$204,MATCH(LARGE($M$5:$M$204,178),$M$5:$M$204,0)),"")</f>
        <v/>
      </c>
      <c r="C182" s="28" t="str">
        <f aca="false">IF(B182="","",SUMIFS(Veri!$D$5:$D$2004,Veri!$C$5:$C$2004,B182))</f>
        <v/>
      </c>
      <c r="D182" s="27" t="str">
        <f aca="false">IF(B182="","",SUMIFS(Veri!$E$5:$E$2004,Veri!$C$5:$C$2004,B182))</f>
        <v/>
      </c>
      <c r="E182" s="35" t="str">
        <f aca="false">IF(B182="","",IF(SUM(Veri!$E$5:$E$2004)=0,0,D182/SUM(Veri!$E$5:$E$2004)))</f>
        <v/>
      </c>
      <c r="F182" s="35" t="str">
        <f aca="false">IF(B182="","",SUM(E$5:E182))</f>
        <v/>
      </c>
      <c r="G182" s="36" t="str">
        <f aca="false">IF(B182="","",IF(F181&lt;0.8,"A",IF(F181&lt;0.95,"B","C")))</f>
        <v/>
      </c>
      <c r="H182" s="27" t="str">
        <f aca="false">IF(OR(B182="",C182=0),"",D182/C182)</f>
        <v/>
      </c>
      <c r="I182" s="37" t="str">
        <f aca="false">IF(B182="","",SUMPRODUCT(MAX((Veri!$C$5:$C$2004=B182)*Veri!$A$5:$A$2004)))</f>
        <v/>
      </c>
      <c r="J182" s="26"/>
      <c r="K182" s="26" t="str">
        <f aca="false">IF(178&gt;MAX(Veri!$G$5:$G$2004),"",INDEX(Veri!$C$5:$C$2004,MATCH(178,Veri!$G$5:$G$2004,0)))</f>
        <v/>
      </c>
      <c r="L182" s="26" t="str">
        <f aca="false">IF(K182="","",SUMIFS(Veri!$E$5:$E$2004,Veri!$C$5:$C$2004,K182))</f>
        <v/>
      </c>
      <c r="M182" s="26" t="str">
        <f aca="false">IF(K182="","",L182+ROW()/1000000000)</f>
        <v/>
      </c>
      <c r="N182" s="26"/>
    </row>
    <row r="183" customFormat="false" ht="15" hidden="false" customHeight="false" outlineLevel="0" collapsed="false">
      <c r="A183" s="30" t="str">
        <f aca="false">IF(B183="","",179)</f>
        <v/>
      </c>
      <c r="B183" s="16" t="str">
        <f aca="false">IFERROR(INDEX($K$5:$K$204,MATCH(LARGE($M$5:$M$204,179),$M$5:$M$204,0)),"")</f>
        <v/>
      </c>
      <c r="C183" s="24" t="str">
        <f aca="false">IF(B183="","",SUMIFS(Veri!$D$5:$D$2004,Veri!$C$5:$C$2004,B183))</f>
        <v/>
      </c>
      <c r="D183" s="23" t="str">
        <f aca="false">IF(B183="","",SUMIFS(Veri!$E$5:$E$2004,Veri!$C$5:$C$2004,B183))</f>
        <v/>
      </c>
      <c r="E183" s="31" t="str">
        <f aca="false">IF(B183="","",IF(SUM(Veri!$E$5:$E$2004)=0,0,D183/SUM(Veri!$E$5:$E$2004)))</f>
        <v/>
      </c>
      <c r="F183" s="31" t="str">
        <f aca="false">IF(B183="","",SUM(E$5:E183))</f>
        <v/>
      </c>
      <c r="G183" s="32" t="str">
        <f aca="false">IF(B183="","",IF(F182&lt;0.8,"A",IF(F182&lt;0.95,"B","C")))</f>
        <v/>
      </c>
      <c r="H183" s="23" t="str">
        <f aca="false">IF(OR(B183="",C183=0),"",D183/C183)</f>
        <v/>
      </c>
      <c r="I183" s="33" t="str">
        <f aca="false">IF(B183="","",SUMPRODUCT(MAX((Veri!$C$5:$C$2004=B183)*Veri!$A$5:$A$2004)))</f>
        <v/>
      </c>
      <c r="J183" s="16"/>
      <c r="K183" s="16" t="str">
        <f aca="false">IF(179&gt;MAX(Veri!$G$5:$G$2004),"",INDEX(Veri!$C$5:$C$2004,MATCH(179,Veri!$G$5:$G$2004,0)))</f>
        <v/>
      </c>
      <c r="L183" s="16" t="str">
        <f aca="false">IF(K183="","",SUMIFS(Veri!$E$5:$E$2004,Veri!$C$5:$C$2004,K183))</f>
        <v/>
      </c>
      <c r="M183" s="16" t="str">
        <f aca="false">IF(K183="","",L183+ROW()/1000000000)</f>
        <v/>
      </c>
      <c r="N183" s="16"/>
    </row>
    <row r="184" customFormat="false" ht="15" hidden="false" customHeight="false" outlineLevel="0" collapsed="false">
      <c r="A184" s="34" t="str">
        <f aca="false">IF(B184="","",180)</f>
        <v/>
      </c>
      <c r="B184" s="26" t="str">
        <f aca="false">IFERROR(INDEX($K$5:$K$204,MATCH(LARGE($M$5:$M$204,180),$M$5:$M$204,0)),"")</f>
        <v/>
      </c>
      <c r="C184" s="28" t="str">
        <f aca="false">IF(B184="","",SUMIFS(Veri!$D$5:$D$2004,Veri!$C$5:$C$2004,B184))</f>
        <v/>
      </c>
      <c r="D184" s="27" t="str">
        <f aca="false">IF(B184="","",SUMIFS(Veri!$E$5:$E$2004,Veri!$C$5:$C$2004,B184))</f>
        <v/>
      </c>
      <c r="E184" s="35" t="str">
        <f aca="false">IF(B184="","",IF(SUM(Veri!$E$5:$E$2004)=0,0,D184/SUM(Veri!$E$5:$E$2004)))</f>
        <v/>
      </c>
      <c r="F184" s="35" t="str">
        <f aca="false">IF(B184="","",SUM(E$5:E184))</f>
        <v/>
      </c>
      <c r="G184" s="36" t="str">
        <f aca="false">IF(B184="","",IF(F183&lt;0.8,"A",IF(F183&lt;0.95,"B","C")))</f>
        <v/>
      </c>
      <c r="H184" s="27" t="str">
        <f aca="false">IF(OR(B184="",C184=0),"",D184/C184)</f>
        <v/>
      </c>
      <c r="I184" s="37" t="str">
        <f aca="false">IF(B184="","",SUMPRODUCT(MAX((Veri!$C$5:$C$2004=B184)*Veri!$A$5:$A$2004)))</f>
        <v/>
      </c>
      <c r="J184" s="26"/>
      <c r="K184" s="26" t="str">
        <f aca="false">IF(180&gt;MAX(Veri!$G$5:$G$2004),"",INDEX(Veri!$C$5:$C$2004,MATCH(180,Veri!$G$5:$G$2004,0)))</f>
        <v/>
      </c>
      <c r="L184" s="26" t="str">
        <f aca="false">IF(K184="","",SUMIFS(Veri!$E$5:$E$2004,Veri!$C$5:$C$2004,K184))</f>
        <v/>
      </c>
      <c r="M184" s="26" t="str">
        <f aca="false">IF(K184="","",L184+ROW()/1000000000)</f>
        <v/>
      </c>
      <c r="N184" s="26"/>
    </row>
    <row r="185" customFormat="false" ht="15" hidden="false" customHeight="false" outlineLevel="0" collapsed="false">
      <c r="A185" s="30" t="str">
        <f aca="false">IF(B185="","",181)</f>
        <v/>
      </c>
      <c r="B185" s="16" t="str">
        <f aca="false">IFERROR(INDEX($K$5:$K$204,MATCH(LARGE($M$5:$M$204,181),$M$5:$M$204,0)),"")</f>
        <v/>
      </c>
      <c r="C185" s="24" t="str">
        <f aca="false">IF(B185="","",SUMIFS(Veri!$D$5:$D$2004,Veri!$C$5:$C$2004,B185))</f>
        <v/>
      </c>
      <c r="D185" s="23" t="str">
        <f aca="false">IF(B185="","",SUMIFS(Veri!$E$5:$E$2004,Veri!$C$5:$C$2004,B185))</f>
        <v/>
      </c>
      <c r="E185" s="31" t="str">
        <f aca="false">IF(B185="","",IF(SUM(Veri!$E$5:$E$2004)=0,0,D185/SUM(Veri!$E$5:$E$2004)))</f>
        <v/>
      </c>
      <c r="F185" s="31" t="str">
        <f aca="false">IF(B185="","",SUM(E$5:E185))</f>
        <v/>
      </c>
      <c r="G185" s="32" t="str">
        <f aca="false">IF(B185="","",IF(F184&lt;0.8,"A",IF(F184&lt;0.95,"B","C")))</f>
        <v/>
      </c>
      <c r="H185" s="23" t="str">
        <f aca="false">IF(OR(B185="",C185=0),"",D185/C185)</f>
        <v/>
      </c>
      <c r="I185" s="33" t="str">
        <f aca="false">IF(B185="","",SUMPRODUCT(MAX((Veri!$C$5:$C$2004=B185)*Veri!$A$5:$A$2004)))</f>
        <v/>
      </c>
      <c r="J185" s="16"/>
      <c r="K185" s="16" t="str">
        <f aca="false">IF(181&gt;MAX(Veri!$G$5:$G$2004),"",INDEX(Veri!$C$5:$C$2004,MATCH(181,Veri!$G$5:$G$2004,0)))</f>
        <v/>
      </c>
      <c r="L185" s="16" t="str">
        <f aca="false">IF(K185="","",SUMIFS(Veri!$E$5:$E$2004,Veri!$C$5:$C$2004,K185))</f>
        <v/>
      </c>
      <c r="M185" s="16" t="str">
        <f aca="false">IF(K185="","",L185+ROW()/1000000000)</f>
        <v/>
      </c>
      <c r="N185" s="16"/>
    </row>
    <row r="186" customFormat="false" ht="15" hidden="false" customHeight="false" outlineLevel="0" collapsed="false">
      <c r="A186" s="34" t="str">
        <f aca="false">IF(B186="","",182)</f>
        <v/>
      </c>
      <c r="B186" s="26" t="str">
        <f aca="false">IFERROR(INDEX($K$5:$K$204,MATCH(LARGE($M$5:$M$204,182),$M$5:$M$204,0)),"")</f>
        <v/>
      </c>
      <c r="C186" s="28" t="str">
        <f aca="false">IF(B186="","",SUMIFS(Veri!$D$5:$D$2004,Veri!$C$5:$C$2004,B186))</f>
        <v/>
      </c>
      <c r="D186" s="27" t="str">
        <f aca="false">IF(B186="","",SUMIFS(Veri!$E$5:$E$2004,Veri!$C$5:$C$2004,B186))</f>
        <v/>
      </c>
      <c r="E186" s="35" t="str">
        <f aca="false">IF(B186="","",IF(SUM(Veri!$E$5:$E$2004)=0,0,D186/SUM(Veri!$E$5:$E$2004)))</f>
        <v/>
      </c>
      <c r="F186" s="35" t="str">
        <f aca="false">IF(B186="","",SUM(E$5:E186))</f>
        <v/>
      </c>
      <c r="G186" s="36" t="str">
        <f aca="false">IF(B186="","",IF(F185&lt;0.8,"A",IF(F185&lt;0.95,"B","C")))</f>
        <v/>
      </c>
      <c r="H186" s="27" t="str">
        <f aca="false">IF(OR(B186="",C186=0),"",D186/C186)</f>
        <v/>
      </c>
      <c r="I186" s="37" t="str">
        <f aca="false">IF(B186="","",SUMPRODUCT(MAX((Veri!$C$5:$C$2004=B186)*Veri!$A$5:$A$2004)))</f>
        <v/>
      </c>
      <c r="J186" s="26"/>
      <c r="K186" s="26" t="str">
        <f aca="false">IF(182&gt;MAX(Veri!$G$5:$G$2004),"",INDEX(Veri!$C$5:$C$2004,MATCH(182,Veri!$G$5:$G$2004,0)))</f>
        <v/>
      </c>
      <c r="L186" s="26" t="str">
        <f aca="false">IF(K186="","",SUMIFS(Veri!$E$5:$E$2004,Veri!$C$5:$C$2004,K186))</f>
        <v/>
      </c>
      <c r="M186" s="26" t="str">
        <f aca="false">IF(K186="","",L186+ROW()/1000000000)</f>
        <v/>
      </c>
      <c r="N186" s="26"/>
    </row>
    <row r="187" customFormat="false" ht="15" hidden="false" customHeight="false" outlineLevel="0" collapsed="false">
      <c r="A187" s="30" t="str">
        <f aca="false">IF(B187="","",183)</f>
        <v/>
      </c>
      <c r="B187" s="16" t="str">
        <f aca="false">IFERROR(INDEX($K$5:$K$204,MATCH(LARGE($M$5:$M$204,183),$M$5:$M$204,0)),"")</f>
        <v/>
      </c>
      <c r="C187" s="24" t="str">
        <f aca="false">IF(B187="","",SUMIFS(Veri!$D$5:$D$2004,Veri!$C$5:$C$2004,B187))</f>
        <v/>
      </c>
      <c r="D187" s="23" t="str">
        <f aca="false">IF(B187="","",SUMIFS(Veri!$E$5:$E$2004,Veri!$C$5:$C$2004,B187))</f>
        <v/>
      </c>
      <c r="E187" s="31" t="str">
        <f aca="false">IF(B187="","",IF(SUM(Veri!$E$5:$E$2004)=0,0,D187/SUM(Veri!$E$5:$E$2004)))</f>
        <v/>
      </c>
      <c r="F187" s="31" t="str">
        <f aca="false">IF(B187="","",SUM(E$5:E187))</f>
        <v/>
      </c>
      <c r="G187" s="32" t="str">
        <f aca="false">IF(B187="","",IF(F186&lt;0.8,"A",IF(F186&lt;0.95,"B","C")))</f>
        <v/>
      </c>
      <c r="H187" s="23" t="str">
        <f aca="false">IF(OR(B187="",C187=0),"",D187/C187)</f>
        <v/>
      </c>
      <c r="I187" s="33" t="str">
        <f aca="false">IF(B187="","",SUMPRODUCT(MAX((Veri!$C$5:$C$2004=B187)*Veri!$A$5:$A$2004)))</f>
        <v/>
      </c>
      <c r="J187" s="16"/>
      <c r="K187" s="16" t="str">
        <f aca="false">IF(183&gt;MAX(Veri!$G$5:$G$2004),"",INDEX(Veri!$C$5:$C$2004,MATCH(183,Veri!$G$5:$G$2004,0)))</f>
        <v/>
      </c>
      <c r="L187" s="16" t="str">
        <f aca="false">IF(K187="","",SUMIFS(Veri!$E$5:$E$2004,Veri!$C$5:$C$2004,K187))</f>
        <v/>
      </c>
      <c r="M187" s="16" t="str">
        <f aca="false">IF(K187="","",L187+ROW()/1000000000)</f>
        <v/>
      </c>
      <c r="N187" s="16"/>
    </row>
    <row r="188" customFormat="false" ht="15" hidden="false" customHeight="false" outlineLevel="0" collapsed="false">
      <c r="A188" s="34" t="str">
        <f aca="false">IF(B188="","",184)</f>
        <v/>
      </c>
      <c r="B188" s="26" t="str">
        <f aca="false">IFERROR(INDEX($K$5:$K$204,MATCH(LARGE($M$5:$M$204,184),$M$5:$M$204,0)),"")</f>
        <v/>
      </c>
      <c r="C188" s="28" t="str">
        <f aca="false">IF(B188="","",SUMIFS(Veri!$D$5:$D$2004,Veri!$C$5:$C$2004,B188))</f>
        <v/>
      </c>
      <c r="D188" s="27" t="str">
        <f aca="false">IF(B188="","",SUMIFS(Veri!$E$5:$E$2004,Veri!$C$5:$C$2004,B188))</f>
        <v/>
      </c>
      <c r="E188" s="35" t="str">
        <f aca="false">IF(B188="","",IF(SUM(Veri!$E$5:$E$2004)=0,0,D188/SUM(Veri!$E$5:$E$2004)))</f>
        <v/>
      </c>
      <c r="F188" s="35" t="str">
        <f aca="false">IF(B188="","",SUM(E$5:E188))</f>
        <v/>
      </c>
      <c r="G188" s="36" t="str">
        <f aca="false">IF(B188="","",IF(F187&lt;0.8,"A",IF(F187&lt;0.95,"B","C")))</f>
        <v/>
      </c>
      <c r="H188" s="27" t="str">
        <f aca="false">IF(OR(B188="",C188=0),"",D188/C188)</f>
        <v/>
      </c>
      <c r="I188" s="37" t="str">
        <f aca="false">IF(B188="","",SUMPRODUCT(MAX((Veri!$C$5:$C$2004=B188)*Veri!$A$5:$A$2004)))</f>
        <v/>
      </c>
      <c r="J188" s="26"/>
      <c r="K188" s="26" t="str">
        <f aca="false">IF(184&gt;MAX(Veri!$G$5:$G$2004),"",INDEX(Veri!$C$5:$C$2004,MATCH(184,Veri!$G$5:$G$2004,0)))</f>
        <v/>
      </c>
      <c r="L188" s="26" t="str">
        <f aca="false">IF(K188="","",SUMIFS(Veri!$E$5:$E$2004,Veri!$C$5:$C$2004,K188))</f>
        <v/>
      </c>
      <c r="M188" s="26" t="str">
        <f aca="false">IF(K188="","",L188+ROW()/1000000000)</f>
        <v/>
      </c>
      <c r="N188" s="26"/>
    </row>
    <row r="189" customFormat="false" ht="15" hidden="false" customHeight="false" outlineLevel="0" collapsed="false">
      <c r="A189" s="30" t="str">
        <f aca="false">IF(B189="","",185)</f>
        <v/>
      </c>
      <c r="B189" s="16" t="str">
        <f aca="false">IFERROR(INDEX($K$5:$K$204,MATCH(LARGE($M$5:$M$204,185),$M$5:$M$204,0)),"")</f>
        <v/>
      </c>
      <c r="C189" s="24" t="str">
        <f aca="false">IF(B189="","",SUMIFS(Veri!$D$5:$D$2004,Veri!$C$5:$C$2004,B189))</f>
        <v/>
      </c>
      <c r="D189" s="23" t="str">
        <f aca="false">IF(B189="","",SUMIFS(Veri!$E$5:$E$2004,Veri!$C$5:$C$2004,B189))</f>
        <v/>
      </c>
      <c r="E189" s="31" t="str">
        <f aca="false">IF(B189="","",IF(SUM(Veri!$E$5:$E$2004)=0,0,D189/SUM(Veri!$E$5:$E$2004)))</f>
        <v/>
      </c>
      <c r="F189" s="31" t="str">
        <f aca="false">IF(B189="","",SUM(E$5:E189))</f>
        <v/>
      </c>
      <c r="G189" s="32" t="str">
        <f aca="false">IF(B189="","",IF(F188&lt;0.8,"A",IF(F188&lt;0.95,"B","C")))</f>
        <v/>
      </c>
      <c r="H189" s="23" t="str">
        <f aca="false">IF(OR(B189="",C189=0),"",D189/C189)</f>
        <v/>
      </c>
      <c r="I189" s="33" t="str">
        <f aca="false">IF(B189="","",SUMPRODUCT(MAX((Veri!$C$5:$C$2004=B189)*Veri!$A$5:$A$2004)))</f>
        <v/>
      </c>
      <c r="J189" s="16"/>
      <c r="K189" s="16" t="str">
        <f aca="false">IF(185&gt;MAX(Veri!$G$5:$G$2004),"",INDEX(Veri!$C$5:$C$2004,MATCH(185,Veri!$G$5:$G$2004,0)))</f>
        <v/>
      </c>
      <c r="L189" s="16" t="str">
        <f aca="false">IF(K189="","",SUMIFS(Veri!$E$5:$E$2004,Veri!$C$5:$C$2004,K189))</f>
        <v/>
      </c>
      <c r="M189" s="16" t="str">
        <f aca="false">IF(K189="","",L189+ROW()/1000000000)</f>
        <v/>
      </c>
      <c r="N189" s="16"/>
    </row>
    <row r="190" customFormat="false" ht="15" hidden="false" customHeight="false" outlineLevel="0" collapsed="false">
      <c r="A190" s="34" t="str">
        <f aca="false">IF(B190="","",186)</f>
        <v/>
      </c>
      <c r="B190" s="26" t="str">
        <f aca="false">IFERROR(INDEX($K$5:$K$204,MATCH(LARGE($M$5:$M$204,186),$M$5:$M$204,0)),"")</f>
        <v/>
      </c>
      <c r="C190" s="28" t="str">
        <f aca="false">IF(B190="","",SUMIFS(Veri!$D$5:$D$2004,Veri!$C$5:$C$2004,B190))</f>
        <v/>
      </c>
      <c r="D190" s="27" t="str">
        <f aca="false">IF(B190="","",SUMIFS(Veri!$E$5:$E$2004,Veri!$C$5:$C$2004,B190))</f>
        <v/>
      </c>
      <c r="E190" s="35" t="str">
        <f aca="false">IF(B190="","",IF(SUM(Veri!$E$5:$E$2004)=0,0,D190/SUM(Veri!$E$5:$E$2004)))</f>
        <v/>
      </c>
      <c r="F190" s="35" t="str">
        <f aca="false">IF(B190="","",SUM(E$5:E190))</f>
        <v/>
      </c>
      <c r="G190" s="36" t="str">
        <f aca="false">IF(B190="","",IF(F189&lt;0.8,"A",IF(F189&lt;0.95,"B","C")))</f>
        <v/>
      </c>
      <c r="H190" s="27" t="str">
        <f aca="false">IF(OR(B190="",C190=0),"",D190/C190)</f>
        <v/>
      </c>
      <c r="I190" s="37" t="str">
        <f aca="false">IF(B190="","",SUMPRODUCT(MAX((Veri!$C$5:$C$2004=B190)*Veri!$A$5:$A$2004)))</f>
        <v/>
      </c>
      <c r="J190" s="26"/>
      <c r="K190" s="26" t="str">
        <f aca="false">IF(186&gt;MAX(Veri!$G$5:$G$2004),"",INDEX(Veri!$C$5:$C$2004,MATCH(186,Veri!$G$5:$G$2004,0)))</f>
        <v/>
      </c>
      <c r="L190" s="26" t="str">
        <f aca="false">IF(K190="","",SUMIFS(Veri!$E$5:$E$2004,Veri!$C$5:$C$2004,K190))</f>
        <v/>
      </c>
      <c r="M190" s="26" t="str">
        <f aca="false">IF(K190="","",L190+ROW()/1000000000)</f>
        <v/>
      </c>
      <c r="N190" s="26"/>
    </row>
    <row r="191" customFormat="false" ht="15" hidden="false" customHeight="false" outlineLevel="0" collapsed="false">
      <c r="A191" s="30" t="str">
        <f aca="false">IF(B191="","",187)</f>
        <v/>
      </c>
      <c r="B191" s="16" t="str">
        <f aca="false">IFERROR(INDEX($K$5:$K$204,MATCH(LARGE($M$5:$M$204,187),$M$5:$M$204,0)),"")</f>
        <v/>
      </c>
      <c r="C191" s="24" t="str">
        <f aca="false">IF(B191="","",SUMIFS(Veri!$D$5:$D$2004,Veri!$C$5:$C$2004,B191))</f>
        <v/>
      </c>
      <c r="D191" s="23" t="str">
        <f aca="false">IF(B191="","",SUMIFS(Veri!$E$5:$E$2004,Veri!$C$5:$C$2004,B191))</f>
        <v/>
      </c>
      <c r="E191" s="31" t="str">
        <f aca="false">IF(B191="","",IF(SUM(Veri!$E$5:$E$2004)=0,0,D191/SUM(Veri!$E$5:$E$2004)))</f>
        <v/>
      </c>
      <c r="F191" s="31" t="str">
        <f aca="false">IF(B191="","",SUM(E$5:E191))</f>
        <v/>
      </c>
      <c r="G191" s="32" t="str">
        <f aca="false">IF(B191="","",IF(F190&lt;0.8,"A",IF(F190&lt;0.95,"B","C")))</f>
        <v/>
      </c>
      <c r="H191" s="23" t="str">
        <f aca="false">IF(OR(B191="",C191=0),"",D191/C191)</f>
        <v/>
      </c>
      <c r="I191" s="33" t="str">
        <f aca="false">IF(B191="","",SUMPRODUCT(MAX((Veri!$C$5:$C$2004=B191)*Veri!$A$5:$A$2004)))</f>
        <v/>
      </c>
      <c r="J191" s="16"/>
      <c r="K191" s="16" t="str">
        <f aca="false">IF(187&gt;MAX(Veri!$G$5:$G$2004),"",INDEX(Veri!$C$5:$C$2004,MATCH(187,Veri!$G$5:$G$2004,0)))</f>
        <v/>
      </c>
      <c r="L191" s="16" t="str">
        <f aca="false">IF(K191="","",SUMIFS(Veri!$E$5:$E$2004,Veri!$C$5:$C$2004,K191))</f>
        <v/>
      </c>
      <c r="M191" s="16" t="str">
        <f aca="false">IF(K191="","",L191+ROW()/1000000000)</f>
        <v/>
      </c>
      <c r="N191" s="16"/>
    </row>
    <row r="192" customFormat="false" ht="15" hidden="false" customHeight="false" outlineLevel="0" collapsed="false">
      <c r="A192" s="34" t="str">
        <f aca="false">IF(B192="","",188)</f>
        <v/>
      </c>
      <c r="B192" s="26" t="str">
        <f aca="false">IFERROR(INDEX($K$5:$K$204,MATCH(LARGE($M$5:$M$204,188),$M$5:$M$204,0)),"")</f>
        <v/>
      </c>
      <c r="C192" s="28" t="str">
        <f aca="false">IF(B192="","",SUMIFS(Veri!$D$5:$D$2004,Veri!$C$5:$C$2004,B192))</f>
        <v/>
      </c>
      <c r="D192" s="27" t="str">
        <f aca="false">IF(B192="","",SUMIFS(Veri!$E$5:$E$2004,Veri!$C$5:$C$2004,B192))</f>
        <v/>
      </c>
      <c r="E192" s="35" t="str">
        <f aca="false">IF(B192="","",IF(SUM(Veri!$E$5:$E$2004)=0,0,D192/SUM(Veri!$E$5:$E$2004)))</f>
        <v/>
      </c>
      <c r="F192" s="35" t="str">
        <f aca="false">IF(B192="","",SUM(E$5:E192))</f>
        <v/>
      </c>
      <c r="G192" s="36" t="str">
        <f aca="false">IF(B192="","",IF(F191&lt;0.8,"A",IF(F191&lt;0.95,"B","C")))</f>
        <v/>
      </c>
      <c r="H192" s="27" t="str">
        <f aca="false">IF(OR(B192="",C192=0),"",D192/C192)</f>
        <v/>
      </c>
      <c r="I192" s="37" t="str">
        <f aca="false">IF(B192="","",SUMPRODUCT(MAX((Veri!$C$5:$C$2004=B192)*Veri!$A$5:$A$2004)))</f>
        <v/>
      </c>
      <c r="J192" s="26"/>
      <c r="K192" s="26" t="str">
        <f aca="false">IF(188&gt;MAX(Veri!$G$5:$G$2004),"",INDEX(Veri!$C$5:$C$2004,MATCH(188,Veri!$G$5:$G$2004,0)))</f>
        <v/>
      </c>
      <c r="L192" s="26" t="str">
        <f aca="false">IF(K192="","",SUMIFS(Veri!$E$5:$E$2004,Veri!$C$5:$C$2004,K192))</f>
        <v/>
      </c>
      <c r="M192" s="26" t="str">
        <f aca="false">IF(K192="","",L192+ROW()/1000000000)</f>
        <v/>
      </c>
      <c r="N192" s="26"/>
    </row>
    <row r="193" customFormat="false" ht="15" hidden="false" customHeight="false" outlineLevel="0" collapsed="false">
      <c r="A193" s="30" t="str">
        <f aca="false">IF(B193="","",189)</f>
        <v/>
      </c>
      <c r="B193" s="16" t="str">
        <f aca="false">IFERROR(INDEX($K$5:$K$204,MATCH(LARGE($M$5:$M$204,189),$M$5:$M$204,0)),"")</f>
        <v/>
      </c>
      <c r="C193" s="24" t="str">
        <f aca="false">IF(B193="","",SUMIFS(Veri!$D$5:$D$2004,Veri!$C$5:$C$2004,B193))</f>
        <v/>
      </c>
      <c r="D193" s="23" t="str">
        <f aca="false">IF(B193="","",SUMIFS(Veri!$E$5:$E$2004,Veri!$C$5:$C$2004,B193))</f>
        <v/>
      </c>
      <c r="E193" s="31" t="str">
        <f aca="false">IF(B193="","",IF(SUM(Veri!$E$5:$E$2004)=0,0,D193/SUM(Veri!$E$5:$E$2004)))</f>
        <v/>
      </c>
      <c r="F193" s="31" t="str">
        <f aca="false">IF(B193="","",SUM(E$5:E193))</f>
        <v/>
      </c>
      <c r="G193" s="32" t="str">
        <f aca="false">IF(B193="","",IF(F192&lt;0.8,"A",IF(F192&lt;0.95,"B","C")))</f>
        <v/>
      </c>
      <c r="H193" s="23" t="str">
        <f aca="false">IF(OR(B193="",C193=0),"",D193/C193)</f>
        <v/>
      </c>
      <c r="I193" s="33" t="str">
        <f aca="false">IF(B193="","",SUMPRODUCT(MAX((Veri!$C$5:$C$2004=B193)*Veri!$A$5:$A$2004)))</f>
        <v/>
      </c>
      <c r="J193" s="16"/>
      <c r="K193" s="16" t="str">
        <f aca="false">IF(189&gt;MAX(Veri!$G$5:$G$2004),"",INDEX(Veri!$C$5:$C$2004,MATCH(189,Veri!$G$5:$G$2004,0)))</f>
        <v/>
      </c>
      <c r="L193" s="16" t="str">
        <f aca="false">IF(K193="","",SUMIFS(Veri!$E$5:$E$2004,Veri!$C$5:$C$2004,K193))</f>
        <v/>
      </c>
      <c r="M193" s="16" t="str">
        <f aca="false">IF(K193="","",L193+ROW()/1000000000)</f>
        <v/>
      </c>
      <c r="N193" s="16"/>
    </row>
    <row r="194" customFormat="false" ht="15" hidden="false" customHeight="false" outlineLevel="0" collapsed="false">
      <c r="A194" s="34" t="str">
        <f aca="false">IF(B194="","",190)</f>
        <v/>
      </c>
      <c r="B194" s="26" t="str">
        <f aca="false">IFERROR(INDEX($K$5:$K$204,MATCH(LARGE($M$5:$M$204,190),$M$5:$M$204,0)),"")</f>
        <v/>
      </c>
      <c r="C194" s="28" t="str">
        <f aca="false">IF(B194="","",SUMIFS(Veri!$D$5:$D$2004,Veri!$C$5:$C$2004,B194))</f>
        <v/>
      </c>
      <c r="D194" s="27" t="str">
        <f aca="false">IF(B194="","",SUMIFS(Veri!$E$5:$E$2004,Veri!$C$5:$C$2004,B194))</f>
        <v/>
      </c>
      <c r="E194" s="35" t="str">
        <f aca="false">IF(B194="","",IF(SUM(Veri!$E$5:$E$2004)=0,0,D194/SUM(Veri!$E$5:$E$2004)))</f>
        <v/>
      </c>
      <c r="F194" s="35" t="str">
        <f aca="false">IF(B194="","",SUM(E$5:E194))</f>
        <v/>
      </c>
      <c r="G194" s="36" t="str">
        <f aca="false">IF(B194="","",IF(F193&lt;0.8,"A",IF(F193&lt;0.95,"B","C")))</f>
        <v/>
      </c>
      <c r="H194" s="27" t="str">
        <f aca="false">IF(OR(B194="",C194=0),"",D194/C194)</f>
        <v/>
      </c>
      <c r="I194" s="37" t="str">
        <f aca="false">IF(B194="","",SUMPRODUCT(MAX((Veri!$C$5:$C$2004=B194)*Veri!$A$5:$A$2004)))</f>
        <v/>
      </c>
      <c r="J194" s="26"/>
      <c r="K194" s="26" t="str">
        <f aca="false">IF(190&gt;MAX(Veri!$G$5:$G$2004),"",INDEX(Veri!$C$5:$C$2004,MATCH(190,Veri!$G$5:$G$2004,0)))</f>
        <v/>
      </c>
      <c r="L194" s="26" t="str">
        <f aca="false">IF(K194="","",SUMIFS(Veri!$E$5:$E$2004,Veri!$C$5:$C$2004,K194))</f>
        <v/>
      </c>
      <c r="M194" s="26" t="str">
        <f aca="false">IF(K194="","",L194+ROW()/1000000000)</f>
        <v/>
      </c>
      <c r="N194" s="26"/>
    </row>
    <row r="195" customFormat="false" ht="15" hidden="false" customHeight="false" outlineLevel="0" collapsed="false">
      <c r="A195" s="30" t="str">
        <f aca="false">IF(B195="","",191)</f>
        <v/>
      </c>
      <c r="B195" s="16" t="str">
        <f aca="false">IFERROR(INDEX($K$5:$K$204,MATCH(LARGE($M$5:$M$204,191),$M$5:$M$204,0)),"")</f>
        <v/>
      </c>
      <c r="C195" s="24" t="str">
        <f aca="false">IF(B195="","",SUMIFS(Veri!$D$5:$D$2004,Veri!$C$5:$C$2004,B195))</f>
        <v/>
      </c>
      <c r="D195" s="23" t="str">
        <f aca="false">IF(B195="","",SUMIFS(Veri!$E$5:$E$2004,Veri!$C$5:$C$2004,B195))</f>
        <v/>
      </c>
      <c r="E195" s="31" t="str">
        <f aca="false">IF(B195="","",IF(SUM(Veri!$E$5:$E$2004)=0,0,D195/SUM(Veri!$E$5:$E$2004)))</f>
        <v/>
      </c>
      <c r="F195" s="31" t="str">
        <f aca="false">IF(B195="","",SUM(E$5:E195))</f>
        <v/>
      </c>
      <c r="G195" s="32" t="str">
        <f aca="false">IF(B195="","",IF(F194&lt;0.8,"A",IF(F194&lt;0.95,"B","C")))</f>
        <v/>
      </c>
      <c r="H195" s="23" t="str">
        <f aca="false">IF(OR(B195="",C195=0),"",D195/C195)</f>
        <v/>
      </c>
      <c r="I195" s="33" t="str">
        <f aca="false">IF(B195="","",SUMPRODUCT(MAX((Veri!$C$5:$C$2004=B195)*Veri!$A$5:$A$2004)))</f>
        <v/>
      </c>
      <c r="J195" s="16"/>
      <c r="K195" s="16" t="str">
        <f aca="false">IF(191&gt;MAX(Veri!$G$5:$G$2004),"",INDEX(Veri!$C$5:$C$2004,MATCH(191,Veri!$G$5:$G$2004,0)))</f>
        <v/>
      </c>
      <c r="L195" s="16" t="str">
        <f aca="false">IF(K195="","",SUMIFS(Veri!$E$5:$E$2004,Veri!$C$5:$C$2004,K195))</f>
        <v/>
      </c>
      <c r="M195" s="16" t="str">
        <f aca="false">IF(K195="","",L195+ROW()/1000000000)</f>
        <v/>
      </c>
      <c r="N195" s="16"/>
    </row>
    <row r="196" customFormat="false" ht="15" hidden="false" customHeight="false" outlineLevel="0" collapsed="false">
      <c r="A196" s="34" t="str">
        <f aca="false">IF(B196="","",192)</f>
        <v/>
      </c>
      <c r="B196" s="26" t="str">
        <f aca="false">IFERROR(INDEX($K$5:$K$204,MATCH(LARGE($M$5:$M$204,192),$M$5:$M$204,0)),"")</f>
        <v/>
      </c>
      <c r="C196" s="28" t="str">
        <f aca="false">IF(B196="","",SUMIFS(Veri!$D$5:$D$2004,Veri!$C$5:$C$2004,B196))</f>
        <v/>
      </c>
      <c r="D196" s="27" t="str">
        <f aca="false">IF(B196="","",SUMIFS(Veri!$E$5:$E$2004,Veri!$C$5:$C$2004,B196))</f>
        <v/>
      </c>
      <c r="E196" s="35" t="str">
        <f aca="false">IF(B196="","",IF(SUM(Veri!$E$5:$E$2004)=0,0,D196/SUM(Veri!$E$5:$E$2004)))</f>
        <v/>
      </c>
      <c r="F196" s="35" t="str">
        <f aca="false">IF(B196="","",SUM(E$5:E196))</f>
        <v/>
      </c>
      <c r="G196" s="36" t="str">
        <f aca="false">IF(B196="","",IF(F195&lt;0.8,"A",IF(F195&lt;0.95,"B","C")))</f>
        <v/>
      </c>
      <c r="H196" s="27" t="str">
        <f aca="false">IF(OR(B196="",C196=0),"",D196/C196)</f>
        <v/>
      </c>
      <c r="I196" s="37" t="str">
        <f aca="false">IF(B196="","",SUMPRODUCT(MAX((Veri!$C$5:$C$2004=B196)*Veri!$A$5:$A$2004)))</f>
        <v/>
      </c>
      <c r="J196" s="26"/>
      <c r="K196" s="26" t="str">
        <f aca="false">IF(192&gt;MAX(Veri!$G$5:$G$2004),"",INDEX(Veri!$C$5:$C$2004,MATCH(192,Veri!$G$5:$G$2004,0)))</f>
        <v/>
      </c>
      <c r="L196" s="26" t="str">
        <f aca="false">IF(K196="","",SUMIFS(Veri!$E$5:$E$2004,Veri!$C$5:$C$2004,K196))</f>
        <v/>
      </c>
      <c r="M196" s="26" t="str">
        <f aca="false">IF(K196="","",L196+ROW()/1000000000)</f>
        <v/>
      </c>
      <c r="N196" s="26"/>
    </row>
    <row r="197" customFormat="false" ht="15" hidden="false" customHeight="false" outlineLevel="0" collapsed="false">
      <c r="A197" s="30" t="str">
        <f aca="false">IF(B197="","",193)</f>
        <v/>
      </c>
      <c r="B197" s="16" t="str">
        <f aca="false">IFERROR(INDEX($K$5:$K$204,MATCH(LARGE($M$5:$M$204,193),$M$5:$M$204,0)),"")</f>
        <v/>
      </c>
      <c r="C197" s="24" t="str">
        <f aca="false">IF(B197="","",SUMIFS(Veri!$D$5:$D$2004,Veri!$C$5:$C$2004,B197))</f>
        <v/>
      </c>
      <c r="D197" s="23" t="str">
        <f aca="false">IF(B197="","",SUMIFS(Veri!$E$5:$E$2004,Veri!$C$5:$C$2004,B197))</f>
        <v/>
      </c>
      <c r="E197" s="31" t="str">
        <f aca="false">IF(B197="","",IF(SUM(Veri!$E$5:$E$2004)=0,0,D197/SUM(Veri!$E$5:$E$2004)))</f>
        <v/>
      </c>
      <c r="F197" s="31" t="str">
        <f aca="false">IF(B197="","",SUM(E$5:E197))</f>
        <v/>
      </c>
      <c r="G197" s="32" t="str">
        <f aca="false">IF(B197="","",IF(F196&lt;0.8,"A",IF(F196&lt;0.95,"B","C")))</f>
        <v/>
      </c>
      <c r="H197" s="23" t="str">
        <f aca="false">IF(OR(B197="",C197=0),"",D197/C197)</f>
        <v/>
      </c>
      <c r="I197" s="33" t="str">
        <f aca="false">IF(B197="","",SUMPRODUCT(MAX((Veri!$C$5:$C$2004=B197)*Veri!$A$5:$A$2004)))</f>
        <v/>
      </c>
      <c r="J197" s="16"/>
      <c r="K197" s="16" t="str">
        <f aca="false">IF(193&gt;MAX(Veri!$G$5:$G$2004),"",INDEX(Veri!$C$5:$C$2004,MATCH(193,Veri!$G$5:$G$2004,0)))</f>
        <v/>
      </c>
      <c r="L197" s="16" t="str">
        <f aca="false">IF(K197="","",SUMIFS(Veri!$E$5:$E$2004,Veri!$C$5:$C$2004,K197))</f>
        <v/>
      </c>
      <c r="M197" s="16" t="str">
        <f aca="false">IF(K197="","",L197+ROW()/1000000000)</f>
        <v/>
      </c>
      <c r="N197" s="16"/>
    </row>
    <row r="198" customFormat="false" ht="15" hidden="false" customHeight="false" outlineLevel="0" collapsed="false">
      <c r="A198" s="34" t="str">
        <f aca="false">IF(B198="","",194)</f>
        <v/>
      </c>
      <c r="B198" s="26" t="str">
        <f aca="false">IFERROR(INDEX($K$5:$K$204,MATCH(LARGE($M$5:$M$204,194),$M$5:$M$204,0)),"")</f>
        <v/>
      </c>
      <c r="C198" s="28" t="str">
        <f aca="false">IF(B198="","",SUMIFS(Veri!$D$5:$D$2004,Veri!$C$5:$C$2004,B198))</f>
        <v/>
      </c>
      <c r="D198" s="27" t="str">
        <f aca="false">IF(B198="","",SUMIFS(Veri!$E$5:$E$2004,Veri!$C$5:$C$2004,B198))</f>
        <v/>
      </c>
      <c r="E198" s="35" t="str">
        <f aca="false">IF(B198="","",IF(SUM(Veri!$E$5:$E$2004)=0,0,D198/SUM(Veri!$E$5:$E$2004)))</f>
        <v/>
      </c>
      <c r="F198" s="35" t="str">
        <f aca="false">IF(B198="","",SUM(E$5:E198))</f>
        <v/>
      </c>
      <c r="G198" s="36" t="str">
        <f aca="false">IF(B198="","",IF(F197&lt;0.8,"A",IF(F197&lt;0.95,"B","C")))</f>
        <v/>
      </c>
      <c r="H198" s="27" t="str">
        <f aca="false">IF(OR(B198="",C198=0),"",D198/C198)</f>
        <v/>
      </c>
      <c r="I198" s="37" t="str">
        <f aca="false">IF(B198="","",SUMPRODUCT(MAX((Veri!$C$5:$C$2004=B198)*Veri!$A$5:$A$2004)))</f>
        <v/>
      </c>
      <c r="J198" s="26"/>
      <c r="K198" s="26" t="str">
        <f aca="false">IF(194&gt;MAX(Veri!$G$5:$G$2004),"",INDEX(Veri!$C$5:$C$2004,MATCH(194,Veri!$G$5:$G$2004,0)))</f>
        <v/>
      </c>
      <c r="L198" s="26" t="str">
        <f aca="false">IF(K198="","",SUMIFS(Veri!$E$5:$E$2004,Veri!$C$5:$C$2004,K198))</f>
        <v/>
      </c>
      <c r="M198" s="26" t="str">
        <f aca="false">IF(K198="","",L198+ROW()/1000000000)</f>
        <v/>
      </c>
      <c r="N198" s="26"/>
    </row>
    <row r="199" customFormat="false" ht="15" hidden="false" customHeight="false" outlineLevel="0" collapsed="false">
      <c r="A199" s="30" t="str">
        <f aca="false">IF(B199="","",195)</f>
        <v/>
      </c>
      <c r="B199" s="16" t="str">
        <f aca="false">IFERROR(INDEX($K$5:$K$204,MATCH(LARGE($M$5:$M$204,195),$M$5:$M$204,0)),"")</f>
        <v/>
      </c>
      <c r="C199" s="24" t="str">
        <f aca="false">IF(B199="","",SUMIFS(Veri!$D$5:$D$2004,Veri!$C$5:$C$2004,B199))</f>
        <v/>
      </c>
      <c r="D199" s="23" t="str">
        <f aca="false">IF(B199="","",SUMIFS(Veri!$E$5:$E$2004,Veri!$C$5:$C$2004,B199))</f>
        <v/>
      </c>
      <c r="E199" s="31" t="str">
        <f aca="false">IF(B199="","",IF(SUM(Veri!$E$5:$E$2004)=0,0,D199/SUM(Veri!$E$5:$E$2004)))</f>
        <v/>
      </c>
      <c r="F199" s="31" t="str">
        <f aca="false">IF(B199="","",SUM(E$5:E199))</f>
        <v/>
      </c>
      <c r="G199" s="32" t="str">
        <f aca="false">IF(B199="","",IF(F198&lt;0.8,"A",IF(F198&lt;0.95,"B","C")))</f>
        <v/>
      </c>
      <c r="H199" s="23" t="str">
        <f aca="false">IF(OR(B199="",C199=0),"",D199/C199)</f>
        <v/>
      </c>
      <c r="I199" s="33" t="str">
        <f aca="false">IF(B199="","",SUMPRODUCT(MAX((Veri!$C$5:$C$2004=B199)*Veri!$A$5:$A$2004)))</f>
        <v/>
      </c>
      <c r="J199" s="16"/>
      <c r="K199" s="16" t="str">
        <f aca="false">IF(195&gt;MAX(Veri!$G$5:$G$2004),"",INDEX(Veri!$C$5:$C$2004,MATCH(195,Veri!$G$5:$G$2004,0)))</f>
        <v/>
      </c>
      <c r="L199" s="16" t="str">
        <f aca="false">IF(K199="","",SUMIFS(Veri!$E$5:$E$2004,Veri!$C$5:$C$2004,K199))</f>
        <v/>
      </c>
      <c r="M199" s="16" t="str">
        <f aca="false">IF(K199="","",L199+ROW()/1000000000)</f>
        <v/>
      </c>
      <c r="N199" s="16"/>
    </row>
    <row r="200" customFormat="false" ht="15" hidden="false" customHeight="false" outlineLevel="0" collapsed="false">
      <c r="A200" s="34" t="str">
        <f aca="false">IF(B200="","",196)</f>
        <v/>
      </c>
      <c r="B200" s="26" t="str">
        <f aca="false">IFERROR(INDEX($K$5:$K$204,MATCH(LARGE($M$5:$M$204,196),$M$5:$M$204,0)),"")</f>
        <v/>
      </c>
      <c r="C200" s="28" t="str">
        <f aca="false">IF(B200="","",SUMIFS(Veri!$D$5:$D$2004,Veri!$C$5:$C$2004,B200))</f>
        <v/>
      </c>
      <c r="D200" s="27" t="str">
        <f aca="false">IF(B200="","",SUMIFS(Veri!$E$5:$E$2004,Veri!$C$5:$C$2004,B200))</f>
        <v/>
      </c>
      <c r="E200" s="35" t="str">
        <f aca="false">IF(B200="","",IF(SUM(Veri!$E$5:$E$2004)=0,0,D200/SUM(Veri!$E$5:$E$2004)))</f>
        <v/>
      </c>
      <c r="F200" s="35" t="str">
        <f aca="false">IF(B200="","",SUM(E$5:E200))</f>
        <v/>
      </c>
      <c r="G200" s="36" t="str">
        <f aca="false">IF(B200="","",IF(F199&lt;0.8,"A",IF(F199&lt;0.95,"B","C")))</f>
        <v/>
      </c>
      <c r="H200" s="27" t="str">
        <f aca="false">IF(OR(B200="",C200=0),"",D200/C200)</f>
        <v/>
      </c>
      <c r="I200" s="37" t="str">
        <f aca="false">IF(B200="","",SUMPRODUCT(MAX((Veri!$C$5:$C$2004=B200)*Veri!$A$5:$A$2004)))</f>
        <v/>
      </c>
      <c r="J200" s="26"/>
      <c r="K200" s="26" t="str">
        <f aca="false">IF(196&gt;MAX(Veri!$G$5:$G$2004),"",INDEX(Veri!$C$5:$C$2004,MATCH(196,Veri!$G$5:$G$2004,0)))</f>
        <v/>
      </c>
      <c r="L200" s="26" t="str">
        <f aca="false">IF(K200="","",SUMIFS(Veri!$E$5:$E$2004,Veri!$C$5:$C$2004,K200))</f>
        <v/>
      </c>
      <c r="M200" s="26" t="str">
        <f aca="false">IF(K200="","",L200+ROW()/1000000000)</f>
        <v/>
      </c>
      <c r="N200" s="26"/>
    </row>
    <row r="201" customFormat="false" ht="15" hidden="false" customHeight="false" outlineLevel="0" collapsed="false">
      <c r="A201" s="30" t="str">
        <f aca="false">IF(B201="","",197)</f>
        <v/>
      </c>
      <c r="B201" s="16" t="str">
        <f aca="false">IFERROR(INDEX($K$5:$K$204,MATCH(LARGE($M$5:$M$204,197),$M$5:$M$204,0)),"")</f>
        <v/>
      </c>
      <c r="C201" s="24" t="str">
        <f aca="false">IF(B201="","",SUMIFS(Veri!$D$5:$D$2004,Veri!$C$5:$C$2004,B201))</f>
        <v/>
      </c>
      <c r="D201" s="23" t="str">
        <f aca="false">IF(B201="","",SUMIFS(Veri!$E$5:$E$2004,Veri!$C$5:$C$2004,B201))</f>
        <v/>
      </c>
      <c r="E201" s="31" t="str">
        <f aca="false">IF(B201="","",IF(SUM(Veri!$E$5:$E$2004)=0,0,D201/SUM(Veri!$E$5:$E$2004)))</f>
        <v/>
      </c>
      <c r="F201" s="31" t="str">
        <f aca="false">IF(B201="","",SUM(E$5:E201))</f>
        <v/>
      </c>
      <c r="G201" s="32" t="str">
        <f aca="false">IF(B201="","",IF(F200&lt;0.8,"A",IF(F200&lt;0.95,"B","C")))</f>
        <v/>
      </c>
      <c r="H201" s="23" t="str">
        <f aca="false">IF(OR(B201="",C201=0),"",D201/C201)</f>
        <v/>
      </c>
      <c r="I201" s="33" t="str">
        <f aca="false">IF(B201="","",SUMPRODUCT(MAX((Veri!$C$5:$C$2004=B201)*Veri!$A$5:$A$2004)))</f>
        <v/>
      </c>
      <c r="J201" s="16"/>
      <c r="K201" s="16" t="str">
        <f aca="false">IF(197&gt;MAX(Veri!$G$5:$G$2004),"",INDEX(Veri!$C$5:$C$2004,MATCH(197,Veri!$G$5:$G$2004,0)))</f>
        <v/>
      </c>
      <c r="L201" s="16" t="str">
        <f aca="false">IF(K201="","",SUMIFS(Veri!$E$5:$E$2004,Veri!$C$5:$C$2004,K201))</f>
        <v/>
      </c>
      <c r="M201" s="16" t="str">
        <f aca="false">IF(K201="","",L201+ROW()/1000000000)</f>
        <v/>
      </c>
      <c r="N201" s="16"/>
    </row>
    <row r="202" customFormat="false" ht="15" hidden="false" customHeight="false" outlineLevel="0" collapsed="false">
      <c r="A202" s="34" t="str">
        <f aca="false">IF(B202="","",198)</f>
        <v/>
      </c>
      <c r="B202" s="26" t="str">
        <f aca="false">IFERROR(INDEX($K$5:$K$204,MATCH(LARGE($M$5:$M$204,198),$M$5:$M$204,0)),"")</f>
        <v/>
      </c>
      <c r="C202" s="28" t="str">
        <f aca="false">IF(B202="","",SUMIFS(Veri!$D$5:$D$2004,Veri!$C$5:$C$2004,B202))</f>
        <v/>
      </c>
      <c r="D202" s="27" t="str">
        <f aca="false">IF(B202="","",SUMIFS(Veri!$E$5:$E$2004,Veri!$C$5:$C$2004,B202))</f>
        <v/>
      </c>
      <c r="E202" s="35" t="str">
        <f aca="false">IF(B202="","",IF(SUM(Veri!$E$5:$E$2004)=0,0,D202/SUM(Veri!$E$5:$E$2004)))</f>
        <v/>
      </c>
      <c r="F202" s="35" t="str">
        <f aca="false">IF(B202="","",SUM(E$5:E202))</f>
        <v/>
      </c>
      <c r="G202" s="36" t="str">
        <f aca="false">IF(B202="","",IF(F201&lt;0.8,"A",IF(F201&lt;0.95,"B","C")))</f>
        <v/>
      </c>
      <c r="H202" s="27" t="str">
        <f aca="false">IF(OR(B202="",C202=0),"",D202/C202)</f>
        <v/>
      </c>
      <c r="I202" s="37" t="str">
        <f aca="false">IF(B202="","",SUMPRODUCT(MAX((Veri!$C$5:$C$2004=B202)*Veri!$A$5:$A$2004)))</f>
        <v/>
      </c>
      <c r="J202" s="26"/>
      <c r="K202" s="26" t="str">
        <f aca="false">IF(198&gt;MAX(Veri!$G$5:$G$2004),"",INDEX(Veri!$C$5:$C$2004,MATCH(198,Veri!$G$5:$G$2004,0)))</f>
        <v/>
      </c>
      <c r="L202" s="26" t="str">
        <f aca="false">IF(K202="","",SUMIFS(Veri!$E$5:$E$2004,Veri!$C$5:$C$2004,K202))</f>
        <v/>
      </c>
      <c r="M202" s="26" t="str">
        <f aca="false">IF(K202="","",L202+ROW()/1000000000)</f>
        <v/>
      </c>
      <c r="N202" s="26"/>
    </row>
    <row r="203" customFormat="false" ht="15" hidden="false" customHeight="false" outlineLevel="0" collapsed="false">
      <c r="A203" s="30" t="str">
        <f aca="false">IF(B203="","",199)</f>
        <v/>
      </c>
      <c r="B203" s="16" t="str">
        <f aca="false">IFERROR(INDEX($K$5:$K$204,MATCH(LARGE($M$5:$M$204,199),$M$5:$M$204,0)),"")</f>
        <v/>
      </c>
      <c r="C203" s="24" t="str">
        <f aca="false">IF(B203="","",SUMIFS(Veri!$D$5:$D$2004,Veri!$C$5:$C$2004,B203))</f>
        <v/>
      </c>
      <c r="D203" s="23" t="str">
        <f aca="false">IF(B203="","",SUMIFS(Veri!$E$5:$E$2004,Veri!$C$5:$C$2004,B203))</f>
        <v/>
      </c>
      <c r="E203" s="31" t="str">
        <f aca="false">IF(B203="","",IF(SUM(Veri!$E$5:$E$2004)=0,0,D203/SUM(Veri!$E$5:$E$2004)))</f>
        <v/>
      </c>
      <c r="F203" s="31" t="str">
        <f aca="false">IF(B203="","",SUM(E$5:E203))</f>
        <v/>
      </c>
      <c r="G203" s="32" t="str">
        <f aca="false">IF(B203="","",IF(F202&lt;0.8,"A",IF(F202&lt;0.95,"B","C")))</f>
        <v/>
      </c>
      <c r="H203" s="23" t="str">
        <f aca="false">IF(OR(B203="",C203=0),"",D203/C203)</f>
        <v/>
      </c>
      <c r="I203" s="33" t="str">
        <f aca="false">IF(B203="","",SUMPRODUCT(MAX((Veri!$C$5:$C$2004=B203)*Veri!$A$5:$A$2004)))</f>
        <v/>
      </c>
      <c r="J203" s="16"/>
      <c r="K203" s="16" t="str">
        <f aca="false">IF(199&gt;MAX(Veri!$G$5:$G$2004),"",INDEX(Veri!$C$5:$C$2004,MATCH(199,Veri!$G$5:$G$2004,0)))</f>
        <v/>
      </c>
      <c r="L203" s="16" t="str">
        <f aca="false">IF(K203="","",SUMIFS(Veri!$E$5:$E$2004,Veri!$C$5:$C$2004,K203))</f>
        <v/>
      </c>
      <c r="M203" s="16" t="str">
        <f aca="false">IF(K203="","",L203+ROW()/1000000000)</f>
        <v/>
      </c>
      <c r="N203" s="16"/>
    </row>
    <row r="204" customFormat="false" ht="15" hidden="false" customHeight="false" outlineLevel="0" collapsed="false">
      <c r="A204" s="34" t="str">
        <f aca="false">IF(B204="","",200)</f>
        <v/>
      </c>
      <c r="B204" s="26" t="str">
        <f aca="false">IFERROR(INDEX($K$5:$K$204,MATCH(LARGE($M$5:$M$204,200),$M$5:$M$204,0)),"")</f>
        <v/>
      </c>
      <c r="C204" s="28" t="str">
        <f aca="false">IF(B204="","",SUMIFS(Veri!$D$5:$D$2004,Veri!$C$5:$C$2004,B204))</f>
        <v/>
      </c>
      <c r="D204" s="27" t="str">
        <f aca="false">IF(B204="","",SUMIFS(Veri!$E$5:$E$2004,Veri!$C$5:$C$2004,B204))</f>
        <v/>
      </c>
      <c r="E204" s="35" t="str">
        <f aca="false">IF(B204="","",IF(SUM(Veri!$E$5:$E$2004)=0,0,D204/SUM(Veri!$E$5:$E$2004)))</f>
        <v/>
      </c>
      <c r="F204" s="35" t="str">
        <f aca="false">IF(B204="","",SUM(E$5:E204))</f>
        <v/>
      </c>
      <c r="G204" s="36" t="str">
        <f aca="false">IF(B204="","",IF(F203&lt;0.8,"A",IF(F203&lt;0.95,"B","C")))</f>
        <v/>
      </c>
      <c r="H204" s="27" t="str">
        <f aca="false">IF(OR(B204="",C204=0),"",D204/C204)</f>
        <v/>
      </c>
      <c r="I204" s="37" t="str">
        <f aca="false">IF(B204="","",SUMPRODUCT(MAX((Veri!$C$5:$C$2004=B204)*Veri!$A$5:$A$2004)))</f>
        <v/>
      </c>
      <c r="J204" s="26"/>
      <c r="K204" s="26" t="str">
        <f aca="false">IF(200&gt;MAX(Veri!$G$5:$G$2004),"",INDEX(Veri!$C$5:$C$2004,MATCH(200,Veri!$G$5:$G$2004,0)))</f>
        <v/>
      </c>
      <c r="L204" s="26" t="str">
        <f aca="false">IF(K204="","",SUMIFS(Veri!$E$5:$E$2004,Veri!$C$5:$C$2004,K204))</f>
        <v/>
      </c>
      <c r="M204" s="26" t="str">
        <f aca="false">IF(K204="","",L204+ROW()/1000000000)</f>
        <v/>
      </c>
      <c r="N204" s="26"/>
    </row>
  </sheetData>
  <conditionalFormatting sqref="G5:G204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true" outlineLevel="0" max="14" min="11" style="0" width="4"/>
  </cols>
  <sheetData>
    <row r="1" customFormat="false" ht="19.7" hidden="false" customHeight="false" outlineLevel="0" collapsed="false">
      <c r="A1" s="8" t="s">
        <v>93</v>
      </c>
    </row>
    <row r="2" customFormat="false" ht="15" hidden="false" customHeight="false" outlineLevel="0" collapsed="false">
      <c r="A2" s="9" t="s">
        <v>94</v>
      </c>
    </row>
    <row r="4" customFormat="false" ht="30" hidden="false" customHeight="true" outlineLevel="0" collapsed="false">
      <c r="A4" s="11" t="s">
        <v>86</v>
      </c>
      <c r="B4" s="11" t="s">
        <v>29</v>
      </c>
      <c r="C4" s="11" t="s">
        <v>55</v>
      </c>
      <c r="D4" s="11" t="s">
        <v>62</v>
      </c>
      <c r="E4" s="11" t="s">
        <v>87</v>
      </c>
      <c r="F4" s="11" t="s">
        <v>88</v>
      </c>
      <c r="G4" s="11" t="s">
        <v>89</v>
      </c>
      <c r="H4" s="11" t="s">
        <v>95</v>
      </c>
      <c r="I4" s="11" t="s">
        <v>96</v>
      </c>
      <c r="J4" s="11"/>
      <c r="K4" s="11" t="s">
        <v>92</v>
      </c>
      <c r="L4" s="11" t="s">
        <v>92</v>
      </c>
      <c r="M4" s="11" t="s">
        <v>92</v>
      </c>
      <c r="N4" s="11" t="s">
        <v>92</v>
      </c>
    </row>
    <row r="5" customFormat="false" ht="15" hidden="false" customHeight="false" outlineLevel="0" collapsed="false">
      <c r="A5" s="30" t="n">
        <f aca="false">IF(B5="","",1)</f>
        <v>1</v>
      </c>
      <c r="B5" s="16" t="str">
        <f aca="false">IFERROR(INDEX($K$5:$K$204,MATCH(LARGE($M$5:$M$204,1),$M$5:$M$204,0)),"")</f>
        <v>Müşteri Alfa</v>
      </c>
      <c r="C5" s="24" t="n">
        <f aca="false">IF(B5="","",COUNTIF(Veri!$B$5:$B$2004,B5))</f>
        <v>17</v>
      </c>
      <c r="D5" s="23" t="n">
        <f aca="false">IF(B5="","",SUMIFS(Veri!$E$5:$E$2004,Veri!$B$5:$B$2004,B5))</f>
        <v>28610</v>
      </c>
      <c r="E5" s="31" t="n">
        <f aca="false">IF(B5="","",IF(SUM(Veri!$E$5:$E$2004)=0,0,D5/SUM(Veri!$E$5:$E$2004)))</f>
        <v>0.247256071212514</v>
      </c>
      <c r="F5" s="31" t="n">
        <f aca="false">IF(B5="","",SUM(E$5:E5))</f>
        <v>0.247256071212514</v>
      </c>
      <c r="G5" s="32" t="str">
        <f aca="false">IF(B5="","","A")</f>
        <v>A</v>
      </c>
      <c r="H5" s="23" t="n">
        <f aca="false">IF(OR(B5="",C5=0),"",D5/C5)</f>
        <v>1682.94117647059</v>
      </c>
      <c r="I5" s="33" t="n">
        <f aca="false">IF(B5="","",SUMPRODUCT(MAX((Veri!$B$5:$B$2004=B5)*Veri!$A$5:$A$2004)))</f>
        <v>46282</v>
      </c>
      <c r="J5" s="16"/>
      <c r="K5" s="16" t="str">
        <f aca="false">IF(1&gt;MAX(Veri!$I$5:$I$2004),"",INDEX(Veri!$B$5:$B$2004,MATCH(1,Veri!$I$5:$I$2004,0)))</f>
        <v>Müşteri Epsilon</v>
      </c>
      <c r="L5" s="16" t="n">
        <f aca="false">IF(K5="","",SUMIFS(Veri!$E$5:$E$2004,Veri!$B$5:$B$2004,K5))</f>
        <v>9535</v>
      </c>
      <c r="M5" s="16" t="n">
        <f aca="false">IF(K5="","",L5+ROW()/1000000000)</f>
        <v>9535.000000005</v>
      </c>
      <c r="N5" s="16"/>
    </row>
    <row r="6" customFormat="false" ht="15" hidden="false" customHeight="false" outlineLevel="0" collapsed="false">
      <c r="A6" s="34" t="n">
        <f aca="false">IF(B6="","",2)</f>
        <v>2</v>
      </c>
      <c r="B6" s="26" t="str">
        <f aca="false">IFERROR(INDEX($K$5:$K$204,MATCH(LARGE($M$5:$M$204,2),$M$5:$M$204,0)),"")</f>
        <v>Müşteri Delta</v>
      </c>
      <c r="C6" s="28" t="n">
        <f aca="false">IF(B6="","",COUNTIF(Veri!$B$5:$B$2004,B6))</f>
        <v>16</v>
      </c>
      <c r="D6" s="27" t="n">
        <f aca="false">IF(B6="","",SUMIFS(Veri!$E$5:$E$2004,Veri!$B$5:$B$2004,B6))</f>
        <v>26970</v>
      </c>
      <c r="E6" s="35" t="n">
        <f aca="false">IF(B6="","",IF(SUM(Veri!$E$5:$E$2004)=0,0,D6/SUM(Veri!$E$5:$E$2004)))</f>
        <v>0.233082706766917</v>
      </c>
      <c r="F6" s="35" t="n">
        <f aca="false">IF(B6="","",SUM(E$5:E6))</f>
        <v>0.480338777979431</v>
      </c>
      <c r="G6" s="36" t="str">
        <f aca="false">IF(B6="","",IF(F5&lt;0.8,"A",IF(F5&lt;0.95,"B","C")))</f>
        <v>A</v>
      </c>
      <c r="H6" s="27" t="n">
        <f aca="false">IF(OR(B6="",C6=0),"",D6/C6)</f>
        <v>1685.625</v>
      </c>
      <c r="I6" s="37" t="n">
        <f aca="false">IF(B6="","",SUMPRODUCT(MAX((Veri!$B$5:$B$2004=B6)*Veri!$A$5:$A$2004)))</f>
        <v>46298</v>
      </c>
      <c r="J6" s="26"/>
      <c r="K6" s="26" t="str">
        <f aca="false">IF(2&gt;MAX(Veri!$I$5:$I$2004),"",INDEX(Veri!$B$5:$B$2004,MATCH(2,Veri!$I$5:$I$2004,0)))</f>
        <v>Müşteri Gama</v>
      </c>
      <c r="L6" s="26" t="n">
        <f aca="false">IF(K6="","",SUMIFS(Veri!$E$5:$E$2004,Veri!$B$5:$B$2004,K6))</f>
        <v>17595</v>
      </c>
      <c r="M6" s="26" t="n">
        <f aca="false">IF(K6="","",L6+ROW()/1000000000)</f>
        <v>17595.000000006</v>
      </c>
      <c r="N6" s="26"/>
    </row>
    <row r="7" customFormat="false" ht="15" hidden="false" customHeight="false" outlineLevel="0" collapsed="false">
      <c r="A7" s="30" t="n">
        <f aca="false">IF(B7="","",3)</f>
        <v>3</v>
      </c>
      <c r="B7" s="16" t="str">
        <f aca="false">IFERROR(INDEX($K$5:$K$204,MATCH(LARGE($M$5:$M$204,3),$M$5:$M$204,0)),"")</f>
        <v>Müşteri Beta</v>
      </c>
      <c r="C7" s="24" t="n">
        <f aca="false">IF(B7="","",COUNTIF(Veri!$B$5:$B$2004,B7))</f>
        <v>10</v>
      </c>
      <c r="D7" s="23" t="n">
        <f aca="false">IF(B7="","",SUMIFS(Veri!$E$5:$E$2004,Veri!$B$5:$B$2004,B7))</f>
        <v>21020</v>
      </c>
      <c r="E7" s="31" t="n">
        <f aca="false">IF(B7="","",IF(SUM(Veri!$E$5:$E$2004)=0,0,D7/SUM(Veri!$E$5:$E$2004)))</f>
        <v>0.181661049174661</v>
      </c>
      <c r="F7" s="31" t="n">
        <f aca="false">IF(B7="","",SUM(E$5:E7))</f>
        <v>0.661999827154092</v>
      </c>
      <c r="G7" s="32" t="str">
        <f aca="false">IF(B7="","",IF(F6&lt;0.8,"A",IF(F6&lt;0.95,"B","C")))</f>
        <v>A</v>
      </c>
      <c r="H7" s="23" t="n">
        <f aca="false">IF(OR(B7="",C7=0),"",D7/C7)</f>
        <v>2102</v>
      </c>
      <c r="I7" s="33" t="n">
        <f aca="false">IF(B7="","",SUMPRODUCT(MAX((Veri!$B$5:$B$2004=B7)*Veri!$A$5:$A$2004)))</f>
        <v>46295</v>
      </c>
      <c r="J7" s="16"/>
      <c r="K7" s="16" t="str">
        <f aca="false">IF(3&gt;MAX(Veri!$I$5:$I$2004),"",INDEX(Veri!$B$5:$B$2004,MATCH(3,Veri!$I$5:$I$2004,0)))</f>
        <v>Müşteri Beta</v>
      </c>
      <c r="L7" s="16" t="n">
        <f aca="false">IF(K7="","",SUMIFS(Veri!$E$5:$E$2004,Veri!$B$5:$B$2004,K7))</f>
        <v>21020</v>
      </c>
      <c r="M7" s="16" t="n">
        <f aca="false">IF(K7="","",L7+ROW()/1000000000)</f>
        <v>21020.000000007</v>
      </c>
      <c r="N7" s="16"/>
    </row>
    <row r="8" customFormat="false" ht="15" hidden="false" customHeight="false" outlineLevel="0" collapsed="false">
      <c r="A8" s="34" t="n">
        <f aca="false">IF(B8="","",4)</f>
        <v>4</v>
      </c>
      <c r="B8" s="26" t="str">
        <f aca="false">IFERROR(INDEX($K$5:$K$204,MATCH(LARGE($M$5:$M$204,4),$M$5:$M$204,0)),"")</f>
        <v>Müşteri Gama</v>
      </c>
      <c r="C8" s="28" t="n">
        <f aca="false">IF(B8="","",COUNTIF(Veri!$B$5:$B$2004,B8))</f>
        <v>13</v>
      </c>
      <c r="D8" s="27" t="n">
        <f aca="false">IF(B8="","",SUMIFS(Veri!$E$5:$E$2004,Veri!$B$5:$B$2004,B8))</f>
        <v>17595</v>
      </c>
      <c r="E8" s="35" t="n">
        <f aca="false">IF(B8="","",IF(SUM(Veri!$E$5:$E$2004)=0,0,D8/SUM(Veri!$E$5:$E$2004)))</f>
        <v>0.152061187451387</v>
      </c>
      <c r="F8" s="35" t="n">
        <f aca="false">IF(B8="","",SUM(E$5:E8))</f>
        <v>0.814061014605479</v>
      </c>
      <c r="G8" s="36" t="str">
        <f aca="false">IF(B8="","",IF(F7&lt;0.8,"A",IF(F7&lt;0.95,"B","C")))</f>
        <v>A</v>
      </c>
      <c r="H8" s="27" t="n">
        <f aca="false">IF(OR(B8="",C8=0),"",D8/C8)</f>
        <v>1353.46153846154</v>
      </c>
      <c r="I8" s="37" t="n">
        <f aca="false">IF(B8="","",SUMPRODUCT(MAX((Veri!$B$5:$B$2004=B8)*Veri!$A$5:$A$2004)))</f>
        <v>46298</v>
      </c>
      <c r="J8" s="26"/>
      <c r="K8" s="26" t="str">
        <f aca="false">IF(4&gt;MAX(Veri!$I$5:$I$2004),"",INDEX(Veri!$B$5:$B$2004,MATCH(4,Veri!$I$5:$I$2004,0)))</f>
        <v>Müşteri Delta</v>
      </c>
      <c r="L8" s="26" t="n">
        <f aca="false">IF(K8="","",SUMIFS(Veri!$E$5:$E$2004,Veri!$B$5:$B$2004,K8))</f>
        <v>26970</v>
      </c>
      <c r="M8" s="26" t="n">
        <f aca="false">IF(K8="","",L8+ROW()/1000000000)</f>
        <v>26970.000000008</v>
      </c>
      <c r="N8" s="26"/>
    </row>
    <row r="9" customFormat="false" ht="15" hidden="false" customHeight="false" outlineLevel="0" collapsed="false">
      <c r="A9" s="30" t="n">
        <f aca="false">IF(B9="","",5)</f>
        <v>5</v>
      </c>
      <c r="B9" s="16" t="str">
        <f aca="false">IFERROR(INDEX($K$5:$K$204,MATCH(LARGE($M$5:$M$204,5),$M$5:$M$204,0)),"")</f>
        <v>Perakende</v>
      </c>
      <c r="C9" s="24" t="n">
        <f aca="false">IF(B9="","",COUNTIF(Veri!$B$5:$B$2004,B9))</f>
        <v>10</v>
      </c>
      <c r="D9" s="23" t="n">
        <f aca="false">IF(B9="","",SUMIFS(Veri!$E$5:$E$2004,Veri!$B$5:$B$2004,B9))</f>
        <v>11980</v>
      </c>
      <c r="E9" s="31" t="n">
        <f aca="false">IF(B9="","",IF(SUM(Veri!$E$5:$E$2004)=0,0,D9/SUM(Veri!$E$5:$E$2004)))</f>
        <v>0.103534698816006</v>
      </c>
      <c r="F9" s="31" t="n">
        <f aca="false">IF(B9="","",SUM(E$5:E9))</f>
        <v>0.917595713421485</v>
      </c>
      <c r="G9" s="32" t="str">
        <f aca="false">IF(B9="","",IF(F8&lt;0.8,"A",IF(F8&lt;0.95,"B","C")))</f>
        <v>B</v>
      </c>
      <c r="H9" s="23" t="n">
        <f aca="false">IF(OR(B9="",C9=0),"",D9/C9)</f>
        <v>1198</v>
      </c>
      <c r="I9" s="33" t="n">
        <f aca="false">IF(B9="","",SUMPRODUCT(MAX((Veri!$B$5:$B$2004=B9)*Veri!$A$5:$A$2004)))</f>
        <v>46294</v>
      </c>
      <c r="J9" s="16"/>
      <c r="K9" s="16" t="str">
        <f aca="false">IF(5&gt;MAX(Veri!$I$5:$I$2004),"",INDEX(Veri!$B$5:$B$2004,MATCH(5,Veri!$I$5:$I$2004,0)))</f>
        <v>Perakende</v>
      </c>
      <c r="L9" s="16" t="n">
        <f aca="false">IF(K9="","",SUMIFS(Veri!$E$5:$E$2004,Veri!$B$5:$B$2004,K9))</f>
        <v>11980</v>
      </c>
      <c r="M9" s="16" t="n">
        <f aca="false">IF(K9="","",L9+ROW()/1000000000)</f>
        <v>11980.000000009</v>
      </c>
      <c r="N9" s="16"/>
    </row>
    <row r="10" customFormat="false" ht="15" hidden="false" customHeight="false" outlineLevel="0" collapsed="false">
      <c r="A10" s="34" t="n">
        <f aca="false">IF(B10="","",6)</f>
        <v>6</v>
      </c>
      <c r="B10" s="26" t="str">
        <f aca="false">IFERROR(INDEX($K$5:$K$204,MATCH(LARGE($M$5:$M$204,6),$M$5:$M$204,0)),"")</f>
        <v>Müşteri Epsilon</v>
      </c>
      <c r="C10" s="28" t="n">
        <f aca="false">IF(B10="","",COUNTIF(Veri!$B$5:$B$2004,B10))</f>
        <v>14</v>
      </c>
      <c r="D10" s="27" t="n">
        <f aca="false">IF(B10="","",SUMIFS(Veri!$E$5:$E$2004,Veri!$B$5:$B$2004,B10))</f>
        <v>9535</v>
      </c>
      <c r="E10" s="35" t="n">
        <f aca="false">IF(B10="","",IF(SUM(Veri!$E$5:$E$2004)=0,0,D10/SUM(Veri!$E$5:$E$2004)))</f>
        <v>0.0824042865785153</v>
      </c>
      <c r="F10" s="35" t="n">
        <f aca="false">IF(B10="","",SUM(E$5:E10))</f>
        <v>1</v>
      </c>
      <c r="G10" s="36" t="str">
        <f aca="false">IF(B10="","",IF(F9&lt;0.8,"A",IF(F9&lt;0.95,"B","C")))</f>
        <v>B</v>
      </c>
      <c r="H10" s="27" t="n">
        <f aca="false">IF(OR(B10="",C10=0),"",D10/C10)</f>
        <v>681.071428571429</v>
      </c>
      <c r="I10" s="37" t="n">
        <f aca="false">IF(B10="","",SUMPRODUCT(MAX((Veri!$B$5:$B$2004=B10)*Veri!$A$5:$A$2004)))</f>
        <v>46270</v>
      </c>
      <c r="J10" s="26"/>
      <c r="K10" s="26" t="str">
        <f aca="false">IF(6&gt;MAX(Veri!$I$5:$I$2004),"",INDEX(Veri!$B$5:$B$2004,MATCH(6,Veri!$I$5:$I$2004,0)))</f>
        <v>Müşteri Alfa</v>
      </c>
      <c r="L10" s="26" t="n">
        <f aca="false">IF(K10="","",SUMIFS(Veri!$E$5:$E$2004,Veri!$B$5:$B$2004,K10))</f>
        <v>28610</v>
      </c>
      <c r="M10" s="26" t="n">
        <f aca="false">IF(K10="","",L10+ROW()/1000000000)</f>
        <v>28610.00000001</v>
      </c>
      <c r="N10" s="26"/>
    </row>
    <row r="11" customFormat="false" ht="15" hidden="false" customHeight="false" outlineLevel="0" collapsed="false">
      <c r="A11" s="30" t="str">
        <f aca="false">IF(B11="","",7)</f>
        <v/>
      </c>
      <c r="B11" s="16" t="str">
        <f aca="false">IFERROR(INDEX($K$5:$K$204,MATCH(LARGE($M$5:$M$204,7),$M$5:$M$204,0)),"")</f>
        <v/>
      </c>
      <c r="C11" s="24" t="str">
        <f aca="false">IF(B11="","",COUNTIF(Veri!$B$5:$B$2004,B11))</f>
        <v/>
      </c>
      <c r="D11" s="23" t="str">
        <f aca="false">IF(B11="","",SUMIFS(Veri!$E$5:$E$2004,Veri!$B$5:$B$2004,B11))</f>
        <v/>
      </c>
      <c r="E11" s="31" t="str">
        <f aca="false">IF(B11="","",IF(SUM(Veri!$E$5:$E$2004)=0,0,D11/SUM(Veri!$E$5:$E$2004)))</f>
        <v/>
      </c>
      <c r="F11" s="31" t="str">
        <f aca="false">IF(B11="","",SUM(E$5:E11))</f>
        <v/>
      </c>
      <c r="G11" s="32" t="str">
        <f aca="false">IF(B11="","",IF(F10&lt;0.8,"A",IF(F10&lt;0.95,"B","C")))</f>
        <v/>
      </c>
      <c r="H11" s="23" t="str">
        <f aca="false">IF(OR(B11="",C11=0),"",D11/C11)</f>
        <v/>
      </c>
      <c r="I11" s="33" t="str">
        <f aca="false">IF(B11="","",SUMPRODUCT(MAX((Veri!$B$5:$B$2004=B11)*Veri!$A$5:$A$2004)))</f>
        <v/>
      </c>
      <c r="J11" s="16"/>
      <c r="K11" s="16" t="str">
        <f aca="false">IF(7&gt;MAX(Veri!$I$5:$I$2004),"",INDEX(Veri!$B$5:$B$2004,MATCH(7,Veri!$I$5:$I$2004,0)))</f>
        <v/>
      </c>
      <c r="L11" s="16" t="str">
        <f aca="false">IF(K11="","",SUMIFS(Veri!$E$5:$E$2004,Veri!$B$5:$B$2004,K11))</f>
        <v/>
      </c>
      <c r="M11" s="16" t="str">
        <f aca="false">IF(K11="","",L11+ROW()/1000000000)</f>
        <v/>
      </c>
      <c r="N11" s="16"/>
    </row>
    <row r="12" customFormat="false" ht="15" hidden="false" customHeight="false" outlineLevel="0" collapsed="false">
      <c r="A12" s="34" t="str">
        <f aca="false">IF(B12="","",8)</f>
        <v/>
      </c>
      <c r="B12" s="26" t="str">
        <f aca="false">IFERROR(INDEX($K$5:$K$204,MATCH(LARGE($M$5:$M$204,8),$M$5:$M$204,0)),"")</f>
        <v/>
      </c>
      <c r="C12" s="28" t="str">
        <f aca="false">IF(B12="","",COUNTIF(Veri!$B$5:$B$2004,B12))</f>
        <v/>
      </c>
      <c r="D12" s="27" t="str">
        <f aca="false">IF(B12="","",SUMIFS(Veri!$E$5:$E$2004,Veri!$B$5:$B$2004,B12))</f>
        <v/>
      </c>
      <c r="E12" s="35" t="str">
        <f aca="false">IF(B12="","",IF(SUM(Veri!$E$5:$E$2004)=0,0,D12/SUM(Veri!$E$5:$E$2004)))</f>
        <v/>
      </c>
      <c r="F12" s="35" t="str">
        <f aca="false">IF(B12="","",SUM(E$5:E12))</f>
        <v/>
      </c>
      <c r="G12" s="36" t="str">
        <f aca="false">IF(B12="","",IF(F11&lt;0.8,"A",IF(F11&lt;0.95,"B","C")))</f>
        <v/>
      </c>
      <c r="H12" s="27" t="str">
        <f aca="false">IF(OR(B12="",C12=0),"",D12/C12)</f>
        <v/>
      </c>
      <c r="I12" s="37" t="str">
        <f aca="false">IF(B12="","",SUMPRODUCT(MAX((Veri!$B$5:$B$2004=B12)*Veri!$A$5:$A$2004)))</f>
        <v/>
      </c>
      <c r="J12" s="26"/>
      <c r="K12" s="26" t="str">
        <f aca="false">IF(8&gt;MAX(Veri!$I$5:$I$2004),"",INDEX(Veri!$B$5:$B$2004,MATCH(8,Veri!$I$5:$I$2004,0)))</f>
        <v/>
      </c>
      <c r="L12" s="26" t="str">
        <f aca="false">IF(K12="","",SUMIFS(Veri!$E$5:$E$2004,Veri!$B$5:$B$2004,K12))</f>
        <v/>
      </c>
      <c r="M12" s="26" t="str">
        <f aca="false">IF(K12="","",L12+ROW()/1000000000)</f>
        <v/>
      </c>
      <c r="N12" s="26"/>
    </row>
    <row r="13" customFormat="false" ht="15" hidden="false" customHeight="false" outlineLevel="0" collapsed="false">
      <c r="A13" s="30" t="str">
        <f aca="false">IF(B13="","",9)</f>
        <v/>
      </c>
      <c r="B13" s="16" t="str">
        <f aca="false">IFERROR(INDEX($K$5:$K$204,MATCH(LARGE($M$5:$M$204,9),$M$5:$M$204,0)),"")</f>
        <v/>
      </c>
      <c r="C13" s="24" t="str">
        <f aca="false">IF(B13="","",COUNTIF(Veri!$B$5:$B$2004,B13))</f>
        <v/>
      </c>
      <c r="D13" s="23" t="str">
        <f aca="false">IF(B13="","",SUMIFS(Veri!$E$5:$E$2004,Veri!$B$5:$B$2004,B13))</f>
        <v/>
      </c>
      <c r="E13" s="31" t="str">
        <f aca="false">IF(B13="","",IF(SUM(Veri!$E$5:$E$2004)=0,0,D13/SUM(Veri!$E$5:$E$2004)))</f>
        <v/>
      </c>
      <c r="F13" s="31" t="str">
        <f aca="false">IF(B13="","",SUM(E$5:E13))</f>
        <v/>
      </c>
      <c r="G13" s="32" t="str">
        <f aca="false">IF(B13="","",IF(F12&lt;0.8,"A",IF(F12&lt;0.95,"B","C")))</f>
        <v/>
      </c>
      <c r="H13" s="23" t="str">
        <f aca="false">IF(OR(B13="",C13=0),"",D13/C13)</f>
        <v/>
      </c>
      <c r="I13" s="33" t="str">
        <f aca="false">IF(B13="","",SUMPRODUCT(MAX((Veri!$B$5:$B$2004=B13)*Veri!$A$5:$A$2004)))</f>
        <v/>
      </c>
      <c r="J13" s="16"/>
      <c r="K13" s="16" t="str">
        <f aca="false">IF(9&gt;MAX(Veri!$I$5:$I$2004),"",INDEX(Veri!$B$5:$B$2004,MATCH(9,Veri!$I$5:$I$2004,0)))</f>
        <v/>
      </c>
      <c r="L13" s="16" t="str">
        <f aca="false">IF(K13="","",SUMIFS(Veri!$E$5:$E$2004,Veri!$B$5:$B$2004,K13))</f>
        <v/>
      </c>
      <c r="M13" s="16" t="str">
        <f aca="false">IF(K13="","",L13+ROW()/1000000000)</f>
        <v/>
      </c>
      <c r="N13" s="16"/>
    </row>
    <row r="14" customFormat="false" ht="15" hidden="false" customHeight="false" outlineLevel="0" collapsed="false">
      <c r="A14" s="34" t="str">
        <f aca="false">IF(B14="","",10)</f>
        <v/>
      </c>
      <c r="B14" s="26" t="str">
        <f aca="false">IFERROR(INDEX($K$5:$K$204,MATCH(LARGE($M$5:$M$204,10),$M$5:$M$204,0)),"")</f>
        <v/>
      </c>
      <c r="C14" s="28" t="str">
        <f aca="false">IF(B14="","",COUNTIF(Veri!$B$5:$B$2004,B14))</f>
        <v/>
      </c>
      <c r="D14" s="27" t="str">
        <f aca="false">IF(B14="","",SUMIFS(Veri!$E$5:$E$2004,Veri!$B$5:$B$2004,B14))</f>
        <v/>
      </c>
      <c r="E14" s="35" t="str">
        <f aca="false">IF(B14="","",IF(SUM(Veri!$E$5:$E$2004)=0,0,D14/SUM(Veri!$E$5:$E$2004)))</f>
        <v/>
      </c>
      <c r="F14" s="35" t="str">
        <f aca="false">IF(B14="","",SUM(E$5:E14))</f>
        <v/>
      </c>
      <c r="G14" s="36" t="str">
        <f aca="false">IF(B14="","",IF(F13&lt;0.8,"A",IF(F13&lt;0.95,"B","C")))</f>
        <v/>
      </c>
      <c r="H14" s="27" t="str">
        <f aca="false">IF(OR(B14="",C14=0),"",D14/C14)</f>
        <v/>
      </c>
      <c r="I14" s="37" t="str">
        <f aca="false">IF(B14="","",SUMPRODUCT(MAX((Veri!$B$5:$B$2004=B14)*Veri!$A$5:$A$2004)))</f>
        <v/>
      </c>
      <c r="J14" s="26"/>
      <c r="K14" s="26" t="str">
        <f aca="false">IF(10&gt;MAX(Veri!$I$5:$I$2004),"",INDEX(Veri!$B$5:$B$2004,MATCH(10,Veri!$I$5:$I$2004,0)))</f>
        <v/>
      </c>
      <c r="L14" s="26" t="str">
        <f aca="false">IF(K14="","",SUMIFS(Veri!$E$5:$E$2004,Veri!$B$5:$B$2004,K14))</f>
        <v/>
      </c>
      <c r="M14" s="26" t="str">
        <f aca="false">IF(K14="","",L14+ROW()/1000000000)</f>
        <v/>
      </c>
      <c r="N14" s="26"/>
    </row>
    <row r="15" customFormat="false" ht="15" hidden="false" customHeight="false" outlineLevel="0" collapsed="false">
      <c r="A15" s="30" t="str">
        <f aca="false">IF(B15="","",11)</f>
        <v/>
      </c>
      <c r="B15" s="16" t="str">
        <f aca="false">IFERROR(INDEX($K$5:$K$204,MATCH(LARGE($M$5:$M$204,11),$M$5:$M$204,0)),"")</f>
        <v/>
      </c>
      <c r="C15" s="24" t="str">
        <f aca="false">IF(B15="","",COUNTIF(Veri!$B$5:$B$2004,B15))</f>
        <v/>
      </c>
      <c r="D15" s="23" t="str">
        <f aca="false">IF(B15="","",SUMIFS(Veri!$E$5:$E$2004,Veri!$B$5:$B$2004,B15))</f>
        <v/>
      </c>
      <c r="E15" s="31" t="str">
        <f aca="false">IF(B15="","",IF(SUM(Veri!$E$5:$E$2004)=0,0,D15/SUM(Veri!$E$5:$E$2004)))</f>
        <v/>
      </c>
      <c r="F15" s="31" t="str">
        <f aca="false">IF(B15="","",SUM(E$5:E15))</f>
        <v/>
      </c>
      <c r="G15" s="32" t="str">
        <f aca="false">IF(B15="","",IF(F14&lt;0.8,"A",IF(F14&lt;0.95,"B","C")))</f>
        <v/>
      </c>
      <c r="H15" s="23" t="str">
        <f aca="false">IF(OR(B15="",C15=0),"",D15/C15)</f>
        <v/>
      </c>
      <c r="I15" s="33" t="str">
        <f aca="false">IF(B15="","",SUMPRODUCT(MAX((Veri!$B$5:$B$2004=B15)*Veri!$A$5:$A$2004)))</f>
        <v/>
      </c>
      <c r="J15" s="16"/>
      <c r="K15" s="16" t="str">
        <f aca="false">IF(11&gt;MAX(Veri!$I$5:$I$2004),"",INDEX(Veri!$B$5:$B$2004,MATCH(11,Veri!$I$5:$I$2004,0)))</f>
        <v/>
      </c>
      <c r="L15" s="16" t="str">
        <f aca="false">IF(K15="","",SUMIFS(Veri!$E$5:$E$2004,Veri!$B$5:$B$2004,K15))</f>
        <v/>
      </c>
      <c r="M15" s="16" t="str">
        <f aca="false">IF(K15="","",L15+ROW()/1000000000)</f>
        <v/>
      </c>
      <c r="N15" s="16"/>
    </row>
    <row r="16" customFormat="false" ht="15" hidden="false" customHeight="false" outlineLevel="0" collapsed="false">
      <c r="A16" s="34" t="str">
        <f aca="false">IF(B16="","",12)</f>
        <v/>
      </c>
      <c r="B16" s="26" t="str">
        <f aca="false">IFERROR(INDEX($K$5:$K$204,MATCH(LARGE($M$5:$M$204,12),$M$5:$M$204,0)),"")</f>
        <v/>
      </c>
      <c r="C16" s="28" t="str">
        <f aca="false">IF(B16="","",COUNTIF(Veri!$B$5:$B$2004,B16))</f>
        <v/>
      </c>
      <c r="D16" s="27" t="str">
        <f aca="false">IF(B16="","",SUMIFS(Veri!$E$5:$E$2004,Veri!$B$5:$B$2004,B16))</f>
        <v/>
      </c>
      <c r="E16" s="35" t="str">
        <f aca="false">IF(B16="","",IF(SUM(Veri!$E$5:$E$2004)=0,0,D16/SUM(Veri!$E$5:$E$2004)))</f>
        <v/>
      </c>
      <c r="F16" s="35" t="str">
        <f aca="false">IF(B16="","",SUM(E$5:E16))</f>
        <v/>
      </c>
      <c r="G16" s="36" t="str">
        <f aca="false">IF(B16="","",IF(F15&lt;0.8,"A",IF(F15&lt;0.95,"B","C")))</f>
        <v/>
      </c>
      <c r="H16" s="27" t="str">
        <f aca="false">IF(OR(B16="",C16=0),"",D16/C16)</f>
        <v/>
      </c>
      <c r="I16" s="37" t="str">
        <f aca="false">IF(B16="","",SUMPRODUCT(MAX((Veri!$B$5:$B$2004=B16)*Veri!$A$5:$A$2004)))</f>
        <v/>
      </c>
      <c r="J16" s="26"/>
      <c r="K16" s="26" t="str">
        <f aca="false">IF(12&gt;MAX(Veri!$I$5:$I$2004),"",INDEX(Veri!$B$5:$B$2004,MATCH(12,Veri!$I$5:$I$2004,0)))</f>
        <v/>
      </c>
      <c r="L16" s="26" t="str">
        <f aca="false">IF(K16="","",SUMIFS(Veri!$E$5:$E$2004,Veri!$B$5:$B$2004,K16))</f>
        <v/>
      </c>
      <c r="M16" s="26" t="str">
        <f aca="false">IF(K16="","",L16+ROW()/1000000000)</f>
        <v/>
      </c>
      <c r="N16" s="26"/>
    </row>
    <row r="17" customFormat="false" ht="15" hidden="false" customHeight="false" outlineLevel="0" collapsed="false">
      <c r="A17" s="30" t="str">
        <f aca="false">IF(B17="","",13)</f>
        <v/>
      </c>
      <c r="B17" s="16" t="str">
        <f aca="false">IFERROR(INDEX($K$5:$K$204,MATCH(LARGE($M$5:$M$204,13),$M$5:$M$204,0)),"")</f>
        <v/>
      </c>
      <c r="C17" s="24" t="str">
        <f aca="false">IF(B17="","",COUNTIF(Veri!$B$5:$B$2004,B17))</f>
        <v/>
      </c>
      <c r="D17" s="23" t="str">
        <f aca="false">IF(B17="","",SUMIFS(Veri!$E$5:$E$2004,Veri!$B$5:$B$2004,B17))</f>
        <v/>
      </c>
      <c r="E17" s="31" t="str">
        <f aca="false">IF(B17="","",IF(SUM(Veri!$E$5:$E$2004)=0,0,D17/SUM(Veri!$E$5:$E$2004)))</f>
        <v/>
      </c>
      <c r="F17" s="31" t="str">
        <f aca="false">IF(B17="","",SUM(E$5:E17))</f>
        <v/>
      </c>
      <c r="G17" s="32" t="str">
        <f aca="false">IF(B17="","",IF(F16&lt;0.8,"A",IF(F16&lt;0.95,"B","C")))</f>
        <v/>
      </c>
      <c r="H17" s="23" t="str">
        <f aca="false">IF(OR(B17="",C17=0),"",D17/C17)</f>
        <v/>
      </c>
      <c r="I17" s="33" t="str">
        <f aca="false">IF(B17="","",SUMPRODUCT(MAX((Veri!$B$5:$B$2004=B17)*Veri!$A$5:$A$2004)))</f>
        <v/>
      </c>
      <c r="J17" s="16"/>
      <c r="K17" s="16" t="str">
        <f aca="false">IF(13&gt;MAX(Veri!$I$5:$I$2004),"",INDEX(Veri!$B$5:$B$2004,MATCH(13,Veri!$I$5:$I$2004,0)))</f>
        <v/>
      </c>
      <c r="L17" s="16" t="str">
        <f aca="false">IF(K17="","",SUMIFS(Veri!$E$5:$E$2004,Veri!$B$5:$B$2004,K17))</f>
        <v/>
      </c>
      <c r="M17" s="16" t="str">
        <f aca="false">IF(K17="","",L17+ROW()/1000000000)</f>
        <v/>
      </c>
      <c r="N17" s="16"/>
    </row>
    <row r="18" customFormat="false" ht="15" hidden="false" customHeight="false" outlineLevel="0" collapsed="false">
      <c r="A18" s="34" t="str">
        <f aca="false">IF(B18="","",14)</f>
        <v/>
      </c>
      <c r="B18" s="26" t="str">
        <f aca="false">IFERROR(INDEX($K$5:$K$204,MATCH(LARGE($M$5:$M$204,14),$M$5:$M$204,0)),"")</f>
        <v/>
      </c>
      <c r="C18" s="28" t="str">
        <f aca="false">IF(B18="","",COUNTIF(Veri!$B$5:$B$2004,B18))</f>
        <v/>
      </c>
      <c r="D18" s="27" t="str">
        <f aca="false">IF(B18="","",SUMIFS(Veri!$E$5:$E$2004,Veri!$B$5:$B$2004,B18))</f>
        <v/>
      </c>
      <c r="E18" s="35" t="str">
        <f aca="false">IF(B18="","",IF(SUM(Veri!$E$5:$E$2004)=0,0,D18/SUM(Veri!$E$5:$E$2004)))</f>
        <v/>
      </c>
      <c r="F18" s="35" t="str">
        <f aca="false">IF(B18="","",SUM(E$5:E18))</f>
        <v/>
      </c>
      <c r="G18" s="36" t="str">
        <f aca="false">IF(B18="","",IF(F17&lt;0.8,"A",IF(F17&lt;0.95,"B","C")))</f>
        <v/>
      </c>
      <c r="H18" s="27" t="str">
        <f aca="false">IF(OR(B18="",C18=0),"",D18/C18)</f>
        <v/>
      </c>
      <c r="I18" s="37" t="str">
        <f aca="false">IF(B18="","",SUMPRODUCT(MAX((Veri!$B$5:$B$2004=B18)*Veri!$A$5:$A$2004)))</f>
        <v/>
      </c>
      <c r="J18" s="26"/>
      <c r="K18" s="26" t="str">
        <f aca="false">IF(14&gt;MAX(Veri!$I$5:$I$2004),"",INDEX(Veri!$B$5:$B$2004,MATCH(14,Veri!$I$5:$I$2004,0)))</f>
        <v/>
      </c>
      <c r="L18" s="26" t="str">
        <f aca="false">IF(K18="","",SUMIFS(Veri!$E$5:$E$2004,Veri!$B$5:$B$2004,K18))</f>
        <v/>
      </c>
      <c r="M18" s="26" t="str">
        <f aca="false">IF(K18="","",L18+ROW()/1000000000)</f>
        <v/>
      </c>
      <c r="N18" s="26"/>
    </row>
    <row r="19" customFormat="false" ht="15" hidden="false" customHeight="false" outlineLevel="0" collapsed="false">
      <c r="A19" s="30" t="str">
        <f aca="false">IF(B19="","",15)</f>
        <v/>
      </c>
      <c r="B19" s="16" t="str">
        <f aca="false">IFERROR(INDEX($K$5:$K$204,MATCH(LARGE($M$5:$M$204,15),$M$5:$M$204,0)),"")</f>
        <v/>
      </c>
      <c r="C19" s="24" t="str">
        <f aca="false">IF(B19="","",COUNTIF(Veri!$B$5:$B$2004,B19))</f>
        <v/>
      </c>
      <c r="D19" s="23" t="str">
        <f aca="false">IF(B19="","",SUMIFS(Veri!$E$5:$E$2004,Veri!$B$5:$B$2004,B19))</f>
        <v/>
      </c>
      <c r="E19" s="31" t="str">
        <f aca="false">IF(B19="","",IF(SUM(Veri!$E$5:$E$2004)=0,0,D19/SUM(Veri!$E$5:$E$2004)))</f>
        <v/>
      </c>
      <c r="F19" s="31" t="str">
        <f aca="false">IF(B19="","",SUM(E$5:E19))</f>
        <v/>
      </c>
      <c r="G19" s="32" t="str">
        <f aca="false">IF(B19="","",IF(F18&lt;0.8,"A",IF(F18&lt;0.95,"B","C")))</f>
        <v/>
      </c>
      <c r="H19" s="23" t="str">
        <f aca="false">IF(OR(B19="",C19=0),"",D19/C19)</f>
        <v/>
      </c>
      <c r="I19" s="33" t="str">
        <f aca="false">IF(B19="","",SUMPRODUCT(MAX((Veri!$B$5:$B$2004=B19)*Veri!$A$5:$A$2004)))</f>
        <v/>
      </c>
      <c r="J19" s="16"/>
      <c r="K19" s="16" t="str">
        <f aca="false">IF(15&gt;MAX(Veri!$I$5:$I$2004),"",INDEX(Veri!$B$5:$B$2004,MATCH(15,Veri!$I$5:$I$2004,0)))</f>
        <v/>
      </c>
      <c r="L19" s="16" t="str">
        <f aca="false">IF(K19="","",SUMIFS(Veri!$E$5:$E$2004,Veri!$B$5:$B$2004,K19))</f>
        <v/>
      </c>
      <c r="M19" s="16" t="str">
        <f aca="false">IF(K19="","",L19+ROW()/1000000000)</f>
        <v/>
      </c>
      <c r="N19" s="16"/>
    </row>
    <row r="20" customFormat="false" ht="15" hidden="false" customHeight="false" outlineLevel="0" collapsed="false">
      <c r="A20" s="34" t="str">
        <f aca="false">IF(B20="","",16)</f>
        <v/>
      </c>
      <c r="B20" s="26" t="str">
        <f aca="false">IFERROR(INDEX($K$5:$K$204,MATCH(LARGE($M$5:$M$204,16),$M$5:$M$204,0)),"")</f>
        <v/>
      </c>
      <c r="C20" s="28" t="str">
        <f aca="false">IF(B20="","",COUNTIF(Veri!$B$5:$B$2004,B20))</f>
        <v/>
      </c>
      <c r="D20" s="27" t="str">
        <f aca="false">IF(B20="","",SUMIFS(Veri!$E$5:$E$2004,Veri!$B$5:$B$2004,B20))</f>
        <v/>
      </c>
      <c r="E20" s="35" t="str">
        <f aca="false">IF(B20="","",IF(SUM(Veri!$E$5:$E$2004)=0,0,D20/SUM(Veri!$E$5:$E$2004)))</f>
        <v/>
      </c>
      <c r="F20" s="35" t="str">
        <f aca="false">IF(B20="","",SUM(E$5:E20))</f>
        <v/>
      </c>
      <c r="G20" s="36" t="str">
        <f aca="false">IF(B20="","",IF(F19&lt;0.8,"A",IF(F19&lt;0.95,"B","C")))</f>
        <v/>
      </c>
      <c r="H20" s="27" t="str">
        <f aca="false">IF(OR(B20="",C20=0),"",D20/C20)</f>
        <v/>
      </c>
      <c r="I20" s="37" t="str">
        <f aca="false">IF(B20="","",SUMPRODUCT(MAX((Veri!$B$5:$B$2004=B20)*Veri!$A$5:$A$2004)))</f>
        <v/>
      </c>
      <c r="J20" s="26"/>
      <c r="K20" s="26" t="str">
        <f aca="false">IF(16&gt;MAX(Veri!$I$5:$I$2004),"",INDEX(Veri!$B$5:$B$2004,MATCH(16,Veri!$I$5:$I$2004,0)))</f>
        <v/>
      </c>
      <c r="L20" s="26" t="str">
        <f aca="false">IF(K20="","",SUMIFS(Veri!$E$5:$E$2004,Veri!$B$5:$B$2004,K20))</f>
        <v/>
      </c>
      <c r="M20" s="26" t="str">
        <f aca="false">IF(K20="","",L20+ROW()/1000000000)</f>
        <v/>
      </c>
      <c r="N20" s="26"/>
    </row>
    <row r="21" customFormat="false" ht="15" hidden="false" customHeight="false" outlineLevel="0" collapsed="false">
      <c r="A21" s="30" t="str">
        <f aca="false">IF(B21="","",17)</f>
        <v/>
      </c>
      <c r="B21" s="16" t="str">
        <f aca="false">IFERROR(INDEX($K$5:$K$204,MATCH(LARGE($M$5:$M$204,17),$M$5:$M$204,0)),"")</f>
        <v/>
      </c>
      <c r="C21" s="24" t="str">
        <f aca="false">IF(B21="","",COUNTIF(Veri!$B$5:$B$2004,B21))</f>
        <v/>
      </c>
      <c r="D21" s="23" t="str">
        <f aca="false">IF(B21="","",SUMIFS(Veri!$E$5:$E$2004,Veri!$B$5:$B$2004,B21))</f>
        <v/>
      </c>
      <c r="E21" s="31" t="str">
        <f aca="false">IF(B21="","",IF(SUM(Veri!$E$5:$E$2004)=0,0,D21/SUM(Veri!$E$5:$E$2004)))</f>
        <v/>
      </c>
      <c r="F21" s="31" t="str">
        <f aca="false">IF(B21="","",SUM(E$5:E21))</f>
        <v/>
      </c>
      <c r="G21" s="32" t="str">
        <f aca="false">IF(B21="","",IF(F20&lt;0.8,"A",IF(F20&lt;0.95,"B","C")))</f>
        <v/>
      </c>
      <c r="H21" s="23" t="str">
        <f aca="false">IF(OR(B21="",C21=0),"",D21/C21)</f>
        <v/>
      </c>
      <c r="I21" s="33" t="str">
        <f aca="false">IF(B21="","",SUMPRODUCT(MAX((Veri!$B$5:$B$2004=B21)*Veri!$A$5:$A$2004)))</f>
        <v/>
      </c>
      <c r="J21" s="16"/>
      <c r="K21" s="16" t="str">
        <f aca="false">IF(17&gt;MAX(Veri!$I$5:$I$2004),"",INDEX(Veri!$B$5:$B$2004,MATCH(17,Veri!$I$5:$I$2004,0)))</f>
        <v/>
      </c>
      <c r="L21" s="16" t="str">
        <f aca="false">IF(K21="","",SUMIFS(Veri!$E$5:$E$2004,Veri!$B$5:$B$2004,K21))</f>
        <v/>
      </c>
      <c r="M21" s="16" t="str">
        <f aca="false">IF(K21="","",L21+ROW()/1000000000)</f>
        <v/>
      </c>
      <c r="N21" s="16"/>
    </row>
    <row r="22" customFormat="false" ht="15" hidden="false" customHeight="false" outlineLevel="0" collapsed="false">
      <c r="A22" s="34" t="str">
        <f aca="false">IF(B22="","",18)</f>
        <v/>
      </c>
      <c r="B22" s="26" t="str">
        <f aca="false">IFERROR(INDEX($K$5:$K$204,MATCH(LARGE($M$5:$M$204,18),$M$5:$M$204,0)),"")</f>
        <v/>
      </c>
      <c r="C22" s="28" t="str">
        <f aca="false">IF(B22="","",COUNTIF(Veri!$B$5:$B$2004,B22))</f>
        <v/>
      </c>
      <c r="D22" s="27" t="str">
        <f aca="false">IF(B22="","",SUMIFS(Veri!$E$5:$E$2004,Veri!$B$5:$B$2004,B22))</f>
        <v/>
      </c>
      <c r="E22" s="35" t="str">
        <f aca="false">IF(B22="","",IF(SUM(Veri!$E$5:$E$2004)=0,0,D22/SUM(Veri!$E$5:$E$2004)))</f>
        <v/>
      </c>
      <c r="F22" s="35" t="str">
        <f aca="false">IF(B22="","",SUM(E$5:E22))</f>
        <v/>
      </c>
      <c r="G22" s="36" t="str">
        <f aca="false">IF(B22="","",IF(F21&lt;0.8,"A",IF(F21&lt;0.95,"B","C")))</f>
        <v/>
      </c>
      <c r="H22" s="27" t="str">
        <f aca="false">IF(OR(B22="",C22=0),"",D22/C22)</f>
        <v/>
      </c>
      <c r="I22" s="37" t="str">
        <f aca="false">IF(B22="","",SUMPRODUCT(MAX((Veri!$B$5:$B$2004=B22)*Veri!$A$5:$A$2004)))</f>
        <v/>
      </c>
      <c r="J22" s="26"/>
      <c r="K22" s="26" t="str">
        <f aca="false">IF(18&gt;MAX(Veri!$I$5:$I$2004),"",INDEX(Veri!$B$5:$B$2004,MATCH(18,Veri!$I$5:$I$2004,0)))</f>
        <v/>
      </c>
      <c r="L22" s="26" t="str">
        <f aca="false">IF(K22="","",SUMIFS(Veri!$E$5:$E$2004,Veri!$B$5:$B$2004,K22))</f>
        <v/>
      </c>
      <c r="M22" s="26" t="str">
        <f aca="false">IF(K22="","",L22+ROW()/1000000000)</f>
        <v/>
      </c>
      <c r="N22" s="26"/>
    </row>
    <row r="23" customFormat="false" ht="15" hidden="false" customHeight="false" outlineLevel="0" collapsed="false">
      <c r="A23" s="30" t="str">
        <f aca="false">IF(B23="","",19)</f>
        <v/>
      </c>
      <c r="B23" s="16" t="str">
        <f aca="false">IFERROR(INDEX($K$5:$K$204,MATCH(LARGE($M$5:$M$204,19),$M$5:$M$204,0)),"")</f>
        <v/>
      </c>
      <c r="C23" s="24" t="str">
        <f aca="false">IF(B23="","",COUNTIF(Veri!$B$5:$B$2004,B23))</f>
        <v/>
      </c>
      <c r="D23" s="23" t="str">
        <f aca="false">IF(B23="","",SUMIFS(Veri!$E$5:$E$2004,Veri!$B$5:$B$2004,B23))</f>
        <v/>
      </c>
      <c r="E23" s="31" t="str">
        <f aca="false">IF(B23="","",IF(SUM(Veri!$E$5:$E$2004)=0,0,D23/SUM(Veri!$E$5:$E$2004)))</f>
        <v/>
      </c>
      <c r="F23" s="31" t="str">
        <f aca="false">IF(B23="","",SUM(E$5:E23))</f>
        <v/>
      </c>
      <c r="G23" s="32" t="str">
        <f aca="false">IF(B23="","",IF(F22&lt;0.8,"A",IF(F22&lt;0.95,"B","C")))</f>
        <v/>
      </c>
      <c r="H23" s="23" t="str">
        <f aca="false">IF(OR(B23="",C23=0),"",D23/C23)</f>
        <v/>
      </c>
      <c r="I23" s="33" t="str">
        <f aca="false">IF(B23="","",SUMPRODUCT(MAX((Veri!$B$5:$B$2004=B23)*Veri!$A$5:$A$2004)))</f>
        <v/>
      </c>
      <c r="J23" s="16"/>
      <c r="K23" s="16" t="str">
        <f aca="false">IF(19&gt;MAX(Veri!$I$5:$I$2004),"",INDEX(Veri!$B$5:$B$2004,MATCH(19,Veri!$I$5:$I$2004,0)))</f>
        <v/>
      </c>
      <c r="L23" s="16" t="str">
        <f aca="false">IF(K23="","",SUMIFS(Veri!$E$5:$E$2004,Veri!$B$5:$B$2004,K23))</f>
        <v/>
      </c>
      <c r="M23" s="16" t="str">
        <f aca="false">IF(K23="","",L23+ROW()/1000000000)</f>
        <v/>
      </c>
      <c r="N23" s="16"/>
    </row>
    <row r="24" customFormat="false" ht="15" hidden="false" customHeight="false" outlineLevel="0" collapsed="false">
      <c r="A24" s="34" t="str">
        <f aca="false">IF(B24="","",20)</f>
        <v/>
      </c>
      <c r="B24" s="26" t="str">
        <f aca="false">IFERROR(INDEX($K$5:$K$204,MATCH(LARGE($M$5:$M$204,20),$M$5:$M$204,0)),"")</f>
        <v/>
      </c>
      <c r="C24" s="28" t="str">
        <f aca="false">IF(B24="","",COUNTIF(Veri!$B$5:$B$2004,B24))</f>
        <v/>
      </c>
      <c r="D24" s="27" t="str">
        <f aca="false">IF(B24="","",SUMIFS(Veri!$E$5:$E$2004,Veri!$B$5:$B$2004,B24))</f>
        <v/>
      </c>
      <c r="E24" s="35" t="str">
        <f aca="false">IF(B24="","",IF(SUM(Veri!$E$5:$E$2004)=0,0,D24/SUM(Veri!$E$5:$E$2004)))</f>
        <v/>
      </c>
      <c r="F24" s="35" t="str">
        <f aca="false">IF(B24="","",SUM(E$5:E24))</f>
        <v/>
      </c>
      <c r="G24" s="36" t="str">
        <f aca="false">IF(B24="","",IF(F23&lt;0.8,"A",IF(F23&lt;0.95,"B","C")))</f>
        <v/>
      </c>
      <c r="H24" s="27" t="str">
        <f aca="false">IF(OR(B24="",C24=0),"",D24/C24)</f>
        <v/>
      </c>
      <c r="I24" s="37" t="str">
        <f aca="false">IF(B24="","",SUMPRODUCT(MAX((Veri!$B$5:$B$2004=B24)*Veri!$A$5:$A$2004)))</f>
        <v/>
      </c>
      <c r="J24" s="26"/>
      <c r="K24" s="26" t="str">
        <f aca="false">IF(20&gt;MAX(Veri!$I$5:$I$2004),"",INDEX(Veri!$B$5:$B$2004,MATCH(20,Veri!$I$5:$I$2004,0)))</f>
        <v/>
      </c>
      <c r="L24" s="26" t="str">
        <f aca="false">IF(K24="","",SUMIFS(Veri!$E$5:$E$2004,Veri!$B$5:$B$2004,K24))</f>
        <v/>
      </c>
      <c r="M24" s="26" t="str">
        <f aca="false">IF(K24="","",L24+ROW()/1000000000)</f>
        <v/>
      </c>
      <c r="N24" s="26"/>
    </row>
    <row r="25" customFormat="false" ht="15" hidden="false" customHeight="false" outlineLevel="0" collapsed="false">
      <c r="A25" s="30" t="str">
        <f aca="false">IF(B25="","",21)</f>
        <v/>
      </c>
      <c r="B25" s="16" t="str">
        <f aca="false">IFERROR(INDEX($K$5:$K$204,MATCH(LARGE($M$5:$M$204,21),$M$5:$M$204,0)),"")</f>
        <v/>
      </c>
      <c r="C25" s="24" t="str">
        <f aca="false">IF(B25="","",COUNTIF(Veri!$B$5:$B$2004,B25))</f>
        <v/>
      </c>
      <c r="D25" s="23" t="str">
        <f aca="false">IF(B25="","",SUMIFS(Veri!$E$5:$E$2004,Veri!$B$5:$B$2004,B25))</f>
        <v/>
      </c>
      <c r="E25" s="31" t="str">
        <f aca="false">IF(B25="","",IF(SUM(Veri!$E$5:$E$2004)=0,0,D25/SUM(Veri!$E$5:$E$2004)))</f>
        <v/>
      </c>
      <c r="F25" s="31" t="str">
        <f aca="false">IF(B25="","",SUM(E$5:E25))</f>
        <v/>
      </c>
      <c r="G25" s="32" t="str">
        <f aca="false">IF(B25="","",IF(F24&lt;0.8,"A",IF(F24&lt;0.95,"B","C")))</f>
        <v/>
      </c>
      <c r="H25" s="23" t="str">
        <f aca="false">IF(OR(B25="",C25=0),"",D25/C25)</f>
        <v/>
      </c>
      <c r="I25" s="33" t="str">
        <f aca="false">IF(B25="","",SUMPRODUCT(MAX((Veri!$B$5:$B$2004=B25)*Veri!$A$5:$A$2004)))</f>
        <v/>
      </c>
      <c r="J25" s="16"/>
      <c r="K25" s="16" t="str">
        <f aca="false">IF(21&gt;MAX(Veri!$I$5:$I$2004),"",INDEX(Veri!$B$5:$B$2004,MATCH(21,Veri!$I$5:$I$2004,0)))</f>
        <v/>
      </c>
      <c r="L25" s="16" t="str">
        <f aca="false">IF(K25="","",SUMIFS(Veri!$E$5:$E$2004,Veri!$B$5:$B$2004,K25))</f>
        <v/>
      </c>
      <c r="M25" s="16" t="str">
        <f aca="false">IF(K25="","",L25+ROW()/1000000000)</f>
        <v/>
      </c>
      <c r="N25" s="16"/>
    </row>
    <row r="26" customFormat="false" ht="15" hidden="false" customHeight="false" outlineLevel="0" collapsed="false">
      <c r="A26" s="34" t="str">
        <f aca="false">IF(B26="","",22)</f>
        <v/>
      </c>
      <c r="B26" s="26" t="str">
        <f aca="false">IFERROR(INDEX($K$5:$K$204,MATCH(LARGE($M$5:$M$204,22),$M$5:$M$204,0)),"")</f>
        <v/>
      </c>
      <c r="C26" s="28" t="str">
        <f aca="false">IF(B26="","",COUNTIF(Veri!$B$5:$B$2004,B26))</f>
        <v/>
      </c>
      <c r="D26" s="27" t="str">
        <f aca="false">IF(B26="","",SUMIFS(Veri!$E$5:$E$2004,Veri!$B$5:$B$2004,B26))</f>
        <v/>
      </c>
      <c r="E26" s="35" t="str">
        <f aca="false">IF(B26="","",IF(SUM(Veri!$E$5:$E$2004)=0,0,D26/SUM(Veri!$E$5:$E$2004)))</f>
        <v/>
      </c>
      <c r="F26" s="35" t="str">
        <f aca="false">IF(B26="","",SUM(E$5:E26))</f>
        <v/>
      </c>
      <c r="G26" s="36" t="str">
        <f aca="false">IF(B26="","",IF(F25&lt;0.8,"A",IF(F25&lt;0.95,"B","C")))</f>
        <v/>
      </c>
      <c r="H26" s="27" t="str">
        <f aca="false">IF(OR(B26="",C26=0),"",D26/C26)</f>
        <v/>
      </c>
      <c r="I26" s="37" t="str">
        <f aca="false">IF(B26="","",SUMPRODUCT(MAX((Veri!$B$5:$B$2004=B26)*Veri!$A$5:$A$2004)))</f>
        <v/>
      </c>
      <c r="J26" s="26"/>
      <c r="K26" s="26" t="str">
        <f aca="false">IF(22&gt;MAX(Veri!$I$5:$I$2004),"",INDEX(Veri!$B$5:$B$2004,MATCH(22,Veri!$I$5:$I$2004,0)))</f>
        <v/>
      </c>
      <c r="L26" s="26" t="str">
        <f aca="false">IF(K26="","",SUMIFS(Veri!$E$5:$E$2004,Veri!$B$5:$B$2004,K26))</f>
        <v/>
      </c>
      <c r="M26" s="26" t="str">
        <f aca="false">IF(K26="","",L26+ROW()/1000000000)</f>
        <v/>
      </c>
      <c r="N26" s="26"/>
    </row>
    <row r="27" customFormat="false" ht="15" hidden="false" customHeight="false" outlineLevel="0" collapsed="false">
      <c r="A27" s="30" t="str">
        <f aca="false">IF(B27="","",23)</f>
        <v/>
      </c>
      <c r="B27" s="16" t="str">
        <f aca="false">IFERROR(INDEX($K$5:$K$204,MATCH(LARGE($M$5:$M$204,23),$M$5:$M$204,0)),"")</f>
        <v/>
      </c>
      <c r="C27" s="24" t="str">
        <f aca="false">IF(B27="","",COUNTIF(Veri!$B$5:$B$2004,B27))</f>
        <v/>
      </c>
      <c r="D27" s="23" t="str">
        <f aca="false">IF(B27="","",SUMIFS(Veri!$E$5:$E$2004,Veri!$B$5:$B$2004,B27))</f>
        <v/>
      </c>
      <c r="E27" s="31" t="str">
        <f aca="false">IF(B27="","",IF(SUM(Veri!$E$5:$E$2004)=0,0,D27/SUM(Veri!$E$5:$E$2004)))</f>
        <v/>
      </c>
      <c r="F27" s="31" t="str">
        <f aca="false">IF(B27="","",SUM(E$5:E27))</f>
        <v/>
      </c>
      <c r="G27" s="32" t="str">
        <f aca="false">IF(B27="","",IF(F26&lt;0.8,"A",IF(F26&lt;0.95,"B","C")))</f>
        <v/>
      </c>
      <c r="H27" s="23" t="str">
        <f aca="false">IF(OR(B27="",C27=0),"",D27/C27)</f>
        <v/>
      </c>
      <c r="I27" s="33" t="str">
        <f aca="false">IF(B27="","",SUMPRODUCT(MAX((Veri!$B$5:$B$2004=B27)*Veri!$A$5:$A$2004)))</f>
        <v/>
      </c>
      <c r="J27" s="16"/>
      <c r="K27" s="16" t="str">
        <f aca="false">IF(23&gt;MAX(Veri!$I$5:$I$2004),"",INDEX(Veri!$B$5:$B$2004,MATCH(23,Veri!$I$5:$I$2004,0)))</f>
        <v/>
      </c>
      <c r="L27" s="16" t="str">
        <f aca="false">IF(K27="","",SUMIFS(Veri!$E$5:$E$2004,Veri!$B$5:$B$2004,K27))</f>
        <v/>
      </c>
      <c r="M27" s="16" t="str">
        <f aca="false">IF(K27="","",L27+ROW()/1000000000)</f>
        <v/>
      </c>
      <c r="N27" s="16"/>
    </row>
    <row r="28" customFormat="false" ht="15" hidden="false" customHeight="false" outlineLevel="0" collapsed="false">
      <c r="A28" s="34" t="str">
        <f aca="false">IF(B28="","",24)</f>
        <v/>
      </c>
      <c r="B28" s="26" t="str">
        <f aca="false">IFERROR(INDEX($K$5:$K$204,MATCH(LARGE($M$5:$M$204,24),$M$5:$M$204,0)),"")</f>
        <v/>
      </c>
      <c r="C28" s="28" t="str">
        <f aca="false">IF(B28="","",COUNTIF(Veri!$B$5:$B$2004,B28))</f>
        <v/>
      </c>
      <c r="D28" s="27" t="str">
        <f aca="false">IF(B28="","",SUMIFS(Veri!$E$5:$E$2004,Veri!$B$5:$B$2004,B28))</f>
        <v/>
      </c>
      <c r="E28" s="35" t="str">
        <f aca="false">IF(B28="","",IF(SUM(Veri!$E$5:$E$2004)=0,0,D28/SUM(Veri!$E$5:$E$2004)))</f>
        <v/>
      </c>
      <c r="F28" s="35" t="str">
        <f aca="false">IF(B28="","",SUM(E$5:E28))</f>
        <v/>
      </c>
      <c r="G28" s="36" t="str">
        <f aca="false">IF(B28="","",IF(F27&lt;0.8,"A",IF(F27&lt;0.95,"B","C")))</f>
        <v/>
      </c>
      <c r="H28" s="27" t="str">
        <f aca="false">IF(OR(B28="",C28=0),"",D28/C28)</f>
        <v/>
      </c>
      <c r="I28" s="37" t="str">
        <f aca="false">IF(B28="","",SUMPRODUCT(MAX((Veri!$B$5:$B$2004=B28)*Veri!$A$5:$A$2004)))</f>
        <v/>
      </c>
      <c r="J28" s="26"/>
      <c r="K28" s="26" t="str">
        <f aca="false">IF(24&gt;MAX(Veri!$I$5:$I$2004),"",INDEX(Veri!$B$5:$B$2004,MATCH(24,Veri!$I$5:$I$2004,0)))</f>
        <v/>
      </c>
      <c r="L28" s="26" t="str">
        <f aca="false">IF(K28="","",SUMIFS(Veri!$E$5:$E$2004,Veri!$B$5:$B$2004,K28))</f>
        <v/>
      </c>
      <c r="M28" s="26" t="str">
        <f aca="false">IF(K28="","",L28+ROW()/1000000000)</f>
        <v/>
      </c>
      <c r="N28" s="26"/>
    </row>
    <row r="29" customFormat="false" ht="15" hidden="false" customHeight="false" outlineLevel="0" collapsed="false">
      <c r="A29" s="30" t="str">
        <f aca="false">IF(B29="","",25)</f>
        <v/>
      </c>
      <c r="B29" s="16" t="str">
        <f aca="false">IFERROR(INDEX($K$5:$K$204,MATCH(LARGE($M$5:$M$204,25),$M$5:$M$204,0)),"")</f>
        <v/>
      </c>
      <c r="C29" s="24" t="str">
        <f aca="false">IF(B29="","",COUNTIF(Veri!$B$5:$B$2004,B29))</f>
        <v/>
      </c>
      <c r="D29" s="23" t="str">
        <f aca="false">IF(B29="","",SUMIFS(Veri!$E$5:$E$2004,Veri!$B$5:$B$2004,B29))</f>
        <v/>
      </c>
      <c r="E29" s="31" t="str">
        <f aca="false">IF(B29="","",IF(SUM(Veri!$E$5:$E$2004)=0,0,D29/SUM(Veri!$E$5:$E$2004)))</f>
        <v/>
      </c>
      <c r="F29" s="31" t="str">
        <f aca="false">IF(B29="","",SUM(E$5:E29))</f>
        <v/>
      </c>
      <c r="G29" s="32" t="str">
        <f aca="false">IF(B29="","",IF(F28&lt;0.8,"A",IF(F28&lt;0.95,"B","C")))</f>
        <v/>
      </c>
      <c r="H29" s="23" t="str">
        <f aca="false">IF(OR(B29="",C29=0),"",D29/C29)</f>
        <v/>
      </c>
      <c r="I29" s="33" t="str">
        <f aca="false">IF(B29="","",SUMPRODUCT(MAX((Veri!$B$5:$B$2004=B29)*Veri!$A$5:$A$2004)))</f>
        <v/>
      </c>
      <c r="J29" s="16"/>
      <c r="K29" s="16" t="str">
        <f aca="false">IF(25&gt;MAX(Veri!$I$5:$I$2004),"",INDEX(Veri!$B$5:$B$2004,MATCH(25,Veri!$I$5:$I$2004,0)))</f>
        <v/>
      </c>
      <c r="L29" s="16" t="str">
        <f aca="false">IF(K29="","",SUMIFS(Veri!$E$5:$E$2004,Veri!$B$5:$B$2004,K29))</f>
        <v/>
      </c>
      <c r="M29" s="16" t="str">
        <f aca="false">IF(K29="","",L29+ROW()/1000000000)</f>
        <v/>
      </c>
      <c r="N29" s="16"/>
    </row>
    <row r="30" customFormat="false" ht="15" hidden="false" customHeight="false" outlineLevel="0" collapsed="false">
      <c r="A30" s="34" t="str">
        <f aca="false">IF(B30="","",26)</f>
        <v/>
      </c>
      <c r="B30" s="26" t="str">
        <f aca="false">IFERROR(INDEX($K$5:$K$204,MATCH(LARGE($M$5:$M$204,26),$M$5:$M$204,0)),"")</f>
        <v/>
      </c>
      <c r="C30" s="28" t="str">
        <f aca="false">IF(B30="","",COUNTIF(Veri!$B$5:$B$2004,B30))</f>
        <v/>
      </c>
      <c r="D30" s="27" t="str">
        <f aca="false">IF(B30="","",SUMIFS(Veri!$E$5:$E$2004,Veri!$B$5:$B$2004,B30))</f>
        <v/>
      </c>
      <c r="E30" s="35" t="str">
        <f aca="false">IF(B30="","",IF(SUM(Veri!$E$5:$E$2004)=0,0,D30/SUM(Veri!$E$5:$E$2004)))</f>
        <v/>
      </c>
      <c r="F30" s="35" t="str">
        <f aca="false">IF(B30="","",SUM(E$5:E30))</f>
        <v/>
      </c>
      <c r="G30" s="36" t="str">
        <f aca="false">IF(B30="","",IF(F29&lt;0.8,"A",IF(F29&lt;0.95,"B","C")))</f>
        <v/>
      </c>
      <c r="H30" s="27" t="str">
        <f aca="false">IF(OR(B30="",C30=0),"",D30/C30)</f>
        <v/>
      </c>
      <c r="I30" s="37" t="str">
        <f aca="false">IF(B30="","",SUMPRODUCT(MAX((Veri!$B$5:$B$2004=B30)*Veri!$A$5:$A$2004)))</f>
        <v/>
      </c>
      <c r="J30" s="26"/>
      <c r="K30" s="26" t="str">
        <f aca="false">IF(26&gt;MAX(Veri!$I$5:$I$2004),"",INDEX(Veri!$B$5:$B$2004,MATCH(26,Veri!$I$5:$I$2004,0)))</f>
        <v/>
      </c>
      <c r="L30" s="26" t="str">
        <f aca="false">IF(K30="","",SUMIFS(Veri!$E$5:$E$2004,Veri!$B$5:$B$2004,K30))</f>
        <v/>
      </c>
      <c r="M30" s="26" t="str">
        <f aca="false">IF(K30="","",L30+ROW()/1000000000)</f>
        <v/>
      </c>
      <c r="N30" s="26"/>
    </row>
    <row r="31" customFormat="false" ht="15" hidden="false" customHeight="false" outlineLevel="0" collapsed="false">
      <c r="A31" s="30" t="str">
        <f aca="false">IF(B31="","",27)</f>
        <v/>
      </c>
      <c r="B31" s="16" t="str">
        <f aca="false">IFERROR(INDEX($K$5:$K$204,MATCH(LARGE($M$5:$M$204,27),$M$5:$M$204,0)),"")</f>
        <v/>
      </c>
      <c r="C31" s="24" t="str">
        <f aca="false">IF(B31="","",COUNTIF(Veri!$B$5:$B$2004,B31))</f>
        <v/>
      </c>
      <c r="D31" s="23" t="str">
        <f aca="false">IF(B31="","",SUMIFS(Veri!$E$5:$E$2004,Veri!$B$5:$B$2004,B31))</f>
        <v/>
      </c>
      <c r="E31" s="31" t="str">
        <f aca="false">IF(B31="","",IF(SUM(Veri!$E$5:$E$2004)=0,0,D31/SUM(Veri!$E$5:$E$2004)))</f>
        <v/>
      </c>
      <c r="F31" s="31" t="str">
        <f aca="false">IF(B31="","",SUM(E$5:E31))</f>
        <v/>
      </c>
      <c r="G31" s="32" t="str">
        <f aca="false">IF(B31="","",IF(F30&lt;0.8,"A",IF(F30&lt;0.95,"B","C")))</f>
        <v/>
      </c>
      <c r="H31" s="23" t="str">
        <f aca="false">IF(OR(B31="",C31=0),"",D31/C31)</f>
        <v/>
      </c>
      <c r="I31" s="33" t="str">
        <f aca="false">IF(B31="","",SUMPRODUCT(MAX((Veri!$B$5:$B$2004=B31)*Veri!$A$5:$A$2004)))</f>
        <v/>
      </c>
      <c r="J31" s="16"/>
      <c r="K31" s="16" t="str">
        <f aca="false">IF(27&gt;MAX(Veri!$I$5:$I$2004),"",INDEX(Veri!$B$5:$B$2004,MATCH(27,Veri!$I$5:$I$2004,0)))</f>
        <v/>
      </c>
      <c r="L31" s="16" t="str">
        <f aca="false">IF(K31="","",SUMIFS(Veri!$E$5:$E$2004,Veri!$B$5:$B$2004,K31))</f>
        <v/>
      </c>
      <c r="M31" s="16" t="str">
        <f aca="false">IF(K31="","",L31+ROW()/1000000000)</f>
        <v/>
      </c>
      <c r="N31" s="16"/>
    </row>
    <row r="32" customFormat="false" ht="15" hidden="false" customHeight="false" outlineLevel="0" collapsed="false">
      <c r="A32" s="34" t="str">
        <f aca="false">IF(B32="","",28)</f>
        <v/>
      </c>
      <c r="B32" s="26" t="str">
        <f aca="false">IFERROR(INDEX($K$5:$K$204,MATCH(LARGE($M$5:$M$204,28),$M$5:$M$204,0)),"")</f>
        <v/>
      </c>
      <c r="C32" s="28" t="str">
        <f aca="false">IF(B32="","",COUNTIF(Veri!$B$5:$B$2004,B32))</f>
        <v/>
      </c>
      <c r="D32" s="27" t="str">
        <f aca="false">IF(B32="","",SUMIFS(Veri!$E$5:$E$2004,Veri!$B$5:$B$2004,B32))</f>
        <v/>
      </c>
      <c r="E32" s="35" t="str">
        <f aca="false">IF(B32="","",IF(SUM(Veri!$E$5:$E$2004)=0,0,D32/SUM(Veri!$E$5:$E$2004)))</f>
        <v/>
      </c>
      <c r="F32" s="35" t="str">
        <f aca="false">IF(B32="","",SUM(E$5:E32))</f>
        <v/>
      </c>
      <c r="G32" s="36" t="str">
        <f aca="false">IF(B32="","",IF(F31&lt;0.8,"A",IF(F31&lt;0.95,"B","C")))</f>
        <v/>
      </c>
      <c r="H32" s="27" t="str">
        <f aca="false">IF(OR(B32="",C32=0),"",D32/C32)</f>
        <v/>
      </c>
      <c r="I32" s="37" t="str">
        <f aca="false">IF(B32="","",SUMPRODUCT(MAX((Veri!$B$5:$B$2004=B32)*Veri!$A$5:$A$2004)))</f>
        <v/>
      </c>
      <c r="J32" s="26"/>
      <c r="K32" s="26" t="str">
        <f aca="false">IF(28&gt;MAX(Veri!$I$5:$I$2004),"",INDEX(Veri!$B$5:$B$2004,MATCH(28,Veri!$I$5:$I$2004,0)))</f>
        <v/>
      </c>
      <c r="L32" s="26" t="str">
        <f aca="false">IF(K32="","",SUMIFS(Veri!$E$5:$E$2004,Veri!$B$5:$B$2004,K32))</f>
        <v/>
      </c>
      <c r="M32" s="26" t="str">
        <f aca="false">IF(K32="","",L32+ROW()/1000000000)</f>
        <v/>
      </c>
      <c r="N32" s="26"/>
    </row>
    <row r="33" customFormat="false" ht="15" hidden="false" customHeight="false" outlineLevel="0" collapsed="false">
      <c r="A33" s="30" t="str">
        <f aca="false">IF(B33="","",29)</f>
        <v/>
      </c>
      <c r="B33" s="16" t="str">
        <f aca="false">IFERROR(INDEX($K$5:$K$204,MATCH(LARGE($M$5:$M$204,29),$M$5:$M$204,0)),"")</f>
        <v/>
      </c>
      <c r="C33" s="24" t="str">
        <f aca="false">IF(B33="","",COUNTIF(Veri!$B$5:$B$2004,B33))</f>
        <v/>
      </c>
      <c r="D33" s="23" t="str">
        <f aca="false">IF(B33="","",SUMIFS(Veri!$E$5:$E$2004,Veri!$B$5:$B$2004,B33))</f>
        <v/>
      </c>
      <c r="E33" s="31" t="str">
        <f aca="false">IF(B33="","",IF(SUM(Veri!$E$5:$E$2004)=0,0,D33/SUM(Veri!$E$5:$E$2004)))</f>
        <v/>
      </c>
      <c r="F33" s="31" t="str">
        <f aca="false">IF(B33="","",SUM(E$5:E33))</f>
        <v/>
      </c>
      <c r="G33" s="32" t="str">
        <f aca="false">IF(B33="","",IF(F32&lt;0.8,"A",IF(F32&lt;0.95,"B","C")))</f>
        <v/>
      </c>
      <c r="H33" s="23" t="str">
        <f aca="false">IF(OR(B33="",C33=0),"",D33/C33)</f>
        <v/>
      </c>
      <c r="I33" s="33" t="str">
        <f aca="false">IF(B33="","",SUMPRODUCT(MAX((Veri!$B$5:$B$2004=B33)*Veri!$A$5:$A$2004)))</f>
        <v/>
      </c>
      <c r="J33" s="16"/>
      <c r="K33" s="16" t="str">
        <f aca="false">IF(29&gt;MAX(Veri!$I$5:$I$2004),"",INDEX(Veri!$B$5:$B$2004,MATCH(29,Veri!$I$5:$I$2004,0)))</f>
        <v/>
      </c>
      <c r="L33" s="16" t="str">
        <f aca="false">IF(K33="","",SUMIFS(Veri!$E$5:$E$2004,Veri!$B$5:$B$2004,K33))</f>
        <v/>
      </c>
      <c r="M33" s="16" t="str">
        <f aca="false">IF(K33="","",L33+ROW()/1000000000)</f>
        <v/>
      </c>
      <c r="N33" s="16"/>
    </row>
    <row r="34" customFormat="false" ht="15" hidden="false" customHeight="false" outlineLevel="0" collapsed="false">
      <c r="A34" s="34" t="str">
        <f aca="false">IF(B34="","",30)</f>
        <v/>
      </c>
      <c r="B34" s="26" t="str">
        <f aca="false">IFERROR(INDEX($K$5:$K$204,MATCH(LARGE($M$5:$M$204,30),$M$5:$M$204,0)),"")</f>
        <v/>
      </c>
      <c r="C34" s="28" t="str">
        <f aca="false">IF(B34="","",COUNTIF(Veri!$B$5:$B$2004,B34))</f>
        <v/>
      </c>
      <c r="D34" s="27" t="str">
        <f aca="false">IF(B34="","",SUMIFS(Veri!$E$5:$E$2004,Veri!$B$5:$B$2004,B34))</f>
        <v/>
      </c>
      <c r="E34" s="35" t="str">
        <f aca="false">IF(B34="","",IF(SUM(Veri!$E$5:$E$2004)=0,0,D34/SUM(Veri!$E$5:$E$2004)))</f>
        <v/>
      </c>
      <c r="F34" s="35" t="str">
        <f aca="false">IF(B34="","",SUM(E$5:E34))</f>
        <v/>
      </c>
      <c r="G34" s="36" t="str">
        <f aca="false">IF(B34="","",IF(F33&lt;0.8,"A",IF(F33&lt;0.95,"B","C")))</f>
        <v/>
      </c>
      <c r="H34" s="27" t="str">
        <f aca="false">IF(OR(B34="",C34=0),"",D34/C34)</f>
        <v/>
      </c>
      <c r="I34" s="37" t="str">
        <f aca="false">IF(B34="","",SUMPRODUCT(MAX((Veri!$B$5:$B$2004=B34)*Veri!$A$5:$A$2004)))</f>
        <v/>
      </c>
      <c r="J34" s="26"/>
      <c r="K34" s="26" t="str">
        <f aca="false">IF(30&gt;MAX(Veri!$I$5:$I$2004),"",INDEX(Veri!$B$5:$B$2004,MATCH(30,Veri!$I$5:$I$2004,0)))</f>
        <v/>
      </c>
      <c r="L34" s="26" t="str">
        <f aca="false">IF(K34="","",SUMIFS(Veri!$E$5:$E$2004,Veri!$B$5:$B$2004,K34))</f>
        <v/>
      </c>
      <c r="M34" s="26" t="str">
        <f aca="false">IF(K34="","",L34+ROW()/1000000000)</f>
        <v/>
      </c>
      <c r="N34" s="26"/>
    </row>
    <row r="35" customFormat="false" ht="15" hidden="false" customHeight="false" outlineLevel="0" collapsed="false">
      <c r="A35" s="30" t="str">
        <f aca="false">IF(B35="","",31)</f>
        <v/>
      </c>
      <c r="B35" s="16" t="str">
        <f aca="false">IFERROR(INDEX($K$5:$K$204,MATCH(LARGE($M$5:$M$204,31),$M$5:$M$204,0)),"")</f>
        <v/>
      </c>
      <c r="C35" s="24" t="str">
        <f aca="false">IF(B35="","",COUNTIF(Veri!$B$5:$B$2004,B35))</f>
        <v/>
      </c>
      <c r="D35" s="23" t="str">
        <f aca="false">IF(B35="","",SUMIFS(Veri!$E$5:$E$2004,Veri!$B$5:$B$2004,B35))</f>
        <v/>
      </c>
      <c r="E35" s="31" t="str">
        <f aca="false">IF(B35="","",IF(SUM(Veri!$E$5:$E$2004)=0,0,D35/SUM(Veri!$E$5:$E$2004)))</f>
        <v/>
      </c>
      <c r="F35" s="31" t="str">
        <f aca="false">IF(B35="","",SUM(E$5:E35))</f>
        <v/>
      </c>
      <c r="G35" s="32" t="str">
        <f aca="false">IF(B35="","",IF(F34&lt;0.8,"A",IF(F34&lt;0.95,"B","C")))</f>
        <v/>
      </c>
      <c r="H35" s="23" t="str">
        <f aca="false">IF(OR(B35="",C35=0),"",D35/C35)</f>
        <v/>
      </c>
      <c r="I35" s="33" t="str">
        <f aca="false">IF(B35="","",SUMPRODUCT(MAX((Veri!$B$5:$B$2004=B35)*Veri!$A$5:$A$2004)))</f>
        <v/>
      </c>
      <c r="J35" s="16"/>
      <c r="K35" s="16" t="str">
        <f aca="false">IF(31&gt;MAX(Veri!$I$5:$I$2004),"",INDEX(Veri!$B$5:$B$2004,MATCH(31,Veri!$I$5:$I$2004,0)))</f>
        <v/>
      </c>
      <c r="L35" s="16" t="str">
        <f aca="false">IF(K35="","",SUMIFS(Veri!$E$5:$E$2004,Veri!$B$5:$B$2004,K35))</f>
        <v/>
      </c>
      <c r="M35" s="16" t="str">
        <f aca="false">IF(K35="","",L35+ROW()/1000000000)</f>
        <v/>
      </c>
      <c r="N35" s="16"/>
    </row>
    <row r="36" customFormat="false" ht="15" hidden="false" customHeight="false" outlineLevel="0" collapsed="false">
      <c r="A36" s="34" t="str">
        <f aca="false">IF(B36="","",32)</f>
        <v/>
      </c>
      <c r="B36" s="26" t="str">
        <f aca="false">IFERROR(INDEX($K$5:$K$204,MATCH(LARGE($M$5:$M$204,32),$M$5:$M$204,0)),"")</f>
        <v/>
      </c>
      <c r="C36" s="28" t="str">
        <f aca="false">IF(B36="","",COUNTIF(Veri!$B$5:$B$2004,B36))</f>
        <v/>
      </c>
      <c r="D36" s="27" t="str">
        <f aca="false">IF(B36="","",SUMIFS(Veri!$E$5:$E$2004,Veri!$B$5:$B$2004,B36))</f>
        <v/>
      </c>
      <c r="E36" s="35" t="str">
        <f aca="false">IF(B36="","",IF(SUM(Veri!$E$5:$E$2004)=0,0,D36/SUM(Veri!$E$5:$E$2004)))</f>
        <v/>
      </c>
      <c r="F36" s="35" t="str">
        <f aca="false">IF(B36="","",SUM(E$5:E36))</f>
        <v/>
      </c>
      <c r="G36" s="36" t="str">
        <f aca="false">IF(B36="","",IF(F35&lt;0.8,"A",IF(F35&lt;0.95,"B","C")))</f>
        <v/>
      </c>
      <c r="H36" s="27" t="str">
        <f aca="false">IF(OR(B36="",C36=0),"",D36/C36)</f>
        <v/>
      </c>
      <c r="I36" s="37" t="str">
        <f aca="false">IF(B36="","",SUMPRODUCT(MAX((Veri!$B$5:$B$2004=B36)*Veri!$A$5:$A$2004)))</f>
        <v/>
      </c>
      <c r="J36" s="26"/>
      <c r="K36" s="26" t="str">
        <f aca="false">IF(32&gt;MAX(Veri!$I$5:$I$2004),"",INDEX(Veri!$B$5:$B$2004,MATCH(32,Veri!$I$5:$I$2004,0)))</f>
        <v/>
      </c>
      <c r="L36" s="26" t="str">
        <f aca="false">IF(K36="","",SUMIFS(Veri!$E$5:$E$2004,Veri!$B$5:$B$2004,K36))</f>
        <v/>
      </c>
      <c r="M36" s="26" t="str">
        <f aca="false">IF(K36="","",L36+ROW()/1000000000)</f>
        <v/>
      </c>
      <c r="N36" s="26"/>
    </row>
    <row r="37" customFormat="false" ht="15" hidden="false" customHeight="false" outlineLevel="0" collapsed="false">
      <c r="A37" s="30" t="str">
        <f aca="false">IF(B37="","",33)</f>
        <v/>
      </c>
      <c r="B37" s="16" t="str">
        <f aca="false">IFERROR(INDEX($K$5:$K$204,MATCH(LARGE($M$5:$M$204,33),$M$5:$M$204,0)),"")</f>
        <v/>
      </c>
      <c r="C37" s="24" t="str">
        <f aca="false">IF(B37="","",COUNTIF(Veri!$B$5:$B$2004,B37))</f>
        <v/>
      </c>
      <c r="D37" s="23" t="str">
        <f aca="false">IF(B37="","",SUMIFS(Veri!$E$5:$E$2004,Veri!$B$5:$B$2004,B37))</f>
        <v/>
      </c>
      <c r="E37" s="31" t="str">
        <f aca="false">IF(B37="","",IF(SUM(Veri!$E$5:$E$2004)=0,0,D37/SUM(Veri!$E$5:$E$2004)))</f>
        <v/>
      </c>
      <c r="F37" s="31" t="str">
        <f aca="false">IF(B37="","",SUM(E$5:E37))</f>
        <v/>
      </c>
      <c r="G37" s="32" t="str">
        <f aca="false">IF(B37="","",IF(F36&lt;0.8,"A",IF(F36&lt;0.95,"B","C")))</f>
        <v/>
      </c>
      <c r="H37" s="23" t="str">
        <f aca="false">IF(OR(B37="",C37=0),"",D37/C37)</f>
        <v/>
      </c>
      <c r="I37" s="33" t="str">
        <f aca="false">IF(B37="","",SUMPRODUCT(MAX((Veri!$B$5:$B$2004=B37)*Veri!$A$5:$A$2004)))</f>
        <v/>
      </c>
      <c r="J37" s="16"/>
      <c r="K37" s="16" t="str">
        <f aca="false">IF(33&gt;MAX(Veri!$I$5:$I$2004),"",INDEX(Veri!$B$5:$B$2004,MATCH(33,Veri!$I$5:$I$2004,0)))</f>
        <v/>
      </c>
      <c r="L37" s="16" t="str">
        <f aca="false">IF(K37="","",SUMIFS(Veri!$E$5:$E$2004,Veri!$B$5:$B$2004,K37))</f>
        <v/>
      </c>
      <c r="M37" s="16" t="str">
        <f aca="false">IF(K37="","",L37+ROW()/1000000000)</f>
        <v/>
      </c>
      <c r="N37" s="16"/>
    </row>
    <row r="38" customFormat="false" ht="15" hidden="false" customHeight="false" outlineLevel="0" collapsed="false">
      <c r="A38" s="34" t="str">
        <f aca="false">IF(B38="","",34)</f>
        <v/>
      </c>
      <c r="B38" s="26" t="str">
        <f aca="false">IFERROR(INDEX($K$5:$K$204,MATCH(LARGE($M$5:$M$204,34),$M$5:$M$204,0)),"")</f>
        <v/>
      </c>
      <c r="C38" s="28" t="str">
        <f aca="false">IF(B38="","",COUNTIF(Veri!$B$5:$B$2004,B38))</f>
        <v/>
      </c>
      <c r="D38" s="27" t="str">
        <f aca="false">IF(B38="","",SUMIFS(Veri!$E$5:$E$2004,Veri!$B$5:$B$2004,B38))</f>
        <v/>
      </c>
      <c r="E38" s="35" t="str">
        <f aca="false">IF(B38="","",IF(SUM(Veri!$E$5:$E$2004)=0,0,D38/SUM(Veri!$E$5:$E$2004)))</f>
        <v/>
      </c>
      <c r="F38" s="35" t="str">
        <f aca="false">IF(B38="","",SUM(E$5:E38))</f>
        <v/>
      </c>
      <c r="G38" s="36" t="str">
        <f aca="false">IF(B38="","",IF(F37&lt;0.8,"A",IF(F37&lt;0.95,"B","C")))</f>
        <v/>
      </c>
      <c r="H38" s="27" t="str">
        <f aca="false">IF(OR(B38="",C38=0),"",D38/C38)</f>
        <v/>
      </c>
      <c r="I38" s="37" t="str">
        <f aca="false">IF(B38="","",SUMPRODUCT(MAX((Veri!$B$5:$B$2004=B38)*Veri!$A$5:$A$2004)))</f>
        <v/>
      </c>
      <c r="J38" s="26"/>
      <c r="K38" s="26" t="str">
        <f aca="false">IF(34&gt;MAX(Veri!$I$5:$I$2004),"",INDEX(Veri!$B$5:$B$2004,MATCH(34,Veri!$I$5:$I$2004,0)))</f>
        <v/>
      </c>
      <c r="L38" s="26" t="str">
        <f aca="false">IF(K38="","",SUMIFS(Veri!$E$5:$E$2004,Veri!$B$5:$B$2004,K38))</f>
        <v/>
      </c>
      <c r="M38" s="26" t="str">
        <f aca="false">IF(K38="","",L38+ROW()/1000000000)</f>
        <v/>
      </c>
      <c r="N38" s="26"/>
    </row>
    <row r="39" customFormat="false" ht="15" hidden="false" customHeight="false" outlineLevel="0" collapsed="false">
      <c r="A39" s="30" t="str">
        <f aca="false">IF(B39="","",35)</f>
        <v/>
      </c>
      <c r="B39" s="16" t="str">
        <f aca="false">IFERROR(INDEX($K$5:$K$204,MATCH(LARGE($M$5:$M$204,35),$M$5:$M$204,0)),"")</f>
        <v/>
      </c>
      <c r="C39" s="24" t="str">
        <f aca="false">IF(B39="","",COUNTIF(Veri!$B$5:$B$2004,B39))</f>
        <v/>
      </c>
      <c r="D39" s="23" t="str">
        <f aca="false">IF(B39="","",SUMIFS(Veri!$E$5:$E$2004,Veri!$B$5:$B$2004,B39))</f>
        <v/>
      </c>
      <c r="E39" s="31" t="str">
        <f aca="false">IF(B39="","",IF(SUM(Veri!$E$5:$E$2004)=0,0,D39/SUM(Veri!$E$5:$E$2004)))</f>
        <v/>
      </c>
      <c r="F39" s="31" t="str">
        <f aca="false">IF(B39="","",SUM(E$5:E39))</f>
        <v/>
      </c>
      <c r="G39" s="32" t="str">
        <f aca="false">IF(B39="","",IF(F38&lt;0.8,"A",IF(F38&lt;0.95,"B","C")))</f>
        <v/>
      </c>
      <c r="H39" s="23" t="str">
        <f aca="false">IF(OR(B39="",C39=0),"",D39/C39)</f>
        <v/>
      </c>
      <c r="I39" s="33" t="str">
        <f aca="false">IF(B39="","",SUMPRODUCT(MAX((Veri!$B$5:$B$2004=B39)*Veri!$A$5:$A$2004)))</f>
        <v/>
      </c>
      <c r="J39" s="16"/>
      <c r="K39" s="16" t="str">
        <f aca="false">IF(35&gt;MAX(Veri!$I$5:$I$2004),"",INDEX(Veri!$B$5:$B$2004,MATCH(35,Veri!$I$5:$I$2004,0)))</f>
        <v/>
      </c>
      <c r="L39" s="16" t="str">
        <f aca="false">IF(K39="","",SUMIFS(Veri!$E$5:$E$2004,Veri!$B$5:$B$2004,K39))</f>
        <v/>
      </c>
      <c r="M39" s="16" t="str">
        <f aca="false">IF(K39="","",L39+ROW()/1000000000)</f>
        <v/>
      </c>
      <c r="N39" s="16"/>
    </row>
    <row r="40" customFormat="false" ht="15" hidden="false" customHeight="false" outlineLevel="0" collapsed="false">
      <c r="A40" s="34" t="str">
        <f aca="false">IF(B40="","",36)</f>
        <v/>
      </c>
      <c r="B40" s="26" t="str">
        <f aca="false">IFERROR(INDEX($K$5:$K$204,MATCH(LARGE($M$5:$M$204,36),$M$5:$M$204,0)),"")</f>
        <v/>
      </c>
      <c r="C40" s="28" t="str">
        <f aca="false">IF(B40="","",COUNTIF(Veri!$B$5:$B$2004,B40))</f>
        <v/>
      </c>
      <c r="D40" s="27" t="str">
        <f aca="false">IF(B40="","",SUMIFS(Veri!$E$5:$E$2004,Veri!$B$5:$B$2004,B40))</f>
        <v/>
      </c>
      <c r="E40" s="35" t="str">
        <f aca="false">IF(B40="","",IF(SUM(Veri!$E$5:$E$2004)=0,0,D40/SUM(Veri!$E$5:$E$2004)))</f>
        <v/>
      </c>
      <c r="F40" s="35" t="str">
        <f aca="false">IF(B40="","",SUM(E$5:E40))</f>
        <v/>
      </c>
      <c r="G40" s="36" t="str">
        <f aca="false">IF(B40="","",IF(F39&lt;0.8,"A",IF(F39&lt;0.95,"B","C")))</f>
        <v/>
      </c>
      <c r="H40" s="27" t="str">
        <f aca="false">IF(OR(B40="",C40=0),"",D40/C40)</f>
        <v/>
      </c>
      <c r="I40" s="37" t="str">
        <f aca="false">IF(B40="","",SUMPRODUCT(MAX((Veri!$B$5:$B$2004=B40)*Veri!$A$5:$A$2004)))</f>
        <v/>
      </c>
      <c r="J40" s="26"/>
      <c r="K40" s="26" t="str">
        <f aca="false">IF(36&gt;MAX(Veri!$I$5:$I$2004),"",INDEX(Veri!$B$5:$B$2004,MATCH(36,Veri!$I$5:$I$2004,0)))</f>
        <v/>
      </c>
      <c r="L40" s="26" t="str">
        <f aca="false">IF(K40="","",SUMIFS(Veri!$E$5:$E$2004,Veri!$B$5:$B$2004,K40))</f>
        <v/>
      </c>
      <c r="M40" s="26" t="str">
        <f aca="false">IF(K40="","",L40+ROW()/1000000000)</f>
        <v/>
      </c>
      <c r="N40" s="26"/>
    </row>
    <row r="41" customFormat="false" ht="15" hidden="false" customHeight="false" outlineLevel="0" collapsed="false">
      <c r="A41" s="30" t="str">
        <f aca="false">IF(B41="","",37)</f>
        <v/>
      </c>
      <c r="B41" s="16" t="str">
        <f aca="false">IFERROR(INDEX($K$5:$K$204,MATCH(LARGE($M$5:$M$204,37),$M$5:$M$204,0)),"")</f>
        <v/>
      </c>
      <c r="C41" s="24" t="str">
        <f aca="false">IF(B41="","",COUNTIF(Veri!$B$5:$B$2004,B41))</f>
        <v/>
      </c>
      <c r="D41" s="23" t="str">
        <f aca="false">IF(B41="","",SUMIFS(Veri!$E$5:$E$2004,Veri!$B$5:$B$2004,B41))</f>
        <v/>
      </c>
      <c r="E41" s="31" t="str">
        <f aca="false">IF(B41="","",IF(SUM(Veri!$E$5:$E$2004)=0,0,D41/SUM(Veri!$E$5:$E$2004)))</f>
        <v/>
      </c>
      <c r="F41" s="31" t="str">
        <f aca="false">IF(B41="","",SUM(E$5:E41))</f>
        <v/>
      </c>
      <c r="G41" s="32" t="str">
        <f aca="false">IF(B41="","",IF(F40&lt;0.8,"A",IF(F40&lt;0.95,"B","C")))</f>
        <v/>
      </c>
      <c r="H41" s="23" t="str">
        <f aca="false">IF(OR(B41="",C41=0),"",D41/C41)</f>
        <v/>
      </c>
      <c r="I41" s="33" t="str">
        <f aca="false">IF(B41="","",SUMPRODUCT(MAX((Veri!$B$5:$B$2004=B41)*Veri!$A$5:$A$2004)))</f>
        <v/>
      </c>
      <c r="J41" s="16"/>
      <c r="K41" s="16" t="str">
        <f aca="false">IF(37&gt;MAX(Veri!$I$5:$I$2004),"",INDEX(Veri!$B$5:$B$2004,MATCH(37,Veri!$I$5:$I$2004,0)))</f>
        <v/>
      </c>
      <c r="L41" s="16" t="str">
        <f aca="false">IF(K41="","",SUMIFS(Veri!$E$5:$E$2004,Veri!$B$5:$B$2004,K41))</f>
        <v/>
      </c>
      <c r="M41" s="16" t="str">
        <f aca="false">IF(K41="","",L41+ROW()/1000000000)</f>
        <v/>
      </c>
      <c r="N41" s="16"/>
    </row>
    <row r="42" customFormat="false" ht="15" hidden="false" customHeight="false" outlineLevel="0" collapsed="false">
      <c r="A42" s="34" t="str">
        <f aca="false">IF(B42="","",38)</f>
        <v/>
      </c>
      <c r="B42" s="26" t="str">
        <f aca="false">IFERROR(INDEX($K$5:$K$204,MATCH(LARGE($M$5:$M$204,38),$M$5:$M$204,0)),"")</f>
        <v/>
      </c>
      <c r="C42" s="28" t="str">
        <f aca="false">IF(B42="","",COUNTIF(Veri!$B$5:$B$2004,B42))</f>
        <v/>
      </c>
      <c r="D42" s="27" t="str">
        <f aca="false">IF(B42="","",SUMIFS(Veri!$E$5:$E$2004,Veri!$B$5:$B$2004,B42))</f>
        <v/>
      </c>
      <c r="E42" s="35" t="str">
        <f aca="false">IF(B42="","",IF(SUM(Veri!$E$5:$E$2004)=0,0,D42/SUM(Veri!$E$5:$E$2004)))</f>
        <v/>
      </c>
      <c r="F42" s="35" t="str">
        <f aca="false">IF(B42="","",SUM(E$5:E42))</f>
        <v/>
      </c>
      <c r="G42" s="36" t="str">
        <f aca="false">IF(B42="","",IF(F41&lt;0.8,"A",IF(F41&lt;0.95,"B","C")))</f>
        <v/>
      </c>
      <c r="H42" s="27" t="str">
        <f aca="false">IF(OR(B42="",C42=0),"",D42/C42)</f>
        <v/>
      </c>
      <c r="I42" s="37" t="str">
        <f aca="false">IF(B42="","",SUMPRODUCT(MAX((Veri!$B$5:$B$2004=B42)*Veri!$A$5:$A$2004)))</f>
        <v/>
      </c>
      <c r="J42" s="26"/>
      <c r="K42" s="26" t="str">
        <f aca="false">IF(38&gt;MAX(Veri!$I$5:$I$2004),"",INDEX(Veri!$B$5:$B$2004,MATCH(38,Veri!$I$5:$I$2004,0)))</f>
        <v/>
      </c>
      <c r="L42" s="26" t="str">
        <f aca="false">IF(K42="","",SUMIFS(Veri!$E$5:$E$2004,Veri!$B$5:$B$2004,K42))</f>
        <v/>
      </c>
      <c r="M42" s="26" t="str">
        <f aca="false">IF(K42="","",L42+ROW()/1000000000)</f>
        <v/>
      </c>
      <c r="N42" s="26"/>
    </row>
    <row r="43" customFormat="false" ht="15" hidden="false" customHeight="false" outlineLevel="0" collapsed="false">
      <c r="A43" s="30" t="str">
        <f aca="false">IF(B43="","",39)</f>
        <v/>
      </c>
      <c r="B43" s="16" t="str">
        <f aca="false">IFERROR(INDEX($K$5:$K$204,MATCH(LARGE($M$5:$M$204,39),$M$5:$M$204,0)),"")</f>
        <v/>
      </c>
      <c r="C43" s="24" t="str">
        <f aca="false">IF(B43="","",COUNTIF(Veri!$B$5:$B$2004,B43))</f>
        <v/>
      </c>
      <c r="D43" s="23" t="str">
        <f aca="false">IF(B43="","",SUMIFS(Veri!$E$5:$E$2004,Veri!$B$5:$B$2004,B43))</f>
        <v/>
      </c>
      <c r="E43" s="31" t="str">
        <f aca="false">IF(B43="","",IF(SUM(Veri!$E$5:$E$2004)=0,0,D43/SUM(Veri!$E$5:$E$2004)))</f>
        <v/>
      </c>
      <c r="F43" s="31" t="str">
        <f aca="false">IF(B43="","",SUM(E$5:E43))</f>
        <v/>
      </c>
      <c r="G43" s="32" t="str">
        <f aca="false">IF(B43="","",IF(F42&lt;0.8,"A",IF(F42&lt;0.95,"B","C")))</f>
        <v/>
      </c>
      <c r="H43" s="23" t="str">
        <f aca="false">IF(OR(B43="",C43=0),"",D43/C43)</f>
        <v/>
      </c>
      <c r="I43" s="33" t="str">
        <f aca="false">IF(B43="","",SUMPRODUCT(MAX((Veri!$B$5:$B$2004=B43)*Veri!$A$5:$A$2004)))</f>
        <v/>
      </c>
      <c r="J43" s="16"/>
      <c r="K43" s="16" t="str">
        <f aca="false">IF(39&gt;MAX(Veri!$I$5:$I$2004),"",INDEX(Veri!$B$5:$B$2004,MATCH(39,Veri!$I$5:$I$2004,0)))</f>
        <v/>
      </c>
      <c r="L43" s="16" t="str">
        <f aca="false">IF(K43="","",SUMIFS(Veri!$E$5:$E$2004,Veri!$B$5:$B$2004,K43))</f>
        <v/>
      </c>
      <c r="M43" s="16" t="str">
        <f aca="false">IF(K43="","",L43+ROW()/1000000000)</f>
        <v/>
      </c>
      <c r="N43" s="16"/>
    </row>
    <row r="44" customFormat="false" ht="15" hidden="false" customHeight="false" outlineLevel="0" collapsed="false">
      <c r="A44" s="34" t="str">
        <f aca="false">IF(B44="","",40)</f>
        <v/>
      </c>
      <c r="B44" s="26" t="str">
        <f aca="false">IFERROR(INDEX($K$5:$K$204,MATCH(LARGE($M$5:$M$204,40),$M$5:$M$204,0)),"")</f>
        <v/>
      </c>
      <c r="C44" s="28" t="str">
        <f aca="false">IF(B44="","",COUNTIF(Veri!$B$5:$B$2004,B44))</f>
        <v/>
      </c>
      <c r="D44" s="27" t="str">
        <f aca="false">IF(B44="","",SUMIFS(Veri!$E$5:$E$2004,Veri!$B$5:$B$2004,B44))</f>
        <v/>
      </c>
      <c r="E44" s="35" t="str">
        <f aca="false">IF(B44="","",IF(SUM(Veri!$E$5:$E$2004)=0,0,D44/SUM(Veri!$E$5:$E$2004)))</f>
        <v/>
      </c>
      <c r="F44" s="35" t="str">
        <f aca="false">IF(B44="","",SUM(E$5:E44))</f>
        <v/>
      </c>
      <c r="G44" s="36" t="str">
        <f aca="false">IF(B44="","",IF(F43&lt;0.8,"A",IF(F43&lt;0.95,"B","C")))</f>
        <v/>
      </c>
      <c r="H44" s="27" t="str">
        <f aca="false">IF(OR(B44="",C44=0),"",D44/C44)</f>
        <v/>
      </c>
      <c r="I44" s="37" t="str">
        <f aca="false">IF(B44="","",SUMPRODUCT(MAX((Veri!$B$5:$B$2004=B44)*Veri!$A$5:$A$2004)))</f>
        <v/>
      </c>
      <c r="J44" s="26"/>
      <c r="K44" s="26" t="str">
        <f aca="false">IF(40&gt;MAX(Veri!$I$5:$I$2004),"",INDEX(Veri!$B$5:$B$2004,MATCH(40,Veri!$I$5:$I$2004,0)))</f>
        <v/>
      </c>
      <c r="L44" s="26" t="str">
        <f aca="false">IF(K44="","",SUMIFS(Veri!$E$5:$E$2004,Veri!$B$5:$B$2004,K44))</f>
        <v/>
      </c>
      <c r="M44" s="26" t="str">
        <f aca="false">IF(K44="","",L44+ROW()/1000000000)</f>
        <v/>
      </c>
      <c r="N44" s="26"/>
    </row>
    <row r="45" customFormat="false" ht="15" hidden="false" customHeight="false" outlineLevel="0" collapsed="false">
      <c r="A45" s="30" t="str">
        <f aca="false">IF(B45="","",41)</f>
        <v/>
      </c>
      <c r="B45" s="16" t="str">
        <f aca="false">IFERROR(INDEX($K$5:$K$204,MATCH(LARGE($M$5:$M$204,41),$M$5:$M$204,0)),"")</f>
        <v/>
      </c>
      <c r="C45" s="24" t="str">
        <f aca="false">IF(B45="","",COUNTIF(Veri!$B$5:$B$2004,B45))</f>
        <v/>
      </c>
      <c r="D45" s="23" t="str">
        <f aca="false">IF(B45="","",SUMIFS(Veri!$E$5:$E$2004,Veri!$B$5:$B$2004,B45))</f>
        <v/>
      </c>
      <c r="E45" s="31" t="str">
        <f aca="false">IF(B45="","",IF(SUM(Veri!$E$5:$E$2004)=0,0,D45/SUM(Veri!$E$5:$E$2004)))</f>
        <v/>
      </c>
      <c r="F45" s="31" t="str">
        <f aca="false">IF(B45="","",SUM(E$5:E45))</f>
        <v/>
      </c>
      <c r="G45" s="32" t="str">
        <f aca="false">IF(B45="","",IF(F44&lt;0.8,"A",IF(F44&lt;0.95,"B","C")))</f>
        <v/>
      </c>
      <c r="H45" s="23" t="str">
        <f aca="false">IF(OR(B45="",C45=0),"",D45/C45)</f>
        <v/>
      </c>
      <c r="I45" s="33" t="str">
        <f aca="false">IF(B45="","",SUMPRODUCT(MAX((Veri!$B$5:$B$2004=B45)*Veri!$A$5:$A$2004)))</f>
        <v/>
      </c>
      <c r="J45" s="16"/>
      <c r="K45" s="16" t="str">
        <f aca="false">IF(41&gt;MAX(Veri!$I$5:$I$2004),"",INDEX(Veri!$B$5:$B$2004,MATCH(41,Veri!$I$5:$I$2004,0)))</f>
        <v/>
      </c>
      <c r="L45" s="16" t="str">
        <f aca="false">IF(K45="","",SUMIFS(Veri!$E$5:$E$2004,Veri!$B$5:$B$2004,K45))</f>
        <v/>
      </c>
      <c r="M45" s="16" t="str">
        <f aca="false">IF(K45="","",L45+ROW()/1000000000)</f>
        <v/>
      </c>
      <c r="N45" s="16"/>
    </row>
    <row r="46" customFormat="false" ht="15" hidden="false" customHeight="false" outlineLevel="0" collapsed="false">
      <c r="A46" s="34" t="str">
        <f aca="false">IF(B46="","",42)</f>
        <v/>
      </c>
      <c r="B46" s="26" t="str">
        <f aca="false">IFERROR(INDEX($K$5:$K$204,MATCH(LARGE($M$5:$M$204,42),$M$5:$M$204,0)),"")</f>
        <v/>
      </c>
      <c r="C46" s="28" t="str">
        <f aca="false">IF(B46="","",COUNTIF(Veri!$B$5:$B$2004,B46))</f>
        <v/>
      </c>
      <c r="D46" s="27" t="str">
        <f aca="false">IF(B46="","",SUMIFS(Veri!$E$5:$E$2004,Veri!$B$5:$B$2004,B46))</f>
        <v/>
      </c>
      <c r="E46" s="35" t="str">
        <f aca="false">IF(B46="","",IF(SUM(Veri!$E$5:$E$2004)=0,0,D46/SUM(Veri!$E$5:$E$2004)))</f>
        <v/>
      </c>
      <c r="F46" s="35" t="str">
        <f aca="false">IF(B46="","",SUM(E$5:E46))</f>
        <v/>
      </c>
      <c r="G46" s="36" t="str">
        <f aca="false">IF(B46="","",IF(F45&lt;0.8,"A",IF(F45&lt;0.95,"B","C")))</f>
        <v/>
      </c>
      <c r="H46" s="27" t="str">
        <f aca="false">IF(OR(B46="",C46=0),"",D46/C46)</f>
        <v/>
      </c>
      <c r="I46" s="37" t="str">
        <f aca="false">IF(B46="","",SUMPRODUCT(MAX((Veri!$B$5:$B$2004=B46)*Veri!$A$5:$A$2004)))</f>
        <v/>
      </c>
      <c r="J46" s="26"/>
      <c r="K46" s="26" t="str">
        <f aca="false">IF(42&gt;MAX(Veri!$I$5:$I$2004),"",INDEX(Veri!$B$5:$B$2004,MATCH(42,Veri!$I$5:$I$2004,0)))</f>
        <v/>
      </c>
      <c r="L46" s="26" t="str">
        <f aca="false">IF(K46="","",SUMIFS(Veri!$E$5:$E$2004,Veri!$B$5:$B$2004,K46))</f>
        <v/>
      </c>
      <c r="M46" s="26" t="str">
        <f aca="false">IF(K46="","",L46+ROW()/1000000000)</f>
        <v/>
      </c>
      <c r="N46" s="26"/>
    </row>
    <row r="47" customFormat="false" ht="15" hidden="false" customHeight="false" outlineLevel="0" collapsed="false">
      <c r="A47" s="30" t="str">
        <f aca="false">IF(B47="","",43)</f>
        <v/>
      </c>
      <c r="B47" s="16" t="str">
        <f aca="false">IFERROR(INDEX($K$5:$K$204,MATCH(LARGE($M$5:$M$204,43),$M$5:$M$204,0)),"")</f>
        <v/>
      </c>
      <c r="C47" s="24" t="str">
        <f aca="false">IF(B47="","",COUNTIF(Veri!$B$5:$B$2004,B47))</f>
        <v/>
      </c>
      <c r="D47" s="23" t="str">
        <f aca="false">IF(B47="","",SUMIFS(Veri!$E$5:$E$2004,Veri!$B$5:$B$2004,B47))</f>
        <v/>
      </c>
      <c r="E47" s="31" t="str">
        <f aca="false">IF(B47="","",IF(SUM(Veri!$E$5:$E$2004)=0,0,D47/SUM(Veri!$E$5:$E$2004)))</f>
        <v/>
      </c>
      <c r="F47" s="31" t="str">
        <f aca="false">IF(B47="","",SUM(E$5:E47))</f>
        <v/>
      </c>
      <c r="G47" s="32" t="str">
        <f aca="false">IF(B47="","",IF(F46&lt;0.8,"A",IF(F46&lt;0.95,"B","C")))</f>
        <v/>
      </c>
      <c r="H47" s="23" t="str">
        <f aca="false">IF(OR(B47="",C47=0),"",D47/C47)</f>
        <v/>
      </c>
      <c r="I47" s="33" t="str">
        <f aca="false">IF(B47="","",SUMPRODUCT(MAX((Veri!$B$5:$B$2004=B47)*Veri!$A$5:$A$2004)))</f>
        <v/>
      </c>
      <c r="J47" s="16"/>
      <c r="K47" s="16" t="str">
        <f aca="false">IF(43&gt;MAX(Veri!$I$5:$I$2004),"",INDEX(Veri!$B$5:$B$2004,MATCH(43,Veri!$I$5:$I$2004,0)))</f>
        <v/>
      </c>
      <c r="L47" s="16" t="str">
        <f aca="false">IF(K47="","",SUMIFS(Veri!$E$5:$E$2004,Veri!$B$5:$B$2004,K47))</f>
        <v/>
      </c>
      <c r="M47" s="16" t="str">
        <f aca="false">IF(K47="","",L47+ROW()/1000000000)</f>
        <v/>
      </c>
      <c r="N47" s="16"/>
    </row>
    <row r="48" customFormat="false" ht="15" hidden="false" customHeight="false" outlineLevel="0" collapsed="false">
      <c r="A48" s="34" t="str">
        <f aca="false">IF(B48="","",44)</f>
        <v/>
      </c>
      <c r="B48" s="26" t="str">
        <f aca="false">IFERROR(INDEX($K$5:$K$204,MATCH(LARGE($M$5:$M$204,44),$M$5:$M$204,0)),"")</f>
        <v/>
      </c>
      <c r="C48" s="28" t="str">
        <f aca="false">IF(B48="","",COUNTIF(Veri!$B$5:$B$2004,B48))</f>
        <v/>
      </c>
      <c r="D48" s="27" t="str">
        <f aca="false">IF(B48="","",SUMIFS(Veri!$E$5:$E$2004,Veri!$B$5:$B$2004,B48))</f>
        <v/>
      </c>
      <c r="E48" s="35" t="str">
        <f aca="false">IF(B48="","",IF(SUM(Veri!$E$5:$E$2004)=0,0,D48/SUM(Veri!$E$5:$E$2004)))</f>
        <v/>
      </c>
      <c r="F48" s="35" t="str">
        <f aca="false">IF(B48="","",SUM(E$5:E48))</f>
        <v/>
      </c>
      <c r="G48" s="36" t="str">
        <f aca="false">IF(B48="","",IF(F47&lt;0.8,"A",IF(F47&lt;0.95,"B","C")))</f>
        <v/>
      </c>
      <c r="H48" s="27" t="str">
        <f aca="false">IF(OR(B48="",C48=0),"",D48/C48)</f>
        <v/>
      </c>
      <c r="I48" s="37" t="str">
        <f aca="false">IF(B48="","",SUMPRODUCT(MAX((Veri!$B$5:$B$2004=B48)*Veri!$A$5:$A$2004)))</f>
        <v/>
      </c>
      <c r="J48" s="26"/>
      <c r="K48" s="26" t="str">
        <f aca="false">IF(44&gt;MAX(Veri!$I$5:$I$2004),"",INDEX(Veri!$B$5:$B$2004,MATCH(44,Veri!$I$5:$I$2004,0)))</f>
        <v/>
      </c>
      <c r="L48" s="26" t="str">
        <f aca="false">IF(K48="","",SUMIFS(Veri!$E$5:$E$2004,Veri!$B$5:$B$2004,K48))</f>
        <v/>
      </c>
      <c r="M48" s="26" t="str">
        <f aca="false">IF(K48="","",L48+ROW()/1000000000)</f>
        <v/>
      </c>
      <c r="N48" s="26"/>
    </row>
    <row r="49" customFormat="false" ht="15" hidden="false" customHeight="false" outlineLevel="0" collapsed="false">
      <c r="A49" s="30" t="str">
        <f aca="false">IF(B49="","",45)</f>
        <v/>
      </c>
      <c r="B49" s="16" t="str">
        <f aca="false">IFERROR(INDEX($K$5:$K$204,MATCH(LARGE($M$5:$M$204,45),$M$5:$M$204,0)),"")</f>
        <v/>
      </c>
      <c r="C49" s="24" t="str">
        <f aca="false">IF(B49="","",COUNTIF(Veri!$B$5:$B$2004,B49))</f>
        <v/>
      </c>
      <c r="D49" s="23" t="str">
        <f aca="false">IF(B49="","",SUMIFS(Veri!$E$5:$E$2004,Veri!$B$5:$B$2004,B49))</f>
        <v/>
      </c>
      <c r="E49" s="31" t="str">
        <f aca="false">IF(B49="","",IF(SUM(Veri!$E$5:$E$2004)=0,0,D49/SUM(Veri!$E$5:$E$2004)))</f>
        <v/>
      </c>
      <c r="F49" s="31" t="str">
        <f aca="false">IF(B49="","",SUM(E$5:E49))</f>
        <v/>
      </c>
      <c r="G49" s="32" t="str">
        <f aca="false">IF(B49="","",IF(F48&lt;0.8,"A",IF(F48&lt;0.95,"B","C")))</f>
        <v/>
      </c>
      <c r="H49" s="23" t="str">
        <f aca="false">IF(OR(B49="",C49=0),"",D49/C49)</f>
        <v/>
      </c>
      <c r="I49" s="33" t="str">
        <f aca="false">IF(B49="","",SUMPRODUCT(MAX((Veri!$B$5:$B$2004=B49)*Veri!$A$5:$A$2004)))</f>
        <v/>
      </c>
      <c r="J49" s="16"/>
      <c r="K49" s="16" t="str">
        <f aca="false">IF(45&gt;MAX(Veri!$I$5:$I$2004),"",INDEX(Veri!$B$5:$B$2004,MATCH(45,Veri!$I$5:$I$2004,0)))</f>
        <v/>
      </c>
      <c r="L49" s="16" t="str">
        <f aca="false">IF(K49="","",SUMIFS(Veri!$E$5:$E$2004,Veri!$B$5:$B$2004,K49))</f>
        <v/>
      </c>
      <c r="M49" s="16" t="str">
        <f aca="false">IF(K49="","",L49+ROW()/1000000000)</f>
        <v/>
      </c>
      <c r="N49" s="16"/>
    </row>
    <row r="50" customFormat="false" ht="15" hidden="false" customHeight="false" outlineLevel="0" collapsed="false">
      <c r="A50" s="34" t="str">
        <f aca="false">IF(B50="","",46)</f>
        <v/>
      </c>
      <c r="B50" s="26" t="str">
        <f aca="false">IFERROR(INDEX($K$5:$K$204,MATCH(LARGE($M$5:$M$204,46),$M$5:$M$204,0)),"")</f>
        <v/>
      </c>
      <c r="C50" s="28" t="str">
        <f aca="false">IF(B50="","",COUNTIF(Veri!$B$5:$B$2004,B50))</f>
        <v/>
      </c>
      <c r="D50" s="27" t="str">
        <f aca="false">IF(B50="","",SUMIFS(Veri!$E$5:$E$2004,Veri!$B$5:$B$2004,B50))</f>
        <v/>
      </c>
      <c r="E50" s="35" t="str">
        <f aca="false">IF(B50="","",IF(SUM(Veri!$E$5:$E$2004)=0,0,D50/SUM(Veri!$E$5:$E$2004)))</f>
        <v/>
      </c>
      <c r="F50" s="35" t="str">
        <f aca="false">IF(B50="","",SUM(E$5:E50))</f>
        <v/>
      </c>
      <c r="G50" s="36" t="str">
        <f aca="false">IF(B50="","",IF(F49&lt;0.8,"A",IF(F49&lt;0.95,"B","C")))</f>
        <v/>
      </c>
      <c r="H50" s="27" t="str">
        <f aca="false">IF(OR(B50="",C50=0),"",D50/C50)</f>
        <v/>
      </c>
      <c r="I50" s="37" t="str">
        <f aca="false">IF(B50="","",SUMPRODUCT(MAX((Veri!$B$5:$B$2004=B50)*Veri!$A$5:$A$2004)))</f>
        <v/>
      </c>
      <c r="J50" s="26"/>
      <c r="K50" s="26" t="str">
        <f aca="false">IF(46&gt;MAX(Veri!$I$5:$I$2004),"",INDEX(Veri!$B$5:$B$2004,MATCH(46,Veri!$I$5:$I$2004,0)))</f>
        <v/>
      </c>
      <c r="L50" s="26" t="str">
        <f aca="false">IF(K50="","",SUMIFS(Veri!$E$5:$E$2004,Veri!$B$5:$B$2004,K50))</f>
        <v/>
      </c>
      <c r="M50" s="26" t="str">
        <f aca="false">IF(K50="","",L50+ROW()/1000000000)</f>
        <v/>
      </c>
      <c r="N50" s="26"/>
    </row>
    <row r="51" customFormat="false" ht="15" hidden="false" customHeight="false" outlineLevel="0" collapsed="false">
      <c r="A51" s="30" t="str">
        <f aca="false">IF(B51="","",47)</f>
        <v/>
      </c>
      <c r="B51" s="16" t="str">
        <f aca="false">IFERROR(INDEX($K$5:$K$204,MATCH(LARGE($M$5:$M$204,47),$M$5:$M$204,0)),"")</f>
        <v/>
      </c>
      <c r="C51" s="24" t="str">
        <f aca="false">IF(B51="","",COUNTIF(Veri!$B$5:$B$2004,B51))</f>
        <v/>
      </c>
      <c r="D51" s="23" t="str">
        <f aca="false">IF(B51="","",SUMIFS(Veri!$E$5:$E$2004,Veri!$B$5:$B$2004,B51))</f>
        <v/>
      </c>
      <c r="E51" s="31" t="str">
        <f aca="false">IF(B51="","",IF(SUM(Veri!$E$5:$E$2004)=0,0,D51/SUM(Veri!$E$5:$E$2004)))</f>
        <v/>
      </c>
      <c r="F51" s="31" t="str">
        <f aca="false">IF(B51="","",SUM(E$5:E51))</f>
        <v/>
      </c>
      <c r="G51" s="32" t="str">
        <f aca="false">IF(B51="","",IF(F50&lt;0.8,"A",IF(F50&lt;0.95,"B","C")))</f>
        <v/>
      </c>
      <c r="H51" s="23" t="str">
        <f aca="false">IF(OR(B51="",C51=0),"",D51/C51)</f>
        <v/>
      </c>
      <c r="I51" s="33" t="str">
        <f aca="false">IF(B51="","",SUMPRODUCT(MAX((Veri!$B$5:$B$2004=B51)*Veri!$A$5:$A$2004)))</f>
        <v/>
      </c>
      <c r="J51" s="16"/>
      <c r="K51" s="16" t="str">
        <f aca="false">IF(47&gt;MAX(Veri!$I$5:$I$2004),"",INDEX(Veri!$B$5:$B$2004,MATCH(47,Veri!$I$5:$I$2004,0)))</f>
        <v/>
      </c>
      <c r="L51" s="16" t="str">
        <f aca="false">IF(K51="","",SUMIFS(Veri!$E$5:$E$2004,Veri!$B$5:$B$2004,K51))</f>
        <v/>
      </c>
      <c r="M51" s="16" t="str">
        <f aca="false">IF(K51="","",L51+ROW()/1000000000)</f>
        <v/>
      </c>
      <c r="N51" s="16"/>
    </row>
    <row r="52" customFormat="false" ht="15" hidden="false" customHeight="false" outlineLevel="0" collapsed="false">
      <c r="A52" s="34" t="str">
        <f aca="false">IF(B52="","",48)</f>
        <v/>
      </c>
      <c r="B52" s="26" t="str">
        <f aca="false">IFERROR(INDEX($K$5:$K$204,MATCH(LARGE($M$5:$M$204,48),$M$5:$M$204,0)),"")</f>
        <v/>
      </c>
      <c r="C52" s="28" t="str">
        <f aca="false">IF(B52="","",COUNTIF(Veri!$B$5:$B$2004,B52))</f>
        <v/>
      </c>
      <c r="D52" s="27" t="str">
        <f aca="false">IF(B52="","",SUMIFS(Veri!$E$5:$E$2004,Veri!$B$5:$B$2004,B52))</f>
        <v/>
      </c>
      <c r="E52" s="35" t="str">
        <f aca="false">IF(B52="","",IF(SUM(Veri!$E$5:$E$2004)=0,0,D52/SUM(Veri!$E$5:$E$2004)))</f>
        <v/>
      </c>
      <c r="F52" s="35" t="str">
        <f aca="false">IF(B52="","",SUM(E$5:E52))</f>
        <v/>
      </c>
      <c r="G52" s="36" t="str">
        <f aca="false">IF(B52="","",IF(F51&lt;0.8,"A",IF(F51&lt;0.95,"B","C")))</f>
        <v/>
      </c>
      <c r="H52" s="27" t="str">
        <f aca="false">IF(OR(B52="",C52=0),"",D52/C52)</f>
        <v/>
      </c>
      <c r="I52" s="37" t="str">
        <f aca="false">IF(B52="","",SUMPRODUCT(MAX((Veri!$B$5:$B$2004=B52)*Veri!$A$5:$A$2004)))</f>
        <v/>
      </c>
      <c r="J52" s="26"/>
      <c r="K52" s="26" t="str">
        <f aca="false">IF(48&gt;MAX(Veri!$I$5:$I$2004),"",INDEX(Veri!$B$5:$B$2004,MATCH(48,Veri!$I$5:$I$2004,0)))</f>
        <v/>
      </c>
      <c r="L52" s="26" t="str">
        <f aca="false">IF(K52="","",SUMIFS(Veri!$E$5:$E$2004,Veri!$B$5:$B$2004,K52))</f>
        <v/>
      </c>
      <c r="M52" s="26" t="str">
        <f aca="false">IF(K52="","",L52+ROW()/1000000000)</f>
        <v/>
      </c>
      <c r="N52" s="26"/>
    </row>
    <row r="53" customFormat="false" ht="15" hidden="false" customHeight="false" outlineLevel="0" collapsed="false">
      <c r="A53" s="30" t="str">
        <f aca="false">IF(B53="","",49)</f>
        <v/>
      </c>
      <c r="B53" s="16" t="str">
        <f aca="false">IFERROR(INDEX($K$5:$K$204,MATCH(LARGE($M$5:$M$204,49),$M$5:$M$204,0)),"")</f>
        <v/>
      </c>
      <c r="C53" s="24" t="str">
        <f aca="false">IF(B53="","",COUNTIF(Veri!$B$5:$B$2004,B53))</f>
        <v/>
      </c>
      <c r="D53" s="23" t="str">
        <f aca="false">IF(B53="","",SUMIFS(Veri!$E$5:$E$2004,Veri!$B$5:$B$2004,B53))</f>
        <v/>
      </c>
      <c r="E53" s="31" t="str">
        <f aca="false">IF(B53="","",IF(SUM(Veri!$E$5:$E$2004)=0,0,D53/SUM(Veri!$E$5:$E$2004)))</f>
        <v/>
      </c>
      <c r="F53" s="31" t="str">
        <f aca="false">IF(B53="","",SUM(E$5:E53))</f>
        <v/>
      </c>
      <c r="G53" s="32" t="str">
        <f aca="false">IF(B53="","",IF(F52&lt;0.8,"A",IF(F52&lt;0.95,"B","C")))</f>
        <v/>
      </c>
      <c r="H53" s="23" t="str">
        <f aca="false">IF(OR(B53="",C53=0),"",D53/C53)</f>
        <v/>
      </c>
      <c r="I53" s="33" t="str">
        <f aca="false">IF(B53="","",SUMPRODUCT(MAX((Veri!$B$5:$B$2004=B53)*Veri!$A$5:$A$2004)))</f>
        <v/>
      </c>
      <c r="J53" s="16"/>
      <c r="K53" s="16" t="str">
        <f aca="false">IF(49&gt;MAX(Veri!$I$5:$I$2004),"",INDEX(Veri!$B$5:$B$2004,MATCH(49,Veri!$I$5:$I$2004,0)))</f>
        <v/>
      </c>
      <c r="L53" s="16" t="str">
        <f aca="false">IF(K53="","",SUMIFS(Veri!$E$5:$E$2004,Veri!$B$5:$B$2004,K53))</f>
        <v/>
      </c>
      <c r="M53" s="16" t="str">
        <f aca="false">IF(K53="","",L53+ROW()/1000000000)</f>
        <v/>
      </c>
      <c r="N53" s="16"/>
    </row>
    <row r="54" customFormat="false" ht="15" hidden="false" customHeight="false" outlineLevel="0" collapsed="false">
      <c r="A54" s="34" t="str">
        <f aca="false">IF(B54="","",50)</f>
        <v/>
      </c>
      <c r="B54" s="26" t="str">
        <f aca="false">IFERROR(INDEX($K$5:$K$204,MATCH(LARGE($M$5:$M$204,50),$M$5:$M$204,0)),"")</f>
        <v/>
      </c>
      <c r="C54" s="28" t="str">
        <f aca="false">IF(B54="","",COUNTIF(Veri!$B$5:$B$2004,B54))</f>
        <v/>
      </c>
      <c r="D54" s="27" t="str">
        <f aca="false">IF(B54="","",SUMIFS(Veri!$E$5:$E$2004,Veri!$B$5:$B$2004,B54))</f>
        <v/>
      </c>
      <c r="E54" s="35" t="str">
        <f aca="false">IF(B54="","",IF(SUM(Veri!$E$5:$E$2004)=0,0,D54/SUM(Veri!$E$5:$E$2004)))</f>
        <v/>
      </c>
      <c r="F54" s="35" t="str">
        <f aca="false">IF(B54="","",SUM(E$5:E54))</f>
        <v/>
      </c>
      <c r="G54" s="36" t="str">
        <f aca="false">IF(B54="","",IF(F53&lt;0.8,"A",IF(F53&lt;0.95,"B","C")))</f>
        <v/>
      </c>
      <c r="H54" s="27" t="str">
        <f aca="false">IF(OR(B54="",C54=0),"",D54/C54)</f>
        <v/>
      </c>
      <c r="I54" s="37" t="str">
        <f aca="false">IF(B54="","",SUMPRODUCT(MAX((Veri!$B$5:$B$2004=B54)*Veri!$A$5:$A$2004)))</f>
        <v/>
      </c>
      <c r="J54" s="26"/>
      <c r="K54" s="26" t="str">
        <f aca="false">IF(50&gt;MAX(Veri!$I$5:$I$2004),"",INDEX(Veri!$B$5:$B$2004,MATCH(50,Veri!$I$5:$I$2004,0)))</f>
        <v/>
      </c>
      <c r="L54" s="26" t="str">
        <f aca="false">IF(K54="","",SUMIFS(Veri!$E$5:$E$2004,Veri!$B$5:$B$2004,K54))</f>
        <v/>
      </c>
      <c r="M54" s="26" t="str">
        <f aca="false">IF(K54="","",L54+ROW()/1000000000)</f>
        <v/>
      </c>
      <c r="N54" s="26"/>
    </row>
    <row r="55" customFormat="false" ht="15" hidden="false" customHeight="false" outlineLevel="0" collapsed="false">
      <c r="A55" s="30" t="str">
        <f aca="false">IF(B55="","",51)</f>
        <v/>
      </c>
      <c r="B55" s="16" t="str">
        <f aca="false">IFERROR(INDEX($K$5:$K$204,MATCH(LARGE($M$5:$M$204,51),$M$5:$M$204,0)),"")</f>
        <v/>
      </c>
      <c r="C55" s="24" t="str">
        <f aca="false">IF(B55="","",COUNTIF(Veri!$B$5:$B$2004,B55))</f>
        <v/>
      </c>
      <c r="D55" s="23" t="str">
        <f aca="false">IF(B55="","",SUMIFS(Veri!$E$5:$E$2004,Veri!$B$5:$B$2004,B55))</f>
        <v/>
      </c>
      <c r="E55" s="31" t="str">
        <f aca="false">IF(B55="","",IF(SUM(Veri!$E$5:$E$2004)=0,0,D55/SUM(Veri!$E$5:$E$2004)))</f>
        <v/>
      </c>
      <c r="F55" s="31" t="str">
        <f aca="false">IF(B55="","",SUM(E$5:E55))</f>
        <v/>
      </c>
      <c r="G55" s="32" t="str">
        <f aca="false">IF(B55="","",IF(F54&lt;0.8,"A",IF(F54&lt;0.95,"B","C")))</f>
        <v/>
      </c>
      <c r="H55" s="23" t="str">
        <f aca="false">IF(OR(B55="",C55=0),"",D55/C55)</f>
        <v/>
      </c>
      <c r="I55" s="33" t="str">
        <f aca="false">IF(B55="","",SUMPRODUCT(MAX((Veri!$B$5:$B$2004=B55)*Veri!$A$5:$A$2004)))</f>
        <v/>
      </c>
      <c r="J55" s="16"/>
      <c r="K55" s="16" t="str">
        <f aca="false">IF(51&gt;MAX(Veri!$I$5:$I$2004),"",INDEX(Veri!$B$5:$B$2004,MATCH(51,Veri!$I$5:$I$2004,0)))</f>
        <v/>
      </c>
      <c r="L55" s="16" t="str">
        <f aca="false">IF(K55="","",SUMIFS(Veri!$E$5:$E$2004,Veri!$B$5:$B$2004,K55))</f>
        <v/>
      </c>
      <c r="M55" s="16" t="str">
        <f aca="false">IF(K55="","",L55+ROW()/1000000000)</f>
        <v/>
      </c>
      <c r="N55" s="16"/>
    </row>
    <row r="56" customFormat="false" ht="15" hidden="false" customHeight="false" outlineLevel="0" collapsed="false">
      <c r="A56" s="34" t="str">
        <f aca="false">IF(B56="","",52)</f>
        <v/>
      </c>
      <c r="B56" s="26" t="str">
        <f aca="false">IFERROR(INDEX($K$5:$K$204,MATCH(LARGE($M$5:$M$204,52),$M$5:$M$204,0)),"")</f>
        <v/>
      </c>
      <c r="C56" s="28" t="str">
        <f aca="false">IF(B56="","",COUNTIF(Veri!$B$5:$B$2004,B56))</f>
        <v/>
      </c>
      <c r="D56" s="27" t="str">
        <f aca="false">IF(B56="","",SUMIFS(Veri!$E$5:$E$2004,Veri!$B$5:$B$2004,B56))</f>
        <v/>
      </c>
      <c r="E56" s="35" t="str">
        <f aca="false">IF(B56="","",IF(SUM(Veri!$E$5:$E$2004)=0,0,D56/SUM(Veri!$E$5:$E$2004)))</f>
        <v/>
      </c>
      <c r="F56" s="35" t="str">
        <f aca="false">IF(B56="","",SUM(E$5:E56))</f>
        <v/>
      </c>
      <c r="G56" s="36" t="str">
        <f aca="false">IF(B56="","",IF(F55&lt;0.8,"A",IF(F55&lt;0.95,"B","C")))</f>
        <v/>
      </c>
      <c r="H56" s="27" t="str">
        <f aca="false">IF(OR(B56="",C56=0),"",D56/C56)</f>
        <v/>
      </c>
      <c r="I56" s="37" t="str">
        <f aca="false">IF(B56="","",SUMPRODUCT(MAX((Veri!$B$5:$B$2004=B56)*Veri!$A$5:$A$2004)))</f>
        <v/>
      </c>
      <c r="J56" s="26"/>
      <c r="K56" s="26" t="str">
        <f aca="false">IF(52&gt;MAX(Veri!$I$5:$I$2004),"",INDEX(Veri!$B$5:$B$2004,MATCH(52,Veri!$I$5:$I$2004,0)))</f>
        <v/>
      </c>
      <c r="L56" s="26" t="str">
        <f aca="false">IF(K56="","",SUMIFS(Veri!$E$5:$E$2004,Veri!$B$5:$B$2004,K56))</f>
        <v/>
      </c>
      <c r="M56" s="26" t="str">
        <f aca="false">IF(K56="","",L56+ROW()/1000000000)</f>
        <v/>
      </c>
      <c r="N56" s="26"/>
    </row>
    <row r="57" customFormat="false" ht="15" hidden="false" customHeight="false" outlineLevel="0" collapsed="false">
      <c r="A57" s="30" t="str">
        <f aca="false">IF(B57="","",53)</f>
        <v/>
      </c>
      <c r="B57" s="16" t="str">
        <f aca="false">IFERROR(INDEX($K$5:$K$204,MATCH(LARGE($M$5:$M$204,53),$M$5:$M$204,0)),"")</f>
        <v/>
      </c>
      <c r="C57" s="24" t="str">
        <f aca="false">IF(B57="","",COUNTIF(Veri!$B$5:$B$2004,B57))</f>
        <v/>
      </c>
      <c r="D57" s="23" t="str">
        <f aca="false">IF(B57="","",SUMIFS(Veri!$E$5:$E$2004,Veri!$B$5:$B$2004,B57))</f>
        <v/>
      </c>
      <c r="E57" s="31" t="str">
        <f aca="false">IF(B57="","",IF(SUM(Veri!$E$5:$E$2004)=0,0,D57/SUM(Veri!$E$5:$E$2004)))</f>
        <v/>
      </c>
      <c r="F57" s="31" t="str">
        <f aca="false">IF(B57="","",SUM(E$5:E57))</f>
        <v/>
      </c>
      <c r="G57" s="32" t="str">
        <f aca="false">IF(B57="","",IF(F56&lt;0.8,"A",IF(F56&lt;0.95,"B","C")))</f>
        <v/>
      </c>
      <c r="H57" s="23" t="str">
        <f aca="false">IF(OR(B57="",C57=0),"",D57/C57)</f>
        <v/>
      </c>
      <c r="I57" s="33" t="str">
        <f aca="false">IF(B57="","",SUMPRODUCT(MAX((Veri!$B$5:$B$2004=B57)*Veri!$A$5:$A$2004)))</f>
        <v/>
      </c>
      <c r="J57" s="16"/>
      <c r="K57" s="16" t="str">
        <f aca="false">IF(53&gt;MAX(Veri!$I$5:$I$2004),"",INDEX(Veri!$B$5:$B$2004,MATCH(53,Veri!$I$5:$I$2004,0)))</f>
        <v/>
      </c>
      <c r="L57" s="16" t="str">
        <f aca="false">IF(K57="","",SUMIFS(Veri!$E$5:$E$2004,Veri!$B$5:$B$2004,K57))</f>
        <v/>
      </c>
      <c r="M57" s="16" t="str">
        <f aca="false">IF(K57="","",L57+ROW()/1000000000)</f>
        <v/>
      </c>
      <c r="N57" s="16"/>
    </row>
    <row r="58" customFormat="false" ht="15" hidden="false" customHeight="false" outlineLevel="0" collapsed="false">
      <c r="A58" s="34" t="str">
        <f aca="false">IF(B58="","",54)</f>
        <v/>
      </c>
      <c r="B58" s="26" t="str">
        <f aca="false">IFERROR(INDEX($K$5:$K$204,MATCH(LARGE($M$5:$M$204,54),$M$5:$M$204,0)),"")</f>
        <v/>
      </c>
      <c r="C58" s="28" t="str">
        <f aca="false">IF(B58="","",COUNTIF(Veri!$B$5:$B$2004,B58))</f>
        <v/>
      </c>
      <c r="D58" s="27" t="str">
        <f aca="false">IF(B58="","",SUMIFS(Veri!$E$5:$E$2004,Veri!$B$5:$B$2004,B58))</f>
        <v/>
      </c>
      <c r="E58" s="35" t="str">
        <f aca="false">IF(B58="","",IF(SUM(Veri!$E$5:$E$2004)=0,0,D58/SUM(Veri!$E$5:$E$2004)))</f>
        <v/>
      </c>
      <c r="F58" s="35" t="str">
        <f aca="false">IF(B58="","",SUM(E$5:E58))</f>
        <v/>
      </c>
      <c r="G58" s="36" t="str">
        <f aca="false">IF(B58="","",IF(F57&lt;0.8,"A",IF(F57&lt;0.95,"B","C")))</f>
        <v/>
      </c>
      <c r="H58" s="27" t="str">
        <f aca="false">IF(OR(B58="",C58=0),"",D58/C58)</f>
        <v/>
      </c>
      <c r="I58" s="37" t="str">
        <f aca="false">IF(B58="","",SUMPRODUCT(MAX((Veri!$B$5:$B$2004=B58)*Veri!$A$5:$A$2004)))</f>
        <v/>
      </c>
      <c r="J58" s="26"/>
      <c r="K58" s="26" t="str">
        <f aca="false">IF(54&gt;MAX(Veri!$I$5:$I$2004),"",INDEX(Veri!$B$5:$B$2004,MATCH(54,Veri!$I$5:$I$2004,0)))</f>
        <v/>
      </c>
      <c r="L58" s="26" t="str">
        <f aca="false">IF(K58="","",SUMIFS(Veri!$E$5:$E$2004,Veri!$B$5:$B$2004,K58))</f>
        <v/>
      </c>
      <c r="M58" s="26" t="str">
        <f aca="false">IF(K58="","",L58+ROW()/1000000000)</f>
        <v/>
      </c>
      <c r="N58" s="26"/>
    </row>
    <row r="59" customFormat="false" ht="15" hidden="false" customHeight="false" outlineLevel="0" collapsed="false">
      <c r="A59" s="30" t="str">
        <f aca="false">IF(B59="","",55)</f>
        <v/>
      </c>
      <c r="B59" s="16" t="str">
        <f aca="false">IFERROR(INDEX($K$5:$K$204,MATCH(LARGE($M$5:$M$204,55),$M$5:$M$204,0)),"")</f>
        <v/>
      </c>
      <c r="C59" s="24" t="str">
        <f aca="false">IF(B59="","",COUNTIF(Veri!$B$5:$B$2004,B59))</f>
        <v/>
      </c>
      <c r="D59" s="23" t="str">
        <f aca="false">IF(B59="","",SUMIFS(Veri!$E$5:$E$2004,Veri!$B$5:$B$2004,B59))</f>
        <v/>
      </c>
      <c r="E59" s="31" t="str">
        <f aca="false">IF(B59="","",IF(SUM(Veri!$E$5:$E$2004)=0,0,D59/SUM(Veri!$E$5:$E$2004)))</f>
        <v/>
      </c>
      <c r="F59" s="31" t="str">
        <f aca="false">IF(B59="","",SUM(E$5:E59))</f>
        <v/>
      </c>
      <c r="G59" s="32" t="str">
        <f aca="false">IF(B59="","",IF(F58&lt;0.8,"A",IF(F58&lt;0.95,"B","C")))</f>
        <v/>
      </c>
      <c r="H59" s="23" t="str">
        <f aca="false">IF(OR(B59="",C59=0),"",D59/C59)</f>
        <v/>
      </c>
      <c r="I59" s="33" t="str">
        <f aca="false">IF(B59="","",SUMPRODUCT(MAX((Veri!$B$5:$B$2004=B59)*Veri!$A$5:$A$2004)))</f>
        <v/>
      </c>
      <c r="J59" s="16"/>
      <c r="K59" s="16" t="str">
        <f aca="false">IF(55&gt;MAX(Veri!$I$5:$I$2004),"",INDEX(Veri!$B$5:$B$2004,MATCH(55,Veri!$I$5:$I$2004,0)))</f>
        <v/>
      </c>
      <c r="L59" s="16" t="str">
        <f aca="false">IF(K59="","",SUMIFS(Veri!$E$5:$E$2004,Veri!$B$5:$B$2004,K59))</f>
        <v/>
      </c>
      <c r="M59" s="16" t="str">
        <f aca="false">IF(K59="","",L59+ROW()/1000000000)</f>
        <v/>
      </c>
      <c r="N59" s="16"/>
    </row>
    <row r="60" customFormat="false" ht="15" hidden="false" customHeight="false" outlineLevel="0" collapsed="false">
      <c r="A60" s="34" t="str">
        <f aca="false">IF(B60="","",56)</f>
        <v/>
      </c>
      <c r="B60" s="26" t="str">
        <f aca="false">IFERROR(INDEX($K$5:$K$204,MATCH(LARGE($M$5:$M$204,56),$M$5:$M$204,0)),"")</f>
        <v/>
      </c>
      <c r="C60" s="28" t="str">
        <f aca="false">IF(B60="","",COUNTIF(Veri!$B$5:$B$2004,B60))</f>
        <v/>
      </c>
      <c r="D60" s="27" t="str">
        <f aca="false">IF(B60="","",SUMIFS(Veri!$E$5:$E$2004,Veri!$B$5:$B$2004,B60))</f>
        <v/>
      </c>
      <c r="E60" s="35" t="str">
        <f aca="false">IF(B60="","",IF(SUM(Veri!$E$5:$E$2004)=0,0,D60/SUM(Veri!$E$5:$E$2004)))</f>
        <v/>
      </c>
      <c r="F60" s="35" t="str">
        <f aca="false">IF(B60="","",SUM(E$5:E60))</f>
        <v/>
      </c>
      <c r="G60" s="36" t="str">
        <f aca="false">IF(B60="","",IF(F59&lt;0.8,"A",IF(F59&lt;0.95,"B","C")))</f>
        <v/>
      </c>
      <c r="H60" s="27" t="str">
        <f aca="false">IF(OR(B60="",C60=0),"",D60/C60)</f>
        <v/>
      </c>
      <c r="I60" s="37" t="str">
        <f aca="false">IF(B60="","",SUMPRODUCT(MAX((Veri!$B$5:$B$2004=B60)*Veri!$A$5:$A$2004)))</f>
        <v/>
      </c>
      <c r="J60" s="26"/>
      <c r="K60" s="26" t="str">
        <f aca="false">IF(56&gt;MAX(Veri!$I$5:$I$2004),"",INDEX(Veri!$B$5:$B$2004,MATCH(56,Veri!$I$5:$I$2004,0)))</f>
        <v/>
      </c>
      <c r="L60" s="26" t="str">
        <f aca="false">IF(K60="","",SUMIFS(Veri!$E$5:$E$2004,Veri!$B$5:$B$2004,K60))</f>
        <v/>
      </c>
      <c r="M60" s="26" t="str">
        <f aca="false">IF(K60="","",L60+ROW()/1000000000)</f>
        <v/>
      </c>
      <c r="N60" s="26"/>
    </row>
    <row r="61" customFormat="false" ht="15" hidden="false" customHeight="false" outlineLevel="0" collapsed="false">
      <c r="A61" s="30" t="str">
        <f aca="false">IF(B61="","",57)</f>
        <v/>
      </c>
      <c r="B61" s="16" t="str">
        <f aca="false">IFERROR(INDEX($K$5:$K$204,MATCH(LARGE($M$5:$M$204,57),$M$5:$M$204,0)),"")</f>
        <v/>
      </c>
      <c r="C61" s="24" t="str">
        <f aca="false">IF(B61="","",COUNTIF(Veri!$B$5:$B$2004,B61))</f>
        <v/>
      </c>
      <c r="D61" s="23" t="str">
        <f aca="false">IF(B61="","",SUMIFS(Veri!$E$5:$E$2004,Veri!$B$5:$B$2004,B61))</f>
        <v/>
      </c>
      <c r="E61" s="31" t="str">
        <f aca="false">IF(B61="","",IF(SUM(Veri!$E$5:$E$2004)=0,0,D61/SUM(Veri!$E$5:$E$2004)))</f>
        <v/>
      </c>
      <c r="F61" s="31" t="str">
        <f aca="false">IF(B61="","",SUM(E$5:E61))</f>
        <v/>
      </c>
      <c r="G61" s="32" t="str">
        <f aca="false">IF(B61="","",IF(F60&lt;0.8,"A",IF(F60&lt;0.95,"B","C")))</f>
        <v/>
      </c>
      <c r="H61" s="23" t="str">
        <f aca="false">IF(OR(B61="",C61=0),"",D61/C61)</f>
        <v/>
      </c>
      <c r="I61" s="33" t="str">
        <f aca="false">IF(B61="","",SUMPRODUCT(MAX((Veri!$B$5:$B$2004=B61)*Veri!$A$5:$A$2004)))</f>
        <v/>
      </c>
      <c r="J61" s="16"/>
      <c r="K61" s="16" t="str">
        <f aca="false">IF(57&gt;MAX(Veri!$I$5:$I$2004),"",INDEX(Veri!$B$5:$B$2004,MATCH(57,Veri!$I$5:$I$2004,0)))</f>
        <v/>
      </c>
      <c r="L61" s="16" t="str">
        <f aca="false">IF(K61="","",SUMIFS(Veri!$E$5:$E$2004,Veri!$B$5:$B$2004,K61))</f>
        <v/>
      </c>
      <c r="M61" s="16" t="str">
        <f aca="false">IF(K61="","",L61+ROW()/1000000000)</f>
        <v/>
      </c>
      <c r="N61" s="16"/>
    </row>
    <row r="62" customFormat="false" ht="15" hidden="false" customHeight="false" outlineLevel="0" collapsed="false">
      <c r="A62" s="34" t="str">
        <f aca="false">IF(B62="","",58)</f>
        <v/>
      </c>
      <c r="B62" s="26" t="str">
        <f aca="false">IFERROR(INDEX($K$5:$K$204,MATCH(LARGE($M$5:$M$204,58),$M$5:$M$204,0)),"")</f>
        <v/>
      </c>
      <c r="C62" s="28" t="str">
        <f aca="false">IF(B62="","",COUNTIF(Veri!$B$5:$B$2004,B62))</f>
        <v/>
      </c>
      <c r="D62" s="27" t="str">
        <f aca="false">IF(B62="","",SUMIFS(Veri!$E$5:$E$2004,Veri!$B$5:$B$2004,B62))</f>
        <v/>
      </c>
      <c r="E62" s="35" t="str">
        <f aca="false">IF(B62="","",IF(SUM(Veri!$E$5:$E$2004)=0,0,D62/SUM(Veri!$E$5:$E$2004)))</f>
        <v/>
      </c>
      <c r="F62" s="35" t="str">
        <f aca="false">IF(B62="","",SUM(E$5:E62))</f>
        <v/>
      </c>
      <c r="G62" s="36" t="str">
        <f aca="false">IF(B62="","",IF(F61&lt;0.8,"A",IF(F61&lt;0.95,"B","C")))</f>
        <v/>
      </c>
      <c r="H62" s="27" t="str">
        <f aca="false">IF(OR(B62="",C62=0),"",D62/C62)</f>
        <v/>
      </c>
      <c r="I62" s="37" t="str">
        <f aca="false">IF(B62="","",SUMPRODUCT(MAX((Veri!$B$5:$B$2004=B62)*Veri!$A$5:$A$2004)))</f>
        <v/>
      </c>
      <c r="J62" s="26"/>
      <c r="K62" s="26" t="str">
        <f aca="false">IF(58&gt;MAX(Veri!$I$5:$I$2004),"",INDEX(Veri!$B$5:$B$2004,MATCH(58,Veri!$I$5:$I$2004,0)))</f>
        <v/>
      </c>
      <c r="L62" s="26" t="str">
        <f aca="false">IF(K62="","",SUMIFS(Veri!$E$5:$E$2004,Veri!$B$5:$B$2004,K62))</f>
        <v/>
      </c>
      <c r="M62" s="26" t="str">
        <f aca="false">IF(K62="","",L62+ROW()/1000000000)</f>
        <v/>
      </c>
      <c r="N62" s="26"/>
    </row>
    <row r="63" customFormat="false" ht="15" hidden="false" customHeight="false" outlineLevel="0" collapsed="false">
      <c r="A63" s="30" t="str">
        <f aca="false">IF(B63="","",59)</f>
        <v/>
      </c>
      <c r="B63" s="16" t="str">
        <f aca="false">IFERROR(INDEX($K$5:$K$204,MATCH(LARGE($M$5:$M$204,59),$M$5:$M$204,0)),"")</f>
        <v/>
      </c>
      <c r="C63" s="24" t="str">
        <f aca="false">IF(B63="","",COUNTIF(Veri!$B$5:$B$2004,B63))</f>
        <v/>
      </c>
      <c r="D63" s="23" t="str">
        <f aca="false">IF(B63="","",SUMIFS(Veri!$E$5:$E$2004,Veri!$B$5:$B$2004,B63))</f>
        <v/>
      </c>
      <c r="E63" s="31" t="str">
        <f aca="false">IF(B63="","",IF(SUM(Veri!$E$5:$E$2004)=0,0,D63/SUM(Veri!$E$5:$E$2004)))</f>
        <v/>
      </c>
      <c r="F63" s="31" t="str">
        <f aca="false">IF(B63="","",SUM(E$5:E63))</f>
        <v/>
      </c>
      <c r="G63" s="32" t="str">
        <f aca="false">IF(B63="","",IF(F62&lt;0.8,"A",IF(F62&lt;0.95,"B","C")))</f>
        <v/>
      </c>
      <c r="H63" s="23" t="str">
        <f aca="false">IF(OR(B63="",C63=0),"",D63/C63)</f>
        <v/>
      </c>
      <c r="I63" s="33" t="str">
        <f aca="false">IF(B63="","",SUMPRODUCT(MAX((Veri!$B$5:$B$2004=B63)*Veri!$A$5:$A$2004)))</f>
        <v/>
      </c>
      <c r="J63" s="16"/>
      <c r="K63" s="16" t="str">
        <f aca="false">IF(59&gt;MAX(Veri!$I$5:$I$2004),"",INDEX(Veri!$B$5:$B$2004,MATCH(59,Veri!$I$5:$I$2004,0)))</f>
        <v/>
      </c>
      <c r="L63" s="16" t="str">
        <f aca="false">IF(K63="","",SUMIFS(Veri!$E$5:$E$2004,Veri!$B$5:$B$2004,K63))</f>
        <v/>
      </c>
      <c r="M63" s="16" t="str">
        <f aca="false">IF(K63="","",L63+ROW()/1000000000)</f>
        <v/>
      </c>
      <c r="N63" s="16"/>
    </row>
    <row r="64" customFormat="false" ht="15" hidden="false" customHeight="false" outlineLevel="0" collapsed="false">
      <c r="A64" s="34" t="str">
        <f aca="false">IF(B64="","",60)</f>
        <v/>
      </c>
      <c r="B64" s="26" t="str">
        <f aca="false">IFERROR(INDEX($K$5:$K$204,MATCH(LARGE($M$5:$M$204,60),$M$5:$M$204,0)),"")</f>
        <v/>
      </c>
      <c r="C64" s="28" t="str">
        <f aca="false">IF(B64="","",COUNTIF(Veri!$B$5:$B$2004,B64))</f>
        <v/>
      </c>
      <c r="D64" s="27" t="str">
        <f aca="false">IF(B64="","",SUMIFS(Veri!$E$5:$E$2004,Veri!$B$5:$B$2004,B64))</f>
        <v/>
      </c>
      <c r="E64" s="35" t="str">
        <f aca="false">IF(B64="","",IF(SUM(Veri!$E$5:$E$2004)=0,0,D64/SUM(Veri!$E$5:$E$2004)))</f>
        <v/>
      </c>
      <c r="F64" s="35" t="str">
        <f aca="false">IF(B64="","",SUM(E$5:E64))</f>
        <v/>
      </c>
      <c r="G64" s="36" t="str">
        <f aca="false">IF(B64="","",IF(F63&lt;0.8,"A",IF(F63&lt;0.95,"B","C")))</f>
        <v/>
      </c>
      <c r="H64" s="27" t="str">
        <f aca="false">IF(OR(B64="",C64=0),"",D64/C64)</f>
        <v/>
      </c>
      <c r="I64" s="37" t="str">
        <f aca="false">IF(B64="","",SUMPRODUCT(MAX((Veri!$B$5:$B$2004=B64)*Veri!$A$5:$A$2004)))</f>
        <v/>
      </c>
      <c r="J64" s="26"/>
      <c r="K64" s="26" t="str">
        <f aca="false">IF(60&gt;MAX(Veri!$I$5:$I$2004),"",INDEX(Veri!$B$5:$B$2004,MATCH(60,Veri!$I$5:$I$2004,0)))</f>
        <v/>
      </c>
      <c r="L64" s="26" t="str">
        <f aca="false">IF(K64="","",SUMIFS(Veri!$E$5:$E$2004,Veri!$B$5:$B$2004,K64))</f>
        <v/>
      </c>
      <c r="M64" s="26" t="str">
        <f aca="false">IF(K64="","",L64+ROW()/1000000000)</f>
        <v/>
      </c>
      <c r="N64" s="26"/>
    </row>
    <row r="65" customFormat="false" ht="15" hidden="false" customHeight="false" outlineLevel="0" collapsed="false">
      <c r="A65" s="30" t="str">
        <f aca="false">IF(B65="","",61)</f>
        <v/>
      </c>
      <c r="B65" s="16" t="str">
        <f aca="false">IFERROR(INDEX($K$5:$K$204,MATCH(LARGE($M$5:$M$204,61),$M$5:$M$204,0)),"")</f>
        <v/>
      </c>
      <c r="C65" s="24" t="str">
        <f aca="false">IF(B65="","",COUNTIF(Veri!$B$5:$B$2004,B65))</f>
        <v/>
      </c>
      <c r="D65" s="23" t="str">
        <f aca="false">IF(B65="","",SUMIFS(Veri!$E$5:$E$2004,Veri!$B$5:$B$2004,B65))</f>
        <v/>
      </c>
      <c r="E65" s="31" t="str">
        <f aca="false">IF(B65="","",IF(SUM(Veri!$E$5:$E$2004)=0,0,D65/SUM(Veri!$E$5:$E$2004)))</f>
        <v/>
      </c>
      <c r="F65" s="31" t="str">
        <f aca="false">IF(B65="","",SUM(E$5:E65))</f>
        <v/>
      </c>
      <c r="G65" s="32" t="str">
        <f aca="false">IF(B65="","",IF(F64&lt;0.8,"A",IF(F64&lt;0.95,"B","C")))</f>
        <v/>
      </c>
      <c r="H65" s="23" t="str">
        <f aca="false">IF(OR(B65="",C65=0),"",D65/C65)</f>
        <v/>
      </c>
      <c r="I65" s="33" t="str">
        <f aca="false">IF(B65="","",SUMPRODUCT(MAX((Veri!$B$5:$B$2004=B65)*Veri!$A$5:$A$2004)))</f>
        <v/>
      </c>
      <c r="J65" s="16"/>
      <c r="K65" s="16" t="str">
        <f aca="false">IF(61&gt;MAX(Veri!$I$5:$I$2004),"",INDEX(Veri!$B$5:$B$2004,MATCH(61,Veri!$I$5:$I$2004,0)))</f>
        <v/>
      </c>
      <c r="L65" s="16" t="str">
        <f aca="false">IF(K65="","",SUMIFS(Veri!$E$5:$E$2004,Veri!$B$5:$B$2004,K65))</f>
        <v/>
      </c>
      <c r="M65" s="16" t="str">
        <f aca="false">IF(K65="","",L65+ROW()/1000000000)</f>
        <v/>
      </c>
      <c r="N65" s="16"/>
    </row>
    <row r="66" customFormat="false" ht="15" hidden="false" customHeight="false" outlineLevel="0" collapsed="false">
      <c r="A66" s="34" t="str">
        <f aca="false">IF(B66="","",62)</f>
        <v/>
      </c>
      <c r="B66" s="26" t="str">
        <f aca="false">IFERROR(INDEX($K$5:$K$204,MATCH(LARGE($M$5:$M$204,62),$M$5:$M$204,0)),"")</f>
        <v/>
      </c>
      <c r="C66" s="28" t="str">
        <f aca="false">IF(B66="","",COUNTIF(Veri!$B$5:$B$2004,B66))</f>
        <v/>
      </c>
      <c r="D66" s="27" t="str">
        <f aca="false">IF(B66="","",SUMIFS(Veri!$E$5:$E$2004,Veri!$B$5:$B$2004,B66))</f>
        <v/>
      </c>
      <c r="E66" s="35" t="str">
        <f aca="false">IF(B66="","",IF(SUM(Veri!$E$5:$E$2004)=0,0,D66/SUM(Veri!$E$5:$E$2004)))</f>
        <v/>
      </c>
      <c r="F66" s="35" t="str">
        <f aca="false">IF(B66="","",SUM(E$5:E66))</f>
        <v/>
      </c>
      <c r="G66" s="36" t="str">
        <f aca="false">IF(B66="","",IF(F65&lt;0.8,"A",IF(F65&lt;0.95,"B","C")))</f>
        <v/>
      </c>
      <c r="H66" s="27" t="str">
        <f aca="false">IF(OR(B66="",C66=0),"",D66/C66)</f>
        <v/>
      </c>
      <c r="I66" s="37" t="str">
        <f aca="false">IF(B66="","",SUMPRODUCT(MAX((Veri!$B$5:$B$2004=B66)*Veri!$A$5:$A$2004)))</f>
        <v/>
      </c>
      <c r="J66" s="26"/>
      <c r="K66" s="26" t="str">
        <f aca="false">IF(62&gt;MAX(Veri!$I$5:$I$2004),"",INDEX(Veri!$B$5:$B$2004,MATCH(62,Veri!$I$5:$I$2004,0)))</f>
        <v/>
      </c>
      <c r="L66" s="26" t="str">
        <f aca="false">IF(K66="","",SUMIFS(Veri!$E$5:$E$2004,Veri!$B$5:$B$2004,K66))</f>
        <v/>
      </c>
      <c r="M66" s="26" t="str">
        <f aca="false">IF(K66="","",L66+ROW()/1000000000)</f>
        <v/>
      </c>
      <c r="N66" s="26"/>
    </row>
    <row r="67" customFormat="false" ht="15" hidden="false" customHeight="false" outlineLevel="0" collapsed="false">
      <c r="A67" s="30" t="str">
        <f aca="false">IF(B67="","",63)</f>
        <v/>
      </c>
      <c r="B67" s="16" t="str">
        <f aca="false">IFERROR(INDEX($K$5:$K$204,MATCH(LARGE($M$5:$M$204,63),$M$5:$M$204,0)),"")</f>
        <v/>
      </c>
      <c r="C67" s="24" t="str">
        <f aca="false">IF(B67="","",COUNTIF(Veri!$B$5:$B$2004,B67))</f>
        <v/>
      </c>
      <c r="D67" s="23" t="str">
        <f aca="false">IF(B67="","",SUMIFS(Veri!$E$5:$E$2004,Veri!$B$5:$B$2004,B67))</f>
        <v/>
      </c>
      <c r="E67" s="31" t="str">
        <f aca="false">IF(B67="","",IF(SUM(Veri!$E$5:$E$2004)=0,0,D67/SUM(Veri!$E$5:$E$2004)))</f>
        <v/>
      </c>
      <c r="F67" s="31" t="str">
        <f aca="false">IF(B67="","",SUM(E$5:E67))</f>
        <v/>
      </c>
      <c r="G67" s="32" t="str">
        <f aca="false">IF(B67="","",IF(F66&lt;0.8,"A",IF(F66&lt;0.95,"B","C")))</f>
        <v/>
      </c>
      <c r="H67" s="23" t="str">
        <f aca="false">IF(OR(B67="",C67=0),"",D67/C67)</f>
        <v/>
      </c>
      <c r="I67" s="33" t="str">
        <f aca="false">IF(B67="","",SUMPRODUCT(MAX((Veri!$B$5:$B$2004=B67)*Veri!$A$5:$A$2004)))</f>
        <v/>
      </c>
      <c r="J67" s="16"/>
      <c r="K67" s="16" t="str">
        <f aca="false">IF(63&gt;MAX(Veri!$I$5:$I$2004),"",INDEX(Veri!$B$5:$B$2004,MATCH(63,Veri!$I$5:$I$2004,0)))</f>
        <v/>
      </c>
      <c r="L67" s="16" t="str">
        <f aca="false">IF(K67="","",SUMIFS(Veri!$E$5:$E$2004,Veri!$B$5:$B$2004,K67))</f>
        <v/>
      </c>
      <c r="M67" s="16" t="str">
        <f aca="false">IF(K67="","",L67+ROW()/1000000000)</f>
        <v/>
      </c>
      <c r="N67" s="16"/>
    </row>
    <row r="68" customFormat="false" ht="15" hidden="false" customHeight="false" outlineLevel="0" collapsed="false">
      <c r="A68" s="34" t="str">
        <f aca="false">IF(B68="","",64)</f>
        <v/>
      </c>
      <c r="B68" s="26" t="str">
        <f aca="false">IFERROR(INDEX($K$5:$K$204,MATCH(LARGE($M$5:$M$204,64),$M$5:$M$204,0)),"")</f>
        <v/>
      </c>
      <c r="C68" s="28" t="str">
        <f aca="false">IF(B68="","",COUNTIF(Veri!$B$5:$B$2004,B68))</f>
        <v/>
      </c>
      <c r="D68" s="27" t="str">
        <f aca="false">IF(B68="","",SUMIFS(Veri!$E$5:$E$2004,Veri!$B$5:$B$2004,B68))</f>
        <v/>
      </c>
      <c r="E68" s="35" t="str">
        <f aca="false">IF(B68="","",IF(SUM(Veri!$E$5:$E$2004)=0,0,D68/SUM(Veri!$E$5:$E$2004)))</f>
        <v/>
      </c>
      <c r="F68" s="35" t="str">
        <f aca="false">IF(B68="","",SUM(E$5:E68))</f>
        <v/>
      </c>
      <c r="G68" s="36" t="str">
        <f aca="false">IF(B68="","",IF(F67&lt;0.8,"A",IF(F67&lt;0.95,"B","C")))</f>
        <v/>
      </c>
      <c r="H68" s="27" t="str">
        <f aca="false">IF(OR(B68="",C68=0),"",D68/C68)</f>
        <v/>
      </c>
      <c r="I68" s="37" t="str">
        <f aca="false">IF(B68="","",SUMPRODUCT(MAX((Veri!$B$5:$B$2004=B68)*Veri!$A$5:$A$2004)))</f>
        <v/>
      </c>
      <c r="J68" s="26"/>
      <c r="K68" s="26" t="str">
        <f aca="false">IF(64&gt;MAX(Veri!$I$5:$I$2004),"",INDEX(Veri!$B$5:$B$2004,MATCH(64,Veri!$I$5:$I$2004,0)))</f>
        <v/>
      </c>
      <c r="L68" s="26" t="str">
        <f aca="false">IF(K68="","",SUMIFS(Veri!$E$5:$E$2004,Veri!$B$5:$B$2004,K68))</f>
        <v/>
      </c>
      <c r="M68" s="26" t="str">
        <f aca="false">IF(K68="","",L68+ROW()/1000000000)</f>
        <v/>
      </c>
      <c r="N68" s="26"/>
    </row>
    <row r="69" customFormat="false" ht="15" hidden="false" customHeight="false" outlineLevel="0" collapsed="false">
      <c r="A69" s="30" t="str">
        <f aca="false">IF(B69="","",65)</f>
        <v/>
      </c>
      <c r="B69" s="16" t="str">
        <f aca="false">IFERROR(INDEX($K$5:$K$204,MATCH(LARGE($M$5:$M$204,65),$M$5:$M$204,0)),"")</f>
        <v/>
      </c>
      <c r="C69" s="24" t="str">
        <f aca="false">IF(B69="","",COUNTIF(Veri!$B$5:$B$2004,B69))</f>
        <v/>
      </c>
      <c r="D69" s="23" t="str">
        <f aca="false">IF(B69="","",SUMIFS(Veri!$E$5:$E$2004,Veri!$B$5:$B$2004,B69))</f>
        <v/>
      </c>
      <c r="E69" s="31" t="str">
        <f aca="false">IF(B69="","",IF(SUM(Veri!$E$5:$E$2004)=0,0,D69/SUM(Veri!$E$5:$E$2004)))</f>
        <v/>
      </c>
      <c r="F69" s="31" t="str">
        <f aca="false">IF(B69="","",SUM(E$5:E69))</f>
        <v/>
      </c>
      <c r="G69" s="32" t="str">
        <f aca="false">IF(B69="","",IF(F68&lt;0.8,"A",IF(F68&lt;0.95,"B","C")))</f>
        <v/>
      </c>
      <c r="H69" s="23" t="str">
        <f aca="false">IF(OR(B69="",C69=0),"",D69/C69)</f>
        <v/>
      </c>
      <c r="I69" s="33" t="str">
        <f aca="false">IF(B69="","",SUMPRODUCT(MAX((Veri!$B$5:$B$2004=B69)*Veri!$A$5:$A$2004)))</f>
        <v/>
      </c>
      <c r="J69" s="16"/>
      <c r="K69" s="16" t="str">
        <f aca="false">IF(65&gt;MAX(Veri!$I$5:$I$2004),"",INDEX(Veri!$B$5:$B$2004,MATCH(65,Veri!$I$5:$I$2004,0)))</f>
        <v/>
      </c>
      <c r="L69" s="16" t="str">
        <f aca="false">IF(K69="","",SUMIFS(Veri!$E$5:$E$2004,Veri!$B$5:$B$2004,K69))</f>
        <v/>
      </c>
      <c r="M69" s="16" t="str">
        <f aca="false">IF(K69="","",L69+ROW()/1000000000)</f>
        <v/>
      </c>
      <c r="N69" s="16"/>
    </row>
    <row r="70" customFormat="false" ht="15" hidden="false" customHeight="false" outlineLevel="0" collapsed="false">
      <c r="A70" s="34" t="str">
        <f aca="false">IF(B70="","",66)</f>
        <v/>
      </c>
      <c r="B70" s="26" t="str">
        <f aca="false">IFERROR(INDEX($K$5:$K$204,MATCH(LARGE($M$5:$M$204,66),$M$5:$M$204,0)),"")</f>
        <v/>
      </c>
      <c r="C70" s="28" t="str">
        <f aca="false">IF(B70="","",COUNTIF(Veri!$B$5:$B$2004,B70))</f>
        <v/>
      </c>
      <c r="D70" s="27" t="str">
        <f aca="false">IF(B70="","",SUMIFS(Veri!$E$5:$E$2004,Veri!$B$5:$B$2004,B70))</f>
        <v/>
      </c>
      <c r="E70" s="35" t="str">
        <f aca="false">IF(B70="","",IF(SUM(Veri!$E$5:$E$2004)=0,0,D70/SUM(Veri!$E$5:$E$2004)))</f>
        <v/>
      </c>
      <c r="F70" s="35" t="str">
        <f aca="false">IF(B70="","",SUM(E$5:E70))</f>
        <v/>
      </c>
      <c r="G70" s="36" t="str">
        <f aca="false">IF(B70="","",IF(F69&lt;0.8,"A",IF(F69&lt;0.95,"B","C")))</f>
        <v/>
      </c>
      <c r="H70" s="27" t="str">
        <f aca="false">IF(OR(B70="",C70=0),"",D70/C70)</f>
        <v/>
      </c>
      <c r="I70" s="37" t="str">
        <f aca="false">IF(B70="","",SUMPRODUCT(MAX((Veri!$B$5:$B$2004=B70)*Veri!$A$5:$A$2004)))</f>
        <v/>
      </c>
      <c r="J70" s="26"/>
      <c r="K70" s="26" t="str">
        <f aca="false">IF(66&gt;MAX(Veri!$I$5:$I$2004),"",INDEX(Veri!$B$5:$B$2004,MATCH(66,Veri!$I$5:$I$2004,0)))</f>
        <v/>
      </c>
      <c r="L70" s="26" t="str">
        <f aca="false">IF(K70="","",SUMIFS(Veri!$E$5:$E$2004,Veri!$B$5:$B$2004,K70))</f>
        <v/>
      </c>
      <c r="M70" s="26" t="str">
        <f aca="false">IF(K70="","",L70+ROW()/1000000000)</f>
        <v/>
      </c>
      <c r="N70" s="26"/>
    </row>
    <row r="71" customFormat="false" ht="15" hidden="false" customHeight="false" outlineLevel="0" collapsed="false">
      <c r="A71" s="30" t="str">
        <f aca="false">IF(B71="","",67)</f>
        <v/>
      </c>
      <c r="B71" s="16" t="str">
        <f aca="false">IFERROR(INDEX($K$5:$K$204,MATCH(LARGE($M$5:$M$204,67),$M$5:$M$204,0)),"")</f>
        <v/>
      </c>
      <c r="C71" s="24" t="str">
        <f aca="false">IF(B71="","",COUNTIF(Veri!$B$5:$B$2004,B71))</f>
        <v/>
      </c>
      <c r="D71" s="23" t="str">
        <f aca="false">IF(B71="","",SUMIFS(Veri!$E$5:$E$2004,Veri!$B$5:$B$2004,B71))</f>
        <v/>
      </c>
      <c r="E71" s="31" t="str">
        <f aca="false">IF(B71="","",IF(SUM(Veri!$E$5:$E$2004)=0,0,D71/SUM(Veri!$E$5:$E$2004)))</f>
        <v/>
      </c>
      <c r="F71" s="31" t="str">
        <f aca="false">IF(B71="","",SUM(E$5:E71))</f>
        <v/>
      </c>
      <c r="G71" s="32" t="str">
        <f aca="false">IF(B71="","",IF(F70&lt;0.8,"A",IF(F70&lt;0.95,"B","C")))</f>
        <v/>
      </c>
      <c r="H71" s="23" t="str">
        <f aca="false">IF(OR(B71="",C71=0),"",D71/C71)</f>
        <v/>
      </c>
      <c r="I71" s="33" t="str">
        <f aca="false">IF(B71="","",SUMPRODUCT(MAX((Veri!$B$5:$B$2004=B71)*Veri!$A$5:$A$2004)))</f>
        <v/>
      </c>
      <c r="J71" s="16"/>
      <c r="K71" s="16" t="str">
        <f aca="false">IF(67&gt;MAX(Veri!$I$5:$I$2004),"",INDEX(Veri!$B$5:$B$2004,MATCH(67,Veri!$I$5:$I$2004,0)))</f>
        <v/>
      </c>
      <c r="L71" s="16" t="str">
        <f aca="false">IF(K71="","",SUMIFS(Veri!$E$5:$E$2004,Veri!$B$5:$B$2004,K71))</f>
        <v/>
      </c>
      <c r="M71" s="16" t="str">
        <f aca="false">IF(K71="","",L71+ROW()/1000000000)</f>
        <v/>
      </c>
      <c r="N71" s="16"/>
    </row>
    <row r="72" customFormat="false" ht="15" hidden="false" customHeight="false" outlineLevel="0" collapsed="false">
      <c r="A72" s="34" t="str">
        <f aca="false">IF(B72="","",68)</f>
        <v/>
      </c>
      <c r="B72" s="26" t="str">
        <f aca="false">IFERROR(INDEX($K$5:$K$204,MATCH(LARGE($M$5:$M$204,68),$M$5:$M$204,0)),"")</f>
        <v/>
      </c>
      <c r="C72" s="28" t="str">
        <f aca="false">IF(B72="","",COUNTIF(Veri!$B$5:$B$2004,B72))</f>
        <v/>
      </c>
      <c r="D72" s="27" t="str">
        <f aca="false">IF(B72="","",SUMIFS(Veri!$E$5:$E$2004,Veri!$B$5:$B$2004,B72))</f>
        <v/>
      </c>
      <c r="E72" s="35" t="str">
        <f aca="false">IF(B72="","",IF(SUM(Veri!$E$5:$E$2004)=0,0,D72/SUM(Veri!$E$5:$E$2004)))</f>
        <v/>
      </c>
      <c r="F72" s="35" t="str">
        <f aca="false">IF(B72="","",SUM(E$5:E72))</f>
        <v/>
      </c>
      <c r="G72" s="36" t="str">
        <f aca="false">IF(B72="","",IF(F71&lt;0.8,"A",IF(F71&lt;0.95,"B","C")))</f>
        <v/>
      </c>
      <c r="H72" s="27" t="str">
        <f aca="false">IF(OR(B72="",C72=0),"",D72/C72)</f>
        <v/>
      </c>
      <c r="I72" s="37" t="str">
        <f aca="false">IF(B72="","",SUMPRODUCT(MAX((Veri!$B$5:$B$2004=B72)*Veri!$A$5:$A$2004)))</f>
        <v/>
      </c>
      <c r="J72" s="26"/>
      <c r="K72" s="26" t="str">
        <f aca="false">IF(68&gt;MAX(Veri!$I$5:$I$2004),"",INDEX(Veri!$B$5:$B$2004,MATCH(68,Veri!$I$5:$I$2004,0)))</f>
        <v/>
      </c>
      <c r="L72" s="26" t="str">
        <f aca="false">IF(K72="","",SUMIFS(Veri!$E$5:$E$2004,Veri!$B$5:$B$2004,K72))</f>
        <v/>
      </c>
      <c r="M72" s="26" t="str">
        <f aca="false">IF(K72="","",L72+ROW()/1000000000)</f>
        <v/>
      </c>
      <c r="N72" s="26"/>
    </row>
    <row r="73" customFormat="false" ht="15" hidden="false" customHeight="false" outlineLevel="0" collapsed="false">
      <c r="A73" s="30" t="str">
        <f aca="false">IF(B73="","",69)</f>
        <v/>
      </c>
      <c r="B73" s="16" t="str">
        <f aca="false">IFERROR(INDEX($K$5:$K$204,MATCH(LARGE($M$5:$M$204,69),$M$5:$M$204,0)),"")</f>
        <v/>
      </c>
      <c r="C73" s="24" t="str">
        <f aca="false">IF(B73="","",COUNTIF(Veri!$B$5:$B$2004,B73))</f>
        <v/>
      </c>
      <c r="D73" s="23" t="str">
        <f aca="false">IF(B73="","",SUMIFS(Veri!$E$5:$E$2004,Veri!$B$5:$B$2004,B73))</f>
        <v/>
      </c>
      <c r="E73" s="31" t="str">
        <f aca="false">IF(B73="","",IF(SUM(Veri!$E$5:$E$2004)=0,0,D73/SUM(Veri!$E$5:$E$2004)))</f>
        <v/>
      </c>
      <c r="F73" s="31" t="str">
        <f aca="false">IF(B73="","",SUM(E$5:E73))</f>
        <v/>
      </c>
      <c r="G73" s="32" t="str">
        <f aca="false">IF(B73="","",IF(F72&lt;0.8,"A",IF(F72&lt;0.95,"B","C")))</f>
        <v/>
      </c>
      <c r="H73" s="23" t="str">
        <f aca="false">IF(OR(B73="",C73=0),"",D73/C73)</f>
        <v/>
      </c>
      <c r="I73" s="33" t="str">
        <f aca="false">IF(B73="","",SUMPRODUCT(MAX((Veri!$B$5:$B$2004=B73)*Veri!$A$5:$A$2004)))</f>
        <v/>
      </c>
      <c r="J73" s="16"/>
      <c r="K73" s="16" t="str">
        <f aca="false">IF(69&gt;MAX(Veri!$I$5:$I$2004),"",INDEX(Veri!$B$5:$B$2004,MATCH(69,Veri!$I$5:$I$2004,0)))</f>
        <v/>
      </c>
      <c r="L73" s="16" t="str">
        <f aca="false">IF(K73="","",SUMIFS(Veri!$E$5:$E$2004,Veri!$B$5:$B$2004,K73))</f>
        <v/>
      </c>
      <c r="M73" s="16" t="str">
        <f aca="false">IF(K73="","",L73+ROW()/1000000000)</f>
        <v/>
      </c>
      <c r="N73" s="16"/>
    </row>
    <row r="74" customFormat="false" ht="15" hidden="false" customHeight="false" outlineLevel="0" collapsed="false">
      <c r="A74" s="34" t="str">
        <f aca="false">IF(B74="","",70)</f>
        <v/>
      </c>
      <c r="B74" s="26" t="str">
        <f aca="false">IFERROR(INDEX($K$5:$K$204,MATCH(LARGE($M$5:$M$204,70),$M$5:$M$204,0)),"")</f>
        <v/>
      </c>
      <c r="C74" s="28" t="str">
        <f aca="false">IF(B74="","",COUNTIF(Veri!$B$5:$B$2004,B74))</f>
        <v/>
      </c>
      <c r="D74" s="27" t="str">
        <f aca="false">IF(B74="","",SUMIFS(Veri!$E$5:$E$2004,Veri!$B$5:$B$2004,B74))</f>
        <v/>
      </c>
      <c r="E74" s="35" t="str">
        <f aca="false">IF(B74="","",IF(SUM(Veri!$E$5:$E$2004)=0,0,D74/SUM(Veri!$E$5:$E$2004)))</f>
        <v/>
      </c>
      <c r="F74" s="35" t="str">
        <f aca="false">IF(B74="","",SUM(E$5:E74))</f>
        <v/>
      </c>
      <c r="G74" s="36" t="str">
        <f aca="false">IF(B74="","",IF(F73&lt;0.8,"A",IF(F73&lt;0.95,"B","C")))</f>
        <v/>
      </c>
      <c r="H74" s="27" t="str">
        <f aca="false">IF(OR(B74="",C74=0),"",D74/C74)</f>
        <v/>
      </c>
      <c r="I74" s="37" t="str">
        <f aca="false">IF(B74="","",SUMPRODUCT(MAX((Veri!$B$5:$B$2004=B74)*Veri!$A$5:$A$2004)))</f>
        <v/>
      </c>
      <c r="J74" s="26"/>
      <c r="K74" s="26" t="str">
        <f aca="false">IF(70&gt;MAX(Veri!$I$5:$I$2004),"",INDEX(Veri!$B$5:$B$2004,MATCH(70,Veri!$I$5:$I$2004,0)))</f>
        <v/>
      </c>
      <c r="L74" s="26" t="str">
        <f aca="false">IF(K74="","",SUMIFS(Veri!$E$5:$E$2004,Veri!$B$5:$B$2004,K74))</f>
        <v/>
      </c>
      <c r="M74" s="26" t="str">
        <f aca="false">IF(K74="","",L74+ROW()/1000000000)</f>
        <v/>
      </c>
      <c r="N74" s="26"/>
    </row>
    <row r="75" customFormat="false" ht="15" hidden="false" customHeight="false" outlineLevel="0" collapsed="false">
      <c r="A75" s="30" t="str">
        <f aca="false">IF(B75="","",71)</f>
        <v/>
      </c>
      <c r="B75" s="16" t="str">
        <f aca="false">IFERROR(INDEX($K$5:$K$204,MATCH(LARGE($M$5:$M$204,71),$M$5:$M$204,0)),"")</f>
        <v/>
      </c>
      <c r="C75" s="24" t="str">
        <f aca="false">IF(B75="","",COUNTIF(Veri!$B$5:$B$2004,B75))</f>
        <v/>
      </c>
      <c r="D75" s="23" t="str">
        <f aca="false">IF(B75="","",SUMIFS(Veri!$E$5:$E$2004,Veri!$B$5:$B$2004,B75))</f>
        <v/>
      </c>
      <c r="E75" s="31" t="str">
        <f aca="false">IF(B75="","",IF(SUM(Veri!$E$5:$E$2004)=0,0,D75/SUM(Veri!$E$5:$E$2004)))</f>
        <v/>
      </c>
      <c r="F75" s="31" t="str">
        <f aca="false">IF(B75="","",SUM(E$5:E75))</f>
        <v/>
      </c>
      <c r="G75" s="32" t="str">
        <f aca="false">IF(B75="","",IF(F74&lt;0.8,"A",IF(F74&lt;0.95,"B","C")))</f>
        <v/>
      </c>
      <c r="H75" s="23" t="str">
        <f aca="false">IF(OR(B75="",C75=0),"",D75/C75)</f>
        <v/>
      </c>
      <c r="I75" s="33" t="str">
        <f aca="false">IF(B75="","",SUMPRODUCT(MAX((Veri!$B$5:$B$2004=B75)*Veri!$A$5:$A$2004)))</f>
        <v/>
      </c>
      <c r="J75" s="16"/>
      <c r="K75" s="16" t="str">
        <f aca="false">IF(71&gt;MAX(Veri!$I$5:$I$2004),"",INDEX(Veri!$B$5:$B$2004,MATCH(71,Veri!$I$5:$I$2004,0)))</f>
        <v/>
      </c>
      <c r="L75" s="16" t="str">
        <f aca="false">IF(K75="","",SUMIFS(Veri!$E$5:$E$2004,Veri!$B$5:$B$2004,K75))</f>
        <v/>
      </c>
      <c r="M75" s="16" t="str">
        <f aca="false">IF(K75="","",L75+ROW()/1000000000)</f>
        <v/>
      </c>
      <c r="N75" s="16"/>
    </row>
    <row r="76" customFormat="false" ht="15" hidden="false" customHeight="false" outlineLevel="0" collapsed="false">
      <c r="A76" s="34" t="str">
        <f aca="false">IF(B76="","",72)</f>
        <v/>
      </c>
      <c r="B76" s="26" t="str">
        <f aca="false">IFERROR(INDEX($K$5:$K$204,MATCH(LARGE($M$5:$M$204,72),$M$5:$M$204,0)),"")</f>
        <v/>
      </c>
      <c r="C76" s="28" t="str">
        <f aca="false">IF(B76="","",COUNTIF(Veri!$B$5:$B$2004,B76))</f>
        <v/>
      </c>
      <c r="D76" s="27" t="str">
        <f aca="false">IF(B76="","",SUMIFS(Veri!$E$5:$E$2004,Veri!$B$5:$B$2004,B76))</f>
        <v/>
      </c>
      <c r="E76" s="35" t="str">
        <f aca="false">IF(B76="","",IF(SUM(Veri!$E$5:$E$2004)=0,0,D76/SUM(Veri!$E$5:$E$2004)))</f>
        <v/>
      </c>
      <c r="F76" s="35" t="str">
        <f aca="false">IF(B76="","",SUM(E$5:E76))</f>
        <v/>
      </c>
      <c r="G76" s="36" t="str">
        <f aca="false">IF(B76="","",IF(F75&lt;0.8,"A",IF(F75&lt;0.95,"B","C")))</f>
        <v/>
      </c>
      <c r="H76" s="27" t="str">
        <f aca="false">IF(OR(B76="",C76=0),"",D76/C76)</f>
        <v/>
      </c>
      <c r="I76" s="37" t="str">
        <f aca="false">IF(B76="","",SUMPRODUCT(MAX((Veri!$B$5:$B$2004=B76)*Veri!$A$5:$A$2004)))</f>
        <v/>
      </c>
      <c r="J76" s="26"/>
      <c r="K76" s="26" t="str">
        <f aca="false">IF(72&gt;MAX(Veri!$I$5:$I$2004),"",INDEX(Veri!$B$5:$B$2004,MATCH(72,Veri!$I$5:$I$2004,0)))</f>
        <v/>
      </c>
      <c r="L76" s="26" t="str">
        <f aca="false">IF(K76="","",SUMIFS(Veri!$E$5:$E$2004,Veri!$B$5:$B$2004,K76))</f>
        <v/>
      </c>
      <c r="M76" s="26" t="str">
        <f aca="false">IF(K76="","",L76+ROW()/1000000000)</f>
        <v/>
      </c>
      <c r="N76" s="26"/>
    </row>
    <row r="77" customFormat="false" ht="15" hidden="false" customHeight="false" outlineLevel="0" collapsed="false">
      <c r="A77" s="30" t="str">
        <f aca="false">IF(B77="","",73)</f>
        <v/>
      </c>
      <c r="B77" s="16" t="str">
        <f aca="false">IFERROR(INDEX($K$5:$K$204,MATCH(LARGE($M$5:$M$204,73),$M$5:$M$204,0)),"")</f>
        <v/>
      </c>
      <c r="C77" s="24" t="str">
        <f aca="false">IF(B77="","",COUNTIF(Veri!$B$5:$B$2004,B77))</f>
        <v/>
      </c>
      <c r="D77" s="23" t="str">
        <f aca="false">IF(B77="","",SUMIFS(Veri!$E$5:$E$2004,Veri!$B$5:$B$2004,B77))</f>
        <v/>
      </c>
      <c r="E77" s="31" t="str">
        <f aca="false">IF(B77="","",IF(SUM(Veri!$E$5:$E$2004)=0,0,D77/SUM(Veri!$E$5:$E$2004)))</f>
        <v/>
      </c>
      <c r="F77" s="31" t="str">
        <f aca="false">IF(B77="","",SUM(E$5:E77))</f>
        <v/>
      </c>
      <c r="G77" s="32" t="str">
        <f aca="false">IF(B77="","",IF(F76&lt;0.8,"A",IF(F76&lt;0.95,"B","C")))</f>
        <v/>
      </c>
      <c r="H77" s="23" t="str">
        <f aca="false">IF(OR(B77="",C77=0),"",D77/C77)</f>
        <v/>
      </c>
      <c r="I77" s="33" t="str">
        <f aca="false">IF(B77="","",SUMPRODUCT(MAX((Veri!$B$5:$B$2004=B77)*Veri!$A$5:$A$2004)))</f>
        <v/>
      </c>
      <c r="J77" s="16"/>
      <c r="K77" s="16" t="str">
        <f aca="false">IF(73&gt;MAX(Veri!$I$5:$I$2004),"",INDEX(Veri!$B$5:$B$2004,MATCH(73,Veri!$I$5:$I$2004,0)))</f>
        <v/>
      </c>
      <c r="L77" s="16" t="str">
        <f aca="false">IF(K77="","",SUMIFS(Veri!$E$5:$E$2004,Veri!$B$5:$B$2004,K77))</f>
        <v/>
      </c>
      <c r="M77" s="16" t="str">
        <f aca="false">IF(K77="","",L77+ROW()/1000000000)</f>
        <v/>
      </c>
      <c r="N77" s="16"/>
    </row>
    <row r="78" customFormat="false" ht="15" hidden="false" customHeight="false" outlineLevel="0" collapsed="false">
      <c r="A78" s="34" t="str">
        <f aca="false">IF(B78="","",74)</f>
        <v/>
      </c>
      <c r="B78" s="26" t="str">
        <f aca="false">IFERROR(INDEX($K$5:$K$204,MATCH(LARGE($M$5:$M$204,74),$M$5:$M$204,0)),"")</f>
        <v/>
      </c>
      <c r="C78" s="28" t="str">
        <f aca="false">IF(B78="","",COUNTIF(Veri!$B$5:$B$2004,B78))</f>
        <v/>
      </c>
      <c r="D78" s="27" t="str">
        <f aca="false">IF(B78="","",SUMIFS(Veri!$E$5:$E$2004,Veri!$B$5:$B$2004,B78))</f>
        <v/>
      </c>
      <c r="E78" s="35" t="str">
        <f aca="false">IF(B78="","",IF(SUM(Veri!$E$5:$E$2004)=0,0,D78/SUM(Veri!$E$5:$E$2004)))</f>
        <v/>
      </c>
      <c r="F78" s="35" t="str">
        <f aca="false">IF(B78="","",SUM(E$5:E78))</f>
        <v/>
      </c>
      <c r="G78" s="36" t="str">
        <f aca="false">IF(B78="","",IF(F77&lt;0.8,"A",IF(F77&lt;0.95,"B","C")))</f>
        <v/>
      </c>
      <c r="H78" s="27" t="str">
        <f aca="false">IF(OR(B78="",C78=0),"",D78/C78)</f>
        <v/>
      </c>
      <c r="I78" s="37" t="str">
        <f aca="false">IF(B78="","",SUMPRODUCT(MAX((Veri!$B$5:$B$2004=B78)*Veri!$A$5:$A$2004)))</f>
        <v/>
      </c>
      <c r="J78" s="26"/>
      <c r="K78" s="26" t="str">
        <f aca="false">IF(74&gt;MAX(Veri!$I$5:$I$2004),"",INDEX(Veri!$B$5:$B$2004,MATCH(74,Veri!$I$5:$I$2004,0)))</f>
        <v/>
      </c>
      <c r="L78" s="26" t="str">
        <f aca="false">IF(K78="","",SUMIFS(Veri!$E$5:$E$2004,Veri!$B$5:$B$2004,K78))</f>
        <v/>
      </c>
      <c r="M78" s="26" t="str">
        <f aca="false">IF(K78="","",L78+ROW()/1000000000)</f>
        <v/>
      </c>
      <c r="N78" s="26"/>
    </row>
    <row r="79" customFormat="false" ht="15" hidden="false" customHeight="false" outlineLevel="0" collapsed="false">
      <c r="A79" s="30" t="str">
        <f aca="false">IF(B79="","",75)</f>
        <v/>
      </c>
      <c r="B79" s="16" t="str">
        <f aca="false">IFERROR(INDEX($K$5:$K$204,MATCH(LARGE($M$5:$M$204,75),$M$5:$M$204,0)),"")</f>
        <v/>
      </c>
      <c r="C79" s="24" t="str">
        <f aca="false">IF(B79="","",COUNTIF(Veri!$B$5:$B$2004,B79))</f>
        <v/>
      </c>
      <c r="D79" s="23" t="str">
        <f aca="false">IF(B79="","",SUMIFS(Veri!$E$5:$E$2004,Veri!$B$5:$B$2004,B79))</f>
        <v/>
      </c>
      <c r="E79" s="31" t="str">
        <f aca="false">IF(B79="","",IF(SUM(Veri!$E$5:$E$2004)=0,0,D79/SUM(Veri!$E$5:$E$2004)))</f>
        <v/>
      </c>
      <c r="F79" s="31" t="str">
        <f aca="false">IF(B79="","",SUM(E$5:E79))</f>
        <v/>
      </c>
      <c r="G79" s="32" t="str">
        <f aca="false">IF(B79="","",IF(F78&lt;0.8,"A",IF(F78&lt;0.95,"B","C")))</f>
        <v/>
      </c>
      <c r="H79" s="23" t="str">
        <f aca="false">IF(OR(B79="",C79=0),"",D79/C79)</f>
        <v/>
      </c>
      <c r="I79" s="33" t="str">
        <f aca="false">IF(B79="","",SUMPRODUCT(MAX((Veri!$B$5:$B$2004=B79)*Veri!$A$5:$A$2004)))</f>
        <v/>
      </c>
      <c r="J79" s="16"/>
      <c r="K79" s="16" t="str">
        <f aca="false">IF(75&gt;MAX(Veri!$I$5:$I$2004),"",INDEX(Veri!$B$5:$B$2004,MATCH(75,Veri!$I$5:$I$2004,0)))</f>
        <v/>
      </c>
      <c r="L79" s="16" t="str">
        <f aca="false">IF(K79="","",SUMIFS(Veri!$E$5:$E$2004,Veri!$B$5:$B$2004,K79))</f>
        <v/>
      </c>
      <c r="M79" s="16" t="str">
        <f aca="false">IF(K79="","",L79+ROW()/1000000000)</f>
        <v/>
      </c>
      <c r="N79" s="16"/>
    </row>
    <row r="80" customFormat="false" ht="15" hidden="false" customHeight="false" outlineLevel="0" collapsed="false">
      <c r="A80" s="34" t="str">
        <f aca="false">IF(B80="","",76)</f>
        <v/>
      </c>
      <c r="B80" s="26" t="str">
        <f aca="false">IFERROR(INDEX($K$5:$K$204,MATCH(LARGE($M$5:$M$204,76),$M$5:$M$204,0)),"")</f>
        <v/>
      </c>
      <c r="C80" s="28" t="str">
        <f aca="false">IF(B80="","",COUNTIF(Veri!$B$5:$B$2004,B80))</f>
        <v/>
      </c>
      <c r="D80" s="27" t="str">
        <f aca="false">IF(B80="","",SUMIFS(Veri!$E$5:$E$2004,Veri!$B$5:$B$2004,B80))</f>
        <v/>
      </c>
      <c r="E80" s="35" t="str">
        <f aca="false">IF(B80="","",IF(SUM(Veri!$E$5:$E$2004)=0,0,D80/SUM(Veri!$E$5:$E$2004)))</f>
        <v/>
      </c>
      <c r="F80" s="35" t="str">
        <f aca="false">IF(B80="","",SUM(E$5:E80))</f>
        <v/>
      </c>
      <c r="G80" s="36" t="str">
        <f aca="false">IF(B80="","",IF(F79&lt;0.8,"A",IF(F79&lt;0.95,"B","C")))</f>
        <v/>
      </c>
      <c r="H80" s="27" t="str">
        <f aca="false">IF(OR(B80="",C80=0),"",D80/C80)</f>
        <v/>
      </c>
      <c r="I80" s="37" t="str">
        <f aca="false">IF(B80="","",SUMPRODUCT(MAX((Veri!$B$5:$B$2004=B80)*Veri!$A$5:$A$2004)))</f>
        <v/>
      </c>
      <c r="J80" s="26"/>
      <c r="K80" s="26" t="str">
        <f aca="false">IF(76&gt;MAX(Veri!$I$5:$I$2004),"",INDEX(Veri!$B$5:$B$2004,MATCH(76,Veri!$I$5:$I$2004,0)))</f>
        <v/>
      </c>
      <c r="L80" s="26" t="str">
        <f aca="false">IF(K80="","",SUMIFS(Veri!$E$5:$E$2004,Veri!$B$5:$B$2004,K80))</f>
        <v/>
      </c>
      <c r="M80" s="26" t="str">
        <f aca="false">IF(K80="","",L80+ROW()/1000000000)</f>
        <v/>
      </c>
      <c r="N80" s="26"/>
    </row>
    <row r="81" customFormat="false" ht="15" hidden="false" customHeight="false" outlineLevel="0" collapsed="false">
      <c r="A81" s="30" t="str">
        <f aca="false">IF(B81="","",77)</f>
        <v/>
      </c>
      <c r="B81" s="16" t="str">
        <f aca="false">IFERROR(INDEX($K$5:$K$204,MATCH(LARGE($M$5:$M$204,77),$M$5:$M$204,0)),"")</f>
        <v/>
      </c>
      <c r="C81" s="24" t="str">
        <f aca="false">IF(B81="","",COUNTIF(Veri!$B$5:$B$2004,B81))</f>
        <v/>
      </c>
      <c r="D81" s="23" t="str">
        <f aca="false">IF(B81="","",SUMIFS(Veri!$E$5:$E$2004,Veri!$B$5:$B$2004,B81))</f>
        <v/>
      </c>
      <c r="E81" s="31" t="str">
        <f aca="false">IF(B81="","",IF(SUM(Veri!$E$5:$E$2004)=0,0,D81/SUM(Veri!$E$5:$E$2004)))</f>
        <v/>
      </c>
      <c r="F81" s="31" t="str">
        <f aca="false">IF(B81="","",SUM(E$5:E81))</f>
        <v/>
      </c>
      <c r="G81" s="32" t="str">
        <f aca="false">IF(B81="","",IF(F80&lt;0.8,"A",IF(F80&lt;0.95,"B","C")))</f>
        <v/>
      </c>
      <c r="H81" s="23" t="str">
        <f aca="false">IF(OR(B81="",C81=0),"",D81/C81)</f>
        <v/>
      </c>
      <c r="I81" s="33" t="str">
        <f aca="false">IF(B81="","",SUMPRODUCT(MAX((Veri!$B$5:$B$2004=B81)*Veri!$A$5:$A$2004)))</f>
        <v/>
      </c>
      <c r="J81" s="16"/>
      <c r="K81" s="16" t="str">
        <f aca="false">IF(77&gt;MAX(Veri!$I$5:$I$2004),"",INDEX(Veri!$B$5:$B$2004,MATCH(77,Veri!$I$5:$I$2004,0)))</f>
        <v/>
      </c>
      <c r="L81" s="16" t="str">
        <f aca="false">IF(K81="","",SUMIFS(Veri!$E$5:$E$2004,Veri!$B$5:$B$2004,K81))</f>
        <v/>
      </c>
      <c r="M81" s="16" t="str">
        <f aca="false">IF(K81="","",L81+ROW()/1000000000)</f>
        <v/>
      </c>
      <c r="N81" s="16"/>
    </row>
    <row r="82" customFormat="false" ht="15" hidden="false" customHeight="false" outlineLevel="0" collapsed="false">
      <c r="A82" s="34" t="str">
        <f aca="false">IF(B82="","",78)</f>
        <v/>
      </c>
      <c r="B82" s="26" t="str">
        <f aca="false">IFERROR(INDEX($K$5:$K$204,MATCH(LARGE($M$5:$M$204,78),$M$5:$M$204,0)),"")</f>
        <v/>
      </c>
      <c r="C82" s="28" t="str">
        <f aca="false">IF(B82="","",COUNTIF(Veri!$B$5:$B$2004,B82))</f>
        <v/>
      </c>
      <c r="D82" s="27" t="str">
        <f aca="false">IF(B82="","",SUMIFS(Veri!$E$5:$E$2004,Veri!$B$5:$B$2004,B82))</f>
        <v/>
      </c>
      <c r="E82" s="35" t="str">
        <f aca="false">IF(B82="","",IF(SUM(Veri!$E$5:$E$2004)=0,0,D82/SUM(Veri!$E$5:$E$2004)))</f>
        <v/>
      </c>
      <c r="F82" s="35" t="str">
        <f aca="false">IF(B82="","",SUM(E$5:E82))</f>
        <v/>
      </c>
      <c r="G82" s="36" t="str">
        <f aca="false">IF(B82="","",IF(F81&lt;0.8,"A",IF(F81&lt;0.95,"B","C")))</f>
        <v/>
      </c>
      <c r="H82" s="27" t="str">
        <f aca="false">IF(OR(B82="",C82=0),"",D82/C82)</f>
        <v/>
      </c>
      <c r="I82" s="37" t="str">
        <f aca="false">IF(B82="","",SUMPRODUCT(MAX((Veri!$B$5:$B$2004=B82)*Veri!$A$5:$A$2004)))</f>
        <v/>
      </c>
      <c r="J82" s="26"/>
      <c r="K82" s="26" t="str">
        <f aca="false">IF(78&gt;MAX(Veri!$I$5:$I$2004),"",INDEX(Veri!$B$5:$B$2004,MATCH(78,Veri!$I$5:$I$2004,0)))</f>
        <v/>
      </c>
      <c r="L82" s="26" t="str">
        <f aca="false">IF(K82="","",SUMIFS(Veri!$E$5:$E$2004,Veri!$B$5:$B$2004,K82))</f>
        <v/>
      </c>
      <c r="M82" s="26" t="str">
        <f aca="false">IF(K82="","",L82+ROW()/1000000000)</f>
        <v/>
      </c>
      <c r="N82" s="26"/>
    </row>
    <row r="83" customFormat="false" ht="15" hidden="false" customHeight="false" outlineLevel="0" collapsed="false">
      <c r="A83" s="30" t="str">
        <f aca="false">IF(B83="","",79)</f>
        <v/>
      </c>
      <c r="B83" s="16" t="str">
        <f aca="false">IFERROR(INDEX($K$5:$K$204,MATCH(LARGE($M$5:$M$204,79),$M$5:$M$204,0)),"")</f>
        <v/>
      </c>
      <c r="C83" s="24" t="str">
        <f aca="false">IF(B83="","",COUNTIF(Veri!$B$5:$B$2004,B83))</f>
        <v/>
      </c>
      <c r="D83" s="23" t="str">
        <f aca="false">IF(B83="","",SUMIFS(Veri!$E$5:$E$2004,Veri!$B$5:$B$2004,B83))</f>
        <v/>
      </c>
      <c r="E83" s="31" t="str">
        <f aca="false">IF(B83="","",IF(SUM(Veri!$E$5:$E$2004)=0,0,D83/SUM(Veri!$E$5:$E$2004)))</f>
        <v/>
      </c>
      <c r="F83" s="31" t="str">
        <f aca="false">IF(B83="","",SUM(E$5:E83))</f>
        <v/>
      </c>
      <c r="G83" s="32" t="str">
        <f aca="false">IF(B83="","",IF(F82&lt;0.8,"A",IF(F82&lt;0.95,"B","C")))</f>
        <v/>
      </c>
      <c r="H83" s="23" t="str">
        <f aca="false">IF(OR(B83="",C83=0),"",D83/C83)</f>
        <v/>
      </c>
      <c r="I83" s="33" t="str">
        <f aca="false">IF(B83="","",SUMPRODUCT(MAX((Veri!$B$5:$B$2004=B83)*Veri!$A$5:$A$2004)))</f>
        <v/>
      </c>
      <c r="J83" s="16"/>
      <c r="K83" s="16" t="str">
        <f aca="false">IF(79&gt;MAX(Veri!$I$5:$I$2004),"",INDEX(Veri!$B$5:$B$2004,MATCH(79,Veri!$I$5:$I$2004,0)))</f>
        <v/>
      </c>
      <c r="L83" s="16" t="str">
        <f aca="false">IF(K83="","",SUMIFS(Veri!$E$5:$E$2004,Veri!$B$5:$B$2004,K83))</f>
        <v/>
      </c>
      <c r="M83" s="16" t="str">
        <f aca="false">IF(K83="","",L83+ROW()/1000000000)</f>
        <v/>
      </c>
      <c r="N83" s="16"/>
    </row>
    <row r="84" customFormat="false" ht="15" hidden="false" customHeight="false" outlineLevel="0" collapsed="false">
      <c r="A84" s="34" t="str">
        <f aca="false">IF(B84="","",80)</f>
        <v/>
      </c>
      <c r="B84" s="26" t="str">
        <f aca="false">IFERROR(INDEX($K$5:$K$204,MATCH(LARGE($M$5:$M$204,80),$M$5:$M$204,0)),"")</f>
        <v/>
      </c>
      <c r="C84" s="28" t="str">
        <f aca="false">IF(B84="","",COUNTIF(Veri!$B$5:$B$2004,B84))</f>
        <v/>
      </c>
      <c r="D84" s="27" t="str">
        <f aca="false">IF(B84="","",SUMIFS(Veri!$E$5:$E$2004,Veri!$B$5:$B$2004,B84))</f>
        <v/>
      </c>
      <c r="E84" s="35" t="str">
        <f aca="false">IF(B84="","",IF(SUM(Veri!$E$5:$E$2004)=0,0,D84/SUM(Veri!$E$5:$E$2004)))</f>
        <v/>
      </c>
      <c r="F84" s="35" t="str">
        <f aca="false">IF(B84="","",SUM(E$5:E84))</f>
        <v/>
      </c>
      <c r="G84" s="36" t="str">
        <f aca="false">IF(B84="","",IF(F83&lt;0.8,"A",IF(F83&lt;0.95,"B","C")))</f>
        <v/>
      </c>
      <c r="H84" s="27" t="str">
        <f aca="false">IF(OR(B84="",C84=0),"",D84/C84)</f>
        <v/>
      </c>
      <c r="I84" s="37" t="str">
        <f aca="false">IF(B84="","",SUMPRODUCT(MAX((Veri!$B$5:$B$2004=B84)*Veri!$A$5:$A$2004)))</f>
        <v/>
      </c>
      <c r="J84" s="26"/>
      <c r="K84" s="26" t="str">
        <f aca="false">IF(80&gt;MAX(Veri!$I$5:$I$2004),"",INDEX(Veri!$B$5:$B$2004,MATCH(80,Veri!$I$5:$I$2004,0)))</f>
        <v/>
      </c>
      <c r="L84" s="26" t="str">
        <f aca="false">IF(K84="","",SUMIFS(Veri!$E$5:$E$2004,Veri!$B$5:$B$2004,K84))</f>
        <v/>
      </c>
      <c r="M84" s="26" t="str">
        <f aca="false">IF(K84="","",L84+ROW()/1000000000)</f>
        <v/>
      </c>
      <c r="N84" s="26"/>
    </row>
    <row r="85" customFormat="false" ht="15" hidden="false" customHeight="false" outlineLevel="0" collapsed="false">
      <c r="A85" s="30" t="str">
        <f aca="false">IF(B85="","",81)</f>
        <v/>
      </c>
      <c r="B85" s="16" t="str">
        <f aca="false">IFERROR(INDEX($K$5:$K$204,MATCH(LARGE($M$5:$M$204,81),$M$5:$M$204,0)),"")</f>
        <v/>
      </c>
      <c r="C85" s="24" t="str">
        <f aca="false">IF(B85="","",COUNTIF(Veri!$B$5:$B$2004,B85))</f>
        <v/>
      </c>
      <c r="D85" s="23" t="str">
        <f aca="false">IF(B85="","",SUMIFS(Veri!$E$5:$E$2004,Veri!$B$5:$B$2004,B85))</f>
        <v/>
      </c>
      <c r="E85" s="31" t="str">
        <f aca="false">IF(B85="","",IF(SUM(Veri!$E$5:$E$2004)=0,0,D85/SUM(Veri!$E$5:$E$2004)))</f>
        <v/>
      </c>
      <c r="F85" s="31" t="str">
        <f aca="false">IF(B85="","",SUM(E$5:E85))</f>
        <v/>
      </c>
      <c r="G85" s="32" t="str">
        <f aca="false">IF(B85="","",IF(F84&lt;0.8,"A",IF(F84&lt;0.95,"B","C")))</f>
        <v/>
      </c>
      <c r="H85" s="23" t="str">
        <f aca="false">IF(OR(B85="",C85=0),"",D85/C85)</f>
        <v/>
      </c>
      <c r="I85" s="33" t="str">
        <f aca="false">IF(B85="","",SUMPRODUCT(MAX((Veri!$B$5:$B$2004=B85)*Veri!$A$5:$A$2004)))</f>
        <v/>
      </c>
      <c r="J85" s="16"/>
      <c r="K85" s="16" t="str">
        <f aca="false">IF(81&gt;MAX(Veri!$I$5:$I$2004),"",INDEX(Veri!$B$5:$B$2004,MATCH(81,Veri!$I$5:$I$2004,0)))</f>
        <v/>
      </c>
      <c r="L85" s="16" t="str">
        <f aca="false">IF(K85="","",SUMIFS(Veri!$E$5:$E$2004,Veri!$B$5:$B$2004,K85))</f>
        <v/>
      </c>
      <c r="M85" s="16" t="str">
        <f aca="false">IF(K85="","",L85+ROW()/1000000000)</f>
        <v/>
      </c>
      <c r="N85" s="16"/>
    </row>
    <row r="86" customFormat="false" ht="15" hidden="false" customHeight="false" outlineLevel="0" collapsed="false">
      <c r="A86" s="34" t="str">
        <f aca="false">IF(B86="","",82)</f>
        <v/>
      </c>
      <c r="B86" s="26" t="str">
        <f aca="false">IFERROR(INDEX($K$5:$K$204,MATCH(LARGE($M$5:$M$204,82),$M$5:$M$204,0)),"")</f>
        <v/>
      </c>
      <c r="C86" s="28" t="str">
        <f aca="false">IF(B86="","",COUNTIF(Veri!$B$5:$B$2004,B86))</f>
        <v/>
      </c>
      <c r="D86" s="27" t="str">
        <f aca="false">IF(B86="","",SUMIFS(Veri!$E$5:$E$2004,Veri!$B$5:$B$2004,B86))</f>
        <v/>
      </c>
      <c r="E86" s="35" t="str">
        <f aca="false">IF(B86="","",IF(SUM(Veri!$E$5:$E$2004)=0,0,D86/SUM(Veri!$E$5:$E$2004)))</f>
        <v/>
      </c>
      <c r="F86" s="35" t="str">
        <f aca="false">IF(B86="","",SUM(E$5:E86))</f>
        <v/>
      </c>
      <c r="G86" s="36" t="str">
        <f aca="false">IF(B86="","",IF(F85&lt;0.8,"A",IF(F85&lt;0.95,"B","C")))</f>
        <v/>
      </c>
      <c r="H86" s="27" t="str">
        <f aca="false">IF(OR(B86="",C86=0),"",D86/C86)</f>
        <v/>
      </c>
      <c r="I86" s="37" t="str">
        <f aca="false">IF(B86="","",SUMPRODUCT(MAX((Veri!$B$5:$B$2004=B86)*Veri!$A$5:$A$2004)))</f>
        <v/>
      </c>
      <c r="J86" s="26"/>
      <c r="K86" s="26" t="str">
        <f aca="false">IF(82&gt;MAX(Veri!$I$5:$I$2004),"",INDEX(Veri!$B$5:$B$2004,MATCH(82,Veri!$I$5:$I$2004,0)))</f>
        <v/>
      </c>
      <c r="L86" s="26" t="str">
        <f aca="false">IF(K86="","",SUMIFS(Veri!$E$5:$E$2004,Veri!$B$5:$B$2004,K86))</f>
        <v/>
      </c>
      <c r="M86" s="26" t="str">
        <f aca="false">IF(K86="","",L86+ROW()/1000000000)</f>
        <v/>
      </c>
      <c r="N86" s="26"/>
    </row>
    <row r="87" customFormat="false" ht="15" hidden="false" customHeight="false" outlineLevel="0" collapsed="false">
      <c r="A87" s="30" t="str">
        <f aca="false">IF(B87="","",83)</f>
        <v/>
      </c>
      <c r="B87" s="16" t="str">
        <f aca="false">IFERROR(INDEX($K$5:$K$204,MATCH(LARGE($M$5:$M$204,83),$M$5:$M$204,0)),"")</f>
        <v/>
      </c>
      <c r="C87" s="24" t="str">
        <f aca="false">IF(B87="","",COUNTIF(Veri!$B$5:$B$2004,B87))</f>
        <v/>
      </c>
      <c r="D87" s="23" t="str">
        <f aca="false">IF(B87="","",SUMIFS(Veri!$E$5:$E$2004,Veri!$B$5:$B$2004,B87))</f>
        <v/>
      </c>
      <c r="E87" s="31" t="str">
        <f aca="false">IF(B87="","",IF(SUM(Veri!$E$5:$E$2004)=0,0,D87/SUM(Veri!$E$5:$E$2004)))</f>
        <v/>
      </c>
      <c r="F87" s="31" t="str">
        <f aca="false">IF(B87="","",SUM(E$5:E87))</f>
        <v/>
      </c>
      <c r="G87" s="32" t="str">
        <f aca="false">IF(B87="","",IF(F86&lt;0.8,"A",IF(F86&lt;0.95,"B","C")))</f>
        <v/>
      </c>
      <c r="H87" s="23" t="str">
        <f aca="false">IF(OR(B87="",C87=0),"",D87/C87)</f>
        <v/>
      </c>
      <c r="I87" s="33" t="str">
        <f aca="false">IF(B87="","",SUMPRODUCT(MAX((Veri!$B$5:$B$2004=B87)*Veri!$A$5:$A$2004)))</f>
        <v/>
      </c>
      <c r="J87" s="16"/>
      <c r="K87" s="16" t="str">
        <f aca="false">IF(83&gt;MAX(Veri!$I$5:$I$2004),"",INDEX(Veri!$B$5:$B$2004,MATCH(83,Veri!$I$5:$I$2004,0)))</f>
        <v/>
      </c>
      <c r="L87" s="16" t="str">
        <f aca="false">IF(K87="","",SUMIFS(Veri!$E$5:$E$2004,Veri!$B$5:$B$2004,K87))</f>
        <v/>
      </c>
      <c r="M87" s="16" t="str">
        <f aca="false">IF(K87="","",L87+ROW()/1000000000)</f>
        <v/>
      </c>
      <c r="N87" s="16"/>
    </row>
    <row r="88" customFormat="false" ht="15" hidden="false" customHeight="false" outlineLevel="0" collapsed="false">
      <c r="A88" s="34" t="str">
        <f aca="false">IF(B88="","",84)</f>
        <v/>
      </c>
      <c r="B88" s="26" t="str">
        <f aca="false">IFERROR(INDEX($K$5:$K$204,MATCH(LARGE($M$5:$M$204,84),$M$5:$M$204,0)),"")</f>
        <v/>
      </c>
      <c r="C88" s="28" t="str">
        <f aca="false">IF(B88="","",COUNTIF(Veri!$B$5:$B$2004,B88))</f>
        <v/>
      </c>
      <c r="D88" s="27" t="str">
        <f aca="false">IF(B88="","",SUMIFS(Veri!$E$5:$E$2004,Veri!$B$5:$B$2004,B88))</f>
        <v/>
      </c>
      <c r="E88" s="35" t="str">
        <f aca="false">IF(B88="","",IF(SUM(Veri!$E$5:$E$2004)=0,0,D88/SUM(Veri!$E$5:$E$2004)))</f>
        <v/>
      </c>
      <c r="F88" s="35" t="str">
        <f aca="false">IF(B88="","",SUM(E$5:E88))</f>
        <v/>
      </c>
      <c r="G88" s="36" t="str">
        <f aca="false">IF(B88="","",IF(F87&lt;0.8,"A",IF(F87&lt;0.95,"B","C")))</f>
        <v/>
      </c>
      <c r="H88" s="27" t="str">
        <f aca="false">IF(OR(B88="",C88=0),"",D88/C88)</f>
        <v/>
      </c>
      <c r="I88" s="37" t="str">
        <f aca="false">IF(B88="","",SUMPRODUCT(MAX((Veri!$B$5:$B$2004=B88)*Veri!$A$5:$A$2004)))</f>
        <v/>
      </c>
      <c r="J88" s="26"/>
      <c r="K88" s="26" t="str">
        <f aca="false">IF(84&gt;MAX(Veri!$I$5:$I$2004),"",INDEX(Veri!$B$5:$B$2004,MATCH(84,Veri!$I$5:$I$2004,0)))</f>
        <v/>
      </c>
      <c r="L88" s="26" t="str">
        <f aca="false">IF(K88="","",SUMIFS(Veri!$E$5:$E$2004,Veri!$B$5:$B$2004,K88))</f>
        <v/>
      </c>
      <c r="M88" s="26" t="str">
        <f aca="false">IF(K88="","",L88+ROW()/1000000000)</f>
        <v/>
      </c>
      <c r="N88" s="26"/>
    </row>
    <row r="89" customFormat="false" ht="15" hidden="false" customHeight="false" outlineLevel="0" collapsed="false">
      <c r="A89" s="30" t="str">
        <f aca="false">IF(B89="","",85)</f>
        <v/>
      </c>
      <c r="B89" s="16" t="str">
        <f aca="false">IFERROR(INDEX($K$5:$K$204,MATCH(LARGE($M$5:$M$204,85),$M$5:$M$204,0)),"")</f>
        <v/>
      </c>
      <c r="C89" s="24" t="str">
        <f aca="false">IF(B89="","",COUNTIF(Veri!$B$5:$B$2004,B89))</f>
        <v/>
      </c>
      <c r="D89" s="23" t="str">
        <f aca="false">IF(B89="","",SUMIFS(Veri!$E$5:$E$2004,Veri!$B$5:$B$2004,B89))</f>
        <v/>
      </c>
      <c r="E89" s="31" t="str">
        <f aca="false">IF(B89="","",IF(SUM(Veri!$E$5:$E$2004)=0,0,D89/SUM(Veri!$E$5:$E$2004)))</f>
        <v/>
      </c>
      <c r="F89" s="31" t="str">
        <f aca="false">IF(B89="","",SUM(E$5:E89))</f>
        <v/>
      </c>
      <c r="G89" s="32" t="str">
        <f aca="false">IF(B89="","",IF(F88&lt;0.8,"A",IF(F88&lt;0.95,"B","C")))</f>
        <v/>
      </c>
      <c r="H89" s="23" t="str">
        <f aca="false">IF(OR(B89="",C89=0),"",D89/C89)</f>
        <v/>
      </c>
      <c r="I89" s="33" t="str">
        <f aca="false">IF(B89="","",SUMPRODUCT(MAX((Veri!$B$5:$B$2004=B89)*Veri!$A$5:$A$2004)))</f>
        <v/>
      </c>
      <c r="J89" s="16"/>
      <c r="K89" s="16" t="str">
        <f aca="false">IF(85&gt;MAX(Veri!$I$5:$I$2004),"",INDEX(Veri!$B$5:$B$2004,MATCH(85,Veri!$I$5:$I$2004,0)))</f>
        <v/>
      </c>
      <c r="L89" s="16" t="str">
        <f aca="false">IF(K89="","",SUMIFS(Veri!$E$5:$E$2004,Veri!$B$5:$B$2004,K89))</f>
        <v/>
      </c>
      <c r="M89" s="16" t="str">
        <f aca="false">IF(K89="","",L89+ROW()/1000000000)</f>
        <v/>
      </c>
      <c r="N89" s="16"/>
    </row>
    <row r="90" customFormat="false" ht="15" hidden="false" customHeight="false" outlineLevel="0" collapsed="false">
      <c r="A90" s="34" t="str">
        <f aca="false">IF(B90="","",86)</f>
        <v/>
      </c>
      <c r="B90" s="26" t="str">
        <f aca="false">IFERROR(INDEX($K$5:$K$204,MATCH(LARGE($M$5:$M$204,86),$M$5:$M$204,0)),"")</f>
        <v/>
      </c>
      <c r="C90" s="28" t="str">
        <f aca="false">IF(B90="","",COUNTIF(Veri!$B$5:$B$2004,B90))</f>
        <v/>
      </c>
      <c r="D90" s="27" t="str">
        <f aca="false">IF(B90="","",SUMIFS(Veri!$E$5:$E$2004,Veri!$B$5:$B$2004,B90))</f>
        <v/>
      </c>
      <c r="E90" s="35" t="str">
        <f aca="false">IF(B90="","",IF(SUM(Veri!$E$5:$E$2004)=0,0,D90/SUM(Veri!$E$5:$E$2004)))</f>
        <v/>
      </c>
      <c r="F90" s="35" t="str">
        <f aca="false">IF(B90="","",SUM(E$5:E90))</f>
        <v/>
      </c>
      <c r="G90" s="36" t="str">
        <f aca="false">IF(B90="","",IF(F89&lt;0.8,"A",IF(F89&lt;0.95,"B","C")))</f>
        <v/>
      </c>
      <c r="H90" s="27" t="str">
        <f aca="false">IF(OR(B90="",C90=0),"",D90/C90)</f>
        <v/>
      </c>
      <c r="I90" s="37" t="str">
        <f aca="false">IF(B90="","",SUMPRODUCT(MAX((Veri!$B$5:$B$2004=B90)*Veri!$A$5:$A$2004)))</f>
        <v/>
      </c>
      <c r="J90" s="26"/>
      <c r="K90" s="26" t="str">
        <f aca="false">IF(86&gt;MAX(Veri!$I$5:$I$2004),"",INDEX(Veri!$B$5:$B$2004,MATCH(86,Veri!$I$5:$I$2004,0)))</f>
        <v/>
      </c>
      <c r="L90" s="26" t="str">
        <f aca="false">IF(K90="","",SUMIFS(Veri!$E$5:$E$2004,Veri!$B$5:$B$2004,K90))</f>
        <v/>
      </c>
      <c r="M90" s="26" t="str">
        <f aca="false">IF(K90="","",L90+ROW()/1000000000)</f>
        <v/>
      </c>
      <c r="N90" s="26"/>
    </row>
    <row r="91" customFormat="false" ht="15" hidden="false" customHeight="false" outlineLevel="0" collapsed="false">
      <c r="A91" s="30" t="str">
        <f aca="false">IF(B91="","",87)</f>
        <v/>
      </c>
      <c r="B91" s="16" t="str">
        <f aca="false">IFERROR(INDEX($K$5:$K$204,MATCH(LARGE($M$5:$M$204,87),$M$5:$M$204,0)),"")</f>
        <v/>
      </c>
      <c r="C91" s="24" t="str">
        <f aca="false">IF(B91="","",COUNTIF(Veri!$B$5:$B$2004,B91))</f>
        <v/>
      </c>
      <c r="D91" s="23" t="str">
        <f aca="false">IF(B91="","",SUMIFS(Veri!$E$5:$E$2004,Veri!$B$5:$B$2004,B91))</f>
        <v/>
      </c>
      <c r="E91" s="31" t="str">
        <f aca="false">IF(B91="","",IF(SUM(Veri!$E$5:$E$2004)=0,0,D91/SUM(Veri!$E$5:$E$2004)))</f>
        <v/>
      </c>
      <c r="F91" s="31" t="str">
        <f aca="false">IF(B91="","",SUM(E$5:E91))</f>
        <v/>
      </c>
      <c r="G91" s="32" t="str">
        <f aca="false">IF(B91="","",IF(F90&lt;0.8,"A",IF(F90&lt;0.95,"B","C")))</f>
        <v/>
      </c>
      <c r="H91" s="23" t="str">
        <f aca="false">IF(OR(B91="",C91=0),"",D91/C91)</f>
        <v/>
      </c>
      <c r="I91" s="33" t="str">
        <f aca="false">IF(B91="","",SUMPRODUCT(MAX((Veri!$B$5:$B$2004=B91)*Veri!$A$5:$A$2004)))</f>
        <v/>
      </c>
      <c r="J91" s="16"/>
      <c r="K91" s="16" t="str">
        <f aca="false">IF(87&gt;MAX(Veri!$I$5:$I$2004),"",INDEX(Veri!$B$5:$B$2004,MATCH(87,Veri!$I$5:$I$2004,0)))</f>
        <v/>
      </c>
      <c r="L91" s="16" t="str">
        <f aca="false">IF(K91="","",SUMIFS(Veri!$E$5:$E$2004,Veri!$B$5:$B$2004,K91))</f>
        <v/>
      </c>
      <c r="M91" s="16" t="str">
        <f aca="false">IF(K91="","",L91+ROW()/1000000000)</f>
        <v/>
      </c>
      <c r="N91" s="16"/>
    </row>
    <row r="92" customFormat="false" ht="15" hidden="false" customHeight="false" outlineLevel="0" collapsed="false">
      <c r="A92" s="34" t="str">
        <f aca="false">IF(B92="","",88)</f>
        <v/>
      </c>
      <c r="B92" s="26" t="str">
        <f aca="false">IFERROR(INDEX($K$5:$K$204,MATCH(LARGE($M$5:$M$204,88),$M$5:$M$204,0)),"")</f>
        <v/>
      </c>
      <c r="C92" s="28" t="str">
        <f aca="false">IF(B92="","",COUNTIF(Veri!$B$5:$B$2004,B92))</f>
        <v/>
      </c>
      <c r="D92" s="27" t="str">
        <f aca="false">IF(B92="","",SUMIFS(Veri!$E$5:$E$2004,Veri!$B$5:$B$2004,B92))</f>
        <v/>
      </c>
      <c r="E92" s="35" t="str">
        <f aca="false">IF(B92="","",IF(SUM(Veri!$E$5:$E$2004)=0,0,D92/SUM(Veri!$E$5:$E$2004)))</f>
        <v/>
      </c>
      <c r="F92" s="35" t="str">
        <f aca="false">IF(B92="","",SUM(E$5:E92))</f>
        <v/>
      </c>
      <c r="G92" s="36" t="str">
        <f aca="false">IF(B92="","",IF(F91&lt;0.8,"A",IF(F91&lt;0.95,"B","C")))</f>
        <v/>
      </c>
      <c r="H92" s="27" t="str">
        <f aca="false">IF(OR(B92="",C92=0),"",D92/C92)</f>
        <v/>
      </c>
      <c r="I92" s="37" t="str">
        <f aca="false">IF(B92="","",SUMPRODUCT(MAX((Veri!$B$5:$B$2004=B92)*Veri!$A$5:$A$2004)))</f>
        <v/>
      </c>
      <c r="J92" s="26"/>
      <c r="K92" s="26" t="str">
        <f aca="false">IF(88&gt;MAX(Veri!$I$5:$I$2004),"",INDEX(Veri!$B$5:$B$2004,MATCH(88,Veri!$I$5:$I$2004,0)))</f>
        <v/>
      </c>
      <c r="L92" s="26" t="str">
        <f aca="false">IF(K92="","",SUMIFS(Veri!$E$5:$E$2004,Veri!$B$5:$B$2004,K92))</f>
        <v/>
      </c>
      <c r="M92" s="26" t="str">
        <f aca="false">IF(K92="","",L92+ROW()/1000000000)</f>
        <v/>
      </c>
      <c r="N92" s="26"/>
    </row>
    <row r="93" customFormat="false" ht="15" hidden="false" customHeight="false" outlineLevel="0" collapsed="false">
      <c r="A93" s="30" t="str">
        <f aca="false">IF(B93="","",89)</f>
        <v/>
      </c>
      <c r="B93" s="16" t="str">
        <f aca="false">IFERROR(INDEX($K$5:$K$204,MATCH(LARGE($M$5:$M$204,89),$M$5:$M$204,0)),"")</f>
        <v/>
      </c>
      <c r="C93" s="24" t="str">
        <f aca="false">IF(B93="","",COUNTIF(Veri!$B$5:$B$2004,B93))</f>
        <v/>
      </c>
      <c r="D93" s="23" t="str">
        <f aca="false">IF(B93="","",SUMIFS(Veri!$E$5:$E$2004,Veri!$B$5:$B$2004,B93))</f>
        <v/>
      </c>
      <c r="E93" s="31" t="str">
        <f aca="false">IF(B93="","",IF(SUM(Veri!$E$5:$E$2004)=0,0,D93/SUM(Veri!$E$5:$E$2004)))</f>
        <v/>
      </c>
      <c r="F93" s="31" t="str">
        <f aca="false">IF(B93="","",SUM(E$5:E93))</f>
        <v/>
      </c>
      <c r="G93" s="32" t="str">
        <f aca="false">IF(B93="","",IF(F92&lt;0.8,"A",IF(F92&lt;0.95,"B","C")))</f>
        <v/>
      </c>
      <c r="H93" s="23" t="str">
        <f aca="false">IF(OR(B93="",C93=0),"",D93/C93)</f>
        <v/>
      </c>
      <c r="I93" s="33" t="str">
        <f aca="false">IF(B93="","",SUMPRODUCT(MAX((Veri!$B$5:$B$2004=B93)*Veri!$A$5:$A$2004)))</f>
        <v/>
      </c>
      <c r="J93" s="16"/>
      <c r="K93" s="16" t="str">
        <f aca="false">IF(89&gt;MAX(Veri!$I$5:$I$2004),"",INDEX(Veri!$B$5:$B$2004,MATCH(89,Veri!$I$5:$I$2004,0)))</f>
        <v/>
      </c>
      <c r="L93" s="16" t="str">
        <f aca="false">IF(K93="","",SUMIFS(Veri!$E$5:$E$2004,Veri!$B$5:$B$2004,K93))</f>
        <v/>
      </c>
      <c r="M93" s="16" t="str">
        <f aca="false">IF(K93="","",L93+ROW()/1000000000)</f>
        <v/>
      </c>
      <c r="N93" s="16"/>
    </row>
    <row r="94" customFormat="false" ht="15" hidden="false" customHeight="false" outlineLevel="0" collapsed="false">
      <c r="A94" s="34" t="str">
        <f aca="false">IF(B94="","",90)</f>
        <v/>
      </c>
      <c r="B94" s="26" t="str">
        <f aca="false">IFERROR(INDEX($K$5:$K$204,MATCH(LARGE($M$5:$M$204,90),$M$5:$M$204,0)),"")</f>
        <v/>
      </c>
      <c r="C94" s="28" t="str">
        <f aca="false">IF(B94="","",COUNTIF(Veri!$B$5:$B$2004,B94))</f>
        <v/>
      </c>
      <c r="D94" s="27" t="str">
        <f aca="false">IF(B94="","",SUMIFS(Veri!$E$5:$E$2004,Veri!$B$5:$B$2004,B94))</f>
        <v/>
      </c>
      <c r="E94" s="35" t="str">
        <f aca="false">IF(B94="","",IF(SUM(Veri!$E$5:$E$2004)=0,0,D94/SUM(Veri!$E$5:$E$2004)))</f>
        <v/>
      </c>
      <c r="F94" s="35" t="str">
        <f aca="false">IF(B94="","",SUM(E$5:E94))</f>
        <v/>
      </c>
      <c r="G94" s="36" t="str">
        <f aca="false">IF(B94="","",IF(F93&lt;0.8,"A",IF(F93&lt;0.95,"B","C")))</f>
        <v/>
      </c>
      <c r="H94" s="27" t="str">
        <f aca="false">IF(OR(B94="",C94=0),"",D94/C94)</f>
        <v/>
      </c>
      <c r="I94" s="37" t="str">
        <f aca="false">IF(B94="","",SUMPRODUCT(MAX((Veri!$B$5:$B$2004=B94)*Veri!$A$5:$A$2004)))</f>
        <v/>
      </c>
      <c r="J94" s="26"/>
      <c r="K94" s="26" t="str">
        <f aca="false">IF(90&gt;MAX(Veri!$I$5:$I$2004),"",INDEX(Veri!$B$5:$B$2004,MATCH(90,Veri!$I$5:$I$2004,0)))</f>
        <v/>
      </c>
      <c r="L94" s="26" t="str">
        <f aca="false">IF(K94="","",SUMIFS(Veri!$E$5:$E$2004,Veri!$B$5:$B$2004,K94))</f>
        <v/>
      </c>
      <c r="M94" s="26" t="str">
        <f aca="false">IF(K94="","",L94+ROW()/1000000000)</f>
        <v/>
      </c>
      <c r="N94" s="26"/>
    </row>
    <row r="95" customFormat="false" ht="15" hidden="false" customHeight="false" outlineLevel="0" collapsed="false">
      <c r="A95" s="30" t="str">
        <f aca="false">IF(B95="","",91)</f>
        <v/>
      </c>
      <c r="B95" s="16" t="str">
        <f aca="false">IFERROR(INDEX($K$5:$K$204,MATCH(LARGE($M$5:$M$204,91),$M$5:$M$204,0)),"")</f>
        <v/>
      </c>
      <c r="C95" s="24" t="str">
        <f aca="false">IF(B95="","",COUNTIF(Veri!$B$5:$B$2004,B95))</f>
        <v/>
      </c>
      <c r="D95" s="23" t="str">
        <f aca="false">IF(B95="","",SUMIFS(Veri!$E$5:$E$2004,Veri!$B$5:$B$2004,B95))</f>
        <v/>
      </c>
      <c r="E95" s="31" t="str">
        <f aca="false">IF(B95="","",IF(SUM(Veri!$E$5:$E$2004)=0,0,D95/SUM(Veri!$E$5:$E$2004)))</f>
        <v/>
      </c>
      <c r="F95" s="31" t="str">
        <f aca="false">IF(B95="","",SUM(E$5:E95))</f>
        <v/>
      </c>
      <c r="G95" s="32" t="str">
        <f aca="false">IF(B95="","",IF(F94&lt;0.8,"A",IF(F94&lt;0.95,"B","C")))</f>
        <v/>
      </c>
      <c r="H95" s="23" t="str">
        <f aca="false">IF(OR(B95="",C95=0),"",D95/C95)</f>
        <v/>
      </c>
      <c r="I95" s="33" t="str">
        <f aca="false">IF(B95="","",SUMPRODUCT(MAX((Veri!$B$5:$B$2004=B95)*Veri!$A$5:$A$2004)))</f>
        <v/>
      </c>
      <c r="J95" s="16"/>
      <c r="K95" s="16" t="str">
        <f aca="false">IF(91&gt;MAX(Veri!$I$5:$I$2004),"",INDEX(Veri!$B$5:$B$2004,MATCH(91,Veri!$I$5:$I$2004,0)))</f>
        <v/>
      </c>
      <c r="L95" s="16" t="str">
        <f aca="false">IF(K95="","",SUMIFS(Veri!$E$5:$E$2004,Veri!$B$5:$B$2004,K95))</f>
        <v/>
      </c>
      <c r="M95" s="16" t="str">
        <f aca="false">IF(K95="","",L95+ROW()/1000000000)</f>
        <v/>
      </c>
      <c r="N95" s="16"/>
    </row>
    <row r="96" customFormat="false" ht="15" hidden="false" customHeight="false" outlineLevel="0" collapsed="false">
      <c r="A96" s="34" t="str">
        <f aca="false">IF(B96="","",92)</f>
        <v/>
      </c>
      <c r="B96" s="26" t="str">
        <f aca="false">IFERROR(INDEX($K$5:$K$204,MATCH(LARGE($M$5:$M$204,92),$M$5:$M$204,0)),"")</f>
        <v/>
      </c>
      <c r="C96" s="28" t="str">
        <f aca="false">IF(B96="","",COUNTIF(Veri!$B$5:$B$2004,B96))</f>
        <v/>
      </c>
      <c r="D96" s="27" t="str">
        <f aca="false">IF(B96="","",SUMIFS(Veri!$E$5:$E$2004,Veri!$B$5:$B$2004,B96))</f>
        <v/>
      </c>
      <c r="E96" s="35" t="str">
        <f aca="false">IF(B96="","",IF(SUM(Veri!$E$5:$E$2004)=0,0,D96/SUM(Veri!$E$5:$E$2004)))</f>
        <v/>
      </c>
      <c r="F96" s="35" t="str">
        <f aca="false">IF(B96="","",SUM(E$5:E96))</f>
        <v/>
      </c>
      <c r="G96" s="36" t="str">
        <f aca="false">IF(B96="","",IF(F95&lt;0.8,"A",IF(F95&lt;0.95,"B","C")))</f>
        <v/>
      </c>
      <c r="H96" s="27" t="str">
        <f aca="false">IF(OR(B96="",C96=0),"",D96/C96)</f>
        <v/>
      </c>
      <c r="I96" s="37" t="str">
        <f aca="false">IF(B96="","",SUMPRODUCT(MAX((Veri!$B$5:$B$2004=B96)*Veri!$A$5:$A$2004)))</f>
        <v/>
      </c>
      <c r="J96" s="26"/>
      <c r="K96" s="26" t="str">
        <f aca="false">IF(92&gt;MAX(Veri!$I$5:$I$2004),"",INDEX(Veri!$B$5:$B$2004,MATCH(92,Veri!$I$5:$I$2004,0)))</f>
        <v/>
      </c>
      <c r="L96" s="26" t="str">
        <f aca="false">IF(K96="","",SUMIFS(Veri!$E$5:$E$2004,Veri!$B$5:$B$2004,K96))</f>
        <v/>
      </c>
      <c r="M96" s="26" t="str">
        <f aca="false">IF(K96="","",L96+ROW()/1000000000)</f>
        <v/>
      </c>
      <c r="N96" s="26"/>
    </row>
    <row r="97" customFormat="false" ht="15" hidden="false" customHeight="false" outlineLevel="0" collapsed="false">
      <c r="A97" s="30" t="str">
        <f aca="false">IF(B97="","",93)</f>
        <v/>
      </c>
      <c r="B97" s="16" t="str">
        <f aca="false">IFERROR(INDEX($K$5:$K$204,MATCH(LARGE($M$5:$M$204,93),$M$5:$M$204,0)),"")</f>
        <v/>
      </c>
      <c r="C97" s="24" t="str">
        <f aca="false">IF(B97="","",COUNTIF(Veri!$B$5:$B$2004,B97))</f>
        <v/>
      </c>
      <c r="D97" s="23" t="str">
        <f aca="false">IF(B97="","",SUMIFS(Veri!$E$5:$E$2004,Veri!$B$5:$B$2004,B97))</f>
        <v/>
      </c>
      <c r="E97" s="31" t="str">
        <f aca="false">IF(B97="","",IF(SUM(Veri!$E$5:$E$2004)=0,0,D97/SUM(Veri!$E$5:$E$2004)))</f>
        <v/>
      </c>
      <c r="F97" s="31" t="str">
        <f aca="false">IF(B97="","",SUM(E$5:E97))</f>
        <v/>
      </c>
      <c r="G97" s="32" t="str">
        <f aca="false">IF(B97="","",IF(F96&lt;0.8,"A",IF(F96&lt;0.95,"B","C")))</f>
        <v/>
      </c>
      <c r="H97" s="23" t="str">
        <f aca="false">IF(OR(B97="",C97=0),"",D97/C97)</f>
        <v/>
      </c>
      <c r="I97" s="33" t="str">
        <f aca="false">IF(B97="","",SUMPRODUCT(MAX((Veri!$B$5:$B$2004=B97)*Veri!$A$5:$A$2004)))</f>
        <v/>
      </c>
      <c r="J97" s="16"/>
      <c r="K97" s="16" t="str">
        <f aca="false">IF(93&gt;MAX(Veri!$I$5:$I$2004),"",INDEX(Veri!$B$5:$B$2004,MATCH(93,Veri!$I$5:$I$2004,0)))</f>
        <v/>
      </c>
      <c r="L97" s="16" t="str">
        <f aca="false">IF(K97="","",SUMIFS(Veri!$E$5:$E$2004,Veri!$B$5:$B$2004,K97))</f>
        <v/>
      </c>
      <c r="M97" s="16" t="str">
        <f aca="false">IF(K97="","",L97+ROW()/1000000000)</f>
        <v/>
      </c>
      <c r="N97" s="16"/>
    </row>
    <row r="98" customFormat="false" ht="15" hidden="false" customHeight="false" outlineLevel="0" collapsed="false">
      <c r="A98" s="34" t="str">
        <f aca="false">IF(B98="","",94)</f>
        <v/>
      </c>
      <c r="B98" s="26" t="str">
        <f aca="false">IFERROR(INDEX($K$5:$K$204,MATCH(LARGE($M$5:$M$204,94),$M$5:$M$204,0)),"")</f>
        <v/>
      </c>
      <c r="C98" s="28" t="str">
        <f aca="false">IF(B98="","",COUNTIF(Veri!$B$5:$B$2004,B98))</f>
        <v/>
      </c>
      <c r="D98" s="27" t="str">
        <f aca="false">IF(B98="","",SUMIFS(Veri!$E$5:$E$2004,Veri!$B$5:$B$2004,B98))</f>
        <v/>
      </c>
      <c r="E98" s="35" t="str">
        <f aca="false">IF(B98="","",IF(SUM(Veri!$E$5:$E$2004)=0,0,D98/SUM(Veri!$E$5:$E$2004)))</f>
        <v/>
      </c>
      <c r="F98" s="35" t="str">
        <f aca="false">IF(B98="","",SUM(E$5:E98))</f>
        <v/>
      </c>
      <c r="G98" s="36" t="str">
        <f aca="false">IF(B98="","",IF(F97&lt;0.8,"A",IF(F97&lt;0.95,"B","C")))</f>
        <v/>
      </c>
      <c r="H98" s="27" t="str">
        <f aca="false">IF(OR(B98="",C98=0),"",D98/C98)</f>
        <v/>
      </c>
      <c r="I98" s="37" t="str">
        <f aca="false">IF(B98="","",SUMPRODUCT(MAX((Veri!$B$5:$B$2004=B98)*Veri!$A$5:$A$2004)))</f>
        <v/>
      </c>
      <c r="J98" s="26"/>
      <c r="K98" s="26" t="str">
        <f aca="false">IF(94&gt;MAX(Veri!$I$5:$I$2004),"",INDEX(Veri!$B$5:$B$2004,MATCH(94,Veri!$I$5:$I$2004,0)))</f>
        <v/>
      </c>
      <c r="L98" s="26" t="str">
        <f aca="false">IF(K98="","",SUMIFS(Veri!$E$5:$E$2004,Veri!$B$5:$B$2004,K98))</f>
        <v/>
      </c>
      <c r="M98" s="26" t="str">
        <f aca="false">IF(K98="","",L98+ROW()/1000000000)</f>
        <v/>
      </c>
      <c r="N98" s="26"/>
    </row>
    <row r="99" customFormat="false" ht="15" hidden="false" customHeight="false" outlineLevel="0" collapsed="false">
      <c r="A99" s="30" t="str">
        <f aca="false">IF(B99="","",95)</f>
        <v/>
      </c>
      <c r="B99" s="16" t="str">
        <f aca="false">IFERROR(INDEX($K$5:$K$204,MATCH(LARGE($M$5:$M$204,95),$M$5:$M$204,0)),"")</f>
        <v/>
      </c>
      <c r="C99" s="24" t="str">
        <f aca="false">IF(B99="","",COUNTIF(Veri!$B$5:$B$2004,B99))</f>
        <v/>
      </c>
      <c r="D99" s="23" t="str">
        <f aca="false">IF(B99="","",SUMIFS(Veri!$E$5:$E$2004,Veri!$B$5:$B$2004,B99))</f>
        <v/>
      </c>
      <c r="E99" s="31" t="str">
        <f aca="false">IF(B99="","",IF(SUM(Veri!$E$5:$E$2004)=0,0,D99/SUM(Veri!$E$5:$E$2004)))</f>
        <v/>
      </c>
      <c r="F99" s="31" t="str">
        <f aca="false">IF(B99="","",SUM(E$5:E99))</f>
        <v/>
      </c>
      <c r="G99" s="32" t="str">
        <f aca="false">IF(B99="","",IF(F98&lt;0.8,"A",IF(F98&lt;0.95,"B","C")))</f>
        <v/>
      </c>
      <c r="H99" s="23" t="str">
        <f aca="false">IF(OR(B99="",C99=0),"",D99/C99)</f>
        <v/>
      </c>
      <c r="I99" s="33" t="str">
        <f aca="false">IF(B99="","",SUMPRODUCT(MAX((Veri!$B$5:$B$2004=B99)*Veri!$A$5:$A$2004)))</f>
        <v/>
      </c>
      <c r="J99" s="16"/>
      <c r="K99" s="16" t="str">
        <f aca="false">IF(95&gt;MAX(Veri!$I$5:$I$2004),"",INDEX(Veri!$B$5:$B$2004,MATCH(95,Veri!$I$5:$I$2004,0)))</f>
        <v/>
      </c>
      <c r="L99" s="16" t="str">
        <f aca="false">IF(K99="","",SUMIFS(Veri!$E$5:$E$2004,Veri!$B$5:$B$2004,K99))</f>
        <v/>
      </c>
      <c r="M99" s="16" t="str">
        <f aca="false">IF(K99="","",L99+ROW()/1000000000)</f>
        <v/>
      </c>
      <c r="N99" s="16"/>
    </row>
    <row r="100" customFormat="false" ht="15" hidden="false" customHeight="false" outlineLevel="0" collapsed="false">
      <c r="A100" s="34" t="str">
        <f aca="false">IF(B100="","",96)</f>
        <v/>
      </c>
      <c r="B100" s="26" t="str">
        <f aca="false">IFERROR(INDEX($K$5:$K$204,MATCH(LARGE($M$5:$M$204,96),$M$5:$M$204,0)),"")</f>
        <v/>
      </c>
      <c r="C100" s="28" t="str">
        <f aca="false">IF(B100="","",COUNTIF(Veri!$B$5:$B$2004,B100))</f>
        <v/>
      </c>
      <c r="D100" s="27" t="str">
        <f aca="false">IF(B100="","",SUMIFS(Veri!$E$5:$E$2004,Veri!$B$5:$B$2004,B100))</f>
        <v/>
      </c>
      <c r="E100" s="35" t="str">
        <f aca="false">IF(B100="","",IF(SUM(Veri!$E$5:$E$2004)=0,0,D100/SUM(Veri!$E$5:$E$2004)))</f>
        <v/>
      </c>
      <c r="F100" s="35" t="str">
        <f aca="false">IF(B100="","",SUM(E$5:E100))</f>
        <v/>
      </c>
      <c r="G100" s="36" t="str">
        <f aca="false">IF(B100="","",IF(F99&lt;0.8,"A",IF(F99&lt;0.95,"B","C")))</f>
        <v/>
      </c>
      <c r="H100" s="27" t="str">
        <f aca="false">IF(OR(B100="",C100=0),"",D100/C100)</f>
        <v/>
      </c>
      <c r="I100" s="37" t="str">
        <f aca="false">IF(B100="","",SUMPRODUCT(MAX((Veri!$B$5:$B$2004=B100)*Veri!$A$5:$A$2004)))</f>
        <v/>
      </c>
      <c r="J100" s="26"/>
      <c r="K100" s="26" t="str">
        <f aca="false">IF(96&gt;MAX(Veri!$I$5:$I$2004),"",INDEX(Veri!$B$5:$B$2004,MATCH(96,Veri!$I$5:$I$2004,0)))</f>
        <v/>
      </c>
      <c r="L100" s="26" t="str">
        <f aca="false">IF(K100="","",SUMIFS(Veri!$E$5:$E$2004,Veri!$B$5:$B$2004,K100))</f>
        <v/>
      </c>
      <c r="M100" s="26" t="str">
        <f aca="false">IF(K100="","",L100+ROW()/1000000000)</f>
        <v/>
      </c>
      <c r="N100" s="26"/>
    </row>
    <row r="101" customFormat="false" ht="15" hidden="false" customHeight="false" outlineLevel="0" collapsed="false">
      <c r="A101" s="30" t="str">
        <f aca="false">IF(B101="","",97)</f>
        <v/>
      </c>
      <c r="B101" s="16" t="str">
        <f aca="false">IFERROR(INDEX($K$5:$K$204,MATCH(LARGE($M$5:$M$204,97),$M$5:$M$204,0)),"")</f>
        <v/>
      </c>
      <c r="C101" s="24" t="str">
        <f aca="false">IF(B101="","",COUNTIF(Veri!$B$5:$B$2004,B101))</f>
        <v/>
      </c>
      <c r="D101" s="23" t="str">
        <f aca="false">IF(B101="","",SUMIFS(Veri!$E$5:$E$2004,Veri!$B$5:$B$2004,B101))</f>
        <v/>
      </c>
      <c r="E101" s="31" t="str">
        <f aca="false">IF(B101="","",IF(SUM(Veri!$E$5:$E$2004)=0,0,D101/SUM(Veri!$E$5:$E$2004)))</f>
        <v/>
      </c>
      <c r="F101" s="31" t="str">
        <f aca="false">IF(B101="","",SUM(E$5:E101))</f>
        <v/>
      </c>
      <c r="G101" s="32" t="str">
        <f aca="false">IF(B101="","",IF(F100&lt;0.8,"A",IF(F100&lt;0.95,"B","C")))</f>
        <v/>
      </c>
      <c r="H101" s="23" t="str">
        <f aca="false">IF(OR(B101="",C101=0),"",D101/C101)</f>
        <v/>
      </c>
      <c r="I101" s="33" t="str">
        <f aca="false">IF(B101="","",SUMPRODUCT(MAX((Veri!$B$5:$B$2004=B101)*Veri!$A$5:$A$2004)))</f>
        <v/>
      </c>
      <c r="J101" s="16"/>
      <c r="K101" s="16" t="str">
        <f aca="false">IF(97&gt;MAX(Veri!$I$5:$I$2004),"",INDEX(Veri!$B$5:$B$2004,MATCH(97,Veri!$I$5:$I$2004,0)))</f>
        <v/>
      </c>
      <c r="L101" s="16" t="str">
        <f aca="false">IF(K101="","",SUMIFS(Veri!$E$5:$E$2004,Veri!$B$5:$B$2004,K101))</f>
        <v/>
      </c>
      <c r="M101" s="16" t="str">
        <f aca="false">IF(K101="","",L101+ROW()/1000000000)</f>
        <v/>
      </c>
      <c r="N101" s="16"/>
    </row>
    <row r="102" customFormat="false" ht="15" hidden="false" customHeight="false" outlineLevel="0" collapsed="false">
      <c r="A102" s="34" t="str">
        <f aca="false">IF(B102="","",98)</f>
        <v/>
      </c>
      <c r="B102" s="26" t="str">
        <f aca="false">IFERROR(INDEX($K$5:$K$204,MATCH(LARGE($M$5:$M$204,98),$M$5:$M$204,0)),"")</f>
        <v/>
      </c>
      <c r="C102" s="28" t="str">
        <f aca="false">IF(B102="","",COUNTIF(Veri!$B$5:$B$2004,B102))</f>
        <v/>
      </c>
      <c r="D102" s="27" t="str">
        <f aca="false">IF(B102="","",SUMIFS(Veri!$E$5:$E$2004,Veri!$B$5:$B$2004,B102))</f>
        <v/>
      </c>
      <c r="E102" s="35" t="str">
        <f aca="false">IF(B102="","",IF(SUM(Veri!$E$5:$E$2004)=0,0,D102/SUM(Veri!$E$5:$E$2004)))</f>
        <v/>
      </c>
      <c r="F102" s="35" t="str">
        <f aca="false">IF(B102="","",SUM(E$5:E102))</f>
        <v/>
      </c>
      <c r="G102" s="36" t="str">
        <f aca="false">IF(B102="","",IF(F101&lt;0.8,"A",IF(F101&lt;0.95,"B","C")))</f>
        <v/>
      </c>
      <c r="H102" s="27" t="str">
        <f aca="false">IF(OR(B102="",C102=0),"",D102/C102)</f>
        <v/>
      </c>
      <c r="I102" s="37" t="str">
        <f aca="false">IF(B102="","",SUMPRODUCT(MAX((Veri!$B$5:$B$2004=B102)*Veri!$A$5:$A$2004)))</f>
        <v/>
      </c>
      <c r="J102" s="26"/>
      <c r="K102" s="26" t="str">
        <f aca="false">IF(98&gt;MAX(Veri!$I$5:$I$2004),"",INDEX(Veri!$B$5:$B$2004,MATCH(98,Veri!$I$5:$I$2004,0)))</f>
        <v/>
      </c>
      <c r="L102" s="26" t="str">
        <f aca="false">IF(K102="","",SUMIFS(Veri!$E$5:$E$2004,Veri!$B$5:$B$2004,K102))</f>
        <v/>
      </c>
      <c r="M102" s="26" t="str">
        <f aca="false">IF(K102="","",L102+ROW()/1000000000)</f>
        <v/>
      </c>
      <c r="N102" s="26"/>
    </row>
    <row r="103" customFormat="false" ht="15" hidden="false" customHeight="false" outlineLevel="0" collapsed="false">
      <c r="A103" s="30" t="str">
        <f aca="false">IF(B103="","",99)</f>
        <v/>
      </c>
      <c r="B103" s="16" t="str">
        <f aca="false">IFERROR(INDEX($K$5:$K$204,MATCH(LARGE($M$5:$M$204,99),$M$5:$M$204,0)),"")</f>
        <v/>
      </c>
      <c r="C103" s="24" t="str">
        <f aca="false">IF(B103="","",COUNTIF(Veri!$B$5:$B$2004,B103))</f>
        <v/>
      </c>
      <c r="D103" s="23" t="str">
        <f aca="false">IF(B103="","",SUMIFS(Veri!$E$5:$E$2004,Veri!$B$5:$B$2004,B103))</f>
        <v/>
      </c>
      <c r="E103" s="31" t="str">
        <f aca="false">IF(B103="","",IF(SUM(Veri!$E$5:$E$2004)=0,0,D103/SUM(Veri!$E$5:$E$2004)))</f>
        <v/>
      </c>
      <c r="F103" s="31" t="str">
        <f aca="false">IF(B103="","",SUM(E$5:E103))</f>
        <v/>
      </c>
      <c r="G103" s="32" t="str">
        <f aca="false">IF(B103="","",IF(F102&lt;0.8,"A",IF(F102&lt;0.95,"B","C")))</f>
        <v/>
      </c>
      <c r="H103" s="23" t="str">
        <f aca="false">IF(OR(B103="",C103=0),"",D103/C103)</f>
        <v/>
      </c>
      <c r="I103" s="33" t="str">
        <f aca="false">IF(B103="","",SUMPRODUCT(MAX((Veri!$B$5:$B$2004=B103)*Veri!$A$5:$A$2004)))</f>
        <v/>
      </c>
      <c r="J103" s="16"/>
      <c r="K103" s="16" t="str">
        <f aca="false">IF(99&gt;MAX(Veri!$I$5:$I$2004),"",INDEX(Veri!$B$5:$B$2004,MATCH(99,Veri!$I$5:$I$2004,0)))</f>
        <v/>
      </c>
      <c r="L103" s="16" t="str">
        <f aca="false">IF(K103="","",SUMIFS(Veri!$E$5:$E$2004,Veri!$B$5:$B$2004,K103))</f>
        <v/>
      </c>
      <c r="M103" s="16" t="str">
        <f aca="false">IF(K103="","",L103+ROW()/1000000000)</f>
        <v/>
      </c>
      <c r="N103" s="16"/>
    </row>
    <row r="104" customFormat="false" ht="15" hidden="false" customHeight="false" outlineLevel="0" collapsed="false">
      <c r="A104" s="34" t="str">
        <f aca="false">IF(B104="","",100)</f>
        <v/>
      </c>
      <c r="B104" s="26" t="str">
        <f aca="false">IFERROR(INDEX($K$5:$K$204,MATCH(LARGE($M$5:$M$204,100),$M$5:$M$204,0)),"")</f>
        <v/>
      </c>
      <c r="C104" s="28" t="str">
        <f aca="false">IF(B104="","",COUNTIF(Veri!$B$5:$B$2004,B104))</f>
        <v/>
      </c>
      <c r="D104" s="27" t="str">
        <f aca="false">IF(B104="","",SUMIFS(Veri!$E$5:$E$2004,Veri!$B$5:$B$2004,B104))</f>
        <v/>
      </c>
      <c r="E104" s="35" t="str">
        <f aca="false">IF(B104="","",IF(SUM(Veri!$E$5:$E$2004)=0,0,D104/SUM(Veri!$E$5:$E$2004)))</f>
        <v/>
      </c>
      <c r="F104" s="35" t="str">
        <f aca="false">IF(B104="","",SUM(E$5:E104))</f>
        <v/>
      </c>
      <c r="G104" s="36" t="str">
        <f aca="false">IF(B104="","",IF(F103&lt;0.8,"A",IF(F103&lt;0.95,"B","C")))</f>
        <v/>
      </c>
      <c r="H104" s="27" t="str">
        <f aca="false">IF(OR(B104="",C104=0),"",D104/C104)</f>
        <v/>
      </c>
      <c r="I104" s="37" t="str">
        <f aca="false">IF(B104="","",SUMPRODUCT(MAX((Veri!$B$5:$B$2004=B104)*Veri!$A$5:$A$2004)))</f>
        <v/>
      </c>
      <c r="J104" s="26"/>
      <c r="K104" s="26" t="str">
        <f aca="false">IF(100&gt;MAX(Veri!$I$5:$I$2004),"",INDEX(Veri!$B$5:$B$2004,MATCH(100,Veri!$I$5:$I$2004,0)))</f>
        <v/>
      </c>
      <c r="L104" s="26" t="str">
        <f aca="false">IF(K104="","",SUMIFS(Veri!$E$5:$E$2004,Veri!$B$5:$B$2004,K104))</f>
        <v/>
      </c>
      <c r="M104" s="26" t="str">
        <f aca="false">IF(K104="","",L104+ROW()/1000000000)</f>
        <v/>
      </c>
      <c r="N104" s="26"/>
    </row>
    <row r="105" customFormat="false" ht="15" hidden="false" customHeight="false" outlineLevel="0" collapsed="false">
      <c r="A105" s="30" t="str">
        <f aca="false">IF(B105="","",101)</f>
        <v/>
      </c>
      <c r="B105" s="16" t="str">
        <f aca="false">IFERROR(INDEX($K$5:$K$204,MATCH(LARGE($M$5:$M$204,101),$M$5:$M$204,0)),"")</f>
        <v/>
      </c>
      <c r="C105" s="24" t="str">
        <f aca="false">IF(B105="","",COUNTIF(Veri!$B$5:$B$2004,B105))</f>
        <v/>
      </c>
      <c r="D105" s="23" t="str">
        <f aca="false">IF(B105="","",SUMIFS(Veri!$E$5:$E$2004,Veri!$B$5:$B$2004,B105))</f>
        <v/>
      </c>
      <c r="E105" s="31" t="str">
        <f aca="false">IF(B105="","",IF(SUM(Veri!$E$5:$E$2004)=0,0,D105/SUM(Veri!$E$5:$E$2004)))</f>
        <v/>
      </c>
      <c r="F105" s="31" t="str">
        <f aca="false">IF(B105="","",SUM(E$5:E105))</f>
        <v/>
      </c>
      <c r="G105" s="32" t="str">
        <f aca="false">IF(B105="","",IF(F104&lt;0.8,"A",IF(F104&lt;0.95,"B","C")))</f>
        <v/>
      </c>
      <c r="H105" s="23" t="str">
        <f aca="false">IF(OR(B105="",C105=0),"",D105/C105)</f>
        <v/>
      </c>
      <c r="I105" s="33" t="str">
        <f aca="false">IF(B105="","",SUMPRODUCT(MAX((Veri!$B$5:$B$2004=B105)*Veri!$A$5:$A$2004)))</f>
        <v/>
      </c>
      <c r="J105" s="16"/>
      <c r="K105" s="16" t="str">
        <f aca="false">IF(101&gt;MAX(Veri!$I$5:$I$2004),"",INDEX(Veri!$B$5:$B$2004,MATCH(101,Veri!$I$5:$I$2004,0)))</f>
        <v/>
      </c>
      <c r="L105" s="16" t="str">
        <f aca="false">IF(K105="","",SUMIFS(Veri!$E$5:$E$2004,Veri!$B$5:$B$2004,K105))</f>
        <v/>
      </c>
      <c r="M105" s="16" t="str">
        <f aca="false">IF(K105="","",L105+ROW()/1000000000)</f>
        <v/>
      </c>
      <c r="N105" s="16"/>
    </row>
    <row r="106" customFormat="false" ht="15" hidden="false" customHeight="false" outlineLevel="0" collapsed="false">
      <c r="A106" s="34" t="str">
        <f aca="false">IF(B106="","",102)</f>
        <v/>
      </c>
      <c r="B106" s="26" t="str">
        <f aca="false">IFERROR(INDEX($K$5:$K$204,MATCH(LARGE($M$5:$M$204,102),$M$5:$M$204,0)),"")</f>
        <v/>
      </c>
      <c r="C106" s="28" t="str">
        <f aca="false">IF(B106="","",COUNTIF(Veri!$B$5:$B$2004,B106))</f>
        <v/>
      </c>
      <c r="D106" s="27" t="str">
        <f aca="false">IF(B106="","",SUMIFS(Veri!$E$5:$E$2004,Veri!$B$5:$B$2004,B106))</f>
        <v/>
      </c>
      <c r="E106" s="35" t="str">
        <f aca="false">IF(B106="","",IF(SUM(Veri!$E$5:$E$2004)=0,0,D106/SUM(Veri!$E$5:$E$2004)))</f>
        <v/>
      </c>
      <c r="F106" s="35" t="str">
        <f aca="false">IF(B106="","",SUM(E$5:E106))</f>
        <v/>
      </c>
      <c r="G106" s="36" t="str">
        <f aca="false">IF(B106="","",IF(F105&lt;0.8,"A",IF(F105&lt;0.95,"B","C")))</f>
        <v/>
      </c>
      <c r="H106" s="27" t="str">
        <f aca="false">IF(OR(B106="",C106=0),"",D106/C106)</f>
        <v/>
      </c>
      <c r="I106" s="37" t="str">
        <f aca="false">IF(B106="","",SUMPRODUCT(MAX((Veri!$B$5:$B$2004=B106)*Veri!$A$5:$A$2004)))</f>
        <v/>
      </c>
      <c r="J106" s="26"/>
      <c r="K106" s="26" t="str">
        <f aca="false">IF(102&gt;MAX(Veri!$I$5:$I$2004),"",INDEX(Veri!$B$5:$B$2004,MATCH(102,Veri!$I$5:$I$2004,0)))</f>
        <v/>
      </c>
      <c r="L106" s="26" t="str">
        <f aca="false">IF(K106="","",SUMIFS(Veri!$E$5:$E$2004,Veri!$B$5:$B$2004,K106))</f>
        <v/>
      </c>
      <c r="M106" s="26" t="str">
        <f aca="false">IF(K106="","",L106+ROW()/1000000000)</f>
        <v/>
      </c>
      <c r="N106" s="26"/>
    </row>
    <row r="107" customFormat="false" ht="15" hidden="false" customHeight="false" outlineLevel="0" collapsed="false">
      <c r="A107" s="30" t="str">
        <f aca="false">IF(B107="","",103)</f>
        <v/>
      </c>
      <c r="B107" s="16" t="str">
        <f aca="false">IFERROR(INDEX($K$5:$K$204,MATCH(LARGE($M$5:$M$204,103),$M$5:$M$204,0)),"")</f>
        <v/>
      </c>
      <c r="C107" s="24" t="str">
        <f aca="false">IF(B107="","",COUNTIF(Veri!$B$5:$B$2004,B107))</f>
        <v/>
      </c>
      <c r="D107" s="23" t="str">
        <f aca="false">IF(B107="","",SUMIFS(Veri!$E$5:$E$2004,Veri!$B$5:$B$2004,B107))</f>
        <v/>
      </c>
      <c r="E107" s="31" t="str">
        <f aca="false">IF(B107="","",IF(SUM(Veri!$E$5:$E$2004)=0,0,D107/SUM(Veri!$E$5:$E$2004)))</f>
        <v/>
      </c>
      <c r="F107" s="31" t="str">
        <f aca="false">IF(B107="","",SUM(E$5:E107))</f>
        <v/>
      </c>
      <c r="G107" s="32" t="str">
        <f aca="false">IF(B107="","",IF(F106&lt;0.8,"A",IF(F106&lt;0.95,"B","C")))</f>
        <v/>
      </c>
      <c r="H107" s="23" t="str">
        <f aca="false">IF(OR(B107="",C107=0),"",D107/C107)</f>
        <v/>
      </c>
      <c r="I107" s="33" t="str">
        <f aca="false">IF(B107="","",SUMPRODUCT(MAX((Veri!$B$5:$B$2004=B107)*Veri!$A$5:$A$2004)))</f>
        <v/>
      </c>
      <c r="J107" s="16"/>
      <c r="K107" s="16" t="str">
        <f aca="false">IF(103&gt;MAX(Veri!$I$5:$I$2004),"",INDEX(Veri!$B$5:$B$2004,MATCH(103,Veri!$I$5:$I$2004,0)))</f>
        <v/>
      </c>
      <c r="L107" s="16" t="str">
        <f aca="false">IF(K107="","",SUMIFS(Veri!$E$5:$E$2004,Veri!$B$5:$B$2004,K107))</f>
        <v/>
      </c>
      <c r="M107" s="16" t="str">
        <f aca="false">IF(K107="","",L107+ROW()/1000000000)</f>
        <v/>
      </c>
      <c r="N107" s="16"/>
    </row>
    <row r="108" customFormat="false" ht="15" hidden="false" customHeight="false" outlineLevel="0" collapsed="false">
      <c r="A108" s="34" t="str">
        <f aca="false">IF(B108="","",104)</f>
        <v/>
      </c>
      <c r="B108" s="26" t="str">
        <f aca="false">IFERROR(INDEX($K$5:$K$204,MATCH(LARGE($M$5:$M$204,104),$M$5:$M$204,0)),"")</f>
        <v/>
      </c>
      <c r="C108" s="28" t="str">
        <f aca="false">IF(B108="","",COUNTIF(Veri!$B$5:$B$2004,B108))</f>
        <v/>
      </c>
      <c r="D108" s="27" t="str">
        <f aca="false">IF(B108="","",SUMIFS(Veri!$E$5:$E$2004,Veri!$B$5:$B$2004,B108))</f>
        <v/>
      </c>
      <c r="E108" s="35" t="str">
        <f aca="false">IF(B108="","",IF(SUM(Veri!$E$5:$E$2004)=0,0,D108/SUM(Veri!$E$5:$E$2004)))</f>
        <v/>
      </c>
      <c r="F108" s="35" t="str">
        <f aca="false">IF(B108="","",SUM(E$5:E108))</f>
        <v/>
      </c>
      <c r="G108" s="36" t="str">
        <f aca="false">IF(B108="","",IF(F107&lt;0.8,"A",IF(F107&lt;0.95,"B","C")))</f>
        <v/>
      </c>
      <c r="H108" s="27" t="str">
        <f aca="false">IF(OR(B108="",C108=0),"",D108/C108)</f>
        <v/>
      </c>
      <c r="I108" s="37" t="str">
        <f aca="false">IF(B108="","",SUMPRODUCT(MAX((Veri!$B$5:$B$2004=B108)*Veri!$A$5:$A$2004)))</f>
        <v/>
      </c>
      <c r="J108" s="26"/>
      <c r="K108" s="26" t="str">
        <f aca="false">IF(104&gt;MAX(Veri!$I$5:$I$2004),"",INDEX(Veri!$B$5:$B$2004,MATCH(104,Veri!$I$5:$I$2004,0)))</f>
        <v/>
      </c>
      <c r="L108" s="26" t="str">
        <f aca="false">IF(K108="","",SUMIFS(Veri!$E$5:$E$2004,Veri!$B$5:$B$2004,K108))</f>
        <v/>
      </c>
      <c r="M108" s="26" t="str">
        <f aca="false">IF(K108="","",L108+ROW()/1000000000)</f>
        <v/>
      </c>
      <c r="N108" s="26"/>
    </row>
    <row r="109" customFormat="false" ht="15" hidden="false" customHeight="false" outlineLevel="0" collapsed="false">
      <c r="A109" s="30" t="str">
        <f aca="false">IF(B109="","",105)</f>
        <v/>
      </c>
      <c r="B109" s="16" t="str">
        <f aca="false">IFERROR(INDEX($K$5:$K$204,MATCH(LARGE($M$5:$M$204,105),$M$5:$M$204,0)),"")</f>
        <v/>
      </c>
      <c r="C109" s="24" t="str">
        <f aca="false">IF(B109="","",COUNTIF(Veri!$B$5:$B$2004,B109))</f>
        <v/>
      </c>
      <c r="D109" s="23" t="str">
        <f aca="false">IF(B109="","",SUMIFS(Veri!$E$5:$E$2004,Veri!$B$5:$B$2004,B109))</f>
        <v/>
      </c>
      <c r="E109" s="31" t="str">
        <f aca="false">IF(B109="","",IF(SUM(Veri!$E$5:$E$2004)=0,0,D109/SUM(Veri!$E$5:$E$2004)))</f>
        <v/>
      </c>
      <c r="F109" s="31" t="str">
        <f aca="false">IF(B109="","",SUM(E$5:E109))</f>
        <v/>
      </c>
      <c r="G109" s="32" t="str">
        <f aca="false">IF(B109="","",IF(F108&lt;0.8,"A",IF(F108&lt;0.95,"B","C")))</f>
        <v/>
      </c>
      <c r="H109" s="23" t="str">
        <f aca="false">IF(OR(B109="",C109=0),"",D109/C109)</f>
        <v/>
      </c>
      <c r="I109" s="33" t="str">
        <f aca="false">IF(B109="","",SUMPRODUCT(MAX((Veri!$B$5:$B$2004=B109)*Veri!$A$5:$A$2004)))</f>
        <v/>
      </c>
      <c r="J109" s="16"/>
      <c r="K109" s="16" t="str">
        <f aca="false">IF(105&gt;MAX(Veri!$I$5:$I$2004),"",INDEX(Veri!$B$5:$B$2004,MATCH(105,Veri!$I$5:$I$2004,0)))</f>
        <v/>
      </c>
      <c r="L109" s="16" t="str">
        <f aca="false">IF(K109="","",SUMIFS(Veri!$E$5:$E$2004,Veri!$B$5:$B$2004,K109))</f>
        <v/>
      </c>
      <c r="M109" s="16" t="str">
        <f aca="false">IF(K109="","",L109+ROW()/1000000000)</f>
        <v/>
      </c>
      <c r="N109" s="16"/>
    </row>
    <row r="110" customFormat="false" ht="15" hidden="false" customHeight="false" outlineLevel="0" collapsed="false">
      <c r="A110" s="34" t="str">
        <f aca="false">IF(B110="","",106)</f>
        <v/>
      </c>
      <c r="B110" s="26" t="str">
        <f aca="false">IFERROR(INDEX($K$5:$K$204,MATCH(LARGE($M$5:$M$204,106),$M$5:$M$204,0)),"")</f>
        <v/>
      </c>
      <c r="C110" s="28" t="str">
        <f aca="false">IF(B110="","",COUNTIF(Veri!$B$5:$B$2004,B110))</f>
        <v/>
      </c>
      <c r="D110" s="27" t="str">
        <f aca="false">IF(B110="","",SUMIFS(Veri!$E$5:$E$2004,Veri!$B$5:$B$2004,B110))</f>
        <v/>
      </c>
      <c r="E110" s="35" t="str">
        <f aca="false">IF(B110="","",IF(SUM(Veri!$E$5:$E$2004)=0,0,D110/SUM(Veri!$E$5:$E$2004)))</f>
        <v/>
      </c>
      <c r="F110" s="35" t="str">
        <f aca="false">IF(B110="","",SUM(E$5:E110))</f>
        <v/>
      </c>
      <c r="G110" s="36" t="str">
        <f aca="false">IF(B110="","",IF(F109&lt;0.8,"A",IF(F109&lt;0.95,"B","C")))</f>
        <v/>
      </c>
      <c r="H110" s="27" t="str">
        <f aca="false">IF(OR(B110="",C110=0),"",D110/C110)</f>
        <v/>
      </c>
      <c r="I110" s="37" t="str">
        <f aca="false">IF(B110="","",SUMPRODUCT(MAX((Veri!$B$5:$B$2004=B110)*Veri!$A$5:$A$2004)))</f>
        <v/>
      </c>
      <c r="J110" s="26"/>
      <c r="K110" s="26" t="str">
        <f aca="false">IF(106&gt;MAX(Veri!$I$5:$I$2004),"",INDEX(Veri!$B$5:$B$2004,MATCH(106,Veri!$I$5:$I$2004,0)))</f>
        <v/>
      </c>
      <c r="L110" s="26" t="str">
        <f aca="false">IF(K110="","",SUMIFS(Veri!$E$5:$E$2004,Veri!$B$5:$B$2004,K110))</f>
        <v/>
      </c>
      <c r="M110" s="26" t="str">
        <f aca="false">IF(K110="","",L110+ROW()/1000000000)</f>
        <v/>
      </c>
      <c r="N110" s="26"/>
    </row>
    <row r="111" customFormat="false" ht="15" hidden="false" customHeight="false" outlineLevel="0" collapsed="false">
      <c r="A111" s="30" t="str">
        <f aca="false">IF(B111="","",107)</f>
        <v/>
      </c>
      <c r="B111" s="16" t="str">
        <f aca="false">IFERROR(INDEX($K$5:$K$204,MATCH(LARGE($M$5:$M$204,107),$M$5:$M$204,0)),"")</f>
        <v/>
      </c>
      <c r="C111" s="24" t="str">
        <f aca="false">IF(B111="","",COUNTIF(Veri!$B$5:$B$2004,B111))</f>
        <v/>
      </c>
      <c r="D111" s="23" t="str">
        <f aca="false">IF(B111="","",SUMIFS(Veri!$E$5:$E$2004,Veri!$B$5:$B$2004,B111))</f>
        <v/>
      </c>
      <c r="E111" s="31" t="str">
        <f aca="false">IF(B111="","",IF(SUM(Veri!$E$5:$E$2004)=0,0,D111/SUM(Veri!$E$5:$E$2004)))</f>
        <v/>
      </c>
      <c r="F111" s="31" t="str">
        <f aca="false">IF(B111="","",SUM(E$5:E111))</f>
        <v/>
      </c>
      <c r="G111" s="32" t="str">
        <f aca="false">IF(B111="","",IF(F110&lt;0.8,"A",IF(F110&lt;0.95,"B","C")))</f>
        <v/>
      </c>
      <c r="H111" s="23" t="str">
        <f aca="false">IF(OR(B111="",C111=0),"",D111/C111)</f>
        <v/>
      </c>
      <c r="I111" s="33" t="str">
        <f aca="false">IF(B111="","",SUMPRODUCT(MAX((Veri!$B$5:$B$2004=B111)*Veri!$A$5:$A$2004)))</f>
        <v/>
      </c>
      <c r="J111" s="16"/>
      <c r="K111" s="16" t="str">
        <f aca="false">IF(107&gt;MAX(Veri!$I$5:$I$2004),"",INDEX(Veri!$B$5:$B$2004,MATCH(107,Veri!$I$5:$I$2004,0)))</f>
        <v/>
      </c>
      <c r="L111" s="16" t="str">
        <f aca="false">IF(K111="","",SUMIFS(Veri!$E$5:$E$2004,Veri!$B$5:$B$2004,K111))</f>
        <v/>
      </c>
      <c r="M111" s="16" t="str">
        <f aca="false">IF(K111="","",L111+ROW()/1000000000)</f>
        <v/>
      </c>
      <c r="N111" s="16"/>
    </row>
    <row r="112" customFormat="false" ht="15" hidden="false" customHeight="false" outlineLevel="0" collapsed="false">
      <c r="A112" s="34" t="str">
        <f aca="false">IF(B112="","",108)</f>
        <v/>
      </c>
      <c r="B112" s="26" t="str">
        <f aca="false">IFERROR(INDEX($K$5:$K$204,MATCH(LARGE($M$5:$M$204,108),$M$5:$M$204,0)),"")</f>
        <v/>
      </c>
      <c r="C112" s="28" t="str">
        <f aca="false">IF(B112="","",COUNTIF(Veri!$B$5:$B$2004,B112))</f>
        <v/>
      </c>
      <c r="D112" s="27" t="str">
        <f aca="false">IF(B112="","",SUMIFS(Veri!$E$5:$E$2004,Veri!$B$5:$B$2004,B112))</f>
        <v/>
      </c>
      <c r="E112" s="35" t="str">
        <f aca="false">IF(B112="","",IF(SUM(Veri!$E$5:$E$2004)=0,0,D112/SUM(Veri!$E$5:$E$2004)))</f>
        <v/>
      </c>
      <c r="F112" s="35" t="str">
        <f aca="false">IF(B112="","",SUM(E$5:E112))</f>
        <v/>
      </c>
      <c r="G112" s="36" t="str">
        <f aca="false">IF(B112="","",IF(F111&lt;0.8,"A",IF(F111&lt;0.95,"B","C")))</f>
        <v/>
      </c>
      <c r="H112" s="27" t="str">
        <f aca="false">IF(OR(B112="",C112=0),"",D112/C112)</f>
        <v/>
      </c>
      <c r="I112" s="37" t="str">
        <f aca="false">IF(B112="","",SUMPRODUCT(MAX((Veri!$B$5:$B$2004=B112)*Veri!$A$5:$A$2004)))</f>
        <v/>
      </c>
      <c r="J112" s="26"/>
      <c r="K112" s="26" t="str">
        <f aca="false">IF(108&gt;MAX(Veri!$I$5:$I$2004),"",INDEX(Veri!$B$5:$B$2004,MATCH(108,Veri!$I$5:$I$2004,0)))</f>
        <v/>
      </c>
      <c r="L112" s="26" t="str">
        <f aca="false">IF(K112="","",SUMIFS(Veri!$E$5:$E$2004,Veri!$B$5:$B$2004,K112))</f>
        <v/>
      </c>
      <c r="M112" s="26" t="str">
        <f aca="false">IF(K112="","",L112+ROW()/1000000000)</f>
        <v/>
      </c>
      <c r="N112" s="26"/>
    </row>
    <row r="113" customFormat="false" ht="15" hidden="false" customHeight="false" outlineLevel="0" collapsed="false">
      <c r="A113" s="30" t="str">
        <f aca="false">IF(B113="","",109)</f>
        <v/>
      </c>
      <c r="B113" s="16" t="str">
        <f aca="false">IFERROR(INDEX($K$5:$K$204,MATCH(LARGE($M$5:$M$204,109),$M$5:$M$204,0)),"")</f>
        <v/>
      </c>
      <c r="C113" s="24" t="str">
        <f aca="false">IF(B113="","",COUNTIF(Veri!$B$5:$B$2004,B113))</f>
        <v/>
      </c>
      <c r="D113" s="23" t="str">
        <f aca="false">IF(B113="","",SUMIFS(Veri!$E$5:$E$2004,Veri!$B$5:$B$2004,B113))</f>
        <v/>
      </c>
      <c r="E113" s="31" t="str">
        <f aca="false">IF(B113="","",IF(SUM(Veri!$E$5:$E$2004)=0,0,D113/SUM(Veri!$E$5:$E$2004)))</f>
        <v/>
      </c>
      <c r="F113" s="31" t="str">
        <f aca="false">IF(B113="","",SUM(E$5:E113))</f>
        <v/>
      </c>
      <c r="G113" s="32" t="str">
        <f aca="false">IF(B113="","",IF(F112&lt;0.8,"A",IF(F112&lt;0.95,"B","C")))</f>
        <v/>
      </c>
      <c r="H113" s="23" t="str">
        <f aca="false">IF(OR(B113="",C113=0),"",D113/C113)</f>
        <v/>
      </c>
      <c r="I113" s="33" t="str">
        <f aca="false">IF(B113="","",SUMPRODUCT(MAX((Veri!$B$5:$B$2004=B113)*Veri!$A$5:$A$2004)))</f>
        <v/>
      </c>
      <c r="J113" s="16"/>
      <c r="K113" s="16" t="str">
        <f aca="false">IF(109&gt;MAX(Veri!$I$5:$I$2004),"",INDEX(Veri!$B$5:$B$2004,MATCH(109,Veri!$I$5:$I$2004,0)))</f>
        <v/>
      </c>
      <c r="L113" s="16" t="str">
        <f aca="false">IF(K113="","",SUMIFS(Veri!$E$5:$E$2004,Veri!$B$5:$B$2004,K113))</f>
        <v/>
      </c>
      <c r="M113" s="16" t="str">
        <f aca="false">IF(K113="","",L113+ROW()/1000000000)</f>
        <v/>
      </c>
      <c r="N113" s="16"/>
    </row>
    <row r="114" customFormat="false" ht="15" hidden="false" customHeight="false" outlineLevel="0" collapsed="false">
      <c r="A114" s="34" t="str">
        <f aca="false">IF(B114="","",110)</f>
        <v/>
      </c>
      <c r="B114" s="26" t="str">
        <f aca="false">IFERROR(INDEX($K$5:$K$204,MATCH(LARGE($M$5:$M$204,110),$M$5:$M$204,0)),"")</f>
        <v/>
      </c>
      <c r="C114" s="28" t="str">
        <f aca="false">IF(B114="","",COUNTIF(Veri!$B$5:$B$2004,B114))</f>
        <v/>
      </c>
      <c r="D114" s="27" t="str">
        <f aca="false">IF(B114="","",SUMIFS(Veri!$E$5:$E$2004,Veri!$B$5:$B$2004,B114))</f>
        <v/>
      </c>
      <c r="E114" s="35" t="str">
        <f aca="false">IF(B114="","",IF(SUM(Veri!$E$5:$E$2004)=0,0,D114/SUM(Veri!$E$5:$E$2004)))</f>
        <v/>
      </c>
      <c r="F114" s="35" t="str">
        <f aca="false">IF(B114="","",SUM(E$5:E114))</f>
        <v/>
      </c>
      <c r="G114" s="36" t="str">
        <f aca="false">IF(B114="","",IF(F113&lt;0.8,"A",IF(F113&lt;0.95,"B","C")))</f>
        <v/>
      </c>
      <c r="H114" s="27" t="str">
        <f aca="false">IF(OR(B114="",C114=0),"",D114/C114)</f>
        <v/>
      </c>
      <c r="I114" s="37" t="str">
        <f aca="false">IF(B114="","",SUMPRODUCT(MAX((Veri!$B$5:$B$2004=B114)*Veri!$A$5:$A$2004)))</f>
        <v/>
      </c>
      <c r="J114" s="26"/>
      <c r="K114" s="26" t="str">
        <f aca="false">IF(110&gt;MAX(Veri!$I$5:$I$2004),"",INDEX(Veri!$B$5:$B$2004,MATCH(110,Veri!$I$5:$I$2004,0)))</f>
        <v/>
      </c>
      <c r="L114" s="26" t="str">
        <f aca="false">IF(K114="","",SUMIFS(Veri!$E$5:$E$2004,Veri!$B$5:$B$2004,K114))</f>
        <v/>
      </c>
      <c r="M114" s="26" t="str">
        <f aca="false">IF(K114="","",L114+ROW()/1000000000)</f>
        <v/>
      </c>
      <c r="N114" s="26"/>
    </row>
    <row r="115" customFormat="false" ht="15" hidden="false" customHeight="false" outlineLevel="0" collapsed="false">
      <c r="A115" s="30" t="str">
        <f aca="false">IF(B115="","",111)</f>
        <v/>
      </c>
      <c r="B115" s="16" t="str">
        <f aca="false">IFERROR(INDEX($K$5:$K$204,MATCH(LARGE($M$5:$M$204,111),$M$5:$M$204,0)),"")</f>
        <v/>
      </c>
      <c r="C115" s="24" t="str">
        <f aca="false">IF(B115="","",COUNTIF(Veri!$B$5:$B$2004,B115))</f>
        <v/>
      </c>
      <c r="D115" s="23" t="str">
        <f aca="false">IF(B115="","",SUMIFS(Veri!$E$5:$E$2004,Veri!$B$5:$B$2004,B115))</f>
        <v/>
      </c>
      <c r="E115" s="31" t="str">
        <f aca="false">IF(B115="","",IF(SUM(Veri!$E$5:$E$2004)=0,0,D115/SUM(Veri!$E$5:$E$2004)))</f>
        <v/>
      </c>
      <c r="F115" s="31" t="str">
        <f aca="false">IF(B115="","",SUM(E$5:E115))</f>
        <v/>
      </c>
      <c r="G115" s="32" t="str">
        <f aca="false">IF(B115="","",IF(F114&lt;0.8,"A",IF(F114&lt;0.95,"B","C")))</f>
        <v/>
      </c>
      <c r="H115" s="23" t="str">
        <f aca="false">IF(OR(B115="",C115=0),"",D115/C115)</f>
        <v/>
      </c>
      <c r="I115" s="33" t="str">
        <f aca="false">IF(B115="","",SUMPRODUCT(MAX((Veri!$B$5:$B$2004=B115)*Veri!$A$5:$A$2004)))</f>
        <v/>
      </c>
      <c r="J115" s="16"/>
      <c r="K115" s="16" t="str">
        <f aca="false">IF(111&gt;MAX(Veri!$I$5:$I$2004),"",INDEX(Veri!$B$5:$B$2004,MATCH(111,Veri!$I$5:$I$2004,0)))</f>
        <v/>
      </c>
      <c r="L115" s="16" t="str">
        <f aca="false">IF(K115="","",SUMIFS(Veri!$E$5:$E$2004,Veri!$B$5:$B$2004,K115))</f>
        <v/>
      </c>
      <c r="M115" s="16" t="str">
        <f aca="false">IF(K115="","",L115+ROW()/1000000000)</f>
        <v/>
      </c>
      <c r="N115" s="16"/>
    </row>
    <row r="116" customFormat="false" ht="15" hidden="false" customHeight="false" outlineLevel="0" collapsed="false">
      <c r="A116" s="34" t="str">
        <f aca="false">IF(B116="","",112)</f>
        <v/>
      </c>
      <c r="B116" s="26" t="str">
        <f aca="false">IFERROR(INDEX($K$5:$K$204,MATCH(LARGE($M$5:$M$204,112),$M$5:$M$204,0)),"")</f>
        <v/>
      </c>
      <c r="C116" s="28" t="str">
        <f aca="false">IF(B116="","",COUNTIF(Veri!$B$5:$B$2004,B116))</f>
        <v/>
      </c>
      <c r="D116" s="27" t="str">
        <f aca="false">IF(B116="","",SUMIFS(Veri!$E$5:$E$2004,Veri!$B$5:$B$2004,B116))</f>
        <v/>
      </c>
      <c r="E116" s="35" t="str">
        <f aca="false">IF(B116="","",IF(SUM(Veri!$E$5:$E$2004)=0,0,D116/SUM(Veri!$E$5:$E$2004)))</f>
        <v/>
      </c>
      <c r="F116" s="35" t="str">
        <f aca="false">IF(B116="","",SUM(E$5:E116))</f>
        <v/>
      </c>
      <c r="G116" s="36" t="str">
        <f aca="false">IF(B116="","",IF(F115&lt;0.8,"A",IF(F115&lt;0.95,"B","C")))</f>
        <v/>
      </c>
      <c r="H116" s="27" t="str">
        <f aca="false">IF(OR(B116="",C116=0),"",D116/C116)</f>
        <v/>
      </c>
      <c r="I116" s="37" t="str">
        <f aca="false">IF(B116="","",SUMPRODUCT(MAX((Veri!$B$5:$B$2004=B116)*Veri!$A$5:$A$2004)))</f>
        <v/>
      </c>
      <c r="J116" s="26"/>
      <c r="K116" s="26" t="str">
        <f aca="false">IF(112&gt;MAX(Veri!$I$5:$I$2004),"",INDEX(Veri!$B$5:$B$2004,MATCH(112,Veri!$I$5:$I$2004,0)))</f>
        <v/>
      </c>
      <c r="L116" s="26" t="str">
        <f aca="false">IF(K116="","",SUMIFS(Veri!$E$5:$E$2004,Veri!$B$5:$B$2004,K116))</f>
        <v/>
      </c>
      <c r="M116" s="26" t="str">
        <f aca="false">IF(K116="","",L116+ROW()/1000000000)</f>
        <v/>
      </c>
      <c r="N116" s="26"/>
    </row>
    <row r="117" customFormat="false" ht="15" hidden="false" customHeight="false" outlineLevel="0" collapsed="false">
      <c r="A117" s="30" t="str">
        <f aca="false">IF(B117="","",113)</f>
        <v/>
      </c>
      <c r="B117" s="16" t="str">
        <f aca="false">IFERROR(INDEX($K$5:$K$204,MATCH(LARGE($M$5:$M$204,113),$M$5:$M$204,0)),"")</f>
        <v/>
      </c>
      <c r="C117" s="24" t="str">
        <f aca="false">IF(B117="","",COUNTIF(Veri!$B$5:$B$2004,B117))</f>
        <v/>
      </c>
      <c r="D117" s="23" t="str">
        <f aca="false">IF(B117="","",SUMIFS(Veri!$E$5:$E$2004,Veri!$B$5:$B$2004,B117))</f>
        <v/>
      </c>
      <c r="E117" s="31" t="str">
        <f aca="false">IF(B117="","",IF(SUM(Veri!$E$5:$E$2004)=0,0,D117/SUM(Veri!$E$5:$E$2004)))</f>
        <v/>
      </c>
      <c r="F117" s="31" t="str">
        <f aca="false">IF(B117="","",SUM(E$5:E117))</f>
        <v/>
      </c>
      <c r="G117" s="32" t="str">
        <f aca="false">IF(B117="","",IF(F116&lt;0.8,"A",IF(F116&lt;0.95,"B","C")))</f>
        <v/>
      </c>
      <c r="H117" s="23" t="str">
        <f aca="false">IF(OR(B117="",C117=0),"",D117/C117)</f>
        <v/>
      </c>
      <c r="I117" s="33" t="str">
        <f aca="false">IF(B117="","",SUMPRODUCT(MAX((Veri!$B$5:$B$2004=B117)*Veri!$A$5:$A$2004)))</f>
        <v/>
      </c>
      <c r="J117" s="16"/>
      <c r="K117" s="16" t="str">
        <f aca="false">IF(113&gt;MAX(Veri!$I$5:$I$2004),"",INDEX(Veri!$B$5:$B$2004,MATCH(113,Veri!$I$5:$I$2004,0)))</f>
        <v/>
      </c>
      <c r="L117" s="16" t="str">
        <f aca="false">IF(K117="","",SUMIFS(Veri!$E$5:$E$2004,Veri!$B$5:$B$2004,K117))</f>
        <v/>
      </c>
      <c r="M117" s="16" t="str">
        <f aca="false">IF(K117="","",L117+ROW()/1000000000)</f>
        <v/>
      </c>
      <c r="N117" s="16"/>
    </row>
    <row r="118" customFormat="false" ht="15" hidden="false" customHeight="false" outlineLevel="0" collapsed="false">
      <c r="A118" s="34" t="str">
        <f aca="false">IF(B118="","",114)</f>
        <v/>
      </c>
      <c r="B118" s="26" t="str">
        <f aca="false">IFERROR(INDEX($K$5:$K$204,MATCH(LARGE($M$5:$M$204,114),$M$5:$M$204,0)),"")</f>
        <v/>
      </c>
      <c r="C118" s="28" t="str">
        <f aca="false">IF(B118="","",COUNTIF(Veri!$B$5:$B$2004,B118))</f>
        <v/>
      </c>
      <c r="D118" s="27" t="str">
        <f aca="false">IF(B118="","",SUMIFS(Veri!$E$5:$E$2004,Veri!$B$5:$B$2004,B118))</f>
        <v/>
      </c>
      <c r="E118" s="35" t="str">
        <f aca="false">IF(B118="","",IF(SUM(Veri!$E$5:$E$2004)=0,0,D118/SUM(Veri!$E$5:$E$2004)))</f>
        <v/>
      </c>
      <c r="F118" s="35" t="str">
        <f aca="false">IF(B118="","",SUM(E$5:E118))</f>
        <v/>
      </c>
      <c r="G118" s="36" t="str">
        <f aca="false">IF(B118="","",IF(F117&lt;0.8,"A",IF(F117&lt;0.95,"B","C")))</f>
        <v/>
      </c>
      <c r="H118" s="27" t="str">
        <f aca="false">IF(OR(B118="",C118=0),"",D118/C118)</f>
        <v/>
      </c>
      <c r="I118" s="37" t="str">
        <f aca="false">IF(B118="","",SUMPRODUCT(MAX((Veri!$B$5:$B$2004=B118)*Veri!$A$5:$A$2004)))</f>
        <v/>
      </c>
      <c r="J118" s="26"/>
      <c r="K118" s="26" t="str">
        <f aca="false">IF(114&gt;MAX(Veri!$I$5:$I$2004),"",INDEX(Veri!$B$5:$B$2004,MATCH(114,Veri!$I$5:$I$2004,0)))</f>
        <v/>
      </c>
      <c r="L118" s="26" t="str">
        <f aca="false">IF(K118="","",SUMIFS(Veri!$E$5:$E$2004,Veri!$B$5:$B$2004,K118))</f>
        <v/>
      </c>
      <c r="M118" s="26" t="str">
        <f aca="false">IF(K118="","",L118+ROW()/1000000000)</f>
        <v/>
      </c>
      <c r="N118" s="26"/>
    </row>
    <row r="119" customFormat="false" ht="15" hidden="false" customHeight="false" outlineLevel="0" collapsed="false">
      <c r="A119" s="30" t="str">
        <f aca="false">IF(B119="","",115)</f>
        <v/>
      </c>
      <c r="B119" s="16" t="str">
        <f aca="false">IFERROR(INDEX($K$5:$K$204,MATCH(LARGE($M$5:$M$204,115),$M$5:$M$204,0)),"")</f>
        <v/>
      </c>
      <c r="C119" s="24" t="str">
        <f aca="false">IF(B119="","",COUNTIF(Veri!$B$5:$B$2004,B119))</f>
        <v/>
      </c>
      <c r="D119" s="23" t="str">
        <f aca="false">IF(B119="","",SUMIFS(Veri!$E$5:$E$2004,Veri!$B$5:$B$2004,B119))</f>
        <v/>
      </c>
      <c r="E119" s="31" t="str">
        <f aca="false">IF(B119="","",IF(SUM(Veri!$E$5:$E$2004)=0,0,D119/SUM(Veri!$E$5:$E$2004)))</f>
        <v/>
      </c>
      <c r="F119" s="31" t="str">
        <f aca="false">IF(B119="","",SUM(E$5:E119))</f>
        <v/>
      </c>
      <c r="G119" s="32" t="str">
        <f aca="false">IF(B119="","",IF(F118&lt;0.8,"A",IF(F118&lt;0.95,"B","C")))</f>
        <v/>
      </c>
      <c r="H119" s="23" t="str">
        <f aca="false">IF(OR(B119="",C119=0),"",D119/C119)</f>
        <v/>
      </c>
      <c r="I119" s="33" t="str">
        <f aca="false">IF(B119="","",SUMPRODUCT(MAX((Veri!$B$5:$B$2004=B119)*Veri!$A$5:$A$2004)))</f>
        <v/>
      </c>
      <c r="J119" s="16"/>
      <c r="K119" s="16" t="str">
        <f aca="false">IF(115&gt;MAX(Veri!$I$5:$I$2004),"",INDEX(Veri!$B$5:$B$2004,MATCH(115,Veri!$I$5:$I$2004,0)))</f>
        <v/>
      </c>
      <c r="L119" s="16" t="str">
        <f aca="false">IF(K119="","",SUMIFS(Veri!$E$5:$E$2004,Veri!$B$5:$B$2004,K119))</f>
        <v/>
      </c>
      <c r="M119" s="16" t="str">
        <f aca="false">IF(K119="","",L119+ROW()/1000000000)</f>
        <v/>
      </c>
      <c r="N119" s="16"/>
    </row>
    <row r="120" customFormat="false" ht="15" hidden="false" customHeight="false" outlineLevel="0" collapsed="false">
      <c r="A120" s="34" t="str">
        <f aca="false">IF(B120="","",116)</f>
        <v/>
      </c>
      <c r="B120" s="26" t="str">
        <f aca="false">IFERROR(INDEX($K$5:$K$204,MATCH(LARGE($M$5:$M$204,116),$M$5:$M$204,0)),"")</f>
        <v/>
      </c>
      <c r="C120" s="28" t="str">
        <f aca="false">IF(B120="","",COUNTIF(Veri!$B$5:$B$2004,B120))</f>
        <v/>
      </c>
      <c r="D120" s="27" t="str">
        <f aca="false">IF(B120="","",SUMIFS(Veri!$E$5:$E$2004,Veri!$B$5:$B$2004,B120))</f>
        <v/>
      </c>
      <c r="E120" s="35" t="str">
        <f aca="false">IF(B120="","",IF(SUM(Veri!$E$5:$E$2004)=0,0,D120/SUM(Veri!$E$5:$E$2004)))</f>
        <v/>
      </c>
      <c r="F120" s="35" t="str">
        <f aca="false">IF(B120="","",SUM(E$5:E120))</f>
        <v/>
      </c>
      <c r="G120" s="36" t="str">
        <f aca="false">IF(B120="","",IF(F119&lt;0.8,"A",IF(F119&lt;0.95,"B","C")))</f>
        <v/>
      </c>
      <c r="H120" s="27" t="str">
        <f aca="false">IF(OR(B120="",C120=0),"",D120/C120)</f>
        <v/>
      </c>
      <c r="I120" s="37" t="str">
        <f aca="false">IF(B120="","",SUMPRODUCT(MAX((Veri!$B$5:$B$2004=B120)*Veri!$A$5:$A$2004)))</f>
        <v/>
      </c>
      <c r="J120" s="26"/>
      <c r="K120" s="26" t="str">
        <f aca="false">IF(116&gt;MAX(Veri!$I$5:$I$2004),"",INDEX(Veri!$B$5:$B$2004,MATCH(116,Veri!$I$5:$I$2004,0)))</f>
        <v/>
      </c>
      <c r="L120" s="26" t="str">
        <f aca="false">IF(K120="","",SUMIFS(Veri!$E$5:$E$2004,Veri!$B$5:$B$2004,K120))</f>
        <v/>
      </c>
      <c r="M120" s="26" t="str">
        <f aca="false">IF(K120="","",L120+ROW()/1000000000)</f>
        <v/>
      </c>
      <c r="N120" s="26"/>
    </row>
    <row r="121" customFormat="false" ht="15" hidden="false" customHeight="false" outlineLevel="0" collapsed="false">
      <c r="A121" s="30" t="str">
        <f aca="false">IF(B121="","",117)</f>
        <v/>
      </c>
      <c r="B121" s="16" t="str">
        <f aca="false">IFERROR(INDEX($K$5:$K$204,MATCH(LARGE($M$5:$M$204,117),$M$5:$M$204,0)),"")</f>
        <v/>
      </c>
      <c r="C121" s="24" t="str">
        <f aca="false">IF(B121="","",COUNTIF(Veri!$B$5:$B$2004,B121))</f>
        <v/>
      </c>
      <c r="D121" s="23" t="str">
        <f aca="false">IF(B121="","",SUMIFS(Veri!$E$5:$E$2004,Veri!$B$5:$B$2004,B121))</f>
        <v/>
      </c>
      <c r="E121" s="31" t="str">
        <f aca="false">IF(B121="","",IF(SUM(Veri!$E$5:$E$2004)=0,0,D121/SUM(Veri!$E$5:$E$2004)))</f>
        <v/>
      </c>
      <c r="F121" s="31" t="str">
        <f aca="false">IF(B121="","",SUM(E$5:E121))</f>
        <v/>
      </c>
      <c r="G121" s="32" t="str">
        <f aca="false">IF(B121="","",IF(F120&lt;0.8,"A",IF(F120&lt;0.95,"B","C")))</f>
        <v/>
      </c>
      <c r="H121" s="23" t="str">
        <f aca="false">IF(OR(B121="",C121=0),"",D121/C121)</f>
        <v/>
      </c>
      <c r="I121" s="33" t="str">
        <f aca="false">IF(B121="","",SUMPRODUCT(MAX((Veri!$B$5:$B$2004=B121)*Veri!$A$5:$A$2004)))</f>
        <v/>
      </c>
      <c r="J121" s="16"/>
      <c r="K121" s="16" t="str">
        <f aca="false">IF(117&gt;MAX(Veri!$I$5:$I$2004),"",INDEX(Veri!$B$5:$B$2004,MATCH(117,Veri!$I$5:$I$2004,0)))</f>
        <v/>
      </c>
      <c r="L121" s="16" t="str">
        <f aca="false">IF(K121="","",SUMIFS(Veri!$E$5:$E$2004,Veri!$B$5:$B$2004,K121))</f>
        <v/>
      </c>
      <c r="M121" s="16" t="str">
        <f aca="false">IF(K121="","",L121+ROW()/1000000000)</f>
        <v/>
      </c>
      <c r="N121" s="16"/>
    </row>
    <row r="122" customFormat="false" ht="15" hidden="false" customHeight="false" outlineLevel="0" collapsed="false">
      <c r="A122" s="34" t="str">
        <f aca="false">IF(B122="","",118)</f>
        <v/>
      </c>
      <c r="B122" s="26" t="str">
        <f aca="false">IFERROR(INDEX($K$5:$K$204,MATCH(LARGE($M$5:$M$204,118),$M$5:$M$204,0)),"")</f>
        <v/>
      </c>
      <c r="C122" s="28" t="str">
        <f aca="false">IF(B122="","",COUNTIF(Veri!$B$5:$B$2004,B122))</f>
        <v/>
      </c>
      <c r="D122" s="27" t="str">
        <f aca="false">IF(B122="","",SUMIFS(Veri!$E$5:$E$2004,Veri!$B$5:$B$2004,B122))</f>
        <v/>
      </c>
      <c r="E122" s="35" t="str">
        <f aca="false">IF(B122="","",IF(SUM(Veri!$E$5:$E$2004)=0,0,D122/SUM(Veri!$E$5:$E$2004)))</f>
        <v/>
      </c>
      <c r="F122" s="35" t="str">
        <f aca="false">IF(B122="","",SUM(E$5:E122))</f>
        <v/>
      </c>
      <c r="G122" s="36" t="str">
        <f aca="false">IF(B122="","",IF(F121&lt;0.8,"A",IF(F121&lt;0.95,"B","C")))</f>
        <v/>
      </c>
      <c r="H122" s="27" t="str">
        <f aca="false">IF(OR(B122="",C122=0),"",D122/C122)</f>
        <v/>
      </c>
      <c r="I122" s="37" t="str">
        <f aca="false">IF(B122="","",SUMPRODUCT(MAX((Veri!$B$5:$B$2004=B122)*Veri!$A$5:$A$2004)))</f>
        <v/>
      </c>
      <c r="J122" s="26"/>
      <c r="K122" s="26" t="str">
        <f aca="false">IF(118&gt;MAX(Veri!$I$5:$I$2004),"",INDEX(Veri!$B$5:$B$2004,MATCH(118,Veri!$I$5:$I$2004,0)))</f>
        <v/>
      </c>
      <c r="L122" s="26" t="str">
        <f aca="false">IF(K122="","",SUMIFS(Veri!$E$5:$E$2004,Veri!$B$5:$B$2004,K122))</f>
        <v/>
      </c>
      <c r="M122" s="26" t="str">
        <f aca="false">IF(K122="","",L122+ROW()/1000000000)</f>
        <v/>
      </c>
      <c r="N122" s="26"/>
    </row>
    <row r="123" customFormat="false" ht="15" hidden="false" customHeight="false" outlineLevel="0" collapsed="false">
      <c r="A123" s="30" t="str">
        <f aca="false">IF(B123="","",119)</f>
        <v/>
      </c>
      <c r="B123" s="16" t="str">
        <f aca="false">IFERROR(INDEX($K$5:$K$204,MATCH(LARGE($M$5:$M$204,119),$M$5:$M$204,0)),"")</f>
        <v/>
      </c>
      <c r="C123" s="24" t="str">
        <f aca="false">IF(B123="","",COUNTIF(Veri!$B$5:$B$2004,B123))</f>
        <v/>
      </c>
      <c r="D123" s="23" t="str">
        <f aca="false">IF(B123="","",SUMIFS(Veri!$E$5:$E$2004,Veri!$B$5:$B$2004,B123))</f>
        <v/>
      </c>
      <c r="E123" s="31" t="str">
        <f aca="false">IF(B123="","",IF(SUM(Veri!$E$5:$E$2004)=0,0,D123/SUM(Veri!$E$5:$E$2004)))</f>
        <v/>
      </c>
      <c r="F123" s="31" t="str">
        <f aca="false">IF(B123="","",SUM(E$5:E123))</f>
        <v/>
      </c>
      <c r="G123" s="32" t="str">
        <f aca="false">IF(B123="","",IF(F122&lt;0.8,"A",IF(F122&lt;0.95,"B","C")))</f>
        <v/>
      </c>
      <c r="H123" s="23" t="str">
        <f aca="false">IF(OR(B123="",C123=0),"",D123/C123)</f>
        <v/>
      </c>
      <c r="I123" s="33" t="str">
        <f aca="false">IF(B123="","",SUMPRODUCT(MAX((Veri!$B$5:$B$2004=B123)*Veri!$A$5:$A$2004)))</f>
        <v/>
      </c>
      <c r="J123" s="16"/>
      <c r="K123" s="16" t="str">
        <f aca="false">IF(119&gt;MAX(Veri!$I$5:$I$2004),"",INDEX(Veri!$B$5:$B$2004,MATCH(119,Veri!$I$5:$I$2004,0)))</f>
        <v/>
      </c>
      <c r="L123" s="16" t="str">
        <f aca="false">IF(K123="","",SUMIFS(Veri!$E$5:$E$2004,Veri!$B$5:$B$2004,K123))</f>
        <v/>
      </c>
      <c r="M123" s="16" t="str">
        <f aca="false">IF(K123="","",L123+ROW()/1000000000)</f>
        <v/>
      </c>
      <c r="N123" s="16"/>
    </row>
    <row r="124" customFormat="false" ht="15" hidden="false" customHeight="false" outlineLevel="0" collapsed="false">
      <c r="A124" s="34" t="str">
        <f aca="false">IF(B124="","",120)</f>
        <v/>
      </c>
      <c r="B124" s="26" t="str">
        <f aca="false">IFERROR(INDEX($K$5:$K$204,MATCH(LARGE($M$5:$M$204,120),$M$5:$M$204,0)),"")</f>
        <v/>
      </c>
      <c r="C124" s="28" t="str">
        <f aca="false">IF(B124="","",COUNTIF(Veri!$B$5:$B$2004,B124))</f>
        <v/>
      </c>
      <c r="D124" s="27" t="str">
        <f aca="false">IF(B124="","",SUMIFS(Veri!$E$5:$E$2004,Veri!$B$5:$B$2004,B124))</f>
        <v/>
      </c>
      <c r="E124" s="35" t="str">
        <f aca="false">IF(B124="","",IF(SUM(Veri!$E$5:$E$2004)=0,0,D124/SUM(Veri!$E$5:$E$2004)))</f>
        <v/>
      </c>
      <c r="F124" s="35" t="str">
        <f aca="false">IF(B124="","",SUM(E$5:E124))</f>
        <v/>
      </c>
      <c r="G124" s="36" t="str">
        <f aca="false">IF(B124="","",IF(F123&lt;0.8,"A",IF(F123&lt;0.95,"B","C")))</f>
        <v/>
      </c>
      <c r="H124" s="27" t="str">
        <f aca="false">IF(OR(B124="",C124=0),"",D124/C124)</f>
        <v/>
      </c>
      <c r="I124" s="37" t="str">
        <f aca="false">IF(B124="","",SUMPRODUCT(MAX((Veri!$B$5:$B$2004=B124)*Veri!$A$5:$A$2004)))</f>
        <v/>
      </c>
      <c r="J124" s="26"/>
      <c r="K124" s="26" t="str">
        <f aca="false">IF(120&gt;MAX(Veri!$I$5:$I$2004),"",INDEX(Veri!$B$5:$B$2004,MATCH(120,Veri!$I$5:$I$2004,0)))</f>
        <v/>
      </c>
      <c r="L124" s="26" t="str">
        <f aca="false">IF(K124="","",SUMIFS(Veri!$E$5:$E$2004,Veri!$B$5:$B$2004,K124))</f>
        <v/>
      </c>
      <c r="M124" s="26" t="str">
        <f aca="false">IF(K124="","",L124+ROW()/1000000000)</f>
        <v/>
      </c>
      <c r="N124" s="26"/>
    </row>
    <row r="125" customFormat="false" ht="15" hidden="false" customHeight="false" outlineLevel="0" collapsed="false">
      <c r="A125" s="30" t="str">
        <f aca="false">IF(B125="","",121)</f>
        <v/>
      </c>
      <c r="B125" s="16" t="str">
        <f aca="false">IFERROR(INDEX($K$5:$K$204,MATCH(LARGE($M$5:$M$204,121),$M$5:$M$204,0)),"")</f>
        <v/>
      </c>
      <c r="C125" s="24" t="str">
        <f aca="false">IF(B125="","",COUNTIF(Veri!$B$5:$B$2004,B125))</f>
        <v/>
      </c>
      <c r="D125" s="23" t="str">
        <f aca="false">IF(B125="","",SUMIFS(Veri!$E$5:$E$2004,Veri!$B$5:$B$2004,B125))</f>
        <v/>
      </c>
      <c r="E125" s="31" t="str">
        <f aca="false">IF(B125="","",IF(SUM(Veri!$E$5:$E$2004)=0,0,D125/SUM(Veri!$E$5:$E$2004)))</f>
        <v/>
      </c>
      <c r="F125" s="31" t="str">
        <f aca="false">IF(B125="","",SUM(E$5:E125))</f>
        <v/>
      </c>
      <c r="G125" s="32" t="str">
        <f aca="false">IF(B125="","",IF(F124&lt;0.8,"A",IF(F124&lt;0.95,"B","C")))</f>
        <v/>
      </c>
      <c r="H125" s="23" t="str">
        <f aca="false">IF(OR(B125="",C125=0),"",D125/C125)</f>
        <v/>
      </c>
      <c r="I125" s="33" t="str">
        <f aca="false">IF(B125="","",SUMPRODUCT(MAX((Veri!$B$5:$B$2004=B125)*Veri!$A$5:$A$2004)))</f>
        <v/>
      </c>
      <c r="J125" s="16"/>
      <c r="K125" s="16" t="str">
        <f aca="false">IF(121&gt;MAX(Veri!$I$5:$I$2004),"",INDEX(Veri!$B$5:$B$2004,MATCH(121,Veri!$I$5:$I$2004,0)))</f>
        <v/>
      </c>
      <c r="L125" s="16" t="str">
        <f aca="false">IF(K125="","",SUMIFS(Veri!$E$5:$E$2004,Veri!$B$5:$B$2004,K125))</f>
        <v/>
      </c>
      <c r="M125" s="16" t="str">
        <f aca="false">IF(K125="","",L125+ROW()/1000000000)</f>
        <v/>
      </c>
      <c r="N125" s="16"/>
    </row>
    <row r="126" customFormat="false" ht="15" hidden="false" customHeight="false" outlineLevel="0" collapsed="false">
      <c r="A126" s="34" t="str">
        <f aca="false">IF(B126="","",122)</f>
        <v/>
      </c>
      <c r="B126" s="26" t="str">
        <f aca="false">IFERROR(INDEX($K$5:$K$204,MATCH(LARGE($M$5:$M$204,122),$M$5:$M$204,0)),"")</f>
        <v/>
      </c>
      <c r="C126" s="28" t="str">
        <f aca="false">IF(B126="","",COUNTIF(Veri!$B$5:$B$2004,B126))</f>
        <v/>
      </c>
      <c r="D126" s="27" t="str">
        <f aca="false">IF(B126="","",SUMIFS(Veri!$E$5:$E$2004,Veri!$B$5:$B$2004,B126))</f>
        <v/>
      </c>
      <c r="E126" s="35" t="str">
        <f aca="false">IF(B126="","",IF(SUM(Veri!$E$5:$E$2004)=0,0,D126/SUM(Veri!$E$5:$E$2004)))</f>
        <v/>
      </c>
      <c r="F126" s="35" t="str">
        <f aca="false">IF(B126="","",SUM(E$5:E126))</f>
        <v/>
      </c>
      <c r="G126" s="36" t="str">
        <f aca="false">IF(B126="","",IF(F125&lt;0.8,"A",IF(F125&lt;0.95,"B","C")))</f>
        <v/>
      </c>
      <c r="H126" s="27" t="str">
        <f aca="false">IF(OR(B126="",C126=0),"",D126/C126)</f>
        <v/>
      </c>
      <c r="I126" s="37" t="str">
        <f aca="false">IF(B126="","",SUMPRODUCT(MAX((Veri!$B$5:$B$2004=B126)*Veri!$A$5:$A$2004)))</f>
        <v/>
      </c>
      <c r="J126" s="26"/>
      <c r="K126" s="26" t="str">
        <f aca="false">IF(122&gt;MAX(Veri!$I$5:$I$2004),"",INDEX(Veri!$B$5:$B$2004,MATCH(122,Veri!$I$5:$I$2004,0)))</f>
        <v/>
      </c>
      <c r="L126" s="26" t="str">
        <f aca="false">IF(K126="","",SUMIFS(Veri!$E$5:$E$2004,Veri!$B$5:$B$2004,K126))</f>
        <v/>
      </c>
      <c r="M126" s="26" t="str">
        <f aca="false">IF(K126="","",L126+ROW()/1000000000)</f>
        <v/>
      </c>
      <c r="N126" s="26"/>
    </row>
    <row r="127" customFormat="false" ht="15" hidden="false" customHeight="false" outlineLevel="0" collapsed="false">
      <c r="A127" s="30" t="str">
        <f aca="false">IF(B127="","",123)</f>
        <v/>
      </c>
      <c r="B127" s="16" t="str">
        <f aca="false">IFERROR(INDEX($K$5:$K$204,MATCH(LARGE($M$5:$M$204,123),$M$5:$M$204,0)),"")</f>
        <v/>
      </c>
      <c r="C127" s="24" t="str">
        <f aca="false">IF(B127="","",COUNTIF(Veri!$B$5:$B$2004,B127))</f>
        <v/>
      </c>
      <c r="D127" s="23" t="str">
        <f aca="false">IF(B127="","",SUMIFS(Veri!$E$5:$E$2004,Veri!$B$5:$B$2004,B127))</f>
        <v/>
      </c>
      <c r="E127" s="31" t="str">
        <f aca="false">IF(B127="","",IF(SUM(Veri!$E$5:$E$2004)=0,0,D127/SUM(Veri!$E$5:$E$2004)))</f>
        <v/>
      </c>
      <c r="F127" s="31" t="str">
        <f aca="false">IF(B127="","",SUM(E$5:E127))</f>
        <v/>
      </c>
      <c r="G127" s="32" t="str">
        <f aca="false">IF(B127="","",IF(F126&lt;0.8,"A",IF(F126&lt;0.95,"B","C")))</f>
        <v/>
      </c>
      <c r="H127" s="23" t="str">
        <f aca="false">IF(OR(B127="",C127=0),"",D127/C127)</f>
        <v/>
      </c>
      <c r="I127" s="33" t="str">
        <f aca="false">IF(B127="","",SUMPRODUCT(MAX((Veri!$B$5:$B$2004=B127)*Veri!$A$5:$A$2004)))</f>
        <v/>
      </c>
      <c r="J127" s="16"/>
      <c r="K127" s="16" t="str">
        <f aca="false">IF(123&gt;MAX(Veri!$I$5:$I$2004),"",INDEX(Veri!$B$5:$B$2004,MATCH(123,Veri!$I$5:$I$2004,0)))</f>
        <v/>
      </c>
      <c r="L127" s="16" t="str">
        <f aca="false">IF(K127="","",SUMIFS(Veri!$E$5:$E$2004,Veri!$B$5:$B$2004,K127))</f>
        <v/>
      </c>
      <c r="M127" s="16" t="str">
        <f aca="false">IF(K127="","",L127+ROW()/1000000000)</f>
        <v/>
      </c>
      <c r="N127" s="16"/>
    </row>
    <row r="128" customFormat="false" ht="15" hidden="false" customHeight="false" outlineLevel="0" collapsed="false">
      <c r="A128" s="34" t="str">
        <f aca="false">IF(B128="","",124)</f>
        <v/>
      </c>
      <c r="B128" s="26" t="str">
        <f aca="false">IFERROR(INDEX($K$5:$K$204,MATCH(LARGE($M$5:$M$204,124),$M$5:$M$204,0)),"")</f>
        <v/>
      </c>
      <c r="C128" s="28" t="str">
        <f aca="false">IF(B128="","",COUNTIF(Veri!$B$5:$B$2004,B128))</f>
        <v/>
      </c>
      <c r="D128" s="27" t="str">
        <f aca="false">IF(B128="","",SUMIFS(Veri!$E$5:$E$2004,Veri!$B$5:$B$2004,B128))</f>
        <v/>
      </c>
      <c r="E128" s="35" t="str">
        <f aca="false">IF(B128="","",IF(SUM(Veri!$E$5:$E$2004)=0,0,D128/SUM(Veri!$E$5:$E$2004)))</f>
        <v/>
      </c>
      <c r="F128" s="35" t="str">
        <f aca="false">IF(B128="","",SUM(E$5:E128))</f>
        <v/>
      </c>
      <c r="G128" s="36" t="str">
        <f aca="false">IF(B128="","",IF(F127&lt;0.8,"A",IF(F127&lt;0.95,"B","C")))</f>
        <v/>
      </c>
      <c r="H128" s="27" t="str">
        <f aca="false">IF(OR(B128="",C128=0),"",D128/C128)</f>
        <v/>
      </c>
      <c r="I128" s="37" t="str">
        <f aca="false">IF(B128="","",SUMPRODUCT(MAX((Veri!$B$5:$B$2004=B128)*Veri!$A$5:$A$2004)))</f>
        <v/>
      </c>
      <c r="J128" s="26"/>
      <c r="K128" s="26" t="str">
        <f aca="false">IF(124&gt;MAX(Veri!$I$5:$I$2004),"",INDEX(Veri!$B$5:$B$2004,MATCH(124,Veri!$I$5:$I$2004,0)))</f>
        <v/>
      </c>
      <c r="L128" s="26" t="str">
        <f aca="false">IF(K128="","",SUMIFS(Veri!$E$5:$E$2004,Veri!$B$5:$B$2004,K128))</f>
        <v/>
      </c>
      <c r="M128" s="26" t="str">
        <f aca="false">IF(K128="","",L128+ROW()/1000000000)</f>
        <v/>
      </c>
      <c r="N128" s="26"/>
    </row>
    <row r="129" customFormat="false" ht="15" hidden="false" customHeight="false" outlineLevel="0" collapsed="false">
      <c r="A129" s="30" t="str">
        <f aca="false">IF(B129="","",125)</f>
        <v/>
      </c>
      <c r="B129" s="16" t="str">
        <f aca="false">IFERROR(INDEX($K$5:$K$204,MATCH(LARGE($M$5:$M$204,125),$M$5:$M$204,0)),"")</f>
        <v/>
      </c>
      <c r="C129" s="24" t="str">
        <f aca="false">IF(B129="","",COUNTIF(Veri!$B$5:$B$2004,B129))</f>
        <v/>
      </c>
      <c r="D129" s="23" t="str">
        <f aca="false">IF(B129="","",SUMIFS(Veri!$E$5:$E$2004,Veri!$B$5:$B$2004,B129))</f>
        <v/>
      </c>
      <c r="E129" s="31" t="str">
        <f aca="false">IF(B129="","",IF(SUM(Veri!$E$5:$E$2004)=0,0,D129/SUM(Veri!$E$5:$E$2004)))</f>
        <v/>
      </c>
      <c r="F129" s="31" t="str">
        <f aca="false">IF(B129="","",SUM(E$5:E129))</f>
        <v/>
      </c>
      <c r="G129" s="32" t="str">
        <f aca="false">IF(B129="","",IF(F128&lt;0.8,"A",IF(F128&lt;0.95,"B","C")))</f>
        <v/>
      </c>
      <c r="H129" s="23" t="str">
        <f aca="false">IF(OR(B129="",C129=0),"",D129/C129)</f>
        <v/>
      </c>
      <c r="I129" s="33" t="str">
        <f aca="false">IF(B129="","",SUMPRODUCT(MAX((Veri!$B$5:$B$2004=B129)*Veri!$A$5:$A$2004)))</f>
        <v/>
      </c>
      <c r="J129" s="16"/>
      <c r="K129" s="16" t="str">
        <f aca="false">IF(125&gt;MAX(Veri!$I$5:$I$2004),"",INDEX(Veri!$B$5:$B$2004,MATCH(125,Veri!$I$5:$I$2004,0)))</f>
        <v/>
      </c>
      <c r="L129" s="16" t="str">
        <f aca="false">IF(K129="","",SUMIFS(Veri!$E$5:$E$2004,Veri!$B$5:$B$2004,K129))</f>
        <v/>
      </c>
      <c r="M129" s="16" t="str">
        <f aca="false">IF(K129="","",L129+ROW()/1000000000)</f>
        <v/>
      </c>
      <c r="N129" s="16"/>
    </row>
    <row r="130" customFormat="false" ht="15" hidden="false" customHeight="false" outlineLevel="0" collapsed="false">
      <c r="A130" s="34" t="str">
        <f aca="false">IF(B130="","",126)</f>
        <v/>
      </c>
      <c r="B130" s="26" t="str">
        <f aca="false">IFERROR(INDEX($K$5:$K$204,MATCH(LARGE($M$5:$M$204,126),$M$5:$M$204,0)),"")</f>
        <v/>
      </c>
      <c r="C130" s="28" t="str">
        <f aca="false">IF(B130="","",COUNTIF(Veri!$B$5:$B$2004,B130))</f>
        <v/>
      </c>
      <c r="D130" s="27" t="str">
        <f aca="false">IF(B130="","",SUMIFS(Veri!$E$5:$E$2004,Veri!$B$5:$B$2004,B130))</f>
        <v/>
      </c>
      <c r="E130" s="35" t="str">
        <f aca="false">IF(B130="","",IF(SUM(Veri!$E$5:$E$2004)=0,0,D130/SUM(Veri!$E$5:$E$2004)))</f>
        <v/>
      </c>
      <c r="F130" s="35" t="str">
        <f aca="false">IF(B130="","",SUM(E$5:E130))</f>
        <v/>
      </c>
      <c r="G130" s="36" t="str">
        <f aca="false">IF(B130="","",IF(F129&lt;0.8,"A",IF(F129&lt;0.95,"B","C")))</f>
        <v/>
      </c>
      <c r="H130" s="27" t="str">
        <f aca="false">IF(OR(B130="",C130=0),"",D130/C130)</f>
        <v/>
      </c>
      <c r="I130" s="37" t="str">
        <f aca="false">IF(B130="","",SUMPRODUCT(MAX((Veri!$B$5:$B$2004=B130)*Veri!$A$5:$A$2004)))</f>
        <v/>
      </c>
      <c r="J130" s="26"/>
      <c r="K130" s="26" t="str">
        <f aca="false">IF(126&gt;MAX(Veri!$I$5:$I$2004),"",INDEX(Veri!$B$5:$B$2004,MATCH(126,Veri!$I$5:$I$2004,0)))</f>
        <v/>
      </c>
      <c r="L130" s="26" t="str">
        <f aca="false">IF(K130="","",SUMIFS(Veri!$E$5:$E$2004,Veri!$B$5:$B$2004,K130))</f>
        <v/>
      </c>
      <c r="M130" s="26" t="str">
        <f aca="false">IF(K130="","",L130+ROW()/1000000000)</f>
        <v/>
      </c>
      <c r="N130" s="26"/>
    </row>
    <row r="131" customFormat="false" ht="15" hidden="false" customHeight="false" outlineLevel="0" collapsed="false">
      <c r="A131" s="30" t="str">
        <f aca="false">IF(B131="","",127)</f>
        <v/>
      </c>
      <c r="B131" s="16" t="str">
        <f aca="false">IFERROR(INDEX($K$5:$K$204,MATCH(LARGE($M$5:$M$204,127),$M$5:$M$204,0)),"")</f>
        <v/>
      </c>
      <c r="C131" s="24" t="str">
        <f aca="false">IF(B131="","",COUNTIF(Veri!$B$5:$B$2004,B131))</f>
        <v/>
      </c>
      <c r="D131" s="23" t="str">
        <f aca="false">IF(B131="","",SUMIFS(Veri!$E$5:$E$2004,Veri!$B$5:$B$2004,B131))</f>
        <v/>
      </c>
      <c r="E131" s="31" t="str">
        <f aca="false">IF(B131="","",IF(SUM(Veri!$E$5:$E$2004)=0,0,D131/SUM(Veri!$E$5:$E$2004)))</f>
        <v/>
      </c>
      <c r="F131" s="31" t="str">
        <f aca="false">IF(B131="","",SUM(E$5:E131))</f>
        <v/>
      </c>
      <c r="G131" s="32" t="str">
        <f aca="false">IF(B131="","",IF(F130&lt;0.8,"A",IF(F130&lt;0.95,"B","C")))</f>
        <v/>
      </c>
      <c r="H131" s="23" t="str">
        <f aca="false">IF(OR(B131="",C131=0),"",D131/C131)</f>
        <v/>
      </c>
      <c r="I131" s="33" t="str">
        <f aca="false">IF(B131="","",SUMPRODUCT(MAX((Veri!$B$5:$B$2004=B131)*Veri!$A$5:$A$2004)))</f>
        <v/>
      </c>
      <c r="J131" s="16"/>
      <c r="K131" s="16" t="str">
        <f aca="false">IF(127&gt;MAX(Veri!$I$5:$I$2004),"",INDEX(Veri!$B$5:$B$2004,MATCH(127,Veri!$I$5:$I$2004,0)))</f>
        <v/>
      </c>
      <c r="L131" s="16" t="str">
        <f aca="false">IF(K131="","",SUMIFS(Veri!$E$5:$E$2004,Veri!$B$5:$B$2004,K131))</f>
        <v/>
      </c>
      <c r="M131" s="16" t="str">
        <f aca="false">IF(K131="","",L131+ROW()/1000000000)</f>
        <v/>
      </c>
      <c r="N131" s="16"/>
    </row>
    <row r="132" customFormat="false" ht="15" hidden="false" customHeight="false" outlineLevel="0" collapsed="false">
      <c r="A132" s="34" t="str">
        <f aca="false">IF(B132="","",128)</f>
        <v/>
      </c>
      <c r="B132" s="26" t="str">
        <f aca="false">IFERROR(INDEX($K$5:$K$204,MATCH(LARGE($M$5:$M$204,128),$M$5:$M$204,0)),"")</f>
        <v/>
      </c>
      <c r="C132" s="28" t="str">
        <f aca="false">IF(B132="","",COUNTIF(Veri!$B$5:$B$2004,B132))</f>
        <v/>
      </c>
      <c r="D132" s="27" t="str">
        <f aca="false">IF(B132="","",SUMIFS(Veri!$E$5:$E$2004,Veri!$B$5:$B$2004,B132))</f>
        <v/>
      </c>
      <c r="E132" s="35" t="str">
        <f aca="false">IF(B132="","",IF(SUM(Veri!$E$5:$E$2004)=0,0,D132/SUM(Veri!$E$5:$E$2004)))</f>
        <v/>
      </c>
      <c r="F132" s="35" t="str">
        <f aca="false">IF(B132="","",SUM(E$5:E132))</f>
        <v/>
      </c>
      <c r="G132" s="36" t="str">
        <f aca="false">IF(B132="","",IF(F131&lt;0.8,"A",IF(F131&lt;0.95,"B","C")))</f>
        <v/>
      </c>
      <c r="H132" s="27" t="str">
        <f aca="false">IF(OR(B132="",C132=0),"",D132/C132)</f>
        <v/>
      </c>
      <c r="I132" s="37" t="str">
        <f aca="false">IF(B132="","",SUMPRODUCT(MAX((Veri!$B$5:$B$2004=B132)*Veri!$A$5:$A$2004)))</f>
        <v/>
      </c>
      <c r="J132" s="26"/>
      <c r="K132" s="26" t="str">
        <f aca="false">IF(128&gt;MAX(Veri!$I$5:$I$2004),"",INDEX(Veri!$B$5:$B$2004,MATCH(128,Veri!$I$5:$I$2004,0)))</f>
        <v/>
      </c>
      <c r="L132" s="26" t="str">
        <f aca="false">IF(K132="","",SUMIFS(Veri!$E$5:$E$2004,Veri!$B$5:$B$2004,K132))</f>
        <v/>
      </c>
      <c r="M132" s="26" t="str">
        <f aca="false">IF(K132="","",L132+ROW()/1000000000)</f>
        <v/>
      </c>
      <c r="N132" s="26"/>
    </row>
    <row r="133" customFormat="false" ht="15" hidden="false" customHeight="false" outlineLevel="0" collapsed="false">
      <c r="A133" s="30" t="str">
        <f aca="false">IF(B133="","",129)</f>
        <v/>
      </c>
      <c r="B133" s="16" t="str">
        <f aca="false">IFERROR(INDEX($K$5:$K$204,MATCH(LARGE($M$5:$M$204,129),$M$5:$M$204,0)),"")</f>
        <v/>
      </c>
      <c r="C133" s="24" t="str">
        <f aca="false">IF(B133="","",COUNTIF(Veri!$B$5:$B$2004,B133))</f>
        <v/>
      </c>
      <c r="D133" s="23" t="str">
        <f aca="false">IF(B133="","",SUMIFS(Veri!$E$5:$E$2004,Veri!$B$5:$B$2004,B133))</f>
        <v/>
      </c>
      <c r="E133" s="31" t="str">
        <f aca="false">IF(B133="","",IF(SUM(Veri!$E$5:$E$2004)=0,0,D133/SUM(Veri!$E$5:$E$2004)))</f>
        <v/>
      </c>
      <c r="F133" s="31" t="str">
        <f aca="false">IF(B133="","",SUM(E$5:E133))</f>
        <v/>
      </c>
      <c r="G133" s="32" t="str">
        <f aca="false">IF(B133="","",IF(F132&lt;0.8,"A",IF(F132&lt;0.95,"B","C")))</f>
        <v/>
      </c>
      <c r="H133" s="23" t="str">
        <f aca="false">IF(OR(B133="",C133=0),"",D133/C133)</f>
        <v/>
      </c>
      <c r="I133" s="33" t="str">
        <f aca="false">IF(B133="","",SUMPRODUCT(MAX((Veri!$B$5:$B$2004=B133)*Veri!$A$5:$A$2004)))</f>
        <v/>
      </c>
      <c r="J133" s="16"/>
      <c r="K133" s="16" t="str">
        <f aca="false">IF(129&gt;MAX(Veri!$I$5:$I$2004),"",INDEX(Veri!$B$5:$B$2004,MATCH(129,Veri!$I$5:$I$2004,0)))</f>
        <v/>
      </c>
      <c r="L133" s="16" t="str">
        <f aca="false">IF(K133="","",SUMIFS(Veri!$E$5:$E$2004,Veri!$B$5:$B$2004,K133))</f>
        <v/>
      </c>
      <c r="M133" s="16" t="str">
        <f aca="false">IF(K133="","",L133+ROW()/1000000000)</f>
        <v/>
      </c>
      <c r="N133" s="16"/>
    </row>
    <row r="134" customFormat="false" ht="15" hidden="false" customHeight="false" outlineLevel="0" collapsed="false">
      <c r="A134" s="34" t="str">
        <f aca="false">IF(B134="","",130)</f>
        <v/>
      </c>
      <c r="B134" s="26" t="str">
        <f aca="false">IFERROR(INDEX($K$5:$K$204,MATCH(LARGE($M$5:$M$204,130),$M$5:$M$204,0)),"")</f>
        <v/>
      </c>
      <c r="C134" s="28" t="str">
        <f aca="false">IF(B134="","",COUNTIF(Veri!$B$5:$B$2004,B134))</f>
        <v/>
      </c>
      <c r="D134" s="27" t="str">
        <f aca="false">IF(B134="","",SUMIFS(Veri!$E$5:$E$2004,Veri!$B$5:$B$2004,B134))</f>
        <v/>
      </c>
      <c r="E134" s="35" t="str">
        <f aca="false">IF(B134="","",IF(SUM(Veri!$E$5:$E$2004)=0,0,D134/SUM(Veri!$E$5:$E$2004)))</f>
        <v/>
      </c>
      <c r="F134" s="35" t="str">
        <f aca="false">IF(B134="","",SUM(E$5:E134))</f>
        <v/>
      </c>
      <c r="G134" s="36" t="str">
        <f aca="false">IF(B134="","",IF(F133&lt;0.8,"A",IF(F133&lt;0.95,"B","C")))</f>
        <v/>
      </c>
      <c r="H134" s="27" t="str">
        <f aca="false">IF(OR(B134="",C134=0),"",D134/C134)</f>
        <v/>
      </c>
      <c r="I134" s="37" t="str">
        <f aca="false">IF(B134="","",SUMPRODUCT(MAX((Veri!$B$5:$B$2004=B134)*Veri!$A$5:$A$2004)))</f>
        <v/>
      </c>
      <c r="J134" s="26"/>
      <c r="K134" s="26" t="str">
        <f aca="false">IF(130&gt;MAX(Veri!$I$5:$I$2004),"",INDEX(Veri!$B$5:$B$2004,MATCH(130,Veri!$I$5:$I$2004,0)))</f>
        <v/>
      </c>
      <c r="L134" s="26" t="str">
        <f aca="false">IF(K134="","",SUMIFS(Veri!$E$5:$E$2004,Veri!$B$5:$B$2004,K134))</f>
        <v/>
      </c>
      <c r="M134" s="26" t="str">
        <f aca="false">IF(K134="","",L134+ROW()/1000000000)</f>
        <v/>
      </c>
      <c r="N134" s="26"/>
    </row>
    <row r="135" customFormat="false" ht="15" hidden="false" customHeight="false" outlineLevel="0" collapsed="false">
      <c r="A135" s="30" t="str">
        <f aca="false">IF(B135="","",131)</f>
        <v/>
      </c>
      <c r="B135" s="16" t="str">
        <f aca="false">IFERROR(INDEX($K$5:$K$204,MATCH(LARGE($M$5:$M$204,131),$M$5:$M$204,0)),"")</f>
        <v/>
      </c>
      <c r="C135" s="24" t="str">
        <f aca="false">IF(B135="","",COUNTIF(Veri!$B$5:$B$2004,B135))</f>
        <v/>
      </c>
      <c r="D135" s="23" t="str">
        <f aca="false">IF(B135="","",SUMIFS(Veri!$E$5:$E$2004,Veri!$B$5:$B$2004,B135))</f>
        <v/>
      </c>
      <c r="E135" s="31" t="str">
        <f aca="false">IF(B135="","",IF(SUM(Veri!$E$5:$E$2004)=0,0,D135/SUM(Veri!$E$5:$E$2004)))</f>
        <v/>
      </c>
      <c r="F135" s="31" t="str">
        <f aca="false">IF(B135="","",SUM(E$5:E135))</f>
        <v/>
      </c>
      <c r="G135" s="32" t="str">
        <f aca="false">IF(B135="","",IF(F134&lt;0.8,"A",IF(F134&lt;0.95,"B","C")))</f>
        <v/>
      </c>
      <c r="H135" s="23" t="str">
        <f aca="false">IF(OR(B135="",C135=0),"",D135/C135)</f>
        <v/>
      </c>
      <c r="I135" s="33" t="str">
        <f aca="false">IF(B135="","",SUMPRODUCT(MAX((Veri!$B$5:$B$2004=B135)*Veri!$A$5:$A$2004)))</f>
        <v/>
      </c>
      <c r="J135" s="16"/>
      <c r="K135" s="16" t="str">
        <f aca="false">IF(131&gt;MAX(Veri!$I$5:$I$2004),"",INDEX(Veri!$B$5:$B$2004,MATCH(131,Veri!$I$5:$I$2004,0)))</f>
        <v/>
      </c>
      <c r="L135" s="16" t="str">
        <f aca="false">IF(K135="","",SUMIFS(Veri!$E$5:$E$2004,Veri!$B$5:$B$2004,K135))</f>
        <v/>
      </c>
      <c r="M135" s="16" t="str">
        <f aca="false">IF(K135="","",L135+ROW()/1000000000)</f>
        <v/>
      </c>
      <c r="N135" s="16"/>
    </row>
    <row r="136" customFormat="false" ht="15" hidden="false" customHeight="false" outlineLevel="0" collapsed="false">
      <c r="A136" s="34" t="str">
        <f aca="false">IF(B136="","",132)</f>
        <v/>
      </c>
      <c r="B136" s="26" t="str">
        <f aca="false">IFERROR(INDEX($K$5:$K$204,MATCH(LARGE($M$5:$M$204,132),$M$5:$M$204,0)),"")</f>
        <v/>
      </c>
      <c r="C136" s="28" t="str">
        <f aca="false">IF(B136="","",COUNTIF(Veri!$B$5:$B$2004,B136))</f>
        <v/>
      </c>
      <c r="D136" s="27" t="str">
        <f aca="false">IF(B136="","",SUMIFS(Veri!$E$5:$E$2004,Veri!$B$5:$B$2004,B136))</f>
        <v/>
      </c>
      <c r="E136" s="35" t="str">
        <f aca="false">IF(B136="","",IF(SUM(Veri!$E$5:$E$2004)=0,0,D136/SUM(Veri!$E$5:$E$2004)))</f>
        <v/>
      </c>
      <c r="F136" s="35" t="str">
        <f aca="false">IF(B136="","",SUM(E$5:E136))</f>
        <v/>
      </c>
      <c r="G136" s="36" t="str">
        <f aca="false">IF(B136="","",IF(F135&lt;0.8,"A",IF(F135&lt;0.95,"B","C")))</f>
        <v/>
      </c>
      <c r="H136" s="27" t="str">
        <f aca="false">IF(OR(B136="",C136=0),"",D136/C136)</f>
        <v/>
      </c>
      <c r="I136" s="37" t="str">
        <f aca="false">IF(B136="","",SUMPRODUCT(MAX((Veri!$B$5:$B$2004=B136)*Veri!$A$5:$A$2004)))</f>
        <v/>
      </c>
      <c r="J136" s="26"/>
      <c r="K136" s="26" t="str">
        <f aca="false">IF(132&gt;MAX(Veri!$I$5:$I$2004),"",INDEX(Veri!$B$5:$B$2004,MATCH(132,Veri!$I$5:$I$2004,0)))</f>
        <v/>
      </c>
      <c r="L136" s="26" t="str">
        <f aca="false">IF(K136="","",SUMIFS(Veri!$E$5:$E$2004,Veri!$B$5:$B$2004,K136))</f>
        <v/>
      </c>
      <c r="M136" s="26" t="str">
        <f aca="false">IF(K136="","",L136+ROW()/1000000000)</f>
        <v/>
      </c>
      <c r="N136" s="26"/>
    </row>
    <row r="137" customFormat="false" ht="15" hidden="false" customHeight="false" outlineLevel="0" collapsed="false">
      <c r="A137" s="30" t="str">
        <f aca="false">IF(B137="","",133)</f>
        <v/>
      </c>
      <c r="B137" s="16" t="str">
        <f aca="false">IFERROR(INDEX($K$5:$K$204,MATCH(LARGE($M$5:$M$204,133),$M$5:$M$204,0)),"")</f>
        <v/>
      </c>
      <c r="C137" s="24" t="str">
        <f aca="false">IF(B137="","",COUNTIF(Veri!$B$5:$B$2004,B137))</f>
        <v/>
      </c>
      <c r="D137" s="23" t="str">
        <f aca="false">IF(B137="","",SUMIFS(Veri!$E$5:$E$2004,Veri!$B$5:$B$2004,B137))</f>
        <v/>
      </c>
      <c r="E137" s="31" t="str">
        <f aca="false">IF(B137="","",IF(SUM(Veri!$E$5:$E$2004)=0,0,D137/SUM(Veri!$E$5:$E$2004)))</f>
        <v/>
      </c>
      <c r="F137" s="31" t="str">
        <f aca="false">IF(B137="","",SUM(E$5:E137))</f>
        <v/>
      </c>
      <c r="G137" s="32" t="str">
        <f aca="false">IF(B137="","",IF(F136&lt;0.8,"A",IF(F136&lt;0.95,"B","C")))</f>
        <v/>
      </c>
      <c r="H137" s="23" t="str">
        <f aca="false">IF(OR(B137="",C137=0),"",D137/C137)</f>
        <v/>
      </c>
      <c r="I137" s="33" t="str">
        <f aca="false">IF(B137="","",SUMPRODUCT(MAX((Veri!$B$5:$B$2004=B137)*Veri!$A$5:$A$2004)))</f>
        <v/>
      </c>
      <c r="J137" s="16"/>
      <c r="K137" s="16" t="str">
        <f aca="false">IF(133&gt;MAX(Veri!$I$5:$I$2004),"",INDEX(Veri!$B$5:$B$2004,MATCH(133,Veri!$I$5:$I$2004,0)))</f>
        <v/>
      </c>
      <c r="L137" s="16" t="str">
        <f aca="false">IF(K137="","",SUMIFS(Veri!$E$5:$E$2004,Veri!$B$5:$B$2004,K137))</f>
        <v/>
      </c>
      <c r="M137" s="16" t="str">
        <f aca="false">IF(K137="","",L137+ROW()/1000000000)</f>
        <v/>
      </c>
      <c r="N137" s="16"/>
    </row>
    <row r="138" customFormat="false" ht="15" hidden="false" customHeight="false" outlineLevel="0" collapsed="false">
      <c r="A138" s="34" t="str">
        <f aca="false">IF(B138="","",134)</f>
        <v/>
      </c>
      <c r="B138" s="26" t="str">
        <f aca="false">IFERROR(INDEX($K$5:$K$204,MATCH(LARGE($M$5:$M$204,134),$M$5:$M$204,0)),"")</f>
        <v/>
      </c>
      <c r="C138" s="28" t="str">
        <f aca="false">IF(B138="","",COUNTIF(Veri!$B$5:$B$2004,B138))</f>
        <v/>
      </c>
      <c r="D138" s="27" t="str">
        <f aca="false">IF(B138="","",SUMIFS(Veri!$E$5:$E$2004,Veri!$B$5:$B$2004,B138))</f>
        <v/>
      </c>
      <c r="E138" s="35" t="str">
        <f aca="false">IF(B138="","",IF(SUM(Veri!$E$5:$E$2004)=0,0,D138/SUM(Veri!$E$5:$E$2004)))</f>
        <v/>
      </c>
      <c r="F138" s="35" t="str">
        <f aca="false">IF(B138="","",SUM(E$5:E138))</f>
        <v/>
      </c>
      <c r="G138" s="36" t="str">
        <f aca="false">IF(B138="","",IF(F137&lt;0.8,"A",IF(F137&lt;0.95,"B","C")))</f>
        <v/>
      </c>
      <c r="H138" s="27" t="str">
        <f aca="false">IF(OR(B138="",C138=0),"",D138/C138)</f>
        <v/>
      </c>
      <c r="I138" s="37" t="str">
        <f aca="false">IF(B138="","",SUMPRODUCT(MAX((Veri!$B$5:$B$2004=B138)*Veri!$A$5:$A$2004)))</f>
        <v/>
      </c>
      <c r="J138" s="26"/>
      <c r="K138" s="26" t="str">
        <f aca="false">IF(134&gt;MAX(Veri!$I$5:$I$2004),"",INDEX(Veri!$B$5:$B$2004,MATCH(134,Veri!$I$5:$I$2004,0)))</f>
        <v/>
      </c>
      <c r="L138" s="26" t="str">
        <f aca="false">IF(K138="","",SUMIFS(Veri!$E$5:$E$2004,Veri!$B$5:$B$2004,K138))</f>
        <v/>
      </c>
      <c r="M138" s="26" t="str">
        <f aca="false">IF(K138="","",L138+ROW()/1000000000)</f>
        <v/>
      </c>
      <c r="N138" s="26"/>
    </row>
    <row r="139" customFormat="false" ht="15" hidden="false" customHeight="false" outlineLevel="0" collapsed="false">
      <c r="A139" s="30" t="str">
        <f aca="false">IF(B139="","",135)</f>
        <v/>
      </c>
      <c r="B139" s="16" t="str">
        <f aca="false">IFERROR(INDEX($K$5:$K$204,MATCH(LARGE($M$5:$M$204,135),$M$5:$M$204,0)),"")</f>
        <v/>
      </c>
      <c r="C139" s="24" t="str">
        <f aca="false">IF(B139="","",COUNTIF(Veri!$B$5:$B$2004,B139))</f>
        <v/>
      </c>
      <c r="D139" s="23" t="str">
        <f aca="false">IF(B139="","",SUMIFS(Veri!$E$5:$E$2004,Veri!$B$5:$B$2004,B139))</f>
        <v/>
      </c>
      <c r="E139" s="31" t="str">
        <f aca="false">IF(B139="","",IF(SUM(Veri!$E$5:$E$2004)=0,0,D139/SUM(Veri!$E$5:$E$2004)))</f>
        <v/>
      </c>
      <c r="F139" s="31" t="str">
        <f aca="false">IF(B139="","",SUM(E$5:E139))</f>
        <v/>
      </c>
      <c r="G139" s="32" t="str">
        <f aca="false">IF(B139="","",IF(F138&lt;0.8,"A",IF(F138&lt;0.95,"B","C")))</f>
        <v/>
      </c>
      <c r="H139" s="23" t="str">
        <f aca="false">IF(OR(B139="",C139=0),"",D139/C139)</f>
        <v/>
      </c>
      <c r="I139" s="33" t="str">
        <f aca="false">IF(B139="","",SUMPRODUCT(MAX((Veri!$B$5:$B$2004=B139)*Veri!$A$5:$A$2004)))</f>
        <v/>
      </c>
      <c r="J139" s="16"/>
      <c r="K139" s="16" t="str">
        <f aca="false">IF(135&gt;MAX(Veri!$I$5:$I$2004),"",INDEX(Veri!$B$5:$B$2004,MATCH(135,Veri!$I$5:$I$2004,0)))</f>
        <v/>
      </c>
      <c r="L139" s="16" t="str">
        <f aca="false">IF(K139="","",SUMIFS(Veri!$E$5:$E$2004,Veri!$B$5:$B$2004,K139))</f>
        <v/>
      </c>
      <c r="M139" s="16" t="str">
        <f aca="false">IF(K139="","",L139+ROW()/1000000000)</f>
        <v/>
      </c>
      <c r="N139" s="16"/>
    </row>
    <row r="140" customFormat="false" ht="15" hidden="false" customHeight="false" outlineLevel="0" collapsed="false">
      <c r="A140" s="34" t="str">
        <f aca="false">IF(B140="","",136)</f>
        <v/>
      </c>
      <c r="B140" s="26" t="str">
        <f aca="false">IFERROR(INDEX($K$5:$K$204,MATCH(LARGE($M$5:$M$204,136),$M$5:$M$204,0)),"")</f>
        <v/>
      </c>
      <c r="C140" s="28" t="str">
        <f aca="false">IF(B140="","",COUNTIF(Veri!$B$5:$B$2004,B140))</f>
        <v/>
      </c>
      <c r="D140" s="27" t="str">
        <f aca="false">IF(B140="","",SUMIFS(Veri!$E$5:$E$2004,Veri!$B$5:$B$2004,B140))</f>
        <v/>
      </c>
      <c r="E140" s="35" t="str">
        <f aca="false">IF(B140="","",IF(SUM(Veri!$E$5:$E$2004)=0,0,D140/SUM(Veri!$E$5:$E$2004)))</f>
        <v/>
      </c>
      <c r="F140" s="35" t="str">
        <f aca="false">IF(B140="","",SUM(E$5:E140))</f>
        <v/>
      </c>
      <c r="G140" s="36" t="str">
        <f aca="false">IF(B140="","",IF(F139&lt;0.8,"A",IF(F139&lt;0.95,"B","C")))</f>
        <v/>
      </c>
      <c r="H140" s="27" t="str">
        <f aca="false">IF(OR(B140="",C140=0),"",D140/C140)</f>
        <v/>
      </c>
      <c r="I140" s="37" t="str">
        <f aca="false">IF(B140="","",SUMPRODUCT(MAX((Veri!$B$5:$B$2004=B140)*Veri!$A$5:$A$2004)))</f>
        <v/>
      </c>
      <c r="J140" s="26"/>
      <c r="K140" s="26" t="str">
        <f aca="false">IF(136&gt;MAX(Veri!$I$5:$I$2004),"",INDEX(Veri!$B$5:$B$2004,MATCH(136,Veri!$I$5:$I$2004,0)))</f>
        <v/>
      </c>
      <c r="L140" s="26" t="str">
        <f aca="false">IF(K140="","",SUMIFS(Veri!$E$5:$E$2004,Veri!$B$5:$B$2004,K140))</f>
        <v/>
      </c>
      <c r="M140" s="26" t="str">
        <f aca="false">IF(K140="","",L140+ROW()/1000000000)</f>
        <v/>
      </c>
      <c r="N140" s="26"/>
    </row>
    <row r="141" customFormat="false" ht="15" hidden="false" customHeight="false" outlineLevel="0" collapsed="false">
      <c r="A141" s="30" t="str">
        <f aca="false">IF(B141="","",137)</f>
        <v/>
      </c>
      <c r="B141" s="16" t="str">
        <f aca="false">IFERROR(INDEX($K$5:$K$204,MATCH(LARGE($M$5:$M$204,137),$M$5:$M$204,0)),"")</f>
        <v/>
      </c>
      <c r="C141" s="24" t="str">
        <f aca="false">IF(B141="","",COUNTIF(Veri!$B$5:$B$2004,B141))</f>
        <v/>
      </c>
      <c r="D141" s="23" t="str">
        <f aca="false">IF(B141="","",SUMIFS(Veri!$E$5:$E$2004,Veri!$B$5:$B$2004,B141))</f>
        <v/>
      </c>
      <c r="E141" s="31" t="str">
        <f aca="false">IF(B141="","",IF(SUM(Veri!$E$5:$E$2004)=0,0,D141/SUM(Veri!$E$5:$E$2004)))</f>
        <v/>
      </c>
      <c r="F141" s="31" t="str">
        <f aca="false">IF(B141="","",SUM(E$5:E141))</f>
        <v/>
      </c>
      <c r="G141" s="32" t="str">
        <f aca="false">IF(B141="","",IF(F140&lt;0.8,"A",IF(F140&lt;0.95,"B","C")))</f>
        <v/>
      </c>
      <c r="H141" s="23" t="str">
        <f aca="false">IF(OR(B141="",C141=0),"",D141/C141)</f>
        <v/>
      </c>
      <c r="I141" s="33" t="str">
        <f aca="false">IF(B141="","",SUMPRODUCT(MAX((Veri!$B$5:$B$2004=B141)*Veri!$A$5:$A$2004)))</f>
        <v/>
      </c>
      <c r="J141" s="16"/>
      <c r="K141" s="16" t="str">
        <f aca="false">IF(137&gt;MAX(Veri!$I$5:$I$2004),"",INDEX(Veri!$B$5:$B$2004,MATCH(137,Veri!$I$5:$I$2004,0)))</f>
        <v/>
      </c>
      <c r="L141" s="16" t="str">
        <f aca="false">IF(K141="","",SUMIFS(Veri!$E$5:$E$2004,Veri!$B$5:$B$2004,K141))</f>
        <v/>
      </c>
      <c r="M141" s="16" t="str">
        <f aca="false">IF(K141="","",L141+ROW()/1000000000)</f>
        <v/>
      </c>
      <c r="N141" s="16"/>
    </row>
    <row r="142" customFormat="false" ht="15" hidden="false" customHeight="false" outlineLevel="0" collapsed="false">
      <c r="A142" s="34" t="str">
        <f aca="false">IF(B142="","",138)</f>
        <v/>
      </c>
      <c r="B142" s="26" t="str">
        <f aca="false">IFERROR(INDEX($K$5:$K$204,MATCH(LARGE($M$5:$M$204,138),$M$5:$M$204,0)),"")</f>
        <v/>
      </c>
      <c r="C142" s="28" t="str">
        <f aca="false">IF(B142="","",COUNTIF(Veri!$B$5:$B$2004,B142))</f>
        <v/>
      </c>
      <c r="D142" s="27" t="str">
        <f aca="false">IF(B142="","",SUMIFS(Veri!$E$5:$E$2004,Veri!$B$5:$B$2004,B142))</f>
        <v/>
      </c>
      <c r="E142" s="35" t="str">
        <f aca="false">IF(B142="","",IF(SUM(Veri!$E$5:$E$2004)=0,0,D142/SUM(Veri!$E$5:$E$2004)))</f>
        <v/>
      </c>
      <c r="F142" s="35" t="str">
        <f aca="false">IF(B142="","",SUM(E$5:E142))</f>
        <v/>
      </c>
      <c r="G142" s="36" t="str">
        <f aca="false">IF(B142="","",IF(F141&lt;0.8,"A",IF(F141&lt;0.95,"B","C")))</f>
        <v/>
      </c>
      <c r="H142" s="27" t="str">
        <f aca="false">IF(OR(B142="",C142=0),"",D142/C142)</f>
        <v/>
      </c>
      <c r="I142" s="37" t="str">
        <f aca="false">IF(B142="","",SUMPRODUCT(MAX((Veri!$B$5:$B$2004=B142)*Veri!$A$5:$A$2004)))</f>
        <v/>
      </c>
      <c r="J142" s="26"/>
      <c r="K142" s="26" t="str">
        <f aca="false">IF(138&gt;MAX(Veri!$I$5:$I$2004),"",INDEX(Veri!$B$5:$B$2004,MATCH(138,Veri!$I$5:$I$2004,0)))</f>
        <v/>
      </c>
      <c r="L142" s="26" t="str">
        <f aca="false">IF(K142="","",SUMIFS(Veri!$E$5:$E$2004,Veri!$B$5:$B$2004,K142))</f>
        <v/>
      </c>
      <c r="M142" s="26" t="str">
        <f aca="false">IF(K142="","",L142+ROW()/1000000000)</f>
        <v/>
      </c>
      <c r="N142" s="26"/>
    </row>
    <row r="143" customFormat="false" ht="15" hidden="false" customHeight="false" outlineLevel="0" collapsed="false">
      <c r="A143" s="30" t="str">
        <f aca="false">IF(B143="","",139)</f>
        <v/>
      </c>
      <c r="B143" s="16" t="str">
        <f aca="false">IFERROR(INDEX($K$5:$K$204,MATCH(LARGE($M$5:$M$204,139),$M$5:$M$204,0)),"")</f>
        <v/>
      </c>
      <c r="C143" s="24" t="str">
        <f aca="false">IF(B143="","",COUNTIF(Veri!$B$5:$B$2004,B143))</f>
        <v/>
      </c>
      <c r="D143" s="23" t="str">
        <f aca="false">IF(B143="","",SUMIFS(Veri!$E$5:$E$2004,Veri!$B$5:$B$2004,B143))</f>
        <v/>
      </c>
      <c r="E143" s="31" t="str">
        <f aca="false">IF(B143="","",IF(SUM(Veri!$E$5:$E$2004)=0,0,D143/SUM(Veri!$E$5:$E$2004)))</f>
        <v/>
      </c>
      <c r="F143" s="31" t="str">
        <f aca="false">IF(B143="","",SUM(E$5:E143))</f>
        <v/>
      </c>
      <c r="G143" s="32" t="str">
        <f aca="false">IF(B143="","",IF(F142&lt;0.8,"A",IF(F142&lt;0.95,"B","C")))</f>
        <v/>
      </c>
      <c r="H143" s="23" t="str">
        <f aca="false">IF(OR(B143="",C143=0),"",D143/C143)</f>
        <v/>
      </c>
      <c r="I143" s="33" t="str">
        <f aca="false">IF(B143="","",SUMPRODUCT(MAX((Veri!$B$5:$B$2004=B143)*Veri!$A$5:$A$2004)))</f>
        <v/>
      </c>
      <c r="J143" s="16"/>
      <c r="K143" s="16" t="str">
        <f aca="false">IF(139&gt;MAX(Veri!$I$5:$I$2004),"",INDEX(Veri!$B$5:$B$2004,MATCH(139,Veri!$I$5:$I$2004,0)))</f>
        <v/>
      </c>
      <c r="L143" s="16" t="str">
        <f aca="false">IF(K143="","",SUMIFS(Veri!$E$5:$E$2004,Veri!$B$5:$B$2004,K143))</f>
        <v/>
      </c>
      <c r="M143" s="16" t="str">
        <f aca="false">IF(K143="","",L143+ROW()/1000000000)</f>
        <v/>
      </c>
      <c r="N143" s="16"/>
    </row>
    <row r="144" customFormat="false" ht="15" hidden="false" customHeight="false" outlineLevel="0" collapsed="false">
      <c r="A144" s="34" t="str">
        <f aca="false">IF(B144="","",140)</f>
        <v/>
      </c>
      <c r="B144" s="26" t="str">
        <f aca="false">IFERROR(INDEX($K$5:$K$204,MATCH(LARGE($M$5:$M$204,140),$M$5:$M$204,0)),"")</f>
        <v/>
      </c>
      <c r="C144" s="28" t="str">
        <f aca="false">IF(B144="","",COUNTIF(Veri!$B$5:$B$2004,B144))</f>
        <v/>
      </c>
      <c r="D144" s="27" t="str">
        <f aca="false">IF(B144="","",SUMIFS(Veri!$E$5:$E$2004,Veri!$B$5:$B$2004,B144))</f>
        <v/>
      </c>
      <c r="E144" s="35" t="str">
        <f aca="false">IF(B144="","",IF(SUM(Veri!$E$5:$E$2004)=0,0,D144/SUM(Veri!$E$5:$E$2004)))</f>
        <v/>
      </c>
      <c r="F144" s="35" t="str">
        <f aca="false">IF(B144="","",SUM(E$5:E144))</f>
        <v/>
      </c>
      <c r="G144" s="36" t="str">
        <f aca="false">IF(B144="","",IF(F143&lt;0.8,"A",IF(F143&lt;0.95,"B","C")))</f>
        <v/>
      </c>
      <c r="H144" s="27" t="str">
        <f aca="false">IF(OR(B144="",C144=0),"",D144/C144)</f>
        <v/>
      </c>
      <c r="I144" s="37" t="str">
        <f aca="false">IF(B144="","",SUMPRODUCT(MAX((Veri!$B$5:$B$2004=B144)*Veri!$A$5:$A$2004)))</f>
        <v/>
      </c>
      <c r="J144" s="26"/>
      <c r="K144" s="26" t="str">
        <f aca="false">IF(140&gt;MAX(Veri!$I$5:$I$2004),"",INDEX(Veri!$B$5:$B$2004,MATCH(140,Veri!$I$5:$I$2004,0)))</f>
        <v/>
      </c>
      <c r="L144" s="26" t="str">
        <f aca="false">IF(K144="","",SUMIFS(Veri!$E$5:$E$2004,Veri!$B$5:$B$2004,K144))</f>
        <v/>
      </c>
      <c r="M144" s="26" t="str">
        <f aca="false">IF(K144="","",L144+ROW()/1000000000)</f>
        <v/>
      </c>
      <c r="N144" s="26"/>
    </row>
    <row r="145" customFormat="false" ht="15" hidden="false" customHeight="false" outlineLevel="0" collapsed="false">
      <c r="A145" s="30" t="str">
        <f aca="false">IF(B145="","",141)</f>
        <v/>
      </c>
      <c r="B145" s="16" t="str">
        <f aca="false">IFERROR(INDEX($K$5:$K$204,MATCH(LARGE($M$5:$M$204,141),$M$5:$M$204,0)),"")</f>
        <v/>
      </c>
      <c r="C145" s="24" t="str">
        <f aca="false">IF(B145="","",COUNTIF(Veri!$B$5:$B$2004,B145))</f>
        <v/>
      </c>
      <c r="D145" s="23" t="str">
        <f aca="false">IF(B145="","",SUMIFS(Veri!$E$5:$E$2004,Veri!$B$5:$B$2004,B145))</f>
        <v/>
      </c>
      <c r="E145" s="31" t="str">
        <f aca="false">IF(B145="","",IF(SUM(Veri!$E$5:$E$2004)=0,0,D145/SUM(Veri!$E$5:$E$2004)))</f>
        <v/>
      </c>
      <c r="F145" s="31" t="str">
        <f aca="false">IF(B145="","",SUM(E$5:E145))</f>
        <v/>
      </c>
      <c r="G145" s="32" t="str">
        <f aca="false">IF(B145="","",IF(F144&lt;0.8,"A",IF(F144&lt;0.95,"B","C")))</f>
        <v/>
      </c>
      <c r="H145" s="23" t="str">
        <f aca="false">IF(OR(B145="",C145=0),"",D145/C145)</f>
        <v/>
      </c>
      <c r="I145" s="33" t="str">
        <f aca="false">IF(B145="","",SUMPRODUCT(MAX((Veri!$B$5:$B$2004=B145)*Veri!$A$5:$A$2004)))</f>
        <v/>
      </c>
      <c r="J145" s="16"/>
      <c r="K145" s="16" t="str">
        <f aca="false">IF(141&gt;MAX(Veri!$I$5:$I$2004),"",INDEX(Veri!$B$5:$B$2004,MATCH(141,Veri!$I$5:$I$2004,0)))</f>
        <v/>
      </c>
      <c r="L145" s="16" t="str">
        <f aca="false">IF(K145="","",SUMIFS(Veri!$E$5:$E$2004,Veri!$B$5:$B$2004,K145))</f>
        <v/>
      </c>
      <c r="M145" s="16" t="str">
        <f aca="false">IF(K145="","",L145+ROW()/1000000000)</f>
        <v/>
      </c>
      <c r="N145" s="16"/>
    </row>
    <row r="146" customFormat="false" ht="15" hidden="false" customHeight="false" outlineLevel="0" collapsed="false">
      <c r="A146" s="34" t="str">
        <f aca="false">IF(B146="","",142)</f>
        <v/>
      </c>
      <c r="B146" s="26" t="str">
        <f aca="false">IFERROR(INDEX($K$5:$K$204,MATCH(LARGE($M$5:$M$204,142),$M$5:$M$204,0)),"")</f>
        <v/>
      </c>
      <c r="C146" s="28" t="str">
        <f aca="false">IF(B146="","",COUNTIF(Veri!$B$5:$B$2004,B146))</f>
        <v/>
      </c>
      <c r="D146" s="27" t="str">
        <f aca="false">IF(B146="","",SUMIFS(Veri!$E$5:$E$2004,Veri!$B$5:$B$2004,B146))</f>
        <v/>
      </c>
      <c r="E146" s="35" t="str">
        <f aca="false">IF(B146="","",IF(SUM(Veri!$E$5:$E$2004)=0,0,D146/SUM(Veri!$E$5:$E$2004)))</f>
        <v/>
      </c>
      <c r="F146" s="35" t="str">
        <f aca="false">IF(B146="","",SUM(E$5:E146))</f>
        <v/>
      </c>
      <c r="G146" s="36" t="str">
        <f aca="false">IF(B146="","",IF(F145&lt;0.8,"A",IF(F145&lt;0.95,"B","C")))</f>
        <v/>
      </c>
      <c r="H146" s="27" t="str">
        <f aca="false">IF(OR(B146="",C146=0),"",D146/C146)</f>
        <v/>
      </c>
      <c r="I146" s="37" t="str">
        <f aca="false">IF(B146="","",SUMPRODUCT(MAX((Veri!$B$5:$B$2004=B146)*Veri!$A$5:$A$2004)))</f>
        <v/>
      </c>
      <c r="J146" s="26"/>
      <c r="K146" s="26" t="str">
        <f aca="false">IF(142&gt;MAX(Veri!$I$5:$I$2004),"",INDEX(Veri!$B$5:$B$2004,MATCH(142,Veri!$I$5:$I$2004,0)))</f>
        <v/>
      </c>
      <c r="L146" s="26" t="str">
        <f aca="false">IF(K146="","",SUMIFS(Veri!$E$5:$E$2004,Veri!$B$5:$B$2004,K146))</f>
        <v/>
      </c>
      <c r="M146" s="26" t="str">
        <f aca="false">IF(K146="","",L146+ROW()/1000000000)</f>
        <v/>
      </c>
      <c r="N146" s="26"/>
    </row>
    <row r="147" customFormat="false" ht="15" hidden="false" customHeight="false" outlineLevel="0" collapsed="false">
      <c r="A147" s="30" t="str">
        <f aca="false">IF(B147="","",143)</f>
        <v/>
      </c>
      <c r="B147" s="16" t="str">
        <f aca="false">IFERROR(INDEX($K$5:$K$204,MATCH(LARGE($M$5:$M$204,143),$M$5:$M$204,0)),"")</f>
        <v/>
      </c>
      <c r="C147" s="24" t="str">
        <f aca="false">IF(B147="","",COUNTIF(Veri!$B$5:$B$2004,B147))</f>
        <v/>
      </c>
      <c r="D147" s="23" t="str">
        <f aca="false">IF(B147="","",SUMIFS(Veri!$E$5:$E$2004,Veri!$B$5:$B$2004,B147))</f>
        <v/>
      </c>
      <c r="E147" s="31" t="str">
        <f aca="false">IF(B147="","",IF(SUM(Veri!$E$5:$E$2004)=0,0,D147/SUM(Veri!$E$5:$E$2004)))</f>
        <v/>
      </c>
      <c r="F147" s="31" t="str">
        <f aca="false">IF(B147="","",SUM(E$5:E147))</f>
        <v/>
      </c>
      <c r="G147" s="32" t="str">
        <f aca="false">IF(B147="","",IF(F146&lt;0.8,"A",IF(F146&lt;0.95,"B","C")))</f>
        <v/>
      </c>
      <c r="H147" s="23" t="str">
        <f aca="false">IF(OR(B147="",C147=0),"",D147/C147)</f>
        <v/>
      </c>
      <c r="I147" s="33" t="str">
        <f aca="false">IF(B147="","",SUMPRODUCT(MAX((Veri!$B$5:$B$2004=B147)*Veri!$A$5:$A$2004)))</f>
        <v/>
      </c>
      <c r="J147" s="16"/>
      <c r="K147" s="16" t="str">
        <f aca="false">IF(143&gt;MAX(Veri!$I$5:$I$2004),"",INDEX(Veri!$B$5:$B$2004,MATCH(143,Veri!$I$5:$I$2004,0)))</f>
        <v/>
      </c>
      <c r="L147" s="16" t="str">
        <f aca="false">IF(K147="","",SUMIFS(Veri!$E$5:$E$2004,Veri!$B$5:$B$2004,K147))</f>
        <v/>
      </c>
      <c r="M147" s="16" t="str">
        <f aca="false">IF(K147="","",L147+ROW()/1000000000)</f>
        <v/>
      </c>
      <c r="N147" s="16"/>
    </row>
    <row r="148" customFormat="false" ht="15" hidden="false" customHeight="false" outlineLevel="0" collapsed="false">
      <c r="A148" s="34" t="str">
        <f aca="false">IF(B148="","",144)</f>
        <v/>
      </c>
      <c r="B148" s="26" t="str">
        <f aca="false">IFERROR(INDEX($K$5:$K$204,MATCH(LARGE($M$5:$M$204,144),$M$5:$M$204,0)),"")</f>
        <v/>
      </c>
      <c r="C148" s="28" t="str">
        <f aca="false">IF(B148="","",COUNTIF(Veri!$B$5:$B$2004,B148))</f>
        <v/>
      </c>
      <c r="D148" s="27" t="str">
        <f aca="false">IF(B148="","",SUMIFS(Veri!$E$5:$E$2004,Veri!$B$5:$B$2004,B148))</f>
        <v/>
      </c>
      <c r="E148" s="35" t="str">
        <f aca="false">IF(B148="","",IF(SUM(Veri!$E$5:$E$2004)=0,0,D148/SUM(Veri!$E$5:$E$2004)))</f>
        <v/>
      </c>
      <c r="F148" s="35" t="str">
        <f aca="false">IF(B148="","",SUM(E$5:E148))</f>
        <v/>
      </c>
      <c r="G148" s="36" t="str">
        <f aca="false">IF(B148="","",IF(F147&lt;0.8,"A",IF(F147&lt;0.95,"B","C")))</f>
        <v/>
      </c>
      <c r="H148" s="27" t="str">
        <f aca="false">IF(OR(B148="",C148=0),"",D148/C148)</f>
        <v/>
      </c>
      <c r="I148" s="37" t="str">
        <f aca="false">IF(B148="","",SUMPRODUCT(MAX((Veri!$B$5:$B$2004=B148)*Veri!$A$5:$A$2004)))</f>
        <v/>
      </c>
      <c r="J148" s="26"/>
      <c r="K148" s="26" t="str">
        <f aca="false">IF(144&gt;MAX(Veri!$I$5:$I$2004),"",INDEX(Veri!$B$5:$B$2004,MATCH(144,Veri!$I$5:$I$2004,0)))</f>
        <v/>
      </c>
      <c r="L148" s="26" t="str">
        <f aca="false">IF(K148="","",SUMIFS(Veri!$E$5:$E$2004,Veri!$B$5:$B$2004,K148))</f>
        <v/>
      </c>
      <c r="M148" s="26" t="str">
        <f aca="false">IF(K148="","",L148+ROW()/1000000000)</f>
        <v/>
      </c>
      <c r="N148" s="26"/>
    </row>
    <row r="149" customFormat="false" ht="15" hidden="false" customHeight="false" outlineLevel="0" collapsed="false">
      <c r="A149" s="30" t="str">
        <f aca="false">IF(B149="","",145)</f>
        <v/>
      </c>
      <c r="B149" s="16" t="str">
        <f aca="false">IFERROR(INDEX($K$5:$K$204,MATCH(LARGE($M$5:$M$204,145),$M$5:$M$204,0)),"")</f>
        <v/>
      </c>
      <c r="C149" s="24" t="str">
        <f aca="false">IF(B149="","",COUNTIF(Veri!$B$5:$B$2004,B149))</f>
        <v/>
      </c>
      <c r="D149" s="23" t="str">
        <f aca="false">IF(B149="","",SUMIFS(Veri!$E$5:$E$2004,Veri!$B$5:$B$2004,B149))</f>
        <v/>
      </c>
      <c r="E149" s="31" t="str">
        <f aca="false">IF(B149="","",IF(SUM(Veri!$E$5:$E$2004)=0,0,D149/SUM(Veri!$E$5:$E$2004)))</f>
        <v/>
      </c>
      <c r="F149" s="31" t="str">
        <f aca="false">IF(B149="","",SUM(E$5:E149))</f>
        <v/>
      </c>
      <c r="G149" s="32" t="str">
        <f aca="false">IF(B149="","",IF(F148&lt;0.8,"A",IF(F148&lt;0.95,"B","C")))</f>
        <v/>
      </c>
      <c r="H149" s="23" t="str">
        <f aca="false">IF(OR(B149="",C149=0),"",D149/C149)</f>
        <v/>
      </c>
      <c r="I149" s="33" t="str">
        <f aca="false">IF(B149="","",SUMPRODUCT(MAX((Veri!$B$5:$B$2004=B149)*Veri!$A$5:$A$2004)))</f>
        <v/>
      </c>
      <c r="J149" s="16"/>
      <c r="K149" s="16" t="str">
        <f aca="false">IF(145&gt;MAX(Veri!$I$5:$I$2004),"",INDEX(Veri!$B$5:$B$2004,MATCH(145,Veri!$I$5:$I$2004,0)))</f>
        <v/>
      </c>
      <c r="L149" s="16" t="str">
        <f aca="false">IF(K149="","",SUMIFS(Veri!$E$5:$E$2004,Veri!$B$5:$B$2004,K149))</f>
        <v/>
      </c>
      <c r="M149" s="16" t="str">
        <f aca="false">IF(K149="","",L149+ROW()/1000000000)</f>
        <v/>
      </c>
      <c r="N149" s="16"/>
    </row>
    <row r="150" customFormat="false" ht="15" hidden="false" customHeight="false" outlineLevel="0" collapsed="false">
      <c r="A150" s="34" t="str">
        <f aca="false">IF(B150="","",146)</f>
        <v/>
      </c>
      <c r="B150" s="26" t="str">
        <f aca="false">IFERROR(INDEX($K$5:$K$204,MATCH(LARGE($M$5:$M$204,146),$M$5:$M$204,0)),"")</f>
        <v/>
      </c>
      <c r="C150" s="28" t="str">
        <f aca="false">IF(B150="","",COUNTIF(Veri!$B$5:$B$2004,B150))</f>
        <v/>
      </c>
      <c r="D150" s="27" t="str">
        <f aca="false">IF(B150="","",SUMIFS(Veri!$E$5:$E$2004,Veri!$B$5:$B$2004,B150))</f>
        <v/>
      </c>
      <c r="E150" s="35" t="str">
        <f aca="false">IF(B150="","",IF(SUM(Veri!$E$5:$E$2004)=0,0,D150/SUM(Veri!$E$5:$E$2004)))</f>
        <v/>
      </c>
      <c r="F150" s="35" t="str">
        <f aca="false">IF(B150="","",SUM(E$5:E150))</f>
        <v/>
      </c>
      <c r="G150" s="36" t="str">
        <f aca="false">IF(B150="","",IF(F149&lt;0.8,"A",IF(F149&lt;0.95,"B","C")))</f>
        <v/>
      </c>
      <c r="H150" s="27" t="str">
        <f aca="false">IF(OR(B150="",C150=0),"",D150/C150)</f>
        <v/>
      </c>
      <c r="I150" s="37" t="str">
        <f aca="false">IF(B150="","",SUMPRODUCT(MAX((Veri!$B$5:$B$2004=B150)*Veri!$A$5:$A$2004)))</f>
        <v/>
      </c>
      <c r="J150" s="26"/>
      <c r="K150" s="26" t="str">
        <f aca="false">IF(146&gt;MAX(Veri!$I$5:$I$2004),"",INDEX(Veri!$B$5:$B$2004,MATCH(146,Veri!$I$5:$I$2004,0)))</f>
        <v/>
      </c>
      <c r="L150" s="26" t="str">
        <f aca="false">IF(K150="","",SUMIFS(Veri!$E$5:$E$2004,Veri!$B$5:$B$2004,K150))</f>
        <v/>
      </c>
      <c r="M150" s="26" t="str">
        <f aca="false">IF(K150="","",L150+ROW()/1000000000)</f>
        <v/>
      </c>
      <c r="N150" s="26"/>
    </row>
    <row r="151" customFormat="false" ht="15" hidden="false" customHeight="false" outlineLevel="0" collapsed="false">
      <c r="A151" s="30" t="str">
        <f aca="false">IF(B151="","",147)</f>
        <v/>
      </c>
      <c r="B151" s="16" t="str">
        <f aca="false">IFERROR(INDEX($K$5:$K$204,MATCH(LARGE($M$5:$M$204,147),$M$5:$M$204,0)),"")</f>
        <v/>
      </c>
      <c r="C151" s="24" t="str">
        <f aca="false">IF(B151="","",COUNTIF(Veri!$B$5:$B$2004,B151))</f>
        <v/>
      </c>
      <c r="D151" s="23" t="str">
        <f aca="false">IF(B151="","",SUMIFS(Veri!$E$5:$E$2004,Veri!$B$5:$B$2004,B151))</f>
        <v/>
      </c>
      <c r="E151" s="31" t="str">
        <f aca="false">IF(B151="","",IF(SUM(Veri!$E$5:$E$2004)=0,0,D151/SUM(Veri!$E$5:$E$2004)))</f>
        <v/>
      </c>
      <c r="F151" s="31" t="str">
        <f aca="false">IF(B151="","",SUM(E$5:E151))</f>
        <v/>
      </c>
      <c r="G151" s="32" t="str">
        <f aca="false">IF(B151="","",IF(F150&lt;0.8,"A",IF(F150&lt;0.95,"B","C")))</f>
        <v/>
      </c>
      <c r="H151" s="23" t="str">
        <f aca="false">IF(OR(B151="",C151=0),"",D151/C151)</f>
        <v/>
      </c>
      <c r="I151" s="33" t="str">
        <f aca="false">IF(B151="","",SUMPRODUCT(MAX((Veri!$B$5:$B$2004=B151)*Veri!$A$5:$A$2004)))</f>
        <v/>
      </c>
      <c r="J151" s="16"/>
      <c r="K151" s="16" t="str">
        <f aca="false">IF(147&gt;MAX(Veri!$I$5:$I$2004),"",INDEX(Veri!$B$5:$B$2004,MATCH(147,Veri!$I$5:$I$2004,0)))</f>
        <v/>
      </c>
      <c r="L151" s="16" t="str">
        <f aca="false">IF(K151="","",SUMIFS(Veri!$E$5:$E$2004,Veri!$B$5:$B$2004,K151))</f>
        <v/>
      </c>
      <c r="M151" s="16" t="str">
        <f aca="false">IF(K151="","",L151+ROW()/1000000000)</f>
        <v/>
      </c>
      <c r="N151" s="16"/>
    </row>
    <row r="152" customFormat="false" ht="15" hidden="false" customHeight="false" outlineLevel="0" collapsed="false">
      <c r="A152" s="34" t="str">
        <f aca="false">IF(B152="","",148)</f>
        <v/>
      </c>
      <c r="B152" s="26" t="str">
        <f aca="false">IFERROR(INDEX($K$5:$K$204,MATCH(LARGE($M$5:$M$204,148),$M$5:$M$204,0)),"")</f>
        <v/>
      </c>
      <c r="C152" s="28" t="str">
        <f aca="false">IF(B152="","",COUNTIF(Veri!$B$5:$B$2004,B152))</f>
        <v/>
      </c>
      <c r="D152" s="27" t="str">
        <f aca="false">IF(B152="","",SUMIFS(Veri!$E$5:$E$2004,Veri!$B$5:$B$2004,B152))</f>
        <v/>
      </c>
      <c r="E152" s="35" t="str">
        <f aca="false">IF(B152="","",IF(SUM(Veri!$E$5:$E$2004)=0,0,D152/SUM(Veri!$E$5:$E$2004)))</f>
        <v/>
      </c>
      <c r="F152" s="35" t="str">
        <f aca="false">IF(B152="","",SUM(E$5:E152))</f>
        <v/>
      </c>
      <c r="G152" s="36" t="str">
        <f aca="false">IF(B152="","",IF(F151&lt;0.8,"A",IF(F151&lt;0.95,"B","C")))</f>
        <v/>
      </c>
      <c r="H152" s="27" t="str">
        <f aca="false">IF(OR(B152="",C152=0),"",D152/C152)</f>
        <v/>
      </c>
      <c r="I152" s="37" t="str">
        <f aca="false">IF(B152="","",SUMPRODUCT(MAX((Veri!$B$5:$B$2004=B152)*Veri!$A$5:$A$2004)))</f>
        <v/>
      </c>
      <c r="J152" s="26"/>
      <c r="K152" s="26" t="str">
        <f aca="false">IF(148&gt;MAX(Veri!$I$5:$I$2004),"",INDEX(Veri!$B$5:$B$2004,MATCH(148,Veri!$I$5:$I$2004,0)))</f>
        <v/>
      </c>
      <c r="L152" s="26" t="str">
        <f aca="false">IF(K152="","",SUMIFS(Veri!$E$5:$E$2004,Veri!$B$5:$B$2004,K152))</f>
        <v/>
      </c>
      <c r="M152" s="26" t="str">
        <f aca="false">IF(K152="","",L152+ROW()/1000000000)</f>
        <v/>
      </c>
      <c r="N152" s="26"/>
    </row>
    <row r="153" customFormat="false" ht="15" hidden="false" customHeight="false" outlineLevel="0" collapsed="false">
      <c r="A153" s="30" t="str">
        <f aca="false">IF(B153="","",149)</f>
        <v/>
      </c>
      <c r="B153" s="16" t="str">
        <f aca="false">IFERROR(INDEX($K$5:$K$204,MATCH(LARGE($M$5:$M$204,149),$M$5:$M$204,0)),"")</f>
        <v/>
      </c>
      <c r="C153" s="24" t="str">
        <f aca="false">IF(B153="","",COUNTIF(Veri!$B$5:$B$2004,B153))</f>
        <v/>
      </c>
      <c r="D153" s="23" t="str">
        <f aca="false">IF(B153="","",SUMIFS(Veri!$E$5:$E$2004,Veri!$B$5:$B$2004,B153))</f>
        <v/>
      </c>
      <c r="E153" s="31" t="str">
        <f aca="false">IF(B153="","",IF(SUM(Veri!$E$5:$E$2004)=0,0,D153/SUM(Veri!$E$5:$E$2004)))</f>
        <v/>
      </c>
      <c r="F153" s="31" t="str">
        <f aca="false">IF(B153="","",SUM(E$5:E153))</f>
        <v/>
      </c>
      <c r="G153" s="32" t="str">
        <f aca="false">IF(B153="","",IF(F152&lt;0.8,"A",IF(F152&lt;0.95,"B","C")))</f>
        <v/>
      </c>
      <c r="H153" s="23" t="str">
        <f aca="false">IF(OR(B153="",C153=0),"",D153/C153)</f>
        <v/>
      </c>
      <c r="I153" s="33" t="str">
        <f aca="false">IF(B153="","",SUMPRODUCT(MAX((Veri!$B$5:$B$2004=B153)*Veri!$A$5:$A$2004)))</f>
        <v/>
      </c>
      <c r="J153" s="16"/>
      <c r="K153" s="16" t="str">
        <f aca="false">IF(149&gt;MAX(Veri!$I$5:$I$2004),"",INDEX(Veri!$B$5:$B$2004,MATCH(149,Veri!$I$5:$I$2004,0)))</f>
        <v/>
      </c>
      <c r="L153" s="16" t="str">
        <f aca="false">IF(K153="","",SUMIFS(Veri!$E$5:$E$2004,Veri!$B$5:$B$2004,K153))</f>
        <v/>
      </c>
      <c r="M153" s="16" t="str">
        <f aca="false">IF(K153="","",L153+ROW()/1000000000)</f>
        <v/>
      </c>
      <c r="N153" s="16"/>
    </row>
    <row r="154" customFormat="false" ht="15" hidden="false" customHeight="false" outlineLevel="0" collapsed="false">
      <c r="A154" s="34" t="str">
        <f aca="false">IF(B154="","",150)</f>
        <v/>
      </c>
      <c r="B154" s="26" t="str">
        <f aca="false">IFERROR(INDEX($K$5:$K$204,MATCH(LARGE($M$5:$M$204,150),$M$5:$M$204,0)),"")</f>
        <v/>
      </c>
      <c r="C154" s="28" t="str">
        <f aca="false">IF(B154="","",COUNTIF(Veri!$B$5:$B$2004,B154))</f>
        <v/>
      </c>
      <c r="D154" s="27" t="str">
        <f aca="false">IF(B154="","",SUMIFS(Veri!$E$5:$E$2004,Veri!$B$5:$B$2004,B154))</f>
        <v/>
      </c>
      <c r="E154" s="35" t="str">
        <f aca="false">IF(B154="","",IF(SUM(Veri!$E$5:$E$2004)=0,0,D154/SUM(Veri!$E$5:$E$2004)))</f>
        <v/>
      </c>
      <c r="F154" s="35" t="str">
        <f aca="false">IF(B154="","",SUM(E$5:E154))</f>
        <v/>
      </c>
      <c r="G154" s="36" t="str">
        <f aca="false">IF(B154="","",IF(F153&lt;0.8,"A",IF(F153&lt;0.95,"B","C")))</f>
        <v/>
      </c>
      <c r="H154" s="27" t="str">
        <f aca="false">IF(OR(B154="",C154=0),"",D154/C154)</f>
        <v/>
      </c>
      <c r="I154" s="37" t="str">
        <f aca="false">IF(B154="","",SUMPRODUCT(MAX((Veri!$B$5:$B$2004=B154)*Veri!$A$5:$A$2004)))</f>
        <v/>
      </c>
      <c r="J154" s="26"/>
      <c r="K154" s="26" t="str">
        <f aca="false">IF(150&gt;MAX(Veri!$I$5:$I$2004),"",INDEX(Veri!$B$5:$B$2004,MATCH(150,Veri!$I$5:$I$2004,0)))</f>
        <v/>
      </c>
      <c r="L154" s="26" t="str">
        <f aca="false">IF(K154="","",SUMIFS(Veri!$E$5:$E$2004,Veri!$B$5:$B$2004,K154))</f>
        <v/>
      </c>
      <c r="M154" s="26" t="str">
        <f aca="false">IF(K154="","",L154+ROW()/1000000000)</f>
        <v/>
      </c>
      <c r="N154" s="26"/>
    </row>
    <row r="155" customFormat="false" ht="15" hidden="false" customHeight="false" outlineLevel="0" collapsed="false">
      <c r="A155" s="30" t="str">
        <f aca="false">IF(B155="","",151)</f>
        <v/>
      </c>
      <c r="B155" s="16" t="str">
        <f aca="false">IFERROR(INDEX($K$5:$K$204,MATCH(LARGE($M$5:$M$204,151),$M$5:$M$204,0)),"")</f>
        <v/>
      </c>
      <c r="C155" s="24" t="str">
        <f aca="false">IF(B155="","",COUNTIF(Veri!$B$5:$B$2004,B155))</f>
        <v/>
      </c>
      <c r="D155" s="23" t="str">
        <f aca="false">IF(B155="","",SUMIFS(Veri!$E$5:$E$2004,Veri!$B$5:$B$2004,B155))</f>
        <v/>
      </c>
      <c r="E155" s="31" t="str">
        <f aca="false">IF(B155="","",IF(SUM(Veri!$E$5:$E$2004)=0,0,D155/SUM(Veri!$E$5:$E$2004)))</f>
        <v/>
      </c>
      <c r="F155" s="31" t="str">
        <f aca="false">IF(B155="","",SUM(E$5:E155))</f>
        <v/>
      </c>
      <c r="G155" s="32" t="str">
        <f aca="false">IF(B155="","",IF(F154&lt;0.8,"A",IF(F154&lt;0.95,"B","C")))</f>
        <v/>
      </c>
      <c r="H155" s="23" t="str">
        <f aca="false">IF(OR(B155="",C155=0),"",D155/C155)</f>
        <v/>
      </c>
      <c r="I155" s="33" t="str">
        <f aca="false">IF(B155="","",SUMPRODUCT(MAX((Veri!$B$5:$B$2004=B155)*Veri!$A$5:$A$2004)))</f>
        <v/>
      </c>
      <c r="J155" s="16"/>
      <c r="K155" s="16" t="str">
        <f aca="false">IF(151&gt;MAX(Veri!$I$5:$I$2004),"",INDEX(Veri!$B$5:$B$2004,MATCH(151,Veri!$I$5:$I$2004,0)))</f>
        <v/>
      </c>
      <c r="L155" s="16" t="str">
        <f aca="false">IF(K155="","",SUMIFS(Veri!$E$5:$E$2004,Veri!$B$5:$B$2004,K155))</f>
        <v/>
      </c>
      <c r="M155" s="16" t="str">
        <f aca="false">IF(K155="","",L155+ROW()/1000000000)</f>
        <v/>
      </c>
      <c r="N155" s="16"/>
    </row>
    <row r="156" customFormat="false" ht="15" hidden="false" customHeight="false" outlineLevel="0" collapsed="false">
      <c r="A156" s="34" t="str">
        <f aca="false">IF(B156="","",152)</f>
        <v/>
      </c>
      <c r="B156" s="26" t="str">
        <f aca="false">IFERROR(INDEX($K$5:$K$204,MATCH(LARGE($M$5:$M$204,152),$M$5:$M$204,0)),"")</f>
        <v/>
      </c>
      <c r="C156" s="28" t="str">
        <f aca="false">IF(B156="","",COUNTIF(Veri!$B$5:$B$2004,B156))</f>
        <v/>
      </c>
      <c r="D156" s="27" t="str">
        <f aca="false">IF(B156="","",SUMIFS(Veri!$E$5:$E$2004,Veri!$B$5:$B$2004,B156))</f>
        <v/>
      </c>
      <c r="E156" s="35" t="str">
        <f aca="false">IF(B156="","",IF(SUM(Veri!$E$5:$E$2004)=0,0,D156/SUM(Veri!$E$5:$E$2004)))</f>
        <v/>
      </c>
      <c r="F156" s="35" t="str">
        <f aca="false">IF(B156="","",SUM(E$5:E156))</f>
        <v/>
      </c>
      <c r="G156" s="36" t="str">
        <f aca="false">IF(B156="","",IF(F155&lt;0.8,"A",IF(F155&lt;0.95,"B","C")))</f>
        <v/>
      </c>
      <c r="H156" s="27" t="str">
        <f aca="false">IF(OR(B156="",C156=0),"",D156/C156)</f>
        <v/>
      </c>
      <c r="I156" s="37" t="str">
        <f aca="false">IF(B156="","",SUMPRODUCT(MAX((Veri!$B$5:$B$2004=B156)*Veri!$A$5:$A$2004)))</f>
        <v/>
      </c>
      <c r="J156" s="26"/>
      <c r="K156" s="26" t="str">
        <f aca="false">IF(152&gt;MAX(Veri!$I$5:$I$2004),"",INDEX(Veri!$B$5:$B$2004,MATCH(152,Veri!$I$5:$I$2004,0)))</f>
        <v/>
      </c>
      <c r="L156" s="26" t="str">
        <f aca="false">IF(K156="","",SUMIFS(Veri!$E$5:$E$2004,Veri!$B$5:$B$2004,K156))</f>
        <v/>
      </c>
      <c r="M156" s="26" t="str">
        <f aca="false">IF(K156="","",L156+ROW()/1000000000)</f>
        <v/>
      </c>
      <c r="N156" s="26"/>
    </row>
    <row r="157" customFormat="false" ht="15" hidden="false" customHeight="false" outlineLevel="0" collapsed="false">
      <c r="A157" s="30" t="str">
        <f aca="false">IF(B157="","",153)</f>
        <v/>
      </c>
      <c r="B157" s="16" t="str">
        <f aca="false">IFERROR(INDEX($K$5:$K$204,MATCH(LARGE($M$5:$M$204,153),$M$5:$M$204,0)),"")</f>
        <v/>
      </c>
      <c r="C157" s="24" t="str">
        <f aca="false">IF(B157="","",COUNTIF(Veri!$B$5:$B$2004,B157))</f>
        <v/>
      </c>
      <c r="D157" s="23" t="str">
        <f aca="false">IF(B157="","",SUMIFS(Veri!$E$5:$E$2004,Veri!$B$5:$B$2004,B157))</f>
        <v/>
      </c>
      <c r="E157" s="31" t="str">
        <f aca="false">IF(B157="","",IF(SUM(Veri!$E$5:$E$2004)=0,0,D157/SUM(Veri!$E$5:$E$2004)))</f>
        <v/>
      </c>
      <c r="F157" s="31" t="str">
        <f aca="false">IF(B157="","",SUM(E$5:E157))</f>
        <v/>
      </c>
      <c r="G157" s="32" t="str">
        <f aca="false">IF(B157="","",IF(F156&lt;0.8,"A",IF(F156&lt;0.95,"B","C")))</f>
        <v/>
      </c>
      <c r="H157" s="23" t="str">
        <f aca="false">IF(OR(B157="",C157=0),"",D157/C157)</f>
        <v/>
      </c>
      <c r="I157" s="33" t="str">
        <f aca="false">IF(B157="","",SUMPRODUCT(MAX((Veri!$B$5:$B$2004=B157)*Veri!$A$5:$A$2004)))</f>
        <v/>
      </c>
      <c r="J157" s="16"/>
      <c r="K157" s="16" t="str">
        <f aca="false">IF(153&gt;MAX(Veri!$I$5:$I$2004),"",INDEX(Veri!$B$5:$B$2004,MATCH(153,Veri!$I$5:$I$2004,0)))</f>
        <v/>
      </c>
      <c r="L157" s="16" t="str">
        <f aca="false">IF(K157="","",SUMIFS(Veri!$E$5:$E$2004,Veri!$B$5:$B$2004,K157))</f>
        <v/>
      </c>
      <c r="M157" s="16" t="str">
        <f aca="false">IF(K157="","",L157+ROW()/1000000000)</f>
        <v/>
      </c>
      <c r="N157" s="16"/>
    </row>
    <row r="158" customFormat="false" ht="15" hidden="false" customHeight="false" outlineLevel="0" collapsed="false">
      <c r="A158" s="34" t="str">
        <f aca="false">IF(B158="","",154)</f>
        <v/>
      </c>
      <c r="B158" s="26" t="str">
        <f aca="false">IFERROR(INDEX($K$5:$K$204,MATCH(LARGE($M$5:$M$204,154),$M$5:$M$204,0)),"")</f>
        <v/>
      </c>
      <c r="C158" s="28" t="str">
        <f aca="false">IF(B158="","",COUNTIF(Veri!$B$5:$B$2004,B158))</f>
        <v/>
      </c>
      <c r="D158" s="27" t="str">
        <f aca="false">IF(B158="","",SUMIFS(Veri!$E$5:$E$2004,Veri!$B$5:$B$2004,B158))</f>
        <v/>
      </c>
      <c r="E158" s="35" t="str">
        <f aca="false">IF(B158="","",IF(SUM(Veri!$E$5:$E$2004)=0,0,D158/SUM(Veri!$E$5:$E$2004)))</f>
        <v/>
      </c>
      <c r="F158" s="35" t="str">
        <f aca="false">IF(B158="","",SUM(E$5:E158))</f>
        <v/>
      </c>
      <c r="G158" s="36" t="str">
        <f aca="false">IF(B158="","",IF(F157&lt;0.8,"A",IF(F157&lt;0.95,"B","C")))</f>
        <v/>
      </c>
      <c r="H158" s="27" t="str">
        <f aca="false">IF(OR(B158="",C158=0),"",D158/C158)</f>
        <v/>
      </c>
      <c r="I158" s="37" t="str">
        <f aca="false">IF(B158="","",SUMPRODUCT(MAX((Veri!$B$5:$B$2004=B158)*Veri!$A$5:$A$2004)))</f>
        <v/>
      </c>
      <c r="J158" s="26"/>
      <c r="K158" s="26" t="str">
        <f aca="false">IF(154&gt;MAX(Veri!$I$5:$I$2004),"",INDEX(Veri!$B$5:$B$2004,MATCH(154,Veri!$I$5:$I$2004,0)))</f>
        <v/>
      </c>
      <c r="L158" s="26" t="str">
        <f aca="false">IF(K158="","",SUMIFS(Veri!$E$5:$E$2004,Veri!$B$5:$B$2004,K158))</f>
        <v/>
      </c>
      <c r="M158" s="26" t="str">
        <f aca="false">IF(K158="","",L158+ROW()/1000000000)</f>
        <v/>
      </c>
      <c r="N158" s="26"/>
    </row>
    <row r="159" customFormat="false" ht="15" hidden="false" customHeight="false" outlineLevel="0" collapsed="false">
      <c r="A159" s="30" t="str">
        <f aca="false">IF(B159="","",155)</f>
        <v/>
      </c>
      <c r="B159" s="16" t="str">
        <f aca="false">IFERROR(INDEX($K$5:$K$204,MATCH(LARGE($M$5:$M$204,155),$M$5:$M$204,0)),"")</f>
        <v/>
      </c>
      <c r="C159" s="24" t="str">
        <f aca="false">IF(B159="","",COUNTIF(Veri!$B$5:$B$2004,B159))</f>
        <v/>
      </c>
      <c r="D159" s="23" t="str">
        <f aca="false">IF(B159="","",SUMIFS(Veri!$E$5:$E$2004,Veri!$B$5:$B$2004,B159))</f>
        <v/>
      </c>
      <c r="E159" s="31" t="str">
        <f aca="false">IF(B159="","",IF(SUM(Veri!$E$5:$E$2004)=0,0,D159/SUM(Veri!$E$5:$E$2004)))</f>
        <v/>
      </c>
      <c r="F159" s="31" t="str">
        <f aca="false">IF(B159="","",SUM(E$5:E159))</f>
        <v/>
      </c>
      <c r="G159" s="32" t="str">
        <f aca="false">IF(B159="","",IF(F158&lt;0.8,"A",IF(F158&lt;0.95,"B","C")))</f>
        <v/>
      </c>
      <c r="H159" s="23" t="str">
        <f aca="false">IF(OR(B159="",C159=0),"",D159/C159)</f>
        <v/>
      </c>
      <c r="I159" s="33" t="str">
        <f aca="false">IF(B159="","",SUMPRODUCT(MAX((Veri!$B$5:$B$2004=B159)*Veri!$A$5:$A$2004)))</f>
        <v/>
      </c>
      <c r="J159" s="16"/>
      <c r="K159" s="16" t="str">
        <f aca="false">IF(155&gt;MAX(Veri!$I$5:$I$2004),"",INDEX(Veri!$B$5:$B$2004,MATCH(155,Veri!$I$5:$I$2004,0)))</f>
        <v/>
      </c>
      <c r="L159" s="16" t="str">
        <f aca="false">IF(K159="","",SUMIFS(Veri!$E$5:$E$2004,Veri!$B$5:$B$2004,K159))</f>
        <v/>
      </c>
      <c r="M159" s="16" t="str">
        <f aca="false">IF(K159="","",L159+ROW()/1000000000)</f>
        <v/>
      </c>
      <c r="N159" s="16"/>
    </row>
    <row r="160" customFormat="false" ht="15" hidden="false" customHeight="false" outlineLevel="0" collapsed="false">
      <c r="A160" s="34" t="str">
        <f aca="false">IF(B160="","",156)</f>
        <v/>
      </c>
      <c r="B160" s="26" t="str">
        <f aca="false">IFERROR(INDEX($K$5:$K$204,MATCH(LARGE($M$5:$M$204,156),$M$5:$M$204,0)),"")</f>
        <v/>
      </c>
      <c r="C160" s="28" t="str">
        <f aca="false">IF(B160="","",COUNTIF(Veri!$B$5:$B$2004,B160))</f>
        <v/>
      </c>
      <c r="D160" s="27" t="str">
        <f aca="false">IF(B160="","",SUMIFS(Veri!$E$5:$E$2004,Veri!$B$5:$B$2004,B160))</f>
        <v/>
      </c>
      <c r="E160" s="35" t="str">
        <f aca="false">IF(B160="","",IF(SUM(Veri!$E$5:$E$2004)=0,0,D160/SUM(Veri!$E$5:$E$2004)))</f>
        <v/>
      </c>
      <c r="F160" s="35" t="str">
        <f aca="false">IF(B160="","",SUM(E$5:E160))</f>
        <v/>
      </c>
      <c r="G160" s="36" t="str">
        <f aca="false">IF(B160="","",IF(F159&lt;0.8,"A",IF(F159&lt;0.95,"B","C")))</f>
        <v/>
      </c>
      <c r="H160" s="27" t="str">
        <f aca="false">IF(OR(B160="",C160=0),"",D160/C160)</f>
        <v/>
      </c>
      <c r="I160" s="37" t="str">
        <f aca="false">IF(B160="","",SUMPRODUCT(MAX((Veri!$B$5:$B$2004=B160)*Veri!$A$5:$A$2004)))</f>
        <v/>
      </c>
      <c r="J160" s="26"/>
      <c r="K160" s="26" t="str">
        <f aca="false">IF(156&gt;MAX(Veri!$I$5:$I$2004),"",INDEX(Veri!$B$5:$B$2004,MATCH(156,Veri!$I$5:$I$2004,0)))</f>
        <v/>
      </c>
      <c r="L160" s="26" t="str">
        <f aca="false">IF(K160="","",SUMIFS(Veri!$E$5:$E$2004,Veri!$B$5:$B$2004,K160))</f>
        <v/>
      </c>
      <c r="M160" s="26" t="str">
        <f aca="false">IF(K160="","",L160+ROW()/1000000000)</f>
        <v/>
      </c>
      <c r="N160" s="26"/>
    </row>
    <row r="161" customFormat="false" ht="15" hidden="false" customHeight="false" outlineLevel="0" collapsed="false">
      <c r="A161" s="30" t="str">
        <f aca="false">IF(B161="","",157)</f>
        <v/>
      </c>
      <c r="B161" s="16" t="str">
        <f aca="false">IFERROR(INDEX($K$5:$K$204,MATCH(LARGE($M$5:$M$204,157),$M$5:$M$204,0)),"")</f>
        <v/>
      </c>
      <c r="C161" s="24" t="str">
        <f aca="false">IF(B161="","",COUNTIF(Veri!$B$5:$B$2004,B161))</f>
        <v/>
      </c>
      <c r="D161" s="23" t="str">
        <f aca="false">IF(B161="","",SUMIFS(Veri!$E$5:$E$2004,Veri!$B$5:$B$2004,B161))</f>
        <v/>
      </c>
      <c r="E161" s="31" t="str">
        <f aca="false">IF(B161="","",IF(SUM(Veri!$E$5:$E$2004)=0,0,D161/SUM(Veri!$E$5:$E$2004)))</f>
        <v/>
      </c>
      <c r="F161" s="31" t="str">
        <f aca="false">IF(B161="","",SUM(E$5:E161))</f>
        <v/>
      </c>
      <c r="G161" s="32" t="str">
        <f aca="false">IF(B161="","",IF(F160&lt;0.8,"A",IF(F160&lt;0.95,"B","C")))</f>
        <v/>
      </c>
      <c r="H161" s="23" t="str">
        <f aca="false">IF(OR(B161="",C161=0),"",D161/C161)</f>
        <v/>
      </c>
      <c r="I161" s="33" t="str">
        <f aca="false">IF(B161="","",SUMPRODUCT(MAX((Veri!$B$5:$B$2004=B161)*Veri!$A$5:$A$2004)))</f>
        <v/>
      </c>
      <c r="J161" s="16"/>
      <c r="K161" s="16" t="str">
        <f aca="false">IF(157&gt;MAX(Veri!$I$5:$I$2004),"",INDEX(Veri!$B$5:$B$2004,MATCH(157,Veri!$I$5:$I$2004,0)))</f>
        <v/>
      </c>
      <c r="L161" s="16" t="str">
        <f aca="false">IF(K161="","",SUMIFS(Veri!$E$5:$E$2004,Veri!$B$5:$B$2004,K161))</f>
        <v/>
      </c>
      <c r="M161" s="16" t="str">
        <f aca="false">IF(K161="","",L161+ROW()/1000000000)</f>
        <v/>
      </c>
      <c r="N161" s="16"/>
    </row>
    <row r="162" customFormat="false" ht="15" hidden="false" customHeight="false" outlineLevel="0" collapsed="false">
      <c r="A162" s="34" t="str">
        <f aca="false">IF(B162="","",158)</f>
        <v/>
      </c>
      <c r="B162" s="26" t="str">
        <f aca="false">IFERROR(INDEX($K$5:$K$204,MATCH(LARGE($M$5:$M$204,158),$M$5:$M$204,0)),"")</f>
        <v/>
      </c>
      <c r="C162" s="28" t="str">
        <f aca="false">IF(B162="","",COUNTIF(Veri!$B$5:$B$2004,B162))</f>
        <v/>
      </c>
      <c r="D162" s="27" t="str">
        <f aca="false">IF(B162="","",SUMIFS(Veri!$E$5:$E$2004,Veri!$B$5:$B$2004,B162))</f>
        <v/>
      </c>
      <c r="E162" s="35" t="str">
        <f aca="false">IF(B162="","",IF(SUM(Veri!$E$5:$E$2004)=0,0,D162/SUM(Veri!$E$5:$E$2004)))</f>
        <v/>
      </c>
      <c r="F162" s="35" t="str">
        <f aca="false">IF(B162="","",SUM(E$5:E162))</f>
        <v/>
      </c>
      <c r="G162" s="36" t="str">
        <f aca="false">IF(B162="","",IF(F161&lt;0.8,"A",IF(F161&lt;0.95,"B","C")))</f>
        <v/>
      </c>
      <c r="H162" s="27" t="str">
        <f aca="false">IF(OR(B162="",C162=0),"",D162/C162)</f>
        <v/>
      </c>
      <c r="I162" s="37" t="str">
        <f aca="false">IF(B162="","",SUMPRODUCT(MAX((Veri!$B$5:$B$2004=B162)*Veri!$A$5:$A$2004)))</f>
        <v/>
      </c>
      <c r="J162" s="26"/>
      <c r="K162" s="26" t="str">
        <f aca="false">IF(158&gt;MAX(Veri!$I$5:$I$2004),"",INDEX(Veri!$B$5:$B$2004,MATCH(158,Veri!$I$5:$I$2004,0)))</f>
        <v/>
      </c>
      <c r="L162" s="26" t="str">
        <f aca="false">IF(K162="","",SUMIFS(Veri!$E$5:$E$2004,Veri!$B$5:$B$2004,K162))</f>
        <v/>
      </c>
      <c r="M162" s="26" t="str">
        <f aca="false">IF(K162="","",L162+ROW()/1000000000)</f>
        <v/>
      </c>
      <c r="N162" s="26"/>
    </row>
    <row r="163" customFormat="false" ht="15" hidden="false" customHeight="false" outlineLevel="0" collapsed="false">
      <c r="A163" s="30" t="str">
        <f aca="false">IF(B163="","",159)</f>
        <v/>
      </c>
      <c r="B163" s="16" t="str">
        <f aca="false">IFERROR(INDEX($K$5:$K$204,MATCH(LARGE($M$5:$M$204,159),$M$5:$M$204,0)),"")</f>
        <v/>
      </c>
      <c r="C163" s="24" t="str">
        <f aca="false">IF(B163="","",COUNTIF(Veri!$B$5:$B$2004,B163))</f>
        <v/>
      </c>
      <c r="D163" s="23" t="str">
        <f aca="false">IF(B163="","",SUMIFS(Veri!$E$5:$E$2004,Veri!$B$5:$B$2004,B163))</f>
        <v/>
      </c>
      <c r="E163" s="31" t="str">
        <f aca="false">IF(B163="","",IF(SUM(Veri!$E$5:$E$2004)=0,0,D163/SUM(Veri!$E$5:$E$2004)))</f>
        <v/>
      </c>
      <c r="F163" s="31" t="str">
        <f aca="false">IF(B163="","",SUM(E$5:E163))</f>
        <v/>
      </c>
      <c r="G163" s="32" t="str">
        <f aca="false">IF(B163="","",IF(F162&lt;0.8,"A",IF(F162&lt;0.95,"B","C")))</f>
        <v/>
      </c>
      <c r="H163" s="23" t="str">
        <f aca="false">IF(OR(B163="",C163=0),"",D163/C163)</f>
        <v/>
      </c>
      <c r="I163" s="33" t="str">
        <f aca="false">IF(B163="","",SUMPRODUCT(MAX((Veri!$B$5:$B$2004=B163)*Veri!$A$5:$A$2004)))</f>
        <v/>
      </c>
      <c r="J163" s="16"/>
      <c r="K163" s="16" t="str">
        <f aca="false">IF(159&gt;MAX(Veri!$I$5:$I$2004),"",INDEX(Veri!$B$5:$B$2004,MATCH(159,Veri!$I$5:$I$2004,0)))</f>
        <v/>
      </c>
      <c r="L163" s="16" t="str">
        <f aca="false">IF(K163="","",SUMIFS(Veri!$E$5:$E$2004,Veri!$B$5:$B$2004,K163))</f>
        <v/>
      </c>
      <c r="M163" s="16" t="str">
        <f aca="false">IF(K163="","",L163+ROW()/1000000000)</f>
        <v/>
      </c>
      <c r="N163" s="16"/>
    </row>
    <row r="164" customFormat="false" ht="15" hidden="false" customHeight="false" outlineLevel="0" collapsed="false">
      <c r="A164" s="34" t="str">
        <f aca="false">IF(B164="","",160)</f>
        <v/>
      </c>
      <c r="B164" s="26" t="str">
        <f aca="false">IFERROR(INDEX($K$5:$K$204,MATCH(LARGE($M$5:$M$204,160),$M$5:$M$204,0)),"")</f>
        <v/>
      </c>
      <c r="C164" s="28" t="str">
        <f aca="false">IF(B164="","",COUNTIF(Veri!$B$5:$B$2004,B164))</f>
        <v/>
      </c>
      <c r="D164" s="27" t="str">
        <f aca="false">IF(B164="","",SUMIFS(Veri!$E$5:$E$2004,Veri!$B$5:$B$2004,B164))</f>
        <v/>
      </c>
      <c r="E164" s="35" t="str">
        <f aca="false">IF(B164="","",IF(SUM(Veri!$E$5:$E$2004)=0,0,D164/SUM(Veri!$E$5:$E$2004)))</f>
        <v/>
      </c>
      <c r="F164" s="35" t="str">
        <f aca="false">IF(B164="","",SUM(E$5:E164))</f>
        <v/>
      </c>
      <c r="G164" s="36" t="str">
        <f aca="false">IF(B164="","",IF(F163&lt;0.8,"A",IF(F163&lt;0.95,"B","C")))</f>
        <v/>
      </c>
      <c r="H164" s="27" t="str">
        <f aca="false">IF(OR(B164="",C164=0),"",D164/C164)</f>
        <v/>
      </c>
      <c r="I164" s="37" t="str">
        <f aca="false">IF(B164="","",SUMPRODUCT(MAX((Veri!$B$5:$B$2004=B164)*Veri!$A$5:$A$2004)))</f>
        <v/>
      </c>
      <c r="J164" s="26"/>
      <c r="K164" s="26" t="str">
        <f aca="false">IF(160&gt;MAX(Veri!$I$5:$I$2004),"",INDEX(Veri!$B$5:$B$2004,MATCH(160,Veri!$I$5:$I$2004,0)))</f>
        <v/>
      </c>
      <c r="L164" s="26" t="str">
        <f aca="false">IF(K164="","",SUMIFS(Veri!$E$5:$E$2004,Veri!$B$5:$B$2004,K164))</f>
        <v/>
      </c>
      <c r="M164" s="26" t="str">
        <f aca="false">IF(K164="","",L164+ROW()/1000000000)</f>
        <v/>
      </c>
      <c r="N164" s="26"/>
    </row>
    <row r="165" customFormat="false" ht="15" hidden="false" customHeight="false" outlineLevel="0" collapsed="false">
      <c r="A165" s="30" t="str">
        <f aca="false">IF(B165="","",161)</f>
        <v/>
      </c>
      <c r="B165" s="16" t="str">
        <f aca="false">IFERROR(INDEX($K$5:$K$204,MATCH(LARGE($M$5:$M$204,161),$M$5:$M$204,0)),"")</f>
        <v/>
      </c>
      <c r="C165" s="24" t="str">
        <f aca="false">IF(B165="","",COUNTIF(Veri!$B$5:$B$2004,B165))</f>
        <v/>
      </c>
      <c r="D165" s="23" t="str">
        <f aca="false">IF(B165="","",SUMIFS(Veri!$E$5:$E$2004,Veri!$B$5:$B$2004,B165))</f>
        <v/>
      </c>
      <c r="E165" s="31" t="str">
        <f aca="false">IF(B165="","",IF(SUM(Veri!$E$5:$E$2004)=0,0,D165/SUM(Veri!$E$5:$E$2004)))</f>
        <v/>
      </c>
      <c r="F165" s="31" t="str">
        <f aca="false">IF(B165="","",SUM(E$5:E165))</f>
        <v/>
      </c>
      <c r="G165" s="32" t="str">
        <f aca="false">IF(B165="","",IF(F164&lt;0.8,"A",IF(F164&lt;0.95,"B","C")))</f>
        <v/>
      </c>
      <c r="H165" s="23" t="str">
        <f aca="false">IF(OR(B165="",C165=0),"",D165/C165)</f>
        <v/>
      </c>
      <c r="I165" s="33" t="str">
        <f aca="false">IF(B165="","",SUMPRODUCT(MAX((Veri!$B$5:$B$2004=B165)*Veri!$A$5:$A$2004)))</f>
        <v/>
      </c>
      <c r="J165" s="16"/>
      <c r="K165" s="16" t="str">
        <f aca="false">IF(161&gt;MAX(Veri!$I$5:$I$2004),"",INDEX(Veri!$B$5:$B$2004,MATCH(161,Veri!$I$5:$I$2004,0)))</f>
        <v/>
      </c>
      <c r="L165" s="16" t="str">
        <f aca="false">IF(K165="","",SUMIFS(Veri!$E$5:$E$2004,Veri!$B$5:$B$2004,K165))</f>
        <v/>
      </c>
      <c r="M165" s="16" t="str">
        <f aca="false">IF(K165="","",L165+ROW()/1000000000)</f>
        <v/>
      </c>
      <c r="N165" s="16"/>
    </row>
    <row r="166" customFormat="false" ht="15" hidden="false" customHeight="false" outlineLevel="0" collapsed="false">
      <c r="A166" s="34" t="str">
        <f aca="false">IF(B166="","",162)</f>
        <v/>
      </c>
      <c r="B166" s="26" t="str">
        <f aca="false">IFERROR(INDEX($K$5:$K$204,MATCH(LARGE($M$5:$M$204,162),$M$5:$M$204,0)),"")</f>
        <v/>
      </c>
      <c r="C166" s="28" t="str">
        <f aca="false">IF(B166="","",COUNTIF(Veri!$B$5:$B$2004,B166))</f>
        <v/>
      </c>
      <c r="D166" s="27" t="str">
        <f aca="false">IF(B166="","",SUMIFS(Veri!$E$5:$E$2004,Veri!$B$5:$B$2004,B166))</f>
        <v/>
      </c>
      <c r="E166" s="35" t="str">
        <f aca="false">IF(B166="","",IF(SUM(Veri!$E$5:$E$2004)=0,0,D166/SUM(Veri!$E$5:$E$2004)))</f>
        <v/>
      </c>
      <c r="F166" s="35" t="str">
        <f aca="false">IF(B166="","",SUM(E$5:E166))</f>
        <v/>
      </c>
      <c r="G166" s="36" t="str">
        <f aca="false">IF(B166="","",IF(F165&lt;0.8,"A",IF(F165&lt;0.95,"B","C")))</f>
        <v/>
      </c>
      <c r="H166" s="27" t="str">
        <f aca="false">IF(OR(B166="",C166=0),"",D166/C166)</f>
        <v/>
      </c>
      <c r="I166" s="37" t="str">
        <f aca="false">IF(B166="","",SUMPRODUCT(MAX((Veri!$B$5:$B$2004=B166)*Veri!$A$5:$A$2004)))</f>
        <v/>
      </c>
      <c r="J166" s="26"/>
      <c r="K166" s="26" t="str">
        <f aca="false">IF(162&gt;MAX(Veri!$I$5:$I$2004),"",INDEX(Veri!$B$5:$B$2004,MATCH(162,Veri!$I$5:$I$2004,0)))</f>
        <v/>
      </c>
      <c r="L166" s="26" t="str">
        <f aca="false">IF(K166="","",SUMIFS(Veri!$E$5:$E$2004,Veri!$B$5:$B$2004,K166))</f>
        <v/>
      </c>
      <c r="M166" s="26" t="str">
        <f aca="false">IF(K166="","",L166+ROW()/1000000000)</f>
        <v/>
      </c>
      <c r="N166" s="26"/>
    </row>
    <row r="167" customFormat="false" ht="15" hidden="false" customHeight="false" outlineLevel="0" collapsed="false">
      <c r="A167" s="30" t="str">
        <f aca="false">IF(B167="","",163)</f>
        <v/>
      </c>
      <c r="B167" s="16" t="str">
        <f aca="false">IFERROR(INDEX($K$5:$K$204,MATCH(LARGE($M$5:$M$204,163),$M$5:$M$204,0)),"")</f>
        <v/>
      </c>
      <c r="C167" s="24" t="str">
        <f aca="false">IF(B167="","",COUNTIF(Veri!$B$5:$B$2004,B167))</f>
        <v/>
      </c>
      <c r="D167" s="23" t="str">
        <f aca="false">IF(B167="","",SUMIFS(Veri!$E$5:$E$2004,Veri!$B$5:$B$2004,B167))</f>
        <v/>
      </c>
      <c r="E167" s="31" t="str">
        <f aca="false">IF(B167="","",IF(SUM(Veri!$E$5:$E$2004)=0,0,D167/SUM(Veri!$E$5:$E$2004)))</f>
        <v/>
      </c>
      <c r="F167" s="31" t="str">
        <f aca="false">IF(B167="","",SUM(E$5:E167))</f>
        <v/>
      </c>
      <c r="G167" s="32" t="str">
        <f aca="false">IF(B167="","",IF(F166&lt;0.8,"A",IF(F166&lt;0.95,"B","C")))</f>
        <v/>
      </c>
      <c r="H167" s="23" t="str">
        <f aca="false">IF(OR(B167="",C167=0),"",D167/C167)</f>
        <v/>
      </c>
      <c r="I167" s="33" t="str">
        <f aca="false">IF(B167="","",SUMPRODUCT(MAX((Veri!$B$5:$B$2004=B167)*Veri!$A$5:$A$2004)))</f>
        <v/>
      </c>
      <c r="J167" s="16"/>
      <c r="K167" s="16" t="str">
        <f aca="false">IF(163&gt;MAX(Veri!$I$5:$I$2004),"",INDEX(Veri!$B$5:$B$2004,MATCH(163,Veri!$I$5:$I$2004,0)))</f>
        <v/>
      </c>
      <c r="L167" s="16" t="str">
        <f aca="false">IF(K167="","",SUMIFS(Veri!$E$5:$E$2004,Veri!$B$5:$B$2004,K167))</f>
        <v/>
      </c>
      <c r="M167" s="16" t="str">
        <f aca="false">IF(K167="","",L167+ROW()/1000000000)</f>
        <v/>
      </c>
      <c r="N167" s="16"/>
    </row>
    <row r="168" customFormat="false" ht="15" hidden="false" customHeight="false" outlineLevel="0" collapsed="false">
      <c r="A168" s="34" t="str">
        <f aca="false">IF(B168="","",164)</f>
        <v/>
      </c>
      <c r="B168" s="26" t="str">
        <f aca="false">IFERROR(INDEX($K$5:$K$204,MATCH(LARGE($M$5:$M$204,164),$M$5:$M$204,0)),"")</f>
        <v/>
      </c>
      <c r="C168" s="28" t="str">
        <f aca="false">IF(B168="","",COUNTIF(Veri!$B$5:$B$2004,B168))</f>
        <v/>
      </c>
      <c r="D168" s="27" t="str">
        <f aca="false">IF(B168="","",SUMIFS(Veri!$E$5:$E$2004,Veri!$B$5:$B$2004,B168))</f>
        <v/>
      </c>
      <c r="E168" s="35" t="str">
        <f aca="false">IF(B168="","",IF(SUM(Veri!$E$5:$E$2004)=0,0,D168/SUM(Veri!$E$5:$E$2004)))</f>
        <v/>
      </c>
      <c r="F168" s="35" t="str">
        <f aca="false">IF(B168="","",SUM(E$5:E168))</f>
        <v/>
      </c>
      <c r="G168" s="36" t="str">
        <f aca="false">IF(B168="","",IF(F167&lt;0.8,"A",IF(F167&lt;0.95,"B","C")))</f>
        <v/>
      </c>
      <c r="H168" s="27" t="str">
        <f aca="false">IF(OR(B168="",C168=0),"",D168/C168)</f>
        <v/>
      </c>
      <c r="I168" s="37" t="str">
        <f aca="false">IF(B168="","",SUMPRODUCT(MAX((Veri!$B$5:$B$2004=B168)*Veri!$A$5:$A$2004)))</f>
        <v/>
      </c>
      <c r="J168" s="26"/>
      <c r="K168" s="26" t="str">
        <f aca="false">IF(164&gt;MAX(Veri!$I$5:$I$2004),"",INDEX(Veri!$B$5:$B$2004,MATCH(164,Veri!$I$5:$I$2004,0)))</f>
        <v/>
      </c>
      <c r="L168" s="26" t="str">
        <f aca="false">IF(K168="","",SUMIFS(Veri!$E$5:$E$2004,Veri!$B$5:$B$2004,K168))</f>
        <v/>
      </c>
      <c r="M168" s="26" t="str">
        <f aca="false">IF(K168="","",L168+ROW()/1000000000)</f>
        <v/>
      </c>
      <c r="N168" s="26"/>
    </row>
    <row r="169" customFormat="false" ht="15" hidden="false" customHeight="false" outlineLevel="0" collapsed="false">
      <c r="A169" s="30" t="str">
        <f aca="false">IF(B169="","",165)</f>
        <v/>
      </c>
      <c r="B169" s="16" t="str">
        <f aca="false">IFERROR(INDEX($K$5:$K$204,MATCH(LARGE($M$5:$M$204,165),$M$5:$M$204,0)),"")</f>
        <v/>
      </c>
      <c r="C169" s="24" t="str">
        <f aca="false">IF(B169="","",COUNTIF(Veri!$B$5:$B$2004,B169))</f>
        <v/>
      </c>
      <c r="D169" s="23" t="str">
        <f aca="false">IF(B169="","",SUMIFS(Veri!$E$5:$E$2004,Veri!$B$5:$B$2004,B169))</f>
        <v/>
      </c>
      <c r="E169" s="31" t="str">
        <f aca="false">IF(B169="","",IF(SUM(Veri!$E$5:$E$2004)=0,0,D169/SUM(Veri!$E$5:$E$2004)))</f>
        <v/>
      </c>
      <c r="F169" s="31" t="str">
        <f aca="false">IF(B169="","",SUM(E$5:E169))</f>
        <v/>
      </c>
      <c r="G169" s="32" t="str">
        <f aca="false">IF(B169="","",IF(F168&lt;0.8,"A",IF(F168&lt;0.95,"B","C")))</f>
        <v/>
      </c>
      <c r="H169" s="23" t="str">
        <f aca="false">IF(OR(B169="",C169=0),"",D169/C169)</f>
        <v/>
      </c>
      <c r="I169" s="33" t="str">
        <f aca="false">IF(B169="","",SUMPRODUCT(MAX((Veri!$B$5:$B$2004=B169)*Veri!$A$5:$A$2004)))</f>
        <v/>
      </c>
      <c r="J169" s="16"/>
      <c r="K169" s="16" t="str">
        <f aca="false">IF(165&gt;MAX(Veri!$I$5:$I$2004),"",INDEX(Veri!$B$5:$B$2004,MATCH(165,Veri!$I$5:$I$2004,0)))</f>
        <v/>
      </c>
      <c r="L169" s="16" t="str">
        <f aca="false">IF(K169="","",SUMIFS(Veri!$E$5:$E$2004,Veri!$B$5:$B$2004,K169))</f>
        <v/>
      </c>
      <c r="M169" s="16" t="str">
        <f aca="false">IF(K169="","",L169+ROW()/1000000000)</f>
        <v/>
      </c>
      <c r="N169" s="16"/>
    </row>
    <row r="170" customFormat="false" ht="15" hidden="false" customHeight="false" outlineLevel="0" collapsed="false">
      <c r="A170" s="34" t="str">
        <f aca="false">IF(B170="","",166)</f>
        <v/>
      </c>
      <c r="B170" s="26" t="str">
        <f aca="false">IFERROR(INDEX($K$5:$K$204,MATCH(LARGE($M$5:$M$204,166),$M$5:$M$204,0)),"")</f>
        <v/>
      </c>
      <c r="C170" s="28" t="str">
        <f aca="false">IF(B170="","",COUNTIF(Veri!$B$5:$B$2004,B170))</f>
        <v/>
      </c>
      <c r="D170" s="27" t="str">
        <f aca="false">IF(B170="","",SUMIFS(Veri!$E$5:$E$2004,Veri!$B$5:$B$2004,B170))</f>
        <v/>
      </c>
      <c r="E170" s="35" t="str">
        <f aca="false">IF(B170="","",IF(SUM(Veri!$E$5:$E$2004)=0,0,D170/SUM(Veri!$E$5:$E$2004)))</f>
        <v/>
      </c>
      <c r="F170" s="35" t="str">
        <f aca="false">IF(B170="","",SUM(E$5:E170))</f>
        <v/>
      </c>
      <c r="G170" s="36" t="str">
        <f aca="false">IF(B170="","",IF(F169&lt;0.8,"A",IF(F169&lt;0.95,"B","C")))</f>
        <v/>
      </c>
      <c r="H170" s="27" t="str">
        <f aca="false">IF(OR(B170="",C170=0),"",D170/C170)</f>
        <v/>
      </c>
      <c r="I170" s="37" t="str">
        <f aca="false">IF(B170="","",SUMPRODUCT(MAX((Veri!$B$5:$B$2004=B170)*Veri!$A$5:$A$2004)))</f>
        <v/>
      </c>
      <c r="J170" s="26"/>
      <c r="K170" s="26" t="str">
        <f aca="false">IF(166&gt;MAX(Veri!$I$5:$I$2004),"",INDEX(Veri!$B$5:$B$2004,MATCH(166,Veri!$I$5:$I$2004,0)))</f>
        <v/>
      </c>
      <c r="L170" s="26" t="str">
        <f aca="false">IF(K170="","",SUMIFS(Veri!$E$5:$E$2004,Veri!$B$5:$B$2004,K170))</f>
        <v/>
      </c>
      <c r="M170" s="26" t="str">
        <f aca="false">IF(K170="","",L170+ROW()/1000000000)</f>
        <v/>
      </c>
      <c r="N170" s="26"/>
    </row>
    <row r="171" customFormat="false" ht="15" hidden="false" customHeight="false" outlineLevel="0" collapsed="false">
      <c r="A171" s="30" t="str">
        <f aca="false">IF(B171="","",167)</f>
        <v/>
      </c>
      <c r="B171" s="16" t="str">
        <f aca="false">IFERROR(INDEX($K$5:$K$204,MATCH(LARGE($M$5:$M$204,167),$M$5:$M$204,0)),"")</f>
        <v/>
      </c>
      <c r="C171" s="24" t="str">
        <f aca="false">IF(B171="","",COUNTIF(Veri!$B$5:$B$2004,B171))</f>
        <v/>
      </c>
      <c r="D171" s="23" t="str">
        <f aca="false">IF(B171="","",SUMIFS(Veri!$E$5:$E$2004,Veri!$B$5:$B$2004,B171))</f>
        <v/>
      </c>
      <c r="E171" s="31" t="str">
        <f aca="false">IF(B171="","",IF(SUM(Veri!$E$5:$E$2004)=0,0,D171/SUM(Veri!$E$5:$E$2004)))</f>
        <v/>
      </c>
      <c r="F171" s="31" t="str">
        <f aca="false">IF(B171="","",SUM(E$5:E171))</f>
        <v/>
      </c>
      <c r="G171" s="32" t="str">
        <f aca="false">IF(B171="","",IF(F170&lt;0.8,"A",IF(F170&lt;0.95,"B","C")))</f>
        <v/>
      </c>
      <c r="H171" s="23" t="str">
        <f aca="false">IF(OR(B171="",C171=0),"",D171/C171)</f>
        <v/>
      </c>
      <c r="I171" s="33" t="str">
        <f aca="false">IF(B171="","",SUMPRODUCT(MAX((Veri!$B$5:$B$2004=B171)*Veri!$A$5:$A$2004)))</f>
        <v/>
      </c>
      <c r="J171" s="16"/>
      <c r="K171" s="16" t="str">
        <f aca="false">IF(167&gt;MAX(Veri!$I$5:$I$2004),"",INDEX(Veri!$B$5:$B$2004,MATCH(167,Veri!$I$5:$I$2004,0)))</f>
        <v/>
      </c>
      <c r="L171" s="16" t="str">
        <f aca="false">IF(K171="","",SUMIFS(Veri!$E$5:$E$2004,Veri!$B$5:$B$2004,K171))</f>
        <v/>
      </c>
      <c r="M171" s="16" t="str">
        <f aca="false">IF(K171="","",L171+ROW()/1000000000)</f>
        <v/>
      </c>
      <c r="N171" s="16"/>
    </row>
    <row r="172" customFormat="false" ht="15" hidden="false" customHeight="false" outlineLevel="0" collapsed="false">
      <c r="A172" s="34" t="str">
        <f aca="false">IF(B172="","",168)</f>
        <v/>
      </c>
      <c r="B172" s="26" t="str">
        <f aca="false">IFERROR(INDEX($K$5:$K$204,MATCH(LARGE($M$5:$M$204,168),$M$5:$M$204,0)),"")</f>
        <v/>
      </c>
      <c r="C172" s="28" t="str">
        <f aca="false">IF(B172="","",COUNTIF(Veri!$B$5:$B$2004,B172))</f>
        <v/>
      </c>
      <c r="D172" s="27" t="str">
        <f aca="false">IF(B172="","",SUMIFS(Veri!$E$5:$E$2004,Veri!$B$5:$B$2004,B172))</f>
        <v/>
      </c>
      <c r="E172" s="35" t="str">
        <f aca="false">IF(B172="","",IF(SUM(Veri!$E$5:$E$2004)=0,0,D172/SUM(Veri!$E$5:$E$2004)))</f>
        <v/>
      </c>
      <c r="F172" s="35" t="str">
        <f aca="false">IF(B172="","",SUM(E$5:E172))</f>
        <v/>
      </c>
      <c r="G172" s="36" t="str">
        <f aca="false">IF(B172="","",IF(F171&lt;0.8,"A",IF(F171&lt;0.95,"B","C")))</f>
        <v/>
      </c>
      <c r="H172" s="27" t="str">
        <f aca="false">IF(OR(B172="",C172=0),"",D172/C172)</f>
        <v/>
      </c>
      <c r="I172" s="37" t="str">
        <f aca="false">IF(B172="","",SUMPRODUCT(MAX((Veri!$B$5:$B$2004=B172)*Veri!$A$5:$A$2004)))</f>
        <v/>
      </c>
      <c r="J172" s="26"/>
      <c r="K172" s="26" t="str">
        <f aca="false">IF(168&gt;MAX(Veri!$I$5:$I$2004),"",INDEX(Veri!$B$5:$B$2004,MATCH(168,Veri!$I$5:$I$2004,0)))</f>
        <v/>
      </c>
      <c r="L172" s="26" t="str">
        <f aca="false">IF(K172="","",SUMIFS(Veri!$E$5:$E$2004,Veri!$B$5:$B$2004,K172))</f>
        <v/>
      </c>
      <c r="M172" s="26" t="str">
        <f aca="false">IF(K172="","",L172+ROW()/1000000000)</f>
        <v/>
      </c>
      <c r="N172" s="26"/>
    </row>
    <row r="173" customFormat="false" ht="15" hidden="false" customHeight="false" outlineLevel="0" collapsed="false">
      <c r="A173" s="30" t="str">
        <f aca="false">IF(B173="","",169)</f>
        <v/>
      </c>
      <c r="B173" s="16" t="str">
        <f aca="false">IFERROR(INDEX($K$5:$K$204,MATCH(LARGE($M$5:$M$204,169),$M$5:$M$204,0)),"")</f>
        <v/>
      </c>
      <c r="C173" s="24" t="str">
        <f aca="false">IF(B173="","",COUNTIF(Veri!$B$5:$B$2004,B173))</f>
        <v/>
      </c>
      <c r="D173" s="23" t="str">
        <f aca="false">IF(B173="","",SUMIFS(Veri!$E$5:$E$2004,Veri!$B$5:$B$2004,B173))</f>
        <v/>
      </c>
      <c r="E173" s="31" t="str">
        <f aca="false">IF(B173="","",IF(SUM(Veri!$E$5:$E$2004)=0,0,D173/SUM(Veri!$E$5:$E$2004)))</f>
        <v/>
      </c>
      <c r="F173" s="31" t="str">
        <f aca="false">IF(B173="","",SUM(E$5:E173))</f>
        <v/>
      </c>
      <c r="G173" s="32" t="str">
        <f aca="false">IF(B173="","",IF(F172&lt;0.8,"A",IF(F172&lt;0.95,"B","C")))</f>
        <v/>
      </c>
      <c r="H173" s="23" t="str">
        <f aca="false">IF(OR(B173="",C173=0),"",D173/C173)</f>
        <v/>
      </c>
      <c r="I173" s="33" t="str">
        <f aca="false">IF(B173="","",SUMPRODUCT(MAX((Veri!$B$5:$B$2004=B173)*Veri!$A$5:$A$2004)))</f>
        <v/>
      </c>
      <c r="J173" s="16"/>
      <c r="K173" s="16" t="str">
        <f aca="false">IF(169&gt;MAX(Veri!$I$5:$I$2004),"",INDEX(Veri!$B$5:$B$2004,MATCH(169,Veri!$I$5:$I$2004,0)))</f>
        <v/>
      </c>
      <c r="L173" s="16" t="str">
        <f aca="false">IF(K173="","",SUMIFS(Veri!$E$5:$E$2004,Veri!$B$5:$B$2004,K173))</f>
        <v/>
      </c>
      <c r="M173" s="16" t="str">
        <f aca="false">IF(K173="","",L173+ROW()/1000000000)</f>
        <v/>
      </c>
      <c r="N173" s="16"/>
    </row>
    <row r="174" customFormat="false" ht="15" hidden="false" customHeight="false" outlineLevel="0" collapsed="false">
      <c r="A174" s="34" t="str">
        <f aca="false">IF(B174="","",170)</f>
        <v/>
      </c>
      <c r="B174" s="26" t="str">
        <f aca="false">IFERROR(INDEX($K$5:$K$204,MATCH(LARGE($M$5:$M$204,170),$M$5:$M$204,0)),"")</f>
        <v/>
      </c>
      <c r="C174" s="28" t="str">
        <f aca="false">IF(B174="","",COUNTIF(Veri!$B$5:$B$2004,B174))</f>
        <v/>
      </c>
      <c r="D174" s="27" t="str">
        <f aca="false">IF(B174="","",SUMIFS(Veri!$E$5:$E$2004,Veri!$B$5:$B$2004,B174))</f>
        <v/>
      </c>
      <c r="E174" s="35" t="str">
        <f aca="false">IF(B174="","",IF(SUM(Veri!$E$5:$E$2004)=0,0,D174/SUM(Veri!$E$5:$E$2004)))</f>
        <v/>
      </c>
      <c r="F174" s="35" t="str">
        <f aca="false">IF(B174="","",SUM(E$5:E174))</f>
        <v/>
      </c>
      <c r="G174" s="36" t="str">
        <f aca="false">IF(B174="","",IF(F173&lt;0.8,"A",IF(F173&lt;0.95,"B","C")))</f>
        <v/>
      </c>
      <c r="H174" s="27" t="str">
        <f aca="false">IF(OR(B174="",C174=0),"",D174/C174)</f>
        <v/>
      </c>
      <c r="I174" s="37" t="str">
        <f aca="false">IF(B174="","",SUMPRODUCT(MAX((Veri!$B$5:$B$2004=B174)*Veri!$A$5:$A$2004)))</f>
        <v/>
      </c>
      <c r="J174" s="26"/>
      <c r="K174" s="26" t="str">
        <f aca="false">IF(170&gt;MAX(Veri!$I$5:$I$2004),"",INDEX(Veri!$B$5:$B$2004,MATCH(170,Veri!$I$5:$I$2004,0)))</f>
        <v/>
      </c>
      <c r="L174" s="26" t="str">
        <f aca="false">IF(K174="","",SUMIFS(Veri!$E$5:$E$2004,Veri!$B$5:$B$2004,K174))</f>
        <v/>
      </c>
      <c r="M174" s="26" t="str">
        <f aca="false">IF(K174="","",L174+ROW()/1000000000)</f>
        <v/>
      </c>
      <c r="N174" s="26"/>
    </row>
    <row r="175" customFormat="false" ht="15" hidden="false" customHeight="false" outlineLevel="0" collapsed="false">
      <c r="A175" s="30" t="str">
        <f aca="false">IF(B175="","",171)</f>
        <v/>
      </c>
      <c r="B175" s="16" t="str">
        <f aca="false">IFERROR(INDEX($K$5:$K$204,MATCH(LARGE($M$5:$M$204,171),$M$5:$M$204,0)),"")</f>
        <v/>
      </c>
      <c r="C175" s="24" t="str">
        <f aca="false">IF(B175="","",COUNTIF(Veri!$B$5:$B$2004,B175))</f>
        <v/>
      </c>
      <c r="D175" s="23" t="str">
        <f aca="false">IF(B175="","",SUMIFS(Veri!$E$5:$E$2004,Veri!$B$5:$B$2004,B175))</f>
        <v/>
      </c>
      <c r="E175" s="31" t="str">
        <f aca="false">IF(B175="","",IF(SUM(Veri!$E$5:$E$2004)=0,0,D175/SUM(Veri!$E$5:$E$2004)))</f>
        <v/>
      </c>
      <c r="F175" s="31" t="str">
        <f aca="false">IF(B175="","",SUM(E$5:E175))</f>
        <v/>
      </c>
      <c r="G175" s="32" t="str">
        <f aca="false">IF(B175="","",IF(F174&lt;0.8,"A",IF(F174&lt;0.95,"B","C")))</f>
        <v/>
      </c>
      <c r="H175" s="23" t="str">
        <f aca="false">IF(OR(B175="",C175=0),"",D175/C175)</f>
        <v/>
      </c>
      <c r="I175" s="33" t="str">
        <f aca="false">IF(B175="","",SUMPRODUCT(MAX((Veri!$B$5:$B$2004=B175)*Veri!$A$5:$A$2004)))</f>
        <v/>
      </c>
      <c r="J175" s="16"/>
      <c r="K175" s="16" t="str">
        <f aca="false">IF(171&gt;MAX(Veri!$I$5:$I$2004),"",INDEX(Veri!$B$5:$B$2004,MATCH(171,Veri!$I$5:$I$2004,0)))</f>
        <v/>
      </c>
      <c r="L175" s="16" t="str">
        <f aca="false">IF(K175="","",SUMIFS(Veri!$E$5:$E$2004,Veri!$B$5:$B$2004,K175))</f>
        <v/>
      </c>
      <c r="M175" s="16" t="str">
        <f aca="false">IF(K175="","",L175+ROW()/1000000000)</f>
        <v/>
      </c>
      <c r="N175" s="16"/>
    </row>
    <row r="176" customFormat="false" ht="15" hidden="false" customHeight="false" outlineLevel="0" collapsed="false">
      <c r="A176" s="34" t="str">
        <f aca="false">IF(B176="","",172)</f>
        <v/>
      </c>
      <c r="B176" s="26" t="str">
        <f aca="false">IFERROR(INDEX($K$5:$K$204,MATCH(LARGE($M$5:$M$204,172),$M$5:$M$204,0)),"")</f>
        <v/>
      </c>
      <c r="C176" s="28" t="str">
        <f aca="false">IF(B176="","",COUNTIF(Veri!$B$5:$B$2004,B176))</f>
        <v/>
      </c>
      <c r="D176" s="27" t="str">
        <f aca="false">IF(B176="","",SUMIFS(Veri!$E$5:$E$2004,Veri!$B$5:$B$2004,B176))</f>
        <v/>
      </c>
      <c r="E176" s="35" t="str">
        <f aca="false">IF(B176="","",IF(SUM(Veri!$E$5:$E$2004)=0,0,D176/SUM(Veri!$E$5:$E$2004)))</f>
        <v/>
      </c>
      <c r="F176" s="35" t="str">
        <f aca="false">IF(B176="","",SUM(E$5:E176))</f>
        <v/>
      </c>
      <c r="G176" s="36" t="str">
        <f aca="false">IF(B176="","",IF(F175&lt;0.8,"A",IF(F175&lt;0.95,"B","C")))</f>
        <v/>
      </c>
      <c r="H176" s="27" t="str">
        <f aca="false">IF(OR(B176="",C176=0),"",D176/C176)</f>
        <v/>
      </c>
      <c r="I176" s="37" t="str">
        <f aca="false">IF(B176="","",SUMPRODUCT(MAX((Veri!$B$5:$B$2004=B176)*Veri!$A$5:$A$2004)))</f>
        <v/>
      </c>
      <c r="J176" s="26"/>
      <c r="K176" s="26" t="str">
        <f aca="false">IF(172&gt;MAX(Veri!$I$5:$I$2004),"",INDEX(Veri!$B$5:$B$2004,MATCH(172,Veri!$I$5:$I$2004,0)))</f>
        <v/>
      </c>
      <c r="L176" s="26" t="str">
        <f aca="false">IF(K176="","",SUMIFS(Veri!$E$5:$E$2004,Veri!$B$5:$B$2004,K176))</f>
        <v/>
      </c>
      <c r="M176" s="26" t="str">
        <f aca="false">IF(K176="","",L176+ROW()/1000000000)</f>
        <v/>
      </c>
      <c r="N176" s="26"/>
    </row>
    <row r="177" customFormat="false" ht="15" hidden="false" customHeight="false" outlineLevel="0" collapsed="false">
      <c r="A177" s="30" t="str">
        <f aca="false">IF(B177="","",173)</f>
        <v/>
      </c>
      <c r="B177" s="16" t="str">
        <f aca="false">IFERROR(INDEX($K$5:$K$204,MATCH(LARGE($M$5:$M$204,173),$M$5:$M$204,0)),"")</f>
        <v/>
      </c>
      <c r="C177" s="24" t="str">
        <f aca="false">IF(B177="","",COUNTIF(Veri!$B$5:$B$2004,B177))</f>
        <v/>
      </c>
      <c r="D177" s="23" t="str">
        <f aca="false">IF(B177="","",SUMIFS(Veri!$E$5:$E$2004,Veri!$B$5:$B$2004,B177))</f>
        <v/>
      </c>
      <c r="E177" s="31" t="str">
        <f aca="false">IF(B177="","",IF(SUM(Veri!$E$5:$E$2004)=0,0,D177/SUM(Veri!$E$5:$E$2004)))</f>
        <v/>
      </c>
      <c r="F177" s="31" t="str">
        <f aca="false">IF(B177="","",SUM(E$5:E177))</f>
        <v/>
      </c>
      <c r="G177" s="32" t="str">
        <f aca="false">IF(B177="","",IF(F176&lt;0.8,"A",IF(F176&lt;0.95,"B","C")))</f>
        <v/>
      </c>
      <c r="H177" s="23" t="str">
        <f aca="false">IF(OR(B177="",C177=0),"",D177/C177)</f>
        <v/>
      </c>
      <c r="I177" s="33" t="str">
        <f aca="false">IF(B177="","",SUMPRODUCT(MAX((Veri!$B$5:$B$2004=B177)*Veri!$A$5:$A$2004)))</f>
        <v/>
      </c>
      <c r="J177" s="16"/>
      <c r="K177" s="16" t="str">
        <f aca="false">IF(173&gt;MAX(Veri!$I$5:$I$2004),"",INDEX(Veri!$B$5:$B$2004,MATCH(173,Veri!$I$5:$I$2004,0)))</f>
        <v/>
      </c>
      <c r="L177" s="16" t="str">
        <f aca="false">IF(K177="","",SUMIFS(Veri!$E$5:$E$2004,Veri!$B$5:$B$2004,K177))</f>
        <v/>
      </c>
      <c r="M177" s="16" t="str">
        <f aca="false">IF(K177="","",L177+ROW()/1000000000)</f>
        <v/>
      </c>
      <c r="N177" s="16"/>
    </row>
    <row r="178" customFormat="false" ht="15" hidden="false" customHeight="false" outlineLevel="0" collapsed="false">
      <c r="A178" s="34" t="str">
        <f aca="false">IF(B178="","",174)</f>
        <v/>
      </c>
      <c r="B178" s="26" t="str">
        <f aca="false">IFERROR(INDEX($K$5:$K$204,MATCH(LARGE($M$5:$M$204,174),$M$5:$M$204,0)),"")</f>
        <v/>
      </c>
      <c r="C178" s="28" t="str">
        <f aca="false">IF(B178="","",COUNTIF(Veri!$B$5:$B$2004,B178))</f>
        <v/>
      </c>
      <c r="D178" s="27" t="str">
        <f aca="false">IF(B178="","",SUMIFS(Veri!$E$5:$E$2004,Veri!$B$5:$B$2004,B178))</f>
        <v/>
      </c>
      <c r="E178" s="35" t="str">
        <f aca="false">IF(B178="","",IF(SUM(Veri!$E$5:$E$2004)=0,0,D178/SUM(Veri!$E$5:$E$2004)))</f>
        <v/>
      </c>
      <c r="F178" s="35" t="str">
        <f aca="false">IF(B178="","",SUM(E$5:E178))</f>
        <v/>
      </c>
      <c r="G178" s="36" t="str">
        <f aca="false">IF(B178="","",IF(F177&lt;0.8,"A",IF(F177&lt;0.95,"B","C")))</f>
        <v/>
      </c>
      <c r="H178" s="27" t="str">
        <f aca="false">IF(OR(B178="",C178=0),"",D178/C178)</f>
        <v/>
      </c>
      <c r="I178" s="37" t="str">
        <f aca="false">IF(B178="","",SUMPRODUCT(MAX((Veri!$B$5:$B$2004=B178)*Veri!$A$5:$A$2004)))</f>
        <v/>
      </c>
      <c r="J178" s="26"/>
      <c r="K178" s="26" t="str">
        <f aca="false">IF(174&gt;MAX(Veri!$I$5:$I$2004),"",INDEX(Veri!$B$5:$B$2004,MATCH(174,Veri!$I$5:$I$2004,0)))</f>
        <v/>
      </c>
      <c r="L178" s="26" t="str">
        <f aca="false">IF(K178="","",SUMIFS(Veri!$E$5:$E$2004,Veri!$B$5:$B$2004,K178))</f>
        <v/>
      </c>
      <c r="M178" s="26" t="str">
        <f aca="false">IF(K178="","",L178+ROW()/1000000000)</f>
        <v/>
      </c>
      <c r="N178" s="26"/>
    </row>
    <row r="179" customFormat="false" ht="15" hidden="false" customHeight="false" outlineLevel="0" collapsed="false">
      <c r="A179" s="30" t="str">
        <f aca="false">IF(B179="","",175)</f>
        <v/>
      </c>
      <c r="B179" s="16" t="str">
        <f aca="false">IFERROR(INDEX($K$5:$K$204,MATCH(LARGE($M$5:$M$204,175),$M$5:$M$204,0)),"")</f>
        <v/>
      </c>
      <c r="C179" s="24" t="str">
        <f aca="false">IF(B179="","",COUNTIF(Veri!$B$5:$B$2004,B179))</f>
        <v/>
      </c>
      <c r="D179" s="23" t="str">
        <f aca="false">IF(B179="","",SUMIFS(Veri!$E$5:$E$2004,Veri!$B$5:$B$2004,B179))</f>
        <v/>
      </c>
      <c r="E179" s="31" t="str">
        <f aca="false">IF(B179="","",IF(SUM(Veri!$E$5:$E$2004)=0,0,D179/SUM(Veri!$E$5:$E$2004)))</f>
        <v/>
      </c>
      <c r="F179" s="31" t="str">
        <f aca="false">IF(B179="","",SUM(E$5:E179))</f>
        <v/>
      </c>
      <c r="G179" s="32" t="str">
        <f aca="false">IF(B179="","",IF(F178&lt;0.8,"A",IF(F178&lt;0.95,"B","C")))</f>
        <v/>
      </c>
      <c r="H179" s="23" t="str">
        <f aca="false">IF(OR(B179="",C179=0),"",D179/C179)</f>
        <v/>
      </c>
      <c r="I179" s="33" t="str">
        <f aca="false">IF(B179="","",SUMPRODUCT(MAX((Veri!$B$5:$B$2004=B179)*Veri!$A$5:$A$2004)))</f>
        <v/>
      </c>
      <c r="J179" s="16"/>
      <c r="K179" s="16" t="str">
        <f aca="false">IF(175&gt;MAX(Veri!$I$5:$I$2004),"",INDEX(Veri!$B$5:$B$2004,MATCH(175,Veri!$I$5:$I$2004,0)))</f>
        <v/>
      </c>
      <c r="L179" s="16" t="str">
        <f aca="false">IF(K179="","",SUMIFS(Veri!$E$5:$E$2004,Veri!$B$5:$B$2004,K179))</f>
        <v/>
      </c>
      <c r="M179" s="16" t="str">
        <f aca="false">IF(K179="","",L179+ROW()/1000000000)</f>
        <v/>
      </c>
      <c r="N179" s="16"/>
    </row>
    <row r="180" customFormat="false" ht="15" hidden="false" customHeight="false" outlineLevel="0" collapsed="false">
      <c r="A180" s="34" t="str">
        <f aca="false">IF(B180="","",176)</f>
        <v/>
      </c>
      <c r="B180" s="26" t="str">
        <f aca="false">IFERROR(INDEX($K$5:$K$204,MATCH(LARGE($M$5:$M$204,176),$M$5:$M$204,0)),"")</f>
        <v/>
      </c>
      <c r="C180" s="28" t="str">
        <f aca="false">IF(B180="","",COUNTIF(Veri!$B$5:$B$2004,B180))</f>
        <v/>
      </c>
      <c r="D180" s="27" t="str">
        <f aca="false">IF(B180="","",SUMIFS(Veri!$E$5:$E$2004,Veri!$B$5:$B$2004,B180))</f>
        <v/>
      </c>
      <c r="E180" s="35" t="str">
        <f aca="false">IF(B180="","",IF(SUM(Veri!$E$5:$E$2004)=0,0,D180/SUM(Veri!$E$5:$E$2004)))</f>
        <v/>
      </c>
      <c r="F180" s="35" t="str">
        <f aca="false">IF(B180="","",SUM(E$5:E180))</f>
        <v/>
      </c>
      <c r="G180" s="36" t="str">
        <f aca="false">IF(B180="","",IF(F179&lt;0.8,"A",IF(F179&lt;0.95,"B","C")))</f>
        <v/>
      </c>
      <c r="H180" s="27" t="str">
        <f aca="false">IF(OR(B180="",C180=0),"",D180/C180)</f>
        <v/>
      </c>
      <c r="I180" s="37" t="str">
        <f aca="false">IF(B180="","",SUMPRODUCT(MAX((Veri!$B$5:$B$2004=B180)*Veri!$A$5:$A$2004)))</f>
        <v/>
      </c>
      <c r="J180" s="26"/>
      <c r="K180" s="26" t="str">
        <f aca="false">IF(176&gt;MAX(Veri!$I$5:$I$2004),"",INDEX(Veri!$B$5:$B$2004,MATCH(176,Veri!$I$5:$I$2004,0)))</f>
        <v/>
      </c>
      <c r="L180" s="26" t="str">
        <f aca="false">IF(K180="","",SUMIFS(Veri!$E$5:$E$2004,Veri!$B$5:$B$2004,K180))</f>
        <v/>
      </c>
      <c r="M180" s="26" t="str">
        <f aca="false">IF(K180="","",L180+ROW()/1000000000)</f>
        <v/>
      </c>
      <c r="N180" s="26"/>
    </row>
    <row r="181" customFormat="false" ht="15" hidden="false" customHeight="false" outlineLevel="0" collapsed="false">
      <c r="A181" s="30" t="str">
        <f aca="false">IF(B181="","",177)</f>
        <v/>
      </c>
      <c r="B181" s="16" t="str">
        <f aca="false">IFERROR(INDEX($K$5:$K$204,MATCH(LARGE($M$5:$M$204,177),$M$5:$M$204,0)),"")</f>
        <v/>
      </c>
      <c r="C181" s="24" t="str">
        <f aca="false">IF(B181="","",COUNTIF(Veri!$B$5:$B$2004,B181))</f>
        <v/>
      </c>
      <c r="D181" s="23" t="str">
        <f aca="false">IF(B181="","",SUMIFS(Veri!$E$5:$E$2004,Veri!$B$5:$B$2004,B181))</f>
        <v/>
      </c>
      <c r="E181" s="31" t="str">
        <f aca="false">IF(B181="","",IF(SUM(Veri!$E$5:$E$2004)=0,0,D181/SUM(Veri!$E$5:$E$2004)))</f>
        <v/>
      </c>
      <c r="F181" s="31" t="str">
        <f aca="false">IF(B181="","",SUM(E$5:E181))</f>
        <v/>
      </c>
      <c r="G181" s="32" t="str">
        <f aca="false">IF(B181="","",IF(F180&lt;0.8,"A",IF(F180&lt;0.95,"B","C")))</f>
        <v/>
      </c>
      <c r="H181" s="23" t="str">
        <f aca="false">IF(OR(B181="",C181=0),"",D181/C181)</f>
        <v/>
      </c>
      <c r="I181" s="33" t="str">
        <f aca="false">IF(B181="","",SUMPRODUCT(MAX((Veri!$B$5:$B$2004=B181)*Veri!$A$5:$A$2004)))</f>
        <v/>
      </c>
      <c r="J181" s="16"/>
      <c r="K181" s="16" t="str">
        <f aca="false">IF(177&gt;MAX(Veri!$I$5:$I$2004),"",INDEX(Veri!$B$5:$B$2004,MATCH(177,Veri!$I$5:$I$2004,0)))</f>
        <v/>
      </c>
      <c r="L181" s="16" t="str">
        <f aca="false">IF(K181="","",SUMIFS(Veri!$E$5:$E$2004,Veri!$B$5:$B$2004,K181))</f>
        <v/>
      </c>
      <c r="M181" s="16" t="str">
        <f aca="false">IF(K181="","",L181+ROW()/1000000000)</f>
        <v/>
      </c>
      <c r="N181" s="16"/>
    </row>
    <row r="182" customFormat="false" ht="15" hidden="false" customHeight="false" outlineLevel="0" collapsed="false">
      <c r="A182" s="34" t="str">
        <f aca="false">IF(B182="","",178)</f>
        <v/>
      </c>
      <c r="B182" s="26" t="str">
        <f aca="false">IFERROR(INDEX($K$5:$K$204,MATCH(LARGE($M$5:$M$204,178),$M$5:$M$204,0)),"")</f>
        <v/>
      </c>
      <c r="C182" s="28" t="str">
        <f aca="false">IF(B182="","",COUNTIF(Veri!$B$5:$B$2004,B182))</f>
        <v/>
      </c>
      <c r="D182" s="27" t="str">
        <f aca="false">IF(B182="","",SUMIFS(Veri!$E$5:$E$2004,Veri!$B$5:$B$2004,B182))</f>
        <v/>
      </c>
      <c r="E182" s="35" t="str">
        <f aca="false">IF(B182="","",IF(SUM(Veri!$E$5:$E$2004)=0,0,D182/SUM(Veri!$E$5:$E$2004)))</f>
        <v/>
      </c>
      <c r="F182" s="35" t="str">
        <f aca="false">IF(B182="","",SUM(E$5:E182))</f>
        <v/>
      </c>
      <c r="G182" s="36" t="str">
        <f aca="false">IF(B182="","",IF(F181&lt;0.8,"A",IF(F181&lt;0.95,"B","C")))</f>
        <v/>
      </c>
      <c r="H182" s="27" t="str">
        <f aca="false">IF(OR(B182="",C182=0),"",D182/C182)</f>
        <v/>
      </c>
      <c r="I182" s="37" t="str">
        <f aca="false">IF(B182="","",SUMPRODUCT(MAX((Veri!$B$5:$B$2004=B182)*Veri!$A$5:$A$2004)))</f>
        <v/>
      </c>
      <c r="J182" s="26"/>
      <c r="K182" s="26" t="str">
        <f aca="false">IF(178&gt;MAX(Veri!$I$5:$I$2004),"",INDEX(Veri!$B$5:$B$2004,MATCH(178,Veri!$I$5:$I$2004,0)))</f>
        <v/>
      </c>
      <c r="L182" s="26" t="str">
        <f aca="false">IF(K182="","",SUMIFS(Veri!$E$5:$E$2004,Veri!$B$5:$B$2004,K182))</f>
        <v/>
      </c>
      <c r="M182" s="26" t="str">
        <f aca="false">IF(K182="","",L182+ROW()/1000000000)</f>
        <v/>
      </c>
      <c r="N182" s="26"/>
    </row>
    <row r="183" customFormat="false" ht="15" hidden="false" customHeight="false" outlineLevel="0" collapsed="false">
      <c r="A183" s="30" t="str">
        <f aca="false">IF(B183="","",179)</f>
        <v/>
      </c>
      <c r="B183" s="16" t="str">
        <f aca="false">IFERROR(INDEX($K$5:$K$204,MATCH(LARGE($M$5:$M$204,179),$M$5:$M$204,0)),"")</f>
        <v/>
      </c>
      <c r="C183" s="24" t="str">
        <f aca="false">IF(B183="","",COUNTIF(Veri!$B$5:$B$2004,B183))</f>
        <v/>
      </c>
      <c r="D183" s="23" t="str">
        <f aca="false">IF(B183="","",SUMIFS(Veri!$E$5:$E$2004,Veri!$B$5:$B$2004,B183))</f>
        <v/>
      </c>
      <c r="E183" s="31" t="str">
        <f aca="false">IF(B183="","",IF(SUM(Veri!$E$5:$E$2004)=0,0,D183/SUM(Veri!$E$5:$E$2004)))</f>
        <v/>
      </c>
      <c r="F183" s="31" t="str">
        <f aca="false">IF(B183="","",SUM(E$5:E183))</f>
        <v/>
      </c>
      <c r="G183" s="32" t="str">
        <f aca="false">IF(B183="","",IF(F182&lt;0.8,"A",IF(F182&lt;0.95,"B","C")))</f>
        <v/>
      </c>
      <c r="H183" s="23" t="str">
        <f aca="false">IF(OR(B183="",C183=0),"",D183/C183)</f>
        <v/>
      </c>
      <c r="I183" s="33" t="str">
        <f aca="false">IF(B183="","",SUMPRODUCT(MAX((Veri!$B$5:$B$2004=B183)*Veri!$A$5:$A$2004)))</f>
        <v/>
      </c>
      <c r="J183" s="16"/>
      <c r="K183" s="16" t="str">
        <f aca="false">IF(179&gt;MAX(Veri!$I$5:$I$2004),"",INDEX(Veri!$B$5:$B$2004,MATCH(179,Veri!$I$5:$I$2004,0)))</f>
        <v/>
      </c>
      <c r="L183" s="16" t="str">
        <f aca="false">IF(K183="","",SUMIFS(Veri!$E$5:$E$2004,Veri!$B$5:$B$2004,K183))</f>
        <v/>
      </c>
      <c r="M183" s="16" t="str">
        <f aca="false">IF(K183="","",L183+ROW()/1000000000)</f>
        <v/>
      </c>
      <c r="N183" s="16"/>
    </row>
    <row r="184" customFormat="false" ht="15" hidden="false" customHeight="false" outlineLevel="0" collapsed="false">
      <c r="A184" s="34" t="str">
        <f aca="false">IF(B184="","",180)</f>
        <v/>
      </c>
      <c r="B184" s="26" t="str">
        <f aca="false">IFERROR(INDEX($K$5:$K$204,MATCH(LARGE($M$5:$M$204,180),$M$5:$M$204,0)),"")</f>
        <v/>
      </c>
      <c r="C184" s="28" t="str">
        <f aca="false">IF(B184="","",COUNTIF(Veri!$B$5:$B$2004,B184))</f>
        <v/>
      </c>
      <c r="D184" s="27" t="str">
        <f aca="false">IF(B184="","",SUMIFS(Veri!$E$5:$E$2004,Veri!$B$5:$B$2004,B184))</f>
        <v/>
      </c>
      <c r="E184" s="35" t="str">
        <f aca="false">IF(B184="","",IF(SUM(Veri!$E$5:$E$2004)=0,0,D184/SUM(Veri!$E$5:$E$2004)))</f>
        <v/>
      </c>
      <c r="F184" s="35" t="str">
        <f aca="false">IF(B184="","",SUM(E$5:E184))</f>
        <v/>
      </c>
      <c r="G184" s="36" t="str">
        <f aca="false">IF(B184="","",IF(F183&lt;0.8,"A",IF(F183&lt;0.95,"B","C")))</f>
        <v/>
      </c>
      <c r="H184" s="27" t="str">
        <f aca="false">IF(OR(B184="",C184=0),"",D184/C184)</f>
        <v/>
      </c>
      <c r="I184" s="37" t="str">
        <f aca="false">IF(B184="","",SUMPRODUCT(MAX((Veri!$B$5:$B$2004=B184)*Veri!$A$5:$A$2004)))</f>
        <v/>
      </c>
      <c r="J184" s="26"/>
      <c r="K184" s="26" t="str">
        <f aca="false">IF(180&gt;MAX(Veri!$I$5:$I$2004),"",INDEX(Veri!$B$5:$B$2004,MATCH(180,Veri!$I$5:$I$2004,0)))</f>
        <v/>
      </c>
      <c r="L184" s="26" t="str">
        <f aca="false">IF(K184="","",SUMIFS(Veri!$E$5:$E$2004,Veri!$B$5:$B$2004,K184))</f>
        <v/>
      </c>
      <c r="M184" s="26" t="str">
        <f aca="false">IF(K184="","",L184+ROW()/1000000000)</f>
        <v/>
      </c>
      <c r="N184" s="26"/>
    </row>
    <row r="185" customFormat="false" ht="15" hidden="false" customHeight="false" outlineLevel="0" collapsed="false">
      <c r="A185" s="30" t="str">
        <f aca="false">IF(B185="","",181)</f>
        <v/>
      </c>
      <c r="B185" s="16" t="str">
        <f aca="false">IFERROR(INDEX($K$5:$K$204,MATCH(LARGE($M$5:$M$204,181),$M$5:$M$204,0)),"")</f>
        <v/>
      </c>
      <c r="C185" s="24" t="str">
        <f aca="false">IF(B185="","",COUNTIF(Veri!$B$5:$B$2004,B185))</f>
        <v/>
      </c>
      <c r="D185" s="23" t="str">
        <f aca="false">IF(B185="","",SUMIFS(Veri!$E$5:$E$2004,Veri!$B$5:$B$2004,B185))</f>
        <v/>
      </c>
      <c r="E185" s="31" t="str">
        <f aca="false">IF(B185="","",IF(SUM(Veri!$E$5:$E$2004)=0,0,D185/SUM(Veri!$E$5:$E$2004)))</f>
        <v/>
      </c>
      <c r="F185" s="31" t="str">
        <f aca="false">IF(B185="","",SUM(E$5:E185))</f>
        <v/>
      </c>
      <c r="G185" s="32" t="str">
        <f aca="false">IF(B185="","",IF(F184&lt;0.8,"A",IF(F184&lt;0.95,"B","C")))</f>
        <v/>
      </c>
      <c r="H185" s="23" t="str">
        <f aca="false">IF(OR(B185="",C185=0),"",D185/C185)</f>
        <v/>
      </c>
      <c r="I185" s="33" t="str">
        <f aca="false">IF(B185="","",SUMPRODUCT(MAX((Veri!$B$5:$B$2004=B185)*Veri!$A$5:$A$2004)))</f>
        <v/>
      </c>
      <c r="J185" s="16"/>
      <c r="K185" s="16" t="str">
        <f aca="false">IF(181&gt;MAX(Veri!$I$5:$I$2004),"",INDEX(Veri!$B$5:$B$2004,MATCH(181,Veri!$I$5:$I$2004,0)))</f>
        <v/>
      </c>
      <c r="L185" s="16" t="str">
        <f aca="false">IF(K185="","",SUMIFS(Veri!$E$5:$E$2004,Veri!$B$5:$B$2004,K185))</f>
        <v/>
      </c>
      <c r="M185" s="16" t="str">
        <f aca="false">IF(K185="","",L185+ROW()/1000000000)</f>
        <v/>
      </c>
      <c r="N185" s="16"/>
    </row>
    <row r="186" customFormat="false" ht="15" hidden="false" customHeight="false" outlineLevel="0" collapsed="false">
      <c r="A186" s="34" t="str">
        <f aca="false">IF(B186="","",182)</f>
        <v/>
      </c>
      <c r="B186" s="26" t="str">
        <f aca="false">IFERROR(INDEX($K$5:$K$204,MATCH(LARGE($M$5:$M$204,182),$M$5:$M$204,0)),"")</f>
        <v/>
      </c>
      <c r="C186" s="28" t="str">
        <f aca="false">IF(B186="","",COUNTIF(Veri!$B$5:$B$2004,B186))</f>
        <v/>
      </c>
      <c r="D186" s="27" t="str">
        <f aca="false">IF(B186="","",SUMIFS(Veri!$E$5:$E$2004,Veri!$B$5:$B$2004,B186))</f>
        <v/>
      </c>
      <c r="E186" s="35" t="str">
        <f aca="false">IF(B186="","",IF(SUM(Veri!$E$5:$E$2004)=0,0,D186/SUM(Veri!$E$5:$E$2004)))</f>
        <v/>
      </c>
      <c r="F186" s="35" t="str">
        <f aca="false">IF(B186="","",SUM(E$5:E186))</f>
        <v/>
      </c>
      <c r="G186" s="36" t="str">
        <f aca="false">IF(B186="","",IF(F185&lt;0.8,"A",IF(F185&lt;0.95,"B","C")))</f>
        <v/>
      </c>
      <c r="H186" s="27" t="str">
        <f aca="false">IF(OR(B186="",C186=0),"",D186/C186)</f>
        <v/>
      </c>
      <c r="I186" s="37" t="str">
        <f aca="false">IF(B186="","",SUMPRODUCT(MAX((Veri!$B$5:$B$2004=B186)*Veri!$A$5:$A$2004)))</f>
        <v/>
      </c>
      <c r="J186" s="26"/>
      <c r="K186" s="26" t="str">
        <f aca="false">IF(182&gt;MAX(Veri!$I$5:$I$2004),"",INDEX(Veri!$B$5:$B$2004,MATCH(182,Veri!$I$5:$I$2004,0)))</f>
        <v/>
      </c>
      <c r="L186" s="26" t="str">
        <f aca="false">IF(K186="","",SUMIFS(Veri!$E$5:$E$2004,Veri!$B$5:$B$2004,K186))</f>
        <v/>
      </c>
      <c r="M186" s="26" t="str">
        <f aca="false">IF(K186="","",L186+ROW()/1000000000)</f>
        <v/>
      </c>
      <c r="N186" s="26"/>
    </row>
    <row r="187" customFormat="false" ht="15" hidden="false" customHeight="false" outlineLevel="0" collapsed="false">
      <c r="A187" s="30" t="str">
        <f aca="false">IF(B187="","",183)</f>
        <v/>
      </c>
      <c r="B187" s="16" t="str">
        <f aca="false">IFERROR(INDEX($K$5:$K$204,MATCH(LARGE($M$5:$M$204,183),$M$5:$M$204,0)),"")</f>
        <v/>
      </c>
      <c r="C187" s="24" t="str">
        <f aca="false">IF(B187="","",COUNTIF(Veri!$B$5:$B$2004,B187))</f>
        <v/>
      </c>
      <c r="D187" s="23" t="str">
        <f aca="false">IF(B187="","",SUMIFS(Veri!$E$5:$E$2004,Veri!$B$5:$B$2004,B187))</f>
        <v/>
      </c>
      <c r="E187" s="31" t="str">
        <f aca="false">IF(B187="","",IF(SUM(Veri!$E$5:$E$2004)=0,0,D187/SUM(Veri!$E$5:$E$2004)))</f>
        <v/>
      </c>
      <c r="F187" s="31" t="str">
        <f aca="false">IF(B187="","",SUM(E$5:E187))</f>
        <v/>
      </c>
      <c r="G187" s="32" t="str">
        <f aca="false">IF(B187="","",IF(F186&lt;0.8,"A",IF(F186&lt;0.95,"B","C")))</f>
        <v/>
      </c>
      <c r="H187" s="23" t="str">
        <f aca="false">IF(OR(B187="",C187=0),"",D187/C187)</f>
        <v/>
      </c>
      <c r="I187" s="33" t="str">
        <f aca="false">IF(B187="","",SUMPRODUCT(MAX((Veri!$B$5:$B$2004=B187)*Veri!$A$5:$A$2004)))</f>
        <v/>
      </c>
      <c r="J187" s="16"/>
      <c r="K187" s="16" t="str">
        <f aca="false">IF(183&gt;MAX(Veri!$I$5:$I$2004),"",INDEX(Veri!$B$5:$B$2004,MATCH(183,Veri!$I$5:$I$2004,0)))</f>
        <v/>
      </c>
      <c r="L187" s="16" t="str">
        <f aca="false">IF(K187="","",SUMIFS(Veri!$E$5:$E$2004,Veri!$B$5:$B$2004,K187))</f>
        <v/>
      </c>
      <c r="M187" s="16" t="str">
        <f aca="false">IF(K187="","",L187+ROW()/1000000000)</f>
        <v/>
      </c>
      <c r="N187" s="16"/>
    </row>
    <row r="188" customFormat="false" ht="15" hidden="false" customHeight="false" outlineLevel="0" collapsed="false">
      <c r="A188" s="34" t="str">
        <f aca="false">IF(B188="","",184)</f>
        <v/>
      </c>
      <c r="B188" s="26" t="str">
        <f aca="false">IFERROR(INDEX($K$5:$K$204,MATCH(LARGE($M$5:$M$204,184),$M$5:$M$204,0)),"")</f>
        <v/>
      </c>
      <c r="C188" s="28" t="str">
        <f aca="false">IF(B188="","",COUNTIF(Veri!$B$5:$B$2004,B188))</f>
        <v/>
      </c>
      <c r="D188" s="27" t="str">
        <f aca="false">IF(B188="","",SUMIFS(Veri!$E$5:$E$2004,Veri!$B$5:$B$2004,B188))</f>
        <v/>
      </c>
      <c r="E188" s="35" t="str">
        <f aca="false">IF(B188="","",IF(SUM(Veri!$E$5:$E$2004)=0,0,D188/SUM(Veri!$E$5:$E$2004)))</f>
        <v/>
      </c>
      <c r="F188" s="35" t="str">
        <f aca="false">IF(B188="","",SUM(E$5:E188))</f>
        <v/>
      </c>
      <c r="G188" s="36" t="str">
        <f aca="false">IF(B188="","",IF(F187&lt;0.8,"A",IF(F187&lt;0.95,"B","C")))</f>
        <v/>
      </c>
      <c r="H188" s="27" t="str">
        <f aca="false">IF(OR(B188="",C188=0),"",D188/C188)</f>
        <v/>
      </c>
      <c r="I188" s="37" t="str">
        <f aca="false">IF(B188="","",SUMPRODUCT(MAX((Veri!$B$5:$B$2004=B188)*Veri!$A$5:$A$2004)))</f>
        <v/>
      </c>
      <c r="J188" s="26"/>
      <c r="K188" s="26" t="str">
        <f aca="false">IF(184&gt;MAX(Veri!$I$5:$I$2004),"",INDEX(Veri!$B$5:$B$2004,MATCH(184,Veri!$I$5:$I$2004,0)))</f>
        <v/>
      </c>
      <c r="L188" s="26" t="str">
        <f aca="false">IF(K188="","",SUMIFS(Veri!$E$5:$E$2004,Veri!$B$5:$B$2004,K188))</f>
        <v/>
      </c>
      <c r="M188" s="26" t="str">
        <f aca="false">IF(K188="","",L188+ROW()/1000000000)</f>
        <v/>
      </c>
      <c r="N188" s="26"/>
    </row>
    <row r="189" customFormat="false" ht="15" hidden="false" customHeight="false" outlineLevel="0" collapsed="false">
      <c r="A189" s="30" t="str">
        <f aca="false">IF(B189="","",185)</f>
        <v/>
      </c>
      <c r="B189" s="16" t="str">
        <f aca="false">IFERROR(INDEX($K$5:$K$204,MATCH(LARGE($M$5:$M$204,185),$M$5:$M$204,0)),"")</f>
        <v/>
      </c>
      <c r="C189" s="24" t="str">
        <f aca="false">IF(B189="","",COUNTIF(Veri!$B$5:$B$2004,B189))</f>
        <v/>
      </c>
      <c r="D189" s="23" t="str">
        <f aca="false">IF(B189="","",SUMIFS(Veri!$E$5:$E$2004,Veri!$B$5:$B$2004,B189))</f>
        <v/>
      </c>
      <c r="E189" s="31" t="str">
        <f aca="false">IF(B189="","",IF(SUM(Veri!$E$5:$E$2004)=0,0,D189/SUM(Veri!$E$5:$E$2004)))</f>
        <v/>
      </c>
      <c r="F189" s="31" t="str">
        <f aca="false">IF(B189="","",SUM(E$5:E189))</f>
        <v/>
      </c>
      <c r="G189" s="32" t="str">
        <f aca="false">IF(B189="","",IF(F188&lt;0.8,"A",IF(F188&lt;0.95,"B","C")))</f>
        <v/>
      </c>
      <c r="H189" s="23" t="str">
        <f aca="false">IF(OR(B189="",C189=0),"",D189/C189)</f>
        <v/>
      </c>
      <c r="I189" s="33" t="str">
        <f aca="false">IF(B189="","",SUMPRODUCT(MAX((Veri!$B$5:$B$2004=B189)*Veri!$A$5:$A$2004)))</f>
        <v/>
      </c>
      <c r="J189" s="16"/>
      <c r="K189" s="16" t="str">
        <f aca="false">IF(185&gt;MAX(Veri!$I$5:$I$2004),"",INDEX(Veri!$B$5:$B$2004,MATCH(185,Veri!$I$5:$I$2004,0)))</f>
        <v/>
      </c>
      <c r="L189" s="16" t="str">
        <f aca="false">IF(K189="","",SUMIFS(Veri!$E$5:$E$2004,Veri!$B$5:$B$2004,K189))</f>
        <v/>
      </c>
      <c r="M189" s="16" t="str">
        <f aca="false">IF(K189="","",L189+ROW()/1000000000)</f>
        <v/>
      </c>
      <c r="N189" s="16"/>
    </row>
    <row r="190" customFormat="false" ht="15" hidden="false" customHeight="false" outlineLevel="0" collapsed="false">
      <c r="A190" s="34" t="str">
        <f aca="false">IF(B190="","",186)</f>
        <v/>
      </c>
      <c r="B190" s="26" t="str">
        <f aca="false">IFERROR(INDEX($K$5:$K$204,MATCH(LARGE($M$5:$M$204,186),$M$5:$M$204,0)),"")</f>
        <v/>
      </c>
      <c r="C190" s="28" t="str">
        <f aca="false">IF(B190="","",COUNTIF(Veri!$B$5:$B$2004,B190))</f>
        <v/>
      </c>
      <c r="D190" s="27" t="str">
        <f aca="false">IF(B190="","",SUMIFS(Veri!$E$5:$E$2004,Veri!$B$5:$B$2004,B190))</f>
        <v/>
      </c>
      <c r="E190" s="35" t="str">
        <f aca="false">IF(B190="","",IF(SUM(Veri!$E$5:$E$2004)=0,0,D190/SUM(Veri!$E$5:$E$2004)))</f>
        <v/>
      </c>
      <c r="F190" s="35" t="str">
        <f aca="false">IF(B190="","",SUM(E$5:E190))</f>
        <v/>
      </c>
      <c r="G190" s="36" t="str">
        <f aca="false">IF(B190="","",IF(F189&lt;0.8,"A",IF(F189&lt;0.95,"B","C")))</f>
        <v/>
      </c>
      <c r="H190" s="27" t="str">
        <f aca="false">IF(OR(B190="",C190=0),"",D190/C190)</f>
        <v/>
      </c>
      <c r="I190" s="37" t="str">
        <f aca="false">IF(B190="","",SUMPRODUCT(MAX((Veri!$B$5:$B$2004=B190)*Veri!$A$5:$A$2004)))</f>
        <v/>
      </c>
      <c r="J190" s="26"/>
      <c r="K190" s="26" t="str">
        <f aca="false">IF(186&gt;MAX(Veri!$I$5:$I$2004),"",INDEX(Veri!$B$5:$B$2004,MATCH(186,Veri!$I$5:$I$2004,0)))</f>
        <v/>
      </c>
      <c r="L190" s="26" t="str">
        <f aca="false">IF(K190="","",SUMIFS(Veri!$E$5:$E$2004,Veri!$B$5:$B$2004,K190))</f>
        <v/>
      </c>
      <c r="M190" s="26" t="str">
        <f aca="false">IF(K190="","",L190+ROW()/1000000000)</f>
        <v/>
      </c>
      <c r="N190" s="26"/>
    </row>
    <row r="191" customFormat="false" ht="15" hidden="false" customHeight="false" outlineLevel="0" collapsed="false">
      <c r="A191" s="30" t="str">
        <f aca="false">IF(B191="","",187)</f>
        <v/>
      </c>
      <c r="B191" s="16" t="str">
        <f aca="false">IFERROR(INDEX($K$5:$K$204,MATCH(LARGE($M$5:$M$204,187),$M$5:$M$204,0)),"")</f>
        <v/>
      </c>
      <c r="C191" s="24" t="str">
        <f aca="false">IF(B191="","",COUNTIF(Veri!$B$5:$B$2004,B191))</f>
        <v/>
      </c>
      <c r="D191" s="23" t="str">
        <f aca="false">IF(B191="","",SUMIFS(Veri!$E$5:$E$2004,Veri!$B$5:$B$2004,B191))</f>
        <v/>
      </c>
      <c r="E191" s="31" t="str">
        <f aca="false">IF(B191="","",IF(SUM(Veri!$E$5:$E$2004)=0,0,D191/SUM(Veri!$E$5:$E$2004)))</f>
        <v/>
      </c>
      <c r="F191" s="31" t="str">
        <f aca="false">IF(B191="","",SUM(E$5:E191))</f>
        <v/>
      </c>
      <c r="G191" s="32" t="str">
        <f aca="false">IF(B191="","",IF(F190&lt;0.8,"A",IF(F190&lt;0.95,"B","C")))</f>
        <v/>
      </c>
      <c r="H191" s="23" t="str">
        <f aca="false">IF(OR(B191="",C191=0),"",D191/C191)</f>
        <v/>
      </c>
      <c r="I191" s="33" t="str">
        <f aca="false">IF(B191="","",SUMPRODUCT(MAX((Veri!$B$5:$B$2004=B191)*Veri!$A$5:$A$2004)))</f>
        <v/>
      </c>
      <c r="J191" s="16"/>
      <c r="K191" s="16" t="str">
        <f aca="false">IF(187&gt;MAX(Veri!$I$5:$I$2004),"",INDEX(Veri!$B$5:$B$2004,MATCH(187,Veri!$I$5:$I$2004,0)))</f>
        <v/>
      </c>
      <c r="L191" s="16" t="str">
        <f aca="false">IF(K191="","",SUMIFS(Veri!$E$5:$E$2004,Veri!$B$5:$B$2004,K191))</f>
        <v/>
      </c>
      <c r="M191" s="16" t="str">
        <f aca="false">IF(K191="","",L191+ROW()/1000000000)</f>
        <v/>
      </c>
      <c r="N191" s="16"/>
    </row>
    <row r="192" customFormat="false" ht="15" hidden="false" customHeight="false" outlineLevel="0" collapsed="false">
      <c r="A192" s="34" t="str">
        <f aca="false">IF(B192="","",188)</f>
        <v/>
      </c>
      <c r="B192" s="26" t="str">
        <f aca="false">IFERROR(INDEX($K$5:$K$204,MATCH(LARGE($M$5:$M$204,188),$M$5:$M$204,0)),"")</f>
        <v/>
      </c>
      <c r="C192" s="28" t="str">
        <f aca="false">IF(B192="","",COUNTIF(Veri!$B$5:$B$2004,B192))</f>
        <v/>
      </c>
      <c r="D192" s="27" t="str">
        <f aca="false">IF(B192="","",SUMIFS(Veri!$E$5:$E$2004,Veri!$B$5:$B$2004,B192))</f>
        <v/>
      </c>
      <c r="E192" s="35" t="str">
        <f aca="false">IF(B192="","",IF(SUM(Veri!$E$5:$E$2004)=0,0,D192/SUM(Veri!$E$5:$E$2004)))</f>
        <v/>
      </c>
      <c r="F192" s="35" t="str">
        <f aca="false">IF(B192="","",SUM(E$5:E192))</f>
        <v/>
      </c>
      <c r="G192" s="36" t="str">
        <f aca="false">IF(B192="","",IF(F191&lt;0.8,"A",IF(F191&lt;0.95,"B","C")))</f>
        <v/>
      </c>
      <c r="H192" s="27" t="str">
        <f aca="false">IF(OR(B192="",C192=0),"",D192/C192)</f>
        <v/>
      </c>
      <c r="I192" s="37" t="str">
        <f aca="false">IF(B192="","",SUMPRODUCT(MAX((Veri!$B$5:$B$2004=B192)*Veri!$A$5:$A$2004)))</f>
        <v/>
      </c>
      <c r="J192" s="26"/>
      <c r="K192" s="26" t="str">
        <f aca="false">IF(188&gt;MAX(Veri!$I$5:$I$2004),"",INDEX(Veri!$B$5:$B$2004,MATCH(188,Veri!$I$5:$I$2004,0)))</f>
        <v/>
      </c>
      <c r="L192" s="26" t="str">
        <f aca="false">IF(K192="","",SUMIFS(Veri!$E$5:$E$2004,Veri!$B$5:$B$2004,K192))</f>
        <v/>
      </c>
      <c r="M192" s="26" t="str">
        <f aca="false">IF(K192="","",L192+ROW()/1000000000)</f>
        <v/>
      </c>
      <c r="N192" s="26"/>
    </row>
    <row r="193" customFormat="false" ht="15" hidden="false" customHeight="false" outlineLevel="0" collapsed="false">
      <c r="A193" s="30" t="str">
        <f aca="false">IF(B193="","",189)</f>
        <v/>
      </c>
      <c r="B193" s="16" t="str">
        <f aca="false">IFERROR(INDEX($K$5:$K$204,MATCH(LARGE($M$5:$M$204,189),$M$5:$M$204,0)),"")</f>
        <v/>
      </c>
      <c r="C193" s="24" t="str">
        <f aca="false">IF(B193="","",COUNTIF(Veri!$B$5:$B$2004,B193))</f>
        <v/>
      </c>
      <c r="D193" s="23" t="str">
        <f aca="false">IF(B193="","",SUMIFS(Veri!$E$5:$E$2004,Veri!$B$5:$B$2004,B193))</f>
        <v/>
      </c>
      <c r="E193" s="31" t="str">
        <f aca="false">IF(B193="","",IF(SUM(Veri!$E$5:$E$2004)=0,0,D193/SUM(Veri!$E$5:$E$2004)))</f>
        <v/>
      </c>
      <c r="F193" s="31" t="str">
        <f aca="false">IF(B193="","",SUM(E$5:E193))</f>
        <v/>
      </c>
      <c r="G193" s="32" t="str">
        <f aca="false">IF(B193="","",IF(F192&lt;0.8,"A",IF(F192&lt;0.95,"B","C")))</f>
        <v/>
      </c>
      <c r="H193" s="23" t="str">
        <f aca="false">IF(OR(B193="",C193=0),"",D193/C193)</f>
        <v/>
      </c>
      <c r="I193" s="33" t="str">
        <f aca="false">IF(B193="","",SUMPRODUCT(MAX((Veri!$B$5:$B$2004=B193)*Veri!$A$5:$A$2004)))</f>
        <v/>
      </c>
      <c r="J193" s="16"/>
      <c r="K193" s="16" t="str">
        <f aca="false">IF(189&gt;MAX(Veri!$I$5:$I$2004),"",INDEX(Veri!$B$5:$B$2004,MATCH(189,Veri!$I$5:$I$2004,0)))</f>
        <v/>
      </c>
      <c r="L193" s="16" t="str">
        <f aca="false">IF(K193="","",SUMIFS(Veri!$E$5:$E$2004,Veri!$B$5:$B$2004,K193))</f>
        <v/>
      </c>
      <c r="M193" s="16" t="str">
        <f aca="false">IF(K193="","",L193+ROW()/1000000000)</f>
        <v/>
      </c>
      <c r="N193" s="16"/>
    </row>
    <row r="194" customFormat="false" ht="15" hidden="false" customHeight="false" outlineLevel="0" collapsed="false">
      <c r="A194" s="34" t="str">
        <f aca="false">IF(B194="","",190)</f>
        <v/>
      </c>
      <c r="B194" s="26" t="str">
        <f aca="false">IFERROR(INDEX($K$5:$K$204,MATCH(LARGE($M$5:$M$204,190),$M$5:$M$204,0)),"")</f>
        <v/>
      </c>
      <c r="C194" s="28" t="str">
        <f aca="false">IF(B194="","",COUNTIF(Veri!$B$5:$B$2004,B194))</f>
        <v/>
      </c>
      <c r="D194" s="27" t="str">
        <f aca="false">IF(B194="","",SUMIFS(Veri!$E$5:$E$2004,Veri!$B$5:$B$2004,B194))</f>
        <v/>
      </c>
      <c r="E194" s="35" t="str">
        <f aca="false">IF(B194="","",IF(SUM(Veri!$E$5:$E$2004)=0,0,D194/SUM(Veri!$E$5:$E$2004)))</f>
        <v/>
      </c>
      <c r="F194" s="35" t="str">
        <f aca="false">IF(B194="","",SUM(E$5:E194))</f>
        <v/>
      </c>
      <c r="G194" s="36" t="str">
        <f aca="false">IF(B194="","",IF(F193&lt;0.8,"A",IF(F193&lt;0.95,"B","C")))</f>
        <v/>
      </c>
      <c r="H194" s="27" t="str">
        <f aca="false">IF(OR(B194="",C194=0),"",D194/C194)</f>
        <v/>
      </c>
      <c r="I194" s="37" t="str">
        <f aca="false">IF(B194="","",SUMPRODUCT(MAX((Veri!$B$5:$B$2004=B194)*Veri!$A$5:$A$2004)))</f>
        <v/>
      </c>
      <c r="J194" s="26"/>
      <c r="K194" s="26" t="str">
        <f aca="false">IF(190&gt;MAX(Veri!$I$5:$I$2004),"",INDEX(Veri!$B$5:$B$2004,MATCH(190,Veri!$I$5:$I$2004,0)))</f>
        <v/>
      </c>
      <c r="L194" s="26" t="str">
        <f aca="false">IF(K194="","",SUMIFS(Veri!$E$5:$E$2004,Veri!$B$5:$B$2004,K194))</f>
        <v/>
      </c>
      <c r="M194" s="26" t="str">
        <f aca="false">IF(K194="","",L194+ROW()/1000000000)</f>
        <v/>
      </c>
      <c r="N194" s="26"/>
    </row>
    <row r="195" customFormat="false" ht="15" hidden="false" customHeight="false" outlineLevel="0" collapsed="false">
      <c r="A195" s="30" t="str">
        <f aca="false">IF(B195="","",191)</f>
        <v/>
      </c>
      <c r="B195" s="16" t="str">
        <f aca="false">IFERROR(INDEX($K$5:$K$204,MATCH(LARGE($M$5:$M$204,191),$M$5:$M$204,0)),"")</f>
        <v/>
      </c>
      <c r="C195" s="24" t="str">
        <f aca="false">IF(B195="","",COUNTIF(Veri!$B$5:$B$2004,B195))</f>
        <v/>
      </c>
      <c r="D195" s="23" t="str">
        <f aca="false">IF(B195="","",SUMIFS(Veri!$E$5:$E$2004,Veri!$B$5:$B$2004,B195))</f>
        <v/>
      </c>
      <c r="E195" s="31" t="str">
        <f aca="false">IF(B195="","",IF(SUM(Veri!$E$5:$E$2004)=0,0,D195/SUM(Veri!$E$5:$E$2004)))</f>
        <v/>
      </c>
      <c r="F195" s="31" t="str">
        <f aca="false">IF(B195="","",SUM(E$5:E195))</f>
        <v/>
      </c>
      <c r="G195" s="32" t="str">
        <f aca="false">IF(B195="","",IF(F194&lt;0.8,"A",IF(F194&lt;0.95,"B","C")))</f>
        <v/>
      </c>
      <c r="H195" s="23" t="str">
        <f aca="false">IF(OR(B195="",C195=0),"",D195/C195)</f>
        <v/>
      </c>
      <c r="I195" s="33" t="str">
        <f aca="false">IF(B195="","",SUMPRODUCT(MAX((Veri!$B$5:$B$2004=B195)*Veri!$A$5:$A$2004)))</f>
        <v/>
      </c>
      <c r="J195" s="16"/>
      <c r="K195" s="16" t="str">
        <f aca="false">IF(191&gt;MAX(Veri!$I$5:$I$2004),"",INDEX(Veri!$B$5:$B$2004,MATCH(191,Veri!$I$5:$I$2004,0)))</f>
        <v/>
      </c>
      <c r="L195" s="16" t="str">
        <f aca="false">IF(K195="","",SUMIFS(Veri!$E$5:$E$2004,Veri!$B$5:$B$2004,K195))</f>
        <v/>
      </c>
      <c r="M195" s="16" t="str">
        <f aca="false">IF(K195="","",L195+ROW()/1000000000)</f>
        <v/>
      </c>
      <c r="N195" s="16"/>
    </row>
    <row r="196" customFormat="false" ht="15" hidden="false" customHeight="false" outlineLevel="0" collapsed="false">
      <c r="A196" s="34" t="str">
        <f aca="false">IF(B196="","",192)</f>
        <v/>
      </c>
      <c r="B196" s="26" t="str">
        <f aca="false">IFERROR(INDEX($K$5:$K$204,MATCH(LARGE($M$5:$M$204,192),$M$5:$M$204,0)),"")</f>
        <v/>
      </c>
      <c r="C196" s="28" t="str">
        <f aca="false">IF(B196="","",COUNTIF(Veri!$B$5:$B$2004,B196))</f>
        <v/>
      </c>
      <c r="D196" s="27" t="str">
        <f aca="false">IF(B196="","",SUMIFS(Veri!$E$5:$E$2004,Veri!$B$5:$B$2004,B196))</f>
        <v/>
      </c>
      <c r="E196" s="35" t="str">
        <f aca="false">IF(B196="","",IF(SUM(Veri!$E$5:$E$2004)=0,0,D196/SUM(Veri!$E$5:$E$2004)))</f>
        <v/>
      </c>
      <c r="F196" s="35" t="str">
        <f aca="false">IF(B196="","",SUM(E$5:E196))</f>
        <v/>
      </c>
      <c r="G196" s="36" t="str">
        <f aca="false">IF(B196="","",IF(F195&lt;0.8,"A",IF(F195&lt;0.95,"B","C")))</f>
        <v/>
      </c>
      <c r="H196" s="27" t="str">
        <f aca="false">IF(OR(B196="",C196=0),"",D196/C196)</f>
        <v/>
      </c>
      <c r="I196" s="37" t="str">
        <f aca="false">IF(B196="","",SUMPRODUCT(MAX((Veri!$B$5:$B$2004=B196)*Veri!$A$5:$A$2004)))</f>
        <v/>
      </c>
      <c r="J196" s="26"/>
      <c r="K196" s="26" t="str">
        <f aca="false">IF(192&gt;MAX(Veri!$I$5:$I$2004),"",INDEX(Veri!$B$5:$B$2004,MATCH(192,Veri!$I$5:$I$2004,0)))</f>
        <v/>
      </c>
      <c r="L196" s="26" t="str">
        <f aca="false">IF(K196="","",SUMIFS(Veri!$E$5:$E$2004,Veri!$B$5:$B$2004,K196))</f>
        <v/>
      </c>
      <c r="M196" s="26" t="str">
        <f aca="false">IF(K196="","",L196+ROW()/1000000000)</f>
        <v/>
      </c>
      <c r="N196" s="26"/>
    </row>
    <row r="197" customFormat="false" ht="15" hidden="false" customHeight="false" outlineLevel="0" collapsed="false">
      <c r="A197" s="30" t="str">
        <f aca="false">IF(B197="","",193)</f>
        <v/>
      </c>
      <c r="B197" s="16" t="str">
        <f aca="false">IFERROR(INDEX($K$5:$K$204,MATCH(LARGE($M$5:$M$204,193),$M$5:$M$204,0)),"")</f>
        <v/>
      </c>
      <c r="C197" s="24" t="str">
        <f aca="false">IF(B197="","",COUNTIF(Veri!$B$5:$B$2004,B197))</f>
        <v/>
      </c>
      <c r="D197" s="23" t="str">
        <f aca="false">IF(B197="","",SUMIFS(Veri!$E$5:$E$2004,Veri!$B$5:$B$2004,B197))</f>
        <v/>
      </c>
      <c r="E197" s="31" t="str">
        <f aca="false">IF(B197="","",IF(SUM(Veri!$E$5:$E$2004)=0,0,D197/SUM(Veri!$E$5:$E$2004)))</f>
        <v/>
      </c>
      <c r="F197" s="31" t="str">
        <f aca="false">IF(B197="","",SUM(E$5:E197))</f>
        <v/>
      </c>
      <c r="G197" s="32" t="str">
        <f aca="false">IF(B197="","",IF(F196&lt;0.8,"A",IF(F196&lt;0.95,"B","C")))</f>
        <v/>
      </c>
      <c r="H197" s="23" t="str">
        <f aca="false">IF(OR(B197="",C197=0),"",D197/C197)</f>
        <v/>
      </c>
      <c r="I197" s="33" t="str">
        <f aca="false">IF(B197="","",SUMPRODUCT(MAX((Veri!$B$5:$B$2004=B197)*Veri!$A$5:$A$2004)))</f>
        <v/>
      </c>
      <c r="J197" s="16"/>
      <c r="K197" s="16" t="str">
        <f aca="false">IF(193&gt;MAX(Veri!$I$5:$I$2004),"",INDEX(Veri!$B$5:$B$2004,MATCH(193,Veri!$I$5:$I$2004,0)))</f>
        <v/>
      </c>
      <c r="L197" s="16" t="str">
        <f aca="false">IF(K197="","",SUMIFS(Veri!$E$5:$E$2004,Veri!$B$5:$B$2004,K197))</f>
        <v/>
      </c>
      <c r="M197" s="16" t="str">
        <f aca="false">IF(K197="","",L197+ROW()/1000000000)</f>
        <v/>
      </c>
      <c r="N197" s="16"/>
    </row>
    <row r="198" customFormat="false" ht="15" hidden="false" customHeight="false" outlineLevel="0" collapsed="false">
      <c r="A198" s="34" t="str">
        <f aca="false">IF(B198="","",194)</f>
        <v/>
      </c>
      <c r="B198" s="26" t="str">
        <f aca="false">IFERROR(INDEX($K$5:$K$204,MATCH(LARGE($M$5:$M$204,194),$M$5:$M$204,0)),"")</f>
        <v/>
      </c>
      <c r="C198" s="28" t="str">
        <f aca="false">IF(B198="","",COUNTIF(Veri!$B$5:$B$2004,B198))</f>
        <v/>
      </c>
      <c r="D198" s="27" t="str">
        <f aca="false">IF(B198="","",SUMIFS(Veri!$E$5:$E$2004,Veri!$B$5:$B$2004,B198))</f>
        <v/>
      </c>
      <c r="E198" s="35" t="str">
        <f aca="false">IF(B198="","",IF(SUM(Veri!$E$5:$E$2004)=0,0,D198/SUM(Veri!$E$5:$E$2004)))</f>
        <v/>
      </c>
      <c r="F198" s="35" t="str">
        <f aca="false">IF(B198="","",SUM(E$5:E198))</f>
        <v/>
      </c>
      <c r="G198" s="36" t="str">
        <f aca="false">IF(B198="","",IF(F197&lt;0.8,"A",IF(F197&lt;0.95,"B","C")))</f>
        <v/>
      </c>
      <c r="H198" s="27" t="str">
        <f aca="false">IF(OR(B198="",C198=0),"",D198/C198)</f>
        <v/>
      </c>
      <c r="I198" s="37" t="str">
        <f aca="false">IF(B198="","",SUMPRODUCT(MAX((Veri!$B$5:$B$2004=B198)*Veri!$A$5:$A$2004)))</f>
        <v/>
      </c>
      <c r="J198" s="26"/>
      <c r="K198" s="26" t="str">
        <f aca="false">IF(194&gt;MAX(Veri!$I$5:$I$2004),"",INDEX(Veri!$B$5:$B$2004,MATCH(194,Veri!$I$5:$I$2004,0)))</f>
        <v/>
      </c>
      <c r="L198" s="26" t="str">
        <f aca="false">IF(K198="","",SUMIFS(Veri!$E$5:$E$2004,Veri!$B$5:$B$2004,K198))</f>
        <v/>
      </c>
      <c r="M198" s="26" t="str">
        <f aca="false">IF(K198="","",L198+ROW()/1000000000)</f>
        <v/>
      </c>
      <c r="N198" s="26"/>
    </row>
    <row r="199" customFormat="false" ht="15" hidden="false" customHeight="false" outlineLevel="0" collapsed="false">
      <c r="A199" s="30" t="str">
        <f aca="false">IF(B199="","",195)</f>
        <v/>
      </c>
      <c r="B199" s="16" t="str">
        <f aca="false">IFERROR(INDEX($K$5:$K$204,MATCH(LARGE($M$5:$M$204,195),$M$5:$M$204,0)),"")</f>
        <v/>
      </c>
      <c r="C199" s="24" t="str">
        <f aca="false">IF(B199="","",COUNTIF(Veri!$B$5:$B$2004,B199))</f>
        <v/>
      </c>
      <c r="D199" s="23" t="str">
        <f aca="false">IF(B199="","",SUMIFS(Veri!$E$5:$E$2004,Veri!$B$5:$B$2004,B199))</f>
        <v/>
      </c>
      <c r="E199" s="31" t="str">
        <f aca="false">IF(B199="","",IF(SUM(Veri!$E$5:$E$2004)=0,0,D199/SUM(Veri!$E$5:$E$2004)))</f>
        <v/>
      </c>
      <c r="F199" s="31" t="str">
        <f aca="false">IF(B199="","",SUM(E$5:E199))</f>
        <v/>
      </c>
      <c r="G199" s="32" t="str">
        <f aca="false">IF(B199="","",IF(F198&lt;0.8,"A",IF(F198&lt;0.95,"B","C")))</f>
        <v/>
      </c>
      <c r="H199" s="23" t="str">
        <f aca="false">IF(OR(B199="",C199=0),"",D199/C199)</f>
        <v/>
      </c>
      <c r="I199" s="33" t="str">
        <f aca="false">IF(B199="","",SUMPRODUCT(MAX((Veri!$B$5:$B$2004=B199)*Veri!$A$5:$A$2004)))</f>
        <v/>
      </c>
      <c r="J199" s="16"/>
      <c r="K199" s="16" t="str">
        <f aca="false">IF(195&gt;MAX(Veri!$I$5:$I$2004),"",INDEX(Veri!$B$5:$B$2004,MATCH(195,Veri!$I$5:$I$2004,0)))</f>
        <v/>
      </c>
      <c r="L199" s="16" t="str">
        <f aca="false">IF(K199="","",SUMIFS(Veri!$E$5:$E$2004,Veri!$B$5:$B$2004,K199))</f>
        <v/>
      </c>
      <c r="M199" s="16" t="str">
        <f aca="false">IF(K199="","",L199+ROW()/1000000000)</f>
        <v/>
      </c>
      <c r="N199" s="16"/>
    </row>
    <row r="200" customFormat="false" ht="15" hidden="false" customHeight="false" outlineLevel="0" collapsed="false">
      <c r="A200" s="34" t="str">
        <f aca="false">IF(B200="","",196)</f>
        <v/>
      </c>
      <c r="B200" s="26" t="str">
        <f aca="false">IFERROR(INDEX($K$5:$K$204,MATCH(LARGE($M$5:$M$204,196),$M$5:$M$204,0)),"")</f>
        <v/>
      </c>
      <c r="C200" s="28" t="str">
        <f aca="false">IF(B200="","",COUNTIF(Veri!$B$5:$B$2004,B200))</f>
        <v/>
      </c>
      <c r="D200" s="27" t="str">
        <f aca="false">IF(B200="","",SUMIFS(Veri!$E$5:$E$2004,Veri!$B$5:$B$2004,B200))</f>
        <v/>
      </c>
      <c r="E200" s="35" t="str">
        <f aca="false">IF(B200="","",IF(SUM(Veri!$E$5:$E$2004)=0,0,D200/SUM(Veri!$E$5:$E$2004)))</f>
        <v/>
      </c>
      <c r="F200" s="35" t="str">
        <f aca="false">IF(B200="","",SUM(E$5:E200))</f>
        <v/>
      </c>
      <c r="G200" s="36" t="str">
        <f aca="false">IF(B200="","",IF(F199&lt;0.8,"A",IF(F199&lt;0.95,"B","C")))</f>
        <v/>
      </c>
      <c r="H200" s="27" t="str">
        <f aca="false">IF(OR(B200="",C200=0),"",D200/C200)</f>
        <v/>
      </c>
      <c r="I200" s="37" t="str">
        <f aca="false">IF(B200="","",SUMPRODUCT(MAX((Veri!$B$5:$B$2004=B200)*Veri!$A$5:$A$2004)))</f>
        <v/>
      </c>
      <c r="J200" s="26"/>
      <c r="K200" s="26" t="str">
        <f aca="false">IF(196&gt;MAX(Veri!$I$5:$I$2004),"",INDEX(Veri!$B$5:$B$2004,MATCH(196,Veri!$I$5:$I$2004,0)))</f>
        <v/>
      </c>
      <c r="L200" s="26" t="str">
        <f aca="false">IF(K200="","",SUMIFS(Veri!$E$5:$E$2004,Veri!$B$5:$B$2004,K200))</f>
        <v/>
      </c>
      <c r="M200" s="26" t="str">
        <f aca="false">IF(K200="","",L200+ROW()/1000000000)</f>
        <v/>
      </c>
      <c r="N200" s="26"/>
    </row>
    <row r="201" customFormat="false" ht="15" hidden="false" customHeight="false" outlineLevel="0" collapsed="false">
      <c r="A201" s="30" t="str">
        <f aca="false">IF(B201="","",197)</f>
        <v/>
      </c>
      <c r="B201" s="16" t="str">
        <f aca="false">IFERROR(INDEX($K$5:$K$204,MATCH(LARGE($M$5:$M$204,197),$M$5:$M$204,0)),"")</f>
        <v/>
      </c>
      <c r="C201" s="24" t="str">
        <f aca="false">IF(B201="","",COUNTIF(Veri!$B$5:$B$2004,B201))</f>
        <v/>
      </c>
      <c r="D201" s="23" t="str">
        <f aca="false">IF(B201="","",SUMIFS(Veri!$E$5:$E$2004,Veri!$B$5:$B$2004,B201))</f>
        <v/>
      </c>
      <c r="E201" s="31" t="str">
        <f aca="false">IF(B201="","",IF(SUM(Veri!$E$5:$E$2004)=0,0,D201/SUM(Veri!$E$5:$E$2004)))</f>
        <v/>
      </c>
      <c r="F201" s="31" t="str">
        <f aca="false">IF(B201="","",SUM(E$5:E201))</f>
        <v/>
      </c>
      <c r="G201" s="32" t="str">
        <f aca="false">IF(B201="","",IF(F200&lt;0.8,"A",IF(F200&lt;0.95,"B","C")))</f>
        <v/>
      </c>
      <c r="H201" s="23" t="str">
        <f aca="false">IF(OR(B201="",C201=0),"",D201/C201)</f>
        <v/>
      </c>
      <c r="I201" s="33" t="str">
        <f aca="false">IF(B201="","",SUMPRODUCT(MAX((Veri!$B$5:$B$2004=B201)*Veri!$A$5:$A$2004)))</f>
        <v/>
      </c>
      <c r="J201" s="16"/>
      <c r="K201" s="16" t="str">
        <f aca="false">IF(197&gt;MAX(Veri!$I$5:$I$2004),"",INDEX(Veri!$B$5:$B$2004,MATCH(197,Veri!$I$5:$I$2004,0)))</f>
        <v/>
      </c>
      <c r="L201" s="16" t="str">
        <f aca="false">IF(K201="","",SUMIFS(Veri!$E$5:$E$2004,Veri!$B$5:$B$2004,K201))</f>
        <v/>
      </c>
      <c r="M201" s="16" t="str">
        <f aca="false">IF(K201="","",L201+ROW()/1000000000)</f>
        <v/>
      </c>
      <c r="N201" s="16"/>
    </row>
    <row r="202" customFormat="false" ht="15" hidden="false" customHeight="false" outlineLevel="0" collapsed="false">
      <c r="A202" s="34" t="str">
        <f aca="false">IF(B202="","",198)</f>
        <v/>
      </c>
      <c r="B202" s="26" t="str">
        <f aca="false">IFERROR(INDEX($K$5:$K$204,MATCH(LARGE($M$5:$M$204,198),$M$5:$M$204,0)),"")</f>
        <v/>
      </c>
      <c r="C202" s="28" t="str">
        <f aca="false">IF(B202="","",COUNTIF(Veri!$B$5:$B$2004,B202))</f>
        <v/>
      </c>
      <c r="D202" s="27" t="str">
        <f aca="false">IF(B202="","",SUMIFS(Veri!$E$5:$E$2004,Veri!$B$5:$B$2004,B202))</f>
        <v/>
      </c>
      <c r="E202" s="35" t="str">
        <f aca="false">IF(B202="","",IF(SUM(Veri!$E$5:$E$2004)=0,0,D202/SUM(Veri!$E$5:$E$2004)))</f>
        <v/>
      </c>
      <c r="F202" s="35" t="str">
        <f aca="false">IF(B202="","",SUM(E$5:E202))</f>
        <v/>
      </c>
      <c r="G202" s="36" t="str">
        <f aca="false">IF(B202="","",IF(F201&lt;0.8,"A",IF(F201&lt;0.95,"B","C")))</f>
        <v/>
      </c>
      <c r="H202" s="27" t="str">
        <f aca="false">IF(OR(B202="",C202=0),"",D202/C202)</f>
        <v/>
      </c>
      <c r="I202" s="37" t="str">
        <f aca="false">IF(B202="","",SUMPRODUCT(MAX((Veri!$B$5:$B$2004=B202)*Veri!$A$5:$A$2004)))</f>
        <v/>
      </c>
      <c r="J202" s="26"/>
      <c r="K202" s="26" t="str">
        <f aca="false">IF(198&gt;MAX(Veri!$I$5:$I$2004),"",INDEX(Veri!$B$5:$B$2004,MATCH(198,Veri!$I$5:$I$2004,0)))</f>
        <v/>
      </c>
      <c r="L202" s="26" t="str">
        <f aca="false">IF(K202="","",SUMIFS(Veri!$E$5:$E$2004,Veri!$B$5:$B$2004,K202))</f>
        <v/>
      </c>
      <c r="M202" s="26" t="str">
        <f aca="false">IF(K202="","",L202+ROW()/1000000000)</f>
        <v/>
      </c>
      <c r="N202" s="26"/>
    </row>
    <row r="203" customFormat="false" ht="15" hidden="false" customHeight="false" outlineLevel="0" collapsed="false">
      <c r="A203" s="30" t="str">
        <f aca="false">IF(B203="","",199)</f>
        <v/>
      </c>
      <c r="B203" s="16" t="str">
        <f aca="false">IFERROR(INDEX($K$5:$K$204,MATCH(LARGE($M$5:$M$204,199),$M$5:$M$204,0)),"")</f>
        <v/>
      </c>
      <c r="C203" s="24" t="str">
        <f aca="false">IF(B203="","",COUNTIF(Veri!$B$5:$B$2004,B203))</f>
        <v/>
      </c>
      <c r="D203" s="23" t="str">
        <f aca="false">IF(B203="","",SUMIFS(Veri!$E$5:$E$2004,Veri!$B$5:$B$2004,B203))</f>
        <v/>
      </c>
      <c r="E203" s="31" t="str">
        <f aca="false">IF(B203="","",IF(SUM(Veri!$E$5:$E$2004)=0,0,D203/SUM(Veri!$E$5:$E$2004)))</f>
        <v/>
      </c>
      <c r="F203" s="31" t="str">
        <f aca="false">IF(B203="","",SUM(E$5:E203))</f>
        <v/>
      </c>
      <c r="G203" s="32" t="str">
        <f aca="false">IF(B203="","",IF(F202&lt;0.8,"A",IF(F202&lt;0.95,"B","C")))</f>
        <v/>
      </c>
      <c r="H203" s="23" t="str">
        <f aca="false">IF(OR(B203="",C203=0),"",D203/C203)</f>
        <v/>
      </c>
      <c r="I203" s="33" t="str">
        <f aca="false">IF(B203="","",SUMPRODUCT(MAX((Veri!$B$5:$B$2004=B203)*Veri!$A$5:$A$2004)))</f>
        <v/>
      </c>
      <c r="J203" s="16"/>
      <c r="K203" s="16" t="str">
        <f aca="false">IF(199&gt;MAX(Veri!$I$5:$I$2004),"",INDEX(Veri!$B$5:$B$2004,MATCH(199,Veri!$I$5:$I$2004,0)))</f>
        <v/>
      </c>
      <c r="L203" s="16" t="str">
        <f aca="false">IF(K203="","",SUMIFS(Veri!$E$5:$E$2004,Veri!$B$5:$B$2004,K203))</f>
        <v/>
      </c>
      <c r="M203" s="16" t="str">
        <f aca="false">IF(K203="","",L203+ROW()/1000000000)</f>
        <v/>
      </c>
      <c r="N203" s="16"/>
    </row>
    <row r="204" customFormat="false" ht="15" hidden="false" customHeight="false" outlineLevel="0" collapsed="false">
      <c r="A204" s="34" t="str">
        <f aca="false">IF(B204="","",200)</f>
        <v/>
      </c>
      <c r="B204" s="26" t="str">
        <f aca="false">IFERROR(INDEX($K$5:$K$204,MATCH(LARGE($M$5:$M$204,200),$M$5:$M$204,0)),"")</f>
        <v/>
      </c>
      <c r="C204" s="28" t="str">
        <f aca="false">IF(B204="","",COUNTIF(Veri!$B$5:$B$2004,B204))</f>
        <v/>
      </c>
      <c r="D204" s="27" t="str">
        <f aca="false">IF(B204="","",SUMIFS(Veri!$E$5:$E$2004,Veri!$B$5:$B$2004,B204))</f>
        <v/>
      </c>
      <c r="E204" s="35" t="str">
        <f aca="false">IF(B204="","",IF(SUM(Veri!$E$5:$E$2004)=0,0,D204/SUM(Veri!$E$5:$E$2004)))</f>
        <v/>
      </c>
      <c r="F204" s="35" t="str">
        <f aca="false">IF(B204="","",SUM(E$5:E204))</f>
        <v/>
      </c>
      <c r="G204" s="36" t="str">
        <f aca="false">IF(B204="","",IF(F203&lt;0.8,"A",IF(F203&lt;0.95,"B","C")))</f>
        <v/>
      </c>
      <c r="H204" s="27" t="str">
        <f aca="false">IF(OR(B204="",C204=0),"",D204/C204)</f>
        <v/>
      </c>
      <c r="I204" s="37" t="str">
        <f aca="false">IF(B204="","",SUMPRODUCT(MAX((Veri!$B$5:$B$2004=B204)*Veri!$A$5:$A$2004)))</f>
        <v/>
      </c>
      <c r="J204" s="26"/>
      <c r="K204" s="26" t="str">
        <f aca="false">IF(200&gt;MAX(Veri!$I$5:$I$2004),"",INDEX(Veri!$B$5:$B$2004,MATCH(200,Veri!$I$5:$I$2004,0)))</f>
        <v/>
      </c>
      <c r="L204" s="26" t="str">
        <f aca="false">IF(K204="","",SUMIFS(Veri!$E$5:$E$2004,Veri!$B$5:$B$2004,K204))</f>
        <v/>
      </c>
      <c r="M204" s="26" t="str">
        <f aca="false">IF(K204="","",L204+ROW()/1000000000)</f>
        <v/>
      </c>
      <c r="N204" s="26"/>
    </row>
  </sheetData>
  <conditionalFormatting sqref="G5:G204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97</v>
      </c>
    </row>
    <row r="2" customFormat="false" ht="30" hidden="false" customHeight="true" outlineLevel="0" collapsed="false">
      <c r="B2" s="38" t="s">
        <v>98</v>
      </c>
      <c r="C2" s="38"/>
    </row>
    <row r="3" customFormat="false" ht="31.5" hidden="false" customHeight="true" outlineLevel="0" collapsed="false">
      <c r="B3" s="39" t="s">
        <v>99</v>
      </c>
      <c r="C3" s="39"/>
    </row>
    <row r="5" customFormat="false" ht="15" hidden="false" customHeight="false" outlineLevel="0" collapsed="false">
      <c r="B5" s="40" t="s">
        <v>100</v>
      </c>
      <c r="C5" s="40" t="s">
        <v>101</v>
      </c>
    </row>
    <row r="6" customFormat="false" ht="31.5" hidden="false" customHeight="true" outlineLevel="0" collapsed="false">
      <c r="B6" s="41" t="s">
        <v>102</v>
      </c>
      <c r="C6" s="42" t="s">
        <v>103</v>
      </c>
    </row>
    <row r="7" customFormat="false" ht="31.5" hidden="false" customHeight="true" outlineLevel="0" collapsed="false">
      <c r="B7" s="43" t="s">
        <v>104</v>
      </c>
      <c r="C7" s="44" t="s">
        <v>105</v>
      </c>
    </row>
    <row r="8" customFormat="false" ht="31.5" hidden="false" customHeight="true" outlineLevel="0" collapsed="false">
      <c r="B8" s="41" t="s">
        <v>106</v>
      </c>
      <c r="C8" s="42" t="s">
        <v>107</v>
      </c>
    </row>
    <row r="9" customFormat="false" ht="31.5" hidden="false" customHeight="true" outlineLevel="0" collapsed="false">
      <c r="B9" s="43" t="s">
        <v>108</v>
      </c>
      <c r="C9" s="44" t="s">
        <v>109</v>
      </c>
    </row>
    <row r="10" customFormat="false" ht="31.5" hidden="false" customHeight="true" outlineLevel="0" collapsed="false">
      <c r="B10" s="41" t="s">
        <v>110</v>
      </c>
      <c r="C10" s="42" t="s">
        <v>111</v>
      </c>
    </row>
    <row r="11" customFormat="false" ht="31.5" hidden="false" customHeight="true" outlineLevel="0" collapsed="false">
      <c r="B11" s="43" t="s">
        <v>112</v>
      </c>
      <c r="C11" s="44" t="s">
        <v>113</v>
      </c>
    </row>
    <row r="12" customFormat="false" ht="31.5" hidden="false" customHeight="true" outlineLevel="0" collapsed="false">
      <c r="B12" s="41" t="s">
        <v>114</v>
      </c>
      <c r="C12" s="42" t="s">
        <v>115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