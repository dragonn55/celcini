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Fırsatlar" sheetId="2" state="visible" r:id="rId4"/>
    <sheet name="Özet" sheetId="3" state="visible" r:id="rId5"/>
    <sheet name="Aşamalar" sheetId="4" state="visible" r:id="rId6"/>
    <sheet name="Liste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<sst xmlns="http://schemas.openxmlformats.org/spreadsheetml/2006/main" count="102" uniqueCount="80">
  <si>
    <t xml:space="preserve">EXCEL KLİNİĞİ</t>
  </si>
  <si>
    <t xml:space="preserve">ADAY  |  Müşteri adayı ve fırsat takibi</t>
  </si>
  <si>
    <t xml:space="preserve">Kimle görüştün, hangi aşamada, ne kadarlık iş, bugün kimi araman gerek.</t>
  </si>
  <si>
    <t xml:space="preserve">NASIL KULLANILIR</t>
  </si>
  <si>
    <t xml:space="preserve">1. Aşamalar ve Listeler</t>
  </si>
  <si>
    <t xml:space="preserve">Satış aşamalarını, olasılıklarını ve müşteri kaynaklarını kendine göre düzenle.</t>
  </si>
  <si>
    <t xml:space="preserve">2. Fırsatlar</t>
  </si>
  <si>
    <t xml:space="preserve">Her adayı tutarı, aşaması ve sonraki temas tarihiyle yaz.</t>
  </si>
  <si>
    <t xml:space="preserve">3. Özet</t>
  </si>
  <si>
    <t xml:space="preserve">Açık ve ağırlıklı tutar, kazanma oranı ve bugün araman gerekenler.</t>
  </si>
  <si>
    <t xml:space="preserve">BİLMEN GEREKENLER</t>
  </si>
  <si>
    <t xml:space="preserve">Ağırlıklı tutar</t>
  </si>
  <si>
    <t xml:space="preserve">Tutar × aşamanın olasılığı. Olasılıklar senin tahminindir; gerçek kazanma oranına göre zamanla düzelt.</t>
  </si>
  <si>
    <t xml:space="preserve">Temas</t>
  </si>
  <si>
    <t xml:space="preserve">Sonraki temas tarihi bugün ya da geçmişse aday listede görünür.</t>
  </si>
  <si>
    <t xml:space="preserve">Kapasite</t>
  </si>
  <si>
    <t xml:space="preserve">Fırsatlar: 1000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</si>
  <si>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</si>
  <si>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</si>
  <si>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</si>
  <si>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</si>
  <si>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</si>
  <si>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Fırsatlar</t>
  </si>
  <si>
    <t xml:space="preserve">Her müşteri adayı ya da iş fırsatı bir satır. Görüştükçe aşamayı ve sonraki temas tarihini güncelle.</t>
  </si>
  <si>
    <t xml:space="preserve">Aday</t>
  </si>
  <si>
    <t xml:space="preserve">Kaynak</t>
  </si>
  <si>
    <t xml:space="preserve">Aşama</t>
  </si>
  <si>
    <t xml:space="preserve">Tutar (₺)</t>
  </si>
  <si>
    <t xml:space="preserve">İlk temas</t>
  </si>
  <si>
    <t xml:space="preserve">Sonraki temas</t>
  </si>
  <si>
    <t xml:space="preserve">Not</t>
  </si>
  <si>
    <t xml:space="preserve">Olasılık</t>
  </si>
  <si>
    <t xml:space="preserve">Ağırlıklı tutar (₺)</t>
  </si>
  <si>
    <t xml:space="preserve">y</t>
  </si>
  <si>
    <t xml:space="preserve">Firma Alfa</t>
  </si>
  <si>
    <t xml:space="preserve">Tavsiye</t>
  </si>
  <si>
    <t xml:space="preserve">Teklif verildi</t>
  </si>
  <si>
    <t xml:space="preserve">Firma Beta</t>
  </si>
  <si>
    <t xml:space="preserve">Instagram</t>
  </si>
  <si>
    <t xml:space="preserve">Yeni</t>
  </si>
  <si>
    <t xml:space="preserve">Firma Gama</t>
  </si>
  <si>
    <t xml:space="preserve">Web sitesi</t>
  </si>
  <si>
    <t xml:space="preserve">Kazanıldı</t>
  </si>
  <si>
    <t xml:space="preserve">Firma Delta</t>
  </si>
  <si>
    <t xml:space="preserve">Kaybedildi</t>
  </si>
  <si>
    <t xml:space="preserve">Firma Epsilon</t>
  </si>
  <si>
    <t xml:space="preserve">Fuar</t>
  </si>
  <si>
    <t xml:space="preserve">Pazarlık</t>
  </si>
  <si>
    <t xml:space="preserve">Özet</t>
  </si>
  <si>
    <t xml:space="preserve">Bu sayfaya yazma.</t>
  </si>
  <si>
    <t xml:space="preserve">Açık fırsat</t>
  </si>
  <si>
    <t xml:space="preserve">Açık tutar</t>
  </si>
  <si>
    <t xml:space="preserve">Kazanılan tutar</t>
  </si>
  <si>
    <t xml:space="preserve">Kazanma oranı</t>
  </si>
  <si>
    <t xml:space="preserve">Temas zamanı gelen</t>
  </si>
  <si>
    <t xml:space="preserve">Aşamaya göre</t>
  </si>
  <si>
    <t xml:space="preserve">Temas zamanı gelenler (en eski 10)</t>
  </si>
  <si>
    <t xml:space="preserve">Adet</t>
  </si>
  <si>
    <t xml:space="preserve">Kaynağa göre</t>
  </si>
  <si>
    <t xml:space="preserve">Kazanılan (₺)</t>
  </si>
  <si>
    <t xml:space="preserve">Aşamalar</t>
  </si>
  <si>
    <t xml:space="preserve">Satış aşamalarını ve o aşamadaki işin gerçekleşme olasılığını yaz. Kazanıldı ve Kaybedildi adlarını değiştirme.</t>
  </si>
  <si>
    <t xml:space="preserve">Görüşüldü</t>
  </si>
  <si>
    <t xml:space="preserve">Listeler</t>
  </si>
  <si>
    <t xml:space="preserve">Açılır listelerde çıkan seçenekler. Sarı hücrelere kendi seçeneklerini yaz.</t>
  </si>
  <si>
    <t xml:space="preserve">Telefon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</si>
  <si>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</si>
  <si>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</si>
  <si>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</si>
  <si>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Firma ve kişi adlarını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</si>
  <si>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</si>
  <si>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</si>
  <si>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Günlük liste</t>
  </si>
  <si>
    <t xml:space="preserve">[Özet sayfası] Temas zamanı gelenler için arama sırası ve her biri için tek cümlelik konuşma açılışı öner.</t>
  </si>
  <si>
    <t xml:space="preserve">Takip mesajı</t>
  </si>
  <si>
    <t xml:space="preserve">Teklif verdiğim ama yanıt alamadığım bir müşteriye kısa bir takip mesajı yaz.</t>
  </si>
  <si>
    <t xml:space="preserve">Kayıp analizi</t>
  </si>
  <si>
    <t xml:space="preserve">[Fırsatlar sayfası] Kaybedilen fırsatların kaynak ve tutarlarına bak; ortak nokta var mı?</t>
  </si>
  <si>
    <t xml:space="preserve">Tahmin</t>
  </si>
  <si>
    <t xml:space="preserve">[Özet sayfası] Ağırlıklı tutara göre önümüzdeki ay beklenen ciroyu yorumla ve varsayımlarını yaz.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</si>
</sst>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₺&quot;"/>
    <numFmt numFmtId="166" formatCode="dd\.mm\.yyyy"/>
    <numFmt numFmtId="167" formatCode="0%"/>
    <numFmt numFmtId="168" formatCode="#,##0.00&quot; ₺&quot;;[RED]\-#,##0.00&quot; ₺&quot;;\-"/>
    <numFmt numFmtId="169" formatCode="mm/dd/yy"/>
    <numFmt numFmtId="170" formatCode="#,##0;[RED]\-#,##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6" min="4" style="0" width="1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true" outlineLevel="0" max="11" min="11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1" t="s">
        <v>31</v>
      </c>
      <c r="I4" s="11" t="s">
        <v>32</v>
      </c>
      <c r="J4" s="11" t="s">
        <v>13</v>
      </c>
      <c r="K4" s="11" t="s">
        <v>33</v>
      </c>
    </row>
    <row r="5" customFormat="false" ht="15" hidden="false" customHeight="false" outlineLevel="0" collapsed="false">
      <c r="A5" s="12" t="s">
        <v>34</v>
      </c>
      <c r="B5" s="13" t="s">
        <v>35</v>
      </c>
      <c r="C5" s="13" t="s">
        <v>36</v>
      </c>
      <c r="D5" s="14" t="n">
        <v>80000</v>
      </c>
      <c r="E5" s="15" t="n">
        <v>46275</v>
      </c>
      <c r="F5" s="15" t="n">
        <v>46299</v>
      </c>
      <c r="G5" s="12"/>
      <c r="H5" s="16" t="n">
        <f aca="false">IF(OR(A5="",C5=""),"",IFERROR(INDEX(Aşamalar!$B$5:$B$12,MATCH(C5,Aşamalar!$A$5:$A$12,0)),0))</f>
        <v>0.5</v>
      </c>
      <c r="I5" s="17" t="n">
        <f aca="false">IF(H5="","",D5*H5)</f>
        <v>40000</v>
      </c>
      <c r="J5" s="18" t="str">
        <f aca="true">IF(AND(AND(C5&lt;&gt;"Kazanıldı",C5&lt;&gt;"Kaybedildi",C5&lt;&gt;""),F5&lt;&gt;""),IF(F5&lt;TODAY(),"Gecikti",IF(F5=TODAY(),"Bugün","")),"")</f>
        <v>Bugün</v>
      </c>
      <c r="K5" s="19" t="n">
        <f aca="true">IF(AND(AND(C5&lt;&gt;"Kazanıldı",C5&lt;&gt;"Kaybedildi",C5&lt;&gt;""),F5&lt;&gt;"",F5&lt;=TODAY()),F5+ROW()/1000000,"")</f>
        <v>46299.000005</v>
      </c>
    </row>
    <row r="6" customFormat="false" ht="15" hidden="false" customHeight="false" outlineLevel="0" collapsed="false">
      <c r="A6" s="12" t="s">
        <v>37</v>
      </c>
      <c r="B6" s="13" t="s">
        <v>38</v>
      </c>
      <c r="C6" s="13" t="s">
        <v>39</v>
      </c>
      <c r="D6" s="14" t="n">
        <v>20000</v>
      </c>
      <c r="E6" s="15" t="n">
        <v>46296</v>
      </c>
      <c r="F6" s="15" t="n">
        <v>46296</v>
      </c>
      <c r="G6" s="12"/>
      <c r="H6" s="16" t="n">
        <f aca="false">IF(OR(A6="",C6=""),"",IFERROR(INDEX(Aşamalar!$B$5:$B$12,MATCH(C6,Aşamalar!$A$5:$A$12,0)),0))</f>
        <v>0.1</v>
      </c>
      <c r="I6" s="17" t="n">
        <f aca="false">IF(H6="","",D6*H6)</f>
        <v>2000</v>
      </c>
      <c r="J6" s="18" t="str">
        <f aca="true">IF(AND(AND(C6&lt;&gt;"Kazanıldı",C6&lt;&gt;"Kaybedildi",C6&lt;&gt;""),F6&lt;&gt;""),IF(F6&lt;TODAY(),"Gecikti",IF(F6=TODAY(),"Bugün","")),"")</f>
        <v>Gecikti</v>
      </c>
      <c r="K6" s="19" t="n">
        <f aca="true">IF(AND(AND(C6&lt;&gt;"Kazanıldı",C6&lt;&gt;"Kaybedildi",C6&lt;&gt;""),F6&lt;&gt;"",F6&lt;=TODAY()),F6+ROW()/1000000,"")</f>
        <v>46296.000006</v>
      </c>
    </row>
    <row r="7" customFormat="false" ht="15" hidden="false" customHeight="false" outlineLevel="0" collapsed="false">
      <c r="A7" s="12" t="s">
        <v>40</v>
      </c>
      <c r="B7" s="13" t="s">
        <v>41</v>
      </c>
      <c r="C7" s="13" t="s">
        <v>42</v>
      </c>
      <c r="D7" s="14" t="n">
        <v>50000</v>
      </c>
      <c r="E7" s="15" t="n">
        <v>46239</v>
      </c>
      <c r="F7" s="15"/>
      <c r="G7" s="12"/>
      <c r="H7" s="16" t="n">
        <f aca="false">IF(OR(A7="",C7=""),"",IFERROR(INDEX(Aşamalar!$B$5:$B$12,MATCH(C7,Aşamalar!$A$5:$A$12,0)),0))</f>
        <v>1</v>
      </c>
      <c r="I7" s="17" t="n">
        <f aca="false">IF(H7="","",D7*H7)</f>
        <v>50000</v>
      </c>
      <c r="J7" s="18" t="str">
        <f aca="true">IF(AND(AND(C7&lt;&gt;"Kazanıldı",C7&lt;&gt;"Kaybedildi",C7&lt;&gt;""),F7&lt;&gt;""),IF(F7&lt;TODAY(),"Gecikti",IF(F7=TODAY(),"Bugün","")),"")</f>
        <v/>
      </c>
      <c r="K7" s="18" t="str">
        <f aca="true">IF(AND(AND(C7&lt;&gt;"Kazanıldı",C7&lt;&gt;"Kaybedildi",C7&lt;&gt;""),F7&lt;&gt;"",F7&lt;=TODAY()),F7+ROW()/1000000,"")</f>
        <v/>
      </c>
    </row>
    <row r="8" customFormat="false" ht="15" hidden="false" customHeight="false" outlineLevel="0" collapsed="false">
      <c r="A8" s="12" t="s">
        <v>43</v>
      </c>
      <c r="B8" s="13" t="s">
        <v>35</v>
      </c>
      <c r="C8" s="13" t="s">
        <v>44</v>
      </c>
      <c r="D8" s="14" t="n">
        <v>30000</v>
      </c>
      <c r="E8" s="15" t="n">
        <v>46254</v>
      </c>
      <c r="F8" s="15"/>
      <c r="G8" s="12"/>
      <c r="H8" s="16" t="n">
        <f aca="false">IF(OR(A8="",C8=""),"",IFERROR(INDEX(Aşamalar!$B$5:$B$12,MATCH(C8,Aşamalar!$A$5:$A$12,0)),0))</f>
        <v>0</v>
      </c>
      <c r="I8" s="17" t="n">
        <f aca="false">IF(H8="","",D8*H8)</f>
        <v>0</v>
      </c>
      <c r="J8" s="18" t="str">
        <f aca="true">IF(AND(AND(C8&lt;&gt;"Kazanıldı",C8&lt;&gt;"Kaybedildi",C8&lt;&gt;""),F8&lt;&gt;""),IF(F8&lt;TODAY(),"Gecikti",IF(F8=TODAY(),"Bugün","")),"")</f>
        <v/>
      </c>
      <c r="K8" s="18" t="str">
        <f aca="true">IF(AND(AND(C8&lt;&gt;"Kazanıldı",C8&lt;&gt;"Kaybedildi",C8&lt;&gt;""),F8&lt;&gt;"",F8&lt;=TODAY()),F8+ROW()/1000000,"")</f>
        <v/>
      </c>
    </row>
    <row r="9" customFormat="false" ht="15" hidden="false" customHeight="false" outlineLevel="0" collapsed="false">
      <c r="A9" s="12" t="s">
        <v>45</v>
      </c>
      <c r="B9" s="13" t="s">
        <v>46</v>
      </c>
      <c r="C9" s="13" t="s">
        <v>47</v>
      </c>
      <c r="D9" s="14" t="n">
        <v>120000</v>
      </c>
      <c r="E9" s="15" t="n">
        <v>46287</v>
      </c>
      <c r="F9" s="15" t="n">
        <v>46304</v>
      </c>
      <c r="G9" s="12"/>
      <c r="H9" s="16" t="n">
        <f aca="false">IF(OR(A9="",C9=""),"",IFERROR(INDEX(Aşamalar!$B$5:$B$12,MATCH(C9,Aşamalar!$A$5:$A$12,0)),0))</f>
        <v>0.75</v>
      </c>
      <c r="I9" s="17" t="n">
        <f aca="false">IF(H9="","",D9*H9)</f>
        <v>90000</v>
      </c>
      <c r="J9" s="18" t="str">
        <f aca="true">IF(AND(AND(C9&lt;&gt;"Kazanıldı",C9&lt;&gt;"Kaybedildi",C9&lt;&gt;""),F9&lt;&gt;""),IF(F9&lt;TODAY(),"Gecikti",IF(F9=TODAY(),"Bugün","")),"")</f>
        <v/>
      </c>
      <c r="K9" s="18" t="str">
        <f aca="true">IF(AND(AND(C9&lt;&gt;"Kazanıldı",C9&lt;&gt;"Kaybedildi",C9&lt;&gt;""),F9&lt;&gt;"",F9&lt;=TODAY()),F9+ROW()/1000000,"")</f>
        <v/>
      </c>
    </row>
    <row r="10" customFormat="false" ht="15" hidden="false" customHeight="false" outlineLevel="0" collapsed="false">
      <c r="A10" s="12"/>
      <c r="B10" s="13"/>
      <c r="C10" s="13"/>
      <c r="D10" s="14"/>
      <c r="E10" s="15"/>
      <c r="F10" s="15"/>
      <c r="G10" s="12"/>
      <c r="H10" s="16" t="str">
        <f aca="false">IF(OR(A10="",C10=""),"",IFERROR(INDEX(Aşamalar!$B$5:$B$12,MATCH(C10,Aşamalar!$A$5:$A$12,0)),0))</f>
        <v/>
      </c>
      <c r="I10" s="17" t="str">
        <f aca="false">IF(H10="","",D10*H10)</f>
        <v/>
      </c>
      <c r="J10" s="18" t="str">
        <f aca="true">IF(AND(AND(C10&lt;&gt;"Kazanıldı",C10&lt;&gt;"Kaybedildi",C10&lt;&gt;""),F10&lt;&gt;""),IF(F10&lt;TODAY(),"Gecikti",IF(F10=TODAY(),"Bugün","")),"")</f>
        <v/>
      </c>
      <c r="K10" s="18" t="str">
        <f aca="true">IF(AND(AND(C10&lt;&gt;"Kazanıldı",C10&lt;&gt;"Kaybedildi",C10&lt;&gt;""),F10&lt;&gt;"",F10&lt;=TODAY()),F10+ROW()/1000000,"")</f>
        <v/>
      </c>
    </row>
    <row r="11" customFormat="false" ht="15" hidden="false" customHeight="false" outlineLevel="0" collapsed="false">
      <c r="A11" s="12"/>
      <c r="B11" s="13"/>
      <c r="C11" s="13"/>
      <c r="D11" s="14"/>
      <c r="E11" s="15"/>
      <c r="F11" s="15"/>
      <c r="G11" s="12"/>
      <c r="H11" s="16" t="str">
        <f aca="false">IF(OR(A11="",C11=""),"",IFERROR(INDEX(Aşamalar!$B$5:$B$12,MATCH(C11,Aşamalar!$A$5:$A$12,0)),0))</f>
        <v/>
      </c>
      <c r="I11" s="17" t="str">
        <f aca="false">IF(H11="","",D11*H11)</f>
        <v/>
      </c>
      <c r="J11" s="18" t="str">
        <f aca="true">IF(AND(AND(C11&lt;&gt;"Kazanıldı",C11&lt;&gt;"Kaybedildi",C11&lt;&gt;""),F11&lt;&gt;""),IF(F11&lt;TODAY(),"Gecikti",IF(F11=TODAY(),"Bugün","")),"")</f>
        <v/>
      </c>
      <c r="K11" s="18" t="str">
        <f aca="true">IF(AND(AND(C11&lt;&gt;"Kazanıldı",C11&lt;&gt;"Kaybedildi",C11&lt;&gt;""),F11&lt;&gt;"",F11&lt;=TODAY()),F11+ROW()/1000000,"")</f>
        <v/>
      </c>
    </row>
    <row r="12" customFormat="false" ht="15" hidden="false" customHeight="false" outlineLevel="0" collapsed="false">
      <c r="A12" s="12"/>
      <c r="B12" s="13"/>
      <c r="C12" s="13"/>
      <c r="D12" s="14"/>
      <c r="E12" s="15"/>
      <c r="F12" s="15"/>
      <c r="G12" s="12"/>
      <c r="H12" s="16" t="str">
        <f aca="false">IF(OR(A12="",C12=""),"",IFERROR(INDEX(Aşamalar!$B$5:$B$12,MATCH(C12,Aşamalar!$A$5:$A$12,0)),0))</f>
        <v/>
      </c>
      <c r="I12" s="17" t="str">
        <f aca="false">IF(H12="","",D12*H12)</f>
        <v/>
      </c>
      <c r="J12" s="18" t="str">
        <f aca="true">IF(AND(AND(C12&lt;&gt;"Kazanıldı",C12&lt;&gt;"Kaybedildi",C12&lt;&gt;""),F12&lt;&gt;""),IF(F12&lt;TODAY(),"Gecikti",IF(F12=TODAY(),"Bugün","")),"")</f>
        <v/>
      </c>
      <c r="K12" s="18" t="str">
        <f aca="true">IF(AND(AND(C12&lt;&gt;"Kazanıldı",C12&lt;&gt;"Kaybedildi",C12&lt;&gt;""),F12&lt;&gt;"",F12&lt;=TODAY()),F12+ROW()/1000000,"")</f>
        <v/>
      </c>
    </row>
    <row r="13" customFormat="false" ht="15" hidden="false" customHeight="false" outlineLevel="0" collapsed="false">
      <c r="A13" s="12"/>
      <c r="B13" s="13"/>
      <c r="C13" s="13"/>
      <c r="D13" s="14"/>
      <c r="E13" s="15"/>
      <c r="F13" s="15"/>
      <c r="G13" s="12"/>
      <c r="H13" s="16" t="str">
        <f aca="false">IF(OR(A13="",C13=""),"",IFERROR(INDEX(Aşamalar!$B$5:$B$12,MATCH(C13,Aşamalar!$A$5:$A$12,0)),0))</f>
        <v/>
      </c>
      <c r="I13" s="17" t="str">
        <f aca="false">IF(H13="","",D13*H13)</f>
        <v/>
      </c>
      <c r="J13" s="18" t="str">
        <f aca="true">IF(AND(AND(C13&lt;&gt;"Kazanıldı",C13&lt;&gt;"Kaybedildi",C13&lt;&gt;""),F13&lt;&gt;""),IF(F13&lt;TODAY(),"Gecikti",IF(F13=TODAY(),"Bugün","")),"")</f>
        <v/>
      </c>
      <c r="K13" s="18" t="str">
        <f aca="true">IF(AND(AND(C13&lt;&gt;"Kazanıldı",C13&lt;&gt;"Kaybedildi",C13&lt;&gt;""),F13&lt;&gt;"",F13&lt;=TODAY()),F13+ROW()/1000000,"")</f>
        <v/>
      </c>
    </row>
    <row r="14" customFormat="false" ht="15" hidden="false" customHeight="false" outlineLevel="0" collapsed="false">
      <c r="A14" s="12"/>
      <c r="B14" s="13"/>
      <c r="C14" s="13"/>
      <c r="D14" s="14"/>
      <c r="E14" s="15"/>
      <c r="F14" s="15"/>
      <c r="G14" s="12"/>
      <c r="H14" s="16" t="str">
        <f aca="false">IF(OR(A14="",C14=""),"",IFERROR(INDEX(Aşamalar!$B$5:$B$12,MATCH(C14,Aşamalar!$A$5:$A$12,0)),0))</f>
        <v/>
      </c>
      <c r="I14" s="17" t="str">
        <f aca="false">IF(H14="","",D14*H14)</f>
        <v/>
      </c>
      <c r="J14" s="18" t="str">
        <f aca="true">IF(AND(AND(C14&lt;&gt;"Kazanıldı",C14&lt;&gt;"Kaybedildi",C14&lt;&gt;""),F14&lt;&gt;""),IF(F14&lt;TODAY(),"Gecikti",IF(F14=TODAY(),"Bugün","")),"")</f>
        <v/>
      </c>
      <c r="K14" s="18" t="str">
        <f aca="true">IF(AND(AND(C14&lt;&gt;"Kazanıldı",C14&lt;&gt;"Kaybedildi",C14&lt;&gt;""),F14&lt;&gt;"",F14&lt;=TODAY()),F14+ROW()/1000000,"")</f>
        <v/>
      </c>
    </row>
    <row r="15" customFormat="false" ht="15" hidden="false" customHeight="false" outlineLevel="0" collapsed="false">
      <c r="A15" s="12"/>
      <c r="B15" s="13"/>
      <c r="C15" s="13"/>
      <c r="D15" s="14"/>
      <c r="E15" s="15"/>
      <c r="F15" s="15"/>
      <c r="G15" s="12"/>
      <c r="H15" s="16" t="str">
        <f aca="false">IF(OR(A15="",C15=""),"",IFERROR(INDEX(Aşamalar!$B$5:$B$12,MATCH(C15,Aşamalar!$A$5:$A$12,0)),0))</f>
        <v/>
      </c>
      <c r="I15" s="17" t="str">
        <f aca="false">IF(H15="","",D15*H15)</f>
        <v/>
      </c>
      <c r="J15" s="18" t="str">
        <f aca="true">IF(AND(AND(C15&lt;&gt;"Kazanıldı",C15&lt;&gt;"Kaybedildi",C15&lt;&gt;""),F15&lt;&gt;""),IF(F15&lt;TODAY(),"Gecikti",IF(F15=TODAY(),"Bugün","")),"")</f>
        <v/>
      </c>
      <c r="K15" s="18" t="str">
        <f aca="true">IF(AND(AND(C15&lt;&gt;"Kazanıldı",C15&lt;&gt;"Kaybedildi",C15&lt;&gt;""),F15&lt;&gt;"",F15&lt;=TODAY()),F15+ROW()/1000000,"")</f>
        <v/>
      </c>
    </row>
    <row r="16" customFormat="false" ht="15" hidden="false" customHeight="false" outlineLevel="0" collapsed="false">
      <c r="A16" s="12"/>
      <c r="B16" s="13"/>
      <c r="C16" s="13"/>
      <c r="D16" s="14"/>
      <c r="E16" s="15"/>
      <c r="F16" s="15"/>
      <c r="G16" s="12"/>
      <c r="H16" s="16" t="str">
        <f aca="false">IF(OR(A16="",C16=""),"",IFERROR(INDEX(Aşamalar!$B$5:$B$12,MATCH(C16,Aşamalar!$A$5:$A$12,0)),0))</f>
        <v/>
      </c>
      <c r="I16" s="17" t="str">
        <f aca="false">IF(H16="","",D16*H16)</f>
        <v/>
      </c>
      <c r="J16" s="18" t="str">
        <f aca="true">IF(AND(AND(C16&lt;&gt;"Kazanıldı",C16&lt;&gt;"Kaybedildi",C16&lt;&gt;""),F16&lt;&gt;""),IF(F16&lt;TODAY(),"Gecikti",IF(F16=TODAY(),"Bugün","")),"")</f>
        <v/>
      </c>
      <c r="K16" s="18" t="str">
        <f aca="true">IF(AND(AND(C16&lt;&gt;"Kazanıldı",C16&lt;&gt;"Kaybedildi",C16&lt;&gt;""),F16&lt;&gt;"",F16&lt;=TODAY()),F16+ROW()/1000000,"")</f>
        <v/>
      </c>
    </row>
    <row r="17" customFormat="false" ht="15" hidden="false" customHeight="false" outlineLevel="0" collapsed="false">
      <c r="A17" s="12"/>
      <c r="B17" s="13"/>
      <c r="C17" s="13"/>
      <c r="D17" s="14"/>
      <c r="E17" s="15"/>
      <c r="F17" s="15"/>
      <c r="G17" s="12"/>
      <c r="H17" s="16" t="str">
        <f aca="false">IF(OR(A17="",C17=""),"",IFERROR(INDEX(Aşamalar!$B$5:$B$12,MATCH(C17,Aşamalar!$A$5:$A$12,0)),0))</f>
        <v/>
      </c>
      <c r="I17" s="17" t="str">
        <f aca="false">IF(H17="","",D17*H17)</f>
        <v/>
      </c>
      <c r="J17" s="18" t="str">
        <f aca="true">IF(AND(AND(C17&lt;&gt;"Kazanıldı",C17&lt;&gt;"Kaybedildi",C17&lt;&gt;""),F17&lt;&gt;""),IF(F17&lt;TODAY(),"Gecikti",IF(F17=TODAY(),"Bugün","")),"")</f>
        <v/>
      </c>
      <c r="K17" s="18" t="str">
        <f aca="true">IF(AND(AND(C17&lt;&gt;"Kazanıldı",C17&lt;&gt;"Kaybedildi",C17&lt;&gt;""),F17&lt;&gt;"",F17&lt;=TODAY()),F17+ROW()/1000000,"")</f>
        <v/>
      </c>
    </row>
    <row r="18" customFormat="false" ht="15" hidden="false" customHeight="false" outlineLevel="0" collapsed="false">
      <c r="A18" s="12"/>
      <c r="B18" s="13"/>
      <c r="C18" s="13"/>
      <c r="D18" s="14"/>
      <c r="E18" s="15"/>
      <c r="F18" s="15"/>
      <c r="G18" s="12"/>
      <c r="H18" s="16" t="str">
        <f aca="false">IF(OR(A18="",C18=""),"",IFERROR(INDEX(Aşamalar!$B$5:$B$12,MATCH(C18,Aşamalar!$A$5:$A$12,0)),0))</f>
        <v/>
      </c>
      <c r="I18" s="17" t="str">
        <f aca="false">IF(H18="","",D18*H18)</f>
        <v/>
      </c>
      <c r="J18" s="18" t="str">
        <f aca="true">IF(AND(AND(C18&lt;&gt;"Kazanıldı",C18&lt;&gt;"Kaybedildi",C18&lt;&gt;""),F18&lt;&gt;""),IF(F18&lt;TODAY(),"Gecikti",IF(F18=TODAY(),"Bugün","")),"")</f>
        <v/>
      </c>
      <c r="K18" s="18" t="str">
        <f aca="true">IF(AND(AND(C18&lt;&gt;"Kazanıldı",C18&lt;&gt;"Kaybedildi",C18&lt;&gt;""),F18&lt;&gt;"",F18&lt;=TODAY()),F18+ROW()/1000000,"")</f>
        <v/>
      </c>
    </row>
    <row r="19" customFormat="false" ht="15" hidden="false" customHeight="false" outlineLevel="0" collapsed="false">
      <c r="A19" s="12"/>
      <c r="B19" s="13"/>
      <c r="C19" s="13"/>
      <c r="D19" s="14"/>
      <c r="E19" s="15"/>
      <c r="F19" s="15"/>
      <c r="G19" s="12"/>
      <c r="H19" s="16" t="str">
        <f aca="false">IF(OR(A19="",C19=""),"",IFERROR(INDEX(Aşamalar!$B$5:$B$12,MATCH(C19,Aşamalar!$A$5:$A$12,0)),0))</f>
        <v/>
      </c>
      <c r="I19" s="17" t="str">
        <f aca="false">IF(H19="","",D19*H19)</f>
        <v/>
      </c>
      <c r="J19" s="18" t="str">
        <f aca="true">IF(AND(AND(C19&lt;&gt;"Kazanıldı",C19&lt;&gt;"Kaybedildi",C19&lt;&gt;""),F19&lt;&gt;""),IF(F19&lt;TODAY(),"Gecikti",IF(F19=TODAY(),"Bugün","")),"")</f>
        <v/>
      </c>
      <c r="K19" s="18" t="str">
        <f aca="true">IF(AND(AND(C19&lt;&gt;"Kazanıldı",C19&lt;&gt;"Kaybedildi",C19&lt;&gt;""),F19&lt;&gt;"",F19&lt;=TODAY()),F19+ROW()/1000000,"")</f>
        <v/>
      </c>
    </row>
    <row r="20" customFormat="false" ht="15" hidden="false" customHeight="false" outlineLevel="0" collapsed="false">
      <c r="A20" s="12"/>
      <c r="B20" s="13"/>
      <c r="C20" s="13"/>
      <c r="D20" s="14"/>
      <c r="E20" s="15"/>
      <c r="F20" s="15"/>
      <c r="G20" s="12"/>
      <c r="H20" s="16" t="str">
        <f aca="false">IF(OR(A20="",C20=""),"",IFERROR(INDEX(Aşamalar!$B$5:$B$12,MATCH(C20,Aşamalar!$A$5:$A$12,0)),0))</f>
        <v/>
      </c>
      <c r="I20" s="17" t="str">
        <f aca="false">IF(H20="","",D20*H20)</f>
        <v/>
      </c>
      <c r="J20" s="18" t="str">
        <f aca="true">IF(AND(AND(C20&lt;&gt;"Kazanıldı",C20&lt;&gt;"Kaybedildi",C20&lt;&gt;""),F20&lt;&gt;""),IF(F20&lt;TODAY(),"Gecikti",IF(F20=TODAY(),"Bugün","")),"")</f>
        <v/>
      </c>
      <c r="K20" s="18" t="str">
        <f aca="true">IF(AND(AND(C20&lt;&gt;"Kazanıldı",C20&lt;&gt;"Kaybedildi",C20&lt;&gt;""),F20&lt;&gt;"",F20&lt;=TODAY()),F20+ROW()/1000000,"")</f>
        <v/>
      </c>
    </row>
    <row r="21" customFormat="false" ht="15" hidden="false" customHeight="false" outlineLevel="0" collapsed="false">
      <c r="A21" s="12"/>
      <c r="B21" s="13"/>
      <c r="C21" s="13"/>
      <c r="D21" s="14"/>
      <c r="E21" s="15"/>
      <c r="F21" s="15"/>
      <c r="G21" s="12"/>
      <c r="H21" s="16" t="str">
        <f aca="false">IF(OR(A21="",C21=""),"",IFERROR(INDEX(Aşamalar!$B$5:$B$12,MATCH(C21,Aşamalar!$A$5:$A$12,0)),0))</f>
        <v/>
      </c>
      <c r="I21" s="17" t="str">
        <f aca="false">IF(H21="","",D21*H21)</f>
        <v/>
      </c>
      <c r="J21" s="18" t="str">
        <f aca="true">IF(AND(AND(C21&lt;&gt;"Kazanıldı",C21&lt;&gt;"Kaybedildi",C21&lt;&gt;""),F21&lt;&gt;""),IF(F21&lt;TODAY(),"Gecikti",IF(F21=TODAY(),"Bugün","")),"")</f>
        <v/>
      </c>
      <c r="K21" s="18" t="str">
        <f aca="true">IF(AND(AND(C21&lt;&gt;"Kazanıldı",C21&lt;&gt;"Kaybedildi",C21&lt;&gt;""),F21&lt;&gt;"",F21&lt;=TODAY()),F21+ROW()/1000000,"")</f>
        <v/>
      </c>
    </row>
    <row r="22" customFormat="false" ht="15" hidden="false" customHeight="false" outlineLevel="0" collapsed="false">
      <c r="A22" s="12"/>
      <c r="B22" s="13"/>
      <c r="C22" s="13"/>
      <c r="D22" s="14"/>
      <c r="E22" s="15"/>
      <c r="F22" s="15"/>
      <c r="G22" s="12"/>
      <c r="H22" s="16" t="str">
        <f aca="false">IF(OR(A22="",C22=""),"",IFERROR(INDEX(Aşamalar!$B$5:$B$12,MATCH(C22,Aşamalar!$A$5:$A$12,0)),0))</f>
        <v/>
      </c>
      <c r="I22" s="17" t="str">
        <f aca="false">IF(H22="","",D22*H22)</f>
        <v/>
      </c>
      <c r="J22" s="18" t="str">
        <f aca="true">IF(AND(AND(C22&lt;&gt;"Kazanıldı",C22&lt;&gt;"Kaybedildi",C22&lt;&gt;""),F22&lt;&gt;""),IF(F22&lt;TODAY(),"Gecikti",IF(F22=TODAY(),"Bugün","")),"")</f>
        <v/>
      </c>
      <c r="K22" s="18" t="str">
        <f aca="true">IF(AND(AND(C22&lt;&gt;"Kazanıldı",C22&lt;&gt;"Kaybedildi",C22&lt;&gt;""),F22&lt;&gt;"",F22&lt;=TODAY()),F22+ROW()/1000000,"")</f>
        <v/>
      </c>
    </row>
    <row r="23" customFormat="false" ht="15" hidden="false" customHeight="false" outlineLevel="0" collapsed="false">
      <c r="A23" s="12"/>
      <c r="B23" s="13"/>
      <c r="C23" s="13"/>
      <c r="D23" s="14"/>
      <c r="E23" s="15"/>
      <c r="F23" s="15"/>
      <c r="G23" s="12"/>
      <c r="H23" s="16" t="str">
        <f aca="false">IF(OR(A23="",C23=""),"",IFERROR(INDEX(Aşamalar!$B$5:$B$12,MATCH(C23,Aşamalar!$A$5:$A$12,0)),0))</f>
        <v/>
      </c>
      <c r="I23" s="17" t="str">
        <f aca="false">IF(H23="","",D23*H23)</f>
        <v/>
      </c>
      <c r="J23" s="18" t="str">
        <f aca="true">IF(AND(AND(C23&lt;&gt;"Kazanıldı",C23&lt;&gt;"Kaybedildi",C23&lt;&gt;""),F23&lt;&gt;""),IF(F23&lt;TODAY(),"Gecikti",IF(F23=TODAY(),"Bugün","")),"")</f>
        <v/>
      </c>
      <c r="K23" s="18" t="str">
        <f aca="true">IF(AND(AND(C23&lt;&gt;"Kazanıldı",C23&lt;&gt;"Kaybedildi",C23&lt;&gt;""),F23&lt;&gt;"",F23&lt;=TODAY()),F23+ROW()/1000000,"")</f>
        <v/>
      </c>
    </row>
    <row r="24" customFormat="false" ht="15" hidden="false" customHeight="false" outlineLevel="0" collapsed="false">
      <c r="A24" s="12"/>
      <c r="B24" s="13"/>
      <c r="C24" s="13"/>
      <c r="D24" s="14"/>
      <c r="E24" s="15"/>
      <c r="F24" s="15"/>
      <c r="G24" s="12"/>
      <c r="H24" s="16" t="str">
        <f aca="false">IF(OR(A24="",C24=""),"",IFERROR(INDEX(Aşamalar!$B$5:$B$12,MATCH(C24,Aşamalar!$A$5:$A$12,0)),0))</f>
        <v/>
      </c>
      <c r="I24" s="17" t="str">
        <f aca="false">IF(H24="","",D24*H24)</f>
        <v/>
      </c>
      <c r="J24" s="18" t="str">
        <f aca="true">IF(AND(AND(C24&lt;&gt;"Kazanıldı",C24&lt;&gt;"Kaybedildi",C24&lt;&gt;""),F24&lt;&gt;""),IF(F24&lt;TODAY(),"Gecikti",IF(F24=TODAY(),"Bugün","")),"")</f>
        <v/>
      </c>
      <c r="K24" s="18" t="str">
        <f aca="true">IF(AND(AND(C24&lt;&gt;"Kazanıldı",C24&lt;&gt;"Kaybedildi",C24&lt;&gt;""),F24&lt;&gt;"",F24&lt;=TODAY()),F24+ROW()/1000000,"")</f>
        <v/>
      </c>
    </row>
    <row r="25" customFormat="false" ht="15" hidden="false" customHeight="false" outlineLevel="0" collapsed="false">
      <c r="A25" s="12"/>
      <c r="B25" s="13"/>
      <c r="C25" s="13"/>
      <c r="D25" s="14"/>
      <c r="E25" s="15"/>
      <c r="F25" s="15"/>
      <c r="G25" s="12"/>
      <c r="H25" s="16" t="str">
        <f aca="false">IF(OR(A25="",C25=""),"",IFERROR(INDEX(Aşamalar!$B$5:$B$12,MATCH(C25,Aşamalar!$A$5:$A$12,0)),0))</f>
        <v/>
      </c>
      <c r="I25" s="17" t="str">
        <f aca="false">IF(H25="","",D25*H25)</f>
        <v/>
      </c>
      <c r="J25" s="18" t="str">
        <f aca="true">IF(AND(AND(C25&lt;&gt;"Kazanıldı",C25&lt;&gt;"Kaybedildi",C25&lt;&gt;""),F25&lt;&gt;""),IF(F25&lt;TODAY(),"Gecikti",IF(F25=TODAY(),"Bugün","")),"")</f>
        <v/>
      </c>
      <c r="K25" s="18" t="str">
        <f aca="true">IF(AND(AND(C25&lt;&gt;"Kazanıldı",C25&lt;&gt;"Kaybedildi",C25&lt;&gt;""),F25&lt;&gt;"",F25&lt;=TODAY()),F25+ROW()/1000000,"")</f>
        <v/>
      </c>
    </row>
    <row r="26" customFormat="false" ht="15" hidden="false" customHeight="false" outlineLevel="0" collapsed="false">
      <c r="A26" s="12"/>
      <c r="B26" s="13"/>
      <c r="C26" s="13"/>
      <c r="D26" s="14"/>
      <c r="E26" s="15"/>
      <c r="F26" s="15"/>
      <c r="G26" s="12"/>
      <c r="H26" s="16" t="str">
        <f aca="false">IF(OR(A26="",C26=""),"",IFERROR(INDEX(Aşamalar!$B$5:$B$12,MATCH(C26,Aşamalar!$A$5:$A$12,0)),0))</f>
        <v/>
      </c>
      <c r="I26" s="17" t="str">
        <f aca="false">IF(H26="","",D26*H26)</f>
        <v/>
      </c>
      <c r="J26" s="18" t="str">
        <f aca="true">IF(AND(AND(C26&lt;&gt;"Kazanıldı",C26&lt;&gt;"Kaybedildi",C26&lt;&gt;""),F26&lt;&gt;""),IF(F26&lt;TODAY(),"Gecikti",IF(F26=TODAY(),"Bugün","")),"")</f>
        <v/>
      </c>
      <c r="K26" s="18" t="str">
        <f aca="true">IF(AND(AND(C26&lt;&gt;"Kazanıldı",C26&lt;&gt;"Kaybedildi",C26&lt;&gt;""),F26&lt;&gt;"",F26&lt;=TODAY()),F26+ROW()/1000000,"")</f>
        <v/>
      </c>
    </row>
    <row r="27" customFormat="false" ht="15" hidden="false" customHeight="false" outlineLevel="0" collapsed="false">
      <c r="A27" s="12"/>
      <c r="B27" s="13"/>
      <c r="C27" s="13"/>
      <c r="D27" s="14"/>
      <c r="E27" s="15"/>
      <c r="F27" s="15"/>
      <c r="G27" s="12"/>
      <c r="H27" s="16" t="str">
        <f aca="false">IF(OR(A27="",C27=""),"",IFERROR(INDEX(Aşamalar!$B$5:$B$12,MATCH(C27,Aşamalar!$A$5:$A$12,0)),0))</f>
        <v/>
      </c>
      <c r="I27" s="17" t="str">
        <f aca="false">IF(H27="","",D27*H27)</f>
        <v/>
      </c>
      <c r="J27" s="18" t="str">
        <f aca="true">IF(AND(AND(C27&lt;&gt;"Kazanıldı",C27&lt;&gt;"Kaybedildi",C27&lt;&gt;""),F27&lt;&gt;""),IF(F27&lt;TODAY(),"Gecikti",IF(F27=TODAY(),"Bugün","")),"")</f>
        <v/>
      </c>
      <c r="K27" s="18" t="str">
        <f aca="true">IF(AND(AND(C27&lt;&gt;"Kazanıldı",C27&lt;&gt;"Kaybedildi",C27&lt;&gt;""),F27&lt;&gt;"",F27&lt;=TODAY()),F27+ROW()/1000000,"")</f>
        <v/>
      </c>
    </row>
    <row r="28" customFormat="false" ht="15" hidden="false" customHeight="false" outlineLevel="0" collapsed="false">
      <c r="A28" s="12"/>
      <c r="B28" s="13"/>
      <c r="C28" s="13"/>
      <c r="D28" s="14"/>
      <c r="E28" s="15"/>
      <c r="F28" s="15"/>
      <c r="G28" s="12"/>
      <c r="H28" s="16" t="str">
        <f aca="false">IF(OR(A28="",C28=""),"",IFERROR(INDEX(Aşamalar!$B$5:$B$12,MATCH(C28,Aşamalar!$A$5:$A$12,0)),0))</f>
        <v/>
      </c>
      <c r="I28" s="17" t="str">
        <f aca="false">IF(H28="","",D28*H28)</f>
        <v/>
      </c>
      <c r="J28" s="18" t="str">
        <f aca="true">IF(AND(AND(C28&lt;&gt;"Kazanıldı",C28&lt;&gt;"Kaybedildi",C28&lt;&gt;""),F28&lt;&gt;""),IF(F28&lt;TODAY(),"Gecikti",IF(F28=TODAY(),"Bugün","")),"")</f>
        <v/>
      </c>
      <c r="K28" s="18" t="str">
        <f aca="true">IF(AND(AND(C28&lt;&gt;"Kazanıldı",C28&lt;&gt;"Kaybedildi",C28&lt;&gt;""),F28&lt;&gt;"",F28&lt;=TODAY()),F28+ROW()/1000000,"")</f>
        <v/>
      </c>
    </row>
    <row r="29" customFormat="false" ht="15" hidden="false" customHeight="false" outlineLevel="0" collapsed="false">
      <c r="A29" s="12"/>
      <c r="B29" s="13"/>
      <c r="C29" s="13"/>
      <c r="D29" s="14"/>
      <c r="E29" s="15"/>
      <c r="F29" s="15"/>
      <c r="G29" s="12"/>
      <c r="H29" s="16" t="str">
        <f aca="false">IF(OR(A29="",C29=""),"",IFERROR(INDEX(Aşamalar!$B$5:$B$12,MATCH(C29,Aşamalar!$A$5:$A$12,0)),0))</f>
        <v/>
      </c>
      <c r="I29" s="17" t="str">
        <f aca="false">IF(H29="","",D29*H29)</f>
        <v/>
      </c>
      <c r="J29" s="18" t="str">
        <f aca="true">IF(AND(AND(C29&lt;&gt;"Kazanıldı",C29&lt;&gt;"Kaybedildi",C29&lt;&gt;""),F29&lt;&gt;""),IF(F29&lt;TODAY(),"Gecikti",IF(F29=TODAY(),"Bugün","")),"")</f>
        <v/>
      </c>
      <c r="K29" s="18" t="str">
        <f aca="true">IF(AND(AND(C29&lt;&gt;"Kazanıldı",C29&lt;&gt;"Kaybedildi",C29&lt;&gt;""),F29&lt;&gt;"",F29&lt;=TODAY()),F29+ROW()/1000000,"")</f>
        <v/>
      </c>
    </row>
    <row r="30" customFormat="false" ht="15" hidden="false" customHeight="false" outlineLevel="0" collapsed="false">
      <c r="A30" s="12"/>
      <c r="B30" s="13"/>
      <c r="C30" s="13"/>
      <c r="D30" s="14"/>
      <c r="E30" s="15"/>
      <c r="F30" s="15"/>
      <c r="G30" s="12"/>
      <c r="H30" s="16" t="str">
        <f aca="false">IF(OR(A30="",C30=""),"",IFERROR(INDEX(Aşamalar!$B$5:$B$12,MATCH(C30,Aşamalar!$A$5:$A$12,0)),0))</f>
        <v/>
      </c>
      <c r="I30" s="17" t="str">
        <f aca="false">IF(H30="","",D30*H30)</f>
        <v/>
      </c>
      <c r="J30" s="18" t="str">
        <f aca="true">IF(AND(AND(C30&lt;&gt;"Kazanıldı",C30&lt;&gt;"Kaybedildi",C30&lt;&gt;""),F30&lt;&gt;""),IF(F30&lt;TODAY(),"Gecikti",IF(F30=TODAY(),"Bugün","")),"")</f>
        <v/>
      </c>
      <c r="K30" s="18" t="str">
        <f aca="true">IF(AND(AND(C30&lt;&gt;"Kazanıldı",C30&lt;&gt;"Kaybedildi",C30&lt;&gt;""),F30&lt;&gt;"",F30&lt;=TODAY()),F30+ROW()/1000000,"")</f>
        <v/>
      </c>
    </row>
    <row r="31" customFormat="false" ht="15" hidden="false" customHeight="false" outlineLevel="0" collapsed="false">
      <c r="A31" s="12"/>
      <c r="B31" s="13"/>
      <c r="C31" s="13"/>
      <c r="D31" s="14"/>
      <c r="E31" s="15"/>
      <c r="F31" s="15"/>
      <c r="G31" s="12"/>
      <c r="H31" s="16" t="str">
        <f aca="false">IF(OR(A31="",C31=""),"",IFERROR(INDEX(Aşamalar!$B$5:$B$12,MATCH(C31,Aşamalar!$A$5:$A$12,0)),0))</f>
        <v/>
      </c>
      <c r="I31" s="17" t="str">
        <f aca="false">IF(H31="","",D31*H31)</f>
        <v/>
      </c>
      <c r="J31" s="18" t="str">
        <f aca="true">IF(AND(AND(C31&lt;&gt;"Kazanıldı",C31&lt;&gt;"Kaybedildi",C31&lt;&gt;""),F31&lt;&gt;""),IF(F31&lt;TODAY(),"Gecikti",IF(F31=TODAY(),"Bugün","")),"")</f>
        <v/>
      </c>
      <c r="K31" s="18" t="str">
        <f aca="true">IF(AND(AND(C31&lt;&gt;"Kazanıldı",C31&lt;&gt;"Kaybedildi",C31&lt;&gt;""),F31&lt;&gt;"",F31&lt;=TODAY()),F31+ROW()/1000000,"")</f>
        <v/>
      </c>
    </row>
    <row r="32" customFormat="false" ht="15" hidden="false" customHeight="false" outlineLevel="0" collapsed="false">
      <c r="A32" s="12"/>
      <c r="B32" s="13"/>
      <c r="C32" s="13"/>
      <c r="D32" s="14"/>
      <c r="E32" s="15"/>
      <c r="F32" s="15"/>
      <c r="G32" s="12"/>
      <c r="H32" s="16" t="str">
        <f aca="false">IF(OR(A32="",C32=""),"",IFERROR(INDEX(Aşamalar!$B$5:$B$12,MATCH(C32,Aşamalar!$A$5:$A$12,0)),0))</f>
        <v/>
      </c>
      <c r="I32" s="17" t="str">
        <f aca="false">IF(H32="","",D32*H32)</f>
        <v/>
      </c>
      <c r="J32" s="18" t="str">
        <f aca="true">IF(AND(AND(C32&lt;&gt;"Kazanıldı",C32&lt;&gt;"Kaybedildi",C32&lt;&gt;""),F32&lt;&gt;""),IF(F32&lt;TODAY(),"Gecikti",IF(F32=TODAY(),"Bugün","")),"")</f>
        <v/>
      </c>
      <c r="K32" s="18" t="str">
        <f aca="true">IF(AND(AND(C32&lt;&gt;"Kazanıldı",C32&lt;&gt;"Kaybedildi",C32&lt;&gt;""),F32&lt;&gt;"",F32&lt;=TODAY()),F32+ROW()/1000000,"")</f>
        <v/>
      </c>
    </row>
    <row r="33" customFormat="false" ht="15" hidden="false" customHeight="false" outlineLevel="0" collapsed="false">
      <c r="A33" s="12"/>
      <c r="B33" s="13"/>
      <c r="C33" s="13"/>
      <c r="D33" s="14"/>
      <c r="E33" s="15"/>
      <c r="F33" s="15"/>
      <c r="G33" s="12"/>
      <c r="H33" s="16" t="str">
        <f aca="false">IF(OR(A33="",C33=""),"",IFERROR(INDEX(Aşamalar!$B$5:$B$12,MATCH(C33,Aşamalar!$A$5:$A$12,0)),0))</f>
        <v/>
      </c>
      <c r="I33" s="17" t="str">
        <f aca="false">IF(H33="","",D33*H33)</f>
        <v/>
      </c>
      <c r="J33" s="18" t="str">
        <f aca="true">IF(AND(AND(C33&lt;&gt;"Kazanıldı",C33&lt;&gt;"Kaybedildi",C33&lt;&gt;""),F33&lt;&gt;""),IF(F33&lt;TODAY(),"Gecikti",IF(F33=TODAY(),"Bugün","")),"")</f>
        <v/>
      </c>
      <c r="K33" s="18" t="str">
        <f aca="true">IF(AND(AND(C33&lt;&gt;"Kazanıldı",C33&lt;&gt;"Kaybedildi",C33&lt;&gt;""),F33&lt;&gt;"",F33&lt;=TODAY()),F33+ROW()/1000000,"")</f>
        <v/>
      </c>
    </row>
    <row r="34" customFormat="false" ht="15" hidden="false" customHeight="false" outlineLevel="0" collapsed="false">
      <c r="A34" s="12"/>
      <c r="B34" s="13"/>
      <c r="C34" s="13"/>
      <c r="D34" s="14"/>
      <c r="E34" s="15"/>
      <c r="F34" s="15"/>
      <c r="G34" s="12"/>
      <c r="H34" s="16" t="str">
        <f aca="false">IF(OR(A34="",C34=""),"",IFERROR(INDEX(Aşamalar!$B$5:$B$12,MATCH(C34,Aşamalar!$A$5:$A$12,0)),0))</f>
        <v/>
      </c>
      <c r="I34" s="17" t="str">
        <f aca="false">IF(H34="","",D34*H34)</f>
        <v/>
      </c>
      <c r="J34" s="18" t="str">
        <f aca="true">IF(AND(AND(C34&lt;&gt;"Kazanıldı",C34&lt;&gt;"Kaybedildi",C34&lt;&gt;""),F34&lt;&gt;""),IF(F34&lt;TODAY(),"Gecikti",IF(F34=TODAY(),"Bugün","")),"")</f>
        <v/>
      </c>
      <c r="K34" s="18" t="str">
        <f aca="true">IF(AND(AND(C34&lt;&gt;"Kazanıldı",C34&lt;&gt;"Kaybedildi",C34&lt;&gt;""),F34&lt;&gt;"",F34&lt;=TODAY()),F34+ROW()/1000000,"")</f>
        <v/>
      </c>
    </row>
    <row r="35" customFormat="false" ht="15" hidden="false" customHeight="false" outlineLevel="0" collapsed="false">
      <c r="A35" s="12"/>
      <c r="B35" s="13"/>
      <c r="C35" s="13"/>
      <c r="D35" s="14"/>
      <c r="E35" s="15"/>
      <c r="F35" s="15"/>
      <c r="G35" s="12"/>
      <c r="H35" s="16" t="str">
        <f aca="false">IF(OR(A35="",C35=""),"",IFERROR(INDEX(Aşamalar!$B$5:$B$12,MATCH(C35,Aşamalar!$A$5:$A$12,0)),0))</f>
        <v/>
      </c>
      <c r="I35" s="17" t="str">
        <f aca="false">IF(H35="","",D35*H35)</f>
        <v/>
      </c>
      <c r="J35" s="18" t="str">
        <f aca="true">IF(AND(AND(C35&lt;&gt;"Kazanıldı",C35&lt;&gt;"Kaybedildi",C35&lt;&gt;""),F35&lt;&gt;""),IF(F35&lt;TODAY(),"Gecikti",IF(F35=TODAY(),"Bugün","")),"")</f>
        <v/>
      </c>
      <c r="K35" s="18" t="str">
        <f aca="true">IF(AND(AND(C35&lt;&gt;"Kazanıldı",C35&lt;&gt;"Kaybedildi",C35&lt;&gt;""),F35&lt;&gt;"",F35&lt;=TODAY()),F35+ROW()/1000000,"")</f>
        <v/>
      </c>
    </row>
    <row r="36" customFormat="false" ht="15" hidden="false" customHeight="false" outlineLevel="0" collapsed="false">
      <c r="A36" s="12"/>
      <c r="B36" s="13"/>
      <c r="C36" s="13"/>
      <c r="D36" s="14"/>
      <c r="E36" s="15"/>
      <c r="F36" s="15"/>
      <c r="G36" s="12"/>
      <c r="H36" s="16" t="str">
        <f aca="false">IF(OR(A36="",C36=""),"",IFERROR(INDEX(Aşamalar!$B$5:$B$12,MATCH(C36,Aşamalar!$A$5:$A$12,0)),0))</f>
        <v/>
      </c>
      <c r="I36" s="17" t="str">
        <f aca="false">IF(H36="","",D36*H36)</f>
        <v/>
      </c>
      <c r="J36" s="18" t="str">
        <f aca="true">IF(AND(AND(C36&lt;&gt;"Kazanıldı",C36&lt;&gt;"Kaybedildi",C36&lt;&gt;""),F36&lt;&gt;""),IF(F36&lt;TODAY(),"Gecikti",IF(F36=TODAY(),"Bugün","")),"")</f>
        <v/>
      </c>
      <c r="K36" s="18" t="str">
        <f aca="true">IF(AND(AND(C36&lt;&gt;"Kazanıldı",C36&lt;&gt;"Kaybedildi",C36&lt;&gt;""),F36&lt;&gt;"",F36&lt;=TODAY()),F36+ROW()/1000000,"")</f>
        <v/>
      </c>
    </row>
    <row r="37" customFormat="false" ht="15" hidden="false" customHeight="false" outlineLevel="0" collapsed="false">
      <c r="A37" s="12"/>
      <c r="B37" s="13"/>
      <c r="C37" s="13"/>
      <c r="D37" s="14"/>
      <c r="E37" s="15"/>
      <c r="F37" s="15"/>
      <c r="G37" s="12"/>
      <c r="H37" s="16" t="str">
        <f aca="false">IF(OR(A37="",C37=""),"",IFERROR(INDEX(Aşamalar!$B$5:$B$12,MATCH(C37,Aşamalar!$A$5:$A$12,0)),0))</f>
        <v/>
      </c>
      <c r="I37" s="17" t="str">
        <f aca="false">IF(H37="","",D37*H37)</f>
        <v/>
      </c>
      <c r="J37" s="18" t="str">
        <f aca="true">IF(AND(AND(C37&lt;&gt;"Kazanıldı",C37&lt;&gt;"Kaybedildi",C37&lt;&gt;""),F37&lt;&gt;""),IF(F37&lt;TODAY(),"Gecikti",IF(F37=TODAY(),"Bugün","")),"")</f>
        <v/>
      </c>
      <c r="K37" s="18" t="str">
        <f aca="true">IF(AND(AND(C37&lt;&gt;"Kazanıldı",C37&lt;&gt;"Kaybedildi",C37&lt;&gt;""),F37&lt;&gt;"",F37&lt;=TODAY()),F37+ROW()/1000000,"")</f>
        <v/>
      </c>
    </row>
    <row r="38" customFormat="false" ht="15" hidden="false" customHeight="false" outlineLevel="0" collapsed="false">
      <c r="A38" s="12"/>
      <c r="B38" s="13"/>
      <c r="C38" s="13"/>
      <c r="D38" s="14"/>
      <c r="E38" s="15"/>
      <c r="F38" s="15"/>
      <c r="G38" s="12"/>
      <c r="H38" s="16" t="str">
        <f aca="false">IF(OR(A38="",C38=""),"",IFERROR(INDEX(Aşamalar!$B$5:$B$12,MATCH(C38,Aşamalar!$A$5:$A$12,0)),0))</f>
        <v/>
      </c>
      <c r="I38" s="17" t="str">
        <f aca="false">IF(H38="","",D38*H38)</f>
        <v/>
      </c>
      <c r="J38" s="18" t="str">
        <f aca="true">IF(AND(AND(C38&lt;&gt;"Kazanıldı",C38&lt;&gt;"Kaybedildi",C38&lt;&gt;""),F38&lt;&gt;""),IF(F38&lt;TODAY(),"Gecikti",IF(F38=TODAY(),"Bugün","")),"")</f>
        <v/>
      </c>
      <c r="K38" s="18" t="str">
        <f aca="true">IF(AND(AND(C38&lt;&gt;"Kazanıldı",C38&lt;&gt;"Kaybedildi",C38&lt;&gt;""),F38&lt;&gt;"",F38&lt;=TODAY()),F38+ROW()/1000000,"")</f>
        <v/>
      </c>
    </row>
    <row r="39" customFormat="false" ht="15" hidden="false" customHeight="false" outlineLevel="0" collapsed="false">
      <c r="A39" s="12"/>
      <c r="B39" s="13"/>
      <c r="C39" s="13"/>
      <c r="D39" s="14"/>
      <c r="E39" s="15"/>
      <c r="F39" s="15"/>
      <c r="G39" s="12"/>
      <c r="H39" s="16" t="str">
        <f aca="false">IF(OR(A39="",C39=""),"",IFERROR(INDEX(Aşamalar!$B$5:$B$12,MATCH(C39,Aşamalar!$A$5:$A$12,0)),0))</f>
        <v/>
      </c>
      <c r="I39" s="17" t="str">
        <f aca="false">IF(H39="","",D39*H39)</f>
        <v/>
      </c>
      <c r="J39" s="18" t="str">
        <f aca="true">IF(AND(AND(C39&lt;&gt;"Kazanıldı",C39&lt;&gt;"Kaybedildi",C39&lt;&gt;""),F39&lt;&gt;""),IF(F39&lt;TODAY(),"Gecikti",IF(F39=TODAY(),"Bugün","")),"")</f>
        <v/>
      </c>
      <c r="K39" s="18" t="str">
        <f aca="true">IF(AND(AND(C39&lt;&gt;"Kazanıldı",C39&lt;&gt;"Kaybedildi",C39&lt;&gt;""),F39&lt;&gt;"",F39&lt;=TODAY()),F39+ROW()/1000000,"")</f>
        <v/>
      </c>
    </row>
    <row r="40" customFormat="false" ht="15" hidden="false" customHeight="false" outlineLevel="0" collapsed="false">
      <c r="A40" s="12"/>
      <c r="B40" s="13"/>
      <c r="C40" s="13"/>
      <c r="D40" s="14"/>
      <c r="E40" s="15"/>
      <c r="F40" s="15"/>
      <c r="G40" s="12"/>
      <c r="H40" s="16" t="str">
        <f aca="false">IF(OR(A40="",C40=""),"",IFERROR(INDEX(Aşamalar!$B$5:$B$12,MATCH(C40,Aşamalar!$A$5:$A$12,0)),0))</f>
        <v/>
      </c>
      <c r="I40" s="17" t="str">
        <f aca="false">IF(H40="","",D40*H40)</f>
        <v/>
      </c>
      <c r="J40" s="18" t="str">
        <f aca="true">IF(AND(AND(C40&lt;&gt;"Kazanıldı",C40&lt;&gt;"Kaybedildi",C40&lt;&gt;""),F40&lt;&gt;""),IF(F40&lt;TODAY(),"Gecikti",IF(F40=TODAY(),"Bugün","")),"")</f>
        <v/>
      </c>
      <c r="K40" s="18" t="str">
        <f aca="true">IF(AND(AND(C40&lt;&gt;"Kazanıldı",C40&lt;&gt;"Kaybedildi",C40&lt;&gt;""),F40&lt;&gt;"",F40&lt;=TODAY()),F40+ROW()/1000000,"")</f>
        <v/>
      </c>
    </row>
    <row r="41" customFormat="false" ht="15" hidden="false" customHeight="false" outlineLevel="0" collapsed="false">
      <c r="A41" s="12"/>
      <c r="B41" s="13"/>
      <c r="C41" s="13"/>
      <c r="D41" s="14"/>
      <c r="E41" s="15"/>
      <c r="F41" s="15"/>
      <c r="G41" s="12"/>
      <c r="H41" s="16" t="str">
        <f aca="false">IF(OR(A41="",C41=""),"",IFERROR(INDEX(Aşamalar!$B$5:$B$12,MATCH(C41,Aşamalar!$A$5:$A$12,0)),0))</f>
        <v/>
      </c>
      <c r="I41" s="17" t="str">
        <f aca="false">IF(H41="","",D41*H41)</f>
        <v/>
      </c>
      <c r="J41" s="18" t="str">
        <f aca="true">IF(AND(AND(C41&lt;&gt;"Kazanıldı",C41&lt;&gt;"Kaybedildi",C41&lt;&gt;""),F41&lt;&gt;""),IF(F41&lt;TODAY(),"Gecikti",IF(F41=TODAY(),"Bugün","")),"")</f>
        <v/>
      </c>
      <c r="K41" s="18" t="str">
        <f aca="true">IF(AND(AND(C41&lt;&gt;"Kazanıldı",C41&lt;&gt;"Kaybedildi",C41&lt;&gt;""),F41&lt;&gt;"",F41&lt;=TODAY()),F41+ROW()/1000000,"")</f>
        <v/>
      </c>
    </row>
    <row r="42" customFormat="false" ht="15" hidden="false" customHeight="false" outlineLevel="0" collapsed="false">
      <c r="A42" s="12"/>
      <c r="B42" s="13"/>
      <c r="C42" s="13"/>
      <c r="D42" s="14"/>
      <c r="E42" s="15"/>
      <c r="F42" s="15"/>
      <c r="G42" s="12"/>
      <c r="H42" s="16" t="str">
        <f aca="false">IF(OR(A42="",C42=""),"",IFERROR(INDEX(Aşamalar!$B$5:$B$12,MATCH(C42,Aşamalar!$A$5:$A$12,0)),0))</f>
        <v/>
      </c>
      <c r="I42" s="17" t="str">
        <f aca="false">IF(H42="","",D42*H42)</f>
        <v/>
      </c>
      <c r="J42" s="18" t="str">
        <f aca="true">IF(AND(AND(C42&lt;&gt;"Kazanıldı",C42&lt;&gt;"Kaybedildi",C42&lt;&gt;""),F42&lt;&gt;""),IF(F42&lt;TODAY(),"Gecikti",IF(F42=TODAY(),"Bugün","")),"")</f>
        <v/>
      </c>
      <c r="K42" s="18" t="str">
        <f aca="true">IF(AND(AND(C42&lt;&gt;"Kazanıldı",C42&lt;&gt;"Kaybedildi",C42&lt;&gt;""),F42&lt;&gt;"",F42&lt;=TODAY()),F42+ROW()/1000000,"")</f>
        <v/>
      </c>
    </row>
    <row r="43" customFormat="false" ht="15" hidden="false" customHeight="false" outlineLevel="0" collapsed="false">
      <c r="A43" s="12"/>
      <c r="B43" s="13"/>
      <c r="C43" s="13"/>
      <c r="D43" s="14"/>
      <c r="E43" s="15"/>
      <c r="F43" s="15"/>
      <c r="G43" s="12"/>
      <c r="H43" s="16" t="str">
        <f aca="false">IF(OR(A43="",C43=""),"",IFERROR(INDEX(Aşamalar!$B$5:$B$12,MATCH(C43,Aşamalar!$A$5:$A$12,0)),0))</f>
        <v/>
      </c>
      <c r="I43" s="17" t="str">
        <f aca="false">IF(H43="","",D43*H43)</f>
        <v/>
      </c>
      <c r="J43" s="18" t="str">
        <f aca="true">IF(AND(AND(C43&lt;&gt;"Kazanıldı",C43&lt;&gt;"Kaybedildi",C43&lt;&gt;""),F43&lt;&gt;""),IF(F43&lt;TODAY(),"Gecikti",IF(F43=TODAY(),"Bugün","")),"")</f>
        <v/>
      </c>
      <c r="K43" s="18" t="str">
        <f aca="true">IF(AND(AND(C43&lt;&gt;"Kazanıldı",C43&lt;&gt;"Kaybedildi",C43&lt;&gt;""),F43&lt;&gt;"",F43&lt;=TODAY()),F43+ROW()/1000000,"")</f>
        <v/>
      </c>
    </row>
    <row r="44" customFormat="false" ht="15" hidden="false" customHeight="false" outlineLevel="0" collapsed="false">
      <c r="A44" s="12"/>
      <c r="B44" s="13"/>
      <c r="C44" s="13"/>
      <c r="D44" s="14"/>
      <c r="E44" s="15"/>
      <c r="F44" s="15"/>
      <c r="G44" s="12"/>
      <c r="H44" s="16" t="str">
        <f aca="false">IF(OR(A44="",C44=""),"",IFERROR(INDEX(Aşamalar!$B$5:$B$12,MATCH(C44,Aşamalar!$A$5:$A$12,0)),0))</f>
        <v/>
      </c>
      <c r="I44" s="17" t="str">
        <f aca="false">IF(H44="","",D44*H44)</f>
        <v/>
      </c>
      <c r="J44" s="18" t="str">
        <f aca="true">IF(AND(AND(C44&lt;&gt;"Kazanıldı",C44&lt;&gt;"Kaybedildi",C44&lt;&gt;""),F44&lt;&gt;""),IF(F44&lt;TODAY(),"Gecikti",IF(F44=TODAY(),"Bugün","")),"")</f>
        <v/>
      </c>
      <c r="K44" s="18" t="str">
        <f aca="true">IF(AND(AND(C44&lt;&gt;"Kazanıldı",C44&lt;&gt;"Kaybedildi",C44&lt;&gt;""),F44&lt;&gt;"",F44&lt;=TODAY()),F44+ROW()/1000000,"")</f>
        <v/>
      </c>
    </row>
    <row r="45" customFormat="false" ht="15" hidden="false" customHeight="false" outlineLevel="0" collapsed="false">
      <c r="A45" s="12"/>
      <c r="B45" s="13"/>
      <c r="C45" s="13"/>
      <c r="D45" s="14"/>
      <c r="E45" s="15"/>
      <c r="F45" s="15"/>
      <c r="G45" s="12"/>
      <c r="H45" s="16" t="str">
        <f aca="false">IF(OR(A45="",C45=""),"",IFERROR(INDEX(Aşamalar!$B$5:$B$12,MATCH(C45,Aşamalar!$A$5:$A$12,0)),0))</f>
        <v/>
      </c>
      <c r="I45" s="17" t="str">
        <f aca="false">IF(H45="","",D45*H45)</f>
        <v/>
      </c>
      <c r="J45" s="18" t="str">
        <f aca="true">IF(AND(AND(C45&lt;&gt;"Kazanıldı",C45&lt;&gt;"Kaybedildi",C45&lt;&gt;""),F45&lt;&gt;""),IF(F45&lt;TODAY(),"Gecikti",IF(F45=TODAY(),"Bugün","")),"")</f>
        <v/>
      </c>
      <c r="K45" s="18" t="str">
        <f aca="true">IF(AND(AND(C45&lt;&gt;"Kazanıldı",C45&lt;&gt;"Kaybedildi",C45&lt;&gt;""),F45&lt;&gt;"",F45&lt;=TODAY()),F45+ROW()/1000000,"")</f>
        <v/>
      </c>
    </row>
    <row r="46" customFormat="false" ht="15" hidden="false" customHeight="false" outlineLevel="0" collapsed="false">
      <c r="A46" s="12"/>
      <c r="B46" s="13"/>
      <c r="C46" s="13"/>
      <c r="D46" s="14"/>
      <c r="E46" s="15"/>
      <c r="F46" s="15"/>
      <c r="G46" s="12"/>
      <c r="H46" s="16" t="str">
        <f aca="false">IF(OR(A46="",C46=""),"",IFERROR(INDEX(Aşamalar!$B$5:$B$12,MATCH(C46,Aşamalar!$A$5:$A$12,0)),0))</f>
        <v/>
      </c>
      <c r="I46" s="17" t="str">
        <f aca="false">IF(H46="","",D46*H46)</f>
        <v/>
      </c>
      <c r="J46" s="18" t="str">
        <f aca="true">IF(AND(AND(C46&lt;&gt;"Kazanıldı",C46&lt;&gt;"Kaybedildi",C46&lt;&gt;""),F46&lt;&gt;""),IF(F46&lt;TODAY(),"Gecikti",IF(F46=TODAY(),"Bugün","")),"")</f>
        <v/>
      </c>
      <c r="K46" s="18" t="str">
        <f aca="true">IF(AND(AND(C46&lt;&gt;"Kazanıldı",C46&lt;&gt;"Kaybedildi",C46&lt;&gt;""),F46&lt;&gt;"",F46&lt;=TODAY()),F46+ROW()/1000000,"")</f>
        <v/>
      </c>
    </row>
    <row r="47" customFormat="false" ht="15" hidden="false" customHeight="false" outlineLevel="0" collapsed="false">
      <c r="A47" s="12"/>
      <c r="B47" s="13"/>
      <c r="C47" s="13"/>
      <c r="D47" s="14"/>
      <c r="E47" s="15"/>
      <c r="F47" s="15"/>
      <c r="G47" s="12"/>
      <c r="H47" s="16" t="str">
        <f aca="false">IF(OR(A47="",C47=""),"",IFERROR(INDEX(Aşamalar!$B$5:$B$12,MATCH(C47,Aşamalar!$A$5:$A$12,0)),0))</f>
        <v/>
      </c>
      <c r="I47" s="17" t="str">
        <f aca="false">IF(H47="","",D47*H47)</f>
        <v/>
      </c>
      <c r="J47" s="18" t="str">
        <f aca="true">IF(AND(AND(C47&lt;&gt;"Kazanıldı",C47&lt;&gt;"Kaybedildi",C47&lt;&gt;""),F47&lt;&gt;""),IF(F47&lt;TODAY(),"Gecikti",IF(F47=TODAY(),"Bugün","")),"")</f>
        <v/>
      </c>
      <c r="K47" s="18" t="str">
        <f aca="true">IF(AND(AND(C47&lt;&gt;"Kazanıldı",C47&lt;&gt;"Kaybedildi",C47&lt;&gt;""),F47&lt;&gt;"",F47&lt;=TODAY()),F47+ROW()/1000000,"")</f>
        <v/>
      </c>
    </row>
    <row r="48" customFormat="false" ht="15" hidden="false" customHeight="false" outlineLevel="0" collapsed="false">
      <c r="A48" s="12"/>
      <c r="B48" s="13"/>
      <c r="C48" s="13"/>
      <c r="D48" s="14"/>
      <c r="E48" s="15"/>
      <c r="F48" s="15"/>
      <c r="G48" s="12"/>
      <c r="H48" s="16" t="str">
        <f aca="false">IF(OR(A48="",C48=""),"",IFERROR(INDEX(Aşamalar!$B$5:$B$12,MATCH(C48,Aşamalar!$A$5:$A$12,0)),0))</f>
        <v/>
      </c>
      <c r="I48" s="17" t="str">
        <f aca="false">IF(H48="","",D48*H48)</f>
        <v/>
      </c>
      <c r="J48" s="18" t="str">
        <f aca="true">IF(AND(AND(C48&lt;&gt;"Kazanıldı",C48&lt;&gt;"Kaybedildi",C48&lt;&gt;""),F48&lt;&gt;""),IF(F48&lt;TODAY(),"Gecikti",IF(F48=TODAY(),"Bugün","")),"")</f>
        <v/>
      </c>
      <c r="K48" s="18" t="str">
        <f aca="true">IF(AND(AND(C48&lt;&gt;"Kazanıldı",C48&lt;&gt;"Kaybedildi",C48&lt;&gt;""),F48&lt;&gt;"",F48&lt;=TODAY()),F48+ROW()/1000000,"")</f>
        <v/>
      </c>
    </row>
    <row r="49" customFormat="false" ht="15" hidden="false" customHeight="false" outlineLevel="0" collapsed="false">
      <c r="A49" s="12"/>
      <c r="B49" s="13"/>
      <c r="C49" s="13"/>
      <c r="D49" s="14"/>
      <c r="E49" s="15"/>
      <c r="F49" s="15"/>
      <c r="G49" s="12"/>
      <c r="H49" s="16" t="str">
        <f aca="false">IF(OR(A49="",C49=""),"",IFERROR(INDEX(Aşamalar!$B$5:$B$12,MATCH(C49,Aşamalar!$A$5:$A$12,0)),0))</f>
        <v/>
      </c>
      <c r="I49" s="17" t="str">
        <f aca="false">IF(H49="","",D49*H49)</f>
        <v/>
      </c>
      <c r="J49" s="18" t="str">
        <f aca="true">IF(AND(AND(C49&lt;&gt;"Kazanıldı",C49&lt;&gt;"Kaybedildi",C49&lt;&gt;""),F49&lt;&gt;""),IF(F49&lt;TODAY(),"Gecikti",IF(F49=TODAY(),"Bugün","")),"")</f>
        <v/>
      </c>
      <c r="K49" s="18" t="str">
        <f aca="true">IF(AND(AND(C49&lt;&gt;"Kazanıldı",C49&lt;&gt;"Kaybedildi",C49&lt;&gt;""),F49&lt;&gt;"",F49&lt;=TODAY()),F49+ROW()/1000000,"")</f>
        <v/>
      </c>
    </row>
    <row r="50" customFormat="false" ht="15" hidden="false" customHeight="false" outlineLevel="0" collapsed="false">
      <c r="A50" s="12"/>
      <c r="B50" s="13"/>
      <c r="C50" s="13"/>
      <c r="D50" s="14"/>
      <c r="E50" s="15"/>
      <c r="F50" s="15"/>
      <c r="G50" s="12"/>
      <c r="H50" s="16" t="str">
        <f aca="false">IF(OR(A50="",C50=""),"",IFERROR(INDEX(Aşamalar!$B$5:$B$12,MATCH(C50,Aşamalar!$A$5:$A$12,0)),0))</f>
        <v/>
      </c>
      <c r="I50" s="17" t="str">
        <f aca="false">IF(H50="","",D50*H50)</f>
        <v/>
      </c>
      <c r="J50" s="18" t="str">
        <f aca="true">IF(AND(AND(C50&lt;&gt;"Kazanıldı",C50&lt;&gt;"Kaybedildi",C50&lt;&gt;""),F50&lt;&gt;""),IF(F50&lt;TODAY(),"Gecikti",IF(F50=TODAY(),"Bugün","")),"")</f>
        <v/>
      </c>
      <c r="K50" s="18" t="str">
        <f aca="true">IF(AND(AND(C50&lt;&gt;"Kazanıldı",C50&lt;&gt;"Kaybedildi",C50&lt;&gt;""),F50&lt;&gt;"",F50&lt;=TODAY()),F50+ROW()/1000000,"")</f>
        <v/>
      </c>
    </row>
    <row r="51" customFormat="false" ht="15" hidden="false" customHeight="false" outlineLevel="0" collapsed="false">
      <c r="A51" s="12"/>
      <c r="B51" s="13"/>
      <c r="C51" s="13"/>
      <c r="D51" s="14"/>
      <c r="E51" s="15"/>
      <c r="F51" s="15"/>
      <c r="G51" s="12"/>
      <c r="H51" s="16" t="str">
        <f aca="false">IF(OR(A51="",C51=""),"",IFERROR(INDEX(Aşamalar!$B$5:$B$12,MATCH(C51,Aşamalar!$A$5:$A$12,0)),0))</f>
        <v/>
      </c>
      <c r="I51" s="17" t="str">
        <f aca="false">IF(H51="","",D51*H51)</f>
        <v/>
      </c>
      <c r="J51" s="18" t="str">
        <f aca="true">IF(AND(AND(C51&lt;&gt;"Kazanıldı",C51&lt;&gt;"Kaybedildi",C51&lt;&gt;""),F51&lt;&gt;""),IF(F51&lt;TODAY(),"Gecikti",IF(F51=TODAY(),"Bugün","")),"")</f>
        <v/>
      </c>
      <c r="K51" s="18" t="str">
        <f aca="true">IF(AND(AND(C51&lt;&gt;"Kazanıldı",C51&lt;&gt;"Kaybedildi",C51&lt;&gt;""),F51&lt;&gt;"",F51&lt;=TODAY()),F51+ROW()/1000000,"")</f>
        <v/>
      </c>
    </row>
    <row r="52" customFormat="false" ht="15" hidden="false" customHeight="false" outlineLevel="0" collapsed="false">
      <c r="A52" s="12"/>
      <c r="B52" s="13"/>
      <c r="C52" s="13"/>
      <c r="D52" s="14"/>
      <c r="E52" s="15"/>
      <c r="F52" s="15"/>
      <c r="G52" s="12"/>
      <c r="H52" s="16" t="str">
        <f aca="false">IF(OR(A52="",C52=""),"",IFERROR(INDEX(Aşamalar!$B$5:$B$12,MATCH(C52,Aşamalar!$A$5:$A$12,0)),0))</f>
        <v/>
      </c>
      <c r="I52" s="17" t="str">
        <f aca="false">IF(H52="","",D52*H52)</f>
        <v/>
      </c>
      <c r="J52" s="18" t="str">
        <f aca="true">IF(AND(AND(C52&lt;&gt;"Kazanıldı",C52&lt;&gt;"Kaybedildi",C52&lt;&gt;""),F52&lt;&gt;""),IF(F52&lt;TODAY(),"Gecikti",IF(F52=TODAY(),"Bugün","")),"")</f>
        <v/>
      </c>
      <c r="K52" s="18" t="str">
        <f aca="true">IF(AND(AND(C52&lt;&gt;"Kazanıldı",C52&lt;&gt;"Kaybedildi",C52&lt;&gt;""),F52&lt;&gt;"",F52&lt;=TODAY()),F52+ROW()/1000000,"")</f>
        <v/>
      </c>
    </row>
    <row r="53" customFormat="false" ht="15" hidden="false" customHeight="false" outlineLevel="0" collapsed="false">
      <c r="A53" s="12"/>
      <c r="B53" s="13"/>
      <c r="C53" s="13"/>
      <c r="D53" s="14"/>
      <c r="E53" s="15"/>
      <c r="F53" s="15"/>
      <c r="G53" s="12"/>
      <c r="H53" s="16" t="str">
        <f aca="false">IF(OR(A53="",C53=""),"",IFERROR(INDEX(Aşamalar!$B$5:$B$12,MATCH(C53,Aşamalar!$A$5:$A$12,0)),0))</f>
        <v/>
      </c>
      <c r="I53" s="17" t="str">
        <f aca="false">IF(H53="","",D53*H53)</f>
        <v/>
      </c>
      <c r="J53" s="18" t="str">
        <f aca="true">IF(AND(AND(C53&lt;&gt;"Kazanıldı",C53&lt;&gt;"Kaybedildi",C53&lt;&gt;""),F53&lt;&gt;""),IF(F53&lt;TODAY(),"Gecikti",IF(F53=TODAY(),"Bugün","")),"")</f>
        <v/>
      </c>
      <c r="K53" s="18" t="str">
        <f aca="true">IF(AND(AND(C53&lt;&gt;"Kazanıldı",C53&lt;&gt;"Kaybedildi",C53&lt;&gt;""),F53&lt;&gt;"",F53&lt;=TODAY()),F53+ROW()/1000000,"")</f>
        <v/>
      </c>
    </row>
    <row r="54" customFormat="false" ht="15" hidden="false" customHeight="false" outlineLevel="0" collapsed="false">
      <c r="A54" s="12"/>
      <c r="B54" s="13"/>
      <c r="C54" s="13"/>
      <c r="D54" s="14"/>
      <c r="E54" s="15"/>
      <c r="F54" s="15"/>
      <c r="G54" s="12"/>
      <c r="H54" s="16" t="str">
        <f aca="false">IF(OR(A54="",C54=""),"",IFERROR(INDEX(Aşamalar!$B$5:$B$12,MATCH(C54,Aşamalar!$A$5:$A$12,0)),0))</f>
        <v/>
      </c>
      <c r="I54" s="17" t="str">
        <f aca="false">IF(H54="","",D54*H54)</f>
        <v/>
      </c>
      <c r="J54" s="18" t="str">
        <f aca="true">IF(AND(AND(C54&lt;&gt;"Kazanıldı",C54&lt;&gt;"Kaybedildi",C54&lt;&gt;""),F54&lt;&gt;""),IF(F54&lt;TODAY(),"Gecikti",IF(F54=TODAY(),"Bugün","")),"")</f>
        <v/>
      </c>
      <c r="K54" s="18" t="str">
        <f aca="true">IF(AND(AND(C54&lt;&gt;"Kazanıldı",C54&lt;&gt;"Kaybedildi",C54&lt;&gt;""),F54&lt;&gt;"",F54&lt;=TODAY()),F54+ROW()/1000000,"")</f>
        <v/>
      </c>
    </row>
    <row r="55" customFormat="false" ht="15" hidden="false" customHeight="false" outlineLevel="0" collapsed="false">
      <c r="A55" s="12"/>
      <c r="B55" s="13"/>
      <c r="C55" s="13"/>
      <c r="D55" s="14"/>
      <c r="E55" s="15"/>
      <c r="F55" s="15"/>
      <c r="G55" s="12"/>
      <c r="H55" s="16" t="str">
        <f aca="false">IF(OR(A55="",C55=""),"",IFERROR(INDEX(Aşamalar!$B$5:$B$12,MATCH(C55,Aşamalar!$A$5:$A$12,0)),0))</f>
        <v/>
      </c>
      <c r="I55" s="17" t="str">
        <f aca="false">IF(H55="","",D55*H55)</f>
        <v/>
      </c>
      <c r="J55" s="18" t="str">
        <f aca="true">IF(AND(AND(C55&lt;&gt;"Kazanıldı",C55&lt;&gt;"Kaybedildi",C55&lt;&gt;""),F55&lt;&gt;""),IF(F55&lt;TODAY(),"Gecikti",IF(F55=TODAY(),"Bugün","")),"")</f>
        <v/>
      </c>
      <c r="K55" s="18" t="str">
        <f aca="true">IF(AND(AND(C55&lt;&gt;"Kazanıldı",C55&lt;&gt;"Kaybedildi",C55&lt;&gt;""),F55&lt;&gt;"",F55&lt;=TODAY()),F55+ROW()/1000000,"")</f>
        <v/>
      </c>
    </row>
    <row r="56" customFormat="false" ht="15" hidden="false" customHeight="false" outlineLevel="0" collapsed="false">
      <c r="A56" s="12"/>
      <c r="B56" s="13"/>
      <c r="C56" s="13"/>
      <c r="D56" s="14"/>
      <c r="E56" s="15"/>
      <c r="F56" s="15"/>
      <c r="G56" s="12"/>
      <c r="H56" s="16" t="str">
        <f aca="false">IF(OR(A56="",C56=""),"",IFERROR(INDEX(Aşamalar!$B$5:$B$12,MATCH(C56,Aşamalar!$A$5:$A$12,0)),0))</f>
        <v/>
      </c>
      <c r="I56" s="17" t="str">
        <f aca="false">IF(H56="","",D56*H56)</f>
        <v/>
      </c>
      <c r="J56" s="18" t="str">
        <f aca="true">IF(AND(AND(C56&lt;&gt;"Kazanıldı",C56&lt;&gt;"Kaybedildi",C56&lt;&gt;""),F56&lt;&gt;""),IF(F56&lt;TODAY(),"Gecikti",IF(F56=TODAY(),"Bugün","")),"")</f>
        <v/>
      </c>
      <c r="K56" s="18" t="str">
        <f aca="true">IF(AND(AND(C56&lt;&gt;"Kazanıldı",C56&lt;&gt;"Kaybedildi",C56&lt;&gt;""),F56&lt;&gt;"",F56&lt;=TODAY()),F56+ROW()/1000000,"")</f>
        <v/>
      </c>
    </row>
    <row r="57" customFormat="false" ht="15" hidden="false" customHeight="false" outlineLevel="0" collapsed="false">
      <c r="A57" s="12"/>
      <c r="B57" s="13"/>
      <c r="C57" s="13"/>
      <c r="D57" s="14"/>
      <c r="E57" s="15"/>
      <c r="F57" s="15"/>
      <c r="G57" s="12"/>
      <c r="H57" s="16" t="str">
        <f aca="false">IF(OR(A57="",C57=""),"",IFERROR(INDEX(Aşamalar!$B$5:$B$12,MATCH(C57,Aşamalar!$A$5:$A$12,0)),0))</f>
        <v/>
      </c>
      <c r="I57" s="17" t="str">
        <f aca="false">IF(H57="","",D57*H57)</f>
        <v/>
      </c>
      <c r="J57" s="18" t="str">
        <f aca="true">IF(AND(AND(C57&lt;&gt;"Kazanıldı",C57&lt;&gt;"Kaybedildi",C57&lt;&gt;""),F57&lt;&gt;""),IF(F57&lt;TODAY(),"Gecikti",IF(F57=TODAY(),"Bugün","")),"")</f>
        <v/>
      </c>
      <c r="K57" s="18" t="str">
        <f aca="true">IF(AND(AND(C57&lt;&gt;"Kazanıldı",C57&lt;&gt;"Kaybedildi",C57&lt;&gt;""),F57&lt;&gt;"",F57&lt;=TODAY()),F57+ROW()/1000000,"")</f>
        <v/>
      </c>
    </row>
    <row r="58" customFormat="false" ht="15" hidden="false" customHeight="false" outlineLevel="0" collapsed="false">
      <c r="A58" s="12"/>
      <c r="B58" s="13"/>
      <c r="C58" s="13"/>
      <c r="D58" s="14"/>
      <c r="E58" s="15"/>
      <c r="F58" s="15"/>
      <c r="G58" s="12"/>
      <c r="H58" s="16" t="str">
        <f aca="false">IF(OR(A58="",C58=""),"",IFERROR(INDEX(Aşamalar!$B$5:$B$12,MATCH(C58,Aşamalar!$A$5:$A$12,0)),0))</f>
        <v/>
      </c>
      <c r="I58" s="17" t="str">
        <f aca="false">IF(H58="","",D58*H58)</f>
        <v/>
      </c>
      <c r="J58" s="18" t="str">
        <f aca="true">IF(AND(AND(C58&lt;&gt;"Kazanıldı",C58&lt;&gt;"Kaybedildi",C58&lt;&gt;""),F58&lt;&gt;""),IF(F58&lt;TODAY(),"Gecikti",IF(F58=TODAY(),"Bugün","")),"")</f>
        <v/>
      </c>
      <c r="K58" s="18" t="str">
        <f aca="true">IF(AND(AND(C58&lt;&gt;"Kazanıldı",C58&lt;&gt;"Kaybedildi",C58&lt;&gt;""),F58&lt;&gt;"",F58&lt;=TODAY()),F58+ROW()/1000000,"")</f>
        <v/>
      </c>
    </row>
    <row r="59" customFormat="false" ht="15" hidden="false" customHeight="false" outlineLevel="0" collapsed="false">
      <c r="A59" s="12"/>
      <c r="B59" s="13"/>
      <c r="C59" s="13"/>
      <c r="D59" s="14"/>
      <c r="E59" s="15"/>
      <c r="F59" s="15"/>
      <c r="G59" s="12"/>
      <c r="H59" s="16" t="str">
        <f aca="false">IF(OR(A59="",C59=""),"",IFERROR(INDEX(Aşamalar!$B$5:$B$12,MATCH(C59,Aşamalar!$A$5:$A$12,0)),0))</f>
        <v/>
      </c>
      <c r="I59" s="17" t="str">
        <f aca="false">IF(H59="","",D59*H59)</f>
        <v/>
      </c>
      <c r="J59" s="18" t="str">
        <f aca="true">IF(AND(AND(C59&lt;&gt;"Kazanıldı",C59&lt;&gt;"Kaybedildi",C59&lt;&gt;""),F59&lt;&gt;""),IF(F59&lt;TODAY(),"Gecikti",IF(F59=TODAY(),"Bugün","")),"")</f>
        <v/>
      </c>
      <c r="K59" s="18" t="str">
        <f aca="true">IF(AND(AND(C59&lt;&gt;"Kazanıldı",C59&lt;&gt;"Kaybedildi",C59&lt;&gt;""),F59&lt;&gt;"",F59&lt;=TODAY()),F59+ROW()/1000000,"")</f>
        <v/>
      </c>
    </row>
    <row r="60" customFormat="false" ht="15" hidden="false" customHeight="false" outlineLevel="0" collapsed="false">
      <c r="A60" s="12"/>
      <c r="B60" s="13"/>
      <c r="C60" s="13"/>
      <c r="D60" s="14"/>
      <c r="E60" s="15"/>
      <c r="F60" s="15"/>
      <c r="G60" s="12"/>
      <c r="H60" s="16" t="str">
        <f aca="false">IF(OR(A60="",C60=""),"",IFERROR(INDEX(Aşamalar!$B$5:$B$12,MATCH(C60,Aşamalar!$A$5:$A$12,0)),0))</f>
        <v/>
      </c>
      <c r="I60" s="17" t="str">
        <f aca="false">IF(H60="","",D60*H60)</f>
        <v/>
      </c>
      <c r="J60" s="18" t="str">
        <f aca="true">IF(AND(AND(C60&lt;&gt;"Kazanıldı",C60&lt;&gt;"Kaybedildi",C60&lt;&gt;""),F60&lt;&gt;""),IF(F60&lt;TODAY(),"Gecikti",IF(F60=TODAY(),"Bugün","")),"")</f>
        <v/>
      </c>
      <c r="K60" s="18" t="str">
        <f aca="true">IF(AND(AND(C60&lt;&gt;"Kazanıldı",C60&lt;&gt;"Kaybedildi",C60&lt;&gt;""),F60&lt;&gt;"",F60&lt;=TODAY()),F60+ROW()/1000000,"")</f>
        <v/>
      </c>
    </row>
    <row r="61" customFormat="false" ht="15" hidden="false" customHeight="false" outlineLevel="0" collapsed="false">
      <c r="A61" s="12"/>
      <c r="B61" s="13"/>
      <c r="C61" s="13"/>
      <c r="D61" s="14"/>
      <c r="E61" s="15"/>
      <c r="F61" s="15"/>
      <c r="G61" s="12"/>
      <c r="H61" s="16" t="str">
        <f aca="false">IF(OR(A61="",C61=""),"",IFERROR(INDEX(Aşamalar!$B$5:$B$12,MATCH(C61,Aşamalar!$A$5:$A$12,0)),0))</f>
        <v/>
      </c>
      <c r="I61" s="17" t="str">
        <f aca="false">IF(H61="","",D61*H61)</f>
        <v/>
      </c>
      <c r="J61" s="18" t="str">
        <f aca="true">IF(AND(AND(C61&lt;&gt;"Kazanıldı",C61&lt;&gt;"Kaybedildi",C61&lt;&gt;""),F61&lt;&gt;""),IF(F61&lt;TODAY(),"Gecikti",IF(F61=TODAY(),"Bugün","")),"")</f>
        <v/>
      </c>
      <c r="K61" s="18" t="str">
        <f aca="true">IF(AND(AND(C61&lt;&gt;"Kazanıldı",C61&lt;&gt;"Kaybedildi",C61&lt;&gt;""),F61&lt;&gt;"",F61&lt;=TODAY()),F61+ROW()/1000000,"")</f>
        <v/>
      </c>
    </row>
    <row r="62" customFormat="false" ht="15" hidden="false" customHeight="false" outlineLevel="0" collapsed="false">
      <c r="A62" s="12"/>
      <c r="B62" s="13"/>
      <c r="C62" s="13"/>
      <c r="D62" s="14"/>
      <c r="E62" s="15"/>
      <c r="F62" s="15"/>
      <c r="G62" s="12"/>
      <c r="H62" s="16" t="str">
        <f aca="false">IF(OR(A62="",C62=""),"",IFERROR(INDEX(Aşamalar!$B$5:$B$12,MATCH(C62,Aşamalar!$A$5:$A$12,0)),0))</f>
        <v/>
      </c>
      <c r="I62" s="17" t="str">
        <f aca="false">IF(H62="","",D62*H62)</f>
        <v/>
      </c>
      <c r="J62" s="18" t="str">
        <f aca="true">IF(AND(AND(C62&lt;&gt;"Kazanıldı",C62&lt;&gt;"Kaybedildi",C62&lt;&gt;""),F62&lt;&gt;""),IF(F62&lt;TODAY(),"Gecikti",IF(F62=TODAY(),"Bugün","")),"")</f>
        <v/>
      </c>
      <c r="K62" s="18" t="str">
        <f aca="true">IF(AND(AND(C62&lt;&gt;"Kazanıldı",C62&lt;&gt;"Kaybedildi",C62&lt;&gt;""),F62&lt;&gt;"",F62&lt;=TODAY()),F62+ROW()/1000000,"")</f>
        <v/>
      </c>
    </row>
    <row r="63" customFormat="false" ht="15" hidden="false" customHeight="false" outlineLevel="0" collapsed="false">
      <c r="A63" s="12"/>
      <c r="B63" s="13"/>
      <c r="C63" s="13"/>
      <c r="D63" s="14"/>
      <c r="E63" s="15"/>
      <c r="F63" s="15"/>
      <c r="G63" s="12"/>
      <c r="H63" s="16" t="str">
        <f aca="false">IF(OR(A63="",C63=""),"",IFERROR(INDEX(Aşamalar!$B$5:$B$12,MATCH(C63,Aşamalar!$A$5:$A$12,0)),0))</f>
        <v/>
      </c>
      <c r="I63" s="17" t="str">
        <f aca="false">IF(H63="","",D63*H63)</f>
        <v/>
      </c>
      <c r="J63" s="18" t="str">
        <f aca="true">IF(AND(AND(C63&lt;&gt;"Kazanıldı",C63&lt;&gt;"Kaybedildi",C63&lt;&gt;""),F63&lt;&gt;""),IF(F63&lt;TODAY(),"Gecikti",IF(F63=TODAY(),"Bugün","")),"")</f>
        <v/>
      </c>
      <c r="K63" s="18" t="str">
        <f aca="true">IF(AND(AND(C63&lt;&gt;"Kazanıldı",C63&lt;&gt;"Kaybedildi",C63&lt;&gt;""),F63&lt;&gt;"",F63&lt;=TODAY()),F63+ROW()/1000000,"")</f>
        <v/>
      </c>
    </row>
    <row r="64" customFormat="false" ht="15" hidden="false" customHeight="false" outlineLevel="0" collapsed="false">
      <c r="A64" s="12"/>
      <c r="B64" s="13"/>
      <c r="C64" s="13"/>
      <c r="D64" s="14"/>
      <c r="E64" s="15"/>
      <c r="F64" s="15"/>
      <c r="G64" s="12"/>
      <c r="H64" s="16" t="str">
        <f aca="false">IF(OR(A64="",C64=""),"",IFERROR(INDEX(Aşamalar!$B$5:$B$12,MATCH(C64,Aşamalar!$A$5:$A$12,0)),0))</f>
        <v/>
      </c>
      <c r="I64" s="17" t="str">
        <f aca="false">IF(H64="","",D64*H64)</f>
        <v/>
      </c>
      <c r="J64" s="18" t="str">
        <f aca="true">IF(AND(AND(C64&lt;&gt;"Kazanıldı",C64&lt;&gt;"Kaybedildi",C64&lt;&gt;""),F64&lt;&gt;""),IF(F64&lt;TODAY(),"Gecikti",IF(F64=TODAY(),"Bugün","")),"")</f>
        <v/>
      </c>
      <c r="K64" s="18" t="str">
        <f aca="true">IF(AND(AND(C64&lt;&gt;"Kazanıldı",C64&lt;&gt;"Kaybedildi",C64&lt;&gt;""),F64&lt;&gt;"",F64&lt;=TODAY()),F64+ROW()/1000000,"")</f>
        <v/>
      </c>
    </row>
    <row r="65" customFormat="false" ht="15" hidden="false" customHeight="false" outlineLevel="0" collapsed="false">
      <c r="A65" s="12"/>
      <c r="B65" s="13"/>
      <c r="C65" s="13"/>
      <c r="D65" s="14"/>
      <c r="E65" s="15"/>
      <c r="F65" s="15"/>
      <c r="G65" s="12"/>
      <c r="H65" s="16" t="str">
        <f aca="false">IF(OR(A65="",C65=""),"",IFERROR(INDEX(Aşamalar!$B$5:$B$12,MATCH(C65,Aşamalar!$A$5:$A$12,0)),0))</f>
        <v/>
      </c>
      <c r="I65" s="17" t="str">
        <f aca="false">IF(H65="","",D65*H65)</f>
        <v/>
      </c>
      <c r="J65" s="18" t="str">
        <f aca="true">IF(AND(AND(C65&lt;&gt;"Kazanıldı",C65&lt;&gt;"Kaybedildi",C65&lt;&gt;""),F65&lt;&gt;""),IF(F65&lt;TODAY(),"Gecikti",IF(F65=TODAY(),"Bugün","")),"")</f>
        <v/>
      </c>
      <c r="K65" s="18" t="str">
        <f aca="true">IF(AND(AND(C65&lt;&gt;"Kazanıldı",C65&lt;&gt;"Kaybedildi",C65&lt;&gt;""),F65&lt;&gt;"",F65&lt;=TODAY()),F65+ROW()/1000000,"")</f>
        <v/>
      </c>
    </row>
    <row r="66" customFormat="false" ht="15" hidden="false" customHeight="false" outlineLevel="0" collapsed="false">
      <c r="A66" s="12"/>
      <c r="B66" s="13"/>
      <c r="C66" s="13"/>
      <c r="D66" s="14"/>
      <c r="E66" s="15"/>
      <c r="F66" s="15"/>
      <c r="G66" s="12"/>
      <c r="H66" s="16" t="str">
        <f aca="false">IF(OR(A66="",C66=""),"",IFERROR(INDEX(Aşamalar!$B$5:$B$12,MATCH(C66,Aşamalar!$A$5:$A$12,0)),0))</f>
        <v/>
      </c>
      <c r="I66" s="17" t="str">
        <f aca="false">IF(H66="","",D66*H66)</f>
        <v/>
      </c>
      <c r="J66" s="18" t="str">
        <f aca="true">IF(AND(AND(C66&lt;&gt;"Kazanıldı",C66&lt;&gt;"Kaybedildi",C66&lt;&gt;""),F66&lt;&gt;""),IF(F66&lt;TODAY(),"Gecikti",IF(F66=TODAY(),"Bugün","")),"")</f>
        <v/>
      </c>
      <c r="K66" s="18" t="str">
        <f aca="true">IF(AND(AND(C66&lt;&gt;"Kazanıldı",C66&lt;&gt;"Kaybedildi",C66&lt;&gt;""),F66&lt;&gt;"",F66&lt;=TODAY()),F66+ROW()/1000000,"")</f>
        <v/>
      </c>
    </row>
    <row r="67" customFormat="false" ht="15" hidden="false" customHeight="false" outlineLevel="0" collapsed="false">
      <c r="A67" s="12"/>
      <c r="B67" s="13"/>
      <c r="C67" s="13"/>
      <c r="D67" s="14"/>
      <c r="E67" s="15"/>
      <c r="F67" s="15"/>
      <c r="G67" s="12"/>
      <c r="H67" s="16" t="str">
        <f aca="false">IF(OR(A67="",C67=""),"",IFERROR(INDEX(Aşamalar!$B$5:$B$12,MATCH(C67,Aşamalar!$A$5:$A$12,0)),0))</f>
        <v/>
      </c>
      <c r="I67" s="17" t="str">
        <f aca="false">IF(H67="","",D67*H67)</f>
        <v/>
      </c>
      <c r="J67" s="18" t="str">
        <f aca="true">IF(AND(AND(C67&lt;&gt;"Kazanıldı",C67&lt;&gt;"Kaybedildi",C67&lt;&gt;""),F67&lt;&gt;""),IF(F67&lt;TODAY(),"Gecikti",IF(F67=TODAY(),"Bugün","")),"")</f>
        <v/>
      </c>
      <c r="K67" s="18" t="str">
        <f aca="true">IF(AND(AND(C67&lt;&gt;"Kazanıldı",C67&lt;&gt;"Kaybedildi",C67&lt;&gt;""),F67&lt;&gt;"",F67&lt;=TODAY()),F67+ROW()/1000000,"")</f>
        <v/>
      </c>
    </row>
    <row r="68" customFormat="false" ht="15" hidden="false" customHeight="false" outlineLevel="0" collapsed="false">
      <c r="A68" s="12"/>
      <c r="B68" s="13"/>
      <c r="C68" s="13"/>
      <c r="D68" s="14"/>
      <c r="E68" s="15"/>
      <c r="F68" s="15"/>
      <c r="G68" s="12"/>
      <c r="H68" s="16" t="str">
        <f aca="false">IF(OR(A68="",C68=""),"",IFERROR(INDEX(Aşamalar!$B$5:$B$12,MATCH(C68,Aşamalar!$A$5:$A$12,0)),0))</f>
        <v/>
      </c>
      <c r="I68" s="17" t="str">
        <f aca="false">IF(H68="","",D68*H68)</f>
        <v/>
      </c>
      <c r="J68" s="18" t="str">
        <f aca="true">IF(AND(AND(C68&lt;&gt;"Kazanıldı",C68&lt;&gt;"Kaybedildi",C68&lt;&gt;""),F68&lt;&gt;""),IF(F68&lt;TODAY(),"Gecikti",IF(F68=TODAY(),"Bugün","")),"")</f>
        <v/>
      </c>
      <c r="K68" s="18" t="str">
        <f aca="true">IF(AND(AND(C68&lt;&gt;"Kazanıldı",C68&lt;&gt;"Kaybedildi",C68&lt;&gt;""),F68&lt;&gt;"",F68&lt;=TODAY()),F68+ROW()/1000000,"")</f>
        <v/>
      </c>
    </row>
    <row r="69" customFormat="false" ht="15" hidden="false" customHeight="false" outlineLevel="0" collapsed="false">
      <c r="A69" s="12"/>
      <c r="B69" s="13"/>
      <c r="C69" s="13"/>
      <c r="D69" s="14"/>
      <c r="E69" s="15"/>
      <c r="F69" s="15"/>
      <c r="G69" s="12"/>
      <c r="H69" s="16" t="str">
        <f aca="false">IF(OR(A69="",C69=""),"",IFERROR(INDEX(Aşamalar!$B$5:$B$12,MATCH(C69,Aşamalar!$A$5:$A$12,0)),0))</f>
        <v/>
      </c>
      <c r="I69" s="17" t="str">
        <f aca="false">IF(H69="","",D69*H69)</f>
        <v/>
      </c>
      <c r="J69" s="18" t="str">
        <f aca="true">IF(AND(AND(C69&lt;&gt;"Kazanıldı",C69&lt;&gt;"Kaybedildi",C69&lt;&gt;""),F69&lt;&gt;""),IF(F69&lt;TODAY(),"Gecikti",IF(F69=TODAY(),"Bugün","")),"")</f>
        <v/>
      </c>
      <c r="K69" s="18" t="str">
        <f aca="true">IF(AND(AND(C69&lt;&gt;"Kazanıldı",C69&lt;&gt;"Kaybedildi",C69&lt;&gt;""),F69&lt;&gt;"",F69&lt;=TODAY()),F69+ROW()/1000000,"")</f>
        <v/>
      </c>
    </row>
    <row r="70" customFormat="false" ht="15" hidden="false" customHeight="false" outlineLevel="0" collapsed="false">
      <c r="A70" s="12"/>
      <c r="B70" s="13"/>
      <c r="C70" s="13"/>
      <c r="D70" s="14"/>
      <c r="E70" s="15"/>
      <c r="F70" s="15"/>
      <c r="G70" s="12"/>
      <c r="H70" s="16" t="str">
        <f aca="false">IF(OR(A70="",C70=""),"",IFERROR(INDEX(Aşamalar!$B$5:$B$12,MATCH(C70,Aşamalar!$A$5:$A$12,0)),0))</f>
        <v/>
      </c>
      <c r="I70" s="17" t="str">
        <f aca="false">IF(H70="","",D70*H70)</f>
        <v/>
      </c>
      <c r="J70" s="18" t="str">
        <f aca="true">IF(AND(AND(C70&lt;&gt;"Kazanıldı",C70&lt;&gt;"Kaybedildi",C70&lt;&gt;""),F70&lt;&gt;""),IF(F70&lt;TODAY(),"Gecikti",IF(F70=TODAY(),"Bugün","")),"")</f>
        <v/>
      </c>
      <c r="K70" s="18" t="str">
        <f aca="true">IF(AND(AND(C70&lt;&gt;"Kazanıldı",C70&lt;&gt;"Kaybedildi",C70&lt;&gt;""),F70&lt;&gt;"",F70&lt;=TODAY()),F70+ROW()/1000000,"")</f>
        <v/>
      </c>
    </row>
    <row r="71" customFormat="false" ht="15" hidden="false" customHeight="false" outlineLevel="0" collapsed="false">
      <c r="A71" s="12"/>
      <c r="B71" s="13"/>
      <c r="C71" s="13"/>
      <c r="D71" s="14"/>
      <c r="E71" s="15"/>
      <c r="F71" s="15"/>
      <c r="G71" s="12"/>
      <c r="H71" s="16" t="str">
        <f aca="false">IF(OR(A71="",C71=""),"",IFERROR(INDEX(Aşamalar!$B$5:$B$12,MATCH(C71,Aşamalar!$A$5:$A$12,0)),0))</f>
        <v/>
      </c>
      <c r="I71" s="17" t="str">
        <f aca="false">IF(H71="","",D71*H71)</f>
        <v/>
      </c>
      <c r="J71" s="18" t="str">
        <f aca="true">IF(AND(AND(C71&lt;&gt;"Kazanıldı",C71&lt;&gt;"Kaybedildi",C71&lt;&gt;""),F71&lt;&gt;""),IF(F71&lt;TODAY(),"Gecikti",IF(F71=TODAY(),"Bugün","")),"")</f>
        <v/>
      </c>
      <c r="K71" s="18" t="str">
        <f aca="true">IF(AND(AND(C71&lt;&gt;"Kazanıldı",C71&lt;&gt;"Kaybedildi",C71&lt;&gt;""),F71&lt;&gt;"",F71&lt;=TODAY()),F71+ROW()/1000000,"")</f>
        <v/>
      </c>
    </row>
    <row r="72" customFormat="false" ht="15" hidden="false" customHeight="false" outlineLevel="0" collapsed="false">
      <c r="A72" s="12"/>
      <c r="B72" s="13"/>
      <c r="C72" s="13"/>
      <c r="D72" s="14"/>
      <c r="E72" s="15"/>
      <c r="F72" s="15"/>
      <c r="G72" s="12"/>
      <c r="H72" s="16" t="str">
        <f aca="false">IF(OR(A72="",C72=""),"",IFERROR(INDEX(Aşamalar!$B$5:$B$12,MATCH(C72,Aşamalar!$A$5:$A$12,0)),0))</f>
        <v/>
      </c>
      <c r="I72" s="17" t="str">
        <f aca="false">IF(H72="","",D72*H72)</f>
        <v/>
      </c>
      <c r="J72" s="18" t="str">
        <f aca="true">IF(AND(AND(C72&lt;&gt;"Kazanıldı",C72&lt;&gt;"Kaybedildi",C72&lt;&gt;""),F72&lt;&gt;""),IF(F72&lt;TODAY(),"Gecikti",IF(F72=TODAY(),"Bugün","")),"")</f>
        <v/>
      </c>
      <c r="K72" s="18" t="str">
        <f aca="true">IF(AND(AND(C72&lt;&gt;"Kazanıldı",C72&lt;&gt;"Kaybedildi",C72&lt;&gt;""),F72&lt;&gt;"",F72&lt;=TODAY()),F72+ROW()/1000000,"")</f>
        <v/>
      </c>
    </row>
    <row r="73" customFormat="false" ht="15" hidden="false" customHeight="false" outlineLevel="0" collapsed="false">
      <c r="A73" s="12"/>
      <c r="B73" s="13"/>
      <c r="C73" s="13"/>
      <c r="D73" s="14"/>
      <c r="E73" s="15"/>
      <c r="F73" s="15"/>
      <c r="G73" s="12"/>
      <c r="H73" s="16" t="str">
        <f aca="false">IF(OR(A73="",C73=""),"",IFERROR(INDEX(Aşamalar!$B$5:$B$12,MATCH(C73,Aşamalar!$A$5:$A$12,0)),0))</f>
        <v/>
      </c>
      <c r="I73" s="17" t="str">
        <f aca="false">IF(H73="","",D73*H73)</f>
        <v/>
      </c>
      <c r="J73" s="18" t="str">
        <f aca="true">IF(AND(AND(C73&lt;&gt;"Kazanıldı",C73&lt;&gt;"Kaybedildi",C73&lt;&gt;""),F73&lt;&gt;""),IF(F73&lt;TODAY(),"Gecikti",IF(F73=TODAY(),"Bugün","")),"")</f>
        <v/>
      </c>
      <c r="K73" s="18" t="str">
        <f aca="true">IF(AND(AND(C73&lt;&gt;"Kazanıldı",C73&lt;&gt;"Kaybedildi",C73&lt;&gt;""),F73&lt;&gt;"",F73&lt;=TODAY()),F73+ROW()/1000000,"")</f>
        <v/>
      </c>
    </row>
    <row r="74" customFormat="false" ht="15" hidden="false" customHeight="false" outlineLevel="0" collapsed="false">
      <c r="A74" s="12"/>
      <c r="B74" s="13"/>
      <c r="C74" s="13"/>
      <c r="D74" s="14"/>
      <c r="E74" s="15"/>
      <c r="F74" s="15"/>
      <c r="G74" s="12"/>
      <c r="H74" s="16" t="str">
        <f aca="false">IF(OR(A74="",C74=""),"",IFERROR(INDEX(Aşamalar!$B$5:$B$12,MATCH(C74,Aşamalar!$A$5:$A$12,0)),0))</f>
        <v/>
      </c>
      <c r="I74" s="17" t="str">
        <f aca="false">IF(H74="","",D74*H74)</f>
        <v/>
      </c>
      <c r="J74" s="18" t="str">
        <f aca="true">IF(AND(AND(C74&lt;&gt;"Kazanıldı",C74&lt;&gt;"Kaybedildi",C74&lt;&gt;""),F74&lt;&gt;""),IF(F74&lt;TODAY(),"Gecikti",IF(F74=TODAY(),"Bugün","")),"")</f>
        <v/>
      </c>
      <c r="K74" s="18" t="str">
        <f aca="true">IF(AND(AND(C74&lt;&gt;"Kazanıldı",C74&lt;&gt;"Kaybedildi",C74&lt;&gt;""),F74&lt;&gt;"",F74&lt;=TODAY()),F74+ROW()/1000000,"")</f>
        <v/>
      </c>
    </row>
    <row r="75" customFormat="false" ht="15" hidden="false" customHeight="false" outlineLevel="0" collapsed="false">
      <c r="A75" s="12"/>
      <c r="B75" s="13"/>
      <c r="C75" s="13"/>
      <c r="D75" s="14"/>
      <c r="E75" s="15"/>
      <c r="F75" s="15"/>
      <c r="G75" s="12"/>
      <c r="H75" s="16" t="str">
        <f aca="false">IF(OR(A75="",C75=""),"",IFERROR(INDEX(Aşamalar!$B$5:$B$12,MATCH(C75,Aşamalar!$A$5:$A$12,0)),0))</f>
        <v/>
      </c>
      <c r="I75" s="17" t="str">
        <f aca="false">IF(H75="","",D75*H75)</f>
        <v/>
      </c>
      <c r="J75" s="18" t="str">
        <f aca="true">IF(AND(AND(C75&lt;&gt;"Kazanıldı",C75&lt;&gt;"Kaybedildi",C75&lt;&gt;""),F75&lt;&gt;""),IF(F75&lt;TODAY(),"Gecikti",IF(F75=TODAY(),"Bugün","")),"")</f>
        <v/>
      </c>
      <c r="K75" s="18" t="str">
        <f aca="true">IF(AND(AND(C75&lt;&gt;"Kazanıldı",C75&lt;&gt;"Kaybedildi",C75&lt;&gt;""),F75&lt;&gt;"",F75&lt;=TODAY()),F75+ROW()/1000000,"")</f>
        <v/>
      </c>
    </row>
    <row r="76" customFormat="false" ht="15" hidden="false" customHeight="false" outlineLevel="0" collapsed="false">
      <c r="A76" s="12"/>
      <c r="B76" s="13"/>
      <c r="C76" s="13"/>
      <c r="D76" s="14"/>
      <c r="E76" s="15"/>
      <c r="F76" s="15"/>
      <c r="G76" s="12"/>
      <c r="H76" s="16" t="str">
        <f aca="false">IF(OR(A76="",C76=""),"",IFERROR(INDEX(Aşamalar!$B$5:$B$12,MATCH(C76,Aşamalar!$A$5:$A$12,0)),0))</f>
        <v/>
      </c>
      <c r="I76" s="17" t="str">
        <f aca="false">IF(H76="","",D76*H76)</f>
        <v/>
      </c>
      <c r="J76" s="18" t="str">
        <f aca="true">IF(AND(AND(C76&lt;&gt;"Kazanıldı",C76&lt;&gt;"Kaybedildi",C76&lt;&gt;""),F76&lt;&gt;""),IF(F76&lt;TODAY(),"Gecikti",IF(F76=TODAY(),"Bugün","")),"")</f>
        <v/>
      </c>
      <c r="K76" s="18" t="str">
        <f aca="true">IF(AND(AND(C76&lt;&gt;"Kazanıldı",C76&lt;&gt;"Kaybedildi",C76&lt;&gt;""),F76&lt;&gt;"",F76&lt;=TODAY()),F76+ROW()/1000000,"")</f>
        <v/>
      </c>
    </row>
    <row r="77" customFormat="false" ht="15" hidden="false" customHeight="false" outlineLevel="0" collapsed="false">
      <c r="A77" s="12"/>
      <c r="B77" s="13"/>
      <c r="C77" s="13"/>
      <c r="D77" s="14"/>
      <c r="E77" s="15"/>
      <c r="F77" s="15"/>
      <c r="G77" s="12"/>
      <c r="H77" s="16" t="str">
        <f aca="false">IF(OR(A77="",C77=""),"",IFERROR(INDEX(Aşamalar!$B$5:$B$12,MATCH(C77,Aşamalar!$A$5:$A$12,0)),0))</f>
        <v/>
      </c>
      <c r="I77" s="17" t="str">
        <f aca="false">IF(H77="","",D77*H77)</f>
        <v/>
      </c>
      <c r="J77" s="18" t="str">
        <f aca="true">IF(AND(AND(C77&lt;&gt;"Kazanıldı",C77&lt;&gt;"Kaybedildi",C77&lt;&gt;""),F77&lt;&gt;""),IF(F77&lt;TODAY(),"Gecikti",IF(F77=TODAY(),"Bugün","")),"")</f>
        <v/>
      </c>
      <c r="K77" s="18" t="str">
        <f aca="true">IF(AND(AND(C77&lt;&gt;"Kazanıldı",C77&lt;&gt;"Kaybedildi",C77&lt;&gt;""),F77&lt;&gt;"",F77&lt;=TODAY()),F77+ROW()/1000000,"")</f>
        <v/>
      </c>
    </row>
    <row r="78" customFormat="false" ht="15" hidden="false" customHeight="false" outlineLevel="0" collapsed="false">
      <c r="A78" s="12"/>
      <c r="B78" s="13"/>
      <c r="C78" s="13"/>
      <c r="D78" s="14"/>
      <c r="E78" s="15"/>
      <c r="F78" s="15"/>
      <c r="G78" s="12"/>
      <c r="H78" s="16" t="str">
        <f aca="false">IF(OR(A78="",C78=""),"",IFERROR(INDEX(Aşamalar!$B$5:$B$12,MATCH(C78,Aşamalar!$A$5:$A$12,0)),0))</f>
        <v/>
      </c>
      <c r="I78" s="17" t="str">
        <f aca="false">IF(H78="","",D78*H78)</f>
        <v/>
      </c>
      <c r="J78" s="18" t="str">
        <f aca="true">IF(AND(AND(C78&lt;&gt;"Kazanıldı",C78&lt;&gt;"Kaybedildi",C78&lt;&gt;""),F78&lt;&gt;""),IF(F78&lt;TODAY(),"Gecikti",IF(F78=TODAY(),"Bugün","")),"")</f>
        <v/>
      </c>
      <c r="K78" s="18" t="str">
        <f aca="true">IF(AND(AND(C78&lt;&gt;"Kazanıldı",C78&lt;&gt;"Kaybedildi",C78&lt;&gt;""),F78&lt;&gt;"",F78&lt;=TODAY()),F78+ROW()/1000000,"")</f>
        <v/>
      </c>
    </row>
    <row r="79" customFormat="false" ht="15" hidden="false" customHeight="false" outlineLevel="0" collapsed="false">
      <c r="A79" s="12"/>
      <c r="B79" s="13"/>
      <c r="C79" s="13"/>
      <c r="D79" s="14"/>
      <c r="E79" s="15"/>
      <c r="F79" s="15"/>
      <c r="G79" s="12"/>
      <c r="H79" s="16" t="str">
        <f aca="false">IF(OR(A79="",C79=""),"",IFERROR(INDEX(Aşamalar!$B$5:$B$12,MATCH(C79,Aşamalar!$A$5:$A$12,0)),0))</f>
        <v/>
      </c>
      <c r="I79" s="17" t="str">
        <f aca="false">IF(H79="","",D79*H79)</f>
        <v/>
      </c>
      <c r="J79" s="18" t="str">
        <f aca="true">IF(AND(AND(C79&lt;&gt;"Kazanıldı",C79&lt;&gt;"Kaybedildi",C79&lt;&gt;""),F79&lt;&gt;""),IF(F79&lt;TODAY(),"Gecikti",IF(F79=TODAY(),"Bugün","")),"")</f>
        <v/>
      </c>
      <c r="K79" s="18" t="str">
        <f aca="true">IF(AND(AND(C79&lt;&gt;"Kazanıldı",C79&lt;&gt;"Kaybedildi",C79&lt;&gt;""),F79&lt;&gt;"",F79&lt;=TODAY()),F79+ROW()/1000000,"")</f>
        <v/>
      </c>
    </row>
    <row r="80" customFormat="false" ht="15" hidden="false" customHeight="false" outlineLevel="0" collapsed="false">
      <c r="A80" s="12"/>
      <c r="B80" s="13"/>
      <c r="C80" s="13"/>
      <c r="D80" s="14"/>
      <c r="E80" s="15"/>
      <c r="F80" s="15"/>
      <c r="G80" s="12"/>
      <c r="H80" s="16" t="str">
        <f aca="false">IF(OR(A80="",C80=""),"",IFERROR(INDEX(Aşamalar!$B$5:$B$12,MATCH(C80,Aşamalar!$A$5:$A$12,0)),0))</f>
        <v/>
      </c>
      <c r="I80" s="17" t="str">
        <f aca="false">IF(H80="","",D80*H80)</f>
        <v/>
      </c>
      <c r="J80" s="18" t="str">
        <f aca="true">IF(AND(AND(C80&lt;&gt;"Kazanıldı",C80&lt;&gt;"Kaybedildi",C80&lt;&gt;""),F80&lt;&gt;""),IF(F80&lt;TODAY(),"Gecikti",IF(F80=TODAY(),"Bugün","")),"")</f>
        <v/>
      </c>
      <c r="K80" s="18" t="str">
        <f aca="true">IF(AND(AND(C80&lt;&gt;"Kazanıldı",C80&lt;&gt;"Kaybedildi",C80&lt;&gt;""),F80&lt;&gt;"",F80&lt;=TODAY()),F80+ROW()/1000000,"")</f>
        <v/>
      </c>
    </row>
    <row r="81" customFormat="false" ht="15" hidden="false" customHeight="false" outlineLevel="0" collapsed="false">
      <c r="A81" s="12"/>
      <c r="B81" s="13"/>
      <c r="C81" s="13"/>
      <c r="D81" s="14"/>
      <c r="E81" s="15"/>
      <c r="F81" s="15"/>
      <c r="G81" s="12"/>
      <c r="H81" s="16" t="str">
        <f aca="false">IF(OR(A81="",C81=""),"",IFERROR(INDEX(Aşamalar!$B$5:$B$12,MATCH(C81,Aşamalar!$A$5:$A$12,0)),0))</f>
        <v/>
      </c>
      <c r="I81" s="17" t="str">
        <f aca="false">IF(H81="","",D81*H81)</f>
        <v/>
      </c>
      <c r="J81" s="18" t="str">
        <f aca="true">IF(AND(AND(C81&lt;&gt;"Kazanıldı",C81&lt;&gt;"Kaybedildi",C81&lt;&gt;""),F81&lt;&gt;""),IF(F81&lt;TODAY(),"Gecikti",IF(F81=TODAY(),"Bugün","")),"")</f>
        <v/>
      </c>
      <c r="K81" s="18" t="str">
        <f aca="true">IF(AND(AND(C81&lt;&gt;"Kazanıldı",C81&lt;&gt;"Kaybedildi",C81&lt;&gt;""),F81&lt;&gt;"",F81&lt;=TODAY()),F81+ROW()/1000000,"")</f>
        <v/>
      </c>
    </row>
    <row r="82" customFormat="false" ht="15" hidden="false" customHeight="false" outlineLevel="0" collapsed="false">
      <c r="A82" s="12"/>
      <c r="B82" s="13"/>
      <c r="C82" s="13"/>
      <c r="D82" s="14"/>
      <c r="E82" s="15"/>
      <c r="F82" s="15"/>
      <c r="G82" s="12"/>
      <c r="H82" s="16" t="str">
        <f aca="false">IF(OR(A82="",C82=""),"",IFERROR(INDEX(Aşamalar!$B$5:$B$12,MATCH(C82,Aşamalar!$A$5:$A$12,0)),0))</f>
        <v/>
      </c>
      <c r="I82" s="17" t="str">
        <f aca="false">IF(H82="","",D82*H82)</f>
        <v/>
      </c>
      <c r="J82" s="18" t="str">
        <f aca="true">IF(AND(AND(C82&lt;&gt;"Kazanıldı",C82&lt;&gt;"Kaybedildi",C82&lt;&gt;""),F82&lt;&gt;""),IF(F82&lt;TODAY(),"Gecikti",IF(F82=TODAY(),"Bugün","")),"")</f>
        <v/>
      </c>
      <c r="K82" s="18" t="str">
        <f aca="true">IF(AND(AND(C82&lt;&gt;"Kazanıldı",C82&lt;&gt;"Kaybedildi",C82&lt;&gt;""),F82&lt;&gt;"",F82&lt;=TODAY()),F82+ROW()/1000000,"")</f>
        <v/>
      </c>
    </row>
    <row r="83" customFormat="false" ht="15" hidden="false" customHeight="false" outlineLevel="0" collapsed="false">
      <c r="A83" s="12"/>
      <c r="B83" s="13"/>
      <c r="C83" s="13"/>
      <c r="D83" s="14"/>
      <c r="E83" s="15"/>
      <c r="F83" s="15"/>
      <c r="G83" s="12"/>
      <c r="H83" s="16" t="str">
        <f aca="false">IF(OR(A83="",C83=""),"",IFERROR(INDEX(Aşamalar!$B$5:$B$12,MATCH(C83,Aşamalar!$A$5:$A$12,0)),0))</f>
        <v/>
      </c>
      <c r="I83" s="17" t="str">
        <f aca="false">IF(H83="","",D83*H83)</f>
        <v/>
      </c>
      <c r="J83" s="18" t="str">
        <f aca="true">IF(AND(AND(C83&lt;&gt;"Kazanıldı",C83&lt;&gt;"Kaybedildi",C83&lt;&gt;""),F83&lt;&gt;""),IF(F83&lt;TODAY(),"Gecikti",IF(F83=TODAY(),"Bugün","")),"")</f>
        <v/>
      </c>
      <c r="K83" s="18" t="str">
        <f aca="true">IF(AND(AND(C83&lt;&gt;"Kazanıldı",C83&lt;&gt;"Kaybedildi",C83&lt;&gt;""),F83&lt;&gt;"",F83&lt;=TODAY()),F83+ROW()/1000000,"")</f>
        <v/>
      </c>
    </row>
    <row r="84" customFormat="false" ht="15" hidden="false" customHeight="false" outlineLevel="0" collapsed="false">
      <c r="A84" s="12"/>
      <c r="B84" s="13"/>
      <c r="C84" s="13"/>
      <c r="D84" s="14"/>
      <c r="E84" s="15"/>
      <c r="F84" s="15"/>
      <c r="G84" s="12"/>
      <c r="H84" s="16" t="str">
        <f aca="false">IF(OR(A84="",C84=""),"",IFERROR(INDEX(Aşamalar!$B$5:$B$12,MATCH(C84,Aşamalar!$A$5:$A$12,0)),0))</f>
        <v/>
      </c>
      <c r="I84" s="17" t="str">
        <f aca="false">IF(H84="","",D84*H84)</f>
        <v/>
      </c>
      <c r="J84" s="18" t="str">
        <f aca="true">IF(AND(AND(C84&lt;&gt;"Kazanıldı",C84&lt;&gt;"Kaybedildi",C84&lt;&gt;""),F84&lt;&gt;""),IF(F84&lt;TODAY(),"Gecikti",IF(F84=TODAY(),"Bugün","")),"")</f>
        <v/>
      </c>
      <c r="K84" s="18" t="str">
        <f aca="true">IF(AND(AND(C84&lt;&gt;"Kazanıldı",C84&lt;&gt;"Kaybedildi",C84&lt;&gt;""),F84&lt;&gt;"",F84&lt;=TODAY()),F84+ROW()/1000000,"")</f>
        <v/>
      </c>
    </row>
    <row r="85" customFormat="false" ht="15" hidden="false" customHeight="false" outlineLevel="0" collapsed="false">
      <c r="A85" s="12"/>
      <c r="B85" s="13"/>
      <c r="C85" s="13"/>
      <c r="D85" s="14"/>
      <c r="E85" s="15"/>
      <c r="F85" s="15"/>
      <c r="G85" s="12"/>
      <c r="H85" s="16" t="str">
        <f aca="false">IF(OR(A85="",C85=""),"",IFERROR(INDEX(Aşamalar!$B$5:$B$12,MATCH(C85,Aşamalar!$A$5:$A$12,0)),0))</f>
        <v/>
      </c>
      <c r="I85" s="17" t="str">
        <f aca="false">IF(H85="","",D85*H85)</f>
        <v/>
      </c>
      <c r="J85" s="18" t="str">
        <f aca="true">IF(AND(AND(C85&lt;&gt;"Kazanıldı",C85&lt;&gt;"Kaybedildi",C85&lt;&gt;""),F85&lt;&gt;""),IF(F85&lt;TODAY(),"Gecikti",IF(F85=TODAY(),"Bugün","")),"")</f>
        <v/>
      </c>
      <c r="K85" s="18" t="str">
        <f aca="true">IF(AND(AND(C85&lt;&gt;"Kazanıldı",C85&lt;&gt;"Kaybedildi",C85&lt;&gt;""),F85&lt;&gt;"",F85&lt;=TODAY()),F85+ROW()/1000000,"")</f>
        <v/>
      </c>
    </row>
    <row r="86" customFormat="false" ht="15" hidden="false" customHeight="false" outlineLevel="0" collapsed="false">
      <c r="A86" s="12"/>
      <c r="B86" s="13"/>
      <c r="C86" s="13"/>
      <c r="D86" s="14"/>
      <c r="E86" s="15"/>
      <c r="F86" s="15"/>
      <c r="G86" s="12"/>
      <c r="H86" s="16" t="str">
        <f aca="false">IF(OR(A86="",C86=""),"",IFERROR(INDEX(Aşamalar!$B$5:$B$12,MATCH(C86,Aşamalar!$A$5:$A$12,0)),0))</f>
        <v/>
      </c>
      <c r="I86" s="17" t="str">
        <f aca="false">IF(H86="","",D86*H86)</f>
        <v/>
      </c>
      <c r="J86" s="18" t="str">
        <f aca="true">IF(AND(AND(C86&lt;&gt;"Kazanıldı",C86&lt;&gt;"Kaybedildi",C86&lt;&gt;""),F86&lt;&gt;""),IF(F86&lt;TODAY(),"Gecikti",IF(F86=TODAY(),"Bugün","")),"")</f>
        <v/>
      </c>
      <c r="K86" s="18" t="str">
        <f aca="true">IF(AND(AND(C86&lt;&gt;"Kazanıldı",C86&lt;&gt;"Kaybedildi",C86&lt;&gt;""),F86&lt;&gt;"",F86&lt;=TODAY()),F86+ROW()/1000000,"")</f>
        <v/>
      </c>
    </row>
    <row r="87" customFormat="false" ht="15" hidden="false" customHeight="false" outlineLevel="0" collapsed="false">
      <c r="A87" s="12"/>
      <c r="B87" s="13"/>
      <c r="C87" s="13"/>
      <c r="D87" s="14"/>
      <c r="E87" s="15"/>
      <c r="F87" s="15"/>
      <c r="G87" s="12"/>
      <c r="H87" s="16" t="str">
        <f aca="false">IF(OR(A87="",C87=""),"",IFERROR(INDEX(Aşamalar!$B$5:$B$12,MATCH(C87,Aşamalar!$A$5:$A$12,0)),0))</f>
        <v/>
      </c>
      <c r="I87" s="17" t="str">
        <f aca="false">IF(H87="","",D87*H87)</f>
        <v/>
      </c>
      <c r="J87" s="18" t="str">
        <f aca="true">IF(AND(AND(C87&lt;&gt;"Kazanıldı",C87&lt;&gt;"Kaybedildi",C87&lt;&gt;""),F87&lt;&gt;""),IF(F87&lt;TODAY(),"Gecikti",IF(F87=TODAY(),"Bugün","")),"")</f>
        <v/>
      </c>
      <c r="K87" s="18" t="str">
        <f aca="true">IF(AND(AND(C87&lt;&gt;"Kazanıldı",C87&lt;&gt;"Kaybedildi",C87&lt;&gt;""),F87&lt;&gt;"",F87&lt;=TODAY()),F87+ROW()/1000000,"")</f>
        <v/>
      </c>
    </row>
    <row r="88" customFormat="false" ht="15" hidden="false" customHeight="false" outlineLevel="0" collapsed="false">
      <c r="A88" s="12"/>
      <c r="B88" s="13"/>
      <c r="C88" s="13"/>
      <c r="D88" s="14"/>
      <c r="E88" s="15"/>
      <c r="F88" s="15"/>
      <c r="G88" s="12"/>
      <c r="H88" s="16" t="str">
        <f aca="false">IF(OR(A88="",C88=""),"",IFERROR(INDEX(Aşamalar!$B$5:$B$12,MATCH(C88,Aşamalar!$A$5:$A$12,0)),0))</f>
        <v/>
      </c>
      <c r="I88" s="17" t="str">
        <f aca="false">IF(H88="","",D88*H88)</f>
        <v/>
      </c>
      <c r="J88" s="18" t="str">
        <f aca="true">IF(AND(AND(C88&lt;&gt;"Kazanıldı",C88&lt;&gt;"Kaybedildi",C88&lt;&gt;""),F88&lt;&gt;""),IF(F88&lt;TODAY(),"Gecikti",IF(F88=TODAY(),"Bugün","")),"")</f>
        <v/>
      </c>
      <c r="K88" s="18" t="str">
        <f aca="true">IF(AND(AND(C88&lt;&gt;"Kazanıldı",C88&lt;&gt;"Kaybedildi",C88&lt;&gt;""),F88&lt;&gt;"",F88&lt;=TODAY()),F88+ROW()/1000000,"")</f>
        <v/>
      </c>
    </row>
    <row r="89" customFormat="false" ht="15" hidden="false" customHeight="false" outlineLevel="0" collapsed="false">
      <c r="A89" s="12"/>
      <c r="B89" s="13"/>
      <c r="C89" s="13"/>
      <c r="D89" s="14"/>
      <c r="E89" s="15"/>
      <c r="F89" s="15"/>
      <c r="G89" s="12"/>
      <c r="H89" s="16" t="str">
        <f aca="false">IF(OR(A89="",C89=""),"",IFERROR(INDEX(Aşamalar!$B$5:$B$12,MATCH(C89,Aşamalar!$A$5:$A$12,0)),0))</f>
        <v/>
      </c>
      <c r="I89" s="17" t="str">
        <f aca="false">IF(H89="","",D89*H89)</f>
        <v/>
      </c>
      <c r="J89" s="18" t="str">
        <f aca="true">IF(AND(AND(C89&lt;&gt;"Kazanıldı",C89&lt;&gt;"Kaybedildi",C89&lt;&gt;""),F89&lt;&gt;""),IF(F89&lt;TODAY(),"Gecikti",IF(F89=TODAY(),"Bugün","")),"")</f>
        <v/>
      </c>
      <c r="K89" s="18" t="str">
        <f aca="true">IF(AND(AND(C89&lt;&gt;"Kazanıldı",C89&lt;&gt;"Kaybedildi",C89&lt;&gt;""),F89&lt;&gt;"",F89&lt;=TODAY()),F89+ROW()/1000000,"")</f>
        <v/>
      </c>
    </row>
    <row r="90" customFormat="false" ht="15" hidden="false" customHeight="false" outlineLevel="0" collapsed="false">
      <c r="A90" s="12"/>
      <c r="B90" s="13"/>
      <c r="C90" s="13"/>
      <c r="D90" s="14"/>
      <c r="E90" s="15"/>
      <c r="F90" s="15"/>
      <c r="G90" s="12"/>
      <c r="H90" s="16" t="str">
        <f aca="false">IF(OR(A90="",C90=""),"",IFERROR(INDEX(Aşamalar!$B$5:$B$12,MATCH(C90,Aşamalar!$A$5:$A$12,0)),0))</f>
        <v/>
      </c>
      <c r="I90" s="17" t="str">
        <f aca="false">IF(H90="","",D90*H90)</f>
        <v/>
      </c>
      <c r="J90" s="18" t="str">
        <f aca="true">IF(AND(AND(C90&lt;&gt;"Kazanıldı",C90&lt;&gt;"Kaybedildi",C90&lt;&gt;""),F90&lt;&gt;""),IF(F90&lt;TODAY(),"Gecikti",IF(F90=TODAY(),"Bugün","")),"")</f>
        <v/>
      </c>
      <c r="K90" s="18" t="str">
        <f aca="true">IF(AND(AND(C90&lt;&gt;"Kazanıldı",C90&lt;&gt;"Kaybedildi",C90&lt;&gt;""),F90&lt;&gt;"",F90&lt;=TODAY()),F90+ROW()/1000000,"")</f>
        <v/>
      </c>
    </row>
    <row r="91" customFormat="false" ht="15" hidden="false" customHeight="false" outlineLevel="0" collapsed="false">
      <c r="A91" s="12"/>
      <c r="B91" s="13"/>
      <c r="C91" s="13"/>
      <c r="D91" s="14"/>
      <c r="E91" s="15"/>
      <c r="F91" s="15"/>
      <c r="G91" s="12"/>
      <c r="H91" s="16" t="str">
        <f aca="false">IF(OR(A91="",C91=""),"",IFERROR(INDEX(Aşamalar!$B$5:$B$12,MATCH(C91,Aşamalar!$A$5:$A$12,0)),0))</f>
        <v/>
      </c>
      <c r="I91" s="17" t="str">
        <f aca="false">IF(H91="","",D91*H91)</f>
        <v/>
      </c>
      <c r="J91" s="18" t="str">
        <f aca="true">IF(AND(AND(C91&lt;&gt;"Kazanıldı",C91&lt;&gt;"Kaybedildi",C91&lt;&gt;""),F91&lt;&gt;""),IF(F91&lt;TODAY(),"Gecikti",IF(F91=TODAY(),"Bugün","")),"")</f>
        <v/>
      </c>
      <c r="K91" s="18" t="str">
        <f aca="true">IF(AND(AND(C91&lt;&gt;"Kazanıldı",C91&lt;&gt;"Kaybedildi",C91&lt;&gt;""),F91&lt;&gt;"",F91&lt;=TODAY()),F91+ROW()/1000000,"")</f>
        <v/>
      </c>
    </row>
    <row r="92" customFormat="false" ht="15" hidden="false" customHeight="false" outlineLevel="0" collapsed="false">
      <c r="A92" s="12"/>
      <c r="B92" s="13"/>
      <c r="C92" s="13"/>
      <c r="D92" s="14"/>
      <c r="E92" s="15"/>
      <c r="F92" s="15"/>
      <c r="G92" s="12"/>
      <c r="H92" s="16" t="str">
        <f aca="false">IF(OR(A92="",C92=""),"",IFERROR(INDEX(Aşamalar!$B$5:$B$12,MATCH(C92,Aşamalar!$A$5:$A$12,0)),0))</f>
        <v/>
      </c>
      <c r="I92" s="17" t="str">
        <f aca="false">IF(H92="","",D92*H92)</f>
        <v/>
      </c>
      <c r="J92" s="18" t="str">
        <f aca="true">IF(AND(AND(C92&lt;&gt;"Kazanıldı",C92&lt;&gt;"Kaybedildi",C92&lt;&gt;""),F92&lt;&gt;""),IF(F92&lt;TODAY(),"Gecikti",IF(F92=TODAY(),"Bugün","")),"")</f>
        <v/>
      </c>
      <c r="K92" s="18" t="str">
        <f aca="true">IF(AND(AND(C92&lt;&gt;"Kazanıldı",C92&lt;&gt;"Kaybedildi",C92&lt;&gt;""),F92&lt;&gt;"",F92&lt;=TODAY()),F92+ROW()/1000000,"")</f>
        <v/>
      </c>
    </row>
    <row r="93" customFormat="false" ht="15" hidden="false" customHeight="false" outlineLevel="0" collapsed="false">
      <c r="A93" s="12"/>
      <c r="B93" s="13"/>
      <c r="C93" s="13"/>
      <c r="D93" s="14"/>
      <c r="E93" s="15"/>
      <c r="F93" s="15"/>
      <c r="G93" s="12"/>
      <c r="H93" s="16" t="str">
        <f aca="false">IF(OR(A93="",C93=""),"",IFERROR(INDEX(Aşamalar!$B$5:$B$12,MATCH(C93,Aşamalar!$A$5:$A$12,0)),0))</f>
        <v/>
      </c>
      <c r="I93" s="17" t="str">
        <f aca="false">IF(H93="","",D93*H93)</f>
        <v/>
      </c>
      <c r="J93" s="18" t="str">
        <f aca="true">IF(AND(AND(C93&lt;&gt;"Kazanıldı",C93&lt;&gt;"Kaybedildi",C93&lt;&gt;""),F93&lt;&gt;""),IF(F93&lt;TODAY(),"Gecikti",IF(F93=TODAY(),"Bugün","")),"")</f>
        <v/>
      </c>
      <c r="K93" s="18" t="str">
        <f aca="true">IF(AND(AND(C93&lt;&gt;"Kazanıldı",C93&lt;&gt;"Kaybedildi",C93&lt;&gt;""),F93&lt;&gt;"",F93&lt;=TODAY()),F93+ROW()/1000000,"")</f>
        <v/>
      </c>
    </row>
    <row r="94" customFormat="false" ht="15" hidden="false" customHeight="false" outlineLevel="0" collapsed="false">
      <c r="A94" s="12"/>
      <c r="B94" s="13"/>
      <c r="C94" s="13"/>
      <c r="D94" s="14"/>
      <c r="E94" s="15"/>
      <c r="F94" s="15"/>
      <c r="G94" s="12"/>
      <c r="H94" s="16" t="str">
        <f aca="false">IF(OR(A94="",C94=""),"",IFERROR(INDEX(Aşamalar!$B$5:$B$12,MATCH(C94,Aşamalar!$A$5:$A$12,0)),0))</f>
        <v/>
      </c>
      <c r="I94" s="17" t="str">
        <f aca="false">IF(H94="","",D94*H94)</f>
        <v/>
      </c>
      <c r="J94" s="18" t="str">
        <f aca="true">IF(AND(AND(C94&lt;&gt;"Kazanıldı",C94&lt;&gt;"Kaybedildi",C94&lt;&gt;""),F94&lt;&gt;""),IF(F94&lt;TODAY(),"Gecikti",IF(F94=TODAY(),"Bugün","")),"")</f>
        <v/>
      </c>
      <c r="K94" s="18" t="str">
        <f aca="true">IF(AND(AND(C94&lt;&gt;"Kazanıldı",C94&lt;&gt;"Kaybedildi",C94&lt;&gt;""),F94&lt;&gt;"",F94&lt;=TODAY()),F94+ROW()/1000000,"")</f>
        <v/>
      </c>
    </row>
    <row r="95" customFormat="false" ht="15" hidden="false" customHeight="false" outlineLevel="0" collapsed="false">
      <c r="A95" s="12"/>
      <c r="B95" s="13"/>
      <c r="C95" s="13"/>
      <c r="D95" s="14"/>
      <c r="E95" s="15"/>
      <c r="F95" s="15"/>
      <c r="G95" s="12"/>
      <c r="H95" s="16" t="str">
        <f aca="false">IF(OR(A95="",C95=""),"",IFERROR(INDEX(Aşamalar!$B$5:$B$12,MATCH(C95,Aşamalar!$A$5:$A$12,0)),0))</f>
        <v/>
      </c>
      <c r="I95" s="17" t="str">
        <f aca="false">IF(H95="","",D95*H95)</f>
        <v/>
      </c>
      <c r="J95" s="18" t="str">
        <f aca="true">IF(AND(AND(C95&lt;&gt;"Kazanıldı",C95&lt;&gt;"Kaybedildi",C95&lt;&gt;""),F95&lt;&gt;""),IF(F95&lt;TODAY(),"Gecikti",IF(F95=TODAY(),"Bugün","")),"")</f>
        <v/>
      </c>
      <c r="K95" s="18" t="str">
        <f aca="true">IF(AND(AND(C95&lt;&gt;"Kazanıldı",C95&lt;&gt;"Kaybedildi",C95&lt;&gt;""),F95&lt;&gt;"",F95&lt;=TODAY()),F95+ROW()/1000000,"")</f>
        <v/>
      </c>
    </row>
    <row r="96" customFormat="false" ht="15" hidden="false" customHeight="false" outlineLevel="0" collapsed="false">
      <c r="A96" s="12"/>
      <c r="B96" s="13"/>
      <c r="C96" s="13"/>
      <c r="D96" s="14"/>
      <c r="E96" s="15"/>
      <c r="F96" s="15"/>
      <c r="G96" s="12"/>
      <c r="H96" s="16" t="str">
        <f aca="false">IF(OR(A96="",C96=""),"",IFERROR(INDEX(Aşamalar!$B$5:$B$12,MATCH(C96,Aşamalar!$A$5:$A$12,0)),0))</f>
        <v/>
      </c>
      <c r="I96" s="17" t="str">
        <f aca="false">IF(H96="","",D96*H96)</f>
        <v/>
      </c>
      <c r="J96" s="18" t="str">
        <f aca="true">IF(AND(AND(C96&lt;&gt;"Kazanıldı",C96&lt;&gt;"Kaybedildi",C96&lt;&gt;""),F96&lt;&gt;""),IF(F96&lt;TODAY(),"Gecikti",IF(F96=TODAY(),"Bugün","")),"")</f>
        <v/>
      </c>
      <c r="K96" s="18" t="str">
        <f aca="true">IF(AND(AND(C96&lt;&gt;"Kazanıldı",C96&lt;&gt;"Kaybedildi",C96&lt;&gt;""),F96&lt;&gt;"",F96&lt;=TODAY()),F96+ROW()/1000000,"")</f>
        <v/>
      </c>
    </row>
    <row r="97" customFormat="false" ht="15" hidden="false" customHeight="false" outlineLevel="0" collapsed="false">
      <c r="A97" s="12"/>
      <c r="B97" s="13"/>
      <c r="C97" s="13"/>
      <c r="D97" s="14"/>
      <c r="E97" s="15"/>
      <c r="F97" s="15"/>
      <c r="G97" s="12"/>
      <c r="H97" s="16" t="str">
        <f aca="false">IF(OR(A97="",C97=""),"",IFERROR(INDEX(Aşamalar!$B$5:$B$12,MATCH(C97,Aşamalar!$A$5:$A$12,0)),0))</f>
        <v/>
      </c>
      <c r="I97" s="17" t="str">
        <f aca="false">IF(H97="","",D97*H97)</f>
        <v/>
      </c>
      <c r="J97" s="18" t="str">
        <f aca="true">IF(AND(AND(C97&lt;&gt;"Kazanıldı",C97&lt;&gt;"Kaybedildi",C97&lt;&gt;""),F97&lt;&gt;""),IF(F97&lt;TODAY(),"Gecikti",IF(F97=TODAY(),"Bugün","")),"")</f>
        <v/>
      </c>
      <c r="K97" s="18" t="str">
        <f aca="true">IF(AND(AND(C97&lt;&gt;"Kazanıldı",C97&lt;&gt;"Kaybedildi",C97&lt;&gt;""),F97&lt;&gt;"",F97&lt;=TODAY()),F97+ROW()/1000000,"")</f>
        <v/>
      </c>
    </row>
    <row r="98" customFormat="false" ht="15" hidden="false" customHeight="false" outlineLevel="0" collapsed="false">
      <c r="A98" s="12"/>
      <c r="B98" s="13"/>
      <c r="C98" s="13"/>
      <c r="D98" s="14"/>
      <c r="E98" s="15"/>
      <c r="F98" s="15"/>
      <c r="G98" s="12"/>
      <c r="H98" s="16" t="str">
        <f aca="false">IF(OR(A98="",C98=""),"",IFERROR(INDEX(Aşamalar!$B$5:$B$12,MATCH(C98,Aşamalar!$A$5:$A$12,0)),0))</f>
        <v/>
      </c>
      <c r="I98" s="17" t="str">
        <f aca="false">IF(H98="","",D98*H98)</f>
        <v/>
      </c>
      <c r="J98" s="18" t="str">
        <f aca="true">IF(AND(AND(C98&lt;&gt;"Kazanıldı",C98&lt;&gt;"Kaybedildi",C98&lt;&gt;""),F98&lt;&gt;""),IF(F98&lt;TODAY(),"Gecikti",IF(F98=TODAY(),"Bugün","")),"")</f>
        <v/>
      </c>
      <c r="K98" s="18" t="str">
        <f aca="true">IF(AND(AND(C98&lt;&gt;"Kazanıldı",C98&lt;&gt;"Kaybedildi",C98&lt;&gt;""),F98&lt;&gt;"",F98&lt;=TODAY()),F98+ROW()/1000000,"")</f>
        <v/>
      </c>
    </row>
    <row r="99" customFormat="false" ht="15" hidden="false" customHeight="false" outlineLevel="0" collapsed="false">
      <c r="A99" s="12"/>
      <c r="B99" s="13"/>
      <c r="C99" s="13"/>
      <c r="D99" s="14"/>
      <c r="E99" s="15"/>
      <c r="F99" s="15"/>
      <c r="G99" s="12"/>
      <c r="H99" s="16" t="str">
        <f aca="false">IF(OR(A99="",C99=""),"",IFERROR(INDEX(Aşamalar!$B$5:$B$12,MATCH(C99,Aşamalar!$A$5:$A$12,0)),0))</f>
        <v/>
      </c>
      <c r="I99" s="17" t="str">
        <f aca="false">IF(H99="","",D99*H99)</f>
        <v/>
      </c>
      <c r="J99" s="18" t="str">
        <f aca="true">IF(AND(AND(C99&lt;&gt;"Kazanıldı",C99&lt;&gt;"Kaybedildi",C99&lt;&gt;""),F99&lt;&gt;""),IF(F99&lt;TODAY(),"Gecikti",IF(F99=TODAY(),"Bugün","")),"")</f>
        <v/>
      </c>
      <c r="K99" s="18" t="str">
        <f aca="true">IF(AND(AND(C99&lt;&gt;"Kazanıldı",C99&lt;&gt;"Kaybedildi",C99&lt;&gt;""),F99&lt;&gt;"",F99&lt;=TODAY()),F99+ROW()/1000000,"")</f>
        <v/>
      </c>
    </row>
    <row r="100" customFormat="false" ht="15" hidden="false" customHeight="false" outlineLevel="0" collapsed="false">
      <c r="A100" s="12"/>
      <c r="B100" s="13"/>
      <c r="C100" s="13"/>
      <c r="D100" s="14"/>
      <c r="E100" s="15"/>
      <c r="F100" s="15"/>
      <c r="G100" s="12"/>
      <c r="H100" s="16" t="str">
        <f aca="false">IF(OR(A100="",C100=""),"",IFERROR(INDEX(Aşamalar!$B$5:$B$12,MATCH(C100,Aşamalar!$A$5:$A$12,0)),0))</f>
        <v/>
      </c>
      <c r="I100" s="17" t="str">
        <f aca="false">IF(H100="","",D100*H100)</f>
        <v/>
      </c>
      <c r="J100" s="18" t="str">
        <f aca="true">IF(AND(AND(C100&lt;&gt;"Kazanıldı",C100&lt;&gt;"Kaybedildi",C100&lt;&gt;""),F100&lt;&gt;""),IF(F100&lt;TODAY(),"Gecikti",IF(F100=TODAY(),"Bugün","")),"")</f>
        <v/>
      </c>
      <c r="K100" s="18" t="str">
        <f aca="true">IF(AND(AND(C100&lt;&gt;"Kazanıldı",C100&lt;&gt;"Kaybedildi",C100&lt;&gt;""),F100&lt;&gt;"",F100&lt;=TODAY()),F100+ROW()/1000000,"")</f>
        <v/>
      </c>
    </row>
    <row r="101" customFormat="false" ht="15" hidden="false" customHeight="false" outlineLevel="0" collapsed="false">
      <c r="A101" s="12"/>
      <c r="B101" s="13"/>
      <c r="C101" s="13"/>
      <c r="D101" s="14"/>
      <c r="E101" s="15"/>
      <c r="F101" s="15"/>
      <c r="G101" s="12"/>
      <c r="H101" s="16" t="str">
        <f aca="false">IF(OR(A101="",C101=""),"",IFERROR(INDEX(Aşamalar!$B$5:$B$12,MATCH(C101,Aşamalar!$A$5:$A$12,0)),0))</f>
        <v/>
      </c>
      <c r="I101" s="17" t="str">
        <f aca="false">IF(H101="","",D101*H101)</f>
        <v/>
      </c>
      <c r="J101" s="18" t="str">
        <f aca="true">IF(AND(AND(C101&lt;&gt;"Kazanıldı",C101&lt;&gt;"Kaybedildi",C101&lt;&gt;""),F101&lt;&gt;""),IF(F101&lt;TODAY(),"Gecikti",IF(F101=TODAY(),"Bugün","")),"")</f>
        <v/>
      </c>
      <c r="K101" s="18" t="str">
        <f aca="true">IF(AND(AND(C101&lt;&gt;"Kazanıldı",C101&lt;&gt;"Kaybedildi",C101&lt;&gt;""),F101&lt;&gt;"",F101&lt;=TODAY()),F101+ROW()/1000000,"")</f>
        <v/>
      </c>
    </row>
    <row r="102" customFormat="false" ht="15" hidden="false" customHeight="false" outlineLevel="0" collapsed="false">
      <c r="A102" s="12"/>
      <c r="B102" s="13"/>
      <c r="C102" s="13"/>
      <c r="D102" s="14"/>
      <c r="E102" s="15"/>
      <c r="F102" s="15"/>
      <c r="G102" s="12"/>
      <c r="H102" s="16" t="str">
        <f aca="false">IF(OR(A102="",C102=""),"",IFERROR(INDEX(Aşamalar!$B$5:$B$12,MATCH(C102,Aşamalar!$A$5:$A$12,0)),0))</f>
        <v/>
      </c>
      <c r="I102" s="17" t="str">
        <f aca="false">IF(H102="","",D102*H102)</f>
        <v/>
      </c>
      <c r="J102" s="18" t="str">
        <f aca="true">IF(AND(AND(C102&lt;&gt;"Kazanıldı",C102&lt;&gt;"Kaybedildi",C102&lt;&gt;""),F102&lt;&gt;""),IF(F102&lt;TODAY(),"Gecikti",IF(F102=TODAY(),"Bugün","")),"")</f>
        <v/>
      </c>
      <c r="K102" s="18" t="str">
        <f aca="true">IF(AND(AND(C102&lt;&gt;"Kazanıldı",C102&lt;&gt;"Kaybedildi",C102&lt;&gt;""),F102&lt;&gt;"",F102&lt;=TODAY()),F102+ROW()/1000000,"")</f>
        <v/>
      </c>
    </row>
    <row r="103" customFormat="false" ht="15" hidden="false" customHeight="false" outlineLevel="0" collapsed="false">
      <c r="A103" s="12"/>
      <c r="B103" s="13"/>
      <c r="C103" s="13"/>
      <c r="D103" s="14"/>
      <c r="E103" s="15"/>
      <c r="F103" s="15"/>
      <c r="G103" s="12"/>
      <c r="H103" s="16" t="str">
        <f aca="false">IF(OR(A103="",C103=""),"",IFERROR(INDEX(Aşamalar!$B$5:$B$12,MATCH(C103,Aşamalar!$A$5:$A$12,0)),0))</f>
        <v/>
      </c>
      <c r="I103" s="17" t="str">
        <f aca="false">IF(H103="","",D103*H103)</f>
        <v/>
      </c>
      <c r="J103" s="18" t="str">
        <f aca="true">IF(AND(AND(C103&lt;&gt;"Kazanıldı",C103&lt;&gt;"Kaybedildi",C103&lt;&gt;""),F103&lt;&gt;""),IF(F103&lt;TODAY(),"Gecikti",IF(F103=TODAY(),"Bugün","")),"")</f>
        <v/>
      </c>
      <c r="K103" s="18" t="str">
        <f aca="true">IF(AND(AND(C103&lt;&gt;"Kazanıldı",C103&lt;&gt;"Kaybedildi",C103&lt;&gt;""),F103&lt;&gt;"",F103&lt;=TODAY()),F103+ROW()/1000000,"")</f>
        <v/>
      </c>
    </row>
    <row r="104" customFormat="false" ht="15" hidden="false" customHeight="false" outlineLevel="0" collapsed="false">
      <c r="A104" s="12"/>
      <c r="B104" s="13"/>
      <c r="C104" s="13"/>
      <c r="D104" s="14"/>
      <c r="E104" s="15"/>
      <c r="F104" s="15"/>
      <c r="G104" s="12"/>
      <c r="H104" s="16" t="str">
        <f aca="false">IF(OR(A104="",C104=""),"",IFERROR(INDEX(Aşamalar!$B$5:$B$12,MATCH(C104,Aşamalar!$A$5:$A$12,0)),0))</f>
        <v/>
      </c>
      <c r="I104" s="17" t="str">
        <f aca="false">IF(H104="","",D104*H104)</f>
        <v/>
      </c>
      <c r="J104" s="18" t="str">
        <f aca="true">IF(AND(AND(C104&lt;&gt;"Kazanıldı",C104&lt;&gt;"Kaybedildi",C104&lt;&gt;""),F104&lt;&gt;""),IF(F104&lt;TODAY(),"Gecikti",IF(F104=TODAY(),"Bugün","")),"")</f>
        <v/>
      </c>
      <c r="K104" s="18" t="str">
        <f aca="true">IF(AND(AND(C104&lt;&gt;"Kazanıldı",C104&lt;&gt;"Kaybedildi",C104&lt;&gt;""),F104&lt;&gt;"",F104&lt;=TODAY()),F104+ROW()/1000000,"")</f>
        <v/>
      </c>
    </row>
    <row r="105" customFormat="false" ht="15" hidden="false" customHeight="false" outlineLevel="0" collapsed="false">
      <c r="A105" s="12"/>
      <c r="B105" s="13"/>
      <c r="C105" s="13"/>
      <c r="D105" s="14"/>
      <c r="E105" s="15"/>
      <c r="F105" s="15"/>
      <c r="G105" s="12"/>
      <c r="H105" s="16" t="str">
        <f aca="false">IF(OR(A105="",C105=""),"",IFERROR(INDEX(Aşamalar!$B$5:$B$12,MATCH(C105,Aşamalar!$A$5:$A$12,0)),0))</f>
        <v/>
      </c>
      <c r="I105" s="17" t="str">
        <f aca="false">IF(H105="","",D105*H105)</f>
        <v/>
      </c>
      <c r="J105" s="18" t="str">
        <f aca="true">IF(AND(AND(C105&lt;&gt;"Kazanıldı",C105&lt;&gt;"Kaybedildi",C105&lt;&gt;""),F105&lt;&gt;""),IF(F105&lt;TODAY(),"Gecikti",IF(F105=TODAY(),"Bugün","")),"")</f>
        <v/>
      </c>
      <c r="K105" s="18" t="str">
        <f aca="true">IF(AND(AND(C105&lt;&gt;"Kazanıldı",C105&lt;&gt;"Kaybedildi",C105&lt;&gt;""),F105&lt;&gt;"",F105&lt;=TODAY()),F105+ROW()/1000000,"")</f>
        <v/>
      </c>
    </row>
    <row r="106" customFormat="false" ht="15" hidden="false" customHeight="false" outlineLevel="0" collapsed="false">
      <c r="A106" s="12"/>
      <c r="B106" s="13"/>
      <c r="C106" s="13"/>
      <c r="D106" s="14"/>
      <c r="E106" s="15"/>
      <c r="F106" s="15"/>
      <c r="G106" s="12"/>
      <c r="H106" s="16" t="str">
        <f aca="false">IF(OR(A106="",C106=""),"",IFERROR(INDEX(Aşamalar!$B$5:$B$12,MATCH(C106,Aşamalar!$A$5:$A$12,0)),0))</f>
        <v/>
      </c>
      <c r="I106" s="17" t="str">
        <f aca="false">IF(H106="","",D106*H106)</f>
        <v/>
      </c>
      <c r="J106" s="18" t="str">
        <f aca="true">IF(AND(AND(C106&lt;&gt;"Kazanıldı",C106&lt;&gt;"Kaybedildi",C106&lt;&gt;""),F106&lt;&gt;""),IF(F106&lt;TODAY(),"Gecikti",IF(F106=TODAY(),"Bugün","")),"")</f>
        <v/>
      </c>
      <c r="K106" s="18" t="str">
        <f aca="true">IF(AND(AND(C106&lt;&gt;"Kazanıldı",C106&lt;&gt;"Kaybedildi",C106&lt;&gt;""),F106&lt;&gt;"",F106&lt;=TODAY()),F106+ROW()/1000000,"")</f>
        <v/>
      </c>
    </row>
    <row r="107" customFormat="false" ht="15" hidden="false" customHeight="false" outlineLevel="0" collapsed="false">
      <c r="A107" s="12"/>
      <c r="B107" s="13"/>
      <c r="C107" s="13"/>
      <c r="D107" s="14"/>
      <c r="E107" s="15"/>
      <c r="F107" s="15"/>
      <c r="G107" s="12"/>
      <c r="H107" s="16" t="str">
        <f aca="false">IF(OR(A107="",C107=""),"",IFERROR(INDEX(Aşamalar!$B$5:$B$12,MATCH(C107,Aşamalar!$A$5:$A$12,0)),0))</f>
        <v/>
      </c>
      <c r="I107" s="17" t="str">
        <f aca="false">IF(H107="","",D107*H107)</f>
        <v/>
      </c>
      <c r="J107" s="18" t="str">
        <f aca="true">IF(AND(AND(C107&lt;&gt;"Kazanıldı",C107&lt;&gt;"Kaybedildi",C107&lt;&gt;""),F107&lt;&gt;""),IF(F107&lt;TODAY(),"Gecikti",IF(F107=TODAY(),"Bugün","")),"")</f>
        <v/>
      </c>
      <c r="K107" s="18" t="str">
        <f aca="true">IF(AND(AND(C107&lt;&gt;"Kazanıldı",C107&lt;&gt;"Kaybedildi",C107&lt;&gt;""),F107&lt;&gt;"",F107&lt;=TODAY()),F107+ROW()/1000000,"")</f>
        <v/>
      </c>
    </row>
    <row r="108" customFormat="false" ht="15" hidden="false" customHeight="false" outlineLevel="0" collapsed="false">
      <c r="A108" s="12"/>
      <c r="B108" s="13"/>
      <c r="C108" s="13"/>
      <c r="D108" s="14"/>
      <c r="E108" s="15"/>
      <c r="F108" s="15"/>
      <c r="G108" s="12"/>
      <c r="H108" s="16" t="str">
        <f aca="false">IF(OR(A108="",C108=""),"",IFERROR(INDEX(Aşamalar!$B$5:$B$12,MATCH(C108,Aşamalar!$A$5:$A$12,0)),0))</f>
        <v/>
      </c>
      <c r="I108" s="17" t="str">
        <f aca="false">IF(H108="","",D108*H108)</f>
        <v/>
      </c>
      <c r="J108" s="18" t="str">
        <f aca="true">IF(AND(AND(C108&lt;&gt;"Kazanıldı",C108&lt;&gt;"Kaybedildi",C108&lt;&gt;""),F108&lt;&gt;""),IF(F108&lt;TODAY(),"Gecikti",IF(F108=TODAY(),"Bugün","")),"")</f>
        <v/>
      </c>
      <c r="K108" s="18" t="str">
        <f aca="true">IF(AND(AND(C108&lt;&gt;"Kazanıldı",C108&lt;&gt;"Kaybedildi",C108&lt;&gt;""),F108&lt;&gt;"",F108&lt;=TODAY()),F108+ROW()/1000000,"")</f>
        <v/>
      </c>
    </row>
    <row r="109" customFormat="false" ht="15" hidden="false" customHeight="false" outlineLevel="0" collapsed="false">
      <c r="A109" s="12"/>
      <c r="B109" s="13"/>
      <c r="C109" s="13"/>
      <c r="D109" s="14"/>
      <c r="E109" s="15"/>
      <c r="F109" s="15"/>
      <c r="G109" s="12"/>
      <c r="H109" s="16" t="str">
        <f aca="false">IF(OR(A109="",C109=""),"",IFERROR(INDEX(Aşamalar!$B$5:$B$12,MATCH(C109,Aşamalar!$A$5:$A$12,0)),0))</f>
        <v/>
      </c>
      <c r="I109" s="17" t="str">
        <f aca="false">IF(H109="","",D109*H109)</f>
        <v/>
      </c>
      <c r="J109" s="18" t="str">
        <f aca="true">IF(AND(AND(C109&lt;&gt;"Kazanıldı",C109&lt;&gt;"Kaybedildi",C109&lt;&gt;""),F109&lt;&gt;""),IF(F109&lt;TODAY(),"Gecikti",IF(F109=TODAY(),"Bugün","")),"")</f>
        <v/>
      </c>
      <c r="K109" s="18" t="str">
        <f aca="true">IF(AND(AND(C109&lt;&gt;"Kazanıldı",C109&lt;&gt;"Kaybedildi",C109&lt;&gt;""),F109&lt;&gt;"",F109&lt;=TODAY()),F109+ROW()/1000000,"")</f>
        <v/>
      </c>
    </row>
    <row r="110" customFormat="false" ht="15" hidden="false" customHeight="false" outlineLevel="0" collapsed="false">
      <c r="A110" s="12"/>
      <c r="B110" s="13"/>
      <c r="C110" s="13"/>
      <c r="D110" s="14"/>
      <c r="E110" s="15"/>
      <c r="F110" s="15"/>
      <c r="G110" s="12"/>
      <c r="H110" s="16" t="str">
        <f aca="false">IF(OR(A110="",C110=""),"",IFERROR(INDEX(Aşamalar!$B$5:$B$12,MATCH(C110,Aşamalar!$A$5:$A$12,0)),0))</f>
        <v/>
      </c>
      <c r="I110" s="17" t="str">
        <f aca="false">IF(H110="","",D110*H110)</f>
        <v/>
      </c>
      <c r="J110" s="18" t="str">
        <f aca="true">IF(AND(AND(C110&lt;&gt;"Kazanıldı",C110&lt;&gt;"Kaybedildi",C110&lt;&gt;""),F110&lt;&gt;""),IF(F110&lt;TODAY(),"Gecikti",IF(F110=TODAY(),"Bugün","")),"")</f>
        <v/>
      </c>
      <c r="K110" s="18" t="str">
        <f aca="true">IF(AND(AND(C110&lt;&gt;"Kazanıldı",C110&lt;&gt;"Kaybedildi",C110&lt;&gt;""),F110&lt;&gt;"",F110&lt;=TODAY()),F110+ROW()/1000000,"")</f>
        <v/>
      </c>
    </row>
    <row r="111" customFormat="false" ht="15" hidden="false" customHeight="false" outlineLevel="0" collapsed="false">
      <c r="A111" s="12"/>
      <c r="B111" s="13"/>
      <c r="C111" s="13"/>
      <c r="D111" s="14"/>
      <c r="E111" s="15"/>
      <c r="F111" s="15"/>
      <c r="G111" s="12"/>
      <c r="H111" s="16" t="str">
        <f aca="false">IF(OR(A111="",C111=""),"",IFERROR(INDEX(Aşamalar!$B$5:$B$12,MATCH(C111,Aşamalar!$A$5:$A$12,0)),0))</f>
        <v/>
      </c>
      <c r="I111" s="17" t="str">
        <f aca="false">IF(H111="","",D111*H111)</f>
        <v/>
      </c>
      <c r="J111" s="18" t="str">
        <f aca="true">IF(AND(AND(C111&lt;&gt;"Kazanıldı",C111&lt;&gt;"Kaybedildi",C111&lt;&gt;""),F111&lt;&gt;""),IF(F111&lt;TODAY(),"Gecikti",IF(F111=TODAY(),"Bugün","")),"")</f>
        <v/>
      </c>
      <c r="K111" s="18" t="str">
        <f aca="true">IF(AND(AND(C111&lt;&gt;"Kazanıldı",C111&lt;&gt;"Kaybedildi",C111&lt;&gt;""),F111&lt;&gt;"",F111&lt;=TODAY()),F111+ROW()/1000000,"")</f>
        <v/>
      </c>
    </row>
    <row r="112" customFormat="false" ht="15" hidden="false" customHeight="false" outlineLevel="0" collapsed="false">
      <c r="A112" s="12"/>
      <c r="B112" s="13"/>
      <c r="C112" s="13"/>
      <c r="D112" s="14"/>
      <c r="E112" s="15"/>
      <c r="F112" s="15"/>
      <c r="G112" s="12"/>
      <c r="H112" s="16" t="str">
        <f aca="false">IF(OR(A112="",C112=""),"",IFERROR(INDEX(Aşamalar!$B$5:$B$12,MATCH(C112,Aşamalar!$A$5:$A$12,0)),0))</f>
        <v/>
      </c>
      <c r="I112" s="17" t="str">
        <f aca="false">IF(H112="","",D112*H112)</f>
        <v/>
      </c>
      <c r="J112" s="18" t="str">
        <f aca="true">IF(AND(AND(C112&lt;&gt;"Kazanıldı",C112&lt;&gt;"Kaybedildi",C112&lt;&gt;""),F112&lt;&gt;""),IF(F112&lt;TODAY(),"Gecikti",IF(F112=TODAY(),"Bugün","")),"")</f>
        <v/>
      </c>
      <c r="K112" s="18" t="str">
        <f aca="true">IF(AND(AND(C112&lt;&gt;"Kazanıldı",C112&lt;&gt;"Kaybedildi",C112&lt;&gt;""),F112&lt;&gt;"",F112&lt;=TODAY()),F112+ROW()/1000000,"")</f>
        <v/>
      </c>
    </row>
    <row r="113" customFormat="false" ht="15" hidden="false" customHeight="false" outlineLevel="0" collapsed="false">
      <c r="A113" s="12"/>
      <c r="B113" s="13"/>
      <c r="C113" s="13"/>
      <c r="D113" s="14"/>
      <c r="E113" s="15"/>
      <c r="F113" s="15"/>
      <c r="G113" s="12"/>
      <c r="H113" s="16" t="str">
        <f aca="false">IF(OR(A113="",C113=""),"",IFERROR(INDEX(Aşamalar!$B$5:$B$12,MATCH(C113,Aşamalar!$A$5:$A$12,0)),0))</f>
        <v/>
      </c>
      <c r="I113" s="17" t="str">
        <f aca="false">IF(H113="","",D113*H113)</f>
        <v/>
      </c>
      <c r="J113" s="18" t="str">
        <f aca="true">IF(AND(AND(C113&lt;&gt;"Kazanıldı",C113&lt;&gt;"Kaybedildi",C113&lt;&gt;""),F113&lt;&gt;""),IF(F113&lt;TODAY(),"Gecikti",IF(F113=TODAY(),"Bugün","")),"")</f>
        <v/>
      </c>
      <c r="K113" s="18" t="str">
        <f aca="true">IF(AND(AND(C113&lt;&gt;"Kazanıldı",C113&lt;&gt;"Kaybedildi",C113&lt;&gt;""),F113&lt;&gt;"",F113&lt;=TODAY()),F113+ROW()/1000000,"")</f>
        <v/>
      </c>
    </row>
    <row r="114" customFormat="false" ht="15" hidden="false" customHeight="false" outlineLevel="0" collapsed="false">
      <c r="A114" s="12"/>
      <c r="B114" s="13"/>
      <c r="C114" s="13"/>
      <c r="D114" s="14"/>
      <c r="E114" s="15"/>
      <c r="F114" s="15"/>
      <c r="G114" s="12"/>
      <c r="H114" s="16" t="str">
        <f aca="false">IF(OR(A114="",C114=""),"",IFERROR(INDEX(Aşamalar!$B$5:$B$12,MATCH(C114,Aşamalar!$A$5:$A$12,0)),0))</f>
        <v/>
      </c>
      <c r="I114" s="17" t="str">
        <f aca="false">IF(H114="","",D114*H114)</f>
        <v/>
      </c>
      <c r="J114" s="18" t="str">
        <f aca="true">IF(AND(AND(C114&lt;&gt;"Kazanıldı",C114&lt;&gt;"Kaybedildi",C114&lt;&gt;""),F114&lt;&gt;""),IF(F114&lt;TODAY(),"Gecikti",IF(F114=TODAY(),"Bugün","")),"")</f>
        <v/>
      </c>
      <c r="K114" s="18" t="str">
        <f aca="true">IF(AND(AND(C114&lt;&gt;"Kazanıldı",C114&lt;&gt;"Kaybedildi",C114&lt;&gt;""),F114&lt;&gt;"",F114&lt;=TODAY()),F114+ROW()/1000000,"")</f>
        <v/>
      </c>
    </row>
    <row r="115" customFormat="false" ht="15" hidden="false" customHeight="false" outlineLevel="0" collapsed="false">
      <c r="A115" s="12"/>
      <c r="B115" s="13"/>
      <c r="C115" s="13"/>
      <c r="D115" s="14"/>
      <c r="E115" s="15"/>
      <c r="F115" s="15"/>
      <c r="G115" s="12"/>
      <c r="H115" s="16" t="str">
        <f aca="false">IF(OR(A115="",C115=""),"",IFERROR(INDEX(Aşamalar!$B$5:$B$12,MATCH(C115,Aşamalar!$A$5:$A$12,0)),0))</f>
        <v/>
      </c>
      <c r="I115" s="17" t="str">
        <f aca="false">IF(H115="","",D115*H115)</f>
        <v/>
      </c>
      <c r="J115" s="18" t="str">
        <f aca="true">IF(AND(AND(C115&lt;&gt;"Kazanıldı",C115&lt;&gt;"Kaybedildi",C115&lt;&gt;""),F115&lt;&gt;""),IF(F115&lt;TODAY(),"Gecikti",IF(F115=TODAY(),"Bugün","")),"")</f>
        <v/>
      </c>
      <c r="K115" s="18" t="str">
        <f aca="true">IF(AND(AND(C115&lt;&gt;"Kazanıldı",C115&lt;&gt;"Kaybedildi",C115&lt;&gt;""),F115&lt;&gt;"",F115&lt;=TODAY()),F115+ROW()/1000000,"")</f>
        <v/>
      </c>
    </row>
    <row r="116" customFormat="false" ht="15" hidden="false" customHeight="false" outlineLevel="0" collapsed="false">
      <c r="A116" s="12"/>
      <c r="B116" s="13"/>
      <c r="C116" s="13"/>
      <c r="D116" s="14"/>
      <c r="E116" s="15"/>
      <c r="F116" s="15"/>
      <c r="G116" s="12"/>
      <c r="H116" s="16" t="str">
        <f aca="false">IF(OR(A116="",C116=""),"",IFERROR(INDEX(Aşamalar!$B$5:$B$12,MATCH(C116,Aşamalar!$A$5:$A$12,0)),0))</f>
        <v/>
      </c>
      <c r="I116" s="17" t="str">
        <f aca="false">IF(H116="","",D116*H116)</f>
        <v/>
      </c>
      <c r="J116" s="18" t="str">
        <f aca="true">IF(AND(AND(C116&lt;&gt;"Kazanıldı",C116&lt;&gt;"Kaybedildi",C116&lt;&gt;""),F116&lt;&gt;""),IF(F116&lt;TODAY(),"Gecikti",IF(F116=TODAY(),"Bugün","")),"")</f>
        <v/>
      </c>
      <c r="K116" s="18" t="str">
        <f aca="true">IF(AND(AND(C116&lt;&gt;"Kazanıldı",C116&lt;&gt;"Kaybedildi",C116&lt;&gt;""),F116&lt;&gt;"",F116&lt;=TODAY()),F116+ROW()/1000000,"")</f>
        <v/>
      </c>
    </row>
    <row r="117" customFormat="false" ht="15" hidden="false" customHeight="false" outlineLevel="0" collapsed="false">
      <c r="A117" s="12"/>
      <c r="B117" s="13"/>
      <c r="C117" s="13"/>
      <c r="D117" s="14"/>
      <c r="E117" s="15"/>
      <c r="F117" s="15"/>
      <c r="G117" s="12"/>
      <c r="H117" s="16" t="str">
        <f aca="false">IF(OR(A117="",C117=""),"",IFERROR(INDEX(Aşamalar!$B$5:$B$12,MATCH(C117,Aşamalar!$A$5:$A$12,0)),0))</f>
        <v/>
      </c>
      <c r="I117" s="17" t="str">
        <f aca="false">IF(H117="","",D117*H117)</f>
        <v/>
      </c>
      <c r="J117" s="18" t="str">
        <f aca="true">IF(AND(AND(C117&lt;&gt;"Kazanıldı",C117&lt;&gt;"Kaybedildi",C117&lt;&gt;""),F117&lt;&gt;""),IF(F117&lt;TODAY(),"Gecikti",IF(F117=TODAY(),"Bugün","")),"")</f>
        <v/>
      </c>
      <c r="K117" s="18" t="str">
        <f aca="true">IF(AND(AND(C117&lt;&gt;"Kazanıldı",C117&lt;&gt;"Kaybedildi",C117&lt;&gt;""),F117&lt;&gt;"",F117&lt;=TODAY()),F117+ROW()/1000000,"")</f>
        <v/>
      </c>
    </row>
    <row r="118" customFormat="false" ht="15" hidden="false" customHeight="false" outlineLevel="0" collapsed="false">
      <c r="A118" s="12"/>
      <c r="B118" s="13"/>
      <c r="C118" s="13"/>
      <c r="D118" s="14"/>
      <c r="E118" s="15"/>
      <c r="F118" s="15"/>
      <c r="G118" s="12"/>
      <c r="H118" s="16" t="str">
        <f aca="false">IF(OR(A118="",C118=""),"",IFERROR(INDEX(Aşamalar!$B$5:$B$12,MATCH(C118,Aşamalar!$A$5:$A$12,0)),0))</f>
        <v/>
      </c>
      <c r="I118" s="17" t="str">
        <f aca="false">IF(H118="","",D118*H118)</f>
        <v/>
      </c>
      <c r="J118" s="18" t="str">
        <f aca="true">IF(AND(AND(C118&lt;&gt;"Kazanıldı",C118&lt;&gt;"Kaybedildi",C118&lt;&gt;""),F118&lt;&gt;""),IF(F118&lt;TODAY(),"Gecikti",IF(F118=TODAY(),"Bugün","")),"")</f>
        <v/>
      </c>
      <c r="K118" s="18" t="str">
        <f aca="true">IF(AND(AND(C118&lt;&gt;"Kazanıldı",C118&lt;&gt;"Kaybedildi",C118&lt;&gt;""),F118&lt;&gt;"",F118&lt;=TODAY()),F118+ROW()/1000000,"")</f>
        <v/>
      </c>
    </row>
    <row r="119" customFormat="false" ht="15" hidden="false" customHeight="false" outlineLevel="0" collapsed="false">
      <c r="A119" s="12"/>
      <c r="B119" s="13"/>
      <c r="C119" s="13"/>
      <c r="D119" s="14"/>
      <c r="E119" s="15"/>
      <c r="F119" s="15"/>
      <c r="G119" s="12"/>
      <c r="H119" s="16" t="str">
        <f aca="false">IF(OR(A119="",C119=""),"",IFERROR(INDEX(Aşamalar!$B$5:$B$12,MATCH(C119,Aşamalar!$A$5:$A$12,0)),0))</f>
        <v/>
      </c>
      <c r="I119" s="17" t="str">
        <f aca="false">IF(H119="","",D119*H119)</f>
        <v/>
      </c>
      <c r="J119" s="18" t="str">
        <f aca="true">IF(AND(AND(C119&lt;&gt;"Kazanıldı",C119&lt;&gt;"Kaybedildi",C119&lt;&gt;""),F119&lt;&gt;""),IF(F119&lt;TODAY(),"Gecikti",IF(F119=TODAY(),"Bugün","")),"")</f>
        <v/>
      </c>
      <c r="K119" s="18" t="str">
        <f aca="true">IF(AND(AND(C119&lt;&gt;"Kazanıldı",C119&lt;&gt;"Kaybedildi",C119&lt;&gt;""),F119&lt;&gt;"",F119&lt;=TODAY()),F119+ROW()/1000000,"")</f>
        <v/>
      </c>
    </row>
    <row r="120" customFormat="false" ht="15" hidden="false" customHeight="false" outlineLevel="0" collapsed="false">
      <c r="A120" s="12"/>
      <c r="B120" s="13"/>
      <c r="C120" s="13"/>
      <c r="D120" s="14"/>
      <c r="E120" s="15"/>
      <c r="F120" s="15"/>
      <c r="G120" s="12"/>
      <c r="H120" s="16" t="str">
        <f aca="false">IF(OR(A120="",C120=""),"",IFERROR(INDEX(Aşamalar!$B$5:$B$12,MATCH(C120,Aşamalar!$A$5:$A$12,0)),0))</f>
        <v/>
      </c>
      <c r="I120" s="17" t="str">
        <f aca="false">IF(H120="","",D120*H120)</f>
        <v/>
      </c>
      <c r="J120" s="18" t="str">
        <f aca="true">IF(AND(AND(C120&lt;&gt;"Kazanıldı",C120&lt;&gt;"Kaybedildi",C120&lt;&gt;""),F120&lt;&gt;""),IF(F120&lt;TODAY(),"Gecikti",IF(F120=TODAY(),"Bugün","")),"")</f>
        <v/>
      </c>
      <c r="K120" s="18" t="str">
        <f aca="true">IF(AND(AND(C120&lt;&gt;"Kazanıldı",C120&lt;&gt;"Kaybedildi",C120&lt;&gt;""),F120&lt;&gt;"",F120&lt;=TODAY()),F120+ROW()/1000000,"")</f>
        <v/>
      </c>
    </row>
    <row r="121" customFormat="false" ht="15" hidden="false" customHeight="false" outlineLevel="0" collapsed="false">
      <c r="A121" s="12"/>
      <c r="B121" s="13"/>
      <c r="C121" s="13"/>
      <c r="D121" s="14"/>
      <c r="E121" s="15"/>
      <c r="F121" s="15"/>
      <c r="G121" s="12"/>
      <c r="H121" s="16" t="str">
        <f aca="false">IF(OR(A121="",C121=""),"",IFERROR(INDEX(Aşamalar!$B$5:$B$12,MATCH(C121,Aşamalar!$A$5:$A$12,0)),0))</f>
        <v/>
      </c>
      <c r="I121" s="17" t="str">
        <f aca="false">IF(H121="","",D121*H121)</f>
        <v/>
      </c>
      <c r="J121" s="18" t="str">
        <f aca="true">IF(AND(AND(C121&lt;&gt;"Kazanıldı",C121&lt;&gt;"Kaybedildi",C121&lt;&gt;""),F121&lt;&gt;""),IF(F121&lt;TODAY(),"Gecikti",IF(F121=TODAY(),"Bugün","")),"")</f>
        <v/>
      </c>
      <c r="K121" s="18" t="str">
        <f aca="true">IF(AND(AND(C121&lt;&gt;"Kazanıldı",C121&lt;&gt;"Kaybedildi",C121&lt;&gt;""),F121&lt;&gt;"",F121&lt;=TODAY()),F121+ROW()/1000000,"")</f>
        <v/>
      </c>
    </row>
    <row r="122" customFormat="false" ht="15" hidden="false" customHeight="false" outlineLevel="0" collapsed="false">
      <c r="A122" s="12"/>
      <c r="B122" s="13"/>
      <c r="C122" s="13"/>
      <c r="D122" s="14"/>
      <c r="E122" s="15"/>
      <c r="F122" s="15"/>
      <c r="G122" s="12"/>
      <c r="H122" s="16" t="str">
        <f aca="false">IF(OR(A122="",C122=""),"",IFERROR(INDEX(Aşamalar!$B$5:$B$12,MATCH(C122,Aşamalar!$A$5:$A$12,0)),0))</f>
        <v/>
      </c>
      <c r="I122" s="17" t="str">
        <f aca="false">IF(H122="","",D122*H122)</f>
        <v/>
      </c>
      <c r="J122" s="18" t="str">
        <f aca="true">IF(AND(AND(C122&lt;&gt;"Kazanıldı",C122&lt;&gt;"Kaybedildi",C122&lt;&gt;""),F122&lt;&gt;""),IF(F122&lt;TODAY(),"Gecikti",IF(F122=TODAY(),"Bugün","")),"")</f>
        <v/>
      </c>
      <c r="K122" s="18" t="str">
        <f aca="true">IF(AND(AND(C122&lt;&gt;"Kazanıldı",C122&lt;&gt;"Kaybedildi",C122&lt;&gt;""),F122&lt;&gt;"",F122&lt;=TODAY()),F122+ROW()/1000000,"")</f>
        <v/>
      </c>
    </row>
    <row r="123" customFormat="false" ht="15" hidden="false" customHeight="false" outlineLevel="0" collapsed="false">
      <c r="A123" s="12"/>
      <c r="B123" s="13"/>
      <c r="C123" s="13"/>
      <c r="D123" s="14"/>
      <c r="E123" s="15"/>
      <c r="F123" s="15"/>
      <c r="G123" s="12"/>
      <c r="H123" s="16" t="str">
        <f aca="false">IF(OR(A123="",C123=""),"",IFERROR(INDEX(Aşamalar!$B$5:$B$12,MATCH(C123,Aşamalar!$A$5:$A$12,0)),0))</f>
        <v/>
      </c>
      <c r="I123" s="17" t="str">
        <f aca="false">IF(H123="","",D123*H123)</f>
        <v/>
      </c>
      <c r="J123" s="18" t="str">
        <f aca="true">IF(AND(AND(C123&lt;&gt;"Kazanıldı",C123&lt;&gt;"Kaybedildi",C123&lt;&gt;""),F123&lt;&gt;""),IF(F123&lt;TODAY(),"Gecikti",IF(F123=TODAY(),"Bugün","")),"")</f>
        <v/>
      </c>
      <c r="K123" s="18" t="str">
        <f aca="true">IF(AND(AND(C123&lt;&gt;"Kazanıldı",C123&lt;&gt;"Kaybedildi",C123&lt;&gt;""),F123&lt;&gt;"",F123&lt;=TODAY()),F123+ROW()/1000000,"")</f>
        <v/>
      </c>
    </row>
    <row r="124" customFormat="false" ht="15" hidden="false" customHeight="false" outlineLevel="0" collapsed="false">
      <c r="A124" s="12"/>
      <c r="B124" s="13"/>
      <c r="C124" s="13"/>
      <c r="D124" s="14"/>
      <c r="E124" s="15"/>
      <c r="F124" s="15"/>
      <c r="G124" s="12"/>
      <c r="H124" s="16" t="str">
        <f aca="false">IF(OR(A124="",C124=""),"",IFERROR(INDEX(Aşamalar!$B$5:$B$12,MATCH(C124,Aşamalar!$A$5:$A$12,0)),0))</f>
        <v/>
      </c>
      <c r="I124" s="17" t="str">
        <f aca="false">IF(H124="","",D124*H124)</f>
        <v/>
      </c>
      <c r="J124" s="18" t="str">
        <f aca="true">IF(AND(AND(C124&lt;&gt;"Kazanıldı",C124&lt;&gt;"Kaybedildi",C124&lt;&gt;""),F124&lt;&gt;""),IF(F124&lt;TODAY(),"Gecikti",IF(F124=TODAY(),"Bugün","")),"")</f>
        <v/>
      </c>
      <c r="K124" s="18" t="str">
        <f aca="true">IF(AND(AND(C124&lt;&gt;"Kazanıldı",C124&lt;&gt;"Kaybedildi",C124&lt;&gt;""),F124&lt;&gt;"",F124&lt;=TODAY()),F124+ROW()/1000000,"")</f>
        <v/>
      </c>
    </row>
    <row r="125" customFormat="false" ht="15" hidden="false" customHeight="false" outlineLevel="0" collapsed="false">
      <c r="A125" s="12"/>
      <c r="B125" s="13"/>
      <c r="C125" s="13"/>
      <c r="D125" s="14"/>
      <c r="E125" s="15"/>
      <c r="F125" s="15"/>
      <c r="G125" s="12"/>
      <c r="H125" s="16" t="str">
        <f aca="false">IF(OR(A125="",C125=""),"",IFERROR(INDEX(Aşamalar!$B$5:$B$12,MATCH(C125,Aşamalar!$A$5:$A$12,0)),0))</f>
        <v/>
      </c>
      <c r="I125" s="17" t="str">
        <f aca="false">IF(H125="","",D125*H125)</f>
        <v/>
      </c>
      <c r="J125" s="18" t="str">
        <f aca="true">IF(AND(AND(C125&lt;&gt;"Kazanıldı",C125&lt;&gt;"Kaybedildi",C125&lt;&gt;""),F125&lt;&gt;""),IF(F125&lt;TODAY(),"Gecikti",IF(F125=TODAY(),"Bugün","")),"")</f>
        <v/>
      </c>
      <c r="K125" s="18" t="str">
        <f aca="true">IF(AND(AND(C125&lt;&gt;"Kazanıldı",C125&lt;&gt;"Kaybedildi",C125&lt;&gt;""),F125&lt;&gt;"",F125&lt;=TODAY()),F125+ROW()/1000000,"")</f>
        <v/>
      </c>
    </row>
    <row r="126" customFormat="false" ht="15" hidden="false" customHeight="false" outlineLevel="0" collapsed="false">
      <c r="A126" s="12"/>
      <c r="B126" s="13"/>
      <c r="C126" s="13"/>
      <c r="D126" s="14"/>
      <c r="E126" s="15"/>
      <c r="F126" s="15"/>
      <c r="G126" s="12"/>
      <c r="H126" s="16" t="str">
        <f aca="false">IF(OR(A126="",C126=""),"",IFERROR(INDEX(Aşamalar!$B$5:$B$12,MATCH(C126,Aşamalar!$A$5:$A$12,0)),0))</f>
        <v/>
      </c>
      <c r="I126" s="17" t="str">
        <f aca="false">IF(H126="","",D126*H126)</f>
        <v/>
      </c>
      <c r="J126" s="18" t="str">
        <f aca="true">IF(AND(AND(C126&lt;&gt;"Kazanıldı",C126&lt;&gt;"Kaybedildi",C126&lt;&gt;""),F126&lt;&gt;""),IF(F126&lt;TODAY(),"Gecikti",IF(F126=TODAY(),"Bugün","")),"")</f>
        <v/>
      </c>
      <c r="K126" s="18" t="str">
        <f aca="true">IF(AND(AND(C126&lt;&gt;"Kazanıldı",C126&lt;&gt;"Kaybedildi",C126&lt;&gt;""),F126&lt;&gt;"",F126&lt;=TODAY()),F126+ROW()/1000000,"")</f>
        <v/>
      </c>
    </row>
    <row r="127" customFormat="false" ht="15" hidden="false" customHeight="false" outlineLevel="0" collapsed="false">
      <c r="A127" s="12"/>
      <c r="B127" s="13"/>
      <c r="C127" s="13"/>
      <c r="D127" s="14"/>
      <c r="E127" s="15"/>
      <c r="F127" s="15"/>
      <c r="G127" s="12"/>
      <c r="H127" s="16" t="str">
        <f aca="false">IF(OR(A127="",C127=""),"",IFERROR(INDEX(Aşamalar!$B$5:$B$12,MATCH(C127,Aşamalar!$A$5:$A$12,0)),0))</f>
        <v/>
      </c>
      <c r="I127" s="17" t="str">
        <f aca="false">IF(H127="","",D127*H127)</f>
        <v/>
      </c>
      <c r="J127" s="18" t="str">
        <f aca="true">IF(AND(AND(C127&lt;&gt;"Kazanıldı",C127&lt;&gt;"Kaybedildi",C127&lt;&gt;""),F127&lt;&gt;""),IF(F127&lt;TODAY(),"Gecikti",IF(F127=TODAY(),"Bugün","")),"")</f>
        <v/>
      </c>
      <c r="K127" s="18" t="str">
        <f aca="true">IF(AND(AND(C127&lt;&gt;"Kazanıldı",C127&lt;&gt;"Kaybedildi",C127&lt;&gt;""),F127&lt;&gt;"",F127&lt;=TODAY()),F127+ROW()/1000000,"")</f>
        <v/>
      </c>
    </row>
    <row r="128" customFormat="false" ht="15" hidden="false" customHeight="false" outlineLevel="0" collapsed="false">
      <c r="A128" s="12"/>
      <c r="B128" s="13"/>
      <c r="C128" s="13"/>
      <c r="D128" s="14"/>
      <c r="E128" s="15"/>
      <c r="F128" s="15"/>
      <c r="G128" s="12"/>
      <c r="H128" s="16" t="str">
        <f aca="false">IF(OR(A128="",C128=""),"",IFERROR(INDEX(Aşamalar!$B$5:$B$12,MATCH(C128,Aşamalar!$A$5:$A$12,0)),0))</f>
        <v/>
      </c>
      <c r="I128" s="17" t="str">
        <f aca="false">IF(H128="","",D128*H128)</f>
        <v/>
      </c>
      <c r="J128" s="18" t="str">
        <f aca="true">IF(AND(AND(C128&lt;&gt;"Kazanıldı",C128&lt;&gt;"Kaybedildi",C128&lt;&gt;""),F128&lt;&gt;""),IF(F128&lt;TODAY(),"Gecikti",IF(F128=TODAY(),"Bugün","")),"")</f>
        <v/>
      </c>
      <c r="K128" s="18" t="str">
        <f aca="true">IF(AND(AND(C128&lt;&gt;"Kazanıldı",C128&lt;&gt;"Kaybedildi",C128&lt;&gt;""),F128&lt;&gt;"",F128&lt;=TODAY()),F128+ROW()/1000000,"")</f>
        <v/>
      </c>
    </row>
    <row r="129" customFormat="false" ht="15" hidden="false" customHeight="false" outlineLevel="0" collapsed="false">
      <c r="A129" s="12"/>
      <c r="B129" s="13"/>
      <c r="C129" s="13"/>
      <c r="D129" s="14"/>
      <c r="E129" s="15"/>
      <c r="F129" s="15"/>
      <c r="G129" s="12"/>
      <c r="H129" s="16" t="str">
        <f aca="false">IF(OR(A129="",C129=""),"",IFERROR(INDEX(Aşamalar!$B$5:$B$12,MATCH(C129,Aşamalar!$A$5:$A$12,0)),0))</f>
        <v/>
      </c>
      <c r="I129" s="17" t="str">
        <f aca="false">IF(H129="","",D129*H129)</f>
        <v/>
      </c>
      <c r="J129" s="18" t="str">
        <f aca="true">IF(AND(AND(C129&lt;&gt;"Kazanıldı",C129&lt;&gt;"Kaybedildi",C129&lt;&gt;""),F129&lt;&gt;""),IF(F129&lt;TODAY(),"Gecikti",IF(F129=TODAY(),"Bugün","")),"")</f>
        <v/>
      </c>
      <c r="K129" s="18" t="str">
        <f aca="true">IF(AND(AND(C129&lt;&gt;"Kazanıldı",C129&lt;&gt;"Kaybedildi",C129&lt;&gt;""),F129&lt;&gt;"",F129&lt;=TODAY()),F129+ROW()/1000000,"")</f>
        <v/>
      </c>
    </row>
    <row r="130" customFormat="false" ht="15" hidden="false" customHeight="false" outlineLevel="0" collapsed="false">
      <c r="A130" s="12"/>
      <c r="B130" s="13"/>
      <c r="C130" s="13"/>
      <c r="D130" s="14"/>
      <c r="E130" s="15"/>
      <c r="F130" s="15"/>
      <c r="G130" s="12"/>
      <c r="H130" s="16" t="str">
        <f aca="false">IF(OR(A130="",C130=""),"",IFERROR(INDEX(Aşamalar!$B$5:$B$12,MATCH(C130,Aşamalar!$A$5:$A$12,0)),0))</f>
        <v/>
      </c>
      <c r="I130" s="17" t="str">
        <f aca="false">IF(H130="","",D130*H130)</f>
        <v/>
      </c>
      <c r="J130" s="18" t="str">
        <f aca="true">IF(AND(AND(C130&lt;&gt;"Kazanıldı",C130&lt;&gt;"Kaybedildi",C130&lt;&gt;""),F130&lt;&gt;""),IF(F130&lt;TODAY(),"Gecikti",IF(F130=TODAY(),"Bugün","")),"")</f>
        <v/>
      </c>
      <c r="K130" s="18" t="str">
        <f aca="true">IF(AND(AND(C130&lt;&gt;"Kazanıldı",C130&lt;&gt;"Kaybedildi",C130&lt;&gt;""),F130&lt;&gt;"",F130&lt;=TODAY()),F130+ROW()/1000000,"")</f>
        <v/>
      </c>
    </row>
    <row r="131" customFormat="false" ht="15" hidden="false" customHeight="false" outlineLevel="0" collapsed="false">
      <c r="A131" s="12"/>
      <c r="B131" s="13"/>
      <c r="C131" s="13"/>
      <c r="D131" s="14"/>
      <c r="E131" s="15"/>
      <c r="F131" s="15"/>
      <c r="G131" s="12"/>
      <c r="H131" s="16" t="str">
        <f aca="false">IF(OR(A131="",C131=""),"",IFERROR(INDEX(Aşamalar!$B$5:$B$12,MATCH(C131,Aşamalar!$A$5:$A$12,0)),0))</f>
        <v/>
      </c>
      <c r="I131" s="17" t="str">
        <f aca="false">IF(H131="","",D131*H131)</f>
        <v/>
      </c>
      <c r="J131" s="18" t="str">
        <f aca="true">IF(AND(AND(C131&lt;&gt;"Kazanıldı",C131&lt;&gt;"Kaybedildi",C131&lt;&gt;""),F131&lt;&gt;""),IF(F131&lt;TODAY(),"Gecikti",IF(F131=TODAY(),"Bugün","")),"")</f>
        <v/>
      </c>
      <c r="K131" s="18" t="str">
        <f aca="true">IF(AND(AND(C131&lt;&gt;"Kazanıldı",C131&lt;&gt;"Kaybedildi",C131&lt;&gt;""),F131&lt;&gt;"",F131&lt;=TODAY()),F131+ROW()/1000000,"")</f>
        <v/>
      </c>
    </row>
    <row r="132" customFormat="false" ht="15" hidden="false" customHeight="false" outlineLevel="0" collapsed="false">
      <c r="A132" s="12"/>
      <c r="B132" s="13"/>
      <c r="C132" s="13"/>
      <c r="D132" s="14"/>
      <c r="E132" s="15"/>
      <c r="F132" s="15"/>
      <c r="G132" s="12"/>
      <c r="H132" s="16" t="str">
        <f aca="false">IF(OR(A132="",C132=""),"",IFERROR(INDEX(Aşamalar!$B$5:$B$12,MATCH(C132,Aşamalar!$A$5:$A$12,0)),0))</f>
        <v/>
      </c>
      <c r="I132" s="17" t="str">
        <f aca="false">IF(H132="","",D132*H132)</f>
        <v/>
      </c>
      <c r="J132" s="18" t="str">
        <f aca="true">IF(AND(AND(C132&lt;&gt;"Kazanıldı",C132&lt;&gt;"Kaybedildi",C132&lt;&gt;""),F132&lt;&gt;""),IF(F132&lt;TODAY(),"Gecikti",IF(F132=TODAY(),"Bugün","")),"")</f>
        <v/>
      </c>
      <c r="K132" s="18" t="str">
        <f aca="true">IF(AND(AND(C132&lt;&gt;"Kazanıldı",C132&lt;&gt;"Kaybedildi",C132&lt;&gt;""),F132&lt;&gt;"",F132&lt;=TODAY()),F132+ROW()/1000000,"")</f>
        <v/>
      </c>
    </row>
    <row r="133" customFormat="false" ht="15" hidden="false" customHeight="false" outlineLevel="0" collapsed="false">
      <c r="A133" s="12"/>
      <c r="B133" s="13"/>
      <c r="C133" s="13"/>
      <c r="D133" s="14"/>
      <c r="E133" s="15"/>
      <c r="F133" s="15"/>
      <c r="G133" s="12"/>
      <c r="H133" s="16" t="str">
        <f aca="false">IF(OR(A133="",C133=""),"",IFERROR(INDEX(Aşamalar!$B$5:$B$12,MATCH(C133,Aşamalar!$A$5:$A$12,0)),0))</f>
        <v/>
      </c>
      <c r="I133" s="17" t="str">
        <f aca="false">IF(H133="","",D133*H133)</f>
        <v/>
      </c>
      <c r="J133" s="18" t="str">
        <f aca="true">IF(AND(AND(C133&lt;&gt;"Kazanıldı",C133&lt;&gt;"Kaybedildi",C133&lt;&gt;""),F133&lt;&gt;""),IF(F133&lt;TODAY(),"Gecikti",IF(F133=TODAY(),"Bugün","")),"")</f>
        <v/>
      </c>
      <c r="K133" s="18" t="str">
        <f aca="true">IF(AND(AND(C133&lt;&gt;"Kazanıldı",C133&lt;&gt;"Kaybedildi",C133&lt;&gt;""),F133&lt;&gt;"",F133&lt;=TODAY()),F133+ROW()/1000000,"")</f>
        <v/>
      </c>
    </row>
    <row r="134" customFormat="false" ht="15" hidden="false" customHeight="false" outlineLevel="0" collapsed="false">
      <c r="A134" s="12"/>
      <c r="B134" s="13"/>
      <c r="C134" s="13"/>
      <c r="D134" s="14"/>
      <c r="E134" s="15"/>
      <c r="F134" s="15"/>
      <c r="G134" s="12"/>
      <c r="H134" s="16" t="str">
        <f aca="false">IF(OR(A134="",C134=""),"",IFERROR(INDEX(Aşamalar!$B$5:$B$12,MATCH(C134,Aşamalar!$A$5:$A$12,0)),0))</f>
        <v/>
      </c>
      <c r="I134" s="17" t="str">
        <f aca="false">IF(H134="","",D134*H134)</f>
        <v/>
      </c>
      <c r="J134" s="18" t="str">
        <f aca="true">IF(AND(AND(C134&lt;&gt;"Kazanıldı",C134&lt;&gt;"Kaybedildi",C134&lt;&gt;""),F134&lt;&gt;""),IF(F134&lt;TODAY(),"Gecikti",IF(F134=TODAY(),"Bugün","")),"")</f>
        <v/>
      </c>
      <c r="K134" s="18" t="str">
        <f aca="true">IF(AND(AND(C134&lt;&gt;"Kazanıldı",C134&lt;&gt;"Kaybedildi",C134&lt;&gt;""),F134&lt;&gt;"",F134&lt;=TODAY()),F134+ROW()/1000000,"")</f>
        <v/>
      </c>
    </row>
    <row r="135" customFormat="false" ht="15" hidden="false" customHeight="false" outlineLevel="0" collapsed="false">
      <c r="A135" s="12"/>
      <c r="B135" s="13"/>
      <c r="C135" s="13"/>
      <c r="D135" s="14"/>
      <c r="E135" s="15"/>
      <c r="F135" s="15"/>
      <c r="G135" s="12"/>
      <c r="H135" s="16" t="str">
        <f aca="false">IF(OR(A135="",C135=""),"",IFERROR(INDEX(Aşamalar!$B$5:$B$12,MATCH(C135,Aşamalar!$A$5:$A$12,0)),0))</f>
        <v/>
      </c>
      <c r="I135" s="17" t="str">
        <f aca="false">IF(H135="","",D135*H135)</f>
        <v/>
      </c>
      <c r="J135" s="18" t="str">
        <f aca="true">IF(AND(AND(C135&lt;&gt;"Kazanıldı",C135&lt;&gt;"Kaybedildi",C135&lt;&gt;""),F135&lt;&gt;""),IF(F135&lt;TODAY(),"Gecikti",IF(F135=TODAY(),"Bugün","")),"")</f>
        <v/>
      </c>
      <c r="K135" s="18" t="str">
        <f aca="true">IF(AND(AND(C135&lt;&gt;"Kazanıldı",C135&lt;&gt;"Kaybedildi",C135&lt;&gt;""),F135&lt;&gt;"",F135&lt;=TODAY()),F135+ROW()/1000000,"")</f>
        <v/>
      </c>
    </row>
    <row r="136" customFormat="false" ht="15" hidden="false" customHeight="false" outlineLevel="0" collapsed="false">
      <c r="A136" s="12"/>
      <c r="B136" s="13"/>
      <c r="C136" s="13"/>
      <c r="D136" s="14"/>
      <c r="E136" s="15"/>
      <c r="F136" s="15"/>
      <c r="G136" s="12"/>
      <c r="H136" s="16" t="str">
        <f aca="false">IF(OR(A136="",C136=""),"",IFERROR(INDEX(Aşamalar!$B$5:$B$12,MATCH(C136,Aşamalar!$A$5:$A$12,0)),0))</f>
        <v/>
      </c>
      <c r="I136" s="17" t="str">
        <f aca="false">IF(H136="","",D136*H136)</f>
        <v/>
      </c>
      <c r="J136" s="18" t="str">
        <f aca="true">IF(AND(AND(C136&lt;&gt;"Kazanıldı",C136&lt;&gt;"Kaybedildi",C136&lt;&gt;""),F136&lt;&gt;""),IF(F136&lt;TODAY(),"Gecikti",IF(F136=TODAY(),"Bugün","")),"")</f>
        <v/>
      </c>
      <c r="K136" s="18" t="str">
        <f aca="true">IF(AND(AND(C136&lt;&gt;"Kazanıldı",C136&lt;&gt;"Kaybedildi",C136&lt;&gt;""),F136&lt;&gt;"",F136&lt;=TODAY()),F136+ROW()/1000000,"")</f>
        <v/>
      </c>
    </row>
    <row r="137" customFormat="false" ht="15" hidden="false" customHeight="false" outlineLevel="0" collapsed="false">
      <c r="A137" s="12"/>
      <c r="B137" s="13"/>
      <c r="C137" s="13"/>
      <c r="D137" s="14"/>
      <c r="E137" s="15"/>
      <c r="F137" s="15"/>
      <c r="G137" s="12"/>
      <c r="H137" s="16" t="str">
        <f aca="false">IF(OR(A137="",C137=""),"",IFERROR(INDEX(Aşamalar!$B$5:$B$12,MATCH(C137,Aşamalar!$A$5:$A$12,0)),0))</f>
        <v/>
      </c>
      <c r="I137" s="17" t="str">
        <f aca="false">IF(H137="","",D137*H137)</f>
        <v/>
      </c>
      <c r="J137" s="18" t="str">
        <f aca="true">IF(AND(AND(C137&lt;&gt;"Kazanıldı",C137&lt;&gt;"Kaybedildi",C137&lt;&gt;""),F137&lt;&gt;""),IF(F137&lt;TODAY(),"Gecikti",IF(F137=TODAY(),"Bugün","")),"")</f>
        <v/>
      </c>
      <c r="K137" s="18" t="str">
        <f aca="true">IF(AND(AND(C137&lt;&gt;"Kazanıldı",C137&lt;&gt;"Kaybedildi",C137&lt;&gt;""),F137&lt;&gt;"",F137&lt;=TODAY()),F137+ROW()/1000000,"")</f>
        <v/>
      </c>
    </row>
    <row r="138" customFormat="false" ht="15" hidden="false" customHeight="false" outlineLevel="0" collapsed="false">
      <c r="A138" s="12"/>
      <c r="B138" s="13"/>
      <c r="C138" s="13"/>
      <c r="D138" s="14"/>
      <c r="E138" s="15"/>
      <c r="F138" s="15"/>
      <c r="G138" s="12"/>
      <c r="H138" s="16" t="str">
        <f aca="false">IF(OR(A138="",C138=""),"",IFERROR(INDEX(Aşamalar!$B$5:$B$12,MATCH(C138,Aşamalar!$A$5:$A$12,0)),0))</f>
        <v/>
      </c>
      <c r="I138" s="17" t="str">
        <f aca="false">IF(H138="","",D138*H138)</f>
        <v/>
      </c>
      <c r="J138" s="18" t="str">
        <f aca="true">IF(AND(AND(C138&lt;&gt;"Kazanıldı",C138&lt;&gt;"Kaybedildi",C138&lt;&gt;""),F138&lt;&gt;""),IF(F138&lt;TODAY(),"Gecikti",IF(F138=TODAY(),"Bugün","")),"")</f>
        <v/>
      </c>
      <c r="K138" s="18" t="str">
        <f aca="true">IF(AND(AND(C138&lt;&gt;"Kazanıldı",C138&lt;&gt;"Kaybedildi",C138&lt;&gt;""),F138&lt;&gt;"",F138&lt;=TODAY()),F138+ROW()/1000000,"")</f>
        <v/>
      </c>
    </row>
    <row r="139" customFormat="false" ht="15" hidden="false" customHeight="false" outlineLevel="0" collapsed="false">
      <c r="A139" s="12"/>
      <c r="B139" s="13"/>
      <c r="C139" s="13"/>
      <c r="D139" s="14"/>
      <c r="E139" s="15"/>
      <c r="F139" s="15"/>
      <c r="G139" s="12"/>
      <c r="H139" s="16" t="str">
        <f aca="false">IF(OR(A139="",C139=""),"",IFERROR(INDEX(Aşamalar!$B$5:$B$12,MATCH(C139,Aşamalar!$A$5:$A$12,0)),0))</f>
        <v/>
      </c>
      <c r="I139" s="17" t="str">
        <f aca="false">IF(H139="","",D139*H139)</f>
        <v/>
      </c>
      <c r="J139" s="18" t="str">
        <f aca="true">IF(AND(AND(C139&lt;&gt;"Kazanıldı",C139&lt;&gt;"Kaybedildi",C139&lt;&gt;""),F139&lt;&gt;""),IF(F139&lt;TODAY(),"Gecikti",IF(F139=TODAY(),"Bugün","")),"")</f>
        <v/>
      </c>
      <c r="K139" s="18" t="str">
        <f aca="true">IF(AND(AND(C139&lt;&gt;"Kazanıldı",C139&lt;&gt;"Kaybedildi",C139&lt;&gt;""),F139&lt;&gt;"",F139&lt;=TODAY()),F139+ROW()/1000000,"")</f>
        <v/>
      </c>
    </row>
    <row r="140" customFormat="false" ht="15" hidden="false" customHeight="false" outlineLevel="0" collapsed="false">
      <c r="A140" s="12"/>
      <c r="B140" s="13"/>
      <c r="C140" s="13"/>
      <c r="D140" s="14"/>
      <c r="E140" s="15"/>
      <c r="F140" s="15"/>
      <c r="G140" s="12"/>
      <c r="H140" s="16" t="str">
        <f aca="false">IF(OR(A140="",C140=""),"",IFERROR(INDEX(Aşamalar!$B$5:$B$12,MATCH(C140,Aşamalar!$A$5:$A$12,0)),0))</f>
        <v/>
      </c>
      <c r="I140" s="17" t="str">
        <f aca="false">IF(H140="","",D140*H140)</f>
        <v/>
      </c>
      <c r="J140" s="18" t="str">
        <f aca="true">IF(AND(AND(C140&lt;&gt;"Kazanıldı",C140&lt;&gt;"Kaybedildi",C140&lt;&gt;""),F140&lt;&gt;""),IF(F140&lt;TODAY(),"Gecikti",IF(F140=TODAY(),"Bugün","")),"")</f>
        <v/>
      </c>
      <c r="K140" s="18" t="str">
        <f aca="true">IF(AND(AND(C140&lt;&gt;"Kazanıldı",C140&lt;&gt;"Kaybedildi",C140&lt;&gt;""),F140&lt;&gt;"",F140&lt;=TODAY()),F140+ROW()/1000000,"")</f>
        <v/>
      </c>
    </row>
    <row r="141" customFormat="false" ht="15" hidden="false" customHeight="false" outlineLevel="0" collapsed="false">
      <c r="A141" s="12"/>
      <c r="B141" s="13"/>
      <c r="C141" s="13"/>
      <c r="D141" s="14"/>
      <c r="E141" s="15"/>
      <c r="F141" s="15"/>
      <c r="G141" s="12"/>
      <c r="H141" s="16" t="str">
        <f aca="false">IF(OR(A141="",C141=""),"",IFERROR(INDEX(Aşamalar!$B$5:$B$12,MATCH(C141,Aşamalar!$A$5:$A$12,0)),0))</f>
        <v/>
      </c>
      <c r="I141" s="17" t="str">
        <f aca="false">IF(H141="","",D141*H141)</f>
        <v/>
      </c>
      <c r="J141" s="18" t="str">
        <f aca="true">IF(AND(AND(C141&lt;&gt;"Kazanıldı",C141&lt;&gt;"Kaybedildi",C141&lt;&gt;""),F141&lt;&gt;""),IF(F141&lt;TODAY(),"Gecikti",IF(F141=TODAY(),"Bugün","")),"")</f>
        <v/>
      </c>
      <c r="K141" s="18" t="str">
        <f aca="true">IF(AND(AND(C141&lt;&gt;"Kazanıldı",C141&lt;&gt;"Kaybedildi",C141&lt;&gt;""),F141&lt;&gt;"",F141&lt;=TODAY()),F141+ROW()/1000000,"")</f>
        <v/>
      </c>
    </row>
    <row r="142" customFormat="false" ht="15" hidden="false" customHeight="false" outlineLevel="0" collapsed="false">
      <c r="A142" s="12"/>
      <c r="B142" s="13"/>
      <c r="C142" s="13"/>
      <c r="D142" s="14"/>
      <c r="E142" s="15"/>
      <c r="F142" s="15"/>
      <c r="G142" s="12"/>
      <c r="H142" s="16" t="str">
        <f aca="false">IF(OR(A142="",C142=""),"",IFERROR(INDEX(Aşamalar!$B$5:$B$12,MATCH(C142,Aşamalar!$A$5:$A$12,0)),0))</f>
        <v/>
      </c>
      <c r="I142" s="17" t="str">
        <f aca="false">IF(H142="","",D142*H142)</f>
        <v/>
      </c>
      <c r="J142" s="18" t="str">
        <f aca="true">IF(AND(AND(C142&lt;&gt;"Kazanıldı",C142&lt;&gt;"Kaybedildi",C142&lt;&gt;""),F142&lt;&gt;""),IF(F142&lt;TODAY(),"Gecikti",IF(F142=TODAY(),"Bugün","")),"")</f>
        <v/>
      </c>
      <c r="K142" s="18" t="str">
        <f aca="true">IF(AND(AND(C142&lt;&gt;"Kazanıldı",C142&lt;&gt;"Kaybedildi",C142&lt;&gt;""),F142&lt;&gt;"",F142&lt;=TODAY()),F142+ROW()/1000000,"")</f>
        <v/>
      </c>
    </row>
    <row r="143" customFormat="false" ht="15" hidden="false" customHeight="false" outlineLevel="0" collapsed="false">
      <c r="A143" s="12"/>
      <c r="B143" s="13"/>
      <c r="C143" s="13"/>
      <c r="D143" s="14"/>
      <c r="E143" s="15"/>
      <c r="F143" s="15"/>
      <c r="G143" s="12"/>
      <c r="H143" s="16" t="str">
        <f aca="false">IF(OR(A143="",C143=""),"",IFERROR(INDEX(Aşamalar!$B$5:$B$12,MATCH(C143,Aşamalar!$A$5:$A$12,0)),0))</f>
        <v/>
      </c>
      <c r="I143" s="17" t="str">
        <f aca="false">IF(H143="","",D143*H143)</f>
        <v/>
      </c>
      <c r="J143" s="18" t="str">
        <f aca="true">IF(AND(AND(C143&lt;&gt;"Kazanıldı",C143&lt;&gt;"Kaybedildi",C143&lt;&gt;""),F143&lt;&gt;""),IF(F143&lt;TODAY(),"Gecikti",IF(F143=TODAY(),"Bugün","")),"")</f>
        <v/>
      </c>
      <c r="K143" s="18" t="str">
        <f aca="true">IF(AND(AND(C143&lt;&gt;"Kazanıldı",C143&lt;&gt;"Kaybedildi",C143&lt;&gt;""),F143&lt;&gt;"",F143&lt;=TODAY()),F143+ROW()/1000000,"")</f>
        <v/>
      </c>
    </row>
    <row r="144" customFormat="false" ht="15" hidden="false" customHeight="false" outlineLevel="0" collapsed="false">
      <c r="A144" s="12"/>
      <c r="B144" s="13"/>
      <c r="C144" s="13"/>
      <c r="D144" s="14"/>
      <c r="E144" s="15"/>
      <c r="F144" s="15"/>
      <c r="G144" s="12"/>
      <c r="H144" s="16" t="str">
        <f aca="false">IF(OR(A144="",C144=""),"",IFERROR(INDEX(Aşamalar!$B$5:$B$12,MATCH(C144,Aşamalar!$A$5:$A$12,0)),0))</f>
        <v/>
      </c>
      <c r="I144" s="17" t="str">
        <f aca="false">IF(H144="","",D144*H144)</f>
        <v/>
      </c>
      <c r="J144" s="18" t="str">
        <f aca="true">IF(AND(AND(C144&lt;&gt;"Kazanıldı",C144&lt;&gt;"Kaybedildi",C144&lt;&gt;""),F144&lt;&gt;""),IF(F144&lt;TODAY(),"Gecikti",IF(F144=TODAY(),"Bugün","")),"")</f>
        <v/>
      </c>
      <c r="K144" s="18" t="str">
        <f aca="true">IF(AND(AND(C144&lt;&gt;"Kazanıldı",C144&lt;&gt;"Kaybedildi",C144&lt;&gt;""),F144&lt;&gt;"",F144&lt;=TODAY()),F144+ROW()/1000000,"")</f>
        <v/>
      </c>
    </row>
    <row r="145" customFormat="false" ht="15" hidden="false" customHeight="false" outlineLevel="0" collapsed="false">
      <c r="A145" s="12"/>
      <c r="B145" s="13"/>
      <c r="C145" s="13"/>
      <c r="D145" s="14"/>
      <c r="E145" s="15"/>
      <c r="F145" s="15"/>
      <c r="G145" s="12"/>
      <c r="H145" s="16" t="str">
        <f aca="false">IF(OR(A145="",C145=""),"",IFERROR(INDEX(Aşamalar!$B$5:$B$12,MATCH(C145,Aşamalar!$A$5:$A$12,0)),0))</f>
        <v/>
      </c>
      <c r="I145" s="17" t="str">
        <f aca="false">IF(H145="","",D145*H145)</f>
        <v/>
      </c>
      <c r="J145" s="18" t="str">
        <f aca="true">IF(AND(AND(C145&lt;&gt;"Kazanıldı",C145&lt;&gt;"Kaybedildi",C145&lt;&gt;""),F145&lt;&gt;""),IF(F145&lt;TODAY(),"Gecikti",IF(F145=TODAY(),"Bugün","")),"")</f>
        <v/>
      </c>
      <c r="K145" s="18" t="str">
        <f aca="true">IF(AND(AND(C145&lt;&gt;"Kazanıldı",C145&lt;&gt;"Kaybedildi",C145&lt;&gt;""),F145&lt;&gt;"",F145&lt;=TODAY()),F145+ROW()/1000000,"")</f>
        <v/>
      </c>
    </row>
    <row r="146" customFormat="false" ht="15" hidden="false" customHeight="false" outlineLevel="0" collapsed="false">
      <c r="A146" s="12"/>
      <c r="B146" s="13"/>
      <c r="C146" s="13"/>
      <c r="D146" s="14"/>
      <c r="E146" s="15"/>
      <c r="F146" s="15"/>
      <c r="G146" s="12"/>
      <c r="H146" s="16" t="str">
        <f aca="false">IF(OR(A146="",C146=""),"",IFERROR(INDEX(Aşamalar!$B$5:$B$12,MATCH(C146,Aşamalar!$A$5:$A$12,0)),0))</f>
        <v/>
      </c>
      <c r="I146" s="17" t="str">
        <f aca="false">IF(H146="","",D146*H146)</f>
        <v/>
      </c>
      <c r="J146" s="18" t="str">
        <f aca="true">IF(AND(AND(C146&lt;&gt;"Kazanıldı",C146&lt;&gt;"Kaybedildi",C146&lt;&gt;""),F146&lt;&gt;""),IF(F146&lt;TODAY(),"Gecikti",IF(F146=TODAY(),"Bugün","")),"")</f>
        <v/>
      </c>
      <c r="K146" s="18" t="str">
        <f aca="true">IF(AND(AND(C146&lt;&gt;"Kazanıldı",C146&lt;&gt;"Kaybedildi",C146&lt;&gt;""),F146&lt;&gt;"",F146&lt;=TODAY()),F146+ROW()/1000000,"")</f>
        <v/>
      </c>
    </row>
    <row r="147" customFormat="false" ht="15" hidden="false" customHeight="false" outlineLevel="0" collapsed="false">
      <c r="A147" s="12"/>
      <c r="B147" s="13"/>
      <c r="C147" s="13"/>
      <c r="D147" s="14"/>
      <c r="E147" s="15"/>
      <c r="F147" s="15"/>
      <c r="G147" s="12"/>
      <c r="H147" s="16" t="str">
        <f aca="false">IF(OR(A147="",C147=""),"",IFERROR(INDEX(Aşamalar!$B$5:$B$12,MATCH(C147,Aşamalar!$A$5:$A$12,0)),0))</f>
        <v/>
      </c>
      <c r="I147" s="17" t="str">
        <f aca="false">IF(H147="","",D147*H147)</f>
        <v/>
      </c>
      <c r="J147" s="18" t="str">
        <f aca="true">IF(AND(AND(C147&lt;&gt;"Kazanıldı",C147&lt;&gt;"Kaybedildi",C147&lt;&gt;""),F147&lt;&gt;""),IF(F147&lt;TODAY(),"Gecikti",IF(F147=TODAY(),"Bugün","")),"")</f>
        <v/>
      </c>
      <c r="K147" s="18" t="str">
        <f aca="true">IF(AND(AND(C147&lt;&gt;"Kazanıldı",C147&lt;&gt;"Kaybedildi",C147&lt;&gt;""),F147&lt;&gt;"",F147&lt;=TODAY()),F147+ROW()/1000000,"")</f>
        <v/>
      </c>
    </row>
    <row r="148" customFormat="false" ht="15" hidden="false" customHeight="false" outlineLevel="0" collapsed="false">
      <c r="A148" s="12"/>
      <c r="B148" s="13"/>
      <c r="C148" s="13"/>
      <c r="D148" s="14"/>
      <c r="E148" s="15"/>
      <c r="F148" s="15"/>
      <c r="G148" s="12"/>
      <c r="H148" s="16" t="str">
        <f aca="false">IF(OR(A148="",C148=""),"",IFERROR(INDEX(Aşamalar!$B$5:$B$12,MATCH(C148,Aşamalar!$A$5:$A$12,0)),0))</f>
        <v/>
      </c>
      <c r="I148" s="17" t="str">
        <f aca="false">IF(H148="","",D148*H148)</f>
        <v/>
      </c>
      <c r="J148" s="18" t="str">
        <f aca="true">IF(AND(AND(C148&lt;&gt;"Kazanıldı",C148&lt;&gt;"Kaybedildi",C148&lt;&gt;""),F148&lt;&gt;""),IF(F148&lt;TODAY(),"Gecikti",IF(F148=TODAY(),"Bugün","")),"")</f>
        <v/>
      </c>
      <c r="K148" s="18" t="str">
        <f aca="true">IF(AND(AND(C148&lt;&gt;"Kazanıldı",C148&lt;&gt;"Kaybedildi",C148&lt;&gt;""),F148&lt;&gt;"",F148&lt;=TODAY()),F148+ROW()/1000000,"")</f>
        <v/>
      </c>
    </row>
    <row r="149" customFormat="false" ht="15" hidden="false" customHeight="false" outlineLevel="0" collapsed="false">
      <c r="A149" s="12"/>
      <c r="B149" s="13"/>
      <c r="C149" s="13"/>
      <c r="D149" s="14"/>
      <c r="E149" s="15"/>
      <c r="F149" s="15"/>
      <c r="G149" s="12"/>
      <c r="H149" s="16" t="str">
        <f aca="false">IF(OR(A149="",C149=""),"",IFERROR(INDEX(Aşamalar!$B$5:$B$12,MATCH(C149,Aşamalar!$A$5:$A$12,0)),0))</f>
        <v/>
      </c>
      <c r="I149" s="17" t="str">
        <f aca="false">IF(H149="","",D149*H149)</f>
        <v/>
      </c>
      <c r="J149" s="18" t="str">
        <f aca="true">IF(AND(AND(C149&lt;&gt;"Kazanıldı",C149&lt;&gt;"Kaybedildi",C149&lt;&gt;""),F149&lt;&gt;""),IF(F149&lt;TODAY(),"Gecikti",IF(F149=TODAY(),"Bugün","")),"")</f>
        <v/>
      </c>
      <c r="K149" s="18" t="str">
        <f aca="true">IF(AND(AND(C149&lt;&gt;"Kazanıldı",C149&lt;&gt;"Kaybedildi",C149&lt;&gt;""),F149&lt;&gt;"",F149&lt;=TODAY()),F149+ROW()/1000000,"")</f>
        <v/>
      </c>
    </row>
    <row r="150" customFormat="false" ht="15" hidden="false" customHeight="false" outlineLevel="0" collapsed="false">
      <c r="A150" s="12"/>
      <c r="B150" s="13"/>
      <c r="C150" s="13"/>
      <c r="D150" s="14"/>
      <c r="E150" s="15"/>
      <c r="F150" s="15"/>
      <c r="G150" s="12"/>
      <c r="H150" s="16" t="str">
        <f aca="false">IF(OR(A150="",C150=""),"",IFERROR(INDEX(Aşamalar!$B$5:$B$12,MATCH(C150,Aşamalar!$A$5:$A$12,0)),0))</f>
        <v/>
      </c>
      <c r="I150" s="17" t="str">
        <f aca="false">IF(H150="","",D150*H150)</f>
        <v/>
      </c>
      <c r="J150" s="18" t="str">
        <f aca="true">IF(AND(AND(C150&lt;&gt;"Kazanıldı",C150&lt;&gt;"Kaybedildi",C150&lt;&gt;""),F150&lt;&gt;""),IF(F150&lt;TODAY(),"Gecikti",IF(F150=TODAY(),"Bugün","")),"")</f>
        <v/>
      </c>
      <c r="K150" s="18" t="str">
        <f aca="true">IF(AND(AND(C150&lt;&gt;"Kazanıldı",C150&lt;&gt;"Kaybedildi",C150&lt;&gt;""),F150&lt;&gt;"",F150&lt;=TODAY()),F150+ROW()/1000000,"")</f>
        <v/>
      </c>
    </row>
    <row r="151" customFormat="false" ht="15" hidden="false" customHeight="false" outlineLevel="0" collapsed="false">
      <c r="A151" s="12"/>
      <c r="B151" s="13"/>
      <c r="C151" s="13"/>
      <c r="D151" s="14"/>
      <c r="E151" s="15"/>
      <c r="F151" s="15"/>
      <c r="G151" s="12"/>
      <c r="H151" s="16" t="str">
        <f aca="false">IF(OR(A151="",C151=""),"",IFERROR(INDEX(Aşamalar!$B$5:$B$12,MATCH(C151,Aşamalar!$A$5:$A$12,0)),0))</f>
        <v/>
      </c>
      <c r="I151" s="17" t="str">
        <f aca="false">IF(H151="","",D151*H151)</f>
        <v/>
      </c>
      <c r="J151" s="18" t="str">
        <f aca="true">IF(AND(AND(C151&lt;&gt;"Kazanıldı",C151&lt;&gt;"Kaybedildi",C151&lt;&gt;""),F151&lt;&gt;""),IF(F151&lt;TODAY(),"Gecikti",IF(F151=TODAY(),"Bugün","")),"")</f>
        <v/>
      </c>
      <c r="K151" s="18" t="str">
        <f aca="true">IF(AND(AND(C151&lt;&gt;"Kazanıldı",C151&lt;&gt;"Kaybedildi",C151&lt;&gt;""),F151&lt;&gt;"",F151&lt;=TODAY()),F151+ROW()/1000000,"")</f>
        <v/>
      </c>
    </row>
    <row r="152" customFormat="false" ht="15" hidden="false" customHeight="false" outlineLevel="0" collapsed="false">
      <c r="A152" s="12"/>
      <c r="B152" s="13"/>
      <c r="C152" s="13"/>
      <c r="D152" s="14"/>
      <c r="E152" s="15"/>
      <c r="F152" s="15"/>
      <c r="G152" s="12"/>
      <c r="H152" s="16" t="str">
        <f aca="false">IF(OR(A152="",C152=""),"",IFERROR(INDEX(Aşamalar!$B$5:$B$12,MATCH(C152,Aşamalar!$A$5:$A$12,0)),0))</f>
        <v/>
      </c>
      <c r="I152" s="17" t="str">
        <f aca="false">IF(H152="","",D152*H152)</f>
        <v/>
      </c>
      <c r="J152" s="18" t="str">
        <f aca="true">IF(AND(AND(C152&lt;&gt;"Kazanıldı",C152&lt;&gt;"Kaybedildi",C152&lt;&gt;""),F152&lt;&gt;""),IF(F152&lt;TODAY(),"Gecikti",IF(F152=TODAY(),"Bugün","")),"")</f>
        <v/>
      </c>
      <c r="K152" s="18" t="str">
        <f aca="true">IF(AND(AND(C152&lt;&gt;"Kazanıldı",C152&lt;&gt;"Kaybedildi",C152&lt;&gt;""),F152&lt;&gt;"",F152&lt;=TODAY()),F152+ROW()/1000000,"")</f>
        <v/>
      </c>
    </row>
    <row r="153" customFormat="false" ht="15" hidden="false" customHeight="false" outlineLevel="0" collapsed="false">
      <c r="A153" s="12"/>
      <c r="B153" s="13"/>
      <c r="C153" s="13"/>
      <c r="D153" s="14"/>
      <c r="E153" s="15"/>
      <c r="F153" s="15"/>
      <c r="G153" s="12"/>
      <c r="H153" s="16" t="str">
        <f aca="false">IF(OR(A153="",C153=""),"",IFERROR(INDEX(Aşamalar!$B$5:$B$12,MATCH(C153,Aşamalar!$A$5:$A$12,0)),0))</f>
        <v/>
      </c>
      <c r="I153" s="17" t="str">
        <f aca="false">IF(H153="","",D153*H153)</f>
        <v/>
      </c>
      <c r="J153" s="18" t="str">
        <f aca="true">IF(AND(AND(C153&lt;&gt;"Kazanıldı",C153&lt;&gt;"Kaybedildi",C153&lt;&gt;""),F153&lt;&gt;""),IF(F153&lt;TODAY(),"Gecikti",IF(F153=TODAY(),"Bugün","")),"")</f>
        <v/>
      </c>
      <c r="K153" s="18" t="str">
        <f aca="true">IF(AND(AND(C153&lt;&gt;"Kazanıldı",C153&lt;&gt;"Kaybedildi",C153&lt;&gt;""),F153&lt;&gt;"",F153&lt;=TODAY()),F153+ROW()/1000000,"")</f>
        <v/>
      </c>
    </row>
    <row r="154" customFormat="false" ht="15" hidden="false" customHeight="false" outlineLevel="0" collapsed="false">
      <c r="A154" s="12"/>
      <c r="B154" s="13"/>
      <c r="C154" s="13"/>
      <c r="D154" s="14"/>
      <c r="E154" s="15"/>
      <c r="F154" s="15"/>
      <c r="G154" s="12"/>
      <c r="H154" s="16" t="str">
        <f aca="false">IF(OR(A154="",C154=""),"",IFERROR(INDEX(Aşamalar!$B$5:$B$12,MATCH(C154,Aşamalar!$A$5:$A$12,0)),0))</f>
        <v/>
      </c>
      <c r="I154" s="17" t="str">
        <f aca="false">IF(H154="","",D154*H154)</f>
        <v/>
      </c>
      <c r="J154" s="18" t="str">
        <f aca="true">IF(AND(AND(C154&lt;&gt;"Kazanıldı",C154&lt;&gt;"Kaybedildi",C154&lt;&gt;""),F154&lt;&gt;""),IF(F154&lt;TODAY(),"Gecikti",IF(F154=TODAY(),"Bugün","")),"")</f>
        <v/>
      </c>
      <c r="K154" s="18" t="str">
        <f aca="true">IF(AND(AND(C154&lt;&gt;"Kazanıldı",C154&lt;&gt;"Kaybedildi",C154&lt;&gt;""),F154&lt;&gt;"",F154&lt;=TODAY()),F154+ROW()/1000000,"")</f>
        <v/>
      </c>
    </row>
    <row r="155" customFormat="false" ht="15" hidden="false" customHeight="false" outlineLevel="0" collapsed="false">
      <c r="A155" s="12"/>
      <c r="B155" s="13"/>
      <c r="C155" s="13"/>
      <c r="D155" s="14"/>
      <c r="E155" s="15"/>
      <c r="F155" s="15"/>
      <c r="G155" s="12"/>
      <c r="H155" s="16" t="str">
        <f aca="false">IF(OR(A155="",C155=""),"",IFERROR(INDEX(Aşamalar!$B$5:$B$12,MATCH(C155,Aşamalar!$A$5:$A$12,0)),0))</f>
        <v/>
      </c>
      <c r="I155" s="17" t="str">
        <f aca="false">IF(H155="","",D155*H155)</f>
        <v/>
      </c>
      <c r="J155" s="18" t="str">
        <f aca="true">IF(AND(AND(C155&lt;&gt;"Kazanıldı",C155&lt;&gt;"Kaybedildi",C155&lt;&gt;""),F155&lt;&gt;""),IF(F155&lt;TODAY(),"Gecikti",IF(F155=TODAY(),"Bugün","")),"")</f>
        <v/>
      </c>
      <c r="K155" s="18" t="str">
        <f aca="true">IF(AND(AND(C155&lt;&gt;"Kazanıldı",C155&lt;&gt;"Kaybedildi",C155&lt;&gt;""),F155&lt;&gt;"",F155&lt;=TODAY()),F155+ROW()/1000000,"")</f>
        <v/>
      </c>
    </row>
    <row r="156" customFormat="false" ht="15" hidden="false" customHeight="false" outlineLevel="0" collapsed="false">
      <c r="A156" s="12"/>
      <c r="B156" s="13"/>
      <c r="C156" s="13"/>
      <c r="D156" s="14"/>
      <c r="E156" s="15"/>
      <c r="F156" s="15"/>
      <c r="G156" s="12"/>
      <c r="H156" s="16" t="str">
        <f aca="false">IF(OR(A156="",C156=""),"",IFERROR(INDEX(Aşamalar!$B$5:$B$12,MATCH(C156,Aşamalar!$A$5:$A$12,0)),0))</f>
        <v/>
      </c>
      <c r="I156" s="17" t="str">
        <f aca="false">IF(H156="","",D156*H156)</f>
        <v/>
      </c>
      <c r="J156" s="18" t="str">
        <f aca="true">IF(AND(AND(C156&lt;&gt;"Kazanıldı",C156&lt;&gt;"Kaybedildi",C156&lt;&gt;""),F156&lt;&gt;""),IF(F156&lt;TODAY(),"Gecikti",IF(F156=TODAY(),"Bugün","")),"")</f>
        <v/>
      </c>
      <c r="K156" s="18" t="str">
        <f aca="true">IF(AND(AND(C156&lt;&gt;"Kazanıldı",C156&lt;&gt;"Kaybedildi",C156&lt;&gt;""),F156&lt;&gt;"",F156&lt;=TODAY()),F156+ROW()/1000000,"")</f>
        <v/>
      </c>
    </row>
    <row r="157" customFormat="false" ht="15" hidden="false" customHeight="false" outlineLevel="0" collapsed="false">
      <c r="A157" s="12"/>
      <c r="B157" s="13"/>
      <c r="C157" s="13"/>
      <c r="D157" s="14"/>
      <c r="E157" s="15"/>
      <c r="F157" s="15"/>
      <c r="G157" s="12"/>
      <c r="H157" s="16" t="str">
        <f aca="false">IF(OR(A157="",C157=""),"",IFERROR(INDEX(Aşamalar!$B$5:$B$12,MATCH(C157,Aşamalar!$A$5:$A$12,0)),0))</f>
        <v/>
      </c>
      <c r="I157" s="17" t="str">
        <f aca="false">IF(H157="","",D157*H157)</f>
        <v/>
      </c>
      <c r="J157" s="18" t="str">
        <f aca="true">IF(AND(AND(C157&lt;&gt;"Kazanıldı",C157&lt;&gt;"Kaybedildi",C157&lt;&gt;""),F157&lt;&gt;""),IF(F157&lt;TODAY(),"Gecikti",IF(F157=TODAY(),"Bugün","")),"")</f>
        <v/>
      </c>
      <c r="K157" s="18" t="str">
        <f aca="true">IF(AND(AND(C157&lt;&gt;"Kazanıldı",C157&lt;&gt;"Kaybedildi",C157&lt;&gt;""),F157&lt;&gt;"",F157&lt;=TODAY()),F157+ROW()/1000000,"")</f>
        <v/>
      </c>
    </row>
    <row r="158" customFormat="false" ht="15" hidden="false" customHeight="false" outlineLevel="0" collapsed="false">
      <c r="A158" s="12"/>
      <c r="B158" s="13"/>
      <c r="C158" s="13"/>
      <c r="D158" s="14"/>
      <c r="E158" s="15"/>
      <c r="F158" s="15"/>
      <c r="G158" s="12"/>
      <c r="H158" s="16" t="str">
        <f aca="false">IF(OR(A158="",C158=""),"",IFERROR(INDEX(Aşamalar!$B$5:$B$12,MATCH(C158,Aşamalar!$A$5:$A$12,0)),0))</f>
        <v/>
      </c>
      <c r="I158" s="17" t="str">
        <f aca="false">IF(H158="","",D158*H158)</f>
        <v/>
      </c>
      <c r="J158" s="18" t="str">
        <f aca="true">IF(AND(AND(C158&lt;&gt;"Kazanıldı",C158&lt;&gt;"Kaybedildi",C158&lt;&gt;""),F158&lt;&gt;""),IF(F158&lt;TODAY(),"Gecikti",IF(F158=TODAY(),"Bugün","")),"")</f>
        <v/>
      </c>
      <c r="K158" s="18" t="str">
        <f aca="true">IF(AND(AND(C158&lt;&gt;"Kazanıldı",C158&lt;&gt;"Kaybedildi",C158&lt;&gt;""),F158&lt;&gt;"",F158&lt;=TODAY()),F158+ROW()/1000000,"")</f>
        <v/>
      </c>
    </row>
    <row r="159" customFormat="false" ht="15" hidden="false" customHeight="false" outlineLevel="0" collapsed="false">
      <c r="A159" s="12"/>
      <c r="B159" s="13"/>
      <c r="C159" s="13"/>
      <c r="D159" s="14"/>
      <c r="E159" s="15"/>
      <c r="F159" s="15"/>
      <c r="G159" s="12"/>
      <c r="H159" s="16" t="str">
        <f aca="false">IF(OR(A159="",C159=""),"",IFERROR(INDEX(Aşamalar!$B$5:$B$12,MATCH(C159,Aşamalar!$A$5:$A$12,0)),0))</f>
        <v/>
      </c>
      <c r="I159" s="17" t="str">
        <f aca="false">IF(H159="","",D159*H159)</f>
        <v/>
      </c>
      <c r="J159" s="18" t="str">
        <f aca="true">IF(AND(AND(C159&lt;&gt;"Kazanıldı",C159&lt;&gt;"Kaybedildi",C159&lt;&gt;""),F159&lt;&gt;""),IF(F159&lt;TODAY(),"Gecikti",IF(F159=TODAY(),"Bugün","")),"")</f>
        <v/>
      </c>
      <c r="K159" s="18" t="str">
        <f aca="true">IF(AND(AND(C159&lt;&gt;"Kazanıldı",C159&lt;&gt;"Kaybedildi",C159&lt;&gt;""),F159&lt;&gt;"",F159&lt;=TODAY()),F159+ROW()/1000000,"")</f>
        <v/>
      </c>
    </row>
    <row r="160" customFormat="false" ht="15" hidden="false" customHeight="false" outlineLevel="0" collapsed="false">
      <c r="A160" s="12"/>
      <c r="B160" s="13"/>
      <c r="C160" s="13"/>
      <c r="D160" s="14"/>
      <c r="E160" s="15"/>
      <c r="F160" s="15"/>
      <c r="G160" s="12"/>
      <c r="H160" s="16" t="str">
        <f aca="false">IF(OR(A160="",C160=""),"",IFERROR(INDEX(Aşamalar!$B$5:$B$12,MATCH(C160,Aşamalar!$A$5:$A$12,0)),0))</f>
        <v/>
      </c>
      <c r="I160" s="17" t="str">
        <f aca="false">IF(H160="","",D160*H160)</f>
        <v/>
      </c>
      <c r="J160" s="18" t="str">
        <f aca="true">IF(AND(AND(C160&lt;&gt;"Kazanıldı",C160&lt;&gt;"Kaybedildi",C160&lt;&gt;""),F160&lt;&gt;""),IF(F160&lt;TODAY(),"Gecikti",IF(F160=TODAY(),"Bugün","")),"")</f>
        <v/>
      </c>
      <c r="K160" s="18" t="str">
        <f aca="true">IF(AND(AND(C160&lt;&gt;"Kazanıldı",C160&lt;&gt;"Kaybedildi",C160&lt;&gt;""),F160&lt;&gt;"",F160&lt;=TODAY()),F160+ROW()/1000000,"")</f>
        <v/>
      </c>
    </row>
    <row r="161" customFormat="false" ht="15" hidden="false" customHeight="false" outlineLevel="0" collapsed="false">
      <c r="A161" s="12"/>
      <c r="B161" s="13"/>
      <c r="C161" s="13"/>
      <c r="D161" s="14"/>
      <c r="E161" s="15"/>
      <c r="F161" s="15"/>
      <c r="G161" s="12"/>
      <c r="H161" s="16" t="str">
        <f aca="false">IF(OR(A161="",C161=""),"",IFERROR(INDEX(Aşamalar!$B$5:$B$12,MATCH(C161,Aşamalar!$A$5:$A$12,0)),0))</f>
        <v/>
      </c>
      <c r="I161" s="17" t="str">
        <f aca="false">IF(H161="","",D161*H161)</f>
        <v/>
      </c>
      <c r="J161" s="18" t="str">
        <f aca="true">IF(AND(AND(C161&lt;&gt;"Kazanıldı",C161&lt;&gt;"Kaybedildi",C161&lt;&gt;""),F161&lt;&gt;""),IF(F161&lt;TODAY(),"Gecikti",IF(F161=TODAY(),"Bugün","")),"")</f>
        <v/>
      </c>
      <c r="K161" s="18" t="str">
        <f aca="true">IF(AND(AND(C161&lt;&gt;"Kazanıldı",C161&lt;&gt;"Kaybedildi",C161&lt;&gt;""),F161&lt;&gt;"",F161&lt;=TODAY()),F161+ROW()/1000000,"")</f>
        <v/>
      </c>
    </row>
    <row r="162" customFormat="false" ht="15" hidden="false" customHeight="false" outlineLevel="0" collapsed="false">
      <c r="A162" s="12"/>
      <c r="B162" s="13"/>
      <c r="C162" s="13"/>
      <c r="D162" s="14"/>
      <c r="E162" s="15"/>
      <c r="F162" s="15"/>
      <c r="G162" s="12"/>
      <c r="H162" s="16" t="str">
        <f aca="false">IF(OR(A162="",C162=""),"",IFERROR(INDEX(Aşamalar!$B$5:$B$12,MATCH(C162,Aşamalar!$A$5:$A$12,0)),0))</f>
        <v/>
      </c>
      <c r="I162" s="17" t="str">
        <f aca="false">IF(H162="","",D162*H162)</f>
        <v/>
      </c>
      <c r="J162" s="18" t="str">
        <f aca="true">IF(AND(AND(C162&lt;&gt;"Kazanıldı",C162&lt;&gt;"Kaybedildi",C162&lt;&gt;""),F162&lt;&gt;""),IF(F162&lt;TODAY(),"Gecikti",IF(F162=TODAY(),"Bugün","")),"")</f>
        <v/>
      </c>
      <c r="K162" s="18" t="str">
        <f aca="true">IF(AND(AND(C162&lt;&gt;"Kazanıldı",C162&lt;&gt;"Kaybedildi",C162&lt;&gt;""),F162&lt;&gt;"",F162&lt;=TODAY()),F162+ROW()/1000000,"")</f>
        <v/>
      </c>
    </row>
    <row r="163" customFormat="false" ht="15" hidden="false" customHeight="false" outlineLevel="0" collapsed="false">
      <c r="A163" s="12"/>
      <c r="B163" s="13"/>
      <c r="C163" s="13"/>
      <c r="D163" s="14"/>
      <c r="E163" s="15"/>
      <c r="F163" s="15"/>
      <c r="G163" s="12"/>
      <c r="H163" s="16" t="str">
        <f aca="false">IF(OR(A163="",C163=""),"",IFERROR(INDEX(Aşamalar!$B$5:$B$12,MATCH(C163,Aşamalar!$A$5:$A$12,0)),0))</f>
        <v/>
      </c>
      <c r="I163" s="17" t="str">
        <f aca="false">IF(H163="","",D163*H163)</f>
        <v/>
      </c>
      <c r="J163" s="18" t="str">
        <f aca="true">IF(AND(AND(C163&lt;&gt;"Kazanıldı",C163&lt;&gt;"Kaybedildi",C163&lt;&gt;""),F163&lt;&gt;""),IF(F163&lt;TODAY(),"Gecikti",IF(F163=TODAY(),"Bugün","")),"")</f>
        <v/>
      </c>
      <c r="K163" s="18" t="str">
        <f aca="true">IF(AND(AND(C163&lt;&gt;"Kazanıldı",C163&lt;&gt;"Kaybedildi",C163&lt;&gt;""),F163&lt;&gt;"",F163&lt;=TODAY()),F163+ROW()/1000000,"")</f>
        <v/>
      </c>
    </row>
    <row r="164" customFormat="false" ht="15" hidden="false" customHeight="false" outlineLevel="0" collapsed="false">
      <c r="A164" s="12"/>
      <c r="B164" s="13"/>
      <c r="C164" s="13"/>
      <c r="D164" s="14"/>
      <c r="E164" s="15"/>
      <c r="F164" s="15"/>
      <c r="G164" s="12"/>
      <c r="H164" s="16" t="str">
        <f aca="false">IF(OR(A164="",C164=""),"",IFERROR(INDEX(Aşamalar!$B$5:$B$12,MATCH(C164,Aşamalar!$A$5:$A$12,0)),0))</f>
        <v/>
      </c>
      <c r="I164" s="17" t="str">
        <f aca="false">IF(H164="","",D164*H164)</f>
        <v/>
      </c>
      <c r="J164" s="18" t="str">
        <f aca="true">IF(AND(AND(C164&lt;&gt;"Kazanıldı",C164&lt;&gt;"Kaybedildi",C164&lt;&gt;""),F164&lt;&gt;""),IF(F164&lt;TODAY(),"Gecikti",IF(F164=TODAY(),"Bugün","")),"")</f>
        <v/>
      </c>
      <c r="K164" s="18" t="str">
        <f aca="true">IF(AND(AND(C164&lt;&gt;"Kazanıldı",C164&lt;&gt;"Kaybedildi",C164&lt;&gt;""),F164&lt;&gt;"",F164&lt;=TODAY()),F164+ROW()/1000000,"")</f>
        <v/>
      </c>
    </row>
    <row r="165" customFormat="false" ht="15" hidden="false" customHeight="false" outlineLevel="0" collapsed="false">
      <c r="A165" s="12"/>
      <c r="B165" s="13"/>
      <c r="C165" s="13"/>
      <c r="D165" s="14"/>
      <c r="E165" s="15"/>
      <c r="F165" s="15"/>
      <c r="G165" s="12"/>
      <c r="H165" s="16" t="str">
        <f aca="false">IF(OR(A165="",C165=""),"",IFERROR(INDEX(Aşamalar!$B$5:$B$12,MATCH(C165,Aşamalar!$A$5:$A$12,0)),0))</f>
        <v/>
      </c>
      <c r="I165" s="17" t="str">
        <f aca="false">IF(H165="","",D165*H165)</f>
        <v/>
      </c>
      <c r="J165" s="18" t="str">
        <f aca="true">IF(AND(AND(C165&lt;&gt;"Kazanıldı",C165&lt;&gt;"Kaybedildi",C165&lt;&gt;""),F165&lt;&gt;""),IF(F165&lt;TODAY(),"Gecikti",IF(F165=TODAY(),"Bugün","")),"")</f>
        <v/>
      </c>
      <c r="K165" s="18" t="str">
        <f aca="true">IF(AND(AND(C165&lt;&gt;"Kazanıldı",C165&lt;&gt;"Kaybedildi",C165&lt;&gt;""),F165&lt;&gt;"",F165&lt;=TODAY()),F165+ROW()/1000000,"")</f>
        <v/>
      </c>
    </row>
    <row r="166" customFormat="false" ht="15" hidden="false" customHeight="false" outlineLevel="0" collapsed="false">
      <c r="A166" s="12"/>
      <c r="B166" s="13"/>
      <c r="C166" s="13"/>
      <c r="D166" s="14"/>
      <c r="E166" s="15"/>
      <c r="F166" s="15"/>
      <c r="G166" s="12"/>
      <c r="H166" s="16" t="str">
        <f aca="false">IF(OR(A166="",C166=""),"",IFERROR(INDEX(Aşamalar!$B$5:$B$12,MATCH(C166,Aşamalar!$A$5:$A$12,0)),0))</f>
        <v/>
      </c>
      <c r="I166" s="17" t="str">
        <f aca="false">IF(H166="","",D166*H166)</f>
        <v/>
      </c>
      <c r="J166" s="18" t="str">
        <f aca="true">IF(AND(AND(C166&lt;&gt;"Kazanıldı",C166&lt;&gt;"Kaybedildi",C166&lt;&gt;""),F166&lt;&gt;""),IF(F166&lt;TODAY(),"Gecikti",IF(F166=TODAY(),"Bugün","")),"")</f>
        <v/>
      </c>
      <c r="K166" s="18" t="str">
        <f aca="true">IF(AND(AND(C166&lt;&gt;"Kazanıldı",C166&lt;&gt;"Kaybedildi",C166&lt;&gt;""),F166&lt;&gt;"",F166&lt;=TODAY()),F166+ROW()/1000000,"")</f>
        <v/>
      </c>
    </row>
    <row r="167" customFormat="false" ht="15" hidden="false" customHeight="false" outlineLevel="0" collapsed="false">
      <c r="A167" s="12"/>
      <c r="B167" s="13"/>
      <c r="C167" s="13"/>
      <c r="D167" s="14"/>
      <c r="E167" s="15"/>
      <c r="F167" s="15"/>
      <c r="G167" s="12"/>
      <c r="H167" s="16" t="str">
        <f aca="false">IF(OR(A167="",C167=""),"",IFERROR(INDEX(Aşamalar!$B$5:$B$12,MATCH(C167,Aşamalar!$A$5:$A$12,0)),0))</f>
        <v/>
      </c>
      <c r="I167" s="17" t="str">
        <f aca="false">IF(H167="","",D167*H167)</f>
        <v/>
      </c>
      <c r="J167" s="18" t="str">
        <f aca="true">IF(AND(AND(C167&lt;&gt;"Kazanıldı",C167&lt;&gt;"Kaybedildi",C167&lt;&gt;""),F167&lt;&gt;""),IF(F167&lt;TODAY(),"Gecikti",IF(F167=TODAY(),"Bugün","")),"")</f>
        <v/>
      </c>
      <c r="K167" s="18" t="str">
        <f aca="true">IF(AND(AND(C167&lt;&gt;"Kazanıldı",C167&lt;&gt;"Kaybedildi",C167&lt;&gt;""),F167&lt;&gt;"",F167&lt;=TODAY()),F167+ROW()/1000000,"")</f>
        <v/>
      </c>
    </row>
    <row r="168" customFormat="false" ht="15" hidden="false" customHeight="false" outlineLevel="0" collapsed="false">
      <c r="A168" s="12"/>
      <c r="B168" s="13"/>
      <c r="C168" s="13"/>
      <c r="D168" s="14"/>
      <c r="E168" s="15"/>
      <c r="F168" s="15"/>
      <c r="G168" s="12"/>
      <c r="H168" s="16" t="str">
        <f aca="false">IF(OR(A168="",C168=""),"",IFERROR(INDEX(Aşamalar!$B$5:$B$12,MATCH(C168,Aşamalar!$A$5:$A$12,0)),0))</f>
        <v/>
      </c>
      <c r="I168" s="17" t="str">
        <f aca="false">IF(H168="","",D168*H168)</f>
        <v/>
      </c>
      <c r="J168" s="18" t="str">
        <f aca="true">IF(AND(AND(C168&lt;&gt;"Kazanıldı",C168&lt;&gt;"Kaybedildi",C168&lt;&gt;""),F168&lt;&gt;""),IF(F168&lt;TODAY(),"Gecikti",IF(F168=TODAY(),"Bugün","")),"")</f>
        <v/>
      </c>
      <c r="K168" s="18" t="str">
        <f aca="true">IF(AND(AND(C168&lt;&gt;"Kazanıldı",C168&lt;&gt;"Kaybedildi",C168&lt;&gt;""),F168&lt;&gt;"",F168&lt;=TODAY()),F168+ROW()/1000000,"")</f>
        <v/>
      </c>
    </row>
    <row r="169" customFormat="false" ht="15" hidden="false" customHeight="false" outlineLevel="0" collapsed="false">
      <c r="A169" s="12"/>
      <c r="B169" s="13"/>
      <c r="C169" s="13"/>
      <c r="D169" s="14"/>
      <c r="E169" s="15"/>
      <c r="F169" s="15"/>
      <c r="G169" s="12"/>
      <c r="H169" s="16" t="str">
        <f aca="false">IF(OR(A169="",C169=""),"",IFERROR(INDEX(Aşamalar!$B$5:$B$12,MATCH(C169,Aşamalar!$A$5:$A$12,0)),0))</f>
        <v/>
      </c>
      <c r="I169" s="17" t="str">
        <f aca="false">IF(H169="","",D169*H169)</f>
        <v/>
      </c>
      <c r="J169" s="18" t="str">
        <f aca="true">IF(AND(AND(C169&lt;&gt;"Kazanıldı",C169&lt;&gt;"Kaybedildi",C169&lt;&gt;""),F169&lt;&gt;""),IF(F169&lt;TODAY(),"Gecikti",IF(F169=TODAY(),"Bugün","")),"")</f>
        <v/>
      </c>
      <c r="K169" s="18" t="str">
        <f aca="true">IF(AND(AND(C169&lt;&gt;"Kazanıldı",C169&lt;&gt;"Kaybedildi",C169&lt;&gt;""),F169&lt;&gt;"",F169&lt;=TODAY()),F169+ROW()/1000000,"")</f>
        <v/>
      </c>
    </row>
    <row r="170" customFormat="false" ht="15" hidden="false" customHeight="false" outlineLevel="0" collapsed="false">
      <c r="A170" s="12"/>
      <c r="B170" s="13"/>
      <c r="C170" s="13"/>
      <c r="D170" s="14"/>
      <c r="E170" s="15"/>
      <c r="F170" s="15"/>
      <c r="G170" s="12"/>
      <c r="H170" s="16" t="str">
        <f aca="false">IF(OR(A170="",C170=""),"",IFERROR(INDEX(Aşamalar!$B$5:$B$12,MATCH(C170,Aşamalar!$A$5:$A$12,0)),0))</f>
        <v/>
      </c>
      <c r="I170" s="17" t="str">
        <f aca="false">IF(H170="","",D170*H170)</f>
        <v/>
      </c>
      <c r="J170" s="18" t="str">
        <f aca="true">IF(AND(AND(C170&lt;&gt;"Kazanıldı",C170&lt;&gt;"Kaybedildi",C170&lt;&gt;""),F170&lt;&gt;""),IF(F170&lt;TODAY(),"Gecikti",IF(F170=TODAY(),"Bugün","")),"")</f>
        <v/>
      </c>
      <c r="K170" s="18" t="str">
        <f aca="true">IF(AND(AND(C170&lt;&gt;"Kazanıldı",C170&lt;&gt;"Kaybedildi",C170&lt;&gt;""),F170&lt;&gt;"",F170&lt;=TODAY()),F170+ROW()/1000000,"")</f>
        <v/>
      </c>
    </row>
    <row r="171" customFormat="false" ht="15" hidden="false" customHeight="false" outlineLevel="0" collapsed="false">
      <c r="A171" s="12"/>
      <c r="B171" s="13"/>
      <c r="C171" s="13"/>
      <c r="D171" s="14"/>
      <c r="E171" s="15"/>
      <c r="F171" s="15"/>
      <c r="G171" s="12"/>
      <c r="H171" s="16" t="str">
        <f aca="false">IF(OR(A171="",C171=""),"",IFERROR(INDEX(Aşamalar!$B$5:$B$12,MATCH(C171,Aşamalar!$A$5:$A$12,0)),0))</f>
        <v/>
      </c>
      <c r="I171" s="17" t="str">
        <f aca="false">IF(H171="","",D171*H171)</f>
        <v/>
      </c>
      <c r="J171" s="18" t="str">
        <f aca="true">IF(AND(AND(C171&lt;&gt;"Kazanıldı",C171&lt;&gt;"Kaybedildi",C171&lt;&gt;""),F171&lt;&gt;""),IF(F171&lt;TODAY(),"Gecikti",IF(F171=TODAY(),"Bugün","")),"")</f>
        <v/>
      </c>
      <c r="K171" s="18" t="str">
        <f aca="true">IF(AND(AND(C171&lt;&gt;"Kazanıldı",C171&lt;&gt;"Kaybedildi",C171&lt;&gt;""),F171&lt;&gt;"",F171&lt;=TODAY()),F171+ROW()/1000000,"")</f>
        <v/>
      </c>
    </row>
    <row r="172" customFormat="false" ht="15" hidden="false" customHeight="false" outlineLevel="0" collapsed="false">
      <c r="A172" s="12"/>
      <c r="B172" s="13"/>
      <c r="C172" s="13"/>
      <c r="D172" s="14"/>
      <c r="E172" s="15"/>
      <c r="F172" s="15"/>
      <c r="G172" s="12"/>
      <c r="H172" s="16" t="str">
        <f aca="false">IF(OR(A172="",C172=""),"",IFERROR(INDEX(Aşamalar!$B$5:$B$12,MATCH(C172,Aşamalar!$A$5:$A$12,0)),0))</f>
        <v/>
      </c>
      <c r="I172" s="17" t="str">
        <f aca="false">IF(H172="","",D172*H172)</f>
        <v/>
      </c>
      <c r="J172" s="18" t="str">
        <f aca="true">IF(AND(AND(C172&lt;&gt;"Kazanıldı",C172&lt;&gt;"Kaybedildi",C172&lt;&gt;""),F172&lt;&gt;""),IF(F172&lt;TODAY(),"Gecikti",IF(F172=TODAY(),"Bugün","")),"")</f>
        <v/>
      </c>
      <c r="K172" s="18" t="str">
        <f aca="true">IF(AND(AND(C172&lt;&gt;"Kazanıldı",C172&lt;&gt;"Kaybedildi",C172&lt;&gt;""),F172&lt;&gt;"",F172&lt;=TODAY()),F172+ROW()/1000000,"")</f>
        <v/>
      </c>
    </row>
    <row r="173" customFormat="false" ht="15" hidden="false" customHeight="false" outlineLevel="0" collapsed="false">
      <c r="A173" s="12"/>
      <c r="B173" s="13"/>
      <c r="C173" s="13"/>
      <c r="D173" s="14"/>
      <c r="E173" s="15"/>
      <c r="F173" s="15"/>
      <c r="G173" s="12"/>
      <c r="H173" s="16" t="str">
        <f aca="false">IF(OR(A173="",C173=""),"",IFERROR(INDEX(Aşamalar!$B$5:$B$12,MATCH(C173,Aşamalar!$A$5:$A$12,0)),0))</f>
        <v/>
      </c>
      <c r="I173" s="17" t="str">
        <f aca="false">IF(H173="","",D173*H173)</f>
        <v/>
      </c>
      <c r="J173" s="18" t="str">
        <f aca="true">IF(AND(AND(C173&lt;&gt;"Kazanıldı",C173&lt;&gt;"Kaybedildi",C173&lt;&gt;""),F173&lt;&gt;""),IF(F173&lt;TODAY(),"Gecikti",IF(F173=TODAY(),"Bugün","")),"")</f>
        <v/>
      </c>
      <c r="K173" s="18" t="str">
        <f aca="true">IF(AND(AND(C173&lt;&gt;"Kazanıldı",C173&lt;&gt;"Kaybedildi",C173&lt;&gt;""),F173&lt;&gt;"",F173&lt;=TODAY()),F173+ROW()/1000000,"")</f>
        <v/>
      </c>
    </row>
    <row r="174" customFormat="false" ht="15" hidden="false" customHeight="false" outlineLevel="0" collapsed="false">
      <c r="A174" s="12"/>
      <c r="B174" s="13"/>
      <c r="C174" s="13"/>
      <c r="D174" s="14"/>
      <c r="E174" s="15"/>
      <c r="F174" s="15"/>
      <c r="G174" s="12"/>
      <c r="H174" s="16" t="str">
        <f aca="false">IF(OR(A174="",C174=""),"",IFERROR(INDEX(Aşamalar!$B$5:$B$12,MATCH(C174,Aşamalar!$A$5:$A$12,0)),0))</f>
        <v/>
      </c>
      <c r="I174" s="17" t="str">
        <f aca="false">IF(H174="","",D174*H174)</f>
        <v/>
      </c>
      <c r="J174" s="18" t="str">
        <f aca="true">IF(AND(AND(C174&lt;&gt;"Kazanıldı",C174&lt;&gt;"Kaybedildi",C174&lt;&gt;""),F174&lt;&gt;""),IF(F174&lt;TODAY(),"Gecikti",IF(F174=TODAY(),"Bugün","")),"")</f>
        <v/>
      </c>
      <c r="K174" s="18" t="str">
        <f aca="true">IF(AND(AND(C174&lt;&gt;"Kazanıldı",C174&lt;&gt;"Kaybedildi",C174&lt;&gt;""),F174&lt;&gt;"",F174&lt;=TODAY()),F174+ROW()/1000000,"")</f>
        <v/>
      </c>
    </row>
    <row r="175" customFormat="false" ht="15" hidden="false" customHeight="false" outlineLevel="0" collapsed="false">
      <c r="A175" s="12"/>
      <c r="B175" s="13"/>
      <c r="C175" s="13"/>
      <c r="D175" s="14"/>
      <c r="E175" s="15"/>
      <c r="F175" s="15"/>
      <c r="G175" s="12"/>
      <c r="H175" s="16" t="str">
        <f aca="false">IF(OR(A175="",C175=""),"",IFERROR(INDEX(Aşamalar!$B$5:$B$12,MATCH(C175,Aşamalar!$A$5:$A$12,0)),0))</f>
        <v/>
      </c>
      <c r="I175" s="17" t="str">
        <f aca="false">IF(H175="","",D175*H175)</f>
        <v/>
      </c>
      <c r="J175" s="18" t="str">
        <f aca="true">IF(AND(AND(C175&lt;&gt;"Kazanıldı",C175&lt;&gt;"Kaybedildi",C175&lt;&gt;""),F175&lt;&gt;""),IF(F175&lt;TODAY(),"Gecikti",IF(F175=TODAY(),"Bugün","")),"")</f>
        <v/>
      </c>
      <c r="K175" s="18" t="str">
        <f aca="true">IF(AND(AND(C175&lt;&gt;"Kazanıldı",C175&lt;&gt;"Kaybedildi",C175&lt;&gt;""),F175&lt;&gt;"",F175&lt;=TODAY()),F175+ROW()/1000000,"")</f>
        <v/>
      </c>
    </row>
    <row r="176" customFormat="false" ht="15" hidden="false" customHeight="false" outlineLevel="0" collapsed="false">
      <c r="A176" s="12"/>
      <c r="B176" s="13"/>
      <c r="C176" s="13"/>
      <c r="D176" s="14"/>
      <c r="E176" s="15"/>
      <c r="F176" s="15"/>
      <c r="G176" s="12"/>
      <c r="H176" s="16" t="str">
        <f aca="false">IF(OR(A176="",C176=""),"",IFERROR(INDEX(Aşamalar!$B$5:$B$12,MATCH(C176,Aşamalar!$A$5:$A$12,0)),0))</f>
        <v/>
      </c>
      <c r="I176" s="17" t="str">
        <f aca="false">IF(H176="","",D176*H176)</f>
        <v/>
      </c>
      <c r="J176" s="18" t="str">
        <f aca="true">IF(AND(AND(C176&lt;&gt;"Kazanıldı",C176&lt;&gt;"Kaybedildi",C176&lt;&gt;""),F176&lt;&gt;""),IF(F176&lt;TODAY(),"Gecikti",IF(F176=TODAY(),"Bugün","")),"")</f>
        <v/>
      </c>
      <c r="K176" s="18" t="str">
        <f aca="true">IF(AND(AND(C176&lt;&gt;"Kazanıldı",C176&lt;&gt;"Kaybedildi",C176&lt;&gt;""),F176&lt;&gt;"",F176&lt;=TODAY()),F176+ROW()/1000000,"")</f>
        <v/>
      </c>
    </row>
    <row r="177" customFormat="false" ht="15" hidden="false" customHeight="false" outlineLevel="0" collapsed="false">
      <c r="A177" s="12"/>
      <c r="B177" s="13"/>
      <c r="C177" s="13"/>
      <c r="D177" s="14"/>
      <c r="E177" s="15"/>
      <c r="F177" s="15"/>
      <c r="G177" s="12"/>
      <c r="H177" s="16" t="str">
        <f aca="false">IF(OR(A177="",C177=""),"",IFERROR(INDEX(Aşamalar!$B$5:$B$12,MATCH(C177,Aşamalar!$A$5:$A$12,0)),0))</f>
        <v/>
      </c>
      <c r="I177" s="17" t="str">
        <f aca="false">IF(H177="","",D177*H177)</f>
        <v/>
      </c>
      <c r="J177" s="18" t="str">
        <f aca="true">IF(AND(AND(C177&lt;&gt;"Kazanıldı",C177&lt;&gt;"Kaybedildi",C177&lt;&gt;""),F177&lt;&gt;""),IF(F177&lt;TODAY(),"Gecikti",IF(F177=TODAY(),"Bugün","")),"")</f>
        <v/>
      </c>
      <c r="K177" s="18" t="str">
        <f aca="true">IF(AND(AND(C177&lt;&gt;"Kazanıldı",C177&lt;&gt;"Kaybedildi",C177&lt;&gt;""),F177&lt;&gt;"",F177&lt;=TODAY()),F177+ROW()/1000000,"")</f>
        <v/>
      </c>
    </row>
    <row r="178" customFormat="false" ht="15" hidden="false" customHeight="false" outlineLevel="0" collapsed="false">
      <c r="A178" s="12"/>
      <c r="B178" s="13"/>
      <c r="C178" s="13"/>
      <c r="D178" s="14"/>
      <c r="E178" s="15"/>
      <c r="F178" s="15"/>
      <c r="G178" s="12"/>
      <c r="H178" s="16" t="str">
        <f aca="false">IF(OR(A178="",C178=""),"",IFERROR(INDEX(Aşamalar!$B$5:$B$12,MATCH(C178,Aşamalar!$A$5:$A$12,0)),0))</f>
        <v/>
      </c>
      <c r="I178" s="17" t="str">
        <f aca="false">IF(H178="","",D178*H178)</f>
        <v/>
      </c>
      <c r="J178" s="18" t="str">
        <f aca="true">IF(AND(AND(C178&lt;&gt;"Kazanıldı",C178&lt;&gt;"Kaybedildi",C178&lt;&gt;""),F178&lt;&gt;""),IF(F178&lt;TODAY(),"Gecikti",IF(F178=TODAY(),"Bugün","")),"")</f>
        <v/>
      </c>
      <c r="K178" s="18" t="str">
        <f aca="true">IF(AND(AND(C178&lt;&gt;"Kazanıldı",C178&lt;&gt;"Kaybedildi",C178&lt;&gt;""),F178&lt;&gt;"",F178&lt;=TODAY()),F178+ROW()/1000000,"")</f>
        <v/>
      </c>
    </row>
    <row r="179" customFormat="false" ht="15" hidden="false" customHeight="false" outlineLevel="0" collapsed="false">
      <c r="A179" s="12"/>
      <c r="B179" s="13"/>
      <c r="C179" s="13"/>
      <c r="D179" s="14"/>
      <c r="E179" s="15"/>
      <c r="F179" s="15"/>
      <c r="G179" s="12"/>
      <c r="H179" s="16" t="str">
        <f aca="false">IF(OR(A179="",C179=""),"",IFERROR(INDEX(Aşamalar!$B$5:$B$12,MATCH(C179,Aşamalar!$A$5:$A$12,0)),0))</f>
        <v/>
      </c>
      <c r="I179" s="17" t="str">
        <f aca="false">IF(H179="","",D179*H179)</f>
        <v/>
      </c>
      <c r="J179" s="18" t="str">
        <f aca="true">IF(AND(AND(C179&lt;&gt;"Kazanıldı",C179&lt;&gt;"Kaybedildi",C179&lt;&gt;""),F179&lt;&gt;""),IF(F179&lt;TODAY(),"Gecikti",IF(F179=TODAY(),"Bugün","")),"")</f>
        <v/>
      </c>
      <c r="K179" s="18" t="str">
        <f aca="true">IF(AND(AND(C179&lt;&gt;"Kazanıldı",C179&lt;&gt;"Kaybedildi",C179&lt;&gt;""),F179&lt;&gt;"",F179&lt;=TODAY()),F179+ROW()/1000000,"")</f>
        <v/>
      </c>
    </row>
    <row r="180" customFormat="false" ht="15" hidden="false" customHeight="false" outlineLevel="0" collapsed="false">
      <c r="A180" s="12"/>
      <c r="B180" s="13"/>
      <c r="C180" s="13"/>
      <c r="D180" s="14"/>
      <c r="E180" s="15"/>
      <c r="F180" s="15"/>
      <c r="G180" s="12"/>
      <c r="H180" s="16" t="str">
        <f aca="false">IF(OR(A180="",C180=""),"",IFERROR(INDEX(Aşamalar!$B$5:$B$12,MATCH(C180,Aşamalar!$A$5:$A$12,0)),0))</f>
        <v/>
      </c>
      <c r="I180" s="17" t="str">
        <f aca="false">IF(H180="","",D180*H180)</f>
        <v/>
      </c>
      <c r="J180" s="18" t="str">
        <f aca="true">IF(AND(AND(C180&lt;&gt;"Kazanıldı",C180&lt;&gt;"Kaybedildi",C180&lt;&gt;""),F180&lt;&gt;""),IF(F180&lt;TODAY(),"Gecikti",IF(F180=TODAY(),"Bugün","")),"")</f>
        <v/>
      </c>
      <c r="K180" s="18" t="str">
        <f aca="true">IF(AND(AND(C180&lt;&gt;"Kazanıldı",C180&lt;&gt;"Kaybedildi",C180&lt;&gt;""),F180&lt;&gt;"",F180&lt;=TODAY()),F180+ROW()/1000000,"")</f>
        <v/>
      </c>
    </row>
    <row r="181" customFormat="false" ht="15" hidden="false" customHeight="false" outlineLevel="0" collapsed="false">
      <c r="A181" s="12"/>
      <c r="B181" s="13"/>
      <c r="C181" s="13"/>
      <c r="D181" s="14"/>
      <c r="E181" s="15"/>
      <c r="F181" s="15"/>
      <c r="G181" s="12"/>
      <c r="H181" s="16" t="str">
        <f aca="false">IF(OR(A181="",C181=""),"",IFERROR(INDEX(Aşamalar!$B$5:$B$12,MATCH(C181,Aşamalar!$A$5:$A$12,0)),0))</f>
        <v/>
      </c>
      <c r="I181" s="17" t="str">
        <f aca="false">IF(H181="","",D181*H181)</f>
        <v/>
      </c>
      <c r="J181" s="18" t="str">
        <f aca="true">IF(AND(AND(C181&lt;&gt;"Kazanıldı",C181&lt;&gt;"Kaybedildi",C181&lt;&gt;""),F181&lt;&gt;""),IF(F181&lt;TODAY(),"Gecikti",IF(F181=TODAY(),"Bugün","")),"")</f>
        <v/>
      </c>
      <c r="K181" s="18" t="str">
        <f aca="true">IF(AND(AND(C181&lt;&gt;"Kazanıldı",C181&lt;&gt;"Kaybedildi",C181&lt;&gt;""),F181&lt;&gt;"",F181&lt;=TODAY()),F181+ROW()/1000000,"")</f>
        <v/>
      </c>
    </row>
    <row r="182" customFormat="false" ht="15" hidden="false" customHeight="false" outlineLevel="0" collapsed="false">
      <c r="A182" s="12"/>
      <c r="B182" s="13"/>
      <c r="C182" s="13"/>
      <c r="D182" s="14"/>
      <c r="E182" s="15"/>
      <c r="F182" s="15"/>
      <c r="G182" s="12"/>
      <c r="H182" s="16" t="str">
        <f aca="false">IF(OR(A182="",C182=""),"",IFERROR(INDEX(Aşamalar!$B$5:$B$12,MATCH(C182,Aşamalar!$A$5:$A$12,0)),0))</f>
        <v/>
      </c>
      <c r="I182" s="17" t="str">
        <f aca="false">IF(H182="","",D182*H182)</f>
        <v/>
      </c>
      <c r="J182" s="18" t="str">
        <f aca="true">IF(AND(AND(C182&lt;&gt;"Kazanıldı",C182&lt;&gt;"Kaybedildi",C182&lt;&gt;""),F182&lt;&gt;""),IF(F182&lt;TODAY(),"Gecikti",IF(F182=TODAY(),"Bugün","")),"")</f>
        <v/>
      </c>
      <c r="K182" s="18" t="str">
        <f aca="true">IF(AND(AND(C182&lt;&gt;"Kazanıldı",C182&lt;&gt;"Kaybedildi",C182&lt;&gt;""),F182&lt;&gt;"",F182&lt;=TODAY()),F182+ROW()/1000000,"")</f>
        <v/>
      </c>
    </row>
    <row r="183" customFormat="false" ht="15" hidden="false" customHeight="false" outlineLevel="0" collapsed="false">
      <c r="A183" s="12"/>
      <c r="B183" s="13"/>
      <c r="C183" s="13"/>
      <c r="D183" s="14"/>
      <c r="E183" s="15"/>
      <c r="F183" s="15"/>
      <c r="G183" s="12"/>
      <c r="H183" s="16" t="str">
        <f aca="false">IF(OR(A183="",C183=""),"",IFERROR(INDEX(Aşamalar!$B$5:$B$12,MATCH(C183,Aşamalar!$A$5:$A$12,0)),0))</f>
        <v/>
      </c>
      <c r="I183" s="17" t="str">
        <f aca="false">IF(H183="","",D183*H183)</f>
        <v/>
      </c>
      <c r="J183" s="18" t="str">
        <f aca="true">IF(AND(AND(C183&lt;&gt;"Kazanıldı",C183&lt;&gt;"Kaybedildi",C183&lt;&gt;""),F183&lt;&gt;""),IF(F183&lt;TODAY(),"Gecikti",IF(F183=TODAY(),"Bugün","")),"")</f>
        <v/>
      </c>
      <c r="K183" s="18" t="str">
        <f aca="true">IF(AND(AND(C183&lt;&gt;"Kazanıldı",C183&lt;&gt;"Kaybedildi",C183&lt;&gt;""),F183&lt;&gt;"",F183&lt;=TODAY()),F183+ROW()/1000000,"")</f>
        <v/>
      </c>
    </row>
    <row r="184" customFormat="false" ht="15" hidden="false" customHeight="false" outlineLevel="0" collapsed="false">
      <c r="A184" s="12"/>
      <c r="B184" s="13"/>
      <c r="C184" s="13"/>
      <c r="D184" s="14"/>
      <c r="E184" s="15"/>
      <c r="F184" s="15"/>
      <c r="G184" s="12"/>
      <c r="H184" s="16" t="str">
        <f aca="false">IF(OR(A184="",C184=""),"",IFERROR(INDEX(Aşamalar!$B$5:$B$12,MATCH(C184,Aşamalar!$A$5:$A$12,0)),0))</f>
        <v/>
      </c>
      <c r="I184" s="17" t="str">
        <f aca="false">IF(H184="","",D184*H184)</f>
        <v/>
      </c>
      <c r="J184" s="18" t="str">
        <f aca="true">IF(AND(AND(C184&lt;&gt;"Kazanıldı",C184&lt;&gt;"Kaybedildi",C184&lt;&gt;""),F184&lt;&gt;""),IF(F184&lt;TODAY(),"Gecikti",IF(F184=TODAY(),"Bugün","")),"")</f>
        <v/>
      </c>
      <c r="K184" s="18" t="str">
        <f aca="true">IF(AND(AND(C184&lt;&gt;"Kazanıldı",C184&lt;&gt;"Kaybedildi",C184&lt;&gt;""),F184&lt;&gt;"",F184&lt;=TODAY()),F184+ROW()/1000000,"")</f>
        <v/>
      </c>
    </row>
    <row r="185" customFormat="false" ht="15" hidden="false" customHeight="false" outlineLevel="0" collapsed="false">
      <c r="A185" s="12"/>
      <c r="B185" s="13"/>
      <c r="C185" s="13"/>
      <c r="D185" s="14"/>
      <c r="E185" s="15"/>
      <c r="F185" s="15"/>
      <c r="G185" s="12"/>
      <c r="H185" s="16" t="str">
        <f aca="false">IF(OR(A185="",C185=""),"",IFERROR(INDEX(Aşamalar!$B$5:$B$12,MATCH(C185,Aşamalar!$A$5:$A$12,0)),0))</f>
        <v/>
      </c>
      <c r="I185" s="17" t="str">
        <f aca="false">IF(H185="","",D185*H185)</f>
        <v/>
      </c>
      <c r="J185" s="18" t="str">
        <f aca="true">IF(AND(AND(C185&lt;&gt;"Kazanıldı",C185&lt;&gt;"Kaybedildi",C185&lt;&gt;""),F185&lt;&gt;""),IF(F185&lt;TODAY(),"Gecikti",IF(F185=TODAY(),"Bugün","")),"")</f>
        <v/>
      </c>
      <c r="K185" s="18" t="str">
        <f aca="true">IF(AND(AND(C185&lt;&gt;"Kazanıldı",C185&lt;&gt;"Kaybedildi",C185&lt;&gt;""),F185&lt;&gt;"",F185&lt;=TODAY()),F185+ROW()/1000000,"")</f>
        <v/>
      </c>
    </row>
    <row r="186" customFormat="false" ht="15" hidden="false" customHeight="false" outlineLevel="0" collapsed="false">
      <c r="A186" s="12"/>
      <c r="B186" s="13"/>
      <c r="C186" s="13"/>
      <c r="D186" s="14"/>
      <c r="E186" s="15"/>
      <c r="F186" s="15"/>
      <c r="G186" s="12"/>
      <c r="H186" s="16" t="str">
        <f aca="false">IF(OR(A186="",C186=""),"",IFERROR(INDEX(Aşamalar!$B$5:$B$12,MATCH(C186,Aşamalar!$A$5:$A$12,0)),0))</f>
        <v/>
      </c>
      <c r="I186" s="17" t="str">
        <f aca="false">IF(H186="","",D186*H186)</f>
        <v/>
      </c>
      <c r="J186" s="18" t="str">
        <f aca="true">IF(AND(AND(C186&lt;&gt;"Kazanıldı",C186&lt;&gt;"Kaybedildi",C186&lt;&gt;""),F186&lt;&gt;""),IF(F186&lt;TODAY(),"Gecikti",IF(F186=TODAY(),"Bugün","")),"")</f>
        <v/>
      </c>
      <c r="K186" s="18" t="str">
        <f aca="true">IF(AND(AND(C186&lt;&gt;"Kazanıldı",C186&lt;&gt;"Kaybedildi",C186&lt;&gt;""),F186&lt;&gt;"",F186&lt;=TODAY()),F186+ROW()/1000000,"")</f>
        <v/>
      </c>
    </row>
    <row r="187" customFormat="false" ht="15" hidden="false" customHeight="false" outlineLevel="0" collapsed="false">
      <c r="A187" s="12"/>
      <c r="B187" s="13"/>
      <c r="C187" s="13"/>
      <c r="D187" s="14"/>
      <c r="E187" s="15"/>
      <c r="F187" s="15"/>
      <c r="G187" s="12"/>
      <c r="H187" s="16" t="str">
        <f aca="false">IF(OR(A187="",C187=""),"",IFERROR(INDEX(Aşamalar!$B$5:$B$12,MATCH(C187,Aşamalar!$A$5:$A$12,0)),0))</f>
        <v/>
      </c>
      <c r="I187" s="17" t="str">
        <f aca="false">IF(H187="","",D187*H187)</f>
        <v/>
      </c>
      <c r="J187" s="18" t="str">
        <f aca="true">IF(AND(AND(C187&lt;&gt;"Kazanıldı",C187&lt;&gt;"Kaybedildi",C187&lt;&gt;""),F187&lt;&gt;""),IF(F187&lt;TODAY(),"Gecikti",IF(F187=TODAY(),"Bugün","")),"")</f>
        <v/>
      </c>
      <c r="K187" s="18" t="str">
        <f aca="true">IF(AND(AND(C187&lt;&gt;"Kazanıldı",C187&lt;&gt;"Kaybedildi",C187&lt;&gt;""),F187&lt;&gt;"",F187&lt;=TODAY()),F187+ROW()/1000000,"")</f>
        <v/>
      </c>
    </row>
    <row r="188" customFormat="false" ht="15" hidden="false" customHeight="false" outlineLevel="0" collapsed="false">
      <c r="A188" s="12"/>
      <c r="B188" s="13"/>
      <c r="C188" s="13"/>
      <c r="D188" s="14"/>
      <c r="E188" s="15"/>
      <c r="F188" s="15"/>
      <c r="G188" s="12"/>
      <c r="H188" s="16" t="str">
        <f aca="false">IF(OR(A188="",C188=""),"",IFERROR(INDEX(Aşamalar!$B$5:$B$12,MATCH(C188,Aşamalar!$A$5:$A$12,0)),0))</f>
        <v/>
      </c>
      <c r="I188" s="17" t="str">
        <f aca="false">IF(H188="","",D188*H188)</f>
        <v/>
      </c>
      <c r="J188" s="18" t="str">
        <f aca="true">IF(AND(AND(C188&lt;&gt;"Kazanıldı",C188&lt;&gt;"Kaybedildi",C188&lt;&gt;""),F188&lt;&gt;""),IF(F188&lt;TODAY(),"Gecikti",IF(F188=TODAY(),"Bugün","")),"")</f>
        <v/>
      </c>
      <c r="K188" s="18" t="str">
        <f aca="true">IF(AND(AND(C188&lt;&gt;"Kazanıldı",C188&lt;&gt;"Kaybedildi",C188&lt;&gt;""),F188&lt;&gt;"",F188&lt;=TODAY()),F188+ROW()/1000000,"")</f>
        <v/>
      </c>
    </row>
    <row r="189" customFormat="false" ht="15" hidden="false" customHeight="false" outlineLevel="0" collapsed="false">
      <c r="A189" s="12"/>
      <c r="B189" s="13"/>
      <c r="C189" s="13"/>
      <c r="D189" s="14"/>
      <c r="E189" s="15"/>
      <c r="F189" s="15"/>
      <c r="G189" s="12"/>
      <c r="H189" s="16" t="str">
        <f aca="false">IF(OR(A189="",C189=""),"",IFERROR(INDEX(Aşamalar!$B$5:$B$12,MATCH(C189,Aşamalar!$A$5:$A$12,0)),0))</f>
        <v/>
      </c>
      <c r="I189" s="17" t="str">
        <f aca="false">IF(H189="","",D189*H189)</f>
        <v/>
      </c>
      <c r="J189" s="18" t="str">
        <f aca="true">IF(AND(AND(C189&lt;&gt;"Kazanıldı",C189&lt;&gt;"Kaybedildi",C189&lt;&gt;""),F189&lt;&gt;""),IF(F189&lt;TODAY(),"Gecikti",IF(F189=TODAY(),"Bugün","")),"")</f>
        <v/>
      </c>
      <c r="K189" s="18" t="str">
        <f aca="true">IF(AND(AND(C189&lt;&gt;"Kazanıldı",C189&lt;&gt;"Kaybedildi",C189&lt;&gt;""),F189&lt;&gt;"",F189&lt;=TODAY()),F189+ROW()/1000000,"")</f>
        <v/>
      </c>
    </row>
    <row r="190" customFormat="false" ht="15" hidden="false" customHeight="false" outlineLevel="0" collapsed="false">
      <c r="A190" s="12"/>
      <c r="B190" s="13"/>
      <c r="C190" s="13"/>
      <c r="D190" s="14"/>
      <c r="E190" s="15"/>
      <c r="F190" s="15"/>
      <c r="G190" s="12"/>
      <c r="H190" s="16" t="str">
        <f aca="false">IF(OR(A190="",C190=""),"",IFERROR(INDEX(Aşamalar!$B$5:$B$12,MATCH(C190,Aşamalar!$A$5:$A$12,0)),0))</f>
        <v/>
      </c>
      <c r="I190" s="17" t="str">
        <f aca="false">IF(H190="","",D190*H190)</f>
        <v/>
      </c>
      <c r="J190" s="18" t="str">
        <f aca="true">IF(AND(AND(C190&lt;&gt;"Kazanıldı",C190&lt;&gt;"Kaybedildi",C190&lt;&gt;""),F190&lt;&gt;""),IF(F190&lt;TODAY(),"Gecikti",IF(F190=TODAY(),"Bugün","")),"")</f>
        <v/>
      </c>
      <c r="K190" s="18" t="str">
        <f aca="true">IF(AND(AND(C190&lt;&gt;"Kazanıldı",C190&lt;&gt;"Kaybedildi",C190&lt;&gt;""),F190&lt;&gt;"",F190&lt;=TODAY()),F190+ROW()/1000000,"")</f>
        <v/>
      </c>
    </row>
    <row r="191" customFormat="false" ht="15" hidden="false" customHeight="false" outlineLevel="0" collapsed="false">
      <c r="A191" s="12"/>
      <c r="B191" s="13"/>
      <c r="C191" s="13"/>
      <c r="D191" s="14"/>
      <c r="E191" s="15"/>
      <c r="F191" s="15"/>
      <c r="G191" s="12"/>
      <c r="H191" s="16" t="str">
        <f aca="false">IF(OR(A191="",C191=""),"",IFERROR(INDEX(Aşamalar!$B$5:$B$12,MATCH(C191,Aşamalar!$A$5:$A$12,0)),0))</f>
        <v/>
      </c>
      <c r="I191" s="17" t="str">
        <f aca="false">IF(H191="","",D191*H191)</f>
        <v/>
      </c>
      <c r="J191" s="18" t="str">
        <f aca="true">IF(AND(AND(C191&lt;&gt;"Kazanıldı",C191&lt;&gt;"Kaybedildi",C191&lt;&gt;""),F191&lt;&gt;""),IF(F191&lt;TODAY(),"Gecikti",IF(F191=TODAY(),"Bugün","")),"")</f>
        <v/>
      </c>
      <c r="K191" s="18" t="str">
        <f aca="true">IF(AND(AND(C191&lt;&gt;"Kazanıldı",C191&lt;&gt;"Kaybedildi",C191&lt;&gt;""),F191&lt;&gt;"",F191&lt;=TODAY()),F191+ROW()/1000000,"")</f>
        <v/>
      </c>
    </row>
    <row r="192" customFormat="false" ht="15" hidden="false" customHeight="false" outlineLevel="0" collapsed="false">
      <c r="A192" s="12"/>
      <c r="B192" s="13"/>
      <c r="C192" s="13"/>
      <c r="D192" s="14"/>
      <c r="E192" s="15"/>
      <c r="F192" s="15"/>
      <c r="G192" s="12"/>
      <c r="H192" s="16" t="str">
        <f aca="false">IF(OR(A192="",C192=""),"",IFERROR(INDEX(Aşamalar!$B$5:$B$12,MATCH(C192,Aşamalar!$A$5:$A$12,0)),0))</f>
        <v/>
      </c>
      <c r="I192" s="17" t="str">
        <f aca="false">IF(H192="","",D192*H192)</f>
        <v/>
      </c>
      <c r="J192" s="18" t="str">
        <f aca="true">IF(AND(AND(C192&lt;&gt;"Kazanıldı",C192&lt;&gt;"Kaybedildi",C192&lt;&gt;""),F192&lt;&gt;""),IF(F192&lt;TODAY(),"Gecikti",IF(F192=TODAY(),"Bugün","")),"")</f>
        <v/>
      </c>
      <c r="K192" s="18" t="str">
        <f aca="true">IF(AND(AND(C192&lt;&gt;"Kazanıldı",C192&lt;&gt;"Kaybedildi",C192&lt;&gt;""),F192&lt;&gt;"",F192&lt;=TODAY()),F192+ROW()/1000000,"")</f>
        <v/>
      </c>
    </row>
    <row r="193" customFormat="false" ht="15" hidden="false" customHeight="false" outlineLevel="0" collapsed="false">
      <c r="A193" s="12"/>
      <c r="B193" s="13"/>
      <c r="C193" s="13"/>
      <c r="D193" s="14"/>
      <c r="E193" s="15"/>
      <c r="F193" s="15"/>
      <c r="G193" s="12"/>
      <c r="H193" s="16" t="str">
        <f aca="false">IF(OR(A193="",C193=""),"",IFERROR(INDEX(Aşamalar!$B$5:$B$12,MATCH(C193,Aşamalar!$A$5:$A$12,0)),0))</f>
        <v/>
      </c>
      <c r="I193" s="17" t="str">
        <f aca="false">IF(H193="","",D193*H193)</f>
        <v/>
      </c>
      <c r="J193" s="18" t="str">
        <f aca="true">IF(AND(AND(C193&lt;&gt;"Kazanıldı",C193&lt;&gt;"Kaybedildi",C193&lt;&gt;""),F193&lt;&gt;""),IF(F193&lt;TODAY(),"Gecikti",IF(F193=TODAY(),"Bugün","")),"")</f>
        <v/>
      </c>
      <c r="K193" s="18" t="str">
        <f aca="true">IF(AND(AND(C193&lt;&gt;"Kazanıldı",C193&lt;&gt;"Kaybedildi",C193&lt;&gt;""),F193&lt;&gt;"",F193&lt;=TODAY()),F193+ROW()/1000000,"")</f>
        <v/>
      </c>
    </row>
    <row r="194" customFormat="false" ht="15" hidden="false" customHeight="false" outlineLevel="0" collapsed="false">
      <c r="A194" s="12"/>
      <c r="B194" s="13"/>
      <c r="C194" s="13"/>
      <c r="D194" s="14"/>
      <c r="E194" s="15"/>
      <c r="F194" s="15"/>
      <c r="G194" s="12"/>
      <c r="H194" s="16" t="str">
        <f aca="false">IF(OR(A194="",C194=""),"",IFERROR(INDEX(Aşamalar!$B$5:$B$12,MATCH(C194,Aşamalar!$A$5:$A$12,0)),0))</f>
        <v/>
      </c>
      <c r="I194" s="17" t="str">
        <f aca="false">IF(H194="","",D194*H194)</f>
        <v/>
      </c>
      <c r="J194" s="18" t="str">
        <f aca="true">IF(AND(AND(C194&lt;&gt;"Kazanıldı",C194&lt;&gt;"Kaybedildi",C194&lt;&gt;""),F194&lt;&gt;""),IF(F194&lt;TODAY(),"Gecikti",IF(F194=TODAY(),"Bugün","")),"")</f>
        <v/>
      </c>
      <c r="K194" s="18" t="str">
        <f aca="true">IF(AND(AND(C194&lt;&gt;"Kazanıldı",C194&lt;&gt;"Kaybedildi",C194&lt;&gt;""),F194&lt;&gt;"",F194&lt;=TODAY()),F194+ROW()/1000000,"")</f>
        <v/>
      </c>
    </row>
    <row r="195" customFormat="false" ht="15" hidden="false" customHeight="false" outlineLevel="0" collapsed="false">
      <c r="A195" s="12"/>
      <c r="B195" s="13"/>
      <c r="C195" s="13"/>
      <c r="D195" s="14"/>
      <c r="E195" s="15"/>
      <c r="F195" s="15"/>
      <c r="G195" s="12"/>
      <c r="H195" s="16" t="str">
        <f aca="false">IF(OR(A195="",C195=""),"",IFERROR(INDEX(Aşamalar!$B$5:$B$12,MATCH(C195,Aşamalar!$A$5:$A$12,0)),0))</f>
        <v/>
      </c>
      <c r="I195" s="17" t="str">
        <f aca="false">IF(H195="","",D195*H195)</f>
        <v/>
      </c>
      <c r="J195" s="18" t="str">
        <f aca="true">IF(AND(AND(C195&lt;&gt;"Kazanıldı",C195&lt;&gt;"Kaybedildi",C195&lt;&gt;""),F195&lt;&gt;""),IF(F195&lt;TODAY(),"Gecikti",IF(F195=TODAY(),"Bugün","")),"")</f>
        <v/>
      </c>
      <c r="K195" s="18" t="str">
        <f aca="true">IF(AND(AND(C195&lt;&gt;"Kazanıldı",C195&lt;&gt;"Kaybedildi",C195&lt;&gt;""),F195&lt;&gt;"",F195&lt;=TODAY()),F195+ROW()/1000000,"")</f>
        <v/>
      </c>
    </row>
    <row r="196" customFormat="false" ht="15" hidden="false" customHeight="false" outlineLevel="0" collapsed="false">
      <c r="A196" s="12"/>
      <c r="B196" s="13"/>
      <c r="C196" s="13"/>
      <c r="D196" s="14"/>
      <c r="E196" s="15"/>
      <c r="F196" s="15"/>
      <c r="G196" s="12"/>
      <c r="H196" s="16" t="str">
        <f aca="false">IF(OR(A196="",C196=""),"",IFERROR(INDEX(Aşamalar!$B$5:$B$12,MATCH(C196,Aşamalar!$A$5:$A$12,0)),0))</f>
        <v/>
      </c>
      <c r="I196" s="17" t="str">
        <f aca="false">IF(H196="","",D196*H196)</f>
        <v/>
      </c>
      <c r="J196" s="18" t="str">
        <f aca="true">IF(AND(AND(C196&lt;&gt;"Kazanıldı",C196&lt;&gt;"Kaybedildi",C196&lt;&gt;""),F196&lt;&gt;""),IF(F196&lt;TODAY(),"Gecikti",IF(F196=TODAY(),"Bugün","")),"")</f>
        <v/>
      </c>
      <c r="K196" s="18" t="str">
        <f aca="true">IF(AND(AND(C196&lt;&gt;"Kazanıldı",C196&lt;&gt;"Kaybedildi",C196&lt;&gt;""),F196&lt;&gt;"",F196&lt;=TODAY()),F196+ROW()/1000000,"")</f>
        <v/>
      </c>
    </row>
    <row r="197" customFormat="false" ht="15" hidden="false" customHeight="false" outlineLevel="0" collapsed="false">
      <c r="A197" s="12"/>
      <c r="B197" s="13"/>
      <c r="C197" s="13"/>
      <c r="D197" s="14"/>
      <c r="E197" s="15"/>
      <c r="F197" s="15"/>
      <c r="G197" s="12"/>
      <c r="H197" s="16" t="str">
        <f aca="false">IF(OR(A197="",C197=""),"",IFERROR(INDEX(Aşamalar!$B$5:$B$12,MATCH(C197,Aşamalar!$A$5:$A$12,0)),0))</f>
        <v/>
      </c>
      <c r="I197" s="17" t="str">
        <f aca="false">IF(H197="","",D197*H197)</f>
        <v/>
      </c>
      <c r="J197" s="18" t="str">
        <f aca="true">IF(AND(AND(C197&lt;&gt;"Kazanıldı",C197&lt;&gt;"Kaybedildi",C197&lt;&gt;""),F197&lt;&gt;""),IF(F197&lt;TODAY(),"Gecikti",IF(F197=TODAY(),"Bugün","")),"")</f>
        <v/>
      </c>
      <c r="K197" s="18" t="str">
        <f aca="true">IF(AND(AND(C197&lt;&gt;"Kazanıldı",C197&lt;&gt;"Kaybedildi",C197&lt;&gt;""),F197&lt;&gt;"",F197&lt;=TODAY()),F197+ROW()/1000000,"")</f>
        <v/>
      </c>
    </row>
    <row r="198" customFormat="false" ht="15" hidden="false" customHeight="false" outlineLevel="0" collapsed="false">
      <c r="A198" s="12"/>
      <c r="B198" s="13"/>
      <c r="C198" s="13"/>
      <c r="D198" s="14"/>
      <c r="E198" s="15"/>
      <c r="F198" s="15"/>
      <c r="G198" s="12"/>
      <c r="H198" s="16" t="str">
        <f aca="false">IF(OR(A198="",C198=""),"",IFERROR(INDEX(Aşamalar!$B$5:$B$12,MATCH(C198,Aşamalar!$A$5:$A$12,0)),0))</f>
        <v/>
      </c>
      <c r="I198" s="17" t="str">
        <f aca="false">IF(H198="","",D198*H198)</f>
        <v/>
      </c>
      <c r="J198" s="18" t="str">
        <f aca="true">IF(AND(AND(C198&lt;&gt;"Kazanıldı",C198&lt;&gt;"Kaybedildi",C198&lt;&gt;""),F198&lt;&gt;""),IF(F198&lt;TODAY(),"Gecikti",IF(F198=TODAY(),"Bugün","")),"")</f>
        <v/>
      </c>
      <c r="K198" s="18" t="str">
        <f aca="true">IF(AND(AND(C198&lt;&gt;"Kazanıldı",C198&lt;&gt;"Kaybedildi",C198&lt;&gt;""),F198&lt;&gt;"",F198&lt;=TODAY()),F198+ROW()/1000000,"")</f>
        <v/>
      </c>
    </row>
    <row r="199" customFormat="false" ht="15" hidden="false" customHeight="false" outlineLevel="0" collapsed="false">
      <c r="A199" s="12"/>
      <c r="B199" s="13"/>
      <c r="C199" s="13"/>
      <c r="D199" s="14"/>
      <c r="E199" s="15"/>
      <c r="F199" s="15"/>
      <c r="G199" s="12"/>
      <c r="H199" s="16" t="str">
        <f aca="false">IF(OR(A199="",C199=""),"",IFERROR(INDEX(Aşamalar!$B$5:$B$12,MATCH(C199,Aşamalar!$A$5:$A$12,0)),0))</f>
        <v/>
      </c>
      <c r="I199" s="17" t="str">
        <f aca="false">IF(H199="","",D199*H199)</f>
        <v/>
      </c>
      <c r="J199" s="18" t="str">
        <f aca="true">IF(AND(AND(C199&lt;&gt;"Kazanıldı",C199&lt;&gt;"Kaybedildi",C199&lt;&gt;""),F199&lt;&gt;""),IF(F199&lt;TODAY(),"Gecikti",IF(F199=TODAY(),"Bugün","")),"")</f>
        <v/>
      </c>
      <c r="K199" s="18" t="str">
        <f aca="true">IF(AND(AND(C199&lt;&gt;"Kazanıldı",C199&lt;&gt;"Kaybedildi",C199&lt;&gt;""),F199&lt;&gt;"",F199&lt;=TODAY()),F199+ROW()/1000000,"")</f>
        <v/>
      </c>
    </row>
    <row r="200" customFormat="false" ht="15" hidden="false" customHeight="false" outlineLevel="0" collapsed="false">
      <c r="A200" s="12"/>
      <c r="B200" s="13"/>
      <c r="C200" s="13"/>
      <c r="D200" s="14"/>
      <c r="E200" s="15"/>
      <c r="F200" s="15"/>
      <c r="G200" s="12"/>
      <c r="H200" s="16" t="str">
        <f aca="false">IF(OR(A200="",C200=""),"",IFERROR(INDEX(Aşamalar!$B$5:$B$12,MATCH(C200,Aşamalar!$A$5:$A$12,0)),0))</f>
        <v/>
      </c>
      <c r="I200" s="17" t="str">
        <f aca="false">IF(H200="","",D200*H200)</f>
        <v/>
      </c>
      <c r="J200" s="18" t="str">
        <f aca="true">IF(AND(AND(C200&lt;&gt;"Kazanıldı",C200&lt;&gt;"Kaybedildi",C200&lt;&gt;""),F200&lt;&gt;""),IF(F200&lt;TODAY(),"Gecikti",IF(F200=TODAY(),"Bugün","")),"")</f>
        <v/>
      </c>
      <c r="K200" s="18" t="str">
        <f aca="true">IF(AND(AND(C200&lt;&gt;"Kazanıldı",C200&lt;&gt;"Kaybedildi",C200&lt;&gt;""),F200&lt;&gt;"",F200&lt;=TODAY()),F200+ROW()/1000000,"")</f>
        <v/>
      </c>
    </row>
    <row r="201" customFormat="false" ht="15" hidden="false" customHeight="false" outlineLevel="0" collapsed="false">
      <c r="A201" s="12"/>
      <c r="B201" s="13"/>
      <c r="C201" s="13"/>
      <c r="D201" s="14"/>
      <c r="E201" s="15"/>
      <c r="F201" s="15"/>
      <c r="G201" s="12"/>
      <c r="H201" s="16" t="str">
        <f aca="false">IF(OR(A201="",C201=""),"",IFERROR(INDEX(Aşamalar!$B$5:$B$12,MATCH(C201,Aşamalar!$A$5:$A$12,0)),0))</f>
        <v/>
      </c>
      <c r="I201" s="17" t="str">
        <f aca="false">IF(H201="","",D201*H201)</f>
        <v/>
      </c>
      <c r="J201" s="18" t="str">
        <f aca="true">IF(AND(AND(C201&lt;&gt;"Kazanıldı",C201&lt;&gt;"Kaybedildi",C201&lt;&gt;""),F201&lt;&gt;""),IF(F201&lt;TODAY(),"Gecikti",IF(F201=TODAY(),"Bugün","")),"")</f>
        <v/>
      </c>
      <c r="K201" s="18" t="str">
        <f aca="true">IF(AND(AND(C201&lt;&gt;"Kazanıldı",C201&lt;&gt;"Kaybedildi",C201&lt;&gt;""),F201&lt;&gt;"",F201&lt;=TODAY()),F201+ROW()/1000000,"")</f>
        <v/>
      </c>
    </row>
    <row r="202" customFormat="false" ht="15" hidden="false" customHeight="false" outlineLevel="0" collapsed="false">
      <c r="A202" s="12"/>
      <c r="B202" s="13"/>
      <c r="C202" s="13"/>
      <c r="D202" s="14"/>
      <c r="E202" s="15"/>
      <c r="F202" s="15"/>
      <c r="G202" s="12"/>
      <c r="H202" s="16" t="str">
        <f aca="false">IF(OR(A202="",C202=""),"",IFERROR(INDEX(Aşamalar!$B$5:$B$12,MATCH(C202,Aşamalar!$A$5:$A$12,0)),0))</f>
        <v/>
      </c>
      <c r="I202" s="17" t="str">
        <f aca="false">IF(H202="","",D202*H202)</f>
        <v/>
      </c>
      <c r="J202" s="18" t="str">
        <f aca="true">IF(AND(AND(C202&lt;&gt;"Kazanıldı",C202&lt;&gt;"Kaybedildi",C202&lt;&gt;""),F202&lt;&gt;""),IF(F202&lt;TODAY(),"Gecikti",IF(F202=TODAY(),"Bugün","")),"")</f>
        <v/>
      </c>
      <c r="K202" s="18" t="str">
        <f aca="true">IF(AND(AND(C202&lt;&gt;"Kazanıldı",C202&lt;&gt;"Kaybedildi",C202&lt;&gt;""),F202&lt;&gt;"",F202&lt;=TODAY()),F202+ROW()/1000000,"")</f>
        <v/>
      </c>
    </row>
    <row r="203" customFormat="false" ht="15" hidden="false" customHeight="false" outlineLevel="0" collapsed="false">
      <c r="A203" s="12"/>
      <c r="B203" s="13"/>
      <c r="C203" s="13"/>
      <c r="D203" s="14"/>
      <c r="E203" s="15"/>
      <c r="F203" s="15"/>
      <c r="G203" s="12"/>
      <c r="H203" s="16" t="str">
        <f aca="false">IF(OR(A203="",C203=""),"",IFERROR(INDEX(Aşamalar!$B$5:$B$12,MATCH(C203,Aşamalar!$A$5:$A$12,0)),0))</f>
        <v/>
      </c>
      <c r="I203" s="17" t="str">
        <f aca="false">IF(H203="","",D203*H203)</f>
        <v/>
      </c>
      <c r="J203" s="18" t="str">
        <f aca="true">IF(AND(AND(C203&lt;&gt;"Kazanıldı",C203&lt;&gt;"Kaybedildi",C203&lt;&gt;""),F203&lt;&gt;""),IF(F203&lt;TODAY(),"Gecikti",IF(F203=TODAY(),"Bugün","")),"")</f>
        <v/>
      </c>
      <c r="K203" s="18" t="str">
        <f aca="true">IF(AND(AND(C203&lt;&gt;"Kazanıldı",C203&lt;&gt;"Kaybedildi",C203&lt;&gt;""),F203&lt;&gt;"",F203&lt;=TODAY()),F203+ROW()/1000000,"")</f>
        <v/>
      </c>
    </row>
    <row r="204" customFormat="false" ht="15" hidden="false" customHeight="false" outlineLevel="0" collapsed="false">
      <c r="A204" s="12"/>
      <c r="B204" s="13"/>
      <c r="C204" s="13"/>
      <c r="D204" s="14"/>
      <c r="E204" s="15"/>
      <c r="F204" s="15"/>
      <c r="G204" s="12"/>
      <c r="H204" s="16" t="str">
        <f aca="false">IF(OR(A204="",C204=""),"",IFERROR(INDEX(Aşamalar!$B$5:$B$12,MATCH(C204,Aşamalar!$A$5:$A$12,0)),0))</f>
        <v/>
      </c>
      <c r="I204" s="17" t="str">
        <f aca="false">IF(H204="","",D204*H204)</f>
        <v/>
      </c>
      <c r="J204" s="18" t="str">
        <f aca="true">IF(AND(AND(C204&lt;&gt;"Kazanıldı",C204&lt;&gt;"Kaybedildi",C204&lt;&gt;""),F204&lt;&gt;""),IF(F204&lt;TODAY(),"Gecikti",IF(F204=TODAY(),"Bugün","")),"")</f>
        <v/>
      </c>
      <c r="K204" s="18" t="str">
        <f aca="true">IF(AND(AND(C204&lt;&gt;"Kazanıldı",C204&lt;&gt;"Kaybedildi",C204&lt;&gt;""),F204&lt;&gt;"",F204&lt;=TODAY()),F204+ROW()/1000000,"")</f>
        <v/>
      </c>
    </row>
    <row r="205" customFormat="false" ht="15" hidden="false" customHeight="false" outlineLevel="0" collapsed="false">
      <c r="A205" s="12"/>
      <c r="B205" s="13"/>
      <c r="C205" s="13"/>
      <c r="D205" s="14"/>
      <c r="E205" s="15"/>
      <c r="F205" s="15"/>
      <c r="G205" s="12"/>
      <c r="H205" s="16" t="str">
        <f aca="false">IF(OR(A205="",C205=""),"",IFERROR(INDEX(Aşamalar!$B$5:$B$12,MATCH(C205,Aşamalar!$A$5:$A$12,0)),0))</f>
        <v/>
      </c>
      <c r="I205" s="17" t="str">
        <f aca="false">IF(H205="","",D205*H205)</f>
        <v/>
      </c>
      <c r="J205" s="18" t="str">
        <f aca="true">IF(AND(AND(C205&lt;&gt;"Kazanıldı",C205&lt;&gt;"Kaybedildi",C205&lt;&gt;""),F205&lt;&gt;""),IF(F205&lt;TODAY(),"Gecikti",IF(F205=TODAY(),"Bugün","")),"")</f>
        <v/>
      </c>
      <c r="K205" s="18" t="str">
        <f aca="true">IF(AND(AND(C205&lt;&gt;"Kazanıldı",C205&lt;&gt;"Kaybedildi",C205&lt;&gt;""),F205&lt;&gt;"",F205&lt;=TODAY()),F205+ROW()/1000000,"")</f>
        <v/>
      </c>
    </row>
    <row r="206" customFormat="false" ht="15" hidden="false" customHeight="false" outlineLevel="0" collapsed="false">
      <c r="A206" s="12"/>
      <c r="B206" s="13"/>
      <c r="C206" s="13"/>
      <c r="D206" s="14"/>
      <c r="E206" s="15"/>
      <c r="F206" s="15"/>
      <c r="G206" s="12"/>
      <c r="H206" s="16" t="str">
        <f aca="false">IF(OR(A206="",C206=""),"",IFERROR(INDEX(Aşamalar!$B$5:$B$12,MATCH(C206,Aşamalar!$A$5:$A$12,0)),0))</f>
        <v/>
      </c>
      <c r="I206" s="17" t="str">
        <f aca="false">IF(H206="","",D206*H206)</f>
        <v/>
      </c>
      <c r="J206" s="18" t="str">
        <f aca="true">IF(AND(AND(C206&lt;&gt;"Kazanıldı",C206&lt;&gt;"Kaybedildi",C206&lt;&gt;""),F206&lt;&gt;""),IF(F206&lt;TODAY(),"Gecikti",IF(F206=TODAY(),"Bugün","")),"")</f>
        <v/>
      </c>
      <c r="K206" s="18" t="str">
        <f aca="true">IF(AND(AND(C206&lt;&gt;"Kazanıldı",C206&lt;&gt;"Kaybedildi",C206&lt;&gt;""),F206&lt;&gt;"",F206&lt;=TODAY()),F206+ROW()/1000000,"")</f>
        <v/>
      </c>
    </row>
    <row r="207" customFormat="false" ht="15" hidden="false" customHeight="false" outlineLevel="0" collapsed="false">
      <c r="A207" s="12"/>
      <c r="B207" s="13"/>
      <c r="C207" s="13"/>
      <c r="D207" s="14"/>
      <c r="E207" s="15"/>
      <c r="F207" s="15"/>
      <c r="G207" s="12"/>
      <c r="H207" s="16" t="str">
        <f aca="false">IF(OR(A207="",C207=""),"",IFERROR(INDEX(Aşamalar!$B$5:$B$12,MATCH(C207,Aşamalar!$A$5:$A$12,0)),0))</f>
        <v/>
      </c>
      <c r="I207" s="17" t="str">
        <f aca="false">IF(H207="","",D207*H207)</f>
        <v/>
      </c>
      <c r="J207" s="18" t="str">
        <f aca="true">IF(AND(AND(C207&lt;&gt;"Kazanıldı",C207&lt;&gt;"Kaybedildi",C207&lt;&gt;""),F207&lt;&gt;""),IF(F207&lt;TODAY(),"Gecikti",IF(F207=TODAY(),"Bugün","")),"")</f>
        <v/>
      </c>
      <c r="K207" s="18" t="str">
        <f aca="true">IF(AND(AND(C207&lt;&gt;"Kazanıldı",C207&lt;&gt;"Kaybedildi",C207&lt;&gt;""),F207&lt;&gt;"",F207&lt;=TODAY()),F207+ROW()/1000000,"")</f>
        <v/>
      </c>
    </row>
    <row r="208" customFormat="false" ht="15" hidden="false" customHeight="false" outlineLevel="0" collapsed="false">
      <c r="A208" s="12"/>
      <c r="B208" s="13"/>
      <c r="C208" s="13"/>
      <c r="D208" s="14"/>
      <c r="E208" s="15"/>
      <c r="F208" s="15"/>
      <c r="G208" s="12"/>
      <c r="H208" s="16" t="str">
        <f aca="false">IF(OR(A208="",C208=""),"",IFERROR(INDEX(Aşamalar!$B$5:$B$12,MATCH(C208,Aşamalar!$A$5:$A$12,0)),0))</f>
        <v/>
      </c>
      <c r="I208" s="17" t="str">
        <f aca="false">IF(H208="","",D208*H208)</f>
        <v/>
      </c>
      <c r="J208" s="18" t="str">
        <f aca="true">IF(AND(AND(C208&lt;&gt;"Kazanıldı",C208&lt;&gt;"Kaybedildi",C208&lt;&gt;""),F208&lt;&gt;""),IF(F208&lt;TODAY(),"Gecikti",IF(F208=TODAY(),"Bugün","")),"")</f>
        <v/>
      </c>
      <c r="K208" s="18" t="str">
        <f aca="true">IF(AND(AND(C208&lt;&gt;"Kazanıldı",C208&lt;&gt;"Kaybedildi",C208&lt;&gt;""),F208&lt;&gt;"",F208&lt;=TODAY()),F208+ROW()/1000000,"")</f>
        <v/>
      </c>
    </row>
    <row r="209" customFormat="false" ht="15" hidden="false" customHeight="false" outlineLevel="0" collapsed="false">
      <c r="A209" s="12"/>
      <c r="B209" s="13"/>
      <c r="C209" s="13"/>
      <c r="D209" s="14"/>
      <c r="E209" s="15"/>
      <c r="F209" s="15"/>
      <c r="G209" s="12"/>
      <c r="H209" s="16" t="str">
        <f aca="false">IF(OR(A209="",C209=""),"",IFERROR(INDEX(Aşamalar!$B$5:$B$12,MATCH(C209,Aşamalar!$A$5:$A$12,0)),0))</f>
        <v/>
      </c>
      <c r="I209" s="17" t="str">
        <f aca="false">IF(H209="","",D209*H209)</f>
        <v/>
      </c>
      <c r="J209" s="18" t="str">
        <f aca="true">IF(AND(AND(C209&lt;&gt;"Kazanıldı",C209&lt;&gt;"Kaybedildi",C209&lt;&gt;""),F209&lt;&gt;""),IF(F209&lt;TODAY(),"Gecikti",IF(F209=TODAY(),"Bugün","")),"")</f>
        <v/>
      </c>
      <c r="K209" s="18" t="str">
        <f aca="true">IF(AND(AND(C209&lt;&gt;"Kazanıldı",C209&lt;&gt;"Kaybedildi",C209&lt;&gt;""),F209&lt;&gt;"",F209&lt;=TODAY()),F209+ROW()/1000000,"")</f>
        <v/>
      </c>
    </row>
    <row r="210" customFormat="false" ht="15" hidden="false" customHeight="false" outlineLevel="0" collapsed="false">
      <c r="A210" s="12"/>
      <c r="B210" s="13"/>
      <c r="C210" s="13"/>
      <c r="D210" s="14"/>
      <c r="E210" s="15"/>
      <c r="F210" s="15"/>
      <c r="G210" s="12"/>
      <c r="H210" s="16" t="str">
        <f aca="false">IF(OR(A210="",C210=""),"",IFERROR(INDEX(Aşamalar!$B$5:$B$12,MATCH(C210,Aşamalar!$A$5:$A$12,0)),0))</f>
        <v/>
      </c>
      <c r="I210" s="17" t="str">
        <f aca="false">IF(H210="","",D210*H210)</f>
        <v/>
      </c>
      <c r="J210" s="18" t="str">
        <f aca="true">IF(AND(AND(C210&lt;&gt;"Kazanıldı",C210&lt;&gt;"Kaybedildi",C210&lt;&gt;""),F210&lt;&gt;""),IF(F210&lt;TODAY(),"Gecikti",IF(F210=TODAY(),"Bugün","")),"")</f>
        <v/>
      </c>
      <c r="K210" s="18" t="str">
        <f aca="true">IF(AND(AND(C210&lt;&gt;"Kazanıldı",C210&lt;&gt;"Kaybedildi",C210&lt;&gt;""),F210&lt;&gt;"",F210&lt;=TODAY()),F210+ROW()/1000000,"")</f>
        <v/>
      </c>
    </row>
    <row r="211" customFormat="false" ht="15" hidden="false" customHeight="false" outlineLevel="0" collapsed="false">
      <c r="A211" s="12"/>
      <c r="B211" s="13"/>
      <c r="C211" s="13"/>
      <c r="D211" s="14"/>
      <c r="E211" s="15"/>
      <c r="F211" s="15"/>
      <c r="G211" s="12"/>
      <c r="H211" s="16" t="str">
        <f aca="false">IF(OR(A211="",C211=""),"",IFERROR(INDEX(Aşamalar!$B$5:$B$12,MATCH(C211,Aşamalar!$A$5:$A$12,0)),0))</f>
        <v/>
      </c>
      <c r="I211" s="17" t="str">
        <f aca="false">IF(H211="","",D211*H211)</f>
        <v/>
      </c>
      <c r="J211" s="18" t="str">
        <f aca="true">IF(AND(AND(C211&lt;&gt;"Kazanıldı",C211&lt;&gt;"Kaybedildi",C211&lt;&gt;""),F211&lt;&gt;""),IF(F211&lt;TODAY(),"Gecikti",IF(F211=TODAY(),"Bugün","")),"")</f>
        <v/>
      </c>
      <c r="K211" s="18" t="str">
        <f aca="true">IF(AND(AND(C211&lt;&gt;"Kazanıldı",C211&lt;&gt;"Kaybedildi",C211&lt;&gt;""),F211&lt;&gt;"",F211&lt;=TODAY()),F211+ROW()/1000000,"")</f>
        <v/>
      </c>
    </row>
    <row r="212" customFormat="false" ht="15" hidden="false" customHeight="false" outlineLevel="0" collapsed="false">
      <c r="A212" s="12"/>
      <c r="B212" s="13"/>
      <c r="C212" s="13"/>
      <c r="D212" s="14"/>
      <c r="E212" s="15"/>
      <c r="F212" s="15"/>
      <c r="G212" s="12"/>
      <c r="H212" s="16" t="str">
        <f aca="false">IF(OR(A212="",C212=""),"",IFERROR(INDEX(Aşamalar!$B$5:$B$12,MATCH(C212,Aşamalar!$A$5:$A$12,0)),0))</f>
        <v/>
      </c>
      <c r="I212" s="17" t="str">
        <f aca="false">IF(H212="","",D212*H212)</f>
        <v/>
      </c>
      <c r="J212" s="18" t="str">
        <f aca="true">IF(AND(AND(C212&lt;&gt;"Kazanıldı",C212&lt;&gt;"Kaybedildi",C212&lt;&gt;""),F212&lt;&gt;""),IF(F212&lt;TODAY(),"Gecikti",IF(F212=TODAY(),"Bugün","")),"")</f>
        <v/>
      </c>
      <c r="K212" s="18" t="str">
        <f aca="true">IF(AND(AND(C212&lt;&gt;"Kazanıldı",C212&lt;&gt;"Kaybedildi",C212&lt;&gt;""),F212&lt;&gt;"",F212&lt;=TODAY()),F212+ROW()/1000000,"")</f>
        <v/>
      </c>
    </row>
    <row r="213" customFormat="false" ht="15" hidden="false" customHeight="false" outlineLevel="0" collapsed="false">
      <c r="A213" s="12"/>
      <c r="B213" s="13"/>
      <c r="C213" s="13"/>
      <c r="D213" s="14"/>
      <c r="E213" s="15"/>
      <c r="F213" s="15"/>
      <c r="G213" s="12"/>
      <c r="H213" s="16" t="str">
        <f aca="false">IF(OR(A213="",C213=""),"",IFERROR(INDEX(Aşamalar!$B$5:$B$12,MATCH(C213,Aşamalar!$A$5:$A$12,0)),0))</f>
        <v/>
      </c>
      <c r="I213" s="17" t="str">
        <f aca="false">IF(H213="","",D213*H213)</f>
        <v/>
      </c>
      <c r="J213" s="18" t="str">
        <f aca="true">IF(AND(AND(C213&lt;&gt;"Kazanıldı",C213&lt;&gt;"Kaybedildi",C213&lt;&gt;""),F213&lt;&gt;""),IF(F213&lt;TODAY(),"Gecikti",IF(F213=TODAY(),"Bugün","")),"")</f>
        <v/>
      </c>
      <c r="K213" s="18" t="str">
        <f aca="true">IF(AND(AND(C213&lt;&gt;"Kazanıldı",C213&lt;&gt;"Kaybedildi",C213&lt;&gt;""),F213&lt;&gt;"",F213&lt;=TODAY()),F213+ROW()/1000000,"")</f>
        <v/>
      </c>
    </row>
    <row r="214" customFormat="false" ht="15" hidden="false" customHeight="false" outlineLevel="0" collapsed="false">
      <c r="A214" s="12"/>
      <c r="B214" s="13"/>
      <c r="C214" s="13"/>
      <c r="D214" s="14"/>
      <c r="E214" s="15"/>
      <c r="F214" s="15"/>
      <c r="G214" s="12"/>
      <c r="H214" s="16" t="str">
        <f aca="false">IF(OR(A214="",C214=""),"",IFERROR(INDEX(Aşamalar!$B$5:$B$12,MATCH(C214,Aşamalar!$A$5:$A$12,0)),0))</f>
        <v/>
      </c>
      <c r="I214" s="17" t="str">
        <f aca="false">IF(H214="","",D214*H214)</f>
        <v/>
      </c>
      <c r="J214" s="18" t="str">
        <f aca="true">IF(AND(AND(C214&lt;&gt;"Kazanıldı",C214&lt;&gt;"Kaybedildi",C214&lt;&gt;""),F214&lt;&gt;""),IF(F214&lt;TODAY(),"Gecikti",IF(F214=TODAY(),"Bugün","")),"")</f>
        <v/>
      </c>
      <c r="K214" s="18" t="str">
        <f aca="true">IF(AND(AND(C214&lt;&gt;"Kazanıldı",C214&lt;&gt;"Kaybedildi",C214&lt;&gt;""),F214&lt;&gt;"",F214&lt;=TODAY()),F214+ROW()/1000000,"")</f>
        <v/>
      </c>
    </row>
    <row r="215" customFormat="false" ht="15" hidden="false" customHeight="false" outlineLevel="0" collapsed="false">
      <c r="A215" s="12"/>
      <c r="B215" s="13"/>
      <c r="C215" s="13"/>
      <c r="D215" s="14"/>
      <c r="E215" s="15"/>
      <c r="F215" s="15"/>
      <c r="G215" s="12"/>
      <c r="H215" s="16" t="str">
        <f aca="false">IF(OR(A215="",C215=""),"",IFERROR(INDEX(Aşamalar!$B$5:$B$12,MATCH(C215,Aşamalar!$A$5:$A$12,0)),0))</f>
        <v/>
      </c>
      <c r="I215" s="17" t="str">
        <f aca="false">IF(H215="","",D215*H215)</f>
        <v/>
      </c>
      <c r="J215" s="18" t="str">
        <f aca="true">IF(AND(AND(C215&lt;&gt;"Kazanıldı",C215&lt;&gt;"Kaybedildi",C215&lt;&gt;""),F215&lt;&gt;""),IF(F215&lt;TODAY(),"Gecikti",IF(F215=TODAY(),"Bugün","")),"")</f>
        <v/>
      </c>
      <c r="K215" s="18" t="str">
        <f aca="true">IF(AND(AND(C215&lt;&gt;"Kazanıldı",C215&lt;&gt;"Kaybedildi",C215&lt;&gt;""),F215&lt;&gt;"",F215&lt;=TODAY()),F215+ROW()/1000000,"")</f>
        <v/>
      </c>
    </row>
    <row r="216" customFormat="false" ht="15" hidden="false" customHeight="false" outlineLevel="0" collapsed="false">
      <c r="A216" s="12"/>
      <c r="B216" s="13"/>
      <c r="C216" s="13"/>
      <c r="D216" s="14"/>
      <c r="E216" s="15"/>
      <c r="F216" s="15"/>
      <c r="G216" s="12"/>
      <c r="H216" s="16" t="str">
        <f aca="false">IF(OR(A216="",C216=""),"",IFERROR(INDEX(Aşamalar!$B$5:$B$12,MATCH(C216,Aşamalar!$A$5:$A$12,0)),0))</f>
        <v/>
      </c>
      <c r="I216" s="17" t="str">
        <f aca="false">IF(H216="","",D216*H216)</f>
        <v/>
      </c>
      <c r="J216" s="18" t="str">
        <f aca="true">IF(AND(AND(C216&lt;&gt;"Kazanıldı",C216&lt;&gt;"Kaybedildi",C216&lt;&gt;""),F216&lt;&gt;""),IF(F216&lt;TODAY(),"Gecikti",IF(F216=TODAY(),"Bugün","")),"")</f>
        <v/>
      </c>
      <c r="K216" s="18" t="str">
        <f aca="true">IF(AND(AND(C216&lt;&gt;"Kazanıldı",C216&lt;&gt;"Kaybedildi",C216&lt;&gt;""),F216&lt;&gt;"",F216&lt;=TODAY()),F216+ROW()/1000000,"")</f>
        <v/>
      </c>
    </row>
    <row r="217" customFormat="false" ht="15" hidden="false" customHeight="false" outlineLevel="0" collapsed="false">
      <c r="A217" s="12"/>
      <c r="B217" s="13"/>
      <c r="C217" s="13"/>
      <c r="D217" s="14"/>
      <c r="E217" s="15"/>
      <c r="F217" s="15"/>
      <c r="G217" s="12"/>
      <c r="H217" s="16" t="str">
        <f aca="false">IF(OR(A217="",C217=""),"",IFERROR(INDEX(Aşamalar!$B$5:$B$12,MATCH(C217,Aşamalar!$A$5:$A$12,0)),0))</f>
        <v/>
      </c>
      <c r="I217" s="17" t="str">
        <f aca="false">IF(H217="","",D217*H217)</f>
        <v/>
      </c>
      <c r="J217" s="18" t="str">
        <f aca="true">IF(AND(AND(C217&lt;&gt;"Kazanıldı",C217&lt;&gt;"Kaybedildi",C217&lt;&gt;""),F217&lt;&gt;""),IF(F217&lt;TODAY(),"Gecikti",IF(F217=TODAY(),"Bugün","")),"")</f>
        <v/>
      </c>
      <c r="K217" s="18" t="str">
        <f aca="true">IF(AND(AND(C217&lt;&gt;"Kazanıldı",C217&lt;&gt;"Kaybedildi",C217&lt;&gt;""),F217&lt;&gt;"",F217&lt;=TODAY()),F217+ROW()/1000000,"")</f>
        <v/>
      </c>
    </row>
    <row r="218" customFormat="false" ht="15" hidden="false" customHeight="false" outlineLevel="0" collapsed="false">
      <c r="A218" s="12"/>
      <c r="B218" s="13"/>
      <c r="C218" s="13"/>
      <c r="D218" s="14"/>
      <c r="E218" s="15"/>
      <c r="F218" s="15"/>
      <c r="G218" s="12"/>
      <c r="H218" s="16" t="str">
        <f aca="false">IF(OR(A218="",C218=""),"",IFERROR(INDEX(Aşamalar!$B$5:$B$12,MATCH(C218,Aşamalar!$A$5:$A$12,0)),0))</f>
        <v/>
      </c>
      <c r="I218" s="17" t="str">
        <f aca="false">IF(H218="","",D218*H218)</f>
        <v/>
      </c>
      <c r="J218" s="18" t="str">
        <f aca="true">IF(AND(AND(C218&lt;&gt;"Kazanıldı",C218&lt;&gt;"Kaybedildi",C218&lt;&gt;""),F218&lt;&gt;""),IF(F218&lt;TODAY(),"Gecikti",IF(F218=TODAY(),"Bugün","")),"")</f>
        <v/>
      </c>
      <c r="K218" s="18" t="str">
        <f aca="true">IF(AND(AND(C218&lt;&gt;"Kazanıldı",C218&lt;&gt;"Kaybedildi",C218&lt;&gt;""),F218&lt;&gt;"",F218&lt;=TODAY()),F218+ROW()/1000000,"")</f>
        <v/>
      </c>
    </row>
    <row r="219" customFormat="false" ht="15" hidden="false" customHeight="false" outlineLevel="0" collapsed="false">
      <c r="A219" s="12"/>
      <c r="B219" s="13"/>
      <c r="C219" s="13"/>
      <c r="D219" s="14"/>
      <c r="E219" s="15"/>
      <c r="F219" s="15"/>
      <c r="G219" s="12"/>
      <c r="H219" s="16" t="str">
        <f aca="false">IF(OR(A219="",C219=""),"",IFERROR(INDEX(Aşamalar!$B$5:$B$12,MATCH(C219,Aşamalar!$A$5:$A$12,0)),0))</f>
        <v/>
      </c>
      <c r="I219" s="17" t="str">
        <f aca="false">IF(H219="","",D219*H219)</f>
        <v/>
      </c>
      <c r="J219" s="18" t="str">
        <f aca="true">IF(AND(AND(C219&lt;&gt;"Kazanıldı",C219&lt;&gt;"Kaybedildi",C219&lt;&gt;""),F219&lt;&gt;""),IF(F219&lt;TODAY(),"Gecikti",IF(F219=TODAY(),"Bugün","")),"")</f>
        <v/>
      </c>
      <c r="K219" s="18" t="str">
        <f aca="true">IF(AND(AND(C219&lt;&gt;"Kazanıldı",C219&lt;&gt;"Kaybedildi",C219&lt;&gt;""),F219&lt;&gt;"",F219&lt;=TODAY()),F219+ROW()/1000000,"")</f>
        <v/>
      </c>
    </row>
    <row r="220" customFormat="false" ht="15" hidden="false" customHeight="false" outlineLevel="0" collapsed="false">
      <c r="A220" s="12"/>
      <c r="B220" s="13"/>
      <c r="C220" s="13"/>
      <c r="D220" s="14"/>
      <c r="E220" s="15"/>
      <c r="F220" s="15"/>
      <c r="G220" s="12"/>
      <c r="H220" s="16" t="str">
        <f aca="false">IF(OR(A220="",C220=""),"",IFERROR(INDEX(Aşamalar!$B$5:$B$12,MATCH(C220,Aşamalar!$A$5:$A$12,0)),0))</f>
        <v/>
      </c>
      <c r="I220" s="17" t="str">
        <f aca="false">IF(H220="","",D220*H220)</f>
        <v/>
      </c>
      <c r="J220" s="18" t="str">
        <f aca="true">IF(AND(AND(C220&lt;&gt;"Kazanıldı",C220&lt;&gt;"Kaybedildi",C220&lt;&gt;""),F220&lt;&gt;""),IF(F220&lt;TODAY(),"Gecikti",IF(F220=TODAY(),"Bugün","")),"")</f>
        <v/>
      </c>
      <c r="K220" s="18" t="str">
        <f aca="true">IF(AND(AND(C220&lt;&gt;"Kazanıldı",C220&lt;&gt;"Kaybedildi",C220&lt;&gt;""),F220&lt;&gt;"",F220&lt;=TODAY()),F220+ROW()/1000000,"")</f>
        <v/>
      </c>
    </row>
    <row r="221" customFormat="false" ht="15" hidden="false" customHeight="false" outlineLevel="0" collapsed="false">
      <c r="A221" s="12"/>
      <c r="B221" s="13"/>
      <c r="C221" s="13"/>
      <c r="D221" s="14"/>
      <c r="E221" s="15"/>
      <c r="F221" s="15"/>
      <c r="G221" s="12"/>
      <c r="H221" s="16" t="str">
        <f aca="false">IF(OR(A221="",C221=""),"",IFERROR(INDEX(Aşamalar!$B$5:$B$12,MATCH(C221,Aşamalar!$A$5:$A$12,0)),0))</f>
        <v/>
      </c>
      <c r="I221" s="17" t="str">
        <f aca="false">IF(H221="","",D221*H221)</f>
        <v/>
      </c>
      <c r="J221" s="18" t="str">
        <f aca="true">IF(AND(AND(C221&lt;&gt;"Kazanıldı",C221&lt;&gt;"Kaybedildi",C221&lt;&gt;""),F221&lt;&gt;""),IF(F221&lt;TODAY(),"Gecikti",IF(F221=TODAY(),"Bugün","")),"")</f>
        <v/>
      </c>
      <c r="K221" s="18" t="str">
        <f aca="true">IF(AND(AND(C221&lt;&gt;"Kazanıldı",C221&lt;&gt;"Kaybedildi",C221&lt;&gt;""),F221&lt;&gt;"",F221&lt;=TODAY()),F221+ROW()/1000000,"")</f>
        <v/>
      </c>
    </row>
    <row r="222" customFormat="false" ht="15" hidden="false" customHeight="false" outlineLevel="0" collapsed="false">
      <c r="A222" s="12"/>
      <c r="B222" s="13"/>
      <c r="C222" s="13"/>
      <c r="D222" s="14"/>
      <c r="E222" s="15"/>
      <c r="F222" s="15"/>
      <c r="G222" s="12"/>
      <c r="H222" s="16" t="str">
        <f aca="false">IF(OR(A222="",C222=""),"",IFERROR(INDEX(Aşamalar!$B$5:$B$12,MATCH(C222,Aşamalar!$A$5:$A$12,0)),0))</f>
        <v/>
      </c>
      <c r="I222" s="17" t="str">
        <f aca="false">IF(H222="","",D222*H222)</f>
        <v/>
      </c>
      <c r="J222" s="18" t="str">
        <f aca="true">IF(AND(AND(C222&lt;&gt;"Kazanıldı",C222&lt;&gt;"Kaybedildi",C222&lt;&gt;""),F222&lt;&gt;""),IF(F222&lt;TODAY(),"Gecikti",IF(F222=TODAY(),"Bugün","")),"")</f>
        <v/>
      </c>
      <c r="K222" s="18" t="str">
        <f aca="true">IF(AND(AND(C222&lt;&gt;"Kazanıldı",C222&lt;&gt;"Kaybedildi",C222&lt;&gt;""),F222&lt;&gt;"",F222&lt;=TODAY()),F222+ROW()/1000000,"")</f>
        <v/>
      </c>
    </row>
    <row r="223" customFormat="false" ht="15" hidden="false" customHeight="false" outlineLevel="0" collapsed="false">
      <c r="A223" s="12"/>
      <c r="B223" s="13"/>
      <c r="C223" s="13"/>
      <c r="D223" s="14"/>
      <c r="E223" s="15"/>
      <c r="F223" s="15"/>
      <c r="G223" s="12"/>
      <c r="H223" s="16" t="str">
        <f aca="false">IF(OR(A223="",C223=""),"",IFERROR(INDEX(Aşamalar!$B$5:$B$12,MATCH(C223,Aşamalar!$A$5:$A$12,0)),0))</f>
        <v/>
      </c>
      <c r="I223" s="17" t="str">
        <f aca="false">IF(H223="","",D223*H223)</f>
        <v/>
      </c>
      <c r="J223" s="18" t="str">
        <f aca="true">IF(AND(AND(C223&lt;&gt;"Kazanıldı",C223&lt;&gt;"Kaybedildi",C223&lt;&gt;""),F223&lt;&gt;""),IF(F223&lt;TODAY(),"Gecikti",IF(F223=TODAY(),"Bugün","")),"")</f>
        <v/>
      </c>
      <c r="K223" s="18" t="str">
        <f aca="true">IF(AND(AND(C223&lt;&gt;"Kazanıldı",C223&lt;&gt;"Kaybedildi",C223&lt;&gt;""),F223&lt;&gt;"",F223&lt;=TODAY()),F223+ROW()/1000000,"")</f>
        <v/>
      </c>
    </row>
    <row r="224" customFormat="false" ht="15" hidden="false" customHeight="false" outlineLevel="0" collapsed="false">
      <c r="A224" s="12"/>
      <c r="B224" s="13"/>
      <c r="C224" s="13"/>
      <c r="D224" s="14"/>
      <c r="E224" s="15"/>
      <c r="F224" s="15"/>
      <c r="G224" s="12"/>
      <c r="H224" s="16" t="str">
        <f aca="false">IF(OR(A224="",C224=""),"",IFERROR(INDEX(Aşamalar!$B$5:$B$12,MATCH(C224,Aşamalar!$A$5:$A$12,0)),0))</f>
        <v/>
      </c>
      <c r="I224" s="17" t="str">
        <f aca="false">IF(H224="","",D224*H224)</f>
        <v/>
      </c>
      <c r="J224" s="18" t="str">
        <f aca="true">IF(AND(AND(C224&lt;&gt;"Kazanıldı",C224&lt;&gt;"Kaybedildi",C224&lt;&gt;""),F224&lt;&gt;""),IF(F224&lt;TODAY(),"Gecikti",IF(F224=TODAY(),"Bugün","")),"")</f>
        <v/>
      </c>
      <c r="K224" s="18" t="str">
        <f aca="true">IF(AND(AND(C224&lt;&gt;"Kazanıldı",C224&lt;&gt;"Kaybedildi",C224&lt;&gt;""),F224&lt;&gt;"",F224&lt;=TODAY()),F224+ROW()/1000000,"")</f>
        <v/>
      </c>
    </row>
    <row r="225" customFormat="false" ht="15" hidden="false" customHeight="false" outlineLevel="0" collapsed="false">
      <c r="A225" s="12"/>
      <c r="B225" s="13"/>
      <c r="C225" s="13"/>
      <c r="D225" s="14"/>
      <c r="E225" s="15"/>
      <c r="F225" s="15"/>
      <c r="G225" s="12"/>
      <c r="H225" s="16" t="str">
        <f aca="false">IF(OR(A225="",C225=""),"",IFERROR(INDEX(Aşamalar!$B$5:$B$12,MATCH(C225,Aşamalar!$A$5:$A$12,0)),0))</f>
        <v/>
      </c>
      <c r="I225" s="17" t="str">
        <f aca="false">IF(H225="","",D225*H225)</f>
        <v/>
      </c>
      <c r="J225" s="18" t="str">
        <f aca="true">IF(AND(AND(C225&lt;&gt;"Kazanıldı",C225&lt;&gt;"Kaybedildi",C225&lt;&gt;""),F225&lt;&gt;""),IF(F225&lt;TODAY(),"Gecikti",IF(F225=TODAY(),"Bugün","")),"")</f>
        <v/>
      </c>
      <c r="K225" s="18" t="str">
        <f aca="true">IF(AND(AND(C225&lt;&gt;"Kazanıldı",C225&lt;&gt;"Kaybedildi",C225&lt;&gt;""),F225&lt;&gt;"",F225&lt;=TODAY()),F225+ROW()/1000000,"")</f>
        <v/>
      </c>
    </row>
    <row r="226" customFormat="false" ht="15" hidden="false" customHeight="false" outlineLevel="0" collapsed="false">
      <c r="A226" s="12"/>
      <c r="B226" s="13"/>
      <c r="C226" s="13"/>
      <c r="D226" s="14"/>
      <c r="E226" s="15"/>
      <c r="F226" s="15"/>
      <c r="G226" s="12"/>
      <c r="H226" s="16" t="str">
        <f aca="false">IF(OR(A226="",C226=""),"",IFERROR(INDEX(Aşamalar!$B$5:$B$12,MATCH(C226,Aşamalar!$A$5:$A$12,0)),0))</f>
        <v/>
      </c>
      <c r="I226" s="17" t="str">
        <f aca="false">IF(H226="","",D226*H226)</f>
        <v/>
      </c>
      <c r="J226" s="18" t="str">
        <f aca="true">IF(AND(AND(C226&lt;&gt;"Kazanıldı",C226&lt;&gt;"Kaybedildi",C226&lt;&gt;""),F226&lt;&gt;""),IF(F226&lt;TODAY(),"Gecikti",IF(F226=TODAY(),"Bugün","")),"")</f>
        <v/>
      </c>
      <c r="K226" s="18" t="str">
        <f aca="true">IF(AND(AND(C226&lt;&gt;"Kazanıldı",C226&lt;&gt;"Kaybedildi",C226&lt;&gt;""),F226&lt;&gt;"",F226&lt;=TODAY()),F226+ROW()/1000000,"")</f>
        <v/>
      </c>
    </row>
    <row r="227" customFormat="false" ht="15" hidden="false" customHeight="false" outlineLevel="0" collapsed="false">
      <c r="A227" s="12"/>
      <c r="B227" s="13"/>
      <c r="C227" s="13"/>
      <c r="D227" s="14"/>
      <c r="E227" s="15"/>
      <c r="F227" s="15"/>
      <c r="G227" s="12"/>
      <c r="H227" s="16" t="str">
        <f aca="false">IF(OR(A227="",C227=""),"",IFERROR(INDEX(Aşamalar!$B$5:$B$12,MATCH(C227,Aşamalar!$A$5:$A$12,0)),0))</f>
        <v/>
      </c>
      <c r="I227" s="17" t="str">
        <f aca="false">IF(H227="","",D227*H227)</f>
        <v/>
      </c>
      <c r="J227" s="18" t="str">
        <f aca="true">IF(AND(AND(C227&lt;&gt;"Kazanıldı",C227&lt;&gt;"Kaybedildi",C227&lt;&gt;""),F227&lt;&gt;""),IF(F227&lt;TODAY(),"Gecikti",IF(F227=TODAY(),"Bugün","")),"")</f>
        <v/>
      </c>
      <c r="K227" s="18" t="str">
        <f aca="true">IF(AND(AND(C227&lt;&gt;"Kazanıldı",C227&lt;&gt;"Kaybedildi",C227&lt;&gt;""),F227&lt;&gt;"",F227&lt;=TODAY()),F227+ROW()/1000000,"")</f>
        <v/>
      </c>
    </row>
    <row r="228" customFormat="false" ht="15" hidden="false" customHeight="false" outlineLevel="0" collapsed="false">
      <c r="A228" s="12"/>
      <c r="B228" s="13"/>
      <c r="C228" s="13"/>
      <c r="D228" s="14"/>
      <c r="E228" s="15"/>
      <c r="F228" s="15"/>
      <c r="G228" s="12"/>
      <c r="H228" s="16" t="str">
        <f aca="false">IF(OR(A228="",C228=""),"",IFERROR(INDEX(Aşamalar!$B$5:$B$12,MATCH(C228,Aşamalar!$A$5:$A$12,0)),0))</f>
        <v/>
      </c>
      <c r="I228" s="17" t="str">
        <f aca="false">IF(H228="","",D228*H228)</f>
        <v/>
      </c>
      <c r="J228" s="18" t="str">
        <f aca="true">IF(AND(AND(C228&lt;&gt;"Kazanıldı",C228&lt;&gt;"Kaybedildi",C228&lt;&gt;""),F228&lt;&gt;""),IF(F228&lt;TODAY(),"Gecikti",IF(F228=TODAY(),"Bugün","")),"")</f>
        <v/>
      </c>
      <c r="K228" s="18" t="str">
        <f aca="true">IF(AND(AND(C228&lt;&gt;"Kazanıldı",C228&lt;&gt;"Kaybedildi",C228&lt;&gt;""),F228&lt;&gt;"",F228&lt;=TODAY()),F228+ROW()/1000000,"")</f>
        <v/>
      </c>
    </row>
    <row r="229" customFormat="false" ht="15" hidden="false" customHeight="false" outlineLevel="0" collapsed="false">
      <c r="A229" s="12"/>
      <c r="B229" s="13"/>
      <c r="C229" s="13"/>
      <c r="D229" s="14"/>
      <c r="E229" s="15"/>
      <c r="F229" s="15"/>
      <c r="G229" s="12"/>
      <c r="H229" s="16" t="str">
        <f aca="false">IF(OR(A229="",C229=""),"",IFERROR(INDEX(Aşamalar!$B$5:$B$12,MATCH(C229,Aşamalar!$A$5:$A$12,0)),0))</f>
        <v/>
      </c>
      <c r="I229" s="17" t="str">
        <f aca="false">IF(H229="","",D229*H229)</f>
        <v/>
      </c>
      <c r="J229" s="18" t="str">
        <f aca="true">IF(AND(AND(C229&lt;&gt;"Kazanıldı",C229&lt;&gt;"Kaybedildi",C229&lt;&gt;""),F229&lt;&gt;""),IF(F229&lt;TODAY(),"Gecikti",IF(F229=TODAY(),"Bugün","")),"")</f>
        <v/>
      </c>
      <c r="K229" s="18" t="str">
        <f aca="true">IF(AND(AND(C229&lt;&gt;"Kazanıldı",C229&lt;&gt;"Kaybedildi",C229&lt;&gt;""),F229&lt;&gt;"",F229&lt;=TODAY()),F229+ROW()/1000000,"")</f>
        <v/>
      </c>
    </row>
    <row r="230" customFormat="false" ht="15" hidden="false" customHeight="false" outlineLevel="0" collapsed="false">
      <c r="A230" s="12"/>
      <c r="B230" s="13"/>
      <c r="C230" s="13"/>
      <c r="D230" s="14"/>
      <c r="E230" s="15"/>
      <c r="F230" s="15"/>
      <c r="G230" s="12"/>
      <c r="H230" s="16" t="str">
        <f aca="false">IF(OR(A230="",C230=""),"",IFERROR(INDEX(Aşamalar!$B$5:$B$12,MATCH(C230,Aşamalar!$A$5:$A$12,0)),0))</f>
        <v/>
      </c>
      <c r="I230" s="17" t="str">
        <f aca="false">IF(H230="","",D230*H230)</f>
        <v/>
      </c>
      <c r="J230" s="18" t="str">
        <f aca="true">IF(AND(AND(C230&lt;&gt;"Kazanıldı",C230&lt;&gt;"Kaybedildi",C230&lt;&gt;""),F230&lt;&gt;""),IF(F230&lt;TODAY(),"Gecikti",IF(F230=TODAY(),"Bugün","")),"")</f>
        <v/>
      </c>
      <c r="K230" s="18" t="str">
        <f aca="true">IF(AND(AND(C230&lt;&gt;"Kazanıldı",C230&lt;&gt;"Kaybedildi",C230&lt;&gt;""),F230&lt;&gt;"",F230&lt;=TODAY()),F230+ROW()/1000000,"")</f>
        <v/>
      </c>
    </row>
    <row r="231" customFormat="false" ht="15" hidden="false" customHeight="false" outlineLevel="0" collapsed="false">
      <c r="A231" s="12"/>
      <c r="B231" s="13"/>
      <c r="C231" s="13"/>
      <c r="D231" s="14"/>
      <c r="E231" s="15"/>
      <c r="F231" s="15"/>
      <c r="G231" s="12"/>
      <c r="H231" s="16" t="str">
        <f aca="false">IF(OR(A231="",C231=""),"",IFERROR(INDEX(Aşamalar!$B$5:$B$12,MATCH(C231,Aşamalar!$A$5:$A$12,0)),0))</f>
        <v/>
      </c>
      <c r="I231" s="17" t="str">
        <f aca="false">IF(H231="","",D231*H231)</f>
        <v/>
      </c>
      <c r="J231" s="18" t="str">
        <f aca="true">IF(AND(AND(C231&lt;&gt;"Kazanıldı",C231&lt;&gt;"Kaybedildi",C231&lt;&gt;""),F231&lt;&gt;""),IF(F231&lt;TODAY(),"Gecikti",IF(F231=TODAY(),"Bugün","")),"")</f>
        <v/>
      </c>
      <c r="K231" s="18" t="str">
        <f aca="true">IF(AND(AND(C231&lt;&gt;"Kazanıldı",C231&lt;&gt;"Kaybedildi",C231&lt;&gt;""),F231&lt;&gt;"",F231&lt;=TODAY()),F231+ROW()/1000000,"")</f>
        <v/>
      </c>
    </row>
    <row r="232" customFormat="false" ht="15" hidden="false" customHeight="false" outlineLevel="0" collapsed="false">
      <c r="A232" s="12"/>
      <c r="B232" s="13"/>
      <c r="C232" s="13"/>
      <c r="D232" s="14"/>
      <c r="E232" s="15"/>
      <c r="F232" s="15"/>
      <c r="G232" s="12"/>
      <c r="H232" s="16" t="str">
        <f aca="false">IF(OR(A232="",C232=""),"",IFERROR(INDEX(Aşamalar!$B$5:$B$12,MATCH(C232,Aşamalar!$A$5:$A$12,0)),0))</f>
        <v/>
      </c>
      <c r="I232" s="17" t="str">
        <f aca="false">IF(H232="","",D232*H232)</f>
        <v/>
      </c>
      <c r="J232" s="18" t="str">
        <f aca="true">IF(AND(AND(C232&lt;&gt;"Kazanıldı",C232&lt;&gt;"Kaybedildi",C232&lt;&gt;""),F232&lt;&gt;""),IF(F232&lt;TODAY(),"Gecikti",IF(F232=TODAY(),"Bugün","")),"")</f>
        <v/>
      </c>
      <c r="K232" s="18" t="str">
        <f aca="true">IF(AND(AND(C232&lt;&gt;"Kazanıldı",C232&lt;&gt;"Kaybedildi",C232&lt;&gt;""),F232&lt;&gt;"",F232&lt;=TODAY()),F232+ROW()/1000000,"")</f>
        <v/>
      </c>
    </row>
    <row r="233" customFormat="false" ht="15" hidden="false" customHeight="false" outlineLevel="0" collapsed="false">
      <c r="A233" s="12"/>
      <c r="B233" s="13"/>
      <c r="C233" s="13"/>
      <c r="D233" s="14"/>
      <c r="E233" s="15"/>
      <c r="F233" s="15"/>
      <c r="G233" s="12"/>
      <c r="H233" s="16" t="str">
        <f aca="false">IF(OR(A233="",C233=""),"",IFERROR(INDEX(Aşamalar!$B$5:$B$12,MATCH(C233,Aşamalar!$A$5:$A$12,0)),0))</f>
        <v/>
      </c>
      <c r="I233" s="17" t="str">
        <f aca="false">IF(H233="","",D233*H233)</f>
        <v/>
      </c>
      <c r="J233" s="18" t="str">
        <f aca="true">IF(AND(AND(C233&lt;&gt;"Kazanıldı",C233&lt;&gt;"Kaybedildi",C233&lt;&gt;""),F233&lt;&gt;""),IF(F233&lt;TODAY(),"Gecikti",IF(F233=TODAY(),"Bugün","")),"")</f>
        <v/>
      </c>
      <c r="K233" s="18" t="str">
        <f aca="true">IF(AND(AND(C233&lt;&gt;"Kazanıldı",C233&lt;&gt;"Kaybedildi",C233&lt;&gt;""),F233&lt;&gt;"",F233&lt;=TODAY()),F233+ROW()/1000000,"")</f>
        <v/>
      </c>
    </row>
    <row r="234" customFormat="false" ht="15" hidden="false" customHeight="false" outlineLevel="0" collapsed="false">
      <c r="A234" s="12"/>
      <c r="B234" s="13"/>
      <c r="C234" s="13"/>
      <c r="D234" s="14"/>
      <c r="E234" s="15"/>
      <c r="F234" s="15"/>
      <c r="G234" s="12"/>
      <c r="H234" s="16" t="str">
        <f aca="false">IF(OR(A234="",C234=""),"",IFERROR(INDEX(Aşamalar!$B$5:$B$12,MATCH(C234,Aşamalar!$A$5:$A$12,0)),0))</f>
        <v/>
      </c>
      <c r="I234" s="17" t="str">
        <f aca="false">IF(H234="","",D234*H234)</f>
        <v/>
      </c>
      <c r="J234" s="18" t="str">
        <f aca="true">IF(AND(AND(C234&lt;&gt;"Kazanıldı",C234&lt;&gt;"Kaybedildi",C234&lt;&gt;""),F234&lt;&gt;""),IF(F234&lt;TODAY(),"Gecikti",IF(F234=TODAY(),"Bugün","")),"")</f>
        <v/>
      </c>
      <c r="K234" s="18" t="str">
        <f aca="true">IF(AND(AND(C234&lt;&gt;"Kazanıldı",C234&lt;&gt;"Kaybedildi",C234&lt;&gt;""),F234&lt;&gt;"",F234&lt;=TODAY()),F234+ROW()/1000000,"")</f>
        <v/>
      </c>
    </row>
    <row r="235" customFormat="false" ht="15" hidden="false" customHeight="false" outlineLevel="0" collapsed="false">
      <c r="A235" s="12"/>
      <c r="B235" s="13"/>
      <c r="C235" s="13"/>
      <c r="D235" s="14"/>
      <c r="E235" s="15"/>
      <c r="F235" s="15"/>
      <c r="G235" s="12"/>
      <c r="H235" s="16" t="str">
        <f aca="false">IF(OR(A235="",C235=""),"",IFERROR(INDEX(Aşamalar!$B$5:$B$12,MATCH(C235,Aşamalar!$A$5:$A$12,0)),0))</f>
        <v/>
      </c>
      <c r="I235" s="17" t="str">
        <f aca="false">IF(H235="","",D235*H235)</f>
        <v/>
      </c>
      <c r="J235" s="18" t="str">
        <f aca="true">IF(AND(AND(C235&lt;&gt;"Kazanıldı",C235&lt;&gt;"Kaybedildi",C235&lt;&gt;""),F235&lt;&gt;""),IF(F235&lt;TODAY(),"Gecikti",IF(F235=TODAY(),"Bugün","")),"")</f>
        <v/>
      </c>
      <c r="K235" s="18" t="str">
        <f aca="true">IF(AND(AND(C235&lt;&gt;"Kazanıldı",C235&lt;&gt;"Kaybedildi",C235&lt;&gt;""),F235&lt;&gt;"",F235&lt;=TODAY()),F235+ROW()/1000000,"")</f>
        <v/>
      </c>
    </row>
    <row r="236" customFormat="false" ht="15" hidden="false" customHeight="false" outlineLevel="0" collapsed="false">
      <c r="A236" s="12"/>
      <c r="B236" s="13"/>
      <c r="C236" s="13"/>
      <c r="D236" s="14"/>
      <c r="E236" s="15"/>
      <c r="F236" s="15"/>
      <c r="G236" s="12"/>
      <c r="H236" s="16" t="str">
        <f aca="false">IF(OR(A236="",C236=""),"",IFERROR(INDEX(Aşamalar!$B$5:$B$12,MATCH(C236,Aşamalar!$A$5:$A$12,0)),0))</f>
        <v/>
      </c>
      <c r="I236" s="17" t="str">
        <f aca="false">IF(H236="","",D236*H236)</f>
        <v/>
      </c>
      <c r="J236" s="18" t="str">
        <f aca="true">IF(AND(AND(C236&lt;&gt;"Kazanıldı",C236&lt;&gt;"Kaybedildi",C236&lt;&gt;""),F236&lt;&gt;""),IF(F236&lt;TODAY(),"Gecikti",IF(F236=TODAY(),"Bugün","")),"")</f>
        <v/>
      </c>
      <c r="K236" s="18" t="str">
        <f aca="true">IF(AND(AND(C236&lt;&gt;"Kazanıldı",C236&lt;&gt;"Kaybedildi",C236&lt;&gt;""),F236&lt;&gt;"",F236&lt;=TODAY()),F236+ROW()/1000000,"")</f>
        <v/>
      </c>
    </row>
    <row r="237" customFormat="false" ht="15" hidden="false" customHeight="false" outlineLevel="0" collapsed="false">
      <c r="A237" s="12"/>
      <c r="B237" s="13"/>
      <c r="C237" s="13"/>
      <c r="D237" s="14"/>
      <c r="E237" s="15"/>
      <c r="F237" s="15"/>
      <c r="G237" s="12"/>
      <c r="H237" s="16" t="str">
        <f aca="false">IF(OR(A237="",C237=""),"",IFERROR(INDEX(Aşamalar!$B$5:$B$12,MATCH(C237,Aşamalar!$A$5:$A$12,0)),0))</f>
        <v/>
      </c>
      <c r="I237" s="17" t="str">
        <f aca="false">IF(H237="","",D237*H237)</f>
        <v/>
      </c>
      <c r="J237" s="18" t="str">
        <f aca="true">IF(AND(AND(C237&lt;&gt;"Kazanıldı",C237&lt;&gt;"Kaybedildi",C237&lt;&gt;""),F237&lt;&gt;""),IF(F237&lt;TODAY(),"Gecikti",IF(F237=TODAY(),"Bugün","")),"")</f>
        <v/>
      </c>
      <c r="K237" s="18" t="str">
        <f aca="true">IF(AND(AND(C237&lt;&gt;"Kazanıldı",C237&lt;&gt;"Kaybedildi",C237&lt;&gt;""),F237&lt;&gt;"",F237&lt;=TODAY()),F237+ROW()/1000000,"")</f>
        <v/>
      </c>
    </row>
    <row r="238" customFormat="false" ht="15" hidden="false" customHeight="false" outlineLevel="0" collapsed="false">
      <c r="A238" s="12"/>
      <c r="B238" s="13"/>
      <c r="C238" s="13"/>
      <c r="D238" s="14"/>
      <c r="E238" s="15"/>
      <c r="F238" s="15"/>
      <c r="G238" s="12"/>
      <c r="H238" s="16" t="str">
        <f aca="false">IF(OR(A238="",C238=""),"",IFERROR(INDEX(Aşamalar!$B$5:$B$12,MATCH(C238,Aşamalar!$A$5:$A$12,0)),0))</f>
        <v/>
      </c>
      <c r="I238" s="17" t="str">
        <f aca="false">IF(H238="","",D238*H238)</f>
        <v/>
      </c>
      <c r="J238" s="18" t="str">
        <f aca="true">IF(AND(AND(C238&lt;&gt;"Kazanıldı",C238&lt;&gt;"Kaybedildi",C238&lt;&gt;""),F238&lt;&gt;""),IF(F238&lt;TODAY(),"Gecikti",IF(F238=TODAY(),"Bugün","")),"")</f>
        <v/>
      </c>
      <c r="K238" s="18" t="str">
        <f aca="true">IF(AND(AND(C238&lt;&gt;"Kazanıldı",C238&lt;&gt;"Kaybedildi",C238&lt;&gt;""),F238&lt;&gt;"",F238&lt;=TODAY()),F238+ROW()/1000000,"")</f>
        <v/>
      </c>
    </row>
    <row r="239" customFormat="false" ht="15" hidden="false" customHeight="false" outlineLevel="0" collapsed="false">
      <c r="A239" s="12"/>
      <c r="B239" s="13"/>
      <c r="C239" s="13"/>
      <c r="D239" s="14"/>
      <c r="E239" s="15"/>
      <c r="F239" s="15"/>
      <c r="G239" s="12"/>
      <c r="H239" s="16" t="str">
        <f aca="false">IF(OR(A239="",C239=""),"",IFERROR(INDEX(Aşamalar!$B$5:$B$12,MATCH(C239,Aşamalar!$A$5:$A$12,0)),0))</f>
        <v/>
      </c>
      <c r="I239" s="17" t="str">
        <f aca="false">IF(H239="","",D239*H239)</f>
        <v/>
      </c>
      <c r="J239" s="18" t="str">
        <f aca="true">IF(AND(AND(C239&lt;&gt;"Kazanıldı",C239&lt;&gt;"Kaybedildi",C239&lt;&gt;""),F239&lt;&gt;""),IF(F239&lt;TODAY(),"Gecikti",IF(F239=TODAY(),"Bugün","")),"")</f>
        <v/>
      </c>
      <c r="K239" s="18" t="str">
        <f aca="true">IF(AND(AND(C239&lt;&gt;"Kazanıldı",C239&lt;&gt;"Kaybedildi",C239&lt;&gt;""),F239&lt;&gt;"",F239&lt;=TODAY()),F239+ROW()/1000000,"")</f>
        <v/>
      </c>
    </row>
    <row r="240" customFormat="false" ht="15" hidden="false" customHeight="false" outlineLevel="0" collapsed="false">
      <c r="A240" s="12"/>
      <c r="B240" s="13"/>
      <c r="C240" s="13"/>
      <c r="D240" s="14"/>
      <c r="E240" s="15"/>
      <c r="F240" s="15"/>
      <c r="G240" s="12"/>
      <c r="H240" s="16" t="str">
        <f aca="false">IF(OR(A240="",C240=""),"",IFERROR(INDEX(Aşamalar!$B$5:$B$12,MATCH(C240,Aşamalar!$A$5:$A$12,0)),0))</f>
        <v/>
      </c>
      <c r="I240" s="17" t="str">
        <f aca="false">IF(H240="","",D240*H240)</f>
        <v/>
      </c>
      <c r="J240" s="18" t="str">
        <f aca="true">IF(AND(AND(C240&lt;&gt;"Kazanıldı",C240&lt;&gt;"Kaybedildi",C240&lt;&gt;""),F240&lt;&gt;""),IF(F240&lt;TODAY(),"Gecikti",IF(F240=TODAY(),"Bugün","")),"")</f>
        <v/>
      </c>
      <c r="K240" s="18" t="str">
        <f aca="true">IF(AND(AND(C240&lt;&gt;"Kazanıldı",C240&lt;&gt;"Kaybedildi",C240&lt;&gt;""),F240&lt;&gt;"",F240&lt;=TODAY()),F240+ROW()/1000000,"")</f>
        <v/>
      </c>
    </row>
    <row r="241" customFormat="false" ht="15" hidden="false" customHeight="false" outlineLevel="0" collapsed="false">
      <c r="A241" s="12"/>
      <c r="B241" s="13"/>
      <c r="C241" s="13"/>
      <c r="D241" s="14"/>
      <c r="E241" s="15"/>
      <c r="F241" s="15"/>
      <c r="G241" s="12"/>
      <c r="H241" s="16" t="str">
        <f aca="false">IF(OR(A241="",C241=""),"",IFERROR(INDEX(Aşamalar!$B$5:$B$12,MATCH(C241,Aşamalar!$A$5:$A$12,0)),0))</f>
        <v/>
      </c>
      <c r="I241" s="17" t="str">
        <f aca="false">IF(H241="","",D241*H241)</f>
        <v/>
      </c>
      <c r="J241" s="18" t="str">
        <f aca="true">IF(AND(AND(C241&lt;&gt;"Kazanıldı",C241&lt;&gt;"Kaybedildi",C241&lt;&gt;""),F241&lt;&gt;""),IF(F241&lt;TODAY(),"Gecikti",IF(F241=TODAY(),"Bugün","")),"")</f>
        <v/>
      </c>
      <c r="K241" s="18" t="str">
        <f aca="true">IF(AND(AND(C241&lt;&gt;"Kazanıldı",C241&lt;&gt;"Kaybedildi",C241&lt;&gt;""),F241&lt;&gt;"",F241&lt;=TODAY()),F241+ROW()/1000000,"")</f>
        <v/>
      </c>
    </row>
    <row r="242" customFormat="false" ht="15" hidden="false" customHeight="false" outlineLevel="0" collapsed="false">
      <c r="A242" s="12"/>
      <c r="B242" s="13"/>
      <c r="C242" s="13"/>
      <c r="D242" s="14"/>
      <c r="E242" s="15"/>
      <c r="F242" s="15"/>
      <c r="G242" s="12"/>
      <c r="H242" s="16" t="str">
        <f aca="false">IF(OR(A242="",C242=""),"",IFERROR(INDEX(Aşamalar!$B$5:$B$12,MATCH(C242,Aşamalar!$A$5:$A$12,0)),0))</f>
        <v/>
      </c>
      <c r="I242" s="17" t="str">
        <f aca="false">IF(H242="","",D242*H242)</f>
        <v/>
      </c>
      <c r="J242" s="18" t="str">
        <f aca="true">IF(AND(AND(C242&lt;&gt;"Kazanıldı",C242&lt;&gt;"Kaybedildi",C242&lt;&gt;""),F242&lt;&gt;""),IF(F242&lt;TODAY(),"Gecikti",IF(F242=TODAY(),"Bugün","")),"")</f>
        <v/>
      </c>
      <c r="K242" s="18" t="str">
        <f aca="true">IF(AND(AND(C242&lt;&gt;"Kazanıldı",C242&lt;&gt;"Kaybedildi",C242&lt;&gt;""),F242&lt;&gt;"",F242&lt;=TODAY()),F242+ROW()/1000000,"")</f>
        <v/>
      </c>
    </row>
    <row r="243" customFormat="false" ht="15" hidden="false" customHeight="false" outlineLevel="0" collapsed="false">
      <c r="A243" s="12"/>
      <c r="B243" s="13"/>
      <c r="C243" s="13"/>
      <c r="D243" s="14"/>
      <c r="E243" s="15"/>
      <c r="F243" s="15"/>
      <c r="G243" s="12"/>
      <c r="H243" s="16" t="str">
        <f aca="false">IF(OR(A243="",C243=""),"",IFERROR(INDEX(Aşamalar!$B$5:$B$12,MATCH(C243,Aşamalar!$A$5:$A$12,0)),0))</f>
        <v/>
      </c>
      <c r="I243" s="17" t="str">
        <f aca="false">IF(H243="","",D243*H243)</f>
        <v/>
      </c>
      <c r="J243" s="18" t="str">
        <f aca="true">IF(AND(AND(C243&lt;&gt;"Kazanıldı",C243&lt;&gt;"Kaybedildi",C243&lt;&gt;""),F243&lt;&gt;""),IF(F243&lt;TODAY(),"Gecikti",IF(F243=TODAY(),"Bugün","")),"")</f>
        <v/>
      </c>
      <c r="K243" s="18" t="str">
        <f aca="true">IF(AND(AND(C243&lt;&gt;"Kazanıldı",C243&lt;&gt;"Kaybedildi",C243&lt;&gt;""),F243&lt;&gt;"",F243&lt;=TODAY()),F243+ROW()/1000000,"")</f>
        <v/>
      </c>
    </row>
    <row r="244" customFormat="false" ht="15" hidden="false" customHeight="false" outlineLevel="0" collapsed="false">
      <c r="A244" s="12"/>
      <c r="B244" s="13"/>
      <c r="C244" s="13"/>
      <c r="D244" s="14"/>
      <c r="E244" s="15"/>
      <c r="F244" s="15"/>
      <c r="G244" s="12"/>
      <c r="H244" s="16" t="str">
        <f aca="false">IF(OR(A244="",C244=""),"",IFERROR(INDEX(Aşamalar!$B$5:$B$12,MATCH(C244,Aşamalar!$A$5:$A$12,0)),0))</f>
        <v/>
      </c>
      <c r="I244" s="17" t="str">
        <f aca="false">IF(H244="","",D244*H244)</f>
        <v/>
      </c>
      <c r="J244" s="18" t="str">
        <f aca="true">IF(AND(AND(C244&lt;&gt;"Kazanıldı",C244&lt;&gt;"Kaybedildi",C244&lt;&gt;""),F244&lt;&gt;""),IF(F244&lt;TODAY(),"Gecikti",IF(F244=TODAY(),"Bugün","")),"")</f>
        <v/>
      </c>
      <c r="K244" s="18" t="str">
        <f aca="true">IF(AND(AND(C244&lt;&gt;"Kazanıldı",C244&lt;&gt;"Kaybedildi",C244&lt;&gt;""),F244&lt;&gt;"",F244&lt;=TODAY()),F244+ROW()/1000000,"")</f>
        <v/>
      </c>
    </row>
    <row r="245" customFormat="false" ht="15" hidden="false" customHeight="false" outlineLevel="0" collapsed="false">
      <c r="A245" s="12"/>
      <c r="B245" s="13"/>
      <c r="C245" s="13"/>
      <c r="D245" s="14"/>
      <c r="E245" s="15"/>
      <c r="F245" s="15"/>
      <c r="G245" s="12"/>
      <c r="H245" s="16" t="str">
        <f aca="false">IF(OR(A245="",C245=""),"",IFERROR(INDEX(Aşamalar!$B$5:$B$12,MATCH(C245,Aşamalar!$A$5:$A$12,0)),0))</f>
        <v/>
      </c>
      <c r="I245" s="17" t="str">
        <f aca="false">IF(H245="","",D245*H245)</f>
        <v/>
      </c>
      <c r="J245" s="18" t="str">
        <f aca="true">IF(AND(AND(C245&lt;&gt;"Kazanıldı",C245&lt;&gt;"Kaybedildi",C245&lt;&gt;""),F245&lt;&gt;""),IF(F245&lt;TODAY(),"Gecikti",IF(F245=TODAY(),"Bugün","")),"")</f>
        <v/>
      </c>
      <c r="K245" s="18" t="str">
        <f aca="true">IF(AND(AND(C245&lt;&gt;"Kazanıldı",C245&lt;&gt;"Kaybedildi",C245&lt;&gt;""),F245&lt;&gt;"",F245&lt;=TODAY()),F245+ROW()/1000000,"")</f>
        <v/>
      </c>
    </row>
    <row r="246" customFormat="false" ht="15" hidden="false" customHeight="false" outlineLevel="0" collapsed="false">
      <c r="A246" s="12"/>
      <c r="B246" s="13"/>
      <c r="C246" s="13"/>
      <c r="D246" s="14"/>
      <c r="E246" s="15"/>
      <c r="F246" s="15"/>
      <c r="G246" s="12"/>
      <c r="H246" s="16" t="str">
        <f aca="false">IF(OR(A246="",C246=""),"",IFERROR(INDEX(Aşamalar!$B$5:$B$12,MATCH(C246,Aşamalar!$A$5:$A$12,0)),0))</f>
        <v/>
      </c>
      <c r="I246" s="17" t="str">
        <f aca="false">IF(H246="","",D246*H246)</f>
        <v/>
      </c>
      <c r="J246" s="18" t="str">
        <f aca="true">IF(AND(AND(C246&lt;&gt;"Kazanıldı",C246&lt;&gt;"Kaybedildi",C246&lt;&gt;""),F246&lt;&gt;""),IF(F246&lt;TODAY(),"Gecikti",IF(F246=TODAY(),"Bugün","")),"")</f>
        <v/>
      </c>
      <c r="K246" s="18" t="str">
        <f aca="true">IF(AND(AND(C246&lt;&gt;"Kazanıldı",C246&lt;&gt;"Kaybedildi",C246&lt;&gt;""),F246&lt;&gt;"",F246&lt;=TODAY()),F246+ROW()/1000000,"")</f>
        <v/>
      </c>
    </row>
    <row r="247" customFormat="false" ht="15" hidden="false" customHeight="false" outlineLevel="0" collapsed="false">
      <c r="A247" s="12"/>
      <c r="B247" s="13"/>
      <c r="C247" s="13"/>
      <c r="D247" s="14"/>
      <c r="E247" s="15"/>
      <c r="F247" s="15"/>
      <c r="G247" s="12"/>
      <c r="H247" s="16" t="str">
        <f aca="false">IF(OR(A247="",C247=""),"",IFERROR(INDEX(Aşamalar!$B$5:$B$12,MATCH(C247,Aşamalar!$A$5:$A$12,0)),0))</f>
        <v/>
      </c>
      <c r="I247" s="17" t="str">
        <f aca="false">IF(H247="","",D247*H247)</f>
        <v/>
      </c>
      <c r="J247" s="18" t="str">
        <f aca="true">IF(AND(AND(C247&lt;&gt;"Kazanıldı",C247&lt;&gt;"Kaybedildi",C247&lt;&gt;""),F247&lt;&gt;""),IF(F247&lt;TODAY(),"Gecikti",IF(F247=TODAY(),"Bugün","")),"")</f>
        <v/>
      </c>
      <c r="K247" s="18" t="str">
        <f aca="true">IF(AND(AND(C247&lt;&gt;"Kazanıldı",C247&lt;&gt;"Kaybedildi",C247&lt;&gt;""),F247&lt;&gt;"",F247&lt;=TODAY()),F247+ROW()/1000000,"")</f>
        <v/>
      </c>
    </row>
    <row r="248" customFormat="false" ht="15" hidden="false" customHeight="false" outlineLevel="0" collapsed="false">
      <c r="A248" s="12"/>
      <c r="B248" s="13"/>
      <c r="C248" s="13"/>
      <c r="D248" s="14"/>
      <c r="E248" s="15"/>
      <c r="F248" s="15"/>
      <c r="G248" s="12"/>
      <c r="H248" s="16" t="str">
        <f aca="false">IF(OR(A248="",C248=""),"",IFERROR(INDEX(Aşamalar!$B$5:$B$12,MATCH(C248,Aşamalar!$A$5:$A$12,0)),0))</f>
        <v/>
      </c>
      <c r="I248" s="17" t="str">
        <f aca="false">IF(H248="","",D248*H248)</f>
        <v/>
      </c>
      <c r="J248" s="18" t="str">
        <f aca="true">IF(AND(AND(C248&lt;&gt;"Kazanıldı",C248&lt;&gt;"Kaybedildi",C248&lt;&gt;""),F248&lt;&gt;""),IF(F248&lt;TODAY(),"Gecikti",IF(F248=TODAY(),"Bugün","")),"")</f>
        <v/>
      </c>
      <c r="K248" s="18" t="str">
        <f aca="true">IF(AND(AND(C248&lt;&gt;"Kazanıldı",C248&lt;&gt;"Kaybedildi",C248&lt;&gt;""),F248&lt;&gt;"",F248&lt;=TODAY()),F248+ROW()/1000000,"")</f>
        <v/>
      </c>
    </row>
    <row r="249" customFormat="false" ht="15" hidden="false" customHeight="false" outlineLevel="0" collapsed="false">
      <c r="A249" s="12"/>
      <c r="B249" s="13"/>
      <c r="C249" s="13"/>
      <c r="D249" s="14"/>
      <c r="E249" s="15"/>
      <c r="F249" s="15"/>
      <c r="G249" s="12"/>
      <c r="H249" s="16" t="str">
        <f aca="false">IF(OR(A249="",C249=""),"",IFERROR(INDEX(Aşamalar!$B$5:$B$12,MATCH(C249,Aşamalar!$A$5:$A$12,0)),0))</f>
        <v/>
      </c>
      <c r="I249" s="17" t="str">
        <f aca="false">IF(H249="","",D249*H249)</f>
        <v/>
      </c>
      <c r="J249" s="18" t="str">
        <f aca="true">IF(AND(AND(C249&lt;&gt;"Kazanıldı",C249&lt;&gt;"Kaybedildi",C249&lt;&gt;""),F249&lt;&gt;""),IF(F249&lt;TODAY(),"Gecikti",IF(F249=TODAY(),"Bugün","")),"")</f>
        <v/>
      </c>
      <c r="K249" s="18" t="str">
        <f aca="true">IF(AND(AND(C249&lt;&gt;"Kazanıldı",C249&lt;&gt;"Kaybedildi",C249&lt;&gt;""),F249&lt;&gt;"",F249&lt;=TODAY()),F249+ROW()/1000000,"")</f>
        <v/>
      </c>
    </row>
    <row r="250" customFormat="false" ht="15" hidden="false" customHeight="false" outlineLevel="0" collapsed="false">
      <c r="A250" s="12"/>
      <c r="B250" s="13"/>
      <c r="C250" s="13"/>
      <c r="D250" s="14"/>
      <c r="E250" s="15"/>
      <c r="F250" s="15"/>
      <c r="G250" s="12"/>
      <c r="H250" s="16" t="str">
        <f aca="false">IF(OR(A250="",C250=""),"",IFERROR(INDEX(Aşamalar!$B$5:$B$12,MATCH(C250,Aşamalar!$A$5:$A$12,0)),0))</f>
        <v/>
      </c>
      <c r="I250" s="17" t="str">
        <f aca="false">IF(H250="","",D250*H250)</f>
        <v/>
      </c>
      <c r="J250" s="18" t="str">
        <f aca="true">IF(AND(AND(C250&lt;&gt;"Kazanıldı",C250&lt;&gt;"Kaybedildi",C250&lt;&gt;""),F250&lt;&gt;""),IF(F250&lt;TODAY(),"Gecikti",IF(F250=TODAY(),"Bugün","")),"")</f>
        <v/>
      </c>
      <c r="K250" s="18" t="str">
        <f aca="true">IF(AND(AND(C250&lt;&gt;"Kazanıldı",C250&lt;&gt;"Kaybedildi",C250&lt;&gt;""),F250&lt;&gt;"",F250&lt;=TODAY()),F250+ROW()/1000000,"")</f>
        <v/>
      </c>
    </row>
    <row r="251" customFormat="false" ht="15" hidden="false" customHeight="false" outlineLevel="0" collapsed="false">
      <c r="A251" s="12"/>
      <c r="B251" s="13"/>
      <c r="C251" s="13"/>
      <c r="D251" s="14"/>
      <c r="E251" s="15"/>
      <c r="F251" s="15"/>
      <c r="G251" s="12"/>
      <c r="H251" s="16" t="str">
        <f aca="false">IF(OR(A251="",C251=""),"",IFERROR(INDEX(Aşamalar!$B$5:$B$12,MATCH(C251,Aşamalar!$A$5:$A$12,0)),0))</f>
        <v/>
      </c>
      <c r="I251" s="17" t="str">
        <f aca="false">IF(H251="","",D251*H251)</f>
        <v/>
      </c>
      <c r="J251" s="18" t="str">
        <f aca="true">IF(AND(AND(C251&lt;&gt;"Kazanıldı",C251&lt;&gt;"Kaybedildi",C251&lt;&gt;""),F251&lt;&gt;""),IF(F251&lt;TODAY(),"Gecikti",IF(F251=TODAY(),"Bugün","")),"")</f>
        <v/>
      </c>
      <c r="K251" s="18" t="str">
        <f aca="true">IF(AND(AND(C251&lt;&gt;"Kazanıldı",C251&lt;&gt;"Kaybedildi",C251&lt;&gt;""),F251&lt;&gt;"",F251&lt;=TODAY()),F251+ROW()/1000000,"")</f>
        <v/>
      </c>
    </row>
    <row r="252" customFormat="false" ht="15" hidden="false" customHeight="false" outlineLevel="0" collapsed="false">
      <c r="A252" s="12"/>
      <c r="B252" s="13"/>
      <c r="C252" s="13"/>
      <c r="D252" s="14"/>
      <c r="E252" s="15"/>
      <c r="F252" s="15"/>
      <c r="G252" s="12"/>
      <c r="H252" s="16" t="str">
        <f aca="false">IF(OR(A252="",C252=""),"",IFERROR(INDEX(Aşamalar!$B$5:$B$12,MATCH(C252,Aşamalar!$A$5:$A$12,0)),0))</f>
        <v/>
      </c>
      <c r="I252" s="17" t="str">
        <f aca="false">IF(H252="","",D252*H252)</f>
        <v/>
      </c>
      <c r="J252" s="18" t="str">
        <f aca="true">IF(AND(AND(C252&lt;&gt;"Kazanıldı",C252&lt;&gt;"Kaybedildi",C252&lt;&gt;""),F252&lt;&gt;""),IF(F252&lt;TODAY(),"Gecikti",IF(F252=TODAY(),"Bugün","")),"")</f>
        <v/>
      </c>
      <c r="K252" s="18" t="str">
        <f aca="true">IF(AND(AND(C252&lt;&gt;"Kazanıldı",C252&lt;&gt;"Kaybedildi",C252&lt;&gt;""),F252&lt;&gt;"",F252&lt;=TODAY()),F252+ROW()/1000000,"")</f>
        <v/>
      </c>
    </row>
    <row r="253" customFormat="false" ht="15" hidden="false" customHeight="false" outlineLevel="0" collapsed="false">
      <c r="A253" s="12"/>
      <c r="B253" s="13"/>
      <c r="C253" s="13"/>
      <c r="D253" s="14"/>
      <c r="E253" s="15"/>
      <c r="F253" s="15"/>
      <c r="G253" s="12"/>
      <c r="H253" s="16" t="str">
        <f aca="false">IF(OR(A253="",C253=""),"",IFERROR(INDEX(Aşamalar!$B$5:$B$12,MATCH(C253,Aşamalar!$A$5:$A$12,0)),0))</f>
        <v/>
      </c>
      <c r="I253" s="17" t="str">
        <f aca="false">IF(H253="","",D253*H253)</f>
        <v/>
      </c>
      <c r="J253" s="18" t="str">
        <f aca="true">IF(AND(AND(C253&lt;&gt;"Kazanıldı",C253&lt;&gt;"Kaybedildi",C253&lt;&gt;""),F253&lt;&gt;""),IF(F253&lt;TODAY(),"Gecikti",IF(F253=TODAY(),"Bugün","")),"")</f>
        <v/>
      </c>
      <c r="K253" s="18" t="str">
        <f aca="true">IF(AND(AND(C253&lt;&gt;"Kazanıldı",C253&lt;&gt;"Kaybedildi",C253&lt;&gt;""),F253&lt;&gt;"",F253&lt;=TODAY()),F253+ROW()/1000000,"")</f>
        <v/>
      </c>
    </row>
    <row r="254" customFormat="false" ht="15" hidden="false" customHeight="false" outlineLevel="0" collapsed="false">
      <c r="A254" s="12"/>
      <c r="B254" s="13"/>
      <c r="C254" s="13"/>
      <c r="D254" s="14"/>
      <c r="E254" s="15"/>
      <c r="F254" s="15"/>
      <c r="G254" s="12"/>
      <c r="H254" s="16" t="str">
        <f aca="false">IF(OR(A254="",C254=""),"",IFERROR(INDEX(Aşamalar!$B$5:$B$12,MATCH(C254,Aşamalar!$A$5:$A$12,0)),0))</f>
        <v/>
      </c>
      <c r="I254" s="17" t="str">
        <f aca="false">IF(H254="","",D254*H254)</f>
        <v/>
      </c>
      <c r="J254" s="18" t="str">
        <f aca="true">IF(AND(AND(C254&lt;&gt;"Kazanıldı",C254&lt;&gt;"Kaybedildi",C254&lt;&gt;""),F254&lt;&gt;""),IF(F254&lt;TODAY(),"Gecikti",IF(F254=TODAY(),"Bugün","")),"")</f>
        <v/>
      </c>
      <c r="K254" s="18" t="str">
        <f aca="true">IF(AND(AND(C254&lt;&gt;"Kazanıldı",C254&lt;&gt;"Kaybedildi",C254&lt;&gt;""),F254&lt;&gt;"",F254&lt;=TODAY()),F254+ROW()/1000000,"")</f>
        <v/>
      </c>
    </row>
    <row r="255" customFormat="false" ht="15" hidden="false" customHeight="false" outlineLevel="0" collapsed="false">
      <c r="A255" s="12"/>
      <c r="B255" s="13"/>
      <c r="C255" s="13"/>
      <c r="D255" s="14"/>
      <c r="E255" s="15"/>
      <c r="F255" s="15"/>
      <c r="G255" s="12"/>
      <c r="H255" s="16" t="str">
        <f aca="false">IF(OR(A255="",C255=""),"",IFERROR(INDEX(Aşamalar!$B$5:$B$12,MATCH(C255,Aşamalar!$A$5:$A$12,0)),0))</f>
        <v/>
      </c>
      <c r="I255" s="17" t="str">
        <f aca="false">IF(H255="","",D255*H255)</f>
        <v/>
      </c>
      <c r="J255" s="18" t="str">
        <f aca="true">IF(AND(AND(C255&lt;&gt;"Kazanıldı",C255&lt;&gt;"Kaybedildi",C255&lt;&gt;""),F255&lt;&gt;""),IF(F255&lt;TODAY(),"Gecikti",IF(F255=TODAY(),"Bugün","")),"")</f>
        <v/>
      </c>
      <c r="K255" s="18" t="str">
        <f aca="true">IF(AND(AND(C255&lt;&gt;"Kazanıldı",C255&lt;&gt;"Kaybedildi",C255&lt;&gt;""),F255&lt;&gt;"",F255&lt;=TODAY()),F255+ROW()/1000000,"")</f>
        <v/>
      </c>
    </row>
    <row r="256" customFormat="false" ht="15" hidden="false" customHeight="false" outlineLevel="0" collapsed="false">
      <c r="A256" s="12"/>
      <c r="B256" s="13"/>
      <c r="C256" s="13"/>
      <c r="D256" s="14"/>
      <c r="E256" s="15"/>
      <c r="F256" s="15"/>
      <c r="G256" s="12"/>
      <c r="H256" s="16" t="str">
        <f aca="false">IF(OR(A256="",C256=""),"",IFERROR(INDEX(Aşamalar!$B$5:$B$12,MATCH(C256,Aşamalar!$A$5:$A$12,0)),0))</f>
        <v/>
      </c>
      <c r="I256" s="17" t="str">
        <f aca="false">IF(H256="","",D256*H256)</f>
        <v/>
      </c>
      <c r="J256" s="18" t="str">
        <f aca="true">IF(AND(AND(C256&lt;&gt;"Kazanıldı",C256&lt;&gt;"Kaybedildi",C256&lt;&gt;""),F256&lt;&gt;""),IF(F256&lt;TODAY(),"Gecikti",IF(F256=TODAY(),"Bugün","")),"")</f>
        <v/>
      </c>
      <c r="K256" s="18" t="str">
        <f aca="true">IF(AND(AND(C256&lt;&gt;"Kazanıldı",C256&lt;&gt;"Kaybedildi",C256&lt;&gt;""),F256&lt;&gt;"",F256&lt;=TODAY()),F256+ROW()/1000000,"")</f>
        <v/>
      </c>
    </row>
    <row r="257" customFormat="false" ht="15" hidden="false" customHeight="false" outlineLevel="0" collapsed="false">
      <c r="A257" s="12"/>
      <c r="B257" s="13"/>
      <c r="C257" s="13"/>
      <c r="D257" s="14"/>
      <c r="E257" s="15"/>
      <c r="F257" s="15"/>
      <c r="G257" s="12"/>
      <c r="H257" s="16" t="str">
        <f aca="false">IF(OR(A257="",C257=""),"",IFERROR(INDEX(Aşamalar!$B$5:$B$12,MATCH(C257,Aşamalar!$A$5:$A$12,0)),0))</f>
        <v/>
      </c>
      <c r="I257" s="17" t="str">
        <f aca="false">IF(H257="","",D257*H257)</f>
        <v/>
      </c>
      <c r="J257" s="18" t="str">
        <f aca="true">IF(AND(AND(C257&lt;&gt;"Kazanıldı",C257&lt;&gt;"Kaybedildi",C257&lt;&gt;""),F257&lt;&gt;""),IF(F257&lt;TODAY(),"Gecikti",IF(F257=TODAY(),"Bugün","")),"")</f>
        <v/>
      </c>
      <c r="K257" s="18" t="str">
        <f aca="true">IF(AND(AND(C257&lt;&gt;"Kazanıldı",C257&lt;&gt;"Kaybedildi",C257&lt;&gt;""),F257&lt;&gt;"",F257&lt;=TODAY()),F257+ROW()/1000000,"")</f>
        <v/>
      </c>
    </row>
    <row r="258" customFormat="false" ht="15" hidden="false" customHeight="false" outlineLevel="0" collapsed="false">
      <c r="A258" s="12"/>
      <c r="B258" s="13"/>
      <c r="C258" s="13"/>
      <c r="D258" s="14"/>
      <c r="E258" s="15"/>
      <c r="F258" s="15"/>
      <c r="G258" s="12"/>
      <c r="H258" s="16" t="str">
        <f aca="false">IF(OR(A258="",C258=""),"",IFERROR(INDEX(Aşamalar!$B$5:$B$12,MATCH(C258,Aşamalar!$A$5:$A$12,0)),0))</f>
        <v/>
      </c>
      <c r="I258" s="17" t="str">
        <f aca="false">IF(H258="","",D258*H258)</f>
        <v/>
      </c>
      <c r="J258" s="18" t="str">
        <f aca="true">IF(AND(AND(C258&lt;&gt;"Kazanıldı",C258&lt;&gt;"Kaybedildi",C258&lt;&gt;""),F258&lt;&gt;""),IF(F258&lt;TODAY(),"Gecikti",IF(F258=TODAY(),"Bugün","")),"")</f>
        <v/>
      </c>
      <c r="K258" s="18" t="str">
        <f aca="true">IF(AND(AND(C258&lt;&gt;"Kazanıldı",C258&lt;&gt;"Kaybedildi",C258&lt;&gt;""),F258&lt;&gt;"",F258&lt;=TODAY()),F258+ROW()/1000000,"")</f>
        <v/>
      </c>
    </row>
    <row r="259" customFormat="false" ht="15" hidden="false" customHeight="false" outlineLevel="0" collapsed="false">
      <c r="A259" s="12"/>
      <c r="B259" s="13"/>
      <c r="C259" s="13"/>
      <c r="D259" s="14"/>
      <c r="E259" s="15"/>
      <c r="F259" s="15"/>
      <c r="G259" s="12"/>
      <c r="H259" s="16" t="str">
        <f aca="false">IF(OR(A259="",C259=""),"",IFERROR(INDEX(Aşamalar!$B$5:$B$12,MATCH(C259,Aşamalar!$A$5:$A$12,0)),0))</f>
        <v/>
      </c>
      <c r="I259" s="17" t="str">
        <f aca="false">IF(H259="","",D259*H259)</f>
        <v/>
      </c>
      <c r="J259" s="18" t="str">
        <f aca="true">IF(AND(AND(C259&lt;&gt;"Kazanıldı",C259&lt;&gt;"Kaybedildi",C259&lt;&gt;""),F259&lt;&gt;""),IF(F259&lt;TODAY(),"Gecikti",IF(F259=TODAY(),"Bugün","")),"")</f>
        <v/>
      </c>
      <c r="K259" s="18" t="str">
        <f aca="true">IF(AND(AND(C259&lt;&gt;"Kazanıldı",C259&lt;&gt;"Kaybedildi",C259&lt;&gt;""),F259&lt;&gt;"",F259&lt;=TODAY()),F259+ROW()/1000000,"")</f>
        <v/>
      </c>
    </row>
    <row r="260" customFormat="false" ht="15" hidden="false" customHeight="false" outlineLevel="0" collapsed="false">
      <c r="A260" s="12"/>
      <c r="B260" s="13"/>
      <c r="C260" s="13"/>
      <c r="D260" s="14"/>
      <c r="E260" s="15"/>
      <c r="F260" s="15"/>
      <c r="G260" s="12"/>
      <c r="H260" s="16" t="str">
        <f aca="false">IF(OR(A260="",C260=""),"",IFERROR(INDEX(Aşamalar!$B$5:$B$12,MATCH(C260,Aşamalar!$A$5:$A$12,0)),0))</f>
        <v/>
      </c>
      <c r="I260" s="17" t="str">
        <f aca="false">IF(H260="","",D260*H260)</f>
        <v/>
      </c>
      <c r="J260" s="18" t="str">
        <f aca="true">IF(AND(AND(C260&lt;&gt;"Kazanıldı",C260&lt;&gt;"Kaybedildi",C260&lt;&gt;""),F260&lt;&gt;""),IF(F260&lt;TODAY(),"Gecikti",IF(F260=TODAY(),"Bugün","")),"")</f>
        <v/>
      </c>
      <c r="K260" s="18" t="str">
        <f aca="true">IF(AND(AND(C260&lt;&gt;"Kazanıldı",C260&lt;&gt;"Kaybedildi",C260&lt;&gt;""),F260&lt;&gt;"",F260&lt;=TODAY()),F260+ROW()/1000000,"")</f>
        <v/>
      </c>
    </row>
    <row r="261" customFormat="false" ht="15" hidden="false" customHeight="false" outlineLevel="0" collapsed="false">
      <c r="A261" s="12"/>
      <c r="B261" s="13"/>
      <c r="C261" s="13"/>
      <c r="D261" s="14"/>
      <c r="E261" s="15"/>
      <c r="F261" s="15"/>
      <c r="G261" s="12"/>
      <c r="H261" s="16" t="str">
        <f aca="false">IF(OR(A261="",C261=""),"",IFERROR(INDEX(Aşamalar!$B$5:$B$12,MATCH(C261,Aşamalar!$A$5:$A$12,0)),0))</f>
        <v/>
      </c>
      <c r="I261" s="17" t="str">
        <f aca="false">IF(H261="","",D261*H261)</f>
        <v/>
      </c>
      <c r="J261" s="18" t="str">
        <f aca="true">IF(AND(AND(C261&lt;&gt;"Kazanıldı",C261&lt;&gt;"Kaybedildi",C261&lt;&gt;""),F261&lt;&gt;""),IF(F261&lt;TODAY(),"Gecikti",IF(F261=TODAY(),"Bugün","")),"")</f>
        <v/>
      </c>
      <c r="K261" s="18" t="str">
        <f aca="true">IF(AND(AND(C261&lt;&gt;"Kazanıldı",C261&lt;&gt;"Kaybedildi",C261&lt;&gt;""),F261&lt;&gt;"",F261&lt;=TODAY()),F261+ROW()/1000000,"")</f>
        <v/>
      </c>
    </row>
    <row r="262" customFormat="false" ht="15" hidden="false" customHeight="false" outlineLevel="0" collapsed="false">
      <c r="A262" s="12"/>
      <c r="B262" s="13"/>
      <c r="C262" s="13"/>
      <c r="D262" s="14"/>
      <c r="E262" s="15"/>
      <c r="F262" s="15"/>
      <c r="G262" s="12"/>
      <c r="H262" s="16" t="str">
        <f aca="false">IF(OR(A262="",C262=""),"",IFERROR(INDEX(Aşamalar!$B$5:$B$12,MATCH(C262,Aşamalar!$A$5:$A$12,0)),0))</f>
        <v/>
      </c>
      <c r="I262" s="17" t="str">
        <f aca="false">IF(H262="","",D262*H262)</f>
        <v/>
      </c>
      <c r="J262" s="18" t="str">
        <f aca="true">IF(AND(AND(C262&lt;&gt;"Kazanıldı",C262&lt;&gt;"Kaybedildi",C262&lt;&gt;""),F262&lt;&gt;""),IF(F262&lt;TODAY(),"Gecikti",IF(F262=TODAY(),"Bugün","")),"")</f>
        <v/>
      </c>
      <c r="K262" s="18" t="str">
        <f aca="true">IF(AND(AND(C262&lt;&gt;"Kazanıldı",C262&lt;&gt;"Kaybedildi",C262&lt;&gt;""),F262&lt;&gt;"",F262&lt;=TODAY()),F262+ROW()/1000000,"")</f>
        <v/>
      </c>
    </row>
    <row r="263" customFormat="false" ht="15" hidden="false" customHeight="false" outlineLevel="0" collapsed="false">
      <c r="A263" s="12"/>
      <c r="B263" s="13"/>
      <c r="C263" s="13"/>
      <c r="D263" s="14"/>
      <c r="E263" s="15"/>
      <c r="F263" s="15"/>
      <c r="G263" s="12"/>
      <c r="H263" s="16" t="str">
        <f aca="false">IF(OR(A263="",C263=""),"",IFERROR(INDEX(Aşamalar!$B$5:$B$12,MATCH(C263,Aşamalar!$A$5:$A$12,0)),0))</f>
        <v/>
      </c>
      <c r="I263" s="17" t="str">
        <f aca="false">IF(H263="","",D263*H263)</f>
        <v/>
      </c>
      <c r="J263" s="18" t="str">
        <f aca="true">IF(AND(AND(C263&lt;&gt;"Kazanıldı",C263&lt;&gt;"Kaybedildi",C263&lt;&gt;""),F263&lt;&gt;""),IF(F263&lt;TODAY(),"Gecikti",IF(F263=TODAY(),"Bugün","")),"")</f>
        <v/>
      </c>
      <c r="K263" s="18" t="str">
        <f aca="true">IF(AND(AND(C263&lt;&gt;"Kazanıldı",C263&lt;&gt;"Kaybedildi",C263&lt;&gt;""),F263&lt;&gt;"",F263&lt;=TODAY()),F263+ROW()/1000000,"")</f>
        <v/>
      </c>
    </row>
    <row r="264" customFormat="false" ht="15" hidden="false" customHeight="false" outlineLevel="0" collapsed="false">
      <c r="A264" s="12"/>
      <c r="B264" s="13"/>
      <c r="C264" s="13"/>
      <c r="D264" s="14"/>
      <c r="E264" s="15"/>
      <c r="F264" s="15"/>
      <c r="G264" s="12"/>
      <c r="H264" s="16" t="str">
        <f aca="false">IF(OR(A264="",C264=""),"",IFERROR(INDEX(Aşamalar!$B$5:$B$12,MATCH(C264,Aşamalar!$A$5:$A$12,0)),0))</f>
        <v/>
      </c>
      <c r="I264" s="17" t="str">
        <f aca="false">IF(H264="","",D264*H264)</f>
        <v/>
      </c>
      <c r="J264" s="18" t="str">
        <f aca="true">IF(AND(AND(C264&lt;&gt;"Kazanıldı",C264&lt;&gt;"Kaybedildi",C264&lt;&gt;""),F264&lt;&gt;""),IF(F264&lt;TODAY(),"Gecikti",IF(F264=TODAY(),"Bugün","")),"")</f>
        <v/>
      </c>
      <c r="K264" s="18" t="str">
        <f aca="true">IF(AND(AND(C264&lt;&gt;"Kazanıldı",C264&lt;&gt;"Kaybedildi",C264&lt;&gt;""),F264&lt;&gt;"",F264&lt;=TODAY()),F264+ROW()/1000000,"")</f>
        <v/>
      </c>
    </row>
    <row r="265" customFormat="false" ht="15" hidden="false" customHeight="false" outlineLevel="0" collapsed="false">
      <c r="A265" s="12"/>
      <c r="B265" s="13"/>
      <c r="C265" s="13"/>
      <c r="D265" s="14"/>
      <c r="E265" s="15"/>
      <c r="F265" s="15"/>
      <c r="G265" s="12"/>
      <c r="H265" s="16" t="str">
        <f aca="false">IF(OR(A265="",C265=""),"",IFERROR(INDEX(Aşamalar!$B$5:$B$12,MATCH(C265,Aşamalar!$A$5:$A$12,0)),0))</f>
        <v/>
      </c>
      <c r="I265" s="17" t="str">
        <f aca="false">IF(H265="","",D265*H265)</f>
        <v/>
      </c>
      <c r="J265" s="18" t="str">
        <f aca="true">IF(AND(AND(C265&lt;&gt;"Kazanıldı",C265&lt;&gt;"Kaybedildi",C265&lt;&gt;""),F265&lt;&gt;""),IF(F265&lt;TODAY(),"Gecikti",IF(F265=TODAY(),"Bugün","")),"")</f>
        <v/>
      </c>
      <c r="K265" s="18" t="str">
        <f aca="true">IF(AND(AND(C265&lt;&gt;"Kazanıldı",C265&lt;&gt;"Kaybedildi",C265&lt;&gt;""),F265&lt;&gt;"",F265&lt;=TODAY()),F265+ROW()/1000000,"")</f>
        <v/>
      </c>
    </row>
    <row r="266" customFormat="false" ht="15" hidden="false" customHeight="false" outlineLevel="0" collapsed="false">
      <c r="A266" s="12"/>
      <c r="B266" s="13"/>
      <c r="C266" s="13"/>
      <c r="D266" s="14"/>
      <c r="E266" s="15"/>
      <c r="F266" s="15"/>
      <c r="G266" s="12"/>
      <c r="H266" s="16" t="str">
        <f aca="false">IF(OR(A266="",C266=""),"",IFERROR(INDEX(Aşamalar!$B$5:$B$12,MATCH(C266,Aşamalar!$A$5:$A$12,0)),0))</f>
        <v/>
      </c>
      <c r="I266" s="17" t="str">
        <f aca="false">IF(H266="","",D266*H266)</f>
        <v/>
      </c>
      <c r="J266" s="18" t="str">
        <f aca="true">IF(AND(AND(C266&lt;&gt;"Kazanıldı",C266&lt;&gt;"Kaybedildi",C266&lt;&gt;""),F266&lt;&gt;""),IF(F266&lt;TODAY(),"Gecikti",IF(F266=TODAY(),"Bugün","")),"")</f>
        <v/>
      </c>
      <c r="K266" s="18" t="str">
        <f aca="true">IF(AND(AND(C266&lt;&gt;"Kazanıldı",C266&lt;&gt;"Kaybedildi",C266&lt;&gt;""),F266&lt;&gt;"",F266&lt;=TODAY()),F266+ROW()/1000000,"")</f>
        <v/>
      </c>
    </row>
    <row r="267" customFormat="false" ht="15" hidden="false" customHeight="false" outlineLevel="0" collapsed="false">
      <c r="A267" s="12"/>
      <c r="B267" s="13"/>
      <c r="C267" s="13"/>
      <c r="D267" s="14"/>
      <c r="E267" s="15"/>
      <c r="F267" s="15"/>
      <c r="G267" s="12"/>
      <c r="H267" s="16" t="str">
        <f aca="false">IF(OR(A267="",C267=""),"",IFERROR(INDEX(Aşamalar!$B$5:$B$12,MATCH(C267,Aşamalar!$A$5:$A$12,0)),0))</f>
        <v/>
      </c>
      <c r="I267" s="17" t="str">
        <f aca="false">IF(H267="","",D267*H267)</f>
        <v/>
      </c>
      <c r="J267" s="18" t="str">
        <f aca="true">IF(AND(AND(C267&lt;&gt;"Kazanıldı",C267&lt;&gt;"Kaybedildi",C267&lt;&gt;""),F267&lt;&gt;""),IF(F267&lt;TODAY(),"Gecikti",IF(F267=TODAY(),"Bugün","")),"")</f>
        <v/>
      </c>
      <c r="K267" s="18" t="str">
        <f aca="true">IF(AND(AND(C267&lt;&gt;"Kazanıldı",C267&lt;&gt;"Kaybedildi",C267&lt;&gt;""),F267&lt;&gt;"",F267&lt;=TODAY()),F267+ROW()/1000000,"")</f>
        <v/>
      </c>
    </row>
    <row r="268" customFormat="false" ht="15" hidden="false" customHeight="false" outlineLevel="0" collapsed="false">
      <c r="A268" s="12"/>
      <c r="B268" s="13"/>
      <c r="C268" s="13"/>
      <c r="D268" s="14"/>
      <c r="E268" s="15"/>
      <c r="F268" s="15"/>
      <c r="G268" s="12"/>
      <c r="H268" s="16" t="str">
        <f aca="false">IF(OR(A268="",C268=""),"",IFERROR(INDEX(Aşamalar!$B$5:$B$12,MATCH(C268,Aşamalar!$A$5:$A$12,0)),0))</f>
        <v/>
      </c>
      <c r="I268" s="17" t="str">
        <f aca="false">IF(H268="","",D268*H268)</f>
        <v/>
      </c>
      <c r="J268" s="18" t="str">
        <f aca="true">IF(AND(AND(C268&lt;&gt;"Kazanıldı",C268&lt;&gt;"Kaybedildi",C268&lt;&gt;""),F268&lt;&gt;""),IF(F268&lt;TODAY(),"Gecikti",IF(F268=TODAY(),"Bugün","")),"")</f>
        <v/>
      </c>
      <c r="K268" s="18" t="str">
        <f aca="true">IF(AND(AND(C268&lt;&gt;"Kazanıldı",C268&lt;&gt;"Kaybedildi",C268&lt;&gt;""),F268&lt;&gt;"",F268&lt;=TODAY()),F268+ROW()/1000000,"")</f>
        <v/>
      </c>
    </row>
    <row r="269" customFormat="false" ht="15" hidden="false" customHeight="false" outlineLevel="0" collapsed="false">
      <c r="A269" s="12"/>
      <c r="B269" s="13"/>
      <c r="C269" s="13"/>
      <c r="D269" s="14"/>
      <c r="E269" s="15"/>
      <c r="F269" s="15"/>
      <c r="G269" s="12"/>
      <c r="H269" s="16" t="str">
        <f aca="false">IF(OR(A269="",C269=""),"",IFERROR(INDEX(Aşamalar!$B$5:$B$12,MATCH(C269,Aşamalar!$A$5:$A$12,0)),0))</f>
        <v/>
      </c>
      <c r="I269" s="17" t="str">
        <f aca="false">IF(H269="","",D269*H269)</f>
        <v/>
      </c>
      <c r="J269" s="18" t="str">
        <f aca="true">IF(AND(AND(C269&lt;&gt;"Kazanıldı",C269&lt;&gt;"Kaybedildi",C269&lt;&gt;""),F269&lt;&gt;""),IF(F269&lt;TODAY(),"Gecikti",IF(F269=TODAY(),"Bugün","")),"")</f>
        <v/>
      </c>
      <c r="K269" s="18" t="str">
        <f aca="true">IF(AND(AND(C269&lt;&gt;"Kazanıldı",C269&lt;&gt;"Kaybedildi",C269&lt;&gt;""),F269&lt;&gt;"",F269&lt;=TODAY()),F269+ROW()/1000000,"")</f>
        <v/>
      </c>
    </row>
    <row r="270" customFormat="false" ht="15" hidden="false" customHeight="false" outlineLevel="0" collapsed="false">
      <c r="A270" s="12"/>
      <c r="B270" s="13"/>
      <c r="C270" s="13"/>
      <c r="D270" s="14"/>
      <c r="E270" s="15"/>
      <c r="F270" s="15"/>
      <c r="G270" s="12"/>
      <c r="H270" s="16" t="str">
        <f aca="false">IF(OR(A270="",C270=""),"",IFERROR(INDEX(Aşamalar!$B$5:$B$12,MATCH(C270,Aşamalar!$A$5:$A$12,0)),0))</f>
        <v/>
      </c>
      <c r="I270" s="17" t="str">
        <f aca="false">IF(H270="","",D270*H270)</f>
        <v/>
      </c>
      <c r="J270" s="18" t="str">
        <f aca="true">IF(AND(AND(C270&lt;&gt;"Kazanıldı",C270&lt;&gt;"Kaybedildi",C270&lt;&gt;""),F270&lt;&gt;""),IF(F270&lt;TODAY(),"Gecikti",IF(F270=TODAY(),"Bugün","")),"")</f>
        <v/>
      </c>
      <c r="K270" s="18" t="str">
        <f aca="true">IF(AND(AND(C270&lt;&gt;"Kazanıldı",C270&lt;&gt;"Kaybedildi",C270&lt;&gt;""),F270&lt;&gt;"",F270&lt;=TODAY()),F270+ROW()/1000000,"")</f>
        <v/>
      </c>
    </row>
    <row r="271" customFormat="false" ht="15" hidden="false" customHeight="false" outlineLevel="0" collapsed="false">
      <c r="A271" s="12"/>
      <c r="B271" s="13"/>
      <c r="C271" s="13"/>
      <c r="D271" s="14"/>
      <c r="E271" s="15"/>
      <c r="F271" s="15"/>
      <c r="G271" s="12"/>
      <c r="H271" s="16" t="str">
        <f aca="false">IF(OR(A271="",C271=""),"",IFERROR(INDEX(Aşamalar!$B$5:$B$12,MATCH(C271,Aşamalar!$A$5:$A$12,0)),0))</f>
        <v/>
      </c>
      <c r="I271" s="17" t="str">
        <f aca="false">IF(H271="","",D271*H271)</f>
        <v/>
      </c>
      <c r="J271" s="18" t="str">
        <f aca="true">IF(AND(AND(C271&lt;&gt;"Kazanıldı",C271&lt;&gt;"Kaybedildi",C271&lt;&gt;""),F271&lt;&gt;""),IF(F271&lt;TODAY(),"Gecikti",IF(F271=TODAY(),"Bugün","")),"")</f>
        <v/>
      </c>
      <c r="K271" s="18" t="str">
        <f aca="true">IF(AND(AND(C271&lt;&gt;"Kazanıldı",C271&lt;&gt;"Kaybedildi",C271&lt;&gt;""),F271&lt;&gt;"",F271&lt;=TODAY()),F271+ROW()/1000000,"")</f>
        <v/>
      </c>
    </row>
    <row r="272" customFormat="false" ht="15" hidden="false" customHeight="false" outlineLevel="0" collapsed="false">
      <c r="A272" s="12"/>
      <c r="B272" s="13"/>
      <c r="C272" s="13"/>
      <c r="D272" s="14"/>
      <c r="E272" s="15"/>
      <c r="F272" s="15"/>
      <c r="G272" s="12"/>
      <c r="H272" s="16" t="str">
        <f aca="false">IF(OR(A272="",C272=""),"",IFERROR(INDEX(Aşamalar!$B$5:$B$12,MATCH(C272,Aşamalar!$A$5:$A$12,0)),0))</f>
        <v/>
      </c>
      <c r="I272" s="17" t="str">
        <f aca="false">IF(H272="","",D272*H272)</f>
        <v/>
      </c>
      <c r="J272" s="18" t="str">
        <f aca="true">IF(AND(AND(C272&lt;&gt;"Kazanıldı",C272&lt;&gt;"Kaybedildi",C272&lt;&gt;""),F272&lt;&gt;""),IF(F272&lt;TODAY(),"Gecikti",IF(F272=TODAY(),"Bugün","")),"")</f>
        <v/>
      </c>
      <c r="K272" s="18" t="str">
        <f aca="true">IF(AND(AND(C272&lt;&gt;"Kazanıldı",C272&lt;&gt;"Kaybedildi",C272&lt;&gt;""),F272&lt;&gt;"",F272&lt;=TODAY()),F272+ROW()/1000000,"")</f>
        <v/>
      </c>
    </row>
    <row r="273" customFormat="false" ht="15" hidden="false" customHeight="false" outlineLevel="0" collapsed="false">
      <c r="A273" s="12"/>
      <c r="B273" s="13"/>
      <c r="C273" s="13"/>
      <c r="D273" s="14"/>
      <c r="E273" s="15"/>
      <c r="F273" s="15"/>
      <c r="G273" s="12"/>
      <c r="H273" s="16" t="str">
        <f aca="false">IF(OR(A273="",C273=""),"",IFERROR(INDEX(Aşamalar!$B$5:$B$12,MATCH(C273,Aşamalar!$A$5:$A$12,0)),0))</f>
        <v/>
      </c>
      <c r="I273" s="17" t="str">
        <f aca="false">IF(H273="","",D273*H273)</f>
        <v/>
      </c>
      <c r="J273" s="18" t="str">
        <f aca="true">IF(AND(AND(C273&lt;&gt;"Kazanıldı",C273&lt;&gt;"Kaybedildi",C273&lt;&gt;""),F273&lt;&gt;""),IF(F273&lt;TODAY(),"Gecikti",IF(F273=TODAY(),"Bugün","")),"")</f>
        <v/>
      </c>
      <c r="K273" s="18" t="str">
        <f aca="true">IF(AND(AND(C273&lt;&gt;"Kazanıldı",C273&lt;&gt;"Kaybedildi",C273&lt;&gt;""),F273&lt;&gt;"",F273&lt;=TODAY()),F273+ROW()/1000000,"")</f>
        <v/>
      </c>
    </row>
    <row r="274" customFormat="false" ht="15" hidden="false" customHeight="false" outlineLevel="0" collapsed="false">
      <c r="A274" s="12"/>
      <c r="B274" s="13"/>
      <c r="C274" s="13"/>
      <c r="D274" s="14"/>
      <c r="E274" s="15"/>
      <c r="F274" s="15"/>
      <c r="G274" s="12"/>
      <c r="H274" s="16" t="str">
        <f aca="false">IF(OR(A274="",C274=""),"",IFERROR(INDEX(Aşamalar!$B$5:$B$12,MATCH(C274,Aşamalar!$A$5:$A$12,0)),0))</f>
        <v/>
      </c>
      <c r="I274" s="17" t="str">
        <f aca="false">IF(H274="","",D274*H274)</f>
        <v/>
      </c>
      <c r="J274" s="18" t="str">
        <f aca="true">IF(AND(AND(C274&lt;&gt;"Kazanıldı",C274&lt;&gt;"Kaybedildi",C274&lt;&gt;""),F274&lt;&gt;""),IF(F274&lt;TODAY(),"Gecikti",IF(F274=TODAY(),"Bugün","")),"")</f>
        <v/>
      </c>
      <c r="K274" s="18" t="str">
        <f aca="true">IF(AND(AND(C274&lt;&gt;"Kazanıldı",C274&lt;&gt;"Kaybedildi",C274&lt;&gt;""),F274&lt;&gt;"",F274&lt;=TODAY()),F274+ROW()/1000000,"")</f>
        <v/>
      </c>
    </row>
    <row r="275" customFormat="false" ht="15" hidden="false" customHeight="false" outlineLevel="0" collapsed="false">
      <c r="A275" s="12"/>
      <c r="B275" s="13"/>
      <c r="C275" s="13"/>
      <c r="D275" s="14"/>
      <c r="E275" s="15"/>
      <c r="F275" s="15"/>
      <c r="G275" s="12"/>
      <c r="H275" s="16" t="str">
        <f aca="false">IF(OR(A275="",C275=""),"",IFERROR(INDEX(Aşamalar!$B$5:$B$12,MATCH(C275,Aşamalar!$A$5:$A$12,0)),0))</f>
        <v/>
      </c>
      <c r="I275" s="17" t="str">
        <f aca="false">IF(H275="","",D275*H275)</f>
        <v/>
      </c>
      <c r="J275" s="18" t="str">
        <f aca="true">IF(AND(AND(C275&lt;&gt;"Kazanıldı",C275&lt;&gt;"Kaybedildi",C275&lt;&gt;""),F275&lt;&gt;""),IF(F275&lt;TODAY(),"Gecikti",IF(F275=TODAY(),"Bugün","")),"")</f>
        <v/>
      </c>
      <c r="K275" s="18" t="str">
        <f aca="true">IF(AND(AND(C275&lt;&gt;"Kazanıldı",C275&lt;&gt;"Kaybedildi",C275&lt;&gt;""),F275&lt;&gt;"",F275&lt;=TODAY()),F275+ROW()/1000000,"")</f>
        <v/>
      </c>
    </row>
    <row r="276" customFormat="false" ht="15" hidden="false" customHeight="false" outlineLevel="0" collapsed="false">
      <c r="A276" s="12"/>
      <c r="B276" s="13"/>
      <c r="C276" s="13"/>
      <c r="D276" s="14"/>
      <c r="E276" s="15"/>
      <c r="F276" s="15"/>
      <c r="G276" s="12"/>
      <c r="H276" s="16" t="str">
        <f aca="false">IF(OR(A276="",C276=""),"",IFERROR(INDEX(Aşamalar!$B$5:$B$12,MATCH(C276,Aşamalar!$A$5:$A$12,0)),0))</f>
        <v/>
      </c>
      <c r="I276" s="17" t="str">
        <f aca="false">IF(H276="","",D276*H276)</f>
        <v/>
      </c>
      <c r="J276" s="18" t="str">
        <f aca="true">IF(AND(AND(C276&lt;&gt;"Kazanıldı",C276&lt;&gt;"Kaybedildi",C276&lt;&gt;""),F276&lt;&gt;""),IF(F276&lt;TODAY(),"Gecikti",IF(F276=TODAY(),"Bugün","")),"")</f>
        <v/>
      </c>
      <c r="K276" s="18" t="str">
        <f aca="true">IF(AND(AND(C276&lt;&gt;"Kazanıldı",C276&lt;&gt;"Kaybedildi",C276&lt;&gt;""),F276&lt;&gt;"",F276&lt;=TODAY()),F276+ROW()/1000000,"")</f>
        <v/>
      </c>
    </row>
    <row r="277" customFormat="false" ht="15" hidden="false" customHeight="false" outlineLevel="0" collapsed="false">
      <c r="A277" s="12"/>
      <c r="B277" s="13"/>
      <c r="C277" s="13"/>
      <c r="D277" s="14"/>
      <c r="E277" s="15"/>
      <c r="F277" s="15"/>
      <c r="G277" s="12"/>
      <c r="H277" s="16" t="str">
        <f aca="false">IF(OR(A277="",C277=""),"",IFERROR(INDEX(Aşamalar!$B$5:$B$12,MATCH(C277,Aşamalar!$A$5:$A$12,0)),0))</f>
        <v/>
      </c>
      <c r="I277" s="17" t="str">
        <f aca="false">IF(H277="","",D277*H277)</f>
        <v/>
      </c>
      <c r="J277" s="18" t="str">
        <f aca="true">IF(AND(AND(C277&lt;&gt;"Kazanıldı",C277&lt;&gt;"Kaybedildi",C277&lt;&gt;""),F277&lt;&gt;""),IF(F277&lt;TODAY(),"Gecikti",IF(F277=TODAY(),"Bugün","")),"")</f>
        <v/>
      </c>
      <c r="K277" s="18" t="str">
        <f aca="true">IF(AND(AND(C277&lt;&gt;"Kazanıldı",C277&lt;&gt;"Kaybedildi",C277&lt;&gt;""),F277&lt;&gt;"",F277&lt;=TODAY()),F277+ROW()/1000000,"")</f>
        <v/>
      </c>
    </row>
    <row r="278" customFormat="false" ht="15" hidden="false" customHeight="false" outlineLevel="0" collapsed="false">
      <c r="A278" s="12"/>
      <c r="B278" s="13"/>
      <c r="C278" s="13"/>
      <c r="D278" s="14"/>
      <c r="E278" s="15"/>
      <c r="F278" s="15"/>
      <c r="G278" s="12"/>
      <c r="H278" s="16" t="str">
        <f aca="false">IF(OR(A278="",C278=""),"",IFERROR(INDEX(Aşamalar!$B$5:$B$12,MATCH(C278,Aşamalar!$A$5:$A$12,0)),0))</f>
        <v/>
      </c>
      <c r="I278" s="17" t="str">
        <f aca="false">IF(H278="","",D278*H278)</f>
        <v/>
      </c>
      <c r="J278" s="18" t="str">
        <f aca="true">IF(AND(AND(C278&lt;&gt;"Kazanıldı",C278&lt;&gt;"Kaybedildi",C278&lt;&gt;""),F278&lt;&gt;""),IF(F278&lt;TODAY(),"Gecikti",IF(F278=TODAY(),"Bugün","")),"")</f>
        <v/>
      </c>
      <c r="K278" s="18" t="str">
        <f aca="true">IF(AND(AND(C278&lt;&gt;"Kazanıldı",C278&lt;&gt;"Kaybedildi",C278&lt;&gt;""),F278&lt;&gt;"",F278&lt;=TODAY()),F278+ROW()/1000000,"")</f>
        <v/>
      </c>
    </row>
    <row r="279" customFormat="false" ht="15" hidden="false" customHeight="false" outlineLevel="0" collapsed="false">
      <c r="A279" s="12"/>
      <c r="B279" s="13"/>
      <c r="C279" s="13"/>
      <c r="D279" s="14"/>
      <c r="E279" s="15"/>
      <c r="F279" s="15"/>
      <c r="G279" s="12"/>
      <c r="H279" s="16" t="str">
        <f aca="false">IF(OR(A279="",C279=""),"",IFERROR(INDEX(Aşamalar!$B$5:$B$12,MATCH(C279,Aşamalar!$A$5:$A$12,0)),0))</f>
        <v/>
      </c>
      <c r="I279" s="17" t="str">
        <f aca="false">IF(H279="","",D279*H279)</f>
        <v/>
      </c>
      <c r="J279" s="18" t="str">
        <f aca="true">IF(AND(AND(C279&lt;&gt;"Kazanıldı",C279&lt;&gt;"Kaybedildi",C279&lt;&gt;""),F279&lt;&gt;""),IF(F279&lt;TODAY(),"Gecikti",IF(F279=TODAY(),"Bugün","")),"")</f>
        <v/>
      </c>
      <c r="K279" s="18" t="str">
        <f aca="true">IF(AND(AND(C279&lt;&gt;"Kazanıldı",C279&lt;&gt;"Kaybedildi",C279&lt;&gt;""),F279&lt;&gt;"",F279&lt;=TODAY()),F279+ROW()/1000000,"")</f>
        <v/>
      </c>
    </row>
    <row r="280" customFormat="false" ht="15" hidden="false" customHeight="false" outlineLevel="0" collapsed="false">
      <c r="A280" s="12"/>
      <c r="B280" s="13"/>
      <c r="C280" s="13"/>
      <c r="D280" s="14"/>
      <c r="E280" s="15"/>
      <c r="F280" s="15"/>
      <c r="G280" s="12"/>
      <c r="H280" s="16" t="str">
        <f aca="false">IF(OR(A280="",C280=""),"",IFERROR(INDEX(Aşamalar!$B$5:$B$12,MATCH(C280,Aşamalar!$A$5:$A$12,0)),0))</f>
        <v/>
      </c>
      <c r="I280" s="17" t="str">
        <f aca="false">IF(H280="","",D280*H280)</f>
        <v/>
      </c>
      <c r="J280" s="18" t="str">
        <f aca="true">IF(AND(AND(C280&lt;&gt;"Kazanıldı",C280&lt;&gt;"Kaybedildi",C280&lt;&gt;""),F280&lt;&gt;""),IF(F280&lt;TODAY(),"Gecikti",IF(F280=TODAY(),"Bugün","")),"")</f>
        <v/>
      </c>
      <c r="K280" s="18" t="str">
        <f aca="true">IF(AND(AND(C280&lt;&gt;"Kazanıldı",C280&lt;&gt;"Kaybedildi",C280&lt;&gt;""),F280&lt;&gt;"",F280&lt;=TODAY()),F280+ROW()/1000000,"")</f>
        <v/>
      </c>
    </row>
    <row r="281" customFormat="false" ht="15" hidden="false" customHeight="false" outlineLevel="0" collapsed="false">
      <c r="A281" s="12"/>
      <c r="B281" s="13"/>
      <c r="C281" s="13"/>
      <c r="D281" s="14"/>
      <c r="E281" s="15"/>
      <c r="F281" s="15"/>
      <c r="G281" s="12"/>
      <c r="H281" s="16" t="str">
        <f aca="false">IF(OR(A281="",C281=""),"",IFERROR(INDEX(Aşamalar!$B$5:$B$12,MATCH(C281,Aşamalar!$A$5:$A$12,0)),0))</f>
        <v/>
      </c>
      <c r="I281" s="17" t="str">
        <f aca="false">IF(H281="","",D281*H281)</f>
        <v/>
      </c>
      <c r="J281" s="18" t="str">
        <f aca="true">IF(AND(AND(C281&lt;&gt;"Kazanıldı",C281&lt;&gt;"Kaybedildi",C281&lt;&gt;""),F281&lt;&gt;""),IF(F281&lt;TODAY(),"Gecikti",IF(F281=TODAY(),"Bugün","")),"")</f>
        <v/>
      </c>
      <c r="K281" s="18" t="str">
        <f aca="true">IF(AND(AND(C281&lt;&gt;"Kazanıldı",C281&lt;&gt;"Kaybedildi",C281&lt;&gt;""),F281&lt;&gt;"",F281&lt;=TODAY()),F281+ROW()/1000000,"")</f>
        <v/>
      </c>
    </row>
    <row r="282" customFormat="false" ht="15" hidden="false" customHeight="false" outlineLevel="0" collapsed="false">
      <c r="A282" s="12"/>
      <c r="B282" s="13"/>
      <c r="C282" s="13"/>
      <c r="D282" s="14"/>
      <c r="E282" s="15"/>
      <c r="F282" s="15"/>
      <c r="G282" s="12"/>
      <c r="H282" s="16" t="str">
        <f aca="false">IF(OR(A282="",C282=""),"",IFERROR(INDEX(Aşamalar!$B$5:$B$12,MATCH(C282,Aşamalar!$A$5:$A$12,0)),0))</f>
        <v/>
      </c>
      <c r="I282" s="17" t="str">
        <f aca="false">IF(H282="","",D282*H282)</f>
        <v/>
      </c>
      <c r="J282" s="18" t="str">
        <f aca="true">IF(AND(AND(C282&lt;&gt;"Kazanıldı",C282&lt;&gt;"Kaybedildi",C282&lt;&gt;""),F282&lt;&gt;""),IF(F282&lt;TODAY(),"Gecikti",IF(F282=TODAY(),"Bugün","")),"")</f>
        <v/>
      </c>
      <c r="K282" s="18" t="str">
        <f aca="true">IF(AND(AND(C282&lt;&gt;"Kazanıldı",C282&lt;&gt;"Kaybedildi",C282&lt;&gt;""),F282&lt;&gt;"",F282&lt;=TODAY()),F282+ROW()/1000000,"")</f>
        <v/>
      </c>
    </row>
    <row r="283" customFormat="false" ht="15" hidden="false" customHeight="false" outlineLevel="0" collapsed="false">
      <c r="A283" s="12"/>
      <c r="B283" s="13"/>
      <c r="C283" s="13"/>
      <c r="D283" s="14"/>
      <c r="E283" s="15"/>
      <c r="F283" s="15"/>
      <c r="G283" s="12"/>
      <c r="H283" s="16" t="str">
        <f aca="false">IF(OR(A283="",C283=""),"",IFERROR(INDEX(Aşamalar!$B$5:$B$12,MATCH(C283,Aşamalar!$A$5:$A$12,0)),0))</f>
        <v/>
      </c>
      <c r="I283" s="17" t="str">
        <f aca="false">IF(H283="","",D283*H283)</f>
        <v/>
      </c>
      <c r="J283" s="18" t="str">
        <f aca="true">IF(AND(AND(C283&lt;&gt;"Kazanıldı",C283&lt;&gt;"Kaybedildi",C283&lt;&gt;""),F283&lt;&gt;""),IF(F283&lt;TODAY(),"Gecikti",IF(F283=TODAY(),"Bugün","")),"")</f>
        <v/>
      </c>
      <c r="K283" s="18" t="str">
        <f aca="true">IF(AND(AND(C283&lt;&gt;"Kazanıldı",C283&lt;&gt;"Kaybedildi",C283&lt;&gt;""),F283&lt;&gt;"",F283&lt;=TODAY()),F283+ROW()/1000000,"")</f>
        <v/>
      </c>
    </row>
    <row r="284" customFormat="false" ht="15" hidden="false" customHeight="false" outlineLevel="0" collapsed="false">
      <c r="A284" s="12"/>
      <c r="B284" s="13"/>
      <c r="C284" s="13"/>
      <c r="D284" s="14"/>
      <c r="E284" s="15"/>
      <c r="F284" s="15"/>
      <c r="G284" s="12"/>
      <c r="H284" s="16" t="str">
        <f aca="false">IF(OR(A284="",C284=""),"",IFERROR(INDEX(Aşamalar!$B$5:$B$12,MATCH(C284,Aşamalar!$A$5:$A$12,0)),0))</f>
        <v/>
      </c>
      <c r="I284" s="17" t="str">
        <f aca="false">IF(H284="","",D284*H284)</f>
        <v/>
      </c>
      <c r="J284" s="18" t="str">
        <f aca="true">IF(AND(AND(C284&lt;&gt;"Kazanıldı",C284&lt;&gt;"Kaybedildi",C284&lt;&gt;""),F284&lt;&gt;""),IF(F284&lt;TODAY(),"Gecikti",IF(F284=TODAY(),"Bugün","")),"")</f>
        <v/>
      </c>
      <c r="K284" s="18" t="str">
        <f aca="true">IF(AND(AND(C284&lt;&gt;"Kazanıldı",C284&lt;&gt;"Kaybedildi",C284&lt;&gt;""),F284&lt;&gt;"",F284&lt;=TODAY()),F284+ROW()/1000000,"")</f>
        <v/>
      </c>
    </row>
    <row r="285" customFormat="false" ht="15" hidden="false" customHeight="false" outlineLevel="0" collapsed="false">
      <c r="A285" s="12"/>
      <c r="B285" s="13"/>
      <c r="C285" s="13"/>
      <c r="D285" s="14"/>
      <c r="E285" s="15"/>
      <c r="F285" s="15"/>
      <c r="G285" s="12"/>
      <c r="H285" s="16" t="str">
        <f aca="false">IF(OR(A285="",C285=""),"",IFERROR(INDEX(Aşamalar!$B$5:$B$12,MATCH(C285,Aşamalar!$A$5:$A$12,0)),0))</f>
        <v/>
      </c>
      <c r="I285" s="17" t="str">
        <f aca="false">IF(H285="","",D285*H285)</f>
        <v/>
      </c>
      <c r="J285" s="18" t="str">
        <f aca="true">IF(AND(AND(C285&lt;&gt;"Kazanıldı",C285&lt;&gt;"Kaybedildi",C285&lt;&gt;""),F285&lt;&gt;""),IF(F285&lt;TODAY(),"Gecikti",IF(F285=TODAY(),"Bugün","")),"")</f>
        <v/>
      </c>
      <c r="K285" s="18" t="str">
        <f aca="true">IF(AND(AND(C285&lt;&gt;"Kazanıldı",C285&lt;&gt;"Kaybedildi",C285&lt;&gt;""),F285&lt;&gt;"",F285&lt;=TODAY()),F285+ROW()/1000000,"")</f>
        <v/>
      </c>
    </row>
    <row r="286" customFormat="false" ht="15" hidden="false" customHeight="false" outlineLevel="0" collapsed="false">
      <c r="A286" s="12"/>
      <c r="B286" s="13"/>
      <c r="C286" s="13"/>
      <c r="D286" s="14"/>
      <c r="E286" s="15"/>
      <c r="F286" s="15"/>
      <c r="G286" s="12"/>
      <c r="H286" s="16" t="str">
        <f aca="false">IF(OR(A286="",C286=""),"",IFERROR(INDEX(Aşamalar!$B$5:$B$12,MATCH(C286,Aşamalar!$A$5:$A$12,0)),0))</f>
        <v/>
      </c>
      <c r="I286" s="17" t="str">
        <f aca="false">IF(H286="","",D286*H286)</f>
        <v/>
      </c>
      <c r="J286" s="18" t="str">
        <f aca="true">IF(AND(AND(C286&lt;&gt;"Kazanıldı",C286&lt;&gt;"Kaybedildi",C286&lt;&gt;""),F286&lt;&gt;""),IF(F286&lt;TODAY(),"Gecikti",IF(F286=TODAY(),"Bugün","")),"")</f>
        <v/>
      </c>
      <c r="K286" s="18" t="str">
        <f aca="true">IF(AND(AND(C286&lt;&gt;"Kazanıldı",C286&lt;&gt;"Kaybedildi",C286&lt;&gt;""),F286&lt;&gt;"",F286&lt;=TODAY()),F286+ROW()/1000000,"")</f>
        <v/>
      </c>
    </row>
    <row r="287" customFormat="false" ht="15" hidden="false" customHeight="false" outlineLevel="0" collapsed="false">
      <c r="A287" s="12"/>
      <c r="B287" s="13"/>
      <c r="C287" s="13"/>
      <c r="D287" s="14"/>
      <c r="E287" s="15"/>
      <c r="F287" s="15"/>
      <c r="G287" s="12"/>
      <c r="H287" s="16" t="str">
        <f aca="false">IF(OR(A287="",C287=""),"",IFERROR(INDEX(Aşamalar!$B$5:$B$12,MATCH(C287,Aşamalar!$A$5:$A$12,0)),0))</f>
        <v/>
      </c>
      <c r="I287" s="17" t="str">
        <f aca="false">IF(H287="","",D287*H287)</f>
        <v/>
      </c>
      <c r="J287" s="18" t="str">
        <f aca="true">IF(AND(AND(C287&lt;&gt;"Kazanıldı",C287&lt;&gt;"Kaybedildi",C287&lt;&gt;""),F287&lt;&gt;""),IF(F287&lt;TODAY(),"Gecikti",IF(F287=TODAY(),"Bugün","")),"")</f>
        <v/>
      </c>
      <c r="K287" s="18" t="str">
        <f aca="true">IF(AND(AND(C287&lt;&gt;"Kazanıldı",C287&lt;&gt;"Kaybedildi",C287&lt;&gt;""),F287&lt;&gt;"",F287&lt;=TODAY()),F287+ROW()/1000000,"")</f>
        <v/>
      </c>
    </row>
    <row r="288" customFormat="false" ht="15" hidden="false" customHeight="false" outlineLevel="0" collapsed="false">
      <c r="A288" s="12"/>
      <c r="B288" s="13"/>
      <c r="C288" s="13"/>
      <c r="D288" s="14"/>
      <c r="E288" s="15"/>
      <c r="F288" s="15"/>
      <c r="G288" s="12"/>
      <c r="H288" s="16" t="str">
        <f aca="false">IF(OR(A288="",C288=""),"",IFERROR(INDEX(Aşamalar!$B$5:$B$12,MATCH(C288,Aşamalar!$A$5:$A$12,0)),0))</f>
        <v/>
      </c>
      <c r="I288" s="17" t="str">
        <f aca="false">IF(H288="","",D288*H288)</f>
        <v/>
      </c>
      <c r="J288" s="18" t="str">
        <f aca="true">IF(AND(AND(C288&lt;&gt;"Kazanıldı",C288&lt;&gt;"Kaybedildi",C288&lt;&gt;""),F288&lt;&gt;""),IF(F288&lt;TODAY(),"Gecikti",IF(F288=TODAY(),"Bugün","")),"")</f>
        <v/>
      </c>
      <c r="K288" s="18" t="str">
        <f aca="true">IF(AND(AND(C288&lt;&gt;"Kazanıldı",C288&lt;&gt;"Kaybedildi",C288&lt;&gt;""),F288&lt;&gt;"",F288&lt;=TODAY()),F288+ROW()/1000000,"")</f>
        <v/>
      </c>
    </row>
    <row r="289" customFormat="false" ht="15" hidden="false" customHeight="false" outlineLevel="0" collapsed="false">
      <c r="A289" s="12"/>
      <c r="B289" s="13"/>
      <c r="C289" s="13"/>
      <c r="D289" s="14"/>
      <c r="E289" s="15"/>
      <c r="F289" s="15"/>
      <c r="G289" s="12"/>
      <c r="H289" s="16" t="str">
        <f aca="false">IF(OR(A289="",C289=""),"",IFERROR(INDEX(Aşamalar!$B$5:$B$12,MATCH(C289,Aşamalar!$A$5:$A$12,0)),0))</f>
        <v/>
      </c>
      <c r="I289" s="17" t="str">
        <f aca="false">IF(H289="","",D289*H289)</f>
        <v/>
      </c>
      <c r="J289" s="18" t="str">
        <f aca="true">IF(AND(AND(C289&lt;&gt;"Kazanıldı",C289&lt;&gt;"Kaybedildi",C289&lt;&gt;""),F289&lt;&gt;""),IF(F289&lt;TODAY(),"Gecikti",IF(F289=TODAY(),"Bugün","")),"")</f>
        <v/>
      </c>
      <c r="K289" s="18" t="str">
        <f aca="true">IF(AND(AND(C289&lt;&gt;"Kazanıldı",C289&lt;&gt;"Kaybedildi",C289&lt;&gt;""),F289&lt;&gt;"",F289&lt;=TODAY()),F289+ROW()/1000000,"")</f>
        <v/>
      </c>
    </row>
    <row r="290" customFormat="false" ht="15" hidden="false" customHeight="false" outlineLevel="0" collapsed="false">
      <c r="A290" s="12"/>
      <c r="B290" s="13"/>
      <c r="C290" s="13"/>
      <c r="D290" s="14"/>
      <c r="E290" s="15"/>
      <c r="F290" s="15"/>
      <c r="G290" s="12"/>
      <c r="H290" s="16" t="str">
        <f aca="false">IF(OR(A290="",C290=""),"",IFERROR(INDEX(Aşamalar!$B$5:$B$12,MATCH(C290,Aşamalar!$A$5:$A$12,0)),0))</f>
        <v/>
      </c>
      <c r="I290" s="17" t="str">
        <f aca="false">IF(H290="","",D290*H290)</f>
        <v/>
      </c>
      <c r="J290" s="18" t="str">
        <f aca="true">IF(AND(AND(C290&lt;&gt;"Kazanıldı",C290&lt;&gt;"Kaybedildi",C290&lt;&gt;""),F290&lt;&gt;""),IF(F290&lt;TODAY(),"Gecikti",IF(F290=TODAY(),"Bugün","")),"")</f>
        <v/>
      </c>
      <c r="K290" s="18" t="str">
        <f aca="true">IF(AND(AND(C290&lt;&gt;"Kazanıldı",C290&lt;&gt;"Kaybedildi",C290&lt;&gt;""),F290&lt;&gt;"",F290&lt;=TODAY()),F290+ROW()/1000000,"")</f>
        <v/>
      </c>
    </row>
    <row r="291" customFormat="false" ht="15" hidden="false" customHeight="false" outlineLevel="0" collapsed="false">
      <c r="A291" s="12"/>
      <c r="B291" s="13"/>
      <c r="C291" s="13"/>
      <c r="D291" s="14"/>
      <c r="E291" s="15"/>
      <c r="F291" s="15"/>
      <c r="G291" s="12"/>
      <c r="H291" s="16" t="str">
        <f aca="false">IF(OR(A291="",C291=""),"",IFERROR(INDEX(Aşamalar!$B$5:$B$12,MATCH(C291,Aşamalar!$A$5:$A$12,0)),0))</f>
        <v/>
      </c>
      <c r="I291" s="17" t="str">
        <f aca="false">IF(H291="","",D291*H291)</f>
        <v/>
      </c>
      <c r="J291" s="18" t="str">
        <f aca="true">IF(AND(AND(C291&lt;&gt;"Kazanıldı",C291&lt;&gt;"Kaybedildi",C291&lt;&gt;""),F291&lt;&gt;""),IF(F291&lt;TODAY(),"Gecikti",IF(F291=TODAY(),"Bugün","")),"")</f>
        <v/>
      </c>
      <c r="K291" s="18" t="str">
        <f aca="true">IF(AND(AND(C291&lt;&gt;"Kazanıldı",C291&lt;&gt;"Kaybedildi",C291&lt;&gt;""),F291&lt;&gt;"",F291&lt;=TODAY()),F291+ROW()/1000000,"")</f>
        <v/>
      </c>
    </row>
    <row r="292" customFormat="false" ht="15" hidden="false" customHeight="false" outlineLevel="0" collapsed="false">
      <c r="A292" s="12"/>
      <c r="B292" s="13"/>
      <c r="C292" s="13"/>
      <c r="D292" s="14"/>
      <c r="E292" s="15"/>
      <c r="F292" s="15"/>
      <c r="G292" s="12"/>
      <c r="H292" s="16" t="str">
        <f aca="false">IF(OR(A292="",C292=""),"",IFERROR(INDEX(Aşamalar!$B$5:$B$12,MATCH(C292,Aşamalar!$A$5:$A$12,0)),0))</f>
        <v/>
      </c>
      <c r="I292" s="17" t="str">
        <f aca="false">IF(H292="","",D292*H292)</f>
        <v/>
      </c>
      <c r="J292" s="18" t="str">
        <f aca="true">IF(AND(AND(C292&lt;&gt;"Kazanıldı",C292&lt;&gt;"Kaybedildi",C292&lt;&gt;""),F292&lt;&gt;""),IF(F292&lt;TODAY(),"Gecikti",IF(F292=TODAY(),"Bugün","")),"")</f>
        <v/>
      </c>
      <c r="K292" s="18" t="str">
        <f aca="true">IF(AND(AND(C292&lt;&gt;"Kazanıldı",C292&lt;&gt;"Kaybedildi",C292&lt;&gt;""),F292&lt;&gt;"",F292&lt;=TODAY()),F292+ROW()/1000000,"")</f>
        <v/>
      </c>
    </row>
    <row r="293" customFormat="false" ht="15" hidden="false" customHeight="false" outlineLevel="0" collapsed="false">
      <c r="A293" s="12"/>
      <c r="B293" s="13"/>
      <c r="C293" s="13"/>
      <c r="D293" s="14"/>
      <c r="E293" s="15"/>
      <c r="F293" s="15"/>
      <c r="G293" s="12"/>
      <c r="H293" s="16" t="str">
        <f aca="false">IF(OR(A293="",C293=""),"",IFERROR(INDEX(Aşamalar!$B$5:$B$12,MATCH(C293,Aşamalar!$A$5:$A$12,0)),0))</f>
        <v/>
      </c>
      <c r="I293" s="17" t="str">
        <f aca="false">IF(H293="","",D293*H293)</f>
        <v/>
      </c>
      <c r="J293" s="18" t="str">
        <f aca="true">IF(AND(AND(C293&lt;&gt;"Kazanıldı",C293&lt;&gt;"Kaybedildi",C293&lt;&gt;""),F293&lt;&gt;""),IF(F293&lt;TODAY(),"Gecikti",IF(F293=TODAY(),"Bugün","")),"")</f>
        <v/>
      </c>
      <c r="K293" s="18" t="str">
        <f aca="true">IF(AND(AND(C293&lt;&gt;"Kazanıldı",C293&lt;&gt;"Kaybedildi",C293&lt;&gt;""),F293&lt;&gt;"",F293&lt;=TODAY()),F293+ROW()/1000000,"")</f>
        <v/>
      </c>
    </row>
    <row r="294" customFormat="false" ht="15" hidden="false" customHeight="false" outlineLevel="0" collapsed="false">
      <c r="A294" s="12"/>
      <c r="B294" s="13"/>
      <c r="C294" s="13"/>
      <c r="D294" s="14"/>
      <c r="E294" s="15"/>
      <c r="F294" s="15"/>
      <c r="G294" s="12"/>
      <c r="H294" s="16" t="str">
        <f aca="false">IF(OR(A294="",C294=""),"",IFERROR(INDEX(Aşamalar!$B$5:$B$12,MATCH(C294,Aşamalar!$A$5:$A$12,0)),0))</f>
        <v/>
      </c>
      <c r="I294" s="17" t="str">
        <f aca="false">IF(H294="","",D294*H294)</f>
        <v/>
      </c>
      <c r="J294" s="18" t="str">
        <f aca="true">IF(AND(AND(C294&lt;&gt;"Kazanıldı",C294&lt;&gt;"Kaybedildi",C294&lt;&gt;""),F294&lt;&gt;""),IF(F294&lt;TODAY(),"Gecikti",IF(F294=TODAY(),"Bugün","")),"")</f>
        <v/>
      </c>
      <c r="K294" s="18" t="str">
        <f aca="true">IF(AND(AND(C294&lt;&gt;"Kazanıldı",C294&lt;&gt;"Kaybedildi",C294&lt;&gt;""),F294&lt;&gt;"",F294&lt;=TODAY()),F294+ROW()/1000000,"")</f>
        <v/>
      </c>
    </row>
    <row r="295" customFormat="false" ht="15" hidden="false" customHeight="false" outlineLevel="0" collapsed="false">
      <c r="A295" s="12"/>
      <c r="B295" s="13"/>
      <c r="C295" s="13"/>
      <c r="D295" s="14"/>
      <c r="E295" s="15"/>
      <c r="F295" s="15"/>
      <c r="G295" s="12"/>
      <c r="H295" s="16" t="str">
        <f aca="false">IF(OR(A295="",C295=""),"",IFERROR(INDEX(Aşamalar!$B$5:$B$12,MATCH(C295,Aşamalar!$A$5:$A$12,0)),0))</f>
        <v/>
      </c>
      <c r="I295" s="17" t="str">
        <f aca="false">IF(H295="","",D295*H295)</f>
        <v/>
      </c>
      <c r="J295" s="18" t="str">
        <f aca="true">IF(AND(AND(C295&lt;&gt;"Kazanıldı",C295&lt;&gt;"Kaybedildi",C295&lt;&gt;""),F295&lt;&gt;""),IF(F295&lt;TODAY(),"Gecikti",IF(F295=TODAY(),"Bugün","")),"")</f>
        <v/>
      </c>
      <c r="K295" s="18" t="str">
        <f aca="true">IF(AND(AND(C295&lt;&gt;"Kazanıldı",C295&lt;&gt;"Kaybedildi",C295&lt;&gt;""),F295&lt;&gt;"",F295&lt;=TODAY()),F295+ROW()/1000000,"")</f>
        <v/>
      </c>
    </row>
    <row r="296" customFormat="false" ht="15" hidden="false" customHeight="false" outlineLevel="0" collapsed="false">
      <c r="A296" s="12"/>
      <c r="B296" s="13"/>
      <c r="C296" s="13"/>
      <c r="D296" s="14"/>
      <c r="E296" s="15"/>
      <c r="F296" s="15"/>
      <c r="G296" s="12"/>
      <c r="H296" s="16" t="str">
        <f aca="false">IF(OR(A296="",C296=""),"",IFERROR(INDEX(Aşamalar!$B$5:$B$12,MATCH(C296,Aşamalar!$A$5:$A$12,0)),0))</f>
        <v/>
      </c>
      <c r="I296" s="17" t="str">
        <f aca="false">IF(H296="","",D296*H296)</f>
        <v/>
      </c>
      <c r="J296" s="18" t="str">
        <f aca="true">IF(AND(AND(C296&lt;&gt;"Kazanıldı",C296&lt;&gt;"Kaybedildi",C296&lt;&gt;""),F296&lt;&gt;""),IF(F296&lt;TODAY(),"Gecikti",IF(F296=TODAY(),"Bugün","")),"")</f>
        <v/>
      </c>
      <c r="K296" s="18" t="str">
        <f aca="true">IF(AND(AND(C296&lt;&gt;"Kazanıldı",C296&lt;&gt;"Kaybedildi",C296&lt;&gt;""),F296&lt;&gt;"",F296&lt;=TODAY()),F296+ROW()/1000000,"")</f>
        <v/>
      </c>
    </row>
    <row r="297" customFormat="false" ht="15" hidden="false" customHeight="false" outlineLevel="0" collapsed="false">
      <c r="A297" s="12"/>
      <c r="B297" s="13"/>
      <c r="C297" s="13"/>
      <c r="D297" s="14"/>
      <c r="E297" s="15"/>
      <c r="F297" s="15"/>
      <c r="G297" s="12"/>
      <c r="H297" s="16" t="str">
        <f aca="false">IF(OR(A297="",C297=""),"",IFERROR(INDEX(Aşamalar!$B$5:$B$12,MATCH(C297,Aşamalar!$A$5:$A$12,0)),0))</f>
        <v/>
      </c>
      <c r="I297" s="17" t="str">
        <f aca="false">IF(H297="","",D297*H297)</f>
        <v/>
      </c>
      <c r="J297" s="18" t="str">
        <f aca="true">IF(AND(AND(C297&lt;&gt;"Kazanıldı",C297&lt;&gt;"Kaybedildi",C297&lt;&gt;""),F297&lt;&gt;""),IF(F297&lt;TODAY(),"Gecikti",IF(F297=TODAY(),"Bugün","")),"")</f>
        <v/>
      </c>
      <c r="K297" s="18" t="str">
        <f aca="true">IF(AND(AND(C297&lt;&gt;"Kazanıldı",C297&lt;&gt;"Kaybedildi",C297&lt;&gt;""),F297&lt;&gt;"",F297&lt;=TODAY()),F297+ROW()/1000000,"")</f>
        <v/>
      </c>
    </row>
    <row r="298" customFormat="false" ht="15" hidden="false" customHeight="false" outlineLevel="0" collapsed="false">
      <c r="A298" s="12"/>
      <c r="B298" s="13"/>
      <c r="C298" s="13"/>
      <c r="D298" s="14"/>
      <c r="E298" s="15"/>
      <c r="F298" s="15"/>
      <c r="G298" s="12"/>
      <c r="H298" s="16" t="str">
        <f aca="false">IF(OR(A298="",C298=""),"",IFERROR(INDEX(Aşamalar!$B$5:$B$12,MATCH(C298,Aşamalar!$A$5:$A$12,0)),0))</f>
        <v/>
      </c>
      <c r="I298" s="17" t="str">
        <f aca="false">IF(H298="","",D298*H298)</f>
        <v/>
      </c>
      <c r="J298" s="18" t="str">
        <f aca="true">IF(AND(AND(C298&lt;&gt;"Kazanıldı",C298&lt;&gt;"Kaybedildi",C298&lt;&gt;""),F298&lt;&gt;""),IF(F298&lt;TODAY(),"Gecikti",IF(F298=TODAY(),"Bugün","")),"")</f>
        <v/>
      </c>
      <c r="K298" s="18" t="str">
        <f aca="true">IF(AND(AND(C298&lt;&gt;"Kazanıldı",C298&lt;&gt;"Kaybedildi",C298&lt;&gt;""),F298&lt;&gt;"",F298&lt;=TODAY()),F298+ROW()/1000000,"")</f>
        <v/>
      </c>
    </row>
    <row r="299" customFormat="false" ht="15" hidden="false" customHeight="false" outlineLevel="0" collapsed="false">
      <c r="A299" s="12"/>
      <c r="B299" s="13"/>
      <c r="C299" s="13"/>
      <c r="D299" s="14"/>
      <c r="E299" s="15"/>
      <c r="F299" s="15"/>
      <c r="G299" s="12"/>
      <c r="H299" s="16" t="str">
        <f aca="false">IF(OR(A299="",C299=""),"",IFERROR(INDEX(Aşamalar!$B$5:$B$12,MATCH(C299,Aşamalar!$A$5:$A$12,0)),0))</f>
        <v/>
      </c>
      <c r="I299" s="17" t="str">
        <f aca="false">IF(H299="","",D299*H299)</f>
        <v/>
      </c>
      <c r="J299" s="18" t="str">
        <f aca="true">IF(AND(AND(C299&lt;&gt;"Kazanıldı",C299&lt;&gt;"Kaybedildi",C299&lt;&gt;""),F299&lt;&gt;""),IF(F299&lt;TODAY(),"Gecikti",IF(F299=TODAY(),"Bugün","")),"")</f>
        <v/>
      </c>
      <c r="K299" s="18" t="str">
        <f aca="true">IF(AND(AND(C299&lt;&gt;"Kazanıldı",C299&lt;&gt;"Kaybedildi",C299&lt;&gt;""),F299&lt;&gt;"",F299&lt;=TODAY()),F299+ROW()/1000000,"")</f>
        <v/>
      </c>
    </row>
    <row r="300" customFormat="false" ht="15" hidden="false" customHeight="false" outlineLevel="0" collapsed="false">
      <c r="A300" s="12"/>
      <c r="B300" s="13"/>
      <c r="C300" s="13"/>
      <c r="D300" s="14"/>
      <c r="E300" s="15"/>
      <c r="F300" s="15"/>
      <c r="G300" s="12"/>
      <c r="H300" s="16" t="str">
        <f aca="false">IF(OR(A300="",C300=""),"",IFERROR(INDEX(Aşamalar!$B$5:$B$12,MATCH(C300,Aşamalar!$A$5:$A$12,0)),0))</f>
        <v/>
      </c>
      <c r="I300" s="17" t="str">
        <f aca="false">IF(H300="","",D300*H300)</f>
        <v/>
      </c>
      <c r="J300" s="18" t="str">
        <f aca="true">IF(AND(AND(C300&lt;&gt;"Kazanıldı",C300&lt;&gt;"Kaybedildi",C300&lt;&gt;""),F300&lt;&gt;""),IF(F300&lt;TODAY(),"Gecikti",IF(F300=TODAY(),"Bugün","")),"")</f>
        <v/>
      </c>
      <c r="K300" s="18" t="str">
        <f aca="true">IF(AND(AND(C300&lt;&gt;"Kazanıldı",C300&lt;&gt;"Kaybedildi",C300&lt;&gt;""),F300&lt;&gt;"",F300&lt;=TODAY()),F300+ROW()/1000000,"")</f>
        <v/>
      </c>
    </row>
    <row r="301" customFormat="false" ht="15" hidden="false" customHeight="false" outlineLevel="0" collapsed="false">
      <c r="A301" s="12"/>
      <c r="B301" s="13"/>
      <c r="C301" s="13"/>
      <c r="D301" s="14"/>
      <c r="E301" s="15"/>
      <c r="F301" s="15"/>
      <c r="G301" s="12"/>
      <c r="H301" s="16" t="str">
        <f aca="false">IF(OR(A301="",C301=""),"",IFERROR(INDEX(Aşamalar!$B$5:$B$12,MATCH(C301,Aşamalar!$A$5:$A$12,0)),0))</f>
        <v/>
      </c>
      <c r="I301" s="17" t="str">
        <f aca="false">IF(H301="","",D301*H301)</f>
        <v/>
      </c>
      <c r="J301" s="18" t="str">
        <f aca="true">IF(AND(AND(C301&lt;&gt;"Kazanıldı",C301&lt;&gt;"Kaybedildi",C301&lt;&gt;""),F301&lt;&gt;""),IF(F301&lt;TODAY(),"Gecikti",IF(F301=TODAY(),"Bugün","")),"")</f>
        <v/>
      </c>
      <c r="K301" s="18" t="str">
        <f aca="true">IF(AND(AND(C301&lt;&gt;"Kazanıldı",C301&lt;&gt;"Kaybedildi",C301&lt;&gt;""),F301&lt;&gt;"",F301&lt;=TODAY()),F301+ROW()/1000000,"")</f>
        <v/>
      </c>
    </row>
    <row r="302" customFormat="false" ht="15" hidden="false" customHeight="false" outlineLevel="0" collapsed="false">
      <c r="A302" s="12"/>
      <c r="B302" s="13"/>
      <c r="C302" s="13"/>
      <c r="D302" s="14"/>
      <c r="E302" s="15"/>
      <c r="F302" s="15"/>
      <c r="G302" s="12"/>
      <c r="H302" s="16" t="str">
        <f aca="false">IF(OR(A302="",C302=""),"",IFERROR(INDEX(Aşamalar!$B$5:$B$12,MATCH(C302,Aşamalar!$A$5:$A$12,0)),0))</f>
        <v/>
      </c>
      <c r="I302" s="17" t="str">
        <f aca="false">IF(H302="","",D302*H302)</f>
        <v/>
      </c>
      <c r="J302" s="18" t="str">
        <f aca="true">IF(AND(AND(C302&lt;&gt;"Kazanıldı",C302&lt;&gt;"Kaybedildi",C302&lt;&gt;""),F302&lt;&gt;""),IF(F302&lt;TODAY(),"Gecikti",IF(F302=TODAY(),"Bugün","")),"")</f>
        <v/>
      </c>
      <c r="K302" s="18" t="str">
        <f aca="true">IF(AND(AND(C302&lt;&gt;"Kazanıldı",C302&lt;&gt;"Kaybedildi",C302&lt;&gt;""),F302&lt;&gt;"",F302&lt;=TODAY()),F302+ROW()/1000000,"")</f>
        <v/>
      </c>
    </row>
    <row r="303" customFormat="false" ht="15" hidden="false" customHeight="false" outlineLevel="0" collapsed="false">
      <c r="A303" s="12"/>
      <c r="B303" s="13"/>
      <c r="C303" s="13"/>
      <c r="D303" s="14"/>
      <c r="E303" s="15"/>
      <c r="F303" s="15"/>
      <c r="G303" s="12"/>
      <c r="H303" s="16" t="str">
        <f aca="false">IF(OR(A303="",C303=""),"",IFERROR(INDEX(Aşamalar!$B$5:$B$12,MATCH(C303,Aşamalar!$A$5:$A$12,0)),0))</f>
        <v/>
      </c>
      <c r="I303" s="17" t="str">
        <f aca="false">IF(H303="","",D303*H303)</f>
        <v/>
      </c>
      <c r="J303" s="18" t="str">
        <f aca="true">IF(AND(AND(C303&lt;&gt;"Kazanıldı",C303&lt;&gt;"Kaybedildi",C303&lt;&gt;""),F303&lt;&gt;""),IF(F303&lt;TODAY(),"Gecikti",IF(F303=TODAY(),"Bugün","")),"")</f>
        <v/>
      </c>
      <c r="K303" s="18" t="str">
        <f aca="true">IF(AND(AND(C303&lt;&gt;"Kazanıldı",C303&lt;&gt;"Kaybedildi",C303&lt;&gt;""),F303&lt;&gt;"",F303&lt;=TODAY()),F303+ROW()/1000000,"")</f>
        <v/>
      </c>
    </row>
    <row r="304" customFormat="false" ht="15" hidden="false" customHeight="false" outlineLevel="0" collapsed="false">
      <c r="A304" s="12"/>
      <c r="B304" s="13"/>
      <c r="C304" s="13"/>
      <c r="D304" s="14"/>
      <c r="E304" s="15"/>
      <c r="F304" s="15"/>
      <c r="G304" s="12"/>
      <c r="H304" s="16" t="str">
        <f aca="false">IF(OR(A304="",C304=""),"",IFERROR(INDEX(Aşamalar!$B$5:$B$12,MATCH(C304,Aşamalar!$A$5:$A$12,0)),0))</f>
        <v/>
      </c>
      <c r="I304" s="17" t="str">
        <f aca="false">IF(H304="","",D304*H304)</f>
        <v/>
      </c>
      <c r="J304" s="18" t="str">
        <f aca="true">IF(AND(AND(C304&lt;&gt;"Kazanıldı",C304&lt;&gt;"Kaybedildi",C304&lt;&gt;""),F304&lt;&gt;""),IF(F304&lt;TODAY(),"Gecikti",IF(F304=TODAY(),"Bugün","")),"")</f>
        <v/>
      </c>
      <c r="K304" s="18" t="str">
        <f aca="true">IF(AND(AND(C304&lt;&gt;"Kazanıldı",C304&lt;&gt;"Kaybedildi",C304&lt;&gt;""),F304&lt;&gt;"",F304&lt;=TODAY()),F304+ROW()/1000000,"")</f>
        <v/>
      </c>
    </row>
    <row r="305" customFormat="false" ht="15" hidden="false" customHeight="false" outlineLevel="0" collapsed="false">
      <c r="A305" s="12"/>
      <c r="B305" s="13"/>
      <c r="C305" s="13"/>
      <c r="D305" s="14"/>
      <c r="E305" s="15"/>
      <c r="F305" s="15"/>
      <c r="G305" s="12"/>
      <c r="H305" s="16" t="str">
        <f aca="false">IF(OR(A305="",C305=""),"",IFERROR(INDEX(Aşamalar!$B$5:$B$12,MATCH(C305,Aşamalar!$A$5:$A$12,0)),0))</f>
        <v/>
      </c>
      <c r="I305" s="17" t="str">
        <f aca="false">IF(H305="","",D305*H305)</f>
        <v/>
      </c>
      <c r="J305" s="18" t="str">
        <f aca="true">IF(AND(AND(C305&lt;&gt;"Kazanıldı",C305&lt;&gt;"Kaybedildi",C305&lt;&gt;""),F305&lt;&gt;""),IF(F305&lt;TODAY(),"Gecikti",IF(F305=TODAY(),"Bugün","")),"")</f>
        <v/>
      </c>
      <c r="K305" s="18" t="str">
        <f aca="true">IF(AND(AND(C305&lt;&gt;"Kazanıldı",C305&lt;&gt;"Kaybedildi",C305&lt;&gt;""),F305&lt;&gt;"",F305&lt;=TODAY()),F305+ROW()/1000000,"")</f>
        <v/>
      </c>
    </row>
    <row r="306" customFormat="false" ht="15" hidden="false" customHeight="false" outlineLevel="0" collapsed="false">
      <c r="A306" s="12"/>
      <c r="B306" s="13"/>
      <c r="C306" s="13"/>
      <c r="D306" s="14"/>
      <c r="E306" s="15"/>
      <c r="F306" s="15"/>
      <c r="G306" s="12"/>
      <c r="H306" s="16" t="str">
        <f aca="false">IF(OR(A306="",C306=""),"",IFERROR(INDEX(Aşamalar!$B$5:$B$12,MATCH(C306,Aşamalar!$A$5:$A$12,0)),0))</f>
        <v/>
      </c>
      <c r="I306" s="17" t="str">
        <f aca="false">IF(H306="","",D306*H306)</f>
        <v/>
      </c>
      <c r="J306" s="18" t="str">
        <f aca="true">IF(AND(AND(C306&lt;&gt;"Kazanıldı",C306&lt;&gt;"Kaybedildi",C306&lt;&gt;""),F306&lt;&gt;""),IF(F306&lt;TODAY(),"Gecikti",IF(F306=TODAY(),"Bugün","")),"")</f>
        <v/>
      </c>
      <c r="K306" s="18" t="str">
        <f aca="true">IF(AND(AND(C306&lt;&gt;"Kazanıldı",C306&lt;&gt;"Kaybedildi",C306&lt;&gt;""),F306&lt;&gt;"",F306&lt;=TODAY()),F306+ROW()/1000000,"")</f>
        <v/>
      </c>
    </row>
    <row r="307" customFormat="false" ht="15" hidden="false" customHeight="false" outlineLevel="0" collapsed="false">
      <c r="A307" s="12"/>
      <c r="B307" s="13"/>
      <c r="C307" s="13"/>
      <c r="D307" s="14"/>
      <c r="E307" s="15"/>
      <c r="F307" s="15"/>
      <c r="G307" s="12"/>
      <c r="H307" s="16" t="str">
        <f aca="false">IF(OR(A307="",C307=""),"",IFERROR(INDEX(Aşamalar!$B$5:$B$12,MATCH(C307,Aşamalar!$A$5:$A$12,0)),0))</f>
        <v/>
      </c>
      <c r="I307" s="17" t="str">
        <f aca="false">IF(H307="","",D307*H307)</f>
        <v/>
      </c>
      <c r="J307" s="18" t="str">
        <f aca="true">IF(AND(AND(C307&lt;&gt;"Kazanıldı",C307&lt;&gt;"Kaybedildi",C307&lt;&gt;""),F307&lt;&gt;""),IF(F307&lt;TODAY(),"Gecikti",IF(F307=TODAY(),"Bugün","")),"")</f>
        <v/>
      </c>
      <c r="K307" s="18" t="str">
        <f aca="true">IF(AND(AND(C307&lt;&gt;"Kazanıldı",C307&lt;&gt;"Kaybedildi",C307&lt;&gt;""),F307&lt;&gt;"",F307&lt;=TODAY()),F307+ROW()/1000000,"")</f>
        <v/>
      </c>
    </row>
    <row r="308" customFormat="false" ht="15" hidden="false" customHeight="false" outlineLevel="0" collapsed="false">
      <c r="A308" s="12"/>
      <c r="B308" s="13"/>
      <c r="C308" s="13"/>
      <c r="D308" s="14"/>
      <c r="E308" s="15"/>
      <c r="F308" s="15"/>
      <c r="G308" s="12"/>
      <c r="H308" s="16" t="str">
        <f aca="false">IF(OR(A308="",C308=""),"",IFERROR(INDEX(Aşamalar!$B$5:$B$12,MATCH(C308,Aşamalar!$A$5:$A$12,0)),0))</f>
        <v/>
      </c>
      <c r="I308" s="17" t="str">
        <f aca="false">IF(H308="","",D308*H308)</f>
        <v/>
      </c>
      <c r="J308" s="18" t="str">
        <f aca="true">IF(AND(AND(C308&lt;&gt;"Kazanıldı",C308&lt;&gt;"Kaybedildi",C308&lt;&gt;""),F308&lt;&gt;""),IF(F308&lt;TODAY(),"Gecikti",IF(F308=TODAY(),"Bugün","")),"")</f>
        <v/>
      </c>
      <c r="K308" s="18" t="str">
        <f aca="true">IF(AND(AND(C308&lt;&gt;"Kazanıldı",C308&lt;&gt;"Kaybedildi",C308&lt;&gt;""),F308&lt;&gt;"",F308&lt;=TODAY()),F308+ROW()/1000000,"")</f>
        <v/>
      </c>
    </row>
    <row r="309" customFormat="false" ht="15" hidden="false" customHeight="false" outlineLevel="0" collapsed="false">
      <c r="A309" s="12"/>
      <c r="B309" s="13"/>
      <c r="C309" s="13"/>
      <c r="D309" s="14"/>
      <c r="E309" s="15"/>
      <c r="F309" s="15"/>
      <c r="G309" s="12"/>
      <c r="H309" s="16" t="str">
        <f aca="false">IF(OR(A309="",C309=""),"",IFERROR(INDEX(Aşamalar!$B$5:$B$12,MATCH(C309,Aşamalar!$A$5:$A$12,0)),0))</f>
        <v/>
      </c>
      <c r="I309" s="17" t="str">
        <f aca="false">IF(H309="","",D309*H309)</f>
        <v/>
      </c>
      <c r="J309" s="18" t="str">
        <f aca="true">IF(AND(AND(C309&lt;&gt;"Kazanıldı",C309&lt;&gt;"Kaybedildi",C309&lt;&gt;""),F309&lt;&gt;""),IF(F309&lt;TODAY(),"Gecikti",IF(F309=TODAY(),"Bugün","")),"")</f>
        <v/>
      </c>
      <c r="K309" s="18" t="str">
        <f aca="true">IF(AND(AND(C309&lt;&gt;"Kazanıldı",C309&lt;&gt;"Kaybedildi",C309&lt;&gt;""),F309&lt;&gt;"",F309&lt;=TODAY()),F309+ROW()/1000000,"")</f>
        <v/>
      </c>
    </row>
    <row r="310" customFormat="false" ht="15" hidden="false" customHeight="false" outlineLevel="0" collapsed="false">
      <c r="A310" s="12"/>
      <c r="B310" s="13"/>
      <c r="C310" s="13"/>
      <c r="D310" s="14"/>
      <c r="E310" s="15"/>
      <c r="F310" s="15"/>
      <c r="G310" s="12"/>
      <c r="H310" s="16" t="str">
        <f aca="false">IF(OR(A310="",C310=""),"",IFERROR(INDEX(Aşamalar!$B$5:$B$12,MATCH(C310,Aşamalar!$A$5:$A$12,0)),0))</f>
        <v/>
      </c>
      <c r="I310" s="17" t="str">
        <f aca="false">IF(H310="","",D310*H310)</f>
        <v/>
      </c>
      <c r="J310" s="18" t="str">
        <f aca="true">IF(AND(AND(C310&lt;&gt;"Kazanıldı",C310&lt;&gt;"Kaybedildi",C310&lt;&gt;""),F310&lt;&gt;""),IF(F310&lt;TODAY(),"Gecikti",IF(F310=TODAY(),"Bugün","")),"")</f>
        <v/>
      </c>
      <c r="K310" s="18" t="str">
        <f aca="true">IF(AND(AND(C310&lt;&gt;"Kazanıldı",C310&lt;&gt;"Kaybedildi",C310&lt;&gt;""),F310&lt;&gt;"",F310&lt;=TODAY()),F310+ROW()/1000000,"")</f>
        <v/>
      </c>
    </row>
    <row r="311" customFormat="false" ht="15" hidden="false" customHeight="false" outlineLevel="0" collapsed="false">
      <c r="A311" s="12"/>
      <c r="B311" s="13"/>
      <c r="C311" s="13"/>
      <c r="D311" s="14"/>
      <c r="E311" s="15"/>
      <c r="F311" s="15"/>
      <c r="G311" s="12"/>
      <c r="H311" s="16" t="str">
        <f aca="false">IF(OR(A311="",C311=""),"",IFERROR(INDEX(Aşamalar!$B$5:$B$12,MATCH(C311,Aşamalar!$A$5:$A$12,0)),0))</f>
        <v/>
      </c>
      <c r="I311" s="17" t="str">
        <f aca="false">IF(H311="","",D311*H311)</f>
        <v/>
      </c>
      <c r="J311" s="18" t="str">
        <f aca="true">IF(AND(AND(C311&lt;&gt;"Kazanıldı",C311&lt;&gt;"Kaybedildi",C311&lt;&gt;""),F311&lt;&gt;""),IF(F311&lt;TODAY(),"Gecikti",IF(F311=TODAY(),"Bugün","")),"")</f>
        <v/>
      </c>
      <c r="K311" s="18" t="str">
        <f aca="true">IF(AND(AND(C311&lt;&gt;"Kazanıldı",C311&lt;&gt;"Kaybedildi",C311&lt;&gt;""),F311&lt;&gt;"",F311&lt;=TODAY()),F311+ROW()/1000000,"")</f>
        <v/>
      </c>
    </row>
    <row r="312" customFormat="false" ht="15" hidden="false" customHeight="false" outlineLevel="0" collapsed="false">
      <c r="A312" s="12"/>
      <c r="B312" s="13"/>
      <c r="C312" s="13"/>
      <c r="D312" s="14"/>
      <c r="E312" s="15"/>
      <c r="F312" s="15"/>
      <c r="G312" s="12"/>
      <c r="H312" s="16" t="str">
        <f aca="false">IF(OR(A312="",C312=""),"",IFERROR(INDEX(Aşamalar!$B$5:$B$12,MATCH(C312,Aşamalar!$A$5:$A$12,0)),0))</f>
        <v/>
      </c>
      <c r="I312" s="17" t="str">
        <f aca="false">IF(H312="","",D312*H312)</f>
        <v/>
      </c>
      <c r="J312" s="18" t="str">
        <f aca="true">IF(AND(AND(C312&lt;&gt;"Kazanıldı",C312&lt;&gt;"Kaybedildi",C312&lt;&gt;""),F312&lt;&gt;""),IF(F312&lt;TODAY(),"Gecikti",IF(F312=TODAY(),"Bugün","")),"")</f>
        <v/>
      </c>
      <c r="K312" s="18" t="str">
        <f aca="true">IF(AND(AND(C312&lt;&gt;"Kazanıldı",C312&lt;&gt;"Kaybedildi",C312&lt;&gt;""),F312&lt;&gt;"",F312&lt;=TODAY()),F312+ROW()/1000000,"")</f>
        <v/>
      </c>
    </row>
    <row r="313" customFormat="false" ht="15" hidden="false" customHeight="false" outlineLevel="0" collapsed="false">
      <c r="A313" s="12"/>
      <c r="B313" s="13"/>
      <c r="C313" s="13"/>
      <c r="D313" s="14"/>
      <c r="E313" s="15"/>
      <c r="F313" s="15"/>
      <c r="G313" s="12"/>
      <c r="H313" s="16" t="str">
        <f aca="false">IF(OR(A313="",C313=""),"",IFERROR(INDEX(Aşamalar!$B$5:$B$12,MATCH(C313,Aşamalar!$A$5:$A$12,0)),0))</f>
        <v/>
      </c>
      <c r="I313" s="17" t="str">
        <f aca="false">IF(H313="","",D313*H313)</f>
        <v/>
      </c>
      <c r="J313" s="18" t="str">
        <f aca="true">IF(AND(AND(C313&lt;&gt;"Kazanıldı",C313&lt;&gt;"Kaybedildi",C313&lt;&gt;""),F313&lt;&gt;""),IF(F313&lt;TODAY(),"Gecikti",IF(F313=TODAY(),"Bugün","")),"")</f>
        <v/>
      </c>
      <c r="K313" s="18" t="str">
        <f aca="true">IF(AND(AND(C313&lt;&gt;"Kazanıldı",C313&lt;&gt;"Kaybedildi",C313&lt;&gt;""),F313&lt;&gt;"",F313&lt;=TODAY()),F313+ROW()/1000000,"")</f>
        <v/>
      </c>
    </row>
    <row r="314" customFormat="false" ht="15" hidden="false" customHeight="false" outlineLevel="0" collapsed="false">
      <c r="A314" s="12"/>
      <c r="B314" s="13"/>
      <c r="C314" s="13"/>
      <c r="D314" s="14"/>
      <c r="E314" s="15"/>
      <c r="F314" s="15"/>
      <c r="G314" s="12"/>
      <c r="H314" s="16" t="str">
        <f aca="false">IF(OR(A314="",C314=""),"",IFERROR(INDEX(Aşamalar!$B$5:$B$12,MATCH(C314,Aşamalar!$A$5:$A$12,0)),0))</f>
        <v/>
      </c>
      <c r="I314" s="17" t="str">
        <f aca="false">IF(H314="","",D314*H314)</f>
        <v/>
      </c>
      <c r="J314" s="18" t="str">
        <f aca="true">IF(AND(AND(C314&lt;&gt;"Kazanıldı",C314&lt;&gt;"Kaybedildi",C314&lt;&gt;""),F314&lt;&gt;""),IF(F314&lt;TODAY(),"Gecikti",IF(F314=TODAY(),"Bugün","")),"")</f>
        <v/>
      </c>
      <c r="K314" s="18" t="str">
        <f aca="true">IF(AND(AND(C314&lt;&gt;"Kazanıldı",C314&lt;&gt;"Kaybedildi",C314&lt;&gt;""),F314&lt;&gt;"",F314&lt;=TODAY()),F314+ROW()/1000000,"")</f>
        <v/>
      </c>
    </row>
    <row r="315" customFormat="false" ht="15" hidden="false" customHeight="false" outlineLevel="0" collapsed="false">
      <c r="A315" s="12"/>
      <c r="B315" s="13"/>
      <c r="C315" s="13"/>
      <c r="D315" s="14"/>
      <c r="E315" s="15"/>
      <c r="F315" s="15"/>
      <c r="G315" s="12"/>
      <c r="H315" s="16" t="str">
        <f aca="false">IF(OR(A315="",C315=""),"",IFERROR(INDEX(Aşamalar!$B$5:$B$12,MATCH(C315,Aşamalar!$A$5:$A$12,0)),0))</f>
        <v/>
      </c>
      <c r="I315" s="17" t="str">
        <f aca="false">IF(H315="","",D315*H315)</f>
        <v/>
      </c>
      <c r="J315" s="18" t="str">
        <f aca="true">IF(AND(AND(C315&lt;&gt;"Kazanıldı",C315&lt;&gt;"Kaybedildi",C315&lt;&gt;""),F315&lt;&gt;""),IF(F315&lt;TODAY(),"Gecikti",IF(F315=TODAY(),"Bugün","")),"")</f>
        <v/>
      </c>
      <c r="K315" s="18" t="str">
        <f aca="true">IF(AND(AND(C315&lt;&gt;"Kazanıldı",C315&lt;&gt;"Kaybedildi",C315&lt;&gt;""),F315&lt;&gt;"",F315&lt;=TODAY()),F315+ROW()/1000000,"")</f>
        <v/>
      </c>
    </row>
    <row r="316" customFormat="false" ht="15" hidden="false" customHeight="false" outlineLevel="0" collapsed="false">
      <c r="A316" s="12"/>
      <c r="B316" s="13"/>
      <c r="C316" s="13"/>
      <c r="D316" s="14"/>
      <c r="E316" s="15"/>
      <c r="F316" s="15"/>
      <c r="G316" s="12"/>
      <c r="H316" s="16" t="str">
        <f aca="false">IF(OR(A316="",C316=""),"",IFERROR(INDEX(Aşamalar!$B$5:$B$12,MATCH(C316,Aşamalar!$A$5:$A$12,0)),0))</f>
        <v/>
      </c>
      <c r="I316" s="17" t="str">
        <f aca="false">IF(H316="","",D316*H316)</f>
        <v/>
      </c>
      <c r="J316" s="18" t="str">
        <f aca="true">IF(AND(AND(C316&lt;&gt;"Kazanıldı",C316&lt;&gt;"Kaybedildi",C316&lt;&gt;""),F316&lt;&gt;""),IF(F316&lt;TODAY(),"Gecikti",IF(F316=TODAY(),"Bugün","")),"")</f>
        <v/>
      </c>
      <c r="K316" s="18" t="str">
        <f aca="true">IF(AND(AND(C316&lt;&gt;"Kazanıldı",C316&lt;&gt;"Kaybedildi",C316&lt;&gt;""),F316&lt;&gt;"",F316&lt;=TODAY()),F316+ROW()/1000000,"")</f>
        <v/>
      </c>
    </row>
    <row r="317" customFormat="false" ht="15" hidden="false" customHeight="false" outlineLevel="0" collapsed="false">
      <c r="A317" s="12"/>
      <c r="B317" s="13"/>
      <c r="C317" s="13"/>
      <c r="D317" s="14"/>
      <c r="E317" s="15"/>
      <c r="F317" s="15"/>
      <c r="G317" s="12"/>
      <c r="H317" s="16" t="str">
        <f aca="false">IF(OR(A317="",C317=""),"",IFERROR(INDEX(Aşamalar!$B$5:$B$12,MATCH(C317,Aşamalar!$A$5:$A$12,0)),0))</f>
        <v/>
      </c>
      <c r="I317" s="17" t="str">
        <f aca="false">IF(H317="","",D317*H317)</f>
        <v/>
      </c>
      <c r="J317" s="18" t="str">
        <f aca="true">IF(AND(AND(C317&lt;&gt;"Kazanıldı",C317&lt;&gt;"Kaybedildi",C317&lt;&gt;""),F317&lt;&gt;""),IF(F317&lt;TODAY(),"Gecikti",IF(F317=TODAY(),"Bugün","")),"")</f>
        <v/>
      </c>
      <c r="K317" s="18" t="str">
        <f aca="true">IF(AND(AND(C317&lt;&gt;"Kazanıldı",C317&lt;&gt;"Kaybedildi",C317&lt;&gt;""),F317&lt;&gt;"",F317&lt;=TODAY()),F317+ROW()/1000000,"")</f>
        <v/>
      </c>
    </row>
    <row r="318" customFormat="false" ht="15" hidden="false" customHeight="false" outlineLevel="0" collapsed="false">
      <c r="A318" s="12"/>
      <c r="B318" s="13"/>
      <c r="C318" s="13"/>
      <c r="D318" s="14"/>
      <c r="E318" s="15"/>
      <c r="F318" s="15"/>
      <c r="G318" s="12"/>
      <c r="H318" s="16" t="str">
        <f aca="false">IF(OR(A318="",C318=""),"",IFERROR(INDEX(Aşamalar!$B$5:$B$12,MATCH(C318,Aşamalar!$A$5:$A$12,0)),0))</f>
        <v/>
      </c>
      <c r="I318" s="17" t="str">
        <f aca="false">IF(H318="","",D318*H318)</f>
        <v/>
      </c>
      <c r="J318" s="18" t="str">
        <f aca="true">IF(AND(AND(C318&lt;&gt;"Kazanıldı",C318&lt;&gt;"Kaybedildi",C318&lt;&gt;""),F318&lt;&gt;""),IF(F318&lt;TODAY(),"Gecikti",IF(F318=TODAY(),"Bugün","")),"")</f>
        <v/>
      </c>
      <c r="K318" s="18" t="str">
        <f aca="true">IF(AND(AND(C318&lt;&gt;"Kazanıldı",C318&lt;&gt;"Kaybedildi",C318&lt;&gt;""),F318&lt;&gt;"",F318&lt;=TODAY()),F318+ROW()/1000000,"")</f>
        <v/>
      </c>
    </row>
    <row r="319" customFormat="false" ht="15" hidden="false" customHeight="false" outlineLevel="0" collapsed="false">
      <c r="A319" s="12"/>
      <c r="B319" s="13"/>
      <c r="C319" s="13"/>
      <c r="D319" s="14"/>
      <c r="E319" s="15"/>
      <c r="F319" s="15"/>
      <c r="G319" s="12"/>
      <c r="H319" s="16" t="str">
        <f aca="false">IF(OR(A319="",C319=""),"",IFERROR(INDEX(Aşamalar!$B$5:$B$12,MATCH(C319,Aşamalar!$A$5:$A$12,0)),0))</f>
        <v/>
      </c>
      <c r="I319" s="17" t="str">
        <f aca="false">IF(H319="","",D319*H319)</f>
        <v/>
      </c>
      <c r="J319" s="18" t="str">
        <f aca="true">IF(AND(AND(C319&lt;&gt;"Kazanıldı",C319&lt;&gt;"Kaybedildi",C319&lt;&gt;""),F319&lt;&gt;""),IF(F319&lt;TODAY(),"Gecikti",IF(F319=TODAY(),"Bugün","")),"")</f>
        <v/>
      </c>
      <c r="K319" s="18" t="str">
        <f aca="true">IF(AND(AND(C319&lt;&gt;"Kazanıldı",C319&lt;&gt;"Kaybedildi",C319&lt;&gt;""),F319&lt;&gt;"",F319&lt;=TODAY()),F319+ROW()/1000000,"")</f>
        <v/>
      </c>
    </row>
    <row r="320" customFormat="false" ht="15" hidden="false" customHeight="false" outlineLevel="0" collapsed="false">
      <c r="A320" s="12"/>
      <c r="B320" s="13"/>
      <c r="C320" s="13"/>
      <c r="D320" s="14"/>
      <c r="E320" s="15"/>
      <c r="F320" s="15"/>
      <c r="G320" s="12"/>
      <c r="H320" s="16" t="str">
        <f aca="false">IF(OR(A320="",C320=""),"",IFERROR(INDEX(Aşamalar!$B$5:$B$12,MATCH(C320,Aşamalar!$A$5:$A$12,0)),0))</f>
        <v/>
      </c>
      <c r="I320" s="17" t="str">
        <f aca="false">IF(H320="","",D320*H320)</f>
        <v/>
      </c>
      <c r="J320" s="18" t="str">
        <f aca="true">IF(AND(AND(C320&lt;&gt;"Kazanıldı",C320&lt;&gt;"Kaybedildi",C320&lt;&gt;""),F320&lt;&gt;""),IF(F320&lt;TODAY(),"Gecikti",IF(F320=TODAY(),"Bugün","")),"")</f>
        <v/>
      </c>
      <c r="K320" s="18" t="str">
        <f aca="true">IF(AND(AND(C320&lt;&gt;"Kazanıldı",C320&lt;&gt;"Kaybedildi",C320&lt;&gt;""),F320&lt;&gt;"",F320&lt;=TODAY()),F320+ROW()/1000000,"")</f>
        <v/>
      </c>
    </row>
    <row r="321" customFormat="false" ht="15" hidden="false" customHeight="false" outlineLevel="0" collapsed="false">
      <c r="A321" s="12"/>
      <c r="B321" s="13"/>
      <c r="C321" s="13"/>
      <c r="D321" s="14"/>
      <c r="E321" s="15"/>
      <c r="F321" s="15"/>
      <c r="G321" s="12"/>
      <c r="H321" s="16" t="str">
        <f aca="false">IF(OR(A321="",C321=""),"",IFERROR(INDEX(Aşamalar!$B$5:$B$12,MATCH(C321,Aşamalar!$A$5:$A$12,0)),0))</f>
        <v/>
      </c>
      <c r="I321" s="17" t="str">
        <f aca="false">IF(H321="","",D321*H321)</f>
        <v/>
      </c>
      <c r="J321" s="18" t="str">
        <f aca="true">IF(AND(AND(C321&lt;&gt;"Kazanıldı",C321&lt;&gt;"Kaybedildi",C321&lt;&gt;""),F321&lt;&gt;""),IF(F321&lt;TODAY(),"Gecikti",IF(F321=TODAY(),"Bugün","")),"")</f>
        <v/>
      </c>
      <c r="K321" s="18" t="str">
        <f aca="true">IF(AND(AND(C321&lt;&gt;"Kazanıldı",C321&lt;&gt;"Kaybedildi",C321&lt;&gt;""),F321&lt;&gt;"",F321&lt;=TODAY()),F321+ROW()/1000000,"")</f>
        <v/>
      </c>
    </row>
    <row r="322" customFormat="false" ht="15" hidden="false" customHeight="false" outlineLevel="0" collapsed="false">
      <c r="A322" s="12"/>
      <c r="B322" s="13"/>
      <c r="C322" s="13"/>
      <c r="D322" s="14"/>
      <c r="E322" s="15"/>
      <c r="F322" s="15"/>
      <c r="G322" s="12"/>
      <c r="H322" s="16" t="str">
        <f aca="false">IF(OR(A322="",C322=""),"",IFERROR(INDEX(Aşamalar!$B$5:$B$12,MATCH(C322,Aşamalar!$A$5:$A$12,0)),0))</f>
        <v/>
      </c>
      <c r="I322" s="17" t="str">
        <f aca="false">IF(H322="","",D322*H322)</f>
        <v/>
      </c>
      <c r="J322" s="18" t="str">
        <f aca="true">IF(AND(AND(C322&lt;&gt;"Kazanıldı",C322&lt;&gt;"Kaybedildi",C322&lt;&gt;""),F322&lt;&gt;""),IF(F322&lt;TODAY(),"Gecikti",IF(F322=TODAY(),"Bugün","")),"")</f>
        <v/>
      </c>
      <c r="K322" s="18" t="str">
        <f aca="true">IF(AND(AND(C322&lt;&gt;"Kazanıldı",C322&lt;&gt;"Kaybedildi",C322&lt;&gt;""),F322&lt;&gt;"",F322&lt;=TODAY()),F322+ROW()/1000000,"")</f>
        <v/>
      </c>
    </row>
    <row r="323" customFormat="false" ht="15" hidden="false" customHeight="false" outlineLevel="0" collapsed="false">
      <c r="A323" s="12"/>
      <c r="B323" s="13"/>
      <c r="C323" s="13"/>
      <c r="D323" s="14"/>
      <c r="E323" s="15"/>
      <c r="F323" s="15"/>
      <c r="G323" s="12"/>
      <c r="H323" s="16" t="str">
        <f aca="false">IF(OR(A323="",C323=""),"",IFERROR(INDEX(Aşamalar!$B$5:$B$12,MATCH(C323,Aşamalar!$A$5:$A$12,0)),0))</f>
        <v/>
      </c>
      <c r="I323" s="17" t="str">
        <f aca="false">IF(H323="","",D323*H323)</f>
        <v/>
      </c>
      <c r="J323" s="18" t="str">
        <f aca="true">IF(AND(AND(C323&lt;&gt;"Kazanıldı",C323&lt;&gt;"Kaybedildi",C323&lt;&gt;""),F323&lt;&gt;""),IF(F323&lt;TODAY(),"Gecikti",IF(F323=TODAY(),"Bugün","")),"")</f>
        <v/>
      </c>
      <c r="K323" s="18" t="str">
        <f aca="true">IF(AND(AND(C323&lt;&gt;"Kazanıldı",C323&lt;&gt;"Kaybedildi",C323&lt;&gt;""),F323&lt;&gt;"",F323&lt;=TODAY()),F323+ROW()/1000000,"")</f>
        <v/>
      </c>
    </row>
    <row r="324" customFormat="false" ht="15" hidden="false" customHeight="false" outlineLevel="0" collapsed="false">
      <c r="A324" s="12"/>
      <c r="B324" s="13"/>
      <c r="C324" s="13"/>
      <c r="D324" s="14"/>
      <c r="E324" s="15"/>
      <c r="F324" s="15"/>
      <c r="G324" s="12"/>
      <c r="H324" s="16" t="str">
        <f aca="false">IF(OR(A324="",C324=""),"",IFERROR(INDEX(Aşamalar!$B$5:$B$12,MATCH(C324,Aşamalar!$A$5:$A$12,0)),0))</f>
        <v/>
      </c>
      <c r="I324" s="17" t="str">
        <f aca="false">IF(H324="","",D324*H324)</f>
        <v/>
      </c>
      <c r="J324" s="18" t="str">
        <f aca="true">IF(AND(AND(C324&lt;&gt;"Kazanıldı",C324&lt;&gt;"Kaybedildi",C324&lt;&gt;""),F324&lt;&gt;""),IF(F324&lt;TODAY(),"Gecikti",IF(F324=TODAY(),"Bugün","")),"")</f>
        <v/>
      </c>
      <c r="K324" s="18" t="str">
        <f aca="true">IF(AND(AND(C324&lt;&gt;"Kazanıldı",C324&lt;&gt;"Kaybedildi",C324&lt;&gt;""),F324&lt;&gt;"",F324&lt;=TODAY()),F324+ROW()/1000000,"")</f>
        <v/>
      </c>
    </row>
    <row r="325" customFormat="false" ht="15" hidden="false" customHeight="false" outlineLevel="0" collapsed="false">
      <c r="A325" s="12"/>
      <c r="B325" s="13"/>
      <c r="C325" s="13"/>
      <c r="D325" s="14"/>
      <c r="E325" s="15"/>
      <c r="F325" s="15"/>
      <c r="G325" s="12"/>
      <c r="H325" s="16" t="str">
        <f aca="false">IF(OR(A325="",C325=""),"",IFERROR(INDEX(Aşamalar!$B$5:$B$12,MATCH(C325,Aşamalar!$A$5:$A$12,0)),0))</f>
        <v/>
      </c>
      <c r="I325" s="17" t="str">
        <f aca="false">IF(H325="","",D325*H325)</f>
        <v/>
      </c>
      <c r="J325" s="18" t="str">
        <f aca="true">IF(AND(AND(C325&lt;&gt;"Kazanıldı",C325&lt;&gt;"Kaybedildi",C325&lt;&gt;""),F325&lt;&gt;""),IF(F325&lt;TODAY(),"Gecikti",IF(F325=TODAY(),"Bugün","")),"")</f>
        <v/>
      </c>
      <c r="K325" s="18" t="str">
        <f aca="true">IF(AND(AND(C325&lt;&gt;"Kazanıldı",C325&lt;&gt;"Kaybedildi",C325&lt;&gt;""),F325&lt;&gt;"",F325&lt;=TODAY()),F325+ROW()/1000000,"")</f>
        <v/>
      </c>
    </row>
    <row r="326" customFormat="false" ht="15" hidden="false" customHeight="false" outlineLevel="0" collapsed="false">
      <c r="A326" s="12"/>
      <c r="B326" s="13"/>
      <c r="C326" s="13"/>
      <c r="D326" s="14"/>
      <c r="E326" s="15"/>
      <c r="F326" s="15"/>
      <c r="G326" s="12"/>
      <c r="H326" s="16" t="str">
        <f aca="false">IF(OR(A326="",C326=""),"",IFERROR(INDEX(Aşamalar!$B$5:$B$12,MATCH(C326,Aşamalar!$A$5:$A$12,0)),0))</f>
        <v/>
      </c>
      <c r="I326" s="17" t="str">
        <f aca="false">IF(H326="","",D326*H326)</f>
        <v/>
      </c>
      <c r="J326" s="18" t="str">
        <f aca="true">IF(AND(AND(C326&lt;&gt;"Kazanıldı",C326&lt;&gt;"Kaybedildi",C326&lt;&gt;""),F326&lt;&gt;""),IF(F326&lt;TODAY(),"Gecikti",IF(F326=TODAY(),"Bugün","")),"")</f>
        <v/>
      </c>
      <c r="K326" s="18" t="str">
        <f aca="true">IF(AND(AND(C326&lt;&gt;"Kazanıldı",C326&lt;&gt;"Kaybedildi",C326&lt;&gt;""),F326&lt;&gt;"",F326&lt;=TODAY()),F326+ROW()/1000000,"")</f>
        <v/>
      </c>
    </row>
    <row r="327" customFormat="false" ht="15" hidden="false" customHeight="false" outlineLevel="0" collapsed="false">
      <c r="A327" s="12"/>
      <c r="B327" s="13"/>
      <c r="C327" s="13"/>
      <c r="D327" s="14"/>
      <c r="E327" s="15"/>
      <c r="F327" s="15"/>
      <c r="G327" s="12"/>
      <c r="H327" s="16" t="str">
        <f aca="false">IF(OR(A327="",C327=""),"",IFERROR(INDEX(Aşamalar!$B$5:$B$12,MATCH(C327,Aşamalar!$A$5:$A$12,0)),0))</f>
        <v/>
      </c>
      <c r="I327" s="17" t="str">
        <f aca="false">IF(H327="","",D327*H327)</f>
        <v/>
      </c>
      <c r="J327" s="18" t="str">
        <f aca="true">IF(AND(AND(C327&lt;&gt;"Kazanıldı",C327&lt;&gt;"Kaybedildi",C327&lt;&gt;""),F327&lt;&gt;""),IF(F327&lt;TODAY(),"Gecikti",IF(F327=TODAY(),"Bugün","")),"")</f>
        <v/>
      </c>
      <c r="K327" s="18" t="str">
        <f aca="true">IF(AND(AND(C327&lt;&gt;"Kazanıldı",C327&lt;&gt;"Kaybedildi",C327&lt;&gt;""),F327&lt;&gt;"",F327&lt;=TODAY()),F327+ROW()/1000000,"")</f>
        <v/>
      </c>
    </row>
    <row r="328" customFormat="false" ht="15" hidden="false" customHeight="false" outlineLevel="0" collapsed="false">
      <c r="A328" s="12"/>
      <c r="B328" s="13"/>
      <c r="C328" s="13"/>
      <c r="D328" s="14"/>
      <c r="E328" s="15"/>
      <c r="F328" s="15"/>
      <c r="G328" s="12"/>
      <c r="H328" s="16" t="str">
        <f aca="false">IF(OR(A328="",C328=""),"",IFERROR(INDEX(Aşamalar!$B$5:$B$12,MATCH(C328,Aşamalar!$A$5:$A$12,0)),0))</f>
        <v/>
      </c>
      <c r="I328" s="17" t="str">
        <f aca="false">IF(H328="","",D328*H328)</f>
        <v/>
      </c>
      <c r="J328" s="18" t="str">
        <f aca="true">IF(AND(AND(C328&lt;&gt;"Kazanıldı",C328&lt;&gt;"Kaybedildi",C328&lt;&gt;""),F328&lt;&gt;""),IF(F328&lt;TODAY(),"Gecikti",IF(F328=TODAY(),"Bugün","")),"")</f>
        <v/>
      </c>
      <c r="K328" s="18" t="str">
        <f aca="true">IF(AND(AND(C328&lt;&gt;"Kazanıldı",C328&lt;&gt;"Kaybedildi",C328&lt;&gt;""),F328&lt;&gt;"",F328&lt;=TODAY()),F328+ROW()/1000000,"")</f>
        <v/>
      </c>
    </row>
    <row r="329" customFormat="false" ht="15" hidden="false" customHeight="false" outlineLevel="0" collapsed="false">
      <c r="A329" s="12"/>
      <c r="B329" s="13"/>
      <c r="C329" s="13"/>
      <c r="D329" s="14"/>
      <c r="E329" s="15"/>
      <c r="F329" s="15"/>
      <c r="G329" s="12"/>
      <c r="H329" s="16" t="str">
        <f aca="false">IF(OR(A329="",C329=""),"",IFERROR(INDEX(Aşamalar!$B$5:$B$12,MATCH(C329,Aşamalar!$A$5:$A$12,0)),0))</f>
        <v/>
      </c>
      <c r="I329" s="17" t="str">
        <f aca="false">IF(H329="","",D329*H329)</f>
        <v/>
      </c>
      <c r="J329" s="18" t="str">
        <f aca="true">IF(AND(AND(C329&lt;&gt;"Kazanıldı",C329&lt;&gt;"Kaybedildi",C329&lt;&gt;""),F329&lt;&gt;""),IF(F329&lt;TODAY(),"Gecikti",IF(F329=TODAY(),"Bugün","")),"")</f>
        <v/>
      </c>
      <c r="K329" s="18" t="str">
        <f aca="true">IF(AND(AND(C329&lt;&gt;"Kazanıldı",C329&lt;&gt;"Kaybedildi",C329&lt;&gt;""),F329&lt;&gt;"",F329&lt;=TODAY()),F329+ROW()/1000000,"")</f>
        <v/>
      </c>
    </row>
    <row r="330" customFormat="false" ht="15" hidden="false" customHeight="false" outlineLevel="0" collapsed="false">
      <c r="A330" s="12"/>
      <c r="B330" s="13"/>
      <c r="C330" s="13"/>
      <c r="D330" s="14"/>
      <c r="E330" s="15"/>
      <c r="F330" s="15"/>
      <c r="G330" s="12"/>
      <c r="H330" s="16" t="str">
        <f aca="false">IF(OR(A330="",C330=""),"",IFERROR(INDEX(Aşamalar!$B$5:$B$12,MATCH(C330,Aşamalar!$A$5:$A$12,0)),0))</f>
        <v/>
      </c>
      <c r="I330" s="17" t="str">
        <f aca="false">IF(H330="","",D330*H330)</f>
        <v/>
      </c>
      <c r="J330" s="18" t="str">
        <f aca="true">IF(AND(AND(C330&lt;&gt;"Kazanıldı",C330&lt;&gt;"Kaybedildi",C330&lt;&gt;""),F330&lt;&gt;""),IF(F330&lt;TODAY(),"Gecikti",IF(F330=TODAY(),"Bugün","")),"")</f>
        <v/>
      </c>
      <c r="K330" s="18" t="str">
        <f aca="true">IF(AND(AND(C330&lt;&gt;"Kazanıldı",C330&lt;&gt;"Kaybedildi",C330&lt;&gt;""),F330&lt;&gt;"",F330&lt;=TODAY()),F330+ROW()/1000000,"")</f>
        <v/>
      </c>
    </row>
    <row r="331" customFormat="false" ht="15" hidden="false" customHeight="false" outlineLevel="0" collapsed="false">
      <c r="A331" s="12"/>
      <c r="B331" s="13"/>
      <c r="C331" s="13"/>
      <c r="D331" s="14"/>
      <c r="E331" s="15"/>
      <c r="F331" s="15"/>
      <c r="G331" s="12"/>
      <c r="H331" s="16" t="str">
        <f aca="false">IF(OR(A331="",C331=""),"",IFERROR(INDEX(Aşamalar!$B$5:$B$12,MATCH(C331,Aşamalar!$A$5:$A$12,0)),0))</f>
        <v/>
      </c>
      <c r="I331" s="17" t="str">
        <f aca="false">IF(H331="","",D331*H331)</f>
        <v/>
      </c>
      <c r="J331" s="18" t="str">
        <f aca="true">IF(AND(AND(C331&lt;&gt;"Kazanıldı",C331&lt;&gt;"Kaybedildi",C331&lt;&gt;""),F331&lt;&gt;""),IF(F331&lt;TODAY(),"Gecikti",IF(F331=TODAY(),"Bugün","")),"")</f>
        <v/>
      </c>
      <c r="K331" s="18" t="str">
        <f aca="true">IF(AND(AND(C331&lt;&gt;"Kazanıldı",C331&lt;&gt;"Kaybedildi",C331&lt;&gt;""),F331&lt;&gt;"",F331&lt;=TODAY()),F331+ROW()/1000000,"")</f>
        <v/>
      </c>
    </row>
    <row r="332" customFormat="false" ht="15" hidden="false" customHeight="false" outlineLevel="0" collapsed="false">
      <c r="A332" s="12"/>
      <c r="B332" s="13"/>
      <c r="C332" s="13"/>
      <c r="D332" s="14"/>
      <c r="E332" s="15"/>
      <c r="F332" s="15"/>
      <c r="G332" s="12"/>
      <c r="H332" s="16" t="str">
        <f aca="false">IF(OR(A332="",C332=""),"",IFERROR(INDEX(Aşamalar!$B$5:$B$12,MATCH(C332,Aşamalar!$A$5:$A$12,0)),0))</f>
        <v/>
      </c>
      <c r="I332" s="17" t="str">
        <f aca="false">IF(H332="","",D332*H332)</f>
        <v/>
      </c>
      <c r="J332" s="18" t="str">
        <f aca="true">IF(AND(AND(C332&lt;&gt;"Kazanıldı",C332&lt;&gt;"Kaybedildi",C332&lt;&gt;""),F332&lt;&gt;""),IF(F332&lt;TODAY(),"Gecikti",IF(F332=TODAY(),"Bugün","")),"")</f>
        <v/>
      </c>
      <c r="K332" s="18" t="str">
        <f aca="true">IF(AND(AND(C332&lt;&gt;"Kazanıldı",C332&lt;&gt;"Kaybedildi",C332&lt;&gt;""),F332&lt;&gt;"",F332&lt;=TODAY()),F332+ROW()/1000000,"")</f>
        <v/>
      </c>
    </row>
    <row r="333" customFormat="false" ht="15" hidden="false" customHeight="false" outlineLevel="0" collapsed="false">
      <c r="A333" s="12"/>
      <c r="B333" s="13"/>
      <c r="C333" s="13"/>
      <c r="D333" s="14"/>
      <c r="E333" s="15"/>
      <c r="F333" s="15"/>
      <c r="G333" s="12"/>
      <c r="H333" s="16" t="str">
        <f aca="false">IF(OR(A333="",C333=""),"",IFERROR(INDEX(Aşamalar!$B$5:$B$12,MATCH(C333,Aşamalar!$A$5:$A$12,0)),0))</f>
        <v/>
      </c>
      <c r="I333" s="17" t="str">
        <f aca="false">IF(H333="","",D333*H333)</f>
        <v/>
      </c>
      <c r="J333" s="18" t="str">
        <f aca="true">IF(AND(AND(C333&lt;&gt;"Kazanıldı",C333&lt;&gt;"Kaybedildi",C333&lt;&gt;""),F333&lt;&gt;""),IF(F333&lt;TODAY(),"Gecikti",IF(F333=TODAY(),"Bugün","")),"")</f>
        <v/>
      </c>
      <c r="K333" s="18" t="str">
        <f aca="true">IF(AND(AND(C333&lt;&gt;"Kazanıldı",C333&lt;&gt;"Kaybedildi",C333&lt;&gt;""),F333&lt;&gt;"",F333&lt;=TODAY()),F333+ROW()/1000000,"")</f>
        <v/>
      </c>
    </row>
    <row r="334" customFormat="false" ht="15" hidden="false" customHeight="false" outlineLevel="0" collapsed="false">
      <c r="A334" s="12"/>
      <c r="B334" s="13"/>
      <c r="C334" s="13"/>
      <c r="D334" s="14"/>
      <c r="E334" s="15"/>
      <c r="F334" s="15"/>
      <c r="G334" s="12"/>
      <c r="H334" s="16" t="str">
        <f aca="false">IF(OR(A334="",C334=""),"",IFERROR(INDEX(Aşamalar!$B$5:$B$12,MATCH(C334,Aşamalar!$A$5:$A$12,0)),0))</f>
        <v/>
      </c>
      <c r="I334" s="17" t="str">
        <f aca="false">IF(H334="","",D334*H334)</f>
        <v/>
      </c>
      <c r="J334" s="18" t="str">
        <f aca="true">IF(AND(AND(C334&lt;&gt;"Kazanıldı",C334&lt;&gt;"Kaybedildi",C334&lt;&gt;""),F334&lt;&gt;""),IF(F334&lt;TODAY(),"Gecikti",IF(F334=TODAY(),"Bugün","")),"")</f>
        <v/>
      </c>
      <c r="K334" s="18" t="str">
        <f aca="true">IF(AND(AND(C334&lt;&gt;"Kazanıldı",C334&lt;&gt;"Kaybedildi",C334&lt;&gt;""),F334&lt;&gt;"",F334&lt;=TODAY()),F334+ROW()/1000000,"")</f>
        <v/>
      </c>
    </row>
    <row r="335" customFormat="false" ht="15" hidden="false" customHeight="false" outlineLevel="0" collapsed="false">
      <c r="A335" s="12"/>
      <c r="B335" s="13"/>
      <c r="C335" s="13"/>
      <c r="D335" s="14"/>
      <c r="E335" s="15"/>
      <c r="F335" s="15"/>
      <c r="G335" s="12"/>
      <c r="H335" s="16" t="str">
        <f aca="false">IF(OR(A335="",C335=""),"",IFERROR(INDEX(Aşamalar!$B$5:$B$12,MATCH(C335,Aşamalar!$A$5:$A$12,0)),0))</f>
        <v/>
      </c>
      <c r="I335" s="17" t="str">
        <f aca="false">IF(H335="","",D335*H335)</f>
        <v/>
      </c>
      <c r="J335" s="18" t="str">
        <f aca="true">IF(AND(AND(C335&lt;&gt;"Kazanıldı",C335&lt;&gt;"Kaybedildi",C335&lt;&gt;""),F335&lt;&gt;""),IF(F335&lt;TODAY(),"Gecikti",IF(F335=TODAY(),"Bugün","")),"")</f>
        <v/>
      </c>
      <c r="K335" s="18" t="str">
        <f aca="true">IF(AND(AND(C335&lt;&gt;"Kazanıldı",C335&lt;&gt;"Kaybedildi",C335&lt;&gt;""),F335&lt;&gt;"",F335&lt;=TODAY()),F335+ROW()/1000000,"")</f>
        <v/>
      </c>
    </row>
    <row r="336" customFormat="false" ht="15" hidden="false" customHeight="false" outlineLevel="0" collapsed="false">
      <c r="A336" s="12"/>
      <c r="B336" s="13"/>
      <c r="C336" s="13"/>
      <c r="D336" s="14"/>
      <c r="E336" s="15"/>
      <c r="F336" s="15"/>
      <c r="G336" s="12"/>
      <c r="H336" s="16" t="str">
        <f aca="false">IF(OR(A336="",C336=""),"",IFERROR(INDEX(Aşamalar!$B$5:$B$12,MATCH(C336,Aşamalar!$A$5:$A$12,0)),0))</f>
        <v/>
      </c>
      <c r="I336" s="17" t="str">
        <f aca="false">IF(H336="","",D336*H336)</f>
        <v/>
      </c>
      <c r="J336" s="18" t="str">
        <f aca="true">IF(AND(AND(C336&lt;&gt;"Kazanıldı",C336&lt;&gt;"Kaybedildi",C336&lt;&gt;""),F336&lt;&gt;""),IF(F336&lt;TODAY(),"Gecikti",IF(F336=TODAY(),"Bugün","")),"")</f>
        <v/>
      </c>
      <c r="K336" s="18" t="str">
        <f aca="true">IF(AND(AND(C336&lt;&gt;"Kazanıldı",C336&lt;&gt;"Kaybedildi",C336&lt;&gt;""),F336&lt;&gt;"",F336&lt;=TODAY()),F336+ROW()/1000000,"")</f>
        <v/>
      </c>
    </row>
    <row r="337" customFormat="false" ht="15" hidden="false" customHeight="false" outlineLevel="0" collapsed="false">
      <c r="A337" s="12"/>
      <c r="B337" s="13"/>
      <c r="C337" s="13"/>
      <c r="D337" s="14"/>
      <c r="E337" s="15"/>
      <c r="F337" s="15"/>
      <c r="G337" s="12"/>
      <c r="H337" s="16" t="str">
        <f aca="false">IF(OR(A337="",C337=""),"",IFERROR(INDEX(Aşamalar!$B$5:$B$12,MATCH(C337,Aşamalar!$A$5:$A$12,0)),0))</f>
        <v/>
      </c>
      <c r="I337" s="17" t="str">
        <f aca="false">IF(H337="","",D337*H337)</f>
        <v/>
      </c>
      <c r="J337" s="18" t="str">
        <f aca="true">IF(AND(AND(C337&lt;&gt;"Kazanıldı",C337&lt;&gt;"Kaybedildi",C337&lt;&gt;""),F337&lt;&gt;""),IF(F337&lt;TODAY(),"Gecikti",IF(F337=TODAY(),"Bugün","")),"")</f>
        <v/>
      </c>
      <c r="K337" s="18" t="str">
        <f aca="true">IF(AND(AND(C337&lt;&gt;"Kazanıldı",C337&lt;&gt;"Kaybedildi",C337&lt;&gt;""),F337&lt;&gt;"",F337&lt;=TODAY()),F337+ROW()/1000000,"")</f>
        <v/>
      </c>
    </row>
    <row r="338" customFormat="false" ht="15" hidden="false" customHeight="false" outlineLevel="0" collapsed="false">
      <c r="A338" s="12"/>
      <c r="B338" s="13"/>
      <c r="C338" s="13"/>
      <c r="D338" s="14"/>
      <c r="E338" s="15"/>
      <c r="F338" s="15"/>
      <c r="G338" s="12"/>
      <c r="H338" s="16" t="str">
        <f aca="false">IF(OR(A338="",C338=""),"",IFERROR(INDEX(Aşamalar!$B$5:$B$12,MATCH(C338,Aşamalar!$A$5:$A$12,0)),0))</f>
        <v/>
      </c>
      <c r="I338" s="17" t="str">
        <f aca="false">IF(H338="","",D338*H338)</f>
        <v/>
      </c>
      <c r="J338" s="18" t="str">
        <f aca="true">IF(AND(AND(C338&lt;&gt;"Kazanıldı",C338&lt;&gt;"Kaybedildi",C338&lt;&gt;""),F338&lt;&gt;""),IF(F338&lt;TODAY(),"Gecikti",IF(F338=TODAY(),"Bugün","")),"")</f>
        <v/>
      </c>
      <c r="K338" s="18" t="str">
        <f aca="true">IF(AND(AND(C338&lt;&gt;"Kazanıldı",C338&lt;&gt;"Kaybedildi",C338&lt;&gt;""),F338&lt;&gt;"",F338&lt;=TODAY()),F338+ROW()/1000000,"")</f>
        <v/>
      </c>
    </row>
    <row r="339" customFormat="false" ht="15" hidden="false" customHeight="false" outlineLevel="0" collapsed="false">
      <c r="A339" s="12"/>
      <c r="B339" s="13"/>
      <c r="C339" s="13"/>
      <c r="D339" s="14"/>
      <c r="E339" s="15"/>
      <c r="F339" s="15"/>
      <c r="G339" s="12"/>
      <c r="H339" s="16" t="str">
        <f aca="false">IF(OR(A339="",C339=""),"",IFERROR(INDEX(Aşamalar!$B$5:$B$12,MATCH(C339,Aşamalar!$A$5:$A$12,0)),0))</f>
        <v/>
      </c>
      <c r="I339" s="17" t="str">
        <f aca="false">IF(H339="","",D339*H339)</f>
        <v/>
      </c>
      <c r="J339" s="18" t="str">
        <f aca="true">IF(AND(AND(C339&lt;&gt;"Kazanıldı",C339&lt;&gt;"Kaybedildi",C339&lt;&gt;""),F339&lt;&gt;""),IF(F339&lt;TODAY(),"Gecikti",IF(F339=TODAY(),"Bugün","")),"")</f>
        <v/>
      </c>
      <c r="K339" s="18" t="str">
        <f aca="true">IF(AND(AND(C339&lt;&gt;"Kazanıldı",C339&lt;&gt;"Kaybedildi",C339&lt;&gt;""),F339&lt;&gt;"",F339&lt;=TODAY()),F339+ROW()/1000000,"")</f>
        <v/>
      </c>
    </row>
    <row r="340" customFormat="false" ht="15" hidden="false" customHeight="false" outlineLevel="0" collapsed="false">
      <c r="A340" s="12"/>
      <c r="B340" s="13"/>
      <c r="C340" s="13"/>
      <c r="D340" s="14"/>
      <c r="E340" s="15"/>
      <c r="F340" s="15"/>
      <c r="G340" s="12"/>
      <c r="H340" s="16" t="str">
        <f aca="false">IF(OR(A340="",C340=""),"",IFERROR(INDEX(Aşamalar!$B$5:$B$12,MATCH(C340,Aşamalar!$A$5:$A$12,0)),0))</f>
        <v/>
      </c>
      <c r="I340" s="17" t="str">
        <f aca="false">IF(H340="","",D340*H340)</f>
        <v/>
      </c>
      <c r="J340" s="18" t="str">
        <f aca="true">IF(AND(AND(C340&lt;&gt;"Kazanıldı",C340&lt;&gt;"Kaybedildi",C340&lt;&gt;""),F340&lt;&gt;""),IF(F340&lt;TODAY(),"Gecikti",IF(F340=TODAY(),"Bugün","")),"")</f>
        <v/>
      </c>
      <c r="K340" s="18" t="str">
        <f aca="true">IF(AND(AND(C340&lt;&gt;"Kazanıldı",C340&lt;&gt;"Kaybedildi",C340&lt;&gt;""),F340&lt;&gt;"",F340&lt;=TODAY()),F340+ROW()/1000000,"")</f>
        <v/>
      </c>
    </row>
    <row r="341" customFormat="false" ht="15" hidden="false" customHeight="false" outlineLevel="0" collapsed="false">
      <c r="A341" s="12"/>
      <c r="B341" s="13"/>
      <c r="C341" s="13"/>
      <c r="D341" s="14"/>
      <c r="E341" s="15"/>
      <c r="F341" s="15"/>
      <c r="G341" s="12"/>
      <c r="H341" s="16" t="str">
        <f aca="false">IF(OR(A341="",C341=""),"",IFERROR(INDEX(Aşamalar!$B$5:$B$12,MATCH(C341,Aşamalar!$A$5:$A$12,0)),0))</f>
        <v/>
      </c>
      <c r="I341" s="17" t="str">
        <f aca="false">IF(H341="","",D341*H341)</f>
        <v/>
      </c>
      <c r="J341" s="18" t="str">
        <f aca="true">IF(AND(AND(C341&lt;&gt;"Kazanıldı",C341&lt;&gt;"Kaybedildi",C341&lt;&gt;""),F341&lt;&gt;""),IF(F341&lt;TODAY(),"Gecikti",IF(F341=TODAY(),"Bugün","")),"")</f>
        <v/>
      </c>
      <c r="K341" s="18" t="str">
        <f aca="true">IF(AND(AND(C341&lt;&gt;"Kazanıldı",C341&lt;&gt;"Kaybedildi",C341&lt;&gt;""),F341&lt;&gt;"",F341&lt;=TODAY()),F341+ROW()/1000000,"")</f>
        <v/>
      </c>
    </row>
    <row r="342" customFormat="false" ht="15" hidden="false" customHeight="false" outlineLevel="0" collapsed="false">
      <c r="A342" s="12"/>
      <c r="B342" s="13"/>
      <c r="C342" s="13"/>
      <c r="D342" s="14"/>
      <c r="E342" s="15"/>
      <c r="F342" s="15"/>
      <c r="G342" s="12"/>
      <c r="H342" s="16" t="str">
        <f aca="false">IF(OR(A342="",C342=""),"",IFERROR(INDEX(Aşamalar!$B$5:$B$12,MATCH(C342,Aşamalar!$A$5:$A$12,0)),0))</f>
        <v/>
      </c>
      <c r="I342" s="17" t="str">
        <f aca="false">IF(H342="","",D342*H342)</f>
        <v/>
      </c>
      <c r="J342" s="18" t="str">
        <f aca="true">IF(AND(AND(C342&lt;&gt;"Kazanıldı",C342&lt;&gt;"Kaybedildi",C342&lt;&gt;""),F342&lt;&gt;""),IF(F342&lt;TODAY(),"Gecikti",IF(F342=TODAY(),"Bugün","")),"")</f>
        <v/>
      </c>
      <c r="K342" s="18" t="str">
        <f aca="true">IF(AND(AND(C342&lt;&gt;"Kazanıldı",C342&lt;&gt;"Kaybedildi",C342&lt;&gt;""),F342&lt;&gt;"",F342&lt;=TODAY()),F342+ROW()/1000000,"")</f>
        <v/>
      </c>
    </row>
    <row r="343" customFormat="false" ht="15" hidden="false" customHeight="false" outlineLevel="0" collapsed="false">
      <c r="A343" s="12"/>
      <c r="B343" s="13"/>
      <c r="C343" s="13"/>
      <c r="D343" s="14"/>
      <c r="E343" s="15"/>
      <c r="F343" s="15"/>
      <c r="G343" s="12"/>
      <c r="H343" s="16" t="str">
        <f aca="false">IF(OR(A343="",C343=""),"",IFERROR(INDEX(Aşamalar!$B$5:$B$12,MATCH(C343,Aşamalar!$A$5:$A$12,0)),0))</f>
        <v/>
      </c>
      <c r="I343" s="17" t="str">
        <f aca="false">IF(H343="","",D343*H343)</f>
        <v/>
      </c>
      <c r="J343" s="18" t="str">
        <f aca="true">IF(AND(AND(C343&lt;&gt;"Kazanıldı",C343&lt;&gt;"Kaybedildi",C343&lt;&gt;""),F343&lt;&gt;""),IF(F343&lt;TODAY(),"Gecikti",IF(F343=TODAY(),"Bugün","")),"")</f>
        <v/>
      </c>
      <c r="K343" s="18" t="str">
        <f aca="true">IF(AND(AND(C343&lt;&gt;"Kazanıldı",C343&lt;&gt;"Kaybedildi",C343&lt;&gt;""),F343&lt;&gt;"",F343&lt;=TODAY()),F343+ROW()/1000000,"")</f>
        <v/>
      </c>
    </row>
    <row r="344" customFormat="false" ht="15" hidden="false" customHeight="false" outlineLevel="0" collapsed="false">
      <c r="A344" s="12"/>
      <c r="B344" s="13"/>
      <c r="C344" s="13"/>
      <c r="D344" s="14"/>
      <c r="E344" s="15"/>
      <c r="F344" s="15"/>
      <c r="G344" s="12"/>
      <c r="H344" s="16" t="str">
        <f aca="false">IF(OR(A344="",C344=""),"",IFERROR(INDEX(Aşamalar!$B$5:$B$12,MATCH(C344,Aşamalar!$A$5:$A$12,0)),0))</f>
        <v/>
      </c>
      <c r="I344" s="17" t="str">
        <f aca="false">IF(H344="","",D344*H344)</f>
        <v/>
      </c>
      <c r="J344" s="18" t="str">
        <f aca="true">IF(AND(AND(C344&lt;&gt;"Kazanıldı",C344&lt;&gt;"Kaybedildi",C344&lt;&gt;""),F344&lt;&gt;""),IF(F344&lt;TODAY(),"Gecikti",IF(F344=TODAY(),"Bugün","")),"")</f>
        <v/>
      </c>
      <c r="K344" s="18" t="str">
        <f aca="true">IF(AND(AND(C344&lt;&gt;"Kazanıldı",C344&lt;&gt;"Kaybedildi",C344&lt;&gt;""),F344&lt;&gt;"",F344&lt;=TODAY()),F344+ROW()/1000000,"")</f>
        <v/>
      </c>
    </row>
    <row r="345" customFormat="false" ht="15" hidden="false" customHeight="false" outlineLevel="0" collapsed="false">
      <c r="A345" s="12"/>
      <c r="B345" s="13"/>
      <c r="C345" s="13"/>
      <c r="D345" s="14"/>
      <c r="E345" s="15"/>
      <c r="F345" s="15"/>
      <c r="G345" s="12"/>
      <c r="H345" s="16" t="str">
        <f aca="false">IF(OR(A345="",C345=""),"",IFERROR(INDEX(Aşamalar!$B$5:$B$12,MATCH(C345,Aşamalar!$A$5:$A$12,0)),0))</f>
        <v/>
      </c>
      <c r="I345" s="17" t="str">
        <f aca="false">IF(H345="","",D345*H345)</f>
        <v/>
      </c>
      <c r="J345" s="18" t="str">
        <f aca="true">IF(AND(AND(C345&lt;&gt;"Kazanıldı",C345&lt;&gt;"Kaybedildi",C345&lt;&gt;""),F345&lt;&gt;""),IF(F345&lt;TODAY(),"Gecikti",IF(F345=TODAY(),"Bugün","")),"")</f>
        <v/>
      </c>
      <c r="K345" s="18" t="str">
        <f aca="true">IF(AND(AND(C345&lt;&gt;"Kazanıldı",C345&lt;&gt;"Kaybedildi",C345&lt;&gt;""),F345&lt;&gt;"",F345&lt;=TODAY()),F345+ROW()/1000000,"")</f>
        <v/>
      </c>
    </row>
    <row r="346" customFormat="false" ht="15" hidden="false" customHeight="false" outlineLevel="0" collapsed="false">
      <c r="A346" s="12"/>
      <c r="B346" s="13"/>
      <c r="C346" s="13"/>
      <c r="D346" s="14"/>
      <c r="E346" s="15"/>
      <c r="F346" s="15"/>
      <c r="G346" s="12"/>
      <c r="H346" s="16" t="str">
        <f aca="false">IF(OR(A346="",C346=""),"",IFERROR(INDEX(Aşamalar!$B$5:$B$12,MATCH(C346,Aşamalar!$A$5:$A$12,0)),0))</f>
        <v/>
      </c>
      <c r="I346" s="17" t="str">
        <f aca="false">IF(H346="","",D346*H346)</f>
        <v/>
      </c>
      <c r="J346" s="18" t="str">
        <f aca="true">IF(AND(AND(C346&lt;&gt;"Kazanıldı",C346&lt;&gt;"Kaybedildi",C346&lt;&gt;""),F346&lt;&gt;""),IF(F346&lt;TODAY(),"Gecikti",IF(F346=TODAY(),"Bugün","")),"")</f>
        <v/>
      </c>
      <c r="K346" s="18" t="str">
        <f aca="true">IF(AND(AND(C346&lt;&gt;"Kazanıldı",C346&lt;&gt;"Kaybedildi",C346&lt;&gt;""),F346&lt;&gt;"",F346&lt;=TODAY()),F346+ROW()/1000000,"")</f>
        <v/>
      </c>
    </row>
    <row r="347" customFormat="false" ht="15" hidden="false" customHeight="false" outlineLevel="0" collapsed="false">
      <c r="A347" s="12"/>
      <c r="B347" s="13"/>
      <c r="C347" s="13"/>
      <c r="D347" s="14"/>
      <c r="E347" s="15"/>
      <c r="F347" s="15"/>
      <c r="G347" s="12"/>
      <c r="H347" s="16" t="str">
        <f aca="false">IF(OR(A347="",C347=""),"",IFERROR(INDEX(Aşamalar!$B$5:$B$12,MATCH(C347,Aşamalar!$A$5:$A$12,0)),0))</f>
        <v/>
      </c>
      <c r="I347" s="17" t="str">
        <f aca="false">IF(H347="","",D347*H347)</f>
        <v/>
      </c>
      <c r="J347" s="18" t="str">
        <f aca="true">IF(AND(AND(C347&lt;&gt;"Kazanıldı",C347&lt;&gt;"Kaybedildi",C347&lt;&gt;""),F347&lt;&gt;""),IF(F347&lt;TODAY(),"Gecikti",IF(F347=TODAY(),"Bugün","")),"")</f>
        <v/>
      </c>
      <c r="K347" s="18" t="str">
        <f aca="true">IF(AND(AND(C347&lt;&gt;"Kazanıldı",C347&lt;&gt;"Kaybedildi",C347&lt;&gt;""),F347&lt;&gt;"",F347&lt;=TODAY()),F347+ROW()/1000000,"")</f>
        <v/>
      </c>
    </row>
    <row r="348" customFormat="false" ht="15" hidden="false" customHeight="false" outlineLevel="0" collapsed="false">
      <c r="A348" s="12"/>
      <c r="B348" s="13"/>
      <c r="C348" s="13"/>
      <c r="D348" s="14"/>
      <c r="E348" s="15"/>
      <c r="F348" s="15"/>
      <c r="G348" s="12"/>
      <c r="H348" s="16" t="str">
        <f aca="false">IF(OR(A348="",C348=""),"",IFERROR(INDEX(Aşamalar!$B$5:$B$12,MATCH(C348,Aşamalar!$A$5:$A$12,0)),0))</f>
        <v/>
      </c>
      <c r="I348" s="17" t="str">
        <f aca="false">IF(H348="","",D348*H348)</f>
        <v/>
      </c>
      <c r="J348" s="18" t="str">
        <f aca="true">IF(AND(AND(C348&lt;&gt;"Kazanıldı",C348&lt;&gt;"Kaybedildi",C348&lt;&gt;""),F348&lt;&gt;""),IF(F348&lt;TODAY(),"Gecikti",IF(F348=TODAY(),"Bugün","")),"")</f>
        <v/>
      </c>
      <c r="K348" s="18" t="str">
        <f aca="true">IF(AND(AND(C348&lt;&gt;"Kazanıldı",C348&lt;&gt;"Kaybedildi",C348&lt;&gt;""),F348&lt;&gt;"",F348&lt;=TODAY()),F348+ROW()/1000000,"")</f>
        <v/>
      </c>
    </row>
    <row r="349" customFormat="false" ht="15" hidden="false" customHeight="false" outlineLevel="0" collapsed="false">
      <c r="A349" s="12"/>
      <c r="B349" s="13"/>
      <c r="C349" s="13"/>
      <c r="D349" s="14"/>
      <c r="E349" s="15"/>
      <c r="F349" s="15"/>
      <c r="G349" s="12"/>
      <c r="H349" s="16" t="str">
        <f aca="false">IF(OR(A349="",C349=""),"",IFERROR(INDEX(Aşamalar!$B$5:$B$12,MATCH(C349,Aşamalar!$A$5:$A$12,0)),0))</f>
        <v/>
      </c>
      <c r="I349" s="17" t="str">
        <f aca="false">IF(H349="","",D349*H349)</f>
        <v/>
      </c>
      <c r="J349" s="18" t="str">
        <f aca="true">IF(AND(AND(C349&lt;&gt;"Kazanıldı",C349&lt;&gt;"Kaybedildi",C349&lt;&gt;""),F349&lt;&gt;""),IF(F349&lt;TODAY(),"Gecikti",IF(F349=TODAY(),"Bugün","")),"")</f>
        <v/>
      </c>
      <c r="K349" s="18" t="str">
        <f aca="true">IF(AND(AND(C349&lt;&gt;"Kazanıldı",C349&lt;&gt;"Kaybedildi",C349&lt;&gt;""),F349&lt;&gt;"",F349&lt;=TODAY()),F349+ROW()/1000000,"")</f>
        <v/>
      </c>
    </row>
    <row r="350" customFormat="false" ht="15" hidden="false" customHeight="false" outlineLevel="0" collapsed="false">
      <c r="A350" s="12"/>
      <c r="B350" s="13"/>
      <c r="C350" s="13"/>
      <c r="D350" s="14"/>
      <c r="E350" s="15"/>
      <c r="F350" s="15"/>
      <c r="G350" s="12"/>
      <c r="H350" s="16" t="str">
        <f aca="false">IF(OR(A350="",C350=""),"",IFERROR(INDEX(Aşamalar!$B$5:$B$12,MATCH(C350,Aşamalar!$A$5:$A$12,0)),0))</f>
        <v/>
      </c>
      <c r="I350" s="17" t="str">
        <f aca="false">IF(H350="","",D350*H350)</f>
        <v/>
      </c>
      <c r="J350" s="18" t="str">
        <f aca="true">IF(AND(AND(C350&lt;&gt;"Kazanıldı",C350&lt;&gt;"Kaybedildi",C350&lt;&gt;""),F350&lt;&gt;""),IF(F350&lt;TODAY(),"Gecikti",IF(F350=TODAY(),"Bugün","")),"")</f>
        <v/>
      </c>
      <c r="K350" s="18" t="str">
        <f aca="true">IF(AND(AND(C350&lt;&gt;"Kazanıldı",C350&lt;&gt;"Kaybedildi",C350&lt;&gt;""),F350&lt;&gt;"",F350&lt;=TODAY()),F350+ROW()/1000000,"")</f>
        <v/>
      </c>
    </row>
    <row r="351" customFormat="false" ht="15" hidden="false" customHeight="false" outlineLevel="0" collapsed="false">
      <c r="A351" s="12"/>
      <c r="B351" s="13"/>
      <c r="C351" s="13"/>
      <c r="D351" s="14"/>
      <c r="E351" s="15"/>
      <c r="F351" s="15"/>
      <c r="G351" s="12"/>
      <c r="H351" s="16" t="str">
        <f aca="false">IF(OR(A351="",C351=""),"",IFERROR(INDEX(Aşamalar!$B$5:$B$12,MATCH(C351,Aşamalar!$A$5:$A$12,0)),0))</f>
        <v/>
      </c>
      <c r="I351" s="17" t="str">
        <f aca="false">IF(H351="","",D351*H351)</f>
        <v/>
      </c>
      <c r="J351" s="18" t="str">
        <f aca="true">IF(AND(AND(C351&lt;&gt;"Kazanıldı",C351&lt;&gt;"Kaybedildi",C351&lt;&gt;""),F351&lt;&gt;""),IF(F351&lt;TODAY(),"Gecikti",IF(F351=TODAY(),"Bugün","")),"")</f>
        <v/>
      </c>
      <c r="K351" s="18" t="str">
        <f aca="true">IF(AND(AND(C351&lt;&gt;"Kazanıldı",C351&lt;&gt;"Kaybedildi",C351&lt;&gt;""),F351&lt;&gt;"",F351&lt;=TODAY()),F351+ROW()/1000000,"")</f>
        <v/>
      </c>
    </row>
    <row r="352" customFormat="false" ht="15" hidden="false" customHeight="false" outlineLevel="0" collapsed="false">
      <c r="A352" s="12"/>
      <c r="B352" s="13"/>
      <c r="C352" s="13"/>
      <c r="D352" s="14"/>
      <c r="E352" s="15"/>
      <c r="F352" s="15"/>
      <c r="G352" s="12"/>
      <c r="H352" s="16" t="str">
        <f aca="false">IF(OR(A352="",C352=""),"",IFERROR(INDEX(Aşamalar!$B$5:$B$12,MATCH(C352,Aşamalar!$A$5:$A$12,0)),0))</f>
        <v/>
      </c>
      <c r="I352" s="17" t="str">
        <f aca="false">IF(H352="","",D352*H352)</f>
        <v/>
      </c>
      <c r="J352" s="18" t="str">
        <f aca="true">IF(AND(AND(C352&lt;&gt;"Kazanıldı",C352&lt;&gt;"Kaybedildi",C352&lt;&gt;""),F352&lt;&gt;""),IF(F352&lt;TODAY(),"Gecikti",IF(F352=TODAY(),"Bugün","")),"")</f>
        <v/>
      </c>
      <c r="K352" s="18" t="str">
        <f aca="true">IF(AND(AND(C352&lt;&gt;"Kazanıldı",C352&lt;&gt;"Kaybedildi",C352&lt;&gt;""),F352&lt;&gt;"",F352&lt;=TODAY()),F352+ROW()/1000000,"")</f>
        <v/>
      </c>
    </row>
    <row r="353" customFormat="false" ht="15" hidden="false" customHeight="false" outlineLevel="0" collapsed="false">
      <c r="A353" s="12"/>
      <c r="B353" s="13"/>
      <c r="C353" s="13"/>
      <c r="D353" s="14"/>
      <c r="E353" s="15"/>
      <c r="F353" s="15"/>
      <c r="G353" s="12"/>
      <c r="H353" s="16" t="str">
        <f aca="false">IF(OR(A353="",C353=""),"",IFERROR(INDEX(Aşamalar!$B$5:$B$12,MATCH(C353,Aşamalar!$A$5:$A$12,0)),0))</f>
        <v/>
      </c>
      <c r="I353" s="17" t="str">
        <f aca="false">IF(H353="","",D353*H353)</f>
        <v/>
      </c>
      <c r="J353" s="18" t="str">
        <f aca="true">IF(AND(AND(C353&lt;&gt;"Kazanıldı",C353&lt;&gt;"Kaybedildi",C353&lt;&gt;""),F353&lt;&gt;""),IF(F353&lt;TODAY(),"Gecikti",IF(F353=TODAY(),"Bugün","")),"")</f>
        <v/>
      </c>
      <c r="K353" s="18" t="str">
        <f aca="true">IF(AND(AND(C353&lt;&gt;"Kazanıldı",C353&lt;&gt;"Kaybedildi",C353&lt;&gt;""),F353&lt;&gt;"",F353&lt;=TODAY()),F353+ROW()/1000000,"")</f>
        <v/>
      </c>
    </row>
    <row r="354" customFormat="false" ht="15" hidden="false" customHeight="false" outlineLevel="0" collapsed="false">
      <c r="A354" s="12"/>
      <c r="B354" s="13"/>
      <c r="C354" s="13"/>
      <c r="D354" s="14"/>
      <c r="E354" s="15"/>
      <c r="F354" s="15"/>
      <c r="G354" s="12"/>
      <c r="H354" s="16" t="str">
        <f aca="false">IF(OR(A354="",C354=""),"",IFERROR(INDEX(Aşamalar!$B$5:$B$12,MATCH(C354,Aşamalar!$A$5:$A$12,0)),0))</f>
        <v/>
      </c>
      <c r="I354" s="17" t="str">
        <f aca="false">IF(H354="","",D354*H354)</f>
        <v/>
      </c>
      <c r="J354" s="18" t="str">
        <f aca="true">IF(AND(AND(C354&lt;&gt;"Kazanıldı",C354&lt;&gt;"Kaybedildi",C354&lt;&gt;""),F354&lt;&gt;""),IF(F354&lt;TODAY(),"Gecikti",IF(F354=TODAY(),"Bugün","")),"")</f>
        <v/>
      </c>
      <c r="K354" s="18" t="str">
        <f aca="true">IF(AND(AND(C354&lt;&gt;"Kazanıldı",C354&lt;&gt;"Kaybedildi",C354&lt;&gt;""),F354&lt;&gt;"",F354&lt;=TODAY()),F354+ROW()/1000000,"")</f>
        <v/>
      </c>
    </row>
    <row r="355" customFormat="false" ht="15" hidden="false" customHeight="false" outlineLevel="0" collapsed="false">
      <c r="A355" s="12"/>
      <c r="B355" s="13"/>
      <c r="C355" s="13"/>
      <c r="D355" s="14"/>
      <c r="E355" s="15"/>
      <c r="F355" s="15"/>
      <c r="G355" s="12"/>
      <c r="H355" s="16" t="str">
        <f aca="false">IF(OR(A355="",C355=""),"",IFERROR(INDEX(Aşamalar!$B$5:$B$12,MATCH(C355,Aşamalar!$A$5:$A$12,0)),0))</f>
        <v/>
      </c>
      <c r="I355" s="17" t="str">
        <f aca="false">IF(H355="","",D355*H355)</f>
        <v/>
      </c>
      <c r="J355" s="18" t="str">
        <f aca="true">IF(AND(AND(C355&lt;&gt;"Kazanıldı",C355&lt;&gt;"Kaybedildi",C355&lt;&gt;""),F355&lt;&gt;""),IF(F355&lt;TODAY(),"Gecikti",IF(F355=TODAY(),"Bugün","")),"")</f>
        <v/>
      </c>
      <c r="K355" s="18" t="str">
        <f aca="true">IF(AND(AND(C355&lt;&gt;"Kazanıldı",C355&lt;&gt;"Kaybedildi",C355&lt;&gt;""),F355&lt;&gt;"",F355&lt;=TODAY()),F355+ROW()/1000000,"")</f>
        <v/>
      </c>
    </row>
    <row r="356" customFormat="false" ht="15" hidden="false" customHeight="false" outlineLevel="0" collapsed="false">
      <c r="A356" s="12"/>
      <c r="B356" s="13"/>
      <c r="C356" s="13"/>
      <c r="D356" s="14"/>
      <c r="E356" s="15"/>
      <c r="F356" s="15"/>
      <c r="G356" s="12"/>
      <c r="H356" s="16" t="str">
        <f aca="false">IF(OR(A356="",C356=""),"",IFERROR(INDEX(Aşamalar!$B$5:$B$12,MATCH(C356,Aşamalar!$A$5:$A$12,0)),0))</f>
        <v/>
      </c>
      <c r="I356" s="17" t="str">
        <f aca="false">IF(H356="","",D356*H356)</f>
        <v/>
      </c>
      <c r="J356" s="18" t="str">
        <f aca="true">IF(AND(AND(C356&lt;&gt;"Kazanıldı",C356&lt;&gt;"Kaybedildi",C356&lt;&gt;""),F356&lt;&gt;""),IF(F356&lt;TODAY(),"Gecikti",IF(F356=TODAY(),"Bugün","")),"")</f>
        <v/>
      </c>
      <c r="K356" s="18" t="str">
        <f aca="true">IF(AND(AND(C356&lt;&gt;"Kazanıldı",C356&lt;&gt;"Kaybedildi",C356&lt;&gt;""),F356&lt;&gt;"",F356&lt;=TODAY()),F356+ROW()/1000000,"")</f>
        <v/>
      </c>
    </row>
    <row r="357" customFormat="false" ht="15" hidden="false" customHeight="false" outlineLevel="0" collapsed="false">
      <c r="A357" s="12"/>
      <c r="B357" s="13"/>
      <c r="C357" s="13"/>
      <c r="D357" s="14"/>
      <c r="E357" s="15"/>
      <c r="F357" s="15"/>
      <c r="G357" s="12"/>
      <c r="H357" s="16" t="str">
        <f aca="false">IF(OR(A357="",C357=""),"",IFERROR(INDEX(Aşamalar!$B$5:$B$12,MATCH(C357,Aşamalar!$A$5:$A$12,0)),0))</f>
        <v/>
      </c>
      <c r="I357" s="17" t="str">
        <f aca="false">IF(H357="","",D357*H357)</f>
        <v/>
      </c>
      <c r="J357" s="18" t="str">
        <f aca="true">IF(AND(AND(C357&lt;&gt;"Kazanıldı",C357&lt;&gt;"Kaybedildi",C357&lt;&gt;""),F357&lt;&gt;""),IF(F357&lt;TODAY(),"Gecikti",IF(F357=TODAY(),"Bugün","")),"")</f>
        <v/>
      </c>
      <c r="K357" s="18" t="str">
        <f aca="true">IF(AND(AND(C357&lt;&gt;"Kazanıldı",C357&lt;&gt;"Kaybedildi",C357&lt;&gt;""),F357&lt;&gt;"",F357&lt;=TODAY()),F357+ROW()/1000000,"")</f>
        <v/>
      </c>
    </row>
    <row r="358" customFormat="false" ht="15" hidden="false" customHeight="false" outlineLevel="0" collapsed="false">
      <c r="A358" s="12"/>
      <c r="B358" s="13"/>
      <c r="C358" s="13"/>
      <c r="D358" s="14"/>
      <c r="E358" s="15"/>
      <c r="F358" s="15"/>
      <c r="G358" s="12"/>
      <c r="H358" s="16" t="str">
        <f aca="false">IF(OR(A358="",C358=""),"",IFERROR(INDEX(Aşamalar!$B$5:$B$12,MATCH(C358,Aşamalar!$A$5:$A$12,0)),0))</f>
        <v/>
      </c>
      <c r="I358" s="17" t="str">
        <f aca="false">IF(H358="","",D358*H358)</f>
        <v/>
      </c>
      <c r="J358" s="18" t="str">
        <f aca="true">IF(AND(AND(C358&lt;&gt;"Kazanıldı",C358&lt;&gt;"Kaybedildi",C358&lt;&gt;""),F358&lt;&gt;""),IF(F358&lt;TODAY(),"Gecikti",IF(F358=TODAY(),"Bugün","")),"")</f>
        <v/>
      </c>
      <c r="K358" s="18" t="str">
        <f aca="true">IF(AND(AND(C358&lt;&gt;"Kazanıldı",C358&lt;&gt;"Kaybedildi",C358&lt;&gt;""),F358&lt;&gt;"",F358&lt;=TODAY()),F358+ROW()/1000000,"")</f>
        <v/>
      </c>
    </row>
    <row r="359" customFormat="false" ht="15" hidden="false" customHeight="false" outlineLevel="0" collapsed="false">
      <c r="A359" s="12"/>
      <c r="B359" s="13"/>
      <c r="C359" s="13"/>
      <c r="D359" s="14"/>
      <c r="E359" s="15"/>
      <c r="F359" s="15"/>
      <c r="G359" s="12"/>
      <c r="H359" s="16" t="str">
        <f aca="false">IF(OR(A359="",C359=""),"",IFERROR(INDEX(Aşamalar!$B$5:$B$12,MATCH(C359,Aşamalar!$A$5:$A$12,0)),0))</f>
        <v/>
      </c>
      <c r="I359" s="17" t="str">
        <f aca="false">IF(H359="","",D359*H359)</f>
        <v/>
      </c>
      <c r="J359" s="18" t="str">
        <f aca="true">IF(AND(AND(C359&lt;&gt;"Kazanıldı",C359&lt;&gt;"Kaybedildi",C359&lt;&gt;""),F359&lt;&gt;""),IF(F359&lt;TODAY(),"Gecikti",IF(F359=TODAY(),"Bugün","")),"")</f>
        <v/>
      </c>
      <c r="K359" s="18" t="str">
        <f aca="true">IF(AND(AND(C359&lt;&gt;"Kazanıldı",C359&lt;&gt;"Kaybedildi",C359&lt;&gt;""),F359&lt;&gt;"",F359&lt;=TODAY()),F359+ROW()/1000000,"")</f>
        <v/>
      </c>
    </row>
    <row r="360" customFormat="false" ht="15" hidden="false" customHeight="false" outlineLevel="0" collapsed="false">
      <c r="A360" s="12"/>
      <c r="B360" s="13"/>
      <c r="C360" s="13"/>
      <c r="D360" s="14"/>
      <c r="E360" s="15"/>
      <c r="F360" s="15"/>
      <c r="G360" s="12"/>
      <c r="H360" s="16" t="str">
        <f aca="false">IF(OR(A360="",C360=""),"",IFERROR(INDEX(Aşamalar!$B$5:$B$12,MATCH(C360,Aşamalar!$A$5:$A$12,0)),0))</f>
        <v/>
      </c>
      <c r="I360" s="17" t="str">
        <f aca="false">IF(H360="","",D360*H360)</f>
        <v/>
      </c>
      <c r="J360" s="18" t="str">
        <f aca="true">IF(AND(AND(C360&lt;&gt;"Kazanıldı",C360&lt;&gt;"Kaybedildi",C360&lt;&gt;""),F360&lt;&gt;""),IF(F360&lt;TODAY(),"Gecikti",IF(F360=TODAY(),"Bugün","")),"")</f>
        <v/>
      </c>
      <c r="K360" s="18" t="str">
        <f aca="true">IF(AND(AND(C360&lt;&gt;"Kazanıldı",C360&lt;&gt;"Kaybedildi",C360&lt;&gt;""),F360&lt;&gt;"",F360&lt;=TODAY()),F360+ROW()/1000000,"")</f>
        <v/>
      </c>
    </row>
    <row r="361" customFormat="false" ht="15" hidden="false" customHeight="false" outlineLevel="0" collapsed="false">
      <c r="A361" s="12"/>
      <c r="B361" s="13"/>
      <c r="C361" s="13"/>
      <c r="D361" s="14"/>
      <c r="E361" s="15"/>
      <c r="F361" s="15"/>
      <c r="G361" s="12"/>
      <c r="H361" s="16" t="str">
        <f aca="false">IF(OR(A361="",C361=""),"",IFERROR(INDEX(Aşamalar!$B$5:$B$12,MATCH(C361,Aşamalar!$A$5:$A$12,0)),0))</f>
        <v/>
      </c>
      <c r="I361" s="17" t="str">
        <f aca="false">IF(H361="","",D361*H361)</f>
        <v/>
      </c>
      <c r="J361" s="18" t="str">
        <f aca="true">IF(AND(AND(C361&lt;&gt;"Kazanıldı",C361&lt;&gt;"Kaybedildi",C361&lt;&gt;""),F361&lt;&gt;""),IF(F361&lt;TODAY(),"Gecikti",IF(F361=TODAY(),"Bugün","")),"")</f>
        <v/>
      </c>
      <c r="K361" s="18" t="str">
        <f aca="true">IF(AND(AND(C361&lt;&gt;"Kazanıldı",C361&lt;&gt;"Kaybedildi",C361&lt;&gt;""),F361&lt;&gt;"",F361&lt;=TODAY()),F361+ROW()/1000000,"")</f>
        <v/>
      </c>
    </row>
    <row r="362" customFormat="false" ht="15" hidden="false" customHeight="false" outlineLevel="0" collapsed="false">
      <c r="A362" s="12"/>
      <c r="B362" s="13"/>
      <c r="C362" s="13"/>
      <c r="D362" s="14"/>
      <c r="E362" s="15"/>
      <c r="F362" s="15"/>
      <c r="G362" s="12"/>
      <c r="H362" s="16" t="str">
        <f aca="false">IF(OR(A362="",C362=""),"",IFERROR(INDEX(Aşamalar!$B$5:$B$12,MATCH(C362,Aşamalar!$A$5:$A$12,0)),0))</f>
        <v/>
      </c>
      <c r="I362" s="17" t="str">
        <f aca="false">IF(H362="","",D362*H362)</f>
        <v/>
      </c>
      <c r="J362" s="18" t="str">
        <f aca="true">IF(AND(AND(C362&lt;&gt;"Kazanıldı",C362&lt;&gt;"Kaybedildi",C362&lt;&gt;""),F362&lt;&gt;""),IF(F362&lt;TODAY(),"Gecikti",IF(F362=TODAY(),"Bugün","")),"")</f>
        <v/>
      </c>
      <c r="K362" s="18" t="str">
        <f aca="true">IF(AND(AND(C362&lt;&gt;"Kazanıldı",C362&lt;&gt;"Kaybedildi",C362&lt;&gt;""),F362&lt;&gt;"",F362&lt;=TODAY()),F362+ROW()/1000000,"")</f>
        <v/>
      </c>
    </row>
    <row r="363" customFormat="false" ht="15" hidden="false" customHeight="false" outlineLevel="0" collapsed="false">
      <c r="A363" s="12"/>
      <c r="B363" s="13"/>
      <c r="C363" s="13"/>
      <c r="D363" s="14"/>
      <c r="E363" s="15"/>
      <c r="F363" s="15"/>
      <c r="G363" s="12"/>
      <c r="H363" s="16" t="str">
        <f aca="false">IF(OR(A363="",C363=""),"",IFERROR(INDEX(Aşamalar!$B$5:$B$12,MATCH(C363,Aşamalar!$A$5:$A$12,0)),0))</f>
        <v/>
      </c>
      <c r="I363" s="17" t="str">
        <f aca="false">IF(H363="","",D363*H363)</f>
        <v/>
      </c>
      <c r="J363" s="18" t="str">
        <f aca="true">IF(AND(AND(C363&lt;&gt;"Kazanıldı",C363&lt;&gt;"Kaybedildi",C363&lt;&gt;""),F363&lt;&gt;""),IF(F363&lt;TODAY(),"Gecikti",IF(F363=TODAY(),"Bugün","")),"")</f>
        <v/>
      </c>
      <c r="K363" s="18" t="str">
        <f aca="true">IF(AND(AND(C363&lt;&gt;"Kazanıldı",C363&lt;&gt;"Kaybedildi",C363&lt;&gt;""),F363&lt;&gt;"",F363&lt;=TODAY()),F363+ROW()/1000000,"")</f>
        <v/>
      </c>
    </row>
    <row r="364" customFormat="false" ht="15" hidden="false" customHeight="false" outlineLevel="0" collapsed="false">
      <c r="A364" s="12"/>
      <c r="B364" s="13"/>
      <c r="C364" s="13"/>
      <c r="D364" s="14"/>
      <c r="E364" s="15"/>
      <c r="F364" s="15"/>
      <c r="G364" s="12"/>
      <c r="H364" s="16" t="str">
        <f aca="false">IF(OR(A364="",C364=""),"",IFERROR(INDEX(Aşamalar!$B$5:$B$12,MATCH(C364,Aşamalar!$A$5:$A$12,0)),0))</f>
        <v/>
      </c>
      <c r="I364" s="17" t="str">
        <f aca="false">IF(H364="","",D364*H364)</f>
        <v/>
      </c>
      <c r="J364" s="18" t="str">
        <f aca="true">IF(AND(AND(C364&lt;&gt;"Kazanıldı",C364&lt;&gt;"Kaybedildi",C364&lt;&gt;""),F364&lt;&gt;""),IF(F364&lt;TODAY(),"Gecikti",IF(F364=TODAY(),"Bugün","")),"")</f>
        <v/>
      </c>
      <c r="K364" s="18" t="str">
        <f aca="true">IF(AND(AND(C364&lt;&gt;"Kazanıldı",C364&lt;&gt;"Kaybedildi",C364&lt;&gt;""),F364&lt;&gt;"",F364&lt;=TODAY()),F364+ROW()/1000000,"")</f>
        <v/>
      </c>
    </row>
    <row r="365" customFormat="false" ht="15" hidden="false" customHeight="false" outlineLevel="0" collapsed="false">
      <c r="A365" s="12"/>
      <c r="B365" s="13"/>
      <c r="C365" s="13"/>
      <c r="D365" s="14"/>
      <c r="E365" s="15"/>
      <c r="F365" s="15"/>
      <c r="G365" s="12"/>
      <c r="H365" s="16" t="str">
        <f aca="false">IF(OR(A365="",C365=""),"",IFERROR(INDEX(Aşamalar!$B$5:$B$12,MATCH(C365,Aşamalar!$A$5:$A$12,0)),0))</f>
        <v/>
      </c>
      <c r="I365" s="17" t="str">
        <f aca="false">IF(H365="","",D365*H365)</f>
        <v/>
      </c>
      <c r="J365" s="18" t="str">
        <f aca="true">IF(AND(AND(C365&lt;&gt;"Kazanıldı",C365&lt;&gt;"Kaybedildi",C365&lt;&gt;""),F365&lt;&gt;""),IF(F365&lt;TODAY(),"Gecikti",IF(F365=TODAY(),"Bugün","")),"")</f>
        <v/>
      </c>
      <c r="K365" s="18" t="str">
        <f aca="true">IF(AND(AND(C365&lt;&gt;"Kazanıldı",C365&lt;&gt;"Kaybedildi",C365&lt;&gt;""),F365&lt;&gt;"",F365&lt;=TODAY()),F365+ROW()/1000000,"")</f>
        <v/>
      </c>
    </row>
    <row r="366" customFormat="false" ht="15" hidden="false" customHeight="false" outlineLevel="0" collapsed="false">
      <c r="A366" s="12"/>
      <c r="B366" s="13"/>
      <c r="C366" s="13"/>
      <c r="D366" s="14"/>
      <c r="E366" s="15"/>
      <c r="F366" s="15"/>
      <c r="G366" s="12"/>
      <c r="H366" s="16" t="str">
        <f aca="false">IF(OR(A366="",C366=""),"",IFERROR(INDEX(Aşamalar!$B$5:$B$12,MATCH(C366,Aşamalar!$A$5:$A$12,0)),0))</f>
        <v/>
      </c>
      <c r="I366" s="17" t="str">
        <f aca="false">IF(H366="","",D366*H366)</f>
        <v/>
      </c>
      <c r="J366" s="18" t="str">
        <f aca="true">IF(AND(AND(C366&lt;&gt;"Kazanıldı",C366&lt;&gt;"Kaybedildi",C366&lt;&gt;""),F366&lt;&gt;""),IF(F366&lt;TODAY(),"Gecikti",IF(F366=TODAY(),"Bugün","")),"")</f>
        <v/>
      </c>
      <c r="K366" s="18" t="str">
        <f aca="true">IF(AND(AND(C366&lt;&gt;"Kazanıldı",C366&lt;&gt;"Kaybedildi",C366&lt;&gt;""),F366&lt;&gt;"",F366&lt;=TODAY()),F366+ROW()/1000000,"")</f>
        <v/>
      </c>
    </row>
    <row r="367" customFormat="false" ht="15" hidden="false" customHeight="false" outlineLevel="0" collapsed="false">
      <c r="A367" s="12"/>
      <c r="B367" s="13"/>
      <c r="C367" s="13"/>
      <c r="D367" s="14"/>
      <c r="E367" s="15"/>
      <c r="F367" s="15"/>
      <c r="G367" s="12"/>
      <c r="H367" s="16" t="str">
        <f aca="false">IF(OR(A367="",C367=""),"",IFERROR(INDEX(Aşamalar!$B$5:$B$12,MATCH(C367,Aşamalar!$A$5:$A$12,0)),0))</f>
        <v/>
      </c>
      <c r="I367" s="17" t="str">
        <f aca="false">IF(H367="","",D367*H367)</f>
        <v/>
      </c>
      <c r="J367" s="18" t="str">
        <f aca="true">IF(AND(AND(C367&lt;&gt;"Kazanıldı",C367&lt;&gt;"Kaybedildi",C367&lt;&gt;""),F367&lt;&gt;""),IF(F367&lt;TODAY(),"Gecikti",IF(F367=TODAY(),"Bugün","")),"")</f>
        <v/>
      </c>
      <c r="K367" s="18" t="str">
        <f aca="true">IF(AND(AND(C367&lt;&gt;"Kazanıldı",C367&lt;&gt;"Kaybedildi",C367&lt;&gt;""),F367&lt;&gt;"",F367&lt;=TODAY()),F367+ROW()/1000000,"")</f>
        <v/>
      </c>
    </row>
    <row r="368" customFormat="false" ht="15" hidden="false" customHeight="false" outlineLevel="0" collapsed="false">
      <c r="A368" s="12"/>
      <c r="B368" s="13"/>
      <c r="C368" s="13"/>
      <c r="D368" s="14"/>
      <c r="E368" s="15"/>
      <c r="F368" s="15"/>
      <c r="G368" s="12"/>
      <c r="H368" s="16" t="str">
        <f aca="false">IF(OR(A368="",C368=""),"",IFERROR(INDEX(Aşamalar!$B$5:$B$12,MATCH(C368,Aşamalar!$A$5:$A$12,0)),0))</f>
        <v/>
      </c>
      <c r="I368" s="17" t="str">
        <f aca="false">IF(H368="","",D368*H368)</f>
        <v/>
      </c>
      <c r="J368" s="18" t="str">
        <f aca="true">IF(AND(AND(C368&lt;&gt;"Kazanıldı",C368&lt;&gt;"Kaybedildi",C368&lt;&gt;""),F368&lt;&gt;""),IF(F368&lt;TODAY(),"Gecikti",IF(F368=TODAY(),"Bugün","")),"")</f>
        <v/>
      </c>
      <c r="K368" s="18" t="str">
        <f aca="true">IF(AND(AND(C368&lt;&gt;"Kazanıldı",C368&lt;&gt;"Kaybedildi",C368&lt;&gt;""),F368&lt;&gt;"",F368&lt;=TODAY()),F368+ROW()/1000000,"")</f>
        <v/>
      </c>
    </row>
    <row r="369" customFormat="false" ht="15" hidden="false" customHeight="false" outlineLevel="0" collapsed="false">
      <c r="A369" s="12"/>
      <c r="B369" s="13"/>
      <c r="C369" s="13"/>
      <c r="D369" s="14"/>
      <c r="E369" s="15"/>
      <c r="F369" s="15"/>
      <c r="G369" s="12"/>
      <c r="H369" s="16" t="str">
        <f aca="false">IF(OR(A369="",C369=""),"",IFERROR(INDEX(Aşamalar!$B$5:$B$12,MATCH(C369,Aşamalar!$A$5:$A$12,0)),0))</f>
        <v/>
      </c>
      <c r="I369" s="17" t="str">
        <f aca="false">IF(H369="","",D369*H369)</f>
        <v/>
      </c>
      <c r="J369" s="18" t="str">
        <f aca="true">IF(AND(AND(C369&lt;&gt;"Kazanıldı",C369&lt;&gt;"Kaybedildi",C369&lt;&gt;""),F369&lt;&gt;""),IF(F369&lt;TODAY(),"Gecikti",IF(F369=TODAY(),"Bugün","")),"")</f>
        <v/>
      </c>
      <c r="K369" s="18" t="str">
        <f aca="true">IF(AND(AND(C369&lt;&gt;"Kazanıldı",C369&lt;&gt;"Kaybedildi",C369&lt;&gt;""),F369&lt;&gt;"",F369&lt;=TODAY()),F369+ROW()/1000000,"")</f>
        <v/>
      </c>
    </row>
    <row r="370" customFormat="false" ht="15" hidden="false" customHeight="false" outlineLevel="0" collapsed="false">
      <c r="A370" s="12"/>
      <c r="B370" s="13"/>
      <c r="C370" s="13"/>
      <c r="D370" s="14"/>
      <c r="E370" s="15"/>
      <c r="F370" s="15"/>
      <c r="G370" s="12"/>
      <c r="H370" s="16" t="str">
        <f aca="false">IF(OR(A370="",C370=""),"",IFERROR(INDEX(Aşamalar!$B$5:$B$12,MATCH(C370,Aşamalar!$A$5:$A$12,0)),0))</f>
        <v/>
      </c>
      <c r="I370" s="17" t="str">
        <f aca="false">IF(H370="","",D370*H370)</f>
        <v/>
      </c>
      <c r="J370" s="18" t="str">
        <f aca="true">IF(AND(AND(C370&lt;&gt;"Kazanıldı",C370&lt;&gt;"Kaybedildi",C370&lt;&gt;""),F370&lt;&gt;""),IF(F370&lt;TODAY(),"Gecikti",IF(F370=TODAY(),"Bugün","")),"")</f>
        <v/>
      </c>
      <c r="K370" s="18" t="str">
        <f aca="true">IF(AND(AND(C370&lt;&gt;"Kazanıldı",C370&lt;&gt;"Kaybedildi",C370&lt;&gt;""),F370&lt;&gt;"",F370&lt;=TODAY()),F370+ROW()/1000000,"")</f>
        <v/>
      </c>
    </row>
    <row r="371" customFormat="false" ht="15" hidden="false" customHeight="false" outlineLevel="0" collapsed="false">
      <c r="A371" s="12"/>
      <c r="B371" s="13"/>
      <c r="C371" s="13"/>
      <c r="D371" s="14"/>
      <c r="E371" s="15"/>
      <c r="F371" s="15"/>
      <c r="G371" s="12"/>
      <c r="H371" s="16" t="str">
        <f aca="false">IF(OR(A371="",C371=""),"",IFERROR(INDEX(Aşamalar!$B$5:$B$12,MATCH(C371,Aşamalar!$A$5:$A$12,0)),0))</f>
        <v/>
      </c>
      <c r="I371" s="17" t="str">
        <f aca="false">IF(H371="","",D371*H371)</f>
        <v/>
      </c>
      <c r="J371" s="18" t="str">
        <f aca="true">IF(AND(AND(C371&lt;&gt;"Kazanıldı",C371&lt;&gt;"Kaybedildi",C371&lt;&gt;""),F371&lt;&gt;""),IF(F371&lt;TODAY(),"Gecikti",IF(F371=TODAY(),"Bugün","")),"")</f>
        <v/>
      </c>
      <c r="K371" s="18" t="str">
        <f aca="true">IF(AND(AND(C371&lt;&gt;"Kazanıldı",C371&lt;&gt;"Kaybedildi",C371&lt;&gt;""),F371&lt;&gt;"",F371&lt;=TODAY()),F371+ROW()/1000000,"")</f>
        <v/>
      </c>
    </row>
    <row r="372" customFormat="false" ht="15" hidden="false" customHeight="false" outlineLevel="0" collapsed="false">
      <c r="A372" s="12"/>
      <c r="B372" s="13"/>
      <c r="C372" s="13"/>
      <c r="D372" s="14"/>
      <c r="E372" s="15"/>
      <c r="F372" s="15"/>
      <c r="G372" s="12"/>
      <c r="H372" s="16" t="str">
        <f aca="false">IF(OR(A372="",C372=""),"",IFERROR(INDEX(Aşamalar!$B$5:$B$12,MATCH(C372,Aşamalar!$A$5:$A$12,0)),0))</f>
        <v/>
      </c>
      <c r="I372" s="17" t="str">
        <f aca="false">IF(H372="","",D372*H372)</f>
        <v/>
      </c>
      <c r="J372" s="18" t="str">
        <f aca="true">IF(AND(AND(C372&lt;&gt;"Kazanıldı",C372&lt;&gt;"Kaybedildi",C372&lt;&gt;""),F372&lt;&gt;""),IF(F372&lt;TODAY(),"Gecikti",IF(F372=TODAY(),"Bugün","")),"")</f>
        <v/>
      </c>
      <c r="K372" s="18" t="str">
        <f aca="true">IF(AND(AND(C372&lt;&gt;"Kazanıldı",C372&lt;&gt;"Kaybedildi",C372&lt;&gt;""),F372&lt;&gt;"",F372&lt;=TODAY()),F372+ROW()/1000000,"")</f>
        <v/>
      </c>
    </row>
    <row r="373" customFormat="false" ht="15" hidden="false" customHeight="false" outlineLevel="0" collapsed="false">
      <c r="A373" s="12"/>
      <c r="B373" s="13"/>
      <c r="C373" s="13"/>
      <c r="D373" s="14"/>
      <c r="E373" s="15"/>
      <c r="F373" s="15"/>
      <c r="G373" s="12"/>
      <c r="H373" s="16" t="str">
        <f aca="false">IF(OR(A373="",C373=""),"",IFERROR(INDEX(Aşamalar!$B$5:$B$12,MATCH(C373,Aşamalar!$A$5:$A$12,0)),0))</f>
        <v/>
      </c>
      <c r="I373" s="17" t="str">
        <f aca="false">IF(H373="","",D373*H373)</f>
        <v/>
      </c>
      <c r="J373" s="18" t="str">
        <f aca="true">IF(AND(AND(C373&lt;&gt;"Kazanıldı",C373&lt;&gt;"Kaybedildi",C373&lt;&gt;""),F373&lt;&gt;""),IF(F373&lt;TODAY(),"Gecikti",IF(F373=TODAY(),"Bugün","")),"")</f>
        <v/>
      </c>
      <c r="K373" s="18" t="str">
        <f aca="true">IF(AND(AND(C373&lt;&gt;"Kazanıldı",C373&lt;&gt;"Kaybedildi",C373&lt;&gt;""),F373&lt;&gt;"",F373&lt;=TODAY()),F373+ROW()/1000000,"")</f>
        <v/>
      </c>
    </row>
    <row r="374" customFormat="false" ht="15" hidden="false" customHeight="false" outlineLevel="0" collapsed="false">
      <c r="A374" s="12"/>
      <c r="B374" s="13"/>
      <c r="C374" s="13"/>
      <c r="D374" s="14"/>
      <c r="E374" s="15"/>
      <c r="F374" s="15"/>
      <c r="G374" s="12"/>
      <c r="H374" s="16" t="str">
        <f aca="false">IF(OR(A374="",C374=""),"",IFERROR(INDEX(Aşamalar!$B$5:$B$12,MATCH(C374,Aşamalar!$A$5:$A$12,0)),0))</f>
        <v/>
      </c>
      <c r="I374" s="17" t="str">
        <f aca="false">IF(H374="","",D374*H374)</f>
        <v/>
      </c>
      <c r="J374" s="18" t="str">
        <f aca="true">IF(AND(AND(C374&lt;&gt;"Kazanıldı",C374&lt;&gt;"Kaybedildi",C374&lt;&gt;""),F374&lt;&gt;""),IF(F374&lt;TODAY(),"Gecikti",IF(F374=TODAY(),"Bugün","")),"")</f>
        <v/>
      </c>
      <c r="K374" s="18" t="str">
        <f aca="true">IF(AND(AND(C374&lt;&gt;"Kazanıldı",C374&lt;&gt;"Kaybedildi",C374&lt;&gt;""),F374&lt;&gt;"",F374&lt;=TODAY()),F374+ROW()/1000000,"")</f>
        <v/>
      </c>
    </row>
    <row r="375" customFormat="false" ht="15" hidden="false" customHeight="false" outlineLevel="0" collapsed="false">
      <c r="A375" s="12"/>
      <c r="B375" s="13"/>
      <c r="C375" s="13"/>
      <c r="D375" s="14"/>
      <c r="E375" s="15"/>
      <c r="F375" s="15"/>
      <c r="G375" s="12"/>
      <c r="H375" s="16" t="str">
        <f aca="false">IF(OR(A375="",C375=""),"",IFERROR(INDEX(Aşamalar!$B$5:$B$12,MATCH(C375,Aşamalar!$A$5:$A$12,0)),0))</f>
        <v/>
      </c>
      <c r="I375" s="17" t="str">
        <f aca="false">IF(H375="","",D375*H375)</f>
        <v/>
      </c>
      <c r="J375" s="18" t="str">
        <f aca="true">IF(AND(AND(C375&lt;&gt;"Kazanıldı",C375&lt;&gt;"Kaybedildi",C375&lt;&gt;""),F375&lt;&gt;""),IF(F375&lt;TODAY(),"Gecikti",IF(F375=TODAY(),"Bugün","")),"")</f>
        <v/>
      </c>
      <c r="K375" s="18" t="str">
        <f aca="true">IF(AND(AND(C375&lt;&gt;"Kazanıldı",C375&lt;&gt;"Kaybedildi",C375&lt;&gt;""),F375&lt;&gt;"",F375&lt;=TODAY()),F375+ROW()/1000000,"")</f>
        <v/>
      </c>
    </row>
    <row r="376" customFormat="false" ht="15" hidden="false" customHeight="false" outlineLevel="0" collapsed="false">
      <c r="A376" s="12"/>
      <c r="B376" s="13"/>
      <c r="C376" s="13"/>
      <c r="D376" s="14"/>
      <c r="E376" s="15"/>
      <c r="F376" s="15"/>
      <c r="G376" s="12"/>
      <c r="H376" s="16" t="str">
        <f aca="false">IF(OR(A376="",C376=""),"",IFERROR(INDEX(Aşamalar!$B$5:$B$12,MATCH(C376,Aşamalar!$A$5:$A$12,0)),0))</f>
        <v/>
      </c>
      <c r="I376" s="17" t="str">
        <f aca="false">IF(H376="","",D376*H376)</f>
        <v/>
      </c>
      <c r="J376" s="18" t="str">
        <f aca="true">IF(AND(AND(C376&lt;&gt;"Kazanıldı",C376&lt;&gt;"Kaybedildi",C376&lt;&gt;""),F376&lt;&gt;""),IF(F376&lt;TODAY(),"Gecikti",IF(F376=TODAY(),"Bugün","")),"")</f>
        <v/>
      </c>
      <c r="K376" s="18" t="str">
        <f aca="true">IF(AND(AND(C376&lt;&gt;"Kazanıldı",C376&lt;&gt;"Kaybedildi",C376&lt;&gt;""),F376&lt;&gt;"",F376&lt;=TODAY()),F376+ROW()/1000000,"")</f>
        <v/>
      </c>
    </row>
    <row r="377" customFormat="false" ht="15" hidden="false" customHeight="false" outlineLevel="0" collapsed="false">
      <c r="A377" s="12"/>
      <c r="B377" s="13"/>
      <c r="C377" s="13"/>
      <c r="D377" s="14"/>
      <c r="E377" s="15"/>
      <c r="F377" s="15"/>
      <c r="G377" s="12"/>
      <c r="H377" s="16" t="str">
        <f aca="false">IF(OR(A377="",C377=""),"",IFERROR(INDEX(Aşamalar!$B$5:$B$12,MATCH(C377,Aşamalar!$A$5:$A$12,0)),0))</f>
        <v/>
      </c>
      <c r="I377" s="17" t="str">
        <f aca="false">IF(H377="","",D377*H377)</f>
        <v/>
      </c>
      <c r="J377" s="18" t="str">
        <f aca="true">IF(AND(AND(C377&lt;&gt;"Kazanıldı",C377&lt;&gt;"Kaybedildi",C377&lt;&gt;""),F377&lt;&gt;""),IF(F377&lt;TODAY(),"Gecikti",IF(F377=TODAY(),"Bugün","")),"")</f>
        <v/>
      </c>
      <c r="K377" s="18" t="str">
        <f aca="true">IF(AND(AND(C377&lt;&gt;"Kazanıldı",C377&lt;&gt;"Kaybedildi",C377&lt;&gt;""),F377&lt;&gt;"",F377&lt;=TODAY()),F377+ROW()/1000000,"")</f>
        <v/>
      </c>
    </row>
    <row r="378" customFormat="false" ht="15" hidden="false" customHeight="false" outlineLevel="0" collapsed="false">
      <c r="A378" s="12"/>
      <c r="B378" s="13"/>
      <c r="C378" s="13"/>
      <c r="D378" s="14"/>
      <c r="E378" s="15"/>
      <c r="F378" s="15"/>
      <c r="G378" s="12"/>
      <c r="H378" s="16" t="str">
        <f aca="false">IF(OR(A378="",C378=""),"",IFERROR(INDEX(Aşamalar!$B$5:$B$12,MATCH(C378,Aşamalar!$A$5:$A$12,0)),0))</f>
        <v/>
      </c>
      <c r="I378" s="17" t="str">
        <f aca="false">IF(H378="","",D378*H378)</f>
        <v/>
      </c>
      <c r="J378" s="18" t="str">
        <f aca="true">IF(AND(AND(C378&lt;&gt;"Kazanıldı",C378&lt;&gt;"Kaybedildi",C378&lt;&gt;""),F378&lt;&gt;""),IF(F378&lt;TODAY(),"Gecikti",IF(F378=TODAY(),"Bugün","")),"")</f>
        <v/>
      </c>
      <c r="K378" s="18" t="str">
        <f aca="true">IF(AND(AND(C378&lt;&gt;"Kazanıldı",C378&lt;&gt;"Kaybedildi",C378&lt;&gt;""),F378&lt;&gt;"",F378&lt;=TODAY()),F378+ROW()/1000000,"")</f>
        <v/>
      </c>
    </row>
    <row r="379" customFormat="false" ht="15" hidden="false" customHeight="false" outlineLevel="0" collapsed="false">
      <c r="A379" s="12"/>
      <c r="B379" s="13"/>
      <c r="C379" s="13"/>
      <c r="D379" s="14"/>
      <c r="E379" s="15"/>
      <c r="F379" s="15"/>
      <c r="G379" s="12"/>
      <c r="H379" s="16" t="str">
        <f aca="false">IF(OR(A379="",C379=""),"",IFERROR(INDEX(Aşamalar!$B$5:$B$12,MATCH(C379,Aşamalar!$A$5:$A$12,0)),0))</f>
        <v/>
      </c>
      <c r="I379" s="17" t="str">
        <f aca="false">IF(H379="","",D379*H379)</f>
        <v/>
      </c>
      <c r="J379" s="18" t="str">
        <f aca="true">IF(AND(AND(C379&lt;&gt;"Kazanıldı",C379&lt;&gt;"Kaybedildi",C379&lt;&gt;""),F379&lt;&gt;""),IF(F379&lt;TODAY(),"Gecikti",IF(F379=TODAY(),"Bugün","")),"")</f>
        <v/>
      </c>
      <c r="K379" s="18" t="str">
        <f aca="true">IF(AND(AND(C379&lt;&gt;"Kazanıldı",C379&lt;&gt;"Kaybedildi",C379&lt;&gt;""),F379&lt;&gt;"",F379&lt;=TODAY()),F379+ROW()/1000000,"")</f>
        <v/>
      </c>
    </row>
    <row r="380" customFormat="false" ht="15" hidden="false" customHeight="false" outlineLevel="0" collapsed="false">
      <c r="A380" s="12"/>
      <c r="B380" s="13"/>
      <c r="C380" s="13"/>
      <c r="D380" s="14"/>
      <c r="E380" s="15"/>
      <c r="F380" s="15"/>
      <c r="G380" s="12"/>
      <c r="H380" s="16" t="str">
        <f aca="false">IF(OR(A380="",C380=""),"",IFERROR(INDEX(Aşamalar!$B$5:$B$12,MATCH(C380,Aşamalar!$A$5:$A$12,0)),0))</f>
        <v/>
      </c>
      <c r="I380" s="17" t="str">
        <f aca="false">IF(H380="","",D380*H380)</f>
        <v/>
      </c>
      <c r="J380" s="18" t="str">
        <f aca="true">IF(AND(AND(C380&lt;&gt;"Kazanıldı",C380&lt;&gt;"Kaybedildi",C380&lt;&gt;""),F380&lt;&gt;""),IF(F380&lt;TODAY(),"Gecikti",IF(F380=TODAY(),"Bugün","")),"")</f>
        <v/>
      </c>
      <c r="K380" s="18" t="str">
        <f aca="true">IF(AND(AND(C380&lt;&gt;"Kazanıldı",C380&lt;&gt;"Kaybedildi",C380&lt;&gt;""),F380&lt;&gt;"",F380&lt;=TODAY()),F380+ROW()/1000000,"")</f>
        <v/>
      </c>
    </row>
    <row r="381" customFormat="false" ht="15" hidden="false" customHeight="false" outlineLevel="0" collapsed="false">
      <c r="A381" s="12"/>
      <c r="B381" s="13"/>
      <c r="C381" s="13"/>
      <c r="D381" s="14"/>
      <c r="E381" s="15"/>
      <c r="F381" s="15"/>
      <c r="G381" s="12"/>
      <c r="H381" s="16" t="str">
        <f aca="false">IF(OR(A381="",C381=""),"",IFERROR(INDEX(Aşamalar!$B$5:$B$12,MATCH(C381,Aşamalar!$A$5:$A$12,0)),0))</f>
        <v/>
      </c>
      <c r="I381" s="17" t="str">
        <f aca="false">IF(H381="","",D381*H381)</f>
        <v/>
      </c>
      <c r="J381" s="18" t="str">
        <f aca="true">IF(AND(AND(C381&lt;&gt;"Kazanıldı",C381&lt;&gt;"Kaybedildi",C381&lt;&gt;""),F381&lt;&gt;""),IF(F381&lt;TODAY(),"Gecikti",IF(F381=TODAY(),"Bugün","")),"")</f>
        <v/>
      </c>
      <c r="K381" s="18" t="str">
        <f aca="true">IF(AND(AND(C381&lt;&gt;"Kazanıldı",C381&lt;&gt;"Kaybedildi",C381&lt;&gt;""),F381&lt;&gt;"",F381&lt;=TODAY()),F381+ROW()/1000000,"")</f>
        <v/>
      </c>
    </row>
    <row r="382" customFormat="false" ht="15" hidden="false" customHeight="false" outlineLevel="0" collapsed="false">
      <c r="A382" s="12"/>
      <c r="B382" s="13"/>
      <c r="C382" s="13"/>
      <c r="D382" s="14"/>
      <c r="E382" s="15"/>
      <c r="F382" s="15"/>
      <c r="G382" s="12"/>
      <c r="H382" s="16" t="str">
        <f aca="false">IF(OR(A382="",C382=""),"",IFERROR(INDEX(Aşamalar!$B$5:$B$12,MATCH(C382,Aşamalar!$A$5:$A$12,0)),0))</f>
        <v/>
      </c>
      <c r="I382" s="17" t="str">
        <f aca="false">IF(H382="","",D382*H382)</f>
        <v/>
      </c>
      <c r="J382" s="18" t="str">
        <f aca="true">IF(AND(AND(C382&lt;&gt;"Kazanıldı",C382&lt;&gt;"Kaybedildi",C382&lt;&gt;""),F382&lt;&gt;""),IF(F382&lt;TODAY(),"Gecikti",IF(F382=TODAY(),"Bugün","")),"")</f>
        <v/>
      </c>
      <c r="K382" s="18" t="str">
        <f aca="true">IF(AND(AND(C382&lt;&gt;"Kazanıldı",C382&lt;&gt;"Kaybedildi",C382&lt;&gt;""),F382&lt;&gt;"",F382&lt;=TODAY()),F382+ROW()/1000000,"")</f>
        <v/>
      </c>
    </row>
    <row r="383" customFormat="false" ht="15" hidden="false" customHeight="false" outlineLevel="0" collapsed="false">
      <c r="A383" s="12"/>
      <c r="B383" s="13"/>
      <c r="C383" s="13"/>
      <c r="D383" s="14"/>
      <c r="E383" s="15"/>
      <c r="F383" s="15"/>
      <c r="G383" s="12"/>
      <c r="H383" s="16" t="str">
        <f aca="false">IF(OR(A383="",C383=""),"",IFERROR(INDEX(Aşamalar!$B$5:$B$12,MATCH(C383,Aşamalar!$A$5:$A$12,0)),0))</f>
        <v/>
      </c>
      <c r="I383" s="17" t="str">
        <f aca="false">IF(H383="","",D383*H383)</f>
        <v/>
      </c>
      <c r="J383" s="18" t="str">
        <f aca="true">IF(AND(AND(C383&lt;&gt;"Kazanıldı",C383&lt;&gt;"Kaybedildi",C383&lt;&gt;""),F383&lt;&gt;""),IF(F383&lt;TODAY(),"Gecikti",IF(F383=TODAY(),"Bugün","")),"")</f>
        <v/>
      </c>
      <c r="K383" s="18" t="str">
        <f aca="true">IF(AND(AND(C383&lt;&gt;"Kazanıldı",C383&lt;&gt;"Kaybedildi",C383&lt;&gt;""),F383&lt;&gt;"",F383&lt;=TODAY()),F383+ROW()/1000000,"")</f>
        <v/>
      </c>
    </row>
    <row r="384" customFormat="false" ht="15" hidden="false" customHeight="false" outlineLevel="0" collapsed="false">
      <c r="A384" s="12"/>
      <c r="B384" s="13"/>
      <c r="C384" s="13"/>
      <c r="D384" s="14"/>
      <c r="E384" s="15"/>
      <c r="F384" s="15"/>
      <c r="G384" s="12"/>
      <c r="H384" s="16" t="str">
        <f aca="false">IF(OR(A384="",C384=""),"",IFERROR(INDEX(Aşamalar!$B$5:$B$12,MATCH(C384,Aşamalar!$A$5:$A$12,0)),0))</f>
        <v/>
      </c>
      <c r="I384" s="17" t="str">
        <f aca="false">IF(H384="","",D384*H384)</f>
        <v/>
      </c>
      <c r="J384" s="18" t="str">
        <f aca="true">IF(AND(AND(C384&lt;&gt;"Kazanıldı",C384&lt;&gt;"Kaybedildi",C384&lt;&gt;""),F384&lt;&gt;""),IF(F384&lt;TODAY(),"Gecikti",IF(F384=TODAY(),"Bugün","")),"")</f>
        <v/>
      </c>
      <c r="K384" s="18" t="str">
        <f aca="true">IF(AND(AND(C384&lt;&gt;"Kazanıldı",C384&lt;&gt;"Kaybedildi",C384&lt;&gt;""),F384&lt;&gt;"",F384&lt;=TODAY()),F384+ROW()/1000000,"")</f>
        <v/>
      </c>
    </row>
    <row r="385" customFormat="false" ht="15" hidden="false" customHeight="false" outlineLevel="0" collapsed="false">
      <c r="A385" s="12"/>
      <c r="B385" s="13"/>
      <c r="C385" s="13"/>
      <c r="D385" s="14"/>
      <c r="E385" s="15"/>
      <c r="F385" s="15"/>
      <c r="G385" s="12"/>
      <c r="H385" s="16" t="str">
        <f aca="false">IF(OR(A385="",C385=""),"",IFERROR(INDEX(Aşamalar!$B$5:$B$12,MATCH(C385,Aşamalar!$A$5:$A$12,0)),0))</f>
        <v/>
      </c>
      <c r="I385" s="17" t="str">
        <f aca="false">IF(H385="","",D385*H385)</f>
        <v/>
      </c>
      <c r="J385" s="18" t="str">
        <f aca="true">IF(AND(AND(C385&lt;&gt;"Kazanıldı",C385&lt;&gt;"Kaybedildi",C385&lt;&gt;""),F385&lt;&gt;""),IF(F385&lt;TODAY(),"Gecikti",IF(F385=TODAY(),"Bugün","")),"")</f>
        <v/>
      </c>
      <c r="K385" s="18" t="str">
        <f aca="true">IF(AND(AND(C385&lt;&gt;"Kazanıldı",C385&lt;&gt;"Kaybedildi",C385&lt;&gt;""),F385&lt;&gt;"",F385&lt;=TODAY()),F385+ROW()/1000000,"")</f>
        <v/>
      </c>
    </row>
    <row r="386" customFormat="false" ht="15" hidden="false" customHeight="false" outlineLevel="0" collapsed="false">
      <c r="A386" s="12"/>
      <c r="B386" s="13"/>
      <c r="C386" s="13"/>
      <c r="D386" s="14"/>
      <c r="E386" s="15"/>
      <c r="F386" s="15"/>
      <c r="G386" s="12"/>
      <c r="H386" s="16" t="str">
        <f aca="false">IF(OR(A386="",C386=""),"",IFERROR(INDEX(Aşamalar!$B$5:$B$12,MATCH(C386,Aşamalar!$A$5:$A$12,0)),0))</f>
        <v/>
      </c>
      <c r="I386" s="17" t="str">
        <f aca="false">IF(H386="","",D386*H386)</f>
        <v/>
      </c>
      <c r="J386" s="18" t="str">
        <f aca="true">IF(AND(AND(C386&lt;&gt;"Kazanıldı",C386&lt;&gt;"Kaybedildi",C386&lt;&gt;""),F386&lt;&gt;""),IF(F386&lt;TODAY(),"Gecikti",IF(F386=TODAY(),"Bugün","")),"")</f>
        <v/>
      </c>
      <c r="K386" s="18" t="str">
        <f aca="true">IF(AND(AND(C386&lt;&gt;"Kazanıldı",C386&lt;&gt;"Kaybedildi",C386&lt;&gt;""),F386&lt;&gt;"",F386&lt;=TODAY()),F386+ROW()/1000000,"")</f>
        <v/>
      </c>
    </row>
    <row r="387" customFormat="false" ht="15" hidden="false" customHeight="false" outlineLevel="0" collapsed="false">
      <c r="A387" s="12"/>
      <c r="B387" s="13"/>
      <c r="C387" s="13"/>
      <c r="D387" s="14"/>
      <c r="E387" s="15"/>
      <c r="F387" s="15"/>
      <c r="G387" s="12"/>
      <c r="H387" s="16" t="str">
        <f aca="false">IF(OR(A387="",C387=""),"",IFERROR(INDEX(Aşamalar!$B$5:$B$12,MATCH(C387,Aşamalar!$A$5:$A$12,0)),0))</f>
        <v/>
      </c>
      <c r="I387" s="17" t="str">
        <f aca="false">IF(H387="","",D387*H387)</f>
        <v/>
      </c>
      <c r="J387" s="18" t="str">
        <f aca="true">IF(AND(AND(C387&lt;&gt;"Kazanıldı",C387&lt;&gt;"Kaybedildi",C387&lt;&gt;""),F387&lt;&gt;""),IF(F387&lt;TODAY(),"Gecikti",IF(F387=TODAY(),"Bugün","")),"")</f>
        <v/>
      </c>
      <c r="K387" s="18" t="str">
        <f aca="true">IF(AND(AND(C387&lt;&gt;"Kazanıldı",C387&lt;&gt;"Kaybedildi",C387&lt;&gt;""),F387&lt;&gt;"",F387&lt;=TODAY()),F387+ROW()/1000000,"")</f>
        <v/>
      </c>
    </row>
    <row r="388" customFormat="false" ht="15" hidden="false" customHeight="false" outlineLevel="0" collapsed="false">
      <c r="A388" s="12"/>
      <c r="B388" s="13"/>
      <c r="C388" s="13"/>
      <c r="D388" s="14"/>
      <c r="E388" s="15"/>
      <c r="F388" s="15"/>
      <c r="G388" s="12"/>
      <c r="H388" s="16" t="str">
        <f aca="false">IF(OR(A388="",C388=""),"",IFERROR(INDEX(Aşamalar!$B$5:$B$12,MATCH(C388,Aşamalar!$A$5:$A$12,0)),0))</f>
        <v/>
      </c>
      <c r="I388" s="17" t="str">
        <f aca="false">IF(H388="","",D388*H388)</f>
        <v/>
      </c>
      <c r="J388" s="18" t="str">
        <f aca="true">IF(AND(AND(C388&lt;&gt;"Kazanıldı",C388&lt;&gt;"Kaybedildi",C388&lt;&gt;""),F388&lt;&gt;""),IF(F388&lt;TODAY(),"Gecikti",IF(F388=TODAY(),"Bugün","")),"")</f>
        <v/>
      </c>
      <c r="K388" s="18" t="str">
        <f aca="true">IF(AND(AND(C388&lt;&gt;"Kazanıldı",C388&lt;&gt;"Kaybedildi",C388&lt;&gt;""),F388&lt;&gt;"",F388&lt;=TODAY()),F388+ROW()/1000000,"")</f>
        <v/>
      </c>
    </row>
    <row r="389" customFormat="false" ht="15" hidden="false" customHeight="false" outlineLevel="0" collapsed="false">
      <c r="A389" s="12"/>
      <c r="B389" s="13"/>
      <c r="C389" s="13"/>
      <c r="D389" s="14"/>
      <c r="E389" s="15"/>
      <c r="F389" s="15"/>
      <c r="G389" s="12"/>
      <c r="H389" s="16" t="str">
        <f aca="false">IF(OR(A389="",C389=""),"",IFERROR(INDEX(Aşamalar!$B$5:$B$12,MATCH(C389,Aşamalar!$A$5:$A$12,0)),0))</f>
        <v/>
      </c>
      <c r="I389" s="17" t="str">
        <f aca="false">IF(H389="","",D389*H389)</f>
        <v/>
      </c>
      <c r="J389" s="18" t="str">
        <f aca="true">IF(AND(AND(C389&lt;&gt;"Kazanıldı",C389&lt;&gt;"Kaybedildi",C389&lt;&gt;""),F389&lt;&gt;""),IF(F389&lt;TODAY(),"Gecikti",IF(F389=TODAY(),"Bugün","")),"")</f>
        <v/>
      </c>
      <c r="K389" s="18" t="str">
        <f aca="true">IF(AND(AND(C389&lt;&gt;"Kazanıldı",C389&lt;&gt;"Kaybedildi",C389&lt;&gt;""),F389&lt;&gt;"",F389&lt;=TODAY()),F389+ROW()/1000000,"")</f>
        <v/>
      </c>
    </row>
    <row r="390" customFormat="false" ht="15" hidden="false" customHeight="false" outlineLevel="0" collapsed="false">
      <c r="A390" s="12"/>
      <c r="B390" s="13"/>
      <c r="C390" s="13"/>
      <c r="D390" s="14"/>
      <c r="E390" s="15"/>
      <c r="F390" s="15"/>
      <c r="G390" s="12"/>
      <c r="H390" s="16" t="str">
        <f aca="false">IF(OR(A390="",C390=""),"",IFERROR(INDEX(Aşamalar!$B$5:$B$12,MATCH(C390,Aşamalar!$A$5:$A$12,0)),0))</f>
        <v/>
      </c>
      <c r="I390" s="17" t="str">
        <f aca="false">IF(H390="","",D390*H390)</f>
        <v/>
      </c>
      <c r="J390" s="18" t="str">
        <f aca="true">IF(AND(AND(C390&lt;&gt;"Kazanıldı",C390&lt;&gt;"Kaybedildi",C390&lt;&gt;""),F390&lt;&gt;""),IF(F390&lt;TODAY(),"Gecikti",IF(F390=TODAY(),"Bugün","")),"")</f>
        <v/>
      </c>
      <c r="K390" s="18" t="str">
        <f aca="true">IF(AND(AND(C390&lt;&gt;"Kazanıldı",C390&lt;&gt;"Kaybedildi",C390&lt;&gt;""),F390&lt;&gt;"",F390&lt;=TODAY()),F390+ROW()/1000000,"")</f>
        <v/>
      </c>
    </row>
    <row r="391" customFormat="false" ht="15" hidden="false" customHeight="false" outlineLevel="0" collapsed="false">
      <c r="A391" s="12"/>
      <c r="B391" s="13"/>
      <c r="C391" s="13"/>
      <c r="D391" s="14"/>
      <c r="E391" s="15"/>
      <c r="F391" s="15"/>
      <c r="G391" s="12"/>
      <c r="H391" s="16" t="str">
        <f aca="false">IF(OR(A391="",C391=""),"",IFERROR(INDEX(Aşamalar!$B$5:$B$12,MATCH(C391,Aşamalar!$A$5:$A$12,0)),0))</f>
        <v/>
      </c>
      <c r="I391" s="17" t="str">
        <f aca="false">IF(H391="","",D391*H391)</f>
        <v/>
      </c>
      <c r="J391" s="18" t="str">
        <f aca="true">IF(AND(AND(C391&lt;&gt;"Kazanıldı",C391&lt;&gt;"Kaybedildi",C391&lt;&gt;""),F391&lt;&gt;""),IF(F391&lt;TODAY(),"Gecikti",IF(F391=TODAY(),"Bugün","")),"")</f>
        <v/>
      </c>
      <c r="K391" s="18" t="str">
        <f aca="true">IF(AND(AND(C391&lt;&gt;"Kazanıldı",C391&lt;&gt;"Kaybedildi",C391&lt;&gt;""),F391&lt;&gt;"",F391&lt;=TODAY()),F391+ROW()/1000000,"")</f>
        <v/>
      </c>
    </row>
    <row r="392" customFormat="false" ht="15" hidden="false" customHeight="false" outlineLevel="0" collapsed="false">
      <c r="A392" s="12"/>
      <c r="B392" s="13"/>
      <c r="C392" s="13"/>
      <c r="D392" s="14"/>
      <c r="E392" s="15"/>
      <c r="F392" s="15"/>
      <c r="G392" s="12"/>
      <c r="H392" s="16" t="str">
        <f aca="false">IF(OR(A392="",C392=""),"",IFERROR(INDEX(Aşamalar!$B$5:$B$12,MATCH(C392,Aşamalar!$A$5:$A$12,0)),0))</f>
        <v/>
      </c>
      <c r="I392" s="17" t="str">
        <f aca="false">IF(H392="","",D392*H392)</f>
        <v/>
      </c>
      <c r="J392" s="18" t="str">
        <f aca="true">IF(AND(AND(C392&lt;&gt;"Kazanıldı",C392&lt;&gt;"Kaybedildi",C392&lt;&gt;""),F392&lt;&gt;""),IF(F392&lt;TODAY(),"Gecikti",IF(F392=TODAY(),"Bugün","")),"")</f>
        <v/>
      </c>
      <c r="K392" s="18" t="str">
        <f aca="true">IF(AND(AND(C392&lt;&gt;"Kazanıldı",C392&lt;&gt;"Kaybedildi",C392&lt;&gt;""),F392&lt;&gt;"",F392&lt;=TODAY()),F392+ROW()/1000000,"")</f>
        <v/>
      </c>
    </row>
    <row r="393" customFormat="false" ht="15" hidden="false" customHeight="false" outlineLevel="0" collapsed="false">
      <c r="A393" s="12"/>
      <c r="B393" s="13"/>
      <c r="C393" s="13"/>
      <c r="D393" s="14"/>
      <c r="E393" s="15"/>
      <c r="F393" s="15"/>
      <c r="G393" s="12"/>
      <c r="H393" s="16" t="str">
        <f aca="false">IF(OR(A393="",C393=""),"",IFERROR(INDEX(Aşamalar!$B$5:$B$12,MATCH(C393,Aşamalar!$A$5:$A$12,0)),0))</f>
        <v/>
      </c>
      <c r="I393" s="17" t="str">
        <f aca="false">IF(H393="","",D393*H393)</f>
        <v/>
      </c>
      <c r="J393" s="18" t="str">
        <f aca="true">IF(AND(AND(C393&lt;&gt;"Kazanıldı",C393&lt;&gt;"Kaybedildi",C393&lt;&gt;""),F393&lt;&gt;""),IF(F393&lt;TODAY(),"Gecikti",IF(F393=TODAY(),"Bugün","")),"")</f>
        <v/>
      </c>
      <c r="K393" s="18" t="str">
        <f aca="true">IF(AND(AND(C393&lt;&gt;"Kazanıldı",C393&lt;&gt;"Kaybedildi",C393&lt;&gt;""),F393&lt;&gt;"",F393&lt;=TODAY()),F393+ROW()/1000000,"")</f>
        <v/>
      </c>
    </row>
    <row r="394" customFormat="false" ht="15" hidden="false" customHeight="false" outlineLevel="0" collapsed="false">
      <c r="A394" s="12"/>
      <c r="B394" s="13"/>
      <c r="C394" s="13"/>
      <c r="D394" s="14"/>
      <c r="E394" s="15"/>
      <c r="F394" s="15"/>
      <c r="G394" s="12"/>
      <c r="H394" s="16" t="str">
        <f aca="false">IF(OR(A394="",C394=""),"",IFERROR(INDEX(Aşamalar!$B$5:$B$12,MATCH(C394,Aşamalar!$A$5:$A$12,0)),0))</f>
        <v/>
      </c>
      <c r="I394" s="17" t="str">
        <f aca="false">IF(H394="","",D394*H394)</f>
        <v/>
      </c>
      <c r="J394" s="18" t="str">
        <f aca="true">IF(AND(AND(C394&lt;&gt;"Kazanıldı",C394&lt;&gt;"Kaybedildi",C394&lt;&gt;""),F394&lt;&gt;""),IF(F394&lt;TODAY(),"Gecikti",IF(F394=TODAY(),"Bugün","")),"")</f>
        <v/>
      </c>
      <c r="K394" s="18" t="str">
        <f aca="true">IF(AND(AND(C394&lt;&gt;"Kazanıldı",C394&lt;&gt;"Kaybedildi",C394&lt;&gt;""),F394&lt;&gt;"",F394&lt;=TODAY()),F394+ROW()/1000000,"")</f>
        <v/>
      </c>
    </row>
    <row r="395" customFormat="false" ht="15" hidden="false" customHeight="false" outlineLevel="0" collapsed="false">
      <c r="A395" s="12"/>
      <c r="B395" s="13"/>
      <c r="C395" s="13"/>
      <c r="D395" s="14"/>
      <c r="E395" s="15"/>
      <c r="F395" s="15"/>
      <c r="G395" s="12"/>
      <c r="H395" s="16" t="str">
        <f aca="false">IF(OR(A395="",C395=""),"",IFERROR(INDEX(Aşamalar!$B$5:$B$12,MATCH(C395,Aşamalar!$A$5:$A$12,0)),0))</f>
        <v/>
      </c>
      <c r="I395" s="17" t="str">
        <f aca="false">IF(H395="","",D395*H395)</f>
        <v/>
      </c>
      <c r="J395" s="18" t="str">
        <f aca="true">IF(AND(AND(C395&lt;&gt;"Kazanıldı",C395&lt;&gt;"Kaybedildi",C395&lt;&gt;""),F395&lt;&gt;""),IF(F395&lt;TODAY(),"Gecikti",IF(F395=TODAY(),"Bugün","")),"")</f>
        <v/>
      </c>
      <c r="K395" s="18" t="str">
        <f aca="true">IF(AND(AND(C395&lt;&gt;"Kazanıldı",C395&lt;&gt;"Kaybedildi",C395&lt;&gt;""),F395&lt;&gt;"",F395&lt;=TODAY()),F395+ROW()/1000000,"")</f>
        <v/>
      </c>
    </row>
    <row r="396" customFormat="false" ht="15" hidden="false" customHeight="false" outlineLevel="0" collapsed="false">
      <c r="A396" s="12"/>
      <c r="B396" s="13"/>
      <c r="C396" s="13"/>
      <c r="D396" s="14"/>
      <c r="E396" s="15"/>
      <c r="F396" s="15"/>
      <c r="G396" s="12"/>
      <c r="H396" s="16" t="str">
        <f aca="false">IF(OR(A396="",C396=""),"",IFERROR(INDEX(Aşamalar!$B$5:$B$12,MATCH(C396,Aşamalar!$A$5:$A$12,0)),0))</f>
        <v/>
      </c>
      <c r="I396" s="17" t="str">
        <f aca="false">IF(H396="","",D396*H396)</f>
        <v/>
      </c>
      <c r="J396" s="18" t="str">
        <f aca="true">IF(AND(AND(C396&lt;&gt;"Kazanıldı",C396&lt;&gt;"Kaybedildi",C396&lt;&gt;""),F396&lt;&gt;""),IF(F396&lt;TODAY(),"Gecikti",IF(F396=TODAY(),"Bugün","")),"")</f>
        <v/>
      </c>
      <c r="K396" s="18" t="str">
        <f aca="true">IF(AND(AND(C396&lt;&gt;"Kazanıldı",C396&lt;&gt;"Kaybedildi",C396&lt;&gt;""),F396&lt;&gt;"",F396&lt;=TODAY()),F396+ROW()/1000000,"")</f>
        <v/>
      </c>
    </row>
    <row r="397" customFormat="false" ht="15" hidden="false" customHeight="false" outlineLevel="0" collapsed="false">
      <c r="A397" s="12"/>
      <c r="B397" s="13"/>
      <c r="C397" s="13"/>
      <c r="D397" s="14"/>
      <c r="E397" s="15"/>
      <c r="F397" s="15"/>
      <c r="G397" s="12"/>
      <c r="H397" s="16" t="str">
        <f aca="false">IF(OR(A397="",C397=""),"",IFERROR(INDEX(Aşamalar!$B$5:$B$12,MATCH(C397,Aşamalar!$A$5:$A$12,0)),0))</f>
        <v/>
      </c>
      <c r="I397" s="17" t="str">
        <f aca="false">IF(H397="","",D397*H397)</f>
        <v/>
      </c>
      <c r="J397" s="18" t="str">
        <f aca="true">IF(AND(AND(C397&lt;&gt;"Kazanıldı",C397&lt;&gt;"Kaybedildi",C397&lt;&gt;""),F397&lt;&gt;""),IF(F397&lt;TODAY(),"Gecikti",IF(F397=TODAY(),"Bugün","")),"")</f>
        <v/>
      </c>
      <c r="K397" s="18" t="str">
        <f aca="true">IF(AND(AND(C397&lt;&gt;"Kazanıldı",C397&lt;&gt;"Kaybedildi",C397&lt;&gt;""),F397&lt;&gt;"",F397&lt;=TODAY()),F397+ROW()/1000000,"")</f>
        <v/>
      </c>
    </row>
    <row r="398" customFormat="false" ht="15" hidden="false" customHeight="false" outlineLevel="0" collapsed="false">
      <c r="A398" s="12"/>
      <c r="B398" s="13"/>
      <c r="C398" s="13"/>
      <c r="D398" s="14"/>
      <c r="E398" s="15"/>
      <c r="F398" s="15"/>
      <c r="G398" s="12"/>
      <c r="H398" s="16" t="str">
        <f aca="false">IF(OR(A398="",C398=""),"",IFERROR(INDEX(Aşamalar!$B$5:$B$12,MATCH(C398,Aşamalar!$A$5:$A$12,0)),0))</f>
        <v/>
      </c>
      <c r="I398" s="17" t="str">
        <f aca="false">IF(H398="","",D398*H398)</f>
        <v/>
      </c>
      <c r="J398" s="18" t="str">
        <f aca="true">IF(AND(AND(C398&lt;&gt;"Kazanıldı",C398&lt;&gt;"Kaybedildi",C398&lt;&gt;""),F398&lt;&gt;""),IF(F398&lt;TODAY(),"Gecikti",IF(F398=TODAY(),"Bugün","")),"")</f>
        <v/>
      </c>
      <c r="K398" s="18" t="str">
        <f aca="true">IF(AND(AND(C398&lt;&gt;"Kazanıldı",C398&lt;&gt;"Kaybedildi",C398&lt;&gt;""),F398&lt;&gt;"",F398&lt;=TODAY()),F398+ROW()/1000000,"")</f>
        <v/>
      </c>
    </row>
    <row r="399" customFormat="false" ht="15" hidden="false" customHeight="false" outlineLevel="0" collapsed="false">
      <c r="A399" s="12"/>
      <c r="B399" s="13"/>
      <c r="C399" s="13"/>
      <c r="D399" s="14"/>
      <c r="E399" s="15"/>
      <c r="F399" s="15"/>
      <c r="G399" s="12"/>
      <c r="H399" s="16" t="str">
        <f aca="false">IF(OR(A399="",C399=""),"",IFERROR(INDEX(Aşamalar!$B$5:$B$12,MATCH(C399,Aşamalar!$A$5:$A$12,0)),0))</f>
        <v/>
      </c>
      <c r="I399" s="17" t="str">
        <f aca="false">IF(H399="","",D399*H399)</f>
        <v/>
      </c>
      <c r="J399" s="18" t="str">
        <f aca="true">IF(AND(AND(C399&lt;&gt;"Kazanıldı",C399&lt;&gt;"Kaybedildi",C399&lt;&gt;""),F399&lt;&gt;""),IF(F399&lt;TODAY(),"Gecikti",IF(F399=TODAY(),"Bugün","")),"")</f>
        <v/>
      </c>
      <c r="K399" s="18" t="str">
        <f aca="true">IF(AND(AND(C399&lt;&gt;"Kazanıldı",C399&lt;&gt;"Kaybedildi",C399&lt;&gt;""),F399&lt;&gt;"",F399&lt;=TODAY()),F399+ROW()/1000000,"")</f>
        <v/>
      </c>
    </row>
    <row r="400" customFormat="false" ht="15" hidden="false" customHeight="false" outlineLevel="0" collapsed="false">
      <c r="A400" s="12"/>
      <c r="B400" s="13"/>
      <c r="C400" s="13"/>
      <c r="D400" s="14"/>
      <c r="E400" s="15"/>
      <c r="F400" s="15"/>
      <c r="G400" s="12"/>
      <c r="H400" s="16" t="str">
        <f aca="false">IF(OR(A400="",C400=""),"",IFERROR(INDEX(Aşamalar!$B$5:$B$12,MATCH(C400,Aşamalar!$A$5:$A$12,0)),0))</f>
        <v/>
      </c>
      <c r="I400" s="17" t="str">
        <f aca="false">IF(H400="","",D400*H400)</f>
        <v/>
      </c>
      <c r="J400" s="18" t="str">
        <f aca="true">IF(AND(AND(C400&lt;&gt;"Kazanıldı",C400&lt;&gt;"Kaybedildi",C400&lt;&gt;""),F400&lt;&gt;""),IF(F400&lt;TODAY(),"Gecikti",IF(F400=TODAY(),"Bugün","")),"")</f>
        <v/>
      </c>
      <c r="K400" s="18" t="str">
        <f aca="true">IF(AND(AND(C400&lt;&gt;"Kazanıldı",C400&lt;&gt;"Kaybedildi",C400&lt;&gt;""),F400&lt;&gt;"",F400&lt;=TODAY()),F400+ROW()/1000000,"")</f>
        <v/>
      </c>
    </row>
    <row r="401" customFormat="false" ht="15" hidden="false" customHeight="false" outlineLevel="0" collapsed="false">
      <c r="A401" s="12"/>
      <c r="B401" s="13"/>
      <c r="C401" s="13"/>
      <c r="D401" s="14"/>
      <c r="E401" s="15"/>
      <c r="F401" s="15"/>
      <c r="G401" s="12"/>
      <c r="H401" s="16" t="str">
        <f aca="false">IF(OR(A401="",C401=""),"",IFERROR(INDEX(Aşamalar!$B$5:$B$12,MATCH(C401,Aşamalar!$A$5:$A$12,0)),0))</f>
        <v/>
      </c>
      <c r="I401" s="17" t="str">
        <f aca="false">IF(H401="","",D401*H401)</f>
        <v/>
      </c>
      <c r="J401" s="18" t="str">
        <f aca="true">IF(AND(AND(C401&lt;&gt;"Kazanıldı",C401&lt;&gt;"Kaybedildi",C401&lt;&gt;""),F401&lt;&gt;""),IF(F401&lt;TODAY(),"Gecikti",IF(F401=TODAY(),"Bugün","")),"")</f>
        <v/>
      </c>
      <c r="K401" s="18" t="str">
        <f aca="true">IF(AND(AND(C401&lt;&gt;"Kazanıldı",C401&lt;&gt;"Kaybedildi",C401&lt;&gt;""),F401&lt;&gt;"",F401&lt;=TODAY()),F401+ROW()/1000000,"")</f>
        <v/>
      </c>
    </row>
    <row r="402" customFormat="false" ht="15" hidden="false" customHeight="false" outlineLevel="0" collapsed="false">
      <c r="A402" s="12"/>
      <c r="B402" s="13"/>
      <c r="C402" s="13"/>
      <c r="D402" s="14"/>
      <c r="E402" s="15"/>
      <c r="F402" s="15"/>
      <c r="G402" s="12"/>
      <c r="H402" s="16" t="str">
        <f aca="false">IF(OR(A402="",C402=""),"",IFERROR(INDEX(Aşamalar!$B$5:$B$12,MATCH(C402,Aşamalar!$A$5:$A$12,0)),0))</f>
        <v/>
      </c>
      <c r="I402" s="17" t="str">
        <f aca="false">IF(H402="","",D402*H402)</f>
        <v/>
      </c>
      <c r="J402" s="18" t="str">
        <f aca="true">IF(AND(AND(C402&lt;&gt;"Kazanıldı",C402&lt;&gt;"Kaybedildi",C402&lt;&gt;""),F402&lt;&gt;""),IF(F402&lt;TODAY(),"Gecikti",IF(F402=TODAY(),"Bugün","")),"")</f>
        <v/>
      </c>
      <c r="K402" s="18" t="str">
        <f aca="true">IF(AND(AND(C402&lt;&gt;"Kazanıldı",C402&lt;&gt;"Kaybedildi",C402&lt;&gt;""),F402&lt;&gt;"",F402&lt;=TODAY()),F402+ROW()/1000000,"")</f>
        <v/>
      </c>
    </row>
    <row r="403" customFormat="false" ht="15" hidden="false" customHeight="false" outlineLevel="0" collapsed="false">
      <c r="A403" s="12"/>
      <c r="B403" s="13"/>
      <c r="C403" s="13"/>
      <c r="D403" s="14"/>
      <c r="E403" s="15"/>
      <c r="F403" s="15"/>
      <c r="G403" s="12"/>
      <c r="H403" s="16" t="str">
        <f aca="false">IF(OR(A403="",C403=""),"",IFERROR(INDEX(Aşamalar!$B$5:$B$12,MATCH(C403,Aşamalar!$A$5:$A$12,0)),0))</f>
        <v/>
      </c>
      <c r="I403" s="17" t="str">
        <f aca="false">IF(H403="","",D403*H403)</f>
        <v/>
      </c>
      <c r="J403" s="18" t="str">
        <f aca="true">IF(AND(AND(C403&lt;&gt;"Kazanıldı",C403&lt;&gt;"Kaybedildi",C403&lt;&gt;""),F403&lt;&gt;""),IF(F403&lt;TODAY(),"Gecikti",IF(F403=TODAY(),"Bugün","")),"")</f>
        <v/>
      </c>
      <c r="K403" s="18" t="str">
        <f aca="true">IF(AND(AND(C403&lt;&gt;"Kazanıldı",C403&lt;&gt;"Kaybedildi",C403&lt;&gt;""),F403&lt;&gt;"",F403&lt;=TODAY()),F403+ROW()/1000000,"")</f>
        <v/>
      </c>
    </row>
    <row r="404" customFormat="false" ht="15" hidden="false" customHeight="false" outlineLevel="0" collapsed="false">
      <c r="A404" s="12"/>
      <c r="B404" s="13"/>
      <c r="C404" s="13"/>
      <c r="D404" s="14"/>
      <c r="E404" s="15"/>
      <c r="F404" s="15"/>
      <c r="G404" s="12"/>
      <c r="H404" s="16" t="str">
        <f aca="false">IF(OR(A404="",C404=""),"",IFERROR(INDEX(Aşamalar!$B$5:$B$12,MATCH(C404,Aşamalar!$A$5:$A$12,0)),0))</f>
        <v/>
      </c>
      <c r="I404" s="17" t="str">
        <f aca="false">IF(H404="","",D404*H404)</f>
        <v/>
      </c>
      <c r="J404" s="18" t="str">
        <f aca="true">IF(AND(AND(C404&lt;&gt;"Kazanıldı",C404&lt;&gt;"Kaybedildi",C404&lt;&gt;""),F404&lt;&gt;""),IF(F404&lt;TODAY(),"Gecikti",IF(F404=TODAY(),"Bugün","")),"")</f>
        <v/>
      </c>
      <c r="K404" s="18" t="str">
        <f aca="true">IF(AND(AND(C404&lt;&gt;"Kazanıldı",C404&lt;&gt;"Kaybedildi",C404&lt;&gt;""),F404&lt;&gt;"",F404&lt;=TODAY()),F404+ROW()/1000000,"")</f>
        <v/>
      </c>
    </row>
    <row r="405" customFormat="false" ht="15" hidden="false" customHeight="false" outlineLevel="0" collapsed="false">
      <c r="A405" s="12"/>
      <c r="B405" s="13"/>
      <c r="C405" s="13"/>
      <c r="D405" s="14"/>
      <c r="E405" s="15"/>
      <c r="F405" s="15"/>
      <c r="G405" s="12"/>
      <c r="H405" s="16" t="str">
        <f aca="false">IF(OR(A405="",C405=""),"",IFERROR(INDEX(Aşamalar!$B$5:$B$12,MATCH(C405,Aşamalar!$A$5:$A$12,0)),0))</f>
        <v/>
      </c>
      <c r="I405" s="17" t="str">
        <f aca="false">IF(H405="","",D405*H405)</f>
        <v/>
      </c>
      <c r="J405" s="18" t="str">
        <f aca="true">IF(AND(AND(C405&lt;&gt;"Kazanıldı",C405&lt;&gt;"Kaybedildi",C405&lt;&gt;""),F405&lt;&gt;""),IF(F405&lt;TODAY(),"Gecikti",IF(F405=TODAY(),"Bugün","")),"")</f>
        <v/>
      </c>
      <c r="K405" s="18" t="str">
        <f aca="true">IF(AND(AND(C405&lt;&gt;"Kazanıldı",C405&lt;&gt;"Kaybedildi",C405&lt;&gt;""),F405&lt;&gt;"",F405&lt;=TODAY()),F405+ROW()/1000000,"")</f>
        <v/>
      </c>
    </row>
    <row r="406" customFormat="false" ht="15" hidden="false" customHeight="false" outlineLevel="0" collapsed="false">
      <c r="A406" s="12"/>
      <c r="B406" s="13"/>
      <c r="C406" s="13"/>
      <c r="D406" s="14"/>
      <c r="E406" s="15"/>
      <c r="F406" s="15"/>
      <c r="G406" s="12"/>
      <c r="H406" s="16" t="str">
        <f aca="false">IF(OR(A406="",C406=""),"",IFERROR(INDEX(Aşamalar!$B$5:$B$12,MATCH(C406,Aşamalar!$A$5:$A$12,0)),0))</f>
        <v/>
      </c>
      <c r="I406" s="17" t="str">
        <f aca="false">IF(H406="","",D406*H406)</f>
        <v/>
      </c>
      <c r="J406" s="18" t="str">
        <f aca="true">IF(AND(AND(C406&lt;&gt;"Kazanıldı",C406&lt;&gt;"Kaybedildi",C406&lt;&gt;""),F406&lt;&gt;""),IF(F406&lt;TODAY(),"Gecikti",IF(F406=TODAY(),"Bugün","")),"")</f>
        <v/>
      </c>
      <c r="K406" s="18" t="str">
        <f aca="true">IF(AND(AND(C406&lt;&gt;"Kazanıldı",C406&lt;&gt;"Kaybedildi",C406&lt;&gt;""),F406&lt;&gt;"",F406&lt;=TODAY()),F406+ROW()/1000000,"")</f>
        <v/>
      </c>
    </row>
    <row r="407" customFormat="false" ht="15" hidden="false" customHeight="false" outlineLevel="0" collapsed="false">
      <c r="A407" s="12"/>
      <c r="B407" s="13"/>
      <c r="C407" s="13"/>
      <c r="D407" s="14"/>
      <c r="E407" s="15"/>
      <c r="F407" s="15"/>
      <c r="G407" s="12"/>
      <c r="H407" s="16" t="str">
        <f aca="false">IF(OR(A407="",C407=""),"",IFERROR(INDEX(Aşamalar!$B$5:$B$12,MATCH(C407,Aşamalar!$A$5:$A$12,0)),0))</f>
        <v/>
      </c>
      <c r="I407" s="17" t="str">
        <f aca="false">IF(H407="","",D407*H407)</f>
        <v/>
      </c>
      <c r="J407" s="18" t="str">
        <f aca="true">IF(AND(AND(C407&lt;&gt;"Kazanıldı",C407&lt;&gt;"Kaybedildi",C407&lt;&gt;""),F407&lt;&gt;""),IF(F407&lt;TODAY(),"Gecikti",IF(F407=TODAY(),"Bugün","")),"")</f>
        <v/>
      </c>
      <c r="K407" s="18" t="str">
        <f aca="true">IF(AND(AND(C407&lt;&gt;"Kazanıldı",C407&lt;&gt;"Kaybedildi",C407&lt;&gt;""),F407&lt;&gt;"",F407&lt;=TODAY()),F407+ROW()/1000000,"")</f>
        <v/>
      </c>
    </row>
    <row r="408" customFormat="false" ht="15" hidden="false" customHeight="false" outlineLevel="0" collapsed="false">
      <c r="A408" s="12"/>
      <c r="B408" s="13"/>
      <c r="C408" s="13"/>
      <c r="D408" s="14"/>
      <c r="E408" s="15"/>
      <c r="F408" s="15"/>
      <c r="G408" s="12"/>
      <c r="H408" s="16" t="str">
        <f aca="false">IF(OR(A408="",C408=""),"",IFERROR(INDEX(Aşamalar!$B$5:$B$12,MATCH(C408,Aşamalar!$A$5:$A$12,0)),0))</f>
        <v/>
      </c>
      <c r="I408" s="17" t="str">
        <f aca="false">IF(H408="","",D408*H408)</f>
        <v/>
      </c>
      <c r="J408" s="18" t="str">
        <f aca="true">IF(AND(AND(C408&lt;&gt;"Kazanıldı",C408&lt;&gt;"Kaybedildi",C408&lt;&gt;""),F408&lt;&gt;""),IF(F408&lt;TODAY(),"Gecikti",IF(F408=TODAY(),"Bugün","")),"")</f>
        <v/>
      </c>
      <c r="K408" s="18" t="str">
        <f aca="true">IF(AND(AND(C408&lt;&gt;"Kazanıldı",C408&lt;&gt;"Kaybedildi",C408&lt;&gt;""),F408&lt;&gt;"",F408&lt;=TODAY()),F408+ROW()/1000000,"")</f>
        <v/>
      </c>
    </row>
    <row r="409" customFormat="false" ht="15" hidden="false" customHeight="false" outlineLevel="0" collapsed="false">
      <c r="A409" s="12"/>
      <c r="B409" s="13"/>
      <c r="C409" s="13"/>
      <c r="D409" s="14"/>
      <c r="E409" s="15"/>
      <c r="F409" s="15"/>
      <c r="G409" s="12"/>
      <c r="H409" s="16" t="str">
        <f aca="false">IF(OR(A409="",C409=""),"",IFERROR(INDEX(Aşamalar!$B$5:$B$12,MATCH(C409,Aşamalar!$A$5:$A$12,0)),0))</f>
        <v/>
      </c>
      <c r="I409" s="17" t="str">
        <f aca="false">IF(H409="","",D409*H409)</f>
        <v/>
      </c>
      <c r="J409" s="18" t="str">
        <f aca="true">IF(AND(AND(C409&lt;&gt;"Kazanıldı",C409&lt;&gt;"Kaybedildi",C409&lt;&gt;""),F409&lt;&gt;""),IF(F409&lt;TODAY(),"Gecikti",IF(F409=TODAY(),"Bugün","")),"")</f>
        <v/>
      </c>
      <c r="K409" s="18" t="str">
        <f aca="true">IF(AND(AND(C409&lt;&gt;"Kazanıldı",C409&lt;&gt;"Kaybedildi",C409&lt;&gt;""),F409&lt;&gt;"",F409&lt;=TODAY()),F409+ROW()/1000000,"")</f>
        <v/>
      </c>
    </row>
    <row r="410" customFormat="false" ht="15" hidden="false" customHeight="false" outlineLevel="0" collapsed="false">
      <c r="A410" s="12"/>
      <c r="B410" s="13"/>
      <c r="C410" s="13"/>
      <c r="D410" s="14"/>
      <c r="E410" s="15"/>
      <c r="F410" s="15"/>
      <c r="G410" s="12"/>
      <c r="H410" s="16" t="str">
        <f aca="false">IF(OR(A410="",C410=""),"",IFERROR(INDEX(Aşamalar!$B$5:$B$12,MATCH(C410,Aşamalar!$A$5:$A$12,0)),0))</f>
        <v/>
      </c>
      <c r="I410" s="17" t="str">
        <f aca="false">IF(H410="","",D410*H410)</f>
        <v/>
      </c>
      <c r="J410" s="18" t="str">
        <f aca="true">IF(AND(AND(C410&lt;&gt;"Kazanıldı",C410&lt;&gt;"Kaybedildi",C410&lt;&gt;""),F410&lt;&gt;""),IF(F410&lt;TODAY(),"Gecikti",IF(F410=TODAY(),"Bugün","")),"")</f>
        <v/>
      </c>
      <c r="K410" s="18" t="str">
        <f aca="true">IF(AND(AND(C410&lt;&gt;"Kazanıldı",C410&lt;&gt;"Kaybedildi",C410&lt;&gt;""),F410&lt;&gt;"",F410&lt;=TODAY()),F410+ROW()/1000000,"")</f>
        <v/>
      </c>
    </row>
    <row r="411" customFormat="false" ht="15" hidden="false" customHeight="false" outlineLevel="0" collapsed="false">
      <c r="A411" s="12"/>
      <c r="B411" s="13"/>
      <c r="C411" s="13"/>
      <c r="D411" s="14"/>
      <c r="E411" s="15"/>
      <c r="F411" s="15"/>
      <c r="G411" s="12"/>
      <c r="H411" s="16" t="str">
        <f aca="false">IF(OR(A411="",C411=""),"",IFERROR(INDEX(Aşamalar!$B$5:$B$12,MATCH(C411,Aşamalar!$A$5:$A$12,0)),0))</f>
        <v/>
      </c>
      <c r="I411" s="17" t="str">
        <f aca="false">IF(H411="","",D411*H411)</f>
        <v/>
      </c>
      <c r="J411" s="18" t="str">
        <f aca="true">IF(AND(AND(C411&lt;&gt;"Kazanıldı",C411&lt;&gt;"Kaybedildi",C411&lt;&gt;""),F411&lt;&gt;""),IF(F411&lt;TODAY(),"Gecikti",IF(F411=TODAY(),"Bugün","")),"")</f>
        <v/>
      </c>
      <c r="K411" s="18" t="str">
        <f aca="true">IF(AND(AND(C411&lt;&gt;"Kazanıldı",C411&lt;&gt;"Kaybedildi",C411&lt;&gt;""),F411&lt;&gt;"",F411&lt;=TODAY()),F411+ROW()/1000000,"")</f>
        <v/>
      </c>
    </row>
    <row r="412" customFormat="false" ht="15" hidden="false" customHeight="false" outlineLevel="0" collapsed="false">
      <c r="A412" s="12"/>
      <c r="B412" s="13"/>
      <c r="C412" s="13"/>
      <c r="D412" s="14"/>
      <c r="E412" s="15"/>
      <c r="F412" s="15"/>
      <c r="G412" s="12"/>
      <c r="H412" s="16" t="str">
        <f aca="false">IF(OR(A412="",C412=""),"",IFERROR(INDEX(Aşamalar!$B$5:$B$12,MATCH(C412,Aşamalar!$A$5:$A$12,0)),0))</f>
        <v/>
      </c>
      <c r="I412" s="17" t="str">
        <f aca="false">IF(H412="","",D412*H412)</f>
        <v/>
      </c>
      <c r="J412" s="18" t="str">
        <f aca="true">IF(AND(AND(C412&lt;&gt;"Kazanıldı",C412&lt;&gt;"Kaybedildi",C412&lt;&gt;""),F412&lt;&gt;""),IF(F412&lt;TODAY(),"Gecikti",IF(F412=TODAY(),"Bugün","")),"")</f>
        <v/>
      </c>
      <c r="K412" s="18" t="str">
        <f aca="true">IF(AND(AND(C412&lt;&gt;"Kazanıldı",C412&lt;&gt;"Kaybedildi",C412&lt;&gt;""),F412&lt;&gt;"",F412&lt;=TODAY()),F412+ROW()/1000000,"")</f>
        <v/>
      </c>
    </row>
    <row r="413" customFormat="false" ht="15" hidden="false" customHeight="false" outlineLevel="0" collapsed="false">
      <c r="A413" s="12"/>
      <c r="B413" s="13"/>
      <c r="C413" s="13"/>
      <c r="D413" s="14"/>
      <c r="E413" s="15"/>
      <c r="F413" s="15"/>
      <c r="G413" s="12"/>
      <c r="H413" s="16" t="str">
        <f aca="false">IF(OR(A413="",C413=""),"",IFERROR(INDEX(Aşamalar!$B$5:$B$12,MATCH(C413,Aşamalar!$A$5:$A$12,0)),0))</f>
        <v/>
      </c>
      <c r="I413" s="17" t="str">
        <f aca="false">IF(H413="","",D413*H413)</f>
        <v/>
      </c>
      <c r="J413" s="18" t="str">
        <f aca="true">IF(AND(AND(C413&lt;&gt;"Kazanıldı",C413&lt;&gt;"Kaybedildi",C413&lt;&gt;""),F413&lt;&gt;""),IF(F413&lt;TODAY(),"Gecikti",IF(F413=TODAY(),"Bugün","")),"")</f>
        <v/>
      </c>
      <c r="K413" s="18" t="str">
        <f aca="true">IF(AND(AND(C413&lt;&gt;"Kazanıldı",C413&lt;&gt;"Kaybedildi",C413&lt;&gt;""),F413&lt;&gt;"",F413&lt;=TODAY()),F413+ROW()/1000000,"")</f>
        <v/>
      </c>
    </row>
    <row r="414" customFormat="false" ht="15" hidden="false" customHeight="false" outlineLevel="0" collapsed="false">
      <c r="A414" s="12"/>
      <c r="B414" s="13"/>
      <c r="C414" s="13"/>
      <c r="D414" s="14"/>
      <c r="E414" s="15"/>
      <c r="F414" s="15"/>
      <c r="G414" s="12"/>
      <c r="H414" s="16" t="str">
        <f aca="false">IF(OR(A414="",C414=""),"",IFERROR(INDEX(Aşamalar!$B$5:$B$12,MATCH(C414,Aşamalar!$A$5:$A$12,0)),0))</f>
        <v/>
      </c>
      <c r="I414" s="17" t="str">
        <f aca="false">IF(H414="","",D414*H414)</f>
        <v/>
      </c>
      <c r="J414" s="18" t="str">
        <f aca="true">IF(AND(AND(C414&lt;&gt;"Kazanıldı",C414&lt;&gt;"Kaybedildi",C414&lt;&gt;""),F414&lt;&gt;""),IF(F414&lt;TODAY(),"Gecikti",IF(F414=TODAY(),"Bugün","")),"")</f>
        <v/>
      </c>
      <c r="K414" s="18" t="str">
        <f aca="true">IF(AND(AND(C414&lt;&gt;"Kazanıldı",C414&lt;&gt;"Kaybedildi",C414&lt;&gt;""),F414&lt;&gt;"",F414&lt;=TODAY()),F414+ROW()/1000000,"")</f>
        <v/>
      </c>
    </row>
    <row r="415" customFormat="false" ht="15" hidden="false" customHeight="false" outlineLevel="0" collapsed="false">
      <c r="A415" s="12"/>
      <c r="B415" s="13"/>
      <c r="C415" s="13"/>
      <c r="D415" s="14"/>
      <c r="E415" s="15"/>
      <c r="F415" s="15"/>
      <c r="G415" s="12"/>
      <c r="H415" s="16" t="str">
        <f aca="false">IF(OR(A415="",C415=""),"",IFERROR(INDEX(Aşamalar!$B$5:$B$12,MATCH(C415,Aşamalar!$A$5:$A$12,0)),0))</f>
        <v/>
      </c>
      <c r="I415" s="17" t="str">
        <f aca="false">IF(H415="","",D415*H415)</f>
        <v/>
      </c>
      <c r="J415" s="18" t="str">
        <f aca="true">IF(AND(AND(C415&lt;&gt;"Kazanıldı",C415&lt;&gt;"Kaybedildi",C415&lt;&gt;""),F415&lt;&gt;""),IF(F415&lt;TODAY(),"Gecikti",IF(F415=TODAY(),"Bugün","")),"")</f>
        <v/>
      </c>
      <c r="K415" s="18" t="str">
        <f aca="true">IF(AND(AND(C415&lt;&gt;"Kazanıldı",C415&lt;&gt;"Kaybedildi",C415&lt;&gt;""),F415&lt;&gt;"",F415&lt;=TODAY()),F415+ROW()/1000000,"")</f>
        <v/>
      </c>
    </row>
    <row r="416" customFormat="false" ht="15" hidden="false" customHeight="false" outlineLevel="0" collapsed="false">
      <c r="A416" s="12"/>
      <c r="B416" s="13"/>
      <c r="C416" s="13"/>
      <c r="D416" s="14"/>
      <c r="E416" s="15"/>
      <c r="F416" s="15"/>
      <c r="G416" s="12"/>
      <c r="H416" s="16" t="str">
        <f aca="false">IF(OR(A416="",C416=""),"",IFERROR(INDEX(Aşamalar!$B$5:$B$12,MATCH(C416,Aşamalar!$A$5:$A$12,0)),0))</f>
        <v/>
      </c>
      <c r="I416" s="17" t="str">
        <f aca="false">IF(H416="","",D416*H416)</f>
        <v/>
      </c>
      <c r="J416" s="18" t="str">
        <f aca="true">IF(AND(AND(C416&lt;&gt;"Kazanıldı",C416&lt;&gt;"Kaybedildi",C416&lt;&gt;""),F416&lt;&gt;""),IF(F416&lt;TODAY(),"Gecikti",IF(F416=TODAY(),"Bugün","")),"")</f>
        <v/>
      </c>
      <c r="K416" s="18" t="str">
        <f aca="true">IF(AND(AND(C416&lt;&gt;"Kazanıldı",C416&lt;&gt;"Kaybedildi",C416&lt;&gt;""),F416&lt;&gt;"",F416&lt;=TODAY()),F416+ROW()/1000000,"")</f>
        <v/>
      </c>
    </row>
    <row r="417" customFormat="false" ht="15" hidden="false" customHeight="false" outlineLevel="0" collapsed="false">
      <c r="A417" s="12"/>
      <c r="B417" s="13"/>
      <c r="C417" s="13"/>
      <c r="D417" s="14"/>
      <c r="E417" s="15"/>
      <c r="F417" s="15"/>
      <c r="G417" s="12"/>
      <c r="H417" s="16" t="str">
        <f aca="false">IF(OR(A417="",C417=""),"",IFERROR(INDEX(Aşamalar!$B$5:$B$12,MATCH(C417,Aşamalar!$A$5:$A$12,0)),0))</f>
        <v/>
      </c>
      <c r="I417" s="17" t="str">
        <f aca="false">IF(H417="","",D417*H417)</f>
        <v/>
      </c>
      <c r="J417" s="18" t="str">
        <f aca="true">IF(AND(AND(C417&lt;&gt;"Kazanıldı",C417&lt;&gt;"Kaybedildi",C417&lt;&gt;""),F417&lt;&gt;""),IF(F417&lt;TODAY(),"Gecikti",IF(F417=TODAY(),"Bugün","")),"")</f>
        <v/>
      </c>
      <c r="K417" s="18" t="str">
        <f aca="true">IF(AND(AND(C417&lt;&gt;"Kazanıldı",C417&lt;&gt;"Kaybedildi",C417&lt;&gt;""),F417&lt;&gt;"",F417&lt;=TODAY()),F417+ROW()/1000000,"")</f>
        <v/>
      </c>
    </row>
    <row r="418" customFormat="false" ht="15" hidden="false" customHeight="false" outlineLevel="0" collapsed="false">
      <c r="A418" s="12"/>
      <c r="B418" s="13"/>
      <c r="C418" s="13"/>
      <c r="D418" s="14"/>
      <c r="E418" s="15"/>
      <c r="F418" s="15"/>
      <c r="G418" s="12"/>
      <c r="H418" s="16" t="str">
        <f aca="false">IF(OR(A418="",C418=""),"",IFERROR(INDEX(Aşamalar!$B$5:$B$12,MATCH(C418,Aşamalar!$A$5:$A$12,0)),0))</f>
        <v/>
      </c>
      <c r="I418" s="17" t="str">
        <f aca="false">IF(H418="","",D418*H418)</f>
        <v/>
      </c>
      <c r="J418" s="18" t="str">
        <f aca="true">IF(AND(AND(C418&lt;&gt;"Kazanıldı",C418&lt;&gt;"Kaybedildi",C418&lt;&gt;""),F418&lt;&gt;""),IF(F418&lt;TODAY(),"Gecikti",IF(F418=TODAY(),"Bugün","")),"")</f>
        <v/>
      </c>
      <c r="K418" s="18" t="str">
        <f aca="true">IF(AND(AND(C418&lt;&gt;"Kazanıldı",C418&lt;&gt;"Kaybedildi",C418&lt;&gt;""),F418&lt;&gt;"",F418&lt;=TODAY()),F418+ROW()/1000000,"")</f>
        <v/>
      </c>
    </row>
    <row r="419" customFormat="false" ht="15" hidden="false" customHeight="false" outlineLevel="0" collapsed="false">
      <c r="A419" s="12"/>
      <c r="B419" s="13"/>
      <c r="C419" s="13"/>
      <c r="D419" s="14"/>
      <c r="E419" s="15"/>
      <c r="F419" s="15"/>
      <c r="G419" s="12"/>
      <c r="H419" s="16" t="str">
        <f aca="false">IF(OR(A419="",C419=""),"",IFERROR(INDEX(Aşamalar!$B$5:$B$12,MATCH(C419,Aşamalar!$A$5:$A$12,0)),0))</f>
        <v/>
      </c>
      <c r="I419" s="17" t="str">
        <f aca="false">IF(H419="","",D419*H419)</f>
        <v/>
      </c>
      <c r="J419" s="18" t="str">
        <f aca="true">IF(AND(AND(C419&lt;&gt;"Kazanıldı",C419&lt;&gt;"Kaybedildi",C419&lt;&gt;""),F419&lt;&gt;""),IF(F419&lt;TODAY(),"Gecikti",IF(F419=TODAY(),"Bugün","")),"")</f>
        <v/>
      </c>
      <c r="K419" s="18" t="str">
        <f aca="true">IF(AND(AND(C419&lt;&gt;"Kazanıldı",C419&lt;&gt;"Kaybedildi",C419&lt;&gt;""),F419&lt;&gt;"",F419&lt;=TODAY()),F419+ROW()/1000000,"")</f>
        <v/>
      </c>
    </row>
    <row r="420" customFormat="false" ht="15" hidden="false" customHeight="false" outlineLevel="0" collapsed="false">
      <c r="A420" s="12"/>
      <c r="B420" s="13"/>
      <c r="C420" s="13"/>
      <c r="D420" s="14"/>
      <c r="E420" s="15"/>
      <c r="F420" s="15"/>
      <c r="G420" s="12"/>
      <c r="H420" s="16" t="str">
        <f aca="false">IF(OR(A420="",C420=""),"",IFERROR(INDEX(Aşamalar!$B$5:$B$12,MATCH(C420,Aşamalar!$A$5:$A$12,0)),0))</f>
        <v/>
      </c>
      <c r="I420" s="17" t="str">
        <f aca="false">IF(H420="","",D420*H420)</f>
        <v/>
      </c>
      <c r="J420" s="18" t="str">
        <f aca="true">IF(AND(AND(C420&lt;&gt;"Kazanıldı",C420&lt;&gt;"Kaybedildi",C420&lt;&gt;""),F420&lt;&gt;""),IF(F420&lt;TODAY(),"Gecikti",IF(F420=TODAY(),"Bugün","")),"")</f>
        <v/>
      </c>
      <c r="K420" s="18" t="str">
        <f aca="true">IF(AND(AND(C420&lt;&gt;"Kazanıldı",C420&lt;&gt;"Kaybedildi",C420&lt;&gt;""),F420&lt;&gt;"",F420&lt;=TODAY()),F420+ROW()/1000000,"")</f>
        <v/>
      </c>
    </row>
    <row r="421" customFormat="false" ht="15" hidden="false" customHeight="false" outlineLevel="0" collapsed="false">
      <c r="A421" s="12"/>
      <c r="B421" s="13"/>
      <c r="C421" s="13"/>
      <c r="D421" s="14"/>
      <c r="E421" s="15"/>
      <c r="F421" s="15"/>
      <c r="G421" s="12"/>
      <c r="H421" s="16" t="str">
        <f aca="false">IF(OR(A421="",C421=""),"",IFERROR(INDEX(Aşamalar!$B$5:$B$12,MATCH(C421,Aşamalar!$A$5:$A$12,0)),0))</f>
        <v/>
      </c>
      <c r="I421" s="17" t="str">
        <f aca="false">IF(H421="","",D421*H421)</f>
        <v/>
      </c>
      <c r="J421" s="18" t="str">
        <f aca="true">IF(AND(AND(C421&lt;&gt;"Kazanıldı",C421&lt;&gt;"Kaybedildi",C421&lt;&gt;""),F421&lt;&gt;""),IF(F421&lt;TODAY(),"Gecikti",IF(F421=TODAY(),"Bugün","")),"")</f>
        <v/>
      </c>
      <c r="K421" s="18" t="str">
        <f aca="true">IF(AND(AND(C421&lt;&gt;"Kazanıldı",C421&lt;&gt;"Kaybedildi",C421&lt;&gt;""),F421&lt;&gt;"",F421&lt;=TODAY()),F421+ROW()/1000000,"")</f>
        <v/>
      </c>
    </row>
    <row r="422" customFormat="false" ht="15" hidden="false" customHeight="false" outlineLevel="0" collapsed="false">
      <c r="A422" s="12"/>
      <c r="B422" s="13"/>
      <c r="C422" s="13"/>
      <c r="D422" s="14"/>
      <c r="E422" s="15"/>
      <c r="F422" s="15"/>
      <c r="G422" s="12"/>
      <c r="H422" s="16" t="str">
        <f aca="false">IF(OR(A422="",C422=""),"",IFERROR(INDEX(Aşamalar!$B$5:$B$12,MATCH(C422,Aşamalar!$A$5:$A$12,0)),0))</f>
        <v/>
      </c>
      <c r="I422" s="17" t="str">
        <f aca="false">IF(H422="","",D422*H422)</f>
        <v/>
      </c>
      <c r="J422" s="18" t="str">
        <f aca="true">IF(AND(AND(C422&lt;&gt;"Kazanıldı",C422&lt;&gt;"Kaybedildi",C422&lt;&gt;""),F422&lt;&gt;""),IF(F422&lt;TODAY(),"Gecikti",IF(F422=TODAY(),"Bugün","")),"")</f>
        <v/>
      </c>
      <c r="K422" s="18" t="str">
        <f aca="true">IF(AND(AND(C422&lt;&gt;"Kazanıldı",C422&lt;&gt;"Kaybedildi",C422&lt;&gt;""),F422&lt;&gt;"",F422&lt;=TODAY()),F422+ROW()/1000000,"")</f>
        <v/>
      </c>
    </row>
    <row r="423" customFormat="false" ht="15" hidden="false" customHeight="false" outlineLevel="0" collapsed="false">
      <c r="A423" s="12"/>
      <c r="B423" s="13"/>
      <c r="C423" s="13"/>
      <c r="D423" s="14"/>
      <c r="E423" s="15"/>
      <c r="F423" s="15"/>
      <c r="G423" s="12"/>
      <c r="H423" s="16" t="str">
        <f aca="false">IF(OR(A423="",C423=""),"",IFERROR(INDEX(Aşamalar!$B$5:$B$12,MATCH(C423,Aşamalar!$A$5:$A$12,0)),0))</f>
        <v/>
      </c>
      <c r="I423" s="17" t="str">
        <f aca="false">IF(H423="","",D423*H423)</f>
        <v/>
      </c>
      <c r="J423" s="18" t="str">
        <f aca="true">IF(AND(AND(C423&lt;&gt;"Kazanıldı",C423&lt;&gt;"Kaybedildi",C423&lt;&gt;""),F423&lt;&gt;""),IF(F423&lt;TODAY(),"Gecikti",IF(F423=TODAY(),"Bugün","")),"")</f>
        <v/>
      </c>
      <c r="K423" s="18" t="str">
        <f aca="true">IF(AND(AND(C423&lt;&gt;"Kazanıldı",C423&lt;&gt;"Kaybedildi",C423&lt;&gt;""),F423&lt;&gt;"",F423&lt;=TODAY()),F423+ROW()/1000000,"")</f>
        <v/>
      </c>
    </row>
    <row r="424" customFormat="false" ht="15" hidden="false" customHeight="false" outlineLevel="0" collapsed="false">
      <c r="A424" s="12"/>
      <c r="B424" s="13"/>
      <c r="C424" s="13"/>
      <c r="D424" s="14"/>
      <c r="E424" s="15"/>
      <c r="F424" s="15"/>
      <c r="G424" s="12"/>
      <c r="H424" s="16" t="str">
        <f aca="false">IF(OR(A424="",C424=""),"",IFERROR(INDEX(Aşamalar!$B$5:$B$12,MATCH(C424,Aşamalar!$A$5:$A$12,0)),0))</f>
        <v/>
      </c>
      <c r="I424" s="17" t="str">
        <f aca="false">IF(H424="","",D424*H424)</f>
        <v/>
      </c>
      <c r="J424" s="18" t="str">
        <f aca="true">IF(AND(AND(C424&lt;&gt;"Kazanıldı",C424&lt;&gt;"Kaybedildi",C424&lt;&gt;""),F424&lt;&gt;""),IF(F424&lt;TODAY(),"Gecikti",IF(F424=TODAY(),"Bugün","")),"")</f>
        <v/>
      </c>
      <c r="K424" s="18" t="str">
        <f aca="true">IF(AND(AND(C424&lt;&gt;"Kazanıldı",C424&lt;&gt;"Kaybedildi",C424&lt;&gt;""),F424&lt;&gt;"",F424&lt;=TODAY()),F424+ROW()/1000000,"")</f>
        <v/>
      </c>
    </row>
    <row r="425" customFormat="false" ht="15" hidden="false" customHeight="false" outlineLevel="0" collapsed="false">
      <c r="A425" s="12"/>
      <c r="B425" s="13"/>
      <c r="C425" s="13"/>
      <c r="D425" s="14"/>
      <c r="E425" s="15"/>
      <c r="F425" s="15"/>
      <c r="G425" s="12"/>
      <c r="H425" s="16" t="str">
        <f aca="false">IF(OR(A425="",C425=""),"",IFERROR(INDEX(Aşamalar!$B$5:$B$12,MATCH(C425,Aşamalar!$A$5:$A$12,0)),0))</f>
        <v/>
      </c>
      <c r="I425" s="17" t="str">
        <f aca="false">IF(H425="","",D425*H425)</f>
        <v/>
      </c>
      <c r="J425" s="18" t="str">
        <f aca="true">IF(AND(AND(C425&lt;&gt;"Kazanıldı",C425&lt;&gt;"Kaybedildi",C425&lt;&gt;""),F425&lt;&gt;""),IF(F425&lt;TODAY(),"Gecikti",IF(F425=TODAY(),"Bugün","")),"")</f>
        <v/>
      </c>
      <c r="K425" s="18" t="str">
        <f aca="true">IF(AND(AND(C425&lt;&gt;"Kazanıldı",C425&lt;&gt;"Kaybedildi",C425&lt;&gt;""),F425&lt;&gt;"",F425&lt;=TODAY()),F425+ROW()/1000000,"")</f>
        <v/>
      </c>
    </row>
    <row r="426" customFormat="false" ht="15" hidden="false" customHeight="false" outlineLevel="0" collapsed="false">
      <c r="A426" s="12"/>
      <c r="B426" s="13"/>
      <c r="C426" s="13"/>
      <c r="D426" s="14"/>
      <c r="E426" s="15"/>
      <c r="F426" s="15"/>
      <c r="G426" s="12"/>
      <c r="H426" s="16" t="str">
        <f aca="false">IF(OR(A426="",C426=""),"",IFERROR(INDEX(Aşamalar!$B$5:$B$12,MATCH(C426,Aşamalar!$A$5:$A$12,0)),0))</f>
        <v/>
      </c>
      <c r="I426" s="17" t="str">
        <f aca="false">IF(H426="","",D426*H426)</f>
        <v/>
      </c>
      <c r="J426" s="18" t="str">
        <f aca="true">IF(AND(AND(C426&lt;&gt;"Kazanıldı",C426&lt;&gt;"Kaybedildi",C426&lt;&gt;""),F426&lt;&gt;""),IF(F426&lt;TODAY(),"Gecikti",IF(F426=TODAY(),"Bugün","")),"")</f>
        <v/>
      </c>
      <c r="K426" s="18" t="str">
        <f aca="true">IF(AND(AND(C426&lt;&gt;"Kazanıldı",C426&lt;&gt;"Kaybedildi",C426&lt;&gt;""),F426&lt;&gt;"",F426&lt;=TODAY()),F426+ROW()/1000000,"")</f>
        <v/>
      </c>
    </row>
    <row r="427" customFormat="false" ht="15" hidden="false" customHeight="false" outlineLevel="0" collapsed="false">
      <c r="A427" s="12"/>
      <c r="B427" s="13"/>
      <c r="C427" s="13"/>
      <c r="D427" s="14"/>
      <c r="E427" s="15"/>
      <c r="F427" s="15"/>
      <c r="G427" s="12"/>
      <c r="H427" s="16" t="str">
        <f aca="false">IF(OR(A427="",C427=""),"",IFERROR(INDEX(Aşamalar!$B$5:$B$12,MATCH(C427,Aşamalar!$A$5:$A$12,0)),0))</f>
        <v/>
      </c>
      <c r="I427" s="17" t="str">
        <f aca="false">IF(H427="","",D427*H427)</f>
        <v/>
      </c>
      <c r="J427" s="18" t="str">
        <f aca="true">IF(AND(AND(C427&lt;&gt;"Kazanıldı",C427&lt;&gt;"Kaybedildi",C427&lt;&gt;""),F427&lt;&gt;""),IF(F427&lt;TODAY(),"Gecikti",IF(F427=TODAY(),"Bugün","")),"")</f>
        <v/>
      </c>
      <c r="K427" s="18" t="str">
        <f aca="true">IF(AND(AND(C427&lt;&gt;"Kazanıldı",C427&lt;&gt;"Kaybedildi",C427&lt;&gt;""),F427&lt;&gt;"",F427&lt;=TODAY()),F427+ROW()/1000000,"")</f>
        <v/>
      </c>
    </row>
    <row r="428" customFormat="false" ht="15" hidden="false" customHeight="false" outlineLevel="0" collapsed="false">
      <c r="A428" s="12"/>
      <c r="B428" s="13"/>
      <c r="C428" s="13"/>
      <c r="D428" s="14"/>
      <c r="E428" s="15"/>
      <c r="F428" s="15"/>
      <c r="G428" s="12"/>
      <c r="H428" s="16" t="str">
        <f aca="false">IF(OR(A428="",C428=""),"",IFERROR(INDEX(Aşamalar!$B$5:$B$12,MATCH(C428,Aşamalar!$A$5:$A$12,0)),0))</f>
        <v/>
      </c>
      <c r="I428" s="17" t="str">
        <f aca="false">IF(H428="","",D428*H428)</f>
        <v/>
      </c>
      <c r="J428" s="18" t="str">
        <f aca="true">IF(AND(AND(C428&lt;&gt;"Kazanıldı",C428&lt;&gt;"Kaybedildi",C428&lt;&gt;""),F428&lt;&gt;""),IF(F428&lt;TODAY(),"Gecikti",IF(F428=TODAY(),"Bugün","")),"")</f>
        <v/>
      </c>
      <c r="K428" s="18" t="str">
        <f aca="true">IF(AND(AND(C428&lt;&gt;"Kazanıldı",C428&lt;&gt;"Kaybedildi",C428&lt;&gt;""),F428&lt;&gt;"",F428&lt;=TODAY()),F428+ROW()/1000000,"")</f>
        <v/>
      </c>
    </row>
    <row r="429" customFormat="false" ht="15" hidden="false" customHeight="false" outlineLevel="0" collapsed="false">
      <c r="A429" s="12"/>
      <c r="B429" s="13"/>
      <c r="C429" s="13"/>
      <c r="D429" s="14"/>
      <c r="E429" s="15"/>
      <c r="F429" s="15"/>
      <c r="G429" s="12"/>
      <c r="H429" s="16" t="str">
        <f aca="false">IF(OR(A429="",C429=""),"",IFERROR(INDEX(Aşamalar!$B$5:$B$12,MATCH(C429,Aşamalar!$A$5:$A$12,0)),0))</f>
        <v/>
      </c>
      <c r="I429" s="17" t="str">
        <f aca="false">IF(H429="","",D429*H429)</f>
        <v/>
      </c>
      <c r="J429" s="18" t="str">
        <f aca="true">IF(AND(AND(C429&lt;&gt;"Kazanıldı",C429&lt;&gt;"Kaybedildi",C429&lt;&gt;""),F429&lt;&gt;""),IF(F429&lt;TODAY(),"Gecikti",IF(F429=TODAY(),"Bugün","")),"")</f>
        <v/>
      </c>
      <c r="K429" s="18" t="str">
        <f aca="true">IF(AND(AND(C429&lt;&gt;"Kazanıldı",C429&lt;&gt;"Kaybedildi",C429&lt;&gt;""),F429&lt;&gt;"",F429&lt;=TODAY()),F429+ROW()/1000000,"")</f>
        <v/>
      </c>
    </row>
    <row r="430" customFormat="false" ht="15" hidden="false" customHeight="false" outlineLevel="0" collapsed="false">
      <c r="A430" s="12"/>
      <c r="B430" s="13"/>
      <c r="C430" s="13"/>
      <c r="D430" s="14"/>
      <c r="E430" s="15"/>
      <c r="F430" s="15"/>
      <c r="G430" s="12"/>
      <c r="H430" s="16" t="str">
        <f aca="false">IF(OR(A430="",C430=""),"",IFERROR(INDEX(Aşamalar!$B$5:$B$12,MATCH(C430,Aşamalar!$A$5:$A$12,0)),0))</f>
        <v/>
      </c>
      <c r="I430" s="17" t="str">
        <f aca="false">IF(H430="","",D430*H430)</f>
        <v/>
      </c>
      <c r="J430" s="18" t="str">
        <f aca="true">IF(AND(AND(C430&lt;&gt;"Kazanıldı",C430&lt;&gt;"Kaybedildi",C430&lt;&gt;""),F430&lt;&gt;""),IF(F430&lt;TODAY(),"Gecikti",IF(F430=TODAY(),"Bugün","")),"")</f>
        <v/>
      </c>
      <c r="K430" s="18" t="str">
        <f aca="true">IF(AND(AND(C430&lt;&gt;"Kazanıldı",C430&lt;&gt;"Kaybedildi",C430&lt;&gt;""),F430&lt;&gt;"",F430&lt;=TODAY()),F430+ROW()/1000000,"")</f>
        <v/>
      </c>
    </row>
    <row r="431" customFormat="false" ht="15" hidden="false" customHeight="false" outlineLevel="0" collapsed="false">
      <c r="A431" s="12"/>
      <c r="B431" s="13"/>
      <c r="C431" s="13"/>
      <c r="D431" s="14"/>
      <c r="E431" s="15"/>
      <c r="F431" s="15"/>
      <c r="G431" s="12"/>
      <c r="H431" s="16" t="str">
        <f aca="false">IF(OR(A431="",C431=""),"",IFERROR(INDEX(Aşamalar!$B$5:$B$12,MATCH(C431,Aşamalar!$A$5:$A$12,0)),0))</f>
        <v/>
      </c>
      <c r="I431" s="17" t="str">
        <f aca="false">IF(H431="","",D431*H431)</f>
        <v/>
      </c>
      <c r="J431" s="18" t="str">
        <f aca="true">IF(AND(AND(C431&lt;&gt;"Kazanıldı",C431&lt;&gt;"Kaybedildi",C431&lt;&gt;""),F431&lt;&gt;""),IF(F431&lt;TODAY(),"Gecikti",IF(F431=TODAY(),"Bugün","")),"")</f>
        <v/>
      </c>
      <c r="K431" s="18" t="str">
        <f aca="true">IF(AND(AND(C431&lt;&gt;"Kazanıldı",C431&lt;&gt;"Kaybedildi",C431&lt;&gt;""),F431&lt;&gt;"",F431&lt;=TODAY()),F431+ROW()/1000000,"")</f>
        <v/>
      </c>
    </row>
    <row r="432" customFormat="false" ht="15" hidden="false" customHeight="false" outlineLevel="0" collapsed="false">
      <c r="A432" s="12"/>
      <c r="B432" s="13"/>
      <c r="C432" s="13"/>
      <c r="D432" s="14"/>
      <c r="E432" s="15"/>
      <c r="F432" s="15"/>
      <c r="G432" s="12"/>
      <c r="H432" s="16" t="str">
        <f aca="false">IF(OR(A432="",C432=""),"",IFERROR(INDEX(Aşamalar!$B$5:$B$12,MATCH(C432,Aşamalar!$A$5:$A$12,0)),0))</f>
        <v/>
      </c>
      <c r="I432" s="17" t="str">
        <f aca="false">IF(H432="","",D432*H432)</f>
        <v/>
      </c>
      <c r="J432" s="18" t="str">
        <f aca="true">IF(AND(AND(C432&lt;&gt;"Kazanıldı",C432&lt;&gt;"Kaybedildi",C432&lt;&gt;""),F432&lt;&gt;""),IF(F432&lt;TODAY(),"Gecikti",IF(F432=TODAY(),"Bugün","")),"")</f>
        <v/>
      </c>
      <c r="K432" s="18" t="str">
        <f aca="true">IF(AND(AND(C432&lt;&gt;"Kazanıldı",C432&lt;&gt;"Kaybedildi",C432&lt;&gt;""),F432&lt;&gt;"",F432&lt;=TODAY()),F432+ROW()/1000000,"")</f>
        <v/>
      </c>
    </row>
    <row r="433" customFormat="false" ht="15" hidden="false" customHeight="false" outlineLevel="0" collapsed="false">
      <c r="A433" s="12"/>
      <c r="B433" s="13"/>
      <c r="C433" s="13"/>
      <c r="D433" s="14"/>
      <c r="E433" s="15"/>
      <c r="F433" s="15"/>
      <c r="G433" s="12"/>
      <c r="H433" s="16" t="str">
        <f aca="false">IF(OR(A433="",C433=""),"",IFERROR(INDEX(Aşamalar!$B$5:$B$12,MATCH(C433,Aşamalar!$A$5:$A$12,0)),0))</f>
        <v/>
      </c>
      <c r="I433" s="17" t="str">
        <f aca="false">IF(H433="","",D433*H433)</f>
        <v/>
      </c>
      <c r="J433" s="18" t="str">
        <f aca="true">IF(AND(AND(C433&lt;&gt;"Kazanıldı",C433&lt;&gt;"Kaybedildi",C433&lt;&gt;""),F433&lt;&gt;""),IF(F433&lt;TODAY(),"Gecikti",IF(F433=TODAY(),"Bugün","")),"")</f>
        <v/>
      </c>
      <c r="K433" s="18" t="str">
        <f aca="true">IF(AND(AND(C433&lt;&gt;"Kazanıldı",C433&lt;&gt;"Kaybedildi",C433&lt;&gt;""),F433&lt;&gt;"",F433&lt;=TODAY()),F433+ROW()/1000000,"")</f>
        <v/>
      </c>
    </row>
    <row r="434" customFormat="false" ht="15" hidden="false" customHeight="false" outlineLevel="0" collapsed="false">
      <c r="A434" s="12"/>
      <c r="B434" s="13"/>
      <c r="C434" s="13"/>
      <c r="D434" s="14"/>
      <c r="E434" s="15"/>
      <c r="F434" s="15"/>
      <c r="G434" s="12"/>
      <c r="H434" s="16" t="str">
        <f aca="false">IF(OR(A434="",C434=""),"",IFERROR(INDEX(Aşamalar!$B$5:$B$12,MATCH(C434,Aşamalar!$A$5:$A$12,0)),0))</f>
        <v/>
      </c>
      <c r="I434" s="17" t="str">
        <f aca="false">IF(H434="","",D434*H434)</f>
        <v/>
      </c>
      <c r="J434" s="18" t="str">
        <f aca="true">IF(AND(AND(C434&lt;&gt;"Kazanıldı",C434&lt;&gt;"Kaybedildi",C434&lt;&gt;""),F434&lt;&gt;""),IF(F434&lt;TODAY(),"Gecikti",IF(F434=TODAY(),"Bugün","")),"")</f>
        <v/>
      </c>
      <c r="K434" s="18" t="str">
        <f aca="true">IF(AND(AND(C434&lt;&gt;"Kazanıldı",C434&lt;&gt;"Kaybedildi",C434&lt;&gt;""),F434&lt;&gt;"",F434&lt;=TODAY()),F434+ROW()/1000000,"")</f>
        <v/>
      </c>
    </row>
    <row r="435" customFormat="false" ht="15" hidden="false" customHeight="false" outlineLevel="0" collapsed="false">
      <c r="A435" s="12"/>
      <c r="B435" s="13"/>
      <c r="C435" s="13"/>
      <c r="D435" s="14"/>
      <c r="E435" s="15"/>
      <c r="F435" s="15"/>
      <c r="G435" s="12"/>
      <c r="H435" s="16" t="str">
        <f aca="false">IF(OR(A435="",C435=""),"",IFERROR(INDEX(Aşamalar!$B$5:$B$12,MATCH(C435,Aşamalar!$A$5:$A$12,0)),0))</f>
        <v/>
      </c>
      <c r="I435" s="17" t="str">
        <f aca="false">IF(H435="","",D435*H435)</f>
        <v/>
      </c>
      <c r="J435" s="18" t="str">
        <f aca="true">IF(AND(AND(C435&lt;&gt;"Kazanıldı",C435&lt;&gt;"Kaybedildi",C435&lt;&gt;""),F435&lt;&gt;""),IF(F435&lt;TODAY(),"Gecikti",IF(F435=TODAY(),"Bugün","")),"")</f>
        <v/>
      </c>
      <c r="K435" s="18" t="str">
        <f aca="true">IF(AND(AND(C435&lt;&gt;"Kazanıldı",C435&lt;&gt;"Kaybedildi",C435&lt;&gt;""),F435&lt;&gt;"",F435&lt;=TODAY()),F435+ROW()/1000000,"")</f>
        <v/>
      </c>
    </row>
    <row r="436" customFormat="false" ht="15" hidden="false" customHeight="false" outlineLevel="0" collapsed="false">
      <c r="A436" s="12"/>
      <c r="B436" s="13"/>
      <c r="C436" s="13"/>
      <c r="D436" s="14"/>
      <c r="E436" s="15"/>
      <c r="F436" s="15"/>
      <c r="G436" s="12"/>
      <c r="H436" s="16" t="str">
        <f aca="false">IF(OR(A436="",C436=""),"",IFERROR(INDEX(Aşamalar!$B$5:$B$12,MATCH(C436,Aşamalar!$A$5:$A$12,0)),0))</f>
        <v/>
      </c>
      <c r="I436" s="17" t="str">
        <f aca="false">IF(H436="","",D436*H436)</f>
        <v/>
      </c>
      <c r="J436" s="18" t="str">
        <f aca="true">IF(AND(AND(C436&lt;&gt;"Kazanıldı",C436&lt;&gt;"Kaybedildi",C436&lt;&gt;""),F436&lt;&gt;""),IF(F436&lt;TODAY(),"Gecikti",IF(F436=TODAY(),"Bugün","")),"")</f>
        <v/>
      </c>
      <c r="K436" s="18" t="str">
        <f aca="true">IF(AND(AND(C436&lt;&gt;"Kazanıldı",C436&lt;&gt;"Kaybedildi",C436&lt;&gt;""),F436&lt;&gt;"",F436&lt;=TODAY()),F436+ROW()/1000000,"")</f>
        <v/>
      </c>
    </row>
    <row r="437" customFormat="false" ht="15" hidden="false" customHeight="false" outlineLevel="0" collapsed="false">
      <c r="A437" s="12"/>
      <c r="B437" s="13"/>
      <c r="C437" s="13"/>
      <c r="D437" s="14"/>
      <c r="E437" s="15"/>
      <c r="F437" s="15"/>
      <c r="G437" s="12"/>
      <c r="H437" s="16" t="str">
        <f aca="false">IF(OR(A437="",C437=""),"",IFERROR(INDEX(Aşamalar!$B$5:$B$12,MATCH(C437,Aşamalar!$A$5:$A$12,0)),0))</f>
        <v/>
      </c>
      <c r="I437" s="17" t="str">
        <f aca="false">IF(H437="","",D437*H437)</f>
        <v/>
      </c>
      <c r="J437" s="18" t="str">
        <f aca="true">IF(AND(AND(C437&lt;&gt;"Kazanıldı",C437&lt;&gt;"Kaybedildi",C437&lt;&gt;""),F437&lt;&gt;""),IF(F437&lt;TODAY(),"Gecikti",IF(F437=TODAY(),"Bugün","")),"")</f>
        <v/>
      </c>
      <c r="K437" s="18" t="str">
        <f aca="true">IF(AND(AND(C437&lt;&gt;"Kazanıldı",C437&lt;&gt;"Kaybedildi",C437&lt;&gt;""),F437&lt;&gt;"",F437&lt;=TODAY()),F437+ROW()/1000000,"")</f>
        <v/>
      </c>
    </row>
    <row r="438" customFormat="false" ht="15" hidden="false" customHeight="false" outlineLevel="0" collapsed="false">
      <c r="A438" s="12"/>
      <c r="B438" s="13"/>
      <c r="C438" s="13"/>
      <c r="D438" s="14"/>
      <c r="E438" s="15"/>
      <c r="F438" s="15"/>
      <c r="G438" s="12"/>
      <c r="H438" s="16" t="str">
        <f aca="false">IF(OR(A438="",C438=""),"",IFERROR(INDEX(Aşamalar!$B$5:$B$12,MATCH(C438,Aşamalar!$A$5:$A$12,0)),0))</f>
        <v/>
      </c>
      <c r="I438" s="17" t="str">
        <f aca="false">IF(H438="","",D438*H438)</f>
        <v/>
      </c>
      <c r="J438" s="18" t="str">
        <f aca="true">IF(AND(AND(C438&lt;&gt;"Kazanıldı",C438&lt;&gt;"Kaybedildi",C438&lt;&gt;""),F438&lt;&gt;""),IF(F438&lt;TODAY(),"Gecikti",IF(F438=TODAY(),"Bugün","")),"")</f>
        <v/>
      </c>
      <c r="K438" s="18" t="str">
        <f aca="true">IF(AND(AND(C438&lt;&gt;"Kazanıldı",C438&lt;&gt;"Kaybedildi",C438&lt;&gt;""),F438&lt;&gt;"",F438&lt;=TODAY()),F438+ROW()/1000000,"")</f>
        <v/>
      </c>
    </row>
    <row r="439" customFormat="false" ht="15" hidden="false" customHeight="false" outlineLevel="0" collapsed="false">
      <c r="A439" s="12"/>
      <c r="B439" s="13"/>
      <c r="C439" s="13"/>
      <c r="D439" s="14"/>
      <c r="E439" s="15"/>
      <c r="F439" s="15"/>
      <c r="G439" s="12"/>
      <c r="H439" s="16" t="str">
        <f aca="false">IF(OR(A439="",C439=""),"",IFERROR(INDEX(Aşamalar!$B$5:$B$12,MATCH(C439,Aşamalar!$A$5:$A$12,0)),0))</f>
        <v/>
      </c>
      <c r="I439" s="17" t="str">
        <f aca="false">IF(H439="","",D439*H439)</f>
        <v/>
      </c>
      <c r="J439" s="18" t="str">
        <f aca="true">IF(AND(AND(C439&lt;&gt;"Kazanıldı",C439&lt;&gt;"Kaybedildi",C439&lt;&gt;""),F439&lt;&gt;""),IF(F439&lt;TODAY(),"Gecikti",IF(F439=TODAY(),"Bugün","")),"")</f>
        <v/>
      </c>
      <c r="K439" s="18" t="str">
        <f aca="true">IF(AND(AND(C439&lt;&gt;"Kazanıldı",C439&lt;&gt;"Kaybedildi",C439&lt;&gt;""),F439&lt;&gt;"",F439&lt;=TODAY()),F439+ROW()/1000000,"")</f>
        <v/>
      </c>
    </row>
    <row r="440" customFormat="false" ht="15" hidden="false" customHeight="false" outlineLevel="0" collapsed="false">
      <c r="A440" s="12"/>
      <c r="B440" s="13"/>
      <c r="C440" s="13"/>
      <c r="D440" s="14"/>
      <c r="E440" s="15"/>
      <c r="F440" s="15"/>
      <c r="G440" s="12"/>
      <c r="H440" s="16" t="str">
        <f aca="false">IF(OR(A440="",C440=""),"",IFERROR(INDEX(Aşamalar!$B$5:$B$12,MATCH(C440,Aşamalar!$A$5:$A$12,0)),0))</f>
        <v/>
      </c>
      <c r="I440" s="17" t="str">
        <f aca="false">IF(H440="","",D440*H440)</f>
        <v/>
      </c>
      <c r="J440" s="18" t="str">
        <f aca="true">IF(AND(AND(C440&lt;&gt;"Kazanıldı",C440&lt;&gt;"Kaybedildi",C440&lt;&gt;""),F440&lt;&gt;""),IF(F440&lt;TODAY(),"Gecikti",IF(F440=TODAY(),"Bugün","")),"")</f>
        <v/>
      </c>
      <c r="K440" s="18" t="str">
        <f aca="true">IF(AND(AND(C440&lt;&gt;"Kazanıldı",C440&lt;&gt;"Kaybedildi",C440&lt;&gt;""),F440&lt;&gt;"",F440&lt;=TODAY()),F440+ROW()/1000000,"")</f>
        <v/>
      </c>
    </row>
    <row r="441" customFormat="false" ht="15" hidden="false" customHeight="false" outlineLevel="0" collapsed="false">
      <c r="A441" s="12"/>
      <c r="B441" s="13"/>
      <c r="C441" s="13"/>
      <c r="D441" s="14"/>
      <c r="E441" s="15"/>
      <c r="F441" s="15"/>
      <c r="G441" s="12"/>
      <c r="H441" s="16" t="str">
        <f aca="false">IF(OR(A441="",C441=""),"",IFERROR(INDEX(Aşamalar!$B$5:$B$12,MATCH(C441,Aşamalar!$A$5:$A$12,0)),0))</f>
        <v/>
      </c>
      <c r="I441" s="17" t="str">
        <f aca="false">IF(H441="","",D441*H441)</f>
        <v/>
      </c>
      <c r="J441" s="18" t="str">
        <f aca="true">IF(AND(AND(C441&lt;&gt;"Kazanıldı",C441&lt;&gt;"Kaybedildi",C441&lt;&gt;""),F441&lt;&gt;""),IF(F441&lt;TODAY(),"Gecikti",IF(F441=TODAY(),"Bugün","")),"")</f>
        <v/>
      </c>
      <c r="K441" s="18" t="str">
        <f aca="true">IF(AND(AND(C441&lt;&gt;"Kazanıldı",C441&lt;&gt;"Kaybedildi",C441&lt;&gt;""),F441&lt;&gt;"",F441&lt;=TODAY()),F441+ROW()/1000000,"")</f>
        <v/>
      </c>
    </row>
    <row r="442" customFormat="false" ht="15" hidden="false" customHeight="false" outlineLevel="0" collapsed="false">
      <c r="A442" s="12"/>
      <c r="B442" s="13"/>
      <c r="C442" s="13"/>
      <c r="D442" s="14"/>
      <c r="E442" s="15"/>
      <c r="F442" s="15"/>
      <c r="G442" s="12"/>
      <c r="H442" s="16" t="str">
        <f aca="false">IF(OR(A442="",C442=""),"",IFERROR(INDEX(Aşamalar!$B$5:$B$12,MATCH(C442,Aşamalar!$A$5:$A$12,0)),0))</f>
        <v/>
      </c>
      <c r="I442" s="17" t="str">
        <f aca="false">IF(H442="","",D442*H442)</f>
        <v/>
      </c>
      <c r="J442" s="18" t="str">
        <f aca="true">IF(AND(AND(C442&lt;&gt;"Kazanıldı",C442&lt;&gt;"Kaybedildi",C442&lt;&gt;""),F442&lt;&gt;""),IF(F442&lt;TODAY(),"Gecikti",IF(F442=TODAY(),"Bugün","")),"")</f>
        <v/>
      </c>
      <c r="K442" s="18" t="str">
        <f aca="true">IF(AND(AND(C442&lt;&gt;"Kazanıldı",C442&lt;&gt;"Kaybedildi",C442&lt;&gt;""),F442&lt;&gt;"",F442&lt;=TODAY()),F442+ROW()/1000000,"")</f>
        <v/>
      </c>
    </row>
    <row r="443" customFormat="false" ht="15" hidden="false" customHeight="false" outlineLevel="0" collapsed="false">
      <c r="A443" s="12"/>
      <c r="B443" s="13"/>
      <c r="C443" s="13"/>
      <c r="D443" s="14"/>
      <c r="E443" s="15"/>
      <c r="F443" s="15"/>
      <c r="G443" s="12"/>
      <c r="H443" s="16" t="str">
        <f aca="false">IF(OR(A443="",C443=""),"",IFERROR(INDEX(Aşamalar!$B$5:$B$12,MATCH(C443,Aşamalar!$A$5:$A$12,0)),0))</f>
        <v/>
      </c>
      <c r="I443" s="17" t="str">
        <f aca="false">IF(H443="","",D443*H443)</f>
        <v/>
      </c>
      <c r="J443" s="18" t="str">
        <f aca="true">IF(AND(AND(C443&lt;&gt;"Kazanıldı",C443&lt;&gt;"Kaybedildi",C443&lt;&gt;""),F443&lt;&gt;""),IF(F443&lt;TODAY(),"Gecikti",IF(F443=TODAY(),"Bugün","")),"")</f>
        <v/>
      </c>
      <c r="K443" s="18" t="str">
        <f aca="true">IF(AND(AND(C443&lt;&gt;"Kazanıldı",C443&lt;&gt;"Kaybedildi",C443&lt;&gt;""),F443&lt;&gt;"",F443&lt;=TODAY()),F443+ROW()/1000000,"")</f>
        <v/>
      </c>
    </row>
    <row r="444" customFormat="false" ht="15" hidden="false" customHeight="false" outlineLevel="0" collapsed="false">
      <c r="A444" s="12"/>
      <c r="B444" s="13"/>
      <c r="C444" s="13"/>
      <c r="D444" s="14"/>
      <c r="E444" s="15"/>
      <c r="F444" s="15"/>
      <c r="G444" s="12"/>
      <c r="H444" s="16" t="str">
        <f aca="false">IF(OR(A444="",C444=""),"",IFERROR(INDEX(Aşamalar!$B$5:$B$12,MATCH(C444,Aşamalar!$A$5:$A$12,0)),0))</f>
        <v/>
      </c>
      <c r="I444" s="17" t="str">
        <f aca="false">IF(H444="","",D444*H444)</f>
        <v/>
      </c>
      <c r="J444" s="18" t="str">
        <f aca="true">IF(AND(AND(C444&lt;&gt;"Kazanıldı",C444&lt;&gt;"Kaybedildi",C444&lt;&gt;""),F444&lt;&gt;""),IF(F444&lt;TODAY(),"Gecikti",IF(F444=TODAY(),"Bugün","")),"")</f>
        <v/>
      </c>
      <c r="K444" s="18" t="str">
        <f aca="true">IF(AND(AND(C444&lt;&gt;"Kazanıldı",C444&lt;&gt;"Kaybedildi",C444&lt;&gt;""),F444&lt;&gt;"",F444&lt;=TODAY()),F444+ROW()/1000000,"")</f>
        <v/>
      </c>
    </row>
    <row r="445" customFormat="false" ht="15" hidden="false" customHeight="false" outlineLevel="0" collapsed="false">
      <c r="A445" s="12"/>
      <c r="B445" s="13"/>
      <c r="C445" s="13"/>
      <c r="D445" s="14"/>
      <c r="E445" s="15"/>
      <c r="F445" s="15"/>
      <c r="G445" s="12"/>
      <c r="H445" s="16" t="str">
        <f aca="false">IF(OR(A445="",C445=""),"",IFERROR(INDEX(Aşamalar!$B$5:$B$12,MATCH(C445,Aşamalar!$A$5:$A$12,0)),0))</f>
        <v/>
      </c>
      <c r="I445" s="17" t="str">
        <f aca="false">IF(H445="","",D445*H445)</f>
        <v/>
      </c>
      <c r="J445" s="18" t="str">
        <f aca="true">IF(AND(AND(C445&lt;&gt;"Kazanıldı",C445&lt;&gt;"Kaybedildi",C445&lt;&gt;""),F445&lt;&gt;""),IF(F445&lt;TODAY(),"Gecikti",IF(F445=TODAY(),"Bugün","")),"")</f>
        <v/>
      </c>
      <c r="K445" s="18" t="str">
        <f aca="true">IF(AND(AND(C445&lt;&gt;"Kazanıldı",C445&lt;&gt;"Kaybedildi",C445&lt;&gt;""),F445&lt;&gt;"",F445&lt;=TODAY()),F445+ROW()/1000000,"")</f>
        <v/>
      </c>
    </row>
    <row r="446" customFormat="false" ht="15" hidden="false" customHeight="false" outlineLevel="0" collapsed="false">
      <c r="A446" s="12"/>
      <c r="B446" s="13"/>
      <c r="C446" s="13"/>
      <c r="D446" s="14"/>
      <c r="E446" s="15"/>
      <c r="F446" s="15"/>
      <c r="G446" s="12"/>
      <c r="H446" s="16" t="str">
        <f aca="false">IF(OR(A446="",C446=""),"",IFERROR(INDEX(Aşamalar!$B$5:$B$12,MATCH(C446,Aşamalar!$A$5:$A$12,0)),0))</f>
        <v/>
      </c>
      <c r="I446" s="17" t="str">
        <f aca="false">IF(H446="","",D446*H446)</f>
        <v/>
      </c>
      <c r="J446" s="18" t="str">
        <f aca="true">IF(AND(AND(C446&lt;&gt;"Kazanıldı",C446&lt;&gt;"Kaybedildi",C446&lt;&gt;""),F446&lt;&gt;""),IF(F446&lt;TODAY(),"Gecikti",IF(F446=TODAY(),"Bugün","")),"")</f>
        <v/>
      </c>
      <c r="K446" s="18" t="str">
        <f aca="true">IF(AND(AND(C446&lt;&gt;"Kazanıldı",C446&lt;&gt;"Kaybedildi",C446&lt;&gt;""),F446&lt;&gt;"",F446&lt;=TODAY()),F446+ROW()/1000000,"")</f>
        <v/>
      </c>
    </row>
    <row r="447" customFormat="false" ht="15" hidden="false" customHeight="false" outlineLevel="0" collapsed="false">
      <c r="A447" s="12"/>
      <c r="B447" s="13"/>
      <c r="C447" s="13"/>
      <c r="D447" s="14"/>
      <c r="E447" s="15"/>
      <c r="F447" s="15"/>
      <c r="G447" s="12"/>
      <c r="H447" s="16" t="str">
        <f aca="false">IF(OR(A447="",C447=""),"",IFERROR(INDEX(Aşamalar!$B$5:$B$12,MATCH(C447,Aşamalar!$A$5:$A$12,0)),0))</f>
        <v/>
      </c>
      <c r="I447" s="17" t="str">
        <f aca="false">IF(H447="","",D447*H447)</f>
        <v/>
      </c>
      <c r="J447" s="18" t="str">
        <f aca="true">IF(AND(AND(C447&lt;&gt;"Kazanıldı",C447&lt;&gt;"Kaybedildi",C447&lt;&gt;""),F447&lt;&gt;""),IF(F447&lt;TODAY(),"Gecikti",IF(F447=TODAY(),"Bugün","")),"")</f>
        <v/>
      </c>
      <c r="K447" s="18" t="str">
        <f aca="true">IF(AND(AND(C447&lt;&gt;"Kazanıldı",C447&lt;&gt;"Kaybedildi",C447&lt;&gt;""),F447&lt;&gt;"",F447&lt;=TODAY()),F447+ROW()/1000000,"")</f>
        <v/>
      </c>
    </row>
    <row r="448" customFormat="false" ht="15" hidden="false" customHeight="false" outlineLevel="0" collapsed="false">
      <c r="A448" s="12"/>
      <c r="B448" s="13"/>
      <c r="C448" s="13"/>
      <c r="D448" s="14"/>
      <c r="E448" s="15"/>
      <c r="F448" s="15"/>
      <c r="G448" s="12"/>
      <c r="H448" s="16" t="str">
        <f aca="false">IF(OR(A448="",C448=""),"",IFERROR(INDEX(Aşamalar!$B$5:$B$12,MATCH(C448,Aşamalar!$A$5:$A$12,0)),0))</f>
        <v/>
      </c>
      <c r="I448" s="17" t="str">
        <f aca="false">IF(H448="","",D448*H448)</f>
        <v/>
      </c>
      <c r="J448" s="18" t="str">
        <f aca="true">IF(AND(AND(C448&lt;&gt;"Kazanıldı",C448&lt;&gt;"Kaybedildi",C448&lt;&gt;""),F448&lt;&gt;""),IF(F448&lt;TODAY(),"Gecikti",IF(F448=TODAY(),"Bugün","")),"")</f>
        <v/>
      </c>
      <c r="K448" s="18" t="str">
        <f aca="true">IF(AND(AND(C448&lt;&gt;"Kazanıldı",C448&lt;&gt;"Kaybedildi",C448&lt;&gt;""),F448&lt;&gt;"",F448&lt;=TODAY()),F448+ROW()/1000000,"")</f>
        <v/>
      </c>
    </row>
    <row r="449" customFormat="false" ht="15" hidden="false" customHeight="false" outlineLevel="0" collapsed="false">
      <c r="A449" s="12"/>
      <c r="B449" s="13"/>
      <c r="C449" s="13"/>
      <c r="D449" s="14"/>
      <c r="E449" s="15"/>
      <c r="F449" s="15"/>
      <c r="G449" s="12"/>
      <c r="H449" s="16" t="str">
        <f aca="false">IF(OR(A449="",C449=""),"",IFERROR(INDEX(Aşamalar!$B$5:$B$12,MATCH(C449,Aşamalar!$A$5:$A$12,0)),0))</f>
        <v/>
      </c>
      <c r="I449" s="17" t="str">
        <f aca="false">IF(H449="","",D449*H449)</f>
        <v/>
      </c>
      <c r="J449" s="18" t="str">
        <f aca="true">IF(AND(AND(C449&lt;&gt;"Kazanıldı",C449&lt;&gt;"Kaybedildi",C449&lt;&gt;""),F449&lt;&gt;""),IF(F449&lt;TODAY(),"Gecikti",IF(F449=TODAY(),"Bugün","")),"")</f>
        <v/>
      </c>
      <c r="K449" s="18" t="str">
        <f aca="true">IF(AND(AND(C449&lt;&gt;"Kazanıldı",C449&lt;&gt;"Kaybedildi",C449&lt;&gt;""),F449&lt;&gt;"",F449&lt;=TODAY()),F449+ROW()/1000000,"")</f>
        <v/>
      </c>
    </row>
    <row r="450" customFormat="false" ht="15" hidden="false" customHeight="false" outlineLevel="0" collapsed="false">
      <c r="A450" s="12"/>
      <c r="B450" s="13"/>
      <c r="C450" s="13"/>
      <c r="D450" s="14"/>
      <c r="E450" s="15"/>
      <c r="F450" s="15"/>
      <c r="G450" s="12"/>
      <c r="H450" s="16" t="str">
        <f aca="false">IF(OR(A450="",C450=""),"",IFERROR(INDEX(Aşamalar!$B$5:$B$12,MATCH(C450,Aşamalar!$A$5:$A$12,0)),0))</f>
        <v/>
      </c>
      <c r="I450" s="17" t="str">
        <f aca="false">IF(H450="","",D450*H450)</f>
        <v/>
      </c>
      <c r="J450" s="18" t="str">
        <f aca="true">IF(AND(AND(C450&lt;&gt;"Kazanıldı",C450&lt;&gt;"Kaybedildi",C450&lt;&gt;""),F450&lt;&gt;""),IF(F450&lt;TODAY(),"Gecikti",IF(F450=TODAY(),"Bugün","")),"")</f>
        <v/>
      </c>
      <c r="K450" s="18" t="str">
        <f aca="true">IF(AND(AND(C450&lt;&gt;"Kazanıldı",C450&lt;&gt;"Kaybedildi",C450&lt;&gt;""),F450&lt;&gt;"",F450&lt;=TODAY()),F450+ROW()/1000000,"")</f>
        <v/>
      </c>
    </row>
    <row r="451" customFormat="false" ht="15" hidden="false" customHeight="false" outlineLevel="0" collapsed="false">
      <c r="A451" s="12"/>
      <c r="B451" s="13"/>
      <c r="C451" s="13"/>
      <c r="D451" s="14"/>
      <c r="E451" s="15"/>
      <c r="F451" s="15"/>
      <c r="G451" s="12"/>
      <c r="H451" s="16" t="str">
        <f aca="false">IF(OR(A451="",C451=""),"",IFERROR(INDEX(Aşamalar!$B$5:$B$12,MATCH(C451,Aşamalar!$A$5:$A$12,0)),0))</f>
        <v/>
      </c>
      <c r="I451" s="17" t="str">
        <f aca="false">IF(H451="","",D451*H451)</f>
        <v/>
      </c>
      <c r="J451" s="18" t="str">
        <f aca="true">IF(AND(AND(C451&lt;&gt;"Kazanıldı",C451&lt;&gt;"Kaybedildi",C451&lt;&gt;""),F451&lt;&gt;""),IF(F451&lt;TODAY(),"Gecikti",IF(F451=TODAY(),"Bugün","")),"")</f>
        <v/>
      </c>
      <c r="K451" s="18" t="str">
        <f aca="true">IF(AND(AND(C451&lt;&gt;"Kazanıldı",C451&lt;&gt;"Kaybedildi",C451&lt;&gt;""),F451&lt;&gt;"",F451&lt;=TODAY()),F451+ROW()/1000000,"")</f>
        <v/>
      </c>
    </row>
    <row r="452" customFormat="false" ht="15" hidden="false" customHeight="false" outlineLevel="0" collapsed="false">
      <c r="A452" s="12"/>
      <c r="B452" s="13"/>
      <c r="C452" s="13"/>
      <c r="D452" s="14"/>
      <c r="E452" s="15"/>
      <c r="F452" s="15"/>
      <c r="G452" s="12"/>
      <c r="H452" s="16" t="str">
        <f aca="false">IF(OR(A452="",C452=""),"",IFERROR(INDEX(Aşamalar!$B$5:$B$12,MATCH(C452,Aşamalar!$A$5:$A$12,0)),0))</f>
        <v/>
      </c>
      <c r="I452" s="17" t="str">
        <f aca="false">IF(H452="","",D452*H452)</f>
        <v/>
      </c>
      <c r="J452" s="18" t="str">
        <f aca="true">IF(AND(AND(C452&lt;&gt;"Kazanıldı",C452&lt;&gt;"Kaybedildi",C452&lt;&gt;""),F452&lt;&gt;""),IF(F452&lt;TODAY(),"Gecikti",IF(F452=TODAY(),"Bugün","")),"")</f>
        <v/>
      </c>
      <c r="K452" s="18" t="str">
        <f aca="true">IF(AND(AND(C452&lt;&gt;"Kazanıldı",C452&lt;&gt;"Kaybedildi",C452&lt;&gt;""),F452&lt;&gt;"",F452&lt;=TODAY()),F452+ROW()/1000000,"")</f>
        <v/>
      </c>
    </row>
    <row r="453" customFormat="false" ht="15" hidden="false" customHeight="false" outlineLevel="0" collapsed="false">
      <c r="A453" s="12"/>
      <c r="B453" s="13"/>
      <c r="C453" s="13"/>
      <c r="D453" s="14"/>
      <c r="E453" s="15"/>
      <c r="F453" s="15"/>
      <c r="G453" s="12"/>
      <c r="H453" s="16" t="str">
        <f aca="false">IF(OR(A453="",C453=""),"",IFERROR(INDEX(Aşamalar!$B$5:$B$12,MATCH(C453,Aşamalar!$A$5:$A$12,0)),0))</f>
        <v/>
      </c>
      <c r="I453" s="17" t="str">
        <f aca="false">IF(H453="","",D453*H453)</f>
        <v/>
      </c>
      <c r="J453" s="18" t="str">
        <f aca="true">IF(AND(AND(C453&lt;&gt;"Kazanıldı",C453&lt;&gt;"Kaybedildi",C453&lt;&gt;""),F453&lt;&gt;""),IF(F453&lt;TODAY(),"Gecikti",IF(F453=TODAY(),"Bugün","")),"")</f>
        <v/>
      </c>
      <c r="K453" s="18" t="str">
        <f aca="true">IF(AND(AND(C453&lt;&gt;"Kazanıldı",C453&lt;&gt;"Kaybedildi",C453&lt;&gt;""),F453&lt;&gt;"",F453&lt;=TODAY()),F453+ROW()/1000000,"")</f>
        <v/>
      </c>
    </row>
    <row r="454" customFormat="false" ht="15" hidden="false" customHeight="false" outlineLevel="0" collapsed="false">
      <c r="A454" s="12"/>
      <c r="B454" s="13"/>
      <c r="C454" s="13"/>
      <c r="D454" s="14"/>
      <c r="E454" s="15"/>
      <c r="F454" s="15"/>
      <c r="G454" s="12"/>
      <c r="H454" s="16" t="str">
        <f aca="false">IF(OR(A454="",C454=""),"",IFERROR(INDEX(Aşamalar!$B$5:$B$12,MATCH(C454,Aşamalar!$A$5:$A$12,0)),0))</f>
        <v/>
      </c>
      <c r="I454" s="17" t="str">
        <f aca="false">IF(H454="","",D454*H454)</f>
        <v/>
      </c>
      <c r="J454" s="18" t="str">
        <f aca="true">IF(AND(AND(C454&lt;&gt;"Kazanıldı",C454&lt;&gt;"Kaybedildi",C454&lt;&gt;""),F454&lt;&gt;""),IF(F454&lt;TODAY(),"Gecikti",IF(F454=TODAY(),"Bugün","")),"")</f>
        <v/>
      </c>
      <c r="K454" s="18" t="str">
        <f aca="true">IF(AND(AND(C454&lt;&gt;"Kazanıldı",C454&lt;&gt;"Kaybedildi",C454&lt;&gt;""),F454&lt;&gt;"",F454&lt;=TODAY()),F454+ROW()/1000000,"")</f>
        <v/>
      </c>
    </row>
    <row r="455" customFormat="false" ht="15" hidden="false" customHeight="false" outlineLevel="0" collapsed="false">
      <c r="A455" s="12"/>
      <c r="B455" s="13"/>
      <c r="C455" s="13"/>
      <c r="D455" s="14"/>
      <c r="E455" s="15"/>
      <c r="F455" s="15"/>
      <c r="G455" s="12"/>
      <c r="H455" s="16" t="str">
        <f aca="false">IF(OR(A455="",C455=""),"",IFERROR(INDEX(Aşamalar!$B$5:$B$12,MATCH(C455,Aşamalar!$A$5:$A$12,0)),0))</f>
        <v/>
      </c>
      <c r="I455" s="17" t="str">
        <f aca="false">IF(H455="","",D455*H455)</f>
        <v/>
      </c>
      <c r="J455" s="18" t="str">
        <f aca="true">IF(AND(AND(C455&lt;&gt;"Kazanıldı",C455&lt;&gt;"Kaybedildi",C455&lt;&gt;""),F455&lt;&gt;""),IF(F455&lt;TODAY(),"Gecikti",IF(F455=TODAY(),"Bugün","")),"")</f>
        <v/>
      </c>
      <c r="K455" s="18" t="str">
        <f aca="true">IF(AND(AND(C455&lt;&gt;"Kazanıldı",C455&lt;&gt;"Kaybedildi",C455&lt;&gt;""),F455&lt;&gt;"",F455&lt;=TODAY()),F455+ROW()/1000000,"")</f>
        <v/>
      </c>
    </row>
    <row r="456" customFormat="false" ht="15" hidden="false" customHeight="false" outlineLevel="0" collapsed="false">
      <c r="A456" s="12"/>
      <c r="B456" s="13"/>
      <c r="C456" s="13"/>
      <c r="D456" s="14"/>
      <c r="E456" s="15"/>
      <c r="F456" s="15"/>
      <c r="G456" s="12"/>
      <c r="H456" s="16" t="str">
        <f aca="false">IF(OR(A456="",C456=""),"",IFERROR(INDEX(Aşamalar!$B$5:$B$12,MATCH(C456,Aşamalar!$A$5:$A$12,0)),0))</f>
        <v/>
      </c>
      <c r="I456" s="17" t="str">
        <f aca="false">IF(H456="","",D456*H456)</f>
        <v/>
      </c>
      <c r="J456" s="18" t="str">
        <f aca="true">IF(AND(AND(C456&lt;&gt;"Kazanıldı",C456&lt;&gt;"Kaybedildi",C456&lt;&gt;""),F456&lt;&gt;""),IF(F456&lt;TODAY(),"Gecikti",IF(F456=TODAY(),"Bugün","")),"")</f>
        <v/>
      </c>
      <c r="K456" s="18" t="str">
        <f aca="true">IF(AND(AND(C456&lt;&gt;"Kazanıldı",C456&lt;&gt;"Kaybedildi",C456&lt;&gt;""),F456&lt;&gt;"",F456&lt;=TODAY()),F456+ROW()/1000000,"")</f>
        <v/>
      </c>
    </row>
    <row r="457" customFormat="false" ht="15" hidden="false" customHeight="false" outlineLevel="0" collapsed="false">
      <c r="A457" s="12"/>
      <c r="B457" s="13"/>
      <c r="C457" s="13"/>
      <c r="D457" s="14"/>
      <c r="E457" s="15"/>
      <c r="F457" s="15"/>
      <c r="G457" s="12"/>
      <c r="H457" s="16" t="str">
        <f aca="false">IF(OR(A457="",C457=""),"",IFERROR(INDEX(Aşamalar!$B$5:$B$12,MATCH(C457,Aşamalar!$A$5:$A$12,0)),0))</f>
        <v/>
      </c>
      <c r="I457" s="17" t="str">
        <f aca="false">IF(H457="","",D457*H457)</f>
        <v/>
      </c>
      <c r="J457" s="18" t="str">
        <f aca="true">IF(AND(AND(C457&lt;&gt;"Kazanıldı",C457&lt;&gt;"Kaybedildi",C457&lt;&gt;""),F457&lt;&gt;""),IF(F457&lt;TODAY(),"Gecikti",IF(F457=TODAY(),"Bugün","")),"")</f>
        <v/>
      </c>
      <c r="K457" s="18" t="str">
        <f aca="true">IF(AND(AND(C457&lt;&gt;"Kazanıldı",C457&lt;&gt;"Kaybedildi",C457&lt;&gt;""),F457&lt;&gt;"",F457&lt;=TODAY()),F457+ROW()/1000000,"")</f>
        <v/>
      </c>
    </row>
    <row r="458" customFormat="false" ht="15" hidden="false" customHeight="false" outlineLevel="0" collapsed="false">
      <c r="A458" s="12"/>
      <c r="B458" s="13"/>
      <c r="C458" s="13"/>
      <c r="D458" s="14"/>
      <c r="E458" s="15"/>
      <c r="F458" s="15"/>
      <c r="G458" s="12"/>
      <c r="H458" s="16" t="str">
        <f aca="false">IF(OR(A458="",C458=""),"",IFERROR(INDEX(Aşamalar!$B$5:$B$12,MATCH(C458,Aşamalar!$A$5:$A$12,0)),0))</f>
        <v/>
      </c>
      <c r="I458" s="17" t="str">
        <f aca="false">IF(H458="","",D458*H458)</f>
        <v/>
      </c>
      <c r="J458" s="18" t="str">
        <f aca="true">IF(AND(AND(C458&lt;&gt;"Kazanıldı",C458&lt;&gt;"Kaybedildi",C458&lt;&gt;""),F458&lt;&gt;""),IF(F458&lt;TODAY(),"Gecikti",IF(F458=TODAY(),"Bugün","")),"")</f>
        <v/>
      </c>
      <c r="K458" s="18" t="str">
        <f aca="true">IF(AND(AND(C458&lt;&gt;"Kazanıldı",C458&lt;&gt;"Kaybedildi",C458&lt;&gt;""),F458&lt;&gt;"",F458&lt;=TODAY()),F458+ROW()/1000000,"")</f>
        <v/>
      </c>
    </row>
    <row r="459" customFormat="false" ht="15" hidden="false" customHeight="false" outlineLevel="0" collapsed="false">
      <c r="A459" s="12"/>
      <c r="B459" s="13"/>
      <c r="C459" s="13"/>
      <c r="D459" s="14"/>
      <c r="E459" s="15"/>
      <c r="F459" s="15"/>
      <c r="G459" s="12"/>
      <c r="H459" s="16" t="str">
        <f aca="false">IF(OR(A459="",C459=""),"",IFERROR(INDEX(Aşamalar!$B$5:$B$12,MATCH(C459,Aşamalar!$A$5:$A$12,0)),0))</f>
        <v/>
      </c>
      <c r="I459" s="17" t="str">
        <f aca="false">IF(H459="","",D459*H459)</f>
        <v/>
      </c>
      <c r="J459" s="18" t="str">
        <f aca="true">IF(AND(AND(C459&lt;&gt;"Kazanıldı",C459&lt;&gt;"Kaybedildi",C459&lt;&gt;""),F459&lt;&gt;""),IF(F459&lt;TODAY(),"Gecikti",IF(F459=TODAY(),"Bugün","")),"")</f>
        <v/>
      </c>
      <c r="K459" s="18" t="str">
        <f aca="true">IF(AND(AND(C459&lt;&gt;"Kazanıldı",C459&lt;&gt;"Kaybedildi",C459&lt;&gt;""),F459&lt;&gt;"",F459&lt;=TODAY()),F459+ROW()/1000000,"")</f>
        <v/>
      </c>
    </row>
    <row r="460" customFormat="false" ht="15" hidden="false" customHeight="false" outlineLevel="0" collapsed="false">
      <c r="A460" s="12"/>
      <c r="B460" s="13"/>
      <c r="C460" s="13"/>
      <c r="D460" s="14"/>
      <c r="E460" s="15"/>
      <c r="F460" s="15"/>
      <c r="G460" s="12"/>
      <c r="H460" s="16" t="str">
        <f aca="false">IF(OR(A460="",C460=""),"",IFERROR(INDEX(Aşamalar!$B$5:$B$12,MATCH(C460,Aşamalar!$A$5:$A$12,0)),0))</f>
        <v/>
      </c>
      <c r="I460" s="17" t="str">
        <f aca="false">IF(H460="","",D460*H460)</f>
        <v/>
      </c>
      <c r="J460" s="18" t="str">
        <f aca="true">IF(AND(AND(C460&lt;&gt;"Kazanıldı",C460&lt;&gt;"Kaybedildi",C460&lt;&gt;""),F460&lt;&gt;""),IF(F460&lt;TODAY(),"Gecikti",IF(F460=TODAY(),"Bugün","")),"")</f>
        <v/>
      </c>
      <c r="K460" s="18" t="str">
        <f aca="true">IF(AND(AND(C460&lt;&gt;"Kazanıldı",C460&lt;&gt;"Kaybedildi",C460&lt;&gt;""),F460&lt;&gt;"",F460&lt;=TODAY()),F460+ROW()/1000000,"")</f>
        <v/>
      </c>
    </row>
    <row r="461" customFormat="false" ht="15" hidden="false" customHeight="false" outlineLevel="0" collapsed="false">
      <c r="A461" s="12"/>
      <c r="B461" s="13"/>
      <c r="C461" s="13"/>
      <c r="D461" s="14"/>
      <c r="E461" s="15"/>
      <c r="F461" s="15"/>
      <c r="G461" s="12"/>
      <c r="H461" s="16" t="str">
        <f aca="false">IF(OR(A461="",C461=""),"",IFERROR(INDEX(Aşamalar!$B$5:$B$12,MATCH(C461,Aşamalar!$A$5:$A$12,0)),0))</f>
        <v/>
      </c>
      <c r="I461" s="17" t="str">
        <f aca="false">IF(H461="","",D461*H461)</f>
        <v/>
      </c>
      <c r="J461" s="18" t="str">
        <f aca="true">IF(AND(AND(C461&lt;&gt;"Kazanıldı",C461&lt;&gt;"Kaybedildi",C461&lt;&gt;""),F461&lt;&gt;""),IF(F461&lt;TODAY(),"Gecikti",IF(F461=TODAY(),"Bugün","")),"")</f>
        <v/>
      </c>
      <c r="K461" s="18" t="str">
        <f aca="true">IF(AND(AND(C461&lt;&gt;"Kazanıldı",C461&lt;&gt;"Kaybedildi",C461&lt;&gt;""),F461&lt;&gt;"",F461&lt;=TODAY()),F461+ROW()/1000000,"")</f>
        <v/>
      </c>
    </row>
    <row r="462" customFormat="false" ht="15" hidden="false" customHeight="false" outlineLevel="0" collapsed="false">
      <c r="A462" s="12"/>
      <c r="B462" s="13"/>
      <c r="C462" s="13"/>
      <c r="D462" s="14"/>
      <c r="E462" s="15"/>
      <c r="F462" s="15"/>
      <c r="G462" s="12"/>
      <c r="H462" s="16" t="str">
        <f aca="false">IF(OR(A462="",C462=""),"",IFERROR(INDEX(Aşamalar!$B$5:$B$12,MATCH(C462,Aşamalar!$A$5:$A$12,0)),0))</f>
        <v/>
      </c>
      <c r="I462" s="17" t="str">
        <f aca="false">IF(H462="","",D462*H462)</f>
        <v/>
      </c>
      <c r="J462" s="18" t="str">
        <f aca="true">IF(AND(AND(C462&lt;&gt;"Kazanıldı",C462&lt;&gt;"Kaybedildi",C462&lt;&gt;""),F462&lt;&gt;""),IF(F462&lt;TODAY(),"Gecikti",IF(F462=TODAY(),"Bugün","")),"")</f>
        <v/>
      </c>
      <c r="K462" s="18" t="str">
        <f aca="true">IF(AND(AND(C462&lt;&gt;"Kazanıldı",C462&lt;&gt;"Kaybedildi",C462&lt;&gt;""),F462&lt;&gt;"",F462&lt;=TODAY()),F462+ROW()/1000000,"")</f>
        <v/>
      </c>
    </row>
    <row r="463" customFormat="false" ht="15" hidden="false" customHeight="false" outlineLevel="0" collapsed="false">
      <c r="A463" s="12"/>
      <c r="B463" s="13"/>
      <c r="C463" s="13"/>
      <c r="D463" s="14"/>
      <c r="E463" s="15"/>
      <c r="F463" s="15"/>
      <c r="G463" s="12"/>
      <c r="H463" s="16" t="str">
        <f aca="false">IF(OR(A463="",C463=""),"",IFERROR(INDEX(Aşamalar!$B$5:$B$12,MATCH(C463,Aşamalar!$A$5:$A$12,0)),0))</f>
        <v/>
      </c>
      <c r="I463" s="17" t="str">
        <f aca="false">IF(H463="","",D463*H463)</f>
        <v/>
      </c>
      <c r="J463" s="18" t="str">
        <f aca="true">IF(AND(AND(C463&lt;&gt;"Kazanıldı",C463&lt;&gt;"Kaybedildi",C463&lt;&gt;""),F463&lt;&gt;""),IF(F463&lt;TODAY(),"Gecikti",IF(F463=TODAY(),"Bugün","")),"")</f>
        <v/>
      </c>
      <c r="K463" s="18" t="str">
        <f aca="true">IF(AND(AND(C463&lt;&gt;"Kazanıldı",C463&lt;&gt;"Kaybedildi",C463&lt;&gt;""),F463&lt;&gt;"",F463&lt;=TODAY()),F463+ROW()/1000000,"")</f>
        <v/>
      </c>
    </row>
    <row r="464" customFormat="false" ht="15" hidden="false" customHeight="false" outlineLevel="0" collapsed="false">
      <c r="A464" s="12"/>
      <c r="B464" s="13"/>
      <c r="C464" s="13"/>
      <c r="D464" s="14"/>
      <c r="E464" s="15"/>
      <c r="F464" s="15"/>
      <c r="G464" s="12"/>
      <c r="H464" s="16" t="str">
        <f aca="false">IF(OR(A464="",C464=""),"",IFERROR(INDEX(Aşamalar!$B$5:$B$12,MATCH(C464,Aşamalar!$A$5:$A$12,0)),0))</f>
        <v/>
      </c>
      <c r="I464" s="17" t="str">
        <f aca="false">IF(H464="","",D464*H464)</f>
        <v/>
      </c>
      <c r="J464" s="18" t="str">
        <f aca="true">IF(AND(AND(C464&lt;&gt;"Kazanıldı",C464&lt;&gt;"Kaybedildi",C464&lt;&gt;""),F464&lt;&gt;""),IF(F464&lt;TODAY(),"Gecikti",IF(F464=TODAY(),"Bugün","")),"")</f>
        <v/>
      </c>
      <c r="K464" s="18" t="str">
        <f aca="true">IF(AND(AND(C464&lt;&gt;"Kazanıldı",C464&lt;&gt;"Kaybedildi",C464&lt;&gt;""),F464&lt;&gt;"",F464&lt;=TODAY()),F464+ROW()/1000000,"")</f>
        <v/>
      </c>
    </row>
    <row r="465" customFormat="false" ht="15" hidden="false" customHeight="false" outlineLevel="0" collapsed="false">
      <c r="A465" s="12"/>
      <c r="B465" s="13"/>
      <c r="C465" s="13"/>
      <c r="D465" s="14"/>
      <c r="E465" s="15"/>
      <c r="F465" s="15"/>
      <c r="G465" s="12"/>
      <c r="H465" s="16" t="str">
        <f aca="false">IF(OR(A465="",C465=""),"",IFERROR(INDEX(Aşamalar!$B$5:$B$12,MATCH(C465,Aşamalar!$A$5:$A$12,0)),0))</f>
        <v/>
      </c>
      <c r="I465" s="17" t="str">
        <f aca="false">IF(H465="","",D465*H465)</f>
        <v/>
      </c>
      <c r="J465" s="18" t="str">
        <f aca="true">IF(AND(AND(C465&lt;&gt;"Kazanıldı",C465&lt;&gt;"Kaybedildi",C465&lt;&gt;""),F465&lt;&gt;""),IF(F465&lt;TODAY(),"Gecikti",IF(F465=TODAY(),"Bugün","")),"")</f>
        <v/>
      </c>
      <c r="K465" s="18" t="str">
        <f aca="true">IF(AND(AND(C465&lt;&gt;"Kazanıldı",C465&lt;&gt;"Kaybedildi",C465&lt;&gt;""),F465&lt;&gt;"",F465&lt;=TODAY()),F465+ROW()/1000000,"")</f>
        <v/>
      </c>
    </row>
    <row r="466" customFormat="false" ht="15" hidden="false" customHeight="false" outlineLevel="0" collapsed="false">
      <c r="A466" s="12"/>
      <c r="B466" s="13"/>
      <c r="C466" s="13"/>
      <c r="D466" s="14"/>
      <c r="E466" s="15"/>
      <c r="F466" s="15"/>
      <c r="G466" s="12"/>
      <c r="H466" s="16" t="str">
        <f aca="false">IF(OR(A466="",C466=""),"",IFERROR(INDEX(Aşamalar!$B$5:$B$12,MATCH(C466,Aşamalar!$A$5:$A$12,0)),0))</f>
        <v/>
      </c>
      <c r="I466" s="17" t="str">
        <f aca="false">IF(H466="","",D466*H466)</f>
        <v/>
      </c>
      <c r="J466" s="18" t="str">
        <f aca="true">IF(AND(AND(C466&lt;&gt;"Kazanıldı",C466&lt;&gt;"Kaybedildi",C466&lt;&gt;""),F466&lt;&gt;""),IF(F466&lt;TODAY(),"Gecikti",IF(F466=TODAY(),"Bugün","")),"")</f>
        <v/>
      </c>
      <c r="K466" s="18" t="str">
        <f aca="true">IF(AND(AND(C466&lt;&gt;"Kazanıldı",C466&lt;&gt;"Kaybedildi",C466&lt;&gt;""),F466&lt;&gt;"",F466&lt;=TODAY()),F466+ROW()/1000000,"")</f>
        <v/>
      </c>
    </row>
    <row r="467" customFormat="false" ht="15" hidden="false" customHeight="false" outlineLevel="0" collapsed="false">
      <c r="A467" s="12"/>
      <c r="B467" s="13"/>
      <c r="C467" s="13"/>
      <c r="D467" s="14"/>
      <c r="E467" s="15"/>
      <c r="F467" s="15"/>
      <c r="G467" s="12"/>
      <c r="H467" s="16" t="str">
        <f aca="false">IF(OR(A467="",C467=""),"",IFERROR(INDEX(Aşamalar!$B$5:$B$12,MATCH(C467,Aşamalar!$A$5:$A$12,0)),0))</f>
        <v/>
      </c>
      <c r="I467" s="17" t="str">
        <f aca="false">IF(H467="","",D467*H467)</f>
        <v/>
      </c>
      <c r="J467" s="18" t="str">
        <f aca="true">IF(AND(AND(C467&lt;&gt;"Kazanıldı",C467&lt;&gt;"Kaybedildi",C467&lt;&gt;""),F467&lt;&gt;""),IF(F467&lt;TODAY(),"Gecikti",IF(F467=TODAY(),"Bugün","")),"")</f>
        <v/>
      </c>
      <c r="K467" s="18" t="str">
        <f aca="true">IF(AND(AND(C467&lt;&gt;"Kazanıldı",C467&lt;&gt;"Kaybedildi",C467&lt;&gt;""),F467&lt;&gt;"",F467&lt;=TODAY()),F467+ROW()/1000000,"")</f>
        <v/>
      </c>
    </row>
    <row r="468" customFormat="false" ht="15" hidden="false" customHeight="false" outlineLevel="0" collapsed="false">
      <c r="A468" s="12"/>
      <c r="B468" s="13"/>
      <c r="C468" s="13"/>
      <c r="D468" s="14"/>
      <c r="E468" s="15"/>
      <c r="F468" s="15"/>
      <c r="G468" s="12"/>
      <c r="H468" s="16" t="str">
        <f aca="false">IF(OR(A468="",C468=""),"",IFERROR(INDEX(Aşamalar!$B$5:$B$12,MATCH(C468,Aşamalar!$A$5:$A$12,0)),0))</f>
        <v/>
      </c>
      <c r="I468" s="17" t="str">
        <f aca="false">IF(H468="","",D468*H468)</f>
        <v/>
      </c>
      <c r="J468" s="18" t="str">
        <f aca="true">IF(AND(AND(C468&lt;&gt;"Kazanıldı",C468&lt;&gt;"Kaybedildi",C468&lt;&gt;""),F468&lt;&gt;""),IF(F468&lt;TODAY(),"Gecikti",IF(F468=TODAY(),"Bugün","")),"")</f>
        <v/>
      </c>
      <c r="K468" s="18" t="str">
        <f aca="true">IF(AND(AND(C468&lt;&gt;"Kazanıldı",C468&lt;&gt;"Kaybedildi",C468&lt;&gt;""),F468&lt;&gt;"",F468&lt;=TODAY()),F468+ROW()/1000000,"")</f>
        <v/>
      </c>
    </row>
    <row r="469" customFormat="false" ht="15" hidden="false" customHeight="false" outlineLevel="0" collapsed="false">
      <c r="A469" s="12"/>
      <c r="B469" s="13"/>
      <c r="C469" s="13"/>
      <c r="D469" s="14"/>
      <c r="E469" s="15"/>
      <c r="F469" s="15"/>
      <c r="G469" s="12"/>
      <c r="H469" s="16" t="str">
        <f aca="false">IF(OR(A469="",C469=""),"",IFERROR(INDEX(Aşamalar!$B$5:$B$12,MATCH(C469,Aşamalar!$A$5:$A$12,0)),0))</f>
        <v/>
      </c>
      <c r="I469" s="17" t="str">
        <f aca="false">IF(H469="","",D469*H469)</f>
        <v/>
      </c>
      <c r="J469" s="18" t="str">
        <f aca="true">IF(AND(AND(C469&lt;&gt;"Kazanıldı",C469&lt;&gt;"Kaybedildi",C469&lt;&gt;""),F469&lt;&gt;""),IF(F469&lt;TODAY(),"Gecikti",IF(F469=TODAY(),"Bugün","")),"")</f>
        <v/>
      </c>
      <c r="K469" s="18" t="str">
        <f aca="true">IF(AND(AND(C469&lt;&gt;"Kazanıldı",C469&lt;&gt;"Kaybedildi",C469&lt;&gt;""),F469&lt;&gt;"",F469&lt;=TODAY()),F469+ROW()/1000000,"")</f>
        <v/>
      </c>
    </row>
    <row r="470" customFormat="false" ht="15" hidden="false" customHeight="false" outlineLevel="0" collapsed="false">
      <c r="A470" s="12"/>
      <c r="B470" s="13"/>
      <c r="C470" s="13"/>
      <c r="D470" s="14"/>
      <c r="E470" s="15"/>
      <c r="F470" s="15"/>
      <c r="G470" s="12"/>
      <c r="H470" s="16" t="str">
        <f aca="false">IF(OR(A470="",C470=""),"",IFERROR(INDEX(Aşamalar!$B$5:$B$12,MATCH(C470,Aşamalar!$A$5:$A$12,0)),0))</f>
        <v/>
      </c>
      <c r="I470" s="17" t="str">
        <f aca="false">IF(H470="","",D470*H470)</f>
        <v/>
      </c>
      <c r="J470" s="18" t="str">
        <f aca="true">IF(AND(AND(C470&lt;&gt;"Kazanıldı",C470&lt;&gt;"Kaybedildi",C470&lt;&gt;""),F470&lt;&gt;""),IF(F470&lt;TODAY(),"Gecikti",IF(F470=TODAY(),"Bugün","")),"")</f>
        <v/>
      </c>
      <c r="K470" s="18" t="str">
        <f aca="true">IF(AND(AND(C470&lt;&gt;"Kazanıldı",C470&lt;&gt;"Kaybedildi",C470&lt;&gt;""),F470&lt;&gt;"",F470&lt;=TODAY()),F470+ROW()/1000000,"")</f>
        <v/>
      </c>
    </row>
    <row r="471" customFormat="false" ht="15" hidden="false" customHeight="false" outlineLevel="0" collapsed="false">
      <c r="A471" s="12"/>
      <c r="B471" s="13"/>
      <c r="C471" s="13"/>
      <c r="D471" s="14"/>
      <c r="E471" s="15"/>
      <c r="F471" s="15"/>
      <c r="G471" s="12"/>
      <c r="H471" s="16" t="str">
        <f aca="false">IF(OR(A471="",C471=""),"",IFERROR(INDEX(Aşamalar!$B$5:$B$12,MATCH(C471,Aşamalar!$A$5:$A$12,0)),0))</f>
        <v/>
      </c>
      <c r="I471" s="17" t="str">
        <f aca="false">IF(H471="","",D471*H471)</f>
        <v/>
      </c>
      <c r="J471" s="18" t="str">
        <f aca="true">IF(AND(AND(C471&lt;&gt;"Kazanıldı",C471&lt;&gt;"Kaybedildi",C471&lt;&gt;""),F471&lt;&gt;""),IF(F471&lt;TODAY(),"Gecikti",IF(F471=TODAY(),"Bugün","")),"")</f>
        <v/>
      </c>
      <c r="K471" s="18" t="str">
        <f aca="true">IF(AND(AND(C471&lt;&gt;"Kazanıldı",C471&lt;&gt;"Kaybedildi",C471&lt;&gt;""),F471&lt;&gt;"",F471&lt;=TODAY()),F471+ROW()/1000000,"")</f>
        <v/>
      </c>
    </row>
    <row r="472" customFormat="false" ht="15" hidden="false" customHeight="false" outlineLevel="0" collapsed="false">
      <c r="A472" s="12"/>
      <c r="B472" s="13"/>
      <c r="C472" s="13"/>
      <c r="D472" s="14"/>
      <c r="E472" s="15"/>
      <c r="F472" s="15"/>
      <c r="G472" s="12"/>
      <c r="H472" s="16" t="str">
        <f aca="false">IF(OR(A472="",C472=""),"",IFERROR(INDEX(Aşamalar!$B$5:$B$12,MATCH(C472,Aşamalar!$A$5:$A$12,0)),0))</f>
        <v/>
      </c>
      <c r="I472" s="17" t="str">
        <f aca="false">IF(H472="","",D472*H472)</f>
        <v/>
      </c>
      <c r="J472" s="18" t="str">
        <f aca="true">IF(AND(AND(C472&lt;&gt;"Kazanıldı",C472&lt;&gt;"Kaybedildi",C472&lt;&gt;""),F472&lt;&gt;""),IF(F472&lt;TODAY(),"Gecikti",IF(F472=TODAY(),"Bugün","")),"")</f>
        <v/>
      </c>
      <c r="K472" s="18" t="str">
        <f aca="true">IF(AND(AND(C472&lt;&gt;"Kazanıldı",C472&lt;&gt;"Kaybedildi",C472&lt;&gt;""),F472&lt;&gt;"",F472&lt;=TODAY()),F472+ROW()/1000000,"")</f>
        <v/>
      </c>
    </row>
    <row r="473" customFormat="false" ht="15" hidden="false" customHeight="false" outlineLevel="0" collapsed="false">
      <c r="A473" s="12"/>
      <c r="B473" s="13"/>
      <c r="C473" s="13"/>
      <c r="D473" s="14"/>
      <c r="E473" s="15"/>
      <c r="F473" s="15"/>
      <c r="G473" s="12"/>
      <c r="H473" s="16" t="str">
        <f aca="false">IF(OR(A473="",C473=""),"",IFERROR(INDEX(Aşamalar!$B$5:$B$12,MATCH(C473,Aşamalar!$A$5:$A$12,0)),0))</f>
        <v/>
      </c>
      <c r="I473" s="17" t="str">
        <f aca="false">IF(H473="","",D473*H473)</f>
        <v/>
      </c>
      <c r="J473" s="18" t="str">
        <f aca="true">IF(AND(AND(C473&lt;&gt;"Kazanıldı",C473&lt;&gt;"Kaybedildi",C473&lt;&gt;""),F473&lt;&gt;""),IF(F473&lt;TODAY(),"Gecikti",IF(F473=TODAY(),"Bugün","")),"")</f>
        <v/>
      </c>
      <c r="K473" s="18" t="str">
        <f aca="true">IF(AND(AND(C473&lt;&gt;"Kazanıldı",C473&lt;&gt;"Kaybedildi",C473&lt;&gt;""),F473&lt;&gt;"",F473&lt;=TODAY()),F473+ROW()/1000000,"")</f>
        <v/>
      </c>
    </row>
    <row r="474" customFormat="false" ht="15" hidden="false" customHeight="false" outlineLevel="0" collapsed="false">
      <c r="A474" s="12"/>
      <c r="B474" s="13"/>
      <c r="C474" s="13"/>
      <c r="D474" s="14"/>
      <c r="E474" s="15"/>
      <c r="F474" s="15"/>
      <c r="G474" s="12"/>
      <c r="H474" s="16" t="str">
        <f aca="false">IF(OR(A474="",C474=""),"",IFERROR(INDEX(Aşamalar!$B$5:$B$12,MATCH(C474,Aşamalar!$A$5:$A$12,0)),0))</f>
        <v/>
      </c>
      <c r="I474" s="17" t="str">
        <f aca="false">IF(H474="","",D474*H474)</f>
        <v/>
      </c>
      <c r="J474" s="18" t="str">
        <f aca="true">IF(AND(AND(C474&lt;&gt;"Kazanıldı",C474&lt;&gt;"Kaybedildi",C474&lt;&gt;""),F474&lt;&gt;""),IF(F474&lt;TODAY(),"Gecikti",IF(F474=TODAY(),"Bugün","")),"")</f>
        <v/>
      </c>
      <c r="K474" s="18" t="str">
        <f aca="true">IF(AND(AND(C474&lt;&gt;"Kazanıldı",C474&lt;&gt;"Kaybedildi",C474&lt;&gt;""),F474&lt;&gt;"",F474&lt;=TODAY()),F474+ROW()/1000000,"")</f>
        <v/>
      </c>
    </row>
    <row r="475" customFormat="false" ht="15" hidden="false" customHeight="false" outlineLevel="0" collapsed="false">
      <c r="A475" s="12"/>
      <c r="B475" s="13"/>
      <c r="C475" s="13"/>
      <c r="D475" s="14"/>
      <c r="E475" s="15"/>
      <c r="F475" s="15"/>
      <c r="G475" s="12"/>
      <c r="H475" s="16" t="str">
        <f aca="false">IF(OR(A475="",C475=""),"",IFERROR(INDEX(Aşamalar!$B$5:$B$12,MATCH(C475,Aşamalar!$A$5:$A$12,0)),0))</f>
        <v/>
      </c>
      <c r="I475" s="17" t="str">
        <f aca="false">IF(H475="","",D475*H475)</f>
        <v/>
      </c>
      <c r="J475" s="18" t="str">
        <f aca="true">IF(AND(AND(C475&lt;&gt;"Kazanıldı",C475&lt;&gt;"Kaybedildi",C475&lt;&gt;""),F475&lt;&gt;""),IF(F475&lt;TODAY(),"Gecikti",IF(F475=TODAY(),"Bugün","")),"")</f>
        <v/>
      </c>
      <c r="K475" s="18" t="str">
        <f aca="true">IF(AND(AND(C475&lt;&gt;"Kazanıldı",C475&lt;&gt;"Kaybedildi",C475&lt;&gt;""),F475&lt;&gt;"",F475&lt;=TODAY()),F475+ROW()/1000000,"")</f>
        <v/>
      </c>
    </row>
    <row r="476" customFormat="false" ht="15" hidden="false" customHeight="false" outlineLevel="0" collapsed="false">
      <c r="A476" s="12"/>
      <c r="B476" s="13"/>
      <c r="C476" s="13"/>
      <c r="D476" s="14"/>
      <c r="E476" s="15"/>
      <c r="F476" s="15"/>
      <c r="G476" s="12"/>
      <c r="H476" s="16" t="str">
        <f aca="false">IF(OR(A476="",C476=""),"",IFERROR(INDEX(Aşamalar!$B$5:$B$12,MATCH(C476,Aşamalar!$A$5:$A$12,0)),0))</f>
        <v/>
      </c>
      <c r="I476" s="17" t="str">
        <f aca="false">IF(H476="","",D476*H476)</f>
        <v/>
      </c>
      <c r="J476" s="18" t="str">
        <f aca="true">IF(AND(AND(C476&lt;&gt;"Kazanıldı",C476&lt;&gt;"Kaybedildi",C476&lt;&gt;""),F476&lt;&gt;""),IF(F476&lt;TODAY(),"Gecikti",IF(F476=TODAY(),"Bugün","")),"")</f>
        <v/>
      </c>
      <c r="K476" s="18" t="str">
        <f aca="true">IF(AND(AND(C476&lt;&gt;"Kazanıldı",C476&lt;&gt;"Kaybedildi",C476&lt;&gt;""),F476&lt;&gt;"",F476&lt;=TODAY()),F476+ROW()/1000000,"")</f>
        <v/>
      </c>
    </row>
    <row r="477" customFormat="false" ht="15" hidden="false" customHeight="false" outlineLevel="0" collapsed="false">
      <c r="A477" s="12"/>
      <c r="B477" s="13"/>
      <c r="C477" s="13"/>
      <c r="D477" s="14"/>
      <c r="E477" s="15"/>
      <c r="F477" s="15"/>
      <c r="G477" s="12"/>
      <c r="H477" s="16" t="str">
        <f aca="false">IF(OR(A477="",C477=""),"",IFERROR(INDEX(Aşamalar!$B$5:$B$12,MATCH(C477,Aşamalar!$A$5:$A$12,0)),0))</f>
        <v/>
      </c>
      <c r="I477" s="17" t="str">
        <f aca="false">IF(H477="","",D477*H477)</f>
        <v/>
      </c>
      <c r="J477" s="18" t="str">
        <f aca="true">IF(AND(AND(C477&lt;&gt;"Kazanıldı",C477&lt;&gt;"Kaybedildi",C477&lt;&gt;""),F477&lt;&gt;""),IF(F477&lt;TODAY(),"Gecikti",IF(F477=TODAY(),"Bugün","")),"")</f>
        <v/>
      </c>
      <c r="K477" s="18" t="str">
        <f aca="true">IF(AND(AND(C477&lt;&gt;"Kazanıldı",C477&lt;&gt;"Kaybedildi",C477&lt;&gt;""),F477&lt;&gt;"",F477&lt;=TODAY()),F477+ROW()/1000000,"")</f>
        <v/>
      </c>
    </row>
    <row r="478" customFormat="false" ht="15" hidden="false" customHeight="false" outlineLevel="0" collapsed="false">
      <c r="A478" s="12"/>
      <c r="B478" s="13"/>
      <c r="C478" s="13"/>
      <c r="D478" s="14"/>
      <c r="E478" s="15"/>
      <c r="F478" s="15"/>
      <c r="G478" s="12"/>
      <c r="H478" s="16" t="str">
        <f aca="false">IF(OR(A478="",C478=""),"",IFERROR(INDEX(Aşamalar!$B$5:$B$12,MATCH(C478,Aşamalar!$A$5:$A$12,0)),0))</f>
        <v/>
      </c>
      <c r="I478" s="17" t="str">
        <f aca="false">IF(H478="","",D478*H478)</f>
        <v/>
      </c>
      <c r="J478" s="18" t="str">
        <f aca="true">IF(AND(AND(C478&lt;&gt;"Kazanıldı",C478&lt;&gt;"Kaybedildi",C478&lt;&gt;""),F478&lt;&gt;""),IF(F478&lt;TODAY(),"Gecikti",IF(F478=TODAY(),"Bugün","")),"")</f>
        <v/>
      </c>
      <c r="K478" s="18" t="str">
        <f aca="true">IF(AND(AND(C478&lt;&gt;"Kazanıldı",C478&lt;&gt;"Kaybedildi",C478&lt;&gt;""),F478&lt;&gt;"",F478&lt;=TODAY()),F478+ROW()/1000000,"")</f>
        <v/>
      </c>
    </row>
    <row r="479" customFormat="false" ht="15" hidden="false" customHeight="false" outlineLevel="0" collapsed="false">
      <c r="A479" s="12"/>
      <c r="B479" s="13"/>
      <c r="C479" s="13"/>
      <c r="D479" s="14"/>
      <c r="E479" s="15"/>
      <c r="F479" s="15"/>
      <c r="G479" s="12"/>
      <c r="H479" s="16" t="str">
        <f aca="false">IF(OR(A479="",C479=""),"",IFERROR(INDEX(Aşamalar!$B$5:$B$12,MATCH(C479,Aşamalar!$A$5:$A$12,0)),0))</f>
        <v/>
      </c>
      <c r="I479" s="17" t="str">
        <f aca="false">IF(H479="","",D479*H479)</f>
        <v/>
      </c>
      <c r="J479" s="18" t="str">
        <f aca="true">IF(AND(AND(C479&lt;&gt;"Kazanıldı",C479&lt;&gt;"Kaybedildi",C479&lt;&gt;""),F479&lt;&gt;""),IF(F479&lt;TODAY(),"Gecikti",IF(F479=TODAY(),"Bugün","")),"")</f>
        <v/>
      </c>
      <c r="K479" s="18" t="str">
        <f aca="true">IF(AND(AND(C479&lt;&gt;"Kazanıldı",C479&lt;&gt;"Kaybedildi",C479&lt;&gt;""),F479&lt;&gt;"",F479&lt;=TODAY()),F479+ROW()/1000000,"")</f>
        <v/>
      </c>
    </row>
    <row r="480" customFormat="false" ht="15" hidden="false" customHeight="false" outlineLevel="0" collapsed="false">
      <c r="A480" s="12"/>
      <c r="B480" s="13"/>
      <c r="C480" s="13"/>
      <c r="D480" s="14"/>
      <c r="E480" s="15"/>
      <c r="F480" s="15"/>
      <c r="G480" s="12"/>
      <c r="H480" s="16" t="str">
        <f aca="false">IF(OR(A480="",C480=""),"",IFERROR(INDEX(Aşamalar!$B$5:$B$12,MATCH(C480,Aşamalar!$A$5:$A$12,0)),0))</f>
        <v/>
      </c>
      <c r="I480" s="17" t="str">
        <f aca="false">IF(H480="","",D480*H480)</f>
        <v/>
      </c>
      <c r="J480" s="18" t="str">
        <f aca="true">IF(AND(AND(C480&lt;&gt;"Kazanıldı",C480&lt;&gt;"Kaybedildi",C480&lt;&gt;""),F480&lt;&gt;""),IF(F480&lt;TODAY(),"Gecikti",IF(F480=TODAY(),"Bugün","")),"")</f>
        <v/>
      </c>
      <c r="K480" s="18" t="str">
        <f aca="true">IF(AND(AND(C480&lt;&gt;"Kazanıldı",C480&lt;&gt;"Kaybedildi",C480&lt;&gt;""),F480&lt;&gt;"",F480&lt;=TODAY()),F480+ROW()/1000000,"")</f>
        <v/>
      </c>
    </row>
    <row r="481" customFormat="false" ht="15" hidden="false" customHeight="false" outlineLevel="0" collapsed="false">
      <c r="A481" s="12"/>
      <c r="B481" s="13"/>
      <c r="C481" s="13"/>
      <c r="D481" s="14"/>
      <c r="E481" s="15"/>
      <c r="F481" s="15"/>
      <c r="G481" s="12"/>
      <c r="H481" s="16" t="str">
        <f aca="false">IF(OR(A481="",C481=""),"",IFERROR(INDEX(Aşamalar!$B$5:$B$12,MATCH(C481,Aşamalar!$A$5:$A$12,0)),0))</f>
        <v/>
      </c>
      <c r="I481" s="17" t="str">
        <f aca="false">IF(H481="","",D481*H481)</f>
        <v/>
      </c>
      <c r="J481" s="18" t="str">
        <f aca="true">IF(AND(AND(C481&lt;&gt;"Kazanıldı",C481&lt;&gt;"Kaybedildi",C481&lt;&gt;""),F481&lt;&gt;""),IF(F481&lt;TODAY(),"Gecikti",IF(F481=TODAY(),"Bugün","")),"")</f>
        <v/>
      </c>
      <c r="K481" s="18" t="str">
        <f aca="true">IF(AND(AND(C481&lt;&gt;"Kazanıldı",C481&lt;&gt;"Kaybedildi",C481&lt;&gt;""),F481&lt;&gt;"",F481&lt;=TODAY()),F481+ROW()/1000000,"")</f>
        <v/>
      </c>
    </row>
    <row r="482" customFormat="false" ht="15" hidden="false" customHeight="false" outlineLevel="0" collapsed="false">
      <c r="A482" s="12"/>
      <c r="B482" s="13"/>
      <c r="C482" s="13"/>
      <c r="D482" s="14"/>
      <c r="E482" s="15"/>
      <c r="F482" s="15"/>
      <c r="G482" s="12"/>
      <c r="H482" s="16" t="str">
        <f aca="false">IF(OR(A482="",C482=""),"",IFERROR(INDEX(Aşamalar!$B$5:$B$12,MATCH(C482,Aşamalar!$A$5:$A$12,0)),0))</f>
        <v/>
      </c>
      <c r="I482" s="17" t="str">
        <f aca="false">IF(H482="","",D482*H482)</f>
        <v/>
      </c>
      <c r="J482" s="18" t="str">
        <f aca="true">IF(AND(AND(C482&lt;&gt;"Kazanıldı",C482&lt;&gt;"Kaybedildi",C482&lt;&gt;""),F482&lt;&gt;""),IF(F482&lt;TODAY(),"Gecikti",IF(F482=TODAY(),"Bugün","")),"")</f>
        <v/>
      </c>
      <c r="K482" s="18" t="str">
        <f aca="true">IF(AND(AND(C482&lt;&gt;"Kazanıldı",C482&lt;&gt;"Kaybedildi",C482&lt;&gt;""),F482&lt;&gt;"",F482&lt;=TODAY()),F482+ROW()/1000000,"")</f>
        <v/>
      </c>
    </row>
    <row r="483" customFormat="false" ht="15" hidden="false" customHeight="false" outlineLevel="0" collapsed="false">
      <c r="A483" s="12"/>
      <c r="B483" s="13"/>
      <c r="C483" s="13"/>
      <c r="D483" s="14"/>
      <c r="E483" s="15"/>
      <c r="F483" s="15"/>
      <c r="G483" s="12"/>
      <c r="H483" s="16" t="str">
        <f aca="false">IF(OR(A483="",C483=""),"",IFERROR(INDEX(Aşamalar!$B$5:$B$12,MATCH(C483,Aşamalar!$A$5:$A$12,0)),0))</f>
        <v/>
      </c>
      <c r="I483" s="17" t="str">
        <f aca="false">IF(H483="","",D483*H483)</f>
        <v/>
      </c>
      <c r="J483" s="18" t="str">
        <f aca="true">IF(AND(AND(C483&lt;&gt;"Kazanıldı",C483&lt;&gt;"Kaybedildi",C483&lt;&gt;""),F483&lt;&gt;""),IF(F483&lt;TODAY(),"Gecikti",IF(F483=TODAY(),"Bugün","")),"")</f>
        <v/>
      </c>
      <c r="K483" s="18" t="str">
        <f aca="true">IF(AND(AND(C483&lt;&gt;"Kazanıldı",C483&lt;&gt;"Kaybedildi",C483&lt;&gt;""),F483&lt;&gt;"",F483&lt;=TODAY()),F483+ROW()/1000000,"")</f>
        <v/>
      </c>
    </row>
    <row r="484" customFormat="false" ht="15" hidden="false" customHeight="false" outlineLevel="0" collapsed="false">
      <c r="A484" s="12"/>
      <c r="B484" s="13"/>
      <c r="C484" s="13"/>
      <c r="D484" s="14"/>
      <c r="E484" s="15"/>
      <c r="F484" s="15"/>
      <c r="G484" s="12"/>
      <c r="H484" s="16" t="str">
        <f aca="false">IF(OR(A484="",C484=""),"",IFERROR(INDEX(Aşamalar!$B$5:$B$12,MATCH(C484,Aşamalar!$A$5:$A$12,0)),0))</f>
        <v/>
      </c>
      <c r="I484" s="17" t="str">
        <f aca="false">IF(H484="","",D484*H484)</f>
        <v/>
      </c>
      <c r="J484" s="18" t="str">
        <f aca="true">IF(AND(AND(C484&lt;&gt;"Kazanıldı",C484&lt;&gt;"Kaybedildi",C484&lt;&gt;""),F484&lt;&gt;""),IF(F484&lt;TODAY(),"Gecikti",IF(F484=TODAY(),"Bugün","")),"")</f>
        <v/>
      </c>
      <c r="K484" s="18" t="str">
        <f aca="true">IF(AND(AND(C484&lt;&gt;"Kazanıldı",C484&lt;&gt;"Kaybedildi",C484&lt;&gt;""),F484&lt;&gt;"",F484&lt;=TODAY()),F484+ROW()/1000000,"")</f>
        <v/>
      </c>
    </row>
    <row r="485" customFormat="false" ht="15" hidden="false" customHeight="false" outlineLevel="0" collapsed="false">
      <c r="A485" s="12"/>
      <c r="B485" s="13"/>
      <c r="C485" s="13"/>
      <c r="D485" s="14"/>
      <c r="E485" s="15"/>
      <c r="F485" s="15"/>
      <c r="G485" s="12"/>
      <c r="H485" s="16" t="str">
        <f aca="false">IF(OR(A485="",C485=""),"",IFERROR(INDEX(Aşamalar!$B$5:$B$12,MATCH(C485,Aşamalar!$A$5:$A$12,0)),0))</f>
        <v/>
      </c>
      <c r="I485" s="17" t="str">
        <f aca="false">IF(H485="","",D485*H485)</f>
        <v/>
      </c>
      <c r="J485" s="18" t="str">
        <f aca="true">IF(AND(AND(C485&lt;&gt;"Kazanıldı",C485&lt;&gt;"Kaybedildi",C485&lt;&gt;""),F485&lt;&gt;""),IF(F485&lt;TODAY(),"Gecikti",IF(F485=TODAY(),"Bugün","")),"")</f>
        <v/>
      </c>
      <c r="K485" s="18" t="str">
        <f aca="true">IF(AND(AND(C485&lt;&gt;"Kazanıldı",C485&lt;&gt;"Kaybedildi",C485&lt;&gt;""),F485&lt;&gt;"",F485&lt;=TODAY()),F485+ROW()/1000000,"")</f>
        <v/>
      </c>
    </row>
    <row r="486" customFormat="false" ht="15" hidden="false" customHeight="false" outlineLevel="0" collapsed="false">
      <c r="A486" s="12"/>
      <c r="B486" s="13"/>
      <c r="C486" s="13"/>
      <c r="D486" s="14"/>
      <c r="E486" s="15"/>
      <c r="F486" s="15"/>
      <c r="G486" s="12"/>
      <c r="H486" s="16" t="str">
        <f aca="false">IF(OR(A486="",C486=""),"",IFERROR(INDEX(Aşamalar!$B$5:$B$12,MATCH(C486,Aşamalar!$A$5:$A$12,0)),0))</f>
        <v/>
      </c>
      <c r="I486" s="17" t="str">
        <f aca="false">IF(H486="","",D486*H486)</f>
        <v/>
      </c>
      <c r="J486" s="18" t="str">
        <f aca="true">IF(AND(AND(C486&lt;&gt;"Kazanıldı",C486&lt;&gt;"Kaybedildi",C486&lt;&gt;""),F486&lt;&gt;""),IF(F486&lt;TODAY(),"Gecikti",IF(F486=TODAY(),"Bugün","")),"")</f>
        <v/>
      </c>
      <c r="K486" s="18" t="str">
        <f aca="true">IF(AND(AND(C486&lt;&gt;"Kazanıldı",C486&lt;&gt;"Kaybedildi",C486&lt;&gt;""),F486&lt;&gt;"",F486&lt;=TODAY()),F486+ROW()/1000000,"")</f>
        <v/>
      </c>
    </row>
    <row r="487" customFormat="false" ht="15" hidden="false" customHeight="false" outlineLevel="0" collapsed="false">
      <c r="A487" s="12"/>
      <c r="B487" s="13"/>
      <c r="C487" s="13"/>
      <c r="D487" s="14"/>
      <c r="E487" s="15"/>
      <c r="F487" s="15"/>
      <c r="G487" s="12"/>
      <c r="H487" s="16" t="str">
        <f aca="false">IF(OR(A487="",C487=""),"",IFERROR(INDEX(Aşamalar!$B$5:$B$12,MATCH(C487,Aşamalar!$A$5:$A$12,0)),0))</f>
        <v/>
      </c>
      <c r="I487" s="17" t="str">
        <f aca="false">IF(H487="","",D487*H487)</f>
        <v/>
      </c>
      <c r="J487" s="18" t="str">
        <f aca="true">IF(AND(AND(C487&lt;&gt;"Kazanıldı",C487&lt;&gt;"Kaybedildi",C487&lt;&gt;""),F487&lt;&gt;""),IF(F487&lt;TODAY(),"Gecikti",IF(F487=TODAY(),"Bugün","")),"")</f>
        <v/>
      </c>
      <c r="K487" s="18" t="str">
        <f aca="true">IF(AND(AND(C487&lt;&gt;"Kazanıldı",C487&lt;&gt;"Kaybedildi",C487&lt;&gt;""),F487&lt;&gt;"",F487&lt;=TODAY()),F487+ROW()/1000000,"")</f>
        <v/>
      </c>
    </row>
    <row r="488" customFormat="false" ht="15" hidden="false" customHeight="false" outlineLevel="0" collapsed="false">
      <c r="A488" s="12"/>
      <c r="B488" s="13"/>
      <c r="C488" s="13"/>
      <c r="D488" s="14"/>
      <c r="E488" s="15"/>
      <c r="F488" s="15"/>
      <c r="G488" s="12"/>
      <c r="H488" s="16" t="str">
        <f aca="false">IF(OR(A488="",C488=""),"",IFERROR(INDEX(Aşamalar!$B$5:$B$12,MATCH(C488,Aşamalar!$A$5:$A$12,0)),0))</f>
        <v/>
      </c>
      <c r="I488" s="17" t="str">
        <f aca="false">IF(H488="","",D488*H488)</f>
        <v/>
      </c>
      <c r="J488" s="18" t="str">
        <f aca="true">IF(AND(AND(C488&lt;&gt;"Kazanıldı",C488&lt;&gt;"Kaybedildi",C488&lt;&gt;""),F488&lt;&gt;""),IF(F488&lt;TODAY(),"Gecikti",IF(F488=TODAY(),"Bugün","")),"")</f>
        <v/>
      </c>
      <c r="K488" s="18" t="str">
        <f aca="true">IF(AND(AND(C488&lt;&gt;"Kazanıldı",C488&lt;&gt;"Kaybedildi",C488&lt;&gt;""),F488&lt;&gt;"",F488&lt;=TODAY()),F488+ROW()/1000000,"")</f>
        <v/>
      </c>
    </row>
    <row r="489" customFormat="false" ht="15" hidden="false" customHeight="false" outlineLevel="0" collapsed="false">
      <c r="A489" s="12"/>
      <c r="B489" s="13"/>
      <c r="C489" s="13"/>
      <c r="D489" s="14"/>
      <c r="E489" s="15"/>
      <c r="F489" s="15"/>
      <c r="G489" s="12"/>
      <c r="H489" s="16" t="str">
        <f aca="false">IF(OR(A489="",C489=""),"",IFERROR(INDEX(Aşamalar!$B$5:$B$12,MATCH(C489,Aşamalar!$A$5:$A$12,0)),0))</f>
        <v/>
      </c>
      <c r="I489" s="17" t="str">
        <f aca="false">IF(H489="","",D489*H489)</f>
        <v/>
      </c>
      <c r="J489" s="18" t="str">
        <f aca="true">IF(AND(AND(C489&lt;&gt;"Kazanıldı",C489&lt;&gt;"Kaybedildi",C489&lt;&gt;""),F489&lt;&gt;""),IF(F489&lt;TODAY(),"Gecikti",IF(F489=TODAY(),"Bugün","")),"")</f>
        <v/>
      </c>
      <c r="K489" s="18" t="str">
        <f aca="true">IF(AND(AND(C489&lt;&gt;"Kazanıldı",C489&lt;&gt;"Kaybedildi",C489&lt;&gt;""),F489&lt;&gt;"",F489&lt;=TODAY()),F489+ROW()/1000000,"")</f>
        <v/>
      </c>
    </row>
    <row r="490" customFormat="false" ht="15" hidden="false" customHeight="false" outlineLevel="0" collapsed="false">
      <c r="A490" s="12"/>
      <c r="B490" s="13"/>
      <c r="C490" s="13"/>
      <c r="D490" s="14"/>
      <c r="E490" s="15"/>
      <c r="F490" s="15"/>
      <c r="G490" s="12"/>
      <c r="H490" s="16" t="str">
        <f aca="false">IF(OR(A490="",C490=""),"",IFERROR(INDEX(Aşamalar!$B$5:$B$12,MATCH(C490,Aşamalar!$A$5:$A$12,0)),0))</f>
        <v/>
      </c>
      <c r="I490" s="17" t="str">
        <f aca="false">IF(H490="","",D490*H490)</f>
        <v/>
      </c>
      <c r="J490" s="18" t="str">
        <f aca="true">IF(AND(AND(C490&lt;&gt;"Kazanıldı",C490&lt;&gt;"Kaybedildi",C490&lt;&gt;""),F490&lt;&gt;""),IF(F490&lt;TODAY(),"Gecikti",IF(F490=TODAY(),"Bugün","")),"")</f>
        <v/>
      </c>
      <c r="K490" s="18" t="str">
        <f aca="true">IF(AND(AND(C490&lt;&gt;"Kazanıldı",C490&lt;&gt;"Kaybedildi",C490&lt;&gt;""),F490&lt;&gt;"",F490&lt;=TODAY()),F490+ROW()/1000000,"")</f>
        <v/>
      </c>
    </row>
    <row r="491" customFormat="false" ht="15" hidden="false" customHeight="false" outlineLevel="0" collapsed="false">
      <c r="A491" s="12"/>
      <c r="B491" s="13"/>
      <c r="C491" s="13"/>
      <c r="D491" s="14"/>
      <c r="E491" s="15"/>
      <c r="F491" s="15"/>
      <c r="G491" s="12"/>
      <c r="H491" s="16" t="str">
        <f aca="false">IF(OR(A491="",C491=""),"",IFERROR(INDEX(Aşamalar!$B$5:$B$12,MATCH(C491,Aşamalar!$A$5:$A$12,0)),0))</f>
        <v/>
      </c>
      <c r="I491" s="17" t="str">
        <f aca="false">IF(H491="","",D491*H491)</f>
        <v/>
      </c>
      <c r="J491" s="18" t="str">
        <f aca="true">IF(AND(AND(C491&lt;&gt;"Kazanıldı",C491&lt;&gt;"Kaybedildi",C491&lt;&gt;""),F491&lt;&gt;""),IF(F491&lt;TODAY(),"Gecikti",IF(F491=TODAY(),"Bugün","")),"")</f>
        <v/>
      </c>
      <c r="K491" s="18" t="str">
        <f aca="true">IF(AND(AND(C491&lt;&gt;"Kazanıldı",C491&lt;&gt;"Kaybedildi",C491&lt;&gt;""),F491&lt;&gt;"",F491&lt;=TODAY()),F491+ROW()/1000000,"")</f>
        <v/>
      </c>
    </row>
    <row r="492" customFormat="false" ht="15" hidden="false" customHeight="false" outlineLevel="0" collapsed="false">
      <c r="A492" s="12"/>
      <c r="B492" s="13"/>
      <c r="C492" s="13"/>
      <c r="D492" s="14"/>
      <c r="E492" s="15"/>
      <c r="F492" s="15"/>
      <c r="G492" s="12"/>
      <c r="H492" s="16" t="str">
        <f aca="false">IF(OR(A492="",C492=""),"",IFERROR(INDEX(Aşamalar!$B$5:$B$12,MATCH(C492,Aşamalar!$A$5:$A$12,0)),0))</f>
        <v/>
      </c>
      <c r="I492" s="17" t="str">
        <f aca="false">IF(H492="","",D492*H492)</f>
        <v/>
      </c>
      <c r="J492" s="18" t="str">
        <f aca="true">IF(AND(AND(C492&lt;&gt;"Kazanıldı",C492&lt;&gt;"Kaybedildi",C492&lt;&gt;""),F492&lt;&gt;""),IF(F492&lt;TODAY(),"Gecikti",IF(F492=TODAY(),"Bugün","")),"")</f>
        <v/>
      </c>
      <c r="K492" s="18" t="str">
        <f aca="true">IF(AND(AND(C492&lt;&gt;"Kazanıldı",C492&lt;&gt;"Kaybedildi",C492&lt;&gt;""),F492&lt;&gt;"",F492&lt;=TODAY()),F492+ROW()/1000000,"")</f>
        <v/>
      </c>
    </row>
    <row r="493" customFormat="false" ht="15" hidden="false" customHeight="false" outlineLevel="0" collapsed="false">
      <c r="A493" s="12"/>
      <c r="B493" s="13"/>
      <c r="C493" s="13"/>
      <c r="D493" s="14"/>
      <c r="E493" s="15"/>
      <c r="F493" s="15"/>
      <c r="G493" s="12"/>
      <c r="H493" s="16" t="str">
        <f aca="false">IF(OR(A493="",C493=""),"",IFERROR(INDEX(Aşamalar!$B$5:$B$12,MATCH(C493,Aşamalar!$A$5:$A$12,0)),0))</f>
        <v/>
      </c>
      <c r="I493" s="17" t="str">
        <f aca="false">IF(H493="","",D493*H493)</f>
        <v/>
      </c>
      <c r="J493" s="18" t="str">
        <f aca="true">IF(AND(AND(C493&lt;&gt;"Kazanıldı",C493&lt;&gt;"Kaybedildi",C493&lt;&gt;""),F493&lt;&gt;""),IF(F493&lt;TODAY(),"Gecikti",IF(F493=TODAY(),"Bugün","")),"")</f>
        <v/>
      </c>
      <c r="K493" s="18" t="str">
        <f aca="true">IF(AND(AND(C493&lt;&gt;"Kazanıldı",C493&lt;&gt;"Kaybedildi",C493&lt;&gt;""),F493&lt;&gt;"",F493&lt;=TODAY()),F493+ROW()/1000000,"")</f>
        <v/>
      </c>
    </row>
    <row r="494" customFormat="false" ht="15" hidden="false" customHeight="false" outlineLevel="0" collapsed="false">
      <c r="A494" s="12"/>
      <c r="B494" s="13"/>
      <c r="C494" s="13"/>
      <c r="D494" s="14"/>
      <c r="E494" s="15"/>
      <c r="F494" s="15"/>
      <c r="G494" s="12"/>
      <c r="H494" s="16" t="str">
        <f aca="false">IF(OR(A494="",C494=""),"",IFERROR(INDEX(Aşamalar!$B$5:$B$12,MATCH(C494,Aşamalar!$A$5:$A$12,0)),0))</f>
        <v/>
      </c>
      <c r="I494" s="17" t="str">
        <f aca="false">IF(H494="","",D494*H494)</f>
        <v/>
      </c>
      <c r="J494" s="18" t="str">
        <f aca="true">IF(AND(AND(C494&lt;&gt;"Kazanıldı",C494&lt;&gt;"Kaybedildi",C494&lt;&gt;""),F494&lt;&gt;""),IF(F494&lt;TODAY(),"Gecikti",IF(F494=TODAY(),"Bugün","")),"")</f>
        <v/>
      </c>
      <c r="K494" s="18" t="str">
        <f aca="true">IF(AND(AND(C494&lt;&gt;"Kazanıldı",C494&lt;&gt;"Kaybedildi",C494&lt;&gt;""),F494&lt;&gt;"",F494&lt;=TODAY()),F494+ROW()/1000000,"")</f>
        <v/>
      </c>
    </row>
    <row r="495" customFormat="false" ht="15" hidden="false" customHeight="false" outlineLevel="0" collapsed="false">
      <c r="A495" s="12"/>
      <c r="B495" s="13"/>
      <c r="C495" s="13"/>
      <c r="D495" s="14"/>
      <c r="E495" s="15"/>
      <c r="F495" s="15"/>
      <c r="G495" s="12"/>
      <c r="H495" s="16" t="str">
        <f aca="false">IF(OR(A495="",C495=""),"",IFERROR(INDEX(Aşamalar!$B$5:$B$12,MATCH(C495,Aşamalar!$A$5:$A$12,0)),0))</f>
        <v/>
      </c>
      <c r="I495" s="17" t="str">
        <f aca="false">IF(H495="","",D495*H495)</f>
        <v/>
      </c>
      <c r="J495" s="18" t="str">
        <f aca="true">IF(AND(AND(C495&lt;&gt;"Kazanıldı",C495&lt;&gt;"Kaybedildi",C495&lt;&gt;""),F495&lt;&gt;""),IF(F495&lt;TODAY(),"Gecikti",IF(F495=TODAY(),"Bugün","")),"")</f>
        <v/>
      </c>
      <c r="K495" s="18" t="str">
        <f aca="true">IF(AND(AND(C495&lt;&gt;"Kazanıldı",C495&lt;&gt;"Kaybedildi",C495&lt;&gt;""),F495&lt;&gt;"",F495&lt;=TODAY()),F495+ROW()/1000000,"")</f>
        <v/>
      </c>
    </row>
    <row r="496" customFormat="false" ht="15" hidden="false" customHeight="false" outlineLevel="0" collapsed="false">
      <c r="A496" s="12"/>
      <c r="B496" s="13"/>
      <c r="C496" s="13"/>
      <c r="D496" s="14"/>
      <c r="E496" s="15"/>
      <c r="F496" s="15"/>
      <c r="G496" s="12"/>
      <c r="H496" s="16" t="str">
        <f aca="false">IF(OR(A496="",C496=""),"",IFERROR(INDEX(Aşamalar!$B$5:$B$12,MATCH(C496,Aşamalar!$A$5:$A$12,0)),0))</f>
        <v/>
      </c>
      <c r="I496" s="17" t="str">
        <f aca="false">IF(H496="","",D496*H496)</f>
        <v/>
      </c>
      <c r="J496" s="18" t="str">
        <f aca="true">IF(AND(AND(C496&lt;&gt;"Kazanıldı",C496&lt;&gt;"Kaybedildi",C496&lt;&gt;""),F496&lt;&gt;""),IF(F496&lt;TODAY(),"Gecikti",IF(F496=TODAY(),"Bugün","")),"")</f>
        <v/>
      </c>
      <c r="K496" s="18" t="str">
        <f aca="true">IF(AND(AND(C496&lt;&gt;"Kazanıldı",C496&lt;&gt;"Kaybedildi",C496&lt;&gt;""),F496&lt;&gt;"",F496&lt;=TODAY()),F496+ROW()/1000000,"")</f>
        <v/>
      </c>
    </row>
    <row r="497" customFormat="false" ht="15" hidden="false" customHeight="false" outlineLevel="0" collapsed="false">
      <c r="A497" s="12"/>
      <c r="B497" s="13"/>
      <c r="C497" s="13"/>
      <c r="D497" s="14"/>
      <c r="E497" s="15"/>
      <c r="F497" s="15"/>
      <c r="G497" s="12"/>
      <c r="H497" s="16" t="str">
        <f aca="false">IF(OR(A497="",C497=""),"",IFERROR(INDEX(Aşamalar!$B$5:$B$12,MATCH(C497,Aşamalar!$A$5:$A$12,0)),0))</f>
        <v/>
      </c>
      <c r="I497" s="17" t="str">
        <f aca="false">IF(H497="","",D497*H497)</f>
        <v/>
      </c>
      <c r="J497" s="18" t="str">
        <f aca="true">IF(AND(AND(C497&lt;&gt;"Kazanıldı",C497&lt;&gt;"Kaybedildi",C497&lt;&gt;""),F497&lt;&gt;""),IF(F497&lt;TODAY(),"Gecikti",IF(F497=TODAY(),"Bugün","")),"")</f>
        <v/>
      </c>
      <c r="K497" s="18" t="str">
        <f aca="true">IF(AND(AND(C497&lt;&gt;"Kazanıldı",C497&lt;&gt;"Kaybedildi",C497&lt;&gt;""),F497&lt;&gt;"",F497&lt;=TODAY()),F497+ROW()/1000000,"")</f>
        <v/>
      </c>
    </row>
    <row r="498" customFormat="false" ht="15" hidden="false" customHeight="false" outlineLevel="0" collapsed="false">
      <c r="A498" s="12"/>
      <c r="B498" s="13"/>
      <c r="C498" s="13"/>
      <c r="D498" s="14"/>
      <c r="E498" s="15"/>
      <c r="F498" s="15"/>
      <c r="G498" s="12"/>
      <c r="H498" s="16" t="str">
        <f aca="false">IF(OR(A498="",C498=""),"",IFERROR(INDEX(Aşamalar!$B$5:$B$12,MATCH(C498,Aşamalar!$A$5:$A$12,0)),0))</f>
        <v/>
      </c>
      <c r="I498" s="17" t="str">
        <f aca="false">IF(H498="","",D498*H498)</f>
        <v/>
      </c>
      <c r="J498" s="18" t="str">
        <f aca="true">IF(AND(AND(C498&lt;&gt;"Kazanıldı",C498&lt;&gt;"Kaybedildi",C498&lt;&gt;""),F498&lt;&gt;""),IF(F498&lt;TODAY(),"Gecikti",IF(F498=TODAY(),"Bugün","")),"")</f>
        <v/>
      </c>
      <c r="K498" s="18" t="str">
        <f aca="true">IF(AND(AND(C498&lt;&gt;"Kazanıldı",C498&lt;&gt;"Kaybedildi",C498&lt;&gt;""),F498&lt;&gt;"",F498&lt;=TODAY()),F498+ROW()/1000000,"")</f>
        <v/>
      </c>
    </row>
    <row r="499" customFormat="false" ht="15" hidden="false" customHeight="false" outlineLevel="0" collapsed="false">
      <c r="A499" s="12"/>
      <c r="B499" s="13"/>
      <c r="C499" s="13"/>
      <c r="D499" s="14"/>
      <c r="E499" s="15"/>
      <c r="F499" s="15"/>
      <c r="G499" s="12"/>
      <c r="H499" s="16" t="str">
        <f aca="false">IF(OR(A499="",C499=""),"",IFERROR(INDEX(Aşamalar!$B$5:$B$12,MATCH(C499,Aşamalar!$A$5:$A$12,0)),0))</f>
        <v/>
      </c>
      <c r="I499" s="17" t="str">
        <f aca="false">IF(H499="","",D499*H499)</f>
        <v/>
      </c>
      <c r="J499" s="18" t="str">
        <f aca="true">IF(AND(AND(C499&lt;&gt;"Kazanıldı",C499&lt;&gt;"Kaybedildi",C499&lt;&gt;""),F499&lt;&gt;""),IF(F499&lt;TODAY(),"Gecikti",IF(F499=TODAY(),"Bugün","")),"")</f>
        <v/>
      </c>
      <c r="K499" s="18" t="str">
        <f aca="true">IF(AND(AND(C499&lt;&gt;"Kazanıldı",C499&lt;&gt;"Kaybedildi",C499&lt;&gt;""),F499&lt;&gt;"",F499&lt;=TODAY()),F499+ROW()/1000000,"")</f>
        <v/>
      </c>
    </row>
    <row r="500" customFormat="false" ht="15" hidden="false" customHeight="false" outlineLevel="0" collapsed="false">
      <c r="A500" s="12"/>
      <c r="B500" s="13"/>
      <c r="C500" s="13"/>
      <c r="D500" s="14"/>
      <c r="E500" s="15"/>
      <c r="F500" s="15"/>
      <c r="G500" s="12"/>
      <c r="H500" s="16" t="str">
        <f aca="false">IF(OR(A500="",C500=""),"",IFERROR(INDEX(Aşamalar!$B$5:$B$12,MATCH(C500,Aşamalar!$A$5:$A$12,0)),0))</f>
        <v/>
      </c>
      <c r="I500" s="17" t="str">
        <f aca="false">IF(H500="","",D500*H500)</f>
        <v/>
      </c>
      <c r="J500" s="18" t="str">
        <f aca="true">IF(AND(AND(C500&lt;&gt;"Kazanıldı",C500&lt;&gt;"Kaybedildi",C500&lt;&gt;""),F500&lt;&gt;""),IF(F500&lt;TODAY(),"Gecikti",IF(F500=TODAY(),"Bugün","")),"")</f>
        <v/>
      </c>
      <c r="K500" s="18" t="str">
        <f aca="true">IF(AND(AND(C500&lt;&gt;"Kazanıldı",C500&lt;&gt;"Kaybedildi",C500&lt;&gt;""),F500&lt;&gt;"",F500&lt;=TODAY()),F500+ROW()/1000000,"")</f>
        <v/>
      </c>
    </row>
    <row r="501" customFormat="false" ht="15" hidden="false" customHeight="false" outlineLevel="0" collapsed="false">
      <c r="A501" s="12"/>
      <c r="B501" s="13"/>
      <c r="C501" s="13"/>
      <c r="D501" s="14"/>
      <c r="E501" s="15"/>
      <c r="F501" s="15"/>
      <c r="G501" s="12"/>
      <c r="H501" s="16" t="str">
        <f aca="false">IF(OR(A501="",C501=""),"",IFERROR(INDEX(Aşamalar!$B$5:$B$12,MATCH(C501,Aşamalar!$A$5:$A$12,0)),0))</f>
        <v/>
      </c>
      <c r="I501" s="17" t="str">
        <f aca="false">IF(H501="","",D501*H501)</f>
        <v/>
      </c>
      <c r="J501" s="18" t="str">
        <f aca="true">IF(AND(AND(C501&lt;&gt;"Kazanıldı",C501&lt;&gt;"Kaybedildi",C501&lt;&gt;""),F501&lt;&gt;""),IF(F501&lt;TODAY(),"Gecikti",IF(F501=TODAY(),"Bugün","")),"")</f>
        <v/>
      </c>
      <c r="K501" s="18" t="str">
        <f aca="true">IF(AND(AND(C501&lt;&gt;"Kazanıldı",C501&lt;&gt;"Kaybedildi",C501&lt;&gt;""),F501&lt;&gt;"",F501&lt;=TODAY()),F501+ROW()/1000000,"")</f>
        <v/>
      </c>
    </row>
    <row r="502" customFormat="false" ht="15" hidden="false" customHeight="false" outlineLevel="0" collapsed="false">
      <c r="A502" s="12"/>
      <c r="B502" s="13"/>
      <c r="C502" s="13"/>
      <c r="D502" s="14"/>
      <c r="E502" s="15"/>
      <c r="F502" s="15"/>
      <c r="G502" s="12"/>
      <c r="H502" s="16" t="str">
        <f aca="false">IF(OR(A502="",C502=""),"",IFERROR(INDEX(Aşamalar!$B$5:$B$12,MATCH(C502,Aşamalar!$A$5:$A$12,0)),0))</f>
        <v/>
      </c>
      <c r="I502" s="17" t="str">
        <f aca="false">IF(H502="","",D502*H502)</f>
        <v/>
      </c>
      <c r="J502" s="18" t="str">
        <f aca="true">IF(AND(AND(C502&lt;&gt;"Kazanıldı",C502&lt;&gt;"Kaybedildi",C502&lt;&gt;""),F502&lt;&gt;""),IF(F502&lt;TODAY(),"Gecikti",IF(F502=TODAY(),"Bugün","")),"")</f>
        <v/>
      </c>
      <c r="K502" s="18" t="str">
        <f aca="true">IF(AND(AND(C502&lt;&gt;"Kazanıldı",C502&lt;&gt;"Kaybedildi",C502&lt;&gt;""),F502&lt;&gt;"",F502&lt;=TODAY()),F502+ROW()/1000000,"")</f>
        <v/>
      </c>
    </row>
    <row r="503" customFormat="false" ht="15" hidden="false" customHeight="false" outlineLevel="0" collapsed="false">
      <c r="A503" s="12"/>
      <c r="B503" s="13"/>
      <c r="C503" s="13"/>
      <c r="D503" s="14"/>
      <c r="E503" s="15"/>
      <c r="F503" s="15"/>
      <c r="G503" s="12"/>
      <c r="H503" s="16" t="str">
        <f aca="false">IF(OR(A503="",C503=""),"",IFERROR(INDEX(Aşamalar!$B$5:$B$12,MATCH(C503,Aşamalar!$A$5:$A$12,0)),0))</f>
        <v/>
      </c>
      <c r="I503" s="17" t="str">
        <f aca="false">IF(H503="","",D503*H503)</f>
        <v/>
      </c>
      <c r="J503" s="18" t="str">
        <f aca="true">IF(AND(AND(C503&lt;&gt;"Kazanıldı",C503&lt;&gt;"Kaybedildi",C503&lt;&gt;""),F503&lt;&gt;""),IF(F503&lt;TODAY(),"Gecikti",IF(F503=TODAY(),"Bugün","")),"")</f>
        <v/>
      </c>
      <c r="K503" s="18" t="str">
        <f aca="true">IF(AND(AND(C503&lt;&gt;"Kazanıldı",C503&lt;&gt;"Kaybedildi",C503&lt;&gt;""),F503&lt;&gt;"",F503&lt;=TODAY()),F503+ROW()/1000000,"")</f>
        <v/>
      </c>
    </row>
    <row r="504" customFormat="false" ht="15" hidden="false" customHeight="false" outlineLevel="0" collapsed="false">
      <c r="A504" s="12"/>
      <c r="B504" s="13"/>
      <c r="C504" s="13"/>
      <c r="D504" s="14"/>
      <c r="E504" s="15"/>
      <c r="F504" s="15"/>
      <c r="G504" s="12"/>
      <c r="H504" s="16" t="str">
        <f aca="false">IF(OR(A504="",C504=""),"",IFERROR(INDEX(Aşamalar!$B$5:$B$12,MATCH(C504,Aşamalar!$A$5:$A$12,0)),0))</f>
        <v/>
      </c>
      <c r="I504" s="17" t="str">
        <f aca="false">IF(H504="","",D504*H504)</f>
        <v/>
      </c>
      <c r="J504" s="18" t="str">
        <f aca="true">IF(AND(AND(C504&lt;&gt;"Kazanıldı",C504&lt;&gt;"Kaybedildi",C504&lt;&gt;""),F504&lt;&gt;""),IF(F504&lt;TODAY(),"Gecikti",IF(F504=TODAY(),"Bugün","")),"")</f>
        <v/>
      </c>
      <c r="K504" s="18" t="str">
        <f aca="true">IF(AND(AND(C504&lt;&gt;"Kazanıldı",C504&lt;&gt;"Kaybedildi",C504&lt;&gt;""),F504&lt;&gt;"",F504&lt;=TODAY()),F504+ROW()/1000000,"")</f>
        <v/>
      </c>
    </row>
    <row r="505" customFormat="false" ht="15" hidden="false" customHeight="false" outlineLevel="0" collapsed="false">
      <c r="A505" s="12"/>
      <c r="B505" s="13"/>
      <c r="C505" s="13"/>
      <c r="D505" s="14"/>
      <c r="E505" s="15"/>
      <c r="F505" s="15"/>
      <c r="G505" s="12"/>
      <c r="H505" s="16" t="str">
        <f aca="false">IF(OR(A505="",C505=""),"",IFERROR(INDEX(Aşamalar!$B$5:$B$12,MATCH(C505,Aşamalar!$A$5:$A$12,0)),0))</f>
        <v/>
      </c>
      <c r="I505" s="17" t="str">
        <f aca="false">IF(H505="","",D505*H505)</f>
        <v/>
      </c>
      <c r="J505" s="18" t="str">
        <f aca="true">IF(AND(AND(C505&lt;&gt;"Kazanıldı",C505&lt;&gt;"Kaybedildi",C505&lt;&gt;""),F505&lt;&gt;""),IF(F505&lt;TODAY(),"Gecikti",IF(F505=TODAY(),"Bugün","")),"")</f>
        <v/>
      </c>
      <c r="K505" s="18" t="str">
        <f aca="true">IF(AND(AND(C505&lt;&gt;"Kazanıldı",C505&lt;&gt;"Kaybedildi",C505&lt;&gt;""),F505&lt;&gt;"",F505&lt;=TODAY()),F505+ROW()/1000000,"")</f>
        <v/>
      </c>
    </row>
    <row r="506" customFormat="false" ht="15" hidden="false" customHeight="false" outlineLevel="0" collapsed="false">
      <c r="A506" s="12"/>
      <c r="B506" s="13"/>
      <c r="C506" s="13"/>
      <c r="D506" s="14"/>
      <c r="E506" s="15"/>
      <c r="F506" s="15"/>
      <c r="G506" s="12"/>
      <c r="H506" s="16" t="str">
        <f aca="false">IF(OR(A506="",C506=""),"",IFERROR(INDEX(Aşamalar!$B$5:$B$12,MATCH(C506,Aşamalar!$A$5:$A$12,0)),0))</f>
        <v/>
      </c>
      <c r="I506" s="17" t="str">
        <f aca="false">IF(H506="","",D506*H506)</f>
        <v/>
      </c>
      <c r="J506" s="18" t="str">
        <f aca="true">IF(AND(AND(C506&lt;&gt;"Kazanıldı",C506&lt;&gt;"Kaybedildi",C506&lt;&gt;""),F506&lt;&gt;""),IF(F506&lt;TODAY(),"Gecikti",IF(F506=TODAY(),"Bugün","")),"")</f>
        <v/>
      </c>
      <c r="K506" s="18" t="str">
        <f aca="true">IF(AND(AND(C506&lt;&gt;"Kazanıldı",C506&lt;&gt;"Kaybedildi",C506&lt;&gt;""),F506&lt;&gt;"",F506&lt;=TODAY()),F506+ROW()/1000000,"")</f>
        <v/>
      </c>
    </row>
    <row r="507" customFormat="false" ht="15" hidden="false" customHeight="false" outlineLevel="0" collapsed="false">
      <c r="A507" s="12"/>
      <c r="B507" s="13"/>
      <c r="C507" s="13"/>
      <c r="D507" s="14"/>
      <c r="E507" s="15"/>
      <c r="F507" s="15"/>
      <c r="G507" s="12"/>
      <c r="H507" s="16" t="str">
        <f aca="false">IF(OR(A507="",C507=""),"",IFERROR(INDEX(Aşamalar!$B$5:$B$12,MATCH(C507,Aşamalar!$A$5:$A$12,0)),0))</f>
        <v/>
      </c>
      <c r="I507" s="17" t="str">
        <f aca="false">IF(H507="","",D507*H507)</f>
        <v/>
      </c>
      <c r="J507" s="18" t="str">
        <f aca="true">IF(AND(AND(C507&lt;&gt;"Kazanıldı",C507&lt;&gt;"Kaybedildi",C507&lt;&gt;""),F507&lt;&gt;""),IF(F507&lt;TODAY(),"Gecikti",IF(F507=TODAY(),"Bugün","")),"")</f>
        <v/>
      </c>
      <c r="K507" s="18" t="str">
        <f aca="true">IF(AND(AND(C507&lt;&gt;"Kazanıldı",C507&lt;&gt;"Kaybedildi",C507&lt;&gt;""),F507&lt;&gt;"",F507&lt;=TODAY()),F507+ROW()/1000000,"")</f>
        <v/>
      </c>
    </row>
    <row r="508" customFormat="false" ht="15" hidden="false" customHeight="false" outlineLevel="0" collapsed="false">
      <c r="A508" s="12"/>
      <c r="B508" s="13"/>
      <c r="C508" s="13"/>
      <c r="D508" s="14"/>
      <c r="E508" s="15"/>
      <c r="F508" s="15"/>
      <c r="G508" s="12"/>
      <c r="H508" s="16" t="str">
        <f aca="false">IF(OR(A508="",C508=""),"",IFERROR(INDEX(Aşamalar!$B$5:$B$12,MATCH(C508,Aşamalar!$A$5:$A$12,0)),0))</f>
        <v/>
      </c>
      <c r="I508" s="17" t="str">
        <f aca="false">IF(H508="","",D508*H508)</f>
        <v/>
      </c>
      <c r="J508" s="18" t="str">
        <f aca="true">IF(AND(AND(C508&lt;&gt;"Kazanıldı",C508&lt;&gt;"Kaybedildi",C508&lt;&gt;""),F508&lt;&gt;""),IF(F508&lt;TODAY(),"Gecikti",IF(F508=TODAY(),"Bugün","")),"")</f>
        <v/>
      </c>
      <c r="K508" s="18" t="str">
        <f aca="true">IF(AND(AND(C508&lt;&gt;"Kazanıldı",C508&lt;&gt;"Kaybedildi",C508&lt;&gt;""),F508&lt;&gt;"",F508&lt;=TODAY()),F508+ROW()/1000000,"")</f>
        <v/>
      </c>
    </row>
    <row r="509" customFormat="false" ht="15" hidden="false" customHeight="false" outlineLevel="0" collapsed="false">
      <c r="A509" s="12"/>
      <c r="B509" s="13"/>
      <c r="C509" s="13"/>
      <c r="D509" s="14"/>
      <c r="E509" s="15"/>
      <c r="F509" s="15"/>
      <c r="G509" s="12"/>
      <c r="H509" s="16" t="str">
        <f aca="false">IF(OR(A509="",C509=""),"",IFERROR(INDEX(Aşamalar!$B$5:$B$12,MATCH(C509,Aşamalar!$A$5:$A$12,0)),0))</f>
        <v/>
      </c>
      <c r="I509" s="17" t="str">
        <f aca="false">IF(H509="","",D509*H509)</f>
        <v/>
      </c>
      <c r="J509" s="18" t="str">
        <f aca="true">IF(AND(AND(C509&lt;&gt;"Kazanıldı",C509&lt;&gt;"Kaybedildi",C509&lt;&gt;""),F509&lt;&gt;""),IF(F509&lt;TODAY(),"Gecikti",IF(F509=TODAY(),"Bugün","")),"")</f>
        <v/>
      </c>
      <c r="K509" s="18" t="str">
        <f aca="true">IF(AND(AND(C509&lt;&gt;"Kazanıldı",C509&lt;&gt;"Kaybedildi",C509&lt;&gt;""),F509&lt;&gt;"",F509&lt;=TODAY()),F509+ROW()/1000000,"")</f>
        <v/>
      </c>
    </row>
    <row r="510" customFormat="false" ht="15" hidden="false" customHeight="false" outlineLevel="0" collapsed="false">
      <c r="A510" s="12"/>
      <c r="B510" s="13"/>
      <c r="C510" s="13"/>
      <c r="D510" s="14"/>
      <c r="E510" s="15"/>
      <c r="F510" s="15"/>
      <c r="G510" s="12"/>
      <c r="H510" s="16" t="str">
        <f aca="false">IF(OR(A510="",C510=""),"",IFERROR(INDEX(Aşamalar!$B$5:$B$12,MATCH(C510,Aşamalar!$A$5:$A$12,0)),0))</f>
        <v/>
      </c>
      <c r="I510" s="17" t="str">
        <f aca="false">IF(H510="","",D510*H510)</f>
        <v/>
      </c>
      <c r="J510" s="18" t="str">
        <f aca="true">IF(AND(AND(C510&lt;&gt;"Kazanıldı",C510&lt;&gt;"Kaybedildi",C510&lt;&gt;""),F510&lt;&gt;""),IF(F510&lt;TODAY(),"Gecikti",IF(F510=TODAY(),"Bugün","")),"")</f>
        <v/>
      </c>
      <c r="K510" s="18" t="str">
        <f aca="true">IF(AND(AND(C510&lt;&gt;"Kazanıldı",C510&lt;&gt;"Kaybedildi",C510&lt;&gt;""),F510&lt;&gt;"",F510&lt;=TODAY()),F510+ROW()/1000000,"")</f>
        <v/>
      </c>
    </row>
    <row r="511" customFormat="false" ht="15" hidden="false" customHeight="false" outlineLevel="0" collapsed="false">
      <c r="A511" s="12"/>
      <c r="B511" s="13"/>
      <c r="C511" s="13"/>
      <c r="D511" s="14"/>
      <c r="E511" s="15"/>
      <c r="F511" s="15"/>
      <c r="G511" s="12"/>
      <c r="H511" s="16" t="str">
        <f aca="false">IF(OR(A511="",C511=""),"",IFERROR(INDEX(Aşamalar!$B$5:$B$12,MATCH(C511,Aşamalar!$A$5:$A$12,0)),0))</f>
        <v/>
      </c>
      <c r="I511" s="17" t="str">
        <f aca="false">IF(H511="","",D511*H511)</f>
        <v/>
      </c>
      <c r="J511" s="18" t="str">
        <f aca="true">IF(AND(AND(C511&lt;&gt;"Kazanıldı",C511&lt;&gt;"Kaybedildi",C511&lt;&gt;""),F511&lt;&gt;""),IF(F511&lt;TODAY(),"Gecikti",IF(F511=TODAY(),"Bugün","")),"")</f>
        <v/>
      </c>
      <c r="K511" s="18" t="str">
        <f aca="true">IF(AND(AND(C511&lt;&gt;"Kazanıldı",C511&lt;&gt;"Kaybedildi",C511&lt;&gt;""),F511&lt;&gt;"",F511&lt;=TODAY()),F511+ROW()/1000000,"")</f>
        <v/>
      </c>
    </row>
    <row r="512" customFormat="false" ht="15" hidden="false" customHeight="false" outlineLevel="0" collapsed="false">
      <c r="A512" s="12"/>
      <c r="B512" s="13"/>
      <c r="C512" s="13"/>
      <c r="D512" s="14"/>
      <c r="E512" s="15"/>
      <c r="F512" s="15"/>
      <c r="G512" s="12"/>
      <c r="H512" s="16" t="str">
        <f aca="false">IF(OR(A512="",C512=""),"",IFERROR(INDEX(Aşamalar!$B$5:$B$12,MATCH(C512,Aşamalar!$A$5:$A$12,0)),0))</f>
        <v/>
      </c>
      <c r="I512" s="17" t="str">
        <f aca="false">IF(H512="","",D512*H512)</f>
        <v/>
      </c>
      <c r="J512" s="18" t="str">
        <f aca="true">IF(AND(AND(C512&lt;&gt;"Kazanıldı",C512&lt;&gt;"Kaybedildi",C512&lt;&gt;""),F512&lt;&gt;""),IF(F512&lt;TODAY(),"Gecikti",IF(F512=TODAY(),"Bugün","")),"")</f>
        <v/>
      </c>
      <c r="K512" s="18" t="str">
        <f aca="true">IF(AND(AND(C512&lt;&gt;"Kazanıldı",C512&lt;&gt;"Kaybedildi",C512&lt;&gt;""),F512&lt;&gt;"",F512&lt;=TODAY()),F512+ROW()/1000000,"")</f>
        <v/>
      </c>
    </row>
    <row r="513" customFormat="false" ht="15" hidden="false" customHeight="false" outlineLevel="0" collapsed="false">
      <c r="A513" s="12"/>
      <c r="B513" s="13"/>
      <c r="C513" s="13"/>
      <c r="D513" s="14"/>
      <c r="E513" s="15"/>
      <c r="F513" s="15"/>
      <c r="G513" s="12"/>
      <c r="H513" s="16" t="str">
        <f aca="false">IF(OR(A513="",C513=""),"",IFERROR(INDEX(Aşamalar!$B$5:$B$12,MATCH(C513,Aşamalar!$A$5:$A$12,0)),0))</f>
        <v/>
      </c>
      <c r="I513" s="17" t="str">
        <f aca="false">IF(H513="","",D513*H513)</f>
        <v/>
      </c>
      <c r="J513" s="18" t="str">
        <f aca="true">IF(AND(AND(C513&lt;&gt;"Kazanıldı",C513&lt;&gt;"Kaybedildi",C513&lt;&gt;""),F513&lt;&gt;""),IF(F513&lt;TODAY(),"Gecikti",IF(F513=TODAY(),"Bugün","")),"")</f>
        <v/>
      </c>
      <c r="K513" s="18" t="str">
        <f aca="true">IF(AND(AND(C513&lt;&gt;"Kazanıldı",C513&lt;&gt;"Kaybedildi",C513&lt;&gt;""),F513&lt;&gt;"",F513&lt;=TODAY()),F513+ROW()/1000000,"")</f>
        <v/>
      </c>
    </row>
    <row r="514" customFormat="false" ht="15" hidden="false" customHeight="false" outlineLevel="0" collapsed="false">
      <c r="A514" s="12"/>
      <c r="B514" s="13"/>
      <c r="C514" s="13"/>
      <c r="D514" s="14"/>
      <c r="E514" s="15"/>
      <c r="F514" s="15"/>
      <c r="G514" s="12"/>
      <c r="H514" s="16" t="str">
        <f aca="false">IF(OR(A514="",C514=""),"",IFERROR(INDEX(Aşamalar!$B$5:$B$12,MATCH(C514,Aşamalar!$A$5:$A$12,0)),0))</f>
        <v/>
      </c>
      <c r="I514" s="17" t="str">
        <f aca="false">IF(H514="","",D514*H514)</f>
        <v/>
      </c>
      <c r="J514" s="18" t="str">
        <f aca="true">IF(AND(AND(C514&lt;&gt;"Kazanıldı",C514&lt;&gt;"Kaybedildi",C514&lt;&gt;""),F514&lt;&gt;""),IF(F514&lt;TODAY(),"Gecikti",IF(F514=TODAY(),"Bugün","")),"")</f>
        <v/>
      </c>
      <c r="K514" s="18" t="str">
        <f aca="true">IF(AND(AND(C514&lt;&gt;"Kazanıldı",C514&lt;&gt;"Kaybedildi",C514&lt;&gt;""),F514&lt;&gt;"",F514&lt;=TODAY()),F514+ROW()/1000000,"")</f>
        <v/>
      </c>
    </row>
    <row r="515" customFormat="false" ht="15" hidden="false" customHeight="false" outlineLevel="0" collapsed="false">
      <c r="A515" s="12"/>
      <c r="B515" s="13"/>
      <c r="C515" s="13"/>
      <c r="D515" s="14"/>
      <c r="E515" s="15"/>
      <c r="F515" s="15"/>
      <c r="G515" s="12"/>
      <c r="H515" s="16" t="str">
        <f aca="false">IF(OR(A515="",C515=""),"",IFERROR(INDEX(Aşamalar!$B$5:$B$12,MATCH(C515,Aşamalar!$A$5:$A$12,0)),0))</f>
        <v/>
      </c>
      <c r="I515" s="17" t="str">
        <f aca="false">IF(H515="","",D515*H515)</f>
        <v/>
      </c>
      <c r="J515" s="18" t="str">
        <f aca="true">IF(AND(AND(C515&lt;&gt;"Kazanıldı",C515&lt;&gt;"Kaybedildi",C515&lt;&gt;""),F515&lt;&gt;""),IF(F515&lt;TODAY(),"Gecikti",IF(F515=TODAY(),"Bugün","")),"")</f>
        <v/>
      </c>
      <c r="K515" s="18" t="str">
        <f aca="true">IF(AND(AND(C515&lt;&gt;"Kazanıldı",C515&lt;&gt;"Kaybedildi",C515&lt;&gt;""),F515&lt;&gt;"",F515&lt;=TODAY()),F515+ROW()/1000000,"")</f>
        <v/>
      </c>
    </row>
    <row r="516" customFormat="false" ht="15" hidden="false" customHeight="false" outlineLevel="0" collapsed="false">
      <c r="A516" s="12"/>
      <c r="B516" s="13"/>
      <c r="C516" s="13"/>
      <c r="D516" s="14"/>
      <c r="E516" s="15"/>
      <c r="F516" s="15"/>
      <c r="G516" s="12"/>
      <c r="H516" s="16" t="str">
        <f aca="false">IF(OR(A516="",C516=""),"",IFERROR(INDEX(Aşamalar!$B$5:$B$12,MATCH(C516,Aşamalar!$A$5:$A$12,0)),0))</f>
        <v/>
      </c>
      <c r="I516" s="17" t="str">
        <f aca="false">IF(H516="","",D516*H516)</f>
        <v/>
      </c>
      <c r="J516" s="18" t="str">
        <f aca="true">IF(AND(AND(C516&lt;&gt;"Kazanıldı",C516&lt;&gt;"Kaybedildi",C516&lt;&gt;""),F516&lt;&gt;""),IF(F516&lt;TODAY(),"Gecikti",IF(F516=TODAY(),"Bugün","")),"")</f>
        <v/>
      </c>
      <c r="K516" s="18" t="str">
        <f aca="true">IF(AND(AND(C516&lt;&gt;"Kazanıldı",C516&lt;&gt;"Kaybedildi",C516&lt;&gt;""),F516&lt;&gt;"",F516&lt;=TODAY()),F516+ROW()/1000000,"")</f>
        <v/>
      </c>
    </row>
    <row r="517" customFormat="false" ht="15" hidden="false" customHeight="false" outlineLevel="0" collapsed="false">
      <c r="A517" s="12"/>
      <c r="B517" s="13"/>
      <c r="C517" s="13"/>
      <c r="D517" s="14"/>
      <c r="E517" s="15"/>
      <c r="F517" s="15"/>
      <c r="G517" s="12"/>
      <c r="H517" s="16" t="str">
        <f aca="false">IF(OR(A517="",C517=""),"",IFERROR(INDEX(Aşamalar!$B$5:$B$12,MATCH(C517,Aşamalar!$A$5:$A$12,0)),0))</f>
        <v/>
      </c>
      <c r="I517" s="17" t="str">
        <f aca="false">IF(H517="","",D517*H517)</f>
        <v/>
      </c>
      <c r="J517" s="18" t="str">
        <f aca="true">IF(AND(AND(C517&lt;&gt;"Kazanıldı",C517&lt;&gt;"Kaybedildi",C517&lt;&gt;""),F517&lt;&gt;""),IF(F517&lt;TODAY(),"Gecikti",IF(F517=TODAY(),"Bugün","")),"")</f>
        <v/>
      </c>
      <c r="K517" s="18" t="str">
        <f aca="true">IF(AND(AND(C517&lt;&gt;"Kazanıldı",C517&lt;&gt;"Kaybedildi",C517&lt;&gt;""),F517&lt;&gt;"",F517&lt;=TODAY()),F517+ROW()/1000000,"")</f>
        <v/>
      </c>
    </row>
    <row r="518" customFormat="false" ht="15" hidden="false" customHeight="false" outlineLevel="0" collapsed="false">
      <c r="A518" s="12"/>
      <c r="B518" s="13"/>
      <c r="C518" s="13"/>
      <c r="D518" s="14"/>
      <c r="E518" s="15"/>
      <c r="F518" s="15"/>
      <c r="G518" s="12"/>
      <c r="H518" s="16" t="str">
        <f aca="false">IF(OR(A518="",C518=""),"",IFERROR(INDEX(Aşamalar!$B$5:$B$12,MATCH(C518,Aşamalar!$A$5:$A$12,0)),0))</f>
        <v/>
      </c>
      <c r="I518" s="17" t="str">
        <f aca="false">IF(H518="","",D518*H518)</f>
        <v/>
      </c>
      <c r="J518" s="18" t="str">
        <f aca="true">IF(AND(AND(C518&lt;&gt;"Kazanıldı",C518&lt;&gt;"Kaybedildi",C518&lt;&gt;""),F518&lt;&gt;""),IF(F518&lt;TODAY(),"Gecikti",IF(F518=TODAY(),"Bugün","")),"")</f>
        <v/>
      </c>
      <c r="K518" s="18" t="str">
        <f aca="true">IF(AND(AND(C518&lt;&gt;"Kazanıldı",C518&lt;&gt;"Kaybedildi",C518&lt;&gt;""),F518&lt;&gt;"",F518&lt;=TODAY()),F518+ROW()/1000000,"")</f>
        <v/>
      </c>
    </row>
    <row r="519" customFormat="false" ht="15" hidden="false" customHeight="false" outlineLevel="0" collapsed="false">
      <c r="A519" s="12"/>
      <c r="B519" s="13"/>
      <c r="C519" s="13"/>
      <c r="D519" s="14"/>
      <c r="E519" s="15"/>
      <c r="F519" s="15"/>
      <c r="G519" s="12"/>
      <c r="H519" s="16" t="str">
        <f aca="false">IF(OR(A519="",C519=""),"",IFERROR(INDEX(Aşamalar!$B$5:$B$12,MATCH(C519,Aşamalar!$A$5:$A$12,0)),0))</f>
        <v/>
      </c>
      <c r="I519" s="17" t="str">
        <f aca="false">IF(H519="","",D519*H519)</f>
        <v/>
      </c>
      <c r="J519" s="18" t="str">
        <f aca="true">IF(AND(AND(C519&lt;&gt;"Kazanıldı",C519&lt;&gt;"Kaybedildi",C519&lt;&gt;""),F519&lt;&gt;""),IF(F519&lt;TODAY(),"Gecikti",IF(F519=TODAY(),"Bugün","")),"")</f>
        <v/>
      </c>
      <c r="K519" s="18" t="str">
        <f aca="true">IF(AND(AND(C519&lt;&gt;"Kazanıldı",C519&lt;&gt;"Kaybedildi",C519&lt;&gt;""),F519&lt;&gt;"",F519&lt;=TODAY()),F519+ROW()/1000000,"")</f>
        <v/>
      </c>
    </row>
    <row r="520" customFormat="false" ht="15" hidden="false" customHeight="false" outlineLevel="0" collapsed="false">
      <c r="A520" s="12"/>
      <c r="B520" s="13"/>
      <c r="C520" s="13"/>
      <c r="D520" s="14"/>
      <c r="E520" s="15"/>
      <c r="F520" s="15"/>
      <c r="G520" s="12"/>
      <c r="H520" s="16" t="str">
        <f aca="false">IF(OR(A520="",C520=""),"",IFERROR(INDEX(Aşamalar!$B$5:$B$12,MATCH(C520,Aşamalar!$A$5:$A$12,0)),0))</f>
        <v/>
      </c>
      <c r="I520" s="17" t="str">
        <f aca="false">IF(H520="","",D520*H520)</f>
        <v/>
      </c>
      <c r="J520" s="18" t="str">
        <f aca="true">IF(AND(AND(C520&lt;&gt;"Kazanıldı",C520&lt;&gt;"Kaybedildi",C520&lt;&gt;""),F520&lt;&gt;""),IF(F520&lt;TODAY(),"Gecikti",IF(F520=TODAY(),"Bugün","")),"")</f>
        <v/>
      </c>
      <c r="K520" s="18" t="str">
        <f aca="true">IF(AND(AND(C520&lt;&gt;"Kazanıldı",C520&lt;&gt;"Kaybedildi",C520&lt;&gt;""),F520&lt;&gt;"",F520&lt;=TODAY()),F520+ROW()/1000000,"")</f>
        <v/>
      </c>
    </row>
    <row r="521" customFormat="false" ht="15" hidden="false" customHeight="false" outlineLevel="0" collapsed="false">
      <c r="A521" s="12"/>
      <c r="B521" s="13"/>
      <c r="C521" s="13"/>
      <c r="D521" s="14"/>
      <c r="E521" s="15"/>
      <c r="F521" s="15"/>
      <c r="G521" s="12"/>
      <c r="H521" s="16" t="str">
        <f aca="false">IF(OR(A521="",C521=""),"",IFERROR(INDEX(Aşamalar!$B$5:$B$12,MATCH(C521,Aşamalar!$A$5:$A$12,0)),0))</f>
        <v/>
      </c>
      <c r="I521" s="17" t="str">
        <f aca="false">IF(H521="","",D521*H521)</f>
        <v/>
      </c>
      <c r="J521" s="18" t="str">
        <f aca="true">IF(AND(AND(C521&lt;&gt;"Kazanıldı",C521&lt;&gt;"Kaybedildi",C521&lt;&gt;""),F521&lt;&gt;""),IF(F521&lt;TODAY(),"Gecikti",IF(F521=TODAY(),"Bugün","")),"")</f>
        <v/>
      </c>
      <c r="K521" s="18" t="str">
        <f aca="true">IF(AND(AND(C521&lt;&gt;"Kazanıldı",C521&lt;&gt;"Kaybedildi",C521&lt;&gt;""),F521&lt;&gt;"",F521&lt;=TODAY()),F521+ROW()/1000000,"")</f>
        <v/>
      </c>
    </row>
    <row r="522" customFormat="false" ht="15" hidden="false" customHeight="false" outlineLevel="0" collapsed="false">
      <c r="A522" s="12"/>
      <c r="B522" s="13"/>
      <c r="C522" s="13"/>
      <c r="D522" s="14"/>
      <c r="E522" s="15"/>
      <c r="F522" s="15"/>
      <c r="G522" s="12"/>
      <c r="H522" s="16" t="str">
        <f aca="false">IF(OR(A522="",C522=""),"",IFERROR(INDEX(Aşamalar!$B$5:$B$12,MATCH(C522,Aşamalar!$A$5:$A$12,0)),0))</f>
        <v/>
      </c>
      <c r="I522" s="17" t="str">
        <f aca="false">IF(H522="","",D522*H522)</f>
        <v/>
      </c>
      <c r="J522" s="18" t="str">
        <f aca="true">IF(AND(AND(C522&lt;&gt;"Kazanıldı",C522&lt;&gt;"Kaybedildi",C522&lt;&gt;""),F522&lt;&gt;""),IF(F522&lt;TODAY(),"Gecikti",IF(F522=TODAY(),"Bugün","")),"")</f>
        <v/>
      </c>
      <c r="K522" s="18" t="str">
        <f aca="true">IF(AND(AND(C522&lt;&gt;"Kazanıldı",C522&lt;&gt;"Kaybedildi",C522&lt;&gt;""),F522&lt;&gt;"",F522&lt;=TODAY()),F522+ROW()/1000000,"")</f>
        <v/>
      </c>
    </row>
    <row r="523" customFormat="false" ht="15" hidden="false" customHeight="false" outlineLevel="0" collapsed="false">
      <c r="A523" s="12"/>
      <c r="B523" s="13"/>
      <c r="C523" s="13"/>
      <c r="D523" s="14"/>
      <c r="E523" s="15"/>
      <c r="F523" s="15"/>
      <c r="G523" s="12"/>
      <c r="H523" s="16" t="str">
        <f aca="false">IF(OR(A523="",C523=""),"",IFERROR(INDEX(Aşamalar!$B$5:$B$12,MATCH(C523,Aşamalar!$A$5:$A$12,0)),0))</f>
        <v/>
      </c>
      <c r="I523" s="17" t="str">
        <f aca="false">IF(H523="","",D523*H523)</f>
        <v/>
      </c>
      <c r="J523" s="18" t="str">
        <f aca="true">IF(AND(AND(C523&lt;&gt;"Kazanıldı",C523&lt;&gt;"Kaybedildi",C523&lt;&gt;""),F523&lt;&gt;""),IF(F523&lt;TODAY(),"Gecikti",IF(F523=TODAY(),"Bugün","")),"")</f>
        <v/>
      </c>
      <c r="K523" s="18" t="str">
        <f aca="true">IF(AND(AND(C523&lt;&gt;"Kazanıldı",C523&lt;&gt;"Kaybedildi",C523&lt;&gt;""),F523&lt;&gt;"",F523&lt;=TODAY()),F523+ROW()/1000000,"")</f>
        <v/>
      </c>
    </row>
    <row r="524" customFormat="false" ht="15" hidden="false" customHeight="false" outlineLevel="0" collapsed="false">
      <c r="A524" s="12"/>
      <c r="B524" s="13"/>
      <c r="C524" s="13"/>
      <c r="D524" s="14"/>
      <c r="E524" s="15"/>
      <c r="F524" s="15"/>
      <c r="G524" s="12"/>
      <c r="H524" s="16" t="str">
        <f aca="false">IF(OR(A524="",C524=""),"",IFERROR(INDEX(Aşamalar!$B$5:$B$12,MATCH(C524,Aşamalar!$A$5:$A$12,0)),0))</f>
        <v/>
      </c>
      <c r="I524" s="17" t="str">
        <f aca="false">IF(H524="","",D524*H524)</f>
        <v/>
      </c>
      <c r="J524" s="18" t="str">
        <f aca="true">IF(AND(AND(C524&lt;&gt;"Kazanıldı",C524&lt;&gt;"Kaybedildi",C524&lt;&gt;""),F524&lt;&gt;""),IF(F524&lt;TODAY(),"Gecikti",IF(F524=TODAY(),"Bugün","")),"")</f>
        <v/>
      </c>
      <c r="K524" s="18" t="str">
        <f aca="true">IF(AND(AND(C524&lt;&gt;"Kazanıldı",C524&lt;&gt;"Kaybedildi",C524&lt;&gt;""),F524&lt;&gt;"",F524&lt;=TODAY()),F524+ROW()/1000000,"")</f>
        <v/>
      </c>
    </row>
    <row r="525" customFormat="false" ht="15" hidden="false" customHeight="false" outlineLevel="0" collapsed="false">
      <c r="A525" s="12"/>
      <c r="B525" s="13"/>
      <c r="C525" s="13"/>
      <c r="D525" s="14"/>
      <c r="E525" s="15"/>
      <c r="F525" s="15"/>
      <c r="G525" s="12"/>
      <c r="H525" s="16" t="str">
        <f aca="false">IF(OR(A525="",C525=""),"",IFERROR(INDEX(Aşamalar!$B$5:$B$12,MATCH(C525,Aşamalar!$A$5:$A$12,0)),0))</f>
        <v/>
      </c>
      <c r="I525" s="17" t="str">
        <f aca="false">IF(H525="","",D525*H525)</f>
        <v/>
      </c>
      <c r="J525" s="18" t="str">
        <f aca="true">IF(AND(AND(C525&lt;&gt;"Kazanıldı",C525&lt;&gt;"Kaybedildi",C525&lt;&gt;""),F525&lt;&gt;""),IF(F525&lt;TODAY(),"Gecikti",IF(F525=TODAY(),"Bugün","")),"")</f>
        <v/>
      </c>
      <c r="K525" s="18" t="str">
        <f aca="true">IF(AND(AND(C525&lt;&gt;"Kazanıldı",C525&lt;&gt;"Kaybedildi",C525&lt;&gt;""),F525&lt;&gt;"",F525&lt;=TODAY()),F525+ROW()/1000000,"")</f>
        <v/>
      </c>
    </row>
    <row r="526" customFormat="false" ht="15" hidden="false" customHeight="false" outlineLevel="0" collapsed="false">
      <c r="A526" s="12"/>
      <c r="B526" s="13"/>
      <c r="C526" s="13"/>
      <c r="D526" s="14"/>
      <c r="E526" s="15"/>
      <c r="F526" s="15"/>
      <c r="G526" s="12"/>
      <c r="H526" s="16" t="str">
        <f aca="false">IF(OR(A526="",C526=""),"",IFERROR(INDEX(Aşamalar!$B$5:$B$12,MATCH(C526,Aşamalar!$A$5:$A$12,0)),0))</f>
        <v/>
      </c>
      <c r="I526" s="17" t="str">
        <f aca="false">IF(H526="","",D526*H526)</f>
        <v/>
      </c>
      <c r="J526" s="18" t="str">
        <f aca="true">IF(AND(AND(C526&lt;&gt;"Kazanıldı",C526&lt;&gt;"Kaybedildi",C526&lt;&gt;""),F526&lt;&gt;""),IF(F526&lt;TODAY(),"Gecikti",IF(F526=TODAY(),"Bugün","")),"")</f>
        <v/>
      </c>
      <c r="K526" s="18" t="str">
        <f aca="true">IF(AND(AND(C526&lt;&gt;"Kazanıldı",C526&lt;&gt;"Kaybedildi",C526&lt;&gt;""),F526&lt;&gt;"",F526&lt;=TODAY()),F526+ROW()/1000000,"")</f>
        <v/>
      </c>
    </row>
    <row r="527" customFormat="false" ht="15" hidden="false" customHeight="false" outlineLevel="0" collapsed="false">
      <c r="A527" s="12"/>
      <c r="B527" s="13"/>
      <c r="C527" s="13"/>
      <c r="D527" s="14"/>
      <c r="E527" s="15"/>
      <c r="F527" s="15"/>
      <c r="G527" s="12"/>
      <c r="H527" s="16" t="str">
        <f aca="false">IF(OR(A527="",C527=""),"",IFERROR(INDEX(Aşamalar!$B$5:$B$12,MATCH(C527,Aşamalar!$A$5:$A$12,0)),0))</f>
        <v/>
      </c>
      <c r="I527" s="17" t="str">
        <f aca="false">IF(H527="","",D527*H527)</f>
        <v/>
      </c>
      <c r="J527" s="18" t="str">
        <f aca="true">IF(AND(AND(C527&lt;&gt;"Kazanıldı",C527&lt;&gt;"Kaybedildi",C527&lt;&gt;""),F527&lt;&gt;""),IF(F527&lt;TODAY(),"Gecikti",IF(F527=TODAY(),"Bugün","")),"")</f>
        <v/>
      </c>
      <c r="K527" s="18" t="str">
        <f aca="true">IF(AND(AND(C527&lt;&gt;"Kazanıldı",C527&lt;&gt;"Kaybedildi",C527&lt;&gt;""),F527&lt;&gt;"",F527&lt;=TODAY()),F527+ROW()/1000000,"")</f>
        <v/>
      </c>
    </row>
    <row r="528" customFormat="false" ht="15" hidden="false" customHeight="false" outlineLevel="0" collapsed="false">
      <c r="A528" s="12"/>
      <c r="B528" s="13"/>
      <c r="C528" s="13"/>
      <c r="D528" s="14"/>
      <c r="E528" s="15"/>
      <c r="F528" s="15"/>
      <c r="G528" s="12"/>
      <c r="H528" s="16" t="str">
        <f aca="false">IF(OR(A528="",C528=""),"",IFERROR(INDEX(Aşamalar!$B$5:$B$12,MATCH(C528,Aşamalar!$A$5:$A$12,0)),0))</f>
        <v/>
      </c>
      <c r="I528" s="17" t="str">
        <f aca="false">IF(H528="","",D528*H528)</f>
        <v/>
      </c>
      <c r="J528" s="18" t="str">
        <f aca="true">IF(AND(AND(C528&lt;&gt;"Kazanıldı",C528&lt;&gt;"Kaybedildi",C528&lt;&gt;""),F528&lt;&gt;""),IF(F528&lt;TODAY(),"Gecikti",IF(F528=TODAY(),"Bugün","")),"")</f>
        <v/>
      </c>
      <c r="K528" s="18" t="str">
        <f aca="true">IF(AND(AND(C528&lt;&gt;"Kazanıldı",C528&lt;&gt;"Kaybedildi",C528&lt;&gt;""),F528&lt;&gt;"",F528&lt;=TODAY()),F528+ROW()/1000000,"")</f>
        <v/>
      </c>
    </row>
    <row r="529" customFormat="false" ht="15" hidden="false" customHeight="false" outlineLevel="0" collapsed="false">
      <c r="A529" s="12"/>
      <c r="B529" s="13"/>
      <c r="C529" s="13"/>
      <c r="D529" s="14"/>
      <c r="E529" s="15"/>
      <c r="F529" s="15"/>
      <c r="G529" s="12"/>
      <c r="H529" s="16" t="str">
        <f aca="false">IF(OR(A529="",C529=""),"",IFERROR(INDEX(Aşamalar!$B$5:$B$12,MATCH(C529,Aşamalar!$A$5:$A$12,0)),0))</f>
        <v/>
      </c>
      <c r="I529" s="17" t="str">
        <f aca="false">IF(H529="","",D529*H529)</f>
        <v/>
      </c>
      <c r="J529" s="18" t="str">
        <f aca="true">IF(AND(AND(C529&lt;&gt;"Kazanıldı",C529&lt;&gt;"Kaybedildi",C529&lt;&gt;""),F529&lt;&gt;""),IF(F529&lt;TODAY(),"Gecikti",IF(F529=TODAY(),"Bugün","")),"")</f>
        <v/>
      </c>
      <c r="K529" s="18" t="str">
        <f aca="true">IF(AND(AND(C529&lt;&gt;"Kazanıldı",C529&lt;&gt;"Kaybedildi",C529&lt;&gt;""),F529&lt;&gt;"",F529&lt;=TODAY()),F529+ROW()/1000000,"")</f>
        <v/>
      </c>
    </row>
    <row r="530" customFormat="false" ht="15" hidden="false" customHeight="false" outlineLevel="0" collapsed="false">
      <c r="A530" s="12"/>
      <c r="B530" s="13"/>
      <c r="C530" s="13"/>
      <c r="D530" s="14"/>
      <c r="E530" s="15"/>
      <c r="F530" s="15"/>
      <c r="G530" s="12"/>
      <c r="H530" s="16" t="str">
        <f aca="false">IF(OR(A530="",C530=""),"",IFERROR(INDEX(Aşamalar!$B$5:$B$12,MATCH(C530,Aşamalar!$A$5:$A$12,0)),0))</f>
        <v/>
      </c>
      <c r="I530" s="17" t="str">
        <f aca="false">IF(H530="","",D530*H530)</f>
        <v/>
      </c>
      <c r="J530" s="18" t="str">
        <f aca="true">IF(AND(AND(C530&lt;&gt;"Kazanıldı",C530&lt;&gt;"Kaybedildi",C530&lt;&gt;""),F530&lt;&gt;""),IF(F530&lt;TODAY(),"Gecikti",IF(F530=TODAY(),"Bugün","")),"")</f>
        <v/>
      </c>
      <c r="K530" s="18" t="str">
        <f aca="true">IF(AND(AND(C530&lt;&gt;"Kazanıldı",C530&lt;&gt;"Kaybedildi",C530&lt;&gt;""),F530&lt;&gt;"",F530&lt;=TODAY()),F530+ROW()/1000000,"")</f>
        <v/>
      </c>
    </row>
    <row r="531" customFormat="false" ht="15" hidden="false" customHeight="false" outlineLevel="0" collapsed="false">
      <c r="A531" s="12"/>
      <c r="B531" s="13"/>
      <c r="C531" s="13"/>
      <c r="D531" s="14"/>
      <c r="E531" s="15"/>
      <c r="F531" s="15"/>
      <c r="G531" s="12"/>
      <c r="H531" s="16" t="str">
        <f aca="false">IF(OR(A531="",C531=""),"",IFERROR(INDEX(Aşamalar!$B$5:$B$12,MATCH(C531,Aşamalar!$A$5:$A$12,0)),0))</f>
        <v/>
      </c>
      <c r="I531" s="17" t="str">
        <f aca="false">IF(H531="","",D531*H531)</f>
        <v/>
      </c>
      <c r="J531" s="18" t="str">
        <f aca="true">IF(AND(AND(C531&lt;&gt;"Kazanıldı",C531&lt;&gt;"Kaybedildi",C531&lt;&gt;""),F531&lt;&gt;""),IF(F531&lt;TODAY(),"Gecikti",IF(F531=TODAY(),"Bugün","")),"")</f>
        <v/>
      </c>
      <c r="K531" s="18" t="str">
        <f aca="true">IF(AND(AND(C531&lt;&gt;"Kazanıldı",C531&lt;&gt;"Kaybedildi",C531&lt;&gt;""),F531&lt;&gt;"",F531&lt;=TODAY()),F531+ROW()/1000000,"")</f>
        <v/>
      </c>
    </row>
    <row r="532" customFormat="false" ht="15" hidden="false" customHeight="false" outlineLevel="0" collapsed="false">
      <c r="A532" s="12"/>
      <c r="B532" s="13"/>
      <c r="C532" s="13"/>
      <c r="D532" s="14"/>
      <c r="E532" s="15"/>
      <c r="F532" s="15"/>
      <c r="G532" s="12"/>
      <c r="H532" s="16" t="str">
        <f aca="false">IF(OR(A532="",C532=""),"",IFERROR(INDEX(Aşamalar!$B$5:$B$12,MATCH(C532,Aşamalar!$A$5:$A$12,0)),0))</f>
        <v/>
      </c>
      <c r="I532" s="17" t="str">
        <f aca="false">IF(H532="","",D532*H532)</f>
        <v/>
      </c>
      <c r="J532" s="18" t="str">
        <f aca="true">IF(AND(AND(C532&lt;&gt;"Kazanıldı",C532&lt;&gt;"Kaybedildi",C532&lt;&gt;""),F532&lt;&gt;""),IF(F532&lt;TODAY(),"Gecikti",IF(F532=TODAY(),"Bugün","")),"")</f>
        <v/>
      </c>
      <c r="K532" s="18" t="str">
        <f aca="true">IF(AND(AND(C532&lt;&gt;"Kazanıldı",C532&lt;&gt;"Kaybedildi",C532&lt;&gt;""),F532&lt;&gt;"",F532&lt;=TODAY()),F532+ROW()/1000000,"")</f>
        <v/>
      </c>
    </row>
    <row r="533" customFormat="false" ht="15" hidden="false" customHeight="false" outlineLevel="0" collapsed="false">
      <c r="A533" s="12"/>
      <c r="B533" s="13"/>
      <c r="C533" s="13"/>
      <c r="D533" s="14"/>
      <c r="E533" s="15"/>
      <c r="F533" s="15"/>
      <c r="G533" s="12"/>
      <c r="H533" s="16" t="str">
        <f aca="false">IF(OR(A533="",C533=""),"",IFERROR(INDEX(Aşamalar!$B$5:$B$12,MATCH(C533,Aşamalar!$A$5:$A$12,0)),0))</f>
        <v/>
      </c>
      <c r="I533" s="17" t="str">
        <f aca="false">IF(H533="","",D533*H533)</f>
        <v/>
      </c>
      <c r="J533" s="18" t="str">
        <f aca="true">IF(AND(AND(C533&lt;&gt;"Kazanıldı",C533&lt;&gt;"Kaybedildi",C533&lt;&gt;""),F533&lt;&gt;""),IF(F533&lt;TODAY(),"Gecikti",IF(F533=TODAY(),"Bugün","")),"")</f>
        <v/>
      </c>
      <c r="K533" s="18" t="str">
        <f aca="true">IF(AND(AND(C533&lt;&gt;"Kazanıldı",C533&lt;&gt;"Kaybedildi",C533&lt;&gt;""),F533&lt;&gt;"",F533&lt;=TODAY()),F533+ROW()/1000000,"")</f>
        <v/>
      </c>
    </row>
    <row r="534" customFormat="false" ht="15" hidden="false" customHeight="false" outlineLevel="0" collapsed="false">
      <c r="A534" s="12"/>
      <c r="B534" s="13"/>
      <c r="C534" s="13"/>
      <c r="D534" s="14"/>
      <c r="E534" s="15"/>
      <c r="F534" s="15"/>
      <c r="G534" s="12"/>
      <c r="H534" s="16" t="str">
        <f aca="false">IF(OR(A534="",C534=""),"",IFERROR(INDEX(Aşamalar!$B$5:$B$12,MATCH(C534,Aşamalar!$A$5:$A$12,0)),0))</f>
        <v/>
      </c>
      <c r="I534" s="17" t="str">
        <f aca="false">IF(H534="","",D534*H534)</f>
        <v/>
      </c>
      <c r="J534" s="18" t="str">
        <f aca="true">IF(AND(AND(C534&lt;&gt;"Kazanıldı",C534&lt;&gt;"Kaybedildi",C534&lt;&gt;""),F534&lt;&gt;""),IF(F534&lt;TODAY(),"Gecikti",IF(F534=TODAY(),"Bugün","")),"")</f>
        <v/>
      </c>
      <c r="K534" s="18" t="str">
        <f aca="true">IF(AND(AND(C534&lt;&gt;"Kazanıldı",C534&lt;&gt;"Kaybedildi",C534&lt;&gt;""),F534&lt;&gt;"",F534&lt;=TODAY()),F534+ROW()/1000000,"")</f>
        <v/>
      </c>
    </row>
    <row r="535" customFormat="false" ht="15" hidden="false" customHeight="false" outlineLevel="0" collapsed="false">
      <c r="A535" s="12"/>
      <c r="B535" s="13"/>
      <c r="C535" s="13"/>
      <c r="D535" s="14"/>
      <c r="E535" s="15"/>
      <c r="F535" s="15"/>
      <c r="G535" s="12"/>
      <c r="H535" s="16" t="str">
        <f aca="false">IF(OR(A535="",C535=""),"",IFERROR(INDEX(Aşamalar!$B$5:$B$12,MATCH(C535,Aşamalar!$A$5:$A$12,0)),0))</f>
        <v/>
      </c>
      <c r="I535" s="17" t="str">
        <f aca="false">IF(H535="","",D535*H535)</f>
        <v/>
      </c>
      <c r="J535" s="18" t="str">
        <f aca="true">IF(AND(AND(C535&lt;&gt;"Kazanıldı",C535&lt;&gt;"Kaybedildi",C535&lt;&gt;""),F535&lt;&gt;""),IF(F535&lt;TODAY(),"Gecikti",IF(F535=TODAY(),"Bugün","")),"")</f>
        <v/>
      </c>
      <c r="K535" s="18" t="str">
        <f aca="true">IF(AND(AND(C535&lt;&gt;"Kazanıldı",C535&lt;&gt;"Kaybedildi",C535&lt;&gt;""),F535&lt;&gt;"",F535&lt;=TODAY()),F535+ROW()/1000000,"")</f>
        <v/>
      </c>
    </row>
    <row r="536" customFormat="false" ht="15" hidden="false" customHeight="false" outlineLevel="0" collapsed="false">
      <c r="A536" s="12"/>
      <c r="B536" s="13"/>
      <c r="C536" s="13"/>
      <c r="D536" s="14"/>
      <c r="E536" s="15"/>
      <c r="F536" s="15"/>
      <c r="G536" s="12"/>
      <c r="H536" s="16" t="str">
        <f aca="false">IF(OR(A536="",C536=""),"",IFERROR(INDEX(Aşamalar!$B$5:$B$12,MATCH(C536,Aşamalar!$A$5:$A$12,0)),0))</f>
        <v/>
      </c>
      <c r="I536" s="17" t="str">
        <f aca="false">IF(H536="","",D536*H536)</f>
        <v/>
      </c>
      <c r="J536" s="18" t="str">
        <f aca="true">IF(AND(AND(C536&lt;&gt;"Kazanıldı",C536&lt;&gt;"Kaybedildi",C536&lt;&gt;""),F536&lt;&gt;""),IF(F536&lt;TODAY(),"Gecikti",IF(F536=TODAY(),"Bugün","")),"")</f>
        <v/>
      </c>
      <c r="K536" s="18" t="str">
        <f aca="true">IF(AND(AND(C536&lt;&gt;"Kazanıldı",C536&lt;&gt;"Kaybedildi",C536&lt;&gt;""),F536&lt;&gt;"",F536&lt;=TODAY()),F536+ROW()/1000000,"")</f>
        <v/>
      </c>
    </row>
    <row r="537" customFormat="false" ht="15" hidden="false" customHeight="false" outlineLevel="0" collapsed="false">
      <c r="A537" s="12"/>
      <c r="B537" s="13"/>
      <c r="C537" s="13"/>
      <c r="D537" s="14"/>
      <c r="E537" s="15"/>
      <c r="F537" s="15"/>
      <c r="G537" s="12"/>
      <c r="H537" s="16" t="str">
        <f aca="false">IF(OR(A537="",C537=""),"",IFERROR(INDEX(Aşamalar!$B$5:$B$12,MATCH(C537,Aşamalar!$A$5:$A$12,0)),0))</f>
        <v/>
      </c>
      <c r="I537" s="17" t="str">
        <f aca="false">IF(H537="","",D537*H537)</f>
        <v/>
      </c>
      <c r="J537" s="18" t="str">
        <f aca="true">IF(AND(AND(C537&lt;&gt;"Kazanıldı",C537&lt;&gt;"Kaybedildi",C537&lt;&gt;""),F537&lt;&gt;""),IF(F537&lt;TODAY(),"Gecikti",IF(F537=TODAY(),"Bugün","")),"")</f>
        <v/>
      </c>
      <c r="K537" s="18" t="str">
        <f aca="true">IF(AND(AND(C537&lt;&gt;"Kazanıldı",C537&lt;&gt;"Kaybedildi",C537&lt;&gt;""),F537&lt;&gt;"",F537&lt;=TODAY()),F537+ROW()/1000000,"")</f>
        <v/>
      </c>
    </row>
    <row r="538" customFormat="false" ht="15" hidden="false" customHeight="false" outlineLevel="0" collapsed="false">
      <c r="A538" s="12"/>
      <c r="B538" s="13"/>
      <c r="C538" s="13"/>
      <c r="D538" s="14"/>
      <c r="E538" s="15"/>
      <c r="F538" s="15"/>
      <c r="G538" s="12"/>
      <c r="H538" s="16" t="str">
        <f aca="false">IF(OR(A538="",C538=""),"",IFERROR(INDEX(Aşamalar!$B$5:$B$12,MATCH(C538,Aşamalar!$A$5:$A$12,0)),0))</f>
        <v/>
      </c>
      <c r="I538" s="17" t="str">
        <f aca="false">IF(H538="","",D538*H538)</f>
        <v/>
      </c>
      <c r="J538" s="18" t="str">
        <f aca="true">IF(AND(AND(C538&lt;&gt;"Kazanıldı",C538&lt;&gt;"Kaybedildi",C538&lt;&gt;""),F538&lt;&gt;""),IF(F538&lt;TODAY(),"Gecikti",IF(F538=TODAY(),"Bugün","")),"")</f>
        <v/>
      </c>
      <c r="K538" s="18" t="str">
        <f aca="true">IF(AND(AND(C538&lt;&gt;"Kazanıldı",C538&lt;&gt;"Kaybedildi",C538&lt;&gt;""),F538&lt;&gt;"",F538&lt;=TODAY()),F538+ROW()/1000000,"")</f>
        <v/>
      </c>
    </row>
    <row r="539" customFormat="false" ht="15" hidden="false" customHeight="false" outlineLevel="0" collapsed="false">
      <c r="A539" s="12"/>
      <c r="B539" s="13"/>
      <c r="C539" s="13"/>
      <c r="D539" s="14"/>
      <c r="E539" s="15"/>
      <c r="F539" s="15"/>
      <c r="G539" s="12"/>
      <c r="H539" s="16" t="str">
        <f aca="false">IF(OR(A539="",C539=""),"",IFERROR(INDEX(Aşamalar!$B$5:$B$12,MATCH(C539,Aşamalar!$A$5:$A$12,0)),0))</f>
        <v/>
      </c>
      <c r="I539" s="17" t="str">
        <f aca="false">IF(H539="","",D539*H539)</f>
        <v/>
      </c>
      <c r="J539" s="18" t="str">
        <f aca="true">IF(AND(AND(C539&lt;&gt;"Kazanıldı",C539&lt;&gt;"Kaybedildi",C539&lt;&gt;""),F539&lt;&gt;""),IF(F539&lt;TODAY(),"Gecikti",IF(F539=TODAY(),"Bugün","")),"")</f>
        <v/>
      </c>
      <c r="K539" s="18" t="str">
        <f aca="true">IF(AND(AND(C539&lt;&gt;"Kazanıldı",C539&lt;&gt;"Kaybedildi",C539&lt;&gt;""),F539&lt;&gt;"",F539&lt;=TODAY()),F539+ROW()/1000000,"")</f>
        <v/>
      </c>
    </row>
    <row r="540" customFormat="false" ht="15" hidden="false" customHeight="false" outlineLevel="0" collapsed="false">
      <c r="A540" s="12"/>
      <c r="B540" s="13"/>
      <c r="C540" s="13"/>
      <c r="D540" s="14"/>
      <c r="E540" s="15"/>
      <c r="F540" s="15"/>
      <c r="G540" s="12"/>
      <c r="H540" s="16" t="str">
        <f aca="false">IF(OR(A540="",C540=""),"",IFERROR(INDEX(Aşamalar!$B$5:$B$12,MATCH(C540,Aşamalar!$A$5:$A$12,0)),0))</f>
        <v/>
      </c>
      <c r="I540" s="17" t="str">
        <f aca="false">IF(H540="","",D540*H540)</f>
        <v/>
      </c>
      <c r="J540" s="18" t="str">
        <f aca="true">IF(AND(AND(C540&lt;&gt;"Kazanıldı",C540&lt;&gt;"Kaybedildi",C540&lt;&gt;""),F540&lt;&gt;""),IF(F540&lt;TODAY(),"Gecikti",IF(F540=TODAY(),"Bugün","")),"")</f>
        <v/>
      </c>
      <c r="K540" s="18" t="str">
        <f aca="true">IF(AND(AND(C540&lt;&gt;"Kazanıldı",C540&lt;&gt;"Kaybedildi",C540&lt;&gt;""),F540&lt;&gt;"",F540&lt;=TODAY()),F540+ROW()/1000000,"")</f>
        <v/>
      </c>
    </row>
    <row r="541" customFormat="false" ht="15" hidden="false" customHeight="false" outlineLevel="0" collapsed="false">
      <c r="A541" s="12"/>
      <c r="B541" s="13"/>
      <c r="C541" s="13"/>
      <c r="D541" s="14"/>
      <c r="E541" s="15"/>
      <c r="F541" s="15"/>
      <c r="G541" s="12"/>
      <c r="H541" s="16" t="str">
        <f aca="false">IF(OR(A541="",C541=""),"",IFERROR(INDEX(Aşamalar!$B$5:$B$12,MATCH(C541,Aşamalar!$A$5:$A$12,0)),0))</f>
        <v/>
      </c>
      <c r="I541" s="17" t="str">
        <f aca="false">IF(H541="","",D541*H541)</f>
        <v/>
      </c>
      <c r="J541" s="18" t="str">
        <f aca="true">IF(AND(AND(C541&lt;&gt;"Kazanıldı",C541&lt;&gt;"Kaybedildi",C541&lt;&gt;""),F541&lt;&gt;""),IF(F541&lt;TODAY(),"Gecikti",IF(F541=TODAY(),"Bugün","")),"")</f>
        <v/>
      </c>
      <c r="K541" s="18" t="str">
        <f aca="true">IF(AND(AND(C541&lt;&gt;"Kazanıldı",C541&lt;&gt;"Kaybedildi",C541&lt;&gt;""),F541&lt;&gt;"",F541&lt;=TODAY()),F541+ROW()/1000000,"")</f>
        <v/>
      </c>
    </row>
    <row r="542" customFormat="false" ht="15" hidden="false" customHeight="false" outlineLevel="0" collapsed="false">
      <c r="A542" s="12"/>
      <c r="B542" s="13"/>
      <c r="C542" s="13"/>
      <c r="D542" s="14"/>
      <c r="E542" s="15"/>
      <c r="F542" s="15"/>
      <c r="G542" s="12"/>
      <c r="H542" s="16" t="str">
        <f aca="false">IF(OR(A542="",C542=""),"",IFERROR(INDEX(Aşamalar!$B$5:$B$12,MATCH(C542,Aşamalar!$A$5:$A$12,0)),0))</f>
        <v/>
      </c>
      <c r="I542" s="17" t="str">
        <f aca="false">IF(H542="","",D542*H542)</f>
        <v/>
      </c>
      <c r="J542" s="18" t="str">
        <f aca="true">IF(AND(AND(C542&lt;&gt;"Kazanıldı",C542&lt;&gt;"Kaybedildi",C542&lt;&gt;""),F542&lt;&gt;""),IF(F542&lt;TODAY(),"Gecikti",IF(F542=TODAY(),"Bugün","")),"")</f>
        <v/>
      </c>
      <c r="K542" s="18" t="str">
        <f aca="true">IF(AND(AND(C542&lt;&gt;"Kazanıldı",C542&lt;&gt;"Kaybedildi",C542&lt;&gt;""),F542&lt;&gt;"",F542&lt;=TODAY()),F542+ROW()/1000000,"")</f>
        <v/>
      </c>
    </row>
    <row r="543" customFormat="false" ht="15" hidden="false" customHeight="false" outlineLevel="0" collapsed="false">
      <c r="A543" s="12"/>
      <c r="B543" s="13"/>
      <c r="C543" s="13"/>
      <c r="D543" s="14"/>
      <c r="E543" s="15"/>
      <c r="F543" s="15"/>
      <c r="G543" s="12"/>
      <c r="H543" s="16" t="str">
        <f aca="false">IF(OR(A543="",C543=""),"",IFERROR(INDEX(Aşamalar!$B$5:$B$12,MATCH(C543,Aşamalar!$A$5:$A$12,0)),0))</f>
        <v/>
      </c>
      <c r="I543" s="17" t="str">
        <f aca="false">IF(H543="","",D543*H543)</f>
        <v/>
      </c>
      <c r="J543" s="18" t="str">
        <f aca="true">IF(AND(AND(C543&lt;&gt;"Kazanıldı",C543&lt;&gt;"Kaybedildi",C543&lt;&gt;""),F543&lt;&gt;""),IF(F543&lt;TODAY(),"Gecikti",IF(F543=TODAY(),"Bugün","")),"")</f>
        <v/>
      </c>
      <c r="K543" s="18" t="str">
        <f aca="true">IF(AND(AND(C543&lt;&gt;"Kazanıldı",C543&lt;&gt;"Kaybedildi",C543&lt;&gt;""),F543&lt;&gt;"",F543&lt;=TODAY()),F543+ROW()/1000000,"")</f>
        <v/>
      </c>
    </row>
    <row r="544" customFormat="false" ht="15" hidden="false" customHeight="false" outlineLevel="0" collapsed="false">
      <c r="A544" s="12"/>
      <c r="B544" s="13"/>
      <c r="C544" s="13"/>
      <c r="D544" s="14"/>
      <c r="E544" s="15"/>
      <c r="F544" s="15"/>
      <c r="G544" s="12"/>
      <c r="H544" s="16" t="str">
        <f aca="false">IF(OR(A544="",C544=""),"",IFERROR(INDEX(Aşamalar!$B$5:$B$12,MATCH(C544,Aşamalar!$A$5:$A$12,0)),0))</f>
        <v/>
      </c>
      <c r="I544" s="17" t="str">
        <f aca="false">IF(H544="","",D544*H544)</f>
        <v/>
      </c>
      <c r="J544" s="18" t="str">
        <f aca="true">IF(AND(AND(C544&lt;&gt;"Kazanıldı",C544&lt;&gt;"Kaybedildi",C544&lt;&gt;""),F544&lt;&gt;""),IF(F544&lt;TODAY(),"Gecikti",IF(F544=TODAY(),"Bugün","")),"")</f>
        <v/>
      </c>
      <c r="K544" s="18" t="str">
        <f aca="true">IF(AND(AND(C544&lt;&gt;"Kazanıldı",C544&lt;&gt;"Kaybedildi",C544&lt;&gt;""),F544&lt;&gt;"",F544&lt;=TODAY()),F544+ROW()/1000000,"")</f>
        <v/>
      </c>
    </row>
    <row r="545" customFormat="false" ht="15" hidden="false" customHeight="false" outlineLevel="0" collapsed="false">
      <c r="A545" s="12"/>
      <c r="B545" s="13"/>
      <c r="C545" s="13"/>
      <c r="D545" s="14"/>
      <c r="E545" s="15"/>
      <c r="F545" s="15"/>
      <c r="G545" s="12"/>
      <c r="H545" s="16" t="str">
        <f aca="false">IF(OR(A545="",C545=""),"",IFERROR(INDEX(Aşamalar!$B$5:$B$12,MATCH(C545,Aşamalar!$A$5:$A$12,0)),0))</f>
        <v/>
      </c>
      <c r="I545" s="17" t="str">
        <f aca="false">IF(H545="","",D545*H545)</f>
        <v/>
      </c>
      <c r="J545" s="18" t="str">
        <f aca="true">IF(AND(AND(C545&lt;&gt;"Kazanıldı",C545&lt;&gt;"Kaybedildi",C545&lt;&gt;""),F545&lt;&gt;""),IF(F545&lt;TODAY(),"Gecikti",IF(F545=TODAY(),"Bugün","")),"")</f>
        <v/>
      </c>
      <c r="K545" s="18" t="str">
        <f aca="true">IF(AND(AND(C545&lt;&gt;"Kazanıldı",C545&lt;&gt;"Kaybedildi",C545&lt;&gt;""),F545&lt;&gt;"",F545&lt;=TODAY()),F545+ROW()/1000000,"")</f>
        <v/>
      </c>
    </row>
    <row r="546" customFormat="false" ht="15" hidden="false" customHeight="false" outlineLevel="0" collapsed="false">
      <c r="A546" s="12"/>
      <c r="B546" s="13"/>
      <c r="C546" s="13"/>
      <c r="D546" s="14"/>
      <c r="E546" s="15"/>
      <c r="F546" s="15"/>
      <c r="G546" s="12"/>
      <c r="H546" s="16" t="str">
        <f aca="false">IF(OR(A546="",C546=""),"",IFERROR(INDEX(Aşamalar!$B$5:$B$12,MATCH(C546,Aşamalar!$A$5:$A$12,0)),0))</f>
        <v/>
      </c>
      <c r="I546" s="17" t="str">
        <f aca="false">IF(H546="","",D546*H546)</f>
        <v/>
      </c>
      <c r="J546" s="18" t="str">
        <f aca="true">IF(AND(AND(C546&lt;&gt;"Kazanıldı",C546&lt;&gt;"Kaybedildi",C546&lt;&gt;""),F546&lt;&gt;""),IF(F546&lt;TODAY(),"Gecikti",IF(F546=TODAY(),"Bugün","")),"")</f>
        <v/>
      </c>
      <c r="K546" s="18" t="str">
        <f aca="true">IF(AND(AND(C546&lt;&gt;"Kazanıldı",C546&lt;&gt;"Kaybedildi",C546&lt;&gt;""),F546&lt;&gt;"",F546&lt;=TODAY()),F546+ROW()/1000000,"")</f>
        <v/>
      </c>
    </row>
    <row r="547" customFormat="false" ht="15" hidden="false" customHeight="false" outlineLevel="0" collapsed="false">
      <c r="A547" s="12"/>
      <c r="B547" s="13"/>
      <c r="C547" s="13"/>
      <c r="D547" s="14"/>
      <c r="E547" s="15"/>
      <c r="F547" s="15"/>
      <c r="G547" s="12"/>
      <c r="H547" s="16" t="str">
        <f aca="false">IF(OR(A547="",C547=""),"",IFERROR(INDEX(Aşamalar!$B$5:$B$12,MATCH(C547,Aşamalar!$A$5:$A$12,0)),0))</f>
        <v/>
      </c>
      <c r="I547" s="17" t="str">
        <f aca="false">IF(H547="","",D547*H547)</f>
        <v/>
      </c>
      <c r="J547" s="18" t="str">
        <f aca="true">IF(AND(AND(C547&lt;&gt;"Kazanıldı",C547&lt;&gt;"Kaybedildi",C547&lt;&gt;""),F547&lt;&gt;""),IF(F547&lt;TODAY(),"Gecikti",IF(F547=TODAY(),"Bugün","")),"")</f>
        <v/>
      </c>
      <c r="K547" s="18" t="str">
        <f aca="true">IF(AND(AND(C547&lt;&gt;"Kazanıldı",C547&lt;&gt;"Kaybedildi",C547&lt;&gt;""),F547&lt;&gt;"",F547&lt;=TODAY()),F547+ROW()/1000000,"")</f>
        <v/>
      </c>
    </row>
    <row r="548" customFormat="false" ht="15" hidden="false" customHeight="false" outlineLevel="0" collapsed="false">
      <c r="A548" s="12"/>
      <c r="B548" s="13"/>
      <c r="C548" s="13"/>
      <c r="D548" s="14"/>
      <c r="E548" s="15"/>
      <c r="F548" s="15"/>
      <c r="G548" s="12"/>
      <c r="H548" s="16" t="str">
        <f aca="false">IF(OR(A548="",C548=""),"",IFERROR(INDEX(Aşamalar!$B$5:$B$12,MATCH(C548,Aşamalar!$A$5:$A$12,0)),0))</f>
        <v/>
      </c>
      <c r="I548" s="17" t="str">
        <f aca="false">IF(H548="","",D548*H548)</f>
        <v/>
      </c>
      <c r="J548" s="18" t="str">
        <f aca="true">IF(AND(AND(C548&lt;&gt;"Kazanıldı",C548&lt;&gt;"Kaybedildi",C548&lt;&gt;""),F548&lt;&gt;""),IF(F548&lt;TODAY(),"Gecikti",IF(F548=TODAY(),"Bugün","")),"")</f>
        <v/>
      </c>
      <c r="K548" s="18" t="str">
        <f aca="true">IF(AND(AND(C548&lt;&gt;"Kazanıldı",C548&lt;&gt;"Kaybedildi",C548&lt;&gt;""),F548&lt;&gt;"",F548&lt;=TODAY()),F548+ROW()/1000000,"")</f>
        <v/>
      </c>
    </row>
    <row r="549" customFormat="false" ht="15" hidden="false" customHeight="false" outlineLevel="0" collapsed="false">
      <c r="A549" s="12"/>
      <c r="B549" s="13"/>
      <c r="C549" s="13"/>
      <c r="D549" s="14"/>
      <c r="E549" s="15"/>
      <c r="F549" s="15"/>
      <c r="G549" s="12"/>
      <c r="H549" s="16" t="str">
        <f aca="false">IF(OR(A549="",C549=""),"",IFERROR(INDEX(Aşamalar!$B$5:$B$12,MATCH(C549,Aşamalar!$A$5:$A$12,0)),0))</f>
        <v/>
      </c>
      <c r="I549" s="17" t="str">
        <f aca="false">IF(H549="","",D549*H549)</f>
        <v/>
      </c>
      <c r="J549" s="18" t="str">
        <f aca="true">IF(AND(AND(C549&lt;&gt;"Kazanıldı",C549&lt;&gt;"Kaybedildi",C549&lt;&gt;""),F549&lt;&gt;""),IF(F549&lt;TODAY(),"Gecikti",IF(F549=TODAY(),"Bugün","")),"")</f>
        <v/>
      </c>
      <c r="K549" s="18" t="str">
        <f aca="true">IF(AND(AND(C549&lt;&gt;"Kazanıldı",C549&lt;&gt;"Kaybedildi",C549&lt;&gt;""),F549&lt;&gt;"",F549&lt;=TODAY()),F549+ROW()/1000000,"")</f>
        <v/>
      </c>
    </row>
    <row r="550" customFormat="false" ht="15" hidden="false" customHeight="false" outlineLevel="0" collapsed="false">
      <c r="A550" s="12"/>
      <c r="B550" s="13"/>
      <c r="C550" s="13"/>
      <c r="D550" s="14"/>
      <c r="E550" s="15"/>
      <c r="F550" s="15"/>
      <c r="G550" s="12"/>
      <c r="H550" s="16" t="str">
        <f aca="false">IF(OR(A550="",C550=""),"",IFERROR(INDEX(Aşamalar!$B$5:$B$12,MATCH(C550,Aşamalar!$A$5:$A$12,0)),0))</f>
        <v/>
      </c>
      <c r="I550" s="17" t="str">
        <f aca="false">IF(H550="","",D550*H550)</f>
        <v/>
      </c>
      <c r="J550" s="18" t="str">
        <f aca="true">IF(AND(AND(C550&lt;&gt;"Kazanıldı",C550&lt;&gt;"Kaybedildi",C550&lt;&gt;""),F550&lt;&gt;""),IF(F550&lt;TODAY(),"Gecikti",IF(F550=TODAY(),"Bugün","")),"")</f>
        <v/>
      </c>
      <c r="K550" s="18" t="str">
        <f aca="true">IF(AND(AND(C550&lt;&gt;"Kazanıldı",C550&lt;&gt;"Kaybedildi",C550&lt;&gt;""),F550&lt;&gt;"",F550&lt;=TODAY()),F550+ROW()/1000000,"")</f>
        <v/>
      </c>
    </row>
    <row r="551" customFormat="false" ht="15" hidden="false" customHeight="false" outlineLevel="0" collapsed="false">
      <c r="A551" s="12"/>
      <c r="B551" s="13"/>
      <c r="C551" s="13"/>
      <c r="D551" s="14"/>
      <c r="E551" s="15"/>
      <c r="F551" s="15"/>
      <c r="G551" s="12"/>
      <c r="H551" s="16" t="str">
        <f aca="false">IF(OR(A551="",C551=""),"",IFERROR(INDEX(Aşamalar!$B$5:$B$12,MATCH(C551,Aşamalar!$A$5:$A$12,0)),0))</f>
        <v/>
      </c>
      <c r="I551" s="17" t="str">
        <f aca="false">IF(H551="","",D551*H551)</f>
        <v/>
      </c>
      <c r="J551" s="18" t="str">
        <f aca="true">IF(AND(AND(C551&lt;&gt;"Kazanıldı",C551&lt;&gt;"Kaybedildi",C551&lt;&gt;""),F551&lt;&gt;""),IF(F551&lt;TODAY(),"Gecikti",IF(F551=TODAY(),"Bugün","")),"")</f>
        <v/>
      </c>
      <c r="K551" s="18" t="str">
        <f aca="true">IF(AND(AND(C551&lt;&gt;"Kazanıldı",C551&lt;&gt;"Kaybedildi",C551&lt;&gt;""),F551&lt;&gt;"",F551&lt;=TODAY()),F551+ROW()/1000000,"")</f>
        <v/>
      </c>
    </row>
    <row r="552" customFormat="false" ht="15" hidden="false" customHeight="false" outlineLevel="0" collapsed="false">
      <c r="A552" s="12"/>
      <c r="B552" s="13"/>
      <c r="C552" s="13"/>
      <c r="D552" s="14"/>
      <c r="E552" s="15"/>
      <c r="F552" s="15"/>
      <c r="G552" s="12"/>
      <c r="H552" s="16" t="str">
        <f aca="false">IF(OR(A552="",C552=""),"",IFERROR(INDEX(Aşamalar!$B$5:$B$12,MATCH(C552,Aşamalar!$A$5:$A$12,0)),0))</f>
        <v/>
      </c>
      <c r="I552" s="17" t="str">
        <f aca="false">IF(H552="","",D552*H552)</f>
        <v/>
      </c>
      <c r="J552" s="18" t="str">
        <f aca="true">IF(AND(AND(C552&lt;&gt;"Kazanıldı",C552&lt;&gt;"Kaybedildi",C552&lt;&gt;""),F552&lt;&gt;""),IF(F552&lt;TODAY(),"Gecikti",IF(F552=TODAY(),"Bugün","")),"")</f>
        <v/>
      </c>
      <c r="K552" s="18" t="str">
        <f aca="true">IF(AND(AND(C552&lt;&gt;"Kazanıldı",C552&lt;&gt;"Kaybedildi",C552&lt;&gt;""),F552&lt;&gt;"",F552&lt;=TODAY()),F552+ROW()/1000000,"")</f>
        <v/>
      </c>
    </row>
    <row r="553" customFormat="false" ht="15" hidden="false" customHeight="false" outlineLevel="0" collapsed="false">
      <c r="A553" s="12"/>
      <c r="B553" s="13"/>
      <c r="C553" s="13"/>
      <c r="D553" s="14"/>
      <c r="E553" s="15"/>
      <c r="F553" s="15"/>
      <c r="G553" s="12"/>
      <c r="H553" s="16" t="str">
        <f aca="false">IF(OR(A553="",C553=""),"",IFERROR(INDEX(Aşamalar!$B$5:$B$12,MATCH(C553,Aşamalar!$A$5:$A$12,0)),0))</f>
        <v/>
      </c>
      <c r="I553" s="17" t="str">
        <f aca="false">IF(H553="","",D553*H553)</f>
        <v/>
      </c>
      <c r="J553" s="18" t="str">
        <f aca="true">IF(AND(AND(C553&lt;&gt;"Kazanıldı",C553&lt;&gt;"Kaybedildi",C553&lt;&gt;""),F553&lt;&gt;""),IF(F553&lt;TODAY(),"Gecikti",IF(F553=TODAY(),"Bugün","")),"")</f>
        <v/>
      </c>
      <c r="K553" s="18" t="str">
        <f aca="true">IF(AND(AND(C553&lt;&gt;"Kazanıldı",C553&lt;&gt;"Kaybedildi",C553&lt;&gt;""),F553&lt;&gt;"",F553&lt;=TODAY()),F553+ROW()/1000000,"")</f>
        <v/>
      </c>
    </row>
    <row r="554" customFormat="false" ht="15" hidden="false" customHeight="false" outlineLevel="0" collapsed="false">
      <c r="A554" s="12"/>
      <c r="B554" s="13"/>
      <c r="C554" s="13"/>
      <c r="D554" s="14"/>
      <c r="E554" s="15"/>
      <c r="F554" s="15"/>
      <c r="G554" s="12"/>
      <c r="H554" s="16" t="str">
        <f aca="false">IF(OR(A554="",C554=""),"",IFERROR(INDEX(Aşamalar!$B$5:$B$12,MATCH(C554,Aşamalar!$A$5:$A$12,0)),0))</f>
        <v/>
      </c>
      <c r="I554" s="17" t="str">
        <f aca="false">IF(H554="","",D554*H554)</f>
        <v/>
      </c>
      <c r="J554" s="18" t="str">
        <f aca="true">IF(AND(AND(C554&lt;&gt;"Kazanıldı",C554&lt;&gt;"Kaybedildi",C554&lt;&gt;""),F554&lt;&gt;""),IF(F554&lt;TODAY(),"Gecikti",IF(F554=TODAY(),"Bugün","")),"")</f>
        <v/>
      </c>
      <c r="K554" s="18" t="str">
        <f aca="true">IF(AND(AND(C554&lt;&gt;"Kazanıldı",C554&lt;&gt;"Kaybedildi",C554&lt;&gt;""),F554&lt;&gt;"",F554&lt;=TODAY()),F554+ROW()/1000000,"")</f>
        <v/>
      </c>
    </row>
    <row r="555" customFormat="false" ht="15" hidden="false" customHeight="false" outlineLevel="0" collapsed="false">
      <c r="A555" s="12"/>
      <c r="B555" s="13"/>
      <c r="C555" s="13"/>
      <c r="D555" s="14"/>
      <c r="E555" s="15"/>
      <c r="F555" s="15"/>
      <c r="G555" s="12"/>
      <c r="H555" s="16" t="str">
        <f aca="false">IF(OR(A555="",C555=""),"",IFERROR(INDEX(Aşamalar!$B$5:$B$12,MATCH(C555,Aşamalar!$A$5:$A$12,0)),0))</f>
        <v/>
      </c>
      <c r="I555" s="17" t="str">
        <f aca="false">IF(H555="","",D555*H555)</f>
        <v/>
      </c>
      <c r="J555" s="18" t="str">
        <f aca="true">IF(AND(AND(C555&lt;&gt;"Kazanıldı",C555&lt;&gt;"Kaybedildi",C555&lt;&gt;""),F555&lt;&gt;""),IF(F555&lt;TODAY(),"Gecikti",IF(F555=TODAY(),"Bugün","")),"")</f>
        <v/>
      </c>
      <c r="K555" s="18" t="str">
        <f aca="true">IF(AND(AND(C555&lt;&gt;"Kazanıldı",C555&lt;&gt;"Kaybedildi",C555&lt;&gt;""),F555&lt;&gt;"",F555&lt;=TODAY()),F555+ROW()/1000000,"")</f>
        <v/>
      </c>
    </row>
    <row r="556" customFormat="false" ht="15" hidden="false" customHeight="false" outlineLevel="0" collapsed="false">
      <c r="A556" s="12"/>
      <c r="B556" s="13"/>
      <c r="C556" s="13"/>
      <c r="D556" s="14"/>
      <c r="E556" s="15"/>
      <c r="F556" s="15"/>
      <c r="G556" s="12"/>
      <c r="H556" s="16" t="str">
        <f aca="false">IF(OR(A556="",C556=""),"",IFERROR(INDEX(Aşamalar!$B$5:$B$12,MATCH(C556,Aşamalar!$A$5:$A$12,0)),0))</f>
        <v/>
      </c>
      <c r="I556" s="17" t="str">
        <f aca="false">IF(H556="","",D556*H556)</f>
        <v/>
      </c>
      <c r="J556" s="18" t="str">
        <f aca="true">IF(AND(AND(C556&lt;&gt;"Kazanıldı",C556&lt;&gt;"Kaybedildi",C556&lt;&gt;""),F556&lt;&gt;""),IF(F556&lt;TODAY(),"Gecikti",IF(F556=TODAY(),"Bugün","")),"")</f>
        <v/>
      </c>
      <c r="K556" s="18" t="str">
        <f aca="true">IF(AND(AND(C556&lt;&gt;"Kazanıldı",C556&lt;&gt;"Kaybedildi",C556&lt;&gt;""),F556&lt;&gt;"",F556&lt;=TODAY()),F556+ROW()/1000000,"")</f>
        <v/>
      </c>
    </row>
    <row r="557" customFormat="false" ht="15" hidden="false" customHeight="false" outlineLevel="0" collapsed="false">
      <c r="A557" s="12"/>
      <c r="B557" s="13"/>
      <c r="C557" s="13"/>
      <c r="D557" s="14"/>
      <c r="E557" s="15"/>
      <c r="F557" s="15"/>
      <c r="G557" s="12"/>
      <c r="H557" s="16" t="str">
        <f aca="false">IF(OR(A557="",C557=""),"",IFERROR(INDEX(Aşamalar!$B$5:$B$12,MATCH(C557,Aşamalar!$A$5:$A$12,0)),0))</f>
        <v/>
      </c>
      <c r="I557" s="17" t="str">
        <f aca="false">IF(H557="","",D557*H557)</f>
        <v/>
      </c>
      <c r="J557" s="18" t="str">
        <f aca="true">IF(AND(AND(C557&lt;&gt;"Kazanıldı",C557&lt;&gt;"Kaybedildi",C557&lt;&gt;""),F557&lt;&gt;""),IF(F557&lt;TODAY(),"Gecikti",IF(F557=TODAY(),"Bugün","")),"")</f>
        <v/>
      </c>
      <c r="K557" s="18" t="str">
        <f aca="true">IF(AND(AND(C557&lt;&gt;"Kazanıldı",C557&lt;&gt;"Kaybedildi",C557&lt;&gt;""),F557&lt;&gt;"",F557&lt;=TODAY()),F557+ROW()/1000000,"")</f>
        <v/>
      </c>
    </row>
    <row r="558" customFormat="false" ht="15" hidden="false" customHeight="false" outlineLevel="0" collapsed="false">
      <c r="A558" s="12"/>
      <c r="B558" s="13"/>
      <c r="C558" s="13"/>
      <c r="D558" s="14"/>
      <c r="E558" s="15"/>
      <c r="F558" s="15"/>
      <c r="G558" s="12"/>
      <c r="H558" s="16" t="str">
        <f aca="false">IF(OR(A558="",C558=""),"",IFERROR(INDEX(Aşamalar!$B$5:$B$12,MATCH(C558,Aşamalar!$A$5:$A$12,0)),0))</f>
        <v/>
      </c>
      <c r="I558" s="17" t="str">
        <f aca="false">IF(H558="","",D558*H558)</f>
        <v/>
      </c>
      <c r="J558" s="18" t="str">
        <f aca="true">IF(AND(AND(C558&lt;&gt;"Kazanıldı",C558&lt;&gt;"Kaybedildi",C558&lt;&gt;""),F558&lt;&gt;""),IF(F558&lt;TODAY(),"Gecikti",IF(F558=TODAY(),"Bugün","")),"")</f>
        <v/>
      </c>
      <c r="K558" s="18" t="str">
        <f aca="true">IF(AND(AND(C558&lt;&gt;"Kazanıldı",C558&lt;&gt;"Kaybedildi",C558&lt;&gt;""),F558&lt;&gt;"",F558&lt;=TODAY()),F558+ROW()/1000000,"")</f>
        <v/>
      </c>
    </row>
    <row r="559" customFormat="false" ht="15" hidden="false" customHeight="false" outlineLevel="0" collapsed="false">
      <c r="A559" s="12"/>
      <c r="B559" s="13"/>
      <c r="C559" s="13"/>
      <c r="D559" s="14"/>
      <c r="E559" s="15"/>
      <c r="F559" s="15"/>
      <c r="G559" s="12"/>
      <c r="H559" s="16" t="str">
        <f aca="false">IF(OR(A559="",C559=""),"",IFERROR(INDEX(Aşamalar!$B$5:$B$12,MATCH(C559,Aşamalar!$A$5:$A$12,0)),0))</f>
        <v/>
      </c>
      <c r="I559" s="17" t="str">
        <f aca="false">IF(H559="","",D559*H559)</f>
        <v/>
      </c>
      <c r="J559" s="18" t="str">
        <f aca="true">IF(AND(AND(C559&lt;&gt;"Kazanıldı",C559&lt;&gt;"Kaybedildi",C559&lt;&gt;""),F559&lt;&gt;""),IF(F559&lt;TODAY(),"Gecikti",IF(F559=TODAY(),"Bugün","")),"")</f>
        <v/>
      </c>
      <c r="K559" s="18" t="str">
        <f aca="true">IF(AND(AND(C559&lt;&gt;"Kazanıldı",C559&lt;&gt;"Kaybedildi",C559&lt;&gt;""),F559&lt;&gt;"",F559&lt;=TODAY()),F559+ROW()/1000000,"")</f>
        <v/>
      </c>
    </row>
    <row r="560" customFormat="false" ht="15" hidden="false" customHeight="false" outlineLevel="0" collapsed="false">
      <c r="A560" s="12"/>
      <c r="B560" s="13"/>
      <c r="C560" s="13"/>
      <c r="D560" s="14"/>
      <c r="E560" s="15"/>
      <c r="F560" s="15"/>
      <c r="G560" s="12"/>
      <c r="H560" s="16" t="str">
        <f aca="false">IF(OR(A560="",C560=""),"",IFERROR(INDEX(Aşamalar!$B$5:$B$12,MATCH(C560,Aşamalar!$A$5:$A$12,0)),0))</f>
        <v/>
      </c>
      <c r="I560" s="17" t="str">
        <f aca="false">IF(H560="","",D560*H560)</f>
        <v/>
      </c>
      <c r="J560" s="18" t="str">
        <f aca="true">IF(AND(AND(C560&lt;&gt;"Kazanıldı",C560&lt;&gt;"Kaybedildi",C560&lt;&gt;""),F560&lt;&gt;""),IF(F560&lt;TODAY(),"Gecikti",IF(F560=TODAY(),"Bugün","")),"")</f>
        <v/>
      </c>
      <c r="K560" s="18" t="str">
        <f aca="true">IF(AND(AND(C560&lt;&gt;"Kazanıldı",C560&lt;&gt;"Kaybedildi",C560&lt;&gt;""),F560&lt;&gt;"",F560&lt;=TODAY()),F560+ROW()/1000000,"")</f>
        <v/>
      </c>
    </row>
    <row r="561" customFormat="false" ht="15" hidden="false" customHeight="false" outlineLevel="0" collapsed="false">
      <c r="A561" s="12"/>
      <c r="B561" s="13"/>
      <c r="C561" s="13"/>
      <c r="D561" s="14"/>
      <c r="E561" s="15"/>
      <c r="F561" s="15"/>
      <c r="G561" s="12"/>
      <c r="H561" s="16" t="str">
        <f aca="false">IF(OR(A561="",C561=""),"",IFERROR(INDEX(Aşamalar!$B$5:$B$12,MATCH(C561,Aşamalar!$A$5:$A$12,0)),0))</f>
        <v/>
      </c>
      <c r="I561" s="17" t="str">
        <f aca="false">IF(H561="","",D561*H561)</f>
        <v/>
      </c>
      <c r="J561" s="18" t="str">
        <f aca="true">IF(AND(AND(C561&lt;&gt;"Kazanıldı",C561&lt;&gt;"Kaybedildi",C561&lt;&gt;""),F561&lt;&gt;""),IF(F561&lt;TODAY(),"Gecikti",IF(F561=TODAY(),"Bugün","")),"")</f>
        <v/>
      </c>
      <c r="K561" s="18" t="str">
        <f aca="true">IF(AND(AND(C561&lt;&gt;"Kazanıldı",C561&lt;&gt;"Kaybedildi",C561&lt;&gt;""),F561&lt;&gt;"",F561&lt;=TODAY()),F561+ROW()/1000000,"")</f>
        <v/>
      </c>
    </row>
    <row r="562" customFormat="false" ht="15" hidden="false" customHeight="false" outlineLevel="0" collapsed="false">
      <c r="A562" s="12"/>
      <c r="B562" s="13"/>
      <c r="C562" s="13"/>
      <c r="D562" s="14"/>
      <c r="E562" s="15"/>
      <c r="F562" s="15"/>
      <c r="G562" s="12"/>
      <c r="H562" s="16" t="str">
        <f aca="false">IF(OR(A562="",C562=""),"",IFERROR(INDEX(Aşamalar!$B$5:$B$12,MATCH(C562,Aşamalar!$A$5:$A$12,0)),0))</f>
        <v/>
      </c>
      <c r="I562" s="17" t="str">
        <f aca="false">IF(H562="","",D562*H562)</f>
        <v/>
      </c>
      <c r="J562" s="18" t="str">
        <f aca="true">IF(AND(AND(C562&lt;&gt;"Kazanıldı",C562&lt;&gt;"Kaybedildi",C562&lt;&gt;""),F562&lt;&gt;""),IF(F562&lt;TODAY(),"Gecikti",IF(F562=TODAY(),"Bugün","")),"")</f>
        <v/>
      </c>
      <c r="K562" s="18" t="str">
        <f aca="true">IF(AND(AND(C562&lt;&gt;"Kazanıldı",C562&lt;&gt;"Kaybedildi",C562&lt;&gt;""),F562&lt;&gt;"",F562&lt;=TODAY()),F562+ROW()/1000000,"")</f>
        <v/>
      </c>
    </row>
    <row r="563" customFormat="false" ht="15" hidden="false" customHeight="false" outlineLevel="0" collapsed="false">
      <c r="A563" s="12"/>
      <c r="B563" s="13"/>
      <c r="C563" s="13"/>
      <c r="D563" s="14"/>
      <c r="E563" s="15"/>
      <c r="F563" s="15"/>
      <c r="G563" s="12"/>
      <c r="H563" s="16" t="str">
        <f aca="false">IF(OR(A563="",C563=""),"",IFERROR(INDEX(Aşamalar!$B$5:$B$12,MATCH(C563,Aşamalar!$A$5:$A$12,0)),0))</f>
        <v/>
      </c>
      <c r="I563" s="17" t="str">
        <f aca="false">IF(H563="","",D563*H563)</f>
        <v/>
      </c>
      <c r="J563" s="18" t="str">
        <f aca="true">IF(AND(AND(C563&lt;&gt;"Kazanıldı",C563&lt;&gt;"Kaybedildi",C563&lt;&gt;""),F563&lt;&gt;""),IF(F563&lt;TODAY(),"Gecikti",IF(F563=TODAY(),"Bugün","")),"")</f>
        <v/>
      </c>
      <c r="K563" s="18" t="str">
        <f aca="true">IF(AND(AND(C563&lt;&gt;"Kazanıldı",C563&lt;&gt;"Kaybedildi",C563&lt;&gt;""),F563&lt;&gt;"",F563&lt;=TODAY()),F563+ROW()/1000000,"")</f>
        <v/>
      </c>
    </row>
    <row r="564" customFormat="false" ht="15" hidden="false" customHeight="false" outlineLevel="0" collapsed="false">
      <c r="A564" s="12"/>
      <c r="B564" s="13"/>
      <c r="C564" s="13"/>
      <c r="D564" s="14"/>
      <c r="E564" s="15"/>
      <c r="F564" s="15"/>
      <c r="G564" s="12"/>
      <c r="H564" s="16" t="str">
        <f aca="false">IF(OR(A564="",C564=""),"",IFERROR(INDEX(Aşamalar!$B$5:$B$12,MATCH(C564,Aşamalar!$A$5:$A$12,0)),0))</f>
        <v/>
      </c>
      <c r="I564" s="17" t="str">
        <f aca="false">IF(H564="","",D564*H564)</f>
        <v/>
      </c>
      <c r="J564" s="18" t="str">
        <f aca="true">IF(AND(AND(C564&lt;&gt;"Kazanıldı",C564&lt;&gt;"Kaybedildi",C564&lt;&gt;""),F564&lt;&gt;""),IF(F564&lt;TODAY(),"Gecikti",IF(F564=TODAY(),"Bugün","")),"")</f>
        <v/>
      </c>
      <c r="K564" s="18" t="str">
        <f aca="true">IF(AND(AND(C564&lt;&gt;"Kazanıldı",C564&lt;&gt;"Kaybedildi",C564&lt;&gt;""),F564&lt;&gt;"",F564&lt;=TODAY()),F564+ROW()/1000000,"")</f>
        <v/>
      </c>
    </row>
    <row r="565" customFormat="false" ht="15" hidden="false" customHeight="false" outlineLevel="0" collapsed="false">
      <c r="A565" s="12"/>
      <c r="B565" s="13"/>
      <c r="C565" s="13"/>
      <c r="D565" s="14"/>
      <c r="E565" s="15"/>
      <c r="F565" s="15"/>
      <c r="G565" s="12"/>
      <c r="H565" s="16" t="str">
        <f aca="false">IF(OR(A565="",C565=""),"",IFERROR(INDEX(Aşamalar!$B$5:$B$12,MATCH(C565,Aşamalar!$A$5:$A$12,0)),0))</f>
        <v/>
      </c>
      <c r="I565" s="17" t="str">
        <f aca="false">IF(H565="","",D565*H565)</f>
        <v/>
      </c>
      <c r="J565" s="18" t="str">
        <f aca="true">IF(AND(AND(C565&lt;&gt;"Kazanıldı",C565&lt;&gt;"Kaybedildi",C565&lt;&gt;""),F565&lt;&gt;""),IF(F565&lt;TODAY(),"Gecikti",IF(F565=TODAY(),"Bugün","")),"")</f>
        <v/>
      </c>
      <c r="K565" s="18" t="str">
        <f aca="true">IF(AND(AND(C565&lt;&gt;"Kazanıldı",C565&lt;&gt;"Kaybedildi",C565&lt;&gt;""),F565&lt;&gt;"",F565&lt;=TODAY()),F565+ROW()/1000000,"")</f>
        <v/>
      </c>
    </row>
    <row r="566" customFormat="false" ht="15" hidden="false" customHeight="false" outlineLevel="0" collapsed="false">
      <c r="A566" s="12"/>
      <c r="B566" s="13"/>
      <c r="C566" s="13"/>
      <c r="D566" s="14"/>
      <c r="E566" s="15"/>
      <c r="F566" s="15"/>
      <c r="G566" s="12"/>
      <c r="H566" s="16" t="str">
        <f aca="false">IF(OR(A566="",C566=""),"",IFERROR(INDEX(Aşamalar!$B$5:$B$12,MATCH(C566,Aşamalar!$A$5:$A$12,0)),0))</f>
        <v/>
      </c>
      <c r="I566" s="17" t="str">
        <f aca="false">IF(H566="","",D566*H566)</f>
        <v/>
      </c>
      <c r="J566" s="18" t="str">
        <f aca="true">IF(AND(AND(C566&lt;&gt;"Kazanıldı",C566&lt;&gt;"Kaybedildi",C566&lt;&gt;""),F566&lt;&gt;""),IF(F566&lt;TODAY(),"Gecikti",IF(F566=TODAY(),"Bugün","")),"")</f>
        <v/>
      </c>
      <c r="K566" s="18" t="str">
        <f aca="true">IF(AND(AND(C566&lt;&gt;"Kazanıldı",C566&lt;&gt;"Kaybedildi",C566&lt;&gt;""),F566&lt;&gt;"",F566&lt;=TODAY()),F566+ROW()/1000000,"")</f>
        <v/>
      </c>
    </row>
    <row r="567" customFormat="false" ht="15" hidden="false" customHeight="false" outlineLevel="0" collapsed="false">
      <c r="A567" s="12"/>
      <c r="B567" s="13"/>
      <c r="C567" s="13"/>
      <c r="D567" s="14"/>
      <c r="E567" s="15"/>
      <c r="F567" s="15"/>
      <c r="G567" s="12"/>
      <c r="H567" s="16" t="str">
        <f aca="false">IF(OR(A567="",C567=""),"",IFERROR(INDEX(Aşamalar!$B$5:$B$12,MATCH(C567,Aşamalar!$A$5:$A$12,0)),0))</f>
        <v/>
      </c>
      <c r="I567" s="17" t="str">
        <f aca="false">IF(H567="","",D567*H567)</f>
        <v/>
      </c>
      <c r="J567" s="18" t="str">
        <f aca="true">IF(AND(AND(C567&lt;&gt;"Kazanıldı",C567&lt;&gt;"Kaybedildi",C567&lt;&gt;""),F567&lt;&gt;""),IF(F567&lt;TODAY(),"Gecikti",IF(F567=TODAY(),"Bugün","")),"")</f>
        <v/>
      </c>
      <c r="K567" s="18" t="str">
        <f aca="true">IF(AND(AND(C567&lt;&gt;"Kazanıldı",C567&lt;&gt;"Kaybedildi",C567&lt;&gt;""),F567&lt;&gt;"",F567&lt;=TODAY()),F567+ROW()/1000000,"")</f>
        <v/>
      </c>
    </row>
    <row r="568" customFormat="false" ht="15" hidden="false" customHeight="false" outlineLevel="0" collapsed="false">
      <c r="A568" s="12"/>
      <c r="B568" s="13"/>
      <c r="C568" s="13"/>
      <c r="D568" s="14"/>
      <c r="E568" s="15"/>
      <c r="F568" s="15"/>
      <c r="G568" s="12"/>
      <c r="H568" s="16" t="str">
        <f aca="false">IF(OR(A568="",C568=""),"",IFERROR(INDEX(Aşamalar!$B$5:$B$12,MATCH(C568,Aşamalar!$A$5:$A$12,0)),0))</f>
        <v/>
      </c>
      <c r="I568" s="17" t="str">
        <f aca="false">IF(H568="","",D568*H568)</f>
        <v/>
      </c>
      <c r="J568" s="18" t="str">
        <f aca="true">IF(AND(AND(C568&lt;&gt;"Kazanıldı",C568&lt;&gt;"Kaybedildi",C568&lt;&gt;""),F568&lt;&gt;""),IF(F568&lt;TODAY(),"Gecikti",IF(F568=TODAY(),"Bugün","")),"")</f>
        <v/>
      </c>
      <c r="K568" s="18" t="str">
        <f aca="true">IF(AND(AND(C568&lt;&gt;"Kazanıldı",C568&lt;&gt;"Kaybedildi",C568&lt;&gt;""),F568&lt;&gt;"",F568&lt;=TODAY()),F568+ROW()/1000000,"")</f>
        <v/>
      </c>
    </row>
    <row r="569" customFormat="false" ht="15" hidden="false" customHeight="false" outlineLevel="0" collapsed="false">
      <c r="A569" s="12"/>
      <c r="B569" s="13"/>
      <c r="C569" s="13"/>
      <c r="D569" s="14"/>
      <c r="E569" s="15"/>
      <c r="F569" s="15"/>
      <c r="G569" s="12"/>
      <c r="H569" s="16" t="str">
        <f aca="false">IF(OR(A569="",C569=""),"",IFERROR(INDEX(Aşamalar!$B$5:$B$12,MATCH(C569,Aşamalar!$A$5:$A$12,0)),0))</f>
        <v/>
      </c>
      <c r="I569" s="17" t="str">
        <f aca="false">IF(H569="","",D569*H569)</f>
        <v/>
      </c>
      <c r="J569" s="18" t="str">
        <f aca="true">IF(AND(AND(C569&lt;&gt;"Kazanıldı",C569&lt;&gt;"Kaybedildi",C569&lt;&gt;""),F569&lt;&gt;""),IF(F569&lt;TODAY(),"Gecikti",IF(F569=TODAY(),"Bugün","")),"")</f>
        <v/>
      </c>
      <c r="K569" s="18" t="str">
        <f aca="true">IF(AND(AND(C569&lt;&gt;"Kazanıldı",C569&lt;&gt;"Kaybedildi",C569&lt;&gt;""),F569&lt;&gt;"",F569&lt;=TODAY()),F569+ROW()/1000000,"")</f>
        <v/>
      </c>
    </row>
    <row r="570" customFormat="false" ht="15" hidden="false" customHeight="false" outlineLevel="0" collapsed="false">
      <c r="A570" s="12"/>
      <c r="B570" s="13"/>
      <c r="C570" s="13"/>
      <c r="D570" s="14"/>
      <c r="E570" s="15"/>
      <c r="F570" s="15"/>
      <c r="G570" s="12"/>
      <c r="H570" s="16" t="str">
        <f aca="false">IF(OR(A570="",C570=""),"",IFERROR(INDEX(Aşamalar!$B$5:$B$12,MATCH(C570,Aşamalar!$A$5:$A$12,0)),0))</f>
        <v/>
      </c>
      <c r="I570" s="17" t="str">
        <f aca="false">IF(H570="","",D570*H570)</f>
        <v/>
      </c>
      <c r="J570" s="18" t="str">
        <f aca="true">IF(AND(AND(C570&lt;&gt;"Kazanıldı",C570&lt;&gt;"Kaybedildi",C570&lt;&gt;""),F570&lt;&gt;""),IF(F570&lt;TODAY(),"Gecikti",IF(F570=TODAY(),"Bugün","")),"")</f>
        <v/>
      </c>
      <c r="K570" s="18" t="str">
        <f aca="true">IF(AND(AND(C570&lt;&gt;"Kazanıldı",C570&lt;&gt;"Kaybedildi",C570&lt;&gt;""),F570&lt;&gt;"",F570&lt;=TODAY()),F570+ROW()/1000000,"")</f>
        <v/>
      </c>
    </row>
    <row r="571" customFormat="false" ht="15" hidden="false" customHeight="false" outlineLevel="0" collapsed="false">
      <c r="A571" s="12"/>
      <c r="B571" s="13"/>
      <c r="C571" s="13"/>
      <c r="D571" s="14"/>
      <c r="E571" s="15"/>
      <c r="F571" s="15"/>
      <c r="G571" s="12"/>
      <c r="H571" s="16" t="str">
        <f aca="false">IF(OR(A571="",C571=""),"",IFERROR(INDEX(Aşamalar!$B$5:$B$12,MATCH(C571,Aşamalar!$A$5:$A$12,0)),0))</f>
        <v/>
      </c>
      <c r="I571" s="17" t="str">
        <f aca="false">IF(H571="","",D571*H571)</f>
        <v/>
      </c>
      <c r="J571" s="18" t="str">
        <f aca="true">IF(AND(AND(C571&lt;&gt;"Kazanıldı",C571&lt;&gt;"Kaybedildi",C571&lt;&gt;""),F571&lt;&gt;""),IF(F571&lt;TODAY(),"Gecikti",IF(F571=TODAY(),"Bugün","")),"")</f>
        <v/>
      </c>
      <c r="K571" s="18" t="str">
        <f aca="true">IF(AND(AND(C571&lt;&gt;"Kazanıldı",C571&lt;&gt;"Kaybedildi",C571&lt;&gt;""),F571&lt;&gt;"",F571&lt;=TODAY()),F571+ROW()/1000000,"")</f>
        <v/>
      </c>
    </row>
    <row r="572" customFormat="false" ht="15" hidden="false" customHeight="false" outlineLevel="0" collapsed="false">
      <c r="A572" s="12"/>
      <c r="B572" s="13"/>
      <c r="C572" s="13"/>
      <c r="D572" s="14"/>
      <c r="E572" s="15"/>
      <c r="F572" s="15"/>
      <c r="G572" s="12"/>
      <c r="H572" s="16" t="str">
        <f aca="false">IF(OR(A572="",C572=""),"",IFERROR(INDEX(Aşamalar!$B$5:$B$12,MATCH(C572,Aşamalar!$A$5:$A$12,0)),0))</f>
        <v/>
      </c>
      <c r="I572" s="17" t="str">
        <f aca="false">IF(H572="","",D572*H572)</f>
        <v/>
      </c>
      <c r="J572" s="18" t="str">
        <f aca="true">IF(AND(AND(C572&lt;&gt;"Kazanıldı",C572&lt;&gt;"Kaybedildi",C572&lt;&gt;""),F572&lt;&gt;""),IF(F572&lt;TODAY(),"Gecikti",IF(F572=TODAY(),"Bugün","")),"")</f>
        <v/>
      </c>
      <c r="K572" s="18" t="str">
        <f aca="true">IF(AND(AND(C572&lt;&gt;"Kazanıldı",C572&lt;&gt;"Kaybedildi",C572&lt;&gt;""),F572&lt;&gt;"",F572&lt;=TODAY()),F572+ROW()/1000000,"")</f>
        <v/>
      </c>
    </row>
    <row r="573" customFormat="false" ht="15" hidden="false" customHeight="false" outlineLevel="0" collapsed="false">
      <c r="A573" s="12"/>
      <c r="B573" s="13"/>
      <c r="C573" s="13"/>
      <c r="D573" s="14"/>
      <c r="E573" s="15"/>
      <c r="F573" s="15"/>
      <c r="G573" s="12"/>
      <c r="H573" s="16" t="str">
        <f aca="false">IF(OR(A573="",C573=""),"",IFERROR(INDEX(Aşamalar!$B$5:$B$12,MATCH(C573,Aşamalar!$A$5:$A$12,0)),0))</f>
        <v/>
      </c>
      <c r="I573" s="17" t="str">
        <f aca="false">IF(H573="","",D573*H573)</f>
        <v/>
      </c>
      <c r="J573" s="18" t="str">
        <f aca="true">IF(AND(AND(C573&lt;&gt;"Kazanıldı",C573&lt;&gt;"Kaybedildi",C573&lt;&gt;""),F573&lt;&gt;""),IF(F573&lt;TODAY(),"Gecikti",IF(F573=TODAY(),"Bugün","")),"")</f>
        <v/>
      </c>
      <c r="K573" s="18" t="str">
        <f aca="true">IF(AND(AND(C573&lt;&gt;"Kazanıldı",C573&lt;&gt;"Kaybedildi",C573&lt;&gt;""),F573&lt;&gt;"",F573&lt;=TODAY()),F573+ROW()/1000000,"")</f>
        <v/>
      </c>
    </row>
    <row r="574" customFormat="false" ht="15" hidden="false" customHeight="false" outlineLevel="0" collapsed="false">
      <c r="A574" s="12"/>
      <c r="B574" s="13"/>
      <c r="C574" s="13"/>
      <c r="D574" s="14"/>
      <c r="E574" s="15"/>
      <c r="F574" s="15"/>
      <c r="G574" s="12"/>
      <c r="H574" s="16" t="str">
        <f aca="false">IF(OR(A574="",C574=""),"",IFERROR(INDEX(Aşamalar!$B$5:$B$12,MATCH(C574,Aşamalar!$A$5:$A$12,0)),0))</f>
        <v/>
      </c>
      <c r="I574" s="17" t="str">
        <f aca="false">IF(H574="","",D574*H574)</f>
        <v/>
      </c>
      <c r="J574" s="18" t="str">
        <f aca="true">IF(AND(AND(C574&lt;&gt;"Kazanıldı",C574&lt;&gt;"Kaybedildi",C574&lt;&gt;""),F574&lt;&gt;""),IF(F574&lt;TODAY(),"Gecikti",IF(F574=TODAY(),"Bugün","")),"")</f>
        <v/>
      </c>
      <c r="K574" s="18" t="str">
        <f aca="true">IF(AND(AND(C574&lt;&gt;"Kazanıldı",C574&lt;&gt;"Kaybedildi",C574&lt;&gt;""),F574&lt;&gt;"",F574&lt;=TODAY()),F574+ROW()/1000000,"")</f>
        <v/>
      </c>
    </row>
    <row r="575" customFormat="false" ht="15" hidden="false" customHeight="false" outlineLevel="0" collapsed="false">
      <c r="A575" s="12"/>
      <c r="B575" s="13"/>
      <c r="C575" s="13"/>
      <c r="D575" s="14"/>
      <c r="E575" s="15"/>
      <c r="F575" s="15"/>
      <c r="G575" s="12"/>
      <c r="H575" s="16" t="str">
        <f aca="false">IF(OR(A575="",C575=""),"",IFERROR(INDEX(Aşamalar!$B$5:$B$12,MATCH(C575,Aşamalar!$A$5:$A$12,0)),0))</f>
        <v/>
      </c>
      <c r="I575" s="17" t="str">
        <f aca="false">IF(H575="","",D575*H575)</f>
        <v/>
      </c>
      <c r="J575" s="18" t="str">
        <f aca="true">IF(AND(AND(C575&lt;&gt;"Kazanıldı",C575&lt;&gt;"Kaybedildi",C575&lt;&gt;""),F575&lt;&gt;""),IF(F575&lt;TODAY(),"Gecikti",IF(F575=TODAY(),"Bugün","")),"")</f>
        <v/>
      </c>
      <c r="K575" s="18" t="str">
        <f aca="true">IF(AND(AND(C575&lt;&gt;"Kazanıldı",C575&lt;&gt;"Kaybedildi",C575&lt;&gt;""),F575&lt;&gt;"",F575&lt;=TODAY()),F575+ROW()/1000000,"")</f>
        <v/>
      </c>
    </row>
    <row r="576" customFormat="false" ht="15" hidden="false" customHeight="false" outlineLevel="0" collapsed="false">
      <c r="A576" s="12"/>
      <c r="B576" s="13"/>
      <c r="C576" s="13"/>
      <c r="D576" s="14"/>
      <c r="E576" s="15"/>
      <c r="F576" s="15"/>
      <c r="G576" s="12"/>
      <c r="H576" s="16" t="str">
        <f aca="false">IF(OR(A576="",C576=""),"",IFERROR(INDEX(Aşamalar!$B$5:$B$12,MATCH(C576,Aşamalar!$A$5:$A$12,0)),0))</f>
        <v/>
      </c>
      <c r="I576" s="17" t="str">
        <f aca="false">IF(H576="","",D576*H576)</f>
        <v/>
      </c>
      <c r="J576" s="18" t="str">
        <f aca="true">IF(AND(AND(C576&lt;&gt;"Kazanıldı",C576&lt;&gt;"Kaybedildi",C576&lt;&gt;""),F576&lt;&gt;""),IF(F576&lt;TODAY(),"Gecikti",IF(F576=TODAY(),"Bugün","")),"")</f>
        <v/>
      </c>
      <c r="K576" s="18" t="str">
        <f aca="true">IF(AND(AND(C576&lt;&gt;"Kazanıldı",C576&lt;&gt;"Kaybedildi",C576&lt;&gt;""),F576&lt;&gt;"",F576&lt;=TODAY()),F576+ROW()/1000000,"")</f>
        <v/>
      </c>
    </row>
    <row r="577" customFormat="false" ht="15" hidden="false" customHeight="false" outlineLevel="0" collapsed="false">
      <c r="A577" s="12"/>
      <c r="B577" s="13"/>
      <c r="C577" s="13"/>
      <c r="D577" s="14"/>
      <c r="E577" s="15"/>
      <c r="F577" s="15"/>
      <c r="G577" s="12"/>
      <c r="H577" s="16" t="str">
        <f aca="false">IF(OR(A577="",C577=""),"",IFERROR(INDEX(Aşamalar!$B$5:$B$12,MATCH(C577,Aşamalar!$A$5:$A$12,0)),0))</f>
        <v/>
      </c>
      <c r="I577" s="17" t="str">
        <f aca="false">IF(H577="","",D577*H577)</f>
        <v/>
      </c>
      <c r="J577" s="18" t="str">
        <f aca="true">IF(AND(AND(C577&lt;&gt;"Kazanıldı",C577&lt;&gt;"Kaybedildi",C577&lt;&gt;""),F577&lt;&gt;""),IF(F577&lt;TODAY(),"Gecikti",IF(F577=TODAY(),"Bugün","")),"")</f>
        <v/>
      </c>
      <c r="K577" s="18" t="str">
        <f aca="true">IF(AND(AND(C577&lt;&gt;"Kazanıldı",C577&lt;&gt;"Kaybedildi",C577&lt;&gt;""),F577&lt;&gt;"",F577&lt;=TODAY()),F577+ROW()/1000000,"")</f>
        <v/>
      </c>
    </row>
    <row r="578" customFormat="false" ht="15" hidden="false" customHeight="false" outlineLevel="0" collapsed="false">
      <c r="A578" s="12"/>
      <c r="B578" s="13"/>
      <c r="C578" s="13"/>
      <c r="D578" s="14"/>
      <c r="E578" s="15"/>
      <c r="F578" s="15"/>
      <c r="G578" s="12"/>
      <c r="H578" s="16" t="str">
        <f aca="false">IF(OR(A578="",C578=""),"",IFERROR(INDEX(Aşamalar!$B$5:$B$12,MATCH(C578,Aşamalar!$A$5:$A$12,0)),0))</f>
        <v/>
      </c>
      <c r="I578" s="17" t="str">
        <f aca="false">IF(H578="","",D578*H578)</f>
        <v/>
      </c>
      <c r="J578" s="18" t="str">
        <f aca="true">IF(AND(AND(C578&lt;&gt;"Kazanıldı",C578&lt;&gt;"Kaybedildi",C578&lt;&gt;""),F578&lt;&gt;""),IF(F578&lt;TODAY(),"Gecikti",IF(F578=TODAY(),"Bugün","")),"")</f>
        <v/>
      </c>
      <c r="K578" s="18" t="str">
        <f aca="true">IF(AND(AND(C578&lt;&gt;"Kazanıldı",C578&lt;&gt;"Kaybedildi",C578&lt;&gt;""),F578&lt;&gt;"",F578&lt;=TODAY()),F578+ROW()/1000000,"")</f>
        <v/>
      </c>
    </row>
    <row r="579" customFormat="false" ht="15" hidden="false" customHeight="false" outlineLevel="0" collapsed="false">
      <c r="A579" s="12"/>
      <c r="B579" s="13"/>
      <c r="C579" s="13"/>
      <c r="D579" s="14"/>
      <c r="E579" s="15"/>
      <c r="F579" s="15"/>
      <c r="G579" s="12"/>
      <c r="H579" s="16" t="str">
        <f aca="false">IF(OR(A579="",C579=""),"",IFERROR(INDEX(Aşamalar!$B$5:$B$12,MATCH(C579,Aşamalar!$A$5:$A$12,0)),0))</f>
        <v/>
      </c>
      <c r="I579" s="17" t="str">
        <f aca="false">IF(H579="","",D579*H579)</f>
        <v/>
      </c>
      <c r="J579" s="18" t="str">
        <f aca="true">IF(AND(AND(C579&lt;&gt;"Kazanıldı",C579&lt;&gt;"Kaybedildi",C579&lt;&gt;""),F579&lt;&gt;""),IF(F579&lt;TODAY(),"Gecikti",IF(F579=TODAY(),"Bugün","")),"")</f>
        <v/>
      </c>
      <c r="K579" s="18" t="str">
        <f aca="true">IF(AND(AND(C579&lt;&gt;"Kazanıldı",C579&lt;&gt;"Kaybedildi",C579&lt;&gt;""),F579&lt;&gt;"",F579&lt;=TODAY()),F579+ROW()/1000000,"")</f>
        <v/>
      </c>
    </row>
    <row r="580" customFormat="false" ht="15" hidden="false" customHeight="false" outlineLevel="0" collapsed="false">
      <c r="A580" s="12"/>
      <c r="B580" s="13"/>
      <c r="C580" s="13"/>
      <c r="D580" s="14"/>
      <c r="E580" s="15"/>
      <c r="F580" s="15"/>
      <c r="G580" s="12"/>
      <c r="H580" s="16" t="str">
        <f aca="false">IF(OR(A580="",C580=""),"",IFERROR(INDEX(Aşamalar!$B$5:$B$12,MATCH(C580,Aşamalar!$A$5:$A$12,0)),0))</f>
        <v/>
      </c>
      <c r="I580" s="17" t="str">
        <f aca="false">IF(H580="","",D580*H580)</f>
        <v/>
      </c>
      <c r="J580" s="18" t="str">
        <f aca="true">IF(AND(AND(C580&lt;&gt;"Kazanıldı",C580&lt;&gt;"Kaybedildi",C580&lt;&gt;""),F580&lt;&gt;""),IF(F580&lt;TODAY(),"Gecikti",IF(F580=TODAY(),"Bugün","")),"")</f>
        <v/>
      </c>
      <c r="K580" s="18" t="str">
        <f aca="true">IF(AND(AND(C580&lt;&gt;"Kazanıldı",C580&lt;&gt;"Kaybedildi",C580&lt;&gt;""),F580&lt;&gt;"",F580&lt;=TODAY()),F580+ROW()/1000000,"")</f>
        <v/>
      </c>
    </row>
    <row r="581" customFormat="false" ht="15" hidden="false" customHeight="false" outlineLevel="0" collapsed="false">
      <c r="A581" s="12"/>
      <c r="B581" s="13"/>
      <c r="C581" s="13"/>
      <c r="D581" s="14"/>
      <c r="E581" s="15"/>
      <c r="F581" s="15"/>
      <c r="G581" s="12"/>
      <c r="H581" s="16" t="str">
        <f aca="false">IF(OR(A581="",C581=""),"",IFERROR(INDEX(Aşamalar!$B$5:$B$12,MATCH(C581,Aşamalar!$A$5:$A$12,0)),0))</f>
        <v/>
      </c>
      <c r="I581" s="17" t="str">
        <f aca="false">IF(H581="","",D581*H581)</f>
        <v/>
      </c>
      <c r="J581" s="18" t="str">
        <f aca="true">IF(AND(AND(C581&lt;&gt;"Kazanıldı",C581&lt;&gt;"Kaybedildi",C581&lt;&gt;""),F581&lt;&gt;""),IF(F581&lt;TODAY(),"Gecikti",IF(F581=TODAY(),"Bugün","")),"")</f>
        <v/>
      </c>
      <c r="K581" s="18" t="str">
        <f aca="true">IF(AND(AND(C581&lt;&gt;"Kazanıldı",C581&lt;&gt;"Kaybedildi",C581&lt;&gt;""),F581&lt;&gt;"",F581&lt;=TODAY()),F581+ROW()/1000000,"")</f>
        <v/>
      </c>
    </row>
    <row r="582" customFormat="false" ht="15" hidden="false" customHeight="false" outlineLevel="0" collapsed="false">
      <c r="A582" s="12"/>
      <c r="B582" s="13"/>
      <c r="C582" s="13"/>
      <c r="D582" s="14"/>
      <c r="E582" s="15"/>
      <c r="F582" s="15"/>
      <c r="G582" s="12"/>
      <c r="H582" s="16" t="str">
        <f aca="false">IF(OR(A582="",C582=""),"",IFERROR(INDEX(Aşamalar!$B$5:$B$12,MATCH(C582,Aşamalar!$A$5:$A$12,0)),0))</f>
        <v/>
      </c>
      <c r="I582" s="17" t="str">
        <f aca="false">IF(H582="","",D582*H582)</f>
        <v/>
      </c>
      <c r="J582" s="18" t="str">
        <f aca="true">IF(AND(AND(C582&lt;&gt;"Kazanıldı",C582&lt;&gt;"Kaybedildi",C582&lt;&gt;""),F582&lt;&gt;""),IF(F582&lt;TODAY(),"Gecikti",IF(F582=TODAY(),"Bugün","")),"")</f>
        <v/>
      </c>
      <c r="K582" s="18" t="str">
        <f aca="true">IF(AND(AND(C582&lt;&gt;"Kazanıldı",C582&lt;&gt;"Kaybedildi",C582&lt;&gt;""),F582&lt;&gt;"",F582&lt;=TODAY()),F582+ROW()/1000000,"")</f>
        <v/>
      </c>
    </row>
    <row r="583" customFormat="false" ht="15" hidden="false" customHeight="false" outlineLevel="0" collapsed="false">
      <c r="A583" s="12"/>
      <c r="B583" s="13"/>
      <c r="C583" s="13"/>
      <c r="D583" s="14"/>
      <c r="E583" s="15"/>
      <c r="F583" s="15"/>
      <c r="G583" s="12"/>
      <c r="H583" s="16" t="str">
        <f aca="false">IF(OR(A583="",C583=""),"",IFERROR(INDEX(Aşamalar!$B$5:$B$12,MATCH(C583,Aşamalar!$A$5:$A$12,0)),0))</f>
        <v/>
      </c>
      <c r="I583" s="17" t="str">
        <f aca="false">IF(H583="","",D583*H583)</f>
        <v/>
      </c>
      <c r="J583" s="18" t="str">
        <f aca="true">IF(AND(AND(C583&lt;&gt;"Kazanıldı",C583&lt;&gt;"Kaybedildi",C583&lt;&gt;""),F583&lt;&gt;""),IF(F583&lt;TODAY(),"Gecikti",IF(F583=TODAY(),"Bugün","")),"")</f>
        <v/>
      </c>
      <c r="K583" s="18" t="str">
        <f aca="true">IF(AND(AND(C583&lt;&gt;"Kazanıldı",C583&lt;&gt;"Kaybedildi",C583&lt;&gt;""),F583&lt;&gt;"",F583&lt;=TODAY()),F583+ROW()/1000000,"")</f>
        <v/>
      </c>
    </row>
    <row r="584" customFormat="false" ht="15" hidden="false" customHeight="false" outlineLevel="0" collapsed="false">
      <c r="A584" s="12"/>
      <c r="B584" s="13"/>
      <c r="C584" s="13"/>
      <c r="D584" s="14"/>
      <c r="E584" s="15"/>
      <c r="F584" s="15"/>
      <c r="G584" s="12"/>
      <c r="H584" s="16" t="str">
        <f aca="false">IF(OR(A584="",C584=""),"",IFERROR(INDEX(Aşamalar!$B$5:$B$12,MATCH(C584,Aşamalar!$A$5:$A$12,0)),0))</f>
        <v/>
      </c>
      <c r="I584" s="17" t="str">
        <f aca="false">IF(H584="","",D584*H584)</f>
        <v/>
      </c>
      <c r="J584" s="18" t="str">
        <f aca="true">IF(AND(AND(C584&lt;&gt;"Kazanıldı",C584&lt;&gt;"Kaybedildi",C584&lt;&gt;""),F584&lt;&gt;""),IF(F584&lt;TODAY(),"Gecikti",IF(F584=TODAY(),"Bugün","")),"")</f>
        <v/>
      </c>
      <c r="K584" s="18" t="str">
        <f aca="true">IF(AND(AND(C584&lt;&gt;"Kazanıldı",C584&lt;&gt;"Kaybedildi",C584&lt;&gt;""),F584&lt;&gt;"",F584&lt;=TODAY()),F584+ROW()/1000000,"")</f>
        <v/>
      </c>
    </row>
    <row r="585" customFormat="false" ht="15" hidden="false" customHeight="false" outlineLevel="0" collapsed="false">
      <c r="A585" s="12"/>
      <c r="B585" s="13"/>
      <c r="C585" s="13"/>
      <c r="D585" s="14"/>
      <c r="E585" s="15"/>
      <c r="F585" s="15"/>
      <c r="G585" s="12"/>
      <c r="H585" s="16" t="str">
        <f aca="false">IF(OR(A585="",C585=""),"",IFERROR(INDEX(Aşamalar!$B$5:$B$12,MATCH(C585,Aşamalar!$A$5:$A$12,0)),0))</f>
        <v/>
      </c>
      <c r="I585" s="17" t="str">
        <f aca="false">IF(H585="","",D585*H585)</f>
        <v/>
      </c>
      <c r="J585" s="18" t="str">
        <f aca="true">IF(AND(AND(C585&lt;&gt;"Kazanıldı",C585&lt;&gt;"Kaybedildi",C585&lt;&gt;""),F585&lt;&gt;""),IF(F585&lt;TODAY(),"Gecikti",IF(F585=TODAY(),"Bugün","")),"")</f>
        <v/>
      </c>
      <c r="K585" s="18" t="str">
        <f aca="true">IF(AND(AND(C585&lt;&gt;"Kazanıldı",C585&lt;&gt;"Kaybedildi",C585&lt;&gt;""),F585&lt;&gt;"",F585&lt;=TODAY()),F585+ROW()/1000000,"")</f>
        <v/>
      </c>
    </row>
    <row r="586" customFormat="false" ht="15" hidden="false" customHeight="false" outlineLevel="0" collapsed="false">
      <c r="A586" s="12"/>
      <c r="B586" s="13"/>
      <c r="C586" s="13"/>
      <c r="D586" s="14"/>
      <c r="E586" s="15"/>
      <c r="F586" s="15"/>
      <c r="G586" s="12"/>
      <c r="H586" s="16" t="str">
        <f aca="false">IF(OR(A586="",C586=""),"",IFERROR(INDEX(Aşamalar!$B$5:$B$12,MATCH(C586,Aşamalar!$A$5:$A$12,0)),0))</f>
        <v/>
      </c>
      <c r="I586" s="17" t="str">
        <f aca="false">IF(H586="","",D586*H586)</f>
        <v/>
      </c>
      <c r="J586" s="18" t="str">
        <f aca="true">IF(AND(AND(C586&lt;&gt;"Kazanıldı",C586&lt;&gt;"Kaybedildi",C586&lt;&gt;""),F586&lt;&gt;""),IF(F586&lt;TODAY(),"Gecikti",IF(F586=TODAY(),"Bugün","")),"")</f>
        <v/>
      </c>
      <c r="K586" s="18" t="str">
        <f aca="true">IF(AND(AND(C586&lt;&gt;"Kazanıldı",C586&lt;&gt;"Kaybedildi",C586&lt;&gt;""),F586&lt;&gt;"",F586&lt;=TODAY()),F586+ROW()/1000000,"")</f>
        <v/>
      </c>
    </row>
    <row r="587" customFormat="false" ht="15" hidden="false" customHeight="false" outlineLevel="0" collapsed="false">
      <c r="A587" s="12"/>
      <c r="B587" s="13"/>
      <c r="C587" s="13"/>
      <c r="D587" s="14"/>
      <c r="E587" s="15"/>
      <c r="F587" s="15"/>
      <c r="G587" s="12"/>
      <c r="H587" s="16" t="str">
        <f aca="false">IF(OR(A587="",C587=""),"",IFERROR(INDEX(Aşamalar!$B$5:$B$12,MATCH(C587,Aşamalar!$A$5:$A$12,0)),0))</f>
        <v/>
      </c>
      <c r="I587" s="17" t="str">
        <f aca="false">IF(H587="","",D587*H587)</f>
        <v/>
      </c>
      <c r="J587" s="18" t="str">
        <f aca="true">IF(AND(AND(C587&lt;&gt;"Kazanıldı",C587&lt;&gt;"Kaybedildi",C587&lt;&gt;""),F587&lt;&gt;""),IF(F587&lt;TODAY(),"Gecikti",IF(F587=TODAY(),"Bugün","")),"")</f>
        <v/>
      </c>
      <c r="K587" s="18" t="str">
        <f aca="true">IF(AND(AND(C587&lt;&gt;"Kazanıldı",C587&lt;&gt;"Kaybedildi",C587&lt;&gt;""),F587&lt;&gt;"",F587&lt;=TODAY()),F587+ROW()/1000000,"")</f>
        <v/>
      </c>
    </row>
    <row r="588" customFormat="false" ht="15" hidden="false" customHeight="false" outlineLevel="0" collapsed="false">
      <c r="A588" s="12"/>
      <c r="B588" s="13"/>
      <c r="C588" s="13"/>
      <c r="D588" s="14"/>
      <c r="E588" s="15"/>
      <c r="F588" s="15"/>
      <c r="G588" s="12"/>
      <c r="H588" s="16" t="str">
        <f aca="false">IF(OR(A588="",C588=""),"",IFERROR(INDEX(Aşamalar!$B$5:$B$12,MATCH(C588,Aşamalar!$A$5:$A$12,0)),0))</f>
        <v/>
      </c>
      <c r="I588" s="17" t="str">
        <f aca="false">IF(H588="","",D588*H588)</f>
        <v/>
      </c>
      <c r="J588" s="18" t="str">
        <f aca="true">IF(AND(AND(C588&lt;&gt;"Kazanıldı",C588&lt;&gt;"Kaybedildi",C588&lt;&gt;""),F588&lt;&gt;""),IF(F588&lt;TODAY(),"Gecikti",IF(F588=TODAY(),"Bugün","")),"")</f>
        <v/>
      </c>
      <c r="K588" s="18" t="str">
        <f aca="true">IF(AND(AND(C588&lt;&gt;"Kazanıldı",C588&lt;&gt;"Kaybedildi",C588&lt;&gt;""),F588&lt;&gt;"",F588&lt;=TODAY()),F588+ROW()/1000000,"")</f>
        <v/>
      </c>
    </row>
    <row r="589" customFormat="false" ht="15" hidden="false" customHeight="false" outlineLevel="0" collapsed="false">
      <c r="A589" s="12"/>
      <c r="B589" s="13"/>
      <c r="C589" s="13"/>
      <c r="D589" s="14"/>
      <c r="E589" s="15"/>
      <c r="F589" s="15"/>
      <c r="G589" s="12"/>
      <c r="H589" s="16" t="str">
        <f aca="false">IF(OR(A589="",C589=""),"",IFERROR(INDEX(Aşamalar!$B$5:$B$12,MATCH(C589,Aşamalar!$A$5:$A$12,0)),0))</f>
        <v/>
      </c>
      <c r="I589" s="17" t="str">
        <f aca="false">IF(H589="","",D589*H589)</f>
        <v/>
      </c>
      <c r="J589" s="18" t="str">
        <f aca="true">IF(AND(AND(C589&lt;&gt;"Kazanıldı",C589&lt;&gt;"Kaybedildi",C589&lt;&gt;""),F589&lt;&gt;""),IF(F589&lt;TODAY(),"Gecikti",IF(F589=TODAY(),"Bugün","")),"")</f>
        <v/>
      </c>
      <c r="K589" s="18" t="str">
        <f aca="true">IF(AND(AND(C589&lt;&gt;"Kazanıldı",C589&lt;&gt;"Kaybedildi",C589&lt;&gt;""),F589&lt;&gt;"",F589&lt;=TODAY()),F589+ROW()/1000000,"")</f>
        <v/>
      </c>
    </row>
    <row r="590" customFormat="false" ht="15" hidden="false" customHeight="false" outlineLevel="0" collapsed="false">
      <c r="A590" s="12"/>
      <c r="B590" s="13"/>
      <c r="C590" s="13"/>
      <c r="D590" s="14"/>
      <c r="E590" s="15"/>
      <c r="F590" s="15"/>
      <c r="G590" s="12"/>
      <c r="H590" s="16" t="str">
        <f aca="false">IF(OR(A590="",C590=""),"",IFERROR(INDEX(Aşamalar!$B$5:$B$12,MATCH(C590,Aşamalar!$A$5:$A$12,0)),0))</f>
        <v/>
      </c>
      <c r="I590" s="17" t="str">
        <f aca="false">IF(H590="","",D590*H590)</f>
        <v/>
      </c>
      <c r="J590" s="18" t="str">
        <f aca="true">IF(AND(AND(C590&lt;&gt;"Kazanıldı",C590&lt;&gt;"Kaybedildi",C590&lt;&gt;""),F590&lt;&gt;""),IF(F590&lt;TODAY(),"Gecikti",IF(F590=TODAY(),"Bugün","")),"")</f>
        <v/>
      </c>
      <c r="K590" s="18" t="str">
        <f aca="true">IF(AND(AND(C590&lt;&gt;"Kazanıldı",C590&lt;&gt;"Kaybedildi",C590&lt;&gt;""),F590&lt;&gt;"",F590&lt;=TODAY()),F590+ROW()/1000000,"")</f>
        <v/>
      </c>
    </row>
    <row r="591" customFormat="false" ht="15" hidden="false" customHeight="false" outlineLevel="0" collapsed="false">
      <c r="A591" s="12"/>
      <c r="B591" s="13"/>
      <c r="C591" s="13"/>
      <c r="D591" s="14"/>
      <c r="E591" s="15"/>
      <c r="F591" s="15"/>
      <c r="G591" s="12"/>
      <c r="H591" s="16" t="str">
        <f aca="false">IF(OR(A591="",C591=""),"",IFERROR(INDEX(Aşamalar!$B$5:$B$12,MATCH(C591,Aşamalar!$A$5:$A$12,0)),0))</f>
        <v/>
      </c>
      <c r="I591" s="17" t="str">
        <f aca="false">IF(H591="","",D591*H591)</f>
        <v/>
      </c>
      <c r="J591" s="18" t="str">
        <f aca="true">IF(AND(AND(C591&lt;&gt;"Kazanıldı",C591&lt;&gt;"Kaybedildi",C591&lt;&gt;""),F591&lt;&gt;""),IF(F591&lt;TODAY(),"Gecikti",IF(F591=TODAY(),"Bugün","")),"")</f>
        <v/>
      </c>
      <c r="K591" s="18" t="str">
        <f aca="true">IF(AND(AND(C591&lt;&gt;"Kazanıldı",C591&lt;&gt;"Kaybedildi",C591&lt;&gt;""),F591&lt;&gt;"",F591&lt;=TODAY()),F591+ROW()/1000000,"")</f>
        <v/>
      </c>
    </row>
    <row r="592" customFormat="false" ht="15" hidden="false" customHeight="false" outlineLevel="0" collapsed="false">
      <c r="A592" s="12"/>
      <c r="B592" s="13"/>
      <c r="C592" s="13"/>
      <c r="D592" s="14"/>
      <c r="E592" s="15"/>
      <c r="F592" s="15"/>
      <c r="G592" s="12"/>
      <c r="H592" s="16" t="str">
        <f aca="false">IF(OR(A592="",C592=""),"",IFERROR(INDEX(Aşamalar!$B$5:$B$12,MATCH(C592,Aşamalar!$A$5:$A$12,0)),0))</f>
        <v/>
      </c>
      <c r="I592" s="17" t="str">
        <f aca="false">IF(H592="","",D592*H592)</f>
        <v/>
      </c>
      <c r="J592" s="18" t="str">
        <f aca="true">IF(AND(AND(C592&lt;&gt;"Kazanıldı",C592&lt;&gt;"Kaybedildi",C592&lt;&gt;""),F592&lt;&gt;""),IF(F592&lt;TODAY(),"Gecikti",IF(F592=TODAY(),"Bugün","")),"")</f>
        <v/>
      </c>
      <c r="K592" s="18" t="str">
        <f aca="true">IF(AND(AND(C592&lt;&gt;"Kazanıldı",C592&lt;&gt;"Kaybedildi",C592&lt;&gt;""),F592&lt;&gt;"",F592&lt;=TODAY()),F592+ROW()/1000000,"")</f>
        <v/>
      </c>
    </row>
    <row r="593" customFormat="false" ht="15" hidden="false" customHeight="false" outlineLevel="0" collapsed="false">
      <c r="A593" s="12"/>
      <c r="B593" s="13"/>
      <c r="C593" s="13"/>
      <c r="D593" s="14"/>
      <c r="E593" s="15"/>
      <c r="F593" s="15"/>
      <c r="G593" s="12"/>
      <c r="H593" s="16" t="str">
        <f aca="false">IF(OR(A593="",C593=""),"",IFERROR(INDEX(Aşamalar!$B$5:$B$12,MATCH(C593,Aşamalar!$A$5:$A$12,0)),0))</f>
        <v/>
      </c>
      <c r="I593" s="17" t="str">
        <f aca="false">IF(H593="","",D593*H593)</f>
        <v/>
      </c>
      <c r="J593" s="18" t="str">
        <f aca="true">IF(AND(AND(C593&lt;&gt;"Kazanıldı",C593&lt;&gt;"Kaybedildi",C593&lt;&gt;""),F593&lt;&gt;""),IF(F593&lt;TODAY(),"Gecikti",IF(F593=TODAY(),"Bugün","")),"")</f>
        <v/>
      </c>
      <c r="K593" s="18" t="str">
        <f aca="true">IF(AND(AND(C593&lt;&gt;"Kazanıldı",C593&lt;&gt;"Kaybedildi",C593&lt;&gt;""),F593&lt;&gt;"",F593&lt;=TODAY()),F593+ROW()/1000000,"")</f>
        <v/>
      </c>
    </row>
    <row r="594" customFormat="false" ht="15" hidden="false" customHeight="false" outlineLevel="0" collapsed="false">
      <c r="A594" s="12"/>
      <c r="B594" s="13"/>
      <c r="C594" s="13"/>
      <c r="D594" s="14"/>
      <c r="E594" s="15"/>
      <c r="F594" s="15"/>
      <c r="G594" s="12"/>
      <c r="H594" s="16" t="str">
        <f aca="false">IF(OR(A594="",C594=""),"",IFERROR(INDEX(Aşamalar!$B$5:$B$12,MATCH(C594,Aşamalar!$A$5:$A$12,0)),0))</f>
        <v/>
      </c>
      <c r="I594" s="17" t="str">
        <f aca="false">IF(H594="","",D594*H594)</f>
        <v/>
      </c>
      <c r="J594" s="18" t="str">
        <f aca="true">IF(AND(AND(C594&lt;&gt;"Kazanıldı",C594&lt;&gt;"Kaybedildi",C594&lt;&gt;""),F594&lt;&gt;""),IF(F594&lt;TODAY(),"Gecikti",IF(F594=TODAY(),"Bugün","")),"")</f>
        <v/>
      </c>
      <c r="K594" s="18" t="str">
        <f aca="true">IF(AND(AND(C594&lt;&gt;"Kazanıldı",C594&lt;&gt;"Kaybedildi",C594&lt;&gt;""),F594&lt;&gt;"",F594&lt;=TODAY()),F594+ROW()/1000000,"")</f>
        <v/>
      </c>
    </row>
    <row r="595" customFormat="false" ht="15" hidden="false" customHeight="false" outlineLevel="0" collapsed="false">
      <c r="A595" s="12"/>
      <c r="B595" s="13"/>
      <c r="C595" s="13"/>
      <c r="D595" s="14"/>
      <c r="E595" s="15"/>
      <c r="F595" s="15"/>
      <c r="G595" s="12"/>
      <c r="H595" s="16" t="str">
        <f aca="false">IF(OR(A595="",C595=""),"",IFERROR(INDEX(Aşamalar!$B$5:$B$12,MATCH(C595,Aşamalar!$A$5:$A$12,0)),0))</f>
        <v/>
      </c>
      <c r="I595" s="17" t="str">
        <f aca="false">IF(H595="","",D595*H595)</f>
        <v/>
      </c>
      <c r="J595" s="18" t="str">
        <f aca="true">IF(AND(AND(C595&lt;&gt;"Kazanıldı",C595&lt;&gt;"Kaybedildi",C595&lt;&gt;""),F595&lt;&gt;""),IF(F595&lt;TODAY(),"Gecikti",IF(F595=TODAY(),"Bugün","")),"")</f>
        <v/>
      </c>
      <c r="K595" s="18" t="str">
        <f aca="true">IF(AND(AND(C595&lt;&gt;"Kazanıldı",C595&lt;&gt;"Kaybedildi",C595&lt;&gt;""),F595&lt;&gt;"",F595&lt;=TODAY()),F595+ROW()/1000000,"")</f>
        <v/>
      </c>
    </row>
    <row r="596" customFormat="false" ht="15" hidden="false" customHeight="false" outlineLevel="0" collapsed="false">
      <c r="A596" s="12"/>
      <c r="B596" s="13"/>
      <c r="C596" s="13"/>
      <c r="D596" s="14"/>
      <c r="E596" s="15"/>
      <c r="F596" s="15"/>
      <c r="G596" s="12"/>
      <c r="H596" s="16" t="str">
        <f aca="false">IF(OR(A596="",C596=""),"",IFERROR(INDEX(Aşamalar!$B$5:$B$12,MATCH(C596,Aşamalar!$A$5:$A$12,0)),0))</f>
        <v/>
      </c>
      <c r="I596" s="17" t="str">
        <f aca="false">IF(H596="","",D596*H596)</f>
        <v/>
      </c>
      <c r="J596" s="18" t="str">
        <f aca="true">IF(AND(AND(C596&lt;&gt;"Kazanıldı",C596&lt;&gt;"Kaybedildi",C596&lt;&gt;""),F596&lt;&gt;""),IF(F596&lt;TODAY(),"Gecikti",IF(F596=TODAY(),"Bugün","")),"")</f>
        <v/>
      </c>
      <c r="K596" s="18" t="str">
        <f aca="true">IF(AND(AND(C596&lt;&gt;"Kazanıldı",C596&lt;&gt;"Kaybedildi",C596&lt;&gt;""),F596&lt;&gt;"",F596&lt;=TODAY()),F596+ROW()/1000000,"")</f>
        <v/>
      </c>
    </row>
    <row r="597" customFormat="false" ht="15" hidden="false" customHeight="false" outlineLevel="0" collapsed="false">
      <c r="A597" s="12"/>
      <c r="B597" s="13"/>
      <c r="C597" s="13"/>
      <c r="D597" s="14"/>
      <c r="E597" s="15"/>
      <c r="F597" s="15"/>
      <c r="G597" s="12"/>
      <c r="H597" s="16" t="str">
        <f aca="false">IF(OR(A597="",C597=""),"",IFERROR(INDEX(Aşamalar!$B$5:$B$12,MATCH(C597,Aşamalar!$A$5:$A$12,0)),0))</f>
        <v/>
      </c>
      <c r="I597" s="17" t="str">
        <f aca="false">IF(H597="","",D597*H597)</f>
        <v/>
      </c>
      <c r="J597" s="18" t="str">
        <f aca="true">IF(AND(AND(C597&lt;&gt;"Kazanıldı",C597&lt;&gt;"Kaybedildi",C597&lt;&gt;""),F597&lt;&gt;""),IF(F597&lt;TODAY(),"Gecikti",IF(F597=TODAY(),"Bugün","")),"")</f>
        <v/>
      </c>
      <c r="K597" s="18" t="str">
        <f aca="true">IF(AND(AND(C597&lt;&gt;"Kazanıldı",C597&lt;&gt;"Kaybedildi",C597&lt;&gt;""),F597&lt;&gt;"",F597&lt;=TODAY()),F597+ROW()/1000000,"")</f>
        <v/>
      </c>
    </row>
    <row r="598" customFormat="false" ht="15" hidden="false" customHeight="false" outlineLevel="0" collapsed="false">
      <c r="A598" s="12"/>
      <c r="B598" s="13"/>
      <c r="C598" s="13"/>
      <c r="D598" s="14"/>
      <c r="E598" s="15"/>
      <c r="F598" s="15"/>
      <c r="G598" s="12"/>
      <c r="H598" s="16" t="str">
        <f aca="false">IF(OR(A598="",C598=""),"",IFERROR(INDEX(Aşamalar!$B$5:$B$12,MATCH(C598,Aşamalar!$A$5:$A$12,0)),0))</f>
        <v/>
      </c>
      <c r="I598" s="17" t="str">
        <f aca="false">IF(H598="","",D598*H598)</f>
        <v/>
      </c>
      <c r="J598" s="18" t="str">
        <f aca="true">IF(AND(AND(C598&lt;&gt;"Kazanıldı",C598&lt;&gt;"Kaybedildi",C598&lt;&gt;""),F598&lt;&gt;""),IF(F598&lt;TODAY(),"Gecikti",IF(F598=TODAY(),"Bugün","")),"")</f>
        <v/>
      </c>
      <c r="K598" s="18" t="str">
        <f aca="true">IF(AND(AND(C598&lt;&gt;"Kazanıldı",C598&lt;&gt;"Kaybedildi",C598&lt;&gt;""),F598&lt;&gt;"",F598&lt;=TODAY()),F598+ROW()/1000000,"")</f>
        <v/>
      </c>
    </row>
    <row r="599" customFormat="false" ht="15" hidden="false" customHeight="false" outlineLevel="0" collapsed="false">
      <c r="A599" s="12"/>
      <c r="B599" s="13"/>
      <c r="C599" s="13"/>
      <c r="D599" s="14"/>
      <c r="E599" s="15"/>
      <c r="F599" s="15"/>
      <c r="G599" s="12"/>
      <c r="H599" s="16" t="str">
        <f aca="false">IF(OR(A599="",C599=""),"",IFERROR(INDEX(Aşamalar!$B$5:$B$12,MATCH(C599,Aşamalar!$A$5:$A$12,0)),0))</f>
        <v/>
      </c>
      <c r="I599" s="17" t="str">
        <f aca="false">IF(H599="","",D599*H599)</f>
        <v/>
      </c>
      <c r="J599" s="18" t="str">
        <f aca="true">IF(AND(AND(C599&lt;&gt;"Kazanıldı",C599&lt;&gt;"Kaybedildi",C599&lt;&gt;""),F599&lt;&gt;""),IF(F599&lt;TODAY(),"Gecikti",IF(F599=TODAY(),"Bugün","")),"")</f>
        <v/>
      </c>
      <c r="K599" s="18" t="str">
        <f aca="true">IF(AND(AND(C599&lt;&gt;"Kazanıldı",C599&lt;&gt;"Kaybedildi",C599&lt;&gt;""),F599&lt;&gt;"",F599&lt;=TODAY()),F599+ROW()/1000000,"")</f>
        <v/>
      </c>
    </row>
    <row r="600" customFormat="false" ht="15" hidden="false" customHeight="false" outlineLevel="0" collapsed="false">
      <c r="A600" s="12"/>
      <c r="B600" s="13"/>
      <c r="C600" s="13"/>
      <c r="D600" s="14"/>
      <c r="E600" s="15"/>
      <c r="F600" s="15"/>
      <c r="G600" s="12"/>
      <c r="H600" s="16" t="str">
        <f aca="false">IF(OR(A600="",C600=""),"",IFERROR(INDEX(Aşamalar!$B$5:$B$12,MATCH(C600,Aşamalar!$A$5:$A$12,0)),0))</f>
        <v/>
      </c>
      <c r="I600" s="17" t="str">
        <f aca="false">IF(H600="","",D600*H600)</f>
        <v/>
      </c>
      <c r="J600" s="18" t="str">
        <f aca="true">IF(AND(AND(C600&lt;&gt;"Kazanıldı",C600&lt;&gt;"Kaybedildi",C600&lt;&gt;""),F600&lt;&gt;""),IF(F600&lt;TODAY(),"Gecikti",IF(F600=TODAY(),"Bugün","")),"")</f>
        <v/>
      </c>
      <c r="K600" s="18" t="str">
        <f aca="true">IF(AND(AND(C600&lt;&gt;"Kazanıldı",C600&lt;&gt;"Kaybedildi",C600&lt;&gt;""),F600&lt;&gt;"",F600&lt;=TODAY()),F600+ROW()/1000000,"")</f>
        <v/>
      </c>
    </row>
    <row r="601" customFormat="false" ht="15" hidden="false" customHeight="false" outlineLevel="0" collapsed="false">
      <c r="A601" s="12"/>
      <c r="B601" s="13"/>
      <c r="C601" s="13"/>
      <c r="D601" s="14"/>
      <c r="E601" s="15"/>
      <c r="F601" s="15"/>
      <c r="G601" s="12"/>
      <c r="H601" s="16" t="str">
        <f aca="false">IF(OR(A601="",C601=""),"",IFERROR(INDEX(Aşamalar!$B$5:$B$12,MATCH(C601,Aşamalar!$A$5:$A$12,0)),0))</f>
        <v/>
      </c>
      <c r="I601" s="17" t="str">
        <f aca="false">IF(H601="","",D601*H601)</f>
        <v/>
      </c>
      <c r="J601" s="18" t="str">
        <f aca="true">IF(AND(AND(C601&lt;&gt;"Kazanıldı",C601&lt;&gt;"Kaybedildi",C601&lt;&gt;""),F601&lt;&gt;""),IF(F601&lt;TODAY(),"Gecikti",IF(F601=TODAY(),"Bugün","")),"")</f>
        <v/>
      </c>
      <c r="K601" s="18" t="str">
        <f aca="true">IF(AND(AND(C601&lt;&gt;"Kazanıldı",C601&lt;&gt;"Kaybedildi",C601&lt;&gt;""),F601&lt;&gt;"",F601&lt;=TODAY()),F601+ROW()/1000000,"")</f>
        <v/>
      </c>
    </row>
    <row r="602" customFormat="false" ht="15" hidden="false" customHeight="false" outlineLevel="0" collapsed="false">
      <c r="A602" s="12"/>
      <c r="B602" s="13"/>
      <c r="C602" s="13"/>
      <c r="D602" s="14"/>
      <c r="E602" s="15"/>
      <c r="F602" s="15"/>
      <c r="G602" s="12"/>
      <c r="H602" s="16" t="str">
        <f aca="false">IF(OR(A602="",C602=""),"",IFERROR(INDEX(Aşamalar!$B$5:$B$12,MATCH(C602,Aşamalar!$A$5:$A$12,0)),0))</f>
        <v/>
      </c>
      <c r="I602" s="17" t="str">
        <f aca="false">IF(H602="","",D602*H602)</f>
        <v/>
      </c>
      <c r="J602" s="18" t="str">
        <f aca="true">IF(AND(AND(C602&lt;&gt;"Kazanıldı",C602&lt;&gt;"Kaybedildi",C602&lt;&gt;""),F602&lt;&gt;""),IF(F602&lt;TODAY(),"Gecikti",IF(F602=TODAY(),"Bugün","")),"")</f>
        <v/>
      </c>
      <c r="K602" s="18" t="str">
        <f aca="true">IF(AND(AND(C602&lt;&gt;"Kazanıldı",C602&lt;&gt;"Kaybedildi",C602&lt;&gt;""),F602&lt;&gt;"",F602&lt;=TODAY()),F602+ROW()/1000000,"")</f>
        <v/>
      </c>
    </row>
    <row r="603" customFormat="false" ht="15" hidden="false" customHeight="false" outlineLevel="0" collapsed="false">
      <c r="A603" s="12"/>
      <c r="B603" s="13"/>
      <c r="C603" s="13"/>
      <c r="D603" s="14"/>
      <c r="E603" s="15"/>
      <c r="F603" s="15"/>
      <c r="G603" s="12"/>
      <c r="H603" s="16" t="str">
        <f aca="false">IF(OR(A603="",C603=""),"",IFERROR(INDEX(Aşamalar!$B$5:$B$12,MATCH(C603,Aşamalar!$A$5:$A$12,0)),0))</f>
        <v/>
      </c>
      <c r="I603" s="17" t="str">
        <f aca="false">IF(H603="","",D603*H603)</f>
        <v/>
      </c>
      <c r="J603" s="18" t="str">
        <f aca="true">IF(AND(AND(C603&lt;&gt;"Kazanıldı",C603&lt;&gt;"Kaybedildi",C603&lt;&gt;""),F603&lt;&gt;""),IF(F603&lt;TODAY(),"Gecikti",IF(F603=TODAY(),"Bugün","")),"")</f>
        <v/>
      </c>
      <c r="K603" s="18" t="str">
        <f aca="true">IF(AND(AND(C603&lt;&gt;"Kazanıldı",C603&lt;&gt;"Kaybedildi",C603&lt;&gt;""),F603&lt;&gt;"",F603&lt;=TODAY()),F603+ROW()/1000000,"")</f>
        <v/>
      </c>
    </row>
    <row r="604" customFormat="false" ht="15" hidden="false" customHeight="false" outlineLevel="0" collapsed="false">
      <c r="A604" s="12"/>
      <c r="B604" s="13"/>
      <c r="C604" s="13"/>
      <c r="D604" s="14"/>
      <c r="E604" s="15"/>
      <c r="F604" s="15"/>
      <c r="G604" s="12"/>
      <c r="H604" s="16" t="str">
        <f aca="false">IF(OR(A604="",C604=""),"",IFERROR(INDEX(Aşamalar!$B$5:$B$12,MATCH(C604,Aşamalar!$A$5:$A$12,0)),0))</f>
        <v/>
      </c>
      <c r="I604" s="17" t="str">
        <f aca="false">IF(H604="","",D604*H604)</f>
        <v/>
      </c>
      <c r="J604" s="18" t="str">
        <f aca="true">IF(AND(AND(C604&lt;&gt;"Kazanıldı",C604&lt;&gt;"Kaybedildi",C604&lt;&gt;""),F604&lt;&gt;""),IF(F604&lt;TODAY(),"Gecikti",IF(F604=TODAY(),"Bugün","")),"")</f>
        <v/>
      </c>
      <c r="K604" s="18" t="str">
        <f aca="true">IF(AND(AND(C604&lt;&gt;"Kazanıldı",C604&lt;&gt;"Kaybedildi",C604&lt;&gt;""),F604&lt;&gt;"",F604&lt;=TODAY()),F604+ROW()/1000000,"")</f>
        <v/>
      </c>
    </row>
    <row r="605" customFormat="false" ht="15" hidden="false" customHeight="false" outlineLevel="0" collapsed="false">
      <c r="A605" s="12"/>
      <c r="B605" s="13"/>
      <c r="C605" s="13"/>
      <c r="D605" s="14"/>
      <c r="E605" s="15"/>
      <c r="F605" s="15"/>
      <c r="G605" s="12"/>
      <c r="H605" s="16" t="str">
        <f aca="false">IF(OR(A605="",C605=""),"",IFERROR(INDEX(Aşamalar!$B$5:$B$12,MATCH(C605,Aşamalar!$A$5:$A$12,0)),0))</f>
        <v/>
      </c>
      <c r="I605" s="17" t="str">
        <f aca="false">IF(H605="","",D605*H605)</f>
        <v/>
      </c>
      <c r="J605" s="18" t="str">
        <f aca="true">IF(AND(AND(C605&lt;&gt;"Kazanıldı",C605&lt;&gt;"Kaybedildi",C605&lt;&gt;""),F605&lt;&gt;""),IF(F605&lt;TODAY(),"Gecikti",IF(F605=TODAY(),"Bugün","")),"")</f>
        <v/>
      </c>
      <c r="K605" s="18" t="str">
        <f aca="true">IF(AND(AND(C605&lt;&gt;"Kazanıldı",C605&lt;&gt;"Kaybedildi",C605&lt;&gt;""),F605&lt;&gt;"",F605&lt;=TODAY()),F605+ROW()/1000000,"")</f>
        <v/>
      </c>
    </row>
    <row r="606" customFormat="false" ht="15" hidden="false" customHeight="false" outlineLevel="0" collapsed="false">
      <c r="A606" s="12"/>
      <c r="B606" s="13"/>
      <c r="C606" s="13"/>
      <c r="D606" s="14"/>
      <c r="E606" s="15"/>
      <c r="F606" s="15"/>
      <c r="G606" s="12"/>
      <c r="H606" s="16" t="str">
        <f aca="false">IF(OR(A606="",C606=""),"",IFERROR(INDEX(Aşamalar!$B$5:$B$12,MATCH(C606,Aşamalar!$A$5:$A$12,0)),0))</f>
        <v/>
      </c>
      <c r="I606" s="17" t="str">
        <f aca="false">IF(H606="","",D606*H606)</f>
        <v/>
      </c>
      <c r="J606" s="18" t="str">
        <f aca="true">IF(AND(AND(C606&lt;&gt;"Kazanıldı",C606&lt;&gt;"Kaybedildi",C606&lt;&gt;""),F606&lt;&gt;""),IF(F606&lt;TODAY(),"Gecikti",IF(F606=TODAY(),"Bugün","")),"")</f>
        <v/>
      </c>
      <c r="K606" s="18" t="str">
        <f aca="true">IF(AND(AND(C606&lt;&gt;"Kazanıldı",C606&lt;&gt;"Kaybedildi",C606&lt;&gt;""),F606&lt;&gt;"",F606&lt;=TODAY()),F606+ROW()/1000000,"")</f>
        <v/>
      </c>
    </row>
    <row r="607" customFormat="false" ht="15" hidden="false" customHeight="false" outlineLevel="0" collapsed="false">
      <c r="A607" s="12"/>
      <c r="B607" s="13"/>
      <c r="C607" s="13"/>
      <c r="D607" s="14"/>
      <c r="E607" s="15"/>
      <c r="F607" s="15"/>
      <c r="G607" s="12"/>
      <c r="H607" s="16" t="str">
        <f aca="false">IF(OR(A607="",C607=""),"",IFERROR(INDEX(Aşamalar!$B$5:$B$12,MATCH(C607,Aşamalar!$A$5:$A$12,0)),0))</f>
        <v/>
      </c>
      <c r="I607" s="17" t="str">
        <f aca="false">IF(H607="","",D607*H607)</f>
        <v/>
      </c>
      <c r="J607" s="18" t="str">
        <f aca="true">IF(AND(AND(C607&lt;&gt;"Kazanıldı",C607&lt;&gt;"Kaybedildi",C607&lt;&gt;""),F607&lt;&gt;""),IF(F607&lt;TODAY(),"Gecikti",IF(F607=TODAY(),"Bugün","")),"")</f>
        <v/>
      </c>
      <c r="K607" s="18" t="str">
        <f aca="true">IF(AND(AND(C607&lt;&gt;"Kazanıldı",C607&lt;&gt;"Kaybedildi",C607&lt;&gt;""),F607&lt;&gt;"",F607&lt;=TODAY()),F607+ROW()/1000000,"")</f>
        <v/>
      </c>
    </row>
    <row r="608" customFormat="false" ht="15" hidden="false" customHeight="false" outlineLevel="0" collapsed="false">
      <c r="A608" s="12"/>
      <c r="B608" s="13"/>
      <c r="C608" s="13"/>
      <c r="D608" s="14"/>
      <c r="E608" s="15"/>
      <c r="F608" s="15"/>
      <c r="G608" s="12"/>
      <c r="H608" s="16" t="str">
        <f aca="false">IF(OR(A608="",C608=""),"",IFERROR(INDEX(Aşamalar!$B$5:$B$12,MATCH(C608,Aşamalar!$A$5:$A$12,0)),0))</f>
        <v/>
      </c>
      <c r="I608" s="17" t="str">
        <f aca="false">IF(H608="","",D608*H608)</f>
        <v/>
      </c>
      <c r="J608" s="18" t="str">
        <f aca="true">IF(AND(AND(C608&lt;&gt;"Kazanıldı",C608&lt;&gt;"Kaybedildi",C608&lt;&gt;""),F608&lt;&gt;""),IF(F608&lt;TODAY(),"Gecikti",IF(F608=TODAY(),"Bugün","")),"")</f>
        <v/>
      </c>
      <c r="K608" s="18" t="str">
        <f aca="true">IF(AND(AND(C608&lt;&gt;"Kazanıldı",C608&lt;&gt;"Kaybedildi",C608&lt;&gt;""),F608&lt;&gt;"",F608&lt;=TODAY()),F608+ROW()/1000000,"")</f>
        <v/>
      </c>
    </row>
    <row r="609" customFormat="false" ht="15" hidden="false" customHeight="false" outlineLevel="0" collapsed="false">
      <c r="A609" s="12"/>
      <c r="B609" s="13"/>
      <c r="C609" s="13"/>
      <c r="D609" s="14"/>
      <c r="E609" s="15"/>
      <c r="F609" s="15"/>
      <c r="G609" s="12"/>
      <c r="H609" s="16" t="str">
        <f aca="false">IF(OR(A609="",C609=""),"",IFERROR(INDEX(Aşamalar!$B$5:$B$12,MATCH(C609,Aşamalar!$A$5:$A$12,0)),0))</f>
        <v/>
      </c>
      <c r="I609" s="17" t="str">
        <f aca="false">IF(H609="","",D609*H609)</f>
        <v/>
      </c>
      <c r="J609" s="18" t="str">
        <f aca="true">IF(AND(AND(C609&lt;&gt;"Kazanıldı",C609&lt;&gt;"Kaybedildi",C609&lt;&gt;""),F609&lt;&gt;""),IF(F609&lt;TODAY(),"Gecikti",IF(F609=TODAY(),"Bugün","")),"")</f>
        <v/>
      </c>
      <c r="K609" s="18" t="str">
        <f aca="true">IF(AND(AND(C609&lt;&gt;"Kazanıldı",C609&lt;&gt;"Kaybedildi",C609&lt;&gt;""),F609&lt;&gt;"",F609&lt;=TODAY()),F609+ROW()/1000000,"")</f>
        <v/>
      </c>
    </row>
    <row r="610" customFormat="false" ht="15" hidden="false" customHeight="false" outlineLevel="0" collapsed="false">
      <c r="A610" s="12"/>
      <c r="B610" s="13"/>
      <c r="C610" s="13"/>
      <c r="D610" s="14"/>
      <c r="E610" s="15"/>
      <c r="F610" s="15"/>
      <c r="G610" s="12"/>
      <c r="H610" s="16" t="str">
        <f aca="false">IF(OR(A610="",C610=""),"",IFERROR(INDEX(Aşamalar!$B$5:$B$12,MATCH(C610,Aşamalar!$A$5:$A$12,0)),0))</f>
        <v/>
      </c>
      <c r="I610" s="17" t="str">
        <f aca="false">IF(H610="","",D610*H610)</f>
        <v/>
      </c>
      <c r="J610" s="18" t="str">
        <f aca="true">IF(AND(AND(C610&lt;&gt;"Kazanıldı",C610&lt;&gt;"Kaybedildi",C610&lt;&gt;""),F610&lt;&gt;""),IF(F610&lt;TODAY(),"Gecikti",IF(F610=TODAY(),"Bugün","")),"")</f>
        <v/>
      </c>
      <c r="K610" s="18" t="str">
        <f aca="true">IF(AND(AND(C610&lt;&gt;"Kazanıldı",C610&lt;&gt;"Kaybedildi",C610&lt;&gt;""),F610&lt;&gt;"",F610&lt;=TODAY()),F610+ROW()/1000000,"")</f>
        <v/>
      </c>
    </row>
    <row r="611" customFormat="false" ht="15" hidden="false" customHeight="false" outlineLevel="0" collapsed="false">
      <c r="A611" s="12"/>
      <c r="B611" s="13"/>
      <c r="C611" s="13"/>
      <c r="D611" s="14"/>
      <c r="E611" s="15"/>
      <c r="F611" s="15"/>
      <c r="G611" s="12"/>
      <c r="H611" s="16" t="str">
        <f aca="false">IF(OR(A611="",C611=""),"",IFERROR(INDEX(Aşamalar!$B$5:$B$12,MATCH(C611,Aşamalar!$A$5:$A$12,0)),0))</f>
        <v/>
      </c>
      <c r="I611" s="17" t="str">
        <f aca="false">IF(H611="","",D611*H611)</f>
        <v/>
      </c>
      <c r="J611" s="18" t="str">
        <f aca="true">IF(AND(AND(C611&lt;&gt;"Kazanıldı",C611&lt;&gt;"Kaybedildi",C611&lt;&gt;""),F611&lt;&gt;""),IF(F611&lt;TODAY(),"Gecikti",IF(F611=TODAY(),"Bugün","")),"")</f>
        <v/>
      </c>
      <c r="K611" s="18" t="str">
        <f aca="true">IF(AND(AND(C611&lt;&gt;"Kazanıldı",C611&lt;&gt;"Kaybedildi",C611&lt;&gt;""),F611&lt;&gt;"",F611&lt;=TODAY()),F611+ROW()/1000000,"")</f>
        <v/>
      </c>
    </row>
    <row r="612" customFormat="false" ht="15" hidden="false" customHeight="false" outlineLevel="0" collapsed="false">
      <c r="A612" s="12"/>
      <c r="B612" s="13"/>
      <c r="C612" s="13"/>
      <c r="D612" s="14"/>
      <c r="E612" s="15"/>
      <c r="F612" s="15"/>
      <c r="G612" s="12"/>
      <c r="H612" s="16" t="str">
        <f aca="false">IF(OR(A612="",C612=""),"",IFERROR(INDEX(Aşamalar!$B$5:$B$12,MATCH(C612,Aşamalar!$A$5:$A$12,0)),0))</f>
        <v/>
      </c>
      <c r="I612" s="17" t="str">
        <f aca="false">IF(H612="","",D612*H612)</f>
        <v/>
      </c>
      <c r="J612" s="18" t="str">
        <f aca="true">IF(AND(AND(C612&lt;&gt;"Kazanıldı",C612&lt;&gt;"Kaybedildi",C612&lt;&gt;""),F612&lt;&gt;""),IF(F612&lt;TODAY(),"Gecikti",IF(F612=TODAY(),"Bugün","")),"")</f>
        <v/>
      </c>
      <c r="K612" s="18" t="str">
        <f aca="true">IF(AND(AND(C612&lt;&gt;"Kazanıldı",C612&lt;&gt;"Kaybedildi",C612&lt;&gt;""),F612&lt;&gt;"",F612&lt;=TODAY()),F612+ROW()/1000000,"")</f>
        <v/>
      </c>
    </row>
    <row r="613" customFormat="false" ht="15" hidden="false" customHeight="false" outlineLevel="0" collapsed="false">
      <c r="A613" s="12"/>
      <c r="B613" s="13"/>
      <c r="C613" s="13"/>
      <c r="D613" s="14"/>
      <c r="E613" s="15"/>
      <c r="F613" s="15"/>
      <c r="G613" s="12"/>
      <c r="H613" s="16" t="str">
        <f aca="false">IF(OR(A613="",C613=""),"",IFERROR(INDEX(Aşamalar!$B$5:$B$12,MATCH(C613,Aşamalar!$A$5:$A$12,0)),0))</f>
        <v/>
      </c>
      <c r="I613" s="17" t="str">
        <f aca="false">IF(H613="","",D613*H613)</f>
        <v/>
      </c>
      <c r="J613" s="18" t="str">
        <f aca="true">IF(AND(AND(C613&lt;&gt;"Kazanıldı",C613&lt;&gt;"Kaybedildi",C613&lt;&gt;""),F613&lt;&gt;""),IF(F613&lt;TODAY(),"Gecikti",IF(F613=TODAY(),"Bugün","")),"")</f>
        <v/>
      </c>
      <c r="K613" s="18" t="str">
        <f aca="true">IF(AND(AND(C613&lt;&gt;"Kazanıldı",C613&lt;&gt;"Kaybedildi",C613&lt;&gt;""),F613&lt;&gt;"",F613&lt;=TODAY()),F613+ROW()/1000000,"")</f>
        <v/>
      </c>
    </row>
    <row r="614" customFormat="false" ht="15" hidden="false" customHeight="false" outlineLevel="0" collapsed="false">
      <c r="A614" s="12"/>
      <c r="B614" s="13"/>
      <c r="C614" s="13"/>
      <c r="D614" s="14"/>
      <c r="E614" s="15"/>
      <c r="F614" s="15"/>
      <c r="G614" s="12"/>
      <c r="H614" s="16" t="str">
        <f aca="false">IF(OR(A614="",C614=""),"",IFERROR(INDEX(Aşamalar!$B$5:$B$12,MATCH(C614,Aşamalar!$A$5:$A$12,0)),0))</f>
        <v/>
      </c>
      <c r="I614" s="17" t="str">
        <f aca="false">IF(H614="","",D614*H614)</f>
        <v/>
      </c>
      <c r="J614" s="18" t="str">
        <f aca="true">IF(AND(AND(C614&lt;&gt;"Kazanıldı",C614&lt;&gt;"Kaybedildi",C614&lt;&gt;""),F614&lt;&gt;""),IF(F614&lt;TODAY(),"Gecikti",IF(F614=TODAY(),"Bugün","")),"")</f>
        <v/>
      </c>
      <c r="K614" s="18" t="str">
        <f aca="true">IF(AND(AND(C614&lt;&gt;"Kazanıldı",C614&lt;&gt;"Kaybedildi",C614&lt;&gt;""),F614&lt;&gt;"",F614&lt;=TODAY()),F614+ROW()/1000000,"")</f>
        <v/>
      </c>
    </row>
    <row r="615" customFormat="false" ht="15" hidden="false" customHeight="false" outlineLevel="0" collapsed="false">
      <c r="A615" s="12"/>
      <c r="B615" s="13"/>
      <c r="C615" s="13"/>
      <c r="D615" s="14"/>
      <c r="E615" s="15"/>
      <c r="F615" s="15"/>
      <c r="G615" s="12"/>
      <c r="H615" s="16" t="str">
        <f aca="false">IF(OR(A615="",C615=""),"",IFERROR(INDEX(Aşamalar!$B$5:$B$12,MATCH(C615,Aşamalar!$A$5:$A$12,0)),0))</f>
        <v/>
      </c>
      <c r="I615" s="17" t="str">
        <f aca="false">IF(H615="","",D615*H615)</f>
        <v/>
      </c>
      <c r="J615" s="18" t="str">
        <f aca="true">IF(AND(AND(C615&lt;&gt;"Kazanıldı",C615&lt;&gt;"Kaybedildi",C615&lt;&gt;""),F615&lt;&gt;""),IF(F615&lt;TODAY(),"Gecikti",IF(F615=TODAY(),"Bugün","")),"")</f>
        <v/>
      </c>
      <c r="K615" s="18" t="str">
        <f aca="true">IF(AND(AND(C615&lt;&gt;"Kazanıldı",C615&lt;&gt;"Kaybedildi",C615&lt;&gt;""),F615&lt;&gt;"",F615&lt;=TODAY()),F615+ROW()/1000000,"")</f>
        <v/>
      </c>
    </row>
    <row r="616" customFormat="false" ht="15" hidden="false" customHeight="false" outlineLevel="0" collapsed="false">
      <c r="A616" s="12"/>
      <c r="B616" s="13"/>
      <c r="C616" s="13"/>
      <c r="D616" s="14"/>
      <c r="E616" s="15"/>
      <c r="F616" s="15"/>
      <c r="G616" s="12"/>
      <c r="H616" s="16" t="str">
        <f aca="false">IF(OR(A616="",C616=""),"",IFERROR(INDEX(Aşamalar!$B$5:$B$12,MATCH(C616,Aşamalar!$A$5:$A$12,0)),0))</f>
        <v/>
      </c>
      <c r="I616" s="17" t="str">
        <f aca="false">IF(H616="","",D616*H616)</f>
        <v/>
      </c>
      <c r="J616" s="18" t="str">
        <f aca="true">IF(AND(AND(C616&lt;&gt;"Kazanıldı",C616&lt;&gt;"Kaybedildi",C616&lt;&gt;""),F616&lt;&gt;""),IF(F616&lt;TODAY(),"Gecikti",IF(F616=TODAY(),"Bugün","")),"")</f>
        <v/>
      </c>
      <c r="K616" s="18" t="str">
        <f aca="true">IF(AND(AND(C616&lt;&gt;"Kazanıldı",C616&lt;&gt;"Kaybedildi",C616&lt;&gt;""),F616&lt;&gt;"",F616&lt;=TODAY()),F616+ROW()/1000000,"")</f>
        <v/>
      </c>
    </row>
    <row r="617" customFormat="false" ht="15" hidden="false" customHeight="false" outlineLevel="0" collapsed="false">
      <c r="A617" s="12"/>
      <c r="B617" s="13"/>
      <c r="C617" s="13"/>
      <c r="D617" s="14"/>
      <c r="E617" s="15"/>
      <c r="F617" s="15"/>
      <c r="G617" s="12"/>
      <c r="H617" s="16" t="str">
        <f aca="false">IF(OR(A617="",C617=""),"",IFERROR(INDEX(Aşamalar!$B$5:$B$12,MATCH(C617,Aşamalar!$A$5:$A$12,0)),0))</f>
        <v/>
      </c>
      <c r="I617" s="17" t="str">
        <f aca="false">IF(H617="","",D617*H617)</f>
        <v/>
      </c>
      <c r="J617" s="18" t="str">
        <f aca="true">IF(AND(AND(C617&lt;&gt;"Kazanıldı",C617&lt;&gt;"Kaybedildi",C617&lt;&gt;""),F617&lt;&gt;""),IF(F617&lt;TODAY(),"Gecikti",IF(F617=TODAY(),"Bugün","")),"")</f>
        <v/>
      </c>
      <c r="K617" s="18" t="str">
        <f aca="true">IF(AND(AND(C617&lt;&gt;"Kazanıldı",C617&lt;&gt;"Kaybedildi",C617&lt;&gt;""),F617&lt;&gt;"",F617&lt;=TODAY()),F617+ROW()/1000000,"")</f>
        <v/>
      </c>
    </row>
    <row r="618" customFormat="false" ht="15" hidden="false" customHeight="false" outlineLevel="0" collapsed="false">
      <c r="A618" s="12"/>
      <c r="B618" s="13"/>
      <c r="C618" s="13"/>
      <c r="D618" s="14"/>
      <c r="E618" s="15"/>
      <c r="F618" s="15"/>
      <c r="G618" s="12"/>
      <c r="H618" s="16" t="str">
        <f aca="false">IF(OR(A618="",C618=""),"",IFERROR(INDEX(Aşamalar!$B$5:$B$12,MATCH(C618,Aşamalar!$A$5:$A$12,0)),0))</f>
        <v/>
      </c>
      <c r="I618" s="17" t="str">
        <f aca="false">IF(H618="","",D618*H618)</f>
        <v/>
      </c>
      <c r="J618" s="18" t="str">
        <f aca="true">IF(AND(AND(C618&lt;&gt;"Kazanıldı",C618&lt;&gt;"Kaybedildi",C618&lt;&gt;""),F618&lt;&gt;""),IF(F618&lt;TODAY(),"Gecikti",IF(F618=TODAY(),"Bugün","")),"")</f>
        <v/>
      </c>
      <c r="K618" s="18" t="str">
        <f aca="true">IF(AND(AND(C618&lt;&gt;"Kazanıldı",C618&lt;&gt;"Kaybedildi",C618&lt;&gt;""),F618&lt;&gt;"",F618&lt;=TODAY()),F618+ROW()/1000000,"")</f>
        <v/>
      </c>
    </row>
    <row r="619" customFormat="false" ht="15" hidden="false" customHeight="false" outlineLevel="0" collapsed="false">
      <c r="A619" s="12"/>
      <c r="B619" s="13"/>
      <c r="C619" s="13"/>
      <c r="D619" s="14"/>
      <c r="E619" s="15"/>
      <c r="F619" s="15"/>
      <c r="G619" s="12"/>
      <c r="H619" s="16" t="str">
        <f aca="false">IF(OR(A619="",C619=""),"",IFERROR(INDEX(Aşamalar!$B$5:$B$12,MATCH(C619,Aşamalar!$A$5:$A$12,0)),0))</f>
        <v/>
      </c>
      <c r="I619" s="17" t="str">
        <f aca="false">IF(H619="","",D619*H619)</f>
        <v/>
      </c>
      <c r="J619" s="18" t="str">
        <f aca="true">IF(AND(AND(C619&lt;&gt;"Kazanıldı",C619&lt;&gt;"Kaybedildi",C619&lt;&gt;""),F619&lt;&gt;""),IF(F619&lt;TODAY(),"Gecikti",IF(F619=TODAY(),"Bugün","")),"")</f>
        <v/>
      </c>
      <c r="K619" s="18" t="str">
        <f aca="true">IF(AND(AND(C619&lt;&gt;"Kazanıldı",C619&lt;&gt;"Kaybedildi",C619&lt;&gt;""),F619&lt;&gt;"",F619&lt;=TODAY()),F619+ROW()/1000000,"")</f>
        <v/>
      </c>
    </row>
    <row r="620" customFormat="false" ht="15" hidden="false" customHeight="false" outlineLevel="0" collapsed="false">
      <c r="A620" s="12"/>
      <c r="B620" s="13"/>
      <c r="C620" s="13"/>
      <c r="D620" s="14"/>
      <c r="E620" s="15"/>
      <c r="F620" s="15"/>
      <c r="G620" s="12"/>
      <c r="H620" s="16" t="str">
        <f aca="false">IF(OR(A620="",C620=""),"",IFERROR(INDEX(Aşamalar!$B$5:$B$12,MATCH(C620,Aşamalar!$A$5:$A$12,0)),0))</f>
        <v/>
      </c>
      <c r="I620" s="17" t="str">
        <f aca="false">IF(H620="","",D620*H620)</f>
        <v/>
      </c>
      <c r="J620" s="18" t="str">
        <f aca="true">IF(AND(AND(C620&lt;&gt;"Kazanıldı",C620&lt;&gt;"Kaybedildi",C620&lt;&gt;""),F620&lt;&gt;""),IF(F620&lt;TODAY(),"Gecikti",IF(F620=TODAY(),"Bugün","")),"")</f>
        <v/>
      </c>
      <c r="K620" s="18" t="str">
        <f aca="true">IF(AND(AND(C620&lt;&gt;"Kazanıldı",C620&lt;&gt;"Kaybedildi",C620&lt;&gt;""),F620&lt;&gt;"",F620&lt;=TODAY()),F620+ROW()/1000000,"")</f>
        <v/>
      </c>
    </row>
    <row r="621" customFormat="false" ht="15" hidden="false" customHeight="false" outlineLevel="0" collapsed="false">
      <c r="A621" s="12"/>
      <c r="B621" s="13"/>
      <c r="C621" s="13"/>
      <c r="D621" s="14"/>
      <c r="E621" s="15"/>
      <c r="F621" s="15"/>
      <c r="G621" s="12"/>
      <c r="H621" s="16" t="str">
        <f aca="false">IF(OR(A621="",C621=""),"",IFERROR(INDEX(Aşamalar!$B$5:$B$12,MATCH(C621,Aşamalar!$A$5:$A$12,0)),0))</f>
        <v/>
      </c>
      <c r="I621" s="17" t="str">
        <f aca="false">IF(H621="","",D621*H621)</f>
        <v/>
      </c>
      <c r="J621" s="18" t="str">
        <f aca="true">IF(AND(AND(C621&lt;&gt;"Kazanıldı",C621&lt;&gt;"Kaybedildi",C621&lt;&gt;""),F621&lt;&gt;""),IF(F621&lt;TODAY(),"Gecikti",IF(F621=TODAY(),"Bugün","")),"")</f>
        <v/>
      </c>
      <c r="K621" s="18" t="str">
        <f aca="true">IF(AND(AND(C621&lt;&gt;"Kazanıldı",C621&lt;&gt;"Kaybedildi",C621&lt;&gt;""),F621&lt;&gt;"",F621&lt;=TODAY()),F621+ROW()/1000000,"")</f>
        <v/>
      </c>
    </row>
    <row r="622" customFormat="false" ht="15" hidden="false" customHeight="false" outlineLevel="0" collapsed="false">
      <c r="A622" s="12"/>
      <c r="B622" s="13"/>
      <c r="C622" s="13"/>
      <c r="D622" s="14"/>
      <c r="E622" s="15"/>
      <c r="F622" s="15"/>
      <c r="G622" s="12"/>
      <c r="H622" s="16" t="str">
        <f aca="false">IF(OR(A622="",C622=""),"",IFERROR(INDEX(Aşamalar!$B$5:$B$12,MATCH(C622,Aşamalar!$A$5:$A$12,0)),0))</f>
        <v/>
      </c>
      <c r="I622" s="17" t="str">
        <f aca="false">IF(H622="","",D622*H622)</f>
        <v/>
      </c>
      <c r="J622" s="18" t="str">
        <f aca="true">IF(AND(AND(C622&lt;&gt;"Kazanıldı",C622&lt;&gt;"Kaybedildi",C622&lt;&gt;""),F622&lt;&gt;""),IF(F622&lt;TODAY(),"Gecikti",IF(F622=TODAY(),"Bugün","")),"")</f>
        <v/>
      </c>
      <c r="K622" s="18" t="str">
        <f aca="true">IF(AND(AND(C622&lt;&gt;"Kazanıldı",C622&lt;&gt;"Kaybedildi",C622&lt;&gt;""),F622&lt;&gt;"",F622&lt;=TODAY()),F622+ROW()/1000000,"")</f>
        <v/>
      </c>
    </row>
    <row r="623" customFormat="false" ht="15" hidden="false" customHeight="false" outlineLevel="0" collapsed="false">
      <c r="A623" s="12"/>
      <c r="B623" s="13"/>
      <c r="C623" s="13"/>
      <c r="D623" s="14"/>
      <c r="E623" s="15"/>
      <c r="F623" s="15"/>
      <c r="G623" s="12"/>
      <c r="H623" s="16" t="str">
        <f aca="false">IF(OR(A623="",C623=""),"",IFERROR(INDEX(Aşamalar!$B$5:$B$12,MATCH(C623,Aşamalar!$A$5:$A$12,0)),0))</f>
        <v/>
      </c>
      <c r="I623" s="17" t="str">
        <f aca="false">IF(H623="","",D623*H623)</f>
        <v/>
      </c>
      <c r="J623" s="18" t="str">
        <f aca="true">IF(AND(AND(C623&lt;&gt;"Kazanıldı",C623&lt;&gt;"Kaybedildi",C623&lt;&gt;""),F623&lt;&gt;""),IF(F623&lt;TODAY(),"Gecikti",IF(F623=TODAY(),"Bugün","")),"")</f>
        <v/>
      </c>
      <c r="K623" s="18" t="str">
        <f aca="true">IF(AND(AND(C623&lt;&gt;"Kazanıldı",C623&lt;&gt;"Kaybedildi",C623&lt;&gt;""),F623&lt;&gt;"",F623&lt;=TODAY()),F623+ROW()/1000000,"")</f>
        <v/>
      </c>
    </row>
    <row r="624" customFormat="false" ht="15" hidden="false" customHeight="false" outlineLevel="0" collapsed="false">
      <c r="A624" s="12"/>
      <c r="B624" s="13"/>
      <c r="C624" s="13"/>
      <c r="D624" s="14"/>
      <c r="E624" s="15"/>
      <c r="F624" s="15"/>
      <c r="G624" s="12"/>
      <c r="H624" s="16" t="str">
        <f aca="false">IF(OR(A624="",C624=""),"",IFERROR(INDEX(Aşamalar!$B$5:$B$12,MATCH(C624,Aşamalar!$A$5:$A$12,0)),0))</f>
        <v/>
      </c>
      <c r="I624" s="17" t="str">
        <f aca="false">IF(H624="","",D624*H624)</f>
        <v/>
      </c>
      <c r="J624" s="18" t="str">
        <f aca="true">IF(AND(AND(C624&lt;&gt;"Kazanıldı",C624&lt;&gt;"Kaybedildi",C624&lt;&gt;""),F624&lt;&gt;""),IF(F624&lt;TODAY(),"Gecikti",IF(F624=TODAY(),"Bugün","")),"")</f>
        <v/>
      </c>
      <c r="K624" s="18" t="str">
        <f aca="true">IF(AND(AND(C624&lt;&gt;"Kazanıldı",C624&lt;&gt;"Kaybedildi",C624&lt;&gt;""),F624&lt;&gt;"",F624&lt;=TODAY()),F624+ROW()/1000000,"")</f>
        <v/>
      </c>
    </row>
    <row r="625" customFormat="false" ht="15" hidden="false" customHeight="false" outlineLevel="0" collapsed="false">
      <c r="A625" s="12"/>
      <c r="B625" s="13"/>
      <c r="C625" s="13"/>
      <c r="D625" s="14"/>
      <c r="E625" s="15"/>
      <c r="F625" s="15"/>
      <c r="G625" s="12"/>
      <c r="H625" s="16" t="str">
        <f aca="false">IF(OR(A625="",C625=""),"",IFERROR(INDEX(Aşamalar!$B$5:$B$12,MATCH(C625,Aşamalar!$A$5:$A$12,0)),0))</f>
        <v/>
      </c>
      <c r="I625" s="17" t="str">
        <f aca="false">IF(H625="","",D625*H625)</f>
        <v/>
      </c>
      <c r="J625" s="18" t="str">
        <f aca="true">IF(AND(AND(C625&lt;&gt;"Kazanıldı",C625&lt;&gt;"Kaybedildi",C625&lt;&gt;""),F625&lt;&gt;""),IF(F625&lt;TODAY(),"Gecikti",IF(F625=TODAY(),"Bugün","")),"")</f>
        <v/>
      </c>
      <c r="K625" s="18" t="str">
        <f aca="true">IF(AND(AND(C625&lt;&gt;"Kazanıldı",C625&lt;&gt;"Kaybedildi",C625&lt;&gt;""),F625&lt;&gt;"",F625&lt;=TODAY()),F625+ROW()/1000000,"")</f>
        <v/>
      </c>
    </row>
    <row r="626" customFormat="false" ht="15" hidden="false" customHeight="false" outlineLevel="0" collapsed="false">
      <c r="A626" s="12"/>
      <c r="B626" s="13"/>
      <c r="C626" s="13"/>
      <c r="D626" s="14"/>
      <c r="E626" s="15"/>
      <c r="F626" s="15"/>
      <c r="G626" s="12"/>
      <c r="H626" s="16" t="str">
        <f aca="false">IF(OR(A626="",C626=""),"",IFERROR(INDEX(Aşamalar!$B$5:$B$12,MATCH(C626,Aşamalar!$A$5:$A$12,0)),0))</f>
        <v/>
      </c>
      <c r="I626" s="17" t="str">
        <f aca="false">IF(H626="","",D626*H626)</f>
        <v/>
      </c>
      <c r="J626" s="18" t="str">
        <f aca="true">IF(AND(AND(C626&lt;&gt;"Kazanıldı",C626&lt;&gt;"Kaybedildi",C626&lt;&gt;""),F626&lt;&gt;""),IF(F626&lt;TODAY(),"Gecikti",IF(F626=TODAY(),"Bugün","")),"")</f>
        <v/>
      </c>
      <c r="K626" s="18" t="str">
        <f aca="true">IF(AND(AND(C626&lt;&gt;"Kazanıldı",C626&lt;&gt;"Kaybedildi",C626&lt;&gt;""),F626&lt;&gt;"",F626&lt;=TODAY()),F626+ROW()/1000000,"")</f>
        <v/>
      </c>
    </row>
    <row r="627" customFormat="false" ht="15" hidden="false" customHeight="false" outlineLevel="0" collapsed="false">
      <c r="A627" s="12"/>
      <c r="B627" s="13"/>
      <c r="C627" s="13"/>
      <c r="D627" s="14"/>
      <c r="E627" s="15"/>
      <c r="F627" s="15"/>
      <c r="G627" s="12"/>
      <c r="H627" s="16" t="str">
        <f aca="false">IF(OR(A627="",C627=""),"",IFERROR(INDEX(Aşamalar!$B$5:$B$12,MATCH(C627,Aşamalar!$A$5:$A$12,0)),0))</f>
        <v/>
      </c>
      <c r="I627" s="17" t="str">
        <f aca="false">IF(H627="","",D627*H627)</f>
        <v/>
      </c>
      <c r="J627" s="18" t="str">
        <f aca="true">IF(AND(AND(C627&lt;&gt;"Kazanıldı",C627&lt;&gt;"Kaybedildi",C627&lt;&gt;""),F627&lt;&gt;""),IF(F627&lt;TODAY(),"Gecikti",IF(F627=TODAY(),"Bugün","")),"")</f>
        <v/>
      </c>
      <c r="K627" s="18" t="str">
        <f aca="true">IF(AND(AND(C627&lt;&gt;"Kazanıldı",C627&lt;&gt;"Kaybedildi",C627&lt;&gt;""),F627&lt;&gt;"",F627&lt;=TODAY()),F627+ROW()/1000000,"")</f>
        <v/>
      </c>
    </row>
    <row r="628" customFormat="false" ht="15" hidden="false" customHeight="false" outlineLevel="0" collapsed="false">
      <c r="A628" s="12"/>
      <c r="B628" s="13"/>
      <c r="C628" s="13"/>
      <c r="D628" s="14"/>
      <c r="E628" s="15"/>
      <c r="F628" s="15"/>
      <c r="G628" s="12"/>
      <c r="H628" s="16" t="str">
        <f aca="false">IF(OR(A628="",C628=""),"",IFERROR(INDEX(Aşamalar!$B$5:$B$12,MATCH(C628,Aşamalar!$A$5:$A$12,0)),0))</f>
        <v/>
      </c>
      <c r="I628" s="17" t="str">
        <f aca="false">IF(H628="","",D628*H628)</f>
        <v/>
      </c>
      <c r="J628" s="18" t="str">
        <f aca="true">IF(AND(AND(C628&lt;&gt;"Kazanıldı",C628&lt;&gt;"Kaybedildi",C628&lt;&gt;""),F628&lt;&gt;""),IF(F628&lt;TODAY(),"Gecikti",IF(F628=TODAY(),"Bugün","")),"")</f>
        <v/>
      </c>
      <c r="K628" s="18" t="str">
        <f aca="true">IF(AND(AND(C628&lt;&gt;"Kazanıldı",C628&lt;&gt;"Kaybedildi",C628&lt;&gt;""),F628&lt;&gt;"",F628&lt;=TODAY()),F628+ROW()/1000000,"")</f>
        <v/>
      </c>
    </row>
    <row r="629" customFormat="false" ht="15" hidden="false" customHeight="false" outlineLevel="0" collapsed="false">
      <c r="A629" s="12"/>
      <c r="B629" s="13"/>
      <c r="C629" s="13"/>
      <c r="D629" s="14"/>
      <c r="E629" s="15"/>
      <c r="F629" s="15"/>
      <c r="G629" s="12"/>
      <c r="H629" s="16" t="str">
        <f aca="false">IF(OR(A629="",C629=""),"",IFERROR(INDEX(Aşamalar!$B$5:$B$12,MATCH(C629,Aşamalar!$A$5:$A$12,0)),0))</f>
        <v/>
      </c>
      <c r="I629" s="17" t="str">
        <f aca="false">IF(H629="","",D629*H629)</f>
        <v/>
      </c>
      <c r="J629" s="18" t="str">
        <f aca="true">IF(AND(AND(C629&lt;&gt;"Kazanıldı",C629&lt;&gt;"Kaybedildi",C629&lt;&gt;""),F629&lt;&gt;""),IF(F629&lt;TODAY(),"Gecikti",IF(F629=TODAY(),"Bugün","")),"")</f>
        <v/>
      </c>
      <c r="K629" s="18" t="str">
        <f aca="true">IF(AND(AND(C629&lt;&gt;"Kazanıldı",C629&lt;&gt;"Kaybedildi",C629&lt;&gt;""),F629&lt;&gt;"",F629&lt;=TODAY()),F629+ROW()/1000000,"")</f>
        <v/>
      </c>
    </row>
    <row r="630" customFormat="false" ht="15" hidden="false" customHeight="false" outlineLevel="0" collapsed="false">
      <c r="A630" s="12"/>
      <c r="B630" s="13"/>
      <c r="C630" s="13"/>
      <c r="D630" s="14"/>
      <c r="E630" s="15"/>
      <c r="F630" s="15"/>
      <c r="G630" s="12"/>
      <c r="H630" s="16" t="str">
        <f aca="false">IF(OR(A630="",C630=""),"",IFERROR(INDEX(Aşamalar!$B$5:$B$12,MATCH(C630,Aşamalar!$A$5:$A$12,0)),0))</f>
        <v/>
      </c>
      <c r="I630" s="17" t="str">
        <f aca="false">IF(H630="","",D630*H630)</f>
        <v/>
      </c>
      <c r="J630" s="18" t="str">
        <f aca="true">IF(AND(AND(C630&lt;&gt;"Kazanıldı",C630&lt;&gt;"Kaybedildi",C630&lt;&gt;""),F630&lt;&gt;""),IF(F630&lt;TODAY(),"Gecikti",IF(F630=TODAY(),"Bugün","")),"")</f>
        <v/>
      </c>
      <c r="K630" s="18" t="str">
        <f aca="true">IF(AND(AND(C630&lt;&gt;"Kazanıldı",C630&lt;&gt;"Kaybedildi",C630&lt;&gt;""),F630&lt;&gt;"",F630&lt;=TODAY()),F630+ROW()/1000000,"")</f>
        <v/>
      </c>
    </row>
    <row r="631" customFormat="false" ht="15" hidden="false" customHeight="false" outlineLevel="0" collapsed="false">
      <c r="A631" s="12"/>
      <c r="B631" s="13"/>
      <c r="C631" s="13"/>
      <c r="D631" s="14"/>
      <c r="E631" s="15"/>
      <c r="F631" s="15"/>
      <c r="G631" s="12"/>
      <c r="H631" s="16" t="str">
        <f aca="false">IF(OR(A631="",C631=""),"",IFERROR(INDEX(Aşamalar!$B$5:$B$12,MATCH(C631,Aşamalar!$A$5:$A$12,0)),0))</f>
        <v/>
      </c>
      <c r="I631" s="17" t="str">
        <f aca="false">IF(H631="","",D631*H631)</f>
        <v/>
      </c>
      <c r="J631" s="18" t="str">
        <f aca="true">IF(AND(AND(C631&lt;&gt;"Kazanıldı",C631&lt;&gt;"Kaybedildi",C631&lt;&gt;""),F631&lt;&gt;""),IF(F631&lt;TODAY(),"Gecikti",IF(F631=TODAY(),"Bugün","")),"")</f>
        <v/>
      </c>
      <c r="K631" s="18" t="str">
        <f aca="true">IF(AND(AND(C631&lt;&gt;"Kazanıldı",C631&lt;&gt;"Kaybedildi",C631&lt;&gt;""),F631&lt;&gt;"",F631&lt;=TODAY()),F631+ROW()/1000000,"")</f>
        <v/>
      </c>
    </row>
    <row r="632" customFormat="false" ht="15" hidden="false" customHeight="false" outlineLevel="0" collapsed="false">
      <c r="A632" s="12"/>
      <c r="B632" s="13"/>
      <c r="C632" s="13"/>
      <c r="D632" s="14"/>
      <c r="E632" s="15"/>
      <c r="F632" s="15"/>
      <c r="G632" s="12"/>
      <c r="H632" s="16" t="str">
        <f aca="false">IF(OR(A632="",C632=""),"",IFERROR(INDEX(Aşamalar!$B$5:$B$12,MATCH(C632,Aşamalar!$A$5:$A$12,0)),0))</f>
        <v/>
      </c>
      <c r="I632" s="17" t="str">
        <f aca="false">IF(H632="","",D632*H632)</f>
        <v/>
      </c>
      <c r="J632" s="18" t="str">
        <f aca="true">IF(AND(AND(C632&lt;&gt;"Kazanıldı",C632&lt;&gt;"Kaybedildi",C632&lt;&gt;""),F632&lt;&gt;""),IF(F632&lt;TODAY(),"Gecikti",IF(F632=TODAY(),"Bugün","")),"")</f>
        <v/>
      </c>
      <c r="K632" s="18" t="str">
        <f aca="true">IF(AND(AND(C632&lt;&gt;"Kazanıldı",C632&lt;&gt;"Kaybedildi",C632&lt;&gt;""),F632&lt;&gt;"",F632&lt;=TODAY()),F632+ROW()/1000000,"")</f>
        <v/>
      </c>
    </row>
    <row r="633" customFormat="false" ht="15" hidden="false" customHeight="false" outlineLevel="0" collapsed="false">
      <c r="A633" s="12"/>
      <c r="B633" s="13"/>
      <c r="C633" s="13"/>
      <c r="D633" s="14"/>
      <c r="E633" s="15"/>
      <c r="F633" s="15"/>
      <c r="G633" s="12"/>
      <c r="H633" s="16" t="str">
        <f aca="false">IF(OR(A633="",C633=""),"",IFERROR(INDEX(Aşamalar!$B$5:$B$12,MATCH(C633,Aşamalar!$A$5:$A$12,0)),0))</f>
        <v/>
      </c>
      <c r="I633" s="17" t="str">
        <f aca="false">IF(H633="","",D633*H633)</f>
        <v/>
      </c>
      <c r="J633" s="18" t="str">
        <f aca="true">IF(AND(AND(C633&lt;&gt;"Kazanıldı",C633&lt;&gt;"Kaybedildi",C633&lt;&gt;""),F633&lt;&gt;""),IF(F633&lt;TODAY(),"Gecikti",IF(F633=TODAY(),"Bugün","")),"")</f>
        <v/>
      </c>
      <c r="K633" s="18" t="str">
        <f aca="true">IF(AND(AND(C633&lt;&gt;"Kazanıldı",C633&lt;&gt;"Kaybedildi",C633&lt;&gt;""),F633&lt;&gt;"",F633&lt;=TODAY()),F633+ROW()/1000000,"")</f>
        <v/>
      </c>
    </row>
    <row r="634" customFormat="false" ht="15" hidden="false" customHeight="false" outlineLevel="0" collapsed="false">
      <c r="A634" s="12"/>
      <c r="B634" s="13"/>
      <c r="C634" s="13"/>
      <c r="D634" s="14"/>
      <c r="E634" s="15"/>
      <c r="F634" s="15"/>
      <c r="G634" s="12"/>
      <c r="H634" s="16" t="str">
        <f aca="false">IF(OR(A634="",C634=""),"",IFERROR(INDEX(Aşamalar!$B$5:$B$12,MATCH(C634,Aşamalar!$A$5:$A$12,0)),0))</f>
        <v/>
      </c>
      <c r="I634" s="17" t="str">
        <f aca="false">IF(H634="","",D634*H634)</f>
        <v/>
      </c>
      <c r="J634" s="18" t="str">
        <f aca="true">IF(AND(AND(C634&lt;&gt;"Kazanıldı",C634&lt;&gt;"Kaybedildi",C634&lt;&gt;""),F634&lt;&gt;""),IF(F634&lt;TODAY(),"Gecikti",IF(F634=TODAY(),"Bugün","")),"")</f>
        <v/>
      </c>
      <c r="K634" s="18" t="str">
        <f aca="true">IF(AND(AND(C634&lt;&gt;"Kazanıldı",C634&lt;&gt;"Kaybedildi",C634&lt;&gt;""),F634&lt;&gt;"",F634&lt;=TODAY()),F634+ROW()/1000000,"")</f>
        <v/>
      </c>
    </row>
    <row r="635" customFormat="false" ht="15" hidden="false" customHeight="false" outlineLevel="0" collapsed="false">
      <c r="A635" s="12"/>
      <c r="B635" s="13"/>
      <c r="C635" s="13"/>
      <c r="D635" s="14"/>
      <c r="E635" s="15"/>
      <c r="F635" s="15"/>
      <c r="G635" s="12"/>
      <c r="H635" s="16" t="str">
        <f aca="false">IF(OR(A635="",C635=""),"",IFERROR(INDEX(Aşamalar!$B$5:$B$12,MATCH(C635,Aşamalar!$A$5:$A$12,0)),0))</f>
        <v/>
      </c>
      <c r="I635" s="17" t="str">
        <f aca="false">IF(H635="","",D635*H635)</f>
        <v/>
      </c>
      <c r="J635" s="18" t="str">
        <f aca="true">IF(AND(AND(C635&lt;&gt;"Kazanıldı",C635&lt;&gt;"Kaybedildi",C635&lt;&gt;""),F635&lt;&gt;""),IF(F635&lt;TODAY(),"Gecikti",IF(F635=TODAY(),"Bugün","")),"")</f>
        <v/>
      </c>
      <c r="K635" s="18" t="str">
        <f aca="true">IF(AND(AND(C635&lt;&gt;"Kazanıldı",C635&lt;&gt;"Kaybedildi",C635&lt;&gt;""),F635&lt;&gt;"",F635&lt;=TODAY()),F635+ROW()/1000000,"")</f>
        <v/>
      </c>
    </row>
    <row r="636" customFormat="false" ht="15" hidden="false" customHeight="false" outlineLevel="0" collapsed="false">
      <c r="A636" s="12"/>
      <c r="B636" s="13"/>
      <c r="C636" s="13"/>
      <c r="D636" s="14"/>
      <c r="E636" s="15"/>
      <c r="F636" s="15"/>
      <c r="G636" s="12"/>
      <c r="H636" s="16" t="str">
        <f aca="false">IF(OR(A636="",C636=""),"",IFERROR(INDEX(Aşamalar!$B$5:$B$12,MATCH(C636,Aşamalar!$A$5:$A$12,0)),0))</f>
        <v/>
      </c>
      <c r="I636" s="17" t="str">
        <f aca="false">IF(H636="","",D636*H636)</f>
        <v/>
      </c>
      <c r="J636" s="18" t="str">
        <f aca="true">IF(AND(AND(C636&lt;&gt;"Kazanıldı",C636&lt;&gt;"Kaybedildi",C636&lt;&gt;""),F636&lt;&gt;""),IF(F636&lt;TODAY(),"Gecikti",IF(F636=TODAY(),"Bugün","")),"")</f>
        <v/>
      </c>
      <c r="K636" s="18" t="str">
        <f aca="true">IF(AND(AND(C636&lt;&gt;"Kazanıldı",C636&lt;&gt;"Kaybedildi",C636&lt;&gt;""),F636&lt;&gt;"",F636&lt;=TODAY()),F636+ROW()/1000000,"")</f>
        <v/>
      </c>
    </row>
    <row r="637" customFormat="false" ht="15" hidden="false" customHeight="false" outlineLevel="0" collapsed="false">
      <c r="A637" s="12"/>
      <c r="B637" s="13"/>
      <c r="C637" s="13"/>
      <c r="D637" s="14"/>
      <c r="E637" s="15"/>
      <c r="F637" s="15"/>
      <c r="G637" s="12"/>
      <c r="H637" s="16" t="str">
        <f aca="false">IF(OR(A637="",C637=""),"",IFERROR(INDEX(Aşamalar!$B$5:$B$12,MATCH(C637,Aşamalar!$A$5:$A$12,0)),0))</f>
        <v/>
      </c>
      <c r="I637" s="17" t="str">
        <f aca="false">IF(H637="","",D637*H637)</f>
        <v/>
      </c>
      <c r="J637" s="18" t="str">
        <f aca="true">IF(AND(AND(C637&lt;&gt;"Kazanıldı",C637&lt;&gt;"Kaybedildi",C637&lt;&gt;""),F637&lt;&gt;""),IF(F637&lt;TODAY(),"Gecikti",IF(F637=TODAY(),"Bugün","")),"")</f>
        <v/>
      </c>
      <c r="K637" s="18" t="str">
        <f aca="true">IF(AND(AND(C637&lt;&gt;"Kazanıldı",C637&lt;&gt;"Kaybedildi",C637&lt;&gt;""),F637&lt;&gt;"",F637&lt;=TODAY()),F637+ROW()/1000000,"")</f>
        <v/>
      </c>
    </row>
    <row r="638" customFormat="false" ht="15" hidden="false" customHeight="false" outlineLevel="0" collapsed="false">
      <c r="A638" s="12"/>
      <c r="B638" s="13"/>
      <c r="C638" s="13"/>
      <c r="D638" s="14"/>
      <c r="E638" s="15"/>
      <c r="F638" s="15"/>
      <c r="G638" s="12"/>
      <c r="H638" s="16" t="str">
        <f aca="false">IF(OR(A638="",C638=""),"",IFERROR(INDEX(Aşamalar!$B$5:$B$12,MATCH(C638,Aşamalar!$A$5:$A$12,0)),0))</f>
        <v/>
      </c>
      <c r="I638" s="17" t="str">
        <f aca="false">IF(H638="","",D638*H638)</f>
        <v/>
      </c>
      <c r="J638" s="18" t="str">
        <f aca="true">IF(AND(AND(C638&lt;&gt;"Kazanıldı",C638&lt;&gt;"Kaybedildi",C638&lt;&gt;""),F638&lt;&gt;""),IF(F638&lt;TODAY(),"Gecikti",IF(F638=TODAY(),"Bugün","")),"")</f>
        <v/>
      </c>
      <c r="K638" s="18" t="str">
        <f aca="true">IF(AND(AND(C638&lt;&gt;"Kazanıldı",C638&lt;&gt;"Kaybedildi",C638&lt;&gt;""),F638&lt;&gt;"",F638&lt;=TODAY()),F638+ROW()/1000000,"")</f>
        <v/>
      </c>
    </row>
    <row r="639" customFormat="false" ht="15" hidden="false" customHeight="false" outlineLevel="0" collapsed="false">
      <c r="A639" s="12"/>
      <c r="B639" s="13"/>
      <c r="C639" s="13"/>
      <c r="D639" s="14"/>
      <c r="E639" s="15"/>
      <c r="F639" s="15"/>
      <c r="G639" s="12"/>
      <c r="H639" s="16" t="str">
        <f aca="false">IF(OR(A639="",C639=""),"",IFERROR(INDEX(Aşamalar!$B$5:$B$12,MATCH(C639,Aşamalar!$A$5:$A$12,0)),0))</f>
        <v/>
      </c>
      <c r="I639" s="17" t="str">
        <f aca="false">IF(H639="","",D639*H639)</f>
        <v/>
      </c>
      <c r="J639" s="18" t="str">
        <f aca="true">IF(AND(AND(C639&lt;&gt;"Kazanıldı",C639&lt;&gt;"Kaybedildi",C639&lt;&gt;""),F639&lt;&gt;""),IF(F639&lt;TODAY(),"Gecikti",IF(F639=TODAY(),"Bugün","")),"")</f>
        <v/>
      </c>
      <c r="K639" s="18" t="str">
        <f aca="true">IF(AND(AND(C639&lt;&gt;"Kazanıldı",C639&lt;&gt;"Kaybedildi",C639&lt;&gt;""),F639&lt;&gt;"",F639&lt;=TODAY()),F639+ROW()/1000000,"")</f>
        <v/>
      </c>
    </row>
    <row r="640" customFormat="false" ht="15" hidden="false" customHeight="false" outlineLevel="0" collapsed="false">
      <c r="A640" s="12"/>
      <c r="B640" s="13"/>
      <c r="C640" s="13"/>
      <c r="D640" s="14"/>
      <c r="E640" s="15"/>
      <c r="F640" s="15"/>
      <c r="G640" s="12"/>
      <c r="H640" s="16" t="str">
        <f aca="false">IF(OR(A640="",C640=""),"",IFERROR(INDEX(Aşamalar!$B$5:$B$12,MATCH(C640,Aşamalar!$A$5:$A$12,0)),0))</f>
        <v/>
      </c>
      <c r="I640" s="17" t="str">
        <f aca="false">IF(H640="","",D640*H640)</f>
        <v/>
      </c>
      <c r="J640" s="18" t="str">
        <f aca="true">IF(AND(AND(C640&lt;&gt;"Kazanıldı",C640&lt;&gt;"Kaybedildi",C640&lt;&gt;""),F640&lt;&gt;""),IF(F640&lt;TODAY(),"Gecikti",IF(F640=TODAY(),"Bugün","")),"")</f>
        <v/>
      </c>
      <c r="K640" s="18" t="str">
        <f aca="true">IF(AND(AND(C640&lt;&gt;"Kazanıldı",C640&lt;&gt;"Kaybedildi",C640&lt;&gt;""),F640&lt;&gt;"",F640&lt;=TODAY()),F640+ROW()/1000000,"")</f>
        <v/>
      </c>
    </row>
    <row r="641" customFormat="false" ht="15" hidden="false" customHeight="false" outlineLevel="0" collapsed="false">
      <c r="A641" s="12"/>
      <c r="B641" s="13"/>
      <c r="C641" s="13"/>
      <c r="D641" s="14"/>
      <c r="E641" s="15"/>
      <c r="F641" s="15"/>
      <c r="G641" s="12"/>
      <c r="H641" s="16" t="str">
        <f aca="false">IF(OR(A641="",C641=""),"",IFERROR(INDEX(Aşamalar!$B$5:$B$12,MATCH(C641,Aşamalar!$A$5:$A$12,0)),0))</f>
        <v/>
      </c>
      <c r="I641" s="17" t="str">
        <f aca="false">IF(H641="","",D641*H641)</f>
        <v/>
      </c>
      <c r="J641" s="18" t="str">
        <f aca="true">IF(AND(AND(C641&lt;&gt;"Kazanıldı",C641&lt;&gt;"Kaybedildi",C641&lt;&gt;""),F641&lt;&gt;""),IF(F641&lt;TODAY(),"Gecikti",IF(F641=TODAY(),"Bugün","")),"")</f>
        <v/>
      </c>
      <c r="K641" s="18" t="str">
        <f aca="true">IF(AND(AND(C641&lt;&gt;"Kazanıldı",C641&lt;&gt;"Kaybedildi",C641&lt;&gt;""),F641&lt;&gt;"",F641&lt;=TODAY()),F641+ROW()/1000000,"")</f>
        <v/>
      </c>
    </row>
    <row r="642" customFormat="false" ht="15" hidden="false" customHeight="false" outlineLevel="0" collapsed="false">
      <c r="A642" s="12"/>
      <c r="B642" s="13"/>
      <c r="C642" s="13"/>
      <c r="D642" s="14"/>
      <c r="E642" s="15"/>
      <c r="F642" s="15"/>
      <c r="G642" s="12"/>
      <c r="H642" s="16" t="str">
        <f aca="false">IF(OR(A642="",C642=""),"",IFERROR(INDEX(Aşamalar!$B$5:$B$12,MATCH(C642,Aşamalar!$A$5:$A$12,0)),0))</f>
        <v/>
      </c>
      <c r="I642" s="17" t="str">
        <f aca="false">IF(H642="","",D642*H642)</f>
        <v/>
      </c>
      <c r="J642" s="18" t="str">
        <f aca="true">IF(AND(AND(C642&lt;&gt;"Kazanıldı",C642&lt;&gt;"Kaybedildi",C642&lt;&gt;""),F642&lt;&gt;""),IF(F642&lt;TODAY(),"Gecikti",IF(F642=TODAY(),"Bugün","")),"")</f>
        <v/>
      </c>
      <c r="K642" s="18" t="str">
        <f aca="true">IF(AND(AND(C642&lt;&gt;"Kazanıldı",C642&lt;&gt;"Kaybedildi",C642&lt;&gt;""),F642&lt;&gt;"",F642&lt;=TODAY()),F642+ROW()/1000000,"")</f>
        <v/>
      </c>
    </row>
    <row r="643" customFormat="false" ht="15" hidden="false" customHeight="false" outlineLevel="0" collapsed="false">
      <c r="A643" s="12"/>
      <c r="B643" s="13"/>
      <c r="C643" s="13"/>
      <c r="D643" s="14"/>
      <c r="E643" s="15"/>
      <c r="F643" s="15"/>
      <c r="G643" s="12"/>
      <c r="H643" s="16" t="str">
        <f aca="false">IF(OR(A643="",C643=""),"",IFERROR(INDEX(Aşamalar!$B$5:$B$12,MATCH(C643,Aşamalar!$A$5:$A$12,0)),0))</f>
        <v/>
      </c>
      <c r="I643" s="17" t="str">
        <f aca="false">IF(H643="","",D643*H643)</f>
        <v/>
      </c>
      <c r="J643" s="18" t="str">
        <f aca="true">IF(AND(AND(C643&lt;&gt;"Kazanıldı",C643&lt;&gt;"Kaybedildi",C643&lt;&gt;""),F643&lt;&gt;""),IF(F643&lt;TODAY(),"Gecikti",IF(F643=TODAY(),"Bugün","")),"")</f>
        <v/>
      </c>
      <c r="K643" s="18" t="str">
        <f aca="true">IF(AND(AND(C643&lt;&gt;"Kazanıldı",C643&lt;&gt;"Kaybedildi",C643&lt;&gt;""),F643&lt;&gt;"",F643&lt;=TODAY()),F643+ROW()/1000000,"")</f>
        <v/>
      </c>
    </row>
    <row r="644" customFormat="false" ht="15" hidden="false" customHeight="false" outlineLevel="0" collapsed="false">
      <c r="A644" s="12"/>
      <c r="B644" s="13"/>
      <c r="C644" s="13"/>
      <c r="D644" s="14"/>
      <c r="E644" s="15"/>
      <c r="F644" s="15"/>
      <c r="G644" s="12"/>
      <c r="H644" s="16" t="str">
        <f aca="false">IF(OR(A644="",C644=""),"",IFERROR(INDEX(Aşamalar!$B$5:$B$12,MATCH(C644,Aşamalar!$A$5:$A$12,0)),0))</f>
        <v/>
      </c>
      <c r="I644" s="17" t="str">
        <f aca="false">IF(H644="","",D644*H644)</f>
        <v/>
      </c>
      <c r="J644" s="18" t="str">
        <f aca="true">IF(AND(AND(C644&lt;&gt;"Kazanıldı",C644&lt;&gt;"Kaybedildi",C644&lt;&gt;""),F644&lt;&gt;""),IF(F644&lt;TODAY(),"Gecikti",IF(F644=TODAY(),"Bugün","")),"")</f>
        <v/>
      </c>
      <c r="K644" s="18" t="str">
        <f aca="true">IF(AND(AND(C644&lt;&gt;"Kazanıldı",C644&lt;&gt;"Kaybedildi",C644&lt;&gt;""),F644&lt;&gt;"",F644&lt;=TODAY()),F644+ROW()/1000000,"")</f>
        <v/>
      </c>
    </row>
    <row r="645" customFormat="false" ht="15" hidden="false" customHeight="false" outlineLevel="0" collapsed="false">
      <c r="A645" s="12"/>
      <c r="B645" s="13"/>
      <c r="C645" s="13"/>
      <c r="D645" s="14"/>
      <c r="E645" s="15"/>
      <c r="F645" s="15"/>
      <c r="G645" s="12"/>
      <c r="H645" s="16" t="str">
        <f aca="false">IF(OR(A645="",C645=""),"",IFERROR(INDEX(Aşamalar!$B$5:$B$12,MATCH(C645,Aşamalar!$A$5:$A$12,0)),0))</f>
        <v/>
      </c>
      <c r="I645" s="17" t="str">
        <f aca="false">IF(H645="","",D645*H645)</f>
        <v/>
      </c>
      <c r="J645" s="18" t="str">
        <f aca="true">IF(AND(AND(C645&lt;&gt;"Kazanıldı",C645&lt;&gt;"Kaybedildi",C645&lt;&gt;""),F645&lt;&gt;""),IF(F645&lt;TODAY(),"Gecikti",IF(F645=TODAY(),"Bugün","")),"")</f>
        <v/>
      </c>
      <c r="K645" s="18" t="str">
        <f aca="true">IF(AND(AND(C645&lt;&gt;"Kazanıldı",C645&lt;&gt;"Kaybedildi",C645&lt;&gt;""),F645&lt;&gt;"",F645&lt;=TODAY()),F645+ROW()/1000000,"")</f>
        <v/>
      </c>
    </row>
    <row r="646" customFormat="false" ht="15" hidden="false" customHeight="false" outlineLevel="0" collapsed="false">
      <c r="A646" s="12"/>
      <c r="B646" s="13"/>
      <c r="C646" s="13"/>
      <c r="D646" s="14"/>
      <c r="E646" s="15"/>
      <c r="F646" s="15"/>
      <c r="G646" s="12"/>
      <c r="H646" s="16" t="str">
        <f aca="false">IF(OR(A646="",C646=""),"",IFERROR(INDEX(Aşamalar!$B$5:$B$12,MATCH(C646,Aşamalar!$A$5:$A$12,0)),0))</f>
        <v/>
      </c>
      <c r="I646" s="17" t="str">
        <f aca="false">IF(H646="","",D646*H646)</f>
        <v/>
      </c>
      <c r="J646" s="18" t="str">
        <f aca="true">IF(AND(AND(C646&lt;&gt;"Kazanıldı",C646&lt;&gt;"Kaybedildi",C646&lt;&gt;""),F646&lt;&gt;""),IF(F646&lt;TODAY(),"Gecikti",IF(F646=TODAY(),"Bugün","")),"")</f>
        <v/>
      </c>
      <c r="K646" s="18" t="str">
        <f aca="true">IF(AND(AND(C646&lt;&gt;"Kazanıldı",C646&lt;&gt;"Kaybedildi",C646&lt;&gt;""),F646&lt;&gt;"",F646&lt;=TODAY()),F646+ROW()/1000000,"")</f>
        <v/>
      </c>
    </row>
    <row r="647" customFormat="false" ht="15" hidden="false" customHeight="false" outlineLevel="0" collapsed="false">
      <c r="A647" s="12"/>
      <c r="B647" s="13"/>
      <c r="C647" s="13"/>
      <c r="D647" s="14"/>
      <c r="E647" s="15"/>
      <c r="F647" s="15"/>
      <c r="G647" s="12"/>
      <c r="H647" s="16" t="str">
        <f aca="false">IF(OR(A647="",C647=""),"",IFERROR(INDEX(Aşamalar!$B$5:$B$12,MATCH(C647,Aşamalar!$A$5:$A$12,0)),0))</f>
        <v/>
      </c>
      <c r="I647" s="17" t="str">
        <f aca="false">IF(H647="","",D647*H647)</f>
        <v/>
      </c>
      <c r="J647" s="18" t="str">
        <f aca="true">IF(AND(AND(C647&lt;&gt;"Kazanıldı",C647&lt;&gt;"Kaybedildi",C647&lt;&gt;""),F647&lt;&gt;""),IF(F647&lt;TODAY(),"Gecikti",IF(F647=TODAY(),"Bugün","")),"")</f>
        <v/>
      </c>
      <c r="K647" s="18" t="str">
        <f aca="true">IF(AND(AND(C647&lt;&gt;"Kazanıldı",C647&lt;&gt;"Kaybedildi",C647&lt;&gt;""),F647&lt;&gt;"",F647&lt;=TODAY()),F647+ROW()/1000000,"")</f>
        <v/>
      </c>
    </row>
    <row r="648" customFormat="false" ht="15" hidden="false" customHeight="false" outlineLevel="0" collapsed="false">
      <c r="A648" s="12"/>
      <c r="B648" s="13"/>
      <c r="C648" s="13"/>
      <c r="D648" s="14"/>
      <c r="E648" s="15"/>
      <c r="F648" s="15"/>
      <c r="G648" s="12"/>
      <c r="H648" s="16" t="str">
        <f aca="false">IF(OR(A648="",C648=""),"",IFERROR(INDEX(Aşamalar!$B$5:$B$12,MATCH(C648,Aşamalar!$A$5:$A$12,0)),0))</f>
        <v/>
      </c>
      <c r="I648" s="17" t="str">
        <f aca="false">IF(H648="","",D648*H648)</f>
        <v/>
      </c>
      <c r="J648" s="18" t="str">
        <f aca="true">IF(AND(AND(C648&lt;&gt;"Kazanıldı",C648&lt;&gt;"Kaybedildi",C648&lt;&gt;""),F648&lt;&gt;""),IF(F648&lt;TODAY(),"Gecikti",IF(F648=TODAY(),"Bugün","")),"")</f>
        <v/>
      </c>
      <c r="K648" s="18" t="str">
        <f aca="true">IF(AND(AND(C648&lt;&gt;"Kazanıldı",C648&lt;&gt;"Kaybedildi",C648&lt;&gt;""),F648&lt;&gt;"",F648&lt;=TODAY()),F648+ROW()/1000000,"")</f>
        <v/>
      </c>
    </row>
    <row r="649" customFormat="false" ht="15" hidden="false" customHeight="false" outlineLevel="0" collapsed="false">
      <c r="A649" s="12"/>
      <c r="B649" s="13"/>
      <c r="C649" s="13"/>
      <c r="D649" s="14"/>
      <c r="E649" s="15"/>
      <c r="F649" s="15"/>
      <c r="G649" s="12"/>
      <c r="H649" s="16" t="str">
        <f aca="false">IF(OR(A649="",C649=""),"",IFERROR(INDEX(Aşamalar!$B$5:$B$12,MATCH(C649,Aşamalar!$A$5:$A$12,0)),0))</f>
        <v/>
      </c>
      <c r="I649" s="17" t="str">
        <f aca="false">IF(H649="","",D649*H649)</f>
        <v/>
      </c>
      <c r="J649" s="18" t="str">
        <f aca="true">IF(AND(AND(C649&lt;&gt;"Kazanıldı",C649&lt;&gt;"Kaybedildi",C649&lt;&gt;""),F649&lt;&gt;""),IF(F649&lt;TODAY(),"Gecikti",IF(F649=TODAY(),"Bugün","")),"")</f>
        <v/>
      </c>
      <c r="K649" s="18" t="str">
        <f aca="true">IF(AND(AND(C649&lt;&gt;"Kazanıldı",C649&lt;&gt;"Kaybedildi",C649&lt;&gt;""),F649&lt;&gt;"",F649&lt;=TODAY()),F649+ROW()/1000000,"")</f>
        <v/>
      </c>
    </row>
    <row r="650" customFormat="false" ht="15" hidden="false" customHeight="false" outlineLevel="0" collapsed="false">
      <c r="A650" s="12"/>
      <c r="B650" s="13"/>
      <c r="C650" s="13"/>
      <c r="D650" s="14"/>
      <c r="E650" s="15"/>
      <c r="F650" s="15"/>
      <c r="G650" s="12"/>
      <c r="H650" s="16" t="str">
        <f aca="false">IF(OR(A650="",C650=""),"",IFERROR(INDEX(Aşamalar!$B$5:$B$12,MATCH(C650,Aşamalar!$A$5:$A$12,0)),0))</f>
        <v/>
      </c>
      <c r="I650" s="17" t="str">
        <f aca="false">IF(H650="","",D650*H650)</f>
        <v/>
      </c>
      <c r="J650" s="18" t="str">
        <f aca="true">IF(AND(AND(C650&lt;&gt;"Kazanıldı",C650&lt;&gt;"Kaybedildi",C650&lt;&gt;""),F650&lt;&gt;""),IF(F650&lt;TODAY(),"Gecikti",IF(F650=TODAY(),"Bugün","")),"")</f>
        <v/>
      </c>
      <c r="K650" s="18" t="str">
        <f aca="true">IF(AND(AND(C650&lt;&gt;"Kazanıldı",C650&lt;&gt;"Kaybedildi",C650&lt;&gt;""),F650&lt;&gt;"",F650&lt;=TODAY()),F650+ROW()/1000000,"")</f>
        <v/>
      </c>
    </row>
    <row r="651" customFormat="false" ht="15" hidden="false" customHeight="false" outlineLevel="0" collapsed="false">
      <c r="A651" s="12"/>
      <c r="B651" s="13"/>
      <c r="C651" s="13"/>
      <c r="D651" s="14"/>
      <c r="E651" s="15"/>
      <c r="F651" s="15"/>
      <c r="G651" s="12"/>
      <c r="H651" s="16" t="str">
        <f aca="false">IF(OR(A651="",C651=""),"",IFERROR(INDEX(Aşamalar!$B$5:$B$12,MATCH(C651,Aşamalar!$A$5:$A$12,0)),0))</f>
        <v/>
      </c>
      <c r="I651" s="17" t="str">
        <f aca="false">IF(H651="","",D651*H651)</f>
        <v/>
      </c>
      <c r="J651" s="18" t="str">
        <f aca="true">IF(AND(AND(C651&lt;&gt;"Kazanıldı",C651&lt;&gt;"Kaybedildi",C651&lt;&gt;""),F651&lt;&gt;""),IF(F651&lt;TODAY(),"Gecikti",IF(F651=TODAY(),"Bugün","")),"")</f>
        <v/>
      </c>
      <c r="K651" s="18" t="str">
        <f aca="true">IF(AND(AND(C651&lt;&gt;"Kazanıldı",C651&lt;&gt;"Kaybedildi",C651&lt;&gt;""),F651&lt;&gt;"",F651&lt;=TODAY()),F651+ROW()/1000000,"")</f>
        <v/>
      </c>
    </row>
    <row r="652" customFormat="false" ht="15" hidden="false" customHeight="false" outlineLevel="0" collapsed="false">
      <c r="A652" s="12"/>
      <c r="B652" s="13"/>
      <c r="C652" s="13"/>
      <c r="D652" s="14"/>
      <c r="E652" s="15"/>
      <c r="F652" s="15"/>
      <c r="G652" s="12"/>
      <c r="H652" s="16" t="str">
        <f aca="false">IF(OR(A652="",C652=""),"",IFERROR(INDEX(Aşamalar!$B$5:$B$12,MATCH(C652,Aşamalar!$A$5:$A$12,0)),0))</f>
        <v/>
      </c>
      <c r="I652" s="17" t="str">
        <f aca="false">IF(H652="","",D652*H652)</f>
        <v/>
      </c>
      <c r="J652" s="18" t="str">
        <f aca="true">IF(AND(AND(C652&lt;&gt;"Kazanıldı",C652&lt;&gt;"Kaybedildi",C652&lt;&gt;""),F652&lt;&gt;""),IF(F652&lt;TODAY(),"Gecikti",IF(F652=TODAY(),"Bugün","")),"")</f>
        <v/>
      </c>
      <c r="K652" s="18" t="str">
        <f aca="true">IF(AND(AND(C652&lt;&gt;"Kazanıldı",C652&lt;&gt;"Kaybedildi",C652&lt;&gt;""),F652&lt;&gt;"",F652&lt;=TODAY()),F652+ROW()/1000000,"")</f>
        <v/>
      </c>
    </row>
    <row r="653" customFormat="false" ht="15" hidden="false" customHeight="false" outlineLevel="0" collapsed="false">
      <c r="A653" s="12"/>
      <c r="B653" s="13"/>
      <c r="C653" s="13"/>
      <c r="D653" s="14"/>
      <c r="E653" s="15"/>
      <c r="F653" s="15"/>
      <c r="G653" s="12"/>
      <c r="H653" s="16" t="str">
        <f aca="false">IF(OR(A653="",C653=""),"",IFERROR(INDEX(Aşamalar!$B$5:$B$12,MATCH(C653,Aşamalar!$A$5:$A$12,0)),0))</f>
        <v/>
      </c>
      <c r="I653" s="17" t="str">
        <f aca="false">IF(H653="","",D653*H653)</f>
        <v/>
      </c>
      <c r="J653" s="18" t="str">
        <f aca="true">IF(AND(AND(C653&lt;&gt;"Kazanıldı",C653&lt;&gt;"Kaybedildi",C653&lt;&gt;""),F653&lt;&gt;""),IF(F653&lt;TODAY(),"Gecikti",IF(F653=TODAY(),"Bugün","")),"")</f>
        <v/>
      </c>
      <c r="K653" s="18" t="str">
        <f aca="true">IF(AND(AND(C653&lt;&gt;"Kazanıldı",C653&lt;&gt;"Kaybedildi",C653&lt;&gt;""),F653&lt;&gt;"",F653&lt;=TODAY()),F653+ROW()/1000000,"")</f>
        <v/>
      </c>
    </row>
    <row r="654" customFormat="false" ht="15" hidden="false" customHeight="false" outlineLevel="0" collapsed="false">
      <c r="A654" s="12"/>
      <c r="B654" s="13"/>
      <c r="C654" s="13"/>
      <c r="D654" s="14"/>
      <c r="E654" s="15"/>
      <c r="F654" s="15"/>
      <c r="G654" s="12"/>
      <c r="H654" s="16" t="str">
        <f aca="false">IF(OR(A654="",C654=""),"",IFERROR(INDEX(Aşamalar!$B$5:$B$12,MATCH(C654,Aşamalar!$A$5:$A$12,0)),0))</f>
        <v/>
      </c>
      <c r="I654" s="17" t="str">
        <f aca="false">IF(H654="","",D654*H654)</f>
        <v/>
      </c>
      <c r="J654" s="18" t="str">
        <f aca="true">IF(AND(AND(C654&lt;&gt;"Kazanıldı",C654&lt;&gt;"Kaybedildi",C654&lt;&gt;""),F654&lt;&gt;""),IF(F654&lt;TODAY(),"Gecikti",IF(F654=TODAY(),"Bugün","")),"")</f>
        <v/>
      </c>
      <c r="K654" s="18" t="str">
        <f aca="true">IF(AND(AND(C654&lt;&gt;"Kazanıldı",C654&lt;&gt;"Kaybedildi",C654&lt;&gt;""),F654&lt;&gt;"",F654&lt;=TODAY()),F654+ROW()/1000000,"")</f>
        <v/>
      </c>
    </row>
    <row r="655" customFormat="false" ht="15" hidden="false" customHeight="false" outlineLevel="0" collapsed="false">
      <c r="A655" s="12"/>
      <c r="B655" s="13"/>
      <c r="C655" s="13"/>
      <c r="D655" s="14"/>
      <c r="E655" s="15"/>
      <c r="F655" s="15"/>
      <c r="G655" s="12"/>
      <c r="H655" s="16" t="str">
        <f aca="false">IF(OR(A655="",C655=""),"",IFERROR(INDEX(Aşamalar!$B$5:$B$12,MATCH(C655,Aşamalar!$A$5:$A$12,0)),0))</f>
        <v/>
      </c>
      <c r="I655" s="17" t="str">
        <f aca="false">IF(H655="","",D655*H655)</f>
        <v/>
      </c>
      <c r="J655" s="18" t="str">
        <f aca="true">IF(AND(AND(C655&lt;&gt;"Kazanıldı",C655&lt;&gt;"Kaybedildi",C655&lt;&gt;""),F655&lt;&gt;""),IF(F655&lt;TODAY(),"Gecikti",IF(F655=TODAY(),"Bugün","")),"")</f>
        <v/>
      </c>
      <c r="K655" s="18" t="str">
        <f aca="true">IF(AND(AND(C655&lt;&gt;"Kazanıldı",C655&lt;&gt;"Kaybedildi",C655&lt;&gt;""),F655&lt;&gt;"",F655&lt;=TODAY()),F655+ROW()/1000000,"")</f>
        <v/>
      </c>
    </row>
    <row r="656" customFormat="false" ht="15" hidden="false" customHeight="false" outlineLevel="0" collapsed="false">
      <c r="A656" s="12"/>
      <c r="B656" s="13"/>
      <c r="C656" s="13"/>
      <c r="D656" s="14"/>
      <c r="E656" s="15"/>
      <c r="F656" s="15"/>
      <c r="G656" s="12"/>
      <c r="H656" s="16" t="str">
        <f aca="false">IF(OR(A656="",C656=""),"",IFERROR(INDEX(Aşamalar!$B$5:$B$12,MATCH(C656,Aşamalar!$A$5:$A$12,0)),0))</f>
        <v/>
      </c>
      <c r="I656" s="17" t="str">
        <f aca="false">IF(H656="","",D656*H656)</f>
        <v/>
      </c>
      <c r="J656" s="18" t="str">
        <f aca="true">IF(AND(AND(C656&lt;&gt;"Kazanıldı",C656&lt;&gt;"Kaybedildi",C656&lt;&gt;""),F656&lt;&gt;""),IF(F656&lt;TODAY(),"Gecikti",IF(F656=TODAY(),"Bugün","")),"")</f>
        <v/>
      </c>
      <c r="K656" s="18" t="str">
        <f aca="true">IF(AND(AND(C656&lt;&gt;"Kazanıldı",C656&lt;&gt;"Kaybedildi",C656&lt;&gt;""),F656&lt;&gt;"",F656&lt;=TODAY()),F656+ROW()/1000000,"")</f>
        <v/>
      </c>
    </row>
    <row r="657" customFormat="false" ht="15" hidden="false" customHeight="false" outlineLevel="0" collapsed="false">
      <c r="A657" s="12"/>
      <c r="B657" s="13"/>
      <c r="C657" s="13"/>
      <c r="D657" s="14"/>
      <c r="E657" s="15"/>
      <c r="F657" s="15"/>
      <c r="G657" s="12"/>
      <c r="H657" s="16" t="str">
        <f aca="false">IF(OR(A657="",C657=""),"",IFERROR(INDEX(Aşamalar!$B$5:$B$12,MATCH(C657,Aşamalar!$A$5:$A$12,0)),0))</f>
        <v/>
      </c>
      <c r="I657" s="17" t="str">
        <f aca="false">IF(H657="","",D657*H657)</f>
        <v/>
      </c>
      <c r="J657" s="18" t="str">
        <f aca="true">IF(AND(AND(C657&lt;&gt;"Kazanıldı",C657&lt;&gt;"Kaybedildi",C657&lt;&gt;""),F657&lt;&gt;""),IF(F657&lt;TODAY(),"Gecikti",IF(F657=TODAY(),"Bugün","")),"")</f>
        <v/>
      </c>
      <c r="K657" s="18" t="str">
        <f aca="true">IF(AND(AND(C657&lt;&gt;"Kazanıldı",C657&lt;&gt;"Kaybedildi",C657&lt;&gt;""),F657&lt;&gt;"",F657&lt;=TODAY()),F657+ROW()/1000000,"")</f>
        <v/>
      </c>
    </row>
    <row r="658" customFormat="false" ht="15" hidden="false" customHeight="false" outlineLevel="0" collapsed="false">
      <c r="A658" s="12"/>
      <c r="B658" s="13"/>
      <c r="C658" s="13"/>
      <c r="D658" s="14"/>
      <c r="E658" s="15"/>
      <c r="F658" s="15"/>
      <c r="G658" s="12"/>
      <c r="H658" s="16" t="str">
        <f aca="false">IF(OR(A658="",C658=""),"",IFERROR(INDEX(Aşamalar!$B$5:$B$12,MATCH(C658,Aşamalar!$A$5:$A$12,0)),0))</f>
        <v/>
      </c>
      <c r="I658" s="17" t="str">
        <f aca="false">IF(H658="","",D658*H658)</f>
        <v/>
      </c>
      <c r="J658" s="18" t="str">
        <f aca="true">IF(AND(AND(C658&lt;&gt;"Kazanıldı",C658&lt;&gt;"Kaybedildi",C658&lt;&gt;""),F658&lt;&gt;""),IF(F658&lt;TODAY(),"Gecikti",IF(F658=TODAY(),"Bugün","")),"")</f>
        <v/>
      </c>
      <c r="K658" s="18" t="str">
        <f aca="true">IF(AND(AND(C658&lt;&gt;"Kazanıldı",C658&lt;&gt;"Kaybedildi",C658&lt;&gt;""),F658&lt;&gt;"",F658&lt;=TODAY()),F658+ROW()/1000000,"")</f>
        <v/>
      </c>
    </row>
    <row r="659" customFormat="false" ht="15" hidden="false" customHeight="false" outlineLevel="0" collapsed="false">
      <c r="A659" s="12"/>
      <c r="B659" s="13"/>
      <c r="C659" s="13"/>
      <c r="D659" s="14"/>
      <c r="E659" s="15"/>
      <c r="F659" s="15"/>
      <c r="G659" s="12"/>
      <c r="H659" s="16" t="str">
        <f aca="false">IF(OR(A659="",C659=""),"",IFERROR(INDEX(Aşamalar!$B$5:$B$12,MATCH(C659,Aşamalar!$A$5:$A$12,0)),0))</f>
        <v/>
      </c>
      <c r="I659" s="17" t="str">
        <f aca="false">IF(H659="","",D659*H659)</f>
        <v/>
      </c>
      <c r="J659" s="18" t="str">
        <f aca="true">IF(AND(AND(C659&lt;&gt;"Kazanıldı",C659&lt;&gt;"Kaybedildi",C659&lt;&gt;""),F659&lt;&gt;""),IF(F659&lt;TODAY(),"Gecikti",IF(F659=TODAY(),"Bugün","")),"")</f>
        <v/>
      </c>
      <c r="K659" s="18" t="str">
        <f aca="true">IF(AND(AND(C659&lt;&gt;"Kazanıldı",C659&lt;&gt;"Kaybedildi",C659&lt;&gt;""),F659&lt;&gt;"",F659&lt;=TODAY()),F659+ROW()/1000000,"")</f>
        <v/>
      </c>
    </row>
    <row r="660" customFormat="false" ht="15" hidden="false" customHeight="false" outlineLevel="0" collapsed="false">
      <c r="A660" s="12"/>
      <c r="B660" s="13"/>
      <c r="C660" s="13"/>
      <c r="D660" s="14"/>
      <c r="E660" s="15"/>
      <c r="F660" s="15"/>
      <c r="G660" s="12"/>
      <c r="H660" s="16" t="str">
        <f aca="false">IF(OR(A660="",C660=""),"",IFERROR(INDEX(Aşamalar!$B$5:$B$12,MATCH(C660,Aşamalar!$A$5:$A$12,0)),0))</f>
        <v/>
      </c>
      <c r="I660" s="17" t="str">
        <f aca="false">IF(H660="","",D660*H660)</f>
        <v/>
      </c>
      <c r="J660" s="18" t="str">
        <f aca="true">IF(AND(AND(C660&lt;&gt;"Kazanıldı",C660&lt;&gt;"Kaybedildi",C660&lt;&gt;""),F660&lt;&gt;""),IF(F660&lt;TODAY(),"Gecikti",IF(F660=TODAY(),"Bugün","")),"")</f>
        <v/>
      </c>
      <c r="K660" s="18" t="str">
        <f aca="true">IF(AND(AND(C660&lt;&gt;"Kazanıldı",C660&lt;&gt;"Kaybedildi",C660&lt;&gt;""),F660&lt;&gt;"",F660&lt;=TODAY()),F660+ROW()/1000000,"")</f>
        <v/>
      </c>
    </row>
    <row r="661" customFormat="false" ht="15" hidden="false" customHeight="false" outlineLevel="0" collapsed="false">
      <c r="A661" s="12"/>
      <c r="B661" s="13"/>
      <c r="C661" s="13"/>
      <c r="D661" s="14"/>
      <c r="E661" s="15"/>
      <c r="F661" s="15"/>
      <c r="G661" s="12"/>
      <c r="H661" s="16" t="str">
        <f aca="false">IF(OR(A661="",C661=""),"",IFERROR(INDEX(Aşamalar!$B$5:$B$12,MATCH(C661,Aşamalar!$A$5:$A$12,0)),0))</f>
        <v/>
      </c>
      <c r="I661" s="17" t="str">
        <f aca="false">IF(H661="","",D661*H661)</f>
        <v/>
      </c>
      <c r="J661" s="18" t="str">
        <f aca="true">IF(AND(AND(C661&lt;&gt;"Kazanıldı",C661&lt;&gt;"Kaybedildi",C661&lt;&gt;""),F661&lt;&gt;""),IF(F661&lt;TODAY(),"Gecikti",IF(F661=TODAY(),"Bugün","")),"")</f>
        <v/>
      </c>
      <c r="K661" s="18" t="str">
        <f aca="true">IF(AND(AND(C661&lt;&gt;"Kazanıldı",C661&lt;&gt;"Kaybedildi",C661&lt;&gt;""),F661&lt;&gt;"",F661&lt;=TODAY()),F661+ROW()/1000000,"")</f>
        <v/>
      </c>
    </row>
    <row r="662" customFormat="false" ht="15" hidden="false" customHeight="false" outlineLevel="0" collapsed="false">
      <c r="A662" s="12"/>
      <c r="B662" s="13"/>
      <c r="C662" s="13"/>
      <c r="D662" s="14"/>
      <c r="E662" s="15"/>
      <c r="F662" s="15"/>
      <c r="G662" s="12"/>
      <c r="H662" s="16" t="str">
        <f aca="false">IF(OR(A662="",C662=""),"",IFERROR(INDEX(Aşamalar!$B$5:$B$12,MATCH(C662,Aşamalar!$A$5:$A$12,0)),0))</f>
        <v/>
      </c>
      <c r="I662" s="17" t="str">
        <f aca="false">IF(H662="","",D662*H662)</f>
        <v/>
      </c>
      <c r="J662" s="18" t="str">
        <f aca="true">IF(AND(AND(C662&lt;&gt;"Kazanıldı",C662&lt;&gt;"Kaybedildi",C662&lt;&gt;""),F662&lt;&gt;""),IF(F662&lt;TODAY(),"Gecikti",IF(F662=TODAY(),"Bugün","")),"")</f>
        <v/>
      </c>
      <c r="K662" s="18" t="str">
        <f aca="true">IF(AND(AND(C662&lt;&gt;"Kazanıldı",C662&lt;&gt;"Kaybedildi",C662&lt;&gt;""),F662&lt;&gt;"",F662&lt;=TODAY()),F662+ROW()/1000000,"")</f>
        <v/>
      </c>
    </row>
    <row r="663" customFormat="false" ht="15" hidden="false" customHeight="false" outlineLevel="0" collapsed="false">
      <c r="A663" s="12"/>
      <c r="B663" s="13"/>
      <c r="C663" s="13"/>
      <c r="D663" s="14"/>
      <c r="E663" s="15"/>
      <c r="F663" s="15"/>
      <c r="G663" s="12"/>
      <c r="H663" s="16" t="str">
        <f aca="false">IF(OR(A663="",C663=""),"",IFERROR(INDEX(Aşamalar!$B$5:$B$12,MATCH(C663,Aşamalar!$A$5:$A$12,0)),0))</f>
        <v/>
      </c>
      <c r="I663" s="17" t="str">
        <f aca="false">IF(H663="","",D663*H663)</f>
        <v/>
      </c>
      <c r="J663" s="18" t="str">
        <f aca="true">IF(AND(AND(C663&lt;&gt;"Kazanıldı",C663&lt;&gt;"Kaybedildi",C663&lt;&gt;""),F663&lt;&gt;""),IF(F663&lt;TODAY(),"Gecikti",IF(F663=TODAY(),"Bugün","")),"")</f>
        <v/>
      </c>
      <c r="K663" s="18" t="str">
        <f aca="true">IF(AND(AND(C663&lt;&gt;"Kazanıldı",C663&lt;&gt;"Kaybedildi",C663&lt;&gt;""),F663&lt;&gt;"",F663&lt;=TODAY()),F663+ROW()/1000000,"")</f>
        <v/>
      </c>
    </row>
    <row r="664" customFormat="false" ht="15" hidden="false" customHeight="false" outlineLevel="0" collapsed="false">
      <c r="A664" s="12"/>
      <c r="B664" s="13"/>
      <c r="C664" s="13"/>
      <c r="D664" s="14"/>
      <c r="E664" s="15"/>
      <c r="F664" s="15"/>
      <c r="G664" s="12"/>
      <c r="H664" s="16" t="str">
        <f aca="false">IF(OR(A664="",C664=""),"",IFERROR(INDEX(Aşamalar!$B$5:$B$12,MATCH(C664,Aşamalar!$A$5:$A$12,0)),0))</f>
        <v/>
      </c>
      <c r="I664" s="17" t="str">
        <f aca="false">IF(H664="","",D664*H664)</f>
        <v/>
      </c>
      <c r="J664" s="18" t="str">
        <f aca="true">IF(AND(AND(C664&lt;&gt;"Kazanıldı",C664&lt;&gt;"Kaybedildi",C664&lt;&gt;""),F664&lt;&gt;""),IF(F664&lt;TODAY(),"Gecikti",IF(F664=TODAY(),"Bugün","")),"")</f>
        <v/>
      </c>
      <c r="K664" s="18" t="str">
        <f aca="true">IF(AND(AND(C664&lt;&gt;"Kazanıldı",C664&lt;&gt;"Kaybedildi",C664&lt;&gt;""),F664&lt;&gt;"",F664&lt;=TODAY()),F664+ROW()/1000000,"")</f>
        <v/>
      </c>
    </row>
    <row r="665" customFormat="false" ht="15" hidden="false" customHeight="false" outlineLevel="0" collapsed="false">
      <c r="A665" s="12"/>
      <c r="B665" s="13"/>
      <c r="C665" s="13"/>
      <c r="D665" s="14"/>
      <c r="E665" s="15"/>
      <c r="F665" s="15"/>
      <c r="G665" s="12"/>
      <c r="H665" s="16" t="str">
        <f aca="false">IF(OR(A665="",C665=""),"",IFERROR(INDEX(Aşamalar!$B$5:$B$12,MATCH(C665,Aşamalar!$A$5:$A$12,0)),0))</f>
        <v/>
      </c>
      <c r="I665" s="17" t="str">
        <f aca="false">IF(H665="","",D665*H665)</f>
        <v/>
      </c>
      <c r="J665" s="18" t="str">
        <f aca="true">IF(AND(AND(C665&lt;&gt;"Kazanıldı",C665&lt;&gt;"Kaybedildi",C665&lt;&gt;""),F665&lt;&gt;""),IF(F665&lt;TODAY(),"Gecikti",IF(F665=TODAY(),"Bugün","")),"")</f>
        <v/>
      </c>
      <c r="K665" s="18" t="str">
        <f aca="true">IF(AND(AND(C665&lt;&gt;"Kazanıldı",C665&lt;&gt;"Kaybedildi",C665&lt;&gt;""),F665&lt;&gt;"",F665&lt;=TODAY()),F665+ROW()/1000000,"")</f>
        <v/>
      </c>
    </row>
    <row r="666" customFormat="false" ht="15" hidden="false" customHeight="false" outlineLevel="0" collapsed="false">
      <c r="A666" s="12"/>
      <c r="B666" s="13"/>
      <c r="C666" s="13"/>
      <c r="D666" s="14"/>
      <c r="E666" s="15"/>
      <c r="F666" s="15"/>
      <c r="G666" s="12"/>
      <c r="H666" s="16" t="str">
        <f aca="false">IF(OR(A666="",C666=""),"",IFERROR(INDEX(Aşamalar!$B$5:$B$12,MATCH(C666,Aşamalar!$A$5:$A$12,0)),0))</f>
        <v/>
      </c>
      <c r="I666" s="17" t="str">
        <f aca="false">IF(H666="","",D666*H666)</f>
        <v/>
      </c>
      <c r="J666" s="18" t="str">
        <f aca="true">IF(AND(AND(C666&lt;&gt;"Kazanıldı",C666&lt;&gt;"Kaybedildi",C666&lt;&gt;""),F666&lt;&gt;""),IF(F666&lt;TODAY(),"Gecikti",IF(F666=TODAY(),"Bugün","")),"")</f>
        <v/>
      </c>
      <c r="K666" s="18" t="str">
        <f aca="true">IF(AND(AND(C666&lt;&gt;"Kazanıldı",C666&lt;&gt;"Kaybedildi",C666&lt;&gt;""),F666&lt;&gt;"",F666&lt;=TODAY()),F666+ROW()/1000000,"")</f>
        <v/>
      </c>
    </row>
    <row r="667" customFormat="false" ht="15" hidden="false" customHeight="false" outlineLevel="0" collapsed="false">
      <c r="A667" s="12"/>
      <c r="B667" s="13"/>
      <c r="C667" s="13"/>
      <c r="D667" s="14"/>
      <c r="E667" s="15"/>
      <c r="F667" s="15"/>
      <c r="G667" s="12"/>
      <c r="H667" s="16" t="str">
        <f aca="false">IF(OR(A667="",C667=""),"",IFERROR(INDEX(Aşamalar!$B$5:$B$12,MATCH(C667,Aşamalar!$A$5:$A$12,0)),0))</f>
        <v/>
      </c>
      <c r="I667" s="17" t="str">
        <f aca="false">IF(H667="","",D667*H667)</f>
        <v/>
      </c>
      <c r="J667" s="18" t="str">
        <f aca="true">IF(AND(AND(C667&lt;&gt;"Kazanıldı",C667&lt;&gt;"Kaybedildi",C667&lt;&gt;""),F667&lt;&gt;""),IF(F667&lt;TODAY(),"Gecikti",IF(F667=TODAY(),"Bugün","")),"")</f>
        <v/>
      </c>
      <c r="K667" s="18" t="str">
        <f aca="true">IF(AND(AND(C667&lt;&gt;"Kazanıldı",C667&lt;&gt;"Kaybedildi",C667&lt;&gt;""),F667&lt;&gt;"",F667&lt;=TODAY()),F667+ROW()/1000000,"")</f>
        <v/>
      </c>
    </row>
    <row r="668" customFormat="false" ht="15" hidden="false" customHeight="false" outlineLevel="0" collapsed="false">
      <c r="A668" s="12"/>
      <c r="B668" s="13"/>
      <c r="C668" s="13"/>
      <c r="D668" s="14"/>
      <c r="E668" s="15"/>
      <c r="F668" s="15"/>
      <c r="G668" s="12"/>
      <c r="H668" s="16" t="str">
        <f aca="false">IF(OR(A668="",C668=""),"",IFERROR(INDEX(Aşamalar!$B$5:$B$12,MATCH(C668,Aşamalar!$A$5:$A$12,0)),0))</f>
        <v/>
      </c>
      <c r="I668" s="17" t="str">
        <f aca="false">IF(H668="","",D668*H668)</f>
        <v/>
      </c>
      <c r="J668" s="18" t="str">
        <f aca="true">IF(AND(AND(C668&lt;&gt;"Kazanıldı",C668&lt;&gt;"Kaybedildi",C668&lt;&gt;""),F668&lt;&gt;""),IF(F668&lt;TODAY(),"Gecikti",IF(F668=TODAY(),"Bugün","")),"")</f>
        <v/>
      </c>
      <c r="K668" s="18" t="str">
        <f aca="true">IF(AND(AND(C668&lt;&gt;"Kazanıldı",C668&lt;&gt;"Kaybedildi",C668&lt;&gt;""),F668&lt;&gt;"",F668&lt;=TODAY()),F668+ROW()/1000000,"")</f>
        <v/>
      </c>
    </row>
    <row r="669" customFormat="false" ht="15" hidden="false" customHeight="false" outlineLevel="0" collapsed="false">
      <c r="A669" s="12"/>
      <c r="B669" s="13"/>
      <c r="C669" s="13"/>
      <c r="D669" s="14"/>
      <c r="E669" s="15"/>
      <c r="F669" s="15"/>
      <c r="G669" s="12"/>
      <c r="H669" s="16" t="str">
        <f aca="false">IF(OR(A669="",C669=""),"",IFERROR(INDEX(Aşamalar!$B$5:$B$12,MATCH(C669,Aşamalar!$A$5:$A$12,0)),0))</f>
        <v/>
      </c>
      <c r="I669" s="17" t="str">
        <f aca="false">IF(H669="","",D669*H669)</f>
        <v/>
      </c>
      <c r="J669" s="18" t="str">
        <f aca="true">IF(AND(AND(C669&lt;&gt;"Kazanıldı",C669&lt;&gt;"Kaybedildi",C669&lt;&gt;""),F669&lt;&gt;""),IF(F669&lt;TODAY(),"Gecikti",IF(F669=TODAY(),"Bugün","")),"")</f>
        <v/>
      </c>
      <c r="K669" s="18" t="str">
        <f aca="true">IF(AND(AND(C669&lt;&gt;"Kazanıldı",C669&lt;&gt;"Kaybedildi",C669&lt;&gt;""),F669&lt;&gt;"",F669&lt;=TODAY()),F669+ROW()/1000000,"")</f>
        <v/>
      </c>
    </row>
    <row r="670" customFormat="false" ht="15" hidden="false" customHeight="false" outlineLevel="0" collapsed="false">
      <c r="A670" s="12"/>
      <c r="B670" s="13"/>
      <c r="C670" s="13"/>
      <c r="D670" s="14"/>
      <c r="E670" s="15"/>
      <c r="F670" s="15"/>
      <c r="G670" s="12"/>
      <c r="H670" s="16" t="str">
        <f aca="false">IF(OR(A670="",C670=""),"",IFERROR(INDEX(Aşamalar!$B$5:$B$12,MATCH(C670,Aşamalar!$A$5:$A$12,0)),0))</f>
        <v/>
      </c>
      <c r="I670" s="17" t="str">
        <f aca="false">IF(H670="","",D670*H670)</f>
        <v/>
      </c>
      <c r="J670" s="18" t="str">
        <f aca="true">IF(AND(AND(C670&lt;&gt;"Kazanıldı",C670&lt;&gt;"Kaybedildi",C670&lt;&gt;""),F670&lt;&gt;""),IF(F670&lt;TODAY(),"Gecikti",IF(F670=TODAY(),"Bugün","")),"")</f>
        <v/>
      </c>
      <c r="K670" s="18" t="str">
        <f aca="true">IF(AND(AND(C670&lt;&gt;"Kazanıldı",C670&lt;&gt;"Kaybedildi",C670&lt;&gt;""),F670&lt;&gt;"",F670&lt;=TODAY()),F670+ROW()/1000000,"")</f>
        <v/>
      </c>
    </row>
    <row r="671" customFormat="false" ht="15" hidden="false" customHeight="false" outlineLevel="0" collapsed="false">
      <c r="A671" s="12"/>
      <c r="B671" s="13"/>
      <c r="C671" s="13"/>
      <c r="D671" s="14"/>
      <c r="E671" s="15"/>
      <c r="F671" s="15"/>
      <c r="G671" s="12"/>
      <c r="H671" s="16" t="str">
        <f aca="false">IF(OR(A671="",C671=""),"",IFERROR(INDEX(Aşamalar!$B$5:$B$12,MATCH(C671,Aşamalar!$A$5:$A$12,0)),0))</f>
        <v/>
      </c>
      <c r="I671" s="17" t="str">
        <f aca="false">IF(H671="","",D671*H671)</f>
        <v/>
      </c>
      <c r="J671" s="18" t="str">
        <f aca="true">IF(AND(AND(C671&lt;&gt;"Kazanıldı",C671&lt;&gt;"Kaybedildi",C671&lt;&gt;""),F671&lt;&gt;""),IF(F671&lt;TODAY(),"Gecikti",IF(F671=TODAY(),"Bugün","")),"")</f>
        <v/>
      </c>
      <c r="K671" s="18" t="str">
        <f aca="true">IF(AND(AND(C671&lt;&gt;"Kazanıldı",C671&lt;&gt;"Kaybedildi",C671&lt;&gt;""),F671&lt;&gt;"",F671&lt;=TODAY()),F671+ROW()/1000000,"")</f>
        <v/>
      </c>
    </row>
    <row r="672" customFormat="false" ht="15" hidden="false" customHeight="false" outlineLevel="0" collapsed="false">
      <c r="A672" s="12"/>
      <c r="B672" s="13"/>
      <c r="C672" s="13"/>
      <c r="D672" s="14"/>
      <c r="E672" s="15"/>
      <c r="F672" s="15"/>
      <c r="G672" s="12"/>
      <c r="H672" s="16" t="str">
        <f aca="false">IF(OR(A672="",C672=""),"",IFERROR(INDEX(Aşamalar!$B$5:$B$12,MATCH(C672,Aşamalar!$A$5:$A$12,0)),0))</f>
        <v/>
      </c>
      <c r="I672" s="17" t="str">
        <f aca="false">IF(H672="","",D672*H672)</f>
        <v/>
      </c>
      <c r="J672" s="18" t="str">
        <f aca="true">IF(AND(AND(C672&lt;&gt;"Kazanıldı",C672&lt;&gt;"Kaybedildi",C672&lt;&gt;""),F672&lt;&gt;""),IF(F672&lt;TODAY(),"Gecikti",IF(F672=TODAY(),"Bugün","")),"")</f>
        <v/>
      </c>
      <c r="K672" s="18" t="str">
        <f aca="true">IF(AND(AND(C672&lt;&gt;"Kazanıldı",C672&lt;&gt;"Kaybedildi",C672&lt;&gt;""),F672&lt;&gt;"",F672&lt;=TODAY()),F672+ROW()/1000000,"")</f>
        <v/>
      </c>
    </row>
    <row r="673" customFormat="false" ht="15" hidden="false" customHeight="false" outlineLevel="0" collapsed="false">
      <c r="A673" s="12"/>
      <c r="B673" s="13"/>
      <c r="C673" s="13"/>
      <c r="D673" s="14"/>
      <c r="E673" s="15"/>
      <c r="F673" s="15"/>
      <c r="G673" s="12"/>
      <c r="H673" s="16" t="str">
        <f aca="false">IF(OR(A673="",C673=""),"",IFERROR(INDEX(Aşamalar!$B$5:$B$12,MATCH(C673,Aşamalar!$A$5:$A$12,0)),0))</f>
        <v/>
      </c>
      <c r="I673" s="17" t="str">
        <f aca="false">IF(H673="","",D673*H673)</f>
        <v/>
      </c>
      <c r="J673" s="18" t="str">
        <f aca="true">IF(AND(AND(C673&lt;&gt;"Kazanıldı",C673&lt;&gt;"Kaybedildi",C673&lt;&gt;""),F673&lt;&gt;""),IF(F673&lt;TODAY(),"Gecikti",IF(F673=TODAY(),"Bugün","")),"")</f>
        <v/>
      </c>
      <c r="K673" s="18" t="str">
        <f aca="true">IF(AND(AND(C673&lt;&gt;"Kazanıldı",C673&lt;&gt;"Kaybedildi",C673&lt;&gt;""),F673&lt;&gt;"",F673&lt;=TODAY()),F673+ROW()/1000000,"")</f>
        <v/>
      </c>
    </row>
    <row r="674" customFormat="false" ht="15" hidden="false" customHeight="false" outlineLevel="0" collapsed="false">
      <c r="A674" s="12"/>
      <c r="B674" s="13"/>
      <c r="C674" s="13"/>
      <c r="D674" s="14"/>
      <c r="E674" s="15"/>
      <c r="F674" s="15"/>
      <c r="G674" s="12"/>
      <c r="H674" s="16" t="str">
        <f aca="false">IF(OR(A674="",C674=""),"",IFERROR(INDEX(Aşamalar!$B$5:$B$12,MATCH(C674,Aşamalar!$A$5:$A$12,0)),0))</f>
        <v/>
      </c>
      <c r="I674" s="17" t="str">
        <f aca="false">IF(H674="","",D674*H674)</f>
        <v/>
      </c>
      <c r="J674" s="18" t="str">
        <f aca="true">IF(AND(AND(C674&lt;&gt;"Kazanıldı",C674&lt;&gt;"Kaybedildi",C674&lt;&gt;""),F674&lt;&gt;""),IF(F674&lt;TODAY(),"Gecikti",IF(F674=TODAY(),"Bugün","")),"")</f>
        <v/>
      </c>
      <c r="K674" s="18" t="str">
        <f aca="true">IF(AND(AND(C674&lt;&gt;"Kazanıldı",C674&lt;&gt;"Kaybedildi",C674&lt;&gt;""),F674&lt;&gt;"",F674&lt;=TODAY()),F674+ROW()/1000000,"")</f>
        <v/>
      </c>
    </row>
    <row r="675" customFormat="false" ht="15" hidden="false" customHeight="false" outlineLevel="0" collapsed="false">
      <c r="A675" s="12"/>
      <c r="B675" s="13"/>
      <c r="C675" s="13"/>
      <c r="D675" s="14"/>
      <c r="E675" s="15"/>
      <c r="F675" s="15"/>
      <c r="G675" s="12"/>
      <c r="H675" s="16" t="str">
        <f aca="false">IF(OR(A675="",C675=""),"",IFERROR(INDEX(Aşamalar!$B$5:$B$12,MATCH(C675,Aşamalar!$A$5:$A$12,0)),0))</f>
        <v/>
      </c>
      <c r="I675" s="17" t="str">
        <f aca="false">IF(H675="","",D675*H675)</f>
        <v/>
      </c>
      <c r="J675" s="18" t="str">
        <f aca="true">IF(AND(AND(C675&lt;&gt;"Kazanıldı",C675&lt;&gt;"Kaybedildi",C675&lt;&gt;""),F675&lt;&gt;""),IF(F675&lt;TODAY(),"Gecikti",IF(F675=TODAY(),"Bugün","")),"")</f>
        <v/>
      </c>
      <c r="K675" s="18" t="str">
        <f aca="true">IF(AND(AND(C675&lt;&gt;"Kazanıldı",C675&lt;&gt;"Kaybedildi",C675&lt;&gt;""),F675&lt;&gt;"",F675&lt;=TODAY()),F675+ROW()/1000000,"")</f>
        <v/>
      </c>
    </row>
    <row r="676" customFormat="false" ht="15" hidden="false" customHeight="false" outlineLevel="0" collapsed="false">
      <c r="A676" s="12"/>
      <c r="B676" s="13"/>
      <c r="C676" s="13"/>
      <c r="D676" s="14"/>
      <c r="E676" s="15"/>
      <c r="F676" s="15"/>
      <c r="G676" s="12"/>
      <c r="H676" s="16" t="str">
        <f aca="false">IF(OR(A676="",C676=""),"",IFERROR(INDEX(Aşamalar!$B$5:$B$12,MATCH(C676,Aşamalar!$A$5:$A$12,0)),0))</f>
        <v/>
      </c>
      <c r="I676" s="17" t="str">
        <f aca="false">IF(H676="","",D676*H676)</f>
        <v/>
      </c>
      <c r="J676" s="18" t="str">
        <f aca="true">IF(AND(AND(C676&lt;&gt;"Kazanıldı",C676&lt;&gt;"Kaybedildi",C676&lt;&gt;""),F676&lt;&gt;""),IF(F676&lt;TODAY(),"Gecikti",IF(F676=TODAY(),"Bugün","")),"")</f>
        <v/>
      </c>
      <c r="K676" s="18" t="str">
        <f aca="true">IF(AND(AND(C676&lt;&gt;"Kazanıldı",C676&lt;&gt;"Kaybedildi",C676&lt;&gt;""),F676&lt;&gt;"",F676&lt;=TODAY()),F676+ROW()/1000000,"")</f>
        <v/>
      </c>
    </row>
    <row r="677" customFormat="false" ht="15" hidden="false" customHeight="false" outlineLevel="0" collapsed="false">
      <c r="A677" s="12"/>
      <c r="B677" s="13"/>
      <c r="C677" s="13"/>
      <c r="D677" s="14"/>
      <c r="E677" s="15"/>
      <c r="F677" s="15"/>
      <c r="G677" s="12"/>
      <c r="H677" s="16" t="str">
        <f aca="false">IF(OR(A677="",C677=""),"",IFERROR(INDEX(Aşamalar!$B$5:$B$12,MATCH(C677,Aşamalar!$A$5:$A$12,0)),0))</f>
        <v/>
      </c>
      <c r="I677" s="17" t="str">
        <f aca="false">IF(H677="","",D677*H677)</f>
        <v/>
      </c>
      <c r="J677" s="18" t="str">
        <f aca="true">IF(AND(AND(C677&lt;&gt;"Kazanıldı",C677&lt;&gt;"Kaybedildi",C677&lt;&gt;""),F677&lt;&gt;""),IF(F677&lt;TODAY(),"Gecikti",IF(F677=TODAY(),"Bugün","")),"")</f>
        <v/>
      </c>
      <c r="K677" s="18" t="str">
        <f aca="true">IF(AND(AND(C677&lt;&gt;"Kazanıldı",C677&lt;&gt;"Kaybedildi",C677&lt;&gt;""),F677&lt;&gt;"",F677&lt;=TODAY()),F677+ROW()/1000000,"")</f>
        <v/>
      </c>
    </row>
    <row r="678" customFormat="false" ht="15" hidden="false" customHeight="false" outlineLevel="0" collapsed="false">
      <c r="A678" s="12"/>
      <c r="B678" s="13"/>
      <c r="C678" s="13"/>
      <c r="D678" s="14"/>
      <c r="E678" s="15"/>
      <c r="F678" s="15"/>
      <c r="G678" s="12"/>
      <c r="H678" s="16" t="str">
        <f aca="false">IF(OR(A678="",C678=""),"",IFERROR(INDEX(Aşamalar!$B$5:$B$12,MATCH(C678,Aşamalar!$A$5:$A$12,0)),0))</f>
        <v/>
      </c>
      <c r="I678" s="17" t="str">
        <f aca="false">IF(H678="","",D678*H678)</f>
        <v/>
      </c>
      <c r="J678" s="18" t="str">
        <f aca="true">IF(AND(AND(C678&lt;&gt;"Kazanıldı",C678&lt;&gt;"Kaybedildi",C678&lt;&gt;""),F678&lt;&gt;""),IF(F678&lt;TODAY(),"Gecikti",IF(F678=TODAY(),"Bugün","")),"")</f>
        <v/>
      </c>
      <c r="K678" s="18" t="str">
        <f aca="true">IF(AND(AND(C678&lt;&gt;"Kazanıldı",C678&lt;&gt;"Kaybedildi",C678&lt;&gt;""),F678&lt;&gt;"",F678&lt;=TODAY()),F678+ROW()/1000000,"")</f>
        <v/>
      </c>
    </row>
    <row r="679" customFormat="false" ht="15" hidden="false" customHeight="false" outlineLevel="0" collapsed="false">
      <c r="A679" s="12"/>
      <c r="B679" s="13"/>
      <c r="C679" s="13"/>
      <c r="D679" s="14"/>
      <c r="E679" s="15"/>
      <c r="F679" s="15"/>
      <c r="G679" s="12"/>
      <c r="H679" s="16" t="str">
        <f aca="false">IF(OR(A679="",C679=""),"",IFERROR(INDEX(Aşamalar!$B$5:$B$12,MATCH(C679,Aşamalar!$A$5:$A$12,0)),0))</f>
        <v/>
      </c>
      <c r="I679" s="17" t="str">
        <f aca="false">IF(H679="","",D679*H679)</f>
        <v/>
      </c>
      <c r="J679" s="18" t="str">
        <f aca="true">IF(AND(AND(C679&lt;&gt;"Kazanıldı",C679&lt;&gt;"Kaybedildi",C679&lt;&gt;""),F679&lt;&gt;""),IF(F679&lt;TODAY(),"Gecikti",IF(F679=TODAY(),"Bugün","")),"")</f>
        <v/>
      </c>
      <c r="K679" s="18" t="str">
        <f aca="true">IF(AND(AND(C679&lt;&gt;"Kazanıldı",C679&lt;&gt;"Kaybedildi",C679&lt;&gt;""),F679&lt;&gt;"",F679&lt;=TODAY()),F679+ROW()/1000000,"")</f>
        <v/>
      </c>
    </row>
    <row r="680" customFormat="false" ht="15" hidden="false" customHeight="false" outlineLevel="0" collapsed="false">
      <c r="A680" s="12"/>
      <c r="B680" s="13"/>
      <c r="C680" s="13"/>
      <c r="D680" s="14"/>
      <c r="E680" s="15"/>
      <c r="F680" s="15"/>
      <c r="G680" s="12"/>
      <c r="H680" s="16" t="str">
        <f aca="false">IF(OR(A680="",C680=""),"",IFERROR(INDEX(Aşamalar!$B$5:$B$12,MATCH(C680,Aşamalar!$A$5:$A$12,0)),0))</f>
        <v/>
      </c>
      <c r="I680" s="17" t="str">
        <f aca="false">IF(H680="","",D680*H680)</f>
        <v/>
      </c>
      <c r="J680" s="18" t="str">
        <f aca="true">IF(AND(AND(C680&lt;&gt;"Kazanıldı",C680&lt;&gt;"Kaybedildi",C680&lt;&gt;""),F680&lt;&gt;""),IF(F680&lt;TODAY(),"Gecikti",IF(F680=TODAY(),"Bugün","")),"")</f>
        <v/>
      </c>
      <c r="K680" s="18" t="str">
        <f aca="true">IF(AND(AND(C680&lt;&gt;"Kazanıldı",C680&lt;&gt;"Kaybedildi",C680&lt;&gt;""),F680&lt;&gt;"",F680&lt;=TODAY()),F680+ROW()/1000000,"")</f>
        <v/>
      </c>
    </row>
    <row r="681" customFormat="false" ht="15" hidden="false" customHeight="false" outlineLevel="0" collapsed="false">
      <c r="A681" s="12"/>
      <c r="B681" s="13"/>
      <c r="C681" s="13"/>
      <c r="D681" s="14"/>
      <c r="E681" s="15"/>
      <c r="F681" s="15"/>
      <c r="G681" s="12"/>
      <c r="H681" s="16" t="str">
        <f aca="false">IF(OR(A681="",C681=""),"",IFERROR(INDEX(Aşamalar!$B$5:$B$12,MATCH(C681,Aşamalar!$A$5:$A$12,0)),0))</f>
        <v/>
      </c>
      <c r="I681" s="17" t="str">
        <f aca="false">IF(H681="","",D681*H681)</f>
        <v/>
      </c>
      <c r="J681" s="18" t="str">
        <f aca="true">IF(AND(AND(C681&lt;&gt;"Kazanıldı",C681&lt;&gt;"Kaybedildi",C681&lt;&gt;""),F681&lt;&gt;""),IF(F681&lt;TODAY(),"Gecikti",IF(F681=TODAY(),"Bugün","")),"")</f>
        <v/>
      </c>
      <c r="K681" s="18" t="str">
        <f aca="true">IF(AND(AND(C681&lt;&gt;"Kazanıldı",C681&lt;&gt;"Kaybedildi",C681&lt;&gt;""),F681&lt;&gt;"",F681&lt;=TODAY()),F681+ROW()/1000000,"")</f>
        <v/>
      </c>
    </row>
    <row r="682" customFormat="false" ht="15" hidden="false" customHeight="false" outlineLevel="0" collapsed="false">
      <c r="A682" s="12"/>
      <c r="B682" s="13"/>
      <c r="C682" s="13"/>
      <c r="D682" s="14"/>
      <c r="E682" s="15"/>
      <c r="F682" s="15"/>
      <c r="G682" s="12"/>
      <c r="H682" s="16" t="str">
        <f aca="false">IF(OR(A682="",C682=""),"",IFERROR(INDEX(Aşamalar!$B$5:$B$12,MATCH(C682,Aşamalar!$A$5:$A$12,0)),0))</f>
        <v/>
      </c>
      <c r="I682" s="17" t="str">
        <f aca="false">IF(H682="","",D682*H682)</f>
        <v/>
      </c>
      <c r="J682" s="18" t="str">
        <f aca="true">IF(AND(AND(C682&lt;&gt;"Kazanıldı",C682&lt;&gt;"Kaybedildi",C682&lt;&gt;""),F682&lt;&gt;""),IF(F682&lt;TODAY(),"Gecikti",IF(F682=TODAY(),"Bugün","")),"")</f>
        <v/>
      </c>
      <c r="K682" s="18" t="str">
        <f aca="true">IF(AND(AND(C682&lt;&gt;"Kazanıldı",C682&lt;&gt;"Kaybedildi",C682&lt;&gt;""),F682&lt;&gt;"",F682&lt;=TODAY()),F682+ROW()/1000000,"")</f>
        <v/>
      </c>
    </row>
    <row r="683" customFormat="false" ht="15" hidden="false" customHeight="false" outlineLevel="0" collapsed="false">
      <c r="A683" s="12"/>
      <c r="B683" s="13"/>
      <c r="C683" s="13"/>
      <c r="D683" s="14"/>
      <c r="E683" s="15"/>
      <c r="F683" s="15"/>
      <c r="G683" s="12"/>
      <c r="H683" s="16" t="str">
        <f aca="false">IF(OR(A683="",C683=""),"",IFERROR(INDEX(Aşamalar!$B$5:$B$12,MATCH(C683,Aşamalar!$A$5:$A$12,0)),0))</f>
        <v/>
      </c>
      <c r="I683" s="17" t="str">
        <f aca="false">IF(H683="","",D683*H683)</f>
        <v/>
      </c>
      <c r="J683" s="18" t="str">
        <f aca="true">IF(AND(AND(C683&lt;&gt;"Kazanıldı",C683&lt;&gt;"Kaybedildi",C683&lt;&gt;""),F683&lt;&gt;""),IF(F683&lt;TODAY(),"Gecikti",IF(F683=TODAY(),"Bugün","")),"")</f>
        <v/>
      </c>
      <c r="K683" s="18" t="str">
        <f aca="true">IF(AND(AND(C683&lt;&gt;"Kazanıldı",C683&lt;&gt;"Kaybedildi",C683&lt;&gt;""),F683&lt;&gt;"",F683&lt;=TODAY()),F683+ROW()/1000000,"")</f>
        <v/>
      </c>
    </row>
    <row r="684" customFormat="false" ht="15" hidden="false" customHeight="false" outlineLevel="0" collapsed="false">
      <c r="A684" s="12"/>
      <c r="B684" s="13"/>
      <c r="C684" s="13"/>
      <c r="D684" s="14"/>
      <c r="E684" s="15"/>
      <c r="F684" s="15"/>
      <c r="G684" s="12"/>
      <c r="H684" s="16" t="str">
        <f aca="false">IF(OR(A684="",C684=""),"",IFERROR(INDEX(Aşamalar!$B$5:$B$12,MATCH(C684,Aşamalar!$A$5:$A$12,0)),0))</f>
        <v/>
      </c>
      <c r="I684" s="17" t="str">
        <f aca="false">IF(H684="","",D684*H684)</f>
        <v/>
      </c>
      <c r="J684" s="18" t="str">
        <f aca="true">IF(AND(AND(C684&lt;&gt;"Kazanıldı",C684&lt;&gt;"Kaybedildi",C684&lt;&gt;""),F684&lt;&gt;""),IF(F684&lt;TODAY(),"Gecikti",IF(F684=TODAY(),"Bugün","")),"")</f>
        <v/>
      </c>
      <c r="K684" s="18" t="str">
        <f aca="true">IF(AND(AND(C684&lt;&gt;"Kazanıldı",C684&lt;&gt;"Kaybedildi",C684&lt;&gt;""),F684&lt;&gt;"",F684&lt;=TODAY()),F684+ROW()/1000000,"")</f>
        <v/>
      </c>
    </row>
    <row r="685" customFormat="false" ht="15" hidden="false" customHeight="false" outlineLevel="0" collapsed="false">
      <c r="A685" s="12"/>
      <c r="B685" s="13"/>
      <c r="C685" s="13"/>
      <c r="D685" s="14"/>
      <c r="E685" s="15"/>
      <c r="F685" s="15"/>
      <c r="G685" s="12"/>
      <c r="H685" s="16" t="str">
        <f aca="false">IF(OR(A685="",C685=""),"",IFERROR(INDEX(Aşamalar!$B$5:$B$12,MATCH(C685,Aşamalar!$A$5:$A$12,0)),0))</f>
        <v/>
      </c>
      <c r="I685" s="17" t="str">
        <f aca="false">IF(H685="","",D685*H685)</f>
        <v/>
      </c>
      <c r="J685" s="18" t="str">
        <f aca="true">IF(AND(AND(C685&lt;&gt;"Kazanıldı",C685&lt;&gt;"Kaybedildi",C685&lt;&gt;""),F685&lt;&gt;""),IF(F685&lt;TODAY(),"Gecikti",IF(F685=TODAY(),"Bugün","")),"")</f>
        <v/>
      </c>
      <c r="K685" s="18" t="str">
        <f aca="true">IF(AND(AND(C685&lt;&gt;"Kazanıldı",C685&lt;&gt;"Kaybedildi",C685&lt;&gt;""),F685&lt;&gt;"",F685&lt;=TODAY()),F685+ROW()/1000000,"")</f>
        <v/>
      </c>
    </row>
    <row r="686" customFormat="false" ht="15" hidden="false" customHeight="false" outlineLevel="0" collapsed="false">
      <c r="A686" s="12"/>
      <c r="B686" s="13"/>
      <c r="C686" s="13"/>
      <c r="D686" s="14"/>
      <c r="E686" s="15"/>
      <c r="F686" s="15"/>
      <c r="G686" s="12"/>
      <c r="H686" s="16" t="str">
        <f aca="false">IF(OR(A686="",C686=""),"",IFERROR(INDEX(Aşamalar!$B$5:$B$12,MATCH(C686,Aşamalar!$A$5:$A$12,0)),0))</f>
        <v/>
      </c>
      <c r="I686" s="17" t="str">
        <f aca="false">IF(H686="","",D686*H686)</f>
        <v/>
      </c>
      <c r="J686" s="18" t="str">
        <f aca="true">IF(AND(AND(C686&lt;&gt;"Kazanıldı",C686&lt;&gt;"Kaybedildi",C686&lt;&gt;""),F686&lt;&gt;""),IF(F686&lt;TODAY(),"Gecikti",IF(F686=TODAY(),"Bugün","")),"")</f>
        <v/>
      </c>
      <c r="K686" s="18" t="str">
        <f aca="true">IF(AND(AND(C686&lt;&gt;"Kazanıldı",C686&lt;&gt;"Kaybedildi",C686&lt;&gt;""),F686&lt;&gt;"",F686&lt;=TODAY()),F686+ROW()/1000000,"")</f>
        <v/>
      </c>
    </row>
    <row r="687" customFormat="false" ht="15" hidden="false" customHeight="false" outlineLevel="0" collapsed="false">
      <c r="A687" s="12"/>
      <c r="B687" s="13"/>
      <c r="C687" s="13"/>
      <c r="D687" s="14"/>
      <c r="E687" s="15"/>
      <c r="F687" s="15"/>
      <c r="G687" s="12"/>
      <c r="H687" s="16" t="str">
        <f aca="false">IF(OR(A687="",C687=""),"",IFERROR(INDEX(Aşamalar!$B$5:$B$12,MATCH(C687,Aşamalar!$A$5:$A$12,0)),0))</f>
        <v/>
      </c>
      <c r="I687" s="17" t="str">
        <f aca="false">IF(H687="","",D687*H687)</f>
        <v/>
      </c>
      <c r="J687" s="18" t="str">
        <f aca="true">IF(AND(AND(C687&lt;&gt;"Kazanıldı",C687&lt;&gt;"Kaybedildi",C687&lt;&gt;""),F687&lt;&gt;""),IF(F687&lt;TODAY(),"Gecikti",IF(F687=TODAY(),"Bugün","")),"")</f>
        <v/>
      </c>
      <c r="K687" s="18" t="str">
        <f aca="true">IF(AND(AND(C687&lt;&gt;"Kazanıldı",C687&lt;&gt;"Kaybedildi",C687&lt;&gt;""),F687&lt;&gt;"",F687&lt;=TODAY()),F687+ROW()/1000000,"")</f>
        <v/>
      </c>
    </row>
    <row r="688" customFormat="false" ht="15" hidden="false" customHeight="false" outlineLevel="0" collapsed="false">
      <c r="A688" s="12"/>
      <c r="B688" s="13"/>
      <c r="C688" s="13"/>
      <c r="D688" s="14"/>
      <c r="E688" s="15"/>
      <c r="F688" s="15"/>
      <c r="G688" s="12"/>
      <c r="H688" s="16" t="str">
        <f aca="false">IF(OR(A688="",C688=""),"",IFERROR(INDEX(Aşamalar!$B$5:$B$12,MATCH(C688,Aşamalar!$A$5:$A$12,0)),0))</f>
        <v/>
      </c>
      <c r="I688" s="17" t="str">
        <f aca="false">IF(H688="","",D688*H688)</f>
        <v/>
      </c>
      <c r="J688" s="18" t="str">
        <f aca="true">IF(AND(AND(C688&lt;&gt;"Kazanıldı",C688&lt;&gt;"Kaybedildi",C688&lt;&gt;""),F688&lt;&gt;""),IF(F688&lt;TODAY(),"Gecikti",IF(F688=TODAY(),"Bugün","")),"")</f>
        <v/>
      </c>
      <c r="K688" s="18" t="str">
        <f aca="true">IF(AND(AND(C688&lt;&gt;"Kazanıldı",C688&lt;&gt;"Kaybedildi",C688&lt;&gt;""),F688&lt;&gt;"",F688&lt;=TODAY()),F688+ROW()/1000000,"")</f>
        <v/>
      </c>
    </row>
    <row r="689" customFormat="false" ht="15" hidden="false" customHeight="false" outlineLevel="0" collapsed="false">
      <c r="A689" s="12"/>
      <c r="B689" s="13"/>
      <c r="C689" s="13"/>
      <c r="D689" s="14"/>
      <c r="E689" s="15"/>
      <c r="F689" s="15"/>
      <c r="G689" s="12"/>
      <c r="H689" s="16" t="str">
        <f aca="false">IF(OR(A689="",C689=""),"",IFERROR(INDEX(Aşamalar!$B$5:$B$12,MATCH(C689,Aşamalar!$A$5:$A$12,0)),0))</f>
        <v/>
      </c>
      <c r="I689" s="17" t="str">
        <f aca="false">IF(H689="","",D689*H689)</f>
        <v/>
      </c>
      <c r="J689" s="18" t="str">
        <f aca="true">IF(AND(AND(C689&lt;&gt;"Kazanıldı",C689&lt;&gt;"Kaybedildi",C689&lt;&gt;""),F689&lt;&gt;""),IF(F689&lt;TODAY(),"Gecikti",IF(F689=TODAY(),"Bugün","")),"")</f>
        <v/>
      </c>
      <c r="K689" s="18" t="str">
        <f aca="true">IF(AND(AND(C689&lt;&gt;"Kazanıldı",C689&lt;&gt;"Kaybedildi",C689&lt;&gt;""),F689&lt;&gt;"",F689&lt;=TODAY()),F689+ROW()/1000000,"")</f>
        <v/>
      </c>
    </row>
    <row r="690" customFormat="false" ht="15" hidden="false" customHeight="false" outlineLevel="0" collapsed="false">
      <c r="A690" s="12"/>
      <c r="B690" s="13"/>
      <c r="C690" s="13"/>
      <c r="D690" s="14"/>
      <c r="E690" s="15"/>
      <c r="F690" s="15"/>
      <c r="G690" s="12"/>
      <c r="H690" s="16" t="str">
        <f aca="false">IF(OR(A690="",C690=""),"",IFERROR(INDEX(Aşamalar!$B$5:$B$12,MATCH(C690,Aşamalar!$A$5:$A$12,0)),0))</f>
        <v/>
      </c>
      <c r="I690" s="17" t="str">
        <f aca="false">IF(H690="","",D690*H690)</f>
        <v/>
      </c>
      <c r="J690" s="18" t="str">
        <f aca="true">IF(AND(AND(C690&lt;&gt;"Kazanıldı",C690&lt;&gt;"Kaybedildi",C690&lt;&gt;""),F690&lt;&gt;""),IF(F690&lt;TODAY(),"Gecikti",IF(F690=TODAY(),"Bugün","")),"")</f>
        <v/>
      </c>
      <c r="K690" s="18" t="str">
        <f aca="true">IF(AND(AND(C690&lt;&gt;"Kazanıldı",C690&lt;&gt;"Kaybedildi",C690&lt;&gt;""),F690&lt;&gt;"",F690&lt;=TODAY()),F690+ROW()/1000000,"")</f>
        <v/>
      </c>
    </row>
    <row r="691" customFormat="false" ht="15" hidden="false" customHeight="false" outlineLevel="0" collapsed="false">
      <c r="A691" s="12"/>
      <c r="B691" s="13"/>
      <c r="C691" s="13"/>
      <c r="D691" s="14"/>
      <c r="E691" s="15"/>
      <c r="F691" s="15"/>
      <c r="G691" s="12"/>
      <c r="H691" s="16" t="str">
        <f aca="false">IF(OR(A691="",C691=""),"",IFERROR(INDEX(Aşamalar!$B$5:$B$12,MATCH(C691,Aşamalar!$A$5:$A$12,0)),0))</f>
        <v/>
      </c>
      <c r="I691" s="17" t="str">
        <f aca="false">IF(H691="","",D691*H691)</f>
        <v/>
      </c>
      <c r="J691" s="18" t="str">
        <f aca="true">IF(AND(AND(C691&lt;&gt;"Kazanıldı",C691&lt;&gt;"Kaybedildi",C691&lt;&gt;""),F691&lt;&gt;""),IF(F691&lt;TODAY(),"Gecikti",IF(F691=TODAY(),"Bugün","")),"")</f>
        <v/>
      </c>
      <c r="K691" s="18" t="str">
        <f aca="true">IF(AND(AND(C691&lt;&gt;"Kazanıldı",C691&lt;&gt;"Kaybedildi",C691&lt;&gt;""),F691&lt;&gt;"",F691&lt;=TODAY()),F691+ROW()/1000000,"")</f>
        <v/>
      </c>
    </row>
    <row r="692" customFormat="false" ht="15" hidden="false" customHeight="false" outlineLevel="0" collapsed="false">
      <c r="A692" s="12"/>
      <c r="B692" s="13"/>
      <c r="C692" s="13"/>
      <c r="D692" s="14"/>
      <c r="E692" s="15"/>
      <c r="F692" s="15"/>
      <c r="G692" s="12"/>
      <c r="H692" s="16" t="str">
        <f aca="false">IF(OR(A692="",C692=""),"",IFERROR(INDEX(Aşamalar!$B$5:$B$12,MATCH(C692,Aşamalar!$A$5:$A$12,0)),0))</f>
        <v/>
      </c>
      <c r="I692" s="17" t="str">
        <f aca="false">IF(H692="","",D692*H692)</f>
        <v/>
      </c>
      <c r="J692" s="18" t="str">
        <f aca="true">IF(AND(AND(C692&lt;&gt;"Kazanıldı",C692&lt;&gt;"Kaybedildi",C692&lt;&gt;""),F692&lt;&gt;""),IF(F692&lt;TODAY(),"Gecikti",IF(F692=TODAY(),"Bugün","")),"")</f>
        <v/>
      </c>
      <c r="K692" s="18" t="str">
        <f aca="true">IF(AND(AND(C692&lt;&gt;"Kazanıldı",C692&lt;&gt;"Kaybedildi",C692&lt;&gt;""),F692&lt;&gt;"",F692&lt;=TODAY()),F692+ROW()/1000000,"")</f>
        <v/>
      </c>
    </row>
    <row r="693" customFormat="false" ht="15" hidden="false" customHeight="false" outlineLevel="0" collapsed="false">
      <c r="A693" s="12"/>
      <c r="B693" s="13"/>
      <c r="C693" s="13"/>
      <c r="D693" s="14"/>
      <c r="E693" s="15"/>
      <c r="F693" s="15"/>
      <c r="G693" s="12"/>
      <c r="H693" s="16" t="str">
        <f aca="false">IF(OR(A693="",C693=""),"",IFERROR(INDEX(Aşamalar!$B$5:$B$12,MATCH(C693,Aşamalar!$A$5:$A$12,0)),0))</f>
        <v/>
      </c>
      <c r="I693" s="17" t="str">
        <f aca="false">IF(H693="","",D693*H693)</f>
        <v/>
      </c>
      <c r="J693" s="18" t="str">
        <f aca="true">IF(AND(AND(C693&lt;&gt;"Kazanıldı",C693&lt;&gt;"Kaybedildi",C693&lt;&gt;""),F693&lt;&gt;""),IF(F693&lt;TODAY(),"Gecikti",IF(F693=TODAY(),"Bugün","")),"")</f>
        <v/>
      </c>
      <c r="K693" s="18" t="str">
        <f aca="true">IF(AND(AND(C693&lt;&gt;"Kazanıldı",C693&lt;&gt;"Kaybedildi",C693&lt;&gt;""),F693&lt;&gt;"",F693&lt;=TODAY()),F693+ROW()/1000000,"")</f>
        <v/>
      </c>
    </row>
    <row r="694" customFormat="false" ht="15" hidden="false" customHeight="false" outlineLevel="0" collapsed="false">
      <c r="A694" s="12"/>
      <c r="B694" s="13"/>
      <c r="C694" s="13"/>
      <c r="D694" s="14"/>
      <c r="E694" s="15"/>
      <c r="F694" s="15"/>
      <c r="G694" s="12"/>
      <c r="H694" s="16" t="str">
        <f aca="false">IF(OR(A694="",C694=""),"",IFERROR(INDEX(Aşamalar!$B$5:$B$12,MATCH(C694,Aşamalar!$A$5:$A$12,0)),0))</f>
        <v/>
      </c>
      <c r="I694" s="17" t="str">
        <f aca="false">IF(H694="","",D694*H694)</f>
        <v/>
      </c>
      <c r="J694" s="18" t="str">
        <f aca="true">IF(AND(AND(C694&lt;&gt;"Kazanıldı",C694&lt;&gt;"Kaybedildi",C694&lt;&gt;""),F694&lt;&gt;""),IF(F694&lt;TODAY(),"Gecikti",IF(F694=TODAY(),"Bugün","")),"")</f>
        <v/>
      </c>
      <c r="K694" s="18" t="str">
        <f aca="true">IF(AND(AND(C694&lt;&gt;"Kazanıldı",C694&lt;&gt;"Kaybedildi",C694&lt;&gt;""),F694&lt;&gt;"",F694&lt;=TODAY()),F694+ROW()/1000000,"")</f>
        <v/>
      </c>
    </row>
    <row r="695" customFormat="false" ht="15" hidden="false" customHeight="false" outlineLevel="0" collapsed="false">
      <c r="A695" s="12"/>
      <c r="B695" s="13"/>
      <c r="C695" s="13"/>
      <c r="D695" s="14"/>
      <c r="E695" s="15"/>
      <c r="F695" s="15"/>
      <c r="G695" s="12"/>
      <c r="H695" s="16" t="str">
        <f aca="false">IF(OR(A695="",C695=""),"",IFERROR(INDEX(Aşamalar!$B$5:$B$12,MATCH(C695,Aşamalar!$A$5:$A$12,0)),0))</f>
        <v/>
      </c>
      <c r="I695" s="17" t="str">
        <f aca="false">IF(H695="","",D695*H695)</f>
        <v/>
      </c>
      <c r="J695" s="18" t="str">
        <f aca="true">IF(AND(AND(C695&lt;&gt;"Kazanıldı",C695&lt;&gt;"Kaybedildi",C695&lt;&gt;""),F695&lt;&gt;""),IF(F695&lt;TODAY(),"Gecikti",IF(F695=TODAY(),"Bugün","")),"")</f>
        <v/>
      </c>
      <c r="K695" s="18" t="str">
        <f aca="true">IF(AND(AND(C695&lt;&gt;"Kazanıldı",C695&lt;&gt;"Kaybedildi",C695&lt;&gt;""),F695&lt;&gt;"",F695&lt;=TODAY()),F695+ROW()/1000000,"")</f>
        <v/>
      </c>
    </row>
    <row r="696" customFormat="false" ht="15" hidden="false" customHeight="false" outlineLevel="0" collapsed="false">
      <c r="A696" s="12"/>
      <c r="B696" s="13"/>
      <c r="C696" s="13"/>
      <c r="D696" s="14"/>
      <c r="E696" s="15"/>
      <c r="F696" s="15"/>
      <c r="G696" s="12"/>
      <c r="H696" s="16" t="str">
        <f aca="false">IF(OR(A696="",C696=""),"",IFERROR(INDEX(Aşamalar!$B$5:$B$12,MATCH(C696,Aşamalar!$A$5:$A$12,0)),0))</f>
        <v/>
      </c>
      <c r="I696" s="17" t="str">
        <f aca="false">IF(H696="","",D696*H696)</f>
        <v/>
      </c>
      <c r="J696" s="18" t="str">
        <f aca="true">IF(AND(AND(C696&lt;&gt;"Kazanıldı",C696&lt;&gt;"Kaybedildi",C696&lt;&gt;""),F696&lt;&gt;""),IF(F696&lt;TODAY(),"Gecikti",IF(F696=TODAY(),"Bugün","")),"")</f>
        <v/>
      </c>
      <c r="K696" s="18" t="str">
        <f aca="true">IF(AND(AND(C696&lt;&gt;"Kazanıldı",C696&lt;&gt;"Kaybedildi",C696&lt;&gt;""),F696&lt;&gt;"",F696&lt;=TODAY()),F696+ROW()/1000000,"")</f>
        <v/>
      </c>
    </row>
    <row r="697" customFormat="false" ht="15" hidden="false" customHeight="false" outlineLevel="0" collapsed="false">
      <c r="A697" s="12"/>
      <c r="B697" s="13"/>
      <c r="C697" s="13"/>
      <c r="D697" s="14"/>
      <c r="E697" s="15"/>
      <c r="F697" s="15"/>
      <c r="G697" s="12"/>
      <c r="H697" s="16" t="str">
        <f aca="false">IF(OR(A697="",C697=""),"",IFERROR(INDEX(Aşamalar!$B$5:$B$12,MATCH(C697,Aşamalar!$A$5:$A$12,0)),0))</f>
        <v/>
      </c>
      <c r="I697" s="17" t="str">
        <f aca="false">IF(H697="","",D697*H697)</f>
        <v/>
      </c>
      <c r="J697" s="18" t="str">
        <f aca="true">IF(AND(AND(C697&lt;&gt;"Kazanıldı",C697&lt;&gt;"Kaybedildi",C697&lt;&gt;""),F697&lt;&gt;""),IF(F697&lt;TODAY(),"Gecikti",IF(F697=TODAY(),"Bugün","")),"")</f>
        <v/>
      </c>
      <c r="K697" s="18" t="str">
        <f aca="true">IF(AND(AND(C697&lt;&gt;"Kazanıldı",C697&lt;&gt;"Kaybedildi",C697&lt;&gt;""),F697&lt;&gt;"",F697&lt;=TODAY()),F697+ROW()/1000000,"")</f>
        <v/>
      </c>
    </row>
    <row r="698" customFormat="false" ht="15" hidden="false" customHeight="false" outlineLevel="0" collapsed="false">
      <c r="A698" s="12"/>
      <c r="B698" s="13"/>
      <c r="C698" s="13"/>
      <c r="D698" s="14"/>
      <c r="E698" s="15"/>
      <c r="F698" s="15"/>
      <c r="G698" s="12"/>
      <c r="H698" s="16" t="str">
        <f aca="false">IF(OR(A698="",C698=""),"",IFERROR(INDEX(Aşamalar!$B$5:$B$12,MATCH(C698,Aşamalar!$A$5:$A$12,0)),0))</f>
        <v/>
      </c>
      <c r="I698" s="17" t="str">
        <f aca="false">IF(H698="","",D698*H698)</f>
        <v/>
      </c>
      <c r="J698" s="18" t="str">
        <f aca="true">IF(AND(AND(C698&lt;&gt;"Kazanıldı",C698&lt;&gt;"Kaybedildi",C698&lt;&gt;""),F698&lt;&gt;""),IF(F698&lt;TODAY(),"Gecikti",IF(F698=TODAY(),"Bugün","")),"")</f>
        <v/>
      </c>
      <c r="K698" s="18" t="str">
        <f aca="true">IF(AND(AND(C698&lt;&gt;"Kazanıldı",C698&lt;&gt;"Kaybedildi",C698&lt;&gt;""),F698&lt;&gt;"",F698&lt;=TODAY()),F698+ROW()/1000000,"")</f>
        <v/>
      </c>
    </row>
    <row r="699" customFormat="false" ht="15" hidden="false" customHeight="false" outlineLevel="0" collapsed="false">
      <c r="A699" s="12"/>
      <c r="B699" s="13"/>
      <c r="C699" s="13"/>
      <c r="D699" s="14"/>
      <c r="E699" s="15"/>
      <c r="F699" s="15"/>
      <c r="G699" s="12"/>
      <c r="H699" s="16" t="str">
        <f aca="false">IF(OR(A699="",C699=""),"",IFERROR(INDEX(Aşamalar!$B$5:$B$12,MATCH(C699,Aşamalar!$A$5:$A$12,0)),0))</f>
        <v/>
      </c>
      <c r="I699" s="17" t="str">
        <f aca="false">IF(H699="","",D699*H699)</f>
        <v/>
      </c>
      <c r="J699" s="18" t="str">
        <f aca="true">IF(AND(AND(C699&lt;&gt;"Kazanıldı",C699&lt;&gt;"Kaybedildi",C699&lt;&gt;""),F699&lt;&gt;""),IF(F699&lt;TODAY(),"Gecikti",IF(F699=TODAY(),"Bugün","")),"")</f>
        <v/>
      </c>
      <c r="K699" s="18" t="str">
        <f aca="true">IF(AND(AND(C699&lt;&gt;"Kazanıldı",C699&lt;&gt;"Kaybedildi",C699&lt;&gt;""),F699&lt;&gt;"",F699&lt;=TODAY()),F699+ROW()/1000000,"")</f>
        <v/>
      </c>
    </row>
    <row r="700" customFormat="false" ht="15" hidden="false" customHeight="false" outlineLevel="0" collapsed="false">
      <c r="A700" s="12"/>
      <c r="B700" s="13"/>
      <c r="C700" s="13"/>
      <c r="D700" s="14"/>
      <c r="E700" s="15"/>
      <c r="F700" s="15"/>
      <c r="G700" s="12"/>
      <c r="H700" s="16" t="str">
        <f aca="false">IF(OR(A700="",C700=""),"",IFERROR(INDEX(Aşamalar!$B$5:$B$12,MATCH(C700,Aşamalar!$A$5:$A$12,0)),0))</f>
        <v/>
      </c>
      <c r="I700" s="17" t="str">
        <f aca="false">IF(H700="","",D700*H700)</f>
        <v/>
      </c>
      <c r="J700" s="18" t="str">
        <f aca="true">IF(AND(AND(C700&lt;&gt;"Kazanıldı",C700&lt;&gt;"Kaybedildi",C700&lt;&gt;""),F700&lt;&gt;""),IF(F700&lt;TODAY(),"Gecikti",IF(F700=TODAY(),"Bugün","")),"")</f>
        <v/>
      </c>
      <c r="K700" s="18" t="str">
        <f aca="true">IF(AND(AND(C700&lt;&gt;"Kazanıldı",C700&lt;&gt;"Kaybedildi",C700&lt;&gt;""),F700&lt;&gt;"",F700&lt;=TODAY()),F700+ROW()/1000000,"")</f>
        <v/>
      </c>
    </row>
    <row r="701" customFormat="false" ht="15" hidden="false" customHeight="false" outlineLevel="0" collapsed="false">
      <c r="A701" s="12"/>
      <c r="B701" s="13"/>
      <c r="C701" s="13"/>
      <c r="D701" s="14"/>
      <c r="E701" s="15"/>
      <c r="F701" s="15"/>
      <c r="G701" s="12"/>
      <c r="H701" s="16" t="str">
        <f aca="false">IF(OR(A701="",C701=""),"",IFERROR(INDEX(Aşamalar!$B$5:$B$12,MATCH(C701,Aşamalar!$A$5:$A$12,0)),0))</f>
        <v/>
      </c>
      <c r="I701" s="17" t="str">
        <f aca="false">IF(H701="","",D701*H701)</f>
        <v/>
      </c>
      <c r="J701" s="18" t="str">
        <f aca="true">IF(AND(AND(C701&lt;&gt;"Kazanıldı",C701&lt;&gt;"Kaybedildi",C701&lt;&gt;""),F701&lt;&gt;""),IF(F701&lt;TODAY(),"Gecikti",IF(F701=TODAY(),"Bugün","")),"")</f>
        <v/>
      </c>
      <c r="K701" s="18" t="str">
        <f aca="true">IF(AND(AND(C701&lt;&gt;"Kazanıldı",C701&lt;&gt;"Kaybedildi",C701&lt;&gt;""),F701&lt;&gt;"",F701&lt;=TODAY()),F701+ROW()/1000000,"")</f>
        <v/>
      </c>
    </row>
    <row r="702" customFormat="false" ht="15" hidden="false" customHeight="false" outlineLevel="0" collapsed="false">
      <c r="A702" s="12"/>
      <c r="B702" s="13"/>
      <c r="C702" s="13"/>
      <c r="D702" s="14"/>
      <c r="E702" s="15"/>
      <c r="F702" s="15"/>
      <c r="G702" s="12"/>
      <c r="H702" s="16" t="str">
        <f aca="false">IF(OR(A702="",C702=""),"",IFERROR(INDEX(Aşamalar!$B$5:$B$12,MATCH(C702,Aşamalar!$A$5:$A$12,0)),0))</f>
        <v/>
      </c>
      <c r="I702" s="17" t="str">
        <f aca="false">IF(H702="","",D702*H702)</f>
        <v/>
      </c>
      <c r="J702" s="18" t="str">
        <f aca="true">IF(AND(AND(C702&lt;&gt;"Kazanıldı",C702&lt;&gt;"Kaybedildi",C702&lt;&gt;""),F702&lt;&gt;""),IF(F702&lt;TODAY(),"Gecikti",IF(F702=TODAY(),"Bugün","")),"")</f>
        <v/>
      </c>
      <c r="K702" s="18" t="str">
        <f aca="true">IF(AND(AND(C702&lt;&gt;"Kazanıldı",C702&lt;&gt;"Kaybedildi",C702&lt;&gt;""),F702&lt;&gt;"",F702&lt;=TODAY()),F702+ROW()/1000000,"")</f>
        <v/>
      </c>
    </row>
    <row r="703" customFormat="false" ht="15" hidden="false" customHeight="false" outlineLevel="0" collapsed="false">
      <c r="A703" s="12"/>
      <c r="B703" s="13"/>
      <c r="C703" s="13"/>
      <c r="D703" s="14"/>
      <c r="E703" s="15"/>
      <c r="F703" s="15"/>
      <c r="G703" s="12"/>
      <c r="H703" s="16" t="str">
        <f aca="false">IF(OR(A703="",C703=""),"",IFERROR(INDEX(Aşamalar!$B$5:$B$12,MATCH(C703,Aşamalar!$A$5:$A$12,0)),0))</f>
        <v/>
      </c>
      <c r="I703" s="17" t="str">
        <f aca="false">IF(H703="","",D703*H703)</f>
        <v/>
      </c>
      <c r="J703" s="18" t="str">
        <f aca="true">IF(AND(AND(C703&lt;&gt;"Kazanıldı",C703&lt;&gt;"Kaybedildi",C703&lt;&gt;""),F703&lt;&gt;""),IF(F703&lt;TODAY(),"Gecikti",IF(F703=TODAY(),"Bugün","")),"")</f>
        <v/>
      </c>
      <c r="K703" s="18" t="str">
        <f aca="true">IF(AND(AND(C703&lt;&gt;"Kazanıldı",C703&lt;&gt;"Kaybedildi",C703&lt;&gt;""),F703&lt;&gt;"",F703&lt;=TODAY()),F703+ROW()/1000000,"")</f>
        <v/>
      </c>
    </row>
    <row r="704" customFormat="false" ht="15" hidden="false" customHeight="false" outlineLevel="0" collapsed="false">
      <c r="A704" s="12"/>
      <c r="B704" s="13"/>
      <c r="C704" s="13"/>
      <c r="D704" s="14"/>
      <c r="E704" s="15"/>
      <c r="F704" s="15"/>
      <c r="G704" s="12"/>
      <c r="H704" s="16" t="str">
        <f aca="false">IF(OR(A704="",C704=""),"",IFERROR(INDEX(Aşamalar!$B$5:$B$12,MATCH(C704,Aşamalar!$A$5:$A$12,0)),0))</f>
        <v/>
      </c>
      <c r="I704" s="17" t="str">
        <f aca="false">IF(H704="","",D704*H704)</f>
        <v/>
      </c>
      <c r="J704" s="18" t="str">
        <f aca="true">IF(AND(AND(C704&lt;&gt;"Kazanıldı",C704&lt;&gt;"Kaybedildi",C704&lt;&gt;""),F704&lt;&gt;""),IF(F704&lt;TODAY(),"Gecikti",IF(F704=TODAY(),"Bugün","")),"")</f>
        <v/>
      </c>
      <c r="K704" s="18" t="str">
        <f aca="true">IF(AND(AND(C704&lt;&gt;"Kazanıldı",C704&lt;&gt;"Kaybedildi",C704&lt;&gt;""),F704&lt;&gt;"",F704&lt;=TODAY()),F704+ROW()/1000000,"")</f>
        <v/>
      </c>
    </row>
    <row r="705" customFormat="false" ht="15" hidden="false" customHeight="false" outlineLevel="0" collapsed="false">
      <c r="A705" s="12"/>
      <c r="B705" s="13"/>
      <c r="C705" s="13"/>
      <c r="D705" s="14"/>
      <c r="E705" s="15"/>
      <c r="F705" s="15"/>
      <c r="G705" s="12"/>
      <c r="H705" s="16" t="str">
        <f aca="false">IF(OR(A705="",C705=""),"",IFERROR(INDEX(Aşamalar!$B$5:$B$12,MATCH(C705,Aşamalar!$A$5:$A$12,0)),0))</f>
        <v/>
      </c>
      <c r="I705" s="17" t="str">
        <f aca="false">IF(H705="","",D705*H705)</f>
        <v/>
      </c>
      <c r="J705" s="18" t="str">
        <f aca="true">IF(AND(AND(C705&lt;&gt;"Kazanıldı",C705&lt;&gt;"Kaybedildi",C705&lt;&gt;""),F705&lt;&gt;""),IF(F705&lt;TODAY(),"Gecikti",IF(F705=TODAY(),"Bugün","")),"")</f>
        <v/>
      </c>
      <c r="K705" s="18" t="str">
        <f aca="true">IF(AND(AND(C705&lt;&gt;"Kazanıldı",C705&lt;&gt;"Kaybedildi",C705&lt;&gt;""),F705&lt;&gt;"",F705&lt;=TODAY()),F705+ROW()/1000000,"")</f>
        <v/>
      </c>
    </row>
    <row r="706" customFormat="false" ht="15" hidden="false" customHeight="false" outlineLevel="0" collapsed="false">
      <c r="A706" s="12"/>
      <c r="B706" s="13"/>
      <c r="C706" s="13"/>
      <c r="D706" s="14"/>
      <c r="E706" s="15"/>
      <c r="F706" s="15"/>
      <c r="G706" s="12"/>
      <c r="H706" s="16" t="str">
        <f aca="false">IF(OR(A706="",C706=""),"",IFERROR(INDEX(Aşamalar!$B$5:$B$12,MATCH(C706,Aşamalar!$A$5:$A$12,0)),0))</f>
        <v/>
      </c>
      <c r="I706" s="17" t="str">
        <f aca="false">IF(H706="","",D706*H706)</f>
        <v/>
      </c>
      <c r="J706" s="18" t="str">
        <f aca="true">IF(AND(AND(C706&lt;&gt;"Kazanıldı",C706&lt;&gt;"Kaybedildi",C706&lt;&gt;""),F706&lt;&gt;""),IF(F706&lt;TODAY(),"Gecikti",IF(F706=TODAY(),"Bugün","")),"")</f>
        <v/>
      </c>
      <c r="K706" s="18" t="str">
        <f aca="true">IF(AND(AND(C706&lt;&gt;"Kazanıldı",C706&lt;&gt;"Kaybedildi",C706&lt;&gt;""),F706&lt;&gt;"",F706&lt;=TODAY()),F706+ROW()/1000000,"")</f>
        <v/>
      </c>
    </row>
    <row r="707" customFormat="false" ht="15" hidden="false" customHeight="false" outlineLevel="0" collapsed="false">
      <c r="A707" s="12"/>
      <c r="B707" s="13"/>
      <c r="C707" s="13"/>
      <c r="D707" s="14"/>
      <c r="E707" s="15"/>
      <c r="F707" s="15"/>
      <c r="G707" s="12"/>
      <c r="H707" s="16" t="str">
        <f aca="false">IF(OR(A707="",C707=""),"",IFERROR(INDEX(Aşamalar!$B$5:$B$12,MATCH(C707,Aşamalar!$A$5:$A$12,0)),0))</f>
        <v/>
      </c>
      <c r="I707" s="17" t="str">
        <f aca="false">IF(H707="","",D707*H707)</f>
        <v/>
      </c>
      <c r="J707" s="18" t="str">
        <f aca="true">IF(AND(AND(C707&lt;&gt;"Kazanıldı",C707&lt;&gt;"Kaybedildi",C707&lt;&gt;""),F707&lt;&gt;""),IF(F707&lt;TODAY(),"Gecikti",IF(F707=TODAY(),"Bugün","")),"")</f>
        <v/>
      </c>
      <c r="K707" s="18" t="str">
        <f aca="true">IF(AND(AND(C707&lt;&gt;"Kazanıldı",C707&lt;&gt;"Kaybedildi",C707&lt;&gt;""),F707&lt;&gt;"",F707&lt;=TODAY()),F707+ROW()/1000000,"")</f>
        <v/>
      </c>
    </row>
    <row r="708" customFormat="false" ht="15" hidden="false" customHeight="false" outlineLevel="0" collapsed="false">
      <c r="A708" s="12"/>
      <c r="B708" s="13"/>
      <c r="C708" s="13"/>
      <c r="D708" s="14"/>
      <c r="E708" s="15"/>
      <c r="F708" s="15"/>
      <c r="G708" s="12"/>
      <c r="H708" s="16" t="str">
        <f aca="false">IF(OR(A708="",C708=""),"",IFERROR(INDEX(Aşamalar!$B$5:$B$12,MATCH(C708,Aşamalar!$A$5:$A$12,0)),0))</f>
        <v/>
      </c>
      <c r="I708" s="17" t="str">
        <f aca="false">IF(H708="","",D708*H708)</f>
        <v/>
      </c>
      <c r="J708" s="18" t="str">
        <f aca="true">IF(AND(AND(C708&lt;&gt;"Kazanıldı",C708&lt;&gt;"Kaybedildi",C708&lt;&gt;""),F708&lt;&gt;""),IF(F708&lt;TODAY(),"Gecikti",IF(F708=TODAY(),"Bugün","")),"")</f>
        <v/>
      </c>
      <c r="K708" s="18" t="str">
        <f aca="true">IF(AND(AND(C708&lt;&gt;"Kazanıldı",C708&lt;&gt;"Kaybedildi",C708&lt;&gt;""),F708&lt;&gt;"",F708&lt;=TODAY()),F708+ROW()/1000000,"")</f>
        <v/>
      </c>
    </row>
    <row r="709" customFormat="false" ht="15" hidden="false" customHeight="false" outlineLevel="0" collapsed="false">
      <c r="A709" s="12"/>
      <c r="B709" s="13"/>
      <c r="C709" s="13"/>
      <c r="D709" s="14"/>
      <c r="E709" s="15"/>
      <c r="F709" s="15"/>
      <c r="G709" s="12"/>
      <c r="H709" s="16" t="str">
        <f aca="false">IF(OR(A709="",C709=""),"",IFERROR(INDEX(Aşamalar!$B$5:$B$12,MATCH(C709,Aşamalar!$A$5:$A$12,0)),0))</f>
        <v/>
      </c>
      <c r="I709" s="17" t="str">
        <f aca="false">IF(H709="","",D709*H709)</f>
        <v/>
      </c>
      <c r="J709" s="18" t="str">
        <f aca="true">IF(AND(AND(C709&lt;&gt;"Kazanıldı",C709&lt;&gt;"Kaybedildi",C709&lt;&gt;""),F709&lt;&gt;""),IF(F709&lt;TODAY(),"Gecikti",IF(F709=TODAY(),"Bugün","")),"")</f>
        <v/>
      </c>
      <c r="K709" s="18" t="str">
        <f aca="true">IF(AND(AND(C709&lt;&gt;"Kazanıldı",C709&lt;&gt;"Kaybedildi",C709&lt;&gt;""),F709&lt;&gt;"",F709&lt;=TODAY()),F709+ROW()/1000000,"")</f>
        <v/>
      </c>
    </row>
    <row r="710" customFormat="false" ht="15" hidden="false" customHeight="false" outlineLevel="0" collapsed="false">
      <c r="A710" s="12"/>
      <c r="B710" s="13"/>
      <c r="C710" s="13"/>
      <c r="D710" s="14"/>
      <c r="E710" s="15"/>
      <c r="F710" s="15"/>
      <c r="G710" s="12"/>
      <c r="H710" s="16" t="str">
        <f aca="false">IF(OR(A710="",C710=""),"",IFERROR(INDEX(Aşamalar!$B$5:$B$12,MATCH(C710,Aşamalar!$A$5:$A$12,0)),0))</f>
        <v/>
      </c>
      <c r="I710" s="17" t="str">
        <f aca="false">IF(H710="","",D710*H710)</f>
        <v/>
      </c>
      <c r="J710" s="18" t="str">
        <f aca="true">IF(AND(AND(C710&lt;&gt;"Kazanıldı",C710&lt;&gt;"Kaybedildi",C710&lt;&gt;""),F710&lt;&gt;""),IF(F710&lt;TODAY(),"Gecikti",IF(F710=TODAY(),"Bugün","")),"")</f>
        <v/>
      </c>
      <c r="K710" s="18" t="str">
        <f aca="true">IF(AND(AND(C710&lt;&gt;"Kazanıldı",C710&lt;&gt;"Kaybedildi",C710&lt;&gt;""),F710&lt;&gt;"",F710&lt;=TODAY()),F710+ROW()/1000000,"")</f>
        <v/>
      </c>
    </row>
    <row r="711" customFormat="false" ht="15" hidden="false" customHeight="false" outlineLevel="0" collapsed="false">
      <c r="A711" s="12"/>
      <c r="B711" s="13"/>
      <c r="C711" s="13"/>
      <c r="D711" s="14"/>
      <c r="E711" s="15"/>
      <c r="F711" s="15"/>
      <c r="G711" s="12"/>
      <c r="H711" s="16" t="str">
        <f aca="false">IF(OR(A711="",C711=""),"",IFERROR(INDEX(Aşamalar!$B$5:$B$12,MATCH(C711,Aşamalar!$A$5:$A$12,0)),0))</f>
        <v/>
      </c>
      <c r="I711" s="17" t="str">
        <f aca="false">IF(H711="","",D711*H711)</f>
        <v/>
      </c>
      <c r="J711" s="18" t="str">
        <f aca="true">IF(AND(AND(C711&lt;&gt;"Kazanıldı",C711&lt;&gt;"Kaybedildi",C711&lt;&gt;""),F711&lt;&gt;""),IF(F711&lt;TODAY(),"Gecikti",IF(F711=TODAY(),"Bugün","")),"")</f>
        <v/>
      </c>
      <c r="K711" s="18" t="str">
        <f aca="true">IF(AND(AND(C711&lt;&gt;"Kazanıldı",C711&lt;&gt;"Kaybedildi",C711&lt;&gt;""),F711&lt;&gt;"",F711&lt;=TODAY()),F711+ROW()/1000000,"")</f>
        <v/>
      </c>
    </row>
    <row r="712" customFormat="false" ht="15" hidden="false" customHeight="false" outlineLevel="0" collapsed="false">
      <c r="A712" s="12"/>
      <c r="B712" s="13"/>
      <c r="C712" s="13"/>
      <c r="D712" s="14"/>
      <c r="E712" s="15"/>
      <c r="F712" s="15"/>
      <c r="G712" s="12"/>
      <c r="H712" s="16" t="str">
        <f aca="false">IF(OR(A712="",C712=""),"",IFERROR(INDEX(Aşamalar!$B$5:$B$12,MATCH(C712,Aşamalar!$A$5:$A$12,0)),0))</f>
        <v/>
      </c>
      <c r="I712" s="17" t="str">
        <f aca="false">IF(H712="","",D712*H712)</f>
        <v/>
      </c>
      <c r="J712" s="18" t="str">
        <f aca="true">IF(AND(AND(C712&lt;&gt;"Kazanıldı",C712&lt;&gt;"Kaybedildi",C712&lt;&gt;""),F712&lt;&gt;""),IF(F712&lt;TODAY(),"Gecikti",IF(F712=TODAY(),"Bugün","")),"")</f>
        <v/>
      </c>
      <c r="K712" s="18" t="str">
        <f aca="true">IF(AND(AND(C712&lt;&gt;"Kazanıldı",C712&lt;&gt;"Kaybedildi",C712&lt;&gt;""),F712&lt;&gt;"",F712&lt;=TODAY()),F712+ROW()/1000000,"")</f>
        <v/>
      </c>
    </row>
    <row r="713" customFormat="false" ht="15" hidden="false" customHeight="false" outlineLevel="0" collapsed="false">
      <c r="A713" s="12"/>
      <c r="B713" s="13"/>
      <c r="C713" s="13"/>
      <c r="D713" s="14"/>
      <c r="E713" s="15"/>
      <c r="F713" s="15"/>
      <c r="G713" s="12"/>
      <c r="H713" s="16" t="str">
        <f aca="false">IF(OR(A713="",C713=""),"",IFERROR(INDEX(Aşamalar!$B$5:$B$12,MATCH(C713,Aşamalar!$A$5:$A$12,0)),0))</f>
        <v/>
      </c>
      <c r="I713" s="17" t="str">
        <f aca="false">IF(H713="","",D713*H713)</f>
        <v/>
      </c>
      <c r="J713" s="18" t="str">
        <f aca="true">IF(AND(AND(C713&lt;&gt;"Kazanıldı",C713&lt;&gt;"Kaybedildi",C713&lt;&gt;""),F713&lt;&gt;""),IF(F713&lt;TODAY(),"Gecikti",IF(F713=TODAY(),"Bugün","")),"")</f>
        <v/>
      </c>
      <c r="K713" s="18" t="str">
        <f aca="true">IF(AND(AND(C713&lt;&gt;"Kazanıldı",C713&lt;&gt;"Kaybedildi",C713&lt;&gt;""),F713&lt;&gt;"",F713&lt;=TODAY()),F713+ROW()/1000000,"")</f>
        <v/>
      </c>
    </row>
    <row r="714" customFormat="false" ht="15" hidden="false" customHeight="false" outlineLevel="0" collapsed="false">
      <c r="A714" s="12"/>
      <c r="B714" s="13"/>
      <c r="C714" s="13"/>
      <c r="D714" s="14"/>
      <c r="E714" s="15"/>
      <c r="F714" s="15"/>
      <c r="G714" s="12"/>
      <c r="H714" s="16" t="str">
        <f aca="false">IF(OR(A714="",C714=""),"",IFERROR(INDEX(Aşamalar!$B$5:$B$12,MATCH(C714,Aşamalar!$A$5:$A$12,0)),0))</f>
        <v/>
      </c>
      <c r="I714" s="17" t="str">
        <f aca="false">IF(H714="","",D714*H714)</f>
        <v/>
      </c>
      <c r="J714" s="18" t="str">
        <f aca="true">IF(AND(AND(C714&lt;&gt;"Kazanıldı",C714&lt;&gt;"Kaybedildi",C714&lt;&gt;""),F714&lt;&gt;""),IF(F714&lt;TODAY(),"Gecikti",IF(F714=TODAY(),"Bugün","")),"")</f>
        <v/>
      </c>
      <c r="K714" s="18" t="str">
        <f aca="true">IF(AND(AND(C714&lt;&gt;"Kazanıldı",C714&lt;&gt;"Kaybedildi",C714&lt;&gt;""),F714&lt;&gt;"",F714&lt;=TODAY()),F714+ROW()/1000000,"")</f>
        <v/>
      </c>
    </row>
    <row r="715" customFormat="false" ht="15" hidden="false" customHeight="false" outlineLevel="0" collapsed="false">
      <c r="A715" s="12"/>
      <c r="B715" s="13"/>
      <c r="C715" s="13"/>
      <c r="D715" s="14"/>
      <c r="E715" s="15"/>
      <c r="F715" s="15"/>
      <c r="G715" s="12"/>
      <c r="H715" s="16" t="str">
        <f aca="false">IF(OR(A715="",C715=""),"",IFERROR(INDEX(Aşamalar!$B$5:$B$12,MATCH(C715,Aşamalar!$A$5:$A$12,0)),0))</f>
        <v/>
      </c>
      <c r="I715" s="17" t="str">
        <f aca="false">IF(H715="","",D715*H715)</f>
        <v/>
      </c>
      <c r="J715" s="18" t="str">
        <f aca="true">IF(AND(AND(C715&lt;&gt;"Kazanıldı",C715&lt;&gt;"Kaybedildi",C715&lt;&gt;""),F715&lt;&gt;""),IF(F715&lt;TODAY(),"Gecikti",IF(F715=TODAY(),"Bugün","")),"")</f>
        <v/>
      </c>
      <c r="K715" s="18" t="str">
        <f aca="true">IF(AND(AND(C715&lt;&gt;"Kazanıldı",C715&lt;&gt;"Kaybedildi",C715&lt;&gt;""),F715&lt;&gt;"",F715&lt;=TODAY()),F715+ROW()/1000000,"")</f>
        <v/>
      </c>
    </row>
    <row r="716" customFormat="false" ht="15" hidden="false" customHeight="false" outlineLevel="0" collapsed="false">
      <c r="A716" s="12"/>
      <c r="B716" s="13"/>
      <c r="C716" s="13"/>
      <c r="D716" s="14"/>
      <c r="E716" s="15"/>
      <c r="F716" s="15"/>
      <c r="G716" s="12"/>
      <c r="H716" s="16" t="str">
        <f aca="false">IF(OR(A716="",C716=""),"",IFERROR(INDEX(Aşamalar!$B$5:$B$12,MATCH(C716,Aşamalar!$A$5:$A$12,0)),0))</f>
        <v/>
      </c>
      <c r="I716" s="17" t="str">
        <f aca="false">IF(H716="","",D716*H716)</f>
        <v/>
      </c>
      <c r="J716" s="18" t="str">
        <f aca="true">IF(AND(AND(C716&lt;&gt;"Kazanıldı",C716&lt;&gt;"Kaybedildi",C716&lt;&gt;""),F716&lt;&gt;""),IF(F716&lt;TODAY(),"Gecikti",IF(F716=TODAY(),"Bugün","")),"")</f>
        <v/>
      </c>
      <c r="K716" s="18" t="str">
        <f aca="true">IF(AND(AND(C716&lt;&gt;"Kazanıldı",C716&lt;&gt;"Kaybedildi",C716&lt;&gt;""),F716&lt;&gt;"",F716&lt;=TODAY()),F716+ROW()/1000000,"")</f>
        <v/>
      </c>
    </row>
    <row r="717" customFormat="false" ht="15" hidden="false" customHeight="false" outlineLevel="0" collapsed="false">
      <c r="A717" s="12"/>
      <c r="B717" s="13"/>
      <c r="C717" s="13"/>
      <c r="D717" s="14"/>
      <c r="E717" s="15"/>
      <c r="F717" s="15"/>
      <c r="G717" s="12"/>
      <c r="H717" s="16" t="str">
        <f aca="false">IF(OR(A717="",C717=""),"",IFERROR(INDEX(Aşamalar!$B$5:$B$12,MATCH(C717,Aşamalar!$A$5:$A$12,0)),0))</f>
        <v/>
      </c>
      <c r="I717" s="17" t="str">
        <f aca="false">IF(H717="","",D717*H717)</f>
        <v/>
      </c>
      <c r="J717" s="18" t="str">
        <f aca="true">IF(AND(AND(C717&lt;&gt;"Kazanıldı",C717&lt;&gt;"Kaybedildi",C717&lt;&gt;""),F717&lt;&gt;""),IF(F717&lt;TODAY(),"Gecikti",IF(F717=TODAY(),"Bugün","")),"")</f>
        <v/>
      </c>
      <c r="K717" s="18" t="str">
        <f aca="true">IF(AND(AND(C717&lt;&gt;"Kazanıldı",C717&lt;&gt;"Kaybedildi",C717&lt;&gt;""),F717&lt;&gt;"",F717&lt;=TODAY()),F717+ROW()/1000000,"")</f>
        <v/>
      </c>
    </row>
    <row r="718" customFormat="false" ht="15" hidden="false" customHeight="false" outlineLevel="0" collapsed="false">
      <c r="A718" s="12"/>
      <c r="B718" s="13"/>
      <c r="C718" s="13"/>
      <c r="D718" s="14"/>
      <c r="E718" s="15"/>
      <c r="F718" s="15"/>
      <c r="G718" s="12"/>
      <c r="H718" s="16" t="str">
        <f aca="false">IF(OR(A718="",C718=""),"",IFERROR(INDEX(Aşamalar!$B$5:$B$12,MATCH(C718,Aşamalar!$A$5:$A$12,0)),0))</f>
        <v/>
      </c>
      <c r="I718" s="17" t="str">
        <f aca="false">IF(H718="","",D718*H718)</f>
        <v/>
      </c>
      <c r="J718" s="18" t="str">
        <f aca="true">IF(AND(AND(C718&lt;&gt;"Kazanıldı",C718&lt;&gt;"Kaybedildi",C718&lt;&gt;""),F718&lt;&gt;""),IF(F718&lt;TODAY(),"Gecikti",IF(F718=TODAY(),"Bugün","")),"")</f>
        <v/>
      </c>
      <c r="K718" s="18" t="str">
        <f aca="true">IF(AND(AND(C718&lt;&gt;"Kazanıldı",C718&lt;&gt;"Kaybedildi",C718&lt;&gt;""),F718&lt;&gt;"",F718&lt;=TODAY()),F718+ROW()/1000000,"")</f>
        <v/>
      </c>
    </row>
    <row r="719" customFormat="false" ht="15" hidden="false" customHeight="false" outlineLevel="0" collapsed="false">
      <c r="A719" s="12"/>
      <c r="B719" s="13"/>
      <c r="C719" s="13"/>
      <c r="D719" s="14"/>
      <c r="E719" s="15"/>
      <c r="F719" s="15"/>
      <c r="G719" s="12"/>
      <c r="H719" s="16" t="str">
        <f aca="false">IF(OR(A719="",C719=""),"",IFERROR(INDEX(Aşamalar!$B$5:$B$12,MATCH(C719,Aşamalar!$A$5:$A$12,0)),0))</f>
        <v/>
      </c>
      <c r="I719" s="17" t="str">
        <f aca="false">IF(H719="","",D719*H719)</f>
        <v/>
      </c>
      <c r="J719" s="18" t="str">
        <f aca="true">IF(AND(AND(C719&lt;&gt;"Kazanıldı",C719&lt;&gt;"Kaybedildi",C719&lt;&gt;""),F719&lt;&gt;""),IF(F719&lt;TODAY(),"Gecikti",IF(F719=TODAY(),"Bugün","")),"")</f>
        <v/>
      </c>
      <c r="K719" s="18" t="str">
        <f aca="true">IF(AND(AND(C719&lt;&gt;"Kazanıldı",C719&lt;&gt;"Kaybedildi",C719&lt;&gt;""),F719&lt;&gt;"",F719&lt;=TODAY()),F719+ROW()/1000000,"")</f>
        <v/>
      </c>
    </row>
    <row r="720" customFormat="false" ht="15" hidden="false" customHeight="false" outlineLevel="0" collapsed="false">
      <c r="A720" s="12"/>
      <c r="B720" s="13"/>
      <c r="C720" s="13"/>
      <c r="D720" s="14"/>
      <c r="E720" s="15"/>
      <c r="F720" s="15"/>
      <c r="G720" s="12"/>
      <c r="H720" s="16" t="str">
        <f aca="false">IF(OR(A720="",C720=""),"",IFERROR(INDEX(Aşamalar!$B$5:$B$12,MATCH(C720,Aşamalar!$A$5:$A$12,0)),0))</f>
        <v/>
      </c>
      <c r="I720" s="17" t="str">
        <f aca="false">IF(H720="","",D720*H720)</f>
        <v/>
      </c>
      <c r="J720" s="18" t="str">
        <f aca="true">IF(AND(AND(C720&lt;&gt;"Kazanıldı",C720&lt;&gt;"Kaybedildi",C720&lt;&gt;""),F720&lt;&gt;""),IF(F720&lt;TODAY(),"Gecikti",IF(F720=TODAY(),"Bugün","")),"")</f>
        <v/>
      </c>
      <c r="K720" s="18" t="str">
        <f aca="true">IF(AND(AND(C720&lt;&gt;"Kazanıldı",C720&lt;&gt;"Kaybedildi",C720&lt;&gt;""),F720&lt;&gt;"",F720&lt;=TODAY()),F720+ROW()/1000000,"")</f>
        <v/>
      </c>
    </row>
    <row r="721" customFormat="false" ht="15" hidden="false" customHeight="false" outlineLevel="0" collapsed="false">
      <c r="A721" s="12"/>
      <c r="B721" s="13"/>
      <c r="C721" s="13"/>
      <c r="D721" s="14"/>
      <c r="E721" s="15"/>
      <c r="F721" s="15"/>
      <c r="G721" s="12"/>
      <c r="H721" s="16" t="str">
        <f aca="false">IF(OR(A721="",C721=""),"",IFERROR(INDEX(Aşamalar!$B$5:$B$12,MATCH(C721,Aşamalar!$A$5:$A$12,0)),0))</f>
        <v/>
      </c>
      <c r="I721" s="17" t="str">
        <f aca="false">IF(H721="","",D721*H721)</f>
        <v/>
      </c>
      <c r="J721" s="18" t="str">
        <f aca="true">IF(AND(AND(C721&lt;&gt;"Kazanıldı",C721&lt;&gt;"Kaybedildi",C721&lt;&gt;""),F721&lt;&gt;""),IF(F721&lt;TODAY(),"Gecikti",IF(F721=TODAY(),"Bugün","")),"")</f>
        <v/>
      </c>
      <c r="K721" s="18" t="str">
        <f aca="true">IF(AND(AND(C721&lt;&gt;"Kazanıldı",C721&lt;&gt;"Kaybedildi",C721&lt;&gt;""),F721&lt;&gt;"",F721&lt;=TODAY()),F721+ROW()/1000000,"")</f>
        <v/>
      </c>
    </row>
    <row r="722" customFormat="false" ht="15" hidden="false" customHeight="false" outlineLevel="0" collapsed="false">
      <c r="A722" s="12"/>
      <c r="B722" s="13"/>
      <c r="C722" s="13"/>
      <c r="D722" s="14"/>
      <c r="E722" s="15"/>
      <c r="F722" s="15"/>
      <c r="G722" s="12"/>
      <c r="H722" s="16" t="str">
        <f aca="false">IF(OR(A722="",C722=""),"",IFERROR(INDEX(Aşamalar!$B$5:$B$12,MATCH(C722,Aşamalar!$A$5:$A$12,0)),0))</f>
        <v/>
      </c>
      <c r="I722" s="17" t="str">
        <f aca="false">IF(H722="","",D722*H722)</f>
        <v/>
      </c>
      <c r="J722" s="18" t="str">
        <f aca="true">IF(AND(AND(C722&lt;&gt;"Kazanıldı",C722&lt;&gt;"Kaybedildi",C722&lt;&gt;""),F722&lt;&gt;""),IF(F722&lt;TODAY(),"Gecikti",IF(F722=TODAY(),"Bugün","")),"")</f>
        <v/>
      </c>
      <c r="K722" s="18" t="str">
        <f aca="true">IF(AND(AND(C722&lt;&gt;"Kazanıldı",C722&lt;&gt;"Kaybedildi",C722&lt;&gt;""),F722&lt;&gt;"",F722&lt;=TODAY()),F722+ROW()/1000000,"")</f>
        <v/>
      </c>
    </row>
    <row r="723" customFormat="false" ht="15" hidden="false" customHeight="false" outlineLevel="0" collapsed="false">
      <c r="A723" s="12"/>
      <c r="B723" s="13"/>
      <c r="C723" s="13"/>
      <c r="D723" s="14"/>
      <c r="E723" s="15"/>
      <c r="F723" s="15"/>
      <c r="G723" s="12"/>
      <c r="H723" s="16" t="str">
        <f aca="false">IF(OR(A723="",C723=""),"",IFERROR(INDEX(Aşamalar!$B$5:$B$12,MATCH(C723,Aşamalar!$A$5:$A$12,0)),0))</f>
        <v/>
      </c>
      <c r="I723" s="17" t="str">
        <f aca="false">IF(H723="","",D723*H723)</f>
        <v/>
      </c>
      <c r="J723" s="18" t="str">
        <f aca="true">IF(AND(AND(C723&lt;&gt;"Kazanıldı",C723&lt;&gt;"Kaybedildi",C723&lt;&gt;""),F723&lt;&gt;""),IF(F723&lt;TODAY(),"Gecikti",IF(F723=TODAY(),"Bugün","")),"")</f>
        <v/>
      </c>
      <c r="K723" s="18" t="str">
        <f aca="true">IF(AND(AND(C723&lt;&gt;"Kazanıldı",C723&lt;&gt;"Kaybedildi",C723&lt;&gt;""),F723&lt;&gt;"",F723&lt;=TODAY()),F723+ROW()/1000000,"")</f>
        <v/>
      </c>
    </row>
    <row r="724" customFormat="false" ht="15" hidden="false" customHeight="false" outlineLevel="0" collapsed="false">
      <c r="A724" s="12"/>
      <c r="B724" s="13"/>
      <c r="C724" s="13"/>
      <c r="D724" s="14"/>
      <c r="E724" s="15"/>
      <c r="F724" s="15"/>
      <c r="G724" s="12"/>
      <c r="H724" s="16" t="str">
        <f aca="false">IF(OR(A724="",C724=""),"",IFERROR(INDEX(Aşamalar!$B$5:$B$12,MATCH(C724,Aşamalar!$A$5:$A$12,0)),0))</f>
        <v/>
      </c>
      <c r="I724" s="17" t="str">
        <f aca="false">IF(H724="","",D724*H724)</f>
        <v/>
      </c>
      <c r="J724" s="18" t="str">
        <f aca="true">IF(AND(AND(C724&lt;&gt;"Kazanıldı",C724&lt;&gt;"Kaybedildi",C724&lt;&gt;""),F724&lt;&gt;""),IF(F724&lt;TODAY(),"Gecikti",IF(F724=TODAY(),"Bugün","")),"")</f>
        <v/>
      </c>
      <c r="K724" s="18" t="str">
        <f aca="true">IF(AND(AND(C724&lt;&gt;"Kazanıldı",C724&lt;&gt;"Kaybedildi",C724&lt;&gt;""),F724&lt;&gt;"",F724&lt;=TODAY()),F724+ROW()/1000000,"")</f>
        <v/>
      </c>
    </row>
    <row r="725" customFormat="false" ht="15" hidden="false" customHeight="false" outlineLevel="0" collapsed="false">
      <c r="A725" s="12"/>
      <c r="B725" s="13"/>
      <c r="C725" s="13"/>
      <c r="D725" s="14"/>
      <c r="E725" s="15"/>
      <c r="F725" s="15"/>
      <c r="G725" s="12"/>
      <c r="H725" s="16" t="str">
        <f aca="false">IF(OR(A725="",C725=""),"",IFERROR(INDEX(Aşamalar!$B$5:$B$12,MATCH(C725,Aşamalar!$A$5:$A$12,0)),0))</f>
        <v/>
      </c>
      <c r="I725" s="17" t="str">
        <f aca="false">IF(H725="","",D725*H725)</f>
        <v/>
      </c>
      <c r="J725" s="18" t="str">
        <f aca="true">IF(AND(AND(C725&lt;&gt;"Kazanıldı",C725&lt;&gt;"Kaybedildi",C725&lt;&gt;""),F725&lt;&gt;""),IF(F725&lt;TODAY(),"Gecikti",IF(F725=TODAY(),"Bugün","")),"")</f>
        <v/>
      </c>
      <c r="K725" s="18" t="str">
        <f aca="true">IF(AND(AND(C725&lt;&gt;"Kazanıldı",C725&lt;&gt;"Kaybedildi",C725&lt;&gt;""),F725&lt;&gt;"",F725&lt;=TODAY()),F725+ROW()/1000000,"")</f>
        <v/>
      </c>
    </row>
    <row r="726" customFormat="false" ht="15" hidden="false" customHeight="false" outlineLevel="0" collapsed="false">
      <c r="A726" s="12"/>
      <c r="B726" s="13"/>
      <c r="C726" s="13"/>
      <c r="D726" s="14"/>
      <c r="E726" s="15"/>
      <c r="F726" s="15"/>
      <c r="G726" s="12"/>
      <c r="H726" s="16" t="str">
        <f aca="false">IF(OR(A726="",C726=""),"",IFERROR(INDEX(Aşamalar!$B$5:$B$12,MATCH(C726,Aşamalar!$A$5:$A$12,0)),0))</f>
        <v/>
      </c>
      <c r="I726" s="17" t="str">
        <f aca="false">IF(H726="","",D726*H726)</f>
        <v/>
      </c>
      <c r="J726" s="18" t="str">
        <f aca="true">IF(AND(AND(C726&lt;&gt;"Kazanıldı",C726&lt;&gt;"Kaybedildi",C726&lt;&gt;""),F726&lt;&gt;""),IF(F726&lt;TODAY(),"Gecikti",IF(F726=TODAY(),"Bugün","")),"")</f>
        <v/>
      </c>
      <c r="K726" s="18" t="str">
        <f aca="true">IF(AND(AND(C726&lt;&gt;"Kazanıldı",C726&lt;&gt;"Kaybedildi",C726&lt;&gt;""),F726&lt;&gt;"",F726&lt;=TODAY()),F726+ROW()/1000000,"")</f>
        <v/>
      </c>
    </row>
    <row r="727" customFormat="false" ht="15" hidden="false" customHeight="false" outlineLevel="0" collapsed="false">
      <c r="A727" s="12"/>
      <c r="B727" s="13"/>
      <c r="C727" s="13"/>
      <c r="D727" s="14"/>
      <c r="E727" s="15"/>
      <c r="F727" s="15"/>
      <c r="G727" s="12"/>
      <c r="H727" s="16" t="str">
        <f aca="false">IF(OR(A727="",C727=""),"",IFERROR(INDEX(Aşamalar!$B$5:$B$12,MATCH(C727,Aşamalar!$A$5:$A$12,0)),0))</f>
        <v/>
      </c>
      <c r="I727" s="17" t="str">
        <f aca="false">IF(H727="","",D727*H727)</f>
        <v/>
      </c>
      <c r="J727" s="18" t="str">
        <f aca="true">IF(AND(AND(C727&lt;&gt;"Kazanıldı",C727&lt;&gt;"Kaybedildi",C727&lt;&gt;""),F727&lt;&gt;""),IF(F727&lt;TODAY(),"Gecikti",IF(F727=TODAY(),"Bugün","")),"")</f>
        <v/>
      </c>
      <c r="K727" s="18" t="str">
        <f aca="true">IF(AND(AND(C727&lt;&gt;"Kazanıldı",C727&lt;&gt;"Kaybedildi",C727&lt;&gt;""),F727&lt;&gt;"",F727&lt;=TODAY()),F727+ROW()/1000000,"")</f>
        <v/>
      </c>
    </row>
    <row r="728" customFormat="false" ht="15" hidden="false" customHeight="false" outlineLevel="0" collapsed="false">
      <c r="A728" s="12"/>
      <c r="B728" s="13"/>
      <c r="C728" s="13"/>
      <c r="D728" s="14"/>
      <c r="E728" s="15"/>
      <c r="F728" s="15"/>
      <c r="G728" s="12"/>
      <c r="H728" s="16" t="str">
        <f aca="false">IF(OR(A728="",C728=""),"",IFERROR(INDEX(Aşamalar!$B$5:$B$12,MATCH(C728,Aşamalar!$A$5:$A$12,0)),0))</f>
        <v/>
      </c>
      <c r="I728" s="17" t="str">
        <f aca="false">IF(H728="","",D728*H728)</f>
        <v/>
      </c>
      <c r="J728" s="18" t="str">
        <f aca="true">IF(AND(AND(C728&lt;&gt;"Kazanıldı",C728&lt;&gt;"Kaybedildi",C728&lt;&gt;""),F728&lt;&gt;""),IF(F728&lt;TODAY(),"Gecikti",IF(F728=TODAY(),"Bugün","")),"")</f>
        <v/>
      </c>
      <c r="K728" s="18" t="str">
        <f aca="true">IF(AND(AND(C728&lt;&gt;"Kazanıldı",C728&lt;&gt;"Kaybedildi",C728&lt;&gt;""),F728&lt;&gt;"",F728&lt;=TODAY()),F728+ROW()/1000000,"")</f>
        <v/>
      </c>
    </row>
    <row r="729" customFormat="false" ht="15" hidden="false" customHeight="false" outlineLevel="0" collapsed="false">
      <c r="A729" s="12"/>
      <c r="B729" s="13"/>
      <c r="C729" s="13"/>
      <c r="D729" s="14"/>
      <c r="E729" s="15"/>
      <c r="F729" s="15"/>
      <c r="G729" s="12"/>
      <c r="H729" s="16" t="str">
        <f aca="false">IF(OR(A729="",C729=""),"",IFERROR(INDEX(Aşamalar!$B$5:$B$12,MATCH(C729,Aşamalar!$A$5:$A$12,0)),0))</f>
        <v/>
      </c>
      <c r="I729" s="17" t="str">
        <f aca="false">IF(H729="","",D729*H729)</f>
        <v/>
      </c>
      <c r="J729" s="18" t="str">
        <f aca="true">IF(AND(AND(C729&lt;&gt;"Kazanıldı",C729&lt;&gt;"Kaybedildi",C729&lt;&gt;""),F729&lt;&gt;""),IF(F729&lt;TODAY(),"Gecikti",IF(F729=TODAY(),"Bugün","")),"")</f>
        <v/>
      </c>
      <c r="K729" s="18" t="str">
        <f aca="true">IF(AND(AND(C729&lt;&gt;"Kazanıldı",C729&lt;&gt;"Kaybedildi",C729&lt;&gt;""),F729&lt;&gt;"",F729&lt;=TODAY()),F729+ROW()/1000000,"")</f>
        <v/>
      </c>
    </row>
    <row r="730" customFormat="false" ht="15" hidden="false" customHeight="false" outlineLevel="0" collapsed="false">
      <c r="A730" s="12"/>
      <c r="B730" s="13"/>
      <c r="C730" s="13"/>
      <c r="D730" s="14"/>
      <c r="E730" s="15"/>
      <c r="F730" s="15"/>
      <c r="G730" s="12"/>
      <c r="H730" s="16" t="str">
        <f aca="false">IF(OR(A730="",C730=""),"",IFERROR(INDEX(Aşamalar!$B$5:$B$12,MATCH(C730,Aşamalar!$A$5:$A$12,0)),0))</f>
        <v/>
      </c>
      <c r="I730" s="17" t="str">
        <f aca="false">IF(H730="","",D730*H730)</f>
        <v/>
      </c>
      <c r="J730" s="18" t="str">
        <f aca="true">IF(AND(AND(C730&lt;&gt;"Kazanıldı",C730&lt;&gt;"Kaybedildi",C730&lt;&gt;""),F730&lt;&gt;""),IF(F730&lt;TODAY(),"Gecikti",IF(F730=TODAY(),"Bugün","")),"")</f>
        <v/>
      </c>
      <c r="K730" s="18" t="str">
        <f aca="true">IF(AND(AND(C730&lt;&gt;"Kazanıldı",C730&lt;&gt;"Kaybedildi",C730&lt;&gt;""),F730&lt;&gt;"",F730&lt;=TODAY()),F730+ROW()/1000000,"")</f>
        <v/>
      </c>
    </row>
    <row r="731" customFormat="false" ht="15" hidden="false" customHeight="false" outlineLevel="0" collapsed="false">
      <c r="A731" s="12"/>
      <c r="B731" s="13"/>
      <c r="C731" s="13"/>
      <c r="D731" s="14"/>
      <c r="E731" s="15"/>
      <c r="F731" s="15"/>
      <c r="G731" s="12"/>
      <c r="H731" s="16" t="str">
        <f aca="false">IF(OR(A731="",C731=""),"",IFERROR(INDEX(Aşamalar!$B$5:$B$12,MATCH(C731,Aşamalar!$A$5:$A$12,0)),0))</f>
        <v/>
      </c>
      <c r="I731" s="17" t="str">
        <f aca="false">IF(H731="","",D731*H731)</f>
        <v/>
      </c>
      <c r="J731" s="18" t="str">
        <f aca="true">IF(AND(AND(C731&lt;&gt;"Kazanıldı",C731&lt;&gt;"Kaybedildi",C731&lt;&gt;""),F731&lt;&gt;""),IF(F731&lt;TODAY(),"Gecikti",IF(F731=TODAY(),"Bugün","")),"")</f>
        <v/>
      </c>
      <c r="K731" s="18" t="str">
        <f aca="true">IF(AND(AND(C731&lt;&gt;"Kazanıldı",C731&lt;&gt;"Kaybedildi",C731&lt;&gt;""),F731&lt;&gt;"",F731&lt;=TODAY()),F731+ROW()/1000000,"")</f>
        <v/>
      </c>
    </row>
    <row r="732" customFormat="false" ht="15" hidden="false" customHeight="false" outlineLevel="0" collapsed="false">
      <c r="A732" s="12"/>
      <c r="B732" s="13"/>
      <c r="C732" s="13"/>
      <c r="D732" s="14"/>
      <c r="E732" s="15"/>
      <c r="F732" s="15"/>
      <c r="G732" s="12"/>
      <c r="H732" s="16" t="str">
        <f aca="false">IF(OR(A732="",C732=""),"",IFERROR(INDEX(Aşamalar!$B$5:$B$12,MATCH(C732,Aşamalar!$A$5:$A$12,0)),0))</f>
        <v/>
      </c>
      <c r="I732" s="17" t="str">
        <f aca="false">IF(H732="","",D732*H732)</f>
        <v/>
      </c>
      <c r="J732" s="18" t="str">
        <f aca="true">IF(AND(AND(C732&lt;&gt;"Kazanıldı",C732&lt;&gt;"Kaybedildi",C732&lt;&gt;""),F732&lt;&gt;""),IF(F732&lt;TODAY(),"Gecikti",IF(F732=TODAY(),"Bugün","")),"")</f>
        <v/>
      </c>
      <c r="K732" s="18" t="str">
        <f aca="true">IF(AND(AND(C732&lt;&gt;"Kazanıldı",C732&lt;&gt;"Kaybedildi",C732&lt;&gt;""),F732&lt;&gt;"",F732&lt;=TODAY()),F732+ROW()/1000000,"")</f>
        <v/>
      </c>
    </row>
    <row r="733" customFormat="false" ht="15" hidden="false" customHeight="false" outlineLevel="0" collapsed="false">
      <c r="A733" s="12"/>
      <c r="B733" s="13"/>
      <c r="C733" s="13"/>
      <c r="D733" s="14"/>
      <c r="E733" s="15"/>
      <c r="F733" s="15"/>
      <c r="G733" s="12"/>
      <c r="H733" s="16" t="str">
        <f aca="false">IF(OR(A733="",C733=""),"",IFERROR(INDEX(Aşamalar!$B$5:$B$12,MATCH(C733,Aşamalar!$A$5:$A$12,0)),0))</f>
        <v/>
      </c>
      <c r="I733" s="17" t="str">
        <f aca="false">IF(H733="","",D733*H733)</f>
        <v/>
      </c>
      <c r="J733" s="18" t="str">
        <f aca="true">IF(AND(AND(C733&lt;&gt;"Kazanıldı",C733&lt;&gt;"Kaybedildi",C733&lt;&gt;""),F733&lt;&gt;""),IF(F733&lt;TODAY(),"Gecikti",IF(F733=TODAY(),"Bugün","")),"")</f>
        <v/>
      </c>
      <c r="K733" s="18" t="str">
        <f aca="true">IF(AND(AND(C733&lt;&gt;"Kazanıldı",C733&lt;&gt;"Kaybedildi",C733&lt;&gt;""),F733&lt;&gt;"",F733&lt;=TODAY()),F733+ROW()/1000000,"")</f>
        <v/>
      </c>
    </row>
    <row r="734" customFormat="false" ht="15" hidden="false" customHeight="false" outlineLevel="0" collapsed="false">
      <c r="A734" s="12"/>
      <c r="B734" s="13"/>
      <c r="C734" s="13"/>
      <c r="D734" s="14"/>
      <c r="E734" s="15"/>
      <c r="F734" s="15"/>
      <c r="G734" s="12"/>
      <c r="H734" s="16" t="str">
        <f aca="false">IF(OR(A734="",C734=""),"",IFERROR(INDEX(Aşamalar!$B$5:$B$12,MATCH(C734,Aşamalar!$A$5:$A$12,0)),0))</f>
        <v/>
      </c>
      <c r="I734" s="17" t="str">
        <f aca="false">IF(H734="","",D734*H734)</f>
        <v/>
      </c>
      <c r="J734" s="18" t="str">
        <f aca="true">IF(AND(AND(C734&lt;&gt;"Kazanıldı",C734&lt;&gt;"Kaybedildi",C734&lt;&gt;""),F734&lt;&gt;""),IF(F734&lt;TODAY(),"Gecikti",IF(F734=TODAY(),"Bugün","")),"")</f>
        <v/>
      </c>
      <c r="K734" s="18" t="str">
        <f aca="true">IF(AND(AND(C734&lt;&gt;"Kazanıldı",C734&lt;&gt;"Kaybedildi",C734&lt;&gt;""),F734&lt;&gt;"",F734&lt;=TODAY()),F734+ROW()/1000000,"")</f>
        <v/>
      </c>
    </row>
    <row r="735" customFormat="false" ht="15" hidden="false" customHeight="false" outlineLevel="0" collapsed="false">
      <c r="A735" s="12"/>
      <c r="B735" s="13"/>
      <c r="C735" s="13"/>
      <c r="D735" s="14"/>
      <c r="E735" s="15"/>
      <c r="F735" s="15"/>
      <c r="G735" s="12"/>
      <c r="H735" s="16" t="str">
        <f aca="false">IF(OR(A735="",C735=""),"",IFERROR(INDEX(Aşamalar!$B$5:$B$12,MATCH(C735,Aşamalar!$A$5:$A$12,0)),0))</f>
        <v/>
      </c>
      <c r="I735" s="17" t="str">
        <f aca="false">IF(H735="","",D735*H735)</f>
        <v/>
      </c>
      <c r="J735" s="18" t="str">
        <f aca="true">IF(AND(AND(C735&lt;&gt;"Kazanıldı",C735&lt;&gt;"Kaybedildi",C735&lt;&gt;""),F735&lt;&gt;""),IF(F735&lt;TODAY(),"Gecikti",IF(F735=TODAY(),"Bugün","")),"")</f>
        <v/>
      </c>
      <c r="K735" s="18" t="str">
        <f aca="true">IF(AND(AND(C735&lt;&gt;"Kazanıldı",C735&lt;&gt;"Kaybedildi",C735&lt;&gt;""),F735&lt;&gt;"",F735&lt;=TODAY()),F735+ROW()/1000000,"")</f>
        <v/>
      </c>
    </row>
    <row r="736" customFormat="false" ht="15" hidden="false" customHeight="false" outlineLevel="0" collapsed="false">
      <c r="A736" s="12"/>
      <c r="B736" s="13"/>
      <c r="C736" s="13"/>
      <c r="D736" s="14"/>
      <c r="E736" s="15"/>
      <c r="F736" s="15"/>
      <c r="G736" s="12"/>
      <c r="H736" s="16" t="str">
        <f aca="false">IF(OR(A736="",C736=""),"",IFERROR(INDEX(Aşamalar!$B$5:$B$12,MATCH(C736,Aşamalar!$A$5:$A$12,0)),0))</f>
        <v/>
      </c>
      <c r="I736" s="17" t="str">
        <f aca="false">IF(H736="","",D736*H736)</f>
        <v/>
      </c>
      <c r="J736" s="18" t="str">
        <f aca="true">IF(AND(AND(C736&lt;&gt;"Kazanıldı",C736&lt;&gt;"Kaybedildi",C736&lt;&gt;""),F736&lt;&gt;""),IF(F736&lt;TODAY(),"Gecikti",IF(F736=TODAY(),"Bugün","")),"")</f>
        <v/>
      </c>
      <c r="K736" s="18" t="str">
        <f aca="true">IF(AND(AND(C736&lt;&gt;"Kazanıldı",C736&lt;&gt;"Kaybedildi",C736&lt;&gt;""),F736&lt;&gt;"",F736&lt;=TODAY()),F736+ROW()/1000000,"")</f>
        <v/>
      </c>
    </row>
    <row r="737" customFormat="false" ht="15" hidden="false" customHeight="false" outlineLevel="0" collapsed="false">
      <c r="A737" s="12"/>
      <c r="B737" s="13"/>
      <c r="C737" s="13"/>
      <c r="D737" s="14"/>
      <c r="E737" s="15"/>
      <c r="F737" s="15"/>
      <c r="G737" s="12"/>
      <c r="H737" s="16" t="str">
        <f aca="false">IF(OR(A737="",C737=""),"",IFERROR(INDEX(Aşamalar!$B$5:$B$12,MATCH(C737,Aşamalar!$A$5:$A$12,0)),0))</f>
        <v/>
      </c>
      <c r="I737" s="17" t="str">
        <f aca="false">IF(H737="","",D737*H737)</f>
        <v/>
      </c>
      <c r="J737" s="18" t="str">
        <f aca="true">IF(AND(AND(C737&lt;&gt;"Kazanıldı",C737&lt;&gt;"Kaybedildi",C737&lt;&gt;""),F737&lt;&gt;""),IF(F737&lt;TODAY(),"Gecikti",IF(F737=TODAY(),"Bugün","")),"")</f>
        <v/>
      </c>
      <c r="K737" s="18" t="str">
        <f aca="true">IF(AND(AND(C737&lt;&gt;"Kazanıldı",C737&lt;&gt;"Kaybedildi",C737&lt;&gt;""),F737&lt;&gt;"",F737&lt;=TODAY()),F737+ROW()/1000000,"")</f>
        <v/>
      </c>
    </row>
    <row r="738" customFormat="false" ht="15" hidden="false" customHeight="false" outlineLevel="0" collapsed="false">
      <c r="A738" s="12"/>
      <c r="B738" s="13"/>
      <c r="C738" s="13"/>
      <c r="D738" s="14"/>
      <c r="E738" s="15"/>
      <c r="F738" s="15"/>
      <c r="G738" s="12"/>
      <c r="H738" s="16" t="str">
        <f aca="false">IF(OR(A738="",C738=""),"",IFERROR(INDEX(Aşamalar!$B$5:$B$12,MATCH(C738,Aşamalar!$A$5:$A$12,0)),0))</f>
        <v/>
      </c>
      <c r="I738" s="17" t="str">
        <f aca="false">IF(H738="","",D738*H738)</f>
        <v/>
      </c>
      <c r="J738" s="18" t="str">
        <f aca="true">IF(AND(AND(C738&lt;&gt;"Kazanıldı",C738&lt;&gt;"Kaybedildi",C738&lt;&gt;""),F738&lt;&gt;""),IF(F738&lt;TODAY(),"Gecikti",IF(F738=TODAY(),"Bugün","")),"")</f>
        <v/>
      </c>
      <c r="K738" s="18" t="str">
        <f aca="true">IF(AND(AND(C738&lt;&gt;"Kazanıldı",C738&lt;&gt;"Kaybedildi",C738&lt;&gt;""),F738&lt;&gt;"",F738&lt;=TODAY()),F738+ROW()/1000000,"")</f>
        <v/>
      </c>
    </row>
    <row r="739" customFormat="false" ht="15" hidden="false" customHeight="false" outlineLevel="0" collapsed="false">
      <c r="A739" s="12"/>
      <c r="B739" s="13"/>
      <c r="C739" s="13"/>
      <c r="D739" s="14"/>
      <c r="E739" s="15"/>
      <c r="F739" s="15"/>
      <c r="G739" s="12"/>
      <c r="H739" s="16" t="str">
        <f aca="false">IF(OR(A739="",C739=""),"",IFERROR(INDEX(Aşamalar!$B$5:$B$12,MATCH(C739,Aşamalar!$A$5:$A$12,0)),0))</f>
        <v/>
      </c>
      <c r="I739" s="17" t="str">
        <f aca="false">IF(H739="","",D739*H739)</f>
        <v/>
      </c>
      <c r="J739" s="18" t="str">
        <f aca="true">IF(AND(AND(C739&lt;&gt;"Kazanıldı",C739&lt;&gt;"Kaybedildi",C739&lt;&gt;""),F739&lt;&gt;""),IF(F739&lt;TODAY(),"Gecikti",IF(F739=TODAY(),"Bugün","")),"")</f>
        <v/>
      </c>
      <c r="K739" s="18" t="str">
        <f aca="true">IF(AND(AND(C739&lt;&gt;"Kazanıldı",C739&lt;&gt;"Kaybedildi",C739&lt;&gt;""),F739&lt;&gt;"",F739&lt;=TODAY()),F739+ROW()/1000000,"")</f>
        <v/>
      </c>
    </row>
    <row r="740" customFormat="false" ht="15" hidden="false" customHeight="false" outlineLevel="0" collapsed="false">
      <c r="A740" s="12"/>
      <c r="B740" s="13"/>
      <c r="C740" s="13"/>
      <c r="D740" s="14"/>
      <c r="E740" s="15"/>
      <c r="F740" s="15"/>
      <c r="G740" s="12"/>
      <c r="H740" s="16" t="str">
        <f aca="false">IF(OR(A740="",C740=""),"",IFERROR(INDEX(Aşamalar!$B$5:$B$12,MATCH(C740,Aşamalar!$A$5:$A$12,0)),0))</f>
        <v/>
      </c>
      <c r="I740" s="17" t="str">
        <f aca="false">IF(H740="","",D740*H740)</f>
        <v/>
      </c>
      <c r="J740" s="18" t="str">
        <f aca="true">IF(AND(AND(C740&lt;&gt;"Kazanıldı",C740&lt;&gt;"Kaybedildi",C740&lt;&gt;""),F740&lt;&gt;""),IF(F740&lt;TODAY(),"Gecikti",IF(F740=TODAY(),"Bugün","")),"")</f>
        <v/>
      </c>
      <c r="K740" s="18" t="str">
        <f aca="true">IF(AND(AND(C740&lt;&gt;"Kazanıldı",C740&lt;&gt;"Kaybedildi",C740&lt;&gt;""),F740&lt;&gt;"",F740&lt;=TODAY()),F740+ROW()/1000000,"")</f>
        <v/>
      </c>
    </row>
    <row r="741" customFormat="false" ht="15" hidden="false" customHeight="false" outlineLevel="0" collapsed="false">
      <c r="A741" s="12"/>
      <c r="B741" s="13"/>
      <c r="C741" s="13"/>
      <c r="D741" s="14"/>
      <c r="E741" s="15"/>
      <c r="F741" s="15"/>
      <c r="G741" s="12"/>
      <c r="H741" s="16" t="str">
        <f aca="false">IF(OR(A741="",C741=""),"",IFERROR(INDEX(Aşamalar!$B$5:$B$12,MATCH(C741,Aşamalar!$A$5:$A$12,0)),0))</f>
        <v/>
      </c>
      <c r="I741" s="17" t="str">
        <f aca="false">IF(H741="","",D741*H741)</f>
        <v/>
      </c>
      <c r="J741" s="18" t="str">
        <f aca="true">IF(AND(AND(C741&lt;&gt;"Kazanıldı",C741&lt;&gt;"Kaybedildi",C741&lt;&gt;""),F741&lt;&gt;""),IF(F741&lt;TODAY(),"Gecikti",IF(F741=TODAY(),"Bugün","")),"")</f>
        <v/>
      </c>
      <c r="K741" s="18" t="str">
        <f aca="true">IF(AND(AND(C741&lt;&gt;"Kazanıldı",C741&lt;&gt;"Kaybedildi",C741&lt;&gt;""),F741&lt;&gt;"",F741&lt;=TODAY()),F741+ROW()/1000000,"")</f>
        <v/>
      </c>
    </row>
    <row r="742" customFormat="false" ht="15" hidden="false" customHeight="false" outlineLevel="0" collapsed="false">
      <c r="A742" s="12"/>
      <c r="B742" s="13"/>
      <c r="C742" s="13"/>
      <c r="D742" s="14"/>
      <c r="E742" s="15"/>
      <c r="F742" s="15"/>
      <c r="G742" s="12"/>
      <c r="H742" s="16" t="str">
        <f aca="false">IF(OR(A742="",C742=""),"",IFERROR(INDEX(Aşamalar!$B$5:$B$12,MATCH(C742,Aşamalar!$A$5:$A$12,0)),0))</f>
        <v/>
      </c>
      <c r="I742" s="17" t="str">
        <f aca="false">IF(H742="","",D742*H742)</f>
        <v/>
      </c>
      <c r="J742" s="18" t="str">
        <f aca="true">IF(AND(AND(C742&lt;&gt;"Kazanıldı",C742&lt;&gt;"Kaybedildi",C742&lt;&gt;""),F742&lt;&gt;""),IF(F742&lt;TODAY(),"Gecikti",IF(F742=TODAY(),"Bugün","")),"")</f>
        <v/>
      </c>
      <c r="K742" s="18" t="str">
        <f aca="true">IF(AND(AND(C742&lt;&gt;"Kazanıldı",C742&lt;&gt;"Kaybedildi",C742&lt;&gt;""),F742&lt;&gt;"",F742&lt;=TODAY()),F742+ROW()/1000000,"")</f>
        <v/>
      </c>
    </row>
    <row r="743" customFormat="false" ht="15" hidden="false" customHeight="false" outlineLevel="0" collapsed="false">
      <c r="A743" s="12"/>
      <c r="B743" s="13"/>
      <c r="C743" s="13"/>
      <c r="D743" s="14"/>
      <c r="E743" s="15"/>
      <c r="F743" s="15"/>
      <c r="G743" s="12"/>
      <c r="H743" s="16" t="str">
        <f aca="false">IF(OR(A743="",C743=""),"",IFERROR(INDEX(Aşamalar!$B$5:$B$12,MATCH(C743,Aşamalar!$A$5:$A$12,0)),0))</f>
        <v/>
      </c>
      <c r="I743" s="17" t="str">
        <f aca="false">IF(H743="","",D743*H743)</f>
        <v/>
      </c>
      <c r="J743" s="18" t="str">
        <f aca="true">IF(AND(AND(C743&lt;&gt;"Kazanıldı",C743&lt;&gt;"Kaybedildi",C743&lt;&gt;""),F743&lt;&gt;""),IF(F743&lt;TODAY(),"Gecikti",IF(F743=TODAY(),"Bugün","")),"")</f>
        <v/>
      </c>
      <c r="K743" s="18" t="str">
        <f aca="true">IF(AND(AND(C743&lt;&gt;"Kazanıldı",C743&lt;&gt;"Kaybedildi",C743&lt;&gt;""),F743&lt;&gt;"",F743&lt;=TODAY()),F743+ROW()/1000000,"")</f>
        <v/>
      </c>
    </row>
    <row r="744" customFormat="false" ht="15" hidden="false" customHeight="false" outlineLevel="0" collapsed="false">
      <c r="A744" s="12"/>
      <c r="B744" s="13"/>
      <c r="C744" s="13"/>
      <c r="D744" s="14"/>
      <c r="E744" s="15"/>
      <c r="F744" s="15"/>
      <c r="G744" s="12"/>
      <c r="H744" s="16" t="str">
        <f aca="false">IF(OR(A744="",C744=""),"",IFERROR(INDEX(Aşamalar!$B$5:$B$12,MATCH(C744,Aşamalar!$A$5:$A$12,0)),0))</f>
        <v/>
      </c>
      <c r="I744" s="17" t="str">
        <f aca="false">IF(H744="","",D744*H744)</f>
        <v/>
      </c>
      <c r="J744" s="18" t="str">
        <f aca="true">IF(AND(AND(C744&lt;&gt;"Kazanıldı",C744&lt;&gt;"Kaybedildi",C744&lt;&gt;""),F744&lt;&gt;""),IF(F744&lt;TODAY(),"Gecikti",IF(F744=TODAY(),"Bugün","")),"")</f>
        <v/>
      </c>
      <c r="K744" s="18" t="str">
        <f aca="true">IF(AND(AND(C744&lt;&gt;"Kazanıldı",C744&lt;&gt;"Kaybedildi",C744&lt;&gt;""),F744&lt;&gt;"",F744&lt;=TODAY()),F744+ROW()/1000000,"")</f>
        <v/>
      </c>
    </row>
    <row r="745" customFormat="false" ht="15" hidden="false" customHeight="false" outlineLevel="0" collapsed="false">
      <c r="A745" s="12"/>
      <c r="B745" s="13"/>
      <c r="C745" s="13"/>
      <c r="D745" s="14"/>
      <c r="E745" s="15"/>
      <c r="F745" s="15"/>
      <c r="G745" s="12"/>
      <c r="H745" s="16" t="str">
        <f aca="false">IF(OR(A745="",C745=""),"",IFERROR(INDEX(Aşamalar!$B$5:$B$12,MATCH(C745,Aşamalar!$A$5:$A$12,0)),0))</f>
        <v/>
      </c>
      <c r="I745" s="17" t="str">
        <f aca="false">IF(H745="","",D745*H745)</f>
        <v/>
      </c>
      <c r="J745" s="18" t="str">
        <f aca="true">IF(AND(AND(C745&lt;&gt;"Kazanıldı",C745&lt;&gt;"Kaybedildi",C745&lt;&gt;""),F745&lt;&gt;""),IF(F745&lt;TODAY(),"Gecikti",IF(F745=TODAY(),"Bugün","")),"")</f>
        <v/>
      </c>
      <c r="K745" s="18" t="str">
        <f aca="true">IF(AND(AND(C745&lt;&gt;"Kazanıldı",C745&lt;&gt;"Kaybedildi",C745&lt;&gt;""),F745&lt;&gt;"",F745&lt;=TODAY()),F745+ROW()/1000000,"")</f>
        <v/>
      </c>
    </row>
    <row r="746" customFormat="false" ht="15" hidden="false" customHeight="false" outlineLevel="0" collapsed="false">
      <c r="A746" s="12"/>
      <c r="B746" s="13"/>
      <c r="C746" s="13"/>
      <c r="D746" s="14"/>
      <c r="E746" s="15"/>
      <c r="F746" s="15"/>
      <c r="G746" s="12"/>
      <c r="H746" s="16" t="str">
        <f aca="false">IF(OR(A746="",C746=""),"",IFERROR(INDEX(Aşamalar!$B$5:$B$12,MATCH(C746,Aşamalar!$A$5:$A$12,0)),0))</f>
        <v/>
      </c>
      <c r="I746" s="17" t="str">
        <f aca="false">IF(H746="","",D746*H746)</f>
        <v/>
      </c>
      <c r="J746" s="18" t="str">
        <f aca="true">IF(AND(AND(C746&lt;&gt;"Kazanıldı",C746&lt;&gt;"Kaybedildi",C746&lt;&gt;""),F746&lt;&gt;""),IF(F746&lt;TODAY(),"Gecikti",IF(F746=TODAY(),"Bugün","")),"")</f>
        <v/>
      </c>
      <c r="K746" s="18" t="str">
        <f aca="true">IF(AND(AND(C746&lt;&gt;"Kazanıldı",C746&lt;&gt;"Kaybedildi",C746&lt;&gt;""),F746&lt;&gt;"",F746&lt;=TODAY()),F746+ROW()/1000000,"")</f>
        <v/>
      </c>
    </row>
    <row r="747" customFormat="false" ht="15" hidden="false" customHeight="false" outlineLevel="0" collapsed="false">
      <c r="A747" s="12"/>
      <c r="B747" s="13"/>
      <c r="C747" s="13"/>
      <c r="D747" s="14"/>
      <c r="E747" s="15"/>
      <c r="F747" s="15"/>
      <c r="G747" s="12"/>
      <c r="H747" s="16" t="str">
        <f aca="false">IF(OR(A747="",C747=""),"",IFERROR(INDEX(Aşamalar!$B$5:$B$12,MATCH(C747,Aşamalar!$A$5:$A$12,0)),0))</f>
        <v/>
      </c>
      <c r="I747" s="17" t="str">
        <f aca="false">IF(H747="","",D747*H747)</f>
        <v/>
      </c>
      <c r="J747" s="18" t="str">
        <f aca="true">IF(AND(AND(C747&lt;&gt;"Kazanıldı",C747&lt;&gt;"Kaybedildi",C747&lt;&gt;""),F747&lt;&gt;""),IF(F747&lt;TODAY(),"Gecikti",IF(F747=TODAY(),"Bugün","")),"")</f>
        <v/>
      </c>
      <c r="K747" s="18" t="str">
        <f aca="true">IF(AND(AND(C747&lt;&gt;"Kazanıldı",C747&lt;&gt;"Kaybedildi",C747&lt;&gt;""),F747&lt;&gt;"",F747&lt;=TODAY()),F747+ROW()/1000000,"")</f>
        <v/>
      </c>
    </row>
    <row r="748" customFormat="false" ht="15" hidden="false" customHeight="false" outlineLevel="0" collapsed="false">
      <c r="A748" s="12"/>
      <c r="B748" s="13"/>
      <c r="C748" s="13"/>
      <c r="D748" s="14"/>
      <c r="E748" s="15"/>
      <c r="F748" s="15"/>
      <c r="G748" s="12"/>
      <c r="H748" s="16" t="str">
        <f aca="false">IF(OR(A748="",C748=""),"",IFERROR(INDEX(Aşamalar!$B$5:$B$12,MATCH(C748,Aşamalar!$A$5:$A$12,0)),0))</f>
        <v/>
      </c>
      <c r="I748" s="17" t="str">
        <f aca="false">IF(H748="","",D748*H748)</f>
        <v/>
      </c>
      <c r="J748" s="18" t="str">
        <f aca="true">IF(AND(AND(C748&lt;&gt;"Kazanıldı",C748&lt;&gt;"Kaybedildi",C748&lt;&gt;""),F748&lt;&gt;""),IF(F748&lt;TODAY(),"Gecikti",IF(F748=TODAY(),"Bugün","")),"")</f>
        <v/>
      </c>
      <c r="K748" s="18" t="str">
        <f aca="true">IF(AND(AND(C748&lt;&gt;"Kazanıldı",C748&lt;&gt;"Kaybedildi",C748&lt;&gt;""),F748&lt;&gt;"",F748&lt;=TODAY()),F748+ROW()/1000000,"")</f>
        <v/>
      </c>
    </row>
    <row r="749" customFormat="false" ht="15" hidden="false" customHeight="false" outlineLevel="0" collapsed="false">
      <c r="A749" s="12"/>
      <c r="B749" s="13"/>
      <c r="C749" s="13"/>
      <c r="D749" s="14"/>
      <c r="E749" s="15"/>
      <c r="F749" s="15"/>
      <c r="G749" s="12"/>
      <c r="H749" s="16" t="str">
        <f aca="false">IF(OR(A749="",C749=""),"",IFERROR(INDEX(Aşamalar!$B$5:$B$12,MATCH(C749,Aşamalar!$A$5:$A$12,0)),0))</f>
        <v/>
      </c>
      <c r="I749" s="17" t="str">
        <f aca="false">IF(H749="","",D749*H749)</f>
        <v/>
      </c>
      <c r="J749" s="18" t="str">
        <f aca="true">IF(AND(AND(C749&lt;&gt;"Kazanıldı",C749&lt;&gt;"Kaybedildi",C749&lt;&gt;""),F749&lt;&gt;""),IF(F749&lt;TODAY(),"Gecikti",IF(F749=TODAY(),"Bugün","")),"")</f>
        <v/>
      </c>
      <c r="K749" s="18" t="str">
        <f aca="true">IF(AND(AND(C749&lt;&gt;"Kazanıldı",C749&lt;&gt;"Kaybedildi",C749&lt;&gt;""),F749&lt;&gt;"",F749&lt;=TODAY()),F749+ROW()/1000000,"")</f>
        <v/>
      </c>
    </row>
    <row r="750" customFormat="false" ht="15" hidden="false" customHeight="false" outlineLevel="0" collapsed="false">
      <c r="A750" s="12"/>
      <c r="B750" s="13"/>
      <c r="C750" s="13"/>
      <c r="D750" s="14"/>
      <c r="E750" s="15"/>
      <c r="F750" s="15"/>
      <c r="G750" s="12"/>
      <c r="H750" s="16" t="str">
        <f aca="false">IF(OR(A750="",C750=""),"",IFERROR(INDEX(Aşamalar!$B$5:$B$12,MATCH(C750,Aşamalar!$A$5:$A$12,0)),0))</f>
        <v/>
      </c>
      <c r="I750" s="17" t="str">
        <f aca="false">IF(H750="","",D750*H750)</f>
        <v/>
      </c>
      <c r="J750" s="18" t="str">
        <f aca="true">IF(AND(AND(C750&lt;&gt;"Kazanıldı",C750&lt;&gt;"Kaybedildi",C750&lt;&gt;""),F750&lt;&gt;""),IF(F750&lt;TODAY(),"Gecikti",IF(F750=TODAY(),"Bugün","")),"")</f>
        <v/>
      </c>
      <c r="K750" s="18" t="str">
        <f aca="true">IF(AND(AND(C750&lt;&gt;"Kazanıldı",C750&lt;&gt;"Kaybedildi",C750&lt;&gt;""),F750&lt;&gt;"",F750&lt;=TODAY()),F750+ROW()/1000000,"")</f>
        <v/>
      </c>
    </row>
    <row r="751" customFormat="false" ht="15" hidden="false" customHeight="false" outlineLevel="0" collapsed="false">
      <c r="A751" s="12"/>
      <c r="B751" s="13"/>
      <c r="C751" s="13"/>
      <c r="D751" s="14"/>
      <c r="E751" s="15"/>
      <c r="F751" s="15"/>
      <c r="G751" s="12"/>
      <c r="H751" s="16" t="str">
        <f aca="false">IF(OR(A751="",C751=""),"",IFERROR(INDEX(Aşamalar!$B$5:$B$12,MATCH(C751,Aşamalar!$A$5:$A$12,0)),0))</f>
        <v/>
      </c>
      <c r="I751" s="17" t="str">
        <f aca="false">IF(H751="","",D751*H751)</f>
        <v/>
      </c>
      <c r="J751" s="18" t="str">
        <f aca="true">IF(AND(AND(C751&lt;&gt;"Kazanıldı",C751&lt;&gt;"Kaybedildi",C751&lt;&gt;""),F751&lt;&gt;""),IF(F751&lt;TODAY(),"Gecikti",IF(F751=TODAY(),"Bugün","")),"")</f>
        <v/>
      </c>
      <c r="K751" s="18" t="str">
        <f aca="true">IF(AND(AND(C751&lt;&gt;"Kazanıldı",C751&lt;&gt;"Kaybedildi",C751&lt;&gt;""),F751&lt;&gt;"",F751&lt;=TODAY()),F751+ROW()/1000000,"")</f>
        <v/>
      </c>
    </row>
    <row r="752" customFormat="false" ht="15" hidden="false" customHeight="false" outlineLevel="0" collapsed="false">
      <c r="A752" s="12"/>
      <c r="B752" s="13"/>
      <c r="C752" s="13"/>
      <c r="D752" s="14"/>
      <c r="E752" s="15"/>
      <c r="F752" s="15"/>
      <c r="G752" s="12"/>
      <c r="H752" s="16" t="str">
        <f aca="false">IF(OR(A752="",C752=""),"",IFERROR(INDEX(Aşamalar!$B$5:$B$12,MATCH(C752,Aşamalar!$A$5:$A$12,0)),0))</f>
        <v/>
      </c>
      <c r="I752" s="17" t="str">
        <f aca="false">IF(H752="","",D752*H752)</f>
        <v/>
      </c>
      <c r="J752" s="18" t="str">
        <f aca="true">IF(AND(AND(C752&lt;&gt;"Kazanıldı",C752&lt;&gt;"Kaybedildi",C752&lt;&gt;""),F752&lt;&gt;""),IF(F752&lt;TODAY(),"Gecikti",IF(F752=TODAY(),"Bugün","")),"")</f>
        <v/>
      </c>
      <c r="K752" s="18" t="str">
        <f aca="true">IF(AND(AND(C752&lt;&gt;"Kazanıldı",C752&lt;&gt;"Kaybedildi",C752&lt;&gt;""),F752&lt;&gt;"",F752&lt;=TODAY()),F752+ROW()/1000000,"")</f>
        <v/>
      </c>
    </row>
    <row r="753" customFormat="false" ht="15" hidden="false" customHeight="false" outlineLevel="0" collapsed="false">
      <c r="A753" s="12"/>
      <c r="B753" s="13"/>
      <c r="C753" s="13"/>
      <c r="D753" s="14"/>
      <c r="E753" s="15"/>
      <c r="F753" s="15"/>
      <c r="G753" s="12"/>
      <c r="H753" s="16" t="str">
        <f aca="false">IF(OR(A753="",C753=""),"",IFERROR(INDEX(Aşamalar!$B$5:$B$12,MATCH(C753,Aşamalar!$A$5:$A$12,0)),0))</f>
        <v/>
      </c>
      <c r="I753" s="17" t="str">
        <f aca="false">IF(H753="","",D753*H753)</f>
        <v/>
      </c>
      <c r="J753" s="18" t="str">
        <f aca="true">IF(AND(AND(C753&lt;&gt;"Kazanıldı",C753&lt;&gt;"Kaybedildi",C753&lt;&gt;""),F753&lt;&gt;""),IF(F753&lt;TODAY(),"Gecikti",IF(F753=TODAY(),"Bugün","")),"")</f>
        <v/>
      </c>
      <c r="K753" s="18" t="str">
        <f aca="true">IF(AND(AND(C753&lt;&gt;"Kazanıldı",C753&lt;&gt;"Kaybedildi",C753&lt;&gt;""),F753&lt;&gt;"",F753&lt;=TODAY()),F753+ROW()/1000000,"")</f>
        <v/>
      </c>
    </row>
    <row r="754" customFormat="false" ht="15" hidden="false" customHeight="false" outlineLevel="0" collapsed="false">
      <c r="A754" s="12"/>
      <c r="B754" s="13"/>
      <c r="C754" s="13"/>
      <c r="D754" s="14"/>
      <c r="E754" s="15"/>
      <c r="F754" s="15"/>
      <c r="G754" s="12"/>
      <c r="H754" s="16" t="str">
        <f aca="false">IF(OR(A754="",C754=""),"",IFERROR(INDEX(Aşamalar!$B$5:$B$12,MATCH(C754,Aşamalar!$A$5:$A$12,0)),0))</f>
        <v/>
      </c>
      <c r="I754" s="17" t="str">
        <f aca="false">IF(H754="","",D754*H754)</f>
        <v/>
      </c>
      <c r="J754" s="18" t="str">
        <f aca="true">IF(AND(AND(C754&lt;&gt;"Kazanıldı",C754&lt;&gt;"Kaybedildi",C754&lt;&gt;""),F754&lt;&gt;""),IF(F754&lt;TODAY(),"Gecikti",IF(F754=TODAY(),"Bugün","")),"")</f>
        <v/>
      </c>
      <c r="K754" s="18" t="str">
        <f aca="true">IF(AND(AND(C754&lt;&gt;"Kazanıldı",C754&lt;&gt;"Kaybedildi",C754&lt;&gt;""),F754&lt;&gt;"",F754&lt;=TODAY()),F754+ROW()/1000000,"")</f>
        <v/>
      </c>
    </row>
    <row r="755" customFormat="false" ht="15" hidden="false" customHeight="false" outlineLevel="0" collapsed="false">
      <c r="A755" s="12"/>
      <c r="B755" s="13"/>
      <c r="C755" s="13"/>
      <c r="D755" s="14"/>
      <c r="E755" s="15"/>
      <c r="F755" s="15"/>
      <c r="G755" s="12"/>
      <c r="H755" s="16" t="str">
        <f aca="false">IF(OR(A755="",C755=""),"",IFERROR(INDEX(Aşamalar!$B$5:$B$12,MATCH(C755,Aşamalar!$A$5:$A$12,0)),0))</f>
        <v/>
      </c>
      <c r="I755" s="17" t="str">
        <f aca="false">IF(H755="","",D755*H755)</f>
        <v/>
      </c>
      <c r="J755" s="18" t="str">
        <f aca="true">IF(AND(AND(C755&lt;&gt;"Kazanıldı",C755&lt;&gt;"Kaybedildi",C755&lt;&gt;""),F755&lt;&gt;""),IF(F755&lt;TODAY(),"Gecikti",IF(F755=TODAY(),"Bugün","")),"")</f>
        <v/>
      </c>
      <c r="K755" s="18" t="str">
        <f aca="true">IF(AND(AND(C755&lt;&gt;"Kazanıldı",C755&lt;&gt;"Kaybedildi",C755&lt;&gt;""),F755&lt;&gt;"",F755&lt;=TODAY()),F755+ROW()/1000000,"")</f>
        <v/>
      </c>
    </row>
    <row r="756" customFormat="false" ht="15" hidden="false" customHeight="false" outlineLevel="0" collapsed="false">
      <c r="A756" s="12"/>
      <c r="B756" s="13"/>
      <c r="C756" s="13"/>
      <c r="D756" s="14"/>
      <c r="E756" s="15"/>
      <c r="F756" s="15"/>
      <c r="G756" s="12"/>
      <c r="H756" s="16" t="str">
        <f aca="false">IF(OR(A756="",C756=""),"",IFERROR(INDEX(Aşamalar!$B$5:$B$12,MATCH(C756,Aşamalar!$A$5:$A$12,0)),0))</f>
        <v/>
      </c>
      <c r="I756" s="17" t="str">
        <f aca="false">IF(H756="","",D756*H756)</f>
        <v/>
      </c>
      <c r="J756" s="18" t="str">
        <f aca="true">IF(AND(AND(C756&lt;&gt;"Kazanıldı",C756&lt;&gt;"Kaybedildi",C756&lt;&gt;""),F756&lt;&gt;""),IF(F756&lt;TODAY(),"Gecikti",IF(F756=TODAY(),"Bugün","")),"")</f>
        <v/>
      </c>
      <c r="K756" s="18" t="str">
        <f aca="true">IF(AND(AND(C756&lt;&gt;"Kazanıldı",C756&lt;&gt;"Kaybedildi",C756&lt;&gt;""),F756&lt;&gt;"",F756&lt;=TODAY()),F756+ROW()/1000000,"")</f>
        <v/>
      </c>
    </row>
    <row r="757" customFormat="false" ht="15" hidden="false" customHeight="false" outlineLevel="0" collapsed="false">
      <c r="A757" s="12"/>
      <c r="B757" s="13"/>
      <c r="C757" s="13"/>
      <c r="D757" s="14"/>
      <c r="E757" s="15"/>
      <c r="F757" s="15"/>
      <c r="G757" s="12"/>
      <c r="H757" s="16" t="str">
        <f aca="false">IF(OR(A757="",C757=""),"",IFERROR(INDEX(Aşamalar!$B$5:$B$12,MATCH(C757,Aşamalar!$A$5:$A$12,0)),0))</f>
        <v/>
      </c>
      <c r="I757" s="17" t="str">
        <f aca="false">IF(H757="","",D757*H757)</f>
        <v/>
      </c>
      <c r="J757" s="18" t="str">
        <f aca="true">IF(AND(AND(C757&lt;&gt;"Kazanıldı",C757&lt;&gt;"Kaybedildi",C757&lt;&gt;""),F757&lt;&gt;""),IF(F757&lt;TODAY(),"Gecikti",IF(F757=TODAY(),"Bugün","")),"")</f>
        <v/>
      </c>
      <c r="K757" s="18" t="str">
        <f aca="true">IF(AND(AND(C757&lt;&gt;"Kazanıldı",C757&lt;&gt;"Kaybedildi",C757&lt;&gt;""),F757&lt;&gt;"",F757&lt;=TODAY()),F757+ROW()/1000000,"")</f>
        <v/>
      </c>
    </row>
    <row r="758" customFormat="false" ht="15" hidden="false" customHeight="false" outlineLevel="0" collapsed="false">
      <c r="A758" s="12"/>
      <c r="B758" s="13"/>
      <c r="C758" s="13"/>
      <c r="D758" s="14"/>
      <c r="E758" s="15"/>
      <c r="F758" s="15"/>
      <c r="G758" s="12"/>
      <c r="H758" s="16" t="str">
        <f aca="false">IF(OR(A758="",C758=""),"",IFERROR(INDEX(Aşamalar!$B$5:$B$12,MATCH(C758,Aşamalar!$A$5:$A$12,0)),0))</f>
        <v/>
      </c>
      <c r="I758" s="17" t="str">
        <f aca="false">IF(H758="","",D758*H758)</f>
        <v/>
      </c>
      <c r="J758" s="18" t="str">
        <f aca="true">IF(AND(AND(C758&lt;&gt;"Kazanıldı",C758&lt;&gt;"Kaybedildi",C758&lt;&gt;""),F758&lt;&gt;""),IF(F758&lt;TODAY(),"Gecikti",IF(F758=TODAY(),"Bugün","")),"")</f>
        <v/>
      </c>
      <c r="K758" s="18" t="str">
        <f aca="true">IF(AND(AND(C758&lt;&gt;"Kazanıldı",C758&lt;&gt;"Kaybedildi",C758&lt;&gt;""),F758&lt;&gt;"",F758&lt;=TODAY()),F758+ROW()/1000000,"")</f>
        <v/>
      </c>
    </row>
    <row r="759" customFormat="false" ht="15" hidden="false" customHeight="false" outlineLevel="0" collapsed="false">
      <c r="A759" s="12"/>
      <c r="B759" s="13"/>
      <c r="C759" s="13"/>
      <c r="D759" s="14"/>
      <c r="E759" s="15"/>
      <c r="F759" s="15"/>
      <c r="G759" s="12"/>
      <c r="H759" s="16" t="str">
        <f aca="false">IF(OR(A759="",C759=""),"",IFERROR(INDEX(Aşamalar!$B$5:$B$12,MATCH(C759,Aşamalar!$A$5:$A$12,0)),0))</f>
        <v/>
      </c>
      <c r="I759" s="17" t="str">
        <f aca="false">IF(H759="","",D759*H759)</f>
        <v/>
      </c>
      <c r="J759" s="18" t="str">
        <f aca="true">IF(AND(AND(C759&lt;&gt;"Kazanıldı",C759&lt;&gt;"Kaybedildi",C759&lt;&gt;""),F759&lt;&gt;""),IF(F759&lt;TODAY(),"Gecikti",IF(F759=TODAY(),"Bugün","")),"")</f>
        <v/>
      </c>
      <c r="K759" s="18" t="str">
        <f aca="true">IF(AND(AND(C759&lt;&gt;"Kazanıldı",C759&lt;&gt;"Kaybedildi",C759&lt;&gt;""),F759&lt;&gt;"",F759&lt;=TODAY()),F759+ROW()/1000000,"")</f>
        <v/>
      </c>
    </row>
    <row r="760" customFormat="false" ht="15" hidden="false" customHeight="false" outlineLevel="0" collapsed="false">
      <c r="A760" s="12"/>
      <c r="B760" s="13"/>
      <c r="C760" s="13"/>
      <c r="D760" s="14"/>
      <c r="E760" s="15"/>
      <c r="F760" s="15"/>
      <c r="G760" s="12"/>
      <c r="H760" s="16" t="str">
        <f aca="false">IF(OR(A760="",C760=""),"",IFERROR(INDEX(Aşamalar!$B$5:$B$12,MATCH(C760,Aşamalar!$A$5:$A$12,0)),0))</f>
        <v/>
      </c>
      <c r="I760" s="17" t="str">
        <f aca="false">IF(H760="","",D760*H760)</f>
        <v/>
      </c>
      <c r="J760" s="18" t="str">
        <f aca="true">IF(AND(AND(C760&lt;&gt;"Kazanıldı",C760&lt;&gt;"Kaybedildi",C760&lt;&gt;""),F760&lt;&gt;""),IF(F760&lt;TODAY(),"Gecikti",IF(F760=TODAY(),"Bugün","")),"")</f>
        <v/>
      </c>
      <c r="K760" s="18" t="str">
        <f aca="true">IF(AND(AND(C760&lt;&gt;"Kazanıldı",C760&lt;&gt;"Kaybedildi",C760&lt;&gt;""),F760&lt;&gt;"",F760&lt;=TODAY()),F760+ROW()/1000000,"")</f>
        <v/>
      </c>
    </row>
    <row r="761" customFormat="false" ht="15" hidden="false" customHeight="false" outlineLevel="0" collapsed="false">
      <c r="A761" s="12"/>
      <c r="B761" s="13"/>
      <c r="C761" s="13"/>
      <c r="D761" s="14"/>
      <c r="E761" s="15"/>
      <c r="F761" s="15"/>
      <c r="G761" s="12"/>
      <c r="H761" s="16" t="str">
        <f aca="false">IF(OR(A761="",C761=""),"",IFERROR(INDEX(Aşamalar!$B$5:$B$12,MATCH(C761,Aşamalar!$A$5:$A$12,0)),0))</f>
        <v/>
      </c>
      <c r="I761" s="17" t="str">
        <f aca="false">IF(H761="","",D761*H761)</f>
        <v/>
      </c>
      <c r="J761" s="18" t="str">
        <f aca="true">IF(AND(AND(C761&lt;&gt;"Kazanıldı",C761&lt;&gt;"Kaybedildi",C761&lt;&gt;""),F761&lt;&gt;""),IF(F761&lt;TODAY(),"Gecikti",IF(F761=TODAY(),"Bugün","")),"")</f>
        <v/>
      </c>
      <c r="K761" s="18" t="str">
        <f aca="true">IF(AND(AND(C761&lt;&gt;"Kazanıldı",C761&lt;&gt;"Kaybedildi",C761&lt;&gt;""),F761&lt;&gt;"",F761&lt;=TODAY()),F761+ROW()/1000000,"")</f>
        <v/>
      </c>
    </row>
    <row r="762" customFormat="false" ht="15" hidden="false" customHeight="false" outlineLevel="0" collapsed="false">
      <c r="A762" s="12"/>
      <c r="B762" s="13"/>
      <c r="C762" s="13"/>
      <c r="D762" s="14"/>
      <c r="E762" s="15"/>
      <c r="F762" s="15"/>
      <c r="G762" s="12"/>
      <c r="H762" s="16" t="str">
        <f aca="false">IF(OR(A762="",C762=""),"",IFERROR(INDEX(Aşamalar!$B$5:$B$12,MATCH(C762,Aşamalar!$A$5:$A$12,0)),0))</f>
        <v/>
      </c>
      <c r="I762" s="17" t="str">
        <f aca="false">IF(H762="","",D762*H762)</f>
        <v/>
      </c>
      <c r="J762" s="18" t="str">
        <f aca="true">IF(AND(AND(C762&lt;&gt;"Kazanıldı",C762&lt;&gt;"Kaybedildi",C762&lt;&gt;""),F762&lt;&gt;""),IF(F762&lt;TODAY(),"Gecikti",IF(F762=TODAY(),"Bugün","")),"")</f>
        <v/>
      </c>
      <c r="K762" s="18" t="str">
        <f aca="true">IF(AND(AND(C762&lt;&gt;"Kazanıldı",C762&lt;&gt;"Kaybedildi",C762&lt;&gt;""),F762&lt;&gt;"",F762&lt;=TODAY()),F762+ROW()/1000000,"")</f>
        <v/>
      </c>
    </row>
    <row r="763" customFormat="false" ht="15" hidden="false" customHeight="false" outlineLevel="0" collapsed="false">
      <c r="A763" s="12"/>
      <c r="B763" s="13"/>
      <c r="C763" s="13"/>
      <c r="D763" s="14"/>
      <c r="E763" s="15"/>
      <c r="F763" s="15"/>
      <c r="G763" s="12"/>
      <c r="H763" s="16" t="str">
        <f aca="false">IF(OR(A763="",C763=""),"",IFERROR(INDEX(Aşamalar!$B$5:$B$12,MATCH(C763,Aşamalar!$A$5:$A$12,0)),0))</f>
        <v/>
      </c>
      <c r="I763" s="17" t="str">
        <f aca="false">IF(H763="","",D763*H763)</f>
        <v/>
      </c>
      <c r="J763" s="18" t="str">
        <f aca="true">IF(AND(AND(C763&lt;&gt;"Kazanıldı",C763&lt;&gt;"Kaybedildi",C763&lt;&gt;""),F763&lt;&gt;""),IF(F763&lt;TODAY(),"Gecikti",IF(F763=TODAY(),"Bugün","")),"")</f>
        <v/>
      </c>
      <c r="K763" s="18" t="str">
        <f aca="true">IF(AND(AND(C763&lt;&gt;"Kazanıldı",C763&lt;&gt;"Kaybedildi",C763&lt;&gt;""),F763&lt;&gt;"",F763&lt;=TODAY()),F763+ROW()/1000000,"")</f>
        <v/>
      </c>
    </row>
    <row r="764" customFormat="false" ht="15" hidden="false" customHeight="false" outlineLevel="0" collapsed="false">
      <c r="A764" s="12"/>
      <c r="B764" s="13"/>
      <c r="C764" s="13"/>
      <c r="D764" s="14"/>
      <c r="E764" s="15"/>
      <c r="F764" s="15"/>
      <c r="G764" s="12"/>
      <c r="H764" s="16" t="str">
        <f aca="false">IF(OR(A764="",C764=""),"",IFERROR(INDEX(Aşamalar!$B$5:$B$12,MATCH(C764,Aşamalar!$A$5:$A$12,0)),0))</f>
        <v/>
      </c>
      <c r="I764" s="17" t="str">
        <f aca="false">IF(H764="","",D764*H764)</f>
        <v/>
      </c>
      <c r="J764" s="18" t="str">
        <f aca="true">IF(AND(AND(C764&lt;&gt;"Kazanıldı",C764&lt;&gt;"Kaybedildi",C764&lt;&gt;""),F764&lt;&gt;""),IF(F764&lt;TODAY(),"Gecikti",IF(F764=TODAY(),"Bugün","")),"")</f>
        <v/>
      </c>
      <c r="K764" s="18" t="str">
        <f aca="true">IF(AND(AND(C764&lt;&gt;"Kazanıldı",C764&lt;&gt;"Kaybedildi",C764&lt;&gt;""),F764&lt;&gt;"",F764&lt;=TODAY()),F764+ROW()/1000000,"")</f>
        <v/>
      </c>
    </row>
    <row r="765" customFormat="false" ht="15" hidden="false" customHeight="false" outlineLevel="0" collapsed="false">
      <c r="A765" s="12"/>
      <c r="B765" s="13"/>
      <c r="C765" s="13"/>
      <c r="D765" s="14"/>
      <c r="E765" s="15"/>
      <c r="F765" s="15"/>
      <c r="G765" s="12"/>
      <c r="H765" s="16" t="str">
        <f aca="false">IF(OR(A765="",C765=""),"",IFERROR(INDEX(Aşamalar!$B$5:$B$12,MATCH(C765,Aşamalar!$A$5:$A$12,0)),0))</f>
        <v/>
      </c>
      <c r="I765" s="17" t="str">
        <f aca="false">IF(H765="","",D765*H765)</f>
        <v/>
      </c>
      <c r="J765" s="18" t="str">
        <f aca="true">IF(AND(AND(C765&lt;&gt;"Kazanıldı",C765&lt;&gt;"Kaybedildi",C765&lt;&gt;""),F765&lt;&gt;""),IF(F765&lt;TODAY(),"Gecikti",IF(F765=TODAY(),"Bugün","")),"")</f>
        <v/>
      </c>
      <c r="K765" s="18" t="str">
        <f aca="true">IF(AND(AND(C765&lt;&gt;"Kazanıldı",C765&lt;&gt;"Kaybedildi",C765&lt;&gt;""),F765&lt;&gt;"",F765&lt;=TODAY()),F765+ROW()/1000000,"")</f>
        <v/>
      </c>
    </row>
    <row r="766" customFormat="false" ht="15" hidden="false" customHeight="false" outlineLevel="0" collapsed="false">
      <c r="A766" s="12"/>
      <c r="B766" s="13"/>
      <c r="C766" s="13"/>
      <c r="D766" s="14"/>
      <c r="E766" s="15"/>
      <c r="F766" s="15"/>
      <c r="G766" s="12"/>
      <c r="H766" s="16" t="str">
        <f aca="false">IF(OR(A766="",C766=""),"",IFERROR(INDEX(Aşamalar!$B$5:$B$12,MATCH(C766,Aşamalar!$A$5:$A$12,0)),0))</f>
        <v/>
      </c>
      <c r="I766" s="17" t="str">
        <f aca="false">IF(H766="","",D766*H766)</f>
        <v/>
      </c>
      <c r="J766" s="18" t="str">
        <f aca="true">IF(AND(AND(C766&lt;&gt;"Kazanıldı",C766&lt;&gt;"Kaybedildi",C766&lt;&gt;""),F766&lt;&gt;""),IF(F766&lt;TODAY(),"Gecikti",IF(F766=TODAY(),"Bugün","")),"")</f>
        <v/>
      </c>
      <c r="K766" s="18" t="str">
        <f aca="true">IF(AND(AND(C766&lt;&gt;"Kazanıldı",C766&lt;&gt;"Kaybedildi",C766&lt;&gt;""),F766&lt;&gt;"",F766&lt;=TODAY()),F766+ROW()/1000000,"")</f>
        <v/>
      </c>
    </row>
    <row r="767" customFormat="false" ht="15" hidden="false" customHeight="false" outlineLevel="0" collapsed="false">
      <c r="A767" s="12"/>
      <c r="B767" s="13"/>
      <c r="C767" s="13"/>
      <c r="D767" s="14"/>
      <c r="E767" s="15"/>
      <c r="F767" s="15"/>
      <c r="G767" s="12"/>
      <c r="H767" s="16" t="str">
        <f aca="false">IF(OR(A767="",C767=""),"",IFERROR(INDEX(Aşamalar!$B$5:$B$12,MATCH(C767,Aşamalar!$A$5:$A$12,0)),0))</f>
        <v/>
      </c>
      <c r="I767" s="17" t="str">
        <f aca="false">IF(H767="","",D767*H767)</f>
        <v/>
      </c>
      <c r="J767" s="18" t="str">
        <f aca="true">IF(AND(AND(C767&lt;&gt;"Kazanıldı",C767&lt;&gt;"Kaybedildi",C767&lt;&gt;""),F767&lt;&gt;""),IF(F767&lt;TODAY(),"Gecikti",IF(F767=TODAY(),"Bugün","")),"")</f>
        <v/>
      </c>
      <c r="K767" s="18" t="str">
        <f aca="true">IF(AND(AND(C767&lt;&gt;"Kazanıldı",C767&lt;&gt;"Kaybedildi",C767&lt;&gt;""),F767&lt;&gt;"",F767&lt;=TODAY()),F767+ROW()/1000000,"")</f>
        <v/>
      </c>
    </row>
    <row r="768" customFormat="false" ht="15" hidden="false" customHeight="false" outlineLevel="0" collapsed="false">
      <c r="A768" s="12"/>
      <c r="B768" s="13"/>
      <c r="C768" s="13"/>
      <c r="D768" s="14"/>
      <c r="E768" s="15"/>
      <c r="F768" s="15"/>
      <c r="G768" s="12"/>
      <c r="H768" s="16" t="str">
        <f aca="false">IF(OR(A768="",C768=""),"",IFERROR(INDEX(Aşamalar!$B$5:$B$12,MATCH(C768,Aşamalar!$A$5:$A$12,0)),0))</f>
        <v/>
      </c>
      <c r="I768" s="17" t="str">
        <f aca="false">IF(H768="","",D768*H768)</f>
        <v/>
      </c>
      <c r="J768" s="18" t="str">
        <f aca="true">IF(AND(AND(C768&lt;&gt;"Kazanıldı",C768&lt;&gt;"Kaybedildi",C768&lt;&gt;""),F768&lt;&gt;""),IF(F768&lt;TODAY(),"Gecikti",IF(F768=TODAY(),"Bugün","")),"")</f>
        <v/>
      </c>
      <c r="K768" s="18" t="str">
        <f aca="true">IF(AND(AND(C768&lt;&gt;"Kazanıldı",C768&lt;&gt;"Kaybedildi",C768&lt;&gt;""),F768&lt;&gt;"",F768&lt;=TODAY()),F768+ROW()/1000000,"")</f>
        <v/>
      </c>
    </row>
    <row r="769" customFormat="false" ht="15" hidden="false" customHeight="false" outlineLevel="0" collapsed="false">
      <c r="A769" s="12"/>
      <c r="B769" s="13"/>
      <c r="C769" s="13"/>
      <c r="D769" s="14"/>
      <c r="E769" s="15"/>
      <c r="F769" s="15"/>
      <c r="G769" s="12"/>
      <c r="H769" s="16" t="str">
        <f aca="false">IF(OR(A769="",C769=""),"",IFERROR(INDEX(Aşamalar!$B$5:$B$12,MATCH(C769,Aşamalar!$A$5:$A$12,0)),0))</f>
        <v/>
      </c>
      <c r="I769" s="17" t="str">
        <f aca="false">IF(H769="","",D769*H769)</f>
        <v/>
      </c>
      <c r="J769" s="18" t="str">
        <f aca="true">IF(AND(AND(C769&lt;&gt;"Kazanıldı",C769&lt;&gt;"Kaybedildi",C769&lt;&gt;""),F769&lt;&gt;""),IF(F769&lt;TODAY(),"Gecikti",IF(F769=TODAY(),"Bugün","")),"")</f>
        <v/>
      </c>
      <c r="K769" s="18" t="str">
        <f aca="true">IF(AND(AND(C769&lt;&gt;"Kazanıldı",C769&lt;&gt;"Kaybedildi",C769&lt;&gt;""),F769&lt;&gt;"",F769&lt;=TODAY()),F769+ROW()/1000000,"")</f>
        <v/>
      </c>
    </row>
    <row r="770" customFormat="false" ht="15" hidden="false" customHeight="false" outlineLevel="0" collapsed="false">
      <c r="A770" s="12"/>
      <c r="B770" s="13"/>
      <c r="C770" s="13"/>
      <c r="D770" s="14"/>
      <c r="E770" s="15"/>
      <c r="F770" s="15"/>
      <c r="G770" s="12"/>
      <c r="H770" s="16" t="str">
        <f aca="false">IF(OR(A770="",C770=""),"",IFERROR(INDEX(Aşamalar!$B$5:$B$12,MATCH(C770,Aşamalar!$A$5:$A$12,0)),0))</f>
        <v/>
      </c>
      <c r="I770" s="17" t="str">
        <f aca="false">IF(H770="","",D770*H770)</f>
        <v/>
      </c>
      <c r="J770" s="18" t="str">
        <f aca="true">IF(AND(AND(C770&lt;&gt;"Kazanıldı",C770&lt;&gt;"Kaybedildi",C770&lt;&gt;""),F770&lt;&gt;""),IF(F770&lt;TODAY(),"Gecikti",IF(F770=TODAY(),"Bugün","")),"")</f>
        <v/>
      </c>
      <c r="K770" s="18" t="str">
        <f aca="true">IF(AND(AND(C770&lt;&gt;"Kazanıldı",C770&lt;&gt;"Kaybedildi",C770&lt;&gt;""),F770&lt;&gt;"",F770&lt;=TODAY()),F770+ROW()/1000000,"")</f>
        <v/>
      </c>
    </row>
    <row r="771" customFormat="false" ht="15" hidden="false" customHeight="false" outlineLevel="0" collapsed="false">
      <c r="A771" s="12"/>
      <c r="B771" s="13"/>
      <c r="C771" s="13"/>
      <c r="D771" s="14"/>
      <c r="E771" s="15"/>
      <c r="F771" s="15"/>
      <c r="G771" s="12"/>
      <c r="H771" s="16" t="str">
        <f aca="false">IF(OR(A771="",C771=""),"",IFERROR(INDEX(Aşamalar!$B$5:$B$12,MATCH(C771,Aşamalar!$A$5:$A$12,0)),0))</f>
        <v/>
      </c>
      <c r="I771" s="17" t="str">
        <f aca="false">IF(H771="","",D771*H771)</f>
        <v/>
      </c>
      <c r="J771" s="18" t="str">
        <f aca="true">IF(AND(AND(C771&lt;&gt;"Kazanıldı",C771&lt;&gt;"Kaybedildi",C771&lt;&gt;""),F771&lt;&gt;""),IF(F771&lt;TODAY(),"Gecikti",IF(F771=TODAY(),"Bugün","")),"")</f>
        <v/>
      </c>
      <c r="K771" s="18" t="str">
        <f aca="true">IF(AND(AND(C771&lt;&gt;"Kazanıldı",C771&lt;&gt;"Kaybedildi",C771&lt;&gt;""),F771&lt;&gt;"",F771&lt;=TODAY()),F771+ROW()/1000000,"")</f>
        <v/>
      </c>
    </row>
    <row r="772" customFormat="false" ht="15" hidden="false" customHeight="false" outlineLevel="0" collapsed="false">
      <c r="A772" s="12"/>
      <c r="B772" s="13"/>
      <c r="C772" s="13"/>
      <c r="D772" s="14"/>
      <c r="E772" s="15"/>
      <c r="F772" s="15"/>
      <c r="G772" s="12"/>
      <c r="H772" s="16" t="str">
        <f aca="false">IF(OR(A772="",C772=""),"",IFERROR(INDEX(Aşamalar!$B$5:$B$12,MATCH(C772,Aşamalar!$A$5:$A$12,0)),0))</f>
        <v/>
      </c>
      <c r="I772" s="17" t="str">
        <f aca="false">IF(H772="","",D772*H772)</f>
        <v/>
      </c>
      <c r="J772" s="18" t="str">
        <f aca="true">IF(AND(AND(C772&lt;&gt;"Kazanıldı",C772&lt;&gt;"Kaybedildi",C772&lt;&gt;""),F772&lt;&gt;""),IF(F772&lt;TODAY(),"Gecikti",IF(F772=TODAY(),"Bugün","")),"")</f>
        <v/>
      </c>
      <c r="K772" s="18" t="str">
        <f aca="true">IF(AND(AND(C772&lt;&gt;"Kazanıldı",C772&lt;&gt;"Kaybedildi",C772&lt;&gt;""),F772&lt;&gt;"",F772&lt;=TODAY()),F772+ROW()/1000000,"")</f>
        <v/>
      </c>
    </row>
    <row r="773" customFormat="false" ht="15" hidden="false" customHeight="false" outlineLevel="0" collapsed="false">
      <c r="A773" s="12"/>
      <c r="B773" s="13"/>
      <c r="C773" s="13"/>
      <c r="D773" s="14"/>
      <c r="E773" s="15"/>
      <c r="F773" s="15"/>
      <c r="G773" s="12"/>
      <c r="H773" s="16" t="str">
        <f aca="false">IF(OR(A773="",C773=""),"",IFERROR(INDEX(Aşamalar!$B$5:$B$12,MATCH(C773,Aşamalar!$A$5:$A$12,0)),0))</f>
        <v/>
      </c>
      <c r="I773" s="17" t="str">
        <f aca="false">IF(H773="","",D773*H773)</f>
        <v/>
      </c>
      <c r="J773" s="18" t="str">
        <f aca="true">IF(AND(AND(C773&lt;&gt;"Kazanıldı",C773&lt;&gt;"Kaybedildi",C773&lt;&gt;""),F773&lt;&gt;""),IF(F773&lt;TODAY(),"Gecikti",IF(F773=TODAY(),"Bugün","")),"")</f>
        <v/>
      </c>
      <c r="K773" s="18" t="str">
        <f aca="true">IF(AND(AND(C773&lt;&gt;"Kazanıldı",C773&lt;&gt;"Kaybedildi",C773&lt;&gt;""),F773&lt;&gt;"",F773&lt;=TODAY()),F773+ROW()/1000000,"")</f>
        <v/>
      </c>
    </row>
    <row r="774" customFormat="false" ht="15" hidden="false" customHeight="false" outlineLevel="0" collapsed="false">
      <c r="A774" s="12"/>
      <c r="B774" s="13"/>
      <c r="C774" s="13"/>
      <c r="D774" s="14"/>
      <c r="E774" s="15"/>
      <c r="F774" s="15"/>
      <c r="G774" s="12"/>
      <c r="H774" s="16" t="str">
        <f aca="false">IF(OR(A774="",C774=""),"",IFERROR(INDEX(Aşamalar!$B$5:$B$12,MATCH(C774,Aşamalar!$A$5:$A$12,0)),0))</f>
        <v/>
      </c>
      <c r="I774" s="17" t="str">
        <f aca="false">IF(H774="","",D774*H774)</f>
        <v/>
      </c>
      <c r="J774" s="18" t="str">
        <f aca="true">IF(AND(AND(C774&lt;&gt;"Kazanıldı",C774&lt;&gt;"Kaybedildi",C774&lt;&gt;""),F774&lt;&gt;""),IF(F774&lt;TODAY(),"Gecikti",IF(F774=TODAY(),"Bugün","")),"")</f>
        <v/>
      </c>
      <c r="K774" s="18" t="str">
        <f aca="true">IF(AND(AND(C774&lt;&gt;"Kazanıldı",C774&lt;&gt;"Kaybedildi",C774&lt;&gt;""),F774&lt;&gt;"",F774&lt;=TODAY()),F774+ROW()/1000000,"")</f>
        <v/>
      </c>
    </row>
    <row r="775" customFormat="false" ht="15" hidden="false" customHeight="false" outlineLevel="0" collapsed="false">
      <c r="A775" s="12"/>
      <c r="B775" s="13"/>
      <c r="C775" s="13"/>
      <c r="D775" s="14"/>
      <c r="E775" s="15"/>
      <c r="F775" s="15"/>
      <c r="G775" s="12"/>
      <c r="H775" s="16" t="str">
        <f aca="false">IF(OR(A775="",C775=""),"",IFERROR(INDEX(Aşamalar!$B$5:$B$12,MATCH(C775,Aşamalar!$A$5:$A$12,0)),0))</f>
        <v/>
      </c>
      <c r="I775" s="17" t="str">
        <f aca="false">IF(H775="","",D775*H775)</f>
        <v/>
      </c>
      <c r="J775" s="18" t="str">
        <f aca="true">IF(AND(AND(C775&lt;&gt;"Kazanıldı",C775&lt;&gt;"Kaybedildi",C775&lt;&gt;""),F775&lt;&gt;""),IF(F775&lt;TODAY(),"Gecikti",IF(F775=TODAY(),"Bugün","")),"")</f>
        <v/>
      </c>
      <c r="K775" s="18" t="str">
        <f aca="true">IF(AND(AND(C775&lt;&gt;"Kazanıldı",C775&lt;&gt;"Kaybedildi",C775&lt;&gt;""),F775&lt;&gt;"",F775&lt;=TODAY()),F775+ROW()/1000000,"")</f>
        <v/>
      </c>
    </row>
    <row r="776" customFormat="false" ht="15" hidden="false" customHeight="false" outlineLevel="0" collapsed="false">
      <c r="A776" s="12"/>
      <c r="B776" s="13"/>
      <c r="C776" s="13"/>
      <c r="D776" s="14"/>
      <c r="E776" s="15"/>
      <c r="F776" s="15"/>
      <c r="G776" s="12"/>
      <c r="H776" s="16" t="str">
        <f aca="false">IF(OR(A776="",C776=""),"",IFERROR(INDEX(Aşamalar!$B$5:$B$12,MATCH(C776,Aşamalar!$A$5:$A$12,0)),0))</f>
        <v/>
      </c>
      <c r="I776" s="17" t="str">
        <f aca="false">IF(H776="","",D776*H776)</f>
        <v/>
      </c>
      <c r="J776" s="18" t="str">
        <f aca="true">IF(AND(AND(C776&lt;&gt;"Kazanıldı",C776&lt;&gt;"Kaybedildi",C776&lt;&gt;""),F776&lt;&gt;""),IF(F776&lt;TODAY(),"Gecikti",IF(F776=TODAY(),"Bugün","")),"")</f>
        <v/>
      </c>
      <c r="K776" s="18" t="str">
        <f aca="true">IF(AND(AND(C776&lt;&gt;"Kazanıldı",C776&lt;&gt;"Kaybedildi",C776&lt;&gt;""),F776&lt;&gt;"",F776&lt;=TODAY()),F776+ROW()/1000000,"")</f>
        <v/>
      </c>
    </row>
    <row r="777" customFormat="false" ht="15" hidden="false" customHeight="false" outlineLevel="0" collapsed="false">
      <c r="A777" s="12"/>
      <c r="B777" s="13"/>
      <c r="C777" s="13"/>
      <c r="D777" s="14"/>
      <c r="E777" s="15"/>
      <c r="F777" s="15"/>
      <c r="G777" s="12"/>
      <c r="H777" s="16" t="str">
        <f aca="false">IF(OR(A777="",C777=""),"",IFERROR(INDEX(Aşamalar!$B$5:$B$12,MATCH(C777,Aşamalar!$A$5:$A$12,0)),0))</f>
        <v/>
      </c>
      <c r="I777" s="17" t="str">
        <f aca="false">IF(H777="","",D777*H777)</f>
        <v/>
      </c>
      <c r="J777" s="18" t="str">
        <f aca="true">IF(AND(AND(C777&lt;&gt;"Kazanıldı",C777&lt;&gt;"Kaybedildi",C777&lt;&gt;""),F777&lt;&gt;""),IF(F777&lt;TODAY(),"Gecikti",IF(F777=TODAY(),"Bugün","")),"")</f>
        <v/>
      </c>
      <c r="K777" s="18" t="str">
        <f aca="true">IF(AND(AND(C777&lt;&gt;"Kazanıldı",C777&lt;&gt;"Kaybedildi",C777&lt;&gt;""),F777&lt;&gt;"",F777&lt;=TODAY()),F777+ROW()/1000000,"")</f>
        <v/>
      </c>
    </row>
    <row r="778" customFormat="false" ht="15" hidden="false" customHeight="false" outlineLevel="0" collapsed="false">
      <c r="A778" s="12"/>
      <c r="B778" s="13"/>
      <c r="C778" s="13"/>
      <c r="D778" s="14"/>
      <c r="E778" s="15"/>
      <c r="F778" s="15"/>
      <c r="G778" s="12"/>
      <c r="H778" s="16" t="str">
        <f aca="false">IF(OR(A778="",C778=""),"",IFERROR(INDEX(Aşamalar!$B$5:$B$12,MATCH(C778,Aşamalar!$A$5:$A$12,0)),0))</f>
        <v/>
      </c>
      <c r="I778" s="17" t="str">
        <f aca="false">IF(H778="","",D778*H778)</f>
        <v/>
      </c>
      <c r="J778" s="18" t="str">
        <f aca="true">IF(AND(AND(C778&lt;&gt;"Kazanıldı",C778&lt;&gt;"Kaybedildi",C778&lt;&gt;""),F778&lt;&gt;""),IF(F778&lt;TODAY(),"Gecikti",IF(F778=TODAY(),"Bugün","")),"")</f>
        <v/>
      </c>
      <c r="K778" s="18" t="str">
        <f aca="true">IF(AND(AND(C778&lt;&gt;"Kazanıldı",C778&lt;&gt;"Kaybedildi",C778&lt;&gt;""),F778&lt;&gt;"",F778&lt;=TODAY()),F778+ROW()/1000000,"")</f>
        <v/>
      </c>
    </row>
    <row r="779" customFormat="false" ht="15" hidden="false" customHeight="false" outlineLevel="0" collapsed="false">
      <c r="A779" s="12"/>
      <c r="B779" s="13"/>
      <c r="C779" s="13"/>
      <c r="D779" s="14"/>
      <c r="E779" s="15"/>
      <c r="F779" s="15"/>
      <c r="G779" s="12"/>
      <c r="H779" s="16" t="str">
        <f aca="false">IF(OR(A779="",C779=""),"",IFERROR(INDEX(Aşamalar!$B$5:$B$12,MATCH(C779,Aşamalar!$A$5:$A$12,0)),0))</f>
        <v/>
      </c>
      <c r="I779" s="17" t="str">
        <f aca="false">IF(H779="","",D779*H779)</f>
        <v/>
      </c>
      <c r="J779" s="18" t="str">
        <f aca="true">IF(AND(AND(C779&lt;&gt;"Kazanıldı",C779&lt;&gt;"Kaybedildi",C779&lt;&gt;""),F779&lt;&gt;""),IF(F779&lt;TODAY(),"Gecikti",IF(F779=TODAY(),"Bugün","")),"")</f>
        <v/>
      </c>
      <c r="K779" s="18" t="str">
        <f aca="true">IF(AND(AND(C779&lt;&gt;"Kazanıldı",C779&lt;&gt;"Kaybedildi",C779&lt;&gt;""),F779&lt;&gt;"",F779&lt;=TODAY()),F779+ROW()/1000000,"")</f>
        <v/>
      </c>
    </row>
    <row r="780" customFormat="false" ht="15" hidden="false" customHeight="false" outlineLevel="0" collapsed="false">
      <c r="A780" s="12"/>
      <c r="B780" s="13"/>
      <c r="C780" s="13"/>
      <c r="D780" s="14"/>
      <c r="E780" s="15"/>
      <c r="F780" s="15"/>
      <c r="G780" s="12"/>
      <c r="H780" s="16" t="str">
        <f aca="false">IF(OR(A780="",C780=""),"",IFERROR(INDEX(Aşamalar!$B$5:$B$12,MATCH(C780,Aşamalar!$A$5:$A$12,0)),0))</f>
        <v/>
      </c>
      <c r="I780" s="17" t="str">
        <f aca="false">IF(H780="","",D780*H780)</f>
        <v/>
      </c>
      <c r="J780" s="18" t="str">
        <f aca="true">IF(AND(AND(C780&lt;&gt;"Kazanıldı",C780&lt;&gt;"Kaybedildi",C780&lt;&gt;""),F780&lt;&gt;""),IF(F780&lt;TODAY(),"Gecikti",IF(F780=TODAY(),"Bugün","")),"")</f>
        <v/>
      </c>
      <c r="K780" s="18" t="str">
        <f aca="true">IF(AND(AND(C780&lt;&gt;"Kazanıldı",C780&lt;&gt;"Kaybedildi",C780&lt;&gt;""),F780&lt;&gt;"",F780&lt;=TODAY()),F780+ROW()/1000000,"")</f>
        <v/>
      </c>
    </row>
    <row r="781" customFormat="false" ht="15" hidden="false" customHeight="false" outlineLevel="0" collapsed="false">
      <c r="A781" s="12"/>
      <c r="B781" s="13"/>
      <c r="C781" s="13"/>
      <c r="D781" s="14"/>
      <c r="E781" s="15"/>
      <c r="F781" s="15"/>
      <c r="G781" s="12"/>
      <c r="H781" s="16" t="str">
        <f aca="false">IF(OR(A781="",C781=""),"",IFERROR(INDEX(Aşamalar!$B$5:$B$12,MATCH(C781,Aşamalar!$A$5:$A$12,0)),0))</f>
        <v/>
      </c>
      <c r="I781" s="17" t="str">
        <f aca="false">IF(H781="","",D781*H781)</f>
        <v/>
      </c>
      <c r="J781" s="18" t="str">
        <f aca="true">IF(AND(AND(C781&lt;&gt;"Kazanıldı",C781&lt;&gt;"Kaybedildi",C781&lt;&gt;""),F781&lt;&gt;""),IF(F781&lt;TODAY(),"Gecikti",IF(F781=TODAY(),"Bugün","")),"")</f>
        <v/>
      </c>
      <c r="K781" s="18" t="str">
        <f aca="true">IF(AND(AND(C781&lt;&gt;"Kazanıldı",C781&lt;&gt;"Kaybedildi",C781&lt;&gt;""),F781&lt;&gt;"",F781&lt;=TODAY()),F781+ROW()/1000000,"")</f>
        <v/>
      </c>
    </row>
    <row r="782" customFormat="false" ht="15" hidden="false" customHeight="false" outlineLevel="0" collapsed="false">
      <c r="A782" s="12"/>
      <c r="B782" s="13"/>
      <c r="C782" s="13"/>
      <c r="D782" s="14"/>
      <c r="E782" s="15"/>
      <c r="F782" s="15"/>
      <c r="G782" s="12"/>
      <c r="H782" s="16" t="str">
        <f aca="false">IF(OR(A782="",C782=""),"",IFERROR(INDEX(Aşamalar!$B$5:$B$12,MATCH(C782,Aşamalar!$A$5:$A$12,0)),0))</f>
        <v/>
      </c>
      <c r="I782" s="17" t="str">
        <f aca="false">IF(H782="","",D782*H782)</f>
        <v/>
      </c>
      <c r="J782" s="18" t="str">
        <f aca="true">IF(AND(AND(C782&lt;&gt;"Kazanıldı",C782&lt;&gt;"Kaybedildi",C782&lt;&gt;""),F782&lt;&gt;""),IF(F782&lt;TODAY(),"Gecikti",IF(F782=TODAY(),"Bugün","")),"")</f>
        <v/>
      </c>
      <c r="K782" s="18" t="str">
        <f aca="true">IF(AND(AND(C782&lt;&gt;"Kazanıldı",C782&lt;&gt;"Kaybedildi",C782&lt;&gt;""),F782&lt;&gt;"",F782&lt;=TODAY()),F782+ROW()/1000000,"")</f>
        <v/>
      </c>
    </row>
    <row r="783" customFormat="false" ht="15" hidden="false" customHeight="false" outlineLevel="0" collapsed="false">
      <c r="A783" s="12"/>
      <c r="B783" s="13"/>
      <c r="C783" s="13"/>
      <c r="D783" s="14"/>
      <c r="E783" s="15"/>
      <c r="F783" s="15"/>
      <c r="G783" s="12"/>
      <c r="H783" s="16" t="str">
        <f aca="false">IF(OR(A783="",C783=""),"",IFERROR(INDEX(Aşamalar!$B$5:$B$12,MATCH(C783,Aşamalar!$A$5:$A$12,0)),0))</f>
        <v/>
      </c>
      <c r="I783" s="17" t="str">
        <f aca="false">IF(H783="","",D783*H783)</f>
        <v/>
      </c>
      <c r="J783" s="18" t="str">
        <f aca="true">IF(AND(AND(C783&lt;&gt;"Kazanıldı",C783&lt;&gt;"Kaybedildi",C783&lt;&gt;""),F783&lt;&gt;""),IF(F783&lt;TODAY(),"Gecikti",IF(F783=TODAY(),"Bugün","")),"")</f>
        <v/>
      </c>
      <c r="K783" s="18" t="str">
        <f aca="true">IF(AND(AND(C783&lt;&gt;"Kazanıldı",C783&lt;&gt;"Kaybedildi",C783&lt;&gt;""),F783&lt;&gt;"",F783&lt;=TODAY()),F783+ROW()/1000000,"")</f>
        <v/>
      </c>
    </row>
    <row r="784" customFormat="false" ht="15" hidden="false" customHeight="false" outlineLevel="0" collapsed="false">
      <c r="A784" s="12"/>
      <c r="B784" s="13"/>
      <c r="C784" s="13"/>
      <c r="D784" s="14"/>
      <c r="E784" s="15"/>
      <c r="F784" s="15"/>
      <c r="G784" s="12"/>
      <c r="H784" s="16" t="str">
        <f aca="false">IF(OR(A784="",C784=""),"",IFERROR(INDEX(Aşamalar!$B$5:$B$12,MATCH(C784,Aşamalar!$A$5:$A$12,0)),0))</f>
        <v/>
      </c>
      <c r="I784" s="17" t="str">
        <f aca="false">IF(H784="","",D784*H784)</f>
        <v/>
      </c>
      <c r="J784" s="18" t="str">
        <f aca="true">IF(AND(AND(C784&lt;&gt;"Kazanıldı",C784&lt;&gt;"Kaybedildi",C784&lt;&gt;""),F784&lt;&gt;""),IF(F784&lt;TODAY(),"Gecikti",IF(F784=TODAY(),"Bugün","")),"")</f>
        <v/>
      </c>
      <c r="K784" s="18" t="str">
        <f aca="true">IF(AND(AND(C784&lt;&gt;"Kazanıldı",C784&lt;&gt;"Kaybedildi",C784&lt;&gt;""),F784&lt;&gt;"",F784&lt;=TODAY()),F784+ROW()/1000000,"")</f>
        <v/>
      </c>
    </row>
    <row r="785" customFormat="false" ht="15" hidden="false" customHeight="false" outlineLevel="0" collapsed="false">
      <c r="A785" s="12"/>
      <c r="B785" s="13"/>
      <c r="C785" s="13"/>
      <c r="D785" s="14"/>
      <c r="E785" s="15"/>
      <c r="F785" s="15"/>
      <c r="G785" s="12"/>
      <c r="H785" s="16" t="str">
        <f aca="false">IF(OR(A785="",C785=""),"",IFERROR(INDEX(Aşamalar!$B$5:$B$12,MATCH(C785,Aşamalar!$A$5:$A$12,0)),0))</f>
        <v/>
      </c>
      <c r="I785" s="17" t="str">
        <f aca="false">IF(H785="","",D785*H785)</f>
        <v/>
      </c>
      <c r="J785" s="18" t="str">
        <f aca="true">IF(AND(AND(C785&lt;&gt;"Kazanıldı",C785&lt;&gt;"Kaybedildi",C785&lt;&gt;""),F785&lt;&gt;""),IF(F785&lt;TODAY(),"Gecikti",IF(F785=TODAY(),"Bugün","")),"")</f>
        <v/>
      </c>
      <c r="K785" s="18" t="str">
        <f aca="true">IF(AND(AND(C785&lt;&gt;"Kazanıldı",C785&lt;&gt;"Kaybedildi",C785&lt;&gt;""),F785&lt;&gt;"",F785&lt;=TODAY()),F785+ROW()/1000000,"")</f>
        <v/>
      </c>
    </row>
    <row r="786" customFormat="false" ht="15" hidden="false" customHeight="false" outlineLevel="0" collapsed="false">
      <c r="A786" s="12"/>
      <c r="B786" s="13"/>
      <c r="C786" s="13"/>
      <c r="D786" s="14"/>
      <c r="E786" s="15"/>
      <c r="F786" s="15"/>
      <c r="G786" s="12"/>
      <c r="H786" s="16" t="str">
        <f aca="false">IF(OR(A786="",C786=""),"",IFERROR(INDEX(Aşamalar!$B$5:$B$12,MATCH(C786,Aşamalar!$A$5:$A$12,0)),0))</f>
        <v/>
      </c>
      <c r="I786" s="17" t="str">
        <f aca="false">IF(H786="","",D786*H786)</f>
        <v/>
      </c>
      <c r="J786" s="18" t="str">
        <f aca="true">IF(AND(AND(C786&lt;&gt;"Kazanıldı",C786&lt;&gt;"Kaybedildi",C786&lt;&gt;""),F786&lt;&gt;""),IF(F786&lt;TODAY(),"Gecikti",IF(F786=TODAY(),"Bugün","")),"")</f>
        <v/>
      </c>
      <c r="K786" s="18" t="str">
        <f aca="true">IF(AND(AND(C786&lt;&gt;"Kazanıldı",C786&lt;&gt;"Kaybedildi",C786&lt;&gt;""),F786&lt;&gt;"",F786&lt;=TODAY()),F786+ROW()/1000000,"")</f>
        <v/>
      </c>
    </row>
    <row r="787" customFormat="false" ht="15" hidden="false" customHeight="false" outlineLevel="0" collapsed="false">
      <c r="A787" s="12"/>
      <c r="B787" s="13"/>
      <c r="C787" s="13"/>
      <c r="D787" s="14"/>
      <c r="E787" s="15"/>
      <c r="F787" s="15"/>
      <c r="G787" s="12"/>
      <c r="H787" s="16" t="str">
        <f aca="false">IF(OR(A787="",C787=""),"",IFERROR(INDEX(Aşamalar!$B$5:$B$12,MATCH(C787,Aşamalar!$A$5:$A$12,0)),0))</f>
        <v/>
      </c>
      <c r="I787" s="17" t="str">
        <f aca="false">IF(H787="","",D787*H787)</f>
        <v/>
      </c>
      <c r="J787" s="18" t="str">
        <f aca="true">IF(AND(AND(C787&lt;&gt;"Kazanıldı",C787&lt;&gt;"Kaybedildi",C787&lt;&gt;""),F787&lt;&gt;""),IF(F787&lt;TODAY(),"Gecikti",IF(F787=TODAY(),"Bugün","")),"")</f>
        <v/>
      </c>
      <c r="K787" s="18" t="str">
        <f aca="true">IF(AND(AND(C787&lt;&gt;"Kazanıldı",C787&lt;&gt;"Kaybedildi",C787&lt;&gt;""),F787&lt;&gt;"",F787&lt;=TODAY()),F787+ROW()/1000000,"")</f>
        <v/>
      </c>
    </row>
    <row r="788" customFormat="false" ht="15" hidden="false" customHeight="false" outlineLevel="0" collapsed="false">
      <c r="A788" s="12"/>
      <c r="B788" s="13"/>
      <c r="C788" s="13"/>
      <c r="D788" s="14"/>
      <c r="E788" s="15"/>
      <c r="F788" s="15"/>
      <c r="G788" s="12"/>
      <c r="H788" s="16" t="str">
        <f aca="false">IF(OR(A788="",C788=""),"",IFERROR(INDEX(Aşamalar!$B$5:$B$12,MATCH(C788,Aşamalar!$A$5:$A$12,0)),0))</f>
        <v/>
      </c>
      <c r="I788" s="17" t="str">
        <f aca="false">IF(H788="","",D788*H788)</f>
        <v/>
      </c>
      <c r="J788" s="18" t="str">
        <f aca="true">IF(AND(AND(C788&lt;&gt;"Kazanıldı",C788&lt;&gt;"Kaybedildi",C788&lt;&gt;""),F788&lt;&gt;""),IF(F788&lt;TODAY(),"Gecikti",IF(F788=TODAY(),"Bugün","")),"")</f>
        <v/>
      </c>
      <c r="K788" s="18" t="str">
        <f aca="true">IF(AND(AND(C788&lt;&gt;"Kazanıldı",C788&lt;&gt;"Kaybedildi",C788&lt;&gt;""),F788&lt;&gt;"",F788&lt;=TODAY()),F788+ROW()/1000000,"")</f>
        <v/>
      </c>
    </row>
    <row r="789" customFormat="false" ht="15" hidden="false" customHeight="false" outlineLevel="0" collapsed="false">
      <c r="A789" s="12"/>
      <c r="B789" s="13"/>
      <c r="C789" s="13"/>
      <c r="D789" s="14"/>
      <c r="E789" s="15"/>
      <c r="F789" s="15"/>
      <c r="G789" s="12"/>
      <c r="H789" s="16" t="str">
        <f aca="false">IF(OR(A789="",C789=""),"",IFERROR(INDEX(Aşamalar!$B$5:$B$12,MATCH(C789,Aşamalar!$A$5:$A$12,0)),0))</f>
        <v/>
      </c>
      <c r="I789" s="17" t="str">
        <f aca="false">IF(H789="","",D789*H789)</f>
        <v/>
      </c>
      <c r="J789" s="18" t="str">
        <f aca="true">IF(AND(AND(C789&lt;&gt;"Kazanıldı",C789&lt;&gt;"Kaybedildi",C789&lt;&gt;""),F789&lt;&gt;""),IF(F789&lt;TODAY(),"Gecikti",IF(F789=TODAY(),"Bugün","")),"")</f>
        <v/>
      </c>
      <c r="K789" s="18" t="str">
        <f aca="true">IF(AND(AND(C789&lt;&gt;"Kazanıldı",C789&lt;&gt;"Kaybedildi",C789&lt;&gt;""),F789&lt;&gt;"",F789&lt;=TODAY()),F789+ROW()/1000000,"")</f>
        <v/>
      </c>
    </row>
    <row r="790" customFormat="false" ht="15" hidden="false" customHeight="false" outlineLevel="0" collapsed="false">
      <c r="A790" s="12"/>
      <c r="B790" s="13"/>
      <c r="C790" s="13"/>
      <c r="D790" s="14"/>
      <c r="E790" s="15"/>
      <c r="F790" s="15"/>
      <c r="G790" s="12"/>
      <c r="H790" s="16" t="str">
        <f aca="false">IF(OR(A790="",C790=""),"",IFERROR(INDEX(Aşamalar!$B$5:$B$12,MATCH(C790,Aşamalar!$A$5:$A$12,0)),0))</f>
        <v/>
      </c>
      <c r="I790" s="17" t="str">
        <f aca="false">IF(H790="","",D790*H790)</f>
        <v/>
      </c>
      <c r="J790" s="18" t="str">
        <f aca="true">IF(AND(AND(C790&lt;&gt;"Kazanıldı",C790&lt;&gt;"Kaybedildi",C790&lt;&gt;""),F790&lt;&gt;""),IF(F790&lt;TODAY(),"Gecikti",IF(F790=TODAY(),"Bugün","")),"")</f>
        <v/>
      </c>
      <c r="K790" s="18" t="str">
        <f aca="true">IF(AND(AND(C790&lt;&gt;"Kazanıldı",C790&lt;&gt;"Kaybedildi",C790&lt;&gt;""),F790&lt;&gt;"",F790&lt;=TODAY()),F790+ROW()/1000000,"")</f>
        <v/>
      </c>
    </row>
    <row r="791" customFormat="false" ht="15" hidden="false" customHeight="false" outlineLevel="0" collapsed="false">
      <c r="A791" s="12"/>
      <c r="B791" s="13"/>
      <c r="C791" s="13"/>
      <c r="D791" s="14"/>
      <c r="E791" s="15"/>
      <c r="F791" s="15"/>
      <c r="G791" s="12"/>
      <c r="H791" s="16" t="str">
        <f aca="false">IF(OR(A791="",C791=""),"",IFERROR(INDEX(Aşamalar!$B$5:$B$12,MATCH(C791,Aşamalar!$A$5:$A$12,0)),0))</f>
        <v/>
      </c>
      <c r="I791" s="17" t="str">
        <f aca="false">IF(H791="","",D791*H791)</f>
        <v/>
      </c>
      <c r="J791" s="18" t="str">
        <f aca="true">IF(AND(AND(C791&lt;&gt;"Kazanıldı",C791&lt;&gt;"Kaybedildi",C791&lt;&gt;""),F791&lt;&gt;""),IF(F791&lt;TODAY(),"Gecikti",IF(F791=TODAY(),"Bugün","")),"")</f>
        <v/>
      </c>
      <c r="K791" s="18" t="str">
        <f aca="true">IF(AND(AND(C791&lt;&gt;"Kazanıldı",C791&lt;&gt;"Kaybedildi",C791&lt;&gt;""),F791&lt;&gt;"",F791&lt;=TODAY()),F791+ROW()/1000000,"")</f>
        <v/>
      </c>
    </row>
    <row r="792" customFormat="false" ht="15" hidden="false" customHeight="false" outlineLevel="0" collapsed="false">
      <c r="A792" s="12"/>
      <c r="B792" s="13"/>
      <c r="C792" s="13"/>
      <c r="D792" s="14"/>
      <c r="E792" s="15"/>
      <c r="F792" s="15"/>
      <c r="G792" s="12"/>
      <c r="H792" s="16" t="str">
        <f aca="false">IF(OR(A792="",C792=""),"",IFERROR(INDEX(Aşamalar!$B$5:$B$12,MATCH(C792,Aşamalar!$A$5:$A$12,0)),0))</f>
        <v/>
      </c>
      <c r="I792" s="17" t="str">
        <f aca="false">IF(H792="","",D792*H792)</f>
        <v/>
      </c>
      <c r="J792" s="18" t="str">
        <f aca="true">IF(AND(AND(C792&lt;&gt;"Kazanıldı",C792&lt;&gt;"Kaybedildi",C792&lt;&gt;""),F792&lt;&gt;""),IF(F792&lt;TODAY(),"Gecikti",IF(F792=TODAY(),"Bugün","")),"")</f>
        <v/>
      </c>
      <c r="K792" s="18" t="str">
        <f aca="true">IF(AND(AND(C792&lt;&gt;"Kazanıldı",C792&lt;&gt;"Kaybedildi",C792&lt;&gt;""),F792&lt;&gt;"",F792&lt;=TODAY()),F792+ROW()/1000000,"")</f>
        <v/>
      </c>
    </row>
    <row r="793" customFormat="false" ht="15" hidden="false" customHeight="false" outlineLevel="0" collapsed="false">
      <c r="A793" s="12"/>
      <c r="B793" s="13"/>
      <c r="C793" s="13"/>
      <c r="D793" s="14"/>
      <c r="E793" s="15"/>
      <c r="F793" s="15"/>
      <c r="G793" s="12"/>
      <c r="H793" s="16" t="str">
        <f aca="false">IF(OR(A793="",C793=""),"",IFERROR(INDEX(Aşamalar!$B$5:$B$12,MATCH(C793,Aşamalar!$A$5:$A$12,0)),0))</f>
        <v/>
      </c>
      <c r="I793" s="17" t="str">
        <f aca="false">IF(H793="","",D793*H793)</f>
        <v/>
      </c>
      <c r="J793" s="18" t="str">
        <f aca="true">IF(AND(AND(C793&lt;&gt;"Kazanıldı",C793&lt;&gt;"Kaybedildi",C793&lt;&gt;""),F793&lt;&gt;""),IF(F793&lt;TODAY(),"Gecikti",IF(F793=TODAY(),"Bugün","")),"")</f>
        <v/>
      </c>
      <c r="K793" s="18" t="str">
        <f aca="true">IF(AND(AND(C793&lt;&gt;"Kazanıldı",C793&lt;&gt;"Kaybedildi",C793&lt;&gt;""),F793&lt;&gt;"",F793&lt;=TODAY()),F793+ROW()/1000000,"")</f>
        <v/>
      </c>
    </row>
    <row r="794" customFormat="false" ht="15" hidden="false" customHeight="false" outlineLevel="0" collapsed="false">
      <c r="A794" s="12"/>
      <c r="B794" s="13"/>
      <c r="C794" s="13"/>
      <c r="D794" s="14"/>
      <c r="E794" s="15"/>
      <c r="F794" s="15"/>
      <c r="G794" s="12"/>
      <c r="H794" s="16" t="str">
        <f aca="false">IF(OR(A794="",C794=""),"",IFERROR(INDEX(Aşamalar!$B$5:$B$12,MATCH(C794,Aşamalar!$A$5:$A$12,0)),0))</f>
        <v/>
      </c>
      <c r="I794" s="17" t="str">
        <f aca="false">IF(H794="","",D794*H794)</f>
        <v/>
      </c>
      <c r="J794" s="18" t="str">
        <f aca="true">IF(AND(AND(C794&lt;&gt;"Kazanıldı",C794&lt;&gt;"Kaybedildi",C794&lt;&gt;""),F794&lt;&gt;""),IF(F794&lt;TODAY(),"Gecikti",IF(F794=TODAY(),"Bugün","")),"")</f>
        <v/>
      </c>
      <c r="K794" s="18" t="str">
        <f aca="true">IF(AND(AND(C794&lt;&gt;"Kazanıldı",C794&lt;&gt;"Kaybedildi",C794&lt;&gt;""),F794&lt;&gt;"",F794&lt;=TODAY()),F794+ROW()/1000000,"")</f>
        <v/>
      </c>
    </row>
    <row r="795" customFormat="false" ht="15" hidden="false" customHeight="false" outlineLevel="0" collapsed="false">
      <c r="A795" s="12"/>
      <c r="B795" s="13"/>
      <c r="C795" s="13"/>
      <c r="D795" s="14"/>
      <c r="E795" s="15"/>
      <c r="F795" s="15"/>
      <c r="G795" s="12"/>
      <c r="H795" s="16" t="str">
        <f aca="false">IF(OR(A795="",C795=""),"",IFERROR(INDEX(Aşamalar!$B$5:$B$12,MATCH(C795,Aşamalar!$A$5:$A$12,0)),0))</f>
        <v/>
      </c>
      <c r="I795" s="17" t="str">
        <f aca="false">IF(H795="","",D795*H795)</f>
        <v/>
      </c>
      <c r="J795" s="18" t="str">
        <f aca="true">IF(AND(AND(C795&lt;&gt;"Kazanıldı",C795&lt;&gt;"Kaybedildi",C795&lt;&gt;""),F795&lt;&gt;""),IF(F795&lt;TODAY(),"Gecikti",IF(F795=TODAY(),"Bugün","")),"")</f>
        <v/>
      </c>
      <c r="K795" s="18" t="str">
        <f aca="true">IF(AND(AND(C795&lt;&gt;"Kazanıldı",C795&lt;&gt;"Kaybedildi",C795&lt;&gt;""),F795&lt;&gt;"",F795&lt;=TODAY()),F795+ROW()/1000000,"")</f>
        <v/>
      </c>
    </row>
    <row r="796" customFormat="false" ht="15" hidden="false" customHeight="false" outlineLevel="0" collapsed="false">
      <c r="A796" s="12"/>
      <c r="B796" s="13"/>
      <c r="C796" s="13"/>
      <c r="D796" s="14"/>
      <c r="E796" s="15"/>
      <c r="F796" s="15"/>
      <c r="G796" s="12"/>
      <c r="H796" s="16" t="str">
        <f aca="false">IF(OR(A796="",C796=""),"",IFERROR(INDEX(Aşamalar!$B$5:$B$12,MATCH(C796,Aşamalar!$A$5:$A$12,0)),0))</f>
        <v/>
      </c>
      <c r="I796" s="17" t="str">
        <f aca="false">IF(H796="","",D796*H796)</f>
        <v/>
      </c>
      <c r="J796" s="18" t="str">
        <f aca="true">IF(AND(AND(C796&lt;&gt;"Kazanıldı",C796&lt;&gt;"Kaybedildi",C796&lt;&gt;""),F796&lt;&gt;""),IF(F796&lt;TODAY(),"Gecikti",IF(F796=TODAY(),"Bugün","")),"")</f>
        <v/>
      </c>
      <c r="K796" s="18" t="str">
        <f aca="true">IF(AND(AND(C796&lt;&gt;"Kazanıldı",C796&lt;&gt;"Kaybedildi",C796&lt;&gt;""),F796&lt;&gt;"",F796&lt;=TODAY()),F796+ROW()/1000000,"")</f>
        <v/>
      </c>
    </row>
    <row r="797" customFormat="false" ht="15" hidden="false" customHeight="false" outlineLevel="0" collapsed="false">
      <c r="A797" s="12"/>
      <c r="B797" s="13"/>
      <c r="C797" s="13"/>
      <c r="D797" s="14"/>
      <c r="E797" s="15"/>
      <c r="F797" s="15"/>
      <c r="G797" s="12"/>
      <c r="H797" s="16" t="str">
        <f aca="false">IF(OR(A797="",C797=""),"",IFERROR(INDEX(Aşamalar!$B$5:$B$12,MATCH(C797,Aşamalar!$A$5:$A$12,0)),0))</f>
        <v/>
      </c>
      <c r="I797" s="17" t="str">
        <f aca="false">IF(H797="","",D797*H797)</f>
        <v/>
      </c>
      <c r="J797" s="18" t="str">
        <f aca="true">IF(AND(AND(C797&lt;&gt;"Kazanıldı",C797&lt;&gt;"Kaybedildi",C797&lt;&gt;""),F797&lt;&gt;""),IF(F797&lt;TODAY(),"Gecikti",IF(F797=TODAY(),"Bugün","")),"")</f>
        <v/>
      </c>
      <c r="K797" s="18" t="str">
        <f aca="true">IF(AND(AND(C797&lt;&gt;"Kazanıldı",C797&lt;&gt;"Kaybedildi",C797&lt;&gt;""),F797&lt;&gt;"",F797&lt;=TODAY()),F797+ROW()/1000000,"")</f>
        <v/>
      </c>
    </row>
    <row r="798" customFormat="false" ht="15" hidden="false" customHeight="false" outlineLevel="0" collapsed="false">
      <c r="A798" s="12"/>
      <c r="B798" s="13"/>
      <c r="C798" s="13"/>
      <c r="D798" s="14"/>
      <c r="E798" s="15"/>
      <c r="F798" s="15"/>
      <c r="G798" s="12"/>
      <c r="H798" s="16" t="str">
        <f aca="false">IF(OR(A798="",C798=""),"",IFERROR(INDEX(Aşamalar!$B$5:$B$12,MATCH(C798,Aşamalar!$A$5:$A$12,0)),0))</f>
        <v/>
      </c>
      <c r="I798" s="17" t="str">
        <f aca="false">IF(H798="","",D798*H798)</f>
        <v/>
      </c>
      <c r="J798" s="18" t="str">
        <f aca="true">IF(AND(AND(C798&lt;&gt;"Kazanıldı",C798&lt;&gt;"Kaybedildi",C798&lt;&gt;""),F798&lt;&gt;""),IF(F798&lt;TODAY(),"Gecikti",IF(F798=TODAY(),"Bugün","")),"")</f>
        <v/>
      </c>
      <c r="K798" s="18" t="str">
        <f aca="true">IF(AND(AND(C798&lt;&gt;"Kazanıldı",C798&lt;&gt;"Kaybedildi",C798&lt;&gt;""),F798&lt;&gt;"",F798&lt;=TODAY()),F798+ROW()/1000000,"")</f>
        <v/>
      </c>
    </row>
    <row r="799" customFormat="false" ht="15" hidden="false" customHeight="false" outlineLevel="0" collapsed="false">
      <c r="A799" s="12"/>
      <c r="B799" s="13"/>
      <c r="C799" s="13"/>
      <c r="D799" s="14"/>
      <c r="E799" s="15"/>
      <c r="F799" s="15"/>
      <c r="G799" s="12"/>
      <c r="H799" s="16" t="str">
        <f aca="false">IF(OR(A799="",C799=""),"",IFERROR(INDEX(Aşamalar!$B$5:$B$12,MATCH(C799,Aşamalar!$A$5:$A$12,0)),0))</f>
        <v/>
      </c>
      <c r="I799" s="17" t="str">
        <f aca="false">IF(H799="","",D799*H799)</f>
        <v/>
      </c>
      <c r="J799" s="18" t="str">
        <f aca="true">IF(AND(AND(C799&lt;&gt;"Kazanıldı",C799&lt;&gt;"Kaybedildi",C799&lt;&gt;""),F799&lt;&gt;""),IF(F799&lt;TODAY(),"Gecikti",IF(F799=TODAY(),"Bugün","")),"")</f>
        <v/>
      </c>
      <c r="K799" s="18" t="str">
        <f aca="true">IF(AND(AND(C799&lt;&gt;"Kazanıldı",C799&lt;&gt;"Kaybedildi",C799&lt;&gt;""),F799&lt;&gt;"",F799&lt;=TODAY()),F799+ROW()/1000000,"")</f>
        <v/>
      </c>
    </row>
    <row r="800" customFormat="false" ht="15" hidden="false" customHeight="false" outlineLevel="0" collapsed="false">
      <c r="A800" s="12"/>
      <c r="B800" s="13"/>
      <c r="C800" s="13"/>
      <c r="D800" s="14"/>
      <c r="E800" s="15"/>
      <c r="F800" s="15"/>
      <c r="G800" s="12"/>
      <c r="H800" s="16" t="str">
        <f aca="false">IF(OR(A800="",C800=""),"",IFERROR(INDEX(Aşamalar!$B$5:$B$12,MATCH(C800,Aşamalar!$A$5:$A$12,0)),0))</f>
        <v/>
      </c>
      <c r="I800" s="17" t="str">
        <f aca="false">IF(H800="","",D800*H800)</f>
        <v/>
      </c>
      <c r="J800" s="18" t="str">
        <f aca="true">IF(AND(AND(C800&lt;&gt;"Kazanıldı",C800&lt;&gt;"Kaybedildi",C800&lt;&gt;""),F800&lt;&gt;""),IF(F800&lt;TODAY(),"Gecikti",IF(F800=TODAY(),"Bugün","")),"")</f>
        <v/>
      </c>
      <c r="K800" s="18" t="str">
        <f aca="true">IF(AND(AND(C800&lt;&gt;"Kazanıldı",C800&lt;&gt;"Kaybedildi",C800&lt;&gt;""),F800&lt;&gt;"",F800&lt;=TODAY()),F800+ROW()/1000000,"")</f>
        <v/>
      </c>
    </row>
    <row r="801" customFormat="false" ht="15" hidden="false" customHeight="false" outlineLevel="0" collapsed="false">
      <c r="A801" s="12"/>
      <c r="B801" s="13"/>
      <c r="C801" s="13"/>
      <c r="D801" s="14"/>
      <c r="E801" s="15"/>
      <c r="F801" s="15"/>
      <c r="G801" s="12"/>
      <c r="H801" s="16" t="str">
        <f aca="false">IF(OR(A801="",C801=""),"",IFERROR(INDEX(Aşamalar!$B$5:$B$12,MATCH(C801,Aşamalar!$A$5:$A$12,0)),0))</f>
        <v/>
      </c>
      <c r="I801" s="17" t="str">
        <f aca="false">IF(H801="","",D801*H801)</f>
        <v/>
      </c>
      <c r="J801" s="18" t="str">
        <f aca="true">IF(AND(AND(C801&lt;&gt;"Kazanıldı",C801&lt;&gt;"Kaybedildi",C801&lt;&gt;""),F801&lt;&gt;""),IF(F801&lt;TODAY(),"Gecikti",IF(F801=TODAY(),"Bugün","")),"")</f>
        <v/>
      </c>
      <c r="K801" s="18" t="str">
        <f aca="true">IF(AND(AND(C801&lt;&gt;"Kazanıldı",C801&lt;&gt;"Kaybedildi",C801&lt;&gt;""),F801&lt;&gt;"",F801&lt;=TODAY()),F801+ROW()/1000000,"")</f>
        <v/>
      </c>
    </row>
    <row r="802" customFormat="false" ht="15" hidden="false" customHeight="false" outlineLevel="0" collapsed="false">
      <c r="A802" s="12"/>
      <c r="B802" s="13"/>
      <c r="C802" s="13"/>
      <c r="D802" s="14"/>
      <c r="E802" s="15"/>
      <c r="F802" s="15"/>
      <c r="G802" s="12"/>
      <c r="H802" s="16" t="str">
        <f aca="false">IF(OR(A802="",C802=""),"",IFERROR(INDEX(Aşamalar!$B$5:$B$12,MATCH(C802,Aşamalar!$A$5:$A$12,0)),0))</f>
        <v/>
      </c>
      <c r="I802" s="17" t="str">
        <f aca="false">IF(H802="","",D802*H802)</f>
        <v/>
      </c>
      <c r="J802" s="18" t="str">
        <f aca="true">IF(AND(AND(C802&lt;&gt;"Kazanıldı",C802&lt;&gt;"Kaybedildi",C802&lt;&gt;""),F802&lt;&gt;""),IF(F802&lt;TODAY(),"Gecikti",IF(F802=TODAY(),"Bugün","")),"")</f>
        <v/>
      </c>
      <c r="K802" s="18" t="str">
        <f aca="true">IF(AND(AND(C802&lt;&gt;"Kazanıldı",C802&lt;&gt;"Kaybedildi",C802&lt;&gt;""),F802&lt;&gt;"",F802&lt;=TODAY()),F802+ROW()/1000000,"")</f>
        <v/>
      </c>
    </row>
    <row r="803" customFormat="false" ht="15" hidden="false" customHeight="false" outlineLevel="0" collapsed="false">
      <c r="A803" s="12"/>
      <c r="B803" s="13"/>
      <c r="C803" s="13"/>
      <c r="D803" s="14"/>
      <c r="E803" s="15"/>
      <c r="F803" s="15"/>
      <c r="G803" s="12"/>
      <c r="H803" s="16" t="str">
        <f aca="false">IF(OR(A803="",C803=""),"",IFERROR(INDEX(Aşamalar!$B$5:$B$12,MATCH(C803,Aşamalar!$A$5:$A$12,0)),0))</f>
        <v/>
      </c>
      <c r="I803" s="17" t="str">
        <f aca="false">IF(H803="","",D803*H803)</f>
        <v/>
      </c>
      <c r="J803" s="18" t="str">
        <f aca="true">IF(AND(AND(C803&lt;&gt;"Kazanıldı",C803&lt;&gt;"Kaybedildi",C803&lt;&gt;""),F803&lt;&gt;""),IF(F803&lt;TODAY(),"Gecikti",IF(F803=TODAY(),"Bugün","")),"")</f>
        <v/>
      </c>
      <c r="K803" s="18" t="str">
        <f aca="true">IF(AND(AND(C803&lt;&gt;"Kazanıldı",C803&lt;&gt;"Kaybedildi",C803&lt;&gt;""),F803&lt;&gt;"",F803&lt;=TODAY()),F803+ROW()/1000000,"")</f>
        <v/>
      </c>
    </row>
    <row r="804" customFormat="false" ht="15" hidden="false" customHeight="false" outlineLevel="0" collapsed="false">
      <c r="A804" s="12"/>
      <c r="B804" s="13"/>
      <c r="C804" s="13"/>
      <c r="D804" s="14"/>
      <c r="E804" s="15"/>
      <c r="F804" s="15"/>
      <c r="G804" s="12"/>
      <c r="H804" s="16" t="str">
        <f aca="false">IF(OR(A804="",C804=""),"",IFERROR(INDEX(Aşamalar!$B$5:$B$12,MATCH(C804,Aşamalar!$A$5:$A$12,0)),0))</f>
        <v/>
      </c>
      <c r="I804" s="17" t="str">
        <f aca="false">IF(H804="","",D804*H804)</f>
        <v/>
      </c>
      <c r="J804" s="18" t="str">
        <f aca="true">IF(AND(AND(C804&lt;&gt;"Kazanıldı",C804&lt;&gt;"Kaybedildi",C804&lt;&gt;""),F804&lt;&gt;""),IF(F804&lt;TODAY(),"Gecikti",IF(F804=TODAY(),"Bugün","")),"")</f>
        <v/>
      </c>
      <c r="K804" s="18" t="str">
        <f aca="true">IF(AND(AND(C804&lt;&gt;"Kazanıldı",C804&lt;&gt;"Kaybedildi",C804&lt;&gt;""),F804&lt;&gt;"",F804&lt;=TODAY()),F804+ROW()/1000000,"")</f>
        <v/>
      </c>
    </row>
    <row r="805" customFormat="false" ht="15" hidden="false" customHeight="false" outlineLevel="0" collapsed="false">
      <c r="A805" s="12"/>
      <c r="B805" s="13"/>
      <c r="C805" s="13"/>
      <c r="D805" s="14"/>
      <c r="E805" s="15"/>
      <c r="F805" s="15"/>
      <c r="G805" s="12"/>
      <c r="H805" s="16" t="str">
        <f aca="false">IF(OR(A805="",C805=""),"",IFERROR(INDEX(Aşamalar!$B$5:$B$12,MATCH(C805,Aşamalar!$A$5:$A$12,0)),0))</f>
        <v/>
      </c>
      <c r="I805" s="17" t="str">
        <f aca="false">IF(H805="","",D805*H805)</f>
        <v/>
      </c>
      <c r="J805" s="18" t="str">
        <f aca="true">IF(AND(AND(C805&lt;&gt;"Kazanıldı",C805&lt;&gt;"Kaybedildi",C805&lt;&gt;""),F805&lt;&gt;""),IF(F805&lt;TODAY(),"Gecikti",IF(F805=TODAY(),"Bugün","")),"")</f>
        <v/>
      </c>
      <c r="K805" s="18" t="str">
        <f aca="true">IF(AND(AND(C805&lt;&gt;"Kazanıldı",C805&lt;&gt;"Kaybedildi",C805&lt;&gt;""),F805&lt;&gt;"",F805&lt;=TODAY()),F805+ROW()/1000000,"")</f>
        <v/>
      </c>
    </row>
    <row r="806" customFormat="false" ht="15" hidden="false" customHeight="false" outlineLevel="0" collapsed="false">
      <c r="A806" s="12"/>
      <c r="B806" s="13"/>
      <c r="C806" s="13"/>
      <c r="D806" s="14"/>
      <c r="E806" s="15"/>
      <c r="F806" s="15"/>
      <c r="G806" s="12"/>
      <c r="H806" s="16" t="str">
        <f aca="false">IF(OR(A806="",C806=""),"",IFERROR(INDEX(Aşamalar!$B$5:$B$12,MATCH(C806,Aşamalar!$A$5:$A$12,0)),0))</f>
        <v/>
      </c>
      <c r="I806" s="17" t="str">
        <f aca="false">IF(H806="","",D806*H806)</f>
        <v/>
      </c>
      <c r="J806" s="18" t="str">
        <f aca="true">IF(AND(AND(C806&lt;&gt;"Kazanıldı",C806&lt;&gt;"Kaybedildi",C806&lt;&gt;""),F806&lt;&gt;""),IF(F806&lt;TODAY(),"Gecikti",IF(F806=TODAY(),"Bugün","")),"")</f>
        <v/>
      </c>
      <c r="K806" s="18" t="str">
        <f aca="true">IF(AND(AND(C806&lt;&gt;"Kazanıldı",C806&lt;&gt;"Kaybedildi",C806&lt;&gt;""),F806&lt;&gt;"",F806&lt;=TODAY()),F806+ROW()/1000000,"")</f>
        <v/>
      </c>
    </row>
    <row r="807" customFormat="false" ht="15" hidden="false" customHeight="false" outlineLevel="0" collapsed="false">
      <c r="A807" s="12"/>
      <c r="B807" s="13"/>
      <c r="C807" s="13"/>
      <c r="D807" s="14"/>
      <c r="E807" s="15"/>
      <c r="F807" s="15"/>
      <c r="G807" s="12"/>
      <c r="H807" s="16" t="str">
        <f aca="false">IF(OR(A807="",C807=""),"",IFERROR(INDEX(Aşamalar!$B$5:$B$12,MATCH(C807,Aşamalar!$A$5:$A$12,0)),0))</f>
        <v/>
      </c>
      <c r="I807" s="17" t="str">
        <f aca="false">IF(H807="","",D807*H807)</f>
        <v/>
      </c>
      <c r="J807" s="18" t="str">
        <f aca="true">IF(AND(AND(C807&lt;&gt;"Kazanıldı",C807&lt;&gt;"Kaybedildi",C807&lt;&gt;""),F807&lt;&gt;""),IF(F807&lt;TODAY(),"Gecikti",IF(F807=TODAY(),"Bugün","")),"")</f>
        <v/>
      </c>
      <c r="K807" s="18" t="str">
        <f aca="true">IF(AND(AND(C807&lt;&gt;"Kazanıldı",C807&lt;&gt;"Kaybedildi",C807&lt;&gt;""),F807&lt;&gt;"",F807&lt;=TODAY()),F807+ROW()/1000000,"")</f>
        <v/>
      </c>
    </row>
    <row r="808" customFormat="false" ht="15" hidden="false" customHeight="false" outlineLevel="0" collapsed="false">
      <c r="A808" s="12"/>
      <c r="B808" s="13"/>
      <c r="C808" s="13"/>
      <c r="D808" s="14"/>
      <c r="E808" s="15"/>
      <c r="F808" s="15"/>
      <c r="G808" s="12"/>
      <c r="H808" s="16" t="str">
        <f aca="false">IF(OR(A808="",C808=""),"",IFERROR(INDEX(Aşamalar!$B$5:$B$12,MATCH(C808,Aşamalar!$A$5:$A$12,0)),0))</f>
        <v/>
      </c>
      <c r="I808" s="17" t="str">
        <f aca="false">IF(H808="","",D808*H808)</f>
        <v/>
      </c>
      <c r="J808" s="18" t="str">
        <f aca="true">IF(AND(AND(C808&lt;&gt;"Kazanıldı",C808&lt;&gt;"Kaybedildi",C808&lt;&gt;""),F808&lt;&gt;""),IF(F808&lt;TODAY(),"Gecikti",IF(F808=TODAY(),"Bugün","")),"")</f>
        <v/>
      </c>
      <c r="K808" s="18" t="str">
        <f aca="true">IF(AND(AND(C808&lt;&gt;"Kazanıldı",C808&lt;&gt;"Kaybedildi",C808&lt;&gt;""),F808&lt;&gt;"",F808&lt;=TODAY()),F808+ROW()/1000000,"")</f>
        <v/>
      </c>
    </row>
    <row r="809" customFormat="false" ht="15" hidden="false" customHeight="false" outlineLevel="0" collapsed="false">
      <c r="A809" s="12"/>
      <c r="B809" s="13"/>
      <c r="C809" s="13"/>
      <c r="D809" s="14"/>
      <c r="E809" s="15"/>
      <c r="F809" s="15"/>
      <c r="G809" s="12"/>
      <c r="H809" s="16" t="str">
        <f aca="false">IF(OR(A809="",C809=""),"",IFERROR(INDEX(Aşamalar!$B$5:$B$12,MATCH(C809,Aşamalar!$A$5:$A$12,0)),0))</f>
        <v/>
      </c>
      <c r="I809" s="17" t="str">
        <f aca="false">IF(H809="","",D809*H809)</f>
        <v/>
      </c>
      <c r="J809" s="18" t="str">
        <f aca="true">IF(AND(AND(C809&lt;&gt;"Kazanıldı",C809&lt;&gt;"Kaybedildi",C809&lt;&gt;""),F809&lt;&gt;""),IF(F809&lt;TODAY(),"Gecikti",IF(F809=TODAY(),"Bugün","")),"")</f>
        <v/>
      </c>
      <c r="K809" s="18" t="str">
        <f aca="true">IF(AND(AND(C809&lt;&gt;"Kazanıldı",C809&lt;&gt;"Kaybedildi",C809&lt;&gt;""),F809&lt;&gt;"",F809&lt;=TODAY()),F809+ROW()/1000000,"")</f>
        <v/>
      </c>
    </row>
    <row r="810" customFormat="false" ht="15" hidden="false" customHeight="false" outlineLevel="0" collapsed="false">
      <c r="A810" s="12"/>
      <c r="B810" s="13"/>
      <c r="C810" s="13"/>
      <c r="D810" s="14"/>
      <c r="E810" s="15"/>
      <c r="F810" s="15"/>
      <c r="G810" s="12"/>
      <c r="H810" s="16" t="str">
        <f aca="false">IF(OR(A810="",C810=""),"",IFERROR(INDEX(Aşamalar!$B$5:$B$12,MATCH(C810,Aşamalar!$A$5:$A$12,0)),0))</f>
        <v/>
      </c>
      <c r="I810" s="17" t="str">
        <f aca="false">IF(H810="","",D810*H810)</f>
        <v/>
      </c>
      <c r="J810" s="18" t="str">
        <f aca="true">IF(AND(AND(C810&lt;&gt;"Kazanıldı",C810&lt;&gt;"Kaybedildi",C810&lt;&gt;""),F810&lt;&gt;""),IF(F810&lt;TODAY(),"Gecikti",IF(F810=TODAY(),"Bugün","")),"")</f>
        <v/>
      </c>
      <c r="K810" s="18" t="str">
        <f aca="true">IF(AND(AND(C810&lt;&gt;"Kazanıldı",C810&lt;&gt;"Kaybedildi",C810&lt;&gt;""),F810&lt;&gt;"",F810&lt;=TODAY()),F810+ROW()/1000000,"")</f>
        <v/>
      </c>
    </row>
    <row r="811" customFormat="false" ht="15" hidden="false" customHeight="false" outlineLevel="0" collapsed="false">
      <c r="A811" s="12"/>
      <c r="B811" s="13"/>
      <c r="C811" s="13"/>
      <c r="D811" s="14"/>
      <c r="E811" s="15"/>
      <c r="F811" s="15"/>
      <c r="G811" s="12"/>
      <c r="H811" s="16" t="str">
        <f aca="false">IF(OR(A811="",C811=""),"",IFERROR(INDEX(Aşamalar!$B$5:$B$12,MATCH(C811,Aşamalar!$A$5:$A$12,0)),0))</f>
        <v/>
      </c>
      <c r="I811" s="17" t="str">
        <f aca="false">IF(H811="","",D811*H811)</f>
        <v/>
      </c>
      <c r="J811" s="18" t="str">
        <f aca="true">IF(AND(AND(C811&lt;&gt;"Kazanıldı",C811&lt;&gt;"Kaybedildi",C811&lt;&gt;""),F811&lt;&gt;""),IF(F811&lt;TODAY(),"Gecikti",IF(F811=TODAY(),"Bugün","")),"")</f>
        <v/>
      </c>
      <c r="K811" s="18" t="str">
        <f aca="true">IF(AND(AND(C811&lt;&gt;"Kazanıldı",C811&lt;&gt;"Kaybedildi",C811&lt;&gt;""),F811&lt;&gt;"",F811&lt;=TODAY()),F811+ROW()/1000000,"")</f>
        <v/>
      </c>
    </row>
    <row r="812" customFormat="false" ht="15" hidden="false" customHeight="false" outlineLevel="0" collapsed="false">
      <c r="A812" s="12"/>
      <c r="B812" s="13"/>
      <c r="C812" s="13"/>
      <c r="D812" s="14"/>
      <c r="E812" s="15"/>
      <c r="F812" s="15"/>
      <c r="G812" s="12"/>
      <c r="H812" s="16" t="str">
        <f aca="false">IF(OR(A812="",C812=""),"",IFERROR(INDEX(Aşamalar!$B$5:$B$12,MATCH(C812,Aşamalar!$A$5:$A$12,0)),0))</f>
        <v/>
      </c>
      <c r="I812" s="17" t="str">
        <f aca="false">IF(H812="","",D812*H812)</f>
        <v/>
      </c>
      <c r="J812" s="18" t="str">
        <f aca="true">IF(AND(AND(C812&lt;&gt;"Kazanıldı",C812&lt;&gt;"Kaybedildi",C812&lt;&gt;""),F812&lt;&gt;""),IF(F812&lt;TODAY(),"Gecikti",IF(F812=TODAY(),"Bugün","")),"")</f>
        <v/>
      </c>
      <c r="K812" s="18" t="str">
        <f aca="true">IF(AND(AND(C812&lt;&gt;"Kazanıldı",C812&lt;&gt;"Kaybedildi",C812&lt;&gt;""),F812&lt;&gt;"",F812&lt;=TODAY()),F812+ROW()/1000000,"")</f>
        <v/>
      </c>
    </row>
    <row r="813" customFormat="false" ht="15" hidden="false" customHeight="false" outlineLevel="0" collapsed="false">
      <c r="A813" s="12"/>
      <c r="B813" s="13"/>
      <c r="C813" s="13"/>
      <c r="D813" s="14"/>
      <c r="E813" s="15"/>
      <c r="F813" s="15"/>
      <c r="G813" s="12"/>
      <c r="H813" s="16" t="str">
        <f aca="false">IF(OR(A813="",C813=""),"",IFERROR(INDEX(Aşamalar!$B$5:$B$12,MATCH(C813,Aşamalar!$A$5:$A$12,0)),0))</f>
        <v/>
      </c>
      <c r="I813" s="17" t="str">
        <f aca="false">IF(H813="","",D813*H813)</f>
        <v/>
      </c>
      <c r="J813" s="18" t="str">
        <f aca="true">IF(AND(AND(C813&lt;&gt;"Kazanıldı",C813&lt;&gt;"Kaybedildi",C813&lt;&gt;""),F813&lt;&gt;""),IF(F813&lt;TODAY(),"Gecikti",IF(F813=TODAY(),"Bugün","")),"")</f>
        <v/>
      </c>
      <c r="K813" s="18" t="str">
        <f aca="true">IF(AND(AND(C813&lt;&gt;"Kazanıldı",C813&lt;&gt;"Kaybedildi",C813&lt;&gt;""),F813&lt;&gt;"",F813&lt;=TODAY()),F813+ROW()/1000000,"")</f>
        <v/>
      </c>
    </row>
    <row r="814" customFormat="false" ht="15" hidden="false" customHeight="false" outlineLevel="0" collapsed="false">
      <c r="A814" s="12"/>
      <c r="B814" s="13"/>
      <c r="C814" s="13"/>
      <c r="D814" s="14"/>
      <c r="E814" s="15"/>
      <c r="F814" s="15"/>
      <c r="G814" s="12"/>
      <c r="H814" s="16" t="str">
        <f aca="false">IF(OR(A814="",C814=""),"",IFERROR(INDEX(Aşamalar!$B$5:$B$12,MATCH(C814,Aşamalar!$A$5:$A$12,0)),0))</f>
        <v/>
      </c>
      <c r="I814" s="17" t="str">
        <f aca="false">IF(H814="","",D814*H814)</f>
        <v/>
      </c>
      <c r="J814" s="18" t="str">
        <f aca="true">IF(AND(AND(C814&lt;&gt;"Kazanıldı",C814&lt;&gt;"Kaybedildi",C814&lt;&gt;""),F814&lt;&gt;""),IF(F814&lt;TODAY(),"Gecikti",IF(F814=TODAY(),"Bugün","")),"")</f>
        <v/>
      </c>
      <c r="K814" s="18" t="str">
        <f aca="true">IF(AND(AND(C814&lt;&gt;"Kazanıldı",C814&lt;&gt;"Kaybedildi",C814&lt;&gt;""),F814&lt;&gt;"",F814&lt;=TODAY()),F814+ROW()/1000000,"")</f>
        <v/>
      </c>
    </row>
    <row r="815" customFormat="false" ht="15" hidden="false" customHeight="false" outlineLevel="0" collapsed="false">
      <c r="A815" s="12"/>
      <c r="B815" s="13"/>
      <c r="C815" s="13"/>
      <c r="D815" s="14"/>
      <c r="E815" s="15"/>
      <c r="F815" s="15"/>
      <c r="G815" s="12"/>
      <c r="H815" s="16" t="str">
        <f aca="false">IF(OR(A815="",C815=""),"",IFERROR(INDEX(Aşamalar!$B$5:$B$12,MATCH(C815,Aşamalar!$A$5:$A$12,0)),0))</f>
        <v/>
      </c>
      <c r="I815" s="17" t="str">
        <f aca="false">IF(H815="","",D815*H815)</f>
        <v/>
      </c>
      <c r="J815" s="18" t="str">
        <f aca="true">IF(AND(AND(C815&lt;&gt;"Kazanıldı",C815&lt;&gt;"Kaybedildi",C815&lt;&gt;""),F815&lt;&gt;""),IF(F815&lt;TODAY(),"Gecikti",IF(F815=TODAY(),"Bugün","")),"")</f>
        <v/>
      </c>
      <c r="K815" s="18" t="str">
        <f aca="true">IF(AND(AND(C815&lt;&gt;"Kazanıldı",C815&lt;&gt;"Kaybedildi",C815&lt;&gt;""),F815&lt;&gt;"",F815&lt;=TODAY()),F815+ROW()/1000000,"")</f>
        <v/>
      </c>
    </row>
    <row r="816" customFormat="false" ht="15" hidden="false" customHeight="false" outlineLevel="0" collapsed="false">
      <c r="A816" s="12"/>
      <c r="B816" s="13"/>
      <c r="C816" s="13"/>
      <c r="D816" s="14"/>
      <c r="E816" s="15"/>
      <c r="F816" s="15"/>
      <c r="G816" s="12"/>
      <c r="H816" s="16" t="str">
        <f aca="false">IF(OR(A816="",C816=""),"",IFERROR(INDEX(Aşamalar!$B$5:$B$12,MATCH(C816,Aşamalar!$A$5:$A$12,0)),0))</f>
        <v/>
      </c>
      <c r="I816" s="17" t="str">
        <f aca="false">IF(H816="","",D816*H816)</f>
        <v/>
      </c>
      <c r="J816" s="18" t="str">
        <f aca="true">IF(AND(AND(C816&lt;&gt;"Kazanıldı",C816&lt;&gt;"Kaybedildi",C816&lt;&gt;""),F816&lt;&gt;""),IF(F816&lt;TODAY(),"Gecikti",IF(F816=TODAY(),"Bugün","")),"")</f>
        <v/>
      </c>
      <c r="K816" s="18" t="str">
        <f aca="true">IF(AND(AND(C816&lt;&gt;"Kazanıldı",C816&lt;&gt;"Kaybedildi",C816&lt;&gt;""),F816&lt;&gt;"",F816&lt;=TODAY()),F816+ROW()/1000000,"")</f>
        <v/>
      </c>
    </row>
    <row r="817" customFormat="false" ht="15" hidden="false" customHeight="false" outlineLevel="0" collapsed="false">
      <c r="A817" s="12"/>
      <c r="B817" s="13"/>
      <c r="C817" s="13"/>
      <c r="D817" s="14"/>
      <c r="E817" s="15"/>
      <c r="F817" s="15"/>
      <c r="G817" s="12"/>
      <c r="H817" s="16" t="str">
        <f aca="false">IF(OR(A817="",C817=""),"",IFERROR(INDEX(Aşamalar!$B$5:$B$12,MATCH(C817,Aşamalar!$A$5:$A$12,0)),0))</f>
        <v/>
      </c>
      <c r="I817" s="17" t="str">
        <f aca="false">IF(H817="","",D817*H817)</f>
        <v/>
      </c>
      <c r="J817" s="18" t="str">
        <f aca="true">IF(AND(AND(C817&lt;&gt;"Kazanıldı",C817&lt;&gt;"Kaybedildi",C817&lt;&gt;""),F817&lt;&gt;""),IF(F817&lt;TODAY(),"Gecikti",IF(F817=TODAY(),"Bugün","")),"")</f>
        <v/>
      </c>
      <c r="K817" s="18" t="str">
        <f aca="true">IF(AND(AND(C817&lt;&gt;"Kazanıldı",C817&lt;&gt;"Kaybedildi",C817&lt;&gt;""),F817&lt;&gt;"",F817&lt;=TODAY()),F817+ROW()/1000000,"")</f>
        <v/>
      </c>
    </row>
    <row r="818" customFormat="false" ht="15" hidden="false" customHeight="false" outlineLevel="0" collapsed="false">
      <c r="A818" s="12"/>
      <c r="B818" s="13"/>
      <c r="C818" s="13"/>
      <c r="D818" s="14"/>
      <c r="E818" s="15"/>
      <c r="F818" s="15"/>
      <c r="G818" s="12"/>
      <c r="H818" s="16" t="str">
        <f aca="false">IF(OR(A818="",C818=""),"",IFERROR(INDEX(Aşamalar!$B$5:$B$12,MATCH(C818,Aşamalar!$A$5:$A$12,0)),0))</f>
        <v/>
      </c>
      <c r="I818" s="17" t="str">
        <f aca="false">IF(H818="","",D818*H818)</f>
        <v/>
      </c>
      <c r="J818" s="18" t="str">
        <f aca="true">IF(AND(AND(C818&lt;&gt;"Kazanıldı",C818&lt;&gt;"Kaybedildi",C818&lt;&gt;""),F818&lt;&gt;""),IF(F818&lt;TODAY(),"Gecikti",IF(F818=TODAY(),"Bugün","")),"")</f>
        <v/>
      </c>
      <c r="K818" s="18" t="str">
        <f aca="true">IF(AND(AND(C818&lt;&gt;"Kazanıldı",C818&lt;&gt;"Kaybedildi",C818&lt;&gt;""),F818&lt;&gt;"",F818&lt;=TODAY()),F818+ROW()/1000000,"")</f>
        <v/>
      </c>
    </row>
    <row r="819" customFormat="false" ht="15" hidden="false" customHeight="false" outlineLevel="0" collapsed="false">
      <c r="A819" s="12"/>
      <c r="B819" s="13"/>
      <c r="C819" s="13"/>
      <c r="D819" s="14"/>
      <c r="E819" s="15"/>
      <c r="F819" s="15"/>
      <c r="G819" s="12"/>
      <c r="H819" s="16" t="str">
        <f aca="false">IF(OR(A819="",C819=""),"",IFERROR(INDEX(Aşamalar!$B$5:$B$12,MATCH(C819,Aşamalar!$A$5:$A$12,0)),0))</f>
        <v/>
      </c>
      <c r="I819" s="17" t="str">
        <f aca="false">IF(H819="","",D819*H819)</f>
        <v/>
      </c>
      <c r="J819" s="18" t="str">
        <f aca="true">IF(AND(AND(C819&lt;&gt;"Kazanıldı",C819&lt;&gt;"Kaybedildi",C819&lt;&gt;""),F819&lt;&gt;""),IF(F819&lt;TODAY(),"Gecikti",IF(F819=TODAY(),"Bugün","")),"")</f>
        <v/>
      </c>
      <c r="K819" s="18" t="str">
        <f aca="true">IF(AND(AND(C819&lt;&gt;"Kazanıldı",C819&lt;&gt;"Kaybedildi",C819&lt;&gt;""),F819&lt;&gt;"",F819&lt;=TODAY()),F819+ROW()/1000000,"")</f>
        <v/>
      </c>
    </row>
    <row r="820" customFormat="false" ht="15" hidden="false" customHeight="false" outlineLevel="0" collapsed="false">
      <c r="A820" s="12"/>
      <c r="B820" s="13"/>
      <c r="C820" s="13"/>
      <c r="D820" s="14"/>
      <c r="E820" s="15"/>
      <c r="F820" s="15"/>
      <c r="G820" s="12"/>
      <c r="H820" s="16" t="str">
        <f aca="false">IF(OR(A820="",C820=""),"",IFERROR(INDEX(Aşamalar!$B$5:$B$12,MATCH(C820,Aşamalar!$A$5:$A$12,0)),0))</f>
        <v/>
      </c>
      <c r="I820" s="17" t="str">
        <f aca="false">IF(H820="","",D820*H820)</f>
        <v/>
      </c>
      <c r="J820" s="18" t="str">
        <f aca="true">IF(AND(AND(C820&lt;&gt;"Kazanıldı",C820&lt;&gt;"Kaybedildi",C820&lt;&gt;""),F820&lt;&gt;""),IF(F820&lt;TODAY(),"Gecikti",IF(F820=TODAY(),"Bugün","")),"")</f>
        <v/>
      </c>
      <c r="K820" s="18" t="str">
        <f aca="true">IF(AND(AND(C820&lt;&gt;"Kazanıldı",C820&lt;&gt;"Kaybedildi",C820&lt;&gt;""),F820&lt;&gt;"",F820&lt;=TODAY()),F820+ROW()/1000000,"")</f>
        <v/>
      </c>
    </row>
    <row r="821" customFormat="false" ht="15" hidden="false" customHeight="false" outlineLevel="0" collapsed="false">
      <c r="A821" s="12"/>
      <c r="B821" s="13"/>
      <c r="C821" s="13"/>
      <c r="D821" s="14"/>
      <c r="E821" s="15"/>
      <c r="F821" s="15"/>
      <c r="G821" s="12"/>
      <c r="H821" s="16" t="str">
        <f aca="false">IF(OR(A821="",C821=""),"",IFERROR(INDEX(Aşamalar!$B$5:$B$12,MATCH(C821,Aşamalar!$A$5:$A$12,0)),0))</f>
        <v/>
      </c>
      <c r="I821" s="17" t="str">
        <f aca="false">IF(H821="","",D821*H821)</f>
        <v/>
      </c>
      <c r="J821" s="18" t="str">
        <f aca="true">IF(AND(AND(C821&lt;&gt;"Kazanıldı",C821&lt;&gt;"Kaybedildi",C821&lt;&gt;""),F821&lt;&gt;""),IF(F821&lt;TODAY(),"Gecikti",IF(F821=TODAY(),"Bugün","")),"")</f>
        <v/>
      </c>
      <c r="K821" s="18" t="str">
        <f aca="true">IF(AND(AND(C821&lt;&gt;"Kazanıldı",C821&lt;&gt;"Kaybedildi",C821&lt;&gt;""),F821&lt;&gt;"",F821&lt;=TODAY()),F821+ROW()/1000000,"")</f>
        <v/>
      </c>
    </row>
    <row r="822" customFormat="false" ht="15" hidden="false" customHeight="false" outlineLevel="0" collapsed="false">
      <c r="A822" s="12"/>
      <c r="B822" s="13"/>
      <c r="C822" s="13"/>
      <c r="D822" s="14"/>
      <c r="E822" s="15"/>
      <c r="F822" s="15"/>
      <c r="G822" s="12"/>
      <c r="H822" s="16" t="str">
        <f aca="false">IF(OR(A822="",C822=""),"",IFERROR(INDEX(Aşamalar!$B$5:$B$12,MATCH(C822,Aşamalar!$A$5:$A$12,0)),0))</f>
        <v/>
      </c>
      <c r="I822" s="17" t="str">
        <f aca="false">IF(H822="","",D822*H822)</f>
        <v/>
      </c>
      <c r="J822" s="18" t="str">
        <f aca="true">IF(AND(AND(C822&lt;&gt;"Kazanıldı",C822&lt;&gt;"Kaybedildi",C822&lt;&gt;""),F822&lt;&gt;""),IF(F822&lt;TODAY(),"Gecikti",IF(F822=TODAY(),"Bugün","")),"")</f>
        <v/>
      </c>
      <c r="K822" s="18" t="str">
        <f aca="true">IF(AND(AND(C822&lt;&gt;"Kazanıldı",C822&lt;&gt;"Kaybedildi",C822&lt;&gt;""),F822&lt;&gt;"",F822&lt;=TODAY()),F822+ROW()/1000000,"")</f>
        <v/>
      </c>
    </row>
    <row r="823" customFormat="false" ht="15" hidden="false" customHeight="false" outlineLevel="0" collapsed="false">
      <c r="A823" s="12"/>
      <c r="B823" s="13"/>
      <c r="C823" s="13"/>
      <c r="D823" s="14"/>
      <c r="E823" s="15"/>
      <c r="F823" s="15"/>
      <c r="G823" s="12"/>
      <c r="H823" s="16" t="str">
        <f aca="false">IF(OR(A823="",C823=""),"",IFERROR(INDEX(Aşamalar!$B$5:$B$12,MATCH(C823,Aşamalar!$A$5:$A$12,0)),0))</f>
        <v/>
      </c>
      <c r="I823" s="17" t="str">
        <f aca="false">IF(H823="","",D823*H823)</f>
        <v/>
      </c>
      <c r="J823" s="18" t="str">
        <f aca="true">IF(AND(AND(C823&lt;&gt;"Kazanıldı",C823&lt;&gt;"Kaybedildi",C823&lt;&gt;""),F823&lt;&gt;""),IF(F823&lt;TODAY(),"Gecikti",IF(F823=TODAY(),"Bugün","")),"")</f>
        <v/>
      </c>
      <c r="K823" s="18" t="str">
        <f aca="true">IF(AND(AND(C823&lt;&gt;"Kazanıldı",C823&lt;&gt;"Kaybedildi",C823&lt;&gt;""),F823&lt;&gt;"",F823&lt;=TODAY()),F823+ROW()/1000000,"")</f>
        <v/>
      </c>
    </row>
    <row r="824" customFormat="false" ht="15" hidden="false" customHeight="false" outlineLevel="0" collapsed="false">
      <c r="A824" s="12"/>
      <c r="B824" s="13"/>
      <c r="C824" s="13"/>
      <c r="D824" s="14"/>
      <c r="E824" s="15"/>
      <c r="F824" s="15"/>
      <c r="G824" s="12"/>
      <c r="H824" s="16" t="str">
        <f aca="false">IF(OR(A824="",C824=""),"",IFERROR(INDEX(Aşamalar!$B$5:$B$12,MATCH(C824,Aşamalar!$A$5:$A$12,0)),0))</f>
        <v/>
      </c>
      <c r="I824" s="17" t="str">
        <f aca="false">IF(H824="","",D824*H824)</f>
        <v/>
      </c>
      <c r="J824" s="18" t="str">
        <f aca="true">IF(AND(AND(C824&lt;&gt;"Kazanıldı",C824&lt;&gt;"Kaybedildi",C824&lt;&gt;""),F824&lt;&gt;""),IF(F824&lt;TODAY(),"Gecikti",IF(F824=TODAY(),"Bugün","")),"")</f>
        <v/>
      </c>
      <c r="K824" s="18" t="str">
        <f aca="true">IF(AND(AND(C824&lt;&gt;"Kazanıldı",C824&lt;&gt;"Kaybedildi",C824&lt;&gt;""),F824&lt;&gt;"",F824&lt;=TODAY()),F824+ROW()/1000000,"")</f>
        <v/>
      </c>
    </row>
    <row r="825" customFormat="false" ht="15" hidden="false" customHeight="false" outlineLevel="0" collapsed="false">
      <c r="A825" s="12"/>
      <c r="B825" s="13"/>
      <c r="C825" s="13"/>
      <c r="D825" s="14"/>
      <c r="E825" s="15"/>
      <c r="F825" s="15"/>
      <c r="G825" s="12"/>
      <c r="H825" s="16" t="str">
        <f aca="false">IF(OR(A825="",C825=""),"",IFERROR(INDEX(Aşamalar!$B$5:$B$12,MATCH(C825,Aşamalar!$A$5:$A$12,0)),0))</f>
        <v/>
      </c>
      <c r="I825" s="17" t="str">
        <f aca="false">IF(H825="","",D825*H825)</f>
        <v/>
      </c>
      <c r="J825" s="18" t="str">
        <f aca="true">IF(AND(AND(C825&lt;&gt;"Kazanıldı",C825&lt;&gt;"Kaybedildi",C825&lt;&gt;""),F825&lt;&gt;""),IF(F825&lt;TODAY(),"Gecikti",IF(F825=TODAY(),"Bugün","")),"")</f>
        <v/>
      </c>
      <c r="K825" s="18" t="str">
        <f aca="true">IF(AND(AND(C825&lt;&gt;"Kazanıldı",C825&lt;&gt;"Kaybedildi",C825&lt;&gt;""),F825&lt;&gt;"",F825&lt;=TODAY()),F825+ROW()/1000000,"")</f>
        <v/>
      </c>
    </row>
    <row r="826" customFormat="false" ht="15" hidden="false" customHeight="false" outlineLevel="0" collapsed="false">
      <c r="A826" s="12"/>
      <c r="B826" s="13"/>
      <c r="C826" s="13"/>
      <c r="D826" s="14"/>
      <c r="E826" s="15"/>
      <c r="F826" s="15"/>
      <c r="G826" s="12"/>
      <c r="H826" s="16" t="str">
        <f aca="false">IF(OR(A826="",C826=""),"",IFERROR(INDEX(Aşamalar!$B$5:$B$12,MATCH(C826,Aşamalar!$A$5:$A$12,0)),0))</f>
        <v/>
      </c>
      <c r="I826" s="17" t="str">
        <f aca="false">IF(H826="","",D826*H826)</f>
        <v/>
      </c>
      <c r="J826" s="18" t="str">
        <f aca="true">IF(AND(AND(C826&lt;&gt;"Kazanıldı",C826&lt;&gt;"Kaybedildi",C826&lt;&gt;""),F826&lt;&gt;""),IF(F826&lt;TODAY(),"Gecikti",IF(F826=TODAY(),"Bugün","")),"")</f>
        <v/>
      </c>
      <c r="K826" s="18" t="str">
        <f aca="true">IF(AND(AND(C826&lt;&gt;"Kazanıldı",C826&lt;&gt;"Kaybedildi",C826&lt;&gt;""),F826&lt;&gt;"",F826&lt;=TODAY()),F826+ROW()/1000000,"")</f>
        <v/>
      </c>
    </row>
    <row r="827" customFormat="false" ht="15" hidden="false" customHeight="false" outlineLevel="0" collapsed="false">
      <c r="A827" s="12"/>
      <c r="B827" s="13"/>
      <c r="C827" s="13"/>
      <c r="D827" s="14"/>
      <c r="E827" s="15"/>
      <c r="F827" s="15"/>
      <c r="G827" s="12"/>
      <c r="H827" s="16" t="str">
        <f aca="false">IF(OR(A827="",C827=""),"",IFERROR(INDEX(Aşamalar!$B$5:$B$12,MATCH(C827,Aşamalar!$A$5:$A$12,0)),0))</f>
        <v/>
      </c>
      <c r="I827" s="17" t="str">
        <f aca="false">IF(H827="","",D827*H827)</f>
        <v/>
      </c>
      <c r="J827" s="18" t="str">
        <f aca="true">IF(AND(AND(C827&lt;&gt;"Kazanıldı",C827&lt;&gt;"Kaybedildi",C827&lt;&gt;""),F827&lt;&gt;""),IF(F827&lt;TODAY(),"Gecikti",IF(F827=TODAY(),"Bugün","")),"")</f>
        <v/>
      </c>
      <c r="K827" s="18" t="str">
        <f aca="true">IF(AND(AND(C827&lt;&gt;"Kazanıldı",C827&lt;&gt;"Kaybedildi",C827&lt;&gt;""),F827&lt;&gt;"",F827&lt;=TODAY()),F827+ROW()/1000000,"")</f>
        <v/>
      </c>
    </row>
    <row r="828" customFormat="false" ht="15" hidden="false" customHeight="false" outlineLevel="0" collapsed="false">
      <c r="A828" s="12"/>
      <c r="B828" s="13"/>
      <c r="C828" s="13"/>
      <c r="D828" s="14"/>
      <c r="E828" s="15"/>
      <c r="F828" s="15"/>
      <c r="G828" s="12"/>
      <c r="H828" s="16" t="str">
        <f aca="false">IF(OR(A828="",C828=""),"",IFERROR(INDEX(Aşamalar!$B$5:$B$12,MATCH(C828,Aşamalar!$A$5:$A$12,0)),0))</f>
        <v/>
      </c>
      <c r="I828" s="17" t="str">
        <f aca="false">IF(H828="","",D828*H828)</f>
        <v/>
      </c>
      <c r="J828" s="18" t="str">
        <f aca="true">IF(AND(AND(C828&lt;&gt;"Kazanıldı",C828&lt;&gt;"Kaybedildi",C828&lt;&gt;""),F828&lt;&gt;""),IF(F828&lt;TODAY(),"Gecikti",IF(F828=TODAY(),"Bugün","")),"")</f>
        <v/>
      </c>
      <c r="K828" s="18" t="str">
        <f aca="true">IF(AND(AND(C828&lt;&gt;"Kazanıldı",C828&lt;&gt;"Kaybedildi",C828&lt;&gt;""),F828&lt;&gt;"",F828&lt;=TODAY()),F828+ROW()/1000000,"")</f>
        <v/>
      </c>
    </row>
    <row r="829" customFormat="false" ht="15" hidden="false" customHeight="false" outlineLevel="0" collapsed="false">
      <c r="A829" s="12"/>
      <c r="B829" s="13"/>
      <c r="C829" s="13"/>
      <c r="D829" s="14"/>
      <c r="E829" s="15"/>
      <c r="F829" s="15"/>
      <c r="G829" s="12"/>
      <c r="H829" s="16" t="str">
        <f aca="false">IF(OR(A829="",C829=""),"",IFERROR(INDEX(Aşamalar!$B$5:$B$12,MATCH(C829,Aşamalar!$A$5:$A$12,0)),0))</f>
        <v/>
      </c>
      <c r="I829" s="17" t="str">
        <f aca="false">IF(H829="","",D829*H829)</f>
        <v/>
      </c>
      <c r="J829" s="18" t="str">
        <f aca="true">IF(AND(AND(C829&lt;&gt;"Kazanıldı",C829&lt;&gt;"Kaybedildi",C829&lt;&gt;""),F829&lt;&gt;""),IF(F829&lt;TODAY(),"Gecikti",IF(F829=TODAY(),"Bugün","")),"")</f>
        <v/>
      </c>
      <c r="K829" s="18" t="str">
        <f aca="true">IF(AND(AND(C829&lt;&gt;"Kazanıldı",C829&lt;&gt;"Kaybedildi",C829&lt;&gt;""),F829&lt;&gt;"",F829&lt;=TODAY()),F829+ROW()/1000000,"")</f>
        <v/>
      </c>
    </row>
    <row r="830" customFormat="false" ht="15" hidden="false" customHeight="false" outlineLevel="0" collapsed="false">
      <c r="A830" s="12"/>
      <c r="B830" s="13"/>
      <c r="C830" s="13"/>
      <c r="D830" s="14"/>
      <c r="E830" s="15"/>
      <c r="F830" s="15"/>
      <c r="G830" s="12"/>
      <c r="H830" s="16" t="str">
        <f aca="false">IF(OR(A830="",C830=""),"",IFERROR(INDEX(Aşamalar!$B$5:$B$12,MATCH(C830,Aşamalar!$A$5:$A$12,0)),0))</f>
        <v/>
      </c>
      <c r="I830" s="17" t="str">
        <f aca="false">IF(H830="","",D830*H830)</f>
        <v/>
      </c>
      <c r="J830" s="18" t="str">
        <f aca="true">IF(AND(AND(C830&lt;&gt;"Kazanıldı",C830&lt;&gt;"Kaybedildi",C830&lt;&gt;""),F830&lt;&gt;""),IF(F830&lt;TODAY(),"Gecikti",IF(F830=TODAY(),"Bugün","")),"")</f>
        <v/>
      </c>
      <c r="K830" s="18" t="str">
        <f aca="true">IF(AND(AND(C830&lt;&gt;"Kazanıldı",C830&lt;&gt;"Kaybedildi",C830&lt;&gt;""),F830&lt;&gt;"",F830&lt;=TODAY()),F830+ROW()/1000000,"")</f>
        <v/>
      </c>
    </row>
    <row r="831" customFormat="false" ht="15" hidden="false" customHeight="false" outlineLevel="0" collapsed="false">
      <c r="A831" s="12"/>
      <c r="B831" s="13"/>
      <c r="C831" s="13"/>
      <c r="D831" s="14"/>
      <c r="E831" s="15"/>
      <c r="F831" s="15"/>
      <c r="G831" s="12"/>
      <c r="H831" s="16" t="str">
        <f aca="false">IF(OR(A831="",C831=""),"",IFERROR(INDEX(Aşamalar!$B$5:$B$12,MATCH(C831,Aşamalar!$A$5:$A$12,0)),0))</f>
        <v/>
      </c>
      <c r="I831" s="17" t="str">
        <f aca="false">IF(H831="","",D831*H831)</f>
        <v/>
      </c>
      <c r="J831" s="18" t="str">
        <f aca="true">IF(AND(AND(C831&lt;&gt;"Kazanıldı",C831&lt;&gt;"Kaybedildi",C831&lt;&gt;""),F831&lt;&gt;""),IF(F831&lt;TODAY(),"Gecikti",IF(F831=TODAY(),"Bugün","")),"")</f>
        <v/>
      </c>
      <c r="K831" s="18" t="str">
        <f aca="true">IF(AND(AND(C831&lt;&gt;"Kazanıldı",C831&lt;&gt;"Kaybedildi",C831&lt;&gt;""),F831&lt;&gt;"",F831&lt;=TODAY()),F831+ROW()/1000000,"")</f>
        <v/>
      </c>
    </row>
    <row r="832" customFormat="false" ht="15" hidden="false" customHeight="false" outlineLevel="0" collapsed="false">
      <c r="A832" s="12"/>
      <c r="B832" s="13"/>
      <c r="C832" s="13"/>
      <c r="D832" s="14"/>
      <c r="E832" s="15"/>
      <c r="F832" s="15"/>
      <c r="G832" s="12"/>
      <c r="H832" s="16" t="str">
        <f aca="false">IF(OR(A832="",C832=""),"",IFERROR(INDEX(Aşamalar!$B$5:$B$12,MATCH(C832,Aşamalar!$A$5:$A$12,0)),0))</f>
        <v/>
      </c>
      <c r="I832" s="17" t="str">
        <f aca="false">IF(H832="","",D832*H832)</f>
        <v/>
      </c>
      <c r="J832" s="18" t="str">
        <f aca="true">IF(AND(AND(C832&lt;&gt;"Kazanıldı",C832&lt;&gt;"Kaybedildi",C832&lt;&gt;""),F832&lt;&gt;""),IF(F832&lt;TODAY(),"Gecikti",IF(F832=TODAY(),"Bugün","")),"")</f>
        <v/>
      </c>
      <c r="K832" s="18" t="str">
        <f aca="true">IF(AND(AND(C832&lt;&gt;"Kazanıldı",C832&lt;&gt;"Kaybedildi",C832&lt;&gt;""),F832&lt;&gt;"",F832&lt;=TODAY()),F832+ROW()/1000000,"")</f>
        <v/>
      </c>
    </row>
    <row r="833" customFormat="false" ht="15" hidden="false" customHeight="false" outlineLevel="0" collapsed="false">
      <c r="A833" s="12"/>
      <c r="B833" s="13"/>
      <c r="C833" s="13"/>
      <c r="D833" s="14"/>
      <c r="E833" s="15"/>
      <c r="F833" s="15"/>
      <c r="G833" s="12"/>
      <c r="H833" s="16" t="str">
        <f aca="false">IF(OR(A833="",C833=""),"",IFERROR(INDEX(Aşamalar!$B$5:$B$12,MATCH(C833,Aşamalar!$A$5:$A$12,0)),0))</f>
        <v/>
      </c>
      <c r="I833" s="17" t="str">
        <f aca="false">IF(H833="","",D833*H833)</f>
        <v/>
      </c>
      <c r="J833" s="18" t="str">
        <f aca="true">IF(AND(AND(C833&lt;&gt;"Kazanıldı",C833&lt;&gt;"Kaybedildi",C833&lt;&gt;""),F833&lt;&gt;""),IF(F833&lt;TODAY(),"Gecikti",IF(F833=TODAY(),"Bugün","")),"")</f>
        <v/>
      </c>
      <c r="K833" s="18" t="str">
        <f aca="true">IF(AND(AND(C833&lt;&gt;"Kazanıldı",C833&lt;&gt;"Kaybedildi",C833&lt;&gt;""),F833&lt;&gt;"",F833&lt;=TODAY()),F833+ROW()/1000000,"")</f>
        <v/>
      </c>
    </row>
    <row r="834" customFormat="false" ht="15" hidden="false" customHeight="false" outlineLevel="0" collapsed="false">
      <c r="A834" s="12"/>
      <c r="B834" s="13"/>
      <c r="C834" s="13"/>
      <c r="D834" s="14"/>
      <c r="E834" s="15"/>
      <c r="F834" s="15"/>
      <c r="G834" s="12"/>
      <c r="H834" s="16" t="str">
        <f aca="false">IF(OR(A834="",C834=""),"",IFERROR(INDEX(Aşamalar!$B$5:$B$12,MATCH(C834,Aşamalar!$A$5:$A$12,0)),0))</f>
        <v/>
      </c>
      <c r="I834" s="17" t="str">
        <f aca="false">IF(H834="","",D834*H834)</f>
        <v/>
      </c>
      <c r="J834" s="18" t="str">
        <f aca="true">IF(AND(AND(C834&lt;&gt;"Kazanıldı",C834&lt;&gt;"Kaybedildi",C834&lt;&gt;""),F834&lt;&gt;""),IF(F834&lt;TODAY(),"Gecikti",IF(F834=TODAY(),"Bugün","")),"")</f>
        <v/>
      </c>
      <c r="K834" s="18" t="str">
        <f aca="true">IF(AND(AND(C834&lt;&gt;"Kazanıldı",C834&lt;&gt;"Kaybedildi",C834&lt;&gt;""),F834&lt;&gt;"",F834&lt;=TODAY()),F834+ROW()/1000000,"")</f>
        <v/>
      </c>
    </row>
    <row r="835" customFormat="false" ht="15" hidden="false" customHeight="false" outlineLevel="0" collapsed="false">
      <c r="A835" s="12"/>
      <c r="B835" s="13"/>
      <c r="C835" s="13"/>
      <c r="D835" s="14"/>
      <c r="E835" s="15"/>
      <c r="F835" s="15"/>
      <c r="G835" s="12"/>
      <c r="H835" s="16" t="str">
        <f aca="false">IF(OR(A835="",C835=""),"",IFERROR(INDEX(Aşamalar!$B$5:$B$12,MATCH(C835,Aşamalar!$A$5:$A$12,0)),0))</f>
        <v/>
      </c>
      <c r="I835" s="17" t="str">
        <f aca="false">IF(H835="","",D835*H835)</f>
        <v/>
      </c>
      <c r="J835" s="18" t="str">
        <f aca="true">IF(AND(AND(C835&lt;&gt;"Kazanıldı",C835&lt;&gt;"Kaybedildi",C835&lt;&gt;""),F835&lt;&gt;""),IF(F835&lt;TODAY(),"Gecikti",IF(F835=TODAY(),"Bugün","")),"")</f>
        <v/>
      </c>
      <c r="K835" s="18" t="str">
        <f aca="true">IF(AND(AND(C835&lt;&gt;"Kazanıldı",C835&lt;&gt;"Kaybedildi",C835&lt;&gt;""),F835&lt;&gt;"",F835&lt;=TODAY()),F835+ROW()/1000000,"")</f>
        <v/>
      </c>
    </row>
    <row r="836" customFormat="false" ht="15" hidden="false" customHeight="false" outlineLevel="0" collapsed="false">
      <c r="A836" s="12"/>
      <c r="B836" s="13"/>
      <c r="C836" s="13"/>
      <c r="D836" s="14"/>
      <c r="E836" s="15"/>
      <c r="F836" s="15"/>
      <c r="G836" s="12"/>
      <c r="H836" s="16" t="str">
        <f aca="false">IF(OR(A836="",C836=""),"",IFERROR(INDEX(Aşamalar!$B$5:$B$12,MATCH(C836,Aşamalar!$A$5:$A$12,0)),0))</f>
        <v/>
      </c>
      <c r="I836" s="17" t="str">
        <f aca="false">IF(H836="","",D836*H836)</f>
        <v/>
      </c>
      <c r="J836" s="18" t="str">
        <f aca="true">IF(AND(AND(C836&lt;&gt;"Kazanıldı",C836&lt;&gt;"Kaybedildi",C836&lt;&gt;""),F836&lt;&gt;""),IF(F836&lt;TODAY(),"Gecikti",IF(F836=TODAY(),"Bugün","")),"")</f>
        <v/>
      </c>
      <c r="K836" s="18" t="str">
        <f aca="true">IF(AND(AND(C836&lt;&gt;"Kazanıldı",C836&lt;&gt;"Kaybedildi",C836&lt;&gt;""),F836&lt;&gt;"",F836&lt;=TODAY()),F836+ROW()/1000000,"")</f>
        <v/>
      </c>
    </row>
    <row r="837" customFormat="false" ht="15" hidden="false" customHeight="false" outlineLevel="0" collapsed="false">
      <c r="A837" s="12"/>
      <c r="B837" s="13"/>
      <c r="C837" s="13"/>
      <c r="D837" s="14"/>
      <c r="E837" s="15"/>
      <c r="F837" s="15"/>
      <c r="G837" s="12"/>
      <c r="H837" s="16" t="str">
        <f aca="false">IF(OR(A837="",C837=""),"",IFERROR(INDEX(Aşamalar!$B$5:$B$12,MATCH(C837,Aşamalar!$A$5:$A$12,0)),0))</f>
        <v/>
      </c>
      <c r="I837" s="17" t="str">
        <f aca="false">IF(H837="","",D837*H837)</f>
        <v/>
      </c>
      <c r="J837" s="18" t="str">
        <f aca="true">IF(AND(AND(C837&lt;&gt;"Kazanıldı",C837&lt;&gt;"Kaybedildi",C837&lt;&gt;""),F837&lt;&gt;""),IF(F837&lt;TODAY(),"Gecikti",IF(F837=TODAY(),"Bugün","")),"")</f>
        <v/>
      </c>
      <c r="K837" s="18" t="str">
        <f aca="true">IF(AND(AND(C837&lt;&gt;"Kazanıldı",C837&lt;&gt;"Kaybedildi",C837&lt;&gt;""),F837&lt;&gt;"",F837&lt;=TODAY()),F837+ROW()/1000000,"")</f>
        <v/>
      </c>
    </row>
    <row r="838" customFormat="false" ht="15" hidden="false" customHeight="false" outlineLevel="0" collapsed="false">
      <c r="A838" s="12"/>
      <c r="B838" s="13"/>
      <c r="C838" s="13"/>
      <c r="D838" s="14"/>
      <c r="E838" s="15"/>
      <c r="F838" s="15"/>
      <c r="G838" s="12"/>
      <c r="H838" s="16" t="str">
        <f aca="false">IF(OR(A838="",C838=""),"",IFERROR(INDEX(Aşamalar!$B$5:$B$12,MATCH(C838,Aşamalar!$A$5:$A$12,0)),0))</f>
        <v/>
      </c>
      <c r="I838" s="17" t="str">
        <f aca="false">IF(H838="","",D838*H838)</f>
        <v/>
      </c>
      <c r="J838" s="18" t="str">
        <f aca="true">IF(AND(AND(C838&lt;&gt;"Kazanıldı",C838&lt;&gt;"Kaybedildi",C838&lt;&gt;""),F838&lt;&gt;""),IF(F838&lt;TODAY(),"Gecikti",IF(F838=TODAY(),"Bugün","")),"")</f>
        <v/>
      </c>
      <c r="K838" s="18" t="str">
        <f aca="true">IF(AND(AND(C838&lt;&gt;"Kazanıldı",C838&lt;&gt;"Kaybedildi",C838&lt;&gt;""),F838&lt;&gt;"",F838&lt;=TODAY()),F838+ROW()/1000000,"")</f>
        <v/>
      </c>
    </row>
    <row r="839" customFormat="false" ht="15" hidden="false" customHeight="false" outlineLevel="0" collapsed="false">
      <c r="A839" s="12"/>
      <c r="B839" s="13"/>
      <c r="C839" s="13"/>
      <c r="D839" s="14"/>
      <c r="E839" s="15"/>
      <c r="F839" s="15"/>
      <c r="G839" s="12"/>
      <c r="H839" s="16" t="str">
        <f aca="false">IF(OR(A839="",C839=""),"",IFERROR(INDEX(Aşamalar!$B$5:$B$12,MATCH(C839,Aşamalar!$A$5:$A$12,0)),0))</f>
        <v/>
      </c>
      <c r="I839" s="17" t="str">
        <f aca="false">IF(H839="","",D839*H839)</f>
        <v/>
      </c>
      <c r="J839" s="18" t="str">
        <f aca="true">IF(AND(AND(C839&lt;&gt;"Kazanıldı",C839&lt;&gt;"Kaybedildi",C839&lt;&gt;""),F839&lt;&gt;""),IF(F839&lt;TODAY(),"Gecikti",IF(F839=TODAY(),"Bugün","")),"")</f>
        <v/>
      </c>
      <c r="K839" s="18" t="str">
        <f aca="true">IF(AND(AND(C839&lt;&gt;"Kazanıldı",C839&lt;&gt;"Kaybedildi",C839&lt;&gt;""),F839&lt;&gt;"",F839&lt;=TODAY()),F839+ROW()/1000000,"")</f>
        <v/>
      </c>
    </row>
    <row r="840" customFormat="false" ht="15" hidden="false" customHeight="false" outlineLevel="0" collapsed="false">
      <c r="A840" s="12"/>
      <c r="B840" s="13"/>
      <c r="C840" s="13"/>
      <c r="D840" s="14"/>
      <c r="E840" s="15"/>
      <c r="F840" s="15"/>
      <c r="G840" s="12"/>
      <c r="H840" s="16" t="str">
        <f aca="false">IF(OR(A840="",C840=""),"",IFERROR(INDEX(Aşamalar!$B$5:$B$12,MATCH(C840,Aşamalar!$A$5:$A$12,0)),0))</f>
        <v/>
      </c>
      <c r="I840" s="17" t="str">
        <f aca="false">IF(H840="","",D840*H840)</f>
        <v/>
      </c>
      <c r="J840" s="18" t="str">
        <f aca="true">IF(AND(AND(C840&lt;&gt;"Kazanıldı",C840&lt;&gt;"Kaybedildi",C840&lt;&gt;""),F840&lt;&gt;""),IF(F840&lt;TODAY(),"Gecikti",IF(F840=TODAY(),"Bugün","")),"")</f>
        <v/>
      </c>
      <c r="K840" s="18" t="str">
        <f aca="true">IF(AND(AND(C840&lt;&gt;"Kazanıldı",C840&lt;&gt;"Kaybedildi",C840&lt;&gt;""),F840&lt;&gt;"",F840&lt;=TODAY()),F840+ROW()/1000000,"")</f>
        <v/>
      </c>
    </row>
    <row r="841" customFormat="false" ht="15" hidden="false" customHeight="false" outlineLevel="0" collapsed="false">
      <c r="A841" s="12"/>
      <c r="B841" s="13"/>
      <c r="C841" s="13"/>
      <c r="D841" s="14"/>
      <c r="E841" s="15"/>
      <c r="F841" s="15"/>
      <c r="G841" s="12"/>
      <c r="H841" s="16" t="str">
        <f aca="false">IF(OR(A841="",C841=""),"",IFERROR(INDEX(Aşamalar!$B$5:$B$12,MATCH(C841,Aşamalar!$A$5:$A$12,0)),0))</f>
        <v/>
      </c>
      <c r="I841" s="17" t="str">
        <f aca="false">IF(H841="","",D841*H841)</f>
        <v/>
      </c>
      <c r="J841" s="18" t="str">
        <f aca="true">IF(AND(AND(C841&lt;&gt;"Kazanıldı",C841&lt;&gt;"Kaybedildi",C841&lt;&gt;""),F841&lt;&gt;""),IF(F841&lt;TODAY(),"Gecikti",IF(F841=TODAY(),"Bugün","")),"")</f>
        <v/>
      </c>
      <c r="K841" s="18" t="str">
        <f aca="true">IF(AND(AND(C841&lt;&gt;"Kazanıldı",C841&lt;&gt;"Kaybedildi",C841&lt;&gt;""),F841&lt;&gt;"",F841&lt;=TODAY()),F841+ROW()/1000000,"")</f>
        <v/>
      </c>
    </row>
    <row r="842" customFormat="false" ht="15" hidden="false" customHeight="false" outlineLevel="0" collapsed="false">
      <c r="A842" s="12"/>
      <c r="B842" s="13"/>
      <c r="C842" s="13"/>
      <c r="D842" s="14"/>
      <c r="E842" s="15"/>
      <c r="F842" s="15"/>
      <c r="G842" s="12"/>
      <c r="H842" s="16" t="str">
        <f aca="false">IF(OR(A842="",C842=""),"",IFERROR(INDEX(Aşamalar!$B$5:$B$12,MATCH(C842,Aşamalar!$A$5:$A$12,0)),0))</f>
        <v/>
      </c>
      <c r="I842" s="17" t="str">
        <f aca="false">IF(H842="","",D842*H842)</f>
        <v/>
      </c>
      <c r="J842" s="18" t="str">
        <f aca="true">IF(AND(AND(C842&lt;&gt;"Kazanıldı",C842&lt;&gt;"Kaybedildi",C842&lt;&gt;""),F842&lt;&gt;""),IF(F842&lt;TODAY(),"Gecikti",IF(F842=TODAY(),"Bugün","")),"")</f>
        <v/>
      </c>
      <c r="K842" s="18" t="str">
        <f aca="true">IF(AND(AND(C842&lt;&gt;"Kazanıldı",C842&lt;&gt;"Kaybedildi",C842&lt;&gt;""),F842&lt;&gt;"",F842&lt;=TODAY()),F842+ROW()/1000000,"")</f>
        <v/>
      </c>
    </row>
    <row r="843" customFormat="false" ht="15" hidden="false" customHeight="false" outlineLevel="0" collapsed="false">
      <c r="A843" s="12"/>
      <c r="B843" s="13"/>
      <c r="C843" s="13"/>
      <c r="D843" s="14"/>
      <c r="E843" s="15"/>
      <c r="F843" s="15"/>
      <c r="G843" s="12"/>
      <c r="H843" s="16" t="str">
        <f aca="false">IF(OR(A843="",C843=""),"",IFERROR(INDEX(Aşamalar!$B$5:$B$12,MATCH(C843,Aşamalar!$A$5:$A$12,0)),0))</f>
        <v/>
      </c>
      <c r="I843" s="17" t="str">
        <f aca="false">IF(H843="","",D843*H843)</f>
        <v/>
      </c>
      <c r="J843" s="18" t="str">
        <f aca="true">IF(AND(AND(C843&lt;&gt;"Kazanıldı",C843&lt;&gt;"Kaybedildi",C843&lt;&gt;""),F843&lt;&gt;""),IF(F843&lt;TODAY(),"Gecikti",IF(F843=TODAY(),"Bugün","")),"")</f>
        <v/>
      </c>
      <c r="K843" s="18" t="str">
        <f aca="true">IF(AND(AND(C843&lt;&gt;"Kazanıldı",C843&lt;&gt;"Kaybedildi",C843&lt;&gt;""),F843&lt;&gt;"",F843&lt;=TODAY()),F843+ROW()/1000000,"")</f>
        <v/>
      </c>
    </row>
    <row r="844" customFormat="false" ht="15" hidden="false" customHeight="false" outlineLevel="0" collapsed="false">
      <c r="A844" s="12"/>
      <c r="B844" s="13"/>
      <c r="C844" s="13"/>
      <c r="D844" s="14"/>
      <c r="E844" s="15"/>
      <c r="F844" s="15"/>
      <c r="G844" s="12"/>
      <c r="H844" s="16" t="str">
        <f aca="false">IF(OR(A844="",C844=""),"",IFERROR(INDEX(Aşamalar!$B$5:$B$12,MATCH(C844,Aşamalar!$A$5:$A$12,0)),0))</f>
        <v/>
      </c>
      <c r="I844" s="17" t="str">
        <f aca="false">IF(H844="","",D844*H844)</f>
        <v/>
      </c>
      <c r="J844" s="18" t="str">
        <f aca="true">IF(AND(AND(C844&lt;&gt;"Kazanıldı",C844&lt;&gt;"Kaybedildi",C844&lt;&gt;""),F844&lt;&gt;""),IF(F844&lt;TODAY(),"Gecikti",IF(F844=TODAY(),"Bugün","")),"")</f>
        <v/>
      </c>
      <c r="K844" s="18" t="str">
        <f aca="true">IF(AND(AND(C844&lt;&gt;"Kazanıldı",C844&lt;&gt;"Kaybedildi",C844&lt;&gt;""),F844&lt;&gt;"",F844&lt;=TODAY()),F844+ROW()/1000000,"")</f>
        <v/>
      </c>
    </row>
    <row r="845" customFormat="false" ht="15" hidden="false" customHeight="false" outlineLevel="0" collapsed="false">
      <c r="A845" s="12"/>
      <c r="B845" s="13"/>
      <c r="C845" s="13"/>
      <c r="D845" s="14"/>
      <c r="E845" s="15"/>
      <c r="F845" s="15"/>
      <c r="G845" s="12"/>
      <c r="H845" s="16" t="str">
        <f aca="false">IF(OR(A845="",C845=""),"",IFERROR(INDEX(Aşamalar!$B$5:$B$12,MATCH(C845,Aşamalar!$A$5:$A$12,0)),0))</f>
        <v/>
      </c>
      <c r="I845" s="17" t="str">
        <f aca="false">IF(H845="","",D845*H845)</f>
        <v/>
      </c>
      <c r="J845" s="18" t="str">
        <f aca="true">IF(AND(AND(C845&lt;&gt;"Kazanıldı",C845&lt;&gt;"Kaybedildi",C845&lt;&gt;""),F845&lt;&gt;""),IF(F845&lt;TODAY(),"Gecikti",IF(F845=TODAY(),"Bugün","")),"")</f>
        <v/>
      </c>
      <c r="K845" s="18" t="str">
        <f aca="true">IF(AND(AND(C845&lt;&gt;"Kazanıldı",C845&lt;&gt;"Kaybedildi",C845&lt;&gt;""),F845&lt;&gt;"",F845&lt;=TODAY()),F845+ROW()/1000000,"")</f>
        <v/>
      </c>
    </row>
    <row r="846" customFormat="false" ht="15" hidden="false" customHeight="false" outlineLevel="0" collapsed="false">
      <c r="A846" s="12"/>
      <c r="B846" s="13"/>
      <c r="C846" s="13"/>
      <c r="D846" s="14"/>
      <c r="E846" s="15"/>
      <c r="F846" s="15"/>
      <c r="G846" s="12"/>
      <c r="H846" s="16" t="str">
        <f aca="false">IF(OR(A846="",C846=""),"",IFERROR(INDEX(Aşamalar!$B$5:$B$12,MATCH(C846,Aşamalar!$A$5:$A$12,0)),0))</f>
        <v/>
      </c>
      <c r="I846" s="17" t="str">
        <f aca="false">IF(H846="","",D846*H846)</f>
        <v/>
      </c>
      <c r="J846" s="18" t="str">
        <f aca="true">IF(AND(AND(C846&lt;&gt;"Kazanıldı",C846&lt;&gt;"Kaybedildi",C846&lt;&gt;""),F846&lt;&gt;""),IF(F846&lt;TODAY(),"Gecikti",IF(F846=TODAY(),"Bugün","")),"")</f>
        <v/>
      </c>
      <c r="K846" s="18" t="str">
        <f aca="true">IF(AND(AND(C846&lt;&gt;"Kazanıldı",C846&lt;&gt;"Kaybedildi",C846&lt;&gt;""),F846&lt;&gt;"",F846&lt;=TODAY()),F846+ROW()/1000000,"")</f>
        <v/>
      </c>
    </row>
    <row r="847" customFormat="false" ht="15" hidden="false" customHeight="false" outlineLevel="0" collapsed="false">
      <c r="A847" s="12"/>
      <c r="B847" s="13"/>
      <c r="C847" s="13"/>
      <c r="D847" s="14"/>
      <c r="E847" s="15"/>
      <c r="F847" s="15"/>
      <c r="G847" s="12"/>
      <c r="H847" s="16" t="str">
        <f aca="false">IF(OR(A847="",C847=""),"",IFERROR(INDEX(Aşamalar!$B$5:$B$12,MATCH(C847,Aşamalar!$A$5:$A$12,0)),0))</f>
        <v/>
      </c>
      <c r="I847" s="17" t="str">
        <f aca="false">IF(H847="","",D847*H847)</f>
        <v/>
      </c>
      <c r="J847" s="18" t="str">
        <f aca="true">IF(AND(AND(C847&lt;&gt;"Kazanıldı",C847&lt;&gt;"Kaybedildi",C847&lt;&gt;""),F847&lt;&gt;""),IF(F847&lt;TODAY(),"Gecikti",IF(F847=TODAY(),"Bugün","")),"")</f>
        <v/>
      </c>
      <c r="K847" s="18" t="str">
        <f aca="true">IF(AND(AND(C847&lt;&gt;"Kazanıldı",C847&lt;&gt;"Kaybedildi",C847&lt;&gt;""),F847&lt;&gt;"",F847&lt;=TODAY()),F847+ROW()/1000000,"")</f>
        <v/>
      </c>
    </row>
    <row r="848" customFormat="false" ht="15" hidden="false" customHeight="false" outlineLevel="0" collapsed="false">
      <c r="A848" s="12"/>
      <c r="B848" s="13"/>
      <c r="C848" s="13"/>
      <c r="D848" s="14"/>
      <c r="E848" s="15"/>
      <c r="F848" s="15"/>
      <c r="G848" s="12"/>
      <c r="H848" s="16" t="str">
        <f aca="false">IF(OR(A848="",C848=""),"",IFERROR(INDEX(Aşamalar!$B$5:$B$12,MATCH(C848,Aşamalar!$A$5:$A$12,0)),0))</f>
        <v/>
      </c>
      <c r="I848" s="17" t="str">
        <f aca="false">IF(H848="","",D848*H848)</f>
        <v/>
      </c>
      <c r="J848" s="18" t="str">
        <f aca="true">IF(AND(AND(C848&lt;&gt;"Kazanıldı",C848&lt;&gt;"Kaybedildi",C848&lt;&gt;""),F848&lt;&gt;""),IF(F848&lt;TODAY(),"Gecikti",IF(F848=TODAY(),"Bugün","")),"")</f>
        <v/>
      </c>
      <c r="K848" s="18" t="str">
        <f aca="true">IF(AND(AND(C848&lt;&gt;"Kazanıldı",C848&lt;&gt;"Kaybedildi",C848&lt;&gt;""),F848&lt;&gt;"",F848&lt;=TODAY()),F848+ROW()/1000000,"")</f>
        <v/>
      </c>
    </row>
    <row r="849" customFormat="false" ht="15" hidden="false" customHeight="false" outlineLevel="0" collapsed="false">
      <c r="A849" s="12"/>
      <c r="B849" s="13"/>
      <c r="C849" s="13"/>
      <c r="D849" s="14"/>
      <c r="E849" s="15"/>
      <c r="F849" s="15"/>
      <c r="G849" s="12"/>
      <c r="H849" s="16" t="str">
        <f aca="false">IF(OR(A849="",C849=""),"",IFERROR(INDEX(Aşamalar!$B$5:$B$12,MATCH(C849,Aşamalar!$A$5:$A$12,0)),0))</f>
        <v/>
      </c>
      <c r="I849" s="17" t="str">
        <f aca="false">IF(H849="","",D849*H849)</f>
        <v/>
      </c>
      <c r="J849" s="18" t="str">
        <f aca="true">IF(AND(AND(C849&lt;&gt;"Kazanıldı",C849&lt;&gt;"Kaybedildi",C849&lt;&gt;""),F849&lt;&gt;""),IF(F849&lt;TODAY(),"Gecikti",IF(F849=TODAY(),"Bugün","")),"")</f>
        <v/>
      </c>
      <c r="K849" s="18" t="str">
        <f aca="true">IF(AND(AND(C849&lt;&gt;"Kazanıldı",C849&lt;&gt;"Kaybedildi",C849&lt;&gt;""),F849&lt;&gt;"",F849&lt;=TODAY()),F849+ROW()/1000000,"")</f>
        <v/>
      </c>
    </row>
    <row r="850" customFormat="false" ht="15" hidden="false" customHeight="false" outlineLevel="0" collapsed="false">
      <c r="A850" s="12"/>
      <c r="B850" s="13"/>
      <c r="C850" s="13"/>
      <c r="D850" s="14"/>
      <c r="E850" s="15"/>
      <c r="F850" s="15"/>
      <c r="G850" s="12"/>
      <c r="H850" s="16" t="str">
        <f aca="false">IF(OR(A850="",C850=""),"",IFERROR(INDEX(Aşamalar!$B$5:$B$12,MATCH(C850,Aşamalar!$A$5:$A$12,0)),0))</f>
        <v/>
      </c>
      <c r="I850" s="17" t="str">
        <f aca="false">IF(H850="","",D850*H850)</f>
        <v/>
      </c>
      <c r="J850" s="18" t="str">
        <f aca="true">IF(AND(AND(C850&lt;&gt;"Kazanıldı",C850&lt;&gt;"Kaybedildi",C850&lt;&gt;""),F850&lt;&gt;""),IF(F850&lt;TODAY(),"Gecikti",IF(F850=TODAY(),"Bugün","")),"")</f>
        <v/>
      </c>
      <c r="K850" s="18" t="str">
        <f aca="true">IF(AND(AND(C850&lt;&gt;"Kazanıldı",C850&lt;&gt;"Kaybedildi",C850&lt;&gt;""),F850&lt;&gt;"",F850&lt;=TODAY()),F850+ROW()/1000000,"")</f>
        <v/>
      </c>
    </row>
    <row r="851" customFormat="false" ht="15" hidden="false" customHeight="false" outlineLevel="0" collapsed="false">
      <c r="A851" s="12"/>
      <c r="B851" s="13"/>
      <c r="C851" s="13"/>
      <c r="D851" s="14"/>
      <c r="E851" s="15"/>
      <c r="F851" s="15"/>
      <c r="G851" s="12"/>
      <c r="H851" s="16" t="str">
        <f aca="false">IF(OR(A851="",C851=""),"",IFERROR(INDEX(Aşamalar!$B$5:$B$12,MATCH(C851,Aşamalar!$A$5:$A$12,0)),0))</f>
        <v/>
      </c>
      <c r="I851" s="17" t="str">
        <f aca="false">IF(H851="","",D851*H851)</f>
        <v/>
      </c>
      <c r="J851" s="18" t="str">
        <f aca="true">IF(AND(AND(C851&lt;&gt;"Kazanıldı",C851&lt;&gt;"Kaybedildi",C851&lt;&gt;""),F851&lt;&gt;""),IF(F851&lt;TODAY(),"Gecikti",IF(F851=TODAY(),"Bugün","")),"")</f>
        <v/>
      </c>
      <c r="K851" s="18" t="str">
        <f aca="true">IF(AND(AND(C851&lt;&gt;"Kazanıldı",C851&lt;&gt;"Kaybedildi",C851&lt;&gt;""),F851&lt;&gt;"",F851&lt;=TODAY()),F851+ROW()/1000000,"")</f>
        <v/>
      </c>
    </row>
    <row r="852" customFormat="false" ht="15" hidden="false" customHeight="false" outlineLevel="0" collapsed="false">
      <c r="A852" s="12"/>
      <c r="B852" s="13"/>
      <c r="C852" s="13"/>
      <c r="D852" s="14"/>
      <c r="E852" s="15"/>
      <c r="F852" s="15"/>
      <c r="G852" s="12"/>
      <c r="H852" s="16" t="str">
        <f aca="false">IF(OR(A852="",C852=""),"",IFERROR(INDEX(Aşamalar!$B$5:$B$12,MATCH(C852,Aşamalar!$A$5:$A$12,0)),0))</f>
        <v/>
      </c>
      <c r="I852" s="17" t="str">
        <f aca="false">IF(H852="","",D852*H852)</f>
        <v/>
      </c>
      <c r="J852" s="18" t="str">
        <f aca="true">IF(AND(AND(C852&lt;&gt;"Kazanıldı",C852&lt;&gt;"Kaybedildi",C852&lt;&gt;""),F852&lt;&gt;""),IF(F852&lt;TODAY(),"Gecikti",IF(F852=TODAY(),"Bugün","")),"")</f>
        <v/>
      </c>
      <c r="K852" s="18" t="str">
        <f aca="true">IF(AND(AND(C852&lt;&gt;"Kazanıldı",C852&lt;&gt;"Kaybedildi",C852&lt;&gt;""),F852&lt;&gt;"",F852&lt;=TODAY()),F852+ROW()/1000000,"")</f>
        <v/>
      </c>
    </row>
    <row r="853" customFormat="false" ht="15" hidden="false" customHeight="false" outlineLevel="0" collapsed="false">
      <c r="A853" s="12"/>
      <c r="B853" s="13"/>
      <c r="C853" s="13"/>
      <c r="D853" s="14"/>
      <c r="E853" s="15"/>
      <c r="F853" s="15"/>
      <c r="G853" s="12"/>
      <c r="H853" s="16" t="str">
        <f aca="false">IF(OR(A853="",C853=""),"",IFERROR(INDEX(Aşamalar!$B$5:$B$12,MATCH(C853,Aşamalar!$A$5:$A$12,0)),0))</f>
        <v/>
      </c>
      <c r="I853" s="17" t="str">
        <f aca="false">IF(H853="","",D853*H853)</f>
        <v/>
      </c>
      <c r="J853" s="18" t="str">
        <f aca="true">IF(AND(AND(C853&lt;&gt;"Kazanıldı",C853&lt;&gt;"Kaybedildi",C853&lt;&gt;""),F853&lt;&gt;""),IF(F853&lt;TODAY(),"Gecikti",IF(F853=TODAY(),"Bugün","")),"")</f>
        <v/>
      </c>
      <c r="K853" s="18" t="str">
        <f aca="true">IF(AND(AND(C853&lt;&gt;"Kazanıldı",C853&lt;&gt;"Kaybedildi",C853&lt;&gt;""),F853&lt;&gt;"",F853&lt;=TODAY()),F853+ROW()/1000000,"")</f>
        <v/>
      </c>
    </row>
    <row r="854" customFormat="false" ht="15" hidden="false" customHeight="false" outlineLevel="0" collapsed="false">
      <c r="A854" s="12"/>
      <c r="B854" s="13"/>
      <c r="C854" s="13"/>
      <c r="D854" s="14"/>
      <c r="E854" s="15"/>
      <c r="F854" s="15"/>
      <c r="G854" s="12"/>
      <c r="H854" s="16" t="str">
        <f aca="false">IF(OR(A854="",C854=""),"",IFERROR(INDEX(Aşamalar!$B$5:$B$12,MATCH(C854,Aşamalar!$A$5:$A$12,0)),0))</f>
        <v/>
      </c>
      <c r="I854" s="17" t="str">
        <f aca="false">IF(H854="","",D854*H854)</f>
        <v/>
      </c>
      <c r="J854" s="18" t="str">
        <f aca="true">IF(AND(AND(C854&lt;&gt;"Kazanıldı",C854&lt;&gt;"Kaybedildi",C854&lt;&gt;""),F854&lt;&gt;""),IF(F854&lt;TODAY(),"Gecikti",IF(F854=TODAY(),"Bugün","")),"")</f>
        <v/>
      </c>
      <c r="K854" s="18" t="str">
        <f aca="true">IF(AND(AND(C854&lt;&gt;"Kazanıldı",C854&lt;&gt;"Kaybedildi",C854&lt;&gt;""),F854&lt;&gt;"",F854&lt;=TODAY()),F854+ROW()/1000000,"")</f>
        <v/>
      </c>
    </row>
    <row r="855" customFormat="false" ht="15" hidden="false" customHeight="false" outlineLevel="0" collapsed="false">
      <c r="A855" s="12"/>
      <c r="B855" s="13"/>
      <c r="C855" s="13"/>
      <c r="D855" s="14"/>
      <c r="E855" s="15"/>
      <c r="F855" s="15"/>
      <c r="G855" s="12"/>
      <c r="H855" s="16" t="str">
        <f aca="false">IF(OR(A855="",C855=""),"",IFERROR(INDEX(Aşamalar!$B$5:$B$12,MATCH(C855,Aşamalar!$A$5:$A$12,0)),0))</f>
        <v/>
      </c>
      <c r="I855" s="17" t="str">
        <f aca="false">IF(H855="","",D855*H855)</f>
        <v/>
      </c>
      <c r="J855" s="18" t="str">
        <f aca="true">IF(AND(AND(C855&lt;&gt;"Kazanıldı",C855&lt;&gt;"Kaybedildi",C855&lt;&gt;""),F855&lt;&gt;""),IF(F855&lt;TODAY(),"Gecikti",IF(F855=TODAY(),"Bugün","")),"")</f>
        <v/>
      </c>
      <c r="K855" s="18" t="str">
        <f aca="true">IF(AND(AND(C855&lt;&gt;"Kazanıldı",C855&lt;&gt;"Kaybedildi",C855&lt;&gt;""),F855&lt;&gt;"",F855&lt;=TODAY()),F855+ROW()/1000000,"")</f>
        <v/>
      </c>
    </row>
    <row r="856" customFormat="false" ht="15" hidden="false" customHeight="false" outlineLevel="0" collapsed="false">
      <c r="A856" s="12"/>
      <c r="B856" s="13"/>
      <c r="C856" s="13"/>
      <c r="D856" s="14"/>
      <c r="E856" s="15"/>
      <c r="F856" s="15"/>
      <c r="G856" s="12"/>
      <c r="H856" s="16" t="str">
        <f aca="false">IF(OR(A856="",C856=""),"",IFERROR(INDEX(Aşamalar!$B$5:$B$12,MATCH(C856,Aşamalar!$A$5:$A$12,0)),0))</f>
        <v/>
      </c>
      <c r="I856" s="17" t="str">
        <f aca="false">IF(H856="","",D856*H856)</f>
        <v/>
      </c>
      <c r="J856" s="18" t="str">
        <f aca="true">IF(AND(AND(C856&lt;&gt;"Kazanıldı",C856&lt;&gt;"Kaybedildi",C856&lt;&gt;""),F856&lt;&gt;""),IF(F856&lt;TODAY(),"Gecikti",IF(F856=TODAY(),"Bugün","")),"")</f>
        <v/>
      </c>
      <c r="K856" s="18" t="str">
        <f aca="true">IF(AND(AND(C856&lt;&gt;"Kazanıldı",C856&lt;&gt;"Kaybedildi",C856&lt;&gt;""),F856&lt;&gt;"",F856&lt;=TODAY()),F856+ROW()/1000000,"")</f>
        <v/>
      </c>
    </row>
    <row r="857" customFormat="false" ht="15" hidden="false" customHeight="false" outlineLevel="0" collapsed="false">
      <c r="A857" s="12"/>
      <c r="B857" s="13"/>
      <c r="C857" s="13"/>
      <c r="D857" s="14"/>
      <c r="E857" s="15"/>
      <c r="F857" s="15"/>
      <c r="G857" s="12"/>
      <c r="H857" s="16" t="str">
        <f aca="false">IF(OR(A857="",C857=""),"",IFERROR(INDEX(Aşamalar!$B$5:$B$12,MATCH(C857,Aşamalar!$A$5:$A$12,0)),0))</f>
        <v/>
      </c>
      <c r="I857" s="17" t="str">
        <f aca="false">IF(H857="","",D857*H857)</f>
        <v/>
      </c>
      <c r="J857" s="18" t="str">
        <f aca="true">IF(AND(AND(C857&lt;&gt;"Kazanıldı",C857&lt;&gt;"Kaybedildi",C857&lt;&gt;""),F857&lt;&gt;""),IF(F857&lt;TODAY(),"Gecikti",IF(F857=TODAY(),"Bugün","")),"")</f>
        <v/>
      </c>
      <c r="K857" s="18" t="str">
        <f aca="true">IF(AND(AND(C857&lt;&gt;"Kazanıldı",C857&lt;&gt;"Kaybedildi",C857&lt;&gt;""),F857&lt;&gt;"",F857&lt;=TODAY()),F857+ROW()/1000000,"")</f>
        <v/>
      </c>
    </row>
    <row r="858" customFormat="false" ht="15" hidden="false" customHeight="false" outlineLevel="0" collapsed="false">
      <c r="A858" s="12"/>
      <c r="B858" s="13"/>
      <c r="C858" s="13"/>
      <c r="D858" s="14"/>
      <c r="E858" s="15"/>
      <c r="F858" s="15"/>
      <c r="G858" s="12"/>
      <c r="H858" s="16" t="str">
        <f aca="false">IF(OR(A858="",C858=""),"",IFERROR(INDEX(Aşamalar!$B$5:$B$12,MATCH(C858,Aşamalar!$A$5:$A$12,0)),0))</f>
        <v/>
      </c>
      <c r="I858" s="17" t="str">
        <f aca="false">IF(H858="","",D858*H858)</f>
        <v/>
      </c>
      <c r="J858" s="18" t="str">
        <f aca="true">IF(AND(AND(C858&lt;&gt;"Kazanıldı",C858&lt;&gt;"Kaybedildi",C858&lt;&gt;""),F858&lt;&gt;""),IF(F858&lt;TODAY(),"Gecikti",IF(F858=TODAY(),"Bugün","")),"")</f>
        <v/>
      </c>
      <c r="K858" s="18" t="str">
        <f aca="true">IF(AND(AND(C858&lt;&gt;"Kazanıldı",C858&lt;&gt;"Kaybedildi",C858&lt;&gt;""),F858&lt;&gt;"",F858&lt;=TODAY()),F858+ROW()/1000000,"")</f>
        <v/>
      </c>
    </row>
    <row r="859" customFormat="false" ht="15" hidden="false" customHeight="false" outlineLevel="0" collapsed="false">
      <c r="A859" s="12"/>
      <c r="B859" s="13"/>
      <c r="C859" s="13"/>
      <c r="D859" s="14"/>
      <c r="E859" s="15"/>
      <c r="F859" s="15"/>
      <c r="G859" s="12"/>
      <c r="H859" s="16" t="str">
        <f aca="false">IF(OR(A859="",C859=""),"",IFERROR(INDEX(Aşamalar!$B$5:$B$12,MATCH(C859,Aşamalar!$A$5:$A$12,0)),0))</f>
        <v/>
      </c>
      <c r="I859" s="17" t="str">
        <f aca="false">IF(H859="","",D859*H859)</f>
        <v/>
      </c>
      <c r="J859" s="18" t="str">
        <f aca="true">IF(AND(AND(C859&lt;&gt;"Kazanıldı",C859&lt;&gt;"Kaybedildi",C859&lt;&gt;""),F859&lt;&gt;""),IF(F859&lt;TODAY(),"Gecikti",IF(F859=TODAY(),"Bugün","")),"")</f>
        <v/>
      </c>
      <c r="K859" s="18" t="str">
        <f aca="true">IF(AND(AND(C859&lt;&gt;"Kazanıldı",C859&lt;&gt;"Kaybedildi",C859&lt;&gt;""),F859&lt;&gt;"",F859&lt;=TODAY()),F859+ROW()/1000000,"")</f>
        <v/>
      </c>
    </row>
    <row r="860" customFormat="false" ht="15" hidden="false" customHeight="false" outlineLevel="0" collapsed="false">
      <c r="A860" s="12"/>
      <c r="B860" s="13"/>
      <c r="C860" s="13"/>
      <c r="D860" s="14"/>
      <c r="E860" s="15"/>
      <c r="F860" s="15"/>
      <c r="G860" s="12"/>
      <c r="H860" s="16" t="str">
        <f aca="false">IF(OR(A860="",C860=""),"",IFERROR(INDEX(Aşamalar!$B$5:$B$12,MATCH(C860,Aşamalar!$A$5:$A$12,0)),0))</f>
        <v/>
      </c>
      <c r="I860" s="17" t="str">
        <f aca="false">IF(H860="","",D860*H860)</f>
        <v/>
      </c>
      <c r="J860" s="18" t="str">
        <f aca="true">IF(AND(AND(C860&lt;&gt;"Kazanıldı",C860&lt;&gt;"Kaybedildi",C860&lt;&gt;""),F860&lt;&gt;""),IF(F860&lt;TODAY(),"Gecikti",IF(F860=TODAY(),"Bugün","")),"")</f>
        <v/>
      </c>
      <c r="K860" s="18" t="str">
        <f aca="true">IF(AND(AND(C860&lt;&gt;"Kazanıldı",C860&lt;&gt;"Kaybedildi",C860&lt;&gt;""),F860&lt;&gt;"",F860&lt;=TODAY()),F860+ROW()/1000000,"")</f>
        <v/>
      </c>
    </row>
    <row r="861" customFormat="false" ht="15" hidden="false" customHeight="false" outlineLevel="0" collapsed="false">
      <c r="A861" s="12"/>
      <c r="B861" s="13"/>
      <c r="C861" s="13"/>
      <c r="D861" s="14"/>
      <c r="E861" s="15"/>
      <c r="F861" s="15"/>
      <c r="G861" s="12"/>
      <c r="H861" s="16" t="str">
        <f aca="false">IF(OR(A861="",C861=""),"",IFERROR(INDEX(Aşamalar!$B$5:$B$12,MATCH(C861,Aşamalar!$A$5:$A$12,0)),0))</f>
        <v/>
      </c>
      <c r="I861" s="17" t="str">
        <f aca="false">IF(H861="","",D861*H861)</f>
        <v/>
      </c>
      <c r="J861" s="18" t="str">
        <f aca="true">IF(AND(AND(C861&lt;&gt;"Kazanıldı",C861&lt;&gt;"Kaybedildi",C861&lt;&gt;""),F861&lt;&gt;""),IF(F861&lt;TODAY(),"Gecikti",IF(F861=TODAY(),"Bugün","")),"")</f>
        <v/>
      </c>
      <c r="K861" s="18" t="str">
        <f aca="true">IF(AND(AND(C861&lt;&gt;"Kazanıldı",C861&lt;&gt;"Kaybedildi",C861&lt;&gt;""),F861&lt;&gt;"",F861&lt;=TODAY()),F861+ROW()/1000000,"")</f>
        <v/>
      </c>
    </row>
    <row r="862" customFormat="false" ht="15" hidden="false" customHeight="false" outlineLevel="0" collapsed="false">
      <c r="A862" s="12"/>
      <c r="B862" s="13"/>
      <c r="C862" s="13"/>
      <c r="D862" s="14"/>
      <c r="E862" s="15"/>
      <c r="F862" s="15"/>
      <c r="G862" s="12"/>
      <c r="H862" s="16" t="str">
        <f aca="false">IF(OR(A862="",C862=""),"",IFERROR(INDEX(Aşamalar!$B$5:$B$12,MATCH(C862,Aşamalar!$A$5:$A$12,0)),0))</f>
        <v/>
      </c>
      <c r="I862" s="17" t="str">
        <f aca="false">IF(H862="","",D862*H862)</f>
        <v/>
      </c>
      <c r="J862" s="18" t="str">
        <f aca="true">IF(AND(AND(C862&lt;&gt;"Kazanıldı",C862&lt;&gt;"Kaybedildi",C862&lt;&gt;""),F862&lt;&gt;""),IF(F862&lt;TODAY(),"Gecikti",IF(F862=TODAY(),"Bugün","")),"")</f>
        <v/>
      </c>
      <c r="K862" s="18" t="str">
        <f aca="true">IF(AND(AND(C862&lt;&gt;"Kazanıldı",C862&lt;&gt;"Kaybedildi",C862&lt;&gt;""),F862&lt;&gt;"",F862&lt;=TODAY()),F862+ROW()/1000000,"")</f>
        <v/>
      </c>
    </row>
    <row r="863" customFormat="false" ht="15" hidden="false" customHeight="false" outlineLevel="0" collapsed="false">
      <c r="A863" s="12"/>
      <c r="B863" s="13"/>
      <c r="C863" s="13"/>
      <c r="D863" s="14"/>
      <c r="E863" s="15"/>
      <c r="F863" s="15"/>
      <c r="G863" s="12"/>
      <c r="H863" s="16" t="str">
        <f aca="false">IF(OR(A863="",C863=""),"",IFERROR(INDEX(Aşamalar!$B$5:$B$12,MATCH(C863,Aşamalar!$A$5:$A$12,0)),0))</f>
        <v/>
      </c>
      <c r="I863" s="17" t="str">
        <f aca="false">IF(H863="","",D863*H863)</f>
        <v/>
      </c>
      <c r="J863" s="18" t="str">
        <f aca="true">IF(AND(AND(C863&lt;&gt;"Kazanıldı",C863&lt;&gt;"Kaybedildi",C863&lt;&gt;""),F863&lt;&gt;""),IF(F863&lt;TODAY(),"Gecikti",IF(F863=TODAY(),"Bugün","")),"")</f>
        <v/>
      </c>
      <c r="K863" s="18" t="str">
        <f aca="true">IF(AND(AND(C863&lt;&gt;"Kazanıldı",C863&lt;&gt;"Kaybedildi",C863&lt;&gt;""),F863&lt;&gt;"",F863&lt;=TODAY()),F863+ROW()/1000000,"")</f>
        <v/>
      </c>
    </row>
    <row r="864" customFormat="false" ht="15" hidden="false" customHeight="false" outlineLevel="0" collapsed="false">
      <c r="A864" s="12"/>
      <c r="B864" s="13"/>
      <c r="C864" s="13"/>
      <c r="D864" s="14"/>
      <c r="E864" s="15"/>
      <c r="F864" s="15"/>
      <c r="G864" s="12"/>
      <c r="H864" s="16" t="str">
        <f aca="false">IF(OR(A864="",C864=""),"",IFERROR(INDEX(Aşamalar!$B$5:$B$12,MATCH(C864,Aşamalar!$A$5:$A$12,0)),0))</f>
        <v/>
      </c>
      <c r="I864" s="17" t="str">
        <f aca="false">IF(H864="","",D864*H864)</f>
        <v/>
      </c>
      <c r="J864" s="18" t="str">
        <f aca="true">IF(AND(AND(C864&lt;&gt;"Kazanıldı",C864&lt;&gt;"Kaybedildi",C864&lt;&gt;""),F864&lt;&gt;""),IF(F864&lt;TODAY(),"Gecikti",IF(F864=TODAY(),"Bugün","")),"")</f>
        <v/>
      </c>
      <c r="K864" s="18" t="str">
        <f aca="true">IF(AND(AND(C864&lt;&gt;"Kazanıldı",C864&lt;&gt;"Kaybedildi",C864&lt;&gt;""),F864&lt;&gt;"",F864&lt;=TODAY()),F864+ROW()/1000000,"")</f>
        <v/>
      </c>
    </row>
    <row r="865" customFormat="false" ht="15" hidden="false" customHeight="false" outlineLevel="0" collapsed="false">
      <c r="A865" s="12"/>
      <c r="B865" s="13"/>
      <c r="C865" s="13"/>
      <c r="D865" s="14"/>
      <c r="E865" s="15"/>
      <c r="F865" s="15"/>
      <c r="G865" s="12"/>
      <c r="H865" s="16" t="str">
        <f aca="false">IF(OR(A865="",C865=""),"",IFERROR(INDEX(Aşamalar!$B$5:$B$12,MATCH(C865,Aşamalar!$A$5:$A$12,0)),0))</f>
        <v/>
      </c>
      <c r="I865" s="17" t="str">
        <f aca="false">IF(H865="","",D865*H865)</f>
        <v/>
      </c>
      <c r="J865" s="18" t="str">
        <f aca="true">IF(AND(AND(C865&lt;&gt;"Kazanıldı",C865&lt;&gt;"Kaybedildi",C865&lt;&gt;""),F865&lt;&gt;""),IF(F865&lt;TODAY(),"Gecikti",IF(F865=TODAY(),"Bugün","")),"")</f>
        <v/>
      </c>
      <c r="K865" s="18" t="str">
        <f aca="true">IF(AND(AND(C865&lt;&gt;"Kazanıldı",C865&lt;&gt;"Kaybedildi",C865&lt;&gt;""),F865&lt;&gt;"",F865&lt;=TODAY()),F865+ROW()/1000000,"")</f>
        <v/>
      </c>
    </row>
    <row r="866" customFormat="false" ht="15" hidden="false" customHeight="false" outlineLevel="0" collapsed="false">
      <c r="A866" s="12"/>
      <c r="B866" s="13"/>
      <c r="C866" s="13"/>
      <c r="D866" s="14"/>
      <c r="E866" s="15"/>
      <c r="F866" s="15"/>
      <c r="G866" s="12"/>
      <c r="H866" s="16" t="str">
        <f aca="false">IF(OR(A866="",C866=""),"",IFERROR(INDEX(Aşamalar!$B$5:$B$12,MATCH(C866,Aşamalar!$A$5:$A$12,0)),0))</f>
        <v/>
      </c>
      <c r="I866" s="17" t="str">
        <f aca="false">IF(H866="","",D866*H866)</f>
        <v/>
      </c>
      <c r="J866" s="18" t="str">
        <f aca="true">IF(AND(AND(C866&lt;&gt;"Kazanıldı",C866&lt;&gt;"Kaybedildi",C866&lt;&gt;""),F866&lt;&gt;""),IF(F866&lt;TODAY(),"Gecikti",IF(F866=TODAY(),"Bugün","")),"")</f>
        <v/>
      </c>
      <c r="K866" s="18" t="str">
        <f aca="true">IF(AND(AND(C866&lt;&gt;"Kazanıldı",C866&lt;&gt;"Kaybedildi",C866&lt;&gt;""),F866&lt;&gt;"",F866&lt;=TODAY()),F866+ROW()/1000000,"")</f>
        <v/>
      </c>
    </row>
    <row r="867" customFormat="false" ht="15" hidden="false" customHeight="false" outlineLevel="0" collapsed="false">
      <c r="A867" s="12"/>
      <c r="B867" s="13"/>
      <c r="C867" s="13"/>
      <c r="D867" s="14"/>
      <c r="E867" s="15"/>
      <c r="F867" s="15"/>
      <c r="G867" s="12"/>
      <c r="H867" s="16" t="str">
        <f aca="false">IF(OR(A867="",C867=""),"",IFERROR(INDEX(Aşamalar!$B$5:$B$12,MATCH(C867,Aşamalar!$A$5:$A$12,0)),0))</f>
        <v/>
      </c>
      <c r="I867" s="17" t="str">
        <f aca="false">IF(H867="","",D867*H867)</f>
        <v/>
      </c>
      <c r="J867" s="18" t="str">
        <f aca="true">IF(AND(AND(C867&lt;&gt;"Kazanıldı",C867&lt;&gt;"Kaybedildi",C867&lt;&gt;""),F867&lt;&gt;""),IF(F867&lt;TODAY(),"Gecikti",IF(F867=TODAY(),"Bugün","")),"")</f>
        <v/>
      </c>
      <c r="K867" s="18" t="str">
        <f aca="true">IF(AND(AND(C867&lt;&gt;"Kazanıldı",C867&lt;&gt;"Kaybedildi",C867&lt;&gt;""),F867&lt;&gt;"",F867&lt;=TODAY()),F867+ROW()/1000000,"")</f>
        <v/>
      </c>
    </row>
    <row r="868" customFormat="false" ht="15" hidden="false" customHeight="false" outlineLevel="0" collapsed="false">
      <c r="A868" s="12"/>
      <c r="B868" s="13"/>
      <c r="C868" s="13"/>
      <c r="D868" s="14"/>
      <c r="E868" s="15"/>
      <c r="F868" s="15"/>
      <c r="G868" s="12"/>
      <c r="H868" s="16" t="str">
        <f aca="false">IF(OR(A868="",C868=""),"",IFERROR(INDEX(Aşamalar!$B$5:$B$12,MATCH(C868,Aşamalar!$A$5:$A$12,0)),0))</f>
        <v/>
      </c>
      <c r="I868" s="17" t="str">
        <f aca="false">IF(H868="","",D868*H868)</f>
        <v/>
      </c>
      <c r="J868" s="18" t="str">
        <f aca="true">IF(AND(AND(C868&lt;&gt;"Kazanıldı",C868&lt;&gt;"Kaybedildi",C868&lt;&gt;""),F868&lt;&gt;""),IF(F868&lt;TODAY(),"Gecikti",IF(F868=TODAY(),"Bugün","")),"")</f>
        <v/>
      </c>
      <c r="K868" s="18" t="str">
        <f aca="true">IF(AND(AND(C868&lt;&gt;"Kazanıldı",C868&lt;&gt;"Kaybedildi",C868&lt;&gt;""),F868&lt;&gt;"",F868&lt;=TODAY()),F868+ROW()/1000000,"")</f>
        <v/>
      </c>
    </row>
    <row r="869" customFormat="false" ht="15" hidden="false" customHeight="false" outlineLevel="0" collapsed="false">
      <c r="A869" s="12"/>
      <c r="B869" s="13"/>
      <c r="C869" s="13"/>
      <c r="D869" s="14"/>
      <c r="E869" s="15"/>
      <c r="F869" s="15"/>
      <c r="G869" s="12"/>
      <c r="H869" s="16" t="str">
        <f aca="false">IF(OR(A869="",C869=""),"",IFERROR(INDEX(Aşamalar!$B$5:$B$12,MATCH(C869,Aşamalar!$A$5:$A$12,0)),0))</f>
        <v/>
      </c>
      <c r="I869" s="17" t="str">
        <f aca="false">IF(H869="","",D869*H869)</f>
        <v/>
      </c>
      <c r="J869" s="18" t="str">
        <f aca="true">IF(AND(AND(C869&lt;&gt;"Kazanıldı",C869&lt;&gt;"Kaybedildi",C869&lt;&gt;""),F869&lt;&gt;""),IF(F869&lt;TODAY(),"Gecikti",IF(F869=TODAY(),"Bugün","")),"")</f>
        <v/>
      </c>
      <c r="K869" s="18" t="str">
        <f aca="true">IF(AND(AND(C869&lt;&gt;"Kazanıldı",C869&lt;&gt;"Kaybedildi",C869&lt;&gt;""),F869&lt;&gt;"",F869&lt;=TODAY()),F869+ROW()/1000000,"")</f>
        <v/>
      </c>
    </row>
    <row r="870" customFormat="false" ht="15" hidden="false" customHeight="false" outlineLevel="0" collapsed="false">
      <c r="A870" s="12"/>
      <c r="B870" s="13"/>
      <c r="C870" s="13"/>
      <c r="D870" s="14"/>
      <c r="E870" s="15"/>
      <c r="F870" s="15"/>
      <c r="G870" s="12"/>
      <c r="H870" s="16" t="str">
        <f aca="false">IF(OR(A870="",C870=""),"",IFERROR(INDEX(Aşamalar!$B$5:$B$12,MATCH(C870,Aşamalar!$A$5:$A$12,0)),0))</f>
        <v/>
      </c>
      <c r="I870" s="17" t="str">
        <f aca="false">IF(H870="","",D870*H870)</f>
        <v/>
      </c>
      <c r="J870" s="18" t="str">
        <f aca="true">IF(AND(AND(C870&lt;&gt;"Kazanıldı",C870&lt;&gt;"Kaybedildi",C870&lt;&gt;""),F870&lt;&gt;""),IF(F870&lt;TODAY(),"Gecikti",IF(F870=TODAY(),"Bugün","")),"")</f>
        <v/>
      </c>
      <c r="K870" s="18" t="str">
        <f aca="true">IF(AND(AND(C870&lt;&gt;"Kazanıldı",C870&lt;&gt;"Kaybedildi",C870&lt;&gt;""),F870&lt;&gt;"",F870&lt;=TODAY()),F870+ROW()/1000000,"")</f>
        <v/>
      </c>
    </row>
    <row r="871" customFormat="false" ht="15" hidden="false" customHeight="false" outlineLevel="0" collapsed="false">
      <c r="A871" s="12"/>
      <c r="B871" s="13"/>
      <c r="C871" s="13"/>
      <c r="D871" s="14"/>
      <c r="E871" s="15"/>
      <c r="F871" s="15"/>
      <c r="G871" s="12"/>
      <c r="H871" s="16" t="str">
        <f aca="false">IF(OR(A871="",C871=""),"",IFERROR(INDEX(Aşamalar!$B$5:$B$12,MATCH(C871,Aşamalar!$A$5:$A$12,0)),0))</f>
        <v/>
      </c>
      <c r="I871" s="17" t="str">
        <f aca="false">IF(H871="","",D871*H871)</f>
        <v/>
      </c>
      <c r="J871" s="18" t="str">
        <f aca="true">IF(AND(AND(C871&lt;&gt;"Kazanıldı",C871&lt;&gt;"Kaybedildi",C871&lt;&gt;""),F871&lt;&gt;""),IF(F871&lt;TODAY(),"Gecikti",IF(F871=TODAY(),"Bugün","")),"")</f>
        <v/>
      </c>
      <c r="K871" s="18" t="str">
        <f aca="true">IF(AND(AND(C871&lt;&gt;"Kazanıldı",C871&lt;&gt;"Kaybedildi",C871&lt;&gt;""),F871&lt;&gt;"",F871&lt;=TODAY()),F871+ROW()/1000000,"")</f>
        <v/>
      </c>
    </row>
    <row r="872" customFormat="false" ht="15" hidden="false" customHeight="false" outlineLevel="0" collapsed="false">
      <c r="A872" s="12"/>
      <c r="B872" s="13"/>
      <c r="C872" s="13"/>
      <c r="D872" s="14"/>
      <c r="E872" s="15"/>
      <c r="F872" s="15"/>
      <c r="G872" s="12"/>
      <c r="H872" s="16" t="str">
        <f aca="false">IF(OR(A872="",C872=""),"",IFERROR(INDEX(Aşamalar!$B$5:$B$12,MATCH(C872,Aşamalar!$A$5:$A$12,0)),0))</f>
        <v/>
      </c>
      <c r="I872" s="17" t="str">
        <f aca="false">IF(H872="","",D872*H872)</f>
        <v/>
      </c>
      <c r="J872" s="18" t="str">
        <f aca="true">IF(AND(AND(C872&lt;&gt;"Kazanıldı",C872&lt;&gt;"Kaybedildi",C872&lt;&gt;""),F872&lt;&gt;""),IF(F872&lt;TODAY(),"Gecikti",IF(F872=TODAY(),"Bugün","")),"")</f>
        <v/>
      </c>
      <c r="K872" s="18" t="str">
        <f aca="true">IF(AND(AND(C872&lt;&gt;"Kazanıldı",C872&lt;&gt;"Kaybedildi",C872&lt;&gt;""),F872&lt;&gt;"",F872&lt;=TODAY()),F872+ROW()/1000000,"")</f>
        <v/>
      </c>
    </row>
    <row r="873" customFormat="false" ht="15" hidden="false" customHeight="false" outlineLevel="0" collapsed="false">
      <c r="A873" s="12"/>
      <c r="B873" s="13"/>
      <c r="C873" s="13"/>
      <c r="D873" s="14"/>
      <c r="E873" s="15"/>
      <c r="F873" s="15"/>
      <c r="G873" s="12"/>
      <c r="H873" s="16" t="str">
        <f aca="false">IF(OR(A873="",C873=""),"",IFERROR(INDEX(Aşamalar!$B$5:$B$12,MATCH(C873,Aşamalar!$A$5:$A$12,0)),0))</f>
        <v/>
      </c>
      <c r="I873" s="17" t="str">
        <f aca="false">IF(H873="","",D873*H873)</f>
        <v/>
      </c>
      <c r="J873" s="18" t="str">
        <f aca="true">IF(AND(AND(C873&lt;&gt;"Kazanıldı",C873&lt;&gt;"Kaybedildi",C873&lt;&gt;""),F873&lt;&gt;""),IF(F873&lt;TODAY(),"Gecikti",IF(F873=TODAY(),"Bugün","")),"")</f>
        <v/>
      </c>
      <c r="K873" s="18" t="str">
        <f aca="true">IF(AND(AND(C873&lt;&gt;"Kazanıldı",C873&lt;&gt;"Kaybedildi",C873&lt;&gt;""),F873&lt;&gt;"",F873&lt;=TODAY()),F873+ROW()/1000000,"")</f>
        <v/>
      </c>
    </row>
    <row r="874" customFormat="false" ht="15" hidden="false" customHeight="false" outlineLevel="0" collapsed="false">
      <c r="A874" s="12"/>
      <c r="B874" s="13"/>
      <c r="C874" s="13"/>
      <c r="D874" s="14"/>
      <c r="E874" s="15"/>
      <c r="F874" s="15"/>
      <c r="G874" s="12"/>
      <c r="H874" s="16" t="str">
        <f aca="false">IF(OR(A874="",C874=""),"",IFERROR(INDEX(Aşamalar!$B$5:$B$12,MATCH(C874,Aşamalar!$A$5:$A$12,0)),0))</f>
        <v/>
      </c>
      <c r="I874" s="17" t="str">
        <f aca="false">IF(H874="","",D874*H874)</f>
        <v/>
      </c>
      <c r="J874" s="18" t="str">
        <f aca="true">IF(AND(AND(C874&lt;&gt;"Kazanıldı",C874&lt;&gt;"Kaybedildi",C874&lt;&gt;""),F874&lt;&gt;""),IF(F874&lt;TODAY(),"Gecikti",IF(F874=TODAY(),"Bugün","")),"")</f>
        <v/>
      </c>
      <c r="K874" s="18" t="str">
        <f aca="true">IF(AND(AND(C874&lt;&gt;"Kazanıldı",C874&lt;&gt;"Kaybedildi",C874&lt;&gt;""),F874&lt;&gt;"",F874&lt;=TODAY()),F874+ROW()/1000000,"")</f>
        <v/>
      </c>
    </row>
    <row r="875" customFormat="false" ht="15" hidden="false" customHeight="false" outlineLevel="0" collapsed="false">
      <c r="A875" s="12"/>
      <c r="B875" s="13"/>
      <c r="C875" s="13"/>
      <c r="D875" s="14"/>
      <c r="E875" s="15"/>
      <c r="F875" s="15"/>
      <c r="G875" s="12"/>
      <c r="H875" s="16" t="str">
        <f aca="false">IF(OR(A875="",C875=""),"",IFERROR(INDEX(Aşamalar!$B$5:$B$12,MATCH(C875,Aşamalar!$A$5:$A$12,0)),0))</f>
        <v/>
      </c>
      <c r="I875" s="17" t="str">
        <f aca="false">IF(H875="","",D875*H875)</f>
        <v/>
      </c>
      <c r="J875" s="18" t="str">
        <f aca="true">IF(AND(AND(C875&lt;&gt;"Kazanıldı",C875&lt;&gt;"Kaybedildi",C875&lt;&gt;""),F875&lt;&gt;""),IF(F875&lt;TODAY(),"Gecikti",IF(F875=TODAY(),"Bugün","")),"")</f>
        <v/>
      </c>
      <c r="K875" s="18" t="str">
        <f aca="true">IF(AND(AND(C875&lt;&gt;"Kazanıldı",C875&lt;&gt;"Kaybedildi",C875&lt;&gt;""),F875&lt;&gt;"",F875&lt;=TODAY()),F875+ROW()/1000000,"")</f>
        <v/>
      </c>
    </row>
    <row r="876" customFormat="false" ht="15" hidden="false" customHeight="false" outlineLevel="0" collapsed="false">
      <c r="A876" s="12"/>
      <c r="B876" s="13"/>
      <c r="C876" s="13"/>
      <c r="D876" s="14"/>
      <c r="E876" s="15"/>
      <c r="F876" s="15"/>
      <c r="G876" s="12"/>
      <c r="H876" s="16" t="str">
        <f aca="false">IF(OR(A876="",C876=""),"",IFERROR(INDEX(Aşamalar!$B$5:$B$12,MATCH(C876,Aşamalar!$A$5:$A$12,0)),0))</f>
        <v/>
      </c>
      <c r="I876" s="17" t="str">
        <f aca="false">IF(H876="","",D876*H876)</f>
        <v/>
      </c>
      <c r="J876" s="18" t="str">
        <f aca="true">IF(AND(AND(C876&lt;&gt;"Kazanıldı",C876&lt;&gt;"Kaybedildi",C876&lt;&gt;""),F876&lt;&gt;""),IF(F876&lt;TODAY(),"Gecikti",IF(F876=TODAY(),"Bugün","")),"")</f>
        <v/>
      </c>
      <c r="K876" s="18" t="str">
        <f aca="true">IF(AND(AND(C876&lt;&gt;"Kazanıldı",C876&lt;&gt;"Kaybedildi",C876&lt;&gt;""),F876&lt;&gt;"",F876&lt;=TODAY()),F876+ROW()/1000000,"")</f>
        <v/>
      </c>
    </row>
    <row r="877" customFormat="false" ht="15" hidden="false" customHeight="false" outlineLevel="0" collapsed="false">
      <c r="A877" s="12"/>
      <c r="B877" s="13"/>
      <c r="C877" s="13"/>
      <c r="D877" s="14"/>
      <c r="E877" s="15"/>
      <c r="F877" s="15"/>
      <c r="G877" s="12"/>
      <c r="H877" s="16" t="str">
        <f aca="false">IF(OR(A877="",C877=""),"",IFERROR(INDEX(Aşamalar!$B$5:$B$12,MATCH(C877,Aşamalar!$A$5:$A$12,0)),0))</f>
        <v/>
      </c>
      <c r="I877" s="17" t="str">
        <f aca="false">IF(H877="","",D877*H877)</f>
        <v/>
      </c>
      <c r="J877" s="18" t="str">
        <f aca="true">IF(AND(AND(C877&lt;&gt;"Kazanıldı",C877&lt;&gt;"Kaybedildi",C877&lt;&gt;""),F877&lt;&gt;""),IF(F877&lt;TODAY(),"Gecikti",IF(F877=TODAY(),"Bugün","")),"")</f>
        <v/>
      </c>
      <c r="K877" s="18" t="str">
        <f aca="true">IF(AND(AND(C877&lt;&gt;"Kazanıldı",C877&lt;&gt;"Kaybedildi",C877&lt;&gt;""),F877&lt;&gt;"",F877&lt;=TODAY()),F877+ROW()/1000000,"")</f>
        <v/>
      </c>
    </row>
    <row r="878" customFormat="false" ht="15" hidden="false" customHeight="false" outlineLevel="0" collapsed="false">
      <c r="A878" s="12"/>
      <c r="B878" s="13"/>
      <c r="C878" s="13"/>
      <c r="D878" s="14"/>
      <c r="E878" s="15"/>
      <c r="F878" s="15"/>
      <c r="G878" s="12"/>
      <c r="H878" s="16" t="str">
        <f aca="false">IF(OR(A878="",C878=""),"",IFERROR(INDEX(Aşamalar!$B$5:$B$12,MATCH(C878,Aşamalar!$A$5:$A$12,0)),0))</f>
        <v/>
      </c>
      <c r="I878" s="17" t="str">
        <f aca="false">IF(H878="","",D878*H878)</f>
        <v/>
      </c>
      <c r="J878" s="18" t="str">
        <f aca="true">IF(AND(AND(C878&lt;&gt;"Kazanıldı",C878&lt;&gt;"Kaybedildi",C878&lt;&gt;""),F878&lt;&gt;""),IF(F878&lt;TODAY(),"Gecikti",IF(F878=TODAY(),"Bugün","")),"")</f>
        <v/>
      </c>
      <c r="K878" s="18" t="str">
        <f aca="true">IF(AND(AND(C878&lt;&gt;"Kazanıldı",C878&lt;&gt;"Kaybedildi",C878&lt;&gt;""),F878&lt;&gt;"",F878&lt;=TODAY()),F878+ROW()/1000000,"")</f>
        <v/>
      </c>
    </row>
    <row r="879" customFormat="false" ht="15" hidden="false" customHeight="false" outlineLevel="0" collapsed="false">
      <c r="A879" s="12"/>
      <c r="B879" s="13"/>
      <c r="C879" s="13"/>
      <c r="D879" s="14"/>
      <c r="E879" s="15"/>
      <c r="F879" s="15"/>
      <c r="G879" s="12"/>
      <c r="H879" s="16" t="str">
        <f aca="false">IF(OR(A879="",C879=""),"",IFERROR(INDEX(Aşamalar!$B$5:$B$12,MATCH(C879,Aşamalar!$A$5:$A$12,0)),0))</f>
        <v/>
      </c>
      <c r="I879" s="17" t="str">
        <f aca="false">IF(H879="","",D879*H879)</f>
        <v/>
      </c>
      <c r="J879" s="18" t="str">
        <f aca="true">IF(AND(AND(C879&lt;&gt;"Kazanıldı",C879&lt;&gt;"Kaybedildi",C879&lt;&gt;""),F879&lt;&gt;""),IF(F879&lt;TODAY(),"Gecikti",IF(F879=TODAY(),"Bugün","")),"")</f>
        <v/>
      </c>
      <c r="K879" s="18" t="str">
        <f aca="true">IF(AND(AND(C879&lt;&gt;"Kazanıldı",C879&lt;&gt;"Kaybedildi",C879&lt;&gt;""),F879&lt;&gt;"",F879&lt;=TODAY()),F879+ROW()/1000000,"")</f>
        <v/>
      </c>
    </row>
    <row r="880" customFormat="false" ht="15" hidden="false" customHeight="false" outlineLevel="0" collapsed="false">
      <c r="A880" s="12"/>
      <c r="B880" s="13"/>
      <c r="C880" s="13"/>
      <c r="D880" s="14"/>
      <c r="E880" s="15"/>
      <c r="F880" s="15"/>
      <c r="G880" s="12"/>
      <c r="H880" s="16" t="str">
        <f aca="false">IF(OR(A880="",C880=""),"",IFERROR(INDEX(Aşamalar!$B$5:$B$12,MATCH(C880,Aşamalar!$A$5:$A$12,0)),0))</f>
        <v/>
      </c>
      <c r="I880" s="17" t="str">
        <f aca="false">IF(H880="","",D880*H880)</f>
        <v/>
      </c>
      <c r="J880" s="18" t="str">
        <f aca="true">IF(AND(AND(C880&lt;&gt;"Kazanıldı",C880&lt;&gt;"Kaybedildi",C880&lt;&gt;""),F880&lt;&gt;""),IF(F880&lt;TODAY(),"Gecikti",IF(F880=TODAY(),"Bugün","")),"")</f>
        <v/>
      </c>
      <c r="K880" s="18" t="str">
        <f aca="true">IF(AND(AND(C880&lt;&gt;"Kazanıldı",C880&lt;&gt;"Kaybedildi",C880&lt;&gt;""),F880&lt;&gt;"",F880&lt;=TODAY()),F880+ROW()/1000000,"")</f>
        <v/>
      </c>
    </row>
    <row r="881" customFormat="false" ht="15" hidden="false" customHeight="false" outlineLevel="0" collapsed="false">
      <c r="A881" s="12"/>
      <c r="B881" s="13"/>
      <c r="C881" s="13"/>
      <c r="D881" s="14"/>
      <c r="E881" s="15"/>
      <c r="F881" s="15"/>
      <c r="G881" s="12"/>
      <c r="H881" s="16" t="str">
        <f aca="false">IF(OR(A881="",C881=""),"",IFERROR(INDEX(Aşamalar!$B$5:$B$12,MATCH(C881,Aşamalar!$A$5:$A$12,0)),0))</f>
        <v/>
      </c>
      <c r="I881" s="17" t="str">
        <f aca="false">IF(H881="","",D881*H881)</f>
        <v/>
      </c>
      <c r="J881" s="18" t="str">
        <f aca="true">IF(AND(AND(C881&lt;&gt;"Kazanıldı",C881&lt;&gt;"Kaybedildi",C881&lt;&gt;""),F881&lt;&gt;""),IF(F881&lt;TODAY(),"Gecikti",IF(F881=TODAY(),"Bugün","")),"")</f>
        <v/>
      </c>
      <c r="K881" s="18" t="str">
        <f aca="true">IF(AND(AND(C881&lt;&gt;"Kazanıldı",C881&lt;&gt;"Kaybedildi",C881&lt;&gt;""),F881&lt;&gt;"",F881&lt;=TODAY()),F881+ROW()/1000000,"")</f>
        <v/>
      </c>
    </row>
    <row r="882" customFormat="false" ht="15" hidden="false" customHeight="false" outlineLevel="0" collapsed="false">
      <c r="A882" s="12"/>
      <c r="B882" s="13"/>
      <c r="C882" s="13"/>
      <c r="D882" s="14"/>
      <c r="E882" s="15"/>
      <c r="F882" s="15"/>
      <c r="G882" s="12"/>
      <c r="H882" s="16" t="str">
        <f aca="false">IF(OR(A882="",C882=""),"",IFERROR(INDEX(Aşamalar!$B$5:$B$12,MATCH(C882,Aşamalar!$A$5:$A$12,0)),0))</f>
        <v/>
      </c>
      <c r="I882" s="17" t="str">
        <f aca="false">IF(H882="","",D882*H882)</f>
        <v/>
      </c>
      <c r="J882" s="18" t="str">
        <f aca="true">IF(AND(AND(C882&lt;&gt;"Kazanıldı",C882&lt;&gt;"Kaybedildi",C882&lt;&gt;""),F882&lt;&gt;""),IF(F882&lt;TODAY(),"Gecikti",IF(F882=TODAY(),"Bugün","")),"")</f>
        <v/>
      </c>
      <c r="K882" s="18" t="str">
        <f aca="true">IF(AND(AND(C882&lt;&gt;"Kazanıldı",C882&lt;&gt;"Kaybedildi",C882&lt;&gt;""),F882&lt;&gt;"",F882&lt;=TODAY()),F882+ROW()/1000000,"")</f>
        <v/>
      </c>
    </row>
    <row r="883" customFormat="false" ht="15" hidden="false" customHeight="false" outlineLevel="0" collapsed="false">
      <c r="A883" s="12"/>
      <c r="B883" s="13"/>
      <c r="C883" s="13"/>
      <c r="D883" s="14"/>
      <c r="E883" s="15"/>
      <c r="F883" s="15"/>
      <c r="G883" s="12"/>
      <c r="H883" s="16" t="str">
        <f aca="false">IF(OR(A883="",C883=""),"",IFERROR(INDEX(Aşamalar!$B$5:$B$12,MATCH(C883,Aşamalar!$A$5:$A$12,0)),0))</f>
        <v/>
      </c>
      <c r="I883" s="17" t="str">
        <f aca="false">IF(H883="","",D883*H883)</f>
        <v/>
      </c>
      <c r="J883" s="18" t="str">
        <f aca="true">IF(AND(AND(C883&lt;&gt;"Kazanıldı",C883&lt;&gt;"Kaybedildi",C883&lt;&gt;""),F883&lt;&gt;""),IF(F883&lt;TODAY(),"Gecikti",IF(F883=TODAY(),"Bugün","")),"")</f>
        <v/>
      </c>
      <c r="K883" s="18" t="str">
        <f aca="true">IF(AND(AND(C883&lt;&gt;"Kazanıldı",C883&lt;&gt;"Kaybedildi",C883&lt;&gt;""),F883&lt;&gt;"",F883&lt;=TODAY()),F883+ROW()/1000000,"")</f>
        <v/>
      </c>
    </row>
    <row r="884" customFormat="false" ht="15" hidden="false" customHeight="false" outlineLevel="0" collapsed="false">
      <c r="A884" s="12"/>
      <c r="B884" s="13"/>
      <c r="C884" s="13"/>
      <c r="D884" s="14"/>
      <c r="E884" s="15"/>
      <c r="F884" s="15"/>
      <c r="G884" s="12"/>
      <c r="H884" s="16" t="str">
        <f aca="false">IF(OR(A884="",C884=""),"",IFERROR(INDEX(Aşamalar!$B$5:$B$12,MATCH(C884,Aşamalar!$A$5:$A$12,0)),0))</f>
        <v/>
      </c>
      <c r="I884" s="17" t="str">
        <f aca="false">IF(H884="","",D884*H884)</f>
        <v/>
      </c>
      <c r="J884" s="18" t="str">
        <f aca="true">IF(AND(AND(C884&lt;&gt;"Kazanıldı",C884&lt;&gt;"Kaybedildi",C884&lt;&gt;""),F884&lt;&gt;""),IF(F884&lt;TODAY(),"Gecikti",IF(F884=TODAY(),"Bugün","")),"")</f>
        <v/>
      </c>
      <c r="K884" s="18" t="str">
        <f aca="true">IF(AND(AND(C884&lt;&gt;"Kazanıldı",C884&lt;&gt;"Kaybedildi",C884&lt;&gt;""),F884&lt;&gt;"",F884&lt;=TODAY()),F884+ROW()/1000000,"")</f>
        <v/>
      </c>
    </row>
    <row r="885" customFormat="false" ht="15" hidden="false" customHeight="false" outlineLevel="0" collapsed="false">
      <c r="A885" s="12"/>
      <c r="B885" s="13"/>
      <c r="C885" s="13"/>
      <c r="D885" s="14"/>
      <c r="E885" s="15"/>
      <c r="F885" s="15"/>
      <c r="G885" s="12"/>
      <c r="H885" s="16" t="str">
        <f aca="false">IF(OR(A885="",C885=""),"",IFERROR(INDEX(Aşamalar!$B$5:$B$12,MATCH(C885,Aşamalar!$A$5:$A$12,0)),0))</f>
        <v/>
      </c>
      <c r="I885" s="17" t="str">
        <f aca="false">IF(H885="","",D885*H885)</f>
        <v/>
      </c>
      <c r="J885" s="18" t="str">
        <f aca="true">IF(AND(AND(C885&lt;&gt;"Kazanıldı",C885&lt;&gt;"Kaybedildi",C885&lt;&gt;""),F885&lt;&gt;""),IF(F885&lt;TODAY(),"Gecikti",IF(F885=TODAY(),"Bugün","")),"")</f>
        <v/>
      </c>
      <c r="K885" s="18" t="str">
        <f aca="true">IF(AND(AND(C885&lt;&gt;"Kazanıldı",C885&lt;&gt;"Kaybedildi",C885&lt;&gt;""),F885&lt;&gt;"",F885&lt;=TODAY()),F885+ROW()/1000000,"")</f>
        <v/>
      </c>
    </row>
    <row r="886" customFormat="false" ht="15" hidden="false" customHeight="false" outlineLevel="0" collapsed="false">
      <c r="A886" s="12"/>
      <c r="B886" s="13"/>
      <c r="C886" s="13"/>
      <c r="D886" s="14"/>
      <c r="E886" s="15"/>
      <c r="F886" s="15"/>
      <c r="G886" s="12"/>
      <c r="H886" s="16" t="str">
        <f aca="false">IF(OR(A886="",C886=""),"",IFERROR(INDEX(Aşamalar!$B$5:$B$12,MATCH(C886,Aşamalar!$A$5:$A$12,0)),0))</f>
        <v/>
      </c>
      <c r="I886" s="17" t="str">
        <f aca="false">IF(H886="","",D886*H886)</f>
        <v/>
      </c>
      <c r="J886" s="18" t="str">
        <f aca="true">IF(AND(AND(C886&lt;&gt;"Kazanıldı",C886&lt;&gt;"Kaybedildi",C886&lt;&gt;""),F886&lt;&gt;""),IF(F886&lt;TODAY(),"Gecikti",IF(F886=TODAY(),"Bugün","")),"")</f>
        <v/>
      </c>
      <c r="K886" s="18" t="str">
        <f aca="true">IF(AND(AND(C886&lt;&gt;"Kazanıldı",C886&lt;&gt;"Kaybedildi",C886&lt;&gt;""),F886&lt;&gt;"",F886&lt;=TODAY()),F886+ROW()/1000000,"")</f>
        <v/>
      </c>
    </row>
    <row r="887" customFormat="false" ht="15" hidden="false" customHeight="false" outlineLevel="0" collapsed="false">
      <c r="A887" s="12"/>
      <c r="B887" s="13"/>
      <c r="C887" s="13"/>
      <c r="D887" s="14"/>
      <c r="E887" s="15"/>
      <c r="F887" s="15"/>
      <c r="G887" s="12"/>
      <c r="H887" s="16" t="str">
        <f aca="false">IF(OR(A887="",C887=""),"",IFERROR(INDEX(Aşamalar!$B$5:$B$12,MATCH(C887,Aşamalar!$A$5:$A$12,0)),0))</f>
        <v/>
      </c>
      <c r="I887" s="17" t="str">
        <f aca="false">IF(H887="","",D887*H887)</f>
        <v/>
      </c>
      <c r="J887" s="18" t="str">
        <f aca="true">IF(AND(AND(C887&lt;&gt;"Kazanıldı",C887&lt;&gt;"Kaybedildi",C887&lt;&gt;""),F887&lt;&gt;""),IF(F887&lt;TODAY(),"Gecikti",IF(F887=TODAY(),"Bugün","")),"")</f>
        <v/>
      </c>
      <c r="K887" s="18" t="str">
        <f aca="true">IF(AND(AND(C887&lt;&gt;"Kazanıldı",C887&lt;&gt;"Kaybedildi",C887&lt;&gt;""),F887&lt;&gt;"",F887&lt;=TODAY()),F887+ROW()/1000000,"")</f>
        <v/>
      </c>
    </row>
    <row r="888" customFormat="false" ht="15" hidden="false" customHeight="false" outlineLevel="0" collapsed="false">
      <c r="A888" s="12"/>
      <c r="B888" s="13"/>
      <c r="C888" s="13"/>
      <c r="D888" s="14"/>
      <c r="E888" s="15"/>
      <c r="F888" s="15"/>
      <c r="G888" s="12"/>
      <c r="H888" s="16" t="str">
        <f aca="false">IF(OR(A888="",C888=""),"",IFERROR(INDEX(Aşamalar!$B$5:$B$12,MATCH(C888,Aşamalar!$A$5:$A$12,0)),0))</f>
        <v/>
      </c>
      <c r="I888" s="17" t="str">
        <f aca="false">IF(H888="","",D888*H888)</f>
        <v/>
      </c>
      <c r="J888" s="18" t="str">
        <f aca="true">IF(AND(AND(C888&lt;&gt;"Kazanıldı",C888&lt;&gt;"Kaybedildi",C888&lt;&gt;""),F888&lt;&gt;""),IF(F888&lt;TODAY(),"Gecikti",IF(F888=TODAY(),"Bugün","")),"")</f>
        <v/>
      </c>
      <c r="K888" s="18" t="str">
        <f aca="true">IF(AND(AND(C888&lt;&gt;"Kazanıldı",C888&lt;&gt;"Kaybedildi",C888&lt;&gt;""),F888&lt;&gt;"",F888&lt;=TODAY()),F888+ROW()/1000000,"")</f>
        <v/>
      </c>
    </row>
    <row r="889" customFormat="false" ht="15" hidden="false" customHeight="false" outlineLevel="0" collapsed="false">
      <c r="A889" s="12"/>
      <c r="B889" s="13"/>
      <c r="C889" s="13"/>
      <c r="D889" s="14"/>
      <c r="E889" s="15"/>
      <c r="F889" s="15"/>
      <c r="G889" s="12"/>
      <c r="H889" s="16" t="str">
        <f aca="false">IF(OR(A889="",C889=""),"",IFERROR(INDEX(Aşamalar!$B$5:$B$12,MATCH(C889,Aşamalar!$A$5:$A$12,0)),0))</f>
        <v/>
      </c>
      <c r="I889" s="17" t="str">
        <f aca="false">IF(H889="","",D889*H889)</f>
        <v/>
      </c>
      <c r="J889" s="18" t="str">
        <f aca="true">IF(AND(AND(C889&lt;&gt;"Kazanıldı",C889&lt;&gt;"Kaybedildi",C889&lt;&gt;""),F889&lt;&gt;""),IF(F889&lt;TODAY(),"Gecikti",IF(F889=TODAY(),"Bugün","")),"")</f>
        <v/>
      </c>
      <c r="K889" s="18" t="str">
        <f aca="true">IF(AND(AND(C889&lt;&gt;"Kazanıldı",C889&lt;&gt;"Kaybedildi",C889&lt;&gt;""),F889&lt;&gt;"",F889&lt;=TODAY()),F889+ROW()/1000000,"")</f>
        <v/>
      </c>
    </row>
    <row r="890" customFormat="false" ht="15" hidden="false" customHeight="false" outlineLevel="0" collapsed="false">
      <c r="A890" s="12"/>
      <c r="B890" s="13"/>
      <c r="C890" s="13"/>
      <c r="D890" s="14"/>
      <c r="E890" s="15"/>
      <c r="F890" s="15"/>
      <c r="G890" s="12"/>
      <c r="H890" s="16" t="str">
        <f aca="false">IF(OR(A890="",C890=""),"",IFERROR(INDEX(Aşamalar!$B$5:$B$12,MATCH(C890,Aşamalar!$A$5:$A$12,0)),0))</f>
        <v/>
      </c>
      <c r="I890" s="17" t="str">
        <f aca="false">IF(H890="","",D890*H890)</f>
        <v/>
      </c>
      <c r="J890" s="18" t="str">
        <f aca="true">IF(AND(AND(C890&lt;&gt;"Kazanıldı",C890&lt;&gt;"Kaybedildi",C890&lt;&gt;""),F890&lt;&gt;""),IF(F890&lt;TODAY(),"Gecikti",IF(F890=TODAY(),"Bugün","")),"")</f>
        <v/>
      </c>
      <c r="K890" s="18" t="str">
        <f aca="true">IF(AND(AND(C890&lt;&gt;"Kazanıldı",C890&lt;&gt;"Kaybedildi",C890&lt;&gt;""),F890&lt;&gt;"",F890&lt;=TODAY()),F890+ROW()/1000000,"")</f>
        <v/>
      </c>
    </row>
    <row r="891" customFormat="false" ht="15" hidden="false" customHeight="false" outlineLevel="0" collapsed="false">
      <c r="A891" s="12"/>
      <c r="B891" s="13"/>
      <c r="C891" s="13"/>
      <c r="D891" s="14"/>
      <c r="E891" s="15"/>
      <c r="F891" s="15"/>
      <c r="G891" s="12"/>
      <c r="H891" s="16" t="str">
        <f aca="false">IF(OR(A891="",C891=""),"",IFERROR(INDEX(Aşamalar!$B$5:$B$12,MATCH(C891,Aşamalar!$A$5:$A$12,0)),0))</f>
        <v/>
      </c>
      <c r="I891" s="17" t="str">
        <f aca="false">IF(H891="","",D891*H891)</f>
        <v/>
      </c>
      <c r="J891" s="18" t="str">
        <f aca="true">IF(AND(AND(C891&lt;&gt;"Kazanıldı",C891&lt;&gt;"Kaybedildi",C891&lt;&gt;""),F891&lt;&gt;""),IF(F891&lt;TODAY(),"Gecikti",IF(F891=TODAY(),"Bugün","")),"")</f>
        <v/>
      </c>
      <c r="K891" s="18" t="str">
        <f aca="true">IF(AND(AND(C891&lt;&gt;"Kazanıldı",C891&lt;&gt;"Kaybedildi",C891&lt;&gt;""),F891&lt;&gt;"",F891&lt;=TODAY()),F891+ROW()/1000000,"")</f>
        <v/>
      </c>
    </row>
    <row r="892" customFormat="false" ht="15" hidden="false" customHeight="false" outlineLevel="0" collapsed="false">
      <c r="A892" s="12"/>
      <c r="B892" s="13"/>
      <c r="C892" s="13"/>
      <c r="D892" s="14"/>
      <c r="E892" s="15"/>
      <c r="F892" s="15"/>
      <c r="G892" s="12"/>
      <c r="H892" s="16" t="str">
        <f aca="false">IF(OR(A892="",C892=""),"",IFERROR(INDEX(Aşamalar!$B$5:$B$12,MATCH(C892,Aşamalar!$A$5:$A$12,0)),0))</f>
        <v/>
      </c>
      <c r="I892" s="17" t="str">
        <f aca="false">IF(H892="","",D892*H892)</f>
        <v/>
      </c>
      <c r="J892" s="18" t="str">
        <f aca="true">IF(AND(AND(C892&lt;&gt;"Kazanıldı",C892&lt;&gt;"Kaybedildi",C892&lt;&gt;""),F892&lt;&gt;""),IF(F892&lt;TODAY(),"Gecikti",IF(F892=TODAY(),"Bugün","")),"")</f>
        <v/>
      </c>
      <c r="K892" s="18" t="str">
        <f aca="true">IF(AND(AND(C892&lt;&gt;"Kazanıldı",C892&lt;&gt;"Kaybedildi",C892&lt;&gt;""),F892&lt;&gt;"",F892&lt;=TODAY()),F892+ROW()/1000000,"")</f>
        <v/>
      </c>
    </row>
    <row r="893" customFormat="false" ht="15" hidden="false" customHeight="false" outlineLevel="0" collapsed="false">
      <c r="A893" s="12"/>
      <c r="B893" s="13"/>
      <c r="C893" s="13"/>
      <c r="D893" s="14"/>
      <c r="E893" s="15"/>
      <c r="F893" s="15"/>
      <c r="G893" s="12"/>
      <c r="H893" s="16" t="str">
        <f aca="false">IF(OR(A893="",C893=""),"",IFERROR(INDEX(Aşamalar!$B$5:$B$12,MATCH(C893,Aşamalar!$A$5:$A$12,0)),0))</f>
        <v/>
      </c>
      <c r="I893" s="17" t="str">
        <f aca="false">IF(H893="","",D893*H893)</f>
        <v/>
      </c>
      <c r="J893" s="18" t="str">
        <f aca="true">IF(AND(AND(C893&lt;&gt;"Kazanıldı",C893&lt;&gt;"Kaybedildi",C893&lt;&gt;""),F893&lt;&gt;""),IF(F893&lt;TODAY(),"Gecikti",IF(F893=TODAY(),"Bugün","")),"")</f>
        <v/>
      </c>
      <c r="K893" s="18" t="str">
        <f aca="true">IF(AND(AND(C893&lt;&gt;"Kazanıldı",C893&lt;&gt;"Kaybedildi",C893&lt;&gt;""),F893&lt;&gt;"",F893&lt;=TODAY()),F893+ROW()/1000000,"")</f>
        <v/>
      </c>
    </row>
    <row r="894" customFormat="false" ht="15" hidden="false" customHeight="false" outlineLevel="0" collapsed="false">
      <c r="A894" s="12"/>
      <c r="B894" s="13"/>
      <c r="C894" s="13"/>
      <c r="D894" s="14"/>
      <c r="E894" s="15"/>
      <c r="F894" s="15"/>
      <c r="G894" s="12"/>
      <c r="H894" s="16" t="str">
        <f aca="false">IF(OR(A894="",C894=""),"",IFERROR(INDEX(Aşamalar!$B$5:$B$12,MATCH(C894,Aşamalar!$A$5:$A$12,0)),0))</f>
        <v/>
      </c>
      <c r="I894" s="17" t="str">
        <f aca="false">IF(H894="","",D894*H894)</f>
        <v/>
      </c>
      <c r="J894" s="18" t="str">
        <f aca="true">IF(AND(AND(C894&lt;&gt;"Kazanıldı",C894&lt;&gt;"Kaybedildi",C894&lt;&gt;""),F894&lt;&gt;""),IF(F894&lt;TODAY(),"Gecikti",IF(F894=TODAY(),"Bugün","")),"")</f>
        <v/>
      </c>
      <c r="K894" s="18" t="str">
        <f aca="true">IF(AND(AND(C894&lt;&gt;"Kazanıldı",C894&lt;&gt;"Kaybedildi",C894&lt;&gt;""),F894&lt;&gt;"",F894&lt;=TODAY()),F894+ROW()/1000000,"")</f>
        <v/>
      </c>
    </row>
    <row r="895" customFormat="false" ht="15" hidden="false" customHeight="false" outlineLevel="0" collapsed="false">
      <c r="A895" s="12"/>
      <c r="B895" s="13"/>
      <c r="C895" s="13"/>
      <c r="D895" s="14"/>
      <c r="E895" s="15"/>
      <c r="F895" s="15"/>
      <c r="G895" s="12"/>
      <c r="H895" s="16" t="str">
        <f aca="false">IF(OR(A895="",C895=""),"",IFERROR(INDEX(Aşamalar!$B$5:$B$12,MATCH(C895,Aşamalar!$A$5:$A$12,0)),0))</f>
        <v/>
      </c>
      <c r="I895" s="17" t="str">
        <f aca="false">IF(H895="","",D895*H895)</f>
        <v/>
      </c>
      <c r="J895" s="18" t="str">
        <f aca="true">IF(AND(AND(C895&lt;&gt;"Kazanıldı",C895&lt;&gt;"Kaybedildi",C895&lt;&gt;""),F895&lt;&gt;""),IF(F895&lt;TODAY(),"Gecikti",IF(F895=TODAY(),"Bugün","")),"")</f>
        <v/>
      </c>
      <c r="K895" s="18" t="str">
        <f aca="true">IF(AND(AND(C895&lt;&gt;"Kazanıldı",C895&lt;&gt;"Kaybedildi",C895&lt;&gt;""),F895&lt;&gt;"",F895&lt;=TODAY()),F895+ROW()/1000000,"")</f>
        <v/>
      </c>
    </row>
    <row r="896" customFormat="false" ht="15" hidden="false" customHeight="false" outlineLevel="0" collapsed="false">
      <c r="A896" s="12"/>
      <c r="B896" s="13"/>
      <c r="C896" s="13"/>
      <c r="D896" s="14"/>
      <c r="E896" s="15"/>
      <c r="F896" s="15"/>
      <c r="G896" s="12"/>
      <c r="H896" s="16" t="str">
        <f aca="false">IF(OR(A896="",C896=""),"",IFERROR(INDEX(Aşamalar!$B$5:$B$12,MATCH(C896,Aşamalar!$A$5:$A$12,0)),0))</f>
        <v/>
      </c>
      <c r="I896" s="17" t="str">
        <f aca="false">IF(H896="","",D896*H896)</f>
        <v/>
      </c>
      <c r="J896" s="18" t="str">
        <f aca="true">IF(AND(AND(C896&lt;&gt;"Kazanıldı",C896&lt;&gt;"Kaybedildi",C896&lt;&gt;""),F896&lt;&gt;""),IF(F896&lt;TODAY(),"Gecikti",IF(F896=TODAY(),"Bugün","")),"")</f>
        <v/>
      </c>
      <c r="K896" s="18" t="str">
        <f aca="true">IF(AND(AND(C896&lt;&gt;"Kazanıldı",C896&lt;&gt;"Kaybedildi",C896&lt;&gt;""),F896&lt;&gt;"",F896&lt;=TODAY()),F896+ROW()/1000000,"")</f>
        <v/>
      </c>
    </row>
    <row r="897" customFormat="false" ht="15" hidden="false" customHeight="false" outlineLevel="0" collapsed="false">
      <c r="A897" s="12"/>
      <c r="B897" s="13"/>
      <c r="C897" s="13"/>
      <c r="D897" s="14"/>
      <c r="E897" s="15"/>
      <c r="F897" s="15"/>
      <c r="G897" s="12"/>
      <c r="H897" s="16" t="str">
        <f aca="false">IF(OR(A897="",C897=""),"",IFERROR(INDEX(Aşamalar!$B$5:$B$12,MATCH(C897,Aşamalar!$A$5:$A$12,0)),0))</f>
        <v/>
      </c>
      <c r="I897" s="17" t="str">
        <f aca="false">IF(H897="","",D897*H897)</f>
        <v/>
      </c>
      <c r="J897" s="18" t="str">
        <f aca="true">IF(AND(AND(C897&lt;&gt;"Kazanıldı",C897&lt;&gt;"Kaybedildi",C897&lt;&gt;""),F897&lt;&gt;""),IF(F897&lt;TODAY(),"Gecikti",IF(F897=TODAY(),"Bugün","")),"")</f>
        <v/>
      </c>
      <c r="K897" s="18" t="str">
        <f aca="true">IF(AND(AND(C897&lt;&gt;"Kazanıldı",C897&lt;&gt;"Kaybedildi",C897&lt;&gt;""),F897&lt;&gt;"",F897&lt;=TODAY()),F897+ROW()/1000000,"")</f>
        <v/>
      </c>
    </row>
    <row r="898" customFormat="false" ht="15" hidden="false" customHeight="false" outlineLevel="0" collapsed="false">
      <c r="A898" s="12"/>
      <c r="B898" s="13"/>
      <c r="C898" s="13"/>
      <c r="D898" s="14"/>
      <c r="E898" s="15"/>
      <c r="F898" s="15"/>
      <c r="G898" s="12"/>
      <c r="H898" s="16" t="str">
        <f aca="false">IF(OR(A898="",C898=""),"",IFERROR(INDEX(Aşamalar!$B$5:$B$12,MATCH(C898,Aşamalar!$A$5:$A$12,0)),0))</f>
        <v/>
      </c>
      <c r="I898" s="17" t="str">
        <f aca="false">IF(H898="","",D898*H898)</f>
        <v/>
      </c>
      <c r="J898" s="18" t="str">
        <f aca="true">IF(AND(AND(C898&lt;&gt;"Kazanıldı",C898&lt;&gt;"Kaybedildi",C898&lt;&gt;""),F898&lt;&gt;""),IF(F898&lt;TODAY(),"Gecikti",IF(F898=TODAY(),"Bugün","")),"")</f>
        <v/>
      </c>
      <c r="K898" s="18" t="str">
        <f aca="true">IF(AND(AND(C898&lt;&gt;"Kazanıldı",C898&lt;&gt;"Kaybedildi",C898&lt;&gt;""),F898&lt;&gt;"",F898&lt;=TODAY()),F898+ROW()/1000000,"")</f>
        <v/>
      </c>
    </row>
    <row r="899" customFormat="false" ht="15" hidden="false" customHeight="false" outlineLevel="0" collapsed="false">
      <c r="A899" s="12"/>
      <c r="B899" s="13"/>
      <c r="C899" s="13"/>
      <c r="D899" s="14"/>
      <c r="E899" s="15"/>
      <c r="F899" s="15"/>
      <c r="G899" s="12"/>
      <c r="H899" s="16" t="str">
        <f aca="false">IF(OR(A899="",C899=""),"",IFERROR(INDEX(Aşamalar!$B$5:$B$12,MATCH(C899,Aşamalar!$A$5:$A$12,0)),0))</f>
        <v/>
      </c>
      <c r="I899" s="17" t="str">
        <f aca="false">IF(H899="","",D899*H899)</f>
        <v/>
      </c>
      <c r="J899" s="18" t="str">
        <f aca="true">IF(AND(AND(C899&lt;&gt;"Kazanıldı",C899&lt;&gt;"Kaybedildi",C899&lt;&gt;""),F899&lt;&gt;""),IF(F899&lt;TODAY(),"Gecikti",IF(F899=TODAY(),"Bugün","")),"")</f>
        <v/>
      </c>
      <c r="K899" s="18" t="str">
        <f aca="true">IF(AND(AND(C899&lt;&gt;"Kazanıldı",C899&lt;&gt;"Kaybedildi",C899&lt;&gt;""),F899&lt;&gt;"",F899&lt;=TODAY()),F899+ROW()/1000000,"")</f>
        <v/>
      </c>
    </row>
    <row r="900" customFormat="false" ht="15" hidden="false" customHeight="false" outlineLevel="0" collapsed="false">
      <c r="A900" s="12"/>
      <c r="B900" s="13"/>
      <c r="C900" s="13"/>
      <c r="D900" s="14"/>
      <c r="E900" s="15"/>
      <c r="F900" s="15"/>
      <c r="G900" s="12"/>
      <c r="H900" s="16" t="str">
        <f aca="false">IF(OR(A900="",C900=""),"",IFERROR(INDEX(Aşamalar!$B$5:$B$12,MATCH(C900,Aşamalar!$A$5:$A$12,0)),0))</f>
        <v/>
      </c>
      <c r="I900" s="17" t="str">
        <f aca="false">IF(H900="","",D900*H900)</f>
        <v/>
      </c>
      <c r="J900" s="18" t="str">
        <f aca="true">IF(AND(AND(C900&lt;&gt;"Kazanıldı",C900&lt;&gt;"Kaybedildi",C900&lt;&gt;""),F900&lt;&gt;""),IF(F900&lt;TODAY(),"Gecikti",IF(F900=TODAY(),"Bugün","")),"")</f>
        <v/>
      </c>
      <c r="K900" s="18" t="str">
        <f aca="true">IF(AND(AND(C900&lt;&gt;"Kazanıldı",C900&lt;&gt;"Kaybedildi",C900&lt;&gt;""),F900&lt;&gt;"",F900&lt;=TODAY()),F900+ROW()/1000000,"")</f>
        <v/>
      </c>
    </row>
    <row r="901" customFormat="false" ht="15" hidden="false" customHeight="false" outlineLevel="0" collapsed="false">
      <c r="A901" s="12"/>
      <c r="B901" s="13"/>
      <c r="C901" s="13"/>
      <c r="D901" s="14"/>
      <c r="E901" s="15"/>
      <c r="F901" s="15"/>
      <c r="G901" s="12"/>
      <c r="H901" s="16" t="str">
        <f aca="false">IF(OR(A901="",C901=""),"",IFERROR(INDEX(Aşamalar!$B$5:$B$12,MATCH(C901,Aşamalar!$A$5:$A$12,0)),0))</f>
        <v/>
      </c>
      <c r="I901" s="17" t="str">
        <f aca="false">IF(H901="","",D901*H901)</f>
        <v/>
      </c>
      <c r="J901" s="18" t="str">
        <f aca="true">IF(AND(AND(C901&lt;&gt;"Kazanıldı",C901&lt;&gt;"Kaybedildi",C901&lt;&gt;""),F901&lt;&gt;""),IF(F901&lt;TODAY(),"Gecikti",IF(F901=TODAY(),"Bugün","")),"")</f>
        <v/>
      </c>
      <c r="K901" s="18" t="str">
        <f aca="true">IF(AND(AND(C901&lt;&gt;"Kazanıldı",C901&lt;&gt;"Kaybedildi",C901&lt;&gt;""),F901&lt;&gt;"",F901&lt;=TODAY()),F901+ROW()/1000000,"")</f>
        <v/>
      </c>
    </row>
    <row r="902" customFormat="false" ht="15" hidden="false" customHeight="false" outlineLevel="0" collapsed="false">
      <c r="A902" s="12"/>
      <c r="B902" s="13"/>
      <c r="C902" s="13"/>
      <c r="D902" s="14"/>
      <c r="E902" s="15"/>
      <c r="F902" s="15"/>
      <c r="G902" s="12"/>
      <c r="H902" s="16" t="str">
        <f aca="false">IF(OR(A902="",C902=""),"",IFERROR(INDEX(Aşamalar!$B$5:$B$12,MATCH(C902,Aşamalar!$A$5:$A$12,0)),0))</f>
        <v/>
      </c>
      <c r="I902" s="17" t="str">
        <f aca="false">IF(H902="","",D902*H902)</f>
        <v/>
      </c>
      <c r="J902" s="18" t="str">
        <f aca="true">IF(AND(AND(C902&lt;&gt;"Kazanıldı",C902&lt;&gt;"Kaybedildi",C902&lt;&gt;""),F902&lt;&gt;""),IF(F902&lt;TODAY(),"Gecikti",IF(F902=TODAY(),"Bugün","")),"")</f>
        <v/>
      </c>
      <c r="K902" s="18" t="str">
        <f aca="true">IF(AND(AND(C902&lt;&gt;"Kazanıldı",C902&lt;&gt;"Kaybedildi",C902&lt;&gt;""),F902&lt;&gt;"",F902&lt;=TODAY()),F902+ROW()/1000000,"")</f>
        <v/>
      </c>
    </row>
    <row r="903" customFormat="false" ht="15" hidden="false" customHeight="false" outlineLevel="0" collapsed="false">
      <c r="A903" s="12"/>
      <c r="B903" s="13"/>
      <c r="C903" s="13"/>
      <c r="D903" s="14"/>
      <c r="E903" s="15"/>
      <c r="F903" s="15"/>
      <c r="G903" s="12"/>
      <c r="H903" s="16" t="str">
        <f aca="false">IF(OR(A903="",C903=""),"",IFERROR(INDEX(Aşamalar!$B$5:$B$12,MATCH(C903,Aşamalar!$A$5:$A$12,0)),0))</f>
        <v/>
      </c>
      <c r="I903" s="17" t="str">
        <f aca="false">IF(H903="","",D903*H903)</f>
        <v/>
      </c>
      <c r="J903" s="18" t="str">
        <f aca="true">IF(AND(AND(C903&lt;&gt;"Kazanıldı",C903&lt;&gt;"Kaybedildi",C903&lt;&gt;""),F903&lt;&gt;""),IF(F903&lt;TODAY(),"Gecikti",IF(F903=TODAY(),"Bugün","")),"")</f>
        <v/>
      </c>
      <c r="K903" s="18" t="str">
        <f aca="true">IF(AND(AND(C903&lt;&gt;"Kazanıldı",C903&lt;&gt;"Kaybedildi",C903&lt;&gt;""),F903&lt;&gt;"",F903&lt;=TODAY()),F903+ROW()/1000000,"")</f>
        <v/>
      </c>
    </row>
    <row r="904" customFormat="false" ht="15" hidden="false" customHeight="false" outlineLevel="0" collapsed="false">
      <c r="A904" s="12"/>
      <c r="B904" s="13"/>
      <c r="C904" s="13"/>
      <c r="D904" s="14"/>
      <c r="E904" s="15"/>
      <c r="F904" s="15"/>
      <c r="G904" s="12"/>
      <c r="H904" s="16" t="str">
        <f aca="false">IF(OR(A904="",C904=""),"",IFERROR(INDEX(Aşamalar!$B$5:$B$12,MATCH(C904,Aşamalar!$A$5:$A$12,0)),0))</f>
        <v/>
      </c>
      <c r="I904" s="17" t="str">
        <f aca="false">IF(H904="","",D904*H904)</f>
        <v/>
      </c>
      <c r="J904" s="18" t="str">
        <f aca="true">IF(AND(AND(C904&lt;&gt;"Kazanıldı",C904&lt;&gt;"Kaybedildi",C904&lt;&gt;""),F904&lt;&gt;""),IF(F904&lt;TODAY(),"Gecikti",IF(F904=TODAY(),"Bugün","")),"")</f>
        <v/>
      </c>
      <c r="K904" s="18" t="str">
        <f aca="true">IF(AND(AND(C904&lt;&gt;"Kazanıldı",C904&lt;&gt;"Kaybedildi",C904&lt;&gt;""),F904&lt;&gt;"",F904&lt;=TODAY()),F904+ROW()/1000000,"")</f>
        <v/>
      </c>
    </row>
    <row r="905" customFormat="false" ht="15" hidden="false" customHeight="false" outlineLevel="0" collapsed="false">
      <c r="A905" s="12"/>
      <c r="B905" s="13"/>
      <c r="C905" s="13"/>
      <c r="D905" s="14"/>
      <c r="E905" s="15"/>
      <c r="F905" s="15"/>
      <c r="G905" s="12"/>
      <c r="H905" s="16" t="str">
        <f aca="false">IF(OR(A905="",C905=""),"",IFERROR(INDEX(Aşamalar!$B$5:$B$12,MATCH(C905,Aşamalar!$A$5:$A$12,0)),0))</f>
        <v/>
      </c>
      <c r="I905" s="17" t="str">
        <f aca="false">IF(H905="","",D905*H905)</f>
        <v/>
      </c>
      <c r="J905" s="18" t="str">
        <f aca="true">IF(AND(AND(C905&lt;&gt;"Kazanıldı",C905&lt;&gt;"Kaybedildi",C905&lt;&gt;""),F905&lt;&gt;""),IF(F905&lt;TODAY(),"Gecikti",IF(F905=TODAY(),"Bugün","")),"")</f>
        <v/>
      </c>
      <c r="K905" s="18" t="str">
        <f aca="true">IF(AND(AND(C905&lt;&gt;"Kazanıldı",C905&lt;&gt;"Kaybedildi",C905&lt;&gt;""),F905&lt;&gt;"",F905&lt;=TODAY()),F905+ROW()/1000000,"")</f>
        <v/>
      </c>
    </row>
    <row r="906" customFormat="false" ht="15" hidden="false" customHeight="false" outlineLevel="0" collapsed="false">
      <c r="A906" s="12"/>
      <c r="B906" s="13"/>
      <c r="C906" s="13"/>
      <c r="D906" s="14"/>
      <c r="E906" s="15"/>
      <c r="F906" s="15"/>
      <c r="G906" s="12"/>
      <c r="H906" s="16" t="str">
        <f aca="false">IF(OR(A906="",C906=""),"",IFERROR(INDEX(Aşamalar!$B$5:$B$12,MATCH(C906,Aşamalar!$A$5:$A$12,0)),0))</f>
        <v/>
      </c>
      <c r="I906" s="17" t="str">
        <f aca="false">IF(H906="","",D906*H906)</f>
        <v/>
      </c>
      <c r="J906" s="18" t="str">
        <f aca="true">IF(AND(AND(C906&lt;&gt;"Kazanıldı",C906&lt;&gt;"Kaybedildi",C906&lt;&gt;""),F906&lt;&gt;""),IF(F906&lt;TODAY(),"Gecikti",IF(F906=TODAY(),"Bugün","")),"")</f>
        <v/>
      </c>
      <c r="K906" s="18" t="str">
        <f aca="true">IF(AND(AND(C906&lt;&gt;"Kazanıldı",C906&lt;&gt;"Kaybedildi",C906&lt;&gt;""),F906&lt;&gt;"",F906&lt;=TODAY()),F906+ROW()/1000000,"")</f>
        <v/>
      </c>
    </row>
    <row r="907" customFormat="false" ht="15" hidden="false" customHeight="false" outlineLevel="0" collapsed="false">
      <c r="A907" s="12"/>
      <c r="B907" s="13"/>
      <c r="C907" s="13"/>
      <c r="D907" s="14"/>
      <c r="E907" s="15"/>
      <c r="F907" s="15"/>
      <c r="G907" s="12"/>
      <c r="H907" s="16" t="str">
        <f aca="false">IF(OR(A907="",C907=""),"",IFERROR(INDEX(Aşamalar!$B$5:$B$12,MATCH(C907,Aşamalar!$A$5:$A$12,0)),0))</f>
        <v/>
      </c>
      <c r="I907" s="17" t="str">
        <f aca="false">IF(H907="","",D907*H907)</f>
        <v/>
      </c>
      <c r="J907" s="18" t="str">
        <f aca="true">IF(AND(AND(C907&lt;&gt;"Kazanıldı",C907&lt;&gt;"Kaybedildi",C907&lt;&gt;""),F907&lt;&gt;""),IF(F907&lt;TODAY(),"Gecikti",IF(F907=TODAY(),"Bugün","")),"")</f>
        <v/>
      </c>
      <c r="K907" s="18" t="str">
        <f aca="true">IF(AND(AND(C907&lt;&gt;"Kazanıldı",C907&lt;&gt;"Kaybedildi",C907&lt;&gt;""),F907&lt;&gt;"",F907&lt;=TODAY()),F907+ROW()/1000000,"")</f>
        <v/>
      </c>
    </row>
    <row r="908" customFormat="false" ht="15" hidden="false" customHeight="false" outlineLevel="0" collapsed="false">
      <c r="A908" s="12"/>
      <c r="B908" s="13"/>
      <c r="C908" s="13"/>
      <c r="D908" s="14"/>
      <c r="E908" s="15"/>
      <c r="F908" s="15"/>
      <c r="G908" s="12"/>
      <c r="H908" s="16" t="str">
        <f aca="false">IF(OR(A908="",C908=""),"",IFERROR(INDEX(Aşamalar!$B$5:$B$12,MATCH(C908,Aşamalar!$A$5:$A$12,0)),0))</f>
        <v/>
      </c>
      <c r="I908" s="17" t="str">
        <f aca="false">IF(H908="","",D908*H908)</f>
        <v/>
      </c>
      <c r="J908" s="18" t="str">
        <f aca="true">IF(AND(AND(C908&lt;&gt;"Kazanıldı",C908&lt;&gt;"Kaybedildi",C908&lt;&gt;""),F908&lt;&gt;""),IF(F908&lt;TODAY(),"Gecikti",IF(F908=TODAY(),"Bugün","")),"")</f>
        <v/>
      </c>
      <c r="K908" s="18" t="str">
        <f aca="true">IF(AND(AND(C908&lt;&gt;"Kazanıldı",C908&lt;&gt;"Kaybedildi",C908&lt;&gt;""),F908&lt;&gt;"",F908&lt;=TODAY()),F908+ROW()/1000000,"")</f>
        <v/>
      </c>
    </row>
    <row r="909" customFormat="false" ht="15" hidden="false" customHeight="false" outlineLevel="0" collapsed="false">
      <c r="A909" s="12"/>
      <c r="B909" s="13"/>
      <c r="C909" s="13"/>
      <c r="D909" s="14"/>
      <c r="E909" s="15"/>
      <c r="F909" s="15"/>
      <c r="G909" s="12"/>
      <c r="H909" s="16" t="str">
        <f aca="false">IF(OR(A909="",C909=""),"",IFERROR(INDEX(Aşamalar!$B$5:$B$12,MATCH(C909,Aşamalar!$A$5:$A$12,0)),0))</f>
        <v/>
      </c>
      <c r="I909" s="17" t="str">
        <f aca="false">IF(H909="","",D909*H909)</f>
        <v/>
      </c>
      <c r="J909" s="18" t="str">
        <f aca="true">IF(AND(AND(C909&lt;&gt;"Kazanıldı",C909&lt;&gt;"Kaybedildi",C909&lt;&gt;""),F909&lt;&gt;""),IF(F909&lt;TODAY(),"Gecikti",IF(F909=TODAY(),"Bugün","")),"")</f>
        <v/>
      </c>
      <c r="K909" s="18" t="str">
        <f aca="true">IF(AND(AND(C909&lt;&gt;"Kazanıldı",C909&lt;&gt;"Kaybedildi",C909&lt;&gt;""),F909&lt;&gt;"",F909&lt;=TODAY()),F909+ROW()/1000000,"")</f>
        <v/>
      </c>
    </row>
    <row r="910" customFormat="false" ht="15" hidden="false" customHeight="false" outlineLevel="0" collapsed="false">
      <c r="A910" s="12"/>
      <c r="B910" s="13"/>
      <c r="C910" s="13"/>
      <c r="D910" s="14"/>
      <c r="E910" s="15"/>
      <c r="F910" s="15"/>
      <c r="G910" s="12"/>
      <c r="H910" s="16" t="str">
        <f aca="false">IF(OR(A910="",C910=""),"",IFERROR(INDEX(Aşamalar!$B$5:$B$12,MATCH(C910,Aşamalar!$A$5:$A$12,0)),0))</f>
        <v/>
      </c>
      <c r="I910" s="17" t="str">
        <f aca="false">IF(H910="","",D910*H910)</f>
        <v/>
      </c>
      <c r="J910" s="18" t="str">
        <f aca="true">IF(AND(AND(C910&lt;&gt;"Kazanıldı",C910&lt;&gt;"Kaybedildi",C910&lt;&gt;""),F910&lt;&gt;""),IF(F910&lt;TODAY(),"Gecikti",IF(F910=TODAY(),"Bugün","")),"")</f>
        <v/>
      </c>
      <c r="K910" s="18" t="str">
        <f aca="true">IF(AND(AND(C910&lt;&gt;"Kazanıldı",C910&lt;&gt;"Kaybedildi",C910&lt;&gt;""),F910&lt;&gt;"",F910&lt;=TODAY()),F910+ROW()/1000000,"")</f>
        <v/>
      </c>
    </row>
    <row r="911" customFormat="false" ht="15" hidden="false" customHeight="false" outlineLevel="0" collapsed="false">
      <c r="A911" s="12"/>
      <c r="B911" s="13"/>
      <c r="C911" s="13"/>
      <c r="D911" s="14"/>
      <c r="E911" s="15"/>
      <c r="F911" s="15"/>
      <c r="G911" s="12"/>
      <c r="H911" s="16" t="str">
        <f aca="false">IF(OR(A911="",C911=""),"",IFERROR(INDEX(Aşamalar!$B$5:$B$12,MATCH(C911,Aşamalar!$A$5:$A$12,0)),0))</f>
        <v/>
      </c>
      <c r="I911" s="17" t="str">
        <f aca="false">IF(H911="","",D911*H911)</f>
        <v/>
      </c>
      <c r="J911" s="18" t="str">
        <f aca="true">IF(AND(AND(C911&lt;&gt;"Kazanıldı",C911&lt;&gt;"Kaybedildi",C911&lt;&gt;""),F911&lt;&gt;""),IF(F911&lt;TODAY(),"Gecikti",IF(F911=TODAY(),"Bugün","")),"")</f>
        <v/>
      </c>
      <c r="K911" s="18" t="str">
        <f aca="true">IF(AND(AND(C911&lt;&gt;"Kazanıldı",C911&lt;&gt;"Kaybedildi",C911&lt;&gt;""),F911&lt;&gt;"",F911&lt;=TODAY()),F911+ROW()/1000000,"")</f>
        <v/>
      </c>
    </row>
    <row r="912" customFormat="false" ht="15" hidden="false" customHeight="false" outlineLevel="0" collapsed="false">
      <c r="A912" s="12"/>
      <c r="B912" s="13"/>
      <c r="C912" s="13"/>
      <c r="D912" s="14"/>
      <c r="E912" s="15"/>
      <c r="F912" s="15"/>
      <c r="G912" s="12"/>
      <c r="H912" s="16" t="str">
        <f aca="false">IF(OR(A912="",C912=""),"",IFERROR(INDEX(Aşamalar!$B$5:$B$12,MATCH(C912,Aşamalar!$A$5:$A$12,0)),0))</f>
        <v/>
      </c>
      <c r="I912" s="17" t="str">
        <f aca="false">IF(H912="","",D912*H912)</f>
        <v/>
      </c>
      <c r="J912" s="18" t="str">
        <f aca="true">IF(AND(AND(C912&lt;&gt;"Kazanıldı",C912&lt;&gt;"Kaybedildi",C912&lt;&gt;""),F912&lt;&gt;""),IF(F912&lt;TODAY(),"Gecikti",IF(F912=TODAY(),"Bugün","")),"")</f>
        <v/>
      </c>
      <c r="K912" s="18" t="str">
        <f aca="true">IF(AND(AND(C912&lt;&gt;"Kazanıldı",C912&lt;&gt;"Kaybedildi",C912&lt;&gt;""),F912&lt;&gt;"",F912&lt;=TODAY()),F912+ROW()/1000000,"")</f>
        <v/>
      </c>
    </row>
    <row r="913" customFormat="false" ht="15" hidden="false" customHeight="false" outlineLevel="0" collapsed="false">
      <c r="A913" s="12"/>
      <c r="B913" s="13"/>
      <c r="C913" s="13"/>
      <c r="D913" s="14"/>
      <c r="E913" s="15"/>
      <c r="F913" s="15"/>
      <c r="G913" s="12"/>
      <c r="H913" s="16" t="str">
        <f aca="false">IF(OR(A913="",C913=""),"",IFERROR(INDEX(Aşamalar!$B$5:$B$12,MATCH(C913,Aşamalar!$A$5:$A$12,0)),0))</f>
        <v/>
      </c>
      <c r="I913" s="17" t="str">
        <f aca="false">IF(H913="","",D913*H913)</f>
        <v/>
      </c>
      <c r="J913" s="18" t="str">
        <f aca="true">IF(AND(AND(C913&lt;&gt;"Kazanıldı",C913&lt;&gt;"Kaybedildi",C913&lt;&gt;""),F913&lt;&gt;""),IF(F913&lt;TODAY(),"Gecikti",IF(F913=TODAY(),"Bugün","")),"")</f>
        <v/>
      </c>
      <c r="K913" s="18" t="str">
        <f aca="true">IF(AND(AND(C913&lt;&gt;"Kazanıldı",C913&lt;&gt;"Kaybedildi",C913&lt;&gt;""),F913&lt;&gt;"",F913&lt;=TODAY()),F913+ROW()/1000000,"")</f>
        <v/>
      </c>
    </row>
    <row r="914" customFormat="false" ht="15" hidden="false" customHeight="false" outlineLevel="0" collapsed="false">
      <c r="A914" s="12"/>
      <c r="B914" s="13"/>
      <c r="C914" s="13"/>
      <c r="D914" s="14"/>
      <c r="E914" s="15"/>
      <c r="F914" s="15"/>
      <c r="G914" s="12"/>
      <c r="H914" s="16" t="str">
        <f aca="false">IF(OR(A914="",C914=""),"",IFERROR(INDEX(Aşamalar!$B$5:$B$12,MATCH(C914,Aşamalar!$A$5:$A$12,0)),0))</f>
        <v/>
      </c>
      <c r="I914" s="17" t="str">
        <f aca="false">IF(H914="","",D914*H914)</f>
        <v/>
      </c>
      <c r="J914" s="18" t="str">
        <f aca="true">IF(AND(AND(C914&lt;&gt;"Kazanıldı",C914&lt;&gt;"Kaybedildi",C914&lt;&gt;""),F914&lt;&gt;""),IF(F914&lt;TODAY(),"Gecikti",IF(F914=TODAY(),"Bugün","")),"")</f>
        <v/>
      </c>
      <c r="K914" s="18" t="str">
        <f aca="true">IF(AND(AND(C914&lt;&gt;"Kazanıldı",C914&lt;&gt;"Kaybedildi",C914&lt;&gt;""),F914&lt;&gt;"",F914&lt;=TODAY()),F914+ROW()/1000000,"")</f>
        <v/>
      </c>
    </row>
    <row r="915" customFormat="false" ht="15" hidden="false" customHeight="false" outlineLevel="0" collapsed="false">
      <c r="A915" s="12"/>
      <c r="B915" s="13"/>
      <c r="C915" s="13"/>
      <c r="D915" s="14"/>
      <c r="E915" s="15"/>
      <c r="F915" s="15"/>
      <c r="G915" s="12"/>
      <c r="H915" s="16" t="str">
        <f aca="false">IF(OR(A915="",C915=""),"",IFERROR(INDEX(Aşamalar!$B$5:$B$12,MATCH(C915,Aşamalar!$A$5:$A$12,0)),0))</f>
        <v/>
      </c>
      <c r="I915" s="17" t="str">
        <f aca="false">IF(H915="","",D915*H915)</f>
        <v/>
      </c>
      <c r="J915" s="18" t="str">
        <f aca="true">IF(AND(AND(C915&lt;&gt;"Kazanıldı",C915&lt;&gt;"Kaybedildi",C915&lt;&gt;""),F915&lt;&gt;""),IF(F915&lt;TODAY(),"Gecikti",IF(F915=TODAY(),"Bugün","")),"")</f>
        <v/>
      </c>
      <c r="K915" s="18" t="str">
        <f aca="true">IF(AND(AND(C915&lt;&gt;"Kazanıldı",C915&lt;&gt;"Kaybedildi",C915&lt;&gt;""),F915&lt;&gt;"",F915&lt;=TODAY()),F915+ROW()/1000000,"")</f>
        <v/>
      </c>
    </row>
    <row r="916" customFormat="false" ht="15" hidden="false" customHeight="false" outlineLevel="0" collapsed="false">
      <c r="A916" s="12"/>
      <c r="B916" s="13"/>
      <c r="C916" s="13"/>
      <c r="D916" s="14"/>
      <c r="E916" s="15"/>
      <c r="F916" s="15"/>
      <c r="G916" s="12"/>
      <c r="H916" s="16" t="str">
        <f aca="false">IF(OR(A916="",C916=""),"",IFERROR(INDEX(Aşamalar!$B$5:$B$12,MATCH(C916,Aşamalar!$A$5:$A$12,0)),0))</f>
        <v/>
      </c>
      <c r="I916" s="17" t="str">
        <f aca="false">IF(H916="","",D916*H916)</f>
        <v/>
      </c>
      <c r="J916" s="18" t="str">
        <f aca="true">IF(AND(AND(C916&lt;&gt;"Kazanıldı",C916&lt;&gt;"Kaybedildi",C916&lt;&gt;""),F916&lt;&gt;""),IF(F916&lt;TODAY(),"Gecikti",IF(F916=TODAY(),"Bugün","")),"")</f>
        <v/>
      </c>
      <c r="K916" s="18" t="str">
        <f aca="true">IF(AND(AND(C916&lt;&gt;"Kazanıldı",C916&lt;&gt;"Kaybedildi",C916&lt;&gt;""),F916&lt;&gt;"",F916&lt;=TODAY()),F916+ROW()/1000000,"")</f>
        <v/>
      </c>
    </row>
    <row r="917" customFormat="false" ht="15" hidden="false" customHeight="false" outlineLevel="0" collapsed="false">
      <c r="A917" s="12"/>
      <c r="B917" s="13"/>
      <c r="C917" s="13"/>
      <c r="D917" s="14"/>
      <c r="E917" s="15"/>
      <c r="F917" s="15"/>
      <c r="G917" s="12"/>
      <c r="H917" s="16" t="str">
        <f aca="false">IF(OR(A917="",C917=""),"",IFERROR(INDEX(Aşamalar!$B$5:$B$12,MATCH(C917,Aşamalar!$A$5:$A$12,0)),0))</f>
        <v/>
      </c>
      <c r="I917" s="17" t="str">
        <f aca="false">IF(H917="","",D917*H917)</f>
        <v/>
      </c>
      <c r="J917" s="18" t="str">
        <f aca="true">IF(AND(AND(C917&lt;&gt;"Kazanıldı",C917&lt;&gt;"Kaybedildi",C917&lt;&gt;""),F917&lt;&gt;""),IF(F917&lt;TODAY(),"Gecikti",IF(F917=TODAY(),"Bugün","")),"")</f>
        <v/>
      </c>
      <c r="K917" s="18" t="str">
        <f aca="true">IF(AND(AND(C917&lt;&gt;"Kazanıldı",C917&lt;&gt;"Kaybedildi",C917&lt;&gt;""),F917&lt;&gt;"",F917&lt;=TODAY()),F917+ROW()/1000000,"")</f>
        <v/>
      </c>
    </row>
    <row r="918" customFormat="false" ht="15" hidden="false" customHeight="false" outlineLevel="0" collapsed="false">
      <c r="A918" s="12"/>
      <c r="B918" s="13"/>
      <c r="C918" s="13"/>
      <c r="D918" s="14"/>
      <c r="E918" s="15"/>
      <c r="F918" s="15"/>
      <c r="G918" s="12"/>
      <c r="H918" s="16" t="str">
        <f aca="false">IF(OR(A918="",C918=""),"",IFERROR(INDEX(Aşamalar!$B$5:$B$12,MATCH(C918,Aşamalar!$A$5:$A$12,0)),0))</f>
        <v/>
      </c>
      <c r="I918" s="17" t="str">
        <f aca="false">IF(H918="","",D918*H918)</f>
        <v/>
      </c>
      <c r="J918" s="18" t="str">
        <f aca="true">IF(AND(AND(C918&lt;&gt;"Kazanıldı",C918&lt;&gt;"Kaybedildi",C918&lt;&gt;""),F918&lt;&gt;""),IF(F918&lt;TODAY(),"Gecikti",IF(F918=TODAY(),"Bugün","")),"")</f>
        <v/>
      </c>
      <c r="K918" s="18" t="str">
        <f aca="true">IF(AND(AND(C918&lt;&gt;"Kazanıldı",C918&lt;&gt;"Kaybedildi",C918&lt;&gt;""),F918&lt;&gt;"",F918&lt;=TODAY()),F918+ROW()/1000000,"")</f>
        <v/>
      </c>
    </row>
    <row r="919" customFormat="false" ht="15" hidden="false" customHeight="false" outlineLevel="0" collapsed="false">
      <c r="A919" s="12"/>
      <c r="B919" s="13"/>
      <c r="C919" s="13"/>
      <c r="D919" s="14"/>
      <c r="E919" s="15"/>
      <c r="F919" s="15"/>
      <c r="G919" s="12"/>
      <c r="H919" s="16" t="str">
        <f aca="false">IF(OR(A919="",C919=""),"",IFERROR(INDEX(Aşamalar!$B$5:$B$12,MATCH(C919,Aşamalar!$A$5:$A$12,0)),0))</f>
        <v/>
      </c>
      <c r="I919" s="17" t="str">
        <f aca="false">IF(H919="","",D919*H919)</f>
        <v/>
      </c>
      <c r="J919" s="18" t="str">
        <f aca="true">IF(AND(AND(C919&lt;&gt;"Kazanıldı",C919&lt;&gt;"Kaybedildi",C919&lt;&gt;""),F919&lt;&gt;""),IF(F919&lt;TODAY(),"Gecikti",IF(F919=TODAY(),"Bugün","")),"")</f>
        <v/>
      </c>
      <c r="K919" s="18" t="str">
        <f aca="true">IF(AND(AND(C919&lt;&gt;"Kazanıldı",C919&lt;&gt;"Kaybedildi",C919&lt;&gt;""),F919&lt;&gt;"",F919&lt;=TODAY()),F919+ROW()/1000000,"")</f>
        <v/>
      </c>
    </row>
    <row r="920" customFormat="false" ht="15" hidden="false" customHeight="false" outlineLevel="0" collapsed="false">
      <c r="A920" s="12"/>
      <c r="B920" s="13"/>
      <c r="C920" s="13"/>
      <c r="D920" s="14"/>
      <c r="E920" s="15"/>
      <c r="F920" s="15"/>
      <c r="G920" s="12"/>
      <c r="H920" s="16" t="str">
        <f aca="false">IF(OR(A920="",C920=""),"",IFERROR(INDEX(Aşamalar!$B$5:$B$12,MATCH(C920,Aşamalar!$A$5:$A$12,0)),0))</f>
        <v/>
      </c>
      <c r="I920" s="17" t="str">
        <f aca="false">IF(H920="","",D920*H920)</f>
        <v/>
      </c>
      <c r="J920" s="18" t="str">
        <f aca="true">IF(AND(AND(C920&lt;&gt;"Kazanıldı",C920&lt;&gt;"Kaybedildi",C920&lt;&gt;""),F920&lt;&gt;""),IF(F920&lt;TODAY(),"Gecikti",IF(F920=TODAY(),"Bugün","")),"")</f>
        <v/>
      </c>
      <c r="K920" s="18" t="str">
        <f aca="true">IF(AND(AND(C920&lt;&gt;"Kazanıldı",C920&lt;&gt;"Kaybedildi",C920&lt;&gt;""),F920&lt;&gt;"",F920&lt;=TODAY()),F920+ROW()/1000000,"")</f>
        <v/>
      </c>
    </row>
    <row r="921" customFormat="false" ht="15" hidden="false" customHeight="false" outlineLevel="0" collapsed="false">
      <c r="A921" s="12"/>
      <c r="B921" s="13"/>
      <c r="C921" s="13"/>
      <c r="D921" s="14"/>
      <c r="E921" s="15"/>
      <c r="F921" s="15"/>
      <c r="G921" s="12"/>
      <c r="H921" s="16" t="str">
        <f aca="false">IF(OR(A921="",C921=""),"",IFERROR(INDEX(Aşamalar!$B$5:$B$12,MATCH(C921,Aşamalar!$A$5:$A$12,0)),0))</f>
        <v/>
      </c>
      <c r="I921" s="17" t="str">
        <f aca="false">IF(H921="","",D921*H921)</f>
        <v/>
      </c>
      <c r="J921" s="18" t="str">
        <f aca="true">IF(AND(AND(C921&lt;&gt;"Kazanıldı",C921&lt;&gt;"Kaybedildi",C921&lt;&gt;""),F921&lt;&gt;""),IF(F921&lt;TODAY(),"Gecikti",IF(F921=TODAY(),"Bugün","")),"")</f>
        <v/>
      </c>
      <c r="K921" s="18" t="str">
        <f aca="true">IF(AND(AND(C921&lt;&gt;"Kazanıldı",C921&lt;&gt;"Kaybedildi",C921&lt;&gt;""),F921&lt;&gt;"",F921&lt;=TODAY()),F921+ROW()/1000000,"")</f>
        <v/>
      </c>
    </row>
    <row r="922" customFormat="false" ht="15" hidden="false" customHeight="false" outlineLevel="0" collapsed="false">
      <c r="A922" s="12"/>
      <c r="B922" s="13"/>
      <c r="C922" s="13"/>
      <c r="D922" s="14"/>
      <c r="E922" s="15"/>
      <c r="F922" s="15"/>
      <c r="G922" s="12"/>
      <c r="H922" s="16" t="str">
        <f aca="false">IF(OR(A922="",C922=""),"",IFERROR(INDEX(Aşamalar!$B$5:$B$12,MATCH(C922,Aşamalar!$A$5:$A$12,0)),0))</f>
        <v/>
      </c>
      <c r="I922" s="17" t="str">
        <f aca="false">IF(H922="","",D922*H922)</f>
        <v/>
      </c>
      <c r="J922" s="18" t="str">
        <f aca="true">IF(AND(AND(C922&lt;&gt;"Kazanıldı",C922&lt;&gt;"Kaybedildi",C922&lt;&gt;""),F922&lt;&gt;""),IF(F922&lt;TODAY(),"Gecikti",IF(F922=TODAY(),"Bugün","")),"")</f>
        <v/>
      </c>
      <c r="K922" s="18" t="str">
        <f aca="true">IF(AND(AND(C922&lt;&gt;"Kazanıldı",C922&lt;&gt;"Kaybedildi",C922&lt;&gt;""),F922&lt;&gt;"",F922&lt;=TODAY()),F922+ROW()/1000000,"")</f>
        <v/>
      </c>
    </row>
    <row r="923" customFormat="false" ht="15" hidden="false" customHeight="false" outlineLevel="0" collapsed="false">
      <c r="A923" s="12"/>
      <c r="B923" s="13"/>
      <c r="C923" s="13"/>
      <c r="D923" s="14"/>
      <c r="E923" s="15"/>
      <c r="F923" s="15"/>
      <c r="G923" s="12"/>
      <c r="H923" s="16" t="str">
        <f aca="false">IF(OR(A923="",C923=""),"",IFERROR(INDEX(Aşamalar!$B$5:$B$12,MATCH(C923,Aşamalar!$A$5:$A$12,0)),0))</f>
        <v/>
      </c>
      <c r="I923" s="17" t="str">
        <f aca="false">IF(H923="","",D923*H923)</f>
        <v/>
      </c>
      <c r="J923" s="18" t="str">
        <f aca="true">IF(AND(AND(C923&lt;&gt;"Kazanıldı",C923&lt;&gt;"Kaybedildi",C923&lt;&gt;""),F923&lt;&gt;""),IF(F923&lt;TODAY(),"Gecikti",IF(F923=TODAY(),"Bugün","")),"")</f>
        <v/>
      </c>
      <c r="K923" s="18" t="str">
        <f aca="true">IF(AND(AND(C923&lt;&gt;"Kazanıldı",C923&lt;&gt;"Kaybedildi",C923&lt;&gt;""),F923&lt;&gt;"",F923&lt;=TODAY()),F923+ROW()/1000000,"")</f>
        <v/>
      </c>
    </row>
    <row r="924" customFormat="false" ht="15" hidden="false" customHeight="false" outlineLevel="0" collapsed="false">
      <c r="A924" s="12"/>
      <c r="B924" s="13"/>
      <c r="C924" s="13"/>
      <c r="D924" s="14"/>
      <c r="E924" s="15"/>
      <c r="F924" s="15"/>
      <c r="G924" s="12"/>
      <c r="H924" s="16" t="str">
        <f aca="false">IF(OR(A924="",C924=""),"",IFERROR(INDEX(Aşamalar!$B$5:$B$12,MATCH(C924,Aşamalar!$A$5:$A$12,0)),0))</f>
        <v/>
      </c>
      <c r="I924" s="17" t="str">
        <f aca="false">IF(H924="","",D924*H924)</f>
        <v/>
      </c>
      <c r="J924" s="18" t="str">
        <f aca="true">IF(AND(AND(C924&lt;&gt;"Kazanıldı",C924&lt;&gt;"Kaybedildi",C924&lt;&gt;""),F924&lt;&gt;""),IF(F924&lt;TODAY(),"Gecikti",IF(F924=TODAY(),"Bugün","")),"")</f>
        <v/>
      </c>
      <c r="K924" s="18" t="str">
        <f aca="true">IF(AND(AND(C924&lt;&gt;"Kazanıldı",C924&lt;&gt;"Kaybedildi",C924&lt;&gt;""),F924&lt;&gt;"",F924&lt;=TODAY()),F924+ROW()/1000000,"")</f>
        <v/>
      </c>
    </row>
    <row r="925" customFormat="false" ht="15" hidden="false" customHeight="false" outlineLevel="0" collapsed="false">
      <c r="A925" s="12"/>
      <c r="B925" s="13"/>
      <c r="C925" s="13"/>
      <c r="D925" s="14"/>
      <c r="E925" s="15"/>
      <c r="F925" s="15"/>
      <c r="G925" s="12"/>
      <c r="H925" s="16" t="str">
        <f aca="false">IF(OR(A925="",C925=""),"",IFERROR(INDEX(Aşamalar!$B$5:$B$12,MATCH(C925,Aşamalar!$A$5:$A$12,0)),0))</f>
        <v/>
      </c>
      <c r="I925" s="17" t="str">
        <f aca="false">IF(H925="","",D925*H925)</f>
        <v/>
      </c>
      <c r="J925" s="18" t="str">
        <f aca="true">IF(AND(AND(C925&lt;&gt;"Kazanıldı",C925&lt;&gt;"Kaybedildi",C925&lt;&gt;""),F925&lt;&gt;""),IF(F925&lt;TODAY(),"Gecikti",IF(F925=TODAY(),"Bugün","")),"")</f>
        <v/>
      </c>
      <c r="K925" s="18" t="str">
        <f aca="true">IF(AND(AND(C925&lt;&gt;"Kazanıldı",C925&lt;&gt;"Kaybedildi",C925&lt;&gt;""),F925&lt;&gt;"",F925&lt;=TODAY()),F925+ROW()/1000000,"")</f>
        <v/>
      </c>
    </row>
    <row r="926" customFormat="false" ht="15" hidden="false" customHeight="false" outlineLevel="0" collapsed="false">
      <c r="A926" s="12"/>
      <c r="B926" s="13"/>
      <c r="C926" s="13"/>
      <c r="D926" s="14"/>
      <c r="E926" s="15"/>
      <c r="F926" s="15"/>
      <c r="G926" s="12"/>
      <c r="H926" s="16" t="str">
        <f aca="false">IF(OR(A926="",C926=""),"",IFERROR(INDEX(Aşamalar!$B$5:$B$12,MATCH(C926,Aşamalar!$A$5:$A$12,0)),0))</f>
        <v/>
      </c>
      <c r="I926" s="17" t="str">
        <f aca="false">IF(H926="","",D926*H926)</f>
        <v/>
      </c>
      <c r="J926" s="18" t="str">
        <f aca="true">IF(AND(AND(C926&lt;&gt;"Kazanıldı",C926&lt;&gt;"Kaybedildi",C926&lt;&gt;""),F926&lt;&gt;""),IF(F926&lt;TODAY(),"Gecikti",IF(F926=TODAY(),"Bugün","")),"")</f>
        <v/>
      </c>
      <c r="K926" s="18" t="str">
        <f aca="true">IF(AND(AND(C926&lt;&gt;"Kazanıldı",C926&lt;&gt;"Kaybedildi",C926&lt;&gt;""),F926&lt;&gt;"",F926&lt;=TODAY()),F926+ROW()/1000000,"")</f>
        <v/>
      </c>
    </row>
    <row r="927" customFormat="false" ht="15" hidden="false" customHeight="false" outlineLevel="0" collapsed="false">
      <c r="A927" s="12"/>
      <c r="B927" s="13"/>
      <c r="C927" s="13"/>
      <c r="D927" s="14"/>
      <c r="E927" s="15"/>
      <c r="F927" s="15"/>
      <c r="G927" s="12"/>
      <c r="H927" s="16" t="str">
        <f aca="false">IF(OR(A927="",C927=""),"",IFERROR(INDEX(Aşamalar!$B$5:$B$12,MATCH(C927,Aşamalar!$A$5:$A$12,0)),0))</f>
        <v/>
      </c>
      <c r="I927" s="17" t="str">
        <f aca="false">IF(H927="","",D927*H927)</f>
        <v/>
      </c>
      <c r="J927" s="18" t="str">
        <f aca="true">IF(AND(AND(C927&lt;&gt;"Kazanıldı",C927&lt;&gt;"Kaybedildi",C927&lt;&gt;""),F927&lt;&gt;""),IF(F927&lt;TODAY(),"Gecikti",IF(F927=TODAY(),"Bugün","")),"")</f>
        <v/>
      </c>
      <c r="K927" s="18" t="str">
        <f aca="true">IF(AND(AND(C927&lt;&gt;"Kazanıldı",C927&lt;&gt;"Kaybedildi",C927&lt;&gt;""),F927&lt;&gt;"",F927&lt;=TODAY()),F927+ROW()/1000000,"")</f>
        <v/>
      </c>
    </row>
    <row r="928" customFormat="false" ht="15" hidden="false" customHeight="false" outlineLevel="0" collapsed="false">
      <c r="A928" s="12"/>
      <c r="B928" s="13"/>
      <c r="C928" s="13"/>
      <c r="D928" s="14"/>
      <c r="E928" s="15"/>
      <c r="F928" s="15"/>
      <c r="G928" s="12"/>
      <c r="H928" s="16" t="str">
        <f aca="false">IF(OR(A928="",C928=""),"",IFERROR(INDEX(Aşamalar!$B$5:$B$12,MATCH(C928,Aşamalar!$A$5:$A$12,0)),0))</f>
        <v/>
      </c>
      <c r="I928" s="17" t="str">
        <f aca="false">IF(H928="","",D928*H928)</f>
        <v/>
      </c>
      <c r="J928" s="18" t="str">
        <f aca="true">IF(AND(AND(C928&lt;&gt;"Kazanıldı",C928&lt;&gt;"Kaybedildi",C928&lt;&gt;""),F928&lt;&gt;""),IF(F928&lt;TODAY(),"Gecikti",IF(F928=TODAY(),"Bugün","")),"")</f>
        <v/>
      </c>
      <c r="K928" s="18" t="str">
        <f aca="true">IF(AND(AND(C928&lt;&gt;"Kazanıldı",C928&lt;&gt;"Kaybedildi",C928&lt;&gt;""),F928&lt;&gt;"",F928&lt;=TODAY()),F928+ROW()/1000000,"")</f>
        <v/>
      </c>
    </row>
    <row r="929" customFormat="false" ht="15" hidden="false" customHeight="false" outlineLevel="0" collapsed="false">
      <c r="A929" s="12"/>
      <c r="B929" s="13"/>
      <c r="C929" s="13"/>
      <c r="D929" s="14"/>
      <c r="E929" s="15"/>
      <c r="F929" s="15"/>
      <c r="G929" s="12"/>
      <c r="H929" s="16" t="str">
        <f aca="false">IF(OR(A929="",C929=""),"",IFERROR(INDEX(Aşamalar!$B$5:$B$12,MATCH(C929,Aşamalar!$A$5:$A$12,0)),0))</f>
        <v/>
      </c>
      <c r="I929" s="17" t="str">
        <f aca="false">IF(H929="","",D929*H929)</f>
        <v/>
      </c>
      <c r="J929" s="18" t="str">
        <f aca="true">IF(AND(AND(C929&lt;&gt;"Kazanıldı",C929&lt;&gt;"Kaybedildi",C929&lt;&gt;""),F929&lt;&gt;""),IF(F929&lt;TODAY(),"Gecikti",IF(F929=TODAY(),"Bugün","")),"")</f>
        <v/>
      </c>
      <c r="K929" s="18" t="str">
        <f aca="true">IF(AND(AND(C929&lt;&gt;"Kazanıldı",C929&lt;&gt;"Kaybedildi",C929&lt;&gt;""),F929&lt;&gt;"",F929&lt;=TODAY()),F929+ROW()/1000000,"")</f>
        <v/>
      </c>
    </row>
    <row r="930" customFormat="false" ht="15" hidden="false" customHeight="false" outlineLevel="0" collapsed="false">
      <c r="A930" s="12"/>
      <c r="B930" s="13"/>
      <c r="C930" s="13"/>
      <c r="D930" s="14"/>
      <c r="E930" s="15"/>
      <c r="F930" s="15"/>
      <c r="G930" s="12"/>
      <c r="H930" s="16" t="str">
        <f aca="false">IF(OR(A930="",C930=""),"",IFERROR(INDEX(Aşamalar!$B$5:$B$12,MATCH(C930,Aşamalar!$A$5:$A$12,0)),0))</f>
        <v/>
      </c>
      <c r="I930" s="17" t="str">
        <f aca="false">IF(H930="","",D930*H930)</f>
        <v/>
      </c>
      <c r="J930" s="18" t="str">
        <f aca="true">IF(AND(AND(C930&lt;&gt;"Kazanıldı",C930&lt;&gt;"Kaybedildi",C930&lt;&gt;""),F930&lt;&gt;""),IF(F930&lt;TODAY(),"Gecikti",IF(F930=TODAY(),"Bugün","")),"")</f>
        <v/>
      </c>
      <c r="K930" s="18" t="str">
        <f aca="true">IF(AND(AND(C930&lt;&gt;"Kazanıldı",C930&lt;&gt;"Kaybedildi",C930&lt;&gt;""),F930&lt;&gt;"",F930&lt;=TODAY()),F930+ROW()/1000000,"")</f>
        <v/>
      </c>
    </row>
    <row r="931" customFormat="false" ht="15" hidden="false" customHeight="false" outlineLevel="0" collapsed="false">
      <c r="A931" s="12"/>
      <c r="B931" s="13"/>
      <c r="C931" s="13"/>
      <c r="D931" s="14"/>
      <c r="E931" s="15"/>
      <c r="F931" s="15"/>
      <c r="G931" s="12"/>
      <c r="H931" s="16" t="str">
        <f aca="false">IF(OR(A931="",C931=""),"",IFERROR(INDEX(Aşamalar!$B$5:$B$12,MATCH(C931,Aşamalar!$A$5:$A$12,0)),0))</f>
        <v/>
      </c>
      <c r="I931" s="17" t="str">
        <f aca="false">IF(H931="","",D931*H931)</f>
        <v/>
      </c>
      <c r="J931" s="18" t="str">
        <f aca="true">IF(AND(AND(C931&lt;&gt;"Kazanıldı",C931&lt;&gt;"Kaybedildi",C931&lt;&gt;""),F931&lt;&gt;""),IF(F931&lt;TODAY(),"Gecikti",IF(F931=TODAY(),"Bugün","")),"")</f>
        <v/>
      </c>
      <c r="K931" s="18" t="str">
        <f aca="true">IF(AND(AND(C931&lt;&gt;"Kazanıldı",C931&lt;&gt;"Kaybedildi",C931&lt;&gt;""),F931&lt;&gt;"",F931&lt;=TODAY()),F931+ROW()/1000000,"")</f>
        <v/>
      </c>
    </row>
    <row r="932" customFormat="false" ht="15" hidden="false" customHeight="false" outlineLevel="0" collapsed="false">
      <c r="A932" s="12"/>
      <c r="B932" s="13"/>
      <c r="C932" s="13"/>
      <c r="D932" s="14"/>
      <c r="E932" s="15"/>
      <c r="F932" s="15"/>
      <c r="G932" s="12"/>
      <c r="H932" s="16" t="str">
        <f aca="false">IF(OR(A932="",C932=""),"",IFERROR(INDEX(Aşamalar!$B$5:$B$12,MATCH(C932,Aşamalar!$A$5:$A$12,0)),0))</f>
        <v/>
      </c>
      <c r="I932" s="17" t="str">
        <f aca="false">IF(H932="","",D932*H932)</f>
        <v/>
      </c>
      <c r="J932" s="18" t="str">
        <f aca="true">IF(AND(AND(C932&lt;&gt;"Kazanıldı",C932&lt;&gt;"Kaybedildi",C932&lt;&gt;""),F932&lt;&gt;""),IF(F932&lt;TODAY(),"Gecikti",IF(F932=TODAY(),"Bugün","")),"")</f>
        <v/>
      </c>
      <c r="K932" s="18" t="str">
        <f aca="true">IF(AND(AND(C932&lt;&gt;"Kazanıldı",C932&lt;&gt;"Kaybedildi",C932&lt;&gt;""),F932&lt;&gt;"",F932&lt;=TODAY()),F932+ROW()/1000000,"")</f>
        <v/>
      </c>
    </row>
    <row r="933" customFormat="false" ht="15" hidden="false" customHeight="false" outlineLevel="0" collapsed="false">
      <c r="A933" s="12"/>
      <c r="B933" s="13"/>
      <c r="C933" s="13"/>
      <c r="D933" s="14"/>
      <c r="E933" s="15"/>
      <c r="F933" s="15"/>
      <c r="G933" s="12"/>
      <c r="H933" s="16" t="str">
        <f aca="false">IF(OR(A933="",C933=""),"",IFERROR(INDEX(Aşamalar!$B$5:$B$12,MATCH(C933,Aşamalar!$A$5:$A$12,0)),0))</f>
        <v/>
      </c>
      <c r="I933" s="17" t="str">
        <f aca="false">IF(H933="","",D933*H933)</f>
        <v/>
      </c>
      <c r="J933" s="18" t="str">
        <f aca="true">IF(AND(AND(C933&lt;&gt;"Kazanıldı",C933&lt;&gt;"Kaybedildi",C933&lt;&gt;""),F933&lt;&gt;""),IF(F933&lt;TODAY(),"Gecikti",IF(F933=TODAY(),"Bugün","")),"")</f>
        <v/>
      </c>
      <c r="K933" s="18" t="str">
        <f aca="true">IF(AND(AND(C933&lt;&gt;"Kazanıldı",C933&lt;&gt;"Kaybedildi",C933&lt;&gt;""),F933&lt;&gt;"",F933&lt;=TODAY()),F933+ROW()/1000000,"")</f>
        <v/>
      </c>
    </row>
    <row r="934" customFormat="false" ht="15" hidden="false" customHeight="false" outlineLevel="0" collapsed="false">
      <c r="A934" s="12"/>
      <c r="B934" s="13"/>
      <c r="C934" s="13"/>
      <c r="D934" s="14"/>
      <c r="E934" s="15"/>
      <c r="F934" s="15"/>
      <c r="G934" s="12"/>
      <c r="H934" s="16" t="str">
        <f aca="false">IF(OR(A934="",C934=""),"",IFERROR(INDEX(Aşamalar!$B$5:$B$12,MATCH(C934,Aşamalar!$A$5:$A$12,0)),0))</f>
        <v/>
      </c>
      <c r="I934" s="17" t="str">
        <f aca="false">IF(H934="","",D934*H934)</f>
        <v/>
      </c>
      <c r="J934" s="18" t="str">
        <f aca="true">IF(AND(AND(C934&lt;&gt;"Kazanıldı",C934&lt;&gt;"Kaybedildi",C934&lt;&gt;""),F934&lt;&gt;""),IF(F934&lt;TODAY(),"Gecikti",IF(F934=TODAY(),"Bugün","")),"")</f>
        <v/>
      </c>
      <c r="K934" s="18" t="str">
        <f aca="true">IF(AND(AND(C934&lt;&gt;"Kazanıldı",C934&lt;&gt;"Kaybedildi",C934&lt;&gt;""),F934&lt;&gt;"",F934&lt;=TODAY()),F934+ROW()/1000000,"")</f>
        <v/>
      </c>
    </row>
    <row r="935" customFormat="false" ht="15" hidden="false" customHeight="false" outlineLevel="0" collapsed="false">
      <c r="A935" s="12"/>
      <c r="B935" s="13"/>
      <c r="C935" s="13"/>
      <c r="D935" s="14"/>
      <c r="E935" s="15"/>
      <c r="F935" s="15"/>
      <c r="G935" s="12"/>
      <c r="H935" s="16" t="str">
        <f aca="false">IF(OR(A935="",C935=""),"",IFERROR(INDEX(Aşamalar!$B$5:$B$12,MATCH(C935,Aşamalar!$A$5:$A$12,0)),0))</f>
        <v/>
      </c>
      <c r="I935" s="17" t="str">
        <f aca="false">IF(H935="","",D935*H935)</f>
        <v/>
      </c>
      <c r="J935" s="18" t="str">
        <f aca="true">IF(AND(AND(C935&lt;&gt;"Kazanıldı",C935&lt;&gt;"Kaybedildi",C935&lt;&gt;""),F935&lt;&gt;""),IF(F935&lt;TODAY(),"Gecikti",IF(F935=TODAY(),"Bugün","")),"")</f>
        <v/>
      </c>
      <c r="K935" s="18" t="str">
        <f aca="true">IF(AND(AND(C935&lt;&gt;"Kazanıldı",C935&lt;&gt;"Kaybedildi",C935&lt;&gt;""),F935&lt;&gt;"",F935&lt;=TODAY()),F935+ROW()/1000000,"")</f>
        <v/>
      </c>
    </row>
    <row r="936" customFormat="false" ht="15" hidden="false" customHeight="false" outlineLevel="0" collapsed="false">
      <c r="A936" s="12"/>
      <c r="B936" s="13"/>
      <c r="C936" s="13"/>
      <c r="D936" s="14"/>
      <c r="E936" s="15"/>
      <c r="F936" s="15"/>
      <c r="G936" s="12"/>
      <c r="H936" s="16" t="str">
        <f aca="false">IF(OR(A936="",C936=""),"",IFERROR(INDEX(Aşamalar!$B$5:$B$12,MATCH(C936,Aşamalar!$A$5:$A$12,0)),0))</f>
        <v/>
      </c>
      <c r="I936" s="17" t="str">
        <f aca="false">IF(H936="","",D936*H936)</f>
        <v/>
      </c>
      <c r="J936" s="18" t="str">
        <f aca="true">IF(AND(AND(C936&lt;&gt;"Kazanıldı",C936&lt;&gt;"Kaybedildi",C936&lt;&gt;""),F936&lt;&gt;""),IF(F936&lt;TODAY(),"Gecikti",IF(F936=TODAY(),"Bugün","")),"")</f>
        <v/>
      </c>
      <c r="K936" s="18" t="str">
        <f aca="true">IF(AND(AND(C936&lt;&gt;"Kazanıldı",C936&lt;&gt;"Kaybedildi",C936&lt;&gt;""),F936&lt;&gt;"",F936&lt;=TODAY()),F936+ROW()/1000000,"")</f>
        <v/>
      </c>
    </row>
    <row r="937" customFormat="false" ht="15" hidden="false" customHeight="false" outlineLevel="0" collapsed="false">
      <c r="A937" s="12"/>
      <c r="B937" s="13"/>
      <c r="C937" s="13"/>
      <c r="D937" s="14"/>
      <c r="E937" s="15"/>
      <c r="F937" s="15"/>
      <c r="G937" s="12"/>
      <c r="H937" s="16" t="str">
        <f aca="false">IF(OR(A937="",C937=""),"",IFERROR(INDEX(Aşamalar!$B$5:$B$12,MATCH(C937,Aşamalar!$A$5:$A$12,0)),0))</f>
        <v/>
      </c>
      <c r="I937" s="17" t="str">
        <f aca="false">IF(H937="","",D937*H937)</f>
        <v/>
      </c>
      <c r="J937" s="18" t="str">
        <f aca="true">IF(AND(AND(C937&lt;&gt;"Kazanıldı",C937&lt;&gt;"Kaybedildi",C937&lt;&gt;""),F937&lt;&gt;""),IF(F937&lt;TODAY(),"Gecikti",IF(F937=TODAY(),"Bugün","")),"")</f>
        <v/>
      </c>
      <c r="K937" s="18" t="str">
        <f aca="true">IF(AND(AND(C937&lt;&gt;"Kazanıldı",C937&lt;&gt;"Kaybedildi",C937&lt;&gt;""),F937&lt;&gt;"",F937&lt;=TODAY()),F937+ROW()/1000000,"")</f>
        <v/>
      </c>
    </row>
    <row r="938" customFormat="false" ht="15" hidden="false" customHeight="false" outlineLevel="0" collapsed="false">
      <c r="A938" s="12"/>
      <c r="B938" s="13"/>
      <c r="C938" s="13"/>
      <c r="D938" s="14"/>
      <c r="E938" s="15"/>
      <c r="F938" s="15"/>
      <c r="G938" s="12"/>
      <c r="H938" s="16" t="str">
        <f aca="false">IF(OR(A938="",C938=""),"",IFERROR(INDEX(Aşamalar!$B$5:$B$12,MATCH(C938,Aşamalar!$A$5:$A$12,0)),0))</f>
        <v/>
      </c>
      <c r="I938" s="17" t="str">
        <f aca="false">IF(H938="","",D938*H938)</f>
        <v/>
      </c>
      <c r="J938" s="18" t="str">
        <f aca="true">IF(AND(AND(C938&lt;&gt;"Kazanıldı",C938&lt;&gt;"Kaybedildi",C938&lt;&gt;""),F938&lt;&gt;""),IF(F938&lt;TODAY(),"Gecikti",IF(F938=TODAY(),"Bugün","")),"")</f>
        <v/>
      </c>
      <c r="K938" s="18" t="str">
        <f aca="true">IF(AND(AND(C938&lt;&gt;"Kazanıldı",C938&lt;&gt;"Kaybedildi",C938&lt;&gt;""),F938&lt;&gt;"",F938&lt;=TODAY()),F938+ROW()/1000000,"")</f>
        <v/>
      </c>
    </row>
    <row r="939" customFormat="false" ht="15" hidden="false" customHeight="false" outlineLevel="0" collapsed="false">
      <c r="A939" s="12"/>
      <c r="B939" s="13"/>
      <c r="C939" s="13"/>
      <c r="D939" s="14"/>
      <c r="E939" s="15"/>
      <c r="F939" s="15"/>
      <c r="G939" s="12"/>
      <c r="H939" s="16" t="str">
        <f aca="false">IF(OR(A939="",C939=""),"",IFERROR(INDEX(Aşamalar!$B$5:$B$12,MATCH(C939,Aşamalar!$A$5:$A$12,0)),0))</f>
        <v/>
      </c>
      <c r="I939" s="17" t="str">
        <f aca="false">IF(H939="","",D939*H939)</f>
        <v/>
      </c>
      <c r="J939" s="18" t="str">
        <f aca="true">IF(AND(AND(C939&lt;&gt;"Kazanıldı",C939&lt;&gt;"Kaybedildi",C939&lt;&gt;""),F939&lt;&gt;""),IF(F939&lt;TODAY(),"Gecikti",IF(F939=TODAY(),"Bugün","")),"")</f>
        <v/>
      </c>
      <c r="K939" s="18" t="str">
        <f aca="true">IF(AND(AND(C939&lt;&gt;"Kazanıldı",C939&lt;&gt;"Kaybedildi",C939&lt;&gt;""),F939&lt;&gt;"",F939&lt;=TODAY()),F939+ROW()/1000000,"")</f>
        <v/>
      </c>
    </row>
    <row r="940" customFormat="false" ht="15" hidden="false" customHeight="false" outlineLevel="0" collapsed="false">
      <c r="A940" s="12"/>
      <c r="B940" s="13"/>
      <c r="C940" s="13"/>
      <c r="D940" s="14"/>
      <c r="E940" s="15"/>
      <c r="F940" s="15"/>
      <c r="G940" s="12"/>
      <c r="H940" s="16" t="str">
        <f aca="false">IF(OR(A940="",C940=""),"",IFERROR(INDEX(Aşamalar!$B$5:$B$12,MATCH(C940,Aşamalar!$A$5:$A$12,0)),0))</f>
        <v/>
      </c>
      <c r="I940" s="17" t="str">
        <f aca="false">IF(H940="","",D940*H940)</f>
        <v/>
      </c>
      <c r="J940" s="18" t="str">
        <f aca="true">IF(AND(AND(C940&lt;&gt;"Kazanıldı",C940&lt;&gt;"Kaybedildi",C940&lt;&gt;""),F940&lt;&gt;""),IF(F940&lt;TODAY(),"Gecikti",IF(F940=TODAY(),"Bugün","")),"")</f>
        <v/>
      </c>
      <c r="K940" s="18" t="str">
        <f aca="true">IF(AND(AND(C940&lt;&gt;"Kazanıldı",C940&lt;&gt;"Kaybedildi",C940&lt;&gt;""),F940&lt;&gt;"",F940&lt;=TODAY()),F940+ROW()/1000000,"")</f>
        <v/>
      </c>
    </row>
    <row r="941" customFormat="false" ht="15" hidden="false" customHeight="false" outlineLevel="0" collapsed="false">
      <c r="A941" s="12"/>
      <c r="B941" s="13"/>
      <c r="C941" s="13"/>
      <c r="D941" s="14"/>
      <c r="E941" s="15"/>
      <c r="F941" s="15"/>
      <c r="G941" s="12"/>
      <c r="H941" s="16" t="str">
        <f aca="false">IF(OR(A941="",C941=""),"",IFERROR(INDEX(Aşamalar!$B$5:$B$12,MATCH(C941,Aşamalar!$A$5:$A$12,0)),0))</f>
        <v/>
      </c>
      <c r="I941" s="17" t="str">
        <f aca="false">IF(H941="","",D941*H941)</f>
        <v/>
      </c>
      <c r="J941" s="18" t="str">
        <f aca="true">IF(AND(AND(C941&lt;&gt;"Kazanıldı",C941&lt;&gt;"Kaybedildi",C941&lt;&gt;""),F941&lt;&gt;""),IF(F941&lt;TODAY(),"Gecikti",IF(F941=TODAY(),"Bugün","")),"")</f>
        <v/>
      </c>
      <c r="K941" s="18" t="str">
        <f aca="true">IF(AND(AND(C941&lt;&gt;"Kazanıldı",C941&lt;&gt;"Kaybedildi",C941&lt;&gt;""),F941&lt;&gt;"",F941&lt;=TODAY()),F941+ROW()/1000000,"")</f>
        <v/>
      </c>
    </row>
    <row r="942" customFormat="false" ht="15" hidden="false" customHeight="false" outlineLevel="0" collapsed="false">
      <c r="A942" s="12"/>
      <c r="B942" s="13"/>
      <c r="C942" s="13"/>
      <c r="D942" s="14"/>
      <c r="E942" s="15"/>
      <c r="F942" s="15"/>
      <c r="G942" s="12"/>
      <c r="H942" s="16" t="str">
        <f aca="false">IF(OR(A942="",C942=""),"",IFERROR(INDEX(Aşamalar!$B$5:$B$12,MATCH(C942,Aşamalar!$A$5:$A$12,0)),0))</f>
        <v/>
      </c>
      <c r="I942" s="17" t="str">
        <f aca="false">IF(H942="","",D942*H942)</f>
        <v/>
      </c>
      <c r="J942" s="18" t="str">
        <f aca="true">IF(AND(AND(C942&lt;&gt;"Kazanıldı",C942&lt;&gt;"Kaybedildi",C942&lt;&gt;""),F942&lt;&gt;""),IF(F942&lt;TODAY(),"Gecikti",IF(F942=TODAY(),"Bugün","")),"")</f>
        <v/>
      </c>
      <c r="K942" s="18" t="str">
        <f aca="true">IF(AND(AND(C942&lt;&gt;"Kazanıldı",C942&lt;&gt;"Kaybedildi",C942&lt;&gt;""),F942&lt;&gt;"",F942&lt;=TODAY()),F942+ROW()/1000000,"")</f>
        <v/>
      </c>
    </row>
    <row r="943" customFormat="false" ht="15" hidden="false" customHeight="false" outlineLevel="0" collapsed="false">
      <c r="A943" s="12"/>
      <c r="B943" s="13"/>
      <c r="C943" s="13"/>
      <c r="D943" s="14"/>
      <c r="E943" s="15"/>
      <c r="F943" s="15"/>
      <c r="G943" s="12"/>
      <c r="H943" s="16" t="str">
        <f aca="false">IF(OR(A943="",C943=""),"",IFERROR(INDEX(Aşamalar!$B$5:$B$12,MATCH(C943,Aşamalar!$A$5:$A$12,0)),0))</f>
        <v/>
      </c>
      <c r="I943" s="17" t="str">
        <f aca="false">IF(H943="","",D943*H943)</f>
        <v/>
      </c>
      <c r="J943" s="18" t="str">
        <f aca="true">IF(AND(AND(C943&lt;&gt;"Kazanıldı",C943&lt;&gt;"Kaybedildi",C943&lt;&gt;""),F943&lt;&gt;""),IF(F943&lt;TODAY(),"Gecikti",IF(F943=TODAY(),"Bugün","")),"")</f>
        <v/>
      </c>
      <c r="K943" s="18" t="str">
        <f aca="true">IF(AND(AND(C943&lt;&gt;"Kazanıldı",C943&lt;&gt;"Kaybedildi",C943&lt;&gt;""),F943&lt;&gt;"",F943&lt;=TODAY()),F943+ROW()/1000000,"")</f>
        <v/>
      </c>
    </row>
    <row r="944" customFormat="false" ht="15" hidden="false" customHeight="false" outlineLevel="0" collapsed="false">
      <c r="A944" s="12"/>
      <c r="B944" s="13"/>
      <c r="C944" s="13"/>
      <c r="D944" s="14"/>
      <c r="E944" s="15"/>
      <c r="F944" s="15"/>
      <c r="G944" s="12"/>
      <c r="H944" s="16" t="str">
        <f aca="false">IF(OR(A944="",C944=""),"",IFERROR(INDEX(Aşamalar!$B$5:$B$12,MATCH(C944,Aşamalar!$A$5:$A$12,0)),0))</f>
        <v/>
      </c>
      <c r="I944" s="17" t="str">
        <f aca="false">IF(H944="","",D944*H944)</f>
        <v/>
      </c>
      <c r="J944" s="18" t="str">
        <f aca="true">IF(AND(AND(C944&lt;&gt;"Kazanıldı",C944&lt;&gt;"Kaybedildi",C944&lt;&gt;""),F944&lt;&gt;""),IF(F944&lt;TODAY(),"Gecikti",IF(F944=TODAY(),"Bugün","")),"")</f>
        <v/>
      </c>
      <c r="K944" s="18" t="str">
        <f aca="true">IF(AND(AND(C944&lt;&gt;"Kazanıldı",C944&lt;&gt;"Kaybedildi",C944&lt;&gt;""),F944&lt;&gt;"",F944&lt;=TODAY()),F944+ROW()/1000000,"")</f>
        <v/>
      </c>
    </row>
    <row r="945" customFormat="false" ht="15" hidden="false" customHeight="false" outlineLevel="0" collapsed="false">
      <c r="A945" s="12"/>
      <c r="B945" s="13"/>
      <c r="C945" s="13"/>
      <c r="D945" s="14"/>
      <c r="E945" s="15"/>
      <c r="F945" s="15"/>
      <c r="G945" s="12"/>
      <c r="H945" s="16" t="str">
        <f aca="false">IF(OR(A945="",C945=""),"",IFERROR(INDEX(Aşamalar!$B$5:$B$12,MATCH(C945,Aşamalar!$A$5:$A$12,0)),0))</f>
        <v/>
      </c>
      <c r="I945" s="17" t="str">
        <f aca="false">IF(H945="","",D945*H945)</f>
        <v/>
      </c>
      <c r="J945" s="18" t="str">
        <f aca="true">IF(AND(AND(C945&lt;&gt;"Kazanıldı",C945&lt;&gt;"Kaybedildi",C945&lt;&gt;""),F945&lt;&gt;""),IF(F945&lt;TODAY(),"Gecikti",IF(F945=TODAY(),"Bugün","")),"")</f>
        <v/>
      </c>
      <c r="K945" s="18" t="str">
        <f aca="true">IF(AND(AND(C945&lt;&gt;"Kazanıldı",C945&lt;&gt;"Kaybedildi",C945&lt;&gt;""),F945&lt;&gt;"",F945&lt;=TODAY()),F945+ROW()/1000000,"")</f>
        <v/>
      </c>
    </row>
    <row r="946" customFormat="false" ht="15" hidden="false" customHeight="false" outlineLevel="0" collapsed="false">
      <c r="A946" s="12"/>
      <c r="B946" s="13"/>
      <c r="C946" s="13"/>
      <c r="D946" s="14"/>
      <c r="E946" s="15"/>
      <c r="F946" s="15"/>
      <c r="G946" s="12"/>
      <c r="H946" s="16" t="str">
        <f aca="false">IF(OR(A946="",C946=""),"",IFERROR(INDEX(Aşamalar!$B$5:$B$12,MATCH(C946,Aşamalar!$A$5:$A$12,0)),0))</f>
        <v/>
      </c>
      <c r="I946" s="17" t="str">
        <f aca="false">IF(H946="","",D946*H946)</f>
        <v/>
      </c>
      <c r="J946" s="18" t="str">
        <f aca="true">IF(AND(AND(C946&lt;&gt;"Kazanıldı",C946&lt;&gt;"Kaybedildi",C946&lt;&gt;""),F946&lt;&gt;""),IF(F946&lt;TODAY(),"Gecikti",IF(F946=TODAY(),"Bugün","")),"")</f>
        <v/>
      </c>
      <c r="K946" s="18" t="str">
        <f aca="true">IF(AND(AND(C946&lt;&gt;"Kazanıldı",C946&lt;&gt;"Kaybedildi",C946&lt;&gt;""),F946&lt;&gt;"",F946&lt;=TODAY()),F946+ROW()/1000000,"")</f>
        <v/>
      </c>
    </row>
    <row r="947" customFormat="false" ht="15" hidden="false" customHeight="false" outlineLevel="0" collapsed="false">
      <c r="A947" s="12"/>
      <c r="B947" s="13"/>
      <c r="C947" s="13"/>
      <c r="D947" s="14"/>
      <c r="E947" s="15"/>
      <c r="F947" s="15"/>
      <c r="G947" s="12"/>
      <c r="H947" s="16" t="str">
        <f aca="false">IF(OR(A947="",C947=""),"",IFERROR(INDEX(Aşamalar!$B$5:$B$12,MATCH(C947,Aşamalar!$A$5:$A$12,0)),0))</f>
        <v/>
      </c>
      <c r="I947" s="17" t="str">
        <f aca="false">IF(H947="","",D947*H947)</f>
        <v/>
      </c>
      <c r="J947" s="18" t="str">
        <f aca="true">IF(AND(AND(C947&lt;&gt;"Kazanıldı",C947&lt;&gt;"Kaybedildi",C947&lt;&gt;""),F947&lt;&gt;""),IF(F947&lt;TODAY(),"Gecikti",IF(F947=TODAY(),"Bugün","")),"")</f>
        <v/>
      </c>
      <c r="K947" s="18" t="str">
        <f aca="true">IF(AND(AND(C947&lt;&gt;"Kazanıldı",C947&lt;&gt;"Kaybedildi",C947&lt;&gt;""),F947&lt;&gt;"",F947&lt;=TODAY()),F947+ROW()/1000000,"")</f>
        <v/>
      </c>
    </row>
    <row r="948" customFormat="false" ht="15" hidden="false" customHeight="false" outlineLevel="0" collapsed="false">
      <c r="A948" s="12"/>
      <c r="B948" s="13"/>
      <c r="C948" s="13"/>
      <c r="D948" s="14"/>
      <c r="E948" s="15"/>
      <c r="F948" s="15"/>
      <c r="G948" s="12"/>
      <c r="H948" s="16" t="str">
        <f aca="false">IF(OR(A948="",C948=""),"",IFERROR(INDEX(Aşamalar!$B$5:$B$12,MATCH(C948,Aşamalar!$A$5:$A$12,0)),0))</f>
        <v/>
      </c>
      <c r="I948" s="17" t="str">
        <f aca="false">IF(H948="","",D948*H948)</f>
        <v/>
      </c>
      <c r="J948" s="18" t="str">
        <f aca="true">IF(AND(AND(C948&lt;&gt;"Kazanıldı",C948&lt;&gt;"Kaybedildi",C948&lt;&gt;""),F948&lt;&gt;""),IF(F948&lt;TODAY(),"Gecikti",IF(F948=TODAY(),"Bugün","")),"")</f>
        <v/>
      </c>
      <c r="K948" s="18" t="str">
        <f aca="true">IF(AND(AND(C948&lt;&gt;"Kazanıldı",C948&lt;&gt;"Kaybedildi",C948&lt;&gt;""),F948&lt;&gt;"",F948&lt;=TODAY()),F948+ROW()/1000000,"")</f>
        <v/>
      </c>
    </row>
    <row r="949" customFormat="false" ht="15" hidden="false" customHeight="false" outlineLevel="0" collapsed="false">
      <c r="A949" s="12"/>
      <c r="B949" s="13"/>
      <c r="C949" s="13"/>
      <c r="D949" s="14"/>
      <c r="E949" s="15"/>
      <c r="F949" s="15"/>
      <c r="G949" s="12"/>
      <c r="H949" s="16" t="str">
        <f aca="false">IF(OR(A949="",C949=""),"",IFERROR(INDEX(Aşamalar!$B$5:$B$12,MATCH(C949,Aşamalar!$A$5:$A$12,0)),0))</f>
        <v/>
      </c>
      <c r="I949" s="17" t="str">
        <f aca="false">IF(H949="","",D949*H949)</f>
        <v/>
      </c>
      <c r="J949" s="18" t="str">
        <f aca="true">IF(AND(AND(C949&lt;&gt;"Kazanıldı",C949&lt;&gt;"Kaybedildi",C949&lt;&gt;""),F949&lt;&gt;""),IF(F949&lt;TODAY(),"Gecikti",IF(F949=TODAY(),"Bugün","")),"")</f>
        <v/>
      </c>
      <c r="K949" s="18" t="str">
        <f aca="true">IF(AND(AND(C949&lt;&gt;"Kazanıldı",C949&lt;&gt;"Kaybedildi",C949&lt;&gt;""),F949&lt;&gt;"",F949&lt;=TODAY()),F949+ROW()/1000000,"")</f>
        <v/>
      </c>
    </row>
    <row r="950" customFormat="false" ht="15" hidden="false" customHeight="false" outlineLevel="0" collapsed="false">
      <c r="A950" s="12"/>
      <c r="B950" s="13"/>
      <c r="C950" s="13"/>
      <c r="D950" s="14"/>
      <c r="E950" s="15"/>
      <c r="F950" s="15"/>
      <c r="G950" s="12"/>
      <c r="H950" s="16" t="str">
        <f aca="false">IF(OR(A950="",C950=""),"",IFERROR(INDEX(Aşamalar!$B$5:$B$12,MATCH(C950,Aşamalar!$A$5:$A$12,0)),0))</f>
        <v/>
      </c>
      <c r="I950" s="17" t="str">
        <f aca="false">IF(H950="","",D950*H950)</f>
        <v/>
      </c>
      <c r="J950" s="18" t="str">
        <f aca="true">IF(AND(AND(C950&lt;&gt;"Kazanıldı",C950&lt;&gt;"Kaybedildi",C950&lt;&gt;""),F950&lt;&gt;""),IF(F950&lt;TODAY(),"Gecikti",IF(F950=TODAY(),"Bugün","")),"")</f>
        <v/>
      </c>
      <c r="K950" s="18" t="str">
        <f aca="true">IF(AND(AND(C950&lt;&gt;"Kazanıldı",C950&lt;&gt;"Kaybedildi",C950&lt;&gt;""),F950&lt;&gt;"",F950&lt;=TODAY()),F950+ROW()/1000000,"")</f>
        <v/>
      </c>
    </row>
    <row r="951" customFormat="false" ht="15" hidden="false" customHeight="false" outlineLevel="0" collapsed="false">
      <c r="A951" s="12"/>
      <c r="B951" s="13"/>
      <c r="C951" s="13"/>
      <c r="D951" s="14"/>
      <c r="E951" s="15"/>
      <c r="F951" s="15"/>
      <c r="G951" s="12"/>
      <c r="H951" s="16" t="str">
        <f aca="false">IF(OR(A951="",C951=""),"",IFERROR(INDEX(Aşamalar!$B$5:$B$12,MATCH(C951,Aşamalar!$A$5:$A$12,0)),0))</f>
        <v/>
      </c>
      <c r="I951" s="17" t="str">
        <f aca="false">IF(H951="","",D951*H951)</f>
        <v/>
      </c>
      <c r="J951" s="18" t="str">
        <f aca="true">IF(AND(AND(C951&lt;&gt;"Kazanıldı",C951&lt;&gt;"Kaybedildi",C951&lt;&gt;""),F951&lt;&gt;""),IF(F951&lt;TODAY(),"Gecikti",IF(F951=TODAY(),"Bugün","")),"")</f>
        <v/>
      </c>
      <c r="K951" s="18" t="str">
        <f aca="true">IF(AND(AND(C951&lt;&gt;"Kazanıldı",C951&lt;&gt;"Kaybedildi",C951&lt;&gt;""),F951&lt;&gt;"",F951&lt;=TODAY()),F951+ROW()/1000000,"")</f>
        <v/>
      </c>
    </row>
    <row r="952" customFormat="false" ht="15" hidden="false" customHeight="false" outlineLevel="0" collapsed="false">
      <c r="A952" s="12"/>
      <c r="B952" s="13"/>
      <c r="C952" s="13"/>
      <c r="D952" s="14"/>
      <c r="E952" s="15"/>
      <c r="F952" s="15"/>
      <c r="G952" s="12"/>
      <c r="H952" s="16" t="str">
        <f aca="false">IF(OR(A952="",C952=""),"",IFERROR(INDEX(Aşamalar!$B$5:$B$12,MATCH(C952,Aşamalar!$A$5:$A$12,0)),0))</f>
        <v/>
      </c>
      <c r="I952" s="17" t="str">
        <f aca="false">IF(H952="","",D952*H952)</f>
        <v/>
      </c>
      <c r="J952" s="18" t="str">
        <f aca="true">IF(AND(AND(C952&lt;&gt;"Kazanıldı",C952&lt;&gt;"Kaybedildi",C952&lt;&gt;""),F952&lt;&gt;""),IF(F952&lt;TODAY(),"Gecikti",IF(F952=TODAY(),"Bugün","")),"")</f>
        <v/>
      </c>
      <c r="K952" s="18" t="str">
        <f aca="true">IF(AND(AND(C952&lt;&gt;"Kazanıldı",C952&lt;&gt;"Kaybedildi",C952&lt;&gt;""),F952&lt;&gt;"",F952&lt;=TODAY()),F952+ROW()/1000000,"")</f>
        <v/>
      </c>
    </row>
    <row r="953" customFormat="false" ht="15" hidden="false" customHeight="false" outlineLevel="0" collapsed="false">
      <c r="A953" s="12"/>
      <c r="B953" s="13"/>
      <c r="C953" s="13"/>
      <c r="D953" s="14"/>
      <c r="E953" s="15"/>
      <c r="F953" s="15"/>
      <c r="G953" s="12"/>
      <c r="H953" s="16" t="str">
        <f aca="false">IF(OR(A953="",C953=""),"",IFERROR(INDEX(Aşamalar!$B$5:$B$12,MATCH(C953,Aşamalar!$A$5:$A$12,0)),0))</f>
        <v/>
      </c>
      <c r="I953" s="17" t="str">
        <f aca="false">IF(H953="","",D953*H953)</f>
        <v/>
      </c>
      <c r="J953" s="18" t="str">
        <f aca="true">IF(AND(AND(C953&lt;&gt;"Kazanıldı",C953&lt;&gt;"Kaybedildi",C953&lt;&gt;""),F953&lt;&gt;""),IF(F953&lt;TODAY(),"Gecikti",IF(F953=TODAY(),"Bugün","")),"")</f>
        <v/>
      </c>
      <c r="K953" s="18" t="str">
        <f aca="true">IF(AND(AND(C953&lt;&gt;"Kazanıldı",C953&lt;&gt;"Kaybedildi",C953&lt;&gt;""),F953&lt;&gt;"",F953&lt;=TODAY()),F953+ROW()/1000000,"")</f>
        <v/>
      </c>
    </row>
    <row r="954" customFormat="false" ht="15" hidden="false" customHeight="false" outlineLevel="0" collapsed="false">
      <c r="A954" s="12"/>
      <c r="B954" s="13"/>
      <c r="C954" s="13"/>
      <c r="D954" s="14"/>
      <c r="E954" s="15"/>
      <c r="F954" s="15"/>
      <c r="G954" s="12"/>
      <c r="H954" s="16" t="str">
        <f aca="false">IF(OR(A954="",C954=""),"",IFERROR(INDEX(Aşamalar!$B$5:$B$12,MATCH(C954,Aşamalar!$A$5:$A$12,0)),0))</f>
        <v/>
      </c>
      <c r="I954" s="17" t="str">
        <f aca="false">IF(H954="","",D954*H954)</f>
        <v/>
      </c>
      <c r="J954" s="18" t="str">
        <f aca="true">IF(AND(AND(C954&lt;&gt;"Kazanıldı",C954&lt;&gt;"Kaybedildi",C954&lt;&gt;""),F954&lt;&gt;""),IF(F954&lt;TODAY(),"Gecikti",IF(F954=TODAY(),"Bugün","")),"")</f>
        <v/>
      </c>
      <c r="K954" s="18" t="str">
        <f aca="true">IF(AND(AND(C954&lt;&gt;"Kazanıldı",C954&lt;&gt;"Kaybedildi",C954&lt;&gt;""),F954&lt;&gt;"",F954&lt;=TODAY()),F954+ROW()/1000000,"")</f>
        <v/>
      </c>
    </row>
    <row r="955" customFormat="false" ht="15" hidden="false" customHeight="false" outlineLevel="0" collapsed="false">
      <c r="A955" s="12"/>
      <c r="B955" s="13"/>
      <c r="C955" s="13"/>
      <c r="D955" s="14"/>
      <c r="E955" s="15"/>
      <c r="F955" s="15"/>
      <c r="G955" s="12"/>
      <c r="H955" s="16" t="str">
        <f aca="false">IF(OR(A955="",C955=""),"",IFERROR(INDEX(Aşamalar!$B$5:$B$12,MATCH(C955,Aşamalar!$A$5:$A$12,0)),0))</f>
        <v/>
      </c>
      <c r="I955" s="17" t="str">
        <f aca="false">IF(H955="","",D955*H955)</f>
        <v/>
      </c>
      <c r="J955" s="18" t="str">
        <f aca="true">IF(AND(AND(C955&lt;&gt;"Kazanıldı",C955&lt;&gt;"Kaybedildi",C955&lt;&gt;""),F955&lt;&gt;""),IF(F955&lt;TODAY(),"Gecikti",IF(F955=TODAY(),"Bugün","")),"")</f>
        <v/>
      </c>
      <c r="K955" s="18" t="str">
        <f aca="true">IF(AND(AND(C955&lt;&gt;"Kazanıldı",C955&lt;&gt;"Kaybedildi",C955&lt;&gt;""),F955&lt;&gt;"",F955&lt;=TODAY()),F955+ROW()/1000000,"")</f>
        <v/>
      </c>
    </row>
    <row r="956" customFormat="false" ht="15" hidden="false" customHeight="false" outlineLevel="0" collapsed="false">
      <c r="A956" s="12"/>
      <c r="B956" s="13"/>
      <c r="C956" s="13"/>
      <c r="D956" s="14"/>
      <c r="E956" s="15"/>
      <c r="F956" s="15"/>
      <c r="G956" s="12"/>
      <c r="H956" s="16" t="str">
        <f aca="false">IF(OR(A956="",C956=""),"",IFERROR(INDEX(Aşamalar!$B$5:$B$12,MATCH(C956,Aşamalar!$A$5:$A$12,0)),0))</f>
        <v/>
      </c>
      <c r="I956" s="17" t="str">
        <f aca="false">IF(H956="","",D956*H956)</f>
        <v/>
      </c>
      <c r="J956" s="18" t="str">
        <f aca="true">IF(AND(AND(C956&lt;&gt;"Kazanıldı",C956&lt;&gt;"Kaybedildi",C956&lt;&gt;""),F956&lt;&gt;""),IF(F956&lt;TODAY(),"Gecikti",IF(F956=TODAY(),"Bugün","")),"")</f>
        <v/>
      </c>
      <c r="K956" s="18" t="str">
        <f aca="true">IF(AND(AND(C956&lt;&gt;"Kazanıldı",C956&lt;&gt;"Kaybedildi",C956&lt;&gt;""),F956&lt;&gt;"",F956&lt;=TODAY()),F956+ROW()/1000000,"")</f>
        <v/>
      </c>
    </row>
    <row r="957" customFormat="false" ht="15" hidden="false" customHeight="false" outlineLevel="0" collapsed="false">
      <c r="A957" s="12"/>
      <c r="B957" s="13"/>
      <c r="C957" s="13"/>
      <c r="D957" s="14"/>
      <c r="E957" s="15"/>
      <c r="F957" s="15"/>
      <c r="G957" s="12"/>
      <c r="H957" s="16" t="str">
        <f aca="false">IF(OR(A957="",C957=""),"",IFERROR(INDEX(Aşamalar!$B$5:$B$12,MATCH(C957,Aşamalar!$A$5:$A$12,0)),0))</f>
        <v/>
      </c>
      <c r="I957" s="17" t="str">
        <f aca="false">IF(H957="","",D957*H957)</f>
        <v/>
      </c>
      <c r="J957" s="18" t="str">
        <f aca="true">IF(AND(AND(C957&lt;&gt;"Kazanıldı",C957&lt;&gt;"Kaybedildi",C957&lt;&gt;""),F957&lt;&gt;""),IF(F957&lt;TODAY(),"Gecikti",IF(F957=TODAY(),"Bugün","")),"")</f>
        <v/>
      </c>
      <c r="K957" s="18" t="str">
        <f aca="true">IF(AND(AND(C957&lt;&gt;"Kazanıldı",C957&lt;&gt;"Kaybedildi",C957&lt;&gt;""),F957&lt;&gt;"",F957&lt;=TODAY()),F957+ROW()/1000000,"")</f>
        <v/>
      </c>
    </row>
    <row r="958" customFormat="false" ht="15" hidden="false" customHeight="false" outlineLevel="0" collapsed="false">
      <c r="A958" s="12"/>
      <c r="B958" s="13"/>
      <c r="C958" s="13"/>
      <c r="D958" s="14"/>
      <c r="E958" s="15"/>
      <c r="F958" s="15"/>
      <c r="G958" s="12"/>
      <c r="H958" s="16" t="str">
        <f aca="false">IF(OR(A958="",C958=""),"",IFERROR(INDEX(Aşamalar!$B$5:$B$12,MATCH(C958,Aşamalar!$A$5:$A$12,0)),0))</f>
        <v/>
      </c>
      <c r="I958" s="17" t="str">
        <f aca="false">IF(H958="","",D958*H958)</f>
        <v/>
      </c>
      <c r="J958" s="18" t="str">
        <f aca="true">IF(AND(AND(C958&lt;&gt;"Kazanıldı",C958&lt;&gt;"Kaybedildi",C958&lt;&gt;""),F958&lt;&gt;""),IF(F958&lt;TODAY(),"Gecikti",IF(F958=TODAY(),"Bugün","")),"")</f>
        <v/>
      </c>
      <c r="K958" s="18" t="str">
        <f aca="true">IF(AND(AND(C958&lt;&gt;"Kazanıldı",C958&lt;&gt;"Kaybedildi",C958&lt;&gt;""),F958&lt;&gt;"",F958&lt;=TODAY()),F958+ROW()/1000000,"")</f>
        <v/>
      </c>
    </row>
    <row r="959" customFormat="false" ht="15" hidden="false" customHeight="false" outlineLevel="0" collapsed="false">
      <c r="A959" s="12"/>
      <c r="B959" s="13"/>
      <c r="C959" s="13"/>
      <c r="D959" s="14"/>
      <c r="E959" s="15"/>
      <c r="F959" s="15"/>
      <c r="G959" s="12"/>
      <c r="H959" s="16" t="str">
        <f aca="false">IF(OR(A959="",C959=""),"",IFERROR(INDEX(Aşamalar!$B$5:$B$12,MATCH(C959,Aşamalar!$A$5:$A$12,0)),0))</f>
        <v/>
      </c>
      <c r="I959" s="17" t="str">
        <f aca="false">IF(H959="","",D959*H959)</f>
        <v/>
      </c>
      <c r="J959" s="18" t="str">
        <f aca="true">IF(AND(AND(C959&lt;&gt;"Kazanıldı",C959&lt;&gt;"Kaybedildi",C959&lt;&gt;""),F959&lt;&gt;""),IF(F959&lt;TODAY(),"Gecikti",IF(F959=TODAY(),"Bugün","")),"")</f>
        <v/>
      </c>
      <c r="K959" s="18" t="str">
        <f aca="true">IF(AND(AND(C959&lt;&gt;"Kazanıldı",C959&lt;&gt;"Kaybedildi",C959&lt;&gt;""),F959&lt;&gt;"",F959&lt;=TODAY()),F959+ROW()/1000000,"")</f>
        <v/>
      </c>
    </row>
    <row r="960" customFormat="false" ht="15" hidden="false" customHeight="false" outlineLevel="0" collapsed="false">
      <c r="A960" s="12"/>
      <c r="B960" s="13"/>
      <c r="C960" s="13"/>
      <c r="D960" s="14"/>
      <c r="E960" s="15"/>
      <c r="F960" s="15"/>
      <c r="G960" s="12"/>
      <c r="H960" s="16" t="str">
        <f aca="false">IF(OR(A960="",C960=""),"",IFERROR(INDEX(Aşamalar!$B$5:$B$12,MATCH(C960,Aşamalar!$A$5:$A$12,0)),0))</f>
        <v/>
      </c>
      <c r="I960" s="17" t="str">
        <f aca="false">IF(H960="","",D960*H960)</f>
        <v/>
      </c>
      <c r="J960" s="18" t="str">
        <f aca="true">IF(AND(AND(C960&lt;&gt;"Kazanıldı",C960&lt;&gt;"Kaybedildi",C960&lt;&gt;""),F960&lt;&gt;""),IF(F960&lt;TODAY(),"Gecikti",IF(F960=TODAY(),"Bugün","")),"")</f>
        <v/>
      </c>
      <c r="K960" s="18" t="str">
        <f aca="true">IF(AND(AND(C960&lt;&gt;"Kazanıldı",C960&lt;&gt;"Kaybedildi",C960&lt;&gt;""),F960&lt;&gt;"",F960&lt;=TODAY()),F960+ROW()/1000000,"")</f>
        <v/>
      </c>
    </row>
    <row r="961" customFormat="false" ht="15" hidden="false" customHeight="false" outlineLevel="0" collapsed="false">
      <c r="A961" s="12"/>
      <c r="B961" s="13"/>
      <c r="C961" s="13"/>
      <c r="D961" s="14"/>
      <c r="E961" s="15"/>
      <c r="F961" s="15"/>
      <c r="G961" s="12"/>
      <c r="H961" s="16" t="str">
        <f aca="false">IF(OR(A961="",C961=""),"",IFERROR(INDEX(Aşamalar!$B$5:$B$12,MATCH(C961,Aşamalar!$A$5:$A$12,0)),0))</f>
        <v/>
      </c>
      <c r="I961" s="17" t="str">
        <f aca="false">IF(H961="","",D961*H961)</f>
        <v/>
      </c>
      <c r="J961" s="18" t="str">
        <f aca="true">IF(AND(AND(C961&lt;&gt;"Kazanıldı",C961&lt;&gt;"Kaybedildi",C961&lt;&gt;""),F961&lt;&gt;""),IF(F961&lt;TODAY(),"Gecikti",IF(F961=TODAY(),"Bugün","")),"")</f>
        <v/>
      </c>
      <c r="K961" s="18" t="str">
        <f aca="true">IF(AND(AND(C961&lt;&gt;"Kazanıldı",C961&lt;&gt;"Kaybedildi",C961&lt;&gt;""),F961&lt;&gt;"",F961&lt;=TODAY()),F961+ROW()/1000000,"")</f>
        <v/>
      </c>
    </row>
    <row r="962" customFormat="false" ht="15" hidden="false" customHeight="false" outlineLevel="0" collapsed="false">
      <c r="A962" s="12"/>
      <c r="B962" s="13"/>
      <c r="C962" s="13"/>
      <c r="D962" s="14"/>
      <c r="E962" s="15"/>
      <c r="F962" s="15"/>
      <c r="G962" s="12"/>
      <c r="H962" s="16" t="str">
        <f aca="false">IF(OR(A962="",C962=""),"",IFERROR(INDEX(Aşamalar!$B$5:$B$12,MATCH(C962,Aşamalar!$A$5:$A$12,0)),0))</f>
        <v/>
      </c>
      <c r="I962" s="17" t="str">
        <f aca="false">IF(H962="","",D962*H962)</f>
        <v/>
      </c>
      <c r="J962" s="18" t="str">
        <f aca="true">IF(AND(AND(C962&lt;&gt;"Kazanıldı",C962&lt;&gt;"Kaybedildi",C962&lt;&gt;""),F962&lt;&gt;""),IF(F962&lt;TODAY(),"Gecikti",IF(F962=TODAY(),"Bugün","")),"")</f>
        <v/>
      </c>
      <c r="K962" s="18" t="str">
        <f aca="true">IF(AND(AND(C962&lt;&gt;"Kazanıldı",C962&lt;&gt;"Kaybedildi",C962&lt;&gt;""),F962&lt;&gt;"",F962&lt;=TODAY()),F962+ROW()/1000000,"")</f>
        <v/>
      </c>
    </row>
    <row r="963" customFormat="false" ht="15" hidden="false" customHeight="false" outlineLevel="0" collapsed="false">
      <c r="A963" s="12"/>
      <c r="B963" s="13"/>
      <c r="C963" s="13"/>
      <c r="D963" s="14"/>
      <c r="E963" s="15"/>
      <c r="F963" s="15"/>
      <c r="G963" s="12"/>
      <c r="H963" s="16" t="str">
        <f aca="false">IF(OR(A963="",C963=""),"",IFERROR(INDEX(Aşamalar!$B$5:$B$12,MATCH(C963,Aşamalar!$A$5:$A$12,0)),0))</f>
        <v/>
      </c>
      <c r="I963" s="17" t="str">
        <f aca="false">IF(H963="","",D963*H963)</f>
        <v/>
      </c>
      <c r="J963" s="18" t="str">
        <f aca="true">IF(AND(AND(C963&lt;&gt;"Kazanıldı",C963&lt;&gt;"Kaybedildi",C963&lt;&gt;""),F963&lt;&gt;""),IF(F963&lt;TODAY(),"Gecikti",IF(F963=TODAY(),"Bugün","")),"")</f>
        <v/>
      </c>
      <c r="K963" s="18" t="str">
        <f aca="true">IF(AND(AND(C963&lt;&gt;"Kazanıldı",C963&lt;&gt;"Kaybedildi",C963&lt;&gt;""),F963&lt;&gt;"",F963&lt;=TODAY()),F963+ROW()/1000000,"")</f>
        <v/>
      </c>
    </row>
    <row r="964" customFormat="false" ht="15" hidden="false" customHeight="false" outlineLevel="0" collapsed="false">
      <c r="A964" s="12"/>
      <c r="B964" s="13"/>
      <c r="C964" s="13"/>
      <c r="D964" s="14"/>
      <c r="E964" s="15"/>
      <c r="F964" s="15"/>
      <c r="G964" s="12"/>
      <c r="H964" s="16" t="str">
        <f aca="false">IF(OR(A964="",C964=""),"",IFERROR(INDEX(Aşamalar!$B$5:$B$12,MATCH(C964,Aşamalar!$A$5:$A$12,0)),0))</f>
        <v/>
      </c>
      <c r="I964" s="17" t="str">
        <f aca="false">IF(H964="","",D964*H964)</f>
        <v/>
      </c>
      <c r="J964" s="18" t="str">
        <f aca="true">IF(AND(AND(C964&lt;&gt;"Kazanıldı",C964&lt;&gt;"Kaybedildi",C964&lt;&gt;""),F964&lt;&gt;""),IF(F964&lt;TODAY(),"Gecikti",IF(F964=TODAY(),"Bugün","")),"")</f>
        <v/>
      </c>
      <c r="K964" s="18" t="str">
        <f aca="true">IF(AND(AND(C964&lt;&gt;"Kazanıldı",C964&lt;&gt;"Kaybedildi",C964&lt;&gt;""),F964&lt;&gt;"",F964&lt;=TODAY()),F964+ROW()/1000000,"")</f>
        <v/>
      </c>
    </row>
    <row r="965" customFormat="false" ht="15" hidden="false" customHeight="false" outlineLevel="0" collapsed="false">
      <c r="A965" s="12"/>
      <c r="B965" s="13"/>
      <c r="C965" s="13"/>
      <c r="D965" s="14"/>
      <c r="E965" s="15"/>
      <c r="F965" s="15"/>
      <c r="G965" s="12"/>
      <c r="H965" s="16" t="str">
        <f aca="false">IF(OR(A965="",C965=""),"",IFERROR(INDEX(Aşamalar!$B$5:$B$12,MATCH(C965,Aşamalar!$A$5:$A$12,0)),0))</f>
        <v/>
      </c>
      <c r="I965" s="17" t="str">
        <f aca="false">IF(H965="","",D965*H965)</f>
        <v/>
      </c>
      <c r="J965" s="18" t="str">
        <f aca="true">IF(AND(AND(C965&lt;&gt;"Kazanıldı",C965&lt;&gt;"Kaybedildi",C965&lt;&gt;""),F965&lt;&gt;""),IF(F965&lt;TODAY(),"Gecikti",IF(F965=TODAY(),"Bugün","")),"")</f>
        <v/>
      </c>
      <c r="K965" s="18" t="str">
        <f aca="true">IF(AND(AND(C965&lt;&gt;"Kazanıldı",C965&lt;&gt;"Kaybedildi",C965&lt;&gt;""),F965&lt;&gt;"",F965&lt;=TODAY()),F965+ROW()/1000000,"")</f>
        <v/>
      </c>
    </row>
    <row r="966" customFormat="false" ht="15" hidden="false" customHeight="false" outlineLevel="0" collapsed="false">
      <c r="A966" s="12"/>
      <c r="B966" s="13"/>
      <c r="C966" s="13"/>
      <c r="D966" s="14"/>
      <c r="E966" s="15"/>
      <c r="F966" s="15"/>
      <c r="G966" s="12"/>
      <c r="H966" s="16" t="str">
        <f aca="false">IF(OR(A966="",C966=""),"",IFERROR(INDEX(Aşamalar!$B$5:$B$12,MATCH(C966,Aşamalar!$A$5:$A$12,0)),0))</f>
        <v/>
      </c>
      <c r="I966" s="17" t="str">
        <f aca="false">IF(H966="","",D966*H966)</f>
        <v/>
      </c>
      <c r="J966" s="18" t="str">
        <f aca="true">IF(AND(AND(C966&lt;&gt;"Kazanıldı",C966&lt;&gt;"Kaybedildi",C966&lt;&gt;""),F966&lt;&gt;""),IF(F966&lt;TODAY(),"Gecikti",IF(F966=TODAY(),"Bugün","")),"")</f>
        <v/>
      </c>
      <c r="K966" s="18" t="str">
        <f aca="true">IF(AND(AND(C966&lt;&gt;"Kazanıldı",C966&lt;&gt;"Kaybedildi",C966&lt;&gt;""),F966&lt;&gt;"",F966&lt;=TODAY()),F966+ROW()/1000000,"")</f>
        <v/>
      </c>
    </row>
    <row r="967" customFormat="false" ht="15" hidden="false" customHeight="false" outlineLevel="0" collapsed="false">
      <c r="A967" s="12"/>
      <c r="B967" s="13"/>
      <c r="C967" s="13"/>
      <c r="D967" s="14"/>
      <c r="E967" s="15"/>
      <c r="F967" s="15"/>
      <c r="G967" s="12"/>
      <c r="H967" s="16" t="str">
        <f aca="false">IF(OR(A967="",C967=""),"",IFERROR(INDEX(Aşamalar!$B$5:$B$12,MATCH(C967,Aşamalar!$A$5:$A$12,0)),0))</f>
        <v/>
      </c>
      <c r="I967" s="17" t="str">
        <f aca="false">IF(H967="","",D967*H967)</f>
        <v/>
      </c>
      <c r="J967" s="18" t="str">
        <f aca="true">IF(AND(AND(C967&lt;&gt;"Kazanıldı",C967&lt;&gt;"Kaybedildi",C967&lt;&gt;""),F967&lt;&gt;""),IF(F967&lt;TODAY(),"Gecikti",IF(F967=TODAY(),"Bugün","")),"")</f>
        <v/>
      </c>
      <c r="K967" s="18" t="str">
        <f aca="true">IF(AND(AND(C967&lt;&gt;"Kazanıldı",C967&lt;&gt;"Kaybedildi",C967&lt;&gt;""),F967&lt;&gt;"",F967&lt;=TODAY()),F967+ROW()/1000000,"")</f>
        <v/>
      </c>
    </row>
    <row r="968" customFormat="false" ht="15" hidden="false" customHeight="false" outlineLevel="0" collapsed="false">
      <c r="A968" s="12"/>
      <c r="B968" s="13"/>
      <c r="C968" s="13"/>
      <c r="D968" s="14"/>
      <c r="E968" s="15"/>
      <c r="F968" s="15"/>
      <c r="G968" s="12"/>
      <c r="H968" s="16" t="str">
        <f aca="false">IF(OR(A968="",C968=""),"",IFERROR(INDEX(Aşamalar!$B$5:$B$12,MATCH(C968,Aşamalar!$A$5:$A$12,0)),0))</f>
        <v/>
      </c>
      <c r="I968" s="17" t="str">
        <f aca="false">IF(H968="","",D968*H968)</f>
        <v/>
      </c>
      <c r="J968" s="18" t="str">
        <f aca="true">IF(AND(AND(C968&lt;&gt;"Kazanıldı",C968&lt;&gt;"Kaybedildi",C968&lt;&gt;""),F968&lt;&gt;""),IF(F968&lt;TODAY(),"Gecikti",IF(F968=TODAY(),"Bugün","")),"")</f>
        <v/>
      </c>
      <c r="K968" s="18" t="str">
        <f aca="true">IF(AND(AND(C968&lt;&gt;"Kazanıldı",C968&lt;&gt;"Kaybedildi",C968&lt;&gt;""),F968&lt;&gt;"",F968&lt;=TODAY()),F968+ROW()/1000000,"")</f>
        <v/>
      </c>
    </row>
    <row r="969" customFormat="false" ht="15" hidden="false" customHeight="false" outlineLevel="0" collapsed="false">
      <c r="A969" s="12"/>
      <c r="B969" s="13"/>
      <c r="C969" s="13"/>
      <c r="D969" s="14"/>
      <c r="E969" s="15"/>
      <c r="F969" s="15"/>
      <c r="G969" s="12"/>
      <c r="H969" s="16" t="str">
        <f aca="false">IF(OR(A969="",C969=""),"",IFERROR(INDEX(Aşamalar!$B$5:$B$12,MATCH(C969,Aşamalar!$A$5:$A$12,0)),0))</f>
        <v/>
      </c>
      <c r="I969" s="17" t="str">
        <f aca="false">IF(H969="","",D969*H969)</f>
        <v/>
      </c>
      <c r="J969" s="18" t="str">
        <f aca="true">IF(AND(AND(C969&lt;&gt;"Kazanıldı",C969&lt;&gt;"Kaybedildi",C969&lt;&gt;""),F969&lt;&gt;""),IF(F969&lt;TODAY(),"Gecikti",IF(F969=TODAY(),"Bugün","")),"")</f>
        <v/>
      </c>
      <c r="K969" s="18" t="str">
        <f aca="true">IF(AND(AND(C969&lt;&gt;"Kazanıldı",C969&lt;&gt;"Kaybedildi",C969&lt;&gt;""),F969&lt;&gt;"",F969&lt;=TODAY()),F969+ROW()/1000000,"")</f>
        <v/>
      </c>
    </row>
    <row r="970" customFormat="false" ht="15" hidden="false" customHeight="false" outlineLevel="0" collapsed="false">
      <c r="A970" s="12"/>
      <c r="B970" s="13"/>
      <c r="C970" s="13"/>
      <c r="D970" s="14"/>
      <c r="E970" s="15"/>
      <c r="F970" s="15"/>
      <c r="G970" s="12"/>
      <c r="H970" s="16" t="str">
        <f aca="false">IF(OR(A970="",C970=""),"",IFERROR(INDEX(Aşamalar!$B$5:$B$12,MATCH(C970,Aşamalar!$A$5:$A$12,0)),0))</f>
        <v/>
      </c>
      <c r="I970" s="17" t="str">
        <f aca="false">IF(H970="","",D970*H970)</f>
        <v/>
      </c>
      <c r="J970" s="18" t="str">
        <f aca="true">IF(AND(AND(C970&lt;&gt;"Kazanıldı",C970&lt;&gt;"Kaybedildi",C970&lt;&gt;""),F970&lt;&gt;""),IF(F970&lt;TODAY(),"Gecikti",IF(F970=TODAY(),"Bugün","")),"")</f>
        <v/>
      </c>
      <c r="K970" s="18" t="str">
        <f aca="true">IF(AND(AND(C970&lt;&gt;"Kazanıldı",C970&lt;&gt;"Kaybedildi",C970&lt;&gt;""),F970&lt;&gt;"",F970&lt;=TODAY()),F970+ROW()/1000000,"")</f>
        <v/>
      </c>
    </row>
    <row r="971" customFormat="false" ht="15" hidden="false" customHeight="false" outlineLevel="0" collapsed="false">
      <c r="A971" s="12"/>
      <c r="B971" s="13"/>
      <c r="C971" s="13"/>
      <c r="D971" s="14"/>
      <c r="E971" s="15"/>
      <c r="F971" s="15"/>
      <c r="G971" s="12"/>
      <c r="H971" s="16" t="str">
        <f aca="false">IF(OR(A971="",C971=""),"",IFERROR(INDEX(Aşamalar!$B$5:$B$12,MATCH(C971,Aşamalar!$A$5:$A$12,0)),0))</f>
        <v/>
      </c>
      <c r="I971" s="17" t="str">
        <f aca="false">IF(H971="","",D971*H971)</f>
        <v/>
      </c>
      <c r="J971" s="18" t="str">
        <f aca="true">IF(AND(AND(C971&lt;&gt;"Kazanıldı",C971&lt;&gt;"Kaybedildi",C971&lt;&gt;""),F971&lt;&gt;""),IF(F971&lt;TODAY(),"Gecikti",IF(F971=TODAY(),"Bugün","")),"")</f>
        <v/>
      </c>
      <c r="K971" s="18" t="str">
        <f aca="true">IF(AND(AND(C971&lt;&gt;"Kazanıldı",C971&lt;&gt;"Kaybedildi",C971&lt;&gt;""),F971&lt;&gt;"",F971&lt;=TODAY()),F971+ROW()/1000000,"")</f>
        <v/>
      </c>
    </row>
    <row r="972" customFormat="false" ht="15" hidden="false" customHeight="false" outlineLevel="0" collapsed="false">
      <c r="A972" s="12"/>
      <c r="B972" s="13"/>
      <c r="C972" s="13"/>
      <c r="D972" s="14"/>
      <c r="E972" s="15"/>
      <c r="F972" s="15"/>
      <c r="G972" s="12"/>
      <c r="H972" s="16" t="str">
        <f aca="false">IF(OR(A972="",C972=""),"",IFERROR(INDEX(Aşamalar!$B$5:$B$12,MATCH(C972,Aşamalar!$A$5:$A$12,0)),0))</f>
        <v/>
      </c>
      <c r="I972" s="17" t="str">
        <f aca="false">IF(H972="","",D972*H972)</f>
        <v/>
      </c>
      <c r="J972" s="18" t="str">
        <f aca="true">IF(AND(AND(C972&lt;&gt;"Kazanıldı",C972&lt;&gt;"Kaybedildi",C972&lt;&gt;""),F972&lt;&gt;""),IF(F972&lt;TODAY(),"Gecikti",IF(F972=TODAY(),"Bugün","")),"")</f>
        <v/>
      </c>
      <c r="K972" s="18" t="str">
        <f aca="true">IF(AND(AND(C972&lt;&gt;"Kazanıldı",C972&lt;&gt;"Kaybedildi",C972&lt;&gt;""),F972&lt;&gt;"",F972&lt;=TODAY()),F972+ROW()/1000000,"")</f>
        <v/>
      </c>
    </row>
    <row r="973" customFormat="false" ht="15" hidden="false" customHeight="false" outlineLevel="0" collapsed="false">
      <c r="A973" s="12"/>
      <c r="B973" s="13"/>
      <c r="C973" s="13"/>
      <c r="D973" s="14"/>
      <c r="E973" s="15"/>
      <c r="F973" s="15"/>
      <c r="G973" s="12"/>
      <c r="H973" s="16" t="str">
        <f aca="false">IF(OR(A973="",C973=""),"",IFERROR(INDEX(Aşamalar!$B$5:$B$12,MATCH(C973,Aşamalar!$A$5:$A$12,0)),0))</f>
        <v/>
      </c>
      <c r="I973" s="17" t="str">
        <f aca="false">IF(H973="","",D973*H973)</f>
        <v/>
      </c>
      <c r="J973" s="18" t="str">
        <f aca="true">IF(AND(AND(C973&lt;&gt;"Kazanıldı",C973&lt;&gt;"Kaybedildi",C973&lt;&gt;""),F973&lt;&gt;""),IF(F973&lt;TODAY(),"Gecikti",IF(F973=TODAY(),"Bugün","")),"")</f>
        <v/>
      </c>
      <c r="K973" s="18" t="str">
        <f aca="true">IF(AND(AND(C973&lt;&gt;"Kazanıldı",C973&lt;&gt;"Kaybedildi",C973&lt;&gt;""),F973&lt;&gt;"",F973&lt;=TODAY()),F973+ROW()/1000000,"")</f>
        <v/>
      </c>
    </row>
    <row r="974" customFormat="false" ht="15" hidden="false" customHeight="false" outlineLevel="0" collapsed="false">
      <c r="A974" s="12"/>
      <c r="B974" s="13"/>
      <c r="C974" s="13"/>
      <c r="D974" s="14"/>
      <c r="E974" s="15"/>
      <c r="F974" s="15"/>
      <c r="G974" s="12"/>
      <c r="H974" s="16" t="str">
        <f aca="false">IF(OR(A974="",C974=""),"",IFERROR(INDEX(Aşamalar!$B$5:$B$12,MATCH(C974,Aşamalar!$A$5:$A$12,0)),0))</f>
        <v/>
      </c>
      <c r="I974" s="17" t="str">
        <f aca="false">IF(H974="","",D974*H974)</f>
        <v/>
      </c>
      <c r="J974" s="18" t="str">
        <f aca="true">IF(AND(AND(C974&lt;&gt;"Kazanıldı",C974&lt;&gt;"Kaybedildi",C974&lt;&gt;""),F974&lt;&gt;""),IF(F974&lt;TODAY(),"Gecikti",IF(F974=TODAY(),"Bugün","")),"")</f>
        <v/>
      </c>
      <c r="K974" s="18" t="str">
        <f aca="true">IF(AND(AND(C974&lt;&gt;"Kazanıldı",C974&lt;&gt;"Kaybedildi",C974&lt;&gt;""),F974&lt;&gt;"",F974&lt;=TODAY()),F974+ROW()/1000000,"")</f>
        <v/>
      </c>
    </row>
    <row r="975" customFormat="false" ht="15" hidden="false" customHeight="false" outlineLevel="0" collapsed="false">
      <c r="A975" s="12"/>
      <c r="B975" s="13"/>
      <c r="C975" s="13"/>
      <c r="D975" s="14"/>
      <c r="E975" s="15"/>
      <c r="F975" s="15"/>
      <c r="G975" s="12"/>
      <c r="H975" s="16" t="str">
        <f aca="false">IF(OR(A975="",C975=""),"",IFERROR(INDEX(Aşamalar!$B$5:$B$12,MATCH(C975,Aşamalar!$A$5:$A$12,0)),0))</f>
        <v/>
      </c>
      <c r="I975" s="17" t="str">
        <f aca="false">IF(H975="","",D975*H975)</f>
        <v/>
      </c>
      <c r="J975" s="18" t="str">
        <f aca="true">IF(AND(AND(C975&lt;&gt;"Kazanıldı",C975&lt;&gt;"Kaybedildi",C975&lt;&gt;""),F975&lt;&gt;""),IF(F975&lt;TODAY(),"Gecikti",IF(F975=TODAY(),"Bugün","")),"")</f>
        <v/>
      </c>
      <c r="K975" s="18" t="str">
        <f aca="true">IF(AND(AND(C975&lt;&gt;"Kazanıldı",C975&lt;&gt;"Kaybedildi",C975&lt;&gt;""),F975&lt;&gt;"",F975&lt;=TODAY()),F975+ROW()/1000000,"")</f>
        <v/>
      </c>
    </row>
    <row r="976" customFormat="false" ht="15" hidden="false" customHeight="false" outlineLevel="0" collapsed="false">
      <c r="A976" s="12"/>
      <c r="B976" s="13"/>
      <c r="C976" s="13"/>
      <c r="D976" s="14"/>
      <c r="E976" s="15"/>
      <c r="F976" s="15"/>
      <c r="G976" s="12"/>
      <c r="H976" s="16" t="str">
        <f aca="false">IF(OR(A976="",C976=""),"",IFERROR(INDEX(Aşamalar!$B$5:$B$12,MATCH(C976,Aşamalar!$A$5:$A$12,0)),0))</f>
        <v/>
      </c>
      <c r="I976" s="17" t="str">
        <f aca="false">IF(H976="","",D976*H976)</f>
        <v/>
      </c>
      <c r="J976" s="18" t="str">
        <f aca="true">IF(AND(AND(C976&lt;&gt;"Kazanıldı",C976&lt;&gt;"Kaybedildi",C976&lt;&gt;""),F976&lt;&gt;""),IF(F976&lt;TODAY(),"Gecikti",IF(F976=TODAY(),"Bugün","")),"")</f>
        <v/>
      </c>
      <c r="K976" s="18" t="str">
        <f aca="true">IF(AND(AND(C976&lt;&gt;"Kazanıldı",C976&lt;&gt;"Kaybedildi",C976&lt;&gt;""),F976&lt;&gt;"",F976&lt;=TODAY()),F976+ROW()/1000000,"")</f>
        <v/>
      </c>
    </row>
    <row r="977" customFormat="false" ht="15" hidden="false" customHeight="false" outlineLevel="0" collapsed="false">
      <c r="A977" s="12"/>
      <c r="B977" s="13"/>
      <c r="C977" s="13"/>
      <c r="D977" s="14"/>
      <c r="E977" s="15"/>
      <c r="F977" s="15"/>
      <c r="G977" s="12"/>
      <c r="H977" s="16" t="str">
        <f aca="false">IF(OR(A977="",C977=""),"",IFERROR(INDEX(Aşamalar!$B$5:$B$12,MATCH(C977,Aşamalar!$A$5:$A$12,0)),0))</f>
        <v/>
      </c>
      <c r="I977" s="17" t="str">
        <f aca="false">IF(H977="","",D977*H977)</f>
        <v/>
      </c>
      <c r="J977" s="18" t="str">
        <f aca="true">IF(AND(AND(C977&lt;&gt;"Kazanıldı",C977&lt;&gt;"Kaybedildi",C977&lt;&gt;""),F977&lt;&gt;""),IF(F977&lt;TODAY(),"Gecikti",IF(F977=TODAY(),"Bugün","")),"")</f>
        <v/>
      </c>
      <c r="K977" s="18" t="str">
        <f aca="true">IF(AND(AND(C977&lt;&gt;"Kazanıldı",C977&lt;&gt;"Kaybedildi",C977&lt;&gt;""),F977&lt;&gt;"",F977&lt;=TODAY()),F977+ROW()/1000000,"")</f>
        <v/>
      </c>
    </row>
    <row r="978" customFormat="false" ht="15" hidden="false" customHeight="false" outlineLevel="0" collapsed="false">
      <c r="A978" s="12"/>
      <c r="B978" s="13"/>
      <c r="C978" s="13"/>
      <c r="D978" s="14"/>
      <c r="E978" s="15"/>
      <c r="F978" s="15"/>
      <c r="G978" s="12"/>
      <c r="H978" s="16" t="str">
        <f aca="false">IF(OR(A978="",C978=""),"",IFERROR(INDEX(Aşamalar!$B$5:$B$12,MATCH(C978,Aşamalar!$A$5:$A$12,0)),0))</f>
        <v/>
      </c>
      <c r="I978" s="17" t="str">
        <f aca="false">IF(H978="","",D978*H978)</f>
        <v/>
      </c>
      <c r="J978" s="18" t="str">
        <f aca="true">IF(AND(AND(C978&lt;&gt;"Kazanıldı",C978&lt;&gt;"Kaybedildi",C978&lt;&gt;""),F978&lt;&gt;""),IF(F978&lt;TODAY(),"Gecikti",IF(F978=TODAY(),"Bugün","")),"")</f>
        <v/>
      </c>
      <c r="K978" s="18" t="str">
        <f aca="true">IF(AND(AND(C978&lt;&gt;"Kazanıldı",C978&lt;&gt;"Kaybedildi",C978&lt;&gt;""),F978&lt;&gt;"",F978&lt;=TODAY()),F978+ROW()/1000000,"")</f>
        <v/>
      </c>
    </row>
    <row r="979" customFormat="false" ht="15" hidden="false" customHeight="false" outlineLevel="0" collapsed="false">
      <c r="A979" s="12"/>
      <c r="B979" s="13"/>
      <c r="C979" s="13"/>
      <c r="D979" s="14"/>
      <c r="E979" s="15"/>
      <c r="F979" s="15"/>
      <c r="G979" s="12"/>
      <c r="H979" s="16" t="str">
        <f aca="false">IF(OR(A979="",C979=""),"",IFERROR(INDEX(Aşamalar!$B$5:$B$12,MATCH(C979,Aşamalar!$A$5:$A$12,0)),0))</f>
        <v/>
      </c>
      <c r="I979" s="17" t="str">
        <f aca="false">IF(H979="","",D979*H979)</f>
        <v/>
      </c>
      <c r="J979" s="18" t="str">
        <f aca="true">IF(AND(AND(C979&lt;&gt;"Kazanıldı",C979&lt;&gt;"Kaybedildi",C979&lt;&gt;""),F979&lt;&gt;""),IF(F979&lt;TODAY(),"Gecikti",IF(F979=TODAY(),"Bugün","")),"")</f>
        <v/>
      </c>
      <c r="K979" s="18" t="str">
        <f aca="true">IF(AND(AND(C979&lt;&gt;"Kazanıldı",C979&lt;&gt;"Kaybedildi",C979&lt;&gt;""),F979&lt;&gt;"",F979&lt;=TODAY()),F979+ROW()/1000000,"")</f>
        <v/>
      </c>
    </row>
    <row r="980" customFormat="false" ht="15" hidden="false" customHeight="false" outlineLevel="0" collapsed="false">
      <c r="A980" s="12"/>
      <c r="B980" s="13"/>
      <c r="C980" s="13"/>
      <c r="D980" s="14"/>
      <c r="E980" s="15"/>
      <c r="F980" s="15"/>
      <c r="G980" s="12"/>
      <c r="H980" s="16" t="str">
        <f aca="false">IF(OR(A980="",C980=""),"",IFERROR(INDEX(Aşamalar!$B$5:$B$12,MATCH(C980,Aşamalar!$A$5:$A$12,0)),0))</f>
        <v/>
      </c>
      <c r="I980" s="17" t="str">
        <f aca="false">IF(H980="","",D980*H980)</f>
        <v/>
      </c>
      <c r="J980" s="18" t="str">
        <f aca="true">IF(AND(AND(C980&lt;&gt;"Kazanıldı",C980&lt;&gt;"Kaybedildi",C980&lt;&gt;""),F980&lt;&gt;""),IF(F980&lt;TODAY(),"Gecikti",IF(F980=TODAY(),"Bugün","")),"")</f>
        <v/>
      </c>
      <c r="K980" s="18" t="str">
        <f aca="true">IF(AND(AND(C980&lt;&gt;"Kazanıldı",C980&lt;&gt;"Kaybedildi",C980&lt;&gt;""),F980&lt;&gt;"",F980&lt;=TODAY()),F980+ROW()/1000000,"")</f>
        <v/>
      </c>
    </row>
    <row r="981" customFormat="false" ht="15" hidden="false" customHeight="false" outlineLevel="0" collapsed="false">
      <c r="A981" s="12"/>
      <c r="B981" s="13"/>
      <c r="C981" s="13"/>
      <c r="D981" s="14"/>
      <c r="E981" s="15"/>
      <c r="F981" s="15"/>
      <c r="G981" s="12"/>
      <c r="H981" s="16" t="str">
        <f aca="false">IF(OR(A981="",C981=""),"",IFERROR(INDEX(Aşamalar!$B$5:$B$12,MATCH(C981,Aşamalar!$A$5:$A$12,0)),0))</f>
        <v/>
      </c>
      <c r="I981" s="17" t="str">
        <f aca="false">IF(H981="","",D981*H981)</f>
        <v/>
      </c>
      <c r="J981" s="18" t="str">
        <f aca="true">IF(AND(AND(C981&lt;&gt;"Kazanıldı",C981&lt;&gt;"Kaybedildi",C981&lt;&gt;""),F981&lt;&gt;""),IF(F981&lt;TODAY(),"Gecikti",IF(F981=TODAY(),"Bugün","")),"")</f>
        <v/>
      </c>
      <c r="K981" s="18" t="str">
        <f aca="true">IF(AND(AND(C981&lt;&gt;"Kazanıldı",C981&lt;&gt;"Kaybedildi",C981&lt;&gt;""),F981&lt;&gt;"",F981&lt;=TODAY()),F981+ROW()/1000000,"")</f>
        <v/>
      </c>
    </row>
    <row r="982" customFormat="false" ht="15" hidden="false" customHeight="false" outlineLevel="0" collapsed="false">
      <c r="A982" s="12"/>
      <c r="B982" s="13"/>
      <c r="C982" s="13"/>
      <c r="D982" s="14"/>
      <c r="E982" s="15"/>
      <c r="F982" s="15"/>
      <c r="G982" s="12"/>
      <c r="H982" s="16" t="str">
        <f aca="false">IF(OR(A982="",C982=""),"",IFERROR(INDEX(Aşamalar!$B$5:$B$12,MATCH(C982,Aşamalar!$A$5:$A$12,0)),0))</f>
        <v/>
      </c>
      <c r="I982" s="17" t="str">
        <f aca="false">IF(H982="","",D982*H982)</f>
        <v/>
      </c>
      <c r="J982" s="18" t="str">
        <f aca="true">IF(AND(AND(C982&lt;&gt;"Kazanıldı",C982&lt;&gt;"Kaybedildi",C982&lt;&gt;""),F982&lt;&gt;""),IF(F982&lt;TODAY(),"Gecikti",IF(F982=TODAY(),"Bugün","")),"")</f>
        <v/>
      </c>
      <c r="K982" s="18" t="str">
        <f aca="true">IF(AND(AND(C982&lt;&gt;"Kazanıldı",C982&lt;&gt;"Kaybedildi",C982&lt;&gt;""),F982&lt;&gt;"",F982&lt;=TODAY()),F982+ROW()/1000000,"")</f>
        <v/>
      </c>
    </row>
    <row r="983" customFormat="false" ht="15" hidden="false" customHeight="false" outlineLevel="0" collapsed="false">
      <c r="A983" s="12"/>
      <c r="B983" s="13"/>
      <c r="C983" s="13"/>
      <c r="D983" s="14"/>
      <c r="E983" s="15"/>
      <c r="F983" s="15"/>
      <c r="G983" s="12"/>
      <c r="H983" s="16" t="str">
        <f aca="false">IF(OR(A983="",C983=""),"",IFERROR(INDEX(Aşamalar!$B$5:$B$12,MATCH(C983,Aşamalar!$A$5:$A$12,0)),0))</f>
        <v/>
      </c>
      <c r="I983" s="17" t="str">
        <f aca="false">IF(H983="","",D983*H983)</f>
        <v/>
      </c>
      <c r="J983" s="18" t="str">
        <f aca="true">IF(AND(AND(C983&lt;&gt;"Kazanıldı",C983&lt;&gt;"Kaybedildi",C983&lt;&gt;""),F983&lt;&gt;""),IF(F983&lt;TODAY(),"Gecikti",IF(F983=TODAY(),"Bugün","")),"")</f>
        <v/>
      </c>
      <c r="K983" s="18" t="str">
        <f aca="true">IF(AND(AND(C983&lt;&gt;"Kazanıldı",C983&lt;&gt;"Kaybedildi",C983&lt;&gt;""),F983&lt;&gt;"",F983&lt;=TODAY()),F983+ROW()/1000000,"")</f>
        <v/>
      </c>
    </row>
    <row r="984" customFormat="false" ht="15" hidden="false" customHeight="false" outlineLevel="0" collapsed="false">
      <c r="A984" s="12"/>
      <c r="B984" s="13"/>
      <c r="C984" s="13"/>
      <c r="D984" s="14"/>
      <c r="E984" s="15"/>
      <c r="F984" s="15"/>
      <c r="G984" s="12"/>
      <c r="H984" s="16" t="str">
        <f aca="false">IF(OR(A984="",C984=""),"",IFERROR(INDEX(Aşamalar!$B$5:$B$12,MATCH(C984,Aşamalar!$A$5:$A$12,0)),0))</f>
        <v/>
      </c>
      <c r="I984" s="17" t="str">
        <f aca="false">IF(H984="","",D984*H984)</f>
        <v/>
      </c>
      <c r="J984" s="18" t="str">
        <f aca="true">IF(AND(AND(C984&lt;&gt;"Kazanıldı",C984&lt;&gt;"Kaybedildi",C984&lt;&gt;""),F984&lt;&gt;""),IF(F984&lt;TODAY(),"Gecikti",IF(F984=TODAY(),"Bugün","")),"")</f>
        <v/>
      </c>
      <c r="K984" s="18" t="str">
        <f aca="true">IF(AND(AND(C984&lt;&gt;"Kazanıldı",C984&lt;&gt;"Kaybedildi",C984&lt;&gt;""),F984&lt;&gt;"",F984&lt;=TODAY()),F984+ROW()/1000000,"")</f>
        <v/>
      </c>
    </row>
    <row r="985" customFormat="false" ht="15" hidden="false" customHeight="false" outlineLevel="0" collapsed="false">
      <c r="A985" s="12"/>
      <c r="B985" s="13"/>
      <c r="C985" s="13"/>
      <c r="D985" s="14"/>
      <c r="E985" s="15"/>
      <c r="F985" s="15"/>
      <c r="G985" s="12"/>
      <c r="H985" s="16" t="str">
        <f aca="false">IF(OR(A985="",C985=""),"",IFERROR(INDEX(Aşamalar!$B$5:$B$12,MATCH(C985,Aşamalar!$A$5:$A$12,0)),0))</f>
        <v/>
      </c>
      <c r="I985" s="17" t="str">
        <f aca="false">IF(H985="","",D985*H985)</f>
        <v/>
      </c>
      <c r="J985" s="18" t="str">
        <f aca="true">IF(AND(AND(C985&lt;&gt;"Kazanıldı",C985&lt;&gt;"Kaybedildi",C985&lt;&gt;""),F985&lt;&gt;""),IF(F985&lt;TODAY(),"Gecikti",IF(F985=TODAY(),"Bugün","")),"")</f>
        <v/>
      </c>
      <c r="K985" s="18" t="str">
        <f aca="true">IF(AND(AND(C985&lt;&gt;"Kazanıldı",C985&lt;&gt;"Kaybedildi",C985&lt;&gt;""),F985&lt;&gt;"",F985&lt;=TODAY()),F985+ROW()/1000000,"")</f>
        <v/>
      </c>
    </row>
    <row r="986" customFormat="false" ht="15" hidden="false" customHeight="false" outlineLevel="0" collapsed="false">
      <c r="A986" s="12"/>
      <c r="B986" s="13"/>
      <c r="C986" s="13"/>
      <c r="D986" s="14"/>
      <c r="E986" s="15"/>
      <c r="F986" s="15"/>
      <c r="G986" s="12"/>
      <c r="H986" s="16" t="str">
        <f aca="false">IF(OR(A986="",C986=""),"",IFERROR(INDEX(Aşamalar!$B$5:$B$12,MATCH(C986,Aşamalar!$A$5:$A$12,0)),0))</f>
        <v/>
      </c>
      <c r="I986" s="17" t="str">
        <f aca="false">IF(H986="","",D986*H986)</f>
        <v/>
      </c>
      <c r="J986" s="18" t="str">
        <f aca="true">IF(AND(AND(C986&lt;&gt;"Kazanıldı",C986&lt;&gt;"Kaybedildi",C986&lt;&gt;""),F986&lt;&gt;""),IF(F986&lt;TODAY(),"Gecikti",IF(F986=TODAY(),"Bugün","")),"")</f>
        <v/>
      </c>
      <c r="K986" s="18" t="str">
        <f aca="true">IF(AND(AND(C986&lt;&gt;"Kazanıldı",C986&lt;&gt;"Kaybedildi",C986&lt;&gt;""),F986&lt;&gt;"",F986&lt;=TODAY()),F986+ROW()/1000000,"")</f>
        <v/>
      </c>
    </row>
    <row r="987" customFormat="false" ht="15" hidden="false" customHeight="false" outlineLevel="0" collapsed="false">
      <c r="A987" s="12"/>
      <c r="B987" s="13"/>
      <c r="C987" s="13"/>
      <c r="D987" s="14"/>
      <c r="E987" s="15"/>
      <c r="F987" s="15"/>
      <c r="G987" s="12"/>
      <c r="H987" s="16" t="str">
        <f aca="false">IF(OR(A987="",C987=""),"",IFERROR(INDEX(Aşamalar!$B$5:$B$12,MATCH(C987,Aşamalar!$A$5:$A$12,0)),0))</f>
        <v/>
      </c>
      <c r="I987" s="17" t="str">
        <f aca="false">IF(H987="","",D987*H987)</f>
        <v/>
      </c>
      <c r="J987" s="18" t="str">
        <f aca="true">IF(AND(AND(C987&lt;&gt;"Kazanıldı",C987&lt;&gt;"Kaybedildi",C987&lt;&gt;""),F987&lt;&gt;""),IF(F987&lt;TODAY(),"Gecikti",IF(F987=TODAY(),"Bugün","")),"")</f>
        <v/>
      </c>
      <c r="K987" s="18" t="str">
        <f aca="true">IF(AND(AND(C987&lt;&gt;"Kazanıldı",C987&lt;&gt;"Kaybedildi",C987&lt;&gt;""),F987&lt;&gt;"",F987&lt;=TODAY()),F987+ROW()/1000000,"")</f>
        <v/>
      </c>
    </row>
    <row r="988" customFormat="false" ht="15" hidden="false" customHeight="false" outlineLevel="0" collapsed="false">
      <c r="A988" s="12"/>
      <c r="B988" s="13"/>
      <c r="C988" s="13"/>
      <c r="D988" s="14"/>
      <c r="E988" s="15"/>
      <c r="F988" s="15"/>
      <c r="G988" s="12"/>
      <c r="H988" s="16" t="str">
        <f aca="false">IF(OR(A988="",C988=""),"",IFERROR(INDEX(Aşamalar!$B$5:$B$12,MATCH(C988,Aşamalar!$A$5:$A$12,0)),0))</f>
        <v/>
      </c>
      <c r="I988" s="17" t="str">
        <f aca="false">IF(H988="","",D988*H988)</f>
        <v/>
      </c>
      <c r="J988" s="18" t="str">
        <f aca="true">IF(AND(AND(C988&lt;&gt;"Kazanıldı",C988&lt;&gt;"Kaybedildi",C988&lt;&gt;""),F988&lt;&gt;""),IF(F988&lt;TODAY(),"Gecikti",IF(F988=TODAY(),"Bugün","")),"")</f>
        <v/>
      </c>
      <c r="K988" s="18" t="str">
        <f aca="true">IF(AND(AND(C988&lt;&gt;"Kazanıldı",C988&lt;&gt;"Kaybedildi",C988&lt;&gt;""),F988&lt;&gt;"",F988&lt;=TODAY()),F988+ROW()/1000000,"")</f>
        <v/>
      </c>
    </row>
    <row r="989" customFormat="false" ht="15" hidden="false" customHeight="false" outlineLevel="0" collapsed="false">
      <c r="A989" s="12"/>
      <c r="B989" s="13"/>
      <c r="C989" s="13"/>
      <c r="D989" s="14"/>
      <c r="E989" s="15"/>
      <c r="F989" s="15"/>
      <c r="G989" s="12"/>
      <c r="H989" s="16" t="str">
        <f aca="false">IF(OR(A989="",C989=""),"",IFERROR(INDEX(Aşamalar!$B$5:$B$12,MATCH(C989,Aşamalar!$A$5:$A$12,0)),0))</f>
        <v/>
      </c>
      <c r="I989" s="17" t="str">
        <f aca="false">IF(H989="","",D989*H989)</f>
        <v/>
      </c>
      <c r="J989" s="18" t="str">
        <f aca="true">IF(AND(AND(C989&lt;&gt;"Kazanıldı",C989&lt;&gt;"Kaybedildi",C989&lt;&gt;""),F989&lt;&gt;""),IF(F989&lt;TODAY(),"Gecikti",IF(F989=TODAY(),"Bugün","")),"")</f>
        <v/>
      </c>
      <c r="K989" s="18" t="str">
        <f aca="true">IF(AND(AND(C989&lt;&gt;"Kazanıldı",C989&lt;&gt;"Kaybedildi",C989&lt;&gt;""),F989&lt;&gt;"",F989&lt;=TODAY()),F989+ROW()/1000000,"")</f>
        <v/>
      </c>
    </row>
    <row r="990" customFormat="false" ht="15" hidden="false" customHeight="false" outlineLevel="0" collapsed="false">
      <c r="A990" s="12"/>
      <c r="B990" s="13"/>
      <c r="C990" s="13"/>
      <c r="D990" s="14"/>
      <c r="E990" s="15"/>
      <c r="F990" s="15"/>
      <c r="G990" s="12"/>
      <c r="H990" s="16" t="str">
        <f aca="false">IF(OR(A990="",C990=""),"",IFERROR(INDEX(Aşamalar!$B$5:$B$12,MATCH(C990,Aşamalar!$A$5:$A$12,0)),0))</f>
        <v/>
      </c>
      <c r="I990" s="17" t="str">
        <f aca="false">IF(H990="","",D990*H990)</f>
        <v/>
      </c>
      <c r="J990" s="18" t="str">
        <f aca="true">IF(AND(AND(C990&lt;&gt;"Kazanıldı",C990&lt;&gt;"Kaybedildi",C990&lt;&gt;""),F990&lt;&gt;""),IF(F990&lt;TODAY(),"Gecikti",IF(F990=TODAY(),"Bugün","")),"")</f>
        <v/>
      </c>
      <c r="K990" s="18" t="str">
        <f aca="true">IF(AND(AND(C990&lt;&gt;"Kazanıldı",C990&lt;&gt;"Kaybedildi",C990&lt;&gt;""),F990&lt;&gt;"",F990&lt;=TODAY()),F990+ROW()/1000000,"")</f>
        <v/>
      </c>
    </row>
    <row r="991" customFormat="false" ht="15" hidden="false" customHeight="false" outlineLevel="0" collapsed="false">
      <c r="A991" s="12"/>
      <c r="B991" s="13"/>
      <c r="C991" s="13"/>
      <c r="D991" s="14"/>
      <c r="E991" s="15"/>
      <c r="F991" s="15"/>
      <c r="G991" s="12"/>
      <c r="H991" s="16" t="str">
        <f aca="false">IF(OR(A991="",C991=""),"",IFERROR(INDEX(Aşamalar!$B$5:$B$12,MATCH(C991,Aşamalar!$A$5:$A$12,0)),0))</f>
        <v/>
      </c>
      <c r="I991" s="17" t="str">
        <f aca="false">IF(H991="","",D991*H991)</f>
        <v/>
      </c>
      <c r="J991" s="18" t="str">
        <f aca="true">IF(AND(AND(C991&lt;&gt;"Kazanıldı",C991&lt;&gt;"Kaybedildi",C991&lt;&gt;""),F991&lt;&gt;""),IF(F991&lt;TODAY(),"Gecikti",IF(F991=TODAY(),"Bugün","")),"")</f>
        <v/>
      </c>
      <c r="K991" s="18" t="str">
        <f aca="true">IF(AND(AND(C991&lt;&gt;"Kazanıldı",C991&lt;&gt;"Kaybedildi",C991&lt;&gt;""),F991&lt;&gt;"",F991&lt;=TODAY()),F991+ROW()/1000000,"")</f>
        <v/>
      </c>
    </row>
    <row r="992" customFormat="false" ht="15" hidden="false" customHeight="false" outlineLevel="0" collapsed="false">
      <c r="A992" s="12"/>
      <c r="B992" s="13"/>
      <c r="C992" s="13"/>
      <c r="D992" s="14"/>
      <c r="E992" s="15"/>
      <c r="F992" s="15"/>
      <c r="G992" s="12"/>
      <c r="H992" s="16" t="str">
        <f aca="false">IF(OR(A992="",C992=""),"",IFERROR(INDEX(Aşamalar!$B$5:$B$12,MATCH(C992,Aşamalar!$A$5:$A$12,0)),0))</f>
        <v/>
      </c>
      <c r="I992" s="17" t="str">
        <f aca="false">IF(H992="","",D992*H992)</f>
        <v/>
      </c>
      <c r="J992" s="18" t="str">
        <f aca="true">IF(AND(AND(C992&lt;&gt;"Kazanıldı",C992&lt;&gt;"Kaybedildi",C992&lt;&gt;""),F992&lt;&gt;""),IF(F992&lt;TODAY(),"Gecikti",IF(F992=TODAY(),"Bugün","")),"")</f>
        <v/>
      </c>
      <c r="K992" s="18" t="str">
        <f aca="true">IF(AND(AND(C992&lt;&gt;"Kazanıldı",C992&lt;&gt;"Kaybedildi",C992&lt;&gt;""),F992&lt;&gt;"",F992&lt;=TODAY()),F992+ROW()/1000000,"")</f>
        <v/>
      </c>
    </row>
    <row r="993" customFormat="false" ht="15" hidden="false" customHeight="false" outlineLevel="0" collapsed="false">
      <c r="A993" s="12"/>
      <c r="B993" s="13"/>
      <c r="C993" s="13"/>
      <c r="D993" s="14"/>
      <c r="E993" s="15"/>
      <c r="F993" s="15"/>
      <c r="G993" s="12"/>
      <c r="H993" s="16" t="str">
        <f aca="false">IF(OR(A993="",C993=""),"",IFERROR(INDEX(Aşamalar!$B$5:$B$12,MATCH(C993,Aşamalar!$A$5:$A$12,0)),0))</f>
        <v/>
      </c>
      <c r="I993" s="17" t="str">
        <f aca="false">IF(H993="","",D993*H993)</f>
        <v/>
      </c>
      <c r="J993" s="18" t="str">
        <f aca="true">IF(AND(AND(C993&lt;&gt;"Kazanıldı",C993&lt;&gt;"Kaybedildi",C993&lt;&gt;""),F993&lt;&gt;""),IF(F993&lt;TODAY(),"Gecikti",IF(F993=TODAY(),"Bugün","")),"")</f>
        <v/>
      </c>
      <c r="K993" s="18" t="str">
        <f aca="true">IF(AND(AND(C993&lt;&gt;"Kazanıldı",C993&lt;&gt;"Kaybedildi",C993&lt;&gt;""),F993&lt;&gt;"",F993&lt;=TODAY()),F993+ROW()/1000000,"")</f>
        <v/>
      </c>
    </row>
    <row r="994" customFormat="false" ht="15" hidden="false" customHeight="false" outlineLevel="0" collapsed="false">
      <c r="A994" s="12"/>
      <c r="B994" s="13"/>
      <c r="C994" s="13"/>
      <c r="D994" s="14"/>
      <c r="E994" s="15"/>
      <c r="F994" s="15"/>
      <c r="G994" s="12"/>
      <c r="H994" s="16" t="str">
        <f aca="false">IF(OR(A994="",C994=""),"",IFERROR(INDEX(Aşamalar!$B$5:$B$12,MATCH(C994,Aşamalar!$A$5:$A$12,0)),0))</f>
        <v/>
      </c>
      <c r="I994" s="17" t="str">
        <f aca="false">IF(H994="","",D994*H994)</f>
        <v/>
      </c>
      <c r="J994" s="18" t="str">
        <f aca="true">IF(AND(AND(C994&lt;&gt;"Kazanıldı",C994&lt;&gt;"Kaybedildi",C994&lt;&gt;""),F994&lt;&gt;""),IF(F994&lt;TODAY(),"Gecikti",IF(F994=TODAY(),"Bugün","")),"")</f>
        <v/>
      </c>
      <c r="K994" s="18" t="str">
        <f aca="true">IF(AND(AND(C994&lt;&gt;"Kazanıldı",C994&lt;&gt;"Kaybedildi",C994&lt;&gt;""),F994&lt;&gt;"",F994&lt;=TODAY()),F994+ROW()/1000000,"")</f>
        <v/>
      </c>
    </row>
    <row r="995" customFormat="false" ht="15" hidden="false" customHeight="false" outlineLevel="0" collapsed="false">
      <c r="A995" s="12"/>
      <c r="B995" s="13"/>
      <c r="C995" s="13"/>
      <c r="D995" s="14"/>
      <c r="E995" s="15"/>
      <c r="F995" s="15"/>
      <c r="G995" s="12"/>
      <c r="H995" s="16" t="str">
        <f aca="false">IF(OR(A995="",C995=""),"",IFERROR(INDEX(Aşamalar!$B$5:$B$12,MATCH(C995,Aşamalar!$A$5:$A$12,0)),0))</f>
        <v/>
      </c>
      <c r="I995" s="17" t="str">
        <f aca="false">IF(H995="","",D995*H995)</f>
        <v/>
      </c>
      <c r="J995" s="18" t="str">
        <f aca="true">IF(AND(AND(C995&lt;&gt;"Kazanıldı",C995&lt;&gt;"Kaybedildi",C995&lt;&gt;""),F995&lt;&gt;""),IF(F995&lt;TODAY(),"Gecikti",IF(F995=TODAY(),"Bugün","")),"")</f>
        <v/>
      </c>
      <c r="K995" s="18" t="str">
        <f aca="true">IF(AND(AND(C995&lt;&gt;"Kazanıldı",C995&lt;&gt;"Kaybedildi",C995&lt;&gt;""),F995&lt;&gt;"",F995&lt;=TODAY()),F995+ROW()/1000000,"")</f>
        <v/>
      </c>
    </row>
    <row r="996" customFormat="false" ht="15" hidden="false" customHeight="false" outlineLevel="0" collapsed="false">
      <c r="A996" s="12"/>
      <c r="B996" s="13"/>
      <c r="C996" s="13"/>
      <c r="D996" s="14"/>
      <c r="E996" s="15"/>
      <c r="F996" s="15"/>
      <c r="G996" s="12"/>
      <c r="H996" s="16" t="str">
        <f aca="false">IF(OR(A996="",C996=""),"",IFERROR(INDEX(Aşamalar!$B$5:$B$12,MATCH(C996,Aşamalar!$A$5:$A$12,0)),0))</f>
        <v/>
      </c>
      <c r="I996" s="17" t="str">
        <f aca="false">IF(H996="","",D996*H996)</f>
        <v/>
      </c>
      <c r="J996" s="18" t="str">
        <f aca="true">IF(AND(AND(C996&lt;&gt;"Kazanıldı",C996&lt;&gt;"Kaybedildi",C996&lt;&gt;""),F996&lt;&gt;""),IF(F996&lt;TODAY(),"Gecikti",IF(F996=TODAY(),"Bugün","")),"")</f>
        <v/>
      </c>
      <c r="K996" s="18" t="str">
        <f aca="true">IF(AND(AND(C996&lt;&gt;"Kazanıldı",C996&lt;&gt;"Kaybedildi",C996&lt;&gt;""),F996&lt;&gt;"",F996&lt;=TODAY()),F996+ROW()/1000000,"")</f>
        <v/>
      </c>
    </row>
    <row r="997" customFormat="false" ht="15" hidden="false" customHeight="false" outlineLevel="0" collapsed="false">
      <c r="A997" s="12"/>
      <c r="B997" s="13"/>
      <c r="C997" s="13"/>
      <c r="D997" s="14"/>
      <c r="E997" s="15"/>
      <c r="F997" s="15"/>
      <c r="G997" s="12"/>
      <c r="H997" s="16" t="str">
        <f aca="false">IF(OR(A997="",C997=""),"",IFERROR(INDEX(Aşamalar!$B$5:$B$12,MATCH(C997,Aşamalar!$A$5:$A$12,0)),0))</f>
        <v/>
      </c>
      <c r="I997" s="17" t="str">
        <f aca="false">IF(H997="","",D997*H997)</f>
        <v/>
      </c>
      <c r="J997" s="18" t="str">
        <f aca="true">IF(AND(AND(C997&lt;&gt;"Kazanıldı",C997&lt;&gt;"Kaybedildi",C997&lt;&gt;""),F997&lt;&gt;""),IF(F997&lt;TODAY(),"Gecikti",IF(F997=TODAY(),"Bugün","")),"")</f>
        <v/>
      </c>
      <c r="K997" s="18" t="str">
        <f aca="true">IF(AND(AND(C997&lt;&gt;"Kazanıldı",C997&lt;&gt;"Kaybedildi",C997&lt;&gt;""),F997&lt;&gt;"",F997&lt;=TODAY()),F997+ROW()/1000000,"")</f>
        <v/>
      </c>
    </row>
    <row r="998" customFormat="false" ht="15" hidden="false" customHeight="false" outlineLevel="0" collapsed="false">
      <c r="A998" s="12"/>
      <c r="B998" s="13"/>
      <c r="C998" s="13"/>
      <c r="D998" s="14"/>
      <c r="E998" s="15"/>
      <c r="F998" s="15"/>
      <c r="G998" s="12"/>
      <c r="H998" s="16" t="str">
        <f aca="false">IF(OR(A998="",C998=""),"",IFERROR(INDEX(Aşamalar!$B$5:$B$12,MATCH(C998,Aşamalar!$A$5:$A$12,0)),0))</f>
        <v/>
      </c>
      <c r="I998" s="17" t="str">
        <f aca="false">IF(H998="","",D998*H998)</f>
        <v/>
      </c>
      <c r="J998" s="18" t="str">
        <f aca="true">IF(AND(AND(C998&lt;&gt;"Kazanıldı",C998&lt;&gt;"Kaybedildi",C998&lt;&gt;""),F998&lt;&gt;""),IF(F998&lt;TODAY(),"Gecikti",IF(F998=TODAY(),"Bugün","")),"")</f>
        <v/>
      </c>
      <c r="K998" s="18" t="str">
        <f aca="true">IF(AND(AND(C998&lt;&gt;"Kazanıldı",C998&lt;&gt;"Kaybedildi",C998&lt;&gt;""),F998&lt;&gt;"",F998&lt;=TODAY()),F998+ROW()/1000000,"")</f>
        <v/>
      </c>
    </row>
    <row r="999" customFormat="false" ht="15" hidden="false" customHeight="false" outlineLevel="0" collapsed="false">
      <c r="A999" s="12"/>
      <c r="B999" s="13"/>
      <c r="C999" s="13"/>
      <c r="D999" s="14"/>
      <c r="E999" s="15"/>
      <c r="F999" s="15"/>
      <c r="G999" s="12"/>
      <c r="H999" s="16" t="str">
        <f aca="false">IF(OR(A999="",C999=""),"",IFERROR(INDEX(Aşamalar!$B$5:$B$12,MATCH(C999,Aşamalar!$A$5:$A$12,0)),0))</f>
        <v/>
      </c>
      <c r="I999" s="17" t="str">
        <f aca="false">IF(H999="","",D999*H999)</f>
        <v/>
      </c>
      <c r="J999" s="18" t="str">
        <f aca="true">IF(AND(AND(C999&lt;&gt;"Kazanıldı",C999&lt;&gt;"Kaybedildi",C999&lt;&gt;""),F999&lt;&gt;""),IF(F999&lt;TODAY(),"Gecikti",IF(F999=TODAY(),"Bugün","")),"")</f>
        <v/>
      </c>
      <c r="K999" s="18" t="str">
        <f aca="true">IF(AND(AND(C999&lt;&gt;"Kazanıldı",C999&lt;&gt;"Kaybedildi",C999&lt;&gt;""),F999&lt;&gt;"",F999&lt;=TODAY()),F999+ROW()/1000000,"")</f>
        <v/>
      </c>
    </row>
    <row r="1000" customFormat="false" ht="15" hidden="false" customHeight="false" outlineLevel="0" collapsed="false">
      <c r="A1000" s="12"/>
      <c r="B1000" s="13"/>
      <c r="C1000" s="13"/>
      <c r="D1000" s="14"/>
      <c r="E1000" s="15"/>
      <c r="F1000" s="15"/>
      <c r="G1000" s="12"/>
      <c r="H1000" s="16" t="str">
        <f aca="false">IF(OR(A1000="",C1000=""),"",IFERROR(INDEX(Aşamalar!$B$5:$B$12,MATCH(C1000,Aşamalar!$A$5:$A$12,0)),0))</f>
        <v/>
      </c>
      <c r="I1000" s="17" t="str">
        <f aca="false">IF(H1000="","",D1000*H1000)</f>
        <v/>
      </c>
      <c r="J1000" s="18" t="str">
        <f aca="true">IF(AND(AND(C1000&lt;&gt;"Kazanıldı",C1000&lt;&gt;"Kaybedildi",C1000&lt;&gt;""),F1000&lt;&gt;""),IF(F1000&lt;TODAY(),"Gecikti",IF(F1000=TODAY(),"Bugün","")),"")</f>
        <v/>
      </c>
      <c r="K1000" s="18" t="str">
        <f aca="true">IF(AND(AND(C1000&lt;&gt;"Kazanıldı",C1000&lt;&gt;"Kaybedildi",C1000&lt;&gt;""),F1000&lt;&gt;"",F1000&lt;=TODAY()),F1000+ROW()/1000000,"")</f>
        <v/>
      </c>
    </row>
    <row r="1001" customFormat="false" ht="15" hidden="false" customHeight="false" outlineLevel="0" collapsed="false">
      <c r="A1001" s="12"/>
      <c r="B1001" s="13"/>
      <c r="C1001" s="13"/>
      <c r="D1001" s="14"/>
      <c r="E1001" s="15"/>
      <c r="F1001" s="15"/>
      <c r="G1001" s="12"/>
      <c r="H1001" s="16" t="str">
        <f aca="false">IF(OR(A1001="",C1001=""),"",IFERROR(INDEX(Aşamalar!$B$5:$B$12,MATCH(C1001,Aşamalar!$A$5:$A$12,0)),0))</f>
        <v/>
      </c>
      <c r="I1001" s="17" t="str">
        <f aca="false">IF(H1001="","",D1001*H1001)</f>
        <v/>
      </c>
      <c r="J1001" s="18" t="str">
        <f aca="true">IF(AND(AND(C1001&lt;&gt;"Kazanıldı",C1001&lt;&gt;"Kaybedildi",C1001&lt;&gt;""),F1001&lt;&gt;""),IF(F1001&lt;TODAY(),"Gecikti",IF(F1001=TODAY(),"Bugün","")),"")</f>
        <v/>
      </c>
      <c r="K1001" s="18" t="str">
        <f aca="true">IF(AND(AND(C1001&lt;&gt;"Kazanıldı",C1001&lt;&gt;"Kaybedildi",C1001&lt;&gt;""),F1001&lt;&gt;"",F1001&lt;=TODAY()),F1001+ROW()/1000000,"")</f>
        <v/>
      </c>
    </row>
    <row r="1002" customFormat="false" ht="15" hidden="false" customHeight="false" outlineLevel="0" collapsed="false">
      <c r="A1002" s="12"/>
      <c r="B1002" s="13"/>
      <c r="C1002" s="13"/>
      <c r="D1002" s="14"/>
      <c r="E1002" s="15"/>
      <c r="F1002" s="15"/>
      <c r="G1002" s="12"/>
      <c r="H1002" s="16" t="str">
        <f aca="false">IF(OR(A1002="",C1002=""),"",IFERROR(INDEX(Aşamalar!$B$5:$B$12,MATCH(C1002,Aşamalar!$A$5:$A$12,0)),0))</f>
        <v/>
      </c>
      <c r="I1002" s="17" t="str">
        <f aca="false">IF(H1002="","",D1002*H1002)</f>
        <v/>
      </c>
      <c r="J1002" s="18" t="str">
        <f aca="true">IF(AND(AND(C1002&lt;&gt;"Kazanıldı",C1002&lt;&gt;"Kaybedildi",C1002&lt;&gt;""),F1002&lt;&gt;""),IF(F1002&lt;TODAY(),"Gecikti",IF(F1002=TODAY(),"Bugün","")),"")</f>
        <v/>
      </c>
      <c r="K1002" s="18" t="str">
        <f aca="true">IF(AND(AND(C1002&lt;&gt;"Kazanıldı",C1002&lt;&gt;"Kaybedildi",C1002&lt;&gt;""),F1002&lt;&gt;"",F1002&lt;=TODAY()),F1002+ROW()/1000000,"")</f>
        <v/>
      </c>
    </row>
    <row r="1003" customFormat="false" ht="15" hidden="false" customHeight="false" outlineLevel="0" collapsed="false">
      <c r="A1003" s="12"/>
      <c r="B1003" s="13"/>
      <c r="C1003" s="13"/>
      <c r="D1003" s="14"/>
      <c r="E1003" s="15"/>
      <c r="F1003" s="15"/>
      <c r="G1003" s="12"/>
      <c r="H1003" s="16" t="str">
        <f aca="false">IF(OR(A1003="",C1003=""),"",IFERROR(INDEX(Aşamalar!$B$5:$B$12,MATCH(C1003,Aşamalar!$A$5:$A$12,0)),0))</f>
        <v/>
      </c>
      <c r="I1003" s="17" t="str">
        <f aca="false">IF(H1003="","",D1003*H1003)</f>
        <v/>
      </c>
      <c r="J1003" s="18" t="str">
        <f aca="true">IF(AND(AND(C1003&lt;&gt;"Kazanıldı",C1003&lt;&gt;"Kaybedildi",C1003&lt;&gt;""),F1003&lt;&gt;""),IF(F1003&lt;TODAY(),"Gecikti",IF(F1003=TODAY(),"Bugün","")),"")</f>
        <v/>
      </c>
      <c r="K1003" s="18" t="str">
        <f aca="true">IF(AND(AND(C1003&lt;&gt;"Kazanıldı",C1003&lt;&gt;"Kaybedildi",C1003&lt;&gt;""),F1003&lt;&gt;"",F1003&lt;=TODAY()),F1003+ROW()/1000000,"")</f>
        <v/>
      </c>
    </row>
    <row r="1004" customFormat="false" ht="15" hidden="false" customHeight="false" outlineLevel="0" collapsed="false">
      <c r="A1004" s="12"/>
      <c r="B1004" s="13"/>
      <c r="C1004" s="13"/>
      <c r="D1004" s="14"/>
      <c r="E1004" s="15"/>
      <c r="F1004" s="15"/>
      <c r="G1004" s="12"/>
      <c r="H1004" s="16" t="str">
        <f aca="false">IF(OR(A1004="",C1004=""),"",IFERROR(INDEX(Aşamalar!$B$5:$B$12,MATCH(C1004,Aşamalar!$A$5:$A$12,0)),0))</f>
        <v/>
      </c>
      <c r="I1004" s="17" t="str">
        <f aca="false">IF(H1004="","",D1004*H1004)</f>
        <v/>
      </c>
      <c r="J1004" s="18" t="str">
        <f aca="true">IF(AND(AND(C1004&lt;&gt;"Kazanıldı",C1004&lt;&gt;"Kaybedildi",C1004&lt;&gt;""),F1004&lt;&gt;""),IF(F1004&lt;TODAY(),"Gecikti",IF(F1004=TODAY(),"Bugün","")),"")</f>
        <v/>
      </c>
      <c r="K1004" s="18" t="str">
        <f aca="true">IF(AND(AND(C1004&lt;&gt;"Kazanıldı",C1004&lt;&gt;"Kaybedildi",C1004&lt;&gt;""),F1004&lt;&gt;"",F1004&lt;=TODAY()),F1004+ROW()/1000000,"")</f>
        <v/>
      </c>
    </row>
  </sheetData>
  <conditionalFormatting sqref="J5:J1004">
    <cfRule type="cellIs" priority="2" operator="equal" aboveAverage="0" equalAverage="0" bottom="0" percent="0" rank="0" text="" dxfId="0">
      <formula>"Gecikti"</formula>
    </cfRule>
    <cfRule type="cellIs" priority="3" operator="equal" aboveAverage="0" equalAverage="0" bottom="0" percent="0" rank="0" text="" dxfId="1">
      <formula>"Bugün"</formula>
    </cfRule>
  </conditionalFormatting>
  <dataValidations count="4">
    <dataValidation allowBlank="true" error="Listeden seç." errorStyle="stop" errorTitle="Kontrol" operator="between" showDropDown="false" showErrorMessage="true" showInputMessage="false" sqref="B5:B1004" type="list">
      <formula1>Listeler!$A$5:$A$34</formula1>
      <formula2>0</formula2>
    </dataValidation>
    <dataValidation allowBlank="true" error="Listeden seç." errorStyle="stop" errorTitle="Kontrol" operator="between" showDropDown="false" showErrorMessage="true" showInputMessage="false" sqref="C5:C1004" type="list">
      <formula1>Aşamalar!$A$5:$A$12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D10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E5:F1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48</v>
      </c>
    </row>
    <row r="2" customFormat="false" ht="15" hidden="false" customHeight="false" outlineLevel="0" collapsed="false">
      <c r="A2" s="9" t="s">
        <v>49</v>
      </c>
    </row>
    <row r="5" customFormat="false" ht="30" hidden="false" customHeight="true" outlineLevel="0" collapsed="false">
      <c r="B5" s="20" t="s">
        <v>50</v>
      </c>
      <c r="C5" s="20" t="s">
        <v>51</v>
      </c>
      <c r="D5" s="20" t="s">
        <v>11</v>
      </c>
      <c r="E5" s="20" t="s">
        <v>52</v>
      </c>
      <c r="F5" s="20" t="s">
        <v>53</v>
      </c>
      <c r="G5" s="20" t="s">
        <v>54</v>
      </c>
    </row>
    <row r="6" customFormat="false" ht="27.75" hidden="false" customHeight="true" outlineLevel="0" collapsed="false">
      <c r="B6" s="21" t="n">
        <f aca="false">COUNTIFS(Fırsatlar!$C$5:$C$1004,"&lt;&gt;Kazanıldı",Fırsatlar!$C$5:$C$1004,"&lt;&gt;Kaybedildi",Fırsatlar!$C$5:$C$1004,"&lt;&gt;")</f>
        <v>3</v>
      </c>
      <c r="C6" s="22" t="n">
        <f aca="false">SUMIFS(Fırsatlar!$D$5:$D$1004,Fırsatlar!$C$5:$C$1004,"&lt;&gt;Kazanıldı",Fırsatlar!$C$5:$C$1004,"&lt;&gt;Kaybedildi",Fırsatlar!$C$5:$C$1004,"&lt;&gt;")</f>
        <v>220000</v>
      </c>
      <c r="D6" s="22" t="n">
        <f aca="false">SUMIFS(Fırsatlar!$I$5:$I$1004,Fırsatlar!$C$5:$C$1004,"&lt;&gt;Kazanıldı",Fırsatlar!$C$5:$C$1004,"&lt;&gt;Kaybedildi",Fırsatlar!$C$5:$C$1004,"&lt;&gt;")</f>
        <v>132000</v>
      </c>
      <c r="E6" s="22" t="n">
        <f aca="false">SUMIFS(Fırsatlar!$D$5:$D$1004,Fırsatlar!$C$5:$C$1004,"Kazanıldı")</f>
        <v>50000</v>
      </c>
      <c r="F6" s="23" t="n">
        <f aca="false">IF(COUNTIF(Fırsatlar!$C$5:$C$1004,"Kazanıldı")+COUNTIF(Fırsatlar!$C$5:$C$1004,"Kaybedildi")=0,0,COUNTIF(Fırsatlar!$C$5:$C$1004,"Kazanıldı")/(COUNTIF(Fırsatlar!$C$5:$C$1004,"Kazanıldı")+COUNTIF(Fırsatlar!$C$5:$C$1004,"Kaybedildi")))</f>
        <v>0.5</v>
      </c>
      <c r="G6" s="24" t="n">
        <f aca="false">COUNT(Fırsatlar!$K$5:$K$1004)</f>
        <v>2</v>
      </c>
    </row>
    <row r="8" customFormat="false" ht="15" hidden="false" customHeight="false" outlineLevel="0" collapsed="false">
      <c r="B8" s="25" t="s">
        <v>55</v>
      </c>
      <c r="I8" s="25" t="s">
        <v>56</v>
      </c>
    </row>
    <row r="9" customFormat="false" ht="21.75" hidden="false" customHeight="true" outlineLevel="0" collapsed="false">
      <c r="B9" s="10" t="s">
        <v>26</v>
      </c>
      <c r="C9" s="10" t="s">
        <v>57</v>
      </c>
      <c r="D9" s="10" t="s">
        <v>27</v>
      </c>
      <c r="I9" s="10" t="s">
        <v>24</v>
      </c>
      <c r="J9" s="10" t="s">
        <v>29</v>
      </c>
      <c r="K9" s="10" t="s">
        <v>26</v>
      </c>
    </row>
    <row r="10" customFormat="false" ht="15" hidden="false" customHeight="false" outlineLevel="0" collapsed="false">
      <c r="B10" s="26" t="str">
        <f aca="false">IF(Aşamalar!A5="","",Aşamalar!A5)</f>
        <v>Yeni</v>
      </c>
      <c r="C10" s="27" t="n">
        <f aca="false">IF(B10="","",COUNTIF(Fırsatlar!$C$5:$C$1004,B10))</f>
        <v>1</v>
      </c>
      <c r="D10" s="17" t="n">
        <f aca="false">IF(B10="","",SUMIFS(Fırsatlar!$D$5:$D$1004,Fırsatlar!$C$5:$C$1004,B10))</f>
        <v>20000</v>
      </c>
      <c r="I10" s="26" t="str">
        <f aca="false">IFERROR(INDEX(Fırsatlar!$A$5:$A$1004,MATCH(SMALL(Fırsatlar!$K$5:$K$1004,1),Fırsatlar!$K$5:$K$1004,0))&amp;"","")</f>
        <v>Firma Beta</v>
      </c>
      <c r="J10" s="28" t="n">
        <f aca="false">IF(I10="","",INDEX(Fırsatlar!$F$5:$F$1004,MATCH(SMALL(Fırsatlar!$K$5:$K$1004,1),Fırsatlar!$K$5:$K$1004,0)))</f>
        <v>46296</v>
      </c>
      <c r="K10" s="18" t="str">
        <f aca="false">IF(I10="","",INDEX(Fırsatlar!$C$5:$C$1004,MATCH(SMALL(Fırsatlar!$K$5:$K$1004,1),Fırsatlar!$K$5:$K$1004,0)))</f>
        <v>Yeni</v>
      </c>
    </row>
    <row r="11" customFormat="false" ht="15" hidden="false" customHeight="false" outlineLevel="0" collapsed="false">
      <c r="B11" s="29" t="str">
        <f aca="false">IF(Aşamalar!A6="","",Aşamalar!A6)</f>
        <v>Görüşüldü</v>
      </c>
      <c r="C11" s="30" t="n">
        <f aca="false">IF(B11="","",COUNTIF(Fırsatlar!$C$5:$C$1004,B11))</f>
        <v>0</v>
      </c>
      <c r="D11" s="31" t="n">
        <f aca="false">IF(B11="","",SUMIFS(Fırsatlar!$D$5:$D$1004,Fırsatlar!$C$5:$C$1004,B11))</f>
        <v>0</v>
      </c>
      <c r="I11" s="29" t="str">
        <f aca="false">IFERROR(INDEX(Fırsatlar!$A$5:$A$1004,MATCH(SMALL(Fırsatlar!$K$5:$K$1004,2),Fırsatlar!$K$5:$K$1004,0))&amp;"","")</f>
        <v>Firma Alfa</v>
      </c>
      <c r="J11" s="32" t="n">
        <f aca="false">IF(I11="","",INDEX(Fırsatlar!$F$5:$F$1004,MATCH(SMALL(Fırsatlar!$K$5:$K$1004,2),Fırsatlar!$K$5:$K$1004,0)))</f>
        <v>46299</v>
      </c>
      <c r="K11" s="33" t="str">
        <f aca="false">IF(I11="","",INDEX(Fırsatlar!$C$5:$C$1004,MATCH(SMALL(Fırsatlar!$K$5:$K$1004,2),Fırsatlar!$K$5:$K$1004,0)))</f>
        <v>Teklif verildi</v>
      </c>
    </row>
    <row r="12" customFormat="false" ht="15" hidden="false" customHeight="false" outlineLevel="0" collapsed="false">
      <c r="B12" s="26" t="str">
        <f aca="false">IF(Aşamalar!A7="","",Aşamalar!A7)</f>
        <v>Teklif verildi</v>
      </c>
      <c r="C12" s="27" t="n">
        <f aca="false">IF(B12="","",COUNTIF(Fırsatlar!$C$5:$C$1004,B12))</f>
        <v>1</v>
      </c>
      <c r="D12" s="17" t="n">
        <f aca="false">IF(B12="","",SUMIFS(Fırsatlar!$D$5:$D$1004,Fırsatlar!$C$5:$C$1004,B12))</f>
        <v>80000</v>
      </c>
      <c r="I12" s="26" t="str">
        <f aca="false">IFERROR(INDEX(Fırsatlar!$A$5:$A$1004,MATCH(SMALL(Fırsatlar!$K$5:$K$1004,3),Fırsatlar!$K$5:$K$1004,0))&amp;"","")</f>
        <v/>
      </c>
      <c r="J12" s="28" t="str">
        <f aca="false">IF(I12="","",INDEX(Fırsatlar!$F$5:$F$1004,MATCH(SMALL(Fırsatlar!$K$5:$K$1004,3),Fırsatlar!$K$5:$K$1004,0)))</f>
        <v/>
      </c>
      <c r="K12" s="18" t="str">
        <f aca="false">IF(I12="","",INDEX(Fırsatlar!$C$5:$C$1004,MATCH(SMALL(Fırsatlar!$K$5:$K$1004,3),Fırsatlar!$K$5:$K$1004,0)))</f>
        <v/>
      </c>
    </row>
    <row r="13" customFormat="false" ht="15" hidden="false" customHeight="false" outlineLevel="0" collapsed="false">
      <c r="B13" s="29" t="str">
        <f aca="false">IF(Aşamalar!A8="","",Aşamalar!A8)</f>
        <v>Pazarlık</v>
      </c>
      <c r="C13" s="30" t="n">
        <f aca="false">IF(B13="","",COUNTIF(Fırsatlar!$C$5:$C$1004,B13))</f>
        <v>1</v>
      </c>
      <c r="D13" s="31" t="n">
        <f aca="false">IF(B13="","",SUMIFS(Fırsatlar!$D$5:$D$1004,Fırsatlar!$C$5:$C$1004,B13))</f>
        <v>120000</v>
      </c>
      <c r="I13" s="29" t="str">
        <f aca="false">IFERROR(INDEX(Fırsatlar!$A$5:$A$1004,MATCH(SMALL(Fırsatlar!$K$5:$K$1004,4),Fırsatlar!$K$5:$K$1004,0))&amp;"","")</f>
        <v/>
      </c>
      <c r="J13" s="32" t="str">
        <f aca="false">IF(I13="","",INDEX(Fırsatlar!$F$5:$F$1004,MATCH(SMALL(Fırsatlar!$K$5:$K$1004,4),Fırsatlar!$K$5:$K$1004,0)))</f>
        <v/>
      </c>
      <c r="K13" s="33" t="str">
        <f aca="false">IF(I13="","",INDEX(Fırsatlar!$C$5:$C$1004,MATCH(SMALL(Fırsatlar!$K$5:$K$1004,4),Fırsatlar!$K$5:$K$1004,0)))</f>
        <v/>
      </c>
    </row>
    <row r="14" customFormat="false" ht="15" hidden="false" customHeight="false" outlineLevel="0" collapsed="false">
      <c r="B14" s="26" t="str">
        <f aca="false">IF(Aşamalar!A9="","",Aşamalar!A9)</f>
        <v>Kazanıldı</v>
      </c>
      <c r="C14" s="27" t="n">
        <f aca="false">IF(B14="","",COUNTIF(Fırsatlar!$C$5:$C$1004,B14))</f>
        <v>1</v>
      </c>
      <c r="D14" s="17" t="n">
        <f aca="false">IF(B14="","",SUMIFS(Fırsatlar!$D$5:$D$1004,Fırsatlar!$C$5:$C$1004,B14))</f>
        <v>50000</v>
      </c>
      <c r="I14" s="26" t="str">
        <f aca="false">IFERROR(INDEX(Fırsatlar!$A$5:$A$1004,MATCH(SMALL(Fırsatlar!$K$5:$K$1004,5),Fırsatlar!$K$5:$K$1004,0))&amp;"","")</f>
        <v/>
      </c>
      <c r="J14" s="28" t="str">
        <f aca="false">IF(I14="","",INDEX(Fırsatlar!$F$5:$F$1004,MATCH(SMALL(Fırsatlar!$K$5:$K$1004,5),Fırsatlar!$K$5:$K$1004,0)))</f>
        <v/>
      </c>
      <c r="K14" s="18" t="str">
        <f aca="false">IF(I14="","",INDEX(Fırsatlar!$C$5:$C$1004,MATCH(SMALL(Fırsatlar!$K$5:$K$1004,5),Fırsatlar!$K$5:$K$1004,0)))</f>
        <v/>
      </c>
    </row>
    <row r="15" customFormat="false" ht="15" hidden="false" customHeight="false" outlineLevel="0" collapsed="false">
      <c r="B15" s="29" t="str">
        <f aca="false">IF(Aşamalar!A10="","",Aşamalar!A10)</f>
        <v>Kaybedildi</v>
      </c>
      <c r="C15" s="30" t="n">
        <f aca="false">IF(B15="","",COUNTIF(Fırsatlar!$C$5:$C$1004,B15))</f>
        <v>1</v>
      </c>
      <c r="D15" s="31" t="n">
        <f aca="false">IF(B15="","",SUMIFS(Fırsatlar!$D$5:$D$1004,Fırsatlar!$C$5:$C$1004,B15))</f>
        <v>30000</v>
      </c>
      <c r="I15" s="29" t="str">
        <f aca="false">IFERROR(INDEX(Fırsatlar!$A$5:$A$1004,MATCH(SMALL(Fırsatlar!$K$5:$K$1004,6),Fırsatlar!$K$5:$K$1004,0))&amp;"","")</f>
        <v/>
      </c>
      <c r="J15" s="32" t="str">
        <f aca="false">IF(I15="","",INDEX(Fırsatlar!$F$5:$F$1004,MATCH(SMALL(Fırsatlar!$K$5:$K$1004,6),Fırsatlar!$K$5:$K$1004,0)))</f>
        <v/>
      </c>
      <c r="K15" s="33" t="str">
        <f aca="false">IF(I15="","",INDEX(Fırsatlar!$C$5:$C$1004,MATCH(SMALL(Fırsatlar!$K$5:$K$1004,6),Fırsatlar!$K$5:$K$1004,0)))</f>
        <v/>
      </c>
    </row>
    <row r="16" customFormat="false" ht="15" hidden="false" customHeight="false" outlineLevel="0" collapsed="false">
      <c r="B16" s="26" t="str">
        <f aca="false">IF(Aşamalar!A11="","",Aşamalar!A11)</f>
        <v/>
      </c>
      <c r="C16" s="27" t="str">
        <f aca="false">IF(B16="","",COUNTIF(Fırsatlar!$C$5:$C$1004,B16))</f>
        <v/>
      </c>
      <c r="D16" s="17" t="str">
        <f aca="false">IF(B16="","",SUMIFS(Fırsatlar!$D$5:$D$1004,Fırsatlar!$C$5:$C$1004,B16))</f>
        <v/>
      </c>
      <c r="I16" s="26" t="str">
        <f aca="false">IFERROR(INDEX(Fırsatlar!$A$5:$A$1004,MATCH(SMALL(Fırsatlar!$K$5:$K$1004,7),Fırsatlar!$K$5:$K$1004,0))&amp;"","")</f>
        <v/>
      </c>
      <c r="J16" s="28" t="str">
        <f aca="false">IF(I16="","",INDEX(Fırsatlar!$F$5:$F$1004,MATCH(SMALL(Fırsatlar!$K$5:$K$1004,7),Fırsatlar!$K$5:$K$1004,0)))</f>
        <v/>
      </c>
      <c r="K16" s="18" t="str">
        <f aca="false">IF(I16="","",INDEX(Fırsatlar!$C$5:$C$1004,MATCH(SMALL(Fırsatlar!$K$5:$K$1004,7),Fırsatlar!$K$5:$K$1004,0)))</f>
        <v/>
      </c>
    </row>
    <row r="17" customFormat="false" ht="15" hidden="false" customHeight="false" outlineLevel="0" collapsed="false">
      <c r="B17" s="29" t="str">
        <f aca="false">IF(Aşamalar!A12="","",Aşamalar!A12)</f>
        <v/>
      </c>
      <c r="C17" s="30" t="str">
        <f aca="false">IF(B17="","",COUNTIF(Fırsatlar!$C$5:$C$1004,B17))</f>
        <v/>
      </c>
      <c r="D17" s="31" t="str">
        <f aca="false">IF(B17="","",SUMIFS(Fırsatlar!$D$5:$D$1004,Fırsatlar!$C$5:$C$1004,B17))</f>
        <v/>
      </c>
      <c r="I17" s="29" t="str">
        <f aca="false">IFERROR(INDEX(Fırsatlar!$A$5:$A$1004,MATCH(SMALL(Fırsatlar!$K$5:$K$1004,8),Fırsatlar!$K$5:$K$1004,0))&amp;"","")</f>
        <v/>
      </c>
      <c r="J17" s="32" t="str">
        <f aca="false">IF(I17="","",INDEX(Fırsatlar!$F$5:$F$1004,MATCH(SMALL(Fırsatlar!$K$5:$K$1004,8),Fırsatlar!$K$5:$K$1004,0)))</f>
        <v/>
      </c>
      <c r="K17" s="33" t="str">
        <f aca="false">IF(I17="","",INDEX(Fırsatlar!$C$5:$C$1004,MATCH(SMALL(Fırsatlar!$K$5:$K$1004,8),Fırsatlar!$K$5:$K$1004,0)))</f>
        <v/>
      </c>
    </row>
    <row r="18" customFormat="false" ht="15" hidden="false" customHeight="false" outlineLevel="0" collapsed="false">
      <c r="I18" s="26" t="str">
        <f aca="false">IFERROR(INDEX(Fırsatlar!$A$5:$A$1004,MATCH(SMALL(Fırsatlar!$K$5:$K$1004,9),Fırsatlar!$K$5:$K$1004,0))&amp;"","")</f>
        <v/>
      </c>
      <c r="J18" s="28" t="str">
        <f aca="false">IF(I18="","",INDEX(Fırsatlar!$F$5:$F$1004,MATCH(SMALL(Fırsatlar!$K$5:$K$1004,9),Fırsatlar!$K$5:$K$1004,0)))</f>
        <v/>
      </c>
      <c r="K18" s="18" t="str">
        <f aca="false">IF(I18="","",INDEX(Fırsatlar!$C$5:$C$1004,MATCH(SMALL(Fırsatlar!$K$5:$K$1004,9),Fırsatlar!$K$5:$K$1004,0)))</f>
        <v/>
      </c>
    </row>
    <row r="19" customFormat="false" ht="15" hidden="false" customHeight="false" outlineLevel="0" collapsed="false">
      <c r="B19" s="25" t="s">
        <v>58</v>
      </c>
      <c r="I19" s="29" t="str">
        <f aca="false">IFERROR(INDEX(Fırsatlar!$A$5:$A$1004,MATCH(SMALL(Fırsatlar!$K$5:$K$1004,10),Fırsatlar!$K$5:$K$1004,0))&amp;"","")</f>
        <v/>
      </c>
      <c r="J19" s="32" t="str">
        <f aca="false">IF(I19="","",INDEX(Fırsatlar!$F$5:$F$1004,MATCH(SMALL(Fırsatlar!$K$5:$K$1004,10),Fırsatlar!$K$5:$K$1004,0)))</f>
        <v/>
      </c>
      <c r="K19" s="33" t="str">
        <f aca="false">IF(I19="","",INDEX(Fırsatlar!$C$5:$C$1004,MATCH(SMALL(Fırsatlar!$K$5:$K$1004,10),Fırsatlar!$K$5:$K$1004,0)))</f>
        <v/>
      </c>
    </row>
    <row r="20" customFormat="false" ht="21.75" hidden="false" customHeight="true" outlineLevel="0" collapsed="false">
      <c r="B20" s="10" t="s">
        <v>25</v>
      </c>
      <c r="C20" s="10" t="s">
        <v>57</v>
      </c>
      <c r="D20" s="10" t="s">
        <v>59</v>
      </c>
    </row>
    <row r="21" customFormat="false" ht="15" hidden="false" customHeight="false" outlineLevel="0" collapsed="false">
      <c r="B21" s="26" t="str">
        <f aca="false">IF(Listeler!A5="","",Listeler!A5)</f>
        <v>Tavsiye</v>
      </c>
      <c r="C21" s="27" t="n">
        <f aca="false">IF(B21="","",COUNTIF(Fırsatlar!$B$5:$B$1004,B21))</f>
        <v>2</v>
      </c>
      <c r="D21" s="17" t="n">
        <f aca="false">IF(B21="","",SUMIFS(Fırsatlar!$D$5:$D$1004,Fırsatlar!$B$5:$B$1004,B21,Fırsatlar!$C$5:$C$1004,"Kazanıldı"))</f>
        <v>0</v>
      </c>
    </row>
    <row r="22" customFormat="false" ht="15" hidden="false" customHeight="false" outlineLevel="0" collapsed="false">
      <c r="B22" s="29" t="str">
        <f aca="false">IF(Listeler!A6="","",Listeler!A6)</f>
        <v>Instagram</v>
      </c>
      <c r="C22" s="30" t="n">
        <f aca="false">IF(B22="","",COUNTIF(Fırsatlar!$B$5:$B$1004,B22))</f>
        <v>1</v>
      </c>
      <c r="D22" s="31" t="n">
        <f aca="false">IF(B22="","",SUMIFS(Fırsatlar!$D$5:$D$1004,Fırsatlar!$B$5:$B$1004,B22,Fırsatlar!$C$5:$C$1004,"Kazanıldı"))</f>
        <v>0</v>
      </c>
    </row>
    <row r="23" customFormat="false" ht="15" hidden="false" customHeight="false" outlineLevel="0" collapsed="false">
      <c r="B23" s="26" t="str">
        <f aca="false">IF(Listeler!A7="","",Listeler!A7)</f>
        <v>Web sitesi</v>
      </c>
      <c r="C23" s="27" t="n">
        <f aca="false">IF(B23="","",COUNTIF(Fırsatlar!$B$5:$B$1004,B23))</f>
        <v>1</v>
      </c>
      <c r="D23" s="17" t="n">
        <f aca="false">IF(B23="","",SUMIFS(Fırsatlar!$D$5:$D$1004,Fırsatlar!$B$5:$B$1004,B23,Fırsatlar!$C$5:$C$1004,"Kazanıldı"))</f>
        <v>50000</v>
      </c>
    </row>
    <row r="24" customFormat="false" ht="15" hidden="false" customHeight="false" outlineLevel="0" collapsed="false">
      <c r="B24" s="29" t="str">
        <f aca="false">IF(Listeler!A8="","",Listeler!A8)</f>
        <v>Telefon</v>
      </c>
      <c r="C24" s="30" t="n">
        <f aca="false">IF(B24="","",COUNTIF(Fırsatlar!$B$5:$B$1004,B24))</f>
        <v>0</v>
      </c>
      <c r="D24" s="31" t="n">
        <f aca="false">IF(B24="","",SUMIFS(Fırsatlar!$D$5:$D$1004,Fırsatlar!$B$5:$B$1004,B24,Fırsatlar!$C$5:$C$1004,"Kazanıldı"))</f>
        <v>0</v>
      </c>
    </row>
    <row r="25" customFormat="false" ht="15" hidden="false" customHeight="false" outlineLevel="0" collapsed="false">
      <c r="B25" s="26" t="str">
        <f aca="false">IF(Listeler!A9="","",Listeler!A9)</f>
        <v>Fuar</v>
      </c>
      <c r="C25" s="27" t="n">
        <f aca="false">IF(B25="","",COUNTIF(Fırsatlar!$B$5:$B$1004,B25))</f>
        <v>1</v>
      </c>
      <c r="D25" s="17" t="n">
        <f aca="false">IF(B25="","",SUMIFS(Fırsatlar!$D$5:$D$1004,Fırsatlar!$B$5:$B$1004,B25,Fırsatlar!$C$5:$C$1004,"Kazanıldı"))</f>
        <v>0</v>
      </c>
    </row>
    <row r="26" customFormat="false" ht="15" hidden="false" customHeight="false" outlineLevel="0" collapsed="false">
      <c r="B26" s="29" t="str">
        <f aca="false">IF(Listeler!A10="","",Listeler!A10)</f>
        <v>Diğer</v>
      </c>
      <c r="C26" s="30" t="n">
        <f aca="false">IF(B26="","",COUNTIF(Fırsatlar!$B$5:$B$1004,B26))</f>
        <v>0</v>
      </c>
      <c r="D26" s="31" t="n">
        <f aca="false">IF(B26="","",SUMIFS(Fırsatlar!$D$5:$D$1004,Fırsatlar!$B$5:$B$1004,B26,Fırsatlar!$C$5:$C$1004,"Kazanıldı"))</f>
        <v>0</v>
      </c>
    </row>
    <row r="27" customFormat="false" ht="15" hidden="false" customHeight="false" outlineLevel="0" collapsed="false">
      <c r="B27" s="26" t="str">
        <f aca="false">IF(Listeler!A11="","",Listeler!A11)</f>
        <v/>
      </c>
      <c r="C27" s="27" t="str">
        <f aca="false">IF(B27="","",COUNTIF(Fırsatlar!$B$5:$B$1004,B27))</f>
        <v/>
      </c>
      <c r="D27" s="17" t="str">
        <f aca="false">IF(B27="","",SUMIFS(Fırsatlar!$D$5:$D$1004,Fırsatlar!$B$5:$B$1004,B27,Fırsatlar!$C$5:$C$1004,"Kazanıldı"))</f>
        <v/>
      </c>
    </row>
    <row r="28" customFormat="false" ht="15" hidden="false" customHeight="false" outlineLevel="0" collapsed="false">
      <c r="B28" s="29" t="str">
        <f aca="false">IF(Listeler!A12="","",Listeler!A12)</f>
        <v/>
      </c>
      <c r="C28" s="30" t="str">
        <f aca="false">IF(B28="","",COUNTIF(Fırsatlar!$B$5:$B$1004,B28))</f>
        <v/>
      </c>
      <c r="D28" s="31" t="str">
        <f aca="false">IF(B28="","",SUMIFS(Fırsatlar!$D$5:$D$1004,Fırsatlar!$B$5:$B$1004,B28,Fırsatlar!$C$5:$C$1004,"Kazanıldı"))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8" t="s">
        <v>60</v>
      </c>
    </row>
    <row r="2" customFormat="false" ht="15" hidden="false" customHeight="false" outlineLevel="0" collapsed="false">
      <c r="A2" s="9" t="s">
        <v>61</v>
      </c>
    </row>
    <row r="4" customFormat="false" ht="27.75" hidden="false" customHeight="true" outlineLevel="0" collapsed="false">
      <c r="A4" s="10" t="s">
        <v>26</v>
      </c>
      <c r="B4" s="10" t="s">
        <v>31</v>
      </c>
    </row>
    <row r="5" customFormat="false" ht="15" hidden="false" customHeight="false" outlineLevel="0" collapsed="false">
      <c r="A5" s="12" t="s">
        <v>39</v>
      </c>
      <c r="B5" s="34" t="n">
        <v>0.1</v>
      </c>
    </row>
    <row r="6" customFormat="false" ht="15" hidden="false" customHeight="false" outlineLevel="0" collapsed="false">
      <c r="A6" s="12" t="s">
        <v>62</v>
      </c>
      <c r="B6" s="34" t="n">
        <v>0.25</v>
      </c>
    </row>
    <row r="7" customFormat="false" ht="15" hidden="false" customHeight="false" outlineLevel="0" collapsed="false">
      <c r="A7" s="12" t="s">
        <v>36</v>
      </c>
      <c r="B7" s="34" t="n">
        <v>0.5</v>
      </c>
    </row>
    <row r="8" customFormat="false" ht="15" hidden="false" customHeight="false" outlineLevel="0" collapsed="false">
      <c r="A8" s="12" t="s">
        <v>47</v>
      </c>
      <c r="B8" s="34" t="n">
        <v>0.75</v>
      </c>
    </row>
    <row r="9" customFormat="false" ht="15" hidden="false" customHeight="false" outlineLevel="0" collapsed="false">
      <c r="A9" s="12" t="s">
        <v>42</v>
      </c>
      <c r="B9" s="34" t="n">
        <v>1</v>
      </c>
    </row>
    <row r="10" customFormat="false" ht="15" hidden="false" customHeight="false" outlineLevel="0" collapsed="false">
      <c r="A10" s="12" t="s">
        <v>44</v>
      </c>
      <c r="B10" s="34" t="n">
        <v>0</v>
      </c>
    </row>
    <row r="11" customFormat="false" ht="15" hidden="false" customHeight="false" outlineLevel="0" collapsed="false">
      <c r="A11" s="12"/>
      <c r="B11" s="34"/>
    </row>
    <row r="12" customFormat="false" ht="15" hidden="false" customHeight="false" outlineLevel="0" collapsed="false">
      <c r="A12" s="12"/>
      <c r="B12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63</v>
      </c>
    </row>
    <row r="2" customFormat="false" ht="15" hidden="false" customHeight="false" outlineLevel="0" collapsed="false">
      <c r="A2" s="9" t="s">
        <v>64</v>
      </c>
    </row>
    <row r="4" customFormat="false" ht="21.75" hidden="false" customHeight="true" outlineLevel="0" collapsed="false">
      <c r="A4" s="10" t="s">
        <v>25</v>
      </c>
    </row>
    <row r="5" customFormat="false" ht="15" hidden="false" customHeight="false" outlineLevel="0" collapsed="false">
      <c r="A5" s="12" t="s">
        <v>35</v>
      </c>
    </row>
    <row r="6" customFormat="false" ht="15" hidden="false" customHeight="false" outlineLevel="0" collapsed="false">
      <c r="A6" s="12" t="s">
        <v>38</v>
      </c>
    </row>
    <row r="7" customFormat="false" ht="15" hidden="false" customHeight="false" outlineLevel="0" collapsed="false">
      <c r="A7" s="12" t="s">
        <v>41</v>
      </c>
    </row>
    <row r="8" customFormat="false" ht="15" hidden="false" customHeight="false" outlineLevel="0" collapsed="false">
      <c r="A8" s="12" t="s">
        <v>65</v>
      </c>
    </row>
    <row r="9" customFormat="false" ht="15" hidden="false" customHeight="false" outlineLevel="0" collapsed="false">
      <c r="A9" s="12" t="s">
        <v>46</v>
      </c>
    </row>
    <row r="10" customFormat="false" ht="15" hidden="false" customHeight="false" outlineLevel="0" collapsed="false">
      <c r="A10" s="12" t="s">
        <v>66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67</v>
      </c>
    </row>
    <row r="2" customFormat="false" ht="30" hidden="false" customHeight="true" outlineLevel="0" collapsed="false">
      <c r="B2" s="35" t="s">
        <v>68</v>
      </c>
      <c r="C2" s="35"/>
    </row>
    <row r="3" customFormat="false" ht="31.5" hidden="false" customHeight="true" outlineLevel="0" collapsed="false">
      <c r="B3" s="36" t="s">
        <v>69</v>
      </c>
      <c r="C3" s="36"/>
    </row>
    <row r="5" customFormat="false" ht="15" hidden="false" customHeight="false" outlineLevel="0" collapsed="false">
      <c r="B5" s="37" t="s">
        <v>70</v>
      </c>
      <c r="C5" s="37" t="s">
        <v>71</v>
      </c>
    </row>
    <row r="6" customFormat="false" ht="31.5" hidden="false" customHeight="true" outlineLevel="0" collapsed="false">
      <c r="B6" s="38" t="s">
        <v>72</v>
      </c>
      <c r="C6" s="39" t="s">
        <v>73</v>
      </c>
    </row>
    <row r="7" customFormat="false" ht="31.5" hidden="false" customHeight="true" outlineLevel="0" collapsed="false">
      <c r="B7" s="40" t="s">
        <v>74</v>
      </c>
      <c r="C7" s="41" t="s">
        <v>75</v>
      </c>
    </row>
    <row r="8" customFormat="false" ht="31.5" hidden="false" customHeight="true" outlineLevel="0" collapsed="false">
      <c r="B8" s="38" t="s">
        <v>76</v>
      </c>
      <c r="C8" s="39" t="s">
        <v>77</v>
      </c>
    </row>
    <row r="9" customFormat="false" ht="31.5" hidden="false" customHeight="true" outlineLevel="0" collapsed="false">
      <c r="B9" s="40" t="s">
        <v>78</v>
      </c>
      <c r="C9" s="41" t="s">
        <v>79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2026-10-04T22:00:04Z</dcterms:created>
  <dc:creator>openpyxl</dc:creator>
  <dc:description/>
  <dc:language>en-US</dc:language>
  <cp:lastModifiedBy/>
  <dcterms:modified xsi:type="dcterms:W3CDTF">2026-10-04T22:00:05Z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